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uleman/Documents/my-portfolio/files/"/>
    </mc:Choice>
  </mc:AlternateContent>
  <xr:revisionPtr revIDLastSave="0" documentId="13_ncr:1_{B2D88513-5CC3-5947-8A15-1FF71802FB85}" xr6:coauthVersionLast="45" xr6:coauthVersionMax="45" xr10:uidLastSave="{00000000-0000-0000-0000-000000000000}"/>
  <bookViews>
    <workbookView xWindow="0" yWindow="500" windowWidth="28800" windowHeight="16100" xr2:uid="{4E159732-A785-1447-B7CE-4CB92CE57CD1}"/>
  </bookViews>
  <sheets>
    <sheet name="Dashboard" sheetId="10" r:id="rId1"/>
    <sheet name="Product List" sheetId="1" r:id="rId2"/>
    <sheet name="Purchase Record" sheetId="3" r:id="rId3"/>
    <sheet name="Sales Record" sheetId="7" r:id="rId4"/>
    <sheet name="Sales Return" sheetId="8" r:id="rId5"/>
    <sheet name="Purchase Return" sheetId="9" r:id="rId6"/>
    <sheet name="SocialEXP" sheetId="4" r:id="rId7"/>
    <sheet name="Ads investment" sheetId="14" r:id="rId8"/>
    <sheet name="Other EXP" sheetId="16" r:id="rId9"/>
    <sheet name="Investment" sheetId="15" r:id="rId10"/>
    <sheet name="Category" sheetId="2" r:id="rId11"/>
    <sheet name="Sheet4" sheetId="5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44" i="2" l="1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A16" i="3" l="1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N4" i="7" l="1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263" i="7"/>
  <c r="N264" i="7"/>
  <c r="N265" i="7"/>
  <c r="N266" i="7"/>
  <c r="N267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1" i="7"/>
  <c r="N282" i="7"/>
  <c r="N283" i="7"/>
  <c r="N284" i="7"/>
  <c r="N285" i="7"/>
  <c r="N286" i="7"/>
  <c r="N287" i="7"/>
  <c r="N288" i="7"/>
  <c r="N289" i="7"/>
  <c r="N290" i="7"/>
  <c r="N291" i="7"/>
  <c r="N292" i="7"/>
  <c r="N293" i="7"/>
  <c r="N294" i="7"/>
  <c r="N295" i="7"/>
  <c r="N296" i="7"/>
  <c r="N297" i="7"/>
  <c r="N298" i="7"/>
  <c r="N299" i="7"/>
  <c r="N300" i="7"/>
  <c r="N301" i="7"/>
  <c r="N302" i="7"/>
  <c r="N303" i="7"/>
  <c r="N304" i="7"/>
  <c r="N305" i="7"/>
  <c r="N306" i="7"/>
  <c r="N307" i="7"/>
  <c r="N308" i="7"/>
  <c r="N309" i="7"/>
  <c r="N310" i="7"/>
  <c r="N311" i="7"/>
  <c r="N312" i="7"/>
  <c r="N313" i="7"/>
  <c r="N314" i="7"/>
  <c r="N315" i="7"/>
  <c r="N316" i="7"/>
  <c r="N317" i="7"/>
  <c r="N318" i="7"/>
  <c r="N319" i="7"/>
  <c r="N320" i="7"/>
  <c r="N321" i="7"/>
  <c r="N322" i="7"/>
  <c r="N323" i="7"/>
  <c r="N324" i="7"/>
  <c r="N325" i="7"/>
  <c r="N326" i="7"/>
  <c r="N327" i="7"/>
  <c r="N328" i="7"/>
  <c r="N329" i="7"/>
  <c r="N330" i="7"/>
  <c r="N331" i="7"/>
  <c r="N332" i="7"/>
  <c r="N333" i="7"/>
  <c r="N334" i="7"/>
  <c r="N335" i="7"/>
  <c r="N336" i="7"/>
  <c r="N337" i="7"/>
  <c r="N338" i="7"/>
  <c r="N339" i="7"/>
  <c r="N340" i="7"/>
  <c r="N341" i="7"/>
  <c r="N342" i="7"/>
  <c r="N343" i="7"/>
  <c r="N344" i="7"/>
  <c r="N345" i="7"/>
  <c r="N346" i="7"/>
  <c r="N347" i="7"/>
  <c r="N348" i="7"/>
  <c r="N349" i="7"/>
  <c r="N350" i="7"/>
  <c r="N351" i="7"/>
  <c r="N352" i="7"/>
  <c r="N353" i="7"/>
  <c r="N354" i="7"/>
  <c r="N355" i="7"/>
  <c r="N356" i="7"/>
  <c r="N357" i="7"/>
  <c r="N358" i="7"/>
  <c r="N359" i="7"/>
  <c r="N360" i="7"/>
  <c r="N361" i="7"/>
  <c r="N362" i="7"/>
  <c r="N363" i="7"/>
  <c r="N364" i="7"/>
  <c r="N365" i="7"/>
  <c r="N366" i="7"/>
  <c r="N367" i="7"/>
  <c r="N368" i="7"/>
  <c r="N369" i="7"/>
  <c r="N370" i="7"/>
  <c r="N371" i="7"/>
  <c r="N372" i="7"/>
  <c r="N373" i="7"/>
  <c r="N374" i="7"/>
  <c r="N375" i="7"/>
  <c r="N376" i="7"/>
  <c r="N377" i="7"/>
  <c r="N378" i="7"/>
  <c r="N379" i="7"/>
  <c r="N380" i="7"/>
  <c r="N381" i="7"/>
  <c r="N382" i="7"/>
  <c r="N383" i="7"/>
  <c r="N384" i="7"/>
  <c r="N385" i="7"/>
  <c r="N386" i="7"/>
  <c r="N387" i="7"/>
  <c r="N388" i="7"/>
  <c r="N389" i="7"/>
  <c r="N390" i="7"/>
  <c r="N391" i="7"/>
  <c r="N392" i="7"/>
  <c r="N393" i="7"/>
  <c r="N394" i="7"/>
  <c r="N395" i="7"/>
  <c r="N396" i="7"/>
  <c r="N397" i="7"/>
  <c r="N398" i="7"/>
  <c r="N399" i="7"/>
  <c r="N400" i="7"/>
  <c r="N401" i="7"/>
  <c r="N402" i="7"/>
  <c r="N403" i="7"/>
  <c r="N404" i="7"/>
  <c r="N405" i="7"/>
  <c r="N406" i="7"/>
  <c r="N407" i="7"/>
  <c r="N408" i="7"/>
  <c r="N409" i="7"/>
  <c r="N410" i="7"/>
  <c r="N411" i="7"/>
  <c r="N412" i="7"/>
  <c r="N413" i="7"/>
  <c r="N414" i="7"/>
  <c r="N415" i="7"/>
  <c r="N416" i="7"/>
  <c r="N417" i="7"/>
  <c r="N418" i="7"/>
  <c r="N419" i="7"/>
  <c r="N420" i="7"/>
  <c r="N421" i="7"/>
  <c r="N422" i="7"/>
  <c r="N423" i="7"/>
  <c r="N424" i="7"/>
  <c r="N425" i="7"/>
  <c r="N426" i="7"/>
  <c r="N427" i="7"/>
  <c r="N428" i="7"/>
  <c r="N429" i="7"/>
  <c r="N430" i="7"/>
  <c r="N431" i="7"/>
  <c r="N432" i="7"/>
  <c r="N433" i="7"/>
  <c r="N434" i="7"/>
  <c r="N435" i="7"/>
  <c r="N436" i="7"/>
  <c r="N437" i="7"/>
  <c r="N438" i="7"/>
  <c r="N439" i="7"/>
  <c r="N440" i="7"/>
  <c r="N441" i="7"/>
  <c r="N442" i="7"/>
  <c r="N443" i="7"/>
  <c r="N444" i="7"/>
  <c r="N445" i="7"/>
  <c r="N446" i="7"/>
  <c r="N447" i="7"/>
  <c r="N448" i="7"/>
  <c r="N449" i="7"/>
  <c r="N450" i="7"/>
  <c r="N451" i="7"/>
  <c r="N452" i="7"/>
  <c r="N453" i="7"/>
  <c r="N454" i="7"/>
  <c r="N455" i="7"/>
  <c r="N456" i="7"/>
  <c r="N457" i="7"/>
  <c r="N458" i="7"/>
  <c r="N459" i="7"/>
  <c r="N460" i="7"/>
  <c r="N461" i="7"/>
  <c r="N462" i="7"/>
  <c r="N463" i="7"/>
  <c r="N464" i="7"/>
  <c r="N465" i="7"/>
  <c r="N466" i="7"/>
  <c r="N467" i="7"/>
  <c r="N468" i="7"/>
  <c r="N469" i="7"/>
  <c r="N470" i="7"/>
  <c r="N471" i="7"/>
  <c r="N472" i="7"/>
  <c r="N473" i="7"/>
  <c r="N474" i="7"/>
  <c r="N475" i="7"/>
  <c r="N476" i="7"/>
  <c r="N477" i="7"/>
  <c r="N478" i="7"/>
  <c r="N479" i="7"/>
  <c r="N480" i="7"/>
  <c r="N481" i="7"/>
  <c r="N482" i="7"/>
  <c r="N483" i="7"/>
  <c r="N484" i="7"/>
  <c r="N485" i="7"/>
  <c r="N486" i="7"/>
  <c r="N487" i="7"/>
  <c r="N488" i="7"/>
  <c r="N489" i="7"/>
  <c r="N490" i="7"/>
  <c r="N491" i="7"/>
  <c r="N492" i="7"/>
  <c r="N493" i="7"/>
  <c r="N494" i="7"/>
  <c r="N495" i="7"/>
  <c r="N496" i="7"/>
  <c r="N497" i="7"/>
  <c r="N498" i="7"/>
  <c r="N499" i="7"/>
  <c r="N500" i="7"/>
  <c r="N501" i="7"/>
  <c r="N502" i="7"/>
  <c r="N503" i="7"/>
  <c r="N504" i="7"/>
  <c r="N505" i="7"/>
  <c r="N506" i="7"/>
  <c r="N507" i="7"/>
  <c r="N508" i="7"/>
  <c r="N509" i="7"/>
  <c r="N510" i="7"/>
  <c r="N511" i="7"/>
  <c r="N512" i="7"/>
  <c r="N513" i="7"/>
  <c r="N514" i="7"/>
  <c r="N515" i="7"/>
  <c r="N516" i="7"/>
  <c r="N517" i="7"/>
  <c r="N518" i="7"/>
  <c r="N519" i="7"/>
  <c r="N520" i="7"/>
  <c r="N521" i="7"/>
  <c r="N522" i="7"/>
  <c r="N523" i="7"/>
  <c r="N524" i="7"/>
  <c r="N525" i="7"/>
  <c r="N526" i="7"/>
  <c r="N527" i="7"/>
  <c r="N528" i="7"/>
  <c r="N529" i="7"/>
  <c r="N530" i="7"/>
  <c r="N531" i="7"/>
  <c r="N532" i="7"/>
  <c r="N533" i="7"/>
  <c r="N534" i="7"/>
  <c r="N535" i="7"/>
  <c r="N536" i="7"/>
  <c r="N537" i="7"/>
  <c r="N538" i="7"/>
  <c r="N539" i="7"/>
  <c r="N540" i="7"/>
  <c r="N541" i="7"/>
  <c r="N542" i="7"/>
  <c r="N543" i="7"/>
  <c r="N544" i="7"/>
  <c r="N545" i="7"/>
  <c r="N546" i="7"/>
  <c r="N547" i="7"/>
  <c r="N548" i="7"/>
  <c r="N549" i="7"/>
  <c r="N550" i="7"/>
  <c r="N551" i="7"/>
  <c r="N552" i="7"/>
  <c r="N553" i="7"/>
  <c r="N554" i="7"/>
  <c r="N555" i="7"/>
  <c r="N556" i="7"/>
  <c r="N557" i="7"/>
  <c r="N558" i="7"/>
  <c r="N559" i="7"/>
  <c r="N560" i="7"/>
  <c r="N561" i="7"/>
  <c r="N562" i="7"/>
  <c r="N563" i="7"/>
  <c r="N564" i="7"/>
  <c r="N565" i="7"/>
  <c r="N566" i="7"/>
  <c r="N567" i="7"/>
  <c r="N568" i="7"/>
  <c r="N569" i="7"/>
  <c r="N570" i="7"/>
  <c r="N571" i="7"/>
  <c r="N572" i="7"/>
  <c r="N573" i="7"/>
  <c r="N574" i="7"/>
  <c r="N575" i="7"/>
  <c r="N576" i="7"/>
  <c r="N577" i="7"/>
  <c r="N578" i="7"/>
  <c r="N579" i="7"/>
  <c r="N580" i="7"/>
  <c r="N581" i="7"/>
  <c r="N582" i="7"/>
  <c r="N583" i="7"/>
  <c r="N584" i="7"/>
  <c r="N585" i="7"/>
  <c r="N586" i="7"/>
  <c r="N587" i="7"/>
  <c r="N588" i="7"/>
  <c r="N589" i="7"/>
  <c r="N590" i="7"/>
  <c r="N591" i="7"/>
  <c r="N592" i="7"/>
  <c r="N593" i="7"/>
  <c r="N594" i="7"/>
  <c r="N595" i="7"/>
  <c r="N596" i="7"/>
  <c r="N597" i="7"/>
  <c r="N598" i="7"/>
  <c r="N599" i="7"/>
  <c r="N600" i="7"/>
  <c r="N601" i="7"/>
  <c r="N602" i="7"/>
  <c r="N603" i="7"/>
  <c r="N604" i="7"/>
  <c r="N605" i="7"/>
  <c r="N606" i="7"/>
  <c r="N607" i="7"/>
  <c r="N608" i="7"/>
  <c r="N609" i="7"/>
  <c r="N610" i="7"/>
  <c r="N611" i="7"/>
  <c r="N612" i="7"/>
  <c r="N613" i="7"/>
  <c r="N614" i="7"/>
  <c r="N615" i="7"/>
  <c r="N616" i="7"/>
  <c r="N617" i="7"/>
  <c r="N618" i="7"/>
  <c r="N619" i="7"/>
  <c r="N620" i="7"/>
  <c r="N621" i="7"/>
  <c r="N622" i="7"/>
  <c r="N623" i="7"/>
  <c r="N624" i="7"/>
  <c r="N625" i="7"/>
  <c r="N626" i="7"/>
  <c r="N627" i="7"/>
  <c r="N628" i="7"/>
  <c r="N629" i="7"/>
  <c r="N630" i="7"/>
  <c r="N631" i="7"/>
  <c r="N632" i="7"/>
  <c r="N633" i="7"/>
  <c r="N634" i="7"/>
  <c r="N635" i="7"/>
  <c r="N636" i="7"/>
  <c r="N637" i="7"/>
  <c r="N638" i="7"/>
  <c r="N639" i="7"/>
  <c r="N640" i="7"/>
  <c r="N641" i="7"/>
  <c r="N642" i="7"/>
  <c r="N643" i="7"/>
  <c r="N644" i="7"/>
  <c r="N645" i="7"/>
  <c r="N646" i="7"/>
  <c r="N647" i="7"/>
  <c r="N648" i="7"/>
  <c r="N649" i="7"/>
  <c r="N650" i="7"/>
  <c r="N651" i="7"/>
  <c r="N652" i="7"/>
  <c r="N653" i="7"/>
  <c r="N654" i="7"/>
  <c r="N655" i="7"/>
  <c r="N656" i="7"/>
  <c r="N657" i="7"/>
  <c r="N658" i="7"/>
  <c r="N659" i="7"/>
  <c r="N660" i="7"/>
  <c r="N661" i="7"/>
  <c r="N662" i="7"/>
  <c r="N663" i="7"/>
  <c r="N664" i="7"/>
  <c r="N665" i="7"/>
  <c r="N666" i="7"/>
  <c r="N667" i="7"/>
  <c r="N668" i="7"/>
  <c r="N669" i="7"/>
  <c r="N670" i="7"/>
  <c r="N671" i="7"/>
  <c r="N672" i="7"/>
  <c r="N673" i="7"/>
  <c r="N674" i="7"/>
  <c r="N675" i="7"/>
  <c r="N676" i="7"/>
  <c r="N677" i="7"/>
  <c r="N678" i="7"/>
  <c r="N679" i="7"/>
  <c r="N680" i="7"/>
  <c r="N681" i="7"/>
  <c r="N682" i="7"/>
  <c r="N683" i="7"/>
  <c r="N684" i="7"/>
  <c r="N685" i="7"/>
  <c r="N686" i="7"/>
  <c r="N687" i="7"/>
  <c r="N688" i="7"/>
  <c r="N689" i="7"/>
  <c r="N690" i="7"/>
  <c r="N691" i="7"/>
  <c r="N692" i="7"/>
  <c r="N693" i="7"/>
  <c r="N694" i="7"/>
  <c r="N695" i="7"/>
  <c r="N696" i="7"/>
  <c r="N697" i="7"/>
  <c r="N698" i="7"/>
  <c r="N699" i="7"/>
  <c r="N700" i="7"/>
  <c r="N701" i="7"/>
  <c r="N702" i="7"/>
  <c r="N703" i="7"/>
  <c r="N704" i="7"/>
  <c r="N705" i="7"/>
  <c r="N706" i="7"/>
  <c r="N707" i="7"/>
  <c r="N708" i="7"/>
  <c r="N709" i="7"/>
  <c r="N710" i="7"/>
  <c r="N711" i="7"/>
  <c r="N712" i="7"/>
  <c r="N713" i="7"/>
  <c r="N714" i="7"/>
  <c r="N715" i="7"/>
  <c r="N716" i="7"/>
  <c r="N717" i="7"/>
  <c r="N718" i="7"/>
  <c r="N719" i="7"/>
  <c r="N720" i="7"/>
  <c r="N721" i="7"/>
  <c r="N722" i="7"/>
  <c r="N723" i="7"/>
  <c r="N724" i="7"/>
  <c r="N725" i="7"/>
  <c r="N726" i="7"/>
  <c r="N727" i="7"/>
  <c r="N728" i="7"/>
  <c r="N729" i="7"/>
  <c r="N730" i="7"/>
  <c r="N731" i="7"/>
  <c r="N732" i="7"/>
  <c r="N733" i="7"/>
  <c r="N734" i="7"/>
  <c r="N735" i="7"/>
  <c r="N736" i="7"/>
  <c r="N737" i="7"/>
  <c r="N738" i="7"/>
  <c r="N739" i="7"/>
  <c r="N740" i="7"/>
  <c r="N741" i="7"/>
  <c r="N742" i="7"/>
  <c r="N743" i="7"/>
  <c r="N744" i="7"/>
  <c r="N745" i="7"/>
  <c r="N746" i="7"/>
  <c r="N747" i="7"/>
  <c r="N748" i="7"/>
  <c r="N749" i="7"/>
  <c r="N750" i="7"/>
  <c r="N751" i="7"/>
  <c r="N752" i="7"/>
  <c r="N753" i="7"/>
  <c r="N754" i="7"/>
  <c r="N755" i="7"/>
  <c r="N756" i="7"/>
  <c r="N757" i="7"/>
  <c r="N758" i="7"/>
  <c r="N759" i="7"/>
  <c r="N760" i="7"/>
  <c r="N761" i="7"/>
  <c r="N762" i="7"/>
  <c r="N763" i="7"/>
  <c r="N764" i="7"/>
  <c r="N765" i="7"/>
  <c r="N766" i="7"/>
  <c r="N767" i="7"/>
  <c r="N768" i="7"/>
  <c r="N769" i="7"/>
  <c r="N770" i="7"/>
  <c r="N771" i="7"/>
  <c r="N772" i="7"/>
  <c r="N773" i="7"/>
  <c r="N774" i="7"/>
  <c r="N775" i="7"/>
  <c r="N776" i="7"/>
  <c r="N777" i="7"/>
  <c r="N778" i="7"/>
  <c r="N779" i="7"/>
  <c r="N780" i="7"/>
  <c r="N781" i="7"/>
  <c r="N782" i="7"/>
  <c r="N783" i="7"/>
  <c r="N784" i="7"/>
  <c r="N785" i="7"/>
  <c r="N786" i="7"/>
  <c r="N787" i="7"/>
  <c r="N788" i="7"/>
  <c r="N789" i="7"/>
  <c r="N790" i="7"/>
  <c r="N791" i="7"/>
  <c r="N792" i="7"/>
  <c r="N793" i="7"/>
  <c r="N794" i="7"/>
  <c r="N795" i="7"/>
  <c r="N796" i="7"/>
  <c r="N797" i="7"/>
  <c r="N798" i="7"/>
  <c r="N799" i="7"/>
  <c r="N800" i="7"/>
  <c r="N801" i="7"/>
  <c r="N802" i="7"/>
  <c r="N803" i="7"/>
  <c r="N804" i="7"/>
  <c r="N805" i="7"/>
  <c r="N806" i="7"/>
  <c r="N807" i="7"/>
  <c r="N808" i="7"/>
  <c r="N809" i="7"/>
  <c r="N810" i="7"/>
  <c r="N811" i="7"/>
  <c r="N812" i="7"/>
  <c r="N813" i="7"/>
  <c r="N814" i="7"/>
  <c r="N815" i="7"/>
  <c r="N816" i="7"/>
  <c r="N817" i="7"/>
  <c r="N818" i="7"/>
  <c r="N819" i="7"/>
  <c r="N820" i="7"/>
  <c r="N821" i="7"/>
  <c r="N822" i="7"/>
  <c r="N823" i="7"/>
  <c r="N824" i="7"/>
  <c r="N825" i="7"/>
  <c r="N826" i="7"/>
  <c r="N827" i="7"/>
  <c r="N828" i="7"/>
  <c r="N829" i="7"/>
  <c r="N830" i="7"/>
  <c r="N831" i="7"/>
  <c r="N832" i="7"/>
  <c r="N833" i="7"/>
  <c r="N834" i="7"/>
  <c r="N835" i="7"/>
  <c r="N836" i="7"/>
  <c r="N837" i="7"/>
  <c r="N838" i="7"/>
  <c r="N839" i="7"/>
  <c r="N840" i="7"/>
  <c r="N841" i="7"/>
  <c r="N842" i="7"/>
  <c r="N843" i="7"/>
  <c r="N844" i="7"/>
  <c r="N845" i="7"/>
  <c r="N846" i="7"/>
  <c r="N847" i="7"/>
  <c r="N848" i="7"/>
  <c r="N849" i="7"/>
  <c r="N850" i="7"/>
  <c r="N851" i="7"/>
  <c r="N852" i="7"/>
  <c r="N853" i="7"/>
  <c r="N854" i="7"/>
  <c r="N855" i="7"/>
  <c r="N856" i="7"/>
  <c r="N857" i="7"/>
  <c r="N858" i="7"/>
  <c r="N859" i="7"/>
  <c r="N860" i="7"/>
  <c r="N861" i="7"/>
  <c r="N862" i="7"/>
  <c r="N863" i="7"/>
  <c r="N864" i="7"/>
  <c r="N865" i="7"/>
  <c r="N866" i="7"/>
  <c r="N867" i="7"/>
  <c r="N868" i="7"/>
  <c r="N869" i="7"/>
  <c r="N870" i="7"/>
  <c r="N871" i="7"/>
  <c r="N872" i="7"/>
  <c r="N873" i="7"/>
  <c r="N874" i="7"/>
  <c r="N875" i="7"/>
  <c r="N876" i="7"/>
  <c r="N877" i="7"/>
  <c r="N878" i="7"/>
  <c r="N879" i="7"/>
  <c r="N880" i="7"/>
  <c r="N881" i="7"/>
  <c r="N882" i="7"/>
  <c r="N883" i="7"/>
  <c r="N884" i="7"/>
  <c r="N885" i="7"/>
  <c r="N886" i="7"/>
  <c r="N887" i="7"/>
  <c r="N888" i="7"/>
  <c r="N889" i="7"/>
  <c r="N890" i="7"/>
  <c r="N891" i="7"/>
  <c r="N892" i="7"/>
  <c r="N893" i="7"/>
  <c r="N894" i="7"/>
  <c r="N895" i="7"/>
  <c r="N896" i="7"/>
  <c r="N897" i="7"/>
  <c r="N898" i="7"/>
  <c r="N899" i="7"/>
  <c r="N900" i="7"/>
  <c r="N901" i="7"/>
  <c r="N902" i="7"/>
  <c r="N903" i="7"/>
  <c r="N904" i="7"/>
  <c r="N905" i="7"/>
  <c r="N906" i="7"/>
  <c r="N907" i="7"/>
  <c r="N908" i="7"/>
  <c r="N909" i="7"/>
  <c r="N910" i="7"/>
  <c r="N911" i="7"/>
  <c r="N912" i="7"/>
  <c r="N913" i="7"/>
  <c r="N914" i="7"/>
  <c r="N915" i="7"/>
  <c r="N916" i="7"/>
  <c r="N917" i="7"/>
  <c r="N918" i="7"/>
  <c r="N919" i="7"/>
  <c r="N920" i="7"/>
  <c r="N921" i="7"/>
  <c r="N922" i="7"/>
  <c r="N923" i="7"/>
  <c r="N924" i="7"/>
  <c r="N925" i="7"/>
  <c r="N926" i="7"/>
  <c r="N927" i="7"/>
  <c r="N928" i="7"/>
  <c r="N929" i="7"/>
  <c r="N930" i="7"/>
  <c r="N931" i="7"/>
  <c r="N932" i="7"/>
  <c r="N933" i="7"/>
  <c r="N934" i="7"/>
  <c r="N935" i="7"/>
  <c r="N936" i="7"/>
  <c r="N937" i="7"/>
  <c r="N938" i="7"/>
  <c r="N939" i="7"/>
  <c r="N940" i="7"/>
  <c r="N941" i="7"/>
  <c r="N942" i="7"/>
  <c r="N943" i="7"/>
  <c r="N944" i="7"/>
  <c r="N945" i="7"/>
  <c r="N946" i="7"/>
  <c r="N947" i="7"/>
  <c r="N948" i="7"/>
  <c r="N949" i="7"/>
  <c r="N950" i="7"/>
  <c r="N951" i="7"/>
  <c r="N952" i="7"/>
  <c r="N953" i="7"/>
  <c r="N954" i="7"/>
  <c r="N955" i="7"/>
  <c r="N956" i="7"/>
  <c r="N957" i="7"/>
  <c r="N958" i="7"/>
  <c r="N959" i="7"/>
  <c r="N960" i="7"/>
  <c r="N961" i="7"/>
  <c r="N962" i="7"/>
  <c r="N963" i="7"/>
  <c r="N964" i="7"/>
  <c r="N965" i="7"/>
  <c r="N966" i="7"/>
  <c r="N967" i="7"/>
  <c r="N968" i="7"/>
  <c r="N969" i="7"/>
  <c r="N970" i="7"/>
  <c r="N971" i="7"/>
  <c r="N972" i="7"/>
  <c r="N973" i="7"/>
  <c r="N974" i="7"/>
  <c r="N975" i="7"/>
  <c r="N976" i="7"/>
  <c r="N977" i="7"/>
  <c r="N978" i="7"/>
  <c r="N979" i="7"/>
  <c r="N980" i="7"/>
  <c r="N981" i="7"/>
  <c r="N982" i="7"/>
  <c r="N983" i="7"/>
  <c r="N984" i="7"/>
  <c r="N985" i="7"/>
  <c r="N986" i="7"/>
  <c r="N987" i="7"/>
  <c r="N988" i="7"/>
  <c r="N989" i="7"/>
  <c r="N990" i="7"/>
  <c r="N991" i="7"/>
  <c r="N992" i="7"/>
  <c r="N993" i="7"/>
  <c r="N994" i="7"/>
  <c r="N995" i="7"/>
  <c r="N996" i="7"/>
  <c r="N997" i="7"/>
  <c r="N998" i="7"/>
  <c r="N999" i="7"/>
  <c r="N1000" i="7"/>
  <c r="N1001" i="7"/>
  <c r="N1002" i="7"/>
  <c r="N1003" i="7"/>
  <c r="N1004" i="7"/>
  <c r="N1005" i="7"/>
  <c r="N1006" i="7"/>
  <c r="N1007" i="7"/>
  <c r="N1008" i="7"/>
  <c r="N1009" i="7"/>
  <c r="N1010" i="7"/>
  <c r="N1011" i="7"/>
  <c r="N1012" i="7"/>
  <c r="N1013" i="7"/>
  <c r="N1014" i="7"/>
  <c r="N1015" i="7"/>
  <c r="N1016" i="7"/>
  <c r="N1017" i="7"/>
  <c r="N1018" i="7"/>
  <c r="N1019" i="7"/>
  <c r="N1020" i="7"/>
  <c r="N1021" i="7"/>
  <c r="N1022" i="7"/>
  <c r="N1023" i="7"/>
  <c r="N1024" i="7"/>
  <c r="N1025" i="7"/>
  <c r="N1026" i="7"/>
  <c r="N1027" i="7"/>
  <c r="N1028" i="7"/>
  <c r="N1029" i="7"/>
  <c r="N1030" i="7"/>
  <c r="N1031" i="7"/>
  <c r="N1032" i="7"/>
  <c r="N1033" i="7"/>
  <c r="N1034" i="7"/>
  <c r="N1035" i="7"/>
  <c r="N1036" i="7"/>
  <c r="N1037" i="7"/>
  <c r="N1038" i="7"/>
  <c r="N1039" i="7"/>
  <c r="N1040" i="7"/>
  <c r="N1041" i="7"/>
  <c r="N1042" i="7"/>
  <c r="N1043" i="7"/>
  <c r="N1044" i="7"/>
  <c r="N1045" i="7"/>
  <c r="N1046" i="7"/>
  <c r="N1047" i="7"/>
  <c r="N1048" i="7"/>
  <c r="N1049" i="7"/>
  <c r="N1050" i="7"/>
  <c r="N1051" i="7"/>
  <c r="N1052" i="7"/>
  <c r="N1053" i="7"/>
  <c r="N1054" i="7"/>
  <c r="N1055" i="7"/>
  <c r="N1056" i="7"/>
  <c r="N1057" i="7"/>
  <c r="N1058" i="7"/>
  <c r="N1059" i="7"/>
  <c r="N1060" i="7"/>
  <c r="N1061" i="7"/>
  <c r="N1062" i="7"/>
  <c r="N1063" i="7"/>
  <c r="N1064" i="7"/>
  <c r="N1065" i="7"/>
  <c r="N1066" i="7"/>
  <c r="N1067" i="7"/>
  <c r="N1068" i="7"/>
  <c r="N1069" i="7"/>
  <c r="N1070" i="7"/>
  <c r="N1071" i="7"/>
  <c r="N1072" i="7"/>
  <c r="N1073" i="7"/>
  <c r="N1074" i="7"/>
  <c r="N1075" i="7"/>
  <c r="N1076" i="7"/>
  <c r="N1077" i="7"/>
  <c r="N1078" i="7"/>
  <c r="N1079" i="7"/>
  <c r="N1080" i="7"/>
  <c r="N1081" i="7"/>
  <c r="N1082" i="7"/>
  <c r="N1083" i="7"/>
  <c r="N1084" i="7"/>
  <c r="N1085" i="7"/>
  <c r="N1086" i="7"/>
  <c r="N1087" i="7"/>
  <c r="N1088" i="7"/>
  <c r="N1089" i="7"/>
  <c r="N1090" i="7"/>
  <c r="N1091" i="7"/>
  <c r="N1092" i="7"/>
  <c r="N1093" i="7"/>
  <c r="N1094" i="7"/>
  <c r="N1095" i="7"/>
  <c r="N1096" i="7"/>
  <c r="N1097" i="7"/>
  <c r="N1098" i="7"/>
  <c r="N1099" i="7"/>
  <c r="N1100" i="7"/>
  <c r="N1101" i="7"/>
  <c r="N1102" i="7"/>
  <c r="N1103" i="7"/>
  <c r="N1104" i="7"/>
  <c r="N1105" i="7"/>
  <c r="N1106" i="7"/>
  <c r="N1107" i="7"/>
  <c r="N1108" i="7"/>
  <c r="N1109" i="7"/>
  <c r="N1110" i="7"/>
  <c r="N1111" i="7"/>
  <c r="N1112" i="7"/>
  <c r="N1113" i="7"/>
  <c r="N1114" i="7"/>
  <c r="N1115" i="7"/>
  <c r="N1116" i="7"/>
  <c r="N1117" i="7"/>
  <c r="N1118" i="7"/>
  <c r="N1119" i="7"/>
  <c r="N1120" i="7"/>
  <c r="N1121" i="7"/>
  <c r="N1122" i="7"/>
  <c r="N1123" i="7"/>
  <c r="N1124" i="7"/>
  <c r="N1125" i="7"/>
  <c r="N1126" i="7"/>
  <c r="N1127" i="7"/>
  <c r="N1128" i="7"/>
  <c r="N1129" i="7"/>
  <c r="N1130" i="7"/>
  <c r="N1131" i="7"/>
  <c r="N1132" i="7"/>
  <c r="N1133" i="7"/>
  <c r="N1134" i="7"/>
  <c r="N1135" i="7"/>
  <c r="N1136" i="7"/>
  <c r="N1137" i="7"/>
  <c r="N1138" i="7"/>
  <c r="N1139" i="7"/>
  <c r="N1140" i="7"/>
  <c r="N1141" i="7"/>
  <c r="N1142" i="7"/>
  <c r="N1143" i="7"/>
  <c r="N1144" i="7"/>
  <c r="N1145" i="7"/>
  <c r="N1146" i="7"/>
  <c r="N1147" i="7"/>
  <c r="N1148" i="7"/>
  <c r="N1149" i="7"/>
  <c r="N1150" i="7"/>
  <c r="N1151" i="7"/>
  <c r="N1152" i="7"/>
  <c r="N1153" i="7"/>
  <c r="N1154" i="7"/>
  <c r="N1155" i="7"/>
  <c r="N1156" i="7"/>
  <c r="N1157" i="7"/>
  <c r="N1158" i="7"/>
  <c r="N1159" i="7"/>
  <c r="N1160" i="7"/>
  <c r="N1161" i="7"/>
  <c r="N1162" i="7"/>
  <c r="N1163" i="7"/>
  <c r="N1164" i="7"/>
  <c r="N1165" i="7"/>
  <c r="N1166" i="7"/>
  <c r="N1167" i="7"/>
  <c r="N1168" i="7"/>
  <c r="N1169" i="7"/>
  <c r="N1170" i="7"/>
  <c r="N1171" i="7"/>
  <c r="N1172" i="7"/>
  <c r="N1173" i="7"/>
  <c r="N1174" i="7"/>
  <c r="N1175" i="7"/>
  <c r="N1176" i="7"/>
  <c r="N1177" i="7"/>
  <c r="N1178" i="7"/>
  <c r="N1179" i="7"/>
  <c r="N1180" i="7"/>
  <c r="N1181" i="7"/>
  <c r="N1182" i="7"/>
  <c r="N1183" i="7"/>
  <c r="N1184" i="7"/>
  <c r="N1185" i="7"/>
  <c r="N1186" i="7"/>
  <c r="N1187" i="7"/>
  <c r="N1188" i="7"/>
  <c r="N1189" i="7"/>
  <c r="N1190" i="7"/>
  <c r="N1191" i="7"/>
  <c r="N1192" i="7"/>
  <c r="N1193" i="7"/>
  <c r="N1194" i="7"/>
  <c r="N1195" i="7"/>
  <c r="N1196" i="7"/>
  <c r="N1197" i="7"/>
  <c r="N1198" i="7"/>
  <c r="N1199" i="7"/>
  <c r="N1200" i="7"/>
  <c r="N1201" i="7"/>
  <c r="N1202" i="7"/>
  <c r="N1203" i="7"/>
  <c r="N1204" i="7"/>
  <c r="N1205" i="7"/>
  <c r="N1206" i="7"/>
  <c r="N1207" i="7"/>
  <c r="N1208" i="7"/>
  <c r="N1209" i="7"/>
  <c r="N1210" i="7"/>
  <c r="N1211" i="7"/>
  <c r="N1212" i="7"/>
  <c r="N1213" i="7"/>
  <c r="N1214" i="7"/>
  <c r="N1215" i="7"/>
  <c r="N1216" i="7"/>
  <c r="N1217" i="7"/>
  <c r="N1218" i="7"/>
  <c r="N1219" i="7"/>
  <c r="N1220" i="7"/>
  <c r="N1221" i="7"/>
  <c r="N1222" i="7"/>
  <c r="N1223" i="7"/>
  <c r="N1224" i="7"/>
  <c r="N1225" i="7"/>
  <c r="N1226" i="7"/>
  <c r="N1227" i="7"/>
  <c r="N1228" i="7"/>
  <c r="N1229" i="7"/>
  <c r="N1230" i="7"/>
  <c r="N1231" i="7"/>
  <c r="N1232" i="7"/>
  <c r="N1233" i="7"/>
  <c r="N1234" i="7"/>
  <c r="N1235" i="7"/>
  <c r="N1236" i="7"/>
  <c r="N1237" i="7"/>
  <c r="N1238" i="7"/>
  <c r="N1239" i="7"/>
  <c r="N1240" i="7"/>
  <c r="N1241" i="7"/>
  <c r="N1242" i="7"/>
  <c r="N1243" i="7"/>
  <c r="N1244" i="7"/>
  <c r="N1245" i="7"/>
  <c r="N1246" i="7"/>
  <c r="N1247" i="7"/>
  <c r="N1248" i="7"/>
  <c r="N1249" i="7"/>
  <c r="N1250" i="7"/>
  <c r="N1251" i="7"/>
  <c r="N1252" i="7"/>
  <c r="N1253" i="7"/>
  <c r="N1254" i="7"/>
  <c r="N1255" i="7"/>
  <c r="N1256" i="7"/>
  <c r="N1257" i="7"/>
  <c r="N1258" i="7"/>
  <c r="N1259" i="7"/>
  <c r="N1260" i="7"/>
  <c r="N1261" i="7"/>
  <c r="N1262" i="7"/>
  <c r="N1263" i="7"/>
  <c r="N1264" i="7"/>
  <c r="N1265" i="7"/>
  <c r="N1266" i="7"/>
  <c r="N1267" i="7"/>
  <c r="N1268" i="7"/>
  <c r="N1269" i="7"/>
  <c r="N1270" i="7"/>
  <c r="N1271" i="7"/>
  <c r="N1272" i="7"/>
  <c r="N1273" i="7"/>
  <c r="N1274" i="7"/>
  <c r="N1275" i="7"/>
  <c r="N1276" i="7"/>
  <c r="N1277" i="7"/>
  <c r="N1278" i="7"/>
  <c r="N1279" i="7"/>
  <c r="N1280" i="7"/>
  <c r="N1281" i="7"/>
  <c r="N1282" i="7"/>
  <c r="N1283" i="7"/>
  <c r="N1284" i="7"/>
  <c r="N1285" i="7"/>
  <c r="N1286" i="7"/>
  <c r="N1287" i="7"/>
  <c r="N1288" i="7"/>
  <c r="N1289" i="7"/>
  <c r="N1290" i="7"/>
  <c r="N1291" i="7"/>
  <c r="N1292" i="7"/>
  <c r="N1293" i="7"/>
  <c r="N1294" i="7"/>
  <c r="N1295" i="7"/>
  <c r="N1296" i="7"/>
  <c r="N1297" i="7"/>
  <c r="N1298" i="7"/>
  <c r="N1299" i="7"/>
  <c r="N1300" i="7"/>
  <c r="N1301" i="7"/>
  <c r="N1302" i="7"/>
  <c r="N1303" i="7"/>
  <c r="N1304" i="7"/>
  <c r="N1305" i="7"/>
  <c r="N1306" i="7"/>
  <c r="N1307" i="7"/>
  <c r="N1308" i="7"/>
  <c r="N1309" i="7"/>
  <c r="N1310" i="7"/>
  <c r="N1311" i="7"/>
  <c r="N1312" i="7"/>
  <c r="N1313" i="7"/>
  <c r="N1314" i="7"/>
  <c r="N1315" i="7"/>
  <c r="N1316" i="7"/>
  <c r="N1317" i="7"/>
  <c r="N1318" i="7"/>
  <c r="N1319" i="7"/>
  <c r="N1320" i="7"/>
  <c r="N1321" i="7"/>
  <c r="N1322" i="7"/>
  <c r="N1323" i="7"/>
  <c r="N1324" i="7"/>
  <c r="N1325" i="7"/>
  <c r="N1326" i="7"/>
  <c r="N1327" i="7"/>
  <c r="N1328" i="7"/>
  <c r="N1329" i="7"/>
  <c r="N1330" i="7"/>
  <c r="N1331" i="7"/>
  <c r="N1332" i="7"/>
  <c r="N1333" i="7"/>
  <c r="N1334" i="7"/>
  <c r="N1335" i="7"/>
  <c r="N1336" i="7"/>
  <c r="N1337" i="7"/>
  <c r="N1338" i="7"/>
  <c r="N1339" i="7"/>
  <c r="N1340" i="7"/>
  <c r="N1341" i="7"/>
  <c r="N1342" i="7"/>
  <c r="N1343" i="7"/>
  <c r="N1344" i="7"/>
  <c r="N1345" i="7"/>
  <c r="N1346" i="7"/>
  <c r="N1347" i="7"/>
  <c r="N1348" i="7"/>
  <c r="N1349" i="7"/>
  <c r="N1350" i="7"/>
  <c r="N1351" i="7"/>
  <c r="N1352" i="7"/>
  <c r="N1353" i="7"/>
  <c r="N1354" i="7"/>
  <c r="N1355" i="7"/>
  <c r="N1356" i="7"/>
  <c r="N1357" i="7"/>
  <c r="N1358" i="7"/>
  <c r="N1359" i="7"/>
  <c r="N1360" i="7"/>
  <c r="N1361" i="7"/>
  <c r="N1362" i="7"/>
  <c r="N1363" i="7"/>
  <c r="N1364" i="7"/>
  <c r="N1365" i="7"/>
  <c r="N1366" i="7"/>
  <c r="N1367" i="7"/>
  <c r="N1368" i="7"/>
  <c r="N1369" i="7"/>
  <c r="N1370" i="7"/>
  <c r="N1371" i="7"/>
  <c r="N1372" i="7"/>
  <c r="N1373" i="7"/>
  <c r="N1374" i="7"/>
  <c r="N1375" i="7"/>
  <c r="N1376" i="7"/>
  <c r="N1377" i="7"/>
  <c r="N1378" i="7"/>
  <c r="N1379" i="7"/>
  <c r="N1380" i="7"/>
  <c r="N1381" i="7"/>
  <c r="N1382" i="7"/>
  <c r="N1383" i="7"/>
  <c r="N1384" i="7"/>
  <c r="N1385" i="7"/>
  <c r="N1386" i="7"/>
  <c r="N1387" i="7"/>
  <c r="N1388" i="7"/>
  <c r="N1389" i="7"/>
  <c r="N1390" i="7"/>
  <c r="N1391" i="7"/>
  <c r="N1392" i="7"/>
  <c r="N1393" i="7"/>
  <c r="N1394" i="7"/>
  <c r="N1395" i="7"/>
  <c r="N1396" i="7"/>
  <c r="N1397" i="7"/>
  <c r="N1398" i="7"/>
  <c r="N1399" i="7"/>
  <c r="N1400" i="7"/>
  <c r="N1401" i="7"/>
  <c r="N1402" i="7"/>
  <c r="N1403" i="7"/>
  <c r="N1404" i="7"/>
  <c r="N1405" i="7"/>
  <c r="N1406" i="7"/>
  <c r="N1407" i="7"/>
  <c r="N1408" i="7"/>
  <c r="N1409" i="7"/>
  <c r="N1410" i="7"/>
  <c r="N1411" i="7"/>
  <c r="N1412" i="7"/>
  <c r="N1413" i="7"/>
  <c r="N1414" i="7"/>
  <c r="N1415" i="7"/>
  <c r="N1416" i="7"/>
  <c r="N1417" i="7"/>
  <c r="N1418" i="7"/>
  <c r="N1419" i="7"/>
  <c r="N1420" i="7"/>
  <c r="N1421" i="7"/>
  <c r="N1422" i="7"/>
  <c r="N1423" i="7"/>
  <c r="N1424" i="7"/>
  <c r="N1425" i="7"/>
  <c r="N1426" i="7"/>
  <c r="N1427" i="7"/>
  <c r="N1428" i="7"/>
  <c r="N1429" i="7"/>
  <c r="N1430" i="7"/>
  <c r="N1431" i="7"/>
  <c r="N1432" i="7"/>
  <c r="N1433" i="7"/>
  <c r="N1434" i="7"/>
  <c r="N1435" i="7"/>
  <c r="N1436" i="7"/>
  <c r="N1437" i="7"/>
  <c r="N1438" i="7"/>
  <c r="N1439" i="7"/>
  <c r="N1440" i="7"/>
  <c r="N1441" i="7"/>
  <c r="N1442" i="7"/>
  <c r="N1443" i="7"/>
  <c r="N1444" i="7"/>
  <c r="N1445" i="7"/>
  <c r="N1446" i="7"/>
  <c r="N1447" i="7"/>
  <c r="N1448" i="7"/>
  <c r="N1449" i="7"/>
  <c r="N1450" i="7"/>
  <c r="N1451" i="7"/>
  <c r="N1452" i="7"/>
  <c r="N1453" i="7"/>
  <c r="N1454" i="7"/>
  <c r="N1455" i="7"/>
  <c r="N1456" i="7"/>
  <c r="N1457" i="7"/>
  <c r="N1458" i="7"/>
  <c r="N1459" i="7"/>
  <c r="N1460" i="7"/>
  <c r="N1461" i="7"/>
  <c r="N1462" i="7"/>
  <c r="N1463" i="7"/>
  <c r="N1464" i="7"/>
  <c r="N1465" i="7"/>
  <c r="N1466" i="7"/>
  <c r="N1467" i="7"/>
  <c r="N1468" i="7"/>
  <c r="N1469" i="7"/>
  <c r="N1470" i="7"/>
  <c r="N1471" i="7"/>
  <c r="N1472" i="7"/>
  <c r="N1473" i="7"/>
  <c r="N1474" i="7"/>
  <c r="N1475" i="7"/>
  <c r="N1476" i="7"/>
  <c r="N1477" i="7"/>
  <c r="N1478" i="7"/>
  <c r="N1479" i="7"/>
  <c r="N1480" i="7"/>
  <c r="N1481" i="7"/>
  <c r="N1482" i="7"/>
  <c r="N1483" i="7"/>
  <c r="N1484" i="7"/>
  <c r="N1485" i="7"/>
  <c r="N1486" i="7"/>
  <c r="N1487" i="7"/>
  <c r="N1488" i="7"/>
  <c r="N1489" i="7"/>
  <c r="N1490" i="7"/>
  <c r="N1491" i="7"/>
  <c r="N1492" i="7"/>
  <c r="N1493" i="7"/>
  <c r="N1494" i="7"/>
  <c r="N1495" i="7"/>
  <c r="N1496" i="7"/>
  <c r="O2" i="7"/>
  <c r="M2" i="7" s="1"/>
  <c r="T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64" i="7"/>
  <c r="T65" i="7"/>
  <c r="T66" i="7"/>
  <c r="T67" i="7"/>
  <c r="T68" i="7"/>
  <c r="T69" i="7"/>
  <c r="T70" i="7"/>
  <c r="T71" i="7"/>
  <c r="T72" i="7"/>
  <c r="T73" i="7"/>
  <c r="T74" i="7"/>
  <c r="T75" i="7"/>
  <c r="T76" i="7"/>
  <c r="T77" i="7"/>
  <c r="T78" i="7"/>
  <c r="T79" i="7"/>
  <c r="T80" i="7"/>
  <c r="T81" i="7"/>
  <c r="T82" i="7"/>
  <c r="T83" i="7"/>
  <c r="T84" i="7"/>
  <c r="T85" i="7"/>
  <c r="T86" i="7"/>
  <c r="T87" i="7"/>
  <c r="T88" i="7"/>
  <c r="T89" i="7"/>
  <c r="T90" i="7"/>
  <c r="T91" i="7"/>
  <c r="T92" i="7"/>
  <c r="T93" i="7"/>
  <c r="T94" i="7"/>
  <c r="T95" i="7"/>
  <c r="T96" i="7"/>
  <c r="T97" i="7"/>
  <c r="T98" i="7"/>
  <c r="T99" i="7"/>
  <c r="T100" i="7"/>
  <c r="T101" i="7"/>
  <c r="T102" i="7"/>
  <c r="T103" i="7"/>
  <c r="T104" i="7"/>
  <c r="T105" i="7"/>
  <c r="T106" i="7"/>
  <c r="T107" i="7"/>
  <c r="T108" i="7"/>
  <c r="T109" i="7"/>
  <c r="T110" i="7"/>
  <c r="T111" i="7"/>
  <c r="T112" i="7"/>
  <c r="T113" i="7"/>
  <c r="T114" i="7"/>
  <c r="T115" i="7"/>
  <c r="T116" i="7"/>
  <c r="T117" i="7"/>
  <c r="T118" i="7"/>
  <c r="T119" i="7"/>
  <c r="T120" i="7"/>
  <c r="T121" i="7"/>
  <c r="T122" i="7"/>
  <c r="T123" i="7"/>
  <c r="T124" i="7"/>
  <c r="T125" i="7"/>
  <c r="T126" i="7"/>
  <c r="T127" i="7"/>
  <c r="T128" i="7"/>
  <c r="T129" i="7"/>
  <c r="T130" i="7"/>
  <c r="T131" i="7"/>
  <c r="T132" i="7"/>
  <c r="T133" i="7"/>
  <c r="T134" i="7"/>
  <c r="T135" i="7"/>
  <c r="T136" i="7"/>
  <c r="T137" i="7"/>
  <c r="T138" i="7"/>
  <c r="T139" i="7"/>
  <c r="T140" i="7"/>
  <c r="T141" i="7"/>
  <c r="T142" i="7"/>
  <c r="T143" i="7"/>
  <c r="T144" i="7"/>
  <c r="T145" i="7"/>
  <c r="T146" i="7"/>
  <c r="T147" i="7"/>
  <c r="T148" i="7"/>
  <c r="T149" i="7"/>
  <c r="T150" i="7"/>
  <c r="T151" i="7"/>
  <c r="T152" i="7"/>
  <c r="T153" i="7"/>
  <c r="T154" i="7"/>
  <c r="T155" i="7"/>
  <c r="T156" i="7"/>
  <c r="T157" i="7"/>
  <c r="T158" i="7"/>
  <c r="T159" i="7"/>
  <c r="T160" i="7"/>
  <c r="T161" i="7"/>
  <c r="T162" i="7"/>
  <c r="T163" i="7"/>
  <c r="T164" i="7"/>
  <c r="T165" i="7"/>
  <c r="T166" i="7"/>
  <c r="T167" i="7"/>
  <c r="T168" i="7"/>
  <c r="T169" i="7"/>
  <c r="T170" i="7"/>
  <c r="T171" i="7"/>
  <c r="T172" i="7"/>
  <c r="T173" i="7"/>
  <c r="T174" i="7"/>
  <c r="T175" i="7"/>
  <c r="T176" i="7"/>
  <c r="T177" i="7"/>
  <c r="T178" i="7"/>
  <c r="T179" i="7"/>
  <c r="T180" i="7"/>
  <c r="T181" i="7"/>
  <c r="T182" i="7"/>
  <c r="T183" i="7"/>
  <c r="T184" i="7"/>
  <c r="T185" i="7"/>
  <c r="T186" i="7"/>
  <c r="T187" i="7"/>
  <c r="T188" i="7"/>
  <c r="T189" i="7"/>
  <c r="T190" i="7"/>
  <c r="T191" i="7"/>
  <c r="T192" i="7"/>
  <c r="T193" i="7"/>
  <c r="T194" i="7"/>
  <c r="T195" i="7"/>
  <c r="T196" i="7"/>
  <c r="T197" i="7"/>
  <c r="T198" i="7"/>
  <c r="T199" i="7"/>
  <c r="T200" i="7"/>
  <c r="T201" i="7"/>
  <c r="T202" i="7"/>
  <c r="T203" i="7"/>
  <c r="T204" i="7"/>
  <c r="T205" i="7"/>
  <c r="T206" i="7"/>
  <c r="T207" i="7"/>
  <c r="T208" i="7"/>
  <c r="T209" i="7"/>
  <c r="T210" i="7"/>
  <c r="T211" i="7"/>
  <c r="T212" i="7"/>
  <c r="T213" i="7"/>
  <c r="T214" i="7"/>
  <c r="T215" i="7"/>
  <c r="T216" i="7"/>
  <c r="T217" i="7"/>
  <c r="T218" i="7"/>
  <c r="T219" i="7"/>
  <c r="T220" i="7"/>
  <c r="T221" i="7"/>
  <c r="T222" i="7"/>
  <c r="T223" i="7"/>
  <c r="T224" i="7"/>
  <c r="T225" i="7"/>
  <c r="T226" i="7"/>
  <c r="T227" i="7"/>
  <c r="T228" i="7"/>
  <c r="T229" i="7"/>
  <c r="T230" i="7"/>
  <c r="T231" i="7"/>
  <c r="T232" i="7"/>
  <c r="T233" i="7"/>
  <c r="T234" i="7"/>
  <c r="T235" i="7"/>
  <c r="T236" i="7"/>
  <c r="T237" i="7"/>
  <c r="T238" i="7"/>
  <c r="T239" i="7"/>
  <c r="T240" i="7"/>
  <c r="T241" i="7"/>
  <c r="T242" i="7"/>
  <c r="T243" i="7"/>
  <c r="T244" i="7"/>
  <c r="T245" i="7"/>
  <c r="T246" i="7"/>
  <c r="T247" i="7"/>
  <c r="T248" i="7"/>
  <c r="T249" i="7"/>
  <c r="T250" i="7"/>
  <c r="T251" i="7"/>
  <c r="T252" i="7"/>
  <c r="T253" i="7"/>
  <c r="T254" i="7"/>
  <c r="T255" i="7"/>
  <c r="T256" i="7"/>
  <c r="T257" i="7"/>
  <c r="T258" i="7"/>
  <c r="T259" i="7"/>
  <c r="T260" i="7"/>
  <c r="T261" i="7"/>
  <c r="T262" i="7"/>
  <c r="T263" i="7"/>
  <c r="T264" i="7"/>
  <c r="T265" i="7"/>
  <c r="T266" i="7"/>
  <c r="T267" i="7"/>
  <c r="T268" i="7"/>
  <c r="T269" i="7"/>
  <c r="T270" i="7"/>
  <c r="T271" i="7"/>
  <c r="T272" i="7"/>
  <c r="T273" i="7"/>
  <c r="T274" i="7"/>
  <c r="T275" i="7"/>
  <c r="T276" i="7"/>
  <c r="T277" i="7"/>
  <c r="T278" i="7"/>
  <c r="T279" i="7"/>
  <c r="T280" i="7"/>
  <c r="T281" i="7"/>
  <c r="T282" i="7"/>
  <c r="T283" i="7"/>
  <c r="T284" i="7"/>
  <c r="T285" i="7"/>
  <c r="T286" i="7"/>
  <c r="T287" i="7"/>
  <c r="T288" i="7"/>
  <c r="T289" i="7"/>
  <c r="T290" i="7"/>
  <c r="T291" i="7"/>
  <c r="T292" i="7"/>
  <c r="T293" i="7"/>
  <c r="T294" i="7"/>
  <c r="T295" i="7"/>
  <c r="T296" i="7"/>
  <c r="T297" i="7"/>
  <c r="T298" i="7"/>
  <c r="T299" i="7"/>
  <c r="T300" i="7"/>
  <c r="T301" i="7"/>
  <c r="T302" i="7"/>
  <c r="T303" i="7"/>
  <c r="T304" i="7"/>
  <c r="T305" i="7"/>
  <c r="T306" i="7"/>
  <c r="T307" i="7"/>
  <c r="T308" i="7"/>
  <c r="T309" i="7"/>
  <c r="T310" i="7"/>
  <c r="T311" i="7"/>
  <c r="T312" i="7"/>
  <c r="T313" i="7"/>
  <c r="T314" i="7"/>
  <c r="T315" i="7"/>
  <c r="T316" i="7"/>
  <c r="T317" i="7"/>
  <c r="T318" i="7"/>
  <c r="T319" i="7"/>
  <c r="T320" i="7"/>
  <c r="T321" i="7"/>
  <c r="T322" i="7"/>
  <c r="T323" i="7"/>
  <c r="T324" i="7"/>
  <c r="T325" i="7"/>
  <c r="T326" i="7"/>
  <c r="T327" i="7"/>
  <c r="T328" i="7"/>
  <c r="T329" i="7"/>
  <c r="T330" i="7"/>
  <c r="T331" i="7"/>
  <c r="T332" i="7"/>
  <c r="T333" i="7"/>
  <c r="T334" i="7"/>
  <c r="T335" i="7"/>
  <c r="T336" i="7"/>
  <c r="T337" i="7"/>
  <c r="T338" i="7"/>
  <c r="T339" i="7"/>
  <c r="T340" i="7"/>
  <c r="T341" i="7"/>
  <c r="T342" i="7"/>
  <c r="T343" i="7"/>
  <c r="T344" i="7"/>
  <c r="T345" i="7"/>
  <c r="T346" i="7"/>
  <c r="T347" i="7"/>
  <c r="T348" i="7"/>
  <c r="T349" i="7"/>
  <c r="T350" i="7"/>
  <c r="T351" i="7"/>
  <c r="T352" i="7"/>
  <c r="T353" i="7"/>
  <c r="T354" i="7"/>
  <c r="T355" i="7"/>
  <c r="T356" i="7"/>
  <c r="T357" i="7"/>
  <c r="T358" i="7"/>
  <c r="T359" i="7"/>
  <c r="T360" i="7"/>
  <c r="T361" i="7"/>
  <c r="T362" i="7"/>
  <c r="T363" i="7"/>
  <c r="T364" i="7"/>
  <c r="T365" i="7"/>
  <c r="T366" i="7"/>
  <c r="T367" i="7"/>
  <c r="T368" i="7"/>
  <c r="T369" i="7"/>
  <c r="T370" i="7"/>
  <c r="T371" i="7"/>
  <c r="T372" i="7"/>
  <c r="T373" i="7"/>
  <c r="T374" i="7"/>
  <c r="T375" i="7"/>
  <c r="T376" i="7"/>
  <c r="T377" i="7"/>
  <c r="T378" i="7"/>
  <c r="T379" i="7"/>
  <c r="T380" i="7"/>
  <c r="T381" i="7"/>
  <c r="T382" i="7"/>
  <c r="T383" i="7"/>
  <c r="T384" i="7"/>
  <c r="T385" i="7"/>
  <c r="T386" i="7"/>
  <c r="T387" i="7"/>
  <c r="T388" i="7"/>
  <c r="T389" i="7"/>
  <c r="T390" i="7"/>
  <c r="T391" i="7"/>
  <c r="T392" i="7"/>
  <c r="T393" i="7"/>
  <c r="T394" i="7"/>
  <c r="T395" i="7"/>
  <c r="T396" i="7"/>
  <c r="T397" i="7"/>
  <c r="T398" i="7"/>
  <c r="T399" i="7"/>
  <c r="T400" i="7"/>
  <c r="T401" i="7"/>
  <c r="T402" i="7"/>
  <c r="T403" i="7"/>
  <c r="T404" i="7"/>
  <c r="T405" i="7"/>
  <c r="T406" i="7"/>
  <c r="T407" i="7"/>
  <c r="T408" i="7"/>
  <c r="T409" i="7"/>
  <c r="T410" i="7"/>
  <c r="T411" i="7"/>
  <c r="T412" i="7"/>
  <c r="T413" i="7"/>
  <c r="T414" i="7"/>
  <c r="T415" i="7"/>
  <c r="T416" i="7"/>
  <c r="T417" i="7"/>
  <c r="T418" i="7"/>
  <c r="T419" i="7"/>
  <c r="T420" i="7"/>
  <c r="T421" i="7"/>
  <c r="T422" i="7"/>
  <c r="T423" i="7"/>
  <c r="T424" i="7"/>
  <c r="T425" i="7"/>
  <c r="T426" i="7"/>
  <c r="T427" i="7"/>
  <c r="T428" i="7"/>
  <c r="T429" i="7"/>
  <c r="T430" i="7"/>
  <c r="T431" i="7"/>
  <c r="T432" i="7"/>
  <c r="T433" i="7"/>
  <c r="T434" i="7"/>
  <c r="T435" i="7"/>
  <c r="T436" i="7"/>
  <c r="T437" i="7"/>
  <c r="T438" i="7"/>
  <c r="T439" i="7"/>
  <c r="T440" i="7"/>
  <c r="T441" i="7"/>
  <c r="T442" i="7"/>
  <c r="T443" i="7"/>
  <c r="T444" i="7"/>
  <c r="T445" i="7"/>
  <c r="T446" i="7"/>
  <c r="T447" i="7"/>
  <c r="T448" i="7"/>
  <c r="T449" i="7"/>
  <c r="T450" i="7"/>
  <c r="T451" i="7"/>
  <c r="T452" i="7"/>
  <c r="T453" i="7"/>
  <c r="T454" i="7"/>
  <c r="T455" i="7"/>
  <c r="T456" i="7"/>
  <c r="T457" i="7"/>
  <c r="T458" i="7"/>
  <c r="T459" i="7"/>
  <c r="T460" i="7"/>
  <c r="T461" i="7"/>
  <c r="T462" i="7"/>
  <c r="T463" i="7"/>
  <c r="T464" i="7"/>
  <c r="T465" i="7"/>
  <c r="T466" i="7"/>
  <c r="T467" i="7"/>
  <c r="T468" i="7"/>
  <c r="T469" i="7"/>
  <c r="T470" i="7"/>
  <c r="T471" i="7"/>
  <c r="T472" i="7"/>
  <c r="T473" i="7"/>
  <c r="T474" i="7"/>
  <c r="T475" i="7"/>
  <c r="T476" i="7"/>
  <c r="T477" i="7"/>
  <c r="T478" i="7"/>
  <c r="T479" i="7"/>
  <c r="T480" i="7"/>
  <c r="T481" i="7"/>
  <c r="T482" i="7"/>
  <c r="T483" i="7"/>
  <c r="T484" i="7"/>
  <c r="T485" i="7"/>
  <c r="T486" i="7"/>
  <c r="T487" i="7"/>
  <c r="T488" i="7"/>
  <c r="T489" i="7"/>
  <c r="T490" i="7"/>
  <c r="T491" i="7"/>
  <c r="T492" i="7"/>
  <c r="T493" i="7"/>
  <c r="T494" i="7"/>
  <c r="T495" i="7"/>
  <c r="T496" i="7"/>
  <c r="T497" i="7"/>
  <c r="T498" i="7"/>
  <c r="T499" i="7"/>
  <c r="T500" i="7"/>
  <c r="T501" i="7"/>
  <c r="T502" i="7"/>
  <c r="T503" i="7"/>
  <c r="T504" i="7"/>
  <c r="T505" i="7"/>
  <c r="T506" i="7"/>
  <c r="T507" i="7"/>
  <c r="T508" i="7"/>
  <c r="T509" i="7"/>
  <c r="T510" i="7"/>
  <c r="T511" i="7"/>
  <c r="T512" i="7"/>
  <c r="T513" i="7"/>
  <c r="T514" i="7"/>
  <c r="T515" i="7"/>
  <c r="T516" i="7"/>
  <c r="T517" i="7"/>
  <c r="T518" i="7"/>
  <c r="T519" i="7"/>
  <c r="T520" i="7"/>
  <c r="T521" i="7"/>
  <c r="T522" i="7"/>
  <c r="T523" i="7"/>
  <c r="T524" i="7"/>
  <c r="T525" i="7"/>
  <c r="T526" i="7"/>
  <c r="T527" i="7"/>
  <c r="T528" i="7"/>
  <c r="T529" i="7"/>
  <c r="T530" i="7"/>
  <c r="T531" i="7"/>
  <c r="T532" i="7"/>
  <c r="T533" i="7"/>
  <c r="T534" i="7"/>
  <c r="T535" i="7"/>
  <c r="T536" i="7"/>
  <c r="T537" i="7"/>
  <c r="T538" i="7"/>
  <c r="T539" i="7"/>
  <c r="T540" i="7"/>
  <c r="T541" i="7"/>
  <c r="T542" i="7"/>
  <c r="T543" i="7"/>
  <c r="T544" i="7"/>
  <c r="T545" i="7"/>
  <c r="T546" i="7"/>
  <c r="T547" i="7"/>
  <c r="T548" i="7"/>
  <c r="T549" i="7"/>
  <c r="T550" i="7"/>
  <c r="T551" i="7"/>
  <c r="T552" i="7"/>
  <c r="T553" i="7"/>
  <c r="T554" i="7"/>
  <c r="T555" i="7"/>
  <c r="T556" i="7"/>
  <c r="T557" i="7"/>
  <c r="T558" i="7"/>
  <c r="T559" i="7"/>
  <c r="T560" i="7"/>
  <c r="T561" i="7"/>
  <c r="T562" i="7"/>
  <c r="T563" i="7"/>
  <c r="T564" i="7"/>
  <c r="T565" i="7"/>
  <c r="T566" i="7"/>
  <c r="T567" i="7"/>
  <c r="T568" i="7"/>
  <c r="T569" i="7"/>
  <c r="T570" i="7"/>
  <c r="T571" i="7"/>
  <c r="T572" i="7"/>
  <c r="T573" i="7"/>
  <c r="T574" i="7"/>
  <c r="T575" i="7"/>
  <c r="T576" i="7"/>
  <c r="T577" i="7"/>
  <c r="T578" i="7"/>
  <c r="T579" i="7"/>
  <c r="T580" i="7"/>
  <c r="T581" i="7"/>
  <c r="T582" i="7"/>
  <c r="T583" i="7"/>
  <c r="T584" i="7"/>
  <c r="T585" i="7"/>
  <c r="T586" i="7"/>
  <c r="T587" i="7"/>
  <c r="T588" i="7"/>
  <c r="T589" i="7"/>
  <c r="T590" i="7"/>
  <c r="T591" i="7"/>
  <c r="T592" i="7"/>
  <c r="T593" i="7"/>
  <c r="T594" i="7"/>
  <c r="T595" i="7"/>
  <c r="T596" i="7"/>
  <c r="T597" i="7"/>
  <c r="T598" i="7"/>
  <c r="T599" i="7"/>
  <c r="T600" i="7"/>
  <c r="T601" i="7"/>
  <c r="T602" i="7"/>
  <c r="T603" i="7"/>
  <c r="T604" i="7"/>
  <c r="T605" i="7"/>
  <c r="T606" i="7"/>
  <c r="T607" i="7"/>
  <c r="T608" i="7"/>
  <c r="T609" i="7"/>
  <c r="T610" i="7"/>
  <c r="T611" i="7"/>
  <c r="T612" i="7"/>
  <c r="T613" i="7"/>
  <c r="T614" i="7"/>
  <c r="T615" i="7"/>
  <c r="T616" i="7"/>
  <c r="T617" i="7"/>
  <c r="T618" i="7"/>
  <c r="T619" i="7"/>
  <c r="T620" i="7"/>
  <c r="T621" i="7"/>
  <c r="T622" i="7"/>
  <c r="T623" i="7"/>
  <c r="T624" i="7"/>
  <c r="T625" i="7"/>
  <c r="T626" i="7"/>
  <c r="T627" i="7"/>
  <c r="T628" i="7"/>
  <c r="T629" i="7"/>
  <c r="T630" i="7"/>
  <c r="T631" i="7"/>
  <c r="T632" i="7"/>
  <c r="T633" i="7"/>
  <c r="T634" i="7"/>
  <c r="T635" i="7"/>
  <c r="T636" i="7"/>
  <c r="T637" i="7"/>
  <c r="T638" i="7"/>
  <c r="T639" i="7"/>
  <c r="T640" i="7"/>
  <c r="T641" i="7"/>
  <c r="T642" i="7"/>
  <c r="T643" i="7"/>
  <c r="T644" i="7"/>
  <c r="T645" i="7"/>
  <c r="T646" i="7"/>
  <c r="T647" i="7"/>
  <c r="T648" i="7"/>
  <c r="T649" i="7"/>
  <c r="T650" i="7"/>
  <c r="T651" i="7"/>
  <c r="T652" i="7"/>
  <c r="T653" i="7"/>
  <c r="T654" i="7"/>
  <c r="T655" i="7"/>
  <c r="T656" i="7"/>
  <c r="T657" i="7"/>
  <c r="T658" i="7"/>
  <c r="T659" i="7"/>
  <c r="T660" i="7"/>
  <c r="T661" i="7"/>
  <c r="T662" i="7"/>
  <c r="T663" i="7"/>
  <c r="T664" i="7"/>
  <c r="T665" i="7"/>
  <c r="T666" i="7"/>
  <c r="T667" i="7"/>
  <c r="T668" i="7"/>
  <c r="T669" i="7"/>
  <c r="T670" i="7"/>
  <c r="T671" i="7"/>
  <c r="T672" i="7"/>
  <c r="T673" i="7"/>
  <c r="T674" i="7"/>
  <c r="T675" i="7"/>
  <c r="T676" i="7"/>
  <c r="T677" i="7"/>
  <c r="T678" i="7"/>
  <c r="T679" i="7"/>
  <c r="T680" i="7"/>
  <c r="T681" i="7"/>
  <c r="T682" i="7"/>
  <c r="T683" i="7"/>
  <c r="T684" i="7"/>
  <c r="T685" i="7"/>
  <c r="T686" i="7"/>
  <c r="T687" i="7"/>
  <c r="T688" i="7"/>
  <c r="T689" i="7"/>
  <c r="T690" i="7"/>
  <c r="T691" i="7"/>
  <c r="T692" i="7"/>
  <c r="T693" i="7"/>
  <c r="T694" i="7"/>
  <c r="T695" i="7"/>
  <c r="T696" i="7"/>
  <c r="T697" i="7"/>
  <c r="T698" i="7"/>
  <c r="T699" i="7"/>
  <c r="T700" i="7"/>
  <c r="T701" i="7"/>
  <c r="T702" i="7"/>
  <c r="T703" i="7"/>
  <c r="T704" i="7"/>
  <c r="T705" i="7"/>
  <c r="T706" i="7"/>
  <c r="T707" i="7"/>
  <c r="T708" i="7"/>
  <c r="T709" i="7"/>
  <c r="T710" i="7"/>
  <c r="T711" i="7"/>
  <c r="T712" i="7"/>
  <c r="T713" i="7"/>
  <c r="T714" i="7"/>
  <c r="T715" i="7"/>
  <c r="T716" i="7"/>
  <c r="T717" i="7"/>
  <c r="T718" i="7"/>
  <c r="T719" i="7"/>
  <c r="T720" i="7"/>
  <c r="T721" i="7"/>
  <c r="T722" i="7"/>
  <c r="T723" i="7"/>
  <c r="T724" i="7"/>
  <c r="T725" i="7"/>
  <c r="T726" i="7"/>
  <c r="T727" i="7"/>
  <c r="T728" i="7"/>
  <c r="T729" i="7"/>
  <c r="T730" i="7"/>
  <c r="T731" i="7"/>
  <c r="T732" i="7"/>
  <c r="T733" i="7"/>
  <c r="T734" i="7"/>
  <c r="T735" i="7"/>
  <c r="T736" i="7"/>
  <c r="T737" i="7"/>
  <c r="T738" i="7"/>
  <c r="T739" i="7"/>
  <c r="T740" i="7"/>
  <c r="T741" i="7"/>
  <c r="T742" i="7"/>
  <c r="T743" i="7"/>
  <c r="T744" i="7"/>
  <c r="T745" i="7"/>
  <c r="T746" i="7"/>
  <c r="T747" i="7"/>
  <c r="T748" i="7"/>
  <c r="T749" i="7"/>
  <c r="T750" i="7"/>
  <c r="T751" i="7"/>
  <c r="T752" i="7"/>
  <c r="T753" i="7"/>
  <c r="T754" i="7"/>
  <c r="T755" i="7"/>
  <c r="T756" i="7"/>
  <c r="T757" i="7"/>
  <c r="T758" i="7"/>
  <c r="T759" i="7"/>
  <c r="T760" i="7"/>
  <c r="T761" i="7"/>
  <c r="T762" i="7"/>
  <c r="T763" i="7"/>
  <c r="T764" i="7"/>
  <c r="T765" i="7"/>
  <c r="T766" i="7"/>
  <c r="T767" i="7"/>
  <c r="T768" i="7"/>
  <c r="T769" i="7"/>
  <c r="T770" i="7"/>
  <c r="T771" i="7"/>
  <c r="T772" i="7"/>
  <c r="T773" i="7"/>
  <c r="T774" i="7"/>
  <c r="T775" i="7"/>
  <c r="T776" i="7"/>
  <c r="T777" i="7"/>
  <c r="T778" i="7"/>
  <c r="T779" i="7"/>
  <c r="T780" i="7"/>
  <c r="T781" i="7"/>
  <c r="T782" i="7"/>
  <c r="T783" i="7"/>
  <c r="T784" i="7"/>
  <c r="T785" i="7"/>
  <c r="T786" i="7"/>
  <c r="T787" i="7"/>
  <c r="T788" i="7"/>
  <c r="T789" i="7"/>
  <c r="T790" i="7"/>
  <c r="T791" i="7"/>
  <c r="T792" i="7"/>
  <c r="T793" i="7"/>
  <c r="T794" i="7"/>
  <c r="T795" i="7"/>
  <c r="T796" i="7"/>
  <c r="T797" i="7"/>
  <c r="T798" i="7"/>
  <c r="T799" i="7"/>
  <c r="T800" i="7"/>
  <c r="T801" i="7"/>
  <c r="T802" i="7"/>
  <c r="T803" i="7"/>
  <c r="T804" i="7"/>
  <c r="T805" i="7"/>
  <c r="T806" i="7"/>
  <c r="T807" i="7"/>
  <c r="T808" i="7"/>
  <c r="T809" i="7"/>
  <c r="T810" i="7"/>
  <c r="T811" i="7"/>
  <c r="T812" i="7"/>
  <c r="T813" i="7"/>
  <c r="T814" i="7"/>
  <c r="T815" i="7"/>
  <c r="T816" i="7"/>
  <c r="T817" i="7"/>
  <c r="T818" i="7"/>
  <c r="T819" i="7"/>
  <c r="T820" i="7"/>
  <c r="T821" i="7"/>
  <c r="T822" i="7"/>
  <c r="T823" i="7"/>
  <c r="T824" i="7"/>
  <c r="T825" i="7"/>
  <c r="T826" i="7"/>
  <c r="T827" i="7"/>
  <c r="T828" i="7"/>
  <c r="T829" i="7"/>
  <c r="T830" i="7"/>
  <c r="T831" i="7"/>
  <c r="T832" i="7"/>
  <c r="T833" i="7"/>
  <c r="T834" i="7"/>
  <c r="T835" i="7"/>
  <c r="T836" i="7"/>
  <c r="T837" i="7"/>
  <c r="T838" i="7"/>
  <c r="T839" i="7"/>
  <c r="T840" i="7"/>
  <c r="T841" i="7"/>
  <c r="T842" i="7"/>
  <c r="T843" i="7"/>
  <c r="T844" i="7"/>
  <c r="T845" i="7"/>
  <c r="T846" i="7"/>
  <c r="T847" i="7"/>
  <c r="T848" i="7"/>
  <c r="T849" i="7"/>
  <c r="T850" i="7"/>
  <c r="T851" i="7"/>
  <c r="T852" i="7"/>
  <c r="T853" i="7"/>
  <c r="T854" i="7"/>
  <c r="T855" i="7"/>
  <c r="T856" i="7"/>
  <c r="T857" i="7"/>
  <c r="T858" i="7"/>
  <c r="T859" i="7"/>
  <c r="T860" i="7"/>
  <c r="T861" i="7"/>
  <c r="T862" i="7"/>
  <c r="T863" i="7"/>
  <c r="T864" i="7"/>
  <c r="T865" i="7"/>
  <c r="T866" i="7"/>
  <c r="T867" i="7"/>
  <c r="T868" i="7"/>
  <c r="T869" i="7"/>
  <c r="T870" i="7"/>
  <c r="T871" i="7"/>
  <c r="T872" i="7"/>
  <c r="T873" i="7"/>
  <c r="T874" i="7"/>
  <c r="T875" i="7"/>
  <c r="T876" i="7"/>
  <c r="T877" i="7"/>
  <c r="T878" i="7"/>
  <c r="T879" i="7"/>
  <c r="T880" i="7"/>
  <c r="T881" i="7"/>
  <c r="T882" i="7"/>
  <c r="T883" i="7"/>
  <c r="T884" i="7"/>
  <c r="T885" i="7"/>
  <c r="T886" i="7"/>
  <c r="T887" i="7"/>
  <c r="T888" i="7"/>
  <c r="T889" i="7"/>
  <c r="T890" i="7"/>
  <c r="T891" i="7"/>
  <c r="T892" i="7"/>
  <c r="T893" i="7"/>
  <c r="T894" i="7"/>
  <c r="T895" i="7"/>
  <c r="T896" i="7"/>
  <c r="T897" i="7"/>
  <c r="T898" i="7"/>
  <c r="T899" i="7"/>
  <c r="T900" i="7"/>
  <c r="T901" i="7"/>
  <c r="T902" i="7"/>
  <c r="T903" i="7"/>
  <c r="T904" i="7"/>
  <c r="T905" i="7"/>
  <c r="T906" i="7"/>
  <c r="T907" i="7"/>
  <c r="T908" i="7"/>
  <c r="T909" i="7"/>
  <c r="T910" i="7"/>
  <c r="T911" i="7"/>
  <c r="T912" i="7"/>
  <c r="T913" i="7"/>
  <c r="T914" i="7"/>
  <c r="T915" i="7"/>
  <c r="T916" i="7"/>
  <c r="T917" i="7"/>
  <c r="T918" i="7"/>
  <c r="T919" i="7"/>
  <c r="T920" i="7"/>
  <c r="T921" i="7"/>
  <c r="T922" i="7"/>
  <c r="T923" i="7"/>
  <c r="T924" i="7"/>
  <c r="T925" i="7"/>
  <c r="T926" i="7"/>
  <c r="T927" i="7"/>
  <c r="T928" i="7"/>
  <c r="T929" i="7"/>
  <c r="T930" i="7"/>
  <c r="T931" i="7"/>
  <c r="T932" i="7"/>
  <c r="T933" i="7"/>
  <c r="T934" i="7"/>
  <c r="T935" i="7"/>
  <c r="T936" i="7"/>
  <c r="T937" i="7"/>
  <c r="T938" i="7"/>
  <c r="T939" i="7"/>
  <c r="T940" i="7"/>
  <c r="T941" i="7"/>
  <c r="T942" i="7"/>
  <c r="T943" i="7"/>
  <c r="T944" i="7"/>
  <c r="T945" i="7"/>
  <c r="T946" i="7"/>
  <c r="T947" i="7"/>
  <c r="T948" i="7"/>
  <c r="T949" i="7"/>
  <c r="T950" i="7"/>
  <c r="T951" i="7"/>
  <c r="T952" i="7"/>
  <c r="T953" i="7"/>
  <c r="T954" i="7"/>
  <c r="T955" i="7"/>
  <c r="T956" i="7"/>
  <c r="T957" i="7"/>
  <c r="T958" i="7"/>
  <c r="T959" i="7"/>
  <c r="T960" i="7"/>
  <c r="T961" i="7"/>
  <c r="T962" i="7"/>
  <c r="T963" i="7"/>
  <c r="T964" i="7"/>
  <c r="T965" i="7"/>
  <c r="T966" i="7"/>
  <c r="T967" i="7"/>
  <c r="T968" i="7"/>
  <c r="T969" i="7"/>
  <c r="T970" i="7"/>
  <c r="T971" i="7"/>
  <c r="T972" i="7"/>
  <c r="T973" i="7"/>
  <c r="T974" i="7"/>
  <c r="T975" i="7"/>
  <c r="T976" i="7"/>
  <c r="T977" i="7"/>
  <c r="T978" i="7"/>
  <c r="T979" i="7"/>
  <c r="T980" i="7"/>
  <c r="T981" i="7"/>
  <c r="T982" i="7"/>
  <c r="T983" i="7"/>
  <c r="T984" i="7"/>
  <c r="T985" i="7"/>
  <c r="T986" i="7"/>
  <c r="T987" i="7"/>
  <c r="T988" i="7"/>
  <c r="T989" i="7"/>
  <c r="T990" i="7"/>
  <c r="T991" i="7"/>
  <c r="T992" i="7"/>
  <c r="T993" i="7"/>
  <c r="T994" i="7"/>
  <c r="T995" i="7"/>
  <c r="T996" i="7"/>
  <c r="T997" i="7"/>
  <c r="T998" i="7"/>
  <c r="T999" i="7"/>
  <c r="T1000" i="7"/>
  <c r="T1001" i="7"/>
  <c r="T1002" i="7"/>
  <c r="T1003" i="7"/>
  <c r="T1004" i="7"/>
  <c r="T1005" i="7"/>
  <c r="T1006" i="7"/>
  <c r="T1007" i="7"/>
  <c r="T1008" i="7"/>
  <c r="T1009" i="7"/>
  <c r="T1010" i="7"/>
  <c r="T1011" i="7"/>
  <c r="T1012" i="7"/>
  <c r="T1013" i="7"/>
  <c r="T1014" i="7"/>
  <c r="T1015" i="7"/>
  <c r="T1016" i="7"/>
  <c r="T1017" i="7"/>
  <c r="T1018" i="7"/>
  <c r="T1019" i="7"/>
  <c r="T1020" i="7"/>
  <c r="T1021" i="7"/>
  <c r="T1022" i="7"/>
  <c r="T1023" i="7"/>
  <c r="T1024" i="7"/>
  <c r="T1025" i="7"/>
  <c r="T1026" i="7"/>
  <c r="T1027" i="7"/>
  <c r="T1028" i="7"/>
  <c r="T1029" i="7"/>
  <c r="T1030" i="7"/>
  <c r="T1031" i="7"/>
  <c r="T1032" i="7"/>
  <c r="T1033" i="7"/>
  <c r="T1034" i="7"/>
  <c r="T1035" i="7"/>
  <c r="T1036" i="7"/>
  <c r="T1037" i="7"/>
  <c r="T1038" i="7"/>
  <c r="T1039" i="7"/>
  <c r="T1040" i="7"/>
  <c r="T1041" i="7"/>
  <c r="T1042" i="7"/>
  <c r="T1043" i="7"/>
  <c r="T1044" i="7"/>
  <c r="T1045" i="7"/>
  <c r="T1046" i="7"/>
  <c r="T1047" i="7"/>
  <c r="T1048" i="7"/>
  <c r="T1049" i="7"/>
  <c r="T1050" i="7"/>
  <c r="T1051" i="7"/>
  <c r="T1052" i="7"/>
  <c r="T1053" i="7"/>
  <c r="T1054" i="7"/>
  <c r="T1055" i="7"/>
  <c r="T1056" i="7"/>
  <c r="T1057" i="7"/>
  <c r="T1058" i="7"/>
  <c r="T1059" i="7"/>
  <c r="T1060" i="7"/>
  <c r="T1061" i="7"/>
  <c r="T1062" i="7"/>
  <c r="T1063" i="7"/>
  <c r="T1064" i="7"/>
  <c r="T1065" i="7"/>
  <c r="T1066" i="7"/>
  <c r="T1067" i="7"/>
  <c r="T1068" i="7"/>
  <c r="T1069" i="7"/>
  <c r="T1070" i="7"/>
  <c r="T1071" i="7"/>
  <c r="T1072" i="7"/>
  <c r="T1073" i="7"/>
  <c r="T1074" i="7"/>
  <c r="T1075" i="7"/>
  <c r="T1076" i="7"/>
  <c r="T1077" i="7"/>
  <c r="T1078" i="7"/>
  <c r="T1079" i="7"/>
  <c r="T1080" i="7"/>
  <c r="T1081" i="7"/>
  <c r="T1082" i="7"/>
  <c r="T1083" i="7"/>
  <c r="T1084" i="7"/>
  <c r="T1085" i="7"/>
  <c r="T1086" i="7"/>
  <c r="T1087" i="7"/>
  <c r="T1088" i="7"/>
  <c r="T1089" i="7"/>
  <c r="T1090" i="7"/>
  <c r="T1091" i="7"/>
  <c r="T1092" i="7"/>
  <c r="T1093" i="7"/>
  <c r="T1094" i="7"/>
  <c r="T1095" i="7"/>
  <c r="T1096" i="7"/>
  <c r="T1097" i="7"/>
  <c r="T1098" i="7"/>
  <c r="T1099" i="7"/>
  <c r="T1100" i="7"/>
  <c r="T1101" i="7"/>
  <c r="T1102" i="7"/>
  <c r="T1103" i="7"/>
  <c r="T1104" i="7"/>
  <c r="T1105" i="7"/>
  <c r="T1106" i="7"/>
  <c r="T1107" i="7"/>
  <c r="T1108" i="7"/>
  <c r="T1109" i="7"/>
  <c r="T1110" i="7"/>
  <c r="T1111" i="7"/>
  <c r="T1112" i="7"/>
  <c r="T1113" i="7"/>
  <c r="T1114" i="7"/>
  <c r="T1115" i="7"/>
  <c r="T1116" i="7"/>
  <c r="T1117" i="7"/>
  <c r="T1118" i="7"/>
  <c r="T1119" i="7"/>
  <c r="T1120" i="7"/>
  <c r="T1121" i="7"/>
  <c r="T1122" i="7"/>
  <c r="T1123" i="7"/>
  <c r="T1124" i="7"/>
  <c r="T1125" i="7"/>
  <c r="T1126" i="7"/>
  <c r="T1127" i="7"/>
  <c r="T1128" i="7"/>
  <c r="T1129" i="7"/>
  <c r="T1130" i="7"/>
  <c r="T1131" i="7"/>
  <c r="T1132" i="7"/>
  <c r="T1133" i="7"/>
  <c r="T1134" i="7"/>
  <c r="T1135" i="7"/>
  <c r="T1136" i="7"/>
  <c r="T1137" i="7"/>
  <c r="T1138" i="7"/>
  <c r="T1139" i="7"/>
  <c r="T1140" i="7"/>
  <c r="T1141" i="7"/>
  <c r="T1142" i="7"/>
  <c r="T1143" i="7"/>
  <c r="T1144" i="7"/>
  <c r="T1145" i="7"/>
  <c r="T1146" i="7"/>
  <c r="T1147" i="7"/>
  <c r="T1148" i="7"/>
  <c r="T1149" i="7"/>
  <c r="T1150" i="7"/>
  <c r="T1151" i="7"/>
  <c r="T1152" i="7"/>
  <c r="T1153" i="7"/>
  <c r="T1154" i="7"/>
  <c r="T1155" i="7"/>
  <c r="T1156" i="7"/>
  <c r="T1157" i="7"/>
  <c r="T1158" i="7"/>
  <c r="T1159" i="7"/>
  <c r="T1160" i="7"/>
  <c r="T1161" i="7"/>
  <c r="T1162" i="7"/>
  <c r="T1163" i="7"/>
  <c r="T1164" i="7"/>
  <c r="T1165" i="7"/>
  <c r="T1166" i="7"/>
  <c r="T1167" i="7"/>
  <c r="T1168" i="7"/>
  <c r="T1169" i="7"/>
  <c r="T1170" i="7"/>
  <c r="T1171" i="7"/>
  <c r="T1172" i="7"/>
  <c r="T1173" i="7"/>
  <c r="T1174" i="7"/>
  <c r="T1175" i="7"/>
  <c r="T1176" i="7"/>
  <c r="T1177" i="7"/>
  <c r="T1178" i="7"/>
  <c r="T1179" i="7"/>
  <c r="T1180" i="7"/>
  <c r="T1181" i="7"/>
  <c r="T1182" i="7"/>
  <c r="T1183" i="7"/>
  <c r="T1184" i="7"/>
  <c r="T1185" i="7"/>
  <c r="T1186" i="7"/>
  <c r="T1187" i="7"/>
  <c r="T1188" i="7"/>
  <c r="T1189" i="7"/>
  <c r="T1190" i="7"/>
  <c r="T1191" i="7"/>
  <c r="T1192" i="7"/>
  <c r="T1193" i="7"/>
  <c r="T1194" i="7"/>
  <c r="T1195" i="7"/>
  <c r="T1196" i="7"/>
  <c r="T1197" i="7"/>
  <c r="T1198" i="7"/>
  <c r="T1199" i="7"/>
  <c r="T1200" i="7"/>
  <c r="T1201" i="7"/>
  <c r="T1202" i="7"/>
  <c r="T1203" i="7"/>
  <c r="T1204" i="7"/>
  <c r="T1205" i="7"/>
  <c r="T1206" i="7"/>
  <c r="T1207" i="7"/>
  <c r="T1208" i="7"/>
  <c r="T1209" i="7"/>
  <c r="T1210" i="7"/>
  <c r="T1211" i="7"/>
  <c r="T1212" i="7"/>
  <c r="T1213" i="7"/>
  <c r="T1214" i="7"/>
  <c r="T1215" i="7"/>
  <c r="T1216" i="7"/>
  <c r="T1217" i="7"/>
  <c r="T1218" i="7"/>
  <c r="T1219" i="7"/>
  <c r="T1220" i="7"/>
  <c r="T1221" i="7"/>
  <c r="T1222" i="7"/>
  <c r="T1223" i="7"/>
  <c r="T1224" i="7"/>
  <c r="T1225" i="7"/>
  <c r="T1226" i="7"/>
  <c r="T1227" i="7"/>
  <c r="T1228" i="7"/>
  <c r="T1229" i="7"/>
  <c r="T1230" i="7"/>
  <c r="T1231" i="7"/>
  <c r="T1232" i="7"/>
  <c r="T1233" i="7"/>
  <c r="T1234" i="7"/>
  <c r="T1235" i="7"/>
  <c r="T1236" i="7"/>
  <c r="T1237" i="7"/>
  <c r="T1238" i="7"/>
  <c r="T1239" i="7"/>
  <c r="T1240" i="7"/>
  <c r="T1241" i="7"/>
  <c r="T1242" i="7"/>
  <c r="T1243" i="7"/>
  <c r="T1244" i="7"/>
  <c r="T1245" i="7"/>
  <c r="T1246" i="7"/>
  <c r="T1247" i="7"/>
  <c r="T1248" i="7"/>
  <c r="T1249" i="7"/>
  <c r="T1250" i="7"/>
  <c r="T1251" i="7"/>
  <c r="T1252" i="7"/>
  <c r="T1253" i="7"/>
  <c r="T1254" i="7"/>
  <c r="T1255" i="7"/>
  <c r="T1256" i="7"/>
  <c r="T1257" i="7"/>
  <c r="T1258" i="7"/>
  <c r="T1259" i="7"/>
  <c r="T1260" i="7"/>
  <c r="T1261" i="7"/>
  <c r="T1262" i="7"/>
  <c r="T1263" i="7"/>
  <c r="T1264" i="7"/>
  <c r="T1265" i="7"/>
  <c r="T1266" i="7"/>
  <c r="T1267" i="7"/>
  <c r="T1268" i="7"/>
  <c r="T1269" i="7"/>
  <c r="T1270" i="7"/>
  <c r="T1271" i="7"/>
  <c r="T1272" i="7"/>
  <c r="T1273" i="7"/>
  <c r="T1274" i="7"/>
  <c r="T1275" i="7"/>
  <c r="T1276" i="7"/>
  <c r="T1277" i="7"/>
  <c r="T1278" i="7"/>
  <c r="T1279" i="7"/>
  <c r="T1280" i="7"/>
  <c r="T1281" i="7"/>
  <c r="T1282" i="7"/>
  <c r="T1283" i="7"/>
  <c r="T1284" i="7"/>
  <c r="T1285" i="7"/>
  <c r="T1286" i="7"/>
  <c r="T1287" i="7"/>
  <c r="T1288" i="7"/>
  <c r="T1289" i="7"/>
  <c r="T1290" i="7"/>
  <c r="T1291" i="7"/>
  <c r="T1292" i="7"/>
  <c r="T1293" i="7"/>
  <c r="T1294" i="7"/>
  <c r="T1295" i="7"/>
  <c r="T1296" i="7"/>
  <c r="T1297" i="7"/>
  <c r="T1298" i="7"/>
  <c r="T1299" i="7"/>
  <c r="T1300" i="7"/>
  <c r="T1301" i="7"/>
  <c r="T1302" i="7"/>
  <c r="T1303" i="7"/>
  <c r="T1304" i="7"/>
  <c r="T1305" i="7"/>
  <c r="T1306" i="7"/>
  <c r="T1307" i="7"/>
  <c r="T1308" i="7"/>
  <c r="T1309" i="7"/>
  <c r="T1310" i="7"/>
  <c r="T1311" i="7"/>
  <c r="T1312" i="7"/>
  <c r="T1313" i="7"/>
  <c r="T1314" i="7"/>
  <c r="T1315" i="7"/>
  <c r="T1316" i="7"/>
  <c r="T1317" i="7"/>
  <c r="T1318" i="7"/>
  <c r="T1319" i="7"/>
  <c r="T1320" i="7"/>
  <c r="T1321" i="7"/>
  <c r="T1322" i="7"/>
  <c r="T1323" i="7"/>
  <c r="T1324" i="7"/>
  <c r="T1325" i="7"/>
  <c r="T1326" i="7"/>
  <c r="T1327" i="7"/>
  <c r="T1328" i="7"/>
  <c r="T1329" i="7"/>
  <c r="T1330" i="7"/>
  <c r="T1331" i="7"/>
  <c r="T1332" i="7"/>
  <c r="T1333" i="7"/>
  <c r="T1334" i="7"/>
  <c r="T1335" i="7"/>
  <c r="T1336" i="7"/>
  <c r="T1337" i="7"/>
  <c r="T1338" i="7"/>
  <c r="T1339" i="7"/>
  <c r="T1340" i="7"/>
  <c r="T1341" i="7"/>
  <c r="T1342" i="7"/>
  <c r="T1343" i="7"/>
  <c r="T1344" i="7"/>
  <c r="T1345" i="7"/>
  <c r="T1346" i="7"/>
  <c r="T1347" i="7"/>
  <c r="T1348" i="7"/>
  <c r="T1349" i="7"/>
  <c r="T1350" i="7"/>
  <c r="T1351" i="7"/>
  <c r="T1352" i="7"/>
  <c r="T1353" i="7"/>
  <c r="T1354" i="7"/>
  <c r="T1355" i="7"/>
  <c r="T1356" i="7"/>
  <c r="T1357" i="7"/>
  <c r="T1358" i="7"/>
  <c r="T1359" i="7"/>
  <c r="T1360" i="7"/>
  <c r="T1361" i="7"/>
  <c r="T1362" i="7"/>
  <c r="T1363" i="7"/>
  <c r="T1364" i="7"/>
  <c r="T1365" i="7"/>
  <c r="T1366" i="7"/>
  <c r="T1367" i="7"/>
  <c r="T1368" i="7"/>
  <c r="T1369" i="7"/>
  <c r="T1370" i="7"/>
  <c r="T1371" i="7"/>
  <c r="T1372" i="7"/>
  <c r="T1373" i="7"/>
  <c r="T1374" i="7"/>
  <c r="T1375" i="7"/>
  <c r="T1376" i="7"/>
  <c r="T1377" i="7"/>
  <c r="T1378" i="7"/>
  <c r="T1379" i="7"/>
  <c r="T1380" i="7"/>
  <c r="T1381" i="7"/>
  <c r="T1382" i="7"/>
  <c r="T1383" i="7"/>
  <c r="T1384" i="7"/>
  <c r="T1385" i="7"/>
  <c r="T1386" i="7"/>
  <c r="T1387" i="7"/>
  <c r="T1388" i="7"/>
  <c r="T1389" i="7"/>
  <c r="T1390" i="7"/>
  <c r="T1391" i="7"/>
  <c r="T1392" i="7"/>
  <c r="T1393" i="7"/>
  <c r="T1394" i="7"/>
  <c r="T1395" i="7"/>
  <c r="T1396" i="7"/>
  <c r="T1397" i="7"/>
  <c r="T1398" i="7"/>
  <c r="T1399" i="7"/>
  <c r="T1400" i="7"/>
  <c r="T1401" i="7"/>
  <c r="T1402" i="7"/>
  <c r="T1403" i="7"/>
  <c r="T1404" i="7"/>
  <c r="T1405" i="7"/>
  <c r="T1406" i="7"/>
  <c r="T1407" i="7"/>
  <c r="T1408" i="7"/>
  <c r="T1409" i="7"/>
  <c r="T1410" i="7"/>
  <c r="T1411" i="7"/>
  <c r="T1412" i="7"/>
  <c r="T1413" i="7"/>
  <c r="T1414" i="7"/>
  <c r="T1415" i="7"/>
  <c r="T1416" i="7"/>
  <c r="T1417" i="7"/>
  <c r="T1418" i="7"/>
  <c r="T1419" i="7"/>
  <c r="T1420" i="7"/>
  <c r="T1421" i="7"/>
  <c r="T1422" i="7"/>
  <c r="T1423" i="7"/>
  <c r="T1424" i="7"/>
  <c r="T1425" i="7"/>
  <c r="T1426" i="7"/>
  <c r="T1427" i="7"/>
  <c r="T1428" i="7"/>
  <c r="T1429" i="7"/>
  <c r="T1430" i="7"/>
  <c r="T1431" i="7"/>
  <c r="T1432" i="7"/>
  <c r="T1433" i="7"/>
  <c r="T1434" i="7"/>
  <c r="T1435" i="7"/>
  <c r="T1436" i="7"/>
  <c r="T1437" i="7"/>
  <c r="T1438" i="7"/>
  <c r="T1439" i="7"/>
  <c r="T1440" i="7"/>
  <c r="T1441" i="7"/>
  <c r="T1442" i="7"/>
  <c r="T1443" i="7"/>
  <c r="T1444" i="7"/>
  <c r="T1445" i="7"/>
  <c r="T1446" i="7"/>
  <c r="T1447" i="7"/>
  <c r="T1448" i="7"/>
  <c r="T1449" i="7"/>
  <c r="T1450" i="7"/>
  <c r="T1451" i="7"/>
  <c r="T1452" i="7"/>
  <c r="T1453" i="7"/>
  <c r="T1454" i="7"/>
  <c r="T1455" i="7"/>
  <c r="T1456" i="7"/>
  <c r="T1457" i="7"/>
  <c r="T1458" i="7"/>
  <c r="T1459" i="7"/>
  <c r="T1460" i="7"/>
  <c r="T1461" i="7"/>
  <c r="T1462" i="7"/>
  <c r="T1463" i="7"/>
  <c r="T1464" i="7"/>
  <c r="T1465" i="7"/>
  <c r="T1466" i="7"/>
  <c r="T1467" i="7"/>
  <c r="T1468" i="7"/>
  <c r="T1469" i="7"/>
  <c r="T1470" i="7"/>
  <c r="T1471" i="7"/>
  <c r="T1472" i="7"/>
  <c r="T1473" i="7"/>
  <c r="T1474" i="7"/>
  <c r="T1475" i="7"/>
  <c r="T1476" i="7"/>
  <c r="T1477" i="7"/>
  <c r="T1478" i="7"/>
  <c r="T1479" i="7"/>
  <c r="T1480" i="7"/>
  <c r="T1481" i="7"/>
  <c r="T1482" i="7"/>
  <c r="T1483" i="7"/>
  <c r="T1484" i="7"/>
  <c r="T1485" i="7"/>
  <c r="T1486" i="7"/>
  <c r="T1487" i="7"/>
  <c r="T1488" i="7"/>
  <c r="T1489" i="7"/>
  <c r="T1490" i="7"/>
  <c r="T1491" i="7"/>
  <c r="T1492" i="7"/>
  <c r="T1493" i="7"/>
  <c r="T1494" i="7"/>
  <c r="T1495" i="7"/>
  <c r="T1496" i="7"/>
  <c r="T2" i="7"/>
  <c r="I1348" i="16"/>
  <c r="D1348" i="16"/>
  <c r="C1348" i="16"/>
  <c r="A1348" i="16"/>
  <c r="I1347" i="16"/>
  <c r="D1347" i="16"/>
  <c r="C1347" i="16"/>
  <c r="A1347" i="16"/>
  <c r="I1346" i="16"/>
  <c r="D1346" i="16"/>
  <c r="C1346" i="16"/>
  <c r="A1346" i="16"/>
  <c r="I1345" i="16"/>
  <c r="D1345" i="16"/>
  <c r="C1345" i="16"/>
  <c r="A1345" i="16"/>
  <c r="I1344" i="16"/>
  <c r="D1344" i="16"/>
  <c r="C1344" i="16"/>
  <c r="A1344" i="16"/>
  <c r="I1343" i="16"/>
  <c r="D1343" i="16"/>
  <c r="C1343" i="16"/>
  <c r="A1343" i="16"/>
  <c r="I1342" i="16"/>
  <c r="D1342" i="16"/>
  <c r="C1342" i="16"/>
  <c r="A1342" i="16"/>
  <c r="I1341" i="16"/>
  <c r="D1341" i="16"/>
  <c r="C1341" i="16"/>
  <c r="A1341" i="16"/>
  <c r="I1340" i="16"/>
  <c r="D1340" i="16"/>
  <c r="C1340" i="16"/>
  <c r="A1340" i="16"/>
  <c r="I1339" i="16"/>
  <c r="D1339" i="16"/>
  <c r="C1339" i="16"/>
  <c r="A1339" i="16"/>
  <c r="I1338" i="16"/>
  <c r="D1338" i="16"/>
  <c r="C1338" i="16"/>
  <c r="A1338" i="16"/>
  <c r="I1337" i="16"/>
  <c r="D1337" i="16"/>
  <c r="C1337" i="16"/>
  <c r="A1337" i="16"/>
  <c r="I1336" i="16"/>
  <c r="D1336" i="16"/>
  <c r="C1336" i="16"/>
  <c r="A1336" i="16"/>
  <c r="I1335" i="16"/>
  <c r="D1335" i="16"/>
  <c r="C1335" i="16"/>
  <c r="A1335" i="16"/>
  <c r="I1334" i="16"/>
  <c r="D1334" i="16"/>
  <c r="C1334" i="16"/>
  <c r="A1334" i="16"/>
  <c r="I1333" i="16"/>
  <c r="D1333" i="16"/>
  <c r="C1333" i="16"/>
  <c r="A1333" i="16"/>
  <c r="I1332" i="16"/>
  <c r="D1332" i="16"/>
  <c r="C1332" i="16"/>
  <c r="A1332" i="16"/>
  <c r="I1331" i="16"/>
  <c r="D1331" i="16"/>
  <c r="C1331" i="16"/>
  <c r="A1331" i="16"/>
  <c r="I1330" i="16"/>
  <c r="D1330" i="16"/>
  <c r="C1330" i="16"/>
  <c r="A1330" i="16"/>
  <c r="I1329" i="16"/>
  <c r="D1329" i="16"/>
  <c r="C1329" i="16"/>
  <c r="A1329" i="16"/>
  <c r="I1328" i="16"/>
  <c r="D1328" i="16"/>
  <c r="C1328" i="16"/>
  <c r="A1328" i="16"/>
  <c r="I1327" i="16"/>
  <c r="D1327" i="16"/>
  <c r="C1327" i="16"/>
  <c r="A1327" i="16"/>
  <c r="I1326" i="16"/>
  <c r="D1326" i="16"/>
  <c r="C1326" i="16"/>
  <c r="A1326" i="16"/>
  <c r="I1325" i="16"/>
  <c r="D1325" i="16"/>
  <c r="C1325" i="16"/>
  <c r="A1325" i="16"/>
  <c r="I1324" i="16"/>
  <c r="D1324" i="16"/>
  <c r="C1324" i="16"/>
  <c r="A1324" i="16"/>
  <c r="I1323" i="16"/>
  <c r="D1323" i="16"/>
  <c r="C1323" i="16"/>
  <c r="A1323" i="16"/>
  <c r="I1322" i="16"/>
  <c r="D1322" i="16"/>
  <c r="C1322" i="16"/>
  <c r="A1322" i="16"/>
  <c r="I1321" i="16"/>
  <c r="D1321" i="16"/>
  <c r="C1321" i="16"/>
  <c r="A1321" i="16"/>
  <c r="I1320" i="16"/>
  <c r="D1320" i="16"/>
  <c r="C1320" i="16"/>
  <c r="A1320" i="16"/>
  <c r="I1319" i="16"/>
  <c r="D1319" i="16"/>
  <c r="C1319" i="16"/>
  <c r="A1319" i="16"/>
  <c r="I1318" i="16"/>
  <c r="D1318" i="16"/>
  <c r="C1318" i="16"/>
  <c r="A1318" i="16"/>
  <c r="I1317" i="16"/>
  <c r="D1317" i="16"/>
  <c r="C1317" i="16"/>
  <c r="A1317" i="16"/>
  <c r="I1316" i="16"/>
  <c r="D1316" i="16"/>
  <c r="C1316" i="16"/>
  <c r="A1316" i="16"/>
  <c r="I1315" i="16"/>
  <c r="D1315" i="16"/>
  <c r="C1315" i="16"/>
  <c r="A1315" i="16"/>
  <c r="I1314" i="16"/>
  <c r="D1314" i="16"/>
  <c r="C1314" i="16"/>
  <c r="A1314" i="16"/>
  <c r="I1313" i="16"/>
  <c r="D1313" i="16"/>
  <c r="C1313" i="16"/>
  <c r="A1313" i="16"/>
  <c r="I1312" i="16"/>
  <c r="D1312" i="16"/>
  <c r="C1312" i="16"/>
  <c r="A1312" i="16"/>
  <c r="I1311" i="16"/>
  <c r="D1311" i="16"/>
  <c r="C1311" i="16"/>
  <c r="A1311" i="16"/>
  <c r="I1310" i="16"/>
  <c r="D1310" i="16"/>
  <c r="C1310" i="16"/>
  <c r="A1310" i="16"/>
  <c r="I1309" i="16"/>
  <c r="D1309" i="16"/>
  <c r="C1309" i="16"/>
  <c r="A1309" i="16"/>
  <c r="I1308" i="16"/>
  <c r="D1308" i="16"/>
  <c r="C1308" i="16"/>
  <c r="A1308" i="16"/>
  <c r="I1307" i="16"/>
  <c r="D1307" i="16"/>
  <c r="C1307" i="16"/>
  <c r="A1307" i="16"/>
  <c r="I1306" i="16"/>
  <c r="D1306" i="16"/>
  <c r="C1306" i="16"/>
  <c r="A1306" i="16"/>
  <c r="I1305" i="16"/>
  <c r="D1305" i="16"/>
  <c r="C1305" i="16"/>
  <c r="A1305" i="16"/>
  <c r="I1304" i="16"/>
  <c r="D1304" i="16"/>
  <c r="C1304" i="16"/>
  <c r="A1304" i="16"/>
  <c r="I1303" i="16"/>
  <c r="D1303" i="16"/>
  <c r="C1303" i="16"/>
  <c r="A1303" i="16"/>
  <c r="I1302" i="16"/>
  <c r="D1302" i="16"/>
  <c r="C1302" i="16"/>
  <c r="A1302" i="16"/>
  <c r="I1301" i="16"/>
  <c r="D1301" i="16"/>
  <c r="C1301" i="16"/>
  <c r="A1301" i="16"/>
  <c r="I1300" i="16"/>
  <c r="D1300" i="16"/>
  <c r="C1300" i="16"/>
  <c r="A1300" i="16"/>
  <c r="I1299" i="16"/>
  <c r="D1299" i="16"/>
  <c r="C1299" i="16"/>
  <c r="A1299" i="16"/>
  <c r="I1298" i="16"/>
  <c r="D1298" i="16"/>
  <c r="C1298" i="16"/>
  <c r="A1298" i="16"/>
  <c r="I1297" i="16"/>
  <c r="D1297" i="16"/>
  <c r="C1297" i="16"/>
  <c r="A1297" i="16"/>
  <c r="I1296" i="16"/>
  <c r="D1296" i="16"/>
  <c r="C1296" i="16"/>
  <c r="A1296" i="16"/>
  <c r="I1295" i="16"/>
  <c r="D1295" i="16"/>
  <c r="C1295" i="16"/>
  <c r="A1295" i="16"/>
  <c r="I1294" i="16"/>
  <c r="D1294" i="16"/>
  <c r="C1294" i="16"/>
  <c r="A1294" i="16"/>
  <c r="I1293" i="16"/>
  <c r="D1293" i="16"/>
  <c r="C1293" i="16"/>
  <c r="A1293" i="16"/>
  <c r="I1292" i="16"/>
  <c r="D1292" i="16"/>
  <c r="C1292" i="16"/>
  <c r="A1292" i="16"/>
  <c r="I1291" i="16"/>
  <c r="D1291" i="16"/>
  <c r="C1291" i="16"/>
  <c r="A1291" i="16"/>
  <c r="I1290" i="16"/>
  <c r="D1290" i="16"/>
  <c r="C1290" i="16"/>
  <c r="A1290" i="16"/>
  <c r="I1289" i="16"/>
  <c r="D1289" i="16"/>
  <c r="C1289" i="16"/>
  <c r="A1289" i="16"/>
  <c r="I1288" i="16"/>
  <c r="D1288" i="16"/>
  <c r="C1288" i="16"/>
  <c r="A1288" i="16"/>
  <c r="I1287" i="16"/>
  <c r="D1287" i="16"/>
  <c r="C1287" i="16"/>
  <c r="A1287" i="16"/>
  <c r="I1286" i="16"/>
  <c r="D1286" i="16"/>
  <c r="C1286" i="16"/>
  <c r="A1286" i="16"/>
  <c r="I1285" i="16"/>
  <c r="D1285" i="16"/>
  <c r="C1285" i="16"/>
  <c r="A1285" i="16"/>
  <c r="I1284" i="16"/>
  <c r="D1284" i="16"/>
  <c r="C1284" i="16"/>
  <c r="A1284" i="16"/>
  <c r="I1283" i="16"/>
  <c r="D1283" i="16"/>
  <c r="C1283" i="16"/>
  <c r="A1283" i="16"/>
  <c r="I1282" i="16"/>
  <c r="D1282" i="16"/>
  <c r="C1282" i="16"/>
  <c r="A1282" i="16"/>
  <c r="I1281" i="16"/>
  <c r="D1281" i="16"/>
  <c r="C1281" i="16"/>
  <c r="A1281" i="16"/>
  <c r="I1280" i="16"/>
  <c r="D1280" i="16"/>
  <c r="C1280" i="16"/>
  <c r="A1280" i="16"/>
  <c r="I1279" i="16"/>
  <c r="D1279" i="16"/>
  <c r="C1279" i="16"/>
  <c r="A1279" i="16"/>
  <c r="I1278" i="16"/>
  <c r="D1278" i="16"/>
  <c r="C1278" i="16"/>
  <c r="A1278" i="16"/>
  <c r="I1277" i="16"/>
  <c r="D1277" i="16"/>
  <c r="C1277" i="16"/>
  <c r="A1277" i="16"/>
  <c r="I1276" i="16"/>
  <c r="D1276" i="16"/>
  <c r="C1276" i="16"/>
  <c r="A1276" i="16"/>
  <c r="I1275" i="16"/>
  <c r="D1275" i="16"/>
  <c r="C1275" i="16"/>
  <c r="A1275" i="16"/>
  <c r="I1274" i="16"/>
  <c r="D1274" i="16"/>
  <c r="C1274" i="16"/>
  <c r="A1274" i="16"/>
  <c r="I1273" i="16"/>
  <c r="D1273" i="16"/>
  <c r="C1273" i="16"/>
  <c r="A1273" i="16"/>
  <c r="I1272" i="16"/>
  <c r="D1272" i="16"/>
  <c r="C1272" i="16"/>
  <c r="A1272" i="16"/>
  <c r="I1271" i="16"/>
  <c r="D1271" i="16"/>
  <c r="C1271" i="16"/>
  <c r="A1271" i="16"/>
  <c r="I1270" i="16"/>
  <c r="D1270" i="16"/>
  <c r="C1270" i="16"/>
  <c r="A1270" i="16"/>
  <c r="I1269" i="16"/>
  <c r="D1269" i="16"/>
  <c r="C1269" i="16"/>
  <c r="A1269" i="16"/>
  <c r="I1268" i="16"/>
  <c r="D1268" i="16"/>
  <c r="C1268" i="16"/>
  <c r="A1268" i="16"/>
  <c r="I1267" i="16"/>
  <c r="D1267" i="16"/>
  <c r="C1267" i="16"/>
  <c r="A1267" i="16"/>
  <c r="I1266" i="16"/>
  <c r="D1266" i="16"/>
  <c r="C1266" i="16"/>
  <c r="A1266" i="16"/>
  <c r="I1265" i="16"/>
  <c r="D1265" i="16"/>
  <c r="C1265" i="16"/>
  <c r="A1265" i="16"/>
  <c r="I1264" i="16"/>
  <c r="D1264" i="16"/>
  <c r="C1264" i="16"/>
  <c r="A1264" i="16"/>
  <c r="I1263" i="16"/>
  <c r="D1263" i="16"/>
  <c r="C1263" i="16"/>
  <c r="A1263" i="16"/>
  <c r="I1262" i="16"/>
  <c r="D1262" i="16"/>
  <c r="C1262" i="16"/>
  <c r="A1262" i="16"/>
  <c r="I1261" i="16"/>
  <c r="D1261" i="16"/>
  <c r="C1261" i="16"/>
  <c r="A1261" i="16"/>
  <c r="I1260" i="16"/>
  <c r="D1260" i="16"/>
  <c r="C1260" i="16"/>
  <c r="A1260" i="16"/>
  <c r="I1259" i="16"/>
  <c r="D1259" i="16"/>
  <c r="C1259" i="16"/>
  <c r="A1259" i="16"/>
  <c r="I1258" i="16"/>
  <c r="D1258" i="16"/>
  <c r="C1258" i="16"/>
  <c r="A1258" i="16"/>
  <c r="I1257" i="16"/>
  <c r="D1257" i="16"/>
  <c r="C1257" i="16"/>
  <c r="A1257" i="16"/>
  <c r="I1256" i="16"/>
  <c r="D1256" i="16"/>
  <c r="C1256" i="16"/>
  <c r="A1256" i="16"/>
  <c r="I1255" i="16"/>
  <c r="D1255" i="16"/>
  <c r="C1255" i="16"/>
  <c r="A1255" i="16"/>
  <c r="I1254" i="16"/>
  <c r="D1254" i="16"/>
  <c r="C1254" i="16"/>
  <c r="A1254" i="16"/>
  <c r="I1253" i="16"/>
  <c r="D1253" i="16"/>
  <c r="C1253" i="16"/>
  <c r="A1253" i="16"/>
  <c r="I1252" i="16"/>
  <c r="D1252" i="16"/>
  <c r="C1252" i="16"/>
  <c r="A1252" i="16"/>
  <c r="I1251" i="16"/>
  <c r="D1251" i="16"/>
  <c r="C1251" i="16"/>
  <c r="A1251" i="16"/>
  <c r="I1250" i="16"/>
  <c r="D1250" i="16"/>
  <c r="C1250" i="16"/>
  <c r="A1250" i="16"/>
  <c r="I1249" i="16"/>
  <c r="D1249" i="16"/>
  <c r="C1249" i="16"/>
  <c r="A1249" i="16"/>
  <c r="I1248" i="16"/>
  <c r="D1248" i="16"/>
  <c r="C1248" i="16"/>
  <c r="A1248" i="16"/>
  <c r="I1247" i="16"/>
  <c r="D1247" i="16"/>
  <c r="C1247" i="16"/>
  <c r="A1247" i="16"/>
  <c r="I1246" i="16"/>
  <c r="D1246" i="16"/>
  <c r="C1246" i="16"/>
  <c r="A1246" i="16"/>
  <c r="I1245" i="16"/>
  <c r="D1245" i="16"/>
  <c r="C1245" i="16"/>
  <c r="A1245" i="16"/>
  <c r="I1244" i="16"/>
  <c r="D1244" i="16"/>
  <c r="C1244" i="16"/>
  <c r="A1244" i="16"/>
  <c r="I1243" i="16"/>
  <c r="D1243" i="16"/>
  <c r="C1243" i="16"/>
  <c r="A1243" i="16"/>
  <c r="I1242" i="16"/>
  <c r="D1242" i="16"/>
  <c r="C1242" i="16"/>
  <c r="A1242" i="16"/>
  <c r="I1241" i="16"/>
  <c r="D1241" i="16"/>
  <c r="C1241" i="16"/>
  <c r="A1241" i="16"/>
  <c r="I1240" i="16"/>
  <c r="D1240" i="16"/>
  <c r="C1240" i="16"/>
  <c r="A1240" i="16"/>
  <c r="I1239" i="16"/>
  <c r="D1239" i="16"/>
  <c r="C1239" i="16"/>
  <c r="A1239" i="16"/>
  <c r="I1238" i="16"/>
  <c r="D1238" i="16"/>
  <c r="C1238" i="16"/>
  <c r="A1238" i="16"/>
  <c r="I1237" i="16"/>
  <c r="D1237" i="16"/>
  <c r="C1237" i="16"/>
  <c r="A1237" i="16"/>
  <c r="I1236" i="16"/>
  <c r="D1236" i="16"/>
  <c r="C1236" i="16"/>
  <c r="A1236" i="16"/>
  <c r="I1235" i="16"/>
  <c r="D1235" i="16"/>
  <c r="C1235" i="16"/>
  <c r="A1235" i="16"/>
  <c r="I1234" i="16"/>
  <c r="D1234" i="16"/>
  <c r="C1234" i="16"/>
  <c r="A1234" i="16"/>
  <c r="I1233" i="16"/>
  <c r="D1233" i="16"/>
  <c r="C1233" i="16"/>
  <c r="A1233" i="16"/>
  <c r="I1232" i="16"/>
  <c r="D1232" i="16"/>
  <c r="C1232" i="16"/>
  <c r="A1232" i="16"/>
  <c r="I1231" i="16"/>
  <c r="D1231" i="16"/>
  <c r="C1231" i="16"/>
  <c r="A1231" i="16"/>
  <c r="I1230" i="16"/>
  <c r="D1230" i="16"/>
  <c r="C1230" i="16"/>
  <c r="A1230" i="16"/>
  <c r="I1229" i="16"/>
  <c r="D1229" i="16"/>
  <c r="C1229" i="16"/>
  <c r="A1229" i="16"/>
  <c r="I1228" i="16"/>
  <c r="D1228" i="16"/>
  <c r="C1228" i="16"/>
  <c r="A1228" i="16"/>
  <c r="I1227" i="16"/>
  <c r="D1227" i="16"/>
  <c r="C1227" i="16"/>
  <c r="A1227" i="16"/>
  <c r="I1226" i="16"/>
  <c r="D1226" i="16"/>
  <c r="C1226" i="16"/>
  <c r="A1226" i="16"/>
  <c r="I1225" i="16"/>
  <c r="D1225" i="16"/>
  <c r="C1225" i="16"/>
  <c r="A1225" i="16"/>
  <c r="I1224" i="16"/>
  <c r="D1224" i="16"/>
  <c r="C1224" i="16"/>
  <c r="A1224" i="16"/>
  <c r="I1223" i="16"/>
  <c r="D1223" i="16"/>
  <c r="C1223" i="16"/>
  <c r="A1223" i="16"/>
  <c r="I1222" i="16"/>
  <c r="D1222" i="16"/>
  <c r="C1222" i="16"/>
  <c r="A1222" i="16"/>
  <c r="I1221" i="16"/>
  <c r="D1221" i="16"/>
  <c r="C1221" i="16"/>
  <c r="A1221" i="16"/>
  <c r="I1220" i="16"/>
  <c r="D1220" i="16"/>
  <c r="C1220" i="16"/>
  <c r="A1220" i="16"/>
  <c r="I1219" i="16"/>
  <c r="D1219" i="16"/>
  <c r="C1219" i="16"/>
  <c r="A1219" i="16"/>
  <c r="I1218" i="16"/>
  <c r="D1218" i="16"/>
  <c r="C1218" i="16"/>
  <c r="A1218" i="16"/>
  <c r="I1217" i="16"/>
  <c r="D1217" i="16"/>
  <c r="C1217" i="16"/>
  <c r="A1217" i="16"/>
  <c r="I1216" i="16"/>
  <c r="D1216" i="16"/>
  <c r="C1216" i="16"/>
  <c r="A1216" i="16"/>
  <c r="I1215" i="16"/>
  <c r="D1215" i="16"/>
  <c r="C1215" i="16"/>
  <c r="A1215" i="16"/>
  <c r="I1214" i="16"/>
  <c r="D1214" i="16"/>
  <c r="C1214" i="16"/>
  <c r="A1214" i="16"/>
  <c r="I1213" i="16"/>
  <c r="D1213" i="16"/>
  <c r="C1213" i="16"/>
  <c r="A1213" i="16"/>
  <c r="I1212" i="16"/>
  <c r="D1212" i="16"/>
  <c r="C1212" i="16"/>
  <c r="A1212" i="16"/>
  <c r="I1211" i="16"/>
  <c r="D1211" i="16"/>
  <c r="C1211" i="16"/>
  <c r="A1211" i="16"/>
  <c r="I1210" i="16"/>
  <c r="D1210" i="16"/>
  <c r="C1210" i="16"/>
  <c r="A1210" i="16"/>
  <c r="I1209" i="16"/>
  <c r="D1209" i="16"/>
  <c r="C1209" i="16"/>
  <c r="A1209" i="16"/>
  <c r="I1208" i="16"/>
  <c r="D1208" i="16"/>
  <c r="C1208" i="16"/>
  <c r="A1208" i="16"/>
  <c r="I1207" i="16"/>
  <c r="D1207" i="16"/>
  <c r="C1207" i="16"/>
  <c r="A1207" i="16"/>
  <c r="I1206" i="16"/>
  <c r="D1206" i="16"/>
  <c r="C1206" i="16"/>
  <c r="A1206" i="16"/>
  <c r="I1205" i="16"/>
  <c r="D1205" i="16"/>
  <c r="C1205" i="16"/>
  <c r="A1205" i="16"/>
  <c r="I1204" i="16"/>
  <c r="D1204" i="16"/>
  <c r="C1204" i="16"/>
  <c r="A1204" i="16"/>
  <c r="I1203" i="16"/>
  <c r="D1203" i="16"/>
  <c r="C1203" i="16"/>
  <c r="A1203" i="16"/>
  <c r="I1202" i="16"/>
  <c r="D1202" i="16"/>
  <c r="C1202" i="16"/>
  <c r="A1202" i="16"/>
  <c r="I1201" i="16"/>
  <c r="D1201" i="16"/>
  <c r="C1201" i="16"/>
  <c r="A1201" i="16"/>
  <c r="I1200" i="16"/>
  <c r="D1200" i="16"/>
  <c r="C1200" i="16"/>
  <c r="A1200" i="16"/>
  <c r="I1199" i="16"/>
  <c r="D1199" i="16"/>
  <c r="C1199" i="16"/>
  <c r="A1199" i="16"/>
  <c r="I1198" i="16"/>
  <c r="D1198" i="16"/>
  <c r="C1198" i="16"/>
  <c r="A1198" i="16"/>
  <c r="I1197" i="16"/>
  <c r="D1197" i="16"/>
  <c r="C1197" i="16"/>
  <c r="A1197" i="16"/>
  <c r="I1196" i="16"/>
  <c r="D1196" i="16"/>
  <c r="C1196" i="16"/>
  <c r="A1196" i="16"/>
  <c r="I1195" i="16"/>
  <c r="D1195" i="16"/>
  <c r="C1195" i="16"/>
  <c r="A1195" i="16"/>
  <c r="I1194" i="16"/>
  <c r="D1194" i="16"/>
  <c r="C1194" i="16"/>
  <c r="A1194" i="16"/>
  <c r="I1193" i="16"/>
  <c r="D1193" i="16"/>
  <c r="C1193" i="16"/>
  <c r="A1193" i="16"/>
  <c r="I1192" i="16"/>
  <c r="D1192" i="16"/>
  <c r="C1192" i="16"/>
  <c r="A1192" i="16"/>
  <c r="I1191" i="16"/>
  <c r="D1191" i="16"/>
  <c r="C1191" i="16"/>
  <c r="A1191" i="16"/>
  <c r="I1190" i="16"/>
  <c r="D1190" i="16"/>
  <c r="C1190" i="16"/>
  <c r="A1190" i="16"/>
  <c r="I1189" i="16"/>
  <c r="D1189" i="16"/>
  <c r="C1189" i="16"/>
  <c r="A1189" i="16"/>
  <c r="I1188" i="16"/>
  <c r="D1188" i="16"/>
  <c r="C1188" i="16"/>
  <c r="A1188" i="16"/>
  <c r="I1187" i="16"/>
  <c r="D1187" i="16"/>
  <c r="C1187" i="16"/>
  <c r="A1187" i="16"/>
  <c r="I1186" i="16"/>
  <c r="D1186" i="16"/>
  <c r="C1186" i="16"/>
  <c r="A1186" i="16"/>
  <c r="I1185" i="16"/>
  <c r="D1185" i="16"/>
  <c r="C1185" i="16"/>
  <c r="A1185" i="16"/>
  <c r="I1184" i="16"/>
  <c r="D1184" i="16"/>
  <c r="C1184" i="16"/>
  <c r="A1184" i="16"/>
  <c r="I1183" i="16"/>
  <c r="D1183" i="16"/>
  <c r="C1183" i="16"/>
  <c r="A1183" i="16"/>
  <c r="I1182" i="16"/>
  <c r="D1182" i="16"/>
  <c r="C1182" i="16"/>
  <c r="A1182" i="16"/>
  <c r="I1181" i="16"/>
  <c r="D1181" i="16"/>
  <c r="C1181" i="16"/>
  <c r="A1181" i="16"/>
  <c r="I1180" i="16"/>
  <c r="D1180" i="16"/>
  <c r="C1180" i="16"/>
  <c r="A1180" i="16"/>
  <c r="I1179" i="16"/>
  <c r="D1179" i="16"/>
  <c r="C1179" i="16"/>
  <c r="A1179" i="16"/>
  <c r="I1178" i="16"/>
  <c r="D1178" i="16"/>
  <c r="C1178" i="16"/>
  <c r="A1178" i="16"/>
  <c r="I1177" i="16"/>
  <c r="D1177" i="16"/>
  <c r="C1177" i="16"/>
  <c r="A1177" i="16"/>
  <c r="I1176" i="16"/>
  <c r="D1176" i="16"/>
  <c r="C1176" i="16"/>
  <c r="A1176" i="16"/>
  <c r="I1175" i="16"/>
  <c r="D1175" i="16"/>
  <c r="C1175" i="16"/>
  <c r="A1175" i="16"/>
  <c r="I1174" i="16"/>
  <c r="D1174" i="16"/>
  <c r="C1174" i="16"/>
  <c r="A1174" i="16"/>
  <c r="I1173" i="16"/>
  <c r="D1173" i="16"/>
  <c r="C1173" i="16"/>
  <c r="A1173" i="16"/>
  <c r="I1172" i="16"/>
  <c r="D1172" i="16"/>
  <c r="C1172" i="16"/>
  <c r="A1172" i="16"/>
  <c r="I1171" i="16"/>
  <c r="D1171" i="16"/>
  <c r="C1171" i="16"/>
  <c r="A1171" i="16"/>
  <c r="I1170" i="16"/>
  <c r="D1170" i="16"/>
  <c r="C1170" i="16"/>
  <c r="A1170" i="16"/>
  <c r="I1169" i="16"/>
  <c r="D1169" i="16"/>
  <c r="C1169" i="16"/>
  <c r="A1169" i="16"/>
  <c r="I1168" i="16"/>
  <c r="D1168" i="16"/>
  <c r="C1168" i="16"/>
  <c r="A1168" i="16"/>
  <c r="I1167" i="16"/>
  <c r="D1167" i="16"/>
  <c r="C1167" i="16"/>
  <c r="A1167" i="16"/>
  <c r="I1166" i="16"/>
  <c r="D1166" i="16"/>
  <c r="C1166" i="16"/>
  <c r="A1166" i="16"/>
  <c r="I1165" i="16"/>
  <c r="D1165" i="16"/>
  <c r="C1165" i="16"/>
  <c r="A1165" i="16"/>
  <c r="I1164" i="16"/>
  <c r="D1164" i="16"/>
  <c r="C1164" i="16"/>
  <c r="A1164" i="16"/>
  <c r="I1163" i="16"/>
  <c r="D1163" i="16"/>
  <c r="C1163" i="16"/>
  <c r="A1163" i="16"/>
  <c r="I1162" i="16"/>
  <c r="D1162" i="16"/>
  <c r="C1162" i="16"/>
  <c r="A1162" i="16"/>
  <c r="I1161" i="16"/>
  <c r="D1161" i="16"/>
  <c r="C1161" i="16"/>
  <c r="A1161" i="16"/>
  <c r="I1160" i="16"/>
  <c r="D1160" i="16"/>
  <c r="C1160" i="16"/>
  <c r="A1160" i="16"/>
  <c r="I1159" i="16"/>
  <c r="D1159" i="16"/>
  <c r="C1159" i="16"/>
  <c r="A1159" i="16"/>
  <c r="I1158" i="16"/>
  <c r="D1158" i="16"/>
  <c r="C1158" i="16"/>
  <c r="A1158" i="16"/>
  <c r="I1157" i="16"/>
  <c r="D1157" i="16"/>
  <c r="C1157" i="16"/>
  <c r="A1157" i="16"/>
  <c r="I1156" i="16"/>
  <c r="D1156" i="16"/>
  <c r="C1156" i="16"/>
  <c r="A1156" i="16"/>
  <c r="I1155" i="16"/>
  <c r="D1155" i="16"/>
  <c r="C1155" i="16"/>
  <c r="A1155" i="16"/>
  <c r="I1154" i="16"/>
  <c r="D1154" i="16"/>
  <c r="C1154" i="16"/>
  <c r="A1154" i="16"/>
  <c r="I1153" i="16"/>
  <c r="D1153" i="16"/>
  <c r="C1153" i="16"/>
  <c r="A1153" i="16"/>
  <c r="I1152" i="16"/>
  <c r="D1152" i="16"/>
  <c r="C1152" i="16"/>
  <c r="A1152" i="16"/>
  <c r="I1151" i="16"/>
  <c r="D1151" i="16"/>
  <c r="C1151" i="16"/>
  <c r="A1151" i="16"/>
  <c r="I1150" i="16"/>
  <c r="D1150" i="16"/>
  <c r="C1150" i="16"/>
  <c r="A1150" i="16"/>
  <c r="I1149" i="16"/>
  <c r="D1149" i="16"/>
  <c r="C1149" i="16"/>
  <c r="A1149" i="16"/>
  <c r="I1148" i="16"/>
  <c r="D1148" i="16"/>
  <c r="C1148" i="16"/>
  <c r="A1148" i="16"/>
  <c r="I1147" i="16"/>
  <c r="D1147" i="16"/>
  <c r="C1147" i="16"/>
  <c r="A1147" i="16"/>
  <c r="I1146" i="16"/>
  <c r="D1146" i="16"/>
  <c r="C1146" i="16"/>
  <c r="A1146" i="16"/>
  <c r="I1145" i="16"/>
  <c r="D1145" i="16"/>
  <c r="C1145" i="16"/>
  <c r="A1145" i="16"/>
  <c r="I1144" i="16"/>
  <c r="D1144" i="16"/>
  <c r="C1144" i="16"/>
  <c r="A1144" i="16"/>
  <c r="I1143" i="16"/>
  <c r="D1143" i="16"/>
  <c r="C1143" i="16"/>
  <c r="A1143" i="16"/>
  <c r="I1142" i="16"/>
  <c r="D1142" i="16"/>
  <c r="C1142" i="16"/>
  <c r="A1142" i="16"/>
  <c r="I1141" i="16"/>
  <c r="D1141" i="16"/>
  <c r="C1141" i="16"/>
  <c r="A1141" i="16"/>
  <c r="I1140" i="16"/>
  <c r="D1140" i="16"/>
  <c r="C1140" i="16"/>
  <c r="A1140" i="16"/>
  <c r="I1139" i="16"/>
  <c r="D1139" i="16"/>
  <c r="C1139" i="16"/>
  <c r="A1139" i="16"/>
  <c r="I1138" i="16"/>
  <c r="D1138" i="16"/>
  <c r="C1138" i="16"/>
  <c r="A1138" i="16"/>
  <c r="I1137" i="16"/>
  <c r="D1137" i="16"/>
  <c r="C1137" i="16"/>
  <c r="A1137" i="16"/>
  <c r="I1136" i="16"/>
  <c r="D1136" i="16"/>
  <c r="C1136" i="16"/>
  <c r="A1136" i="16"/>
  <c r="I1135" i="16"/>
  <c r="D1135" i="16"/>
  <c r="C1135" i="16"/>
  <c r="A1135" i="16"/>
  <c r="I1134" i="16"/>
  <c r="D1134" i="16"/>
  <c r="C1134" i="16"/>
  <c r="A1134" i="16"/>
  <c r="I1133" i="16"/>
  <c r="D1133" i="16"/>
  <c r="C1133" i="16"/>
  <c r="A1133" i="16"/>
  <c r="I1132" i="16"/>
  <c r="D1132" i="16"/>
  <c r="C1132" i="16"/>
  <c r="A1132" i="16"/>
  <c r="I1131" i="16"/>
  <c r="D1131" i="16"/>
  <c r="C1131" i="16"/>
  <c r="A1131" i="16"/>
  <c r="I1130" i="16"/>
  <c r="D1130" i="16"/>
  <c r="C1130" i="16"/>
  <c r="A1130" i="16"/>
  <c r="I1129" i="16"/>
  <c r="D1129" i="16"/>
  <c r="C1129" i="16"/>
  <c r="A1129" i="16"/>
  <c r="I1128" i="16"/>
  <c r="D1128" i="16"/>
  <c r="C1128" i="16"/>
  <c r="A1128" i="16"/>
  <c r="I1127" i="16"/>
  <c r="D1127" i="16"/>
  <c r="C1127" i="16"/>
  <c r="A1127" i="16"/>
  <c r="I1126" i="16"/>
  <c r="D1126" i="16"/>
  <c r="C1126" i="16"/>
  <c r="A1126" i="16"/>
  <c r="I1125" i="16"/>
  <c r="D1125" i="16"/>
  <c r="C1125" i="16"/>
  <c r="A1125" i="16"/>
  <c r="I1124" i="16"/>
  <c r="D1124" i="16"/>
  <c r="C1124" i="16"/>
  <c r="A1124" i="16"/>
  <c r="I1123" i="16"/>
  <c r="D1123" i="16"/>
  <c r="C1123" i="16"/>
  <c r="A1123" i="16"/>
  <c r="I1122" i="16"/>
  <c r="D1122" i="16"/>
  <c r="C1122" i="16"/>
  <c r="A1122" i="16"/>
  <c r="I1121" i="16"/>
  <c r="D1121" i="16"/>
  <c r="C1121" i="16"/>
  <c r="A1121" i="16"/>
  <c r="I1120" i="16"/>
  <c r="D1120" i="16"/>
  <c r="C1120" i="16"/>
  <c r="A1120" i="16"/>
  <c r="I1119" i="16"/>
  <c r="D1119" i="16"/>
  <c r="C1119" i="16"/>
  <c r="A1119" i="16"/>
  <c r="I1118" i="16"/>
  <c r="D1118" i="16"/>
  <c r="C1118" i="16"/>
  <c r="A1118" i="16"/>
  <c r="I1117" i="16"/>
  <c r="D1117" i="16"/>
  <c r="C1117" i="16"/>
  <c r="A1117" i="16"/>
  <c r="I1116" i="16"/>
  <c r="D1116" i="16"/>
  <c r="C1116" i="16"/>
  <c r="A1116" i="16"/>
  <c r="I1115" i="16"/>
  <c r="D1115" i="16"/>
  <c r="C1115" i="16"/>
  <c r="A1115" i="16"/>
  <c r="I1114" i="16"/>
  <c r="D1114" i="16"/>
  <c r="C1114" i="16"/>
  <c r="A1114" i="16"/>
  <c r="I1113" i="16"/>
  <c r="D1113" i="16"/>
  <c r="C1113" i="16"/>
  <c r="A1113" i="16"/>
  <c r="I1112" i="16"/>
  <c r="D1112" i="16"/>
  <c r="C1112" i="16"/>
  <c r="A1112" i="16"/>
  <c r="I1111" i="16"/>
  <c r="D1111" i="16"/>
  <c r="C1111" i="16"/>
  <c r="A1111" i="16"/>
  <c r="I1110" i="16"/>
  <c r="D1110" i="16"/>
  <c r="C1110" i="16"/>
  <c r="A1110" i="16"/>
  <c r="I1109" i="16"/>
  <c r="D1109" i="16"/>
  <c r="C1109" i="16"/>
  <c r="A1109" i="16"/>
  <c r="I1108" i="16"/>
  <c r="D1108" i="16"/>
  <c r="C1108" i="16"/>
  <c r="A1108" i="16"/>
  <c r="I1107" i="16"/>
  <c r="D1107" i="16"/>
  <c r="C1107" i="16"/>
  <c r="A1107" i="16"/>
  <c r="I1106" i="16"/>
  <c r="D1106" i="16"/>
  <c r="C1106" i="16"/>
  <c r="A1106" i="16"/>
  <c r="I1105" i="16"/>
  <c r="D1105" i="16"/>
  <c r="C1105" i="16"/>
  <c r="A1105" i="16"/>
  <c r="I1104" i="16"/>
  <c r="D1104" i="16"/>
  <c r="C1104" i="16"/>
  <c r="A1104" i="16"/>
  <c r="I1103" i="16"/>
  <c r="D1103" i="16"/>
  <c r="C1103" i="16"/>
  <c r="A1103" i="16"/>
  <c r="I1102" i="16"/>
  <c r="D1102" i="16"/>
  <c r="C1102" i="16"/>
  <c r="A1102" i="16"/>
  <c r="I1101" i="16"/>
  <c r="D1101" i="16"/>
  <c r="C1101" i="16"/>
  <c r="A1101" i="16"/>
  <c r="I1100" i="16"/>
  <c r="D1100" i="16"/>
  <c r="C1100" i="16"/>
  <c r="A1100" i="16"/>
  <c r="I1099" i="16"/>
  <c r="D1099" i="16"/>
  <c r="C1099" i="16"/>
  <c r="A1099" i="16"/>
  <c r="I1098" i="16"/>
  <c r="D1098" i="16"/>
  <c r="C1098" i="16"/>
  <c r="A1098" i="16"/>
  <c r="I1097" i="16"/>
  <c r="D1097" i="16"/>
  <c r="C1097" i="16"/>
  <c r="A1097" i="16"/>
  <c r="I1096" i="16"/>
  <c r="D1096" i="16"/>
  <c r="C1096" i="16"/>
  <c r="A1096" i="16"/>
  <c r="I1095" i="16"/>
  <c r="D1095" i="16"/>
  <c r="C1095" i="16"/>
  <c r="A1095" i="16"/>
  <c r="I1094" i="16"/>
  <c r="D1094" i="16"/>
  <c r="C1094" i="16"/>
  <c r="A1094" i="16"/>
  <c r="I1093" i="16"/>
  <c r="D1093" i="16"/>
  <c r="C1093" i="16"/>
  <c r="A1093" i="16"/>
  <c r="I1092" i="16"/>
  <c r="D1092" i="16"/>
  <c r="C1092" i="16"/>
  <c r="A1092" i="16"/>
  <c r="I1091" i="16"/>
  <c r="D1091" i="16"/>
  <c r="C1091" i="16"/>
  <c r="A1091" i="16"/>
  <c r="I1090" i="16"/>
  <c r="D1090" i="16"/>
  <c r="C1090" i="16"/>
  <c r="A1090" i="16"/>
  <c r="I1089" i="16"/>
  <c r="D1089" i="16"/>
  <c r="C1089" i="16"/>
  <c r="A1089" i="16"/>
  <c r="I1088" i="16"/>
  <c r="D1088" i="16"/>
  <c r="C1088" i="16"/>
  <c r="A1088" i="16"/>
  <c r="I1087" i="16"/>
  <c r="D1087" i="16"/>
  <c r="C1087" i="16"/>
  <c r="A1087" i="16"/>
  <c r="I1086" i="16"/>
  <c r="D1086" i="16"/>
  <c r="C1086" i="16"/>
  <c r="A1086" i="16"/>
  <c r="I1085" i="16"/>
  <c r="D1085" i="16"/>
  <c r="C1085" i="16"/>
  <c r="A1085" i="16"/>
  <c r="I1084" i="16"/>
  <c r="D1084" i="16"/>
  <c r="C1084" i="16"/>
  <c r="A1084" i="16"/>
  <c r="I1083" i="16"/>
  <c r="D1083" i="16"/>
  <c r="C1083" i="16"/>
  <c r="A1083" i="16"/>
  <c r="I1082" i="16"/>
  <c r="D1082" i="16"/>
  <c r="C1082" i="16"/>
  <c r="A1082" i="16"/>
  <c r="I1081" i="16"/>
  <c r="D1081" i="16"/>
  <c r="C1081" i="16"/>
  <c r="A1081" i="16"/>
  <c r="I1080" i="16"/>
  <c r="D1080" i="16"/>
  <c r="C1080" i="16"/>
  <c r="A1080" i="16"/>
  <c r="I1079" i="16"/>
  <c r="D1079" i="16"/>
  <c r="C1079" i="16"/>
  <c r="A1079" i="16"/>
  <c r="I1078" i="16"/>
  <c r="D1078" i="16"/>
  <c r="C1078" i="16"/>
  <c r="A1078" i="16"/>
  <c r="I1077" i="16"/>
  <c r="D1077" i="16"/>
  <c r="C1077" i="16"/>
  <c r="A1077" i="16"/>
  <c r="I1076" i="16"/>
  <c r="D1076" i="16"/>
  <c r="C1076" i="16"/>
  <c r="A1076" i="16"/>
  <c r="I1075" i="16"/>
  <c r="D1075" i="16"/>
  <c r="C1075" i="16"/>
  <c r="A1075" i="16"/>
  <c r="I1074" i="16"/>
  <c r="D1074" i="16"/>
  <c r="C1074" i="16"/>
  <c r="A1074" i="16"/>
  <c r="I1073" i="16"/>
  <c r="D1073" i="16"/>
  <c r="C1073" i="16"/>
  <c r="A1073" i="16"/>
  <c r="I1072" i="16"/>
  <c r="D1072" i="16"/>
  <c r="C1072" i="16"/>
  <c r="A1072" i="16"/>
  <c r="I1071" i="16"/>
  <c r="D1071" i="16"/>
  <c r="C1071" i="16"/>
  <c r="A1071" i="16"/>
  <c r="I1070" i="16"/>
  <c r="D1070" i="16"/>
  <c r="C1070" i="16"/>
  <c r="A1070" i="16"/>
  <c r="I1069" i="16"/>
  <c r="D1069" i="16"/>
  <c r="C1069" i="16"/>
  <c r="A1069" i="16"/>
  <c r="I1068" i="16"/>
  <c r="D1068" i="16"/>
  <c r="C1068" i="16"/>
  <c r="A1068" i="16"/>
  <c r="I1067" i="16"/>
  <c r="D1067" i="16"/>
  <c r="C1067" i="16"/>
  <c r="A1067" i="16"/>
  <c r="I1066" i="16"/>
  <c r="D1066" i="16"/>
  <c r="C1066" i="16"/>
  <c r="A1066" i="16"/>
  <c r="I1065" i="16"/>
  <c r="D1065" i="16"/>
  <c r="C1065" i="16"/>
  <c r="A1065" i="16"/>
  <c r="I1064" i="16"/>
  <c r="D1064" i="16"/>
  <c r="C1064" i="16"/>
  <c r="A1064" i="16"/>
  <c r="I1063" i="16"/>
  <c r="D1063" i="16"/>
  <c r="C1063" i="16"/>
  <c r="A1063" i="16"/>
  <c r="I1062" i="16"/>
  <c r="D1062" i="16"/>
  <c r="C1062" i="16"/>
  <c r="A1062" i="16"/>
  <c r="I1061" i="16"/>
  <c r="D1061" i="16"/>
  <c r="C1061" i="16"/>
  <c r="A1061" i="16"/>
  <c r="I1060" i="16"/>
  <c r="D1060" i="16"/>
  <c r="C1060" i="16"/>
  <c r="A1060" i="16"/>
  <c r="I1059" i="16"/>
  <c r="D1059" i="16"/>
  <c r="C1059" i="16"/>
  <c r="A1059" i="16"/>
  <c r="I1058" i="16"/>
  <c r="D1058" i="16"/>
  <c r="C1058" i="16"/>
  <c r="A1058" i="16"/>
  <c r="I1057" i="16"/>
  <c r="D1057" i="16"/>
  <c r="C1057" i="16"/>
  <c r="A1057" i="16"/>
  <c r="I1056" i="16"/>
  <c r="D1056" i="16"/>
  <c r="C1056" i="16"/>
  <c r="A1056" i="16"/>
  <c r="I1055" i="16"/>
  <c r="D1055" i="16"/>
  <c r="C1055" i="16"/>
  <c r="A1055" i="16"/>
  <c r="I1054" i="16"/>
  <c r="D1054" i="16"/>
  <c r="C1054" i="16"/>
  <c r="A1054" i="16"/>
  <c r="I1053" i="16"/>
  <c r="D1053" i="16"/>
  <c r="C1053" i="16"/>
  <c r="A1053" i="16"/>
  <c r="I1052" i="16"/>
  <c r="D1052" i="16"/>
  <c r="C1052" i="16"/>
  <c r="A1052" i="16"/>
  <c r="I1051" i="16"/>
  <c r="D1051" i="16"/>
  <c r="C1051" i="16"/>
  <c r="A1051" i="16"/>
  <c r="I1050" i="16"/>
  <c r="D1050" i="16"/>
  <c r="C1050" i="16"/>
  <c r="A1050" i="16"/>
  <c r="I1049" i="16"/>
  <c r="D1049" i="16"/>
  <c r="C1049" i="16"/>
  <c r="A1049" i="16"/>
  <c r="I1048" i="16"/>
  <c r="D1048" i="16"/>
  <c r="C1048" i="16"/>
  <c r="A1048" i="16"/>
  <c r="I1047" i="16"/>
  <c r="D1047" i="16"/>
  <c r="C1047" i="16"/>
  <c r="A1047" i="16"/>
  <c r="I1046" i="16"/>
  <c r="D1046" i="16"/>
  <c r="C1046" i="16"/>
  <c r="A1046" i="16"/>
  <c r="I1045" i="16"/>
  <c r="D1045" i="16"/>
  <c r="C1045" i="16"/>
  <c r="A1045" i="16"/>
  <c r="I1044" i="16"/>
  <c r="D1044" i="16"/>
  <c r="C1044" i="16"/>
  <c r="A1044" i="16"/>
  <c r="I1043" i="16"/>
  <c r="D1043" i="16"/>
  <c r="C1043" i="16"/>
  <c r="A1043" i="16"/>
  <c r="I1042" i="16"/>
  <c r="D1042" i="16"/>
  <c r="C1042" i="16"/>
  <c r="A1042" i="16"/>
  <c r="I1041" i="16"/>
  <c r="D1041" i="16"/>
  <c r="C1041" i="16"/>
  <c r="A1041" i="16"/>
  <c r="I1040" i="16"/>
  <c r="D1040" i="16"/>
  <c r="C1040" i="16"/>
  <c r="A1040" i="16"/>
  <c r="I1039" i="16"/>
  <c r="D1039" i="16"/>
  <c r="C1039" i="16"/>
  <c r="A1039" i="16"/>
  <c r="I1038" i="16"/>
  <c r="D1038" i="16"/>
  <c r="C1038" i="16"/>
  <c r="A1038" i="16"/>
  <c r="I1037" i="16"/>
  <c r="D1037" i="16"/>
  <c r="C1037" i="16"/>
  <c r="A1037" i="16"/>
  <c r="I1036" i="16"/>
  <c r="D1036" i="16"/>
  <c r="C1036" i="16"/>
  <c r="A1036" i="16"/>
  <c r="I1035" i="16"/>
  <c r="D1035" i="16"/>
  <c r="C1035" i="16"/>
  <c r="A1035" i="16"/>
  <c r="I1034" i="16"/>
  <c r="D1034" i="16"/>
  <c r="C1034" i="16"/>
  <c r="A1034" i="16"/>
  <c r="I1033" i="16"/>
  <c r="D1033" i="16"/>
  <c r="C1033" i="16"/>
  <c r="A1033" i="16"/>
  <c r="I1032" i="16"/>
  <c r="D1032" i="16"/>
  <c r="C1032" i="16"/>
  <c r="A1032" i="16"/>
  <c r="I1031" i="16"/>
  <c r="D1031" i="16"/>
  <c r="C1031" i="16"/>
  <c r="A1031" i="16"/>
  <c r="I1030" i="16"/>
  <c r="D1030" i="16"/>
  <c r="C1030" i="16"/>
  <c r="A1030" i="16"/>
  <c r="I1029" i="16"/>
  <c r="D1029" i="16"/>
  <c r="C1029" i="16"/>
  <c r="A1029" i="16"/>
  <c r="I1028" i="16"/>
  <c r="D1028" i="16"/>
  <c r="C1028" i="16"/>
  <c r="A1028" i="16"/>
  <c r="I1027" i="16"/>
  <c r="D1027" i="16"/>
  <c r="C1027" i="16"/>
  <c r="A1027" i="16"/>
  <c r="I1026" i="16"/>
  <c r="D1026" i="16"/>
  <c r="C1026" i="16"/>
  <c r="A1026" i="16"/>
  <c r="I1025" i="16"/>
  <c r="D1025" i="16"/>
  <c r="C1025" i="16"/>
  <c r="A1025" i="16"/>
  <c r="I1024" i="16"/>
  <c r="D1024" i="16"/>
  <c r="C1024" i="16"/>
  <c r="A1024" i="16"/>
  <c r="I1023" i="16"/>
  <c r="D1023" i="16"/>
  <c r="C1023" i="16"/>
  <c r="A1023" i="16"/>
  <c r="I1022" i="16"/>
  <c r="D1022" i="16"/>
  <c r="C1022" i="16"/>
  <c r="A1022" i="16"/>
  <c r="I1021" i="16"/>
  <c r="D1021" i="16"/>
  <c r="C1021" i="16"/>
  <c r="A1021" i="16"/>
  <c r="I1020" i="16"/>
  <c r="D1020" i="16"/>
  <c r="C1020" i="16"/>
  <c r="A1020" i="16"/>
  <c r="I1019" i="16"/>
  <c r="D1019" i="16"/>
  <c r="C1019" i="16"/>
  <c r="A1019" i="16"/>
  <c r="I1018" i="16"/>
  <c r="D1018" i="16"/>
  <c r="C1018" i="16"/>
  <c r="A1018" i="16"/>
  <c r="I1017" i="16"/>
  <c r="D1017" i="16"/>
  <c r="C1017" i="16"/>
  <c r="A1017" i="16"/>
  <c r="I1016" i="16"/>
  <c r="D1016" i="16"/>
  <c r="C1016" i="16"/>
  <c r="A1016" i="16"/>
  <c r="I1015" i="16"/>
  <c r="D1015" i="16"/>
  <c r="C1015" i="16"/>
  <c r="A1015" i="16"/>
  <c r="I1014" i="16"/>
  <c r="D1014" i="16"/>
  <c r="C1014" i="16"/>
  <c r="A1014" i="16"/>
  <c r="I1013" i="16"/>
  <c r="D1013" i="16"/>
  <c r="C1013" i="16"/>
  <c r="A1013" i="16"/>
  <c r="I1012" i="16"/>
  <c r="D1012" i="16"/>
  <c r="C1012" i="16"/>
  <c r="A1012" i="16"/>
  <c r="I1011" i="16"/>
  <c r="D1011" i="16"/>
  <c r="C1011" i="16"/>
  <c r="A1011" i="16"/>
  <c r="I1010" i="16"/>
  <c r="D1010" i="16"/>
  <c r="C1010" i="16"/>
  <c r="A1010" i="16"/>
  <c r="I1009" i="16"/>
  <c r="D1009" i="16"/>
  <c r="C1009" i="16"/>
  <c r="A1009" i="16"/>
  <c r="I1008" i="16"/>
  <c r="D1008" i="16"/>
  <c r="C1008" i="16"/>
  <c r="A1008" i="16"/>
  <c r="I1007" i="16"/>
  <c r="D1007" i="16"/>
  <c r="C1007" i="16"/>
  <c r="A1007" i="16"/>
  <c r="I1006" i="16"/>
  <c r="D1006" i="16"/>
  <c r="C1006" i="16"/>
  <c r="A1006" i="16"/>
  <c r="I1005" i="16"/>
  <c r="D1005" i="16"/>
  <c r="C1005" i="16"/>
  <c r="A1005" i="16"/>
  <c r="I1004" i="16"/>
  <c r="D1004" i="16"/>
  <c r="C1004" i="16"/>
  <c r="A1004" i="16"/>
  <c r="I1003" i="16"/>
  <c r="D1003" i="16"/>
  <c r="C1003" i="16"/>
  <c r="A1003" i="16"/>
  <c r="I1002" i="16"/>
  <c r="D1002" i="16"/>
  <c r="C1002" i="16"/>
  <c r="A1002" i="16"/>
  <c r="I1001" i="16"/>
  <c r="D1001" i="16"/>
  <c r="C1001" i="16"/>
  <c r="A1001" i="16"/>
  <c r="I1000" i="16"/>
  <c r="D1000" i="16"/>
  <c r="C1000" i="16"/>
  <c r="A1000" i="16"/>
  <c r="I999" i="16"/>
  <c r="D999" i="16"/>
  <c r="C999" i="16"/>
  <c r="A999" i="16"/>
  <c r="I998" i="16"/>
  <c r="D998" i="16"/>
  <c r="C998" i="16"/>
  <c r="A998" i="16"/>
  <c r="I997" i="16"/>
  <c r="D997" i="16"/>
  <c r="C997" i="16"/>
  <c r="A997" i="16"/>
  <c r="I996" i="16"/>
  <c r="D996" i="16"/>
  <c r="C996" i="16"/>
  <c r="A996" i="16"/>
  <c r="I995" i="16"/>
  <c r="D995" i="16"/>
  <c r="C995" i="16"/>
  <c r="A995" i="16"/>
  <c r="I994" i="16"/>
  <c r="D994" i="16"/>
  <c r="C994" i="16"/>
  <c r="A994" i="16"/>
  <c r="I993" i="16"/>
  <c r="D993" i="16"/>
  <c r="C993" i="16"/>
  <c r="A993" i="16"/>
  <c r="I992" i="16"/>
  <c r="D992" i="16"/>
  <c r="C992" i="16"/>
  <c r="A992" i="16"/>
  <c r="I991" i="16"/>
  <c r="D991" i="16"/>
  <c r="C991" i="16"/>
  <c r="A991" i="16"/>
  <c r="I990" i="16"/>
  <c r="D990" i="16"/>
  <c r="C990" i="16"/>
  <c r="A990" i="16"/>
  <c r="I989" i="16"/>
  <c r="D989" i="16"/>
  <c r="C989" i="16"/>
  <c r="A989" i="16"/>
  <c r="I988" i="16"/>
  <c r="D988" i="16"/>
  <c r="C988" i="16"/>
  <c r="A988" i="16"/>
  <c r="I987" i="16"/>
  <c r="D987" i="16"/>
  <c r="C987" i="16"/>
  <c r="A987" i="16"/>
  <c r="I986" i="16"/>
  <c r="D986" i="16"/>
  <c r="C986" i="16"/>
  <c r="A986" i="16"/>
  <c r="I985" i="16"/>
  <c r="D985" i="16"/>
  <c r="C985" i="16"/>
  <c r="A985" i="16"/>
  <c r="I984" i="16"/>
  <c r="D984" i="16"/>
  <c r="C984" i="16"/>
  <c r="A984" i="16"/>
  <c r="I983" i="16"/>
  <c r="D983" i="16"/>
  <c r="C983" i="16"/>
  <c r="A983" i="16"/>
  <c r="I982" i="16"/>
  <c r="D982" i="16"/>
  <c r="C982" i="16"/>
  <c r="A982" i="16"/>
  <c r="I981" i="16"/>
  <c r="D981" i="16"/>
  <c r="C981" i="16"/>
  <c r="A981" i="16"/>
  <c r="I980" i="16"/>
  <c r="D980" i="16"/>
  <c r="C980" i="16"/>
  <c r="A980" i="16"/>
  <c r="I979" i="16"/>
  <c r="D979" i="16"/>
  <c r="C979" i="16"/>
  <c r="A979" i="16"/>
  <c r="I978" i="16"/>
  <c r="D978" i="16"/>
  <c r="C978" i="16"/>
  <c r="A978" i="16"/>
  <c r="I977" i="16"/>
  <c r="D977" i="16"/>
  <c r="C977" i="16"/>
  <c r="A977" i="16"/>
  <c r="I976" i="16"/>
  <c r="D976" i="16"/>
  <c r="C976" i="16"/>
  <c r="A976" i="16"/>
  <c r="I975" i="16"/>
  <c r="D975" i="16"/>
  <c r="C975" i="16"/>
  <c r="A975" i="16"/>
  <c r="I974" i="16"/>
  <c r="D974" i="16"/>
  <c r="C974" i="16"/>
  <c r="A974" i="16"/>
  <c r="I973" i="16"/>
  <c r="D973" i="16"/>
  <c r="C973" i="16"/>
  <c r="A973" i="16"/>
  <c r="I972" i="16"/>
  <c r="D972" i="16"/>
  <c r="C972" i="16"/>
  <c r="A972" i="16"/>
  <c r="I971" i="16"/>
  <c r="D971" i="16"/>
  <c r="C971" i="16"/>
  <c r="A971" i="16"/>
  <c r="I970" i="16"/>
  <c r="D970" i="16"/>
  <c r="C970" i="16"/>
  <c r="A970" i="16"/>
  <c r="I969" i="16"/>
  <c r="D969" i="16"/>
  <c r="C969" i="16"/>
  <c r="A969" i="16"/>
  <c r="I968" i="16"/>
  <c r="D968" i="16"/>
  <c r="C968" i="16"/>
  <c r="A968" i="16"/>
  <c r="I967" i="16"/>
  <c r="D967" i="16"/>
  <c r="C967" i="16"/>
  <c r="A967" i="16"/>
  <c r="I966" i="16"/>
  <c r="D966" i="16"/>
  <c r="C966" i="16"/>
  <c r="A966" i="16"/>
  <c r="I965" i="16"/>
  <c r="D965" i="16"/>
  <c r="C965" i="16"/>
  <c r="A965" i="16"/>
  <c r="I964" i="16"/>
  <c r="D964" i="16"/>
  <c r="C964" i="16"/>
  <c r="A964" i="16"/>
  <c r="I963" i="16"/>
  <c r="D963" i="16"/>
  <c r="C963" i="16"/>
  <c r="A963" i="16"/>
  <c r="I962" i="16"/>
  <c r="D962" i="16"/>
  <c r="C962" i="16"/>
  <c r="A962" i="16"/>
  <c r="I961" i="16"/>
  <c r="D961" i="16"/>
  <c r="C961" i="16"/>
  <c r="A961" i="16"/>
  <c r="I960" i="16"/>
  <c r="D960" i="16"/>
  <c r="C960" i="16"/>
  <c r="A960" i="16"/>
  <c r="I959" i="16"/>
  <c r="D959" i="16"/>
  <c r="C959" i="16"/>
  <c r="A959" i="16"/>
  <c r="I958" i="16"/>
  <c r="D958" i="16"/>
  <c r="C958" i="16"/>
  <c r="A958" i="16"/>
  <c r="I957" i="16"/>
  <c r="D957" i="16"/>
  <c r="C957" i="16"/>
  <c r="A957" i="16"/>
  <c r="I956" i="16"/>
  <c r="D956" i="16"/>
  <c r="C956" i="16"/>
  <c r="A956" i="16"/>
  <c r="I955" i="16"/>
  <c r="D955" i="16"/>
  <c r="C955" i="16"/>
  <c r="A955" i="16"/>
  <c r="I954" i="16"/>
  <c r="D954" i="16"/>
  <c r="C954" i="16"/>
  <c r="A954" i="16"/>
  <c r="I953" i="16"/>
  <c r="D953" i="16"/>
  <c r="C953" i="16"/>
  <c r="A953" i="16"/>
  <c r="I952" i="16"/>
  <c r="D952" i="16"/>
  <c r="C952" i="16"/>
  <c r="A952" i="16"/>
  <c r="I951" i="16"/>
  <c r="D951" i="16"/>
  <c r="C951" i="16"/>
  <c r="A951" i="16"/>
  <c r="I950" i="16"/>
  <c r="D950" i="16"/>
  <c r="C950" i="16"/>
  <c r="A950" i="16"/>
  <c r="I949" i="16"/>
  <c r="D949" i="16"/>
  <c r="C949" i="16"/>
  <c r="A949" i="16"/>
  <c r="I948" i="16"/>
  <c r="D948" i="16"/>
  <c r="C948" i="16"/>
  <c r="A948" i="16"/>
  <c r="I947" i="16"/>
  <c r="D947" i="16"/>
  <c r="C947" i="16"/>
  <c r="A947" i="16"/>
  <c r="I946" i="16"/>
  <c r="D946" i="16"/>
  <c r="C946" i="16"/>
  <c r="A946" i="16"/>
  <c r="I945" i="16"/>
  <c r="D945" i="16"/>
  <c r="C945" i="16"/>
  <c r="A945" i="16"/>
  <c r="I944" i="16"/>
  <c r="D944" i="16"/>
  <c r="C944" i="16"/>
  <c r="A944" i="16"/>
  <c r="I943" i="16"/>
  <c r="D943" i="16"/>
  <c r="C943" i="16"/>
  <c r="A943" i="16"/>
  <c r="I942" i="16"/>
  <c r="D942" i="16"/>
  <c r="C942" i="16"/>
  <c r="A942" i="16"/>
  <c r="I941" i="16"/>
  <c r="D941" i="16"/>
  <c r="C941" i="16"/>
  <c r="A941" i="16"/>
  <c r="I940" i="16"/>
  <c r="D940" i="16"/>
  <c r="C940" i="16"/>
  <c r="A940" i="16"/>
  <c r="I939" i="16"/>
  <c r="D939" i="16"/>
  <c r="C939" i="16"/>
  <c r="A939" i="16"/>
  <c r="I938" i="16"/>
  <c r="D938" i="16"/>
  <c r="C938" i="16"/>
  <c r="A938" i="16"/>
  <c r="I937" i="16"/>
  <c r="D937" i="16"/>
  <c r="C937" i="16"/>
  <c r="A937" i="16"/>
  <c r="I936" i="16"/>
  <c r="D936" i="16"/>
  <c r="C936" i="16"/>
  <c r="A936" i="16"/>
  <c r="I935" i="16"/>
  <c r="D935" i="16"/>
  <c r="C935" i="16"/>
  <c r="A935" i="16"/>
  <c r="I934" i="16"/>
  <c r="D934" i="16"/>
  <c r="C934" i="16"/>
  <c r="A934" i="16"/>
  <c r="I933" i="16"/>
  <c r="D933" i="16"/>
  <c r="C933" i="16"/>
  <c r="A933" i="16"/>
  <c r="I932" i="16"/>
  <c r="D932" i="16"/>
  <c r="C932" i="16"/>
  <c r="A932" i="16"/>
  <c r="I931" i="16"/>
  <c r="D931" i="16"/>
  <c r="C931" i="16"/>
  <c r="A931" i="16"/>
  <c r="I930" i="16"/>
  <c r="D930" i="16"/>
  <c r="C930" i="16"/>
  <c r="A930" i="16"/>
  <c r="I929" i="16"/>
  <c r="D929" i="16"/>
  <c r="C929" i="16"/>
  <c r="A929" i="16"/>
  <c r="I928" i="16"/>
  <c r="D928" i="16"/>
  <c r="C928" i="16"/>
  <c r="A928" i="16"/>
  <c r="I927" i="16"/>
  <c r="D927" i="16"/>
  <c r="C927" i="16"/>
  <c r="A927" i="16"/>
  <c r="I926" i="16"/>
  <c r="D926" i="16"/>
  <c r="C926" i="16"/>
  <c r="A926" i="16"/>
  <c r="I925" i="16"/>
  <c r="D925" i="16"/>
  <c r="C925" i="16"/>
  <c r="A925" i="16"/>
  <c r="I924" i="16"/>
  <c r="D924" i="16"/>
  <c r="C924" i="16"/>
  <c r="A924" i="16"/>
  <c r="I923" i="16"/>
  <c r="D923" i="16"/>
  <c r="C923" i="16"/>
  <c r="A923" i="16"/>
  <c r="I922" i="16"/>
  <c r="D922" i="16"/>
  <c r="C922" i="16"/>
  <c r="A922" i="16"/>
  <c r="I921" i="16"/>
  <c r="D921" i="16"/>
  <c r="C921" i="16"/>
  <c r="A921" i="16"/>
  <c r="I920" i="16"/>
  <c r="D920" i="16"/>
  <c r="C920" i="16"/>
  <c r="A920" i="16"/>
  <c r="I919" i="16"/>
  <c r="D919" i="16"/>
  <c r="C919" i="16"/>
  <c r="A919" i="16"/>
  <c r="I918" i="16"/>
  <c r="D918" i="16"/>
  <c r="C918" i="16"/>
  <c r="A918" i="16"/>
  <c r="I917" i="16"/>
  <c r="D917" i="16"/>
  <c r="C917" i="16"/>
  <c r="A917" i="16"/>
  <c r="I916" i="16"/>
  <c r="D916" i="16"/>
  <c r="C916" i="16"/>
  <c r="A916" i="16"/>
  <c r="I915" i="16"/>
  <c r="D915" i="16"/>
  <c r="C915" i="16"/>
  <c r="A915" i="16"/>
  <c r="I914" i="16"/>
  <c r="D914" i="16"/>
  <c r="C914" i="16"/>
  <c r="A914" i="16"/>
  <c r="I913" i="16"/>
  <c r="D913" i="16"/>
  <c r="C913" i="16"/>
  <c r="A913" i="16"/>
  <c r="I912" i="16"/>
  <c r="D912" i="16"/>
  <c r="C912" i="16"/>
  <c r="A912" i="16"/>
  <c r="I911" i="16"/>
  <c r="D911" i="16"/>
  <c r="C911" i="16"/>
  <c r="A911" i="16"/>
  <c r="I910" i="16"/>
  <c r="D910" i="16"/>
  <c r="C910" i="16"/>
  <c r="A910" i="16"/>
  <c r="I909" i="16"/>
  <c r="D909" i="16"/>
  <c r="C909" i="16"/>
  <c r="A909" i="16"/>
  <c r="I908" i="16"/>
  <c r="D908" i="16"/>
  <c r="C908" i="16"/>
  <c r="A908" i="16"/>
  <c r="I907" i="16"/>
  <c r="D907" i="16"/>
  <c r="C907" i="16"/>
  <c r="A907" i="16"/>
  <c r="I906" i="16"/>
  <c r="D906" i="16"/>
  <c r="C906" i="16"/>
  <c r="A906" i="16"/>
  <c r="I905" i="16"/>
  <c r="D905" i="16"/>
  <c r="C905" i="16"/>
  <c r="A905" i="16"/>
  <c r="I904" i="16"/>
  <c r="D904" i="16"/>
  <c r="C904" i="16"/>
  <c r="A904" i="16"/>
  <c r="I903" i="16"/>
  <c r="D903" i="16"/>
  <c r="C903" i="16"/>
  <c r="A903" i="16"/>
  <c r="I902" i="16"/>
  <c r="D902" i="16"/>
  <c r="C902" i="16"/>
  <c r="A902" i="16"/>
  <c r="I901" i="16"/>
  <c r="D901" i="16"/>
  <c r="C901" i="16"/>
  <c r="A901" i="16"/>
  <c r="I900" i="16"/>
  <c r="D900" i="16"/>
  <c r="C900" i="16"/>
  <c r="A900" i="16"/>
  <c r="I899" i="16"/>
  <c r="D899" i="16"/>
  <c r="C899" i="16"/>
  <c r="A899" i="16"/>
  <c r="I898" i="16"/>
  <c r="D898" i="16"/>
  <c r="C898" i="16"/>
  <c r="A898" i="16"/>
  <c r="I897" i="16"/>
  <c r="D897" i="16"/>
  <c r="C897" i="16"/>
  <c r="A897" i="16"/>
  <c r="I896" i="16"/>
  <c r="D896" i="16"/>
  <c r="C896" i="16"/>
  <c r="A896" i="16"/>
  <c r="I895" i="16"/>
  <c r="D895" i="16"/>
  <c r="C895" i="16"/>
  <c r="A895" i="16"/>
  <c r="I894" i="16"/>
  <c r="D894" i="16"/>
  <c r="C894" i="16"/>
  <c r="A894" i="16"/>
  <c r="I893" i="16"/>
  <c r="D893" i="16"/>
  <c r="C893" i="16"/>
  <c r="A893" i="16"/>
  <c r="I892" i="16"/>
  <c r="D892" i="16"/>
  <c r="C892" i="16"/>
  <c r="A892" i="16"/>
  <c r="I891" i="16"/>
  <c r="D891" i="16"/>
  <c r="C891" i="16"/>
  <c r="A891" i="16"/>
  <c r="I890" i="16"/>
  <c r="D890" i="16"/>
  <c r="C890" i="16"/>
  <c r="A890" i="16"/>
  <c r="I889" i="16"/>
  <c r="D889" i="16"/>
  <c r="C889" i="16"/>
  <c r="A889" i="16"/>
  <c r="I888" i="16"/>
  <c r="D888" i="16"/>
  <c r="C888" i="16"/>
  <c r="A888" i="16"/>
  <c r="I887" i="16"/>
  <c r="D887" i="16"/>
  <c r="C887" i="16"/>
  <c r="A887" i="16"/>
  <c r="I886" i="16"/>
  <c r="D886" i="16"/>
  <c r="C886" i="16"/>
  <c r="A886" i="16"/>
  <c r="I885" i="16"/>
  <c r="D885" i="16"/>
  <c r="C885" i="16"/>
  <c r="A885" i="16"/>
  <c r="I884" i="16"/>
  <c r="D884" i="16"/>
  <c r="C884" i="16"/>
  <c r="A884" i="16"/>
  <c r="I883" i="16"/>
  <c r="D883" i="16"/>
  <c r="C883" i="16"/>
  <c r="A883" i="16"/>
  <c r="I882" i="16"/>
  <c r="D882" i="16"/>
  <c r="C882" i="16"/>
  <c r="A882" i="16"/>
  <c r="I881" i="16"/>
  <c r="D881" i="16"/>
  <c r="C881" i="16"/>
  <c r="A881" i="16"/>
  <c r="I880" i="16"/>
  <c r="D880" i="16"/>
  <c r="C880" i="16"/>
  <c r="A880" i="16"/>
  <c r="I879" i="16"/>
  <c r="D879" i="16"/>
  <c r="C879" i="16"/>
  <c r="A879" i="16"/>
  <c r="I878" i="16"/>
  <c r="D878" i="16"/>
  <c r="C878" i="16"/>
  <c r="A878" i="16"/>
  <c r="I877" i="16"/>
  <c r="D877" i="16"/>
  <c r="C877" i="16"/>
  <c r="A877" i="16"/>
  <c r="I876" i="16"/>
  <c r="D876" i="16"/>
  <c r="C876" i="16"/>
  <c r="A876" i="16"/>
  <c r="I875" i="16"/>
  <c r="D875" i="16"/>
  <c r="C875" i="16"/>
  <c r="A875" i="16"/>
  <c r="I874" i="16"/>
  <c r="D874" i="16"/>
  <c r="C874" i="16"/>
  <c r="A874" i="16"/>
  <c r="I873" i="16"/>
  <c r="D873" i="16"/>
  <c r="C873" i="16"/>
  <c r="A873" i="16"/>
  <c r="I872" i="16"/>
  <c r="D872" i="16"/>
  <c r="C872" i="16"/>
  <c r="A872" i="16"/>
  <c r="I871" i="16"/>
  <c r="D871" i="16"/>
  <c r="C871" i="16"/>
  <c r="A871" i="16"/>
  <c r="I870" i="16"/>
  <c r="D870" i="16"/>
  <c r="C870" i="16"/>
  <c r="A870" i="16"/>
  <c r="I869" i="16"/>
  <c r="D869" i="16"/>
  <c r="C869" i="16"/>
  <c r="A869" i="16"/>
  <c r="I868" i="16"/>
  <c r="D868" i="16"/>
  <c r="C868" i="16"/>
  <c r="A868" i="16"/>
  <c r="I867" i="16"/>
  <c r="D867" i="16"/>
  <c r="C867" i="16"/>
  <c r="A867" i="16"/>
  <c r="I866" i="16"/>
  <c r="D866" i="16"/>
  <c r="C866" i="16"/>
  <c r="A866" i="16"/>
  <c r="I865" i="16"/>
  <c r="D865" i="16"/>
  <c r="C865" i="16"/>
  <c r="A865" i="16"/>
  <c r="I864" i="16"/>
  <c r="D864" i="16"/>
  <c r="C864" i="16"/>
  <c r="A864" i="16"/>
  <c r="I863" i="16"/>
  <c r="D863" i="16"/>
  <c r="C863" i="16"/>
  <c r="A863" i="16"/>
  <c r="I862" i="16"/>
  <c r="D862" i="16"/>
  <c r="C862" i="16"/>
  <c r="A862" i="16"/>
  <c r="I861" i="16"/>
  <c r="D861" i="16"/>
  <c r="C861" i="16"/>
  <c r="A861" i="16"/>
  <c r="I860" i="16"/>
  <c r="D860" i="16"/>
  <c r="C860" i="16"/>
  <c r="A860" i="16"/>
  <c r="I859" i="16"/>
  <c r="D859" i="16"/>
  <c r="C859" i="16"/>
  <c r="A859" i="16"/>
  <c r="I858" i="16"/>
  <c r="D858" i="16"/>
  <c r="C858" i="16"/>
  <c r="A858" i="16"/>
  <c r="I857" i="16"/>
  <c r="D857" i="16"/>
  <c r="C857" i="16"/>
  <c r="A857" i="16"/>
  <c r="I856" i="16"/>
  <c r="D856" i="16"/>
  <c r="C856" i="16"/>
  <c r="A856" i="16"/>
  <c r="I855" i="16"/>
  <c r="D855" i="16"/>
  <c r="C855" i="16"/>
  <c r="A855" i="16"/>
  <c r="I854" i="16"/>
  <c r="D854" i="16"/>
  <c r="C854" i="16"/>
  <c r="A854" i="16"/>
  <c r="I853" i="16"/>
  <c r="D853" i="16"/>
  <c r="C853" i="16"/>
  <c r="A853" i="16"/>
  <c r="I852" i="16"/>
  <c r="D852" i="16"/>
  <c r="C852" i="16"/>
  <c r="A852" i="16"/>
  <c r="I851" i="16"/>
  <c r="D851" i="16"/>
  <c r="C851" i="16"/>
  <c r="A851" i="16"/>
  <c r="I850" i="16"/>
  <c r="D850" i="16"/>
  <c r="C850" i="16"/>
  <c r="A850" i="16"/>
  <c r="I849" i="16"/>
  <c r="D849" i="16"/>
  <c r="C849" i="16"/>
  <c r="A849" i="16"/>
  <c r="I848" i="16"/>
  <c r="D848" i="16"/>
  <c r="C848" i="16"/>
  <c r="A848" i="16"/>
  <c r="I847" i="16"/>
  <c r="D847" i="16"/>
  <c r="C847" i="16"/>
  <c r="A847" i="16"/>
  <c r="I846" i="16"/>
  <c r="D846" i="16"/>
  <c r="C846" i="16"/>
  <c r="A846" i="16"/>
  <c r="I845" i="16"/>
  <c r="D845" i="16"/>
  <c r="C845" i="16"/>
  <c r="A845" i="16"/>
  <c r="I844" i="16"/>
  <c r="D844" i="16"/>
  <c r="C844" i="16"/>
  <c r="A844" i="16"/>
  <c r="I843" i="16"/>
  <c r="D843" i="16"/>
  <c r="C843" i="16"/>
  <c r="A843" i="16"/>
  <c r="I842" i="16"/>
  <c r="D842" i="16"/>
  <c r="C842" i="16"/>
  <c r="A842" i="16"/>
  <c r="I841" i="16"/>
  <c r="D841" i="16"/>
  <c r="C841" i="16"/>
  <c r="A841" i="16"/>
  <c r="I840" i="16"/>
  <c r="D840" i="16"/>
  <c r="C840" i="16"/>
  <c r="A840" i="16"/>
  <c r="I839" i="16"/>
  <c r="D839" i="16"/>
  <c r="C839" i="16"/>
  <c r="A839" i="16"/>
  <c r="I838" i="16"/>
  <c r="D838" i="16"/>
  <c r="C838" i="16"/>
  <c r="A838" i="16"/>
  <c r="I837" i="16"/>
  <c r="D837" i="16"/>
  <c r="C837" i="16"/>
  <c r="A837" i="16"/>
  <c r="I836" i="16"/>
  <c r="D836" i="16"/>
  <c r="C836" i="16"/>
  <c r="A836" i="16"/>
  <c r="I835" i="16"/>
  <c r="D835" i="16"/>
  <c r="C835" i="16"/>
  <c r="A835" i="16"/>
  <c r="I834" i="16"/>
  <c r="D834" i="16"/>
  <c r="C834" i="16"/>
  <c r="A834" i="16"/>
  <c r="I833" i="16"/>
  <c r="D833" i="16"/>
  <c r="C833" i="16"/>
  <c r="A833" i="16"/>
  <c r="I832" i="16"/>
  <c r="D832" i="16"/>
  <c r="C832" i="16"/>
  <c r="A832" i="16"/>
  <c r="I831" i="16"/>
  <c r="D831" i="16"/>
  <c r="C831" i="16"/>
  <c r="A831" i="16"/>
  <c r="I830" i="16"/>
  <c r="D830" i="16"/>
  <c r="C830" i="16"/>
  <c r="A830" i="16"/>
  <c r="I829" i="16"/>
  <c r="D829" i="16"/>
  <c r="C829" i="16"/>
  <c r="A829" i="16"/>
  <c r="I828" i="16"/>
  <c r="D828" i="16"/>
  <c r="C828" i="16"/>
  <c r="A828" i="16"/>
  <c r="I827" i="16"/>
  <c r="D827" i="16"/>
  <c r="C827" i="16"/>
  <c r="A827" i="16"/>
  <c r="I826" i="16"/>
  <c r="D826" i="16"/>
  <c r="C826" i="16"/>
  <c r="A826" i="16"/>
  <c r="I825" i="16"/>
  <c r="D825" i="16"/>
  <c r="C825" i="16"/>
  <c r="A825" i="16"/>
  <c r="I824" i="16"/>
  <c r="D824" i="16"/>
  <c r="C824" i="16"/>
  <c r="A824" i="16"/>
  <c r="I823" i="16"/>
  <c r="D823" i="16"/>
  <c r="C823" i="16"/>
  <c r="A823" i="16"/>
  <c r="I822" i="16"/>
  <c r="D822" i="16"/>
  <c r="C822" i="16"/>
  <c r="A822" i="16"/>
  <c r="I821" i="16"/>
  <c r="D821" i="16"/>
  <c r="C821" i="16"/>
  <c r="A821" i="16"/>
  <c r="I820" i="16"/>
  <c r="D820" i="16"/>
  <c r="C820" i="16"/>
  <c r="A820" i="16"/>
  <c r="I819" i="16"/>
  <c r="D819" i="16"/>
  <c r="C819" i="16"/>
  <c r="A819" i="16"/>
  <c r="I818" i="16"/>
  <c r="D818" i="16"/>
  <c r="C818" i="16"/>
  <c r="A818" i="16"/>
  <c r="I817" i="16"/>
  <c r="D817" i="16"/>
  <c r="C817" i="16"/>
  <c r="A817" i="16"/>
  <c r="I816" i="16"/>
  <c r="D816" i="16"/>
  <c r="C816" i="16"/>
  <c r="A816" i="16"/>
  <c r="I815" i="16"/>
  <c r="D815" i="16"/>
  <c r="C815" i="16"/>
  <c r="A815" i="16"/>
  <c r="I814" i="16"/>
  <c r="D814" i="16"/>
  <c r="C814" i="16"/>
  <c r="A814" i="16"/>
  <c r="I813" i="16"/>
  <c r="D813" i="16"/>
  <c r="C813" i="16"/>
  <c r="A813" i="16"/>
  <c r="I812" i="16"/>
  <c r="D812" i="16"/>
  <c r="C812" i="16"/>
  <c r="A812" i="16"/>
  <c r="I811" i="16"/>
  <c r="D811" i="16"/>
  <c r="C811" i="16"/>
  <c r="A811" i="16"/>
  <c r="I810" i="16"/>
  <c r="D810" i="16"/>
  <c r="C810" i="16"/>
  <c r="A810" i="16"/>
  <c r="I809" i="16"/>
  <c r="D809" i="16"/>
  <c r="C809" i="16"/>
  <c r="A809" i="16"/>
  <c r="I808" i="16"/>
  <c r="D808" i="16"/>
  <c r="C808" i="16"/>
  <c r="A808" i="16"/>
  <c r="I807" i="16"/>
  <c r="D807" i="16"/>
  <c r="C807" i="16"/>
  <c r="A807" i="16"/>
  <c r="I806" i="16"/>
  <c r="D806" i="16"/>
  <c r="C806" i="16"/>
  <c r="A806" i="16"/>
  <c r="I805" i="16"/>
  <c r="D805" i="16"/>
  <c r="C805" i="16"/>
  <c r="A805" i="16"/>
  <c r="I804" i="16"/>
  <c r="D804" i="16"/>
  <c r="C804" i="16"/>
  <c r="A804" i="16"/>
  <c r="I803" i="16"/>
  <c r="D803" i="16"/>
  <c r="C803" i="16"/>
  <c r="A803" i="16"/>
  <c r="I802" i="16"/>
  <c r="D802" i="16"/>
  <c r="C802" i="16"/>
  <c r="A802" i="16"/>
  <c r="I801" i="16"/>
  <c r="D801" i="16"/>
  <c r="C801" i="16"/>
  <c r="A801" i="16"/>
  <c r="I800" i="16"/>
  <c r="D800" i="16"/>
  <c r="C800" i="16"/>
  <c r="A800" i="16"/>
  <c r="I799" i="16"/>
  <c r="D799" i="16"/>
  <c r="C799" i="16"/>
  <c r="A799" i="16"/>
  <c r="I798" i="16"/>
  <c r="D798" i="16"/>
  <c r="C798" i="16"/>
  <c r="A798" i="16"/>
  <c r="I797" i="16"/>
  <c r="D797" i="16"/>
  <c r="C797" i="16"/>
  <c r="A797" i="16"/>
  <c r="I796" i="16"/>
  <c r="D796" i="16"/>
  <c r="C796" i="16"/>
  <c r="A796" i="16"/>
  <c r="I795" i="16"/>
  <c r="D795" i="16"/>
  <c r="C795" i="16"/>
  <c r="A795" i="16"/>
  <c r="I794" i="16"/>
  <c r="D794" i="16"/>
  <c r="C794" i="16"/>
  <c r="A794" i="16"/>
  <c r="I793" i="16"/>
  <c r="D793" i="16"/>
  <c r="C793" i="16"/>
  <c r="A793" i="16"/>
  <c r="I792" i="16"/>
  <c r="D792" i="16"/>
  <c r="C792" i="16"/>
  <c r="A792" i="16"/>
  <c r="I791" i="16"/>
  <c r="D791" i="16"/>
  <c r="C791" i="16"/>
  <c r="A791" i="16"/>
  <c r="I790" i="16"/>
  <c r="D790" i="16"/>
  <c r="C790" i="16"/>
  <c r="A790" i="16"/>
  <c r="I789" i="16"/>
  <c r="D789" i="16"/>
  <c r="C789" i="16"/>
  <c r="A789" i="16"/>
  <c r="I788" i="16"/>
  <c r="D788" i="16"/>
  <c r="C788" i="16"/>
  <c r="A788" i="16"/>
  <c r="I787" i="16"/>
  <c r="D787" i="16"/>
  <c r="C787" i="16"/>
  <c r="A787" i="16"/>
  <c r="I786" i="16"/>
  <c r="D786" i="16"/>
  <c r="C786" i="16"/>
  <c r="A786" i="16"/>
  <c r="I785" i="16"/>
  <c r="D785" i="16"/>
  <c r="C785" i="16"/>
  <c r="A785" i="16"/>
  <c r="I784" i="16"/>
  <c r="D784" i="16"/>
  <c r="C784" i="16"/>
  <c r="A784" i="16"/>
  <c r="I783" i="16"/>
  <c r="D783" i="16"/>
  <c r="C783" i="16"/>
  <c r="A783" i="16"/>
  <c r="I782" i="16"/>
  <c r="D782" i="16"/>
  <c r="C782" i="16"/>
  <c r="A782" i="16"/>
  <c r="I781" i="16"/>
  <c r="D781" i="16"/>
  <c r="C781" i="16"/>
  <c r="A781" i="16"/>
  <c r="I780" i="16"/>
  <c r="D780" i="16"/>
  <c r="C780" i="16"/>
  <c r="A780" i="16"/>
  <c r="I779" i="16"/>
  <c r="D779" i="16"/>
  <c r="C779" i="16"/>
  <c r="A779" i="16"/>
  <c r="I778" i="16"/>
  <c r="D778" i="16"/>
  <c r="C778" i="16"/>
  <c r="A778" i="16"/>
  <c r="I777" i="16"/>
  <c r="D777" i="16"/>
  <c r="C777" i="16"/>
  <c r="A777" i="16"/>
  <c r="I776" i="16"/>
  <c r="D776" i="16"/>
  <c r="C776" i="16"/>
  <c r="A776" i="16"/>
  <c r="I775" i="16"/>
  <c r="D775" i="16"/>
  <c r="C775" i="16"/>
  <c r="A775" i="16"/>
  <c r="I774" i="16"/>
  <c r="D774" i="16"/>
  <c r="C774" i="16"/>
  <c r="A774" i="16"/>
  <c r="I773" i="16"/>
  <c r="D773" i="16"/>
  <c r="C773" i="16"/>
  <c r="A773" i="16"/>
  <c r="I772" i="16"/>
  <c r="D772" i="16"/>
  <c r="C772" i="16"/>
  <c r="A772" i="16"/>
  <c r="I771" i="16"/>
  <c r="D771" i="16"/>
  <c r="C771" i="16"/>
  <c r="A771" i="16"/>
  <c r="I770" i="16"/>
  <c r="D770" i="16"/>
  <c r="C770" i="16"/>
  <c r="A770" i="16"/>
  <c r="I769" i="16"/>
  <c r="D769" i="16"/>
  <c r="C769" i="16"/>
  <c r="A769" i="16"/>
  <c r="I768" i="16"/>
  <c r="D768" i="16"/>
  <c r="C768" i="16"/>
  <c r="A768" i="16"/>
  <c r="I767" i="16"/>
  <c r="D767" i="16"/>
  <c r="C767" i="16"/>
  <c r="A767" i="16"/>
  <c r="I766" i="16"/>
  <c r="D766" i="16"/>
  <c r="C766" i="16"/>
  <c r="A766" i="16"/>
  <c r="I765" i="16"/>
  <c r="D765" i="16"/>
  <c r="C765" i="16"/>
  <c r="A765" i="16"/>
  <c r="I764" i="16"/>
  <c r="D764" i="16"/>
  <c r="C764" i="16"/>
  <c r="A764" i="16"/>
  <c r="I763" i="16"/>
  <c r="D763" i="16"/>
  <c r="C763" i="16"/>
  <c r="A763" i="16"/>
  <c r="I762" i="16"/>
  <c r="D762" i="16"/>
  <c r="C762" i="16"/>
  <c r="A762" i="16"/>
  <c r="I761" i="16"/>
  <c r="D761" i="16"/>
  <c r="C761" i="16"/>
  <c r="A761" i="16"/>
  <c r="I760" i="16"/>
  <c r="D760" i="16"/>
  <c r="C760" i="16"/>
  <c r="A760" i="16"/>
  <c r="I759" i="16"/>
  <c r="D759" i="16"/>
  <c r="C759" i="16"/>
  <c r="A759" i="16"/>
  <c r="I758" i="16"/>
  <c r="D758" i="16"/>
  <c r="C758" i="16"/>
  <c r="A758" i="16"/>
  <c r="I757" i="16"/>
  <c r="D757" i="16"/>
  <c r="C757" i="16"/>
  <c r="A757" i="16"/>
  <c r="I756" i="16"/>
  <c r="D756" i="16"/>
  <c r="C756" i="16"/>
  <c r="A756" i="16"/>
  <c r="I755" i="16"/>
  <c r="D755" i="16"/>
  <c r="C755" i="16"/>
  <c r="A755" i="16"/>
  <c r="I754" i="16"/>
  <c r="D754" i="16"/>
  <c r="C754" i="16"/>
  <c r="A754" i="16"/>
  <c r="I753" i="16"/>
  <c r="D753" i="16"/>
  <c r="C753" i="16"/>
  <c r="A753" i="16"/>
  <c r="I752" i="16"/>
  <c r="D752" i="16"/>
  <c r="C752" i="16"/>
  <c r="A752" i="16"/>
  <c r="I751" i="16"/>
  <c r="D751" i="16"/>
  <c r="C751" i="16"/>
  <c r="A751" i="16"/>
  <c r="I750" i="16"/>
  <c r="D750" i="16"/>
  <c r="C750" i="16"/>
  <c r="A750" i="16"/>
  <c r="I749" i="16"/>
  <c r="D749" i="16"/>
  <c r="C749" i="16"/>
  <c r="A749" i="16"/>
  <c r="I748" i="16"/>
  <c r="D748" i="16"/>
  <c r="C748" i="16"/>
  <c r="A748" i="16"/>
  <c r="I747" i="16"/>
  <c r="D747" i="16"/>
  <c r="C747" i="16"/>
  <c r="A747" i="16"/>
  <c r="I746" i="16"/>
  <c r="D746" i="16"/>
  <c r="C746" i="16"/>
  <c r="A746" i="16"/>
  <c r="I745" i="16"/>
  <c r="D745" i="16"/>
  <c r="C745" i="16"/>
  <c r="A745" i="16"/>
  <c r="I744" i="16"/>
  <c r="D744" i="16"/>
  <c r="C744" i="16"/>
  <c r="A744" i="16"/>
  <c r="I743" i="16"/>
  <c r="D743" i="16"/>
  <c r="C743" i="16"/>
  <c r="A743" i="16"/>
  <c r="I742" i="16"/>
  <c r="D742" i="16"/>
  <c r="C742" i="16"/>
  <c r="A742" i="16"/>
  <c r="I741" i="16"/>
  <c r="D741" i="16"/>
  <c r="C741" i="16"/>
  <c r="A741" i="16"/>
  <c r="I740" i="16"/>
  <c r="D740" i="16"/>
  <c r="C740" i="16"/>
  <c r="A740" i="16"/>
  <c r="I739" i="16"/>
  <c r="D739" i="16"/>
  <c r="C739" i="16"/>
  <c r="A739" i="16"/>
  <c r="I738" i="16"/>
  <c r="D738" i="16"/>
  <c r="C738" i="16"/>
  <c r="A738" i="16"/>
  <c r="I737" i="16"/>
  <c r="D737" i="16"/>
  <c r="C737" i="16"/>
  <c r="A737" i="16"/>
  <c r="I736" i="16"/>
  <c r="D736" i="16"/>
  <c r="C736" i="16"/>
  <c r="A736" i="16"/>
  <c r="I735" i="16"/>
  <c r="D735" i="16"/>
  <c r="C735" i="16"/>
  <c r="A735" i="16"/>
  <c r="I734" i="16"/>
  <c r="D734" i="16"/>
  <c r="C734" i="16"/>
  <c r="A734" i="16"/>
  <c r="I733" i="16"/>
  <c r="D733" i="16"/>
  <c r="C733" i="16"/>
  <c r="A733" i="16"/>
  <c r="I732" i="16"/>
  <c r="D732" i="16"/>
  <c r="C732" i="16"/>
  <c r="A732" i="16"/>
  <c r="I731" i="16"/>
  <c r="D731" i="16"/>
  <c r="C731" i="16"/>
  <c r="A731" i="16"/>
  <c r="I730" i="16"/>
  <c r="D730" i="16"/>
  <c r="C730" i="16"/>
  <c r="A730" i="16"/>
  <c r="I729" i="16"/>
  <c r="D729" i="16"/>
  <c r="C729" i="16"/>
  <c r="A729" i="16"/>
  <c r="I728" i="16"/>
  <c r="D728" i="16"/>
  <c r="C728" i="16"/>
  <c r="A728" i="16"/>
  <c r="I727" i="16"/>
  <c r="D727" i="16"/>
  <c r="C727" i="16"/>
  <c r="A727" i="16"/>
  <c r="I726" i="16"/>
  <c r="D726" i="16"/>
  <c r="C726" i="16"/>
  <c r="A726" i="16"/>
  <c r="I725" i="16"/>
  <c r="D725" i="16"/>
  <c r="C725" i="16"/>
  <c r="A725" i="16"/>
  <c r="I724" i="16"/>
  <c r="D724" i="16"/>
  <c r="C724" i="16"/>
  <c r="A724" i="16"/>
  <c r="I723" i="16"/>
  <c r="D723" i="16"/>
  <c r="C723" i="16"/>
  <c r="A723" i="16"/>
  <c r="I722" i="16"/>
  <c r="D722" i="16"/>
  <c r="C722" i="16"/>
  <c r="A722" i="16"/>
  <c r="I721" i="16"/>
  <c r="D721" i="16"/>
  <c r="C721" i="16"/>
  <c r="A721" i="16"/>
  <c r="I720" i="16"/>
  <c r="D720" i="16"/>
  <c r="C720" i="16"/>
  <c r="A720" i="16"/>
  <c r="I719" i="16"/>
  <c r="D719" i="16"/>
  <c r="C719" i="16"/>
  <c r="A719" i="16"/>
  <c r="I718" i="16"/>
  <c r="D718" i="16"/>
  <c r="C718" i="16"/>
  <c r="A718" i="16"/>
  <c r="I717" i="16"/>
  <c r="D717" i="16"/>
  <c r="C717" i="16"/>
  <c r="A717" i="16"/>
  <c r="I716" i="16"/>
  <c r="D716" i="16"/>
  <c r="C716" i="16"/>
  <c r="A716" i="16"/>
  <c r="I715" i="16"/>
  <c r="D715" i="16"/>
  <c r="C715" i="16"/>
  <c r="A715" i="16"/>
  <c r="I714" i="16"/>
  <c r="D714" i="16"/>
  <c r="C714" i="16"/>
  <c r="A714" i="16"/>
  <c r="I713" i="16"/>
  <c r="D713" i="16"/>
  <c r="C713" i="16"/>
  <c r="A713" i="16"/>
  <c r="I712" i="16"/>
  <c r="D712" i="16"/>
  <c r="C712" i="16"/>
  <c r="A712" i="16"/>
  <c r="I711" i="16"/>
  <c r="D711" i="16"/>
  <c r="C711" i="16"/>
  <c r="A711" i="16"/>
  <c r="I710" i="16"/>
  <c r="D710" i="16"/>
  <c r="C710" i="16"/>
  <c r="A710" i="16"/>
  <c r="I709" i="16"/>
  <c r="D709" i="16"/>
  <c r="C709" i="16"/>
  <c r="A709" i="16"/>
  <c r="I708" i="16"/>
  <c r="D708" i="16"/>
  <c r="C708" i="16"/>
  <c r="A708" i="16"/>
  <c r="I707" i="16"/>
  <c r="D707" i="16"/>
  <c r="C707" i="16"/>
  <c r="A707" i="16"/>
  <c r="I706" i="16"/>
  <c r="D706" i="16"/>
  <c r="C706" i="16"/>
  <c r="A706" i="16"/>
  <c r="I705" i="16"/>
  <c r="D705" i="16"/>
  <c r="C705" i="16"/>
  <c r="A705" i="16"/>
  <c r="I704" i="16"/>
  <c r="D704" i="16"/>
  <c r="C704" i="16"/>
  <c r="A704" i="16"/>
  <c r="I703" i="16"/>
  <c r="D703" i="16"/>
  <c r="C703" i="16"/>
  <c r="A703" i="16"/>
  <c r="I702" i="16"/>
  <c r="D702" i="16"/>
  <c r="C702" i="16"/>
  <c r="A702" i="16"/>
  <c r="I701" i="16"/>
  <c r="D701" i="16"/>
  <c r="C701" i="16"/>
  <c r="A701" i="16"/>
  <c r="I700" i="16"/>
  <c r="D700" i="16"/>
  <c r="C700" i="16"/>
  <c r="A700" i="16"/>
  <c r="I699" i="16"/>
  <c r="D699" i="16"/>
  <c r="C699" i="16"/>
  <c r="A699" i="16"/>
  <c r="I698" i="16"/>
  <c r="D698" i="16"/>
  <c r="C698" i="16"/>
  <c r="A698" i="16"/>
  <c r="I697" i="16"/>
  <c r="D697" i="16"/>
  <c r="C697" i="16"/>
  <c r="A697" i="16"/>
  <c r="I696" i="16"/>
  <c r="D696" i="16"/>
  <c r="C696" i="16"/>
  <c r="A696" i="16"/>
  <c r="I695" i="16"/>
  <c r="D695" i="16"/>
  <c r="C695" i="16"/>
  <c r="A695" i="16"/>
  <c r="I694" i="16"/>
  <c r="D694" i="16"/>
  <c r="C694" i="16"/>
  <c r="A694" i="16"/>
  <c r="I693" i="16"/>
  <c r="D693" i="16"/>
  <c r="C693" i="16"/>
  <c r="A693" i="16"/>
  <c r="I692" i="16"/>
  <c r="D692" i="16"/>
  <c r="C692" i="16"/>
  <c r="A692" i="16"/>
  <c r="I691" i="16"/>
  <c r="D691" i="16"/>
  <c r="C691" i="16"/>
  <c r="A691" i="16"/>
  <c r="I690" i="16"/>
  <c r="D690" i="16"/>
  <c r="C690" i="16"/>
  <c r="A690" i="16"/>
  <c r="I689" i="16"/>
  <c r="D689" i="16"/>
  <c r="C689" i="16"/>
  <c r="A689" i="16"/>
  <c r="I688" i="16"/>
  <c r="D688" i="16"/>
  <c r="C688" i="16"/>
  <c r="A688" i="16"/>
  <c r="I687" i="16"/>
  <c r="D687" i="16"/>
  <c r="C687" i="16"/>
  <c r="A687" i="16"/>
  <c r="I686" i="16"/>
  <c r="D686" i="16"/>
  <c r="C686" i="16"/>
  <c r="A686" i="16"/>
  <c r="I685" i="16"/>
  <c r="D685" i="16"/>
  <c r="C685" i="16"/>
  <c r="A685" i="16"/>
  <c r="I684" i="16"/>
  <c r="D684" i="16"/>
  <c r="C684" i="16"/>
  <c r="A684" i="16"/>
  <c r="I683" i="16"/>
  <c r="D683" i="16"/>
  <c r="C683" i="16"/>
  <c r="A683" i="16"/>
  <c r="I682" i="16"/>
  <c r="D682" i="16"/>
  <c r="C682" i="16"/>
  <c r="A682" i="16"/>
  <c r="I681" i="16"/>
  <c r="D681" i="16"/>
  <c r="C681" i="16"/>
  <c r="A681" i="16"/>
  <c r="I680" i="16"/>
  <c r="D680" i="16"/>
  <c r="C680" i="16"/>
  <c r="A680" i="16"/>
  <c r="I679" i="16"/>
  <c r="D679" i="16"/>
  <c r="C679" i="16"/>
  <c r="A679" i="16"/>
  <c r="I678" i="16"/>
  <c r="D678" i="16"/>
  <c r="C678" i="16"/>
  <c r="A678" i="16"/>
  <c r="I677" i="16"/>
  <c r="D677" i="16"/>
  <c r="C677" i="16"/>
  <c r="A677" i="16"/>
  <c r="I676" i="16"/>
  <c r="D676" i="16"/>
  <c r="C676" i="16"/>
  <c r="A676" i="16"/>
  <c r="I675" i="16"/>
  <c r="D675" i="16"/>
  <c r="C675" i="16"/>
  <c r="A675" i="16"/>
  <c r="I674" i="16"/>
  <c r="D674" i="16"/>
  <c r="C674" i="16"/>
  <c r="A674" i="16"/>
  <c r="I673" i="16"/>
  <c r="D673" i="16"/>
  <c r="C673" i="16"/>
  <c r="A673" i="16"/>
  <c r="I672" i="16"/>
  <c r="D672" i="16"/>
  <c r="C672" i="16"/>
  <c r="A672" i="16"/>
  <c r="I671" i="16"/>
  <c r="D671" i="16"/>
  <c r="C671" i="16"/>
  <c r="A671" i="16"/>
  <c r="I670" i="16"/>
  <c r="D670" i="16"/>
  <c r="C670" i="16"/>
  <c r="A670" i="16"/>
  <c r="I669" i="16"/>
  <c r="D669" i="16"/>
  <c r="C669" i="16"/>
  <c r="A669" i="16"/>
  <c r="I668" i="16"/>
  <c r="D668" i="16"/>
  <c r="C668" i="16"/>
  <c r="A668" i="16"/>
  <c r="I667" i="16"/>
  <c r="D667" i="16"/>
  <c r="C667" i="16"/>
  <c r="A667" i="16"/>
  <c r="I666" i="16"/>
  <c r="D666" i="16"/>
  <c r="C666" i="16"/>
  <c r="A666" i="16"/>
  <c r="I665" i="16"/>
  <c r="D665" i="16"/>
  <c r="C665" i="16"/>
  <c r="A665" i="16"/>
  <c r="I664" i="16"/>
  <c r="D664" i="16"/>
  <c r="C664" i="16"/>
  <c r="A664" i="16"/>
  <c r="I663" i="16"/>
  <c r="D663" i="16"/>
  <c r="C663" i="16"/>
  <c r="A663" i="16"/>
  <c r="I662" i="16"/>
  <c r="D662" i="16"/>
  <c r="C662" i="16"/>
  <c r="A662" i="16"/>
  <c r="I661" i="16"/>
  <c r="D661" i="16"/>
  <c r="C661" i="16"/>
  <c r="A661" i="16"/>
  <c r="I660" i="16"/>
  <c r="D660" i="16"/>
  <c r="C660" i="16"/>
  <c r="A660" i="16"/>
  <c r="I659" i="16"/>
  <c r="D659" i="16"/>
  <c r="C659" i="16"/>
  <c r="A659" i="16"/>
  <c r="I658" i="16"/>
  <c r="D658" i="16"/>
  <c r="C658" i="16"/>
  <c r="A658" i="16"/>
  <c r="I657" i="16"/>
  <c r="D657" i="16"/>
  <c r="C657" i="16"/>
  <c r="A657" i="16"/>
  <c r="I656" i="16"/>
  <c r="D656" i="16"/>
  <c r="C656" i="16"/>
  <c r="A656" i="16"/>
  <c r="I655" i="16"/>
  <c r="D655" i="16"/>
  <c r="C655" i="16"/>
  <c r="A655" i="16"/>
  <c r="I654" i="16"/>
  <c r="D654" i="16"/>
  <c r="C654" i="16"/>
  <c r="A654" i="16"/>
  <c r="I653" i="16"/>
  <c r="D653" i="16"/>
  <c r="C653" i="16"/>
  <c r="A653" i="16"/>
  <c r="I652" i="16"/>
  <c r="D652" i="16"/>
  <c r="C652" i="16"/>
  <c r="A652" i="16"/>
  <c r="I651" i="16"/>
  <c r="D651" i="16"/>
  <c r="C651" i="16"/>
  <c r="A651" i="16"/>
  <c r="I650" i="16"/>
  <c r="D650" i="16"/>
  <c r="C650" i="16"/>
  <c r="A650" i="16"/>
  <c r="I649" i="16"/>
  <c r="D649" i="16"/>
  <c r="C649" i="16"/>
  <c r="A649" i="16"/>
  <c r="I648" i="16"/>
  <c r="D648" i="16"/>
  <c r="C648" i="16"/>
  <c r="A648" i="16"/>
  <c r="I647" i="16"/>
  <c r="D647" i="16"/>
  <c r="C647" i="16"/>
  <c r="A647" i="16"/>
  <c r="I646" i="16"/>
  <c r="D646" i="16"/>
  <c r="C646" i="16"/>
  <c r="A646" i="16"/>
  <c r="I645" i="16"/>
  <c r="D645" i="16"/>
  <c r="C645" i="16"/>
  <c r="A645" i="16"/>
  <c r="I644" i="16"/>
  <c r="D644" i="16"/>
  <c r="C644" i="16"/>
  <c r="A644" i="16"/>
  <c r="I643" i="16"/>
  <c r="D643" i="16"/>
  <c r="C643" i="16"/>
  <c r="A643" i="16"/>
  <c r="I642" i="16"/>
  <c r="D642" i="16"/>
  <c r="C642" i="16"/>
  <c r="A642" i="16"/>
  <c r="I641" i="16"/>
  <c r="D641" i="16"/>
  <c r="C641" i="16"/>
  <c r="A641" i="16"/>
  <c r="I640" i="16"/>
  <c r="D640" i="16"/>
  <c r="C640" i="16"/>
  <c r="A640" i="16"/>
  <c r="I639" i="16"/>
  <c r="D639" i="16"/>
  <c r="C639" i="16"/>
  <c r="A639" i="16"/>
  <c r="I638" i="16"/>
  <c r="D638" i="16"/>
  <c r="C638" i="16"/>
  <c r="A638" i="16"/>
  <c r="I637" i="16"/>
  <c r="D637" i="16"/>
  <c r="C637" i="16"/>
  <c r="A637" i="16"/>
  <c r="I636" i="16"/>
  <c r="D636" i="16"/>
  <c r="C636" i="16"/>
  <c r="A636" i="16"/>
  <c r="I635" i="16"/>
  <c r="D635" i="16"/>
  <c r="C635" i="16"/>
  <c r="A635" i="16"/>
  <c r="I634" i="16"/>
  <c r="D634" i="16"/>
  <c r="C634" i="16"/>
  <c r="A634" i="16"/>
  <c r="I633" i="16"/>
  <c r="D633" i="16"/>
  <c r="C633" i="16"/>
  <c r="A633" i="16"/>
  <c r="I632" i="16"/>
  <c r="D632" i="16"/>
  <c r="C632" i="16"/>
  <c r="A632" i="16"/>
  <c r="I631" i="16"/>
  <c r="D631" i="16"/>
  <c r="C631" i="16"/>
  <c r="A631" i="16"/>
  <c r="I630" i="16"/>
  <c r="D630" i="16"/>
  <c r="C630" i="16"/>
  <c r="A630" i="16"/>
  <c r="I629" i="16"/>
  <c r="D629" i="16"/>
  <c r="C629" i="16"/>
  <c r="A629" i="16"/>
  <c r="I628" i="16"/>
  <c r="D628" i="16"/>
  <c r="C628" i="16"/>
  <c r="A628" i="16"/>
  <c r="I627" i="16"/>
  <c r="D627" i="16"/>
  <c r="C627" i="16"/>
  <c r="A627" i="16"/>
  <c r="I626" i="16"/>
  <c r="D626" i="16"/>
  <c r="C626" i="16"/>
  <c r="A626" i="16"/>
  <c r="I625" i="16"/>
  <c r="D625" i="16"/>
  <c r="C625" i="16"/>
  <c r="A625" i="16"/>
  <c r="I624" i="16"/>
  <c r="D624" i="16"/>
  <c r="C624" i="16"/>
  <c r="A624" i="16"/>
  <c r="I623" i="16"/>
  <c r="D623" i="16"/>
  <c r="C623" i="16"/>
  <c r="A623" i="16"/>
  <c r="I622" i="16"/>
  <c r="D622" i="16"/>
  <c r="C622" i="16"/>
  <c r="A622" i="16"/>
  <c r="I621" i="16"/>
  <c r="D621" i="16"/>
  <c r="C621" i="16"/>
  <c r="A621" i="16"/>
  <c r="I620" i="16"/>
  <c r="D620" i="16"/>
  <c r="C620" i="16"/>
  <c r="A620" i="16"/>
  <c r="I619" i="16"/>
  <c r="D619" i="16"/>
  <c r="C619" i="16"/>
  <c r="A619" i="16"/>
  <c r="I618" i="16"/>
  <c r="D618" i="16"/>
  <c r="C618" i="16"/>
  <c r="A618" i="16"/>
  <c r="I617" i="16"/>
  <c r="D617" i="16"/>
  <c r="C617" i="16"/>
  <c r="A617" i="16"/>
  <c r="I616" i="16"/>
  <c r="D616" i="16"/>
  <c r="C616" i="16"/>
  <c r="A616" i="16"/>
  <c r="I615" i="16"/>
  <c r="D615" i="16"/>
  <c r="C615" i="16"/>
  <c r="A615" i="16"/>
  <c r="I614" i="16"/>
  <c r="D614" i="16"/>
  <c r="C614" i="16"/>
  <c r="A614" i="16"/>
  <c r="I613" i="16"/>
  <c r="D613" i="16"/>
  <c r="C613" i="16"/>
  <c r="A613" i="16"/>
  <c r="I612" i="16"/>
  <c r="D612" i="16"/>
  <c r="C612" i="16"/>
  <c r="A612" i="16"/>
  <c r="I611" i="16"/>
  <c r="D611" i="16"/>
  <c r="C611" i="16"/>
  <c r="A611" i="16"/>
  <c r="I610" i="16"/>
  <c r="D610" i="16"/>
  <c r="C610" i="16"/>
  <c r="A610" i="16"/>
  <c r="I609" i="16"/>
  <c r="D609" i="16"/>
  <c r="C609" i="16"/>
  <c r="A609" i="16"/>
  <c r="I608" i="16"/>
  <c r="D608" i="16"/>
  <c r="C608" i="16"/>
  <c r="A608" i="16"/>
  <c r="I607" i="16"/>
  <c r="D607" i="16"/>
  <c r="C607" i="16"/>
  <c r="A607" i="16"/>
  <c r="I606" i="16"/>
  <c r="D606" i="16"/>
  <c r="C606" i="16"/>
  <c r="A606" i="16"/>
  <c r="I605" i="16"/>
  <c r="D605" i="16"/>
  <c r="C605" i="16"/>
  <c r="A605" i="16"/>
  <c r="I604" i="16"/>
  <c r="D604" i="16"/>
  <c r="C604" i="16"/>
  <c r="A604" i="16"/>
  <c r="I603" i="16"/>
  <c r="D603" i="16"/>
  <c r="C603" i="16"/>
  <c r="A603" i="16"/>
  <c r="I602" i="16"/>
  <c r="D602" i="16"/>
  <c r="C602" i="16"/>
  <c r="A602" i="16"/>
  <c r="I601" i="16"/>
  <c r="D601" i="16"/>
  <c r="C601" i="16"/>
  <c r="A601" i="16"/>
  <c r="I600" i="16"/>
  <c r="D600" i="16"/>
  <c r="C600" i="16"/>
  <c r="A600" i="16"/>
  <c r="I599" i="16"/>
  <c r="D599" i="16"/>
  <c r="C599" i="16"/>
  <c r="A599" i="16"/>
  <c r="I598" i="16"/>
  <c r="D598" i="16"/>
  <c r="C598" i="16"/>
  <c r="A598" i="16"/>
  <c r="I597" i="16"/>
  <c r="D597" i="16"/>
  <c r="C597" i="16"/>
  <c r="A597" i="16"/>
  <c r="I596" i="16"/>
  <c r="D596" i="16"/>
  <c r="C596" i="16"/>
  <c r="A596" i="16"/>
  <c r="I595" i="16"/>
  <c r="D595" i="16"/>
  <c r="C595" i="16"/>
  <c r="A595" i="16"/>
  <c r="I594" i="16"/>
  <c r="D594" i="16"/>
  <c r="C594" i="16"/>
  <c r="A594" i="16"/>
  <c r="I593" i="16"/>
  <c r="D593" i="16"/>
  <c r="C593" i="16"/>
  <c r="A593" i="16"/>
  <c r="I592" i="16"/>
  <c r="D592" i="16"/>
  <c r="C592" i="16"/>
  <c r="A592" i="16"/>
  <c r="I591" i="16"/>
  <c r="D591" i="16"/>
  <c r="C591" i="16"/>
  <c r="A591" i="16"/>
  <c r="I590" i="16"/>
  <c r="D590" i="16"/>
  <c r="C590" i="16"/>
  <c r="A590" i="16"/>
  <c r="I589" i="16"/>
  <c r="D589" i="16"/>
  <c r="C589" i="16"/>
  <c r="A589" i="16"/>
  <c r="I588" i="16"/>
  <c r="D588" i="16"/>
  <c r="C588" i="16"/>
  <c r="A588" i="16"/>
  <c r="I587" i="16"/>
  <c r="D587" i="16"/>
  <c r="C587" i="16"/>
  <c r="A587" i="16"/>
  <c r="I586" i="16"/>
  <c r="D586" i="16"/>
  <c r="C586" i="16"/>
  <c r="A586" i="16"/>
  <c r="I585" i="16"/>
  <c r="D585" i="16"/>
  <c r="C585" i="16"/>
  <c r="A585" i="16"/>
  <c r="I584" i="16"/>
  <c r="D584" i="16"/>
  <c r="C584" i="16"/>
  <c r="A584" i="16"/>
  <c r="I583" i="16"/>
  <c r="D583" i="16"/>
  <c r="C583" i="16"/>
  <c r="A583" i="16"/>
  <c r="I582" i="16"/>
  <c r="D582" i="16"/>
  <c r="C582" i="16"/>
  <c r="A582" i="16"/>
  <c r="I581" i="16"/>
  <c r="D581" i="16"/>
  <c r="C581" i="16"/>
  <c r="A581" i="16"/>
  <c r="I580" i="16"/>
  <c r="D580" i="16"/>
  <c r="C580" i="16"/>
  <c r="A580" i="16"/>
  <c r="I579" i="16"/>
  <c r="D579" i="16"/>
  <c r="C579" i="16"/>
  <c r="A579" i="16"/>
  <c r="I578" i="16"/>
  <c r="D578" i="16"/>
  <c r="C578" i="16"/>
  <c r="A578" i="16"/>
  <c r="I577" i="16"/>
  <c r="D577" i="16"/>
  <c r="C577" i="16"/>
  <c r="A577" i="16"/>
  <c r="I576" i="16"/>
  <c r="D576" i="16"/>
  <c r="C576" i="16"/>
  <c r="A576" i="16"/>
  <c r="I575" i="16"/>
  <c r="D575" i="16"/>
  <c r="C575" i="16"/>
  <c r="A575" i="16"/>
  <c r="I574" i="16"/>
  <c r="D574" i="16"/>
  <c r="C574" i="16"/>
  <c r="A574" i="16"/>
  <c r="I573" i="16"/>
  <c r="D573" i="16"/>
  <c r="C573" i="16"/>
  <c r="A573" i="16"/>
  <c r="I572" i="16"/>
  <c r="D572" i="16"/>
  <c r="C572" i="16"/>
  <c r="A572" i="16"/>
  <c r="I571" i="16"/>
  <c r="D571" i="16"/>
  <c r="C571" i="16"/>
  <c r="A571" i="16"/>
  <c r="I570" i="16"/>
  <c r="D570" i="16"/>
  <c r="C570" i="16"/>
  <c r="A570" i="16"/>
  <c r="I569" i="16"/>
  <c r="D569" i="16"/>
  <c r="C569" i="16"/>
  <c r="A569" i="16"/>
  <c r="I568" i="16"/>
  <c r="D568" i="16"/>
  <c r="C568" i="16"/>
  <c r="A568" i="16"/>
  <c r="I567" i="16"/>
  <c r="D567" i="16"/>
  <c r="C567" i="16"/>
  <c r="A567" i="16"/>
  <c r="I566" i="16"/>
  <c r="D566" i="16"/>
  <c r="C566" i="16"/>
  <c r="A566" i="16"/>
  <c r="I565" i="16"/>
  <c r="D565" i="16"/>
  <c r="C565" i="16"/>
  <c r="A565" i="16"/>
  <c r="I564" i="16"/>
  <c r="D564" i="16"/>
  <c r="C564" i="16"/>
  <c r="A564" i="16"/>
  <c r="I563" i="16"/>
  <c r="D563" i="16"/>
  <c r="C563" i="16"/>
  <c r="A563" i="16"/>
  <c r="I562" i="16"/>
  <c r="D562" i="16"/>
  <c r="C562" i="16"/>
  <c r="A562" i="16"/>
  <c r="I561" i="16"/>
  <c r="D561" i="16"/>
  <c r="C561" i="16"/>
  <c r="A561" i="16"/>
  <c r="I560" i="16"/>
  <c r="D560" i="16"/>
  <c r="C560" i="16"/>
  <c r="A560" i="16"/>
  <c r="I559" i="16"/>
  <c r="D559" i="16"/>
  <c r="C559" i="16"/>
  <c r="A559" i="16"/>
  <c r="I558" i="16"/>
  <c r="D558" i="16"/>
  <c r="C558" i="16"/>
  <c r="A558" i="16"/>
  <c r="I557" i="16"/>
  <c r="D557" i="16"/>
  <c r="C557" i="16"/>
  <c r="A557" i="16"/>
  <c r="I556" i="16"/>
  <c r="D556" i="16"/>
  <c r="C556" i="16"/>
  <c r="A556" i="16"/>
  <c r="I555" i="16"/>
  <c r="D555" i="16"/>
  <c r="C555" i="16"/>
  <c r="A555" i="16"/>
  <c r="I554" i="16"/>
  <c r="D554" i="16"/>
  <c r="C554" i="16"/>
  <c r="A554" i="16"/>
  <c r="I553" i="16"/>
  <c r="D553" i="16"/>
  <c r="C553" i="16"/>
  <c r="A553" i="16"/>
  <c r="I552" i="16"/>
  <c r="D552" i="16"/>
  <c r="C552" i="16"/>
  <c r="A552" i="16"/>
  <c r="I551" i="16"/>
  <c r="D551" i="16"/>
  <c r="C551" i="16"/>
  <c r="A551" i="16"/>
  <c r="I550" i="16"/>
  <c r="D550" i="16"/>
  <c r="C550" i="16"/>
  <c r="A550" i="16"/>
  <c r="I549" i="16"/>
  <c r="D549" i="16"/>
  <c r="C549" i="16"/>
  <c r="A549" i="16"/>
  <c r="I548" i="16"/>
  <c r="D548" i="16"/>
  <c r="C548" i="16"/>
  <c r="A548" i="16"/>
  <c r="I547" i="16"/>
  <c r="D547" i="16"/>
  <c r="C547" i="16"/>
  <c r="A547" i="16"/>
  <c r="I546" i="16"/>
  <c r="D546" i="16"/>
  <c r="C546" i="16"/>
  <c r="A546" i="16"/>
  <c r="I545" i="16"/>
  <c r="D545" i="16"/>
  <c r="C545" i="16"/>
  <c r="A545" i="16"/>
  <c r="I544" i="16"/>
  <c r="D544" i="16"/>
  <c r="C544" i="16"/>
  <c r="A544" i="16"/>
  <c r="I543" i="16"/>
  <c r="D543" i="16"/>
  <c r="C543" i="16"/>
  <c r="A543" i="16"/>
  <c r="I542" i="16"/>
  <c r="D542" i="16"/>
  <c r="C542" i="16"/>
  <c r="A542" i="16"/>
  <c r="I541" i="16"/>
  <c r="D541" i="16"/>
  <c r="C541" i="16"/>
  <c r="A541" i="16"/>
  <c r="I540" i="16"/>
  <c r="D540" i="16"/>
  <c r="C540" i="16"/>
  <c r="A540" i="16"/>
  <c r="I539" i="16"/>
  <c r="D539" i="16"/>
  <c r="C539" i="16"/>
  <c r="A539" i="16"/>
  <c r="I538" i="16"/>
  <c r="D538" i="16"/>
  <c r="C538" i="16"/>
  <c r="A538" i="16"/>
  <c r="I537" i="16"/>
  <c r="D537" i="16"/>
  <c r="C537" i="16"/>
  <c r="A537" i="16"/>
  <c r="I536" i="16"/>
  <c r="D536" i="16"/>
  <c r="C536" i="16"/>
  <c r="A536" i="16"/>
  <c r="I535" i="16"/>
  <c r="D535" i="16"/>
  <c r="C535" i="16"/>
  <c r="A535" i="16"/>
  <c r="I534" i="16"/>
  <c r="D534" i="16"/>
  <c r="C534" i="16"/>
  <c r="A534" i="16"/>
  <c r="I533" i="16"/>
  <c r="D533" i="16"/>
  <c r="C533" i="16"/>
  <c r="A533" i="16"/>
  <c r="I532" i="16"/>
  <c r="D532" i="16"/>
  <c r="C532" i="16"/>
  <c r="A532" i="16"/>
  <c r="I531" i="16"/>
  <c r="D531" i="16"/>
  <c r="C531" i="16"/>
  <c r="A531" i="16"/>
  <c r="I530" i="16"/>
  <c r="D530" i="16"/>
  <c r="C530" i="16"/>
  <c r="A530" i="16"/>
  <c r="I529" i="16"/>
  <c r="D529" i="16"/>
  <c r="C529" i="16"/>
  <c r="A529" i="16"/>
  <c r="I528" i="16"/>
  <c r="D528" i="16"/>
  <c r="C528" i="16"/>
  <c r="A528" i="16"/>
  <c r="I527" i="16"/>
  <c r="D527" i="16"/>
  <c r="C527" i="16"/>
  <c r="A527" i="16"/>
  <c r="I526" i="16"/>
  <c r="D526" i="16"/>
  <c r="C526" i="16"/>
  <c r="A526" i="16"/>
  <c r="I525" i="16"/>
  <c r="D525" i="16"/>
  <c r="C525" i="16"/>
  <c r="A525" i="16"/>
  <c r="I524" i="16"/>
  <c r="D524" i="16"/>
  <c r="C524" i="16"/>
  <c r="A524" i="16"/>
  <c r="I523" i="16"/>
  <c r="D523" i="16"/>
  <c r="C523" i="16"/>
  <c r="A523" i="16"/>
  <c r="I522" i="16"/>
  <c r="D522" i="16"/>
  <c r="C522" i="16"/>
  <c r="A522" i="16"/>
  <c r="I521" i="16"/>
  <c r="D521" i="16"/>
  <c r="C521" i="16"/>
  <c r="A521" i="16"/>
  <c r="I520" i="16"/>
  <c r="D520" i="16"/>
  <c r="C520" i="16"/>
  <c r="A520" i="16"/>
  <c r="I519" i="16"/>
  <c r="D519" i="16"/>
  <c r="C519" i="16"/>
  <c r="A519" i="16"/>
  <c r="I518" i="16"/>
  <c r="D518" i="16"/>
  <c r="C518" i="16"/>
  <c r="A518" i="16"/>
  <c r="I517" i="16"/>
  <c r="D517" i="16"/>
  <c r="C517" i="16"/>
  <c r="A517" i="16"/>
  <c r="I516" i="16"/>
  <c r="D516" i="16"/>
  <c r="C516" i="16"/>
  <c r="A516" i="16"/>
  <c r="I515" i="16"/>
  <c r="D515" i="16"/>
  <c r="C515" i="16"/>
  <c r="A515" i="16"/>
  <c r="I514" i="16"/>
  <c r="D514" i="16"/>
  <c r="C514" i="16"/>
  <c r="A514" i="16"/>
  <c r="I513" i="16"/>
  <c r="D513" i="16"/>
  <c r="C513" i="16"/>
  <c r="A513" i="16"/>
  <c r="I512" i="16"/>
  <c r="D512" i="16"/>
  <c r="C512" i="16"/>
  <c r="A512" i="16"/>
  <c r="I511" i="16"/>
  <c r="D511" i="16"/>
  <c r="C511" i="16"/>
  <c r="A511" i="16"/>
  <c r="I510" i="16"/>
  <c r="D510" i="16"/>
  <c r="C510" i="16"/>
  <c r="A510" i="16"/>
  <c r="I509" i="16"/>
  <c r="D509" i="16"/>
  <c r="C509" i="16"/>
  <c r="A509" i="16"/>
  <c r="I508" i="16"/>
  <c r="D508" i="16"/>
  <c r="C508" i="16"/>
  <c r="A508" i="16"/>
  <c r="I507" i="16"/>
  <c r="D507" i="16"/>
  <c r="C507" i="16"/>
  <c r="A507" i="16"/>
  <c r="I506" i="16"/>
  <c r="D506" i="16"/>
  <c r="C506" i="16"/>
  <c r="A506" i="16"/>
  <c r="I505" i="16"/>
  <c r="D505" i="16"/>
  <c r="C505" i="16"/>
  <c r="A505" i="16"/>
  <c r="I504" i="16"/>
  <c r="D504" i="16"/>
  <c r="C504" i="16"/>
  <c r="A504" i="16"/>
  <c r="I503" i="16"/>
  <c r="D503" i="16"/>
  <c r="C503" i="16"/>
  <c r="A503" i="16"/>
  <c r="I502" i="16"/>
  <c r="D502" i="16"/>
  <c r="C502" i="16"/>
  <c r="A502" i="16"/>
  <c r="I501" i="16"/>
  <c r="D501" i="16"/>
  <c r="C501" i="16"/>
  <c r="A501" i="16"/>
  <c r="I500" i="16"/>
  <c r="D500" i="16"/>
  <c r="C500" i="16"/>
  <c r="A500" i="16"/>
  <c r="I499" i="16"/>
  <c r="D499" i="16"/>
  <c r="C499" i="16"/>
  <c r="A499" i="16"/>
  <c r="I498" i="16"/>
  <c r="D498" i="16"/>
  <c r="C498" i="16"/>
  <c r="A498" i="16"/>
  <c r="I497" i="16"/>
  <c r="D497" i="16"/>
  <c r="C497" i="16"/>
  <c r="A497" i="16"/>
  <c r="I496" i="16"/>
  <c r="D496" i="16"/>
  <c r="C496" i="16"/>
  <c r="A496" i="16"/>
  <c r="I495" i="16"/>
  <c r="D495" i="16"/>
  <c r="C495" i="16"/>
  <c r="A495" i="16"/>
  <c r="I494" i="16"/>
  <c r="D494" i="16"/>
  <c r="C494" i="16"/>
  <c r="A494" i="16"/>
  <c r="I493" i="16"/>
  <c r="D493" i="16"/>
  <c r="C493" i="16"/>
  <c r="A493" i="16"/>
  <c r="I492" i="16"/>
  <c r="D492" i="16"/>
  <c r="C492" i="16"/>
  <c r="A492" i="16"/>
  <c r="I491" i="16"/>
  <c r="D491" i="16"/>
  <c r="C491" i="16"/>
  <c r="A491" i="16"/>
  <c r="I490" i="16"/>
  <c r="D490" i="16"/>
  <c r="C490" i="16"/>
  <c r="A490" i="16"/>
  <c r="I489" i="16"/>
  <c r="D489" i="16"/>
  <c r="C489" i="16"/>
  <c r="A489" i="16"/>
  <c r="I488" i="16"/>
  <c r="D488" i="16"/>
  <c r="C488" i="16"/>
  <c r="A488" i="16"/>
  <c r="I487" i="16"/>
  <c r="D487" i="16"/>
  <c r="C487" i="16"/>
  <c r="A487" i="16"/>
  <c r="I486" i="16"/>
  <c r="D486" i="16"/>
  <c r="C486" i="16"/>
  <c r="A486" i="16"/>
  <c r="I485" i="16"/>
  <c r="D485" i="16"/>
  <c r="C485" i="16"/>
  <c r="A485" i="16"/>
  <c r="I484" i="16"/>
  <c r="D484" i="16"/>
  <c r="C484" i="16"/>
  <c r="A484" i="16"/>
  <c r="I483" i="16"/>
  <c r="D483" i="16"/>
  <c r="C483" i="16"/>
  <c r="A483" i="16"/>
  <c r="I482" i="16"/>
  <c r="D482" i="16"/>
  <c r="C482" i="16"/>
  <c r="A482" i="16"/>
  <c r="I481" i="16"/>
  <c r="D481" i="16"/>
  <c r="C481" i="16"/>
  <c r="A481" i="16"/>
  <c r="I480" i="16"/>
  <c r="D480" i="16"/>
  <c r="C480" i="16"/>
  <c r="A480" i="16"/>
  <c r="I479" i="16"/>
  <c r="D479" i="16"/>
  <c r="C479" i="16"/>
  <c r="A479" i="16"/>
  <c r="I478" i="16"/>
  <c r="D478" i="16"/>
  <c r="C478" i="16"/>
  <c r="A478" i="16"/>
  <c r="I477" i="16"/>
  <c r="D477" i="16"/>
  <c r="C477" i="16"/>
  <c r="A477" i="16"/>
  <c r="I476" i="16"/>
  <c r="D476" i="16"/>
  <c r="C476" i="16"/>
  <c r="A476" i="16"/>
  <c r="I475" i="16"/>
  <c r="D475" i="16"/>
  <c r="C475" i="16"/>
  <c r="A475" i="16"/>
  <c r="I474" i="16"/>
  <c r="D474" i="16"/>
  <c r="C474" i="16"/>
  <c r="A474" i="16"/>
  <c r="I473" i="16"/>
  <c r="D473" i="16"/>
  <c r="C473" i="16"/>
  <c r="A473" i="16"/>
  <c r="I472" i="16"/>
  <c r="D472" i="16"/>
  <c r="C472" i="16"/>
  <c r="A472" i="16"/>
  <c r="I471" i="16"/>
  <c r="D471" i="16"/>
  <c r="C471" i="16"/>
  <c r="A471" i="16"/>
  <c r="I470" i="16"/>
  <c r="D470" i="16"/>
  <c r="C470" i="16"/>
  <c r="A470" i="16"/>
  <c r="I469" i="16"/>
  <c r="D469" i="16"/>
  <c r="C469" i="16"/>
  <c r="A469" i="16"/>
  <c r="I468" i="16"/>
  <c r="D468" i="16"/>
  <c r="C468" i="16"/>
  <c r="A468" i="16"/>
  <c r="I467" i="16"/>
  <c r="D467" i="16"/>
  <c r="C467" i="16"/>
  <c r="A467" i="16"/>
  <c r="I466" i="16"/>
  <c r="D466" i="16"/>
  <c r="C466" i="16"/>
  <c r="A466" i="16"/>
  <c r="I465" i="16"/>
  <c r="D465" i="16"/>
  <c r="C465" i="16"/>
  <c r="A465" i="16"/>
  <c r="I464" i="16"/>
  <c r="D464" i="16"/>
  <c r="C464" i="16"/>
  <c r="A464" i="16"/>
  <c r="I463" i="16"/>
  <c r="D463" i="16"/>
  <c r="C463" i="16"/>
  <c r="A463" i="16"/>
  <c r="I462" i="16"/>
  <c r="D462" i="16"/>
  <c r="C462" i="16"/>
  <c r="A462" i="16"/>
  <c r="I461" i="16"/>
  <c r="D461" i="16"/>
  <c r="C461" i="16"/>
  <c r="A461" i="16"/>
  <c r="I460" i="16"/>
  <c r="D460" i="16"/>
  <c r="C460" i="16"/>
  <c r="A460" i="16"/>
  <c r="I459" i="16"/>
  <c r="D459" i="16"/>
  <c r="C459" i="16"/>
  <c r="A459" i="16"/>
  <c r="I458" i="16"/>
  <c r="D458" i="16"/>
  <c r="C458" i="16"/>
  <c r="A458" i="16"/>
  <c r="I457" i="16"/>
  <c r="D457" i="16"/>
  <c r="C457" i="16"/>
  <c r="A457" i="16"/>
  <c r="I456" i="16"/>
  <c r="D456" i="16"/>
  <c r="C456" i="16"/>
  <c r="A456" i="16"/>
  <c r="I455" i="16"/>
  <c r="D455" i="16"/>
  <c r="C455" i="16"/>
  <c r="A455" i="16"/>
  <c r="I454" i="16"/>
  <c r="D454" i="16"/>
  <c r="C454" i="16"/>
  <c r="A454" i="16"/>
  <c r="I453" i="16"/>
  <c r="D453" i="16"/>
  <c r="C453" i="16"/>
  <c r="A453" i="16"/>
  <c r="I452" i="16"/>
  <c r="D452" i="16"/>
  <c r="C452" i="16"/>
  <c r="A452" i="16"/>
  <c r="I451" i="16"/>
  <c r="D451" i="16"/>
  <c r="C451" i="16"/>
  <c r="A451" i="16"/>
  <c r="I450" i="16"/>
  <c r="D450" i="16"/>
  <c r="C450" i="16"/>
  <c r="A450" i="16"/>
  <c r="I449" i="16"/>
  <c r="D449" i="16"/>
  <c r="C449" i="16"/>
  <c r="A449" i="16"/>
  <c r="I448" i="16"/>
  <c r="D448" i="16"/>
  <c r="C448" i="16"/>
  <c r="A448" i="16"/>
  <c r="I447" i="16"/>
  <c r="D447" i="16"/>
  <c r="C447" i="16"/>
  <c r="A447" i="16"/>
  <c r="I446" i="16"/>
  <c r="D446" i="16"/>
  <c r="C446" i="16"/>
  <c r="A446" i="16"/>
  <c r="I445" i="16"/>
  <c r="D445" i="16"/>
  <c r="C445" i="16"/>
  <c r="A445" i="16"/>
  <c r="I444" i="16"/>
  <c r="D444" i="16"/>
  <c r="C444" i="16"/>
  <c r="A444" i="16"/>
  <c r="I443" i="16"/>
  <c r="D443" i="16"/>
  <c r="C443" i="16"/>
  <c r="A443" i="16"/>
  <c r="I442" i="16"/>
  <c r="D442" i="16"/>
  <c r="C442" i="16"/>
  <c r="A442" i="16"/>
  <c r="I441" i="16"/>
  <c r="D441" i="16"/>
  <c r="C441" i="16"/>
  <c r="A441" i="16"/>
  <c r="I440" i="16"/>
  <c r="D440" i="16"/>
  <c r="C440" i="16"/>
  <c r="A440" i="16"/>
  <c r="I439" i="16"/>
  <c r="D439" i="16"/>
  <c r="C439" i="16"/>
  <c r="A439" i="16"/>
  <c r="I438" i="16"/>
  <c r="D438" i="16"/>
  <c r="C438" i="16"/>
  <c r="A438" i="16"/>
  <c r="I437" i="16"/>
  <c r="D437" i="16"/>
  <c r="C437" i="16"/>
  <c r="A437" i="16"/>
  <c r="I436" i="16"/>
  <c r="D436" i="16"/>
  <c r="C436" i="16"/>
  <c r="A436" i="16"/>
  <c r="I435" i="16"/>
  <c r="D435" i="16"/>
  <c r="C435" i="16"/>
  <c r="A435" i="16"/>
  <c r="I434" i="16"/>
  <c r="D434" i="16"/>
  <c r="C434" i="16"/>
  <c r="A434" i="16"/>
  <c r="I433" i="16"/>
  <c r="D433" i="16"/>
  <c r="C433" i="16"/>
  <c r="A433" i="16"/>
  <c r="I432" i="16"/>
  <c r="D432" i="16"/>
  <c r="C432" i="16"/>
  <c r="A432" i="16"/>
  <c r="I431" i="16"/>
  <c r="D431" i="16"/>
  <c r="C431" i="16"/>
  <c r="A431" i="16"/>
  <c r="I430" i="16"/>
  <c r="D430" i="16"/>
  <c r="C430" i="16"/>
  <c r="A430" i="16"/>
  <c r="I429" i="16"/>
  <c r="D429" i="16"/>
  <c r="C429" i="16"/>
  <c r="A429" i="16"/>
  <c r="I428" i="16"/>
  <c r="D428" i="16"/>
  <c r="C428" i="16"/>
  <c r="A428" i="16"/>
  <c r="I427" i="16"/>
  <c r="D427" i="16"/>
  <c r="C427" i="16"/>
  <c r="A427" i="16"/>
  <c r="I426" i="16"/>
  <c r="D426" i="16"/>
  <c r="C426" i="16"/>
  <c r="A426" i="16"/>
  <c r="I425" i="16"/>
  <c r="D425" i="16"/>
  <c r="C425" i="16"/>
  <c r="A425" i="16"/>
  <c r="I424" i="16"/>
  <c r="D424" i="16"/>
  <c r="C424" i="16"/>
  <c r="A424" i="16"/>
  <c r="I423" i="16"/>
  <c r="D423" i="16"/>
  <c r="C423" i="16"/>
  <c r="A423" i="16"/>
  <c r="I422" i="16"/>
  <c r="D422" i="16"/>
  <c r="C422" i="16"/>
  <c r="A422" i="16"/>
  <c r="I421" i="16"/>
  <c r="D421" i="16"/>
  <c r="C421" i="16"/>
  <c r="A421" i="16"/>
  <c r="I420" i="16"/>
  <c r="D420" i="16"/>
  <c r="C420" i="16"/>
  <c r="A420" i="16"/>
  <c r="I419" i="16"/>
  <c r="D419" i="16"/>
  <c r="C419" i="16"/>
  <c r="A419" i="16"/>
  <c r="I418" i="16"/>
  <c r="D418" i="16"/>
  <c r="C418" i="16"/>
  <c r="A418" i="16"/>
  <c r="I417" i="16"/>
  <c r="D417" i="16"/>
  <c r="C417" i="16"/>
  <c r="A417" i="16"/>
  <c r="I416" i="16"/>
  <c r="D416" i="16"/>
  <c r="C416" i="16"/>
  <c r="A416" i="16"/>
  <c r="I415" i="16"/>
  <c r="D415" i="16"/>
  <c r="C415" i="16"/>
  <c r="A415" i="16"/>
  <c r="I414" i="16"/>
  <c r="D414" i="16"/>
  <c r="C414" i="16"/>
  <c r="A414" i="16"/>
  <c r="I413" i="16"/>
  <c r="D413" i="16"/>
  <c r="C413" i="16"/>
  <c r="A413" i="16"/>
  <c r="I412" i="16"/>
  <c r="D412" i="16"/>
  <c r="C412" i="16"/>
  <c r="A412" i="16"/>
  <c r="I411" i="16"/>
  <c r="D411" i="16"/>
  <c r="C411" i="16"/>
  <c r="A411" i="16"/>
  <c r="I410" i="16"/>
  <c r="D410" i="16"/>
  <c r="C410" i="16"/>
  <c r="A410" i="16"/>
  <c r="I409" i="16"/>
  <c r="D409" i="16"/>
  <c r="C409" i="16"/>
  <c r="A409" i="16"/>
  <c r="I408" i="16"/>
  <c r="D408" i="16"/>
  <c r="C408" i="16"/>
  <c r="A408" i="16"/>
  <c r="I407" i="16"/>
  <c r="D407" i="16"/>
  <c r="C407" i="16"/>
  <c r="A407" i="16"/>
  <c r="I406" i="16"/>
  <c r="D406" i="16"/>
  <c r="C406" i="16"/>
  <c r="A406" i="16"/>
  <c r="I405" i="16"/>
  <c r="D405" i="16"/>
  <c r="C405" i="16"/>
  <c r="A405" i="16"/>
  <c r="I404" i="16"/>
  <c r="D404" i="16"/>
  <c r="C404" i="16"/>
  <c r="A404" i="16"/>
  <c r="I403" i="16"/>
  <c r="D403" i="16"/>
  <c r="C403" i="16"/>
  <c r="A403" i="16"/>
  <c r="I402" i="16"/>
  <c r="D402" i="16"/>
  <c r="C402" i="16"/>
  <c r="A402" i="16"/>
  <c r="I401" i="16"/>
  <c r="D401" i="16"/>
  <c r="C401" i="16"/>
  <c r="A401" i="16"/>
  <c r="I400" i="16"/>
  <c r="D400" i="16"/>
  <c r="C400" i="16"/>
  <c r="A400" i="16"/>
  <c r="I399" i="16"/>
  <c r="D399" i="16"/>
  <c r="C399" i="16"/>
  <c r="A399" i="16"/>
  <c r="I398" i="16"/>
  <c r="D398" i="16"/>
  <c r="C398" i="16"/>
  <c r="A398" i="16"/>
  <c r="I397" i="16"/>
  <c r="D397" i="16"/>
  <c r="C397" i="16"/>
  <c r="A397" i="16"/>
  <c r="I396" i="16"/>
  <c r="D396" i="16"/>
  <c r="C396" i="16"/>
  <c r="A396" i="16"/>
  <c r="I395" i="16"/>
  <c r="D395" i="16"/>
  <c r="C395" i="16"/>
  <c r="A395" i="16"/>
  <c r="I394" i="16"/>
  <c r="D394" i="16"/>
  <c r="C394" i="16"/>
  <c r="A394" i="16"/>
  <c r="I393" i="16"/>
  <c r="D393" i="16"/>
  <c r="C393" i="16"/>
  <c r="A393" i="16"/>
  <c r="I392" i="16"/>
  <c r="D392" i="16"/>
  <c r="C392" i="16"/>
  <c r="A392" i="16"/>
  <c r="I391" i="16"/>
  <c r="D391" i="16"/>
  <c r="C391" i="16"/>
  <c r="A391" i="16"/>
  <c r="I390" i="16"/>
  <c r="D390" i="16"/>
  <c r="C390" i="16"/>
  <c r="A390" i="16"/>
  <c r="I389" i="16"/>
  <c r="D389" i="16"/>
  <c r="C389" i="16"/>
  <c r="A389" i="16"/>
  <c r="I388" i="16"/>
  <c r="D388" i="16"/>
  <c r="C388" i="16"/>
  <c r="A388" i="16"/>
  <c r="I387" i="16"/>
  <c r="D387" i="16"/>
  <c r="C387" i="16"/>
  <c r="A387" i="16"/>
  <c r="I386" i="16"/>
  <c r="D386" i="16"/>
  <c r="C386" i="16"/>
  <c r="A386" i="16"/>
  <c r="I385" i="16"/>
  <c r="D385" i="16"/>
  <c r="C385" i="16"/>
  <c r="A385" i="16"/>
  <c r="I384" i="16"/>
  <c r="D384" i="16"/>
  <c r="C384" i="16"/>
  <c r="A384" i="16"/>
  <c r="I383" i="16"/>
  <c r="D383" i="16"/>
  <c r="C383" i="16"/>
  <c r="A383" i="16"/>
  <c r="I382" i="16"/>
  <c r="D382" i="16"/>
  <c r="C382" i="16"/>
  <c r="A382" i="16"/>
  <c r="I381" i="16"/>
  <c r="D381" i="16"/>
  <c r="C381" i="16"/>
  <c r="A381" i="16"/>
  <c r="I380" i="16"/>
  <c r="D380" i="16"/>
  <c r="C380" i="16"/>
  <c r="A380" i="16"/>
  <c r="I379" i="16"/>
  <c r="D379" i="16"/>
  <c r="C379" i="16"/>
  <c r="A379" i="16"/>
  <c r="I378" i="16"/>
  <c r="D378" i="16"/>
  <c r="C378" i="16"/>
  <c r="A378" i="16"/>
  <c r="I377" i="16"/>
  <c r="D377" i="16"/>
  <c r="C377" i="16"/>
  <c r="A377" i="16"/>
  <c r="I376" i="16"/>
  <c r="D376" i="16"/>
  <c r="C376" i="16"/>
  <c r="A376" i="16"/>
  <c r="I375" i="16"/>
  <c r="D375" i="16"/>
  <c r="C375" i="16"/>
  <c r="A375" i="16"/>
  <c r="I374" i="16"/>
  <c r="D374" i="16"/>
  <c r="C374" i="16"/>
  <c r="A374" i="16"/>
  <c r="I373" i="16"/>
  <c r="D373" i="16"/>
  <c r="C373" i="16"/>
  <c r="A373" i="16"/>
  <c r="I372" i="16"/>
  <c r="D372" i="16"/>
  <c r="C372" i="16"/>
  <c r="A372" i="16"/>
  <c r="I371" i="16"/>
  <c r="D371" i="16"/>
  <c r="C371" i="16"/>
  <c r="A371" i="16"/>
  <c r="I370" i="16"/>
  <c r="D370" i="16"/>
  <c r="C370" i="16"/>
  <c r="A370" i="16"/>
  <c r="I369" i="16"/>
  <c r="D369" i="16"/>
  <c r="C369" i="16"/>
  <c r="A369" i="16"/>
  <c r="I368" i="16"/>
  <c r="D368" i="16"/>
  <c r="C368" i="16"/>
  <c r="A368" i="16"/>
  <c r="I367" i="16"/>
  <c r="D367" i="16"/>
  <c r="C367" i="16"/>
  <c r="A367" i="16"/>
  <c r="I366" i="16"/>
  <c r="D366" i="16"/>
  <c r="C366" i="16"/>
  <c r="A366" i="16"/>
  <c r="I365" i="16"/>
  <c r="D365" i="16"/>
  <c r="C365" i="16"/>
  <c r="A365" i="16"/>
  <c r="I364" i="16"/>
  <c r="D364" i="16"/>
  <c r="C364" i="16"/>
  <c r="A364" i="16"/>
  <c r="I363" i="16"/>
  <c r="D363" i="16"/>
  <c r="C363" i="16"/>
  <c r="A363" i="16"/>
  <c r="I362" i="16"/>
  <c r="D362" i="16"/>
  <c r="C362" i="16"/>
  <c r="A362" i="16"/>
  <c r="I361" i="16"/>
  <c r="D361" i="16"/>
  <c r="C361" i="16"/>
  <c r="A361" i="16"/>
  <c r="I360" i="16"/>
  <c r="D360" i="16"/>
  <c r="C360" i="16"/>
  <c r="A360" i="16"/>
  <c r="I359" i="16"/>
  <c r="D359" i="16"/>
  <c r="C359" i="16"/>
  <c r="A359" i="16"/>
  <c r="I358" i="16"/>
  <c r="D358" i="16"/>
  <c r="C358" i="16"/>
  <c r="A358" i="16"/>
  <c r="I357" i="16"/>
  <c r="D357" i="16"/>
  <c r="C357" i="16"/>
  <c r="A357" i="16"/>
  <c r="I356" i="16"/>
  <c r="D356" i="16"/>
  <c r="C356" i="16"/>
  <c r="A356" i="16"/>
  <c r="I355" i="16"/>
  <c r="D355" i="16"/>
  <c r="C355" i="16"/>
  <c r="A355" i="16"/>
  <c r="I354" i="16"/>
  <c r="D354" i="16"/>
  <c r="C354" i="16"/>
  <c r="A354" i="16"/>
  <c r="I353" i="16"/>
  <c r="D353" i="16"/>
  <c r="C353" i="16"/>
  <c r="A353" i="16"/>
  <c r="I352" i="16"/>
  <c r="D352" i="16"/>
  <c r="C352" i="16"/>
  <c r="A352" i="16"/>
  <c r="I351" i="16"/>
  <c r="D351" i="16"/>
  <c r="C351" i="16"/>
  <c r="A351" i="16"/>
  <c r="I350" i="16"/>
  <c r="D350" i="16"/>
  <c r="C350" i="16"/>
  <c r="A350" i="16"/>
  <c r="I349" i="16"/>
  <c r="D349" i="16"/>
  <c r="C349" i="16"/>
  <c r="A349" i="16"/>
  <c r="I348" i="16"/>
  <c r="D348" i="16"/>
  <c r="C348" i="16"/>
  <c r="A348" i="16"/>
  <c r="I347" i="16"/>
  <c r="D347" i="16"/>
  <c r="C347" i="16"/>
  <c r="A347" i="16"/>
  <c r="I346" i="16"/>
  <c r="D346" i="16"/>
  <c r="C346" i="16"/>
  <c r="A346" i="16"/>
  <c r="I345" i="16"/>
  <c r="D345" i="16"/>
  <c r="C345" i="16"/>
  <c r="A345" i="16"/>
  <c r="I344" i="16"/>
  <c r="D344" i="16"/>
  <c r="C344" i="16"/>
  <c r="A344" i="16"/>
  <c r="I343" i="16"/>
  <c r="D343" i="16"/>
  <c r="C343" i="16"/>
  <c r="A343" i="16"/>
  <c r="I342" i="16"/>
  <c r="D342" i="16"/>
  <c r="C342" i="16"/>
  <c r="A342" i="16"/>
  <c r="I341" i="16"/>
  <c r="D341" i="16"/>
  <c r="C341" i="16"/>
  <c r="A341" i="16"/>
  <c r="I340" i="16"/>
  <c r="D340" i="16"/>
  <c r="C340" i="16"/>
  <c r="A340" i="16"/>
  <c r="I339" i="16"/>
  <c r="D339" i="16"/>
  <c r="C339" i="16"/>
  <c r="A339" i="16"/>
  <c r="I338" i="16"/>
  <c r="D338" i="16"/>
  <c r="C338" i="16"/>
  <c r="A338" i="16"/>
  <c r="I337" i="16"/>
  <c r="D337" i="16"/>
  <c r="C337" i="16"/>
  <c r="A337" i="16"/>
  <c r="I336" i="16"/>
  <c r="D336" i="16"/>
  <c r="C336" i="16"/>
  <c r="A336" i="16"/>
  <c r="I335" i="16"/>
  <c r="D335" i="16"/>
  <c r="C335" i="16"/>
  <c r="A335" i="16"/>
  <c r="I334" i="16"/>
  <c r="D334" i="16"/>
  <c r="C334" i="16"/>
  <c r="A334" i="16"/>
  <c r="I333" i="16"/>
  <c r="D333" i="16"/>
  <c r="C333" i="16"/>
  <c r="A333" i="16"/>
  <c r="I332" i="16"/>
  <c r="D332" i="16"/>
  <c r="C332" i="16"/>
  <c r="A332" i="16"/>
  <c r="I331" i="16"/>
  <c r="D331" i="16"/>
  <c r="C331" i="16"/>
  <c r="A331" i="16"/>
  <c r="I330" i="16"/>
  <c r="D330" i="16"/>
  <c r="C330" i="16"/>
  <c r="A330" i="16"/>
  <c r="I329" i="16"/>
  <c r="D329" i="16"/>
  <c r="C329" i="16"/>
  <c r="A329" i="16"/>
  <c r="I328" i="16"/>
  <c r="D328" i="16"/>
  <c r="C328" i="16"/>
  <c r="A328" i="16"/>
  <c r="I327" i="16"/>
  <c r="D327" i="16"/>
  <c r="C327" i="16"/>
  <c r="A327" i="16"/>
  <c r="I326" i="16"/>
  <c r="D326" i="16"/>
  <c r="C326" i="16"/>
  <c r="A326" i="16"/>
  <c r="I325" i="16"/>
  <c r="D325" i="16"/>
  <c r="C325" i="16"/>
  <c r="A325" i="16"/>
  <c r="I324" i="16"/>
  <c r="D324" i="16"/>
  <c r="C324" i="16"/>
  <c r="A324" i="16"/>
  <c r="I323" i="16"/>
  <c r="D323" i="16"/>
  <c r="C323" i="16"/>
  <c r="A323" i="16"/>
  <c r="I322" i="16"/>
  <c r="D322" i="16"/>
  <c r="C322" i="16"/>
  <c r="A322" i="16"/>
  <c r="I321" i="16"/>
  <c r="D321" i="16"/>
  <c r="C321" i="16"/>
  <c r="A321" i="16"/>
  <c r="I320" i="16"/>
  <c r="D320" i="16"/>
  <c r="C320" i="16"/>
  <c r="A320" i="16"/>
  <c r="I319" i="16"/>
  <c r="D319" i="16"/>
  <c r="C319" i="16"/>
  <c r="A319" i="16"/>
  <c r="I318" i="16"/>
  <c r="D318" i="16"/>
  <c r="C318" i="16"/>
  <c r="A318" i="16"/>
  <c r="I317" i="16"/>
  <c r="D317" i="16"/>
  <c r="C317" i="16"/>
  <c r="A317" i="16"/>
  <c r="I316" i="16"/>
  <c r="D316" i="16"/>
  <c r="C316" i="16"/>
  <c r="A316" i="16"/>
  <c r="I315" i="16"/>
  <c r="D315" i="16"/>
  <c r="C315" i="16"/>
  <c r="A315" i="16"/>
  <c r="I314" i="16"/>
  <c r="D314" i="16"/>
  <c r="C314" i="16"/>
  <c r="A314" i="16"/>
  <c r="I313" i="16"/>
  <c r="D313" i="16"/>
  <c r="C313" i="16"/>
  <c r="A313" i="16"/>
  <c r="I312" i="16"/>
  <c r="D312" i="16"/>
  <c r="C312" i="16"/>
  <c r="A312" i="16"/>
  <c r="I311" i="16"/>
  <c r="D311" i="16"/>
  <c r="C311" i="16"/>
  <c r="A311" i="16"/>
  <c r="I310" i="16"/>
  <c r="D310" i="16"/>
  <c r="C310" i="16"/>
  <c r="A310" i="16"/>
  <c r="I309" i="16"/>
  <c r="D309" i="16"/>
  <c r="C309" i="16"/>
  <c r="A309" i="16"/>
  <c r="I308" i="16"/>
  <c r="D308" i="16"/>
  <c r="C308" i="16"/>
  <c r="A308" i="16"/>
  <c r="I307" i="16"/>
  <c r="D307" i="16"/>
  <c r="C307" i="16"/>
  <c r="A307" i="16"/>
  <c r="I306" i="16"/>
  <c r="D306" i="16"/>
  <c r="C306" i="16"/>
  <c r="A306" i="16"/>
  <c r="I305" i="16"/>
  <c r="D305" i="16"/>
  <c r="C305" i="16"/>
  <c r="A305" i="16"/>
  <c r="I304" i="16"/>
  <c r="D304" i="16"/>
  <c r="C304" i="16"/>
  <c r="A304" i="16"/>
  <c r="I303" i="16"/>
  <c r="D303" i="16"/>
  <c r="C303" i="16"/>
  <c r="A303" i="16"/>
  <c r="I302" i="16"/>
  <c r="D302" i="16"/>
  <c r="C302" i="16"/>
  <c r="A302" i="16"/>
  <c r="I301" i="16"/>
  <c r="D301" i="16"/>
  <c r="C301" i="16"/>
  <c r="A301" i="16"/>
  <c r="I300" i="16"/>
  <c r="D300" i="16"/>
  <c r="C300" i="16"/>
  <c r="A300" i="16"/>
  <c r="I299" i="16"/>
  <c r="D299" i="16"/>
  <c r="C299" i="16"/>
  <c r="A299" i="16"/>
  <c r="I298" i="16"/>
  <c r="D298" i="16"/>
  <c r="C298" i="16"/>
  <c r="A298" i="16"/>
  <c r="I297" i="16"/>
  <c r="D297" i="16"/>
  <c r="C297" i="16"/>
  <c r="A297" i="16"/>
  <c r="I296" i="16"/>
  <c r="D296" i="16"/>
  <c r="C296" i="16"/>
  <c r="A296" i="16"/>
  <c r="I295" i="16"/>
  <c r="D295" i="16"/>
  <c r="C295" i="16"/>
  <c r="A295" i="16"/>
  <c r="I294" i="16"/>
  <c r="D294" i="16"/>
  <c r="C294" i="16"/>
  <c r="A294" i="16"/>
  <c r="I293" i="16"/>
  <c r="D293" i="16"/>
  <c r="C293" i="16"/>
  <c r="A293" i="16"/>
  <c r="I292" i="16"/>
  <c r="D292" i="16"/>
  <c r="C292" i="16"/>
  <c r="A292" i="16"/>
  <c r="I291" i="16"/>
  <c r="D291" i="16"/>
  <c r="C291" i="16"/>
  <c r="A291" i="16"/>
  <c r="I290" i="16"/>
  <c r="D290" i="16"/>
  <c r="C290" i="16"/>
  <c r="A290" i="16"/>
  <c r="I289" i="16"/>
  <c r="D289" i="16"/>
  <c r="C289" i="16"/>
  <c r="A289" i="16"/>
  <c r="I288" i="16"/>
  <c r="D288" i="16"/>
  <c r="C288" i="16"/>
  <c r="A288" i="16"/>
  <c r="I287" i="16"/>
  <c r="D287" i="16"/>
  <c r="C287" i="16"/>
  <c r="A287" i="16"/>
  <c r="I286" i="16"/>
  <c r="D286" i="16"/>
  <c r="C286" i="16"/>
  <c r="A286" i="16"/>
  <c r="I285" i="16"/>
  <c r="D285" i="16"/>
  <c r="C285" i="16"/>
  <c r="A285" i="16"/>
  <c r="I284" i="16"/>
  <c r="D284" i="16"/>
  <c r="C284" i="16"/>
  <c r="A284" i="16"/>
  <c r="I283" i="16"/>
  <c r="D283" i="16"/>
  <c r="C283" i="16"/>
  <c r="A283" i="16"/>
  <c r="I282" i="16"/>
  <c r="D282" i="16"/>
  <c r="C282" i="16"/>
  <c r="A282" i="16"/>
  <c r="I281" i="16"/>
  <c r="D281" i="16"/>
  <c r="C281" i="16"/>
  <c r="A281" i="16"/>
  <c r="I280" i="16"/>
  <c r="D280" i="16"/>
  <c r="C280" i="16"/>
  <c r="A280" i="16"/>
  <c r="I279" i="16"/>
  <c r="D279" i="16"/>
  <c r="C279" i="16"/>
  <c r="A279" i="16"/>
  <c r="I278" i="16"/>
  <c r="D278" i="16"/>
  <c r="C278" i="16"/>
  <c r="A278" i="16"/>
  <c r="I277" i="16"/>
  <c r="D277" i="16"/>
  <c r="C277" i="16"/>
  <c r="A277" i="16"/>
  <c r="I276" i="16"/>
  <c r="D276" i="16"/>
  <c r="C276" i="16"/>
  <c r="A276" i="16"/>
  <c r="I275" i="16"/>
  <c r="D275" i="16"/>
  <c r="C275" i="16"/>
  <c r="A275" i="16"/>
  <c r="I274" i="16"/>
  <c r="D274" i="16"/>
  <c r="C274" i="16"/>
  <c r="A274" i="16"/>
  <c r="I273" i="16"/>
  <c r="D273" i="16"/>
  <c r="C273" i="16"/>
  <c r="A273" i="16"/>
  <c r="I272" i="16"/>
  <c r="D272" i="16"/>
  <c r="C272" i="16"/>
  <c r="A272" i="16"/>
  <c r="I271" i="16"/>
  <c r="D271" i="16"/>
  <c r="C271" i="16"/>
  <c r="A271" i="16"/>
  <c r="I270" i="16"/>
  <c r="D270" i="16"/>
  <c r="C270" i="16"/>
  <c r="A270" i="16"/>
  <c r="I269" i="16"/>
  <c r="D269" i="16"/>
  <c r="C269" i="16"/>
  <c r="A269" i="16"/>
  <c r="I268" i="16"/>
  <c r="D268" i="16"/>
  <c r="C268" i="16"/>
  <c r="A268" i="16"/>
  <c r="I267" i="16"/>
  <c r="D267" i="16"/>
  <c r="C267" i="16"/>
  <c r="A267" i="16"/>
  <c r="I266" i="16"/>
  <c r="D266" i="16"/>
  <c r="C266" i="16"/>
  <c r="A266" i="16"/>
  <c r="I265" i="16"/>
  <c r="D265" i="16"/>
  <c r="C265" i="16"/>
  <c r="A265" i="16"/>
  <c r="I264" i="16"/>
  <c r="D264" i="16"/>
  <c r="C264" i="16"/>
  <c r="A264" i="16"/>
  <c r="I263" i="16"/>
  <c r="D263" i="16"/>
  <c r="C263" i="16"/>
  <c r="A263" i="16"/>
  <c r="I262" i="16"/>
  <c r="D262" i="16"/>
  <c r="C262" i="16"/>
  <c r="A262" i="16"/>
  <c r="I261" i="16"/>
  <c r="D261" i="16"/>
  <c r="C261" i="16"/>
  <c r="A261" i="16"/>
  <c r="I260" i="16"/>
  <c r="D260" i="16"/>
  <c r="C260" i="16"/>
  <c r="A260" i="16"/>
  <c r="I259" i="16"/>
  <c r="D259" i="16"/>
  <c r="C259" i="16"/>
  <c r="A259" i="16"/>
  <c r="I258" i="16"/>
  <c r="D258" i="16"/>
  <c r="C258" i="16"/>
  <c r="A258" i="16"/>
  <c r="I257" i="16"/>
  <c r="D257" i="16"/>
  <c r="C257" i="16"/>
  <c r="A257" i="16"/>
  <c r="I256" i="16"/>
  <c r="D256" i="16"/>
  <c r="C256" i="16"/>
  <c r="A256" i="16"/>
  <c r="I255" i="16"/>
  <c r="D255" i="16"/>
  <c r="C255" i="16"/>
  <c r="A255" i="16"/>
  <c r="I254" i="16"/>
  <c r="D254" i="16"/>
  <c r="C254" i="16"/>
  <c r="A254" i="16"/>
  <c r="I253" i="16"/>
  <c r="D253" i="16"/>
  <c r="C253" i="16"/>
  <c r="A253" i="16"/>
  <c r="I252" i="16"/>
  <c r="D252" i="16"/>
  <c r="C252" i="16"/>
  <c r="A252" i="16"/>
  <c r="I251" i="16"/>
  <c r="D251" i="16"/>
  <c r="C251" i="16"/>
  <c r="A251" i="16"/>
  <c r="I250" i="16"/>
  <c r="D250" i="16"/>
  <c r="C250" i="16"/>
  <c r="A250" i="16"/>
  <c r="I249" i="16"/>
  <c r="D249" i="16"/>
  <c r="C249" i="16"/>
  <c r="A249" i="16"/>
  <c r="I248" i="16"/>
  <c r="D248" i="16"/>
  <c r="C248" i="16"/>
  <c r="A248" i="16"/>
  <c r="I247" i="16"/>
  <c r="D247" i="16"/>
  <c r="C247" i="16"/>
  <c r="A247" i="16"/>
  <c r="I246" i="16"/>
  <c r="D246" i="16"/>
  <c r="C246" i="16"/>
  <c r="A246" i="16"/>
  <c r="I245" i="16"/>
  <c r="D245" i="16"/>
  <c r="C245" i="16"/>
  <c r="A245" i="16"/>
  <c r="I244" i="16"/>
  <c r="D244" i="16"/>
  <c r="C244" i="16"/>
  <c r="A244" i="16"/>
  <c r="I243" i="16"/>
  <c r="D243" i="16"/>
  <c r="C243" i="16"/>
  <c r="A243" i="16"/>
  <c r="I242" i="16"/>
  <c r="D242" i="16"/>
  <c r="C242" i="16"/>
  <c r="A242" i="16"/>
  <c r="I241" i="16"/>
  <c r="D241" i="16"/>
  <c r="C241" i="16"/>
  <c r="A241" i="16"/>
  <c r="I240" i="16"/>
  <c r="D240" i="16"/>
  <c r="C240" i="16"/>
  <c r="A240" i="16"/>
  <c r="I239" i="16"/>
  <c r="D239" i="16"/>
  <c r="C239" i="16"/>
  <c r="A239" i="16"/>
  <c r="I238" i="16"/>
  <c r="D238" i="16"/>
  <c r="C238" i="16"/>
  <c r="A238" i="16"/>
  <c r="I237" i="16"/>
  <c r="D237" i="16"/>
  <c r="C237" i="16"/>
  <c r="A237" i="16"/>
  <c r="I236" i="16"/>
  <c r="D236" i="16"/>
  <c r="C236" i="16"/>
  <c r="A236" i="16"/>
  <c r="I235" i="16"/>
  <c r="D235" i="16"/>
  <c r="C235" i="16"/>
  <c r="A235" i="16"/>
  <c r="I234" i="16"/>
  <c r="D234" i="16"/>
  <c r="C234" i="16"/>
  <c r="A234" i="16"/>
  <c r="I233" i="16"/>
  <c r="D233" i="16"/>
  <c r="C233" i="16"/>
  <c r="A233" i="16"/>
  <c r="I232" i="16"/>
  <c r="D232" i="16"/>
  <c r="C232" i="16"/>
  <c r="A232" i="16"/>
  <c r="I231" i="16"/>
  <c r="D231" i="16"/>
  <c r="C231" i="16"/>
  <c r="A231" i="16"/>
  <c r="I230" i="16"/>
  <c r="D230" i="16"/>
  <c r="C230" i="16"/>
  <c r="A230" i="16"/>
  <c r="I229" i="16"/>
  <c r="D229" i="16"/>
  <c r="C229" i="16"/>
  <c r="A229" i="16"/>
  <c r="I228" i="16"/>
  <c r="D228" i="16"/>
  <c r="C228" i="16"/>
  <c r="A228" i="16"/>
  <c r="I227" i="16"/>
  <c r="D227" i="16"/>
  <c r="C227" i="16"/>
  <c r="A227" i="16"/>
  <c r="I226" i="16"/>
  <c r="D226" i="16"/>
  <c r="C226" i="16"/>
  <c r="A226" i="16"/>
  <c r="I225" i="16"/>
  <c r="D225" i="16"/>
  <c r="C225" i="16"/>
  <c r="A225" i="16"/>
  <c r="I224" i="16"/>
  <c r="D224" i="16"/>
  <c r="C224" i="16"/>
  <c r="A224" i="16"/>
  <c r="I223" i="16"/>
  <c r="D223" i="16"/>
  <c r="C223" i="16"/>
  <c r="A223" i="16"/>
  <c r="I222" i="16"/>
  <c r="D222" i="16"/>
  <c r="C222" i="16"/>
  <c r="A222" i="16"/>
  <c r="I221" i="16"/>
  <c r="D221" i="16"/>
  <c r="C221" i="16"/>
  <c r="A221" i="16"/>
  <c r="I220" i="16"/>
  <c r="D220" i="16"/>
  <c r="C220" i="16"/>
  <c r="A220" i="16"/>
  <c r="I219" i="16"/>
  <c r="D219" i="16"/>
  <c r="C219" i="16"/>
  <c r="A219" i="16"/>
  <c r="I218" i="16"/>
  <c r="D218" i="16"/>
  <c r="C218" i="16"/>
  <c r="A218" i="16"/>
  <c r="I217" i="16"/>
  <c r="D217" i="16"/>
  <c r="C217" i="16"/>
  <c r="A217" i="16"/>
  <c r="I216" i="16"/>
  <c r="D216" i="16"/>
  <c r="C216" i="16"/>
  <c r="A216" i="16"/>
  <c r="I215" i="16"/>
  <c r="D215" i="16"/>
  <c r="C215" i="16"/>
  <c r="A215" i="16"/>
  <c r="I214" i="16"/>
  <c r="D214" i="16"/>
  <c r="C214" i="16"/>
  <c r="A214" i="16"/>
  <c r="I213" i="16"/>
  <c r="D213" i="16"/>
  <c r="C213" i="16"/>
  <c r="A213" i="16"/>
  <c r="I212" i="16"/>
  <c r="D212" i="16"/>
  <c r="C212" i="16"/>
  <c r="A212" i="16"/>
  <c r="I211" i="16"/>
  <c r="D211" i="16"/>
  <c r="C211" i="16"/>
  <c r="A211" i="16"/>
  <c r="I210" i="16"/>
  <c r="D210" i="16"/>
  <c r="C210" i="16"/>
  <c r="A210" i="16"/>
  <c r="I209" i="16"/>
  <c r="D209" i="16"/>
  <c r="C209" i="16"/>
  <c r="A209" i="16"/>
  <c r="I208" i="16"/>
  <c r="D208" i="16"/>
  <c r="C208" i="16"/>
  <c r="A208" i="16"/>
  <c r="I207" i="16"/>
  <c r="D207" i="16"/>
  <c r="C207" i="16"/>
  <c r="A207" i="16"/>
  <c r="I206" i="16"/>
  <c r="D206" i="16"/>
  <c r="C206" i="16"/>
  <c r="A206" i="16"/>
  <c r="I205" i="16"/>
  <c r="D205" i="16"/>
  <c r="C205" i="16"/>
  <c r="A205" i="16"/>
  <c r="I204" i="16"/>
  <c r="D204" i="16"/>
  <c r="C204" i="16"/>
  <c r="A204" i="16"/>
  <c r="I203" i="16"/>
  <c r="D203" i="16"/>
  <c r="C203" i="16"/>
  <c r="A203" i="16"/>
  <c r="I202" i="16"/>
  <c r="D202" i="16"/>
  <c r="C202" i="16"/>
  <c r="A202" i="16"/>
  <c r="I201" i="16"/>
  <c r="D201" i="16"/>
  <c r="C201" i="16"/>
  <c r="A201" i="16"/>
  <c r="I200" i="16"/>
  <c r="D200" i="16"/>
  <c r="C200" i="16"/>
  <c r="A200" i="16"/>
  <c r="I199" i="16"/>
  <c r="D199" i="16"/>
  <c r="C199" i="16"/>
  <c r="A199" i="16"/>
  <c r="I198" i="16"/>
  <c r="D198" i="16"/>
  <c r="C198" i="16"/>
  <c r="A198" i="16"/>
  <c r="I197" i="16"/>
  <c r="D197" i="16"/>
  <c r="C197" i="16"/>
  <c r="A197" i="16"/>
  <c r="I196" i="16"/>
  <c r="D196" i="16"/>
  <c r="C196" i="16"/>
  <c r="A196" i="16"/>
  <c r="I195" i="16"/>
  <c r="D195" i="16"/>
  <c r="C195" i="16"/>
  <c r="A195" i="16"/>
  <c r="I194" i="16"/>
  <c r="D194" i="16"/>
  <c r="C194" i="16"/>
  <c r="A194" i="16"/>
  <c r="I193" i="16"/>
  <c r="D193" i="16"/>
  <c r="C193" i="16"/>
  <c r="A193" i="16"/>
  <c r="I192" i="16"/>
  <c r="D192" i="16"/>
  <c r="C192" i="16"/>
  <c r="A192" i="16"/>
  <c r="I191" i="16"/>
  <c r="D191" i="16"/>
  <c r="C191" i="16"/>
  <c r="A191" i="16"/>
  <c r="I190" i="16"/>
  <c r="D190" i="16"/>
  <c r="C190" i="16"/>
  <c r="A190" i="16"/>
  <c r="I189" i="16"/>
  <c r="D189" i="16"/>
  <c r="C189" i="16"/>
  <c r="A189" i="16"/>
  <c r="I188" i="16"/>
  <c r="D188" i="16"/>
  <c r="C188" i="16"/>
  <c r="A188" i="16"/>
  <c r="I187" i="16"/>
  <c r="D187" i="16"/>
  <c r="C187" i="16"/>
  <c r="A187" i="16"/>
  <c r="I186" i="16"/>
  <c r="D186" i="16"/>
  <c r="C186" i="16"/>
  <c r="A186" i="16"/>
  <c r="I185" i="16"/>
  <c r="D185" i="16"/>
  <c r="C185" i="16"/>
  <c r="A185" i="16"/>
  <c r="I184" i="16"/>
  <c r="D184" i="16"/>
  <c r="C184" i="16"/>
  <c r="A184" i="16"/>
  <c r="I183" i="16"/>
  <c r="D183" i="16"/>
  <c r="C183" i="16"/>
  <c r="A183" i="16"/>
  <c r="I182" i="16"/>
  <c r="D182" i="16"/>
  <c r="C182" i="16"/>
  <c r="A182" i="16"/>
  <c r="I181" i="16"/>
  <c r="D181" i="16"/>
  <c r="C181" i="16"/>
  <c r="A181" i="16"/>
  <c r="I180" i="16"/>
  <c r="D180" i="16"/>
  <c r="C180" i="16"/>
  <c r="A180" i="16"/>
  <c r="I179" i="16"/>
  <c r="D179" i="16"/>
  <c r="C179" i="16"/>
  <c r="A179" i="16"/>
  <c r="I178" i="16"/>
  <c r="D178" i="16"/>
  <c r="C178" i="16"/>
  <c r="A178" i="16"/>
  <c r="I177" i="16"/>
  <c r="D177" i="16"/>
  <c r="C177" i="16"/>
  <c r="A177" i="16"/>
  <c r="I176" i="16"/>
  <c r="D176" i="16"/>
  <c r="C176" i="16"/>
  <c r="A176" i="16"/>
  <c r="I175" i="16"/>
  <c r="D175" i="16"/>
  <c r="C175" i="16"/>
  <c r="A175" i="16"/>
  <c r="I174" i="16"/>
  <c r="D174" i="16"/>
  <c r="C174" i="16"/>
  <c r="A174" i="16"/>
  <c r="I173" i="16"/>
  <c r="D173" i="16"/>
  <c r="C173" i="16"/>
  <c r="A173" i="16"/>
  <c r="I172" i="16"/>
  <c r="D172" i="16"/>
  <c r="C172" i="16"/>
  <c r="A172" i="16"/>
  <c r="I171" i="16"/>
  <c r="D171" i="16"/>
  <c r="C171" i="16"/>
  <c r="A171" i="16"/>
  <c r="I170" i="16"/>
  <c r="D170" i="16"/>
  <c r="C170" i="16"/>
  <c r="A170" i="16"/>
  <c r="I169" i="16"/>
  <c r="D169" i="16"/>
  <c r="C169" i="16"/>
  <c r="A169" i="16"/>
  <c r="I168" i="16"/>
  <c r="D168" i="16"/>
  <c r="C168" i="16"/>
  <c r="A168" i="16"/>
  <c r="I167" i="16"/>
  <c r="D167" i="16"/>
  <c r="C167" i="16"/>
  <c r="A167" i="16"/>
  <c r="I166" i="16"/>
  <c r="D166" i="16"/>
  <c r="C166" i="16"/>
  <c r="A166" i="16"/>
  <c r="I165" i="16"/>
  <c r="D165" i="16"/>
  <c r="C165" i="16"/>
  <c r="A165" i="16"/>
  <c r="I164" i="16"/>
  <c r="D164" i="16"/>
  <c r="C164" i="16"/>
  <c r="A164" i="16"/>
  <c r="I163" i="16"/>
  <c r="D163" i="16"/>
  <c r="C163" i="16"/>
  <c r="A163" i="16"/>
  <c r="I162" i="16"/>
  <c r="D162" i="16"/>
  <c r="C162" i="16"/>
  <c r="A162" i="16"/>
  <c r="I161" i="16"/>
  <c r="D161" i="16"/>
  <c r="C161" i="16"/>
  <c r="A161" i="16"/>
  <c r="I160" i="16"/>
  <c r="D160" i="16"/>
  <c r="C160" i="16"/>
  <c r="A160" i="16"/>
  <c r="I159" i="16"/>
  <c r="D159" i="16"/>
  <c r="C159" i="16"/>
  <c r="A159" i="16"/>
  <c r="I158" i="16"/>
  <c r="D158" i="16"/>
  <c r="C158" i="16"/>
  <c r="A158" i="16"/>
  <c r="I157" i="16"/>
  <c r="D157" i="16"/>
  <c r="C157" i="16"/>
  <c r="A157" i="16"/>
  <c r="I156" i="16"/>
  <c r="D156" i="16"/>
  <c r="C156" i="16"/>
  <c r="A156" i="16"/>
  <c r="I155" i="16"/>
  <c r="D155" i="16"/>
  <c r="C155" i="16"/>
  <c r="A155" i="16"/>
  <c r="I154" i="16"/>
  <c r="D154" i="16"/>
  <c r="C154" i="16"/>
  <c r="A154" i="16"/>
  <c r="I153" i="16"/>
  <c r="D153" i="16"/>
  <c r="C153" i="16"/>
  <c r="A153" i="16"/>
  <c r="I152" i="16"/>
  <c r="D152" i="16"/>
  <c r="C152" i="16"/>
  <c r="A152" i="16"/>
  <c r="I151" i="16"/>
  <c r="D151" i="16"/>
  <c r="C151" i="16"/>
  <c r="A151" i="16"/>
  <c r="I150" i="16"/>
  <c r="D150" i="16"/>
  <c r="C150" i="16"/>
  <c r="A150" i="16"/>
  <c r="I149" i="16"/>
  <c r="D149" i="16"/>
  <c r="C149" i="16"/>
  <c r="A149" i="16"/>
  <c r="I148" i="16"/>
  <c r="D148" i="16"/>
  <c r="C148" i="16"/>
  <c r="A148" i="16"/>
  <c r="I147" i="16"/>
  <c r="D147" i="16"/>
  <c r="C147" i="16"/>
  <c r="A147" i="16"/>
  <c r="I146" i="16"/>
  <c r="D146" i="16"/>
  <c r="C146" i="16"/>
  <c r="A146" i="16"/>
  <c r="I145" i="16"/>
  <c r="D145" i="16"/>
  <c r="C145" i="16"/>
  <c r="A145" i="16"/>
  <c r="I144" i="16"/>
  <c r="D144" i="16"/>
  <c r="C144" i="16"/>
  <c r="A144" i="16"/>
  <c r="I143" i="16"/>
  <c r="D143" i="16"/>
  <c r="C143" i="16"/>
  <c r="A143" i="16"/>
  <c r="I142" i="16"/>
  <c r="D142" i="16"/>
  <c r="C142" i="16"/>
  <c r="A142" i="16"/>
  <c r="I141" i="16"/>
  <c r="D141" i="16"/>
  <c r="C141" i="16"/>
  <c r="A141" i="16"/>
  <c r="I140" i="16"/>
  <c r="D140" i="16"/>
  <c r="C140" i="16"/>
  <c r="A140" i="16"/>
  <c r="I139" i="16"/>
  <c r="D139" i="16"/>
  <c r="C139" i="16"/>
  <c r="A139" i="16"/>
  <c r="I138" i="16"/>
  <c r="D138" i="16"/>
  <c r="C138" i="16"/>
  <c r="A138" i="16"/>
  <c r="I137" i="16"/>
  <c r="D137" i="16"/>
  <c r="C137" i="16"/>
  <c r="A137" i="16"/>
  <c r="I136" i="16"/>
  <c r="D136" i="16"/>
  <c r="C136" i="16"/>
  <c r="A136" i="16"/>
  <c r="I135" i="16"/>
  <c r="D135" i="16"/>
  <c r="C135" i="16"/>
  <c r="A135" i="16"/>
  <c r="I134" i="16"/>
  <c r="D134" i="16"/>
  <c r="C134" i="16"/>
  <c r="A134" i="16"/>
  <c r="I133" i="16"/>
  <c r="D133" i="16"/>
  <c r="C133" i="16"/>
  <c r="A133" i="16"/>
  <c r="I132" i="16"/>
  <c r="D132" i="16"/>
  <c r="C132" i="16"/>
  <c r="A132" i="16"/>
  <c r="I131" i="16"/>
  <c r="D131" i="16"/>
  <c r="C131" i="16"/>
  <c r="A131" i="16"/>
  <c r="I130" i="16"/>
  <c r="D130" i="16"/>
  <c r="C130" i="16"/>
  <c r="A130" i="16"/>
  <c r="I129" i="16"/>
  <c r="D129" i="16"/>
  <c r="C129" i="16"/>
  <c r="A129" i="16"/>
  <c r="I128" i="16"/>
  <c r="D128" i="16"/>
  <c r="C128" i="16"/>
  <c r="A128" i="16"/>
  <c r="I127" i="16"/>
  <c r="D127" i="16"/>
  <c r="C127" i="16"/>
  <c r="A127" i="16"/>
  <c r="I126" i="16"/>
  <c r="D126" i="16"/>
  <c r="C126" i="16"/>
  <c r="A126" i="16"/>
  <c r="I125" i="16"/>
  <c r="D125" i="16"/>
  <c r="C125" i="16"/>
  <c r="A125" i="16"/>
  <c r="I124" i="16"/>
  <c r="D124" i="16"/>
  <c r="C124" i="16"/>
  <c r="A124" i="16"/>
  <c r="I123" i="16"/>
  <c r="D123" i="16"/>
  <c r="C123" i="16"/>
  <c r="A123" i="16"/>
  <c r="I122" i="16"/>
  <c r="D122" i="16"/>
  <c r="C122" i="16"/>
  <c r="A122" i="16"/>
  <c r="I121" i="16"/>
  <c r="D121" i="16"/>
  <c r="C121" i="16"/>
  <c r="A121" i="16"/>
  <c r="I120" i="16"/>
  <c r="D120" i="16"/>
  <c r="C120" i="16"/>
  <c r="A120" i="16"/>
  <c r="I119" i="16"/>
  <c r="D119" i="16"/>
  <c r="C119" i="16"/>
  <c r="A119" i="16"/>
  <c r="I118" i="16"/>
  <c r="D118" i="16"/>
  <c r="C118" i="16"/>
  <c r="A118" i="16"/>
  <c r="I117" i="16"/>
  <c r="D117" i="16"/>
  <c r="C117" i="16"/>
  <c r="A117" i="16"/>
  <c r="I116" i="16"/>
  <c r="D116" i="16"/>
  <c r="C116" i="16"/>
  <c r="A116" i="16"/>
  <c r="I115" i="16"/>
  <c r="D115" i="16"/>
  <c r="C115" i="16"/>
  <c r="A115" i="16"/>
  <c r="I114" i="16"/>
  <c r="D114" i="16"/>
  <c r="C114" i="16"/>
  <c r="A114" i="16"/>
  <c r="I113" i="16"/>
  <c r="D113" i="16"/>
  <c r="C113" i="16"/>
  <c r="A113" i="16"/>
  <c r="I112" i="16"/>
  <c r="D112" i="16"/>
  <c r="C112" i="16"/>
  <c r="A112" i="16"/>
  <c r="I111" i="16"/>
  <c r="D111" i="16"/>
  <c r="C111" i="16"/>
  <c r="A111" i="16"/>
  <c r="I110" i="16"/>
  <c r="D110" i="16"/>
  <c r="C110" i="16"/>
  <c r="A110" i="16"/>
  <c r="I109" i="16"/>
  <c r="D109" i="16"/>
  <c r="C109" i="16"/>
  <c r="A109" i="16"/>
  <c r="I108" i="16"/>
  <c r="D108" i="16"/>
  <c r="C108" i="16"/>
  <c r="A108" i="16"/>
  <c r="I107" i="16"/>
  <c r="D107" i="16"/>
  <c r="C107" i="16"/>
  <c r="A107" i="16"/>
  <c r="I106" i="16"/>
  <c r="D106" i="16"/>
  <c r="C106" i="16"/>
  <c r="A106" i="16"/>
  <c r="I105" i="16"/>
  <c r="D105" i="16"/>
  <c r="C105" i="16"/>
  <c r="A105" i="16"/>
  <c r="I104" i="16"/>
  <c r="D104" i="16"/>
  <c r="C104" i="16"/>
  <c r="A104" i="16"/>
  <c r="I103" i="16"/>
  <c r="D103" i="16"/>
  <c r="C103" i="16"/>
  <c r="A103" i="16"/>
  <c r="I102" i="16"/>
  <c r="D102" i="16"/>
  <c r="C102" i="16"/>
  <c r="A102" i="16"/>
  <c r="I101" i="16"/>
  <c r="D101" i="16"/>
  <c r="C101" i="16"/>
  <c r="A101" i="16"/>
  <c r="I100" i="16"/>
  <c r="D100" i="16"/>
  <c r="C100" i="16"/>
  <c r="A100" i="16"/>
  <c r="I99" i="16"/>
  <c r="D99" i="16"/>
  <c r="C99" i="16"/>
  <c r="A99" i="16"/>
  <c r="I98" i="16"/>
  <c r="D98" i="16"/>
  <c r="C98" i="16"/>
  <c r="A98" i="16"/>
  <c r="I97" i="16"/>
  <c r="D97" i="16"/>
  <c r="C97" i="16"/>
  <c r="A97" i="16"/>
  <c r="I96" i="16"/>
  <c r="D96" i="16"/>
  <c r="C96" i="16"/>
  <c r="A96" i="16"/>
  <c r="I95" i="16"/>
  <c r="D95" i="16"/>
  <c r="C95" i="16"/>
  <c r="A95" i="16"/>
  <c r="I94" i="16"/>
  <c r="D94" i="16"/>
  <c r="C94" i="16"/>
  <c r="A94" i="16"/>
  <c r="I93" i="16"/>
  <c r="D93" i="16"/>
  <c r="C93" i="16"/>
  <c r="A93" i="16"/>
  <c r="I92" i="16"/>
  <c r="D92" i="16"/>
  <c r="C92" i="16"/>
  <c r="A92" i="16"/>
  <c r="I91" i="16"/>
  <c r="D91" i="16"/>
  <c r="C91" i="16"/>
  <c r="A91" i="16"/>
  <c r="I90" i="16"/>
  <c r="D90" i="16"/>
  <c r="C90" i="16"/>
  <c r="A90" i="16"/>
  <c r="I89" i="16"/>
  <c r="D89" i="16"/>
  <c r="C89" i="16"/>
  <c r="A89" i="16"/>
  <c r="I88" i="16"/>
  <c r="D88" i="16"/>
  <c r="C88" i="16"/>
  <c r="A88" i="16"/>
  <c r="I87" i="16"/>
  <c r="D87" i="16"/>
  <c r="C87" i="16"/>
  <c r="A87" i="16"/>
  <c r="I86" i="16"/>
  <c r="D86" i="16"/>
  <c r="C86" i="16"/>
  <c r="A86" i="16"/>
  <c r="I85" i="16"/>
  <c r="D85" i="16"/>
  <c r="C85" i="16"/>
  <c r="A85" i="16"/>
  <c r="I84" i="16"/>
  <c r="D84" i="16"/>
  <c r="C84" i="16"/>
  <c r="A84" i="16"/>
  <c r="I83" i="16"/>
  <c r="D83" i="16"/>
  <c r="C83" i="16"/>
  <c r="A83" i="16"/>
  <c r="I82" i="16"/>
  <c r="D82" i="16"/>
  <c r="C82" i="16"/>
  <c r="A82" i="16"/>
  <c r="I81" i="16"/>
  <c r="D81" i="16"/>
  <c r="C81" i="16"/>
  <c r="A81" i="16"/>
  <c r="I80" i="16"/>
  <c r="D80" i="16"/>
  <c r="C80" i="16"/>
  <c r="A80" i="16"/>
  <c r="I79" i="16"/>
  <c r="D79" i="16"/>
  <c r="C79" i="16"/>
  <c r="A79" i="16"/>
  <c r="I78" i="16"/>
  <c r="D78" i="16"/>
  <c r="C78" i="16"/>
  <c r="A78" i="16"/>
  <c r="I77" i="16"/>
  <c r="D77" i="16"/>
  <c r="C77" i="16"/>
  <c r="A77" i="16"/>
  <c r="I76" i="16"/>
  <c r="D76" i="16"/>
  <c r="C76" i="16"/>
  <c r="A76" i="16"/>
  <c r="I75" i="16"/>
  <c r="D75" i="16"/>
  <c r="C75" i="16"/>
  <c r="A75" i="16"/>
  <c r="I74" i="16"/>
  <c r="D74" i="16"/>
  <c r="C74" i="16"/>
  <c r="A74" i="16"/>
  <c r="I73" i="16"/>
  <c r="D73" i="16"/>
  <c r="C73" i="16"/>
  <c r="A73" i="16"/>
  <c r="I72" i="16"/>
  <c r="D72" i="16"/>
  <c r="C72" i="16"/>
  <c r="A72" i="16"/>
  <c r="I71" i="16"/>
  <c r="D71" i="16"/>
  <c r="C71" i="16"/>
  <c r="A71" i="16"/>
  <c r="I70" i="16"/>
  <c r="D70" i="16"/>
  <c r="C70" i="16"/>
  <c r="A70" i="16"/>
  <c r="I69" i="16"/>
  <c r="D69" i="16"/>
  <c r="C69" i="16"/>
  <c r="A69" i="16"/>
  <c r="I68" i="16"/>
  <c r="D68" i="16"/>
  <c r="C68" i="16"/>
  <c r="A68" i="16"/>
  <c r="I67" i="16"/>
  <c r="D67" i="16"/>
  <c r="C67" i="16"/>
  <c r="A67" i="16"/>
  <c r="I66" i="16"/>
  <c r="D66" i="16"/>
  <c r="C66" i="16"/>
  <c r="A66" i="16"/>
  <c r="I65" i="16"/>
  <c r="D65" i="16"/>
  <c r="C65" i="16"/>
  <c r="A65" i="16"/>
  <c r="I64" i="16"/>
  <c r="D64" i="16"/>
  <c r="C64" i="16"/>
  <c r="A64" i="16"/>
  <c r="I63" i="16"/>
  <c r="D63" i="16"/>
  <c r="C63" i="16"/>
  <c r="A63" i="16"/>
  <c r="I62" i="16"/>
  <c r="D62" i="16"/>
  <c r="C62" i="16"/>
  <c r="A62" i="16"/>
  <c r="I61" i="16"/>
  <c r="D61" i="16"/>
  <c r="C61" i="16"/>
  <c r="A61" i="16"/>
  <c r="I60" i="16"/>
  <c r="D60" i="16"/>
  <c r="C60" i="16"/>
  <c r="A60" i="16"/>
  <c r="I59" i="16"/>
  <c r="D59" i="16"/>
  <c r="C59" i="16"/>
  <c r="A59" i="16"/>
  <c r="I58" i="16"/>
  <c r="D58" i="16"/>
  <c r="C58" i="16"/>
  <c r="A58" i="16"/>
  <c r="I57" i="16"/>
  <c r="D57" i="16"/>
  <c r="C57" i="16"/>
  <c r="A57" i="16"/>
  <c r="I56" i="16"/>
  <c r="D56" i="16"/>
  <c r="C56" i="16"/>
  <c r="A56" i="16"/>
  <c r="I55" i="16"/>
  <c r="D55" i="16"/>
  <c r="C55" i="16"/>
  <c r="A55" i="16"/>
  <c r="I54" i="16"/>
  <c r="D54" i="16"/>
  <c r="C54" i="16"/>
  <c r="A54" i="16"/>
  <c r="I53" i="16"/>
  <c r="D53" i="16"/>
  <c r="C53" i="16"/>
  <c r="A53" i="16"/>
  <c r="I52" i="16"/>
  <c r="D52" i="16"/>
  <c r="C52" i="16"/>
  <c r="A52" i="16"/>
  <c r="I51" i="16"/>
  <c r="D51" i="16"/>
  <c r="C51" i="16"/>
  <c r="A51" i="16"/>
  <c r="I50" i="16"/>
  <c r="D50" i="16"/>
  <c r="C50" i="16"/>
  <c r="A50" i="16"/>
  <c r="I49" i="16"/>
  <c r="D49" i="16"/>
  <c r="C49" i="16"/>
  <c r="A49" i="16"/>
  <c r="I48" i="16"/>
  <c r="D48" i="16"/>
  <c r="C48" i="16"/>
  <c r="A48" i="16"/>
  <c r="I47" i="16"/>
  <c r="D47" i="16"/>
  <c r="C47" i="16"/>
  <c r="A47" i="16"/>
  <c r="I46" i="16"/>
  <c r="D46" i="16"/>
  <c r="C46" i="16"/>
  <c r="A46" i="16"/>
  <c r="I45" i="16"/>
  <c r="D45" i="16"/>
  <c r="C45" i="16"/>
  <c r="A45" i="16"/>
  <c r="I44" i="16"/>
  <c r="D44" i="16"/>
  <c r="C44" i="16"/>
  <c r="A44" i="16"/>
  <c r="I43" i="16"/>
  <c r="D43" i="16"/>
  <c r="C43" i="16"/>
  <c r="A43" i="16"/>
  <c r="I42" i="16"/>
  <c r="D42" i="16"/>
  <c r="C42" i="16"/>
  <c r="A42" i="16"/>
  <c r="I41" i="16"/>
  <c r="D41" i="16"/>
  <c r="C41" i="16"/>
  <c r="A41" i="16"/>
  <c r="I40" i="16"/>
  <c r="D40" i="16"/>
  <c r="C40" i="16"/>
  <c r="A40" i="16"/>
  <c r="I39" i="16"/>
  <c r="D39" i="16"/>
  <c r="C39" i="16"/>
  <c r="A39" i="16"/>
  <c r="I38" i="16"/>
  <c r="D38" i="16"/>
  <c r="C38" i="16"/>
  <c r="A38" i="16"/>
  <c r="I37" i="16"/>
  <c r="D37" i="16"/>
  <c r="C37" i="16"/>
  <c r="A37" i="16"/>
  <c r="I36" i="16"/>
  <c r="D36" i="16"/>
  <c r="C36" i="16"/>
  <c r="A36" i="16"/>
  <c r="I35" i="16"/>
  <c r="D35" i="16"/>
  <c r="C35" i="16"/>
  <c r="A35" i="16"/>
  <c r="I34" i="16"/>
  <c r="D34" i="16"/>
  <c r="C34" i="16"/>
  <c r="A34" i="16"/>
  <c r="I33" i="16"/>
  <c r="D33" i="16"/>
  <c r="C33" i="16"/>
  <c r="A33" i="16"/>
  <c r="I32" i="16"/>
  <c r="D32" i="16"/>
  <c r="C32" i="16"/>
  <c r="A32" i="16"/>
  <c r="I31" i="16"/>
  <c r="D31" i="16"/>
  <c r="C31" i="16"/>
  <c r="A31" i="16"/>
  <c r="I30" i="16"/>
  <c r="D30" i="16"/>
  <c r="C30" i="16"/>
  <c r="A30" i="16"/>
  <c r="I29" i="16"/>
  <c r="D29" i="16"/>
  <c r="C29" i="16"/>
  <c r="A29" i="16"/>
  <c r="I28" i="16"/>
  <c r="D28" i="16"/>
  <c r="C28" i="16"/>
  <c r="A28" i="16"/>
  <c r="I27" i="16"/>
  <c r="D27" i="16"/>
  <c r="C27" i="16"/>
  <c r="A27" i="16"/>
  <c r="I26" i="16"/>
  <c r="D26" i="16"/>
  <c r="C26" i="16"/>
  <c r="A26" i="16"/>
  <c r="I25" i="16"/>
  <c r="D25" i="16"/>
  <c r="C25" i="16"/>
  <c r="A25" i="16"/>
  <c r="I24" i="16"/>
  <c r="D24" i="16"/>
  <c r="C24" i="16"/>
  <c r="A24" i="16"/>
  <c r="I23" i="16"/>
  <c r="D23" i="16"/>
  <c r="C23" i="16"/>
  <c r="A23" i="16"/>
  <c r="I22" i="16"/>
  <c r="D22" i="16"/>
  <c r="C22" i="16"/>
  <c r="A22" i="16"/>
  <c r="I21" i="16"/>
  <c r="D21" i="16"/>
  <c r="C21" i="16"/>
  <c r="A21" i="16"/>
  <c r="I20" i="16"/>
  <c r="D20" i="16"/>
  <c r="C20" i="16"/>
  <c r="A20" i="16"/>
  <c r="I19" i="16"/>
  <c r="D19" i="16"/>
  <c r="C19" i="16"/>
  <c r="A19" i="16"/>
  <c r="I18" i="16"/>
  <c r="D18" i="16"/>
  <c r="C18" i="16"/>
  <c r="A18" i="16"/>
  <c r="I17" i="16"/>
  <c r="D17" i="16"/>
  <c r="C17" i="16"/>
  <c r="A17" i="16"/>
  <c r="I16" i="16"/>
  <c r="D16" i="16"/>
  <c r="C16" i="16"/>
  <c r="A16" i="16"/>
  <c r="I15" i="16"/>
  <c r="D15" i="16"/>
  <c r="C15" i="16"/>
  <c r="A15" i="16"/>
  <c r="I14" i="16"/>
  <c r="D14" i="16"/>
  <c r="C14" i="16"/>
  <c r="A14" i="16"/>
  <c r="I13" i="16"/>
  <c r="D13" i="16"/>
  <c r="C13" i="16"/>
  <c r="A13" i="16"/>
  <c r="I12" i="16"/>
  <c r="D12" i="16"/>
  <c r="C12" i="16"/>
  <c r="A12" i="16"/>
  <c r="I11" i="16"/>
  <c r="D11" i="16"/>
  <c r="C11" i="16"/>
  <c r="A11" i="16"/>
  <c r="I10" i="16"/>
  <c r="D10" i="16"/>
  <c r="C10" i="16"/>
  <c r="A10" i="16"/>
  <c r="I9" i="16"/>
  <c r="D9" i="16"/>
  <c r="C9" i="16"/>
  <c r="I8" i="16"/>
  <c r="D8" i="16"/>
  <c r="C8" i="16"/>
  <c r="I7" i="16"/>
  <c r="D7" i="16"/>
  <c r="C7" i="16"/>
  <c r="I6" i="16"/>
  <c r="D6" i="16"/>
  <c r="C6" i="16"/>
  <c r="I5" i="16"/>
  <c r="D5" i="16"/>
  <c r="C5" i="16"/>
  <c r="I4" i="16"/>
  <c r="D4" i="16"/>
  <c r="C4" i="16"/>
  <c r="I3" i="16"/>
  <c r="D3" i="16"/>
  <c r="C3" i="16"/>
  <c r="I2" i="16"/>
  <c r="D2" i="16"/>
  <c r="C2" i="16"/>
  <c r="A2" i="16"/>
  <c r="A3" i="16" s="1"/>
  <c r="A4" i="16" s="1"/>
  <c r="A5" i="16" s="1"/>
  <c r="A6" i="16" s="1"/>
  <c r="A7" i="16" s="1"/>
  <c r="A8" i="16" s="1"/>
  <c r="A9" i="16" s="1"/>
  <c r="D1348" i="15"/>
  <c r="C1348" i="15"/>
  <c r="A1348" i="15"/>
  <c r="D1347" i="15"/>
  <c r="C1347" i="15"/>
  <c r="A1347" i="15"/>
  <c r="D1346" i="15"/>
  <c r="C1346" i="15"/>
  <c r="A1346" i="15"/>
  <c r="D1345" i="15"/>
  <c r="C1345" i="15"/>
  <c r="A1345" i="15"/>
  <c r="D1344" i="15"/>
  <c r="C1344" i="15"/>
  <c r="A1344" i="15"/>
  <c r="D1343" i="15"/>
  <c r="C1343" i="15"/>
  <c r="A1343" i="15"/>
  <c r="D1342" i="15"/>
  <c r="C1342" i="15"/>
  <c r="A1342" i="15"/>
  <c r="D1341" i="15"/>
  <c r="C1341" i="15"/>
  <c r="A1341" i="15"/>
  <c r="D1340" i="15"/>
  <c r="C1340" i="15"/>
  <c r="A1340" i="15"/>
  <c r="D1339" i="15"/>
  <c r="C1339" i="15"/>
  <c r="A1339" i="15"/>
  <c r="D1338" i="15"/>
  <c r="C1338" i="15"/>
  <c r="A1338" i="15"/>
  <c r="D1337" i="15"/>
  <c r="C1337" i="15"/>
  <c r="A1337" i="15"/>
  <c r="D1336" i="15"/>
  <c r="C1336" i="15"/>
  <c r="A1336" i="15"/>
  <c r="D1335" i="15"/>
  <c r="C1335" i="15"/>
  <c r="A1335" i="15"/>
  <c r="D1334" i="15"/>
  <c r="C1334" i="15"/>
  <c r="A1334" i="15"/>
  <c r="D1333" i="15"/>
  <c r="C1333" i="15"/>
  <c r="A1333" i="15"/>
  <c r="D1332" i="15"/>
  <c r="C1332" i="15"/>
  <c r="A1332" i="15"/>
  <c r="D1331" i="15"/>
  <c r="C1331" i="15"/>
  <c r="A1331" i="15"/>
  <c r="D1330" i="15"/>
  <c r="C1330" i="15"/>
  <c r="A1330" i="15"/>
  <c r="D1329" i="15"/>
  <c r="C1329" i="15"/>
  <c r="A1329" i="15"/>
  <c r="D1328" i="15"/>
  <c r="C1328" i="15"/>
  <c r="A1328" i="15"/>
  <c r="D1327" i="15"/>
  <c r="C1327" i="15"/>
  <c r="A1327" i="15"/>
  <c r="D1326" i="15"/>
  <c r="C1326" i="15"/>
  <c r="A1326" i="15"/>
  <c r="D1325" i="15"/>
  <c r="C1325" i="15"/>
  <c r="A1325" i="15"/>
  <c r="D1324" i="15"/>
  <c r="C1324" i="15"/>
  <c r="A1324" i="15"/>
  <c r="D1323" i="15"/>
  <c r="C1323" i="15"/>
  <c r="A1323" i="15"/>
  <c r="D1322" i="15"/>
  <c r="C1322" i="15"/>
  <c r="A1322" i="15"/>
  <c r="D1321" i="15"/>
  <c r="C1321" i="15"/>
  <c r="A1321" i="15"/>
  <c r="D1320" i="15"/>
  <c r="C1320" i="15"/>
  <c r="A1320" i="15"/>
  <c r="D1319" i="15"/>
  <c r="C1319" i="15"/>
  <c r="A1319" i="15"/>
  <c r="D1318" i="15"/>
  <c r="C1318" i="15"/>
  <c r="A1318" i="15"/>
  <c r="D1317" i="15"/>
  <c r="C1317" i="15"/>
  <c r="A1317" i="15"/>
  <c r="D1316" i="15"/>
  <c r="C1316" i="15"/>
  <c r="A1316" i="15"/>
  <c r="D1315" i="15"/>
  <c r="C1315" i="15"/>
  <c r="A1315" i="15"/>
  <c r="D1314" i="15"/>
  <c r="C1314" i="15"/>
  <c r="A1314" i="15"/>
  <c r="D1313" i="15"/>
  <c r="C1313" i="15"/>
  <c r="A1313" i="15"/>
  <c r="D1312" i="15"/>
  <c r="C1312" i="15"/>
  <c r="A1312" i="15"/>
  <c r="D1311" i="15"/>
  <c r="C1311" i="15"/>
  <c r="A1311" i="15"/>
  <c r="D1310" i="15"/>
  <c r="C1310" i="15"/>
  <c r="A1310" i="15"/>
  <c r="D1309" i="15"/>
  <c r="C1309" i="15"/>
  <c r="A1309" i="15"/>
  <c r="D1308" i="15"/>
  <c r="C1308" i="15"/>
  <c r="A1308" i="15"/>
  <c r="D1307" i="15"/>
  <c r="C1307" i="15"/>
  <c r="A1307" i="15"/>
  <c r="D1306" i="15"/>
  <c r="C1306" i="15"/>
  <c r="A1306" i="15"/>
  <c r="D1305" i="15"/>
  <c r="C1305" i="15"/>
  <c r="A1305" i="15"/>
  <c r="D1304" i="15"/>
  <c r="C1304" i="15"/>
  <c r="A1304" i="15"/>
  <c r="D1303" i="15"/>
  <c r="C1303" i="15"/>
  <c r="A1303" i="15"/>
  <c r="D1302" i="15"/>
  <c r="C1302" i="15"/>
  <c r="A1302" i="15"/>
  <c r="D1301" i="15"/>
  <c r="C1301" i="15"/>
  <c r="A1301" i="15"/>
  <c r="D1300" i="15"/>
  <c r="C1300" i="15"/>
  <c r="A1300" i="15"/>
  <c r="D1299" i="15"/>
  <c r="C1299" i="15"/>
  <c r="A1299" i="15"/>
  <c r="D1298" i="15"/>
  <c r="C1298" i="15"/>
  <c r="A1298" i="15"/>
  <c r="D1297" i="15"/>
  <c r="C1297" i="15"/>
  <c r="A1297" i="15"/>
  <c r="D1296" i="15"/>
  <c r="C1296" i="15"/>
  <c r="A1296" i="15"/>
  <c r="D1295" i="15"/>
  <c r="C1295" i="15"/>
  <c r="A1295" i="15"/>
  <c r="D1294" i="15"/>
  <c r="C1294" i="15"/>
  <c r="A1294" i="15"/>
  <c r="D1293" i="15"/>
  <c r="C1293" i="15"/>
  <c r="A1293" i="15"/>
  <c r="D1292" i="15"/>
  <c r="C1292" i="15"/>
  <c r="A1292" i="15"/>
  <c r="D1291" i="15"/>
  <c r="C1291" i="15"/>
  <c r="A1291" i="15"/>
  <c r="D1290" i="15"/>
  <c r="C1290" i="15"/>
  <c r="A1290" i="15"/>
  <c r="D1289" i="15"/>
  <c r="C1289" i="15"/>
  <c r="A1289" i="15"/>
  <c r="D1288" i="15"/>
  <c r="C1288" i="15"/>
  <c r="A1288" i="15"/>
  <c r="D1287" i="15"/>
  <c r="C1287" i="15"/>
  <c r="A1287" i="15"/>
  <c r="D1286" i="15"/>
  <c r="C1286" i="15"/>
  <c r="A1286" i="15"/>
  <c r="D1285" i="15"/>
  <c r="C1285" i="15"/>
  <c r="A1285" i="15"/>
  <c r="D1284" i="15"/>
  <c r="C1284" i="15"/>
  <c r="A1284" i="15"/>
  <c r="D1283" i="15"/>
  <c r="C1283" i="15"/>
  <c r="A1283" i="15"/>
  <c r="D1282" i="15"/>
  <c r="C1282" i="15"/>
  <c r="A1282" i="15"/>
  <c r="D1281" i="15"/>
  <c r="C1281" i="15"/>
  <c r="A1281" i="15"/>
  <c r="D1280" i="15"/>
  <c r="C1280" i="15"/>
  <c r="A1280" i="15"/>
  <c r="D1279" i="15"/>
  <c r="C1279" i="15"/>
  <c r="A1279" i="15"/>
  <c r="D1278" i="15"/>
  <c r="C1278" i="15"/>
  <c r="A1278" i="15"/>
  <c r="D1277" i="15"/>
  <c r="C1277" i="15"/>
  <c r="A1277" i="15"/>
  <c r="D1276" i="15"/>
  <c r="C1276" i="15"/>
  <c r="A1276" i="15"/>
  <c r="D1275" i="15"/>
  <c r="C1275" i="15"/>
  <c r="A1275" i="15"/>
  <c r="D1274" i="15"/>
  <c r="C1274" i="15"/>
  <c r="A1274" i="15"/>
  <c r="D1273" i="15"/>
  <c r="C1273" i="15"/>
  <c r="A1273" i="15"/>
  <c r="D1272" i="15"/>
  <c r="C1272" i="15"/>
  <c r="A1272" i="15"/>
  <c r="D1271" i="15"/>
  <c r="C1271" i="15"/>
  <c r="A1271" i="15"/>
  <c r="D1270" i="15"/>
  <c r="C1270" i="15"/>
  <c r="A1270" i="15"/>
  <c r="D1269" i="15"/>
  <c r="C1269" i="15"/>
  <c r="A1269" i="15"/>
  <c r="D1268" i="15"/>
  <c r="C1268" i="15"/>
  <c r="A1268" i="15"/>
  <c r="D1267" i="15"/>
  <c r="C1267" i="15"/>
  <c r="A1267" i="15"/>
  <c r="D1266" i="15"/>
  <c r="C1266" i="15"/>
  <c r="A1266" i="15"/>
  <c r="D1265" i="15"/>
  <c r="C1265" i="15"/>
  <c r="A1265" i="15"/>
  <c r="D1264" i="15"/>
  <c r="C1264" i="15"/>
  <c r="A1264" i="15"/>
  <c r="D1263" i="15"/>
  <c r="C1263" i="15"/>
  <c r="A1263" i="15"/>
  <c r="D1262" i="15"/>
  <c r="C1262" i="15"/>
  <c r="A1262" i="15"/>
  <c r="D1261" i="15"/>
  <c r="C1261" i="15"/>
  <c r="A1261" i="15"/>
  <c r="D1260" i="15"/>
  <c r="C1260" i="15"/>
  <c r="A1260" i="15"/>
  <c r="D1259" i="15"/>
  <c r="C1259" i="15"/>
  <c r="A1259" i="15"/>
  <c r="D1258" i="15"/>
  <c r="C1258" i="15"/>
  <c r="A1258" i="15"/>
  <c r="D1257" i="15"/>
  <c r="C1257" i="15"/>
  <c r="A1257" i="15"/>
  <c r="D1256" i="15"/>
  <c r="C1256" i="15"/>
  <c r="A1256" i="15"/>
  <c r="D1255" i="15"/>
  <c r="C1255" i="15"/>
  <c r="A1255" i="15"/>
  <c r="D1254" i="15"/>
  <c r="C1254" i="15"/>
  <c r="A1254" i="15"/>
  <c r="D1253" i="15"/>
  <c r="C1253" i="15"/>
  <c r="A1253" i="15"/>
  <c r="D1252" i="15"/>
  <c r="C1252" i="15"/>
  <c r="A1252" i="15"/>
  <c r="D1251" i="15"/>
  <c r="C1251" i="15"/>
  <c r="A1251" i="15"/>
  <c r="D1250" i="15"/>
  <c r="C1250" i="15"/>
  <c r="A1250" i="15"/>
  <c r="D1249" i="15"/>
  <c r="C1249" i="15"/>
  <c r="A1249" i="15"/>
  <c r="D1248" i="15"/>
  <c r="C1248" i="15"/>
  <c r="A1248" i="15"/>
  <c r="D1247" i="15"/>
  <c r="C1247" i="15"/>
  <c r="A1247" i="15"/>
  <c r="D1246" i="15"/>
  <c r="C1246" i="15"/>
  <c r="A1246" i="15"/>
  <c r="D1245" i="15"/>
  <c r="C1245" i="15"/>
  <c r="A1245" i="15"/>
  <c r="D1244" i="15"/>
  <c r="C1244" i="15"/>
  <c r="A1244" i="15"/>
  <c r="D1243" i="15"/>
  <c r="C1243" i="15"/>
  <c r="A1243" i="15"/>
  <c r="D1242" i="15"/>
  <c r="C1242" i="15"/>
  <c r="A1242" i="15"/>
  <c r="D1241" i="15"/>
  <c r="C1241" i="15"/>
  <c r="A1241" i="15"/>
  <c r="D1240" i="15"/>
  <c r="C1240" i="15"/>
  <c r="A1240" i="15"/>
  <c r="D1239" i="15"/>
  <c r="C1239" i="15"/>
  <c r="A1239" i="15"/>
  <c r="D1238" i="15"/>
  <c r="C1238" i="15"/>
  <c r="A1238" i="15"/>
  <c r="D1237" i="15"/>
  <c r="C1237" i="15"/>
  <c r="A1237" i="15"/>
  <c r="D1236" i="15"/>
  <c r="C1236" i="15"/>
  <c r="A1236" i="15"/>
  <c r="D1235" i="15"/>
  <c r="C1235" i="15"/>
  <c r="A1235" i="15"/>
  <c r="D1234" i="15"/>
  <c r="C1234" i="15"/>
  <c r="A1234" i="15"/>
  <c r="D1233" i="15"/>
  <c r="C1233" i="15"/>
  <c r="A1233" i="15"/>
  <c r="D1232" i="15"/>
  <c r="C1232" i="15"/>
  <c r="A1232" i="15"/>
  <c r="D1231" i="15"/>
  <c r="C1231" i="15"/>
  <c r="A1231" i="15"/>
  <c r="D1230" i="15"/>
  <c r="C1230" i="15"/>
  <c r="A1230" i="15"/>
  <c r="D1229" i="15"/>
  <c r="C1229" i="15"/>
  <c r="A1229" i="15"/>
  <c r="D1228" i="15"/>
  <c r="C1228" i="15"/>
  <c r="A1228" i="15"/>
  <c r="D1227" i="15"/>
  <c r="C1227" i="15"/>
  <c r="A1227" i="15"/>
  <c r="D1226" i="15"/>
  <c r="C1226" i="15"/>
  <c r="A1226" i="15"/>
  <c r="D1225" i="15"/>
  <c r="C1225" i="15"/>
  <c r="A1225" i="15"/>
  <c r="D1224" i="15"/>
  <c r="C1224" i="15"/>
  <c r="A1224" i="15"/>
  <c r="D1223" i="15"/>
  <c r="C1223" i="15"/>
  <c r="A1223" i="15"/>
  <c r="D1222" i="15"/>
  <c r="C1222" i="15"/>
  <c r="A1222" i="15"/>
  <c r="D1221" i="15"/>
  <c r="C1221" i="15"/>
  <c r="A1221" i="15"/>
  <c r="D1220" i="15"/>
  <c r="C1220" i="15"/>
  <c r="A1220" i="15"/>
  <c r="D1219" i="15"/>
  <c r="C1219" i="15"/>
  <c r="A1219" i="15"/>
  <c r="D1218" i="15"/>
  <c r="C1218" i="15"/>
  <c r="A1218" i="15"/>
  <c r="D1217" i="15"/>
  <c r="C1217" i="15"/>
  <c r="A1217" i="15"/>
  <c r="D1216" i="15"/>
  <c r="C1216" i="15"/>
  <c r="A1216" i="15"/>
  <c r="D1215" i="15"/>
  <c r="C1215" i="15"/>
  <c r="A1215" i="15"/>
  <c r="D1214" i="15"/>
  <c r="C1214" i="15"/>
  <c r="A1214" i="15"/>
  <c r="D1213" i="15"/>
  <c r="C1213" i="15"/>
  <c r="A1213" i="15"/>
  <c r="D1212" i="15"/>
  <c r="C1212" i="15"/>
  <c r="A1212" i="15"/>
  <c r="D1211" i="15"/>
  <c r="C1211" i="15"/>
  <c r="A1211" i="15"/>
  <c r="D1210" i="15"/>
  <c r="C1210" i="15"/>
  <c r="A1210" i="15"/>
  <c r="D1209" i="15"/>
  <c r="C1209" i="15"/>
  <c r="A1209" i="15"/>
  <c r="D1208" i="15"/>
  <c r="C1208" i="15"/>
  <c r="A1208" i="15"/>
  <c r="D1207" i="15"/>
  <c r="C1207" i="15"/>
  <c r="A1207" i="15"/>
  <c r="D1206" i="15"/>
  <c r="C1206" i="15"/>
  <c r="A1206" i="15"/>
  <c r="D1205" i="15"/>
  <c r="C1205" i="15"/>
  <c r="A1205" i="15"/>
  <c r="D1204" i="15"/>
  <c r="C1204" i="15"/>
  <c r="A1204" i="15"/>
  <c r="D1203" i="15"/>
  <c r="C1203" i="15"/>
  <c r="A1203" i="15"/>
  <c r="D1202" i="15"/>
  <c r="C1202" i="15"/>
  <c r="A1202" i="15"/>
  <c r="D1201" i="15"/>
  <c r="C1201" i="15"/>
  <c r="A1201" i="15"/>
  <c r="D1200" i="15"/>
  <c r="C1200" i="15"/>
  <c r="A1200" i="15"/>
  <c r="D1199" i="15"/>
  <c r="C1199" i="15"/>
  <c r="A1199" i="15"/>
  <c r="D1198" i="15"/>
  <c r="C1198" i="15"/>
  <c r="A1198" i="15"/>
  <c r="D1197" i="15"/>
  <c r="C1197" i="15"/>
  <c r="A1197" i="15"/>
  <c r="D1196" i="15"/>
  <c r="C1196" i="15"/>
  <c r="A1196" i="15"/>
  <c r="D1195" i="15"/>
  <c r="C1195" i="15"/>
  <c r="A1195" i="15"/>
  <c r="D1194" i="15"/>
  <c r="C1194" i="15"/>
  <c r="A1194" i="15"/>
  <c r="D1193" i="15"/>
  <c r="C1193" i="15"/>
  <c r="A1193" i="15"/>
  <c r="D1192" i="15"/>
  <c r="C1192" i="15"/>
  <c r="A1192" i="15"/>
  <c r="D1191" i="15"/>
  <c r="C1191" i="15"/>
  <c r="A1191" i="15"/>
  <c r="D1190" i="15"/>
  <c r="C1190" i="15"/>
  <c r="A1190" i="15"/>
  <c r="D1189" i="15"/>
  <c r="C1189" i="15"/>
  <c r="A1189" i="15"/>
  <c r="D1188" i="15"/>
  <c r="C1188" i="15"/>
  <c r="A1188" i="15"/>
  <c r="D1187" i="15"/>
  <c r="C1187" i="15"/>
  <c r="A1187" i="15"/>
  <c r="D1186" i="15"/>
  <c r="C1186" i="15"/>
  <c r="A1186" i="15"/>
  <c r="D1185" i="15"/>
  <c r="C1185" i="15"/>
  <c r="A1185" i="15"/>
  <c r="D1184" i="15"/>
  <c r="C1184" i="15"/>
  <c r="A1184" i="15"/>
  <c r="D1183" i="15"/>
  <c r="C1183" i="15"/>
  <c r="A1183" i="15"/>
  <c r="D1182" i="15"/>
  <c r="C1182" i="15"/>
  <c r="A1182" i="15"/>
  <c r="D1181" i="15"/>
  <c r="C1181" i="15"/>
  <c r="A1181" i="15"/>
  <c r="D1180" i="15"/>
  <c r="C1180" i="15"/>
  <c r="A1180" i="15"/>
  <c r="D1179" i="15"/>
  <c r="C1179" i="15"/>
  <c r="A1179" i="15"/>
  <c r="D1178" i="15"/>
  <c r="C1178" i="15"/>
  <c r="A1178" i="15"/>
  <c r="D1177" i="15"/>
  <c r="C1177" i="15"/>
  <c r="A1177" i="15"/>
  <c r="D1176" i="15"/>
  <c r="C1176" i="15"/>
  <c r="A1176" i="15"/>
  <c r="D1175" i="15"/>
  <c r="C1175" i="15"/>
  <c r="A1175" i="15"/>
  <c r="D1174" i="15"/>
  <c r="C1174" i="15"/>
  <c r="A1174" i="15"/>
  <c r="D1173" i="15"/>
  <c r="C1173" i="15"/>
  <c r="A1173" i="15"/>
  <c r="D1172" i="15"/>
  <c r="C1172" i="15"/>
  <c r="A1172" i="15"/>
  <c r="D1171" i="15"/>
  <c r="C1171" i="15"/>
  <c r="A1171" i="15"/>
  <c r="D1170" i="15"/>
  <c r="C1170" i="15"/>
  <c r="A1170" i="15"/>
  <c r="D1169" i="15"/>
  <c r="C1169" i="15"/>
  <c r="A1169" i="15"/>
  <c r="D1168" i="15"/>
  <c r="C1168" i="15"/>
  <c r="A1168" i="15"/>
  <c r="D1167" i="15"/>
  <c r="C1167" i="15"/>
  <c r="A1167" i="15"/>
  <c r="D1166" i="15"/>
  <c r="C1166" i="15"/>
  <c r="A1166" i="15"/>
  <c r="D1165" i="15"/>
  <c r="C1165" i="15"/>
  <c r="A1165" i="15"/>
  <c r="D1164" i="15"/>
  <c r="C1164" i="15"/>
  <c r="A1164" i="15"/>
  <c r="D1163" i="15"/>
  <c r="C1163" i="15"/>
  <c r="A1163" i="15"/>
  <c r="D1162" i="15"/>
  <c r="C1162" i="15"/>
  <c r="A1162" i="15"/>
  <c r="D1161" i="15"/>
  <c r="C1161" i="15"/>
  <c r="A1161" i="15"/>
  <c r="D1160" i="15"/>
  <c r="C1160" i="15"/>
  <c r="A1160" i="15"/>
  <c r="D1159" i="15"/>
  <c r="C1159" i="15"/>
  <c r="A1159" i="15"/>
  <c r="D1158" i="15"/>
  <c r="C1158" i="15"/>
  <c r="A1158" i="15"/>
  <c r="D1157" i="15"/>
  <c r="C1157" i="15"/>
  <c r="A1157" i="15"/>
  <c r="D1156" i="15"/>
  <c r="C1156" i="15"/>
  <c r="A1156" i="15"/>
  <c r="D1155" i="15"/>
  <c r="C1155" i="15"/>
  <c r="A1155" i="15"/>
  <c r="D1154" i="15"/>
  <c r="C1154" i="15"/>
  <c r="A1154" i="15"/>
  <c r="D1153" i="15"/>
  <c r="C1153" i="15"/>
  <c r="A1153" i="15"/>
  <c r="D1152" i="15"/>
  <c r="C1152" i="15"/>
  <c r="A1152" i="15"/>
  <c r="D1151" i="15"/>
  <c r="C1151" i="15"/>
  <c r="A1151" i="15"/>
  <c r="D1150" i="15"/>
  <c r="C1150" i="15"/>
  <c r="A1150" i="15"/>
  <c r="D1149" i="15"/>
  <c r="C1149" i="15"/>
  <c r="A1149" i="15"/>
  <c r="D1148" i="15"/>
  <c r="C1148" i="15"/>
  <c r="A1148" i="15"/>
  <c r="D1147" i="15"/>
  <c r="C1147" i="15"/>
  <c r="A1147" i="15"/>
  <c r="D1146" i="15"/>
  <c r="C1146" i="15"/>
  <c r="A1146" i="15"/>
  <c r="D1145" i="15"/>
  <c r="C1145" i="15"/>
  <c r="A1145" i="15"/>
  <c r="D1144" i="15"/>
  <c r="C1144" i="15"/>
  <c r="A1144" i="15"/>
  <c r="D1143" i="15"/>
  <c r="C1143" i="15"/>
  <c r="A1143" i="15"/>
  <c r="D1142" i="15"/>
  <c r="C1142" i="15"/>
  <c r="A1142" i="15"/>
  <c r="D1141" i="15"/>
  <c r="C1141" i="15"/>
  <c r="A1141" i="15"/>
  <c r="D1140" i="15"/>
  <c r="C1140" i="15"/>
  <c r="A1140" i="15"/>
  <c r="D1139" i="15"/>
  <c r="C1139" i="15"/>
  <c r="A1139" i="15"/>
  <c r="D1138" i="15"/>
  <c r="C1138" i="15"/>
  <c r="A1138" i="15"/>
  <c r="D1137" i="15"/>
  <c r="C1137" i="15"/>
  <c r="A1137" i="15"/>
  <c r="D1136" i="15"/>
  <c r="C1136" i="15"/>
  <c r="A1136" i="15"/>
  <c r="D1135" i="15"/>
  <c r="C1135" i="15"/>
  <c r="A1135" i="15"/>
  <c r="D1134" i="15"/>
  <c r="C1134" i="15"/>
  <c r="A1134" i="15"/>
  <c r="D1133" i="15"/>
  <c r="C1133" i="15"/>
  <c r="A1133" i="15"/>
  <c r="D1132" i="15"/>
  <c r="C1132" i="15"/>
  <c r="A1132" i="15"/>
  <c r="D1131" i="15"/>
  <c r="C1131" i="15"/>
  <c r="A1131" i="15"/>
  <c r="D1130" i="15"/>
  <c r="C1130" i="15"/>
  <c r="A1130" i="15"/>
  <c r="D1129" i="15"/>
  <c r="C1129" i="15"/>
  <c r="A1129" i="15"/>
  <c r="D1128" i="15"/>
  <c r="C1128" i="15"/>
  <c r="A1128" i="15"/>
  <c r="D1127" i="15"/>
  <c r="C1127" i="15"/>
  <c r="A1127" i="15"/>
  <c r="D1126" i="15"/>
  <c r="C1126" i="15"/>
  <c r="A1126" i="15"/>
  <c r="D1125" i="15"/>
  <c r="C1125" i="15"/>
  <c r="A1125" i="15"/>
  <c r="D1124" i="15"/>
  <c r="C1124" i="15"/>
  <c r="A1124" i="15"/>
  <c r="D1123" i="15"/>
  <c r="C1123" i="15"/>
  <c r="A1123" i="15"/>
  <c r="D1122" i="15"/>
  <c r="C1122" i="15"/>
  <c r="A1122" i="15"/>
  <c r="D1121" i="15"/>
  <c r="C1121" i="15"/>
  <c r="A1121" i="15"/>
  <c r="D1120" i="15"/>
  <c r="C1120" i="15"/>
  <c r="A1120" i="15"/>
  <c r="D1119" i="15"/>
  <c r="C1119" i="15"/>
  <c r="A1119" i="15"/>
  <c r="D1118" i="15"/>
  <c r="C1118" i="15"/>
  <c r="A1118" i="15"/>
  <c r="D1117" i="15"/>
  <c r="C1117" i="15"/>
  <c r="A1117" i="15"/>
  <c r="D1116" i="15"/>
  <c r="C1116" i="15"/>
  <c r="A1116" i="15"/>
  <c r="D1115" i="15"/>
  <c r="C1115" i="15"/>
  <c r="A1115" i="15"/>
  <c r="D1114" i="15"/>
  <c r="C1114" i="15"/>
  <c r="A1114" i="15"/>
  <c r="D1113" i="15"/>
  <c r="C1113" i="15"/>
  <c r="A1113" i="15"/>
  <c r="D1112" i="15"/>
  <c r="C1112" i="15"/>
  <c r="A1112" i="15"/>
  <c r="D1111" i="15"/>
  <c r="C1111" i="15"/>
  <c r="A1111" i="15"/>
  <c r="D1110" i="15"/>
  <c r="C1110" i="15"/>
  <c r="A1110" i="15"/>
  <c r="D1109" i="15"/>
  <c r="C1109" i="15"/>
  <c r="A1109" i="15"/>
  <c r="D1108" i="15"/>
  <c r="C1108" i="15"/>
  <c r="A1108" i="15"/>
  <c r="D1107" i="15"/>
  <c r="C1107" i="15"/>
  <c r="A1107" i="15"/>
  <c r="D1106" i="15"/>
  <c r="C1106" i="15"/>
  <c r="A1106" i="15"/>
  <c r="D1105" i="15"/>
  <c r="C1105" i="15"/>
  <c r="A1105" i="15"/>
  <c r="D1104" i="15"/>
  <c r="C1104" i="15"/>
  <c r="A1104" i="15"/>
  <c r="D1103" i="15"/>
  <c r="C1103" i="15"/>
  <c r="A1103" i="15"/>
  <c r="D1102" i="15"/>
  <c r="C1102" i="15"/>
  <c r="A1102" i="15"/>
  <c r="D1101" i="15"/>
  <c r="C1101" i="15"/>
  <c r="A1101" i="15"/>
  <c r="D1100" i="15"/>
  <c r="C1100" i="15"/>
  <c r="A1100" i="15"/>
  <c r="D1099" i="15"/>
  <c r="C1099" i="15"/>
  <c r="A1099" i="15"/>
  <c r="D1098" i="15"/>
  <c r="C1098" i="15"/>
  <c r="A1098" i="15"/>
  <c r="D1097" i="15"/>
  <c r="C1097" i="15"/>
  <c r="A1097" i="15"/>
  <c r="D1096" i="15"/>
  <c r="C1096" i="15"/>
  <c r="A1096" i="15"/>
  <c r="D1095" i="15"/>
  <c r="C1095" i="15"/>
  <c r="A1095" i="15"/>
  <c r="D1094" i="15"/>
  <c r="C1094" i="15"/>
  <c r="A1094" i="15"/>
  <c r="D1093" i="15"/>
  <c r="C1093" i="15"/>
  <c r="A1093" i="15"/>
  <c r="D1092" i="15"/>
  <c r="C1092" i="15"/>
  <c r="A1092" i="15"/>
  <c r="D1091" i="15"/>
  <c r="C1091" i="15"/>
  <c r="A1091" i="15"/>
  <c r="D1090" i="15"/>
  <c r="C1090" i="15"/>
  <c r="A1090" i="15"/>
  <c r="D1089" i="15"/>
  <c r="C1089" i="15"/>
  <c r="A1089" i="15"/>
  <c r="D1088" i="15"/>
  <c r="C1088" i="15"/>
  <c r="A1088" i="15"/>
  <c r="D1087" i="15"/>
  <c r="C1087" i="15"/>
  <c r="A1087" i="15"/>
  <c r="D1086" i="15"/>
  <c r="C1086" i="15"/>
  <c r="A1086" i="15"/>
  <c r="D1085" i="15"/>
  <c r="C1085" i="15"/>
  <c r="A1085" i="15"/>
  <c r="D1084" i="15"/>
  <c r="C1084" i="15"/>
  <c r="A1084" i="15"/>
  <c r="D1083" i="15"/>
  <c r="C1083" i="15"/>
  <c r="A1083" i="15"/>
  <c r="D1082" i="15"/>
  <c r="C1082" i="15"/>
  <c r="A1082" i="15"/>
  <c r="D1081" i="15"/>
  <c r="C1081" i="15"/>
  <c r="A1081" i="15"/>
  <c r="D1080" i="15"/>
  <c r="C1080" i="15"/>
  <c r="A1080" i="15"/>
  <c r="D1079" i="15"/>
  <c r="C1079" i="15"/>
  <c r="A1079" i="15"/>
  <c r="D1078" i="15"/>
  <c r="C1078" i="15"/>
  <c r="A1078" i="15"/>
  <c r="D1077" i="15"/>
  <c r="C1077" i="15"/>
  <c r="A1077" i="15"/>
  <c r="D1076" i="15"/>
  <c r="C1076" i="15"/>
  <c r="A1076" i="15"/>
  <c r="D1075" i="15"/>
  <c r="C1075" i="15"/>
  <c r="A1075" i="15"/>
  <c r="D1074" i="15"/>
  <c r="C1074" i="15"/>
  <c r="A1074" i="15"/>
  <c r="D1073" i="15"/>
  <c r="C1073" i="15"/>
  <c r="A1073" i="15"/>
  <c r="D1072" i="15"/>
  <c r="C1072" i="15"/>
  <c r="A1072" i="15"/>
  <c r="D1071" i="15"/>
  <c r="C1071" i="15"/>
  <c r="A1071" i="15"/>
  <c r="D1070" i="15"/>
  <c r="C1070" i="15"/>
  <c r="A1070" i="15"/>
  <c r="D1069" i="15"/>
  <c r="C1069" i="15"/>
  <c r="A1069" i="15"/>
  <c r="D1068" i="15"/>
  <c r="C1068" i="15"/>
  <c r="A1068" i="15"/>
  <c r="D1067" i="15"/>
  <c r="C1067" i="15"/>
  <c r="A1067" i="15"/>
  <c r="D1066" i="15"/>
  <c r="C1066" i="15"/>
  <c r="A1066" i="15"/>
  <c r="D1065" i="15"/>
  <c r="C1065" i="15"/>
  <c r="A1065" i="15"/>
  <c r="D1064" i="15"/>
  <c r="C1064" i="15"/>
  <c r="A1064" i="15"/>
  <c r="D1063" i="15"/>
  <c r="C1063" i="15"/>
  <c r="A1063" i="15"/>
  <c r="D1062" i="15"/>
  <c r="C1062" i="15"/>
  <c r="A1062" i="15"/>
  <c r="D1061" i="15"/>
  <c r="C1061" i="15"/>
  <c r="A1061" i="15"/>
  <c r="D1060" i="15"/>
  <c r="C1060" i="15"/>
  <c r="A1060" i="15"/>
  <c r="D1059" i="15"/>
  <c r="C1059" i="15"/>
  <c r="A1059" i="15"/>
  <c r="D1058" i="15"/>
  <c r="C1058" i="15"/>
  <c r="A1058" i="15"/>
  <c r="D1057" i="15"/>
  <c r="C1057" i="15"/>
  <c r="A1057" i="15"/>
  <c r="D1056" i="15"/>
  <c r="C1056" i="15"/>
  <c r="A1056" i="15"/>
  <c r="D1055" i="15"/>
  <c r="C1055" i="15"/>
  <c r="A1055" i="15"/>
  <c r="D1054" i="15"/>
  <c r="C1054" i="15"/>
  <c r="A1054" i="15"/>
  <c r="D1053" i="15"/>
  <c r="C1053" i="15"/>
  <c r="A1053" i="15"/>
  <c r="D1052" i="15"/>
  <c r="C1052" i="15"/>
  <c r="A1052" i="15"/>
  <c r="D1051" i="15"/>
  <c r="C1051" i="15"/>
  <c r="A1051" i="15"/>
  <c r="D1050" i="15"/>
  <c r="C1050" i="15"/>
  <c r="A1050" i="15"/>
  <c r="D1049" i="15"/>
  <c r="C1049" i="15"/>
  <c r="A1049" i="15"/>
  <c r="D1048" i="15"/>
  <c r="C1048" i="15"/>
  <c r="A1048" i="15"/>
  <c r="D1047" i="15"/>
  <c r="C1047" i="15"/>
  <c r="A1047" i="15"/>
  <c r="D1046" i="15"/>
  <c r="C1046" i="15"/>
  <c r="A1046" i="15"/>
  <c r="D1045" i="15"/>
  <c r="C1045" i="15"/>
  <c r="A1045" i="15"/>
  <c r="D1044" i="15"/>
  <c r="C1044" i="15"/>
  <c r="A1044" i="15"/>
  <c r="D1043" i="15"/>
  <c r="C1043" i="15"/>
  <c r="A1043" i="15"/>
  <c r="D1042" i="15"/>
  <c r="C1042" i="15"/>
  <c r="A1042" i="15"/>
  <c r="D1041" i="15"/>
  <c r="C1041" i="15"/>
  <c r="A1041" i="15"/>
  <c r="D1040" i="15"/>
  <c r="C1040" i="15"/>
  <c r="A1040" i="15"/>
  <c r="D1039" i="15"/>
  <c r="C1039" i="15"/>
  <c r="A1039" i="15"/>
  <c r="D1038" i="15"/>
  <c r="C1038" i="15"/>
  <c r="A1038" i="15"/>
  <c r="D1037" i="15"/>
  <c r="C1037" i="15"/>
  <c r="A1037" i="15"/>
  <c r="D1036" i="15"/>
  <c r="C1036" i="15"/>
  <c r="A1036" i="15"/>
  <c r="D1035" i="15"/>
  <c r="C1035" i="15"/>
  <c r="A1035" i="15"/>
  <c r="D1034" i="15"/>
  <c r="C1034" i="15"/>
  <c r="A1034" i="15"/>
  <c r="D1033" i="15"/>
  <c r="C1033" i="15"/>
  <c r="A1033" i="15"/>
  <c r="D1032" i="15"/>
  <c r="C1032" i="15"/>
  <c r="A1032" i="15"/>
  <c r="D1031" i="15"/>
  <c r="C1031" i="15"/>
  <c r="A1031" i="15"/>
  <c r="D1030" i="15"/>
  <c r="C1030" i="15"/>
  <c r="A1030" i="15"/>
  <c r="D1029" i="15"/>
  <c r="C1029" i="15"/>
  <c r="A1029" i="15"/>
  <c r="D1028" i="15"/>
  <c r="C1028" i="15"/>
  <c r="A1028" i="15"/>
  <c r="D1027" i="15"/>
  <c r="C1027" i="15"/>
  <c r="A1027" i="15"/>
  <c r="D1026" i="15"/>
  <c r="C1026" i="15"/>
  <c r="A1026" i="15"/>
  <c r="D1025" i="15"/>
  <c r="C1025" i="15"/>
  <c r="A1025" i="15"/>
  <c r="D1024" i="15"/>
  <c r="C1024" i="15"/>
  <c r="A1024" i="15"/>
  <c r="D1023" i="15"/>
  <c r="C1023" i="15"/>
  <c r="A1023" i="15"/>
  <c r="D1022" i="15"/>
  <c r="C1022" i="15"/>
  <c r="A1022" i="15"/>
  <c r="D1021" i="15"/>
  <c r="C1021" i="15"/>
  <c r="A1021" i="15"/>
  <c r="D1020" i="15"/>
  <c r="C1020" i="15"/>
  <c r="A1020" i="15"/>
  <c r="D1019" i="15"/>
  <c r="C1019" i="15"/>
  <c r="A1019" i="15"/>
  <c r="D1018" i="15"/>
  <c r="C1018" i="15"/>
  <c r="A1018" i="15"/>
  <c r="D1017" i="15"/>
  <c r="C1017" i="15"/>
  <c r="A1017" i="15"/>
  <c r="D1016" i="15"/>
  <c r="C1016" i="15"/>
  <c r="A1016" i="15"/>
  <c r="D1015" i="15"/>
  <c r="C1015" i="15"/>
  <c r="A1015" i="15"/>
  <c r="D1014" i="15"/>
  <c r="C1014" i="15"/>
  <c r="A1014" i="15"/>
  <c r="D1013" i="15"/>
  <c r="C1013" i="15"/>
  <c r="A1013" i="15"/>
  <c r="D1012" i="15"/>
  <c r="C1012" i="15"/>
  <c r="A1012" i="15"/>
  <c r="D1011" i="15"/>
  <c r="C1011" i="15"/>
  <c r="A1011" i="15"/>
  <c r="D1010" i="15"/>
  <c r="C1010" i="15"/>
  <c r="A1010" i="15"/>
  <c r="D1009" i="15"/>
  <c r="C1009" i="15"/>
  <c r="A1009" i="15"/>
  <c r="D1008" i="15"/>
  <c r="C1008" i="15"/>
  <c r="A1008" i="15"/>
  <c r="D1007" i="15"/>
  <c r="C1007" i="15"/>
  <c r="A1007" i="15"/>
  <c r="D1006" i="15"/>
  <c r="C1006" i="15"/>
  <c r="A1006" i="15"/>
  <c r="D1005" i="15"/>
  <c r="C1005" i="15"/>
  <c r="A1005" i="15"/>
  <c r="D1004" i="15"/>
  <c r="C1004" i="15"/>
  <c r="A1004" i="15"/>
  <c r="D1003" i="15"/>
  <c r="C1003" i="15"/>
  <c r="A1003" i="15"/>
  <c r="D1002" i="15"/>
  <c r="C1002" i="15"/>
  <c r="A1002" i="15"/>
  <c r="D1001" i="15"/>
  <c r="C1001" i="15"/>
  <c r="A1001" i="15"/>
  <c r="D1000" i="15"/>
  <c r="C1000" i="15"/>
  <c r="A1000" i="15"/>
  <c r="D999" i="15"/>
  <c r="C999" i="15"/>
  <c r="A999" i="15"/>
  <c r="D998" i="15"/>
  <c r="C998" i="15"/>
  <c r="A998" i="15"/>
  <c r="D997" i="15"/>
  <c r="C997" i="15"/>
  <c r="A997" i="15"/>
  <c r="D996" i="15"/>
  <c r="C996" i="15"/>
  <c r="A996" i="15"/>
  <c r="D995" i="15"/>
  <c r="C995" i="15"/>
  <c r="A995" i="15"/>
  <c r="D994" i="15"/>
  <c r="C994" i="15"/>
  <c r="A994" i="15"/>
  <c r="D993" i="15"/>
  <c r="C993" i="15"/>
  <c r="A993" i="15"/>
  <c r="D992" i="15"/>
  <c r="C992" i="15"/>
  <c r="A992" i="15"/>
  <c r="D991" i="15"/>
  <c r="C991" i="15"/>
  <c r="A991" i="15"/>
  <c r="D990" i="15"/>
  <c r="C990" i="15"/>
  <c r="A990" i="15"/>
  <c r="D989" i="15"/>
  <c r="C989" i="15"/>
  <c r="A989" i="15"/>
  <c r="D988" i="15"/>
  <c r="C988" i="15"/>
  <c r="A988" i="15"/>
  <c r="D987" i="15"/>
  <c r="C987" i="15"/>
  <c r="A987" i="15"/>
  <c r="D986" i="15"/>
  <c r="C986" i="15"/>
  <c r="A986" i="15"/>
  <c r="D985" i="15"/>
  <c r="C985" i="15"/>
  <c r="A985" i="15"/>
  <c r="D984" i="15"/>
  <c r="C984" i="15"/>
  <c r="A984" i="15"/>
  <c r="D983" i="15"/>
  <c r="C983" i="15"/>
  <c r="A983" i="15"/>
  <c r="D982" i="15"/>
  <c r="C982" i="15"/>
  <c r="A982" i="15"/>
  <c r="D981" i="15"/>
  <c r="C981" i="15"/>
  <c r="A981" i="15"/>
  <c r="D980" i="15"/>
  <c r="C980" i="15"/>
  <c r="A980" i="15"/>
  <c r="D979" i="15"/>
  <c r="C979" i="15"/>
  <c r="A979" i="15"/>
  <c r="D978" i="15"/>
  <c r="C978" i="15"/>
  <c r="A978" i="15"/>
  <c r="D977" i="15"/>
  <c r="C977" i="15"/>
  <c r="A977" i="15"/>
  <c r="D976" i="15"/>
  <c r="C976" i="15"/>
  <c r="A976" i="15"/>
  <c r="D975" i="15"/>
  <c r="C975" i="15"/>
  <c r="A975" i="15"/>
  <c r="D974" i="15"/>
  <c r="C974" i="15"/>
  <c r="A974" i="15"/>
  <c r="D973" i="15"/>
  <c r="C973" i="15"/>
  <c r="A973" i="15"/>
  <c r="D972" i="15"/>
  <c r="C972" i="15"/>
  <c r="A972" i="15"/>
  <c r="D971" i="15"/>
  <c r="C971" i="15"/>
  <c r="A971" i="15"/>
  <c r="D970" i="15"/>
  <c r="C970" i="15"/>
  <c r="A970" i="15"/>
  <c r="D969" i="15"/>
  <c r="C969" i="15"/>
  <c r="A969" i="15"/>
  <c r="D968" i="15"/>
  <c r="C968" i="15"/>
  <c r="A968" i="15"/>
  <c r="D967" i="15"/>
  <c r="C967" i="15"/>
  <c r="A967" i="15"/>
  <c r="D966" i="15"/>
  <c r="C966" i="15"/>
  <c r="A966" i="15"/>
  <c r="D965" i="15"/>
  <c r="C965" i="15"/>
  <c r="A965" i="15"/>
  <c r="D964" i="15"/>
  <c r="C964" i="15"/>
  <c r="A964" i="15"/>
  <c r="D963" i="15"/>
  <c r="C963" i="15"/>
  <c r="A963" i="15"/>
  <c r="D962" i="15"/>
  <c r="C962" i="15"/>
  <c r="A962" i="15"/>
  <c r="D961" i="15"/>
  <c r="C961" i="15"/>
  <c r="A961" i="15"/>
  <c r="D960" i="15"/>
  <c r="C960" i="15"/>
  <c r="A960" i="15"/>
  <c r="D959" i="15"/>
  <c r="C959" i="15"/>
  <c r="A959" i="15"/>
  <c r="D958" i="15"/>
  <c r="C958" i="15"/>
  <c r="A958" i="15"/>
  <c r="D957" i="15"/>
  <c r="C957" i="15"/>
  <c r="A957" i="15"/>
  <c r="D956" i="15"/>
  <c r="C956" i="15"/>
  <c r="A956" i="15"/>
  <c r="D955" i="15"/>
  <c r="C955" i="15"/>
  <c r="A955" i="15"/>
  <c r="D954" i="15"/>
  <c r="C954" i="15"/>
  <c r="A954" i="15"/>
  <c r="D953" i="15"/>
  <c r="C953" i="15"/>
  <c r="A953" i="15"/>
  <c r="D952" i="15"/>
  <c r="C952" i="15"/>
  <c r="A952" i="15"/>
  <c r="D951" i="15"/>
  <c r="C951" i="15"/>
  <c r="A951" i="15"/>
  <c r="D950" i="15"/>
  <c r="C950" i="15"/>
  <c r="A950" i="15"/>
  <c r="D949" i="15"/>
  <c r="C949" i="15"/>
  <c r="A949" i="15"/>
  <c r="D948" i="15"/>
  <c r="C948" i="15"/>
  <c r="A948" i="15"/>
  <c r="D947" i="15"/>
  <c r="C947" i="15"/>
  <c r="A947" i="15"/>
  <c r="D946" i="15"/>
  <c r="C946" i="15"/>
  <c r="A946" i="15"/>
  <c r="D945" i="15"/>
  <c r="C945" i="15"/>
  <c r="A945" i="15"/>
  <c r="D944" i="15"/>
  <c r="C944" i="15"/>
  <c r="A944" i="15"/>
  <c r="D943" i="15"/>
  <c r="C943" i="15"/>
  <c r="A943" i="15"/>
  <c r="D942" i="15"/>
  <c r="C942" i="15"/>
  <c r="A942" i="15"/>
  <c r="D941" i="15"/>
  <c r="C941" i="15"/>
  <c r="A941" i="15"/>
  <c r="D940" i="15"/>
  <c r="C940" i="15"/>
  <c r="A940" i="15"/>
  <c r="D939" i="15"/>
  <c r="C939" i="15"/>
  <c r="A939" i="15"/>
  <c r="D938" i="15"/>
  <c r="C938" i="15"/>
  <c r="A938" i="15"/>
  <c r="D937" i="15"/>
  <c r="C937" i="15"/>
  <c r="A937" i="15"/>
  <c r="D936" i="15"/>
  <c r="C936" i="15"/>
  <c r="A936" i="15"/>
  <c r="D935" i="15"/>
  <c r="C935" i="15"/>
  <c r="A935" i="15"/>
  <c r="D934" i="15"/>
  <c r="C934" i="15"/>
  <c r="A934" i="15"/>
  <c r="D933" i="15"/>
  <c r="C933" i="15"/>
  <c r="A933" i="15"/>
  <c r="D932" i="15"/>
  <c r="C932" i="15"/>
  <c r="A932" i="15"/>
  <c r="D931" i="15"/>
  <c r="C931" i="15"/>
  <c r="A931" i="15"/>
  <c r="D930" i="15"/>
  <c r="C930" i="15"/>
  <c r="A930" i="15"/>
  <c r="D929" i="15"/>
  <c r="C929" i="15"/>
  <c r="A929" i="15"/>
  <c r="D928" i="15"/>
  <c r="C928" i="15"/>
  <c r="A928" i="15"/>
  <c r="D927" i="15"/>
  <c r="C927" i="15"/>
  <c r="A927" i="15"/>
  <c r="D926" i="15"/>
  <c r="C926" i="15"/>
  <c r="A926" i="15"/>
  <c r="D925" i="15"/>
  <c r="C925" i="15"/>
  <c r="A925" i="15"/>
  <c r="D924" i="15"/>
  <c r="C924" i="15"/>
  <c r="A924" i="15"/>
  <c r="D923" i="15"/>
  <c r="C923" i="15"/>
  <c r="A923" i="15"/>
  <c r="D922" i="15"/>
  <c r="C922" i="15"/>
  <c r="A922" i="15"/>
  <c r="D921" i="15"/>
  <c r="C921" i="15"/>
  <c r="A921" i="15"/>
  <c r="D920" i="15"/>
  <c r="C920" i="15"/>
  <c r="A920" i="15"/>
  <c r="D919" i="15"/>
  <c r="C919" i="15"/>
  <c r="A919" i="15"/>
  <c r="D918" i="15"/>
  <c r="C918" i="15"/>
  <c r="A918" i="15"/>
  <c r="D917" i="15"/>
  <c r="C917" i="15"/>
  <c r="A917" i="15"/>
  <c r="D916" i="15"/>
  <c r="C916" i="15"/>
  <c r="A916" i="15"/>
  <c r="D915" i="15"/>
  <c r="C915" i="15"/>
  <c r="A915" i="15"/>
  <c r="D914" i="15"/>
  <c r="C914" i="15"/>
  <c r="A914" i="15"/>
  <c r="D913" i="15"/>
  <c r="C913" i="15"/>
  <c r="A913" i="15"/>
  <c r="D912" i="15"/>
  <c r="C912" i="15"/>
  <c r="A912" i="15"/>
  <c r="D911" i="15"/>
  <c r="C911" i="15"/>
  <c r="A911" i="15"/>
  <c r="D910" i="15"/>
  <c r="C910" i="15"/>
  <c r="A910" i="15"/>
  <c r="D909" i="15"/>
  <c r="C909" i="15"/>
  <c r="A909" i="15"/>
  <c r="D908" i="15"/>
  <c r="C908" i="15"/>
  <c r="A908" i="15"/>
  <c r="D907" i="15"/>
  <c r="C907" i="15"/>
  <c r="A907" i="15"/>
  <c r="D906" i="15"/>
  <c r="C906" i="15"/>
  <c r="A906" i="15"/>
  <c r="D905" i="15"/>
  <c r="C905" i="15"/>
  <c r="A905" i="15"/>
  <c r="D904" i="15"/>
  <c r="C904" i="15"/>
  <c r="A904" i="15"/>
  <c r="D903" i="15"/>
  <c r="C903" i="15"/>
  <c r="A903" i="15"/>
  <c r="D902" i="15"/>
  <c r="C902" i="15"/>
  <c r="A902" i="15"/>
  <c r="D901" i="15"/>
  <c r="C901" i="15"/>
  <c r="A901" i="15"/>
  <c r="D900" i="15"/>
  <c r="C900" i="15"/>
  <c r="A900" i="15"/>
  <c r="D899" i="15"/>
  <c r="C899" i="15"/>
  <c r="A899" i="15"/>
  <c r="D898" i="15"/>
  <c r="C898" i="15"/>
  <c r="A898" i="15"/>
  <c r="D897" i="15"/>
  <c r="C897" i="15"/>
  <c r="A897" i="15"/>
  <c r="D896" i="15"/>
  <c r="C896" i="15"/>
  <c r="A896" i="15"/>
  <c r="D895" i="15"/>
  <c r="C895" i="15"/>
  <c r="A895" i="15"/>
  <c r="D894" i="15"/>
  <c r="C894" i="15"/>
  <c r="A894" i="15"/>
  <c r="D893" i="15"/>
  <c r="C893" i="15"/>
  <c r="A893" i="15"/>
  <c r="D892" i="15"/>
  <c r="C892" i="15"/>
  <c r="A892" i="15"/>
  <c r="D891" i="15"/>
  <c r="C891" i="15"/>
  <c r="A891" i="15"/>
  <c r="D890" i="15"/>
  <c r="C890" i="15"/>
  <c r="A890" i="15"/>
  <c r="D889" i="15"/>
  <c r="C889" i="15"/>
  <c r="A889" i="15"/>
  <c r="D888" i="15"/>
  <c r="C888" i="15"/>
  <c r="A888" i="15"/>
  <c r="D887" i="15"/>
  <c r="C887" i="15"/>
  <c r="A887" i="15"/>
  <c r="D886" i="15"/>
  <c r="C886" i="15"/>
  <c r="A886" i="15"/>
  <c r="D885" i="15"/>
  <c r="C885" i="15"/>
  <c r="A885" i="15"/>
  <c r="D884" i="15"/>
  <c r="C884" i="15"/>
  <c r="A884" i="15"/>
  <c r="D883" i="15"/>
  <c r="C883" i="15"/>
  <c r="A883" i="15"/>
  <c r="D882" i="15"/>
  <c r="C882" i="15"/>
  <c r="A882" i="15"/>
  <c r="D881" i="15"/>
  <c r="C881" i="15"/>
  <c r="A881" i="15"/>
  <c r="D880" i="15"/>
  <c r="C880" i="15"/>
  <c r="A880" i="15"/>
  <c r="D879" i="15"/>
  <c r="C879" i="15"/>
  <c r="A879" i="15"/>
  <c r="D878" i="15"/>
  <c r="C878" i="15"/>
  <c r="A878" i="15"/>
  <c r="D877" i="15"/>
  <c r="C877" i="15"/>
  <c r="A877" i="15"/>
  <c r="D876" i="15"/>
  <c r="C876" i="15"/>
  <c r="A876" i="15"/>
  <c r="D875" i="15"/>
  <c r="C875" i="15"/>
  <c r="A875" i="15"/>
  <c r="D874" i="15"/>
  <c r="C874" i="15"/>
  <c r="A874" i="15"/>
  <c r="D873" i="15"/>
  <c r="C873" i="15"/>
  <c r="A873" i="15"/>
  <c r="D872" i="15"/>
  <c r="C872" i="15"/>
  <c r="A872" i="15"/>
  <c r="D871" i="15"/>
  <c r="C871" i="15"/>
  <c r="A871" i="15"/>
  <c r="D870" i="15"/>
  <c r="C870" i="15"/>
  <c r="A870" i="15"/>
  <c r="D869" i="15"/>
  <c r="C869" i="15"/>
  <c r="A869" i="15"/>
  <c r="D868" i="15"/>
  <c r="C868" i="15"/>
  <c r="A868" i="15"/>
  <c r="D867" i="15"/>
  <c r="C867" i="15"/>
  <c r="A867" i="15"/>
  <c r="D866" i="15"/>
  <c r="C866" i="15"/>
  <c r="A866" i="15"/>
  <c r="D865" i="15"/>
  <c r="C865" i="15"/>
  <c r="A865" i="15"/>
  <c r="D864" i="15"/>
  <c r="C864" i="15"/>
  <c r="A864" i="15"/>
  <c r="D863" i="15"/>
  <c r="C863" i="15"/>
  <c r="A863" i="15"/>
  <c r="D862" i="15"/>
  <c r="C862" i="15"/>
  <c r="A862" i="15"/>
  <c r="D861" i="15"/>
  <c r="C861" i="15"/>
  <c r="A861" i="15"/>
  <c r="D860" i="15"/>
  <c r="C860" i="15"/>
  <c r="A860" i="15"/>
  <c r="D859" i="15"/>
  <c r="C859" i="15"/>
  <c r="A859" i="15"/>
  <c r="D858" i="15"/>
  <c r="C858" i="15"/>
  <c r="A858" i="15"/>
  <c r="D857" i="15"/>
  <c r="C857" i="15"/>
  <c r="A857" i="15"/>
  <c r="D856" i="15"/>
  <c r="C856" i="15"/>
  <c r="A856" i="15"/>
  <c r="D855" i="15"/>
  <c r="C855" i="15"/>
  <c r="A855" i="15"/>
  <c r="D854" i="15"/>
  <c r="C854" i="15"/>
  <c r="A854" i="15"/>
  <c r="D853" i="15"/>
  <c r="C853" i="15"/>
  <c r="A853" i="15"/>
  <c r="D852" i="15"/>
  <c r="C852" i="15"/>
  <c r="A852" i="15"/>
  <c r="D851" i="15"/>
  <c r="C851" i="15"/>
  <c r="A851" i="15"/>
  <c r="D850" i="15"/>
  <c r="C850" i="15"/>
  <c r="A850" i="15"/>
  <c r="D849" i="15"/>
  <c r="C849" i="15"/>
  <c r="A849" i="15"/>
  <c r="D848" i="15"/>
  <c r="C848" i="15"/>
  <c r="A848" i="15"/>
  <c r="D847" i="15"/>
  <c r="C847" i="15"/>
  <c r="A847" i="15"/>
  <c r="D846" i="15"/>
  <c r="C846" i="15"/>
  <c r="A846" i="15"/>
  <c r="D845" i="15"/>
  <c r="C845" i="15"/>
  <c r="A845" i="15"/>
  <c r="D844" i="15"/>
  <c r="C844" i="15"/>
  <c r="A844" i="15"/>
  <c r="D843" i="15"/>
  <c r="C843" i="15"/>
  <c r="A843" i="15"/>
  <c r="D842" i="15"/>
  <c r="C842" i="15"/>
  <c r="A842" i="15"/>
  <c r="D841" i="15"/>
  <c r="C841" i="15"/>
  <c r="A841" i="15"/>
  <c r="D840" i="15"/>
  <c r="C840" i="15"/>
  <c r="A840" i="15"/>
  <c r="D839" i="15"/>
  <c r="C839" i="15"/>
  <c r="A839" i="15"/>
  <c r="D838" i="15"/>
  <c r="C838" i="15"/>
  <c r="A838" i="15"/>
  <c r="D837" i="15"/>
  <c r="C837" i="15"/>
  <c r="A837" i="15"/>
  <c r="D836" i="15"/>
  <c r="C836" i="15"/>
  <c r="A836" i="15"/>
  <c r="D835" i="15"/>
  <c r="C835" i="15"/>
  <c r="A835" i="15"/>
  <c r="D834" i="15"/>
  <c r="C834" i="15"/>
  <c r="A834" i="15"/>
  <c r="D833" i="15"/>
  <c r="C833" i="15"/>
  <c r="A833" i="15"/>
  <c r="D832" i="15"/>
  <c r="C832" i="15"/>
  <c r="A832" i="15"/>
  <c r="D831" i="15"/>
  <c r="C831" i="15"/>
  <c r="A831" i="15"/>
  <c r="D830" i="15"/>
  <c r="C830" i="15"/>
  <c r="A830" i="15"/>
  <c r="D829" i="15"/>
  <c r="C829" i="15"/>
  <c r="A829" i="15"/>
  <c r="D828" i="15"/>
  <c r="C828" i="15"/>
  <c r="A828" i="15"/>
  <c r="D827" i="15"/>
  <c r="C827" i="15"/>
  <c r="A827" i="15"/>
  <c r="D826" i="15"/>
  <c r="C826" i="15"/>
  <c r="A826" i="15"/>
  <c r="D825" i="15"/>
  <c r="C825" i="15"/>
  <c r="A825" i="15"/>
  <c r="D824" i="15"/>
  <c r="C824" i="15"/>
  <c r="A824" i="15"/>
  <c r="D823" i="15"/>
  <c r="C823" i="15"/>
  <c r="A823" i="15"/>
  <c r="D822" i="15"/>
  <c r="C822" i="15"/>
  <c r="A822" i="15"/>
  <c r="D821" i="15"/>
  <c r="C821" i="15"/>
  <c r="A821" i="15"/>
  <c r="D820" i="15"/>
  <c r="C820" i="15"/>
  <c r="A820" i="15"/>
  <c r="D819" i="15"/>
  <c r="C819" i="15"/>
  <c r="A819" i="15"/>
  <c r="D818" i="15"/>
  <c r="C818" i="15"/>
  <c r="A818" i="15"/>
  <c r="D817" i="15"/>
  <c r="C817" i="15"/>
  <c r="A817" i="15"/>
  <c r="D816" i="15"/>
  <c r="C816" i="15"/>
  <c r="A816" i="15"/>
  <c r="D815" i="15"/>
  <c r="C815" i="15"/>
  <c r="A815" i="15"/>
  <c r="D814" i="15"/>
  <c r="C814" i="15"/>
  <c r="A814" i="15"/>
  <c r="D813" i="15"/>
  <c r="C813" i="15"/>
  <c r="A813" i="15"/>
  <c r="D812" i="15"/>
  <c r="C812" i="15"/>
  <c r="A812" i="15"/>
  <c r="D811" i="15"/>
  <c r="C811" i="15"/>
  <c r="A811" i="15"/>
  <c r="D810" i="15"/>
  <c r="C810" i="15"/>
  <c r="A810" i="15"/>
  <c r="D809" i="15"/>
  <c r="C809" i="15"/>
  <c r="A809" i="15"/>
  <c r="D808" i="15"/>
  <c r="C808" i="15"/>
  <c r="A808" i="15"/>
  <c r="D807" i="15"/>
  <c r="C807" i="15"/>
  <c r="A807" i="15"/>
  <c r="D806" i="15"/>
  <c r="C806" i="15"/>
  <c r="A806" i="15"/>
  <c r="D805" i="15"/>
  <c r="C805" i="15"/>
  <c r="A805" i="15"/>
  <c r="D804" i="15"/>
  <c r="C804" i="15"/>
  <c r="A804" i="15"/>
  <c r="D803" i="15"/>
  <c r="C803" i="15"/>
  <c r="A803" i="15"/>
  <c r="D802" i="15"/>
  <c r="C802" i="15"/>
  <c r="A802" i="15"/>
  <c r="D801" i="15"/>
  <c r="C801" i="15"/>
  <c r="A801" i="15"/>
  <c r="D800" i="15"/>
  <c r="C800" i="15"/>
  <c r="A800" i="15"/>
  <c r="D799" i="15"/>
  <c r="C799" i="15"/>
  <c r="A799" i="15"/>
  <c r="D798" i="15"/>
  <c r="C798" i="15"/>
  <c r="A798" i="15"/>
  <c r="D797" i="15"/>
  <c r="C797" i="15"/>
  <c r="A797" i="15"/>
  <c r="D796" i="15"/>
  <c r="C796" i="15"/>
  <c r="A796" i="15"/>
  <c r="D795" i="15"/>
  <c r="C795" i="15"/>
  <c r="A795" i="15"/>
  <c r="D794" i="15"/>
  <c r="C794" i="15"/>
  <c r="A794" i="15"/>
  <c r="D793" i="15"/>
  <c r="C793" i="15"/>
  <c r="A793" i="15"/>
  <c r="D792" i="15"/>
  <c r="C792" i="15"/>
  <c r="A792" i="15"/>
  <c r="D791" i="15"/>
  <c r="C791" i="15"/>
  <c r="A791" i="15"/>
  <c r="D790" i="15"/>
  <c r="C790" i="15"/>
  <c r="A790" i="15"/>
  <c r="D789" i="15"/>
  <c r="C789" i="15"/>
  <c r="A789" i="15"/>
  <c r="D788" i="15"/>
  <c r="C788" i="15"/>
  <c r="A788" i="15"/>
  <c r="D787" i="15"/>
  <c r="C787" i="15"/>
  <c r="A787" i="15"/>
  <c r="D786" i="15"/>
  <c r="C786" i="15"/>
  <c r="A786" i="15"/>
  <c r="D785" i="15"/>
  <c r="C785" i="15"/>
  <c r="A785" i="15"/>
  <c r="D784" i="15"/>
  <c r="C784" i="15"/>
  <c r="A784" i="15"/>
  <c r="D783" i="15"/>
  <c r="C783" i="15"/>
  <c r="A783" i="15"/>
  <c r="D782" i="15"/>
  <c r="C782" i="15"/>
  <c r="A782" i="15"/>
  <c r="D781" i="15"/>
  <c r="C781" i="15"/>
  <c r="A781" i="15"/>
  <c r="D780" i="15"/>
  <c r="C780" i="15"/>
  <c r="A780" i="15"/>
  <c r="D779" i="15"/>
  <c r="C779" i="15"/>
  <c r="A779" i="15"/>
  <c r="D778" i="15"/>
  <c r="C778" i="15"/>
  <c r="A778" i="15"/>
  <c r="D777" i="15"/>
  <c r="C777" i="15"/>
  <c r="A777" i="15"/>
  <c r="D776" i="15"/>
  <c r="C776" i="15"/>
  <c r="A776" i="15"/>
  <c r="D775" i="15"/>
  <c r="C775" i="15"/>
  <c r="A775" i="15"/>
  <c r="D774" i="15"/>
  <c r="C774" i="15"/>
  <c r="A774" i="15"/>
  <c r="D773" i="15"/>
  <c r="C773" i="15"/>
  <c r="A773" i="15"/>
  <c r="D772" i="15"/>
  <c r="C772" i="15"/>
  <c r="A772" i="15"/>
  <c r="D771" i="15"/>
  <c r="C771" i="15"/>
  <c r="A771" i="15"/>
  <c r="D770" i="15"/>
  <c r="C770" i="15"/>
  <c r="A770" i="15"/>
  <c r="D769" i="15"/>
  <c r="C769" i="15"/>
  <c r="A769" i="15"/>
  <c r="D768" i="15"/>
  <c r="C768" i="15"/>
  <c r="A768" i="15"/>
  <c r="D767" i="15"/>
  <c r="C767" i="15"/>
  <c r="A767" i="15"/>
  <c r="D766" i="15"/>
  <c r="C766" i="15"/>
  <c r="A766" i="15"/>
  <c r="D765" i="15"/>
  <c r="C765" i="15"/>
  <c r="A765" i="15"/>
  <c r="D764" i="15"/>
  <c r="C764" i="15"/>
  <c r="A764" i="15"/>
  <c r="D763" i="15"/>
  <c r="C763" i="15"/>
  <c r="A763" i="15"/>
  <c r="D762" i="15"/>
  <c r="C762" i="15"/>
  <c r="A762" i="15"/>
  <c r="D761" i="15"/>
  <c r="C761" i="15"/>
  <c r="A761" i="15"/>
  <c r="D760" i="15"/>
  <c r="C760" i="15"/>
  <c r="A760" i="15"/>
  <c r="D759" i="15"/>
  <c r="C759" i="15"/>
  <c r="A759" i="15"/>
  <c r="D758" i="15"/>
  <c r="C758" i="15"/>
  <c r="A758" i="15"/>
  <c r="D757" i="15"/>
  <c r="C757" i="15"/>
  <c r="A757" i="15"/>
  <c r="D756" i="15"/>
  <c r="C756" i="15"/>
  <c r="A756" i="15"/>
  <c r="D755" i="15"/>
  <c r="C755" i="15"/>
  <c r="A755" i="15"/>
  <c r="D754" i="15"/>
  <c r="C754" i="15"/>
  <c r="A754" i="15"/>
  <c r="D753" i="15"/>
  <c r="C753" i="15"/>
  <c r="A753" i="15"/>
  <c r="D752" i="15"/>
  <c r="C752" i="15"/>
  <c r="A752" i="15"/>
  <c r="D751" i="15"/>
  <c r="C751" i="15"/>
  <c r="A751" i="15"/>
  <c r="D750" i="15"/>
  <c r="C750" i="15"/>
  <c r="A750" i="15"/>
  <c r="D749" i="15"/>
  <c r="C749" i="15"/>
  <c r="A749" i="15"/>
  <c r="D748" i="15"/>
  <c r="C748" i="15"/>
  <c r="A748" i="15"/>
  <c r="D747" i="15"/>
  <c r="C747" i="15"/>
  <c r="A747" i="15"/>
  <c r="D746" i="15"/>
  <c r="C746" i="15"/>
  <c r="A746" i="15"/>
  <c r="D745" i="15"/>
  <c r="C745" i="15"/>
  <c r="A745" i="15"/>
  <c r="D744" i="15"/>
  <c r="C744" i="15"/>
  <c r="A744" i="15"/>
  <c r="D743" i="15"/>
  <c r="C743" i="15"/>
  <c r="A743" i="15"/>
  <c r="D742" i="15"/>
  <c r="C742" i="15"/>
  <c r="A742" i="15"/>
  <c r="D741" i="15"/>
  <c r="C741" i="15"/>
  <c r="A741" i="15"/>
  <c r="D740" i="15"/>
  <c r="C740" i="15"/>
  <c r="A740" i="15"/>
  <c r="D739" i="15"/>
  <c r="C739" i="15"/>
  <c r="A739" i="15"/>
  <c r="D738" i="15"/>
  <c r="C738" i="15"/>
  <c r="A738" i="15"/>
  <c r="D737" i="15"/>
  <c r="C737" i="15"/>
  <c r="A737" i="15"/>
  <c r="D736" i="15"/>
  <c r="C736" i="15"/>
  <c r="A736" i="15"/>
  <c r="D735" i="15"/>
  <c r="C735" i="15"/>
  <c r="A735" i="15"/>
  <c r="D734" i="15"/>
  <c r="C734" i="15"/>
  <c r="A734" i="15"/>
  <c r="D733" i="15"/>
  <c r="C733" i="15"/>
  <c r="A733" i="15"/>
  <c r="D732" i="15"/>
  <c r="C732" i="15"/>
  <c r="A732" i="15"/>
  <c r="D731" i="15"/>
  <c r="C731" i="15"/>
  <c r="A731" i="15"/>
  <c r="D730" i="15"/>
  <c r="C730" i="15"/>
  <c r="A730" i="15"/>
  <c r="D729" i="15"/>
  <c r="C729" i="15"/>
  <c r="A729" i="15"/>
  <c r="D728" i="15"/>
  <c r="C728" i="15"/>
  <c r="A728" i="15"/>
  <c r="D727" i="15"/>
  <c r="C727" i="15"/>
  <c r="A727" i="15"/>
  <c r="D726" i="15"/>
  <c r="C726" i="15"/>
  <c r="A726" i="15"/>
  <c r="D725" i="15"/>
  <c r="C725" i="15"/>
  <c r="A725" i="15"/>
  <c r="D724" i="15"/>
  <c r="C724" i="15"/>
  <c r="A724" i="15"/>
  <c r="D723" i="15"/>
  <c r="C723" i="15"/>
  <c r="A723" i="15"/>
  <c r="D722" i="15"/>
  <c r="C722" i="15"/>
  <c r="A722" i="15"/>
  <c r="D721" i="15"/>
  <c r="C721" i="15"/>
  <c r="A721" i="15"/>
  <c r="D720" i="15"/>
  <c r="C720" i="15"/>
  <c r="A720" i="15"/>
  <c r="D719" i="15"/>
  <c r="C719" i="15"/>
  <c r="A719" i="15"/>
  <c r="D718" i="15"/>
  <c r="C718" i="15"/>
  <c r="A718" i="15"/>
  <c r="D717" i="15"/>
  <c r="C717" i="15"/>
  <c r="A717" i="15"/>
  <c r="D716" i="15"/>
  <c r="C716" i="15"/>
  <c r="A716" i="15"/>
  <c r="D715" i="15"/>
  <c r="C715" i="15"/>
  <c r="A715" i="15"/>
  <c r="D714" i="15"/>
  <c r="C714" i="15"/>
  <c r="A714" i="15"/>
  <c r="D713" i="15"/>
  <c r="C713" i="15"/>
  <c r="A713" i="15"/>
  <c r="D712" i="15"/>
  <c r="C712" i="15"/>
  <c r="A712" i="15"/>
  <c r="D711" i="15"/>
  <c r="C711" i="15"/>
  <c r="A711" i="15"/>
  <c r="D710" i="15"/>
  <c r="C710" i="15"/>
  <c r="A710" i="15"/>
  <c r="D709" i="15"/>
  <c r="C709" i="15"/>
  <c r="A709" i="15"/>
  <c r="D708" i="15"/>
  <c r="C708" i="15"/>
  <c r="A708" i="15"/>
  <c r="D707" i="15"/>
  <c r="C707" i="15"/>
  <c r="A707" i="15"/>
  <c r="D706" i="15"/>
  <c r="C706" i="15"/>
  <c r="A706" i="15"/>
  <c r="D705" i="15"/>
  <c r="C705" i="15"/>
  <c r="A705" i="15"/>
  <c r="D704" i="15"/>
  <c r="C704" i="15"/>
  <c r="A704" i="15"/>
  <c r="D703" i="15"/>
  <c r="C703" i="15"/>
  <c r="A703" i="15"/>
  <c r="D702" i="15"/>
  <c r="C702" i="15"/>
  <c r="A702" i="15"/>
  <c r="D701" i="15"/>
  <c r="C701" i="15"/>
  <c r="A701" i="15"/>
  <c r="D700" i="15"/>
  <c r="C700" i="15"/>
  <c r="A700" i="15"/>
  <c r="D699" i="15"/>
  <c r="C699" i="15"/>
  <c r="A699" i="15"/>
  <c r="D698" i="15"/>
  <c r="C698" i="15"/>
  <c r="A698" i="15"/>
  <c r="D697" i="15"/>
  <c r="C697" i="15"/>
  <c r="A697" i="15"/>
  <c r="D696" i="15"/>
  <c r="C696" i="15"/>
  <c r="A696" i="15"/>
  <c r="D695" i="15"/>
  <c r="C695" i="15"/>
  <c r="A695" i="15"/>
  <c r="D694" i="15"/>
  <c r="C694" i="15"/>
  <c r="A694" i="15"/>
  <c r="D693" i="15"/>
  <c r="C693" i="15"/>
  <c r="A693" i="15"/>
  <c r="D692" i="15"/>
  <c r="C692" i="15"/>
  <c r="A692" i="15"/>
  <c r="D691" i="15"/>
  <c r="C691" i="15"/>
  <c r="A691" i="15"/>
  <c r="D690" i="15"/>
  <c r="C690" i="15"/>
  <c r="A690" i="15"/>
  <c r="D689" i="15"/>
  <c r="C689" i="15"/>
  <c r="A689" i="15"/>
  <c r="D688" i="15"/>
  <c r="C688" i="15"/>
  <c r="A688" i="15"/>
  <c r="D687" i="15"/>
  <c r="C687" i="15"/>
  <c r="A687" i="15"/>
  <c r="D686" i="15"/>
  <c r="C686" i="15"/>
  <c r="A686" i="15"/>
  <c r="D685" i="15"/>
  <c r="C685" i="15"/>
  <c r="A685" i="15"/>
  <c r="D684" i="15"/>
  <c r="C684" i="15"/>
  <c r="A684" i="15"/>
  <c r="D683" i="15"/>
  <c r="C683" i="15"/>
  <c r="A683" i="15"/>
  <c r="D682" i="15"/>
  <c r="C682" i="15"/>
  <c r="A682" i="15"/>
  <c r="D681" i="15"/>
  <c r="C681" i="15"/>
  <c r="A681" i="15"/>
  <c r="D680" i="15"/>
  <c r="C680" i="15"/>
  <c r="A680" i="15"/>
  <c r="D679" i="15"/>
  <c r="C679" i="15"/>
  <c r="A679" i="15"/>
  <c r="D678" i="15"/>
  <c r="C678" i="15"/>
  <c r="A678" i="15"/>
  <c r="D677" i="15"/>
  <c r="C677" i="15"/>
  <c r="A677" i="15"/>
  <c r="D676" i="15"/>
  <c r="C676" i="15"/>
  <c r="A676" i="15"/>
  <c r="D675" i="15"/>
  <c r="C675" i="15"/>
  <c r="A675" i="15"/>
  <c r="D674" i="15"/>
  <c r="C674" i="15"/>
  <c r="A674" i="15"/>
  <c r="D673" i="15"/>
  <c r="C673" i="15"/>
  <c r="A673" i="15"/>
  <c r="D672" i="15"/>
  <c r="C672" i="15"/>
  <c r="A672" i="15"/>
  <c r="D671" i="15"/>
  <c r="C671" i="15"/>
  <c r="A671" i="15"/>
  <c r="D670" i="15"/>
  <c r="C670" i="15"/>
  <c r="A670" i="15"/>
  <c r="D669" i="15"/>
  <c r="C669" i="15"/>
  <c r="A669" i="15"/>
  <c r="D668" i="15"/>
  <c r="C668" i="15"/>
  <c r="A668" i="15"/>
  <c r="D667" i="15"/>
  <c r="C667" i="15"/>
  <c r="A667" i="15"/>
  <c r="D666" i="15"/>
  <c r="C666" i="15"/>
  <c r="A666" i="15"/>
  <c r="D665" i="15"/>
  <c r="C665" i="15"/>
  <c r="A665" i="15"/>
  <c r="D664" i="15"/>
  <c r="C664" i="15"/>
  <c r="A664" i="15"/>
  <c r="D663" i="15"/>
  <c r="C663" i="15"/>
  <c r="A663" i="15"/>
  <c r="D662" i="15"/>
  <c r="C662" i="15"/>
  <c r="A662" i="15"/>
  <c r="D661" i="15"/>
  <c r="C661" i="15"/>
  <c r="A661" i="15"/>
  <c r="D660" i="15"/>
  <c r="C660" i="15"/>
  <c r="A660" i="15"/>
  <c r="D659" i="15"/>
  <c r="C659" i="15"/>
  <c r="A659" i="15"/>
  <c r="D658" i="15"/>
  <c r="C658" i="15"/>
  <c r="A658" i="15"/>
  <c r="D657" i="15"/>
  <c r="C657" i="15"/>
  <c r="A657" i="15"/>
  <c r="D656" i="15"/>
  <c r="C656" i="15"/>
  <c r="A656" i="15"/>
  <c r="D655" i="15"/>
  <c r="C655" i="15"/>
  <c r="A655" i="15"/>
  <c r="D654" i="15"/>
  <c r="C654" i="15"/>
  <c r="A654" i="15"/>
  <c r="D653" i="15"/>
  <c r="C653" i="15"/>
  <c r="A653" i="15"/>
  <c r="D652" i="15"/>
  <c r="C652" i="15"/>
  <c r="A652" i="15"/>
  <c r="D651" i="15"/>
  <c r="C651" i="15"/>
  <c r="A651" i="15"/>
  <c r="D650" i="15"/>
  <c r="C650" i="15"/>
  <c r="A650" i="15"/>
  <c r="D649" i="15"/>
  <c r="C649" i="15"/>
  <c r="A649" i="15"/>
  <c r="D648" i="15"/>
  <c r="C648" i="15"/>
  <c r="A648" i="15"/>
  <c r="D647" i="15"/>
  <c r="C647" i="15"/>
  <c r="A647" i="15"/>
  <c r="D646" i="15"/>
  <c r="C646" i="15"/>
  <c r="A646" i="15"/>
  <c r="D645" i="15"/>
  <c r="C645" i="15"/>
  <c r="A645" i="15"/>
  <c r="D644" i="15"/>
  <c r="C644" i="15"/>
  <c r="A644" i="15"/>
  <c r="D643" i="15"/>
  <c r="C643" i="15"/>
  <c r="A643" i="15"/>
  <c r="D642" i="15"/>
  <c r="C642" i="15"/>
  <c r="A642" i="15"/>
  <c r="D641" i="15"/>
  <c r="C641" i="15"/>
  <c r="A641" i="15"/>
  <c r="D640" i="15"/>
  <c r="C640" i="15"/>
  <c r="A640" i="15"/>
  <c r="D639" i="15"/>
  <c r="C639" i="15"/>
  <c r="A639" i="15"/>
  <c r="D638" i="15"/>
  <c r="C638" i="15"/>
  <c r="A638" i="15"/>
  <c r="D637" i="15"/>
  <c r="C637" i="15"/>
  <c r="A637" i="15"/>
  <c r="D636" i="15"/>
  <c r="C636" i="15"/>
  <c r="A636" i="15"/>
  <c r="D635" i="15"/>
  <c r="C635" i="15"/>
  <c r="A635" i="15"/>
  <c r="D634" i="15"/>
  <c r="C634" i="15"/>
  <c r="A634" i="15"/>
  <c r="D633" i="15"/>
  <c r="C633" i="15"/>
  <c r="A633" i="15"/>
  <c r="D632" i="15"/>
  <c r="C632" i="15"/>
  <c r="A632" i="15"/>
  <c r="D631" i="15"/>
  <c r="C631" i="15"/>
  <c r="A631" i="15"/>
  <c r="D630" i="15"/>
  <c r="C630" i="15"/>
  <c r="A630" i="15"/>
  <c r="D629" i="15"/>
  <c r="C629" i="15"/>
  <c r="A629" i="15"/>
  <c r="D628" i="15"/>
  <c r="C628" i="15"/>
  <c r="A628" i="15"/>
  <c r="D627" i="15"/>
  <c r="C627" i="15"/>
  <c r="A627" i="15"/>
  <c r="D626" i="15"/>
  <c r="C626" i="15"/>
  <c r="A626" i="15"/>
  <c r="D625" i="15"/>
  <c r="C625" i="15"/>
  <c r="A625" i="15"/>
  <c r="D624" i="15"/>
  <c r="C624" i="15"/>
  <c r="A624" i="15"/>
  <c r="D623" i="15"/>
  <c r="C623" i="15"/>
  <c r="A623" i="15"/>
  <c r="D622" i="15"/>
  <c r="C622" i="15"/>
  <c r="A622" i="15"/>
  <c r="D621" i="15"/>
  <c r="C621" i="15"/>
  <c r="A621" i="15"/>
  <c r="D620" i="15"/>
  <c r="C620" i="15"/>
  <c r="A620" i="15"/>
  <c r="D619" i="15"/>
  <c r="C619" i="15"/>
  <c r="A619" i="15"/>
  <c r="D618" i="15"/>
  <c r="C618" i="15"/>
  <c r="A618" i="15"/>
  <c r="D617" i="15"/>
  <c r="C617" i="15"/>
  <c r="A617" i="15"/>
  <c r="D616" i="15"/>
  <c r="C616" i="15"/>
  <c r="A616" i="15"/>
  <c r="D615" i="15"/>
  <c r="C615" i="15"/>
  <c r="A615" i="15"/>
  <c r="D614" i="15"/>
  <c r="C614" i="15"/>
  <c r="A614" i="15"/>
  <c r="D613" i="15"/>
  <c r="C613" i="15"/>
  <c r="A613" i="15"/>
  <c r="D612" i="15"/>
  <c r="C612" i="15"/>
  <c r="A612" i="15"/>
  <c r="D611" i="15"/>
  <c r="C611" i="15"/>
  <c r="A611" i="15"/>
  <c r="D610" i="15"/>
  <c r="C610" i="15"/>
  <c r="A610" i="15"/>
  <c r="D609" i="15"/>
  <c r="C609" i="15"/>
  <c r="A609" i="15"/>
  <c r="D608" i="15"/>
  <c r="C608" i="15"/>
  <c r="A608" i="15"/>
  <c r="D607" i="15"/>
  <c r="C607" i="15"/>
  <c r="A607" i="15"/>
  <c r="D606" i="15"/>
  <c r="C606" i="15"/>
  <c r="A606" i="15"/>
  <c r="D605" i="15"/>
  <c r="C605" i="15"/>
  <c r="A605" i="15"/>
  <c r="D604" i="15"/>
  <c r="C604" i="15"/>
  <c r="A604" i="15"/>
  <c r="D603" i="15"/>
  <c r="C603" i="15"/>
  <c r="A603" i="15"/>
  <c r="D602" i="15"/>
  <c r="C602" i="15"/>
  <c r="A602" i="15"/>
  <c r="D601" i="15"/>
  <c r="C601" i="15"/>
  <c r="A601" i="15"/>
  <c r="D600" i="15"/>
  <c r="C600" i="15"/>
  <c r="A600" i="15"/>
  <c r="D599" i="15"/>
  <c r="C599" i="15"/>
  <c r="A599" i="15"/>
  <c r="D598" i="15"/>
  <c r="C598" i="15"/>
  <c r="A598" i="15"/>
  <c r="D597" i="15"/>
  <c r="C597" i="15"/>
  <c r="A597" i="15"/>
  <c r="D596" i="15"/>
  <c r="C596" i="15"/>
  <c r="A596" i="15"/>
  <c r="D595" i="15"/>
  <c r="C595" i="15"/>
  <c r="A595" i="15"/>
  <c r="D594" i="15"/>
  <c r="C594" i="15"/>
  <c r="A594" i="15"/>
  <c r="D593" i="15"/>
  <c r="C593" i="15"/>
  <c r="A593" i="15"/>
  <c r="D592" i="15"/>
  <c r="C592" i="15"/>
  <c r="A592" i="15"/>
  <c r="D591" i="15"/>
  <c r="C591" i="15"/>
  <c r="A591" i="15"/>
  <c r="D590" i="15"/>
  <c r="C590" i="15"/>
  <c r="A590" i="15"/>
  <c r="D589" i="15"/>
  <c r="C589" i="15"/>
  <c r="A589" i="15"/>
  <c r="D588" i="15"/>
  <c r="C588" i="15"/>
  <c r="A588" i="15"/>
  <c r="D587" i="15"/>
  <c r="C587" i="15"/>
  <c r="A587" i="15"/>
  <c r="D586" i="15"/>
  <c r="C586" i="15"/>
  <c r="A586" i="15"/>
  <c r="D585" i="15"/>
  <c r="C585" i="15"/>
  <c r="A585" i="15"/>
  <c r="D584" i="15"/>
  <c r="C584" i="15"/>
  <c r="A584" i="15"/>
  <c r="D583" i="15"/>
  <c r="C583" i="15"/>
  <c r="A583" i="15"/>
  <c r="D582" i="15"/>
  <c r="C582" i="15"/>
  <c r="A582" i="15"/>
  <c r="D581" i="15"/>
  <c r="C581" i="15"/>
  <c r="A581" i="15"/>
  <c r="D580" i="15"/>
  <c r="C580" i="15"/>
  <c r="A580" i="15"/>
  <c r="D579" i="15"/>
  <c r="C579" i="15"/>
  <c r="A579" i="15"/>
  <c r="D578" i="15"/>
  <c r="C578" i="15"/>
  <c r="A578" i="15"/>
  <c r="D577" i="15"/>
  <c r="C577" i="15"/>
  <c r="A577" i="15"/>
  <c r="D576" i="15"/>
  <c r="C576" i="15"/>
  <c r="A576" i="15"/>
  <c r="D575" i="15"/>
  <c r="C575" i="15"/>
  <c r="A575" i="15"/>
  <c r="D574" i="15"/>
  <c r="C574" i="15"/>
  <c r="A574" i="15"/>
  <c r="D573" i="15"/>
  <c r="C573" i="15"/>
  <c r="A573" i="15"/>
  <c r="D572" i="15"/>
  <c r="C572" i="15"/>
  <c r="A572" i="15"/>
  <c r="D571" i="15"/>
  <c r="C571" i="15"/>
  <c r="A571" i="15"/>
  <c r="D570" i="15"/>
  <c r="C570" i="15"/>
  <c r="A570" i="15"/>
  <c r="D569" i="15"/>
  <c r="C569" i="15"/>
  <c r="A569" i="15"/>
  <c r="D568" i="15"/>
  <c r="C568" i="15"/>
  <c r="A568" i="15"/>
  <c r="D567" i="15"/>
  <c r="C567" i="15"/>
  <c r="A567" i="15"/>
  <c r="D566" i="15"/>
  <c r="C566" i="15"/>
  <c r="A566" i="15"/>
  <c r="D565" i="15"/>
  <c r="C565" i="15"/>
  <c r="A565" i="15"/>
  <c r="D564" i="15"/>
  <c r="C564" i="15"/>
  <c r="A564" i="15"/>
  <c r="D563" i="15"/>
  <c r="C563" i="15"/>
  <c r="A563" i="15"/>
  <c r="D562" i="15"/>
  <c r="C562" i="15"/>
  <c r="A562" i="15"/>
  <c r="D561" i="15"/>
  <c r="C561" i="15"/>
  <c r="A561" i="15"/>
  <c r="D560" i="15"/>
  <c r="C560" i="15"/>
  <c r="A560" i="15"/>
  <c r="D559" i="15"/>
  <c r="C559" i="15"/>
  <c r="A559" i="15"/>
  <c r="D558" i="15"/>
  <c r="C558" i="15"/>
  <c r="A558" i="15"/>
  <c r="D557" i="15"/>
  <c r="C557" i="15"/>
  <c r="A557" i="15"/>
  <c r="D556" i="15"/>
  <c r="C556" i="15"/>
  <c r="A556" i="15"/>
  <c r="D555" i="15"/>
  <c r="C555" i="15"/>
  <c r="A555" i="15"/>
  <c r="D554" i="15"/>
  <c r="C554" i="15"/>
  <c r="A554" i="15"/>
  <c r="D553" i="15"/>
  <c r="C553" i="15"/>
  <c r="A553" i="15"/>
  <c r="D552" i="15"/>
  <c r="C552" i="15"/>
  <c r="A552" i="15"/>
  <c r="D551" i="15"/>
  <c r="C551" i="15"/>
  <c r="A551" i="15"/>
  <c r="D550" i="15"/>
  <c r="C550" i="15"/>
  <c r="A550" i="15"/>
  <c r="D549" i="15"/>
  <c r="C549" i="15"/>
  <c r="A549" i="15"/>
  <c r="D548" i="15"/>
  <c r="C548" i="15"/>
  <c r="A548" i="15"/>
  <c r="D547" i="15"/>
  <c r="C547" i="15"/>
  <c r="A547" i="15"/>
  <c r="D546" i="15"/>
  <c r="C546" i="15"/>
  <c r="A546" i="15"/>
  <c r="D545" i="15"/>
  <c r="C545" i="15"/>
  <c r="A545" i="15"/>
  <c r="D544" i="15"/>
  <c r="C544" i="15"/>
  <c r="A544" i="15"/>
  <c r="D543" i="15"/>
  <c r="C543" i="15"/>
  <c r="A543" i="15"/>
  <c r="D542" i="15"/>
  <c r="C542" i="15"/>
  <c r="A542" i="15"/>
  <c r="D541" i="15"/>
  <c r="C541" i="15"/>
  <c r="A541" i="15"/>
  <c r="D540" i="15"/>
  <c r="C540" i="15"/>
  <c r="A540" i="15"/>
  <c r="D539" i="15"/>
  <c r="C539" i="15"/>
  <c r="A539" i="15"/>
  <c r="D538" i="15"/>
  <c r="C538" i="15"/>
  <c r="A538" i="15"/>
  <c r="D537" i="15"/>
  <c r="C537" i="15"/>
  <c r="A537" i="15"/>
  <c r="D536" i="15"/>
  <c r="C536" i="15"/>
  <c r="A536" i="15"/>
  <c r="D535" i="15"/>
  <c r="C535" i="15"/>
  <c r="A535" i="15"/>
  <c r="D534" i="15"/>
  <c r="C534" i="15"/>
  <c r="A534" i="15"/>
  <c r="D533" i="15"/>
  <c r="C533" i="15"/>
  <c r="A533" i="15"/>
  <c r="D532" i="15"/>
  <c r="C532" i="15"/>
  <c r="A532" i="15"/>
  <c r="D531" i="15"/>
  <c r="C531" i="15"/>
  <c r="A531" i="15"/>
  <c r="D530" i="15"/>
  <c r="C530" i="15"/>
  <c r="A530" i="15"/>
  <c r="D529" i="15"/>
  <c r="C529" i="15"/>
  <c r="A529" i="15"/>
  <c r="D528" i="15"/>
  <c r="C528" i="15"/>
  <c r="A528" i="15"/>
  <c r="D527" i="15"/>
  <c r="C527" i="15"/>
  <c r="A527" i="15"/>
  <c r="D526" i="15"/>
  <c r="C526" i="15"/>
  <c r="A526" i="15"/>
  <c r="D525" i="15"/>
  <c r="C525" i="15"/>
  <c r="A525" i="15"/>
  <c r="D524" i="15"/>
  <c r="C524" i="15"/>
  <c r="A524" i="15"/>
  <c r="D523" i="15"/>
  <c r="C523" i="15"/>
  <c r="A523" i="15"/>
  <c r="D522" i="15"/>
  <c r="C522" i="15"/>
  <c r="A522" i="15"/>
  <c r="D521" i="15"/>
  <c r="C521" i="15"/>
  <c r="A521" i="15"/>
  <c r="D520" i="15"/>
  <c r="C520" i="15"/>
  <c r="A520" i="15"/>
  <c r="D519" i="15"/>
  <c r="C519" i="15"/>
  <c r="A519" i="15"/>
  <c r="D518" i="15"/>
  <c r="C518" i="15"/>
  <c r="A518" i="15"/>
  <c r="D517" i="15"/>
  <c r="C517" i="15"/>
  <c r="A517" i="15"/>
  <c r="D516" i="15"/>
  <c r="C516" i="15"/>
  <c r="A516" i="15"/>
  <c r="D515" i="15"/>
  <c r="C515" i="15"/>
  <c r="A515" i="15"/>
  <c r="D514" i="15"/>
  <c r="C514" i="15"/>
  <c r="A514" i="15"/>
  <c r="D513" i="15"/>
  <c r="C513" i="15"/>
  <c r="A513" i="15"/>
  <c r="D512" i="15"/>
  <c r="C512" i="15"/>
  <c r="A512" i="15"/>
  <c r="D511" i="15"/>
  <c r="C511" i="15"/>
  <c r="A511" i="15"/>
  <c r="D510" i="15"/>
  <c r="C510" i="15"/>
  <c r="A510" i="15"/>
  <c r="D509" i="15"/>
  <c r="C509" i="15"/>
  <c r="A509" i="15"/>
  <c r="D508" i="15"/>
  <c r="C508" i="15"/>
  <c r="A508" i="15"/>
  <c r="D507" i="15"/>
  <c r="C507" i="15"/>
  <c r="A507" i="15"/>
  <c r="D506" i="15"/>
  <c r="C506" i="15"/>
  <c r="A506" i="15"/>
  <c r="D505" i="15"/>
  <c r="C505" i="15"/>
  <c r="A505" i="15"/>
  <c r="D504" i="15"/>
  <c r="C504" i="15"/>
  <c r="A504" i="15"/>
  <c r="D503" i="15"/>
  <c r="C503" i="15"/>
  <c r="A503" i="15"/>
  <c r="D502" i="15"/>
  <c r="C502" i="15"/>
  <c r="A502" i="15"/>
  <c r="D501" i="15"/>
  <c r="C501" i="15"/>
  <c r="A501" i="15"/>
  <c r="D500" i="15"/>
  <c r="C500" i="15"/>
  <c r="A500" i="15"/>
  <c r="D499" i="15"/>
  <c r="C499" i="15"/>
  <c r="A499" i="15"/>
  <c r="D498" i="15"/>
  <c r="C498" i="15"/>
  <c r="A498" i="15"/>
  <c r="D497" i="15"/>
  <c r="C497" i="15"/>
  <c r="A497" i="15"/>
  <c r="D496" i="15"/>
  <c r="C496" i="15"/>
  <c r="A496" i="15"/>
  <c r="D495" i="15"/>
  <c r="C495" i="15"/>
  <c r="A495" i="15"/>
  <c r="D494" i="15"/>
  <c r="C494" i="15"/>
  <c r="A494" i="15"/>
  <c r="D493" i="15"/>
  <c r="C493" i="15"/>
  <c r="A493" i="15"/>
  <c r="D492" i="15"/>
  <c r="C492" i="15"/>
  <c r="A492" i="15"/>
  <c r="D491" i="15"/>
  <c r="C491" i="15"/>
  <c r="A491" i="15"/>
  <c r="D490" i="15"/>
  <c r="C490" i="15"/>
  <c r="A490" i="15"/>
  <c r="D489" i="15"/>
  <c r="C489" i="15"/>
  <c r="A489" i="15"/>
  <c r="D488" i="15"/>
  <c r="C488" i="15"/>
  <c r="A488" i="15"/>
  <c r="D487" i="15"/>
  <c r="C487" i="15"/>
  <c r="A487" i="15"/>
  <c r="D486" i="15"/>
  <c r="C486" i="15"/>
  <c r="A486" i="15"/>
  <c r="D485" i="15"/>
  <c r="C485" i="15"/>
  <c r="A485" i="15"/>
  <c r="D484" i="15"/>
  <c r="C484" i="15"/>
  <c r="A484" i="15"/>
  <c r="D483" i="15"/>
  <c r="C483" i="15"/>
  <c r="A483" i="15"/>
  <c r="D482" i="15"/>
  <c r="C482" i="15"/>
  <c r="A482" i="15"/>
  <c r="D481" i="15"/>
  <c r="C481" i="15"/>
  <c r="A481" i="15"/>
  <c r="D480" i="15"/>
  <c r="C480" i="15"/>
  <c r="A480" i="15"/>
  <c r="D479" i="15"/>
  <c r="C479" i="15"/>
  <c r="A479" i="15"/>
  <c r="D478" i="15"/>
  <c r="C478" i="15"/>
  <c r="A478" i="15"/>
  <c r="D477" i="15"/>
  <c r="C477" i="15"/>
  <c r="A477" i="15"/>
  <c r="D476" i="15"/>
  <c r="C476" i="15"/>
  <c r="A476" i="15"/>
  <c r="D475" i="15"/>
  <c r="C475" i="15"/>
  <c r="A475" i="15"/>
  <c r="D474" i="15"/>
  <c r="C474" i="15"/>
  <c r="A474" i="15"/>
  <c r="D473" i="15"/>
  <c r="C473" i="15"/>
  <c r="A473" i="15"/>
  <c r="D472" i="15"/>
  <c r="C472" i="15"/>
  <c r="A472" i="15"/>
  <c r="D471" i="15"/>
  <c r="C471" i="15"/>
  <c r="A471" i="15"/>
  <c r="D470" i="15"/>
  <c r="C470" i="15"/>
  <c r="A470" i="15"/>
  <c r="D469" i="15"/>
  <c r="C469" i="15"/>
  <c r="A469" i="15"/>
  <c r="D468" i="15"/>
  <c r="C468" i="15"/>
  <c r="A468" i="15"/>
  <c r="D467" i="15"/>
  <c r="C467" i="15"/>
  <c r="A467" i="15"/>
  <c r="D466" i="15"/>
  <c r="C466" i="15"/>
  <c r="A466" i="15"/>
  <c r="D465" i="15"/>
  <c r="C465" i="15"/>
  <c r="A465" i="15"/>
  <c r="D464" i="15"/>
  <c r="C464" i="15"/>
  <c r="A464" i="15"/>
  <c r="D463" i="15"/>
  <c r="C463" i="15"/>
  <c r="A463" i="15"/>
  <c r="D462" i="15"/>
  <c r="C462" i="15"/>
  <c r="A462" i="15"/>
  <c r="D461" i="15"/>
  <c r="C461" i="15"/>
  <c r="A461" i="15"/>
  <c r="D460" i="15"/>
  <c r="C460" i="15"/>
  <c r="A460" i="15"/>
  <c r="D459" i="15"/>
  <c r="C459" i="15"/>
  <c r="A459" i="15"/>
  <c r="D458" i="15"/>
  <c r="C458" i="15"/>
  <c r="A458" i="15"/>
  <c r="D457" i="15"/>
  <c r="C457" i="15"/>
  <c r="A457" i="15"/>
  <c r="D456" i="15"/>
  <c r="C456" i="15"/>
  <c r="A456" i="15"/>
  <c r="D455" i="15"/>
  <c r="C455" i="15"/>
  <c r="A455" i="15"/>
  <c r="D454" i="15"/>
  <c r="C454" i="15"/>
  <c r="A454" i="15"/>
  <c r="D453" i="15"/>
  <c r="C453" i="15"/>
  <c r="A453" i="15"/>
  <c r="D452" i="15"/>
  <c r="C452" i="15"/>
  <c r="A452" i="15"/>
  <c r="D451" i="15"/>
  <c r="C451" i="15"/>
  <c r="A451" i="15"/>
  <c r="D450" i="15"/>
  <c r="C450" i="15"/>
  <c r="A450" i="15"/>
  <c r="D449" i="15"/>
  <c r="C449" i="15"/>
  <c r="A449" i="15"/>
  <c r="D448" i="15"/>
  <c r="C448" i="15"/>
  <c r="A448" i="15"/>
  <c r="D447" i="15"/>
  <c r="C447" i="15"/>
  <c r="A447" i="15"/>
  <c r="D446" i="15"/>
  <c r="C446" i="15"/>
  <c r="A446" i="15"/>
  <c r="D445" i="15"/>
  <c r="C445" i="15"/>
  <c r="A445" i="15"/>
  <c r="D444" i="15"/>
  <c r="C444" i="15"/>
  <c r="A444" i="15"/>
  <c r="D443" i="15"/>
  <c r="C443" i="15"/>
  <c r="A443" i="15"/>
  <c r="D442" i="15"/>
  <c r="C442" i="15"/>
  <c r="A442" i="15"/>
  <c r="D441" i="15"/>
  <c r="C441" i="15"/>
  <c r="A441" i="15"/>
  <c r="D440" i="15"/>
  <c r="C440" i="15"/>
  <c r="A440" i="15"/>
  <c r="D439" i="15"/>
  <c r="C439" i="15"/>
  <c r="A439" i="15"/>
  <c r="D438" i="15"/>
  <c r="C438" i="15"/>
  <c r="A438" i="15"/>
  <c r="D437" i="15"/>
  <c r="C437" i="15"/>
  <c r="A437" i="15"/>
  <c r="D436" i="15"/>
  <c r="C436" i="15"/>
  <c r="A436" i="15"/>
  <c r="D435" i="15"/>
  <c r="C435" i="15"/>
  <c r="A435" i="15"/>
  <c r="D434" i="15"/>
  <c r="C434" i="15"/>
  <c r="A434" i="15"/>
  <c r="D433" i="15"/>
  <c r="C433" i="15"/>
  <c r="A433" i="15"/>
  <c r="D432" i="15"/>
  <c r="C432" i="15"/>
  <c r="A432" i="15"/>
  <c r="D431" i="15"/>
  <c r="C431" i="15"/>
  <c r="A431" i="15"/>
  <c r="D430" i="15"/>
  <c r="C430" i="15"/>
  <c r="A430" i="15"/>
  <c r="D429" i="15"/>
  <c r="C429" i="15"/>
  <c r="A429" i="15"/>
  <c r="D428" i="15"/>
  <c r="C428" i="15"/>
  <c r="A428" i="15"/>
  <c r="D427" i="15"/>
  <c r="C427" i="15"/>
  <c r="A427" i="15"/>
  <c r="D426" i="15"/>
  <c r="C426" i="15"/>
  <c r="A426" i="15"/>
  <c r="D425" i="15"/>
  <c r="C425" i="15"/>
  <c r="A425" i="15"/>
  <c r="D424" i="15"/>
  <c r="C424" i="15"/>
  <c r="A424" i="15"/>
  <c r="D423" i="15"/>
  <c r="C423" i="15"/>
  <c r="A423" i="15"/>
  <c r="D422" i="15"/>
  <c r="C422" i="15"/>
  <c r="A422" i="15"/>
  <c r="D421" i="15"/>
  <c r="C421" i="15"/>
  <c r="A421" i="15"/>
  <c r="D420" i="15"/>
  <c r="C420" i="15"/>
  <c r="A420" i="15"/>
  <c r="D419" i="15"/>
  <c r="C419" i="15"/>
  <c r="A419" i="15"/>
  <c r="D418" i="15"/>
  <c r="C418" i="15"/>
  <c r="A418" i="15"/>
  <c r="D417" i="15"/>
  <c r="C417" i="15"/>
  <c r="A417" i="15"/>
  <c r="D416" i="15"/>
  <c r="C416" i="15"/>
  <c r="A416" i="15"/>
  <c r="D415" i="15"/>
  <c r="C415" i="15"/>
  <c r="A415" i="15"/>
  <c r="D414" i="15"/>
  <c r="C414" i="15"/>
  <c r="A414" i="15"/>
  <c r="D413" i="15"/>
  <c r="C413" i="15"/>
  <c r="A413" i="15"/>
  <c r="D412" i="15"/>
  <c r="C412" i="15"/>
  <c r="A412" i="15"/>
  <c r="D411" i="15"/>
  <c r="C411" i="15"/>
  <c r="A411" i="15"/>
  <c r="D410" i="15"/>
  <c r="C410" i="15"/>
  <c r="A410" i="15"/>
  <c r="D409" i="15"/>
  <c r="C409" i="15"/>
  <c r="A409" i="15"/>
  <c r="D408" i="15"/>
  <c r="C408" i="15"/>
  <c r="A408" i="15"/>
  <c r="D407" i="15"/>
  <c r="C407" i="15"/>
  <c r="A407" i="15"/>
  <c r="D406" i="15"/>
  <c r="C406" i="15"/>
  <c r="A406" i="15"/>
  <c r="D405" i="15"/>
  <c r="C405" i="15"/>
  <c r="A405" i="15"/>
  <c r="D404" i="15"/>
  <c r="C404" i="15"/>
  <c r="A404" i="15"/>
  <c r="D403" i="15"/>
  <c r="C403" i="15"/>
  <c r="A403" i="15"/>
  <c r="D402" i="15"/>
  <c r="C402" i="15"/>
  <c r="A402" i="15"/>
  <c r="D401" i="15"/>
  <c r="C401" i="15"/>
  <c r="A401" i="15"/>
  <c r="D400" i="15"/>
  <c r="C400" i="15"/>
  <c r="A400" i="15"/>
  <c r="D399" i="15"/>
  <c r="C399" i="15"/>
  <c r="A399" i="15"/>
  <c r="D398" i="15"/>
  <c r="C398" i="15"/>
  <c r="A398" i="15"/>
  <c r="D397" i="15"/>
  <c r="C397" i="15"/>
  <c r="A397" i="15"/>
  <c r="D396" i="15"/>
  <c r="C396" i="15"/>
  <c r="A396" i="15"/>
  <c r="D395" i="15"/>
  <c r="C395" i="15"/>
  <c r="A395" i="15"/>
  <c r="D394" i="15"/>
  <c r="C394" i="15"/>
  <c r="A394" i="15"/>
  <c r="D393" i="15"/>
  <c r="C393" i="15"/>
  <c r="A393" i="15"/>
  <c r="D392" i="15"/>
  <c r="C392" i="15"/>
  <c r="A392" i="15"/>
  <c r="D391" i="15"/>
  <c r="C391" i="15"/>
  <c r="A391" i="15"/>
  <c r="D390" i="15"/>
  <c r="C390" i="15"/>
  <c r="A390" i="15"/>
  <c r="D389" i="15"/>
  <c r="C389" i="15"/>
  <c r="A389" i="15"/>
  <c r="D388" i="15"/>
  <c r="C388" i="15"/>
  <c r="A388" i="15"/>
  <c r="D387" i="15"/>
  <c r="C387" i="15"/>
  <c r="A387" i="15"/>
  <c r="D386" i="15"/>
  <c r="C386" i="15"/>
  <c r="A386" i="15"/>
  <c r="D385" i="15"/>
  <c r="C385" i="15"/>
  <c r="A385" i="15"/>
  <c r="D384" i="15"/>
  <c r="C384" i="15"/>
  <c r="A384" i="15"/>
  <c r="D383" i="15"/>
  <c r="C383" i="15"/>
  <c r="A383" i="15"/>
  <c r="D382" i="15"/>
  <c r="C382" i="15"/>
  <c r="A382" i="15"/>
  <c r="D381" i="15"/>
  <c r="C381" i="15"/>
  <c r="A381" i="15"/>
  <c r="D380" i="15"/>
  <c r="C380" i="15"/>
  <c r="A380" i="15"/>
  <c r="D379" i="15"/>
  <c r="C379" i="15"/>
  <c r="A379" i="15"/>
  <c r="D378" i="15"/>
  <c r="C378" i="15"/>
  <c r="A378" i="15"/>
  <c r="D377" i="15"/>
  <c r="C377" i="15"/>
  <c r="A377" i="15"/>
  <c r="D376" i="15"/>
  <c r="C376" i="15"/>
  <c r="A376" i="15"/>
  <c r="D375" i="15"/>
  <c r="C375" i="15"/>
  <c r="A375" i="15"/>
  <c r="D374" i="15"/>
  <c r="C374" i="15"/>
  <c r="A374" i="15"/>
  <c r="D373" i="15"/>
  <c r="C373" i="15"/>
  <c r="A373" i="15"/>
  <c r="D372" i="15"/>
  <c r="C372" i="15"/>
  <c r="A372" i="15"/>
  <c r="D371" i="15"/>
  <c r="C371" i="15"/>
  <c r="A371" i="15"/>
  <c r="D370" i="15"/>
  <c r="C370" i="15"/>
  <c r="A370" i="15"/>
  <c r="D369" i="15"/>
  <c r="C369" i="15"/>
  <c r="A369" i="15"/>
  <c r="D368" i="15"/>
  <c r="C368" i="15"/>
  <c r="A368" i="15"/>
  <c r="D367" i="15"/>
  <c r="C367" i="15"/>
  <c r="A367" i="15"/>
  <c r="D366" i="15"/>
  <c r="C366" i="15"/>
  <c r="A366" i="15"/>
  <c r="D365" i="15"/>
  <c r="C365" i="15"/>
  <c r="A365" i="15"/>
  <c r="D364" i="15"/>
  <c r="C364" i="15"/>
  <c r="A364" i="15"/>
  <c r="D363" i="15"/>
  <c r="C363" i="15"/>
  <c r="A363" i="15"/>
  <c r="D362" i="15"/>
  <c r="C362" i="15"/>
  <c r="A362" i="15"/>
  <c r="D361" i="15"/>
  <c r="C361" i="15"/>
  <c r="A361" i="15"/>
  <c r="D360" i="15"/>
  <c r="C360" i="15"/>
  <c r="A360" i="15"/>
  <c r="D359" i="15"/>
  <c r="C359" i="15"/>
  <c r="A359" i="15"/>
  <c r="D358" i="15"/>
  <c r="C358" i="15"/>
  <c r="A358" i="15"/>
  <c r="D357" i="15"/>
  <c r="C357" i="15"/>
  <c r="A357" i="15"/>
  <c r="D356" i="15"/>
  <c r="C356" i="15"/>
  <c r="A356" i="15"/>
  <c r="D355" i="15"/>
  <c r="C355" i="15"/>
  <c r="A355" i="15"/>
  <c r="D354" i="15"/>
  <c r="C354" i="15"/>
  <c r="A354" i="15"/>
  <c r="D353" i="15"/>
  <c r="C353" i="15"/>
  <c r="A353" i="15"/>
  <c r="D352" i="15"/>
  <c r="C352" i="15"/>
  <c r="A352" i="15"/>
  <c r="D351" i="15"/>
  <c r="C351" i="15"/>
  <c r="A351" i="15"/>
  <c r="D350" i="15"/>
  <c r="C350" i="15"/>
  <c r="A350" i="15"/>
  <c r="D349" i="15"/>
  <c r="C349" i="15"/>
  <c r="A349" i="15"/>
  <c r="D348" i="15"/>
  <c r="C348" i="15"/>
  <c r="A348" i="15"/>
  <c r="D347" i="15"/>
  <c r="C347" i="15"/>
  <c r="A347" i="15"/>
  <c r="D346" i="15"/>
  <c r="C346" i="15"/>
  <c r="A346" i="15"/>
  <c r="D345" i="15"/>
  <c r="C345" i="15"/>
  <c r="A345" i="15"/>
  <c r="D344" i="15"/>
  <c r="C344" i="15"/>
  <c r="A344" i="15"/>
  <c r="D343" i="15"/>
  <c r="C343" i="15"/>
  <c r="A343" i="15"/>
  <c r="D342" i="15"/>
  <c r="C342" i="15"/>
  <c r="A342" i="15"/>
  <c r="D341" i="15"/>
  <c r="C341" i="15"/>
  <c r="A341" i="15"/>
  <c r="D340" i="15"/>
  <c r="C340" i="15"/>
  <c r="A340" i="15"/>
  <c r="D339" i="15"/>
  <c r="C339" i="15"/>
  <c r="A339" i="15"/>
  <c r="D338" i="15"/>
  <c r="C338" i="15"/>
  <c r="A338" i="15"/>
  <c r="D337" i="15"/>
  <c r="C337" i="15"/>
  <c r="A337" i="15"/>
  <c r="D336" i="15"/>
  <c r="C336" i="15"/>
  <c r="A336" i="15"/>
  <c r="D335" i="15"/>
  <c r="C335" i="15"/>
  <c r="A335" i="15"/>
  <c r="D334" i="15"/>
  <c r="C334" i="15"/>
  <c r="A334" i="15"/>
  <c r="D333" i="15"/>
  <c r="C333" i="15"/>
  <c r="A333" i="15"/>
  <c r="D332" i="15"/>
  <c r="C332" i="15"/>
  <c r="A332" i="15"/>
  <c r="D331" i="15"/>
  <c r="C331" i="15"/>
  <c r="A331" i="15"/>
  <c r="D330" i="15"/>
  <c r="C330" i="15"/>
  <c r="A330" i="15"/>
  <c r="D329" i="15"/>
  <c r="C329" i="15"/>
  <c r="A329" i="15"/>
  <c r="D328" i="15"/>
  <c r="C328" i="15"/>
  <c r="A328" i="15"/>
  <c r="D327" i="15"/>
  <c r="C327" i="15"/>
  <c r="A327" i="15"/>
  <c r="D326" i="15"/>
  <c r="C326" i="15"/>
  <c r="A326" i="15"/>
  <c r="D325" i="15"/>
  <c r="C325" i="15"/>
  <c r="A325" i="15"/>
  <c r="D324" i="15"/>
  <c r="C324" i="15"/>
  <c r="A324" i="15"/>
  <c r="D323" i="15"/>
  <c r="C323" i="15"/>
  <c r="A323" i="15"/>
  <c r="D322" i="15"/>
  <c r="C322" i="15"/>
  <c r="A322" i="15"/>
  <c r="D321" i="15"/>
  <c r="C321" i="15"/>
  <c r="A321" i="15"/>
  <c r="D320" i="15"/>
  <c r="C320" i="15"/>
  <c r="A320" i="15"/>
  <c r="D319" i="15"/>
  <c r="C319" i="15"/>
  <c r="A319" i="15"/>
  <c r="D318" i="15"/>
  <c r="C318" i="15"/>
  <c r="A318" i="15"/>
  <c r="D317" i="15"/>
  <c r="C317" i="15"/>
  <c r="A317" i="15"/>
  <c r="D316" i="15"/>
  <c r="C316" i="15"/>
  <c r="A316" i="15"/>
  <c r="D315" i="15"/>
  <c r="C315" i="15"/>
  <c r="A315" i="15"/>
  <c r="D314" i="15"/>
  <c r="C314" i="15"/>
  <c r="A314" i="15"/>
  <c r="D313" i="15"/>
  <c r="C313" i="15"/>
  <c r="A313" i="15"/>
  <c r="D312" i="15"/>
  <c r="C312" i="15"/>
  <c r="A312" i="15"/>
  <c r="D311" i="15"/>
  <c r="C311" i="15"/>
  <c r="A311" i="15"/>
  <c r="D310" i="15"/>
  <c r="C310" i="15"/>
  <c r="A310" i="15"/>
  <c r="D309" i="15"/>
  <c r="C309" i="15"/>
  <c r="A309" i="15"/>
  <c r="D308" i="15"/>
  <c r="C308" i="15"/>
  <c r="A308" i="15"/>
  <c r="D307" i="15"/>
  <c r="C307" i="15"/>
  <c r="A307" i="15"/>
  <c r="D306" i="15"/>
  <c r="C306" i="15"/>
  <c r="A306" i="15"/>
  <c r="D305" i="15"/>
  <c r="C305" i="15"/>
  <c r="A305" i="15"/>
  <c r="D304" i="15"/>
  <c r="C304" i="15"/>
  <c r="A304" i="15"/>
  <c r="D303" i="15"/>
  <c r="C303" i="15"/>
  <c r="A303" i="15"/>
  <c r="D302" i="15"/>
  <c r="C302" i="15"/>
  <c r="A302" i="15"/>
  <c r="D301" i="15"/>
  <c r="C301" i="15"/>
  <c r="A301" i="15"/>
  <c r="D300" i="15"/>
  <c r="C300" i="15"/>
  <c r="A300" i="15"/>
  <c r="D299" i="15"/>
  <c r="C299" i="15"/>
  <c r="A299" i="15"/>
  <c r="D298" i="15"/>
  <c r="C298" i="15"/>
  <c r="A298" i="15"/>
  <c r="D297" i="15"/>
  <c r="C297" i="15"/>
  <c r="A297" i="15"/>
  <c r="D296" i="15"/>
  <c r="C296" i="15"/>
  <c r="A296" i="15"/>
  <c r="D295" i="15"/>
  <c r="C295" i="15"/>
  <c r="A295" i="15"/>
  <c r="D294" i="15"/>
  <c r="C294" i="15"/>
  <c r="A294" i="15"/>
  <c r="D293" i="15"/>
  <c r="C293" i="15"/>
  <c r="A293" i="15"/>
  <c r="D292" i="15"/>
  <c r="C292" i="15"/>
  <c r="A292" i="15"/>
  <c r="D291" i="15"/>
  <c r="C291" i="15"/>
  <c r="A291" i="15"/>
  <c r="D290" i="15"/>
  <c r="C290" i="15"/>
  <c r="A290" i="15"/>
  <c r="D289" i="15"/>
  <c r="C289" i="15"/>
  <c r="A289" i="15"/>
  <c r="D288" i="15"/>
  <c r="C288" i="15"/>
  <c r="A288" i="15"/>
  <c r="D287" i="15"/>
  <c r="C287" i="15"/>
  <c r="A287" i="15"/>
  <c r="D286" i="15"/>
  <c r="C286" i="15"/>
  <c r="A286" i="15"/>
  <c r="D285" i="15"/>
  <c r="C285" i="15"/>
  <c r="A285" i="15"/>
  <c r="D284" i="15"/>
  <c r="C284" i="15"/>
  <c r="A284" i="15"/>
  <c r="D283" i="15"/>
  <c r="C283" i="15"/>
  <c r="A283" i="15"/>
  <c r="D282" i="15"/>
  <c r="C282" i="15"/>
  <c r="A282" i="15"/>
  <c r="D281" i="15"/>
  <c r="C281" i="15"/>
  <c r="A281" i="15"/>
  <c r="D280" i="15"/>
  <c r="C280" i="15"/>
  <c r="A280" i="15"/>
  <c r="D279" i="15"/>
  <c r="C279" i="15"/>
  <c r="A279" i="15"/>
  <c r="D278" i="15"/>
  <c r="C278" i="15"/>
  <c r="A278" i="15"/>
  <c r="D277" i="15"/>
  <c r="C277" i="15"/>
  <c r="A277" i="15"/>
  <c r="D276" i="15"/>
  <c r="C276" i="15"/>
  <c r="A276" i="15"/>
  <c r="D275" i="15"/>
  <c r="C275" i="15"/>
  <c r="A275" i="15"/>
  <c r="D274" i="15"/>
  <c r="C274" i="15"/>
  <c r="A274" i="15"/>
  <c r="D273" i="15"/>
  <c r="C273" i="15"/>
  <c r="A273" i="15"/>
  <c r="D272" i="15"/>
  <c r="C272" i="15"/>
  <c r="A272" i="15"/>
  <c r="D271" i="15"/>
  <c r="C271" i="15"/>
  <c r="A271" i="15"/>
  <c r="D270" i="15"/>
  <c r="C270" i="15"/>
  <c r="A270" i="15"/>
  <c r="D269" i="15"/>
  <c r="C269" i="15"/>
  <c r="A269" i="15"/>
  <c r="D268" i="15"/>
  <c r="C268" i="15"/>
  <c r="A268" i="15"/>
  <c r="D267" i="15"/>
  <c r="C267" i="15"/>
  <c r="A267" i="15"/>
  <c r="D266" i="15"/>
  <c r="C266" i="15"/>
  <c r="A266" i="15"/>
  <c r="D265" i="15"/>
  <c r="C265" i="15"/>
  <c r="A265" i="15"/>
  <c r="D264" i="15"/>
  <c r="C264" i="15"/>
  <c r="A264" i="15"/>
  <c r="D263" i="15"/>
  <c r="C263" i="15"/>
  <c r="A263" i="15"/>
  <c r="D262" i="15"/>
  <c r="C262" i="15"/>
  <c r="A262" i="15"/>
  <c r="D261" i="15"/>
  <c r="C261" i="15"/>
  <c r="A261" i="15"/>
  <c r="D260" i="15"/>
  <c r="C260" i="15"/>
  <c r="A260" i="15"/>
  <c r="D259" i="15"/>
  <c r="C259" i="15"/>
  <c r="A259" i="15"/>
  <c r="D258" i="15"/>
  <c r="C258" i="15"/>
  <c r="A258" i="15"/>
  <c r="D257" i="15"/>
  <c r="C257" i="15"/>
  <c r="A257" i="15"/>
  <c r="D256" i="15"/>
  <c r="C256" i="15"/>
  <c r="A256" i="15"/>
  <c r="D255" i="15"/>
  <c r="C255" i="15"/>
  <c r="A255" i="15"/>
  <c r="D254" i="15"/>
  <c r="C254" i="15"/>
  <c r="A254" i="15"/>
  <c r="D253" i="15"/>
  <c r="C253" i="15"/>
  <c r="A253" i="15"/>
  <c r="D252" i="15"/>
  <c r="C252" i="15"/>
  <c r="A252" i="15"/>
  <c r="D251" i="15"/>
  <c r="C251" i="15"/>
  <c r="A251" i="15"/>
  <c r="D250" i="15"/>
  <c r="C250" i="15"/>
  <c r="A250" i="15"/>
  <c r="D249" i="15"/>
  <c r="C249" i="15"/>
  <c r="A249" i="15"/>
  <c r="D248" i="15"/>
  <c r="C248" i="15"/>
  <c r="A248" i="15"/>
  <c r="D247" i="15"/>
  <c r="C247" i="15"/>
  <c r="A247" i="15"/>
  <c r="D246" i="15"/>
  <c r="C246" i="15"/>
  <c r="A246" i="15"/>
  <c r="D245" i="15"/>
  <c r="C245" i="15"/>
  <c r="A245" i="15"/>
  <c r="D244" i="15"/>
  <c r="C244" i="15"/>
  <c r="A244" i="15"/>
  <c r="D243" i="15"/>
  <c r="C243" i="15"/>
  <c r="A243" i="15"/>
  <c r="D242" i="15"/>
  <c r="C242" i="15"/>
  <c r="A242" i="15"/>
  <c r="D241" i="15"/>
  <c r="C241" i="15"/>
  <c r="A241" i="15"/>
  <c r="D240" i="15"/>
  <c r="C240" i="15"/>
  <c r="A240" i="15"/>
  <c r="D239" i="15"/>
  <c r="C239" i="15"/>
  <c r="A239" i="15"/>
  <c r="D238" i="15"/>
  <c r="C238" i="15"/>
  <c r="A238" i="15"/>
  <c r="D237" i="15"/>
  <c r="C237" i="15"/>
  <c r="A237" i="15"/>
  <c r="D236" i="15"/>
  <c r="C236" i="15"/>
  <c r="A236" i="15"/>
  <c r="D235" i="15"/>
  <c r="C235" i="15"/>
  <c r="A235" i="15"/>
  <c r="D234" i="15"/>
  <c r="C234" i="15"/>
  <c r="A234" i="15"/>
  <c r="D233" i="15"/>
  <c r="C233" i="15"/>
  <c r="A233" i="15"/>
  <c r="D232" i="15"/>
  <c r="C232" i="15"/>
  <c r="A232" i="15"/>
  <c r="D231" i="15"/>
  <c r="C231" i="15"/>
  <c r="A231" i="15"/>
  <c r="D230" i="15"/>
  <c r="C230" i="15"/>
  <c r="A230" i="15"/>
  <c r="D229" i="15"/>
  <c r="C229" i="15"/>
  <c r="A229" i="15"/>
  <c r="D228" i="15"/>
  <c r="C228" i="15"/>
  <c r="A228" i="15"/>
  <c r="D227" i="15"/>
  <c r="C227" i="15"/>
  <c r="A227" i="15"/>
  <c r="D226" i="15"/>
  <c r="C226" i="15"/>
  <c r="A226" i="15"/>
  <c r="D225" i="15"/>
  <c r="C225" i="15"/>
  <c r="A225" i="15"/>
  <c r="D224" i="15"/>
  <c r="C224" i="15"/>
  <c r="A224" i="15"/>
  <c r="D223" i="15"/>
  <c r="C223" i="15"/>
  <c r="A223" i="15"/>
  <c r="D222" i="15"/>
  <c r="C222" i="15"/>
  <c r="A222" i="15"/>
  <c r="D221" i="15"/>
  <c r="C221" i="15"/>
  <c r="A221" i="15"/>
  <c r="D220" i="15"/>
  <c r="C220" i="15"/>
  <c r="A220" i="15"/>
  <c r="D219" i="15"/>
  <c r="C219" i="15"/>
  <c r="A219" i="15"/>
  <c r="D218" i="15"/>
  <c r="C218" i="15"/>
  <c r="A218" i="15"/>
  <c r="D217" i="15"/>
  <c r="C217" i="15"/>
  <c r="A217" i="15"/>
  <c r="D216" i="15"/>
  <c r="C216" i="15"/>
  <c r="A216" i="15"/>
  <c r="D215" i="15"/>
  <c r="C215" i="15"/>
  <c r="A215" i="15"/>
  <c r="D214" i="15"/>
  <c r="C214" i="15"/>
  <c r="A214" i="15"/>
  <c r="D213" i="15"/>
  <c r="C213" i="15"/>
  <c r="A213" i="15"/>
  <c r="D212" i="15"/>
  <c r="C212" i="15"/>
  <c r="A212" i="15"/>
  <c r="D211" i="15"/>
  <c r="C211" i="15"/>
  <c r="A211" i="15"/>
  <c r="D210" i="15"/>
  <c r="C210" i="15"/>
  <c r="A210" i="15"/>
  <c r="D209" i="15"/>
  <c r="C209" i="15"/>
  <c r="A209" i="15"/>
  <c r="D208" i="15"/>
  <c r="C208" i="15"/>
  <c r="A208" i="15"/>
  <c r="D207" i="15"/>
  <c r="C207" i="15"/>
  <c r="A207" i="15"/>
  <c r="D206" i="15"/>
  <c r="C206" i="15"/>
  <c r="A206" i="15"/>
  <c r="D205" i="15"/>
  <c r="C205" i="15"/>
  <c r="A205" i="15"/>
  <c r="D204" i="15"/>
  <c r="C204" i="15"/>
  <c r="A204" i="15"/>
  <c r="D203" i="15"/>
  <c r="C203" i="15"/>
  <c r="A203" i="15"/>
  <c r="D202" i="15"/>
  <c r="C202" i="15"/>
  <c r="A202" i="15"/>
  <c r="D201" i="15"/>
  <c r="C201" i="15"/>
  <c r="A201" i="15"/>
  <c r="D200" i="15"/>
  <c r="C200" i="15"/>
  <c r="A200" i="15"/>
  <c r="D199" i="15"/>
  <c r="C199" i="15"/>
  <c r="A199" i="15"/>
  <c r="D198" i="15"/>
  <c r="C198" i="15"/>
  <c r="A198" i="15"/>
  <c r="D197" i="15"/>
  <c r="C197" i="15"/>
  <c r="A197" i="15"/>
  <c r="D196" i="15"/>
  <c r="C196" i="15"/>
  <c r="A196" i="15"/>
  <c r="D195" i="15"/>
  <c r="C195" i="15"/>
  <c r="A195" i="15"/>
  <c r="D194" i="15"/>
  <c r="C194" i="15"/>
  <c r="A194" i="15"/>
  <c r="D193" i="15"/>
  <c r="C193" i="15"/>
  <c r="A193" i="15"/>
  <c r="D192" i="15"/>
  <c r="C192" i="15"/>
  <c r="A192" i="15"/>
  <c r="D191" i="15"/>
  <c r="C191" i="15"/>
  <c r="A191" i="15"/>
  <c r="D190" i="15"/>
  <c r="C190" i="15"/>
  <c r="A190" i="15"/>
  <c r="D189" i="15"/>
  <c r="C189" i="15"/>
  <c r="A189" i="15"/>
  <c r="D188" i="15"/>
  <c r="C188" i="15"/>
  <c r="A188" i="15"/>
  <c r="D187" i="15"/>
  <c r="C187" i="15"/>
  <c r="A187" i="15"/>
  <c r="D186" i="15"/>
  <c r="C186" i="15"/>
  <c r="A186" i="15"/>
  <c r="D185" i="15"/>
  <c r="C185" i="15"/>
  <c r="A185" i="15"/>
  <c r="D184" i="15"/>
  <c r="C184" i="15"/>
  <c r="A184" i="15"/>
  <c r="D183" i="15"/>
  <c r="C183" i="15"/>
  <c r="A183" i="15"/>
  <c r="D182" i="15"/>
  <c r="C182" i="15"/>
  <c r="A182" i="15"/>
  <c r="D181" i="15"/>
  <c r="C181" i="15"/>
  <c r="A181" i="15"/>
  <c r="D180" i="15"/>
  <c r="C180" i="15"/>
  <c r="A180" i="15"/>
  <c r="D179" i="15"/>
  <c r="C179" i="15"/>
  <c r="A179" i="15"/>
  <c r="D178" i="15"/>
  <c r="C178" i="15"/>
  <c r="A178" i="15"/>
  <c r="D177" i="15"/>
  <c r="C177" i="15"/>
  <c r="A177" i="15"/>
  <c r="D176" i="15"/>
  <c r="C176" i="15"/>
  <c r="A176" i="15"/>
  <c r="D175" i="15"/>
  <c r="C175" i="15"/>
  <c r="A175" i="15"/>
  <c r="D174" i="15"/>
  <c r="C174" i="15"/>
  <c r="A174" i="15"/>
  <c r="D173" i="15"/>
  <c r="C173" i="15"/>
  <c r="A173" i="15"/>
  <c r="D172" i="15"/>
  <c r="C172" i="15"/>
  <c r="A172" i="15"/>
  <c r="D171" i="15"/>
  <c r="C171" i="15"/>
  <c r="A171" i="15"/>
  <c r="D170" i="15"/>
  <c r="C170" i="15"/>
  <c r="A170" i="15"/>
  <c r="D169" i="15"/>
  <c r="C169" i="15"/>
  <c r="A169" i="15"/>
  <c r="D168" i="15"/>
  <c r="C168" i="15"/>
  <c r="A168" i="15"/>
  <c r="D167" i="15"/>
  <c r="C167" i="15"/>
  <c r="A167" i="15"/>
  <c r="D166" i="15"/>
  <c r="C166" i="15"/>
  <c r="A166" i="15"/>
  <c r="D165" i="15"/>
  <c r="C165" i="15"/>
  <c r="A165" i="15"/>
  <c r="D164" i="15"/>
  <c r="C164" i="15"/>
  <c r="A164" i="15"/>
  <c r="D163" i="15"/>
  <c r="C163" i="15"/>
  <c r="A163" i="15"/>
  <c r="D162" i="15"/>
  <c r="C162" i="15"/>
  <c r="A162" i="15"/>
  <c r="D161" i="15"/>
  <c r="C161" i="15"/>
  <c r="A161" i="15"/>
  <c r="D160" i="15"/>
  <c r="C160" i="15"/>
  <c r="A160" i="15"/>
  <c r="D159" i="15"/>
  <c r="C159" i="15"/>
  <c r="A159" i="15"/>
  <c r="D158" i="15"/>
  <c r="C158" i="15"/>
  <c r="A158" i="15"/>
  <c r="D157" i="15"/>
  <c r="C157" i="15"/>
  <c r="A157" i="15"/>
  <c r="D156" i="15"/>
  <c r="C156" i="15"/>
  <c r="A156" i="15"/>
  <c r="D155" i="15"/>
  <c r="C155" i="15"/>
  <c r="A155" i="15"/>
  <c r="D154" i="15"/>
  <c r="C154" i="15"/>
  <c r="A154" i="15"/>
  <c r="D153" i="15"/>
  <c r="C153" i="15"/>
  <c r="A153" i="15"/>
  <c r="D152" i="15"/>
  <c r="C152" i="15"/>
  <c r="A152" i="15"/>
  <c r="D151" i="15"/>
  <c r="C151" i="15"/>
  <c r="A151" i="15"/>
  <c r="D150" i="15"/>
  <c r="C150" i="15"/>
  <c r="A150" i="15"/>
  <c r="D149" i="15"/>
  <c r="C149" i="15"/>
  <c r="A149" i="15"/>
  <c r="D148" i="15"/>
  <c r="C148" i="15"/>
  <c r="A148" i="15"/>
  <c r="D147" i="15"/>
  <c r="C147" i="15"/>
  <c r="A147" i="15"/>
  <c r="D146" i="15"/>
  <c r="C146" i="15"/>
  <c r="A146" i="15"/>
  <c r="D145" i="15"/>
  <c r="C145" i="15"/>
  <c r="A145" i="15"/>
  <c r="D144" i="15"/>
  <c r="C144" i="15"/>
  <c r="A144" i="15"/>
  <c r="D143" i="15"/>
  <c r="C143" i="15"/>
  <c r="A143" i="15"/>
  <c r="D142" i="15"/>
  <c r="C142" i="15"/>
  <c r="A142" i="15"/>
  <c r="D141" i="15"/>
  <c r="C141" i="15"/>
  <c r="A141" i="15"/>
  <c r="D140" i="15"/>
  <c r="C140" i="15"/>
  <c r="A140" i="15"/>
  <c r="D139" i="15"/>
  <c r="C139" i="15"/>
  <c r="A139" i="15"/>
  <c r="D138" i="15"/>
  <c r="C138" i="15"/>
  <c r="A138" i="15"/>
  <c r="D137" i="15"/>
  <c r="C137" i="15"/>
  <c r="A137" i="15"/>
  <c r="D136" i="15"/>
  <c r="C136" i="15"/>
  <c r="A136" i="15"/>
  <c r="D135" i="15"/>
  <c r="C135" i="15"/>
  <c r="A135" i="15"/>
  <c r="D134" i="15"/>
  <c r="C134" i="15"/>
  <c r="A134" i="15"/>
  <c r="D133" i="15"/>
  <c r="C133" i="15"/>
  <c r="A133" i="15"/>
  <c r="D132" i="15"/>
  <c r="C132" i="15"/>
  <c r="A132" i="15"/>
  <c r="D131" i="15"/>
  <c r="C131" i="15"/>
  <c r="A131" i="15"/>
  <c r="D130" i="15"/>
  <c r="C130" i="15"/>
  <c r="A130" i="15"/>
  <c r="D129" i="15"/>
  <c r="C129" i="15"/>
  <c r="A129" i="15"/>
  <c r="D128" i="15"/>
  <c r="C128" i="15"/>
  <c r="A128" i="15"/>
  <c r="D127" i="15"/>
  <c r="C127" i="15"/>
  <c r="A127" i="15"/>
  <c r="D126" i="15"/>
  <c r="C126" i="15"/>
  <c r="A126" i="15"/>
  <c r="D125" i="15"/>
  <c r="C125" i="15"/>
  <c r="A125" i="15"/>
  <c r="D124" i="15"/>
  <c r="C124" i="15"/>
  <c r="A124" i="15"/>
  <c r="D123" i="15"/>
  <c r="C123" i="15"/>
  <c r="A123" i="15"/>
  <c r="D122" i="15"/>
  <c r="C122" i="15"/>
  <c r="A122" i="15"/>
  <c r="D121" i="15"/>
  <c r="C121" i="15"/>
  <c r="A121" i="15"/>
  <c r="D120" i="15"/>
  <c r="C120" i="15"/>
  <c r="A120" i="15"/>
  <c r="D119" i="15"/>
  <c r="C119" i="15"/>
  <c r="A119" i="15"/>
  <c r="D118" i="15"/>
  <c r="C118" i="15"/>
  <c r="A118" i="15"/>
  <c r="D117" i="15"/>
  <c r="C117" i="15"/>
  <c r="A117" i="15"/>
  <c r="D116" i="15"/>
  <c r="C116" i="15"/>
  <c r="A116" i="15"/>
  <c r="D115" i="15"/>
  <c r="C115" i="15"/>
  <c r="A115" i="15"/>
  <c r="D114" i="15"/>
  <c r="C114" i="15"/>
  <c r="A114" i="15"/>
  <c r="D113" i="15"/>
  <c r="C113" i="15"/>
  <c r="A113" i="15"/>
  <c r="D112" i="15"/>
  <c r="C112" i="15"/>
  <c r="A112" i="15"/>
  <c r="D111" i="15"/>
  <c r="C111" i="15"/>
  <c r="A111" i="15"/>
  <c r="D110" i="15"/>
  <c r="C110" i="15"/>
  <c r="A110" i="15"/>
  <c r="D109" i="15"/>
  <c r="C109" i="15"/>
  <c r="A109" i="15"/>
  <c r="D108" i="15"/>
  <c r="C108" i="15"/>
  <c r="A108" i="15"/>
  <c r="D107" i="15"/>
  <c r="C107" i="15"/>
  <c r="A107" i="15"/>
  <c r="D106" i="15"/>
  <c r="C106" i="15"/>
  <c r="A106" i="15"/>
  <c r="D105" i="15"/>
  <c r="C105" i="15"/>
  <c r="A105" i="15"/>
  <c r="D104" i="15"/>
  <c r="C104" i="15"/>
  <c r="A104" i="15"/>
  <c r="D103" i="15"/>
  <c r="C103" i="15"/>
  <c r="A103" i="15"/>
  <c r="D102" i="15"/>
  <c r="C102" i="15"/>
  <c r="A102" i="15"/>
  <c r="D101" i="15"/>
  <c r="C101" i="15"/>
  <c r="A101" i="15"/>
  <c r="D100" i="15"/>
  <c r="C100" i="15"/>
  <c r="A100" i="15"/>
  <c r="D99" i="15"/>
  <c r="C99" i="15"/>
  <c r="A99" i="15"/>
  <c r="D98" i="15"/>
  <c r="C98" i="15"/>
  <c r="A98" i="15"/>
  <c r="D97" i="15"/>
  <c r="C97" i="15"/>
  <c r="A97" i="15"/>
  <c r="D96" i="15"/>
  <c r="C96" i="15"/>
  <c r="A96" i="15"/>
  <c r="D95" i="15"/>
  <c r="C95" i="15"/>
  <c r="A95" i="15"/>
  <c r="D94" i="15"/>
  <c r="C94" i="15"/>
  <c r="A94" i="15"/>
  <c r="D93" i="15"/>
  <c r="C93" i="15"/>
  <c r="A93" i="15"/>
  <c r="D92" i="15"/>
  <c r="C92" i="15"/>
  <c r="A92" i="15"/>
  <c r="D91" i="15"/>
  <c r="C91" i="15"/>
  <c r="A91" i="15"/>
  <c r="D90" i="15"/>
  <c r="C90" i="15"/>
  <c r="A90" i="15"/>
  <c r="D89" i="15"/>
  <c r="C89" i="15"/>
  <c r="A89" i="15"/>
  <c r="D88" i="15"/>
  <c r="C88" i="15"/>
  <c r="A88" i="15"/>
  <c r="D87" i="15"/>
  <c r="C87" i="15"/>
  <c r="A87" i="15"/>
  <c r="D86" i="15"/>
  <c r="C86" i="15"/>
  <c r="A86" i="15"/>
  <c r="D85" i="15"/>
  <c r="C85" i="15"/>
  <c r="A85" i="15"/>
  <c r="D84" i="15"/>
  <c r="C84" i="15"/>
  <c r="A84" i="15"/>
  <c r="D83" i="15"/>
  <c r="C83" i="15"/>
  <c r="A83" i="15"/>
  <c r="D82" i="15"/>
  <c r="C82" i="15"/>
  <c r="A82" i="15"/>
  <c r="D81" i="15"/>
  <c r="C81" i="15"/>
  <c r="A81" i="15"/>
  <c r="D80" i="15"/>
  <c r="C80" i="15"/>
  <c r="A80" i="15"/>
  <c r="D79" i="15"/>
  <c r="C79" i="15"/>
  <c r="A79" i="15"/>
  <c r="D78" i="15"/>
  <c r="C78" i="15"/>
  <c r="A78" i="15"/>
  <c r="D77" i="15"/>
  <c r="C77" i="15"/>
  <c r="A77" i="15"/>
  <c r="D76" i="15"/>
  <c r="C76" i="15"/>
  <c r="A76" i="15"/>
  <c r="D75" i="15"/>
  <c r="C75" i="15"/>
  <c r="A75" i="15"/>
  <c r="D74" i="15"/>
  <c r="C74" i="15"/>
  <c r="A74" i="15"/>
  <c r="D73" i="15"/>
  <c r="C73" i="15"/>
  <c r="A73" i="15"/>
  <c r="D72" i="15"/>
  <c r="C72" i="15"/>
  <c r="A72" i="15"/>
  <c r="D71" i="15"/>
  <c r="C71" i="15"/>
  <c r="A71" i="15"/>
  <c r="D70" i="15"/>
  <c r="C70" i="15"/>
  <c r="A70" i="15"/>
  <c r="D69" i="15"/>
  <c r="C69" i="15"/>
  <c r="A69" i="15"/>
  <c r="D68" i="15"/>
  <c r="C68" i="15"/>
  <c r="A68" i="15"/>
  <c r="D67" i="15"/>
  <c r="C67" i="15"/>
  <c r="A67" i="15"/>
  <c r="D66" i="15"/>
  <c r="C66" i="15"/>
  <c r="A66" i="15"/>
  <c r="D65" i="15"/>
  <c r="C65" i="15"/>
  <c r="A65" i="15"/>
  <c r="D64" i="15"/>
  <c r="C64" i="15"/>
  <c r="A64" i="15"/>
  <c r="D63" i="15"/>
  <c r="C63" i="15"/>
  <c r="A63" i="15"/>
  <c r="D62" i="15"/>
  <c r="C62" i="15"/>
  <c r="A62" i="15"/>
  <c r="D61" i="15"/>
  <c r="C61" i="15"/>
  <c r="A61" i="15"/>
  <c r="D60" i="15"/>
  <c r="C60" i="15"/>
  <c r="A60" i="15"/>
  <c r="D59" i="15"/>
  <c r="C59" i="15"/>
  <c r="A59" i="15"/>
  <c r="D58" i="15"/>
  <c r="C58" i="15"/>
  <c r="A58" i="15"/>
  <c r="D57" i="15"/>
  <c r="C57" i="15"/>
  <c r="A57" i="15"/>
  <c r="D56" i="15"/>
  <c r="C56" i="15"/>
  <c r="A56" i="15"/>
  <c r="D55" i="15"/>
  <c r="C55" i="15"/>
  <c r="A55" i="15"/>
  <c r="D54" i="15"/>
  <c r="C54" i="15"/>
  <c r="A54" i="15"/>
  <c r="D53" i="15"/>
  <c r="C53" i="15"/>
  <c r="A53" i="15"/>
  <c r="D52" i="15"/>
  <c r="C52" i="15"/>
  <c r="A52" i="15"/>
  <c r="D51" i="15"/>
  <c r="C51" i="15"/>
  <c r="A51" i="15"/>
  <c r="D50" i="15"/>
  <c r="C50" i="15"/>
  <c r="A50" i="15"/>
  <c r="D49" i="15"/>
  <c r="C49" i="15"/>
  <c r="A49" i="15"/>
  <c r="D48" i="15"/>
  <c r="C48" i="15"/>
  <c r="A48" i="15"/>
  <c r="D47" i="15"/>
  <c r="C47" i="15"/>
  <c r="A47" i="15"/>
  <c r="D46" i="15"/>
  <c r="C46" i="15"/>
  <c r="A46" i="15"/>
  <c r="D45" i="15"/>
  <c r="C45" i="15"/>
  <c r="A45" i="15"/>
  <c r="D44" i="15"/>
  <c r="C44" i="15"/>
  <c r="A44" i="15"/>
  <c r="D43" i="15"/>
  <c r="C43" i="15"/>
  <c r="A43" i="15"/>
  <c r="D42" i="15"/>
  <c r="C42" i="15"/>
  <c r="A42" i="15"/>
  <c r="D41" i="15"/>
  <c r="C41" i="15"/>
  <c r="A41" i="15"/>
  <c r="D40" i="15"/>
  <c r="C40" i="15"/>
  <c r="A40" i="15"/>
  <c r="D39" i="15"/>
  <c r="C39" i="15"/>
  <c r="A39" i="15"/>
  <c r="D38" i="15"/>
  <c r="C38" i="15"/>
  <c r="A38" i="15"/>
  <c r="D37" i="15"/>
  <c r="C37" i="15"/>
  <c r="A37" i="15"/>
  <c r="D36" i="15"/>
  <c r="C36" i="15"/>
  <c r="A36" i="15"/>
  <c r="D35" i="15"/>
  <c r="C35" i="15"/>
  <c r="A35" i="15"/>
  <c r="D34" i="15"/>
  <c r="C34" i="15"/>
  <c r="A34" i="15"/>
  <c r="D33" i="15"/>
  <c r="C33" i="15"/>
  <c r="A33" i="15"/>
  <c r="D32" i="15"/>
  <c r="C32" i="15"/>
  <c r="A32" i="15"/>
  <c r="D31" i="15"/>
  <c r="C31" i="15"/>
  <c r="A31" i="15"/>
  <c r="D30" i="15"/>
  <c r="C30" i="15"/>
  <c r="A30" i="15"/>
  <c r="D29" i="15"/>
  <c r="C29" i="15"/>
  <c r="A29" i="15"/>
  <c r="D28" i="15"/>
  <c r="C28" i="15"/>
  <c r="A28" i="15"/>
  <c r="D27" i="15"/>
  <c r="C27" i="15"/>
  <c r="A27" i="15"/>
  <c r="D26" i="15"/>
  <c r="C26" i="15"/>
  <c r="A26" i="15"/>
  <c r="D25" i="15"/>
  <c r="C25" i="15"/>
  <c r="A25" i="15"/>
  <c r="D24" i="15"/>
  <c r="C24" i="15"/>
  <c r="A24" i="15"/>
  <c r="D23" i="15"/>
  <c r="C23" i="15"/>
  <c r="A23" i="15"/>
  <c r="D22" i="15"/>
  <c r="C22" i="15"/>
  <c r="A22" i="15"/>
  <c r="D21" i="15"/>
  <c r="C21" i="15"/>
  <c r="A21" i="15"/>
  <c r="D20" i="15"/>
  <c r="C20" i="15"/>
  <c r="A20" i="15"/>
  <c r="D19" i="15"/>
  <c r="C19" i="15"/>
  <c r="A19" i="15"/>
  <c r="D18" i="15"/>
  <c r="C18" i="15"/>
  <c r="A18" i="15"/>
  <c r="D17" i="15"/>
  <c r="C17" i="15"/>
  <c r="A17" i="15"/>
  <c r="D16" i="15"/>
  <c r="C16" i="15"/>
  <c r="A16" i="15"/>
  <c r="D15" i="15"/>
  <c r="C15" i="15"/>
  <c r="A15" i="15"/>
  <c r="D14" i="15"/>
  <c r="C14" i="15"/>
  <c r="A14" i="15"/>
  <c r="D13" i="15"/>
  <c r="C13" i="15"/>
  <c r="A13" i="15"/>
  <c r="D12" i="15"/>
  <c r="C12" i="15"/>
  <c r="A12" i="15"/>
  <c r="D11" i="15"/>
  <c r="C11" i="15"/>
  <c r="A11" i="15"/>
  <c r="D10" i="15"/>
  <c r="C10" i="15"/>
  <c r="A10" i="15"/>
  <c r="D9" i="15"/>
  <c r="C9" i="15"/>
  <c r="A9" i="15"/>
  <c r="D8" i="15"/>
  <c r="C8" i="15"/>
  <c r="A8" i="15"/>
  <c r="D7" i="15"/>
  <c r="C7" i="15"/>
  <c r="A7" i="15"/>
  <c r="D6" i="15"/>
  <c r="C6" i="15"/>
  <c r="D5" i="15"/>
  <c r="C5" i="15"/>
  <c r="A5" i="15"/>
  <c r="A6" i="15" s="1"/>
  <c r="D4" i="15"/>
  <c r="C4" i="15"/>
  <c r="D3" i="15"/>
  <c r="C3" i="15"/>
  <c r="A3" i="15"/>
  <c r="A4" i="15" s="1"/>
  <c r="D2" i="15"/>
  <c r="C2" i="15"/>
  <c r="A2" i="15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94" i="14"/>
  <c r="A95" i="14"/>
  <c r="A96" i="14"/>
  <c r="A97" i="14"/>
  <c r="A98" i="14"/>
  <c r="A99" i="14"/>
  <c r="A100" i="14"/>
  <c r="A101" i="14"/>
  <c r="A102" i="14"/>
  <c r="A103" i="14"/>
  <c r="A104" i="14"/>
  <c r="A105" i="14"/>
  <c r="A106" i="14"/>
  <c r="A107" i="14"/>
  <c r="A108" i="14"/>
  <c r="A109" i="14"/>
  <c r="A110" i="14"/>
  <c r="A111" i="14"/>
  <c r="A112" i="14"/>
  <c r="A113" i="14"/>
  <c r="A114" i="14"/>
  <c r="A115" i="14"/>
  <c r="A116" i="14"/>
  <c r="A117" i="14"/>
  <c r="A118" i="14"/>
  <c r="A119" i="14"/>
  <c r="A120" i="14"/>
  <c r="A121" i="14"/>
  <c r="A122" i="14"/>
  <c r="A123" i="14"/>
  <c r="A124" i="14"/>
  <c r="A125" i="14"/>
  <c r="A126" i="14"/>
  <c r="A127" i="14"/>
  <c r="A128" i="14"/>
  <c r="A129" i="14"/>
  <c r="A130" i="14"/>
  <c r="A131" i="14"/>
  <c r="A132" i="14"/>
  <c r="A133" i="14"/>
  <c r="A134" i="14"/>
  <c r="A135" i="14"/>
  <c r="A136" i="14"/>
  <c r="A137" i="14"/>
  <c r="A138" i="14"/>
  <c r="A139" i="14"/>
  <c r="A140" i="14"/>
  <c r="A141" i="14"/>
  <c r="A142" i="14"/>
  <c r="A143" i="14"/>
  <c r="A144" i="14"/>
  <c r="A145" i="14"/>
  <c r="A146" i="14"/>
  <c r="A147" i="14"/>
  <c r="A148" i="14"/>
  <c r="A149" i="14"/>
  <c r="A150" i="14"/>
  <c r="A151" i="14"/>
  <c r="A152" i="14"/>
  <c r="A153" i="14"/>
  <c r="A154" i="14"/>
  <c r="A155" i="14"/>
  <c r="A156" i="14"/>
  <c r="A157" i="14"/>
  <c r="A158" i="14"/>
  <c r="A159" i="14"/>
  <c r="A160" i="14"/>
  <c r="A161" i="14"/>
  <c r="A162" i="14"/>
  <c r="A163" i="14"/>
  <c r="A164" i="14"/>
  <c r="A165" i="14"/>
  <c r="A166" i="14"/>
  <c r="A167" i="14"/>
  <c r="A168" i="14"/>
  <c r="A169" i="14"/>
  <c r="A170" i="14"/>
  <c r="A171" i="14"/>
  <c r="A172" i="14"/>
  <c r="A173" i="14"/>
  <c r="A174" i="14"/>
  <c r="A175" i="14"/>
  <c r="A176" i="14"/>
  <c r="A177" i="14"/>
  <c r="A178" i="14"/>
  <c r="A179" i="14"/>
  <c r="A180" i="14"/>
  <c r="A181" i="14"/>
  <c r="A182" i="14"/>
  <c r="A183" i="14"/>
  <c r="A184" i="14"/>
  <c r="A185" i="14"/>
  <c r="A186" i="14"/>
  <c r="A187" i="14"/>
  <c r="A188" i="14"/>
  <c r="A189" i="14"/>
  <c r="A190" i="14"/>
  <c r="A191" i="14"/>
  <c r="A192" i="14"/>
  <c r="A193" i="14"/>
  <c r="A194" i="14"/>
  <c r="A195" i="14"/>
  <c r="A196" i="14"/>
  <c r="A197" i="14"/>
  <c r="A198" i="14"/>
  <c r="A199" i="14"/>
  <c r="A200" i="14"/>
  <c r="A201" i="14"/>
  <c r="A202" i="14"/>
  <c r="A203" i="14"/>
  <c r="A204" i="14"/>
  <c r="A205" i="14"/>
  <c r="A206" i="14"/>
  <c r="A207" i="14"/>
  <c r="A208" i="14"/>
  <c r="A209" i="14"/>
  <c r="A210" i="14"/>
  <c r="A211" i="14"/>
  <c r="A212" i="14"/>
  <c r="A213" i="14"/>
  <c r="A214" i="14"/>
  <c r="A215" i="14"/>
  <c r="A216" i="14"/>
  <c r="A217" i="14"/>
  <c r="A218" i="14"/>
  <c r="A219" i="14"/>
  <c r="A220" i="14"/>
  <c r="A221" i="14"/>
  <c r="A222" i="14"/>
  <c r="A223" i="14"/>
  <c r="A224" i="14"/>
  <c r="A225" i="14"/>
  <c r="A226" i="14"/>
  <c r="A227" i="14"/>
  <c r="A228" i="14"/>
  <c r="A229" i="14"/>
  <c r="A230" i="14"/>
  <c r="A231" i="14"/>
  <c r="A232" i="14"/>
  <c r="A233" i="14"/>
  <c r="A234" i="14"/>
  <c r="A235" i="14"/>
  <c r="A236" i="14"/>
  <c r="A237" i="14"/>
  <c r="A238" i="14"/>
  <c r="A239" i="14"/>
  <c r="A240" i="14"/>
  <c r="A241" i="14"/>
  <c r="A242" i="14"/>
  <c r="A243" i="14"/>
  <c r="A244" i="14"/>
  <c r="A245" i="14"/>
  <c r="A246" i="14"/>
  <c r="A247" i="14"/>
  <c r="A248" i="14"/>
  <c r="A249" i="14"/>
  <c r="A250" i="14"/>
  <c r="A251" i="14"/>
  <c r="A252" i="14"/>
  <c r="A253" i="14"/>
  <c r="A254" i="14"/>
  <c r="A255" i="14"/>
  <c r="A256" i="14"/>
  <c r="A257" i="14"/>
  <c r="A258" i="14"/>
  <c r="A259" i="14"/>
  <c r="A260" i="14"/>
  <c r="A261" i="14"/>
  <c r="A262" i="14"/>
  <c r="A263" i="14"/>
  <c r="A264" i="14"/>
  <c r="A265" i="14"/>
  <c r="A266" i="14"/>
  <c r="A267" i="14"/>
  <c r="A268" i="14"/>
  <c r="A269" i="14"/>
  <c r="A270" i="14"/>
  <c r="A271" i="14"/>
  <c r="A272" i="14"/>
  <c r="A273" i="14"/>
  <c r="A274" i="14"/>
  <c r="A275" i="14"/>
  <c r="A276" i="14"/>
  <c r="A277" i="14"/>
  <c r="A278" i="14"/>
  <c r="A279" i="14"/>
  <c r="A280" i="14"/>
  <c r="A281" i="14"/>
  <c r="A282" i="14"/>
  <c r="A283" i="14"/>
  <c r="A284" i="14"/>
  <c r="A285" i="14"/>
  <c r="A286" i="14"/>
  <c r="A287" i="14"/>
  <c r="A288" i="14"/>
  <c r="A289" i="14"/>
  <c r="A290" i="14"/>
  <c r="A291" i="14"/>
  <c r="A292" i="14"/>
  <c r="A293" i="14"/>
  <c r="A294" i="14"/>
  <c r="A295" i="14"/>
  <c r="A296" i="14"/>
  <c r="A297" i="14"/>
  <c r="A298" i="14"/>
  <c r="A299" i="14"/>
  <c r="A300" i="14"/>
  <c r="A301" i="14"/>
  <c r="A302" i="14"/>
  <c r="A303" i="14"/>
  <c r="A304" i="14"/>
  <c r="A305" i="14"/>
  <c r="A306" i="14"/>
  <c r="A307" i="14"/>
  <c r="A308" i="14"/>
  <c r="A309" i="14"/>
  <c r="A310" i="14"/>
  <c r="A311" i="14"/>
  <c r="A312" i="14"/>
  <c r="A313" i="14"/>
  <c r="A314" i="14"/>
  <c r="A315" i="14"/>
  <c r="A316" i="14"/>
  <c r="A317" i="14"/>
  <c r="A318" i="14"/>
  <c r="A319" i="14"/>
  <c r="A320" i="14"/>
  <c r="A321" i="14"/>
  <c r="A322" i="14"/>
  <c r="A323" i="14"/>
  <c r="A324" i="14"/>
  <c r="A325" i="14"/>
  <c r="A326" i="14"/>
  <c r="A327" i="14"/>
  <c r="A328" i="14"/>
  <c r="A329" i="14"/>
  <c r="A330" i="14"/>
  <c r="A331" i="14"/>
  <c r="A332" i="14"/>
  <c r="A333" i="14"/>
  <c r="A334" i="14"/>
  <c r="A335" i="14"/>
  <c r="A336" i="14"/>
  <c r="A337" i="14"/>
  <c r="A338" i="14"/>
  <c r="A339" i="14"/>
  <c r="A340" i="14"/>
  <c r="A341" i="14"/>
  <c r="A342" i="14"/>
  <c r="A343" i="14"/>
  <c r="A344" i="14"/>
  <c r="A345" i="14"/>
  <c r="A346" i="14"/>
  <c r="A347" i="14"/>
  <c r="A348" i="14"/>
  <c r="A349" i="14"/>
  <c r="A350" i="14"/>
  <c r="A351" i="14"/>
  <c r="A352" i="14"/>
  <c r="A353" i="14"/>
  <c r="A354" i="14"/>
  <c r="A355" i="14"/>
  <c r="A356" i="14"/>
  <c r="A357" i="14"/>
  <c r="A358" i="14"/>
  <c r="A359" i="14"/>
  <c r="A360" i="14"/>
  <c r="A361" i="14"/>
  <c r="A362" i="14"/>
  <c r="A363" i="14"/>
  <c r="A364" i="14"/>
  <c r="A365" i="14"/>
  <c r="A366" i="14"/>
  <c r="A367" i="14"/>
  <c r="A368" i="14"/>
  <c r="A369" i="14"/>
  <c r="A370" i="14"/>
  <c r="A371" i="14"/>
  <c r="A372" i="14"/>
  <c r="A373" i="14"/>
  <c r="A374" i="14"/>
  <c r="A375" i="14"/>
  <c r="A376" i="14"/>
  <c r="A377" i="14"/>
  <c r="A378" i="14"/>
  <c r="A379" i="14"/>
  <c r="A380" i="14"/>
  <c r="A381" i="14"/>
  <c r="A382" i="14"/>
  <c r="A383" i="14"/>
  <c r="A384" i="14"/>
  <c r="A385" i="14"/>
  <c r="A386" i="14"/>
  <c r="A387" i="14"/>
  <c r="A388" i="14"/>
  <c r="A389" i="14"/>
  <c r="A390" i="14"/>
  <c r="A391" i="14"/>
  <c r="A392" i="14"/>
  <c r="A393" i="14"/>
  <c r="A394" i="14"/>
  <c r="A395" i="14"/>
  <c r="A396" i="14"/>
  <c r="A397" i="14"/>
  <c r="A398" i="14"/>
  <c r="A399" i="14"/>
  <c r="A400" i="14"/>
  <c r="A401" i="14"/>
  <c r="A402" i="14"/>
  <c r="A403" i="14"/>
  <c r="A404" i="14"/>
  <c r="A405" i="14"/>
  <c r="A406" i="14"/>
  <c r="A407" i="14"/>
  <c r="A408" i="14"/>
  <c r="A409" i="14"/>
  <c r="A410" i="14"/>
  <c r="A411" i="14"/>
  <c r="A412" i="14"/>
  <c r="A413" i="14"/>
  <c r="A414" i="14"/>
  <c r="A415" i="14"/>
  <c r="A416" i="14"/>
  <c r="A417" i="14"/>
  <c r="A418" i="14"/>
  <c r="A419" i="14"/>
  <c r="A420" i="14"/>
  <c r="A421" i="14"/>
  <c r="A422" i="14"/>
  <c r="A423" i="14"/>
  <c r="A424" i="14"/>
  <c r="A425" i="14"/>
  <c r="A426" i="14"/>
  <c r="A427" i="14"/>
  <c r="A428" i="14"/>
  <c r="A429" i="14"/>
  <c r="A430" i="14"/>
  <c r="A431" i="14"/>
  <c r="A432" i="14"/>
  <c r="A433" i="14"/>
  <c r="A434" i="14"/>
  <c r="A435" i="14"/>
  <c r="A436" i="14"/>
  <c r="A437" i="14"/>
  <c r="A438" i="14"/>
  <c r="A439" i="14"/>
  <c r="A440" i="14"/>
  <c r="A441" i="14"/>
  <c r="A442" i="14"/>
  <c r="A443" i="14"/>
  <c r="A444" i="14"/>
  <c r="A445" i="14"/>
  <c r="A446" i="14"/>
  <c r="A447" i="14"/>
  <c r="A448" i="14"/>
  <c r="A449" i="14"/>
  <c r="A450" i="14"/>
  <c r="A451" i="14"/>
  <c r="A452" i="14"/>
  <c r="A453" i="14"/>
  <c r="A454" i="14"/>
  <c r="A455" i="14"/>
  <c r="A456" i="14"/>
  <c r="A457" i="14"/>
  <c r="A458" i="14"/>
  <c r="A459" i="14"/>
  <c r="A460" i="14"/>
  <c r="A461" i="14"/>
  <c r="A462" i="14"/>
  <c r="A463" i="14"/>
  <c r="A464" i="14"/>
  <c r="A465" i="14"/>
  <c r="A466" i="14"/>
  <c r="A467" i="14"/>
  <c r="A468" i="14"/>
  <c r="A469" i="14"/>
  <c r="A470" i="14"/>
  <c r="A471" i="14"/>
  <c r="A472" i="14"/>
  <c r="A473" i="14"/>
  <c r="A474" i="14"/>
  <c r="A475" i="14"/>
  <c r="A476" i="14"/>
  <c r="A477" i="14"/>
  <c r="A478" i="14"/>
  <c r="A479" i="14"/>
  <c r="A480" i="14"/>
  <c r="A481" i="14"/>
  <c r="A482" i="14"/>
  <c r="A483" i="14"/>
  <c r="A484" i="14"/>
  <c r="A485" i="14"/>
  <c r="A486" i="14"/>
  <c r="A487" i="14"/>
  <c r="A488" i="14"/>
  <c r="A489" i="14"/>
  <c r="A490" i="14"/>
  <c r="A491" i="14"/>
  <c r="A492" i="14"/>
  <c r="A493" i="14"/>
  <c r="A494" i="14"/>
  <c r="A495" i="14"/>
  <c r="A496" i="14"/>
  <c r="A497" i="14"/>
  <c r="A498" i="14"/>
  <c r="A499" i="14"/>
  <c r="A500" i="14"/>
  <c r="A501" i="14"/>
  <c r="A502" i="14"/>
  <c r="A503" i="14"/>
  <c r="A504" i="14"/>
  <c r="A505" i="14"/>
  <c r="A506" i="14"/>
  <c r="A507" i="14"/>
  <c r="A508" i="14"/>
  <c r="A509" i="14"/>
  <c r="A510" i="14"/>
  <c r="A511" i="14"/>
  <c r="A512" i="14"/>
  <c r="A513" i="14"/>
  <c r="A514" i="14"/>
  <c r="A515" i="14"/>
  <c r="A516" i="14"/>
  <c r="A517" i="14"/>
  <c r="A518" i="14"/>
  <c r="A519" i="14"/>
  <c r="A520" i="14"/>
  <c r="A521" i="14"/>
  <c r="A522" i="14"/>
  <c r="A523" i="14"/>
  <c r="A524" i="14"/>
  <c r="A525" i="14"/>
  <c r="A526" i="14"/>
  <c r="A527" i="14"/>
  <c r="A528" i="14"/>
  <c r="A529" i="14"/>
  <c r="A530" i="14"/>
  <c r="A531" i="14"/>
  <c r="A532" i="14"/>
  <c r="A533" i="14"/>
  <c r="A534" i="14"/>
  <c r="A535" i="14"/>
  <c r="A536" i="14"/>
  <c r="A537" i="14"/>
  <c r="A538" i="14"/>
  <c r="A539" i="14"/>
  <c r="A540" i="14"/>
  <c r="A541" i="14"/>
  <c r="A542" i="14"/>
  <c r="A543" i="14"/>
  <c r="A544" i="14"/>
  <c r="A545" i="14"/>
  <c r="A546" i="14"/>
  <c r="A547" i="14"/>
  <c r="A548" i="14"/>
  <c r="A549" i="14"/>
  <c r="A550" i="14"/>
  <c r="A551" i="14"/>
  <c r="A552" i="14"/>
  <c r="A553" i="14"/>
  <c r="A554" i="14"/>
  <c r="A555" i="14"/>
  <c r="A556" i="14"/>
  <c r="A557" i="14"/>
  <c r="A558" i="14"/>
  <c r="A559" i="14"/>
  <c r="A560" i="14"/>
  <c r="A561" i="14"/>
  <c r="A562" i="14"/>
  <c r="A563" i="14"/>
  <c r="A564" i="14"/>
  <c r="A565" i="14"/>
  <c r="A566" i="14"/>
  <c r="A567" i="14"/>
  <c r="A568" i="14"/>
  <c r="A569" i="14"/>
  <c r="A570" i="14"/>
  <c r="A571" i="14"/>
  <c r="A572" i="14"/>
  <c r="A573" i="14"/>
  <c r="A574" i="14"/>
  <c r="A575" i="14"/>
  <c r="A576" i="14"/>
  <c r="A577" i="14"/>
  <c r="A578" i="14"/>
  <c r="A579" i="14"/>
  <c r="A580" i="14"/>
  <c r="A581" i="14"/>
  <c r="A582" i="14"/>
  <c r="A583" i="14"/>
  <c r="A584" i="14"/>
  <c r="A585" i="14"/>
  <c r="A586" i="14"/>
  <c r="A587" i="14"/>
  <c r="A588" i="14"/>
  <c r="A589" i="14"/>
  <c r="A590" i="14"/>
  <c r="A591" i="14"/>
  <c r="A592" i="14"/>
  <c r="A593" i="14"/>
  <c r="A594" i="14"/>
  <c r="A595" i="14"/>
  <c r="A596" i="14"/>
  <c r="A597" i="14"/>
  <c r="A598" i="14"/>
  <c r="A599" i="14"/>
  <c r="A600" i="14"/>
  <c r="A601" i="14"/>
  <c r="A602" i="14"/>
  <c r="A603" i="14"/>
  <c r="A604" i="14"/>
  <c r="A605" i="14"/>
  <c r="A606" i="14"/>
  <c r="A607" i="14"/>
  <c r="A608" i="14"/>
  <c r="A609" i="14"/>
  <c r="A610" i="14"/>
  <c r="A611" i="14"/>
  <c r="A612" i="14"/>
  <c r="A613" i="14"/>
  <c r="A614" i="14"/>
  <c r="A615" i="14"/>
  <c r="A616" i="14"/>
  <c r="A617" i="14"/>
  <c r="A618" i="14"/>
  <c r="A619" i="14"/>
  <c r="A620" i="14"/>
  <c r="A621" i="14"/>
  <c r="A622" i="14"/>
  <c r="A623" i="14"/>
  <c r="A624" i="14"/>
  <c r="A625" i="14"/>
  <c r="A626" i="14"/>
  <c r="A627" i="14"/>
  <c r="A628" i="14"/>
  <c r="A629" i="14"/>
  <c r="A630" i="14"/>
  <c r="A631" i="14"/>
  <c r="A632" i="14"/>
  <c r="A633" i="14"/>
  <c r="A634" i="14"/>
  <c r="A635" i="14"/>
  <c r="A636" i="14"/>
  <c r="A637" i="14"/>
  <c r="A638" i="14"/>
  <c r="A639" i="14"/>
  <c r="A640" i="14"/>
  <c r="A641" i="14"/>
  <c r="A642" i="14"/>
  <c r="A643" i="14"/>
  <c r="A644" i="14"/>
  <c r="A645" i="14"/>
  <c r="A646" i="14"/>
  <c r="A647" i="14"/>
  <c r="A648" i="14"/>
  <c r="A649" i="14"/>
  <c r="A650" i="14"/>
  <c r="A651" i="14"/>
  <c r="A652" i="14"/>
  <c r="A653" i="14"/>
  <c r="A654" i="14"/>
  <c r="A655" i="14"/>
  <c r="A656" i="14"/>
  <c r="A657" i="14"/>
  <c r="A658" i="14"/>
  <c r="A659" i="14"/>
  <c r="A660" i="14"/>
  <c r="A661" i="14"/>
  <c r="A662" i="14"/>
  <c r="A663" i="14"/>
  <c r="A664" i="14"/>
  <c r="A665" i="14"/>
  <c r="A666" i="14"/>
  <c r="A667" i="14"/>
  <c r="A668" i="14"/>
  <c r="A669" i="14"/>
  <c r="A670" i="14"/>
  <c r="A671" i="14"/>
  <c r="A672" i="14"/>
  <c r="A673" i="14"/>
  <c r="A674" i="14"/>
  <c r="A675" i="14"/>
  <c r="A676" i="14"/>
  <c r="A677" i="14"/>
  <c r="A678" i="14"/>
  <c r="A679" i="14"/>
  <c r="A680" i="14"/>
  <c r="A681" i="14"/>
  <c r="A682" i="14"/>
  <c r="A683" i="14"/>
  <c r="A684" i="14"/>
  <c r="A685" i="14"/>
  <c r="A686" i="14"/>
  <c r="A687" i="14"/>
  <c r="A688" i="14"/>
  <c r="A689" i="14"/>
  <c r="A690" i="14"/>
  <c r="A691" i="14"/>
  <c r="A692" i="14"/>
  <c r="A693" i="14"/>
  <c r="A694" i="14"/>
  <c r="A695" i="14"/>
  <c r="A696" i="14"/>
  <c r="A697" i="14"/>
  <c r="A698" i="14"/>
  <c r="A699" i="14"/>
  <c r="A700" i="14"/>
  <c r="A701" i="14"/>
  <c r="A702" i="14"/>
  <c r="A703" i="14"/>
  <c r="A704" i="14"/>
  <c r="A705" i="14"/>
  <c r="A706" i="14"/>
  <c r="A707" i="14"/>
  <c r="A708" i="14"/>
  <c r="A709" i="14"/>
  <c r="A710" i="14"/>
  <c r="A711" i="14"/>
  <c r="A712" i="14"/>
  <c r="A713" i="14"/>
  <c r="A714" i="14"/>
  <c r="A715" i="14"/>
  <c r="A716" i="14"/>
  <c r="A717" i="14"/>
  <c r="A718" i="14"/>
  <c r="A719" i="14"/>
  <c r="A720" i="14"/>
  <c r="A721" i="14"/>
  <c r="A722" i="14"/>
  <c r="A723" i="14"/>
  <c r="A724" i="14"/>
  <c r="A725" i="14"/>
  <c r="A726" i="14"/>
  <c r="A727" i="14"/>
  <c r="A728" i="14"/>
  <c r="A729" i="14"/>
  <c r="A730" i="14"/>
  <c r="A731" i="14"/>
  <c r="A732" i="14"/>
  <c r="A733" i="14"/>
  <c r="A734" i="14"/>
  <c r="A735" i="14"/>
  <c r="A736" i="14"/>
  <c r="A737" i="14"/>
  <c r="A738" i="14"/>
  <c r="A739" i="14"/>
  <c r="A740" i="14"/>
  <c r="A741" i="14"/>
  <c r="A742" i="14"/>
  <c r="A743" i="14"/>
  <c r="A744" i="14"/>
  <c r="A745" i="14"/>
  <c r="A746" i="14"/>
  <c r="A747" i="14"/>
  <c r="A748" i="14"/>
  <c r="A749" i="14"/>
  <c r="A750" i="14"/>
  <c r="A751" i="14"/>
  <c r="A752" i="14"/>
  <c r="A753" i="14"/>
  <c r="A754" i="14"/>
  <c r="A755" i="14"/>
  <c r="A756" i="14"/>
  <c r="A757" i="14"/>
  <c r="A758" i="14"/>
  <c r="A759" i="14"/>
  <c r="A760" i="14"/>
  <c r="A761" i="14"/>
  <c r="A762" i="14"/>
  <c r="A763" i="14"/>
  <c r="A764" i="14"/>
  <c r="A765" i="14"/>
  <c r="A766" i="14"/>
  <c r="A767" i="14"/>
  <c r="A768" i="14"/>
  <c r="A769" i="14"/>
  <c r="A770" i="14"/>
  <c r="A771" i="14"/>
  <c r="A772" i="14"/>
  <c r="A773" i="14"/>
  <c r="A774" i="14"/>
  <c r="A775" i="14"/>
  <c r="A776" i="14"/>
  <c r="A777" i="14"/>
  <c r="A778" i="14"/>
  <c r="A779" i="14"/>
  <c r="A780" i="14"/>
  <c r="A781" i="14"/>
  <c r="A782" i="14"/>
  <c r="A783" i="14"/>
  <c r="A784" i="14"/>
  <c r="A785" i="14"/>
  <c r="A786" i="14"/>
  <c r="A787" i="14"/>
  <c r="A788" i="14"/>
  <c r="A789" i="14"/>
  <c r="A790" i="14"/>
  <c r="A791" i="14"/>
  <c r="A792" i="14"/>
  <c r="A793" i="14"/>
  <c r="A794" i="14"/>
  <c r="A795" i="14"/>
  <c r="A796" i="14"/>
  <c r="A797" i="14"/>
  <c r="A798" i="14"/>
  <c r="A799" i="14"/>
  <c r="A800" i="14"/>
  <c r="A801" i="14"/>
  <c r="A802" i="14"/>
  <c r="A803" i="14"/>
  <c r="A804" i="14"/>
  <c r="A805" i="14"/>
  <c r="A806" i="14"/>
  <c r="A807" i="14"/>
  <c r="A808" i="14"/>
  <c r="A809" i="14"/>
  <c r="A810" i="14"/>
  <c r="A811" i="14"/>
  <c r="A812" i="14"/>
  <c r="A813" i="14"/>
  <c r="A814" i="14"/>
  <c r="A815" i="14"/>
  <c r="A816" i="14"/>
  <c r="A817" i="14"/>
  <c r="A818" i="14"/>
  <c r="A819" i="14"/>
  <c r="A820" i="14"/>
  <c r="A821" i="14"/>
  <c r="A822" i="14"/>
  <c r="A823" i="14"/>
  <c r="A824" i="14"/>
  <c r="A825" i="14"/>
  <c r="A826" i="14"/>
  <c r="A827" i="14"/>
  <c r="A828" i="14"/>
  <c r="A829" i="14"/>
  <c r="A830" i="14"/>
  <c r="A831" i="14"/>
  <c r="A832" i="14"/>
  <c r="A833" i="14"/>
  <c r="A834" i="14"/>
  <c r="A835" i="14"/>
  <c r="A836" i="14"/>
  <c r="A837" i="14"/>
  <c r="A838" i="14"/>
  <c r="A839" i="14"/>
  <c r="A840" i="14"/>
  <c r="A841" i="14"/>
  <c r="A842" i="14"/>
  <c r="A843" i="14"/>
  <c r="A844" i="14"/>
  <c r="A845" i="14"/>
  <c r="A846" i="14"/>
  <c r="A847" i="14"/>
  <c r="A848" i="14"/>
  <c r="A849" i="14"/>
  <c r="A850" i="14"/>
  <c r="A851" i="14"/>
  <c r="A852" i="14"/>
  <c r="A853" i="14"/>
  <c r="A854" i="14"/>
  <c r="A855" i="14"/>
  <c r="A856" i="14"/>
  <c r="A857" i="14"/>
  <c r="A858" i="14"/>
  <c r="A859" i="14"/>
  <c r="A860" i="14"/>
  <c r="A861" i="14"/>
  <c r="A862" i="14"/>
  <c r="A863" i="14"/>
  <c r="A864" i="14"/>
  <c r="A865" i="14"/>
  <c r="A866" i="14"/>
  <c r="A867" i="14"/>
  <c r="A868" i="14"/>
  <c r="A869" i="14"/>
  <c r="A870" i="14"/>
  <c r="A871" i="14"/>
  <c r="A872" i="14"/>
  <c r="A873" i="14"/>
  <c r="A874" i="14"/>
  <c r="A875" i="14"/>
  <c r="A876" i="14"/>
  <c r="A877" i="14"/>
  <c r="A878" i="14"/>
  <c r="A879" i="14"/>
  <c r="A880" i="14"/>
  <c r="A881" i="14"/>
  <c r="A882" i="14"/>
  <c r="A883" i="14"/>
  <c r="A884" i="14"/>
  <c r="A885" i="14"/>
  <c r="A886" i="14"/>
  <c r="A887" i="14"/>
  <c r="A888" i="14"/>
  <c r="A889" i="14"/>
  <c r="A890" i="14"/>
  <c r="A891" i="14"/>
  <c r="A892" i="14"/>
  <c r="A893" i="14"/>
  <c r="A894" i="14"/>
  <c r="A895" i="14"/>
  <c r="A896" i="14"/>
  <c r="A897" i="14"/>
  <c r="A898" i="14"/>
  <c r="A899" i="14"/>
  <c r="A900" i="14"/>
  <c r="A901" i="14"/>
  <c r="A902" i="14"/>
  <c r="A903" i="14"/>
  <c r="A904" i="14"/>
  <c r="A905" i="14"/>
  <c r="A906" i="14"/>
  <c r="A907" i="14"/>
  <c r="A908" i="14"/>
  <c r="A909" i="14"/>
  <c r="A910" i="14"/>
  <c r="A911" i="14"/>
  <c r="A912" i="14"/>
  <c r="A913" i="14"/>
  <c r="A914" i="14"/>
  <c r="A915" i="14"/>
  <c r="A916" i="14"/>
  <c r="A917" i="14"/>
  <c r="A918" i="14"/>
  <c r="A919" i="14"/>
  <c r="A920" i="14"/>
  <c r="A921" i="14"/>
  <c r="A922" i="14"/>
  <c r="A923" i="14"/>
  <c r="A924" i="14"/>
  <c r="A925" i="14"/>
  <c r="A926" i="14"/>
  <c r="A927" i="14"/>
  <c r="A928" i="14"/>
  <c r="A929" i="14"/>
  <c r="A930" i="14"/>
  <c r="A931" i="14"/>
  <c r="A932" i="14"/>
  <c r="A933" i="14"/>
  <c r="A934" i="14"/>
  <c r="A935" i="14"/>
  <c r="A936" i="14"/>
  <c r="A937" i="14"/>
  <c r="A938" i="14"/>
  <c r="A939" i="14"/>
  <c r="A940" i="14"/>
  <c r="A941" i="14"/>
  <c r="A942" i="14"/>
  <c r="A943" i="14"/>
  <c r="A944" i="14"/>
  <c r="A945" i="14"/>
  <c r="A946" i="14"/>
  <c r="A947" i="14"/>
  <c r="A948" i="14"/>
  <c r="A949" i="14"/>
  <c r="A950" i="14"/>
  <c r="A951" i="14"/>
  <c r="A952" i="14"/>
  <c r="A953" i="14"/>
  <c r="A954" i="14"/>
  <c r="A955" i="14"/>
  <c r="A956" i="14"/>
  <c r="A957" i="14"/>
  <c r="A958" i="14"/>
  <c r="A959" i="14"/>
  <c r="A960" i="14"/>
  <c r="A961" i="14"/>
  <c r="A962" i="14"/>
  <c r="A963" i="14"/>
  <c r="A964" i="14"/>
  <c r="A965" i="14"/>
  <c r="A966" i="14"/>
  <c r="A967" i="14"/>
  <c r="A968" i="14"/>
  <c r="A969" i="14"/>
  <c r="A970" i="14"/>
  <c r="A971" i="14"/>
  <c r="A972" i="14"/>
  <c r="A973" i="14"/>
  <c r="A974" i="14"/>
  <c r="A975" i="14"/>
  <c r="A976" i="14"/>
  <c r="A977" i="14"/>
  <c r="A978" i="14"/>
  <c r="A979" i="14"/>
  <c r="A980" i="14"/>
  <c r="A981" i="14"/>
  <c r="A982" i="14"/>
  <c r="A983" i="14"/>
  <c r="A984" i="14"/>
  <c r="A985" i="14"/>
  <c r="A986" i="14"/>
  <c r="A987" i="14"/>
  <c r="A988" i="14"/>
  <c r="A989" i="14"/>
  <c r="A990" i="14"/>
  <c r="A991" i="14"/>
  <c r="A992" i="14"/>
  <c r="A993" i="14"/>
  <c r="A994" i="14"/>
  <c r="A995" i="14"/>
  <c r="A996" i="14"/>
  <c r="A997" i="14"/>
  <c r="A998" i="14"/>
  <c r="A999" i="14"/>
  <c r="A1000" i="14"/>
  <c r="A1001" i="14"/>
  <c r="A1002" i="14"/>
  <c r="A1003" i="14"/>
  <c r="A1004" i="14"/>
  <c r="A1005" i="14"/>
  <c r="A1006" i="14"/>
  <c r="A1007" i="14"/>
  <c r="A1008" i="14"/>
  <c r="A1009" i="14"/>
  <c r="A1010" i="14"/>
  <c r="A1011" i="14"/>
  <c r="A1012" i="14"/>
  <c r="A1013" i="14"/>
  <c r="A1014" i="14"/>
  <c r="A1015" i="14"/>
  <c r="A1016" i="14"/>
  <c r="A1017" i="14"/>
  <c r="A1018" i="14"/>
  <c r="A1019" i="14"/>
  <c r="A1020" i="14"/>
  <c r="A1021" i="14"/>
  <c r="A1022" i="14"/>
  <c r="A1023" i="14"/>
  <c r="A1024" i="14"/>
  <c r="A1025" i="14"/>
  <c r="A1026" i="14"/>
  <c r="A1027" i="14"/>
  <c r="A1028" i="14"/>
  <c r="A1029" i="14"/>
  <c r="A1030" i="14"/>
  <c r="A1031" i="14"/>
  <c r="A1032" i="14"/>
  <c r="A1033" i="14"/>
  <c r="A1034" i="14"/>
  <c r="A1035" i="14"/>
  <c r="A1036" i="14"/>
  <c r="A1037" i="14"/>
  <c r="A1038" i="14"/>
  <c r="A1039" i="14"/>
  <c r="A1040" i="14"/>
  <c r="A1041" i="14"/>
  <c r="A1042" i="14"/>
  <c r="A1043" i="14"/>
  <c r="A1044" i="14"/>
  <c r="A1045" i="14"/>
  <c r="A1046" i="14"/>
  <c r="A1047" i="14"/>
  <c r="A1048" i="14"/>
  <c r="A1049" i="14"/>
  <c r="A1050" i="14"/>
  <c r="A1051" i="14"/>
  <c r="A1052" i="14"/>
  <c r="A1053" i="14"/>
  <c r="A1054" i="14"/>
  <c r="A1055" i="14"/>
  <c r="A1056" i="14"/>
  <c r="A1057" i="14"/>
  <c r="A1058" i="14"/>
  <c r="A1059" i="14"/>
  <c r="A1060" i="14"/>
  <c r="A1061" i="14"/>
  <c r="A1062" i="14"/>
  <c r="A1063" i="14"/>
  <c r="A1064" i="14"/>
  <c r="A1065" i="14"/>
  <c r="A1066" i="14"/>
  <c r="A1067" i="14"/>
  <c r="A1068" i="14"/>
  <c r="A1069" i="14"/>
  <c r="A1070" i="14"/>
  <c r="A1071" i="14"/>
  <c r="A1072" i="14"/>
  <c r="A1073" i="14"/>
  <c r="A1074" i="14"/>
  <c r="A1075" i="14"/>
  <c r="A1076" i="14"/>
  <c r="A1077" i="14"/>
  <c r="A1078" i="14"/>
  <c r="A1079" i="14"/>
  <c r="A1080" i="14"/>
  <c r="A1081" i="14"/>
  <c r="A1082" i="14"/>
  <c r="A1083" i="14"/>
  <c r="A1084" i="14"/>
  <c r="A1085" i="14"/>
  <c r="A1086" i="14"/>
  <c r="A1087" i="14"/>
  <c r="A1088" i="14"/>
  <c r="A1089" i="14"/>
  <c r="A1090" i="14"/>
  <c r="A1091" i="14"/>
  <c r="A1092" i="14"/>
  <c r="A1093" i="14"/>
  <c r="A1094" i="14"/>
  <c r="A1095" i="14"/>
  <c r="A1096" i="14"/>
  <c r="A1097" i="14"/>
  <c r="A1098" i="14"/>
  <c r="A1099" i="14"/>
  <c r="A1100" i="14"/>
  <c r="A1101" i="14"/>
  <c r="A1102" i="14"/>
  <c r="A1103" i="14"/>
  <c r="A1104" i="14"/>
  <c r="A1105" i="14"/>
  <c r="A1106" i="14"/>
  <c r="A1107" i="14"/>
  <c r="A1108" i="14"/>
  <c r="A1109" i="14"/>
  <c r="A1110" i="14"/>
  <c r="A1111" i="14"/>
  <c r="A1112" i="14"/>
  <c r="A1113" i="14"/>
  <c r="A1114" i="14"/>
  <c r="A1115" i="14"/>
  <c r="A1116" i="14"/>
  <c r="A1117" i="14"/>
  <c r="A1118" i="14"/>
  <c r="A1119" i="14"/>
  <c r="A1120" i="14"/>
  <c r="A1121" i="14"/>
  <c r="A1122" i="14"/>
  <c r="A1123" i="14"/>
  <c r="A1124" i="14"/>
  <c r="A1125" i="14"/>
  <c r="A1126" i="14"/>
  <c r="A1127" i="14"/>
  <c r="A1128" i="14"/>
  <c r="A1129" i="14"/>
  <c r="A1130" i="14"/>
  <c r="A1131" i="14"/>
  <c r="A1132" i="14"/>
  <c r="A1133" i="14"/>
  <c r="A1134" i="14"/>
  <c r="A1135" i="14"/>
  <c r="A1136" i="14"/>
  <c r="A1137" i="14"/>
  <c r="A1138" i="14"/>
  <c r="A1139" i="14"/>
  <c r="A1140" i="14"/>
  <c r="A1141" i="14"/>
  <c r="A1142" i="14"/>
  <c r="A1143" i="14"/>
  <c r="A1144" i="14"/>
  <c r="A1145" i="14"/>
  <c r="A1146" i="14"/>
  <c r="A1147" i="14"/>
  <c r="A1148" i="14"/>
  <c r="A1149" i="14"/>
  <c r="A1150" i="14"/>
  <c r="A1151" i="14"/>
  <c r="A1152" i="14"/>
  <c r="A1153" i="14"/>
  <c r="A1154" i="14"/>
  <c r="A1155" i="14"/>
  <c r="A1156" i="14"/>
  <c r="A1157" i="14"/>
  <c r="A1158" i="14"/>
  <c r="A1159" i="14"/>
  <c r="A1160" i="14"/>
  <c r="A1161" i="14"/>
  <c r="A1162" i="14"/>
  <c r="A1163" i="14"/>
  <c r="A1164" i="14"/>
  <c r="A1165" i="14"/>
  <c r="A1166" i="14"/>
  <c r="A1167" i="14"/>
  <c r="A1168" i="14"/>
  <c r="A1169" i="14"/>
  <c r="A1170" i="14"/>
  <c r="A1171" i="14"/>
  <c r="A1172" i="14"/>
  <c r="A1173" i="14"/>
  <c r="A1174" i="14"/>
  <c r="A1175" i="14"/>
  <c r="A1176" i="14"/>
  <c r="A1177" i="14"/>
  <c r="A1178" i="14"/>
  <c r="A1179" i="14"/>
  <c r="A1180" i="14"/>
  <c r="A1181" i="14"/>
  <c r="A1182" i="14"/>
  <c r="A1183" i="14"/>
  <c r="A1184" i="14"/>
  <c r="A1185" i="14"/>
  <c r="A1186" i="14"/>
  <c r="A1187" i="14"/>
  <c r="A1188" i="14"/>
  <c r="A1189" i="14"/>
  <c r="A1190" i="14"/>
  <c r="A1191" i="14"/>
  <c r="A1192" i="14"/>
  <c r="A1193" i="14"/>
  <c r="A1194" i="14"/>
  <c r="A1195" i="14"/>
  <c r="A1196" i="14"/>
  <c r="A1197" i="14"/>
  <c r="A1198" i="14"/>
  <c r="A1199" i="14"/>
  <c r="A1200" i="14"/>
  <c r="A1201" i="14"/>
  <c r="A1202" i="14"/>
  <c r="A1203" i="14"/>
  <c r="A1204" i="14"/>
  <c r="A1205" i="14"/>
  <c r="A1206" i="14"/>
  <c r="A1207" i="14"/>
  <c r="A1208" i="14"/>
  <c r="A1209" i="14"/>
  <c r="A1210" i="14"/>
  <c r="A1211" i="14"/>
  <c r="A1212" i="14"/>
  <c r="A1213" i="14"/>
  <c r="A1214" i="14"/>
  <c r="A1215" i="14"/>
  <c r="A1216" i="14"/>
  <c r="A1217" i="14"/>
  <c r="A1218" i="14"/>
  <c r="A1219" i="14"/>
  <c r="A1220" i="14"/>
  <c r="A1221" i="14"/>
  <c r="A1222" i="14"/>
  <c r="A1223" i="14"/>
  <c r="A1224" i="14"/>
  <c r="A1225" i="14"/>
  <c r="A1226" i="14"/>
  <c r="A1227" i="14"/>
  <c r="A1228" i="14"/>
  <c r="A1229" i="14"/>
  <c r="A1230" i="14"/>
  <c r="A1231" i="14"/>
  <c r="A1232" i="14"/>
  <c r="A1233" i="14"/>
  <c r="A1234" i="14"/>
  <c r="A1235" i="14"/>
  <c r="A1236" i="14"/>
  <c r="A1237" i="14"/>
  <c r="A1238" i="14"/>
  <c r="A1239" i="14"/>
  <c r="A1240" i="14"/>
  <c r="A1241" i="14"/>
  <c r="A1242" i="14"/>
  <c r="A1243" i="14"/>
  <c r="A1244" i="14"/>
  <c r="A1245" i="14"/>
  <c r="A1246" i="14"/>
  <c r="A1247" i="14"/>
  <c r="A1248" i="14"/>
  <c r="A1249" i="14"/>
  <c r="A1250" i="14"/>
  <c r="A1251" i="14"/>
  <c r="A1252" i="14"/>
  <c r="A1253" i="14"/>
  <c r="A1254" i="14"/>
  <c r="A1255" i="14"/>
  <c r="A1256" i="14"/>
  <c r="A1257" i="14"/>
  <c r="A1258" i="14"/>
  <c r="A1259" i="14"/>
  <c r="A1260" i="14"/>
  <c r="A1261" i="14"/>
  <c r="A1262" i="14"/>
  <c r="A1263" i="14"/>
  <c r="A1264" i="14"/>
  <c r="A1265" i="14"/>
  <c r="A1266" i="14"/>
  <c r="A1267" i="14"/>
  <c r="A1268" i="14"/>
  <c r="A1269" i="14"/>
  <c r="A1270" i="14"/>
  <c r="A1271" i="14"/>
  <c r="A1272" i="14"/>
  <c r="A1273" i="14"/>
  <c r="A1274" i="14"/>
  <c r="A1275" i="14"/>
  <c r="A1276" i="14"/>
  <c r="A1277" i="14"/>
  <c r="A1278" i="14"/>
  <c r="A1279" i="14"/>
  <c r="A1280" i="14"/>
  <c r="A1281" i="14"/>
  <c r="A1282" i="14"/>
  <c r="A1283" i="14"/>
  <c r="A1284" i="14"/>
  <c r="A1285" i="14"/>
  <c r="A1286" i="14"/>
  <c r="A1287" i="14"/>
  <c r="A1288" i="14"/>
  <c r="A1289" i="14"/>
  <c r="A1290" i="14"/>
  <c r="A1291" i="14"/>
  <c r="A1292" i="14"/>
  <c r="A1293" i="14"/>
  <c r="A1294" i="14"/>
  <c r="A1295" i="14"/>
  <c r="A1296" i="14"/>
  <c r="A1297" i="14"/>
  <c r="A1298" i="14"/>
  <c r="A1299" i="14"/>
  <c r="A1300" i="14"/>
  <c r="A1301" i="14"/>
  <c r="A1302" i="14"/>
  <c r="A1303" i="14"/>
  <c r="A1304" i="14"/>
  <c r="A1305" i="14"/>
  <c r="A1306" i="14"/>
  <c r="A1307" i="14"/>
  <c r="A1308" i="14"/>
  <c r="A1309" i="14"/>
  <c r="A1310" i="14"/>
  <c r="A1311" i="14"/>
  <c r="A1312" i="14"/>
  <c r="A1313" i="14"/>
  <c r="A1314" i="14"/>
  <c r="A1315" i="14"/>
  <c r="A1316" i="14"/>
  <c r="A1317" i="14"/>
  <c r="A1318" i="14"/>
  <c r="A1319" i="14"/>
  <c r="A1320" i="14"/>
  <c r="A1321" i="14"/>
  <c r="A1322" i="14"/>
  <c r="A1323" i="14"/>
  <c r="A1324" i="14"/>
  <c r="A1325" i="14"/>
  <c r="A1326" i="14"/>
  <c r="A1327" i="14"/>
  <c r="A1328" i="14"/>
  <c r="A1329" i="14"/>
  <c r="A1330" i="14"/>
  <c r="A1331" i="14"/>
  <c r="A1332" i="14"/>
  <c r="A1333" i="14"/>
  <c r="A1334" i="14"/>
  <c r="A1335" i="14"/>
  <c r="A1336" i="14"/>
  <c r="A1337" i="14"/>
  <c r="A1338" i="14"/>
  <c r="A1339" i="14"/>
  <c r="A1340" i="14"/>
  <c r="A1341" i="14"/>
  <c r="A1342" i="14"/>
  <c r="A1343" i="14"/>
  <c r="A1344" i="14"/>
  <c r="A1345" i="14"/>
  <c r="A1346" i="14"/>
  <c r="A1347" i="14"/>
  <c r="A1348" i="14"/>
  <c r="A2" i="14"/>
  <c r="A3" i="14" s="1"/>
  <c r="A4" i="14" s="1"/>
  <c r="A5" i="14" s="1"/>
  <c r="A6" i="14" s="1"/>
  <c r="A7" i="14" s="1"/>
  <c r="A8" i="14" s="1"/>
  <c r="A9" i="14" s="1"/>
  <c r="A10" i="14" s="1"/>
  <c r="D1348" i="14"/>
  <c r="C1348" i="14"/>
  <c r="D1347" i="14"/>
  <c r="C1347" i="14"/>
  <c r="D1346" i="14"/>
  <c r="C1346" i="14"/>
  <c r="D1345" i="14"/>
  <c r="C1345" i="14"/>
  <c r="D1344" i="14"/>
  <c r="C1344" i="14"/>
  <c r="D1343" i="14"/>
  <c r="C1343" i="14"/>
  <c r="D1342" i="14"/>
  <c r="C1342" i="14"/>
  <c r="D1341" i="14"/>
  <c r="C1341" i="14"/>
  <c r="D1340" i="14"/>
  <c r="C1340" i="14"/>
  <c r="D1339" i="14"/>
  <c r="C1339" i="14"/>
  <c r="D1338" i="14"/>
  <c r="C1338" i="14"/>
  <c r="D1337" i="14"/>
  <c r="C1337" i="14"/>
  <c r="D1336" i="14"/>
  <c r="C1336" i="14"/>
  <c r="D1335" i="14"/>
  <c r="C1335" i="14"/>
  <c r="D1334" i="14"/>
  <c r="C1334" i="14"/>
  <c r="D1333" i="14"/>
  <c r="C1333" i="14"/>
  <c r="D1332" i="14"/>
  <c r="C1332" i="14"/>
  <c r="D1331" i="14"/>
  <c r="C1331" i="14"/>
  <c r="D1330" i="14"/>
  <c r="C1330" i="14"/>
  <c r="D1329" i="14"/>
  <c r="C1329" i="14"/>
  <c r="D1328" i="14"/>
  <c r="C1328" i="14"/>
  <c r="D1327" i="14"/>
  <c r="C1327" i="14"/>
  <c r="D1326" i="14"/>
  <c r="C1326" i="14"/>
  <c r="D1325" i="14"/>
  <c r="C1325" i="14"/>
  <c r="D1324" i="14"/>
  <c r="C1324" i="14"/>
  <c r="D1323" i="14"/>
  <c r="C1323" i="14"/>
  <c r="D1322" i="14"/>
  <c r="C1322" i="14"/>
  <c r="D1321" i="14"/>
  <c r="C1321" i="14"/>
  <c r="D1320" i="14"/>
  <c r="C1320" i="14"/>
  <c r="D1319" i="14"/>
  <c r="C1319" i="14"/>
  <c r="D1318" i="14"/>
  <c r="C1318" i="14"/>
  <c r="D1317" i="14"/>
  <c r="C1317" i="14"/>
  <c r="D1316" i="14"/>
  <c r="C1316" i="14"/>
  <c r="D1315" i="14"/>
  <c r="C1315" i="14"/>
  <c r="D1314" i="14"/>
  <c r="C1314" i="14"/>
  <c r="D1313" i="14"/>
  <c r="C1313" i="14"/>
  <c r="D1312" i="14"/>
  <c r="C1312" i="14"/>
  <c r="D1311" i="14"/>
  <c r="C1311" i="14"/>
  <c r="D1310" i="14"/>
  <c r="C1310" i="14"/>
  <c r="D1309" i="14"/>
  <c r="C1309" i="14"/>
  <c r="D1308" i="14"/>
  <c r="C1308" i="14"/>
  <c r="D1307" i="14"/>
  <c r="C1307" i="14"/>
  <c r="D1306" i="14"/>
  <c r="C1306" i="14"/>
  <c r="D1305" i="14"/>
  <c r="C1305" i="14"/>
  <c r="D1304" i="14"/>
  <c r="C1304" i="14"/>
  <c r="D1303" i="14"/>
  <c r="C1303" i="14"/>
  <c r="D1302" i="14"/>
  <c r="C1302" i="14"/>
  <c r="D1301" i="14"/>
  <c r="C1301" i="14"/>
  <c r="D1300" i="14"/>
  <c r="C1300" i="14"/>
  <c r="D1299" i="14"/>
  <c r="C1299" i="14"/>
  <c r="D1298" i="14"/>
  <c r="C1298" i="14"/>
  <c r="D1297" i="14"/>
  <c r="C1297" i="14"/>
  <c r="D1296" i="14"/>
  <c r="C1296" i="14"/>
  <c r="D1295" i="14"/>
  <c r="C1295" i="14"/>
  <c r="D1294" i="14"/>
  <c r="C1294" i="14"/>
  <c r="D1293" i="14"/>
  <c r="C1293" i="14"/>
  <c r="D1292" i="14"/>
  <c r="C1292" i="14"/>
  <c r="D1291" i="14"/>
  <c r="C1291" i="14"/>
  <c r="D1290" i="14"/>
  <c r="C1290" i="14"/>
  <c r="D1289" i="14"/>
  <c r="C1289" i="14"/>
  <c r="D1288" i="14"/>
  <c r="C1288" i="14"/>
  <c r="D1287" i="14"/>
  <c r="C1287" i="14"/>
  <c r="D1286" i="14"/>
  <c r="C1286" i="14"/>
  <c r="D1285" i="14"/>
  <c r="C1285" i="14"/>
  <c r="D1284" i="14"/>
  <c r="C1284" i="14"/>
  <c r="D1283" i="14"/>
  <c r="C1283" i="14"/>
  <c r="D1282" i="14"/>
  <c r="C1282" i="14"/>
  <c r="D1281" i="14"/>
  <c r="C1281" i="14"/>
  <c r="D1280" i="14"/>
  <c r="C1280" i="14"/>
  <c r="D1279" i="14"/>
  <c r="C1279" i="14"/>
  <c r="D1278" i="14"/>
  <c r="C1278" i="14"/>
  <c r="D1277" i="14"/>
  <c r="C1277" i="14"/>
  <c r="D1276" i="14"/>
  <c r="C1276" i="14"/>
  <c r="D1275" i="14"/>
  <c r="C1275" i="14"/>
  <c r="D1274" i="14"/>
  <c r="C1274" i="14"/>
  <c r="D1273" i="14"/>
  <c r="C1273" i="14"/>
  <c r="D1272" i="14"/>
  <c r="C1272" i="14"/>
  <c r="D1271" i="14"/>
  <c r="C1271" i="14"/>
  <c r="D1270" i="14"/>
  <c r="C1270" i="14"/>
  <c r="D1269" i="14"/>
  <c r="C1269" i="14"/>
  <c r="D1268" i="14"/>
  <c r="C1268" i="14"/>
  <c r="D1267" i="14"/>
  <c r="C1267" i="14"/>
  <c r="D1266" i="14"/>
  <c r="C1266" i="14"/>
  <c r="D1265" i="14"/>
  <c r="C1265" i="14"/>
  <c r="D1264" i="14"/>
  <c r="C1264" i="14"/>
  <c r="D1263" i="14"/>
  <c r="C1263" i="14"/>
  <c r="D1262" i="14"/>
  <c r="C1262" i="14"/>
  <c r="D1261" i="14"/>
  <c r="C1261" i="14"/>
  <c r="D1260" i="14"/>
  <c r="C1260" i="14"/>
  <c r="D1259" i="14"/>
  <c r="C1259" i="14"/>
  <c r="D1258" i="14"/>
  <c r="C1258" i="14"/>
  <c r="D1257" i="14"/>
  <c r="C1257" i="14"/>
  <c r="D1256" i="14"/>
  <c r="C1256" i="14"/>
  <c r="D1255" i="14"/>
  <c r="C1255" i="14"/>
  <c r="D1254" i="14"/>
  <c r="C1254" i="14"/>
  <c r="D1253" i="14"/>
  <c r="C1253" i="14"/>
  <c r="D1252" i="14"/>
  <c r="C1252" i="14"/>
  <c r="D1251" i="14"/>
  <c r="C1251" i="14"/>
  <c r="D1250" i="14"/>
  <c r="C1250" i="14"/>
  <c r="D1249" i="14"/>
  <c r="C1249" i="14"/>
  <c r="D1248" i="14"/>
  <c r="C1248" i="14"/>
  <c r="D1247" i="14"/>
  <c r="C1247" i="14"/>
  <c r="D1246" i="14"/>
  <c r="C1246" i="14"/>
  <c r="D1245" i="14"/>
  <c r="C1245" i="14"/>
  <c r="D1244" i="14"/>
  <c r="C1244" i="14"/>
  <c r="D1243" i="14"/>
  <c r="C1243" i="14"/>
  <c r="D1242" i="14"/>
  <c r="C1242" i="14"/>
  <c r="D1241" i="14"/>
  <c r="C1241" i="14"/>
  <c r="D1240" i="14"/>
  <c r="C1240" i="14"/>
  <c r="D1239" i="14"/>
  <c r="C1239" i="14"/>
  <c r="D1238" i="14"/>
  <c r="C1238" i="14"/>
  <c r="D1237" i="14"/>
  <c r="C1237" i="14"/>
  <c r="D1236" i="14"/>
  <c r="C1236" i="14"/>
  <c r="D1235" i="14"/>
  <c r="C1235" i="14"/>
  <c r="D1234" i="14"/>
  <c r="C1234" i="14"/>
  <c r="D1233" i="14"/>
  <c r="C1233" i="14"/>
  <c r="D1232" i="14"/>
  <c r="C1232" i="14"/>
  <c r="D1231" i="14"/>
  <c r="C1231" i="14"/>
  <c r="D1230" i="14"/>
  <c r="C1230" i="14"/>
  <c r="D1229" i="14"/>
  <c r="C1229" i="14"/>
  <c r="D1228" i="14"/>
  <c r="C1228" i="14"/>
  <c r="D1227" i="14"/>
  <c r="C1227" i="14"/>
  <c r="D1226" i="14"/>
  <c r="C1226" i="14"/>
  <c r="D1225" i="14"/>
  <c r="C1225" i="14"/>
  <c r="D1224" i="14"/>
  <c r="C1224" i="14"/>
  <c r="D1223" i="14"/>
  <c r="C1223" i="14"/>
  <c r="D1222" i="14"/>
  <c r="C1222" i="14"/>
  <c r="D1221" i="14"/>
  <c r="C1221" i="14"/>
  <c r="D1220" i="14"/>
  <c r="C1220" i="14"/>
  <c r="D1219" i="14"/>
  <c r="C1219" i="14"/>
  <c r="D1218" i="14"/>
  <c r="C1218" i="14"/>
  <c r="D1217" i="14"/>
  <c r="C1217" i="14"/>
  <c r="D1216" i="14"/>
  <c r="C1216" i="14"/>
  <c r="D1215" i="14"/>
  <c r="C1215" i="14"/>
  <c r="D1214" i="14"/>
  <c r="C1214" i="14"/>
  <c r="D1213" i="14"/>
  <c r="C1213" i="14"/>
  <c r="D1212" i="14"/>
  <c r="C1212" i="14"/>
  <c r="D1211" i="14"/>
  <c r="C1211" i="14"/>
  <c r="D1210" i="14"/>
  <c r="C1210" i="14"/>
  <c r="D1209" i="14"/>
  <c r="C1209" i="14"/>
  <c r="D1208" i="14"/>
  <c r="C1208" i="14"/>
  <c r="D1207" i="14"/>
  <c r="C1207" i="14"/>
  <c r="D1206" i="14"/>
  <c r="C1206" i="14"/>
  <c r="D1205" i="14"/>
  <c r="C1205" i="14"/>
  <c r="D1204" i="14"/>
  <c r="C1204" i="14"/>
  <c r="D1203" i="14"/>
  <c r="C1203" i="14"/>
  <c r="D1202" i="14"/>
  <c r="C1202" i="14"/>
  <c r="D1201" i="14"/>
  <c r="C1201" i="14"/>
  <c r="D1200" i="14"/>
  <c r="C1200" i="14"/>
  <c r="D1199" i="14"/>
  <c r="C1199" i="14"/>
  <c r="D1198" i="14"/>
  <c r="C1198" i="14"/>
  <c r="D1197" i="14"/>
  <c r="C1197" i="14"/>
  <c r="D1196" i="14"/>
  <c r="C1196" i="14"/>
  <c r="D1195" i="14"/>
  <c r="C1195" i="14"/>
  <c r="D1194" i="14"/>
  <c r="C1194" i="14"/>
  <c r="D1193" i="14"/>
  <c r="C1193" i="14"/>
  <c r="D1192" i="14"/>
  <c r="C1192" i="14"/>
  <c r="D1191" i="14"/>
  <c r="C1191" i="14"/>
  <c r="D1190" i="14"/>
  <c r="C1190" i="14"/>
  <c r="D1189" i="14"/>
  <c r="C1189" i="14"/>
  <c r="D1188" i="14"/>
  <c r="C1188" i="14"/>
  <c r="D1187" i="14"/>
  <c r="C1187" i="14"/>
  <c r="D1186" i="14"/>
  <c r="C1186" i="14"/>
  <c r="D1185" i="14"/>
  <c r="C1185" i="14"/>
  <c r="D1184" i="14"/>
  <c r="C1184" i="14"/>
  <c r="D1183" i="14"/>
  <c r="C1183" i="14"/>
  <c r="D1182" i="14"/>
  <c r="C1182" i="14"/>
  <c r="D1181" i="14"/>
  <c r="C1181" i="14"/>
  <c r="D1180" i="14"/>
  <c r="C1180" i="14"/>
  <c r="D1179" i="14"/>
  <c r="C1179" i="14"/>
  <c r="D1178" i="14"/>
  <c r="C1178" i="14"/>
  <c r="D1177" i="14"/>
  <c r="C1177" i="14"/>
  <c r="D1176" i="14"/>
  <c r="C1176" i="14"/>
  <c r="D1175" i="14"/>
  <c r="C1175" i="14"/>
  <c r="D1174" i="14"/>
  <c r="C1174" i="14"/>
  <c r="D1173" i="14"/>
  <c r="C1173" i="14"/>
  <c r="D1172" i="14"/>
  <c r="C1172" i="14"/>
  <c r="D1171" i="14"/>
  <c r="C1171" i="14"/>
  <c r="D1170" i="14"/>
  <c r="C1170" i="14"/>
  <c r="D1169" i="14"/>
  <c r="C1169" i="14"/>
  <c r="D1168" i="14"/>
  <c r="C1168" i="14"/>
  <c r="D1167" i="14"/>
  <c r="C1167" i="14"/>
  <c r="D1166" i="14"/>
  <c r="C1166" i="14"/>
  <c r="D1165" i="14"/>
  <c r="C1165" i="14"/>
  <c r="D1164" i="14"/>
  <c r="C1164" i="14"/>
  <c r="D1163" i="14"/>
  <c r="C1163" i="14"/>
  <c r="D1162" i="14"/>
  <c r="C1162" i="14"/>
  <c r="D1161" i="14"/>
  <c r="C1161" i="14"/>
  <c r="D1160" i="14"/>
  <c r="C1160" i="14"/>
  <c r="D1159" i="14"/>
  <c r="C1159" i="14"/>
  <c r="D1158" i="14"/>
  <c r="C1158" i="14"/>
  <c r="D1157" i="14"/>
  <c r="C1157" i="14"/>
  <c r="D1156" i="14"/>
  <c r="C1156" i="14"/>
  <c r="D1155" i="14"/>
  <c r="C1155" i="14"/>
  <c r="D1154" i="14"/>
  <c r="C1154" i="14"/>
  <c r="D1153" i="14"/>
  <c r="C1153" i="14"/>
  <c r="D1152" i="14"/>
  <c r="C1152" i="14"/>
  <c r="D1151" i="14"/>
  <c r="C1151" i="14"/>
  <c r="D1150" i="14"/>
  <c r="C1150" i="14"/>
  <c r="D1149" i="14"/>
  <c r="C1149" i="14"/>
  <c r="D1148" i="14"/>
  <c r="C1148" i="14"/>
  <c r="D1147" i="14"/>
  <c r="C1147" i="14"/>
  <c r="D1146" i="14"/>
  <c r="C1146" i="14"/>
  <c r="D1145" i="14"/>
  <c r="C1145" i="14"/>
  <c r="D1144" i="14"/>
  <c r="C1144" i="14"/>
  <c r="D1143" i="14"/>
  <c r="C1143" i="14"/>
  <c r="D1142" i="14"/>
  <c r="C1142" i="14"/>
  <c r="D1141" i="14"/>
  <c r="C1141" i="14"/>
  <c r="D1140" i="14"/>
  <c r="C1140" i="14"/>
  <c r="D1139" i="14"/>
  <c r="C1139" i="14"/>
  <c r="D1138" i="14"/>
  <c r="C1138" i="14"/>
  <c r="D1137" i="14"/>
  <c r="C1137" i="14"/>
  <c r="D1136" i="14"/>
  <c r="C1136" i="14"/>
  <c r="D1135" i="14"/>
  <c r="C1135" i="14"/>
  <c r="D1134" i="14"/>
  <c r="C1134" i="14"/>
  <c r="D1133" i="14"/>
  <c r="C1133" i="14"/>
  <c r="D1132" i="14"/>
  <c r="C1132" i="14"/>
  <c r="D1131" i="14"/>
  <c r="C1131" i="14"/>
  <c r="D1130" i="14"/>
  <c r="C1130" i="14"/>
  <c r="D1129" i="14"/>
  <c r="C1129" i="14"/>
  <c r="D1128" i="14"/>
  <c r="C1128" i="14"/>
  <c r="D1127" i="14"/>
  <c r="C1127" i="14"/>
  <c r="D1126" i="14"/>
  <c r="C1126" i="14"/>
  <c r="D1125" i="14"/>
  <c r="C1125" i="14"/>
  <c r="D1124" i="14"/>
  <c r="C1124" i="14"/>
  <c r="D1123" i="14"/>
  <c r="C1123" i="14"/>
  <c r="D1122" i="14"/>
  <c r="C1122" i="14"/>
  <c r="D1121" i="14"/>
  <c r="C1121" i="14"/>
  <c r="D1120" i="14"/>
  <c r="C1120" i="14"/>
  <c r="D1119" i="14"/>
  <c r="C1119" i="14"/>
  <c r="D1118" i="14"/>
  <c r="C1118" i="14"/>
  <c r="D1117" i="14"/>
  <c r="C1117" i="14"/>
  <c r="D1116" i="14"/>
  <c r="C1116" i="14"/>
  <c r="D1115" i="14"/>
  <c r="C1115" i="14"/>
  <c r="D1114" i="14"/>
  <c r="C1114" i="14"/>
  <c r="D1113" i="14"/>
  <c r="C1113" i="14"/>
  <c r="D1112" i="14"/>
  <c r="C1112" i="14"/>
  <c r="D1111" i="14"/>
  <c r="C1111" i="14"/>
  <c r="D1110" i="14"/>
  <c r="C1110" i="14"/>
  <c r="D1109" i="14"/>
  <c r="C1109" i="14"/>
  <c r="D1108" i="14"/>
  <c r="C1108" i="14"/>
  <c r="D1107" i="14"/>
  <c r="C1107" i="14"/>
  <c r="D1106" i="14"/>
  <c r="C1106" i="14"/>
  <c r="D1105" i="14"/>
  <c r="C1105" i="14"/>
  <c r="D1104" i="14"/>
  <c r="C1104" i="14"/>
  <c r="D1103" i="14"/>
  <c r="C1103" i="14"/>
  <c r="D1102" i="14"/>
  <c r="C1102" i="14"/>
  <c r="D1101" i="14"/>
  <c r="C1101" i="14"/>
  <c r="D1100" i="14"/>
  <c r="C1100" i="14"/>
  <c r="D1099" i="14"/>
  <c r="C1099" i="14"/>
  <c r="D1098" i="14"/>
  <c r="C1098" i="14"/>
  <c r="D1097" i="14"/>
  <c r="C1097" i="14"/>
  <c r="D1096" i="14"/>
  <c r="C1096" i="14"/>
  <c r="D1095" i="14"/>
  <c r="C1095" i="14"/>
  <c r="D1094" i="14"/>
  <c r="C1094" i="14"/>
  <c r="D1093" i="14"/>
  <c r="C1093" i="14"/>
  <c r="D1092" i="14"/>
  <c r="C1092" i="14"/>
  <c r="D1091" i="14"/>
  <c r="C1091" i="14"/>
  <c r="D1090" i="14"/>
  <c r="C1090" i="14"/>
  <c r="D1089" i="14"/>
  <c r="C1089" i="14"/>
  <c r="D1088" i="14"/>
  <c r="C1088" i="14"/>
  <c r="D1087" i="14"/>
  <c r="C1087" i="14"/>
  <c r="D1086" i="14"/>
  <c r="C1086" i="14"/>
  <c r="D1085" i="14"/>
  <c r="C1085" i="14"/>
  <c r="D1084" i="14"/>
  <c r="C1084" i="14"/>
  <c r="D1083" i="14"/>
  <c r="C1083" i="14"/>
  <c r="D1082" i="14"/>
  <c r="C1082" i="14"/>
  <c r="D1081" i="14"/>
  <c r="C1081" i="14"/>
  <c r="D1080" i="14"/>
  <c r="C1080" i="14"/>
  <c r="D1079" i="14"/>
  <c r="C1079" i="14"/>
  <c r="D1078" i="14"/>
  <c r="C1078" i="14"/>
  <c r="D1077" i="14"/>
  <c r="C1077" i="14"/>
  <c r="D1076" i="14"/>
  <c r="C1076" i="14"/>
  <c r="D1075" i="14"/>
  <c r="C1075" i="14"/>
  <c r="D1074" i="14"/>
  <c r="C1074" i="14"/>
  <c r="D1073" i="14"/>
  <c r="C1073" i="14"/>
  <c r="D1072" i="14"/>
  <c r="C1072" i="14"/>
  <c r="D1071" i="14"/>
  <c r="C1071" i="14"/>
  <c r="D1070" i="14"/>
  <c r="C1070" i="14"/>
  <c r="D1069" i="14"/>
  <c r="C1069" i="14"/>
  <c r="D1068" i="14"/>
  <c r="C1068" i="14"/>
  <c r="D1067" i="14"/>
  <c r="C1067" i="14"/>
  <c r="D1066" i="14"/>
  <c r="C1066" i="14"/>
  <c r="D1065" i="14"/>
  <c r="C1065" i="14"/>
  <c r="D1064" i="14"/>
  <c r="C1064" i="14"/>
  <c r="D1063" i="14"/>
  <c r="C1063" i="14"/>
  <c r="D1062" i="14"/>
  <c r="C1062" i="14"/>
  <c r="D1061" i="14"/>
  <c r="C1061" i="14"/>
  <c r="D1060" i="14"/>
  <c r="C1060" i="14"/>
  <c r="D1059" i="14"/>
  <c r="C1059" i="14"/>
  <c r="D1058" i="14"/>
  <c r="C1058" i="14"/>
  <c r="D1057" i="14"/>
  <c r="C1057" i="14"/>
  <c r="D1056" i="14"/>
  <c r="C1056" i="14"/>
  <c r="D1055" i="14"/>
  <c r="C1055" i="14"/>
  <c r="D1054" i="14"/>
  <c r="C1054" i="14"/>
  <c r="D1053" i="14"/>
  <c r="C1053" i="14"/>
  <c r="D1052" i="14"/>
  <c r="C1052" i="14"/>
  <c r="D1051" i="14"/>
  <c r="C1051" i="14"/>
  <c r="D1050" i="14"/>
  <c r="C1050" i="14"/>
  <c r="D1049" i="14"/>
  <c r="C1049" i="14"/>
  <c r="D1048" i="14"/>
  <c r="C1048" i="14"/>
  <c r="D1047" i="14"/>
  <c r="C1047" i="14"/>
  <c r="D1046" i="14"/>
  <c r="C1046" i="14"/>
  <c r="D1045" i="14"/>
  <c r="C1045" i="14"/>
  <c r="D1044" i="14"/>
  <c r="C1044" i="14"/>
  <c r="D1043" i="14"/>
  <c r="C1043" i="14"/>
  <c r="D1042" i="14"/>
  <c r="C1042" i="14"/>
  <c r="D1041" i="14"/>
  <c r="C1041" i="14"/>
  <c r="D1040" i="14"/>
  <c r="C1040" i="14"/>
  <c r="D1039" i="14"/>
  <c r="C1039" i="14"/>
  <c r="D1038" i="14"/>
  <c r="C1038" i="14"/>
  <c r="D1037" i="14"/>
  <c r="C1037" i="14"/>
  <c r="D1036" i="14"/>
  <c r="C1036" i="14"/>
  <c r="D1035" i="14"/>
  <c r="C1035" i="14"/>
  <c r="D1034" i="14"/>
  <c r="C1034" i="14"/>
  <c r="D1033" i="14"/>
  <c r="C1033" i="14"/>
  <c r="D1032" i="14"/>
  <c r="C1032" i="14"/>
  <c r="D1031" i="14"/>
  <c r="C1031" i="14"/>
  <c r="D1030" i="14"/>
  <c r="C1030" i="14"/>
  <c r="D1029" i="14"/>
  <c r="C1029" i="14"/>
  <c r="D1028" i="14"/>
  <c r="C1028" i="14"/>
  <c r="D1027" i="14"/>
  <c r="C1027" i="14"/>
  <c r="D1026" i="14"/>
  <c r="C1026" i="14"/>
  <c r="D1025" i="14"/>
  <c r="C1025" i="14"/>
  <c r="D1024" i="14"/>
  <c r="C1024" i="14"/>
  <c r="D1023" i="14"/>
  <c r="C1023" i="14"/>
  <c r="D1022" i="14"/>
  <c r="C1022" i="14"/>
  <c r="D1021" i="14"/>
  <c r="C1021" i="14"/>
  <c r="D1020" i="14"/>
  <c r="C1020" i="14"/>
  <c r="D1019" i="14"/>
  <c r="C1019" i="14"/>
  <c r="D1018" i="14"/>
  <c r="C1018" i="14"/>
  <c r="D1017" i="14"/>
  <c r="C1017" i="14"/>
  <c r="D1016" i="14"/>
  <c r="C1016" i="14"/>
  <c r="D1015" i="14"/>
  <c r="C1015" i="14"/>
  <c r="D1014" i="14"/>
  <c r="C1014" i="14"/>
  <c r="D1013" i="14"/>
  <c r="C1013" i="14"/>
  <c r="D1012" i="14"/>
  <c r="C1012" i="14"/>
  <c r="D1011" i="14"/>
  <c r="C1011" i="14"/>
  <c r="D1010" i="14"/>
  <c r="C1010" i="14"/>
  <c r="D1009" i="14"/>
  <c r="C1009" i="14"/>
  <c r="D1008" i="14"/>
  <c r="C1008" i="14"/>
  <c r="D1007" i="14"/>
  <c r="C1007" i="14"/>
  <c r="D1006" i="14"/>
  <c r="C1006" i="14"/>
  <c r="D1005" i="14"/>
  <c r="C1005" i="14"/>
  <c r="D1004" i="14"/>
  <c r="C1004" i="14"/>
  <c r="D1003" i="14"/>
  <c r="C1003" i="14"/>
  <c r="D1002" i="14"/>
  <c r="C1002" i="14"/>
  <c r="D1001" i="14"/>
  <c r="C1001" i="14"/>
  <c r="D1000" i="14"/>
  <c r="C1000" i="14"/>
  <c r="D999" i="14"/>
  <c r="C999" i="14"/>
  <c r="D998" i="14"/>
  <c r="C998" i="14"/>
  <c r="D997" i="14"/>
  <c r="C997" i="14"/>
  <c r="D996" i="14"/>
  <c r="C996" i="14"/>
  <c r="D995" i="14"/>
  <c r="C995" i="14"/>
  <c r="D994" i="14"/>
  <c r="C994" i="14"/>
  <c r="D993" i="14"/>
  <c r="C993" i="14"/>
  <c r="D992" i="14"/>
  <c r="C992" i="14"/>
  <c r="D991" i="14"/>
  <c r="C991" i="14"/>
  <c r="D990" i="14"/>
  <c r="C990" i="14"/>
  <c r="D989" i="14"/>
  <c r="C989" i="14"/>
  <c r="D988" i="14"/>
  <c r="C988" i="14"/>
  <c r="D987" i="14"/>
  <c r="C987" i="14"/>
  <c r="D986" i="14"/>
  <c r="C986" i="14"/>
  <c r="D985" i="14"/>
  <c r="C985" i="14"/>
  <c r="D984" i="14"/>
  <c r="C984" i="14"/>
  <c r="D983" i="14"/>
  <c r="C983" i="14"/>
  <c r="D982" i="14"/>
  <c r="C982" i="14"/>
  <c r="D981" i="14"/>
  <c r="C981" i="14"/>
  <c r="D980" i="14"/>
  <c r="C980" i="14"/>
  <c r="D979" i="14"/>
  <c r="C979" i="14"/>
  <c r="D978" i="14"/>
  <c r="C978" i="14"/>
  <c r="D977" i="14"/>
  <c r="C977" i="14"/>
  <c r="D976" i="14"/>
  <c r="C976" i="14"/>
  <c r="D975" i="14"/>
  <c r="C975" i="14"/>
  <c r="D974" i="14"/>
  <c r="C974" i="14"/>
  <c r="D973" i="14"/>
  <c r="C973" i="14"/>
  <c r="D972" i="14"/>
  <c r="C972" i="14"/>
  <c r="D971" i="14"/>
  <c r="C971" i="14"/>
  <c r="D970" i="14"/>
  <c r="C970" i="14"/>
  <c r="D969" i="14"/>
  <c r="C969" i="14"/>
  <c r="D968" i="14"/>
  <c r="C968" i="14"/>
  <c r="D967" i="14"/>
  <c r="C967" i="14"/>
  <c r="D966" i="14"/>
  <c r="C966" i="14"/>
  <c r="D965" i="14"/>
  <c r="C965" i="14"/>
  <c r="D964" i="14"/>
  <c r="C964" i="14"/>
  <c r="D963" i="14"/>
  <c r="C963" i="14"/>
  <c r="D962" i="14"/>
  <c r="C962" i="14"/>
  <c r="D961" i="14"/>
  <c r="C961" i="14"/>
  <c r="D960" i="14"/>
  <c r="C960" i="14"/>
  <c r="D959" i="14"/>
  <c r="C959" i="14"/>
  <c r="D958" i="14"/>
  <c r="C958" i="14"/>
  <c r="D957" i="14"/>
  <c r="C957" i="14"/>
  <c r="D956" i="14"/>
  <c r="C956" i="14"/>
  <c r="D955" i="14"/>
  <c r="C955" i="14"/>
  <c r="D954" i="14"/>
  <c r="C954" i="14"/>
  <c r="D953" i="14"/>
  <c r="C953" i="14"/>
  <c r="D952" i="14"/>
  <c r="C952" i="14"/>
  <c r="D951" i="14"/>
  <c r="C951" i="14"/>
  <c r="D950" i="14"/>
  <c r="C950" i="14"/>
  <c r="D949" i="14"/>
  <c r="C949" i="14"/>
  <c r="D948" i="14"/>
  <c r="C948" i="14"/>
  <c r="D947" i="14"/>
  <c r="C947" i="14"/>
  <c r="D946" i="14"/>
  <c r="C946" i="14"/>
  <c r="D945" i="14"/>
  <c r="C945" i="14"/>
  <c r="D944" i="14"/>
  <c r="C944" i="14"/>
  <c r="D943" i="14"/>
  <c r="C943" i="14"/>
  <c r="D942" i="14"/>
  <c r="C942" i="14"/>
  <c r="D941" i="14"/>
  <c r="C941" i="14"/>
  <c r="D940" i="14"/>
  <c r="C940" i="14"/>
  <c r="D939" i="14"/>
  <c r="C939" i="14"/>
  <c r="D938" i="14"/>
  <c r="C938" i="14"/>
  <c r="D937" i="14"/>
  <c r="C937" i="14"/>
  <c r="D936" i="14"/>
  <c r="C936" i="14"/>
  <c r="D935" i="14"/>
  <c r="C935" i="14"/>
  <c r="D934" i="14"/>
  <c r="C934" i="14"/>
  <c r="D933" i="14"/>
  <c r="C933" i="14"/>
  <c r="D932" i="14"/>
  <c r="C932" i="14"/>
  <c r="D931" i="14"/>
  <c r="C931" i="14"/>
  <c r="D930" i="14"/>
  <c r="C930" i="14"/>
  <c r="D929" i="14"/>
  <c r="C929" i="14"/>
  <c r="D928" i="14"/>
  <c r="C928" i="14"/>
  <c r="D927" i="14"/>
  <c r="C927" i="14"/>
  <c r="D926" i="14"/>
  <c r="C926" i="14"/>
  <c r="D925" i="14"/>
  <c r="C925" i="14"/>
  <c r="D924" i="14"/>
  <c r="C924" i="14"/>
  <c r="D923" i="14"/>
  <c r="C923" i="14"/>
  <c r="D922" i="14"/>
  <c r="C922" i="14"/>
  <c r="D921" i="14"/>
  <c r="C921" i="14"/>
  <c r="D920" i="14"/>
  <c r="C920" i="14"/>
  <c r="D919" i="14"/>
  <c r="C919" i="14"/>
  <c r="D918" i="14"/>
  <c r="C918" i="14"/>
  <c r="D917" i="14"/>
  <c r="C917" i="14"/>
  <c r="D916" i="14"/>
  <c r="C916" i="14"/>
  <c r="D915" i="14"/>
  <c r="C915" i="14"/>
  <c r="D914" i="14"/>
  <c r="C914" i="14"/>
  <c r="D913" i="14"/>
  <c r="C913" i="14"/>
  <c r="D912" i="14"/>
  <c r="C912" i="14"/>
  <c r="D911" i="14"/>
  <c r="C911" i="14"/>
  <c r="D910" i="14"/>
  <c r="C910" i="14"/>
  <c r="D909" i="14"/>
  <c r="C909" i="14"/>
  <c r="D908" i="14"/>
  <c r="C908" i="14"/>
  <c r="D907" i="14"/>
  <c r="C907" i="14"/>
  <c r="D906" i="14"/>
  <c r="C906" i="14"/>
  <c r="D905" i="14"/>
  <c r="C905" i="14"/>
  <c r="D904" i="14"/>
  <c r="C904" i="14"/>
  <c r="D903" i="14"/>
  <c r="C903" i="14"/>
  <c r="D902" i="14"/>
  <c r="C902" i="14"/>
  <c r="D901" i="14"/>
  <c r="C901" i="14"/>
  <c r="D900" i="14"/>
  <c r="C900" i="14"/>
  <c r="D899" i="14"/>
  <c r="C899" i="14"/>
  <c r="D898" i="14"/>
  <c r="C898" i="14"/>
  <c r="D897" i="14"/>
  <c r="C897" i="14"/>
  <c r="D896" i="14"/>
  <c r="C896" i="14"/>
  <c r="D895" i="14"/>
  <c r="C895" i="14"/>
  <c r="D894" i="14"/>
  <c r="C894" i="14"/>
  <c r="D893" i="14"/>
  <c r="C893" i="14"/>
  <c r="D892" i="14"/>
  <c r="C892" i="14"/>
  <c r="D891" i="14"/>
  <c r="C891" i="14"/>
  <c r="D890" i="14"/>
  <c r="C890" i="14"/>
  <c r="D889" i="14"/>
  <c r="C889" i="14"/>
  <c r="D888" i="14"/>
  <c r="C888" i="14"/>
  <c r="D887" i="14"/>
  <c r="C887" i="14"/>
  <c r="D886" i="14"/>
  <c r="C886" i="14"/>
  <c r="D885" i="14"/>
  <c r="C885" i="14"/>
  <c r="D884" i="14"/>
  <c r="C884" i="14"/>
  <c r="D883" i="14"/>
  <c r="C883" i="14"/>
  <c r="D882" i="14"/>
  <c r="C882" i="14"/>
  <c r="D881" i="14"/>
  <c r="C881" i="14"/>
  <c r="D880" i="14"/>
  <c r="C880" i="14"/>
  <c r="D879" i="14"/>
  <c r="C879" i="14"/>
  <c r="D878" i="14"/>
  <c r="C878" i="14"/>
  <c r="D877" i="14"/>
  <c r="C877" i="14"/>
  <c r="D876" i="14"/>
  <c r="C876" i="14"/>
  <c r="D875" i="14"/>
  <c r="C875" i="14"/>
  <c r="D874" i="14"/>
  <c r="C874" i="14"/>
  <c r="D873" i="14"/>
  <c r="C873" i="14"/>
  <c r="D872" i="14"/>
  <c r="C872" i="14"/>
  <c r="D871" i="14"/>
  <c r="C871" i="14"/>
  <c r="D870" i="14"/>
  <c r="C870" i="14"/>
  <c r="D869" i="14"/>
  <c r="C869" i="14"/>
  <c r="D868" i="14"/>
  <c r="C868" i="14"/>
  <c r="D867" i="14"/>
  <c r="C867" i="14"/>
  <c r="D866" i="14"/>
  <c r="C866" i="14"/>
  <c r="D865" i="14"/>
  <c r="C865" i="14"/>
  <c r="D864" i="14"/>
  <c r="C864" i="14"/>
  <c r="D863" i="14"/>
  <c r="C863" i="14"/>
  <c r="D862" i="14"/>
  <c r="C862" i="14"/>
  <c r="D861" i="14"/>
  <c r="C861" i="14"/>
  <c r="D860" i="14"/>
  <c r="C860" i="14"/>
  <c r="D859" i="14"/>
  <c r="C859" i="14"/>
  <c r="D858" i="14"/>
  <c r="C858" i="14"/>
  <c r="D857" i="14"/>
  <c r="C857" i="14"/>
  <c r="D856" i="14"/>
  <c r="C856" i="14"/>
  <c r="D855" i="14"/>
  <c r="C855" i="14"/>
  <c r="D854" i="14"/>
  <c r="C854" i="14"/>
  <c r="D853" i="14"/>
  <c r="C853" i="14"/>
  <c r="D852" i="14"/>
  <c r="C852" i="14"/>
  <c r="D851" i="14"/>
  <c r="C851" i="14"/>
  <c r="D850" i="14"/>
  <c r="C850" i="14"/>
  <c r="D849" i="14"/>
  <c r="C849" i="14"/>
  <c r="D848" i="14"/>
  <c r="C848" i="14"/>
  <c r="D847" i="14"/>
  <c r="C847" i="14"/>
  <c r="D846" i="14"/>
  <c r="C846" i="14"/>
  <c r="D845" i="14"/>
  <c r="C845" i="14"/>
  <c r="D844" i="14"/>
  <c r="C844" i="14"/>
  <c r="D843" i="14"/>
  <c r="C843" i="14"/>
  <c r="D842" i="14"/>
  <c r="C842" i="14"/>
  <c r="D841" i="14"/>
  <c r="C841" i="14"/>
  <c r="D840" i="14"/>
  <c r="C840" i="14"/>
  <c r="D839" i="14"/>
  <c r="C839" i="14"/>
  <c r="D838" i="14"/>
  <c r="C838" i="14"/>
  <c r="D837" i="14"/>
  <c r="C837" i="14"/>
  <c r="D836" i="14"/>
  <c r="C836" i="14"/>
  <c r="D835" i="14"/>
  <c r="C835" i="14"/>
  <c r="D834" i="14"/>
  <c r="C834" i="14"/>
  <c r="D833" i="14"/>
  <c r="C833" i="14"/>
  <c r="D832" i="14"/>
  <c r="C832" i="14"/>
  <c r="D831" i="14"/>
  <c r="C831" i="14"/>
  <c r="D830" i="14"/>
  <c r="C830" i="14"/>
  <c r="D829" i="14"/>
  <c r="C829" i="14"/>
  <c r="D828" i="14"/>
  <c r="C828" i="14"/>
  <c r="D827" i="14"/>
  <c r="C827" i="14"/>
  <c r="D826" i="14"/>
  <c r="C826" i="14"/>
  <c r="D825" i="14"/>
  <c r="C825" i="14"/>
  <c r="D824" i="14"/>
  <c r="C824" i="14"/>
  <c r="D823" i="14"/>
  <c r="C823" i="14"/>
  <c r="D822" i="14"/>
  <c r="C822" i="14"/>
  <c r="D821" i="14"/>
  <c r="C821" i="14"/>
  <c r="D820" i="14"/>
  <c r="C820" i="14"/>
  <c r="D819" i="14"/>
  <c r="C819" i="14"/>
  <c r="D818" i="14"/>
  <c r="C818" i="14"/>
  <c r="D817" i="14"/>
  <c r="C817" i="14"/>
  <c r="D816" i="14"/>
  <c r="C816" i="14"/>
  <c r="D815" i="14"/>
  <c r="C815" i="14"/>
  <c r="D814" i="14"/>
  <c r="C814" i="14"/>
  <c r="D813" i="14"/>
  <c r="C813" i="14"/>
  <c r="D812" i="14"/>
  <c r="C812" i="14"/>
  <c r="D811" i="14"/>
  <c r="C811" i="14"/>
  <c r="D810" i="14"/>
  <c r="C810" i="14"/>
  <c r="D809" i="14"/>
  <c r="C809" i="14"/>
  <c r="D808" i="14"/>
  <c r="C808" i="14"/>
  <c r="D807" i="14"/>
  <c r="C807" i="14"/>
  <c r="D806" i="14"/>
  <c r="C806" i="14"/>
  <c r="D805" i="14"/>
  <c r="C805" i="14"/>
  <c r="D804" i="14"/>
  <c r="C804" i="14"/>
  <c r="D803" i="14"/>
  <c r="C803" i="14"/>
  <c r="D802" i="14"/>
  <c r="C802" i="14"/>
  <c r="D801" i="14"/>
  <c r="C801" i="14"/>
  <c r="D800" i="14"/>
  <c r="C800" i="14"/>
  <c r="D799" i="14"/>
  <c r="C799" i="14"/>
  <c r="D798" i="14"/>
  <c r="C798" i="14"/>
  <c r="D797" i="14"/>
  <c r="C797" i="14"/>
  <c r="D796" i="14"/>
  <c r="C796" i="14"/>
  <c r="D795" i="14"/>
  <c r="C795" i="14"/>
  <c r="D794" i="14"/>
  <c r="C794" i="14"/>
  <c r="D793" i="14"/>
  <c r="C793" i="14"/>
  <c r="D792" i="14"/>
  <c r="C792" i="14"/>
  <c r="D791" i="14"/>
  <c r="C791" i="14"/>
  <c r="D790" i="14"/>
  <c r="C790" i="14"/>
  <c r="D789" i="14"/>
  <c r="C789" i="14"/>
  <c r="D788" i="14"/>
  <c r="C788" i="14"/>
  <c r="D787" i="14"/>
  <c r="C787" i="14"/>
  <c r="D786" i="14"/>
  <c r="C786" i="14"/>
  <c r="D785" i="14"/>
  <c r="C785" i="14"/>
  <c r="D784" i="14"/>
  <c r="C784" i="14"/>
  <c r="D783" i="14"/>
  <c r="C783" i="14"/>
  <c r="D782" i="14"/>
  <c r="C782" i="14"/>
  <c r="D781" i="14"/>
  <c r="C781" i="14"/>
  <c r="D780" i="14"/>
  <c r="C780" i="14"/>
  <c r="D779" i="14"/>
  <c r="C779" i="14"/>
  <c r="D778" i="14"/>
  <c r="C778" i="14"/>
  <c r="D777" i="14"/>
  <c r="C777" i="14"/>
  <c r="D776" i="14"/>
  <c r="C776" i="14"/>
  <c r="D775" i="14"/>
  <c r="C775" i="14"/>
  <c r="D774" i="14"/>
  <c r="C774" i="14"/>
  <c r="D773" i="14"/>
  <c r="C773" i="14"/>
  <c r="D772" i="14"/>
  <c r="C772" i="14"/>
  <c r="D771" i="14"/>
  <c r="C771" i="14"/>
  <c r="D770" i="14"/>
  <c r="C770" i="14"/>
  <c r="D769" i="14"/>
  <c r="C769" i="14"/>
  <c r="D768" i="14"/>
  <c r="C768" i="14"/>
  <c r="D767" i="14"/>
  <c r="C767" i="14"/>
  <c r="D766" i="14"/>
  <c r="C766" i="14"/>
  <c r="D765" i="14"/>
  <c r="C765" i="14"/>
  <c r="D764" i="14"/>
  <c r="C764" i="14"/>
  <c r="D763" i="14"/>
  <c r="C763" i="14"/>
  <c r="D762" i="14"/>
  <c r="C762" i="14"/>
  <c r="D761" i="14"/>
  <c r="C761" i="14"/>
  <c r="D760" i="14"/>
  <c r="C760" i="14"/>
  <c r="D759" i="14"/>
  <c r="C759" i="14"/>
  <c r="D758" i="14"/>
  <c r="C758" i="14"/>
  <c r="D757" i="14"/>
  <c r="C757" i="14"/>
  <c r="D756" i="14"/>
  <c r="C756" i="14"/>
  <c r="D755" i="14"/>
  <c r="C755" i="14"/>
  <c r="D754" i="14"/>
  <c r="C754" i="14"/>
  <c r="D753" i="14"/>
  <c r="C753" i="14"/>
  <c r="D752" i="14"/>
  <c r="C752" i="14"/>
  <c r="D751" i="14"/>
  <c r="C751" i="14"/>
  <c r="D750" i="14"/>
  <c r="C750" i="14"/>
  <c r="D749" i="14"/>
  <c r="C749" i="14"/>
  <c r="D748" i="14"/>
  <c r="C748" i="14"/>
  <c r="D747" i="14"/>
  <c r="C747" i="14"/>
  <c r="D746" i="14"/>
  <c r="C746" i="14"/>
  <c r="D745" i="14"/>
  <c r="C745" i="14"/>
  <c r="D744" i="14"/>
  <c r="C744" i="14"/>
  <c r="D743" i="14"/>
  <c r="C743" i="14"/>
  <c r="D742" i="14"/>
  <c r="C742" i="14"/>
  <c r="D741" i="14"/>
  <c r="C741" i="14"/>
  <c r="D740" i="14"/>
  <c r="C740" i="14"/>
  <c r="D739" i="14"/>
  <c r="C739" i="14"/>
  <c r="D738" i="14"/>
  <c r="C738" i="14"/>
  <c r="D737" i="14"/>
  <c r="C737" i="14"/>
  <c r="D736" i="14"/>
  <c r="C736" i="14"/>
  <c r="D735" i="14"/>
  <c r="C735" i="14"/>
  <c r="D734" i="14"/>
  <c r="C734" i="14"/>
  <c r="D733" i="14"/>
  <c r="C733" i="14"/>
  <c r="D732" i="14"/>
  <c r="C732" i="14"/>
  <c r="D731" i="14"/>
  <c r="C731" i="14"/>
  <c r="D730" i="14"/>
  <c r="C730" i="14"/>
  <c r="D729" i="14"/>
  <c r="C729" i="14"/>
  <c r="D728" i="14"/>
  <c r="C728" i="14"/>
  <c r="D727" i="14"/>
  <c r="C727" i="14"/>
  <c r="D726" i="14"/>
  <c r="C726" i="14"/>
  <c r="D725" i="14"/>
  <c r="C725" i="14"/>
  <c r="D724" i="14"/>
  <c r="C724" i="14"/>
  <c r="D723" i="14"/>
  <c r="C723" i="14"/>
  <c r="D722" i="14"/>
  <c r="C722" i="14"/>
  <c r="D721" i="14"/>
  <c r="C721" i="14"/>
  <c r="D720" i="14"/>
  <c r="C720" i="14"/>
  <c r="D719" i="14"/>
  <c r="C719" i="14"/>
  <c r="D718" i="14"/>
  <c r="C718" i="14"/>
  <c r="D717" i="14"/>
  <c r="C717" i="14"/>
  <c r="D716" i="14"/>
  <c r="C716" i="14"/>
  <c r="D715" i="14"/>
  <c r="C715" i="14"/>
  <c r="D714" i="14"/>
  <c r="C714" i="14"/>
  <c r="D713" i="14"/>
  <c r="C713" i="14"/>
  <c r="D712" i="14"/>
  <c r="C712" i="14"/>
  <c r="D711" i="14"/>
  <c r="C711" i="14"/>
  <c r="D710" i="14"/>
  <c r="C710" i="14"/>
  <c r="D709" i="14"/>
  <c r="C709" i="14"/>
  <c r="D708" i="14"/>
  <c r="C708" i="14"/>
  <c r="D707" i="14"/>
  <c r="C707" i="14"/>
  <c r="D706" i="14"/>
  <c r="C706" i="14"/>
  <c r="D705" i="14"/>
  <c r="C705" i="14"/>
  <c r="D704" i="14"/>
  <c r="C704" i="14"/>
  <c r="D703" i="14"/>
  <c r="C703" i="14"/>
  <c r="D702" i="14"/>
  <c r="C702" i="14"/>
  <c r="D701" i="14"/>
  <c r="C701" i="14"/>
  <c r="D700" i="14"/>
  <c r="C700" i="14"/>
  <c r="D699" i="14"/>
  <c r="C699" i="14"/>
  <c r="D698" i="14"/>
  <c r="C698" i="14"/>
  <c r="D697" i="14"/>
  <c r="C697" i="14"/>
  <c r="D696" i="14"/>
  <c r="C696" i="14"/>
  <c r="D695" i="14"/>
  <c r="C695" i="14"/>
  <c r="D694" i="14"/>
  <c r="C694" i="14"/>
  <c r="D693" i="14"/>
  <c r="C693" i="14"/>
  <c r="D692" i="14"/>
  <c r="C692" i="14"/>
  <c r="D691" i="14"/>
  <c r="C691" i="14"/>
  <c r="D690" i="14"/>
  <c r="C690" i="14"/>
  <c r="D689" i="14"/>
  <c r="C689" i="14"/>
  <c r="D688" i="14"/>
  <c r="C688" i="14"/>
  <c r="D687" i="14"/>
  <c r="C687" i="14"/>
  <c r="D686" i="14"/>
  <c r="C686" i="14"/>
  <c r="D685" i="14"/>
  <c r="C685" i="14"/>
  <c r="D684" i="14"/>
  <c r="C684" i="14"/>
  <c r="D683" i="14"/>
  <c r="C683" i="14"/>
  <c r="D682" i="14"/>
  <c r="C682" i="14"/>
  <c r="D681" i="14"/>
  <c r="C681" i="14"/>
  <c r="D680" i="14"/>
  <c r="C680" i="14"/>
  <c r="D679" i="14"/>
  <c r="C679" i="14"/>
  <c r="D678" i="14"/>
  <c r="C678" i="14"/>
  <c r="D677" i="14"/>
  <c r="C677" i="14"/>
  <c r="D676" i="14"/>
  <c r="C676" i="14"/>
  <c r="D675" i="14"/>
  <c r="C675" i="14"/>
  <c r="D674" i="14"/>
  <c r="C674" i="14"/>
  <c r="D673" i="14"/>
  <c r="C673" i="14"/>
  <c r="D672" i="14"/>
  <c r="C672" i="14"/>
  <c r="D671" i="14"/>
  <c r="C671" i="14"/>
  <c r="D670" i="14"/>
  <c r="C670" i="14"/>
  <c r="D669" i="14"/>
  <c r="C669" i="14"/>
  <c r="D668" i="14"/>
  <c r="C668" i="14"/>
  <c r="D667" i="14"/>
  <c r="C667" i="14"/>
  <c r="D666" i="14"/>
  <c r="C666" i="14"/>
  <c r="D665" i="14"/>
  <c r="C665" i="14"/>
  <c r="D664" i="14"/>
  <c r="C664" i="14"/>
  <c r="D663" i="14"/>
  <c r="C663" i="14"/>
  <c r="D662" i="14"/>
  <c r="C662" i="14"/>
  <c r="D661" i="14"/>
  <c r="C661" i="14"/>
  <c r="D660" i="14"/>
  <c r="C660" i="14"/>
  <c r="D659" i="14"/>
  <c r="C659" i="14"/>
  <c r="D658" i="14"/>
  <c r="C658" i="14"/>
  <c r="D657" i="14"/>
  <c r="C657" i="14"/>
  <c r="D656" i="14"/>
  <c r="C656" i="14"/>
  <c r="D655" i="14"/>
  <c r="C655" i="14"/>
  <c r="D654" i="14"/>
  <c r="C654" i="14"/>
  <c r="D653" i="14"/>
  <c r="C653" i="14"/>
  <c r="D652" i="14"/>
  <c r="C652" i="14"/>
  <c r="D651" i="14"/>
  <c r="C651" i="14"/>
  <c r="D650" i="14"/>
  <c r="C650" i="14"/>
  <c r="D649" i="14"/>
  <c r="C649" i="14"/>
  <c r="D648" i="14"/>
  <c r="C648" i="14"/>
  <c r="D647" i="14"/>
  <c r="C647" i="14"/>
  <c r="D646" i="14"/>
  <c r="C646" i="14"/>
  <c r="D645" i="14"/>
  <c r="C645" i="14"/>
  <c r="D644" i="14"/>
  <c r="C644" i="14"/>
  <c r="D643" i="14"/>
  <c r="C643" i="14"/>
  <c r="D642" i="14"/>
  <c r="C642" i="14"/>
  <c r="D641" i="14"/>
  <c r="C641" i="14"/>
  <c r="D640" i="14"/>
  <c r="C640" i="14"/>
  <c r="D639" i="14"/>
  <c r="C639" i="14"/>
  <c r="D638" i="14"/>
  <c r="C638" i="14"/>
  <c r="D637" i="14"/>
  <c r="C637" i="14"/>
  <c r="D636" i="14"/>
  <c r="C636" i="14"/>
  <c r="D635" i="14"/>
  <c r="C635" i="14"/>
  <c r="D634" i="14"/>
  <c r="C634" i="14"/>
  <c r="D633" i="14"/>
  <c r="C633" i="14"/>
  <c r="D632" i="14"/>
  <c r="C632" i="14"/>
  <c r="D631" i="14"/>
  <c r="C631" i="14"/>
  <c r="D630" i="14"/>
  <c r="C630" i="14"/>
  <c r="D629" i="14"/>
  <c r="C629" i="14"/>
  <c r="D628" i="14"/>
  <c r="C628" i="14"/>
  <c r="D627" i="14"/>
  <c r="C627" i="14"/>
  <c r="D626" i="14"/>
  <c r="C626" i="14"/>
  <c r="D625" i="14"/>
  <c r="C625" i="14"/>
  <c r="D624" i="14"/>
  <c r="C624" i="14"/>
  <c r="D623" i="14"/>
  <c r="C623" i="14"/>
  <c r="D622" i="14"/>
  <c r="C622" i="14"/>
  <c r="D621" i="14"/>
  <c r="C621" i="14"/>
  <c r="D620" i="14"/>
  <c r="C620" i="14"/>
  <c r="D619" i="14"/>
  <c r="C619" i="14"/>
  <c r="D618" i="14"/>
  <c r="C618" i="14"/>
  <c r="D617" i="14"/>
  <c r="C617" i="14"/>
  <c r="D616" i="14"/>
  <c r="C616" i="14"/>
  <c r="D615" i="14"/>
  <c r="C615" i="14"/>
  <c r="D614" i="14"/>
  <c r="C614" i="14"/>
  <c r="D613" i="14"/>
  <c r="C613" i="14"/>
  <c r="D612" i="14"/>
  <c r="C612" i="14"/>
  <c r="D611" i="14"/>
  <c r="C611" i="14"/>
  <c r="D610" i="14"/>
  <c r="C610" i="14"/>
  <c r="D609" i="14"/>
  <c r="C609" i="14"/>
  <c r="D608" i="14"/>
  <c r="C608" i="14"/>
  <c r="D607" i="14"/>
  <c r="C607" i="14"/>
  <c r="D606" i="14"/>
  <c r="C606" i="14"/>
  <c r="D605" i="14"/>
  <c r="C605" i="14"/>
  <c r="D604" i="14"/>
  <c r="C604" i="14"/>
  <c r="D603" i="14"/>
  <c r="C603" i="14"/>
  <c r="D602" i="14"/>
  <c r="C602" i="14"/>
  <c r="D601" i="14"/>
  <c r="C601" i="14"/>
  <c r="D600" i="14"/>
  <c r="C600" i="14"/>
  <c r="D599" i="14"/>
  <c r="C599" i="14"/>
  <c r="D598" i="14"/>
  <c r="C598" i="14"/>
  <c r="D597" i="14"/>
  <c r="C597" i="14"/>
  <c r="D596" i="14"/>
  <c r="C596" i="14"/>
  <c r="D595" i="14"/>
  <c r="C595" i="14"/>
  <c r="D594" i="14"/>
  <c r="C594" i="14"/>
  <c r="D593" i="14"/>
  <c r="C593" i="14"/>
  <c r="D592" i="14"/>
  <c r="C592" i="14"/>
  <c r="D591" i="14"/>
  <c r="C591" i="14"/>
  <c r="D590" i="14"/>
  <c r="C590" i="14"/>
  <c r="D589" i="14"/>
  <c r="C589" i="14"/>
  <c r="D588" i="14"/>
  <c r="C588" i="14"/>
  <c r="D587" i="14"/>
  <c r="C587" i="14"/>
  <c r="D586" i="14"/>
  <c r="C586" i="14"/>
  <c r="D585" i="14"/>
  <c r="C585" i="14"/>
  <c r="D584" i="14"/>
  <c r="C584" i="14"/>
  <c r="D583" i="14"/>
  <c r="C583" i="14"/>
  <c r="D582" i="14"/>
  <c r="C582" i="14"/>
  <c r="D581" i="14"/>
  <c r="C581" i="14"/>
  <c r="D580" i="14"/>
  <c r="C580" i="14"/>
  <c r="D579" i="14"/>
  <c r="C579" i="14"/>
  <c r="D578" i="14"/>
  <c r="C578" i="14"/>
  <c r="D577" i="14"/>
  <c r="C577" i="14"/>
  <c r="D576" i="14"/>
  <c r="C576" i="14"/>
  <c r="D575" i="14"/>
  <c r="C575" i="14"/>
  <c r="D574" i="14"/>
  <c r="C574" i="14"/>
  <c r="D573" i="14"/>
  <c r="C573" i="14"/>
  <c r="D572" i="14"/>
  <c r="C572" i="14"/>
  <c r="D571" i="14"/>
  <c r="C571" i="14"/>
  <c r="D570" i="14"/>
  <c r="C570" i="14"/>
  <c r="D569" i="14"/>
  <c r="C569" i="14"/>
  <c r="D568" i="14"/>
  <c r="C568" i="14"/>
  <c r="D567" i="14"/>
  <c r="C567" i="14"/>
  <c r="D566" i="14"/>
  <c r="C566" i="14"/>
  <c r="D565" i="14"/>
  <c r="C565" i="14"/>
  <c r="D564" i="14"/>
  <c r="C564" i="14"/>
  <c r="D563" i="14"/>
  <c r="C563" i="14"/>
  <c r="D562" i="14"/>
  <c r="C562" i="14"/>
  <c r="D561" i="14"/>
  <c r="C561" i="14"/>
  <c r="D560" i="14"/>
  <c r="C560" i="14"/>
  <c r="D559" i="14"/>
  <c r="C559" i="14"/>
  <c r="D558" i="14"/>
  <c r="C558" i="14"/>
  <c r="D557" i="14"/>
  <c r="C557" i="14"/>
  <c r="D556" i="14"/>
  <c r="C556" i="14"/>
  <c r="D555" i="14"/>
  <c r="C555" i="14"/>
  <c r="D554" i="14"/>
  <c r="C554" i="14"/>
  <c r="D553" i="14"/>
  <c r="C553" i="14"/>
  <c r="D552" i="14"/>
  <c r="C552" i="14"/>
  <c r="D551" i="14"/>
  <c r="C551" i="14"/>
  <c r="D550" i="14"/>
  <c r="C550" i="14"/>
  <c r="D549" i="14"/>
  <c r="C549" i="14"/>
  <c r="D548" i="14"/>
  <c r="C548" i="14"/>
  <c r="D547" i="14"/>
  <c r="C547" i="14"/>
  <c r="D546" i="14"/>
  <c r="C546" i="14"/>
  <c r="D545" i="14"/>
  <c r="C545" i="14"/>
  <c r="D544" i="14"/>
  <c r="C544" i="14"/>
  <c r="D543" i="14"/>
  <c r="C543" i="14"/>
  <c r="D542" i="14"/>
  <c r="C542" i="14"/>
  <c r="D541" i="14"/>
  <c r="C541" i="14"/>
  <c r="D540" i="14"/>
  <c r="C540" i="14"/>
  <c r="D539" i="14"/>
  <c r="C539" i="14"/>
  <c r="D538" i="14"/>
  <c r="C538" i="14"/>
  <c r="D537" i="14"/>
  <c r="C537" i="14"/>
  <c r="D536" i="14"/>
  <c r="C536" i="14"/>
  <c r="D535" i="14"/>
  <c r="C535" i="14"/>
  <c r="D534" i="14"/>
  <c r="C534" i="14"/>
  <c r="D533" i="14"/>
  <c r="C533" i="14"/>
  <c r="D532" i="14"/>
  <c r="C532" i="14"/>
  <c r="D531" i="14"/>
  <c r="C531" i="14"/>
  <c r="D530" i="14"/>
  <c r="C530" i="14"/>
  <c r="D529" i="14"/>
  <c r="C529" i="14"/>
  <c r="D528" i="14"/>
  <c r="C528" i="14"/>
  <c r="D527" i="14"/>
  <c r="C527" i="14"/>
  <c r="D526" i="14"/>
  <c r="C526" i="14"/>
  <c r="D525" i="14"/>
  <c r="C525" i="14"/>
  <c r="D524" i="14"/>
  <c r="C524" i="14"/>
  <c r="D523" i="14"/>
  <c r="C523" i="14"/>
  <c r="D522" i="14"/>
  <c r="C522" i="14"/>
  <c r="D521" i="14"/>
  <c r="C521" i="14"/>
  <c r="D520" i="14"/>
  <c r="C520" i="14"/>
  <c r="D519" i="14"/>
  <c r="C519" i="14"/>
  <c r="D518" i="14"/>
  <c r="C518" i="14"/>
  <c r="D517" i="14"/>
  <c r="C517" i="14"/>
  <c r="D516" i="14"/>
  <c r="C516" i="14"/>
  <c r="D515" i="14"/>
  <c r="C515" i="14"/>
  <c r="D514" i="14"/>
  <c r="C514" i="14"/>
  <c r="D513" i="14"/>
  <c r="C513" i="14"/>
  <c r="D512" i="14"/>
  <c r="C512" i="14"/>
  <c r="D511" i="14"/>
  <c r="C511" i="14"/>
  <c r="D510" i="14"/>
  <c r="C510" i="14"/>
  <c r="D509" i="14"/>
  <c r="C509" i="14"/>
  <c r="D508" i="14"/>
  <c r="C508" i="14"/>
  <c r="D507" i="14"/>
  <c r="C507" i="14"/>
  <c r="D506" i="14"/>
  <c r="C506" i="14"/>
  <c r="D505" i="14"/>
  <c r="C505" i="14"/>
  <c r="D504" i="14"/>
  <c r="C504" i="14"/>
  <c r="D503" i="14"/>
  <c r="C503" i="14"/>
  <c r="D502" i="14"/>
  <c r="C502" i="14"/>
  <c r="D501" i="14"/>
  <c r="C501" i="14"/>
  <c r="D500" i="14"/>
  <c r="C500" i="14"/>
  <c r="D499" i="14"/>
  <c r="C499" i="14"/>
  <c r="D498" i="14"/>
  <c r="C498" i="14"/>
  <c r="D497" i="14"/>
  <c r="C497" i="14"/>
  <c r="D496" i="14"/>
  <c r="C496" i="14"/>
  <c r="D495" i="14"/>
  <c r="C495" i="14"/>
  <c r="D494" i="14"/>
  <c r="C494" i="14"/>
  <c r="D493" i="14"/>
  <c r="C493" i="14"/>
  <c r="D492" i="14"/>
  <c r="C492" i="14"/>
  <c r="D491" i="14"/>
  <c r="C491" i="14"/>
  <c r="D490" i="14"/>
  <c r="C490" i="14"/>
  <c r="D489" i="14"/>
  <c r="C489" i="14"/>
  <c r="D488" i="14"/>
  <c r="C488" i="14"/>
  <c r="D487" i="14"/>
  <c r="C487" i="14"/>
  <c r="D486" i="14"/>
  <c r="C486" i="14"/>
  <c r="D485" i="14"/>
  <c r="C485" i="14"/>
  <c r="D484" i="14"/>
  <c r="C484" i="14"/>
  <c r="D483" i="14"/>
  <c r="C483" i="14"/>
  <c r="D482" i="14"/>
  <c r="C482" i="14"/>
  <c r="D481" i="14"/>
  <c r="C481" i="14"/>
  <c r="D480" i="14"/>
  <c r="C480" i="14"/>
  <c r="D479" i="14"/>
  <c r="C479" i="14"/>
  <c r="D478" i="14"/>
  <c r="C478" i="14"/>
  <c r="D477" i="14"/>
  <c r="C477" i="14"/>
  <c r="D476" i="14"/>
  <c r="C476" i="14"/>
  <c r="D475" i="14"/>
  <c r="C475" i="14"/>
  <c r="D474" i="14"/>
  <c r="C474" i="14"/>
  <c r="D473" i="14"/>
  <c r="C473" i="14"/>
  <c r="D472" i="14"/>
  <c r="C472" i="14"/>
  <c r="D471" i="14"/>
  <c r="C471" i="14"/>
  <c r="D470" i="14"/>
  <c r="C470" i="14"/>
  <c r="D469" i="14"/>
  <c r="C469" i="14"/>
  <c r="D468" i="14"/>
  <c r="C468" i="14"/>
  <c r="D467" i="14"/>
  <c r="C467" i="14"/>
  <c r="D466" i="14"/>
  <c r="C466" i="14"/>
  <c r="D465" i="14"/>
  <c r="C465" i="14"/>
  <c r="D464" i="14"/>
  <c r="C464" i="14"/>
  <c r="D463" i="14"/>
  <c r="C463" i="14"/>
  <c r="D462" i="14"/>
  <c r="C462" i="14"/>
  <c r="D461" i="14"/>
  <c r="C461" i="14"/>
  <c r="D460" i="14"/>
  <c r="C460" i="14"/>
  <c r="D459" i="14"/>
  <c r="C459" i="14"/>
  <c r="D458" i="14"/>
  <c r="C458" i="14"/>
  <c r="D457" i="14"/>
  <c r="C457" i="14"/>
  <c r="D456" i="14"/>
  <c r="C456" i="14"/>
  <c r="D455" i="14"/>
  <c r="C455" i="14"/>
  <c r="D454" i="14"/>
  <c r="C454" i="14"/>
  <c r="D453" i="14"/>
  <c r="C453" i="14"/>
  <c r="D452" i="14"/>
  <c r="C452" i="14"/>
  <c r="D451" i="14"/>
  <c r="C451" i="14"/>
  <c r="D450" i="14"/>
  <c r="C450" i="14"/>
  <c r="D449" i="14"/>
  <c r="C449" i="14"/>
  <c r="D448" i="14"/>
  <c r="C448" i="14"/>
  <c r="D447" i="14"/>
  <c r="C447" i="14"/>
  <c r="D446" i="14"/>
  <c r="C446" i="14"/>
  <c r="D445" i="14"/>
  <c r="C445" i="14"/>
  <c r="D444" i="14"/>
  <c r="C444" i="14"/>
  <c r="D443" i="14"/>
  <c r="C443" i="14"/>
  <c r="D442" i="14"/>
  <c r="C442" i="14"/>
  <c r="D441" i="14"/>
  <c r="C441" i="14"/>
  <c r="D440" i="14"/>
  <c r="C440" i="14"/>
  <c r="D439" i="14"/>
  <c r="C439" i="14"/>
  <c r="D438" i="14"/>
  <c r="C438" i="14"/>
  <c r="D437" i="14"/>
  <c r="C437" i="14"/>
  <c r="D436" i="14"/>
  <c r="C436" i="14"/>
  <c r="D435" i="14"/>
  <c r="C435" i="14"/>
  <c r="D434" i="14"/>
  <c r="C434" i="14"/>
  <c r="D433" i="14"/>
  <c r="C433" i="14"/>
  <c r="D432" i="14"/>
  <c r="C432" i="14"/>
  <c r="D431" i="14"/>
  <c r="C431" i="14"/>
  <c r="D430" i="14"/>
  <c r="C430" i="14"/>
  <c r="D429" i="14"/>
  <c r="C429" i="14"/>
  <c r="D428" i="14"/>
  <c r="C428" i="14"/>
  <c r="D427" i="14"/>
  <c r="C427" i="14"/>
  <c r="D426" i="14"/>
  <c r="C426" i="14"/>
  <c r="D425" i="14"/>
  <c r="C425" i="14"/>
  <c r="D424" i="14"/>
  <c r="C424" i="14"/>
  <c r="D423" i="14"/>
  <c r="C423" i="14"/>
  <c r="D422" i="14"/>
  <c r="C422" i="14"/>
  <c r="D421" i="14"/>
  <c r="C421" i="14"/>
  <c r="D420" i="14"/>
  <c r="C420" i="14"/>
  <c r="D419" i="14"/>
  <c r="C419" i="14"/>
  <c r="D418" i="14"/>
  <c r="C418" i="14"/>
  <c r="D417" i="14"/>
  <c r="C417" i="14"/>
  <c r="D416" i="14"/>
  <c r="C416" i="14"/>
  <c r="D415" i="14"/>
  <c r="C415" i="14"/>
  <c r="D414" i="14"/>
  <c r="C414" i="14"/>
  <c r="D413" i="14"/>
  <c r="C413" i="14"/>
  <c r="D412" i="14"/>
  <c r="C412" i="14"/>
  <c r="D411" i="14"/>
  <c r="C411" i="14"/>
  <c r="D410" i="14"/>
  <c r="C410" i="14"/>
  <c r="D409" i="14"/>
  <c r="C409" i="14"/>
  <c r="D408" i="14"/>
  <c r="C408" i="14"/>
  <c r="D407" i="14"/>
  <c r="C407" i="14"/>
  <c r="D406" i="14"/>
  <c r="C406" i="14"/>
  <c r="D405" i="14"/>
  <c r="C405" i="14"/>
  <c r="D404" i="14"/>
  <c r="C404" i="14"/>
  <c r="D403" i="14"/>
  <c r="C403" i="14"/>
  <c r="D402" i="14"/>
  <c r="C402" i="14"/>
  <c r="D401" i="14"/>
  <c r="C401" i="14"/>
  <c r="D400" i="14"/>
  <c r="C400" i="14"/>
  <c r="D399" i="14"/>
  <c r="C399" i="14"/>
  <c r="D398" i="14"/>
  <c r="C398" i="14"/>
  <c r="D397" i="14"/>
  <c r="C397" i="14"/>
  <c r="D396" i="14"/>
  <c r="C396" i="14"/>
  <c r="D395" i="14"/>
  <c r="C395" i="14"/>
  <c r="D394" i="14"/>
  <c r="C394" i="14"/>
  <c r="D393" i="14"/>
  <c r="C393" i="14"/>
  <c r="D392" i="14"/>
  <c r="C392" i="14"/>
  <c r="D391" i="14"/>
  <c r="C391" i="14"/>
  <c r="D390" i="14"/>
  <c r="C390" i="14"/>
  <c r="D389" i="14"/>
  <c r="C389" i="14"/>
  <c r="D388" i="14"/>
  <c r="C388" i="14"/>
  <c r="D387" i="14"/>
  <c r="C387" i="14"/>
  <c r="D386" i="14"/>
  <c r="C386" i="14"/>
  <c r="D385" i="14"/>
  <c r="C385" i="14"/>
  <c r="D384" i="14"/>
  <c r="C384" i="14"/>
  <c r="D383" i="14"/>
  <c r="C383" i="14"/>
  <c r="D382" i="14"/>
  <c r="C382" i="14"/>
  <c r="D381" i="14"/>
  <c r="C381" i="14"/>
  <c r="D380" i="14"/>
  <c r="C380" i="14"/>
  <c r="D379" i="14"/>
  <c r="C379" i="14"/>
  <c r="D378" i="14"/>
  <c r="C378" i="14"/>
  <c r="D377" i="14"/>
  <c r="C377" i="14"/>
  <c r="D376" i="14"/>
  <c r="C376" i="14"/>
  <c r="D375" i="14"/>
  <c r="C375" i="14"/>
  <c r="D374" i="14"/>
  <c r="C374" i="14"/>
  <c r="D373" i="14"/>
  <c r="C373" i="14"/>
  <c r="D372" i="14"/>
  <c r="C372" i="14"/>
  <c r="D371" i="14"/>
  <c r="C371" i="14"/>
  <c r="D370" i="14"/>
  <c r="C370" i="14"/>
  <c r="D369" i="14"/>
  <c r="C369" i="14"/>
  <c r="D368" i="14"/>
  <c r="C368" i="14"/>
  <c r="D367" i="14"/>
  <c r="C367" i="14"/>
  <c r="D366" i="14"/>
  <c r="C366" i="14"/>
  <c r="D365" i="14"/>
  <c r="C365" i="14"/>
  <c r="D364" i="14"/>
  <c r="C364" i="14"/>
  <c r="D363" i="14"/>
  <c r="C363" i="14"/>
  <c r="D362" i="14"/>
  <c r="C362" i="14"/>
  <c r="D361" i="14"/>
  <c r="C361" i="14"/>
  <c r="D360" i="14"/>
  <c r="C360" i="14"/>
  <c r="D359" i="14"/>
  <c r="C359" i="14"/>
  <c r="D358" i="14"/>
  <c r="C358" i="14"/>
  <c r="D357" i="14"/>
  <c r="C357" i="14"/>
  <c r="D356" i="14"/>
  <c r="C356" i="14"/>
  <c r="D355" i="14"/>
  <c r="C355" i="14"/>
  <c r="D354" i="14"/>
  <c r="C354" i="14"/>
  <c r="D353" i="14"/>
  <c r="C353" i="14"/>
  <c r="D352" i="14"/>
  <c r="C352" i="14"/>
  <c r="D351" i="14"/>
  <c r="C351" i="14"/>
  <c r="D350" i="14"/>
  <c r="C350" i="14"/>
  <c r="D349" i="14"/>
  <c r="C349" i="14"/>
  <c r="D348" i="14"/>
  <c r="C348" i="14"/>
  <c r="D347" i="14"/>
  <c r="C347" i="14"/>
  <c r="D346" i="14"/>
  <c r="C346" i="14"/>
  <c r="D345" i="14"/>
  <c r="C345" i="14"/>
  <c r="D344" i="14"/>
  <c r="C344" i="14"/>
  <c r="D343" i="14"/>
  <c r="C343" i="14"/>
  <c r="D342" i="14"/>
  <c r="C342" i="14"/>
  <c r="D341" i="14"/>
  <c r="C341" i="14"/>
  <c r="D340" i="14"/>
  <c r="C340" i="14"/>
  <c r="D339" i="14"/>
  <c r="C339" i="14"/>
  <c r="D338" i="14"/>
  <c r="C338" i="14"/>
  <c r="D337" i="14"/>
  <c r="C337" i="14"/>
  <c r="D336" i="14"/>
  <c r="C336" i="14"/>
  <c r="D335" i="14"/>
  <c r="C335" i="14"/>
  <c r="D334" i="14"/>
  <c r="C334" i="14"/>
  <c r="D333" i="14"/>
  <c r="C333" i="14"/>
  <c r="D332" i="14"/>
  <c r="C332" i="14"/>
  <c r="D331" i="14"/>
  <c r="C331" i="14"/>
  <c r="D330" i="14"/>
  <c r="C330" i="14"/>
  <c r="D329" i="14"/>
  <c r="C329" i="14"/>
  <c r="D328" i="14"/>
  <c r="C328" i="14"/>
  <c r="D327" i="14"/>
  <c r="C327" i="14"/>
  <c r="D326" i="14"/>
  <c r="C326" i="14"/>
  <c r="D325" i="14"/>
  <c r="C325" i="14"/>
  <c r="D324" i="14"/>
  <c r="C324" i="14"/>
  <c r="D323" i="14"/>
  <c r="C323" i="14"/>
  <c r="D322" i="14"/>
  <c r="C322" i="14"/>
  <c r="D321" i="14"/>
  <c r="C321" i="14"/>
  <c r="D320" i="14"/>
  <c r="C320" i="14"/>
  <c r="D319" i="14"/>
  <c r="C319" i="14"/>
  <c r="D318" i="14"/>
  <c r="C318" i="14"/>
  <c r="D317" i="14"/>
  <c r="C317" i="14"/>
  <c r="D316" i="14"/>
  <c r="C316" i="14"/>
  <c r="D315" i="14"/>
  <c r="C315" i="14"/>
  <c r="D314" i="14"/>
  <c r="C314" i="14"/>
  <c r="D313" i="14"/>
  <c r="C313" i="14"/>
  <c r="D312" i="14"/>
  <c r="C312" i="14"/>
  <c r="D311" i="14"/>
  <c r="C311" i="14"/>
  <c r="D310" i="14"/>
  <c r="C310" i="14"/>
  <c r="D309" i="14"/>
  <c r="C309" i="14"/>
  <c r="D308" i="14"/>
  <c r="C308" i="14"/>
  <c r="D307" i="14"/>
  <c r="C307" i="14"/>
  <c r="D306" i="14"/>
  <c r="C306" i="14"/>
  <c r="D305" i="14"/>
  <c r="C305" i="14"/>
  <c r="D304" i="14"/>
  <c r="C304" i="14"/>
  <c r="D303" i="14"/>
  <c r="C303" i="14"/>
  <c r="D302" i="14"/>
  <c r="C302" i="14"/>
  <c r="D301" i="14"/>
  <c r="C301" i="14"/>
  <c r="D300" i="14"/>
  <c r="C300" i="14"/>
  <c r="D299" i="14"/>
  <c r="C299" i="14"/>
  <c r="D298" i="14"/>
  <c r="C298" i="14"/>
  <c r="D297" i="14"/>
  <c r="C297" i="14"/>
  <c r="D296" i="14"/>
  <c r="C296" i="14"/>
  <c r="D295" i="14"/>
  <c r="C295" i="14"/>
  <c r="D294" i="14"/>
  <c r="C294" i="14"/>
  <c r="D293" i="14"/>
  <c r="C293" i="14"/>
  <c r="D292" i="14"/>
  <c r="C292" i="14"/>
  <c r="D291" i="14"/>
  <c r="C291" i="14"/>
  <c r="D290" i="14"/>
  <c r="C290" i="14"/>
  <c r="D289" i="14"/>
  <c r="C289" i="14"/>
  <c r="D288" i="14"/>
  <c r="C288" i="14"/>
  <c r="D287" i="14"/>
  <c r="C287" i="14"/>
  <c r="D286" i="14"/>
  <c r="C286" i="14"/>
  <c r="D285" i="14"/>
  <c r="C285" i="14"/>
  <c r="D284" i="14"/>
  <c r="C284" i="14"/>
  <c r="D283" i="14"/>
  <c r="C283" i="14"/>
  <c r="D282" i="14"/>
  <c r="C282" i="14"/>
  <c r="D281" i="14"/>
  <c r="C281" i="14"/>
  <c r="D280" i="14"/>
  <c r="C280" i="14"/>
  <c r="D279" i="14"/>
  <c r="C279" i="14"/>
  <c r="D278" i="14"/>
  <c r="C278" i="14"/>
  <c r="D277" i="14"/>
  <c r="C277" i="14"/>
  <c r="D276" i="14"/>
  <c r="C276" i="14"/>
  <c r="D275" i="14"/>
  <c r="C275" i="14"/>
  <c r="D274" i="14"/>
  <c r="C274" i="14"/>
  <c r="D273" i="14"/>
  <c r="C273" i="14"/>
  <c r="D272" i="14"/>
  <c r="C272" i="14"/>
  <c r="D271" i="14"/>
  <c r="C271" i="14"/>
  <c r="D270" i="14"/>
  <c r="C270" i="14"/>
  <c r="D269" i="14"/>
  <c r="C269" i="14"/>
  <c r="D268" i="14"/>
  <c r="C268" i="14"/>
  <c r="D267" i="14"/>
  <c r="C267" i="14"/>
  <c r="D266" i="14"/>
  <c r="C266" i="14"/>
  <c r="D265" i="14"/>
  <c r="C265" i="14"/>
  <c r="D264" i="14"/>
  <c r="C264" i="14"/>
  <c r="D263" i="14"/>
  <c r="C263" i="14"/>
  <c r="D262" i="14"/>
  <c r="C262" i="14"/>
  <c r="D261" i="14"/>
  <c r="C261" i="14"/>
  <c r="D260" i="14"/>
  <c r="C260" i="14"/>
  <c r="D259" i="14"/>
  <c r="C259" i="14"/>
  <c r="D258" i="14"/>
  <c r="C258" i="14"/>
  <c r="D257" i="14"/>
  <c r="C257" i="14"/>
  <c r="D256" i="14"/>
  <c r="C256" i="14"/>
  <c r="D255" i="14"/>
  <c r="C255" i="14"/>
  <c r="D254" i="14"/>
  <c r="C254" i="14"/>
  <c r="D253" i="14"/>
  <c r="C253" i="14"/>
  <c r="D252" i="14"/>
  <c r="C252" i="14"/>
  <c r="D251" i="14"/>
  <c r="C251" i="14"/>
  <c r="D250" i="14"/>
  <c r="C250" i="14"/>
  <c r="D249" i="14"/>
  <c r="C249" i="14"/>
  <c r="D248" i="14"/>
  <c r="C248" i="14"/>
  <c r="D247" i="14"/>
  <c r="C247" i="14"/>
  <c r="D246" i="14"/>
  <c r="C246" i="14"/>
  <c r="D245" i="14"/>
  <c r="C245" i="14"/>
  <c r="D244" i="14"/>
  <c r="C244" i="14"/>
  <c r="D243" i="14"/>
  <c r="C243" i="14"/>
  <c r="D242" i="14"/>
  <c r="C242" i="14"/>
  <c r="D241" i="14"/>
  <c r="C241" i="14"/>
  <c r="D240" i="14"/>
  <c r="C240" i="14"/>
  <c r="D239" i="14"/>
  <c r="C239" i="14"/>
  <c r="D238" i="14"/>
  <c r="C238" i="14"/>
  <c r="D237" i="14"/>
  <c r="C237" i="14"/>
  <c r="D236" i="14"/>
  <c r="C236" i="14"/>
  <c r="D235" i="14"/>
  <c r="C235" i="14"/>
  <c r="D234" i="14"/>
  <c r="C234" i="14"/>
  <c r="D233" i="14"/>
  <c r="C233" i="14"/>
  <c r="D232" i="14"/>
  <c r="C232" i="14"/>
  <c r="D231" i="14"/>
  <c r="C231" i="14"/>
  <c r="D230" i="14"/>
  <c r="C230" i="14"/>
  <c r="D229" i="14"/>
  <c r="C229" i="14"/>
  <c r="D228" i="14"/>
  <c r="C228" i="14"/>
  <c r="D227" i="14"/>
  <c r="C227" i="14"/>
  <c r="D226" i="14"/>
  <c r="C226" i="14"/>
  <c r="D225" i="14"/>
  <c r="C225" i="14"/>
  <c r="D224" i="14"/>
  <c r="C224" i="14"/>
  <c r="D223" i="14"/>
  <c r="C223" i="14"/>
  <c r="D222" i="14"/>
  <c r="C222" i="14"/>
  <c r="D221" i="14"/>
  <c r="C221" i="14"/>
  <c r="D220" i="14"/>
  <c r="C220" i="14"/>
  <c r="D219" i="14"/>
  <c r="C219" i="14"/>
  <c r="D218" i="14"/>
  <c r="C218" i="14"/>
  <c r="D217" i="14"/>
  <c r="C217" i="14"/>
  <c r="D216" i="14"/>
  <c r="C216" i="14"/>
  <c r="D215" i="14"/>
  <c r="C215" i="14"/>
  <c r="D214" i="14"/>
  <c r="C214" i="14"/>
  <c r="D213" i="14"/>
  <c r="C213" i="14"/>
  <c r="D212" i="14"/>
  <c r="C212" i="14"/>
  <c r="D211" i="14"/>
  <c r="C211" i="14"/>
  <c r="D210" i="14"/>
  <c r="C210" i="14"/>
  <c r="D209" i="14"/>
  <c r="C209" i="14"/>
  <c r="D208" i="14"/>
  <c r="C208" i="14"/>
  <c r="D207" i="14"/>
  <c r="C207" i="14"/>
  <c r="D206" i="14"/>
  <c r="C206" i="14"/>
  <c r="D205" i="14"/>
  <c r="C205" i="14"/>
  <c r="D204" i="14"/>
  <c r="C204" i="14"/>
  <c r="D203" i="14"/>
  <c r="C203" i="14"/>
  <c r="D202" i="14"/>
  <c r="C202" i="14"/>
  <c r="D201" i="14"/>
  <c r="C201" i="14"/>
  <c r="D200" i="14"/>
  <c r="C200" i="14"/>
  <c r="D199" i="14"/>
  <c r="C199" i="14"/>
  <c r="D198" i="14"/>
  <c r="C198" i="14"/>
  <c r="D197" i="14"/>
  <c r="C197" i="14"/>
  <c r="D196" i="14"/>
  <c r="C196" i="14"/>
  <c r="D195" i="14"/>
  <c r="C195" i="14"/>
  <c r="D194" i="14"/>
  <c r="C194" i="14"/>
  <c r="D193" i="14"/>
  <c r="C193" i="14"/>
  <c r="D192" i="14"/>
  <c r="C192" i="14"/>
  <c r="D191" i="14"/>
  <c r="C191" i="14"/>
  <c r="D190" i="14"/>
  <c r="C190" i="14"/>
  <c r="D189" i="14"/>
  <c r="C189" i="14"/>
  <c r="D188" i="14"/>
  <c r="C188" i="14"/>
  <c r="D187" i="14"/>
  <c r="C187" i="14"/>
  <c r="D186" i="14"/>
  <c r="C186" i="14"/>
  <c r="D185" i="14"/>
  <c r="C185" i="14"/>
  <c r="D184" i="14"/>
  <c r="C184" i="14"/>
  <c r="D183" i="14"/>
  <c r="C183" i="14"/>
  <c r="D182" i="14"/>
  <c r="C182" i="14"/>
  <c r="D181" i="14"/>
  <c r="C181" i="14"/>
  <c r="D180" i="14"/>
  <c r="C180" i="14"/>
  <c r="D179" i="14"/>
  <c r="C179" i="14"/>
  <c r="D178" i="14"/>
  <c r="C178" i="14"/>
  <c r="D177" i="14"/>
  <c r="C177" i="14"/>
  <c r="D176" i="14"/>
  <c r="C176" i="14"/>
  <c r="D175" i="14"/>
  <c r="C175" i="14"/>
  <c r="D174" i="14"/>
  <c r="C174" i="14"/>
  <c r="D173" i="14"/>
  <c r="C173" i="14"/>
  <c r="D172" i="14"/>
  <c r="C172" i="14"/>
  <c r="D171" i="14"/>
  <c r="C171" i="14"/>
  <c r="D170" i="14"/>
  <c r="C170" i="14"/>
  <c r="D169" i="14"/>
  <c r="C169" i="14"/>
  <c r="D168" i="14"/>
  <c r="C168" i="14"/>
  <c r="D167" i="14"/>
  <c r="C167" i="14"/>
  <c r="D166" i="14"/>
  <c r="C166" i="14"/>
  <c r="D165" i="14"/>
  <c r="C165" i="14"/>
  <c r="D164" i="14"/>
  <c r="C164" i="14"/>
  <c r="D163" i="14"/>
  <c r="C163" i="14"/>
  <c r="D162" i="14"/>
  <c r="C162" i="14"/>
  <c r="D161" i="14"/>
  <c r="C161" i="14"/>
  <c r="D160" i="14"/>
  <c r="C160" i="14"/>
  <c r="D159" i="14"/>
  <c r="C159" i="14"/>
  <c r="D158" i="14"/>
  <c r="C158" i="14"/>
  <c r="D157" i="14"/>
  <c r="C157" i="14"/>
  <c r="D156" i="14"/>
  <c r="C156" i="14"/>
  <c r="D155" i="14"/>
  <c r="C155" i="14"/>
  <c r="D154" i="14"/>
  <c r="C154" i="14"/>
  <c r="D153" i="14"/>
  <c r="C153" i="14"/>
  <c r="D152" i="14"/>
  <c r="C152" i="14"/>
  <c r="D151" i="14"/>
  <c r="C151" i="14"/>
  <c r="D150" i="14"/>
  <c r="C150" i="14"/>
  <c r="D149" i="14"/>
  <c r="C149" i="14"/>
  <c r="D148" i="14"/>
  <c r="C148" i="14"/>
  <c r="D147" i="14"/>
  <c r="C147" i="14"/>
  <c r="D146" i="14"/>
  <c r="C146" i="14"/>
  <c r="D145" i="14"/>
  <c r="C145" i="14"/>
  <c r="D144" i="14"/>
  <c r="C144" i="14"/>
  <c r="D143" i="14"/>
  <c r="C143" i="14"/>
  <c r="D142" i="14"/>
  <c r="C142" i="14"/>
  <c r="D141" i="14"/>
  <c r="C141" i="14"/>
  <c r="D140" i="14"/>
  <c r="C140" i="14"/>
  <c r="D139" i="14"/>
  <c r="C139" i="14"/>
  <c r="D138" i="14"/>
  <c r="C138" i="14"/>
  <c r="D137" i="14"/>
  <c r="C137" i="14"/>
  <c r="D136" i="14"/>
  <c r="C136" i="14"/>
  <c r="D135" i="14"/>
  <c r="C135" i="14"/>
  <c r="D134" i="14"/>
  <c r="C134" i="14"/>
  <c r="D133" i="14"/>
  <c r="C133" i="14"/>
  <c r="D132" i="14"/>
  <c r="C132" i="14"/>
  <c r="D131" i="14"/>
  <c r="C131" i="14"/>
  <c r="D130" i="14"/>
  <c r="C130" i="14"/>
  <c r="D129" i="14"/>
  <c r="C129" i="14"/>
  <c r="D128" i="14"/>
  <c r="C128" i="14"/>
  <c r="D127" i="14"/>
  <c r="C127" i="14"/>
  <c r="D126" i="14"/>
  <c r="C126" i="14"/>
  <c r="D125" i="14"/>
  <c r="C125" i="14"/>
  <c r="D124" i="14"/>
  <c r="C124" i="14"/>
  <c r="D123" i="14"/>
  <c r="C123" i="14"/>
  <c r="D122" i="14"/>
  <c r="C122" i="14"/>
  <c r="D121" i="14"/>
  <c r="C121" i="14"/>
  <c r="D120" i="14"/>
  <c r="C120" i="14"/>
  <c r="D119" i="14"/>
  <c r="C119" i="14"/>
  <c r="D118" i="14"/>
  <c r="C118" i="14"/>
  <c r="D117" i="14"/>
  <c r="C117" i="14"/>
  <c r="D116" i="14"/>
  <c r="C116" i="14"/>
  <c r="D115" i="14"/>
  <c r="C115" i="14"/>
  <c r="D114" i="14"/>
  <c r="C114" i="14"/>
  <c r="D113" i="14"/>
  <c r="C113" i="14"/>
  <c r="D112" i="14"/>
  <c r="C112" i="14"/>
  <c r="D111" i="14"/>
  <c r="C111" i="14"/>
  <c r="D110" i="14"/>
  <c r="C110" i="14"/>
  <c r="D109" i="14"/>
  <c r="C109" i="14"/>
  <c r="D108" i="14"/>
  <c r="C108" i="14"/>
  <c r="D107" i="14"/>
  <c r="C107" i="14"/>
  <c r="D106" i="14"/>
  <c r="C106" i="14"/>
  <c r="D105" i="14"/>
  <c r="C105" i="14"/>
  <c r="D104" i="14"/>
  <c r="C104" i="14"/>
  <c r="D103" i="14"/>
  <c r="C103" i="14"/>
  <c r="D102" i="14"/>
  <c r="C102" i="14"/>
  <c r="D101" i="14"/>
  <c r="C101" i="14"/>
  <c r="D100" i="14"/>
  <c r="C100" i="14"/>
  <c r="D99" i="14"/>
  <c r="C99" i="14"/>
  <c r="D98" i="14"/>
  <c r="C98" i="14"/>
  <c r="D97" i="14"/>
  <c r="C97" i="14"/>
  <c r="D96" i="14"/>
  <c r="C96" i="14"/>
  <c r="D95" i="14"/>
  <c r="C95" i="14"/>
  <c r="D94" i="14"/>
  <c r="C94" i="14"/>
  <c r="D93" i="14"/>
  <c r="C93" i="14"/>
  <c r="D92" i="14"/>
  <c r="C92" i="14"/>
  <c r="D91" i="14"/>
  <c r="C91" i="14"/>
  <c r="D90" i="14"/>
  <c r="C90" i="14"/>
  <c r="D89" i="14"/>
  <c r="C89" i="14"/>
  <c r="D88" i="14"/>
  <c r="C88" i="14"/>
  <c r="D87" i="14"/>
  <c r="C87" i="14"/>
  <c r="D86" i="14"/>
  <c r="C86" i="14"/>
  <c r="D85" i="14"/>
  <c r="C85" i="14"/>
  <c r="D84" i="14"/>
  <c r="C84" i="14"/>
  <c r="D83" i="14"/>
  <c r="C83" i="14"/>
  <c r="D82" i="14"/>
  <c r="C82" i="14"/>
  <c r="D81" i="14"/>
  <c r="C81" i="14"/>
  <c r="D80" i="14"/>
  <c r="C80" i="14"/>
  <c r="D79" i="14"/>
  <c r="C79" i="14"/>
  <c r="D78" i="14"/>
  <c r="C78" i="14"/>
  <c r="D77" i="14"/>
  <c r="C77" i="14"/>
  <c r="D76" i="14"/>
  <c r="C76" i="14"/>
  <c r="D75" i="14"/>
  <c r="C75" i="14"/>
  <c r="D74" i="14"/>
  <c r="C74" i="14"/>
  <c r="D73" i="14"/>
  <c r="C73" i="14"/>
  <c r="D72" i="14"/>
  <c r="C72" i="14"/>
  <c r="D71" i="14"/>
  <c r="C71" i="14"/>
  <c r="D70" i="14"/>
  <c r="C70" i="14"/>
  <c r="D69" i="14"/>
  <c r="C69" i="14"/>
  <c r="D68" i="14"/>
  <c r="C68" i="14"/>
  <c r="D67" i="14"/>
  <c r="C67" i="14"/>
  <c r="D66" i="14"/>
  <c r="C66" i="14"/>
  <c r="D65" i="14"/>
  <c r="C65" i="14"/>
  <c r="D64" i="14"/>
  <c r="C64" i="14"/>
  <c r="D63" i="14"/>
  <c r="C63" i="14"/>
  <c r="D62" i="14"/>
  <c r="C62" i="14"/>
  <c r="D61" i="14"/>
  <c r="C61" i="14"/>
  <c r="D60" i="14"/>
  <c r="C60" i="14"/>
  <c r="D59" i="14"/>
  <c r="C59" i="14"/>
  <c r="D58" i="14"/>
  <c r="C58" i="14"/>
  <c r="D57" i="14"/>
  <c r="C57" i="14"/>
  <c r="D56" i="14"/>
  <c r="C56" i="14"/>
  <c r="D55" i="14"/>
  <c r="C55" i="14"/>
  <c r="D54" i="14"/>
  <c r="C54" i="14"/>
  <c r="D53" i="14"/>
  <c r="C53" i="14"/>
  <c r="D52" i="14"/>
  <c r="C52" i="14"/>
  <c r="D51" i="14"/>
  <c r="C51" i="14"/>
  <c r="D50" i="14"/>
  <c r="C50" i="14"/>
  <c r="D49" i="14"/>
  <c r="C49" i="14"/>
  <c r="D48" i="14"/>
  <c r="C48" i="14"/>
  <c r="D47" i="14"/>
  <c r="C47" i="14"/>
  <c r="D46" i="14"/>
  <c r="C46" i="14"/>
  <c r="D45" i="14"/>
  <c r="C45" i="14"/>
  <c r="D44" i="14"/>
  <c r="C44" i="14"/>
  <c r="D43" i="14"/>
  <c r="C43" i="14"/>
  <c r="D42" i="14"/>
  <c r="C42" i="14"/>
  <c r="D41" i="14"/>
  <c r="C41" i="14"/>
  <c r="D40" i="14"/>
  <c r="C40" i="14"/>
  <c r="D39" i="14"/>
  <c r="C39" i="14"/>
  <c r="D38" i="14"/>
  <c r="C38" i="14"/>
  <c r="D37" i="14"/>
  <c r="C37" i="14"/>
  <c r="D36" i="14"/>
  <c r="C36" i="14"/>
  <c r="D35" i="14"/>
  <c r="C35" i="14"/>
  <c r="D34" i="14"/>
  <c r="C34" i="14"/>
  <c r="D33" i="14"/>
  <c r="C33" i="14"/>
  <c r="D32" i="14"/>
  <c r="C32" i="14"/>
  <c r="D31" i="14"/>
  <c r="C31" i="14"/>
  <c r="D30" i="14"/>
  <c r="C30" i="14"/>
  <c r="D29" i="14"/>
  <c r="C29" i="14"/>
  <c r="D28" i="14"/>
  <c r="C28" i="14"/>
  <c r="D27" i="14"/>
  <c r="C27" i="14"/>
  <c r="D26" i="14"/>
  <c r="C26" i="14"/>
  <c r="D25" i="14"/>
  <c r="C25" i="14"/>
  <c r="D24" i="14"/>
  <c r="C24" i="14"/>
  <c r="D23" i="14"/>
  <c r="C23" i="14"/>
  <c r="D22" i="14"/>
  <c r="C22" i="14"/>
  <c r="D21" i="14"/>
  <c r="C21" i="14"/>
  <c r="D20" i="14"/>
  <c r="C20" i="14"/>
  <c r="D19" i="14"/>
  <c r="C19" i="14"/>
  <c r="D18" i="14"/>
  <c r="C18" i="14"/>
  <c r="D17" i="14"/>
  <c r="C17" i="14"/>
  <c r="D16" i="14"/>
  <c r="C16" i="14"/>
  <c r="D15" i="14"/>
  <c r="C15" i="14"/>
  <c r="D14" i="14"/>
  <c r="C14" i="14"/>
  <c r="D13" i="14"/>
  <c r="C13" i="14"/>
  <c r="D12" i="14"/>
  <c r="C12" i="14"/>
  <c r="D11" i="14"/>
  <c r="C11" i="14"/>
  <c r="D10" i="14"/>
  <c r="C10" i="14"/>
  <c r="D9" i="14"/>
  <c r="C9" i="14"/>
  <c r="D8" i="14"/>
  <c r="C8" i="14"/>
  <c r="D7" i="14"/>
  <c r="C7" i="14"/>
  <c r="D6" i="14"/>
  <c r="C6" i="14"/>
  <c r="D5" i="14"/>
  <c r="C5" i="14"/>
  <c r="D4" i="14"/>
  <c r="C4" i="14"/>
  <c r="D3" i="14"/>
  <c r="C3" i="14"/>
  <c r="D2" i="14"/>
  <c r="C2" i="14"/>
  <c r="N2" i="7" l="1"/>
  <c r="D9" i="4"/>
  <c r="I5" i="3" l="1"/>
  <c r="A11" i="4" l="1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D1475" i="7" l="1"/>
  <c r="I2" i="9" l="1"/>
  <c r="O29" i="2" l="1"/>
  <c r="N29" i="2"/>
  <c r="I3" i="9" l="1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I266" i="9"/>
  <c r="I267" i="9"/>
  <c r="I268" i="9"/>
  <c r="I269" i="9"/>
  <c r="I270" i="9"/>
  <c r="I271" i="9"/>
  <c r="I272" i="9"/>
  <c r="I273" i="9"/>
  <c r="I274" i="9"/>
  <c r="I275" i="9"/>
  <c r="I276" i="9"/>
  <c r="I277" i="9"/>
  <c r="I278" i="9"/>
  <c r="I279" i="9"/>
  <c r="I280" i="9"/>
  <c r="I281" i="9"/>
  <c r="I282" i="9"/>
  <c r="I283" i="9"/>
  <c r="I284" i="9"/>
  <c r="I285" i="9"/>
  <c r="I286" i="9"/>
  <c r="I287" i="9"/>
  <c r="I288" i="9"/>
  <c r="I289" i="9"/>
  <c r="I290" i="9"/>
  <c r="I291" i="9"/>
  <c r="I292" i="9"/>
  <c r="I293" i="9"/>
  <c r="I294" i="9"/>
  <c r="I295" i="9"/>
  <c r="I296" i="9"/>
  <c r="I297" i="9"/>
  <c r="I298" i="9"/>
  <c r="I299" i="9"/>
  <c r="I300" i="9"/>
  <c r="I301" i="9"/>
  <c r="I302" i="9"/>
  <c r="I303" i="9"/>
  <c r="I304" i="9"/>
  <c r="I305" i="9"/>
  <c r="I306" i="9"/>
  <c r="I307" i="9"/>
  <c r="I308" i="9"/>
  <c r="I309" i="9"/>
  <c r="I310" i="9"/>
  <c r="I311" i="9"/>
  <c r="I312" i="9"/>
  <c r="I313" i="9"/>
  <c r="I314" i="9"/>
  <c r="I315" i="9"/>
  <c r="I316" i="9"/>
  <c r="I317" i="9"/>
  <c r="I318" i="9"/>
  <c r="I319" i="9"/>
  <c r="I320" i="9"/>
  <c r="I321" i="9"/>
  <c r="I322" i="9"/>
  <c r="I323" i="9"/>
  <c r="I324" i="9"/>
  <c r="I325" i="9"/>
  <c r="I326" i="9"/>
  <c r="I327" i="9"/>
  <c r="I328" i="9"/>
  <c r="I329" i="9"/>
  <c r="I330" i="9"/>
  <c r="I331" i="9"/>
  <c r="I332" i="9"/>
  <c r="I333" i="9"/>
  <c r="I334" i="9"/>
  <c r="I335" i="9"/>
  <c r="I336" i="9"/>
  <c r="I337" i="9"/>
  <c r="I338" i="9"/>
  <c r="I339" i="9"/>
  <c r="I340" i="9"/>
  <c r="I341" i="9"/>
  <c r="I342" i="9"/>
  <c r="I343" i="9"/>
  <c r="I344" i="9"/>
  <c r="I345" i="9"/>
  <c r="I346" i="9"/>
  <c r="I347" i="9"/>
  <c r="I348" i="9"/>
  <c r="I349" i="9"/>
  <c r="I350" i="9"/>
  <c r="I351" i="9"/>
  <c r="I352" i="9"/>
  <c r="I353" i="9"/>
  <c r="I354" i="9"/>
  <c r="I355" i="9"/>
  <c r="I356" i="9"/>
  <c r="I357" i="9"/>
  <c r="I358" i="9"/>
  <c r="I359" i="9"/>
  <c r="I360" i="9"/>
  <c r="I361" i="9"/>
  <c r="I362" i="9"/>
  <c r="I363" i="9"/>
  <c r="I364" i="9"/>
  <c r="I365" i="9"/>
  <c r="I366" i="9"/>
  <c r="I367" i="9"/>
  <c r="I368" i="9"/>
  <c r="I369" i="9"/>
  <c r="I370" i="9"/>
  <c r="I371" i="9"/>
  <c r="I372" i="9"/>
  <c r="I373" i="9"/>
  <c r="I374" i="9"/>
  <c r="I375" i="9"/>
  <c r="I376" i="9"/>
  <c r="I377" i="9"/>
  <c r="I378" i="9"/>
  <c r="I379" i="9"/>
  <c r="I380" i="9"/>
  <c r="I381" i="9"/>
  <c r="I382" i="9"/>
  <c r="I383" i="9"/>
  <c r="I384" i="9"/>
  <c r="I385" i="9"/>
  <c r="I386" i="9"/>
  <c r="I387" i="9"/>
  <c r="I388" i="9"/>
  <c r="I389" i="9"/>
  <c r="I390" i="9"/>
  <c r="I391" i="9"/>
  <c r="I392" i="9"/>
  <c r="I393" i="9"/>
  <c r="I394" i="9"/>
  <c r="I395" i="9"/>
  <c r="I396" i="9"/>
  <c r="I397" i="9"/>
  <c r="I398" i="9"/>
  <c r="I399" i="9"/>
  <c r="I400" i="9"/>
  <c r="I401" i="9"/>
  <c r="I402" i="9"/>
  <c r="I403" i="9"/>
  <c r="I404" i="9"/>
  <c r="I405" i="9"/>
  <c r="I406" i="9"/>
  <c r="I407" i="9"/>
  <c r="I408" i="9"/>
  <c r="I409" i="9"/>
  <c r="I410" i="9"/>
  <c r="I411" i="9"/>
  <c r="I412" i="9"/>
  <c r="I413" i="9"/>
  <c r="I414" i="9"/>
  <c r="I415" i="9"/>
  <c r="I416" i="9"/>
  <c r="I417" i="9"/>
  <c r="I418" i="9"/>
  <c r="I419" i="9"/>
  <c r="I420" i="9"/>
  <c r="I421" i="9"/>
  <c r="I422" i="9"/>
  <c r="I423" i="9"/>
  <c r="I424" i="9"/>
  <c r="I425" i="9"/>
  <c r="I426" i="9"/>
  <c r="I427" i="9"/>
  <c r="I428" i="9"/>
  <c r="I429" i="9"/>
  <c r="I430" i="9"/>
  <c r="I431" i="9"/>
  <c r="I432" i="9"/>
  <c r="I433" i="9"/>
  <c r="I434" i="9"/>
  <c r="I435" i="9"/>
  <c r="I436" i="9"/>
  <c r="I437" i="9"/>
  <c r="I438" i="9"/>
  <c r="I439" i="9"/>
  <c r="I440" i="9"/>
  <c r="I441" i="9"/>
  <c r="I442" i="9"/>
  <c r="I443" i="9"/>
  <c r="I444" i="9"/>
  <c r="I445" i="9"/>
  <c r="I446" i="9"/>
  <c r="I447" i="9"/>
  <c r="I448" i="9"/>
  <c r="I449" i="9"/>
  <c r="I450" i="9"/>
  <c r="I451" i="9"/>
  <c r="I452" i="9"/>
  <c r="I453" i="9"/>
  <c r="I454" i="9"/>
  <c r="I455" i="9"/>
  <c r="I456" i="9"/>
  <c r="I457" i="9"/>
  <c r="I458" i="9"/>
  <c r="I459" i="9"/>
  <c r="I460" i="9"/>
  <c r="I461" i="9"/>
  <c r="I462" i="9"/>
  <c r="I463" i="9"/>
  <c r="I464" i="9"/>
  <c r="I465" i="9"/>
  <c r="I466" i="9"/>
  <c r="I467" i="9"/>
  <c r="I468" i="9"/>
  <c r="I469" i="9"/>
  <c r="I470" i="9"/>
  <c r="I471" i="9"/>
  <c r="I472" i="9"/>
  <c r="I473" i="9"/>
  <c r="I474" i="9"/>
  <c r="I475" i="9"/>
  <c r="I476" i="9"/>
  <c r="I477" i="9"/>
  <c r="I478" i="9"/>
  <c r="I479" i="9"/>
  <c r="I480" i="9"/>
  <c r="I481" i="9"/>
  <c r="I482" i="9"/>
  <c r="I483" i="9"/>
  <c r="I484" i="9"/>
  <c r="I485" i="9"/>
  <c r="I486" i="9"/>
  <c r="I487" i="9"/>
  <c r="I488" i="9"/>
  <c r="I489" i="9"/>
  <c r="I490" i="9"/>
  <c r="I491" i="9"/>
  <c r="I492" i="9"/>
  <c r="I493" i="9"/>
  <c r="I494" i="9"/>
  <c r="I495" i="9"/>
  <c r="I496" i="9"/>
  <c r="I497" i="9"/>
  <c r="I498" i="9"/>
  <c r="I499" i="9"/>
  <c r="I500" i="9"/>
  <c r="I501" i="9"/>
  <c r="I502" i="9"/>
  <c r="I503" i="9"/>
  <c r="I504" i="9"/>
  <c r="I505" i="9"/>
  <c r="I506" i="9"/>
  <c r="I507" i="9"/>
  <c r="I508" i="9"/>
  <c r="I509" i="9"/>
  <c r="I510" i="9"/>
  <c r="I511" i="9"/>
  <c r="I512" i="9"/>
  <c r="I513" i="9"/>
  <c r="I514" i="9"/>
  <c r="I515" i="9"/>
  <c r="I516" i="9"/>
  <c r="I517" i="9"/>
  <c r="I518" i="9"/>
  <c r="I519" i="9"/>
  <c r="I520" i="9"/>
  <c r="I521" i="9"/>
  <c r="I522" i="9"/>
  <c r="I523" i="9"/>
  <c r="I524" i="9"/>
  <c r="I525" i="9"/>
  <c r="I526" i="9"/>
  <c r="I527" i="9"/>
  <c r="I528" i="9"/>
  <c r="I529" i="9"/>
  <c r="I530" i="9"/>
  <c r="I531" i="9"/>
  <c r="I532" i="9"/>
  <c r="I533" i="9"/>
  <c r="I534" i="9"/>
  <c r="I535" i="9"/>
  <c r="I536" i="9"/>
  <c r="I537" i="9"/>
  <c r="I538" i="9"/>
  <c r="I539" i="9"/>
  <c r="I540" i="9"/>
  <c r="I541" i="9"/>
  <c r="I542" i="9"/>
  <c r="I543" i="9"/>
  <c r="I544" i="9"/>
  <c r="I545" i="9"/>
  <c r="I546" i="9"/>
  <c r="I547" i="9"/>
  <c r="I548" i="9"/>
  <c r="I549" i="9"/>
  <c r="I550" i="9"/>
  <c r="I551" i="9"/>
  <c r="I552" i="9"/>
  <c r="I553" i="9"/>
  <c r="I554" i="9"/>
  <c r="I555" i="9"/>
  <c r="I556" i="9"/>
  <c r="I557" i="9"/>
  <c r="I558" i="9"/>
  <c r="I559" i="9"/>
  <c r="I560" i="9"/>
  <c r="I561" i="9"/>
  <c r="I562" i="9"/>
  <c r="I563" i="9"/>
  <c r="I564" i="9"/>
  <c r="I565" i="9"/>
  <c r="I566" i="9"/>
  <c r="I567" i="9"/>
  <c r="I568" i="9"/>
  <c r="I569" i="9"/>
  <c r="I570" i="9"/>
  <c r="I571" i="9"/>
  <c r="I572" i="9"/>
  <c r="I573" i="9"/>
  <c r="I574" i="9"/>
  <c r="I575" i="9"/>
  <c r="I576" i="9"/>
  <c r="I577" i="9"/>
  <c r="I578" i="9"/>
  <c r="I579" i="9"/>
  <c r="I580" i="9"/>
  <c r="I581" i="9"/>
  <c r="I582" i="9"/>
  <c r="I583" i="9"/>
  <c r="I584" i="9"/>
  <c r="I585" i="9"/>
  <c r="I586" i="9"/>
  <c r="I587" i="9"/>
  <c r="I588" i="9"/>
  <c r="I589" i="9"/>
  <c r="I590" i="9"/>
  <c r="I591" i="9"/>
  <c r="I592" i="9"/>
  <c r="I593" i="9"/>
  <c r="I594" i="9"/>
  <c r="I595" i="9"/>
  <c r="I596" i="9"/>
  <c r="I597" i="9"/>
  <c r="I598" i="9"/>
  <c r="I599" i="9"/>
  <c r="I600" i="9"/>
  <c r="I601" i="9"/>
  <c r="I602" i="9"/>
  <c r="I603" i="9"/>
  <c r="I604" i="9"/>
  <c r="I605" i="9"/>
  <c r="I606" i="9"/>
  <c r="I607" i="9"/>
  <c r="I608" i="9"/>
  <c r="I609" i="9"/>
  <c r="I610" i="9"/>
  <c r="I611" i="9"/>
  <c r="I612" i="9"/>
  <c r="I613" i="9"/>
  <c r="I614" i="9"/>
  <c r="I615" i="9"/>
  <c r="I616" i="9"/>
  <c r="I617" i="9"/>
  <c r="I618" i="9"/>
  <c r="I619" i="9"/>
  <c r="I620" i="9"/>
  <c r="I621" i="9"/>
  <c r="I622" i="9"/>
  <c r="I623" i="9"/>
  <c r="I624" i="9"/>
  <c r="I625" i="9"/>
  <c r="I626" i="9"/>
  <c r="I627" i="9"/>
  <c r="I628" i="9"/>
  <c r="I629" i="9"/>
  <c r="I630" i="9"/>
  <c r="I631" i="9"/>
  <c r="I632" i="9"/>
  <c r="I633" i="9"/>
  <c r="I634" i="9"/>
  <c r="I635" i="9"/>
  <c r="I636" i="9"/>
  <c r="I637" i="9"/>
  <c r="I638" i="9"/>
  <c r="I639" i="9"/>
  <c r="I640" i="9"/>
  <c r="I641" i="9"/>
  <c r="I642" i="9"/>
  <c r="I643" i="9"/>
  <c r="I644" i="9"/>
  <c r="I645" i="9"/>
  <c r="I646" i="9"/>
  <c r="I647" i="9"/>
  <c r="I648" i="9"/>
  <c r="I649" i="9"/>
  <c r="I650" i="9"/>
  <c r="I651" i="9"/>
  <c r="I652" i="9"/>
  <c r="I653" i="9"/>
  <c r="I654" i="9"/>
  <c r="I655" i="9"/>
  <c r="I656" i="9"/>
  <c r="I657" i="9"/>
  <c r="I658" i="9"/>
  <c r="I659" i="9"/>
  <c r="I660" i="9"/>
  <c r="I661" i="9"/>
  <c r="I662" i="9"/>
  <c r="I663" i="9"/>
  <c r="I664" i="9"/>
  <c r="I665" i="9"/>
  <c r="I666" i="9"/>
  <c r="I667" i="9"/>
  <c r="I668" i="9"/>
  <c r="I669" i="9"/>
  <c r="I670" i="9"/>
  <c r="I671" i="9"/>
  <c r="I672" i="9"/>
  <c r="I673" i="9"/>
  <c r="I674" i="9"/>
  <c r="I675" i="9"/>
  <c r="I676" i="9"/>
  <c r="I677" i="9"/>
  <c r="I678" i="9"/>
  <c r="I679" i="9"/>
  <c r="I680" i="9"/>
  <c r="I681" i="9"/>
  <c r="I682" i="9"/>
  <c r="I683" i="9"/>
  <c r="I684" i="9"/>
  <c r="I685" i="9"/>
  <c r="I686" i="9"/>
  <c r="I687" i="9"/>
  <c r="I688" i="9"/>
  <c r="I689" i="9"/>
  <c r="I690" i="9"/>
  <c r="I691" i="9"/>
  <c r="I692" i="9"/>
  <c r="I693" i="9"/>
  <c r="I694" i="9"/>
  <c r="I695" i="9"/>
  <c r="I696" i="9"/>
  <c r="I697" i="9"/>
  <c r="I698" i="9"/>
  <c r="I699" i="9"/>
  <c r="I700" i="9"/>
  <c r="I701" i="9"/>
  <c r="I702" i="9"/>
  <c r="I703" i="9"/>
  <c r="I704" i="9"/>
  <c r="I705" i="9"/>
  <c r="I706" i="9"/>
  <c r="I707" i="9"/>
  <c r="I708" i="9"/>
  <c r="I709" i="9"/>
  <c r="I710" i="9"/>
  <c r="I711" i="9"/>
  <c r="I712" i="9"/>
  <c r="I713" i="9"/>
  <c r="I714" i="9"/>
  <c r="I715" i="9"/>
  <c r="I716" i="9"/>
  <c r="I717" i="9"/>
  <c r="I718" i="9"/>
  <c r="I719" i="9"/>
  <c r="I720" i="9"/>
  <c r="I721" i="9"/>
  <c r="I722" i="9"/>
  <c r="I723" i="9"/>
  <c r="I724" i="9"/>
  <c r="I725" i="9"/>
  <c r="I726" i="9"/>
  <c r="I727" i="9"/>
  <c r="I728" i="9"/>
  <c r="I729" i="9"/>
  <c r="I730" i="9"/>
  <c r="I731" i="9"/>
  <c r="I732" i="9"/>
  <c r="I733" i="9"/>
  <c r="I734" i="9"/>
  <c r="I735" i="9"/>
  <c r="I736" i="9"/>
  <c r="I737" i="9"/>
  <c r="I738" i="9"/>
  <c r="I739" i="9"/>
  <c r="I740" i="9"/>
  <c r="I741" i="9"/>
  <c r="I742" i="9"/>
  <c r="I743" i="9"/>
  <c r="I744" i="9"/>
  <c r="I745" i="9"/>
  <c r="I746" i="9"/>
  <c r="I747" i="9"/>
  <c r="I748" i="9"/>
  <c r="I749" i="9"/>
  <c r="I750" i="9"/>
  <c r="I751" i="9"/>
  <c r="I752" i="9"/>
  <c r="I753" i="9"/>
  <c r="I754" i="9"/>
  <c r="I755" i="9"/>
  <c r="I756" i="9"/>
  <c r="I757" i="9"/>
  <c r="I758" i="9"/>
  <c r="I759" i="9"/>
  <c r="I760" i="9"/>
  <c r="I761" i="9"/>
  <c r="I762" i="9"/>
  <c r="I763" i="9"/>
  <c r="I764" i="9"/>
  <c r="I765" i="9"/>
  <c r="I766" i="9"/>
  <c r="I767" i="9"/>
  <c r="I768" i="9"/>
  <c r="I769" i="9"/>
  <c r="I770" i="9"/>
  <c r="I771" i="9"/>
  <c r="I772" i="9"/>
  <c r="I773" i="9"/>
  <c r="I774" i="9"/>
  <c r="I775" i="9"/>
  <c r="I776" i="9"/>
  <c r="I777" i="9"/>
  <c r="I778" i="9"/>
  <c r="I779" i="9"/>
  <c r="I780" i="9"/>
  <c r="I781" i="9"/>
  <c r="I782" i="9"/>
  <c r="I783" i="9"/>
  <c r="I784" i="9"/>
  <c r="I785" i="9"/>
  <c r="I786" i="9"/>
  <c r="I787" i="9"/>
  <c r="I788" i="9"/>
  <c r="I789" i="9"/>
  <c r="I790" i="9"/>
  <c r="I791" i="9"/>
  <c r="I792" i="9"/>
  <c r="I793" i="9"/>
  <c r="I794" i="9"/>
  <c r="I795" i="9"/>
  <c r="I796" i="9"/>
  <c r="I797" i="9"/>
  <c r="I798" i="9"/>
  <c r="I799" i="9"/>
  <c r="I800" i="9"/>
  <c r="I801" i="9"/>
  <c r="I802" i="9"/>
  <c r="I803" i="9"/>
  <c r="I804" i="9"/>
  <c r="I805" i="9"/>
  <c r="I806" i="9"/>
  <c r="I807" i="9"/>
  <c r="I808" i="9"/>
  <c r="I809" i="9"/>
  <c r="I810" i="9"/>
  <c r="I811" i="9"/>
  <c r="I812" i="9"/>
  <c r="I813" i="9"/>
  <c r="I814" i="9"/>
  <c r="I815" i="9"/>
  <c r="I816" i="9"/>
  <c r="I817" i="9"/>
  <c r="I818" i="9"/>
  <c r="I819" i="9"/>
  <c r="I820" i="9"/>
  <c r="I821" i="9"/>
  <c r="I822" i="9"/>
  <c r="I823" i="9"/>
  <c r="I824" i="9"/>
  <c r="I825" i="9"/>
  <c r="I826" i="9"/>
  <c r="I827" i="9"/>
  <c r="I828" i="9"/>
  <c r="I829" i="9"/>
  <c r="I830" i="9"/>
  <c r="I831" i="9"/>
  <c r="I832" i="9"/>
  <c r="I833" i="9"/>
  <c r="I834" i="9"/>
  <c r="I835" i="9"/>
  <c r="I836" i="9"/>
  <c r="I837" i="9"/>
  <c r="I838" i="9"/>
  <c r="I839" i="9"/>
  <c r="I840" i="9"/>
  <c r="I841" i="9"/>
  <c r="I842" i="9"/>
  <c r="I843" i="9"/>
  <c r="I844" i="9"/>
  <c r="I845" i="9"/>
  <c r="I846" i="9"/>
  <c r="I847" i="9"/>
  <c r="I848" i="9"/>
  <c r="I849" i="9"/>
  <c r="I850" i="9"/>
  <c r="I851" i="9"/>
  <c r="I852" i="9"/>
  <c r="I853" i="9"/>
  <c r="I854" i="9"/>
  <c r="I855" i="9"/>
  <c r="I856" i="9"/>
  <c r="I857" i="9"/>
  <c r="I858" i="9"/>
  <c r="I859" i="9"/>
  <c r="I860" i="9"/>
  <c r="I861" i="9"/>
  <c r="I862" i="9"/>
  <c r="I863" i="9"/>
  <c r="I864" i="9"/>
  <c r="I865" i="9"/>
  <c r="I866" i="9"/>
  <c r="I867" i="9"/>
  <c r="I868" i="9"/>
  <c r="I869" i="9"/>
  <c r="I870" i="9"/>
  <c r="I871" i="9"/>
  <c r="I872" i="9"/>
  <c r="I873" i="9"/>
  <c r="I874" i="9"/>
  <c r="I875" i="9"/>
  <c r="I876" i="9"/>
  <c r="I877" i="9"/>
  <c r="I878" i="9"/>
  <c r="I879" i="9"/>
  <c r="I880" i="9"/>
  <c r="I881" i="9"/>
  <c r="I882" i="9"/>
  <c r="I883" i="9"/>
  <c r="I884" i="9"/>
  <c r="I885" i="9"/>
  <c r="I886" i="9"/>
  <c r="I887" i="9"/>
  <c r="I888" i="9"/>
  <c r="I889" i="9"/>
  <c r="I890" i="9"/>
  <c r="I891" i="9"/>
  <c r="I892" i="9"/>
  <c r="I893" i="9"/>
  <c r="I894" i="9"/>
  <c r="I895" i="9"/>
  <c r="I896" i="9"/>
  <c r="I897" i="9"/>
  <c r="I898" i="9"/>
  <c r="I899" i="9"/>
  <c r="I900" i="9"/>
  <c r="I901" i="9"/>
  <c r="I902" i="9"/>
  <c r="I903" i="9"/>
  <c r="I904" i="9"/>
  <c r="I905" i="9"/>
  <c r="I906" i="9"/>
  <c r="I907" i="9"/>
  <c r="I908" i="9"/>
  <c r="I909" i="9"/>
  <c r="I910" i="9"/>
  <c r="I911" i="9"/>
  <c r="I912" i="9"/>
  <c r="I913" i="9"/>
  <c r="I914" i="9"/>
  <c r="I915" i="9"/>
  <c r="I916" i="9"/>
  <c r="I917" i="9"/>
  <c r="I918" i="9"/>
  <c r="I919" i="9"/>
  <c r="I920" i="9"/>
  <c r="I921" i="9"/>
  <c r="I922" i="9"/>
  <c r="I923" i="9"/>
  <c r="I924" i="9"/>
  <c r="I925" i="9"/>
  <c r="I926" i="9"/>
  <c r="I927" i="9"/>
  <c r="I928" i="9"/>
  <c r="I929" i="9"/>
  <c r="I930" i="9"/>
  <c r="I931" i="9"/>
  <c r="I932" i="9"/>
  <c r="I933" i="9"/>
  <c r="I934" i="9"/>
  <c r="I935" i="9"/>
  <c r="I936" i="9"/>
  <c r="I937" i="9"/>
  <c r="I938" i="9"/>
  <c r="I939" i="9"/>
  <c r="I940" i="9"/>
  <c r="I941" i="9"/>
  <c r="I942" i="9"/>
  <c r="I943" i="9"/>
  <c r="I944" i="9"/>
  <c r="I945" i="9"/>
  <c r="I946" i="9"/>
  <c r="I947" i="9"/>
  <c r="I948" i="9"/>
  <c r="I949" i="9"/>
  <c r="I950" i="9"/>
  <c r="I951" i="9"/>
  <c r="I952" i="9"/>
  <c r="I953" i="9"/>
  <c r="I954" i="9"/>
  <c r="I955" i="9"/>
  <c r="I956" i="9"/>
  <c r="I957" i="9"/>
  <c r="I958" i="9"/>
  <c r="I959" i="9"/>
  <c r="I960" i="9"/>
  <c r="I961" i="9"/>
  <c r="I962" i="9"/>
  <c r="I963" i="9"/>
  <c r="I964" i="9"/>
  <c r="I965" i="9"/>
  <c r="I966" i="9"/>
  <c r="I967" i="9"/>
  <c r="I968" i="9"/>
  <c r="I969" i="9"/>
  <c r="I970" i="9"/>
  <c r="I971" i="9"/>
  <c r="I972" i="9"/>
  <c r="I973" i="9"/>
  <c r="I974" i="9"/>
  <c r="I975" i="9"/>
  <c r="I976" i="9"/>
  <c r="I977" i="9"/>
  <c r="I978" i="9"/>
  <c r="I979" i="9"/>
  <c r="I980" i="9"/>
  <c r="I981" i="9"/>
  <c r="I982" i="9"/>
  <c r="I983" i="9"/>
  <c r="I984" i="9"/>
  <c r="I985" i="9"/>
  <c r="I986" i="9"/>
  <c r="I987" i="9"/>
  <c r="I988" i="9"/>
  <c r="I989" i="9"/>
  <c r="I990" i="9"/>
  <c r="I991" i="9"/>
  <c r="I992" i="9"/>
  <c r="I993" i="9"/>
  <c r="I994" i="9"/>
  <c r="I995" i="9"/>
  <c r="I996" i="9"/>
  <c r="I997" i="9"/>
  <c r="I998" i="9"/>
  <c r="I999" i="9"/>
  <c r="I1000" i="9"/>
  <c r="I1001" i="9"/>
  <c r="I1002" i="9"/>
  <c r="I1003" i="9"/>
  <c r="I1004" i="9"/>
  <c r="I1005" i="9"/>
  <c r="I1006" i="9"/>
  <c r="I1007" i="9"/>
  <c r="I1008" i="9"/>
  <c r="I1009" i="9"/>
  <c r="I1010" i="9"/>
  <c r="I1011" i="9"/>
  <c r="I1012" i="9"/>
  <c r="I1013" i="9"/>
  <c r="I1014" i="9"/>
  <c r="I1015" i="9"/>
  <c r="I1016" i="9"/>
  <c r="I1017" i="9"/>
  <c r="I1018" i="9"/>
  <c r="I1019" i="9"/>
  <c r="I1020" i="9"/>
  <c r="I1021" i="9"/>
  <c r="I1022" i="9"/>
  <c r="I1023" i="9"/>
  <c r="I1024" i="9"/>
  <c r="I1025" i="9"/>
  <c r="I1026" i="9"/>
  <c r="I1027" i="9"/>
  <c r="I1028" i="9"/>
  <c r="I1029" i="9"/>
  <c r="I1030" i="9"/>
  <c r="I1031" i="9"/>
  <c r="I1032" i="9"/>
  <c r="I1033" i="9"/>
  <c r="I1034" i="9"/>
  <c r="I1035" i="9"/>
  <c r="I1036" i="9"/>
  <c r="I1037" i="9"/>
  <c r="I1038" i="9"/>
  <c r="I1039" i="9"/>
  <c r="I1040" i="9"/>
  <c r="I1041" i="9"/>
  <c r="I1042" i="9"/>
  <c r="I1043" i="9"/>
  <c r="I1044" i="9"/>
  <c r="I1045" i="9"/>
  <c r="I1046" i="9"/>
  <c r="I1047" i="9"/>
  <c r="I1048" i="9"/>
  <c r="I1049" i="9"/>
  <c r="I1050" i="9"/>
  <c r="I1051" i="9"/>
  <c r="I1052" i="9"/>
  <c r="I1053" i="9"/>
  <c r="I1054" i="9"/>
  <c r="I1055" i="9"/>
  <c r="I1056" i="9"/>
  <c r="I1057" i="9"/>
  <c r="I1058" i="9"/>
  <c r="I1059" i="9"/>
  <c r="I1060" i="9"/>
  <c r="I1061" i="9"/>
  <c r="I1062" i="9"/>
  <c r="I1063" i="9"/>
  <c r="I1064" i="9"/>
  <c r="I1065" i="9"/>
  <c r="I1066" i="9"/>
  <c r="I1067" i="9"/>
  <c r="I1068" i="9"/>
  <c r="I1069" i="9"/>
  <c r="I1070" i="9"/>
  <c r="I1071" i="9"/>
  <c r="I1072" i="9"/>
  <c r="I1073" i="9"/>
  <c r="I1074" i="9"/>
  <c r="I1075" i="9"/>
  <c r="I1076" i="9"/>
  <c r="I1077" i="9"/>
  <c r="I1078" i="9"/>
  <c r="I1079" i="9"/>
  <c r="I1080" i="9"/>
  <c r="I1081" i="9"/>
  <c r="I1082" i="9"/>
  <c r="I1083" i="9"/>
  <c r="I1084" i="9"/>
  <c r="I1085" i="9"/>
  <c r="I1086" i="9"/>
  <c r="I1087" i="9"/>
  <c r="I1088" i="9"/>
  <c r="I1089" i="9"/>
  <c r="I1090" i="9"/>
  <c r="I1091" i="9"/>
  <c r="I1092" i="9"/>
  <c r="I1093" i="9"/>
  <c r="I1094" i="9"/>
  <c r="I1095" i="9"/>
  <c r="I1096" i="9"/>
  <c r="I1097" i="9"/>
  <c r="I1098" i="9"/>
  <c r="I1099" i="9"/>
  <c r="I1100" i="9"/>
  <c r="I1101" i="9"/>
  <c r="I1102" i="9"/>
  <c r="I1103" i="9"/>
  <c r="I1104" i="9"/>
  <c r="I1105" i="9"/>
  <c r="I1106" i="9"/>
  <c r="I1107" i="9"/>
  <c r="I1108" i="9"/>
  <c r="I1109" i="9"/>
  <c r="I1110" i="9"/>
  <c r="I1111" i="9"/>
  <c r="I1112" i="9"/>
  <c r="I1113" i="9"/>
  <c r="I1114" i="9"/>
  <c r="I1115" i="9"/>
  <c r="I1116" i="9"/>
  <c r="I1117" i="9"/>
  <c r="I1118" i="9"/>
  <c r="I1119" i="9"/>
  <c r="I1120" i="9"/>
  <c r="I1121" i="9"/>
  <c r="I1122" i="9"/>
  <c r="I1123" i="9"/>
  <c r="I1124" i="9"/>
  <c r="I1125" i="9"/>
  <c r="I1126" i="9"/>
  <c r="I1127" i="9"/>
  <c r="I1128" i="9"/>
  <c r="I1129" i="9"/>
  <c r="I1130" i="9"/>
  <c r="I1131" i="9"/>
  <c r="I1132" i="9"/>
  <c r="I1133" i="9"/>
  <c r="I1134" i="9"/>
  <c r="I1135" i="9"/>
  <c r="I1136" i="9"/>
  <c r="I1137" i="9"/>
  <c r="I1138" i="9"/>
  <c r="I1139" i="9"/>
  <c r="I1140" i="9"/>
  <c r="I1141" i="9"/>
  <c r="I1142" i="9"/>
  <c r="I1143" i="9"/>
  <c r="I1144" i="9"/>
  <c r="I1145" i="9"/>
  <c r="I1146" i="9"/>
  <c r="I1147" i="9"/>
  <c r="I1148" i="9"/>
  <c r="I1149" i="9"/>
  <c r="I1150" i="9"/>
  <c r="I1151" i="9"/>
  <c r="I1152" i="9"/>
  <c r="I1153" i="9"/>
  <c r="I1154" i="9"/>
  <c r="I1155" i="9"/>
  <c r="I1156" i="9"/>
  <c r="I1157" i="9"/>
  <c r="I1158" i="9"/>
  <c r="I1159" i="9"/>
  <c r="I1160" i="9"/>
  <c r="I1161" i="9"/>
  <c r="I1162" i="9"/>
  <c r="I1163" i="9"/>
  <c r="I1164" i="9"/>
  <c r="I1165" i="9"/>
  <c r="I1166" i="9"/>
  <c r="I1167" i="9"/>
  <c r="I1168" i="9"/>
  <c r="I1169" i="9"/>
  <c r="I1170" i="9"/>
  <c r="I1171" i="9"/>
  <c r="I1172" i="9"/>
  <c r="I1173" i="9"/>
  <c r="I1174" i="9"/>
  <c r="I1175" i="9"/>
  <c r="I1176" i="9"/>
  <c r="I1177" i="9"/>
  <c r="I1178" i="9"/>
  <c r="I1179" i="9"/>
  <c r="I1180" i="9"/>
  <c r="I1181" i="9"/>
  <c r="I1182" i="9"/>
  <c r="I1183" i="9"/>
  <c r="I1184" i="9"/>
  <c r="I1185" i="9"/>
  <c r="I1186" i="9"/>
  <c r="I1187" i="9"/>
  <c r="I1188" i="9"/>
  <c r="I1189" i="9"/>
  <c r="I1190" i="9"/>
  <c r="I1191" i="9"/>
  <c r="I1192" i="9"/>
  <c r="I1193" i="9"/>
  <c r="I1194" i="9"/>
  <c r="I1195" i="9"/>
  <c r="I1196" i="9"/>
  <c r="I1197" i="9"/>
  <c r="I1198" i="9"/>
  <c r="I1199" i="9"/>
  <c r="I1200" i="9"/>
  <c r="I1201" i="9"/>
  <c r="I1202" i="9"/>
  <c r="I1203" i="9"/>
  <c r="I1204" i="9"/>
  <c r="I1205" i="9"/>
  <c r="I1206" i="9"/>
  <c r="I1207" i="9"/>
  <c r="I1208" i="9"/>
  <c r="I1209" i="9"/>
  <c r="I1210" i="9"/>
  <c r="I1211" i="9"/>
  <c r="I1212" i="9"/>
  <c r="I1213" i="9"/>
  <c r="I1214" i="9"/>
  <c r="I1215" i="9"/>
  <c r="I1216" i="9"/>
  <c r="I1217" i="9"/>
  <c r="I1218" i="9"/>
  <c r="I1219" i="9"/>
  <c r="I1220" i="9"/>
  <c r="I1221" i="9"/>
  <c r="I1222" i="9"/>
  <c r="I1223" i="9"/>
  <c r="I1224" i="9"/>
  <c r="I1225" i="9"/>
  <c r="I1226" i="9"/>
  <c r="I1227" i="9"/>
  <c r="I1228" i="9"/>
  <c r="I1229" i="9"/>
  <c r="I1230" i="9"/>
  <c r="I1231" i="9"/>
  <c r="I1232" i="9"/>
  <c r="I1233" i="9"/>
  <c r="I1234" i="9"/>
  <c r="I1235" i="9"/>
  <c r="I1236" i="9"/>
  <c r="I1237" i="9"/>
  <c r="I1238" i="9"/>
  <c r="I1239" i="9"/>
  <c r="I1240" i="9"/>
  <c r="I1241" i="9"/>
  <c r="I1242" i="9"/>
  <c r="I1243" i="9"/>
  <c r="I1244" i="9"/>
  <c r="I1245" i="9"/>
  <c r="I1246" i="9"/>
  <c r="I1247" i="9"/>
  <c r="I1248" i="9"/>
  <c r="I1249" i="9"/>
  <c r="I1250" i="9"/>
  <c r="I1251" i="9"/>
  <c r="I1252" i="9"/>
  <c r="I1253" i="9"/>
  <c r="I1254" i="9"/>
  <c r="I1255" i="9"/>
  <c r="I1256" i="9"/>
  <c r="I1257" i="9"/>
  <c r="I1258" i="9"/>
  <c r="I1259" i="9"/>
  <c r="I1260" i="9"/>
  <c r="I1261" i="9"/>
  <c r="I1262" i="9"/>
  <c r="I1263" i="9"/>
  <c r="I1264" i="9"/>
  <c r="I1265" i="9"/>
  <c r="I1266" i="9"/>
  <c r="I1267" i="9"/>
  <c r="I1268" i="9"/>
  <c r="I1269" i="9"/>
  <c r="I1270" i="9"/>
  <c r="I1271" i="9"/>
  <c r="I1272" i="9"/>
  <c r="I1273" i="9"/>
  <c r="I1274" i="9"/>
  <c r="I1275" i="9"/>
  <c r="I1276" i="9"/>
  <c r="I1277" i="9"/>
  <c r="I1278" i="9"/>
  <c r="I1279" i="9"/>
  <c r="I1280" i="9"/>
  <c r="I1281" i="9"/>
  <c r="I1282" i="9"/>
  <c r="I1283" i="9"/>
  <c r="I1284" i="9"/>
  <c r="I1285" i="9"/>
  <c r="I1286" i="9"/>
  <c r="I1287" i="9"/>
  <c r="I1288" i="9"/>
  <c r="I1289" i="9"/>
  <c r="I1290" i="9"/>
  <c r="I1291" i="9"/>
  <c r="I1292" i="9"/>
  <c r="I1293" i="9"/>
  <c r="I1294" i="9"/>
  <c r="I1295" i="9"/>
  <c r="I1296" i="9"/>
  <c r="I1297" i="9"/>
  <c r="I1298" i="9"/>
  <c r="I1299" i="9"/>
  <c r="I1300" i="9"/>
  <c r="I1301" i="9"/>
  <c r="I1302" i="9"/>
  <c r="I1303" i="9"/>
  <c r="I1304" i="9"/>
  <c r="I1305" i="9"/>
  <c r="I1306" i="9"/>
  <c r="I1307" i="9"/>
  <c r="I1308" i="9"/>
  <c r="I1309" i="9"/>
  <c r="I1310" i="9"/>
  <c r="I1311" i="9"/>
  <c r="I1312" i="9"/>
  <c r="I1313" i="9"/>
  <c r="I1314" i="9"/>
  <c r="I1315" i="9"/>
  <c r="I1316" i="9"/>
  <c r="I1317" i="9"/>
  <c r="I1318" i="9"/>
  <c r="I1319" i="9"/>
  <c r="I1320" i="9"/>
  <c r="I1321" i="9"/>
  <c r="I1322" i="9"/>
  <c r="I1323" i="9"/>
  <c r="I1324" i="9"/>
  <c r="I1325" i="9"/>
  <c r="I1326" i="9"/>
  <c r="I1327" i="9"/>
  <c r="I1328" i="9"/>
  <c r="I1329" i="9"/>
  <c r="I1330" i="9"/>
  <c r="I1331" i="9"/>
  <c r="I1332" i="9"/>
  <c r="I1333" i="9"/>
  <c r="I1334" i="9"/>
  <c r="I1335" i="9"/>
  <c r="I1336" i="9"/>
  <c r="I1337" i="9"/>
  <c r="I1338" i="9"/>
  <c r="I1339" i="9"/>
  <c r="I1340" i="9"/>
  <c r="I1341" i="9"/>
  <c r="I1342" i="9"/>
  <c r="I1343" i="9"/>
  <c r="I1344" i="9"/>
  <c r="I1345" i="9"/>
  <c r="I1346" i="9"/>
  <c r="I1347" i="9"/>
  <c r="I1348" i="9"/>
  <c r="I1349" i="9"/>
  <c r="I1350" i="9"/>
  <c r="I1351" i="9"/>
  <c r="I1352" i="9"/>
  <c r="I1353" i="9"/>
  <c r="I1354" i="9"/>
  <c r="I1355" i="9"/>
  <c r="I1356" i="9"/>
  <c r="I1357" i="9"/>
  <c r="I1358" i="9"/>
  <c r="I1359" i="9"/>
  <c r="I1360" i="9"/>
  <c r="I1361" i="9"/>
  <c r="I1362" i="9"/>
  <c r="I1363" i="9"/>
  <c r="I1364" i="9"/>
  <c r="I1365" i="9"/>
  <c r="I1366" i="9"/>
  <c r="I1367" i="9"/>
  <c r="I1368" i="9"/>
  <c r="I1369" i="9"/>
  <c r="I1370" i="9"/>
  <c r="I1371" i="9"/>
  <c r="I1372" i="9"/>
  <c r="I1373" i="9"/>
  <c r="I1374" i="9"/>
  <c r="I1375" i="9"/>
  <c r="I1376" i="9"/>
  <c r="I1377" i="9"/>
  <c r="I1378" i="9"/>
  <c r="I1379" i="9"/>
  <c r="I1380" i="9"/>
  <c r="I1381" i="9"/>
  <c r="I1382" i="9"/>
  <c r="I1383" i="9"/>
  <c r="I1384" i="9"/>
  <c r="I1385" i="9"/>
  <c r="I1386" i="9"/>
  <c r="I1387" i="9"/>
  <c r="I1388" i="9"/>
  <c r="I1389" i="9"/>
  <c r="I1390" i="9"/>
  <c r="I1391" i="9"/>
  <c r="I1392" i="9"/>
  <c r="I1393" i="9"/>
  <c r="I1394" i="9"/>
  <c r="I1395" i="9"/>
  <c r="I1396" i="9"/>
  <c r="I1397" i="9"/>
  <c r="I1398" i="9"/>
  <c r="I1399" i="9"/>
  <c r="I1400" i="9"/>
  <c r="I1401" i="9"/>
  <c r="I1402" i="9"/>
  <c r="I1403" i="9"/>
  <c r="I1404" i="9"/>
  <c r="I1405" i="9"/>
  <c r="I1406" i="9"/>
  <c r="I1407" i="9"/>
  <c r="I1408" i="9"/>
  <c r="I1409" i="9"/>
  <c r="I1410" i="9"/>
  <c r="I1411" i="9"/>
  <c r="I1412" i="9"/>
  <c r="I1413" i="9"/>
  <c r="I1414" i="9"/>
  <c r="I1415" i="9"/>
  <c r="I1416" i="9"/>
  <c r="I1417" i="9"/>
  <c r="I1418" i="9"/>
  <c r="I1419" i="9"/>
  <c r="I1420" i="9"/>
  <c r="I1421" i="9"/>
  <c r="I1422" i="9"/>
  <c r="I1423" i="9"/>
  <c r="I1424" i="9"/>
  <c r="I1425" i="9"/>
  <c r="I1426" i="9"/>
  <c r="I1427" i="9"/>
  <c r="I1428" i="9"/>
  <c r="I1429" i="9"/>
  <c r="I1430" i="9"/>
  <c r="I1431" i="9"/>
  <c r="I1432" i="9"/>
  <c r="I1433" i="9"/>
  <c r="I1434" i="9"/>
  <c r="I1435" i="9"/>
  <c r="I1436" i="9"/>
  <c r="I1437" i="9"/>
  <c r="I1438" i="9"/>
  <c r="I1439" i="9"/>
  <c r="I1440" i="9"/>
  <c r="I1441" i="9"/>
  <c r="I1442" i="9"/>
  <c r="I1443" i="9"/>
  <c r="I1444" i="9"/>
  <c r="I1445" i="9"/>
  <c r="I1446" i="9"/>
  <c r="I1447" i="9"/>
  <c r="I1448" i="9"/>
  <c r="I1449" i="9"/>
  <c r="I1450" i="9"/>
  <c r="I1451" i="9"/>
  <c r="I1452" i="9"/>
  <c r="I1453" i="9"/>
  <c r="I1454" i="9"/>
  <c r="I1455" i="9"/>
  <c r="I1456" i="9"/>
  <c r="I1457" i="9"/>
  <c r="I1458" i="9"/>
  <c r="I1459" i="9"/>
  <c r="I1460" i="9"/>
  <c r="I1461" i="9"/>
  <c r="I1462" i="9"/>
  <c r="I1463" i="9"/>
  <c r="I1464" i="9"/>
  <c r="I1465" i="9"/>
  <c r="I1466" i="9"/>
  <c r="I1467" i="9"/>
  <c r="I1468" i="9"/>
  <c r="I1469" i="9"/>
  <c r="I1470" i="9"/>
  <c r="I1471" i="9"/>
  <c r="I1472" i="9"/>
  <c r="I1473" i="9"/>
  <c r="I1474" i="9"/>
  <c r="I1475" i="9"/>
  <c r="I1476" i="9"/>
  <c r="I1477" i="9"/>
  <c r="I1478" i="9"/>
  <c r="I1479" i="9"/>
  <c r="I1480" i="9"/>
  <c r="I1481" i="9"/>
  <c r="I1482" i="9"/>
  <c r="I1483" i="9"/>
  <c r="I1484" i="9"/>
  <c r="I1485" i="9"/>
  <c r="I1486" i="9"/>
  <c r="I1487" i="9"/>
  <c r="I1488" i="9"/>
  <c r="I1489" i="9"/>
  <c r="I1490" i="9"/>
  <c r="I1491" i="9"/>
  <c r="I1492" i="9"/>
  <c r="I1493" i="9"/>
  <c r="I1494" i="9"/>
  <c r="I1495" i="9"/>
  <c r="I1496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672" i="9"/>
  <c r="D673" i="9"/>
  <c r="D674" i="9"/>
  <c r="D675" i="9"/>
  <c r="D676" i="9"/>
  <c r="D677" i="9"/>
  <c r="D678" i="9"/>
  <c r="D679" i="9"/>
  <c r="D680" i="9"/>
  <c r="D681" i="9"/>
  <c r="D682" i="9"/>
  <c r="D683" i="9"/>
  <c r="D684" i="9"/>
  <c r="D685" i="9"/>
  <c r="D686" i="9"/>
  <c r="D687" i="9"/>
  <c r="D688" i="9"/>
  <c r="D689" i="9"/>
  <c r="D690" i="9"/>
  <c r="D691" i="9"/>
  <c r="D692" i="9"/>
  <c r="D693" i="9"/>
  <c r="D694" i="9"/>
  <c r="D695" i="9"/>
  <c r="D696" i="9"/>
  <c r="D697" i="9"/>
  <c r="D698" i="9"/>
  <c r="D699" i="9"/>
  <c r="D700" i="9"/>
  <c r="D701" i="9"/>
  <c r="D702" i="9"/>
  <c r="D703" i="9"/>
  <c r="D704" i="9"/>
  <c r="D705" i="9"/>
  <c r="D706" i="9"/>
  <c r="D707" i="9"/>
  <c r="D708" i="9"/>
  <c r="D709" i="9"/>
  <c r="D710" i="9"/>
  <c r="D711" i="9"/>
  <c r="D712" i="9"/>
  <c r="D713" i="9"/>
  <c r="D714" i="9"/>
  <c r="D715" i="9"/>
  <c r="D716" i="9"/>
  <c r="D717" i="9"/>
  <c r="D718" i="9"/>
  <c r="D719" i="9"/>
  <c r="D720" i="9"/>
  <c r="D721" i="9"/>
  <c r="D722" i="9"/>
  <c r="D723" i="9"/>
  <c r="D724" i="9"/>
  <c r="D725" i="9"/>
  <c r="D726" i="9"/>
  <c r="D727" i="9"/>
  <c r="D728" i="9"/>
  <c r="D729" i="9"/>
  <c r="D730" i="9"/>
  <c r="D731" i="9"/>
  <c r="D732" i="9"/>
  <c r="D733" i="9"/>
  <c r="D734" i="9"/>
  <c r="D735" i="9"/>
  <c r="D736" i="9"/>
  <c r="D737" i="9"/>
  <c r="D738" i="9"/>
  <c r="D739" i="9"/>
  <c r="D740" i="9"/>
  <c r="D741" i="9"/>
  <c r="D742" i="9"/>
  <c r="D743" i="9"/>
  <c r="D744" i="9"/>
  <c r="D745" i="9"/>
  <c r="D746" i="9"/>
  <c r="D747" i="9"/>
  <c r="D748" i="9"/>
  <c r="D749" i="9"/>
  <c r="D750" i="9"/>
  <c r="D751" i="9"/>
  <c r="D752" i="9"/>
  <c r="D753" i="9"/>
  <c r="D754" i="9"/>
  <c r="D755" i="9"/>
  <c r="D756" i="9"/>
  <c r="D757" i="9"/>
  <c r="D758" i="9"/>
  <c r="D759" i="9"/>
  <c r="D760" i="9"/>
  <c r="D761" i="9"/>
  <c r="D762" i="9"/>
  <c r="D763" i="9"/>
  <c r="D764" i="9"/>
  <c r="D765" i="9"/>
  <c r="D766" i="9"/>
  <c r="D767" i="9"/>
  <c r="D768" i="9"/>
  <c r="D769" i="9"/>
  <c r="D770" i="9"/>
  <c r="D771" i="9"/>
  <c r="D772" i="9"/>
  <c r="D773" i="9"/>
  <c r="D774" i="9"/>
  <c r="D775" i="9"/>
  <c r="D776" i="9"/>
  <c r="D777" i="9"/>
  <c r="D778" i="9"/>
  <c r="D779" i="9"/>
  <c r="D780" i="9"/>
  <c r="D781" i="9"/>
  <c r="D782" i="9"/>
  <c r="D783" i="9"/>
  <c r="D784" i="9"/>
  <c r="D785" i="9"/>
  <c r="D786" i="9"/>
  <c r="D787" i="9"/>
  <c r="D788" i="9"/>
  <c r="D789" i="9"/>
  <c r="D790" i="9"/>
  <c r="D791" i="9"/>
  <c r="D792" i="9"/>
  <c r="D793" i="9"/>
  <c r="D794" i="9"/>
  <c r="D795" i="9"/>
  <c r="D796" i="9"/>
  <c r="D797" i="9"/>
  <c r="D798" i="9"/>
  <c r="D799" i="9"/>
  <c r="D800" i="9"/>
  <c r="D801" i="9"/>
  <c r="D802" i="9"/>
  <c r="D803" i="9"/>
  <c r="D804" i="9"/>
  <c r="D805" i="9"/>
  <c r="D806" i="9"/>
  <c r="D807" i="9"/>
  <c r="D808" i="9"/>
  <c r="D809" i="9"/>
  <c r="D810" i="9"/>
  <c r="D811" i="9"/>
  <c r="D812" i="9"/>
  <c r="D813" i="9"/>
  <c r="D814" i="9"/>
  <c r="D815" i="9"/>
  <c r="D816" i="9"/>
  <c r="D817" i="9"/>
  <c r="D818" i="9"/>
  <c r="D819" i="9"/>
  <c r="D820" i="9"/>
  <c r="D821" i="9"/>
  <c r="D822" i="9"/>
  <c r="D823" i="9"/>
  <c r="D824" i="9"/>
  <c r="D825" i="9"/>
  <c r="D826" i="9"/>
  <c r="D827" i="9"/>
  <c r="D828" i="9"/>
  <c r="D829" i="9"/>
  <c r="D830" i="9"/>
  <c r="D831" i="9"/>
  <c r="D832" i="9"/>
  <c r="D833" i="9"/>
  <c r="D834" i="9"/>
  <c r="D835" i="9"/>
  <c r="D836" i="9"/>
  <c r="D837" i="9"/>
  <c r="D838" i="9"/>
  <c r="D839" i="9"/>
  <c r="D840" i="9"/>
  <c r="D841" i="9"/>
  <c r="D842" i="9"/>
  <c r="D843" i="9"/>
  <c r="D844" i="9"/>
  <c r="D845" i="9"/>
  <c r="D846" i="9"/>
  <c r="D847" i="9"/>
  <c r="D848" i="9"/>
  <c r="D849" i="9"/>
  <c r="D850" i="9"/>
  <c r="D851" i="9"/>
  <c r="D852" i="9"/>
  <c r="D853" i="9"/>
  <c r="D854" i="9"/>
  <c r="D855" i="9"/>
  <c r="D856" i="9"/>
  <c r="D857" i="9"/>
  <c r="D858" i="9"/>
  <c r="D859" i="9"/>
  <c r="D860" i="9"/>
  <c r="D861" i="9"/>
  <c r="D862" i="9"/>
  <c r="D863" i="9"/>
  <c r="D864" i="9"/>
  <c r="D865" i="9"/>
  <c r="D866" i="9"/>
  <c r="D867" i="9"/>
  <c r="D868" i="9"/>
  <c r="D869" i="9"/>
  <c r="D870" i="9"/>
  <c r="D871" i="9"/>
  <c r="D872" i="9"/>
  <c r="D873" i="9"/>
  <c r="D874" i="9"/>
  <c r="D875" i="9"/>
  <c r="D876" i="9"/>
  <c r="D877" i="9"/>
  <c r="D878" i="9"/>
  <c r="D879" i="9"/>
  <c r="D880" i="9"/>
  <c r="D881" i="9"/>
  <c r="D882" i="9"/>
  <c r="D883" i="9"/>
  <c r="D884" i="9"/>
  <c r="D885" i="9"/>
  <c r="D886" i="9"/>
  <c r="D887" i="9"/>
  <c r="D888" i="9"/>
  <c r="D889" i="9"/>
  <c r="D890" i="9"/>
  <c r="D891" i="9"/>
  <c r="D892" i="9"/>
  <c r="D893" i="9"/>
  <c r="D894" i="9"/>
  <c r="D895" i="9"/>
  <c r="D896" i="9"/>
  <c r="D897" i="9"/>
  <c r="D898" i="9"/>
  <c r="D899" i="9"/>
  <c r="D900" i="9"/>
  <c r="D901" i="9"/>
  <c r="D902" i="9"/>
  <c r="D903" i="9"/>
  <c r="D904" i="9"/>
  <c r="D905" i="9"/>
  <c r="D906" i="9"/>
  <c r="D907" i="9"/>
  <c r="D908" i="9"/>
  <c r="D909" i="9"/>
  <c r="D910" i="9"/>
  <c r="D911" i="9"/>
  <c r="D912" i="9"/>
  <c r="D913" i="9"/>
  <c r="D914" i="9"/>
  <c r="D915" i="9"/>
  <c r="D916" i="9"/>
  <c r="D917" i="9"/>
  <c r="D918" i="9"/>
  <c r="D919" i="9"/>
  <c r="D920" i="9"/>
  <c r="D921" i="9"/>
  <c r="D922" i="9"/>
  <c r="D923" i="9"/>
  <c r="D924" i="9"/>
  <c r="D925" i="9"/>
  <c r="D926" i="9"/>
  <c r="D927" i="9"/>
  <c r="D928" i="9"/>
  <c r="D929" i="9"/>
  <c r="D930" i="9"/>
  <c r="D931" i="9"/>
  <c r="D932" i="9"/>
  <c r="D933" i="9"/>
  <c r="D934" i="9"/>
  <c r="D935" i="9"/>
  <c r="D936" i="9"/>
  <c r="D937" i="9"/>
  <c r="D938" i="9"/>
  <c r="D939" i="9"/>
  <c r="D940" i="9"/>
  <c r="D941" i="9"/>
  <c r="D942" i="9"/>
  <c r="D943" i="9"/>
  <c r="D944" i="9"/>
  <c r="D945" i="9"/>
  <c r="D946" i="9"/>
  <c r="D947" i="9"/>
  <c r="D948" i="9"/>
  <c r="D949" i="9"/>
  <c r="D950" i="9"/>
  <c r="D951" i="9"/>
  <c r="D952" i="9"/>
  <c r="D953" i="9"/>
  <c r="D954" i="9"/>
  <c r="D955" i="9"/>
  <c r="D956" i="9"/>
  <c r="D957" i="9"/>
  <c r="D958" i="9"/>
  <c r="D959" i="9"/>
  <c r="D960" i="9"/>
  <c r="D961" i="9"/>
  <c r="D962" i="9"/>
  <c r="D963" i="9"/>
  <c r="D964" i="9"/>
  <c r="D965" i="9"/>
  <c r="D966" i="9"/>
  <c r="D967" i="9"/>
  <c r="D968" i="9"/>
  <c r="D969" i="9"/>
  <c r="D970" i="9"/>
  <c r="D971" i="9"/>
  <c r="D972" i="9"/>
  <c r="D973" i="9"/>
  <c r="D974" i="9"/>
  <c r="D975" i="9"/>
  <c r="D976" i="9"/>
  <c r="D977" i="9"/>
  <c r="D978" i="9"/>
  <c r="D979" i="9"/>
  <c r="D980" i="9"/>
  <c r="D981" i="9"/>
  <c r="D982" i="9"/>
  <c r="D983" i="9"/>
  <c r="D984" i="9"/>
  <c r="D985" i="9"/>
  <c r="D986" i="9"/>
  <c r="D987" i="9"/>
  <c r="D988" i="9"/>
  <c r="D989" i="9"/>
  <c r="D990" i="9"/>
  <c r="D991" i="9"/>
  <c r="D992" i="9"/>
  <c r="D993" i="9"/>
  <c r="D994" i="9"/>
  <c r="D995" i="9"/>
  <c r="D996" i="9"/>
  <c r="D997" i="9"/>
  <c r="D998" i="9"/>
  <c r="D999" i="9"/>
  <c r="D1000" i="9"/>
  <c r="D1001" i="9"/>
  <c r="D1002" i="9"/>
  <c r="D1003" i="9"/>
  <c r="D1004" i="9"/>
  <c r="D1005" i="9"/>
  <c r="D1006" i="9"/>
  <c r="D1007" i="9"/>
  <c r="D1008" i="9"/>
  <c r="D1009" i="9"/>
  <c r="D1010" i="9"/>
  <c r="D1011" i="9"/>
  <c r="D1012" i="9"/>
  <c r="D1013" i="9"/>
  <c r="D1014" i="9"/>
  <c r="D1015" i="9"/>
  <c r="D1016" i="9"/>
  <c r="D1017" i="9"/>
  <c r="D1018" i="9"/>
  <c r="D1019" i="9"/>
  <c r="D1020" i="9"/>
  <c r="D1021" i="9"/>
  <c r="D1022" i="9"/>
  <c r="D1023" i="9"/>
  <c r="D1024" i="9"/>
  <c r="D1025" i="9"/>
  <c r="D1026" i="9"/>
  <c r="D1027" i="9"/>
  <c r="D1028" i="9"/>
  <c r="D1029" i="9"/>
  <c r="D1030" i="9"/>
  <c r="D1031" i="9"/>
  <c r="D1032" i="9"/>
  <c r="D1033" i="9"/>
  <c r="D1034" i="9"/>
  <c r="D1035" i="9"/>
  <c r="D1036" i="9"/>
  <c r="D1037" i="9"/>
  <c r="D1038" i="9"/>
  <c r="D1039" i="9"/>
  <c r="D1040" i="9"/>
  <c r="D1041" i="9"/>
  <c r="D1042" i="9"/>
  <c r="D1043" i="9"/>
  <c r="D1044" i="9"/>
  <c r="D1045" i="9"/>
  <c r="D1046" i="9"/>
  <c r="D1047" i="9"/>
  <c r="D1048" i="9"/>
  <c r="D1049" i="9"/>
  <c r="D1050" i="9"/>
  <c r="D1051" i="9"/>
  <c r="D1052" i="9"/>
  <c r="D1053" i="9"/>
  <c r="D1054" i="9"/>
  <c r="D1055" i="9"/>
  <c r="D1056" i="9"/>
  <c r="D1057" i="9"/>
  <c r="D1058" i="9"/>
  <c r="D1059" i="9"/>
  <c r="D1060" i="9"/>
  <c r="D1061" i="9"/>
  <c r="D1062" i="9"/>
  <c r="D1063" i="9"/>
  <c r="D1064" i="9"/>
  <c r="D1065" i="9"/>
  <c r="D1066" i="9"/>
  <c r="D1067" i="9"/>
  <c r="D1068" i="9"/>
  <c r="D1069" i="9"/>
  <c r="D1070" i="9"/>
  <c r="D1071" i="9"/>
  <c r="D1072" i="9"/>
  <c r="D1073" i="9"/>
  <c r="D1074" i="9"/>
  <c r="D1075" i="9"/>
  <c r="D1076" i="9"/>
  <c r="D1077" i="9"/>
  <c r="D1078" i="9"/>
  <c r="D1079" i="9"/>
  <c r="D1080" i="9"/>
  <c r="D1081" i="9"/>
  <c r="D1082" i="9"/>
  <c r="D1083" i="9"/>
  <c r="D1084" i="9"/>
  <c r="D1085" i="9"/>
  <c r="D1086" i="9"/>
  <c r="D1087" i="9"/>
  <c r="D1088" i="9"/>
  <c r="D1089" i="9"/>
  <c r="D1090" i="9"/>
  <c r="D1091" i="9"/>
  <c r="D1092" i="9"/>
  <c r="D1093" i="9"/>
  <c r="D1094" i="9"/>
  <c r="D1095" i="9"/>
  <c r="D1096" i="9"/>
  <c r="D1097" i="9"/>
  <c r="D1098" i="9"/>
  <c r="D1099" i="9"/>
  <c r="D1100" i="9"/>
  <c r="D1101" i="9"/>
  <c r="D1102" i="9"/>
  <c r="D1103" i="9"/>
  <c r="D1104" i="9"/>
  <c r="D1105" i="9"/>
  <c r="D1106" i="9"/>
  <c r="D1107" i="9"/>
  <c r="D1108" i="9"/>
  <c r="D1109" i="9"/>
  <c r="D1110" i="9"/>
  <c r="D1111" i="9"/>
  <c r="D1112" i="9"/>
  <c r="D1113" i="9"/>
  <c r="D1114" i="9"/>
  <c r="D1115" i="9"/>
  <c r="D1116" i="9"/>
  <c r="D1117" i="9"/>
  <c r="D1118" i="9"/>
  <c r="D1119" i="9"/>
  <c r="D1120" i="9"/>
  <c r="D1121" i="9"/>
  <c r="D1122" i="9"/>
  <c r="D1123" i="9"/>
  <c r="D1124" i="9"/>
  <c r="D1125" i="9"/>
  <c r="D1126" i="9"/>
  <c r="D1127" i="9"/>
  <c r="D1128" i="9"/>
  <c r="D1129" i="9"/>
  <c r="D1130" i="9"/>
  <c r="D1131" i="9"/>
  <c r="D1132" i="9"/>
  <c r="D1133" i="9"/>
  <c r="D1134" i="9"/>
  <c r="D1135" i="9"/>
  <c r="D1136" i="9"/>
  <c r="D1137" i="9"/>
  <c r="D1138" i="9"/>
  <c r="D1139" i="9"/>
  <c r="D1140" i="9"/>
  <c r="D1141" i="9"/>
  <c r="D1142" i="9"/>
  <c r="D1143" i="9"/>
  <c r="D1144" i="9"/>
  <c r="D1145" i="9"/>
  <c r="D1146" i="9"/>
  <c r="D1147" i="9"/>
  <c r="D1148" i="9"/>
  <c r="D1149" i="9"/>
  <c r="D1150" i="9"/>
  <c r="D1151" i="9"/>
  <c r="D1152" i="9"/>
  <c r="D1153" i="9"/>
  <c r="D1154" i="9"/>
  <c r="D1155" i="9"/>
  <c r="D1156" i="9"/>
  <c r="D1157" i="9"/>
  <c r="D1158" i="9"/>
  <c r="D1159" i="9"/>
  <c r="D1160" i="9"/>
  <c r="D1161" i="9"/>
  <c r="D1162" i="9"/>
  <c r="D1163" i="9"/>
  <c r="D1164" i="9"/>
  <c r="D1165" i="9"/>
  <c r="D1166" i="9"/>
  <c r="D1167" i="9"/>
  <c r="D1168" i="9"/>
  <c r="D1169" i="9"/>
  <c r="D1170" i="9"/>
  <c r="D1171" i="9"/>
  <c r="D1172" i="9"/>
  <c r="D1173" i="9"/>
  <c r="D1174" i="9"/>
  <c r="D1175" i="9"/>
  <c r="D1176" i="9"/>
  <c r="D1177" i="9"/>
  <c r="D1178" i="9"/>
  <c r="D1179" i="9"/>
  <c r="D1180" i="9"/>
  <c r="D1181" i="9"/>
  <c r="D1182" i="9"/>
  <c r="D1183" i="9"/>
  <c r="D1184" i="9"/>
  <c r="D1185" i="9"/>
  <c r="D1186" i="9"/>
  <c r="D1187" i="9"/>
  <c r="D1188" i="9"/>
  <c r="D1189" i="9"/>
  <c r="D1190" i="9"/>
  <c r="D1191" i="9"/>
  <c r="D1192" i="9"/>
  <c r="D1193" i="9"/>
  <c r="D1194" i="9"/>
  <c r="D1195" i="9"/>
  <c r="D1196" i="9"/>
  <c r="D1197" i="9"/>
  <c r="D1198" i="9"/>
  <c r="D1199" i="9"/>
  <c r="D1200" i="9"/>
  <c r="D1201" i="9"/>
  <c r="D1202" i="9"/>
  <c r="D1203" i="9"/>
  <c r="D1204" i="9"/>
  <c r="D1205" i="9"/>
  <c r="D1206" i="9"/>
  <c r="D1207" i="9"/>
  <c r="D1208" i="9"/>
  <c r="D1209" i="9"/>
  <c r="D1210" i="9"/>
  <c r="D1211" i="9"/>
  <c r="D1212" i="9"/>
  <c r="D1213" i="9"/>
  <c r="D1214" i="9"/>
  <c r="D1215" i="9"/>
  <c r="D1216" i="9"/>
  <c r="D1217" i="9"/>
  <c r="D1218" i="9"/>
  <c r="D1219" i="9"/>
  <c r="D1220" i="9"/>
  <c r="D1221" i="9"/>
  <c r="D1222" i="9"/>
  <c r="D1223" i="9"/>
  <c r="D1224" i="9"/>
  <c r="D1225" i="9"/>
  <c r="D1226" i="9"/>
  <c r="D1227" i="9"/>
  <c r="D1228" i="9"/>
  <c r="D1229" i="9"/>
  <c r="D1230" i="9"/>
  <c r="D1231" i="9"/>
  <c r="D1232" i="9"/>
  <c r="D1233" i="9"/>
  <c r="D1234" i="9"/>
  <c r="D1235" i="9"/>
  <c r="D1236" i="9"/>
  <c r="D1237" i="9"/>
  <c r="D1238" i="9"/>
  <c r="D1239" i="9"/>
  <c r="D1240" i="9"/>
  <c r="D1241" i="9"/>
  <c r="D1242" i="9"/>
  <c r="D1243" i="9"/>
  <c r="D1244" i="9"/>
  <c r="D1245" i="9"/>
  <c r="D1246" i="9"/>
  <c r="D1247" i="9"/>
  <c r="D1248" i="9"/>
  <c r="D1249" i="9"/>
  <c r="D1250" i="9"/>
  <c r="D1251" i="9"/>
  <c r="D1252" i="9"/>
  <c r="D1253" i="9"/>
  <c r="D1254" i="9"/>
  <c r="D1255" i="9"/>
  <c r="D1256" i="9"/>
  <c r="D1257" i="9"/>
  <c r="D1258" i="9"/>
  <c r="D1259" i="9"/>
  <c r="D1260" i="9"/>
  <c r="D1261" i="9"/>
  <c r="D1262" i="9"/>
  <c r="D1263" i="9"/>
  <c r="D1264" i="9"/>
  <c r="D1265" i="9"/>
  <c r="D1266" i="9"/>
  <c r="D1267" i="9"/>
  <c r="D1268" i="9"/>
  <c r="D1269" i="9"/>
  <c r="D1270" i="9"/>
  <c r="D1271" i="9"/>
  <c r="D1272" i="9"/>
  <c r="D1273" i="9"/>
  <c r="D1274" i="9"/>
  <c r="D1275" i="9"/>
  <c r="D1276" i="9"/>
  <c r="D1277" i="9"/>
  <c r="D1278" i="9"/>
  <c r="D1279" i="9"/>
  <c r="D1280" i="9"/>
  <c r="D1281" i="9"/>
  <c r="D1282" i="9"/>
  <c r="D1283" i="9"/>
  <c r="D1284" i="9"/>
  <c r="D1285" i="9"/>
  <c r="D1286" i="9"/>
  <c r="D1287" i="9"/>
  <c r="D1288" i="9"/>
  <c r="D1289" i="9"/>
  <c r="D1290" i="9"/>
  <c r="D1291" i="9"/>
  <c r="D1292" i="9"/>
  <c r="D1293" i="9"/>
  <c r="D1294" i="9"/>
  <c r="D1295" i="9"/>
  <c r="D1296" i="9"/>
  <c r="D1297" i="9"/>
  <c r="D1298" i="9"/>
  <c r="D1299" i="9"/>
  <c r="D1300" i="9"/>
  <c r="D1301" i="9"/>
  <c r="D1302" i="9"/>
  <c r="D1303" i="9"/>
  <c r="D1304" i="9"/>
  <c r="D1305" i="9"/>
  <c r="D1306" i="9"/>
  <c r="D1307" i="9"/>
  <c r="D1308" i="9"/>
  <c r="D1309" i="9"/>
  <c r="D1310" i="9"/>
  <c r="D1311" i="9"/>
  <c r="D1312" i="9"/>
  <c r="D1313" i="9"/>
  <c r="D1314" i="9"/>
  <c r="D1315" i="9"/>
  <c r="D1316" i="9"/>
  <c r="D1317" i="9"/>
  <c r="D1318" i="9"/>
  <c r="D1319" i="9"/>
  <c r="D1320" i="9"/>
  <c r="D1321" i="9"/>
  <c r="D1322" i="9"/>
  <c r="D1323" i="9"/>
  <c r="D1324" i="9"/>
  <c r="D1325" i="9"/>
  <c r="D1326" i="9"/>
  <c r="D1327" i="9"/>
  <c r="D1328" i="9"/>
  <c r="D1329" i="9"/>
  <c r="D1330" i="9"/>
  <c r="D1331" i="9"/>
  <c r="D1332" i="9"/>
  <c r="D1333" i="9"/>
  <c r="D1334" i="9"/>
  <c r="D1335" i="9"/>
  <c r="D1336" i="9"/>
  <c r="D1337" i="9"/>
  <c r="D1338" i="9"/>
  <c r="D1339" i="9"/>
  <c r="D1340" i="9"/>
  <c r="D1341" i="9"/>
  <c r="D1342" i="9"/>
  <c r="D1343" i="9"/>
  <c r="D1344" i="9"/>
  <c r="D1345" i="9"/>
  <c r="D1346" i="9"/>
  <c r="D1347" i="9"/>
  <c r="D1348" i="9"/>
  <c r="D1349" i="9"/>
  <c r="D1350" i="9"/>
  <c r="D1351" i="9"/>
  <c r="D1352" i="9"/>
  <c r="D1353" i="9"/>
  <c r="D1354" i="9"/>
  <c r="D1355" i="9"/>
  <c r="D1356" i="9"/>
  <c r="D1357" i="9"/>
  <c r="D1358" i="9"/>
  <c r="D1359" i="9"/>
  <c r="D1360" i="9"/>
  <c r="D1361" i="9"/>
  <c r="D1362" i="9"/>
  <c r="D1363" i="9"/>
  <c r="D1364" i="9"/>
  <c r="D1365" i="9"/>
  <c r="D1366" i="9"/>
  <c r="D1367" i="9"/>
  <c r="D1368" i="9"/>
  <c r="D1369" i="9"/>
  <c r="D1370" i="9"/>
  <c r="D1371" i="9"/>
  <c r="D1372" i="9"/>
  <c r="D1373" i="9"/>
  <c r="D1374" i="9"/>
  <c r="D1375" i="9"/>
  <c r="D1376" i="9"/>
  <c r="D1377" i="9"/>
  <c r="D1378" i="9"/>
  <c r="D1379" i="9"/>
  <c r="D1380" i="9"/>
  <c r="D1381" i="9"/>
  <c r="D1382" i="9"/>
  <c r="D1383" i="9"/>
  <c r="D1384" i="9"/>
  <c r="D1385" i="9"/>
  <c r="D1386" i="9"/>
  <c r="D1387" i="9"/>
  <c r="D1388" i="9"/>
  <c r="D1389" i="9"/>
  <c r="D1390" i="9"/>
  <c r="D1391" i="9"/>
  <c r="D1392" i="9"/>
  <c r="D1393" i="9"/>
  <c r="D1394" i="9"/>
  <c r="D1395" i="9"/>
  <c r="D1396" i="9"/>
  <c r="D1397" i="9"/>
  <c r="D1398" i="9"/>
  <c r="D1399" i="9"/>
  <c r="D1400" i="9"/>
  <c r="D1401" i="9"/>
  <c r="D1402" i="9"/>
  <c r="D1403" i="9"/>
  <c r="D1404" i="9"/>
  <c r="D1405" i="9"/>
  <c r="D1406" i="9"/>
  <c r="D1407" i="9"/>
  <c r="D1408" i="9"/>
  <c r="D1409" i="9"/>
  <c r="D1410" i="9"/>
  <c r="D1411" i="9"/>
  <c r="D1412" i="9"/>
  <c r="D1413" i="9"/>
  <c r="D1414" i="9"/>
  <c r="D1415" i="9"/>
  <c r="D1416" i="9"/>
  <c r="D1417" i="9"/>
  <c r="D1418" i="9"/>
  <c r="D1419" i="9"/>
  <c r="D1420" i="9"/>
  <c r="D1421" i="9"/>
  <c r="D1422" i="9"/>
  <c r="D1423" i="9"/>
  <c r="D1424" i="9"/>
  <c r="D1425" i="9"/>
  <c r="D1426" i="9"/>
  <c r="D1427" i="9"/>
  <c r="D1428" i="9"/>
  <c r="D1429" i="9"/>
  <c r="D1430" i="9"/>
  <c r="D1431" i="9"/>
  <c r="D1432" i="9"/>
  <c r="D1433" i="9"/>
  <c r="D1434" i="9"/>
  <c r="D1435" i="9"/>
  <c r="D1436" i="9"/>
  <c r="D1437" i="9"/>
  <c r="D1438" i="9"/>
  <c r="D1439" i="9"/>
  <c r="D1440" i="9"/>
  <c r="D1441" i="9"/>
  <c r="D1442" i="9"/>
  <c r="D1443" i="9"/>
  <c r="D1444" i="9"/>
  <c r="D1445" i="9"/>
  <c r="D1446" i="9"/>
  <c r="D1447" i="9"/>
  <c r="D1448" i="9"/>
  <c r="D1449" i="9"/>
  <c r="D1450" i="9"/>
  <c r="D1451" i="9"/>
  <c r="D1452" i="9"/>
  <c r="D1453" i="9"/>
  <c r="D1454" i="9"/>
  <c r="D1455" i="9"/>
  <c r="D1456" i="9"/>
  <c r="D1457" i="9"/>
  <c r="D1458" i="9"/>
  <c r="D1459" i="9"/>
  <c r="D1460" i="9"/>
  <c r="D1461" i="9"/>
  <c r="D1462" i="9"/>
  <c r="D1463" i="9"/>
  <c r="D1464" i="9"/>
  <c r="D1465" i="9"/>
  <c r="D1466" i="9"/>
  <c r="D1467" i="9"/>
  <c r="D1468" i="9"/>
  <c r="D1469" i="9"/>
  <c r="D1470" i="9"/>
  <c r="D1471" i="9"/>
  <c r="D1472" i="9"/>
  <c r="D1473" i="9"/>
  <c r="D1474" i="9"/>
  <c r="D1475" i="9"/>
  <c r="D1476" i="9"/>
  <c r="D1477" i="9"/>
  <c r="D1478" i="9"/>
  <c r="D1479" i="9"/>
  <c r="D1480" i="9"/>
  <c r="D1481" i="9"/>
  <c r="D1482" i="9"/>
  <c r="D1483" i="9"/>
  <c r="D1484" i="9"/>
  <c r="D1485" i="9"/>
  <c r="D1486" i="9"/>
  <c r="D1487" i="9"/>
  <c r="D1488" i="9"/>
  <c r="D1489" i="9"/>
  <c r="D1490" i="9"/>
  <c r="D1491" i="9"/>
  <c r="D1492" i="9"/>
  <c r="D1493" i="9"/>
  <c r="D1494" i="9"/>
  <c r="D1495" i="9"/>
  <c r="D1496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C563" i="9"/>
  <c r="C564" i="9"/>
  <c r="C565" i="9"/>
  <c r="C566" i="9"/>
  <c r="C567" i="9"/>
  <c r="C568" i="9"/>
  <c r="C569" i="9"/>
  <c r="C570" i="9"/>
  <c r="C571" i="9"/>
  <c r="C572" i="9"/>
  <c r="C573" i="9"/>
  <c r="C574" i="9"/>
  <c r="C575" i="9"/>
  <c r="C576" i="9"/>
  <c r="C577" i="9"/>
  <c r="C578" i="9"/>
  <c r="C579" i="9"/>
  <c r="C580" i="9"/>
  <c r="C581" i="9"/>
  <c r="C582" i="9"/>
  <c r="C583" i="9"/>
  <c r="C584" i="9"/>
  <c r="C585" i="9"/>
  <c r="C586" i="9"/>
  <c r="C587" i="9"/>
  <c r="C588" i="9"/>
  <c r="C589" i="9"/>
  <c r="C590" i="9"/>
  <c r="C591" i="9"/>
  <c r="C592" i="9"/>
  <c r="C593" i="9"/>
  <c r="C594" i="9"/>
  <c r="C595" i="9"/>
  <c r="C596" i="9"/>
  <c r="C597" i="9"/>
  <c r="C598" i="9"/>
  <c r="C599" i="9"/>
  <c r="C600" i="9"/>
  <c r="C601" i="9"/>
  <c r="C602" i="9"/>
  <c r="C603" i="9"/>
  <c r="C604" i="9"/>
  <c r="C605" i="9"/>
  <c r="C606" i="9"/>
  <c r="C607" i="9"/>
  <c r="C608" i="9"/>
  <c r="C609" i="9"/>
  <c r="C610" i="9"/>
  <c r="C611" i="9"/>
  <c r="C612" i="9"/>
  <c r="C613" i="9"/>
  <c r="C614" i="9"/>
  <c r="C615" i="9"/>
  <c r="C616" i="9"/>
  <c r="C617" i="9"/>
  <c r="C618" i="9"/>
  <c r="C619" i="9"/>
  <c r="C620" i="9"/>
  <c r="C621" i="9"/>
  <c r="C622" i="9"/>
  <c r="C623" i="9"/>
  <c r="C624" i="9"/>
  <c r="C625" i="9"/>
  <c r="C626" i="9"/>
  <c r="C627" i="9"/>
  <c r="C628" i="9"/>
  <c r="C629" i="9"/>
  <c r="C630" i="9"/>
  <c r="C631" i="9"/>
  <c r="C632" i="9"/>
  <c r="C633" i="9"/>
  <c r="C634" i="9"/>
  <c r="C635" i="9"/>
  <c r="C636" i="9"/>
  <c r="C637" i="9"/>
  <c r="C638" i="9"/>
  <c r="C639" i="9"/>
  <c r="C640" i="9"/>
  <c r="C641" i="9"/>
  <c r="C642" i="9"/>
  <c r="C643" i="9"/>
  <c r="C644" i="9"/>
  <c r="C645" i="9"/>
  <c r="C646" i="9"/>
  <c r="C647" i="9"/>
  <c r="C648" i="9"/>
  <c r="C649" i="9"/>
  <c r="C650" i="9"/>
  <c r="C651" i="9"/>
  <c r="C652" i="9"/>
  <c r="C653" i="9"/>
  <c r="C654" i="9"/>
  <c r="C655" i="9"/>
  <c r="C656" i="9"/>
  <c r="C657" i="9"/>
  <c r="C658" i="9"/>
  <c r="C659" i="9"/>
  <c r="C660" i="9"/>
  <c r="C661" i="9"/>
  <c r="C662" i="9"/>
  <c r="C663" i="9"/>
  <c r="C664" i="9"/>
  <c r="C665" i="9"/>
  <c r="C666" i="9"/>
  <c r="C667" i="9"/>
  <c r="C668" i="9"/>
  <c r="C669" i="9"/>
  <c r="C670" i="9"/>
  <c r="C671" i="9"/>
  <c r="C672" i="9"/>
  <c r="C673" i="9"/>
  <c r="C674" i="9"/>
  <c r="C675" i="9"/>
  <c r="C676" i="9"/>
  <c r="C677" i="9"/>
  <c r="C678" i="9"/>
  <c r="C679" i="9"/>
  <c r="C680" i="9"/>
  <c r="C681" i="9"/>
  <c r="C682" i="9"/>
  <c r="C683" i="9"/>
  <c r="C684" i="9"/>
  <c r="C685" i="9"/>
  <c r="C686" i="9"/>
  <c r="C687" i="9"/>
  <c r="C688" i="9"/>
  <c r="C689" i="9"/>
  <c r="C690" i="9"/>
  <c r="C691" i="9"/>
  <c r="C692" i="9"/>
  <c r="C693" i="9"/>
  <c r="C694" i="9"/>
  <c r="C695" i="9"/>
  <c r="C696" i="9"/>
  <c r="C697" i="9"/>
  <c r="C698" i="9"/>
  <c r="C699" i="9"/>
  <c r="C700" i="9"/>
  <c r="C701" i="9"/>
  <c r="C702" i="9"/>
  <c r="C703" i="9"/>
  <c r="C704" i="9"/>
  <c r="C705" i="9"/>
  <c r="C706" i="9"/>
  <c r="C707" i="9"/>
  <c r="C708" i="9"/>
  <c r="C709" i="9"/>
  <c r="C710" i="9"/>
  <c r="C711" i="9"/>
  <c r="C712" i="9"/>
  <c r="C713" i="9"/>
  <c r="C714" i="9"/>
  <c r="C715" i="9"/>
  <c r="C716" i="9"/>
  <c r="C717" i="9"/>
  <c r="C718" i="9"/>
  <c r="C719" i="9"/>
  <c r="C720" i="9"/>
  <c r="C721" i="9"/>
  <c r="C722" i="9"/>
  <c r="C723" i="9"/>
  <c r="C724" i="9"/>
  <c r="C725" i="9"/>
  <c r="C726" i="9"/>
  <c r="C727" i="9"/>
  <c r="C728" i="9"/>
  <c r="C729" i="9"/>
  <c r="C730" i="9"/>
  <c r="C731" i="9"/>
  <c r="C732" i="9"/>
  <c r="C733" i="9"/>
  <c r="C734" i="9"/>
  <c r="C735" i="9"/>
  <c r="C736" i="9"/>
  <c r="C737" i="9"/>
  <c r="C738" i="9"/>
  <c r="C739" i="9"/>
  <c r="C740" i="9"/>
  <c r="C741" i="9"/>
  <c r="C742" i="9"/>
  <c r="C743" i="9"/>
  <c r="C744" i="9"/>
  <c r="C745" i="9"/>
  <c r="C746" i="9"/>
  <c r="C747" i="9"/>
  <c r="C748" i="9"/>
  <c r="C749" i="9"/>
  <c r="C750" i="9"/>
  <c r="C751" i="9"/>
  <c r="C752" i="9"/>
  <c r="C753" i="9"/>
  <c r="C754" i="9"/>
  <c r="C755" i="9"/>
  <c r="C756" i="9"/>
  <c r="C757" i="9"/>
  <c r="C758" i="9"/>
  <c r="C759" i="9"/>
  <c r="C760" i="9"/>
  <c r="C761" i="9"/>
  <c r="C762" i="9"/>
  <c r="C763" i="9"/>
  <c r="C764" i="9"/>
  <c r="C765" i="9"/>
  <c r="C766" i="9"/>
  <c r="C767" i="9"/>
  <c r="C768" i="9"/>
  <c r="C769" i="9"/>
  <c r="C770" i="9"/>
  <c r="C771" i="9"/>
  <c r="C772" i="9"/>
  <c r="C773" i="9"/>
  <c r="C774" i="9"/>
  <c r="C775" i="9"/>
  <c r="C776" i="9"/>
  <c r="C777" i="9"/>
  <c r="C778" i="9"/>
  <c r="C779" i="9"/>
  <c r="C780" i="9"/>
  <c r="C781" i="9"/>
  <c r="C782" i="9"/>
  <c r="C783" i="9"/>
  <c r="C784" i="9"/>
  <c r="C785" i="9"/>
  <c r="C786" i="9"/>
  <c r="C787" i="9"/>
  <c r="C788" i="9"/>
  <c r="C789" i="9"/>
  <c r="C790" i="9"/>
  <c r="C791" i="9"/>
  <c r="C792" i="9"/>
  <c r="C793" i="9"/>
  <c r="C794" i="9"/>
  <c r="C795" i="9"/>
  <c r="C796" i="9"/>
  <c r="C797" i="9"/>
  <c r="C798" i="9"/>
  <c r="C799" i="9"/>
  <c r="C800" i="9"/>
  <c r="C801" i="9"/>
  <c r="C802" i="9"/>
  <c r="C803" i="9"/>
  <c r="C804" i="9"/>
  <c r="C805" i="9"/>
  <c r="C806" i="9"/>
  <c r="C807" i="9"/>
  <c r="C808" i="9"/>
  <c r="C809" i="9"/>
  <c r="C810" i="9"/>
  <c r="C811" i="9"/>
  <c r="C812" i="9"/>
  <c r="C813" i="9"/>
  <c r="C814" i="9"/>
  <c r="C815" i="9"/>
  <c r="C816" i="9"/>
  <c r="C817" i="9"/>
  <c r="C818" i="9"/>
  <c r="C819" i="9"/>
  <c r="C820" i="9"/>
  <c r="C821" i="9"/>
  <c r="C822" i="9"/>
  <c r="C823" i="9"/>
  <c r="C824" i="9"/>
  <c r="C825" i="9"/>
  <c r="C826" i="9"/>
  <c r="C827" i="9"/>
  <c r="C828" i="9"/>
  <c r="C829" i="9"/>
  <c r="C830" i="9"/>
  <c r="C831" i="9"/>
  <c r="C832" i="9"/>
  <c r="C833" i="9"/>
  <c r="C834" i="9"/>
  <c r="C835" i="9"/>
  <c r="C836" i="9"/>
  <c r="C837" i="9"/>
  <c r="C838" i="9"/>
  <c r="C839" i="9"/>
  <c r="C840" i="9"/>
  <c r="C841" i="9"/>
  <c r="C842" i="9"/>
  <c r="C843" i="9"/>
  <c r="C844" i="9"/>
  <c r="C845" i="9"/>
  <c r="C846" i="9"/>
  <c r="C847" i="9"/>
  <c r="C848" i="9"/>
  <c r="C849" i="9"/>
  <c r="C850" i="9"/>
  <c r="C851" i="9"/>
  <c r="C852" i="9"/>
  <c r="C853" i="9"/>
  <c r="C854" i="9"/>
  <c r="C855" i="9"/>
  <c r="C856" i="9"/>
  <c r="C857" i="9"/>
  <c r="C858" i="9"/>
  <c r="C859" i="9"/>
  <c r="C860" i="9"/>
  <c r="C861" i="9"/>
  <c r="C862" i="9"/>
  <c r="C863" i="9"/>
  <c r="C864" i="9"/>
  <c r="C865" i="9"/>
  <c r="C866" i="9"/>
  <c r="C867" i="9"/>
  <c r="C868" i="9"/>
  <c r="C869" i="9"/>
  <c r="C870" i="9"/>
  <c r="C871" i="9"/>
  <c r="C872" i="9"/>
  <c r="C873" i="9"/>
  <c r="C874" i="9"/>
  <c r="C875" i="9"/>
  <c r="C876" i="9"/>
  <c r="C877" i="9"/>
  <c r="C878" i="9"/>
  <c r="C879" i="9"/>
  <c r="C880" i="9"/>
  <c r="C881" i="9"/>
  <c r="C882" i="9"/>
  <c r="C883" i="9"/>
  <c r="C884" i="9"/>
  <c r="C885" i="9"/>
  <c r="C886" i="9"/>
  <c r="C887" i="9"/>
  <c r="C888" i="9"/>
  <c r="C889" i="9"/>
  <c r="C890" i="9"/>
  <c r="C891" i="9"/>
  <c r="C892" i="9"/>
  <c r="C893" i="9"/>
  <c r="C894" i="9"/>
  <c r="C895" i="9"/>
  <c r="C896" i="9"/>
  <c r="C897" i="9"/>
  <c r="C898" i="9"/>
  <c r="C899" i="9"/>
  <c r="C900" i="9"/>
  <c r="C901" i="9"/>
  <c r="C902" i="9"/>
  <c r="C903" i="9"/>
  <c r="C904" i="9"/>
  <c r="C905" i="9"/>
  <c r="C906" i="9"/>
  <c r="C907" i="9"/>
  <c r="C908" i="9"/>
  <c r="C909" i="9"/>
  <c r="C910" i="9"/>
  <c r="C911" i="9"/>
  <c r="C912" i="9"/>
  <c r="C913" i="9"/>
  <c r="C914" i="9"/>
  <c r="C915" i="9"/>
  <c r="C916" i="9"/>
  <c r="C917" i="9"/>
  <c r="C918" i="9"/>
  <c r="C919" i="9"/>
  <c r="C920" i="9"/>
  <c r="C921" i="9"/>
  <c r="C922" i="9"/>
  <c r="C923" i="9"/>
  <c r="C924" i="9"/>
  <c r="C925" i="9"/>
  <c r="C926" i="9"/>
  <c r="C927" i="9"/>
  <c r="C928" i="9"/>
  <c r="C929" i="9"/>
  <c r="C930" i="9"/>
  <c r="C931" i="9"/>
  <c r="C932" i="9"/>
  <c r="C933" i="9"/>
  <c r="C934" i="9"/>
  <c r="C935" i="9"/>
  <c r="C936" i="9"/>
  <c r="C937" i="9"/>
  <c r="C938" i="9"/>
  <c r="C939" i="9"/>
  <c r="C940" i="9"/>
  <c r="C941" i="9"/>
  <c r="C942" i="9"/>
  <c r="C943" i="9"/>
  <c r="C944" i="9"/>
  <c r="C945" i="9"/>
  <c r="C946" i="9"/>
  <c r="C947" i="9"/>
  <c r="C948" i="9"/>
  <c r="C949" i="9"/>
  <c r="C950" i="9"/>
  <c r="C951" i="9"/>
  <c r="C952" i="9"/>
  <c r="C953" i="9"/>
  <c r="C954" i="9"/>
  <c r="C955" i="9"/>
  <c r="C956" i="9"/>
  <c r="C957" i="9"/>
  <c r="C958" i="9"/>
  <c r="C959" i="9"/>
  <c r="C960" i="9"/>
  <c r="C961" i="9"/>
  <c r="C962" i="9"/>
  <c r="C963" i="9"/>
  <c r="C964" i="9"/>
  <c r="C965" i="9"/>
  <c r="C966" i="9"/>
  <c r="C967" i="9"/>
  <c r="C968" i="9"/>
  <c r="C969" i="9"/>
  <c r="C970" i="9"/>
  <c r="C971" i="9"/>
  <c r="C972" i="9"/>
  <c r="C973" i="9"/>
  <c r="C974" i="9"/>
  <c r="C975" i="9"/>
  <c r="C976" i="9"/>
  <c r="C977" i="9"/>
  <c r="C978" i="9"/>
  <c r="C979" i="9"/>
  <c r="C980" i="9"/>
  <c r="C981" i="9"/>
  <c r="C982" i="9"/>
  <c r="C983" i="9"/>
  <c r="C984" i="9"/>
  <c r="C985" i="9"/>
  <c r="C986" i="9"/>
  <c r="C987" i="9"/>
  <c r="C988" i="9"/>
  <c r="C989" i="9"/>
  <c r="C990" i="9"/>
  <c r="C991" i="9"/>
  <c r="C992" i="9"/>
  <c r="C993" i="9"/>
  <c r="C994" i="9"/>
  <c r="C995" i="9"/>
  <c r="C996" i="9"/>
  <c r="C997" i="9"/>
  <c r="C998" i="9"/>
  <c r="C999" i="9"/>
  <c r="C1000" i="9"/>
  <c r="C1001" i="9"/>
  <c r="C1002" i="9"/>
  <c r="C1003" i="9"/>
  <c r="C1004" i="9"/>
  <c r="C1005" i="9"/>
  <c r="C1006" i="9"/>
  <c r="C1007" i="9"/>
  <c r="C1008" i="9"/>
  <c r="C1009" i="9"/>
  <c r="C1010" i="9"/>
  <c r="C1011" i="9"/>
  <c r="C1012" i="9"/>
  <c r="C1013" i="9"/>
  <c r="C1014" i="9"/>
  <c r="C1015" i="9"/>
  <c r="C1016" i="9"/>
  <c r="C1017" i="9"/>
  <c r="C1018" i="9"/>
  <c r="C1019" i="9"/>
  <c r="C1020" i="9"/>
  <c r="C1021" i="9"/>
  <c r="C1022" i="9"/>
  <c r="C1023" i="9"/>
  <c r="C1024" i="9"/>
  <c r="C1025" i="9"/>
  <c r="C1026" i="9"/>
  <c r="C1027" i="9"/>
  <c r="C1028" i="9"/>
  <c r="C1029" i="9"/>
  <c r="C1030" i="9"/>
  <c r="C1031" i="9"/>
  <c r="C1032" i="9"/>
  <c r="C1033" i="9"/>
  <c r="C1034" i="9"/>
  <c r="C1035" i="9"/>
  <c r="C1036" i="9"/>
  <c r="C1037" i="9"/>
  <c r="C1038" i="9"/>
  <c r="C1039" i="9"/>
  <c r="C1040" i="9"/>
  <c r="C1041" i="9"/>
  <c r="C1042" i="9"/>
  <c r="C1043" i="9"/>
  <c r="C1044" i="9"/>
  <c r="C1045" i="9"/>
  <c r="C1046" i="9"/>
  <c r="C1047" i="9"/>
  <c r="C1048" i="9"/>
  <c r="C1049" i="9"/>
  <c r="C1050" i="9"/>
  <c r="C1051" i="9"/>
  <c r="C1052" i="9"/>
  <c r="C1053" i="9"/>
  <c r="C1054" i="9"/>
  <c r="C1055" i="9"/>
  <c r="C1056" i="9"/>
  <c r="C1057" i="9"/>
  <c r="C1058" i="9"/>
  <c r="C1059" i="9"/>
  <c r="C1060" i="9"/>
  <c r="C1061" i="9"/>
  <c r="C1062" i="9"/>
  <c r="C1063" i="9"/>
  <c r="C1064" i="9"/>
  <c r="C1065" i="9"/>
  <c r="C1066" i="9"/>
  <c r="C1067" i="9"/>
  <c r="C1068" i="9"/>
  <c r="C1069" i="9"/>
  <c r="C1070" i="9"/>
  <c r="C1071" i="9"/>
  <c r="C1072" i="9"/>
  <c r="C1073" i="9"/>
  <c r="C1074" i="9"/>
  <c r="C1075" i="9"/>
  <c r="C1076" i="9"/>
  <c r="C1077" i="9"/>
  <c r="C1078" i="9"/>
  <c r="C1079" i="9"/>
  <c r="C1080" i="9"/>
  <c r="C1081" i="9"/>
  <c r="C1082" i="9"/>
  <c r="C1083" i="9"/>
  <c r="C1084" i="9"/>
  <c r="C1085" i="9"/>
  <c r="C1086" i="9"/>
  <c r="C1087" i="9"/>
  <c r="C1088" i="9"/>
  <c r="C1089" i="9"/>
  <c r="C1090" i="9"/>
  <c r="C1091" i="9"/>
  <c r="C1092" i="9"/>
  <c r="C1093" i="9"/>
  <c r="C1094" i="9"/>
  <c r="C1095" i="9"/>
  <c r="C1096" i="9"/>
  <c r="C1097" i="9"/>
  <c r="C1098" i="9"/>
  <c r="C1099" i="9"/>
  <c r="C1100" i="9"/>
  <c r="C1101" i="9"/>
  <c r="C1102" i="9"/>
  <c r="C1103" i="9"/>
  <c r="C1104" i="9"/>
  <c r="C1105" i="9"/>
  <c r="C1106" i="9"/>
  <c r="C1107" i="9"/>
  <c r="C1108" i="9"/>
  <c r="C1109" i="9"/>
  <c r="C1110" i="9"/>
  <c r="C1111" i="9"/>
  <c r="C1112" i="9"/>
  <c r="C1113" i="9"/>
  <c r="C1114" i="9"/>
  <c r="C1115" i="9"/>
  <c r="C1116" i="9"/>
  <c r="C1117" i="9"/>
  <c r="C1118" i="9"/>
  <c r="C1119" i="9"/>
  <c r="C1120" i="9"/>
  <c r="C1121" i="9"/>
  <c r="C1122" i="9"/>
  <c r="C1123" i="9"/>
  <c r="C1124" i="9"/>
  <c r="C1125" i="9"/>
  <c r="C1126" i="9"/>
  <c r="C1127" i="9"/>
  <c r="C1128" i="9"/>
  <c r="C1129" i="9"/>
  <c r="C1130" i="9"/>
  <c r="C1131" i="9"/>
  <c r="C1132" i="9"/>
  <c r="C1133" i="9"/>
  <c r="C1134" i="9"/>
  <c r="C1135" i="9"/>
  <c r="C1136" i="9"/>
  <c r="C1137" i="9"/>
  <c r="C1138" i="9"/>
  <c r="C1139" i="9"/>
  <c r="C1140" i="9"/>
  <c r="C1141" i="9"/>
  <c r="C1142" i="9"/>
  <c r="C1143" i="9"/>
  <c r="C1144" i="9"/>
  <c r="C1145" i="9"/>
  <c r="C1146" i="9"/>
  <c r="C1147" i="9"/>
  <c r="C1148" i="9"/>
  <c r="C1149" i="9"/>
  <c r="C1150" i="9"/>
  <c r="C1151" i="9"/>
  <c r="C1152" i="9"/>
  <c r="C1153" i="9"/>
  <c r="C1154" i="9"/>
  <c r="C1155" i="9"/>
  <c r="C1156" i="9"/>
  <c r="C1157" i="9"/>
  <c r="C1158" i="9"/>
  <c r="C1159" i="9"/>
  <c r="C1160" i="9"/>
  <c r="C1161" i="9"/>
  <c r="C1162" i="9"/>
  <c r="C1163" i="9"/>
  <c r="C1164" i="9"/>
  <c r="C1165" i="9"/>
  <c r="C1166" i="9"/>
  <c r="C1167" i="9"/>
  <c r="C1168" i="9"/>
  <c r="C1169" i="9"/>
  <c r="C1170" i="9"/>
  <c r="C1171" i="9"/>
  <c r="C1172" i="9"/>
  <c r="C1173" i="9"/>
  <c r="C1174" i="9"/>
  <c r="C1175" i="9"/>
  <c r="C1176" i="9"/>
  <c r="C1177" i="9"/>
  <c r="C1178" i="9"/>
  <c r="C1179" i="9"/>
  <c r="C1180" i="9"/>
  <c r="C1181" i="9"/>
  <c r="C1182" i="9"/>
  <c r="C1183" i="9"/>
  <c r="C1184" i="9"/>
  <c r="C1185" i="9"/>
  <c r="C1186" i="9"/>
  <c r="C1187" i="9"/>
  <c r="C1188" i="9"/>
  <c r="C1189" i="9"/>
  <c r="C1190" i="9"/>
  <c r="C1191" i="9"/>
  <c r="C1192" i="9"/>
  <c r="C1193" i="9"/>
  <c r="C1194" i="9"/>
  <c r="C1195" i="9"/>
  <c r="C1196" i="9"/>
  <c r="C1197" i="9"/>
  <c r="C1198" i="9"/>
  <c r="C1199" i="9"/>
  <c r="C1200" i="9"/>
  <c r="C1201" i="9"/>
  <c r="C1202" i="9"/>
  <c r="C1203" i="9"/>
  <c r="C1204" i="9"/>
  <c r="C1205" i="9"/>
  <c r="C1206" i="9"/>
  <c r="C1207" i="9"/>
  <c r="C1208" i="9"/>
  <c r="C1209" i="9"/>
  <c r="C1210" i="9"/>
  <c r="C1211" i="9"/>
  <c r="C1212" i="9"/>
  <c r="C1213" i="9"/>
  <c r="C1214" i="9"/>
  <c r="C1215" i="9"/>
  <c r="C1216" i="9"/>
  <c r="C1217" i="9"/>
  <c r="C1218" i="9"/>
  <c r="C1219" i="9"/>
  <c r="C1220" i="9"/>
  <c r="C1221" i="9"/>
  <c r="C1222" i="9"/>
  <c r="C1223" i="9"/>
  <c r="C1224" i="9"/>
  <c r="C1225" i="9"/>
  <c r="C1226" i="9"/>
  <c r="C1227" i="9"/>
  <c r="C1228" i="9"/>
  <c r="C1229" i="9"/>
  <c r="C1230" i="9"/>
  <c r="C1231" i="9"/>
  <c r="C1232" i="9"/>
  <c r="C1233" i="9"/>
  <c r="C1234" i="9"/>
  <c r="C1235" i="9"/>
  <c r="C1236" i="9"/>
  <c r="C1237" i="9"/>
  <c r="C1238" i="9"/>
  <c r="C1239" i="9"/>
  <c r="C1240" i="9"/>
  <c r="C1241" i="9"/>
  <c r="C1242" i="9"/>
  <c r="C1243" i="9"/>
  <c r="C1244" i="9"/>
  <c r="C1245" i="9"/>
  <c r="C1246" i="9"/>
  <c r="C1247" i="9"/>
  <c r="C1248" i="9"/>
  <c r="C1249" i="9"/>
  <c r="C1250" i="9"/>
  <c r="C1251" i="9"/>
  <c r="C1252" i="9"/>
  <c r="C1253" i="9"/>
  <c r="C1254" i="9"/>
  <c r="C1255" i="9"/>
  <c r="C1256" i="9"/>
  <c r="C1257" i="9"/>
  <c r="C1258" i="9"/>
  <c r="C1259" i="9"/>
  <c r="C1260" i="9"/>
  <c r="C1261" i="9"/>
  <c r="C1262" i="9"/>
  <c r="C1263" i="9"/>
  <c r="C1264" i="9"/>
  <c r="C1265" i="9"/>
  <c r="C1266" i="9"/>
  <c r="C1267" i="9"/>
  <c r="C1268" i="9"/>
  <c r="C1269" i="9"/>
  <c r="C1270" i="9"/>
  <c r="C1271" i="9"/>
  <c r="C1272" i="9"/>
  <c r="C1273" i="9"/>
  <c r="C1274" i="9"/>
  <c r="C1275" i="9"/>
  <c r="C1276" i="9"/>
  <c r="C1277" i="9"/>
  <c r="C1278" i="9"/>
  <c r="C1279" i="9"/>
  <c r="C1280" i="9"/>
  <c r="C1281" i="9"/>
  <c r="C1282" i="9"/>
  <c r="C1283" i="9"/>
  <c r="C1284" i="9"/>
  <c r="C1285" i="9"/>
  <c r="C1286" i="9"/>
  <c r="C1287" i="9"/>
  <c r="C1288" i="9"/>
  <c r="C1289" i="9"/>
  <c r="C1290" i="9"/>
  <c r="C1291" i="9"/>
  <c r="C1292" i="9"/>
  <c r="C1293" i="9"/>
  <c r="C1294" i="9"/>
  <c r="C1295" i="9"/>
  <c r="C1296" i="9"/>
  <c r="C1297" i="9"/>
  <c r="C1298" i="9"/>
  <c r="C1299" i="9"/>
  <c r="C1300" i="9"/>
  <c r="C1301" i="9"/>
  <c r="C1302" i="9"/>
  <c r="C1303" i="9"/>
  <c r="C1304" i="9"/>
  <c r="C1305" i="9"/>
  <c r="C1306" i="9"/>
  <c r="C1307" i="9"/>
  <c r="C1308" i="9"/>
  <c r="C1309" i="9"/>
  <c r="C1310" i="9"/>
  <c r="C1311" i="9"/>
  <c r="C1312" i="9"/>
  <c r="C1313" i="9"/>
  <c r="C1314" i="9"/>
  <c r="C1315" i="9"/>
  <c r="C1316" i="9"/>
  <c r="C1317" i="9"/>
  <c r="C1318" i="9"/>
  <c r="C1319" i="9"/>
  <c r="C1320" i="9"/>
  <c r="C1321" i="9"/>
  <c r="C1322" i="9"/>
  <c r="C1323" i="9"/>
  <c r="C1324" i="9"/>
  <c r="C1325" i="9"/>
  <c r="C1326" i="9"/>
  <c r="C1327" i="9"/>
  <c r="C1328" i="9"/>
  <c r="C1329" i="9"/>
  <c r="C1330" i="9"/>
  <c r="C1331" i="9"/>
  <c r="C1332" i="9"/>
  <c r="C1333" i="9"/>
  <c r="C1334" i="9"/>
  <c r="C1335" i="9"/>
  <c r="C1336" i="9"/>
  <c r="C1337" i="9"/>
  <c r="C1338" i="9"/>
  <c r="C1339" i="9"/>
  <c r="C1340" i="9"/>
  <c r="C1341" i="9"/>
  <c r="C1342" i="9"/>
  <c r="C1343" i="9"/>
  <c r="C1344" i="9"/>
  <c r="C1345" i="9"/>
  <c r="C1346" i="9"/>
  <c r="C1347" i="9"/>
  <c r="C1348" i="9"/>
  <c r="C1349" i="9"/>
  <c r="C1350" i="9"/>
  <c r="C1351" i="9"/>
  <c r="C1352" i="9"/>
  <c r="C1353" i="9"/>
  <c r="C1354" i="9"/>
  <c r="C1355" i="9"/>
  <c r="C1356" i="9"/>
  <c r="C1357" i="9"/>
  <c r="C1358" i="9"/>
  <c r="C1359" i="9"/>
  <c r="C1360" i="9"/>
  <c r="C1361" i="9"/>
  <c r="C1362" i="9"/>
  <c r="C1363" i="9"/>
  <c r="C1364" i="9"/>
  <c r="C1365" i="9"/>
  <c r="C1366" i="9"/>
  <c r="C1367" i="9"/>
  <c r="C1368" i="9"/>
  <c r="C1369" i="9"/>
  <c r="C1370" i="9"/>
  <c r="C1371" i="9"/>
  <c r="C1372" i="9"/>
  <c r="C1373" i="9"/>
  <c r="C1374" i="9"/>
  <c r="C1375" i="9"/>
  <c r="C1376" i="9"/>
  <c r="C1377" i="9"/>
  <c r="C1378" i="9"/>
  <c r="C1379" i="9"/>
  <c r="C1380" i="9"/>
  <c r="C1381" i="9"/>
  <c r="C1382" i="9"/>
  <c r="C1383" i="9"/>
  <c r="C1384" i="9"/>
  <c r="C1385" i="9"/>
  <c r="C1386" i="9"/>
  <c r="C1387" i="9"/>
  <c r="C1388" i="9"/>
  <c r="C1389" i="9"/>
  <c r="C1390" i="9"/>
  <c r="C1391" i="9"/>
  <c r="C1392" i="9"/>
  <c r="C1393" i="9"/>
  <c r="C1394" i="9"/>
  <c r="C1395" i="9"/>
  <c r="C1396" i="9"/>
  <c r="C1397" i="9"/>
  <c r="C1398" i="9"/>
  <c r="C1399" i="9"/>
  <c r="C1400" i="9"/>
  <c r="C1401" i="9"/>
  <c r="C1402" i="9"/>
  <c r="C1403" i="9"/>
  <c r="C1404" i="9"/>
  <c r="C1405" i="9"/>
  <c r="C1406" i="9"/>
  <c r="C1407" i="9"/>
  <c r="C1408" i="9"/>
  <c r="C1409" i="9"/>
  <c r="C1410" i="9"/>
  <c r="C1411" i="9"/>
  <c r="C1412" i="9"/>
  <c r="C1413" i="9"/>
  <c r="C1414" i="9"/>
  <c r="C1415" i="9"/>
  <c r="C1416" i="9"/>
  <c r="C1417" i="9"/>
  <c r="C1418" i="9"/>
  <c r="C1419" i="9"/>
  <c r="C1420" i="9"/>
  <c r="C1421" i="9"/>
  <c r="C1422" i="9"/>
  <c r="C1423" i="9"/>
  <c r="C1424" i="9"/>
  <c r="C1425" i="9"/>
  <c r="C1426" i="9"/>
  <c r="C1427" i="9"/>
  <c r="C1428" i="9"/>
  <c r="C1429" i="9"/>
  <c r="C1430" i="9"/>
  <c r="C1431" i="9"/>
  <c r="C1432" i="9"/>
  <c r="C1433" i="9"/>
  <c r="C1434" i="9"/>
  <c r="C1435" i="9"/>
  <c r="C1436" i="9"/>
  <c r="C1437" i="9"/>
  <c r="C1438" i="9"/>
  <c r="C1439" i="9"/>
  <c r="C1440" i="9"/>
  <c r="C1441" i="9"/>
  <c r="C1442" i="9"/>
  <c r="C1443" i="9"/>
  <c r="C1444" i="9"/>
  <c r="C1445" i="9"/>
  <c r="C1446" i="9"/>
  <c r="C1447" i="9"/>
  <c r="C1448" i="9"/>
  <c r="C1449" i="9"/>
  <c r="C1450" i="9"/>
  <c r="C1451" i="9"/>
  <c r="C1452" i="9"/>
  <c r="C1453" i="9"/>
  <c r="C1454" i="9"/>
  <c r="C1455" i="9"/>
  <c r="C1456" i="9"/>
  <c r="C1457" i="9"/>
  <c r="C1458" i="9"/>
  <c r="C1459" i="9"/>
  <c r="C1460" i="9"/>
  <c r="C1461" i="9"/>
  <c r="C1462" i="9"/>
  <c r="C1463" i="9"/>
  <c r="C1464" i="9"/>
  <c r="C1465" i="9"/>
  <c r="C1466" i="9"/>
  <c r="C1467" i="9"/>
  <c r="C1468" i="9"/>
  <c r="C1469" i="9"/>
  <c r="C1470" i="9"/>
  <c r="C1471" i="9"/>
  <c r="C1472" i="9"/>
  <c r="C1473" i="9"/>
  <c r="C1474" i="9"/>
  <c r="C1475" i="9"/>
  <c r="C1476" i="9"/>
  <c r="C1477" i="9"/>
  <c r="C1478" i="9"/>
  <c r="C1479" i="9"/>
  <c r="C1480" i="9"/>
  <c r="C1481" i="9"/>
  <c r="C1482" i="9"/>
  <c r="C1483" i="9"/>
  <c r="C1484" i="9"/>
  <c r="C1485" i="9"/>
  <c r="C1486" i="9"/>
  <c r="C1487" i="9"/>
  <c r="C1488" i="9"/>
  <c r="C1489" i="9"/>
  <c r="C1490" i="9"/>
  <c r="C1491" i="9"/>
  <c r="C1492" i="9"/>
  <c r="C1493" i="9"/>
  <c r="C1494" i="9"/>
  <c r="C1495" i="9"/>
  <c r="C1496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170" i="9"/>
  <c r="A171" i="9"/>
  <c r="A172" i="9"/>
  <c r="A173" i="9"/>
  <c r="A174" i="9"/>
  <c r="A175" i="9"/>
  <c r="A176" i="9"/>
  <c r="A177" i="9"/>
  <c r="A178" i="9"/>
  <c r="A179" i="9"/>
  <c r="A180" i="9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A242" i="9"/>
  <c r="A243" i="9"/>
  <c r="A244" i="9"/>
  <c r="A245" i="9"/>
  <c r="A246" i="9"/>
  <c r="A247" i="9"/>
  <c r="A248" i="9"/>
  <c r="A249" i="9"/>
  <c r="A250" i="9"/>
  <c r="A251" i="9"/>
  <c r="A252" i="9"/>
  <c r="A253" i="9"/>
  <c r="A254" i="9"/>
  <c r="A255" i="9"/>
  <c r="A256" i="9"/>
  <c r="A257" i="9"/>
  <c r="A258" i="9"/>
  <c r="A259" i="9"/>
  <c r="A260" i="9"/>
  <c r="A261" i="9"/>
  <c r="A262" i="9"/>
  <c r="A263" i="9"/>
  <c r="A264" i="9"/>
  <c r="A265" i="9"/>
  <c r="A266" i="9"/>
  <c r="A267" i="9"/>
  <c r="A268" i="9"/>
  <c r="A269" i="9"/>
  <c r="A270" i="9"/>
  <c r="A271" i="9"/>
  <c r="A272" i="9"/>
  <c r="A273" i="9"/>
  <c r="A274" i="9"/>
  <c r="A275" i="9"/>
  <c r="A276" i="9"/>
  <c r="A277" i="9"/>
  <c r="A278" i="9"/>
  <c r="A279" i="9"/>
  <c r="A280" i="9"/>
  <c r="A281" i="9"/>
  <c r="A282" i="9"/>
  <c r="A283" i="9"/>
  <c r="A284" i="9"/>
  <c r="A285" i="9"/>
  <c r="A286" i="9"/>
  <c r="A287" i="9"/>
  <c r="A288" i="9"/>
  <c r="A289" i="9"/>
  <c r="A290" i="9"/>
  <c r="A291" i="9"/>
  <c r="A292" i="9"/>
  <c r="A293" i="9"/>
  <c r="A294" i="9"/>
  <c r="A295" i="9"/>
  <c r="A296" i="9"/>
  <c r="A297" i="9"/>
  <c r="A298" i="9"/>
  <c r="A299" i="9"/>
  <c r="A300" i="9"/>
  <c r="A301" i="9"/>
  <c r="A302" i="9"/>
  <c r="A303" i="9"/>
  <c r="A304" i="9"/>
  <c r="A305" i="9"/>
  <c r="A306" i="9"/>
  <c r="A307" i="9"/>
  <c r="A308" i="9"/>
  <c r="A309" i="9"/>
  <c r="A310" i="9"/>
  <c r="A311" i="9"/>
  <c r="A312" i="9"/>
  <c r="A313" i="9"/>
  <c r="A314" i="9"/>
  <c r="A315" i="9"/>
  <c r="A316" i="9"/>
  <c r="A317" i="9"/>
  <c r="A318" i="9"/>
  <c r="A319" i="9"/>
  <c r="A320" i="9"/>
  <c r="A321" i="9"/>
  <c r="A322" i="9"/>
  <c r="A323" i="9"/>
  <c r="A324" i="9"/>
  <c r="A325" i="9"/>
  <c r="A326" i="9"/>
  <c r="A327" i="9"/>
  <c r="A328" i="9"/>
  <c r="A329" i="9"/>
  <c r="A330" i="9"/>
  <c r="A331" i="9"/>
  <c r="A332" i="9"/>
  <c r="A333" i="9"/>
  <c r="A334" i="9"/>
  <c r="A335" i="9"/>
  <c r="A336" i="9"/>
  <c r="A337" i="9"/>
  <c r="A338" i="9"/>
  <c r="A339" i="9"/>
  <c r="A340" i="9"/>
  <c r="A341" i="9"/>
  <c r="A342" i="9"/>
  <c r="A343" i="9"/>
  <c r="A344" i="9"/>
  <c r="A345" i="9"/>
  <c r="A346" i="9"/>
  <c r="A347" i="9"/>
  <c r="A348" i="9"/>
  <c r="A349" i="9"/>
  <c r="A350" i="9"/>
  <c r="A351" i="9"/>
  <c r="A352" i="9"/>
  <c r="A353" i="9"/>
  <c r="A354" i="9"/>
  <c r="A355" i="9"/>
  <c r="A356" i="9"/>
  <c r="A357" i="9"/>
  <c r="A358" i="9"/>
  <c r="A359" i="9"/>
  <c r="A360" i="9"/>
  <c r="A361" i="9"/>
  <c r="A362" i="9"/>
  <c r="A363" i="9"/>
  <c r="A364" i="9"/>
  <c r="A365" i="9"/>
  <c r="A366" i="9"/>
  <c r="A367" i="9"/>
  <c r="A368" i="9"/>
  <c r="A369" i="9"/>
  <c r="A370" i="9"/>
  <c r="A371" i="9"/>
  <c r="A372" i="9"/>
  <c r="A373" i="9"/>
  <c r="A374" i="9"/>
  <c r="A375" i="9"/>
  <c r="A376" i="9"/>
  <c r="A377" i="9"/>
  <c r="A378" i="9"/>
  <c r="A379" i="9"/>
  <c r="A380" i="9"/>
  <c r="A381" i="9"/>
  <c r="A382" i="9"/>
  <c r="A383" i="9"/>
  <c r="A384" i="9"/>
  <c r="A385" i="9"/>
  <c r="A386" i="9"/>
  <c r="A387" i="9"/>
  <c r="A388" i="9"/>
  <c r="A389" i="9"/>
  <c r="A390" i="9"/>
  <c r="A391" i="9"/>
  <c r="A392" i="9"/>
  <c r="A393" i="9"/>
  <c r="A394" i="9"/>
  <c r="A395" i="9"/>
  <c r="A396" i="9"/>
  <c r="A397" i="9"/>
  <c r="A398" i="9"/>
  <c r="A399" i="9"/>
  <c r="A400" i="9"/>
  <c r="A401" i="9"/>
  <c r="A402" i="9"/>
  <c r="A403" i="9"/>
  <c r="A404" i="9"/>
  <c r="A405" i="9"/>
  <c r="A406" i="9"/>
  <c r="A407" i="9"/>
  <c r="A408" i="9"/>
  <c r="A409" i="9"/>
  <c r="A410" i="9"/>
  <c r="A411" i="9"/>
  <c r="A412" i="9"/>
  <c r="A413" i="9"/>
  <c r="A414" i="9"/>
  <c r="A415" i="9"/>
  <c r="A416" i="9"/>
  <c r="A417" i="9"/>
  <c r="A418" i="9"/>
  <c r="A419" i="9"/>
  <c r="A420" i="9"/>
  <c r="A421" i="9"/>
  <c r="A422" i="9"/>
  <c r="A423" i="9"/>
  <c r="A424" i="9"/>
  <c r="A425" i="9"/>
  <c r="A426" i="9"/>
  <c r="A427" i="9"/>
  <c r="A428" i="9"/>
  <c r="A429" i="9"/>
  <c r="A430" i="9"/>
  <c r="A431" i="9"/>
  <c r="A432" i="9"/>
  <c r="A433" i="9"/>
  <c r="A434" i="9"/>
  <c r="A435" i="9"/>
  <c r="A436" i="9"/>
  <c r="A437" i="9"/>
  <c r="A438" i="9"/>
  <c r="A439" i="9"/>
  <c r="A440" i="9"/>
  <c r="A441" i="9"/>
  <c r="A442" i="9"/>
  <c r="A443" i="9"/>
  <c r="A444" i="9"/>
  <c r="A445" i="9"/>
  <c r="A446" i="9"/>
  <c r="A447" i="9"/>
  <c r="A448" i="9"/>
  <c r="A449" i="9"/>
  <c r="A450" i="9"/>
  <c r="A451" i="9"/>
  <c r="A452" i="9"/>
  <c r="A453" i="9"/>
  <c r="A454" i="9"/>
  <c r="A455" i="9"/>
  <c r="A456" i="9"/>
  <c r="A457" i="9"/>
  <c r="A458" i="9"/>
  <c r="A459" i="9"/>
  <c r="A460" i="9"/>
  <c r="A461" i="9"/>
  <c r="A462" i="9"/>
  <c r="A463" i="9"/>
  <c r="A464" i="9"/>
  <c r="A465" i="9"/>
  <c r="A466" i="9"/>
  <c r="A467" i="9"/>
  <c r="A468" i="9"/>
  <c r="A469" i="9"/>
  <c r="A470" i="9"/>
  <c r="A471" i="9"/>
  <c r="A472" i="9"/>
  <c r="A473" i="9"/>
  <c r="A474" i="9"/>
  <c r="A475" i="9"/>
  <c r="A476" i="9"/>
  <c r="A477" i="9"/>
  <c r="A478" i="9"/>
  <c r="A479" i="9"/>
  <c r="A480" i="9"/>
  <c r="A481" i="9"/>
  <c r="A482" i="9"/>
  <c r="A483" i="9"/>
  <c r="A484" i="9"/>
  <c r="A485" i="9"/>
  <c r="A486" i="9"/>
  <c r="A487" i="9"/>
  <c r="A488" i="9"/>
  <c r="A489" i="9"/>
  <c r="A490" i="9"/>
  <c r="A491" i="9"/>
  <c r="A492" i="9"/>
  <c r="A493" i="9"/>
  <c r="A494" i="9"/>
  <c r="A495" i="9"/>
  <c r="A496" i="9"/>
  <c r="A497" i="9"/>
  <c r="A498" i="9"/>
  <c r="A499" i="9"/>
  <c r="A500" i="9"/>
  <c r="A501" i="9"/>
  <c r="A502" i="9"/>
  <c r="A503" i="9"/>
  <c r="A504" i="9"/>
  <c r="A505" i="9"/>
  <c r="A506" i="9"/>
  <c r="A507" i="9"/>
  <c r="A508" i="9"/>
  <c r="A509" i="9"/>
  <c r="A510" i="9"/>
  <c r="A511" i="9"/>
  <c r="A512" i="9"/>
  <c r="A513" i="9"/>
  <c r="A514" i="9"/>
  <c r="A515" i="9"/>
  <c r="A516" i="9"/>
  <c r="A517" i="9"/>
  <c r="A518" i="9"/>
  <c r="A519" i="9"/>
  <c r="A520" i="9"/>
  <c r="A521" i="9"/>
  <c r="A522" i="9"/>
  <c r="A523" i="9"/>
  <c r="A524" i="9"/>
  <c r="A525" i="9"/>
  <c r="A526" i="9"/>
  <c r="A527" i="9"/>
  <c r="A528" i="9"/>
  <c r="A529" i="9"/>
  <c r="A530" i="9"/>
  <c r="A531" i="9"/>
  <c r="A532" i="9"/>
  <c r="A533" i="9"/>
  <c r="A534" i="9"/>
  <c r="A535" i="9"/>
  <c r="A536" i="9"/>
  <c r="A537" i="9"/>
  <c r="A538" i="9"/>
  <c r="A539" i="9"/>
  <c r="A540" i="9"/>
  <c r="A541" i="9"/>
  <c r="A542" i="9"/>
  <c r="A543" i="9"/>
  <c r="A544" i="9"/>
  <c r="A545" i="9"/>
  <c r="A546" i="9"/>
  <c r="A547" i="9"/>
  <c r="A548" i="9"/>
  <c r="A549" i="9"/>
  <c r="A550" i="9"/>
  <c r="A551" i="9"/>
  <c r="A552" i="9"/>
  <c r="A553" i="9"/>
  <c r="A554" i="9"/>
  <c r="A555" i="9"/>
  <c r="A556" i="9"/>
  <c r="A557" i="9"/>
  <c r="A558" i="9"/>
  <c r="A559" i="9"/>
  <c r="A560" i="9"/>
  <c r="A561" i="9"/>
  <c r="A562" i="9"/>
  <c r="A563" i="9"/>
  <c r="A564" i="9"/>
  <c r="A565" i="9"/>
  <c r="A566" i="9"/>
  <c r="A567" i="9"/>
  <c r="A568" i="9"/>
  <c r="A569" i="9"/>
  <c r="A570" i="9"/>
  <c r="A571" i="9"/>
  <c r="A572" i="9"/>
  <c r="A573" i="9"/>
  <c r="A574" i="9"/>
  <c r="A575" i="9"/>
  <c r="A576" i="9"/>
  <c r="A577" i="9"/>
  <c r="A578" i="9"/>
  <c r="A579" i="9"/>
  <c r="A580" i="9"/>
  <c r="A581" i="9"/>
  <c r="A582" i="9"/>
  <c r="A583" i="9"/>
  <c r="A584" i="9"/>
  <c r="A585" i="9"/>
  <c r="A586" i="9"/>
  <c r="A587" i="9"/>
  <c r="A588" i="9"/>
  <c r="A589" i="9"/>
  <c r="A590" i="9"/>
  <c r="A591" i="9"/>
  <c r="A592" i="9"/>
  <c r="A593" i="9"/>
  <c r="A594" i="9"/>
  <c r="A595" i="9"/>
  <c r="A596" i="9"/>
  <c r="A597" i="9"/>
  <c r="A598" i="9"/>
  <c r="A599" i="9"/>
  <c r="A600" i="9"/>
  <c r="A601" i="9"/>
  <c r="A602" i="9"/>
  <c r="A603" i="9"/>
  <c r="A604" i="9"/>
  <c r="A605" i="9"/>
  <c r="A606" i="9"/>
  <c r="A607" i="9"/>
  <c r="A608" i="9"/>
  <c r="A609" i="9"/>
  <c r="A610" i="9"/>
  <c r="A611" i="9"/>
  <c r="A612" i="9"/>
  <c r="A613" i="9"/>
  <c r="A614" i="9"/>
  <c r="A615" i="9"/>
  <c r="A616" i="9"/>
  <c r="A617" i="9"/>
  <c r="A618" i="9"/>
  <c r="A619" i="9"/>
  <c r="A620" i="9"/>
  <c r="A621" i="9"/>
  <c r="A622" i="9"/>
  <c r="A623" i="9"/>
  <c r="A624" i="9"/>
  <c r="A625" i="9"/>
  <c r="A626" i="9"/>
  <c r="A627" i="9"/>
  <c r="A628" i="9"/>
  <c r="A629" i="9"/>
  <c r="A630" i="9"/>
  <c r="A631" i="9"/>
  <c r="A632" i="9"/>
  <c r="A633" i="9"/>
  <c r="A634" i="9"/>
  <c r="A635" i="9"/>
  <c r="A636" i="9"/>
  <c r="A637" i="9"/>
  <c r="A638" i="9"/>
  <c r="A639" i="9"/>
  <c r="A640" i="9"/>
  <c r="A641" i="9"/>
  <c r="A642" i="9"/>
  <c r="A643" i="9"/>
  <c r="A644" i="9"/>
  <c r="A645" i="9"/>
  <c r="A646" i="9"/>
  <c r="A647" i="9"/>
  <c r="A648" i="9"/>
  <c r="A649" i="9"/>
  <c r="A650" i="9"/>
  <c r="A651" i="9"/>
  <c r="A652" i="9"/>
  <c r="A653" i="9"/>
  <c r="A654" i="9"/>
  <c r="A655" i="9"/>
  <c r="A656" i="9"/>
  <c r="A657" i="9"/>
  <c r="A658" i="9"/>
  <c r="A659" i="9"/>
  <c r="A660" i="9"/>
  <c r="A661" i="9"/>
  <c r="A662" i="9"/>
  <c r="A663" i="9"/>
  <c r="A664" i="9"/>
  <c r="A665" i="9"/>
  <c r="A666" i="9"/>
  <c r="A667" i="9"/>
  <c r="A668" i="9"/>
  <c r="A669" i="9"/>
  <c r="A670" i="9"/>
  <c r="A671" i="9"/>
  <c r="A672" i="9"/>
  <c r="A673" i="9"/>
  <c r="A674" i="9"/>
  <c r="A675" i="9"/>
  <c r="A676" i="9"/>
  <c r="A677" i="9"/>
  <c r="A678" i="9"/>
  <c r="A679" i="9"/>
  <c r="A680" i="9"/>
  <c r="A681" i="9"/>
  <c r="A682" i="9"/>
  <c r="A683" i="9"/>
  <c r="A684" i="9"/>
  <c r="A685" i="9"/>
  <c r="A686" i="9"/>
  <c r="A687" i="9"/>
  <c r="A688" i="9"/>
  <c r="A689" i="9"/>
  <c r="A690" i="9"/>
  <c r="A691" i="9"/>
  <c r="A692" i="9"/>
  <c r="A693" i="9"/>
  <c r="A694" i="9"/>
  <c r="A695" i="9"/>
  <c r="A696" i="9"/>
  <c r="A697" i="9"/>
  <c r="A698" i="9"/>
  <c r="A699" i="9"/>
  <c r="A700" i="9"/>
  <c r="A701" i="9"/>
  <c r="A702" i="9"/>
  <c r="A703" i="9"/>
  <c r="A704" i="9"/>
  <c r="A705" i="9"/>
  <c r="A706" i="9"/>
  <c r="A707" i="9"/>
  <c r="A708" i="9"/>
  <c r="A709" i="9"/>
  <c r="A710" i="9"/>
  <c r="A711" i="9"/>
  <c r="A712" i="9"/>
  <c r="A713" i="9"/>
  <c r="A714" i="9"/>
  <c r="A715" i="9"/>
  <c r="A716" i="9"/>
  <c r="A717" i="9"/>
  <c r="A718" i="9"/>
  <c r="A719" i="9"/>
  <c r="A720" i="9"/>
  <c r="A721" i="9"/>
  <c r="A722" i="9"/>
  <c r="A723" i="9"/>
  <c r="A724" i="9"/>
  <c r="A725" i="9"/>
  <c r="A726" i="9"/>
  <c r="A727" i="9"/>
  <c r="A728" i="9"/>
  <c r="A729" i="9"/>
  <c r="A730" i="9"/>
  <c r="A731" i="9"/>
  <c r="A732" i="9"/>
  <c r="A733" i="9"/>
  <c r="A734" i="9"/>
  <c r="A735" i="9"/>
  <c r="A736" i="9"/>
  <c r="A737" i="9"/>
  <c r="A738" i="9"/>
  <c r="A739" i="9"/>
  <c r="A740" i="9"/>
  <c r="A741" i="9"/>
  <c r="A742" i="9"/>
  <c r="A743" i="9"/>
  <c r="A744" i="9"/>
  <c r="A745" i="9"/>
  <c r="A746" i="9"/>
  <c r="A747" i="9"/>
  <c r="A748" i="9"/>
  <c r="A749" i="9"/>
  <c r="A750" i="9"/>
  <c r="A751" i="9"/>
  <c r="A752" i="9"/>
  <c r="A753" i="9"/>
  <c r="A754" i="9"/>
  <c r="A755" i="9"/>
  <c r="A756" i="9"/>
  <c r="A757" i="9"/>
  <c r="A758" i="9"/>
  <c r="A759" i="9"/>
  <c r="A760" i="9"/>
  <c r="A761" i="9"/>
  <c r="A762" i="9"/>
  <c r="A763" i="9"/>
  <c r="A764" i="9"/>
  <c r="A765" i="9"/>
  <c r="A766" i="9"/>
  <c r="A767" i="9"/>
  <c r="A768" i="9"/>
  <c r="A769" i="9"/>
  <c r="A770" i="9"/>
  <c r="A771" i="9"/>
  <c r="A772" i="9"/>
  <c r="A773" i="9"/>
  <c r="A774" i="9"/>
  <c r="A775" i="9"/>
  <c r="A776" i="9"/>
  <c r="A777" i="9"/>
  <c r="A778" i="9"/>
  <c r="A779" i="9"/>
  <c r="A780" i="9"/>
  <c r="A781" i="9"/>
  <c r="A782" i="9"/>
  <c r="A783" i="9"/>
  <c r="A784" i="9"/>
  <c r="A785" i="9"/>
  <c r="A786" i="9"/>
  <c r="A787" i="9"/>
  <c r="A788" i="9"/>
  <c r="A789" i="9"/>
  <c r="A790" i="9"/>
  <c r="A791" i="9"/>
  <c r="A792" i="9"/>
  <c r="A793" i="9"/>
  <c r="A794" i="9"/>
  <c r="A795" i="9"/>
  <c r="A796" i="9"/>
  <c r="A797" i="9"/>
  <c r="A798" i="9"/>
  <c r="A799" i="9"/>
  <c r="A800" i="9"/>
  <c r="A801" i="9"/>
  <c r="A802" i="9"/>
  <c r="A803" i="9"/>
  <c r="A804" i="9"/>
  <c r="A805" i="9"/>
  <c r="A806" i="9"/>
  <c r="A807" i="9"/>
  <c r="A808" i="9"/>
  <c r="A809" i="9"/>
  <c r="A810" i="9"/>
  <c r="A811" i="9"/>
  <c r="A812" i="9"/>
  <c r="A813" i="9"/>
  <c r="A814" i="9"/>
  <c r="A815" i="9"/>
  <c r="A816" i="9"/>
  <c r="A817" i="9"/>
  <c r="A818" i="9"/>
  <c r="A819" i="9"/>
  <c r="A820" i="9"/>
  <c r="A821" i="9"/>
  <c r="A822" i="9"/>
  <c r="A823" i="9"/>
  <c r="A824" i="9"/>
  <c r="A825" i="9"/>
  <c r="A826" i="9"/>
  <c r="A827" i="9"/>
  <c r="A828" i="9"/>
  <c r="A829" i="9"/>
  <c r="A830" i="9"/>
  <c r="A831" i="9"/>
  <c r="A832" i="9"/>
  <c r="A833" i="9"/>
  <c r="A834" i="9"/>
  <c r="A835" i="9"/>
  <c r="A836" i="9"/>
  <c r="A837" i="9"/>
  <c r="A838" i="9"/>
  <c r="A839" i="9"/>
  <c r="A840" i="9"/>
  <c r="A841" i="9"/>
  <c r="A842" i="9"/>
  <c r="A843" i="9"/>
  <c r="A844" i="9"/>
  <c r="A845" i="9"/>
  <c r="A846" i="9"/>
  <c r="A847" i="9"/>
  <c r="A848" i="9"/>
  <c r="A849" i="9"/>
  <c r="A850" i="9"/>
  <c r="A851" i="9"/>
  <c r="A852" i="9"/>
  <c r="A853" i="9"/>
  <c r="A854" i="9"/>
  <c r="A855" i="9"/>
  <c r="A856" i="9"/>
  <c r="A857" i="9"/>
  <c r="A858" i="9"/>
  <c r="A859" i="9"/>
  <c r="A860" i="9"/>
  <c r="A861" i="9"/>
  <c r="A862" i="9"/>
  <c r="A863" i="9"/>
  <c r="A864" i="9"/>
  <c r="A865" i="9"/>
  <c r="A866" i="9"/>
  <c r="A867" i="9"/>
  <c r="A868" i="9"/>
  <c r="A869" i="9"/>
  <c r="A870" i="9"/>
  <c r="A871" i="9"/>
  <c r="A872" i="9"/>
  <c r="A873" i="9"/>
  <c r="A874" i="9"/>
  <c r="A875" i="9"/>
  <c r="A876" i="9"/>
  <c r="A877" i="9"/>
  <c r="A878" i="9"/>
  <c r="A879" i="9"/>
  <c r="A880" i="9"/>
  <c r="A881" i="9"/>
  <c r="A882" i="9"/>
  <c r="A883" i="9"/>
  <c r="A884" i="9"/>
  <c r="A885" i="9"/>
  <c r="A886" i="9"/>
  <c r="A887" i="9"/>
  <c r="A888" i="9"/>
  <c r="A889" i="9"/>
  <c r="A890" i="9"/>
  <c r="A891" i="9"/>
  <c r="A892" i="9"/>
  <c r="A893" i="9"/>
  <c r="A894" i="9"/>
  <c r="A895" i="9"/>
  <c r="A896" i="9"/>
  <c r="A897" i="9"/>
  <c r="A898" i="9"/>
  <c r="A899" i="9"/>
  <c r="A900" i="9"/>
  <c r="A901" i="9"/>
  <c r="A902" i="9"/>
  <c r="A903" i="9"/>
  <c r="A904" i="9"/>
  <c r="A905" i="9"/>
  <c r="A906" i="9"/>
  <c r="A907" i="9"/>
  <c r="A908" i="9"/>
  <c r="A909" i="9"/>
  <c r="A910" i="9"/>
  <c r="A911" i="9"/>
  <c r="A912" i="9"/>
  <c r="A913" i="9"/>
  <c r="A914" i="9"/>
  <c r="A915" i="9"/>
  <c r="A916" i="9"/>
  <c r="A917" i="9"/>
  <c r="A918" i="9"/>
  <c r="A919" i="9"/>
  <c r="A920" i="9"/>
  <c r="A921" i="9"/>
  <c r="A922" i="9"/>
  <c r="A923" i="9"/>
  <c r="A924" i="9"/>
  <c r="A925" i="9"/>
  <c r="A926" i="9"/>
  <c r="A927" i="9"/>
  <c r="A928" i="9"/>
  <c r="A929" i="9"/>
  <c r="A930" i="9"/>
  <c r="A931" i="9"/>
  <c r="A932" i="9"/>
  <c r="A933" i="9"/>
  <c r="A934" i="9"/>
  <c r="A935" i="9"/>
  <c r="A936" i="9"/>
  <c r="A937" i="9"/>
  <c r="A938" i="9"/>
  <c r="A939" i="9"/>
  <c r="A940" i="9"/>
  <c r="A941" i="9"/>
  <c r="A942" i="9"/>
  <c r="A943" i="9"/>
  <c r="A944" i="9"/>
  <c r="A945" i="9"/>
  <c r="A946" i="9"/>
  <c r="A947" i="9"/>
  <c r="A948" i="9"/>
  <c r="A949" i="9"/>
  <c r="A950" i="9"/>
  <c r="A951" i="9"/>
  <c r="A952" i="9"/>
  <c r="A953" i="9"/>
  <c r="A954" i="9"/>
  <c r="A955" i="9"/>
  <c r="A956" i="9"/>
  <c r="A957" i="9"/>
  <c r="A958" i="9"/>
  <c r="A959" i="9"/>
  <c r="A960" i="9"/>
  <c r="A961" i="9"/>
  <c r="A962" i="9"/>
  <c r="A963" i="9"/>
  <c r="A964" i="9"/>
  <c r="A965" i="9"/>
  <c r="A966" i="9"/>
  <c r="A967" i="9"/>
  <c r="A968" i="9"/>
  <c r="A969" i="9"/>
  <c r="A970" i="9"/>
  <c r="A971" i="9"/>
  <c r="A972" i="9"/>
  <c r="A973" i="9"/>
  <c r="A974" i="9"/>
  <c r="A975" i="9"/>
  <c r="A976" i="9"/>
  <c r="A977" i="9"/>
  <c r="A978" i="9"/>
  <c r="A979" i="9"/>
  <c r="A980" i="9"/>
  <c r="A981" i="9"/>
  <c r="A982" i="9"/>
  <c r="A983" i="9"/>
  <c r="A984" i="9"/>
  <c r="A985" i="9"/>
  <c r="A986" i="9"/>
  <c r="A987" i="9"/>
  <c r="A988" i="9"/>
  <c r="A989" i="9"/>
  <c r="A990" i="9"/>
  <c r="A991" i="9"/>
  <c r="A992" i="9"/>
  <c r="A993" i="9"/>
  <c r="A994" i="9"/>
  <c r="A995" i="9"/>
  <c r="A996" i="9"/>
  <c r="A997" i="9"/>
  <c r="A998" i="9"/>
  <c r="A999" i="9"/>
  <c r="A1000" i="9"/>
  <c r="A1001" i="9"/>
  <c r="A1002" i="9"/>
  <c r="A1003" i="9"/>
  <c r="A1004" i="9"/>
  <c r="A1005" i="9"/>
  <c r="A1006" i="9"/>
  <c r="A1007" i="9"/>
  <c r="A1008" i="9"/>
  <c r="A1009" i="9"/>
  <c r="A1010" i="9"/>
  <c r="A1011" i="9"/>
  <c r="A1012" i="9"/>
  <c r="A1013" i="9"/>
  <c r="A1014" i="9"/>
  <c r="A1015" i="9"/>
  <c r="A1016" i="9"/>
  <c r="A1017" i="9"/>
  <c r="A1018" i="9"/>
  <c r="A1019" i="9"/>
  <c r="A1020" i="9"/>
  <c r="A1021" i="9"/>
  <c r="A1022" i="9"/>
  <c r="A1023" i="9"/>
  <c r="A1024" i="9"/>
  <c r="A1025" i="9"/>
  <c r="A1026" i="9"/>
  <c r="A1027" i="9"/>
  <c r="A1028" i="9"/>
  <c r="A1029" i="9"/>
  <c r="A1030" i="9"/>
  <c r="A1031" i="9"/>
  <c r="A1032" i="9"/>
  <c r="A1033" i="9"/>
  <c r="A1034" i="9"/>
  <c r="A1035" i="9"/>
  <c r="A1036" i="9"/>
  <c r="A1037" i="9"/>
  <c r="A1038" i="9"/>
  <c r="A1039" i="9"/>
  <c r="A1040" i="9"/>
  <c r="A1041" i="9"/>
  <c r="A1042" i="9"/>
  <c r="A1043" i="9"/>
  <c r="A1044" i="9"/>
  <c r="A1045" i="9"/>
  <c r="A1046" i="9"/>
  <c r="A1047" i="9"/>
  <c r="A1048" i="9"/>
  <c r="A1049" i="9"/>
  <c r="A1050" i="9"/>
  <c r="A1051" i="9"/>
  <c r="A1052" i="9"/>
  <c r="A1053" i="9"/>
  <c r="A1054" i="9"/>
  <c r="A1055" i="9"/>
  <c r="A1056" i="9"/>
  <c r="A1057" i="9"/>
  <c r="A1058" i="9"/>
  <c r="A1059" i="9"/>
  <c r="A1060" i="9"/>
  <c r="A1061" i="9"/>
  <c r="A1062" i="9"/>
  <c r="A1063" i="9"/>
  <c r="A1064" i="9"/>
  <c r="A1065" i="9"/>
  <c r="A1066" i="9"/>
  <c r="A1067" i="9"/>
  <c r="A1068" i="9"/>
  <c r="A1069" i="9"/>
  <c r="A1070" i="9"/>
  <c r="A1071" i="9"/>
  <c r="A1072" i="9"/>
  <c r="A1073" i="9"/>
  <c r="A1074" i="9"/>
  <c r="A1075" i="9"/>
  <c r="A1076" i="9"/>
  <c r="A1077" i="9"/>
  <c r="A1078" i="9"/>
  <c r="A1079" i="9"/>
  <c r="A1080" i="9"/>
  <c r="A1081" i="9"/>
  <c r="A1082" i="9"/>
  <c r="A1083" i="9"/>
  <c r="A1084" i="9"/>
  <c r="A1085" i="9"/>
  <c r="A1086" i="9"/>
  <c r="A1087" i="9"/>
  <c r="A1088" i="9"/>
  <c r="A1089" i="9"/>
  <c r="A1090" i="9"/>
  <c r="A1091" i="9"/>
  <c r="A1092" i="9"/>
  <c r="A1093" i="9"/>
  <c r="A1094" i="9"/>
  <c r="A1095" i="9"/>
  <c r="A1096" i="9"/>
  <c r="A1097" i="9"/>
  <c r="A1098" i="9"/>
  <c r="A1099" i="9"/>
  <c r="A1100" i="9"/>
  <c r="A1101" i="9"/>
  <c r="A1102" i="9"/>
  <c r="A1103" i="9"/>
  <c r="A1104" i="9"/>
  <c r="A1105" i="9"/>
  <c r="A1106" i="9"/>
  <c r="A1107" i="9"/>
  <c r="A1108" i="9"/>
  <c r="A1109" i="9"/>
  <c r="A1110" i="9"/>
  <c r="A1111" i="9"/>
  <c r="A1112" i="9"/>
  <c r="A1113" i="9"/>
  <c r="A1114" i="9"/>
  <c r="A1115" i="9"/>
  <c r="A1116" i="9"/>
  <c r="A1117" i="9"/>
  <c r="A1118" i="9"/>
  <c r="A1119" i="9"/>
  <c r="A1120" i="9"/>
  <c r="A1121" i="9"/>
  <c r="A1122" i="9"/>
  <c r="A1123" i="9"/>
  <c r="A1124" i="9"/>
  <c r="A1125" i="9"/>
  <c r="A1126" i="9"/>
  <c r="A1127" i="9"/>
  <c r="A1128" i="9"/>
  <c r="A1129" i="9"/>
  <c r="A1130" i="9"/>
  <c r="A1131" i="9"/>
  <c r="A1132" i="9"/>
  <c r="A1133" i="9"/>
  <c r="A1134" i="9"/>
  <c r="A1135" i="9"/>
  <c r="A1136" i="9"/>
  <c r="A1137" i="9"/>
  <c r="A1138" i="9"/>
  <c r="A1139" i="9"/>
  <c r="A1140" i="9"/>
  <c r="A1141" i="9"/>
  <c r="A1142" i="9"/>
  <c r="A1143" i="9"/>
  <c r="A1144" i="9"/>
  <c r="A1145" i="9"/>
  <c r="A1146" i="9"/>
  <c r="A1147" i="9"/>
  <c r="A1148" i="9"/>
  <c r="A1149" i="9"/>
  <c r="A1150" i="9"/>
  <c r="A1151" i="9"/>
  <c r="A1152" i="9"/>
  <c r="A1153" i="9"/>
  <c r="A1154" i="9"/>
  <c r="A1155" i="9"/>
  <c r="A1156" i="9"/>
  <c r="A1157" i="9"/>
  <c r="A1158" i="9"/>
  <c r="A1159" i="9"/>
  <c r="A1160" i="9"/>
  <c r="A1161" i="9"/>
  <c r="A1162" i="9"/>
  <c r="A1163" i="9"/>
  <c r="A1164" i="9"/>
  <c r="A1165" i="9"/>
  <c r="A1166" i="9"/>
  <c r="A1167" i="9"/>
  <c r="A1168" i="9"/>
  <c r="A1169" i="9"/>
  <c r="A1170" i="9"/>
  <c r="A1171" i="9"/>
  <c r="A1172" i="9"/>
  <c r="A1173" i="9"/>
  <c r="A1174" i="9"/>
  <c r="A1175" i="9"/>
  <c r="A1176" i="9"/>
  <c r="A1177" i="9"/>
  <c r="A1178" i="9"/>
  <c r="A1179" i="9"/>
  <c r="A1180" i="9"/>
  <c r="A1181" i="9"/>
  <c r="A1182" i="9"/>
  <c r="A1183" i="9"/>
  <c r="A1184" i="9"/>
  <c r="A1185" i="9"/>
  <c r="A1186" i="9"/>
  <c r="A1187" i="9"/>
  <c r="A1188" i="9"/>
  <c r="A1189" i="9"/>
  <c r="A1190" i="9"/>
  <c r="A1191" i="9"/>
  <c r="A1192" i="9"/>
  <c r="A1193" i="9"/>
  <c r="A1194" i="9"/>
  <c r="A1195" i="9"/>
  <c r="A1196" i="9"/>
  <c r="A1197" i="9"/>
  <c r="A1198" i="9"/>
  <c r="A1199" i="9"/>
  <c r="A1200" i="9"/>
  <c r="A1201" i="9"/>
  <c r="A1202" i="9"/>
  <c r="A1203" i="9"/>
  <c r="A1204" i="9"/>
  <c r="A1205" i="9"/>
  <c r="A1206" i="9"/>
  <c r="A1207" i="9"/>
  <c r="A1208" i="9"/>
  <c r="A1209" i="9"/>
  <c r="A1210" i="9"/>
  <c r="A1211" i="9"/>
  <c r="A1212" i="9"/>
  <c r="A1213" i="9"/>
  <c r="A1214" i="9"/>
  <c r="A1215" i="9"/>
  <c r="A1216" i="9"/>
  <c r="A1217" i="9"/>
  <c r="A1218" i="9"/>
  <c r="A1219" i="9"/>
  <c r="A1220" i="9"/>
  <c r="A1221" i="9"/>
  <c r="A1222" i="9"/>
  <c r="A1223" i="9"/>
  <c r="A1224" i="9"/>
  <c r="A1225" i="9"/>
  <c r="A1226" i="9"/>
  <c r="A1227" i="9"/>
  <c r="A1228" i="9"/>
  <c r="A1229" i="9"/>
  <c r="A1230" i="9"/>
  <c r="A1231" i="9"/>
  <c r="A1232" i="9"/>
  <c r="A1233" i="9"/>
  <c r="A1234" i="9"/>
  <c r="A1235" i="9"/>
  <c r="A1236" i="9"/>
  <c r="A1237" i="9"/>
  <c r="A1238" i="9"/>
  <c r="A1239" i="9"/>
  <c r="A1240" i="9"/>
  <c r="A1241" i="9"/>
  <c r="A1242" i="9"/>
  <c r="A1243" i="9"/>
  <c r="A1244" i="9"/>
  <c r="A1245" i="9"/>
  <c r="A1246" i="9"/>
  <c r="A1247" i="9"/>
  <c r="A1248" i="9"/>
  <c r="A1249" i="9"/>
  <c r="A1250" i="9"/>
  <c r="A1251" i="9"/>
  <c r="A1252" i="9"/>
  <c r="A1253" i="9"/>
  <c r="A1254" i="9"/>
  <c r="A1255" i="9"/>
  <c r="A1256" i="9"/>
  <c r="A1257" i="9"/>
  <c r="A1258" i="9"/>
  <c r="A1259" i="9"/>
  <c r="A1260" i="9"/>
  <c r="A1261" i="9"/>
  <c r="A1262" i="9"/>
  <c r="A1263" i="9"/>
  <c r="A1264" i="9"/>
  <c r="A1265" i="9"/>
  <c r="A1266" i="9"/>
  <c r="A1267" i="9"/>
  <c r="A1268" i="9"/>
  <c r="A1269" i="9"/>
  <c r="A1270" i="9"/>
  <c r="A1271" i="9"/>
  <c r="A1272" i="9"/>
  <c r="A1273" i="9"/>
  <c r="A1274" i="9"/>
  <c r="A1275" i="9"/>
  <c r="A1276" i="9"/>
  <c r="A1277" i="9"/>
  <c r="A1278" i="9"/>
  <c r="A1279" i="9"/>
  <c r="A1280" i="9"/>
  <c r="A1281" i="9"/>
  <c r="A1282" i="9"/>
  <c r="A1283" i="9"/>
  <c r="A1284" i="9"/>
  <c r="A1285" i="9"/>
  <c r="A1286" i="9"/>
  <c r="A1287" i="9"/>
  <c r="A1288" i="9"/>
  <c r="A1289" i="9"/>
  <c r="A1290" i="9"/>
  <c r="A1291" i="9"/>
  <c r="A1292" i="9"/>
  <c r="A1293" i="9"/>
  <c r="A1294" i="9"/>
  <c r="A1295" i="9"/>
  <c r="A1296" i="9"/>
  <c r="A1297" i="9"/>
  <c r="A1298" i="9"/>
  <c r="A1299" i="9"/>
  <c r="A1300" i="9"/>
  <c r="A1301" i="9"/>
  <c r="A1302" i="9"/>
  <c r="A1303" i="9"/>
  <c r="A1304" i="9"/>
  <c r="A1305" i="9"/>
  <c r="A1306" i="9"/>
  <c r="A1307" i="9"/>
  <c r="A1308" i="9"/>
  <c r="A1309" i="9"/>
  <c r="A1310" i="9"/>
  <c r="A1311" i="9"/>
  <c r="A1312" i="9"/>
  <c r="A1313" i="9"/>
  <c r="A1314" i="9"/>
  <c r="A1315" i="9"/>
  <c r="A1316" i="9"/>
  <c r="A1317" i="9"/>
  <c r="A1318" i="9"/>
  <c r="A1319" i="9"/>
  <c r="A1320" i="9"/>
  <c r="A1321" i="9"/>
  <c r="A1322" i="9"/>
  <c r="A1323" i="9"/>
  <c r="A1324" i="9"/>
  <c r="A1325" i="9"/>
  <c r="A1326" i="9"/>
  <c r="A1327" i="9"/>
  <c r="A1328" i="9"/>
  <c r="A1329" i="9"/>
  <c r="A1330" i="9"/>
  <c r="A1331" i="9"/>
  <c r="A1332" i="9"/>
  <c r="A1333" i="9"/>
  <c r="A1334" i="9"/>
  <c r="A1335" i="9"/>
  <c r="A1336" i="9"/>
  <c r="A1337" i="9"/>
  <c r="A1338" i="9"/>
  <c r="A1339" i="9"/>
  <c r="A1340" i="9"/>
  <c r="A1341" i="9"/>
  <c r="A1342" i="9"/>
  <c r="A1343" i="9"/>
  <c r="A1344" i="9"/>
  <c r="A1345" i="9"/>
  <c r="A1346" i="9"/>
  <c r="A1347" i="9"/>
  <c r="A1348" i="9"/>
  <c r="A1349" i="9"/>
  <c r="A1350" i="9"/>
  <c r="A1351" i="9"/>
  <c r="A1352" i="9"/>
  <c r="A1353" i="9"/>
  <c r="A1354" i="9"/>
  <c r="A1355" i="9"/>
  <c r="A1356" i="9"/>
  <c r="A1357" i="9"/>
  <c r="A1358" i="9"/>
  <c r="A1359" i="9"/>
  <c r="A1360" i="9"/>
  <c r="A1361" i="9"/>
  <c r="A1362" i="9"/>
  <c r="A1363" i="9"/>
  <c r="A1364" i="9"/>
  <c r="A1365" i="9"/>
  <c r="A1366" i="9"/>
  <c r="A1367" i="9"/>
  <c r="A1368" i="9"/>
  <c r="A1369" i="9"/>
  <c r="A1370" i="9"/>
  <c r="A1371" i="9"/>
  <c r="A1372" i="9"/>
  <c r="A1373" i="9"/>
  <c r="A1374" i="9"/>
  <c r="A1375" i="9"/>
  <c r="A1376" i="9"/>
  <c r="A1377" i="9"/>
  <c r="A1378" i="9"/>
  <c r="A1379" i="9"/>
  <c r="A1380" i="9"/>
  <c r="A1381" i="9"/>
  <c r="A1382" i="9"/>
  <c r="A1383" i="9"/>
  <c r="A1384" i="9"/>
  <c r="A1385" i="9"/>
  <c r="A1386" i="9"/>
  <c r="A1387" i="9"/>
  <c r="A1388" i="9"/>
  <c r="A1389" i="9"/>
  <c r="A1390" i="9"/>
  <c r="A1391" i="9"/>
  <c r="A1392" i="9"/>
  <c r="A1393" i="9"/>
  <c r="A1394" i="9"/>
  <c r="A1395" i="9"/>
  <c r="A1396" i="9"/>
  <c r="A1397" i="9"/>
  <c r="A1398" i="9"/>
  <c r="A1399" i="9"/>
  <c r="A1400" i="9"/>
  <c r="A1401" i="9"/>
  <c r="A1402" i="9"/>
  <c r="A1403" i="9"/>
  <c r="A1404" i="9"/>
  <c r="A1405" i="9"/>
  <c r="A1406" i="9"/>
  <c r="A1407" i="9"/>
  <c r="A1408" i="9"/>
  <c r="A1409" i="9"/>
  <c r="A1410" i="9"/>
  <c r="A1411" i="9"/>
  <c r="A1412" i="9"/>
  <c r="A1413" i="9"/>
  <c r="A1414" i="9"/>
  <c r="A1415" i="9"/>
  <c r="A1416" i="9"/>
  <c r="A1417" i="9"/>
  <c r="A1418" i="9"/>
  <c r="A1419" i="9"/>
  <c r="A1420" i="9"/>
  <c r="A1421" i="9"/>
  <c r="A1422" i="9"/>
  <c r="A1423" i="9"/>
  <c r="A1424" i="9"/>
  <c r="A1425" i="9"/>
  <c r="A1426" i="9"/>
  <c r="A1427" i="9"/>
  <c r="A1428" i="9"/>
  <c r="A1429" i="9"/>
  <c r="A1430" i="9"/>
  <c r="A1431" i="9"/>
  <c r="A1432" i="9"/>
  <c r="A1433" i="9"/>
  <c r="A1434" i="9"/>
  <c r="A1435" i="9"/>
  <c r="A1436" i="9"/>
  <c r="A1437" i="9"/>
  <c r="A1438" i="9"/>
  <c r="A1439" i="9"/>
  <c r="A1440" i="9"/>
  <c r="A1441" i="9"/>
  <c r="A1442" i="9"/>
  <c r="A1443" i="9"/>
  <c r="A1444" i="9"/>
  <c r="A1445" i="9"/>
  <c r="A1446" i="9"/>
  <c r="A1447" i="9"/>
  <c r="A1448" i="9"/>
  <c r="A1449" i="9"/>
  <c r="A1450" i="9"/>
  <c r="A1451" i="9"/>
  <c r="A1452" i="9"/>
  <c r="A1453" i="9"/>
  <c r="A1454" i="9"/>
  <c r="A1455" i="9"/>
  <c r="A1456" i="9"/>
  <c r="A1457" i="9"/>
  <c r="A1458" i="9"/>
  <c r="A1459" i="9"/>
  <c r="A1460" i="9"/>
  <c r="A1461" i="9"/>
  <c r="A1462" i="9"/>
  <c r="A1463" i="9"/>
  <c r="A1464" i="9"/>
  <c r="A1465" i="9"/>
  <c r="A1466" i="9"/>
  <c r="A1467" i="9"/>
  <c r="A1468" i="9"/>
  <c r="A1469" i="9"/>
  <c r="A1470" i="9"/>
  <c r="A1471" i="9"/>
  <c r="A1472" i="9"/>
  <c r="A1473" i="9"/>
  <c r="A1474" i="9"/>
  <c r="A1475" i="9"/>
  <c r="A1476" i="9"/>
  <c r="A1477" i="9"/>
  <c r="A1478" i="9"/>
  <c r="A1479" i="9"/>
  <c r="A1480" i="9"/>
  <c r="A1481" i="9"/>
  <c r="A1482" i="9"/>
  <c r="A1483" i="9"/>
  <c r="A1484" i="9"/>
  <c r="A1485" i="9"/>
  <c r="A1486" i="9"/>
  <c r="A1487" i="9"/>
  <c r="A1488" i="9"/>
  <c r="A1489" i="9"/>
  <c r="A1490" i="9"/>
  <c r="A1491" i="9"/>
  <c r="A1492" i="9"/>
  <c r="A1493" i="9"/>
  <c r="A1494" i="9"/>
  <c r="A1495" i="9"/>
  <c r="A1496" i="9"/>
  <c r="D2" i="9"/>
  <c r="C2" i="9"/>
  <c r="A2" i="9"/>
  <c r="A3" i="9" s="1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C1004" i="8"/>
  <c r="C1005" i="8"/>
  <c r="C1006" i="8"/>
  <c r="C1007" i="8"/>
  <c r="C1008" i="8"/>
  <c r="C1009" i="8"/>
  <c r="C1010" i="8"/>
  <c r="C1011" i="8"/>
  <c r="C1012" i="8"/>
  <c r="C1013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1030" i="8"/>
  <c r="C1031" i="8"/>
  <c r="C1032" i="8"/>
  <c r="C1033" i="8"/>
  <c r="C1034" i="8"/>
  <c r="C1035" i="8"/>
  <c r="C1036" i="8"/>
  <c r="C1037" i="8"/>
  <c r="C1038" i="8"/>
  <c r="C1039" i="8"/>
  <c r="C1040" i="8"/>
  <c r="C1041" i="8"/>
  <c r="C1042" i="8"/>
  <c r="C1043" i="8"/>
  <c r="C1044" i="8"/>
  <c r="C104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59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5" i="8"/>
  <c r="C1106" i="8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C1214" i="8"/>
  <c r="C1215" i="8"/>
  <c r="C1216" i="8"/>
  <c r="C1217" i="8"/>
  <c r="C1218" i="8"/>
  <c r="C1219" i="8"/>
  <c r="C1220" i="8"/>
  <c r="C1221" i="8"/>
  <c r="C1222" i="8"/>
  <c r="C1223" i="8"/>
  <c r="C1224" i="8"/>
  <c r="C1225" i="8"/>
  <c r="C1226" i="8"/>
  <c r="C1227" i="8"/>
  <c r="C1228" i="8"/>
  <c r="C1229" i="8"/>
  <c r="C1230" i="8"/>
  <c r="C1231" i="8"/>
  <c r="C1232" i="8"/>
  <c r="C1233" i="8"/>
  <c r="C1234" i="8"/>
  <c r="C1235" i="8"/>
  <c r="C1236" i="8"/>
  <c r="C1237" i="8"/>
  <c r="C1238" i="8"/>
  <c r="C1239" i="8"/>
  <c r="C1240" i="8"/>
  <c r="C1241" i="8"/>
  <c r="C1242" i="8"/>
  <c r="C1243" i="8"/>
  <c r="C1244" i="8"/>
  <c r="C1245" i="8"/>
  <c r="C1246" i="8"/>
  <c r="C1247" i="8"/>
  <c r="C1248" i="8"/>
  <c r="C1249" i="8"/>
  <c r="C1250" i="8"/>
  <c r="C1251" i="8"/>
  <c r="C1252" i="8"/>
  <c r="C1253" i="8"/>
  <c r="C1254" i="8"/>
  <c r="C1255" i="8"/>
  <c r="C1256" i="8"/>
  <c r="C1257" i="8"/>
  <c r="C1258" i="8"/>
  <c r="C1259" i="8"/>
  <c r="C1260" i="8"/>
  <c r="C1261" i="8"/>
  <c r="C1262" i="8"/>
  <c r="C1263" i="8"/>
  <c r="C1264" i="8"/>
  <c r="C1265" i="8"/>
  <c r="C1266" i="8"/>
  <c r="C1267" i="8"/>
  <c r="C1268" i="8"/>
  <c r="C1269" i="8"/>
  <c r="C1270" i="8"/>
  <c r="C1271" i="8"/>
  <c r="C1272" i="8"/>
  <c r="C1273" i="8"/>
  <c r="C1274" i="8"/>
  <c r="C1275" i="8"/>
  <c r="C1276" i="8"/>
  <c r="C1277" i="8"/>
  <c r="C1278" i="8"/>
  <c r="C1279" i="8"/>
  <c r="C1280" i="8"/>
  <c r="C1281" i="8"/>
  <c r="C1282" i="8"/>
  <c r="C1283" i="8"/>
  <c r="C1284" i="8"/>
  <c r="C1285" i="8"/>
  <c r="C1286" i="8"/>
  <c r="C1287" i="8"/>
  <c r="C1288" i="8"/>
  <c r="C1289" i="8"/>
  <c r="C1290" i="8"/>
  <c r="C1291" i="8"/>
  <c r="C1292" i="8"/>
  <c r="C1293" i="8"/>
  <c r="C1294" i="8"/>
  <c r="C1295" i="8"/>
  <c r="C1296" i="8"/>
  <c r="C1297" i="8"/>
  <c r="C1298" i="8"/>
  <c r="C1299" i="8"/>
  <c r="C1300" i="8"/>
  <c r="C1301" i="8"/>
  <c r="C1302" i="8"/>
  <c r="C1303" i="8"/>
  <c r="C1304" i="8"/>
  <c r="C1305" i="8"/>
  <c r="C1306" i="8"/>
  <c r="C1307" i="8"/>
  <c r="C1308" i="8"/>
  <c r="C1309" i="8"/>
  <c r="C1310" i="8"/>
  <c r="C1311" i="8"/>
  <c r="C1312" i="8"/>
  <c r="C1313" i="8"/>
  <c r="C1314" i="8"/>
  <c r="C1315" i="8"/>
  <c r="C1316" i="8"/>
  <c r="C1317" i="8"/>
  <c r="C1318" i="8"/>
  <c r="C1319" i="8"/>
  <c r="C1320" i="8"/>
  <c r="C1321" i="8"/>
  <c r="C1322" i="8"/>
  <c r="C1323" i="8"/>
  <c r="C1324" i="8"/>
  <c r="C1325" i="8"/>
  <c r="C1326" i="8"/>
  <c r="C1327" i="8"/>
  <c r="C1328" i="8"/>
  <c r="C1329" i="8"/>
  <c r="C1330" i="8"/>
  <c r="C1331" i="8"/>
  <c r="C1332" i="8"/>
  <c r="C1333" i="8"/>
  <c r="C1334" i="8"/>
  <c r="C1335" i="8"/>
  <c r="C1336" i="8"/>
  <c r="C1337" i="8"/>
  <c r="C1338" i="8"/>
  <c r="C1339" i="8"/>
  <c r="C1340" i="8"/>
  <c r="C1341" i="8"/>
  <c r="C1342" i="8"/>
  <c r="C1343" i="8"/>
  <c r="C1344" i="8"/>
  <c r="C1345" i="8"/>
  <c r="C1346" i="8"/>
  <c r="C1347" i="8"/>
  <c r="C1348" i="8"/>
  <c r="C1349" i="8"/>
  <c r="C1350" i="8"/>
  <c r="C1351" i="8"/>
  <c r="C1352" i="8"/>
  <c r="C1353" i="8"/>
  <c r="C1354" i="8"/>
  <c r="C1355" i="8"/>
  <c r="C1356" i="8"/>
  <c r="C1357" i="8"/>
  <c r="C1358" i="8"/>
  <c r="C1359" i="8"/>
  <c r="C1360" i="8"/>
  <c r="C1361" i="8"/>
  <c r="C1362" i="8"/>
  <c r="C1363" i="8"/>
  <c r="C1364" i="8"/>
  <c r="C1365" i="8"/>
  <c r="C1366" i="8"/>
  <c r="C1367" i="8"/>
  <c r="C1368" i="8"/>
  <c r="C1369" i="8"/>
  <c r="C1370" i="8"/>
  <c r="C1371" i="8"/>
  <c r="C1372" i="8"/>
  <c r="C1373" i="8"/>
  <c r="C1374" i="8"/>
  <c r="C1375" i="8"/>
  <c r="C1376" i="8"/>
  <c r="C1377" i="8"/>
  <c r="C1378" i="8"/>
  <c r="C1379" i="8"/>
  <c r="C1380" i="8"/>
  <c r="C1381" i="8"/>
  <c r="C1382" i="8"/>
  <c r="C1383" i="8"/>
  <c r="C1384" i="8"/>
  <c r="C1385" i="8"/>
  <c r="C1386" i="8"/>
  <c r="C1387" i="8"/>
  <c r="C1388" i="8"/>
  <c r="C1389" i="8"/>
  <c r="C1390" i="8"/>
  <c r="C1391" i="8"/>
  <c r="C1392" i="8"/>
  <c r="C1393" i="8"/>
  <c r="C1394" i="8"/>
  <c r="C1395" i="8"/>
  <c r="C1396" i="8"/>
  <c r="C1397" i="8"/>
  <c r="C1398" i="8"/>
  <c r="C1399" i="8"/>
  <c r="C1400" i="8"/>
  <c r="C1401" i="8"/>
  <c r="C1402" i="8"/>
  <c r="C1403" i="8"/>
  <c r="C1404" i="8"/>
  <c r="C1405" i="8"/>
  <c r="C1406" i="8"/>
  <c r="C1407" i="8"/>
  <c r="C1408" i="8"/>
  <c r="C1409" i="8"/>
  <c r="C1410" i="8"/>
  <c r="C1411" i="8"/>
  <c r="C1412" i="8"/>
  <c r="C1413" i="8"/>
  <c r="C1414" i="8"/>
  <c r="C1415" i="8"/>
  <c r="C1416" i="8"/>
  <c r="C1417" i="8"/>
  <c r="C1418" i="8"/>
  <c r="C1419" i="8"/>
  <c r="C1420" i="8"/>
  <c r="C1421" i="8"/>
  <c r="C1422" i="8"/>
  <c r="C1423" i="8"/>
  <c r="C1424" i="8"/>
  <c r="C1425" i="8"/>
  <c r="C1426" i="8"/>
  <c r="C1427" i="8"/>
  <c r="C1428" i="8"/>
  <c r="C1429" i="8"/>
  <c r="C1430" i="8"/>
  <c r="C1431" i="8"/>
  <c r="C1432" i="8"/>
  <c r="C1433" i="8"/>
  <c r="C1434" i="8"/>
  <c r="C1435" i="8"/>
  <c r="C1436" i="8"/>
  <c r="C1437" i="8"/>
  <c r="C1438" i="8"/>
  <c r="C1439" i="8"/>
  <c r="C1440" i="8"/>
  <c r="C1441" i="8"/>
  <c r="C1442" i="8"/>
  <c r="C1443" i="8"/>
  <c r="C1444" i="8"/>
  <c r="C1445" i="8"/>
  <c r="C1446" i="8"/>
  <c r="C1447" i="8"/>
  <c r="C1448" i="8"/>
  <c r="C1449" i="8"/>
  <c r="C1450" i="8"/>
  <c r="C1451" i="8"/>
  <c r="C1452" i="8"/>
  <c r="C1453" i="8"/>
  <c r="C1454" i="8"/>
  <c r="C1455" i="8"/>
  <c r="C1456" i="8"/>
  <c r="C1457" i="8"/>
  <c r="C1458" i="8"/>
  <c r="C1459" i="8"/>
  <c r="C1460" i="8"/>
  <c r="C1461" i="8"/>
  <c r="C1462" i="8"/>
  <c r="C1463" i="8"/>
  <c r="C1464" i="8"/>
  <c r="C1465" i="8"/>
  <c r="C1466" i="8"/>
  <c r="C1467" i="8"/>
  <c r="C1468" i="8"/>
  <c r="C1469" i="8"/>
  <c r="C1470" i="8"/>
  <c r="C1471" i="8"/>
  <c r="C1472" i="8"/>
  <c r="C1473" i="8"/>
  <c r="C1474" i="8"/>
  <c r="C1475" i="8"/>
  <c r="C1476" i="8"/>
  <c r="C1477" i="8"/>
  <c r="C1478" i="8"/>
  <c r="C1479" i="8"/>
  <c r="C1480" i="8"/>
  <c r="C1481" i="8"/>
  <c r="C1482" i="8"/>
  <c r="C1483" i="8"/>
  <c r="C1484" i="8"/>
  <c r="C1485" i="8"/>
  <c r="C1486" i="8"/>
  <c r="C1487" i="8"/>
  <c r="C1488" i="8"/>
  <c r="C1489" i="8"/>
  <c r="C1490" i="8"/>
  <c r="C1491" i="8"/>
  <c r="C1492" i="8"/>
  <c r="C1493" i="8"/>
  <c r="C1494" i="8"/>
  <c r="C1495" i="8"/>
  <c r="C1496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93" i="8"/>
  <c r="D894" i="8"/>
  <c r="D895" i="8"/>
  <c r="D896" i="8"/>
  <c r="D897" i="8"/>
  <c r="D898" i="8"/>
  <c r="D899" i="8"/>
  <c r="D900" i="8"/>
  <c r="D901" i="8"/>
  <c r="D902" i="8"/>
  <c r="D903" i="8"/>
  <c r="D904" i="8"/>
  <c r="D905" i="8"/>
  <c r="D906" i="8"/>
  <c r="D907" i="8"/>
  <c r="D908" i="8"/>
  <c r="D909" i="8"/>
  <c r="D910" i="8"/>
  <c r="D911" i="8"/>
  <c r="D912" i="8"/>
  <c r="D913" i="8"/>
  <c r="D914" i="8"/>
  <c r="D915" i="8"/>
  <c r="D916" i="8"/>
  <c r="D917" i="8"/>
  <c r="D918" i="8"/>
  <c r="D919" i="8"/>
  <c r="D920" i="8"/>
  <c r="D921" i="8"/>
  <c r="D922" i="8"/>
  <c r="D923" i="8"/>
  <c r="D924" i="8"/>
  <c r="D925" i="8"/>
  <c r="D926" i="8"/>
  <c r="D927" i="8"/>
  <c r="D928" i="8"/>
  <c r="D929" i="8"/>
  <c r="D930" i="8"/>
  <c r="D931" i="8"/>
  <c r="D932" i="8"/>
  <c r="D933" i="8"/>
  <c r="D934" i="8"/>
  <c r="D935" i="8"/>
  <c r="D936" i="8"/>
  <c r="D937" i="8"/>
  <c r="D938" i="8"/>
  <c r="D939" i="8"/>
  <c r="D940" i="8"/>
  <c r="D941" i="8"/>
  <c r="D942" i="8"/>
  <c r="D943" i="8"/>
  <c r="D944" i="8"/>
  <c r="D945" i="8"/>
  <c r="D946" i="8"/>
  <c r="D947" i="8"/>
  <c r="D948" i="8"/>
  <c r="D949" i="8"/>
  <c r="D950" i="8"/>
  <c r="D951" i="8"/>
  <c r="D952" i="8"/>
  <c r="D953" i="8"/>
  <c r="D954" i="8"/>
  <c r="D955" i="8"/>
  <c r="D956" i="8"/>
  <c r="D957" i="8"/>
  <c r="D958" i="8"/>
  <c r="D959" i="8"/>
  <c r="D960" i="8"/>
  <c r="D961" i="8"/>
  <c r="D962" i="8"/>
  <c r="D963" i="8"/>
  <c r="D964" i="8"/>
  <c r="D965" i="8"/>
  <c r="D966" i="8"/>
  <c r="D967" i="8"/>
  <c r="D968" i="8"/>
  <c r="D969" i="8"/>
  <c r="D970" i="8"/>
  <c r="D971" i="8"/>
  <c r="D972" i="8"/>
  <c r="D973" i="8"/>
  <c r="D974" i="8"/>
  <c r="D975" i="8"/>
  <c r="D976" i="8"/>
  <c r="D977" i="8"/>
  <c r="D978" i="8"/>
  <c r="D979" i="8"/>
  <c r="D980" i="8"/>
  <c r="D981" i="8"/>
  <c r="D982" i="8"/>
  <c r="D983" i="8"/>
  <c r="D984" i="8"/>
  <c r="D985" i="8"/>
  <c r="D986" i="8"/>
  <c r="D987" i="8"/>
  <c r="D988" i="8"/>
  <c r="D989" i="8"/>
  <c r="D990" i="8"/>
  <c r="D991" i="8"/>
  <c r="D992" i="8"/>
  <c r="D993" i="8"/>
  <c r="D994" i="8"/>
  <c r="D995" i="8"/>
  <c r="D996" i="8"/>
  <c r="D997" i="8"/>
  <c r="D998" i="8"/>
  <c r="D999" i="8"/>
  <c r="D1000" i="8"/>
  <c r="D1001" i="8"/>
  <c r="D1002" i="8"/>
  <c r="D1003" i="8"/>
  <c r="D1004" i="8"/>
  <c r="D1005" i="8"/>
  <c r="D1006" i="8"/>
  <c r="D1007" i="8"/>
  <c r="D1008" i="8"/>
  <c r="D1009" i="8"/>
  <c r="D1010" i="8"/>
  <c r="D1011" i="8"/>
  <c r="D1012" i="8"/>
  <c r="D1013" i="8"/>
  <c r="D1014" i="8"/>
  <c r="D1015" i="8"/>
  <c r="D1016" i="8"/>
  <c r="D1017" i="8"/>
  <c r="D1018" i="8"/>
  <c r="D1019" i="8"/>
  <c r="D1020" i="8"/>
  <c r="D1021" i="8"/>
  <c r="D1022" i="8"/>
  <c r="D1023" i="8"/>
  <c r="D1024" i="8"/>
  <c r="D1025" i="8"/>
  <c r="D1026" i="8"/>
  <c r="D1027" i="8"/>
  <c r="D1028" i="8"/>
  <c r="D1029" i="8"/>
  <c r="D1030" i="8"/>
  <c r="D1031" i="8"/>
  <c r="D1032" i="8"/>
  <c r="D1033" i="8"/>
  <c r="D1034" i="8"/>
  <c r="D1035" i="8"/>
  <c r="D1036" i="8"/>
  <c r="D1037" i="8"/>
  <c r="D1038" i="8"/>
  <c r="D1039" i="8"/>
  <c r="D1040" i="8"/>
  <c r="D1041" i="8"/>
  <c r="D1042" i="8"/>
  <c r="D1043" i="8"/>
  <c r="D1044" i="8"/>
  <c r="D1045" i="8"/>
  <c r="D1046" i="8"/>
  <c r="D1047" i="8"/>
  <c r="D1048" i="8"/>
  <c r="D1049" i="8"/>
  <c r="D1050" i="8"/>
  <c r="D1051" i="8"/>
  <c r="D1052" i="8"/>
  <c r="D1053" i="8"/>
  <c r="D1054" i="8"/>
  <c r="D1055" i="8"/>
  <c r="D1056" i="8"/>
  <c r="D1057" i="8"/>
  <c r="D1058" i="8"/>
  <c r="D1059" i="8"/>
  <c r="D1060" i="8"/>
  <c r="D1061" i="8"/>
  <c r="D1062" i="8"/>
  <c r="D1063" i="8"/>
  <c r="D1064" i="8"/>
  <c r="D1065" i="8"/>
  <c r="D1066" i="8"/>
  <c r="D1067" i="8"/>
  <c r="D1068" i="8"/>
  <c r="D1069" i="8"/>
  <c r="D1070" i="8"/>
  <c r="D1071" i="8"/>
  <c r="D1072" i="8"/>
  <c r="D1073" i="8"/>
  <c r="D1074" i="8"/>
  <c r="D1075" i="8"/>
  <c r="D1076" i="8"/>
  <c r="D1077" i="8"/>
  <c r="D1078" i="8"/>
  <c r="D1079" i="8"/>
  <c r="D1080" i="8"/>
  <c r="D1081" i="8"/>
  <c r="D1082" i="8"/>
  <c r="D1083" i="8"/>
  <c r="D1084" i="8"/>
  <c r="D1085" i="8"/>
  <c r="D1086" i="8"/>
  <c r="D1087" i="8"/>
  <c r="D1088" i="8"/>
  <c r="D1089" i="8"/>
  <c r="D1090" i="8"/>
  <c r="D1091" i="8"/>
  <c r="D1092" i="8"/>
  <c r="D1093" i="8"/>
  <c r="D1094" i="8"/>
  <c r="D1095" i="8"/>
  <c r="D1096" i="8"/>
  <c r="D1097" i="8"/>
  <c r="D1098" i="8"/>
  <c r="D1099" i="8"/>
  <c r="D1100" i="8"/>
  <c r="D1101" i="8"/>
  <c r="D1102" i="8"/>
  <c r="D1103" i="8"/>
  <c r="D1104" i="8"/>
  <c r="D1105" i="8"/>
  <c r="D1106" i="8"/>
  <c r="D1107" i="8"/>
  <c r="D1108" i="8"/>
  <c r="D1109" i="8"/>
  <c r="D1110" i="8"/>
  <c r="D1111" i="8"/>
  <c r="D1112" i="8"/>
  <c r="D1113" i="8"/>
  <c r="D1114" i="8"/>
  <c r="D1115" i="8"/>
  <c r="D1116" i="8"/>
  <c r="D1117" i="8"/>
  <c r="D1118" i="8"/>
  <c r="D1119" i="8"/>
  <c r="D1120" i="8"/>
  <c r="D1121" i="8"/>
  <c r="D1122" i="8"/>
  <c r="D1123" i="8"/>
  <c r="D1124" i="8"/>
  <c r="D1125" i="8"/>
  <c r="D1126" i="8"/>
  <c r="D1127" i="8"/>
  <c r="D1128" i="8"/>
  <c r="D1129" i="8"/>
  <c r="D1130" i="8"/>
  <c r="D1131" i="8"/>
  <c r="D1132" i="8"/>
  <c r="D1133" i="8"/>
  <c r="D1134" i="8"/>
  <c r="D1135" i="8"/>
  <c r="D1136" i="8"/>
  <c r="D1137" i="8"/>
  <c r="D1138" i="8"/>
  <c r="D1139" i="8"/>
  <c r="D1140" i="8"/>
  <c r="D1141" i="8"/>
  <c r="D1142" i="8"/>
  <c r="D1143" i="8"/>
  <c r="D1144" i="8"/>
  <c r="D1145" i="8"/>
  <c r="D1146" i="8"/>
  <c r="D1147" i="8"/>
  <c r="D1148" i="8"/>
  <c r="D1149" i="8"/>
  <c r="D1150" i="8"/>
  <c r="D1151" i="8"/>
  <c r="D1152" i="8"/>
  <c r="D1153" i="8"/>
  <c r="D1154" i="8"/>
  <c r="D1155" i="8"/>
  <c r="D1156" i="8"/>
  <c r="D1157" i="8"/>
  <c r="D1158" i="8"/>
  <c r="D1159" i="8"/>
  <c r="D1160" i="8"/>
  <c r="D1161" i="8"/>
  <c r="D1162" i="8"/>
  <c r="D1163" i="8"/>
  <c r="D1164" i="8"/>
  <c r="D1165" i="8"/>
  <c r="D1166" i="8"/>
  <c r="D1167" i="8"/>
  <c r="D1168" i="8"/>
  <c r="D1169" i="8"/>
  <c r="D1170" i="8"/>
  <c r="D1171" i="8"/>
  <c r="D1172" i="8"/>
  <c r="D1173" i="8"/>
  <c r="D1174" i="8"/>
  <c r="D1175" i="8"/>
  <c r="D1176" i="8"/>
  <c r="D1177" i="8"/>
  <c r="D1178" i="8"/>
  <c r="D1179" i="8"/>
  <c r="D1180" i="8"/>
  <c r="D1181" i="8"/>
  <c r="D1182" i="8"/>
  <c r="D1183" i="8"/>
  <c r="D1184" i="8"/>
  <c r="D1185" i="8"/>
  <c r="D1186" i="8"/>
  <c r="D1187" i="8"/>
  <c r="D1188" i="8"/>
  <c r="D1189" i="8"/>
  <c r="D1190" i="8"/>
  <c r="D1191" i="8"/>
  <c r="D1192" i="8"/>
  <c r="D1193" i="8"/>
  <c r="D1194" i="8"/>
  <c r="D1195" i="8"/>
  <c r="D1196" i="8"/>
  <c r="D1197" i="8"/>
  <c r="D1198" i="8"/>
  <c r="D1199" i="8"/>
  <c r="D1200" i="8"/>
  <c r="D1201" i="8"/>
  <c r="D1202" i="8"/>
  <c r="D1203" i="8"/>
  <c r="D1204" i="8"/>
  <c r="D1205" i="8"/>
  <c r="D1206" i="8"/>
  <c r="D1207" i="8"/>
  <c r="D1208" i="8"/>
  <c r="D1209" i="8"/>
  <c r="D1210" i="8"/>
  <c r="D1211" i="8"/>
  <c r="D1212" i="8"/>
  <c r="D1213" i="8"/>
  <c r="D1214" i="8"/>
  <c r="D1215" i="8"/>
  <c r="D1216" i="8"/>
  <c r="D1217" i="8"/>
  <c r="D1218" i="8"/>
  <c r="D1219" i="8"/>
  <c r="D1220" i="8"/>
  <c r="D1221" i="8"/>
  <c r="D1222" i="8"/>
  <c r="D1223" i="8"/>
  <c r="D1224" i="8"/>
  <c r="D1225" i="8"/>
  <c r="D1226" i="8"/>
  <c r="D1227" i="8"/>
  <c r="D1228" i="8"/>
  <c r="D1229" i="8"/>
  <c r="D1230" i="8"/>
  <c r="D1231" i="8"/>
  <c r="D1232" i="8"/>
  <c r="D1233" i="8"/>
  <c r="D1234" i="8"/>
  <c r="D1235" i="8"/>
  <c r="D1236" i="8"/>
  <c r="D1237" i="8"/>
  <c r="D1238" i="8"/>
  <c r="D1239" i="8"/>
  <c r="D1240" i="8"/>
  <c r="D1241" i="8"/>
  <c r="D1242" i="8"/>
  <c r="D1243" i="8"/>
  <c r="D1244" i="8"/>
  <c r="D1245" i="8"/>
  <c r="D1246" i="8"/>
  <c r="D1247" i="8"/>
  <c r="D1248" i="8"/>
  <c r="D1249" i="8"/>
  <c r="D1250" i="8"/>
  <c r="D1251" i="8"/>
  <c r="D1252" i="8"/>
  <c r="D1253" i="8"/>
  <c r="D1254" i="8"/>
  <c r="D1255" i="8"/>
  <c r="D1256" i="8"/>
  <c r="D1257" i="8"/>
  <c r="D1258" i="8"/>
  <c r="D1259" i="8"/>
  <c r="D1260" i="8"/>
  <c r="D1261" i="8"/>
  <c r="D1262" i="8"/>
  <c r="D1263" i="8"/>
  <c r="D1264" i="8"/>
  <c r="D1265" i="8"/>
  <c r="D1266" i="8"/>
  <c r="D1267" i="8"/>
  <c r="D1268" i="8"/>
  <c r="D1269" i="8"/>
  <c r="D1270" i="8"/>
  <c r="D1271" i="8"/>
  <c r="D1272" i="8"/>
  <c r="D1273" i="8"/>
  <c r="D1274" i="8"/>
  <c r="D1275" i="8"/>
  <c r="D1276" i="8"/>
  <c r="D1277" i="8"/>
  <c r="D1278" i="8"/>
  <c r="D1279" i="8"/>
  <c r="D1280" i="8"/>
  <c r="D1281" i="8"/>
  <c r="D1282" i="8"/>
  <c r="D1283" i="8"/>
  <c r="D1284" i="8"/>
  <c r="D1285" i="8"/>
  <c r="D1286" i="8"/>
  <c r="D1287" i="8"/>
  <c r="D1288" i="8"/>
  <c r="D1289" i="8"/>
  <c r="D1290" i="8"/>
  <c r="D1291" i="8"/>
  <c r="D1292" i="8"/>
  <c r="D1293" i="8"/>
  <c r="D1294" i="8"/>
  <c r="D1295" i="8"/>
  <c r="D1296" i="8"/>
  <c r="D1297" i="8"/>
  <c r="D1298" i="8"/>
  <c r="D1299" i="8"/>
  <c r="D1300" i="8"/>
  <c r="D1301" i="8"/>
  <c r="D1302" i="8"/>
  <c r="D1303" i="8"/>
  <c r="D1304" i="8"/>
  <c r="D1305" i="8"/>
  <c r="D1306" i="8"/>
  <c r="D1307" i="8"/>
  <c r="D1308" i="8"/>
  <c r="D1309" i="8"/>
  <c r="D1310" i="8"/>
  <c r="D1311" i="8"/>
  <c r="D1312" i="8"/>
  <c r="D1313" i="8"/>
  <c r="D1314" i="8"/>
  <c r="D1315" i="8"/>
  <c r="D1316" i="8"/>
  <c r="D1317" i="8"/>
  <c r="D1318" i="8"/>
  <c r="D1319" i="8"/>
  <c r="D1320" i="8"/>
  <c r="D1321" i="8"/>
  <c r="D1322" i="8"/>
  <c r="D1323" i="8"/>
  <c r="D1324" i="8"/>
  <c r="D1325" i="8"/>
  <c r="D1326" i="8"/>
  <c r="D1327" i="8"/>
  <c r="D1328" i="8"/>
  <c r="D1329" i="8"/>
  <c r="D1330" i="8"/>
  <c r="D1331" i="8"/>
  <c r="D1332" i="8"/>
  <c r="D1333" i="8"/>
  <c r="D1334" i="8"/>
  <c r="D1335" i="8"/>
  <c r="D1336" i="8"/>
  <c r="D1337" i="8"/>
  <c r="D1338" i="8"/>
  <c r="D1339" i="8"/>
  <c r="D1340" i="8"/>
  <c r="D1341" i="8"/>
  <c r="D1342" i="8"/>
  <c r="D1343" i="8"/>
  <c r="D1344" i="8"/>
  <c r="D1345" i="8"/>
  <c r="D1346" i="8"/>
  <c r="D1347" i="8"/>
  <c r="D1348" i="8"/>
  <c r="D1349" i="8"/>
  <c r="D1350" i="8"/>
  <c r="D1351" i="8"/>
  <c r="D1352" i="8"/>
  <c r="D1353" i="8"/>
  <c r="D1354" i="8"/>
  <c r="D1355" i="8"/>
  <c r="D1356" i="8"/>
  <c r="D1357" i="8"/>
  <c r="D1358" i="8"/>
  <c r="D1359" i="8"/>
  <c r="D1360" i="8"/>
  <c r="D1361" i="8"/>
  <c r="D1362" i="8"/>
  <c r="D1363" i="8"/>
  <c r="D1364" i="8"/>
  <c r="D1365" i="8"/>
  <c r="D1366" i="8"/>
  <c r="D1367" i="8"/>
  <c r="D1368" i="8"/>
  <c r="D1369" i="8"/>
  <c r="D1370" i="8"/>
  <c r="D1371" i="8"/>
  <c r="D1372" i="8"/>
  <c r="D1373" i="8"/>
  <c r="D1374" i="8"/>
  <c r="D1375" i="8"/>
  <c r="D1376" i="8"/>
  <c r="D1377" i="8"/>
  <c r="D1378" i="8"/>
  <c r="D1379" i="8"/>
  <c r="D1380" i="8"/>
  <c r="D1381" i="8"/>
  <c r="D1382" i="8"/>
  <c r="D1383" i="8"/>
  <c r="D1384" i="8"/>
  <c r="D1385" i="8"/>
  <c r="D1386" i="8"/>
  <c r="D1387" i="8"/>
  <c r="D1388" i="8"/>
  <c r="D1389" i="8"/>
  <c r="D1390" i="8"/>
  <c r="D1391" i="8"/>
  <c r="D1392" i="8"/>
  <c r="D1393" i="8"/>
  <c r="D1394" i="8"/>
  <c r="D1395" i="8"/>
  <c r="D1396" i="8"/>
  <c r="D1397" i="8"/>
  <c r="D1398" i="8"/>
  <c r="D1399" i="8"/>
  <c r="D1400" i="8"/>
  <c r="D1401" i="8"/>
  <c r="D1402" i="8"/>
  <c r="D1403" i="8"/>
  <c r="D1404" i="8"/>
  <c r="D1405" i="8"/>
  <c r="D1406" i="8"/>
  <c r="D1407" i="8"/>
  <c r="D1408" i="8"/>
  <c r="D1409" i="8"/>
  <c r="D1410" i="8"/>
  <c r="D1411" i="8"/>
  <c r="D1412" i="8"/>
  <c r="D1413" i="8"/>
  <c r="D1414" i="8"/>
  <c r="D1415" i="8"/>
  <c r="D1416" i="8"/>
  <c r="D1417" i="8"/>
  <c r="D1418" i="8"/>
  <c r="D1419" i="8"/>
  <c r="D1420" i="8"/>
  <c r="D1421" i="8"/>
  <c r="D1422" i="8"/>
  <c r="D1423" i="8"/>
  <c r="D1424" i="8"/>
  <c r="D1425" i="8"/>
  <c r="D1426" i="8"/>
  <c r="D1427" i="8"/>
  <c r="D1428" i="8"/>
  <c r="D1429" i="8"/>
  <c r="D1430" i="8"/>
  <c r="D1431" i="8"/>
  <c r="D1432" i="8"/>
  <c r="D1433" i="8"/>
  <c r="D1434" i="8"/>
  <c r="D1435" i="8"/>
  <c r="D1436" i="8"/>
  <c r="D1437" i="8"/>
  <c r="D1438" i="8"/>
  <c r="D1439" i="8"/>
  <c r="D1440" i="8"/>
  <c r="D1441" i="8"/>
  <c r="D1442" i="8"/>
  <c r="D1443" i="8"/>
  <c r="D1444" i="8"/>
  <c r="D1445" i="8"/>
  <c r="D1446" i="8"/>
  <c r="D1447" i="8"/>
  <c r="D1448" i="8"/>
  <c r="D1449" i="8"/>
  <c r="D1450" i="8"/>
  <c r="D1451" i="8"/>
  <c r="D1452" i="8"/>
  <c r="D1453" i="8"/>
  <c r="D1454" i="8"/>
  <c r="D1455" i="8"/>
  <c r="D1456" i="8"/>
  <c r="D1457" i="8"/>
  <c r="D1458" i="8"/>
  <c r="D1459" i="8"/>
  <c r="D1460" i="8"/>
  <c r="D1461" i="8"/>
  <c r="D1462" i="8"/>
  <c r="D1463" i="8"/>
  <c r="D1464" i="8"/>
  <c r="D1465" i="8"/>
  <c r="D1466" i="8"/>
  <c r="D1467" i="8"/>
  <c r="D1468" i="8"/>
  <c r="D1469" i="8"/>
  <c r="D1470" i="8"/>
  <c r="D1471" i="8"/>
  <c r="D1472" i="8"/>
  <c r="D1473" i="8"/>
  <c r="D1474" i="8"/>
  <c r="D1475" i="8"/>
  <c r="D1476" i="8"/>
  <c r="D1477" i="8"/>
  <c r="D1478" i="8"/>
  <c r="D1479" i="8"/>
  <c r="D1480" i="8"/>
  <c r="D1481" i="8"/>
  <c r="D1482" i="8"/>
  <c r="D1483" i="8"/>
  <c r="D1484" i="8"/>
  <c r="D1485" i="8"/>
  <c r="D1486" i="8"/>
  <c r="D1487" i="8"/>
  <c r="D1488" i="8"/>
  <c r="D1489" i="8"/>
  <c r="D1490" i="8"/>
  <c r="D1491" i="8"/>
  <c r="D1492" i="8"/>
  <c r="D1493" i="8"/>
  <c r="D1494" i="8"/>
  <c r="D1495" i="8"/>
  <c r="D1496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68" i="8"/>
  <c r="I369" i="8"/>
  <c r="I370" i="8"/>
  <c r="I371" i="8"/>
  <c r="I372" i="8"/>
  <c r="I373" i="8"/>
  <c r="I374" i="8"/>
  <c r="I375" i="8"/>
  <c r="I376" i="8"/>
  <c r="I377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1" i="8"/>
  <c r="I392" i="8"/>
  <c r="I393" i="8"/>
  <c r="I394" i="8"/>
  <c r="I395" i="8"/>
  <c r="I396" i="8"/>
  <c r="I397" i="8"/>
  <c r="I398" i="8"/>
  <c r="I399" i="8"/>
  <c r="I400" i="8"/>
  <c r="I401" i="8"/>
  <c r="I402" i="8"/>
  <c r="I403" i="8"/>
  <c r="I404" i="8"/>
  <c r="I405" i="8"/>
  <c r="I406" i="8"/>
  <c r="I407" i="8"/>
  <c r="I408" i="8"/>
  <c r="I409" i="8"/>
  <c r="I410" i="8"/>
  <c r="I411" i="8"/>
  <c r="I412" i="8"/>
  <c r="I413" i="8"/>
  <c r="I414" i="8"/>
  <c r="I415" i="8"/>
  <c r="I416" i="8"/>
  <c r="I417" i="8"/>
  <c r="I418" i="8"/>
  <c r="I419" i="8"/>
  <c r="I420" i="8"/>
  <c r="I421" i="8"/>
  <c r="I422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I437" i="8"/>
  <c r="I438" i="8"/>
  <c r="I439" i="8"/>
  <c r="I440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455" i="8"/>
  <c r="I456" i="8"/>
  <c r="I457" i="8"/>
  <c r="I458" i="8"/>
  <c r="I459" i="8"/>
  <c r="I460" i="8"/>
  <c r="I461" i="8"/>
  <c r="I462" i="8"/>
  <c r="I463" i="8"/>
  <c r="I464" i="8"/>
  <c r="I465" i="8"/>
  <c r="I466" i="8"/>
  <c r="I467" i="8"/>
  <c r="I468" i="8"/>
  <c r="I469" i="8"/>
  <c r="I470" i="8"/>
  <c r="I471" i="8"/>
  <c r="I472" i="8"/>
  <c r="I473" i="8"/>
  <c r="I474" i="8"/>
  <c r="I475" i="8"/>
  <c r="I476" i="8"/>
  <c r="I477" i="8"/>
  <c r="I478" i="8"/>
  <c r="I479" i="8"/>
  <c r="I480" i="8"/>
  <c r="I481" i="8"/>
  <c r="I482" i="8"/>
  <c r="I483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I639" i="8"/>
  <c r="I640" i="8"/>
  <c r="I641" i="8"/>
  <c r="I642" i="8"/>
  <c r="I643" i="8"/>
  <c r="I644" i="8"/>
  <c r="I645" i="8"/>
  <c r="I646" i="8"/>
  <c r="I647" i="8"/>
  <c r="I648" i="8"/>
  <c r="I649" i="8"/>
  <c r="I650" i="8"/>
  <c r="I651" i="8"/>
  <c r="I652" i="8"/>
  <c r="I653" i="8"/>
  <c r="I654" i="8"/>
  <c r="I655" i="8"/>
  <c r="I656" i="8"/>
  <c r="I657" i="8"/>
  <c r="I658" i="8"/>
  <c r="I659" i="8"/>
  <c r="I660" i="8"/>
  <c r="I661" i="8"/>
  <c r="I662" i="8"/>
  <c r="I663" i="8"/>
  <c r="I664" i="8"/>
  <c r="I665" i="8"/>
  <c r="I666" i="8"/>
  <c r="I667" i="8"/>
  <c r="I668" i="8"/>
  <c r="I669" i="8"/>
  <c r="I670" i="8"/>
  <c r="I671" i="8"/>
  <c r="I672" i="8"/>
  <c r="I673" i="8"/>
  <c r="I674" i="8"/>
  <c r="I675" i="8"/>
  <c r="I676" i="8"/>
  <c r="I677" i="8"/>
  <c r="I678" i="8"/>
  <c r="I679" i="8"/>
  <c r="I680" i="8"/>
  <c r="I681" i="8"/>
  <c r="I682" i="8"/>
  <c r="I683" i="8"/>
  <c r="I684" i="8"/>
  <c r="I685" i="8"/>
  <c r="I686" i="8"/>
  <c r="I687" i="8"/>
  <c r="I688" i="8"/>
  <c r="I689" i="8"/>
  <c r="I690" i="8"/>
  <c r="I691" i="8"/>
  <c r="I692" i="8"/>
  <c r="I693" i="8"/>
  <c r="I694" i="8"/>
  <c r="I695" i="8"/>
  <c r="I696" i="8"/>
  <c r="I697" i="8"/>
  <c r="I698" i="8"/>
  <c r="I699" i="8"/>
  <c r="I700" i="8"/>
  <c r="I701" i="8"/>
  <c r="I702" i="8"/>
  <c r="I703" i="8"/>
  <c r="I704" i="8"/>
  <c r="I705" i="8"/>
  <c r="I706" i="8"/>
  <c r="I707" i="8"/>
  <c r="I708" i="8"/>
  <c r="I709" i="8"/>
  <c r="I710" i="8"/>
  <c r="I711" i="8"/>
  <c r="I712" i="8"/>
  <c r="I713" i="8"/>
  <c r="I714" i="8"/>
  <c r="I715" i="8"/>
  <c r="I716" i="8"/>
  <c r="I717" i="8"/>
  <c r="I718" i="8"/>
  <c r="I719" i="8"/>
  <c r="I720" i="8"/>
  <c r="I721" i="8"/>
  <c r="I722" i="8"/>
  <c r="I723" i="8"/>
  <c r="I724" i="8"/>
  <c r="I725" i="8"/>
  <c r="I726" i="8"/>
  <c r="I727" i="8"/>
  <c r="I728" i="8"/>
  <c r="I729" i="8"/>
  <c r="I730" i="8"/>
  <c r="I731" i="8"/>
  <c r="I732" i="8"/>
  <c r="I733" i="8"/>
  <c r="I734" i="8"/>
  <c r="I735" i="8"/>
  <c r="I736" i="8"/>
  <c r="I737" i="8"/>
  <c r="I738" i="8"/>
  <c r="I739" i="8"/>
  <c r="I740" i="8"/>
  <c r="I741" i="8"/>
  <c r="I742" i="8"/>
  <c r="I743" i="8"/>
  <c r="I744" i="8"/>
  <c r="I745" i="8"/>
  <c r="I746" i="8"/>
  <c r="I747" i="8"/>
  <c r="I748" i="8"/>
  <c r="I749" i="8"/>
  <c r="I750" i="8"/>
  <c r="I751" i="8"/>
  <c r="I752" i="8"/>
  <c r="I753" i="8"/>
  <c r="I754" i="8"/>
  <c r="I755" i="8"/>
  <c r="I756" i="8"/>
  <c r="I757" i="8"/>
  <c r="I758" i="8"/>
  <c r="I759" i="8"/>
  <c r="I760" i="8"/>
  <c r="I761" i="8"/>
  <c r="I762" i="8"/>
  <c r="I763" i="8"/>
  <c r="I764" i="8"/>
  <c r="I765" i="8"/>
  <c r="I766" i="8"/>
  <c r="I767" i="8"/>
  <c r="I768" i="8"/>
  <c r="I769" i="8"/>
  <c r="I770" i="8"/>
  <c r="I771" i="8"/>
  <c r="I772" i="8"/>
  <c r="I773" i="8"/>
  <c r="I774" i="8"/>
  <c r="I775" i="8"/>
  <c r="I776" i="8"/>
  <c r="I777" i="8"/>
  <c r="I778" i="8"/>
  <c r="I779" i="8"/>
  <c r="I780" i="8"/>
  <c r="I781" i="8"/>
  <c r="I782" i="8"/>
  <c r="I783" i="8"/>
  <c r="I784" i="8"/>
  <c r="I785" i="8"/>
  <c r="I786" i="8"/>
  <c r="I787" i="8"/>
  <c r="I788" i="8"/>
  <c r="I789" i="8"/>
  <c r="I790" i="8"/>
  <c r="I791" i="8"/>
  <c r="I792" i="8"/>
  <c r="I793" i="8"/>
  <c r="I794" i="8"/>
  <c r="I795" i="8"/>
  <c r="I796" i="8"/>
  <c r="I797" i="8"/>
  <c r="I798" i="8"/>
  <c r="I799" i="8"/>
  <c r="I800" i="8"/>
  <c r="I801" i="8"/>
  <c r="I802" i="8"/>
  <c r="I803" i="8"/>
  <c r="I804" i="8"/>
  <c r="I805" i="8"/>
  <c r="I806" i="8"/>
  <c r="I807" i="8"/>
  <c r="I808" i="8"/>
  <c r="I809" i="8"/>
  <c r="I810" i="8"/>
  <c r="I811" i="8"/>
  <c r="I812" i="8"/>
  <c r="I813" i="8"/>
  <c r="I814" i="8"/>
  <c r="I815" i="8"/>
  <c r="I816" i="8"/>
  <c r="I817" i="8"/>
  <c r="I818" i="8"/>
  <c r="I819" i="8"/>
  <c r="I820" i="8"/>
  <c r="I821" i="8"/>
  <c r="I822" i="8"/>
  <c r="I823" i="8"/>
  <c r="I824" i="8"/>
  <c r="I825" i="8"/>
  <c r="I826" i="8"/>
  <c r="I827" i="8"/>
  <c r="I828" i="8"/>
  <c r="I829" i="8"/>
  <c r="I830" i="8"/>
  <c r="I831" i="8"/>
  <c r="I832" i="8"/>
  <c r="I833" i="8"/>
  <c r="I834" i="8"/>
  <c r="I835" i="8"/>
  <c r="I836" i="8"/>
  <c r="I837" i="8"/>
  <c r="I838" i="8"/>
  <c r="I839" i="8"/>
  <c r="I840" i="8"/>
  <c r="I841" i="8"/>
  <c r="I842" i="8"/>
  <c r="I843" i="8"/>
  <c r="I844" i="8"/>
  <c r="I845" i="8"/>
  <c r="I846" i="8"/>
  <c r="I847" i="8"/>
  <c r="I848" i="8"/>
  <c r="I849" i="8"/>
  <c r="I850" i="8"/>
  <c r="I851" i="8"/>
  <c r="I852" i="8"/>
  <c r="I853" i="8"/>
  <c r="I854" i="8"/>
  <c r="I855" i="8"/>
  <c r="I856" i="8"/>
  <c r="I857" i="8"/>
  <c r="I858" i="8"/>
  <c r="I859" i="8"/>
  <c r="I860" i="8"/>
  <c r="I861" i="8"/>
  <c r="I862" i="8"/>
  <c r="I863" i="8"/>
  <c r="I864" i="8"/>
  <c r="I865" i="8"/>
  <c r="I866" i="8"/>
  <c r="I867" i="8"/>
  <c r="I868" i="8"/>
  <c r="I869" i="8"/>
  <c r="I870" i="8"/>
  <c r="I871" i="8"/>
  <c r="I872" i="8"/>
  <c r="I873" i="8"/>
  <c r="I874" i="8"/>
  <c r="I875" i="8"/>
  <c r="I876" i="8"/>
  <c r="I877" i="8"/>
  <c r="I878" i="8"/>
  <c r="I879" i="8"/>
  <c r="I880" i="8"/>
  <c r="I881" i="8"/>
  <c r="I882" i="8"/>
  <c r="I883" i="8"/>
  <c r="I884" i="8"/>
  <c r="I885" i="8"/>
  <c r="I886" i="8"/>
  <c r="I887" i="8"/>
  <c r="I888" i="8"/>
  <c r="I889" i="8"/>
  <c r="I890" i="8"/>
  <c r="I891" i="8"/>
  <c r="I892" i="8"/>
  <c r="I893" i="8"/>
  <c r="I894" i="8"/>
  <c r="I895" i="8"/>
  <c r="I896" i="8"/>
  <c r="I897" i="8"/>
  <c r="I898" i="8"/>
  <c r="I899" i="8"/>
  <c r="I900" i="8"/>
  <c r="I901" i="8"/>
  <c r="I902" i="8"/>
  <c r="I903" i="8"/>
  <c r="I904" i="8"/>
  <c r="I905" i="8"/>
  <c r="I906" i="8"/>
  <c r="I907" i="8"/>
  <c r="I908" i="8"/>
  <c r="I909" i="8"/>
  <c r="I910" i="8"/>
  <c r="I911" i="8"/>
  <c r="I912" i="8"/>
  <c r="I913" i="8"/>
  <c r="I914" i="8"/>
  <c r="I915" i="8"/>
  <c r="I916" i="8"/>
  <c r="I917" i="8"/>
  <c r="I918" i="8"/>
  <c r="I919" i="8"/>
  <c r="I920" i="8"/>
  <c r="I921" i="8"/>
  <c r="I922" i="8"/>
  <c r="I923" i="8"/>
  <c r="I924" i="8"/>
  <c r="I925" i="8"/>
  <c r="I926" i="8"/>
  <c r="I927" i="8"/>
  <c r="I928" i="8"/>
  <c r="I929" i="8"/>
  <c r="I930" i="8"/>
  <c r="I931" i="8"/>
  <c r="I932" i="8"/>
  <c r="I933" i="8"/>
  <c r="I934" i="8"/>
  <c r="I935" i="8"/>
  <c r="I936" i="8"/>
  <c r="I937" i="8"/>
  <c r="I938" i="8"/>
  <c r="I939" i="8"/>
  <c r="I940" i="8"/>
  <c r="I941" i="8"/>
  <c r="I942" i="8"/>
  <c r="I943" i="8"/>
  <c r="I944" i="8"/>
  <c r="I945" i="8"/>
  <c r="I946" i="8"/>
  <c r="I947" i="8"/>
  <c r="I948" i="8"/>
  <c r="I949" i="8"/>
  <c r="I950" i="8"/>
  <c r="I951" i="8"/>
  <c r="I952" i="8"/>
  <c r="I953" i="8"/>
  <c r="I954" i="8"/>
  <c r="I955" i="8"/>
  <c r="I956" i="8"/>
  <c r="I957" i="8"/>
  <c r="I958" i="8"/>
  <c r="I959" i="8"/>
  <c r="I960" i="8"/>
  <c r="I961" i="8"/>
  <c r="I962" i="8"/>
  <c r="I963" i="8"/>
  <c r="I964" i="8"/>
  <c r="I965" i="8"/>
  <c r="I966" i="8"/>
  <c r="I967" i="8"/>
  <c r="I968" i="8"/>
  <c r="I969" i="8"/>
  <c r="I970" i="8"/>
  <c r="I971" i="8"/>
  <c r="I972" i="8"/>
  <c r="I973" i="8"/>
  <c r="I974" i="8"/>
  <c r="I975" i="8"/>
  <c r="I976" i="8"/>
  <c r="I977" i="8"/>
  <c r="I978" i="8"/>
  <c r="I979" i="8"/>
  <c r="I980" i="8"/>
  <c r="I981" i="8"/>
  <c r="I982" i="8"/>
  <c r="I983" i="8"/>
  <c r="I984" i="8"/>
  <c r="I985" i="8"/>
  <c r="I986" i="8"/>
  <c r="I987" i="8"/>
  <c r="I988" i="8"/>
  <c r="I989" i="8"/>
  <c r="I990" i="8"/>
  <c r="I991" i="8"/>
  <c r="I992" i="8"/>
  <c r="I993" i="8"/>
  <c r="I994" i="8"/>
  <c r="I995" i="8"/>
  <c r="I996" i="8"/>
  <c r="I997" i="8"/>
  <c r="I998" i="8"/>
  <c r="I999" i="8"/>
  <c r="I1000" i="8"/>
  <c r="I1001" i="8"/>
  <c r="I1002" i="8"/>
  <c r="I1003" i="8"/>
  <c r="I1004" i="8"/>
  <c r="I1005" i="8"/>
  <c r="I1006" i="8"/>
  <c r="I1007" i="8"/>
  <c r="I1008" i="8"/>
  <c r="I1009" i="8"/>
  <c r="I1010" i="8"/>
  <c r="I1011" i="8"/>
  <c r="I1012" i="8"/>
  <c r="I1013" i="8"/>
  <c r="I1014" i="8"/>
  <c r="I1015" i="8"/>
  <c r="I1016" i="8"/>
  <c r="I1017" i="8"/>
  <c r="I1018" i="8"/>
  <c r="I1019" i="8"/>
  <c r="I1020" i="8"/>
  <c r="I1021" i="8"/>
  <c r="I1022" i="8"/>
  <c r="I1023" i="8"/>
  <c r="I1024" i="8"/>
  <c r="I1025" i="8"/>
  <c r="I1026" i="8"/>
  <c r="I1027" i="8"/>
  <c r="I1028" i="8"/>
  <c r="I1029" i="8"/>
  <c r="I1030" i="8"/>
  <c r="I1031" i="8"/>
  <c r="I1032" i="8"/>
  <c r="I1033" i="8"/>
  <c r="I1034" i="8"/>
  <c r="I1035" i="8"/>
  <c r="I1036" i="8"/>
  <c r="I1037" i="8"/>
  <c r="I1038" i="8"/>
  <c r="I1039" i="8"/>
  <c r="I1040" i="8"/>
  <c r="I1041" i="8"/>
  <c r="I1042" i="8"/>
  <c r="I1043" i="8"/>
  <c r="I1044" i="8"/>
  <c r="I1045" i="8"/>
  <c r="I1046" i="8"/>
  <c r="I1047" i="8"/>
  <c r="I1048" i="8"/>
  <c r="I1049" i="8"/>
  <c r="I1050" i="8"/>
  <c r="I1051" i="8"/>
  <c r="I1052" i="8"/>
  <c r="I1053" i="8"/>
  <c r="I1054" i="8"/>
  <c r="I1055" i="8"/>
  <c r="I1056" i="8"/>
  <c r="I1057" i="8"/>
  <c r="I1058" i="8"/>
  <c r="I1059" i="8"/>
  <c r="I1060" i="8"/>
  <c r="I1061" i="8"/>
  <c r="I1062" i="8"/>
  <c r="I1063" i="8"/>
  <c r="I1064" i="8"/>
  <c r="I1065" i="8"/>
  <c r="I1066" i="8"/>
  <c r="I1067" i="8"/>
  <c r="I1068" i="8"/>
  <c r="I1069" i="8"/>
  <c r="I1070" i="8"/>
  <c r="I1071" i="8"/>
  <c r="I1072" i="8"/>
  <c r="I1073" i="8"/>
  <c r="I1074" i="8"/>
  <c r="I1075" i="8"/>
  <c r="I1076" i="8"/>
  <c r="I1077" i="8"/>
  <c r="I1078" i="8"/>
  <c r="I1079" i="8"/>
  <c r="I1080" i="8"/>
  <c r="I1081" i="8"/>
  <c r="I1082" i="8"/>
  <c r="I1083" i="8"/>
  <c r="I1084" i="8"/>
  <c r="I1085" i="8"/>
  <c r="I1086" i="8"/>
  <c r="I1087" i="8"/>
  <c r="I1088" i="8"/>
  <c r="I1089" i="8"/>
  <c r="I1090" i="8"/>
  <c r="I1091" i="8"/>
  <c r="I1092" i="8"/>
  <c r="I1093" i="8"/>
  <c r="I1094" i="8"/>
  <c r="I1095" i="8"/>
  <c r="I1096" i="8"/>
  <c r="I1097" i="8"/>
  <c r="I1098" i="8"/>
  <c r="I1099" i="8"/>
  <c r="I1100" i="8"/>
  <c r="I1101" i="8"/>
  <c r="I1102" i="8"/>
  <c r="I1103" i="8"/>
  <c r="I1104" i="8"/>
  <c r="I1105" i="8"/>
  <c r="I1106" i="8"/>
  <c r="I1107" i="8"/>
  <c r="I1108" i="8"/>
  <c r="I1109" i="8"/>
  <c r="I1110" i="8"/>
  <c r="I1111" i="8"/>
  <c r="I1112" i="8"/>
  <c r="I1113" i="8"/>
  <c r="I1114" i="8"/>
  <c r="I1115" i="8"/>
  <c r="I1116" i="8"/>
  <c r="I1117" i="8"/>
  <c r="I1118" i="8"/>
  <c r="I1119" i="8"/>
  <c r="I1120" i="8"/>
  <c r="I1121" i="8"/>
  <c r="I1122" i="8"/>
  <c r="I1123" i="8"/>
  <c r="I1124" i="8"/>
  <c r="I1125" i="8"/>
  <c r="I1126" i="8"/>
  <c r="I1127" i="8"/>
  <c r="I1128" i="8"/>
  <c r="I1129" i="8"/>
  <c r="I1130" i="8"/>
  <c r="I1131" i="8"/>
  <c r="I1132" i="8"/>
  <c r="I1133" i="8"/>
  <c r="I1134" i="8"/>
  <c r="I1135" i="8"/>
  <c r="I1136" i="8"/>
  <c r="I1137" i="8"/>
  <c r="I1138" i="8"/>
  <c r="I1139" i="8"/>
  <c r="I1140" i="8"/>
  <c r="I1141" i="8"/>
  <c r="I1142" i="8"/>
  <c r="I1143" i="8"/>
  <c r="I1144" i="8"/>
  <c r="I1145" i="8"/>
  <c r="I1146" i="8"/>
  <c r="I1147" i="8"/>
  <c r="I1148" i="8"/>
  <c r="I1149" i="8"/>
  <c r="I1150" i="8"/>
  <c r="I1151" i="8"/>
  <c r="I1152" i="8"/>
  <c r="I1153" i="8"/>
  <c r="I1154" i="8"/>
  <c r="I1155" i="8"/>
  <c r="I1156" i="8"/>
  <c r="I1157" i="8"/>
  <c r="I1158" i="8"/>
  <c r="I1159" i="8"/>
  <c r="I1160" i="8"/>
  <c r="I1161" i="8"/>
  <c r="I1162" i="8"/>
  <c r="I1163" i="8"/>
  <c r="I1164" i="8"/>
  <c r="I1165" i="8"/>
  <c r="I1166" i="8"/>
  <c r="I1167" i="8"/>
  <c r="I1168" i="8"/>
  <c r="I1169" i="8"/>
  <c r="I1170" i="8"/>
  <c r="I1171" i="8"/>
  <c r="I1172" i="8"/>
  <c r="I1173" i="8"/>
  <c r="I1174" i="8"/>
  <c r="I1175" i="8"/>
  <c r="I1176" i="8"/>
  <c r="I1177" i="8"/>
  <c r="I1178" i="8"/>
  <c r="I1179" i="8"/>
  <c r="I1180" i="8"/>
  <c r="I1181" i="8"/>
  <c r="I1182" i="8"/>
  <c r="I1183" i="8"/>
  <c r="I1184" i="8"/>
  <c r="I1185" i="8"/>
  <c r="I1186" i="8"/>
  <c r="I1187" i="8"/>
  <c r="I1188" i="8"/>
  <c r="I1189" i="8"/>
  <c r="I1190" i="8"/>
  <c r="I1191" i="8"/>
  <c r="I1192" i="8"/>
  <c r="I1193" i="8"/>
  <c r="I1194" i="8"/>
  <c r="I1195" i="8"/>
  <c r="I1196" i="8"/>
  <c r="I1197" i="8"/>
  <c r="I1198" i="8"/>
  <c r="I1199" i="8"/>
  <c r="I1200" i="8"/>
  <c r="I1201" i="8"/>
  <c r="I1202" i="8"/>
  <c r="I1203" i="8"/>
  <c r="I1204" i="8"/>
  <c r="I1205" i="8"/>
  <c r="I1206" i="8"/>
  <c r="I1207" i="8"/>
  <c r="I1208" i="8"/>
  <c r="I1209" i="8"/>
  <c r="I1210" i="8"/>
  <c r="I1211" i="8"/>
  <c r="I1212" i="8"/>
  <c r="I1213" i="8"/>
  <c r="I1214" i="8"/>
  <c r="I1215" i="8"/>
  <c r="I1216" i="8"/>
  <c r="I1217" i="8"/>
  <c r="I1218" i="8"/>
  <c r="I1219" i="8"/>
  <c r="I1220" i="8"/>
  <c r="I1221" i="8"/>
  <c r="I1222" i="8"/>
  <c r="I1223" i="8"/>
  <c r="I1224" i="8"/>
  <c r="I1225" i="8"/>
  <c r="I1226" i="8"/>
  <c r="I1227" i="8"/>
  <c r="I1228" i="8"/>
  <c r="I1229" i="8"/>
  <c r="I1230" i="8"/>
  <c r="I1231" i="8"/>
  <c r="I1232" i="8"/>
  <c r="I1233" i="8"/>
  <c r="I1234" i="8"/>
  <c r="I1235" i="8"/>
  <c r="I1236" i="8"/>
  <c r="I1237" i="8"/>
  <c r="I1238" i="8"/>
  <c r="I1239" i="8"/>
  <c r="I1240" i="8"/>
  <c r="I1241" i="8"/>
  <c r="I1242" i="8"/>
  <c r="I1243" i="8"/>
  <c r="I1244" i="8"/>
  <c r="I1245" i="8"/>
  <c r="I1246" i="8"/>
  <c r="I1247" i="8"/>
  <c r="I1248" i="8"/>
  <c r="I1249" i="8"/>
  <c r="I1250" i="8"/>
  <c r="I1251" i="8"/>
  <c r="I1252" i="8"/>
  <c r="I1253" i="8"/>
  <c r="I1254" i="8"/>
  <c r="I1255" i="8"/>
  <c r="I1256" i="8"/>
  <c r="I1257" i="8"/>
  <c r="I1258" i="8"/>
  <c r="I1259" i="8"/>
  <c r="I1260" i="8"/>
  <c r="I1261" i="8"/>
  <c r="I1262" i="8"/>
  <c r="I1263" i="8"/>
  <c r="I1264" i="8"/>
  <c r="I1265" i="8"/>
  <c r="I1266" i="8"/>
  <c r="I1267" i="8"/>
  <c r="I1268" i="8"/>
  <c r="I1269" i="8"/>
  <c r="I1270" i="8"/>
  <c r="I1271" i="8"/>
  <c r="I1272" i="8"/>
  <c r="I1273" i="8"/>
  <c r="I1274" i="8"/>
  <c r="I1275" i="8"/>
  <c r="I1276" i="8"/>
  <c r="I1277" i="8"/>
  <c r="I1278" i="8"/>
  <c r="I1279" i="8"/>
  <c r="I1280" i="8"/>
  <c r="I1281" i="8"/>
  <c r="I1282" i="8"/>
  <c r="I1283" i="8"/>
  <c r="I1284" i="8"/>
  <c r="I1285" i="8"/>
  <c r="I1286" i="8"/>
  <c r="I1287" i="8"/>
  <c r="I1288" i="8"/>
  <c r="I1289" i="8"/>
  <c r="I1290" i="8"/>
  <c r="I1291" i="8"/>
  <c r="I1292" i="8"/>
  <c r="I1293" i="8"/>
  <c r="I1294" i="8"/>
  <c r="I1295" i="8"/>
  <c r="I1296" i="8"/>
  <c r="I1297" i="8"/>
  <c r="I1298" i="8"/>
  <c r="I1299" i="8"/>
  <c r="I1300" i="8"/>
  <c r="I1301" i="8"/>
  <c r="I1302" i="8"/>
  <c r="I1303" i="8"/>
  <c r="I1304" i="8"/>
  <c r="I1305" i="8"/>
  <c r="I1306" i="8"/>
  <c r="I1307" i="8"/>
  <c r="I1308" i="8"/>
  <c r="I1309" i="8"/>
  <c r="I1310" i="8"/>
  <c r="I1311" i="8"/>
  <c r="I1312" i="8"/>
  <c r="I1313" i="8"/>
  <c r="I1314" i="8"/>
  <c r="I1315" i="8"/>
  <c r="I1316" i="8"/>
  <c r="I1317" i="8"/>
  <c r="I1318" i="8"/>
  <c r="I1319" i="8"/>
  <c r="I1320" i="8"/>
  <c r="I1321" i="8"/>
  <c r="I1322" i="8"/>
  <c r="I1323" i="8"/>
  <c r="I1324" i="8"/>
  <c r="I1325" i="8"/>
  <c r="I1326" i="8"/>
  <c r="I1327" i="8"/>
  <c r="I1328" i="8"/>
  <c r="I1329" i="8"/>
  <c r="I1330" i="8"/>
  <c r="I1331" i="8"/>
  <c r="I1332" i="8"/>
  <c r="I1333" i="8"/>
  <c r="I1334" i="8"/>
  <c r="I1335" i="8"/>
  <c r="I1336" i="8"/>
  <c r="I1337" i="8"/>
  <c r="I1338" i="8"/>
  <c r="I1339" i="8"/>
  <c r="I1340" i="8"/>
  <c r="I1341" i="8"/>
  <c r="I1342" i="8"/>
  <c r="I1343" i="8"/>
  <c r="I1344" i="8"/>
  <c r="I1345" i="8"/>
  <c r="I1346" i="8"/>
  <c r="I1347" i="8"/>
  <c r="I1348" i="8"/>
  <c r="I1349" i="8"/>
  <c r="I1350" i="8"/>
  <c r="I1351" i="8"/>
  <c r="I1352" i="8"/>
  <c r="I1353" i="8"/>
  <c r="I1354" i="8"/>
  <c r="I1355" i="8"/>
  <c r="I1356" i="8"/>
  <c r="I1357" i="8"/>
  <c r="I1358" i="8"/>
  <c r="I1359" i="8"/>
  <c r="I1360" i="8"/>
  <c r="I1361" i="8"/>
  <c r="I1362" i="8"/>
  <c r="I1363" i="8"/>
  <c r="I1364" i="8"/>
  <c r="I1365" i="8"/>
  <c r="I1366" i="8"/>
  <c r="I1367" i="8"/>
  <c r="I1368" i="8"/>
  <c r="I1369" i="8"/>
  <c r="I1370" i="8"/>
  <c r="I1371" i="8"/>
  <c r="I1372" i="8"/>
  <c r="I1373" i="8"/>
  <c r="I1374" i="8"/>
  <c r="I1375" i="8"/>
  <c r="I1376" i="8"/>
  <c r="I1377" i="8"/>
  <c r="I1378" i="8"/>
  <c r="I1379" i="8"/>
  <c r="I1380" i="8"/>
  <c r="I1381" i="8"/>
  <c r="I1382" i="8"/>
  <c r="I1383" i="8"/>
  <c r="I1384" i="8"/>
  <c r="I1385" i="8"/>
  <c r="I1386" i="8"/>
  <c r="I1387" i="8"/>
  <c r="I1388" i="8"/>
  <c r="I1389" i="8"/>
  <c r="I1390" i="8"/>
  <c r="I1391" i="8"/>
  <c r="I1392" i="8"/>
  <c r="I1393" i="8"/>
  <c r="I1394" i="8"/>
  <c r="I1395" i="8"/>
  <c r="I1396" i="8"/>
  <c r="I1397" i="8"/>
  <c r="I1398" i="8"/>
  <c r="I1399" i="8"/>
  <c r="I1400" i="8"/>
  <c r="I1401" i="8"/>
  <c r="I1402" i="8"/>
  <c r="I1403" i="8"/>
  <c r="I1404" i="8"/>
  <c r="I1405" i="8"/>
  <c r="I1406" i="8"/>
  <c r="I1407" i="8"/>
  <c r="I1408" i="8"/>
  <c r="I1409" i="8"/>
  <c r="I1410" i="8"/>
  <c r="I1411" i="8"/>
  <c r="I1412" i="8"/>
  <c r="I1413" i="8"/>
  <c r="I1414" i="8"/>
  <c r="I1415" i="8"/>
  <c r="I1416" i="8"/>
  <c r="I1417" i="8"/>
  <c r="I1418" i="8"/>
  <c r="I1419" i="8"/>
  <c r="I1420" i="8"/>
  <c r="I1421" i="8"/>
  <c r="I1422" i="8"/>
  <c r="I1423" i="8"/>
  <c r="I1424" i="8"/>
  <c r="I1425" i="8"/>
  <c r="I1426" i="8"/>
  <c r="I1427" i="8"/>
  <c r="I1428" i="8"/>
  <c r="I1429" i="8"/>
  <c r="I1430" i="8"/>
  <c r="I1431" i="8"/>
  <c r="I1432" i="8"/>
  <c r="I1433" i="8"/>
  <c r="I1434" i="8"/>
  <c r="I1435" i="8"/>
  <c r="I1436" i="8"/>
  <c r="I1437" i="8"/>
  <c r="I1438" i="8"/>
  <c r="I1439" i="8"/>
  <c r="I1440" i="8"/>
  <c r="I1441" i="8"/>
  <c r="I1442" i="8"/>
  <c r="I1443" i="8"/>
  <c r="I1444" i="8"/>
  <c r="I1445" i="8"/>
  <c r="I1446" i="8"/>
  <c r="I1447" i="8"/>
  <c r="I1448" i="8"/>
  <c r="I1449" i="8"/>
  <c r="I1450" i="8"/>
  <c r="I1451" i="8"/>
  <c r="I1452" i="8"/>
  <c r="I1453" i="8"/>
  <c r="I1454" i="8"/>
  <c r="I1455" i="8"/>
  <c r="I1456" i="8"/>
  <c r="I1457" i="8"/>
  <c r="I1458" i="8"/>
  <c r="I1459" i="8"/>
  <c r="I1460" i="8"/>
  <c r="I1461" i="8"/>
  <c r="I1462" i="8"/>
  <c r="I1463" i="8"/>
  <c r="I1464" i="8"/>
  <c r="I1465" i="8"/>
  <c r="I1466" i="8"/>
  <c r="I1467" i="8"/>
  <c r="I1468" i="8"/>
  <c r="I1469" i="8"/>
  <c r="I1470" i="8"/>
  <c r="I1471" i="8"/>
  <c r="I1472" i="8"/>
  <c r="I1473" i="8"/>
  <c r="I1474" i="8"/>
  <c r="I1475" i="8"/>
  <c r="I1476" i="8"/>
  <c r="I1477" i="8"/>
  <c r="I1478" i="8"/>
  <c r="I1479" i="8"/>
  <c r="I1480" i="8"/>
  <c r="I1481" i="8"/>
  <c r="I1482" i="8"/>
  <c r="I1483" i="8"/>
  <c r="I1484" i="8"/>
  <c r="I1485" i="8"/>
  <c r="I1486" i="8"/>
  <c r="I1487" i="8"/>
  <c r="I1488" i="8"/>
  <c r="I1489" i="8"/>
  <c r="I1490" i="8"/>
  <c r="I1491" i="8"/>
  <c r="I1492" i="8"/>
  <c r="I1493" i="8"/>
  <c r="I1494" i="8"/>
  <c r="I1495" i="8"/>
  <c r="I1496" i="8"/>
  <c r="I2" i="8"/>
  <c r="D2" i="8"/>
  <c r="C2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A643" i="8"/>
  <c r="A644" i="8"/>
  <c r="A645" i="8"/>
  <c r="A646" i="8"/>
  <c r="A647" i="8"/>
  <c r="A648" i="8"/>
  <c r="A649" i="8"/>
  <c r="A650" i="8"/>
  <c r="A651" i="8"/>
  <c r="A652" i="8"/>
  <c r="A653" i="8"/>
  <c r="A654" i="8"/>
  <c r="A655" i="8"/>
  <c r="A656" i="8"/>
  <c r="A657" i="8"/>
  <c r="A658" i="8"/>
  <c r="A659" i="8"/>
  <c r="A660" i="8"/>
  <c r="A661" i="8"/>
  <c r="A662" i="8"/>
  <c r="A663" i="8"/>
  <c r="A664" i="8"/>
  <c r="A665" i="8"/>
  <c r="A666" i="8"/>
  <c r="A667" i="8"/>
  <c r="A668" i="8"/>
  <c r="A669" i="8"/>
  <c r="A670" i="8"/>
  <c r="A671" i="8"/>
  <c r="A672" i="8"/>
  <c r="A673" i="8"/>
  <c r="A674" i="8"/>
  <c r="A675" i="8"/>
  <c r="A676" i="8"/>
  <c r="A677" i="8"/>
  <c r="A678" i="8"/>
  <c r="A679" i="8"/>
  <c r="A680" i="8"/>
  <c r="A681" i="8"/>
  <c r="A682" i="8"/>
  <c r="A683" i="8"/>
  <c r="A684" i="8"/>
  <c r="A685" i="8"/>
  <c r="A686" i="8"/>
  <c r="A687" i="8"/>
  <c r="A688" i="8"/>
  <c r="A689" i="8"/>
  <c r="A690" i="8"/>
  <c r="A691" i="8"/>
  <c r="A692" i="8"/>
  <c r="A693" i="8"/>
  <c r="A694" i="8"/>
  <c r="A695" i="8"/>
  <c r="A696" i="8"/>
  <c r="A697" i="8"/>
  <c r="A698" i="8"/>
  <c r="A699" i="8"/>
  <c r="A700" i="8"/>
  <c r="A701" i="8"/>
  <c r="A702" i="8"/>
  <c r="A703" i="8"/>
  <c r="A704" i="8"/>
  <c r="A705" i="8"/>
  <c r="A706" i="8"/>
  <c r="A707" i="8"/>
  <c r="A708" i="8"/>
  <c r="A709" i="8"/>
  <c r="A710" i="8"/>
  <c r="A711" i="8"/>
  <c r="A712" i="8"/>
  <c r="A713" i="8"/>
  <c r="A714" i="8"/>
  <c r="A715" i="8"/>
  <c r="A716" i="8"/>
  <c r="A717" i="8"/>
  <c r="A718" i="8"/>
  <c r="A719" i="8"/>
  <c r="A720" i="8"/>
  <c r="A721" i="8"/>
  <c r="A722" i="8"/>
  <c r="A723" i="8"/>
  <c r="A724" i="8"/>
  <c r="A725" i="8"/>
  <c r="A726" i="8"/>
  <c r="A727" i="8"/>
  <c r="A728" i="8"/>
  <c r="A729" i="8"/>
  <c r="A730" i="8"/>
  <c r="A731" i="8"/>
  <c r="A732" i="8"/>
  <c r="A733" i="8"/>
  <c r="A734" i="8"/>
  <c r="A735" i="8"/>
  <c r="A736" i="8"/>
  <c r="A737" i="8"/>
  <c r="A738" i="8"/>
  <c r="A739" i="8"/>
  <c r="A740" i="8"/>
  <c r="A741" i="8"/>
  <c r="A742" i="8"/>
  <c r="A743" i="8"/>
  <c r="A744" i="8"/>
  <c r="A745" i="8"/>
  <c r="A746" i="8"/>
  <c r="A747" i="8"/>
  <c r="A748" i="8"/>
  <c r="A749" i="8"/>
  <c r="A750" i="8"/>
  <c r="A751" i="8"/>
  <c r="A752" i="8"/>
  <c r="A753" i="8"/>
  <c r="A754" i="8"/>
  <c r="A755" i="8"/>
  <c r="A756" i="8"/>
  <c r="A757" i="8"/>
  <c r="A758" i="8"/>
  <c r="A759" i="8"/>
  <c r="A760" i="8"/>
  <c r="A761" i="8"/>
  <c r="A762" i="8"/>
  <c r="A763" i="8"/>
  <c r="A764" i="8"/>
  <c r="A765" i="8"/>
  <c r="A766" i="8"/>
  <c r="A767" i="8"/>
  <c r="A768" i="8"/>
  <c r="A769" i="8"/>
  <c r="A770" i="8"/>
  <c r="A771" i="8"/>
  <c r="A772" i="8"/>
  <c r="A773" i="8"/>
  <c r="A774" i="8"/>
  <c r="A775" i="8"/>
  <c r="A776" i="8"/>
  <c r="A777" i="8"/>
  <c r="A778" i="8"/>
  <c r="A779" i="8"/>
  <c r="A780" i="8"/>
  <c r="A781" i="8"/>
  <c r="A782" i="8"/>
  <c r="A783" i="8"/>
  <c r="A784" i="8"/>
  <c r="A785" i="8"/>
  <c r="A786" i="8"/>
  <c r="A787" i="8"/>
  <c r="A788" i="8"/>
  <c r="A789" i="8"/>
  <c r="A790" i="8"/>
  <c r="A791" i="8"/>
  <c r="A792" i="8"/>
  <c r="A793" i="8"/>
  <c r="A794" i="8"/>
  <c r="A795" i="8"/>
  <c r="A796" i="8"/>
  <c r="A797" i="8"/>
  <c r="A798" i="8"/>
  <c r="A799" i="8"/>
  <c r="A800" i="8"/>
  <c r="A801" i="8"/>
  <c r="A802" i="8"/>
  <c r="A803" i="8"/>
  <c r="A804" i="8"/>
  <c r="A805" i="8"/>
  <c r="A806" i="8"/>
  <c r="A807" i="8"/>
  <c r="A808" i="8"/>
  <c r="A809" i="8"/>
  <c r="A810" i="8"/>
  <c r="A811" i="8"/>
  <c r="A812" i="8"/>
  <c r="A813" i="8"/>
  <c r="A814" i="8"/>
  <c r="A815" i="8"/>
  <c r="A816" i="8"/>
  <c r="A817" i="8"/>
  <c r="A818" i="8"/>
  <c r="A819" i="8"/>
  <c r="A820" i="8"/>
  <c r="A821" i="8"/>
  <c r="A822" i="8"/>
  <c r="A823" i="8"/>
  <c r="A824" i="8"/>
  <c r="A825" i="8"/>
  <c r="A826" i="8"/>
  <c r="A827" i="8"/>
  <c r="A828" i="8"/>
  <c r="A829" i="8"/>
  <c r="A830" i="8"/>
  <c r="A831" i="8"/>
  <c r="A832" i="8"/>
  <c r="A833" i="8"/>
  <c r="A834" i="8"/>
  <c r="A835" i="8"/>
  <c r="A836" i="8"/>
  <c r="A837" i="8"/>
  <c r="A838" i="8"/>
  <c r="A839" i="8"/>
  <c r="A840" i="8"/>
  <c r="A841" i="8"/>
  <c r="A842" i="8"/>
  <c r="A843" i="8"/>
  <c r="A844" i="8"/>
  <c r="A845" i="8"/>
  <c r="A846" i="8"/>
  <c r="A847" i="8"/>
  <c r="A848" i="8"/>
  <c r="A849" i="8"/>
  <c r="A850" i="8"/>
  <c r="A851" i="8"/>
  <c r="A852" i="8"/>
  <c r="A853" i="8"/>
  <c r="A854" i="8"/>
  <c r="A855" i="8"/>
  <c r="A856" i="8"/>
  <c r="A857" i="8"/>
  <c r="A858" i="8"/>
  <c r="A859" i="8"/>
  <c r="A860" i="8"/>
  <c r="A861" i="8"/>
  <c r="A862" i="8"/>
  <c r="A863" i="8"/>
  <c r="A864" i="8"/>
  <c r="A865" i="8"/>
  <c r="A866" i="8"/>
  <c r="A867" i="8"/>
  <c r="A868" i="8"/>
  <c r="A869" i="8"/>
  <c r="A870" i="8"/>
  <c r="A871" i="8"/>
  <c r="A872" i="8"/>
  <c r="A873" i="8"/>
  <c r="A874" i="8"/>
  <c r="A875" i="8"/>
  <c r="A876" i="8"/>
  <c r="A877" i="8"/>
  <c r="A878" i="8"/>
  <c r="A879" i="8"/>
  <c r="A880" i="8"/>
  <c r="A881" i="8"/>
  <c r="A882" i="8"/>
  <c r="A883" i="8"/>
  <c r="A884" i="8"/>
  <c r="A885" i="8"/>
  <c r="A886" i="8"/>
  <c r="A887" i="8"/>
  <c r="A888" i="8"/>
  <c r="A889" i="8"/>
  <c r="A890" i="8"/>
  <c r="A891" i="8"/>
  <c r="A892" i="8"/>
  <c r="A893" i="8"/>
  <c r="A894" i="8"/>
  <c r="A895" i="8"/>
  <c r="A896" i="8"/>
  <c r="A897" i="8"/>
  <c r="A898" i="8"/>
  <c r="A899" i="8"/>
  <c r="A900" i="8"/>
  <c r="A901" i="8"/>
  <c r="A902" i="8"/>
  <c r="A903" i="8"/>
  <c r="A904" i="8"/>
  <c r="A905" i="8"/>
  <c r="A906" i="8"/>
  <c r="A907" i="8"/>
  <c r="A908" i="8"/>
  <c r="A909" i="8"/>
  <c r="A910" i="8"/>
  <c r="A911" i="8"/>
  <c r="A912" i="8"/>
  <c r="A913" i="8"/>
  <c r="A914" i="8"/>
  <c r="A915" i="8"/>
  <c r="A916" i="8"/>
  <c r="A917" i="8"/>
  <c r="A918" i="8"/>
  <c r="A919" i="8"/>
  <c r="A920" i="8"/>
  <c r="A921" i="8"/>
  <c r="A922" i="8"/>
  <c r="A923" i="8"/>
  <c r="A924" i="8"/>
  <c r="A925" i="8"/>
  <c r="A926" i="8"/>
  <c r="A927" i="8"/>
  <c r="A928" i="8"/>
  <c r="A929" i="8"/>
  <c r="A930" i="8"/>
  <c r="A931" i="8"/>
  <c r="A932" i="8"/>
  <c r="A933" i="8"/>
  <c r="A934" i="8"/>
  <c r="A935" i="8"/>
  <c r="A936" i="8"/>
  <c r="A937" i="8"/>
  <c r="A938" i="8"/>
  <c r="A939" i="8"/>
  <c r="A940" i="8"/>
  <c r="A941" i="8"/>
  <c r="A942" i="8"/>
  <c r="A943" i="8"/>
  <c r="A944" i="8"/>
  <c r="A945" i="8"/>
  <c r="A946" i="8"/>
  <c r="A947" i="8"/>
  <c r="A948" i="8"/>
  <c r="A949" i="8"/>
  <c r="A950" i="8"/>
  <c r="A951" i="8"/>
  <c r="A952" i="8"/>
  <c r="A953" i="8"/>
  <c r="A954" i="8"/>
  <c r="A955" i="8"/>
  <c r="A956" i="8"/>
  <c r="A957" i="8"/>
  <c r="A958" i="8"/>
  <c r="A959" i="8"/>
  <c r="A960" i="8"/>
  <c r="A961" i="8"/>
  <c r="A962" i="8"/>
  <c r="A963" i="8"/>
  <c r="A964" i="8"/>
  <c r="A965" i="8"/>
  <c r="A966" i="8"/>
  <c r="A967" i="8"/>
  <c r="A968" i="8"/>
  <c r="A969" i="8"/>
  <c r="A970" i="8"/>
  <c r="A971" i="8"/>
  <c r="A972" i="8"/>
  <c r="A973" i="8"/>
  <c r="A974" i="8"/>
  <c r="A975" i="8"/>
  <c r="A976" i="8"/>
  <c r="A977" i="8"/>
  <c r="A978" i="8"/>
  <c r="A979" i="8"/>
  <c r="A980" i="8"/>
  <c r="A981" i="8"/>
  <c r="A982" i="8"/>
  <c r="A983" i="8"/>
  <c r="A984" i="8"/>
  <c r="A985" i="8"/>
  <c r="A986" i="8"/>
  <c r="A987" i="8"/>
  <c r="A988" i="8"/>
  <c r="A989" i="8"/>
  <c r="A990" i="8"/>
  <c r="A991" i="8"/>
  <c r="A992" i="8"/>
  <c r="A993" i="8"/>
  <c r="A994" i="8"/>
  <c r="A995" i="8"/>
  <c r="A996" i="8"/>
  <c r="A997" i="8"/>
  <c r="A998" i="8"/>
  <c r="A999" i="8"/>
  <c r="A1000" i="8"/>
  <c r="A1001" i="8"/>
  <c r="A1002" i="8"/>
  <c r="A1003" i="8"/>
  <c r="A1004" i="8"/>
  <c r="A1005" i="8"/>
  <c r="A1006" i="8"/>
  <c r="A1007" i="8"/>
  <c r="A1008" i="8"/>
  <c r="A1009" i="8"/>
  <c r="A1010" i="8"/>
  <c r="A1011" i="8"/>
  <c r="A1012" i="8"/>
  <c r="A1013" i="8"/>
  <c r="A1014" i="8"/>
  <c r="A1015" i="8"/>
  <c r="A1016" i="8"/>
  <c r="A1017" i="8"/>
  <c r="A1018" i="8"/>
  <c r="A1019" i="8"/>
  <c r="A1020" i="8"/>
  <c r="A1021" i="8"/>
  <c r="A1022" i="8"/>
  <c r="A1023" i="8"/>
  <c r="A1024" i="8"/>
  <c r="A1025" i="8"/>
  <c r="A1026" i="8"/>
  <c r="A1027" i="8"/>
  <c r="A1028" i="8"/>
  <c r="A1029" i="8"/>
  <c r="A1030" i="8"/>
  <c r="A1031" i="8"/>
  <c r="A1032" i="8"/>
  <c r="A1033" i="8"/>
  <c r="A1034" i="8"/>
  <c r="A1035" i="8"/>
  <c r="A1036" i="8"/>
  <c r="A1037" i="8"/>
  <c r="A1038" i="8"/>
  <c r="A1039" i="8"/>
  <c r="A1040" i="8"/>
  <c r="A1041" i="8"/>
  <c r="A1042" i="8"/>
  <c r="A1043" i="8"/>
  <c r="A1044" i="8"/>
  <c r="A1045" i="8"/>
  <c r="A1046" i="8"/>
  <c r="A1047" i="8"/>
  <c r="A1048" i="8"/>
  <c r="A1049" i="8"/>
  <c r="A1050" i="8"/>
  <c r="A1051" i="8"/>
  <c r="A1052" i="8"/>
  <c r="A1053" i="8"/>
  <c r="A1054" i="8"/>
  <c r="A1055" i="8"/>
  <c r="A1056" i="8"/>
  <c r="A1057" i="8"/>
  <c r="A1058" i="8"/>
  <c r="A1059" i="8"/>
  <c r="A1060" i="8"/>
  <c r="A1061" i="8"/>
  <c r="A1062" i="8"/>
  <c r="A1063" i="8"/>
  <c r="A1064" i="8"/>
  <c r="A1065" i="8"/>
  <c r="A1066" i="8"/>
  <c r="A1067" i="8"/>
  <c r="A1068" i="8"/>
  <c r="A1069" i="8"/>
  <c r="A1070" i="8"/>
  <c r="A1071" i="8"/>
  <c r="A1072" i="8"/>
  <c r="A1073" i="8"/>
  <c r="A1074" i="8"/>
  <c r="A1075" i="8"/>
  <c r="A1076" i="8"/>
  <c r="A1077" i="8"/>
  <c r="A1078" i="8"/>
  <c r="A1079" i="8"/>
  <c r="A1080" i="8"/>
  <c r="A1081" i="8"/>
  <c r="A1082" i="8"/>
  <c r="A1083" i="8"/>
  <c r="A1084" i="8"/>
  <c r="A1085" i="8"/>
  <c r="A1086" i="8"/>
  <c r="A1087" i="8"/>
  <c r="A1088" i="8"/>
  <c r="A1089" i="8"/>
  <c r="A1090" i="8"/>
  <c r="A1091" i="8"/>
  <c r="A1092" i="8"/>
  <c r="A1093" i="8"/>
  <c r="A1094" i="8"/>
  <c r="A1095" i="8"/>
  <c r="A1096" i="8"/>
  <c r="A1097" i="8"/>
  <c r="A1098" i="8"/>
  <c r="A1099" i="8"/>
  <c r="A1100" i="8"/>
  <c r="A1101" i="8"/>
  <c r="A1102" i="8"/>
  <c r="A1103" i="8"/>
  <c r="A1104" i="8"/>
  <c r="A1105" i="8"/>
  <c r="A1106" i="8"/>
  <c r="A1107" i="8"/>
  <c r="A1108" i="8"/>
  <c r="A1109" i="8"/>
  <c r="A1110" i="8"/>
  <c r="A1111" i="8"/>
  <c r="A1112" i="8"/>
  <c r="A1113" i="8"/>
  <c r="A1114" i="8"/>
  <c r="A1115" i="8"/>
  <c r="A1116" i="8"/>
  <c r="A1117" i="8"/>
  <c r="A1118" i="8"/>
  <c r="A1119" i="8"/>
  <c r="A1120" i="8"/>
  <c r="A1121" i="8"/>
  <c r="A1122" i="8"/>
  <c r="A1123" i="8"/>
  <c r="A1124" i="8"/>
  <c r="A1125" i="8"/>
  <c r="A1126" i="8"/>
  <c r="A1127" i="8"/>
  <c r="A1128" i="8"/>
  <c r="A1129" i="8"/>
  <c r="A1130" i="8"/>
  <c r="A1131" i="8"/>
  <c r="A1132" i="8"/>
  <c r="A1133" i="8"/>
  <c r="A1134" i="8"/>
  <c r="A1135" i="8"/>
  <c r="A1136" i="8"/>
  <c r="A1137" i="8"/>
  <c r="A1138" i="8"/>
  <c r="A1139" i="8"/>
  <c r="A1140" i="8"/>
  <c r="A1141" i="8"/>
  <c r="A1142" i="8"/>
  <c r="A1143" i="8"/>
  <c r="A1144" i="8"/>
  <c r="A1145" i="8"/>
  <c r="A1146" i="8"/>
  <c r="A1147" i="8"/>
  <c r="A1148" i="8"/>
  <c r="A1149" i="8"/>
  <c r="A1150" i="8"/>
  <c r="A1151" i="8"/>
  <c r="A1152" i="8"/>
  <c r="A1153" i="8"/>
  <c r="A1154" i="8"/>
  <c r="A1155" i="8"/>
  <c r="A1156" i="8"/>
  <c r="A1157" i="8"/>
  <c r="A1158" i="8"/>
  <c r="A1159" i="8"/>
  <c r="A1160" i="8"/>
  <c r="A1161" i="8"/>
  <c r="A1162" i="8"/>
  <c r="A1163" i="8"/>
  <c r="A1164" i="8"/>
  <c r="A1165" i="8"/>
  <c r="A1166" i="8"/>
  <c r="A1167" i="8"/>
  <c r="A1168" i="8"/>
  <c r="A1169" i="8"/>
  <c r="A1170" i="8"/>
  <c r="A1171" i="8"/>
  <c r="A1172" i="8"/>
  <c r="A1173" i="8"/>
  <c r="A1174" i="8"/>
  <c r="A1175" i="8"/>
  <c r="A1176" i="8"/>
  <c r="A1177" i="8"/>
  <c r="A1178" i="8"/>
  <c r="A1179" i="8"/>
  <c r="A1180" i="8"/>
  <c r="A1181" i="8"/>
  <c r="A1182" i="8"/>
  <c r="A1183" i="8"/>
  <c r="A1184" i="8"/>
  <c r="A1185" i="8"/>
  <c r="A1186" i="8"/>
  <c r="A1187" i="8"/>
  <c r="A1188" i="8"/>
  <c r="A1189" i="8"/>
  <c r="A1190" i="8"/>
  <c r="A1191" i="8"/>
  <c r="A1192" i="8"/>
  <c r="A1193" i="8"/>
  <c r="A1194" i="8"/>
  <c r="A1195" i="8"/>
  <c r="A1196" i="8"/>
  <c r="A1197" i="8"/>
  <c r="A1198" i="8"/>
  <c r="A1199" i="8"/>
  <c r="A1200" i="8"/>
  <c r="A1201" i="8"/>
  <c r="A1202" i="8"/>
  <c r="A1203" i="8"/>
  <c r="A1204" i="8"/>
  <c r="A1205" i="8"/>
  <c r="A1206" i="8"/>
  <c r="A1207" i="8"/>
  <c r="A1208" i="8"/>
  <c r="A1209" i="8"/>
  <c r="A1210" i="8"/>
  <c r="A1211" i="8"/>
  <c r="A1212" i="8"/>
  <c r="A1213" i="8"/>
  <c r="A1214" i="8"/>
  <c r="A1215" i="8"/>
  <c r="A1216" i="8"/>
  <c r="A1217" i="8"/>
  <c r="A1218" i="8"/>
  <c r="A1219" i="8"/>
  <c r="A1220" i="8"/>
  <c r="A1221" i="8"/>
  <c r="A1222" i="8"/>
  <c r="A1223" i="8"/>
  <c r="A1224" i="8"/>
  <c r="A1225" i="8"/>
  <c r="A1226" i="8"/>
  <c r="A1227" i="8"/>
  <c r="A1228" i="8"/>
  <c r="A1229" i="8"/>
  <c r="A1230" i="8"/>
  <c r="A1231" i="8"/>
  <c r="A1232" i="8"/>
  <c r="A1233" i="8"/>
  <c r="A1234" i="8"/>
  <c r="A1235" i="8"/>
  <c r="A1236" i="8"/>
  <c r="A1237" i="8"/>
  <c r="A1238" i="8"/>
  <c r="A1239" i="8"/>
  <c r="A1240" i="8"/>
  <c r="A1241" i="8"/>
  <c r="A1242" i="8"/>
  <c r="A1243" i="8"/>
  <c r="A1244" i="8"/>
  <c r="A1245" i="8"/>
  <c r="A1246" i="8"/>
  <c r="A1247" i="8"/>
  <c r="A1248" i="8"/>
  <c r="A1249" i="8"/>
  <c r="A1250" i="8"/>
  <c r="A1251" i="8"/>
  <c r="A1252" i="8"/>
  <c r="A1253" i="8"/>
  <c r="A1254" i="8"/>
  <c r="A1255" i="8"/>
  <c r="A1256" i="8"/>
  <c r="A1257" i="8"/>
  <c r="A1258" i="8"/>
  <c r="A1259" i="8"/>
  <c r="A1260" i="8"/>
  <c r="A1261" i="8"/>
  <c r="A1262" i="8"/>
  <c r="A1263" i="8"/>
  <c r="A1264" i="8"/>
  <c r="A1265" i="8"/>
  <c r="A1266" i="8"/>
  <c r="A1267" i="8"/>
  <c r="A1268" i="8"/>
  <c r="A1269" i="8"/>
  <c r="A1270" i="8"/>
  <c r="A1271" i="8"/>
  <c r="A1272" i="8"/>
  <c r="A1273" i="8"/>
  <c r="A1274" i="8"/>
  <c r="A1275" i="8"/>
  <c r="A1276" i="8"/>
  <c r="A1277" i="8"/>
  <c r="A1278" i="8"/>
  <c r="A1279" i="8"/>
  <c r="A1280" i="8"/>
  <c r="A1281" i="8"/>
  <c r="A1282" i="8"/>
  <c r="A1283" i="8"/>
  <c r="A1284" i="8"/>
  <c r="A1285" i="8"/>
  <c r="A1286" i="8"/>
  <c r="A1287" i="8"/>
  <c r="A1288" i="8"/>
  <c r="A1289" i="8"/>
  <c r="A1290" i="8"/>
  <c r="A1291" i="8"/>
  <c r="A1292" i="8"/>
  <c r="A1293" i="8"/>
  <c r="A1294" i="8"/>
  <c r="A1295" i="8"/>
  <c r="A1296" i="8"/>
  <c r="A1297" i="8"/>
  <c r="A1298" i="8"/>
  <c r="A1299" i="8"/>
  <c r="A1300" i="8"/>
  <c r="A1301" i="8"/>
  <c r="A1302" i="8"/>
  <c r="A1303" i="8"/>
  <c r="A1304" i="8"/>
  <c r="A1305" i="8"/>
  <c r="A1306" i="8"/>
  <c r="A1307" i="8"/>
  <c r="A1308" i="8"/>
  <c r="A1309" i="8"/>
  <c r="A1310" i="8"/>
  <c r="A1311" i="8"/>
  <c r="A1312" i="8"/>
  <c r="A1313" i="8"/>
  <c r="A1314" i="8"/>
  <c r="A1315" i="8"/>
  <c r="A1316" i="8"/>
  <c r="A1317" i="8"/>
  <c r="A1318" i="8"/>
  <c r="A1319" i="8"/>
  <c r="A1320" i="8"/>
  <c r="A1321" i="8"/>
  <c r="A1322" i="8"/>
  <c r="A1323" i="8"/>
  <c r="A1324" i="8"/>
  <c r="A1325" i="8"/>
  <c r="A1326" i="8"/>
  <c r="A1327" i="8"/>
  <c r="A1328" i="8"/>
  <c r="A1329" i="8"/>
  <c r="A1330" i="8"/>
  <c r="A1331" i="8"/>
  <c r="A1332" i="8"/>
  <c r="A1333" i="8"/>
  <c r="A1334" i="8"/>
  <c r="A1335" i="8"/>
  <c r="A1336" i="8"/>
  <c r="A1337" i="8"/>
  <c r="A1338" i="8"/>
  <c r="A1339" i="8"/>
  <c r="A1340" i="8"/>
  <c r="A1341" i="8"/>
  <c r="A1342" i="8"/>
  <c r="A1343" i="8"/>
  <c r="A1344" i="8"/>
  <c r="A1345" i="8"/>
  <c r="A1346" i="8"/>
  <c r="A1347" i="8"/>
  <c r="A1348" i="8"/>
  <c r="A1349" i="8"/>
  <c r="A1350" i="8"/>
  <c r="A1351" i="8"/>
  <c r="A1352" i="8"/>
  <c r="A1353" i="8"/>
  <c r="A1354" i="8"/>
  <c r="A1355" i="8"/>
  <c r="A1356" i="8"/>
  <c r="A1357" i="8"/>
  <c r="A1358" i="8"/>
  <c r="A1359" i="8"/>
  <c r="A1360" i="8"/>
  <c r="A1361" i="8"/>
  <c r="A1362" i="8"/>
  <c r="A1363" i="8"/>
  <c r="A1364" i="8"/>
  <c r="A1365" i="8"/>
  <c r="A1366" i="8"/>
  <c r="A1367" i="8"/>
  <c r="A1368" i="8"/>
  <c r="A1369" i="8"/>
  <c r="A1370" i="8"/>
  <c r="A1371" i="8"/>
  <c r="A1372" i="8"/>
  <c r="A1373" i="8"/>
  <c r="A1374" i="8"/>
  <c r="A1375" i="8"/>
  <c r="A1376" i="8"/>
  <c r="A1377" i="8"/>
  <c r="A1378" i="8"/>
  <c r="A1379" i="8"/>
  <c r="A1380" i="8"/>
  <c r="A1381" i="8"/>
  <c r="A1382" i="8"/>
  <c r="A1383" i="8"/>
  <c r="A1384" i="8"/>
  <c r="A1385" i="8"/>
  <c r="A1386" i="8"/>
  <c r="A1387" i="8"/>
  <c r="A1388" i="8"/>
  <c r="A1389" i="8"/>
  <c r="A1390" i="8"/>
  <c r="A1391" i="8"/>
  <c r="A1392" i="8"/>
  <c r="A1393" i="8"/>
  <c r="A1394" i="8"/>
  <c r="A1395" i="8"/>
  <c r="A1396" i="8"/>
  <c r="A1397" i="8"/>
  <c r="A1398" i="8"/>
  <c r="A1399" i="8"/>
  <c r="A1400" i="8"/>
  <c r="A1401" i="8"/>
  <c r="A1402" i="8"/>
  <c r="A1403" i="8"/>
  <c r="A1404" i="8"/>
  <c r="A1405" i="8"/>
  <c r="A1406" i="8"/>
  <c r="A1407" i="8"/>
  <c r="A1408" i="8"/>
  <c r="A1409" i="8"/>
  <c r="A1410" i="8"/>
  <c r="A1411" i="8"/>
  <c r="A1412" i="8"/>
  <c r="A1413" i="8"/>
  <c r="A1414" i="8"/>
  <c r="A1415" i="8"/>
  <c r="A1416" i="8"/>
  <c r="A1417" i="8"/>
  <c r="A1418" i="8"/>
  <c r="A1419" i="8"/>
  <c r="A1420" i="8"/>
  <c r="A1421" i="8"/>
  <c r="A1422" i="8"/>
  <c r="A1423" i="8"/>
  <c r="A1424" i="8"/>
  <c r="A1425" i="8"/>
  <c r="A1426" i="8"/>
  <c r="A1427" i="8"/>
  <c r="A1428" i="8"/>
  <c r="A1429" i="8"/>
  <c r="A1430" i="8"/>
  <c r="A1431" i="8"/>
  <c r="A1432" i="8"/>
  <c r="A1433" i="8"/>
  <c r="A1434" i="8"/>
  <c r="A1435" i="8"/>
  <c r="A1436" i="8"/>
  <c r="A1437" i="8"/>
  <c r="A1438" i="8"/>
  <c r="A1439" i="8"/>
  <c r="A1440" i="8"/>
  <c r="A1441" i="8"/>
  <c r="A1442" i="8"/>
  <c r="A1443" i="8"/>
  <c r="A1444" i="8"/>
  <c r="A1445" i="8"/>
  <c r="A1446" i="8"/>
  <c r="A1447" i="8"/>
  <c r="A1448" i="8"/>
  <c r="A1449" i="8"/>
  <c r="A1450" i="8"/>
  <c r="A1451" i="8"/>
  <c r="A1452" i="8"/>
  <c r="A1453" i="8"/>
  <c r="A1454" i="8"/>
  <c r="A1455" i="8"/>
  <c r="A1456" i="8"/>
  <c r="A1457" i="8"/>
  <c r="A1458" i="8"/>
  <c r="A1459" i="8"/>
  <c r="A1460" i="8"/>
  <c r="A1461" i="8"/>
  <c r="A1462" i="8"/>
  <c r="A1463" i="8"/>
  <c r="A1464" i="8"/>
  <c r="A1465" i="8"/>
  <c r="A1466" i="8"/>
  <c r="A1467" i="8"/>
  <c r="A1468" i="8"/>
  <c r="A1469" i="8"/>
  <c r="A1470" i="8"/>
  <c r="A1471" i="8"/>
  <c r="A1472" i="8"/>
  <c r="A1473" i="8"/>
  <c r="A1474" i="8"/>
  <c r="A1475" i="8"/>
  <c r="A1476" i="8"/>
  <c r="A1477" i="8"/>
  <c r="A1478" i="8"/>
  <c r="A1479" i="8"/>
  <c r="A1480" i="8"/>
  <c r="A1481" i="8"/>
  <c r="A1482" i="8"/>
  <c r="A1483" i="8"/>
  <c r="A1484" i="8"/>
  <c r="A1485" i="8"/>
  <c r="A1486" i="8"/>
  <c r="A1487" i="8"/>
  <c r="A1488" i="8"/>
  <c r="A1489" i="8"/>
  <c r="A1490" i="8"/>
  <c r="A1491" i="8"/>
  <c r="A1492" i="8"/>
  <c r="A1493" i="8"/>
  <c r="A1494" i="8"/>
  <c r="A1495" i="8"/>
  <c r="A1496" i="8"/>
  <c r="A2" i="8"/>
  <c r="A3" i="8" s="1"/>
  <c r="D3" i="7"/>
  <c r="C3" i="7"/>
  <c r="D4" i="7"/>
  <c r="O22" i="2" s="1"/>
  <c r="Q21" i="2" s="1"/>
  <c r="Q30" i="2" s="1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1489" i="7"/>
  <c r="D1490" i="7"/>
  <c r="D1491" i="7"/>
  <c r="D1492" i="7"/>
  <c r="D1493" i="7"/>
  <c r="D1494" i="7"/>
  <c r="D1495" i="7"/>
  <c r="D1496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87" i="7"/>
  <c r="C888" i="7"/>
  <c r="C889" i="7"/>
  <c r="C890" i="7"/>
  <c r="C891" i="7"/>
  <c r="C892" i="7"/>
  <c r="C893" i="7"/>
  <c r="C894" i="7"/>
  <c r="C895" i="7"/>
  <c r="C896" i="7"/>
  <c r="C897" i="7"/>
  <c r="C898" i="7"/>
  <c r="C899" i="7"/>
  <c r="C900" i="7"/>
  <c r="C901" i="7"/>
  <c r="C902" i="7"/>
  <c r="C903" i="7"/>
  <c r="C904" i="7"/>
  <c r="C905" i="7"/>
  <c r="C906" i="7"/>
  <c r="C907" i="7"/>
  <c r="C908" i="7"/>
  <c r="C909" i="7"/>
  <c r="C910" i="7"/>
  <c r="C911" i="7"/>
  <c r="C912" i="7"/>
  <c r="C913" i="7"/>
  <c r="C914" i="7"/>
  <c r="C915" i="7"/>
  <c r="C916" i="7"/>
  <c r="C917" i="7"/>
  <c r="C918" i="7"/>
  <c r="C919" i="7"/>
  <c r="C920" i="7"/>
  <c r="C921" i="7"/>
  <c r="C922" i="7"/>
  <c r="C923" i="7"/>
  <c r="C924" i="7"/>
  <c r="C925" i="7"/>
  <c r="C926" i="7"/>
  <c r="C927" i="7"/>
  <c r="C928" i="7"/>
  <c r="C929" i="7"/>
  <c r="C930" i="7"/>
  <c r="C931" i="7"/>
  <c r="C932" i="7"/>
  <c r="C933" i="7"/>
  <c r="C934" i="7"/>
  <c r="C935" i="7"/>
  <c r="C936" i="7"/>
  <c r="C937" i="7"/>
  <c r="C938" i="7"/>
  <c r="C939" i="7"/>
  <c r="C940" i="7"/>
  <c r="C941" i="7"/>
  <c r="C942" i="7"/>
  <c r="C943" i="7"/>
  <c r="C944" i="7"/>
  <c r="C945" i="7"/>
  <c r="C946" i="7"/>
  <c r="C947" i="7"/>
  <c r="C948" i="7"/>
  <c r="C949" i="7"/>
  <c r="C950" i="7"/>
  <c r="C951" i="7"/>
  <c r="C952" i="7"/>
  <c r="C953" i="7"/>
  <c r="C954" i="7"/>
  <c r="C955" i="7"/>
  <c r="C956" i="7"/>
  <c r="C957" i="7"/>
  <c r="C958" i="7"/>
  <c r="C959" i="7"/>
  <c r="C960" i="7"/>
  <c r="C961" i="7"/>
  <c r="C962" i="7"/>
  <c r="C963" i="7"/>
  <c r="C964" i="7"/>
  <c r="C965" i="7"/>
  <c r="C966" i="7"/>
  <c r="C967" i="7"/>
  <c r="C968" i="7"/>
  <c r="C969" i="7"/>
  <c r="C970" i="7"/>
  <c r="C971" i="7"/>
  <c r="C972" i="7"/>
  <c r="C973" i="7"/>
  <c r="C974" i="7"/>
  <c r="C975" i="7"/>
  <c r="C976" i="7"/>
  <c r="C977" i="7"/>
  <c r="C978" i="7"/>
  <c r="C979" i="7"/>
  <c r="C980" i="7"/>
  <c r="C981" i="7"/>
  <c r="C982" i="7"/>
  <c r="C983" i="7"/>
  <c r="C984" i="7"/>
  <c r="C985" i="7"/>
  <c r="C986" i="7"/>
  <c r="C987" i="7"/>
  <c r="C988" i="7"/>
  <c r="C989" i="7"/>
  <c r="C990" i="7"/>
  <c r="C991" i="7"/>
  <c r="C992" i="7"/>
  <c r="C993" i="7"/>
  <c r="C994" i="7"/>
  <c r="C995" i="7"/>
  <c r="C996" i="7"/>
  <c r="C997" i="7"/>
  <c r="C998" i="7"/>
  <c r="C999" i="7"/>
  <c r="C1000" i="7"/>
  <c r="C1001" i="7"/>
  <c r="C1002" i="7"/>
  <c r="C1003" i="7"/>
  <c r="C1004" i="7"/>
  <c r="C1005" i="7"/>
  <c r="C1006" i="7"/>
  <c r="C1007" i="7"/>
  <c r="C1008" i="7"/>
  <c r="C1009" i="7"/>
  <c r="C1010" i="7"/>
  <c r="C1011" i="7"/>
  <c r="C1012" i="7"/>
  <c r="C1013" i="7"/>
  <c r="C1014" i="7"/>
  <c r="C1015" i="7"/>
  <c r="C1016" i="7"/>
  <c r="C1017" i="7"/>
  <c r="C1018" i="7"/>
  <c r="C1019" i="7"/>
  <c r="C1020" i="7"/>
  <c r="C1021" i="7"/>
  <c r="C1022" i="7"/>
  <c r="C1023" i="7"/>
  <c r="C1024" i="7"/>
  <c r="C1025" i="7"/>
  <c r="C1026" i="7"/>
  <c r="C1027" i="7"/>
  <c r="C1028" i="7"/>
  <c r="C1029" i="7"/>
  <c r="C1030" i="7"/>
  <c r="C1031" i="7"/>
  <c r="C1032" i="7"/>
  <c r="C1033" i="7"/>
  <c r="C1034" i="7"/>
  <c r="C1035" i="7"/>
  <c r="C1036" i="7"/>
  <c r="C1037" i="7"/>
  <c r="C1038" i="7"/>
  <c r="C1039" i="7"/>
  <c r="C1040" i="7"/>
  <c r="C1041" i="7"/>
  <c r="C1042" i="7"/>
  <c r="C1043" i="7"/>
  <c r="C1044" i="7"/>
  <c r="C1045" i="7"/>
  <c r="C1046" i="7"/>
  <c r="C1047" i="7"/>
  <c r="C1048" i="7"/>
  <c r="C1049" i="7"/>
  <c r="C1050" i="7"/>
  <c r="C1051" i="7"/>
  <c r="C1052" i="7"/>
  <c r="C1053" i="7"/>
  <c r="C1054" i="7"/>
  <c r="C1055" i="7"/>
  <c r="C1056" i="7"/>
  <c r="C1057" i="7"/>
  <c r="C1058" i="7"/>
  <c r="C1059" i="7"/>
  <c r="C1060" i="7"/>
  <c r="C1061" i="7"/>
  <c r="C1062" i="7"/>
  <c r="C1063" i="7"/>
  <c r="C1064" i="7"/>
  <c r="C1065" i="7"/>
  <c r="C1066" i="7"/>
  <c r="C1067" i="7"/>
  <c r="C1068" i="7"/>
  <c r="C1069" i="7"/>
  <c r="C1070" i="7"/>
  <c r="C1071" i="7"/>
  <c r="C1072" i="7"/>
  <c r="C1073" i="7"/>
  <c r="C1074" i="7"/>
  <c r="C1075" i="7"/>
  <c r="C1076" i="7"/>
  <c r="C1077" i="7"/>
  <c r="C1078" i="7"/>
  <c r="C1079" i="7"/>
  <c r="C1080" i="7"/>
  <c r="C1081" i="7"/>
  <c r="C1082" i="7"/>
  <c r="C1083" i="7"/>
  <c r="C1084" i="7"/>
  <c r="C1085" i="7"/>
  <c r="C1086" i="7"/>
  <c r="C1087" i="7"/>
  <c r="C1088" i="7"/>
  <c r="C1089" i="7"/>
  <c r="C1090" i="7"/>
  <c r="C1091" i="7"/>
  <c r="C1092" i="7"/>
  <c r="C1093" i="7"/>
  <c r="C1094" i="7"/>
  <c r="C1095" i="7"/>
  <c r="C1096" i="7"/>
  <c r="C1097" i="7"/>
  <c r="C1098" i="7"/>
  <c r="C1099" i="7"/>
  <c r="C1100" i="7"/>
  <c r="C1101" i="7"/>
  <c r="C1102" i="7"/>
  <c r="C1103" i="7"/>
  <c r="C1104" i="7"/>
  <c r="C1105" i="7"/>
  <c r="C1106" i="7"/>
  <c r="C1107" i="7"/>
  <c r="C1108" i="7"/>
  <c r="C1109" i="7"/>
  <c r="C1110" i="7"/>
  <c r="C1111" i="7"/>
  <c r="C1112" i="7"/>
  <c r="C1113" i="7"/>
  <c r="C1114" i="7"/>
  <c r="C1115" i="7"/>
  <c r="C1116" i="7"/>
  <c r="C1117" i="7"/>
  <c r="C1118" i="7"/>
  <c r="C1119" i="7"/>
  <c r="C1120" i="7"/>
  <c r="C1121" i="7"/>
  <c r="C1122" i="7"/>
  <c r="C1123" i="7"/>
  <c r="C1124" i="7"/>
  <c r="C1125" i="7"/>
  <c r="C1126" i="7"/>
  <c r="C1127" i="7"/>
  <c r="C1128" i="7"/>
  <c r="C1129" i="7"/>
  <c r="C1130" i="7"/>
  <c r="C1131" i="7"/>
  <c r="C1132" i="7"/>
  <c r="C1133" i="7"/>
  <c r="C1134" i="7"/>
  <c r="C1135" i="7"/>
  <c r="C1136" i="7"/>
  <c r="C1137" i="7"/>
  <c r="C1138" i="7"/>
  <c r="C1139" i="7"/>
  <c r="C1140" i="7"/>
  <c r="C1141" i="7"/>
  <c r="C1142" i="7"/>
  <c r="C1143" i="7"/>
  <c r="C1144" i="7"/>
  <c r="C1145" i="7"/>
  <c r="C1146" i="7"/>
  <c r="C1147" i="7"/>
  <c r="C1148" i="7"/>
  <c r="C1149" i="7"/>
  <c r="C1150" i="7"/>
  <c r="C1151" i="7"/>
  <c r="C1152" i="7"/>
  <c r="C1153" i="7"/>
  <c r="C1154" i="7"/>
  <c r="C1155" i="7"/>
  <c r="C1156" i="7"/>
  <c r="C1157" i="7"/>
  <c r="C1158" i="7"/>
  <c r="C1159" i="7"/>
  <c r="C1160" i="7"/>
  <c r="C1161" i="7"/>
  <c r="C1162" i="7"/>
  <c r="C1163" i="7"/>
  <c r="C1164" i="7"/>
  <c r="C1165" i="7"/>
  <c r="C1166" i="7"/>
  <c r="C1167" i="7"/>
  <c r="C1168" i="7"/>
  <c r="C1169" i="7"/>
  <c r="C1170" i="7"/>
  <c r="C1171" i="7"/>
  <c r="C1172" i="7"/>
  <c r="C1173" i="7"/>
  <c r="C1174" i="7"/>
  <c r="C1175" i="7"/>
  <c r="C1176" i="7"/>
  <c r="C1177" i="7"/>
  <c r="C1178" i="7"/>
  <c r="C1179" i="7"/>
  <c r="C1180" i="7"/>
  <c r="C1181" i="7"/>
  <c r="C1182" i="7"/>
  <c r="C1183" i="7"/>
  <c r="C1184" i="7"/>
  <c r="C1185" i="7"/>
  <c r="C1186" i="7"/>
  <c r="C1187" i="7"/>
  <c r="C1188" i="7"/>
  <c r="C1189" i="7"/>
  <c r="C1190" i="7"/>
  <c r="C1191" i="7"/>
  <c r="C1192" i="7"/>
  <c r="C1193" i="7"/>
  <c r="C1194" i="7"/>
  <c r="C1195" i="7"/>
  <c r="C1196" i="7"/>
  <c r="C1197" i="7"/>
  <c r="C1198" i="7"/>
  <c r="C1199" i="7"/>
  <c r="C1200" i="7"/>
  <c r="C1201" i="7"/>
  <c r="C1202" i="7"/>
  <c r="C1203" i="7"/>
  <c r="C1204" i="7"/>
  <c r="C1205" i="7"/>
  <c r="C1206" i="7"/>
  <c r="C1207" i="7"/>
  <c r="C1208" i="7"/>
  <c r="C1209" i="7"/>
  <c r="C1210" i="7"/>
  <c r="C1211" i="7"/>
  <c r="C1212" i="7"/>
  <c r="C1213" i="7"/>
  <c r="C1214" i="7"/>
  <c r="C1215" i="7"/>
  <c r="C1216" i="7"/>
  <c r="C1217" i="7"/>
  <c r="C1218" i="7"/>
  <c r="C1219" i="7"/>
  <c r="C1220" i="7"/>
  <c r="C1221" i="7"/>
  <c r="C1222" i="7"/>
  <c r="C1223" i="7"/>
  <c r="C1224" i="7"/>
  <c r="C1225" i="7"/>
  <c r="C1226" i="7"/>
  <c r="C1227" i="7"/>
  <c r="C1228" i="7"/>
  <c r="C1229" i="7"/>
  <c r="C1230" i="7"/>
  <c r="C1231" i="7"/>
  <c r="C1232" i="7"/>
  <c r="C1233" i="7"/>
  <c r="C1234" i="7"/>
  <c r="C1235" i="7"/>
  <c r="C1236" i="7"/>
  <c r="C1237" i="7"/>
  <c r="C1238" i="7"/>
  <c r="C1239" i="7"/>
  <c r="C1240" i="7"/>
  <c r="C1241" i="7"/>
  <c r="C1242" i="7"/>
  <c r="C1243" i="7"/>
  <c r="C1244" i="7"/>
  <c r="C1245" i="7"/>
  <c r="C1246" i="7"/>
  <c r="C1247" i="7"/>
  <c r="C1248" i="7"/>
  <c r="C1249" i="7"/>
  <c r="C1250" i="7"/>
  <c r="C1251" i="7"/>
  <c r="C1252" i="7"/>
  <c r="C1253" i="7"/>
  <c r="C1254" i="7"/>
  <c r="C1255" i="7"/>
  <c r="C1256" i="7"/>
  <c r="C1257" i="7"/>
  <c r="C1258" i="7"/>
  <c r="C1259" i="7"/>
  <c r="C1260" i="7"/>
  <c r="C1261" i="7"/>
  <c r="C1262" i="7"/>
  <c r="C1263" i="7"/>
  <c r="C1264" i="7"/>
  <c r="C1265" i="7"/>
  <c r="C1266" i="7"/>
  <c r="C1267" i="7"/>
  <c r="C1268" i="7"/>
  <c r="C1269" i="7"/>
  <c r="C1270" i="7"/>
  <c r="C1271" i="7"/>
  <c r="C1272" i="7"/>
  <c r="C1273" i="7"/>
  <c r="C1274" i="7"/>
  <c r="C1275" i="7"/>
  <c r="C1276" i="7"/>
  <c r="C1277" i="7"/>
  <c r="C1278" i="7"/>
  <c r="C1279" i="7"/>
  <c r="C1280" i="7"/>
  <c r="C1281" i="7"/>
  <c r="C1282" i="7"/>
  <c r="C1283" i="7"/>
  <c r="C1284" i="7"/>
  <c r="C1285" i="7"/>
  <c r="C1286" i="7"/>
  <c r="C1287" i="7"/>
  <c r="C1288" i="7"/>
  <c r="C1289" i="7"/>
  <c r="C1290" i="7"/>
  <c r="C1291" i="7"/>
  <c r="C1292" i="7"/>
  <c r="C1293" i="7"/>
  <c r="C1294" i="7"/>
  <c r="C1295" i="7"/>
  <c r="C1296" i="7"/>
  <c r="C1297" i="7"/>
  <c r="C1298" i="7"/>
  <c r="C1299" i="7"/>
  <c r="C1300" i="7"/>
  <c r="C1301" i="7"/>
  <c r="C1302" i="7"/>
  <c r="C1303" i="7"/>
  <c r="C1304" i="7"/>
  <c r="C1305" i="7"/>
  <c r="C1306" i="7"/>
  <c r="C1307" i="7"/>
  <c r="C1308" i="7"/>
  <c r="C1309" i="7"/>
  <c r="C1310" i="7"/>
  <c r="C1311" i="7"/>
  <c r="C1312" i="7"/>
  <c r="C1313" i="7"/>
  <c r="C1314" i="7"/>
  <c r="C1315" i="7"/>
  <c r="C1316" i="7"/>
  <c r="C1317" i="7"/>
  <c r="C1318" i="7"/>
  <c r="C1319" i="7"/>
  <c r="C1320" i="7"/>
  <c r="C1321" i="7"/>
  <c r="C1322" i="7"/>
  <c r="C1323" i="7"/>
  <c r="C1324" i="7"/>
  <c r="C1325" i="7"/>
  <c r="C1326" i="7"/>
  <c r="C1327" i="7"/>
  <c r="C1328" i="7"/>
  <c r="C1329" i="7"/>
  <c r="C1330" i="7"/>
  <c r="C1331" i="7"/>
  <c r="C1332" i="7"/>
  <c r="C1333" i="7"/>
  <c r="C1334" i="7"/>
  <c r="C1335" i="7"/>
  <c r="C1336" i="7"/>
  <c r="C1337" i="7"/>
  <c r="C1338" i="7"/>
  <c r="C1339" i="7"/>
  <c r="C1340" i="7"/>
  <c r="C1341" i="7"/>
  <c r="C1342" i="7"/>
  <c r="C1343" i="7"/>
  <c r="C1344" i="7"/>
  <c r="C1345" i="7"/>
  <c r="C1346" i="7"/>
  <c r="C1347" i="7"/>
  <c r="C1348" i="7"/>
  <c r="C1349" i="7"/>
  <c r="C1350" i="7"/>
  <c r="C1351" i="7"/>
  <c r="C1352" i="7"/>
  <c r="C1353" i="7"/>
  <c r="C1354" i="7"/>
  <c r="C1355" i="7"/>
  <c r="C1356" i="7"/>
  <c r="C1357" i="7"/>
  <c r="C1358" i="7"/>
  <c r="C1359" i="7"/>
  <c r="C1360" i="7"/>
  <c r="C1361" i="7"/>
  <c r="C1362" i="7"/>
  <c r="C1363" i="7"/>
  <c r="C1364" i="7"/>
  <c r="C1365" i="7"/>
  <c r="C1366" i="7"/>
  <c r="C1367" i="7"/>
  <c r="C1368" i="7"/>
  <c r="C1369" i="7"/>
  <c r="C1370" i="7"/>
  <c r="C1371" i="7"/>
  <c r="C1372" i="7"/>
  <c r="C1373" i="7"/>
  <c r="C1374" i="7"/>
  <c r="C1375" i="7"/>
  <c r="C1376" i="7"/>
  <c r="C1377" i="7"/>
  <c r="C1378" i="7"/>
  <c r="C1379" i="7"/>
  <c r="C1380" i="7"/>
  <c r="C1381" i="7"/>
  <c r="C1382" i="7"/>
  <c r="C1383" i="7"/>
  <c r="C1384" i="7"/>
  <c r="C1385" i="7"/>
  <c r="C1386" i="7"/>
  <c r="C1387" i="7"/>
  <c r="C1388" i="7"/>
  <c r="C1389" i="7"/>
  <c r="C1390" i="7"/>
  <c r="C1391" i="7"/>
  <c r="C1392" i="7"/>
  <c r="C1393" i="7"/>
  <c r="C1394" i="7"/>
  <c r="C1395" i="7"/>
  <c r="C1396" i="7"/>
  <c r="C1397" i="7"/>
  <c r="C1398" i="7"/>
  <c r="C1399" i="7"/>
  <c r="C1400" i="7"/>
  <c r="C1401" i="7"/>
  <c r="C1402" i="7"/>
  <c r="C1403" i="7"/>
  <c r="C1404" i="7"/>
  <c r="C1405" i="7"/>
  <c r="C1406" i="7"/>
  <c r="C1407" i="7"/>
  <c r="C1408" i="7"/>
  <c r="C1409" i="7"/>
  <c r="C1410" i="7"/>
  <c r="C1411" i="7"/>
  <c r="C1412" i="7"/>
  <c r="C1413" i="7"/>
  <c r="C1414" i="7"/>
  <c r="C1415" i="7"/>
  <c r="C1416" i="7"/>
  <c r="C1417" i="7"/>
  <c r="C1418" i="7"/>
  <c r="C1419" i="7"/>
  <c r="C1420" i="7"/>
  <c r="C1421" i="7"/>
  <c r="C1422" i="7"/>
  <c r="C1423" i="7"/>
  <c r="C1424" i="7"/>
  <c r="C1425" i="7"/>
  <c r="C1426" i="7"/>
  <c r="C1427" i="7"/>
  <c r="C1428" i="7"/>
  <c r="C1429" i="7"/>
  <c r="C1430" i="7"/>
  <c r="C1431" i="7"/>
  <c r="C1432" i="7"/>
  <c r="C1433" i="7"/>
  <c r="C1434" i="7"/>
  <c r="C1435" i="7"/>
  <c r="C1436" i="7"/>
  <c r="C1437" i="7"/>
  <c r="C1438" i="7"/>
  <c r="C1439" i="7"/>
  <c r="C1440" i="7"/>
  <c r="C1441" i="7"/>
  <c r="C1442" i="7"/>
  <c r="C1443" i="7"/>
  <c r="C1444" i="7"/>
  <c r="C1445" i="7"/>
  <c r="C1446" i="7"/>
  <c r="C1447" i="7"/>
  <c r="C1448" i="7"/>
  <c r="C1449" i="7"/>
  <c r="C1450" i="7"/>
  <c r="C1451" i="7"/>
  <c r="C1452" i="7"/>
  <c r="C1453" i="7"/>
  <c r="C1454" i="7"/>
  <c r="C1455" i="7"/>
  <c r="C1456" i="7"/>
  <c r="C1457" i="7"/>
  <c r="C1458" i="7"/>
  <c r="C1459" i="7"/>
  <c r="C1460" i="7"/>
  <c r="C1461" i="7"/>
  <c r="C1462" i="7"/>
  <c r="C1463" i="7"/>
  <c r="C1464" i="7"/>
  <c r="C1465" i="7"/>
  <c r="C1466" i="7"/>
  <c r="C1467" i="7"/>
  <c r="C1468" i="7"/>
  <c r="C1469" i="7"/>
  <c r="C1470" i="7"/>
  <c r="C1471" i="7"/>
  <c r="C1472" i="7"/>
  <c r="C1473" i="7"/>
  <c r="C1474" i="7"/>
  <c r="C1475" i="7"/>
  <c r="C1476" i="7"/>
  <c r="C1477" i="7"/>
  <c r="C1478" i="7"/>
  <c r="C1479" i="7"/>
  <c r="C1480" i="7"/>
  <c r="C1481" i="7"/>
  <c r="C1482" i="7"/>
  <c r="C1483" i="7"/>
  <c r="C1484" i="7"/>
  <c r="C1485" i="7"/>
  <c r="C1486" i="7"/>
  <c r="C1487" i="7"/>
  <c r="C1488" i="7"/>
  <c r="C1489" i="7"/>
  <c r="C1490" i="7"/>
  <c r="C1491" i="7"/>
  <c r="C1492" i="7"/>
  <c r="C1493" i="7"/>
  <c r="C1494" i="7"/>
  <c r="C1495" i="7"/>
  <c r="C1496" i="7"/>
  <c r="O3" i="7"/>
  <c r="O4" i="7"/>
  <c r="M4" i="7" s="1"/>
  <c r="O5" i="7"/>
  <c r="M5" i="7" s="1"/>
  <c r="O6" i="7"/>
  <c r="M6" i="7" s="1"/>
  <c r="O7" i="7"/>
  <c r="M7" i="7" s="1"/>
  <c r="O8" i="7"/>
  <c r="M8" i="7" s="1"/>
  <c r="O9" i="7"/>
  <c r="M9" i="7" s="1"/>
  <c r="O10" i="7"/>
  <c r="M10" i="7" s="1"/>
  <c r="O11" i="7"/>
  <c r="M11" i="7" s="1"/>
  <c r="O12" i="7"/>
  <c r="M12" i="7" s="1"/>
  <c r="O13" i="7"/>
  <c r="M13" i="7" s="1"/>
  <c r="O14" i="7"/>
  <c r="M14" i="7" s="1"/>
  <c r="O15" i="7"/>
  <c r="M15" i="7" s="1"/>
  <c r="O16" i="7"/>
  <c r="M16" i="7" s="1"/>
  <c r="O17" i="7"/>
  <c r="M17" i="7" s="1"/>
  <c r="O18" i="7"/>
  <c r="M18" i="7" s="1"/>
  <c r="O19" i="7"/>
  <c r="M19" i="7" s="1"/>
  <c r="O20" i="7"/>
  <c r="M20" i="7" s="1"/>
  <c r="O21" i="7"/>
  <c r="M21" i="7" s="1"/>
  <c r="O22" i="7"/>
  <c r="M22" i="7" s="1"/>
  <c r="O23" i="7"/>
  <c r="M23" i="7" s="1"/>
  <c r="O24" i="7"/>
  <c r="M24" i="7" s="1"/>
  <c r="O25" i="7"/>
  <c r="M25" i="7" s="1"/>
  <c r="O26" i="7"/>
  <c r="M26" i="7" s="1"/>
  <c r="O27" i="7"/>
  <c r="M27" i="7" s="1"/>
  <c r="O28" i="7"/>
  <c r="M28" i="7" s="1"/>
  <c r="O29" i="7"/>
  <c r="M29" i="7" s="1"/>
  <c r="O30" i="7"/>
  <c r="M30" i="7" s="1"/>
  <c r="O31" i="7"/>
  <c r="M31" i="7" s="1"/>
  <c r="O32" i="7"/>
  <c r="M32" i="7" s="1"/>
  <c r="O33" i="7"/>
  <c r="M33" i="7" s="1"/>
  <c r="O34" i="7"/>
  <c r="M34" i="7" s="1"/>
  <c r="O35" i="7"/>
  <c r="M35" i="7" s="1"/>
  <c r="O36" i="7"/>
  <c r="M36" i="7" s="1"/>
  <c r="O37" i="7"/>
  <c r="M37" i="7" s="1"/>
  <c r="O38" i="7"/>
  <c r="M38" i="7" s="1"/>
  <c r="O39" i="7"/>
  <c r="M39" i="7" s="1"/>
  <c r="O40" i="7"/>
  <c r="M40" i="7" s="1"/>
  <c r="O41" i="7"/>
  <c r="M41" i="7" s="1"/>
  <c r="O42" i="7"/>
  <c r="M42" i="7" s="1"/>
  <c r="O43" i="7"/>
  <c r="M43" i="7" s="1"/>
  <c r="O44" i="7"/>
  <c r="M44" i="7" s="1"/>
  <c r="O45" i="7"/>
  <c r="M45" i="7" s="1"/>
  <c r="O46" i="7"/>
  <c r="M46" i="7" s="1"/>
  <c r="O47" i="7"/>
  <c r="M47" i="7" s="1"/>
  <c r="O48" i="7"/>
  <c r="M48" i="7" s="1"/>
  <c r="O49" i="7"/>
  <c r="M49" i="7" s="1"/>
  <c r="O50" i="7"/>
  <c r="M50" i="7" s="1"/>
  <c r="O51" i="7"/>
  <c r="M51" i="7" s="1"/>
  <c r="O52" i="7"/>
  <c r="M52" i="7" s="1"/>
  <c r="O53" i="7"/>
  <c r="M53" i="7" s="1"/>
  <c r="O54" i="7"/>
  <c r="M54" i="7" s="1"/>
  <c r="O55" i="7"/>
  <c r="M55" i="7" s="1"/>
  <c r="O56" i="7"/>
  <c r="M56" i="7" s="1"/>
  <c r="O57" i="7"/>
  <c r="M57" i="7" s="1"/>
  <c r="O58" i="7"/>
  <c r="M58" i="7" s="1"/>
  <c r="O59" i="7"/>
  <c r="M59" i="7" s="1"/>
  <c r="O60" i="7"/>
  <c r="M60" i="7" s="1"/>
  <c r="O61" i="7"/>
  <c r="M61" i="7" s="1"/>
  <c r="O62" i="7"/>
  <c r="M62" i="7" s="1"/>
  <c r="O63" i="7"/>
  <c r="M63" i="7" s="1"/>
  <c r="O64" i="7"/>
  <c r="M64" i="7" s="1"/>
  <c r="O65" i="7"/>
  <c r="M65" i="7" s="1"/>
  <c r="O66" i="7"/>
  <c r="M66" i="7" s="1"/>
  <c r="O67" i="7"/>
  <c r="M67" i="7" s="1"/>
  <c r="O68" i="7"/>
  <c r="M68" i="7" s="1"/>
  <c r="O69" i="7"/>
  <c r="M69" i="7" s="1"/>
  <c r="O70" i="7"/>
  <c r="M70" i="7" s="1"/>
  <c r="O71" i="7"/>
  <c r="M71" i="7" s="1"/>
  <c r="O72" i="7"/>
  <c r="M72" i="7" s="1"/>
  <c r="O73" i="7"/>
  <c r="M73" i="7" s="1"/>
  <c r="O74" i="7"/>
  <c r="M74" i="7" s="1"/>
  <c r="O75" i="7"/>
  <c r="M75" i="7" s="1"/>
  <c r="O76" i="7"/>
  <c r="M76" i="7" s="1"/>
  <c r="O77" i="7"/>
  <c r="M77" i="7" s="1"/>
  <c r="O78" i="7"/>
  <c r="M78" i="7" s="1"/>
  <c r="O79" i="7"/>
  <c r="M79" i="7" s="1"/>
  <c r="O80" i="7"/>
  <c r="M80" i="7" s="1"/>
  <c r="O81" i="7"/>
  <c r="M81" i="7" s="1"/>
  <c r="O82" i="7"/>
  <c r="M82" i="7" s="1"/>
  <c r="O83" i="7"/>
  <c r="M83" i="7" s="1"/>
  <c r="O84" i="7"/>
  <c r="M84" i="7" s="1"/>
  <c r="O85" i="7"/>
  <c r="M85" i="7" s="1"/>
  <c r="O86" i="7"/>
  <c r="M86" i="7" s="1"/>
  <c r="O87" i="7"/>
  <c r="M87" i="7" s="1"/>
  <c r="O88" i="7"/>
  <c r="M88" i="7" s="1"/>
  <c r="O89" i="7"/>
  <c r="M89" i="7" s="1"/>
  <c r="O90" i="7"/>
  <c r="M90" i="7" s="1"/>
  <c r="O91" i="7"/>
  <c r="M91" i="7" s="1"/>
  <c r="O92" i="7"/>
  <c r="M92" i="7" s="1"/>
  <c r="O93" i="7"/>
  <c r="M93" i="7" s="1"/>
  <c r="O94" i="7"/>
  <c r="M94" i="7" s="1"/>
  <c r="O95" i="7"/>
  <c r="M95" i="7" s="1"/>
  <c r="O96" i="7"/>
  <c r="M96" i="7" s="1"/>
  <c r="O97" i="7"/>
  <c r="M97" i="7" s="1"/>
  <c r="O98" i="7"/>
  <c r="M98" i="7" s="1"/>
  <c r="O99" i="7"/>
  <c r="M99" i="7" s="1"/>
  <c r="O100" i="7"/>
  <c r="M100" i="7" s="1"/>
  <c r="O101" i="7"/>
  <c r="M101" i="7" s="1"/>
  <c r="O102" i="7"/>
  <c r="M102" i="7" s="1"/>
  <c r="O103" i="7"/>
  <c r="M103" i="7" s="1"/>
  <c r="O104" i="7"/>
  <c r="M104" i="7" s="1"/>
  <c r="O105" i="7"/>
  <c r="M105" i="7" s="1"/>
  <c r="O106" i="7"/>
  <c r="M106" i="7" s="1"/>
  <c r="O107" i="7"/>
  <c r="M107" i="7" s="1"/>
  <c r="O108" i="7"/>
  <c r="M108" i="7" s="1"/>
  <c r="O109" i="7"/>
  <c r="M109" i="7" s="1"/>
  <c r="O110" i="7"/>
  <c r="M110" i="7" s="1"/>
  <c r="O111" i="7"/>
  <c r="M111" i="7" s="1"/>
  <c r="O112" i="7"/>
  <c r="M112" i="7" s="1"/>
  <c r="O113" i="7"/>
  <c r="M113" i="7" s="1"/>
  <c r="O114" i="7"/>
  <c r="M114" i="7" s="1"/>
  <c r="O115" i="7"/>
  <c r="M115" i="7" s="1"/>
  <c r="O116" i="7"/>
  <c r="M116" i="7" s="1"/>
  <c r="O117" i="7"/>
  <c r="M117" i="7" s="1"/>
  <c r="O118" i="7"/>
  <c r="M118" i="7" s="1"/>
  <c r="O119" i="7"/>
  <c r="M119" i="7" s="1"/>
  <c r="O120" i="7"/>
  <c r="M120" i="7" s="1"/>
  <c r="O121" i="7"/>
  <c r="M121" i="7" s="1"/>
  <c r="O122" i="7"/>
  <c r="M122" i="7" s="1"/>
  <c r="O123" i="7"/>
  <c r="M123" i="7" s="1"/>
  <c r="O124" i="7"/>
  <c r="M124" i="7" s="1"/>
  <c r="O125" i="7"/>
  <c r="M125" i="7" s="1"/>
  <c r="O126" i="7"/>
  <c r="M126" i="7" s="1"/>
  <c r="O127" i="7"/>
  <c r="M127" i="7" s="1"/>
  <c r="O128" i="7"/>
  <c r="M128" i="7" s="1"/>
  <c r="O129" i="7"/>
  <c r="M129" i="7" s="1"/>
  <c r="O130" i="7"/>
  <c r="M130" i="7" s="1"/>
  <c r="O131" i="7"/>
  <c r="M131" i="7" s="1"/>
  <c r="O132" i="7"/>
  <c r="M132" i="7" s="1"/>
  <c r="O133" i="7"/>
  <c r="M133" i="7" s="1"/>
  <c r="O134" i="7"/>
  <c r="M134" i="7" s="1"/>
  <c r="O135" i="7"/>
  <c r="M135" i="7" s="1"/>
  <c r="O136" i="7"/>
  <c r="M136" i="7" s="1"/>
  <c r="O137" i="7"/>
  <c r="M137" i="7" s="1"/>
  <c r="O138" i="7"/>
  <c r="M138" i="7" s="1"/>
  <c r="O139" i="7"/>
  <c r="M139" i="7" s="1"/>
  <c r="O140" i="7"/>
  <c r="M140" i="7" s="1"/>
  <c r="O141" i="7"/>
  <c r="M141" i="7" s="1"/>
  <c r="O142" i="7"/>
  <c r="M142" i="7" s="1"/>
  <c r="O143" i="7"/>
  <c r="M143" i="7" s="1"/>
  <c r="O144" i="7"/>
  <c r="M144" i="7" s="1"/>
  <c r="O145" i="7"/>
  <c r="M145" i="7" s="1"/>
  <c r="O146" i="7"/>
  <c r="M146" i="7" s="1"/>
  <c r="O147" i="7"/>
  <c r="M147" i="7" s="1"/>
  <c r="O148" i="7"/>
  <c r="M148" i="7" s="1"/>
  <c r="O149" i="7"/>
  <c r="M149" i="7" s="1"/>
  <c r="O150" i="7"/>
  <c r="M150" i="7" s="1"/>
  <c r="O151" i="7"/>
  <c r="M151" i="7" s="1"/>
  <c r="O152" i="7"/>
  <c r="M152" i="7" s="1"/>
  <c r="O153" i="7"/>
  <c r="M153" i="7" s="1"/>
  <c r="O154" i="7"/>
  <c r="M154" i="7" s="1"/>
  <c r="O155" i="7"/>
  <c r="M155" i="7" s="1"/>
  <c r="O156" i="7"/>
  <c r="M156" i="7" s="1"/>
  <c r="O157" i="7"/>
  <c r="M157" i="7" s="1"/>
  <c r="O158" i="7"/>
  <c r="M158" i="7" s="1"/>
  <c r="O159" i="7"/>
  <c r="M159" i="7" s="1"/>
  <c r="O160" i="7"/>
  <c r="M160" i="7" s="1"/>
  <c r="O161" i="7"/>
  <c r="M161" i="7" s="1"/>
  <c r="O162" i="7"/>
  <c r="M162" i="7" s="1"/>
  <c r="O163" i="7"/>
  <c r="M163" i="7" s="1"/>
  <c r="O164" i="7"/>
  <c r="M164" i="7" s="1"/>
  <c r="O165" i="7"/>
  <c r="M165" i="7" s="1"/>
  <c r="O166" i="7"/>
  <c r="M166" i="7" s="1"/>
  <c r="O167" i="7"/>
  <c r="M167" i="7" s="1"/>
  <c r="O168" i="7"/>
  <c r="M168" i="7" s="1"/>
  <c r="O169" i="7"/>
  <c r="M169" i="7" s="1"/>
  <c r="O170" i="7"/>
  <c r="M170" i="7" s="1"/>
  <c r="O171" i="7"/>
  <c r="M171" i="7" s="1"/>
  <c r="O172" i="7"/>
  <c r="M172" i="7" s="1"/>
  <c r="O173" i="7"/>
  <c r="M173" i="7" s="1"/>
  <c r="O174" i="7"/>
  <c r="M174" i="7" s="1"/>
  <c r="O175" i="7"/>
  <c r="M175" i="7" s="1"/>
  <c r="O176" i="7"/>
  <c r="M176" i="7" s="1"/>
  <c r="O177" i="7"/>
  <c r="M177" i="7" s="1"/>
  <c r="O178" i="7"/>
  <c r="M178" i="7" s="1"/>
  <c r="O179" i="7"/>
  <c r="M179" i="7" s="1"/>
  <c r="O180" i="7"/>
  <c r="M180" i="7" s="1"/>
  <c r="O181" i="7"/>
  <c r="M181" i="7" s="1"/>
  <c r="O182" i="7"/>
  <c r="M182" i="7" s="1"/>
  <c r="O183" i="7"/>
  <c r="M183" i="7" s="1"/>
  <c r="O184" i="7"/>
  <c r="M184" i="7" s="1"/>
  <c r="O185" i="7"/>
  <c r="M185" i="7" s="1"/>
  <c r="O186" i="7"/>
  <c r="M186" i="7" s="1"/>
  <c r="O187" i="7"/>
  <c r="M187" i="7" s="1"/>
  <c r="O188" i="7"/>
  <c r="M188" i="7" s="1"/>
  <c r="O189" i="7"/>
  <c r="M189" i="7" s="1"/>
  <c r="O190" i="7"/>
  <c r="M190" i="7" s="1"/>
  <c r="O191" i="7"/>
  <c r="M191" i="7" s="1"/>
  <c r="O192" i="7"/>
  <c r="M192" i="7" s="1"/>
  <c r="O193" i="7"/>
  <c r="M193" i="7" s="1"/>
  <c r="O194" i="7"/>
  <c r="M194" i="7" s="1"/>
  <c r="O195" i="7"/>
  <c r="M195" i="7" s="1"/>
  <c r="O196" i="7"/>
  <c r="M196" i="7" s="1"/>
  <c r="O197" i="7"/>
  <c r="M197" i="7" s="1"/>
  <c r="O198" i="7"/>
  <c r="M198" i="7" s="1"/>
  <c r="O199" i="7"/>
  <c r="M199" i="7" s="1"/>
  <c r="O200" i="7"/>
  <c r="M200" i="7" s="1"/>
  <c r="O201" i="7"/>
  <c r="M201" i="7" s="1"/>
  <c r="O202" i="7"/>
  <c r="M202" i="7" s="1"/>
  <c r="O203" i="7"/>
  <c r="M203" i="7" s="1"/>
  <c r="O204" i="7"/>
  <c r="M204" i="7" s="1"/>
  <c r="O205" i="7"/>
  <c r="M205" i="7" s="1"/>
  <c r="O206" i="7"/>
  <c r="M206" i="7" s="1"/>
  <c r="O207" i="7"/>
  <c r="M207" i="7" s="1"/>
  <c r="O208" i="7"/>
  <c r="M208" i="7" s="1"/>
  <c r="O209" i="7"/>
  <c r="M209" i="7" s="1"/>
  <c r="O210" i="7"/>
  <c r="M210" i="7" s="1"/>
  <c r="O211" i="7"/>
  <c r="M211" i="7" s="1"/>
  <c r="O212" i="7"/>
  <c r="M212" i="7" s="1"/>
  <c r="O213" i="7"/>
  <c r="M213" i="7" s="1"/>
  <c r="O214" i="7"/>
  <c r="M214" i="7" s="1"/>
  <c r="O215" i="7"/>
  <c r="M215" i="7" s="1"/>
  <c r="O216" i="7"/>
  <c r="M216" i="7" s="1"/>
  <c r="O217" i="7"/>
  <c r="M217" i="7" s="1"/>
  <c r="O218" i="7"/>
  <c r="M218" i="7" s="1"/>
  <c r="O219" i="7"/>
  <c r="M219" i="7" s="1"/>
  <c r="O220" i="7"/>
  <c r="M220" i="7" s="1"/>
  <c r="O221" i="7"/>
  <c r="M221" i="7" s="1"/>
  <c r="O222" i="7"/>
  <c r="M222" i="7" s="1"/>
  <c r="O223" i="7"/>
  <c r="M223" i="7" s="1"/>
  <c r="O224" i="7"/>
  <c r="M224" i="7" s="1"/>
  <c r="O225" i="7"/>
  <c r="M225" i="7" s="1"/>
  <c r="O226" i="7"/>
  <c r="M226" i="7" s="1"/>
  <c r="O227" i="7"/>
  <c r="M227" i="7" s="1"/>
  <c r="O228" i="7"/>
  <c r="M228" i="7" s="1"/>
  <c r="O229" i="7"/>
  <c r="M229" i="7" s="1"/>
  <c r="O230" i="7"/>
  <c r="M230" i="7" s="1"/>
  <c r="O231" i="7"/>
  <c r="M231" i="7" s="1"/>
  <c r="O232" i="7"/>
  <c r="M232" i="7" s="1"/>
  <c r="O233" i="7"/>
  <c r="M233" i="7" s="1"/>
  <c r="O234" i="7"/>
  <c r="M234" i="7" s="1"/>
  <c r="O235" i="7"/>
  <c r="M235" i="7" s="1"/>
  <c r="O236" i="7"/>
  <c r="M236" i="7" s="1"/>
  <c r="O237" i="7"/>
  <c r="M237" i="7" s="1"/>
  <c r="O238" i="7"/>
  <c r="M238" i="7" s="1"/>
  <c r="O239" i="7"/>
  <c r="M239" i="7" s="1"/>
  <c r="O240" i="7"/>
  <c r="M240" i="7" s="1"/>
  <c r="O241" i="7"/>
  <c r="M241" i="7" s="1"/>
  <c r="O242" i="7"/>
  <c r="M242" i="7" s="1"/>
  <c r="O243" i="7"/>
  <c r="M243" i="7" s="1"/>
  <c r="O244" i="7"/>
  <c r="M244" i="7" s="1"/>
  <c r="O245" i="7"/>
  <c r="M245" i="7" s="1"/>
  <c r="O246" i="7"/>
  <c r="M246" i="7" s="1"/>
  <c r="O247" i="7"/>
  <c r="M247" i="7" s="1"/>
  <c r="O248" i="7"/>
  <c r="M248" i="7" s="1"/>
  <c r="O249" i="7"/>
  <c r="M249" i="7" s="1"/>
  <c r="O250" i="7"/>
  <c r="M250" i="7" s="1"/>
  <c r="O251" i="7"/>
  <c r="M251" i="7" s="1"/>
  <c r="O252" i="7"/>
  <c r="M252" i="7" s="1"/>
  <c r="O253" i="7"/>
  <c r="M253" i="7" s="1"/>
  <c r="O254" i="7"/>
  <c r="M254" i="7" s="1"/>
  <c r="O255" i="7"/>
  <c r="M255" i="7" s="1"/>
  <c r="O256" i="7"/>
  <c r="M256" i="7" s="1"/>
  <c r="O257" i="7"/>
  <c r="M257" i="7" s="1"/>
  <c r="O258" i="7"/>
  <c r="M258" i="7" s="1"/>
  <c r="O259" i="7"/>
  <c r="M259" i="7" s="1"/>
  <c r="O260" i="7"/>
  <c r="M260" i="7" s="1"/>
  <c r="O261" i="7"/>
  <c r="M261" i="7" s="1"/>
  <c r="O262" i="7"/>
  <c r="M262" i="7" s="1"/>
  <c r="O263" i="7"/>
  <c r="M263" i="7" s="1"/>
  <c r="O264" i="7"/>
  <c r="M264" i="7" s="1"/>
  <c r="O265" i="7"/>
  <c r="M265" i="7" s="1"/>
  <c r="O266" i="7"/>
  <c r="M266" i="7" s="1"/>
  <c r="O267" i="7"/>
  <c r="M267" i="7" s="1"/>
  <c r="O268" i="7"/>
  <c r="M268" i="7" s="1"/>
  <c r="O269" i="7"/>
  <c r="M269" i="7" s="1"/>
  <c r="O270" i="7"/>
  <c r="M270" i="7" s="1"/>
  <c r="O271" i="7"/>
  <c r="M271" i="7" s="1"/>
  <c r="O272" i="7"/>
  <c r="M272" i="7" s="1"/>
  <c r="O273" i="7"/>
  <c r="M273" i="7" s="1"/>
  <c r="O274" i="7"/>
  <c r="M274" i="7" s="1"/>
  <c r="O275" i="7"/>
  <c r="M275" i="7" s="1"/>
  <c r="O276" i="7"/>
  <c r="M276" i="7" s="1"/>
  <c r="O277" i="7"/>
  <c r="M277" i="7" s="1"/>
  <c r="O278" i="7"/>
  <c r="M278" i="7" s="1"/>
  <c r="O279" i="7"/>
  <c r="M279" i="7" s="1"/>
  <c r="O280" i="7"/>
  <c r="M280" i="7" s="1"/>
  <c r="O281" i="7"/>
  <c r="M281" i="7" s="1"/>
  <c r="O282" i="7"/>
  <c r="M282" i="7" s="1"/>
  <c r="O283" i="7"/>
  <c r="M283" i="7" s="1"/>
  <c r="O284" i="7"/>
  <c r="M284" i="7" s="1"/>
  <c r="O285" i="7"/>
  <c r="M285" i="7" s="1"/>
  <c r="O286" i="7"/>
  <c r="M286" i="7" s="1"/>
  <c r="O287" i="7"/>
  <c r="M287" i="7" s="1"/>
  <c r="O288" i="7"/>
  <c r="M288" i="7" s="1"/>
  <c r="O289" i="7"/>
  <c r="M289" i="7" s="1"/>
  <c r="O290" i="7"/>
  <c r="M290" i="7" s="1"/>
  <c r="O291" i="7"/>
  <c r="M291" i="7" s="1"/>
  <c r="O292" i="7"/>
  <c r="M292" i="7" s="1"/>
  <c r="O293" i="7"/>
  <c r="M293" i="7" s="1"/>
  <c r="O294" i="7"/>
  <c r="M294" i="7" s="1"/>
  <c r="O295" i="7"/>
  <c r="M295" i="7" s="1"/>
  <c r="O296" i="7"/>
  <c r="M296" i="7" s="1"/>
  <c r="O297" i="7"/>
  <c r="M297" i="7" s="1"/>
  <c r="O298" i="7"/>
  <c r="M298" i="7" s="1"/>
  <c r="O299" i="7"/>
  <c r="M299" i="7" s="1"/>
  <c r="O300" i="7"/>
  <c r="M300" i="7" s="1"/>
  <c r="O301" i="7"/>
  <c r="M301" i="7" s="1"/>
  <c r="O302" i="7"/>
  <c r="M302" i="7" s="1"/>
  <c r="O303" i="7"/>
  <c r="M303" i="7" s="1"/>
  <c r="O304" i="7"/>
  <c r="M304" i="7" s="1"/>
  <c r="O305" i="7"/>
  <c r="M305" i="7" s="1"/>
  <c r="O306" i="7"/>
  <c r="M306" i="7" s="1"/>
  <c r="O307" i="7"/>
  <c r="M307" i="7" s="1"/>
  <c r="O308" i="7"/>
  <c r="M308" i="7" s="1"/>
  <c r="O309" i="7"/>
  <c r="M309" i="7" s="1"/>
  <c r="O310" i="7"/>
  <c r="M310" i="7" s="1"/>
  <c r="O311" i="7"/>
  <c r="M311" i="7" s="1"/>
  <c r="O312" i="7"/>
  <c r="M312" i="7" s="1"/>
  <c r="O313" i="7"/>
  <c r="M313" i="7" s="1"/>
  <c r="O314" i="7"/>
  <c r="M314" i="7" s="1"/>
  <c r="O315" i="7"/>
  <c r="M315" i="7" s="1"/>
  <c r="O316" i="7"/>
  <c r="M316" i="7" s="1"/>
  <c r="O317" i="7"/>
  <c r="M317" i="7" s="1"/>
  <c r="O318" i="7"/>
  <c r="M318" i="7" s="1"/>
  <c r="O319" i="7"/>
  <c r="M319" i="7" s="1"/>
  <c r="O320" i="7"/>
  <c r="M320" i="7" s="1"/>
  <c r="O321" i="7"/>
  <c r="M321" i="7" s="1"/>
  <c r="O322" i="7"/>
  <c r="M322" i="7" s="1"/>
  <c r="O323" i="7"/>
  <c r="M323" i="7" s="1"/>
  <c r="O324" i="7"/>
  <c r="M324" i="7" s="1"/>
  <c r="O325" i="7"/>
  <c r="M325" i="7" s="1"/>
  <c r="O326" i="7"/>
  <c r="M326" i="7" s="1"/>
  <c r="O327" i="7"/>
  <c r="M327" i="7" s="1"/>
  <c r="O328" i="7"/>
  <c r="M328" i="7" s="1"/>
  <c r="O329" i="7"/>
  <c r="M329" i="7" s="1"/>
  <c r="O330" i="7"/>
  <c r="M330" i="7" s="1"/>
  <c r="O331" i="7"/>
  <c r="M331" i="7" s="1"/>
  <c r="O332" i="7"/>
  <c r="M332" i="7" s="1"/>
  <c r="O333" i="7"/>
  <c r="M333" i="7" s="1"/>
  <c r="O334" i="7"/>
  <c r="M334" i="7" s="1"/>
  <c r="O335" i="7"/>
  <c r="M335" i="7" s="1"/>
  <c r="O336" i="7"/>
  <c r="M336" i="7" s="1"/>
  <c r="O337" i="7"/>
  <c r="M337" i="7" s="1"/>
  <c r="O338" i="7"/>
  <c r="M338" i="7" s="1"/>
  <c r="O339" i="7"/>
  <c r="M339" i="7" s="1"/>
  <c r="O340" i="7"/>
  <c r="M340" i="7" s="1"/>
  <c r="O341" i="7"/>
  <c r="M341" i="7" s="1"/>
  <c r="O342" i="7"/>
  <c r="M342" i="7" s="1"/>
  <c r="O343" i="7"/>
  <c r="M343" i="7" s="1"/>
  <c r="O344" i="7"/>
  <c r="M344" i="7" s="1"/>
  <c r="O345" i="7"/>
  <c r="M345" i="7" s="1"/>
  <c r="O346" i="7"/>
  <c r="M346" i="7" s="1"/>
  <c r="O347" i="7"/>
  <c r="M347" i="7" s="1"/>
  <c r="O348" i="7"/>
  <c r="M348" i="7" s="1"/>
  <c r="O349" i="7"/>
  <c r="M349" i="7" s="1"/>
  <c r="O350" i="7"/>
  <c r="M350" i="7" s="1"/>
  <c r="O351" i="7"/>
  <c r="M351" i="7" s="1"/>
  <c r="O352" i="7"/>
  <c r="M352" i="7" s="1"/>
  <c r="O353" i="7"/>
  <c r="M353" i="7" s="1"/>
  <c r="O354" i="7"/>
  <c r="M354" i="7" s="1"/>
  <c r="O355" i="7"/>
  <c r="M355" i="7" s="1"/>
  <c r="O356" i="7"/>
  <c r="M356" i="7" s="1"/>
  <c r="O357" i="7"/>
  <c r="M357" i="7" s="1"/>
  <c r="O358" i="7"/>
  <c r="M358" i="7" s="1"/>
  <c r="O359" i="7"/>
  <c r="M359" i="7" s="1"/>
  <c r="O360" i="7"/>
  <c r="M360" i="7" s="1"/>
  <c r="O361" i="7"/>
  <c r="M361" i="7" s="1"/>
  <c r="O362" i="7"/>
  <c r="M362" i="7" s="1"/>
  <c r="O363" i="7"/>
  <c r="M363" i="7" s="1"/>
  <c r="O364" i="7"/>
  <c r="M364" i="7" s="1"/>
  <c r="O365" i="7"/>
  <c r="M365" i="7" s="1"/>
  <c r="O366" i="7"/>
  <c r="M366" i="7" s="1"/>
  <c r="O367" i="7"/>
  <c r="M367" i="7" s="1"/>
  <c r="O368" i="7"/>
  <c r="M368" i="7" s="1"/>
  <c r="O369" i="7"/>
  <c r="M369" i="7" s="1"/>
  <c r="O370" i="7"/>
  <c r="M370" i="7" s="1"/>
  <c r="O371" i="7"/>
  <c r="M371" i="7" s="1"/>
  <c r="O372" i="7"/>
  <c r="M372" i="7" s="1"/>
  <c r="O373" i="7"/>
  <c r="M373" i="7" s="1"/>
  <c r="O374" i="7"/>
  <c r="M374" i="7" s="1"/>
  <c r="O375" i="7"/>
  <c r="M375" i="7" s="1"/>
  <c r="O376" i="7"/>
  <c r="M376" i="7" s="1"/>
  <c r="O377" i="7"/>
  <c r="M377" i="7" s="1"/>
  <c r="O378" i="7"/>
  <c r="M378" i="7" s="1"/>
  <c r="O379" i="7"/>
  <c r="M379" i="7" s="1"/>
  <c r="O380" i="7"/>
  <c r="M380" i="7" s="1"/>
  <c r="O381" i="7"/>
  <c r="M381" i="7" s="1"/>
  <c r="O382" i="7"/>
  <c r="M382" i="7" s="1"/>
  <c r="O383" i="7"/>
  <c r="M383" i="7" s="1"/>
  <c r="O384" i="7"/>
  <c r="M384" i="7" s="1"/>
  <c r="O385" i="7"/>
  <c r="M385" i="7" s="1"/>
  <c r="O386" i="7"/>
  <c r="M386" i="7" s="1"/>
  <c r="O387" i="7"/>
  <c r="M387" i="7" s="1"/>
  <c r="O388" i="7"/>
  <c r="M388" i="7" s="1"/>
  <c r="O389" i="7"/>
  <c r="M389" i="7" s="1"/>
  <c r="O390" i="7"/>
  <c r="M390" i="7" s="1"/>
  <c r="O391" i="7"/>
  <c r="M391" i="7" s="1"/>
  <c r="O392" i="7"/>
  <c r="M392" i="7" s="1"/>
  <c r="O393" i="7"/>
  <c r="M393" i="7" s="1"/>
  <c r="O394" i="7"/>
  <c r="M394" i="7" s="1"/>
  <c r="O395" i="7"/>
  <c r="M395" i="7" s="1"/>
  <c r="O396" i="7"/>
  <c r="M396" i="7" s="1"/>
  <c r="O397" i="7"/>
  <c r="M397" i="7" s="1"/>
  <c r="O398" i="7"/>
  <c r="M398" i="7" s="1"/>
  <c r="O399" i="7"/>
  <c r="M399" i="7" s="1"/>
  <c r="O400" i="7"/>
  <c r="M400" i="7" s="1"/>
  <c r="O401" i="7"/>
  <c r="M401" i="7" s="1"/>
  <c r="O402" i="7"/>
  <c r="M402" i="7" s="1"/>
  <c r="O403" i="7"/>
  <c r="M403" i="7" s="1"/>
  <c r="O404" i="7"/>
  <c r="M404" i="7" s="1"/>
  <c r="O405" i="7"/>
  <c r="M405" i="7" s="1"/>
  <c r="O406" i="7"/>
  <c r="M406" i="7" s="1"/>
  <c r="O407" i="7"/>
  <c r="M407" i="7" s="1"/>
  <c r="O408" i="7"/>
  <c r="M408" i="7" s="1"/>
  <c r="O409" i="7"/>
  <c r="M409" i="7" s="1"/>
  <c r="O410" i="7"/>
  <c r="M410" i="7" s="1"/>
  <c r="O411" i="7"/>
  <c r="M411" i="7" s="1"/>
  <c r="O412" i="7"/>
  <c r="M412" i="7" s="1"/>
  <c r="O413" i="7"/>
  <c r="M413" i="7" s="1"/>
  <c r="O414" i="7"/>
  <c r="M414" i="7" s="1"/>
  <c r="O415" i="7"/>
  <c r="M415" i="7" s="1"/>
  <c r="O416" i="7"/>
  <c r="M416" i="7" s="1"/>
  <c r="O417" i="7"/>
  <c r="M417" i="7" s="1"/>
  <c r="O418" i="7"/>
  <c r="M418" i="7" s="1"/>
  <c r="O419" i="7"/>
  <c r="M419" i="7" s="1"/>
  <c r="O420" i="7"/>
  <c r="M420" i="7" s="1"/>
  <c r="O421" i="7"/>
  <c r="M421" i="7" s="1"/>
  <c r="O422" i="7"/>
  <c r="M422" i="7" s="1"/>
  <c r="O423" i="7"/>
  <c r="M423" i="7" s="1"/>
  <c r="O424" i="7"/>
  <c r="M424" i="7" s="1"/>
  <c r="O425" i="7"/>
  <c r="M425" i="7" s="1"/>
  <c r="O426" i="7"/>
  <c r="M426" i="7" s="1"/>
  <c r="O427" i="7"/>
  <c r="M427" i="7" s="1"/>
  <c r="O428" i="7"/>
  <c r="M428" i="7" s="1"/>
  <c r="O429" i="7"/>
  <c r="M429" i="7" s="1"/>
  <c r="O430" i="7"/>
  <c r="M430" i="7" s="1"/>
  <c r="O431" i="7"/>
  <c r="M431" i="7" s="1"/>
  <c r="O432" i="7"/>
  <c r="M432" i="7" s="1"/>
  <c r="O433" i="7"/>
  <c r="M433" i="7" s="1"/>
  <c r="O434" i="7"/>
  <c r="M434" i="7" s="1"/>
  <c r="O435" i="7"/>
  <c r="M435" i="7" s="1"/>
  <c r="O436" i="7"/>
  <c r="M436" i="7" s="1"/>
  <c r="O437" i="7"/>
  <c r="M437" i="7" s="1"/>
  <c r="O438" i="7"/>
  <c r="M438" i="7" s="1"/>
  <c r="O439" i="7"/>
  <c r="M439" i="7" s="1"/>
  <c r="O440" i="7"/>
  <c r="M440" i="7" s="1"/>
  <c r="O441" i="7"/>
  <c r="M441" i="7" s="1"/>
  <c r="O442" i="7"/>
  <c r="M442" i="7" s="1"/>
  <c r="O443" i="7"/>
  <c r="M443" i="7" s="1"/>
  <c r="O444" i="7"/>
  <c r="M444" i="7" s="1"/>
  <c r="O445" i="7"/>
  <c r="M445" i="7" s="1"/>
  <c r="O446" i="7"/>
  <c r="M446" i="7" s="1"/>
  <c r="O447" i="7"/>
  <c r="M447" i="7" s="1"/>
  <c r="O448" i="7"/>
  <c r="M448" i="7" s="1"/>
  <c r="O449" i="7"/>
  <c r="M449" i="7" s="1"/>
  <c r="O450" i="7"/>
  <c r="M450" i="7" s="1"/>
  <c r="O451" i="7"/>
  <c r="M451" i="7" s="1"/>
  <c r="O452" i="7"/>
  <c r="M452" i="7" s="1"/>
  <c r="O453" i="7"/>
  <c r="M453" i="7" s="1"/>
  <c r="O454" i="7"/>
  <c r="M454" i="7" s="1"/>
  <c r="O455" i="7"/>
  <c r="M455" i="7" s="1"/>
  <c r="O456" i="7"/>
  <c r="M456" i="7" s="1"/>
  <c r="O457" i="7"/>
  <c r="M457" i="7" s="1"/>
  <c r="O458" i="7"/>
  <c r="M458" i="7" s="1"/>
  <c r="O459" i="7"/>
  <c r="M459" i="7" s="1"/>
  <c r="O460" i="7"/>
  <c r="M460" i="7" s="1"/>
  <c r="O461" i="7"/>
  <c r="M461" i="7" s="1"/>
  <c r="O462" i="7"/>
  <c r="M462" i="7" s="1"/>
  <c r="O463" i="7"/>
  <c r="M463" i="7" s="1"/>
  <c r="O464" i="7"/>
  <c r="M464" i="7" s="1"/>
  <c r="O465" i="7"/>
  <c r="M465" i="7" s="1"/>
  <c r="O466" i="7"/>
  <c r="M466" i="7" s="1"/>
  <c r="O467" i="7"/>
  <c r="M467" i="7" s="1"/>
  <c r="O468" i="7"/>
  <c r="M468" i="7" s="1"/>
  <c r="O469" i="7"/>
  <c r="M469" i="7" s="1"/>
  <c r="O470" i="7"/>
  <c r="M470" i="7" s="1"/>
  <c r="O471" i="7"/>
  <c r="M471" i="7" s="1"/>
  <c r="O472" i="7"/>
  <c r="M472" i="7" s="1"/>
  <c r="O473" i="7"/>
  <c r="M473" i="7" s="1"/>
  <c r="O474" i="7"/>
  <c r="M474" i="7" s="1"/>
  <c r="O475" i="7"/>
  <c r="M475" i="7" s="1"/>
  <c r="O476" i="7"/>
  <c r="M476" i="7" s="1"/>
  <c r="O477" i="7"/>
  <c r="M477" i="7" s="1"/>
  <c r="O478" i="7"/>
  <c r="M478" i="7" s="1"/>
  <c r="O479" i="7"/>
  <c r="M479" i="7" s="1"/>
  <c r="O480" i="7"/>
  <c r="M480" i="7" s="1"/>
  <c r="O481" i="7"/>
  <c r="M481" i="7" s="1"/>
  <c r="O482" i="7"/>
  <c r="M482" i="7" s="1"/>
  <c r="O483" i="7"/>
  <c r="M483" i="7" s="1"/>
  <c r="O484" i="7"/>
  <c r="M484" i="7" s="1"/>
  <c r="O485" i="7"/>
  <c r="M485" i="7" s="1"/>
  <c r="O486" i="7"/>
  <c r="M486" i="7" s="1"/>
  <c r="O487" i="7"/>
  <c r="M487" i="7" s="1"/>
  <c r="O488" i="7"/>
  <c r="M488" i="7" s="1"/>
  <c r="O489" i="7"/>
  <c r="M489" i="7" s="1"/>
  <c r="O490" i="7"/>
  <c r="M490" i="7" s="1"/>
  <c r="O491" i="7"/>
  <c r="M491" i="7" s="1"/>
  <c r="O492" i="7"/>
  <c r="M492" i="7" s="1"/>
  <c r="O493" i="7"/>
  <c r="M493" i="7" s="1"/>
  <c r="O494" i="7"/>
  <c r="M494" i="7" s="1"/>
  <c r="O495" i="7"/>
  <c r="M495" i="7" s="1"/>
  <c r="O496" i="7"/>
  <c r="M496" i="7" s="1"/>
  <c r="O497" i="7"/>
  <c r="M497" i="7" s="1"/>
  <c r="O498" i="7"/>
  <c r="M498" i="7" s="1"/>
  <c r="O499" i="7"/>
  <c r="M499" i="7" s="1"/>
  <c r="O500" i="7"/>
  <c r="M500" i="7" s="1"/>
  <c r="O501" i="7"/>
  <c r="M501" i="7" s="1"/>
  <c r="O502" i="7"/>
  <c r="M502" i="7" s="1"/>
  <c r="O503" i="7"/>
  <c r="M503" i="7" s="1"/>
  <c r="O504" i="7"/>
  <c r="M504" i="7" s="1"/>
  <c r="O505" i="7"/>
  <c r="M505" i="7" s="1"/>
  <c r="O506" i="7"/>
  <c r="M506" i="7" s="1"/>
  <c r="O507" i="7"/>
  <c r="M507" i="7" s="1"/>
  <c r="O508" i="7"/>
  <c r="M508" i="7" s="1"/>
  <c r="O509" i="7"/>
  <c r="M509" i="7" s="1"/>
  <c r="O510" i="7"/>
  <c r="M510" i="7" s="1"/>
  <c r="O511" i="7"/>
  <c r="M511" i="7" s="1"/>
  <c r="O512" i="7"/>
  <c r="M512" i="7" s="1"/>
  <c r="O513" i="7"/>
  <c r="M513" i="7" s="1"/>
  <c r="O514" i="7"/>
  <c r="M514" i="7" s="1"/>
  <c r="O515" i="7"/>
  <c r="M515" i="7" s="1"/>
  <c r="O516" i="7"/>
  <c r="M516" i="7" s="1"/>
  <c r="O517" i="7"/>
  <c r="M517" i="7" s="1"/>
  <c r="O518" i="7"/>
  <c r="M518" i="7" s="1"/>
  <c r="O519" i="7"/>
  <c r="M519" i="7" s="1"/>
  <c r="O520" i="7"/>
  <c r="M520" i="7" s="1"/>
  <c r="O521" i="7"/>
  <c r="M521" i="7" s="1"/>
  <c r="O522" i="7"/>
  <c r="M522" i="7" s="1"/>
  <c r="O523" i="7"/>
  <c r="M523" i="7" s="1"/>
  <c r="O524" i="7"/>
  <c r="M524" i="7" s="1"/>
  <c r="O525" i="7"/>
  <c r="M525" i="7" s="1"/>
  <c r="O526" i="7"/>
  <c r="M526" i="7" s="1"/>
  <c r="O527" i="7"/>
  <c r="M527" i="7" s="1"/>
  <c r="O528" i="7"/>
  <c r="M528" i="7" s="1"/>
  <c r="O529" i="7"/>
  <c r="M529" i="7" s="1"/>
  <c r="O530" i="7"/>
  <c r="M530" i="7" s="1"/>
  <c r="O531" i="7"/>
  <c r="M531" i="7" s="1"/>
  <c r="O532" i="7"/>
  <c r="M532" i="7" s="1"/>
  <c r="O533" i="7"/>
  <c r="M533" i="7" s="1"/>
  <c r="O534" i="7"/>
  <c r="M534" i="7" s="1"/>
  <c r="O535" i="7"/>
  <c r="M535" i="7" s="1"/>
  <c r="O536" i="7"/>
  <c r="M536" i="7" s="1"/>
  <c r="O537" i="7"/>
  <c r="M537" i="7" s="1"/>
  <c r="O538" i="7"/>
  <c r="M538" i="7" s="1"/>
  <c r="O539" i="7"/>
  <c r="M539" i="7" s="1"/>
  <c r="O540" i="7"/>
  <c r="M540" i="7" s="1"/>
  <c r="O541" i="7"/>
  <c r="M541" i="7" s="1"/>
  <c r="O542" i="7"/>
  <c r="M542" i="7" s="1"/>
  <c r="O543" i="7"/>
  <c r="M543" i="7" s="1"/>
  <c r="O544" i="7"/>
  <c r="M544" i="7" s="1"/>
  <c r="O545" i="7"/>
  <c r="M545" i="7" s="1"/>
  <c r="O546" i="7"/>
  <c r="M546" i="7" s="1"/>
  <c r="O547" i="7"/>
  <c r="M547" i="7" s="1"/>
  <c r="O548" i="7"/>
  <c r="M548" i="7" s="1"/>
  <c r="O549" i="7"/>
  <c r="M549" i="7" s="1"/>
  <c r="O550" i="7"/>
  <c r="M550" i="7" s="1"/>
  <c r="O551" i="7"/>
  <c r="M551" i="7" s="1"/>
  <c r="O552" i="7"/>
  <c r="M552" i="7" s="1"/>
  <c r="O553" i="7"/>
  <c r="M553" i="7" s="1"/>
  <c r="O554" i="7"/>
  <c r="M554" i="7" s="1"/>
  <c r="O555" i="7"/>
  <c r="M555" i="7" s="1"/>
  <c r="O556" i="7"/>
  <c r="M556" i="7" s="1"/>
  <c r="O557" i="7"/>
  <c r="M557" i="7" s="1"/>
  <c r="O558" i="7"/>
  <c r="M558" i="7" s="1"/>
  <c r="O559" i="7"/>
  <c r="M559" i="7" s="1"/>
  <c r="O560" i="7"/>
  <c r="M560" i="7" s="1"/>
  <c r="O561" i="7"/>
  <c r="M561" i="7" s="1"/>
  <c r="O562" i="7"/>
  <c r="M562" i="7" s="1"/>
  <c r="O563" i="7"/>
  <c r="M563" i="7" s="1"/>
  <c r="O564" i="7"/>
  <c r="M564" i="7" s="1"/>
  <c r="O565" i="7"/>
  <c r="M565" i="7" s="1"/>
  <c r="O566" i="7"/>
  <c r="M566" i="7" s="1"/>
  <c r="O567" i="7"/>
  <c r="M567" i="7" s="1"/>
  <c r="O568" i="7"/>
  <c r="M568" i="7" s="1"/>
  <c r="O569" i="7"/>
  <c r="M569" i="7" s="1"/>
  <c r="O570" i="7"/>
  <c r="M570" i="7" s="1"/>
  <c r="O571" i="7"/>
  <c r="M571" i="7" s="1"/>
  <c r="O572" i="7"/>
  <c r="M572" i="7" s="1"/>
  <c r="O573" i="7"/>
  <c r="M573" i="7" s="1"/>
  <c r="O574" i="7"/>
  <c r="M574" i="7" s="1"/>
  <c r="O575" i="7"/>
  <c r="M575" i="7" s="1"/>
  <c r="O576" i="7"/>
  <c r="M576" i="7" s="1"/>
  <c r="O577" i="7"/>
  <c r="M577" i="7" s="1"/>
  <c r="O578" i="7"/>
  <c r="M578" i="7" s="1"/>
  <c r="O579" i="7"/>
  <c r="M579" i="7" s="1"/>
  <c r="O580" i="7"/>
  <c r="M580" i="7" s="1"/>
  <c r="O581" i="7"/>
  <c r="M581" i="7" s="1"/>
  <c r="O582" i="7"/>
  <c r="M582" i="7" s="1"/>
  <c r="O583" i="7"/>
  <c r="M583" i="7" s="1"/>
  <c r="O584" i="7"/>
  <c r="M584" i="7" s="1"/>
  <c r="O585" i="7"/>
  <c r="M585" i="7" s="1"/>
  <c r="O586" i="7"/>
  <c r="M586" i="7" s="1"/>
  <c r="O587" i="7"/>
  <c r="M587" i="7" s="1"/>
  <c r="O588" i="7"/>
  <c r="M588" i="7" s="1"/>
  <c r="O589" i="7"/>
  <c r="M589" i="7" s="1"/>
  <c r="O590" i="7"/>
  <c r="M590" i="7" s="1"/>
  <c r="O591" i="7"/>
  <c r="M591" i="7" s="1"/>
  <c r="O592" i="7"/>
  <c r="M592" i="7" s="1"/>
  <c r="O593" i="7"/>
  <c r="M593" i="7" s="1"/>
  <c r="O594" i="7"/>
  <c r="M594" i="7" s="1"/>
  <c r="O595" i="7"/>
  <c r="M595" i="7" s="1"/>
  <c r="O596" i="7"/>
  <c r="M596" i="7" s="1"/>
  <c r="O597" i="7"/>
  <c r="M597" i="7" s="1"/>
  <c r="O598" i="7"/>
  <c r="M598" i="7" s="1"/>
  <c r="O599" i="7"/>
  <c r="M599" i="7" s="1"/>
  <c r="O600" i="7"/>
  <c r="M600" i="7" s="1"/>
  <c r="O601" i="7"/>
  <c r="M601" i="7" s="1"/>
  <c r="O602" i="7"/>
  <c r="M602" i="7" s="1"/>
  <c r="O603" i="7"/>
  <c r="M603" i="7" s="1"/>
  <c r="O604" i="7"/>
  <c r="M604" i="7" s="1"/>
  <c r="O605" i="7"/>
  <c r="M605" i="7" s="1"/>
  <c r="O606" i="7"/>
  <c r="M606" i="7" s="1"/>
  <c r="O607" i="7"/>
  <c r="M607" i="7" s="1"/>
  <c r="O608" i="7"/>
  <c r="M608" i="7" s="1"/>
  <c r="O609" i="7"/>
  <c r="M609" i="7" s="1"/>
  <c r="O610" i="7"/>
  <c r="M610" i="7" s="1"/>
  <c r="O611" i="7"/>
  <c r="M611" i="7" s="1"/>
  <c r="O612" i="7"/>
  <c r="M612" i="7" s="1"/>
  <c r="O613" i="7"/>
  <c r="M613" i="7" s="1"/>
  <c r="O614" i="7"/>
  <c r="M614" i="7" s="1"/>
  <c r="O615" i="7"/>
  <c r="M615" i="7" s="1"/>
  <c r="O616" i="7"/>
  <c r="M616" i="7" s="1"/>
  <c r="O617" i="7"/>
  <c r="M617" i="7" s="1"/>
  <c r="O618" i="7"/>
  <c r="M618" i="7" s="1"/>
  <c r="O619" i="7"/>
  <c r="M619" i="7" s="1"/>
  <c r="O620" i="7"/>
  <c r="M620" i="7" s="1"/>
  <c r="O621" i="7"/>
  <c r="M621" i="7" s="1"/>
  <c r="O622" i="7"/>
  <c r="M622" i="7" s="1"/>
  <c r="O623" i="7"/>
  <c r="M623" i="7" s="1"/>
  <c r="O624" i="7"/>
  <c r="M624" i="7" s="1"/>
  <c r="O625" i="7"/>
  <c r="M625" i="7" s="1"/>
  <c r="O626" i="7"/>
  <c r="M626" i="7" s="1"/>
  <c r="O627" i="7"/>
  <c r="M627" i="7" s="1"/>
  <c r="O628" i="7"/>
  <c r="M628" i="7" s="1"/>
  <c r="O629" i="7"/>
  <c r="M629" i="7" s="1"/>
  <c r="O630" i="7"/>
  <c r="M630" i="7" s="1"/>
  <c r="O631" i="7"/>
  <c r="M631" i="7" s="1"/>
  <c r="O632" i="7"/>
  <c r="M632" i="7" s="1"/>
  <c r="O633" i="7"/>
  <c r="M633" i="7" s="1"/>
  <c r="O634" i="7"/>
  <c r="M634" i="7" s="1"/>
  <c r="O635" i="7"/>
  <c r="M635" i="7" s="1"/>
  <c r="O636" i="7"/>
  <c r="M636" i="7" s="1"/>
  <c r="O637" i="7"/>
  <c r="M637" i="7" s="1"/>
  <c r="O638" i="7"/>
  <c r="M638" i="7" s="1"/>
  <c r="O639" i="7"/>
  <c r="M639" i="7" s="1"/>
  <c r="O640" i="7"/>
  <c r="M640" i="7" s="1"/>
  <c r="O641" i="7"/>
  <c r="M641" i="7" s="1"/>
  <c r="O642" i="7"/>
  <c r="M642" i="7" s="1"/>
  <c r="O643" i="7"/>
  <c r="M643" i="7" s="1"/>
  <c r="O644" i="7"/>
  <c r="M644" i="7" s="1"/>
  <c r="O645" i="7"/>
  <c r="M645" i="7" s="1"/>
  <c r="O646" i="7"/>
  <c r="M646" i="7" s="1"/>
  <c r="O647" i="7"/>
  <c r="M647" i="7" s="1"/>
  <c r="O648" i="7"/>
  <c r="M648" i="7" s="1"/>
  <c r="O649" i="7"/>
  <c r="M649" i="7" s="1"/>
  <c r="O650" i="7"/>
  <c r="M650" i="7" s="1"/>
  <c r="O651" i="7"/>
  <c r="M651" i="7" s="1"/>
  <c r="O652" i="7"/>
  <c r="M652" i="7" s="1"/>
  <c r="O653" i="7"/>
  <c r="M653" i="7" s="1"/>
  <c r="O654" i="7"/>
  <c r="M654" i="7" s="1"/>
  <c r="O655" i="7"/>
  <c r="M655" i="7" s="1"/>
  <c r="O656" i="7"/>
  <c r="M656" i="7" s="1"/>
  <c r="O657" i="7"/>
  <c r="M657" i="7" s="1"/>
  <c r="O658" i="7"/>
  <c r="M658" i="7" s="1"/>
  <c r="O659" i="7"/>
  <c r="M659" i="7" s="1"/>
  <c r="O660" i="7"/>
  <c r="M660" i="7" s="1"/>
  <c r="O661" i="7"/>
  <c r="M661" i="7" s="1"/>
  <c r="O662" i="7"/>
  <c r="M662" i="7" s="1"/>
  <c r="O663" i="7"/>
  <c r="M663" i="7" s="1"/>
  <c r="O664" i="7"/>
  <c r="M664" i="7" s="1"/>
  <c r="O665" i="7"/>
  <c r="M665" i="7" s="1"/>
  <c r="O666" i="7"/>
  <c r="M666" i="7" s="1"/>
  <c r="O667" i="7"/>
  <c r="M667" i="7" s="1"/>
  <c r="O668" i="7"/>
  <c r="M668" i="7" s="1"/>
  <c r="O669" i="7"/>
  <c r="M669" i="7" s="1"/>
  <c r="O670" i="7"/>
  <c r="M670" i="7" s="1"/>
  <c r="O671" i="7"/>
  <c r="M671" i="7" s="1"/>
  <c r="O672" i="7"/>
  <c r="M672" i="7" s="1"/>
  <c r="O673" i="7"/>
  <c r="M673" i="7" s="1"/>
  <c r="O674" i="7"/>
  <c r="M674" i="7" s="1"/>
  <c r="O675" i="7"/>
  <c r="M675" i="7" s="1"/>
  <c r="O676" i="7"/>
  <c r="M676" i="7" s="1"/>
  <c r="O677" i="7"/>
  <c r="M677" i="7" s="1"/>
  <c r="O678" i="7"/>
  <c r="M678" i="7" s="1"/>
  <c r="O679" i="7"/>
  <c r="M679" i="7" s="1"/>
  <c r="O680" i="7"/>
  <c r="M680" i="7" s="1"/>
  <c r="O681" i="7"/>
  <c r="M681" i="7" s="1"/>
  <c r="O682" i="7"/>
  <c r="M682" i="7" s="1"/>
  <c r="O683" i="7"/>
  <c r="M683" i="7" s="1"/>
  <c r="O684" i="7"/>
  <c r="M684" i="7" s="1"/>
  <c r="O685" i="7"/>
  <c r="M685" i="7" s="1"/>
  <c r="O686" i="7"/>
  <c r="M686" i="7" s="1"/>
  <c r="O687" i="7"/>
  <c r="M687" i="7" s="1"/>
  <c r="O688" i="7"/>
  <c r="M688" i="7" s="1"/>
  <c r="O689" i="7"/>
  <c r="M689" i="7" s="1"/>
  <c r="O690" i="7"/>
  <c r="M690" i="7" s="1"/>
  <c r="O691" i="7"/>
  <c r="M691" i="7" s="1"/>
  <c r="O692" i="7"/>
  <c r="M692" i="7" s="1"/>
  <c r="O693" i="7"/>
  <c r="M693" i="7" s="1"/>
  <c r="O694" i="7"/>
  <c r="M694" i="7" s="1"/>
  <c r="O695" i="7"/>
  <c r="M695" i="7" s="1"/>
  <c r="O696" i="7"/>
  <c r="M696" i="7" s="1"/>
  <c r="O697" i="7"/>
  <c r="M697" i="7" s="1"/>
  <c r="O698" i="7"/>
  <c r="M698" i="7" s="1"/>
  <c r="O699" i="7"/>
  <c r="M699" i="7" s="1"/>
  <c r="O700" i="7"/>
  <c r="M700" i="7" s="1"/>
  <c r="O701" i="7"/>
  <c r="M701" i="7" s="1"/>
  <c r="O702" i="7"/>
  <c r="M702" i="7" s="1"/>
  <c r="O703" i="7"/>
  <c r="M703" i="7" s="1"/>
  <c r="O704" i="7"/>
  <c r="M704" i="7" s="1"/>
  <c r="O705" i="7"/>
  <c r="M705" i="7" s="1"/>
  <c r="O706" i="7"/>
  <c r="M706" i="7" s="1"/>
  <c r="O707" i="7"/>
  <c r="M707" i="7" s="1"/>
  <c r="O708" i="7"/>
  <c r="M708" i="7" s="1"/>
  <c r="O709" i="7"/>
  <c r="M709" i="7" s="1"/>
  <c r="O710" i="7"/>
  <c r="M710" i="7" s="1"/>
  <c r="O711" i="7"/>
  <c r="M711" i="7" s="1"/>
  <c r="O712" i="7"/>
  <c r="M712" i="7" s="1"/>
  <c r="O713" i="7"/>
  <c r="M713" i="7" s="1"/>
  <c r="O714" i="7"/>
  <c r="M714" i="7" s="1"/>
  <c r="O715" i="7"/>
  <c r="M715" i="7" s="1"/>
  <c r="O716" i="7"/>
  <c r="M716" i="7" s="1"/>
  <c r="O717" i="7"/>
  <c r="M717" i="7" s="1"/>
  <c r="O718" i="7"/>
  <c r="M718" i="7" s="1"/>
  <c r="O719" i="7"/>
  <c r="M719" i="7" s="1"/>
  <c r="O720" i="7"/>
  <c r="M720" i="7" s="1"/>
  <c r="O721" i="7"/>
  <c r="M721" i="7" s="1"/>
  <c r="O722" i="7"/>
  <c r="M722" i="7" s="1"/>
  <c r="O723" i="7"/>
  <c r="M723" i="7" s="1"/>
  <c r="O724" i="7"/>
  <c r="M724" i="7" s="1"/>
  <c r="O725" i="7"/>
  <c r="M725" i="7" s="1"/>
  <c r="O726" i="7"/>
  <c r="M726" i="7" s="1"/>
  <c r="O727" i="7"/>
  <c r="M727" i="7" s="1"/>
  <c r="O728" i="7"/>
  <c r="M728" i="7" s="1"/>
  <c r="O729" i="7"/>
  <c r="M729" i="7" s="1"/>
  <c r="O730" i="7"/>
  <c r="M730" i="7" s="1"/>
  <c r="O731" i="7"/>
  <c r="M731" i="7" s="1"/>
  <c r="O732" i="7"/>
  <c r="M732" i="7" s="1"/>
  <c r="O733" i="7"/>
  <c r="M733" i="7" s="1"/>
  <c r="O734" i="7"/>
  <c r="M734" i="7" s="1"/>
  <c r="O735" i="7"/>
  <c r="M735" i="7" s="1"/>
  <c r="O736" i="7"/>
  <c r="M736" i="7" s="1"/>
  <c r="O737" i="7"/>
  <c r="M737" i="7" s="1"/>
  <c r="O738" i="7"/>
  <c r="M738" i="7" s="1"/>
  <c r="O739" i="7"/>
  <c r="M739" i="7" s="1"/>
  <c r="O740" i="7"/>
  <c r="M740" i="7" s="1"/>
  <c r="O741" i="7"/>
  <c r="M741" i="7" s="1"/>
  <c r="O742" i="7"/>
  <c r="M742" i="7" s="1"/>
  <c r="O743" i="7"/>
  <c r="M743" i="7" s="1"/>
  <c r="O744" i="7"/>
  <c r="M744" i="7" s="1"/>
  <c r="O745" i="7"/>
  <c r="M745" i="7" s="1"/>
  <c r="O746" i="7"/>
  <c r="M746" i="7" s="1"/>
  <c r="O747" i="7"/>
  <c r="M747" i="7" s="1"/>
  <c r="O748" i="7"/>
  <c r="M748" i="7" s="1"/>
  <c r="O749" i="7"/>
  <c r="M749" i="7" s="1"/>
  <c r="O750" i="7"/>
  <c r="M750" i="7" s="1"/>
  <c r="O751" i="7"/>
  <c r="M751" i="7" s="1"/>
  <c r="O752" i="7"/>
  <c r="M752" i="7" s="1"/>
  <c r="O753" i="7"/>
  <c r="M753" i="7" s="1"/>
  <c r="O754" i="7"/>
  <c r="M754" i="7" s="1"/>
  <c r="O755" i="7"/>
  <c r="M755" i="7" s="1"/>
  <c r="O756" i="7"/>
  <c r="M756" i="7" s="1"/>
  <c r="O757" i="7"/>
  <c r="M757" i="7" s="1"/>
  <c r="O758" i="7"/>
  <c r="M758" i="7" s="1"/>
  <c r="O759" i="7"/>
  <c r="M759" i="7" s="1"/>
  <c r="O760" i="7"/>
  <c r="M760" i="7" s="1"/>
  <c r="O761" i="7"/>
  <c r="M761" i="7" s="1"/>
  <c r="O762" i="7"/>
  <c r="M762" i="7" s="1"/>
  <c r="O763" i="7"/>
  <c r="M763" i="7" s="1"/>
  <c r="O764" i="7"/>
  <c r="M764" i="7" s="1"/>
  <c r="O765" i="7"/>
  <c r="M765" i="7" s="1"/>
  <c r="O766" i="7"/>
  <c r="M766" i="7" s="1"/>
  <c r="O767" i="7"/>
  <c r="M767" i="7" s="1"/>
  <c r="O768" i="7"/>
  <c r="M768" i="7" s="1"/>
  <c r="O769" i="7"/>
  <c r="M769" i="7" s="1"/>
  <c r="O770" i="7"/>
  <c r="M770" i="7" s="1"/>
  <c r="O771" i="7"/>
  <c r="M771" i="7" s="1"/>
  <c r="O772" i="7"/>
  <c r="M772" i="7" s="1"/>
  <c r="O773" i="7"/>
  <c r="M773" i="7" s="1"/>
  <c r="O774" i="7"/>
  <c r="M774" i="7" s="1"/>
  <c r="O775" i="7"/>
  <c r="M775" i="7" s="1"/>
  <c r="O776" i="7"/>
  <c r="M776" i="7" s="1"/>
  <c r="O777" i="7"/>
  <c r="M777" i="7" s="1"/>
  <c r="O778" i="7"/>
  <c r="M778" i="7" s="1"/>
  <c r="O779" i="7"/>
  <c r="M779" i="7" s="1"/>
  <c r="O780" i="7"/>
  <c r="M780" i="7" s="1"/>
  <c r="O781" i="7"/>
  <c r="M781" i="7" s="1"/>
  <c r="O782" i="7"/>
  <c r="M782" i="7" s="1"/>
  <c r="O783" i="7"/>
  <c r="M783" i="7" s="1"/>
  <c r="O784" i="7"/>
  <c r="M784" i="7" s="1"/>
  <c r="O785" i="7"/>
  <c r="M785" i="7" s="1"/>
  <c r="O786" i="7"/>
  <c r="M786" i="7" s="1"/>
  <c r="O787" i="7"/>
  <c r="M787" i="7" s="1"/>
  <c r="O788" i="7"/>
  <c r="M788" i="7" s="1"/>
  <c r="O789" i="7"/>
  <c r="M789" i="7" s="1"/>
  <c r="O790" i="7"/>
  <c r="M790" i="7" s="1"/>
  <c r="O791" i="7"/>
  <c r="M791" i="7" s="1"/>
  <c r="O792" i="7"/>
  <c r="M792" i="7" s="1"/>
  <c r="O793" i="7"/>
  <c r="M793" i="7" s="1"/>
  <c r="O794" i="7"/>
  <c r="M794" i="7" s="1"/>
  <c r="O795" i="7"/>
  <c r="M795" i="7" s="1"/>
  <c r="O796" i="7"/>
  <c r="M796" i="7" s="1"/>
  <c r="O797" i="7"/>
  <c r="M797" i="7" s="1"/>
  <c r="O798" i="7"/>
  <c r="M798" i="7" s="1"/>
  <c r="O799" i="7"/>
  <c r="M799" i="7" s="1"/>
  <c r="O800" i="7"/>
  <c r="M800" i="7" s="1"/>
  <c r="O801" i="7"/>
  <c r="M801" i="7" s="1"/>
  <c r="O802" i="7"/>
  <c r="M802" i="7" s="1"/>
  <c r="O803" i="7"/>
  <c r="M803" i="7" s="1"/>
  <c r="O804" i="7"/>
  <c r="M804" i="7" s="1"/>
  <c r="O805" i="7"/>
  <c r="M805" i="7" s="1"/>
  <c r="O806" i="7"/>
  <c r="M806" i="7" s="1"/>
  <c r="O807" i="7"/>
  <c r="M807" i="7" s="1"/>
  <c r="O808" i="7"/>
  <c r="M808" i="7" s="1"/>
  <c r="O809" i="7"/>
  <c r="M809" i="7" s="1"/>
  <c r="O810" i="7"/>
  <c r="M810" i="7" s="1"/>
  <c r="O811" i="7"/>
  <c r="M811" i="7" s="1"/>
  <c r="O812" i="7"/>
  <c r="M812" i="7" s="1"/>
  <c r="O813" i="7"/>
  <c r="M813" i="7" s="1"/>
  <c r="O814" i="7"/>
  <c r="M814" i="7" s="1"/>
  <c r="O815" i="7"/>
  <c r="M815" i="7" s="1"/>
  <c r="O816" i="7"/>
  <c r="M816" i="7" s="1"/>
  <c r="O817" i="7"/>
  <c r="M817" i="7" s="1"/>
  <c r="O818" i="7"/>
  <c r="M818" i="7" s="1"/>
  <c r="O819" i="7"/>
  <c r="M819" i="7" s="1"/>
  <c r="O820" i="7"/>
  <c r="M820" i="7" s="1"/>
  <c r="O821" i="7"/>
  <c r="M821" i="7" s="1"/>
  <c r="O822" i="7"/>
  <c r="M822" i="7" s="1"/>
  <c r="O823" i="7"/>
  <c r="M823" i="7" s="1"/>
  <c r="O824" i="7"/>
  <c r="M824" i="7" s="1"/>
  <c r="O825" i="7"/>
  <c r="M825" i="7" s="1"/>
  <c r="O826" i="7"/>
  <c r="M826" i="7" s="1"/>
  <c r="O827" i="7"/>
  <c r="M827" i="7" s="1"/>
  <c r="O828" i="7"/>
  <c r="M828" i="7" s="1"/>
  <c r="O829" i="7"/>
  <c r="M829" i="7" s="1"/>
  <c r="O830" i="7"/>
  <c r="M830" i="7" s="1"/>
  <c r="O831" i="7"/>
  <c r="M831" i="7" s="1"/>
  <c r="O832" i="7"/>
  <c r="M832" i="7" s="1"/>
  <c r="O833" i="7"/>
  <c r="M833" i="7" s="1"/>
  <c r="O834" i="7"/>
  <c r="M834" i="7" s="1"/>
  <c r="O835" i="7"/>
  <c r="M835" i="7" s="1"/>
  <c r="O836" i="7"/>
  <c r="M836" i="7" s="1"/>
  <c r="O837" i="7"/>
  <c r="M837" i="7" s="1"/>
  <c r="O838" i="7"/>
  <c r="M838" i="7" s="1"/>
  <c r="O839" i="7"/>
  <c r="M839" i="7" s="1"/>
  <c r="O840" i="7"/>
  <c r="M840" i="7" s="1"/>
  <c r="O841" i="7"/>
  <c r="M841" i="7" s="1"/>
  <c r="O842" i="7"/>
  <c r="M842" i="7" s="1"/>
  <c r="O843" i="7"/>
  <c r="M843" i="7" s="1"/>
  <c r="O844" i="7"/>
  <c r="M844" i="7" s="1"/>
  <c r="O845" i="7"/>
  <c r="M845" i="7" s="1"/>
  <c r="O846" i="7"/>
  <c r="M846" i="7" s="1"/>
  <c r="O847" i="7"/>
  <c r="M847" i="7" s="1"/>
  <c r="O848" i="7"/>
  <c r="M848" i="7" s="1"/>
  <c r="O849" i="7"/>
  <c r="M849" i="7" s="1"/>
  <c r="O850" i="7"/>
  <c r="M850" i="7" s="1"/>
  <c r="O851" i="7"/>
  <c r="M851" i="7" s="1"/>
  <c r="O852" i="7"/>
  <c r="M852" i="7" s="1"/>
  <c r="O853" i="7"/>
  <c r="M853" i="7" s="1"/>
  <c r="O854" i="7"/>
  <c r="M854" i="7" s="1"/>
  <c r="O855" i="7"/>
  <c r="M855" i="7" s="1"/>
  <c r="O856" i="7"/>
  <c r="M856" i="7" s="1"/>
  <c r="O857" i="7"/>
  <c r="M857" i="7" s="1"/>
  <c r="O858" i="7"/>
  <c r="M858" i="7" s="1"/>
  <c r="O859" i="7"/>
  <c r="M859" i="7" s="1"/>
  <c r="O860" i="7"/>
  <c r="M860" i="7" s="1"/>
  <c r="O861" i="7"/>
  <c r="M861" i="7" s="1"/>
  <c r="O862" i="7"/>
  <c r="M862" i="7" s="1"/>
  <c r="O863" i="7"/>
  <c r="M863" i="7" s="1"/>
  <c r="O864" i="7"/>
  <c r="M864" i="7" s="1"/>
  <c r="O865" i="7"/>
  <c r="M865" i="7" s="1"/>
  <c r="O866" i="7"/>
  <c r="M866" i="7" s="1"/>
  <c r="O867" i="7"/>
  <c r="M867" i="7" s="1"/>
  <c r="O868" i="7"/>
  <c r="M868" i="7" s="1"/>
  <c r="O869" i="7"/>
  <c r="M869" i="7" s="1"/>
  <c r="O870" i="7"/>
  <c r="M870" i="7" s="1"/>
  <c r="O871" i="7"/>
  <c r="M871" i="7" s="1"/>
  <c r="O872" i="7"/>
  <c r="M872" i="7" s="1"/>
  <c r="O873" i="7"/>
  <c r="M873" i="7" s="1"/>
  <c r="O874" i="7"/>
  <c r="M874" i="7" s="1"/>
  <c r="O875" i="7"/>
  <c r="M875" i="7" s="1"/>
  <c r="O876" i="7"/>
  <c r="M876" i="7" s="1"/>
  <c r="O877" i="7"/>
  <c r="M877" i="7" s="1"/>
  <c r="O878" i="7"/>
  <c r="M878" i="7" s="1"/>
  <c r="O879" i="7"/>
  <c r="M879" i="7" s="1"/>
  <c r="O880" i="7"/>
  <c r="M880" i="7" s="1"/>
  <c r="O881" i="7"/>
  <c r="M881" i="7" s="1"/>
  <c r="O882" i="7"/>
  <c r="M882" i="7" s="1"/>
  <c r="O883" i="7"/>
  <c r="M883" i="7" s="1"/>
  <c r="O884" i="7"/>
  <c r="M884" i="7" s="1"/>
  <c r="O885" i="7"/>
  <c r="M885" i="7" s="1"/>
  <c r="O886" i="7"/>
  <c r="M886" i="7" s="1"/>
  <c r="O887" i="7"/>
  <c r="M887" i="7" s="1"/>
  <c r="O888" i="7"/>
  <c r="M888" i="7" s="1"/>
  <c r="O889" i="7"/>
  <c r="M889" i="7" s="1"/>
  <c r="O890" i="7"/>
  <c r="M890" i="7" s="1"/>
  <c r="O891" i="7"/>
  <c r="M891" i="7" s="1"/>
  <c r="O892" i="7"/>
  <c r="M892" i="7" s="1"/>
  <c r="O893" i="7"/>
  <c r="M893" i="7" s="1"/>
  <c r="O894" i="7"/>
  <c r="M894" i="7" s="1"/>
  <c r="O895" i="7"/>
  <c r="M895" i="7" s="1"/>
  <c r="O896" i="7"/>
  <c r="M896" i="7" s="1"/>
  <c r="O897" i="7"/>
  <c r="M897" i="7" s="1"/>
  <c r="O898" i="7"/>
  <c r="M898" i="7" s="1"/>
  <c r="O899" i="7"/>
  <c r="M899" i="7" s="1"/>
  <c r="O900" i="7"/>
  <c r="M900" i="7" s="1"/>
  <c r="O901" i="7"/>
  <c r="M901" i="7" s="1"/>
  <c r="O902" i="7"/>
  <c r="M902" i="7" s="1"/>
  <c r="O903" i="7"/>
  <c r="M903" i="7" s="1"/>
  <c r="O904" i="7"/>
  <c r="M904" i="7" s="1"/>
  <c r="O905" i="7"/>
  <c r="M905" i="7" s="1"/>
  <c r="O906" i="7"/>
  <c r="M906" i="7" s="1"/>
  <c r="O907" i="7"/>
  <c r="M907" i="7" s="1"/>
  <c r="O908" i="7"/>
  <c r="M908" i="7" s="1"/>
  <c r="O909" i="7"/>
  <c r="M909" i="7" s="1"/>
  <c r="O910" i="7"/>
  <c r="M910" i="7" s="1"/>
  <c r="O911" i="7"/>
  <c r="M911" i="7" s="1"/>
  <c r="O912" i="7"/>
  <c r="M912" i="7" s="1"/>
  <c r="O913" i="7"/>
  <c r="M913" i="7" s="1"/>
  <c r="O914" i="7"/>
  <c r="M914" i="7" s="1"/>
  <c r="O915" i="7"/>
  <c r="M915" i="7" s="1"/>
  <c r="O916" i="7"/>
  <c r="M916" i="7" s="1"/>
  <c r="O917" i="7"/>
  <c r="M917" i="7" s="1"/>
  <c r="O918" i="7"/>
  <c r="M918" i="7" s="1"/>
  <c r="O919" i="7"/>
  <c r="M919" i="7" s="1"/>
  <c r="O920" i="7"/>
  <c r="M920" i="7" s="1"/>
  <c r="O921" i="7"/>
  <c r="M921" i="7" s="1"/>
  <c r="O922" i="7"/>
  <c r="M922" i="7" s="1"/>
  <c r="O923" i="7"/>
  <c r="M923" i="7" s="1"/>
  <c r="O924" i="7"/>
  <c r="M924" i="7" s="1"/>
  <c r="O925" i="7"/>
  <c r="M925" i="7" s="1"/>
  <c r="O926" i="7"/>
  <c r="M926" i="7" s="1"/>
  <c r="O927" i="7"/>
  <c r="M927" i="7" s="1"/>
  <c r="O928" i="7"/>
  <c r="M928" i="7" s="1"/>
  <c r="O929" i="7"/>
  <c r="M929" i="7" s="1"/>
  <c r="O930" i="7"/>
  <c r="M930" i="7" s="1"/>
  <c r="O931" i="7"/>
  <c r="M931" i="7" s="1"/>
  <c r="O932" i="7"/>
  <c r="M932" i="7" s="1"/>
  <c r="O933" i="7"/>
  <c r="M933" i="7" s="1"/>
  <c r="O934" i="7"/>
  <c r="M934" i="7" s="1"/>
  <c r="O935" i="7"/>
  <c r="M935" i="7" s="1"/>
  <c r="O936" i="7"/>
  <c r="M936" i="7" s="1"/>
  <c r="O937" i="7"/>
  <c r="M937" i="7" s="1"/>
  <c r="O938" i="7"/>
  <c r="M938" i="7" s="1"/>
  <c r="O939" i="7"/>
  <c r="M939" i="7" s="1"/>
  <c r="O940" i="7"/>
  <c r="M940" i="7" s="1"/>
  <c r="O941" i="7"/>
  <c r="M941" i="7" s="1"/>
  <c r="O942" i="7"/>
  <c r="M942" i="7" s="1"/>
  <c r="O943" i="7"/>
  <c r="M943" i="7" s="1"/>
  <c r="O944" i="7"/>
  <c r="M944" i="7" s="1"/>
  <c r="O945" i="7"/>
  <c r="M945" i="7" s="1"/>
  <c r="O946" i="7"/>
  <c r="M946" i="7" s="1"/>
  <c r="O947" i="7"/>
  <c r="M947" i="7" s="1"/>
  <c r="O948" i="7"/>
  <c r="M948" i="7" s="1"/>
  <c r="O949" i="7"/>
  <c r="M949" i="7" s="1"/>
  <c r="O950" i="7"/>
  <c r="M950" i="7" s="1"/>
  <c r="O951" i="7"/>
  <c r="M951" i="7" s="1"/>
  <c r="O952" i="7"/>
  <c r="M952" i="7" s="1"/>
  <c r="O953" i="7"/>
  <c r="M953" i="7" s="1"/>
  <c r="O954" i="7"/>
  <c r="M954" i="7" s="1"/>
  <c r="O955" i="7"/>
  <c r="M955" i="7" s="1"/>
  <c r="O956" i="7"/>
  <c r="M956" i="7" s="1"/>
  <c r="O957" i="7"/>
  <c r="M957" i="7" s="1"/>
  <c r="O958" i="7"/>
  <c r="M958" i="7" s="1"/>
  <c r="O959" i="7"/>
  <c r="M959" i="7" s="1"/>
  <c r="O960" i="7"/>
  <c r="M960" i="7" s="1"/>
  <c r="O961" i="7"/>
  <c r="M961" i="7" s="1"/>
  <c r="O962" i="7"/>
  <c r="M962" i="7" s="1"/>
  <c r="O963" i="7"/>
  <c r="M963" i="7" s="1"/>
  <c r="O964" i="7"/>
  <c r="M964" i="7" s="1"/>
  <c r="O965" i="7"/>
  <c r="M965" i="7" s="1"/>
  <c r="O966" i="7"/>
  <c r="M966" i="7" s="1"/>
  <c r="O967" i="7"/>
  <c r="M967" i="7" s="1"/>
  <c r="O968" i="7"/>
  <c r="M968" i="7" s="1"/>
  <c r="O969" i="7"/>
  <c r="M969" i="7" s="1"/>
  <c r="O970" i="7"/>
  <c r="M970" i="7" s="1"/>
  <c r="O971" i="7"/>
  <c r="M971" i="7" s="1"/>
  <c r="O972" i="7"/>
  <c r="M972" i="7" s="1"/>
  <c r="O973" i="7"/>
  <c r="M973" i="7" s="1"/>
  <c r="O974" i="7"/>
  <c r="M974" i="7" s="1"/>
  <c r="O975" i="7"/>
  <c r="M975" i="7" s="1"/>
  <c r="O976" i="7"/>
  <c r="M976" i="7" s="1"/>
  <c r="O977" i="7"/>
  <c r="M977" i="7" s="1"/>
  <c r="O978" i="7"/>
  <c r="M978" i="7" s="1"/>
  <c r="O979" i="7"/>
  <c r="M979" i="7" s="1"/>
  <c r="O980" i="7"/>
  <c r="M980" i="7" s="1"/>
  <c r="O981" i="7"/>
  <c r="M981" i="7" s="1"/>
  <c r="O982" i="7"/>
  <c r="M982" i="7" s="1"/>
  <c r="O983" i="7"/>
  <c r="M983" i="7" s="1"/>
  <c r="O984" i="7"/>
  <c r="M984" i="7" s="1"/>
  <c r="O985" i="7"/>
  <c r="M985" i="7" s="1"/>
  <c r="O986" i="7"/>
  <c r="M986" i="7" s="1"/>
  <c r="O987" i="7"/>
  <c r="M987" i="7" s="1"/>
  <c r="O988" i="7"/>
  <c r="M988" i="7" s="1"/>
  <c r="O989" i="7"/>
  <c r="M989" i="7" s="1"/>
  <c r="O990" i="7"/>
  <c r="M990" i="7" s="1"/>
  <c r="O991" i="7"/>
  <c r="M991" i="7" s="1"/>
  <c r="O992" i="7"/>
  <c r="M992" i="7" s="1"/>
  <c r="O993" i="7"/>
  <c r="M993" i="7" s="1"/>
  <c r="O994" i="7"/>
  <c r="M994" i="7" s="1"/>
  <c r="O995" i="7"/>
  <c r="M995" i="7" s="1"/>
  <c r="O996" i="7"/>
  <c r="M996" i="7" s="1"/>
  <c r="O997" i="7"/>
  <c r="M997" i="7" s="1"/>
  <c r="O998" i="7"/>
  <c r="M998" i="7" s="1"/>
  <c r="O999" i="7"/>
  <c r="M999" i="7" s="1"/>
  <c r="O1000" i="7"/>
  <c r="M1000" i="7" s="1"/>
  <c r="O1001" i="7"/>
  <c r="M1001" i="7" s="1"/>
  <c r="O1002" i="7"/>
  <c r="M1002" i="7" s="1"/>
  <c r="O1003" i="7"/>
  <c r="M1003" i="7" s="1"/>
  <c r="O1004" i="7"/>
  <c r="M1004" i="7" s="1"/>
  <c r="O1005" i="7"/>
  <c r="M1005" i="7" s="1"/>
  <c r="O1006" i="7"/>
  <c r="M1006" i="7" s="1"/>
  <c r="O1007" i="7"/>
  <c r="M1007" i="7" s="1"/>
  <c r="O1008" i="7"/>
  <c r="M1008" i="7" s="1"/>
  <c r="O1009" i="7"/>
  <c r="M1009" i="7" s="1"/>
  <c r="O1010" i="7"/>
  <c r="M1010" i="7" s="1"/>
  <c r="O1011" i="7"/>
  <c r="M1011" i="7" s="1"/>
  <c r="O1012" i="7"/>
  <c r="M1012" i="7" s="1"/>
  <c r="O1013" i="7"/>
  <c r="M1013" i="7" s="1"/>
  <c r="O1014" i="7"/>
  <c r="M1014" i="7" s="1"/>
  <c r="O1015" i="7"/>
  <c r="M1015" i="7" s="1"/>
  <c r="O1016" i="7"/>
  <c r="M1016" i="7" s="1"/>
  <c r="O1017" i="7"/>
  <c r="M1017" i="7" s="1"/>
  <c r="O1018" i="7"/>
  <c r="M1018" i="7" s="1"/>
  <c r="O1019" i="7"/>
  <c r="M1019" i="7" s="1"/>
  <c r="O1020" i="7"/>
  <c r="M1020" i="7" s="1"/>
  <c r="O1021" i="7"/>
  <c r="M1021" i="7" s="1"/>
  <c r="O1022" i="7"/>
  <c r="M1022" i="7" s="1"/>
  <c r="O1023" i="7"/>
  <c r="M1023" i="7" s="1"/>
  <c r="O1024" i="7"/>
  <c r="M1024" i="7" s="1"/>
  <c r="O1025" i="7"/>
  <c r="M1025" i="7" s="1"/>
  <c r="O1026" i="7"/>
  <c r="M1026" i="7" s="1"/>
  <c r="O1027" i="7"/>
  <c r="M1027" i="7" s="1"/>
  <c r="O1028" i="7"/>
  <c r="M1028" i="7" s="1"/>
  <c r="O1029" i="7"/>
  <c r="M1029" i="7" s="1"/>
  <c r="O1030" i="7"/>
  <c r="M1030" i="7" s="1"/>
  <c r="O1031" i="7"/>
  <c r="M1031" i="7" s="1"/>
  <c r="O1032" i="7"/>
  <c r="M1032" i="7" s="1"/>
  <c r="O1033" i="7"/>
  <c r="M1033" i="7" s="1"/>
  <c r="O1034" i="7"/>
  <c r="M1034" i="7" s="1"/>
  <c r="O1035" i="7"/>
  <c r="M1035" i="7" s="1"/>
  <c r="O1036" i="7"/>
  <c r="M1036" i="7" s="1"/>
  <c r="O1037" i="7"/>
  <c r="M1037" i="7" s="1"/>
  <c r="O1038" i="7"/>
  <c r="M1038" i="7" s="1"/>
  <c r="O1039" i="7"/>
  <c r="M1039" i="7" s="1"/>
  <c r="O1040" i="7"/>
  <c r="M1040" i="7" s="1"/>
  <c r="O1041" i="7"/>
  <c r="M1041" i="7" s="1"/>
  <c r="O1042" i="7"/>
  <c r="M1042" i="7" s="1"/>
  <c r="O1043" i="7"/>
  <c r="M1043" i="7" s="1"/>
  <c r="O1044" i="7"/>
  <c r="M1044" i="7" s="1"/>
  <c r="O1045" i="7"/>
  <c r="M1045" i="7" s="1"/>
  <c r="O1046" i="7"/>
  <c r="M1046" i="7" s="1"/>
  <c r="O1047" i="7"/>
  <c r="M1047" i="7" s="1"/>
  <c r="O1048" i="7"/>
  <c r="M1048" i="7" s="1"/>
  <c r="O1049" i="7"/>
  <c r="M1049" i="7" s="1"/>
  <c r="O1050" i="7"/>
  <c r="M1050" i="7" s="1"/>
  <c r="O1051" i="7"/>
  <c r="M1051" i="7" s="1"/>
  <c r="O1052" i="7"/>
  <c r="M1052" i="7" s="1"/>
  <c r="O1053" i="7"/>
  <c r="M1053" i="7" s="1"/>
  <c r="O1054" i="7"/>
  <c r="M1054" i="7" s="1"/>
  <c r="O1055" i="7"/>
  <c r="M1055" i="7" s="1"/>
  <c r="O1056" i="7"/>
  <c r="M1056" i="7" s="1"/>
  <c r="O1057" i="7"/>
  <c r="M1057" i="7" s="1"/>
  <c r="O1058" i="7"/>
  <c r="M1058" i="7" s="1"/>
  <c r="O1059" i="7"/>
  <c r="M1059" i="7" s="1"/>
  <c r="O1060" i="7"/>
  <c r="M1060" i="7" s="1"/>
  <c r="O1061" i="7"/>
  <c r="M1061" i="7" s="1"/>
  <c r="O1062" i="7"/>
  <c r="M1062" i="7" s="1"/>
  <c r="O1063" i="7"/>
  <c r="M1063" i="7" s="1"/>
  <c r="O1064" i="7"/>
  <c r="M1064" i="7" s="1"/>
  <c r="O1065" i="7"/>
  <c r="M1065" i="7" s="1"/>
  <c r="O1066" i="7"/>
  <c r="M1066" i="7" s="1"/>
  <c r="O1067" i="7"/>
  <c r="M1067" i="7" s="1"/>
  <c r="O1068" i="7"/>
  <c r="M1068" i="7" s="1"/>
  <c r="O1069" i="7"/>
  <c r="M1069" i="7" s="1"/>
  <c r="O1070" i="7"/>
  <c r="M1070" i="7" s="1"/>
  <c r="O1071" i="7"/>
  <c r="M1071" i="7" s="1"/>
  <c r="O1072" i="7"/>
  <c r="M1072" i="7" s="1"/>
  <c r="O1073" i="7"/>
  <c r="M1073" i="7" s="1"/>
  <c r="O1074" i="7"/>
  <c r="M1074" i="7" s="1"/>
  <c r="O1075" i="7"/>
  <c r="M1075" i="7" s="1"/>
  <c r="O1076" i="7"/>
  <c r="M1076" i="7" s="1"/>
  <c r="O1077" i="7"/>
  <c r="M1077" i="7" s="1"/>
  <c r="O1078" i="7"/>
  <c r="M1078" i="7" s="1"/>
  <c r="O1079" i="7"/>
  <c r="M1079" i="7" s="1"/>
  <c r="O1080" i="7"/>
  <c r="M1080" i="7" s="1"/>
  <c r="O1081" i="7"/>
  <c r="M1081" i="7" s="1"/>
  <c r="O1082" i="7"/>
  <c r="M1082" i="7" s="1"/>
  <c r="O1083" i="7"/>
  <c r="M1083" i="7" s="1"/>
  <c r="O1084" i="7"/>
  <c r="M1084" i="7" s="1"/>
  <c r="O1085" i="7"/>
  <c r="M1085" i="7" s="1"/>
  <c r="O1086" i="7"/>
  <c r="M1086" i="7" s="1"/>
  <c r="O1087" i="7"/>
  <c r="M1087" i="7" s="1"/>
  <c r="O1088" i="7"/>
  <c r="M1088" i="7" s="1"/>
  <c r="O1089" i="7"/>
  <c r="M1089" i="7" s="1"/>
  <c r="O1090" i="7"/>
  <c r="M1090" i="7" s="1"/>
  <c r="O1091" i="7"/>
  <c r="M1091" i="7" s="1"/>
  <c r="O1092" i="7"/>
  <c r="M1092" i="7" s="1"/>
  <c r="O1093" i="7"/>
  <c r="M1093" i="7" s="1"/>
  <c r="O1094" i="7"/>
  <c r="M1094" i="7" s="1"/>
  <c r="O1095" i="7"/>
  <c r="M1095" i="7" s="1"/>
  <c r="O1096" i="7"/>
  <c r="M1096" i="7" s="1"/>
  <c r="O1097" i="7"/>
  <c r="M1097" i="7" s="1"/>
  <c r="O1098" i="7"/>
  <c r="M1098" i="7" s="1"/>
  <c r="O1099" i="7"/>
  <c r="M1099" i="7" s="1"/>
  <c r="O1100" i="7"/>
  <c r="M1100" i="7" s="1"/>
  <c r="O1101" i="7"/>
  <c r="M1101" i="7" s="1"/>
  <c r="O1102" i="7"/>
  <c r="M1102" i="7" s="1"/>
  <c r="O1103" i="7"/>
  <c r="M1103" i="7" s="1"/>
  <c r="O1104" i="7"/>
  <c r="M1104" i="7" s="1"/>
  <c r="O1105" i="7"/>
  <c r="M1105" i="7" s="1"/>
  <c r="O1106" i="7"/>
  <c r="M1106" i="7" s="1"/>
  <c r="O1107" i="7"/>
  <c r="M1107" i="7" s="1"/>
  <c r="O1108" i="7"/>
  <c r="M1108" i="7" s="1"/>
  <c r="O1109" i="7"/>
  <c r="M1109" i="7" s="1"/>
  <c r="O1110" i="7"/>
  <c r="M1110" i="7" s="1"/>
  <c r="O1111" i="7"/>
  <c r="M1111" i="7" s="1"/>
  <c r="O1112" i="7"/>
  <c r="M1112" i="7" s="1"/>
  <c r="O1113" i="7"/>
  <c r="M1113" i="7" s="1"/>
  <c r="O1114" i="7"/>
  <c r="M1114" i="7" s="1"/>
  <c r="O1115" i="7"/>
  <c r="M1115" i="7" s="1"/>
  <c r="O1116" i="7"/>
  <c r="M1116" i="7" s="1"/>
  <c r="O1117" i="7"/>
  <c r="M1117" i="7" s="1"/>
  <c r="O1118" i="7"/>
  <c r="M1118" i="7" s="1"/>
  <c r="O1119" i="7"/>
  <c r="M1119" i="7" s="1"/>
  <c r="O1120" i="7"/>
  <c r="M1120" i="7" s="1"/>
  <c r="O1121" i="7"/>
  <c r="M1121" i="7" s="1"/>
  <c r="O1122" i="7"/>
  <c r="M1122" i="7" s="1"/>
  <c r="O1123" i="7"/>
  <c r="M1123" i="7" s="1"/>
  <c r="O1124" i="7"/>
  <c r="M1124" i="7" s="1"/>
  <c r="O1125" i="7"/>
  <c r="M1125" i="7" s="1"/>
  <c r="O1126" i="7"/>
  <c r="M1126" i="7" s="1"/>
  <c r="O1127" i="7"/>
  <c r="M1127" i="7" s="1"/>
  <c r="O1128" i="7"/>
  <c r="M1128" i="7" s="1"/>
  <c r="O1129" i="7"/>
  <c r="M1129" i="7" s="1"/>
  <c r="O1130" i="7"/>
  <c r="M1130" i="7" s="1"/>
  <c r="O1131" i="7"/>
  <c r="M1131" i="7" s="1"/>
  <c r="O1132" i="7"/>
  <c r="M1132" i="7" s="1"/>
  <c r="O1133" i="7"/>
  <c r="M1133" i="7" s="1"/>
  <c r="O1134" i="7"/>
  <c r="M1134" i="7" s="1"/>
  <c r="O1135" i="7"/>
  <c r="M1135" i="7" s="1"/>
  <c r="O1136" i="7"/>
  <c r="M1136" i="7" s="1"/>
  <c r="O1137" i="7"/>
  <c r="M1137" i="7" s="1"/>
  <c r="O1138" i="7"/>
  <c r="M1138" i="7" s="1"/>
  <c r="O1139" i="7"/>
  <c r="M1139" i="7" s="1"/>
  <c r="O1140" i="7"/>
  <c r="M1140" i="7" s="1"/>
  <c r="O1141" i="7"/>
  <c r="M1141" i="7" s="1"/>
  <c r="O1142" i="7"/>
  <c r="M1142" i="7" s="1"/>
  <c r="O1143" i="7"/>
  <c r="M1143" i="7" s="1"/>
  <c r="O1144" i="7"/>
  <c r="M1144" i="7" s="1"/>
  <c r="O1145" i="7"/>
  <c r="M1145" i="7" s="1"/>
  <c r="O1146" i="7"/>
  <c r="M1146" i="7" s="1"/>
  <c r="O1147" i="7"/>
  <c r="M1147" i="7" s="1"/>
  <c r="O1148" i="7"/>
  <c r="M1148" i="7" s="1"/>
  <c r="O1149" i="7"/>
  <c r="M1149" i="7" s="1"/>
  <c r="O1150" i="7"/>
  <c r="M1150" i="7" s="1"/>
  <c r="O1151" i="7"/>
  <c r="M1151" i="7" s="1"/>
  <c r="O1152" i="7"/>
  <c r="M1152" i="7" s="1"/>
  <c r="O1153" i="7"/>
  <c r="M1153" i="7" s="1"/>
  <c r="O1154" i="7"/>
  <c r="M1154" i="7" s="1"/>
  <c r="O1155" i="7"/>
  <c r="M1155" i="7" s="1"/>
  <c r="O1156" i="7"/>
  <c r="M1156" i="7" s="1"/>
  <c r="O1157" i="7"/>
  <c r="M1157" i="7" s="1"/>
  <c r="O1158" i="7"/>
  <c r="M1158" i="7" s="1"/>
  <c r="O1159" i="7"/>
  <c r="M1159" i="7" s="1"/>
  <c r="O1160" i="7"/>
  <c r="M1160" i="7" s="1"/>
  <c r="O1161" i="7"/>
  <c r="M1161" i="7" s="1"/>
  <c r="O1162" i="7"/>
  <c r="M1162" i="7" s="1"/>
  <c r="O1163" i="7"/>
  <c r="M1163" i="7" s="1"/>
  <c r="O1164" i="7"/>
  <c r="M1164" i="7" s="1"/>
  <c r="O1165" i="7"/>
  <c r="M1165" i="7" s="1"/>
  <c r="O1166" i="7"/>
  <c r="M1166" i="7" s="1"/>
  <c r="O1167" i="7"/>
  <c r="M1167" i="7" s="1"/>
  <c r="O1168" i="7"/>
  <c r="M1168" i="7" s="1"/>
  <c r="O1169" i="7"/>
  <c r="M1169" i="7" s="1"/>
  <c r="O1170" i="7"/>
  <c r="M1170" i="7" s="1"/>
  <c r="O1171" i="7"/>
  <c r="M1171" i="7" s="1"/>
  <c r="O1172" i="7"/>
  <c r="M1172" i="7" s="1"/>
  <c r="O1173" i="7"/>
  <c r="M1173" i="7" s="1"/>
  <c r="O1174" i="7"/>
  <c r="M1174" i="7" s="1"/>
  <c r="O1175" i="7"/>
  <c r="M1175" i="7" s="1"/>
  <c r="O1176" i="7"/>
  <c r="M1176" i="7" s="1"/>
  <c r="O1177" i="7"/>
  <c r="M1177" i="7" s="1"/>
  <c r="O1178" i="7"/>
  <c r="M1178" i="7" s="1"/>
  <c r="O1179" i="7"/>
  <c r="M1179" i="7" s="1"/>
  <c r="O1180" i="7"/>
  <c r="M1180" i="7" s="1"/>
  <c r="O1181" i="7"/>
  <c r="M1181" i="7" s="1"/>
  <c r="O1182" i="7"/>
  <c r="M1182" i="7" s="1"/>
  <c r="O1183" i="7"/>
  <c r="M1183" i="7" s="1"/>
  <c r="O1184" i="7"/>
  <c r="M1184" i="7" s="1"/>
  <c r="O1185" i="7"/>
  <c r="M1185" i="7" s="1"/>
  <c r="O1186" i="7"/>
  <c r="M1186" i="7" s="1"/>
  <c r="O1187" i="7"/>
  <c r="M1187" i="7" s="1"/>
  <c r="O1188" i="7"/>
  <c r="M1188" i="7" s="1"/>
  <c r="O1189" i="7"/>
  <c r="M1189" i="7" s="1"/>
  <c r="O1190" i="7"/>
  <c r="M1190" i="7" s="1"/>
  <c r="O1191" i="7"/>
  <c r="M1191" i="7" s="1"/>
  <c r="O1192" i="7"/>
  <c r="M1192" i="7" s="1"/>
  <c r="O1193" i="7"/>
  <c r="M1193" i="7" s="1"/>
  <c r="O1194" i="7"/>
  <c r="M1194" i="7" s="1"/>
  <c r="O1195" i="7"/>
  <c r="M1195" i="7" s="1"/>
  <c r="O1196" i="7"/>
  <c r="M1196" i="7" s="1"/>
  <c r="O1197" i="7"/>
  <c r="M1197" i="7" s="1"/>
  <c r="O1198" i="7"/>
  <c r="M1198" i="7" s="1"/>
  <c r="O1199" i="7"/>
  <c r="M1199" i="7" s="1"/>
  <c r="O1200" i="7"/>
  <c r="M1200" i="7" s="1"/>
  <c r="O1201" i="7"/>
  <c r="M1201" i="7" s="1"/>
  <c r="O1202" i="7"/>
  <c r="M1202" i="7" s="1"/>
  <c r="O1203" i="7"/>
  <c r="M1203" i="7" s="1"/>
  <c r="O1204" i="7"/>
  <c r="M1204" i="7" s="1"/>
  <c r="O1205" i="7"/>
  <c r="M1205" i="7" s="1"/>
  <c r="O1206" i="7"/>
  <c r="M1206" i="7" s="1"/>
  <c r="O1207" i="7"/>
  <c r="M1207" i="7" s="1"/>
  <c r="O1208" i="7"/>
  <c r="M1208" i="7" s="1"/>
  <c r="O1209" i="7"/>
  <c r="M1209" i="7" s="1"/>
  <c r="O1210" i="7"/>
  <c r="M1210" i="7" s="1"/>
  <c r="O1211" i="7"/>
  <c r="M1211" i="7" s="1"/>
  <c r="O1212" i="7"/>
  <c r="M1212" i="7" s="1"/>
  <c r="O1213" i="7"/>
  <c r="M1213" i="7" s="1"/>
  <c r="O1214" i="7"/>
  <c r="M1214" i="7" s="1"/>
  <c r="O1215" i="7"/>
  <c r="M1215" i="7" s="1"/>
  <c r="O1216" i="7"/>
  <c r="M1216" i="7" s="1"/>
  <c r="O1217" i="7"/>
  <c r="M1217" i="7" s="1"/>
  <c r="O1218" i="7"/>
  <c r="M1218" i="7" s="1"/>
  <c r="O1219" i="7"/>
  <c r="M1219" i="7" s="1"/>
  <c r="O1220" i="7"/>
  <c r="M1220" i="7" s="1"/>
  <c r="O1221" i="7"/>
  <c r="M1221" i="7" s="1"/>
  <c r="O1222" i="7"/>
  <c r="M1222" i="7" s="1"/>
  <c r="O1223" i="7"/>
  <c r="M1223" i="7" s="1"/>
  <c r="O1224" i="7"/>
  <c r="M1224" i="7" s="1"/>
  <c r="O1225" i="7"/>
  <c r="M1225" i="7" s="1"/>
  <c r="O1226" i="7"/>
  <c r="M1226" i="7" s="1"/>
  <c r="O1227" i="7"/>
  <c r="M1227" i="7" s="1"/>
  <c r="O1228" i="7"/>
  <c r="M1228" i="7" s="1"/>
  <c r="O1229" i="7"/>
  <c r="M1229" i="7" s="1"/>
  <c r="O1230" i="7"/>
  <c r="M1230" i="7" s="1"/>
  <c r="O1231" i="7"/>
  <c r="M1231" i="7" s="1"/>
  <c r="O1232" i="7"/>
  <c r="M1232" i="7" s="1"/>
  <c r="O1233" i="7"/>
  <c r="M1233" i="7" s="1"/>
  <c r="O1234" i="7"/>
  <c r="M1234" i="7" s="1"/>
  <c r="O1235" i="7"/>
  <c r="M1235" i="7" s="1"/>
  <c r="O1236" i="7"/>
  <c r="M1236" i="7" s="1"/>
  <c r="O1237" i="7"/>
  <c r="M1237" i="7" s="1"/>
  <c r="O1238" i="7"/>
  <c r="M1238" i="7" s="1"/>
  <c r="O1239" i="7"/>
  <c r="M1239" i="7" s="1"/>
  <c r="O1240" i="7"/>
  <c r="M1240" i="7" s="1"/>
  <c r="O1241" i="7"/>
  <c r="M1241" i="7" s="1"/>
  <c r="O1242" i="7"/>
  <c r="M1242" i="7" s="1"/>
  <c r="O1243" i="7"/>
  <c r="M1243" i="7" s="1"/>
  <c r="O1244" i="7"/>
  <c r="M1244" i="7" s="1"/>
  <c r="O1245" i="7"/>
  <c r="M1245" i="7" s="1"/>
  <c r="O1246" i="7"/>
  <c r="M1246" i="7" s="1"/>
  <c r="O1247" i="7"/>
  <c r="M1247" i="7" s="1"/>
  <c r="O1248" i="7"/>
  <c r="M1248" i="7" s="1"/>
  <c r="O1249" i="7"/>
  <c r="M1249" i="7" s="1"/>
  <c r="O1250" i="7"/>
  <c r="M1250" i="7" s="1"/>
  <c r="O1251" i="7"/>
  <c r="M1251" i="7" s="1"/>
  <c r="O1252" i="7"/>
  <c r="M1252" i="7" s="1"/>
  <c r="O1253" i="7"/>
  <c r="M1253" i="7" s="1"/>
  <c r="O1254" i="7"/>
  <c r="M1254" i="7" s="1"/>
  <c r="O1255" i="7"/>
  <c r="M1255" i="7" s="1"/>
  <c r="O1256" i="7"/>
  <c r="M1256" i="7" s="1"/>
  <c r="O1257" i="7"/>
  <c r="M1257" i="7" s="1"/>
  <c r="O1258" i="7"/>
  <c r="M1258" i="7" s="1"/>
  <c r="O1259" i="7"/>
  <c r="M1259" i="7" s="1"/>
  <c r="O1260" i="7"/>
  <c r="M1260" i="7" s="1"/>
  <c r="O1261" i="7"/>
  <c r="M1261" i="7" s="1"/>
  <c r="O1262" i="7"/>
  <c r="M1262" i="7" s="1"/>
  <c r="O1263" i="7"/>
  <c r="M1263" i="7" s="1"/>
  <c r="O1264" i="7"/>
  <c r="M1264" i="7" s="1"/>
  <c r="O1265" i="7"/>
  <c r="M1265" i="7" s="1"/>
  <c r="O1266" i="7"/>
  <c r="M1266" i="7" s="1"/>
  <c r="O1267" i="7"/>
  <c r="M1267" i="7" s="1"/>
  <c r="O1268" i="7"/>
  <c r="M1268" i="7" s="1"/>
  <c r="O1269" i="7"/>
  <c r="M1269" i="7" s="1"/>
  <c r="O1270" i="7"/>
  <c r="M1270" i="7" s="1"/>
  <c r="O1271" i="7"/>
  <c r="M1271" i="7" s="1"/>
  <c r="O1272" i="7"/>
  <c r="M1272" i="7" s="1"/>
  <c r="O1273" i="7"/>
  <c r="M1273" i="7" s="1"/>
  <c r="O1274" i="7"/>
  <c r="M1274" i="7" s="1"/>
  <c r="O1275" i="7"/>
  <c r="M1275" i="7" s="1"/>
  <c r="O1276" i="7"/>
  <c r="M1276" i="7" s="1"/>
  <c r="O1277" i="7"/>
  <c r="M1277" i="7" s="1"/>
  <c r="O1278" i="7"/>
  <c r="M1278" i="7" s="1"/>
  <c r="O1279" i="7"/>
  <c r="M1279" i="7" s="1"/>
  <c r="O1280" i="7"/>
  <c r="M1280" i="7" s="1"/>
  <c r="O1281" i="7"/>
  <c r="M1281" i="7" s="1"/>
  <c r="O1282" i="7"/>
  <c r="M1282" i="7" s="1"/>
  <c r="O1283" i="7"/>
  <c r="M1283" i="7" s="1"/>
  <c r="O1284" i="7"/>
  <c r="M1284" i="7" s="1"/>
  <c r="O1285" i="7"/>
  <c r="M1285" i="7" s="1"/>
  <c r="O1286" i="7"/>
  <c r="M1286" i="7" s="1"/>
  <c r="O1287" i="7"/>
  <c r="M1287" i="7" s="1"/>
  <c r="O1288" i="7"/>
  <c r="M1288" i="7" s="1"/>
  <c r="O1289" i="7"/>
  <c r="M1289" i="7" s="1"/>
  <c r="O1290" i="7"/>
  <c r="M1290" i="7" s="1"/>
  <c r="O1291" i="7"/>
  <c r="M1291" i="7" s="1"/>
  <c r="O1292" i="7"/>
  <c r="M1292" i="7" s="1"/>
  <c r="O1293" i="7"/>
  <c r="M1293" i="7" s="1"/>
  <c r="O1294" i="7"/>
  <c r="M1294" i="7" s="1"/>
  <c r="O1295" i="7"/>
  <c r="M1295" i="7" s="1"/>
  <c r="O1296" i="7"/>
  <c r="M1296" i="7" s="1"/>
  <c r="O1297" i="7"/>
  <c r="M1297" i="7" s="1"/>
  <c r="O1298" i="7"/>
  <c r="M1298" i="7" s="1"/>
  <c r="O1299" i="7"/>
  <c r="M1299" i="7" s="1"/>
  <c r="O1300" i="7"/>
  <c r="M1300" i="7" s="1"/>
  <c r="O1301" i="7"/>
  <c r="M1301" i="7" s="1"/>
  <c r="O1302" i="7"/>
  <c r="M1302" i="7" s="1"/>
  <c r="O1303" i="7"/>
  <c r="M1303" i="7" s="1"/>
  <c r="O1304" i="7"/>
  <c r="M1304" i="7" s="1"/>
  <c r="O1305" i="7"/>
  <c r="M1305" i="7" s="1"/>
  <c r="O1306" i="7"/>
  <c r="M1306" i="7" s="1"/>
  <c r="O1307" i="7"/>
  <c r="M1307" i="7" s="1"/>
  <c r="O1308" i="7"/>
  <c r="M1308" i="7" s="1"/>
  <c r="O1309" i="7"/>
  <c r="M1309" i="7" s="1"/>
  <c r="O1310" i="7"/>
  <c r="M1310" i="7" s="1"/>
  <c r="O1311" i="7"/>
  <c r="M1311" i="7" s="1"/>
  <c r="O1312" i="7"/>
  <c r="M1312" i="7" s="1"/>
  <c r="O1313" i="7"/>
  <c r="M1313" i="7" s="1"/>
  <c r="O1314" i="7"/>
  <c r="M1314" i="7" s="1"/>
  <c r="O1315" i="7"/>
  <c r="M1315" i="7" s="1"/>
  <c r="O1316" i="7"/>
  <c r="M1316" i="7" s="1"/>
  <c r="O1317" i="7"/>
  <c r="M1317" i="7" s="1"/>
  <c r="O1318" i="7"/>
  <c r="M1318" i="7" s="1"/>
  <c r="O1319" i="7"/>
  <c r="M1319" i="7" s="1"/>
  <c r="O1320" i="7"/>
  <c r="M1320" i="7" s="1"/>
  <c r="O1321" i="7"/>
  <c r="M1321" i="7" s="1"/>
  <c r="O1322" i="7"/>
  <c r="M1322" i="7" s="1"/>
  <c r="O1323" i="7"/>
  <c r="M1323" i="7" s="1"/>
  <c r="O1324" i="7"/>
  <c r="M1324" i="7" s="1"/>
  <c r="O1325" i="7"/>
  <c r="M1325" i="7" s="1"/>
  <c r="O1326" i="7"/>
  <c r="M1326" i="7" s="1"/>
  <c r="O1327" i="7"/>
  <c r="M1327" i="7" s="1"/>
  <c r="O1328" i="7"/>
  <c r="M1328" i="7" s="1"/>
  <c r="O1329" i="7"/>
  <c r="M1329" i="7" s="1"/>
  <c r="O1330" i="7"/>
  <c r="M1330" i="7" s="1"/>
  <c r="O1331" i="7"/>
  <c r="M1331" i="7" s="1"/>
  <c r="O1332" i="7"/>
  <c r="M1332" i="7" s="1"/>
  <c r="O1333" i="7"/>
  <c r="M1333" i="7" s="1"/>
  <c r="O1334" i="7"/>
  <c r="M1334" i="7" s="1"/>
  <c r="O1335" i="7"/>
  <c r="M1335" i="7" s="1"/>
  <c r="O1336" i="7"/>
  <c r="M1336" i="7" s="1"/>
  <c r="O1337" i="7"/>
  <c r="M1337" i="7" s="1"/>
  <c r="O1338" i="7"/>
  <c r="M1338" i="7" s="1"/>
  <c r="O1339" i="7"/>
  <c r="M1339" i="7" s="1"/>
  <c r="O1340" i="7"/>
  <c r="M1340" i="7" s="1"/>
  <c r="O1341" i="7"/>
  <c r="M1341" i="7" s="1"/>
  <c r="O1342" i="7"/>
  <c r="M1342" i="7" s="1"/>
  <c r="O1343" i="7"/>
  <c r="M1343" i="7" s="1"/>
  <c r="O1344" i="7"/>
  <c r="M1344" i="7" s="1"/>
  <c r="O1345" i="7"/>
  <c r="M1345" i="7" s="1"/>
  <c r="O1346" i="7"/>
  <c r="M1346" i="7" s="1"/>
  <c r="O1347" i="7"/>
  <c r="M1347" i="7" s="1"/>
  <c r="O1348" i="7"/>
  <c r="M1348" i="7" s="1"/>
  <c r="O1349" i="7"/>
  <c r="M1349" i="7" s="1"/>
  <c r="O1350" i="7"/>
  <c r="M1350" i="7" s="1"/>
  <c r="O1351" i="7"/>
  <c r="M1351" i="7" s="1"/>
  <c r="O1352" i="7"/>
  <c r="M1352" i="7" s="1"/>
  <c r="O1353" i="7"/>
  <c r="M1353" i="7" s="1"/>
  <c r="O1354" i="7"/>
  <c r="M1354" i="7" s="1"/>
  <c r="O1355" i="7"/>
  <c r="M1355" i="7" s="1"/>
  <c r="O1356" i="7"/>
  <c r="M1356" i="7" s="1"/>
  <c r="O1357" i="7"/>
  <c r="M1357" i="7" s="1"/>
  <c r="O1358" i="7"/>
  <c r="M1358" i="7" s="1"/>
  <c r="O1359" i="7"/>
  <c r="M1359" i="7" s="1"/>
  <c r="O1360" i="7"/>
  <c r="M1360" i="7" s="1"/>
  <c r="O1361" i="7"/>
  <c r="M1361" i="7" s="1"/>
  <c r="O1362" i="7"/>
  <c r="M1362" i="7" s="1"/>
  <c r="O1363" i="7"/>
  <c r="M1363" i="7" s="1"/>
  <c r="O1364" i="7"/>
  <c r="M1364" i="7" s="1"/>
  <c r="O1365" i="7"/>
  <c r="M1365" i="7" s="1"/>
  <c r="O1366" i="7"/>
  <c r="M1366" i="7" s="1"/>
  <c r="O1367" i="7"/>
  <c r="M1367" i="7" s="1"/>
  <c r="O1368" i="7"/>
  <c r="M1368" i="7" s="1"/>
  <c r="O1369" i="7"/>
  <c r="M1369" i="7" s="1"/>
  <c r="O1370" i="7"/>
  <c r="M1370" i="7" s="1"/>
  <c r="O1371" i="7"/>
  <c r="M1371" i="7" s="1"/>
  <c r="O1372" i="7"/>
  <c r="M1372" i="7" s="1"/>
  <c r="O1373" i="7"/>
  <c r="M1373" i="7" s="1"/>
  <c r="O1374" i="7"/>
  <c r="M1374" i="7" s="1"/>
  <c r="O1375" i="7"/>
  <c r="M1375" i="7" s="1"/>
  <c r="O1376" i="7"/>
  <c r="M1376" i="7" s="1"/>
  <c r="O1377" i="7"/>
  <c r="M1377" i="7" s="1"/>
  <c r="O1378" i="7"/>
  <c r="M1378" i="7" s="1"/>
  <c r="O1379" i="7"/>
  <c r="M1379" i="7" s="1"/>
  <c r="O1380" i="7"/>
  <c r="M1380" i="7" s="1"/>
  <c r="O1381" i="7"/>
  <c r="M1381" i="7" s="1"/>
  <c r="O1382" i="7"/>
  <c r="M1382" i="7" s="1"/>
  <c r="O1383" i="7"/>
  <c r="M1383" i="7" s="1"/>
  <c r="O1384" i="7"/>
  <c r="M1384" i="7" s="1"/>
  <c r="O1385" i="7"/>
  <c r="M1385" i="7" s="1"/>
  <c r="O1386" i="7"/>
  <c r="M1386" i="7" s="1"/>
  <c r="O1387" i="7"/>
  <c r="M1387" i="7" s="1"/>
  <c r="O1388" i="7"/>
  <c r="M1388" i="7" s="1"/>
  <c r="O1389" i="7"/>
  <c r="M1389" i="7" s="1"/>
  <c r="O1390" i="7"/>
  <c r="M1390" i="7" s="1"/>
  <c r="O1391" i="7"/>
  <c r="M1391" i="7" s="1"/>
  <c r="O1392" i="7"/>
  <c r="M1392" i="7" s="1"/>
  <c r="O1393" i="7"/>
  <c r="M1393" i="7" s="1"/>
  <c r="O1394" i="7"/>
  <c r="M1394" i="7" s="1"/>
  <c r="O1395" i="7"/>
  <c r="M1395" i="7" s="1"/>
  <c r="O1396" i="7"/>
  <c r="M1396" i="7" s="1"/>
  <c r="O1397" i="7"/>
  <c r="M1397" i="7" s="1"/>
  <c r="O1398" i="7"/>
  <c r="M1398" i="7" s="1"/>
  <c r="O1399" i="7"/>
  <c r="M1399" i="7" s="1"/>
  <c r="O1400" i="7"/>
  <c r="M1400" i="7" s="1"/>
  <c r="O1401" i="7"/>
  <c r="M1401" i="7" s="1"/>
  <c r="O1402" i="7"/>
  <c r="M1402" i="7" s="1"/>
  <c r="O1403" i="7"/>
  <c r="M1403" i="7" s="1"/>
  <c r="O1404" i="7"/>
  <c r="M1404" i="7" s="1"/>
  <c r="O1405" i="7"/>
  <c r="M1405" i="7" s="1"/>
  <c r="O1406" i="7"/>
  <c r="M1406" i="7" s="1"/>
  <c r="O1407" i="7"/>
  <c r="M1407" i="7" s="1"/>
  <c r="O1408" i="7"/>
  <c r="M1408" i="7" s="1"/>
  <c r="O1409" i="7"/>
  <c r="M1409" i="7" s="1"/>
  <c r="O1410" i="7"/>
  <c r="M1410" i="7" s="1"/>
  <c r="O1411" i="7"/>
  <c r="M1411" i="7" s="1"/>
  <c r="O1412" i="7"/>
  <c r="M1412" i="7" s="1"/>
  <c r="O1413" i="7"/>
  <c r="M1413" i="7" s="1"/>
  <c r="O1414" i="7"/>
  <c r="M1414" i="7" s="1"/>
  <c r="O1415" i="7"/>
  <c r="M1415" i="7" s="1"/>
  <c r="O1416" i="7"/>
  <c r="M1416" i="7" s="1"/>
  <c r="O1417" i="7"/>
  <c r="M1417" i="7" s="1"/>
  <c r="O1418" i="7"/>
  <c r="M1418" i="7" s="1"/>
  <c r="O1419" i="7"/>
  <c r="M1419" i="7" s="1"/>
  <c r="O1420" i="7"/>
  <c r="M1420" i="7" s="1"/>
  <c r="O1421" i="7"/>
  <c r="M1421" i="7" s="1"/>
  <c r="O1422" i="7"/>
  <c r="M1422" i="7" s="1"/>
  <c r="O1423" i="7"/>
  <c r="M1423" i="7" s="1"/>
  <c r="O1424" i="7"/>
  <c r="M1424" i="7" s="1"/>
  <c r="O1425" i="7"/>
  <c r="M1425" i="7" s="1"/>
  <c r="O1426" i="7"/>
  <c r="M1426" i="7" s="1"/>
  <c r="O1427" i="7"/>
  <c r="M1427" i="7" s="1"/>
  <c r="O1428" i="7"/>
  <c r="M1428" i="7" s="1"/>
  <c r="O1429" i="7"/>
  <c r="M1429" i="7" s="1"/>
  <c r="O1430" i="7"/>
  <c r="M1430" i="7" s="1"/>
  <c r="O1431" i="7"/>
  <c r="M1431" i="7" s="1"/>
  <c r="O1432" i="7"/>
  <c r="M1432" i="7" s="1"/>
  <c r="O1433" i="7"/>
  <c r="M1433" i="7" s="1"/>
  <c r="O1434" i="7"/>
  <c r="M1434" i="7" s="1"/>
  <c r="O1435" i="7"/>
  <c r="M1435" i="7" s="1"/>
  <c r="O1436" i="7"/>
  <c r="M1436" i="7" s="1"/>
  <c r="O1437" i="7"/>
  <c r="M1437" i="7" s="1"/>
  <c r="O1438" i="7"/>
  <c r="M1438" i="7" s="1"/>
  <c r="O1439" i="7"/>
  <c r="M1439" i="7" s="1"/>
  <c r="O1440" i="7"/>
  <c r="M1440" i="7" s="1"/>
  <c r="O1441" i="7"/>
  <c r="M1441" i="7" s="1"/>
  <c r="O1442" i="7"/>
  <c r="M1442" i="7" s="1"/>
  <c r="O1443" i="7"/>
  <c r="M1443" i="7" s="1"/>
  <c r="O1444" i="7"/>
  <c r="M1444" i="7" s="1"/>
  <c r="O1445" i="7"/>
  <c r="M1445" i="7" s="1"/>
  <c r="O1446" i="7"/>
  <c r="M1446" i="7" s="1"/>
  <c r="O1447" i="7"/>
  <c r="M1447" i="7" s="1"/>
  <c r="O1448" i="7"/>
  <c r="M1448" i="7" s="1"/>
  <c r="O1449" i="7"/>
  <c r="M1449" i="7" s="1"/>
  <c r="O1450" i="7"/>
  <c r="M1450" i="7" s="1"/>
  <c r="O1451" i="7"/>
  <c r="M1451" i="7" s="1"/>
  <c r="O1452" i="7"/>
  <c r="M1452" i="7" s="1"/>
  <c r="O1453" i="7"/>
  <c r="M1453" i="7" s="1"/>
  <c r="O1454" i="7"/>
  <c r="M1454" i="7" s="1"/>
  <c r="O1455" i="7"/>
  <c r="M1455" i="7" s="1"/>
  <c r="O1456" i="7"/>
  <c r="M1456" i="7" s="1"/>
  <c r="O1457" i="7"/>
  <c r="M1457" i="7" s="1"/>
  <c r="O1458" i="7"/>
  <c r="M1458" i="7" s="1"/>
  <c r="O1459" i="7"/>
  <c r="M1459" i="7" s="1"/>
  <c r="O1460" i="7"/>
  <c r="M1460" i="7" s="1"/>
  <c r="O1461" i="7"/>
  <c r="M1461" i="7" s="1"/>
  <c r="O1462" i="7"/>
  <c r="M1462" i="7" s="1"/>
  <c r="O1463" i="7"/>
  <c r="M1463" i="7" s="1"/>
  <c r="O1464" i="7"/>
  <c r="M1464" i="7" s="1"/>
  <c r="O1465" i="7"/>
  <c r="M1465" i="7" s="1"/>
  <c r="O1466" i="7"/>
  <c r="M1466" i="7" s="1"/>
  <c r="O1467" i="7"/>
  <c r="M1467" i="7" s="1"/>
  <c r="O1468" i="7"/>
  <c r="M1468" i="7" s="1"/>
  <c r="O1469" i="7"/>
  <c r="M1469" i="7" s="1"/>
  <c r="O1470" i="7"/>
  <c r="M1470" i="7" s="1"/>
  <c r="O1471" i="7"/>
  <c r="M1471" i="7" s="1"/>
  <c r="O1472" i="7"/>
  <c r="M1472" i="7" s="1"/>
  <c r="O1473" i="7"/>
  <c r="M1473" i="7" s="1"/>
  <c r="O1474" i="7"/>
  <c r="M1474" i="7" s="1"/>
  <c r="O1475" i="7"/>
  <c r="M1475" i="7" s="1"/>
  <c r="O1476" i="7"/>
  <c r="M1476" i="7" s="1"/>
  <c r="O1477" i="7"/>
  <c r="M1477" i="7" s="1"/>
  <c r="O1478" i="7"/>
  <c r="M1478" i="7" s="1"/>
  <c r="O1479" i="7"/>
  <c r="M1479" i="7" s="1"/>
  <c r="O1480" i="7"/>
  <c r="M1480" i="7" s="1"/>
  <c r="O1481" i="7"/>
  <c r="M1481" i="7" s="1"/>
  <c r="O1482" i="7"/>
  <c r="M1482" i="7" s="1"/>
  <c r="O1483" i="7"/>
  <c r="M1483" i="7" s="1"/>
  <c r="O1484" i="7"/>
  <c r="M1484" i="7" s="1"/>
  <c r="O1485" i="7"/>
  <c r="M1485" i="7" s="1"/>
  <c r="O1486" i="7"/>
  <c r="M1486" i="7" s="1"/>
  <c r="O1487" i="7"/>
  <c r="M1487" i="7" s="1"/>
  <c r="O1488" i="7"/>
  <c r="M1488" i="7" s="1"/>
  <c r="O1489" i="7"/>
  <c r="M1489" i="7" s="1"/>
  <c r="O1490" i="7"/>
  <c r="M1490" i="7" s="1"/>
  <c r="O1491" i="7"/>
  <c r="M1491" i="7" s="1"/>
  <c r="O1492" i="7"/>
  <c r="M1492" i="7" s="1"/>
  <c r="O1493" i="7"/>
  <c r="M1493" i="7" s="1"/>
  <c r="O1494" i="7"/>
  <c r="M1494" i="7" s="1"/>
  <c r="O1495" i="7"/>
  <c r="M1495" i="7" s="1"/>
  <c r="O1496" i="7"/>
  <c r="M1496" i="7" s="1"/>
  <c r="D2" i="7"/>
  <c r="C2" i="7"/>
  <c r="A1496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531" i="7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A574" i="7"/>
  <c r="A575" i="7"/>
  <c r="A576" i="7"/>
  <c r="A577" i="7"/>
  <c r="A578" i="7"/>
  <c r="A579" i="7"/>
  <c r="A580" i="7"/>
  <c r="A581" i="7"/>
  <c r="A582" i="7"/>
  <c r="A583" i="7"/>
  <c r="A584" i="7"/>
  <c r="A585" i="7"/>
  <c r="A586" i="7"/>
  <c r="A587" i="7"/>
  <c r="A588" i="7"/>
  <c r="A589" i="7"/>
  <c r="A590" i="7"/>
  <c r="A591" i="7"/>
  <c r="A592" i="7"/>
  <c r="A593" i="7"/>
  <c r="A594" i="7"/>
  <c r="A595" i="7"/>
  <c r="A596" i="7"/>
  <c r="A597" i="7"/>
  <c r="A598" i="7"/>
  <c r="A599" i="7"/>
  <c r="A600" i="7"/>
  <c r="A601" i="7"/>
  <c r="A602" i="7"/>
  <c r="A603" i="7"/>
  <c r="A604" i="7"/>
  <c r="A605" i="7"/>
  <c r="A606" i="7"/>
  <c r="A607" i="7"/>
  <c r="A608" i="7"/>
  <c r="A609" i="7"/>
  <c r="A610" i="7"/>
  <c r="A611" i="7"/>
  <c r="A612" i="7"/>
  <c r="A613" i="7"/>
  <c r="A614" i="7"/>
  <c r="A615" i="7"/>
  <c r="A616" i="7"/>
  <c r="A617" i="7"/>
  <c r="A618" i="7"/>
  <c r="A619" i="7"/>
  <c r="A620" i="7"/>
  <c r="A621" i="7"/>
  <c r="A622" i="7"/>
  <c r="A623" i="7"/>
  <c r="A624" i="7"/>
  <c r="A625" i="7"/>
  <c r="A626" i="7"/>
  <c r="A627" i="7"/>
  <c r="A628" i="7"/>
  <c r="A629" i="7"/>
  <c r="A630" i="7"/>
  <c r="A631" i="7"/>
  <c r="A632" i="7"/>
  <c r="A633" i="7"/>
  <c r="A634" i="7"/>
  <c r="A635" i="7"/>
  <c r="A636" i="7"/>
  <c r="A637" i="7"/>
  <c r="A638" i="7"/>
  <c r="A639" i="7"/>
  <c r="A640" i="7"/>
  <c r="A641" i="7"/>
  <c r="A642" i="7"/>
  <c r="A643" i="7"/>
  <c r="A644" i="7"/>
  <c r="A645" i="7"/>
  <c r="A646" i="7"/>
  <c r="A647" i="7"/>
  <c r="A648" i="7"/>
  <c r="A649" i="7"/>
  <c r="A650" i="7"/>
  <c r="A651" i="7"/>
  <c r="A652" i="7"/>
  <c r="A653" i="7"/>
  <c r="A654" i="7"/>
  <c r="A655" i="7"/>
  <c r="A656" i="7"/>
  <c r="A657" i="7"/>
  <c r="A658" i="7"/>
  <c r="A659" i="7"/>
  <c r="A660" i="7"/>
  <c r="A661" i="7"/>
  <c r="A662" i="7"/>
  <c r="A663" i="7"/>
  <c r="A664" i="7"/>
  <c r="A665" i="7"/>
  <c r="A666" i="7"/>
  <c r="A667" i="7"/>
  <c r="A668" i="7"/>
  <c r="A669" i="7"/>
  <c r="A670" i="7"/>
  <c r="A671" i="7"/>
  <c r="A672" i="7"/>
  <c r="A673" i="7"/>
  <c r="A674" i="7"/>
  <c r="A675" i="7"/>
  <c r="A676" i="7"/>
  <c r="A677" i="7"/>
  <c r="A678" i="7"/>
  <c r="A679" i="7"/>
  <c r="A680" i="7"/>
  <c r="A681" i="7"/>
  <c r="A682" i="7"/>
  <c r="A683" i="7"/>
  <c r="A684" i="7"/>
  <c r="A685" i="7"/>
  <c r="A686" i="7"/>
  <c r="A687" i="7"/>
  <c r="A688" i="7"/>
  <c r="A689" i="7"/>
  <c r="A690" i="7"/>
  <c r="A691" i="7"/>
  <c r="A692" i="7"/>
  <c r="A693" i="7"/>
  <c r="A694" i="7"/>
  <c r="A695" i="7"/>
  <c r="A696" i="7"/>
  <c r="A697" i="7"/>
  <c r="A698" i="7"/>
  <c r="A699" i="7"/>
  <c r="A700" i="7"/>
  <c r="A701" i="7"/>
  <c r="A702" i="7"/>
  <c r="A703" i="7"/>
  <c r="A704" i="7"/>
  <c r="A705" i="7"/>
  <c r="A706" i="7"/>
  <c r="A707" i="7"/>
  <c r="A708" i="7"/>
  <c r="A709" i="7"/>
  <c r="A710" i="7"/>
  <c r="A711" i="7"/>
  <c r="A712" i="7"/>
  <c r="A713" i="7"/>
  <c r="A714" i="7"/>
  <c r="A715" i="7"/>
  <c r="A716" i="7"/>
  <c r="A717" i="7"/>
  <c r="A718" i="7"/>
  <c r="A719" i="7"/>
  <c r="A720" i="7"/>
  <c r="A721" i="7"/>
  <c r="A722" i="7"/>
  <c r="A723" i="7"/>
  <c r="A724" i="7"/>
  <c r="A725" i="7"/>
  <c r="A726" i="7"/>
  <c r="A727" i="7"/>
  <c r="A728" i="7"/>
  <c r="A729" i="7"/>
  <c r="A730" i="7"/>
  <c r="A731" i="7"/>
  <c r="A732" i="7"/>
  <c r="A733" i="7"/>
  <c r="A734" i="7"/>
  <c r="A735" i="7"/>
  <c r="A736" i="7"/>
  <c r="A737" i="7"/>
  <c r="A738" i="7"/>
  <c r="A739" i="7"/>
  <c r="A740" i="7"/>
  <c r="A741" i="7"/>
  <c r="A742" i="7"/>
  <c r="A743" i="7"/>
  <c r="A744" i="7"/>
  <c r="A745" i="7"/>
  <c r="A746" i="7"/>
  <c r="A747" i="7"/>
  <c r="A748" i="7"/>
  <c r="A749" i="7"/>
  <c r="A750" i="7"/>
  <c r="A751" i="7"/>
  <c r="A752" i="7"/>
  <c r="A753" i="7"/>
  <c r="A754" i="7"/>
  <c r="A755" i="7"/>
  <c r="A756" i="7"/>
  <c r="A757" i="7"/>
  <c r="A758" i="7"/>
  <c r="A759" i="7"/>
  <c r="A760" i="7"/>
  <c r="A761" i="7"/>
  <c r="A762" i="7"/>
  <c r="A763" i="7"/>
  <c r="A764" i="7"/>
  <c r="A765" i="7"/>
  <c r="A766" i="7"/>
  <c r="A767" i="7"/>
  <c r="A768" i="7"/>
  <c r="A769" i="7"/>
  <c r="A770" i="7"/>
  <c r="A771" i="7"/>
  <c r="A772" i="7"/>
  <c r="A773" i="7"/>
  <c r="A774" i="7"/>
  <c r="A775" i="7"/>
  <c r="A776" i="7"/>
  <c r="A777" i="7"/>
  <c r="A778" i="7"/>
  <c r="A779" i="7"/>
  <c r="A780" i="7"/>
  <c r="A781" i="7"/>
  <c r="A782" i="7"/>
  <c r="A783" i="7"/>
  <c r="A784" i="7"/>
  <c r="A785" i="7"/>
  <c r="A786" i="7"/>
  <c r="A787" i="7"/>
  <c r="A788" i="7"/>
  <c r="A789" i="7"/>
  <c r="A790" i="7"/>
  <c r="A791" i="7"/>
  <c r="A792" i="7"/>
  <c r="A793" i="7"/>
  <c r="A794" i="7"/>
  <c r="A795" i="7"/>
  <c r="A796" i="7"/>
  <c r="A797" i="7"/>
  <c r="A798" i="7"/>
  <c r="A799" i="7"/>
  <c r="A800" i="7"/>
  <c r="A801" i="7"/>
  <c r="A802" i="7"/>
  <c r="A803" i="7"/>
  <c r="A804" i="7"/>
  <c r="A805" i="7"/>
  <c r="A806" i="7"/>
  <c r="A807" i="7"/>
  <c r="A808" i="7"/>
  <c r="A809" i="7"/>
  <c r="A810" i="7"/>
  <c r="A811" i="7"/>
  <c r="A812" i="7"/>
  <c r="A813" i="7"/>
  <c r="A814" i="7"/>
  <c r="A815" i="7"/>
  <c r="A816" i="7"/>
  <c r="A817" i="7"/>
  <c r="A818" i="7"/>
  <c r="A819" i="7"/>
  <c r="A820" i="7"/>
  <c r="A821" i="7"/>
  <c r="A822" i="7"/>
  <c r="A823" i="7"/>
  <c r="A824" i="7"/>
  <c r="A825" i="7"/>
  <c r="A826" i="7"/>
  <c r="A827" i="7"/>
  <c r="A828" i="7"/>
  <c r="A829" i="7"/>
  <c r="A830" i="7"/>
  <c r="A831" i="7"/>
  <c r="A832" i="7"/>
  <c r="A833" i="7"/>
  <c r="A834" i="7"/>
  <c r="A835" i="7"/>
  <c r="A836" i="7"/>
  <c r="A837" i="7"/>
  <c r="A838" i="7"/>
  <c r="A839" i="7"/>
  <c r="A840" i="7"/>
  <c r="A841" i="7"/>
  <c r="A842" i="7"/>
  <c r="A843" i="7"/>
  <c r="A844" i="7"/>
  <c r="A845" i="7"/>
  <c r="A846" i="7"/>
  <c r="A847" i="7"/>
  <c r="A848" i="7"/>
  <c r="A849" i="7"/>
  <c r="A850" i="7"/>
  <c r="A851" i="7"/>
  <c r="A852" i="7"/>
  <c r="A853" i="7"/>
  <c r="A854" i="7"/>
  <c r="A855" i="7"/>
  <c r="A856" i="7"/>
  <c r="A857" i="7"/>
  <c r="A858" i="7"/>
  <c r="A859" i="7"/>
  <c r="A860" i="7"/>
  <c r="A861" i="7"/>
  <c r="A862" i="7"/>
  <c r="A863" i="7"/>
  <c r="A864" i="7"/>
  <c r="A865" i="7"/>
  <c r="A866" i="7"/>
  <c r="A867" i="7"/>
  <c r="A868" i="7"/>
  <c r="A869" i="7"/>
  <c r="A870" i="7"/>
  <c r="A871" i="7"/>
  <c r="A872" i="7"/>
  <c r="A873" i="7"/>
  <c r="A874" i="7"/>
  <c r="A875" i="7"/>
  <c r="A876" i="7"/>
  <c r="A877" i="7"/>
  <c r="A878" i="7"/>
  <c r="A879" i="7"/>
  <c r="A880" i="7"/>
  <c r="A881" i="7"/>
  <c r="A882" i="7"/>
  <c r="A883" i="7"/>
  <c r="A884" i="7"/>
  <c r="A885" i="7"/>
  <c r="A886" i="7"/>
  <c r="A887" i="7"/>
  <c r="A888" i="7"/>
  <c r="A889" i="7"/>
  <c r="A890" i="7"/>
  <c r="A891" i="7"/>
  <c r="A892" i="7"/>
  <c r="A893" i="7"/>
  <c r="A894" i="7"/>
  <c r="A895" i="7"/>
  <c r="A896" i="7"/>
  <c r="A897" i="7"/>
  <c r="A898" i="7"/>
  <c r="A899" i="7"/>
  <c r="A900" i="7"/>
  <c r="A901" i="7"/>
  <c r="A902" i="7"/>
  <c r="A903" i="7"/>
  <c r="A904" i="7"/>
  <c r="A905" i="7"/>
  <c r="A906" i="7"/>
  <c r="A907" i="7"/>
  <c r="A908" i="7"/>
  <c r="A909" i="7"/>
  <c r="A910" i="7"/>
  <c r="A911" i="7"/>
  <c r="A912" i="7"/>
  <c r="A913" i="7"/>
  <c r="A914" i="7"/>
  <c r="A915" i="7"/>
  <c r="A916" i="7"/>
  <c r="A917" i="7"/>
  <c r="A918" i="7"/>
  <c r="A919" i="7"/>
  <c r="A920" i="7"/>
  <c r="A921" i="7"/>
  <c r="A922" i="7"/>
  <c r="A923" i="7"/>
  <c r="A924" i="7"/>
  <c r="A925" i="7"/>
  <c r="A926" i="7"/>
  <c r="A927" i="7"/>
  <c r="A928" i="7"/>
  <c r="A929" i="7"/>
  <c r="A930" i="7"/>
  <c r="A931" i="7"/>
  <c r="A932" i="7"/>
  <c r="A933" i="7"/>
  <c r="A934" i="7"/>
  <c r="A935" i="7"/>
  <c r="A936" i="7"/>
  <c r="A937" i="7"/>
  <c r="A938" i="7"/>
  <c r="A939" i="7"/>
  <c r="A940" i="7"/>
  <c r="A941" i="7"/>
  <c r="A942" i="7"/>
  <c r="A943" i="7"/>
  <c r="A944" i="7"/>
  <c r="A945" i="7"/>
  <c r="A946" i="7"/>
  <c r="A947" i="7"/>
  <c r="A948" i="7"/>
  <c r="A949" i="7"/>
  <c r="A950" i="7"/>
  <c r="A951" i="7"/>
  <c r="A952" i="7"/>
  <c r="A953" i="7"/>
  <c r="A954" i="7"/>
  <c r="A955" i="7"/>
  <c r="A956" i="7"/>
  <c r="A957" i="7"/>
  <c r="A958" i="7"/>
  <c r="A959" i="7"/>
  <c r="A960" i="7"/>
  <c r="A961" i="7"/>
  <c r="A962" i="7"/>
  <c r="A963" i="7"/>
  <c r="A964" i="7"/>
  <c r="A965" i="7"/>
  <c r="A966" i="7"/>
  <c r="A967" i="7"/>
  <c r="A968" i="7"/>
  <c r="A969" i="7"/>
  <c r="A970" i="7"/>
  <c r="A971" i="7"/>
  <c r="A972" i="7"/>
  <c r="A973" i="7"/>
  <c r="A974" i="7"/>
  <c r="A975" i="7"/>
  <c r="A976" i="7"/>
  <c r="A977" i="7"/>
  <c r="A978" i="7"/>
  <c r="A979" i="7"/>
  <c r="A980" i="7"/>
  <c r="A981" i="7"/>
  <c r="A982" i="7"/>
  <c r="A983" i="7"/>
  <c r="A984" i="7"/>
  <c r="A985" i="7"/>
  <c r="A986" i="7"/>
  <c r="A987" i="7"/>
  <c r="A988" i="7"/>
  <c r="A989" i="7"/>
  <c r="A990" i="7"/>
  <c r="A991" i="7"/>
  <c r="A992" i="7"/>
  <c r="A993" i="7"/>
  <c r="A994" i="7"/>
  <c r="A995" i="7"/>
  <c r="A996" i="7"/>
  <c r="A997" i="7"/>
  <c r="A998" i="7"/>
  <c r="A999" i="7"/>
  <c r="A1000" i="7"/>
  <c r="A1001" i="7"/>
  <c r="A1002" i="7"/>
  <c r="A1003" i="7"/>
  <c r="A1004" i="7"/>
  <c r="A1005" i="7"/>
  <c r="A1006" i="7"/>
  <c r="A1007" i="7"/>
  <c r="A1008" i="7"/>
  <c r="A1009" i="7"/>
  <c r="A1010" i="7"/>
  <c r="A1011" i="7"/>
  <c r="A1012" i="7"/>
  <c r="A1013" i="7"/>
  <c r="A1014" i="7"/>
  <c r="A1015" i="7"/>
  <c r="A1016" i="7"/>
  <c r="A1017" i="7"/>
  <c r="A1018" i="7"/>
  <c r="A1019" i="7"/>
  <c r="A1020" i="7"/>
  <c r="A1021" i="7"/>
  <c r="A1022" i="7"/>
  <c r="A1023" i="7"/>
  <c r="A1024" i="7"/>
  <c r="A1025" i="7"/>
  <c r="A1026" i="7"/>
  <c r="A1027" i="7"/>
  <c r="A1028" i="7"/>
  <c r="A1029" i="7"/>
  <c r="A1030" i="7"/>
  <c r="A1031" i="7"/>
  <c r="A1032" i="7"/>
  <c r="A1033" i="7"/>
  <c r="A1034" i="7"/>
  <c r="A1035" i="7"/>
  <c r="A1036" i="7"/>
  <c r="A1037" i="7"/>
  <c r="A1038" i="7"/>
  <c r="A1039" i="7"/>
  <c r="A1040" i="7"/>
  <c r="A1041" i="7"/>
  <c r="A1042" i="7"/>
  <c r="A1043" i="7"/>
  <c r="A1044" i="7"/>
  <c r="A1045" i="7"/>
  <c r="A1046" i="7"/>
  <c r="A1047" i="7"/>
  <c r="A1048" i="7"/>
  <c r="A1049" i="7"/>
  <c r="A1050" i="7"/>
  <c r="A1051" i="7"/>
  <c r="A1052" i="7"/>
  <c r="A1053" i="7"/>
  <c r="A1054" i="7"/>
  <c r="A1055" i="7"/>
  <c r="A1056" i="7"/>
  <c r="A1057" i="7"/>
  <c r="A1058" i="7"/>
  <c r="A1059" i="7"/>
  <c r="A1060" i="7"/>
  <c r="A1061" i="7"/>
  <c r="A1062" i="7"/>
  <c r="A1063" i="7"/>
  <c r="A1064" i="7"/>
  <c r="A1065" i="7"/>
  <c r="A1066" i="7"/>
  <c r="A1067" i="7"/>
  <c r="A1068" i="7"/>
  <c r="A1069" i="7"/>
  <c r="A1070" i="7"/>
  <c r="A1071" i="7"/>
  <c r="A1072" i="7"/>
  <c r="A1073" i="7"/>
  <c r="A1074" i="7"/>
  <c r="A1075" i="7"/>
  <c r="A1076" i="7"/>
  <c r="A1077" i="7"/>
  <c r="A1078" i="7"/>
  <c r="A1079" i="7"/>
  <c r="A1080" i="7"/>
  <c r="A1081" i="7"/>
  <c r="A1082" i="7"/>
  <c r="A1083" i="7"/>
  <c r="A1084" i="7"/>
  <c r="A1085" i="7"/>
  <c r="A1086" i="7"/>
  <c r="A1087" i="7"/>
  <c r="A1088" i="7"/>
  <c r="A1089" i="7"/>
  <c r="A1090" i="7"/>
  <c r="A1091" i="7"/>
  <c r="A1092" i="7"/>
  <c r="A1093" i="7"/>
  <c r="A1094" i="7"/>
  <c r="A1095" i="7"/>
  <c r="A1096" i="7"/>
  <c r="A1097" i="7"/>
  <c r="A1098" i="7"/>
  <c r="A1099" i="7"/>
  <c r="A1100" i="7"/>
  <c r="A1101" i="7"/>
  <c r="A1102" i="7"/>
  <c r="A1103" i="7"/>
  <c r="A1104" i="7"/>
  <c r="A1105" i="7"/>
  <c r="A1106" i="7"/>
  <c r="A1107" i="7"/>
  <c r="A1108" i="7"/>
  <c r="A1109" i="7"/>
  <c r="A1110" i="7"/>
  <c r="A1111" i="7"/>
  <c r="A1112" i="7"/>
  <c r="A1113" i="7"/>
  <c r="A1114" i="7"/>
  <c r="A1115" i="7"/>
  <c r="A1116" i="7"/>
  <c r="A1117" i="7"/>
  <c r="A1118" i="7"/>
  <c r="A1119" i="7"/>
  <c r="A1120" i="7"/>
  <c r="A1121" i="7"/>
  <c r="A1122" i="7"/>
  <c r="A1123" i="7"/>
  <c r="A1124" i="7"/>
  <c r="A1125" i="7"/>
  <c r="A1126" i="7"/>
  <c r="A1127" i="7"/>
  <c r="A1128" i="7"/>
  <c r="A1129" i="7"/>
  <c r="A1130" i="7"/>
  <c r="A1131" i="7"/>
  <c r="A1132" i="7"/>
  <c r="A1133" i="7"/>
  <c r="A1134" i="7"/>
  <c r="A1135" i="7"/>
  <c r="A1136" i="7"/>
  <c r="A1137" i="7"/>
  <c r="A1138" i="7"/>
  <c r="A1139" i="7"/>
  <c r="A1140" i="7"/>
  <c r="A1141" i="7"/>
  <c r="A1142" i="7"/>
  <c r="A1143" i="7"/>
  <c r="A1144" i="7"/>
  <c r="A1145" i="7"/>
  <c r="A1146" i="7"/>
  <c r="A1147" i="7"/>
  <c r="A1148" i="7"/>
  <c r="A1149" i="7"/>
  <c r="A1150" i="7"/>
  <c r="A1151" i="7"/>
  <c r="A1152" i="7"/>
  <c r="A1153" i="7"/>
  <c r="A1154" i="7"/>
  <c r="A1155" i="7"/>
  <c r="A1156" i="7"/>
  <c r="A1157" i="7"/>
  <c r="A1158" i="7"/>
  <c r="A1159" i="7"/>
  <c r="A1160" i="7"/>
  <c r="A1161" i="7"/>
  <c r="A1162" i="7"/>
  <c r="A1163" i="7"/>
  <c r="A1164" i="7"/>
  <c r="A1165" i="7"/>
  <c r="A1166" i="7"/>
  <c r="A1167" i="7"/>
  <c r="A1168" i="7"/>
  <c r="A1169" i="7"/>
  <c r="A1170" i="7"/>
  <c r="A1171" i="7"/>
  <c r="A1172" i="7"/>
  <c r="A1173" i="7"/>
  <c r="A1174" i="7"/>
  <c r="A1175" i="7"/>
  <c r="A1176" i="7"/>
  <c r="A1177" i="7"/>
  <c r="A1178" i="7"/>
  <c r="A1179" i="7"/>
  <c r="A1180" i="7"/>
  <c r="A1181" i="7"/>
  <c r="A1182" i="7"/>
  <c r="A1183" i="7"/>
  <c r="A1184" i="7"/>
  <c r="A1185" i="7"/>
  <c r="A1186" i="7"/>
  <c r="A1187" i="7"/>
  <c r="A1188" i="7"/>
  <c r="A1189" i="7"/>
  <c r="A1190" i="7"/>
  <c r="A1191" i="7"/>
  <c r="A1192" i="7"/>
  <c r="A1193" i="7"/>
  <c r="A1194" i="7"/>
  <c r="A1195" i="7"/>
  <c r="A1196" i="7"/>
  <c r="A1197" i="7"/>
  <c r="A1198" i="7"/>
  <c r="A1199" i="7"/>
  <c r="A1200" i="7"/>
  <c r="A1201" i="7"/>
  <c r="A1202" i="7"/>
  <c r="A1203" i="7"/>
  <c r="A1204" i="7"/>
  <c r="A1205" i="7"/>
  <c r="A1206" i="7"/>
  <c r="A1207" i="7"/>
  <c r="A1208" i="7"/>
  <c r="A1209" i="7"/>
  <c r="A1210" i="7"/>
  <c r="A1211" i="7"/>
  <c r="A1212" i="7"/>
  <c r="A1213" i="7"/>
  <c r="A1214" i="7"/>
  <c r="A1215" i="7"/>
  <c r="A1216" i="7"/>
  <c r="A1217" i="7"/>
  <c r="A1218" i="7"/>
  <c r="A1219" i="7"/>
  <c r="A1220" i="7"/>
  <c r="A1221" i="7"/>
  <c r="A1222" i="7"/>
  <c r="A1223" i="7"/>
  <c r="A1224" i="7"/>
  <c r="A1225" i="7"/>
  <c r="A1226" i="7"/>
  <c r="A1227" i="7"/>
  <c r="A1228" i="7"/>
  <c r="A1229" i="7"/>
  <c r="A1230" i="7"/>
  <c r="A1231" i="7"/>
  <c r="A1232" i="7"/>
  <c r="A1233" i="7"/>
  <c r="A1234" i="7"/>
  <c r="A1235" i="7"/>
  <c r="A1236" i="7"/>
  <c r="A1237" i="7"/>
  <c r="A1238" i="7"/>
  <c r="A1239" i="7"/>
  <c r="A1240" i="7"/>
  <c r="A1241" i="7"/>
  <c r="A1242" i="7"/>
  <c r="A1243" i="7"/>
  <c r="A1244" i="7"/>
  <c r="A1245" i="7"/>
  <c r="A1246" i="7"/>
  <c r="A1247" i="7"/>
  <c r="A1248" i="7"/>
  <c r="A1249" i="7"/>
  <c r="A1250" i="7"/>
  <c r="A1251" i="7"/>
  <c r="A1252" i="7"/>
  <c r="A1253" i="7"/>
  <c r="A1254" i="7"/>
  <c r="A1255" i="7"/>
  <c r="A1256" i="7"/>
  <c r="A1257" i="7"/>
  <c r="A1258" i="7"/>
  <c r="A1259" i="7"/>
  <c r="A1260" i="7"/>
  <c r="A1261" i="7"/>
  <c r="A1262" i="7"/>
  <c r="A1263" i="7"/>
  <c r="A1264" i="7"/>
  <c r="A1265" i="7"/>
  <c r="A1266" i="7"/>
  <c r="A1267" i="7"/>
  <c r="A1268" i="7"/>
  <c r="A1269" i="7"/>
  <c r="A1270" i="7"/>
  <c r="A1271" i="7"/>
  <c r="A1272" i="7"/>
  <c r="A1273" i="7"/>
  <c r="A1274" i="7"/>
  <c r="A1275" i="7"/>
  <c r="A1276" i="7"/>
  <c r="A1277" i="7"/>
  <c r="A1278" i="7"/>
  <c r="A1279" i="7"/>
  <c r="A1280" i="7"/>
  <c r="A1281" i="7"/>
  <c r="A1282" i="7"/>
  <c r="A1283" i="7"/>
  <c r="A1284" i="7"/>
  <c r="A1285" i="7"/>
  <c r="A1286" i="7"/>
  <c r="A1287" i="7"/>
  <c r="A1288" i="7"/>
  <c r="A1289" i="7"/>
  <c r="A1290" i="7"/>
  <c r="A1291" i="7"/>
  <c r="A1292" i="7"/>
  <c r="A1293" i="7"/>
  <c r="A1294" i="7"/>
  <c r="A1295" i="7"/>
  <c r="A1296" i="7"/>
  <c r="A1297" i="7"/>
  <c r="A1298" i="7"/>
  <c r="A1299" i="7"/>
  <c r="A1300" i="7"/>
  <c r="A1301" i="7"/>
  <c r="A1302" i="7"/>
  <c r="A1303" i="7"/>
  <c r="A1304" i="7"/>
  <c r="A1305" i="7"/>
  <c r="A1306" i="7"/>
  <c r="A1307" i="7"/>
  <c r="A1308" i="7"/>
  <c r="A1309" i="7"/>
  <c r="A1310" i="7"/>
  <c r="A1311" i="7"/>
  <c r="A1312" i="7"/>
  <c r="A1313" i="7"/>
  <c r="A1314" i="7"/>
  <c r="A1315" i="7"/>
  <c r="A1316" i="7"/>
  <c r="A1317" i="7"/>
  <c r="A1318" i="7"/>
  <c r="A1319" i="7"/>
  <c r="A1320" i="7"/>
  <c r="A1321" i="7"/>
  <c r="A1322" i="7"/>
  <c r="A1323" i="7"/>
  <c r="A1324" i="7"/>
  <c r="A1325" i="7"/>
  <c r="A1326" i="7"/>
  <c r="A1327" i="7"/>
  <c r="A1328" i="7"/>
  <c r="A1329" i="7"/>
  <c r="A1330" i="7"/>
  <c r="A1331" i="7"/>
  <c r="A1332" i="7"/>
  <c r="A1333" i="7"/>
  <c r="A1334" i="7"/>
  <c r="A1335" i="7"/>
  <c r="A1336" i="7"/>
  <c r="A1337" i="7"/>
  <c r="A1338" i="7"/>
  <c r="A1339" i="7"/>
  <c r="A1340" i="7"/>
  <c r="A1341" i="7"/>
  <c r="A1342" i="7"/>
  <c r="A1343" i="7"/>
  <c r="A1344" i="7"/>
  <c r="A1345" i="7"/>
  <c r="A1346" i="7"/>
  <c r="A1347" i="7"/>
  <c r="A1348" i="7"/>
  <c r="A1349" i="7"/>
  <c r="A1350" i="7"/>
  <c r="A1351" i="7"/>
  <c r="A1352" i="7"/>
  <c r="A1353" i="7"/>
  <c r="A1354" i="7"/>
  <c r="A1355" i="7"/>
  <c r="A1356" i="7"/>
  <c r="A1357" i="7"/>
  <c r="A1358" i="7"/>
  <c r="A1359" i="7"/>
  <c r="A1360" i="7"/>
  <c r="A1361" i="7"/>
  <c r="A1362" i="7"/>
  <c r="A1363" i="7"/>
  <c r="A1364" i="7"/>
  <c r="A1365" i="7"/>
  <c r="A1366" i="7"/>
  <c r="A1367" i="7"/>
  <c r="A1368" i="7"/>
  <c r="A1369" i="7"/>
  <c r="A1370" i="7"/>
  <c r="A1371" i="7"/>
  <c r="A1372" i="7"/>
  <c r="A1373" i="7"/>
  <c r="A1374" i="7"/>
  <c r="A1375" i="7"/>
  <c r="A1376" i="7"/>
  <c r="A1377" i="7"/>
  <c r="A1378" i="7"/>
  <c r="A1379" i="7"/>
  <c r="A1380" i="7"/>
  <c r="A1381" i="7"/>
  <c r="A1382" i="7"/>
  <c r="A1383" i="7"/>
  <c r="A1384" i="7"/>
  <c r="A1385" i="7"/>
  <c r="A1386" i="7"/>
  <c r="A1387" i="7"/>
  <c r="A1388" i="7"/>
  <c r="A1389" i="7"/>
  <c r="A1390" i="7"/>
  <c r="A1391" i="7"/>
  <c r="A1392" i="7"/>
  <c r="A1393" i="7"/>
  <c r="A1394" i="7"/>
  <c r="A1395" i="7"/>
  <c r="A1396" i="7"/>
  <c r="A1397" i="7"/>
  <c r="A1398" i="7"/>
  <c r="A1399" i="7"/>
  <c r="A1400" i="7"/>
  <c r="A1401" i="7"/>
  <c r="A1402" i="7"/>
  <c r="A1403" i="7"/>
  <c r="A1404" i="7"/>
  <c r="A1405" i="7"/>
  <c r="A1406" i="7"/>
  <c r="A1407" i="7"/>
  <c r="A1408" i="7"/>
  <c r="A1409" i="7"/>
  <c r="A1410" i="7"/>
  <c r="A1411" i="7"/>
  <c r="A1412" i="7"/>
  <c r="A1413" i="7"/>
  <c r="A1414" i="7"/>
  <c r="A1415" i="7"/>
  <c r="A1416" i="7"/>
  <c r="A1417" i="7"/>
  <c r="A1418" i="7"/>
  <c r="A1419" i="7"/>
  <c r="A1420" i="7"/>
  <c r="A1421" i="7"/>
  <c r="A1422" i="7"/>
  <c r="A1423" i="7"/>
  <c r="A1424" i="7"/>
  <c r="A1425" i="7"/>
  <c r="A1426" i="7"/>
  <c r="A1427" i="7"/>
  <c r="A1428" i="7"/>
  <c r="A1429" i="7"/>
  <c r="A1430" i="7"/>
  <c r="A1431" i="7"/>
  <c r="A1432" i="7"/>
  <c r="A1433" i="7"/>
  <c r="A1434" i="7"/>
  <c r="A1435" i="7"/>
  <c r="A1436" i="7"/>
  <c r="A1437" i="7"/>
  <c r="A1438" i="7"/>
  <c r="A1439" i="7"/>
  <c r="A1440" i="7"/>
  <c r="A1441" i="7"/>
  <c r="A1442" i="7"/>
  <c r="A1443" i="7"/>
  <c r="A1444" i="7"/>
  <c r="A1445" i="7"/>
  <c r="A1446" i="7"/>
  <c r="A1447" i="7"/>
  <c r="A1448" i="7"/>
  <c r="A1449" i="7"/>
  <c r="A1450" i="7"/>
  <c r="A1451" i="7"/>
  <c r="A1452" i="7"/>
  <c r="A1453" i="7"/>
  <c r="A1454" i="7"/>
  <c r="A1455" i="7"/>
  <c r="A1456" i="7"/>
  <c r="A1457" i="7"/>
  <c r="A1458" i="7"/>
  <c r="A1459" i="7"/>
  <c r="A1460" i="7"/>
  <c r="A1461" i="7"/>
  <c r="A1462" i="7"/>
  <c r="A1463" i="7"/>
  <c r="A1464" i="7"/>
  <c r="A1465" i="7"/>
  <c r="A1466" i="7"/>
  <c r="A1467" i="7"/>
  <c r="A1468" i="7"/>
  <c r="A1469" i="7"/>
  <c r="A1470" i="7"/>
  <c r="A1471" i="7"/>
  <c r="A1472" i="7"/>
  <c r="A1473" i="7"/>
  <c r="A1474" i="7"/>
  <c r="A1475" i="7"/>
  <c r="A1476" i="7"/>
  <c r="A1477" i="7"/>
  <c r="A1478" i="7"/>
  <c r="A1479" i="7"/>
  <c r="A1480" i="7"/>
  <c r="A1481" i="7"/>
  <c r="A1482" i="7"/>
  <c r="A1483" i="7"/>
  <c r="A1484" i="7"/>
  <c r="A1485" i="7"/>
  <c r="A1486" i="7"/>
  <c r="A1487" i="7"/>
  <c r="A1488" i="7"/>
  <c r="A1489" i="7"/>
  <c r="A1490" i="7"/>
  <c r="A1491" i="7"/>
  <c r="A1492" i="7"/>
  <c r="A1493" i="7"/>
  <c r="A1494" i="7"/>
  <c r="A1495" i="7"/>
  <c r="A2" i="7"/>
  <c r="A3" i="7" s="1"/>
  <c r="A4" i="7" s="1"/>
  <c r="A5" i="7" s="1"/>
  <c r="I4" i="3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" i="5"/>
  <c r="B1" i="5"/>
  <c r="M3" i="7" l="1"/>
  <c r="N3" i="7"/>
  <c r="Q6" i="2"/>
  <c r="Q5" i="2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2" i="4"/>
  <c r="D3" i="4"/>
  <c r="D4" i="4"/>
  <c r="D5" i="4"/>
  <c r="D6" i="4"/>
  <c r="D7" i="4"/>
  <c r="D8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A3" i="1"/>
  <c r="A2" i="4"/>
  <c r="A3" i="4" s="1"/>
  <c r="A4" i="4" s="1"/>
  <c r="A5" i="4" s="1"/>
  <c r="A6" i="4" s="1"/>
  <c r="A7" i="4" s="1"/>
  <c r="A8" i="4" s="1"/>
  <c r="A9" i="4" s="1"/>
  <c r="A10" i="4" s="1"/>
  <c r="D2" i="4"/>
  <c r="C2" i="4"/>
  <c r="C2" i="3"/>
  <c r="I2" i="3"/>
  <c r="I3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1" i="2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D2" i="3"/>
  <c r="U8" i="2" l="1"/>
  <c r="V10" i="2"/>
  <c r="V17" i="2"/>
  <c r="V19" i="2"/>
  <c r="V9" i="2"/>
  <c r="V11" i="2"/>
  <c r="V16" i="2"/>
  <c r="V18" i="2"/>
  <c r="V15" i="2"/>
  <c r="V14" i="2"/>
  <c r="V13" i="2"/>
  <c r="V8" i="2"/>
  <c r="V12" i="2"/>
  <c r="P3" i="2"/>
  <c r="P2" i="2"/>
  <c r="P30" i="2" s="1"/>
  <c r="Q15" i="2"/>
  <c r="Q12" i="2"/>
  <c r="Q10" i="2"/>
  <c r="S8" i="2"/>
  <c r="S9" i="2"/>
  <c r="T9" i="2"/>
  <c r="T10" i="2"/>
  <c r="T12" i="2"/>
  <c r="T13" i="2"/>
  <c r="T14" i="2"/>
  <c r="T15" i="2"/>
  <c r="T18" i="2"/>
  <c r="T19" i="2"/>
  <c r="T8" i="2"/>
  <c r="T16" i="2"/>
  <c r="T17" i="2"/>
  <c r="T11" i="2"/>
  <c r="Q2" i="2"/>
  <c r="N2" i="2"/>
  <c r="U19" i="2"/>
  <c r="U12" i="2"/>
  <c r="U18" i="2"/>
  <c r="U15" i="2"/>
  <c r="U10" i="2"/>
  <c r="U14" i="2"/>
  <c r="U11" i="2"/>
  <c r="U16" i="2"/>
  <c r="U17" i="2"/>
  <c r="U13" i="2"/>
  <c r="U9" i="2"/>
  <c r="L12" i="2"/>
  <c r="M8" i="2"/>
  <c r="M9" i="2"/>
  <c r="S17" i="2"/>
  <c r="S10" i="2"/>
  <c r="S11" i="2"/>
  <c r="S12" i="2"/>
  <c r="S13" i="2"/>
  <c r="S18" i="2"/>
  <c r="S19" i="2"/>
  <c r="S14" i="2"/>
  <c r="S15" i="2"/>
  <c r="S16" i="2"/>
  <c r="L17" i="2"/>
  <c r="L8" i="2"/>
  <c r="M10" i="2"/>
  <c r="M18" i="2"/>
  <c r="M19" i="2"/>
  <c r="M12" i="2"/>
  <c r="M13" i="2"/>
  <c r="M14" i="2"/>
  <c r="M16" i="2"/>
  <c r="M17" i="2"/>
  <c r="M11" i="2"/>
  <c r="M15" i="2"/>
  <c r="L9" i="2"/>
  <c r="L15" i="2"/>
  <c r="L19" i="2"/>
  <c r="L14" i="2"/>
  <c r="L11" i="2"/>
  <c r="L16" i="2"/>
  <c r="L18" i="2"/>
  <c r="L13" i="2"/>
  <c r="L10" i="2"/>
  <c r="F918" i="3"/>
  <c r="F3" i="8"/>
  <c r="F26" i="3"/>
  <c r="F5" i="9"/>
  <c r="F13" i="9"/>
  <c r="F21" i="9"/>
  <c r="F29" i="9"/>
  <c r="F37" i="9"/>
  <c r="F45" i="9"/>
  <c r="F53" i="9"/>
  <c r="F61" i="9"/>
  <c r="F69" i="9"/>
  <c r="F77" i="9"/>
  <c r="F85" i="9"/>
  <c r="F93" i="9"/>
  <c r="F101" i="9"/>
  <c r="F109" i="9"/>
  <c r="F117" i="9"/>
  <c r="F125" i="9"/>
  <c r="F133" i="9"/>
  <c r="F141" i="9"/>
  <c r="F149" i="9"/>
  <c r="F157" i="9"/>
  <c r="F165" i="9"/>
  <c r="F173" i="9"/>
  <c r="F181" i="9"/>
  <c r="F189" i="9"/>
  <c r="F197" i="9"/>
  <c r="F205" i="9"/>
  <c r="F213" i="9"/>
  <c r="F221" i="9"/>
  <c r="F229" i="9"/>
  <c r="F237" i="9"/>
  <c r="F245" i="9"/>
  <c r="F253" i="9"/>
  <c r="F261" i="9"/>
  <c r="F269" i="9"/>
  <c r="F277" i="9"/>
  <c r="F285" i="9"/>
  <c r="F293" i="9"/>
  <c r="F301" i="9"/>
  <c r="F309" i="9"/>
  <c r="F317" i="9"/>
  <c r="F325" i="9"/>
  <c r="F333" i="9"/>
  <c r="F341" i="9"/>
  <c r="F349" i="9"/>
  <c r="F357" i="9"/>
  <c r="F365" i="9"/>
  <c r="F373" i="9"/>
  <c r="F381" i="9"/>
  <c r="F389" i="9"/>
  <c r="F397" i="9"/>
  <c r="F405" i="9"/>
  <c r="F413" i="9"/>
  <c r="F421" i="9"/>
  <c r="F429" i="9"/>
  <c r="F437" i="9"/>
  <c r="F445" i="9"/>
  <c r="F453" i="9"/>
  <c r="F461" i="9"/>
  <c r="F469" i="9"/>
  <c r="F477" i="9"/>
  <c r="F485" i="9"/>
  <c r="F493" i="9"/>
  <c r="F6" i="9"/>
  <c r="F14" i="9"/>
  <c r="F22" i="9"/>
  <c r="F30" i="9"/>
  <c r="F38" i="9"/>
  <c r="F46" i="9"/>
  <c r="F54" i="9"/>
  <c r="F62" i="9"/>
  <c r="F70" i="9"/>
  <c r="F78" i="9"/>
  <c r="F86" i="9"/>
  <c r="F94" i="9"/>
  <c r="F102" i="9"/>
  <c r="F110" i="9"/>
  <c r="F118" i="9"/>
  <c r="F126" i="9"/>
  <c r="F134" i="9"/>
  <c r="F142" i="9"/>
  <c r="F150" i="9"/>
  <c r="F158" i="9"/>
  <c r="F166" i="9"/>
  <c r="F174" i="9"/>
  <c r="F182" i="9"/>
  <c r="F190" i="9"/>
  <c r="F198" i="9"/>
  <c r="F206" i="9"/>
  <c r="F214" i="9"/>
  <c r="F222" i="9"/>
  <c r="F230" i="9"/>
  <c r="F238" i="9"/>
  <c r="F246" i="9"/>
  <c r="F254" i="9"/>
  <c r="F262" i="9"/>
  <c r="F270" i="9"/>
  <c r="F278" i="9"/>
  <c r="F286" i="9"/>
  <c r="F294" i="9"/>
  <c r="F302" i="9"/>
  <c r="F310" i="9"/>
  <c r="F318" i="9"/>
  <c r="F326" i="9"/>
  <c r="F334" i="9"/>
  <c r="F342" i="9"/>
  <c r="F350" i="9"/>
  <c r="F358" i="9"/>
  <c r="F366" i="9"/>
  <c r="F374" i="9"/>
  <c r="F382" i="9"/>
  <c r="F390" i="9"/>
  <c r="F398" i="9"/>
  <c r="F406" i="9"/>
  <c r="F414" i="9"/>
  <c r="F422" i="9"/>
  <c r="F430" i="9"/>
  <c r="F438" i="9"/>
  <c r="F446" i="9"/>
  <c r="F454" i="9"/>
  <c r="F462" i="9"/>
  <c r="F470" i="9"/>
  <c r="F478" i="9"/>
  <c r="F486" i="9"/>
  <c r="F494" i="9"/>
  <c r="F7" i="9"/>
  <c r="F15" i="9"/>
  <c r="F23" i="9"/>
  <c r="F31" i="9"/>
  <c r="F39" i="9"/>
  <c r="F47" i="9"/>
  <c r="F55" i="9"/>
  <c r="F63" i="9"/>
  <c r="F71" i="9"/>
  <c r="F79" i="9"/>
  <c r="F87" i="9"/>
  <c r="F95" i="9"/>
  <c r="F103" i="9"/>
  <c r="F111" i="9"/>
  <c r="F119" i="9"/>
  <c r="F127" i="9"/>
  <c r="F135" i="9"/>
  <c r="F143" i="9"/>
  <c r="F151" i="9"/>
  <c r="F159" i="9"/>
  <c r="F167" i="9"/>
  <c r="F175" i="9"/>
  <c r="F183" i="9"/>
  <c r="F191" i="9"/>
  <c r="F199" i="9"/>
  <c r="F207" i="9"/>
  <c r="F215" i="9"/>
  <c r="F223" i="9"/>
  <c r="F231" i="9"/>
  <c r="F239" i="9"/>
  <c r="F247" i="9"/>
  <c r="F255" i="9"/>
  <c r="F263" i="9"/>
  <c r="F271" i="9"/>
  <c r="F279" i="9"/>
  <c r="F287" i="9"/>
  <c r="F295" i="9"/>
  <c r="F303" i="9"/>
  <c r="F311" i="9"/>
  <c r="F319" i="9"/>
  <c r="F327" i="9"/>
  <c r="F335" i="9"/>
  <c r="F343" i="9"/>
  <c r="F351" i="9"/>
  <c r="F359" i="9"/>
  <c r="F367" i="9"/>
  <c r="F375" i="9"/>
  <c r="F383" i="9"/>
  <c r="F391" i="9"/>
  <c r="F399" i="9"/>
  <c r="F407" i="9"/>
  <c r="F415" i="9"/>
  <c r="F423" i="9"/>
  <c r="F431" i="9"/>
  <c r="F439" i="9"/>
  <c r="F447" i="9"/>
  <c r="F455" i="9"/>
  <c r="F463" i="9"/>
  <c r="F471" i="9"/>
  <c r="F479" i="9"/>
  <c r="F487" i="9"/>
  <c r="F495" i="9"/>
  <c r="F503" i="9"/>
  <c r="F511" i="9"/>
  <c r="F519" i="9"/>
  <c r="F527" i="9"/>
  <c r="F535" i="9"/>
  <c r="F543" i="9"/>
  <c r="F551" i="9"/>
  <c r="F559" i="9"/>
  <c r="F567" i="9"/>
  <c r="F575" i="9"/>
  <c r="F583" i="9"/>
  <c r="F591" i="9"/>
  <c r="F599" i="9"/>
  <c r="F607" i="9"/>
  <c r="F615" i="9"/>
  <c r="F623" i="9"/>
  <c r="F631" i="9"/>
  <c r="F639" i="9"/>
  <c r="F647" i="9"/>
  <c r="F655" i="9"/>
  <c r="F663" i="9"/>
  <c r="F671" i="9"/>
  <c r="F679" i="9"/>
  <c r="F8" i="9"/>
  <c r="F16" i="9"/>
  <c r="F24" i="9"/>
  <c r="F32" i="9"/>
  <c r="F40" i="9"/>
  <c r="F48" i="9"/>
  <c r="F56" i="9"/>
  <c r="F64" i="9"/>
  <c r="F72" i="9"/>
  <c r="F80" i="9"/>
  <c r="F88" i="9"/>
  <c r="F96" i="9"/>
  <c r="F104" i="9"/>
  <c r="F112" i="9"/>
  <c r="F120" i="9"/>
  <c r="F128" i="9"/>
  <c r="F136" i="9"/>
  <c r="F144" i="9"/>
  <c r="F152" i="9"/>
  <c r="F160" i="9"/>
  <c r="F168" i="9"/>
  <c r="F176" i="9"/>
  <c r="F184" i="9"/>
  <c r="F192" i="9"/>
  <c r="F200" i="9"/>
  <c r="F208" i="9"/>
  <c r="F216" i="9"/>
  <c r="F224" i="9"/>
  <c r="F232" i="9"/>
  <c r="F240" i="9"/>
  <c r="F248" i="9"/>
  <c r="F256" i="9"/>
  <c r="F264" i="9"/>
  <c r="F272" i="9"/>
  <c r="F280" i="9"/>
  <c r="F288" i="9"/>
  <c r="F296" i="9"/>
  <c r="F304" i="9"/>
  <c r="F312" i="9"/>
  <c r="F320" i="9"/>
  <c r="F328" i="9"/>
  <c r="F336" i="9"/>
  <c r="F344" i="9"/>
  <c r="F352" i="9"/>
  <c r="F360" i="9"/>
  <c r="F368" i="9"/>
  <c r="F376" i="9"/>
  <c r="F384" i="9"/>
  <c r="F392" i="9"/>
  <c r="F400" i="9"/>
  <c r="F408" i="9"/>
  <c r="F416" i="9"/>
  <c r="F424" i="9"/>
  <c r="F432" i="9"/>
  <c r="F440" i="9"/>
  <c r="F448" i="9"/>
  <c r="F456" i="9"/>
  <c r="F464" i="9"/>
  <c r="F472" i="9"/>
  <c r="F480" i="9"/>
  <c r="F488" i="9"/>
  <c r="F496" i="9"/>
  <c r="F9" i="9"/>
  <c r="F17" i="9"/>
  <c r="F25" i="9"/>
  <c r="F33" i="9"/>
  <c r="F41" i="9"/>
  <c r="F49" i="9"/>
  <c r="F57" i="9"/>
  <c r="F65" i="9"/>
  <c r="F73" i="9"/>
  <c r="F81" i="9"/>
  <c r="F89" i="9"/>
  <c r="F97" i="9"/>
  <c r="F105" i="9"/>
  <c r="F113" i="9"/>
  <c r="F121" i="9"/>
  <c r="F129" i="9"/>
  <c r="F137" i="9"/>
  <c r="F145" i="9"/>
  <c r="F153" i="9"/>
  <c r="F161" i="9"/>
  <c r="F169" i="9"/>
  <c r="F177" i="9"/>
  <c r="F185" i="9"/>
  <c r="F193" i="9"/>
  <c r="F201" i="9"/>
  <c r="F209" i="9"/>
  <c r="F217" i="9"/>
  <c r="F225" i="9"/>
  <c r="F233" i="9"/>
  <c r="F241" i="9"/>
  <c r="F249" i="9"/>
  <c r="F257" i="9"/>
  <c r="F265" i="9"/>
  <c r="F273" i="9"/>
  <c r="F281" i="9"/>
  <c r="F289" i="9"/>
  <c r="F297" i="9"/>
  <c r="F305" i="9"/>
  <c r="F313" i="9"/>
  <c r="F321" i="9"/>
  <c r="F329" i="9"/>
  <c r="F337" i="9"/>
  <c r="F345" i="9"/>
  <c r="F353" i="9"/>
  <c r="F361" i="9"/>
  <c r="F369" i="9"/>
  <c r="F377" i="9"/>
  <c r="F385" i="9"/>
  <c r="F393" i="9"/>
  <c r="F401" i="9"/>
  <c r="F409" i="9"/>
  <c r="F417" i="9"/>
  <c r="F425" i="9"/>
  <c r="F433" i="9"/>
  <c r="F441" i="9"/>
  <c r="F449" i="9"/>
  <c r="F457" i="9"/>
  <c r="F465" i="9"/>
  <c r="F473" i="9"/>
  <c r="F481" i="9"/>
  <c r="F489" i="9"/>
  <c r="F10" i="9"/>
  <c r="F18" i="9"/>
  <c r="F26" i="9"/>
  <c r="F34" i="9"/>
  <c r="F42" i="9"/>
  <c r="F50" i="9"/>
  <c r="F58" i="9"/>
  <c r="F66" i="9"/>
  <c r="F74" i="9"/>
  <c r="F82" i="9"/>
  <c r="F90" i="9"/>
  <c r="F98" i="9"/>
  <c r="F106" i="9"/>
  <c r="F114" i="9"/>
  <c r="F122" i="9"/>
  <c r="F130" i="9"/>
  <c r="F138" i="9"/>
  <c r="F146" i="9"/>
  <c r="F154" i="9"/>
  <c r="F162" i="9"/>
  <c r="F170" i="9"/>
  <c r="F178" i="9"/>
  <c r="F186" i="9"/>
  <c r="F194" i="9"/>
  <c r="F202" i="9"/>
  <c r="F210" i="9"/>
  <c r="F218" i="9"/>
  <c r="F226" i="9"/>
  <c r="F234" i="9"/>
  <c r="F242" i="9"/>
  <c r="F250" i="9"/>
  <c r="F258" i="9"/>
  <c r="F266" i="9"/>
  <c r="F274" i="9"/>
  <c r="F282" i="9"/>
  <c r="F290" i="9"/>
  <c r="F298" i="9"/>
  <c r="F306" i="9"/>
  <c r="F314" i="9"/>
  <c r="F322" i="9"/>
  <c r="F330" i="9"/>
  <c r="F338" i="9"/>
  <c r="F346" i="9"/>
  <c r="F354" i="9"/>
  <c r="F362" i="9"/>
  <c r="F370" i="9"/>
  <c r="F378" i="9"/>
  <c r="F386" i="9"/>
  <c r="F394" i="9"/>
  <c r="F402" i="9"/>
  <c r="F410" i="9"/>
  <c r="F418" i="9"/>
  <c r="F426" i="9"/>
  <c r="F434" i="9"/>
  <c r="F442" i="9"/>
  <c r="F450" i="9"/>
  <c r="F458" i="9"/>
  <c r="F466" i="9"/>
  <c r="F474" i="9"/>
  <c r="F482" i="9"/>
  <c r="F490" i="9"/>
  <c r="F498" i="9"/>
  <c r="F11" i="9"/>
  <c r="F19" i="9"/>
  <c r="F27" i="9"/>
  <c r="F35" i="9"/>
  <c r="F43" i="9"/>
  <c r="F51" i="9"/>
  <c r="F59" i="9"/>
  <c r="F67" i="9"/>
  <c r="F75" i="9"/>
  <c r="F83" i="9"/>
  <c r="F91" i="9"/>
  <c r="F99" i="9"/>
  <c r="F107" i="9"/>
  <c r="F115" i="9"/>
  <c r="F123" i="9"/>
  <c r="F131" i="9"/>
  <c r="F139" i="9"/>
  <c r="F147" i="9"/>
  <c r="F155" i="9"/>
  <c r="F163" i="9"/>
  <c r="F171" i="9"/>
  <c r="F179" i="9"/>
  <c r="F187" i="9"/>
  <c r="F195" i="9"/>
  <c r="F203" i="9"/>
  <c r="F211" i="9"/>
  <c r="F219" i="9"/>
  <c r="F227" i="9"/>
  <c r="F235" i="9"/>
  <c r="F243" i="9"/>
  <c r="F251" i="9"/>
  <c r="F259" i="9"/>
  <c r="F267" i="9"/>
  <c r="F275" i="9"/>
  <c r="F283" i="9"/>
  <c r="F291" i="9"/>
  <c r="F299" i="9"/>
  <c r="F307" i="9"/>
  <c r="F315" i="9"/>
  <c r="F323" i="9"/>
  <c r="F331" i="9"/>
  <c r="F339" i="9"/>
  <c r="F347" i="9"/>
  <c r="F355" i="9"/>
  <c r="F363" i="9"/>
  <c r="F371" i="9"/>
  <c r="F379" i="9"/>
  <c r="F387" i="9"/>
  <c r="F395" i="9"/>
  <c r="F403" i="9"/>
  <c r="F411" i="9"/>
  <c r="F419" i="9"/>
  <c r="F427" i="9"/>
  <c r="F435" i="9"/>
  <c r="F443" i="9"/>
  <c r="F451" i="9"/>
  <c r="F459" i="9"/>
  <c r="F467" i="9"/>
  <c r="F475" i="9"/>
  <c r="F483" i="9"/>
  <c r="F491" i="9"/>
  <c r="F20" i="9"/>
  <c r="F84" i="9"/>
  <c r="F148" i="9"/>
  <c r="F212" i="9"/>
  <c r="F276" i="9"/>
  <c r="F340" i="9"/>
  <c r="F404" i="9"/>
  <c r="F468" i="9"/>
  <c r="F502" i="9"/>
  <c r="F512" i="9"/>
  <c r="F521" i="9"/>
  <c r="F530" i="9"/>
  <c r="F539" i="9"/>
  <c r="F548" i="9"/>
  <c r="F557" i="9"/>
  <c r="F566" i="9"/>
  <c r="F576" i="9"/>
  <c r="F585" i="9"/>
  <c r="F594" i="9"/>
  <c r="F603" i="9"/>
  <c r="F612" i="9"/>
  <c r="F621" i="9"/>
  <c r="F630" i="9"/>
  <c r="F640" i="9"/>
  <c r="F649" i="9"/>
  <c r="F658" i="9"/>
  <c r="F667" i="9"/>
  <c r="F676" i="9"/>
  <c r="F685" i="9"/>
  <c r="F693" i="9"/>
  <c r="F701" i="9"/>
  <c r="F709" i="9"/>
  <c r="F717" i="9"/>
  <c r="F725" i="9"/>
  <c r="F733" i="9"/>
  <c r="F741" i="9"/>
  <c r="F749" i="9"/>
  <c r="F757" i="9"/>
  <c r="F765" i="9"/>
  <c r="F773" i="9"/>
  <c r="F781" i="9"/>
  <c r="F789" i="9"/>
  <c r="F797" i="9"/>
  <c r="F805" i="9"/>
  <c r="F813" i="9"/>
  <c r="F821" i="9"/>
  <c r="F829" i="9"/>
  <c r="F837" i="9"/>
  <c r="F845" i="9"/>
  <c r="F853" i="9"/>
  <c r="F861" i="9"/>
  <c r="F869" i="9"/>
  <c r="F877" i="9"/>
  <c r="F885" i="9"/>
  <c r="F893" i="9"/>
  <c r="F901" i="9"/>
  <c r="F909" i="9"/>
  <c r="F917" i="9"/>
  <c r="F925" i="9"/>
  <c r="F933" i="9"/>
  <c r="F941" i="9"/>
  <c r="F949" i="9"/>
  <c r="F957" i="9"/>
  <c r="F965" i="9"/>
  <c r="F973" i="9"/>
  <c r="F981" i="9"/>
  <c r="F989" i="9"/>
  <c r="F997" i="9"/>
  <c r="F1005" i="9"/>
  <c r="F1013" i="9"/>
  <c r="F1021" i="9"/>
  <c r="F1029" i="9"/>
  <c r="F1037" i="9"/>
  <c r="F1045" i="9"/>
  <c r="F1053" i="9"/>
  <c r="F1061" i="9"/>
  <c r="F1069" i="9"/>
  <c r="F1077" i="9"/>
  <c r="F1085" i="9"/>
  <c r="F1093" i="9"/>
  <c r="F1101" i="9"/>
  <c r="F1109" i="9"/>
  <c r="F1117" i="9"/>
  <c r="F1125" i="9"/>
  <c r="F1133" i="9"/>
  <c r="F1141" i="9"/>
  <c r="F1149" i="9"/>
  <c r="F1157" i="9"/>
  <c r="F1165" i="9"/>
  <c r="F1173" i="9"/>
  <c r="F1181" i="9"/>
  <c r="F1189" i="9"/>
  <c r="F1197" i="9"/>
  <c r="F1205" i="9"/>
  <c r="F1213" i="9"/>
  <c r="F1221" i="9"/>
  <c r="F1229" i="9"/>
  <c r="F1237" i="9"/>
  <c r="F1245" i="9"/>
  <c r="F1253" i="9"/>
  <c r="F1261" i="9"/>
  <c r="F1269" i="9"/>
  <c r="F1277" i="9"/>
  <c r="F1285" i="9"/>
  <c r="F1293" i="9"/>
  <c r="F1301" i="9"/>
  <c r="F1309" i="9"/>
  <c r="F1317" i="9"/>
  <c r="F1325" i="9"/>
  <c r="F1333" i="9"/>
  <c r="F1341" i="9"/>
  <c r="F1349" i="9"/>
  <c r="F1357" i="9"/>
  <c r="F1365" i="9"/>
  <c r="F1373" i="9"/>
  <c r="F1381" i="9"/>
  <c r="F1389" i="9"/>
  <c r="F28" i="9"/>
  <c r="F92" i="9"/>
  <c r="F156" i="9"/>
  <c r="F220" i="9"/>
  <c r="F284" i="9"/>
  <c r="F348" i="9"/>
  <c r="F412" i="9"/>
  <c r="F476" i="9"/>
  <c r="F504" i="9"/>
  <c r="F513" i="9"/>
  <c r="F522" i="9"/>
  <c r="F531" i="9"/>
  <c r="F540" i="9"/>
  <c r="F549" i="9"/>
  <c r="F558" i="9"/>
  <c r="F568" i="9"/>
  <c r="F577" i="9"/>
  <c r="F586" i="9"/>
  <c r="F595" i="9"/>
  <c r="F604" i="9"/>
  <c r="F613" i="9"/>
  <c r="F622" i="9"/>
  <c r="F632" i="9"/>
  <c r="F641" i="9"/>
  <c r="F650" i="9"/>
  <c r="F659" i="9"/>
  <c r="F668" i="9"/>
  <c r="F677" i="9"/>
  <c r="F686" i="9"/>
  <c r="F694" i="9"/>
  <c r="F702" i="9"/>
  <c r="F710" i="9"/>
  <c r="F718" i="9"/>
  <c r="F726" i="9"/>
  <c r="F734" i="9"/>
  <c r="F742" i="9"/>
  <c r="F750" i="9"/>
  <c r="F758" i="9"/>
  <c r="F766" i="9"/>
  <c r="F774" i="9"/>
  <c r="F782" i="9"/>
  <c r="F790" i="9"/>
  <c r="F798" i="9"/>
  <c r="F806" i="9"/>
  <c r="F814" i="9"/>
  <c r="F822" i="9"/>
  <c r="F830" i="9"/>
  <c r="F838" i="9"/>
  <c r="F846" i="9"/>
  <c r="F854" i="9"/>
  <c r="F862" i="9"/>
  <c r="F870" i="9"/>
  <c r="F878" i="9"/>
  <c r="F886" i="9"/>
  <c r="F894" i="9"/>
  <c r="F902" i="9"/>
  <c r="F910" i="9"/>
  <c r="F918" i="9"/>
  <c r="F926" i="9"/>
  <c r="F934" i="9"/>
  <c r="F942" i="9"/>
  <c r="F950" i="9"/>
  <c r="F958" i="9"/>
  <c r="F966" i="9"/>
  <c r="F974" i="9"/>
  <c r="F36" i="9"/>
  <c r="F100" i="9"/>
  <c r="F164" i="9"/>
  <c r="F228" i="9"/>
  <c r="F292" i="9"/>
  <c r="F356" i="9"/>
  <c r="F420" i="9"/>
  <c r="F484" i="9"/>
  <c r="F505" i="9"/>
  <c r="F514" i="9"/>
  <c r="F523" i="9"/>
  <c r="F532" i="9"/>
  <c r="F541" i="9"/>
  <c r="F550" i="9"/>
  <c r="F560" i="9"/>
  <c r="F569" i="9"/>
  <c r="F578" i="9"/>
  <c r="F587" i="9"/>
  <c r="F596" i="9"/>
  <c r="F605" i="9"/>
  <c r="F614" i="9"/>
  <c r="F624" i="9"/>
  <c r="F633" i="9"/>
  <c r="F642" i="9"/>
  <c r="F651" i="9"/>
  <c r="F660" i="9"/>
  <c r="F669" i="9"/>
  <c r="F678" i="9"/>
  <c r="F687" i="9"/>
  <c r="F695" i="9"/>
  <c r="F703" i="9"/>
  <c r="F711" i="9"/>
  <c r="F719" i="9"/>
  <c r="F727" i="9"/>
  <c r="F735" i="9"/>
  <c r="F743" i="9"/>
  <c r="F751" i="9"/>
  <c r="F759" i="9"/>
  <c r="F767" i="9"/>
  <c r="F775" i="9"/>
  <c r="F783" i="9"/>
  <c r="F791" i="9"/>
  <c r="F799" i="9"/>
  <c r="F807" i="9"/>
  <c r="F815" i="9"/>
  <c r="F823" i="9"/>
  <c r="F831" i="9"/>
  <c r="F839" i="9"/>
  <c r="F847" i="9"/>
  <c r="F855" i="9"/>
  <c r="F863" i="9"/>
  <c r="F871" i="9"/>
  <c r="F879" i="9"/>
  <c r="F887" i="9"/>
  <c r="F895" i="9"/>
  <c r="F903" i="9"/>
  <c r="F911" i="9"/>
  <c r="F919" i="9"/>
  <c r="F927" i="9"/>
  <c r="F935" i="9"/>
  <c r="F943" i="9"/>
  <c r="F951" i="9"/>
  <c r="F959" i="9"/>
  <c r="F967" i="9"/>
  <c r="F975" i="9"/>
  <c r="F44" i="9"/>
  <c r="F108" i="9"/>
  <c r="F172" i="9"/>
  <c r="F236" i="9"/>
  <c r="F300" i="9"/>
  <c r="F364" i="9"/>
  <c r="F428" i="9"/>
  <c r="F492" i="9"/>
  <c r="F506" i="9"/>
  <c r="F515" i="9"/>
  <c r="F524" i="9"/>
  <c r="F533" i="9"/>
  <c r="F542" i="9"/>
  <c r="F552" i="9"/>
  <c r="F561" i="9"/>
  <c r="F570" i="9"/>
  <c r="F579" i="9"/>
  <c r="F588" i="9"/>
  <c r="F597" i="9"/>
  <c r="F606" i="9"/>
  <c r="F616" i="9"/>
  <c r="F625" i="9"/>
  <c r="F634" i="9"/>
  <c r="F643" i="9"/>
  <c r="F652" i="9"/>
  <c r="F661" i="9"/>
  <c r="F670" i="9"/>
  <c r="F680" i="9"/>
  <c r="F688" i="9"/>
  <c r="F696" i="9"/>
  <c r="F704" i="9"/>
  <c r="F712" i="9"/>
  <c r="F720" i="9"/>
  <c r="F728" i="9"/>
  <c r="F736" i="9"/>
  <c r="F744" i="9"/>
  <c r="F752" i="9"/>
  <c r="F760" i="9"/>
  <c r="F768" i="9"/>
  <c r="F776" i="9"/>
  <c r="F784" i="9"/>
  <c r="F792" i="9"/>
  <c r="F800" i="9"/>
  <c r="F808" i="9"/>
  <c r="F816" i="9"/>
  <c r="F824" i="9"/>
  <c r="F832" i="9"/>
  <c r="F840" i="9"/>
  <c r="F848" i="9"/>
  <c r="F856" i="9"/>
  <c r="F864" i="9"/>
  <c r="F872" i="9"/>
  <c r="F880" i="9"/>
  <c r="F888" i="9"/>
  <c r="F896" i="9"/>
  <c r="F904" i="9"/>
  <c r="F912" i="9"/>
  <c r="F920" i="9"/>
  <c r="F52" i="9"/>
  <c r="F116" i="9"/>
  <c r="F180" i="9"/>
  <c r="F244" i="9"/>
  <c r="F308" i="9"/>
  <c r="F372" i="9"/>
  <c r="F436" i="9"/>
  <c r="F497" i="9"/>
  <c r="F507" i="9"/>
  <c r="F516" i="9"/>
  <c r="F525" i="9"/>
  <c r="F534" i="9"/>
  <c r="F544" i="9"/>
  <c r="F553" i="9"/>
  <c r="F562" i="9"/>
  <c r="F571" i="9"/>
  <c r="F580" i="9"/>
  <c r="F589" i="9"/>
  <c r="F598" i="9"/>
  <c r="F608" i="9"/>
  <c r="F617" i="9"/>
  <c r="F626" i="9"/>
  <c r="F635" i="9"/>
  <c r="F644" i="9"/>
  <c r="F653" i="9"/>
  <c r="F662" i="9"/>
  <c r="F672" i="9"/>
  <c r="F681" i="9"/>
  <c r="F689" i="9"/>
  <c r="F697" i="9"/>
  <c r="F705" i="9"/>
  <c r="F713" i="9"/>
  <c r="F721" i="9"/>
  <c r="F729" i="9"/>
  <c r="F737" i="9"/>
  <c r="F745" i="9"/>
  <c r="F753" i="9"/>
  <c r="F761" i="9"/>
  <c r="F769" i="9"/>
  <c r="F777" i="9"/>
  <c r="F785" i="9"/>
  <c r="F793" i="9"/>
  <c r="F801" i="9"/>
  <c r="F809" i="9"/>
  <c r="F817" i="9"/>
  <c r="F825" i="9"/>
  <c r="F833" i="9"/>
  <c r="F841" i="9"/>
  <c r="F849" i="9"/>
  <c r="F857" i="9"/>
  <c r="F865" i="9"/>
  <c r="F873" i="9"/>
  <c r="F881" i="9"/>
  <c r="F889" i="9"/>
  <c r="F897" i="9"/>
  <c r="F905" i="9"/>
  <c r="F913" i="9"/>
  <c r="F921" i="9"/>
  <c r="F929" i="9"/>
  <c r="F937" i="9"/>
  <c r="F945" i="9"/>
  <c r="F953" i="9"/>
  <c r="F961" i="9"/>
  <c r="F969" i="9"/>
  <c r="F977" i="9"/>
  <c r="F985" i="9"/>
  <c r="F993" i="9"/>
  <c r="F1001" i="9"/>
  <c r="F1009" i="9"/>
  <c r="F1017" i="9"/>
  <c r="F1025" i="9"/>
  <c r="F1033" i="9"/>
  <c r="F1041" i="9"/>
  <c r="F1049" i="9"/>
  <c r="F1057" i="9"/>
  <c r="F1065" i="9"/>
  <c r="F1073" i="9"/>
  <c r="F1081" i="9"/>
  <c r="F1089" i="9"/>
  <c r="F1097" i="9"/>
  <c r="F1105" i="9"/>
  <c r="F1113" i="9"/>
  <c r="F1121" i="9"/>
  <c r="F1129" i="9"/>
  <c r="F1137" i="9"/>
  <c r="F60" i="9"/>
  <c r="F124" i="9"/>
  <c r="F188" i="9"/>
  <c r="F252" i="9"/>
  <c r="F316" i="9"/>
  <c r="F380" i="9"/>
  <c r="F444" i="9"/>
  <c r="F499" i="9"/>
  <c r="F508" i="9"/>
  <c r="F517" i="9"/>
  <c r="F526" i="9"/>
  <c r="F536" i="9"/>
  <c r="F545" i="9"/>
  <c r="F554" i="9"/>
  <c r="F563" i="9"/>
  <c r="F572" i="9"/>
  <c r="F581" i="9"/>
  <c r="F590" i="9"/>
  <c r="F600" i="9"/>
  <c r="F609" i="9"/>
  <c r="F618" i="9"/>
  <c r="F627" i="9"/>
  <c r="F636" i="9"/>
  <c r="F645" i="9"/>
  <c r="F654" i="9"/>
  <c r="F664" i="9"/>
  <c r="F673" i="9"/>
  <c r="F682" i="9"/>
  <c r="F690" i="9"/>
  <c r="F698" i="9"/>
  <c r="F706" i="9"/>
  <c r="F714" i="9"/>
  <c r="F722" i="9"/>
  <c r="F730" i="9"/>
  <c r="F738" i="9"/>
  <c r="F746" i="9"/>
  <c r="F754" i="9"/>
  <c r="F762" i="9"/>
  <c r="F770" i="9"/>
  <c r="F778" i="9"/>
  <c r="F786" i="9"/>
  <c r="F794" i="9"/>
  <c r="F802" i="9"/>
  <c r="F810" i="9"/>
  <c r="F818" i="9"/>
  <c r="F826" i="9"/>
  <c r="F834" i="9"/>
  <c r="F842" i="9"/>
  <c r="F850" i="9"/>
  <c r="F858" i="9"/>
  <c r="F866" i="9"/>
  <c r="F874" i="9"/>
  <c r="F882" i="9"/>
  <c r="F890" i="9"/>
  <c r="F898" i="9"/>
  <c r="F906" i="9"/>
  <c r="F914" i="9"/>
  <c r="F922" i="9"/>
  <c r="F930" i="9"/>
  <c r="F68" i="9"/>
  <c r="F324" i="9"/>
  <c r="F509" i="9"/>
  <c r="F546" i="9"/>
  <c r="F582" i="9"/>
  <c r="F619" i="9"/>
  <c r="F656" i="9"/>
  <c r="F691" i="9"/>
  <c r="F723" i="9"/>
  <c r="F755" i="9"/>
  <c r="F787" i="9"/>
  <c r="F819" i="9"/>
  <c r="F851" i="9"/>
  <c r="F883" i="9"/>
  <c r="F915" i="9"/>
  <c r="F938" i="9"/>
  <c r="F954" i="9"/>
  <c r="F970" i="9"/>
  <c r="F983" i="9"/>
  <c r="F994" i="9"/>
  <c r="F1004" i="9"/>
  <c r="F1015" i="9"/>
  <c r="F1026" i="9"/>
  <c r="F1036" i="9"/>
  <c r="F1047" i="9"/>
  <c r="F1058" i="9"/>
  <c r="F1068" i="9"/>
  <c r="F1079" i="9"/>
  <c r="F1090" i="9"/>
  <c r="F1100" i="9"/>
  <c r="F1111" i="9"/>
  <c r="F1122" i="9"/>
  <c r="F1132" i="9"/>
  <c r="F1143" i="9"/>
  <c r="F1152" i="9"/>
  <c r="F1161" i="9"/>
  <c r="F1170" i="9"/>
  <c r="F1179" i="9"/>
  <c r="F1188" i="9"/>
  <c r="F1198" i="9"/>
  <c r="F1207" i="9"/>
  <c r="F1216" i="9"/>
  <c r="F1225" i="9"/>
  <c r="F1234" i="9"/>
  <c r="F1243" i="9"/>
  <c r="F1252" i="9"/>
  <c r="F1262" i="9"/>
  <c r="F1271" i="9"/>
  <c r="F1280" i="9"/>
  <c r="F1289" i="9"/>
  <c r="F1298" i="9"/>
  <c r="F1307" i="9"/>
  <c r="F1316" i="9"/>
  <c r="F1326" i="9"/>
  <c r="F1335" i="9"/>
  <c r="F1344" i="9"/>
  <c r="F1353" i="9"/>
  <c r="F1362" i="9"/>
  <c r="F1371" i="9"/>
  <c r="F1380" i="9"/>
  <c r="F1390" i="9"/>
  <c r="F1398" i="9"/>
  <c r="F1406" i="9"/>
  <c r="F1414" i="9"/>
  <c r="F1422" i="9"/>
  <c r="F1430" i="9"/>
  <c r="F1438" i="9"/>
  <c r="F1446" i="9"/>
  <c r="F1454" i="9"/>
  <c r="F1462" i="9"/>
  <c r="F1470" i="9"/>
  <c r="F1478" i="9"/>
  <c r="F1486" i="9"/>
  <c r="F1494" i="9"/>
  <c r="F8" i="8"/>
  <c r="F16" i="8"/>
  <c r="F24" i="8"/>
  <c r="F32" i="8"/>
  <c r="F40" i="8"/>
  <c r="F48" i="8"/>
  <c r="F56" i="8"/>
  <c r="F64" i="8"/>
  <c r="F72" i="8"/>
  <c r="F80" i="8"/>
  <c r="F88" i="8"/>
  <c r="F96" i="8"/>
  <c r="F104" i="8"/>
  <c r="F112" i="8"/>
  <c r="F120" i="8"/>
  <c r="F128" i="8"/>
  <c r="F136" i="8"/>
  <c r="F144" i="8"/>
  <c r="F152" i="8"/>
  <c r="F160" i="8"/>
  <c r="F168" i="8"/>
  <c r="F176" i="8"/>
  <c r="F184" i="8"/>
  <c r="F192" i="8"/>
  <c r="F76" i="9"/>
  <c r="F332" i="9"/>
  <c r="F510" i="9"/>
  <c r="F547" i="9"/>
  <c r="F584" i="9"/>
  <c r="F620" i="9"/>
  <c r="F657" i="9"/>
  <c r="F692" i="9"/>
  <c r="F724" i="9"/>
  <c r="F756" i="9"/>
  <c r="F788" i="9"/>
  <c r="F820" i="9"/>
  <c r="F852" i="9"/>
  <c r="F884" i="9"/>
  <c r="F916" i="9"/>
  <c r="F939" i="9"/>
  <c r="F955" i="9"/>
  <c r="F971" i="9"/>
  <c r="F984" i="9"/>
  <c r="F995" i="9"/>
  <c r="F1006" i="9"/>
  <c r="F1016" i="9"/>
  <c r="F1027" i="9"/>
  <c r="F1038" i="9"/>
  <c r="F1048" i="9"/>
  <c r="F1059" i="9"/>
  <c r="F1070" i="9"/>
  <c r="F1080" i="9"/>
  <c r="F1091" i="9"/>
  <c r="F1102" i="9"/>
  <c r="F1112" i="9"/>
  <c r="F1123" i="9"/>
  <c r="F1134" i="9"/>
  <c r="F1144" i="9"/>
  <c r="F1153" i="9"/>
  <c r="F1162" i="9"/>
  <c r="F1171" i="9"/>
  <c r="F1180" i="9"/>
  <c r="F1190" i="9"/>
  <c r="F1199" i="9"/>
  <c r="F1208" i="9"/>
  <c r="F1217" i="9"/>
  <c r="F1226" i="9"/>
  <c r="F1235" i="9"/>
  <c r="F1244" i="9"/>
  <c r="F1254" i="9"/>
  <c r="F1263" i="9"/>
  <c r="F1272" i="9"/>
  <c r="F1281" i="9"/>
  <c r="F1290" i="9"/>
  <c r="F1299" i="9"/>
  <c r="F1308" i="9"/>
  <c r="F1318" i="9"/>
  <c r="F1327" i="9"/>
  <c r="F1336" i="9"/>
  <c r="F1345" i="9"/>
  <c r="F1354" i="9"/>
  <c r="F1363" i="9"/>
  <c r="F1372" i="9"/>
  <c r="F1382" i="9"/>
  <c r="F1391" i="9"/>
  <c r="F1399" i="9"/>
  <c r="F1407" i="9"/>
  <c r="F1415" i="9"/>
  <c r="F1423" i="9"/>
  <c r="F1431" i="9"/>
  <c r="F1439" i="9"/>
  <c r="F1447" i="9"/>
  <c r="F1455" i="9"/>
  <c r="F1463" i="9"/>
  <c r="F1471" i="9"/>
  <c r="F1479" i="9"/>
  <c r="F1487" i="9"/>
  <c r="F1495" i="9"/>
  <c r="F9" i="8"/>
  <c r="F17" i="8"/>
  <c r="F25" i="8"/>
  <c r="F33" i="8"/>
  <c r="F41" i="8"/>
  <c r="F49" i="8"/>
  <c r="F57" i="8"/>
  <c r="F65" i="8"/>
  <c r="F73" i="8"/>
  <c r="F81" i="8"/>
  <c r="F89" i="8"/>
  <c r="F132" i="9"/>
  <c r="F388" i="9"/>
  <c r="F518" i="9"/>
  <c r="F555" i="9"/>
  <c r="F592" i="9"/>
  <c r="F628" i="9"/>
  <c r="F665" i="9"/>
  <c r="F699" i="9"/>
  <c r="F731" i="9"/>
  <c r="F763" i="9"/>
  <c r="F795" i="9"/>
  <c r="F827" i="9"/>
  <c r="F859" i="9"/>
  <c r="F891" i="9"/>
  <c r="F923" i="9"/>
  <c r="F940" i="9"/>
  <c r="F956" i="9"/>
  <c r="F972" i="9"/>
  <c r="F986" i="9"/>
  <c r="F996" i="9"/>
  <c r="F1007" i="9"/>
  <c r="F1018" i="9"/>
  <c r="F1028" i="9"/>
  <c r="F1039" i="9"/>
  <c r="F1050" i="9"/>
  <c r="F1060" i="9"/>
  <c r="F1071" i="9"/>
  <c r="F1082" i="9"/>
  <c r="F1092" i="9"/>
  <c r="F1103" i="9"/>
  <c r="F1114" i="9"/>
  <c r="F1124" i="9"/>
  <c r="F1135" i="9"/>
  <c r="F1145" i="9"/>
  <c r="F1154" i="9"/>
  <c r="F1163" i="9"/>
  <c r="F1172" i="9"/>
  <c r="F1182" i="9"/>
  <c r="F1191" i="9"/>
  <c r="F1200" i="9"/>
  <c r="F1209" i="9"/>
  <c r="F1218" i="9"/>
  <c r="F1227" i="9"/>
  <c r="F1236" i="9"/>
  <c r="F1246" i="9"/>
  <c r="F1255" i="9"/>
  <c r="F1264" i="9"/>
  <c r="F1273" i="9"/>
  <c r="F1282" i="9"/>
  <c r="F1291" i="9"/>
  <c r="F1300" i="9"/>
  <c r="F1310" i="9"/>
  <c r="F1319" i="9"/>
  <c r="F1328" i="9"/>
  <c r="F1337" i="9"/>
  <c r="F1346" i="9"/>
  <c r="F1355" i="9"/>
  <c r="F1364" i="9"/>
  <c r="F1374" i="9"/>
  <c r="F1383" i="9"/>
  <c r="F1392" i="9"/>
  <c r="F1400" i="9"/>
  <c r="F1408" i="9"/>
  <c r="F1416" i="9"/>
  <c r="F1424" i="9"/>
  <c r="F1432" i="9"/>
  <c r="F1440" i="9"/>
  <c r="F1448" i="9"/>
  <c r="F1456" i="9"/>
  <c r="F1464" i="9"/>
  <c r="F1472" i="9"/>
  <c r="F1480" i="9"/>
  <c r="F1488" i="9"/>
  <c r="F1496" i="9"/>
  <c r="F140" i="9"/>
  <c r="F396" i="9"/>
  <c r="F520" i="9"/>
  <c r="F556" i="9"/>
  <c r="F593" i="9"/>
  <c r="F629" i="9"/>
  <c r="F666" i="9"/>
  <c r="F700" i="9"/>
  <c r="F732" i="9"/>
  <c r="F764" i="9"/>
  <c r="F796" i="9"/>
  <c r="F828" i="9"/>
  <c r="F860" i="9"/>
  <c r="F892" i="9"/>
  <c r="F924" i="9"/>
  <c r="F944" i="9"/>
  <c r="F960" i="9"/>
  <c r="F976" i="9"/>
  <c r="F987" i="9"/>
  <c r="F998" i="9"/>
  <c r="F1008" i="9"/>
  <c r="F1019" i="9"/>
  <c r="F1030" i="9"/>
  <c r="F1040" i="9"/>
  <c r="F1051" i="9"/>
  <c r="F1062" i="9"/>
  <c r="F1072" i="9"/>
  <c r="F1083" i="9"/>
  <c r="F1094" i="9"/>
  <c r="F1104" i="9"/>
  <c r="F1115" i="9"/>
  <c r="F1126" i="9"/>
  <c r="F1136" i="9"/>
  <c r="F1146" i="9"/>
  <c r="F1155" i="9"/>
  <c r="F1164" i="9"/>
  <c r="F1174" i="9"/>
  <c r="F1183" i="9"/>
  <c r="F1192" i="9"/>
  <c r="F1201" i="9"/>
  <c r="F1210" i="9"/>
  <c r="F1219" i="9"/>
  <c r="F1228" i="9"/>
  <c r="F1238" i="9"/>
  <c r="F1247" i="9"/>
  <c r="F1256" i="9"/>
  <c r="F1265" i="9"/>
  <c r="F1274" i="9"/>
  <c r="F1283" i="9"/>
  <c r="F1292" i="9"/>
  <c r="F1302" i="9"/>
  <c r="F1311" i="9"/>
  <c r="F1320" i="9"/>
  <c r="F1329" i="9"/>
  <c r="F1338" i="9"/>
  <c r="F1347" i="9"/>
  <c r="F1356" i="9"/>
  <c r="F1366" i="9"/>
  <c r="F1375" i="9"/>
  <c r="F1384" i="9"/>
  <c r="F1393" i="9"/>
  <c r="F1401" i="9"/>
  <c r="F1409" i="9"/>
  <c r="F1417" i="9"/>
  <c r="F1425" i="9"/>
  <c r="F1433" i="9"/>
  <c r="F1441" i="9"/>
  <c r="F1449" i="9"/>
  <c r="F1457" i="9"/>
  <c r="F1465" i="9"/>
  <c r="F1473" i="9"/>
  <c r="F1481" i="9"/>
  <c r="F1489" i="9"/>
  <c r="F11" i="8"/>
  <c r="F196" i="9"/>
  <c r="F452" i="9"/>
  <c r="F528" i="9"/>
  <c r="F564" i="9"/>
  <c r="F601" i="9"/>
  <c r="F637" i="9"/>
  <c r="F674" i="9"/>
  <c r="F707" i="9"/>
  <c r="F739" i="9"/>
  <c r="F771" i="9"/>
  <c r="F803" i="9"/>
  <c r="F835" i="9"/>
  <c r="F867" i="9"/>
  <c r="F899" i="9"/>
  <c r="F928" i="9"/>
  <c r="F946" i="9"/>
  <c r="F962" i="9"/>
  <c r="F978" i="9"/>
  <c r="F988" i="9"/>
  <c r="F999" i="9"/>
  <c r="F1010" i="9"/>
  <c r="F1020" i="9"/>
  <c r="F1031" i="9"/>
  <c r="F1042" i="9"/>
  <c r="F1052" i="9"/>
  <c r="F1063" i="9"/>
  <c r="F1074" i="9"/>
  <c r="F1084" i="9"/>
  <c r="F1095" i="9"/>
  <c r="F1106" i="9"/>
  <c r="F1116" i="9"/>
  <c r="F1127" i="9"/>
  <c r="F1138" i="9"/>
  <c r="F1147" i="9"/>
  <c r="F1156" i="9"/>
  <c r="F1166" i="9"/>
  <c r="F1175" i="9"/>
  <c r="F1184" i="9"/>
  <c r="F1193" i="9"/>
  <c r="F1202" i="9"/>
  <c r="F1211" i="9"/>
  <c r="F1220" i="9"/>
  <c r="F1230" i="9"/>
  <c r="F1239" i="9"/>
  <c r="F1248" i="9"/>
  <c r="F1257" i="9"/>
  <c r="F1266" i="9"/>
  <c r="F1275" i="9"/>
  <c r="F1284" i="9"/>
  <c r="F1294" i="9"/>
  <c r="F1303" i="9"/>
  <c r="F1312" i="9"/>
  <c r="F1321" i="9"/>
  <c r="F1330" i="9"/>
  <c r="F1339" i="9"/>
  <c r="F1348" i="9"/>
  <c r="F1358" i="9"/>
  <c r="F1367" i="9"/>
  <c r="F1376" i="9"/>
  <c r="F1385" i="9"/>
  <c r="F1394" i="9"/>
  <c r="F1402" i="9"/>
  <c r="F1410" i="9"/>
  <c r="F1418" i="9"/>
  <c r="F1426" i="9"/>
  <c r="F1434" i="9"/>
  <c r="F1442" i="9"/>
  <c r="F1450" i="9"/>
  <c r="F1458" i="9"/>
  <c r="F1466" i="9"/>
  <c r="F1474" i="9"/>
  <c r="F1482" i="9"/>
  <c r="F1490" i="9"/>
  <c r="F204" i="9"/>
  <c r="F538" i="9"/>
  <c r="F646" i="9"/>
  <c r="F740" i="9"/>
  <c r="F812" i="9"/>
  <c r="F907" i="9"/>
  <c r="F963" i="9"/>
  <c r="F992" i="9"/>
  <c r="F1023" i="9"/>
  <c r="F1054" i="9"/>
  <c r="F1078" i="9"/>
  <c r="F1108" i="9"/>
  <c r="F1139" i="9"/>
  <c r="F1160" i="9"/>
  <c r="F1186" i="9"/>
  <c r="F1212" i="9"/>
  <c r="F1233" i="9"/>
  <c r="F1259" i="9"/>
  <c r="F1286" i="9"/>
  <c r="F1306" i="9"/>
  <c r="F1332" i="9"/>
  <c r="F1359" i="9"/>
  <c r="F1379" i="9"/>
  <c r="F1404" i="9"/>
  <c r="F1427" i="9"/>
  <c r="F1445" i="9"/>
  <c r="F1468" i="9"/>
  <c r="F1491" i="9"/>
  <c r="F10" i="8"/>
  <c r="F21" i="8"/>
  <c r="F31" i="8"/>
  <c r="F43" i="8"/>
  <c r="F53" i="8"/>
  <c r="F63" i="8"/>
  <c r="F75" i="8"/>
  <c r="F85" i="8"/>
  <c r="F95" i="8"/>
  <c r="F105" i="8"/>
  <c r="F114" i="8"/>
  <c r="F123" i="8"/>
  <c r="F132" i="8"/>
  <c r="F141" i="8"/>
  <c r="F150" i="8"/>
  <c r="F159" i="8"/>
  <c r="F169" i="8"/>
  <c r="F178" i="8"/>
  <c r="F187" i="8"/>
  <c r="F196" i="8"/>
  <c r="F204" i="8"/>
  <c r="F212" i="8"/>
  <c r="F220" i="8"/>
  <c r="F228" i="8"/>
  <c r="F236" i="8"/>
  <c r="F244" i="8"/>
  <c r="F252" i="8"/>
  <c r="F260" i="8"/>
  <c r="F268" i="8"/>
  <c r="F276" i="8"/>
  <c r="F284" i="8"/>
  <c r="F292" i="8"/>
  <c r="F300" i="8"/>
  <c r="F308" i="8"/>
  <c r="F316" i="8"/>
  <c r="F324" i="8"/>
  <c r="F332" i="8"/>
  <c r="F340" i="8"/>
  <c r="F348" i="8"/>
  <c r="F356" i="8"/>
  <c r="F364" i="8"/>
  <c r="F372" i="8"/>
  <c r="F380" i="8"/>
  <c r="F388" i="8"/>
  <c r="F396" i="8"/>
  <c r="F404" i="8"/>
  <c r="F412" i="8"/>
  <c r="F420" i="8"/>
  <c r="F428" i="8"/>
  <c r="F436" i="8"/>
  <c r="F444" i="8"/>
  <c r="F452" i="8"/>
  <c r="F460" i="8"/>
  <c r="F468" i="8"/>
  <c r="F476" i="8"/>
  <c r="F484" i="8"/>
  <c r="F492" i="8"/>
  <c r="F500" i="8"/>
  <c r="F508" i="8"/>
  <c r="F516" i="8"/>
  <c r="F524" i="8"/>
  <c r="F532" i="8"/>
  <c r="F540" i="8"/>
  <c r="F548" i="8"/>
  <c r="F556" i="8"/>
  <c r="F564" i="8"/>
  <c r="F572" i="8"/>
  <c r="F580" i="8"/>
  <c r="F588" i="8"/>
  <c r="F596" i="8"/>
  <c r="F604" i="8"/>
  <c r="F612" i="8"/>
  <c r="F620" i="8"/>
  <c r="F628" i="8"/>
  <c r="F636" i="8"/>
  <c r="F644" i="8"/>
  <c r="F652" i="8"/>
  <c r="F660" i="8"/>
  <c r="F668" i="8"/>
  <c r="F676" i="8"/>
  <c r="F684" i="8"/>
  <c r="F692" i="8"/>
  <c r="F700" i="8"/>
  <c r="F708" i="8"/>
  <c r="F716" i="8"/>
  <c r="F724" i="8"/>
  <c r="F732" i="8"/>
  <c r="F740" i="8"/>
  <c r="F748" i="8"/>
  <c r="F756" i="8"/>
  <c r="F764" i="8"/>
  <c r="F772" i="8"/>
  <c r="F780" i="8"/>
  <c r="F788" i="8"/>
  <c r="F796" i="8"/>
  <c r="F804" i="8"/>
  <c r="F812" i="8"/>
  <c r="F820" i="8"/>
  <c r="F828" i="8"/>
  <c r="F836" i="8"/>
  <c r="F844" i="8"/>
  <c r="F852" i="8"/>
  <c r="F860" i="8"/>
  <c r="F868" i="8"/>
  <c r="F876" i="8"/>
  <c r="F884" i="8"/>
  <c r="F892" i="8"/>
  <c r="F900" i="8"/>
  <c r="F908" i="8"/>
  <c r="F916" i="8"/>
  <c r="F924" i="8"/>
  <c r="F932" i="8"/>
  <c r="F940" i="8"/>
  <c r="F948" i="8"/>
  <c r="F956" i="8"/>
  <c r="F964" i="8"/>
  <c r="F972" i="8"/>
  <c r="F980" i="8"/>
  <c r="F988" i="8"/>
  <c r="F996" i="8"/>
  <c r="F1004" i="8"/>
  <c r="F1012" i="8"/>
  <c r="F1020" i="8"/>
  <c r="F1028" i="8"/>
  <c r="F1036" i="8"/>
  <c r="F1044" i="8"/>
  <c r="F1052" i="8"/>
  <c r="F1060" i="8"/>
  <c r="F1068" i="8"/>
  <c r="F1076" i="8"/>
  <c r="F1084" i="8"/>
  <c r="F1092" i="8"/>
  <c r="F1100" i="8"/>
  <c r="F1108" i="8"/>
  <c r="F1116" i="8"/>
  <c r="F1124" i="8"/>
  <c r="F1132" i="8"/>
  <c r="F1140" i="8"/>
  <c r="F1148" i="8"/>
  <c r="F1156" i="8"/>
  <c r="F1164" i="8"/>
  <c r="F1172" i="8"/>
  <c r="F260" i="9"/>
  <c r="F565" i="9"/>
  <c r="F648" i="9"/>
  <c r="F747" i="9"/>
  <c r="F836" i="9"/>
  <c r="F908" i="9"/>
  <c r="F964" i="9"/>
  <c r="F1000" i="9"/>
  <c r="F1024" i="9"/>
  <c r="F1055" i="9"/>
  <c r="F1086" i="9"/>
  <c r="F1110" i="9"/>
  <c r="F1140" i="9"/>
  <c r="F1167" i="9"/>
  <c r="F1187" i="9"/>
  <c r="F1214" i="9"/>
  <c r="F1240" i="9"/>
  <c r="F1260" i="9"/>
  <c r="F1287" i="9"/>
  <c r="F1313" i="9"/>
  <c r="F1334" i="9"/>
  <c r="F1360" i="9"/>
  <c r="F1386" i="9"/>
  <c r="F1405" i="9"/>
  <c r="F1428" i="9"/>
  <c r="F1451" i="9"/>
  <c r="F1469" i="9"/>
  <c r="F1492" i="9"/>
  <c r="F12" i="8"/>
  <c r="F22" i="8"/>
  <c r="F34" i="8"/>
  <c r="F44" i="8"/>
  <c r="F54" i="8"/>
  <c r="F66" i="8"/>
  <c r="F76" i="8"/>
  <c r="F86" i="8"/>
  <c r="F97" i="8"/>
  <c r="F106" i="8"/>
  <c r="F115" i="8"/>
  <c r="F124" i="8"/>
  <c r="F133" i="8"/>
  <c r="F142" i="8"/>
  <c r="F151" i="8"/>
  <c r="F161" i="8"/>
  <c r="F170" i="8"/>
  <c r="F179" i="8"/>
  <c r="F188" i="8"/>
  <c r="F197" i="8"/>
  <c r="F205" i="8"/>
  <c r="F213" i="8"/>
  <c r="F221" i="8"/>
  <c r="F229" i="8"/>
  <c r="F237" i="8"/>
  <c r="F245" i="8"/>
  <c r="F253" i="8"/>
  <c r="F261" i="8"/>
  <c r="F269" i="8"/>
  <c r="F277" i="8"/>
  <c r="F285" i="8"/>
  <c r="F293" i="8"/>
  <c r="F301" i="8"/>
  <c r="F309" i="8"/>
  <c r="F317" i="8"/>
  <c r="F325" i="8"/>
  <c r="F333" i="8"/>
  <c r="F341" i="8"/>
  <c r="F349" i="8"/>
  <c r="F357" i="8"/>
  <c r="F365" i="8"/>
  <c r="F373" i="8"/>
  <c r="F381" i="8"/>
  <c r="F389" i="8"/>
  <c r="F397" i="8"/>
  <c r="F405" i="8"/>
  <c r="F413" i="8"/>
  <c r="F421" i="8"/>
  <c r="F429" i="8"/>
  <c r="F437" i="8"/>
  <c r="F445" i="8"/>
  <c r="F453" i="8"/>
  <c r="F461" i="8"/>
  <c r="F469" i="8"/>
  <c r="F477" i="8"/>
  <c r="F485" i="8"/>
  <c r="F493" i="8"/>
  <c r="F501" i="8"/>
  <c r="F509" i="8"/>
  <c r="F517" i="8"/>
  <c r="F525" i="8"/>
  <c r="F533" i="8"/>
  <c r="F541" i="8"/>
  <c r="F549" i="8"/>
  <c r="F268" i="9"/>
  <c r="F573" i="9"/>
  <c r="F675" i="9"/>
  <c r="F748" i="9"/>
  <c r="F843" i="9"/>
  <c r="F931" i="9"/>
  <c r="F968" i="9"/>
  <c r="F1002" i="9"/>
  <c r="F1032" i="9"/>
  <c r="F1056" i="9"/>
  <c r="F1087" i="9"/>
  <c r="F1118" i="9"/>
  <c r="F1142" i="9"/>
  <c r="F1168" i="9"/>
  <c r="F1194" i="9"/>
  <c r="F1215" i="9"/>
  <c r="F1241" i="9"/>
  <c r="F1267" i="9"/>
  <c r="F1288" i="9"/>
  <c r="F1314" i="9"/>
  <c r="F1340" i="9"/>
  <c r="F1361" i="9"/>
  <c r="F1387" i="9"/>
  <c r="F1411" i="9"/>
  <c r="F1429" i="9"/>
  <c r="F1452" i="9"/>
  <c r="F1475" i="9"/>
  <c r="F1493" i="9"/>
  <c r="F13" i="8"/>
  <c r="F23" i="8"/>
  <c r="F35" i="8"/>
  <c r="F45" i="8"/>
  <c r="F55" i="8"/>
  <c r="F67" i="8"/>
  <c r="F77" i="8"/>
  <c r="F87" i="8"/>
  <c r="F98" i="8"/>
  <c r="F107" i="8"/>
  <c r="F116" i="8"/>
  <c r="F125" i="8"/>
  <c r="F134" i="8"/>
  <c r="F143" i="8"/>
  <c r="F153" i="8"/>
  <c r="F162" i="8"/>
  <c r="F171" i="8"/>
  <c r="F180" i="8"/>
  <c r="F189" i="8"/>
  <c r="F198" i="8"/>
  <c r="F206" i="8"/>
  <c r="F214" i="8"/>
  <c r="F222" i="8"/>
  <c r="F230" i="8"/>
  <c r="F238" i="8"/>
  <c r="F246" i="8"/>
  <c r="F254" i="8"/>
  <c r="F262" i="8"/>
  <c r="F270" i="8"/>
  <c r="F278" i="8"/>
  <c r="F286" i="8"/>
  <c r="F294" i="8"/>
  <c r="F302" i="8"/>
  <c r="F310" i="8"/>
  <c r="F318" i="8"/>
  <c r="F326" i="8"/>
  <c r="F334" i="8"/>
  <c r="F342" i="8"/>
  <c r="F350" i="8"/>
  <c r="F358" i="8"/>
  <c r="F366" i="8"/>
  <c r="F374" i="8"/>
  <c r="F382" i="8"/>
  <c r="F390" i="8"/>
  <c r="F398" i="8"/>
  <c r="F406" i="8"/>
  <c r="F414" i="8"/>
  <c r="F422" i="8"/>
  <c r="F430" i="8"/>
  <c r="F438" i="8"/>
  <c r="F446" i="8"/>
  <c r="F454" i="8"/>
  <c r="F462" i="8"/>
  <c r="F470" i="8"/>
  <c r="F478" i="8"/>
  <c r="F486" i="8"/>
  <c r="F494" i="8"/>
  <c r="F502" i="8"/>
  <c r="F510" i="8"/>
  <c r="F518" i="8"/>
  <c r="F526" i="8"/>
  <c r="F534" i="8"/>
  <c r="F542" i="8"/>
  <c r="F550" i="8"/>
  <c r="F558" i="8"/>
  <c r="F460" i="9"/>
  <c r="F574" i="9"/>
  <c r="F683" i="9"/>
  <c r="F772" i="9"/>
  <c r="F844" i="9"/>
  <c r="F932" i="9"/>
  <c r="F979" i="9"/>
  <c r="F1003" i="9"/>
  <c r="F1034" i="9"/>
  <c r="F1064" i="9"/>
  <c r="F1088" i="9"/>
  <c r="F1119" i="9"/>
  <c r="F1148" i="9"/>
  <c r="F1169" i="9"/>
  <c r="F1195" i="9"/>
  <c r="F1222" i="9"/>
  <c r="F1242" i="9"/>
  <c r="F1268" i="9"/>
  <c r="F1295" i="9"/>
  <c r="F1315" i="9"/>
  <c r="F1342" i="9"/>
  <c r="F1368" i="9"/>
  <c r="F1388" i="9"/>
  <c r="F1412" i="9"/>
  <c r="F1435" i="9"/>
  <c r="F1453" i="9"/>
  <c r="F1476" i="9"/>
  <c r="F14" i="8"/>
  <c r="F26" i="8"/>
  <c r="F36" i="8"/>
  <c r="F46" i="8"/>
  <c r="F58" i="8"/>
  <c r="F68" i="8"/>
  <c r="F78" i="8"/>
  <c r="F90" i="8"/>
  <c r="F99" i="8"/>
  <c r="F108" i="8"/>
  <c r="F117" i="8"/>
  <c r="F126" i="8"/>
  <c r="F135" i="8"/>
  <c r="F145" i="8"/>
  <c r="F154" i="8"/>
  <c r="F163" i="8"/>
  <c r="F172" i="8"/>
  <c r="F181" i="8"/>
  <c r="F190" i="8"/>
  <c r="F199" i="8"/>
  <c r="F207" i="8"/>
  <c r="F215" i="8"/>
  <c r="F223" i="8"/>
  <c r="F231" i="8"/>
  <c r="F239" i="8"/>
  <c r="F247" i="8"/>
  <c r="F255" i="8"/>
  <c r="F263" i="8"/>
  <c r="F271" i="8"/>
  <c r="F279" i="8"/>
  <c r="F287" i="8"/>
  <c r="F295" i="8"/>
  <c r="F303" i="8"/>
  <c r="F311" i="8"/>
  <c r="F319" i="8"/>
  <c r="F327" i="8"/>
  <c r="F335" i="8"/>
  <c r="F343" i="8"/>
  <c r="F351" i="8"/>
  <c r="F359" i="8"/>
  <c r="F367" i="8"/>
  <c r="F375" i="8"/>
  <c r="F383" i="8"/>
  <c r="F391" i="8"/>
  <c r="F399" i="8"/>
  <c r="F407" i="8"/>
  <c r="F415" i="8"/>
  <c r="F423" i="8"/>
  <c r="F431" i="8"/>
  <c r="F439" i="8"/>
  <c r="F447" i="8"/>
  <c r="F455" i="8"/>
  <c r="F463" i="8"/>
  <c r="F471" i="8"/>
  <c r="F479" i="8"/>
  <c r="F487" i="8"/>
  <c r="F495" i="8"/>
  <c r="F503" i="8"/>
  <c r="F511" i="8"/>
  <c r="F519" i="8"/>
  <c r="F527" i="8"/>
  <c r="F535" i="8"/>
  <c r="F543" i="8"/>
  <c r="F551" i="8"/>
  <c r="F559" i="8"/>
  <c r="F567" i="8"/>
  <c r="F575" i="8"/>
  <c r="F583" i="8"/>
  <c r="F591" i="8"/>
  <c r="F599" i="8"/>
  <c r="F607" i="8"/>
  <c r="F615" i="8"/>
  <c r="F623" i="8"/>
  <c r="F631" i="8"/>
  <c r="F639" i="8"/>
  <c r="F647" i="8"/>
  <c r="F655" i="8"/>
  <c r="F663" i="8"/>
  <c r="F671" i="8"/>
  <c r="F679" i="8"/>
  <c r="F687" i="8"/>
  <c r="F695" i="8"/>
  <c r="F703" i="8"/>
  <c r="F711" i="8"/>
  <c r="F719" i="8"/>
  <c r="F727" i="8"/>
  <c r="F735" i="8"/>
  <c r="F743" i="8"/>
  <c r="F751" i="8"/>
  <c r="F759" i="8"/>
  <c r="F767" i="8"/>
  <c r="F775" i="8"/>
  <c r="F783" i="8"/>
  <c r="F500" i="9"/>
  <c r="F602" i="9"/>
  <c r="F684" i="9"/>
  <c r="F779" i="9"/>
  <c r="F868" i="9"/>
  <c r="F936" i="9"/>
  <c r="F980" i="9"/>
  <c r="F1011" i="9"/>
  <c r="F1035" i="9"/>
  <c r="F1066" i="9"/>
  <c r="F1096" i="9"/>
  <c r="F1120" i="9"/>
  <c r="F1150" i="9"/>
  <c r="F1176" i="9"/>
  <c r="F1196" i="9"/>
  <c r="F1223" i="9"/>
  <c r="F1249" i="9"/>
  <c r="F1270" i="9"/>
  <c r="F1296" i="9"/>
  <c r="F1322" i="9"/>
  <c r="F1343" i="9"/>
  <c r="F1369" i="9"/>
  <c r="F1395" i="9"/>
  <c r="F1413" i="9"/>
  <c r="F1436" i="9"/>
  <c r="F1459" i="9"/>
  <c r="F1477" i="9"/>
  <c r="F4" i="8"/>
  <c r="F15" i="8"/>
  <c r="F27" i="8"/>
  <c r="F37" i="8"/>
  <c r="F47" i="8"/>
  <c r="F59" i="8"/>
  <c r="F69" i="8"/>
  <c r="F79" i="8"/>
  <c r="F91" i="8"/>
  <c r="F100" i="8"/>
  <c r="F109" i="8"/>
  <c r="F118" i="8"/>
  <c r="F127" i="8"/>
  <c r="F137" i="8"/>
  <c r="F146" i="8"/>
  <c r="F155" i="8"/>
  <c r="F164" i="8"/>
  <c r="F173" i="8"/>
  <c r="F182" i="8"/>
  <c r="F191" i="8"/>
  <c r="F200" i="8"/>
  <c r="F208" i="8"/>
  <c r="F216" i="8"/>
  <c r="F224" i="8"/>
  <c r="F232" i="8"/>
  <c r="F240" i="8"/>
  <c r="F248" i="8"/>
  <c r="F256" i="8"/>
  <c r="F264" i="8"/>
  <c r="F272" i="8"/>
  <c r="F280" i="8"/>
  <c r="F288" i="8"/>
  <c r="F296" i="8"/>
  <c r="F304" i="8"/>
  <c r="F312" i="8"/>
  <c r="F320" i="8"/>
  <c r="F328" i="8"/>
  <c r="F336" i="8"/>
  <c r="F344" i="8"/>
  <c r="F352" i="8"/>
  <c r="F360" i="8"/>
  <c r="F368" i="8"/>
  <c r="F376" i="8"/>
  <c r="F384" i="8"/>
  <c r="F392" i="8"/>
  <c r="F400" i="8"/>
  <c r="F408" i="8"/>
  <c r="F416" i="8"/>
  <c r="F424" i="8"/>
  <c r="F432" i="8"/>
  <c r="F440" i="8"/>
  <c r="F448" i="8"/>
  <c r="F456" i="8"/>
  <c r="F464" i="8"/>
  <c r="F472" i="8"/>
  <c r="F480" i="8"/>
  <c r="F488" i="8"/>
  <c r="F501" i="9"/>
  <c r="F610" i="9"/>
  <c r="F708" i="9"/>
  <c r="F780" i="9"/>
  <c r="F875" i="9"/>
  <c r="F947" i="9"/>
  <c r="F982" i="9"/>
  <c r="F1012" i="9"/>
  <c r="F1043" i="9"/>
  <c r="F1067" i="9"/>
  <c r="F1098" i="9"/>
  <c r="F1128" i="9"/>
  <c r="F1151" i="9"/>
  <c r="F1177" i="9"/>
  <c r="F1203" i="9"/>
  <c r="F1224" i="9"/>
  <c r="F1250" i="9"/>
  <c r="F1276" i="9"/>
  <c r="F1297" i="9"/>
  <c r="F1323" i="9"/>
  <c r="F1350" i="9"/>
  <c r="F1370" i="9"/>
  <c r="F1396" i="9"/>
  <c r="F1419" i="9"/>
  <c r="F1437" i="9"/>
  <c r="F1460" i="9"/>
  <c r="F1483" i="9"/>
  <c r="F5" i="8"/>
  <c r="F18" i="8"/>
  <c r="F28" i="8"/>
  <c r="F38" i="8"/>
  <c r="F50" i="8"/>
  <c r="F60" i="8"/>
  <c r="F70" i="8"/>
  <c r="F82" i="8"/>
  <c r="F92" i="8"/>
  <c r="F101" i="8"/>
  <c r="F110" i="8"/>
  <c r="F119" i="8"/>
  <c r="F129" i="8"/>
  <c r="F138" i="8"/>
  <c r="F147" i="8"/>
  <c r="F156" i="8"/>
  <c r="F165" i="8"/>
  <c r="F174" i="8"/>
  <c r="F183" i="8"/>
  <c r="F193" i="8"/>
  <c r="F201" i="8"/>
  <c r="F209" i="8"/>
  <c r="F217" i="8"/>
  <c r="F225" i="8"/>
  <c r="F233" i="8"/>
  <c r="F241" i="8"/>
  <c r="F249" i="8"/>
  <c r="F257" i="8"/>
  <c r="F265" i="8"/>
  <c r="F273" i="8"/>
  <c r="F281" i="8"/>
  <c r="F289" i="8"/>
  <c r="F297" i="8"/>
  <c r="F305" i="8"/>
  <c r="F313" i="8"/>
  <c r="F321" i="8"/>
  <c r="F329" i="8"/>
  <c r="F337" i="8"/>
  <c r="F345" i="8"/>
  <c r="F353" i="8"/>
  <c r="F361" i="8"/>
  <c r="F369" i="8"/>
  <c r="F377" i="8"/>
  <c r="F385" i="8"/>
  <c r="F393" i="8"/>
  <c r="F401" i="8"/>
  <c r="F409" i="8"/>
  <c r="F417" i="8"/>
  <c r="F425" i="8"/>
  <c r="F433" i="8"/>
  <c r="F441" i="8"/>
  <c r="F449" i="8"/>
  <c r="F457" i="8"/>
  <c r="F465" i="8"/>
  <c r="F473" i="8"/>
  <c r="F481" i="8"/>
  <c r="F489" i="8"/>
  <c r="F497" i="8"/>
  <c r="F529" i="9"/>
  <c r="F876" i="9"/>
  <c r="F1044" i="9"/>
  <c r="F1158" i="9"/>
  <c r="F1251" i="9"/>
  <c r="F1351" i="9"/>
  <c r="F1443" i="9"/>
  <c r="F7" i="8"/>
  <c r="F52" i="8"/>
  <c r="F94" i="8"/>
  <c r="F131" i="8"/>
  <c r="F167" i="8"/>
  <c r="F203" i="8"/>
  <c r="F235" i="8"/>
  <c r="F267" i="8"/>
  <c r="F299" i="8"/>
  <c r="F331" i="8"/>
  <c r="F363" i="8"/>
  <c r="F395" i="8"/>
  <c r="F427" i="8"/>
  <c r="F459" i="8"/>
  <c r="F491" i="8"/>
  <c r="F512" i="8"/>
  <c r="F528" i="8"/>
  <c r="F544" i="8"/>
  <c r="F557" i="8"/>
  <c r="F569" i="8"/>
  <c r="F579" i="8"/>
  <c r="F590" i="8"/>
  <c r="F601" i="8"/>
  <c r="F611" i="8"/>
  <c r="F622" i="8"/>
  <c r="F633" i="8"/>
  <c r="F643" i="8"/>
  <c r="F654" i="8"/>
  <c r="F665" i="8"/>
  <c r="F675" i="8"/>
  <c r="F686" i="8"/>
  <c r="F697" i="8"/>
  <c r="F707" i="8"/>
  <c r="F718" i="8"/>
  <c r="F729" i="8"/>
  <c r="F739" i="8"/>
  <c r="F750" i="8"/>
  <c r="F761" i="8"/>
  <c r="F771" i="8"/>
  <c r="F782" i="8"/>
  <c r="F792" i="8"/>
  <c r="F801" i="8"/>
  <c r="F810" i="8"/>
  <c r="F819" i="8"/>
  <c r="F829" i="8"/>
  <c r="F838" i="8"/>
  <c r="F847" i="8"/>
  <c r="F856" i="8"/>
  <c r="F865" i="8"/>
  <c r="F874" i="8"/>
  <c r="F883" i="8"/>
  <c r="F893" i="8"/>
  <c r="F902" i="8"/>
  <c r="F911" i="8"/>
  <c r="F920" i="8"/>
  <c r="F929" i="8"/>
  <c r="F938" i="8"/>
  <c r="F947" i="8"/>
  <c r="F957" i="8"/>
  <c r="F966" i="8"/>
  <c r="F975" i="8"/>
  <c r="F984" i="8"/>
  <c r="F993" i="8"/>
  <c r="F1002" i="8"/>
  <c r="F1011" i="8"/>
  <c r="F1021" i="8"/>
  <c r="F1030" i="8"/>
  <c r="F1039" i="8"/>
  <c r="F1048" i="8"/>
  <c r="F1057" i="8"/>
  <c r="F1066" i="8"/>
  <c r="F1075" i="8"/>
  <c r="F1085" i="8"/>
  <c r="F1094" i="8"/>
  <c r="F1103" i="8"/>
  <c r="F1112" i="8"/>
  <c r="F1121" i="8"/>
  <c r="F1130" i="8"/>
  <c r="F1139" i="8"/>
  <c r="F1149" i="8"/>
  <c r="F537" i="9"/>
  <c r="F900" i="9"/>
  <c r="F1046" i="9"/>
  <c r="F1159" i="9"/>
  <c r="F1258" i="9"/>
  <c r="F1352" i="9"/>
  <c r="F1444" i="9"/>
  <c r="F19" i="8"/>
  <c r="F61" i="8"/>
  <c r="F102" i="8"/>
  <c r="F139" i="8"/>
  <c r="F175" i="8"/>
  <c r="F210" i="8"/>
  <c r="F242" i="8"/>
  <c r="F274" i="8"/>
  <c r="F306" i="8"/>
  <c r="F338" i="8"/>
  <c r="F370" i="8"/>
  <c r="F402" i="8"/>
  <c r="F434" i="8"/>
  <c r="F466" i="8"/>
  <c r="F496" i="8"/>
  <c r="F513" i="8"/>
  <c r="F529" i="8"/>
  <c r="F545" i="8"/>
  <c r="F560" i="8"/>
  <c r="F570" i="8"/>
  <c r="F581" i="8"/>
  <c r="F592" i="8"/>
  <c r="F602" i="8"/>
  <c r="F613" i="8"/>
  <c r="F624" i="8"/>
  <c r="F634" i="8"/>
  <c r="F645" i="8"/>
  <c r="F656" i="8"/>
  <c r="F666" i="8"/>
  <c r="F677" i="8"/>
  <c r="F688" i="8"/>
  <c r="F698" i="8"/>
  <c r="F709" i="8"/>
  <c r="F720" i="8"/>
  <c r="F730" i="8"/>
  <c r="F741" i="8"/>
  <c r="F752" i="8"/>
  <c r="F762" i="8"/>
  <c r="F773" i="8"/>
  <c r="F784" i="8"/>
  <c r="F793" i="8"/>
  <c r="F802" i="8"/>
  <c r="F811" i="8"/>
  <c r="F821" i="8"/>
  <c r="F830" i="8"/>
  <c r="F839" i="8"/>
  <c r="F848" i="8"/>
  <c r="F857" i="8"/>
  <c r="F866" i="8"/>
  <c r="F875" i="8"/>
  <c r="F885" i="8"/>
  <c r="F894" i="8"/>
  <c r="F903" i="8"/>
  <c r="F912" i="8"/>
  <c r="F921" i="8"/>
  <c r="F930" i="8"/>
  <c r="F939" i="8"/>
  <c r="F949" i="8"/>
  <c r="F958" i="8"/>
  <c r="F967" i="8"/>
  <c r="F976" i="8"/>
  <c r="F985" i="8"/>
  <c r="F994" i="8"/>
  <c r="F1003" i="8"/>
  <c r="F1013" i="8"/>
  <c r="F1022" i="8"/>
  <c r="F1031" i="8"/>
  <c r="F1040" i="8"/>
  <c r="F1049" i="8"/>
  <c r="F1058" i="8"/>
  <c r="F1067" i="8"/>
  <c r="F1077" i="8"/>
  <c r="F1086" i="8"/>
  <c r="F1095" i="8"/>
  <c r="F1104" i="8"/>
  <c r="F1113" i="8"/>
  <c r="F1122" i="8"/>
  <c r="F1131" i="8"/>
  <c r="F1141" i="8"/>
  <c r="F1150" i="8"/>
  <c r="F611" i="9"/>
  <c r="F948" i="9"/>
  <c r="F1075" i="9"/>
  <c r="F1178" i="9"/>
  <c r="F1278" i="9"/>
  <c r="F1377" i="9"/>
  <c r="F1461" i="9"/>
  <c r="F20" i="8"/>
  <c r="F62" i="8"/>
  <c r="F103" i="8"/>
  <c r="F140" i="8"/>
  <c r="F177" i="8"/>
  <c r="F211" i="8"/>
  <c r="F243" i="8"/>
  <c r="F275" i="8"/>
  <c r="F307" i="8"/>
  <c r="F339" i="8"/>
  <c r="F371" i="8"/>
  <c r="F403" i="8"/>
  <c r="F435" i="8"/>
  <c r="F467" i="8"/>
  <c r="F498" i="8"/>
  <c r="F514" i="8"/>
  <c r="F530" i="8"/>
  <c r="F546" i="8"/>
  <c r="F561" i="8"/>
  <c r="F571" i="8"/>
  <c r="F582" i="8"/>
  <c r="F593" i="8"/>
  <c r="F603" i="8"/>
  <c r="F614" i="8"/>
  <c r="F625" i="8"/>
  <c r="F635" i="8"/>
  <c r="F646" i="8"/>
  <c r="F657" i="8"/>
  <c r="F667" i="8"/>
  <c r="F678" i="8"/>
  <c r="F689" i="8"/>
  <c r="F699" i="8"/>
  <c r="F710" i="8"/>
  <c r="F721" i="8"/>
  <c r="F731" i="8"/>
  <c r="F742" i="8"/>
  <c r="F753" i="8"/>
  <c r="F763" i="8"/>
  <c r="F774" i="8"/>
  <c r="F785" i="8"/>
  <c r="F794" i="8"/>
  <c r="F803" i="8"/>
  <c r="F813" i="8"/>
  <c r="F822" i="8"/>
  <c r="F831" i="8"/>
  <c r="F840" i="8"/>
  <c r="F849" i="8"/>
  <c r="F858" i="8"/>
  <c r="F867" i="8"/>
  <c r="F877" i="8"/>
  <c r="F886" i="8"/>
  <c r="F895" i="8"/>
  <c r="F904" i="8"/>
  <c r="F913" i="8"/>
  <c r="F922" i="8"/>
  <c r="F931" i="8"/>
  <c r="F941" i="8"/>
  <c r="F950" i="8"/>
  <c r="F959" i="8"/>
  <c r="F968" i="8"/>
  <c r="F977" i="8"/>
  <c r="F986" i="8"/>
  <c r="F995" i="8"/>
  <c r="F1005" i="8"/>
  <c r="F1014" i="8"/>
  <c r="F1023" i="8"/>
  <c r="F1032" i="8"/>
  <c r="F1041" i="8"/>
  <c r="F1050" i="8"/>
  <c r="F1059" i="8"/>
  <c r="F1069" i="8"/>
  <c r="F1078" i="8"/>
  <c r="F1087" i="8"/>
  <c r="F1096" i="8"/>
  <c r="F1105" i="8"/>
  <c r="F1114" i="8"/>
  <c r="F1123" i="8"/>
  <c r="F1133" i="8"/>
  <c r="F1142" i="8"/>
  <c r="F1151" i="8"/>
  <c r="F1160" i="8"/>
  <c r="F1169" i="8"/>
  <c r="F1178" i="8"/>
  <c r="F1186" i="8"/>
  <c r="F1194" i="8"/>
  <c r="F1202" i="8"/>
  <c r="F1210" i="8"/>
  <c r="F1218" i="8"/>
  <c r="F1226" i="8"/>
  <c r="F1234" i="8"/>
  <c r="F1242" i="8"/>
  <c r="F1250" i="8"/>
  <c r="F1258" i="8"/>
  <c r="F1266" i="8"/>
  <c r="F1274" i="8"/>
  <c r="F1282" i="8"/>
  <c r="F1290" i="8"/>
  <c r="F1298" i="8"/>
  <c r="F1306" i="8"/>
  <c r="F1314" i="8"/>
  <c r="F1322" i="8"/>
  <c r="F1330" i="8"/>
  <c r="F1338" i="8"/>
  <c r="F1346" i="8"/>
  <c r="F1354" i="8"/>
  <c r="F1362" i="8"/>
  <c r="F1370" i="8"/>
  <c r="F1378" i="8"/>
  <c r="F638" i="9"/>
  <c r="F952" i="9"/>
  <c r="F1076" i="9"/>
  <c r="F1185" i="9"/>
  <c r="F1279" i="9"/>
  <c r="F1378" i="9"/>
  <c r="F1467" i="9"/>
  <c r="F29" i="8"/>
  <c r="F71" i="8"/>
  <c r="F111" i="8"/>
  <c r="F148" i="8"/>
  <c r="F185" i="8"/>
  <c r="F218" i="8"/>
  <c r="F250" i="8"/>
  <c r="F282" i="8"/>
  <c r="F314" i="8"/>
  <c r="F346" i="8"/>
  <c r="F378" i="8"/>
  <c r="F410" i="8"/>
  <c r="F442" i="8"/>
  <c r="F474" i="8"/>
  <c r="F499" i="8"/>
  <c r="F515" i="8"/>
  <c r="F531" i="8"/>
  <c r="F547" i="8"/>
  <c r="F562" i="8"/>
  <c r="F573" i="8"/>
  <c r="F584" i="8"/>
  <c r="F594" i="8"/>
  <c r="F605" i="8"/>
  <c r="F616" i="8"/>
  <c r="F626" i="8"/>
  <c r="F637" i="8"/>
  <c r="F648" i="8"/>
  <c r="F658" i="8"/>
  <c r="F669" i="8"/>
  <c r="F680" i="8"/>
  <c r="F690" i="8"/>
  <c r="F701" i="8"/>
  <c r="F712" i="8"/>
  <c r="F722" i="8"/>
  <c r="F733" i="8"/>
  <c r="F744" i="8"/>
  <c r="F754" i="8"/>
  <c r="F765" i="8"/>
  <c r="F776" i="8"/>
  <c r="F786" i="8"/>
  <c r="F795" i="8"/>
  <c r="F805" i="8"/>
  <c r="F814" i="8"/>
  <c r="F823" i="8"/>
  <c r="F832" i="8"/>
  <c r="F841" i="8"/>
  <c r="F850" i="8"/>
  <c r="F859" i="8"/>
  <c r="F869" i="8"/>
  <c r="F878" i="8"/>
  <c r="F887" i="8"/>
  <c r="F896" i="8"/>
  <c r="F905" i="8"/>
  <c r="F914" i="8"/>
  <c r="F923" i="8"/>
  <c r="F933" i="8"/>
  <c r="F942" i="8"/>
  <c r="F951" i="8"/>
  <c r="F960" i="8"/>
  <c r="F969" i="8"/>
  <c r="F978" i="8"/>
  <c r="F987" i="8"/>
  <c r="F997" i="8"/>
  <c r="F1006" i="8"/>
  <c r="F1015" i="8"/>
  <c r="F1024" i="8"/>
  <c r="F1033" i="8"/>
  <c r="F1042" i="8"/>
  <c r="F1051" i="8"/>
  <c r="F1061" i="8"/>
  <c r="F1070" i="8"/>
  <c r="F1079" i="8"/>
  <c r="F715" i="9"/>
  <c r="F990" i="9"/>
  <c r="F1099" i="9"/>
  <c r="F1204" i="9"/>
  <c r="F1304" i="9"/>
  <c r="F1397" i="9"/>
  <c r="F1484" i="9"/>
  <c r="F30" i="8"/>
  <c r="F74" i="8"/>
  <c r="F113" i="8"/>
  <c r="F149" i="8"/>
  <c r="F186" i="8"/>
  <c r="F219" i="8"/>
  <c r="F251" i="8"/>
  <c r="F283" i="8"/>
  <c r="F315" i="8"/>
  <c r="F347" i="8"/>
  <c r="F379" i="8"/>
  <c r="F411" i="8"/>
  <c r="F443" i="8"/>
  <c r="F475" i="8"/>
  <c r="F504" i="8"/>
  <c r="F520" i="8"/>
  <c r="F536" i="8"/>
  <c r="F552" i="8"/>
  <c r="F563" i="8"/>
  <c r="F574" i="8"/>
  <c r="F585" i="8"/>
  <c r="F595" i="8"/>
  <c r="F606" i="8"/>
  <c r="F617" i="8"/>
  <c r="F627" i="8"/>
  <c r="F638" i="8"/>
  <c r="F649" i="8"/>
  <c r="F659" i="8"/>
  <c r="F670" i="8"/>
  <c r="F681" i="8"/>
  <c r="F691" i="8"/>
  <c r="F702" i="8"/>
  <c r="F713" i="8"/>
  <c r="F723" i="8"/>
  <c r="F734" i="8"/>
  <c r="F745" i="8"/>
  <c r="F755" i="8"/>
  <c r="F766" i="8"/>
  <c r="F777" i="8"/>
  <c r="F787" i="8"/>
  <c r="F797" i="8"/>
  <c r="F806" i="8"/>
  <c r="F815" i="8"/>
  <c r="F824" i="8"/>
  <c r="F833" i="8"/>
  <c r="F842" i="8"/>
  <c r="F851" i="8"/>
  <c r="F861" i="8"/>
  <c r="F870" i="8"/>
  <c r="F879" i="8"/>
  <c r="F888" i="8"/>
  <c r="F897" i="8"/>
  <c r="F906" i="8"/>
  <c r="F915" i="8"/>
  <c r="F925" i="8"/>
  <c r="F934" i="8"/>
  <c r="F943" i="8"/>
  <c r="F952" i="8"/>
  <c r="F961" i="8"/>
  <c r="F970" i="8"/>
  <c r="F979" i="8"/>
  <c r="F989" i="8"/>
  <c r="F998" i="8"/>
  <c r="F1007" i="8"/>
  <c r="F1016" i="8"/>
  <c r="F1025" i="8"/>
  <c r="F1034" i="8"/>
  <c r="F1043" i="8"/>
  <c r="F1053" i="8"/>
  <c r="F1062" i="8"/>
  <c r="F1071" i="8"/>
  <c r="F1080" i="8"/>
  <c r="F1089" i="8"/>
  <c r="F1098" i="8"/>
  <c r="F1107" i="8"/>
  <c r="F1117" i="8"/>
  <c r="F1126" i="8"/>
  <c r="F716" i="9"/>
  <c r="F991" i="9"/>
  <c r="F1107" i="9"/>
  <c r="F1206" i="9"/>
  <c r="F1305" i="9"/>
  <c r="F1403" i="9"/>
  <c r="F1485" i="9"/>
  <c r="F39" i="8"/>
  <c r="F83" i="8"/>
  <c r="F121" i="8"/>
  <c r="F157" i="8"/>
  <c r="F194" i="8"/>
  <c r="F226" i="8"/>
  <c r="F258" i="8"/>
  <c r="F290" i="8"/>
  <c r="F322" i="8"/>
  <c r="F354" i="8"/>
  <c r="F386" i="8"/>
  <c r="F418" i="8"/>
  <c r="F450" i="8"/>
  <c r="F482" i="8"/>
  <c r="F505" i="8"/>
  <c r="F521" i="8"/>
  <c r="F537" i="8"/>
  <c r="F553" i="8"/>
  <c r="F565" i="8"/>
  <c r="F576" i="8"/>
  <c r="F586" i="8"/>
  <c r="F597" i="8"/>
  <c r="F608" i="8"/>
  <c r="F618" i="8"/>
  <c r="F629" i="8"/>
  <c r="F640" i="8"/>
  <c r="F650" i="8"/>
  <c r="F661" i="8"/>
  <c r="F672" i="8"/>
  <c r="F682" i="8"/>
  <c r="F693" i="8"/>
  <c r="F704" i="8"/>
  <c r="F714" i="8"/>
  <c r="F725" i="8"/>
  <c r="F736" i="8"/>
  <c r="F746" i="8"/>
  <c r="F757" i="8"/>
  <c r="F768" i="8"/>
  <c r="F778" i="8"/>
  <c r="F789" i="8"/>
  <c r="F798" i="8"/>
  <c r="F807" i="8"/>
  <c r="F816" i="8"/>
  <c r="F825" i="8"/>
  <c r="F834" i="8"/>
  <c r="F843" i="8"/>
  <c r="F853" i="8"/>
  <c r="F862" i="8"/>
  <c r="F871" i="8"/>
  <c r="F880" i="8"/>
  <c r="F889" i="8"/>
  <c r="F898" i="8"/>
  <c r="F907" i="8"/>
  <c r="F917" i="8"/>
  <c r="F926" i="8"/>
  <c r="F935" i="8"/>
  <c r="F944" i="8"/>
  <c r="F953" i="8"/>
  <c r="F962" i="8"/>
  <c r="F971" i="8"/>
  <c r="F981" i="8"/>
  <c r="F990" i="8"/>
  <c r="F999" i="8"/>
  <c r="F1008" i="8"/>
  <c r="F1017" i="8"/>
  <c r="F1026" i="8"/>
  <c r="F1035" i="8"/>
  <c r="F1045" i="8"/>
  <c r="F1054" i="8"/>
  <c r="F1063" i="8"/>
  <c r="F1072" i="8"/>
  <c r="F1081" i="8"/>
  <c r="F1090" i="8"/>
  <c r="F1099" i="8"/>
  <c r="F1109" i="8"/>
  <c r="F1118" i="8"/>
  <c r="F1127" i="8"/>
  <c r="F1136" i="8"/>
  <c r="F804" i="9"/>
  <c r="F1324" i="9"/>
  <c r="F84" i="8"/>
  <c r="F227" i="8"/>
  <c r="F355" i="8"/>
  <c r="F483" i="8"/>
  <c r="F554" i="8"/>
  <c r="F598" i="8"/>
  <c r="F641" i="8"/>
  <c r="F683" i="8"/>
  <c r="F726" i="8"/>
  <c r="F769" i="8"/>
  <c r="F808" i="8"/>
  <c r="F845" i="8"/>
  <c r="F881" i="8"/>
  <c r="F918" i="8"/>
  <c r="F954" i="8"/>
  <c r="F991" i="8"/>
  <c r="F1027" i="8"/>
  <c r="F1064" i="8"/>
  <c r="F1093" i="8"/>
  <c r="F1119" i="8"/>
  <c r="F1138" i="8"/>
  <c r="F1154" i="8"/>
  <c r="F1165" i="8"/>
  <c r="F1175" i="8"/>
  <c r="F1184" i="8"/>
  <c r="F1193" i="8"/>
  <c r="F1203" i="8"/>
  <c r="F1212" i="8"/>
  <c r="F1221" i="8"/>
  <c r="F1230" i="8"/>
  <c r="F1239" i="8"/>
  <c r="F1248" i="8"/>
  <c r="F1257" i="8"/>
  <c r="F1267" i="8"/>
  <c r="F1276" i="8"/>
  <c r="F1285" i="8"/>
  <c r="F1294" i="8"/>
  <c r="F1303" i="8"/>
  <c r="F1312" i="8"/>
  <c r="F1321" i="8"/>
  <c r="F1331" i="8"/>
  <c r="F1340" i="8"/>
  <c r="F1349" i="8"/>
  <c r="F1358" i="8"/>
  <c r="F1367" i="8"/>
  <c r="F1376" i="8"/>
  <c r="F1385" i="8"/>
  <c r="F1393" i="8"/>
  <c r="F1401" i="8"/>
  <c r="F1409" i="8"/>
  <c r="F1417" i="8"/>
  <c r="F1425" i="8"/>
  <c r="F1433" i="8"/>
  <c r="F1441" i="8"/>
  <c r="F1449" i="8"/>
  <c r="F1457" i="8"/>
  <c r="F1465" i="8"/>
  <c r="F1473" i="8"/>
  <c r="F1481" i="8"/>
  <c r="F1489" i="8"/>
  <c r="F7" i="7"/>
  <c r="F15" i="7"/>
  <c r="F23" i="7"/>
  <c r="F31" i="7"/>
  <c r="F39" i="7"/>
  <c r="F47" i="7"/>
  <c r="F55" i="7"/>
  <c r="F63" i="7"/>
  <c r="F71" i="7"/>
  <c r="F79" i="7"/>
  <c r="F87" i="7"/>
  <c r="F95" i="7"/>
  <c r="F103" i="7"/>
  <c r="F111" i="7"/>
  <c r="F119" i="7"/>
  <c r="F127" i="7"/>
  <c r="F135" i="7"/>
  <c r="F143" i="7"/>
  <c r="F151" i="7"/>
  <c r="F159" i="7"/>
  <c r="F167" i="7"/>
  <c r="F175" i="7"/>
  <c r="F183" i="7"/>
  <c r="F191" i="7"/>
  <c r="F199" i="7"/>
  <c r="F207" i="7"/>
  <c r="F215" i="7"/>
  <c r="F223" i="7"/>
  <c r="F231" i="7"/>
  <c r="F239" i="7"/>
  <c r="F811" i="9"/>
  <c r="F1331" i="9"/>
  <c r="F93" i="8"/>
  <c r="F234" i="8"/>
  <c r="F362" i="8"/>
  <c r="F490" i="8"/>
  <c r="F555" i="8"/>
  <c r="F600" i="8"/>
  <c r="F642" i="8"/>
  <c r="F685" i="8"/>
  <c r="F728" i="8"/>
  <c r="F770" i="8"/>
  <c r="F809" i="8"/>
  <c r="F846" i="8"/>
  <c r="F882" i="8"/>
  <c r="F919" i="8"/>
  <c r="F955" i="8"/>
  <c r="F992" i="8"/>
  <c r="F1029" i="8"/>
  <c r="F1065" i="8"/>
  <c r="F1097" i="8"/>
  <c r="F1120" i="8"/>
  <c r="F1143" i="8"/>
  <c r="F1155" i="8"/>
  <c r="F1166" i="8"/>
  <c r="F1176" i="8"/>
  <c r="F1185" i="8"/>
  <c r="F1195" i="8"/>
  <c r="F1204" i="8"/>
  <c r="F1213" i="8"/>
  <c r="F1222" i="8"/>
  <c r="F1231" i="8"/>
  <c r="F1240" i="8"/>
  <c r="F1249" i="8"/>
  <c r="F1259" i="8"/>
  <c r="F1268" i="8"/>
  <c r="F1277" i="8"/>
  <c r="F1286" i="8"/>
  <c r="F1295" i="8"/>
  <c r="F1304" i="8"/>
  <c r="F1313" i="8"/>
  <c r="F1323" i="8"/>
  <c r="F1332" i="8"/>
  <c r="F1341" i="8"/>
  <c r="F1350" i="8"/>
  <c r="F1359" i="8"/>
  <c r="F1368" i="8"/>
  <c r="F1377" i="8"/>
  <c r="F1386" i="8"/>
  <c r="F1394" i="8"/>
  <c r="F1402" i="8"/>
  <c r="F1410" i="8"/>
  <c r="F1418" i="8"/>
  <c r="F1426" i="8"/>
  <c r="F1434" i="8"/>
  <c r="F1442" i="8"/>
  <c r="F1450" i="8"/>
  <c r="F1458" i="8"/>
  <c r="F1466" i="8"/>
  <c r="F1474" i="8"/>
  <c r="F1482" i="8"/>
  <c r="F1490" i="8"/>
  <c r="F8" i="7"/>
  <c r="F16" i="7"/>
  <c r="F24" i="7"/>
  <c r="F32" i="7"/>
  <c r="F40" i="7"/>
  <c r="F48" i="7"/>
  <c r="F56" i="7"/>
  <c r="F64" i="7"/>
  <c r="F72" i="7"/>
  <c r="F80" i="7"/>
  <c r="F88" i="7"/>
  <c r="F96" i="7"/>
  <c r="F104" i="7"/>
  <c r="F112" i="7"/>
  <c r="F120" i="7"/>
  <c r="F128" i="7"/>
  <c r="F136" i="7"/>
  <c r="F144" i="7"/>
  <c r="F152" i="7"/>
  <c r="F160" i="7"/>
  <c r="F168" i="7"/>
  <c r="F176" i="7"/>
  <c r="F184" i="7"/>
  <c r="F192" i="7"/>
  <c r="F200" i="7"/>
  <c r="F208" i="7"/>
  <c r="F216" i="7"/>
  <c r="F224" i="7"/>
  <c r="F232" i="7"/>
  <c r="F1014" i="9"/>
  <c r="F1420" i="9"/>
  <c r="F122" i="8"/>
  <c r="F259" i="8"/>
  <c r="F387" i="8"/>
  <c r="F506" i="8"/>
  <c r="F566" i="8"/>
  <c r="F609" i="8"/>
  <c r="F651" i="8"/>
  <c r="F694" i="8"/>
  <c r="F737" i="8"/>
  <c r="F779" i="8"/>
  <c r="F817" i="8"/>
  <c r="F854" i="8"/>
  <c r="F890" i="8"/>
  <c r="F927" i="8"/>
  <c r="F963" i="8"/>
  <c r="F1000" i="8"/>
  <c r="F1037" i="8"/>
  <c r="F1073" i="8"/>
  <c r="F1101" i="8"/>
  <c r="F1125" i="8"/>
  <c r="F1144" i="8"/>
  <c r="F1157" i="8"/>
  <c r="F1167" i="8"/>
  <c r="F1177" i="8"/>
  <c r="F1187" i="8"/>
  <c r="F1196" i="8"/>
  <c r="F1205" i="8"/>
  <c r="F1214" i="8"/>
  <c r="F1223" i="8"/>
  <c r="F1232" i="8"/>
  <c r="F1241" i="8"/>
  <c r="F1251" i="8"/>
  <c r="F1260" i="8"/>
  <c r="F1269" i="8"/>
  <c r="F1278" i="8"/>
  <c r="F1287" i="8"/>
  <c r="F1296" i="8"/>
  <c r="F1305" i="8"/>
  <c r="F1315" i="8"/>
  <c r="F1324" i="8"/>
  <c r="F1333" i="8"/>
  <c r="F1342" i="8"/>
  <c r="F1351" i="8"/>
  <c r="F1360" i="8"/>
  <c r="F1369" i="8"/>
  <c r="F1379" i="8"/>
  <c r="F1387" i="8"/>
  <c r="F1395" i="8"/>
  <c r="F1403" i="8"/>
  <c r="F1411" i="8"/>
  <c r="F1419" i="8"/>
  <c r="F1427" i="8"/>
  <c r="F1435" i="8"/>
  <c r="F1443" i="8"/>
  <c r="F1451" i="8"/>
  <c r="F1459" i="8"/>
  <c r="F1467" i="8"/>
  <c r="F1475" i="8"/>
  <c r="F1483" i="8"/>
  <c r="F1491" i="8"/>
  <c r="F9" i="7"/>
  <c r="F17" i="7"/>
  <c r="F25" i="7"/>
  <c r="F33" i="7"/>
  <c r="F41" i="7"/>
  <c r="F49" i="7"/>
  <c r="F57" i="7"/>
  <c r="F65" i="7"/>
  <c r="F73" i="7"/>
  <c r="F81" i="7"/>
  <c r="F89" i="7"/>
  <c r="F97" i="7"/>
  <c r="F105" i="7"/>
  <c r="F113" i="7"/>
  <c r="F121" i="7"/>
  <c r="F129" i="7"/>
  <c r="F137" i="7"/>
  <c r="F145" i="7"/>
  <c r="F153" i="7"/>
  <c r="F161" i="7"/>
  <c r="F169" i="7"/>
  <c r="F177" i="7"/>
  <c r="F185" i="7"/>
  <c r="F193" i="7"/>
  <c r="F201" i="7"/>
  <c r="F209" i="7"/>
  <c r="F217" i="7"/>
  <c r="F225" i="7"/>
  <c r="F233" i="7"/>
  <c r="F1022" i="9"/>
  <c r="F1421" i="9"/>
  <c r="F130" i="8"/>
  <c r="F266" i="8"/>
  <c r="F394" i="8"/>
  <c r="F507" i="8"/>
  <c r="F568" i="8"/>
  <c r="F610" i="8"/>
  <c r="F653" i="8"/>
  <c r="F696" i="8"/>
  <c r="F738" i="8"/>
  <c r="F781" i="8"/>
  <c r="F818" i="8"/>
  <c r="F855" i="8"/>
  <c r="F891" i="8"/>
  <c r="F928" i="8"/>
  <c r="F965" i="8"/>
  <c r="F1001" i="8"/>
  <c r="F1038" i="8"/>
  <c r="F1074" i="8"/>
  <c r="F1102" i="8"/>
  <c r="F1128" i="8"/>
  <c r="F1145" i="8"/>
  <c r="F1158" i="8"/>
  <c r="F1168" i="8"/>
  <c r="F1179" i="8"/>
  <c r="F1188" i="8"/>
  <c r="F1197" i="8"/>
  <c r="F1206" i="8"/>
  <c r="F1215" i="8"/>
  <c r="F1224" i="8"/>
  <c r="F1233" i="8"/>
  <c r="F1243" i="8"/>
  <c r="F1252" i="8"/>
  <c r="F1261" i="8"/>
  <c r="F1270" i="8"/>
  <c r="F1279" i="8"/>
  <c r="F1288" i="8"/>
  <c r="F1297" i="8"/>
  <c r="F1307" i="8"/>
  <c r="F1316" i="8"/>
  <c r="F1325" i="8"/>
  <c r="F1334" i="8"/>
  <c r="F1343" i="8"/>
  <c r="F1352" i="8"/>
  <c r="F1361" i="8"/>
  <c r="F1371" i="8"/>
  <c r="F1380" i="8"/>
  <c r="F1388" i="8"/>
  <c r="F1396" i="8"/>
  <c r="F1404" i="8"/>
  <c r="F1412" i="8"/>
  <c r="F1420" i="8"/>
  <c r="F1428" i="8"/>
  <c r="F1436" i="8"/>
  <c r="F1444" i="8"/>
  <c r="F1452" i="8"/>
  <c r="F1460" i="8"/>
  <c r="F1468" i="8"/>
  <c r="F1476" i="8"/>
  <c r="F1484" i="8"/>
  <c r="F1492" i="8"/>
  <c r="F10" i="7"/>
  <c r="F18" i="7"/>
  <c r="F26" i="7"/>
  <c r="F34" i="7"/>
  <c r="F42" i="7"/>
  <c r="F50" i="7"/>
  <c r="F58" i="7"/>
  <c r="F66" i="7"/>
  <c r="F74" i="7"/>
  <c r="F82" i="7"/>
  <c r="F90" i="7"/>
  <c r="F98" i="7"/>
  <c r="F106" i="7"/>
  <c r="F114" i="7"/>
  <c r="F122" i="7"/>
  <c r="F130" i="7"/>
  <c r="F138" i="7"/>
  <c r="F146" i="7"/>
  <c r="F154" i="7"/>
  <c r="F162" i="7"/>
  <c r="F170" i="7"/>
  <c r="F178" i="7"/>
  <c r="F186" i="7"/>
  <c r="F194" i="7"/>
  <c r="F202" i="7"/>
  <c r="F210" i="7"/>
  <c r="F218" i="7"/>
  <c r="F226" i="7"/>
  <c r="F1130" i="9"/>
  <c r="F158" i="8"/>
  <c r="F291" i="8"/>
  <c r="F419" i="8"/>
  <c r="F522" i="8"/>
  <c r="F577" i="8"/>
  <c r="F619" i="8"/>
  <c r="F662" i="8"/>
  <c r="F705" i="8"/>
  <c r="F747" i="8"/>
  <c r="F790" i="8"/>
  <c r="F826" i="8"/>
  <c r="F863" i="8"/>
  <c r="F899" i="8"/>
  <c r="F936" i="8"/>
  <c r="F973" i="8"/>
  <c r="F1009" i="8"/>
  <c r="F1046" i="8"/>
  <c r="F1082" i="8"/>
  <c r="F1106" i="8"/>
  <c r="F1129" i="8"/>
  <c r="F1146" i="8"/>
  <c r="F1159" i="8"/>
  <c r="F1170" i="8"/>
  <c r="F1180" i="8"/>
  <c r="F1189" i="8"/>
  <c r="F1198" i="8"/>
  <c r="F1207" i="8"/>
  <c r="F1216" i="8"/>
  <c r="F1225" i="8"/>
  <c r="F1235" i="8"/>
  <c r="F1244" i="8"/>
  <c r="F1253" i="8"/>
  <c r="F1262" i="8"/>
  <c r="F1271" i="8"/>
  <c r="F1280" i="8"/>
  <c r="F1289" i="8"/>
  <c r="F1299" i="8"/>
  <c r="F1308" i="8"/>
  <c r="F1317" i="8"/>
  <c r="F1326" i="8"/>
  <c r="F1335" i="8"/>
  <c r="F1344" i="8"/>
  <c r="F1353" i="8"/>
  <c r="F1363" i="8"/>
  <c r="F1372" i="8"/>
  <c r="F1381" i="8"/>
  <c r="F1389" i="8"/>
  <c r="F1397" i="8"/>
  <c r="F1405" i="8"/>
  <c r="F1413" i="8"/>
  <c r="F1421" i="8"/>
  <c r="F1429" i="8"/>
  <c r="F1437" i="8"/>
  <c r="F1445" i="8"/>
  <c r="F1453" i="8"/>
  <c r="F1461" i="8"/>
  <c r="F1469" i="8"/>
  <c r="F1477" i="8"/>
  <c r="F1485" i="8"/>
  <c r="F1493" i="8"/>
  <c r="F11" i="7"/>
  <c r="F19" i="7"/>
  <c r="F27" i="7"/>
  <c r="F35" i="7"/>
  <c r="F43" i="7"/>
  <c r="F51" i="7"/>
  <c r="F59" i="7"/>
  <c r="F67" i="7"/>
  <c r="F75" i="7"/>
  <c r="F83" i="7"/>
  <c r="F91" i="7"/>
  <c r="F99" i="7"/>
  <c r="F107" i="7"/>
  <c r="F115" i="7"/>
  <c r="F123" i="7"/>
  <c r="F131" i="7"/>
  <c r="F139" i="7"/>
  <c r="F147" i="7"/>
  <c r="F155" i="7"/>
  <c r="F163" i="7"/>
  <c r="F171" i="7"/>
  <c r="F179" i="7"/>
  <c r="F187" i="7"/>
  <c r="F195" i="7"/>
  <c r="F203" i="7"/>
  <c r="F211" i="7"/>
  <c r="F219" i="7"/>
  <c r="F227" i="7"/>
  <c r="F1131" i="9"/>
  <c r="F6" i="8"/>
  <c r="F166" i="8"/>
  <c r="F298" i="8"/>
  <c r="F426" i="8"/>
  <c r="F523" i="8"/>
  <c r="F578" i="8"/>
  <c r="F621" i="8"/>
  <c r="F664" i="8"/>
  <c r="F706" i="8"/>
  <c r="F749" i="8"/>
  <c r="F791" i="8"/>
  <c r="F827" i="8"/>
  <c r="F864" i="8"/>
  <c r="F901" i="8"/>
  <c r="F937" i="8"/>
  <c r="F974" i="8"/>
  <c r="F1010" i="8"/>
  <c r="F1047" i="8"/>
  <c r="F1083" i="8"/>
  <c r="F1110" i="8"/>
  <c r="F1134" i="8"/>
  <c r="F1147" i="8"/>
  <c r="F1161" i="8"/>
  <c r="F1171" i="8"/>
  <c r="F1181" i="8"/>
  <c r="F1190" i="8"/>
  <c r="F1199" i="8"/>
  <c r="F1208" i="8"/>
  <c r="F1217" i="8"/>
  <c r="F1227" i="8"/>
  <c r="F1236" i="8"/>
  <c r="F1245" i="8"/>
  <c r="F1254" i="8"/>
  <c r="F1263" i="8"/>
  <c r="F1272" i="8"/>
  <c r="F1281" i="8"/>
  <c r="F1291" i="8"/>
  <c r="F1300" i="8"/>
  <c r="F1309" i="8"/>
  <c r="F1318" i="8"/>
  <c r="F1327" i="8"/>
  <c r="F1336" i="8"/>
  <c r="F1345" i="8"/>
  <c r="F1355" i="8"/>
  <c r="F1364" i="8"/>
  <c r="F1373" i="8"/>
  <c r="F1382" i="8"/>
  <c r="F1390" i="8"/>
  <c r="F1398" i="8"/>
  <c r="F1406" i="8"/>
  <c r="F1414" i="8"/>
  <c r="F1422" i="8"/>
  <c r="F1430" i="8"/>
  <c r="F1438" i="8"/>
  <c r="F1446" i="8"/>
  <c r="F1454" i="8"/>
  <c r="F1462" i="8"/>
  <c r="F1470" i="8"/>
  <c r="F1478" i="8"/>
  <c r="F1486" i="8"/>
  <c r="F1494" i="8"/>
  <c r="F12" i="7"/>
  <c r="F20" i="7"/>
  <c r="F28" i="7"/>
  <c r="F36" i="7"/>
  <c r="F44" i="7"/>
  <c r="F52" i="7"/>
  <c r="F60" i="7"/>
  <c r="F68" i="7"/>
  <c r="F76" i="7"/>
  <c r="F84" i="7"/>
  <c r="F92" i="7"/>
  <c r="F100" i="7"/>
  <c r="F108" i="7"/>
  <c r="F116" i="7"/>
  <c r="F124" i="7"/>
  <c r="F132" i="7"/>
  <c r="F140" i="7"/>
  <c r="F148" i="7"/>
  <c r="F156" i="7"/>
  <c r="F164" i="7"/>
  <c r="F172" i="7"/>
  <c r="F180" i="7"/>
  <c r="F4" i="9"/>
  <c r="F1231" i="9"/>
  <c r="F42" i="8"/>
  <c r="F195" i="8"/>
  <c r="F323" i="8"/>
  <c r="F451" i="8"/>
  <c r="F538" i="8"/>
  <c r="F587" i="8"/>
  <c r="F630" i="8"/>
  <c r="F673" i="8"/>
  <c r="F715" i="8"/>
  <c r="F758" i="8"/>
  <c r="F799" i="8"/>
  <c r="F835" i="8"/>
  <c r="F872" i="8"/>
  <c r="F909" i="8"/>
  <c r="F945" i="8"/>
  <c r="F982" i="8"/>
  <c r="F1018" i="8"/>
  <c r="F1055" i="8"/>
  <c r="F1088" i="8"/>
  <c r="F1111" i="8"/>
  <c r="F1135" i="8"/>
  <c r="F1152" i="8"/>
  <c r="F1162" i="8"/>
  <c r="F1173" i="8"/>
  <c r="F1182" i="8"/>
  <c r="F1191" i="8"/>
  <c r="F1200" i="8"/>
  <c r="F1209" i="8"/>
  <c r="F1219" i="8"/>
  <c r="F1228" i="8"/>
  <c r="F1237" i="8"/>
  <c r="F1246" i="8"/>
  <c r="F1255" i="8"/>
  <c r="F1264" i="8"/>
  <c r="F1273" i="8"/>
  <c r="F1283" i="8"/>
  <c r="F1292" i="8"/>
  <c r="F1301" i="8"/>
  <c r="F1310" i="8"/>
  <c r="F1319" i="8"/>
  <c r="F1328" i="8"/>
  <c r="F1337" i="8"/>
  <c r="F1347" i="8"/>
  <c r="F1356" i="8"/>
  <c r="F1365" i="8"/>
  <c r="F1374" i="8"/>
  <c r="F1383" i="8"/>
  <c r="F1391" i="8"/>
  <c r="F1399" i="8"/>
  <c r="F1407" i="8"/>
  <c r="F1415" i="8"/>
  <c r="F1423" i="8"/>
  <c r="F1431" i="8"/>
  <c r="F1439" i="8"/>
  <c r="F1447" i="8"/>
  <c r="F1455" i="8"/>
  <c r="F1463" i="8"/>
  <c r="F1471" i="8"/>
  <c r="F1479" i="8"/>
  <c r="F1487" i="8"/>
  <c r="F1495" i="8"/>
  <c r="F13" i="7"/>
  <c r="F21" i="7"/>
  <c r="F29" i="7"/>
  <c r="F37" i="7"/>
  <c r="F45" i="7"/>
  <c r="F53" i="7"/>
  <c r="F61" i="7"/>
  <c r="F69" i="7"/>
  <c r="F77" i="7"/>
  <c r="F85" i="7"/>
  <c r="F93" i="7"/>
  <c r="F101" i="7"/>
  <c r="F109" i="7"/>
  <c r="F117" i="7"/>
  <c r="F125" i="7"/>
  <c r="F133" i="7"/>
  <c r="F141" i="7"/>
  <c r="F149" i="7"/>
  <c r="F157" i="7"/>
  <c r="F165" i="7"/>
  <c r="F173" i="7"/>
  <c r="F674" i="8"/>
  <c r="F983" i="8"/>
  <c r="F1174" i="8"/>
  <c r="F1247" i="8"/>
  <c r="F1320" i="8"/>
  <c r="F1392" i="8"/>
  <c r="F1456" i="8"/>
  <c r="F46" i="7"/>
  <c r="F110" i="7"/>
  <c r="F174" i="7"/>
  <c r="F198" i="7"/>
  <c r="F221" i="7"/>
  <c r="F237" i="7"/>
  <c r="F246" i="7"/>
  <c r="F254" i="7"/>
  <c r="F262" i="7"/>
  <c r="F270" i="7"/>
  <c r="F278" i="7"/>
  <c r="F286" i="7"/>
  <c r="F294" i="7"/>
  <c r="F302" i="7"/>
  <c r="F310" i="7"/>
  <c r="F318" i="7"/>
  <c r="F326" i="7"/>
  <c r="F334" i="7"/>
  <c r="F342" i="7"/>
  <c r="F350" i="7"/>
  <c r="F358" i="7"/>
  <c r="F366" i="7"/>
  <c r="F374" i="7"/>
  <c r="F382" i="7"/>
  <c r="F390" i="7"/>
  <c r="F398" i="7"/>
  <c r="F406" i="7"/>
  <c r="F414" i="7"/>
  <c r="F422" i="7"/>
  <c r="F430" i="7"/>
  <c r="F438" i="7"/>
  <c r="F446" i="7"/>
  <c r="F454" i="7"/>
  <c r="F462" i="7"/>
  <c r="F470" i="7"/>
  <c r="F478" i="7"/>
  <c r="F486" i="7"/>
  <c r="F494" i="7"/>
  <c r="F502" i="7"/>
  <c r="F510" i="7"/>
  <c r="F518" i="7"/>
  <c r="F526" i="7"/>
  <c r="F534" i="7"/>
  <c r="F542" i="7"/>
  <c r="F550" i="7"/>
  <c r="F558" i="7"/>
  <c r="F566" i="7"/>
  <c r="F574" i="7"/>
  <c r="F582" i="7"/>
  <c r="F590" i="7"/>
  <c r="F598" i="7"/>
  <c r="F606" i="7"/>
  <c r="F614" i="7"/>
  <c r="F622" i="7"/>
  <c r="F630" i="7"/>
  <c r="F638" i="7"/>
  <c r="F646" i="7"/>
  <c r="F654" i="7"/>
  <c r="F662" i="7"/>
  <c r="F670" i="7"/>
  <c r="F678" i="7"/>
  <c r="F686" i="7"/>
  <c r="F694" i="7"/>
  <c r="F702" i="7"/>
  <c r="F710" i="7"/>
  <c r="F718" i="7"/>
  <c r="F726" i="7"/>
  <c r="F734" i="7"/>
  <c r="F742" i="7"/>
  <c r="F750" i="7"/>
  <c r="F758" i="7"/>
  <c r="F766" i="7"/>
  <c r="F774" i="7"/>
  <c r="F782" i="7"/>
  <c r="F790" i="7"/>
  <c r="F798" i="7"/>
  <c r="F806" i="7"/>
  <c r="F814" i="7"/>
  <c r="F822" i="7"/>
  <c r="F830" i="7"/>
  <c r="F838" i="7"/>
  <c r="F846" i="7"/>
  <c r="F854" i="7"/>
  <c r="F862" i="7"/>
  <c r="F870" i="7"/>
  <c r="F878" i="7"/>
  <c r="F886" i="7"/>
  <c r="F894" i="7"/>
  <c r="F902" i="7"/>
  <c r="F910" i="7"/>
  <c r="F918" i="7"/>
  <c r="F926" i="7"/>
  <c r="F934" i="7"/>
  <c r="F942" i="7"/>
  <c r="F950" i="7"/>
  <c r="F958" i="7"/>
  <c r="F966" i="7"/>
  <c r="F974" i="7"/>
  <c r="F982" i="7"/>
  <c r="F990" i="7"/>
  <c r="F998" i="7"/>
  <c r="F1006" i="7"/>
  <c r="F1014" i="7"/>
  <c r="F1022" i="7"/>
  <c r="F1030" i="7"/>
  <c r="F1038" i="7"/>
  <c r="F1046" i="7"/>
  <c r="F1054" i="7"/>
  <c r="F1062" i="7"/>
  <c r="F1070" i="7"/>
  <c r="F1078" i="7"/>
  <c r="F1086" i="7"/>
  <c r="F1094" i="7"/>
  <c r="F1102" i="7"/>
  <c r="F1110" i="7"/>
  <c r="F1118" i="7"/>
  <c r="F1126" i="7"/>
  <c r="F1134" i="7"/>
  <c r="F1142" i="7"/>
  <c r="F1150" i="7"/>
  <c r="F1158" i="7"/>
  <c r="F1166" i="7"/>
  <c r="F1174" i="7"/>
  <c r="F1182" i="7"/>
  <c r="F1190" i="7"/>
  <c r="F1198" i="7"/>
  <c r="F1206" i="7"/>
  <c r="F1214" i="7"/>
  <c r="F1222" i="7"/>
  <c r="F1230" i="7"/>
  <c r="F1238" i="7"/>
  <c r="F1246" i="7"/>
  <c r="F1254" i="7"/>
  <c r="F1262" i="7"/>
  <c r="F1270" i="7"/>
  <c r="F1278" i="7"/>
  <c r="F1286" i="7"/>
  <c r="F1294" i="7"/>
  <c r="F1302" i="7"/>
  <c r="F1310" i="7"/>
  <c r="F1318" i="7"/>
  <c r="F1326" i="7"/>
  <c r="F1334" i="7"/>
  <c r="F1342" i="7"/>
  <c r="F1350" i="7"/>
  <c r="F1358" i="7"/>
  <c r="F1366" i="7"/>
  <c r="F1374" i="7"/>
  <c r="F1382" i="7"/>
  <c r="F1390" i="7"/>
  <c r="F1398" i="7"/>
  <c r="F1406" i="7"/>
  <c r="F1414" i="7"/>
  <c r="F1422" i="7"/>
  <c r="F1430" i="7"/>
  <c r="F1438" i="7"/>
  <c r="F1446" i="7"/>
  <c r="F1454" i="7"/>
  <c r="F1462" i="7"/>
  <c r="F1470" i="7"/>
  <c r="F1478" i="7"/>
  <c r="F1486" i="7"/>
  <c r="F1494" i="7"/>
  <c r="F1127" i="7"/>
  <c r="F1247" i="7"/>
  <c r="F1263" i="7"/>
  <c r="F1279" i="7"/>
  <c r="F1287" i="7"/>
  <c r="F1303" i="7"/>
  <c r="F1311" i="7"/>
  <c r="F1327" i="7"/>
  <c r="F1335" i="7"/>
  <c r="F1351" i="7"/>
  <c r="F1359" i="7"/>
  <c r="F1375" i="7"/>
  <c r="F1383" i="7"/>
  <c r="F1399" i="7"/>
  <c r="F1407" i="7"/>
  <c r="F1423" i="7"/>
  <c r="F1431" i="7"/>
  <c r="F1447" i="7"/>
  <c r="F1455" i="7"/>
  <c r="F1471" i="7"/>
  <c r="F1479" i="7"/>
  <c r="F1495" i="7"/>
  <c r="F51" i="8"/>
  <c r="F717" i="8"/>
  <c r="F1019" i="8"/>
  <c r="F1183" i="8"/>
  <c r="F1256" i="8"/>
  <c r="F1329" i="8"/>
  <c r="F1400" i="8"/>
  <c r="F1464" i="8"/>
  <c r="F54" i="7"/>
  <c r="F118" i="7"/>
  <c r="F181" i="7"/>
  <c r="F204" i="7"/>
  <c r="F222" i="7"/>
  <c r="F238" i="7"/>
  <c r="F247" i="7"/>
  <c r="F255" i="7"/>
  <c r="F263" i="7"/>
  <c r="F271" i="7"/>
  <c r="F279" i="7"/>
  <c r="F287" i="7"/>
  <c r="F295" i="7"/>
  <c r="F303" i="7"/>
  <c r="F311" i="7"/>
  <c r="F319" i="7"/>
  <c r="F327" i="7"/>
  <c r="F335" i="7"/>
  <c r="F343" i="7"/>
  <c r="F351" i="7"/>
  <c r="F359" i="7"/>
  <c r="F367" i="7"/>
  <c r="F375" i="7"/>
  <c r="F383" i="7"/>
  <c r="F391" i="7"/>
  <c r="F399" i="7"/>
  <c r="F407" i="7"/>
  <c r="F415" i="7"/>
  <c r="F423" i="7"/>
  <c r="F431" i="7"/>
  <c r="F439" i="7"/>
  <c r="F447" i="7"/>
  <c r="F455" i="7"/>
  <c r="F463" i="7"/>
  <c r="F471" i="7"/>
  <c r="F479" i="7"/>
  <c r="F487" i="7"/>
  <c r="F495" i="7"/>
  <c r="F503" i="7"/>
  <c r="F511" i="7"/>
  <c r="F519" i="7"/>
  <c r="F527" i="7"/>
  <c r="F535" i="7"/>
  <c r="F543" i="7"/>
  <c r="F551" i="7"/>
  <c r="F559" i="7"/>
  <c r="F567" i="7"/>
  <c r="F575" i="7"/>
  <c r="F583" i="7"/>
  <c r="F591" i="7"/>
  <c r="F599" i="7"/>
  <c r="F607" i="7"/>
  <c r="F615" i="7"/>
  <c r="F623" i="7"/>
  <c r="F631" i="7"/>
  <c r="F639" i="7"/>
  <c r="F647" i="7"/>
  <c r="F655" i="7"/>
  <c r="F663" i="7"/>
  <c r="F671" i="7"/>
  <c r="F679" i="7"/>
  <c r="F687" i="7"/>
  <c r="F695" i="7"/>
  <c r="F703" i="7"/>
  <c r="F711" i="7"/>
  <c r="F719" i="7"/>
  <c r="F727" i="7"/>
  <c r="F735" i="7"/>
  <c r="F743" i="7"/>
  <c r="F751" i="7"/>
  <c r="F759" i="7"/>
  <c r="F767" i="7"/>
  <c r="F775" i="7"/>
  <c r="F783" i="7"/>
  <c r="F791" i="7"/>
  <c r="F799" i="7"/>
  <c r="F807" i="7"/>
  <c r="F815" i="7"/>
  <c r="F823" i="7"/>
  <c r="F831" i="7"/>
  <c r="F839" i="7"/>
  <c r="F847" i="7"/>
  <c r="F855" i="7"/>
  <c r="F863" i="7"/>
  <c r="F871" i="7"/>
  <c r="F879" i="7"/>
  <c r="F887" i="7"/>
  <c r="F895" i="7"/>
  <c r="F903" i="7"/>
  <c r="F911" i="7"/>
  <c r="F919" i="7"/>
  <c r="F927" i="7"/>
  <c r="F935" i="7"/>
  <c r="F943" i="7"/>
  <c r="F951" i="7"/>
  <c r="F959" i="7"/>
  <c r="F967" i="7"/>
  <c r="F975" i="7"/>
  <c r="F983" i="7"/>
  <c r="F991" i="7"/>
  <c r="F999" i="7"/>
  <c r="F1007" i="7"/>
  <c r="F1015" i="7"/>
  <c r="F1023" i="7"/>
  <c r="F1031" i="7"/>
  <c r="F1039" i="7"/>
  <c r="F1047" i="7"/>
  <c r="F1055" i="7"/>
  <c r="F1063" i="7"/>
  <c r="F1071" i="7"/>
  <c r="F1079" i="7"/>
  <c r="F1087" i="7"/>
  <c r="F1095" i="7"/>
  <c r="F1103" i="7"/>
  <c r="F1111" i="7"/>
  <c r="F1119" i="7"/>
  <c r="F1135" i="7"/>
  <c r="F1143" i="7"/>
  <c r="F1151" i="7"/>
  <c r="F1159" i="7"/>
  <c r="F1167" i="7"/>
  <c r="F1175" i="7"/>
  <c r="F1183" i="7"/>
  <c r="F1191" i="7"/>
  <c r="F1199" i="7"/>
  <c r="F1207" i="7"/>
  <c r="F1215" i="7"/>
  <c r="F1223" i="7"/>
  <c r="F1231" i="7"/>
  <c r="F1239" i="7"/>
  <c r="F1255" i="7"/>
  <c r="F1271" i="7"/>
  <c r="F1295" i="7"/>
  <c r="F1319" i="7"/>
  <c r="F1343" i="7"/>
  <c r="F1367" i="7"/>
  <c r="F1391" i="7"/>
  <c r="F1415" i="7"/>
  <c r="F1439" i="7"/>
  <c r="F1463" i="7"/>
  <c r="F1487" i="7"/>
  <c r="F202" i="8"/>
  <c r="F760" i="8"/>
  <c r="F1056" i="8"/>
  <c r="F1192" i="8"/>
  <c r="F1265" i="8"/>
  <c r="F1339" i="8"/>
  <c r="F1408" i="8"/>
  <c r="F1472" i="8"/>
  <c r="F62" i="7"/>
  <c r="F126" i="7"/>
  <c r="F182" i="7"/>
  <c r="F205" i="7"/>
  <c r="F228" i="7"/>
  <c r="F240" i="7"/>
  <c r="F248" i="7"/>
  <c r="F256" i="7"/>
  <c r="F264" i="7"/>
  <c r="F272" i="7"/>
  <c r="F280" i="7"/>
  <c r="F288" i="7"/>
  <c r="F296" i="7"/>
  <c r="F304" i="7"/>
  <c r="F312" i="7"/>
  <c r="F320" i="7"/>
  <c r="F328" i="7"/>
  <c r="F336" i="7"/>
  <c r="F344" i="7"/>
  <c r="F352" i="7"/>
  <c r="F360" i="7"/>
  <c r="F368" i="7"/>
  <c r="F376" i="7"/>
  <c r="F384" i="7"/>
  <c r="F392" i="7"/>
  <c r="F400" i="7"/>
  <c r="F408" i="7"/>
  <c r="F416" i="7"/>
  <c r="F424" i="7"/>
  <c r="F432" i="7"/>
  <c r="F440" i="7"/>
  <c r="F448" i="7"/>
  <c r="F456" i="7"/>
  <c r="F464" i="7"/>
  <c r="F472" i="7"/>
  <c r="F480" i="7"/>
  <c r="F488" i="7"/>
  <c r="F496" i="7"/>
  <c r="F504" i="7"/>
  <c r="F512" i="7"/>
  <c r="F520" i="7"/>
  <c r="F528" i="7"/>
  <c r="F536" i="7"/>
  <c r="F544" i="7"/>
  <c r="F552" i="7"/>
  <c r="F560" i="7"/>
  <c r="F568" i="7"/>
  <c r="F576" i="7"/>
  <c r="F584" i="7"/>
  <c r="F592" i="7"/>
  <c r="F600" i="7"/>
  <c r="F608" i="7"/>
  <c r="F616" i="7"/>
  <c r="F624" i="7"/>
  <c r="F632" i="7"/>
  <c r="F640" i="7"/>
  <c r="F648" i="7"/>
  <c r="F656" i="7"/>
  <c r="F664" i="7"/>
  <c r="F672" i="7"/>
  <c r="F680" i="7"/>
  <c r="F688" i="7"/>
  <c r="F696" i="7"/>
  <c r="F704" i="7"/>
  <c r="F712" i="7"/>
  <c r="F720" i="7"/>
  <c r="F728" i="7"/>
  <c r="F736" i="7"/>
  <c r="F744" i="7"/>
  <c r="F752" i="7"/>
  <c r="F760" i="7"/>
  <c r="F768" i="7"/>
  <c r="F776" i="7"/>
  <c r="F784" i="7"/>
  <c r="F792" i="7"/>
  <c r="F800" i="7"/>
  <c r="F808" i="7"/>
  <c r="F816" i="7"/>
  <c r="F824" i="7"/>
  <c r="F832" i="7"/>
  <c r="F840" i="7"/>
  <c r="F848" i="7"/>
  <c r="F856" i="7"/>
  <c r="F864" i="7"/>
  <c r="F872" i="7"/>
  <c r="F880" i="7"/>
  <c r="F888" i="7"/>
  <c r="F896" i="7"/>
  <c r="F904" i="7"/>
  <c r="F912" i="7"/>
  <c r="F920" i="7"/>
  <c r="F928" i="7"/>
  <c r="F936" i="7"/>
  <c r="F944" i="7"/>
  <c r="F952" i="7"/>
  <c r="F960" i="7"/>
  <c r="F968" i="7"/>
  <c r="F976" i="7"/>
  <c r="F984" i="7"/>
  <c r="F992" i="7"/>
  <c r="F1000" i="7"/>
  <c r="F1008" i="7"/>
  <c r="F1016" i="7"/>
  <c r="F1024" i="7"/>
  <c r="F1032" i="7"/>
  <c r="F1040" i="7"/>
  <c r="F1048" i="7"/>
  <c r="F1056" i="7"/>
  <c r="F1064" i="7"/>
  <c r="F1072" i="7"/>
  <c r="F1080" i="7"/>
  <c r="F1088" i="7"/>
  <c r="F1096" i="7"/>
  <c r="F1104" i="7"/>
  <c r="F1112" i="7"/>
  <c r="F1120" i="7"/>
  <c r="F1128" i="7"/>
  <c r="F1136" i="7"/>
  <c r="F1144" i="7"/>
  <c r="F1152" i="7"/>
  <c r="F1160" i="7"/>
  <c r="F1168" i="7"/>
  <c r="F1176" i="7"/>
  <c r="F1184" i="7"/>
  <c r="F1192" i="7"/>
  <c r="F1200" i="7"/>
  <c r="F1208" i="7"/>
  <c r="F1216" i="7"/>
  <c r="F1224" i="7"/>
  <c r="F1232" i="7"/>
  <c r="F1240" i="7"/>
  <c r="F1248" i="7"/>
  <c r="F1256" i="7"/>
  <c r="F1264" i="7"/>
  <c r="F1272" i="7"/>
  <c r="F1280" i="7"/>
  <c r="F1288" i="7"/>
  <c r="F1296" i="7"/>
  <c r="F1304" i="7"/>
  <c r="F1312" i="7"/>
  <c r="F1320" i="7"/>
  <c r="F1328" i="7"/>
  <c r="F1336" i="7"/>
  <c r="F1344" i="7"/>
  <c r="F1352" i="7"/>
  <c r="F1360" i="7"/>
  <c r="F1368" i="7"/>
  <c r="F1376" i="7"/>
  <c r="F1384" i="7"/>
  <c r="F1392" i="7"/>
  <c r="F1400" i="7"/>
  <c r="F1408" i="7"/>
  <c r="F1416" i="7"/>
  <c r="F1424" i="7"/>
  <c r="F1432" i="7"/>
  <c r="F1440" i="7"/>
  <c r="F1448" i="7"/>
  <c r="F1456" i="7"/>
  <c r="F1464" i="7"/>
  <c r="F1472" i="7"/>
  <c r="F1480" i="7"/>
  <c r="F1488" i="7"/>
  <c r="F330" i="8"/>
  <c r="F800" i="8"/>
  <c r="F1091" i="8"/>
  <c r="F1201" i="8"/>
  <c r="F1275" i="8"/>
  <c r="F1348" i="8"/>
  <c r="F1416" i="8"/>
  <c r="F1480" i="8"/>
  <c r="F70" i="7"/>
  <c r="F134" i="7"/>
  <c r="F188" i="7"/>
  <c r="F206" i="7"/>
  <c r="F229" i="7"/>
  <c r="F241" i="7"/>
  <c r="F249" i="7"/>
  <c r="F257" i="7"/>
  <c r="F265" i="7"/>
  <c r="F273" i="7"/>
  <c r="F281" i="7"/>
  <c r="F289" i="7"/>
  <c r="F297" i="7"/>
  <c r="F305" i="7"/>
  <c r="F313" i="7"/>
  <c r="F321" i="7"/>
  <c r="F329" i="7"/>
  <c r="F337" i="7"/>
  <c r="F345" i="7"/>
  <c r="F353" i="7"/>
  <c r="F361" i="7"/>
  <c r="F369" i="7"/>
  <c r="F377" i="7"/>
  <c r="F385" i="7"/>
  <c r="F393" i="7"/>
  <c r="F401" i="7"/>
  <c r="F409" i="7"/>
  <c r="F417" i="7"/>
  <c r="F425" i="7"/>
  <c r="F433" i="7"/>
  <c r="F441" i="7"/>
  <c r="F449" i="7"/>
  <c r="F457" i="7"/>
  <c r="F465" i="7"/>
  <c r="F473" i="7"/>
  <c r="F481" i="7"/>
  <c r="F489" i="7"/>
  <c r="F497" i="7"/>
  <c r="F505" i="7"/>
  <c r="F513" i="7"/>
  <c r="F521" i="7"/>
  <c r="F529" i="7"/>
  <c r="F537" i="7"/>
  <c r="F545" i="7"/>
  <c r="F553" i="7"/>
  <c r="F561" i="7"/>
  <c r="F569" i="7"/>
  <c r="F577" i="7"/>
  <c r="F585" i="7"/>
  <c r="F593" i="7"/>
  <c r="F601" i="7"/>
  <c r="F609" i="7"/>
  <c r="F617" i="7"/>
  <c r="F625" i="7"/>
  <c r="F633" i="7"/>
  <c r="F641" i="7"/>
  <c r="F649" i="7"/>
  <c r="F657" i="7"/>
  <c r="F665" i="7"/>
  <c r="F673" i="7"/>
  <c r="F681" i="7"/>
  <c r="F689" i="7"/>
  <c r="F697" i="7"/>
  <c r="F705" i="7"/>
  <c r="F713" i="7"/>
  <c r="F721" i="7"/>
  <c r="F729" i="7"/>
  <c r="F737" i="7"/>
  <c r="F745" i="7"/>
  <c r="F753" i="7"/>
  <c r="F761" i="7"/>
  <c r="F769" i="7"/>
  <c r="F777" i="7"/>
  <c r="F785" i="7"/>
  <c r="F793" i="7"/>
  <c r="F801" i="7"/>
  <c r="F809" i="7"/>
  <c r="F817" i="7"/>
  <c r="F825" i="7"/>
  <c r="F833" i="7"/>
  <c r="F841" i="7"/>
  <c r="F849" i="7"/>
  <c r="F857" i="7"/>
  <c r="F865" i="7"/>
  <c r="F873" i="7"/>
  <c r="F881" i="7"/>
  <c r="F889" i="7"/>
  <c r="F897" i="7"/>
  <c r="F905" i="7"/>
  <c r="F913" i="7"/>
  <c r="F921" i="7"/>
  <c r="F929" i="7"/>
  <c r="F937" i="7"/>
  <c r="F945" i="7"/>
  <c r="F953" i="7"/>
  <c r="F961" i="7"/>
  <c r="F969" i="7"/>
  <c r="F977" i="7"/>
  <c r="F985" i="7"/>
  <c r="F993" i="7"/>
  <c r="F1001" i="7"/>
  <c r="F1009" i="7"/>
  <c r="F1017" i="7"/>
  <c r="F1025" i="7"/>
  <c r="F1033" i="7"/>
  <c r="F1041" i="7"/>
  <c r="F1049" i="7"/>
  <c r="F1057" i="7"/>
  <c r="F1065" i="7"/>
  <c r="F1073" i="7"/>
  <c r="F1081" i="7"/>
  <c r="F1089" i="7"/>
  <c r="F1097" i="7"/>
  <c r="F1105" i="7"/>
  <c r="F1113" i="7"/>
  <c r="F1121" i="7"/>
  <c r="F1129" i="7"/>
  <c r="F1137" i="7"/>
  <c r="F1145" i="7"/>
  <c r="F1153" i="7"/>
  <c r="F1161" i="7"/>
  <c r="F1169" i="7"/>
  <c r="F1177" i="7"/>
  <c r="F1185" i="7"/>
  <c r="F1193" i="7"/>
  <c r="F1201" i="7"/>
  <c r="F1209" i="7"/>
  <c r="F1217" i="7"/>
  <c r="F1225" i="7"/>
  <c r="F1233" i="7"/>
  <c r="F1241" i="7"/>
  <c r="F1249" i="7"/>
  <c r="F1257" i="7"/>
  <c r="F1265" i="7"/>
  <c r="F1273" i="7"/>
  <c r="F1281" i="7"/>
  <c r="F1289" i="7"/>
  <c r="F1297" i="7"/>
  <c r="F1305" i="7"/>
  <c r="F1313" i="7"/>
  <c r="F1321" i="7"/>
  <c r="F1329" i="7"/>
  <c r="F1337" i="7"/>
  <c r="F1345" i="7"/>
  <c r="F1353" i="7"/>
  <c r="F1361" i="7"/>
  <c r="F1369" i="7"/>
  <c r="F1377" i="7"/>
  <c r="F1385" i="7"/>
  <c r="F1393" i="7"/>
  <c r="F1401" i="7"/>
  <c r="F1409" i="7"/>
  <c r="F1417" i="7"/>
  <c r="F1425" i="7"/>
  <c r="F1433" i="7"/>
  <c r="F1441" i="7"/>
  <c r="F1449" i="7"/>
  <c r="F1457" i="7"/>
  <c r="F458" i="8"/>
  <c r="F837" i="8"/>
  <c r="F1115" i="8"/>
  <c r="F1211" i="8"/>
  <c r="F1284" i="8"/>
  <c r="F1357" i="8"/>
  <c r="F1424" i="8"/>
  <c r="F1488" i="8"/>
  <c r="F14" i="7"/>
  <c r="F78" i="7"/>
  <c r="F142" i="7"/>
  <c r="F189" i="7"/>
  <c r="F212" i="7"/>
  <c r="F230" i="7"/>
  <c r="F242" i="7"/>
  <c r="F250" i="7"/>
  <c r="F258" i="7"/>
  <c r="F266" i="7"/>
  <c r="F274" i="7"/>
  <c r="F282" i="7"/>
  <c r="F290" i="7"/>
  <c r="F298" i="7"/>
  <c r="F306" i="7"/>
  <c r="F314" i="7"/>
  <c r="F322" i="7"/>
  <c r="F330" i="7"/>
  <c r="F338" i="7"/>
  <c r="F346" i="7"/>
  <c r="F354" i="7"/>
  <c r="F362" i="7"/>
  <c r="F370" i="7"/>
  <c r="F378" i="7"/>
  <c r="F386" i="7"/>
  <c r="F394" i="7"/>
  <c r="F402" i="7"/>
  <c r="F410" i="7"/>
  <c r="F418" i="7"/>
  <c r="F426" i="7"/>
  <c r="F434" i="7"/>
  <c r="F442" i="7"/>
  <c r="F450" i="7"/>
  <c r="F458" i="7"/>
  <c r="F466" i="7"/>
  <c r="F474" i="7"/>
  <c r="F482" i="7"/>
  <c r="F490" i="7"/>
  <c r="F498" i="7"/>
  <c r="F506" i="7"/>
  <c r="F514" i="7"/>
  <c r="F522" i="7"/>
  <c r="F530" i="7"/>
  <c r="F538" i="7"/>
  <c r="F546" i="7"/>
  <c r="F554" i="7"/>
  <c r="F562" i="7"/>
  <c r="F570" i="7"/>
  <c r="F578" i="7"/>
  <c r="F586" i="7"/>
  <c r="F594" i="7"/>
  <c r="F602" i="7"/>
  <c r="F610" i="7"/>
  <c r="F618" i="7"/>
  <c r="F626" i="7"/>
  <c r="F634" i="7"/>
  <c r="F642" i="7"/>
  <c r="F650" i="7"/>
  <c r="F658" i="7"/>
  <c r="F666" i="7"/>
  <c r="F674" i="7"/>
  <c r="F682" i="7"/>
  <c r="F690" i="7"/>
  <c r="F698" i="7"/>
  <c r="F706" i="7"/>
  <c r="F714" i="7"/>
  <c r="F722" i="7"/>
  <c r="F730" i="7"/>
  <c r="F738" i="7"/>
  <c r="F746" i="7"/>
  <c r="F754" i="7"/>
  <c r="F762" i="7"/>
  <c r="F770" i="7"/>
  <c r="F778" i="7"/>
  <c r="F786" i="7"/>
  <c r="F794" i="7"/>
  <c r="F802" i="7"/>
  <c r="F810" i="7"/>
  <c r="F818" i="7"/>
  <c r="F826" i="7"/>
  <c r="F834" i="7"/>
  <c r="F842" i="7"/>
  <c r="F850" i="7"/>
  <c r="F858" i="7"/>
  <c r="F866" i="7"/>
  <c r="F874" i="7"/>
  <c r="F882" i="7"/>
  <c r="F890" i="7"/>
  <c r="F898" i="7"/>
  <c r="F906" i="7"/>
  <c r="F914" i="7"/>
  <c r="F922" i="7"/>
  <c r="F930" i="7"/>
  <c r="F938" i="7"/>
  <c r="F946" i="7"/>
  <c r="F954" i="7"/>
  <c r="F962" i="7"/>
  <c r="F970" i="7"/>
  <c r="F978" i="7"/>
  <c r="F986" i="7"/>
  <c r="F994" i="7"/>
  <c r="F1002" i="7"/>
  <c r="F1010" i="7"/>
  <c r="F1018" i="7"/>
  <c r="F1026" i="7"/>
  <c r="F1034" i="7"/>
  <c r="F1042" i="7"/>
  <c r="F1050" i="7"/>
  <c r="F1058" i="7"/>
  <c r="F1066" i="7"/>
  <c r="F1074" i="7"/>
  <c r="F1082" i="7"/>
  <c r="F1090" i="7"/>
  <c r="F1098" i="7"/>
  <c r="F1106" i="7"/>
  <c r="F1114" i="7"/>
  <c r="F1122" i="7"/>
  <c r="F1130" i="7"/>
  <c r="F1138" i="7"/>
  <c r="F1146" i="7"/>
  <c r="F1154" i="7"/>
  <c r="F1162" i="7"/>
  <c r="F1170" i="7"/>
  <c r="F1178" i="7"/>
  <c r="F1186" i="7"/>
  <c r="F1194" i="7"/>
  <c r="F1202" i="7"/>
  <c r="F1210" i="7"/>
  <c r="F1218" i="7"/>
  <c r="F1226" i="7"/>
  <c r="F1234" i="7"/>
  <c r="F1242" i="7"/>
  <c r="F1250" i="7"/>
  <c r="F1258" i="7"/>
  <c r="F1266" i="7"/>
  <c r="F1274" i="7"/>
  <c r="F1282" i="7"/>
  <c r="F1290" i="7"/>
  <c r="F1298" i="7"/>
  <c r="F1306" i="7"/>
  <c r="F1314" i="7"/>
  <c r="F1322" i="7"/>
  <c r="F1330" i="7"/>
  <c r="F1338" i="7"/>
  <c r="F1346" i="7"/>
  <c r="F1354" i="7"/>
  <c r="F1362" i="7"/>
  <c r="F1370" i="7"/>
  <c r="F1378" i="7"/>
  <c r="F1386" i="7"/>
  <c r="F1394" i="7"/>
  <c r="F1402" i="7"/>
  <c r="F1410" i="7"/>
  <c r="F1418" i="7"/>
  <c r="F1426" i="7"/>
  <c r="F1434" i="7"/>
  <c r="F1442" i="7"/>
  <c r="F1450" i="7"/>
  <c r="F1458" i="7"/>
  <c r="F1466" i="7"/>
  <c r="F1153" i="8"/>
  <c r="F1366" i="8"/>
  <c r="F94" i="7"/>
  <c r="F213" i="7"/>
  <c r="F245" i="7"/>
  <c r="F268" i="7"/>
  <c r="F291" i="7"/>
  <c r="F309" i="7"/>
  <c r="F332" i="7"/>
  <c r="F355" i="7"/>
  <c r="F373" i="7"/>
  <c r="F396" i="7"/>
  <c r="F419" i="7"/>
  <c r="F437" i="7"/>
  <c r="F460" i="7"/>
  <c r="F483" i="7"/>
  <c r="F501" i="7"/>
  <c r="F524" i="7"/>
  <c r="F547" i="7"/>
  <c r="F565" i="7"/>
  <c r="F588" i="7"/>
  <c r="F611" i="7"/>
  <c r="F629" i="7"/>
  <c r="F652" i="7"/>
  <c r="F675" i="7"/>
  <c r="F693" i="7"/>
  <c r="F716" i="7"/>
  <c r="F739" i="7"/>
  <c r="F757" i="7"/>
  <c r="F780" i="7"/>
  <c r="F803" i="7"/>
  <c r="F821" i="7"/>
  <c r="F844" i="7"/>
  <c r="F867" i="7"/>
  <c r="F885" i="7"/>
  <c r="F908" i="7"/>
  <c r="F931" i="7"/>
  <c r="F949" i="7"/>
  <c r="F972" i="7"/>
  <c r="F995" i="7"/>
  <c r="F1013" i="7"/>
  <c r="F1036" i="7"/>
  <c r="F1059" i="7"/>
  <c r="F1077" i="7"/>
  <c r="F1100" i="7"/>
  <c r="F1123" i="7"/>
  <c r="F1141" i="7"/>
  <c r="F1164" i="7"/>
  <c r="F1187" i="7"/>
  <c r="F1205" i="7"/>
  <c r="F1228" i="7"/>
  <c r="F1251" i="7"/>
  <c r="F1269" i="7"/>
  <c r="F1292" i="7"/>
  <c r="F1315" i="7"/>
  <c r="F1333" i="7"/>
  <c r="F1356" i="7"/>
  <c r="F1379" i="7"/>
  <c r="F1397" i="7"/>
  <c r="F1420" i="7"/>
  <c r="F1443" i="7"/>
  <c r="F1461" i="7"/>
  <c r="F1476" i="7"/>
  <c r="F1490" i="7"/>
  <c r="F244" i="7"/>
  <c r="F395" i="7"/>
  <c r="F459" i="7"/>
  <c r="F605" i="7"/>
  <c r="F756" i="7"/>
  <c r="F884" i="7"/>
  <c r="F989" i="7"/>
  <c r="F1140" i="7"/>
  <c r="F1291" i="7"/>
  <c r="F1475" i="7"/>
  <c r="F539" i="8"/>
  <c r="F1163" i="8"/>
  <c r="F1375" i="8"/>
  <c r="F102" i="7"/>
  <c r="F214" i="7"/>
  <c r="F251" i="7"/>
  <c r="F269" i="7"/>
  <c r="F292" i="7"/>
  <c r="F315" i="7"/>
  <c r="F333" i="7"/>
  <c r="F356" i="7"/>
  <c r="F379" i="7"/>
  <c r="F397" i="7"/>
  <c r="F420" i="7"/>
  <c r="F443" i="7"/>
  <c r="F461" i="7"/>
  <c r="F484" i="7"/>
  <c r="F507" i="7"/>
  <c r="F525" i="7"/>
  <c r="F548" i="7"/>
  <c r="F571" i="7"/>
  <c r="F589" i="7"/>
  <c r="F612" i="7"/>
  <c r="F635" i="7"/>
  <c r="F653" i="7"/>
  <c r="F676" i="7"/>
  <c r="F699" i="7"/>
  <c r="F717" i="7"/>
  <c r="F740" i="7"/>
  <c r="F763" i="7"/>
  <c r="F781" i="7"/>
  <c r="F804" i="7"/>
  <c r="F827" i="7"/>
  <c r="F845" i="7"/>
  <c r="F868" i="7"/>
  <c r="F891" i="7"/>
  <c r="F909" i="7"/>
  <c r="F932" i="7"/>
  <c r="F955" i="7"/>
  <c r="F973" i="7"/>
  <c r="F996" i="7"/>
  <c r="F1019" i="7"/>
  <c r="F1037" i="7"/>
  <c r="F1060" i="7"/>
  <c r="F1083" i="7"/>
  <c r="F1101" i="7"/>
  <c r="F1124" i="7"/>
  <c r="F1147" i="7"/>
  <c r="F1165" i="7"/>
  <c r="F1188" i="7"/>
  <c r="F1211" i="7"/>
  <c r="F1229" i="7"/>
  <c r="F1252" i="7"/>
  <c r="F1275" i="7"/>
  <c r="F1293" i="7"/>
  <c r="F1316" i="7"/>
  <c r="F1339" i="7"/>
  <c r="F1357" i="7"/>
  <c r="F1380" i="7"/>
  <c r="F1403" i="7"/>
  <c r="F1421" i="7"/>
  <c r="F1444" i="7"/>
  <c r="F1465" i="7"/>
  <c r="F1477" i="7"/>
  <c r="F1491" i="7"/>
  <c r="F267" i="7"/>
  <c r="F372" i="7"/>
  <c r="F477" i="7"/>
  <c r="F628" i="7"/>
  <c r="F733" i="7"/>
  <c r="F861" i="7"/>
  <c r="F1012" i="7"/>
  <c r="F1163" i="7"/>
  <c r="F1309" i="7"/>
  <c r="F1437" i="7"/>
  <c r="F589" i="8"/>
  <c r="F1220" i="8"/>
  <c r="F1384" i="8"/>
  <c r="F150" i="7"/>
  <c r="F220" i="7"/>
  <c r="F252" i="7"/>
  <c r="F275" i="7"/>
  <c r="F293" i="7"/>
  <c r="F316" i="7"/>
  <c r="F339" i="7"/>
  <c r="F357" i="7"/>
  <c r="F380" i="7"/>
  <c r="F403" i="7"/>
  <c r="F421" i="7"/>
  <c r="F444" i="7"/>
  <c r="F467" i="7"/>
  <c r="F485" i="7"/>
  <c r="F508" i="7"/>
  <c r="F531" i="7"/>
  <c r="F549" i="7"/>
  <c r="F572" i="7"/>
  <c r="F595" i="7"/>
  <c r="F613" i="7"/>
  <c r="F636" i="7"/>
  <c r="F659" i="7"/>
  <c r="F677" i="7"/>
  <c r="F700" i="7"/>
  <c r="F723" i="7"/>
  <c r="F741" i="7"/>
  <c r="F764" i="7"/>
  <c r="F787" i="7"/>
  <c r="F805" i="7"/>
  <c r="F828" i="7"/>
  <c r="F851" i="7"/>
  <c r="F869" i="7"/>
  <c r="F892" i="7"/>
  <c r="F915" i="7"/>
  <c r="F933" i="7"/>
  <c r="F956" i="7"/>
  <c r="F979" i="7"/>
  <c r="F997" i="7"/>
  <c r="F1020" i="7"/>
  <c r="F1043" i="7"/>
  <c r="F1061" i="7"/>
  <c r="F1084" i="7"/>
  <c r="F1107" i="7"/>
  <c r="F1125" i="7"/>
  <c r="F1148" i="7"/>
  <c r="F1171" i="7"/>
  <c r="F1189" i="7"/>
  <c r="F1212" i="7"/>
  <c r="F1235" i="7"/>
  <c r="F1253" i="7"/>
  <c r="F1276" i="7"/>
  <c r="F1299" i="7"/>
  <c r="F1317" i="7"/>
  <c r="F1340" i="7"/>
  <c r="F1363" i="7"/>
  <c r="F1381" i="7"/>
  <c r="F1404" i="7"/>
  <c r="F1427" i="7"/>
  <c r="F1445" i="7"/>
  <c r="F1467" i="7"/>
  <c r="F1481" i="7"/>
  <c r="F1492" i="7"/>
  <c r="F1137" i="8"/>
  <c r="F308" i="7"/>
  <c r="F500" i="7"/>
  <c r="F715" i="7"/>
  <c r="F820" i="7"/>
  <c r="F948" i="7"/>
  <c r="F1099" i="7"/>
  <c r="F1227" i="7"/>
  <c r="F1396" i="7"/>
  <c r="F632" i="8"/>
  <c r="F1229" i="8"/>
  <c r="F1432" i="8"/>
  <c r="F158" i="7"/>
  <c r="F234" i="7"/>
  <c r="F253" i="7"/>
  <c r="F276" i="7"/>
  <c r="F299" i="7"/>
  <c r="F317" i="7"/>
  <c r="F340" i="7"/>
  <c r="F363" i="7"/>
  <c r="F381" i="7"/>
  <c r="F404" i="7"/>
  <c r="F427" i="7"/>
  <c r="F445" i="7"/>
  <c r="F468" i="7"/>
  <c r="F491" i="7"/>
  <c r="F509" i="7"/>
  <c r="F532" i="7"/>
  <c r="F555" i="7"/>
  <c r="F573" i="7"/>
  <c r="F596" i="7"/>
  <c r="F619" i="7"/>
  <c r="F637" i="7"/>
  <c r="F660" i="7"/>
  <c r="F683" i="7"/>
  <c r="F701" i="7"/>
  <c r="F724" i="7"/>
  <c r="F747" i="7"/>
  <c r="F765" i="7"/>
  <c r="F788" i="7"/>
  <c r="F811" i="7"/>
  <c r="F829" i="7"/>
  <c r="F852" i="7"/>
  <c r="F875" i="7"/>
  <c r="F893" i="7"/>
  <c r="F916" i="7"/>
  <c r="F939" i="7"/>
  <c r="F957" i="7"/>
  <c r="F980" i="7"/>
  <c r="F1003" i="7"/>
  <c r="F1021" i="7"/>
  <c r="F1044" i="7"/>
  <c r="F1067" i="7"/>
  <c r="F1085" i="7"/>
  <c r="F1108" i="7"/>
  <c r="F1131" i="7"/>
  <c r="F1149" i="7"/>
  <c r="F1172" i="7"/>
  <c r="F1195" i="7"/>
  <c r="F1213" i="7"/>
  <c r="F1236" i="7"/>
  <c r="F1259" i="7"/>
  <c r="F1277" i="7"/>
  <c r="F1300" i="7"/>
  <c r="F1323" i="7"/>
  <c r="F1341" i="7"/>
  <c r="F1364" i="7"/>
  <c r="F1387" i="7"/>
  <c r="F1405" i="7"/>
  <c r="F1428" i="7"/>
  <c r="F1451" i="7"/>
  <c r="F1468" i="7"/>
  <c r="F1482" i="7"/>
  <c r="F1493" i="7"/>
  <c r="F541" i="7"/>
  <c r="F1035" i="7"/>
  <c r="F1268" i="7"/>
  <c r="F1419" i="7"/>
  <c r="F873" i="8"/>
  <c r="F1238" i="8"/>
  <c r="F1440" i="8"/>
  <c r="F22" i="7"/>
  <c r="F166" i="7"/>
  <c r="F235" i="7"/>
  <c r="F259" i="7"/>
  <c r="F277" i="7"/>
  <c r="F300" i="7"/>
  <c r="F323" i="7"/>
  <c r="F341" i="7"/>
  <c r="F364" i="7"/>
  <c r="F387" i="7"/>
  <c r="F405" i="7"/>
  <c r="F428" i="7"/>
  <c r="F451" i="7"/>
  <c r="F469" i="7"/>
  <c r="F492" i="7"/>
  <c r="F515" i="7"/>
  <c r="F533" i="7"/>
  <c r="F556" i="7"/>
  <c r="F579" i="7"/>
  <c r="F597" i="7"/>
  <c r="F620" i="7"/>
  <c r="F643" i="7"/>
  <c r="F661" i="7"/>
  <c r="F684" i="7"/>
  <c r="F707" i="7"/>
  <c r="F725" i="7"/>
  <c r="F748" i="7"/>
  <c r="F771" i="7"/>
  <c r="F789" i="7"/>
  <c r="F812" i="7"/>
  <c r="F835" i="7"/>
  <c r="F853" i="7"/>
  <c r="F876" i="7"/>
  <c r="F899" i="7"/>
  <c r="F917" i="7"/>
  <c r="F940" i="7"/>
  <c r="F963" i="7"/>
  <c r="F981" i="7"/>
  <c r="F1004" i="7"/>
  <c r="F1027" i="7"/>
  <c r="F1045" i="7"/>
  <c r="F1068" i="7"/>
  <c r="F1091" i="7"/>
  <c r="F1109" i="7"/>
  <c r="F1132" i="7"/>
  <c r="F1155" i="7"/>
  <c r="F1173" i="7"/>
  <c r="F1196" i="7"/>
  <c r="F1219" i="7"/>
  <c r="F1237" i="7"/>
  <c r="F1260" i="7"/>
  <c r="F1283" i="7"/>
  <c r="F1301" i="7"/>
  <c r="F1324" i="7"/>
  <c r="F1347" i="7"/>
  <c r="F1365" i="7"/>
  <c r="F1388" i="7"/>
  <c r="F1411" i="7"/>
  <c r="F1429" i="7"/>
  <c r="F1452" i="7"/>
  <c r="F1469" i="7"/>
  <c r="F1483" i="7"/>
  <c r="F1496" i="7"/>
  <c r="F1311" i="8"/>
  <c r="F285" i="7"/>
  <c r="F523" i="7"/>
  <c r="F692" i="7"/>
  <c r="F843" i="7"/>
  <c r="F971" i="7"/>
  <c r="F1117" i="7"/>
  <c r="F1245" i="7"/>
  <c r="F1373" i="7"/>
  <c r="F910" i="8"/>
  <c r="F1293" i="8"/>
  <c r="F1448" i="8"/>
  <c r="F30" i="7"/>
  <c r="F190" i="7"/>
  <c r="F236" i="7"/>
  <c r="F260" i="7"/>
  <c r="F283" i="7"/>
  <c r="F301" i="7"/>
  <c r="F324" i="7"/>
  <c r="F347" i="7"/>
  <c r="F365" i="7"/>
  <c r="F388" i="7"/>
  <c r="F411" i="7"/>
  <c r="F429" i="7"/>
  <c r="F452" i="7"/>
  <c r="F475" i="7"/>
  <c r="F493" i="7"/>
  <c r="F516" i="7"/>
  <c r="F539" i="7"/>
  <c r="F557" i="7"/>
  <c r="F580" i="7"/>
  <c r="F603" i="7"/>
  <c r="F621" i="7"/>
  <c r="F644" i="7"/>
  <c r="F667" i="7"/>
  <c r="F685" i="7"/>
  <c r="F708" i="7"/>
  <c r="F731" i="7"/>
  <c r="F749" i="7"/>
  <c r="F772" i="7"/>
  <c r="F795" i="7"/>
  <c r="F813" i="7"/>
  <c r="F836" i="7"/>
  <c r="F859" i="7"/>
  <c r="F877" i="7"/>
  <c r="F900" i="7"/>
  <c r="F923" i="7"/>
  <c r="F941" i="7"/>
  <c r="F964" i="7"/>
  <c r="F987" i="7"/>
  <c r="F1005" i="7"/>
  <c r="F1028" i="7"/>
  <c r="F1051" i="7"/>
  <c r="F1069" i="7"/>
  <c r="F1092" i="7"/>
  <c r="F1115" i="7"/>
  <c r="F1133" i="7"/>
  <c r="F1156" i="7"/>
  <c r="F1179" i="7"/>
  <c r="F1197" i="7"/>
  <c r="F1220" i="7"/>
  <c r="F1243" i="7"/>
  <c r="F1261" i="7"/>
  <c r="F1284" i="7"/>
  <c r="F1307" i="7"/>
  <c r="F1325" i="7"/>
  <c r="F1348" i="7"/>
  <c r="F1371" i="7"/>
  <c r="F1389" i="7"/>
  <c r="F1412" i="7"/>
  <c r="F1435" i="7"/>
  <c r="F1453" i="7"/>
  <c r="F1473" i="7"/>
  <c r="F1484" i="7"/>
  <c r="F86" i="7"/>
  <c r="F331" i="7"/>
  <c r="F413" i="7"/>
  <c r="F587" i="7"/>
  <c r="F651" i="7"/>
  <c r="F797" i="7"/>
  <c r="F907" i="7"/>
  <c r="F1076" i="7"/>
  <c r="F1204" i="7"/>
  <c r="F1355" i="7"/>
  <c r="F1460" i="7"/>
  <c r="F12" i="9"/>
  <c r="F946" i="8"/>
  <c r="F1302" i="8"/>
  <c r="F1496" i="8"/>
  <c r="F38" i="7"/>
  <c r="F196" i="7"/>
  <c r="F243" i="7"/>
  <c r="F261" i="7"/>
  <c r="F284" i="7"/>
  <c r="F307" i="7"/>
  <c r="F325" i="7"/>
  <c r="F348" i="7"/>
  <c r="F371" i="7"/>
  <c r="F389" i="7"/>
  <c r="F412" i="7"/>
  <c r="F435" i="7"/>
  <c r="F453" i="7"/>
  <c r="F476" i="7"/>
  <c r="F499" i="7"/>
  <c r="F517" i="7"/>
  <c r="F540" i="7"/>
  <c r="F563" i="7"/>
  <c r="F581" i="7"/>
  <c r="F604" i="7"/>
  <c r="F627" i="7"/>
  <c r="F645" i="7"/>
  <c r="F668" i="7"/>
  <c r="F691" i="7"/>
  <c r="F709" i="7"/>
  <c r="F732" i="7"/>
  <c r="F755" i="7"/>
  <c r="F773" i="7"/>
  <c r="F796" i="7"/>
  <c r="F819" i="7"/>
  <c r="F837" i="7"/>
  <c r="F860" i="7"/>
  <c r="F883" i="7"/>
  <c r="F901" i="7"/>
  <c r="F924" i="7"/>
  <c r="F947" i="7"/>
  <c r="F965" i="7"/>
  <c r="F988" i="7"/>
  <c r="F1011" i="7"/>
  <c r="F1029" i="7"/>
  <c r="F1052" i="7"/>
  <c r="F1075" i="7"/>
  <c r="F1093" i="7"/>
  <c r="F1116" i="7"/>
  <c r="F1139" i="7"/>
  <c r="F1157" i="7"/>
  <c r="F1180" i="7"/>
  <c r="F1203" i="7"/>
  <c r="F1221" i="7"/>
  <c r="F1244" i="7"/>
  <c r="F1267" i="7"/>
  <c r="F1285" i="7"/>
  <c r="F1308" i="7"/>
  <c r="F1331" i="7"/>
  <c r="F1349" i="7"/>
  <c r="F1372" i="7"/>
  <c r="F1395" i="7"/>
  <c r="F1413" i="7"/>
  <c r="F1436" i="7"/>
  <c r="F1459" i="7"/>
  <c r="F1474" i="7"/>
  <c r="F1485" i="7"/>
  <c r="F1232" i="9"/>
  <c r="F197" i="7"/>
  <c r="F349" i="7"/>
  <c r="F436" i="7"/>
  <c r="F564" i="7"/>
  <c r="F669" i="7"/>
  <c r="F779" i="7"/>
  <c r="F925" i="7"/>
  <c r="F1053" i="7"/>
  <c r="F1181" i="7"/>
  <c r="F1332" i="7"/>
  <c r="F1489" i="7"/>
  <c r="O25" i="2"/>
  <c r="O27" i="2"/>
  <c r="F988" i="3"/>
  <c r="F961" i="3"/>
  <c r="F958" i="3"/>
  <c r="F773" i="3"/>
  <c r="F960" i="3"/>
  <c r="F901" i="3"/>
  <c r="F900" i="3"/>
  <c r="F985" i="3"/>
  <c r="F949" i="3"/>
  <c r="F878" i="3"/>
  <c r="F984" i="3"/>
  <c r="F948" i="3"/>
  <c r="F860" i="3"/>
  <c r="F974" i="3"/>
  <c r="F936" i="3"/>
  <c r="F837" i="3"/>
  <c r="F973" i="3"/>
  <c r="F934" i="3"/>
  <c r="F814" i="3"/>
  <c r="F972" i="3"/>
  <c r="F924" i="3"/>
  <c r="F796" i="3"/>
  <c r="F750" i="3"/>
  <c r="F732" i="3"/>
  <c r="F709" i="3"/>
  <c r="F686" i="3"/>
  <c r="F664" i="3"/>
  <c r="F633" i="3"/>
  <c r="F602" i="3"/>
  <c r="F578" i="3"/>
  <c r="F547" i="3"/>
  <c r="F518" i="3"/>
  <c r="F494" i="3"/>
  <c r="F450" i="3"/>
  <c r="F355" i="3"/>
  <c r="F283" i="3"/>
  <c r="F194" i="3"/>
  <c r="F99" i="3"/>
  <c r="F27" i="3"/>
  <c r="F877" i="3"/>
  <c r="F854" i="3"/>
  <c r="F836" i="3"/>
  <c r="F813" i="3"/>
  <c r="F790" i="3"/>
  <c r="F772" i="3"/>
  <c r="F749" i="3"/>
  <c r="F726" i="3"/>
  <c r="F708" i="3"/>
  <c r="F685" i="3"/>
  <c r="F656" i="3"/>
  <c r="F632" i="3"/>
  <c r="F601" i="3"/>
  <c r="F570" i="3"/>
  <c r="F546" i="3"/>
  <c r="F515" i="3"/>
  <c r="F486" i="3"/>
  <c r="F443" i="3"/>
  <c r="F354" i="3"/>
  <c r="F259" i="3"/>
  <c r="F187" i="3"/>
  <c r="F98" i="3"/>
  <c r="F945" i="3"/>
  <c r="F933" i="3"/>
  <c r="F917" i="3"/>
  <c r="F894" i="3"/>
  <c r="F876" i="3"/>
  <c r="F853" i="3"/>
  <c r="F830" i="3"/>
  <c r="F812" i="3"/>
  <c r="F789" i="3"/>
  <c r="F766" i="3"/>
  <c r="F748" i="3"/>
  <c r="F725" i="3"/>
  <c r="F702" i="3"/>
  <c r="F684" i="3"/>
  <c r="F655" i="3"/>
  <c r="F624" i="3"/>
  <c r="F600" i="3"/>
  <c r="F569" i="3"/>
  <c r="F538" i="3"/>
  <c r="F514" i="3"/>
  <c r="F483" i="3"/>
  <c r="F419" i="3"/>
  <c r="F347" i="3"/>
  <c r="F258" i="3"/>
  <c r="F163" i="3"/>
  <c r="F91" i="3"/>
  <c r="F982" i="3"/>
  <c r="F969" i="3"/>
  <c r="F957" i="3"/>
  <c r="F944" i="3"/>
  <c r="F932" i="3"/>
  <c r="F916" i="3"/>
  <c r="F893" i="3"/>
  <c r="F870" i="3"/>
  <c r="F852" i="3"/>
  <c r="F829" i="3"/>
  <c r="F806" i="3"/>
  <c r="F788" i="3"/>
  <c r="F765" i="3"/>
  <c r="F742" i="3"/>
  <c r="F724" i="3"/>
  <c r="F701" i="3"/>
  <c r="F678" i="3"/>
  <c r="F654" i="3"/>
  <c r="F623" i="3"/>
  <c r="F592" i="3"/>
  <c r="F568" i="3"/>
  <c r="F537" i="3"/>
  <c r="F506" i="3"/>
  <c r="F482" i="3"/>
  <c r="F418" i="3"/>
  <c r="F323" i="3"/>
  <c r="F251" i="3"/>
  <c r="F162" i="3"/>
  <c r="F67" i="3"/>
  <c r="F993" i="3"/>
  <c r="F981" i="3"/>
  <c r="F968" i="3"/>
  <c r="F956" i="3"/>
  <c r="F942" i="3"/>
  <c r="F929" i="3"/>
  <c r="F910" i="3"/>
  <c r="F892" i="3"/>
  <c r="F869" i="3"/>
  <c r="F846" i="3"/>
  <c r="F828" i="3"/>
  <c r="F805" i="3"/>
  <c r="F782" i="3"/>
  <c r="F764" i="3"/>
  <c r="F741" i="3"/>
  <c r="F718" i="3"/>
  <c r="F700" i="3"/>
  <c r="F675" i="3"/>
  <c r="F646" i="3"/>
  <c r="F622" i="3"/>
  <c r="F591" i="3"/>
  <c r="F560" i="3"/>
  <c r="F536" i="3"/>
  <c r="F505" i="3"/>
  <c r="F472" i="3"/>
  <c r="F411" i="3"/>
  <c r="F322" i="3"/>
  <c r="F227" i="3"/>
  <c r="F155" i="3"/>
  <c r="F66" i="3"/>
  <c r="F992" i="3"/>
  <c r="F980" i="3"/>
  <c r="F966" i="3"/>
  <c r="F953" i="3"/>
  <c r="F941" i="3"/>
  <c r="F928" i="3"/>
  <c r="F909" i="3"/>
  <c r="F886" i="3"/>
  <c r="F868" i="3"/>
  <c r="F845" i="3"/>
  <c r="F822" i="3"/>
  <c r="F804" i="3"/>
  <c r="F781" i="3"/>
  <c r="F758" i="3"/>
  <c r="F740" i="3"/>
  <c r="F717" i="3"/>
  <c r="F694" i="3"/>
  <c r="F674" i="3"/>
  <c r="F643" i="3"/>
  <c r="F614" i="3"/>
  <c r="F590" i="3"/>
  <c r="F559" i="3"/>
  <c r="F528" i="3"/>
  <c r="F504" i="3"/>
  <c r="F471" i="3"/>
  <c r="F387" i="3"/>
  <c r="F315" i="3"/>
  <c r="F226" i="3"/>
  <c r="F131" i="3"/>
  <c r="F59" i="3"/>
  <c r="F990" i="3"/>
  <c r="F977" i="3"/>
  <c r="F965" i="3"/>
  <c r="F952" i="3"/>
  <c r="F940" i="3"/>
  <c r="F926" i="3"/>
  <c r="F908" i="3"/>
  <c r="F885" i="3"/>
  <c r="F862" i="3"/>
  <c r="F844" i="3"/>
  <c r="F821" i="3"/>
  <c r="F798" i="3"/>
  <c r="F780" i="3"/>
  <c r="F757" i="3"/>
  <c r="F734" i="3"/>
  <c r="F716" i="3"/>
  <c r="F693" i="3"/>
  <c r="F666" i="3"/>
  <c r="F642" i="3"/>
  <c r="F611" i="3"/>
  <c r="F582" i="3"/>
  <c r="F558" i="3"/>
  <c r="F527" i="3"/>
  <c r="F496" i="3"/>
  <c r="F470" i="3"/>
  <c r="F386" i="3"/>
  <c r="F291" i="3"/>
  <c r="F219" i="3"/>
  <c r="F130" i="3"/>
  <c r="F35" i="3"/>
  <c r="F989" i="3"/>
  <c r="F976" i="3"/>
  <c r="F964" i="3"/>
  <c r="F950" i="3"/>
  <c r="F937" i="3"/>
  <c r="F925" i="3"/>
  <c r="F902" i="3"/>
  <c r="F884" i="3"/>
  <c r="F861" i="3"/>
  <c r="F838" i="3"/>
  <c r="F820" i="3"/>
  <c r="F797" i="3"/>
  <c r="F774" i="3"/>
  <c r="F756" i="3"/>
  <c r="F733" i="3"/>
  <c r="F710" i="3"/>
  <c r="F692" i="3"/>
  <c r="F665" i="3"/>
  <c r="F634" i="3"/>
  <c r="F610" i="3"/>
  <c r="F579" i="3"/>
  <c r="F550" i="3"/>
  <c r="F526" i="3"/>
  <c r="F495" i="3"/>
  <c r="F451" i="3"/>
  <c r="F379" i="3"/>
  <c r="F290" i="3"/>
  <c r="F195" i="3"/>
  <c r="F123" i="3"/>
  <c r="F34" i="3"/>
  <c r="F995" i="3"/>
  <c r="F987" i="3"/>
  <c r="F979" i="3"/>
  <c r="F971" i="3"/>
  <c r="F963" i="3"/>
  <c r="F955" i="3"/>
  <c r="F947" i="3"/>
  <c r="F939" i="3"/>
  <c r="F931" i="3"/>
  <c r="F923" i="3"/>
  <c r="F915" i="3"/>
  <c r="F907" i="3"/>
  <c r="F899" i="3"/>
  <c r="F891" i="3"/>
  <c r="F883" i="3"/>
  <c r="F875" i="3"/>
  <c r="F867" i="3"/>
  <c r="F859" i="3"/>
  <c r="F851" i="3"/>
  <c r="F843" i="3"/>
  <c r="F835" i="3"/>
  <c r="F827" i="3"/>
  <c r="F819" i="3"/>
  <c r="F811" i="3"/>
  <c r="F803" i="3"/>
  <c r="F795" i="3"/>
  <c r="F787" i="3"/>
  <c r="F779" i="3"/>
  <c r="F771" i="3"/>
  <c r="F763" i="3"/>
  <c r="F755" i="3"/>
  <c r="F747" i="3"/>
  <c r="F739" i="3"/>
  <c r="F731" i="3"/>
  <c r="F723" i="3"/>
  <c r="F715" i="3"/>
  <c r="F707" i="3"/>
  <c r="F699" i="3"/>
  <c r="F691" i="3"/>
  <c r="F683" i="3"/>
  <c r="F673" i="3"/>
  <c r="F663" i="3"/>
  <c r="F651" i="3"/>
  <c r="F641" i="3"/>
  <c r="F631" i="3"/>
  <c r="F619" i="3"/>
  <c r="F609" i="3"/>
  <c r="F599" i="3"/>
  <c r="F587" i="3"/>
  <c r="F577" i="3"/>
  <c r="F567" i="3"/>
  <c r="F555" i="3"/>
  <c r="F545" i="3"/>
  <c r="F535" i="3"/>
  <c r="F523" i="3"/>
  <c r="F513" i="3"/>
  <c r="F503" i="3"/>
  <c r="F491" i="3"/>
  <c r="F480" i="3"/>
  <c r="F467" i="3"/>
  <c r="F442" i="3"/>
  <c r="F410" i="3"/>
  <c r="F378" i="3"/>
  <c r="F346" i="3"/>
  <c r="F314" i="3"/>
  <c r="F282" i="3"/>
  <c r="F250" i="3"/>
  <c r="F218" i="3"/>
  <c r="F186" i="3"/>
  <c r="F154" i="3"/>
  <c r="F122" i="3"/>
  <c r="F90" i="3"/>
  <c r="F58" i="3"/>
  <c r="F28" i="3"/>
  <c r="F36" i="3"/>
  <c r="F44" i="3"/>
  <c r="F52" i="3"/>
  <c r="F60" i="3"/>
  <c r="F68" i="3"/>
  <c r="F76" i="3"/>
  <c r="F84" i="3"/>
  <c r="F92" i="3"/>
  <c r="F100" i="3"/>
  <c r="F108" i="3"/>
  <c r="F116" i="3"/>
  <c r="F124" i="3"/>
  <c r="F132" i="3"/>
  <c r="F140" i="3"/>
  <c r="F148" i="3"/>
  <c r="F156" i="3"/>
  <c r="F164" i="3"/>
  <c r="F172" i="3"/>
  <c r="F180" i="3"/>
  <c r="F188" i="3"/>
  <c r="F196" i="3"/>
  <c r="F204" i="3"/>
  <c r="F212" i="3"/>
  <c r="F220" i="3"/>
  <c r="F228" i="3"/>
  <c r="F236" i="3"/>
  <c r="F244" i="3"/>
  <c r="F252" i="3"/>
  <c r="F260" i="3"/>
  <c r="F268" i="3"/>
  <c r="F276" i="3"/>
  <c r="F284" i="3"/>
  <c r="F292" i="3"/>
  <c r="F300" i="3"/>
  <c r="F308" i="3"/>
  <c r="F316" i="3"/>
  <c r="F324" i="3"/>
  <c r="F332" i="3"/>
  <c r="F340" i="3"/>
  <c r="F348" i="3"/>
  <c r="F356" i="3"/>
  <c r="F364" i="3"/>
  <c r="F372" i="3"/>
  <c r="F380" i="3"/>
  <c r="F388" i="3"/>
  <c r="F396" i="3"/>
  <c r="F404" i="3"/>
  <c r="F412" i="3"/>
  <c r="F420" i="3"/>
  <c r="F428" i="3"/>
  <c r="F436" i="3"/>
  <c r="F444" i="3"/>
  <c r="F452" i="3"/>
  <c r="F460" i="3"/>
  <c r="F468" i="3"/>
  <c r="F476" i="3"/>
  <c r="F484" i="3"/>
  <c r="F492" i="3"/>
  <c r="F500" i="3"/>
  <c r="F508" i="3"/>
  <c r="F516" i="3"/>
  <c r="F524" i="3"/>
  <c r="F532" i="3"/>
  <c r="F540" i="3"/>
  <c r="F548" i="3"/>
  <c r="F556" i="3"/>
  <c r="F564" i="3"/>
  <c r="F572" i="3"/>
  <c r="F580" i="3"/>
  <c r="F588" i="3"/>
  <c r="F596" i="3"/>
  <c r="F604" i="3"/>
  <c r="F612" i="3"/>
  <c r="F620" i="3"/>
  <c r="F628" i="3"/>
  <c r="F636" i="3"/>
  <c r="F644" i="3"/>
  <c r="F652" i="3"/>
  <c r="F660" i="3"/>
  <c r="F668" i="3"/>
  <c r="F676" i="3"/>
  <c r="F29" i="3"/>
  <c r="F37" i="3"/>
  <c r="F45" i="3"/>
  <c r="F53" i="3"/>
  <c r="F61" i="3"/>
  <c r="F69" i="3"/>
  <c r="F77" i="3"/>
  <c r="F85" i="3"/>
  <c r="F93" i="3"/>
  <c r="F101" i="3"/>
  <c r="F109" i="3"/>
  <c r="F117" i="3"/>
  <c r="F125" i="3"/>
  <c r="F133" i="3"/>
  <c r="F141" i="3"/>
  <c r="F149" i="3"/>
  <c r="F157" i="3"/>
  <c r="F165" i="3"/>
  <c r="F173" i="3"/>
  <c r="F181" i="3"/>
  <c r="F189" i="3"/>
  <c r="F197" i="3"/>
  <c r="F205" i="3"/>
  <c r="F213" i="3"/>
  <c r="F221" i="3"/>
  <c r="F229" i="3"/>
  <c r="F237" i="3"/>
  <c r="F245" i="3"/>
  <c r="F253" i="3"/>
  <c r="F261" i="3"/>
  <c r="F269" i="3"/>
  <c r="F277" i="3"/>
  <c r="F285" i="3"/>
  <c r="F293" i="3"/>
  <c r="F301" i="3"/>
  <c r="F309" i="3"/>
  <c r="F317" i="3"/>
  <c r="F325" i="3"/>
  <c r="F333" i="3"/>
  <c r="F341" i="3"/>
  <c r="F349" i="3"/>
  <c r="F357" i="3"/>
  <c r="F365" i="3"/>
  <c r="F373" i="3"/>
  <c r="F381" i="3"/>
  <c r="F389" i="3"/>
  <c r="F397" i="3"/>
  <c r="F405" i="3"/>
  <c r="F413" i="3"/>
  <c r="F421" i="3"/>
  <c r="F429" i="3"/>
  <c r="F437" i="3"/>
  <c r="F445" i="3"/>
  <c r="F453" i="3"/>
  <c r="F461" i="3"/>
  <c r="F469" i="3"/>
  <c r="F477" i="3"/>
  <c r="F485" i="3"/>
  <c r="F493" i="3"/>
  <c r="F501" i="3"/>
  <c r="F509" i="3"/>
  <c r="F517" i="3"/>
  <c r="F525" i="3"/>
  <c r="F533" i="3"/>
  <c r="F541" i="3"/>
  <c r="F549" i="3"/>
  <c r="F557" i="3"/>
  <c r="F565" i="3"/>
  <c r="F573" i="3"/>
  <c r="F581" i="3"/>
  <c r="F589" i="3"/>
  <c r="F597" i="3"/>
  <c r="F605" i="3"/>
  <c r="F613" i="3"/>
  <c r="F621" i="3"/>
  <c r="F629" i="3"/>
  <c r="F637" i="3"/>
  <c r="F645" i="3"/>
  <c r="F653" i="3"/>
  <c r="F661" i="3"/>
  <c r="F669" i="3"/>
  <c r="F677" i="3"/>
  <c r="F30" i="3"/>
  <c r="F38" i="3"/>
  <c r="F46" i="3"/>
  <c r="F54" i="3"/>
  <c r="F62" i="3"/>
  <c r="F70" i="3"/>
  <c r="F78" i="3"/>
  <c r="F86" i="3"/>
  <c r="F94" i="3"/>
  <c r="F102" i="3"/>
  <c r="F110" i="3"/>
  <c r="F118" i="3"/>
  <c r="F126" i="3"/>
  <c r="F134" i="3"/>
  <c r="F142" i="3"/>
  <c r="F150" i="3"/>
  <c r="F158" i="3"/>
  <c r="F166" i="3"/>
  <c r="F174" i="3"/>
  <c r="F182" i="3"/>
  <c r="F190" i="3"/>
  <c r="F198" i="3"/>
  <c r="F206" i="3"/>
  <c r="F214" i="3"/>
  <c r="F222" i="3"/>
  <c r="F230" i="3"/>
  <c r="F238" i="3"/>
  <c r="F246" i="3"/>
  <c r="F254" i="3"/>
  <c r="F262" i="3"/>
  <c r="F270" i="3"/>
  <c r="F278" i="3"/>
  <c r="F286" i="3"/>
  <c r="F294" i="3"/>
  <c r="F302" i="3"/>
  <c r="F310" i="3"/>
  <c r="F318" i="3"/>
  <c r="F326" i="3"/>
  <c r="F334" i="3"/>
  <c r="F342" i="3"/>
  <c r="F350" i="3"/>
  <c r="F358" i="3"/>
  <c r="F366" i="3"/>
  <c r="F374" i="3"/>
  <c r="F382" i="3"/>
  <c r="F390" i="3"/>
  <c r="F398" i="3"/>
  <c r="F406" i="3"/>
  <c r="F414" i="3"/>
  <c r="F422" i="3"/>
  <c r="F430" i="3"/>
  <c r="F438" i="3"/>
  <c r="F446" i="3"/>
  <c r="F454" i="3"/>
  <c r="F462" i="3"/>
  <c r="F31" i="3"/>
  <c r="F39" i="3"/>
  <c r="F47" i="3"/>
  <c r="F55" i="3"/>
  <c r="F63" i="3"/>
  <c r="F71" i="3"/>
  <c r="F79" i="3"/>
  <c r="F87" i="3"/>
  <c r="F95" i="3"/>
  <c r="F103" i="3"/>
  <c r="F111" i="3"/>
  <c r="F119" i="3"/>
  <c r="F127" i="3"/>
  <c r="F135" i="3"/>
  <c r="F143" i="3"/>
  <c r="F151" i="3"/>
  <c r="F159" i="3"/>
  <c r="F167" i="3"/>
  <c r="F175" i="3"/>
  <c r="F183" i="3"/>
  <c r="F191" i="3"/>
  <c r="F199" i="3"/>
  <c r="F207" i="3"/>
  <c r="F215" i="3"/>
  <c r="F223" i="3"/>
  <c r="F231" i="3"/>
  <c r="F239" i="3"/>
  <c r="F247" i="3"/>
  <c r="F255" i="3"/>
  <c r="F263" i="3"/>
  <c r="F271" i="3"/>
  <c r="F279" i="3"/>
  <c r="F287" i="3"/>
  <c r="F295" i="3"/>
  <c r="F303" i="3"/>
  <c r="F311" i="3"/>
  <c r="F319" i="3"/>
  <c r="F327" i="3"/>
  <c r="F335" i="3"/>
  <c r="F343" i="3"/>
  <c r="F351" i="3"/>
  <c r="F359" i="3"/>
  <c r="F367" i="3"/>
  <c r="F375" i="3"/>
  <c r="F383" i="3"/>
  <c r="F391" i="3"/>
  <c r="F399" i="3"/>
  <c r="F407" i="3"/>
  <c r="F415" i="3"/>
  <c r="F423" i="3"/>
  <c r="F431" i="3"/>
  <c r="F439" i="3"/>
  <c r="F447" i="3"/>
  <c r="F455" i="3"/>
  <c r="F463" i="3"/>
  <c r="F24" i="3"/>
  <c r="F32" i="3"/>
  <c r="F40" i="3"/>
  <c r="F48" i="3"/>
  <c r="F56" i="3"/>
  <c r="F64" i="3"/>
  <c r="F72" i="3"/>
  <c r="F80" i="3"/>
  <c r="F88" i="3"/>
  <c r="F96" i="3"/>
  <c r="F104" i="3"/>
  <c r="F112" i="3"/>
  <c r="F120" i="3"/>
  <c r="F128" i="3"/>
  <c r="F136" i="3"/>
  <c r="F144" i="3"/>
  <c r="F152" i="3"/>
  <c r="F160" i="3"/>
  <c r="F168" i="3"/>
  <c r="F176" i="3"/>
  <c r="F184" i="3"/>
  <c r="F192" i="3"/>
  <c r="F200" i="3"/>
  <c r="F208" i="3"/>
  <c r="F216" i="3"/>
  <c r="F224" i="3"/>
  <c r="F232" i="3"/>
  <c r="F240" i="3"/>
  <c r="F248" i="3"/>
  <c r="F256" i="3"/>
  <c r="F264" i="3"/>
  <c r="F272" i="3"/>
  <c r="F280" i="3"/>
  <c r="F288" i="3"/>
  <c r="F296" i="3"/>
  <c r="F304" i="3"/>
  <c r="F312" i="3"/>
  <c r="F320" i="3"/>
  <c r="F328" i="3"/>
  <c r="F336" i="3"/>
  <c r="F344" i="3"/>
  <c r="F352" i="3"/>
  <c r="F360" i="3"/>
  <c r="F368" i="3"/>
  <c r="F376" i="3"/>
  <c r="F384" i="3"/>
  <c r="F392" i="3"/>
  <c r="F400" i="3"/>
  <c r="F408" i="3"/>
  <c r="F416" i="3"/>
  <c r="F424" i="3"/>
  <c r="F432" i="3"/>
  <c r="F440" i="3"/>
  <c r="F448" i="3"/>
  <c r="F456" i="3"/>
  <c r="F25" i="3"/>
  <c r="F33" i="3"/>
  <c r="F41" i="3"/>
  <c r="F49" i="3"/>
  <c r="F57" i="3"/>
  <c r="F65" i="3"/>
  <c r="F73" i="3"/>
  <c r="F81" i="3"/>
  <c r="F89" i="3"/>
  <c r="F97" i="3"/>
  <c r="F105" i="3"/>
  <c r="F113" i="3"/>
  <c r="F121" i="3"/>
  <c r="F129" i="3"/>
  <c r="F137" i="3"/>
  <c r="F145" i="3"/>
  <c r="F153" i="3"/>
  <c r="F161" i="3"/>
  <c r="F169" i="3"/>
  <c r="F177" i="3"/>
  <c r="F185" i="3"/>
  <c r="F193" i="3"/>
  <c r="F201" i="3"/>
  <c r="F209" i="3"/>
  <c r="F217" i="3"/>
  <c r="F225" i="3"/>
  <c r="F233" i="3"/>
  <c r="F241" i="3"/>
  <c r="F249" i="3"/>
  <c r="F257" i="3"/>
  <c r="F265" i="3"/>
  <c r="F273" i="3"/>
  <c r="F281" i="3"/>
  <c r="F289" i="3"/>
  <c r="F297" i="3"/>
  <c r="F305" i="3"/>
  <c r="F313" i="3"/>
  <c r="F321" i="3"/>
  <c r="F329" i="3"/>
  <c r="F337" i="3"/>
  <c r="F345" i="3"/>
  <c r="F353" i="3"/>
  <c r="F361" i="3"/>
  <c r="F369" i="3"/>
  <c r="F377" i="3"/>
  <c r="F385" i="3"/>
  <c r="F393" i="3"/>
  <c r="F401" i="3"/>
  <c r="F409" i="3"/>
  <c r="F417" i="3"/>
  <c r="F425" i="3"/>
  <c r="F433" i="3"/>
  <c r="F441" i="3"/>
  <c r="F449" i="3"/>
  <c r="F457" i="3"/>
  <c r="F465" i="3"/>
  <c r="F473" i="3"/>
  <c r="F481" i="3"/>
  <c r="F994" i="3"/>
  <c r="F986" i="3"/>
  <c r="F978" i="3"/>
  <c r="F970" i="3"/>
  <c r="F962" i="3"/>
  <c r="F954" i="3"/>
  <c r="F946" i="3"/>
  <c r="F938" i="3"/>
  <c r="F930" i="3"/>
  <c r="F922" i="3"/>
  <c r="F914" i="3"/>
  <c r="F906" i="3"/>
  <c r="F898" i="3"/>
  <c r="F890" i="3"/>
  <c r="F882" i="3"/>
  <c r="F874" i="3"/>
  <c r="F866" i="3"/>
  <c r="F858" i="3"/>
  <c r="F850" i="3"/>
  <c r="F842" i="3"/>
  <c r="F834" i="3"/>
  <c r="F826" i="3"/>
  <c r="F818" i="3"/>
  <c r="F810" i="3"/>
  <c r="F802" i="3"/>
  <c r="F794" i="3"/>
  <c r="F786" i="3"/>
  <c r="F778" i="3"/>
  <c r="F770" i="3"/>
  <c r="F762" i="3"/>
  <c r="F754" i="3"/>
  <c r="F746" i="3"/>
  <c r="F738" i="3"/>
  <c r="F730" i="3"/>
  <c r="F722" i="3"/>
  <c r="F714" i="3"/>
  <c r="F706" i="3"/>
  <c r="F698" i="3"/>
  <c r="F690" i="3"/>
  <c r="F682" i="3"/>
  <c r="F672" i="3"/>
  <c r="F662" i="3"/>
  <c r="F650" i="3"/>
  <c r="F640" i="3"/>
  <c r="F630" i="3"/>
  <c r="F618" i="3"/>
  <c r="F608" i="3"/>
  <c r="F598" i="3"/>
  <c r="F586" i="3"/>
  <c r="F576" i="3"/>
  <c r="F566" i="3"/>
  <c r="F554" i="3"/>
  <c r="F544" i="3"/>
  <c r="F534" i="3"/>
  <c r="F522" i="3"/>
  <c r="F512" i="3"/>
  <c r="F502" i="3"/>
  <c r="F490" i="3"/>
  <c r="F479" i="3"/>
  <c r="F466" i="3"/>
  <c r="F435" i="3"/>
  <c r="F403" i="3"/>
  <c r="F371" i="3"/>
  <c r="F339" i="3"/>
  <c r="F307" i="3"/>
  <c r="F275" i="3"/>
  <c r="F243" i="3"/>
  <c r="F211" i="3"/>
  <c r="F179" i="3"/>
  <c r="F147" i="3"/>
  <c r="F115" i="3"/>
  <c r="F83" i="3"/>
  <c r="F51" i="3"/>
  <c r="F921" i="3"/>
  <c r="F913" i="3"/>
  <c r="F905" i="3"/>
  <c r="F897" i="3"/>
  <c r="F889" i="3"/>
  <c r="F881" i="3"/>
  <c r="F873" i="3"/>
  <c r="F865" i="3"/>
  <c r="F857" i="3"/>
  <c r="F849" i="3"/>
  <c r="F841" i="3"/>
  <c r="F833" i="3"/>
  <c r="F825" i="3"/>
  <c r="F817" i="3"/>
  <c r="F809" i="3"/>
  <c r="F801" i="3"/>
  <c r="F793" i="3"/>
  <c r="F785" i="3"/>
  <c r="F777" i="3"/>
  <c r="F769" i="3"/>
  <c r="F761" i="3"/>
  <c r="F753" i="3"/>
  <c r="F745" i="3"/>
  <c r="F737" i="3"/>
  <c r="F729" i="3"/>
  <c r="F721" i="3"/>
  <c r="F713" i="3"/>
  <c r="F705" i="3"/>
  <c r="F697" i="3"/>
  <c r="F689" i="3"/>
  <c r="F681" i="3"/>
  <c r="F671" i="3"/>
  <c r="F659" i="3"/>
  <c r="F649" i="3"/>
  <c r="F639" i="3"/>
  <c r="F627" i="3"/>
  <c r="F617" i="3"/>
  <c r="F607" i="3"/>
  <c r="F595" i="3"/>
  <c r="F585" i="3"/>
  <c r="F575" i="3"/>
  <c r="F563" i="3"/>
  <c r="F553" i="3"/>
  <c r="F543" i="3"/>
  <c r="F531" i="3"/>
  <c r="F521" i="3"/>
  <c r="F511" i="3"/>
  <c r="F499" i="3"/>
  <c r="F489" i="3"/>
  <c r="F478" i="3"/>
  <c r="F464" i="3"/>
  <c r="F434" i="3"/>
  <c r="F402" i="3"/>
  <c r="F370" i="3"/>
  <c r="F338" i="3"/>
  <c r="F306" i="3"/>
  <c r="F274" i="3"/>
  <c r="F242" i="3"/>
  <c r="F210" i="3"/>
  <c r="F178" i="3"/>
  <c r="F146" i="3"/>
  <c r="F114" i="3"/>
  <c r="F82" i="3"/>
  <c r="F50" i="3"/>
  <c r="F920" i="3"/>
  <c r="F912" i="3"/>
  <c r="F904" i="3"/>
  <c r="F896" i="3"/>
  <c r="F888" i="3"/>
  <c r="F880" i="3"/>
  <c r="F872" i="3"/>
  <c r="F864" i="3"/>
  <c r="F856" i="3"/>
  <c r="F848" i="3"/>
  <c r="F840" i="3"/>
  <c r="F832" i="3"/>
  <c r="F824" i="3"/>
  <c r="F816" i="3"/>
  <c r="F808" i="3"/>
  <c r="F800" i="3"/>
  <c r="F792" i="3"/>
  <c r="F784" i="3"/>
  <c r="F776" i="3"/>
  <c r="F768" i="3"/>
  <c r="F760" i="3"/>
  <c r="F752" i="3"/>
  <c r="F744" i="3"/>
  <c r="F736" i="3"/>
  <c r="F728" i="3"/>
  <c r="F720" i="3"/>
  <c r="F712" i="3"/>
  <c r="F704" i="3"/>
  <c r="F696" i="3"/>
  <c r="F688" i="3"/>
  <c r="F680" i="3"/>
  <c r="F670" i="3"/>
  <c r="F658" i="3"/>
  <c r="F648" i="3"/>
  <c r="F638" i="3"/>
  <c r="F626" i="3"/>
  <c r="F616" i="3"/>
  <c r="F606" i="3"/>
  <c r="F594" i="3"/>
  <c r="F584" i="3"/>
  <c r="F574" i="3"/>
  <c r="F562" i="3"/>
  <c r="F552" i="3"/>
  <c r="F542" i="3"/>
  <c r="F530" i="3"/>
  <c r="F520" i="3"/>
  <c r="F510" i="3"/>
  <c r="F498" i="3"/>
  <c r="F488" i="3"/>
  <c r="F475" i="3"/>
  <c r="F459" i="3"/>
  <c r="F427" i="3"/>
  <c r="F395" i="3"/>
  <c r="F363" i="3"/>
  <c r="F331" i="3"/>
  <c r="F299" i="3"/>
  <c r="F267" i="3"/>
  <c r="F235" i="3"/>
  <c r="F203" i="3"/>
  <c r="F171" i="3"/>
  <c r="F139" i="3"/>
  <c r="F107" i="3"/>
  <c r="F75" i="3"/>
  <c r="F43" i="3"/>
  <c r="F991" i="3"/>
  <c r="F983" i="3"/>
  <c r="F975" i="3"/>
  <c r="F967" i="3"/>
  <c r="F959" i="3"/>
  <c r="F951" i="3"/>
  <c r="F943" i="3"/>
  <c r="F935" i="3"/>
  <c r="F927" i="3"/>
  <c r="F919" i="3"/>
  <c r="F911" i="3"/>
  <c r="F903" i="3"/>
  <c r="F895" i="3"/>
  <c r="F887" i="3"/>
  <c r="F879" i="3"/>
  <c r="F871" i="3"/>
  <c r="F863" i="3"/>
  <c r="F855" i="3"/>
  <c r="F847" i="3"/>
  <c r="F839" i="3"/>
  <c r="F831" i="3"/>
  <c r="F823" i="3"/>
  <c r="F815" i="3"/>
  <c r="F807" i="3"/>
  <c r="F799" i="3"/>
  <c r="F791" i="3"/>
  <c r="F783" i="3"/>
  <c r="F775" i="3"/>
  <c r="F767" i="3"/>
  <c r="F759" i="3"/>
  <c r="F751" i="3"/>
  <c r="F743" i="3"/>
  <c r="F735" i="3"/>
  <c r="F727" i="3"/>
  <c r="F719" i="3"/>
  <c r="F711" i="3"/>
  <c r="F703" i="3"/>
  <c r="F695" i="3"/>
  <c r="F687" i="3"/>
  <c r="F679" i="3"/>
  <c r="F667" i="3"/>
  <c r="F657" i="3"/>
  <c r="F647" i="3"/>
  <c r="F635" i="3"/>
  <c r="F625" i="3"/>
  <c r="F615" i="3"/>
  <c r="F603" i="3"/>
  <c r="F593" i="3"/>
  <c r="F583" i="3"/>
  <c r="F571" i="3"/>
  <c r="F561" i="3"/>
  <c r="F551" i="3"/>
  <c r="F539" i="3"/>
  <c r="F529" i="3"/>
  <c r="F519" i="3"/>
  <c r="F507" i="3"/>
  <c r="F497" i="3"/>
  <c r="F487" i="3"/>
  <c r="F474" i="3"/>
  <c r="F458" i="3"/>
  <c r="F426" i="3"/>
  <c r="F394" i="3"/>
  <c r="F362" i="3"/>
  <c r="F330" i="3"/>
  <c r="F298" i="3"/>
  <c r="F266" i="3"/>
  <c r="F234" i="3"/>
  <c r="F202" i="3"/>
  <c r="F170" i="3"/>
  <c r="F138" i="3"/>
  <c r="F106" i="3"/>
  <c r="F74" i="3"/>
  <c r="F42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2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R30" i="2" l="1"/>
  <c r="M5" i="2"/>
  <c r="W8" i="2"/>
  <c r="R12" i="2"/>
  <c r="K1" i="4" s="1"/>
  <c r="W18" i="2"/>
  <c r="W16" i="2"/>
  <c r="W11" i="2"/>
  <c r="W12" i="2"/>
  <c r="W9" i="2"/>
  <c r="V21" i="2"/>
  <c r="V22" i="2" s="1"/>
  <c r="V23" i="2" s="1"/>
  <c r="W19" i="2"/>
  <c r="W13" i="2"/>
  <c r="W17" i="2"/>
  <c r="W14" i="2"/>
  <c r="W10" i="2"/>
  <c r="W15" i="2"/>
  <c r="T21" i="2"/>
  <c r="T22" i="2" s="1"/>
  <c r="T23" i="2" s="1"/>
  <c r="M3" i="2"/>
  <c r="O30" i="2" s="1"/>
  <c r="N12" i="2"/>
  <c r="N14" i="2"/>
  <c r="N13" i="2"/>
  <c r="N9" i="2"/>
  <c r="N10" i="2"/>
  <c r="N16" i="2"/>
  <c r="N18" i="2"/>
  <c r="N11" i="2"/>
  <c r="N19" i="2"/>
  <c r="N15" i="2"/>
  <c r="N8" i="2"/>
  <c r="N17" i="2"/>
  <c r="O4" i="2"/>
  <c r="E587" i="2"/>
  <c r="A587" i="5"/>
  <c r="E539" i="2"/>
  <c r="A539" i="5"/>
  <c r="E483" i="2"/>
  <c r="A483" i="5"/>
  <c r="E443" i="2"/>
  <c r="A443" i="5"/>
  <c r="E411" i="2"/>
  <c r="A411" i="5"/>
  <c r="E371" i="2"/>
  <c r="A371" i="5"/>
  <c r="E339" i="2"/>
  <c r="A339" i="5"/>
  <c r="E291" i="2"/>
  <c r="A291" i="5"/>
  <c r="E251" i="2"/>
  <c r="A251" i="5"/>
  <c r="E147" i="2"/>
  <c r="A147" i="5"/>
  <c r="E591" i="2"/>
  <c r="A591" i="5"/>
  <c r="E583" i="2"/>
  <c r="A583" i="5"/>
  <c r="E575" i="2"/>
  <c r="A575" i="5"/>
  <c r="E567" i="2"/>
  <c r="A567" i="5"/>
  <c r="E559" i="2"/>
  <c r="A559" i="5"/>
  <c r="E551" i="2"/>
  <c r="A551" i="5"/>
  <c r="E543" i="2"/>
  <c r="A543" i="5"/>
  <c r="E535" i="2"/>
  <c r="A535" i="5"/>
  <c r="E527" i="2"/>
  <c r="A527" i="5"/>
  <c r="E519" i="2"/>
  <c r="A519" i="5"/>
  <c r="E511" i="2"/>
  <c r="A511" i="5"/>
  <c r="E503" i="2"/>
  <c r="A503" i="5"/>
  <c r="E495" i="2"/>
  <c r="A495" i="5"/>
  <c r="E487" i="2"/>
  <c r="A487" i="5"/>
  <c r="E479" i="2"/>
  <c r="A479" i="5"/>
  <c r="E471" i="2"/>
  <c r="A471" i="5"/>
  <c r="E463" i="2"/>
  <c r="A463" i="5"/>
  <c r="E455" i="2"/>
  <c r="A455" i="5"/>
  <c r="E447" i="2"/>
  <c r="A447" i="5"/>
  <c r="E439" i="2"/>
  <c r="A439" i="5"/>
  <c r="E431" i="2"/>
  <c r="A431" i="5"/>
  <c r="E423" i="2"/>
  <c r="A423" i="5"/>
  <c r="E415" i="2"/>
  <c r="A415" i="5"/>
  <c r="E407" i="2"/>
  <c r="A407" i="5"/>
  <c r="E399" i="2"/>
  <c r="A399" i="5"/>
  <c r="E391" i="2"/>
  <c r="A391" i="5"/>
  <c r="E383" i="2"/>
  <c r="A383" i="5"/>
  <c r="E375" i="2"/>
  <c r="A375" i="5"/>
  <c r="E367" i="2"/>
  <c r="A367" i="5"/>
  <c r="E359" i="2"/>
  <c r="A359" i="5"/>
  <c r="E351" i="2"/>
  <c r="A351" i="5"/>
  <c r="E343" i="2"/>
  <c r="A343" i="5"/>
  <c r="E335" i="2"/>
  <c r="A335" i="5"/>
  <c r="E327" i="2"/>
  <c r="A327" i="5"/>
  <c r="E319" i="2"/>
  <c r="A319" i="5"/>
  <c r="E311" i="2"/>
  <c r="A311" i="5"/>
  <c r="E303" i="2"/>
  <c r="A303" i="5"/>
  <c r="E295" i="2"/>
  <c r="A295" i="5"/>
  <c r="E287" i="2"/>
  <c r="A287" i="5"/>
  <c r="E279" i="2"/>
  <c r="A279" i="5"/>
  <c r="E271" i="2"/>
  <c r="A271" i="5"/>
  <c r="E263" i="2"/>
  <c r="A263" i="5"/>
  <c r="E255" i="2"/>
  <c r="A255" i="5"/>
  <c r="E247" i="2"/>
  <c r="A247" i="5"/>
  <c r="E239" i="2"/>
  <c r="A239" i="5"/>
  <c r="E231" i="2"/>
  <c r="A231" i="5"/>
  <c r="E223" i="2"/>
  <c r="A223" i="5"/>
  <c r="E215" i="2"/>
  <c r="A215" i="5"/>
  <c r="E207" i="2"/>
  <c r="A207" i="5"/>
  <c r="E199" i="2"/>
  <c r="A199" i="5"/>
  <c r="E191" i="2"/>
  <c r="A191" i="5"/>
  <c r="E183" i="2"/>
  <c r="A183" i="5"/>
  <c r="E175" i="2"/>
  <c r="A175" i="5"/>
  <c r="E167" i="2"/>
  <c r="A167" i="5"/>
  <c r="E159" i="2"/>
  <c r="A159" i="5"/>
  <c r="E151" i="2"/>
  <c r="A151" i="5"/>
  <c r="E143" i="2"/>
  <c r="A143" i="5"/>
  <c r="E135" i="2"/>
  <c r="A135" i="5"/>
  <c r="E127" i="2"/>
  <c r="A127" i="5"/>
  <c r="E119" i="2"/>
  <c r="A119" i="5"/>
  <c r="E111" i="2"/>
  <c r="A111" i="5"/>
  <c r="E103" i="2"/>
  <c r="A103" i="5"/>
  <c r="E95" i="2"/>
  <c r="A95" i="5"/>
  <c r="E87" i="2"/>
  <c r="A87" i="5"/>
  <c r="E79" i="2"/>
  <c r="A79" i="5"/>
  <c r="E71" i="2"/>
  <c r="A71" i="5"/>
  <c r="E63" i="2"/>
  <c r="A63" i="5"/>
  <c r="E55" i="2"/>
  <c r="A55" i="5"/>
  <c r="E47" i="2"/>
  <c r="A47" i="5"/>
  <c r="E39" i="2"/>
  <c r="A39" i="5"/>
  <c r="E31" i="2"/>
  <c r="A31" i="5"/>
  <c r="E23" i="2"/>
  <c r="F23" i="3" s="1"/>
  <c r="A23" i="5"/>
  <c r="E15" i="2"/>
  <c r="F15" i="3" s="1"/>
  <c r="A15" i="5"/>
  <c r="E7" i="2"/>
  <c r="F7" i="3" s="1"/>
  <c r="A7" i="5"/>
  <c r="E531" i="2"/>
  <c r="A531" i="5"/>
  <c r="E582" i="2"/>
  <c r="A582" i="5"/>
  <c r="E566" i="2"/>
  <c r="A566" i="5"/>
  <c r="E550" i="2"/>
  <c r="A550" i="5"/>
  <c r="E534" i="2"/>
  <c r="A534" i="5"/>
  <c r="E518" i="2"/>
  <c r="A518" i="5"/>
  <c r="E510" i="2"/>
  <c r="A510" i="5"/>
  <c r="E494" i="2"/>
  <c r="A494" i="5"/>
  <c r="E486" i="2"/>
  <c r="A486" i="5"/>
  <c r="E478" i="2"/>
  <c r="A478" i="5"/>
  <c r="E470" i="2"/>
  <c r="A470" i="5"/>
  <c r="E462" i="2"/>
  <c r="A462" i="5"/>
  <c r="E454" i="2"/>
  <c r="A454" i="5"/>
  <c r="E446" i="2"/>
  <c r="A446" i="5"/>
  <c r="E438" i="2"/>
  <c r="A438" i="5"/>
  <c r="E430" i="2"/>
  <c r="A430" i="5"/>
  <c r="E422" i="2"/>
  <c r="A422" i="5"/>
  <c r="E414" i="2"/>
  <c r="A414" i="5"/>
  <c r="E406" i="2"/>
  <c r="A406" i="5"/>
  <c r="E398" i="2"/>
  <c r="A398" i="5"/>
  <c r="E390" i="2"/>
  <c r="A390" i="5"/>
  <c r="E382" i="2"/>
  <c r="A382" i="5"/>
  <c r="E374" i="2"/>
  <c r="A374" i="5"/>
  <c r="E366" i="2"/>
  <c r="A366" i="5"/>
  <c r="E358" i="2"/>
  <c r="A358" i="5"/>
  <c r="E350" i="2"/>
  <c r="A350" i="5"/>
  <c r="E342" i="2"/>
  <c r="A342" i="5"/>
  <c r="E334" i="2"/>
  <c r="A334" i="5"/>
  <c r="E326" i="2"/>
  <c r="A326" i="5"/>
  <c r="E318" i="2"/>
  <c r="A318" i="5"/>
  <c r="E310" i="2"/>
  <c r="A310" i="5"/>
  <c r="E302" i="2"/>
  <c r="A302" i="5"/>
  <c r="E294" i="2"/>
  <c r="A294" i="5"/>
  <c r="E286" i="2"/>
  <c r="A286" i="5"/>
  <c r="E278" i="2"/>
  <c r="A278" i="5"/>
  <c r="E270" i="2"/>
  <c r="A270" i="5"/>
  <c r="E262" i="2"/>
  <c r="A262" i="5"/>
  <c r="E254" i="2"/>
  <c r="A254" i="5"/>
  <c r="E246" i="2"/>
  <c r="A246" i="5"/>
  <c r="E238" i="2"/>
  <c r="A238" i="5"/>
  <c r="E230" i="2"/>
  <c r="A230" i="5"/>
  <c r="E222" i="2"/>
  <c r="A222" i="5"/>
  <c r="E214" i="2"/>
  <c r="A214" i="5"/>
  <c r="E206" i="2"/>
  <c r="A206" i="5"/>
  <c r="E198" i="2"/>
  <c r="A198" i="5"/>
  <c r="E190" i="2"/>
  <c r="A190" i="5"/>
  <c r="E182" i="2"/>
  <c r="A182" i="5"/>
  <c r="E174" i="2"/>
  <c r="A174" i="5"/>
  <c r="E166" i="2"/>
  <c r="A166" i="5"/>
  <c r="E158" i="2"/>
  <c r="A158" i="5"/>
  <c r="E150" i="2"/>
  <c r="A150" i="5"/>
  <c r="E142" i="2"/>
  <c r="A142" i="5"/>
  <c r="E134" i="2"/>
  <c r="A134" i="5"/>
  <c r="E126" i="2"/>
  <c r="A126" i="5"/>
  <c r="E118" i="2"/>
  <c r="A118" i="5"/>
  <c r="E110" i="2"/>
  <c r="A110" i="5"/>
  <c r="E102" i="2"/>
  <c r="A102" i="5"/>
  <c r="E94" i="2"/>
  <c r="A94" i="5"/>
  <c r="E86" i="2"/>
  <c r="A86" i="5"/>
  <c r="E78" i="2"/>
  <c r="A78" i="5"/>
  <c r="E70" i="2"/>
  <c r="A70" i="5"/>
  <c r="E62" i="2"/>
  <c r="A62" i="5"/>
  <c r="E54" i="2"/>
  <c r="A54" i="5"/>
  <c r="E46" i="2"/>
  <c r="A46" i="5"/>
  <c r="E38" i="2"/>
  <c r="A38" i="5"/>
  <c r="E30" i="2"/>
  <c r="A30" i="5"/>
  <c r="E22" i="2"/>
  <c r="F22" i="3" s="1"/>
  <c r="A22" i="5"/>
  <c r="E14" i="2"/>
  <c r="A14" i="5"/>
  <c r="E6" i="2"/>
  <c r="A6" i="5"/>
  <c r="E2" i="2"/>
  <c r="A2" i="5"/>
  <c r="E589" i="2"/>
  <c r="A589" i="5"/>
  <c r="E581" i="2"/>
  <c r="A581" i="5"/>
  <c r="E573" i="2"/>
  <c r="A573" i="5"/>
  <c r="E565" i="2"/>
  <c r="A565" i="5"/>
  <c r="E557" i="2"/>
  <c r="A557" i="5"/>
  <c r="E549" i="2"/>
  <c r="A549" i="5"/>
  <c r="E541" i="2"/>
  <c r="A541" i="5"/>
  <c r="E533" i="2"/>
  <c r="A533" i="5"/>
  <c r="E525" i="2"/>
  <c r="A525" i="5"/>
  <c r="E517" i="2"/>
  <c r="A517" i="5"/>
  <c r="E509" i="2"/>
  <c r="A509" i="5"/>
  <c r="E501" i="2"/>
  <c r="A501" i="5"/>
  <c r="E493" i="2"/>
  <c r="A493" i="5"/>
  <c r="E485" i="2"/>
  <c r="A485" i="5"/>
  <c r="E477" i="2"/>
  <c r="A477" i="5"/>
  <c r="E469" i="2"/>
  <c r="A469" i="5"/>
  <c r="E461" i="2"/>
  <c r="A461" i="5"/>
  <c r="E453" i="2"/>
  <c r="A453" i="5"/>
  <c r="E445" i="2"/>
  <c r="A445" i="5"/>
  <c r="E437" i="2"/>
  <c r="A437" i="5"/>
  <c r="E429" i="2"/>
  <c r="A429" i="5"/>
  <c r="E421" i="2"/>
  <c r="A421" i="5"/>
  <c r="E413" i="2"/>
  <c r="A413" i="5"/>
  <c r="E405" i="2"/>
  <c r="A405" i="5"/>
  <c r="E397" i="2"/>
  <c r="A397" i="5"/>
  <c r="E389" i="2"/>
  <c r="A389" i="5"/>
  <c r="E381" i="2"/>
  <c r="A381" i="5"/>
  <c r="E373" i="2"/>
  <c r="A373" i="5"/>
  <c r="E365" i="2"/>
  <c r="A365" i="5"/>
  <c r="E357" i="2"/>
  <c r="A357" i="5"/>
  <c r="E349" i="2"/>
  <c r="A349" i="5"/>
  <c r="E341" i="2"/>
  <c r="A341" i="5"/>
  <c r="E333" i="2"/>
  <c r="A333" i="5"/>
  <c r="E325" i="2"/>
  <c r="A325" i="5"/>
  <c r="E317" i="2"/>
  <c r="A317" i="5"/>
  <c r="E309" i="2"/>
  <c r="A309" i="5"/>
  <c r="E301" i="2"/>
  <c r="A301" i="5"/>
  <c r="E293" i="2"/>
  <c r="A293" i="5"/>
  <c r="E285" i="2"/>
  <c r="A285" i="5"/>
  <c r="E277" i="2"/>
  <c r="A277" i="5"/>
  <c r="E269" i="2"/>
  <c r="A269" i="5"/>
  <c r="E261" i="2"/>
  <c r="A261" i="5"/>
  <c r="E253" i="2"/>
  <c r="A253" i="5"/>
  <c r="E245" i="2"/>
  <c r="A245" i="5"/>
  <c r="E237" i="2"/>
  <c r="A237" i="5"/>
  <c r="E229" i="2"/>
  <c r="A229" i="5"/>
  <c r="E221" i="2"/>
  <c r="A221" i="5"/>
  <c r="E213" i="2"/>
  <c r="A213" i="5"/>
  <c r="E205" i="2"/>
  <c r="A205" i="5"/>
  <c r="E197" i="2"/>
  <c r="A197" i="5"/>
  <c r="E189" i="2"/>
  <c r="A189" i="5"/>
  <c r="E181" i="2"/>
  <c r="A181" i="5"/>
  <c r="E173" i="2"/>
  <c r="A173" i="5"/>
  <c r="E165" i="2"/>
  <c r="A165" i="5"/>
  <c r="E157" i="2"/>
  <c r="A157" i="5"/>
  <c r="E149" i="2"/>
  <c r="A149" i="5"/>
  <c r="E141" i="2"/>
  <c r="A141" i="5"/>
  <c r="E133" i="2"/>
  <c r="A133" i="5"/>
  <c r="E125" i="2"/>
  <c r="A125" i="5"/>
  <c r="E117" i="2"/>
  <c r="A117" i="5"/>
  <c r="E109" i="2"/>
  <c r="A109" i="5"/>
  <c r="E101" i="2"/>
  <c r="A101" i="5"/>
  <c r="E93" i="2"/>
  <c r="A93" i="5"/>
  <c r="E85" i="2"/>
  <c r="A85" i="5"/>
  <c r="E77" i="2"/>
  <c r="A77" i="5"/>
  <c r="E69" i="2"/>
  <c r="A69" i="5"/>
  <c r="E61" i="2"/>
  <c r="A61" i="5"/>
  <c r="E53" i="2"/>
  <c r="A53" i="5"/>
  <c r="E45" i="2"/>
  <c r="A45" i="5"/>
  <c r="E37" i="2"/>
  <c r="A37" i="5"/>
  <c r="E29" i="2"/>
  <c r="A29" i="5"/>
  <c r="E21" i="2"/>
  <c r="F21" i="3" s="1"/>
  <c r="A21" i="5"/>
  <c r="E13" i="2"/>
  <c r="A13" i="5"/>
  <c r="E5" i="2"/>
  <c r="F5" i="3" s="1"/>
  <c r="A5" i="5"/>
  <c r="E515" i="2"/>
  <c r="A515" i="5"/>
  <c r="E590" i="2"/>
  <c r="A590" i="5"/>
  <c r="E574" i="2"/>
  <c r="A574" i="5"/>
  <c r="E558" i="2"/>
  <c r="A558" i="5"/>
  <c r="E542" i="2"/>
  <c r="A542" i="5"/>
  <c r="E526" i="2"/>
  <c r="A526" i="5"/>
  <c r="E502" i="2"/>
  <c r="A502" i="5"/>
  <c r="E596" i="2"/>
  <c r="A596" i="5"/>
  <c r="E588" i="2"/>
  <c r="A588" i="5"/>
  <c r="E580" i="2"/>
  <c r="A580" i="5"/>
  <c r="E572" i="2"/>
  <c r="A572" i="5"/>
  <c r="E564" i="2"/>
  <c r="A564" i="5"/>
  <c r="E556" i="2"/>
  <c r="A556" i="5"/>
  <c r="E548" i="2"/>
  <c r="A548" i="5"/>
  <c r="E540" i="2"/>
  <c r="A540" i="5"/>
  <c r="E532" i="2"/>
  <c r="A532" i="5"/>
  <c r="E524" i="2"/>
  <c r="A524" i="5"/>
  <c r="E516" i="2"/>
  <c r="A516" i="5"/>
  <c r="E508" i="2"/>
  <c r="A508" i="5"/>
  <c r="E500" i="2"/>
  <c r="A500" i="5"/>
  <c r="E492" i="2"/>
  <c r="A492" i="5"/>
  <c r="E484" i="2"/>
  <c r="A484" i="5"/>
  <c r="E476" i="2"/>
  <c r="A476" i="5"/>
  <c r="E468" i="2"/>
  <c r="A468" i="5"/>
  <c r="E460" i="2"/>
  <c r="A460" i="5"/>
  <c r="E452" i="2"/>
  <c r="A452" i="5"/>
  <c r="E444" i="2"/>
  <c r="A444" i="5"/>
  <c r="E436" i="2"/>
  <c r="A436" i="5"/>
  <c r="E428" i="2"/>
  <c r="A428" i="5"/>
  <c r="E420" i="2"/>
  <c r="A420" i="5"/>
  <c r="E412" i="2"/>
  <c r="A412" i="5"/>
  <c r="E404" i="2"/>
  <c r="A404" i="5"/>
  <c r="E396" i="2"/>
  <c r="A396" i="5"/>
  <c r="E388" i="2"/>
  <c r="A388" i="5"/>
  <c r="E380" i="2"/>
  <c r="A380" i="5"/>
  <c r="E372" i="2"/>
  <c r="A372" i="5"/>
  <c r="E364" i="2"/>
  <c r="A364" i="5"/>
  <c r="E356" i="2"/>
  <c r="A356" i="5"/>
  <c r="E348" i="2"/>
  <c r="A348" i="5"/>
  <c r="E340" i="2"/>
  <c r="A340" i="5"/>
  <c r="E332" i="2"/>
  <c r="A332" i="5"/>
  <c r="E324" i="2"/>
  <c r="A324" i="5"/>
  <c r="E316" i="2"/>
  <c r="A316" i="5"/>
  <c r="E308" i="2"/>
  <c r="A308" i="5"/>
  <c r="E300" i="2"/>
  <c r="A300" i="5"/>
  <c r="E292" i="2"/>
  <c r="A292" i="5"/>
  <c r="E284" i="2"/>
  <c r="A284" i="5"/>
  <c r="E276" i="2"/>
  <c r="A276" i="5"/>
  <c r="E268" i="2"/>
  <c r="A268" i="5"/>
  <c r="E260" i="2"/>
  <c r="A260" i="5"/>
  <c r="E252" i="2"/>
  <c r="A252" i="5"/>
  <c r="E244" i="2"/>
  <c r="A244" i="5"/>
  <c r="E236" i="2"/>
  <c r="A236" i="5"/>
  <c r="E228" i="2"/>
  <c r="A228" i="5"/>
  <c r="E220" i="2"/>
  <c r="A220" i="5"/>
  <c r="E212" i="2"/>
  <c r="A212" i="5"/>
  <c r="E204" i="2"/>
  <c r="A204" i="5"/>
  <c r="E196" i="2"/>
  <c r="A196" i="5"/>
  <c r="E188" i="2"/>
  <c r="A188" i="5"/>
  <c r="E180" i="2"/>
  <c r="A180" i="5"/>
  <c r="E172" i="2"/>
  <c r="A172" i="5"/>
  <c r="E164" i="2"/>
  <c r="A164" i="5"/>
  <c r="E156" i="2"/>
  <c r="A156" i="5"/>
  <c r="E148" i="2"/>
  <c r="A148" i="5"/>
  <c r="E140" i="2"/>
  <c r="A140" i="5"/>
  <c r="E132" i="2"/>
  <c r="A132" i="5"/>
  <c r="E124" i="2"/>
  <c r="A124" i="5"/>
  <c r="E116" i="2"/>
  <c r="A116" i="5"/>
  <c r="E108" i="2"/>
  <c r="A108" i="5"/>
  <c r="E100" i="2"/>
  <c r="A100" i="5"/>
  <c r="E92" i="2"/>
  <c r="A92" i="5"/>
  <c r="E84" i="2"/>
  <c r="A84" i="5"/>
  <c r="E76" i="2"/>
  <c r="A76" i="5"/>
  <c r="E68" i="2"/>
  <c r="A68" i="5"/>
  <c r="E60" i="2"/>
  <c r="A60" i="5"/>
  <c r="E52" i="2"/>
  <c r="A52" i="5"/>
  <c r="E44" i="2"/>
  <c r="A44" i="5"/>
  <c r="E36" i="2"/>
  <c r="A36" i="5"/>
  <c r="E28" i="2"/>
  <c r="A28" i="5"/>
  <c r="E20" i="2"/>
  <c r="F20" i="3" s="1"/>
  <c r="A20" i="5"/>
  <c r="E12" i="2"/>
  <c r="A12" i="5"/>
  <c r="E571" i="2"/>
  <c r="A571" i="5"/>
  <c r="E507" i="2"/>
  <c r="A507" i="5"/>
  <c r="E467" i="2"/>
  <c r="A467" i="5"/>
  <c r="E427" i="2"/>
  <c r="A427" i="5"/>
  <c r="E379" i="2"/>
  <c r="A379" i="5"/>
  <c r="E347" i="2"/>
  <c r="A347" i="5"/>
  <c r="E323" i="2"/>
  <c r="A323" i="5"/>
  <c r="E283" i="2"/>
  <c r="A283" i="5"/>
  <c r="E267" i="2"/>
  <c r="A267" i="5"/>
  <c r="E227" i="2"/>
  <c r="A227" i="5"/>
  <c r="E195" i="2"/>
  <c r="A195" i="5"/>
  <c r="E179" i="2"/>
  <c r="A179" i="5"/>
  <c r="E171" i="2"/>
  <c r="A171" i="5"/>
  <c r="E163" i="2"/>
  <c r="A163" i="5"/>
  <c r="E155" i="2"/>
  <c r="A155" i="5"/>
  <c r="E123" i="2"/>
  <c r="A123" i="5"/>
  <c r="E107" i="2"/>
  <c r="A107" i="5"/>
  <c r="E99" i="2"/>
  <c r="A99" i="5"/>
  <c r="E91" i="2"/>
  <c r="A91" i="5"/>
  <c r="E83" i="2"/>
  <c r="A83" i="5"/>
  <c r="E75" i="2"/>
  <c r="A75" i="5"/>
  <c r="E67" i="2"/>
  <c r="A67" i="5"/>
  <c r="E59" i="2"/>
  <c r="A59" i="5"/>
  <c r="E51" i="2"/>
  <c r="A51" i="5"/>
  <c r="E43" i="2"/>
  <c r="A43" i="5"/>
  <c r="E35" i="2"/>
  <c r="A35" i="5"/>
  <c r="E27" i="2"/>
  <c r="A27" i="5"/>
  <c r="E19" i="2"/>
  <c r="F19" i="3" s="1"/>
  <c r="A19" i="5"/>
  <c r="E11" i="2"/>
  <c r="A11" i="5"/>
  <c r="E3" i="2"/>
  <c r="A3" i="5"/>
  <c r="E595" i="2"/>
  <c r="A595" i="5"/>
  <c r="E563" i="2"/>
  <c r="A563" i="5"/>
  <c r="E523" i="2"/>
  <c r="A523" i="5"/>
  <c r="E475" i="2"/>
  <c r="A475" i="5"/>
  <c r="E435" i="2"/>
  <c r="A435" i="5"/>
  <c r="E403" i="2"/>
  <c r="A403" i="5"/>
  <c r="E363" i="2"/>
  <c r="A363" i="5"/>
  <c r="E315" i="2"/>
  <c r="A315" i="5"/>
  <c r="E275" i="2"/>
  <c r="A275" i="5"/>
  <c r="E235" i="2"/>
  <c r="A235" i="5"/>
  <c r="E219" i="2"/>
  <c r="A219" i="5"/>
  <c r="E131" i="2"/>
  <c r="A131" i="5"/>
  <c r="E594" i="2"/>
  <c r="A594" i="5"/>
  <c r="E586" i="2"/>
  <c r="A586" i="5"/>
  <c r="E578" i="2"/>
  <c r="A578" i="5"/>
  <c r="E570" i="2"/>
  <c r="A570" i="5"/>
  <c r="E562" i="2"/>
  <c r="A562" i="5"/>
  <c r="E554" i="2"/>
  <c r="A554" i="5"/>
  <c r="E546" i="2"/>
  <c r="A546" i="5"/>
  <c r="E538" i="2"/>
  <c r="A538" i="5"/>
  <c r="E530" i="2"/>
  <c r="A530" i="5"/>
  <c r="E522" i="2"/>
  <c r="A522" i="5"/>
  <c r="E514" i="2"/>
  <c r="A514" i="5"/>
  <c r="E506" i="2"/>
  <c r="A506" i="5"/>
  <c r="E498" i="2"/>
  <c r="A498" i="5"/>
  <c r="E490" i="2"/>
  <c r="A490" i="5"/>
  <c r="E482" i="2"/>
  <c r="A482" i="5"/>
  <c r="E474" i="2"/>
  <c r="A474" i="5"/>
  <c r="E466" i="2"/>
  <c r="A466" i="5"/>
  <c r="E458" i="2"/>
  <c r="A458" i="5"/>
  <c r="E450" i="2"/>
  <c r="A450" i="5"/>
  <c r="E442" i="2"/>
  <c r="A442" i="5"/>
  <c r="E434" i="2"/>
  <c r="A434" i="5"/>
  <c r="E426" i="2"/>
  <c r="A426" i="5"/>
  <c r="E418" i="2"/>
  <c r="A418" i="5"/>
  <c r="E410" i="2"/>
  <c r="A410" i="5"/>
  <c r="E402" i="2"/>
  <c r="A402" i="5"/>
  <c r="E394" i="2"/>
  <c r="A394" i="5"/>
  <c r="E386" i="2"/>
  <c r="A386" i="5"/>
  <c r="E378" i="2"/>
  <c r="A378" i="5"/>
  <c r="E370" i="2"/>
  <c r="A370" i="5"/>
  <c r="E362" i="2"/>
  <c r="A362" i="5"/>
  <c r="E354" i="2"/>
  <c r="A354" i="5"/>
  <c r="E346" i="2"/>
  <c r="A346" i="5"/>
  <c r="E338" i="2"/>
  <c r="A338" i="5"/>
  <c r="E330" i="2"/>
  <c r="A330" i="5"/>
  <c r="E322" i="2"/>
  <c r="A322" i="5"/>
  <c r="E314" i="2"/>
  <c r="A314" i="5"/>
  <c r="E306" i="2"/>
  <c r="A306" i="5"/>
  <c r="E298" i="2"/>
  <c r="A298" i="5"/>
  <c r="E290" i="2"/>
  <c r="A290" i="5"/>
  <c r="E282" i="2"/>
  <c r="A282" i="5"/>
  <c r="E274" i="2"/>
  <c r="A274" i="5"/>
  <c r="E266" i="2"/>
  <c r="A266" i="5"/>
  <c r="E258" i="2"/>
  <c r="A258" i="5"/>
  <c r="E250" i="2"/>
  <c r="A250" i="5"/>
  <c r="E242" i="2"/>
  <c r="A242" i="5"/>
  <c r="E234" i="2"/>
  <c r="A234" i="5"/>
  <c r="E226" i="2"/>
  <c r="A226" i="5"/>
  <c r="E218" i="2"/>
  <c r="A218" i="5"/>
  <c r="E210" i="2"/>
  <c r="A210" i="5"/>
  <c r="E202" i="2"/>
  <c r="A202" i="5"/>
  <c r="E194" i="2"/>
  <c r="A194" i="5"/>
  <c r="E186" i="2"/>
  <c r="A186" i="5"/>
  <c r="E178" i="2"/>
  <c r="A178" i="5"/>
  <c r="E170" i="2"/>
  <c r="A170" i="5"/>
  <c r="E162" i="2"/>
  <c r="A162" i="5"/>
  <c r="E154" i="2"/>
  <c r="A154" i="5"/>
  <c r="E146" i="2"/>
  <c r="A146" i="5"/>
  <c r="E138" i="2"/>
  <c r="A138" i="5"/>
  <c r="E130" i="2"/>
  <c r="A130" i="5"/>
  <c r="E122" i="2"/>
  <c r="A122" i="5"/>
  <c r="E114" i="2"/>
  <c r="A114" i="5"/>
  <c r="E106" i="2"/>
  <c r="A106" i="5"/>
  <c r="E98" i="2"/>
  <c r="A98" i="5"/>
  <c r="E90" i="2"/>
  <c r="A90" i="5"/>
  <c r="E82" i="2"/>
  <c r="A82" i="5"/>
  <c r="E74" i="2"/>
  <c r="A74" i="5"/>
  <c r="E66" i="2"/>
  <c r="A66" i="5"/>
  <c r="E58" i="2"/>
  <c r="A58" i="5"/>
  <c r="E50" i="2"/>
  <c r="A50" i="5"/>
  <c r="E42" i="2"/>
  <c r="A42" i="5"/>
  <c r="E34" i="2"/>
  <c r="A34" i="5"/>
  <c r="E26" i="2"/>
  <c r="A26" i="5"/>
  <c r="E18" i="2"/>
  <c r="F18" i="3" s="1"/>
  <c r="A18" i="5"/>
  <c r="E10" i="2"/>
  <c r="F10" i="3" s="1"/>
  <c r="A10" i="5"/>
  <c r="E579" i="2"/>
  <c r="A579" i="5"/>
  <c r="E555" i="2"/>
  <c r="A555" i="5"/>
  <c r="E499" i="2"/>
  <c r="A499" i="5"/>
  <c r="E459" i="2"/>
  <c r="A459" i="5"/>
  <c r="E387" i="2"/>
  <c r="A387" i="5"/>
  <c r="E331" i="2"/>
  <c r="A331" i="5"/>
  <c r="E299" i="2"/>
  <c r="A299" i="5"/>
  <c r="E243" i="2"/>
  <c r="A243" i="5"/>
  <c r="E203" i="2"/>
  <c r="A203" i="5"/>
  <c r="E187" i="2"/>
  <c r="A187" i="5"/>
  <c r="E139" i="2"/>
  <c r="A139" i="5"/>
  <c r="E593" i="2"/>
  <c r="A593" i="5"/>
  <c r="E585" i="2"/>
  <c r="A585" i="5"/>
  <c r="E577" i="2"/>
  <c r="A577" i="5"/>
  <c r="E569" i="2"/>
  <c r="A569" i="5"/>
  <c r="E561" i="2"/>
  <c r="A561" i="5"/>
  <c r="E553" i="2"/>
  <c r="A553" i="5"/>
  <c r="E545" i="2"/>
  <c r="A545" i="5"/>
  <c r="E537" i="2"/>
  <c r="A537" i="5"/>
  <c r="E529" i="2"/>
  <c r="A529" i="5"/>
  <c r="E521" i="2"/>
  <c r="A521" i="5"/>
  <c r="E513" i="2"/>
  <c r="A513" i="5"/>
  <c r="E505" i="2"/>
  <c r="A505" i="5"/>
  <c r="E497" i="2"/>
  <c r="A497" i="5"/>
  <c r="E489" i="2"/>
  <c r="A489" i="5"/>
  <c r="E481" i="2"/>
  <c r="A481" i="5"/>
  <c r="E473" i="2"/>
  <c r="A473" i="5"/>
  <c r="E465" i="2"/>
  <c r="A465" i="5"/>
  <c r="E457" i="2"/>
  <c r="A457" i="5"/>
  <c r="E449" i="2"/>
  <c r="A449" i="5"/>
  <c r="E441" i="2"/>
  <c r="A441" i="5"/>
  <c r="E433" i="2"/>
  <c r="A433" i="5"/>
  <c r="E425" i="2"/>
  <c r="A425" i="5"/>
  <c r="E417" i="2"/>
  <c r="A417" i="5"/>
  <c r="E409" i="2"/>
  <c r="A409" i="5"/>
  <c r="E401" i="2"/>
  <c r="A401" i="5"/>
  <c r="E393" i="2"/>
  <c r="A393" i="5"/>
  <c r="E385" i="2"/>
  <c r="A385" i="5"/>
  <c r="E377" i="2"/>
  <c r="A377" i="5"/>
  <c r="E369" i="2"/>
  <c r="A369" i="5"/>
  <c r="E361" i="2"/>
  <c r="A361" i="5"/>
  <c r="E353" i="2"/>
  <c r="A353" i="5"/>
  <c r="E345" i="2"/>
  <c r="A345" i="5"/>
  <c r="E337" i="2"/>
  <c r="A337" i="5"/>
  <c r="E329" i="2"/>
  <c r="A329" i="5"/>
  <c r="E321" i="2"/>
  <c r="A321" i="5"/>
  <c r="E313" i="2"/>
  <c r="A313" i="5"/>
  <c r="E305" i="2"/>
  <c r="A305" i="5"/>
  <c r="E297" i="2"/>
  <c r="A297" i="5"/>
  <c r="E289" i="2"/>
  <c r="A289" i="5"/>
  <c r="E281" i="2"/>
  <c r="A281" i="5"/>
  <c r="E273" i="2"/>
  <c r="A273" i="5"/>
  <c r="E265" i="2"/>
  <c r="A265" i="5"/>
  <c r="E257" i="2"/>
  <c r="A257" i="5"/>
  <c r="E249" i="2"/>
  <c r="A249" i="5"/>
  <c r="E241" i="2"/>
  <c r="A241" i="5"/>
  <c r="E233" i="2"/>
  <c r="A233" i="5"/>
  <c r="E225" i="2"/>
  <c r="A225" i="5"/>
  <c r="E217" i="2"/>
  <c r="A217" i="5"/>
  <c r="E209" i="2"/>
  <c r="A209" i="5"/>
  <c r="E201" i="2"/>
  <c r="A201" i="5"/>
  <c r="E193" i="2"/>
  <c r="A193" i="5"/>
  <c r="E185" i="2"/>
  <c r="A185" i="5"/>
  <c r="E177" i="2"/>
  <c r="A177" i="5"/>
  <c r="E169" i="2"/>
  <c r="A169" i="5"/>
  <c r="E161" i="2"/>
  <c r="A161" i="5"/>
  <c r="E153" i="2"/>
  <c r="A153" i="5"/>
  <c r="E145" i="2"/>
  <c r="A145" i="5"/>
  <c r="E137" i="2"/>
  <c r="A137" i="5"/>
  <c r="E129" i="2"/>
  <c r="A129" i="5"/>
  <c r="E121" i="2"/>
  <c r="A121" i="5"/>
  <c r="E113" i="2"/>
  <c r="A113" i="5"/>
  <c r="E105" i="2"/>
  <c r="A105" i="5"/>
  <c r="E97" i="2"/>
  <c r="A97" i="5"/>
  <c r="E89" i="2"/>
  <c r="A89" i="5"/>
  <c r="E81" i="2"/>
  <c r="A81" i="5"/>
  <c r="E73" i="2"/>
  <c r="A73" i="5"/>
  <c r="E65" i="2"/>
  <c r="A65" i="5"/>
  <c r="E57" i="2"/>
  <c r="A57" i="5"/>
  <c r="E49" i="2"/>
  <c r="A49" i="5"/>
  <c r="E41" i="2"/>
  <c r="A41" i="5"/>
  <c r="E33" i="2"/>
  <c r="A33" i="5"/>
  <c r="E25" i="2"/>
  <c r="A25" i="5"/>
  <c r="E17" i="2"/>
  <c r="F17" i="3" s="1"/>
  <c r="A17" i="5"/>
  <c r="E9" i="2"/>
  <c r="F9" i="3" s="1"/>
  <c r="A9" i="5"/>
  <c r="E547" i="2"/>
  <c r="A547" i="5"/>
  <c r="E491" i="2"/>
  <c r="A491" i="5"/>
  <c r="E451" i="2"/>
  <c r="A451" i="5"/>
  <c r="E419" i="2"/>
  <c r="A419" i="5"/>
  <c r="E395" i="2"/>
  <c r="A395" i="5"/>
  <c r="E355" i="2"/>
  <c r="A355" i="5"/>
  <c r="E307" i="2"/>
  <c r="A307" i="5"/>
  <c r="E259" i="2"/>
  <c r="A259" i="5"/>
  <c r="E211" i="2"/>
  <c r="A211" i="5"/>
  <c r="E115" i="2"/>
  <c r="A115" i="5"/>
  <c r="E592" i="2"/>
  <c r="A592" i="5"/>
  <c r="E584" i="2"/>
  <c r="A584" i="5"/>
  <c r="E576" i="2"/>
  <c r="A576" i="5"/>
  <c r="E568" i="2"/>
  <c r="A568" i="5"/>
  <c r="E560" i="2"/>
  <c r="A560" i="5"/>
  <c r="E552" i="2"/>
  <c r="A552" i="5"/>
  <c r="E544" i="2"/>
  <c r="A544" i="5"/>
  <c r="E536" i="2"/>
  <c r="A536" i="5"/>
  <c r="E528" i="2"/>
  <c r="A528" i="5"/>
  <c r="E520" i="2"/>
  <c r="A520" i="5"/>
  <c r="E512" i="2"/>
  <c r="A512" i="5"/>
  <c r="E504" i="2"/>
  <c r="A504" i="5"/>
  <c r="E496" i="2"/>
  <c r="A496" i="5"/>
  <c r="E488" i="2"/>
  <c r="A488" i="5"/>
  <c r="E480" i="2"/>
  <c r="A480" i="5"/>
  <c r="E472" i="2"/>
  <c r="A472" i="5"/>
  <c r="E464" i="2"/>
  <c r="A464" i="5"/>
  <c r="E456" i="2"/>
  <c r="A456" i="5"/>
  <c r="E448" i="2"/>
  <c r="A448" i="5"/>
  <c r="E440" i="2"/>
  <c r="A440" i="5"/>
  <c r="E432" i="2"/>
  <c r="A432" i="5"/>
  <c r="E424" i="2"/>
  <c r="A424" i="5"/>
  <c r="E416" i="2"/>
  <c r="A416" i="5"/>
  <c r="E408" i="2"/>
  <c r="A408" i="5"/>
  <c r="E400" i="2"/>
  <c r="A400" i="5"/>
  <c r="E392" i="2"/>
  <c r="A392" i="5"/>
  <c r="E384" i="2"/>
  <c r="A384" i="5"/>
  <c r="E376" i="2"/>
  <c r="A376" i="5"/>
  <c r="E368" i="2"/>
  <c r="A368" i="5"/>
  <c r="E360" i="2"/>
  <c r="A360" i="5"/>
  <c r="E352" i="2"/>
  <c r="A352" i="5"/>
  <c r="E344" i="2"/>
  <c r="A344" i="5"/>
  <c r="E336" i="2"/>
  <c r="A336" i="5"/>
  <c r="E328" i="2"/>
  <c r="A328" i="5"/>
  <c r="E320" i="2"/>
  <c r="A320" i="5"/>
  <c r="E312" i="2"/>
  <c r="A312" i="5"/>
  <c r="E304" i="2"/>
  <c r="A304" i="5"/>
  <c r="E296" i="2"/>
  <c r="A296" i="5"/>
  <c r="E288" i="2"/>
  <c r="A288" i="5"/>
  <c r="E280" i="2"/>
  <c r="A280" i="5"/>
  <c r="E272" i="2"/>
  <c r="A272" i="5"/>
  <c r="E264" i="2"/>
  <c r="A264" i="5"/>
  <c r="E256" i="2"/>
  <c r="A256" i="5"/>
  <c r="E248" i="2"/>
  <c r="A248" i="5"/>
  <c r="E240" i="2"/>
  <c r="A240" i="5"/>
  <c r="E232" i="2"/>
  <c r="A232" i="5"/>
  <c r="E224" i="2"/>
  <c r="A224" i="5"/>
  <c r="E216" i="2"/>
  <c r="A216" i="5"/>
  <c r="E208" i="2"/>
  <c r="A208" i="5"/>
  <c r="E200" i="2"/>
  <c r="A200" i="5"/>
  <c r="E192" i="2"/>
  <c r="A192" i="5"/>
  <c r="E184" i="2"/>
  <c r="A184" i="5"/>
  <c r="E176" i="2"/>
  <c r="A176" i="5"/>
  <c r="E168" i="2"/>
  <c r="A168" i="5"/>
  <c r="E160" i="2"/>
  <c r="A160" i="5"/>
  <c r="E152" i="2"/>
  <c r="A152" i="5"/>
  <c r="E144" i="2"/>
  <c r="A144" i="5"/>
  <c r="E136" i="2"/>
  <c r="A136" i="5"/>
  <c r="E128" i="2"/>
  <c r="A128" i="5"/>
  <c r="E120" i="2"/>
  <c r="A120" i="5"/>
  <c r="E112" i="2"/>
  <c r="A112" i="5"/>
  <c r="E104" i="2"/>
  <c r="A104" i="5"/>
  <c r="E96" i="2"/>
  <c r="A96" i="5"/>
  <c r="E88" i="2"/>
  <c r="A88" i="5"/>
  <c r="E80" i="2"/>
  <c r="A80" i="5"/>
  <c r="E72" i="2"/>
  <c r="A72" i="5"/>
  <c r="E64" i="2"/>
  <c r="A64" i="5"/>
  <c r="E56" i="2"/>
  <c r="A56" i="5"/>
  <c r="E48" i="2"/>
  <c r="A48" i="5"/>
  <c r="E40" i="2"/>
  <c r="A40" i="5"/>
  <c r="E32" i="2"/>
  <c r="A32" i="5"/>
  <c r="E24" i="2"/>
  <c r="A24" i="5"/>
  <c r="E16" i="2"/>
  <c r="F16" i="3" s="1"/>
  <c r="A16" i="5"/>
  <c r="E8" i="2"/>
  <c r="F8" i="3" s="1"/>
  <c r="A8" i="5"/>
  <c r="E4" i="2"/>
  <c r="A4" i="5"/>
  <c r="S30" i="2" l="1"/>
  <c r="F6" i="3"/>
  <c r="F11" i="3"/>
  <c r="F13" i="3"/>
  <c r="F12" i="3"/>
  <c r="F14" i="3"/>
  <c r="N30" i="2"/>
  <c r="N31" i="2" s="1"/>
  <c r="N32" i="2"/>
  <c r="F2" i="7"/>
  <c r="X11" i="2"/>
  <c r="F5" i="7"/>
  <c r="F6" i="7"/>
  <c r="F4" i="3"/>
  <c r="F4" i="7"/>
  <c r="X8" i="2"/>
  <c r="X15" i="2"/>
  <c r="X18" i="2"/>
  <c r="X17" i="2"/>
  <c r="X9" i="2"/>
  <c r="X14" i="2"/>
  <c r="X12" i="2"/>
  <c r="X13" i="2"/>
  <c r="X19" i="2"/>
  <c r="X10" i="2"/>
  <c r="X16" i="2"/>
  <c r="F3" i="3"/>
  <c r="F3" i="9"/>
  <c r="F3" i="7"/>
  <c r="F2" i="8"/>
  <c r="E152" i="5" s="1"/>
  <c r="F2" i="3"/>
  <c r="F2" i="9"/>
  <c r="C313" i="5" l="1"/>
  <c r="C472" i="5"/>
  <c r="D198" i="5"/>
  <c r="C7" i="5"/>
  <c r="C206" i="5"/>
  <c r="C212" i="5"/>
  <c r="D39" i="5"/>
  <c r="C467" i="5"/>
  <c r="D308" i="5"/>
  <c r="D391" i="5"/>
  <c r="D467" i="5"/>
  <c r="D594" i="5"/>
  <c r="D357" i="5"/>
  <c r="D114" i="5"/>
  <c r="D142" i="5"/>
  <c r="C15" i="5"/>
  <c r="C197" i="5"/>
  <c r="C18" i="5"/>
  <c r="C461" i="5"/>
  <c r="D558" i="5"/>
  <c r="D441" i="5"/>
  <c r="D359" i="5"/>
  <c r="D7" i="5"/>
  <c r="D110" i="5"/>
  <c r="D261" i="5"/>
  <c r="D596" i="5"/>
  <c r="D244" i="5"/>
  <c r="D498" i="5"/>
  <c r="D50" i="5"/>
  <c r="D409" i="5"/>
  <c r="D115" i="5"/>
  <c r="D152" i="5"/>
  <c r="D345" i="5"/>
  <c r="D568" i="5"/>
  <c r="D120" i="5"/>
  <c r="D25" i="5"/>
  <c r="D184" i="5"/>
  <c r="D430" i="5"/>
  <c r="D564" i="5"/>
  <c r="D323" i="5"/>
  <c r="D398" i="5"/>
  <c r="D500" i="5"/>
  <c r="D468" i="5"/>
  <c r="D180" i="5"/>
  <c r="D59" i="5"/>
  <c r="D338" i="5"/>
  <c r="D139" i="5"/>
  <c r="D217" i="5"/>
  <c r="D440" i="5"/>
  <c r="D415" i="5"/>
  <c r="D471" i="5"/>
  <c r="D263" i="5"/>
  <c r="D549" i="5"/>
  <c r="D583" i="5"/>
  <c r="D135" i="5"/>
  <c r="D334" i="5"/>
  <c r="D517" i="5"/>
  <c r="D101" i="5"/>
  <c r="D436" i="5"/>
  <c r="D116" i="5"/>
  <c r="D27" i="5"/>
  <c r="D306" i="5"/>
  <c r="D569" i="5"/>
  <c r="D185" i="5"/>
  <c r="D408" i="5"/>
  <c r="D159" i="5"/>
  <c r="D248" i="5"/>
  <c r="D195" i="5"/>
  <c r="D434" i="5"/>
  <c r="D499" i="5"/>
  <c r="D281" i="5"/>
  <c r="D479" i="5"/>
  <c r="D291" i="5"/>
  <c r="D366" i="5"/>
  <c r="D551" i="5"/>
  <c r="D103" i="5"/>
  <c r="D302" i="5"/>
  <c r="D421" i="5"/>
  <c r="D69" i="5"/>
  <c r="D372" i="5"/>
  <c r="D84" i="5"/>
  <c r="C27" i="5"/>
  <c r="D178" i="5"/>
  <c r="D537" i="5"/>
  <c r="D153" i="5"/>
  <c r="D312" i="5"/>
  <c r="D531" i="5"/>
  <c r="D327" i="5"/>
  <c r="D78" i="5"/>
  <c r="D229" i="5"/>
  <c r="D212" i="5"/>
  <c r="D466" i="5"/>
  <c r="D443" i="5"/>
  <c r="D295" i="5"/>
  <c r="D581" i="5"/>
  <c r="D197" i="5"/>
  <c r="D519" i="5"/>
  <c r="D71" i="5"/>
  <c r="D174" i="5"/>
  <c r="D389" i="5"/>
  <c r="D37" i="5"/>
  <c r="D340" i="5"/>
  <c r="D52" i="5"/>
  <c r="D275" i="5"/>
  <c r="D146" i="5"/>
  <c r="C473" i="5"/>
  <c r="C57" i="5"/>
  <c r="D280" i="5"/>
  <c r="C483" i="5"/>
  <c r="C443" i="5"/>
  <c r="C596" i="5"/>
  <c r="C372" i="5"/>
  <c r="C14" i="5"/>
  <c r="C101" i="5"/>
  <c r="C25" i="5"/>
  <c r="C340" i="5"/>
  <c r="C116" i="5"/>
  <c r="C195" i="5"/>
  <c r="C275" i="5"/>
  <c r="C370" i="5"/>
  <c r="C146" i="5"/>
  <c r="C139" i="5"/>
  <c r="C152" i="5"/>
  <c r="C78" i="5"/>
  <c r="C389" i="5"/>
  <c r="C500" i="5"/>
  <c r="C115" i="5"/>
  <c r="C312" i="5"/>
  <c r="C435" i="5"/>
  <c r="C466" i="5"/>
  <c r="C178" i="5"/>
  <c r="C335" i="5"/>
  <c r="C22" i="5"/>
  <c r="C263" i="5"/>
  <c r="C302" i="5"/>
  <c r="C261" i="5"/>
  <c r="C84" i="5"/>
  <c r="C594" i="5"/>
  <c r="C338" i="5"/>
  <c r="C569" i="5"/>
  <c r="C345" i="5"/>
  <c r="C153" i="5"/>
  <c r="C56" i="5"/>
  <c r="D38" i="5"/>
  <c r="C184" i="5"/>
  <c r="C441" i="5"/>
  <c r="C217" i="5"/>
  <c r="C367" i="5"/>
  <c r="C278" i="5"/>
  <c r="C327" i="5"/>
  <c r="C334" i="5"/>
  <c r="C581" i="5"/>
  <c r="C69" i="5"/>
  <c r="C91" i="5"/>
  <c r="C303" i="5"/>
  <c r="C589" i="5"/>
  <c r="C231" i="5"/>
  <c r="C270" i="5"/>
  <c r="C468" i="5"/>
  <c r="C244" i="5"/>
  <c r="C59" i="5"/>
  <c r="C50" i="5"/>
  <c r="D313" i="5"/>
  <c r="C89" i="5"/>
  <c r="C568" i="5"/>
  <c r="C280" i="5"/>
  <c r="C24" i="5"/>
  <c r="D294" i="5"/>
  <c r="D556" i="5"/>
  <c r="C470" i="5"/>
  <c r="C550" i="5"/>
  <c r="C339" i="5"/>
  <c r="C406" i="5"/>
  <c r="C455" i="5"/>
  <c r="C494" i="5"/>
  <c r="C399" i="5"/>
  <c r="C342" i="5"/>
  <c r="C423" i="5"/>
  <c r="C462" i="5"/>
  <c r="C271" i="5"/>
  <c r="C525" i="5"/>
  <c r="C71" i="5"/>
  <c r="C238" i="5"/>
  <c r="C453" i="5"/>
  <c r="C558" i="5"/>
  <c r="C498" i="5"/>
  <c r="C306" i="5"/>
  <c r="D18" i="5"/>
  <c r="D473" i="5"/>
  <c r="D57" i="5"/>
  <c r="D472" i="5"/>
  <c r="D587" i="5"/>
  <c r="D497" i="5"/>
  <c r="E295" i="5"/>
  <c r="E588" i="5"/>
  <c r="E427" i="5"/>
  <c r="E286" i="5"/>
  <c r="E22" i="5"/>
  <c r="E334" i="5"/>
  <c r="E490" i="5"/>
  <c r="E529" i="5"/>
  <c r="E228" i="5"/>
  <c r="E3" i="5"/>
  <c r="D573" i="5"/>
  <c r="D375" i="5"/>
  <c r="D260" i="5"/>
  <c r="E110" i="5"/>
  <c r="E74" i="5"/>
  <c r="E401" i="5"/>
  <c r="E363" i="5"/>
  <c r="E434" i="5"/>
  <c r="D285" i="5"/>
  <c r="D254" i="5"/>
  <c r="D176" i="5"/>
  <c r="E197" i="5"/>
  <c r="E447" i="5"/>
  <c r="E452" i="5"/>
  <c r="E205" i="5"/>
  <c r="E345" i="5"/>
  <c r="D223" i="5"/>
  <c r="D29" i="5"/>
  <c r="D158" i="5"/>
  <c r="D194" i="5"/>
  <c r="E558" i="5"/>
  <c r="E383" i="5"/>
  <c r="E379" i="5"/>
  <c r="E348" i="5"/>
  <c r="E440" i="5"/>
  <c r="D143" i="5"/>
  <c r="E116" i="5"/>
  <c r="E422" i="5"/>
  <c r="E489" i="5"/>
  <c r="E186" i="5"/>
  <c r="E408" i="5"/>
  <c r="D282" i="5"/>
  <c r="E52" i="5"/>
  <c r="E166" i="5"/>
  <c r="E535" i="5"/>
  <c r="E527" i="5"/>
  <c r="E169" i="5"/>
  <c r="D24" i="5"/>
  <c r="E359" i="5"/>
  <c r="E349" i="5"/>
  <c r="E428" i="5"/>
  <c r="E582" i="5"/>
  <c r="E310" i="5"/>
  <c r="E161" i="5"/>
  <c r="D527" i="5"/>
  <c r="D579" i="5"/>
  <c r="D514" i="5"/>
  <c r="D123" i="5"/>
  <c r="D277" i="5"/>
  <c r="D446" i="5"/>
  <c r="D371" i="5"/>
  <c r="D125" i="5"/>
  <c r="D230" i="5"/>
  <c r="D191" i="5"/>
  <c r="D2" i="5"/>
  <c r="D3" i="5"/>
  <c r="D444" i="5"/>
  <c r="D589" i="5"/>
  <c r="D215" i="5"/>
  <c r="D565" i="5"/>
  <c r="D332" i="5"/>
  <c r="D571" i="5"/>
  <c r="D553" i="5"/>
  <c r="D321" i="5"/>
  <c r="E103" i="5"/>
  <c r="E78" i="5"/>
  <c r="E596" i="5"/>
  <c r="E91" i="5"/>
  <c r="E524" i="5"/>
  <c r="E10" i="5"/>
  <c r="E191" i="5"/>
  <c r="E134" i="5"/>
  <c r="E179" i="5"/>
  <c r="E469" i="5"/>
  <c r="E171" i="5"/>
  <c r="E503" i="5"/>
  <c r="E222" i="5"/>
  <c r="E578" i="5"/>
  <c r="E284" i="5"/>
  <c r="E495" i="5"/>
  <c r="E557" i="5"/>
  <c r="E402" i="5"/>
  <c r="E248" i="5"/>
  <c r="E216" i="5"/>
  <c r="E137" i="5"/>
  <c r="E547" i="5"/>
  <c r="F8" i="5"/>
  <c r="F16" i="5"/>
  <c r="F24" i="5"/>
  <c r="F32" i="5"/>
  <c r="F40" i="5"/>
  <c r="F48" i="5"/>
  <c r="F56" i="5"/>
  <c r="F64" i="5"/>
  <c r="F72" i="5"/>
  <c r="F80" i="5"/>
  <c r="F88" i="5"/>
  <c r="F96" i="5"/>
  <c r="F104" i="5"/>
  <c r="F112" i="5"/>
  <c r="F120" i="5"/>
  <c r="F128" i="5"/>
  <c r="F136" i="5"/>
  <c r="F144" i="5"/>
  <c r="F152" i="5"/>
  <c r="F160" i="5"/>
  <c r="F168" i="5"/>
  <c r="F176" i="5"/>
  <c r="F184" i="5"/>
  <c r="F192" i="5"/>
  <c r="F200" i="5"/>
  <c r="F208" i="5"/>
  <c r="F216" i="5"/>
  <c r="F224" i="5"/>
  <c r="F232" i="5"/>
  <c r="F240" i="5"/>
  <c r="F248" i="5"/>
  <c r="F256" i="5"/>
  <c r="F264" i="5"/>
  <c r="F272" i="5"/>
  <c r="F280" i="5"/>
  <c r="F288" i="5"/>
  <c r="F296" i="5"/>
  <c r="F304" i="5"/>
  <c r="F312" i="5"/>
  <c r="F320" i="5"/>
  <c r="F328" i="5"/>
  <c r="F336" i="5"/>
  <c r="F344" i="5"/>
  <c r="F352" i="5"/>
  <c r="F360" i="5"/>
  <c r="F368" i="5"/>
  <c r="F376" i="5"/>
  <c r="F384" i="5"/>
  <c r="F392" i="5"/>
  <c r="F400" i="5"/>
  <c r="F408" i="5"/>
  <c r="F416" i="5"/>
  <c r="F424" i="5"/>
  <c r="F432" i="5"/>
  <c r="F440" i="5"/>
  <c r="F448" i="5"/>
  <c r="F456" i="5"/>
  <c r="F464" i="5"/>
  <c r="F472" i="5"/>
  <c r="F480" i="5"/>
  <c r="F488" i="5"/>
  <c r="F496" i="5"/>
  <c r="F504" i="5"/>
  <c r="F512" i="5"/>
  <c r="F520" i="5"/>
  <c r="F528" i="5"/>
  <c r="F536" i="5"/>
  <c r="F544" i="5"/>
  <c r="F552" i="5"/>
  <c r="F560" i="5"/>
  <c r="F568" i="5"/>
  <c r="F576" i="5"/>
  <c r="F584" i="5"/>
  <c r="F592" i="5"/>
  <c r="F9" i="5"/>
  <c r="F17" i="5"/>
  <c r="F25" i="5"/>
  <c r="F33" i="5"/>
  <c r="F41" i="5"/>
  <c r="F49" i="5"/>
  <c r="F57" i="5"/>
  <c r="F65" i="5"/>
  <c r="F73" i="5"/>
  <c r="F81" i="5"/>
  <c r="F89" i="5"/>
  <c r="F97" i="5"/>
  <c r="F105" i="5"/>
  <c r="F113" i="5"/>
  <c r="F121" i="5"/>
  <c r="F129" i="5"/>
  <c r="F137" i="5"/>
  <c r="F145" i="5"/>
  <c r="F153" i="5"/>
  <c r="F161" i="5"/>
  <c r="F169" i="5"/>
  <c r="F177" i="5"/>
  <c r="F185" i="5"/>
  <c r="F193" i="5"/>
  <c r="F201" i="5"/>
  <c r="F209" i="5"/>
  <c r="F217" i="5"/>
  <c r="F225" i="5"/>
  <c r="F233" i="5"/>
  <c r="F241" i="5"/>
  <c r="F249" i="5"/>
  <c r="F257" i="5"/>
  <c r="F265" i="5"/>
  <c r="F273" i="5"/>
  <c r="F281" i="5"/>
  <c r="F289" i="5"/>
  <c r="F297" i="5"/>
  <c r="F305" i="5"/>
  <c r="F313" i="5"/>
  <c r="F321" i="5"/>
  <c r="F329" i="5"/>
  <c r="F337" i="5"/>
  <c r="F345" i="5"/>
  <c r="F353" i="5"/>
  <c r="F361" i="5"/>
  <c r="F369" i="5"/>
  <c r="F377" i="5"/>
  <c r="F385" i="5"/>
  <c r="F393" i="5"/>
  <c r="F401" i="5"/>
  <c r="F409" i="5"/>
  <c r="F417" i="5"/>
  <c r="F425" i="5"/>
  <c r="F433" i="5"/>
  <c r="F441" i="5"/>
  <c r="F449" i="5"/>
  <c r="F457" i="5"/>
  <c r="F465" i="5"/>
  <c r="F473" i="5"/>
  <c r="F481" i="5"/>
  <c r="F489" i="5"/>
  <c r="F497" i="5"/>
  <c r="F505" i="5"/>
  <c r="F513" i="5"/>
  <c r="F521" i="5"/>
  <c r="F529" i="5"/>
  <c r="F10" i="5"/>
  <c r="F18" i="5"/>
  <c r="F26" i="5"/>
  <c r="F34" i="5"/>
  <c r="F42" i="5"/>
  <c r="F50" i="5"/>
  <c r="F58" i="5"/>
  <c r="F66" i="5"/>
  <c r="F74" i="5"/>
  <c r="F82" i="5"/>
  <c r="F90" i="5"/>
  <c r="F98" i="5"/>
  <c r="F106" i="5"/>
  <c r="F114" i="5"/>
  <c r="F122" i="5"/>
  <c r="F130" i="5"/>
  <c r="F138" i="5"/>
  <c r="F146" i="5"/>
  <c r="F154" i="5"/>
  <c r="F162" i="5"/>
  <c r="F170" i="5"/>
  <c r="F178" i="5"/>
  <c r="F186" i="5"/>
  <c r="F194" i="5"/>
  <c r="F202" i="5"/>
  <c r="F210" i="5"/>
  <c r="F218" i="5"/>
  <c r="F226" i="5"/>
  <c r="F234" i="5"/>
  <c r="F242" i="5"/>
  <c r="F250" i="5"/>
  <c r="F258" i="5"/>
  <c r="F266" i="5"/>
  <c r="F274" i="5"/>
  <c r="F282" i="5"/>
  <c r="F290" i="5"/>
  <c r="F298" i="5"/>
  <c r="F306" i="5"/>
  <c r="F314" i="5"/>
  <c r="F322" i="5"/>
  <c r="F330" i="5"/>
  <c r="F338" i="5"/>
  <c r="F346" i="5"/>
  <c r="F354" i="5"/>
  <c r="F362" i="5"/>
  <c r="F370" i="5"/>
  <c r="F378" i="5"/>
  <c r="F386" i="5"/>
  <c r="F394" i="5"/>
  <c r="F402" i="5"/>
  <c r="F410" i="5"/>
  <c r="F418" i="5"/>
  <c r="F426" i="5"/>
  <c r="F434" i="5"/>
  <c r="F442" i="5"/>
  <c r="F450" i="5"/>
  <c r="F458" i="5"/>
  <c r="F466" i="5"/>
  <c r="F474" i="5"/>
  <c r="F482" i="5"/>
  <c r="F490" i="5"/>
  <c r="F498" i="5"/>
  <c r="F506" i="5"/>
  <c r="F514" i="5"/>
  <c r="F522" i="5"/>
  <c r="F530" i="5"/>
  <c r="F538" i="5"/>
  <c r="F546" i="5"/>
  <c r="F554" i="5"/>
  <c r="F562" i="5"/>
  <c r="F570" i="5"/>
  <c r="F578" i="5"/>
  <c r="F586" i="5"/>
  <c r="F594" i="5"/>
  <c r="F602" i="5"/>
  <c r="F610" i="5"/>
  <c r="F618" i="5"/>
  <c r="F626" i="5"/>
  <c r="F634" i="5"/>
  <c r="F642" i="5"/>
  <c r="F650" i="5"/>
  <c r="F658" i="5"/>
  <c r="F666" i="5"/>
  <c r="F674" i="5"/>
  <c r="F682" i="5"/>
  <c r="F3" i="5"/>
  <c r="F12" i="5"/>
  <c r="F20" i="5"/>
  <c r="F28" i="5"/>
  <c r="F36" i="5"/>
  <c r="F44" i="5"/>
  <c r="F52" i="5"/>
  <c r="F60" i="5"/>
  <c r="F68" i="5"/>
  <c r="F76" i="5"/>
  <c r="F84" i="5"/>
  <c r="F92" i="5"/>
  <c r="F100" i="5"/>
  <c r="F108" i="5"/>
  <c r="F116" i="5"/>
  <c r="F124" i="5"/>
  <c r="F132" i="5"/>
  <c r="F140" i="5"/>
  <c r="F148" i="5"/>
  <c r="F156" i="5"/>
  <c r="F164" i="5"/>
  <c r="F172" i="5"/>
  <c r="F180" i="5"/>
  <c r="F188" i="5"/>
  <c r="F196" i="5"/>
  <c r="F204" i="5"/>
  <c r="F212" i="5"/>
  <c r="F220" i="5"/>
  <c r="F228" i="5"/>
  <c r="F236" i="5"/>
  <c r="F244" i="5"/>
  <c r="F252" i="5"/>
  <c r="F260" i="5"/>
  <c r="F268" i="5"/>
  <c r="F276" i="5"/>
  <c r="F284" i="5"/>
  <c r="F292" i="5"/>
  <c r="F300" i="5"/>
  <c r="F308" i="5"/>
  <c r="F316" i="5"/>
  <c r="F324" i="5"/>
  <c r="F332" i="5"/>
  <c r="F340" i="5"/>
  <c r="F348" i="5"/>
  <c r="F356" i="5"/>
  <c r="F364" i="5"/>
  <c r="F372" i="5"/>
  <c r="F380" i="5"/>
  <c r="F388" i="5"/>
  <c r="F396" i="5"/>
  <c r="F404" i="5"/>
  <c r="F412" i="5"/>
  <c r="F420" i="5"/>
  <c r="F428" i="5"/>
  <c r="F436" i="5"/>
  <c r="F444" i="5"/>
  <c r="F452" i="5"/>
  <c r="F460" i="5"/>
  <c r="F468" i="5"/>
  <c r="F476" i="5"/>
  <c r="F484" i="5"/>
  <c r="F492" i="5"/>
  <c r="F500" i="5"/>
  <c r="F508" i="5"/>
  <c r="F516" i="5"/>
  <c r="F524" i="5"/>
  <c r="F532" i="5"/>
  <c r="F540" i="5"/>
  <c r="F548" i="5"/>
  <c r="F556" i="5"/>
  <c r="F564" i="5"/>
  <c r="F572" i="5"/>
  <c r="F580" i="5"/>
  <c r="F588" i="5"/>
  <c r="F596" i="5"/>
  <c r="F604" i="5"/>
  <c r="F612" i="5"/>
  <c r="F620" i="5"/>
  <c r="F628" i="5"/>
  <c r="F636" i="5"/>
  <c r="F644" i="5"/>
  <c r="F652" i="5"/>
  <c r="F660" i="5"/>
  <c r="F668" i="5"/>
  <c r="F676" i="5"/>
  <c r="F5" i="5"/>
  <c r="F13" i="5"/>
  <c r="F21" i="5"/>
  <c r="F29" i="5"/>
  <c r="F37" i="5"/>
  <c r="F45" i="5"/>
  <c r="F53" i="5"/>
  <c r="F61" i="5"/>
  <c r="F69" i="5"/>
  <c r="F77" i="5"/>
  <c r="F85" i="5"/>
  <c r="F93" i="5"/>
  <c r="F101" i="5"/>
  <c r="F109" i="5"/>
  <c r="F117" i="5"/>
  <c r="F125" i="5"/>
  <c r="F133" i="5"/>
  <c r="F141" i="5"/>
  <c r="F149" i="5"/>
  <c r="F157" i="5"/>
  <c r="F165" i="5"/>
  <c r="F173" i="5"/>
  <c r="F181" i="5"/>
  <c r="F189" i="5"/>
  <c r="F197" i="5"/>
  <c r="F205" i="5"/>
  <c r="F213" i="5"/>
  <c r="F221" i="5"/>
  <c r="F229" i="5"/>
  <c r="F237" i="5"/>
  <c r="F245" i="5"/>
  <c r="F253" i="5"/>
  <c r="F261" i="5"/>
  <c r="F269" i="5"/>
  <c r="F277" i="5"/>
  <c r="F285" i="5"/>
  <c r="F293" i="5"/>
  <c r="F301" i="5"/>
  <c r="F309" i="5"/>
  <c r="F317" i="5"/>
  <c r="F325" i="5"/>
  <c r="F333" i="5"/>
  <c r="F341" i="5"/>
  <c r="F349" i="5"/>
  <c r="F357" i="5"/>
  <c r="F365" i="5"/>
  <c r="F373" i="5"/>
  <c r="F381" i="5"/>
  <c r="F389" i="5"/>
  <c r="F397" i="5"/>
  <c r="F405" i="5"/>
  <c r="F413" i="5"/>
  <c r="F421" i="5"/>
  <c r="F429" i="5"/>
  <c r="F437" i="5"/>
  <c r="F445" i="5"/>
  <c r="F453" i="5"/>
  <c r="F461" i="5"/>
  <c r="F469" i="5"/>
  <c r="F6" i="5"/>
  <c r="F14" i="5"/>
  <c r="F22" i="5"/>
  <c r="F30" i="5"/>
  <c r="F7" i="5"/>
  <c r="F31" i="5"/>
  <c r="F54" i="5"/>
  <c r="F75" i="5"/>
  <c r="F95" i="5"/>
  <c r="F118" i="5"/>
  <c r="F139" i="5"/>
  <c r="F159" i="5"/>
  <c r="F182" i="5"/>
  <c r="F203" i="5"/>
  <c r="F223" i="5"/>
  <c r="F246" i="5"/>
  <c r="F267" i="5"/>
  <c r="F287" i="5"/>
  <c r="F310" i="5"/>
  <c r="F331" i="5"/>
  <c r="F351" i="5"/>
  <c r="F374" i="5"/>
  <c r="F395" i="5"/>
  <c r="F415" i="5"/>
  <c r="F438" i="5"/>
  <c r="F459" i="5"/>
  <c r="F478" i="5"/>
  <c r="F494" i="5"/>
  <c r="F510" i="5"/>
  <c r="F526" i="5"/>
  <c r="F541" i="5"/>
  <c r="F553" i="5"/>
  <c r="F566" i="5"/>
  <c r="F579" i="5"/>
  <c r="F591" i="5"/>
  <c r="F603" i="5"/>
  <c r="F614" i="5"/>
  <c r="F624" i="5"/>
  <c r="F635" i="5"/>
  <c r="F646" i="5"/>
  <c r="F656" i="5"/>
  <c r="F667" i="5"/>
  <c r="F678" i="5"/>
  <c r="F687" i="5"/>
  <c r="F695" i="5"/>
  <c r="F703" i="5"/>
  <c r="F711" i="5"/>
  <c r="F719" i="5"/>
  <c r="F727" i="5"/>
  <c r="F735" i="5"/>
  <c r="F743" i="5"/>
  <c r="F751" i="5"/>
  <c r="F759" i="5"/>
  <c r="F767" i="5"/>
  <c r="F775" i="5"/>
  <c r="F783" i="5"/>
  <c r="F791" i="5"/>
  <c r="F799" i="5"/>
  <c r="F807" i="5"/>
  <c r="F815" i="5"/>
  <c r="F823" i="5"/>
  <c r="F831" i="5"/>
  <c r="F839" i="5"/>
  <c r="F847" i="5"/>
  <c r="F855" i="5"/>
  <c r="F863" i="5"/>
  <c r="F871" i="5"/>
  <c r="F879" i="5"/>
  <c r="F887" i="5"/>
  <c r="F895" i="5"/>
  <c r="F903" i="5"/>
  <c r="F911" i="5"/>
  <c r="F919" i="5"/>
  <c r="F927" i="5"/>
  <c r="F935" i="5"/>
  <c r="F943" i="5"/>
  <c r="F951" i="5"/>
  <c r="F959" i="5"/>
  <c r="F967" i="5"/>
  <c r="F975" i="5"/>
  <c r="F983" i="5"/>
  <c r="F991" i="5"/>
  <c r="F999" i="5"/>
  <c r="F1007" i="5"/>
  <c r="F1015" i="5"/>
  <c r="F1023" i="5"/>
  <c r="F1031" i="5"/>
  <c r="F1039" i="5"/>
  <c r="F1047" i="5"/>
  <c r="F35" i="5"/>
  <c r="F55" i="5"/>
  <c r="F78" i="5"/>
  <c r="F99" i="5"/>
  <c r="F119" i="5"/>
  <c r="F142" i="5"/>
  <c r="F163" i="5"/>
  <c r="F183" i="5"/>
  <c r="F206" i="5"/>
  <c r="F227" i="5"/>
  <c r="F247" i="5"/>
  <c r="F270" i="5"/>
  <c r="F291" i="5"/>
  <c r="F311" i="5"/>
  <c r="F334" i="5"/>
  <c r="F355" i="5"/>
  <c r="F375" i="5"/>
  <c r="F398" i="5"/>
  <c r="F419" i="5"/>
  <c r="F439" i="5"/>
  <c r="F462" i="5"/>
  <c r="F479" i="5"/>
  <c r="F495" i="5"/>
  <c r="F511" i="5"/>
  <c r="F527" i="5"/>
  <c r="F542" i="5"/>
  <c r="F555" i="5"/>
  <c r="F567" i="5"/>
  <c r="F581" i="5"/>
  <c r="F593" i="5"/>
  <c r="F605" i="5"/>
  <c r="F615" i="5"/>
  <c r="F625" i="5"/>
  <c r="F637" i="5"/>
  <c r="F647" i="5"/>
  <c r="F657" i="5"/>
  <c r="F669" i="5"/>
  <c r="F679" i="5"/>
  <c r="F688" i="5"/>
  <c r="F696" i="5"/>
  <c r="F704" i="5"/>
  <c r="F712" i="5"/>
  <c r="F720" i="5"/>
  <c r="F728" i="5"/>
  <c r="F736" i="5"/>
  <c r="F744" i="5"/>
  <c r="F752" i="5"/>
  <c r="F760" i="5"/>
  <c r="F768" i="5"/>
  <c r="F776" i="5"/>
  <c r="F784" i="5"/>
  <c r="F792" i="5"/>
  <c r="F800" i="5"/>
  <c r="F808" i="5"/>
  <c r="F816" i="5"/>
  <c r="F824" i="5"/>
  <c r="F832" i="5"/>
  <c r="F840" i="5"/>
  <c r="F848" i="5"/>
  <c r="F856" i="5"/>
  <c r="F864" i="5"/>
  <c r="F872" i="5"/>
  <c r="F880" i="5"/>
  <c r="F888" i="5"/>
  <c r="F896" i="5"/>
  <c r="F904" i="5"/>
  <c r="F912" i="5"/>
  <c r="F920" i="5"/>
  <c r="F928" i="5"/>
  <c r="F936" i="5"/>
  <c r="F944" i="5"/>
  <c r="F952" i="5"/>
  <c r="F960" i="5"/>
  <c r="F968" i="5"/>
  <c r="F976" i="5"/>
  <c r="F984" i="5"/>
  <c r="F992" i="5"/>
  <c r="F1000" i="5"/>
  <c r="F1008" i="5"/>
  <c r="F1016" i="5"/>
  <c r="F1024" i="5"/>
  <c r="F1032" i="5"/>
  <c r="F1040" i="5"/>
  <c r="F2" i="5"/>
  <c r="F38" i="5"/>
  <c r="F59" i="5"/>
  <c r="F79" i="5"/>
  <c r="F102" i="5"/>
  <c r="F123" i="5"/>
  <c r="F143" i="5"/>
  <c r="F166" i="5"/>
  <c r="F187" i="5"/>
  <c r="F207" i="5"/>
  <c r="F230" i="5"/>
  <c r="F251" i="5"/>
  <c r="F271" i="5"/>
  <c r="F294" i="5"/>
  <c r="F315" i="5"/>
  <c r="F335" i="5"/>
  <c r="F358" i="5"/>
  <c r="F379" i="5"/>
  <c r="F399" i="5"/>
  <c r="F422" i="5"/>
  <c r="F443" i="5"/>
  <c r="F463" i="5"/>
  <c r="F483" i="5"/>
  <c r="F499" i="5"/>
  <c r="F515" i="5"/>
  <c r="F531" i="5"/>
  <c r="F543" i="5"/>
  <c r="F557" i="5"/>
  <c r="F569" i="5"/>
  <c r="F582" i="5"/>
  <c r="F595" i="5"/>
  <c r="F606" i="5"/>
  <c r="F616" i="5"/>
  <c r="F627" i="5"/>
  <c r="F638" i="5"/>
  <c r="F648" i="5"/>
  <c r="F659" i="5"/>
  <c r="F670" i="5"/>
  <c r="F680" i="5"/>
  <c r="F689" i="5"/>
  <c r="F697" i="5"/>
  <c r="F705" i="5"/>
  <c r="F713" i="5"/>
  <c r="F721" i="5"/>
  <c r="F729" i="5"/>
  <c r="F737" i="5"/>
  <c r="F745" i="5"/>
  <c r="F753" i="5"/>
  <c r="F761" i="5"/>
  <c r="F769" i="5"/>
  <c r="F777" i="5"/>
  <c r="F785" i="5"/>
  <c r="F793" i="5"/>
  <c r="F801" i="5"/>
  <c r="F809" i="5"/>
  <c r="F817" i="5"/>
  <c r="F825" i="5"/>
  <c r="F833" i="5"/>
  <c r="F841" i="5"/>
  <c r="F849" i="5"/>
  <c r="F857" i="5"/>
  <c r="F865" i="5"/>
  <c r="F873" i="5"/>
  <c r="F881" i="5"/>
  <c r="F889" i="5"/>
  <c r="F897" i="5"/>
  <c r="F905" i="5"/>
  <c r="F913" i="5"/>
  <c r="F921" i="5"/>
  <c r="F929" i="5"/>
  <c r="F937" i="5"/>
  <c r="F945" i="5"/>
  <c r="F953" i="5"/>
  <c r="F961" i="5"/>
  <c r="F969" i="5"/>
  <c r="F977" i="5"/>
  <c r="F985" i="5"/>
  <c r="F993" i="5"/>
  <c r="F1001" i="5"/>
  <c r="F1009" i="5"/>
  <c r="F1017" i="5"/>
  <c r="F1025" i="5"/>
  <c r="F1033" i="5"/>
  <c r="F1041" i="5"/>
  <c r="F11" i="5"/>
  <c r="F39" i="5"/>
  <c r="F62" i="5"/>
  <c r="F83" i="5"/>
  <c r="F103" i="5"/>
  <c r="F126" i="5"/>
  <c r="F147" i="5"/>
  <c r="F167" i="5"/>
  <c r="F190" i="5"/>
  <c r="F211" i="5"/>
  <c r="F231" i="5"/>
  <c r="F254" i="5"/>
  <c r="F275" i="5"/>
  <c r="F295" i="5"/>
  <c r="F318" i="5"/>
  <c r="F339" i="5"/>
  <c r="F359" i="5"/>
  <c r="F382" i="5"/>
  <c r="F403" i="5"/>
  <c r="F423" i="5"/>
  <c r="F446" i="5"/>
  <c r="F467" i="5"/>
  <c r="F485" i="5"/>
  <c r="F501" i="5"/>
  <c r="F517" i="5"/>
  <c r="F533" i="5"/>
  <c r="F545" i="5"/>
  <c r="F558" i="5"/>
  <c r="F571" i="5"/>
  <c r="F583" i="5"/>
  <c r="F597" i="5"/>
  <c r="F607" i="5"/>
  <c r="F617" i="5"/>
  <c r="F629" i="5"/>
  <c r="F639" i="5"/>
  <c r="F649" i="5"/>
  <c r="F661" i="5"/>
  <c r="F671" i="5"/>
  <c r="F681" i="5"/>
  <c r="F690" i="5"/>
  <c r="F698" i="5"/>
  <c r="F706" i="5"/>
  <c r="F714" i="5"/>
  <c r="F722" i="5"/>
  <c r="F730" i="5"/>
  <c r="F738" i="5"/>
  <c r="F746" i="5"/>
  <c r="F754" i="5"/>
  <c r="F762" i="5"/>
  <c r="F770" i="5"/>
  <c r="F778" i="5"/>
  <c r="F786" i="5"/>
  <c r="F794" i="5"/>
  <c r="F802" i="5"/>
  <c r="F810" i="5"/>
  <c r="F818" i="5"/>
  <c r="F826" i="5"/>
  <c r="F834" i="5"/>
  <c r="F842" i="5"/>
  <c r="F850" i="5"/>
  <c r="F858" i="5"/>
  <c r="F866" i="5"/>
  <c r="F874" i="5"/>
  <c r="F882" i="5"/>
  <c r="F890" i="5"/>
  <c r="F898" i="5"/>
  <c r="F906" i="5"/>
  <c r="F914" i="5"/>
  <c r="F922" i="5"/>
  <c r="F930" i="5"/>
  <c r="F938" i="5"/>
  <c r="F946" i="5"/>
  <c r="F954" i="5"/>
  <c r="F962" i="5"/>
  <c r="F970" i="5"/>
  <c r="F978" i="5"/>
  <c r="F986" i="5"/>
  <c r="F994" i="5"/>
  <c r="F1002" i="5"/>
  <c r="F1010" i="5"/>
  <c r="F1018" i="5"/>
  <c r="F1026" i="5"/>
  <c r="F1034" i="5"/>
  <c r="F1042" i="5"/>
  <c r="F15" i="5"/>
  <c r="F43" i="5"/>
  <c r="F63" i="5"/>
  <c r="F86" i="5"/>
  <c r="F107" i="5"/>
  <c r="F127" i="5"/>
  <c r="F150" i="5"/>
  <c r="F171" i="5"/>
  <c r="F191" i="5"/>
  <c r="F214" i="5"/>
  <c r="F235" i="5"/>
  <c r="F255" i="5"/>
  <c r="F278" i="5"/>
  <c r="F299" i="5"/>
  <c r="F319" i="5"/>
  <c r="F342" i="5"/>
  <c r="F363" i="5"/>
  <c r="F383" i="5"/>
  <c r="F406" i="5"/>
  <c r="F427" i="5"/>
  <c r="F447" i="5"/>
  <c r="F470" i="5"/>
  <c r="F486" i="5"/>
  <c r="F502" i="5"/>
  <c r="F518" i="5"/>
  <c r="F534" i="5"/>
  <c r="F547" i="5"/>
  <c r="F559" i="5"/>
  <c r="F573" i="5"/>
  <c r="F585" i="5"/>
  <c r="F598" i="5"/>
  <c r="F608" i="5"/>
  <c r="F619" i="5"/>
  <c r="F630" i="5"/>
  <c r="F640" i="5"/>
  <c r="F651" i="5"/>
  <c r="F662" i="5"/>
  <c r="F672" i="5"/>
  <c r="F683" i="5"/>
  <c r="F691" i="5"/>
  <c r="F699" i="5"/>
  <c r="F707" i="5"/>
  <c r="F715" i="5"/>
  <c r="F723" i="5"/>
  <c r="F731" i="5"/>
  <c r="F739" i="5"/>
  <c r="F747" i="5"/>
  <c r="F755" i="5"/>
  <c r="F763" i="5"/>
  <c r="F771" i="5"/>
  <c r="F779" i="5"/>
  <c r="F787" i="5"/>
  <c r="F795" i="5"/>
  <c r="F803" i="5"/>
  <c r="F811" i="5"/>
  <c r="F819" i="5"/>
  <c r="F827" i="5"/>
  <c r="F835" i="5"/>
  <c r="F843" i="5"/>
  <c r="F851" i="5"/>
  <c r="F859" i="5"/>
  <c r="F867" i="5"/>
  <c r="F875" i="5"/>
  <c r="F883" i="5"/>
  <c r="F891" i="5"/>
  <c r="F899" i="5"/>
  <c r="F907" i="5"/>
  <c r="F915" i="5"/>
  <c r="F923" i="5"/>
  <c r="F931" i="5"/>
  <c r="F939" i="5"/>
  <c r="F947" i="5"/>
  <c r="F955" i="5"/>
  <c r="F963" i="5"/>
  <c r="F971" i="5"/>
  <c r="F979" i="5"/>
  <c r="F987" i="5"/>
  <c r="F995" i="5"/>
  <c r="F1003" i="5"/>
  <c r="F1011" i="5"/>
  <c r="F1019" i="5"/>
  <c r="F1027" i="5"/>
  <c r="F1035" i="5"/>
  <c r="F1043" i="5"/>
  <c r="F19" i="5"/>
  <c r="F46" i="5"/>
  <c r="F67" i="5"/>
  <c r="F87" i="5"/>
  <c r="F110" i="5"/>
  <c r="F131" i="5"/>
  <c r="F151" i="5"/>
  <c r="F174" i="5"/>
  <c r="F195" i="5"/>
  <c r="F215" i="5"/>
  <c r="F238" i="5"/>
  <c r="F259" i="5"/>
  <c r="F279" i="5"/>
  <c r="F302" i="5"/>
  <c r="F323" i="5"/>
  <c r="F343" i="5"/>
  <c r="F366" i="5"/>
  <c r="F387" i="5"/>
  <c r="F407" i="5"/>
  <c r="F430" i="5"/>
  <c r="F451" i="5"/>
  <c r="F471" i="5"/>
  <c r="F487" i="5"/>
  <c r="F503" i="5"/>
  <c r="F519" i="5"/>
  <c r="F535" i="5"/>
  <c r="F549" i="5"/>
  <c r="F561" i="5"/>
  <c r="F574" i="5"/>
  <c r="F587" i="5"/>
  <c r="F599" i="5"/>
  <c r="F609" i="5"/>
  <c r="F621" i="5"/>
  <c r="F631" i="5"/>
  <c r="F641" i="5"/>
  <c r="F653" i="5"/>
  <c r="F663" i="5"/>
  <c r="F673" i="5"/>
  <c r="F684" i="5"/>
  <c r="F692" i="5"/>
  <c r="F700" i="5"/>
  <c r="F708" i="5"/>
  <c r="F716" i="5"/>
  <c r="F724" i="5"/>
  <c r="F732" i="5"/>
  <c r="F740" i="5"/>
  <c r="F748" i="5"/>
  <c r="F756" i="5"/>
  <c r="F764" i="5"/>
  <c r="F772" i="5"/>
  <c r="F780" i="5"/>
  <c r="F788" i="5"/>
  <c r="F796" i="5"/>
  <c r="F804" i="5"/>
  <c r="F812" i="5"/>
  <c r="F820" i="5"/>
  <c r="F828" i="5"/>
  <c r="F836" i="5"/>
  <c r="F844" i="5"/>
  <c r="F852" i="5"/>
  <c r="F860" i="5"/>
  <c r="F868" i="5"/>
  <c r="F876" i="5"/>
  <c r="F884" i="5"/>
  <c r="F892" i="5"/>
  <c r="F900" i="5"/>
  <c r="F908" i="5"/>
  <c r="F916" i="5"/>
  <c r="F924" i="5"/>
  <c r="F932" i="5"/>
  <c r="F940" i="5"/>
  <c r="F948" i="5"/>
  <c r="F956" i="5"/>
  <c r="F964" i="5"/>
  <c r="F972" i="5"/>
  <c r="F980" i="5"/>
  <c r="F988" i="5"/>
  <c r="F996" i="5"/>
  <c r="F1004" i="5"/>
  <c r="F1012" i="5"/>
  <c r="F1020" i="5"/>
  <c r="F1028" i="5"/>
  <c r="F1036" i="5"/>
  <c r="F1044" i="5"/>
  <c r="F23" i="5"/>
  <c r="F47" i="5"/>
  <c r="F70" i="5"/>
  <c r="F91" i="5"/>
  <c r="F111" i="5"/>
  <c r="F134" i="5"/>
  <c r="F155" i="5"/>
  <c r="F175" i="5"/>
  <c r="F198" i="5"/>
  <c r="F219" i="5"/>
  <c r="F239" i="5"/>
  <c r="F262" i="5"/>
  <c r="F283" i="5"/>
  <c r="F303" i="5"/>
  <c r="F326" i="5"/>
  <c r="F347" i="5"/>
  <c r="F367" i="5"/>
  <c r="F390" i="5"/>
  <c r="F411" i="5"/>
  <c r="F431" i="5"/>
  <c r="F454" i="5"/>
  <c r="F475" i="5"/>
  <c r="F491" i="5"/>
  <c r="F507" i="5"/>
  <c r="F523" i="5"/>
  <c r="F537" i="5"/>
  <c r="F550" i="5"/>
  <c r="F563" i="5"/>
  <c r="F575" i="5"/>
  <c r="F589" i="5"/>
  <c r="F600" i="5"/>
  <c r="F611" i="5"/>
  <c r="F622" i="5"/>
  <c r="F632" i="5"/>
  <c r="F643" i="5"/>
  <c r="F654" i="5"/>
  <c r="F664" i="5"/>
  <c r="F675" i="5"/>
  <c r="F685" i="5"/>
  <c r="F693" i="5"/>
  <c r="F701" i="5"/>
  <c r="F709" i="5"/>
  <c r="F717" i="5"/>
  <c r="F725" i="5"/>
  <c r="F733" i="5"/>
  <c r="F741" i="5"/>
  <c r="F749" i="5"/>
  <c r="F757" i="5"/>
  <c r="F765" i="5"/>
  <c r="F773" i="5"/>
  <c r="F781" i="5"/>
  <c r="F789" i="5"/>
  <c r="F797" i="5"/>
  <c r="F805" i="5"/>
  <c r="F813" i="5"/>
  <c r="F821" i="5"/>
  <c r="F829" i="5"/>
  <c r="F837" i="5"/>
  <c r="F845" i="5"/>
  <c r="F853" i="5"/>
  <c r="F861" i="5"/>
  <c r="F869" i="5"/>
  <c r="F877" i="5"/>
  <c r="F885" i="5"/>
  <c r="F893" i="5"/>
  <c r="F901" i="5"/>
  <c r="F909" i="5"/>
  <c r="F917" i="5"/>
  <c r="F925" i="5"/>
  <c r="F933" i="5"/>
  <c r="F941" i="5"/>
  <c r="F949" i="5"/>
  <c r="F957" i="5"/>
  <c r="F965" i="5"/>
  <c r="F973" i="5"/>
  <c r="F981" i="5"/>
  <c r="F989" i="5"/>
  <c r="F997" i="5"/>
  <c r="F1005" i="5"/>
  <c r="F1013" i="5"/>
  <c r="F1021" i="5"/>
  <c r="F1029" i="5"/>
  <c r="F1037" i="5"/>
  <c r="F1045" i="5"/>
  <c r="F27" i="5"/>
  <c r="F51" i="5"/>
  <c r="F71" i="5"/>
  <c r="F94" i="5"/>
  <c r="F115" i="5"/>
  <c r="F135" i="5"/>
  <c r="F158" i="5"/>
  <c r="F179" i="5"/>
  <c r="F199" i="5"/>
  <c r="F222" i="5"/>
  <c r="F243" i="5"/>
  <c r="F263" i="5"/>
  <c r="F286" i="5"/>
  <c r="F307" i="5"/>
  <c r="F327" i="5"/>
  <c r="F350" i="5"/>
  <c r="F371" i="5"/>
  <c r="F391" i="5"/>
  <c r="F414" i="5"/>
  <c r="F435" i="5"/>
  <c r="F455" i="5"/>
  <c r="F477" i="5"/>
  <c r="F493" i="5"/>
  <c r="F509" i="5"/>
  <c r="F525" i="5"/>
  <c r="F539" i="5"/>
  <c r="F551" i="5"/>
  <c r="F565" i="5"/>
  <c r="F577" i="5"/>
  <c r="F590" i="5"/>
  <c r="F601" i="5"/>
  <c r="F613" i="5"/>
  <c r="F623" i="5"/>
  <c r="F633" i="5"/>
  <c r="F645" i="5"/>
  <c r="F655" i="5"/>
  <c r="F665" i="5"/>
  <c r="F677" i="5"/>
  <c r="F686" i="5"/>
  <c r="F694" i="5"/>
  <c r="F702" i="5"/>
  <c r="F710" i="5"/>
  <c r="F718" i="5"/>
  <c r="F726" i="5"/>
  <c r="F734" i="5"/>
  <c r="F742" i="5"/>
  <c r="F750" i="5"/>
  <c r="F758" i="5"/>
  <c r="F766" i="5"/>
  <c r="F774" i="5"/>
  <c r="F782" i="5"/>
  <c r="F790" i="5"/>
  <c r="F798" i="5"/>
  <c r="F806" i="5"/>
  <c r="F814" i="5"/>
  <c r="F822" i="5"/>
  <c r="F830" i="5"/>
  <c r="F838" i="5"/>
  <c r="F846" i="5"/>
  <c r="F854" i="5"/>
  <c r="F862" i="5"/>
  <c r="F870" i="5"/>
  <c r="F878" i="5"/>
  <c r="F886" i="5"/>
  <c r="F894" i="5"/>
  <c r="F902" i="5"/>
  <c r="F910" i="5"/>
  <c r="F918" i="5"/>
  <c r="F926" i="5"/>
  <c r="F934" i="5"/>
  <c r="F942" i="5"/>
  <c r="F950" i="5"/>
  <c r="F958" i="5"/>
  <c r="F966" i="5"/>
  <c r="F974" i="5"/>
  <c r="F982" i="5"/>
  <c r="F990" i="5"/>
  <c r="F998" i="5"/>
  <c r="F1006" i="5"/>
  <c r="F1014" i="5"/>
  <c r="F1022" i="5"/>
  <c r="F1030" i="5"/>
  <c r="F1038" i="5"/>
  <c r="F1046" i="5"/>
  <c r="F4" i="5"/>
  <c r="D151" i="5"/>
  <c r="D533" i="5"/>
  <c r="D108" i="5"/>
  <c r="D273" i="5"/>
  <c r="D361" i="5"/>
  <c r="D483" i="5"/>
  <c r="E71" i="5"/>
  <c r="E485" i="5"/>
  <c r="E564" i="5"/>
  <c r="E59" i="5"/>
  <c r="E140" i="5"/>
  <c r="E243" i="5"/>
  <c r="E159" i="5"/>
  <c r="E381" i="5"/>
  <c r="E83" i="5"/>
  <c r="E405" i="5"/>
  <c r="E418" i="5"/>
  <c r="E471" i="5"/>
  <c r="E565" i="5"/>
  <c r="E130" i="5"/>
  <c r="E35" i="5"/>
  <c r="E271" i="5"/>
  <c r="E109" i="5"/>
  <c r="E178" i="5"/>
  <c r="E451" i="5"/>
  <c r="E304" i="5"/>
  <c r="E456" i="5"/>
  <c r="E344" i="5"/>
  <c r="D511" i="5"/>
  <c r="D534" i="5"/>
  <c r="D541" i="5"/>
  <c r="C480" i="5"/>
  <c r="C99" i="5"/>
  <c r="D119" i="5"/>
  <c r="D309" i="5"/>
  <c r="D586" i="5"/>
  <c r="D81" i="5"/>
  <c r="D169" i="5"/>
  <c r="E291" i="5"/>
  <c r="E39" i="5"/>
  <c r="E453" i="5"/>
  <c r="E372" i="5"/>
  <c r="E27" i="5"/>
  <c r="E76" i="5"/>
  <c r="E241" i="5"/>
  <c r="E127" i="5"/>
  <c r="E317" i="5"/>
  <c r="E394" i="5"/>
  <c r="E309" i="5"/>
  <c r="E354" i="5"/>
  <c r="E279" i="5"/>
  <c r="E501" i="5"/>
  <c r="E66" i="5"/>
  <c r="E475" i="5"/>
  <c r="E239" i="5"/>
  <c r="E45" i="5"/>
  <c r="E146" i="5"/>
  <c r="E307" i="5"/>
  <c r="E240" i="5"/>
  <c r="E328" i="5"/>
  <c r="D486" i="5"/>
  <c r="D381" i="5"/>
  <c r="E2" i="5"/>
  <c r="E1047" i="5"/>
  <c r="E855" i="5"/>
  <c r="E943" i="5"/>
  <c r="E1003" i="5"/>
  <c r="E939" i="5"/>
  <c r="E875" i="5"/>
  <c r="E811" i="5"/>
  <c r="E747" i="5"/>
  <c r="E683" i="5"/>
  <c r="E619" i="5"/>
  <c r="E1042" i="5"/>
  <c r="E914" i="5"/>
  <c r="E826" i="5"/>
  <c r="E762" i="5"/>
  <c r="E698" i="5"/>
  <c r="E634" i="5"/>
  <c r="E879" i="5"/>
  <c r="E938" i="5"/>
  <c r="E1025" i="5"/>
  <c r="E961" i="5"/>
  <c r="E897" i="5"/>
  <c r="E833" i="5"/>
  <c r="E769" i="5"/>
  <c r="E705" i="5"/>
  <c r="E641" i="5"/>
  <c r="E1024" i="5"/>
  <c r="E960" i="5"/>
  <c r="E896" i="5"/>
  <c r="E832" i="5"/>
  <c r="E768" i="5"/>
  <c r="E704" i="5"/>
  <c r="E640" i="5"/>
  <c r="E767" i="5"/>
  <c r="E1046" i="5"/>
  <c r="E854" i="5"/>
  <c r="E654" i="5"/>
  <c r="E663" i="5"/>
  <c r="E910" i="5"/>
  <c r="E718" i="5"/>
  <c r="E1029" i="5"/>
  <c r="E965" i="5"/>
  <c r="E901" i="5"/>
  <c r="E837" i="5"/>
  <c r="E773" i="5"/>
  <c r="E709" i="5"/>
  <c r="E645" i="5"/>
  <c r="E775" i="5"/>
  <c r="E1038" i="5"/>
  <c r="E846" i="5"/>
  <c r="E662" i="5"/>
  <c r="E1012" i="5"/>
  <c r="E948" i="5"/>
  <c r="E884" i="5"/>
  <c r="E820" i="5"/>
  <c r="E756" i="5"/>
  <c r="E692" i="5"/>
  <c r="E628" i="5"/>
  <c r="E827" i="5"/>
  <c r="E871" i="5"/>
  <c r="E975" i="5"/>
  <c r="E785" i="5"/>
  <c r="E848" i="5"/>
  <c r="E623" i="5"/>
  <c r="E1045" i="5"/>
  <c r="E597" i="5"/>
  <c r="E900" i="5"/>
  <c r="E991" i="5"/>
  <c r="E691" i="5"/>
  <c r="E770" i="5"/>
  <c r="E905" i="5"/>
  <c r="E1032" i="5"/>
  <c r="E791" i="5"/>
  <c r="E934" i="5"/>
  <c r="E781" i="5"/>
  <c r="E1020" i="5"/>
  <c r="E636" i="5"/>
  <c r="E999" i="5"/>
  <c r="E1031" i="5"/>
  <c r="E887" i="5"/>
  <c r="E995" i="5"/>
  <c r="E931" i="5"/>
  <c r="E867" i="5"/>
  <c r="E803" i="5"/>
  <c r="E739" i="5"/>
  <c r="E675" i="5"/>
  <c r="E611" i="5"/>
  <c r="E1026" i="5"/>
  <c r="E898" i="5"/>
  <c r="E818" i="5"/>
  <c r="E754" i="5"/>
  <c r="E690" i="5"/>
  <c r="E626" i="5"/>
  <c r="E839" i="5"/>
  <c r="E922" i="5"/>
  <c r="E1017" i="5"/>
  <c r="E953" i="5"/>
  <c r="E889" i="5"/>
  <c r="E825" i="5"/>
  <c r="E761" i="5"/>
  <c r="E697" i="5"/>
  <c r="E633" i="5"/>
  <c r="E1016" i="5"/>
  <c r="E952" i="5"/>
  <c r="E888" i="5"/>
  <c r="E824" i="5"/>
  <c r="E760" i="5"/>
  <c r="E696" i="5"/>
  <c r="E632" i="5"/>
  <c r="E743" i="5"/>
  <c r="E1022" i="5"/>
  <c r="E830" i="5"/>
  <c r="E614" i="5"/>
  <c r="E639" i="5"/>
  <c r="E886" i="5"/>
  <c r="E694" i="5"/>
  <c r="E1021" i="5"/>
  <c r="E957" i="5"/>
  <c r="E893" i="5"/>
  <c r="E829" i="5"/>
  <c r="E765" i="5"/>
  <c r="E701" i="5"/>
  <c r="E637" i="5"/>
  <c r="E751" i="5"/>
  <c r="E1014" i="5"/>
  <c r="E822" i="5"/>
  <c r="E638" i="5"/>
  <c r="E1004" i="5"/>
  <c r="E940" i="5"/>
  <c r="E876" i="5"/>
  <c r="E812" i="5"/>
  <c r="E748" i="5"/>
  <c r="E684" i="5"/>
  <c r="E620" i="5"/>
  <c r="E891" i="5"/>
  <c r="E635" i="5"/>
  <c r="E650" i="5"/>
  <c r="E849" i="5"/>
  <c r="E912" i="5"/>
  <c r="E902" i="5"/>
  <c r="E981" i="5"/>
  <c r="E661" i="5"/>
  <c r="E964" i="5"/>
  <c r="E911" i="5"/>
  <c r="E755" i="5"/>
  <c r="E706" i="5"/>
  <c r="E969" i="5"/>
  <c r="E968" i="5"/>
  <c r="E648" i="5"/>
  <c r="E742" i="5"/>
  <c r="E717" i="5"/>
  <c r="E686" i="5"/>
  <c r="E700" i="5"/>
  <c r="E951" i="5"/>
  <c r="E983" i="5"/>
  <c r="E823" i="5"/>
  <c r="E987" i="5"/>
  <c r="E923" i="5"/>
  <c r="E859" i="5"/>
  <c r="E795" i="5"/>
  <c r="E731" i="5"/>
  <c r="E667" i="5"/>
  <c r="E603" i="5"/>
  <c r="E1010" i="5"/>
  <c r="E882" i="5"/>
  <c r="E810" i="5"/>
  <c r="E746" i="5"/>
  <c r="E682" i="5"/>
  <c r="E618" i="5"/>
  <c r="E1034" i="5"/>
  <c r="E906" i="5"/>
  <c r="E1009" i="5"/>
  <c r="E945" i="5"/>
  <c r="E881" i="5"/>
  <c r="E817" i="5"/>
  <c r="E753" i="5"/>
  <c r="E689" i="5"/>
  <c r="E625" i="5"/>
  <c r="E1008" i="5"/>
  <c r="E944" i="5"/>
  <c r="E880" i="5"/>
  <c r="E816" i="5"/>
  <c r="E752" i="5"/>
  <c r="E688" i="5"/>
  <c r="E624" i="5"/>
  <c r="E719" i="5"/>
  <c r="E998" i="5"/>
  <c r="E806" i="5"/>
  <c r="E807" i="5"/>
  <c r="E599" i="5"/>
  <c r="E862" i="5"/>
  <c r="E670" i="5"/>
  <c r="E1013" i="5"/>
  <c r="E949" i="5"/>
  <c r="E885" i="5"/>
  <c r="E821" i="5"/>
  <c r="E757" i="5"/>
  <c r="E693" i="5"/>
  <c r="E629" i="5"/>
  <c r="E727" i="5"/>
  <c r="E990" i="5"/>
  <c r="E798" i="5"/>
  <c r="E622" i="5"/>
  <c r="E996" i="5"/>
  <c r="E932" i="5"/>
  <c r="E868" i="5"/>
  <c r="E804" i="5"/>
  <c r="E740" i="5"/>
  <c r="E676" i="5"/>
  <c r="E612" i="5"/>
  <c r="E955" i="5"/>
  <c r="E842" i="5"/>
  <c r="E1041" i="5"/>
  <c r="E657" i="5"/>
  <c r="E720" i="5"/>
  <c r="E702" i="5"/>
  <c r="E917" i="5"/>
  <c r="E631" i="5"/>
  <c r="E836" i="5"/>
  <c r="E947" i="5"/>
  <c r="E930" i="5"/>
  <c r="E954" i="5"/>
  <c r="E713" i="5"/>
  <c r="E712" i="5"/>
  <c r="E678" i="5"/>
  <c r="E845" i="5"/>
  <c r="E870" i="5"/>
  <c r="E828" i="5"/>
  <c r="E903" i="5"/>
  <c r="E935" i="5"/>
  <c r="E1043" i="5"/>
  <c r="E979" i="5"/>
  <c r="E915" i="5"/>
  <c r="E851" i="5"/>
  <c r="E787" i="5"/>
  <c r="E723" i="5"/>
  <c r="E659" i="5"/>
  <c r="E1007" i="5"/>
  <c r="E994" i="5"/>
  <c r="E874" i="5"/>
  <c r="E802" i="5"/>
  <c r="E738" i="5"/>
  <c r="E674" i="5"/>
  <c r="E610" i="5"/>
  <c r="E1018" i="5"/>
  <c r="E890" i="5"/>
  <c r="E1001" i="5"/>
  <c r="E937" i="5"/>
  <c r="E873" i="5"/>
  <c r="E809" i="5"/>
  <c r="E745" i="5"/>
  <c r="E681" i="5"/>
  <c r="E617" i="5"/>
  <c r="E1000" i="5"/>
  <c r="E936" i="5"/>
  <c r="E872" i="5"/>
  <c r="E808" i="5"/>
  <c r="E744" i="5"/>
  <c r="E680" i="5"/>
  <c r="E616" i="5"/>
  <c r="E695" i="5"/>
  <c r="E974" i="5"/>
  <c r="E782" i="5"/>
  <c r="E783" i="5"/>
  <c r="E1030" i="5"/>
  <c r="E838" i="5"/>
  <c r="E646" i="5"/>
  <c r="E1005" i="5"/>
  <c r="E941" i="5"/>
  <c r="E877" i="5"/>
  <c r="E813" i="5"/>
  <c r="E749" i="5"/>
  <c r="E685" i="5"/>
  <c r="E621" i="5"/>
  <c r="E703" i="5"/>
  <c r="E966" i="5"/>
  <c r="E774" i="5"/>
  <c r="E598" i="5"/>
  <c r="E988" i="5"/>
  <c r="E924" i="5"/>
  <c r="E860" i="5"/>
  <c r="E796" i="5"/>
  <c r="E732" i="5"/>
  <c r="E668" i="5"/>
  <c r="E604" i="5"/>
  <c r="E1019" i="5"/>
  <c r="E946" i="5"/>
  <c r="E970" i="5"/>
  <c r="E721" i="5"/>
  <c r="E784" i="5"/>
  <c r="E711" i="5"/>
  <c r="E853" i="5"/>
  <c r="E894" i="5"/>
  <c r="E772" i="5"/>
  <c r="E1011" i="5"/>
  <c r="E834" i="5"/>
  <c r="E1033" i="5"/>
  <c r="E649" i="5"/>
  <c r="E776" i="5"/>
  <c r="E687" i="5"/>
  <c r="E973" i="5"/>
  <c r="E653" i="5"/>
  <c r="E956" i="5"/>
  <c r="E847" i="5"/>
  <c r="E895" i="5"/>
  <c r="E1035" i="5"/>
  <c r="E971" i="5"/>
  <c r="E907" i="5"/>
  <c r="E843" i="5"/>
  <c r="E779" i="5"/>
  <c r="E715" i="5"/>
  <c r="E651" i="5"/>
  <c r="E959" i="5"/>
  <c r="E978" i="5"/>
  <c r="E858" i="5"/>
  <c r="E794" i="5"/>
  <c r="E730" i="5"/>
  <c r="E666" i="5"/>
  <c r="E602" i="5"/>
  <c r="E1002" i="5"/>
  <c r="E866" i="5"/>
  <c r="E993" i="5"/>
  <c r="E929" i="5"/>
  <c r="E865" i="5"/>
  <c r="E801" i="5"/>
  <c r="E737" i="5"/>
  <c r="E673" i="5"/>
  <c r="E609" i="5"/>
  <c r="E992" i="5"/>
  <c r="E928" i="5"/>
  <c r="E864" i="5"/>
  <c r="E800" i="5"/>
  <c r="E736" i="5"/>
  <c r="E672" i="5"/>
  <c r="E608" i="5"/>
  <c r="E671" i="5"/>
  <c r="E950" i="5"/>
  <c r="E750" i="5"/>
  <c r="E759" i="5"/>
  <c r="E1006" i="5"/>
  <c r="E814" i="5"/>
  <c r="E630" i="5"/>
  <c r="E997" i="5"/>
  <c r="E933" i="5"/>
  <c r="E869" i="5"/>
  <c r="E805" i="5"/>
  <c r="E741" i="5"/>
  <c r="E677" i="5"/>
  <c r="E613" i="5"/>
  <c r="E679" i="5"/>
  <c r="E942" i="5"/>
  <c r="E758" i="5"/>
  <c r="E1044" i="5"/>
  <c r="E980" i="5"/>
  <c r="E916" i="5"/>
  <c r="E852" i="5"/>
  <c r="E788" i="5"/>
  <c r="E724" i="5"/>
  <c r="E660" i="5"/>
  <c r="E967" i="5"/>
  <c r="E699" i="5"/>
  <c r="E714" i="5"/>
  <c r="E977" i="5"/>
  <c r="E976" i="5"/>
  <c r="E815" i="5"/>
  <c r="E958" i="5"/>
  <c r="E725" i="5"/>
  <c r="E1028" i="5"/>
  <c r="E708" i="5"/>
  <c r="E883" i="5"/>
  <c r="E831" i="5"/>
  <c r="E919" i="5"/>
  <c r="E777" i="5"/>
  <c r="E840" i="5"/>
  <c r="E878" i="5"/>
  <c r="E1037" i="5"/>
  <c r="E799" i="5"/>
  <c r="E764" i="5"/>
  <c r="E1023" i="5"/>
  <c r="E863" i="5"/>
  <c r="E1027" i="5"/>
  <c r="E963" i="5"/>
  <c r="E899" i="5"/>
  <c r="E835" i="5"/>
  <c r="E771" i="5"/>
  <c r="E707" i="5"/>
  <c r="E643" i="5"/>
  <c r="E927" i="5"/>
  <c r="E962" i="5"/>
  <c r="E850" i="5"/>
  <c r="E786" i="5"/>
  <c r="E722" i="5"/>
  <c r="E658" i="5"/>
  <c r="E1015" i="5"/>
  <c r="E986" i="5"/>
  <c r="E11" i="5"/>
  <c r="E985" i="5"/>
  <c r="E921" i="5"/>
  <c r="E857" i="5"/>
  <c r="E793" i="5"/>
  <c r="E729" i="5"/>
  <c r="E665" i="5"/>
  <c r="E601" i="5"/>
  <c r="E984" i="5"/>
  <c r="E920" i="5"/>
  <c r="E856" i="5"/>
  <c r="E792" i="5"/>
  <c r="E728" i="5"/>
  <c r="E664" i="5"/>
  <c r="E600" i="5"/>
  <c r="E647" i="5"/>
  <c r="E926" i="5"/>
  <c r="E726" i="5"/>
  <c r="E735" i="5"/>
  <c r="E982" i="5"/>
  <c r="E790" i="5"/>
  <c r="E606" i="5"/>
  <c r="E989" i="5"/>
  <c r="E925" i="5"/>
  <c r="E861" i="5"/>
  <c r="E797" i="5"/>
  <c r="E733" i="5"/>
  <c r="E669" i="5"/>
  <c r="E605" i="5"/>
  <c r="E655" i="5"/>
  <c r="E918" i="5"/>
  <c r="E734" i="5"/>
  <c r="E1036" i="5"/>
  <c r="E972" i="5"/>
  <c r="E908" i="5"/>
  <c r="E844" i="5"/>
  <c r="E780" i="5"/>
  <c r="E716" i="5"/>
  <c r="E652" i="5"/>
  <c r="E1039" i="5"/>
  <c r="E763" i="5"/>
  <c r="E778" i="5"/>
  <c r="E913" i="5"/>
  <c r="E1040" i="5"/>
  <c r="E656" i="5"/>
  <c r="E766" i="5"/>
  <c r="E789" i="5"/>
  <c r="E710" i="5"/>
  <c r="E644" i="5"/>
  <c r="E819" i="5"/>
  <c r="E627" i="5"/>
  <c r="E642" i="5"/>
  <c r="E841" i="5"/>
  <c r="E904" i="5"/>
  <c r="E607" i="5"/>
  <c r="E909" i="5"/>
  <c r="E615" i="5"/>
  <c r="E892" i="5"/>
  <c r="E26" i="5"/>
  <c r="E576" i="5"/>
  <c r="E545" i="5"/>
  <c r="E568" i="5"/>
  <c r="E353" i="5"/>
  <c r="E265" i="5"/>
  <c r="E211" i="5"/>
  <c r="E488" i="5"/>
  <c r="E201" i="5"/>
  <c r="E168" i="5"/>
  <c r="E368" i="5"/>
  <c r="E536" i="5"/>
  <c r="E385" i="5"/>
  <c r="E272" i="5"/>
  <c r="E17" i="5"/>
  <c r="E355" i="5"/>
  <c r="E377" i="5"/>
  <c r="E299" i="5"/>
  <c r="E210" i="5"/>
  <c r="E466" i="5"/>
  <c r="E67" i="5"/>
  <c r="E316" i="5"/>
  <c r="E173" i="5"/>
  <c r="E54" i="5"/>
  <c r="E342" i="5"/>
  <c r="E47" i="5"/>
  <c r="E303" i="5"/>
  <c r="E559" i="5"/>
  <c r="E218" i="5"/>
  <c r="E474" i="5"/>
  <c r="E99" i="5"/>
  <c r="E412" i="5"/>
  <c r="E269" i="5"/>
  <c r="E393" i="5"/>
  <c r="E194" i="5"/>
  <c r="E43" i="5"/>
  <c r="E292" i="5"/>
  <c r="E149" i="5"/>
  <c r="E30" i="5"/>
  <c r="E318" i="5"/>
  <c r="E23" i="5"/>
  <c r="E184" i="5"/>
  <c r="E65" i="5"/>
  <c r="E577" i="5"/>
  <c r="E121" i="5"/>
  <c r="E136" i="5"/>
  <c r="E88" i="5"/>
  <c r="E97" i="5"/>
  <c r="E552" i="5"/>
  <c r="E233" i="5"/>
  <c r="E160" i="5"/>
  <c r="E264" i="5"/>
  <c r="E432" i="5"/>
  <c r="E491" i="5"/>
  <c r="E72" i="5"/>
  <c r="E336" i="5"/>
  <c r="E49" i="5"/>
  <c r="E153" i="5"/>
  <c r="E409" i="5"/>
  <c r="E499" i="5"/>
  <c r="E242" i="5"/>
  <c r="E498" i="5"/>
  <c r="E163" i="5"/>
  <c r="E380" i="5"/>
  <c r="E237" i="5"/>
  <c r="E86" i="5"/>
  <c r="E374" i="5"/>
  <c r="E79" i="5"/>
  <c r="E335" i="5"/>
  <c r="E591" i="5"/>
  <c r="E250" i="5"/>
  <c r="E506" i="5"/>
  <c r="E227" i="5"/>
  <c r="E476" i="5"/>
  <c r="E333" i="5"/>
  <c r="E457" i="5"/>
  <c r="E258" i="5"/>
  <c r="E107" i="5"/>
  <c r="E356" i="5"/>
  <c r="E213" i="5"/>
  <c r="E62" i="5"/>
  <c r="E350" i="5"/>
  <c r="E55" i="5"/>
  <c r="E311" i="5"/>
  <c r="E567" i="5"/>
  <c r="E203" i="5"/>
  <c r="E482" i="5"/>
  <c r="E100" i="5"/>
  <c r="E590" i="5"/>
  <c r="E533" i="5"/>
  <c r="E593" i="5"/>
  <c r="E458" i="5"/>
  <c r="E44" i="5"/>
  <c r="E556" i="5"/>
  <c r="E445" i="5"/>
  <c r="E230" i="5"/>
  <c r="E534" i="5"/>
  <c r="E223" i="5"/>
  <c r="E479" i="5"/>
  <c r="E305" i="5"/>
  <c r="E138" i="5"/>
  <c r="E235" i="5"/>
  <c r="E204" i="5"/>
  <c r="E29" i="5"/>
  <c r="E541" i="5"/>
  <c r="E155" i="5"/>
  <c r="E148" i="5"/>
  <c r="E404" i="5"/>
  <c r="E5" i="5"/>
  <c r="E261" i="5"/>
  <c r="E517" i="5"/>
  <c r="E174" i="5"/>
  <c r="E430" i="5"/>
  <c r="E135" i="5"/>
  <c r="E391" i="5"/>
  <c r="E443" i="5"/>
  <c r="E376" i="5"/>
  <c r="E225" i="5"/>
  <c r="E187" i="5"/>
  <c r="E32" i="5"/>
  <c r="E296" i="5"/>
  <c r="E280" i="5"/>
  <c r="E257" i="5"/>
  <c r="E259" i="5"/>
  <c r="E297" i="5"/>
  <c r="E320" i="5"/>
  <c r="E392" i="5"/>
  <c r="E496" i="5"/>
  <c r="E64" i="5"/>
  <c r="E200" i="5"/>
  <c r="E400" i="5"/>
  <c r="E81" i="5"/>
  <c r="E185" i="5"/>
  <c r="E441" i="5"/>
  <c r="E18" i="5"/>
  <c r="E274" i="5"/>
  <c r="E530" i="5"/>
  <c r="E347" i="5"/>
  <c r="E444" i="5"/>
  <c r="E301" i="5"/>
  <c r="E118" i="5"/>
  <c r="E406" i="5"/>
  <c r="E111" i="5"/>
  <c r="E367" i="5"/>
  <c r="E339" i="5"/>
  <c r="E282" i="5"/>
  <c r="E538" i="5"/>
  <c r="E507" i="5"/>
  <c r="E540" i="5"/>
  <c r="E397" i="5"/>
  <c r="E521" i="5"/>
  <c r="E322" i="5"/>
  <c r="E267" i="5"/>
  <c r="E420" i="5"/>
  <c r="E277" i="5"/>
  <c r="E94" i="5"/>
  <c r="E382" i="5"/>
  <c r="E87" i="5"/>
  <c r="E343" i="5"/>
  <c r="E147" i="5"/>
  <c r="E34" i="5"/>
  <c r="E546" i="5"/>
  <c r="E164" i="5"/>
  <c r="E53" i="5"/>
  <c r="E254" i="5"/>
  <c r="E459" i="5"/>
  <c r="E522" i="5"/>
  <c r="E108" i="5"/>
  <c r="E515" i="5"/>
  <c r="E509" i="5"/>
  <c r="E294" i="5"/>
  <c r="E531" i="5"/>
  <c r="E255" i="5"/>
  <c r="E511" i="5"/>
  <c r="E369" i="5"/>
  <c r="E202" i="5"/>
  <c r="E563" i="5"/>
  <c r="E268" i="5"/>
  <c r="E93" i="5"/>
  <c r="E6" i="5"/>
  <c r="E195" i="5"/>
  <c r="E180" i="5"/>
  <c r="E436" i="5"/>
  <c r="E37" i="5"/>
  <c r="E293" i="5"/>
  <c r="E549" i="5"/>
  <c r="E206" i="5"/>
  <c r="E462" i="5"/>
  <c r="E167" i="5"/>
  <c r="E423" i="5"/>
  <c r="E115" i="5"/>
  <c r="E321" i="5"/>
  <c r="E331" i="5"/>
  <c r="E192" i="5"/>
  <c r="E424" i="5"/>
  <c r="E472" i="5"/>
  <c r="E8" i="5"/>
  <c r="E9" i="5"/>
  <c r="E120" i="5"/>
  <c r="E480" i="5"/>
  <c r="E48" i="5"/>
  <c r="E592" i="5"/>
  <c r="E224" i="5"/>
  <c r="E360" i="5"/>
  <c r="E464" i="5"/>
  <c r="E113" i="5"/>
  <c r="E217" i="5"/>
  <c r="E473" i="5"/>
  <c r="E50" i="5"/>
  <c r="E306" i="5"/>
  <c r="E562" i="5"/>
  <c r="E28" i="5"/>
  <c r="E508" i="5"/>
  <c r="E365" i="5"/>
  <c r="E182" i="5"/>
  <c r="E438" i="5"/>
  <c r="E143" i="5"/>
  <c r="E399" i="5"/>
  <c r="E483" i="5"/>
  <c r="E314" i="5"/>
  <c r="E570" i="5"/>
  <c r="E60" i="5"/>
  <c r="E502" i="5"/>
  <c r="E461" i="5"/>
  <c r="E585" i="5"/>
  <c r="E386" i="5"/>
  <c r="E571" i="5"/>
  <c r="E484" i="5"/>
  <c r="E341" i="5"/>
  <c r="E126" i="5"/>
  <c r="E414" i="5"/>
  <c r="E119" i="5"/>
  <c r="E375" i="5"/>
  <c r="E371" i="5"/>
  <c r="E98" i="5"/>
  <c r="E219" i="5"/>
  <c r="E260" i="5"/>
  <c r="E117" i="5"/>
  <c r="E209" i="5"/>
  <c r="E42" i="5"/>
  <c r="E586" i="5"/>
  <c r="E172" i="5"/>
  <c r="E61" i="5"/>
  <c r="E573" i="5"/>
  <c r="E326" i="5"/>
  <c r="E31" i="5"/>
  <c r="E287" i="5"/>
  <c r="E543" i="5"/>
  <c r="E433" i="5"/>
  <c r="E266" i="5"/>
  <c r="E51" i="5"/>
  <c r="E332" i="5"/>
  <c r="E157" i="5"/>
  <c r="E70" i="5"/>
  <c r="E323" i="5"/>
  <c r="E212" i="5"/>
  <c r="E468" i="5"/>
  <c r="E69" i="5"/>
  <c r="E325" i="5"/>
  <c r="E581" i="5"/>
  <c r="E238" i="5"/>
  <c r="E494" i="5"/>
  <c r="E199" i="5"/>
  <c r="E455" i="5"/>
  <c r="E89" i="5"/>
  <c r="E417" i="5"/>
  <c r="E555" i="5"/>
  <c r="E352" i="5"/>
  <c r="E520" i="5"/>
  <c r="E25" i="5"/>
  <c r="E104" i="5"/>
  <c r="E41" i="5"/>
  <c r="E312" i="5"/>
  <c r="E395" i="5"/>
  <c r="E112" i="5"/>
  <c r="E145" i="5"/>
  <c r="E384" i="5"/>
  <c r="E16" i="5"/>
  <c r="E528" i="5"/>
  <c r="E177" i="5"/>
  <c r="E249" i="5"/>
  <c r="E505" i="5"/>
  <c r="E82" i="5"/>
  <c r="E338" i="5"/>
  <c r="E594" i="5"/>
  <c r="E92" i="5"/>
  <c r="E572" i="5"/>
  <c r="E429" i="5"/>
  <c r="E214" i="5"/>
  <c r="E470" i="5"/>
  <c r="E175" i="5"/>
  <c r="E431" i="5"/>
  <c r="E90" i="5"/>
  <c r="E346" i="5"/>
  <c r="E131" i="5"/>
  <c r="E124" i="5"/>
  <c r="E13" i="5"/>
  <c r="E525" i="5"/>
  <c r="E387" i="5"/>
  <c r="E450" i="5"/>
  <c r="E68" i="5"/>
  <c r="E548" i="5"/>
  <c r="E373" i="5"/>
  <c r="E158" i="5"/>
  <c r="E446" i="5"/>
  <c r="E151" i="5"/>
  <c r="E407" i="5"/>
  <c r="E539" i="5"/>
  <c r="E162" i="5"/>
  <c r="E523" i="5"/>
  <c r="E324" i="5"/>
  <c r="E181" i="5"/>
  <c r="E273" i="5"/>
  <c r="E106" i="5"/>
  <c r="E403" i="5"/>
  <c r="E236" i="5"/>
  <c r="E125" i="5"/>
  <c r="E38" i="5"/>
  <c r="E358" i="5"/>
  <c r="E63" i="5"/>
  <c r="E319" i="5"/>
  <c r="E575" i="5"/>
  <c r="E497" i="5"/>
  <c r="E298" i="5"/>
  <c r="E123" i="5"/>
  <c r="E396" i="5"/>
  <c r="E221" i="5"/>
  <c r="E262" i="5"/>
  <c r="E467" i="5"/>
  <c r="E244" i="5"/>
  <c r="E500" i="5"/>
  <c r="E101" i="5"/>
  <c r="E357" i="5"/>
  <c r="E14" i="5"/>
  <c r="E270" i="5"/>
  <c r="E550" i="5"/>
  <c r="E231" i="5"/>
  <c r="E487" i="5"/>
  <c r="E96" i="5"/>
  <c r="E449" i="5"/>
  <c r="E58" i="5"/>
  <c r="E512" i="5"/>
  <c r="E584" i="5"/>
  <c r="E128" i="5"/>
  <c r="E232" i="5"/>
  <c r="E105" i="5"/>
  <c r="E504" i="5"/>
  <c r="E129" i="5"/>
  <c r="E176" i="5"/>
  <c r="E24" i="5"/>
  <c r="E544" i="5"/>
  <c r="E80" i="5"/>
  <c r="E560" i="5"/>
  <c r="E56" i="5"/>
  <c r="E281" i="5"/>
  <c r="E537" i="5"/>
  <c r="E114" i="5"/>
  <c r="E370" i="5"/>
  <c r="E275" i="5"/>
  <c r="E156" i="5"/>
  <c r="E574" i="5"/>
  <c r="E493" i="5"/>
  <c r="E246" i="5"/>
  <c r="E510" i="5"/>
  <c r="E207" i="5"/>
  <c r="E463" i="5"/>
  <c r="E122" i="5"/>
  <c r="E378" i="5"/>
  <c r="E315" i="5"/>
  <c r="E188" i="5"/>
  <c r="E77" i="5"/>
  <c r="E589" i="5"/>
  <c r="E579" i="5"/>
  <c r="E514" i="5"/>
  <c r="E132" i="5"/>
  <c r="E526" i="5"/>
  <c r="E437" i="5"/>
  <c r="E190" i="5"/>
  <c r="E478" i="5"/>
  <c r="E183" i="5"/>
  <c r="E439" i="5"/>
  <c r="E361" i="5"/>
  <c r="E226" i="5"/>
  <c r="E75" i="5"/>
  <c r="E388" i="5"/>
  <c r="E245" i="5"/>
  <c r="E337" i="5"/>
  <c r="E170" i="5"/>
  <c r="E19" i="5"/>
  <c r="E300" i="5"/>
  <c r="E189" i="5"/>
  <c r="E102" i="5"/>
  <c r="E390" i="5"/>
  <c r="E95" i="5"/>
  <c r="E351" i="5"/>
  <c r="E251" i="5"/>
  <c r="E561" i="5"/>
  <c r="E362" i="5"/>
  <c r="E283" i="5"/>
  <c r="E460" i="5"/>
  <c r="E285" i="5"/>
  <c r="E595" i="5"/>
  <c r="E20" i="5"/>
  <c r="E276" i="5"/>
  <c r="E532" i="5"/>
  <c r="E133" i="5"/>
  <c r="E389" i="5"/>
  <c r="E46" i="5"/>
  <c r="E302" i="5"/>
  <c r="E7" i="5"/>
  <c r="E263" i="5"/>
  <c r="E519" i="5"/>
  <c r="D518" i="5"/>
  <c r="D53" i="5"/>
  <c r="D330" i="5"/>
  <c r="D528" i="5"/>
  <c r="D419" i="5"/>
  <c r="E583" i="5"/>
  <c r="E398" i="5"/>
  <c r="E421" i="5"/>
  <c r="E340" i="5"/>
  <c r="E477" i="5"/>
  <c r="E12" i="5"/>
  <c r="E587" i="5"/>
  <c r="E486" i="5"/>
  <c r="E253" i="5"/>
  <c r="E330" i="5"/>
  <c r="E580" i="5"/>
  <c r="E290" i="5"/>
  <c r="E247" i="5"/>
  <c r="E85" i="5"/>
  <c r="E329" i="5"/>
  <c r="E442" i="5"/>
  <c r="E15" i="5"/>
  <c r="E252" i="5"/>
  <c r="E139" i="5"/>
  <c r="E208" i="5"/>
  <c r="E40" i="5"/>
  <c r="E448" i="5"/>
  <c r="E513" i="5"/>
  <c r="D447" i="5"/>
  <c r="D454" i="5"/>
  <c r="D317" i="5"/>
  <c r="D539" i="5"/>
  <c r="D414" i="5"/>
  <c r="D189" i="5"/>
  <c r="D74" i="5"/>
  <c r="D368" i="5"/>
  <c r="D392" i="5"/>
  <c r="E551" i="5"/>
  <c r="E366" i="5"/>
  <c r="E229" i="5"/>
  <c r="E308" i="5"/>
  <c r="E413" i="5"/>
  <c r="E554" i="5"/>
  <c r="E411" i="5"/>
  <c r="E454" i="5"/>
  <c r="E492" i="5"/>
  <c r="E234" i="5"/>
  <c r="E516" i="5"/>
  <c r="E553" i="5"/>
  <c r="E215" i="5"/>
  <c r="E21" i="5"/>
  <c r="E150" i="5"/>
  <c r="E410" i="5"/>
  <c r="E566" i="5"/>
  <c r="E220" i="5"/>
  <c r="E569" i="5"/>
  <c r="E144" i="5"/>
  <c r="E289" i="5"/>
  <c r="E288" i="5"/>
  <c r="E481" i="5"/>
  <c r="E193" i="5"/>
  <c r="E4" i="5"/>
  <c r="E73" i="5"/>
  <c r="E416" i="5"/>
  <c r="D255" i="5"/>
  <c r="D262" i="5"/>
  <c r="D61" i="5"/>
  <c r="D407" i="5"/>
  <c r="D190" i="5"/>
  <c r="D484" i="5"/>
  <c r="D264" i="5"/>
  <c r="D493" i="5"/>
  <c r="E327" i="5"/>
  <c r="E142" i="5"/>
  <c r="E165" i="5"/>
  <c r="E84" i="5"/>
  <c r="E542" i="5"/>
  <c r="E426" i="5"/>
  <c r="E415" i="5"/>
  <c r="E198" i="5"/>
  <c r="E364" i="5"/>
  <c r="E465" i="5"/>
  <c r="E36" i="5"/>
  <c r="E425" i="5"/>
  <c r="E518" i="5"/>
  <c r="E196" i="5"/>
  <c r="E141" i="5"/>
  <c r="E154" i="5"/>
  <c r="E278" i="5"/>
  <c r="E435" i="5"/>
  <c r="E313" i="5"/>
  <c r="E33" i="5"/>
  <c r="E57" i="5"/>
  <c r="E419" i="5"/>
  <c r="E256" i="5"/>
  <c r="C43" i="5"/>
  <c r="C136" i="5"/>
  <c r="C652" i="5"/>
  <c r="C61" i="5"/>
  <c r="C165" i="5"/>
  <c r="C323" i="5"/>
  <c r="C660" i="5"/>
  <c r="C93" i="5"/>
  <c r="C189" i="5"/>
  <c r="C285" i="5"/>
  <c r="C445" i="5"/>
  <c r="C541" i="5"/>
  <c r="G541" i="5" s="1"/>
  <c r="F541" i="1" s="1"/>
  <c r="C621" i="5"/>
  <c r="C6" i="5"/>
  <c r="C222" i="5"/>
  <c r="C318" i="5"/>
  <c r="C422" i="5"/>
  <c r="C518" i="5"/>
  <c r="C598" i="5"/>
  <c r="C662" i="5"/>
  <c r="C151" i="5"/>
  <c r="C658" i="5"/>
  <c r="C731" i="5"/>
  <c r="C795" i="5"/>
  <c r="C648" i="5"/>
  <c r="C724" i="5"/>
  <c r="C788" i="5"/>
  <c r="C185" i="5"/>
  <c r="C685" i="5"/>
  <c r="C749" i="5"/>
  <c r="C511" i="5"/>
  <c r="C625" i="5"/>
  <c r="C710" i="5"/>
  <c r="C774" i="5"/>
  <c r="C287" i="5"/>
  <c r="C551" i="5"/>
  <c r="C665" i="5"/>
  <c r="C735" i="5"/>
  <c r="C799" i="5"/>
  <c r="C371" i="5"/>
  <c r="G371" i="5" s="1"/>
  <c r="F371" i="1" s="1"/>
  <c r="C563" i="5"/>
  <c r="C666" i="5"/>
  <c r="C736" i="5"/>
  <c r="C656" i="5"/>
  <c r="C729" i="5"/>
  <c r="C793" i="5"/>
  <c r="C857" i="5"/>
  <c r="C921" i="5"/>
  <c r="C274" i="5"/>
  <c r="C822" i="5"/>
  <c r="C895" i="5"/>
  <c r="C968" i="5"/>
  <c r="C1034" i="5"/>
  <c r="C947" i="5"/>
  <c r="C920" i="5"/>
  <c r="C821" i="5"/>
  <c r="C814" i="5"/>
  <c r="C887" i="5"/>
  <c r="C960" i="5"/>
  <c r="C1027" i="5"/>
  <c r="C928" i="5"/>
  <c r="C1016" i="5"/>
  <c r="C993" i="5"/>
  <c r="C815" i="5"/>
  <c r="C888" i="5"/>
  <c r="C962" i="5"/>
  <c r="C588" i="5"/>
  <c r="C668" i="5"/>
  <c r="C213" i="5"/>
  <c r="C293" i="5"/>
  <c r="C373" i="5"/>
  <c r="C469" i="5"/>
  <c r="C549" i="5"/>
  <c r="G549" i="5" s="1"/>
  <c r="F549" i="1" s="1"/>
  <c r="C629" i="5"/>
  <c r="C30" i="5"/>
  <c r="C126" i="5"/>
  <c r="C230" i="5"/>
  <c r="G230" i="5" s="1"/>
  <c r="F230" i="1" s="1"/>
  <c r="C326" i="5"/>
  <c r="C526" i="5"/>
  <c r="C606" i="5"/>
  <c r="C670" i="5"/>
  <c r="C167" i="5"/>
  <c r="C391" i="5"/>
  <c r="C672" i="5"/>
  <c r="C739" i="5"/>
  <c r="C803" i="5"/>
  <c r="C659" i="5"/>
  <c r="C732" i="5"/>
  <c r="C796" i="5"/>
  <c r="C599" i="5"/>
  <c r="C693" i="5"/>
  <c r="C757" i="5"/>
  <c r="C383" i="5"/>
  <c r="C639" i="5"/>
  <c r="C718" i="5"/>
  <c r="C782" i="5"/>
  <c r="C127" i="5"/>
  <c r="C319" i="5"/>
  <c r="C562" i="5"/>
  <c r="C679" i="5"/>
  <c r="C743" i="5"/>
  <c r="C680" i="5"/>
  <c r="C744" i="5"/>
  <c r="C567" i="5"/>
  <c r="C667" i="5"/>
  <c r="C737" i="5"/>
  <c r="C801" i="5"/>
  <c r="C865" i="5"/>
  <c r="C929" i="5"/>
  <c r="C831" i="5"/>
  <c r="C904" i="5"/>
  <c r="C978" i="5"/>
  <c r="C1042" i="5"/>
  <c r="C991" i="5"/>
  <c r="C966" i="5"/>
  <c r="C848" i="5"/>
  <c r="C823" i="5"/>
  <c r="C896" i="5"/>
  <c r="C970" i="5"/>
  <c r="C1035" i="5"/>
  <c r="C956" i="5"/>
  <c r="C1040" i="5"/>
  <c r="C1017" i="5"/>
  <c r="C824" i="5"/>
  <c r="C898" i="5"/>
  <c r="C612" i="5"/>
  <c r="C21" i="5"/>
  <c r="C125" i="5"/>
  <c r="C229" i="5"/>
  <c r="G229" i="5" s="1"/>
  <c r="F229" i="1" s="1"/>
  <c r="C309" i="5"/>
  <c r="G309" i="5" s="1"/>
  <c r="F309" i="1" s="1"/>
  <c r="C405" i="5"/>
  <c r="C485" i="5"/>
  <c r="C565" i="5"/>
  <c r="G565" i="5" s="1"/>
  <c r="F565" i="1" s="1"/>
  <c r="C645" i="5"/>
  <c r="C158" i="5"/>
  <c r="G158" i="5" s="1"/>
  <c r="F158" i="1" s="1"/>
  <c r="C254" i="5"/>
  <c r="C358" i="5"/>
  <c r="C454" i="5"/>
  <c r="C542" i="5"/>
  <c r="C622" i="5"/>
  <c r="C23" i="5"/>
  <c r="C215" i="5"/>
  <c r="C519" i="5"/>
  <c r="C691" i="5"/>
  <c r="C755" i="5"/>
  <c r="C531" i="5"/>
  <c r="G531" i="5" s="1"/>
  <c r="F531" i="1" s="1"/>
  <c r="C684" i="5"/>
  <c r="C748" i="5"/>
  <c r="C407" i="5"/>
  <c r="G407" i="5" s="1"/>
  <c r="F407" i="1" s="1"/>
  <c r="C624" i="5"/>
  <c r="C709" i="5"/>
  <c r="C773" i="5"/>
  <c r="C266" i="5"/>
  <c r="C664" i="5"/>
  <c r="C734" i="5"/>
  <c r="C798" i="5"/>
  <c r="C191" i="5"/>
  <c r="G191" i="5" s="1"/>
  <c r="F191" i="1" s="1"/>
  <c r="C359" i="5"/>
  <c r="G359" i="5" s="1"/>
  <c r="F359" i="1" s="1"/>
  <c r="C601" i="5"/>
  <c r="C695" i="5"/>
  <c r="C759" i="5"/>
  <c r="C83" i="5"/>
  <c r="C283" i="5"/>
  <c r="C228" i="5"/>
  <c r="C628" i="5"/>
  <c r="C117" i="5"/>
  <c r="C253" i="5"/>
  <c r="C413" i="5"/>
  <c r="C533" i="5"/>
  <c r="G533" i="5" s="1"/>
  <c r="F533" i="1" s="1"/>
  <c r="C661" i="5"/>
  <c r="C134" i="5"/>
  <c r="C294" i="5"/>
  <c r="C478" i="5"/>
  <c r="C590" i="5"/>
  <c r="C55" i="5"/>
  <c r="C427" i="5"/>
  <c r="C715" i="5"/>
  <c r="C700" i="5"/>
  <c r="C343" i="5"/>
  <c r="C535" i="5"/>
  <c r="C674" i="5"/>
  <c r="C789" i="5"/>
  <c r="C234" i="5"/>
  <c r="C458" i="5"/>
  <c r="C675" i="5"/>
  <c r="C766" i="5"/>
  <c r="C223" i="5"/>
  <c r="C587" i="5"/>
  <c r="G587" i="5" s="1"/>
  <c r="F587" i="1" s="1"/>
  <c r="C719" i="5"/>
  <c r="C602" i="5"/>
  <c r="C712" i="5"/>
  <c r="C792" i="5"/>
  <c r="C411" i="5"/>
  <c r="C539" i="5"/>
  <c r="G539" i="5" s="1"/>
  <c r="F539" i="1" s="1"/>
  <c r="C689" i="5"/>
  <c r="C769" i="5"/>
  <c r="C849" i="5"/>
  <c r="C945" i="5"/>
  <c r="C754" i="5"/>
  <c r="C886" i="5"/>
  <c r="C994" i="5"/>
  <c r="C828" i="5"/>
  <c r="C893" i="5"/>
  <c r="C922" i="5"/>
  <c r="C698" i="5"/>
  <c r="C878" i="5"/>
  <c r="C987" i="5"/>
  <c r="C810" i="5"/>
  <c r="C975" i="5"/>
  <c r="C515" i="5"/>
  <c r="C861" i="5"/>
  <c r="C952" i="5"/>
  <c r="C1028" i="5"/>
  <c r="C938" i="5"/>
  <c r="C984" i="5"/>
  <c r="C967" i="5"/>
  <c r="C632" i="5"/>
  <c r="C853" i="5"/>
  <c r="C926" i="5"/>
  <c r="C997" i="5"/>
  <c r="C974" i="5"/>
  <c r="C210" i="5"/>
  <c r="C818" i="5"/>
  <c r="C891" i="5"/>
  <c r="C964" i="5"/>
  <c r="C1030" i="5"/>
  <c r="C1023" i="5"/>
  <c r="C812" i="5"/>
  <c r="C900" i="5"/>
  <c r="C1038" i="5"/>
  <c r="C876" i="5"/>
  <c r="C626" i="5"/>
  <c r="C81" i="5"/>
  <c r="G81" i="5" s="1"/>
  <c r="F81" i="1" s="1"/>
  <c r="C592" i="5"/>
  <c r="C881" i="5"/>
  <c r="C923" i="5"/>
  <c r="C919" i="5"/>
  <c r="C976" i="5"/>
  <c r="C1003" i="5"/>
  <c r="C830" i="5"/>
  <c r="C980" i="5"/>
  <c r="C376" i="5"/>
  <c r="C871" i="5"/>
  <c r="C242" i="5"/>
  <c r="C836" i="5"/>
  <c r="C1046" i="5"/>
  <c r="C858" i="5"/>
  <c r="C1045" i="5"/>
  <c r="C66" i="5"/>
  <c r="C1029" i="5"/>
  <c r="C845" i="5"/>
  <c r="C829" i="5"/>
  <c r="C100" i="5"/>
  <c r="C181" i="5"/>
  <c r="C62" i="5"/>
  <c r="C646" i="5"/>
  <c r="C264" i="5"/>
  <c r="G264" i="5" s="1"/>
  <c r="F264" i="1" s="1"/>
  <c r="C610" i="5"/>
  <c r="C344" i="5"/>
  <c r="C651" i="5"/>
  <c r="C760" i="5"/>
  <c r="C817" i="5"/>
  <c r="C107" i="5"/>
  <c r="C236" i="5"/>
  <c r="C460" i="5"/>
  <c r="C636" i="5"/>
  <c r="C149" i="5"/>
  <c r="C277" i="5"/>
  <c r="G277" i="5" s="1"/>
  <c r="F277" i="1" s="1"/>
  <c r="C421" i="5"/>
  <c r="C669" i="5"/>
  <c r="C166" i="5"/>
  <c r="C486" i="5"/>
  <c r="G486" i="5" s="1"/>
  <c r="F486" i="1" s="1"/>
  <c r="C614" i="5"/>
  <c r="C87" i="5"/>
  <c r="C608" i="5"/>
  <c r="C723" i="5"/>
  <c r="C708" i="5"/>
  <c r="C354" i="5"/>
  <c r="C546" i="5"/>
  <c r="C701" i="5"/>
  <c r="C797" i="5"/>
  <c r="C298" i="5"/>
  <c r="C497" i="5"/>
  <c r="G497" i="5" s="1"/>
  <c r="F497" i="1" s="1"/>
  <c r="C686" i="5"/>
  <c r="C790" i="5"/>
  <c r="C615" i="5"/>
  <c r="C727" i="5"/>
  <c r="C616" i="5"/>
  <c r="C720" i="5"/>
  <c r="C49" i="5"/>
  <c r="C273" i="5"/>
  <c r="G273" i="5" s="1"/>
  <c r="F273" i="1" s="1"/>
  <c r="C578" i="5"/>
  <c r="C697" i="5"/>
  <c r="C777" i="5"/>
  <c r="C873" i="5"/>
  <c r="C953" i="5"/>
  <c r="C804" i="5"/>
  <c r="C914" i="5"/>
  <c r="C1002" i="5"/>
  <c r="C874" i="5"/>
  <c r="C1008" i="5"/>
  <c r="C949" i="5"/>
  <c r="C762" i="5"/>
  <c r="C906" i="5"/>
  <c r="C995" i="5"/>
  <c r="C837" i="5"/>
  <c r="C479" i="5"/>
  <c r="G479" i="5" s="1"/>
  <c r="F479" i="1" s="1"/>
  <c r="C618" i="5"/>
  <c r="C870" i="5"/>
  <c r="C971" i="5"/>
  <c r="C1036" i="5"/>
  <c r="C965" i="5"/>
  <c r="C1024" i="5"/>
  <c r="C1001" i="5"/>
  <c r="C714" i="5"/>
  <c r="C862" i="5"/>
  <c r="C935" i="5"/>
  <c r="C1005" i="5"/>
  <c r="C1015" i="5"/>
  <c r="C337" i="5"/>
  <c r="C827" i="5"/>
  <c r="C973" i="5"/>
  <c r="C362" i="5"/>
  <c r="C255" i="5"/>
  <c r="C144" i="5"/>
  <c r="C728" i="5"/>
  <c r="C439" i="5"/>
  <c r="C785" i="5"/>
  <c r="C961" i="5"/>
  <c r="C1010" i="5"/>
  <c r="C805" i="5"/>
  <c r="C883" i="5"/>
  <c r="C879" i="5"/>
  <c r="C1007" i="5"/>
  <c r="C778" i="5"/>
  <c r="C944" i="5"/>
  <c r="C440" i="5"/>
  <c r="G440" i="5" s="1"/>
  <c r="F440" i="1" s="1"/>
  <c r="C982" i="5"/>
  <c r="C931" i="5"/>
  <c r="C907" i="5"/>
  <c r="C802" i="5"/>
  <c r="C954" i="5"/>
  <c r="C543" i="5"/>
  <c r="C918" i="5"/>
  <c r="C985" i="5"/>
  <c r="C324" i="5"/>
  <c r="C341" i="5"/>
  <c r="C198" i="5"/>
  <c r="C647" i="5"/>
  <c r="C756" i="5"/>
  <c r="C733" i="5"/>
  <c r="C726" i="5"/>
  <c r="C775" i="5"/>
  <c r="C489" i="5"/>
  <c r="C977" i="5"/>
  <c r="C123" i="5"/>
  <c r="G123" i="5" s="1"/>
  <c r="F123" i="1" s="1"/>
  <c r="C36" i="5"/>
  <c r="C260" i="5"/>
  <c r="G260" i="5" s="1"/>
  <c r="F260" i="1" s="1"/>
  <c r="C492" i="5"/>
  <c r="C644" i="5"/>
  <c r="C157" i="5"/>
  <c r="C573" i="5"/>
  <c r="G573" i="5" s="1"/>
  <c r="F573" i="1" s="1"/>
  <c r="C677" i="5"/>
  <c r="C350" i="5"/>
  <c r="C630" i="5"/>
  <c r="C119" i="5"/>
  <c r="G119" i="5" s="1"/>
  <c r="F119" i="1" s="1"/>
  <c r="C619" i="5"/>
  <c r="C747" i="5"/>
  <c r="C716" i="5"/>
  <c r="C393" i="5"/>
  <c r="C560" i="5"/>
  <c r="C717" i="5"/>
  <c r="C10" i="5"/>
  <c r="C694" i="5"/>
  <c r="C31" i="5"/>
  <c r="C751" i="5"/>
  <c r="C627" i="5"/>
  <c r="C705" i="5"/>
  <c r="C813" i="5"/>
  <c r="C1032" i="5"/>
  <c r="C915" i="5"/>
  <c r="C706" i="5"/>
  <c r="C1044" i="5"/>
  <c r="C1025" i="5"/>
  <c r="C1013" i="5"/>
  <c r="C909" i="5"/>
  <c r="C738" i="5"/>
  <c r="C770" i="5"/>
  <c r="C1031" i="5"/>
  <c r="C807" i="5"/>
  <c r="C800" i="5"/>
  <c r="C990" i="5"/>
  <c r="C29" i="5"/>
  <c r="G29" i="5" s="1"/>
  <c r="F29" i="1" s="1"/>
  <c r="C605" i="5"/>
  <c r="C534" i="5"/>
  <c r="G534" i="5" s="1"/>
  <c r="F534" i="1" s="1"/>
  <c r="C771" i="5"/>
  <c r="C432" i="5"/>
  <c r="C106" i="5"/>
  <c r="C434" i="5"/>
  <c r="G434" i="5" s="1"/>
  <c r="F434" i="1" s="1"/>
  <c r="C655" i="5"/>
  <c r="C617" i="5"/>
  <c r="C147" i="5"/>
  <c r="C68" i="5"/>
  <c r="C268" i="5"/>
  <c r="C516" i="5"/>
  <c r="C676" i="5"/>
  <c r="C317" i="5"/>
  <c r="G317" i="5" s="1"/>
  <c r="F317" i="1" s="1"/>
  <c r="C437" i="5"/>
  <c r="C597" i="5"/>
  <c r="C38" i="5"/>
  <c r="G38" i="5" s="1"/>
  <c r="F38" i="1" s="1"/>
  <c r="C190" i="5"/>
  <c r="G190" i="5" s="1"/>
  <c r="F190" i="1" s="1"/>
  <c r="C638" i="5"/>
  <c r="C183" i="5"/>
  <c r="C633" i="5"/>
  <c r="C763" i="5"/>
  <c r="C609" i="5"/>
  <c r="C740" i="5"/>
  <c r="C418" i="5"/>
  <c r="C571" i="5"/>
  <c r="G571" i="5" s="1"/>
  <c r="F571" i="1" s="1"/>
  <c r="C725" i="5"/>
  <c r="C74" i="5"/>
  <c r="G74" i="5" s="1"/>
  <c r="F74" i="1" s="1"/>
  <c r="C330" i="5"/>
  <c r="G330" i="5" s="1"/>
  <c r="F330" i="1" s="1"/>
  <c r="C575" i="5"/>
  <c r="C702" i="5"/>
  <c r="C63" i="5"/>
  <c r="C640" i="5"/>
  <c r="C767" i="5"/>
  <c r="C176" i="5"/>
  <c r="G176" i="5" s="1"/>
  <c r="F176" i="1" s="1"/>
  <c r="C641" i="5"/>
  <c r="C752" i="5"/>
  <c r="C113" i="5"/>
  <c r="C305" i="5"/>
  <c r="C603" i="5"/>
  <c r="C713" i="5"/>
  <c r="C809" i="5"/>
  <c r="C889" i="5"/>
  <c r="C969" i="5"/>
  <c r="C840" i="5"/>
  <c r="C932" i="5"/>
  <c r="C1018" i="5"/>
  <c r="C1039" i="5"/>
  <c r="C130" i="5"/>
  <c r="C1009" i="5"/>
  <c r="C832" i="5"/>
  <c r="C924" i="5"/>
  <c r="C1011" i="5"/>
  <c r="C999" i="5"/>
  <c r="C988" i="5"/>
  <c r="C880" i="5"/>
  <c r="C226" i="5"/>
  <c r="C524" i="5"/>
  <c r="C382" i="5"/>
  <c r="C623" i="5"/>
  <c r="C586" i="5"/>
  <c r="G586" i="5" s="1"/>
  <c r="F586" i="1" s="1"/>
  <c r="C897" i="5"/>
  <c r="C179" i="5"/>
  <c r="C477" i="5"/>
  <c r="C247" i="5"/>
  <c r="C169" i="5"/>
  <c r="G169" i="5" s="1"/>
  <c r="F169" i="1" s="1"/>
  <c r="C240" i="5"/>
  <c r="C721" i="5"/>
  <c r="C235" i="5"/>
  <c r="C396" i="5"/>
  <c r="C613" i="5"/>
  <c r="C286" i="5"/>
  <c r="C678" i="5"/>
  <c r="C779" i="5"/>
  <c r="C692" i="5"/>
  <c r="C471" i="5"/>
  <c r="G471" i="5" s="1"/>
  <c r="F471" i="1" s="1"/>
  <c r="C138" i="5"/>
  <c r="C650" i="5"/>
  <c r="C459" i="5"/>
  <c r="C272" i="5"/>
  <c r="C704" i="5"/>
  <c r="C386" i="5"/>
  <c r="C745" i="5"/>
  <c r="C937" i="5"/>
  <c r="C941" i="5"/>
  <c r="C671" i="5"/>
  <c r="C1041" i="5"/>
  <c r="C933" i="5"/>
  <c r="C1047" i="5"/>
  <c r="C806" i="5"/>
  <c r="C996" i="5"/>
  <c r="C465" i="5"/>
  <c r="C194" i="5"/>
  <c r="C890" i="5"/>
  <c r="C351" i="5"/>
  <c r="C643" i="5"/>
  <c r="C927" i="5"/>
  <c r="C657" i="5"/>
  <c r="C1033" i="5"/>
  <c r="C834" i="5"/>
  <c r="C866" i="5"/>
  <c r="C899" i="5"/>
  <c r="C730" i="5"/>
  <c r="C936" i="5"/>
  <c r="C843" i="5"/>
  <c r="C426" i="5"/>
  <c r="C786" i="5"/>
  <c r="C514" i="5"/>
  <c r="C847" i="5"/>
  <c r="C852" i="5"/>
  <c r="C529" i="5"/>
  <c r="C955" i="5"/>
  <c r="C842" i="5"/>
  <c r="C916" i="5"/>
  <c r="C838" i="5"/>
  <c r="C875" i="5"/>
  <c r="C403" i="5"/>
  <c r="C159" i="5"/>
  <c r="G159" i="5" s="1"/>
  <c r="F159" i="1" s="1"/>
  <c r="C631" i="5"/>
  <c r="C1043" i="5"/>
  <c r="C867" i="5"/>
  <c r="C863" i="5"/>
  <c r="C501" i="5"/>
  <c r="C329" i="5"/>
  <c r="C688" i="5"/>
  <c r="C905" i="5"/>
  <c r="C1037" i="5"/>
  <c r="C864" i="5"/>
  <c r="C872" i="5"/>
  <c r="C1000" i="5"/>
  <c r="C262" i="5"/>
  <c r="G262" i="5" s="1"/>
  <c r="F262" i="1" s="1"/>
  <c r="C707" i="5"/>
  <c r="C448" i="5"/>
  <c r="C696" i="5"/>
  <c r="C794" i="5"/>
  <c r="C415" i="5"/>
  <c r="G415" i="5" s="1"/>
  <c r="F415" i="1" s="1"/>
  <c r="C844" i="5"/>
  <c r="C1022" i="5"/>
  <c r="C251" i="5"/>
  <c r="C548" i="5"/>
  <c r="C245" i="5"/>
  <c r="C637" i="5"/>
  <c r="C390" i="5"/>
  <c r="C39" i="5"/>
  <c r="C787" i="5"/>
  <c r="C764" i="5"/>
  <c r="C170" i="5"/>
  <c r="C742" i="5"/>
  <c r="C523" i="5"/>
  <c r="C304" i="5"/>
  <c r="C768" i="5"/>
  <c r="C400" i="5"/>
  <c r="C753" i="5"/>
  <c r="C490" i="5"/>
  <c r="C950" i="5"/>
  <c r="C811" i="5"/>
  <c r="C290" i="5"/>
  <c r="C942" i="5"/>
  <c r="C856" i="5"/>
  <c r="C1004" i="5"/>
  <c r="C322" i="5"/>
  <c r="C722" i="5"/>
  <c r="C846" i="5"/>
  <c r="C911" i="5"/>
  <c r="C855" i="5"/>
  <c r="C901" i="5"/>
  <c r="C825" i="5"/>
  <c r="C607" i="5"/>
  <c r="C1020" i="5"/>
  <c r="C917" i="5"/>
  <c r="C983" i="5"/>
  <c r="C1019" i="5"/>
  <c r="C554" i="5"/>
  <c r="C854" i="5"/>
  <c r="C102" i="5"/>
  <c r="C297" i="5"/>
  <c r="C783" i="5"/>
  <c r="C859" i="5"/>
  <c r="C851" i="5"/>
  <c r="C819" i="5"/>
  <c r="C884" i="5"/>
  <c r="C364" i="5"/>
  <c r="C699" i="5"/>
  <c r="C765" i="5"/>
  <c r="C241" i="5"/>
  <c r="C746" i="5"/>
  <c r="C934" i="5"/>
  <c r="C930" i="5"/>
  <c r="C1014" i="5"/>
  <c r="C509" i="5"/>
  <c r="C673" i="5"/>
  <c r="C48" i="5"/>
  <c r="C913" i="5"/>
  <c r="C869" i="5"/>
  <c r="C892" i="5"/>
  <c r="C989" i="5"/>
  <c r="C259" i="5"/>
  <c r="C604" i="5"/>
  <c r="C349" i="5"/>
  <c r="C653" i="5"/>
  <c r="C414" i="5"/>
  <c r="G414" i="5" s="1"/>
  <c r="F414" i="1" s="1"/>
  <c r="C279" i="5"/>
  <c r="C8" i="5"/>
  <c r="C772" i="5"/>
  <c r="C635" i="5"/>
  <c r="C750" i="5"/>
  <c r="C687" i="5"/>
  <c r="C776" i="5"/>
  <c r="C503" i="5"/>
  <c r="C761" i="5"/>
  <c r="C593" i="5"/>
  <c r="C959" i="5"/>
  <c r="C820" i="5"/>
  <c r="C401" i="5"/>
  <c r="C951" i="5"/>
  <c r="C902" i="5"/>
  <c r="C1012" i="5"/>
  <c r="C908" i="5"/>
  <c r="C946" i="5"/>
  <c r="C986" i="5"/>
  <c r="C979" i="5"/>
  <c r="C957" i="5"/>
  <c r="C910" i="5"/>
  <c r="C1026" i="5"/>
  <c r="C885" i="5"/>
  <c r="C963" i="5"/>
  <c r="C998" i="5"/>
  <c r="C172" i="5"/>
  <c r="C683" i="5"/>
  <c r="C447" i="5"/>
  <c r="G447" i="5" s="1"/>
  <c r="F447" i="1" s="1"/>
  <c r="C1021" i="5"/>
  <c r="C912" i="5"/>
  <c r="C972" i="5"/>
  <c r="C939" i="5"/>
  <c r="C85" i="5"/>
  <c r="C634" i="5"/>
  <c r="C600" i="5"/>
  <c r="C642" i="5"/>
  <c r="C860" i="5"/>
  <c r="C958" i="5"/>
  <c r="C981" i="5"/>
  <c r="C388" i="5"/>
  <c r="C654" i="5"/>
  <c r="C611" i="5"/>
  <c r="C375" i="5"/>
  <c r="G375" i="5" s="1"/>
  <c r="F375" i="1" s="1"/>
  <c r="C894" i="5"/>
  <c r="C943" i="5"/>
  <c r="C992" i="5"/>
  <c r="C108" i="5"/>
  <c r="G108" i="5" s="1"/>
  <c r="F108" i="1" s="1"/>
  <c r="C620" i="5"/>
  <c r="C357" i="5"/>
  <c r="G357" i="5" s="1"/>
  <c r="F357" i="1" s="1"/>
  <c r="C70" i="5"/>
  <c r="C446" i="5"/>
  <c r="G446" i="5" s="1"/>
  <c r="F446" i="1" s="1"/>
  <c r="C295" i="5"/>
  <c r="G295" i="5" s="1"/>
  <c r="F295" i="1" s="1"/>
  <c r="C328" i="5"/>
  <c r="C780" i="5"/>
  <c r="C649" i="5"/>
  <c r="C394" i="5"/>
  <c r="C758" i="5"/>
  <c r="C703" i="5"/>
  <c r="C488" i="5"/>
  <c r="C784" i="5"/>
  <c r="C690" i="5"/>
  <c r="C948" i="5"/>
  <c r="C808" i="5"/>
  <c r="C816" i="5"/>
  <c r="C682" i="5"/>
  <c r="C826" i="5"/>
  <c r="C582" i="5"/>
  <c r="C791" i="5"/>
  <c r="C868" i="5"/>
  <c r="C835" i="5"/>
  <c r="C221" i="5"/>
  <c r="C457" i="5"/>
  <c r="C681" i="5"/>
  <c r="C451" i="5"/>
  <c r="C882" i="5"/>
  <c r="C132" i="5"/>
  <c r="C381" i="5"/>
  <c r="G381" i="5" s="1"/>
  <c r="F381" i="1" s="1"/>
  <c r="C94" i="5"/>
  <c r="C311" i="5"/>
  <c r="C392" i="5"/>
  <c r="G392" i="5" s="1"/>
  <c r="F392" i="1" s="1"/>
  <c r="C233" i="5"/>
  <c r="C663" i="5"/>
  <c r="C433" i="5"/>
  <c r="C95" i="5"/>
  <c r="C711" i="5"/>
  <c r="C552" i="5"/>
  <c r="C145" i="5"/>
  <c r="C528" i="5"/>
  <c r="G528" i="5" s="1"/>
  <c r="F528" i="1" s="1"/>
  <c r="C833" i="5"/>
  <c r="C850" i="5"/>
  <c r="C579" i="5"/>
  <c r="G579" i="5" s="1"/>
  <c r="F579" i="1" s="1"/>
  <c r="C839" i="5"/>
  <c r="C53" i="5"/>
  <c r="G53" i="5" s="1"/>
  <c r="F53" i="1" s="1"/>
  <c r="C741" i="5"/>
  <c r="C841" i="5"/>
  <c r="C925" i="5"/>
  <c r="C1006" i="5"/>
  <c r="C246" i="5"/>
  <c r="C207" i="5"/>
  <c r="C98" i="5"/>
  <c r="C903" i="5"/>
  <c r="C11" i="5"/>
  <c r="C781" i="5"/>
  <c r="C877" i="5"/>
  <c r="C940" i="5"/>
  <c r="C258" i="5"/>
  <c r="C566" i="5"/>
  <c r="C352" i="5"/>
  <c r="C378" i="5"/>
  <c r="C156" i="5"/>
  <c r="C205" i="5"/>
  <c r="C449" i="5"/>
  <c r="C314" i="5"/>
  <c r="C192" i="5"/>
  <c r="C502" i="5"/>
  <c r="C54" i="5"/>
  <c r="C463" i="5"/>
  <c r="C41" i="5"/>
  <c r="C177" i="5"/>
  <c r="C44" i="5"/>
  <c r="C520" i="5"/>
  <c r="C456" i="5"/>
  <c r="C171" i="5"/>
  <c r="C580" i="5"/>
  <c r="C204" i="5"/>
  <c r="C428" i="5"/>
  <c r="C202" i="5"/>
  <c r="C51" i="5"/>
  <c r="C88" i="5"/>
  <c r="C216" i="5"/>
  <c r="C249" i="5"/>
  <c r="C377" i="5"/>
  <c r="C505" i="5"/>
  <c r="C299" i="5"/>
  <c r="C82" i="5"/>
  <c r="C530" i="5"/>
  <c r="C20" i="5"/>
  <c r="C148" i="5"/>
  <c r="C276" i="5"/>
  <c r="C404" i="5"/>
  <c r="C532" i="5"/>
  <c r="C5" i="5"/>
  <c r="C133" i="5"/>
  <c r="C110" i="5"/>
  <c r="C366" i="5"/>
  <c r="G366" i="5" s="1"/>
  <c r="F366" i="1" s="1"/>
  <c r="C103" i="5"/>
  <c r="G103" i="5" s="1"/>
  <c r="F103" i="1" s="1"/>
  <c r="C487" i="5"/>
  <c r="C86" i="5"/>
  <c r="C47" i="5"/>
  <c r="C431" i="5"/>
  <c r="C161" i="5"/>
  <c r="C576" i="5"/>
  <c r="C545" i="5"/>
  <c r="C131" i="5"/>
  <c r="C316" i="5"/>
  <c r="C429" i="5"/>
  <c r="C385" i="5"/>
  <c r="C79" i="5"/>
  <c r="C288" i="5"/>
  <c r="C193" i="5"/>
  <c r="C122" i="5"/>
  <c r="C124" i="5"/>
  <c r="C572" i="5"/>
  <c r="C438" i="5"/>
  <c r="C252" i="5"/>
  <c r="C301" i="5"/>
  <c r="C547" i="5"/>
  <c r="C331" i="5"/>
  <c r="C220" i="5"/>
  <c r="C200" i="5"/>
  <c r="C265" i="5"/>
  <c r="C203" i="5"/>
  <c r="C80" i="5"/>
  <c r="C464" i="5"/>
  <c r="C104" i="5"/>
  <c r="C72" i="5"/>
  <c r="C19" i="5"/>
  <c r="C300" i="5"/>
  <c r="C42" i="5"/>
  <c r="C536" i="5"/>
  <c r="C491" i="5"/>
  <c r="C121" i="5"/>
  <c r="C402" i="5"/>
  <c r="C595" i="5"/>
  <c r="C155" i="5"/>
  <c r="C325" i="5"/>
  <c r="C46" i="5"/>
  <c r="C142" i="5"/>
  <c r="G142" i="5" s="1"/>
  <c r="F142" i="1" s="1"/>
  <c r="C398" i="5"/>
  <c r="G398" i="5" s="1"/>
  <c r="F398" i="1" s="1"/>
  <c r="C135" i="5"/>
  <c r="G135" i="5" s="1"/>
  <c r="F135" i="1" s="1"/>
  <c r="C583" i="5"/>
  <c r="G583" i="5" s="1"/>
  <c r="F583" i="1" s="1"/>
  <c r="C150" i="5"/>
  <c r="C143" i="5"/>
  <c r="G143" i="5" s="1"/>
  <c r="F143" i="1" s="1"/>
  <c r="C527" i="5"/>
  <c r="G527" i="5" s="1"/>
  <c r="F527" i="1" s="1"/>
  <c r="C186" i="5"/>
  <c r="C45" i="5"/>
  <c r="C512" i="5"/>
  <c r="C187" i="5"/>
  <c r="C570" i="5"/>
  <c r="C348" i="5"/>
  <c r="C395" i="5"/>
  <c r="C577" i="5"/>
  <c r="C506" i="5"/>
  <c r="C397" i="5"/>
  <c r="C239" i="5"/>
  <c r="C320" i="5"/>
  <c r="C475" i="5"/>
  <c r="C495" i="5"/>
  <c r="C105" i="5"/>
  <c r="C17" i="5"/>
  <c r="C209" i="5"/>
  <c r="C307" i="5"/>
  <c r="C267" i="5"/>
  <c r="C164" i="5"/>
  <c r="C482" i="5"/>
  <c r="C120" i="5"/>
  <c r="G120" i="5" s="1"/>
  <c r="F120" i="1" s="1"/>
  <c r="C248" i="5"/>
  <c r="C408" i="5"/>
  <c r="G408" i="5" s="1"/>
  <c r="F408" i="1" s="1"/>
  <c r="C281" i="5"/>
  <c r="G281" i="5" s="1"/>
  <c r="F281" i="1" s="1"/>
  <c r="C409" i="5"/>
  <c r="G409" i="5" s="1"/>
  <c r="F409" i="1" s="1"/>
  <c r="C537" i="5"/>
  <c r="G537" i="5" s="1"/>
  <c r="F537" i="1" s="1"/>
  <c r="C499" i="5"/>
  <c r="G499" i="5" s="1"/>
  <c r="F499" i="1" s="1"/>
  <c r="C114" i="5"/>
  <c r="G114" i="5" s="1"/>
  <c r="F114" i="1" s="1"/>
  <c r="C52" i="5"/>
  <c r="C180" i="5"/>
  <c r="G180" i="5" s="1"/>
  <c r="F180" i="1" s="1"/>
  <c r="C308" i="5"/>
  <c r="G308" i="5" s="1"/>
  <c r="F308" i="1" s="1"/>
  <c r="C436" i="5"/>
  <c r="G436" i="5" s="1"/>
  <c r="F436" i="1" s="1"/>
  <c r="C564" i="5"/>
  <c r="G564" i="5" s="1"/>
  <c r="F564" i="1" s="1"/>
  <c r="C37" i="5"/>
  <c r="G37" i="5" s="1"/>
  <c r="F37" i="1" s="1"/>
  <c r="C517" i="5"/>
  <c r="G517" i="5" s="1"/>
  <c r="F517" i="1" s="1"/>
  <c r="C174" i="5"/>
  <c r="G174" i="5" s="1"/>
  <c r="F174" i="1" s="1"/>
  <c r="C430" i="5"/>
  <c r="G430" i="5" s="1"/>
  <c r="F430" i="1" s="1"/>
  <c r="C199" i="5"/>
  <c r="C291" i="5"/>
  <c r="G291" i="5" s="1"/>
  <c r="F291" i="1" s="1"/>
  <c r="C214" i="5"/>
  <c r="C175" i="5"/>
  <c r="C559" i="5"/>
  <c r="C97" i="5"/>
  <c r="C67" i="5"/>
  <c r="C168" i="5"/>
  <c r="C416" i="5"/>
  <c r="C353" i="5"/>
  <c r="C284" i="5"/>
  <c r="C13" i="5"/>
  <c r="C26" i="5"/>
  <c r="C3" i="5"/>
  <c r="C444" i="5"/>
  <c r="G444" i="5" s="1"/>
  <c r="F444" i="1" s="1"/>
  <c r="C129" i="5"/>
  <c r="C282" i="5"/>
  <c r="G282" i="5" s="1"/>
  <c r="F282" i="1" s="1"/>
  <c r="C365" i="5"/>
  <c r="C232" i="5"/>
  <c r="C521" i="5"/>
  <c r="C387" i="5"/>
  <c r="C162" i="5"/>
  <c r="C584" i="5"/>
  <c r="C336" i="5"/>
  <c r="C496" i="5"/>
  <c r="C296" i="5"/>
  <c r="C452" i="5"/>
  <c r="C76" i="5"/>
  <c r="C12" i="5"/>
  <c r="C363" i="5"/>
  <c r="C96" i="5"/>
  <c r="C58" i="5"/>
  <c r="C141" i="5"/>
  <c r="C182" i="5"/>
  <c r="C32" i="5"/>
  <c r="C35" i="5"/>
  <c r="C540" i="5"/>
  <c r="C591" i="5"/>
  <c r="C118" i="5"/>
  <c r="C250" i="5"/>
  <c r="C28" i="5"/>
  <c r="C33" i="5"/>
  <c r="C90" i="5"/>
  <c r="C374" i="5"/>
  <c r="C4" i="5"/>
  <c r="C211" i="5"/>
  <c r="C513" i="5"/>
  <c r="C474" i="5"/>
  <c r="C380" i="5"/>
  <c r="C154" i="5"/>
  <c r="C163" i="5"/>
  <c r="C507" i="5"/>
  <c r="C321" i="5"/>
  <c r="G321" i="5" s="1"/>
  <c r="F321" i="1" s="1"/>
  <c r="C410" i="5"/>
  <c r="C347" i="5"/>
  <c r="C508" i="5"/>
  <c r="C493" i="5"/>
  <c r="G493" i="5" s="1"/>
  <c r="F493" i="1" s="1"/>
  <c r="C419" i="5"/>
  <c r="G419" i="5" s="1"/>
  <c r="F419" i="1" s="1"/>
  <c r="C361" i="5"/>
  <c r="G361" i="5" s="1"/>
  <c r="F361" i="1" s="1"/>
  <c r="C553" i="5"/>
  <c r="G553" i="5" s="1"/>
  <c r="F553" i="1" s="1"/>
  <c r="C137" i="5"/>
  <c r="C368" i="5"/>
  <c r="G368" i="5" s="1"/>
  <c r="F368" i="1" s="1"/>
  <c r="C424" i="5"/>
  <c r="C356" i="5"/>
  <c r="C332" i="5"/>
  <c r="G332" i="5" s="1"/>
  <c r="F332" i="1" s="1"/>
  <c r="C75" i="5"/>
  <c r="C420" i="5"/>
  <c r="C256" i="5"/>
  <c r="C257" i="5"/>
  <c r="C333" i="5"/>
  <c r="C225" i="5"/>
  <c r="C227" i="5"/>
  <c r="C77" i="5"/>
  <c r="C315" i="5"/>
  <c r="C109" i="5"/>
  <c r="C346" i="5"/>
  <c r="C289" i="5"/>
  <c r="C64" i="5"/>
  <c r="C544" i="5"/>
  <c r="C481" i="5"/>
  <c r="C557" i="5"/>
  <c r="C237" i="5"/>
  <c r="C201" i="5"/>
  <c r="C34" i="5"/>
  <c r="C16" i="5"/>
  <c r="C208" i="5"/>
  <c r="C561" i="5"/>
  <c r="C112" i="5"/>
  <c r="C360" i="5"/>
  <c r="C196" i="5"/>
  <c r="C522" i="5"/>
  <c r="C450" i="5"/>
  <c r="C292" i="5"/>
  <c r="C2" i="5"/>
  <c r="C384" i="5"/>
  <c r="C417" i="5"/>
  <c r="C442" i="5"/>
  <c r="C188" i="5"/>
  <c r="C111" i="5"/>
  <c r="C224" i="5"/>
  <c r="C218" i="5"/>
  <c r="C510" i="5"/>
  <c r="C160" i="5"/>
  <c r="C65" i="5"/>
  <c r="C555" i="5"/>
  <c r="C476" i="5"/>
  <c r="C269" i="5"/>
  <c r="C310" i="5"/>
  <c r="C128" i="5"/>
  <c r="C60" i="5"/>
  <c r="C173" i="5"/>
  <c r="C538" i="5"/>
  <c r="C92" i="5"/>
  <c r="C585" i="5"/>
  <c r="C243" i="5"/>
  <c r="C73" i="5"/>
  <c r="C9" i="5"/>
  <c r="C379" i="5"/>
  <c r="C369" i="5"/>
  <c r="C140" i="5"/>
  <c r="C504" i="5"/>
  <c r="C355" i="5"/>
  <c r="C556" i="5"/>
  <c r="G556" i="5" s="1"/>
  <c r="F556" i="1" s="1"/>
  <c r="C40" i="5"/>
  <c r="C574" i="5"/>
  <c r="C219" i="5"/>
  <c r="C425" i="5"/>
  <c r="C484" i="5"/>
  <c r="G484" i="5" s="1"/>
  <c r="F484" i="1" s="1"/>
  <c r="C412" i="5"/>
  <c r="D56" i="5"/>
  <c r="D543" i="5"/>
  <c r="D287" i="5"/>
  <c r="D31" i="5"/>
  <c r="D326" i="5"/>
  <c r="D70" i="5"/>
  <c r="D413" i="5"/>
  <c r="D157" i="5"/>
  <c r="D503" i="5"/>
  <c r="D247" i="5"/>
  <c r="D582" i="5"/>
  <c r="D286" i="5"/>
  <c r="D30" i="5"/>
  <c r="D405" i="5"/>
  <c r="D149" i="5"/>
  <c r="D396" i="5"/>
  <c r="D204" i="5"/>
  <c r="D427" i="5"/>
  <c r="D563" i="5"/>
  <c r="D426" i="5"/>
  <c r="D170" i="5"/>
  <c r="D593" i="5"/>
  <c r="D337" i="5"/>
  <c r="D580" i="5"/>
  <c r="D356" i="5"/>
  <c r="D100" i="5"/>
  <c r="D171" i="5"/>
  <c r="D219" i="5"/>
  <c r="D177" i="5"/>
  <c r="D307" i="5"/>
  <c r="D432" i="5"/>
  <c r="D240" i="5"/>
  <c r="D48" i="5"/>
  <c r="D104" i="5"/>
  <c r="D290" i="5"/>
  <c r="D66" i="5"/>
  <c r="D425" i="5"/>
  <c r="D233" i="5"/>
  <c r="D41" i="5"/>
  <c r="D488" i="5"/>
  <c r="D136" i="5"/>
  <c r="D463" i="5"/>
  <c r="D54" i="5"/>
  <c r="D502" i="5"/>
  <c r="D481" i="5"/>
  <c r="D544" i="5"/>
  <c r="D64" i="5"/>
  <c r="D566" i="5"/>
  <c r="D314" i="5"/>
  <c r="D449" i="5"/>
  <c r="D315" i="5"/>
  <c r="D77" i="5"/>
  <c r="D227" i="5"/>
  <c r="D225" i="5"/>
  <c r="D333" i="5"/>
  <c r="D373" i="5"/>
  <c r="D117" i="5"/>
  <c r="D364" i="5"/>
  <c r="D172" i="5"/>
  <c r="D283" i="5"/>
  <c r="D403" i="5"/>
  <c r="D394" i="5"/>
  <c r="D138" i="5"/>
  <c r="D561" i="5"/>
  <c r="D548" i="5"/>
  <c r="D324" i="5"/>
  <c r="D68" i="5"/>
  <c r="D107" i="5"/>
  <c r="D578" i="5"/>
  <c r="D145" i="5"/>
  <c r="D592" i="5"/>
  <c r="D400" i="5"/>
  <c r="D8" i="5"/>
  <c r="D258" i="5"/>
  <c r="D585" i="5"/>
  <c r="D393" i="5"/>
  <c r="D9" i="5"/>
  <c r="D456" i="5"/>
  <c r="D431" i="5"/>
  <c r="D508" i="5"/>
  <c r="D347" i="5"/>
  <c r="D410" i="5"/>
  <c r="D342" i="5"/>
  <c r="D173" i="5"/>
  <c r="D163" i="5"/>
  <c r="D154" i="5"/>
  <c r="D310" i="5"/>
  <c r="D380" i="5"/>
  <c r="D513" i="5"/>
  <c r="D211" i="5"/>
  <c r="D4" i="5"/>
  <c r="D510" i="5"/>
  <c r="D218" i="5"/>
  <c r="D224" i="5"/>
  <c r="D111" i="5"/>
  <c r="D28" i="5"/>
  <c r="D250" i="5"/>
  <c r="D6" i="5"/>
  <c r="D349" i="5"/>
  <c r="D93" i="5"/>
  <c r="D439" i="5"/>
  <c r="D183" i="5"/>
  <c r="D478" i="5"/>
  <c r="D222" i="5"/>
  <c r="D341" i="5"/>
  <c r="D85" i="5"/>
  <c r="D588" i="5"/>
  <c r="D140" i="5"/>
  <c r="D179" i="5"/>
  <c r="D235" i="5"/>
  <c r="D362" i="5"/>
  <c r="D106" i="5"/>
  <c r="D529" i="5"/>
  <c r="D516" i="5"/>
  <c r="D292" i="5"/>
  <c r="D36" i="5"/>
  <c r="D75" i="5"/>
  <c r="D546" i="5"/>
  <c r="D328" i="5"/>
  <c r="D305" i="5"/>
  <c r="D113" i="5"/>
  <c r="D560" i="5"/>
  <c r="D208" i="5"/>
  <c r="D16" i="5"/>
  <c r="D226" i="5"/>
  <c r="D34" i="5"/>
  <c r="D201" i="5"/>
  <c r="D424" i="5"/>
  <c r="D271" i="5"/>
  <c r="D557" i="5"/>
  <c r="D480" i="5"/>
  <c r="D150" i="5"/>
  <c r="D574" i="5"/>
  <c r="D289" i="5"/>
  <c r="D559" i="5"/>
  <c r="D278" i="5"/>
  <c r="D109" i="5"/>
  <c r="D540" i="5"/>
  <c r="D35" i="5"/>
  <c r="D32" i="5"/>
  <c r="D470" i="5"/>
  <c r="D141" i="5"/>
  <c r="D257" i="5"/>
  <c r="D256" i="5"/>
  <c r="D26" i="5"/>
  <c r="D161" i="5"/>
  <c r="D303" i="5"/>
  <c r="D13" i="5"/>
  <c r="D284" i="5"/>
  <c r="D474" i="5"/>
  <c r="D353" i="5"/>
  <c r="D416" i="5"/>
  <c r="D374" i="5"/>
  <c r="D90" i="5"/>
  <c r="D33" i="5"/>
  <c r="D67" i="5"/>
  <c r="D97" i="5"/>
  <c r="D524" i="5"/>
  <c r="D300" i="5"/>
  <c r="D83" i="5"/>
  <c r="D554" i="5"/>
  <c r="D298" i="5"/>
  <c r="D42" i="5"/>
  <c r="D465" i="5"/>
  <c r="D21" i="5"/>
  <c r="D228" i="5"/>
  <c r="D379" i="5"/>
  <c r="D43" i="5"/>
  <c r="D482" i="5"/>
  <c r="D40" i="5"/>
  <c r="D241" i="5"/>
  <c r="D49" i="5"/>
  <c r="D144" i="5"/>
  <c r="D418" i="5"/>
  <c r="D329" i="5"/>
  <c r="D137" i="5"/>
  <c r="D259" i="5"/>
  <c r="D339" i="5"/>
  <c r="D15" i="5"/>
  <c r="D412" i="5"/>
  <c r="D99" i="5"/>
  <c r="D320" i="5"/>
  <c r="D399" i="5"/>
  <c r="D397" i="5"/>
  <c r="D395" i="5"/>
  <c r="D207" i="5"/>
  <c r="D118" i="5"/>
  <c r="D346" i="5"/>
  <c r="D591" i="5"/>
  <c r="D214" i="5"/>
  <c r="D348" i="5"/>
  <c r="D570" i="5"/>
  <c r="D187" i="5"/>
  <c r="D512" i="5"/>
  <c r="D182" i="5"/>
  <c r="D45" i="5"/>
  <c r="D58" i="5"/>
  <c r="D96" i="5"/>
  <c r="D487" i="5"/>
  <c r="D231" i="5"/>
  <c r="D550" i="5"/>
  <c r="D270" i="5"/>
  <c r="D46" i="5"/>
  <c r="D325" i="5"/>
  <c r="D165" i="5"/>
  <c r="D155" i="5"/>
  <c r="D595" i="5"/>
  <c r="D562" i="5"/>
  <c r="D402" i="5"/>
  <c r="D274" i="5"/>
  <c r="D121" i="5"/>
  <c r="D491" i="5"/>
  <c r="D536" i="5"/>
  <c r="D411" i="5"/>
  <c r="D383" i="5"/>
  <c r="D127" i="5"/>
  <c r="D422" i="5"/>
  <c r="D166" i="5"/>
  <c r="D509" i="5"/>
  <c r="D253" i="5"/>
  <c r="D515" i="5"/>
  <c r="D147" i="5"/>
  <c r="D343" i="5"/>
  <c r="D87" i="5"/>
  <c r="D382" i="5"/>
  <c r="D126" i="5"/>
  <c r="D501" i="5"/>
  <c r="D245" i="5"/>
  <c r="D492" i="5"/>
  <c r="D268" i="5"/>
  <c r="D76" i="5"/>
  <c r="D51" i="5"/>
  <c r="D522" i="5"/>
  <c r="D266" i="5"/>
  <c r="D10" i="5"/>
  <c r="D433" i="5"/>
  <c r="D590" i="5"/>
  <c r="D452" i="5"/>
  <c r="D196" i="5"/>
  <c r="D11" i="5"/>
  <c r="D450" i="5"/>
  <c r="D296" i="5"/>
  <c r="D496" i="5"/>
  <c r="D336" i="5"/>
  <c r="D112" i="5"/>
  <c r="D386" i="5"/>
  <c r="D162" i="5"/>
  <c r="D387" i="5"/>
  <c r="D521" i="5"/>
  <c r="D297" i="5"/>
  <c r="D105" i="5"/>
  <c r="D584" i="5"/>
  <c r="D232" i="5"/>
  <c r="D406" i="5"/>
  <c r="D365" i="5"/>
  <c r="D220" i="5"/>
  <c r="D186" i="5"/>
  <c r="D129" i="5"/>
  <c r="D252" i="5"/>
  <c r="D47" i="5"/>
  <c r="D22" i="5"/>
  <c r="D572" i="5"/>
  <c r="D124" i="5"/>
  <c r="D122" i="5"/>
  <c r="D193" i="5"/>
  <c r="D288" i="5"/>
  <c r="D335" i="5"/>
  <c r="D525" i="5"/>
  <c r="D86" i="5"/>
  <c r="D316" i="5"/>
  <c r="D131" i="5"/>
  <c r="D545" i="5"/>
  <c r="D576" i="5"/>
  <c r="D455" i="5"/>
  <c r="D199" i="5"/>
  <c r="D494" i="5"/>
  <c r="D238" i="5"/>
  <c r="D485" i="5"/>
  <c r="D133" i="5"/>
  <c r="D5" i="5"/>
  <c r="D532" i="5"/>
  <c r="D404" i="5"/>
  <c r="D276" i="5"/>
  <c r="D148" i="5"/>
  <c r="D20" i="5"/>
  <c r="D530" i="5"/>
  <c r="D242" i="5"/>
  <c r="D82" i="5"/>
  <c r="D299" i="5"/>
  <c r="D505" i="5"/>
  <c r="D377" i="5"/>
  <c r="D249" i="5"/>
  <c r="D376" i="5"/>
  <c r="D216" i="5"/>
  <c r="D88" i="5"/>
  <c r="D251" i="5"/>
  <c r="D351" i="5"/>
  <c r="D95" i="5"/>
  <c r="D390" i="5"/>
  <c r="D134" i="5"/>
  <c r="D477" i="5"/>
  <c r="D221" i="5"/>
  <c r="D542" i="5"/>
  <c r="D567" i="5"/>
  <c r="D311" i="5"/>
  <c r="D55" i="5"/>
  <c r="D350" i="5"/>
  <c r="D94" i="5"/>
  <c r="D469" i="5"/>
  <c r="D213" i="5"/>
  <c r="D460" i="5"/>
  <c r="D236" i="5"/>
  <c r="D44" i="5"/>
  <c r="D490" i="5"/>
  <c r="D234" i="5"/>
  <c r="D459" i="5"/>
  <c r="D401" i="5"/>
  <c r="D526" i="5"/>
  <c r="D420" i="5"/>
  <c r="D164" i="5"/>
  <c r="D267" i="5"/>
  <c r="D523" i="5"/>
  <c r="D72" i="5"/>
  <c r="D209" i="5"/>
  <c r="D17" i="5"/>
  <c r="D304" i="5"/>
  <c r="D360" i="5"/>
  <c r="D354" i="5"/>
  <c r="D130" i="5"/>
  <c r="D489" i="5"/>
  <c r="D73" i="5"/>
  <c r="D552" i="5"/>
  <c r="D495" i="5"/>
  <c r="D246" i="5"/>
  <c r="D237" i="5"/>
  <c r="D475" i="5"/>
  <c r="D192" i="5"/>
  <c r="D239" i="5"/>
  <c r="D506" i="5"/>
  <c r="D577" i="5"/>
  <c r="D448" i="5"/>
  <c r="D461" i="5"/>
  <c r="D205" i="5"/>
  <c r="D156" i="5"/>
  <c r="D378" i="5"/>
  <c r="D352" i="5"/>
  <c r="D423" i="5"/>
  <c r="D167" i="5"/>
  <c r="D462" i="5"/>
  <c r="D206" i="5"/>
  <c r="D14" i="5"/>
  <c r="D453" i="5"/>
  <c r="D293" i="5"/>
  <c r="D91" i="5"/>
  <c r="D435" i="5"/>
  <c r="D370" i="5"/>
  <c r="D210" i="5"/>
  <c r="D89" i="5"/>
  <c r="D355" i="5"/>
  <c r="D504" i="5"/>
  <c r="D344" i="5"/>
  <c r="D575" i="5"/>
  <c r="D319" i="5"/>
  <c r="D63" i="5"/>
  <c r="D358" i="5"/>
  <c r="D102" i="5"/>
  <c r="D445" i="5"/>
  <c r="D598" i="5"/>
  <c r="D606" i="5"/>
  <c r="D614" i="5"/>
  <c r="D622" i="5"/>
  <c r="D630" i="5"/>
  <c r="D638" i="5"/>
  <c r="D646" i="5"/>
  <c r="D654" i="5"/>
  <c r="D662" i="5"/>
  <c r="D670" i="5"/>
  <c r="D678" i="5"/>
  <c r="D599" i="5"/>
  <c r="D607" i="5"/>
  <c r="D615" i="5"/>
  <c r="D623" i="5"/>
  <c r="D631" i="5"/>
  <c r="D639" i="5"/>
  <c r="D647" i="5"/>
  <c r="D655" i="5"/>
  <c r="D663" i="5"/>
  <c r="D671" i="5"/>
  <c r="D679" i="5"/>
  <c r="D600" i="5"/>
  <c r="D608" i="5"/>
  <c r="D616" i="5"/>
  <c r="D624" i="5"/>
  <c r="D632" i="5"/>
  <c r="D640" i="5"/>
  <c r="D648" i="5"/>
  <c r="D656" i="5"/>
  <c r="D664" i="5"/>
  <c r="D672" i="5"/>
  <c r="D680" i="5"/>
  <c r="D601" i="5"/>
  <c r="D609" i="5"/>
  <c r="D617" i="5"/>
  <c r="D625" i="5"/>
  <c r="D633" i="5"/>
  <c r="D641" i="5"/>
  <c r="D649" i="5"/>
  <c r="D657" i="5"/>
  <c r="D665" i="5"/>
  <c r="D673" i="5"/>
  <c r="D602" i="5"/>
  <c r="D610" i="5"/>
  <c r="D618" i="5"/>
  <c r="D626" i="5"/>
  <c r="D634" i="5"/>
  <c r="D642" i="5"/>
  <c r="D650" i="5"/>
  <c r="D658" i="5"/>
  <c r="D666" i="5"/>
  <c r="D674" i="5"/>
  <c r="D612" i="5"/>
  <c r="D635" i="5"/>
  <c r="D653" i="5"/>
  <c r="D676" i="5"/>
  <c r="D687" i="5"/>
  <c r="D695" i="5"/>
  <c r="D703" i="5"/>
  <c r="D711" i="5"/>
  <c r="D719" i="5"/>
  <c r="D727" i="5"/>
  <c r="D735" i="5"/>
  <c r="D743" i="5"/>
  <c r="D751" i="5"/>
  <c r="D759" i="5"/>
  <c r="D767" i="5"/>
  <c r="D775" i="5"/>
  <c r="D783" i="5"/>
  <c r="D791" i="5"/>
  <c r="D799" i="5"/>
  <c r="D807" i="5"/>
  <c r="D815" i="5"/>
  <c r="D823" i="5"/>
  <c r="D831" i="5"/>
  <c r="D839" i="5"/>
  <c r="D847" i="5"/>
  <c r="D855" i="5"/>
  <c r="D863" i="5"/>
  <c r="D871" i="5"/>
  <c r="D879" i="5"/>
  <c r="D887" i="5"/>
  <c r="D895" i="5"/>
  <c r="D903" i="5"/>
  <c r="D911" i="5"/>
  <c r="D919" i="5"/>
  <c r="D927" i="5"/>
  <c r="D935" i="5"/>
  <c r="D943" i="5"/>
  <c r="D951" i="5"/>
  <c r="D959" i="5"/>
  <c r="D967" i="5"/>
  <c r="D975" i="5"/>
  <c r="D983" i="5"/>
  <c r="D991" i="5"/>
  <c r="D999" i="5"/>
  <c r="D1007" i="5"/>
  <c r="D1015" i="5"/>
  <c r="D1023" i="5"/>
  <c r="D1031" i="5"/>
  <c r="D1039" i="5"/>
  <c r="D1047" i="5"/>
  <c r="D613" i="5"/>
  <c r="D636" i="5"/>
  <c r="D659" i="5"/>
  <c r="D677" i="5"/>
  <c r="D688" i="5"/>
  <c r="D696" i="5"/>
  <c r="D704" i="5"/>
  <c r="D712" i="5"/>
  <c r="D720" i="5"/>
  <c r="D728" i="5"/>
  <c r="D736" i="5"/>
  <c r="D744" i="5"/>
  <c r="D752" i="5"/>
  <c r="D760" i="5"/>
  <c r="D768" i="5"/>
  <c r="D776" i="5"/>
  <c r="D784" i="5"/>
  <c r="D792" i="5"/>
  <c r="D800" i="5"/>
  <c r="D808" i="5"/>
  <c r="D816" i="5"/>
  <c r="D824" i="5"/>
  <c r="D832" i="5"/>
  <c r="D840" i="5"/>
  <c r="D848" i="5"/>
  <c r="D856" i="5"/>
  <c r="D864" i="5"/>
  <c r="D872" i="5"/>
  <c r="D880" i="5"/>
  <c r="D888" i="5"/>
  <c r="D896" i="5"/>
  <c r="D904" i="5"/>
  <c r="D912" i="5"/>
  <c r="D920" i="5"/>
  <c r="D928" i="5"/>
  <c r="D936" i="5"/>
  <c r="D944" i="5"/>
  <c r="D952" i="5"/>
  <c r="D960" i="5"/>
  <c r="D968" i="5"/>
  <c r="D976" i="5"/>
  <c r="D984" i="5"/>
  <c r="D992" i="5"/>
  <c r="D1000" i="5"/>
  <c r="D1008" i="5"/>
  <c r="D1016" i="5"/>
  <c r="D1024" i="5"/>
  <c r="D1032" i="5"/>
  <c r="D1040" i="5"/>
  <c r="D619" i="5"/>
  <c r="D637" i="5"/>
  <c r="D660" i="5"/>
  <c r="D681" i="5"/>
  <c r="D689" i="5"/>
  <c r="D697" i="5"/>
  <c r="D705" i="5"/>
  <c r="D713" i="5"/>
  <c r="D721" i="5"/>
  <c r="D729" i="5"/>
  <c r="D737" i="5"/>
  <c r="D745" i="5"/>
  <c r="D753" i="5"/>
  <c r="D761" i="5"/>
  <c r="D769" i="5"/>
  <c r="D777" i="5"/>
  <c r="D785" i="5"/>
  <c r="D793" i="5"/>
  <c r="D801" i="5"/>
  <c r="D809" i="5"/>
  <c r="D817" i="5"/>
  <c r="D825" i="5"/>
  <c r="D833" i="5"/>
  <c r="D841" i="5"/>
  <c r="D849" i="5"/>
  <c r="D857" i="5"/>
  <c r="D865" i="5"/>
  <c r="D873" i="5"/>
  <c r="D881" i="5"/>
  <c r="D889" i="5"/>
  <c r="D897" i="5"/>
  <c r="D905" i="5"/>
  <c r="D913" i="5"/>
  <c r="D921" i="5"/>
  <c r="D929" i="5"/>
  <c r="D937" i="5"/>
  <c r="D945" i="5"/>
  <c r="D953" i="5"/>
  <c r="D961" i="5"/>
  <c r="D969" i="5"/>
  <c r="D977" i="5"/>
  <c r="D985" i="5"/>
  <c r="D993" i="5"/>
  <c r="D1001" i="5"/>
  <c r="D1009" i="5"/>
  <c r="D1017" i="5"/>
  <c r="D1025" i="5"/>
  <c r="D1033" i="5"/>
  <c r="D1041" i="5"/>
  <c r="D597" i="5"/>
  <c r="D620" i="5"/>
  <c r="D643" i="5"/>
  <c r="D661" i="5"/>
  <c r="D682" i="5"/>
  <c r="D690" i="5"/>
  <c r="D698" i="5"/>
  <c r="D706" i="5"/>
  <c r="D714" i="5"/>
  <c r="D722" i="5"/>
  <c r="D730" i="5"/>
  <c r="D738" i="5"/>
  <c r="D746" i="5"/>
  <c r="D754" i="5"/>
  <c r="D762" i="5"/>
  <c r="D770" i="5"/>
  <c r="D778" i="5"/>
  <c r="D786" i="5"/>
  <c r="D794" i="5"/>
  <c r="D802" i="5"/>
  <c r="D810" i="5"/>
  <c r="D818" i="5"/>
  <c r="D826" i="5"/>
  <c r="D834" i="5"/>
  <c r="D842" i="5"/>
  <c r="D850" i="5"/>
  <c r="D858" i="5"/>
  <c r="D866" i="5"/>
  <c r="D874" i="5"/>
  <c r="D882" i="5"/>
  <c r="D890" i="5"/>
  <c r="D898" i="5"/>
  <c r="D906" i="5"/>
  <c r="D914" i="5"/>
  <c r="D922" i="5"/>
  <c r="D930" i="5"/>
  <c r="D938" i="5"/>
  <c r="D946" i="5"/>
  <c r="D954" i="5"/>
  <c r="D962" i="5"/>
  <c r="D970" i="5"/>
  <c r="D978" i="5"/>
  <c r="D986" i="5"/>
  <c r="D994" i="5"/>
  <c r="D1002" i="5"/>
  <c r="D1010" i="5"/>
  <c r="D1018" i="5"/>
  <c r="D1026" i="5"/>
  <c r="D1034" i="5"/>
  <c r="D1042" i="5"/>
  <c r="D603" i="5"/>
  <c r="D621" i="5"/>
  <c r="D644" i="5"/>
  <c r="D667" i="5"/>
  <c r="D683" i="5"/>
  <c r="D691" i="5"/>
  <c r="D699" i="5"/>
  <c r="D707" i="5"/>
  <c r="D715" i="5"/>
  <c r="D723" i="5"/>
  <c r="D731" i="5"/>
  <c r="D739" i="5"/>
  <c r="D747" i="5"/>
  <c r="D755" i="5"/>
  <c r="D763" i="5"/>
  <c r="D771" i="5"/>
  <c r="D779" i="5"/>
  <c r="D787" i="5"/>
  <c r="D795" i="5"/>
  <c r="D803" i="5"/>
  <c r="D811" i="5"/>
  <c r="D819" i="5"/>
  <c r="D827" i="5"/>
  <c r="D835" i="5"/>
  <c r="D843" i="5"/>
  <c r="D851" i="5"/>
  <c r="D859" i="5"/>
  <c r="D867" i="5"/>
  <c r="D875" i="5"/>
  <c r="D883" i="5"/>
  <c r="D891" i="5"/>
  <c r="D899" i="5"/>
  <c r="D907" i="5"/>
  <c r="D915" i="5"/>
  <c r="D923" i="5"/>
  <c r="D931" i="5"/>
  <c r="D939" i="5"/>
  <c r="D947" i="5"/>
  <c r="D955" i="5"/>
  <c r="D963" i="5"/>
  <c r="D971" i="5"/>
  <c r="D979" i="5"/>
  <c r="D987" i="5"/>
  <c r="D995" i="5"/>
  <c r="D1003" i="5"/>
  <c r="D1011" i="5"/>
  <c r="D1019" i="5"/>
  <c r="D1027" i="5"/>
  <c r="D1035" i="5"/>
  <c r="D1043" i="5"/>
  <c r="D604" i="5"/>
  <c r="D627" i="5"/>
  <c r="D645" i="5"/>
  <c r="D668" i="5"/>
  <c r="D684" i="5"/>
  <c r="D692" i="5"/>
  <c r="D700" i="5"/>
  <c r="D708" i="5"/>
  <c r="D716" i="5"/>
  <c r="D724" i="5"/>
  <c r="D732" i="5"/>
  <c r="D740" i="5"/>
  <c r="D748" i="5"/>
  <c r="D756" i="5"/>
  <c r="D764" i="5"/>
  <c r="D772" i="5"/>
  <c r="D780" i="5"/>
  <c r="D788" i="5"/>
  <c r="D796" i="5"/>
  <c r="D804" i="5"/>
  <c r="D812" i="5"/>
  <c r="D820" i="5"/>
  <c r="D828" i="5"/>
  <c r="D836" i="5"/>
  <c r="D844" i="5"/>
  <c r="D852" i="5"/>
  <c r="D860" i="5"/>
  <c r="D868" i="5"/>
  <c r="D876" i="5"/>
  <c r="D884" i="5"/>
  <c r="D892" i="5"/>
  <c r="D900" i="5"/>
  <c r="D908" i="5"/>
  <c r="D916" i="5"/>
  <c r="D924" i="5"/>
  <c r="D932" i="5"/>
  <c r="D940" i="5"/>
  <c r="D948" i="5"/>
  <c r="D956" i="5"/>
  <c r="D964" i="5"/>
  <c r="D972" i="5"/>
  <c r="D980" i="5"/>
  <c r="D988" i="5"/>
  <c r="D996" i="5"/>
  <c r="D1004" i="5"/>
  <c r="D1012" i="5"/>
  <c r="D1020" i="5"/>
  <c r="D1028" i="5"/>
  <c r="D1036" i="5"/>
  <c r="D1044" i="5"/>
  <c r="D605" i="5"/>
  <c r="D628" i="5"/>
  <c r="D651" i="5"/>
  <c r="D669" i="5"/>
  <c r="D685" i="5"/>
  <c r="D693" i="5"/>
  <c r="D701" i="5"/>
  <c r="D709" i="5"/>
  <c r="D717" i="5"/>
  <c r="D725" i="5"/>
  <c r="D733" i="5"/>
  <c r="D741" i="5"/>
  <c r="D749" i="5"/>
  <c r="D757" i="5"/>
  <c r="D765" i="5"/>
  <c r="D773" i="5"/>
  <c r="D781" i="5"/>
  <c r="D789" i="5"/>
  <c r="D797" i="5"/>
  <c r="D805" i="5"/>
  <c r="D813" i="5"/>
  <c r="D821" i="5"/>
  <c r="D829" i="5"/>
  <c r="D837" i="5"/>
  <c r="D845" i="5"/>
  <c r="D853" i="5"/>
  <c r="D861" i="5"/>
  <c r="D869" i="5"/>
  <c r="D877" i="5"/>
  <c r="D885" i="5"/>
  <c r="D893" i="5"/>
  <c r="D901" i="5"/>
  <c r="D909" i="5"/>
  <c r="D917" i="5"/>
  <c r="D925" i="5"/>
  <c r="D933" i="5"/>
  <c r="D941" i="5"/>
  <c r="D949" i="5"/>
  <c r="D957" i="5"/>
  <c r="D965" i="5"/>
  <c r="D973" i="5"/>
  <c r="D981" i="5"/>
  <c r="D989" i="5"/>
  <c r="D997" i="5"/>
  <c r="D1005" i="5"/>
  <c r="D1013" i="5"/>
  <c r="D1021" i="5"/>
  <c r="D1029" i="5"/>
  <c r="D1037" i="5"/>
  <c r="D1045" i="5"/>
  <c r="D611" i="5"/>
  <c r="D629" i="5"/>
  <c r="D652" i="5"/>
  <c r="D675" i="5"/>
  <c r="D686" i="5"/>
  <c r="D694" i="5"/>
  <c r="D702" i="5"/>
  <c r="D710" i="5"/>
  <c r="D718" i="5"/>
  <c r="D726" i="5"/>
  <c r="D734" i="5"/>
  <c r="D742" i="5"/>
  <c r="D750" i="5"/>
  <c r="D758" i="5"/>
  <c r="D766" i="5"/>
  <c r="D774" i="5"/>
  <c r="D782" i="5"/>
  <c r="D790" i="5"/>
  <c r="D798" i="5"/>
  <c r="D806" i="5"/>
  <c r="D814" i="5"/>
  <c r="D822" i="5"/>
  <c r="D830" i="5"/>
  <c r="D838" i="5"/>
  <c r="D846" i="5"/>
  <c r="D854" i="5"/>
  <c r="D862" i="5"/>
  <c r="D870" i="5"/>
  <c r="D878" i="5"/>
  <c r="D886" i="5"/>
  <c r="D894" i="5"/>
  <c r="D902" i="5"/>
  <c r="D910" i="5"/>
  <c r="D918" i="5"/>
  <c r="D926" i="5"/>
  <c r="D934" i="5"/>
  <c r="D942" i="5"/>
  <c r="D950" i="5"/>
  <c r="D958" i="5"/>
  <c r="D966" i="5"/>
  <c r="D974" i="5"/>
  <c r="D982" i="5"/>
  <c r="D990" i="5"/>
  <c r="D998" i="5"/>
  <c r="D1006" i="5"/>
  <c r="D1014" i="5"/>
  <c r="D1022" i="5"/>
  <c r="D1030" i="5"/>
  <c r="D1038" i="5"/>
  <c r="D1046" i="5"/>
  <c r="D535" i="5"/>
  <c r="D279" i="5"/>
  <c r="D23" i="5"/>
  <c r="D318" i="5"/>
  <c r="D62" i="5"/>
  <c r="D437" i="5"/>
  <c r="D181" i="5"/>
  <c r="D428" i="5"/>
  <c r="D12" i="5"/>
  <c r="D19" i="5"/>
  <c r="D458" i="5"/>
  <c r="D202" i="5"/>
  <c r="D243" i="5"/>
  <c r="D369" i="5"/>
  <c r="D388" i="5"/>
  <c r="D132" i="5"/>
  <c r="D363" i="5"/>
  <c r="D451" i="5"/>
  <c r="D464" i="5"/>
  <c r="D272" i="5"/>
  <c r="D80" i="5"/>
  <c r="D168" i="5"/>
  <c r="D322" i="5"/>
  <c r="D98" i="5"/>
  <c r="D203" i="5"/>
  <c r="D457" i="5"/>
  <c r="D265" i="5"/>
  <c r="D520" i="5"/>
  <c r="D200" i="5"/>
  <c r="D92" i="5"/>
  <c r="D538" i="5"/>
  <c r="D331" i="5"/>
  <c r="D547" i="5"/>
  <c r="D175" i="5"/>
  <c r="D301" i="5"/>
  <c r="D60" i="5"/>
  <c r="D128" i="5"/>
  <c r="D438" i="5"/>
  <c r="D269" i="5"/>
  <c r="D476" i="5"/>
  <c r="D507" i="5"/>
  <c r="D555" i="5"/>
  <c r="D65" i="5"/>
  <c r="D160" i="5"/>
  <c r="D79" i="5"/>
  <c r="D385" i="5"/>
  <c r="D367" i="5"/>
  <c r="D429" i="5"/>
  <c r="D188" i="5"/>
  <c r="D442" i="5"/>
  <c r="D417" i="5"/>
  <c r="D384" i="5"/>
  <c r="G151" i="5" l="1"/>
  <c r="F151" i="1" s="1"/>
  <c r="G254" i="5"/>
  <c r="F254" i="1" s="1"/>
  <c r="G514" i="5"/>
  <c r="F514" i="1" s="1"/>
  <c r="H514" i="1" s="1"/>
  <c r="G323" i="5"/>
  <c r="F323" i="1" s="1"/>
  <c r="H323" i="1" s="1"/>
  <c r="G125" i="5"/>
  <c r="F125" i="1" s="1"/>
  <c r="G519" i="5"/>
  <c r="F519" i="1" s="1"/>
  <c r="H519" i="1" s="1"/>
  <c r="G511" i="5"/>
  <c r="F511" i="1" s="1"/>
  <c r="H511" i="1" s="1"/>
  <c r="G421" i="5"/>
  <c r="F421" i="1" s="1"/>
  <c r="G198" i="5"/>
  <c r="F198" i="1" s="1"/>
  <c r="H198" i="1" s="1"/>
  <c r="G255" i="5"/>
  <c r="F255" i="1" s="1"/>
  <c r="H255" i="1" s="1"/>
  <c r="G185" i="5"/>
  <c r="F185" i="1" s="1"/>
  <c r="G551" i="5"/>
  <c r="F551" i="1" s="1"/>
  <c r="H551" i="1" s="1"/>
  <c r="G61" i="5"/>
  <c r="F61" i="1" s="1"/>
  <c r="H61" i="1" s="1"/>
  <c r="G215" i="5"/>
  <c r="F215" i="1" s="1"/>
  <c r="H215" i="1" s="1"/>
  <c r="G111" i="5"/>
  <c r="F111" i="1" s="1"/>
  <c r="G425" i="5"/>
  <c r="F425" i="1" s="1"/>
  <c r="H425" i="1" s="1"/>
  <c r="G454" i="5"/>
  <c r="G285" i="5"/>
  <c r="F285" i="1" s="1"/>
  <c r="G574" i="5"/>
  <c r="F574" i="1" s="1"/>
  <c r="G9" i="5"/>
  <c r="F9" i="1" s="1"/>
  <c r="G218" i="5"/>
  <c r="F218" i="1" s="1"/>
  <c r="G257" i="5"/>
  <c r="F257" i="1" s="1"/>
  <c r="G310" i="5"/>
  <c r="F310" i="1" s="1"/>
  <c r="G243" i="5"/>
  <c r="F243" i="1" s="1"/>
  <c r="G269" i="5"/>
  <c r="G522" i="5"/>
  <c r="F522" i="1" s="1"/>
  <c r="H522" i="1" s="1"/>
  <c r="G201" i="5"/>
  <c r="G109" i="5"/>
  <c r="F109" i="1" s="1"/>
  <c r="G420" i="5"/>
  <c r="F420" i="1" s="1"/>
  <c r="G163" i="5"/>
  <c r="F163" i="1" s="1"/>
  <c r="G90" i="5"/>
  <c r="F90" i="1" s="1"/>
  <c r="G32" i="5"/>
  <c r="F32" i="1" s="1"/>
  <c r="G452" i="5"/>
  <c r="F452" i="1" s="1"/>
  <c r="G232" i="5"/>
  <c r="F232" i="1" s="1"/>
  <c r="G284" i="5"/>
  <c r="F284" i="1" s="1"/>
  <c r="G214" i="5"/>
  <c r="F214" i="1" s="1"/>
  <c r="G209" i="5"/>
  <c r="F209" i="1" s="1"/>
  <c r="G506" i="5"/>
  <c r="F506" i="1" s="1"/>
  <c r="G186" i="5"/>
  <c r="F186" i="1" s="1"/>
  <c r="G46" i="5"/>
  <c r="F46" i="1" s="1"/>
  <c r="H46" i="1" s="1"/>
  <c r="G42" i="5"/>
  <c r="F42" i="1" s="1"/>
  <c r="G265" i="5"/>
  <c r="F265" i="1" s="1"/>
  <c r="H265" i="1" s="1"/>
  <c r="G572" i="5"/>
  <c r="F572" i="1" s="1"/>
  <c r="G316" i="5"/>
  <c r="F316" i="1" s="1"/>
  <c r="G487" i="5"/>
  <c r="F487" i="1" s="1"/>
  <c r="G276" i="5"/>
  <c r="F276" i="1" s="1"/>
  <c r="G249" i="5"/>
  <c r="F249" i="1" s="1"/>
  <c r="G171" i="5"/>
  <c r="F171" i="1" s="1"/>
  <c r="G502" i="5"/>
  <c r="F502" i="1" s="1"/>
  <c r="G566" i="5"/>
  <c r="G207" i="5"/>
  <c r="F207" i="1" s="1"/>
  <c r="G433" i="5"/>
  <c r="F433" i="1" s="1"/>
  <c r="G882" i="5"/>
  <c r="G582" i="5"/>
  <c r="F582" i="1" s="1"/>
  <c r="G488" i="5"/>
  <c r="F488" i="1" s="1"/>
  <c r="G600" i="5"/>
  <c r="G683" i="5"/>
  <c r="G979" i="5"/>
  <c r="G820" i="5"/>
  <c r="G635" i="5"/>
  <c r="G259" i="5"/>
  <c r="F259" i="1" s="1"/>
  <c r="G1014" i="5"/>
  <c r="G884" i="5"/>
  <c r="G554" i="5"/>
  <c r="F554" i="1" s="1"/>
  <c r="G855" i="5"/>
  <c r="G290" i="5"/>
  <c r="F290" i="1" s="1"/>
  <c r="G523" i="5"/>
  <c r="F523" i="1" s="1"/>
  <c r="G245" i="5"/>
  <c r="F245" i="1" s="1"/>
  <c r="G448" i="5"/>
  <c r="F448" i="1" s="1"/>
  <c r="G688" i="5"/>
  <c r="G403" i="5"/>
  <c r="F403" i="1" s="1"/>
  <c r="G847" i="5"/>
  <c r="G866" i="5"/>
  <c r="G194" i="5"/>
  <c r="F194" i="1" s="1"/>
  <c r="H194" i="1" s="1"/>
  <c r="G941" i="5"/>
  <c r="G138" i="5"/>
  <c r="F138" i="1" s="1"/>
  <c r="G235" i="5"/>
  <c r="F235" i="1" s="1"/>
  <c r="G1011" i="5"/>
  <c r="G840" i="5"/>
  <c r="G752" i="5"/>
  <c r="G633" i="5"/>
  <c r="G676" i="5"/>
  <c r="G106" i="5"/>
  <c r="G807" i="5"/>
  <c r="G706" i="5"/>
  <c r="G694" i="5"/>
  <c r="G756" i="5"/>
  <c r="G954" i="5"/>
  <c r="G1007" i="5"/>
  <c r="G728" i="5"/>
  <c r="G355" i="5"/>
  <c r="G585" i="5"/>
  <c r="F585" i="1" s="1"/>
  <c r="G476" i="5"/>
  <c r="F476" i="1" s="1"/>
  <c r="G188" i="5"/>
  <c r="F188" i="1" s="1"/>
  <c r="G196" i="5"/>
  <c r="F196" i="1" s="1"/>
  <c r="G237" i="5"/>
  <c r="F237" i="1" s="1"/>
  <c r="H237" i="1" s="1"/>
  <c r="G315" i="5"/>
  <c r="F315" i="1" s="1"/>
  <c r="G75" i="5"/>
  <c r="F75" i="1" s="1"/>
  <c r="H75" i="1" s="1"/>
  <c r="G154" i="5"/>
  <c r="F154" i="1" s="1"/>
  <c r="G33" i="5"/>
  <c r="F33" i="1" s="1"/>
  <c r="G182" i="5"/>
  <c r="F182" i="1" s="1"/>
  <c r="G296" i="5"/>
  <c r="F296" i="1" s="1"/>
  <c r="G365" i="5"/>
  <c r="F365" i="1" s="1"/>
  <c r="G353" i="5"/>
  <c r="F353" i="1" s="1"/>
  <c r="G17" i="5"/>
  <c r="F17" i="1" s="1"/>
  <c r="G577" i="5"/>
  <c r="F577" i="1" s="1"/>
  <c r="G325" i="5"/>
  <c r="F325" i="1" s="1"/>
  <c r="G300" i="5"/>
  <c r="F300" i="1" s="1"/>
  <c r="G200" i="5"/>
  <c r="F200" i="1" s="1"/>
  <c r="G124" i="5"/>
  <c r="F124" i="1" s="1"/>
  <c r="G131" i="5"/>
  <c r="F131" i="1" s="1"/>
  <c r="G148" i="5"/>
  <c r="F148" i="1" s="1"/>
  <c r="H148" i="1" s="1"/>
  <c r="G216" i="5"/>
  <c r="F216" i="1" s="1"/>
  <c r="G456" i="5"/>
  <c r="G192" i="5"/>
  <c r="G258" i="5"/>
  <c r="F258" i="1" s="1"/>
  <c r="G246" i="5"/>
  <c r="F246" i="1" s="1"/>
  <c r="G850" i="5"/>
  <c r="G663" i="5"/>
  <c r="G451" i="5"/>
  <c r="F451" i="1" s="1"/>
  <c r="G826" i="5"/>
  <c r="G703" i="5"/>
  <c r="G70" i="5"/>
  <c r="F70" i="1" s="1"/>
  <c r="G611" i="5"/>
  <c r="G634" i="5"/>
  <c r="G172" i="5"/>
  <c r="F172" i="1" s="1"/>
  <c r="G986" i="5"/>
  <c r="G959" i="5"/>
  <c r="G772" i="5"/>
  <c r="G989" i="5"/>
  <c r="G930" i="5"/>
  <c r="G819" i="5"/>
  <c r="G1019" i="5"/>
  <c r="G911" i="5"/>
  <c r="G811" i="5"/>
  <c r="G742" i="5"/>
  <c r="G548" i="5"/>
  <c r="F548" i="1" s="1"/>
  <c r="G707" i="5"/>
  <c r="G329" i="5"/>
  <c r="F329" i="1" s="1"/>
  <c r="G875" i="5"/>
  <c r="G834" i="5"/>
  <c r="G465" i="5"/>
  <c r="F465" i="1" s="1"/>
  <c r="G937" i="5"/>
  <c r="G721" i="5"/>
  <c r="G623" i="5"/>
  <c r="G924" i="5"/>
  <c r="G969" i="5"/>
  <c r="G641" i="5"/>
  <c r="G183" i="5"/>
  <c r="F183" i="1" s="1"/>
  <c r="G516" i="5"/>
  <c r="F516" i="1" s="1"/>
  <c r="G432" i="5"/>
  <c r="F432" i="1" s="1"/>
  <c r="G1031" i="5"/>
  <c r="G915" i="5"/>
  <c r="G10" i="5"/>
  <c r="F10" i="1" s="1"/>
  <c r="G630" i="5"/>
  <c r="G36" i="5"/>
  <c r="F36" i="1" s="1"/>
  <c r="G647" i="5"/>
  <c r="G802" i="5"/>
  <c r="G879" i="5"/>
  <c r="G144" i="5"/>
  <c r="F144" i="1" s="1"/>
  <c r="G935" i="5"/>
  <c r="G870" i="5"/>
  <c r="G1008" i="5"/>
  <c r="G697" i="5"/>
  <c r="G790" i="5"/>
  <c r="G708" i="5"/>
  <c r="G412" i="5"/>
  <c r="F412" i="1" s="1"/>
  <c r="G504" i="5"/>
  <c r="F504" i="1" s="1"/>
  <c r="G92" i="5"/>
  <c r="F92" i="1" s="1"/>
  <c r="G555" i="5"/>
  <c r="F555" i="1" s="1"/>
  <c r="G442" i="5"/>
  <c r="F442" i="1" s="1"/>
  <c r="G360" i="5"/>
  <c r="F360" i="1" s="1"/>
  <c r="G557" i="5"/>
  <c r="F557" i="1" s="1"/>
  <c r="G77" i="5"/>
  <c r="F77" i="1" s="1"/>
  <c r="G380" i="5"/>
  <c r="F380" i="1" s="1"/>
  <c r="G28" i="5"/>
  <c r="F28" i="1" s="1"/>
  <c r="G141" i="5"/>
  <c r="F141" i="1" s="1"/>
  <c r="G496" i="5"/>
  <c r="F496" i="1" s="1"/>
  <c r="G416" i="5"/>
  <c r="F416" i="1" s="1"/>
  <c r="G199" i="5"/>
  <c r="F199" i="1" s="1"/>
  <c r="G248" i="5"/>
  <c r="F248" i="1" s="1"/>
  <c r="G105" i="5"/>
  <c r="F105" i="1" s="1"/>
  <c r="G395" i="5"/>
  <c r="F395" i="1" s="1"/>
  <c r="G155" i="5"/>
  <c r="F155" i="1" s="1"/>
  <c r="G19" i="5"/>
  <c r="F19" i="1" s="1"/>
  <c r="G220" i="5"/>
  <c r="F220" i="1" s="1"/>
  <c r="G122" i="5"/>
  <c r="F122" i="1" s="1"/>
  <c r="G545" i="5"/>
  <c r="F545" i="1" s="1"/>
  <c r="G20" i="5"/>
  <c r="F20" i="1" s="1"/>
  <c r="G88" i="5"/>
  <c r="F88" i="1" s="1"/>
  <c r="G520" i="5"/>
  <c r="F520" i="1" s="1"/>
  <c r="G314" i="5"/>
  <c r="F314" i="1" s="1"/>
  <c r="G940" i="5"/>
  <c r="G1006" i="5"/>
  <c r="G833" i="5"/>
  <c r="G233" i="5"/>
  <c r="F233" i="1" s="1"/>
  <c r="G681" i="5"/>
  <c r="G682" i="5"/>
  <c r="G758" i="5"/>
  <c r="G654" i="5"/>
  <c r="G85" i="5"/>
  <c r="F85" i="1" s="1"/>
  <c r="H85" i="1" s="1"/>
  <c r="G998" i="5"/>
  <c r="G946" i="5"/>
  <c r="G593" i="5"/>
  <c r="F593" i="1" s="1"/>
  <c r="G8" i="5"/>
  <c r="F8" i="1" s="1"/>
  <c r="G892" i="5"/>
  <c r="G934" i="5"/>
  <c r="G851" i="5"/>
  <c r="G983" i="5"/>
  <c r="G846" i="5"/>
  <c r="G950" i="5"/>
  <c r="G170" i="5"/>
  <c r="F170" i="1" s="1"/>
  <c r="G251" i="5"/>
  <c r="F251" i="1" s="1"/>
  <c r="G501" i="5"/>
  <c r="F501" i="1" s="1"/>
  <c r="G838" i="5"/>
  <c r="G786" i="5"/>
  <c r="G1033" i="5"/>
  <c r="G996" i="5"/>
  <c r="G745" i="5"/>
  <c r="G692" i="5"/>
  <c r="G240" i="5"/>
  <c r="F240" i="1" s="1"/>
  <c r="G382" i="5"/>
  <c r="F382" i="1" s="1"/>
  <c r="G832" i="5"/>
  <c r="G889" i="5"/>
  <c r="G725" i="5"/>
  <c r="G638" i="5"/>
  <c r="G268" i="5"/>
  <c r="F268" i="1" s="1"/>
  <c r="G771" i="5"/>
  <c r="G770" i="5"/>
  <c r="G1032" i="5"/>
  <c r="G717" i="5"/>
  <c r="G140" i="5"/>
  <c r="F140" i="1" s="1"/>
  <c r="G538" i="5"/>
  <c r="F538" i="1" s="1"/>
  <c r="G65" i="5"/>
  <c r="F65" i="1" s="1"/>
  <c r="G417" i="5"/>
  <c r="F417" i="1" s="1"/>
  <c r="G112" i="5"/>
  <c r="F112" i="1" s="1"/>
  <c r="G481" i="5"/>
  <c r="F481" i="1" s="1"/>
  <c r="G227" i="5"/>
  <c r="F227" i="1" s="1"/>
  <c r="G356" i="5"/>
  <c r="F356" i="1" s="1"/>
  <c r="G508" i="5"/>
  <c r="F508" i="1" s="1"/>
  <c r="G474" i="5"/>
  <c r="F474" i="1" s="1"/>
  <c r="G250" i="5"/>
  <c r="F250" i="1" s="1"/>
  <c r="G58" i="5"/>
  <c r="F58" i="1" s="1"/>
  <c r="G336" i="5"/>
  <c r="F336" i="1" s="1"/>
  <c r="G129" i="5"/>
  <c r="F129" i="1" s="1"/>
  <c r="G168" i="5"/>
  <c r="F168" i="1" s="1"/>
  <c r="H168" i="1" s="1"/>
  <c r="G52" i="5"/>
  <c r="F52" i="1" s="1"/>
  <c r="G495" i="5"/>
  <c r="F495" i="1" s="1"/>
  <c r="G348" i="5"/>
  <c r="F348" i="1" s="1"/>
  <c r="G150" i="5"/>
  <c r="F150" i="1" s="1"/>
  <c r="G595" i="5"/>
  <c r="F595" i="1" s="1"/>
  <c r="G72" i="5"/>
  <c r="F72" i="1" s="1"/>
  <c r="G331" i="5"/>
  <c r="F331" i="1" s="1"/>
  <c r="G193" i="5"/>
  <c r="F193" i="1" s="1"/>
  <c r="G576" i="5"/>
  <c r="F576" i="1" s="1"/>
  <c r="G110" i="5"/>
  <c r="F110" i="1" s="1"/>
  <c r="G530" i="5"/>
  <c r="F530" i="1" s="1"/>
  <c r="G51" i="5"/>
  <c r="F51" i="1" s="1"/>
  <c r="G44" i="5"/>
  <c r="F44" i="1" s="1"/>
  <c r="G449" i="5"/>
  <c r="F449" i="1" s="1"/>
  <c r="G877" i="5"/>
  <c r="G925" i="5"/>
  <c r="G457" i="5"/>
  <c r="F457" i="1" s="1"/>
  <c r="G816" i="5"/>
  <c r="G394" i="5"/>
  <c r="F394" i="1" s="1"/>
  <c r="G620" i="5"/>
  <c r="G388" i="5"/>
  <c r="F388" i="1" s="1"/>
  <c r="G939" i="5"/>
  <c r="G963" i="5"/>
  <c r="G908" i="5"/>
  <c r="G761" i="5"/>
  <c r="G279" i="5"/>
  <c r="F279" i="1" s="1"/>
  <c r="G869" i="5"/>
  <c r="G746" i="5"/>
  <c r="G859" i="5"/>
  <c r="G917" i="5"/>
  <c r="G722" i="5"/>
  <c r="G490" i="5"/>
  <c r="F490" i="1" s="1"/>
  <c r="G764" i="5"/>
  <c r="G1022" i="5"/>
  <c r="G1000" i="5"/>
  <c r="G863" i="5"/>
  <c r="G916" i="5"/>
  <c r="G426" i="5"/>
  <c r="F426" i="1" s="1"/>
  <c r="G657" i="5"/>
  <c r="G806" i="5"/>
  <c r="G386" i="5"/>
  <c r="F386" i="1" s="1"/>
  <c r="G779" i="5"/>
  <c r="G524" i="5"/>
  <c r="F524" i="1" s="1"/>
  <c r="G1009" i="5"/>
  <c r="G809" i="5"/>
  <c r="G767" i="5"/>
  <c r="G369" i="5"/>
  <c r="F369" i="1" s="1"/>
  <c r="G173" i="5"/>
  <c r="F173" i="1" s="1"/>
  <c r="G160" i="5"/>
  <c r="F160" i="1" s="1"/>
  <c r="G384" i="5"/>
  <c r="F384" i="1" s="1"/>
  <c r="G561" i="5"/>
  <c r="F561" i="1" s="1"/>
  <c r="G544" i="5"/>
  <c r="F544" i="1" s="1"/>
  <c r="G225" i="5"/>
  <c r="F225" i="1" s="1"/>
  <c r="G424" i="5"/>
  <c r="F424" i="1" s="1"/>
  <c r="G347" i="5"/>
  <c r="F347" i="1" s="1"/>
  <c r="G513" i="5"/>
  <c r="F513" i="1" s="1"/>
  <c r="G118" i="5"/>
  <c r="G96" i="5"/>
  <c r="F96" i="1" s="1"/>
  <c r="H96" i="1" s="1"/>
  <c r="G584" i="5"/>
  <c r="F584" i="1" s="1"/>
  <c r="G67" i="5"/>
  <c r="F67" i="1" s="1"/>
  <c r="G482" i="5"/>
  <c r="F482" i="1" s="1"/>
  <c r="G475" i="5"/>
  <c r="F475" i="1" s="1"/>
  <c r="G570" i="5"/>
  <c r="F570" i="1" s="1"/>
  <c r="G402" i="5"/>
  <c r="F402" i="1" s="1"/>
  <c r="G104" i="5"/>
  <c r="F104" i="1" s="1"/>
  <c r="G547" i="5"/>
  <c r="F547" i="1" s="1"/>
  <c r="G288" i="5"/>
  <c r="F288" i="1" s="1"/>
  <c r="G161" i="5"/>
  <c r="F161" i="1" s="1"/>
  <c r="G133" i="5"/>
  <c r="F133" i="1" s="1"/>
  <c r="G82" i="5"/>
  <c r="F82" i="1" s="1"/>
  <c r="G202" i="5"/>
  <c r="F202" i="1" s="1"/>
  <c r="G177" i="5"/>
  <c r="F177" i="1" s="1"/>
  <c r="G205" i="5"/>
  <c r="F205" i="1" s="1"/>
  <c r="G781" i="5"/>
  <c r="G841" i="5"/>
  <c r="G145" i="5"/>
  <c r="F145" i="1" s="1"/>
  <c r="G311" i="5"/>
  <c r="F311" i="1" s="1"/>
  <c r="G221" i="5"/>
  <c r="F221" i="1" s="1"/>
  <c r="G808" i="5"/>
  <c r="G649" i="5"/>
  <c r="G981" i="5"/>
  <c r="G972" i="5"/>
  <c r="G885" i="5"/>
  <c r="G1012" i="5"/>
  <c r="G503" i="5"/>
  <c r="F503" i="1" s="1"/>
  <c r="G913" i="5"/>
  <c r="G241" i="5"/>
  <c r="F241" i="1" s="1"/>
  <c r="G783" i="5"/>
  <c r="G1020" i="5"/>
  <c r="G322" i="5"/>
  <c r="F322" i="1" s="1"/>
  <c r="G753" i="5"/>
  <c r="G787" i="5"/>
  <c r="G844" i="5"/>
  <c r="G872" i="5"/>
  <c r="G867" i="5"/>
  <c r="G842" i="5"/>
  <c r="G843" i="5"/>
  <c r="G927" i="5"/>
  <c r="G1047" i="5"/>
  <c r="G704" i="5"/>
  <c r="G678" i="5"/>
  <c r="G247" i="5"/>
  <c r="F247" i="1" s="1"/>
  <c r="G226" i="5"/>
  <c r="F226" i="1" s="1"/>
  <c r="G130" i="5"/>
  <c r="F130" i="1" s="1"/>
  <c r="G713" i="5"/>
  <c r="G640" i="5"/>
  <c r="G418" i="5"/>
  <c r="F418" i="1" s="1"/>
  <c r="G147" i="5"/>
  <c r="F147" i="1" s="1"/>
  <c r="G219" i="5"/>
  <c r="F219" i="1" s="1"/>
  <c r="H219" i="1" s="1"/>
  <c r="G379" i="5"/>
  <c r="F379" i="1" s="1"/>
  <c r="G60" i="5"/>
  <c r="F60" i="1" s="1"/>
  <c r="G510" i="5"/>
  <c r="F510" i="1" s="1"/>
  <c r="G208" i="5"/>
  <c r="F208" i="1" s="1"/>
  <c r="G64" i="5"/>
  <c r="F64" i="1" s="1"/>
  <c r="G333" i="5"/>
  <c r="F333" i="1" s="1"/>
  <c r="G410" i="5"/>
  <c r="F410" i="1" s="1"/>
  <c r="G211" i="5"/>
  <c r="F211" i="1" s="1"/>
  <c r="G591" i="5"/>
  <c r="F591" i="1" s="1"/>
  <c r="G363" i="5"/>
  <c r="F363" i="1" s="1"/>
  <c r="G162" i="5"/>
  <c r="F162" i="1" s="1"/>
  <c r="G97" i="5"/>
  <c r="F97" i="1" s="1"/>
  <c r="G164" i="5"/>
  <c r="G320" i="5"/>
  <c r="F320" i="1" s="1"/>
  <c r="G187" i="5"/>
  <c r="F187" i="1" s="1"/>
  <c r="G121" i="5"/>
  <c r="F121" i="1" s="1"/>
  <c r="G464" i="5"/>
  <c r="F464" i="1" s="1"/>
  <c r="G301" i="5"/>
  <c r="F301" i="1" s="1"/>
  <c r="G79" i="5"/>
  <c r="F79" i="1" s="1"/>
  <c r="G431" i="5"/>
  <c r="F431" i="1" s="1"/>
  <c r="G5" i="5"/>
  <c r="F5" i="1" s="1"/>
  <c r="G299" i="5"/>
  <c r="F299" i="1" s="1"/>
  <c r="G428" i="5"/>
  <c r="F428" i="1" s="1"/>
  <c r="G41" i="5"/>
  <c r="F41" i="1" s="1"/>
  <c r="G156" i="5"/>
  <c r="F156" i="1" s="1"/>
  <c r="G11" i="5"/>
  <c r="F11" i="1" s="1"/>
  <c r="G741" i="5"/>
  <c r="G552" i="5"/>
  <c r="F552" i="1" s="1"/>
  <c r="G94" i="5"/>
  <c r="F94" i="1" s="1"/>
  <c r="G835" i="5"/>
  <c r="G948" i="5"/>
  <c r="G780" i="5"/>
  <c r="G992" i="5"/>
  <c r="G958" i="5"/>
  <c r="G912" i="5"/>
  <c r="G1026" i="5"/>
  <c r="G902" i="5"/>
  <c r="G776" i="5"/>
  <c r="G653" i="5"/>
  <c r="G48" i="5"/>
  <c r="F48" i="1" s="1"/>
  <c r="G765" i="5"/>
  <c r="G297" i="5"/>
  <c r="F297" i="1" s="1"/>
  <c r="G607" i="5"/>
  <c r="G1004" i="5"/>
  <c r="G400" i="5"/>
  <c r="F400" i="1" s="1"/>
  <c r="G39" i="5"/>
  <c r="F39" i="1" s="1"/>
  <c r="G864" i="5"/>
  <c r="G1043" i="5"/>
  <c r="G955" i="5"/>
  <c r="G936" i="5"/>
  <c r="G643" i="5"/>
  <c r="G933" i="5"/>
  <c r="G272" i="5"/>
  <c r="F272" i="1" s="1"/>
  <c r="G286" i="5"/>
  <c r="F286" i="1" s="1"/>
  <c r="G477" i="5"/>
  <c r="F477" i="1" s="1"/>
  <c r="G880" i="5"/>
  <c r="G1039" i="5"/>
  <c r="G603" i="5"/>
  <c r="G63" i="5"/>
  <c r="F63" i="1" s="1"/>
  <c r="G740" i="5"/>
  <c r="G128" i="5"/>
  <c r="F128" i="1" s="1"/>
  <c r="G292" i="5"/>
  <c r="F292" i="1" s="1"/>
  <c r="G16" i="5"/>
  <c r="F16" i="1" s="1"/>
  <c r="G289" i="5"/>
  <c r="F289" i="1" s="1"/>
  <c r="G137" i="5"/>
  <c r="F137" i="1" s="1"/>
  <c r="G540" i="5"/>
  <c r="F540" i="1" s="1"/>
  <c r="G12" i="5"/>
  <c r="F12" i="1" s="1"/>
  <c r="G387" i="5"/>
  <c r="F387" i="1" s="1"/>
  <c r="G26" i="5"/>
  <c r="F26" i="1" s="1"/>
  <c r="G559" i="5"/>
  <c r="F559" i="1" s="1"/>
  <c r="G267" i="5"/>
  <c r="F267" i="1" s="1"/>
  <c r="G239" i="5"/>
  <c r="F239" i="1" s="1"/>
  <c r="G512" i="5"/>
  <c r="F512" i="1" s="1"/>
  <c r="G491" i="5"/>
  <c r="F491" i="1" s="1"/>
  <c r="G80" i="5"/>
  <c r="F80" i="1" s="1"/>
  <c r="G252" i="5"/>
  <c r="F252" i="1" s="1"/>
  <c r="G385" i="5"/>
  <c r="G47" i="5"/>
  <c r="F47" i="1" s="1"/>
  <c r="G532" i="5"/>
  <c r="F532" i="1" s="1"/>
  <c r="G505" i="5"/>
  <c r="F505" i="1" s="1"/>
  <c r="G204" i="5"/>
  <c r="F204" i="1" s="1"/>
  <c r="G463" i="5"/>
  <c r="F463" i="1" s="1"/>
  <c r="G378" i="5"/>
  <c r="F378" i="1" s="1"/>
  <c r="G903" i="5"/>
  <c r="G711" i="5"/>
  <c r="G868" i="5"/>
  <c r="G690" i="5"/>
  <c r="G328" i="5"/>
  <c r="F328" i="1" s="1"/>
  <c r="G943" i="5"/>
  <c r="G860" i="5"/>
  <c r="G1021" i="5"/>
  <c r="G910" i="5"/>
  <c r="G951" i="5"/>
  <c r="G687" i="5"/>
  <c r="G349" i="5"/>
  <c r="F349" i="1" s="1"/>
  <c r="G673" i="5"/>
  <c r="G699" i="5"/>
  <c r="G102" i="5"/>
  <c r="F102" i="1" s="1"/>
  <c r="G825" i="5"/>
  <c r="G856" i="5"/>
  <c r="G768" i="5"/>
  <c r="G390" i="5"/>
  <c r="F390" i="1" s="1"/>
  <c r="G794" i="5"/>
  <c r="G1037" i="5"/>
  <c r="G631" i="5"/>
  <c r="G529" i="5"/>
  <c r="F529" i="1" s="1"/>
  <c r="G730" i="5"/>
  <c r="G351" i="5"/>
  <c r="F351" i="1" s="1"/>
  <c r="G1041" i="5"/>
  <c r="G459" i="5"/>
  <c r="F459" i="1" s="1"/>
  <c r="G613" i="5"/>
  <c r="G179" i="5"/>
  <c r="F179" i="1" s="1"/>
  <c r="G988" i="5"/>
  <c r="G1018" i="5"/>
  <c r="G305" i="5"/>
  <c r="F305" i="1" s="1"/>
  <c r="G702" i="5"/>
  <c r="G609" i="5"/>
  <c r="G437" i="5"/>
  <c r="F437" i="1" s="1"/>
  <c r="G655" i="5"/>
  <c r="G990" i="5"/>
  <c r="G1025" i="5"/>
  <c r="G751" i="5"/>
  <c r="G747" i="5"/>
  <c r="G644" i="5"/>
  <c r="G726" i="5"/>
  <c r="G918" i="5"/>
  <c r="G944" i="5"/>
  <c r="G785" i="5"/>
  <c r="G337" i="5"/>
  <c r="F337" i="1" s="1"/>
  <c r="G965" i="5"/>
  <c r="G906" i="5"/>
  <c r="G953" i="5"/>
  <c r="G616" i="5"/>
  <c r="G701" i="5"/>
  <c r="G236" i="5"/>
  <c r="F236" i="1" s="1"/>
  <c r="G646" i="5"/>
  <c r="G1045" i="5"/>
  <c r="G830" i="5"/>
  <c r="G626" i="5"/>
  <c r="G891" i="5"/>
  <c r="G967" i="5"/>
  <c r="G810" i="5"/>
  <c r="G886" i="5"/>
  <c r="G792" i="5"/>
  <c r="G458" i="5"/>
  <c r="F458" i="1" s="1"/>
  <c r="G427" i="5"/>
  <c r="F427" i="1" s="1"/>
  <c r="G413" i="5"/>
  <c r="F413" i="1" s="1"/>
  <c r="G695" i="5"/>
  <c r="G773" i="5"/>
  <c r="G691" i="5"/>
  <c r="G1035" i="5"/>
  <c r="G40" i="5"/>
  <c r="F40" i="1" s="1"/>
  <c r="G73" i="5"/>
  <c r="F73" i="1" s="1"/>
  <c r="G224" i="5"/>
  <c r="F224" i="1" s="1"/>
  <c r="G450" i="5"/>
  <c r="F450" i="1" s="1"/>
  <c r="G34" i="5"/>
  <c r="G346" i="5"/>
  <c r="F346" i="1" s="1"/>
  <c r="G256" i="5"/>
  <c r="F256" i="1" s="1"/>
  <c r="G507" i="5"/>
  <c r="F507" i="1" s="1"/>
  <c r="G374" i="5"/>
  <c r="F374" i="1" s="1"/>
  <c r="G35" i="5"/>
  <c r="F35" i="1" s="1"/>
  <c r="G76" i="5"/>
  <c r="F76" i="1" s="1"/>
  <c r="G521" i="5"/>
  <c r="F521" i="1" s="1"/>
  <c r="G13" i="5"/>
  <c r="F13" i="1" s="1"/>
  <c r="G175" i="5"/>
  <c r="G307" i="5"/>
  <c r="F307" i="1" s="1"/>
  <c r="G397" i="5"/>
  <c r="F397" i="1" s="1"/>
  <c r="G45" i="5"/>
  <c r="F45" i="1" s="1"/>
  <c r="G536" i="5"/>
  <c r="F536" i="1" s="1"/>
  <c r="G203" i="5"/>
  <c r="F203" i="1" s="1"/>
  <c r="G438" i="5"/>
  <c r="F438" i="1" s="1"/>
  <c r="G429" i="5"/>
  <c r="F429" i="1" s="1"/>
  <c r="G86" i="5"/>
  <c r="F86" i="1" s="1"/>
  <c r="G404" i="5"/>
  <c r="F404" i="1" s="1"/>
  <c r="G377" i="5"/>
  <c r="F377" i="1" s="1"/>
  <c r="G580" i="5"/>
  <c r="F580" i="1" s="1"/>
  <c r="G54" i="5"/>
  <c r="F54" i="1" s="1"/>
  <c r="G352" i="5"/>
  <c r="F352" i="1" s="1"/>
  <c r="G98" i="5"/>
  <c r="F98" i="1" s="1"/>
  <c r="G839" i="5"/>
  <c r="G95" i="5"/>
  <c r="F95" i="1" s="1"/>
  <c r="G132" i="5"/>
  <c r="F132" i="1" s="1"/>
  <c r="G791" i="5"/>
  <c r="G784" i="5"/>
  <c r="G894" i="5"/>
  <c r="G642" i="5"/>
  <c r="G957" i="5"/>
  <c r="G401" i="5"/>
  <c r="F401" i="1" s="1"/>
  <c r="G750" i="5"/>
  <c r="G604" i="5"/>
  <c r="G509" i="5"/>
  <c r="F509" i="1" s="1"/>
  <c r="G364" i="5"/>
  <c r="F364" i="1" s="1"/>
  <c r="G854" i="5"/>
  <c r="G901" i="5"/>
  <c r="G942" i="5"/>
  <c r="G304" i="5"/>
  <c r="G637" i="5"/>
  <c r="G696" i="5"/>
  <c r="G905" i="5"/>
  <c r="G852" i="5"/>
  <c r="G899" i="5"/>
  <c r="G890" i="5"/>
  <c r="G671" i="5"/>
  <c r="G650" i="5"/>
  <c r="G396" i="5"/>
  <c r="F396" i="1" s="1"/>
  <c r="G897" i="5"/>
  <c r="G999" i="5"/>
  <c r="G932" i="5"/>
  <c r="G113" i="5"/>
  <c r="F113" i="1" s="1"/>
  <c r="G575" i="5"/>
  <c r="F575" i="1" s="1"/>
  <c r="G763" i="5"/>
  <c r="G800" i="5"/>
  <c r="G1044" i="5"/>
  <c r="G31" i="5"/>
  <c r="F31" i="1" s="1"/>
  <c r="G619" i="5"/>
  <c r="G492" i="5"/>
  <c r="F492" i="1" s="1"/>
  <c r="G733" i="5"/>
  <c r="G543" i="5"/>
  <c r="F543" i="1" s="1"/>
  <c r="G778" i="5"/>
  <c r="G439" i="5"/>
  <c r="F439" i="1" s="1"/>
  <c r="G1015" i="5"/>
  <c r="G1036" i="5"/>
  <c r="G762" i="5"/>
  <c r="G873" i="5"/>
  <c r="G727" i="5"/>
  <c r="G546" i="5"/>
  <c r="F546" i="1" s="1"/>
  <c r="G1005" i="5"/>
  <c r="G971" i="5"/>
  <c r="G949" i="5"/>
  <c r="G777" i="5"/>
  <c r="G615" i="5"/>
  <c r="G354" i="5"/>
  <c r="F354" i="1" s="1"/>
  <c r="G669" i="5"/>
  <c r="G817" i="5"/>
  <c r="G181" i="5"/>
  <c r="F181" i="1" s="1"/>
  <c r="G1046" i="5"/>
  <c r="G976" i="5"/>
  <c r="G1038" i="5"/>
  <c r="G210" i="5"/>
  <c r="F210" i="1" s="1"/>
  <c r="G938" i="5"/>
  <c r="G878" i="5"/>
  <c r="G945" i="5"/>
  <c r="G602" i="5"/>
  <c r="G789" i="5"/>
  <c r="G590" i="5"/>
  <c r="F590" i="1" s="1"/>
  <c r="G117" i="5"/>
  <c r="F117" i="1" s="1"/>
  <c r="G624" i="5"/>
  <c r="G645" i="5"/>
  <c r="G612" i="5"/>
  <c r="G896" i="5"/>
  <c r="G831" i="5"/>
  <c r="G680" i="5"/>
  <c r="G639" i="5"/>
  <c r="G803" i="5"/>
  <c r="G326" i="5"/>
  <c r="F326" i="1" s="1"/>
  <c r="G293" i="5"/>
  <c r="F293" i="1" s="1"/>
  <c r="G1016" i="5"/>
  <c r="G947" i="5"/>
  <c r="G793" i="5"/>
  <c r="G735" i="5"/>
  <c r="G749" i="5"/>
  <c r="G658" i="5"/>
  <c r="G6" i="5"/>
  <c r="F6" i="1" s="1"/>
  <c r="H53" i="1"/>
  <c r="G99" i="5"/>
  <c r="F99" i="1" s="1"/>
  <c r="H332" i="1"/>
  <c r="H230" i="1"/>
  <c r="H527" i="1"/>
  <c r="H587" i="1"/>
  <c r="G453" i="5"/>
  <c r="F453" i="1" s="1"/>
  <c r="G399" i="5"/>
  <c r="F399" i="1" s="1"/>
  <c r="G244" i="5"/>
  <c r="F244" i="1" s="1"/>
  <c r="G581" i="5"/>
  <c r="F581" i="1" s="1"/>
  <c r="H38" i="1"/>
  <c r="G261" i="5"/>
  <c r="F261" i="1" s="1"/>
  <c r="G312" i="5"/>
  <c r="F312" i="1" s="1"/>
  <c r="G370" i="5"/>
  <c r="F370" i="1" s="1"/>
  <c r="G372" i="5"/>
  <c r="F372" i="1" s="1"/>
  <c r="H479" i="1"/>
  <c r="H185" i="1"/>
  <c r="G15" i="5"/>
  <c r="F15" i="1" s="1"/>
  <c r="G467" i="5"/>
  <c r="F467" i="1" s="1"/>
  <c r="G760" i="5"/>
  <c r="G100" i="5"/>
  <c r="F100" i="1" s="1"/>
  <c r="G836" i="5"/>
  <c r="G919" i="5"/>
  <c r="G900" i="5"/>
  <c r="G974" i="5"/>
  <c r="G1028" i="5"/>
  <c r="G698" i="5"/>
  <c r="G849" i="5"/>
  <c r="G719" i="5"/>
  <c r="G674" i="5"/>
  <c r="G478" i="5"/>
  <c r="F478" i="1" s="1"/>
  <c r="G628" i="5"/>
  <c r="G23" i="5"/>
  <c r="G898" i="5"/>
  <c r="G823" i="5"/>
  <c r="G929" i="5"/>
  <c r="G743" i="5"/>
  <c r="G383" i="5"/>
  <c r="F383" i="1" s="1"/>
  <c r="G739" i="5"/>
  <c r="G213" i="5"/>
  <c r="F213" i="1" s="1"/>
  <c r="G928" i="5"/>
  <c r="G1034" i="5"/>
  <c r="G729" i="5"/>
  <c r="G665" i="5"/>
  <c r="G685" i="5"/>
  <c r="G621" i="5"/>
  <c r="G165" i="5"/>
  <c r="F165" i="1" s="1"/>
  <c r="H407" i="1"/>
  <c r="G480" i="5"/>
  <c r="F480" i="1" s="1"/>
  <c r="H565" i="1"/>
  <c r="H125" i="1"/>
  <c r="G238" i="5"/>
  <c r="F238" i="1" s="1"/>
  <c r="G494" i="5"/>
  <c r="F494" i="1" s="1"/>
  <c r="G24" i="5"/>
  <c r="F24" i="1" s="1"/>
  <c r="G468" i="5"/>
  <c r="G334" i="5"/>
  <c r="F334" i="1" s="1"/>
  <c r="G56" i="5"/>
  <c r="F56" i="1" s="1"/>
  <c r="G302" i="5"/>
  <c r="F302" i="1" s="1"/>
  <c r="G115" i="5"/>
  <c r="F115" i="1" s="1"/>
  <c r="G275" i="5"/>
  <c r="F275" i="1" s="1"/>
  <c r="G596" i="5"/>
  <c r="F596" i="1" s="1"/>
  <c r="H281" i="1"/>
  <c r="H564" i="1"/>
  <c r="H142" i="1"/>
  <c r="G350" i="5"/>
  <c r="F350" i="1" s="1"/>
  <c r="G907" i="5"/>
  <c r="G883" i="5"/>
  <c r="G862" i="5"/>
  <c r="G618" i="5"/>
  <c r="G874" i="5"/>
  <c r="G578" i="5"/>
  <c r="F578" i="1" s="1"/>
  <c r="G686" i="5"/>
  <c r="G723" i="5"/>
  <c r="G651" i="5"/>
  <c r="G829" i="5"/>
  <c r="G242" i="5"/>
  <c r="F242" i="1" s="1"/>
  <c r="G923" i="5"/>
  <c r="G812" i="5"/>
  <c r="G997" i="5"/>
  <c r="G952" i="5"/>
  <c r="G922" i="5"/>
  <c r="G769" i="5"/>
  <c r="G535" i="5"/>
  <c r="F535" i="1" s="1"/>
  <c r="G294" i="5"/>
  <c r="F294" i="1" s="1"/>
  <c r="G228" i="5"/>
  <c r="F228" i="1" s="1"/>
  <c r="G798" i="5"/>
  <c r="G748" i="5"/>
  <c r="G622" i="5"/>
  <c r="G485" i="5"/>
  <c r="F485" i="1" s="1"/>
  <c r="G824" i="5"/>
  <c r="G848" i="5"/>
  <c r="G865" i="5"/>
  <c r="G679" i="5"/>
  <c r="G757" i="5"/>
  <c r="G672" i="5"/>
  <c r="G126" i="5"/>
  <c r="F126" i="1" s="1"/>
  <c r="G668" i="5"/>
  <c r="G1027" i="5"/>
  <c r="G968" i="5"/>
  <c r="G656" i="5"/>
  <c r="G662" i="5"/>
  <c r="H317" i="1"/>
  <c r="H541" i="1"/>
  <c r="H371" i="1"/>
  <c r="H158" i="1"/>
  <c r="H260" i="1"/>
  <c r="G71" i="5"/>
  <c r="F71" i="1" s="1"/>
  <c r="G455" i="5"/>
  <c r="F455" i="1" s="1"/>
  <c r="G280" i="5"/>
  <c r="F280" i="1" s="1"/>
  <c r="G270" i="5"/>
  <c r="F270" i="1" s="1"/>
  <c r="G327" i="5"/>
  <c r="F327" i="1" s="1"/>
  <c r="G153" i="5"/>
  <c r="F153" i="1" s="1"/>
  <c r="G263" i="5"/>
  <c r="F263" i="1" s="1"/>
  <c r="G500" i="5"/>
  <c r="F500" i="1" s="1"/>
  <c r="G195" i="5"/>
  <c r="F195" i="1" s="1"/>
  <c r="G443" i="5"/>
  <c r="F443" i="1" s="1"/>
  <c r="H295" i="1"/>
  <c r="H421" i="1"/>
  <c r="H409" i="1"/>
  <c r="H359" i="1"/>
  <c r="H114" i="1"/>
  <c r="G212" i="5"/>
  <c r="F212" i="1" s="1"/>
  <c r="G68" i="5"/>
  <c r="F68" i="1" s="1"/>
  <c r="G738" i="5"/>
  <c r="G813" i="5"/>
  <c r="G560" i="5"/>
  <c r="F560" i="1" s="1"/>
  <c r="G677" i="5"/>
  <c r="G977" i="5"/>
  <c r="G341" i="5"/>
  <c r="F341" i="1" s="1"/>
  <c r="G931" i="5"/>
  <c r="G805" i="5"/>
  <c r="G362" i="5"/>
  <c r="F362" i="1" s="1"/>
  <c r="G714" i="5"/>
  <c r="G1002" i="5"/>
  <c r="G608" i="5"/>
  <c r="G149" i="5"/>
  <c r="F149" i="1" s="1"/>
  <c r="G344" i="5"/>
  <c r="F344" i="1" s="1"/>
  <c r="G845" i="5"/>
  <c r="G871" i="5"/>
  <c r="G881" i="5"/>
  <c r="G1023" i="5"/>
  <c r="G926" i="5"/>
  <c r="G861" i="5"/>
  <c r="G893" i="5"/>
  <c r="G689" i="5"/>
  <c r="G223" i="5"/>
  <c r="F223" i="1" s="1"/>
  <c r="G343" i="5"/>
  <c r="F343" i="1" s="1"/>
  <c r="G134" i="5"/>
  <c r="F134" i="1" s="1"/>
  <c r="G283" i="5"/>
  <c r="F283" i="1" s="1"/>
  <c r="G734" i="5"/>
  <c r="G684" i="5"/>
  <c r="G542" i="5"/>
  <c r="F542" i="1" s="1"/>
  <c r="G405" i="5"/>
  <c r="F405" i="1" s="1"/>
  <c r="G1017" i="5"/>
  <c r="G966" i="5"/>
  <c r="G801" i="5"/>
  <c r="G562" i="5"/>
  <c r="F562" i="1" s="1"/>
  <c r="G693" i="5"/>
  <c r="G391" i="5"/>
  <c r="F391" i="1" s="1"/>
  <c r="H391" i="1" s="1"/>
  <c r="G30" i="5"/>
  <c r="F30" i="1" s="1"/>
  <c r="G588" i="5"/>
  <c r="F588" i="1" s="1"/>
  <c r="G960" i="5"/>
  <c r="G895" i="5"/>
  <c r="G736" i="5"/>
  <c r="G287" i="5"/>
  <c r="G788" i="5"/>
  <c r="G598" i="5"/>
  <c r="G445" i="5"/>
  <c r="F445" i="1" s="1"/>
  <c r="G652" i="5"/>
  <c r="H262" i="1"/>
  <c r="H381" i="1"/>
  <c r="H534" i="1"/>
  <c r="H446" i="1"/>
  <c r="H143" i="1"/>
  <c r="H29" i="1"/>
  <c r="H254" i="1"/>
  <c r="H375" i="1"/>
  <c r="G525" i="5"/>
  <c r="G406" i="5"/>
  <c r="F406" i="1" s="1"/>
  <c r="G568" i="5"/>
  <c r="G231" i="5"/>
  <c r="F231" i="1" s="1"/>
  <c r="G278" i="5"/>
  <c r="F278" i="1" s="1"/>
  <c r="G345" i="5"/>
  <c r="F345" i="1" s="1"/>
  <c r="G22" i="5"/>
  <c r="F22" i="1" s="1"/>
  <c r="G389" i="5"/>
  <c r="F389" i="1" s="1"/>
  <c r="G116" i="5"/>
  <c r="G483" i="5"/>
  <c r="F483" i="1" s="1"/>
  <c r="H434" i="1"/>
  <c r="H549" i="1"/>
  <c r="H357" i="1"/>
  <c r="G206" i="5"/>
  <c r="F206" i="1" s="1"/>
  <c r="G605" i="5"/>
  <c r="G909" i="5"/>
  <c r="G705" i="5"/>
  <c r="G393" i="5"/>
  <c r="G489" i="5"/>
  <c r="G324" i="5"/>
  <c r="F324" i="1" s="1"/>
  <c r="G982" i="5"/>
  <c r="G1010" i="5"/>
  <c r="G973" i="5"/>
  <c r="G1001" i="5"/>
  <c r="G837" i="5"/>
  <c r="G914" i="5"/>
  <c r="G49" i="5"/>
  <c r="F49" i="1" s="1"/>
  <c r="G298" i="5"/>
  <c r="F298" i="1" s="1"/>
  <c r="G87" i="5"/>
  <c r="F87" i="1" s="1"/>
  <c r="G636" i="5"/>
  <c r="G610" i="5"/>
  <c r="G1029" i="5"/>
  <c r="G376" i="5"/>
  <c r="F376" i="1" s="1"/>
  <c r="G592" i="5"/>
  <c r="F592" i="1" s="1"/>
  <c r="G1030" i="5"/>
  <c r="G853" i="5"/>
  <c r="G515" i="5"/>
  <c r="F515" i="1" s="1"/>
  <c r="G828" i="5"/>
  <c r="G766" i="5"/>
  <c r="G700" i="5"/>
  <c r="G661" i="5"/>
  <c r="G83" i="5"/>
  <c r="F83" i="1" s="1"/>
  <c r="G664" i="5"/>
  <c r="G1040" i="5"/>
  <c r="G991" i="5"/>
  <c r="G737" i="5"/>
  <c r="G319" i="5"/>
  <c r="F319" i="1" s="1"/>
  <c r="G599" i="5"/>
  <c r="G167" i="5"/>
  <c r="F167" i="1" s="1"/>
  <c r="G629" i="5"/>
  <c r="G962" i="5"/>
  <c r="G887" i="5"/>
  <c r="G822" i="5"/>
  <c r="G666" i="5"/>
  <c r="G774" i="5"/>
  <c r="G724" i="5"/>
  <c r="G518" i="5"/>
  <c r="F518" i="1" s="1"/>
  <c r="G136" i="5"/>
  <c r="F136" i="1" s="1"/>
  <c r="H392" i="1"/>
  <c r="H447" i="1"/>
  <c r="H486" i="1"/>
  <c r="H81" i="1"/>
  <c r="H361" i="1"/>
  <c r="H277" i="1"/>
  <c r="H573" i="1"/>
  <c r="G271" i="5"/>
  <c r="F271" i="1" s="1"/>
  <c r="G339" i="5"/>
  <c r="F339" i="1" s="1"/>
  <c r="G89" i="5"/>
  <c r="F89" i="1" s="1"/>
  <c r="G589" i="5"/>
  <c r="F589" i="1" s="1"/>
  <c r="G367" i="5"/>
  <c r="F367" i="1" s="1"/>
  <c r="H367" i="1" s="1"/>
  <c r="G569" i="5"/>
  <c r="F569" i="1" s="1"/>
  <c r="G335" i="5"/>
  <c r="F335" i="1" s="1"/>
  <c r="G78" i="5"/>
  <c r="F78" i="1" s="1"/>
  <c r="G340" i="5"/>
  <c r="F340" i="1" s="1"/>
  <c r="H537" i="1"/>
  <c r="H103" i="1"/>
  <c r="H180" i="1"/>
  <c r="G7" i="5"/>
  <c r="F7" i="1" s="1"/>
  <c r="G597" i="5"/>
  <c r="G617" i="5"/>
  <c r="G1013" i="5"/>
  <c r="G627" i="5"/>
  <c r="G716" i="5"/>
  <c r="G157" i="5"/>
  <c r="F157" i="1" s="1"/>
  <c r="G775" i="5"/>
  <c r="G985" i="5"/>
  <c r="G961" i="5"/>
  <c r="G827" i="5"/>
  <c r="G1024" i="5"/>
  <c r="G995" i="5"/>
  <c r="G804" i="5"/>
  <c r="G720" i="5"/>
  <c r="G797" i="5"/>
  <c r="G614" i="5"/>
  <c r="G460" i="5"/>
  <c r="F460" i="1" s="1"/>
  <c r="G66" i="5"/>
  <c r="F66" i="1" s="1"/>
  <c r="G980" i="5"/>
  <c r="G964" i="5"/>
  <c r="G632" i="5"/>
  <c r="G975" i="5"/>
  <c r="G994" i="5"/>
  <c r="G411" i="5"/>
  <c r="F411" i="1" s="1"/>
  <c r="G675" i="5"/>
  <c r="G715" i="5"/>
  <c r="G759" i="5"/>
  <c r="G266" i="5"/>
  <c r="F266" i="1" s="1"/>
  <c r="G755" i="5"/>
  <c r="G358" i="5"/>
  <c r="F358" i="1" s="1"/>
  <c r="G956" i="5"/>
  <c r="G1042" i="5"/>
  <c r="G667" i="5"/>
  <c r="G127" i="5"/>
  <c r="F127" i="1" s="1"/>
  <c r="G796" i="5"/>
  <c r="G670" i="5"/>
  <c r="G888" i="5"/>
  <c r="G814" i="5"/>
  <c r="G274" i="5"/>
  <c r="F274" i="1" s="1"/>
  <c r="G563" i="5"/>
  <c r="F563" i="1" s="1"/>
  <c r="G710" i="5"/>
  <c r="G648" i="5"/>
  <c r="G422" i="5"/>
  <c r="F422" i="1" s="1"/>
  <c r="G189" i="5"/>
  <c r="F189" i="1" s="1"/>
  <c r="G43" i="5"/>
  <c r="F43" i="1" s="1"/>
  <c r="H493" i="1"/>
  <c r="H368" i="1"/>
  <c r="H419" i="1"/>
  <c r="H586" i="1"/>
  <c r="H273" i="1"/>
  <c r="H321" i="1"/>
  <c r="H123" i="1"/>
  <c r="H282" i="1"/>
  <c r="G306" i="5"/>
  <c r="F306" i="1" s="1"/>
  <c r="G462" i="5"/>
  <c r="F462" i="1" s="1"/>
  <c r="G550" i="5"/>
  <c r="F550" i="1" s="1"/>
  <c r="G303" i="5"/>
  <c r="F303" i="1" s="1"/>
  <c r="G217" i="5"/>
  <c r="F217" i="1" s="1"/>
  <c r="G338" i="5"/>
  <c r="F338" i="1" s="1"/>
  <c r="G178" i="5"/>
  <c r="F178" i="1" s="1"/>
  <c r="G152" i="5"/>
  <c r="F152" i="1" s="1"/>
  <c r="G25" i="5"/>
  <c r="F25" i="1" s="1"/>
  <c r="G57" i="5"/>
  <c r="F57" i="1" s="1"/>
  <c r="H57" i="1" s="1"/>
  <c r="H174" i="1"/>
  <c r="H436" i="1"/>
  <c r="H471" i="1"/>
  <c r="G461" i="5"/>
  <c r="F461" i="1" s="1"/>
  <c r="G313" i="5"/>
  <c r="F313" i="1" s="1"/>
  <c r="G978" i="5"/>
  <c r="G567" i="5"/>
  <c r="F567" i="1" s="1"/>
  <c r="G782" i="5"/>
  <c r="G732" i="5"/>
  <c r="G606" i="5"/>
  <c r="G469" i="5"/>
  <c r="F469" i="1" s="1"/>
  <c r="G815" i="5"/>
  <c r="G821" i="5"/>
  <c r="G921" i="5"/>
  <c r="G625" i="5"/>
  <c r="G795" i="5"/>
  <c r="G318" i="5"/>
  <c r="F318" i="1" s="1"/>
  <c r="G93" i="5"/>
  <c r="F93" i="1" s="1"/>
  <c r="H264" i="1"/>
  <c r="H74" i="1"/>
  <c r="H528" i="1"/>
  <c r="H309" i="1"/>
  <c r="H108" i="1"/>
  <c r="H553" i="1"/>
  <c r="G498" i="5"/>
  <c r="F498" i="1" s="1"/>
  <c r="G423" i="5"/>
  <c r="F423" i="1" s="1"/>
  <c r="G470" i="5"/>
  <c r="F470" i="1" s="1"/>
  <c r="G50" i="5"/>
  <c r="F50" i="1" s="1"/>
  <c r="G91" i="5"/>
  <c r="F91" i="1" s="1"/>
  <c r="G441" i="5"/>
  <c r="F441" i="1" s="1"/>
  <c r="G594" i="5"/>
  <c r="F594" i="1" s="1"/>
  <c r="G466" i="5"/>
  <c r="F466" i="1" s="1"/>
  <c r="G139" i="5"/>
  <c r="F139" i="1" s="1"/>
  <c r="G101" i="5"/>
  <c r="F101" i="1" s="1"/>
  <c r="G473" i="5"/>
  <c r="F473" i="1" s="1"/>
  <c r="H229" i="1"/>
  <c r="G27" i="5"/>
  <c r="F27" i="1" s="1"/>
  <c r="H366" i="1"/>
  <c r="H159" i="1"/>
  <c r="H415" i="1"/>
  <c r="G18" i="5"/>
  <c r="F18" i="1" s="1"/>
  <c r="G166" i="5"/>
  <c r="F166" i="1" s="1"/>
  <c r="G107" i="5"/>
  <c r="F107" i="1" s="1"/>
  <c r="G62" i="5"/>
  <c r="F62" i="1" s="1"/>
  <c r="G858" i="5"/>
  <c r="G1003" i="5"/>
  <c r="G876" i="5"/>
  <c r="G818" i="5"/>
  <c r="G984" i="5"/>
  <c r="G987" i="5"/>
  <c r="G754" i="5"/>
  <c r="G712" i="5"/>
  <c r="G234" i="5"/>
  <c r="F234" i="1" s="1"/>
  <c r="G55" i="5"/>
  <c r="F55" i="1" s="1"/>
  <c r="G253" i="5"/>
  <c r="F253" i="1" s="1"/>
  <c r="G601" i="5"/>
  <c r="G709" i="5"/>
  <c r="G21" i="5"/>
  <c r="F21" i="1" s="1"/>
  <c r="G970" i="5"/>
  <c r="G904" i="5"/>
  <c r="G744" i="5"/>
  <c r="G718" i="5"/>
  <c r="G659" i="5"/>
  <c r="G526" i="5"/>
  <c r="F526" i="1" s="1"/>
  <c r="G373" i="5"/>
  <c r="F373" i="1" s="1"/>
  <c r="G993" i="5"/>
  <c r="G920" i="5"/>
  <c r="G857" i="5"/>
  <c r="G799" i="5"/>
  <c r="G731" i="5"/>
  <c r="G222" i="5"/>
  <c r="F222" i="1" s="1"/>
  <c r="G660" i="5"/>
  <c r="H484" i="1"/>
  <c r="H330" i="1"/>
  <c r="H119" i="1"/>
  <c r="H533" i="1"/>
  <c r="H571" i="1"/>
  <c r="H191" i="1"/>
  <c r="H579" i="1"/>
  <c r="H497" i="1"/>
  <c r="G558" i="5"/>
  <c r="F558" i="1" s="1"/>
  <c r="G342" i="5"/>
  <c r="F342" i="1" s="1"/>
  <c r="H556" i="1"/>
  <c r="G59" i="5"/>
  <c r="F59" i="1" s="1"/>
  <c r="G69" i="5"/>
  <c r="F69" i="1" s="1"/>
  <c r="G184" i="5"/>
  <c r="F184" i="1" s="1"/>
  <c r="G84" i="5"/>
  <c r="F84" i="1" s="1"/>
  <c r="G435" i="5"/>
  <c r="F435" i="1" s="1"/>
  <c r="G146" i="5"/>
  <c r="F146" i="1" s="1"/>
  <c r="G14" i="5"/>
  <c r="F14" i="1" s="1"/>
  <c r="H291" i="1"/>
  <c r="H408" i="1"/>
  <c r="H517" i="1"/>
  <c r="H440" i="1"/>
  <c r="H398" i="1"/>
  <c r="G197" i="5"/>
  <c r="F197" i="1" s="1"/>
  <c r="H308" i="1"/>
  <c r="G472" i="5"/>
  <c r="F472" i="1" s="1"/>
  <c r="G3" i="5"/>
  <c r="F3" i="1" s="1"/>
  <c r="G2" i="5"/>
  <c r="G4" i="5"/>
  <c r="F4" i="1" s="1"/>
  <c r="H4" i="1" s="1"/>
  <c r="H531" i="1"/>
  <c r="H169" i="1"/>
  <c r="H444" i="1"/>
  <c r="H37" i="1"/>
  <c r="H190" i="1"/>
  <c r="H414" i="1"/>
  <c r="H151" i="1"/>
  <c r="H539" i="1"/>
  <c r="H176" i="1"/>
  <c r="H430" i="1"/>
  <c r="H120" i="1"/>
  <c r="H583" i="1"/>
  <c r="H499" i="1"/>
  <c r="H135" i="1"/>
  <c r="F23" i="1" l="1"/>
  <c r="H23" i="1" s="1"/>
  <c r="F287" i="1"/>
  <c r="H287" i="1" s="1"/>
  <c r="F468" i="1"/>
  <c r="H468" i="1" s="1"/>
  <c r="F489" i="1"/>
  <c r="H489" i="1" s="1"/>
  <c r="F568" i="1"/>
  <c r="H568" i="1" s="1"/>
  <c r="F192" i="1"/>
  <c r="H192" i="1" s="1"/>
  <c r="F355" i="1"/>
  <c r="H355" i="1" s="1"/>
  <c r="F106" i="1"/>
  <c r="H106" i="1" s="1"/>
  <c r="F201" i="1"/>
  <c r="H201" i="1" s="1"/>
  <c r="F393" i="1"/>
  <c r="H393" i="1" s="1"/>
  <c r="F175" i="1"/>
  <c r="H175" i="1" s="1"/>
  <c r="F385" i="1"/>
  <c r="H385" i="1" s="1"/>
  <c r="F164" i="1"/>
  <c r="H164" i="1" s="1"/>
  <c r="F456" i="1"/>
  <c r="H456" i="1" s="1"/>
  <c r="F566" i="1"/>
  <c r="H566" i="1" s="1"/>
  <c r="F116" i="1"/>
  <c r="H116" i="1" s="1"/>
  <c r="F525" i="1"/>
  <c r="H525" i="1" s="1"/>
  <c r="F304" i="1"/>
  <c r="H304" i="1" s="1"/>
  <c r="F34" i="1"/>
  <c r="H34" i="1" s="1"/>
  <c r="F269" i="1"/>
  <c r="H269" i="1" s="1"/>
  <c r="F454" i="1"/>
  <c r="H454" i="1" s="1"/>
  <c r="F118" i="1"/>
  <c r="H118" i="1" s="1"/>
  <c r="H213" i="1"/>
  <c r="H509" i="1"/>
  <c r="H16" i="1"/>
  <c r="H221" i="1"/>
  <c r="H251" i="1"/>
  <c r="H516" i="1"/>
  <c r="H188" i="1"/>
  <c r="H276" i="1"/>
  <c r="H184" i="1"/>
  <c r="H55" i="1"/>
  <c r="H466" i="1"/>
  <c r="H318" i="1"/>
  <c r="H217" i="1"/>
  <c r="H127" i="1"/>
  <c r="H66" i="1"/>
  <c r="H78" i="1"/>
  <c r="H136" i="1"/>
  <c r="H83" i="1"/>
  <c r="H592" i="1"/>
  <c r="H483" i="1"/>
  <c r="H406" i="1"/>
  <c r="H134" i="1"/>
  <c r="H362" i="1"/>
  <c r="H443" i="1"/>
  <c r="H455" i="1"/>
  <c r="H24" i="1"/>
  <c r="H165" i="1"/>
  <c r="H478" i="1"/>
  <c r="H372" i="1"/>
  <c r="H453" i="1"/>
  <c r="H117" i="1"/>
  <c r="H31" i="1"/>
  <c r="H132" i="1"/>
  <c r="H404" i="1"/>
  <c r="H307" i="1"/>
  <c r="H256" i="1"/>
  <c r="H437" i="1"/>
  <c r="H459" i="1"/>
  <c r="H390" i="1"/>
  <c r="H47" i="1"/>
  <c r="H559" i="1"/>
  <c r="H292" i="1"/>
  <c r="H286" i="1"/>
  <c r="H39" i="1"/>
  <c r="H299" i="1"/>
  <c r="H320" i="1"/>
  <c r="H333" i="1"/>
  <c r="H503" i="1"/>
  <c r="H311" i="1"/>
  <c r="H133" i="1"/>
  <c r="H482" i="1"/>
  <c r="H225" i="1"/>
  <c r="H426" i="1"/>
  <c r="H449" i="1"/>
  <c r="H72" i="1"/>
  <c r="H336" i="1"/>
  <c r="H112" i="1"/>
  <c r="H170" i="1"/>
  <c r="H593" i="1"/>
  <c r="H233" i="1"/>
  <c r="H545" i="1"/>
  <c r="H199" i="1"/>
  <c r="H360" i="1"/>
  <c r="H183" i="1"/>
  <c r="H246" i="1"/>
  <c r="H200" i="1"/>
  <c r="H182" i="1"/>
  <c r="H476" i="1"/>
  <c r="H235" i="1"/>
  <c r="H448" i="1"/>
  <c r="H259" i="1"/>
  <c r="H487" i="1"/>
  <c r="H209" i="1"/>
  <c r="H420" i="1"/>
  <c r="H218" i="1"/>
  <c r="H422" i="1"/>
  <c r="H283" i="1"/>
  <c r="H377" i="1"/>
  <c r="H267" i="1"/>
  <c r="H428" i="1"/>
  <c r="H240" i="1"/>
  <c r="H557" i="1"/>
  <c r="H296" i="1"/>
  <c r="H582" i="1"/>
  <c r="F2" i="1"/>
  <c r="H2" i="1" s="1"/>
  <c r="H69" i="1"/>
  <c r="H234" i="1"/>
  <c r="H594" i="1"/>
  <c r="H303" i="1"/>
  <c r="H460" i="1"/>
  <c r="H335" i="1"/>
  <c r="H518" i="1"/>
  <c r="H167" i="1"/>
  <c r="H376" i="1"/>
  <c r="H343" i="1"/>
  <c r="H68" i="1"/>
  <c r="H195" i="1"/>
  <c r="H71" i="1"/>
  <c r="H228" i="1"/>
  <c r="H596" i="1"/>
  <c r="H494" i="1"/>
  <c r="H383" i="1"/>
  <c r="H370" i="1"/>
  <c r="H590" i="1"/>
  <c r="H396" i="1"/>
  <c r="H95" i="1"/>
  <c r="H86" i="1"/>
  <c r="H346" i="1"/>
  <c r="H26" i="1"/>
  <c r="H128" i="1"/>
  <c r="H272" i="1"/>
  <c r="H400" i="1"/>
  <c r="H94" i="1"/>
  <c r="H5" i="1"/>
  <c r="H64" i="1"/>
  <c r="H147" i="1"/>
  <c r="H145" i="1"/>
  <c r="H161" i="1"/>
  <c r="H67" i="1"/>
  <c r="H544" i="1"/>
  <c r="H388" i="1"/>
  <c r="H44" i="1"/>
  <c r="H595" i="1"/>
  <c r="H58" i="1"/>
  <c r="H417" i="1"/>
  <c r="H268" i="1"/>
  <c r="H122" i="1"/>
  <c r="H416" i="1"/>
  <c r="H442" i="1"/>
  <c r="H36" i="1"/>
  <c r="H258" i="1"/>
  <c r="H300" i="1"/>
  <c r="H33" i="1"/>
  <c r="H585" i="1"/>
  <c r="H138" i="1"/>
  <c r="H245" i="1"/>
  <c r="H433" i="1"/>
  <c r="H316" i="1"/>
  <c r="H214" i="1"/>
  <c r="H109" i="1"/>
  <c r="H9" i="1"/>
  <c r="H139" i="1"/>
  <c r="H49" i="1"/>
  <c r="H562" i="1"/>
  <c r="H280" i="1"/>
  <c r="H578" i="1"/>
  <c r="H477" i="1"/>
  <c r="H410" i="1"/>
  <c r="H82" i="1"/>
  <c r="H465" i="1"/>
  <c r="H257" i="1"/>
  <c r="H3" i="1"/>
  <c r="H59" i="1"/>
  <c r="H62" i="1"/>
  <c r="H441" i="1"/>
  <c r="H567" i="1"/>
  <c r="H550" i="1"/>
  <c r="H563" i="1"/>
  <c r="H411" i="1"/>
  <c r="H7" i="1"/>
  <c r="H569" i="1"/>
  <c r="H389" i="1"/>
  <c r="H223" i="1"/>
  <c r="H212" i="1"/>
  <c r="H500" i="1"/>
  <c r="H294" i="1"/>
  <c r="H242" i="1"/>
  <c r="H275" i="1"/>
  <c r="H238" i="1"/>
  <c r="H100" i="1"/>
  <c r="H312" i="1"/>
  <c r="H439" i="1"/>
  <c r="H401" i="1"/>
  <c r="H429" i="1"/>
  <c r="H13" i="1"/>
  <c r="H351" i="1"/>
  <c r="H252" i="1"/>
  <c r="H387" i="1"/>
  <c r="H552" i="1"/>
  <c r="H431" i="1"/>
  <c r="H97" i="1"/>
  <c r="H208" i="1"/>
  <c r="H418" i="1"/>
  <c r="H288" i="1"/>
  <c r="H584" i="1"/>
  <c r="H561" i="1"/>
  <c r="H51" i="1"/>
  <c r="H150" i="1"/>
  <c r="H250" i="1"/>
  <c r="H65" i="1"/>
  <c r="H220" i="1"/>
  <c r="H496" i="1"/>
  <c r="H555" i="1"/>
  <c r="H329" i="1"/>
  <c r="H70" i="1"/>
  <c r="H325" i="1"/>
  <c r="H154" i="1"/>
  <c r="H523" i="1"/>
  <c r="H207" i="1"/>
  <c r="H572" i="1"/>
  <c r="H284" i="1"/>
  <c r="H574" i="1"/>
  <c r="H253" i="1"/>
  <c r="H399" i="1"/>
  <c r="H481" i="1"/>
  <c r="H248" i="1"/>
  <c r="H163" i="1"/>
  <c r="H472" i="1"/>
  <c r="H107" i="1"/>
  <c r="H27" i="1"/>
  <c r="H91" i="1"/>
  <c r="H462" i="1"/>
  <c r="H274" i="1"/>
  <c r="H319" i="1"/>
  <c r="H22" i="1"/>
  <c r="H588" i="1"/>
  <c r="H405" i="1"/>
  <c r="H344" i="1"/>
  <c r="H341" i="1"/>
  <c r="H263" i="1"/>
  <c r="H535" i="1"/>
  <c r="H115" i="1"/>
  <c r="H261" i="1"/>
  <c r="H181" i="1"/>
  <c r="H98" i="1"/>
  <c r="H438" i="1"/>
  <c r="H521" i="1"/>
  <c r="H450" i="1"/>
  <c r="H413" i="1"/>
  <c r="H305" i="1"/>
  <c r="H378" i="1"/>
  <c r="H80" i="1"/>
  <c r="H12" i="1"/>
  <c r="H63" i="1"/>
  <c r="H79" i="1"/>
  <c r="H162" i="1"/>
  <c r="H510" i="1"/>
  <c r="H322" i="1"/>
  <c r="H547" i="1"/>
  <c r="H384" i="1"/>
  <c r="H524" i="1"/>
  <c r="H394" i="1"/>
  <c r="H530" i="1"/>
  <c r="H348" i="1"/>
  <c r="H474" i="1"/>
  <c r="H538" i="1"/>
  <c r="H19" i="1"/>
  <c r="H141" i="1"/>
  <c r="H92" i="1"/>
  <c r="H10" i="1"/>
  <c r="H577" i="1"/>
  <c r="H290" i="1"/>
  <c r="H232" i="1"/>
  <c r="H285" i="1"/>
  <c r="H338" i="1"/>
  <c r="H340" i="1"/>
  <c r="H6" i="1"/>
  <c r="H507" i="1"/>
  <c r="H349" i="1"/>
  <c r="H187" i="1"/>
  <c r="H8" i="1"/>
  <c r="H14" i="1"/>
  <c r="H342" i="1"/>
  <c r="H21" i="1"/>
  <c r="H166" i="1"/>
  <c r="H50" i="1"/>
  <c r="H313" i="1"/>
  <c r="H25" i="1"/>
  <c r="H306" i="1"/>
  <c r="H358" i="1"/>
  <c r="H157" i="1"/>
  <c r="H589" i="1"/>
  <c r="H206" i="1"/>
  <c r="H345" i="1"/>
  <c r="H445" i="1"/>
  <c r="H30" i="1"/>
  <c r="H542" i="1"/>
  <c r="H149" i="1"/>
  <c r="H153" i="1"/>
  <c r="H302" i="1"/>
  <c r="H467" i="1"/>
  <c r="H546" i="1"/>
  <c r="H543" i="1"/>
  <c r="H575" i="1"/>
  <c r="H352" i="1"/>
  <c r="H203" i="1"/>
  <c r="H76" i="1"/>
  <c r="H224" i="1"/>
  <c r="H427" i="1"/>
  <c r="H529" i="1"/>
  <c r="H102" i="1"/>
  <c r="H463" i="1"/>
  <c r="H491" i="1"/>
  <c r="H540" i="1"/>
  <c r="H297" i="1"/>
  <c r="H11" i="1"/>
  <c r="H301" i="1"/>
  <c r="H363" i="1"/>
  <c r="H60" i="1"/>
  <c r="H205" i="1"/>
  <c r="H104" i="1"/>
  <c r="H160" i="1"/>
  <c r="H279" i="1"/>
  <c r="H110" i="1"/>
  <c r="H495" i="1"/>
  <c r="H508" i="1"/>
  <c r="H140" i="1"/>
  <c r="H314" i="1"/>
  <c r="H155" i="1"/>
  <c r="H28" i="1"/>
  <c r="H504" i="1"/>
  <c r="H548" i="1"/>
  <c r="H216" i="1"/>
  <c r="H17" i="1"/>
  <c r="H315" i="1"/>
  <c r="H502" i="1"/>
  <c r="H42" i="1"/>
  <c r="H452" i="1"/>
  <c r="H84" i="1"/>
  <c r="H498" i="1"/>
  <c r="H326" i="1"/>
  <c r="H236" i="1"/>
  <c r="H532" i="1"/>
  <c r="H475" i="1"/>
  <c r="H331" i="1"/>
  <c r="H124" i="1"/>
  <c r="H197" i="1"/>
  <c r="H146" i="1"/>
  <c r="H558" i="1"/>
  <c r="H373" i="1"/>
  <c r="H473" i="1"/>
  <c r="H470" i="1"/>
  <c r="H461" i="1"/>
  <c r="H152" i="1"/>
  <c r="H43" i="1"/>
  <c r="H89" i="1"/>
  <c r="H515" i="1"/>
  <c r="H87" i="1"/>
  <c r="H278" i="1"/>
  <c r="H327" i="1"/>
  <c r="H485" i="1"/>
  <c r="H350" i="1"/>
  <c r="H56" i="1"/>
  <c r="H15" i="1"/>
  <c r="H581" i="1"/>
  <c r="H99" i="1"/>
  <c r="H113" i="1"/>
  <c r="H54" i="1"/>
  <c r="H536" i="1"/>
  <c r="H35" i="1"/>
  <c r="H73" i="1"/>
  <c r="H458" i="1"/>
  <c r="H337" i="1"/>
  <c r="H204" i="1"/>
  <c r="H512" i="1"/>
  <c r="H137" i="1"/>
  <c r="H156" i="1"/>
  <c r="H464" i="1"/>
  <c r="H591" i="1"/>
  <c r="H379" i="1"/>
  <c r="H130" i="1"/>
  <c r="H177" i="1"/>
  <c r="H402" i="1"/>
  <c r="H513" i="1"/>
  <c r="H173" i="1"/>
  <c r="H386" i="1"/>
  <c r="H457" i="1"/>
  <c r="H576" i="1"/>
  <c r="H52" i="1"/>
  <c r="H356" i="1"/>
  <c r="H520" i="1"/>
  <c r="H395" i="1"/>
  <c r="H380" i="1"/>
  <c r="H412" i="1"/>
  <c r="H144" i="1"/>
  <c r="H451" i="1"/>
  <c r="H353" i="1"/>
  <c r="H554" i="1"/>
  <c r="H171" i="1"/>
  <c r="H32" i="1"/>
  <c r="H243" i="1"/>
  <c r="H222" i="1"/>
  <c r="H93" i="1"/>
  <c r="H271" i="1"/>
  <c r="H210" i="1"/>
  <c r="H397" i="1"/>
  <c r="H247" i="1"/>
  <c r="H424" i="1"/>
  <c r="H129" i="1"/>
  <c r="H20" i="1"/>
  <c r="H172" i="1"/>
  <c r="H506" i="1"/>
  <c r="H435" i="1"/>
  <c r="H526" i="1"/>
  <c r="H18" i="1"/>
  <c r="H101" i="1"/>
  <c r="H423" i="1"/>
  <c r="H469" i="1"/>
  <c r="H178" i="1"/>
  <c r="H189" i="1"/>
  <c r="H266" i="1"/>
  <c r="H339" i="1"/>
  <c r="H298" i="1"/>
  <c r="H324" i="1"/>
  <c r="H231" i="1"/>
  <c r="H560" i="1"/>
  <c r="H270" i="1"/>
  <c r="H126" i="1"/>
  <c r="H334" i="1"/>
  <c r="H480" i="1"/>
  <c r="H244" i="1"/>
  <c r="H293" i="1"/>
  <c r="H354" i="1"/>
  <c r="H492" i="1"/>
  <c r="H364" i="1"/>
  <c r="H580" i="1"/>
  <c r="H45" i="1"/>
  <c r="H374" i="1"/>
  <c r="H40" i="1"/>
  <c r="H179" i="1"/>
  <c r="H328" i="1"/>
  <c r="H505" i="1"/>
  <c r="H239" i="1"/>
  <c r="H289" i="1"/>
  <c r="H48" i="1"/>
  <c r="H41" i="1"/>
  <c r="H121" i="1"/>
  <c r="H211" i="1"/>
  <c r="H226" i="1"/>
  <c r="H241" i="1"/>
  <c r="H202" i="1"/>
  <c r="H570" i="1"/>
  <c r="H347" i="1"/>
  <c r="H369" i="1"/>
  <c r="H490" i="1"/>
  <c r="H193" i="1"/>
  <c r="H227" i="1"/>
  <c r="H382" i="1"/>
  <c r="H501" i="1"/>
  <c r="H88" i="1"/>
  <c r="H105" i="1"/>
  <c r="H77" i="1"/>
  <c r="H432" i="1"/>
  <c r="H131" i="1"/>
  <c r="H365" i="1"/>
  <c r="H196" i="1"/>
  <c r="H403" i="1"/>
  <c r="H488" i="1"/>
  <c r="H249" i="1"/>
  <c r="H186" i="1"/>
  <c r="H90" i="1"/>
  <c r="H310" i="1"/>
  <c r="H111" i="1"/>
</calcChain>
</file>

<file path=xl/sharedStrings.xml><?xml version="1.0" encoding="utf-8"?>
<sst xmlns="http://schemas.openxmlformats.org/spreadsheetml/2006/main" count="261" uniqueCount="139">
  <si>
    <t xml:space="preserve">Sr no. </t>
  </si>
  <si>
    <t>Product ID</t>
  </si>
  <si>
    <t>Product Name</t>
  </si>
  <si>
    <t>Category</t>
  </si>
  <si>
    <t>Supplier Name</t>
  </si>
  <si>
    <t>Reorder Level</t>
  </si>
  <si>
    <t>Current Stock</t>
  </si>
  <si>
    <t>Status</t>
  </si>
  <si>
    <t>Tote bag</t>
  </si>
  <si>
    <t>ID</t>
  </si>
  <si>
    <t>TB</t>
  </si>
  <si>
    <t>Date of Purchase</t>
  </si>
  <si>
    <t>Quantity Purchased</t>
  </si>
  <si>
    <t>Cost per Unit</t>
  </si>
  <si>
    <t>Total Cost</t>
  </si>
  <si>
    <t>Payment Method</t>
  </si>
  <si>
    <t>Payment Status</t>
  </si>
  <si>
    <t xml:space="preserve">Month </t>
  </si>
  <si>
    <t>Year</t>
  </si>
  <si>
    <t>Abdur Rehman</t>
  </si>
  <si>
    <t>Paid</t>
  </si>
  <si>
    <t>Pending</t>
  </si>
  <si>
    <t>Method</t>
  </si>
  <si>
    <t xml:space="preserve">Online </t>
  </si>
  <si>
    <t>Cash</t>
  </si>
  <si>
    <t>Date</t>
  </si>
  <si>
    <t>Month</t>
  </si>
  <si>
    <t>Detail</t>
  </si>
  <si>
    <t>Quantity</t>
  </si>
  <si>
    <t>Sr #</t>
  </si>
  <si>
    <t>Cost per Item</t>
  </si>
  <si>
    <t xml:space="preserve">Ad </t>
  </si>
  <si>
    <t xml:space="preserve">Full Total Cost </t>
  </si>
  <si>
    <t>Total cost</t>
  </si>
  <si>
    <t>Purchase</t>
  </si>
  <si>
    <t>Other</t>
  </si>
  <si>
    <t>All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</si>
  <si>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</si>
  <si>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</si>
  <si>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</si>
  <si>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</si>
  <si>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</si>
  <si>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</si>
  <si>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</si>
  <si>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</si>
  <si>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</si>
  <si>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</si>
  <si>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</si>
  <si>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</si>
  <si>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purchased</t>
  </si>
  <si>
    <t>Total sold</t>
  </si>
  <si>
    <t>Top Handle</t>
  </si>
  <si>
    <t>TH</t>
  </si>
  <si>
    <t>Quantity Sold</t>
  </si>
  <si>
    <t>Selling price per Unit</t>
  </si>
  <si>
    <t>Total Sales</t>
  </si>
  <si>
    <t>Customer  Name</t>
  </si>
  <si>
    <t>Dispatched Status</t>
  </si>
  <si>
    <t>COD</t>
  </si>
  <si>
    <t>Advance</t>
  </si>
  <si>
    <t>Dispatch Status</t>
  </si>
  <si>
    <t>Dispatched</t>
  </si>
  <si>
    <t>Total Revenue</t>
  </si>
  <si>
    <t>Sale</t>
  </si>
  <si>
    <t xml:space="preserve">Current </t>
  </si>
  <si>
    <t>Quantity Returned</t>
  </si>
  <si>
    <t>Total Amount Returned</t>
  </si>
  <si>
    <t xml:space="preserve">Reason For return </t>
  </si>
  <si>
    <t>Sales Return</t>
  </si>
  <si>
    <t>Returned Amount</t>
  </si>
  <si>
    <t>Purchase Return</t>
  </si>
  <si>
    <t>Returned Cost</t>
  </si>
  <si>
    <t>Cost price.     per Unit</t>
  </si>
  <si>
    <t>Total Returned Cost</t>
  </si>
  <si>
    <t>Supplier  Name</t>
  </si>
  <si>
    <t>Profit</t>
  </si>
  <si>
    <t xml:space="preserve">Total Sales returned </t>
  </si>
  <si>
    <t xml:space="preserve"> Total Purchases Return</t>
  </si>
  <si>
    <t>Net Purchases</t>
  </si>
  <si>
    <t>Profit Margin'</t>
  </si>
  <si>
    <t>Sales</t>
  </si>
  <si>
    <t>Net Sale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</si>
  <si>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</si>
  <si>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</si>
  <si>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</si>
  <si>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</si>
  <si>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</si>
  <si>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</si>
  <si>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</si>
  <si>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</si>
  <si>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</si>
  <si>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</si>
  <si>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</si>
  <si>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Total sales</t>
  </si>
  <si>
    <t>net cost</t>
  </si>
  <si>
    <t>max</t>
  </si>
  <si>
    <t>Subscription</t>
  </si>
  <si>
    <t xml:space="preserve"> </t>
  </si>
  <si>
    <t>Capital left</t>
  </si>
  <si>
    <t xml:space="preserve">Invested amount </t>
  </si>
  <si>
    <t>Ads Capital invested</t>
  </si>
  <si>
    <t>Other.EXP</t>
  </si>
  <si>
    <t>Ad Expenses</t>
  </si>
  <si>
    <t xml:space="preserve"> other Exp</t>
  </si>
  <si>
    <t>Other EXP</t>
  </si>
  <si>
    <t>Ads investment</t>
  </si>
  <si>
    <t xml:space="preserve">Packaging </t>
  </si>
  <si>
    <t>Advance paid</t>
  </si>
  <si>
    <t>Pending Amount</t>
  </si>
  <si>
    <t>Pending Amount Paid</t>
  </si>
  <si>
    <t>Profit per Product</t>
  </si>
  <si>
    <t xml:space="preserve">Shoulder Bag </t>
  </si>
  <si>
    <t>SB</t>
  </si>
  <si>
    <t>Fizzan</t>
  </si>
  <si>
    <t>Ad money left form previous investment</t>
  </si>
  <si>
    <t xml:space="preserve">Post boost </t>
  </si>
  <si>
    <t>Money leftover from pervious investment</t>
  </si>
  <si>
    <t xml:space="preserve">money for ad investment </t>
  </si>
  <si>
    <t>Amount</t>
  </si>
  <si>
    <t>Total Amount</t>
  </si>
  <si>
    <t>Advance Received by</t>
  </si>
  <si>
    <t>Adv Rec By</t>
  </si>
  <si>
    <t>Yes</t>
  </si>
  <si>
    <t>No</t>
  </si>
  <si>
    <t>Saad</t>
  </si>
  <si>
    <t>Saba</t>
  </si>
  <si>
    <t>JW PIE Elora Woven - Brown</t>
  </si>
  <si>
    <t>JW PIE Elora Woven - Black</t>
  </si>
  <si>
    <t>JW PIE Mini Hana - Black</t>
  </si>
  <si>
    <t xml:space="preserve">JW PIE Mini Hana - Light Brown </t>
  </si>
  <si>
    <t>Cash in hand</t>
  </si>
  <si>
    <t>saad</t>
  </si>
  <si>
    <t xml:space="preserve">Ali </t>
  </si>
  <si>
    <t>Usama</t>
  </si>
  <si>
    <t>initial investment</t>
  </si>
  <si>
    <t>adding more investment</t>
  </si>
  <si>
    <t>add to round of to the investment</t>
  </si>
  <si>
    <t>Advance transferred to account</t>
  </si>
  <si>
    <t>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</si>
</sst>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Rs&quot;* #,##0_);_(&quot;Rs&quot;* \(#,##0\);_(&quot;Rs&quot;* &quot;-&quot;_);_(@_)"/>
    <numFmt numFmtId="164" formatCode="dd/mm/yyyy;@"/>
    <numFmt numFmtId="165" formatCode="&quot;Rs&quot;#,##0"/>
  </numFmts>
  <fonts count="10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0"/>
      <name val="Arial"/>
      <family val="2"/>
    </font>
    <font>
      <b/>
      <sz val="14"/>
      <color theme="0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sz val="12"/>
      <color theme="1"/>
      <name val="ArialMT"/>
    </font>
    <font>
      <sz val="12"/>
      <color theme="1"/>
      <name val="TimesNewRomanPSMT"/>
    </font>
    <font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0" borderId="0" xfId="0" applyFill="1"/>
    <xf numFmtId="165" fontId="0" fillId="0" borderId="0" xfId="0" applyNumberFormat="1"/>
    <xf numFmtId="0" fontId="1" fillId="0" borderId="0" xfId="0" applyFont="1" applyFill="1"/>
    <xf numFmtId="0" fontId="0" fillId="2" borderId="0" xfId="0" applyFill="1"/>
    <xf numFmtId="0" fontId="1" fillId="2" borderId="0" xfId="0" applyFont="1" applyFill="1"/>
    <xf numFmtId="0" fontId="1" fillId="3" borderId="4" xfId="0" applyFont="1" applyFill="1" applyBorder="1" applyAlignment="1">
      <alignment horizontal="center" vertical="center"/>
    </xf>
    <xf numFmtId="0" fontId="0" fillId="3" borderId="4" xfId="0" applyFill="1" applyBorder="1"/>
    <xf numFmtId="0" fontId="1" fillId="3" borderId="7" xfId="0" applyFont="1" applyFill="1" applyBorder="1" applyAlignment="1">
      <alignment horizontal="center" vertical="center"/>
    </xf>
    <xf numFmtId="15" fontId="0" fillId="3" borderId="7" xfId="0" applyNumberFormat="1" applyFill="1" applyBorder="1"/>
    <xf numFmtId="0" fontId="0" fillId="3" borderId="7" xfId="0" applyFill="1" applyBorder="1"/>
    <xf numFmtId="3" fontId="0" fillId="3" borderId="7" xfId="0" applyNumberFormat="1" applyFill="1" applyBorder="1"/>
    <xf numFmtId="3" fontId="0" fillId="3" borderId="4" xfId="0" applyNumberFormat="1" applyFill="1" applyBorder="1"/>
    <xf numFmtId="0" fontId="1" fillId="3" borderId="4" xfId="0" applyFont="1" applyFill="1" applyBorder="1"/>
    <xf numFmtId="165" fontId="0" fillId="3" borderId="4" xfId="0" applyNumberFormat="1" applyFill="1" applyBorder="1"/>
    <xf numFmtId="164" fontId="4" fillId="4" borderId="6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4" xfId="0" applyFill="1" applyBorder="1" applyAlignment="1">
      <alignment horizontal="center"/>
    </xf>
    <xf numFmtId="165" fontId="0" fillId="3" borderId="8" xfId="0" applyNumberForma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3" borderId="7" xfId="0" applyFill="1" applyBorder="1" applyAlignment="1">
      <alignment horizontal="center"/>
    </xf>
    <xf numFmtId="0" fontId="3" fillId="4" borderId="6" xfId="0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3" borderId="7" xfId="0" applyNumberFormat="1" applyFill="1" applyBorder="1" applyAlignment="1">
      <alignment horizontal="center" vertical="center"/>
    </xf>
    <xf numFmtId="165" fontId="0" fillId="3" borderId="4" xfId="0" applyNumberFormat="1" applyFill="1" applyBorder="1" applyAlignment="1">
      <alignment horizontal="center" vertical="center"/>
    </xf>
    <xf numFmtId="0" fontId="3" fillId="4" borderId="0" xfId="0" applyFont="1" applyFill="1"/>
    <xf numFmtId="165" fontId="6" fillId="5" borderId="0" xfId="0" applyNumberFormat="1" applyFont="1" applyFill="1"/>
    <xf numFmtId="0" fontId="3" fillId="6" borderId="0" xfId="0" applyFont="1" applyFill="1"/>
    <xf numFmtId="165" fontId="6" fillId="6" borderId="0" xfId="0" applyNumberFormat="1" applyFont="1" applyFill="1"/>
    <xf numFmtId="0" fontId="1" fillId="6" borderId="0" xfId="0" applyFont="1" applyFill="1"/>
    <xf numFmtId="0" fontId="0" fillId="0" borderId="0" xfId="0" applyBorder="1"/>
    <xf numFmtId="3" fontId="7" fillId="0" borderId="0" xfId="0" applyNumberFormat="1" applyFont="1" applyBorder="1"/>
    <xf numFmtId="3" fontId="0" fillId="0" borderId="0" xfId="0" applyNumberFormat="1" applyBorder="1"/>
    <xf numFmtId="0" fontId="3" fillId="4" borderId="5" xfId="0" applyFont="1" applyFill="1" applyBorder="1" applyAlignment="1" applyProtection="1">
      <alignment horizontal="center"/>
      <protection locked="0"/>
    </xf>
    <xf numFmtId="0" fontId="0" fillId="0" borderId="4" xfId="0" applyBorder="1" applyProtection="1">
      <protection locked="0"/>
    </xf>
    <xf numFmtId="0" fontId="7" fillId="0" borderId="4" xfId="0" applyFont="1" applyBorder="1" applyProtection="1">
      <protection locked="0"/>
    </xf>
    <xf numFmtId="0" fontId="7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0" fillId="0" borderId="4" xfId="0" applyFont="1" applyBorder="1" applyProtection="1">
      <protection locked="0"/>
    </xf>
    <xf numFmtId="0" fontId="0" fillId="0" borderId="0" xfId="0" applyProtection="1">
      <protection locked="0"/>
    </xf>
    <xf numFmtId="0" fontId="5" fillId="4" borderId="6" xfId="0" applyFont="1" applyFill="1" applyBorder="1" applyAlignment="1" applyProtection="1">
      <alignment horizontal="center" vertical="center" wrapText="1"/>
      <protection locked="0"/>
    </xf>
    <xf numFmtId="15" fontId="0" fillId="0" borderId="7" xfId="0" applyNumberFormat="1" applyBorder="1" applyProtection="1">
      <protection locked="0"/>
    </xf>
    <xf numFmtId="15" fontId="0" fillId="0" borderId="4" xfId="0" applyNumberFormat="1" applyBorder="1" applyProtection="1">
      <protection locked="0"/>
    </xf>
    <xf numFmtId="0" fontId="0" fillId="0" borderId="7" xfId="0" applyBorder="1" applyProtection="1">
      <protection locked="0"/>
    </xf>
    <xf numFmtId="3" fontId="0" fillId="0" borderId="7" xfId="0" applyNumberFormat="1" applyBorder="1" applyProtection="1">
      <protection locked="0"/>
    </xf>
    <xf numFmtId="3" fontId="0" fillId="0" borderId="4" xfId="0" applyNumberFormat="1" applyBorder="1" applyProtection="1">
      <protection locked="0"/>
    </xf>
    <xf numFmtId="3" fontId="0" fillId="0" borderId="0" xfId="0" applyNumberFormat="1" applyProtection="1">
      <protection locked="0"/>
    </xf>
    <xf numFmtId="3" fontId="5" fillId="4" borderId="6" xfId="0" applyNumberFormat="1" applyFont="1" applyFill="1" applyBorder="1" applyAlignment="1" applyProtection="1">
      <alignment horizontal="center" vertical="center" wrapText="1"/>
      <protection locked="0"/>
    </xf>
    <xf numFmtId="3" fontId="7" fillId="0" borderId="0" xfId="0" applyNumberFormat="1" applyFont="1" applyProtection="1">
      <protection locked="0"/>
    </xf>
    <xf numFmtId="3" fontId="0" fillId="0" borderId="0" xfId="0" applyNumberFormat="1" applyFont="1" applyProtection="1">
      <protection locked="0"/>
    </xf>
    <xf numFmtId="0" fontId="0" fillId="0" borderId="4" xfId="0" applyBorder="1" applyAlignment="1" applyProtection="1">
      <alignment horizontal="center"/>
      <protection locked="0"/>
    </xf>
    <xf numFmtId="0" fontId="3" fillId="4" borderId="0" xfId="0" applyFont="1" applyFill="1" applyAlignment="1" applyProtection="1">
      <alignment horizontal="center" vertical="center" wrapText="1"/>
      <protection locked="0"/>
    </xf>
    <xf numFmtId="15" fontId="0" fillId="0" borderId="4" xfId="0" applyNumberFormat="1" applyBorder="1" applyAlignment="1" applyProtection="1">
      <alignment horizontal="center" vertical="center"/>
      <protection locked="0"/>
    </xf>
    <xf numFmtId="15" fontId="0" fillId="0" borderId="0" xfId="0" applyNumberFormat="1" applyAlignment="1" applyProtection="1">
      <alignment horizontal="center"/>
      <protection locked="0"/>
    </xf>
    <xf numFmtId="42" fontId="0" fillId="6" borderId="4" xfId="0" applyNumberFormat="1" applyFill="1" applyBorder="1" applyAlignment="1" applyProtection="1">
      <alignment horizontal="center"/>
      <protection locked="0"/>
    </xf>
    <xf numFmtId="165" fontId="0" fillId="0" borderId="4" xfId="0" applyNumberFormat="1" applyBorder="1" applyAlignment="1" applyProtection="1">
      <alignment horizontal="center"/>
      <protection locked="0"/>
    </xf>
    <xf numFmtId="165" fontId="0" fillId="0" borderId="8" xfId="0" applyNumberFormat="1" applyBorder="1" applyAlignment="1" applyProtection="1">
      <alignment horizontal="center"/>
      <protection locked="0"/>
    </xf>
    <xf numFmtId="42" fontId="0" fillId="0" borderId="0" xfId="0" applyNumberFormat="1" applyAlignment="1" applyProtection="1">
      <alignment horizontal="center"/>
      <protection locked="0"/>
    </xf>
    <xf numFmtId="165" fontId="0" fillId="0" borderId="0" xfId="0" applyNumberFormat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/>
      <protection locked="0"/>
    </xf>
    <xf numFmtId="15" fontId="0" fillId="0" borderId="0" xfId="0" applyNumberFormat="1" applyProtection="1">
      <protection locked="0"/>
    </xf>
    <xf numFmtId="165" fontId="0" fillId="0" borderId="4" xfId="0" applyNumberFormat="1" applyBorder="1" applyProtection="1">
      <protection locked="0"/>
    </xf>
    <xf numFmtId="165" fontId="0" fillId="0" borderId="0" xfId="0" applyNumberFormat="1" applyProtection="1">
      <protection locked="0"/>
    </xf>
    <xf numFmtId="164" fontId="4" fillId="4" borderId="6" xfId="0" applyNumberFormat="1" applyFont="1" applyFill="1" applyBorder="1" applyAlignment="1" applyProtection="1">
      <alignment horizontal="center" vertical="center"/>
      <protection locked="0"/>
    </xf>
    <xf numFmtId="0" fontId="4" fillId="4" borderId="6" xfId="0" applyFont="1" applyFill="1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" fontId="4" fillId="4" borderId="6" xfId="0" applyNumberFormat="1" applyFont="1" applyFill="1" applyBorder="1" applyAlignment="1" applyProtection="1">
      <alignment horizontal="center" vertical="center" wrapText="1"/>
      <protection locked="0"/>
    </xf>
    <xf numFmtId="165" fontId="4" fillId="4" borderId="6" xfId="0" applyNumberFormat="1" applyFont="1" applyFill="1" applyBorder="1" applyAlignment="1" applyProtection="1">
      <alignment horizontal="center" vertical="center"/>
      <protection locked="0"/>
    </xf>
    <xf numFmtId="165" fontId="4" fillId="4" borderId="6" xfId="0" applyNumberFormat="1" applyFont="1" applyFill="1" applyBorder="1" applyAlignment="1" applyProtection="1">
      <alignment horizontal="center" vertical="center" wrapText="1"/>
      <protection locked="0"/>
    </xf>
    <xf numFmtId="165" fontId="0" fillId="0" borderId="7" xfId="0" applyNumberFormat="1" applyBorder="1" applyAlignment="1" applyProtection="1">
      <alignment horizontal="center" vertical="center"/>
      <protection locked="0"/>
    </xf>
    <xf numFmtId="165" fontId="0" fillId="0" borderId="4" xfId="0" applyNumberFormat="1" applyBorder="1" applyAlignment="1" applyProtection="1">
      <alignment horizontal="center" vertical="center"/>
      <protection locked="0"/>
    </xf>
    <xf numFmtId="165" fontId="0" fillId="0" borderId="0" xfId="0" applyNumberFormat="1" applyAlignment="1" applyProtection="1">
      <alignment horizontal="center" vertical="center"/>
      <protection locked="0"/>
    </xf>
    <xf numFmtId="15" fontId="0" fillId="0" borderId="4" xfId="0" applyNumberFormat="1" applyBorder="1" applyAlignment="1" applyProtection="1">
      <alignment horizontal="center"/>
      <protection locked="0"/>
    </xf>
    <xf numFmtId="1" fontId="4" fillId="4" borderId="6" xfId="0" applyNumberFormat="1" applyFont="1" applyFill="1" applyBorder="1" applyAlignment="1" applyProtection="1">
      <alignment horizontal="left" vertical="center" wrapText="1"/>
      <protection locked="0"/>
    </xf>
    <xf numFmtId="0" fontId="0" fillId="0" borderId="7" xfId="0" applyBorder="1" applyAlignment="1" applyProtection="1">
      <alignment horizontal="left"/>
      <protection locked="0"/>
    </xf>
    <xf numFmtId="0" fontId="0" fillId="0" borderId="4" xfId="0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9" fillId="0" borderId="0" xfId="0" applyFont="1"/>
    <xf numFmtId="0" fontId="4" fillId="0" borderId="0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right"/>
    </xf>
    <xf numFmtId="165" fontId="9" fillId="0" borderId="0" xfId="0" applyNumberFormat="1" applyFont="1" applyAlignment="1">
      <alignment horizontal="left"/>
    </xf>
    <xf numFmtId="42" fontId="9" fillId="0" borderId="0" xfId="0" applyNumberFormat="1" applyFont="1"/>
    <xf numFmtId="0" fontId="9" fillId="0" borderId="0" xfId="0" applyFont="1" applyAlignment="1">
      <alignment horizontal="left"/>
    </xf>
    <xf numFmtId="165" fontId="9" fillId="0" borderId="0" xfId="0" applyNumberFormat="1" applyFont="1"/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165" fontId="9" fillId="0" borderId="11" xfId="0" applyNumberFormat="1" applyFont="1" applyBorder="1" applyAlignment="1">
      <alignment horizontal="center"/>
    </xf>
    <xf numFmtId="165" fontId="9" fillId="0" borderId="12" xfId="0" applyNumberFormat="1" applyFont="1" applyBorder="1" applyAlignment="1">
      <alignment horizontal="center"/>
    </xf>
    <xf numFmtId="3" fontId="9" fillId="0" borderId="0" xfId="0" applyNumberFormat="1" applyFont="1"/>
    <xf numFmtId="9" fontId="9" fillId="0" borderId="0" xfId="0" applyNumberFormat="1" applyFont="1"/>
    <xf numFmtId="0" fontId="0" fillId="0" borderId="0" xfId="0" applyFont="1" applyProtection="1">
      <protection locked="0"/>
    </xf>
  </cellXfs>
  <cellStyles count="1">
    <cellStyle name="Normal" xfId="0" builtinId="0"/>
  </cellStyles>
  <dxfs count="4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rgb="FF898801"/>
      </font>
      <fill>
        <patternFill>
          <fgColor rgb="FFC3C101"/>
          <bgColor rgb="FFEFED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rgb="FF898801"/>
      </font>
      <fill>
        <patternFill>
          <fgColor rgb="FFC3C101"/>
          <bgColor rgb="FFEFED02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rgb="FF898801"/>
      </font>
      <fill>
        <patternFill>
          <fgColor rgb="FFC3C101"/>
          <bgColor rgb="FFEFED02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rgb="FF898801"/>
      </font>
      <fill>
        <patternFill>
          <fgColor rgb="FFC3C101"/>
          <bgColor rgb="FFEFED02"/>
        </patternFill>
      </fill>
    </dxf>
    <dxf>
      <font>
        <b val="0"/>
        <i val="0"/>
        <color rgb="FF898801"/>
      </font>
      <fill>
        <patternFill>
          <fgColor rgb="FFC3C101"/>
          <bgColor rgb="FFEFED02"/>
        </patternFill>
      </fill>
    </dxf>
    <dxf>
      <font>
        <b val="0"/>
        <i val="0"/>
        <color rgb="FF898801"/>
      </font>
      <fill>
        <patternFill>
          <fgColor rgb="FFC3C101"/>
          <bgColor rgb="FFEFED02"/>
        </patternFill>
      </fill>
    </dxf>
    <dxf>
      <font>
        <b val="0"/>
        <i val="0"/>
        <color rgb="FF898801"/>
      </font>
      <fill>
        <patternFill>
          <fgColor rgb="FFC3C101"/>
          <bgColor rgb="FFEFED02"/>
        </patternFill>
      </fill>
    </dxf>
    <dxf>
      <font>
        <b val="0"/>
        <i val="0"/>
        <color rgb="FF898801"/>
      </font>
      <fill>
        <patternFill>
          <fgColor rgb="FFC3C101"/>
          <bgColor rgb="FFEFED02"/>
        </patternFill>
      </fill>
    </dxf>
    <dxf>
      <font>
        <b val="0"/>
        <i val="0"/>
        <color rgb="FF898801"/>
      </font>
      <fill>
        <patternFill>
          <fgColor rgb="FFC3C101"/>
          <bgColor rgb="FFEFED02"/>
        </patternFill>
      </fill>
    </dxf>
    <dxf>
      <font>
        <b val="0"/>
        <i val="0"/>
        <color rgb="FF898801"/>
      </font>
      <fill>
        <patternFill>
          <fgColor rgb="FFC3C101"/>
          <bgColor rgb="FFEFED02"/>
        </patternFill>
      </fill>
    </dxf>
    <dxf>
      <font>
        <b val="0"/>
        <i val="0"/>
        <color rgb="FF898801"/>
      </font>
      <fill>
        <patternFill>
          <fgColor rgb="FFC3C101"/>
          <bgColor rgb="FFEFED02"/>
        </patternFill>
      </fill>
    </dxf>
    <dxf>
      <font>
        <b val="0"/>
        <i val="0"/>
        <color rgb="FF898801"/>
      </font>
      <fill>
        <patternFill>
          <fgColor rgb="FFC3C101"/>
          <bgColor rgb="FFEFED02"/>
        </patternFill>
      </fill>
    </dxf>
    <dxf>
      <font>
        <b val="0"/>
        <i val="0"/>
        <color rgb="FF898801"/>
      </font>
      <fill>
        <patternFill>
          <fgColor rgb="FFC3C101"/>
          <bgColor rgb="FFEFED02"/>
        </patternFill>
      </fill>
    </dxf>
    <dxf>
      <font>
        <b val="0"/>
        <i val="0"/>
        <color rgb="FF898801"/>
      </font>
      <fill>
        <patternFill>
          <fgColor rgb="FFC3C101"/>
          <bgColor rgb="FFEFED02"/>
        </patternFill>
      </fill>
    </dxf>
    <dxf>
      <font>
        <b val="0"/>
        <i val="0"/>
        <color rgb="FF898801"/>
      </font>
      <fill>
        <patternFill>
          <fgColor rgb="FFC3C101"/>
          <bgColor rgb="FFEFED0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1C42C"/>
      <color rgb="FF313131"/>
      <color rgb="FFF0C32C"/>
      <color rgb="FF2B2B2B"/>
      <color rgb="FFD4AC35"/>
      <color rgb="FF8BED95"/>
      <color rgb="FFDE0003"/>
      <color rgb="FFF5F5F5"/>
      <color rgb="FFE6C76C"/>
      <color rgb="FFD4AC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0C32C"/>
                </a:solidFill>
                <a:latin typeface="Gill Sans Ultra Bold" panose="020B0A02020104020203" pitchFamily="34" charset="77"/>
                <a:ea typeface="+mn-ea"/>
                <a:cs typeface="+mn-cs"/>
              </a:defRPr>
            </a:pPr>
            <a:r>
              <a:rPr lang="en-US" sz="1400">
                <a:latin typeface="Gill Sans Ultra Bold" panose="020B0A02020104020203" pitchFamily="34" charset="77"/>
              </a:rPr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0C32C"/>
              </a:solidFill>
              <a:latin typeface="Gill Sans Ultra Bold" panose="020B0A02020104020203" pitchFamily="34" charset="77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Category!$M$7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F0C32C"/>
            </a:solidFill>
            <a:ln>
              <a:noFill/>
            </a:ln>
            <a:effectLst/>
          </c:spPr>
          <c:invertIfNegative val="0"/>
          <c:cat>
            <c:strRef>
              <c:f>Category!$K$8:$K$19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Category!$N$8:$N$19</c:f>
              <c:numCache>
                <c:formatCode>"Rs"#,##0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220000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DA-F642-BC7C-A22E7C40F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9"/>
        <c:overlap val="-72"/>
        <c:axId val="1777749216"/>
        <c:axId val="1775617568"/>
      </c:barChart>
      <c:catAx>
        <c:axId val="177774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775617568"/>
        <c:crosses val="autoZero"/>
        <c:auto val="1"/>
        <c:lblAlgn val="ctr"/>
        <c:lblOffset val="100"/>
        <c:noMultiLvlLbl val="0"/>
      </c:catAx>
      <c:valAx>
        <c:axId val="1775617568"/>
        <c:scaling>
          <c:orientation val="minMax"/>
        </c:scaling>
        <c:delete val="0"/>
        <c:axPos val="l"/>
        <c:numFmt formatCode="&quot;Rs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777749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rgbClr val="F0C32C"/>
          </a:solidFill>
        </a:defRPr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95413892935514"/>
          <c:y val="4.2811537144813422E-2"/>
          <c:w val="0.57407180659794577"/>
          <c:h val="0.88814732397580742"/>
        </c:manualLayout>
      </c:layout>
      <c:doughnutChart>
        <c:varyColors val="1"/>
        <c:ser>
          <c:idx val="0"/>
          <c:order val="0"/>
          <c:tx>
            <c:strRef>
              <c:f>Category!$O$29:$Q$29</c:f>
              <c:strCache>
                <c:ptCount val="3"/>
                <c:pt idx="0">
                  <c:v>Net Purchases</c:v>
                </c:pt>
                <c:pt idx="1">
                  <c:v>Ad Expenses</c:v>
                </c:pt>
                <c:pt idx="2">
                  <c:v>Total sales</c:v>
                </c:pt>
              </c:strCache>
            </c:strRef>
          </c:tx>
          <c:spPr>
            <a:effectLst>
              <a:outerShdw blurRad="254000" sx="1000" sy="1000" algn="ctr" rotWithShape="0">
                <a:prstClr val="black">
                  <a:alpha val="0"/>
                </a:prstClr>
              </a:outerShdw>
            </a:effectLst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00" sy="1000" algn="ctr" rotWithShape="0">
                  <a:prstClr val="black">
                    <a:alpha val="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FF2-FC4F-A063-02F3DC332E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00" sy="1000" algn="ctr" rotWithShape="0">
                  <a:prstClr val="black">
                    <a:alpha val="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FF2-FC4F-A063-02F3DC332E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00" sy="1000" algn="ctr" rotWithShape="0">
                  <a:prstClr val="black">
                    <a:alpha val="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FF2-FC4F-A063-02F3DC332E0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Category!$O$29:$Q$29</c:f>
              <c:strCache>
                <c:ptCount val="3"/>
                <c:pt idx="0">
                  <c:v>Net Purchases</c:v>
                </c:pt>
                <c:pt idx="1">
                  <c:v>Ad Expenses</c:v>
                </c:pt>
                <c:pt idx="2">
                  <c:v>Total sales</c:v>
                </c:pt>
              </c:strCache>
            </c:strRef>
          </c:cat>
          <c:val>
            <c:numRef>
              <c:f>Category!$O$30:$Q$30</c:f>
              <c:numCache>
                <c:formatCode>"Rs"#,##0</c:formatCode>
                <c:ptCount val="3"/>
                <c:pt idx="0">
                  <c:v>160000</c:v>
                </c:pt>
                <c:pt idx="1">
                  <c:v>13000</c:v>
                </c:pt>
                <c:pt idx="2">
                  <c:v>215000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F2-FC4F-A063-02F3DC332E0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681111582363657"/>
          <c:y val="0.30887595572292592"/>
          <c:w val="0.20400855630751075"/>
          <c:h val="0.360508958119365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bg1"/>
              </a:solidFill>
              <a:latin typeface="Arial Rounded MT Bold" panose="020F0704030504030204" pitchFamily="34" charset="77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F0C32C"/>
                </a:solidFill>
                <a:latin typeface="Arial Black" panose="020B0604020202020204" pitchFamily="34" charset="0"/>
                <a:ea typeface="+mn-ea"/>
                <a:cs typeface="Arial Black" panose="020B0604020202020204" pitchFamily="34" charset="0"/>
              </a:defRPr>
            </a:pPr>
            <a:r>
              <a:rPr lang="en-GB" sz="1200" b="1" i="0" u="none" strike="noStrike" baseline="0"/>
              <a:t>Sale vs. Cost by month</a:t>
            </a:r>
            <a:endParaRPr lang="en-GB"/>
          </a:p>
        </c:rich>
      </c:tx>
      <c:layout>
        <c:manualLayout>
          <c:xMode val="edge"/>
          <c:yMode val="edge"/>
          <c:x val="0.2231505824168673"/>
          <c:y val="3.804347826086956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Category!$W$7</c:f>
              <c:strCache>
                <c:ptCount val="1"/>
                <c:pt idx="0">
                  <c:v>net cost</c:v>
                </c:pt>
              </c:strCache>
            </c:strRef>
          </c:tx>
          <c:spPr>
            <a:ln w="25400" cmpd="sng">
              <a:solidFill>
                <a:srgbClr val="DE0003">
                  <a:alpha val="9098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Category!$K$8:$K$19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Category!$W$8:$W$19</c:f>
              <c:numCache>
                <c:formatCode>"Rs"#,##0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13000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47-C947-B230-97EF2353195D}"/>
            </c:ext>
          </c:extLst>
        </c:ser>
        <c:ser>
          <c:idx val="2"/>
          <c:order val="1"/>
          <c:tx>
            <c:strRef>
              <c:f>Category!$N$7</c:f>
              <c:strCache>
                <c:ptCount val="1"/>
                <c:pt idx="0">
                  <c:v>Net Sale</c:v>
                </c:pt>
              </c:strCache>
            </c:strRef>
          </c:tx>
          <c:spPr>
            <a:ln>
              <a:solidFill>
                <a:srgbClr val="8BED95"/>
              </a:solidFill>
            </a:ln>
          </c:spPr>
          <c:marker>
            <c:symbol val="none"/>
          </c:marker>
          <c:cat>
            <c:strRef>
              <c:f>Category!$K$8:$K$19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Category!$N$8:$N$19</c:f>
              <c:numCache>
                <c:formatCode>"Rs"#,##0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220000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F47-C947-B230-97EF23531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6062480"/>
        <c:axId val="2080411008"/>
      </c:lineChart>
      <c:catAx>
        <c:axId val="170606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2080411008"/>
        <c:crosses val="autoZero"/>
        <c:auto val="1"/>
        <c:lblAlgn val="ctr"/>
        <c:lblOffset val="100"/>
        <c:noMultiLvlLbl val="0"/>
      </c:catAx>
      <c:valAx>
        <c:axId val="208041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22000"/>
                </a:schemeClr>
              </a:solidFill>
              <a:round/>
            </a:ln>
            <a:effectLst/>
          </c:spPr>
        </c:majorGridlines>
        <c:numFmt formatCode="&quot;Rs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706062480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F0C32C"/>
              </a:solidFill>
              <a:latin typeface="Arial Black" panose="020B0604020202020204" pitchFamily="34" charset="0"/>
              <a:ea typeface="+mn-ea"/>
              <a:cs typeface="Arial Black" panose="020B0604020202020204" pitchFamily="34" charset="0"/>
            </a:defRPr>
          </a:pPr>
          <a:endParaRPr lang="en-P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Profitability Trend</c:v>
          </c:tx>
          <c:spPr>
            <a:ln w="28575" cap="rnd">
              <a:solidFill>
                <a:srgbClr val="F0C32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0C32C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Category!$K$8:$K$19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Category!$X$8:$X$19</c:f>
              <c:numCache>
                <c:formatCode>"Rs"#,##0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-160000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207000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E9-1342-BBF6-2513935B8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6062480"/>
        <c:axId val="2080411008"/>
      </c:lineChart>
      <c:catAx>
        <c:axId val="170606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2080411008"/>
        <c:crosses val="autoZero"/>
        <c:auto val="1"/>
        <c:lblAlgn val="ctr"/>
        <c:lblOffset val="100"/>
        <c:noMultiLvlLbl val="0"/>
      </c:catAx>
      <c:valAx>
        <c:axId val="208041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0C32C">
                  <a:alpha val="25000"/>
                </a:srgbClr>
              </a:solidFill>
              <a:round/>
            </a:ln>
            <a:effectLst/>
          </c:spPr>
        </c:majorGridlines>
        <c:numFmt formatCode="&quot;Rs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706062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15" fmlaLink="Category!$Q$7" fmlaRange="Category!$O$7:$O$19" sel="1" val="0"/>
</file>

<file path=xl/ctrlProps/ctrlProp2.xml><?xml version="1.0" encoding="utf-8"?>
<formControlPr xmlns="http://schemas.microsoft.com/office/spreadsheetml/2009/9/main" objectType="Drop" dropStyle="combo" dx="15" fmlaLink="Category!$Q$8" fmlaRange="Category!$P$7:$P$19" sel="2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0</xdr:colOff>
      <xdr:row>36</xdr:row>
      <xdr:rowOff>190500</xdr:rowOff>
    </xdr:to>
    <xdr:sp macro="" textlink="">
      <xdr:nvSpPr>
        <xdr:cNvPr id="6" name="Process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18161000" cy="7404100"/>
        </a:xfrm>
        <a:prstGeom prst="flowChartProcess">
          <a:avLst/>
        </a:prstGeom>
        <a:solidFill>
          <a:srgbClr val="F0C32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152400</xdr:colOff>
      <xdr:row>1</xdr:row>
      <xdr:rowOff>76201</xdr:rowOff>
    </xdr:from>
    <xdr:to>
      <xdr:col>21</xdr:col>
      <xdr:colOff>444500</xdr:colOff>
      <xdr:row>36</xdr:row>
      <xdr:rowOff>26195</xdr:rowOff>
    </xdr:to>
    <xdr:sp macro="" textlink="">
      <xdr:nvSpPr>
        <xdr:cNvPr id="2" name="Round Diagonal Corner of 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52400" y="177801"/>
          <a:ext cx="17627600" cy="7061994"/>
        </a:xfrm>
        <a:prstGeom prst="round2DiagRect">
          <a:avLst/>
        </a:prstGeom>
        <a:solidFill>
          <a:srgbClr val="2B2B2B"/>
        </a:solidFill>
        <a:ln w="76200">
          <a:noFill/>
        </a:ln>
        <a:scene3d>
          <a:camera prst="orthographicFront"/>
          <a:lightRig rig="threePt" dir="t"/>
        </a:scene3d>
        <a:sp3d>
          <a:bevelT w="152400" h="50800" prst="softRound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533400</xdr:colOff>
      <xdr:row>3</xdr:row>
      <xdr:rowOff>38100</xdr:rowOff>
    </xdr:from>
    <xdr:to>
      <xdr:col>2</xdr:col>
      <xdr:colOff>457200</xdr:colOff>
      <xdr:row>35</xdr:row>
      <xdr:rowOff>6718</xdr:rowOff>
    </xdr:to>
    <xdr:sp macro="" textlink="">
      <xdr:nvSpPr>
        <xdr:cNvPr id="7" name="Round Diagonal Corner of 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33400" y="546100"/>
          <a:ext cx="1574800" cy="6471018"/>
        </a:xfrm>
        <a:prstGeom prst="round2DiagRect">
          <a:avLst>
            <a:gd name="adj1" fmla="val 50000"/>
            <a:gd name="adj2" fmla="val 49200"/>
          </a:avLst>
        </a:prstGeom>
        <a:solidFill>
          <a:srgbClr val="F0C32C"/>
        </a:solidFill>
        <a:ln>
          <a:noFill/>
        </a:ln>
        <a:scene3d>
          <a:camera prst="orthographicFront"/>
          <a:lightRig rig="threePt" dir="t"/>
        </a:scene3d>
        <a:sp3d>
          <a:bevelT prst="slop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50800</xdr:colOff>
          <xdr:row>5</xdr:row>
          <xdr:rowOff>0</xdr:rowOff>
        </xdr:from>
        <xdr:to>
          <xdr:col>2</xdr:col>
          <xdr:colOff>76200</xdr:colOff>
          <xdr:row>6</xdr:row>
          <xdr:rowOff>50800</xdr:rowOff>
        </xdr:to>
        <xdr:sp macro="" textlink="">
          <xdr:nvSpPr>
            <xdr:cNvPr id="1027" name="Drop Dow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50800</xdr:colOff>
          <xdr:row>6</xdr:row>
          <xdr:rowOff>76200</xdr:rowOff>
        </xdr:from>
        <xdr:to>
          <xdr:col>2</xdr:col>
          <xdr:colOff>76200</xdr:colOff>
          <xdr:row>7</xdr:row>
          <xdr:rowOff>127000</xdr:rowOff>
        </xdr:to>
        <xdr:sp macro="" textlink="">
          <xdr:nvSpPr>
            <xdr:cNvPr id="1028" name="Drop Dow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647700</xdr:colOff>
      <xdr:row>2</xdr:row>
      <xdr:rowOff>139700</xdr:rowOff>
    </xdr:from>
    <xdr:to>
      <xdr:col>21</xdr:col>
      <xdr:colOff>127000</xdr:colOff>
      <xdr:row>34</xdr:row>
      <xdr:rowOff>142714</xdr:rowOff>
    </xdr:to>
    <xdr:sp macro="" textlink="">
      <xdr:nvSpPr>
        <xdr:cNvPr id="8" name="Round Diagonal Corner of 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298700" y="444500"/>
          <a:ext cx="15163800" cy="6505414"/>
        </a:xfrm>
        <a:prstGeom prst="round2DiagRect">
          <a:avLst>
            <a:gd name="adj1" fmla="val 14108"/>
            <a:gd name="adj2" fmla="val 0"/>
          </a:avLst>
        </a:prstGeom>
        <a:solidFill>
          <a:srgbClr val="F0C32C"/>
        </a:solidFill>
        <a:ln>
          <a:noFill/>
        </a:ln>
        <a:scene3d>
          <a:camera prst="orthographicFront"/>
          <a:lightRig rig="threePt" dir="t"/>
        </a:scene3d>
        <a:sp3d>
          <a:bevelT w="152400" h="50800" prst="softRound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127000</xdr:colOff>
      <xdr:row>7</xdr:row>
      <xdr:rowOff>76200</xdr:rowOff>
    </xdr:from>
    <xdr:to>
      <xdr:col>6</xdr:col>
      <xdr:colOff>101600</xdr:colOff>
      <xdr:row>15</xdr:row>
      <xdr:rowOff>25400</xdr:rowOff>
    </xdr:to>
    <xdr:sp macro="" textlink="">
      <xdr:nvSpPr>
        <xdr:cNvPr id="9" name="Round Diagonal Corner of 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2603500" y="1397000"/>
          <a:ext cx="2451100" cy="1574800"/>
        </a:xfrm>
        <a:prstGeom prst="round2DiagRect">
          <a:avLst>
            <a:gd name="adj1" fmla="val 0"/>
            <a:gd name="adj2" fmla="val 37903"/>
          </a:avLst>
        </a:prstGeom>
        <a:solidFill>
          <a:srgbClr val="2B2B2B"/>
        </a:solidFill>
        <a:ln>
          <a:noFill/>
        </a:ln>
        <a:effectLst>
          <a:innerShdw blurRad="63500" dist="50800" dir="13500000">
            <a:prstClr val="black">
              <a:alpha val="50000"/>
            </a:prstClr>
          </a:innerShdw>
        </a:effectLst>
        <a:scene3d>
          <a:camera prst="orthographicFront"/>
          <a:lightRig rig="threePt" dir="t"/>
        </a:scene3d>
        <a:sp3d>
          <a:bevelT prst="slop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215900</xdr:colOff>
      <xdr:row>7</xdr:row>
      <xdr:rowOff>190500</xdr:rowOff>
    </xdr:from>
    <xdr:to>
      <xdr:col>5</xdr:col>
      <xdr:colOff>114300</xdr:colOff>
      <xdr:row>9</xdr:row>
      <xdr:rowOff>127000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692400" y="1511300"/>
          <a:ext cx="154940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 i="0">
              <a:ln>
                <a:noFill/>
              </a:ln>
              <a:solidFill>
                <a:srgbClr val="F0C32C"/>
              </a:solidFill>
              <a:latin typeface="Gill Sans Ultra Bold" panose="020B0A02020104020203" pitchFamily="34" charset="77"/>
            </a:rPr>
            <a:t>Net</a:t>
          </a:r>
          <a:r>
            <a:rPr lang="en-GB" sz="1600" i="1" baseline="0">
              <a:ln>
                <a:noFill/>
              </a:ln>
              <a:solidFill>
                <a:srgbClr val="F0C32C"/>
              </a:solidFill>
              <a:latin typeface="Gill Sans Ultra Bold" panose="020B0A02020104020203" pitchFamily="34" charset="77"/>
            </a:rPr>
            <a:t> </a:t>
          </a:r>
          <a:r>
            <a:rPr lang="en-GB" sz="1600" i="0" baseline="0">
              <a:ln>
                <a:noFill/>
              </a:ln>
              <a:solidFill>
                <a:srgbClr val="F0C32C"/>
              </a:solidFill>
              <a:latin typeface="Gill Sans Ultra Bold" panose="020B0A02020104020203" pitchFamily="34" charset="77"/>
            </a:rPr>
            <a:t>Sales</a:t>
          </a:r>
        </a:p>
      </xdr:txBody>
    </xdr:sp>
    <xdr:clientData/>
  </xdr:twoCellAnchor>
  <xdr:twoCellAnchor>
    <xdr:from>
      <xdr:col>3</xdr:col>
      <xdr:colOff>165100</xdr:colOff>
      <xdr:row>9</xdr:row>
      <xdr:rowOff>139700</xdr:rowOff>
    </xdr:from>
    <xdr:to>
      <xdr:col>6</xdr:col>
      <xdr:colOff>0</xdr:colOff>
      <xdr:row>11</xdr:row>
      <xdr:rowOff>76200</xdr:rowOff>
    </xdr:to>
    <xdr:sp macro="" textlink="Category!Q21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2641600" y="1866900"/>
          <a:ext cx="231140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F8411C37-B9C5-9247-89C3-F8C7613CDE66}" type="TxLink">
            <a:rPr lang="en-US" sz="1800" b="1" i="0" u="none" strike="noStrike" baseline="0">
              <a:ln>
                <a:noFill/>
              </a:ln>
              <a:solidFill>
                <a:schemeClr val="bg1"/>
              </a:solidFill>
              <a:latin typeface="Arial Rounded MT Bold" panose="020F0704030504030204" pitchFamily="34" charset="77"/>
              <a:cs typeface="Times New Roman" panose="02020603050405020304" pitchFamily="18" charset="0"/>
            </a:rPr>
            <a:pPr algn="ctr"/>
            <a:t>Rs215,000</a:t>
          </a:fld>
          <a:endParaRPr lang="en-GB" sz="2800" b="1" i="0" baseline="0">
            <a:ln>
              <a:noFill/>
            </a:ln>
            <a:solidFill>
              <a:schemeClr val="bg1"/>
            </a:solidFill>
            <a:latin typeface="Arial Rounded MT Bold" panose="020F0704030504030204" pitchFamily="34" charset="77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571500</xdr:colOff>
      <xdr:row>7</xdr:row>
      <xdr:rowOff>76200</xdr:rowOff>
    </xdr:from>
    <xdr:to>
      <xdr:col>9</xdr:col>
      <xdr:colOff>546100</xdr:colOff>
      <xdr:row>15</xdr:row>
      <xdr:rowOff>25400</xdr:rowOff>
    </xdr:to>
    <xdr:sp macro="" textlink="">
      <xdr:nvSpPr>
        <xdr:cNvPr id="17" name="Round Diagonal Corner of Rectangl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5524500" y="1397000"/>
          <a:ext cx="2451100" cy="1574800"/>
        </a:xfrm>
        <a:prstGeom prst="round2DiagRect">
          <a:avLst>
            <a:gd name="adj1" fmla="val 0"/>
            <a:gd name="adj2" fmla="val 37097"/>
          </a:avLst>
        </a:prstGeom>
        <a:solidFill>
          <a:srgbClr val="2B2B2B"/>
        </a:solidFill>
        <a:ln>
          <a:noFill/>
        </a:ln>
        <a:effectLst>
          <a:innerShdw blurRad="63500" dist="50800" dir="13500000">
            <a:prstClr val="black">
              <a:alpha val="50000"/>
            </a:prstClr>
          </a:innerShdw>
        </a:effectLst>
        <a:scene3d>
          <a:camera prst="orthographicFront"/>
          <a:lightRig rig="threePt" dir="t"/>
        </a:scene3d>
        <a:sp3d>
          <a:bevelT prst="slop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10</xdr:col>
      <xdr:colOff>63500</xdr:colOff>
      <xdr:row>7</xdr:row>
      <xdr:rowOff>76200</xdr:rowOff>
    </xdr:from>
    <xdr:to>
      <xdr:col>13</xdr:col>
      <xdr:colOff>38100</xdr:colOff>
      <xdr:row>15</xdr:row>
      <xdr:rowOff>25400</xdr:rowOff>
    </xdr:to>
    <xdr:sp macro="" textlink="">
      <xdr:nvSpPr>
        <xdr:cNvPr id="18" name="Round Diagonal Corner of Rectangl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8318500" y="1397000"/>
          <a:ext cx="2451100" cy="1574800"/>
        </a:xfrm>
        <a:prstGeom prst="round2DiagRect">
          <a:avLst>
            <a:gd name="adj1" fmla="val 0"/>
            <a:gd name="adj2" fmla="val 36290"/>
          </a:avLst>
        </a:prstGeom>
        <a:solidFill>
          <a:srgbClr val="2B2B2B"/>
        </a:solidFill>
        <a:ln>
          <a:noFill/>
        </a:ln>
        <a:effectLst>
          <a:innerShdw blurRad="63500" dist="50800" dir="13500000">
            <a:prstClr val="black">
              <a:alpha val="50000"/>
            </a:prstClr>
          </a:innerShdw>
        </a:effectLst>
        <a:scene3d>
          <a:camera prst="orthographicFront"/>
          <a:lightRig rig="threePt" dir="t"/>
        </a:scene3d>
        <a:sp3d>
          <a:bevelT prst="slop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13</xdr:col>
      <xdr:colOff>508000</xdr:colOff>
      <xdr:row>7</xdr:row>
      <xdr:rowOff>76200</xdr:rowOff>
    </xdr:from>
    <xdr:to>
      <xdr:col>16</xdr:col>
      <xdr:colOff>482600</xdr:colOff>
      <xdr:row>15</xdr:row>
      <xdr:rowOff>25400</xdr:rowOff>
    </xdr:to>
    <xdr:sp macro="" textlink="">
      <xdr:nvSpPr>
        <xdr:cNvPr id="19" name="Round Diagonal Corner of Rectangl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11239500" y="1397000"/>
          <a:ext cx="2451100" cy="1574800"/>
        </a:xfrm>
        <a:prstGeom prst="round2DiagRect">
          <a:avLst>
            <a:gd name="adj1" fmla="val 0"/>
            <a:gd name="adj2" fmla="val 36290"/>
          </a:avLst>
        </a:prstGeom>
        <a:solidFill>
          <a:srgbClr val="2B2B2B"/>
        </a:solidFill>
        <a:ln>
          <a:noFill/>
        </a:ln>
        <a:effectLst>
          <a:innerShdw blurRad="63500" dist="50800" dir="13500000">
            <a:prstClr val="black">
              <a:alpha val="50000"/>
            </a:prstClr>
          </a:innerShdw>
        </a:effectLst>
        <a:scene3d>
          <a:camera prst="orthographicFront"/>
          <a:lightRig rig="threePt" dir="t"/>
        </a:scene3d>
        <a:sp3d>
          <a:bevelT prst="slop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355600</xdr:colOff>
      <xdr:row>12</xdr:row>
      <xdr:rowOff>25400</xdr:rowOff>
    </xdr:from>
    <xdr:to>
      <xdr:col>4</xdr:col>
      <xdr:colOff>215900</xdr:colOff>
      <xdr:row>13</xdr:row>
      <xdr:rowOff>50800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2832100" y="2362200"/>
          <a:ext cx="68580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00" i="1" baseline="0">
              <a:ln>
                <a:noFill/>
              </a:ln>
              <a:solidFill>
                <a:srgbClr val="F0C32C"/>
              </a:solidFill>
              <a:latin typeface="Gill Sans Ultra Bold" panose="020B0A02020104020203" pitchFamily="34" charset="77"/>
            </a:rPr>
            <a:t>Sales</a:t>
          </a:r>
        </a:p>
      </xdr:txBody>
    </xdr:sp>
    <xdr:clientData/>
  </xdr:twoCellAnchor>
  <xdr:twoCellAnchor>
    <xdr:from>
      <xdr:col>3</xdr:col>
      <xdr:colOff>317500</xdr:colOff>
      <xdr:row>13</xdr:row>
      <xdr:rowOff>0</xdr:rowOff>
    </xdr:from>
    <xdr:to>
      <xdr:col>4</xdr:col>
      <xdr:colOff>762000</xdr:colOff>
      <xdr:row>14</xdr:row>
      <xdr:rowOff>38100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94000" y="2540000"/>
          <a:ext cx="1270000" cy="241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00" i="1" baseline="0">
              <a:ln>
                <a:noFill/>
              </a:ln>
              <a:solidFill>
                <a:srgbClr val="F0C32C"/>
              </a:solidFill>
              <a:latin typeface="Gill Sans Ultra Bold" panose="020B0A02020104020203" pitchFamily="34" charset="77"/>
            </a:rPr>
            <a:t>Sales </a:t>
          </a:r>
          <a:r>
            <a:rPr lang="en-GB" sz="900" i="1" baseline="0">
              <a:ln>
                <a:noFill/>
              </a:ln>
              <a:solidFill>
                <a:srgbClr val="F0C32C"/>
              </a:solidFill>
              <a:latin typeface="Gill Sans Ultra Bold" panose="020B0A02020104020203" pitchFamily="34" charset="77"/>
            </a:rPr>
            <a:t>Return</a:t>
          </a:r>
          <a:endParaRPr lang="en-GB" sz="1000" i="1" baseline="0">
            <a:ln>
              <a:noFill/>
            </a:ln>
            <a:solidFill>
              <a:srgbClr val="F0C32C"/>
            </a:solidFill>
            <a:latin typeface="Gill Sans Ultra Bold" panose="020B0A02020104020203" pitchFamily="34" charset="77"/>
          </a:endParaRPr>
        </a:p>
        <a:p>
          <a:endParaRPr lang="en-GB" sz="1000" i="1" baseline="0">
            <a:ln>
              <a:noFill/>
            </a:ln>
            <a:solidFill>
              <a:srgbClr val="F0C32C"/>
            </a:solidFill>
            <a:latin typeface="Gill Sans Ultra Bold" panose="020B0A02020104020203" pitchFamily="34" charset="77"/>
          </a:endParaRPr>
        </a:p>
      </xdr:txBody>
    </xdr:sp>
    <xdr:clientData/>
  </xdr:twoCellAnchor>
  <xdr:twoCellAnchor>
    <xdr:from>
      <xdr:col>4</xdr:col>
      <xdr:colOff>723900</xdr:colOff>
      <xdr:row>12</xdr:row>
      <xdr:rowOff>12700</xdr:rowOff>
    </xdr:from>
    <xdr:to>
      <xdr:col>6</xdr:col>
      <xdr:colOff>50800</xdr:colOff>
      <xdr:row>13</xdr:row>
      <xdr:rowOff>25400</xdr:rowOff>
    </xdr:to>
    <xdr:sp macro="" textlink="Category!O22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4025900" y="2349500"/>
          <a:ext cx="97790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264B99F-9E14-EF4D-8341-0E773C25648C}" type="TxLink">
            <a:rPr lang="en-US" sz="1200" b="0" i="1" u="none" strike="noStrike" baseline="0">
              <a:ln>
                <a:noFill/>
              </a:ln>
              <a:solidFill>
                <a:schemeClr val="bg1"/>
              </a:solidFill>
              <a:latin typeface="Arial Rounded MT Bold" panose="020F0704030504030204" pitchFamily="34" charset="77"/>
              <a:cs typeface="Calibri"/>
            </a:rPr>
            <a:pPr algn="ctr"/>
            <a:t>Rs215,000</a:t>
          </a:fld>
          <a:endParaRPr lang="en-GB" sz="1000" i="1" baseline="0">
            <a:ln>
              <a:noFill/>
            </a:ln>
            <a:solidFill>
              <a:schemeClr val="bg1"/>
            </a:solidFill>
            <a:latin typeface="Arial Rounded MT Bold" panose="020F0704030504030204" pitchFamily="34" charset="77"/>
          </a:endParaRPr>
        </a:p>
      </xdr:txBody>
    </xdr:sp>
    <xdr:clientData/>
  </xdr:twoCellAnchor>
  <xdr:twoCellAnchor>
    <xdr:from>
      <xdr:col>4</xdr:col>
      <xdr:colOff>698500</xdr:colOff>
      <xdr:row>13</xdr:row>
      <xdr:rowOff>12700</xdr:rowOff>
    </xdr:from>
    <xdr:to>
      <xdr:col>6</xdr:col>
      <xdr:colOff>25400</xdr:colOff>
      <xdr:row>14</xdr:row>
      <xdr:rowOff>25400</xdr:rowOff>
    </xdr:to>
    <xdr:sp macro="" textlink="Category!O25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4000500" y="2552700"/>
          <a:ext cx="97790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E7BBD13-C8EE-1243-B037-6127EA70954F}" type="TxLink">
            <a:rPr lang="en-US" sz="1100" b="0" i="1" u="none" strike="noStrike" baseline="0">
              <a:ln>
                <a:noFill/>
              </a:ln>
              <a:solidFill>
                <a:schemeClr val="bg1"/>
              </a:solidFill>
              <a:latin typeface="Arial Rounded MT Bold" panose="020F0704030504030204" pitchFamily="34" charset="77"/>
              <a:cs typeface="Calibri"/>
            </a:rPr>
            <a:pPr algn="ctr"/>
            <a:t>Rs0</a:t>
          </a:fld>
          <a:endParaRPr lang="en-GB" sz="900" i="1" baseline="0">
            <a:ln>
              <a:noFill/>
            </a:ln>
            <a:solidFill>
              <a:schemeClr val="bg1"/>
            </a:solidFill>
            <a:latin typeface="Arial Rounded MT Bold" panose="020F0704030504030204" pitchFamily="34" charset="77"/>
          </a:endParaRPr>
        </a:p>
      </xdr:txBody>
    </xdr:sp>
    <xdr:clientData/>
  </xdr:twoCellAnchor>
  <xdr:twoCellAnchor>
    <xdr:from>
      <xdr:col>6</xdr:col>
      <xdr:colOff>609600</xdr:colOff>
      <xdr:row>7</xdr:row>
      <xdr:rowOff>177800</xdr:rowOff>
    </xdr:from>
    <xdr:to>
      <xdr:col>9</xdr:col>
      <xdr:colOff>101600</xdr:colOff>
      <xdr:row>9</xdr:row>
      <xdr:rowOff>114300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5562600" y="1498600"/>
          <a:ext cx="196850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 i="0" baseline="0">
              <a:ln>
                <a:noFill/>
              </a:ln>
              <a:solidFill>
                <a:srgbClr val="F0C32C"/>
              </a:solidFill>
              <a:latin typeface="Gill Sans Ultra Bold" panose="020B0A02020104020203" pitchFamily="34" charset="77"/>
            </a:rPr>
            <a:t>Net Purchase</a:t>
          </a:r>
        </a:p>
      </xdr:txBody>
    </xdr:sp>
    <xdr:clientData/>
  </xdr:twoCellAnchor>
  <xdr:twoCellAnchor>
    <xdr:from>
      <xdr:col>6</xdr:col>
      <xdr:colOff>609600</xdr:colOff>
      <xdr:row>9</xdr:row>
      <xdr:rowOff>127000</xdr:rowOff>
    </xdr:from>
    <xdr:to>
      <xdr:col>9</xdr:col>
      <xdr:colOff>444500</xdr:colOff>
      <xdr:row>11</xdr:row>
      <xdr:rowOff>63500</xdr:rowOff>
    </xdr:to>
    <xdr:sp macro="" textlink="Category!M3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5562600" y="1854200"/>
          <a:ext cx="231140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A7C987A6-3E4C-E34D-9F2B-F6E4F4B969C4}" type="TxLink">
            <a:rPr lang="en-US" sz="2000" b="1" i="0" u="none" strike="noStrike" baseline="0">
              <a:ln>
                <a:noFill/>
              </a:ln>
              <a:solidFill>
                <a:schemeClr val="bg1"/>
              </a:solidFill>
              <a:latin typeface="Arial Rounded MT Bold" panose="020F0704030504030204" pitchFamily="34" charset="77"/>
              <a:cs typeface="Times New Roman" panose="02020603050405020304" pitchFamily="18" charset="0"/>
            </a:rPr>
            <a:pPr algn="ctr"/>
            <a:t>Rs160,000</a:t>
          </a:fld>
          <a:endParaRPr lang="en-GB" sz="4400" b="1" i="0" baseline="0">
            <a:ln>
              <a:noFill/>
            </a:ln>
            <a:solidFill>
              <a:schemeClr val="bg1"/>
            </a:solidFill>
            <a:latin typeface="Arial Rounded MT Bold" panose="020F0704030504030204" pitchFamily="34" charset="77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723900</xdr:colOff>
      <xdr:row>12</xdr:row>
      <xdr:rowOff>12700</xdr:rowOff>
    </xdr:from>
    <xdr:to>
      <xdr:col>8</xdr:col>
      <xdr:colOff>177800</xdr:colOff>
      <xdr:row>13</xdr:row>
      <xdr:rowOff>63500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5676900" y="2349500"/>
          <a:ext cx="1104900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00" i="1" baseline="0">
              <a:ln>
                <a:noFill/>
              </a:ln>
              <a:solidFill>
                <a:srgbClr val="F0C32C"/>
              </a:solidFill>
              <a:latin typeface="Gill Sans Ultra Bold" panose="020B0A02020104020203" pitchFamily="34" charset="77"/>
            </a:rPr>
            <a:t>Purchases</a:t>
          </a:r>
        </a:p>
      </xdr:txBody>
    </xdr:sp>
    <xdr:clientData/>
  </xdr:twoCellAnchor>
  <xdr:twoCellAnchor>
    <xdr:from>
      <xdr:col>6</xdr:col>
      <xdr:colOff>698500</xdr:colOff>
      <xdr:row>12</xdr:row>
      <xdr:rowOff>190500</xdr:rowOff>
    </xdr:from>
    <xdr:to>
      <xdr:col>8</xdr:col>
      <xdr:colOff>596900</xdr:colOff>
      <xdr:row>14</xdr:row>
      <xdr:rowOff>63500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5651500" y="2527300"/>
          <a:ext cx="1549400" cy="279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900" i="1" baseline="0">
              <a:ln>
                <a:noFill/>
              </a:ln>
              <a:solidFill>
                <a:srgbClr val="F0C32C"/>
              </a:solidFill>
              <a:latin typeface="Gill Sans Ultra Bold" panose="020B0A02020104020203" pitchFamily="34" charset="77"/>
            </a:rPr>
            <a:t>Purchase Return</a:t>
          </a:r>
        </a:p>
        <a:p>
          <a:endParaRPr lang="en-GB" sz="900" i="1" baseline="0">
            <a:ln>
              <a:noFill/>
            </a:ln>
            <a:solidFill>
              <a:srgbClr val="F0C32C"/>
            </a:solidFill>
            <a:latin typeface="Gill Sans Ultra Bold" panose="020B0A02020104020203" pitchFamily="34" charset="77"/>
          </a:endParaRPr>
        </a:p>
      </xdr:txBody>
    </xdr:sp>
    <xdr:clientData/>
  </xdr:twoCellAnchor>
  <xdr:twoCellAnchor>
    <xdr:from>
      <xdr:col>8</xdr:col>
      <xdr:colOff>342900</xdr:colOff>
      <xdr:row>12</xdr:row>
      <xdr:rowOff>0</xdr:rowOff>
    </xdr:from>
    <xdr:to>
      <xdr:col>9</xdr:col>
      <xdr:colOff>495300</xdr:colOff>
      <xdr:row>13</xdr:row>
      <xdr:rowOff>12700</xdr:rowOff>
    </xdr:to>
    <xdr:sp macro="" textlink="Category!N2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6946900" y="2336800"/>
          <a:ext cx="97790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20F31AE-5000-F64F-BCC3-1804D08D7FD2}" type="TxLink">
            <a:rPr lang="en-US" sz="1200" b="0" i="1" u="none" strike="noStrike" baseline="0">
              <a:ln>
                <a:noFill/>
              </a:ln>
              <a:solidFill>
                <a:schemeClr val="bg1"/>
              </a:solidFill>
              <a:latin typeface="Arial Rounded MT Bold" panose="020F0704030504030204" pitchFamily="34" charset="77"/>
              <a:cs typeface="Calibri"/>
            </a:rPr>
            <a:pPr algn="ctr"/>
            <a:t>Rs160,000</a:t>
          </a:fld>
          <a:endParaRPr lang="en-GB" sz="1000" i="1" baseline="0">
            <a:ln>
              <a:noFill/>
            </a:ln>
            <a:solidFill>
              <a:schemeClr val="bg1"/>
            </a:solidFill>
            <a:latin typeface="Arial Rounded MT Bold" panose="020F0704030504030204" pitchFamily="34" charset="77"/>
          </a:endParaRPr>
        </a:p>
      </xdr:txBody>
    </xdr:sp>
    <xdr:clientData/>
  </xdr:twoCellAnchor>
  <xdr:twoCellAnchor>
    <xdr:from>
      <xdr:col>8</xdr:col>
      <xdr:colOff>317500</xdr:colOff>
      <xdr:row>13</xdr:row>
      <xdr:rowOff>0</xdr:rowOff>
    </xdr:from>
    <xdr:to>
      <xdr:col>9</xdr:col>
      <xdr:colOff>469900</xdr:colOff>
      <xdr:row>14</xdr:row>
      <xdr:rowOff>12700</xdr:rowOff>
    </xdr:to>
    <xdr:sp macro="" textlink="Category!O27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6921500" y="2540000"/>
          <a:ext cx="97790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E33D677-0283-8F47-9EC6-9A2D61E1D590}" type="TxLink">
            <a:rPr lang="en-US" sz="1100" b="0" i="1" u="none" strike="noStrike" baseline="0">
              <a:ln>
                <a:noFill/>
              </a:ln>
              <a:solidFill>
                <a:schemeClr val="bg1"/>
              </a:solidFill>
              <a:latin typeface="Arial Rounded MT Bold" panose="020F0704030504030204" pitchFamily="34" charset="77"/>
              <a:cs typeface="Calibri"/>
            </a:rPr>
            <a:pPr algn="ctr"/>
            <a:t>Rs0</a:t>
          </a:fld>
          <a:endParaRPr lang="en-GB" sz="900" i="1" baseline="0">
            <a:ln>
              <a:noFill/>
            </a:ln>
            <a:solidFill>
              <a:schemeClr val="bg1"/>
            </a:solidFill>
            <a:latin typeface="Arial Rounded MT Bold" panose="020F0704030504030204" pitchFamily="34" charset="77"/>
          </a:endParaRPr>
        </a:p>
      </xdr:txBody>
    </xdr:sp>
    <xdr:clientData/>
  </xdr:twoCellAnchor>
  <xdr:twoCellAnchor>
    <xdr:from>
      <xdr:col>10</xdr:col>
      <xdr:colOff>50800</xdr:colOff>
      <xdr:row>7</xdr:row>
      <xdr:rowOff>177800</xdr:rowOff>
    </xdr:from>
    <xdr:to>
      <xdr:col>13</xdr:col>
      <xdr:colOff>63500</xdr:colOff>
      <xdr:row>9</xdr:row>
      <xdr:rowOff>114300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8305800" y="1498600"/>
          <a:ext cx="248920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 i="0" baseline="0">
              <a:ln>
                <a:noFill/>
              </a:ln>
              <a:solidFill>
                <a:srgbClr val="F0C32C"/>
              </a:solidFill>
              <a:latin typeface="Gill Sans Ultra Bold" panose="020B0A02020104020203" pitchFamily="34" charset="77"/>
            </a:rPr>
            <a:t>Ads &amp; Social EXP</a:t>
          </a:r>
        </a:p>
      </xdr:txBody>
    </xdr:sp>
    <xdr:clientData/>
  </xdr:twoCellAnchor>
  <xdr:twoCellAnchor>
    <xdr:from>
      <xdr:col>10</xdr:col>
      <xdr:colOff>76200</xdr:colOff>
      <xdr:row>9</xdr:row>
      <xdr:rowOff>114300</xdr:rowOff>
    </xdr:from>
    <xdr:to>
      <xdr:col>12</xdr:col>
      <xdr:colOff>736600</xdr:colOff>
      <xdr:row>11</xdr:row>
      <xdr:rowOff>50800</xdr:rowOff>
    </xdr:to>
    <xdr:sp macro="" textlink="Category!P2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8331200" y="1841500"/>
          <a:ext cx="231140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6E3FAC6-DC8E-6E43-87B1-82418E0FD71E}" type="TxLink">
            <a:rPr lang="en-US" sz="1800" b="0" i="0" u="none" strike="noStrike" baseline="0">
              <a:ln>
                <a:noFill/>
              </a:ln>
              <a:solidFill>
                <a:schemeClr val="bg1"/>
              </a:solidFill>
              <a:latin typeface="Arial Rounded MT Bold" panose="020F0704030504030204" pitchFamily="34" charset="77"/>
              <a:cs typeface="Calibri"/>
            </a:rPr>
            <a:pPr algn="ctr"/>
            <a:t>Rs13,000</a:t>
          </a:fld>
          <a:endParaRPr lang="en-GB" sz="6000" b="1" i="0" baseline="0">
            <a:ln>
              <a:noFill/>
            </a:ln>
            <a:solidFill>
              <a:schemeClr val="bg1"/>
            </a:solidFill>
            <a:latin typeface="Arial Rounded MT Bold" panose="020F0704030504030204" pitchFamily="34" charset="77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114300</xdr:colOff>
      <xdr:row>3</xdr:row>
      <xdr:rowOff>165100</xdr:rowOff>
    </xdr:from>
    <xdr:to>
      <xdr:col>20</xdr:col>
      <xdr:colOff>749300</xdr:colOff>
      <xdr:row>6</xdr:row>
      <xdr:rowOff>190500</xdr:rowOff>
    </xdr:to>
    <xdr:sp macro="" textlink="">
      <xdr:nvSpPr>
        <xdr:cNvPr id="42" name="Round Diagonal Corner of Rectangl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590800" y="673100"/>
          <a:ext cx="14668500" cy="635000"/>
        </a:xfrm>
        <a:prstGeom prst="round2DiagRect">
          <a:avLst>
            <a:gd name="adj1" fmla="val 50000"/>
            <a:gd name="adj2" fmla="val 0"/>
          </a:avLst>
        </a:prstGeom>
        <a:solidFill>
          <a:srgbClr val="2B2B2B"/>
        </a:solidFill>
        <a:ln>
          <a:noFill/>
        </a:ln>
        <a:effectLst>
          <a:innerShdw blurRad="63500" dist="50800" dir="13500000">
            <a:prstClr val="black">
              <a:alpha val="50000"/>
            </a:prstClr>
          </a:innerShdw>
        </a:effectLst>
        <a:scene3d>
          <a:camera prst="orthographicFront"/>
          <a:lightRig rig="threePt" dir="t"/>
        </a:scene3d>
        <a:sp3d>
          <a:bevelT prst="slop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279400</xdr:colOff>
      <xdr:row>4</xdr:row>
      <xdr:rowOff>114300</xdr:rowOff>
    </xdr:from>
    <xdr:to>
      <xdr:col>12</xdr:col>
      <xdr:colOff>76200</xdr:colOff>
      <xdr:row>6</xdr:row>
      <xdr:rowOff>50800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2755900" y="825500"/>
          <a:ext cx="722630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 i="0" baseline="0">
              <a:ln>
                <a:noFill/>
              </a:ln>
              <a:solidFill>
                <a:srgbClr val="F0C32C"/>
              </a:solidFill>
              <a:latin typeface="Gill Sans Ultra Bold" panose="020B0A02020104020203" pitchFamily="34" charset="77"/>
            </a:rPr>
            <a:t>Business</a:t>
          </a:r>
          <a:r>
            <a:rPr lang="en-GB" sz="1600" i="1" baseline="0">
              <a:ln>
                <a:noFill/>
              </a:ln>
              <a:solidFill>
                <a:srgbClr val="F0C32C"/>
              </a:solidFill>
              <a:latin typeface="Gill Sans Ultra Bold" panose="020B0A02020104020203" pitchFamily="34" charset="77"/>
            </a:rPr>
            <a:t> </a:t>
          </a:r>
          <a:r>
            <a:rPr lang="en-GB" sz="1600" i="0" baseline="0">
              <a:ln>
                <a:noFill/>
              </a:ln>
              <a:solidFill>
                <a:srgbClr val="F0C32C"/>
              </a:solidFill>
              <a:latin typeface="Gill Sans Ultra Bold" panose="020B0A02020104020203" pitchFamily="34" charset="77"/>
            </a:rPr>
            <a:t>Dashboard</a:t>
          </a:r>
        </a:p>
      </xdr:txBody>
    </xdr:sp>
    <xdr:clientData/>
  </xdr:twoCellAnchor>
  <xdr:twoCellAnchor>
    <xdr:from>
      <xdr:col>13</xdr:col>
      <xdr:colOff>508000</xdr:colOff>
      <xdr:row>8</xdr:row>
      <xdr:rowOff>165100</xdr:rowOff>
    </xdr:from>
    <xdr:to>
      <xdr:col>14</xdr:col>
      <xdr:colOff>698500</xdr:colOff>
      <xdr:row>10</xdr:row>
      <xdr:rowOff>101600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11239500" y="1689100"/>
          <a:ext cx="101600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 i="0" baseline="0">
              <a:ln>
                <a:noFill/>
              </a:ln>
              <a:solidFill>
                <a:srgbClr val="F0C32C"/>
              </a:solidFill>
              <a:latin typeface="Gill Sans Ultra Bold" panose="020B0A02020104020203" pitchFamily="34" charset="77"/>
            </a:rPr>
            <a:t>Profit</a:t>
          </a:r>
        </a:p>
      </xdr:txBody>
    </xdr:sp>
    <xdr:clientData/>
  </xdr:twoCellAnchor>
  <xdr:twoCellAnchor>
    <xdr:from>
      <xdr:col>14</xdr:col>
      <xdr:colOff>457200</xdr:colOff>
      <xdr:row>8</xdr:row>
      <xdr:rowOff>152400</xdr:rowOff>
    </xdr:from>
    <xdr:to>
      <xdr:col>16</xdr:col>
      <xdr:colOff>431800</xdr:colOff>
      <xdr:row>10</xdr:row>
      <xdr:rowOff>76200</xdr:rowOff>
    </xdr:to>
    <xdr:sp macro="" textlink="Category!N30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12014200" y="1676400"/>
          <a:ext cx="162560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379E11E1-1C56-9D40-BC65-195C65323F10}" type="TxLink">
            <a:rPr lang="en-US" sz="1600" b="0" i="0" u="none" strike="noStrike" baseline="0">
              <a:ln>
                <a:noFill/>
              </a:ln>
              <a:solidFill>
                <a:schemeClr val="bg1"/>
              </a:solidFill>
              <a:latin typeface="Arial Rounded MT Bold" panose="020F0704030504030204" pitchFamily="34" charset="77"/>
              <a:cs typeface="Calibri"/>
            </a:rPr>
            <a:pPr algn="ctr"/>
            <a:t>Rs42,000</a:t>
          </a:fld>
          <a:endParaRPr lang="en-GB" sz="1600" b="1" i="0" baseline="0">
            <a:ln>
              <a:noFill/>
            </a:ln>
            <a:solidFill>
              <a:schemeClr val="bg1"/>
            </a:solidFill>
            <a:latin typeface="Arial Rounded MT Bold" panose="020F0704030504030204" pitchFamily="34" charset="77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482600</xdr:colOff>
      <xdr:row>10</xdr:row>
      <xdr:rowOff>25400</xdr:rowOff>
    </xdr:from>
    <xdr:to>
      <xdr:col>15</xdr:col>
      <xdr:colOff>165100</xdr:colOff>
      <xdr:row>11</xdr:row>
      <xdr:rowOff>63500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11214100" y="1955800"/>
          <a:ext cx="1333500" cy="241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00" i="1" baseline="0">
              <a:ln>
                <a:noFill/>
              </a:ln>
              <a:solidFill>
                <a:srgbClr val="F0C32C"/>
              </a:solidFill>
              <a:latin typeface="Gill Sans Ultra Bold" panose="020B0A02020104020203" pitchFamily="34" charset="77"/>
            </a:rPr>
            <a:t>Profit Margin</a:t>
          </a:r>
        </a:p>
      </xdr:txBody>
    </xdr:sp>
    <xdr:clientData/>
  </xdr:twoCellAnchor>
  <xdr:twoCellAnchor>
    <xdr:from>
      <xdr:col>15</xdr:col>
      <xdr:colOff>76200</xdr:colOff>
      <xdr:row>10</xdr:row>
      <xdr:rowOff>88900</xdr:rowOff>
    </xdr:from>
    <xdr:to>
      <xdr:col>16</xdr:col>
      <xdr:colOff>228600</xdr:colOff>
      <xdr:row>11</xdr:row>
      <xdr:rowOff>101600</xdr:rowOff>
    </xdr:to>
    <xdr:sp macro="" textlink="Category!N31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12458700" y="2019300"/>
          <a:ext cx="97790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DB8120D-DBA7-1E4B-A2B8-A18677E57B02}" type="TxLink">
            <a:rPr lang="en-US" sz="1400" b="0" i="0" u="none" strike="noStrike" baseline="0">
              <a:ln>
                <a:noFill/>
              </a:ln>
              <a:solidFill>
                <a:schemeClr val="bg1"/>
              </a:solidFill>
              <a:latin typeface="Arial Rounded MT Bold" panose="020F0704030504030204" pitchFamily="34" charset="77"/>
              <a:cs typeface="Calibri"/>
            </a:rPr>
            <a:pPr algn="ctr"/>
            <a:t>20%</a:t>
          </a:fld>
          <a:endParaRPr lang="en-GB" sz="1050" i="0" baseline="0">
            <a:ln>
              <a:noFill/>
            </a:ln>
            <a:solidFill>
              <a:schemeClr val="bg1"/>
            </a:solidFill>
            <a:latin typeface="Arial Rounded MT Bold" panose="020F0704030504030204" pitchFamily="34" charset="77"/>
          </a:endParaRPr>
        </a:p>
      </xdr:txBody>
    </xdr:sp>
    <xdr:clientData/>
  </xdr:twoCellAnchor>
  <xdr:twoCellAnchor>
    <xdr:from>
      <xdr:col>16</xdr:col>
      <xdr:colOff>812800</xdr:colOff>
      <xdr:row>7</xdr:row>
      <xdr:rowOff>76200</xdr:rowOff>
    </xdr:from>
    <xdr:to>
      <xdr:col>20</xdr:col>
      <xdr:colOff>698500</xdr:colOff>
      <xdr:row>33</xdr:row>
      <xdr:rowOff>114300</xdr:rowOff>
    </xdr:to>
    <xdr:sp macro="" textlink="">
      <xdr:nvSpPr>
        <xdr:cNvPr id="56" name="Round Diagonal Corner of Rectangl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14020800" y="1397000"/>
          <a:ext cx="3187700" cy="5321300"/>
        </a:xfrm>
        <a:prstGeom prst="round2DiagRect">
          <a:avLst>
            <a:gd name="adj1" fmla="val 17928"/>
            <a:gd name="adj2" fmla="val 0"/>
          </a:avLst>
        </a:prstGeom>
        <a:solidFill>
          <a:srgbClr val="2B2B2B"/>
        </a:solidFill>
        <a:ln>
          <a:noFill/>
        </a:ln>
        <a:effectLst>
          <a:innerShdw blurRad="63500" dist="50800" dir="13500000">
            <a:prstClr val="black">
              <a:alpha val="50000"/>
            </a:prstClr>
          </a:innerShdw>
        </a:effectLst>
        <a:scene3d>
          <a:camera prst="orthographicFront"/>
          <a:lightRig rig="threePt" dir="t"/>
        </a:scene3d>
        <a:sp3d>
          <a:bevelT prst="slop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139700</xdr:colOff>
      <xdr:row>16</xdr:row>
      <xdr:rowOff>12700</xdr:rowOff>
    </xdr:from>
    <xdr:to>
      <xdr:col>9</xdr:col>
      <xdr:colOff>558800</xdr:colOff>
      <xdr:row>33</xdr:row>
      <xdr:rowOff>76200</xdr:rowOff>
    </xdr:to>
    <xdr:sp macro="" textlink="">
      <xdr:nvSpPr>
        <xdr:cNvPr id="57" name="Round Diagonal Corner of Rectangl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616200" y="3162300"/>
          <a:ext cx="5372100" cy="3517900"/>
        </a:xfrm>
        <a:prstGeom prst="round2DiagRect">
          <a:avLst>
            <a:gd name="adj1" fmla="val 23946"/>
            <a:gd name="adj2" fmla="val 0"/>
          </a:avLst>
        </a:prstGeom>
        <a:solidFill>
          <a:srgbClr val="2B2B2B"/>
        </a:solidFill>
        <a:ln>
          <a:noFill/>
        </a:ln>
        <a:effectLst>
          <a:innerShdw blurRad="63500" dist="50800" dir="13500000">
            <a:prstClr val="black">
              <a:alpha val="50000"/>
            </a:prstClr>
          </a:innerShdw>
        </a:effectLst>
        <a:scene3d>
          <a:camera prst="orthographicFront"/>
          <a:lightRig rig="threePt" dir="t"/>
        </a:scene3d>
        <a:sp3d>
          <a:bevelT prst="slop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10</xdr:col>
      <xdr:colOff>177800</xdr:colOff>
      <xdr:row>16</xdr:row>
      <xdr:rowOff>12700</xdr:rowOff>
    </xdr:from>
    <xdr:to>
      <xdr:col>16</xdr:col>
      <xdr:colOff>622300</xdr:colOff>
      <xdr:row>33</xdr:row>
      <xdr:rowOff>114300</xdr:rowOff>
    </xdr:to>
    <xdr:sp macro="" textlink="">
      <xdr:nvSpPr>
        <xdr:cNvPr id="58" name="Round Diagonal Corner of Rectangl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8432800" y="3162300"/>
          <a:ext cx="5397500" cy="3556000"/>
        </a:xfrm>
        <a:prstGeom prst="round2DiagRect">
          <a:avLst>
            <a:gd name="adj1" fmla="val 0"/>
            <a:gd name="adj2" fmla="val 21731"/>
          </a:avLst>
        </a:prstGeom>
        <a:solidFill>
          <a:srgbClr val="2B2B2B"/>
        </a:solidFill>
        <a:ln>
          <a:noFill/>
        </a:ln>
        <a:effectLst>
          <a:innerShdw blurRad="63500" dist="50800" dir="13500000">
            <a:prstClr val="black">
              <a:alpha val="50000"/>
            </a:prstClr>
          </a:innerShdw>
        </a:effectLst>
        <a:scene3d>
          <a:camera prst="orthographicFront"/>
          <a:lightRig rig="threePt" dir="t"/>
        </a:scene3d>
        <a:sp3d>
          <a:bevelT prst="slop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b="0" cap="none" spc="0">
            <a:ln w="0" cap="rnd" cmpd="dbl">
              <a:solidFill>
                <a:srgbClr val="2B2B2B">
                  <a:alpha val="0"/>
                </a:srgbClr>
              </a:solidFill>
              <a:prstDash val="sysDot"/>
            </a:ln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457200</xdr:colOff>
      <xdr:row>17</xdr:row>
      <xdr:rowOff>12700</xdr:rowOff>
    </xdr:from>
    <xdr:to>
      <xdr:col>9</xdr:col>
      <xdr:colOff>254000</xdr:colOff>
      <xdr:row>31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203200</xdr:colOff>
      <xdr:row>16</xdr:row>
      <xdr:rowOff>63500</xdr:rowOff>
    </xdr:from>
    <xdr:to>
      <xdr:col>16</xdr:col>
      <xdr:colOff>673100</xdr:colOff>
      <xdr:row>33</xdr:row>
      <xdr:rowOff>114300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38100</xdr:colOff>
      <xdr:row>7</xdr:row>
      <xdr:rowOff>114300</xdr:rowOff>
    </xdr:from>
    <xdr:to>
      <xdr:col>20</xdr:col>
      <xdr:colOff>635000</xdr:colOff>
      <xdr:row>19</xdr:row>
      <xdr:rowOff>12700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800100</xdr:colOff>
      <xdr:row>20</xdr:row>
      <xdr:rowOff>25400</xdr:rowOff>
    </xdr:from>
    <xdr:to>
      <xdr:col>20</xdr:col>
      <xdr:colOff>584200</xdr:colOff>
      <xdr:row>32</xdr:row>
      <xdr:rowOff>63500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139700</xdr:colOff>
      <xdr:row>19</xdr:row>
      <xdr:rowOff>127000</xdr:rowOff>
    </xdr:from>
    <xdr:to>
      <xdr:col>20</xdr:col>
      <xdr:colOff>584200</xdr:colOff>
      <xdr:row>19</xdr:row>
      <xdr:rowOff>172719</xdr:rowOff>
    </xdr:to>
    <xdr:sp macro="" textlink="">
      <xdr:nvSpPr>
        <xdr:cNvPr id="13" name="Round Diagonal Corner of 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4173200" y="3886200"/>
          <a:ext cx="2921000" cy="45719"/>
        </a:xfrm>
        <a:prstGeom prst="round2DiagRect">
          <a:avLst>
            <a:gd name="adj1" fmla="val 50000"/>
            <a:gd name="adj2" fmla="val 50000"/>
          </a:avLst>
        </a:prstGeom>
        <a:solidFill>
          <a:srgbClr val="D4AC35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800100</xdr:colOff>
      <xdr:row>12</xdr:row>
      <xdr:rowOff>165100</xdr:rowOff>
    </xdr:from>
    <xdr:to>
      <xdr:col>12</xdr:col>
      <xdr:colOff>812800</xdr:colOff>
      <xdr:row>14</xdr:row>
      <xdr:rowOff>0</xdr:rowOff>
    </xdr:to>
    <xdr:sp macro="" textlink="SocialEXP!K1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9880600" y="2501900"/>
          <a:ext cx="838200" cy="241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348C3309-CB65-3642-BD9B-83F8E6D210A6}" type="TxLink">
            <a:rPr lang="en-US" sz="1050" b="1" i="1" u="none" strike="noStrike" baseline="0">
              <a:ln>
                <a:noFill/>
              </a:ln>
              <a:solidFill>
                <a:schemeClr val="bg1"/>
              </a:solidFill>
              <a:latin typeface="Arial Rounded MT Bold" panose="020F0704030504030204" pitchFamily="34" charset="77"/>
              <a:cs typeface="Calibri"/>
            </a:rPr>
            <a:pPr algn="l"/>
            <a:t>Rs0</a:t>
          </a:fld>
          <a:endParaRPr lang="en-GB" sz="800" i="1" baseline="0">
            <a:ln>
              <a:noFill/>
            </a:ln>
            <a:solidFill>
              <a:schemeClr val="bg1"/>
            </a:solidFill>
            <a:latin typeface="Arial Rounded MT Bold" panose="020F0704030504030204" pitchFamily="34" charset="77"/>
          </a:endParaRPr>
        </a:p>
      </xdr:txBody>
    </xdr:sp>
    <xdr:clientData/>
  </xdr:twoCellAnchor>
  <xdr:twoCellAnchor>
    <xdr:from>
      <xdr:col>0</xdr:col>
      <xdr:colOff>635000</xdr:colOff>
      <xdr:row>17</xdr:row>
      <xdr:rowOff>114300</xdr:rowOff>
    </xdr:from>
    <xdr:to>
      <xdr:col>2</xdr:col>
      <xdr:colOff>355600</xdr:colOff>
      <xdr:row>34</xdr:row>
      <xdr:rowOff>0</xdr:rowOff>
    </xdr:to>
    <xdr:sp macro="" textlink="">
      <xdr:nvSpPr>
        <xdr:cNvPr id="49" name="Round Diagonal Corner of Rectangl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635000" y="3467100"/>
          <a:ext cx="1371600" cy="3340100"/>
        </a:xfrm>
        <a:prstGeom prst="round2DiagRect">
          <a:avLst>
            <a:gd name="adj1" fmla="val 50000"/>
            <a:gd name="adj2" fmla="val 50000"/>
          </a:avLst>
        </a:prstGeom>
        <a:solidFill>
          <a:srgbClr val="2B2B2B"/>
        </a:solidFill>
        <a:ln>
          <a:noFill/>
        </a:ln>
        <a:effectLst>
          <a:innerShdw blurRad="63500" dist="50800" dir="13500000">
            <a:prstClr val="black">
              <a:alpha val="50000"/>
            </a:prstClr>
          </a:innerShdw>
        </a:effectLst>
        <a:scene3d>
          <a:camera prst="orthographicFront"/>
          <a:lightRig rig="threePt" dir="t"/>
        </a:scene3d>
        <a:sp3d>
          <a:bevelT prst="slop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635000</xdr:colOff>
      <xdr:row>21</xdr:row>
      <xdr:rowOff>114300</xdr:rowOff>
    </xdr:from>
    <xdr:to>
      <xdr:col>2</xdr:col>
      <xdr:colOff>393700</xdr:colOff>
      <xdr:row>23</xdr:row>
      <xdr:rowOff>50800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635000" y="4279900"/>
          <a:ext cx="140970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350" i="0" baseline="0">
              <a:ln>
                <a:noFill/>
              </a:ln>
              <a:solidFill>
                <a:srgbClr val="F0C32C"/>
              </a:solidFill>
              <a:latin typeface="Gill Sans Ultra Bold" panose="020B0A02020104020203" pitchFamily="34" charset="77"/>
            </a:rPr>
            <a:t>Investment</a:t>
          </a:r>
        </a:p>
      </xdr:txBody>
    </xdr:sp>
    <xdr:clientData/>
  </xdr:twoCellAnchor>
  <xdr:twoCellAnchor>
    <xdr:from>
      <xdr:col>0</xdr:col>
      <xdr:colOff>596900</xdr:colOff>
      <xdr:row>23</xdr:row>
      <xdr:rowOff>114300</xdr:rowOff>
    </xdr:from>
    <xdr:to>
      <xdr:col>2</xdr:col>
      <xdr:colOff>304800</xdr:colOff>
      <xdr:row>25</xdr:row>
      <xdr:rowOff>50800</xdr:rowOff>
    </xdr:to>
    <xdr:sp macro="" textlink="Category!Q15">
      <xdr:nvSpPr>
        <xdr:cNvPr id="59" name="TextBox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596900" y="4686300"/>
          <a:ext cx="135890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E502C796-8961-3241-9349-56EE75CEACB6}" type="TxLink">
            <a:rPr lang="en-US" sz="1400" b="1" i="0" u="none" strike="noStrike" baseline="0">
              <a:ln>
                <a:noFill/>
              </a:ln>
              <a:solidFill>
                <a:schemeClr val="bg1"/>
              </a:solidFill>
              <a:latin typeface="Arial Rounded MT Bold" panose="020F0704030504030204" pitchFamily="34" charset="77"/>
              <a:cs typeface="Calibri"/>
            </a:rPr>
            <a:pPr algn="ctr"/>
            <a:t>Rs400,000</a:t>
          </a:fld>
          <a:endParaRPr lang="en-GB" sz="2400" b="1" i="0" baseline="0">
            <a:ln>
              <a:noFill/>
            </a:ln>
            <a:solidFill>
              <a:schemeClr val="bg1"/>
            </a:solidFill>
            <a:latin typeface="Arial Rounded MT Bold" panose="020F0704030504030204" pitchFamily="34" charset="77"/>
          </a:endParaRPr>
        </a:p>
      </xdr:txBody>
    </xdr:sp>
    <xdr:clientData/>
  </xdr:twoCellAnchor>
  <xdr:twoCellAnchor>
    <xdr:from>
      <xdr:col>0</xdr:col>
      <xdr:colOff>647700</xdr:colOff>
      <xdr:row>26</xdr:row>
      <xdr:rowOff>165100</xdr:rowOff>
    </xdr:from>
    <xdr:to>
      <xdr:col>2</xdr:col>
      <xdr:colOff>304800</xdr:colOff>
      <xdr:row>28</xdr:row>
      <xdr:rowOff>101600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647700" y="5346700"/>
          <a:ext cx="130810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 i="0" baseline="0">
              <a:ln>
                <a:noFill/>
              </a:ln>
              <a:solidFill>
                <a:srgbClr val="F0C32C"/>
              </a:solidFill>
              <a:latin typeface="Gill Sans Ultra Bold" panose="020B0A02020104020203" pitchFamily="34" charset="77"/>
            </a:rPr>
            <a:t>Expenses</a:t>
          </a:r>
        </a:p>
      </xdr:txBody>
    </xdr:sp>
    <xdr:clientData/>
  </xdr:twoCellAnchor>
  <xdr:twoCellAnchor>
    <xdr:from>
      <xdr:col>0</xdr:col>
      <xdr:colOff>711200</xdr:colOff>
      <xdr:row>28</xdr:row>
      <xdr:rowOff>63500</xdr:rowOff>
    </xdr:from>
    <xdr:to>
      <xdr:col>2</xdr:col>
      <xdr:colOff>419100</xdr:colOff>
      <xdr:row>30</xdr:row>
      <xdr:rowOff>0</xdr:rowOff>
    </xdr:to>
    <xdr:sp macro="" textlink="Category!P3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711200" y="5651500"/>
          <a:ext cx="135890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480E6A37-6FD2-4C41-8B89-2FFCBBED2533}" type="TxLink">
            <a:rPr lang="en-US" sz="1200" b="0" i="0" u="none" strike="noStrike" baseline="0">
              <a:ln>
                <a:noFill/>
              </a:ln>
              <a:solidFill>
                <a:schemeClr val="bg1"/>
              </a:solidFill>
              <a:latin typeface="Arial Rounded MT Bold" panose="020F0704030504030204" pitchFamily="34" charset="77"/>
              <a:cs typeface="Calibri"/>
            </a:rPr>
            <a:pPr algn="ctr"/>
            <a:t> Rs13,000 </a:t>
          </a:fld>
          <a:endParaRPr lang="en-GB" sz="2800" b="1" i="0" baseline="0">
            <a:ln>
              <a:noFill/>
            </a:ln>
            <a:solidFill>
              <a:schemeClr val="bg1"/>
            </a:solidFill>
            <a:latin typeface="Arial Rounded MT Bold" panose="020F0704030504030204" pitchFamily="34" charset="77"/>
            <a:cs typeface="Arial Black" panose="020B0604020202020204" pitchFamily="34" charset="0"/>
          </a:endParaRPr>
        </a:p>
      </xdr:txBody>
    </xdr:sp>
    <xdr:clientData/>
  </xdr:twoCellAnchor>
  <xdr:twoCellAnchor>
    <xdr:from>
      <xdr:col>0</xdr:col>
      <xdr:colOff>736600</xdr:colOff>
      <xdr:row>26</xdr:row>
      <xdr:rowOff>33019</xdr:rowOff>
    </xdr:from>
    <xdr:to>
      <xdr:col>2</xdr:col>
      <xdr:colOff>292100</xdr:colOff>
      <xdr:row>26</xdr:row>
      <xdr:rowOff>78738</xdr:rowOff>
    </xdr:to>
    <xdr:sp macro="" textlink="">
      <xdr:nvSpPr>
        <xdr:cNvPr id="64" name="Round Diagonal Corner of Rectangl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 flipV="1">
          <a:off x="736600" y="5214619"/>
          <a:ext cx="1206500" cy="45719"/>
        </a:xfrm>
        <a:prstGeom prst="round2DiagRect">
          <a:avLst>
            <a:gd name="adj1" fmla="val 50000"/>
            <a:gd name="adj2" fmla="val 50000"/>
          </a:avLst>
        </a:prstGeom>
        <a:solidFill>
          <a:srgbClr val="D4AC35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13</xdr:col>
      <xdr:colOff>571500</xdr:colOff>
      <xdr:row>11</xdr:row>
      <xdr:rowOff>63500</xdr:rowOff>
    </xdr:from>
    <xdr:to>
      <xdr:col>16</xdr:col>
      <xdr:colOff>482600</xdr:colOff>
      <xdr:row>13</xdr:row>
      <xdr:rowOff>0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11303000" y="2197100"/>
          <a:ext cx="238760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 i="0" baseline="0">
              <a:ln>
                <a:noFill/>
              </a:ln>
              <a:solidFill>
                <a:srgbClr val="F0C32C"/>
              </a:solidFill>
              <a:latin typeface="Gill Sans Ultra Bold" panose="020B0A02020104020203" pitchFamily="34" charset="77"/>
            </a:rPr>
            <a:t>sales - Purchase</a:t>
          </a:r>
        </a:p>
      </xdr:txBody>
    </xdr:sp>
    <xdr:clientData/>
  </xdr:twoCellAnchor>
  <xdr:twoCellAnchor>
    <xdr:from>
      <xdr:col>14</xdr:col>
      <xdr:colOff>165100</xdr:colOff>
      <xdr:row>12</xdr:row>
      <xdr:rowOff>139700</xdr:rowOff>
    </xdr:from>
    <xdr:to>
      <xdr:col>16</xdr:col>
      <xdr:colOff>139700</xdr:colOff>
      <xdr:row>14</xdr:row>
      <xdr:rowOff>127000</xdr:rowOff>
    </xdr:to>
    <xdr:sp macro="" textlink="Category!S30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11722100" y="2476500"/>
          <a:ext cx="1625600" cy="393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0A5FA058-1210-1A46-A535-A284B1C5CA10}" type="TxLink">
            <a:rPr lang="en-US" sz="1800" b="0" i="0" u="none" strike="noStrike" baseline="0">
              <a:ln>
                <a:noFill/>
              </a:ln>
              <a:solidFill>
                <a:schemeClr val="bg1"/>
              </a:solidFill>
              <a:latin typeface="Arial Rounded MT Bold" panose="020F0704030504030204" pitchFamily="34" charset="77"/>
              <a:cs typeface="Calibri"/>
            </a:rPr>
            <a:pPr algn="ctr"/>
            <a:t>Rs55,000</a:t>
          </a:fld>
          <a:endParaRPr lang="en-GB" sz="3200" b="1" i="0" baseline="0">
            <a:ln>
              <a:noFill/>
            </a:ln>
            <a:solidFill>
              <a:schemeClr val="bg1"/>
            </a:solidFill>
            <a:latin typeface="Arial Rounded MT Bold" panose="020F0704030504030204" pitchFamily="34" charset="77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63500</xdr:colOff>
      <xdr:row>11</xdr:row>
      <xdr:rowOff>76200</xdr:rowOff>
    </xdr:from>
    <xdr:to>
      <xdr:col>11</xdr:col>
      <xdr:colOff>800100</xdr:colOff>
      <xdr:row>12</xdr:row>
      <xdr:rowOff>101600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8318500" y="2209800"/>
          <a:ext cx="156210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00" b="0" i="1" baseline="0">
              <a:ln>
                <a:noFill/>
              </a:ln>
              <a:solidFill>
                <a:srgbClr val="F0C32C"/>
              </a:solidFill>
              <a:latin typeface="Gill Sans Ultra Bold" panose="020B0A02020104020203" pitchFamily="34" charset="77"/>
            </a:rPr>
            <a:t>Invested in Ads</a:t>
          </a:r>
        </a:p>
        <a:p>
          <a:endParaRPr lang="en-GB" sz="1000" b="0" i="1" baseline="0">
            <a:ln>
              <a:noFill/>
            </a:ln>
            <a:solidFill>
              <a:srgbClr val="F0C32C"/>
            </a:solidFill>
            <a:latin typeface="Gill Sans Ultra Bold" panose="020B0A02020104020203" pitchFamily="34" charset="77"/>
          </a:endParaRPr>
        </a:p>
      </xdr:txBody>
    </xdr:sp>
    <xdr:clientData/>
  </xdr:twoCellAnchor>
  <xdr:twoCellAnchor>
    <xdr:from>
      <xdr:col>11</xdr:col>
      <xdr:colOff>685800</xdr:colOff>
      <xdr:row>11</xdr:row>
      <xdr:rowOff>114300</xdr:rowOff>
    </xdr:from>
    <xdr:to>
      <xdr:col>13</xdr:col>
      <xdr:colOff>63500</xdr:colOff>
      <xdr:row>12</xdr:row>
      <xdr:rowOff>177800</xdr:rowOff>
    </xdr:to>
    <xdr:sp macro="" textlink="Category!Q10">
      <xdr:nvSpPr>
        <xdr:cNvPr id="70" name="TextBox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9766300" y="2247900"/>
          <a:ext cx="10287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18D7C3B5-503B-B24E-AE81-CE1E0884D27F}" type="TxLink">
            <a:rPr lang="en-US" sz="1050" b="1" i="0" u="none" strike="noStrike" baseline="0">
              <a:ln>
                <a:noFill/>
              </a:ln>
              <a:solidFill>
                <a:schemeClr val="bg1"/>
              </a:solidFill>
              <a:latin typeface="Arial Rounded MT Bold" panose="020F0704030504030204" pitchFamily="34" charset="77"/>
              <a:cs typeface="Calibri"/>
            </a:rPr>
            <a:pPr algn="ctr"/>
            <a:t>Rs13,000</a:t>
          </a:fld>
          <a:endParaRPr lang="en-GB" sz="1200" b="1" i="0" baseline="0">
            <a:ln>
              <a:noFill/>
            </a:ln>
            <a:solidFill>
              <a:schemeClr val="bg1"/>
            </a:solidFill>
            <a:latin typeface="Arial Rounded MT Bold" panose="020F0704030504030204" pitchFamily="34" charset="77"/>
          </a:endParaRPr>
        </a:p>
      </xdr:txBody>
    </xdr:sp>
    <xdr:clientData/>
  </xdr:twoCellAnchor>
  <xdr:twoCellAnchor>
    <xdr:from>
      <xdr:col>10</xdr:col>
      <xdr:colOff>101600</xdr:colOff>
      <xdr:row>13</xdr:row>
      <xdr:rowOff>0</xdr:rowOff>
    </xdr:from>
    <xdr:to>
      <xdr:col>12</xdr:col>
      <xdr:colOff>12700</xdr:colOff>
      <xdr:row>14</xdr:row>
      <xdr:rowOff>25400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8356600" y="2540000"/>
          <a:ext cx="156210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 b="0" i="1" baseline="0">
              <a:ln>
                <a:noFill/>
              </a:ln>
              <a:solidFill>
                <a:srgbClr val="F0C32C"/>
              </a:solidFill>
              <a:latin typeface="Gill Sans Ultra Bold" panose="020B0A02020104020203" pitchFamily="34" charset="77"/>
            </a:rPr>
            <a:t>Ads investment left</a:t>
          </a:r>
        </a:p>
        <a:p>
          <a:endParaRPr lang="en-GB" sz="800" b="0" i="1" baseline="0">
            <a:ln>
              <a:noFill/>
            </a:ln>
            <a:solidFill>
              <a:srgbClr val="F0C32C"/>
            </a:solidFill>
            <a:latin typeface="Gill Sans Ultra Bold" panose="020B0A02020104020203" pitchFamily="34" charset="77"/>
          </a:endParaRPr>
        </a:p>
      </xdr:txBody>
    </xdr:sp>
    <xdr:clientData/>
  </xdr:twoCellAnchor>
  <xdr:twoCellAnchor>
    <xdr:from>
      <xdr:col>0</xdr:col>
      <xdr:colOff>622300</xdr:colOff>
      <xdr:row>29</xdr:row>
      <xdr:rowOff>152400</xdr:rowOff>
    </xdr:from>
    <xdr:to>
      <xdr:col>2</xdr:col>
      <xdr:colOff>279400</xdr:colOff>
      <xdr:row>31</xdr:row>
      <xdr:rowOff>12700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622300" y="5943600"/>
          <a:ext cx="13081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50" i="0" baseline="0">
              <a:ln>
                <a:noFill/>
              </a:ln>
              <a:solidFill>
                <a:srgbClr val="F0C32C"/>
              </a:solidFill>
              <a:latin typeface="Gill Sans Ultra Bold" panose="020B0A02020104020203" pitchFamily="34" charset="77"/>
            </a:rPr>
            <a:t>Cash In Hand</a:t>
          </a:r>
        </a:p>
      </xdr:txBody>
    </xdr:sp>
    <xdr:clientData/>
  </xdr:twoCellAnchor>
  <xdr:twoCellAnchor>
    <xdr:from>
      <xdr:col>0</xdr:col>
      <xdr:colOff>609600</xdr:colOff>
      <xdr:row>31</xdr:row>
      <xdr:rowOff>38100</xdr:rowOff>
    </xdr:from>
    <xdr:to>
      <xdr:col>2</xdr:col>
      <xdr:colOff>317500</xdr:colOff>
      <xdr:row>32</xdr:row>
      <xdr:rowOff>177800</xdr:rowOff>
    </xdr:to>
    <xdr:sp macro="" textlink="Category!N32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609600" y="6235700"/>
          <a:ext cx="135890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84B2A175-4069-E041-91DD-607CADD02A80}" type="TxLink">
            <a:rPr lang="en-US" sz="1200" b="0" i="0" u="none" strike="noStrike" baseline="0">
              <a:ln>
                <a:noFill/>
              </a:ln>
              <a:solidFill>
                <a:schemeClr val="bg1"/>
              </a:solidFill>
              <a:latin typeface="Arial Rounded MT Bold" panose="020F0704030504030204" pitchFamily="34" charset="77"/>
              <a:cs typeface="Calibri"/>
            </a:rPr>
            <a:pPr algn="ctr"/>
            <a:t>Rs442,000</a:t>
          </a:fld>
          <a:endParaRPr lang="en-GB" sz="2800" b="1" i="0" baseline="0">
            <a:ln>
              <a:noFill/>
            </a:ln>
            <a:solidFill>
              <a:schemeClr val="bg1"/>
            </a:solidFill>
            <a:latin typeface="Arial Rounded MT Bold" panose="020F0704030504030204" pitchFamily="34" charset="77"/>
            <a:cs typeface="Arial Black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FF924-4096-E243-9D13-17F06B9A37B5}">
  <sheetPr codeName="Sheet1"/>
  <dimension ref="A1:BD50"/>
  <sheetViews>
    <sheetView tabSelected="1" zoomScaleNormal="100" workbookViewId="0">
      <selection activeCell="B1" sqref="B1:B1048576"/>
    </sheetView>
  </sheetViews>
  <sheetFormatPr baseColWidth="10" defaultColWidth="0" defaultRowHeight="16" zeroHeight="1"/>
  <cols>
    <col min="1" max="22" width="10.83203125" customWidth="1"/>
    <col min="23" max="56" width="0" hidden="1" customWidth="1"/>
    <col min="57" max="16384" width="10.83203125" hidden="1"/>
  </cols>
  <sheetData>
    <row r="1" spans="1:56" ht="8" customHeight="1">
      <c r="A1" s="8"/>
      <c r="B1" s="8"/>
      <c r="C1" s="8"/>
      <c r="D1" s="9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</row>
    <row r="2" spans="1:56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</row>
    <row r="3" spans="1:56">
      <c r="A3" s="9"/>
      <c r="B3" s="9"/>
      <c r="C3" s="8"/>
      <c r="D3" s="9"/>
      <c r="E3" s="8"/>
      <c r="F3" s="9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</row>
    <row r="4" spans="1:56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</row>
    <row r="5" spans="1:56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</row>
    <row r="6" spans="1:5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</row>
    <row r="7" spans="1:56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</row>
    <row r="8" spans="1:56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</row>
    <row r="9" spans="1:56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</row>
    <row r="10" spans="1:56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</row>
    <row r="11" spans="1:56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</row>
    <row r="12" spans="1:56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</row>
    <row r="13" spans="1:56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</row>
    <row r="14" spans="1:56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</row>
    <row r="15" spans="1:56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</row>
    <row r="16" spans="1:5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</row>
    <row r="17" spans="1:56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</row>
    <row r="18" spans="1:56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</row>
    <row r="19" spans="1:56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</row>
    <row r="20" spans="1:56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</row>
    <row r="21" spans="1:56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</row>
    <row r="22" spans="1:56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</row>
    <row r="23" spans="1:56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</row>
    <row r="24" spans="1:56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</row>
    <row r="25" spans="1:56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</row>
    <row r="26" spans="1:5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</row>
    <row r="27" spans="1:56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</row>
    <row r="28" spans="1:56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</row>
    <row r="29" spans="1:56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</row>
    <row r="30" spans="1:56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</row>
    <row r="31" spans="1:56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</row>
    <row r="32" spans="1:56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</row>
    <row r="33" spans="1:56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</row>
    <row r="34" spans="1:56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</row>
    <row r="35" spans="1:56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</row>
    <row r="36" spans="1:5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</row>
    <row r="37" spans="1:56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</row>
    <row r="38" spans="1:56" hidden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</row>
    <row r="39" spans="1:56" hidden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</row>
    <row r="40" spans="1:56" hidden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</row>
    <row r="41" spans="1:56" hidden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</row>
    <row r="42" spans="1:56" hidden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</row>
    <row r="43" spans="1:56" hidden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</row>
    <row r="44" spans="1:56" hidden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</row>
    <row r="45" spans="1:56" hidden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</row>
    <row r="46" spans="1:56" hidden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</row>
    <row r="47" spans="1:56" hidden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</row>
    <row r="48" spans="1:56" hidden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</row>
    <row r="49" spans="1:56" hidden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</row>
    <row r="50" spans="1:56" hidden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</row>
  </sheetData>
  <sheetProtection selectLockedCells="1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3" name="Drop Down 3">
              <controlPr defaultSize="0" autoLine="0" autoPict="0">
                <anchor moveWithCells="1">
                  <from>
                    <xdr:col>1</xdr:col>
                    <xdr:colOff>50800</xdr:colOff>
                    <xdr:row>5</xdr:row>
                    <xdr:rowOff>0</xdr:rowOff>
                  </from>
                  <to>
                    <xdr:col>2</xdr:col>
                    <xdr:colOff>76200</xdr:colOff>
                    <xdr:row>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4" name="Drop Down 4">
              <controlPr defaultSize="0" autoLine="0" autoPict="0">
                <anchor moveWithCells="1">
                  <from>
                    <xdr:col>1</xdr:col>
                    <xdr:colOff>50800</xdr:colOff>
                    <xdr:row>6</xdr:row>
                    <xdr:rowOff>76200</xdr:rowOff>
                  </from>
                  <to>
                    <xdr:col>2</xdr:col>
                    <xdr:colOff>76200</xdr:colOff>
                    <xdr:row>7</xdr:row>
                    <xdr:rowOff>127000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23F89-A59B-554A-97D4-0DB1752ADAD5}">
  <sheetPr codeName="Sheet2"/>
  <dimension ref="A1:K596"/>
  <sheetViews>
    <sheetView showGridLines="0" zoomScale="137" workbookViewId="0">
      <selection activeCell="D14" sqref="D14"/>
    </sheetView>
  </sheetViews>
  <sheetFormatPr baseColWidth="10" defaultRowHeight="16"/>
  <cols>
    <col min="1" max="1" width="6.33203125" bestFit="1" customWidth="1"/>
    <col min="2" max="2" width="9.5" bestFit="1" customWidth="1"/>
    <col min="3" max="3" width="29.1640625" style="50" bestFit="1" customWidth="1"/>
    <col min="4" max="4" width="12.5" style="50" bestFit="1" customWidth="1"/>
    <col min="5" max="5" width="13.33203125" style="50" bestFit="1" customWidth="1"/>
    <col min="6" max="6" width="12" bestFit="1" customWidth="1"/>
    <col min="7" max="7" width="12.33203125" style="50" bestFit="1" customWidth="1"/>
    <col min="8" max="8" width="12.33203125" customWidth="1"/>
    <col min="9" max="9" width="11.6640625" customWidth="1"/>
  </cols>
  <sheetData>
    <row r="1" spans="1:11" s="4" customFormat="1" ht="17" thickTop="1">
      <c r="A1" s="21" t="s">
        <v>0</v>
      </c>
      <c r="B1" s="22" t="s">
        <v>1</v>
      </c>
      <c r="C1" s="44" t="s">
        <v>2</v>
      </c>
      <c r="D1" s="44" t="s">
        <v>3</v>
      </c>
      <c r="E1" s="44" t="s">
        <v>4</v>
      </c>
      <c r="F1" s="22" t="s">
        <v>6</v>
      </c>
      <c r="G1" s="44" t="s">
        <v>5</v>
      </c>
      <c r="H1" s="22" t="s">
        <v>7</v>
      </c>
      <c r="I1" s="7"/>
      <c r="J1" s="5"/>
    </row>
    <row r="2" spans="1:11">
      <c r="A2" s="10">
        <v>1</v>
      </c>
      <c r="B2" s="11" t="str">
        <f>IF(D2="","",IF(D2&gt;0,VLOOKUP(D2,Category!$A$2:$B$31,2,FALSE),"")&amp;"-"&amp;TEXT(COUNTIF('Product List'!$D$2:'Product List'!D2,'Product List'!D2),"000"))</f>
        <v>TB-001</v>
      </c>
      <c r="C2" s="45" t="s">
        <v>129</v>
      </c>
      <c r="D2" s="45" t="s">
        <v>8</v>
      </c>
      <c r="E2" s="45" t="s">
        <v>19</v>
      </c>
      <c r="F2" s="11">
        <f>Sheet4!G2</f>
        <v>1</v>
      </c>
      <c r="G2" s="45">
        <v>0</v>
      </c>
      <c r="H2" s="11" t="str">
        <f>IF(OR(F2="",G2=""),"",IF(F2&lt;=0,"Out of Stock",IF(F2&lt;=G2,"Low on Stock","In Stock")))</f>
        <v>In Stock</v>
      </c>
    </row>
    <row r="3" spans="1:11">
      <c r="A3" s="10">
        <f>IF(C3&gt;0,A2+1,"")</f>
        <v>2</v>
      </c>
      <c r="B3" s="11" t="str">
        <f>IF(D3="","",IF(D3&gt;0,VLOOKUP(D3,Category!$A$2:$B$31,2,FALSE),"")&amp;"-"&amp;TEXT(COUNTIF('Product List'!$D$2:'Product List'!D3,'Product List'!D3),"000"))</f>
        <v>TB-002</v>
      </c>
      <c r="C3" s="45" t="s">
        <v>128</v>
      </c>
      <c r="D3" s="45" t="s">
        <v>8</v>
      </c>
      <c r="E3" s="45" t="s">
        <v>19</v>
      </c>
      <c r="F3" s="11">
        <f>Sheet4!G3</f>
        <v>0</v>
      </c>
      <c r="G3" s="45">
        <v>0</v>
      </c>
      <c r="H3" s="11" t="str">
        <f t="shared" ref="H3:H66" si="0">IF(OR(F3="",G3=""),"",IF(F3&lt;=0,"Out of Stock",IF(F3&lt;=G3,"Low on Stock","In Stock")))</f>
        <v>Out of Stock</v>
      </c>
    </row>
    <row r="4" spans="1:11">
      <c r="A4" s="10">
        <f t="shared" ref="A4:A67" si="1">IF(C4&gt;0,A3+1,"")</f>
        <v>3</v>
      </c>
      <c r="B4" s="11" t="str">
        <f>IF(D4="","",IF(D4&gt;0,VLOOKUP(D4,Category!$A$2:$B$31,2,FALSE),"")&amp;"-"&amp;TEXT(COUNTIF('Product List'!$D$2:'Product List'!D4,'Product List'!D4),"000"))</f>
        <v>TB-003</v>
      </c>
      <c r="C4" s="45" t="s">
        <v>127</v>
      </c>
      <c r="D4" s="45" t="s">
        <v>8</v>
      </c>
      <c r="E4" s="45" t="s">
        <v>19</v>
      </c>
      <c r="F4" s="11">
        <f>Sheet4!G4</f>
        <v>1</v>
      </c>
      <c r="G4" s="45">
        <v>0</v>
      </c>
      <c r="H4" s="11" t="str">
        <f>IF(OR(F4="",G4=""),"",IF(F4&lt;=0,"Out of Stock",IF(F4&lt;=G4,"Low on Stock","In Stock")))</f>
        <v>In Stock</v>
      </c>
      <c r="J4" s="41"/>
      <c r="K4" s="41"/>
    </row>
    <row r="5" spans="1:11">
      <c r="A5" s="10">
        <f t="shared" si="1"/>
        <v>4</v>
      </c>
      <c r="B5" s="11" t="str">
        <f>IF(D5="","",IF(D5&gt;0,VLOOKUP(D5,Category!$A$2:$B$31,2,FALSE),"")&amp;"-"&amp;TEXT(COUNTIF('Product List'!$D$2:'Product List'!D5,'Product List'!D5),"000"))</f>
        <v>TB-004</v>
      </c>
      <c r="C5" s="45" t="s">
        <v>126</v>
      </c>
      <c r="D5" s="45" t="s">
        <v>8</v>
      </c>
      <c r="E5" s="45" t="s">
        <v>19</v>
      </c>
      <c r="F5" s="11">
        <f>Sheet4!G5</f>
        <v>1</v>
      </c>
      <c r="G5" s="45">
        <v>0</v>
      </c>
      <c r="H5" s="11" t="str">
        <f t="shared" si="0"/>
        <v>In Stock</v>
      </c>
      <c r="J5" s="41"/>
      <c r="K5" s="41"/>
    </row>
    <row r="6" spans="1:11">
      <c r="A6" s="10" t="str">
        <f t="shared" si="1"/>
        <v/>
      </c>
      <c r="B6" s="11" t="str">
        <f>IF(D6="","",IF(D6&gt;0,VLOOKUP(D6,Category!$A$2:$B$31,2,FALSE),"")&amp;"-"&amp;TEXT(COUNTIF('Product List'!$D$2:'Product List'!D6,'Product List'!D6),"000"))</f>
        <v/>
      </c>
      <c r="C6" s="46"/>
      <c r="D6" s="45"/>
      <c r="E6" s="45"/>
      <c r="F6" s="11" t="str">
        <f>Sheet4!G6</f>
        <v/>
      </c>
      <c r="G6" s="45"/>
      <c r="H6" s="11" t="str">
        <f t="shared" si="0"/>
        <v/>
      </c>
      <c r="J6" s="41"/>
      <c r="K6" s="41"/>
    </row>
    <row r="7" spans="1:11">
      <c r="A7" s="10" t="str">
        <f t="shared" si="1"/>
        <v/>
      </c>
      <c r="B7" s="11" t="str">
        <f>IF(D7="","",IF(D7&gt;0,VLOOKUP(D7,Category!$A$2:$B$31,2,FALSE),"")&amp;"-"&amp;TEXT(COUNTIF('Product List'!$D$2:'Product List'!D7,'Product List'!D7),"000"))</f>
        <v/>
      </c>
      <c r="C7" s="47"/>
      <c r="D7" s="45"/>
      <c r="E7" s="45"/>
      <c r="F7" s="11" t="str">
        <f>Sheet4!G7</f>
        <v/>
      </c>
      <c r="G7" s="45"/>
      <c r="H7" s="11" t="str">
        <f t="shared" si="0"/>
        <v/>
      </c>
      <c r="J7" s="41"/>
      <c r="K7" s="41"/>
    </row>
    <row r="8" spans="1:11">
      <c r="A8" s="10" t="str">
        <f t="shared" si="1"/>
        <v/>
      </c>
      <c r="B8" s="11" t="str">
        <f>IF(D8="","",IF(D8&gt;0,VLOOKUP(D8,Category!$A$2:$B$31,2,FALSE),"")&amp;"-"&amp;TEXT(COUNTIF('Product List'!$D$2:'Product List'!D8,'Product List'!D8),"000"))</f>
        <v/>
      </c>
      <c r="C8" s="45"/>
      <c r="D8" s="45"/>
      <c r="E8" s="45"/>
      <c r="F8" s="11" t="str">
        <f>Sheet4!G8</f>
        <v/>
      </c>
      <c r="G8" s="45"/>
      <c r="H8" s="11" t="str">
        <f t="shared" si="0"/>
        <v/>
      </c>
      <c r="J8" s="41"/>
      <c r="K8" s="41"/>
    </row>
    <row r="9" spans="1:11">
      <c r="A9" s="10" t="str">
        <f t="shared" si="1"/>
        <v/>
      </c>
      <c r="B9" s="11" t="str">
        <f>IF(D9="","",IF(D9&gt;0,VLOOKUP(D9,Category!$A$2:$B$31,2,FALSE),"")&amp;"-"&amp;TEXT(COUNTIF('Product List'!$D$2:'Product List'!D9,'Product List'!D9),"000"))</f>
        <v/>
      </c>
      <c r="C9" s="45"/>
      <c r="D9" s="45"/>
      <c r="E9" s="45"/>
      <c r="F9" s="11" t="str">
        <f>Sheet4!G9</f>
        <v/>
      </c>
      <c r="G9" s="45"/>
      <c r="H9" s="11" t="str">
        <f t="shared" si="0"/>
        <v/>
      </c>
      <c r="J9" s="41"/>
      <c r="K9" s="41"/>
    </row>
    <row r="10" spans="1:11">
      <c r="A10" s="10" t="str">
        <f t="shared" si="1"/>
        <v/>
      </c>
      <c r="B10" s="11" t="str">
        <f>IF(D10="","",IF(D10&gt;0,VLOOKUP(D10,Category!$A$2:$B$31,2,FALSE),"")&amp;"-"&amp;TEXT(COUNTIF('Product List'!$D$2:'Product List'!D10,'Product List'!D10),"000"))</f>
        <v/>
      </c>
      <c r="C10" s="48"/>
      <c r="D10" s="45"/>
      <c r="E10" s="45"/>
      <c r="F10" s="11" t="str">
        <f>Sheet4!G10</f>
        <v/>
      </c>
      <c r="G10" s="45"/>
      <c r="H10" s="11" t="str">
        <f t="shared" si="0"/>
        <v/>
      </c>
      <c r="J10" s="41"/>
      <c r="K10" s="41"/>
    </row>
    <row r="11" spans="1:11">
      <c r="A11" s="10" t="str">
        <f t="shared" si="1"/>
        <v/>
      </c>
      <c r="B11" s="11" t="str">
        <f>IF(D11="","",IF(D11&gt;0,VLOOKUP(D11,Category!$A$2:$B$31,2,FALSE),"")&amp;"-"&amp;TEXT(COUNTIF('Product List'!$D$2:'Product List'!D11,'Product List'!D11),"000"))</f>
        <v/>
      </c>
      <c r="C11" s="45"/>
      <c r="D11" s="45"/>
      <c r="E11" s="45"/>
      <c r="F11" s="11" t="str">
        <f>Sheet4!G11</f>
        <v/>
      </c>
      <c r="G11" s="45"/>
      <c r="H11" s="11" t="str">
        <f t="shared" si="0"/>
        <v/>
      </c>
      <c r="J11" s="41"/>
      <c r="K11" s="41"/>
    </row>
    <row r="12" spans="1:11">
      <c r="A12" s="10" t="str">
        <f t="shared" si="1"/>
        <v/>
      </c>
      <c r="B12" s="11" t="str">
        <f>IF(D12="","",IF(D12&gt;0,VLOOKUP(D12,Category!$A$2:$B$31,2,FALSE),"")&amp;"-"&amp;TEXT(COUNTIF('Product List'!$D$2:'Product List'!D12,'Product List'!D12),"000"))</f>
        <v/>
      </c>
      <c r="C12" s="49"/>
      <c r="D12" s="45"/>
      <c r="E12" s="45"/>
      <c r="F12" s="11" t="str">
        <f>Sheet4!G12</f>
        <v/>
      </c>
      <c r="G12" s="45"/>
      <c r="H12" s="11" t="str">
        <f t="shared" si="0"/>
        <v/>
      </c>
      <c r="J12" s="41"/>
      <c r="K12" s="41"/>
    </row>
    <row r="13" spans="1:11">
      <c r="A13" s="10" t="str">
        <f t="shared" si="1"/>
        <v/>
      </c>
      <c r="B13" s="11" t="str">
        <f>IF(D13="","",IF(D13&gt;0,VLOOKUP(D13,Category!$A$2:$B$31,2,FALSE),"")&amp;"-"&amp;TEXT(COUNTIF('Product List'!$D$2:'Product List'!D13,'Product List'!D13),"000"))</f>
        <v/>
      </c>
      <c r="C13" s="49"/>
      <c r="D13" s="45"/>
      <c r="E13" s="45"/>
      <c r="F13" s="11" t="str">
        <f>Sheet4!G13</f>
        <v/>
      </c>
      <c r="G13" s="45"/>
      <c r="H13" s="11" t="str">
        <f t="shared" si="0"/>
        <v/>
      </c>
      <c r="J13" s="41"/>
      <c r="K13" s="41"/>
    </row>
    <row r="14" spans="1:11">
      <c r="A14" s="10" t="str">
        <f t="shared" si="1"/>
        <v/>
      </c>
      <c r="B14" s="11" t="str">
        <f>IF(D14="","",IF(D14&gt;0,VLOOKUP(D14,Category!$A$2:$B$31,2,FALSE),"")&amp;"-"&amp;TEXT(COUNTIF('Product List'!$D$2:'Product List'!D14,'Product List'!D14),"000"))</f>
        <v/>
      </c>
      <c r="C14" s="49"/>
      <c r="D14" s="45"/>
      <c r="E14" s="45"/>
      <c r="F14" s="11" t="str">
        <f>Sheet4!G14</f>
        <v/>
      </c>
      <c r="G14" s="45"/>
      <c r="H14" s="11" t="str">
        <f t="shared" si="0"/>
        <v/>
      </c>
      <c r="J14" s="41"/>
      <c r="K14" s="41"/>
    </row>
    <row r="15" spans="1:11">
      <c r="A15" s="10" t="str">
        <f t="shared" si="1"/>
        <v/>
      </c>
      <c r="B15" s="11" t="str">
        <f>IF(D15="","",IF(D15&gt;0,VLOOKUP(D15,Category!$A$2:$B$31,2,FALSE),"")&amp;"-"&amp;TEXT(COUNTIF('Product List'!$D$2:'Product List'!D15,'Product List'!D15),"000"))</f>
        <v/>
      </c>
      <c r="C15" s="48"/>
      <c r="D15" s="45"/>
      <c r="E15" s="45"/>
      <c r="F15" s="11" t="str">
        <f>Sheet4!G15</f>
        <v/>
      </c>
      <c r="G15" s="45"/>
      <c r="H15" s="11" t="str">
        <f t="shared" si="0"/>
        <v/>
      </c>
    </row>
    <row r="16" spans="1:11">
      <c r="A16" s="10" t="str">
        <f t="shared" si="1"/>
        <v/>
      </c>
      <c r="B16" s="11" t="str">
        <f>IF(D16="","",IF(D16&gt;0,VLOOKUP(D16,Category!$A$2:$B$31,2,FALSE),"")&amp;"-"&amp;TEXT(COUNTIF('Product List'!$D$2:'Product List'!D16,'Product List'!D16),"000"))</f>
        <v/>
      </c>
      <c r="C16" s="45"/>
      <c r="D16" s="45"/>
      <c r="E16" s="45"/>
      <c r="F16" s="11" t="str">
        <f>Sheet4!G16</f>
        <v/>
      </c>
      <c r="G16" s="45"/>
      <c r="H16" s="11" t="str">
        <f t="shared" si="0"/>
        <v/>
      </c>
    </row>
    <row r="17" spans="1:8">
      <c r="A17" s="10" t="str">
        <f t="shared" si="1"/>
        <v/>
      </c>
      <c r="B17" s="11" t="str">
        <f>IF(D17="","",IF(D17&gt;0,VLOOKUP(D17,Category!$A$2:$B$31,2,FALSE),"")&amp;"-"&amp;TEXT(COUNTIF('Product List'!$D$2:'Product List'!D17,'Product List'!D17),"000"))</f>
        <v/>
      </c>
      <c r="C17" s="45"/>
      <c r="D17" s="45"/>
      <c r="E17" s="45"/>
      <c r="F17" s="11" t="str">
        <f>Sheet4!G17</f>
        <v/>
      </c>
      <c r="G17" s="45"/>
      <c r="H17" s="11" t="str">
        <f t="shared" si="0"/>
        <v/>
      </c>
    </row>
    <row r="18" spans="1:8">
      <c r="A18" s="10" t="str">
        <f t="shared" si="1"/>
        <v/>
      </c>
      <c r="B18" s="11" t="str">
        <f>IF(D18="","",IF(D18&gt;0,VLOOKUP(D18,Category!$A$2:$B$31,2,FALSE),"")&amp;"-"&amp;TEXT(COUNTIF('Product List'!$D$2:'Product List'!D18,'Product List'!D18),"000"))</f>
        <v/>
      </c>
      <c r="C18" s="45"/>
      <c r="D18" s="45"/>
      <c r="E18" s="45"/>
      <c r="F18" s="11" t="str">
        <f>Sheet4!G18</f>
        <v/>
      </c>
      <c r="G18" s="45"/>
      <c r="H18" s="11" t="str">
        <f t="shared" si="0"/>
        <v/>
      </c>
    </row>
    <row r="19" spans="1:8">
      <c r="A19" s="10" t="str">
        <f t="shared" si="1"/>
        <v/>
      </c>
      <c r="B19" s="11" t="str">
        <f>IF(D19="","",IF(D19&gt;0,VLOOKUP(D19,Category!$A$2:$B$31,2,FALSE),"")&amp;"-"&amp;TEXT(COUNTIF('Product List'!$D$2:'Product List'!D19,'Product List'!D19),"000"))</f>
        <v/>
      </c>
      <c r="C19" s="45"/>
      <c r="D19" s="45"/>
      <c r="E19" s="45"/>
      <c r="F19" s="11" t="str">
        <f>Sheet4!G19</f>
        <v/>
      </c>
      <c r="G19" s="45"/>
      <c r="H19" s="11" t="str">
        <f t="shared" si="0"/>
        <v/>
      </c>
    </row>
    <row r="20" spans="1:8">
      <c r="A20" s="10" t="str">
        <f t="shared" si="1"/>
        <v/>
      </c>
      <c r="B20" s="11" t="str">
        <f>IF(D20="","",IF(D20&gt;0,VLOOKUP(D20,Category!$A$2:$B$31,2,FALSE),"")&amp;"-"&amp;TEXT(COUNTIF('Product List'!$D$2:'Product List'!D20,'Product List'!D20),"000"))</f>
        <v/>
      </c>
      <c r="C20" s="45"/>
      <c r="D20" s="45"/>
      <c r="E20" s="45"/>
      <c r="F20" s="11" t="str">
        <f>Sheet4!G20</f>
        <v/>
      </c>
      <c r="G20" s="45"/>
      <c r="H20" s="11" t="str">
        <f t="shared" si="0"/>
        <v/>
      </c>
    </row>
    <row r="21" spans="1:8">
      <c r="A21" s="10" t="str">
        <f t="shared" si="1"/>
        <v/>
      </c>
      <c r="B21" s="11" t="str">
        <f>IF(D21="","",IF(D21&gt;0,VLOOKUP(D21,Category!$A$2:$B$31,2,FALSE),"")&amp;"-"&amp;TEXT(COUNTIF('Product List'!$D$2:'Product List'!D21,'Product List'!D21),"000"))</f>
        <v/>
      </c>
      <c r="C21" s="48"/>
      <c r="D21" s="45"/>
      <c r="E21" s="45"/>
      <c r="F21" s="11" t="str">
        <f>Sheet4!G21</f>
        <v/>
      </c>
      <c r="G21" s="45"/>
      <c r="H21" s="11" t="str">
        <f t="shared" si="0"/>
        <v/>
      </c>
    </row>
    <row r="22" spans="1:8">
      <c r="A22" s="10" t="str">
        <f t="shared" si="1"/>
        <v/>
      </c>
      <c r="B22" s="11" t="str">
        <f>IF(D22="","",IF(D22&gt;0,VLOOKUP(D22,Category!$A$2:$B$31,2,FALSE),"")&amp;"-"&amp;TEXT(COUNTIF('Product List'!$D$2:'Product List'!D22,'Product List'!D22),"000"))</f>
        <v/>
      </c>
      <c r="C22" s="45"/>
      <c r="D22" s="45"/>
      <c r="E22" s="45"/>
      <c r="F22" s="11" t="str">
        <f>Sheet4!G22</f>
        <v/>
      </c>
      <c r="G22" s="45"/>
      <c r="H22" s="11" t="str">
        <f t="shared" si="0"/>
        <v/>
      </c>
    </row>
    <row r="23" spans="1:8">
      <c r="A23" s="10" t="str">
        <f t="shared" si="1"/>
        <v/>
      </c>
      <c r="B23" s="11" t="str">
        <f>IF(D23="","",IF(D23&gt;0,VLOOKUP(D23,Category!$A$2:$B$31,2,FALSE),"")&amp;"-"&amp;TEXT(COUNTIF('Product List'!$D$2:'Product List'!D23,'Product List'!D23),"000"))</f>
        <v/>
      </c>
      <c r="C23" s="45"/>
      <c r="D23" s="45"/>
      <c r="E23" s="45"/>
      <c r="F23" s="11" t="str">
        <f>Sheet4!G23</f>
        <v/>
      </c>
      <c r="G23" s="45"/>
      <c r="H23" s="11" t="str">
        <f t="shared" si="0"/>
        <v/>
      </c>
    </row>
    <row r="24" spans="1:8">
      <c r="A24" s="10" t="str">
        <f t="shared" si="1"/>
        <v/>
      </c>
      <c r="B24" s="11" t="str">
        <f>IF(D24="","",IF(D24&gt;0,VLOOKUP(D24,Category!$A$2:$B$31,2,FALSE),"")&amp;"-"&amp;TEXT(COUNTIF('Product List'!$D$2:'Product List'!D24,'Product List'!D24),"000"))</f>
        <v/>
      </c>
      <c r="C24" s="45"/>
      <c r="D24" s="45"/>
      <c r="E24" s="45"/>
      <c r="F24" s="11" t="str">
        <f>Sheet4!G24</f>
        <v/>
      </c>
      <c r="G24" s="45"/>
      <c r="H24" s="11" t="str">
        <f t="shared" si="0"/>
        <v/>
      </c>
    </row>
    <row r="25" spans="1:8">
      <c r="A25" s="10" t="str">
        <f t="shared" si="1"/>
        <v/>
      </c>
      <c r="B25" s="11" t="str">
        <f>IF(D25="","",IF(D25&gt;0,VLOOKUP(D25,Category!$A$2:$B$31,2,FALSE),"")&amp;"-"&amp;TEXT(COUNTIF('Product List'!$D$2:'Product List'!D25,'Product List'!D25),"000"))</f>
        <v/>
      </c>
      <c r="C25" s="45"/>
      <c r="D25" s="45"/>
      <c r="E25" s="45"/>
      <c r="F25" s="11" t="str">
        <f>Sheet4!G25</f>
        <v/>
      </c>
      <c r="G25" s="45"/>
      <c r="H25" s="11" t="str">
        <f t="shared" si="0"/>
        <v/>
      </c>
    </row>
    <row r="26" spans="1:8">
      <c r="A26" s="10" t="str">
        <f t="shared" si="1"/>
        <v/>
      </c>
      <c r="B26" s="11" t="str">
        <f>IF(D26="","",IF(D26&gt;0,VLOOKUP(D26,Category!$A$2:$B$31,2,FALSE),"")&amp;"-"&amp;TEXT(COUNTIF('Product List'!$D$2:'Product List'!D26,'Product List'!D26),"000"))</f>
        <v/>
      </c>
      <c r="C26" s="45"/>
      <c r="D26" s="45"/>
      <c r="E26" s="45"/>
      <c r="F26" s="11" t="str">
        <f>Sheet4!G26</f>
        <v/>
      </c>
      <c r="G26" s="45"/>
      <c r="H26" s="11" t="str">
        <f t="shared" si="0"/>
        <v/>
      </c>
    </row>
    <row r="27" spans="1:8">
      <c r="A27" s="10" t="str">
        <f t="shared" si="1"/>
        <v/>
      </c>
      <c r="B27" s="11" t="str">
        <f>IF(D27="","",IF(D27&gt;0,VLOOKUP(D27,Category!$A$2:$B$31,2,FALSE),"")&amp;"-"&amp;TEXT(COUNTIF('Product List'!$D$2:'Product List'!D27,'Product List'!D27),"000"))</f>
        <v/>
      </c>
      <c r="C27" s="45"/>
      <c r="D27" s="45"/>
      <c r="E27" s="45"/>
      <c r="F27" s="11" t="str">
        <f>Sheet4!G27</f>
        <v/>
      </c>
      <c r="G27" s="45"/>
      <c r="H27" s="11" t="str">
        <f t="shared" si="0"/>
        <v/>
      </c>
    </row>
    <row r="28" spans="1:8">
      <c r="A28" s="10" t="str">
        <f t="shared" si="1"/>
        <v/>
      </c>
      <c r="B28" s="11" t="str">
        <f>IF(D28="","",IF(D28&gt;0,VLOOKUP(D28,Category!$A$2:$B$31,2,FALSE),"")&amp;"-"&amp;TEXT(COUNTIF('Product List'!$D$2:'Product List'!D28,'Product List'!D28),"000"))</f>
        <v/>
      </c>
      <c r="C28" s="45"/>
      <c r="D28" s="45"/>
      <c r="E28" s="45"/>
      <c r="F28" s="11" t="str">
        <f>Sheet4!G28</f>
        <v/>
      </c>
      <c r="G28" s="45"/>
      <c r="H28" s="11" t="str">
        <f t="shared" si="0"/>
        <v/>
      </c>
    </row>
    <row r="29" spans="1:8">
      <c r="A29" s="10" t="str">
        <f t="shared" si="1"/>
        <v/>
      </c>
      <c r="B29" s="11" t="str">
        <f>IF(D29="","",IF(D29&gt;0,VLOOKUP(D29,Category!$A$2:$B$31,2,FALSE),"")&amp;"-"&amp;TEXT(COUNTIF('Product List'!$D$2:'Product List'!D29,'Product List'!D29),"000"))</f>
        <v/>
      </c>
      <c r="C29" s="45"/>
      <c r="D29" s="45"/>
      <c r="E29" s="45"/>
      <c r="F29" s="11" t="str">
        <f>Sheet4!G29</f>
        <v/>
      </c>
      <c r="G29" s="45"/>
      <c r="H29" s="11" t="str">
        <f t="shared" si="0"/>
        <v/>
      </c>
    </row>
    <row r="30" spans="1:8">
      <c r="A30" s="10" t="str">
        <f t="shared" si="1"/>
        <v/>
      </c>
      <c r="B30" s="11" t="str">
        <f>IF(D30="","",IF(D30&gt;0,VLOOKUP(D30,Category!$A$2:$B$31,2,FALSE),"")&amp;"-"&amp;TEXT(COUNTIF('Product List'!$D$2:'Product List'!D30,'Product List'!D30),"000"))</f>
        <v/>
      </c>
      <c r="C30" s="45"/>
      <c r="D30" s="45"/>
      <c r="E30" s="45"/>
      <c r="F30" s="11" t="str">
        <f>Sheet4!G30</f>
        <v/>
      </c>
      <c r="G30" s="45"/>
      <c r="H30" s="11" t="str">
        <f t="shared" si="0"/>
        <v/>
      </c>
    </row>
    <row r="31" spans="1:8">
      <c r="A31" s="10" t="str">
        <f t="shared" si="1"/>
        <v/>
      </c>
      <c r="B31" s="11" t="str">
        <f>IF(D31="","",IF(D31&gt;0,VLOOKUP(D31,Category!$A$2:$B$31,2,FALSE),"")&amp;"-"&amp;TEXT(COUNTIF('Product List'!$D$2:'Product List'!D31,'Product List'!D31),"000"))</f>
        <v/>
      </c>
      <c r="C31" s="45"/>
      <c r="D31" s="45"/>
      <c r="E31" s="45"/>
      <c r="F31" s="11" t="str">
        <f>Sheet4!G31</f>
        <v/>
      </c>
      <c r="G31" s="45"/>
      <c r="H31" s="11" t="str">
        <f t="shared" si="0"/>
        <v/>
      </c>
    </row>
    <row r="32" spans="1:8">
      <c r="A32" s="10" t="str">
        <f t="shared" si="1"/>
        <v/>
      </c>
      <c r="B32" s="11" t="str">
        <f>IF(D32="","",IF(D32&gt;0,VLOOKUP(D32,Category!$A$2:$B$31,2,FALSE),"")&amp;"-"&amp;TEXT(COUNTIF('Product List'!$D$2:'Product List'!D32,'Product List'!D32),"000"))</f>
        <v/>
      </c>
      <c r="C32" s="45"/>
      <c r="D32" s="45"/>
      <c r="E32" s="45"/>
      <c r="F32" s="11" t="str">
        <f>Sheet4!G32</f>
        <v/>
      </c>
      <c r="G32" s="45"/>
      <c r="H32" s="11" t="str">
        <f t="shared" si="0"/>
        <v/>
      </c>
    </row>
    <row r="33" spans="1:8">
      <c r="A33" s="10" t="str">
        <f t="shared" si="1"/>
        <v/>
      </c>
      <c r="B33" s="11" t="str">
        <f>IF(D33="","",IF(D33&gt;0,VLOOKUP(D33,Category!$A$2:$B$31,2,FALSE),"")&amp;"-"&amp;TEXT(COUNTIF('Product List'!$D$2:'Product List'!D33,'Product List'!D33),"000"))</f>
        <v/>
      </c>
      <c r="C33" s="45"/>
      <c r="D33" s="45"/>
      <c r="E33" s="45"/>
      <c r="F33" s="11" t="str">
        <f>Sheet4!G33</f>
        <v/>
      </c>
      <c r="G33" s="45"/>
      <c r="H33" s="11" t="str">
        <f t="shared" si="0"/>
        <v/>
      </c>
    </row>
    <row r="34" spans="1:8">
      <c r="A34" s="10" t="str">
        <f t="shared" si="1"/>
        <v/>
      </c>
      <c r="B34" s="11" t="str">
        <f>IF(D34="","",IF(D34&gt;0,VLOOKUP(D34,Category!$A$2:$B$31,2,FALSE),"")&amp;"-"&amp;TEXT(COUNTIF('Product List'!$D$2:'Product List'!D34,'Product List'!D34),"000"))</f>
        <v/>
      </c>
      <c r="C34" s="45"/>
      <c r="D34" s="45"/>
      <c r="E34" s="45"/>
      <c r="F34" s="11" t="str">
        <f>Sheet4!G34</f>
        <v/>
      </c>
      <c r="G34" s="45"/>
      <c r="H34" s="11" t="str">
        <f t="shared" si="0"/>
        <v/>
      </c>
    </row>
    <row r="35" spans="1:8">
      <c r="A35" s="10" t="str">
        <f t="shared" si="1"/>
        <v/>
      </c>
      <c r="B35" s="11" t="str">
        <f>IF(D35="","",IF(D35&gt;0,VLOOKUP(D35,Category!$A$2:$B$31,2,FALSE),"")&amp;"-"&amp;TEXT(COUNTIF('Product List'!$D$2:'Product List'!D35,'Product List'!D35),"000"))</f>
        <v/>
      </c>
      <c r="C35" s="45"/>
      <c r="D35" s="45"/>
      <c r="E35" s="45"/>
      <c r="F35" s="11" t="str">
        <f>Sheet4!G35</f>
        <v/>
      </c>
      <c r="G35" s="45"/>
      <c r="H35" s="11" t="str">
        <f t="shared" si="0"/>
        <v/>
      </c>
    </row>
    <row r="36" spans="1:8">
      <c r="A36" s="10" t="str">
        <f t="shared" si="1"/>
        <v/>
      </c>
      <c r="B36" s="11" t="str">
        <f>IF(D36="","",IF(D36&gt;0,VLOOKUP(D36,Category!$A$2:$B$31,2,FALSE),"")&amp;"-"&amp;TEXT(COUNTIF('Product List'!$D$2:'Product List'!D36,'Product List'!D36),"000"))</f>
        <v/>
      </c>
      <c r="C36" s="45"/>
      <c r="D36" s="45"/>
      <c r="E36" s="45"/>
      <c r="F36" s="11" t="str">
        <f>Sheet4!G36</f>
        <v/>
      </c>
      <c r="G36" s="45"/>
      <c r="H36" s="11" t="str">
        <f t="shared" si="0"/>
        <v/>
      </c>
    </row>
    <row r="37" spans="1:8">
      <c r="A37" s="10" t="str">
        <f t="shared" si="1"/>
        <v/>
      </c>
      <c r="B37" s="11" t="str">
        <f>IF(D37="","",IF(D37&gt;0,VLOOKUP(D37,Category!$A$2:$B$31,2,FALSE),"")&amp;"-"&amp;TEXT(COUNTIF('Product List'!$D$2:'Product List'!D37,'Product List'!D37),"000"))</f>
        <v/>
      </c>
      <c r="C37" s="45"/>
      <c r="D37" s="45"/>
      <c r="E37" s="45"/>
      <c r="F37" s="11" t="str">
        <f>Sheet4!G37</f>
        <v/>
      </c>
      <c r="G37" s="45"/>
      <c r="H37" s="11" t="str">
        <f t="shared" si="0"/>
        <v/>
      </c>
    </row>
    <row r="38" spans="1:8">
      <c r="A38" s="10" t="str">
        <f t="shared" si="1"/>
        <v/>
      </c>
      <c r="B38" s="11" t="str">
        <f>IF(D38="","",IF(D38&gt;0,VLOOKUP(D38,Category!$A$2:$B$31,2,FALSE),"")&amp;"-"&amp;TEXT(COUNTIF('Product List'!$D$2:'Product List'!D38,'Product List'!D38),"000"))</f>
        <v/>
      </c>
      <c r="C38" s="45"/>
      <c r="D38" s="45"/>
      <c r="E38" s="45"/>
      <c r="F38" s="11" t="str">
        <f>Sheet4!G38</f>
        <v/>
      </c>
      <c r="G38" s="45"/>
      <c r="H38" s="11" t="str">
        <f t="shared" si="0"/>
        <v/>
      </c>
    </row>
    <row r="39" spans="1:8">
      <c r="A39" s="10" t="str">
        <f t="shared" si="1"/>
        <v/>
      </c>
      <c r="B39" s="11" t="str">
        <f>IF(D39="","",IF(D39&gt;0,VLOOKUP(D39,Category!$A$2:$B$31,2,FALSE),"")&amp;"-"&amp;TEXT(COUNTIF('Product List'!$D$2:'Product List'!D39,'Product List'!D39),"000"))</f>
        <v/>
      </c>
      <c r="C39" s="45"/>
      <c r="D39" s="45"/>
      <c r="E39" s="45"/>
      <c r="F39" s="11" t="str">
        <f>Sheet4!G39</f>
        <v/>
      </c>
      <c r="G39" s="45"/>
      <c r="H39" s="11" t="str">
        <f t="shared" si="0"/>
        <v/>
      </c>
    </row>
    <row r="40" spans="1:8">
      <c r="A40" s="10" t="str">
        <f t="shared" si="1"/>
        <v/>
      </c>
      <c r="B40" s="11" t="str">
        <f>IF(D40="","",IF(D40&gt;0,VLOOKUP(D40,Category!$A$2:$B$31,2,FALSE),"")&amp;"-"&amp;TEXT(COUNTIF('Product List'!$D$2:'Product List'!D40,'Product List'!D40),"000"))</f>
        <v/>
      </c>
      <c r="C40" s="45"/>
      <c r="D40" s="45"/>
      <c r="E40" s="45"/>
      <c r="F40" s="11" t="str">
        <f>Sheet4!G40</f>
        <v/>
      </c>
      <c r="G40" s="45"/>
      <c r="H40" s="11" t="str">
        <f t="shared" si="0"/>
        <v/>
      </c>
    </row>
    <row r="41" spans="1:8">
      <c r="A41" s="10" t="str">
        <f t="shared" si="1"/>
        <v/>
      </c>
      <c r="B41" s="11" t="str">
        <f>IF(D41="","",IF(D41&gt;0,VLOOKUP(D41,Category!$A$2:$B$31,2,FALSE),"")&amp;"-"&amp;TEXT(COUNTIF('Product List'!$D$2:'Product List'!D41,'Product List'!D41),"000"))</f>
        <v/>
      </c>
      <c r="C41" s="45"/>
      <c r="D41" s="45"/>
      <c r="E41" s="45"/>
      <c r="F41" s="11" t="str">
        <f>Sheet4!G41</f>
        <v/>
      </c>
      <c r="G41" s="45"/>
      <c r="H41" s="11" t="str">
        <f t="shared" si="0"/>
        <v/>
      </c>
    </row>
    <row r="42" spans="1:8">
      <c r="A42" s="10" t="str">
        <f t="shared" si="1"/>
        <v/>
      </c>
      <c r="B42" s="11" t="str">
        <f>IF(D42="","",IF(D42&gt;0,VLOOKUP(D42,Category!$A$2:$B$31,2,FALSE),"")&amp;"-"&amp;TEXT(COUNTIF('Product List'!$D$2:'Product List'!D42,'Product List'!D42),"000"))</f>
        <v/>
      </c>
      <c r="C42" s="45"/>
      <c r="D42" s="45"/>
      <c r="E42" s="45"/>
      <c r="F42" s="11" t="str">
        <f>Sheet4!G42</f>
        <v/>
      </c>
      <c r="G42" s="45"/>
      <c r="H42" s="11" t="str">
        <f t="shared" si="0"/>
        <v/>
      </c>
    </row>
    <row r="43" spans="1:8">
      <c r="A43" s="10" t="str">
        <f t="shared" si="1"/>
        <v/>
      </c>
      <c r="B43" s="11" t="str">
        <f>IF(D43="","",IF(D43&gt;0,VLOOKUP(D43,Category!$A$2:$B$31,2,FALSE),"")&amp;"-"&amp;TEXT(COUNTIF('Product List'!$D$2:'Product List'!D43,'Product List'!D43),"000"))</f>
        <v/>
      </c>
      <c r="C43" s="45"/>
      <c r="D43" s="45"/>
      <c r="E43" s="45"/>
      <c r="F43" s="11" t="str">
        <f>Sheet4!G43</f>
        <v/>
      </c>
      <c r="G43" s="45"/>
      <c r="H43" s="11" t="str">
        <f t="shared" si="0"/>
        <v/>
      </c>
    </row>
    <row r="44" spans="1:8">
      <c r="A44" s="10" t="str">
        <f t="shared" si="1"/>
        <v/>
      </c>
      <c r="B44" s="11" t="str">
        <f>IF(D44="","",IF(D44&gt;0,VLOOKUP(D44,Category!$A$2:$B$31,2,FALSE),"")&amp;"-"&amp;TEXT(COUNTIF('Product List'!$D$2:'Product List'!D44,'Product List'!D44),"000"))</f>
        <v/>
      </c>
      <c r="C44" s="45"/>
      <c r="D44" s="45"/>
      <c r="E44" s="45"/>
      <c r="F44" s="11" t="str">
        <f>Sheet4!G44</f>
        <v/>
      </c>
      <c r="G44" s="45"/>
      <c r="H44" s="11" t="str">
        <f t="shared" si="0"/>
        <v/>
      </c>
    </row>
    <row r="45" spans="1:8">
      <c r="A45" s="10" t="str">
        <f t="shared" si="1"/>
        <v/>
      </c>
      <c r="B45" s="11" t="str">
        <f>IF(D45="","",IF(D45&gt;0,VLOOKUP(D45,Category!$A$2:$B$31,2,FALSE),"")&amp;"-"&amp;TEXT(COUNTIF('Product List'!$D$2:'Product List'!D45,'Product List'!D45),"000"))</f>
        <v/>
      </c>
      <c r="C45" s="45"/>
      <c r="D45" s="45"/>
      <c r="E45" s="45"/>
      <c r="F45" s="11" t="str">
        <f>Sheet4!G45</f>
        <v/>
      </c>
      <c r="G45" s="45"/>
      <c r="H45" s="11" t="str">
        <f t="shared" si="0"/>
        <v/>
      </c>
    </row>
    <row r="46" spans="1:8">
      <c r="A46" s="10" t="str">
        <f t="shared" si="1"/>
        <v/>
      </c>
      <c r="B46" s="11" t="str">
        <f>IF(D46="","",IF(D46&gt;0,VLOOKUP(D46,Category!$A$2:$B$31,2,FALSE),"")&amp;"-"&amp;TEXT(COUNTIF('Product List'!$D$2:'Product List'!D46,'Product List'!D46),"000"))</f>
        <v/>
      </c>
      <c r="C46" s="45"/>
      <c r="D46" s="45"/>
      <c r="E46" s="45"/>
      <c r="F46" s="11" t="str">
        <f>Sheet4!G46</f>
        <v/>
      </c>
      <c r="G46" s="45"/>
      <c r="H46" s="11" t="str">
        <f t="shared" si="0"/>
        <v/>
      </c>
    </row>
    <row r="47" spans="1:8">
      <c r="A47" s="10" t="str">
        <f t="shared" si="1"/>
        <v/>
      </c>
      <c r="B47" s="11" t="str">
        <f>IF(D47="","",IF(D47&gt;0,VLOOKUP(D47,Category!$A$2:$B$31,2,FALSE),"")&amp;"-"&amp;TEXT(COUNTIF('Product List'!$D$2:'Product List'!D47,'Product List'!D47),"000"))</f>
        <v/>
      </c>
      <c r="C47" s="45"/>
      <c r="D47" s="45"/>
      <c r="E47" s="45"/>
      <c r="F47" s="11" t="str">
        <f>Sheet4!G47</f>
        <v/>
      </c>
      <c r="G47" s="45"/>
      <c r="H47" s="11" t="str">
        <f t="shared" si="0"/>
        <v/>
      </c>
    </row>
    <row r="48" spans="1:8">
      <c r="A48" s="10" t="str">
        <f t="shared" si="1"/>
        <v/>
      </c>
      <c r="B48" s="11" t="str">
        <f>IF(D48="","",IF(D48&gt;0,VLOOKUP(D48,Category!$A$2:$B$31,2,FALSE),"")&amp;"-"&amp;TEXT(COUNTIF('Product List'!$D$2:'Product List'!D48,'Product List'!D48),"000"))</f>
        <v/>
      </c>
      <c r="C48" s="45"/>
      <c r="D48" s="45"/>
      <c r="E48" s="45"/>
      <c r="F48" s="11" t="str">
        <f>Sheet4!G48</f>
        <v/>
      </c>
      <c r="G48" s="45"/>
      <c r="H48" s="11" t="str">
        <f t="shared" si="0"/>
        <v/>
      </c>
    </row>
    <row r="49" spans="1:8">
      <c r="A49" s="10" t="str">
        <f t="shared" si="1"/>
        <v/>
      </c>
      <c r="B49" s="11" t="str">
        <f>IF(D49="","",IF(D49&gt;0,VLOOKUP(D49,Category!$A$2:$B$31,2,FALSE),"")&amp;"-"&amp;TEXT(COUNTIF('Product List'!$D$2:'Product List'!D49,'Product List'!D49),"000"))</f>
        <v/>
      </c>
      <c r="C49" s="45"/>
      <c r="D49" s="45"/>
      <c r="E49" s="45"/>
      <c r="F49" s="11" t="str">
        <f>Sheet4!G49</f>
        <v/>
      </c>
      <c r="G49" s="45"/>
      <c r="H49" s="11" t="str">
        <f t="shared" si="0"/>
        <v/>
      </c>
    </row>
    <row r="50" spans="1:8">
      <c r="A50" s="10" t="str">
        <f t="shared" si="1"/>
        <v/>
      </c>
      <c r="B50" s="11" t="str">
        <f>IF(D50="","",IF(D50&gt;0,VLOOKUP(D50,Category!$A$2:$B$31,2,FALSE),"")&amp;"-"&amp;TEXT(COUNTIF('Product List'!$D$2:'Product List'!D50,'Product List'!D50),"000"))</f>
        <v/>
      </c>
      <c r="C50" s="45"/>
      <c r="D50" s="45"/>
      <c r="E50" s="45"/>
      <c r="F50" s="11" t="str">
        <f>Sheet4!G50</f>
        <v/>
      </c>
      <c r="G50" s="45"/>
      <c r="H50" s="11" t="str">
        <f t="shared" si="0"/>
        <v/>
      </c>
    </row>
    <row r="51" spans="1:8">
      <c r="A51" s="10" t="str">
        <f t="shared" si="1"/>
        <v/>
      </c>
      <c r="B51" s="11" t="str">
        <f>IF(D51="","",IF(D51&gt;0,VLOOKUP(D51,Category!$A$2:$B$31,2,FALSE),"")&amp;"-"&amp;TEXT(COUNTIF('Product List'!$D$2:'Product List'!D51,'Product List'!D51),"000"))</f>
        <v/>
      </c>
      <c r="C51" s="45"/>
      <c r="D51" s="45"/>
      <c r="E51" s="45"/>
      <c r="F51" s="11" t="str">
        <f>Sheet4!G51</f>
        <v/>
      </c>
      <c r="G51" s="45"/>
      <c r="H51" s="11" t="str">
        <f t="shared" si="0"/>
        <v/>
      </c>
    </row>
    <row r="52" spans="1:8">
      <c r="A52" s="10" t="str">
        <f t="shared" si="1"/>
        <v/>
      </c>
      <c r="B52" s="11" t="str">
        <f>IF(D52="","",IF(D52&gt;0,VLOOKUP(D52,Category!$A$2:$B$31,2,FALSE),"")&amp;"-"&amp;TEXT(COUNTIF('Product List'!$D$2:'Product List'!D52,'Product List'!D52),"000"))</f>
        <v/>
      </c>
      <c r="C52" s="45"/>
      <c r="D52" s="45"/>
      <c r="E52" s="45"/>
      <c r="F52" s="11" t="str">
        <f>Sheet4!G52</f>
        <v/>
      </c>
      <c r="G52" s="45"/>
      <c r="H52" s="11" t="str">
        <f t="shared" si="0"/>
        <v/>
      </c>
    </row>
    <row r="53" spans="1:8">
      <c r="A53" s="10" t="str">
        <f t="shared" si="1"/>
        <v/>
      </c>
      <c r="B53" s="11" t="str">
        <f>IF(D53="","",IF(D53&gt;0,VLOOKUP(D53,Category!$A$2:$B$31,2,FALSE),"")&amp;"-"&amp;TEXT(COUNTIF('Product List'!$D$2:'Product List'!D53,'Product List'!D53),"000"))</f>
        <v/>
      </c>
      <c r="C53" s="45"/>
      <c r="D53" s="45"/>
      <c r="E53" s="45"/>
      <c r="F53" s="11" t="str">
        <f>Sheet4!G53</f>
        <v/>
      </c>
      <c r="G53" s="45"/>
      <c r="H53" s="11" t="str">
        <f t="shared" si="0"/>
        <v/>
      </c>
    </row>
    <row r="54" spans="1:8">
      <c r="A54" s="10" t="str">
        <f t="shared" si="1"/>
        <v/>
      </c>
      <c r="B54" s="11" t="str">
        <f>IF(D54="","",IF(D54&gt;0,VLOOKUP(D54,Category!$A$2:$B$31,2,FALSE),"")&amp;"-"&amp;TEXT(COUNTIF('Product List'!$D$2:'Product List'!D54,'Product List'!D54),"000"))</f>
        <v/>
      </c>
      <c r="C54" s="45"/>
      <c r="D54" s="45"/>
      <c r="E54" s="45"/>
      <c r="F54" s="11" t="str">
        <f>Sheet4!G54</f>
        <v/>
      </c>
      <c r="G54" s="45"/>
      <c r="H54" s="11" t="str">
        <f t="shared" si="0"/>
        <v/>
      </c>
    </row>
    <row r="55" spans="1:8">
      <c r="A55" s="10" t="str">
        <f t="shared" si="1"/>
        <v/>
      </c>
      <c r="B55" s="11" t="str">
        <f>IF(D55="","",IF(D55&gt;0,VLOOKUP(D55,Category!$A$2:$B$31,2,FALSE),"")&amp;"-"&amp;TEXT(COUNTIF('Product List'!$D$2:'Product List'!D55,'Product List'!D55),"000"))</f>
        <v/>
      </c>
      <c r="C55" s="45"/>
      <c r="D55" s="45"/>
      <c r="E55" s="45"/>
      <c r="F55" s="11" t="str">
        <f>Sheet4!G55</f>
        <v/>
      </c>
      <c r="G55" s="45"/>
      <c r="H55" s="11" t="str">
        <f t="shared" si="0"/>
        <v/>
      </c>
    </row>
    <row r="56" spans="1:8">
      <c r="A56" s="10" t="str">
        <f t="shared" si="1"/>
        <v/>
      </c>
      <c r="B56" s="11" t="str">
        <f>IF(D56="","",IF(D56&gt;0,VLOOKUP(D56,Category!$A$2:$B$31,2,FALSE),"")&amp;"-"&amp;TEXT(COUNTIF('Product List'!$D$2:'Product List'!D56,'Product List'!D56),"000"))</f>
        <v/>
      </c>
      <c r="C56" s="45"/>
      <c r="D56" s="45"/>
      <c r="E56" s="45"/>
      <c r="F56" s="11" t="str">
        <f>Sheet4!G56</f>
        <v/>
      </c>
      <c r="G56" s="45"/>
      <c r="H56" s="11" t="str">
        <f t="shared" si="0"/>
        <v/>
      </c>
    </row>
    <row r="57" spans="1:8">
      <c r="A57" s="10" t="str">
        <f t="shared" si="1"/>
        <v/>
      </c>
      <c r="B57" s="11" t="str">
        <f>IF(D57="","",IF(D57&gt;0,VLOOKUP(D57,Category!$A$2:$B$31,2,FALSE),"")&amp;"-"&amp;TEXT(COUNTIF('Product List'!$D$2:'Product List'!D57,'Product List'!D57),"000"))</f>
        <v/>
      </c>
      <c r="C57" s="45"/>
      <c r="D57" s="45"/>
      <c r="E57" s="45"/>
      <c r="F57" s="11" t="str">
        <f>Sheet4!G57</f>
        <v/>
      </c>
      <c r="G57" s="45"/>
      <c r="H57" s="11" t="str">
        <f t="shared" si="0"/>
        <v/>
      </c>
    </row>
    <row r="58" spans="1:8">
      <c r="A58" s="10" t="str">
        <f t="shared" si="1"/>
        <v/>
      </c>
      <c r="B58" s="11" t="str">
        <f>IF(D58="","",IF(D58&gt;0,VLOOKUP(D58,Category!$A$2:$B$31,2,FALSE),"")&amp;"-"&amp;TEXT(COUNTIF('Product List'!$D$2:'Product List'!D58,'Product List'!D58),"000"))</f>
        <v/>
      </c>
      <c r="C58" s="45"/>
      <c r="D58" s="45"/>
      <c r="E58" s="45"/>
      <c r="F58" s="11" t="str">
        <f>Sheet4!G58</f>
        <v/>
      </c>
      <c r="G58" s="45"/>
      <c r="H58" s="11" t="str">
        <f t="shared" si="0"/>
        <v/>
      </c>
    </row>
    <row r="59" spans="1:8">
      <c r="A59" s="10" t="str">
        <f t="shared" si="1"/>
        <v/>
      </c>
      <c r="B59" s="11" t="str">
        <f>IF(D59="","",IF(D59&gt;0,VLOOKUP(D59,Category!$A$2:$B$31,2,FALSE),"")&amp;"-"&amp;TEXT(COUNTIF('Product List'!$D$2:'Product List'!D59,'Product List'!D59),"000"))</f>
        <v/>
      </c>
      <c r="C59" s="45"/>
      <c r="D59" s="45"/>
      <c r="E59" s="45"/>
      <c r="F59" s="11" t="str">
        <f>Sheet4!G59</f>
        <v/>
      </c>
      <c r="G59" s="45"/>
      <c r="H59" s="11" t="str">
        <f t="shared" si="0"/>
        <v/>
      </c>
    </row>
    <row r="60" spans="1:8">
      <c r="A60" s="10" t="str">
        <f t="shared" si="1"/>
        <v/>
      </c>
      <c r="B60" s="11" t="str">
        <f>IF(D60="","",IF(D60&gt;0,VLOOKUP(D60,Category!$A$2:$B$31,2,FALSE),"")&amp;"-"&amp;TEXT(COUNTIF('Product List'!$D$2:'Product List'!D60,'Product List'!D60),"000"))</f>
        <v/>
      </c>
      <c r="C60" s="45"/>
      <c r="D60" s="45"/>
      <c r="E60" s="45"/>
      <c r="F60" s="11" t="str">
        <f>Sheet4!G60</f>
        <v/>
      </c>
      <c r="G60" s="45"/>
      <c r="H60" s="11" t="str">
        <f t="shared" si="0"/>
        <v/>
      </c>
    </row>
    <row r="61" spans="1:8">
      <c r="A61" s="10" t="str">
        <f t="shared" si="1"/>
        <v/>
      </c>
      <c r="B61" s="11" t="str">
        <f>IF(D61="","",IF(D61&gt;0,VLOOKUP(D61,Category!$A$2:$B$31,2,FALSE),"")&amp;"-"&amp;TEXT(COUNTIF('Product List'!$D$2:'Product List'!D61,'Product List'!D61),"000"))</f>
        <v/>
      </c>
      <c r="C61" s="45"/>
      <c r="D61" s="45"/>
      <c r="E61" s="45"/>
      <c r="F61" s="11" t="str">
        <f>Sheet4!G61</f>
        <v/>
      </c>
      <c r="G61" s="45"/>
      <c r="H61" s="11" t="str">
        <f t="shared" si="0"/>
        <v/>
      </c>
    </row>
    <row r="62" spans="1:8">
      <c r="A62" s="10" t="str">
        <f t="shared" si="1"/>
        <v/>
      </c>
      <c r="B62" s="11" t="str">
        <f>IF(D62="","",IF(D62&gt;0,VLOOKUP(D62,Category!$A$2:$B$31,2,FALSE),"")&amp;"-"&amp;TEXT(COUNTIF('Product List'!$D$2:'Product List'!D62,'Product List'!D62),"000"))</f>
        <v/>
      </c>
      <c r="C62" s="45"/>
      <c r="D62" s="45"/>
      <c r="E62" s="45"/>
      <c r="F62" s="11" t="str">
        <f>Sheet4!G62</f>
        <v/>
      </c>
      <c r="G62" s="45"/>
      <c r="H62" s="11" t="str">
        <f t="shared" si="0"/>
        <v/>
      </c>
    </row>
    <row r="63" spans="1:8">
      <c r="A63" s="10" t="str">
        <f t="shared" si="1"/>
        <v/>
      </c>
      <c r="B63" s="11" t="str">
        <f>IF(D63="","",IF(D63&gt;0,VLOOKUP(D63,Category!$A$2:$B$31,2,FALSE),"")&amp;"-"&amp;TEXT(COUNTIF('Product List'!$D$2:'Product List'!D63,'Product List'!D63),"000"))</f>
        <v/>
      </c>
      <c r="C63" s="45"/>
      <c r="D63" s="45"/>
      <c r="E63" s="45"/>
      <c r="F63" s="11" t="str">
        <f>Sheet4!G63</f>
        <v/>
      </c>
      <c r="G63" s="45"/>
      <c r="H63" s="11" t="str">
        <f t="shared" si="0"/>
        <v/>
      </c>
    </row>
    <row r="64" spans="1:8">
      <c r="A64" s="10" t="str">
        <f t="shared" si="1"/>
        <v/>
      </c>
      <c r="B64" s="11" t="str">
        <f>IF(D64="","",IF(D64&gt;0,VLOOKUP(D64,Category!$A$2:$B$31,2,FALSE),"")&amp;"-"&amp;TEXT(COUNTIF('Product List'!$D$2:'Product List'!D64,'Product List'!D64),"000"))</f>
        <v/>
      </c>
      <c r="C64" s="45"/>
      <c r="D64" s="45"/>
      <c r="E64" s="45"/>
      <c r="F64" s="11" t="str">
        <f>Sheet4!G64</f>
        <v/>
      </c>
      <c r="G64" s="45"/>
      <c r="H64" s="11" t="str">
        <f t="shared" si="0"/>
        <v/>
      </c>
    </row>
    <row r="65" spans="1:8">
      <c r="A65" s="10" t="str">
        <f t="shared" si="1"/>
        <v/>
      </c>
      <c r="B65" s="11" t="str">
        <f>IF(D65="","",IF(D65&gt;0,VLOOKUP(D65,Category!$A$2:$B$31,2,FALSE),"")&amp;"-"&amp;TEXT(COUNTIF('Product List'!$D$2:'Product List'!D65,'Product List'!D65),"000"))</f>
        <v/>
      </c>
      <c r="C65" s="45"/>
      <c r="D65" s="45"/>
      <c r="E65" s="45"/>
      <c r="F65" s="11" t="str">
        <f>Sheet4!G65</f>
        <v/>
      </c>
      <c r="G65" s="45"/>
      <c r="H65" s="11" t="str">
        <f t="shared" si="0"/>
        <v/>
      </c>
    </row>
    <row r="66" spans="1:8">
      <c r="A66" s="10" t="str">
        <f t="shared" si="1"/>
        <v/>
      </c>
      <c r="B66" s="11" t="str">
        <f>IF(D66="","",IF(D66&gt;0,VLOOKUP(D66,Category!$A$2:$B$31,2,FALSE),"")&amp;"-"&amp;TEXT(COUNTIF('Product List'!$D$2:'Product List'!D66,'Product List'!D66),"000"))</f>
        <v/>
      </c>
      <c r="C66" s="45"/>
      <c r="D66" s="45"/>
      <c r="E66" s="45"/>
      <c r="F66" s="11" t="str">
        <f>Sheet4!G66</f>
        <v/>
      </c>
      <c r="G66" s="45"/>
      <c r="H66" s="11" t="str">
        <f t="shared" si="0"/>
        <v/>
      </c>
    </row>
    <row r="67" spans="1:8">
      <c r="A67" s="10" t="str">
        <f t="shared" si="1"/>
        <v/>
      </c>
      <c r="B67" s="11" t="str">
        <f>IF(D67="","",IF(D67&gt;0,VLOOKUP(D67,Category!$A$2:$B$31,2,FALSE),"")&amp;"-"&amp;TEXT(COUNTIF('Product List'!$D$2:'Product List'!D67,'Product List'!D67),"000"))</f>
        <v/>
      </c>
      <c r="C67" s="45"/>
      <c r="D67" s="45"/>
      <c r="E67" s="45"/>
      <c r="F67" s="11" t="str">
        <f>Sheet4!G67</f>
        <v/>
      </c>
      <c r="G67" s="45"/>
      <c r="H67" s="11" t="str">
        <f t="shared" ref="H67:H130" si="2">IF(OR(F67="",G67=""),"",IF(F67&lt;=0,"Out of Stock",IF(F67&lt;=G67,"Low on Stock","In Stock")))</f>
        <v/>
      </c>
    </row>
    <row r="68" spans="1:8">
      <c r="A68" s="10" t="str">
        <f t="shared" ref="A68:A131" si="3">IF(C68&gt;0,A67+1,"")</f>
        <v/>
      </c>
      <c r="B68" s="11" t="str">
        <f>IF(D68="","",IF(D68&gt;0,VLOOKUP(D68,Category!$A$2:$B$31,2,FALSE),"")&amp;"-"&amp;TEXT(COUNTIF('Product List'!$D$2:'Product List'!D68,'Product List'!D68),"000"))</f>
        <v/>
      </c>
      <c r="C68" s="45"/>
      <c r="D68" s="45"/>
      <c r="E68" s="45"/>
      <c r="F68" s="11" t="str">
        <f>Sheet4!G68</f>
        <v/>
      </c>
      <c r="G68" s="45"/>
      <c r="H68" s="11" t="str">
        <f t="shared" si="2"/>
        <v/>
      </c>
    </row>
    <row r="69" spans="1:8">
      <c r="A69" s="10" t="str">
        <f t="shared" si="3"/>
        <v/>
      </c>
      <c r="B69" s="11" t="str">
        <f>IF(D69="","",IF(D69&gt;0,VLOOKUP(D69,Category!$A$2:$B$31,2,FALSE),"")&amp;"-"&amp;TEXT(COUNTIF('Product List'!$D$2:'Product List'!D69,'Product List'!D69),"000"))</f>
        <v/>
      </c>
      <c r="C69" s="45"/>
      <c r="D69" s="45"/>
      <c r="E69" s="45"/>
      <c r="F69" s="11" t="str">
        <f>Sheet4!G69</f>
        <v/>
      </c>
      <c r="G69" s="45"/>
      <c r="H69" s="11" t="str">
        <f t="shared" si="2"/>
        <v/>
      </c>
    </row>
    <row r="70" spans="1:8">
      <c r="A70" s="10" t="str">
        <f t="shared" si="3"/>
        <v/>
      </c>
      <c r="B70" s="11" t="str">
        <f>IF(D70="","",IF(D70&gt;0,VLOOKUP(D70,Category!$A$2:$B$31,2,FALSE),"")&amp;"-"&amp;TEXT(COUNTIF('Product List'!$D$2:'Product List'!D70,'Product List'!D70),"000"))</f>
        <v/>
      </c>
      <c r="C70" s="45"/>
      <c r="D70" s="45"/>
      <c r="E70" s="45"/>
      <c r="F70" s="11" t="str">
        <f>Sheet4!G70</f>
        <v/>
      </c>
      <c r="G70" s="45"/>
      <c r="H70" s="11" t="str">
        <f t="shared" si="2"/>
        <v/>
      </c>
    </row>
    <row r="71" spans="1:8">
      <c r="A71" s="10" t="str">
        <f t="shared" si="3"/>
        <v/>
      </c>
      <c r="B71" s="11" t="str">
        <f>IF(D71="","",IF(D71&gt;0,VLOOKUP(D71,Category!$A$2:$B$31,2,FALSE),"")&amp;"-"&amp;TEXT(COUNTIF('Product List'!$D$2:'Product List'!D71,'Product List'!D71),"000"))</f>
        <v/>
      </c>
      <c r="C71" s="45"/>
      <c r="D71" s="45"/>
      <c r="E71" s="45"/>
      <c r="F71" s="11" t="str">
        <f>Sheet4!G71</f>
        <v/>
      </c>
      <c r="G71" s="45"/>
      <c r="H71" s="11" t="str">
        <f t="shared" si="2"/>
        <v/>
      </c>
    </row>
    <row r="72" spans="1:8">
      <c r="A72" s="10" t="str">
        <f t="shared" si="3"/>
        <v/>
      </c>
      <c r="B72" s="11" t="str">
        <f>IF(D72="","",IF(D72&gt;0,VLOOKUP(D72,Category!$A$2:$B$31,2,FALSE),"")&amp;"-"&amp;TEXT(COUNTIF('Product List'!$D$2:'Product List'!D72,'Product List'!D72),"000"))</f>
        <v/>
      </c>
      <c r="C72" s="45"/>
      <c r="D72" s="45"/>
      <c r="E72" s="45"/>
      <c r="F72" s="11" t="str">
        <f>Sheet4!G72</f>
        <v/>
      </c>
      <c r="G72" s="45"/>
      <c r="H72" s="11" t="str">
        <f t="shared" si="2"/>
        <v/>
      </c>
    </row>
    <row r="73" spans="1:8">
      <c r="A73" s="10" t="str">
        <f t="shared" si="3"/>
        <v/>
      </c>
      <c r="B73" s="11" t="str">
        <f>IF(D73="","",IF(D73&gt;0,VLOOKUP(D73,Category!$A$2:$B$31,2,FALSE),"")&amp;"-"&amp;TEXT(COUNTIF('Product List'!$D$2:'Product List'!D73,'Product List'!D73),"000"))</f>
        <v/>
      </c>
      <c r="C73" s="45"/>
      <c r="D73" s="45"/>
      <c r="E73" s="45"/>
      <c r="F73" s="11" t="str">
        <f>Sheet4!G73</f>
        <v/>
      </c>
      <c r="G73" s="45"/>
      <c r="H73" s="11" t="str">
        <f t="shared" si="2"/>
        <v/>
      </c>
    </row>
    <row r="74" spans="1:8">
      <c r="A74" s="10" t="str">
        <f t="shared" si="3"/>
        <v/>
      </c>
      <c r="B74" s="11" t="str">
        <f>IF(D74="","",IF(D74&gt;0,VLOOKUP(D74,Category!$A$2:$B$31,2,FALSE),"")&amp;"-"&amp;TEXT(COUNTIF('Product List'!$D$2:'Product List'!D74,'Product List'!D74),"000"))</f>
        <v/>
      </c>
      <c r="C74" s="45"/>
      <c r="D74" s="45"/>
      <c r="E74" s="45"/>
      <c r="F74" s="11" t="str">
        <f>Sheet4!G74</f>
        <v/>
      </c>
      <c r="G74" s="45"/>
      <c r="H74" s="11" t="str">
        <f t="shared" si="2"/>
        <v/>
      </c>
    </row>
    <row r="75" spans="1:8">
      <c r="A75" s="10" t="str">
        <f t="shared" si="3"/>
        <v/>
      </c>
      <c r="B75" s="11" t="str">
        <f>IF(D75="","",IF(D75&gt;0,VLOOKUP(D75,Category!$A$2:$B$31,2,FALSE),"")&amp;"-"&amp;TEXT(COUNTIF('Product List'!$D$2:'Product List'!D75,'Product List'!D75),"000"))</f>
        <v/>
      </c>
      <c r="C75" s="45"/>
      <c r="D75" s="45"/>
      <c r="E75" s="45"/>
      <c r="F75" s="11" t="str">
        <f>Sheet4!G75</f>
        <v/>
      </c>
      <c r="G75" s="45"/>
      <c r="H75" s="11" t="str">
        <f t="shared" si="2"/>
        <v/>
      </c>
    </row>
    <row r="76" spans="1:8">
      <c r="A76" s="10" t="str">
        <f t="shared" si="3"/>
        <v/>
      </c>
      <c r="B76" s="11" t="str">
        <f>IF(D76="","",IF(D76&gt;0,VLOOKUP(D76,Category!$A$2:$B$31,2,FALSE),"")&amp;"-"&amp;TEXT(COUNTIF('Product List'!$D$2:'Product List'!D76,'Product List'!D76),"000"))</f>
        <v/>
      </c>
      <c r="C76" s="45"/>
      <c r="D76" s="45"/>
      <c r="E76" s="45"/>
      <c r="F76" s="11" t="str">
        <f>Sheet4!G76</f>
        <v/>
      </c>
      <c r="G76" s="45"/>
      <c r="H76" s="11" t="str">
        <f t="shared" si="2"/>
        <v/>
      </c>
    </row>
    <row r="77" spans="1:8">
      <c r="A77" s="10" t="str">
        <f t="shared" si="3"/>
        <v/>
      </c>
      <c r="B77" s="11" t="str">
        <f>IF(D77="","",IF(D77&gt;0,VLOOKUP(D77,Category!$A$2:$B$31,2,FALSE),"")&amp;"-"&amp;TEXT(COUNTIF('Product List'!$D$2:'Product List'!D77,'Product List'!D77),"000"))</f>
        <v/>
      </c>
      <c r="C77" s="45"/>
      <c r="D77" s="45"/>
      <c r="E77" s="45"/>
      <c r="F77" s="11" t="str">
        <f>Sheet4!G77</f>
        <v/>
      </c>
      <c r="G77" s="45"/>
      <c r="H77" s="11" t="str">
        <f t="shared" si="2"/>
        <v/>
      </c>
    </row>
    <row r="78" spans="1:8">
      <c r="A78" s="10" t="str">
        <f t="shared" si="3"/>
        <v/>
      </c>
      <c r="B78" s="11" t="str">
        <f>IF(D78="","",IF(D78&gt;0,VLOOKUP(D78,Category!$A$2:$B$31,2,FALSE),"")&amp;"-"&amp;TEXT(COUNTIF('Product List'!$D$2:'Product List'!D78,'Product List'!D78),"000"))</f>
        <v/>
      </c>
      <c r="C78" s="45"/>
      <c r="D78" s="45"/>
      <c r="E78" s="45"/>
      <c r="F78" s="11" t="str">
        <f>Sheet4!G78</f>
        <v/>
      </c>
      <c r="G78" s="45"/>
      <c r="H78" s="11" t="str">
        <f t="shared" si="2"/>
        <v/>
      </c>
    </row>
    <row r="79" spans="1:8">
      <c r="A79" s="10" t="str">
        <f t="shared" si="3"/>
        <v/>
      </c>
      <c r="B79" s="11" t="str">
        <f>IF(D79="","",IF(D79&gt;0,VLOOKUP(D79,Category!$A$2:$B$31,2,FALSE),"")&amp;"-"&amp;TEXT(COUNTIF('Product List'!$D$2:'Product List'!D79,'Product List'!D79),"000"))</f>
        <v/>
      </c>
      <c r="C79" s="45"/>
      <c r="D79" s="45"/>
      <c r="E79" s="45"/>
      <c r="F79" s="11" t="str">
        <f>Sheet4!G79</f>
        <v/>
      </c>
      <c r="G79" s="45"/>
      <c r="H79" s="11" t="str">
        <f t="shared" si="2"/>
        <v/>
      </c>
    </row>
    <row r="80" spans="1:8">
      <c r="A80" s="10" t="str">
        <f t="shared" si="3"/>
        <v/>
      </c>
      <c r="B80" s="11" t="str">
        <f>IF(D80="","",IF(D80&gt;0,VLOOKUP(D80,Category!$A$2:$B$31,2,FALSE),"")&amp;"-"&amp;TEXT(COUNTIF('Product List'!$D$2:'Product List'!D80,'Product List'!D80),"000"))</f>
        <v/>
      </c>
      <c r="C80" s="45"/>
      <c r="D80" s="45"/>
      <c r="E80" s="45"/>
      <c r="F80" s="11" t="str">
        <f>Sheet4!G80</f>
        <v/>
      </c>
      <c r="G80" s="45"/>
      <c r="H80" s="11" t="str">
        <f t="shared" si="2"/>
        <v/>
      </c>
    </row>
    <row r="81" spans="1:8">
      <c r="A81" s="10" t="str">
        <f t="shared" si="3"/>
        <v/>
      </c>
      <c r="B81" s="11" t="str">
        <f>IF(D81="","",IF(D81&gt;0,VLOOKUP(D81,Category!$A$2:$B$31,2,FALSE),"")&amp;"-"&amp;TEXT(COUNTIF('Product List'!$D$2:'Product List'!D81,'Product List'!D81),"000"))</f>
        <v/>
      </c>
      <c r="C81" s="45"/>
      <c r="D81" s="45"/>
      <c r="E81" s="45"/>
      <c r="F81" s="11" t="str">
        <f>Sheet4!G81</f>
        <v/>
      </c>
      <c r="G81" s="45"/>
      <c r="H81" s="11" t="str">
        <f t="shared" si="2"/>
        <v/>
      </c>
    </row>
    <row r="82" spans="1:8">
      <c r="A82" s="10" t="str">
        <f t="shared" si="3"/>
        <v/>
      </c>
      <c r="B82" s="11" t="str">
        <f>IF(D82="","",IF(D82&gt;0,VLOOKUP(D82,Category!$A$2:$B$31,2,FALSE),"")&amp;"-"&amp;TEXT(COUNTIF('Product List'!$D$2:'Product List'!D82,'Product List'!D82),"000"))</f>
        <v/>
      </c>
      <c r="C82" s="45"/>
      <c r="D82" s="45"/>
      <c r="E82" s="45"/>
      <c r="F82" s="11" t="str">
        <f>Sheet4!G82</f>
        <v/>
      </c>
      <c r="G82" s="45"/>
      <c r="H82" s="11" t="str">
        <f t="shared" si="2"/>
        <v/>
      </c>
    </row>
    <row r="83" spans="1:8">
      <c r="A83" s="10" t="str">
        <f t="shared" si="3"/>
        <v/>
      </c>
      <c r="B83" s="11" t="str">
        <f>IF(D83="","",IF(D83&gt;0,VLOOKUP(D83,Category!$A$2:$B$31,2,FALSE),"")&amp;"-"&amp;TEXT(COUNTIF('Product List'!$D$2:'Product List'!D83,'Product List'!D83),"000"))</f>
        <v/>
      </c>
      <c r="C83" s="45"/>
      <c r="D83" s="45"/>
      <c r="E83" s="45"/>
      <c r="F83" s="11" t="str">
        <f>Sheet4!G83</f>
        <v/>
      </c>
      <c r="G83" s="45"/>
      <c r="H83" s="11" t="str">
        <f t="shared" si="2"/>
        <v/>
      </c>
    </row>
    <row r="84" spans="1:8">
      <c r="A84" s="10" t="str">
        <f t="shared" si="3"/>
        <v/>
      </c>
      <c r="B84" s="11" t="str">
        <f>IF(D84="","",IF(D84&gt;0,VLOOKUP(D84,Category!$A$2:$B$31,2,FALSE),"")&amp;"-"&amp;TEXT(COUNTIF('Product List'!$D$2:'Product List'!D84,'Product List'!D84),"000"))</f>
        <v/>
      </c>
      <c r="C84" s="45"/>
      <c r="D84" s="45"/>
      <c r="E84" s="45"/>
      <c r="F84" s="11" t="str">
        <f>Sheet4!G84</f>
        <v/>
      </c>
      <c r="G84" s="45"/>
      <c r="H84" s="11" t="str">
        <f t="shared" si="2"/>
        <v/>
      </c>
    </row>
    <row r="85" spans="1:8">
      <c r="A85" s="10" t="str">
        <f t="shared" si="3"/>
        <v/>
      </c>
      <c r="B85" s="11" t="str">
        <f>IF(D85="","",IF(D85&gt;0,VLOOKUP(D85,Category!$A$2:$B$31,2,FALSE),"")&amp;"-"&amp;TEXT(COUNTIF('Product List'!$D$2:'Product List'!D85,'Product List'!D85),"000"))</f>
        <v/>
      </c>
      <c r="C85" s="45"/>
      <c r="D85" s="45"/>
      <c r="E85" s="45"/>
      <c r="F85" s="11" t="str">
        <f>Sheet4!G85</f>
        <v/>
      </c>
      <c r="G85" s="45"/>
      <c r="H85" s="11" t="str">
        <f t="shared" si="2"/>
        <v/>
      </c>
    </row>
    <row r="86" spans="1:8">
      <c r="A86" s="10" t="str">
        <f t="shared" si="3"/>
        <v/>
      </c>
      <c r="B86" s="11" t="str">
        <f>IF(D86="","",IF(D86&gt;0,VLOOKUP(D86,Category!$A$2:$B$31,2,FALSE),"")&amp;"-"&amp;TEXT(COUNTIF('Product List'!$D$2:'Product List'!D86,'Product List'!D86),"000"))</f>
        <v/>
      </c>
      <c r="C86" s="45"/>
      <c r="D86" s="45"/>
      <c r="E86" s="45"/>
      <c r="F86" s="11" t="str">
        <f>Sheet4!G86</f>
        <v/>
      </c>
      <c r="G86" s="45"/>
      <c r="H86" s="11" t="str">
        <f t="shared" si="2"/>
        <v/>
      </c>
    </row>
    <row r="87" spans="1:8">
      <c r="A87" s="10" t="str">
        <f t="shared" si="3"/>
        <v/>
      </c>
      <c r="B87" s="11" t="str">
        <f>IF(D87="","",IF(D87&gt;0,VLOOKUP(D87,Category!$A$2:$B$31,2,FALSE),"")&amp;"-"&amp;TEXT(COUNTIF('Product List'!$D$2:'Product List'!D87,'Product List'!D87),"000"))</f>
        <v/>
      </c>
      <c r="C87" s="45"/>
      <c r="D87" s="45"/>
      <c r="E87" s="45"/>
      <c r="F87" s="11" t="str">
        <f>Sheet4!G87</f>
        <v/>
      </c>
      <c r="G87" s="45"/>
      <c r="H87" s="11" t="str">
        <f t="shared" si="2"/>
        <v/>
      </c>
    </row>
    <row r="88" spans="1:8">
      <c r="A88" s="10" t="str">
        <f t="shared" si="3"/>
        <v/>
      </c>
      <c r="B88" s="11" t="str">
        <f>IF(D88="","",IF(D88&gt;0,VLOOKUP(D88,Category!$A$2:$B$31,2,FALSE),"")&amp;"-"&amp;TEXT(COUNTIF('Product List'!$D$2:'Product List'!D88,'Product List'!D88),"000"))</f>
        <v/>
      </c>
      <c r="C88" s="45"/>
      <c r="D88" s="45"/>
      <c r="E88" s="45"/>
      <c r="F88" s="11" t="str">
        <f>Sheet4!G88</f>
        <v/>
      </c>
      <c r="G88" s="45"/>
      <c r="H88" s="11" t="str">
        <f t="shared" si="2"/>
        <v/>
      </c>
    </row>
    <row r="89" spans="1:8">
      <c r="A89" s="10" t="str">
        <f t="shared" si="3"/>
        <v/>
      </c>
      <c r="B89" s="11" t="str">
        <f>IF(D89="","",IF(D89&gt;0,VLOOKUP(D89,Category!$A$2:$B$31,2,FALSE),"")&amp;"-"&amp;TEXT(COUNTIF('Product List'!$D$2:'Product List'!D89,'Product List'!D89),"000"))</f>
        <v/>
      </c>
      <c r="C89" s="45"/>
      <c r="D89" s="45"/>
      <c r="E89" s="45"/>
      <c r="F89" s="11" t="str">
        <f>Sheet4!G89</f>
        <v/>
      </c>
      <c r="G89" s="45"/>
      <c r="H89" s="11" t="str">
        <f t="shared" si="2"/>
        <v/>
      </c>
    </row>
    <row r="90" spans="1:8">
      <c r="A90" s="10" t="str">
        <f t="shared" si="3"/>
        <v/>
      </c>
      <c r="B90" s="11" t="str">
        <f>IF(D90="","",IF(D90&gt;0,VLOOKUP(D90,Category!$A$2:$B$31,2,FALSE),"")&amp;"-"&amp;TEXT(COUNTIF('Product List'!$D$2:'Product List'!D90,'Product List'!D90),"000"))</f>
        <v/>
      </c>
      <c r="C90" s="45"/>
      <c r="D90" s="45"/>
      <c r="E90" s="45"/>
      <c r="F90" s="11" t="str">
        <f>Sheet4!G90</f>
        <v/>
      </c>
      <c r="G90" s="45"/>
      <c r="H90" s="11" t="str">
        <f t="shared" si="2"/>
        <v/>
      </c>
    </row>
    <row r="91" spans="1:8">
      <c r="A91" s="10" t="str">
        <f t="shared" si="3"/>
        <v/>
      </c>
      <c r="B91" s="11" t="str">
        <f>IF(D91="","",IF(D91&gt;0,VLOOKUP(D91,Category!$A$2:$B$31,2,FALSE),"")&amp;"-"&amp;TEXT(COUNTIF('Product List'!$D$2:'Product List'!D91,'Product List'!D91),"000"))</f>
        <v/>
      </c>
      <c r="C91" s="45"/>
      <c r="D91" s="45"/>
      <c r="E91" s="45"/>
      <c r="F91" s="11" t="str">
        <f>Sheet4!G91</f>
        <v/>
      </c>
      <c r="G91" s="45"/>
      <c r="H91" s="11" t="str">
        <f t="shared" si="2"/>
        <v/>
      </c>
    </row>
    <row r="92" spans="1:8">
      <c r="A92" s="10" t="str">
        <f t="shared" si="3"/>
        <v/>
      </c>
      <c r="B92" s="11" t="str">
        <f>IF(D92="","",IF(D92&gt;0,VLOOKUP(D92,Category!$A$2:$B$31,2,FALSE),"")&amp;"-"&amp;TEXT(COUNTIF('Product List'!$D$2:'Product List'!D92,'Product List'!D92),"000"))</f>
        <v/>
      </c>
      <c r="C92" s="45"/>
      <c r="D92" s="45"/>
      <c r="E92" s="45"/>
      <c r="F92" s="11" t="str">
        <f>Sheet4!G92</f>
        <v/>
      </c>
      <c r="G92" s="45"/>
      <c r="H92" s="11" t="str">
        <f t="shared" si="2"/>
        <v/>
      </c>
    </row>
    <row r="93" spans="1:8">
      <c r="A93" s="10" t="str">
        <f t="shared" si="3"/>
        <v/>
      </c>
      <c r="B93" s="11" t="str">
        <f>IF(D93="","",IF(D93&gt;0,VLOOKUP(D93,Category!$A$2:$B$31,2,FALSE),"")&amp;"-"&amp;TEXT(COUNTIF('Product List'!$D$2:'Product List'!D93,'Product List'!D93),"000"))</f>
        <v/>
      </c>
      <c r="C93" s="45"/>
      <c r="D93" s="45"/>
      <c r="E93" s="45"/>
      <c r="F93" s="11" t="str">
        <f>Sheet4!G93</f>
        <v/>
      </c>
      <c r="G93" s="45"/>
      <c r="H93" s="11" t="str">
        <f t="shared" si="2"/>
        <v/>
      </c>
    </row>
    <row r="94" spans="1:8">
      <c r="A94" s="10" t="str">
        <f t="shared" si="3"/>
        <v/>
      </c>
      <c r="B94" s="11" t="str">
        <f>IF(D94="","",IF(D94&gt;0,VLOOKUP(D94,Category!$A$2:$B$31,2,FALSE),"")&amp;"-"&amp;TEXT(COUNTIF('Product List'!$D$2:'Product List'!D94,'Product List'!D94),"000"))</f>
        <v/>
      </c>
      <c r="C94" s="45"/>
      <c r="D94" s="45"/>
      <c r="E94" s="45"/>
      <c r="F94" s="11" t="str">
        <f>Sheet4!G94</f>
        <v/>
      </c>
      <c r="G94" s="45"/>
      <c r="H94" s="11" t="str">
        <f t="shared" si="2"/>
        <v/>
      </c>
    </row>
    <row r="95" spans="1:8">
      <c r="A95" s="10" t="str">
        <f t="shared" si="3"/>
        <v/>
      </c>
      <c r="B95" s="11" t="str">
        <f>IF(D95="","",IF(D95&gt;0,VLOOKUP(D95,Category!$A$2:$B$31,2,FALSE),"")&amp;"-"&amp;TEXT(COUNTIF('Product List'!$D$2:'Product List'!D95,'Product List'!D95),"000"))</f>
        <v/>
      </c>
      <c r="C95" s="45"/>
      <c r="D95" s="45"/>
      <c r="E95" s="45"/>
      <c r="F95" s="11" t="str">
        <f>Sheet4!G95</f>
        <v/>
      </c>
      <c r="G95" s="45"/>
      <c r="H95" s="11" t="str">
        <f t="shared" si="2"/>
        <v/>
      </c>
    </row>
    <row r="96" spans="1:8">
      <c r="A96" s="10" t="str">
        <f t="shared" si="3"/>
        <v/>
      </c>
      <c r="B96" s="11" t="str">
        <f>IF(D96="","",IF(D96&gt;0,VLOOKUP(D96,Category!$A$2:$B$31,2,FALSE),"")&amp;"-"&amp;TEXT(COUNTIF('Product List'!$D$2:'Product List'!D96,'Product List'!D96),"000"))</f>
        <v/>
      </c>
      <c r="C96" s="45"/>
      <c r="D96" s="45"/>
      <c r="E96" s="45"/>
      <c r="F96" s="11" t="str">
        <f>Sheet4!G96</f>
        <v/>
      </c>
      <c r="G96" s="45"/>
      <c r="H96" s="11" t="str">
        <f t="shared" si="2"/>
        <v/>
      </c>
    </row>
    <row r="97" spans="1:8">
      <c r="A97" s="10" t="str">
        <f t="shared" si="3"/>
        <v/>
      </c>
      <c r="B97" s="11" t="str">
        <f>IF(D97="","",IF(D97&gt;0,VLOOKUP(D97,Category!$A$2:$B$31,2,FALSE),"")&amp;"-"&amp;TEXT(COUNTIF('Product List'!$D$2:'Product List'!D97,'Product List'!D97),"000"))</f>
        <v/>
      </c>
      <c r="C97" s="45"/>
      <c r="D97" s="45"/>
      <c r="E97" s="45"/>
      <c r="F97" s="11" t="str">
        <f>Sheet4!G97</f>
        <v/>
      </c>
      <c r="G97" s="45"/>
      <c r="H97" s="11" t="str">
        <f t="shared" si="2"/>
        <v/>
      </c>
    </row>
    <row r="98" spans="1:8">
      <c r="A98" s="10" t="str">
        <f t="shared" si="3"/>
        <v/>
      </c>
      <c r="B98" s="11" t="str">
        <f>IF(D98="","",IF(D98&gt;0,VLOOKUP(D98,Category!$A$2:$B$31,2,FALSE),"")&amp;"-"&amp;TEXT(COUNTIF('Product List'!$D$2:'Product List'!D98,'Product List'!D98),"000"))</f>
        <v/>
      </c>
      <c r="C98" s="45"/>
      <c r="D98" s="45"/>
      <c r="E98" s="45"/>
      <c r="F98" s="11" t="str">
        <f>Sheet4!G98</f>
        <v/>
      </c>
      <c r="G98" s="45"/>
      <c r="H98" s="11" t="str">
        <f t="shared" si="2"/>
        <v/>
      </c>
    </row>
    <row r="99" spans="1:8">
      <c r="A99" s="10" t="str">
        <f t="shared" si="3"/>
        <v/>
      </c>
      <c r="B99" s="11" t="str">
        <f>IF(D99="","",IF(D99&gt;0,VLOOKUP(D99,Category!$A$2:$B$31,2,FALSE),"")&amp;"-"&amp;TEXT(COUNTIF('Product List'!$D$2:'Product List'!D99,'Product List'!D99),"000"))</f>
        <v/>
      </c>
      <c r="C99" s="45"/>
      <c r="D99" s="45"/>
      <c r="E99" s="45"/>
      <c r="F99" s="11" t="str">
        <f>Sheet4!G99</f>
        <v/>
      </c>
      <c r="G99" s="45"/>
      <c r="H99" s="11" t="str">
        <f t="shared" si="2"/>
        <v/>
      </c>
    </row>
    <row r="100" spans="1:8">
      <c r="A100" s="10" t="str">
        <f t="shared" si="3"/>
        <v/>
      </c>
      <c r="B100" s="11" t="str">
        <f>IF(D100="","",IF(D100&gt;0,VLOOKUP(D100,Category!$A$2:$B$31,2,FALSE),"")&amp;"-"&amp;TEXT(COUNTIF('Product List'!$D$2:'Product List'!D100,'Product List'!D100),"000"))</f>
        <v/>
      </c>
      <c r="C100" s="45"/>
      <c r="D100" s="45"/>
      <c r="E100" s="45"/>
      <c r="F100" s="11" t="str">
        <f>Sheet4!G100</f>
        <v/>
      </c>
      <c r="G100" s="45"/>
      <c r="H100" s="11" t="str">
        <f t="shared" si="2"/>
        <v/>
      </c>
    </row>
    <row r="101" spans="1:8">
      <c r="A101" s="10" t="str">
        <f t="shared" si="3"/>
        <v/>
      </c>
      <c r="B101" s="11" t="str">
        <f>IF(D101="","",IF(D101&gt;0,VLOOKUP(D101,Category!$A$2:$B$31,2,FALSE),"")&amp;"-"&amp;TEXT(COUNTIF('Product List'!$D$2:'Product List'!D101,'Product List'!D101),"000"))</f>
        <v/>
      </c>
      <c r="C101" s="45"/>
      <c r="D101" s="45"/>
      <c r="E101" s="45"/>
      <c r="F101" s="11" t="str">
        <f>Sheet4!G101</f>
        <v/>
      </c>
      <c r="G101" s="45"/>
      <c r="H101" s="11" t="str">
        <f t="shared" si="2"/>
        <v/>
      </c>
    </row>
    <row r="102" spans="1:8">
      <c r="A102" s="10" t="str">
        <f t="shared" si="3"/>
        <v/>
      </c>
      <c r="B102" s="11" t="str">
        <f>IF(D102="","",IF(D102&gt;0,VLOOKUP(D102,Category!$A$2:$B$31,2,FALSE),"")&amp;"-"&amp;TEXT(COUNTIF('Product List'!$D$2:'Product List'!D102,'Product List'!D102),"000"))</f>
        <v/>
      </c>
      <c r="C102" s="45"/>
      <c r="D102" s="45"/>
      <c r="E102" s="45"/>
      <c r="F102" s="11" t="str">
        <f>Sheet4!G102</f>
        <v/>
      </c>
      <c r="G102" s="45"/>
      <c r="H102" s="11" t="str">
        <f t="shared" si="2"/>
        <v/>
      </c>
    </row>
    <row r="103" spans="1:8">
      <c r="A103" s="10" t="str">
        <f t="shared" si="3"/>
        <v/>
      </c>
      <c r="B103" s="11" t="str">
        <f>IF(D103="","",IF(D103&gt;0,VLOOKUP(D103,Category!$A$2:$B$31,2,FALSE),"")&amp;"-"&amp;TEXT(COUNTIF('Product List'!$D$2:'Product List'!D103,'Product List'!D103),"000"))</f>
        <v/>
      </c>
      <c r="C103" s="45"/>
      <c r="D103" s="45"/>
      <c r="E103" s="45"/>
      <c r="F103" s="11" t="str">
        <f>Sheet4!G103</f>
        <v/>
      </c>
      <c r="G103" s="45"/>
      <c r="H103" s="11" t="str">
        <f t="shared" si="2"/>
        <v/>
      </c>
    </row>
    <row r="104" spans="1:8">
      <c r="A104" s="10" t="str">
        <f t="shared" si="3"/>
        <v/>
      </c>
      <c r="B104" s="11" t="str">
        <f>IF(D104="","",IF(D104&gt;0,VLOOKUP(D104,Category!$A$2:$B$31,2,FALSE),"")&amp;"-"&amp;TEXT(COUNTIF('Product List'!$D$2:'Product List'!D104,'Product List'!D104),"000"))</f>
        <v/>
      </c>
      <c r="C104" s="45"/>
      <c r="D104" s="45"/>
      <c r="E104" s="45"/>
      <c r="F104" s="11" t="str">
        <f>Sheet4!G104</f>
        <v/>
      </c>
      <c r="G104" s="45"/>
      <c r="H104" s="11" t="str">
        <f t="shared" si="2"/>
        <v/>
      </c>
    </row>
    <row r="105" spans="1:8">
      <c r="A105" s="10" t="str">
        <f t="shared" si="3"/>
        <v/>
      </c>
      <c r="B105" s="11" t="str">
        <f>IF(D105="","",IF(D105&gt;0,VLOOKUP(D105,Category!$A$2:$B$31,2,FALSE),"")&amp;"-"&amp;TEXT(COUNTIF('Product List'!$D$2:'Product List'!D105,'Product List'!D105),"000"))</f>
        <v/>
      </c>
      <c r="C105" s="45"/>
      <c r="D105" s="45"/>
      <c r="E105" s="45"/>
      <c r="F105" s="11" t="str">
        <f>Sheet4!G105</f>
        <v/>
      </c>
      <c r="G105" s="45"/>
      <c r="H105" s="11" t="str">
        <f t="shared" si="2"/>
        <v/>
      </c>
    </row>
    <row r="106" spans="1:8">
      <c r="A106" s="10" t="str">
        <f t="shared" si="3"/>
        <v/>
      </c>
      <c r="B106" s="11" t="str">
        <f>IF(D106="","",IF(D106&gt;0,VLOOKUP(D106,Category!$A$2:$B$31,2,FALSE),"")&amp;"-"&amp;TEXT(COUNTIF('Product List'!$D$2:'Product List'!D106,'Product List'!D106),"000"))</f>
        <v/>
      </c>
      <c r="C106" s="45"/>
      <c r="D106" s="45"/>
      <c r="E106" s="45"/>
      <c r="F106" s="11" t="str">
        <f>Sheet4!G106</f>
        <v/>
      </c>
      <c r="G106" s="45"/>
      <c r="H106" s="11" t="str">
        <f t="shared" si="2"/>
        <v/>
      </c>
    </row>
    <row r="107" spans="1:8">
      <c r="A107" s="10" t="str">
        <f t="shared" si="3"/>
        <v/>
      </c>
      <c r="B107" s="11" t="str">
        <f>IF(D107="","",IF(D107&gt;0,VLOOKUP(D107,Category!$A$2:$B$31,2,FALSE),"")&amp;"-"&amp;TEXT(COUNTIF('Product List'!$D$2:'Product List'!D107,'Product List'!D107),"000"))</f>
        <v/>
      </c>
      <c r="C107" s="45"/>
      <c r="D107" s="45"/>
      <c r="E107" s="45"/>
      <c r="F107" s="11" t="str">
        <f>Sheet4!G107</f>
        <v/>
      </c>
      <c r="G107" s="45"/>
      <c r="H107" s="11" t="str">
        <f t="shared" si="2"/>
        <v/>
      </c>
    </row>
    <row r="108" spans="1:8">
      <c r="A108" s="10" t="str">
        <f t="shared" si="3"/>
        <v/>
      </c>
      <c r="B108" s="11" t="str">
        <f>IF(D108="","",IF(D108&gt;0,VLOOKUP(D108,Category!$A$2:$B$31,2,FALSE),"")&amp;"-"&amp;TEXT(COUNTIF('Product List'!$D$2:'Product List'!D108,'Product List'!D108),"000"))</f>
        <v/>
      </c>
      <c r="C108" s="45"/>
      <c r="D108" s="45"/>
      <c r="E108" s="45"/>
      <c r="F108" s="11" t="str">
        <f>Sheet4!G108</f>
        <v/>
      </c>
      <c r="G108" s="45"/>
      <c r="H108" s="11" t="str">
        <f t="shared" si="2"/>
        <v/>
      </c>
    </row>
    <row r="109" spans="1:8">
      <c r="A109" s="10" t="str">
        <f t="shared" si="3"/>
        <v/>
      </c>
      <c r="B109" s="11" t="str">
        <f>IF(D109="","",IF(D109&gt;0,VLOOKUP(D109,Category!$A$2:$B$31,2,FALSE),"")&amp;"-"&amp;TEXT(COUNTIF('Product List'!$D$2:'Product List'!D109,'Product List'!D109),"000"))</f>
        <v/>
      </c>
      <c r="C109" s="45"/>
      <c r="D109" s="45"/>
      <c r="E109" s="45"/>
      <c r="F109" s="11" t="str">
        <f>Sheet4!G109</f>
        <v/>
      </c>
      <c r="G109" s="45"/>
      <c r="H109" s="11" t="str">
        <f t="shared" si="2"/>
        <v/>
      </c>
    </row>
    <row r="110" spans="1:8">
      <c r="A110" s="10" t="str">
        <f t="shared" si="3"/>
        <v/>
      </c>
      <c r="B110" s="11" t="str">
        <f>IF(D110="","",IF(D110&gt;0,VLOOKUP(D110,Category!$A$2:$B$31,2,FALSE),"")&amp;"-"&amp;TEXT(COUNTIF('Product List'!$D$2:'Product List'!D110,'Product List'!D110),"000"))</f>
        <v/>
      </c>
      <c r="C110" s="45"/>
      <c r="D110" s="45"/>
      <c r="E110" s="45"/>
      <c r="F110" s="11" t="str">
        <f>Sheet4!G110</f>
        <v/>
      </c>
      <c r="G110" s="45"/>
      <c r="H110" s="11" t="str">
        <f t="shared" si="2"/>
        <v/>
      </c>
    </row>
    <row r="111" spans="1:8">
      <c r="A111" s="10" t="str">
        <f t="shared" si="3"/>
        <v/>
      </c>
      <c r="B111" s="11" t="str">
        <f>IF(D111="","",IF(D111&gt;0,VLOOKUP(D111,Category!$A$2:$B$31,2,FALSE),"")&amp;"-"&amp;TEXT(COUNTIF('Product List'!$D$2:'Product List'!D111,'Product List'!D111),"000"))</f>
        <v/>
      </c>
      <c r="C111" s="45"/>
      <c r="D111" s="45"/>
      <c r="E111" s="45"/>
      <c r="F111" s="11" t="str">
        <f>Sheet4!G111</f>
        <v/>
      </c>
      <c r="G111" s="45"/>
      <c r="H111" s="11" t="str">
        <f t="shared" si="2"/>
        <v/>
      </c>
    </row>
    <row r="112" spans="1:8">
      <c r="A112" s="10" t="str">
        <f t="shared" si="3"/>
        <v/>
      </c>
      <c r="B112" s="11" t="str">
        <f>IF(D112="","",IF(D112&gt;0,VLOOKUP(D112,Category!$A$2:$B$31,2,FALSE),"")&amp;"-"&amp;TEXT(COUNTIF('Product List'!$D$2:'Product List'!D112,'Product List'!D112),"000"))</f>
        <v/>
      </c>
      <c r="C112" s="45"/>
      <c r="D112" s="45"/>
      <c r="E112" s="45"/>
      <c r="F112" s="11" t="str">
        <f>Sheet4!G112</f>
        <v/>
      </c>
      <c r="G112" s="45"/>
      <c r="H112" s="11" t="str">
        <f t="shared" si="2"/>
        <v/>
      </c>
    </row>
    <row r="113" spans="1:8">
      <c r="A113" s="10" t="str">
        <f t="shared" si="3"/>
        <v/>
      </c>
      <c r="B113" s="11" t="str">
        <f>IF(D113="","",IF(D113&gt;0,VLOOKUP(D113,Category!$A$2:$B$31,2,FALSE),"")&amp;"-"&amp;TEXT(COUNTIF('Product List'!$D$2:'Product List'!D113,'Product List'!D113),"000"))</f>
        <v/>
      </c>
      <c r="C113" s="45"/>
      <c r="D113" s="45"/>
      <c r="E113" s="45"/>
      <c r="F113" s="11" t="str">
        <f>Sheet4!G113</f>
        <v/>
      </c>
      <c r="G113" s="45"/>
      <c r="H113" s="11" t="str">
        <f t="shared" si="2"/>
        <v/>
      </c>
    </row>
    <row r="114" spans="1:8">
      <c r="A114" s="10" t="str">
        <f t="shared" si="3"/>
        <v/>
      </c>
      <c r="B114" s="11" t="str">
        <f>IF(D114="","",IF(D114&gt;0,VLOOKUP(D114,Category!$A$2:$B$31,2,FALSE),"")&amp;"-"&amp;TEXT(COUNTIF('Product List'!$D$2:'Product List'!D114,'Product List'!D114),"000"))</f>
        <v/>
      </c>
      <c r="C114" s="45"/>
      <c r="D114" s="45"/>
      <c r="E114" s="45"/>
      <c r="F114" s="11" t="str">
        <f>Sheet4!G114</f>
        <v/>
      </c>
      <c r="G114" s="45"/>
      <c r="H114" s="11" t="str">
        <f t="shared" si="2"/>
        <v/>
      </c>
    </row>
    <row r="115" spans="1:8">
      <c r="A115" s="10" t="str">
        <f t="shared" si="3"/>
        <v/>
      </c>
      <c r="B115" s="11" t="str">
        <f>IF(D115="","",IF(D115&gt;0,VLOOKUP(D115,Category!$A$2:$B$31,2,FALSE),"")&amp;"-"&amp;TEXT(COUNTIF('Product List'!$D$2:'Product List'!D115,'Product List'!D115),"000"))</f>
        <v/>
      </c>
      <c r="C115" s="45"/>
      <c r="D115" s="45"/>
      <c r="E115" s="45"/>
      <c r="F115" s="11" t="str">
        <f>Sheet4!G115</f>
        <v/>
      </c>
      <c r="G115" s="45"/>
      <c r="H115" s="11" t="str">
        <f t="shared" si="2"/>
        <v/>
      </c>
    </row>
    <row r="116" spans="1:8">
      <c r="A116" s="10" t="str">
        <f t="shared" si="3"/>
        <v/>
      </c>
      <c r="B116" s="11" t="str">
        <f>IF(D116="","",IF(D116&gt;0,VLOOKUP(D116,Category!$A$2:$B$31,2,FALSE),"")&amp;"-"&amp;TEXT(COUNTIF('Product List'!$D$2:'Product List'!D116,'Product List'!D116),"000"))</f>
        <v/>
      </c>
      <c r="C116" s="45"/>
      <c r="D116" s="45"/>
      <c r="E116" s="45"/>
      <c r="F116" s="11" t="str">
        <f>Sheet4!G116</f>
        <v/>
      </c>
      <c r="G116" s="45"/>
      <c r="H116" s="11" t="str">
        <f t="shared" si="2"/>
        <v/>
      </c>
    </row>
    <row r="117" spans="1:8">
      <c r="A117" s="10" t="str">
        <f t="shared" si="3"/>
        <v/>
      </c>
      <c r="B117" s="11" t="str">
        <f>IF(D117="","",IF(D117&gt;0,VLOOKUP(D117,Category!$A$2:$B$31,2,FALSE),"")&amp;"-"&amp;TEXT(COUNTIF('Product List'!$D$2:'Product List'!D117,'Product List'!D117),"000"))</f>
        <v/>
      </c>
      <c r="C117" s="45"/>
      <c r="D117" s="45"/>
      <c r="E117" s="45"/>
      <c r="F117" s="11" t="str">
        <f>Sheet4!G117</f>
        <v/>
      </c>
      <c r="G117" s="45"/>
      <c r="H117" s="11" t="str">
        <f t="shared" si="2"/>
        <v/>
      </c>
    </row>
    <row r="118" spans="1:8">
      <c r="A118" s="10" t="str">
        <f t="shared" si="3"/>
        <v/>
      </c>
      <c r="B118" s="11" t="str">
        <f>IF(D118="","",IF(D118&gt;0,VLOOKUP(D118,Category!$A$2:$B$31,2,FALSE),"")&amp;"-"&amp;TEXT(COUNTIF('Product List'!$D$2:'Product List'!D118,'Product List'!D118),"000"))</f>
        <v/>
      </c>
      <c r="C118" s="45"/>
      <c r="D118" s="45"/>
      <c r="E118" s="45"/>
      <c r="F118" s="11" t="str">
        <f>Sheet4!G118</f>
        <v/>
      </c>
      <c r="G118" s="45"/>
      <c r="H118" s="11" t="str">
        <f t="shared" si="2"/>
        <v/>
      </c>
    </row>
    <row r="119" spans="1:8">
      <c r="A119" s="10" t="str">
        <f t="shared" si="3"/>
        <v/>
      </c>
      <c r="B119" s="11" t="str">
        <f>IF(D119="","",IF(D119&gt;0,VLOOKUP(D119,Category!$A$2:$B$31,2,FALSE),"")&amp;"-"&amp;TEXT(COUNTIF('Product List'!$D$2:'Product List'!D119,'Product List'!D119),"000"))</f>
        <v/>
      </c>
      <c r="C119" s="45"/>
      <c r="D119" s="45"/>
      <c r="E119" s="45"/>
      <c r="F119" s="11" t="str">
        <f>Sheet4!G119</f>
        <v/>
      </c>
      <c r="G119" s="45"/>
      <c r="H119" s="11" t="str">
        <f t="shared" si="2"/>
        <v/>
      </c>
    </row>
    <row r="120" spans="1:8">
      <c r="A120" s="10" t="str">
        <f t="shared" si="3"/>
        <v/>
      </c>
      <c r="B120" s="11" t="str">
        <f>IF(D120="","",IF(D120&gt;0,VLOOKUP(D120,Category!$A$2:$B$31,2,FALSE),"")&amp;"-"&amp;TEXT(COUNTIF('Product List'!$D$2:'Product List'!D120,'Product List'!D120),"000"))</f>
        <v/>
      </c>
      <c r="C120" s="45"/>
      <c r="D120" s="45"/>
      <c r="E120" s="45"/>
      <c r="F120" s="11" t="str">
        <f>Sheet4!G120</f>
        <v/>
      </c>
      <c r="G120" s="45"/>
      <c r="H120" s="11" t="str">
        <f t="shared" si="2"/>
        <v/>
      </c>
    </row>
    <row r="121" spans="1:8">
      <c r="A121" s="10" t="str">
        <f t="shared" si="3"/>
        <v/>
      </c>
      <c r="B121" s="11" t="str">
        <f>IF(D121="","",IF(D121&gt;0,VLOOKUP(D121,Category!$A$2:$B$31,2,FALSE),"")&amp;"-"&amp;TEXT(COUNTIF('Product List'!$D$2:'Product List'!D121,'Product List'!D121),"000"))</f>
        <v/>
      </c>
      <c r="C121" s="45"/>
      <c r="D121" s="45"/>
      <c r="E121" s="45"/>
      <c r="F121" s="11" t="str">
        <f>Sheet4!G121</f>
        <v/>
      </c>
      <c r="G121" s="45"/>
      <c r="H121" s="11" t="str">
        <f t="shared" si="2"/>
        <v/>
      </c>
    </row>
    <row r="122" spans="1:8">
      <c r="A122" s="10" t="str">
        <f t="shared" si="3"/>
        <v/>
      </c>
      <c r="B122" s="11" t="str">
        <f>IF(D122="","",IF(D122&gt;0,VLOOKUP(D122,Category!$A$2:$B$31,2,FALSE),"")&amp;"-"&amp;TEXT(COUNTIF('Product List'!$D$2:'Product List'!D122,'Product List'!D122),"000"))</f>
        <v/>
      </c>
      <c r="C122" s="45"/>
      <c r="D122" s="45"/>
      <c r="E122" s="45"/>
      <c r="F122" s="11" t="str">
        <f>Sheet4!G122</f>
        <v/>
      </c>
      <c r="G122" s="45"/>
      <c r="H122" s="11" t="str">
        <f t="shared" si="2"/>
        <v/>
      </c>
    </row>
    <row r="123" spans="1:8">
      <c r="A123" s="10" t="str">
        <f t="shared" si="3"/>
        <v/>
      </c>
      <c r="B123" s="11" t="str">
        <f>IF(D123="","",IF(D123&gt;0,VLOOKUP(D123,Category!$A$2:$B$31,2,FALSE),"")&amp;"-"&amp;TEXT(COUNTIF('Product List'!$D$2:'Product List'!D123,'Product List'!D123),"000"))</f>
        <v/>
      </c>
      <c r="C123" s="45"/>
      <c r="D123" s="45"/>
      <c r="E123" s="45"/>
      <c r="F123" s="11" t="str">
        <f>Sheet4!G123</f>
        <v/>
      </c>
      <c r="G123" s="45"/>
      <c r="H123" s="11" t="str">
        <f t="shared" si="2"/>
        <v/>
      </c>
    </row>
    <row r="124" spans="1:8">
      <c r="A124" s="10" t="str">
        <f t="shared" si="3"/>
        <v/>
      </c>
      <c r="B124" s="11" t="str">
        <f>IF(D124="","",IF(D124&gt;0,VLOOKUP(D124,Category!$A$2:$B$31,2,FALSE),"")&amp;"-"&amp;TEXT(COUNTIF('Product List'!$D$2:'Product List'!D124,'Product List'!D124),"000"))</f>
        <v/>
      </c>
      <c r="C124" s="45"/>
      <c r="D124" s="45"/>
      <c r="E124" s="45"/>
      <c r="F124" s="11" t="str">
        <f>Sheet4!G124</f>
        <v/>
      </c>
      <c r="G124" s="45"/>
      <c r="H124" s="11" t="str">
        <f t="shared" si="2"/>
        <v/>
      </c>
    </row>
    <row r="125" spans="1:8">
      <c r="A125" s="10" t="str">
        <f t="shared" si="3"/>
        <v/>
      </c>
      <c r="B125" s="11" t="str">
        <f>IF(D125="","",IF(D125&gt;0,VLOOKUP(D125,Category!$A$2:$B$31,2,FALSE),"")&amp;"-"&amp;TEXT(COUNTIF('Product List'!$D$2:'Product List'!D125,'Product List'!D125),"000"))</f>
        <v/>
      </c>
      <c r="C125" s="45"/>
      <c r="D125" s="45"/>
      <c r="E125" s="45"/>
      <c r="F125" s="11" t="str">
        <f>Sheet4!G125</f>
        <v/>
      </c>
      <c r="G125" s="45"/>
      <c r="H125" s="11" t="str">
        <f t="shared" si="2"/>
        <v/>
      </c>
    </row>
    <row r="126" spans="1:8">
      <c r="A126" s="10" t="str">
        <f t="shared" si="3"/>
        <v/>
      </c>
      <c r="B126" s="11" t="str">
        <f>IF(D126="","",IF(D126&gt;0,VLOOKUP(D126,Category!$A$2:$B$31,2,FALSE),"")&amp;"-"&amp;TEXT(COUNTIF('Product List'!$D$2:'Product List'!D126,'Product List'!D126),"000"))</f>
        <v/>
      </c>
      <c r="C126" s="45"/>
      <c r="D126" s="45"/>
      <c r="E126" s="45"/>
      <c r="F126" s="11" t="str">
        <f>Sheet4!G126</f>
        <v/>
      </c>
      <c r="G126" s="45"/>
      <c r="H126" s="11" t="str">
        <f t="shared" si="2"/>
        <v/>
      </c>
    </row>
    <row r="127" spans="1:8">
      <c r="A127" s="10" t="str">
        <f t="shared" si="3"/>
        <v/>
      </c>
      <c r="B127" s="11" t="str">
        <f>IF(D127="","",IF(D127&gt;0,VLOOKUP(D127,Category!$A$2:$B$31,2,FALSE),"")&amp;"-"&amp;TEXT(COUNTIF('Product List'!$D$2:'Product List'!D127,'Product List'!D127),"000"))</f>
        <v/>
      </c>
      <c r="C127" s="45"/>
      <c r="D127" s="45"/>
      <c r="E127" s="45"/>
      <c r="F127" s="11" t="str">
        <f>Sheet4!G127</f>
        <v/>
      </c>
      <c r="G127" s="45"/>
      <c r="H127" s="11" t="str">
        <f t="shared" si="2"/>
        <v/>
      </c>
    </row>
    <row r="128" spans="1:8">
      <c r="A128" s="10" t="str">
        <f t="shared" si="3"/>
        <v/>
      </c>
      <c r="B128" s="11" t="str">
        <f>IF(D128="","",IF(D128&gt;0,VLOOKUP(D128,Category!$A$2:$B$31,2,FALSE),"")&amp;"-"&amp;TEXT(COUNTIF('Product List'!$D$2:'Product List'!D128,'Product List'!D128),"000"))</f>
        <v/>
      </c>
      <c r="C128" s="45"/>
      <c r="D128" s="45"/>
      <c r="E128" s="45"/>
      <c r="F128" s="11" t="str">
        <f>Sheet4!G128</f>
        <v/>
      </c>
      <c r="G128" s="45"/>
      <c r="H128" s="11" t="str">
        <f t="shared" si="2"/>
        <v/>
      </c>
    </row>
    <row r="129" spans="1:8">
      <c r="A129" s="10" t="str">
        <f t="shared" si="3"/>
        <v/>
      </c>
      <c r="B129" s="11" t="str">
        <f>IF(D129="","",IF(D129&gt;0,VLOOKUP(D129,Category!$A$2:$B$31,2,FALSE),"")&amp;"-"&amp;TEXT(COUNTIF('Product List'!$D$2:'Product List'!D129,'Product List'!D129),"000"))</f>
        <v/>
      </c>
      <c r="C129" s="45"/>
      <c r="D129" s="45"/>
      <c r="E129" s="45"/>
      <c r="F129" s="11" t="str">
        <f>Sheet4!G129</f>
        <v/>
      </c>
      <c r="G129" s="45"/>
      <c r="H129" s="11" t="str">
        <f t="shared" si="2"/>
        <v/>
      </c>
    </row>
    <row r="130" spans="1:8">
      <c r="A130" s="10" t="str">
        <f t="shared" si="3"/>
        <v/>
      </c>
      <c r="B130" s="11" t="str">
        <f>IF(D130="","",IF(D130&gt;0,VLOOKUP(D130,Category!$A$2:$B$31,2,FALSE),"")&amp;"-"&amp;TEXT(COUNTIF('Product List'!$D$2:'Product List'!D130,'Product List'!D130),"000"))</f>
        <v/>
      </c>
      <c r="C130" s="45"/>
      <c r="D130" s="45"/>
      <c r="E130" s="45"/>
      <c r="F130" s="11" t="str">
        <f>Sheet4!G130</f>
        <v/>
      </c>
      <c r="G130" s="45"/>
      <c r="H130" s="11" t="str">
        <f t="shared" si="2"/>
        <v/>
      </c>
    </row>
    <row r="131" spans="1:8">
      <c r="A131" s="10" t="str">
        <f t="shared" si="3"/>
        <v/>
      </c>
      <c r="B131" s="11" t="str">
        <f>IF(D131="","",IF(D131&gt;0,VLOOKUP(D131,Category!$A$2:$B$31,2,FALSE),"")&amp;"-"&amp;TEXT(COUNTIF('Product List'!$D$2:'Product List'!D131,'Product List'!D131),"000"))</f>
        <v/>
      </c>
      <c r="C131" s="45"/>
      <c r="D131" s="45"/>
      <c r="E131" s="45"/>
      <c r="F131" s="11" t="str">
        <f>Sheet4!G131</f>
        <v/>
      </c>
      <c r="G131" s="45"/>
      <c r="H131" s="11" t="str">
        <f t="shared" ref="H131:H194" si="4">IF(OR(F131="",G131=""),"",IF(F131&lt;=0,"Out of Stock",IF(F131&lt;=G131,"Low on Stock","In Stock")))</f>
        <v/>
      </c>
    </row>
    <row r="132" spans="1:8">
      <c r="A132" s="10" t="str">
        <f t="shared" ref="A132:A195" si="5">IF(C132&gt;0,A131+1,"")</f>
        <v/>
      </c>
      <c r="B132" s="11" t="str">
        <f>IF(D132="","",IF(D132&gt;0,VLOOKUP(D132,Category!$A$2:$B$31,2,FALSE),"")&amp;"-"&amp;TEXT(COUNTIF('Product List'!$D$2:'Product List'!D132,'Product List'!D132),"000"))</f>
        <v/>
      </c>
      <c r="C132" s="45"/>
      <c r="D132" s="45"/>
      <c r="E132" s="45"/>
      <c r="F132" s="11" t="str">
        <f>Sheet4!G132</f>
        <v/>
      </c>
      <c r="G132" s="45"/>
      <c r="H132" s="11" t="str">
        <f t="shared" si="4"/>
        <v/>
      </c>
    </row>
    <row r="133" spans="1:8">
      <c r="A133" s="10" t="str">
        <f t="shared" si="5"/>
        <v/>
      </c>
      <c r="B133" s="11" t="str">
        <f>IF(D133="","",IF(D133&gt;0,VLOOKUP(D133,Category!$A$2:$B$31,2,FALSE),"")&amp;"-"&amp;TEXT(COUNTIF('Product List'!$D$2:'Product List'!D133,'Product List'!D133),"000"))</f>
        <v/>
      </c>
      <c r="C133" s="45"/>
      <c r="D133" s="45"/>
      <c r="E133" s="45"/>
      <c r="F133" s="11" t="str">
        <f>Sheet4!G133</f>
        <v/>
      </c>
      <c r="G133" s="45"/>
      <c r="H133" s="11" t="str">
        <f t="shared" si="4"/>
        <v/>
      </c>
    </row>
    <row r="134" spans="1:8">
      <c r="A134" s="10" t="str">
        <f t="shared" si="5"/>
        <v/>
      </c>
      <c r="B134" s="11" t="str">
        <f>IF(D134="","",IF(D134&gt;0,VLOOKUP(D134,Category!$A$2:$B$31,2,FALSE),"")&amp;"-"&amp;TEXT(COUNTIF('Product List'!$D$2:'Product List'!D134,'Product List'!D134),"000"))</f>
        <v/>
      </c>
      <c r="C134" s="45"/>
      <c r="D134" s="45"/>
      <c r="E134" s="45"/>
      <c r="F134" s="11" t="str">
        <f>Sheet4!G134</f>
        <v/>
      </c>
      <c r="G134" s="45"/>
      <c r="H134" s="11" t="str">
        <f t="shared" si="4"/>
        <v/>
      </c>
    </row>
    <row r="135" spans="1:8">
      <c r="A135" s="10" t="str">
        <f t="shared" si="5"/>
        <v/>
      </c>
      <c r="B135" s="11" t="str">
        <f>IF(D135="","",IF(D135&gt;0,VLOOKUP(D135,Category!$A$2:$B$31,2,FALSE),"")&amp;"-"&amp;TEXT(COUNTIF('Product List'!$D$2:'Product List'!D135,'Product List'!D135),"000"))</f>
        <v/>
      </c>
      <c r="C135" s="45"/>
      <c r="D135" s="45"/>
      <c r="E135" s="45"/>
      <c r="F135" s="11" t="str">
        <f>Sheet4!G135</f>
        <v/>
      </c>
      <c r="G135" s="45"/>
      <c r="H135" s="11" t="str">
        <f t="shared" si="4"/>
        <v/>
      </c>
    </row>
    <row r="136" spans="1:8">
      <c r="A136" s="10" t="str">
        <f t="shared" si="5"/>
        <v/>
      </c>
      <c r="B136" s="11" t="str">
        <f>IF(D136="","",IF(D136&gt;0,VLOOKUP(D136,Category!$A$2:$B$31,2,FALSE),"")&amp;"-"&amp;TEXT(COUNTIF('Product List'!$D$2:'Product List'!D136,'Product List'!D136),"000"))</f>
        <v/>
      </c>
      <c r="C136" s="45"/>
      <c r="D136" s="45"/>
      <c r="E136" s="45"/>
      <c r="F136" s="11" t="str">
        <f>Sheet4!G136</f>
        <v/>
      </c>
      <c r="G136" s="45"/>
      <c r="H136" s="11" t="str">
        <f t="shared" si="4"/>
        <v/>
      </c>
    </row>
    <row r="137" spans="1:8">
      <c r="A137" s="10" t="str">
        <f t="shared" si="5"/>
        <v/>
      </c>
      <c r="B137" s="11" t="str">
        <f>IF(D137="","",IF(D137&gt;0,VLOOKUP(D137,Category!$A$2:$B$31,2,FALSE),"")&amp;"-"&amp;TEXT(COUNTIF('Product List'!$D$2:'Product List'!D137,'Product List'!D137),"000"))</f>
        <v/>
      </c>
      <c r="C137" s="45"/>
      <c r="D137" s="45"/>
      <c r="E137" s="45"/>
      <c r="F137" s="11" t="str">
        <f>Sheet4!G137</f>
        <v/>
      </c>
      <c r="G137" s="45"/>
      <c r="H137" s="11" t="str">
        <f t="shared" si="4"/>
        <v/>
      </c>
    </row>
    <row r="138" spans="1:8">
      <c r="A138" s="10" t="str">
        <f t="shared" si="5"/>
        <v/>
      </c>
      <c r="B138" s="11" t="str">
        <f>IF(D138="","",IF(D138&gt;0,VLOOKUP(D138,Category!$A$2:$B$31,2,FALSE),"")&amp;"-"&amp;TEXT(COUNTIF('Product List'!$D$2:'Product List'!D138,'Product List'!D138),"000"))</f>
        <v/>
      </c>
      <c r="C138" s="45"/>
      <c r="D138" s="45"/>
      <c r="E138" s="45"/>
      <c r="F138" s="11" t="str">
        <f>Sheet4!G138</f>
        <v/>
      </c>
      <c r="G138" s="45"/>
      <c r="H138" s="11" t="str">
        <f t="shared" si="4"/>
        <v/>
      </c>
    </row>
    <row r="139" spans="1:8">
      <c r="A139" s="10" t="str">
        <f t="shared" si="5"/>
        <v/>
      </c>
      <c r="B139" s="11" t="str">
        <f>IF(D139="","",IF(D139&gt;0,VLOOKUP(D139,Category!$A$2:$B$31,2,FALSE),"")&amp;"-"&amp;TEXT(COUNTIF('Product List'!$D$2:'Product List'!D139,'Product List'!D139),"000"))</f>
        <v/>
      </c>
      <c r="C139" s="45"/>
      <c r="D139" s="45"/>
      <c r="E139" s="45"/>
      <c r="F139" s="11" t="str">
        <f>Sheet4!G139</f>
        <v/>
      </c>
      <c r="G139" s="45"/>
      <c r="H139" s="11" t="str">
        <f t="shared" si="4"/>
        <v/>
      </c>
    </row>
    <row r="140" spans="1:8">
      <c r="A140" s="10" t="str">
        <f t="shared" si="5"/>
        <v/>
      </c>
      <c r="B140" s="11" t="str">
        <f>IF(D140="","",IF(D140&gt;0,VLOOKUP(D140,Category!$A$2:$B$31,2,FALSE),"")&amp;"-"&amp;TEXT(COUNTIF('Product List'!$D$2:'Product List'!D140,'Product List'!D140),"000"))</f>
        <v/>
      </c>
      <c r="C140" s="45"/>
      <c r="D140" s="45"/>
      <c r="E140" s="45"/>
      <c r="F140" s="11" t="str">
        <f>Sheet4!G140</f>
        <v/>
      </c>
      <c r="G140" s="45"/>
      <c r="H140" s="11" t="str">
        <f t="shared" si="4"/>
        <v/>
      </c>
    </row>
    <row r="141" spans="1:8">
      <c r="A141" s="10" t="str">
        <f t="shared" si="5"/>
        <v/>
      </c>
      <c r="B141" s="11" t="str">
        <f>IF(D141="","",IF(D141&gt;0,VLOOKUP(D141,Category!$A$2:$B$31,2,FALSE),"")&amp;"-"&amp;TEXT(COUNTIF('Product List'!$D$2:'Product List'!D141,'Product List'!D141),"000"))</f>
        <v/>
      </c>
      <c r="C141" s="45"/>
      <c r="D141" s="45"/>
      <c r="E141" s="45"/>
      <c r="F141" s="11" t="str">
        <f>Sheet4!G141</f>
        <v/>
      </c>
      <c r="G141" s="45"/>
      <c r="H141" s="11" t="str">
        <f t="shared" si="4"/>
        <v/>
      </c>
    </row>
    <row r="142" spans="1:8">
      <c r="A142" s="10" t="str">
        <f t="shared" si="5"/>
        <v/>
      </c>
      <c r="B142" s="11" t="str">
        <f>IF(D142="","",IF(D142&gt;0,VLOOKUP(D142,Category!$A$2:$B$31,2,FALSE),"")&amp;"-"&amp;TEXT(COUNTIF('Product List'!$D$2:'Product List'!D142,'Product List'!D142),"000"))</f>
        <v/>
      </c>
      <c r="C142" s="45"/>
      <c r="D142" s="45"/>
      <c r="E142" s="45"/>
      <c r="F142" s="11" t="str">
        <f>Sheet4!G142</f>
        <v/>
      </c>
      <c r="G142" s="45"/>
      <c r="H142" s="11" t="str">
        <f t="shared" si="4"/>
        <v/>
      </c>
    </row>
    <row r="143" spans="1:8">
      <c r="A143" s="10" t="str">
        <f t="shared" si="5"/>
        <v/>
      </c>
      <c r="B143" s="11" t="str">
        <f>IF(D143="","",IF(D143&gt;0,VLOOKUP(D143,Category!$A$2:$B$31,2,FALSE),"")&amp;"-"&amp;TEXT(COUNTIF('Product List'!$D$2:'Product List'!D143,'Product List'!D143),"000"))</f>
        <v/>
      </c>
      <c r="C143" s="45"/>
      <c r="D143" s="45"/>
      <c r="E143" s="45"/>
      <c r="F143" s="11" t="str">
        <f>Sheet4!G143</f>
        <v/>
      </c>
      <c r="G143" s="45"/>
      <c r="H143" s="11" t="str">
        <f t="shared" si="4"/>
        <v/>
      </c>
    </row>
    <row r="144" spans="1:8">
      <c r="A144" s="10" t="str">
        <f t="shared" si="5"/>
        <v/>
      </c>
      <c r="B144" s="11" t="str">
        <f>IF(D144="","",IF(D144&gt;0,VLOOKUP(D144,Category!$A$2:$B$31,2,FALSE),"")&amp;"-"&amp;TEXT(COUNTIF('Product List'!$D$2:'Product List'!D144,'Product List'!D144),"000"))</f>
        <v/>
      </c>
      <c r="C144" s="45"/>
      <c r="D144" s="45"/>
      <c r="E144" s="45"/>
      <c r="F144" s="11" t="str">
        <f>Sheet4!G144</f>
        <v/>
      </c>
      <c r="G144" s="45"/>
      <c r="H144" s="11" t="str">
        <f t="shared" si="4"/>
        <v/>
      </c>
    </row>
    <row r="145" spans="1:8">
      <c r="A145" s="10" t="str">
        <f t="shared" si="5"/>
        <v/>
      </c>
      <c r="B145" s="11" t="str">
        <f>IF(D145="","",IF(D145&gt;0,VLOOKUP(D145,Category!$A$2:$B$31,2,FALSE),"")&amp;"-"&amp;TEXT(COUNTIF('Product List'!$D$2:'Product List'!D145,'Product List'!D145),"000"))</f>
        <v/>
      </c>
      <c r="C145" s="45"/>
      <c r="D145" s="45"/>
      <c r="E145" s="45"/>
      <c r="F145" s="11" t="str">
        <f>Sheet4!G145</f>
        <v/>
      </c>
      <c r="G145" s="45"/>
      <c r="H145" s="11" t="str">
        <f t="shared" si="4"/>
        <v/>
      </c>
    </row>
    <row r="146" spans="1:8">
      <c r="A146" s="10" t="str">
        <f t="shared" si="5"/>
        <v/>
      </c>
      <c r="B146" s="11" t="str">
        <f>IF(D146="","",IF(D146&gt;0,VLOOKUP(D146,Category!$A$2:$B$31,2,FALSE),"")&amp;"-"&amp;TEXT(COUNTIF('Product List'!$D$2:'Product List'!D146,'Product List'!D146),"000"))</f>
        <v/>
      </c>
      <c r="C146" s="45"/>
      <c r="D146" s="45"/>
      <c r="E146" s="45"/>
      <c r="F146" s="11" t="str">
        <f>Sheet4!G146</f>
        <v/>
      </c>
      <c r="G146" s="45"/>
      <c r="H146" s="11" t="str">
        <f t="shared" si="4"/>
        <v/>
      </c>
    </row>
    <row r="147" spans="1:8">
      <c r="A147" s="10" t="str">
        <f t="shared" si="5"/>
        <v/>
      </c>
      <c r="B147" s="11" t="str">
        <f>IF(D147="","",IF(D147&gt;0,VLOOKUP(D147,Category!$A$2:$B$31,2,FALSE),"")&amp;"-"&amp;TEXT(COUNTIF('Product List'!$D$2:'Product List'!D147,'Product List'!D147),"000"))</f>
        <v/>
      </c>
      <c r="C147" s="45"/>
      <c r="D147" s="45"/>
      <c r="E147" s="45"/>
      <c r="F147" s="11" t="str">
        <f>Sheet4!G147</f>
        <v/>
      </c>
      <c r="G147" s="45"/>
      <c r="H147" s="11" t="str">
        <f t="shared" si="4"/>
        <v/>
      </c>
    </row>
    <row r="148" spans="1:8">
      <c r="A148" s="10" t="str">
        <f t="shared" si="5"/>
        <v/>
      </c>
      <c r="B148" s="11" t="str">
        <f>IF(D148="","",IF(D148&gt;0,VLOOKUP(D148,Category!$A$2:$B$31,2,FALSE),"")&amp;"-"&amp;TEXT(COUNTIF('Product List'!$D$2:'Product List'!D148,'Product List'!D148),"000"))</f>
        <v/>
      </c>
      <c r="C148" s="45"/>
      <c r="D148" s="45"/>
      <c r="E148" s="45"/>
      <c r="F148" s="11" t="str">
        <f>Sheet4!G148</f>
        <v/>
      </c>
      <c r="G148" s="45"/>
      <c r="H148" s="11" t="str">
        <f t="shared" si="4"/>
        <v/>
      </c>
    </row>
    <row r="149" spans="1:8">
      <c r="A149" s="10" t="str">
        <f t="shared" si="5"/>
        <v/>
      </c>
      <c r="B149" s="11" t="str">
        <f>IF(D149="","",IF(D149&gt;0,VLOOKUP(D149,Category!$A$2:$B$31,2,FALSE),"")&amp;"-"&amp;TEXT(COUNTIF('Product List'!$D$2:'Product List'!D149,'Product List'!D149),"000"))</f>
        <v/>
      </c>
      <c r="C149" s="45"/>
      <c r="D149" s="45"/>
      <c r="E149" s="45"/>
      <c r="F149" s="11" t="str">
        <f>Sheet4!G149</f>
        <v/>
      </c>
      <c r="G149" s="45"/>
      <c r="H149" s="11" t="str">
        <f t="shared" si="4"/>
        <v/>
      </c>
    </row>
    <row r="150" spans="1:8">
      <c r="A150" s="10" t="str">
        <f t="shared" si="5"/>
        <v/>
      </c>
      <c r="B150" s="11" t="str">
        <f>IF(D150="","",IF(D150&gt;0,VLOOKUP(D150,Category!$A$2:$B$31,2,FALSE),"")&amp;"-"&amp;TEXT(COUNTIF('Product List'!$D$2:'Product List'!D150,'Product List'!D150),"000"))</f>
        <v/>
      </c>
      <c r="C150" s="45"/>
      <c r="D150" s="45"/>
      <c r="E150" s="45"/>
      <c r="F150" s="11" t="str">
        <f>Sheet4!G150</f>
        <v/>
      </c>
      <c r="G150" s="45"/>
      <c r="H150" s="11" t="str">
        <f t="shared" si="4"/>
        <v/>
      </c>
    </row>
    <row r="151" spans="1:8">
      <c r="A151" s="10" t="str">
        <f t="shared" si="5"/>
        <v/>
      </c>
      <c r="B151" s="11" t="str">
        <f>IF(D151="","",IF(D151&gt;0,VLOOKUP(D151,Category!$A$2:$B$31,2,FALSE),"")&amp;"-"&amp;TEXT(COUNTIF('Product List'!$D$2:'Product List'!D151,'Product List'!D151),"000"))</f>
        <v/>
      </c>
      <c r="C151" s="45"/>
      <c r="D151" s="45"/>
      <c r="E151" s="45"/>
      <c r="F151" s="11" t="str">
        <f>Sheet4!G151</f>
        <v/>
      </c>
      <c r="G151" s="45"/>
      <c r="H151" s="11" t="str">
        <f t="shared" si="4"/>
        <v/>
      </c>
    </row>
    <row r="152" spans="1:8">
      <c r="A152" s="10" t="str">
        <f t="shared" si="5"/>
        <v/>
      </c>
      <c r="B152" s="11" t="str">
        <f>IF(D152="","",IF(D152&gt;0,VLOOKUP(D152,Category!$A$2:$B$31,2,FALSE),"")&amp;"-"&amp;TEXT(COUNTIF('Product List'!$D$2:'Product List'!D152,'Product List'!D152),"000"))</f>
        <v/>
      </c>
      <c r="C152" s="45"/>
      <c r="D152" s="45"/>
      <c r="E152" s="45"/>
      <c r="F152" s="11" t="str">
        <f>Sheet4!G152</f>
        <v/>
      </c>
      <c r="G152" s="45"/>
      <c r="H152" s="11" t="str">
        <f t="shared" si="4"/>
        <v/>
      </c>
    </row>
    <row r="153" spans="1:8">
      <c r="A153" s="10" t="str">
        <f t="shared" si="5"/>
        <v/>
      </c>
      <c r="B153" s="11" t="str">
        <f>IF(D153="","",IF(D153&gt;0,VLOOKUP(D153,Category!$A$2:$B$31,2,FALSE),"")&amp;"-"&amp;TEXT(COUNTIF('Product List'!$D$2:'Product List'!D153,'Product List'!D153),"000"))</f>
        <v/>
      </c>
      <c r="C153" s="45"/>
      <c r="D153" s="45"/>
      <c r="E153" s="45"/>
      <c r="F153" s="11" t="str">
        <f>Sheet4!G153</f>
        <v/>
      </c>
      <c r="G153" s="45"/>
      <c r="H153" s="11" t="str">
        <f t="shared" si="4"/>
        <v/>
      </c>
    </row>
    <row r="154" spans="1:8">
      <c r="A154" s="10" t="str">
        <f t="shared" si="5"/>
        <v/>
      </c>
      <c r="B154" s="11" t="str">
        <f>IF(D154="","",IF(D154&gt;0,VLOOKUP(D154,Category!$A$2:$B$31,2,FALSE),"")&amp;"-"&amp;TEXT(COUNTIF('Product List'!$D$2:'Product List'!D154,'Product List'!D154),"000"))</f>
        <v/>
      </c>
      <c r="C154" s="45"/>
      <c r="D154" s="45"/>
      <c r="E154" s="45"/>
      <c r="F154" s="11" t="str">
        <f>Sheet4!G154</f>
        <v/>
      </c>
      <c r="G154" s="45"/>
      <c r="H154" s="11" t="str">
        <f t="shared" si="4"/>
        <v/>
      </c>
    </row>
    <row r="155" spans="1:8">
      <c r="A155" s="10" t="str">
        <f t="shared" si="5"/>
        <v/>
      </c>
      <c r="B155" s="11" t="str">
        <f>IF(D155="","",IF(D155&gt;0,VLOOKUP(D155,Category!$A$2:$B$31,2,FALSE),"")&amp;"-"&amp;TEXT(COUNTIF('Product List'!$D$2:'Product List'!D155,'Product List'!D155),"000"))</f>
        <v/>
      </c>
      <c r="C155" s="45"/>
      <c r="D155" s="45"/>
      <c r="E155" s="45"/>
      <c r="F155" s="11" t="str">
        <f>Sheet4!G155</f>
        <v/>
      </c>
      <c r="G155" s="45"/>
      <c r="H155" s="11" t="str">
        <f t="shared" si="4"/>
        <v/>
      </c>
    </row>
    <row r="156" spans="1:8">
      <c r="A156" s="10" t="str">
        <f t="shared" si="5"/>
        <v/>
      </c>
      <c r="B156" s="11" t="str">
        <f>IF(D156="","",IF(D156&gt;0,VLOOKUP(D156,Category!$A$2:$B$31,2,FALSE),"")&amp;"-"&amp;TEXT(COUNTIF('Product List'!$D$2:'Product List'!D156,'Product List'!D156),"000"))</f>
        <v/>
      </c>
      <c r="C156" s="45"/>
      <c r="D156" s="45"/>
      <c r="E156" s="45"/>
      <c r="F156" s="11" t="str">
        <f>Sheet4!G156</f>
        <v/>
      </c>
      <c r="G156" s="45"/>
      <c r="H156" s="11" t="str">
        <f t="shared" si="4"/>
        <v/>
      </c>
    </row>
    <row r="157" spans="1:8">
      <c r="A157" s="10" t="str">
        <f t="shared" si="5"/>
        <v/>
      </c>
      <c r="B157" s="11" t="str">
        <f>IF(D157="","",IF(D157&gt;0,VLOOKUP(D157,Category!$A$2:$B$31,2,FALSE),"")&amp;"-"&amp;TEXT(COUNTIF('Product List'!$D$2:'Product List'!D157,'Product List'!D157),"000"))</f>
        <v/>
      </c>
      <c r="C157" s="45"/>
      <c r="D157" s="45"/>
      <c r="E157" s="45"/>
      <c r="F157" s="11" t="str">
        <f>Sheet4!G157</f>
        <v/>
      </c>
      <c r="G157" s="45"/>
      <c r="H157" s="11" t="str">
        <f t="shared" si="4"/>
        <v/>
      </c>
    </row>
    <row r="158" spans="1:8">
      <c r="A158" s="10" t="str">
        <f t="shared" si="5"/>
        <v/>
      </c>
      <c r="B158" s="11" t="str">
        <f>IF(D158="","",IF(D158&gt;0,VLOOKUP(D158,Category!$A$2:$B$31,2,FALSE),"")&amp;"-"&amp;TEXT(COUNTIF('Product List'!$D$2:'Product List'!D158,'Product List'!D158),"000"))</f>
        <v/>
      </c>
      <c r="C158" s="45"/>
      <c r="D158" s="45"/>
      <c r="E158" s="45"/>
      <c r="F158" s="11" t="str">
        <f>Sheet4!G158</f>
        <v/>
      </c>
      <c r="G158" s="45"/>
      <c r="H158" s="11" t="str">
        <f t="shared" si="4"/>
        <v/>
      </c>
    </row>
    <row r="159" spans="1:8">
      <c r="A159" s="10" t="str">
        <f t="shared" si="5"/>
        <v/>
      </c>
      <c r="B159" s="11" t="str">
        <f>IF(D159="","",IF(D159&gt;0,VLOOKUP(D159,Category!$A$2:$B$31,2,FALSE),"")&amp;"-"&amp;TEXT(COUNTIF('Product List'!$D$2:'Product List'!D159,'Product List'!D159),"000"))</f>
        <v/>
      </c>
      <c r="C159" s="45"/>
      <c r="D159" s="45"/>
      <c r="E159" s="45"/>
      <c r="F159" s="11" t="str">
        <f>Sheet4!G159</f>
        <v/>
      </c>
      <c r="G159" s="45"/>
      <c r="H159" s="11" t="str">
        <f t="shared" si="4"/>
        <v/>
      </c>
    </row>
    <row r="160" spans="1:8">
      <c r="A160" s="10" t="str">
        <f t="shared" si="5"/>
        <v/>
      </c>
      <c r="B160" s="11" t="str">
        <f>IF(D160="","",IF(D160&gt;0,VLOOKUP(D160,Category!$A$2:$B$31,2,FALSE),"")&amp;"-"&amp;TEXT(COUNTIF('Product List'!$D$2:'Product List'!D160,'Product List'!D160),"000"))</f>
        <v/>
      </c>
      <c r="C160" s="45"/>
      <c r="D160" s="45"/>
      <c r="E160" s="45"/>
      <c r="F160" s="11" t="str">
        <f>Sheet4!G160</f>
        <v/>
      </c>
      <c r="G160" s="45"/>
      <c r="H160" s="11" t="str">
        <f t="shared" si="4"/>
        <v/>
      </c>
    </row>
    <row r="161" spans="1:8">
      <c r="A161" s="10" t="str">
        <f t="shared" si="5"/>
        <v/>
      </c>
      <c r="B161" s="11" t="str">
        <f>IF(D161="","",IF(D161&gt;0,VLOOKUP(D161,Category!$A$2:$B$31,2,FALSE),"")&amp;"-"&amp;TEXT(COUNTIF('Product List'!$D$2:'Product List'!D161,'Product List'!D161),"000"))</f>
        <v/>
      </c>
      <c r="C161" s="45"/>
      <c r="D161" s="45"/>
      <c r="E161" s="45"/>
      <c r="F161" s="11" t="str">
        <f>Sheet4!G161</f>
        <v/>
      </c>
      <c r="G161" s="45"/>
      <c r="H161" s="11" t="str">
        <f t="shared" si="4"/>
        <v/>
      </c>
    </row>
    <row r="162" spans="1:8">
      <c r="A162" s="10" t="str">
        <f t="shared" si="5"/>
        <v/>
      </c>
      <c r="B162" s="11" t="str">
        <f>IF(D162="","",IF(D162&gt;0,VLOOKUP(D162,Category!$A$2:$B$31,2,FALSE),"")&amp;"-"&amp;TEXT(COUNTIF('Product List'!$D$2:'Product List'!D162,'Product List'!D162),"000"))</f>
        <v/>
      </c>
      <c r="C162" s="45"/>
      <c r="D162" s="45"/>
      <c r="E162" s="45"/>
      <c r="F162" s="11" t="str">
        <f>Sheet4!G162</f>
        <v/>
      </c>
      <c r="G162" s="45"/>
      <c r="H162" s="11" t="str">
        <f t="shared" si="4"/>
        <v/>
      </c>
    </row>
    <row r="163" spans="1:8">
      <c r="A163" s="10" t="str">
        <f t="shared" si="5"/>
        <v/>
      </c>
      <c r="B163" s="11" t="str">
        <f>IF(D163="","",IF(D163&gt;0,VLOOKUP(D163,Category!$A$2:$B$31,2,FALSE),"")&amp;"-"&amp;TEXT(COUNTIF('Product List'!$D$2:'Product List'!D163,'Product List'!D163),"000"))</f>
        <v/>
      </c>
      <c r="C163" s="45"/>
      <c r="D163" s="45"/>
      <c r="E163" s="45"/>
      <c r="F163" s="11" t="str">
        <f>Sheet4!G163</f>
        <v/>
      </c>
      <c r="G163" s="45"/>
      <c r="H163" s="11" t="str">
        <f t="shared" si="4"/>
        <v/>
      </c>
    </row>
    <row r="164" spans="1:8">
      <c r="A164" s="10" t="str">
        <f t="shared" si="5"/>
        <v/>
      </c>
      <c r="B164" s="11" t="str">
        <f>IF(D164="","",IF(D164&gt;0,VLOOKUP(D164,Category!$A$2:$B$31,2,FALSE),"")&amp;"-"&amp;TEXT(COUNTIF('Product List'!$D$2:'Product List'!D164,'Product List'!D164),"000"))</f>
        <v/>
      </c>
      <c r="C164" s="45"/>
      <c r="D164" s="45"/>
      <c r="E164" s="45"/>
      <c r="F164" s="11" t="str">
        <f>Sheet4!G164</f>
        <v/>
      </c>
      <c r="G164" s="45"/>
      <c r="H164" s="11" t="str">
        <f t="shared" si="4"/>
        <v/>
      </c>
    </row>
    <row r="165" spans="1:8">
      <c r="A165" s="10" t="str">
        <f t="shared" si="5"/>
        <v/>
      </c>
      <c r="B165" s="11" t="str">
        <f>IF(D165="","",IF(D165&gt;0,VLOOKUP(D165,Category!$A$2:$B$31,2,FALSE),"")&amp;"-"&amp;TEXT(COUNTIF('Product List'!$D$2:'Product List'!D165,'Product List'!D165),"000"))</f>
        <v/>
      </c>
      <c r="C165" s="45"/>
      <c r="D165" s="45"/>
      <c r="E165" s="45"/>
      <c r="F165" s="11" t="str">
        <f>Sheet4!G165</f>
        <v/>
      </c>
      <c r="G165" s="45"/>
      <c r="H165" s="11" t="str">
        <f t="shared" si="4"/>
        <v/>
      </c>
    </row>
    <row r="166" spans="1:8">
      <c r="A166" s="10" t="str">
        <f t="shared" si="5"/>
        <v/>
      </c>
      <c r="B166" s="11" t="str">
        <f>IF(D166="","",IF(D166&gt;0,VLOOKUP(D166,Category!$A$2:$B$31,2,FALSE),"")&amp;"-"&amp;TEXT(COUNTIF('Product List'!$D$2:'Product List'!D166,'Product List'!D166),"000"))</f>
        <v/>
      </c>
      <c r="C166" s="45"/>
      <c r="D166" s="45"/>
      <c r="E166" s="45"/>
      <c r="F166" s="11" t="str">
        <f>Sheet4!G166</f>
        <v/>
      </c>
      <c r="G166" s="45"/>
      <c r="H166" s="11" t="str">
        <f t="shared" si="4"/>
        <v/>
      </c>
    </row>
    <row r="167" spans="1:8">
      <c r="A167" s="10" t="str">
        <f t="shared" si="5"/>
        <v/>
      </c>
      <c r="B167" s="11" t="str">
        <f>IF(D167="","",IF(D167&gt;0,VLOOKUP(D167,Category!$A$2:$B$31,2,FALSE),"")&amp;"-"&amp;TEXT(COUNTIF('Product List'!$D$2:'Product List'!D167,'Product List'!D167),"000"))</f>
        <v/>
      </c>
      <c r="C167" s="45"/>
      <c r="D167" s="45"/>
      <c r="E167" s="45"/>
      <c r="F167" s="11" t="str">
        <f>Sheet4!G167</f>
        <v/>
      </c>
      <c r="G167" s="45"/>
      <c r="H167" s="11" t="str">
        <f t="shared" si="4"/>
        <v/>
      </c>
    </row>
    <row r="168" spans="1:8">
      <c r="A168" s="10" t="str">
        <f t="shared" si="5"/>
        <v/>
      </c>
      <c r="B168" s="11" t="str">
        <f>IF(D168="","",IF(D168&gt;0,VLOOKUP(D168,Category!$A$2:$B$31,2,FALSE),"")&amp;"-"&amp;TEXT(COUNTIF('Product List'!$D$2:'Product List'!D168,'Product List'!D168),"000"))</f>
        <v/>
      </c>
      <c r="C168" s="45"/>
      <c r="D168" s="45"/>
      <c r="E168" s="45"/>
      <c r="F168" s="11" t="str">
        <f>Sheet4!G168</f>
        <v/>
      </c>
      <c r="G168" s="45"/>
      <c r="H168" s="11" t="str">
        <f t="shared" si="4"/>
        <v/>
      </c>
    </row>
    <row r="169" spans="1:8">
      <c r="A169" s="10" t="str">
        <f t="shared" si="5"/>
        <v/>
      </c>
      <c r="B169" s="11" t="str">
        <f>IF(D169="","",IF(D169&gt;0,VLOOKUP(D169,Category!$A$2:$B$31,2,FALSE),"")&amp;"-"&amp;TEXT(COUNTIF('Product List'!$D$2:'Product List'!D169,'Product List'!D169),"000"))</f>
        <v/>
      </c>
      <c r="C169" s="45"/>
      <c r="D169" s="45"/>
      <c r="E169" s="45"/>
      <c r="F169" s="11" t="str">
        <f>Sheet4!G169</f>
        <v/>
      </c>
      <c r="G169" s="45"/>
      <c r="H169" s="11" t="str">
        <f t="shared" si="4"/>
        <v/>
      </c>
    </row>
    <row r="170" spans="1:8">
      <c r="A170" s="10" t="str">
        <f t="shared" si="5"/>
        <v/>
      </c>
      <c r="B170" s="11" t="str">
        <f>IF(D170="","",IF(D170&gt;0,VLOOKUP(D170,Category!$A$2:$B$31,2,FALSE),"")&amp;"-"&amp;TEXT(COUNTIF('Product List'!$D$2:'Product List'!D170,'Product List'!D170),"000"))</f>
        <v/>
      </c>
      <c r="C170" s="45"/>
      <c r="D170" s="45"/>
      <c r="E170" s="45"/>
      <c r="F170" s="11" t="str">
        <f>Sheet4!G170</f>
        <v/>
      </c>
      <c r="G170" s="45"/>
      <c r="H170" s="11" t="str">
        <f t="shared" si="4"/>
        <v/>
      </c>
    </row>
    <row r="171" spans="1:8">
      <c r="A171" s="10" t="str">
        <f t="shared" si="5"/>
        <v/>
      </c>
      <c r="B171" s="11" t="str">
        <f>IF(D171="","",IF(D171&gt;0,VLOOKUP(D171,Category!$A$2:$B$31,2,FALSE),"")&amp;"-"&amp;TEXT(COUNTIF('Product List'!$D$2:'Product List'!D171,'Product List'!D171),"000"))</f>
        <v/>
      </c>
      <c r="C171" s="45"/>
      <c r="D171" s="45"/>
      <c r="E171" s="45"/>
      <c r="F171" s="11" t="str">
        <f>Sheet4!G171</f>
        <v/>
      </c>
      <c r="G171" s="45"/>
      <c r="H171" s="11" t="str">
        <f t="shared" si="4"/>
        <v/>
      </c>
    </row>
    <row r="172" spans="1:8">
      <c r="A172" s="10" t="str">
        <f t="shared" si="5"/>
        <v/>
      </c>
      <c r="B172" s="11" t="str">
        <f>IF(D172="","",IF(D172&gt;0,VLOOKUP(D172,Category!$A$2:$B$31,2,FALSE),"")&amp;"-"&amp;TEXT(COUNTIF('Product List'!$D$2:'Product List'!D172,'Product List'!D172),"000"))</f>
        <v/>
      </c>
      <c r="C172" s="45"/>
      <c r="D172" s="45"/>
      <c r="E172" s="45"/>
      <c r="F172" s="11" t="str">
        <f>Sheet4!G172</f>
        <v/>
      </c>
      <c r="G172" s="45"/>
      <c r="H172" s="11" t="str">
        <f t="shared" si="4"/>
        <v/>
      </c>
    </row>
    <row r="173" spans="1:8">
      <c r="A173" s="10" t="str">
        <f t="shared" si="5"/>
        <v/>
      </c>
      <c r="B173" s="11" t="str">
        <f>IF(D173="","",IF(D173&gt;0,VLOOKUP(D173,Category!$A$2:$B$31,2,FALSE),"")&amp;"-"&amp;TEXT(COUNTIF('Product List'!$D$2:'Product List'!D173,'Product List'!D173),"000"))</f>
        <v/>
      </c>
      <c r="C173" s="45"/>
      <c r="D173" s="45"/>
      <c r="E173" s="45"/>
      <c r="F173" s="11" t="str">
        <f>Sheet4!G173</f>
        <v/>
      </c>
      <c r="G173" s="45"/>
      <c r="H173" s="11" t="str">
        <f t="shared" si="4"/>
        <v/>
      </c>
    </row>
    <row r="174" spans="1:8">
      <c r="A174" s="10" t="str">
        <f t="shared" si="5"/>
        <v/>
      </c>
      <c r="B174" s="11" t="str">
        <f>IF(D174="","",IF(D174&gt;0,VLOOKUP(D174,Category!$A$2:$B$31,2,FALSE),"")&amp;"-"&amp;TEXT(COUNTIF('Product List'!$D$2:'Product List'!D174,'Product List'!D174),"000"))</f>
        <v/>
      </c>
      <c r="C174" s="45"/>
      <c r="D174" s="45"/>
      <c r="E174" s="45"/>
      <c r="F174" s="11" t="str">
        <f>Sheet4!G174</f>
        <v/>
      </c>
      <c r="G174" s="45"/>
      <c r="H174" s="11" t="str">
        <f t="shared" si="4"/>
        <v/>
      </c>
    </row>
    <row r="175" spans="1:8">
      <c r="A175" s="10" t="str">
        <f t="shared" si="5"/>
        <v/>
      </c>
      <c r="B175" s="11" t="str">
        <f>IF(D175="","",IF(D175&gt;0,VLOOKUP(D175,Category!$A$2:$B$31,2,FALSE),"")&amp;"-"&amp;TEXT(COUNTIF('Product List'!$D$2:'Product List'!D175,'Product List'!D175),"000"))</f>
        <v/>
      </c>
      <c r="C175" s="45"/>
      <c r="D175" s="45"/>
      <c r="E175" s="45"/>
      <c r="F175" s="11" t="str">
        <f>Sheet4!G175</f>
        <v/>
      </c>
      <c r="G175" s="45"/>
      <c r="H175" s="11" t="str">
        <f t="shared" si="4"/>
        <v/>
      </c>
    </row>
    <row r="176" spans="1:8">
      <c r="A176" s="10" t="str">
        <f t="shared" si="5"/>
        <v/>
      </c>
      <c r="B176" s="11" t="str">
        <f>IF(D176="","",IF(D176&gt;0,VLOOKUP(D176,Category!$A$2:$B$31,2,FALSE),"")&amp;"-"&amp;TEXT(COUNTIF('Product List'!$D$2:'Product List'!D176,'Product List'!D176),"000"))</f>
        <v/>
      </c>
      <c r="C176" s="45"/>
      <c r="D176" s="45"/>
      <c r="E176" s="45"/>
      <c r="F176" s="11" t="str">
        <f>Sheet4!G176</f>
        <v/>
      </c>
      <c r="G176" s="45"/>
      <c r="H176" s="11" t="str">
        <f t="shared" si="4"/>
        <v/>
      </c>
    </row>
    <row r="177" spans="1:8">
      <c r="A177" s="10" t="str">
        <f t="shared" si="5"/>
        <v/>
      </c>
      <c r="B177" s="11" t="str">
        <f>IF(D177="","",IF(D177&gt;0,VLOOKUP(D177,Category!$A$2:$B$31,2,FALSE),"")&amp;"-"&amp;TEXT(COUNTIF('Product List'!$D$2:'Product List'!D177,'Product List'!D177),"000"))</f>
        <v/>
      </c>
      <c r="C177" s="45"/>
      <c r="D177" s="45"/>
      <c r="E177" s="45"/>
      <c r="F177" s="11" t="str">
        <f>Sheet4!G177</f>
        <v/>
      </c>
      <c r="G177" s="45"/>
      <c r="H177" s="11" t="str">
        <f t="shared" si="4"/>
        <v/>
      </c>
    </row>
    <row r="178" spans="1:8">
      <c r="A178" s="10" t="str">
        <f t="shared" si="5"/>
        <v/>
      </c>
      <c r="B178" s="11" t="str">
        <f>IF(D178="","",IF(D178&gt;0,VLOOKUP(D178,Category!$A$2:$B$31,2,FALSE),"")&amp;"-"&amp;TEXT(COUNTIF('Product List'!$D$2:'Product List'!D178,'Product List'!D178),"000"))</f>
        <v/>
      </c>
      <c r="C178" s="45"/>
      <c r="D178" s="45"/>
      <c r="E178" s="45"/>
      <c r="F178" s="11" t="str">
        <f>Sheet4!G178</f>
        <v/>
      </c>
      <c r="G178" s="45"/>
      <c r="H178" s="11" t="str">
        <f t="shared" si="4"/>
        <v/>
      </c>
    </row>
    <row r="179" spans="1:8">
      <c r="A179" s="10" t="str">
        <f t="shared" si="5"/>
        <v/>
      </c>
      <c r="B179" s="11" t="str">
        <f>IF(D179="","",IF(D179&gt;0,VLOOKUP(D179,Category!$A$2:$B$31,2,FALSE),"")&amp;"-"&amp;TEXT(COUNTIF('Product List'!$D$2:'Product List'!D179,'Product List'!D179),"000"))</f>
        <v/>
      </c>
      <c r="C179" s="45"/>
      <c r="D179" s="45"/>
      <c r="E179" s="45"/>
      <c r="F179" s="11" t="str">
        <f>Sheet4!G179</f>
        <v/>
      </c>
      <c r="G179" s="45"/>
      <c r="H179" s="11" t="str">
        <f t="shared" si="4"/>
        <v/>
      </c>
    </row>
    <row r="180" spans="1:8">
      <c r="A180" s="10" t="str">
        <f t="shared" si="5"/>
        <v/>
      </c>
      <c r="B180" s="11" t="str">
        <f>IF(D180="","",IF(D180&gt;0,VLOOKUP(D180,Category!$A$2:$B$31,2,FALSE),"")&amp;"-"&amp;TEXT(COUNTIF('Product List'!$D$2:'Product List'!D180,'Product List'!D180),"000"))</f>
        <v/>
      </c>
      <c r="C180" s="45"/>
      <c r="D180" s="45"/>
      <c r="E180" s="45"/>
      <c r="F180" s="11" t="str">
        <f>Sheet4!G180</f>
        <v/>
      </c>
      <c r="G180" s="45"/>
      <c r="H180" s="11" t="str">
        <f t="shared" si="4"/>
        <v/>
      </c>
    </row>
    <row r="181" spans="1:8">
      <c r="A181" s="10" t="str">
        <f t="shared" si="5"/>
        <v/>
      </c>
      <c r="B181" s="11" t="str">
        <f>IF(D181="","",IF(D181&gt;0,VLOOKUP(D181,Category!$A$2:$B$31,2,FALSE),"")&amp;"-"&amp;TEXT(COUNTIF('Product List'!$D$2:'Product List'!D181,'Product List'!D181),"000"))</f>
        <v/>
      </c>
      <c r="C181" s="45"/>
      <c r="D181" s="45"/>
      <c r="E181" s="45"/>
      <c r="F181" s="11" t="str">
        <f>Sheet4!G181</f>
        <v/>
      </c>
      <c r="G181" s="45"/>
      <c r="H181" s="11" t="str">
        <f t="shared" si="4"/>
        <v/>
      </c>
    </row>
    <row r="182" spans="1:8">
      <c r="A182" s="10" t="str">
        <f t="shared" si="5"/>
        <v/>
      </c>
      <c r="B182" s="11" t="str">
        <f>IF(D182="","",IF(D182&gt;0,VLOOKUP(D182,Category!$A$2:$B$31,2,FALSE),"")&amp;"-"&amp;TEXT(COUNTIF('Product List'!$D$2:'Product List'!D182,'Product List'!D182),"000"))</f>
        <v/>
      </c>
      <c r="C182" s="45"/>
      <c r="D182" s="45"/>
      <c r="E182" s="45"/>
      <c r="F182" s="11" t="str">
        <f>Sheet4!G182</f>
        <v/>
      </c>
      <c r="G182" s="45"/>
      <c r="H182" s="11" t="str">
        <f t="shared" si="4"/>
        <v/>
      </c>
    </row>
    <row r="183" spans="1:8">
      <c r="A183" s="10" t="str">
        <f t="shared" si="5"/>
        <v/>
      </c>
      <c r="B183" s="11" t="str">
        <f>IF(D183="","",IF(D183&gt;0,VLOOKUP(D183,Category!$A$2:$B$31,2,FALSE),"")&amp;"-"&amp;TEXT(COUNTIF('Product List'!$D$2:'Product List'!D183,'Product List'!D183),"000"))</f>
        <v/>
      </c>
      <c r="C183" s="45"/>
      <c r="D183" s="45"/>
      <c r="E183" s="45"/>
      <c r="F183" s="11" t="str">
        <f>Sheet4!G183</f>
        <v/>
      </c>
      <c r="G183" s="45"/>
      <c r="H183" s="11" t="str">
        <f t="shared" si="4"/>
        <v/>
      </c>
    </row>
    <row r="184" spans="1:8">
      <c r="A184" s="10" t="str">
        <f t="shared" si="5"/>
        <v/>
      </c>
      <c r="B184" s="11" t="str">
        <f>IF(D184="","",IF(D184&gt;0,VLOOKUP(D184,Category!$A$2:$B$31,2,FALSE),"")&amp;"-"&amp;TEXT(COUNTIF('Product List'!$D$2:'Product List'!D184,'Product List'!D184),"000"))</f>
        <v/>
      </c>
      <c r="C184" s="45"/>
      <c r="D184" s="45"/>
      <c r="E184" s="45"/>
      <c r="F184" s="11" t="str">
        <f>Sheet4!G184</f>
        <v/>
      </c>
      <c r="G184" s="45"/>
      <c r="H184" s="11" t="str">
        <f t="shared" si="4"/>
        <v/>
      </c>
    </row>
    <row r="185" spans="1:8">
      <c r="A185" s="10" t="str">
        <f t="shared" si="5"/>
        <v/>
      </c>
      <c r="B185" s="11" t="str">
        <f>IF(D185="","",IF(D185&gt;0,VLOOKUP(D185,Category!$A$2:$B$31,2,FALSE),"")&amp;"-"&amp;TEXT(COUNTIF('Product List'!$D$2:'Product List'!D185,'Product List'!D185),"000"))</f>
        <v/>
      </c>
      <c r="C185" s="45"/>
      <c r="D185" s="45"/>
      <c r="E185" s="45"/>
      <c r="F185" s="11" t="str">
        <f>Sheet4!G185</f>
        <v/>
      </c>
      <c r="G185" s="45"/>
      <c r="H185" s="11" t="str">
        <f t="shared" si="4"/>
        <v/>
      </c>
    </row>
    <row r="186" spans="1:8">
      <c r="A186" s="10" t="str">
        <f t="shared" si="5"/>
        <v/>
      </c>
      <c r="B186" s="11" t="str">
        <f>IF(D186="","",IF(D186&gt;0,VLOOKUP(D186,Category!$A$2:$B$31,2,FALSE),"")&amp;"-"&amp;TEXT(COUNTIF('Product List'!$D$2:'Product List'!D186,'Product List'!D186),"000"))</f>
        <v/>
      </c>
      <c r="C186" s="45"/>
      <c r="D186" s="45"/>
      <c r="E186" s="45"/>
      <c r="F186" s="11" t="str">
        <f>Sheet4!G186</f>
        <v/>
      </c>
      <c r="G186" s="45"/>
      <c r="H186" s="11" t="str">
        <f t="shared" si="4"/>
        <v/>
      </c>
    </row>
    <row r="187" spans="1:8">
      <c r="A187" s="10" t="str">
        <f t="shared" si="5"/>
        <v/>
      </c>
      <c r="B187" s="11" t="str">
        <f>IF(D187="","",IF(D187&gt;0,VLOOKUP(D187,Category!$A$2:$B$31,2,FALSE),"")&amp;"-"&amp;TEXT(COUNTIF('Product List'!$D$2:'Product List'!D187,'Product List'!D187),"000"))</f>
        <v/>
      </c>
      <c r="C187" s="45"/>
      <c r="D187" s="45"/>
      <c r="E187" s="45"/>
      <c r="F187" s="11" t="str">
        <f>Sheet4!G187</f>
        <v/>
      </c>
      <c r="G187" s="45"/>
      <c r="H187" s="11" t="str">
        <f t="shared" si="4"/>
        <v/>
      </c>
    </row>
    <row r="188" spans="1:8">
      <c r="A188" s="10" t="str">
        <f t="shared" si="5"/>
        <v/>
      </c>
      <c r="B188" s="11" t="str">
        <f>IF(D188="","",IF(D188&gt;0,VLOOKUP(D188,Category!$A$2:$B$31,2,FALSE),"")&amp;"-"&amp;TEXT(COUNTIF('Product List'!$D$2:'Product List'!D188,'Product List'!D188),"000"))</f>
        <v/>
      </c>
      <c r="C188" s="45"/>
      <c r="D188" s="45"/>
      <c r="E188" s="45"/>
      <c r="F188" s="11" t="str">
        <f>Sheet4!G188</f>
        <v/>
      </c>
      <c r="G188" s="45"/>
      <c r="H188" s="11" t="str">
        <f t="shared" si="4"/>
        <v/>
      </c>
    </row>
    <row r="189" spans="1:8">
      <c r="A189" s="10" t="str">
        <f t="shared" si="5"/>
        <v/>
      </c>
      <c r="B189" s="11" t="str">
        <f>IF(D189="","",IF(D189&gt;0,VLOOKUP(D189,Category!$A$2:$B$31,2,FALSE),"")&amp;"-"&amp;TEXT(COUNTIF('Product List'!$D$2:'Product List'!D189,'Product List'!D189),"000"))</f>
        <v/>
      </c>
      <c r="C189" s="45"/>
      <c r="D189" s="45"/>
      <c r="E189" s="45"/>
      <c r="F189" s="11" t="str">
        <f>Sheet4!G189</f>
        <v/>
      </c>
      <c r="G189" s="45"/>
      <c r="H189" s="11" t="str">
        <f t="shared" si="4"/>
        <v/>
      </c>
    </row>
    <row r="190" spans="1:8">
      <c r="A190" s="10" t="str">
        <f t="shared" si="5"/>
        <v/>
      </c>
      <c r="B190" s="11" t="str">
        <f>IF(D190="","",IF(D190&gt;0,VLOOKUP(D190,Category!$A$2:$B$31,2,FALSE),"")&amp;"-"&amp;TEXT(COUNTIF('Product List'!$D$2:'Product List'!D190,'Product List'!D190),"000"))</f>
        <v/>
      </c>
      <c r="C190" s="45"/>
      <c r="D190" s="45"/>
      <c r="E190" s="45"/>
      <c r="F190" s="11" t="str">
        <f>Sheet4!G190</f>
        <v/>
      </c>
      <c r="G190" s="45"/>
      <c r="H190" s="11" t="str">
        <f t="shared" si="4"/>
        <v/>
      </c>
    </row>
    <row r="191" spans="1:8">
      <c r="A191" s="10" t="str">
        <f t="shared" si="5"/>
        <v/>
      </c>
      <c r="B191" s="11" t="str">
        <f>IF(D191="","",IF(D191&gt;0,VLOOKUP(D191,Category!$A$2:$B$31,2,FALSE),"")&amp;"-"&amp;TEXT(COUNTIF('Product List'!$D$2:'Product List'!D191,'Product List'!D191),"000"))</f>
        <v/>
      </c>
      <c r="C191" s="45"/>
      <c r="D191" s="45"/>
      <c r="E191" s="45"/>
      <c r="F191" s="11" t="str">
        <f>Sheet4!G191</f>
        <v/>
      </c>
      <c r="G191" s="45"/>
      <c r="H191" s="11" t="str">
        <f t="shared" si="4"/>
        <v/>
      </c>
    </row>
    <row r="192" spans="1:8">
      <c r="A192" s="10" t="str">
        <f t="shared" si="5"/>
        <v/>
      </c>
      <c r="B192" s="11" t="str">
        <f>IF(D192="","",IF(D192&gt;0,VLOOKUP(D192,Category!$A$2:$B$31,2,FALSE),"")&amp;"-"&amp;TEXT(COUNTIF('Product List'!$D$2:'Product List'!D192,'Product List'!D192),"000"))</f>
        <v/>
      </c>
      <c r="C192" s="45"/>
      <c r="D192" s="45"/>
      <c r="E192" s="45"/>
      <c r="F192" s="11" t="str">
        <f>Sheet4!G192</f>
        <v/>
      </c>
      <c r="G192" s="45"/>
      <c r="H192" s="11" t="str">
        <f t="shared" si="4"/>
        <v/>
      </c>
    </row>
    <row r="193" spans="1:8">
      <c r="A193" s="10" t="str">
        <f t="shared" si="5"/>
        <v/>
      </c>
      <c r="B193" s="11" t="str">
        <f>IF(D193="","",IF(D193&gt;0,VLOOKUP(D193,Category!$A$2:$B$31,2,FALSE),"")&amp;"-"&amp;TEXT(COUNTIF('Product List'!$D$2:'Product List'!D193,'Product List'!D193),"000"))</f>
        <v/>
      </c>
      <c r="C193" s="45"/>
      <c r="D193" s="45"/>
      <c r="E193" s="45"/>
      <c r="F193" s="11" t="str">
        <f>Sheet4!G193</f>
        <v/>
      </c>
      <c r="G193" s="45"/>
      <c r="H193" s="11" t="str">
        <f t="shared" si="4"/>
        <v/>
      </c>
    </row>
    <row r="194" spans="1:8">
      <c r="A194" s="10" t="str">
        <f t="shared" si="5"/>
        <v/>
      </c>
      <c r="B194" s="11" t="str">
        <f>IF(D194="","",IF(D194&gt;0,VLOOKUP(D194,Category!$A$2:$B$31,2,FALSE),"")&amp;"-"&amp;TEXT(COUNTIF('Product List'!$D$2:'Product List'!D194,'Product List'!D194),"000"))</f>
        <v/>
      </c>
      <c r="C194" s="45"/>
      <c r="D194" s="45"/>
      <c r="E194" s="45"/>
      <c r="F194" s="11" t="str">
        <f>Sheet4!G194</f>
        <v/>
      </c>
      <c r="G194" s="45"/>
      <c r="H194" s="11" t="str">
        <f t="shared" si="4"/>
        <v/>
      </c>
    </row>
    <row r="195" spans="1:8">
      <c r="A195" s="10" t="str">
        <f t="shared" si="5"/>
        <v/>
      </c>
      <c r="B195" s="11" t="str">
        <f>IF(D195="","",IF(D195&gt;0,VLOOKUP(D195,Category!$A$2:$B$31,2,FALSE),"")&amp;"-"&amp;TEXT(COUNTIF('Product List'!$D$2:'Product List'!D195,'Product List'!D195),"000"))</f>
        <v/>
      </c>
      <c r="C195" s="45"/>
      <c r="D195" s="45"/>
      <c r="E195" s="45"/>
      <c r="F195" s="11" t="str">
        <f>Sheet4!G195</f>
        <v/>
      </c>
      <c r="G195" s="45"/>
      <c r="H195" s="11" t="str">
        <f t="shared" ref="H195:H258" si="6">IF(OR(F195="",G195=""),"",IF(F195&lt;=0,"Out of Stock",IF(F195&lt;=G195,"Low on Stock","In Stock")))</f>
        <v/>
      </c>
    </row>
    <row r="196" spans="1:8">
      <c r="A196" s="10" t="str">
        <f t="shared" ref="A196:A259" si="7">IF(C196&gt;0,A195+1,"")</f>
        <v/>
      </c>
      <c r="B196" s="11" t="str">
        <f>IF(D196="","",IF(D196&gt;0,VLOOKUP(D196,Category!$A$2:$B$31,2,FALSE),"")&amp;"-"&amp;TEXT(COUNTIF('Product List'!$D$2:'Product List'!D196,'Product List'!D196),"000"))</f>
        <v/>
      </c>
      <c r="C196" s="45"/>
      <c r="D196" s="45"/>
      <c r="E196" s="45"/>
      <c r="F196" s="11" t="str">
        <f>Sheet4!G196</f>
        <v/>
      </c>
      <c r="G196" s="45"/>
      <c r="H196" s="11" t="str">
        <f t="shared" si="6"/>
        <v/>
      </c>
    </row>
    <row r="197" spans="1:8">
      <c r="A197" s="10" t="str">
        <f t="shared" si="7"/>
        <v/>
      </c>
      <c r="B197" s="11" t="str">
        <f>IF(D197="","",IF(D197&gt;0,VLOOKUP(D197,Category!$A$2:$B$31,2,FALSE),"")&amp;"-"&amp;TEXT(COUNTIF('Product List'!$D$2:'Product List'!D197,'Product List'!D197),"000"))</f>
        <v/>
      </c>
      <c r="C197" s="45"/>
      <c r="D197" s="45"/>
      <c r="E197" s="45"/>
      <c r="F197" s="11" t="str">
        <f>Sheet4!G197</f>
        <v/>
      </c>
      <c r="G197" s="45"/>
      <c r="H197" s="11" t="str">
        <f t="shared" si="6"/>
        <v/>
      </c>
    </row>
    <row r="198" spans="1:8">
      <c r="A198" s="10" t="str">
        <f t="shared" si="7"/>
        <v/>
      </c>
      <c r="B198" s="11" t="str">
        <f>IF(D198="","",IF(D198&gt;0,VLOOKUP(D198,Category!$A$2:$B$31,2,FALSE),"")&amp;"-"&amp;TEXT(COUNTIF('Product List'!$D$2:'Product List'!D198,'Product List'!D198),"000"))</f>
        <v/>
      </c>
      <c r="C198" s="45"/>
      <c r="D198" s="45"/>
      <c r="E198" s="45"/>
      <c r="F198" s="11" t="str">
        <f>Sheet4!G198</f>
        <v/>
      </c>
      <c r="G198" s="45"/>
      <c r="H198" s="11" t="str">
        <f t="shared" si="6"/>
        <v/>
      </c>
    </row>
    <row r="199" spans="1:8">
      <c r="A199" s="10" t="str">
        <f t="shared" si="7"/>
        <v/>
      </c>
      <c r="B199" s="11" t="str">
        <f>IF(D199="","",IF(D199&gt;0,VLOOKUP(D199,Category!$A$2:$B$31,2,FALSE),"")&amp;"-"&amp;TEXT(COUNTIF('Product List'!$D$2:'Product List'!D199,'Product List'!D199),"000"))</f>
        <v/>
      </c>
      <c r="C199" s="45"/>
      <c r="D199" s="45"/>
      <c r="E199" s="45"/>
      <c r="F199" s="11" t="str">
        <f>Sheet4!G199</f>
        <v/>
      </c>
      <c r="G199" s="45"/>
      <c r="H199" s="11" t="str">
        <f t="shared" si="6"/>
        <v/>
      </c>
    </row>
    <row r="200" spans="1:8">
      <c r="A200" s="10" t="str">
        <f t="shared" si="7"/>
        <v/>
      </c>
      <c r="B200" s="11" t="str">
        <f>IF(D200="","",IF(D200&gt;0,VLOOKUP(D200,Category!$A$2:$B$31,2,FALSE),"")&amp;"-"&amp;TEXT(COUNTIF('Product List'!$D$2:'Product List'!D200,'Product List'!D200),"000"))</f>
        <v/>
      </c>
      <c r="C200" s="45"/>
      <c r="D200" s="45"/>
      <c r="E200" s="45"/>
      <c r="F200" s="11" t="str">
        <f>Sheet4!G200</f>
        <v/>
      </c>
      <c r="G200" s="45"/>
      <c r="H200" s="11" t="str">
        <f t="shared" si="6"/>
        <v/>
      </c>
    </row>
    <row r="201" spans="1:8">
      <c r="A201" s="10" t="str">
        <f t="shared" si="7"/>
        <v/>
      </c>
      <c r="B201" s="11" t="str">
        <f>IF(D201="","",IF(D201&gt;0,VLOOKUP(D201,Category!$A$2:$B$31,2,FALSE),"")&amp;"-"&amp;TEXT(COUNTIF('Product List'!$D$2:'Product List'!D201,'Product List'!D201),"000"))</f>
        <v/>
      </c>
      <c r="C201" s="45"/>
      <c r="D201" s="45"/>
      <c r="E201" s="45"/>
      <c r="F201" s="11" t="str">
        <f>Sheet4!G201</f>
        <v/>
      </c>
      <c r="G201" s="45"/>
      <c r="H201" s="11" t="str">
        <f t="shared" si="6"/>
        <v/>
      </c>
    </row>
    <row r="202" spans="1:8">
      <c r="A202" s="10" t="str">
        <f t="shared" si="7"/>
        <v/>
      </c>
      <c r="B202" s="11" t="str">
        <f>IF(D202="","",IF(D202&gt;0,VLOOKUP(D202,Category!$A$2:$B$31,2,FALSE),"")&amp;"-"&amp;TEXT(COUNTIF('Product List'!$D$2:'Product List'!D202,'Product List'!D202),"000"))</f>
        <v/>
      </c>
      <c r="C202" s="45"/>
      <c r="D202" s="45"/>
      <c r="E202" s="45"/>
      <c r="F202" s="11" t="str">
        <f>Sheet4!G202</f>
        <v/>
      </c>
      <c r="G202" s="45"/>
      <c r="H202" s="11" t="str">
        <f t="shared" si="6"/>
        <v/>
      </c>
    </row>
    <row r="203" spans="1:8">
      <c r="A203" s="10" t="str">
        <f t="shared" si="7"/>
        <v/>
      </c>
      <c r="B203" s="11" t="str">
        <f>IF(D203="","",IF(D203&gt;0,VLOOKUP(D203,Category!$A$2:$B$31,2,FALSE),"")&amp;"-"&amp;TEXT(COUNTIF('Product List'!$D$2:'Product List'!D203,'Product List'!D203),"000"))</f>
        <v/>
      </c>
      <c r="C203" s="45"/>
      <c r="D203" s="45"/>
      <c r="E203" s="45"/>
      <c r="F203" s="11" t="str">
        <f>Sheet4!G203</f>
        <v/>
      </c>
      <c r="G203" s="45"/>
      <c r="H203" s="11" t="str">
        <f t="shared" si="6"/>
        <v/>
      </c>
    </row>
    <row r="204" spans="1:8">
      <c r="A204" s="10" t="str">
        <f t="shared" si="7"/>
        <v/>
      </c>
      <c r="B204" s="11" t="str">
        <f>IF(D204="","",IF(D204&gt;0,VLOOKUP(D204,Category!$A$2:$B$31,2,FALSE),"")&amp;"-"&amp;TEXT(COUNTIF('Product List'!$D$2:'Product List'!D204,'Product List'!D204),"000"))</f>
        <v/>
      </c>
      <c r="C204" s="45"/>
      <c r="D204" s="45"/>
      <c r="E204" s="45"/>
      <c r="F204" s="11" t="str">
        <f>Sheet4!G204</f>
        <v/>
      </c>
      <c r="G204" s="45"/>
      <c r="H204" s="11" t="str">
        <f t="shared" si="6"/>
        <v/>
      </c>
    </row>
    <row r="205" spans="1:8">
      <c r="A205" s="10" t="str">
        <f t="shared" si="7"/>
        <v/>
      </c>
      <c r="B205" s="11" t="str">
        <f>IF(D205="","",IF(D205&gt;0,VLOOKUP(D205,Category!$A$2:$B$31,2,FALSE),"")&amp;"-"&amp;TEXT(COUNTIF('Product List'!$D$2:'Product List'!D205,'Product List'!D205),"000"))</f>
        <v/>
      </c>
      <c r="C205" s="45"/>
      <c r="D205" s="45"/>
      <c r="E205" s="45"/>
      <c r="F205" s="11" t="str">
        <f>Sheet4!G205</f>
        <v/>
      </c>
      <c r="G205" s="45"/>
      <c r="H205" s="11" t="str">
        <f t="shared" si="6"/>
        <v/>
      </c>
    </row>
    <row r="206" spans="1:8">
      <c r="A206" s="10" t="str">
        <f t="shared" si="7"/>
        <v/>
      </c>
      <c r="B206" s="11" t="str">
        <f>IF(D206="","",IF(D206&gt;0,VLOOKUP(D206,Category!$A$2:$B$31,2,FALSE),"")&amp;"-"&amp;TEXT(COUNTIF('Product List'!$D$2:'Product List'!D206,'Product List'!D206),"000"))</f>
        <v/>
      </c>
      <c r="C206" s="45"/>
      <c r="D206" s="45"/>
      <c r="E206" s="45"/>
      <c r="F206" s="11" t="str">
        <f>Sheet4!G206</f>
        <v/>
      </c>
      <c r="G206" s="45"/>
      <c r="H206" s="11" t="str">
        <f t="shared" si="6"/>
        <v/>
      </c>
    </row>
    <row r="207" spans="1:8">
      <c r="A207" s="10" t="str">
        <f t="shared" si="7"/>
        <v/>
      </c>
      <c r="B207" s="11" t="str">
        <f>IF(D207="","",IF(D207&gt;0,VLOOKUP(D207,Category!$A$2:$B$31,2,FALSE),"")&amp;"-"&amp;TEXT(COUNTIF('Product List'!$D$2:'Product List'!D207,'Product List'!D207),"000"))</f>
        <v/>
      </c>
      <c r="C207" s="45"/>
      <c r="D207" s="45"/>
      <c r="E207" s="45"/>
      <c r="F207" s="11" t="str">
        <f>Sheet4!G207</f>
        <v/>
      </c>
      <c r="G207" s="45"/>
      <c r="H207" s="11" t="str">
        <f t="shared" si="6"/>
        <v/>
      </c>
    </row>
    <row r="208" spans="1:8">
      <c r="A208" s="10" t="str">
        <f t="shared" si="7"/>
        <v/>
      </c>
      <c r="B208" s="11" t="str">
        <f>IF(D208="","",IF(D208&gt;0,VLOOKUP(D208,Category!$A$2:$B$31,2,FALSE),"")&amp;"-"&amp;TEXT(COUNTIF('Product List'!$D$2:'Product List'!D208,'Product List'!D208),"000"))</f>
        <v/>
      </c>
      <c r="C208" s="45"/>
      <c r="D208" s="45"/>
      <c r="E208" s="45"/>
      <c r="F208" s="11" t="str">
        <f>Sheet4!G208</f>
        <v/>
      </c>
      <c r="G208" s="45"/>
      <c r="H208" s="11" t="str">
        <f t="shared" si="6"/>
        <v/>
      </c>
    </row>
    <row r="209" spans="1:8">
      <c r="A209" s="10" t="str">
        <f t="shared" si="7"/>
        <v/>
      </c>
      <c r="B209" s="11" t="str">
        <f>IF(D209="","",IF(D209&gt;0,VLOOKUP(D209,Category!$A$2:$B$31,2,FALSE),"")&amp;"-"&amp;TEXT(COUNTIF('Product List'!$D$2:'Product List'!D209,'Product List'!D209),"000"))</f>
        <v/>
      </c>
      <c r="C209" s="45"/>
      <c r="D209" s="45"/>
      <c r="E209" s="45"/>
      <c r="F209" s="11" t="str">
        <f>Sheet4!G209</f>
        <v/>
      </c>
      <c r="G209" s="45"/>
      <c r="H209" s="11" t="str">
        <f t="shared" si="6"/>
        <v/>
      </c>
    </row>
    <row r="210" spans="1:8">
      <c r="A210" s="10" t="str">
        <f t="shared" si="7"/>
        <v/>
      </c>
      <c r="B210" s="11" t="str">
        <f>IF(D210="","",IF(D210&gt;0,VLOOKUP(D210,Category!$A$2:$B$31,2,FALSE),"")&amp;"-"&amp;TEXT(COUNTIF('Product List'!$D$2:'Product List'!D210,'Product List'!D210),"000"))</f>
        <v/>
      </c>
      <c r="C210" s="45"/>
      <c r="D210" s="45"/>
      <c r="E210" s="45"/>
      <c r="F210" s="11" t="str">
        <f>Sheet4!G210</f>
        <v/>
      </c>
      <c r="G210" s="45"/>
      <c r="H210" s="11" t="str">
        <f t="shared" si="6"/>
        <v/>
      </c>
    </row>
    <row r="211" spans="1:8">
      <c r="A211" s="10" t="str">
        <f t="shared" si="7"/>
        <v/>
      </c>
      <c r="B211" s="11" t="str">
        <f>IF(D211="","",IF(D211&gt;0,VLOOKUP(D211,Category!$A$2:$B$31,2,FALSE),"")&amp;"-"&amp;TEXT(COUNTIF('Product List'!$D$2:'Product List'!D211,'Product List'!D211),"000"))</f>
        <v/>
      </c>
      <c r="C211" s="45"/>
      <c r="D211" s="45"/>
      <c r="E211" s="45"/>
      <c r="F211" s="11" t="str">
        <f>Sheet4!G211</f>
        <v/>
      </c>
      <c r="G211" s="45"/>
      <c r="H211" s="11" t="str">
        <f t="shared" si="6"/>
        <v/>
      </c>
    </row>
    <row r="212" spans="1:8">
      <c r="A212" s="10" t="str">
        <f t="shared" si="7"/>
        <v/>
      </c>
      <c r="B212" s="11" t="str">
        <f>IF(D212="","",IF(D212&gt;0,VLOOKUP(D212,Category!$A$2:$B$31,2,FALSE),"")&amp;"-"&amp;TEXT(COUNTIF('Product List'!$D$2:'Product List'!D212,'Product List'!D212),"000"))</f>
        <v/>
      </c>
      <c r="C212" s="45"/>
      <c r="D212" s="45"/>
      <c r="E212" s="45"/>
      <c r="F212" s="11" t="str">
        <f>Sheet4!G212</f>
        <v/>
      </c>
      <c r="G212" s="45"/>
      <c r="H212" s="11" t="str">
        <f t="shared" si="6"/>
        <v/>
      </c>
    </row>
    <row r="213" spans="1:8">
      <c r="A213" s="10" t="str">
        <f t="shared" si="7"/>
        <v/>
      </c>
      <c r="B213" s="11" t="str">
        <f>IF(D213="","",IF(D213&gt;0,VLOOKUP(D213,Category!$A$2:$B$31,2,FALSE),"")&amp;"-"&amp;TEXT(COUNTIF('Product List'!$D$2:'Product List'!D213,'Product List'!D213),"000"))</f>
        <v/>
      </c>
      <c r="C213" s="45"/>
      <c r="D213" s="45"/>
      <c r="E213" s="45"/>
      <c r="F213" s="11" t="str">
        <f>Sheet4!G213</f>
        <v/>
      </c>
      <c r="G213" s="45"/>
      <c r="H213" s="11" t="str">
        <f t="shared" si="6"/>
        <v/>
      </c>
    </row>
    <row r="214" spans="1:8">
      <c r="A214" s="10" t="str">
        <f t="shared" si="7"/>
        <v/>
      </c>
      <c r="B214" s="11" t="str">
        <f>IF(D214="","",IF(D214&gt;0,VLOOKUP(D214,Category!$A$2:$B$31,2,FALSE),"")&amp;"-"&amp;TEXT(COUNTIF('Product List'!$D$2:'Product List'!D214,'Product List'!D214),"000"))</f>
        <v/>
      </c>
      <c r="C214" s="45"/>
      <c r="D214" s="45"/>
      <c r="E214" s="45"/>
      <c r="F214" s="11" t="str">
        <f>Sheet4!G214</f>
        <v/>
      </c>
      <c r="G214" s="45"/>
      <c r="H214" s="11" t="str">
        <f t="shared" si="6"/>
        <v/>
      </c>
    </row>
    <row r="215" spans="1:8">
      <c r="A215" s="10" t="str">
        <f t="shared" si="7"/>
        <v/>
      </c>
      <c r="B215" s="11" t="str">
        <f>IF(D215="","",IF(D215&gt;0,VLOOKUP(D215,Category!$A$2:$B$31,2,FALSE),"")&amp;"-"&amp;TEXT(COUNTIF('Product List'!$D$2:'Product List'!D215,'Product List'!D215),"000"))</f>
        <v/>
      </c>
      <c r="C215" s="45"/>
      <c r="D215" s="45"/>
      <c r="E215" s="45"/>
      <c r="F215" s="11" t="str">
        <f>Sheet4!G215</f>
        <v/>
      </c>
      <c r="G215" s="45"/>
      <c r="H215" s="11" t="str">
        <f t="shared" si="6"/>
        <v/>
      </c>
    </row>
    <row r="216" spans="1:8">
      <c r="A216" s="10" t="str">
        <f t="shared" si="7"/>
        <v/>
      </c>
      <c r="B216" s="11" t="str">
        <f>IF(D216="","",IF(D216&gt;0,VLOOKUP(D216,Category!$A$2:$B$31,2,FALSE),"")&amp;"-"&amp;TEXT(COUNTIF('Product List'!$D$2:'Product List'!D216,'Product List'!D216),"000"))</f>
        <v/>
      </c>
      <c r="C216" s="45"/>
      <c r="D216" s="45"/>
      <c r="E216" s="45"/>
      <c r="F216" s="11" t="str">
        <f>Sheet4!G216</f>
        <v/>
      </c>
      <c r="G216" s="45"/>
      <c r="H216" s="11" t="str">
        <f t="shared" si="6"/>
        <v/>
      </c>
    </row>
    <row r="217" spans="1:8">
      <c r="A217" s="10" t="str">
        <f t="shared" si="7"/>
        <v/>
      </c>
      <c r="B217" s="11" t="str">
        <f>IF(D217="","",IF(D217&gt;0,VLOOKUP(D217,Category!$A$2:$B$31,2,FALSE),"")&amp;"-"&amp;TEXT(COUNTIF('Product List'!$D$2:'Product List'!D217,'Product List'!D217),"000"))</f>
        <v/>
      </c>
      <c r="C217" s="45"/>
      <c r="D217" s="45"/>
      <c r="E217" s="45"/>
      <c r="F217" s="11" t="str">
        <f>Sheet4!G217</f>
        <v/>
      </c>
      <c r="G217" s="45"/>
      <c r="H217" s="11" t="str">
        <f t="shared" si="6"/>
        <v/>
      </c>
    </row>
    <row r="218" spans="1:8">
      <c r="A218" s="10" t="str">
        <f t="shared" si="7"/>
        <v/>
      </c>
      <c r="B218" s="11" t="str">
        <f>IF(D218="","",IF(D218&gt;0,VLOOKUP(D218,Category!$A$2:$B$31,2,FALSE),"")&amp;"-"&amp;TEXT(COUNTIF('Product List'!$D$2:'Product List'!D218,'Product List'!D218),"000"))</f>
        <v/>
      </c>
      <c r="C218" s="45"/>
      <c r="D218" s="45"/>
      <c r="E218" s="45"/>
      <c r="F218" s="11" t="str">
        <f>Sheet4!G218</f>
        <v/>
      </c>
      <c r="G218" s="45"/>
      <c r="H218" s="11" t="str">
        <f t="shared" si="6"/>
        <v/>
      </c>
    </row>
    <row r="219" spans="1:8">
      <c r="A219" s="10" t="str">
        <f t="shared" si="7"/>
        <v/>
      </c>
      <c r="B219" s="11" t="str">
        <f>IF(D219="","",IF(D219&gt;0,VLOOKUP(D219,Category!$A$2:$B$31,2,FALSE),"")&amp;"-"&amp;TEXT(COUNTIF('Product List'!$D$2:'Product List'!D219,'Product List'!D219),"000"))</f>
        <v/>
      </c>
      <c r="C219" s="45"/>
      <c r="D219" s="45"/>
      <c r="E219" s="45"/>
      <c r="F219" s="11" t="str">
        <f>Sheet4!G219</f>
        <v/>
      </c>
      <c r="G219" s="45"/>
      <c r="H219" s="11" t="str">
        <f t="shared" si="6"/>
        <v/>
      </c>
    </row>
    <row r="220" spans="1:8">
      <c r="A220" s="10" t="str">
        <f t="shared" si="7"/>
        <v/>
      </c>
      <c r="B220" s="11" t="str">
        <f>IF(D220="","",IF(D220&gt;0,VLOOKUP(D220,Category!$A$2:$B$31,2,FALSE),"")&amp;"-"&amp;TEXT(COUNTIF('Product List'!$D$2:'Product List'!D220,'Product List'!D220),"000"))</f>
        <v/>
      </c>
      <c r="C220" s="45"/>
      <c r="D220" s="45"/>
      <c r="E220" s="45"/>
      <c r="F220" s="11" t="str">
        <f>Sheet4!G220</f>
        <v/>
      </c>
      <c r="G220" s="45"/>
      <c r="H220" s="11" t="str">
        <f t="shared" si="6"/>
        <v/>
      </c>
    </row>
    <row r="221" spans="1:8">
      <c r="A221" s="10" t="str">
        <f t="shared" si="7"/>
        <v/>
      </c>
      <c r="B221" s="11" t="str">
        <f>IF(D221="","",IF(D221&gt;0,VLOOKUP(D221,Category!$A$2:$B$31,2,FALSE),"")&amp;"-"&amp;TEXT(COUNTIF('Product List'!$D$2:'Product List'!D221,'Product List'!D221),"000"))</f>
        <v/>
      </c>
      <c r="C221" s="45"/>
      <c r="D221" s="45"/>
      <c r="E221" s="45"/>
      <c r="F221" s="11" t="str">
        <f>Sheet4!G221</f>
        <v/>
      </c>
      <c r="G221" s="45"/>
      <c r="H221" s="11" t="str">
        <f t="shared" si="6"/>
        <v/>
      </c>
    </row>
    <row r="222" spans="1:8">
      <c r="A222" s="10" t="str">
        <f t="shared" si="7"/>
        <v/>
      </c>
      <c r="B222" s="11" t="str">
        <f>IF(D222="","",IF(D222&gt;0,VLOOKUP(D222,Category!$A$2:$B$31,2,FALSE),"")&amp;"-"&amp;TEXT(COUNTIF('Product List'!$D$2:'Product List'!D222,'Product List'!D222),"000"))</f>
        <v/>
      </c>
      <c r="C222" s="45"/>
      <c r="D222" s="45"/>
      <c r="E222" s="45"/>
      <c r="F222" s="11" t="str">
        <f>Sheet4!G222</f>
        <v/>
      </c>
      <c r="G222" s="45"/>
      <c r="H222" s="11" t="str">
        <f t="shared" si="6"/>
        <v/>
      </c>
    </row>
    <row r="223" spans="1:8">
      <c r="A223" s="10" t="str">
        <f t="shared" si="7"/>
        <v/>
      </c>
      <c r="B223" s="11" t="str">
        <f>IF(D223="","",IF(D223&gt;0,VLOOKUP(D223,Category!$A$2:$B$31,2,FALSE),"")&amp;"-"&amp;TEXT(COUNTIF('Product List'!$D$2:'Product List'!D223,'Product List'!D223),"000"))</f>
        <v/>
      </c>
      <c r="C223" s="45"/>
      <c r="D223" s="45"/>
      <c r="E223" s="45"/>
      <c r="F223" s="11" t="str">
        <f>Sheet4!G223</f>
        <v/>
      </c>
      <c r="G223" s="45"/>
      <c r="H223" s="11" t="str">
        <f t="shared" si="6"/>
        <v/>
      </c>
    </row>
    <row r="224" spans="1:8">
      <c r="A224" s="10" t="str">
        <f t="shared" si="7"/>
        <v/>
      </c>
      <c r="B224" s="11" t="str">
        <f>IF(D224="","",IF(D224&gt;0,VLOOKUP(D224,Category!$A$2:$B$31,2,FALSE),"")&amp;"-"&amp;TEXT(COUNTIF('Product List'!$D$2:'Product List'!D224,'Product List'!D224),"000"))</f>
        <v/>
      </c>
      <c r="C224" s="45"/>
      <c r="D224" s="45"/>
      <c r="E224" s="45"/>
      <c r="F224" s="11" t="str">
        <f>Sheet4!G224</f>
        <v/>
      </c>
      <c r="G224" s="45"/>
      <c r="H224" s="11" t="str">
        <f t="shared" si="6"/>
        <v/>
      </c>
    </row>
    <row r="225" spans="1:8">
      <c r="A225" s="10" t="str">
        <f t="shared" si="7"/>
        <v/>
      </c>
      <c r="B225" s="11" t="str">
        <f>IF(D225="","",IF(D225&gt;0,VLOOKUP(D225,Category!$A$2:$B$31,2,FALSE),"")&amp;"-"&amp;TEXT(COUNTIF('Product List'!$D$2:'Product List'!D225,'Product List'!D225),"000"))</f>
        <v/>
      </c>
      <c r="C225" s="45"/>
      <c r="D225" s="45"/>
      <c r="E225" s="45"/>
      <c r="F225" s="11" t="str">
        <f>Sheet4!G225</f>
        <v/>
      </c>
      <c r="G225" s="45"/>
      <c r="H225" s="11" t="str">
        <f t="shared" si="6"/>
        <v/>
      </c>
    </row>
    <row r="226" spans="1:8">
      <c r="A226" s="10" t="str">
        <f t="shared" si="7"/>
        <v/>
      </c>
      <c r="B226" s="11" t="str">
        <f>IF(D226="","",IF(D226&gt;0,VLOOKUP(D226,Category!$A$2:$B$31,2,FALSE),"")&amp;"-"&amp;TEXT(COUNTIF('Product List'!$D$2:'Product List'!D226,'Product List'!D226),"000"))</f>
        <v/>
      </c>
      <c r="C226" s="45"/>
      <c r="D226" s="45"/>
      <c r="E226" s="45"/>
      <c r="F226" s="11" t="str">
        <f>Sheet4!G226</f>
        <v/>
      </c>
      <c r="G226" s="45"/>
      <c r="H226" s="11" t="str">
        <f t="shared" si="6"/>
        <v/>
      </c>
    </row>
    <row r="227" spans="1:8">
      <c r="A227" s="10" t="str">
        <f t="shared" si="7"/>
        <v/>
      </c>
      <c r="B227" s="11" t="str">
        <f>IF(D227="","",IF(D227&gt;0,VLOOKUP(D227,Category!$A$2:$B$31,2,FALSE),"")&amp;"-"&amp;TEXT(COUNTIF('Product List'!$D$2:'Product List'!D227,'Product List'!D227),"000"))</f>
        <v/>
      </c>
      <c r="C227" s="45"/>
      <c r="D227" s="45"/>
      <c r="E227" s="45"/>
      <c r="F227" s="11" t="str">
        <f>Sheet4!G227</f>
        <v/>
      </c>
      <c r="G227" s="45"/>
      <c r="H227" s="11" t="str">
        <f t="shared" si="6"/>
        <v/>
      </c>
    </row>
    <row r="228" spans="1:8">
      <c r="A228" s="10" t="str">
        <f t="shared" si="7"/>
        <v/>
      </c>
      <c r="B228" s="11" t="str">
        <f>IF(D228="","",IF(D228&gt;0,VLOOKUP(D228,Category!$A$2:$B$31,2,FALSE),"")&amp;"-"&amp;TEXT(COUNTIF('Product List'!$D$2:'Product List'!D228,'Product List'!D228),"000"))</f>
        <v/>
      </c>
      <c r="C228" s="45"/>
      <c r="D228" s="45"/>
      <c r="E228" s="45"/>
      <c r="F228" s="11" t="str">
        <f>Sheet4!G228</f>
        <v/>
      </c>
      <c r="G228" s="45"/>
      <c r="H228" s="11" t="str">
        <f t="shared" si="6"/>
        <v/>
      </c>
    </row>
    <row r="229" spans="1:8">
      <c r="A229" s="10" t="str">
        <f t="shared" si="7"/>
        <v/>
      </c>
      <c r="B229" s="11" t="str">
        <f>IF(D229="","",IF(D229&gt;0,VLOOKUP(D229,Category!$A$2:$B$31,2,FALSE),"")&amp;"-"&amp;TEXT(COUNTIF('Product List'!$D$2:'Product List'!D229,'Product List'!D229),"000"))</f>
        <v/>
      </c>
      <c r="C229" s="45"/>
      <c r="D229" s="45"/>
      <c r="E229" s="45"/>
      <c r="F229" s="11" t="str">
        <f>Sheet4!G229</f>
        <v/>
      </c>
      <c r="G229" s="45"/>
      <c r="H229" s="11" t="str">
        <f t="shared" si="6"/>
        <v/>
      </c>
    </row>
    <row r="230" spans="1:8">
      <c r="A230" s="10" t="str">
        <f t="shared" si="7"/>
        <v/>
      </c>
      <c r="B230" s="11" t="str">
        <f>IF(D230="","",IF(D230&gt;0,VLOOKUP(D230,Category!$A$2:$B$31,2,FALSE),"")&amp;"-"&amp;TEXT(COUNTIF('Product List'!$D$2:'Product List'!D230,'Product List'!D230),"000"))</f>
        <v/>
      </c>
      <c r="C230" s="45"/>
      <c r="D230" s="45"/>
      <c r="E230" s="45"/>
      <c r="F230" s="11" t="str">
        <f>Sheet4!G230</f>
        <v/>
      </c>
      <c r="G230" s="45"/>
      <c r="H230" s="11" t="str">
        <f t="shared" si="6"/>
        <v/>
      </c>
    </row>
    <row r="231" spans="1:8">
      <c r="A231" s="10" t="str">
        <f t="shared" si="7"/>
        <v/>
      </c>
      <c r="B231" s="11" t="str">
        <f>IF(D231="","",IF(D231&gt;0,VLOOKUP(D231,Category!$A$2:$B$31,2,FALSE),"")&amp;"-"&amp;TEXT(COUNTIF('Product List'!$D$2:'Product List'!D231,'Product List'!D231),"000"))</f>
        <v/>
      </c>
      <c r="C231" s="45"/>
      <c r="D231" s="45"/>
      <c r="E231" s="45"/>
      <c r="F231" s="11" t="str">
        <f>Sheet4!G231</f>
        <v/>
      </c>
      <c r="G231" s="45"/>
      <c r="H231" s="11" t="str">
        <f t="shared" si="6"/>
        <v/>
      </c>
    </row>
    <row r="232" spans="1:8">
      <c r="A232" s="10" t="str">
        <f t="shared" si="7"/>
        <v/>
      </c>
      <c r="B232" s="11" t="str">
        <f>IF(D232="","",IF(D232&gt;0,VLOOKUP(D232,Category!$A$2:$B$31,2,FALSE),"")&amp;"-"&amp;TEXT(COUNTIF('Product List'!$D$2:'Product List'!D232,'Product List'!D232),"000"))</f>
        <v/>
      </c>
      <c r="C232" s="45"/>
      <c r="D232" s="45"/>
      <c r="E232" s="45"/>
      <c r="F232" s="11" t="str">
        <f>Sheet4!G232</f>
        <v/>
      </c>
      <c r="G232" s="45"/>
      <c r="H232" s="11" t="str">
        <f t="shared" si="6"/>
        <v/>
      </c>
    </row>
    <row r="233" spans="1:8">
      <c r="A233" s="10" t="str">
        <f t="shared" si="7"/>
        <v/>
      </c>
      <c r="B233" s="11" t="str">
        <f>IF(D233="","",IF(D233&gt;0,VLOOKUP(D233,Category!$A$2:$B$31,2,FALSE),"")&amp;"-"&amp;TEXT(COUNTIF('Product List'!$D$2:'Product List'!D233,'Product List'!D233),"000"))</f>
        <v/>
      </c>
      <c r="C233" s="45"/>
      <c r="D233" s="45"/>
      <c r="E233" s="45"/>
      <c r="F233" s="11" t="str">
        <f>Sheet4!G233</f>
        <v/>
      </c>
      <c r="G233" s="45"/>
      <c r="H233" s="11" t="str">
        <f t="shared" si="6"/>
        <v/>
      </c>
    </row>
    <row r="234" spans="1:8">
      <c r="A234" s="10" t="str">
        <f t="shared" si="7"/>
        <v/>
      </c>
      <c r="B234" s="11" t="str">
        <f>IF(D234="","",IF(D234&gt;0,VLOOKUP(D234,Category!$A$2:$B$31,2,FALSE),"")&amp;"-"&amp;TEXT(COUNTIF('Product List'!$D$2:'Product List'!D234,'Product List'!D234),"000"))</f>
        <v/>
      </c>
      <c r="C234" s="45"/>
      <c r="D234" s="45"/>
      <c r="E234" s="45"/>
      <c r="F234" s="11" t="str">
        <f>Sheet4!G234</f>
        <v/>
      </c>
      <c r="G234" s="45"/>
      <c r="H234" s="11" t="str">
        <f t="shared" si="6"/>
        <v/>
      </c>
    </row>
    <row r="235" spans="1:8">
      <c r="A235" s="10" t="str">
        <f t="shared" si="7"/>
        <v/>
      </c>
      <c r="B235" s="11" t="str">
        <f>IF(D235="","",IF(D235&gt;0,VLOOKUP(D235,Category!$A$2:$B$31,2,FALSE),"")&amp;"-"&amp;TEXT(COUNTIF('Product List'!$D$2:'Product List'!D235,'Product List'!D235),"000"))</f>
        <v/>
      </c>
      <c r="C235" s="45"/>
      <c r="D235" s="45"/>
      <c r="E235" s="45"/>
      <c r="F235" s="11" t="str">
        <f>Sheet4!G235</f>
        <v/>
      </c>
      <c r="G235" s="45"/>
      <c r="H235" s="11" t="str">
        <f t="shared" si="6"/>
        <v/>
      </c>
    </row>
    <row r="236" spans="1:8">
      <c r="A236" s="10" t="str">
        <f t="shared" si="7"/>
        <v/>
      </c>
      <c r="B236" s="11" t="str">
        <f>IF(D236="","",IF(D236&gt;0,VLOOKUP(D236,Category!$A$2:$B$31,2,FALSE),"")&amp;"-"&amp;TEXT(COUNTIF('Product List'!$D$2:'Product List'!D236,'Product List'!D236),"000"))</f>
        <v/>
      </c>
      <c r="C236" s="45"/>
      <c r="D236" s="45"/>
      <c r="E236" s="45"/>
      <c r="F236" s="11" t="str">
        <f>Sheet4!G236</f>
        <v/>
      </c>
      <c r="G236" s="45"/>
      <c r="H236" s="11" t="str">
        <f t="shared" si="6"/>
        <v/>
      </c>
    </row>
    <row r="237" spans="1:8">
      <c r="A237" s="10" t="str">
        <f t="shared" si="7"/>
        <v/>
      </c>
      <c r="B237" s="11" t="str">
        <f>IF(D237="","",IF(D237&gt;0,VLOOKUP(D237,Category!$A$2:$B$31,2,FALSE),"")&amp;"-"&amp;TEXT(COUNTIF('Product List'!$D$2:'Product List'!D237,'Product List'!D237),"000"))</f>
        <v/>
      </c>
      <c r="C237" s="45"/>
      <c r="D237" s="45"/>
      <c r="E237" s="45"/>
      <c r="F237" s="11" t="str">
        <f>Sheet4!G237</f>
        <v/>
      </c>
      <c r="G237" s="45"/>
      <c r="H237" s="11" t="str">
        <f t="shared" si="6"/>
        <v/>
      </c>
    </row>
    <row r="238" spans="1:8">
      <c r="A238" s="10" t="str">
        <f t="shared" si="7"/>
        <v/>
      </c>
      <c r="B238" s="11" t="str">
        <f>IF(D238="","",IF(D238&gt;0,VLOOKUP(D238,Category!$A$2:$B$31,2,FALSE),"")&amp;"-"&amp;TEXT(COUNTIF('Product List'!$D$2:'Product List'!D238,'Product List'!D238),"000"))</f>
        <v/>
      </c>
      <c r="C238" s="45"/>
      <c r="D238" s="45"/>
      <c r="E238" s="45"/>
      <c r="F238" s="11" t="str">
        <f>Sheet4!G238</f>
        <v/>
      </c>
      <c r="G238" s="45"/>
      <c r="H238" s="11" t="str">
        <f t="shared" si="6"/>
        <v/>
      </c>
    </row>
    <row r="239" spans="1:8">
      <c r="A239" s="10" t="str">
        <f t="shared" si="7"/>
        <v/>
      </c>
      <c r="B239" s="11" t="str">
        <f>IF(D239="","",IF(D239&gt;0,VLOOKUP(D239,Category!$A$2:$B$31,2,FALSE),"")&amp;"-"&amp;TEXT(COUNTIF('Product List'!$D$2:'Product List'!D239,'Product List'!D239),"000"))</f>
        <v/>
      </c>
      <c r="C239" s="45"/>
      <c r="D239" s="45"/>
      <c r="E239" s="45"/>
      <c r="F239" s="11" t="str">
        <f>Sheet4!G239</f>
        <v/>
      </c>
      <c r="G239" s="45"/>
      <c r="H239" s="11" t="str">
        <f t="shared" si="6"/>
        <v/>
      </c>
    </row>
    <row r="240" spans="1:8">
      <c r="A240" s="10" t="str">
        <f t="shared" si="7"/>
        <v/>
      </c>
      <c r="B240" s="11" t="str">
        <f>IF(D240="","",IF(D240&gt;0,VLOOKUP(D240,Category!$A$2:$B$31,2,FALSE),"")&amp;"-"&amp;TEXT(COUNTIF('Product List'!$D$2:'Product List'!D240,'Product List'!D240),"000"))</f>
        <v/>
      </c>
      <c r="C240" s="45"/>
      <c r="D240" s="45"/>
      <c r="E240" s="45"/>
      <c r="F240" s="11" t="str">
        <f>Sheet4!G240</f>
        <v/>
      </c>
      <c r="G240" s="45"/>
      <c r="H240" s="11" t="str">
        <f t="shared" si="6"/>
        <v/>
      </c>
    </row>
    <row r="241" spans="1:8">
      <c r="A241" s="10" t="str">
        <f t="shared" si="7"/>
        <v/>
      </c>
      <c r="B241" s="11" t="str">
        <f>IF(D241="","",IF(D241&gt;0,VLOOKUP(D241,Category!$A$2:$B$31,2,FALSE),"")&amp;"-"&amp;TEXT(COUNTIF('Product List'!$D$2:'Product List'!D241,'Product List'!D241),"000"))</f>
        <v/>
      </c>
      <c r="C241" s="45"/>
      <c r="D241" s="45"/>
      <c r="E241" s="45"/>
      <c r="F241" s="11" t="str">
        <f>Sheet4!G241</f>
        <v/>
      </c>
      <c r="G241" s="45"/>
      <c r="H241" s="11" t="str">
        <f t="shared" si="6"/>
        <v/>
      </c>
    </row>
    <row r="242" spans="1:8">
      <c r="A242" s="10" t="str">
        <f t="shared" si="7"/>
        <v/>
      </c>
      <c r="B242" s="11" t="str">
        <f>IF(D242="","",IF(D242&gt;0,VLOOKUP(D242,Category!$A$2:$B$31,2,FALSE),"")&amp;"-"&amp;TEXT(COUNTIF('Product List'!$D$2:'Product List'!D242,'Product List'!D242),"000"))</f>
        <v/>
      </c>
      <c r="C242" s="45"/>
      <c r="D242" s="45"/>
      <c r="E242" s="45"/>
      <c r="F242" s="11" t="str">
        <f>Sheet4!G242</f>
        <v/>
      </c>
      <c r="G242" s="45"/>
      <c r="H242" s="11" t="str">
        <f t="shared" si="6"/>
        <v/>
      </c>
    </row>
    <row r="243" spans="1:8">
      <c r="A243" s="10" t="str">
        <f t="shared" si="7"/>
        <v/>
      </c>
      <c r="B243" s="11" t="str">
        <f>IF(D243="","",IF(D243&gt;0,VLOOKUP(D243,Category!$A$2:$B$31,2,FALSE),"")&amp;"-"&amp;TEXT(COUNTIF('Product List'!$D$2:'Product List'!D243,'Product List'!D243),"000"))</f>
        <v/>
      </c>
      <c r="C243" s="45"/>
      <c r="D243" s="45"/>
      <c r="E243" s="45"/>
      <c r="F243" s="11" t="str">
        <f>Sheet4!G243</f>
        <v/>
      </c>
      <c r="G243" s="45"/>
      <c r="H243" s="11" t="str">
        <f t="shared" si="6"/>
        <v/>
      </c>
    </row>
    <row r="244" spans="1:8">
      <c r="A244" s="10" t="str">
        <f t="shared" si="7"/>
        <v/>
      </c>
      <c r="B244" s="11" t="str">
        <f>IF(D244="","",IF(D244&gt;0,VLOOKUP(D244,Category!$A$2:$B$31,2,FALSE),"")&amp;"-"&amp;TEXT(COUNTIF('Product List'!$D$2:'Product List'!D244,'Product List'!D244),"000"))</f>
        <v/>
      </c>
      <c r="C244" s="45"/>
      <c r="D244" s="45"/>
      <c r="E244" s="45"/>
      <c r="F244" s="11" t="str">
        <f>Sheet4!G244</f>
        <v/>
      </c>
      <c r="G244" s="45"/>
      <c r="H244" s="11" t="str">
        <f t="shared" si="6"/>
        <v/>
      </c>
    </row>
    <row r="245" spans="1:8">
      <c r="A245" s="10" t="str">
        <f t="shared" si="7"/>
        <v/>
      </c>
      <c r="B245" s="11" t="str">
        <f>IF(D245="","",IF(D245&gt;0,VLOOKUP(D245,Category!$A$2:$B$31,2,FALSE),"")&amp;"-"&amp;TEXT(COUNTIF('Product List'!$D$2:'Product List'!D245,'Product List'!D245),"000"))</f>
        <v/>
      </c>
      <c r="C245" s="45"/>
      <c r="D245" s="45"/>
      <c r="E245" s="45"/>
      <c r="F245" s="11" t="str">
        <f>Sheet4!G245</f>
        <v/>
      </c>
      <c r="G245" s="45"/>
      <c r="H245" s="11" t="str">
        <f t="shared" si="6"/>
        <v/>
      </c>
    </row>
    <row r="246" spans="1:8">
      <c r="A246" s="10" t="str">
        <f t="shared" si="7"/>
        <v/>
      </c>
      <c r="B246" s="11" t="str">
        <f>IF(D246="","",IF(D246&gt;0,VLOOKUP(D246,Category!$A$2:$B$31,2,FALSE),"")&amp;"-"&amp;TEXT(COUNTIF('Product List'!$D$2:'Product List'!D246,'Product List'!D246),"000"))</f>
        <v/>
      </c>
      <c r="C246" s="45"/>
      <c r="D246" s="45"/>
      <c r="E246" s="45"/>
      <c r="F246" s="11" t="str">
        <f>Sheet4!G246</f>
        <v/>
      </c>
      <c r="G246" s="45"/>
      <c r="H246" s="11" t="str">
        <f t="shared" si="6"/>
        <v/>
      </c>
    </row>
    <row r="247" spans="1:8">
      <c r="A247" s="10" t="str">
        <f t="shared" si="7"/>
        <v/>
      </c>
      <c r="B247" s="11" t="str">
        <f>IF(D247="","",IF(D247&gt;0,VLOOKUP(D247,Category!$A$2:$B$31,2,FALSE),"")&amp;"-"&amp;TEXT(COUNTIF('Product List'!$D$2:'Product List'!D247,'Product List'!D247),"000"))</f>
        <v/>
      </c>
      <c r="C247" s="45"/>
      <c r="D247" s="45"/>
      <c r="E247" s="45"/>
      <c r="F247" s="11" t="str">
        <f>Sheet4!G247</f>
        <v/>
      </c>
      <c r="G247" s="45"/>
      <c r="H247" s="11" t="str">
        <f t="shared" si="6"/>
        <v/>
      </c>
    </row>
    <row r="248" spans="1:8">
      <c r="A248" s="10" t="str">
        <f t="shared" si="7"/>
        <v/>
      </c>
      <c r="B248" s="11" t="str">
        <f>IF(D248="","",IF(D248&gt;0,VLOOKUP(D248,Category!$A$2:$B$31,2,FALSE),"")&amp;"-"&amp;TEXT(COUNTIF('Product List'!$D$2:'Product List'!D248,'Product List'!D248),"000"))</f>
        <v/>
      </c>
      <c r="C248" s="45"/>
      <c r="D248" s="45"/>
      <c r="E248" s="45"/>
      <c r="F248" s="11" t="str">
        <f>Sheet4!G248</f>
        <v/>
      </c>
      <c r="G248" s="45"/>
      <c r="H248" s="11" t="str">
        <f t="shared" si="6"/>
        <v/>
      </c>
    </row>
    <row r="249" spans="1:8">
      <c r="A249" s="10" t="str">
        <f t="shared" si="7"/>
        <v/>
      </c>
      <c r="B249" s="11" t="str">
        <f>IF(D249="","",IF(D249&gt;0,VLOOKUP(D249,Category!$A$2:$B$31,2,FALSE),"")&amp;"-"&amp;TEXT(COUNTIF('Product List'!$D$2:'Product List'!D249,'Product List'!D249),"000"))</f>
        <v/>
      </c>
      <c r="C249" s="45"/>
      <c r="D249" s="45"/>
      <c r="E249" s="45"/>
      <c r="F249" s="11" t="str">
        <f>Sheet4!G249</f>
        <v/>
      </c>
      <c r="G249" s="45"/>
      <c r="H249" s="11" t="str">
        <f t="shared" si="6"/>
        <v/>
      </c>
    </row>
    <row r="250" spans="1:8">
      <c r="A250" s="10" t="str">
        <f t="shared" si="7"/>
        <v/>
      </c>
      <c r="B250" s="11" t="str">
        <f>IF(D250="","",IF(D250&gt;0,VLOOKUP(D250,Category!$A$2:$B$31,2,FALSE),"")&amp;"-"&amp;TEXT(COUNTIF('Product List'!$D$2:'Product List'!D250,'Product List'!D250),"000"))</f>
        <v/>
      </c>
      <c r="C250" s="45"/>
      <c r="D250" s="45"/>
      <c r="E250" s="45"/>
      <c r="F250" s="11" t="str">
        <f>Sheet4!G250</f>
        <v/>
      </c>
      <c r="G250" s="45"/>
      <c r="H250" s="11" t="str">
        <f t="shared" si="6"/>
        <v/>
      </c>
    </row>
    <row r="251" spans="1:8">
      <c r="A251" s="10" t="str">
        <f t="shared" si="7"/>
        <v/>
      </c>
      <c r="B251" s="11" t="str">
        <f>IF(D251="","",IF(D251&gt;0,VLOOKUP(D251,Category!$A$2:$B$31,2,FALSE),"")&amp;"-"&amp;TEXT(COUNTIF('Product List'!$D$2:'Product List'!D251,'Product List'!D251),"000"))</f>
        <v/>
      </c>
      <c r="C251" s="45"/>
      <c r="D251" s="45"/>
      <c r="E251" s="45"/>
      <c r="F251" s="11" t="str">
        <f>Sheet4!G251</f>
        <v/>
      </c>
      <c r="G251" s="45"/>
      <c r="H251" s="11" t="str">
        <f t="shared" si="6"/>
        <v/>
      </c>
    </row>
    <row r="252" spans="1:8">
      <c r="A252" s="10" t="str">
        <f t="shared" si="7"/>
        <v/>
      </c>
      <c r="B252" s="11" t="str">
        <f>IF(D252="","",IF(D252&gt;0,VLOOKUP(D252,Category!$A$2:$B$31,2,FALSE),"")&amp;"-"&amp;TEXT(COUNTIF('Product List'!$D$2:'Product List'!D252,'Product List'!D252),"000"))</f>
        <v/>
      </c>
      <c r="C252" s="45"/>
      <c r="D252" s="45"/>
      <c r="E252" s="45"/>
      <c r="F252" s="11" t="str">
        <f>Sheet4!G252</f>
        <v/>
      </c>
      <c r="G252" s="45"/>
      <c r="H252" s="11" t="str">
        <f t="shared" si="6"/>
        <v/>
      </c>
    </row>
    <row r="253" spans="1:8">
      <c r="A253" s="10" t="str">
        <f t="shared" si="7"/>
        <v/>
      </c>
      <c r="B253" s="11" t="str">
        <f>IF(D253="","",IF(D253&gt;0,VLOOKUP(D253,Category!$A$2:$B$31,2,FALSE),"")&amp;"-"&amp;TEXT(COUNTIF('Product List'!$D$2:'Product List'!D253,'Product List'!D253),"000"))</f>
        <v/>
      </c>
      <c r="C253" s="45"/>
      <c r="D253" s="45"/>
      <c r="E253" s="45"/>
      <c r="F253" s="11" t="str">
        <f>Sheet4!G253</f>
        <v/>
      </c>
      <c r="G253" s="45"/>
      <c r="H253" s="11" t="str">
        <f t="shared" si="6"/>
        <v/>
      </c>
    </row>
    <row r="254" spans="1:8">
      <c r="A254" s="10" t="str">
        <f t="shared" si="7"/>
        <v/>
      </c>
      <c r="B254" s="11" t="str">
        <f>IF(D254="","",IF(D254&gt;0,VLOOKUP(D254,Category!$A$2:$B$31,2,FALSE),"")&amp;"-"&amp;TEXT(COUNTIF('Product List'!$D$2:'Product List'!D254,'Product List'!D254),"000"))</f>
        <v/>
      </c>
      <c r="C254" s="45"/>
      <c r="D254" s="45"/>
      <c r="E254" s="45"/>
      <c r="F254" s="11" t="str">
        <f>Sheet4!G254</f>
        <v/>
      </c>
      <c r="G254" s="45"/>
      <c r="H254" s="11" t="str">
        <f t="shared" si="6"/>
        <v/>
      </c>
    </row>
    <row r="255" spans="1:8">
      <c r="A255" s="10" t="str">
        <f t="shared" si="7"/>
        <v/>
      </c>
      <c r="B255" s="11" t="str">
        <f>IF(D255="","",IF(D255&gt;0,VLOOKUP(D255,Category!$A$2:$B$31,2,FALSE),"")&amp;"-"&amp;TEXT(COUNTIF('Product List'!$D$2:'Product List'!D255,'Product List'!D255),"000"))</f>
        <v/>
      </c>
      <c r="C255" s="45"/>
      <c r="D255" s="45"/>
      <c r="E255" s="45"/>
      <c r="F255" s="11" t="str">
        <f>Sheet4!G255</f>
        <v/>
      </c>
      <c r="G255" s="45"/>
      <c r="H255" s="11" t="str">
        <f t="shared" si="6"/>
        <v/>
      </c>
    </row>
    <row r="256" spans="1:8">
      <c r="A256" s="10" t="str">
        <f t="shared" si="7"/>
        <v/>
      </c>
      <c r="B256" s="11" t="str">
        <f>IF(D256="","",IF(D256&gt;0,VLOOKUP(D256,Category!$A$2:$B$31,2,FALSE),"")&amp;"-"&amp;TEXT(COUNTIF('Product List'!$D$2:'Product List'!D256,'Product List'!D256),"000"))</f>
        <v/>
      </c>
      <c r="C256" s="45"/>
      <c r="D256" s="45"/>
      <c r="E256" s="45"/>
      <c r="F256" s="11" t="str">
        <f>Sheet4!G256</f>
        <v/>
      </c>
      <c r="G256" s="45"/>
      <c r="H256" s="11" t="str">
        <f t="shared" si="6"/>
        <v/>
      </c>
    </row>
    <row r="257" spans="1:8">
      <c r="A257" s="10" t="str">
        <f t="shared" si="7"/>
        <v/>
      </c>
      <c r="B257" s="11" t="str">
        <f>IF(D257="","",IF(D257&gt;0,VLOOKUP(D257,Category!$A$2:$B$31,2,FALSE),"")&amp;"-"&amp;TEXT(COUNTIF('Product List'!$D$2:'Product List'!D257,'Product List'!D257),"000"))</f>
        <v/>
      </c>
      <c r="C257" s="45"/>
      <c r="D257" s="45"/>
      <c r="E257" s="45"/>
      <c r="F257" s="11" t="str">
        <f>Sheet4!G257</f>
        <v/>
      </c>
      <c r="G257" s="45"/>
      <c r="H257" s="11" t="str">
        <f t="shared" si="6"/>
        <v/>
      </c>
    </row>
    <row r="258" spans="1:8">
      <c r="A258" s="10" t="str">
        <f t="shared" si="7"/>
        <v/>
      </c>
      <c r="B258" s="11" t="str">
        <f>IF(D258="","",IF(D258&gt;0,VLOOKUP(D258,Category!$A$2:$B$31,2,FALSE),"")&amp;"-"&amp;TEXT(COUNTIF('Product List'!$D$2:'Product List'!D258,'Product List'!D258),"000"))</f>
        <v/>
      </c>
      <c r="C258" s="45"/>
      <c r="D258" s="45"/>
      <c r="E258" s="45"/>
      <c r="F258" s="11" t="str">
        <f>Sheet4!G258</f>
        <v/>
      </c>
      <c r="G258" s="45"/>
      <c r="H258" s="11" t="str">
        <f t="shared" si="6"/>
        <v/>
      </c>
    </row>
    <row r="259" spans="1:8">
      <c r="A259" s="10" t="str">
        <f t="shared" si="7"/>
        <v/>
      </c>
      <c r="B259" s="11" t="str">
        <f>IF(D259="","",IF(D259&gt;0,VLOOKUP(D259,Category!$A$2:$B$31,2,FALSE),"")&amp;"-"&amp;TEXT(COUNTIF('Product List'!$D$2:'Product List'!D259,'Product List'!D259),"000"))</f>
        <v/>
      </c>
      <c r="C259" s="45"/>
      <c r="D259" s="45"/>
      <c r="E259" s="45"/>
      <c r="F259" s="11" t="str">
        <f>Sheet4!G259</f>
        <v/>
      </c>
      <c r="G259" s="45"/>
      <c r="H259" s="11" t="str">
        <f t="shared" ref="H259:H322" si="8">IF(OR(F259="",G259=""),"",IF(F259&lt;=0,"Out of Stock",IF(F259&lt;=G259,"Low on Stock","In Stock")))</f>
        <v/>
      </c>
    </row>
    <row r="260" spans="1:8">
      <c r="A260" s="10" t="str">
        <f t="shared" ref="A260:A323" si="9">IF(C260&gt;0,A259+1,"")</f>
        <v/>
      </c>
      <c r="B260" s="11" t="str">
        <f>IF(D260="","",IF(D260&gt;0,VLOOKUP(D260,Category!$A$2:$B$31,2,FALSE),"")&amp;"-"&amp;TEXT(COUNTIF('Product List'!$D$2:'Product List'!D260,'Product List'!D260),"000"))</f>
        <v/>
      </c>
      <c r="C260" s="45"/>
      <c r="D260" s="45"/>
      <c r="E260" s="45"/>
      <c r="F260" s="11" t="str">
        <f>Sheet4!G260</f>
        <v/>
      </c>
      <c r="G260" s="45"/>
      <c r="H260" s="11" t="str">
        <f t="shared" si="8"/>
        <v/>
      </c>
    </row>
    <row r="261" spans="1:8">
      <c r="A261" s="10" t="str">
        <f t="shared" si="9"/>
        <v/>
      </c>
      <c r="B261" s="11" t="str">
        <f>IF(D261="","",IF(D261&gt;0,VLOOKUP(D261,Category!$A$2:$B$31,2,FALSE),"")&amp;"-"&amp;TEXT(COUNTIF('Product List'!$D$2:'Product List'!D261,'Product List'!D261),"000"))</f>
        <v/>
      </c>
      <c r="C261" s="45"/>
      <c r="D261" s="45"/>
      <c r="E261" s="45"/>
      <c r="F261" s="11" t="str">
        <f>Sheet4!G261</f>
        <v/>
      </c>
      <c r="G261" s="45"/>
      <c r="H261" s="11" t="str">
        <f t="shared" si="8"/>
        <v/>
      </c>
    </row>
    <row r="262" spans="1:8">
      <c r="A262" s="10" t="str">
        <f t="shared" si="9"/>
        <v/>
      </c>
      <c r="B262" s="11" t="str">
        <f>IF(D262="","",IF(D262&gt;0,VLOOKUP(D262,Category!$A$2:$B$31,2,FALSE),"")&amp;"-"&amp;TEXT(COUNTIF('Product List'!$D$2:'Product List'!D262,'Product List'!D262),"000"))</f>
        <v/>
      </c>
      <c r="C262" s="45"/>
      <c r="D262" s="45"/>
      <c r="E262" s="45"/>
      <c r="F262" s="11" t="str">
        <f>Sheet4!G262</f>
        <v/>
      </c>
      <c r="G262" s="45"/>
      <c r="H262" s="11" t="str">
        <f t="shared" si="8"/>
        <v/>
      </c>
    </row>
    <row r="263" spans="1:8">
      <c r="A263" s="10" t="str">
        <f t="shared" si="9"/>
        <v/>
      </c>
      <c r="B263" s="11" t="str">
        <f>IF(D263="","",IF(D263&gt;0,VLOOKUP(D263,Category!$A$2:$B$31,2,FALSE),"")&amp;"-"&amp;TEXT(COUNTIF('Product List'!$D$2:'Product List'!D263,'Product List'!D263),"000"))</f>
        <v/>
      </c>
      <c r="C263" s="45"/>
      <c r="D263" s="45"/>
      <c r="E263" s="45"/>
      <c r="F263" s="11" t="str">
        <f>Sheet4!G263</f>
        <v/>
      </c>
      <c r="G263" s="45"/>
      <c r="H263" s="11" t="str">
        <f t="shared" si="8"/>
        <v/>
      </c>
    </row>
    <row r="264" spans="1:8">
      <c r="A264" s="10" t="str">
        <f t="shared" si="9"/>
        <v/>
      </c>
      <c r="B264" s="11" t="str">
        <f>IF(D264="","",IF(D264&gt;0,VLOOKUP(D264,Category!$A$2:$B$31,2,FALSE),"")&amp;"-"&amp;TEXT(COUNTIF('Product List'!$D$2:'Product List'!D264,'Product List'!D264),"000"))</f>
        <v/>
      </c>
      <c r="C264" s="45"/>
      <c r="D264" s="45"/>
      <c r="E264" s="45"/>
      <c r="F264" s="11" t="str">
        <f>Sheet4!G264</f>
        <v/>
      </c>
      <c r="G264" s="45"/>
      <c r="H264" s="11" t="str">
        <f t="shared" si="8"/>
        <v/>
      </c>
    </row>
    <row r="265" spans="1:8">
      <c r="A265" s="10" t="str">
        <f t="shared" si="9"/>
        <v/>
      </c>
      <c r="B265" s="11" t="str">
        <f>IF(D265="","",IF(D265&gt;0,VLOOKUP(D265,Category!$A$2:$B$31,2,FALSE),"")&amp;"-"&amp;TEXT(COUNTIF('Product List'!$D$2:'Product List'!D265,'Product List'!D265),"000"))</f>
        <v/>
      </c>
      <c r="C265" s="45"/>
      <c r="D265" s="45"/>
      <c r="E265" s="45"/>
      <c r="F265" s="11" t="str">
        <f>Sheet4!G265</f>
        <v/>
      </c>
      <c r="G265" s="45"/>
      <c r="H265" s="11" t="str">
        <f t="shared" si="8"/>
        <v/>
      </c>
    </row>
    <row r="266" spans="1:8">
      <c r="A266" s="10" t="str">
        <f t="shared" si="9"/>
        <v/>
      </c>
      <c r="B266" s="11" t="str">
        <f>IF(D266="","",IF(D266&gt;0,VLOOKUP(D266,Category!$A$2:$B$31,2,FALSE),"")&amp;"-"&amp;TEXT(COUNTIF('Product List'!$D$2:'Product List'!D266,'Product List'!D266),"000"))</f>
        <v/>
      </c>
      <c r="C266" s="45"/>
      <c r="D266" s="45"/>
      <c r="E266" s="45"/>
      <c r="F266" s="11" t="str">
        <f>Sheet4!G266</f>
        <v/>
      </c>
      <c r="G266" s="45"/>
      <c r="H266" s="11" t="str">
        <f t="shared" si="8"/>
        <v/>
      </c>
    </row>
    <row r="267" spans="1:8">
      <c r="A267" s="10" t="str">
        <f t="shared" si="9"/>
        <v/>
      </c>
      <c r="B267" s="11" t="str">
        <f>IF(D267="","",IF(D267&gt;0,VLOOKUP(D267,Category!$A$2:$B$31,2,FALSE),"")&amp;"-"&amp;TEXT(COUNTIF('Product List'!$D$2:'Product List'!D267,'Product List'!D267),"000"))</f>
        <v/>
      </c>
      <c r="C267" s="45"/>
      <c r="D267" s="45"/>
      <c r="E267" s="45"/>
      <c r="F267" s="11" t="str">
        <f>Sheet4!G267</f>
        <v/>
      </c>
      <c r="G267" s="45"/>
      <c r="H267" s="11" t="str">
        <f t="shared" si="8"/>
        <v/>
      </c>
    </row>
    <row r="268" spans="1:8">
      <c r="A268" s="10" t="str">
        <f t="shared" si="9"/>
        <v/>
      </c>
      <c r="B268" s="11" t="str">
        <f>IF(D268="","",IF(D268&gt;0,VLOOKUP(D268,Category!$A$2:$B$31,2,FALSE),"")&amp;"-"&amp;TEXT(COUNTIF('Product List'!$D$2:'Product List'!D268,'Product List'!D268),"000"))</f>
        <v/>
      </c>
      <c r="C268" s="45"/>
      <c r="D268" s="45"/>
      <c r="E268" s="45"/>
      <c r="F268" s="11" t="str">
        <f>Sheet4!G268</f>
        <v/>
      </c>
      <c r="G268" s="45"/>
      <c r="H268" s="11" t="str">
        <f t="shared" si="8"/>
        <v/>
      </c>
    </row>
    <row r="269" spans="1:8">
      <c r="A269" s="10" t="str">
        <f t="shared" si="9"/>
        <v/>
      </c>
      <c r="B269" s="11" t="str">
        <f>IF(D269="","",IF(D269&gt;0,VLOOKUP(D269,Category!$A$2:$B$31,2,FALSE),"")&amp;"-"&amp;TEXT(COUNTIF('Product List'!$D$2:'Product List'!D269,'Product List'!D269),"000"))</f>
        <v/>
      </c>
      <c r="C269" s="45"/>
      <c r="D269" s="45"/>
      <c r="E269" s="45"/>
      <c r="F269" s="11" t="str">
        <f>Sheet4!G269</f>
        <v/>
      </c>
      <c r="G269" s="45"/>
      <c r="H269" s="11" t="str">
        <f t="shared" si="8"/>
        <v/>
      </c>
    </row>
    <row r="270" spans="1:8">
      <c r="A270" s="10" t="str">
        <f t="shared" si="9"/>
        <v/>
      </c>
      <c r="B270" s="11" t="str">
        <f>IF(D270="","",IF(D270&gt;0,VLOOKUP(D270,Category!$A$2:$B$31,2,FALSE),"")&amp;"-"&amp;TEXT(COUNTIF('Product List'!$D$2:'Product List'!D270,'Product List'!D270),"000"))</f>
        <v/>
      </c>
      <c r="C270" s="45"/>
      <c r="D270" s="45"/>
      <c r="E270" s="45"/>
      <c r="F270" s="11" t="str">
        <f>Sheet4!G270</f>
        <v/>
      </c>
      <c r="G270" s="45"/>
      <c r="H270" s="11" t="str">
        <f t="shared" si="8"/>
        <v/>
      </c>
    </row>
    <row r="271" spans="1:8">
      <c r="A271" s="10" t="str">
        <f t="shared" si="9"/>
        <v/>
      </c>
      <c r="B271" s="11" t="str">
        <f>IF(D271="","",IF(D271&gt;0,VLOOKUP(D271,Category!$A$2:$B$31,2,FALSE),"")&amp;"-"&amp;TEXT(COUNTIF('Product List'!$D$2:'Product List'!D271,'Product List'!D271),"000"))</f>
        <v/>
      </c>
      <c r="C271" s="45"/>
      <c r="D271" s="45"/>
      <c r="E271" s="45"/>
      <c r="F271" s="11" t="str">
        <f>Sheet4!G271</f>
        <v/>
      </c>
      <c r="G271" s="45"/>
      <c r="H271" s="11" t="str">
        <f t="shared" si="8"/>
        <v/>
      </c>
    </row>
    <row r="272" spans="1:8">
      <c r="A272" s="10" t="str">
        <f t="shared" si="9"/>
        <v/>
      </c>
      <c r="B272" s="11" t="str">
        <f>IF(D272="","",IF(D272&gt;0,VLOOKUP(D272,Category!$A$2:$B$31,2,FALSE),"")&amp;"-"&amp;TEXT(COUNTIF('Product List'!$D$2:'Product List'!D272,'Product List'!D272),"000"))</f>
        <v/>
      </c>
      <c r="C272" s="45"/>
      <c r="D272" s="45"/>
      <c r="E272" s="45"/>
      <c r="F272" s="11" t="str">
        <f>Sheet4!G272</f>
        <v/>
      </c>
      <c r="G272" s="45"/>
      <c r="H272" s="11" t="str">
        <f t="shared" si="8"/>
        <v/>
      </c>
    </row>
    <row r="273" spans="1:8">
      <c r="A273" s="10" t="str">
        <f t="shared" si="9"/>
        <v/>
      </c>
      <c r="B273" s="11" t="str">
        <f>IF(D273="","",IF(D273&gt;0,VLOOKUP(D273,Category!$A$2:$B$31,2,FALSE),"")&amp;"-"&amp;TEXT(COUNTIF('Product List'!$D$2:'Product List'!D273,'Product List'!D273),"000"))</f>
        <v/>
      </c>
      <c r="C273" s="45"/>
      <c r="D273" s="45"/>
      <c r="E273" s="45"/>
      <c r="F273" s="11" t="str">
        <f>Sheet4!G273</f>
        <v/>
      </c>
      <c r="G273" s="45"/>
      <c r="H273" s="11" t="str">
        <f t="shared" si="8"/>
        <v/>
      </c>
    </row>
    <row r="274" spans="1:8">
      <c r="A274" s="10" t="str">
        <f t="shared" si="9"/>
        <v/>
      </c>
      <c r="B274" s="11" t="str">
        <f>IF(D274="","",IF(D274&gt;0,VLOOKUP(D274,Category!$A$2:$B$31,2,FALSE),"")&amp;"-"&amp;TEXT(COUNTIF('Product List'!$D$2:'Product List'!D274,'Product List'!D274),"000"))</f>
        <v/>
      </c>
      <c r="C274" s="45"/>
      <c r="D274" s="45"/>
      <c r="E274" s="45"/>
      <c r="F274" s="11" t="str">
        <f>Sheet4!G274</f>
        <v/>
      </c>
      <c r="G274" s="45"/>
      <c r="H274" s="11" t="str">
        <f t="shared" si="8"/>
        <v/>
      </c>
    </row>
    <row r="275" spans="1:8">
      <c r="A275" s="10" t="str">
        <f t="shared" si="9"/>
        <v/>
      </c>
      <c r="B275" s="11" t="str">
        <f>IF(D275="","",IF(D275&gt;0,VLOOKUP(D275,Category!$A$2:$B$31,2,FALSE),"")&amp;"-"&amp;TEXT(COUNTIF('Product List'!$D$2:'Product List'!D275,'Product List'!D275),"000"))</f>
        <v/>
      </c>
      <c r="C275" s="45"/>
      <c r="D275" s="45"/>
      <c r="E275" s="45"/>
      <c r="F275" s="11" t="str">
        <f>Sheet4!G275</f>
        <v/>
      </c>
      <c r="G275" s="45"/>
      <c r="H275" s="11" t="str">
        <f t="shared" si="8"/>
        <v/>
      </c>
    </row>
    <row r="276" spans="1:8">
      <c r="A276" s="10" t="str">
        <f t="shared" si="9"/>
        <v/>
      </c>
      <c r="B276" s="11" t="str">
        <f>IF(D276="","",IF(D276&gt;0,VLOOKUP(D276,Category!$A$2:$B$31,2,FALSE),"")&amp;"-"&amp;TEXT(COUNTIF('Product List'!$D$2:'Product List'!D276,'Product List'!D276),"000"))</f>
        <v/>
      </c>
      <c r="C276" s="45"/>
      <c r="D276" s="45"/>
      <c r="E276" s="45"/>
      <c r="F276" s="11" t="str">
        <f>Sheet4!G276</f>
        <v/>
      </c>
      <c r="G276" s="45"/>
      <c r="H276" s="11" t="str">
        <f t="shared" si="8"/>
        <v/>
      </c>
    </row>
    <row r="277" spans="1:8">
      <c r="A277" s="10" t="str">
        <f t="shared" si="9"/>
        <v/>
      </c>
      <c r="B277" s="11" t="str">
        <f>IF(D277="","",IF(D277&gt;0,VLOOKUP(D277,Category!$A$2:$B$31,2,FALSE),"")&amp;"-"&amp;TEXT(COUNTIF('Product List'!$D$2:'Product List'!D277,'Product List'!D277),"000"))</f>
        <v/>
      </c>
      <c r="C277" s="45"/>
      <c r="D277" s="45"/>
      <c r="E277" s="45"/>
      <c r="F277" s="11" t="str">
        <f>Sheet4!G277</f>
        <v/>
      </c>
      <c r="G277" s="45"/>
      <c r="H277" s="11" t="str">
        <f t="shared" si="8"/>
        <v/>
      </c>
    </row>
    <row r="278" spans="1:8">
      <c r="A278" s="10" t="str">
        <f t="shared" si="9"/>
        <v/>
      </c>
      <c r="B278" s="11" t="str">
        <f>IF(D278="","",IF(D278&gt;0,VLOOKUP(D278,Category!$A$2:$B$31,2,FALSE),"")&amp;"-"&amp;TEXT(COUNTIF('Product List'!$D$2:'Product List'!D278,'Product List'!D278),"000"))</f>
        <v/>
      </c>
      <c r="C278" s="45"/>
      <c r="D278" s="45"/>
      <c r="E278" s="45"/>
      <c r="F278" s="11" t="str">
        <f>Sheet4!G278</f>
        <v/>
      </c>
      <c r="G278" s="45"/>
      <c r="H278" s="11" t="str">
        <f t="shared" si="8"/>
        <v/>
      </c>
    </row>
    <row r="279" spans="1:8">
      <c r="A279" s="10" t="str">
        <f t="shared" si="9"/>
        <v/>
      </c>
      <c r="B279" s="11" t="str">
        <f>IF(D279="","",IF(D279&gt;0,VLOOKUP(D279,Category!$A$2:$B$31,2,FALSE),"")&amp;"-"&amp;TEXT(COUNTIF('Product List'!$D$2:'Product List'!D279,'Product List'!D279),"000"))</f>
        <v/>
      </c>
      <c r="C279" s="45"/>
      <c r="D279" s="45"/>
      <c r="E279" s="45"/>
      <c r="F279" s="11" t="str">
        <f>Sheet4!G279</f>
        <v/>
      </c>
      <c r="G279" s="45"/>
      <c r="H279" s="11" t="str">
        <f t="shared" si="8"/>
        <v/>
      </c>
    </row>
    <row r="280" spans="1:8">
      <c r="A280" s="10" t="str">
        <f t="shared" si="9"/>
        <v/>
      </c>
      <c r="B280" s="11" t="str">
        <f>IF(D280="","",IF(D280&gt;0,VLOOKUP(D280,Category!$A$2:$B$31,2,FALSE),"")&amp;"-"&amp;TEXT(COUNTIF('Product List'!$D$2:'Product List'!D280,'Product List'!D280),"000"))</f>
        <v/>
      </c>
      <c r="C280" s="45"/>
      <c r="D280" s="45"/>
      <c r="E280" s="45"/>
      <c r="F280" s="11" t="str">
        <f>Sheet4!G280</f>
        <v/>
      </c>
      <c r="G280" s="45"/>
      <c r="H280" s="11" t="str">
        <f t="shared" si="8"/>
        <v/>
      </c>
    </row>
    <row r="281" spans="1:8">
      <c r="A281" s="10" t="str">
        <f t="shared" si="9"/>
        <v/>
      </c>
      <c r="B281" s="11" t="str">
        <f>IF(D281="","",IF(D281&gt;0,VLOOKUP(D281,Category!$A$2:$B$31,2,FALSE),"")&amp;"-"&amp;TEXT(COUNTIF('Product List'!$D$2:'Product List'!D281,'Product List'!D281),"000"))</f>
        <v/>
      </c>
      <c r="C281" s="45"/>
      <c r="D281" s="45"/>
      <c r="E281" s="45"/>
      <c r="F281" s="11" t="str">
        <f>Sheet4!G281</f>
        <v/>
      </c>
      <c r="G281" s="45"/>
      <c r="H281" s="11" t="str">
        <f t="shared" si="8"/>
        <v/>
      </c>
    </row>
    <row r="282" spans="1:8">
      <c r="A282" s="10" t="str">
        <f t="shared" si="9"/>
        <v/>
      </c>
      <c r="B282" s="11" t="str">
        <f>IF(D282="","",IF(D282&gt;0,VLOOKUP(D282,Category!$A$2:$B$31,2,FALSE),"")&amp;"-"&amp;TEXT(COUNTIF('Product List'!$D$2:'Product List'!D282,'Product List'!D282),"000"))</f>
        <v/>
      </c>
      <c r="C282" s="45"/>
      <c r="D282" s="45"/>
      <c r="E282" s="45"/>
      <c r="F282" s="11" t="str">
        <f>Sheet4!G282</f>
        <v/>
      </c>
      <c r="G282" s="45"/>
      <c r="H282" s="11" t="str">
        <f t="shared" si="8"/>
        <v/>
      </c>
    </row>
    <row r="283" spans="1:8">
      <c r="A283" s="10" t="str">
        <f t="shared" si="9"/>
        <v/>
      </c>
      <c r="B283" s="11" t="str">
        <f>IF(D283="","",IF(D283&gt;0,VLOOKUP(D283,Category!$A$2:$B$31,2,FALSE),"")&amp;"-"&amp;TEXT(COUNTIF('Product List'!$D$2:'Product List'!D283,'Product List'!D283),"000"))</f>
        <v/>
      </c>
      <c r="C283" s="45"/>
      <c r="D283" s="45"/>
      <c r="E283" s="45"/>
      <c r="F283" s="11" t="str">
        <f>Sheet4!G283</f>
        <v/>
      </c>
      <c r="G283" s="45"/>
      <c r="H283" s="11" t="str">
        <f t="shared" si="8"/>
        <v/>
      </c>
    </row>
    <row r="284" spans="1:8">
      <c r="A284" s="10" t="str">
        <f t="shared" si="9"/>
        <v/>
      </c>
      <c r="B284" s="11" t="str">
        <f>IF(D284="","",IF(D284&gt;0,VLOOKUP(D284,Category!$A$2:$B$31,2,FALSE),"")&amp;"-"&amp;TEXT(COUNTIF('Product List'!$D$2:'Product List'!D284,'Product List'!D284),"000"))</f>
        <v/>
      </c>
      <c r="C284" s="45"/>
      <c r="D284" s="45"/>
      <c r="E284" s="45"/>
      <c r="F284" s="11" t="str">
        <f>Sheet4!G284</f>
        <v/>
      </c>
      <c r="G284" s="45"/>
      <c r="H284" s="11" t="str">
        <f t="shared" si="8"/>
        <v/>
      </c>
    </row>
    <row r="285" spans="1:8">
      <c r="A285" s="10" t="str">
        <f t="shared" si="9"/>
        <v/>
      </c>
      <c r="B285" s="11" t="str">
        <f>IF(D285="","",IF(D285&gt;0,VLOOKUP(D285,Category!$A$2:$B$31,2,FALSE),"")&amp;"-"&amp;TEXT(COUNTIF('Product List'!$D$2:'Product List'!D285,'Product List'!D285),"000"))</f>
        <v/>
      </c>
      <c r="C285" s="45"/>
      <c r="D285" s="45"/>
      <c r="E285" s="45"/>
      <c r="F285" s="11" t="str">
        <f>Sheet4!G285</f>
        <v/>
      </c>
      <c r="G285" s="45"/>
      <c r="H285" s="11" t="str">
        <f t="shared" si="8"/>
        <v/>
      </c>
    </row>
    <row r="286" spans="1:8">
      <c r="A286" s="10" t="str">
        <f t="shared" si="9"/>
        <v/>
      </c>
      <c r="B286" s="11" t="str">
        <f>IF(D286="","",IF(D286&gt;0,VLOOKUP(D286,Category!$A$2:$B$31,2,FALSE),"")&amp;"-"&amp;TEXT(COUNTIF('Product List'!$D$2:'Product List'!D286,'Product List'!D286),"000"))</f>
        <v/>
      </c>
      <c r="C286" s="45"/>
      <c r="D286" s="45"/>
      <c r="E286" s="45"/>
      <c r="F286" s="11" t="str">
        <f>Sheet4!G286</f>
        <v/>
      </c>
      <c r="G286" s="45"/>
      <c r="H286" s="11" t="str">
        <f t="shared" si="8"/>
        <v/>
      </c>
    </row>
    <row r="287" spans="1:8">
      <c r="A287" s="10" t="str">
        <f t="shared" si="9"/>
        <v/>
      </c>
      <c r="B287" s="11" t="str">
        <f>IF(D287="","",IF(D287&gt;0,VLOOKUP(D287,Category!$A$2:$B$31,2,FALSE),"")&amp;"-"&amp;TEXT(COUNTIF('Product List'!$D$2:'Product List'!D287,'Product List'!D287),"000"))</f>
        <v/>
      </c>
      <c r="C287" s="45"/>
      <c r="D287" s="45"/>
      <c r="E287" s="45"/>
      <c r="F287" s="11" t="str">
        <f>Sheet4!G287</f>
        <v/>
      </c>
      <c r="G287" s="45"/>
      <c r="H287" s="11" t="str">
        <f t="shared" si="8"/>
        <v/>
      </c>
    </row>
    <row r="288" spans="1:8">
      <c r="A288" s="10" t="str">
        <f t="shared" si="9"/>
        <v/>
      </c>
      <c r="B288" s="11" t="str">
        <f>IF(D288="","",IF(D288&gt;0,VLOOKUP(D288,Category!$A$2:$B$31,2,FALSE),"")&amp;"-"&amp;TEXT(COUNTIF('Product List'!$D$2:'Product List'!D288,'Product List'!D288),"000"))</f>
        <v/>
      </c>
      <c r="C288" s="45"/>
      <c r="D288" s="45"/>
      <c r="E288" s="45"/>
      <c r="F288" s="11" t="str">
        <f>Sheet4!G288</f>
        <v/>
      </c>
      <c r="G288" s="45"/>
      <c r="H288" s="11" t="str">
        <f t="shared" si="8"/>
        <v/>
      </c>
    </row>
    <row r="289" spans="1:8">
      <c r="A289" s="10" t="str">
        <f t="shared" si="9"/>
        <v/>
      </c>
      <c r="B289" s="11" t="str">
        <f>IF(D289="","",IF(D289&gt;0,VLOOKUP(D289,Category!$A$2:$B$31,2,FALSE),"")&amp;"-"&amp;TEXT(COUNTIF('Product List'!$D$2:'Product List'!D289,'Product List'!D289),"000"))</f>
        <v/>
      </c>
      <c r="C289" s="45"/>
      <c r="D289" s="45"/>
      <c r="E289" s="45"/>
      <c r="F289" s="11" t="str">
        <f>Sheet4!G289</f>
        <v/>
      </c>
      <c r="G289" s="45"/>
      <c r="H289" s="11" t="str">
        <f t="shared" si="8"/>
        <v/>
      </c>
    </row>
    <row r="290" spans="1:8">
      <c r="A290" s="10" t="str">
        <f t="shared" si="9"/>
        <v/>
      </c>
      <c r="B290" s="11" t="str">
        <f>IF(D290="","",IF(D290&gt;0,VLOOKUP(D290,Category!$A$2:$B$31,2,FALSE),"")&amp;"-"&amp;TEXT(COUNTIF('Product List'!$D$2:'Product List'!D290,'Product List'!D290),"000"))</f>
        <v/>
      </c>
      <c r="C290" s="45"/>
      <c r="D290" s="45"/>
      <c r="E290" s="45"/>
      <c r="F290" s="11" t="str">
        <f>Sheet4!G290</f>
        <v/>
      </c>
      <c r="G290" s="45"/>
      <c r="H290" s="11" t="str">
        <f t="shared" si="8"/>
        <v/>
      </c>
    </row>
    <row r="291" spans="1:8">
      <c r="A291" s="10" t="str">
        <f t="shared" si="9"/>
        <v/>
      </c>
      <c r="B291" s="11" t="str">
        <f>IF(D291="","",IF(D291&gt;0,VLOOKUP(D291,Category!$A$2:$B$31,2,FALSE),"")&amp;"-"&amp;TEXT(COUNTIF('Product List'!$D$2:'Product List'!D291,'Product List'!D291),"000"))</f>
        <v/>
      </c>
      <c r="C291" s="45"/>
      <c r="D291" s="45"/>
      <c r="E291" s="45"/>
      <c r="F291" s="11" t="str">
        <f>Sheet4!G291</f>
        <v/>
      </c>
      <c r="G291" s="45"/>
      <c r="H291" s="11" t="str">
        <f t="shared" si="8"/>
        <v/>
      </c>
    </row>
    <row r="292" spans="1:8">
      <c r="A292" s="10" t="str">
        <f t="shared" si="9"/>
        <v/>
      </c>
      <c r="B292" s="11" t="str">
        <f>IF(D292="","",IF(D292&gt;0,VLOOKUP(D292,Category!$A$2:$B$31,2,FALSE),"")&amp;"-"&amp;TEXT(COUNTIF('Product List'!$D$2:'Product List'!D292,'Product List'!D292),"000"))</f>
        <v/>
      </c>
      <c r="C292" s="45"/>
      <c r="D292" s="45"/>
      <c r="E292" s="45"/>
      <c r="F292" s="11" t="str">
        <f>Sheet4!G292</f>
        <v/>
      </c>
      <c r="G292" s="45"/>
      <c r="H292" s="11" t="str">
        <f t="shared" si="8"/>
        <v/>
      </c>
    </row>
    <row r="293" spans="1:8">
      <c r="A293" s="10" t="str">
        <f t="shared" si="9"/>
        <v/>
      </c>
      <c r="B293" s="11" t="str">
        <f>IF(D293="","",IF(D293&gt;0,VLOOKUP(D293,Category!$A$2:$B$31,2,FALSE),"")&amp;"-"&amp;TEXT(COUNTIF('Product List'!$D$2:'Product List'!D293,'Product List'!D293),"000"))</f>
        <v/>
      </c>
      <c r="C293" s="45"/>
      <c r="D293" s="45"/>
      <c r="E293" s="45"/>
      <c r="F293" s="11" t="str">
        <f>Sheet4!G293</f>
        <v/>
      </c>
      <c r="G293" s="45"/>
      <c r="H293" s="11" t="str">
        <f t="shared" si="8"/>
        <v/>
      </c>
    </row>
    <row r="294" spans="1:8">
      <c r="A294" s="10" t="str">
        <f t="shared" si="9"/>
        <v/>
      </c>
      <c r="B294" s="11" t="str">
        <f>IF(D294="","",IF(D294&gt;0,VLOOKUP(D294,Category!$A$2:$B$31,2,FALSE),"")&amp;"-"&amp;TEXT(COUNTIF('Product List'!$D$2:'Product List'!D294,'Product List'!D294),"000"))</f>
        <v/>
      </c>
      <c r="C294" s="45"/>
      <c r="D294" s="45"/>
      <c r="E294" s="45"/>
      <c r="F294" s="11" t="str">
        <f>Sheet4!G294</f>
        <v/>
      </c>
      <c r="G294" s="45"/>
      <c r="H294" s="11" t="str">
        <f t="shared" si="8"/>
        <v/>
      </c>
    </row>
    <row r="295" spans="1:8">
      <c r="A295" s="10" t="str">
        <f t="shared" si="9"/>
        <v/>
      </c>
      <c r="B295" s="11" t="str">
        <f>IF(D295="","",IF(D295&gt;0,VLOOKUP(D295,Category!$A$2:$B$31,2,FALSE),"")&amp;"-"&amp;TEXT(COUNTIF('Product List'!$D$2:'Product List'!D295,'Product List'!D295),"000"))</f>
        <v/>
      </c>
      <c r="C295" s="45"/>
      <c r="D295" s="45"/>
      <c r="E295" s="45"/>
      <c r="F295" s="11" t="str">
        <f>Sheet4!G295</f>
        <v/>
      </c>
      <c r="G295" s="45"/>
      <c r="H295" s="11" t="str">
        <f t="shared" si="8"/>
        <v/>
      </c>
    </row>
    <row r="296" spans="1:8">
      <c r="A296" s="10" t="str">
        <f t="shared" si="9"/>
        <v/>
      </c>
      <c r="B296" s="11" t="str">
        <f>IF(D296="","",IF(D296&gt;0,VLOOKUP(D296,Category!$A$2:$B$31,2,FALSE),"")&amp;"-"&amp;TEXT(COUNTIF('Product List'!$D$2:'Product List'!D296,'Product List'!D296),"000"))</f>
        <v/>
      </c>
      <c r="C296" s="45"/>
      <c r="D296" s="45"/>
      <c r="E296" s="45"/>
      <c r="F296" s="11" t="str">
        <f>Sheet4!G296</f>
        <v/>
      </c>
      <c r="G296" s="45"/>
      <c r="H296" s="11" t="str">
        <f t="shared" si="8"/>
        <v/>
      </c>
    </row>
    <row r="297" spans="1:8">
      <c r="A297" s="10" t="str">
        <f t="shared" si="9"/>
        <v/>
      </c>
      <c r="B297" s="11" t="str">
        <f>IF(D297="","",IF(D297&gt;0,VLOOKUP(D297,Category!$A$2:$B$31,2,FALSE),"")&amp;"-"&amp;TEXT(COUNTIF('Product List'!$D$2:'Product List'!D297,'Product List'!D297),"000"))</f>
        <v/>
      </c>
      <c r="C297" s="45"/>
      <c r="D297" s="45"/>
      <c r="E297" s="45"/>
      <c r="F297" s="11" t="str">
        <f>Sheet4!G297</f>
        <v/>
      </c>
      <c r="G297" s="45"/>
      <c r="H297" s="11" t="str">
        <f t="shared" si="8"/>
        <v/>
      </c>
    </row>
    <row r="298" spans="1:8">
      <c r="A298" s="10" t="str">
        <f t="shared" si="9"/>
        <v/>
      </c>
      <c r="B298" s="11" t="str">
        <f>IF(D298="","",IF(D298&gt;0,VLOOKUP(D298,Category!$A$2:$B$31,2,FALSE),"")&amp;"-"&amp;TEXT(COUNTIF('Product List'!$D$2:'Product List'!D298,'Product List'!D298),"000"))</f>
        <v/>
      </c>
      <c r="C298" s="45"/>
      <c r="D298" s="45"/>
      <c r="E298" s="45"/>
      <c r="F298" s="11" t="str">
        <f>Sheet4!G298</f>
        <v/>
      </c>
      <c r="G298" s="45"/>
      <c r="H298" s="11" t="str">
        <f t="shared" si="8"/>
        <v/>
      </c>
    </row>
    <row r="299" spans="1:8">
      <c r="A299" s="10" t="str">
        <f t="shared" si="9"/>
        <v/>
      </c>
      <c r="B299" s="11" t="str">
        <f>IF(D299="","",IF(D299&gt;0,VLOOKUP(D299,Category!$A$2:$B$31,2,FALSE),"")&amp;"-"&amp;TEXT(COUNTIF('Product List'!$D$2:'Product List'!D299,'Product List'!D299),"000"))</f>
        <v/>
      </c>
      <c r="C299" s="45"/>
      <c r="D299" s="45"/>
      <c r="E299" s="45"/>
      <c r="F299" s="11" t="str">
        <f>Sheet4!G299</f>
        <v/>
      </c>
      <c r="G299" s="45"/>
      <c r="H299" s="11" t="str">
        <f t="shared" si="8"/>
        <v/>
      </c>
    </row>
    <row r="300" spans="1:8">
      <c r="A300" s="10" t="str">
        <f t="shared" si="9"/>
        <v/>
      </c>
      <c r="B300" s="11" t="str">
        <f>IF(D300="","",IF(D300&gt;0,VLOOKUP(D300,Category!$A$2:$B$31,2,FALSE),"")&amp;"-"&amp;TEXT(COUNTIF('Product List'!$D$2:'Product List'!D300,'Product List'!D300),"000"))</f>
        <v/>
      </c>
      <c r="C300" s="45"/>
      <c r="D300" s="45"/>
      <c r="E300" s="45"/>
      <c r="F300" s="11" t="str">
        <f>Sheet4!G300</f>
        <v/>
      </c>
      <c r="G300" s="45"/>
      <c r="H300" s="11" t="str">
        <f t="shared" si="8"/>
        <v/>
      </c>
    </row>
    <row r="301" spans="1:8">
      <c r="A301" s="10" t="str">
        <f t="shared" si="9"/>
        <v/>
      </c>
      <c r="B301" s="11" t="str">
        <f>IF(D301="","",IF(D301&gt;0,VLOOKUP(D301,Category!$A$2:$B$31,2,FALSE),"")&amp;"-"&amp;TEXT(COUNTIF('Product List'!$D$2:'Product List'!D301,'Product List'!D301),"000"))</f>
        <v/>
      </c>
      <c r="C301" s="45"/>
      <c r="D301" s="45"/>
      <c r="E301" s="45"/>
      <c r="F301" s="11" t="str">
        <f>Sheet4!G301</f>
        <v/>
      </c>
      <c r="G301" s="45"/>
      <c r="H301" s="11" t="str">
        <f t="shared" si="8"/>
        <v/>
      </c>
    </row>
    <row r="302" spans="1:8">
      <c r="A302" s="10" t="str">
        <f t="shared" si="9"/>
        <v/>
      </c>
      <c r="B302" s="11" t="str">
        <f>IF(D302="","",IF(D302&gt;0,VLOOKUP(D302,Category!$A$2:$B$31,2,FALSE),"")&amp;"-"&amp;TEXT(COUNTIF('Product List'!$D$2:'Product List'!D302,'Product List'!D302),"000"))</f>
        <v/>
      </c>
      <c r="C302" s="45"/>
      <c r="D302" s="45"/>
      <c r="E302" s="45"/>
      <c r="F302" s="11" t="str">
        <f>Sheet4!G302</f>
        <v/>
      </c>
      <c r="G302" s="45"/>
      <c r="H302" s="11" t="str">
        <f t="shared" si="8"/>
        <v/>
      </c>
    </row>
    <row r="303" spans="1:8">
      <c r="A303" s="10" t="str">
        <f t="shared" si="9"/>
        <v/>
      </c>
      <c r="B303" s="11" t="str">
        <f>IF(D303="","",IF(D303&gt;0,VLOOKUP(D303,Category!$A$2:$B$31,2,FALSE),"")&amp;"-"&amp;TEXT(COUNTIF('Product List'!$D$2:'Product List'!D303,'Product List'!D303),"000"))</f>
        <v/>
      </c>
      <c r="C303" s="45"/>
      <c r="D303" s="45"/>
      <c r="E303" s="45"/>
      <c r="F303" s="11" t="str">
        <f>Sheet4!G303</f>
        <v/>
      </c>
      <c r="G303" s="45"/>
      <c r="H303" s="11" t="str">
        <f t="shared" si="8"/>
        <v/>
      </c>
    </row>
    <row r="304" spans="1:8">
      <c r="A304" s="10" t="str">
        <f t="shared" si="9"/>
        <v/>
      </c>
      <c r="B304" s="11" t="str">
        <f>IF(D304="","",IF(D304&gt;0,VLOOKUP(D304,Category!$A$2:$B$31,2,FALSE),"")&amp;"-"&amp;TEXT(COUNTIF('Product List'!$D$2:'Product List'!D304,'Product List'!D304),"000"))</f>
        <v/>
      </c>
      <c r="C304" s="45"/>
      <c r="D304" s="45"/>
      <c r="E304" s="45"/>
      <c r="F304" s="11" t="str">
        <f>Sheet4!G304</f>
        <v/>
      </c>
      <c r="G304" s="45"/>
      <c r="H304" s="11" t="str">
        <f t="shared" si="8"/>
        <v/>
      </c>
    </row>
    <row r="305" spans="1:8">
      <c r="A305" s="10" t="str">
        <f t="shared" si="9"/>
        <v/>
      </c>
      <c r="B305" s="11" t="str">
        <f>IF(D305="","",IF(D305&gt;0,VLOOKUP(D305,Category!$A$2:$B$31,2,FALSE),"")&amp;"-"&amp;TEXT(COUNTIF('Product List'!$D$2:'Product List'!D305,'Product List'!D305),"000"))</f>
        <v/>
      </c>
      <c r="C305" s="45"/>
      <c r="D305" s="45"/>
      <c r="E305" s="45"/>
      <c r="F305" s="11" t="str">
        <f>Sheet4!G305</f>
        <v/>
      </c>
      <c r="G305" s="45"/>
      <c r="H305" s="11" t="str">
        <f t="shared" si="8"/>
        <v/>
      </c>
    </row>
    <row r="306" spans="1:8">
      <c r="A306" s="10" t="str">
        <f t="shared" si="9"/>
        <v/>
      </c>
      <c r="B306" s="11" t="str">
        <f>IF(D306="","",IF(D306&gt;0,VLOOKUP(D306,Category!$A$2:$B$31,2,FALSE),"")&amp;"-"&amp;TEXT(COUNTIF('Product List'!$D$2:'Product List'!D306,'Product List'!D306),"000"))</f>
        <v/>
      </c>
      <c r="C306" s="45"/>
      <c r="D306" s="45"/>
      <c r="E306" s="45"/>
      <c r="F306" s="11" t="str">
        <f>Sheet4!G306</f>
        <v/>
      </c>
      <c r="G306" s="45"/>
      <c r="H306" s="11" t="str">
        <f t="shared" si="8"/>
        <v/>
      </c>
    </row>
    <row r="307" spans="1:8">
      <c r="A307" s="10" t="str">
        <f t="shared" si="9"/>
        <v/>
      </c>
      <c r="B307" s="11" t="str">
        <f>IF(D307="","",IF(D307&gt;0,VLOOKUP(D307,Category!$A$2:$B$31,2,FALSE),"")&amp;"-"&amp;TEXT(COUNTIF('Product List'!$D$2:'Product List'!D307,'Product List'!D307),"000"))</f>
        <v/>
      </c>
      <c r="C307" s="45"/>
      <c r="D307" s="45"/>
      <c r="E307" s="45"/>
      <c r="F307" s="11" t="str">
        <f>Sheet4!G307</f>
        <v/>
      </c>
      <c r="G307" s="45"/>
      <c r="H307" s="11" t="str">
        <f t="shared" si="8"/>
        <v/>
      </c>
    </row>
    <row r="308" spans="1:8">
      <c r="A308" s="10" t="str">
        <f t="shared" si="9"/>
        <v/>
      </c>
      <c r="B308" s="11" t="str">
        <f>IF(D308="","",IF(D308&gt;0,VLOOKUP(D308,Category!$A$2:$B$31,2,FALSE),"")&amp;"-"&amp;TEXT(COUNTIF('Product List'!$D$2:'Product List'!D308,'Product List'!D308),"000"))</f>
        <v/>
      </c>
      <c r="C308" s="45"/>
      <c r="D308" s="45"/>
      <c r="E308" s="45"/>
      <c r="F308" s="11" t="str">
        <f>Sheet4!G308</f>
        <v/>
      </c>
      <c r="G308" s="45"/>
      <c r="H308" s="11" t="str">
        <f t="shared" si="8"/>
        <v/>
      </c>
    </row>
    <row r="309" spans="1:8">
      <c r="A309" s="10" t="str">
        <f t="shared" si="9"/>
        <v/>
      </c>
      <c r="B309" s="11" t="str">
        <f>IF(D309="","",IF(D309&gt;0,VLOOKUP(D309,Category!$A$2:$B$31,2,FALSE),"")&amp;"-"&amp;TEXT(COUNTIF('Product List'!$D$2:'Product List'!D309,'Product List'!D309),"000"))</f>
        <v/>
      </c>
      <c r="C309" s="45"/>
      <c r="D309" s="45"/>
      <c r="E309" s="45"/>
      <c r="F309" s="11" t="str">
        <f>Sheet4!G309</f>
        <v/>
      </c>
      <c r="G309" s="45"/>
      <c r="H309" s="11" t="str">
        <f t="shared" si="8"/>
        <v/>
      </c>
    </row>
    <row r="310" spans="1:8">
      <c r="A310" s="10" t="str">
        <f t="shared" si="9"/>
        <v/>
      </c>
      <c r="B310" s="11" t="str">
        <f>IF(D310="","",IF(D310&gt;0,VLOOKUP(D310,Category!$A$2:$B$31,2,FALSE),"")&amp;"-"&amp;TEXT(COUNTIF('Product List'!$D$2:'Product List'!D310,'Product List'!D310),"000"))</f>
        <v/>
      </c>
      <c r="C310" s="45"/>
      <c r="D310" s="45"/>
      <c r="E310" s="45"/>
      <c r="F310" s="11" t="str">
        <f>Sheet4!G310</f>
        <v/>
      </c>
      <c r="G310" s="45"/>
      <c r="H310" s="11" t="str">
        <f t="shared" si="8"/>
        <v/>
      </c>
    </row>
    <row r="311" spans="1:8">
      <c r="A311" s="10" t="str">
        <f t="shared" si="9"/>
        <v/>
      </c>
      <c r="B311" s="11" t="str">
        <f>IF(D311="","",IF(D311&gt;0,VLOOKUP(D311,Category!$A$2:$B$31,2,FALSE),"")&amp;"-"&amp;TEXT(COUNTIF('Product List'!$D$2:'Product List'!D311,'Product List'!D311),"000"))</f>
        <v/>
      </c>
      <c r="C311" s="45"/>
      <c r="D311" s="45"/>
      <c r="E311" s="45"/>
      <c r="F311" s="11" t="str">
        <f>Sheet4!G311</f>
        <v/>
      </c>
      <c r="G311" s="45"/>
      <c r="H311" s="11" t="str">
        <f t="shared" si="8"/>
        <v/>
      </c>
    </row>
    <row r="312" spans="1:8">
      <c r="A312" s="10" t="str">
        <f t="shared" si="9"/>
        <v/>
      </c>
      <c r="B312" s="11" t="str">
        <f>IF(D312="","",IF(D312&gt;0,VLOOKUP(D312,Category!$A$2:$B$31,2,FALSE),"")&amp;"-"&amp;TEXT(COUNTIF('Product List'!$D$2:'Product List'!D312,'Product List'!D312),"000"))</f>
        <v/>
      </c>
      <c r="C312" s="45"/>
      <c r="D312" s="45"/>
      <c r="E312" s="45"/>
      <c r="F312" s="11" t="str">
        <f>Sheet4!G312</f>
        <v/>
      </c>
      <c r="G312" s="45"/>
      <c r="H312" s="11" t="str">
        <f t="shared" si="8"/>
        <v/>
      </c>
    </row>
    <row r="313" spans="1:8">
      <c r="A313" s="10" t="str">
        <f t="shared" si="9"/>
        <v/>
      </c>
      <c r="B313" s="11" t="str">
        <f>IF(D313="","",IF(D313&gt;0,VLOOKUP(D313,Category!$A$2:$B$31,2,FALSE),"")&amp;"-"&amp;TEXT(COUNTIF('Product List'!$D$2:'Product List'!D313,'Product List'!D313),"000"))</f>
        <v/>
      </c>
      <c r="C313" s="45"/>
      <c r="D313" s="45"/>
      <c r="E313" s="45"/>
      <c r="F313" s="11" t="str">
        <f>Sheet4!G313</f>
        <v/>
      </c>
      <c r="G313" s="45"/>
      <c r="H313" s="11" t="str">
        <f t="shared" si="8"/>
        <v/>
      </c>
    </row>
    <row r="314" spans="1:8">
      <c r="A314" s="10" t="str">
        <f t="shared" si="9"/>
        <v/>
      </c>
      <c r="B314" s="11" t="str">
        <f>IF(D314="","",IF(D314&gt;0,VLOOKUP(D314,Category!$A$2:$B$31,2,FALSE),"")&amp;"-"&amp;TEXT(COUNTIF('Product List'!$D$2:'Product List'!D314,'Product List'!D314),"000"))</f>
        <v/>
      </c>
      <c r="C314" s="45"/>
      <c r="D314" s="45"/>
      <c r="E314" s="45"/>
      <c r="F314" s="11" t="str">
        <f>Sheet4!G314</f>
        <v/>
      </c>
      <c r="G314" s="45"/>
      <c r="H314" s="11" t="str">
        <f t="shared" si="8"/>
        <v/>
      </c>
    </row>
    <row r="315" spans="1:8">
      <c r="A315" s="10" t="str">
        <f t="shared" si="9"/>
        <v/>
      </c>
      <c r="B315" s="11" t="str">
        <f>IF(D315="","",IF(D315&gt;0,VLOOKUP(D315,Category!$A$2:$B$31,2,FALSE),"")&amp;"-"&amp;TEXT(COUNTIF('Product List'!$D$2:'Product List'!D315,'Product List'!D315),"000"))</f>
        <v/>
      </c>
      <c r="C315" s="45"/>
      <c r="D315" s="45"/>
      <c r="E315" s="45"/>
      <c r="F315" s="11" t="str">
        <f>Sheet4!G315</f>
        <v/>
      </c>
      <c r="G315" s="45"/>
      <c r="H315" s="11" t="str">
        <f t="shared" si="8"/>
        <v/>
      </c>
    </row>
    <row r="316" spans="1:8">
      <c r="A316" s="10" t="str">
        <f t="shared" si="9"/>
        <v/>
      </c>
      <c r="B316" s="11" t="str">
        <f>IF(D316="","",IF(D316&gt;0,VLOOKUP(D316,Category!$A$2:$B$31,2,FALSE),"")&amp;"-"&amp;TEXT(COUNTIF('Product List'!$D$2:'Product List'!D316,'Product List'!D316),"000"))</f>
        <v/>
      </c>
      <c r="C316" s="45"/>
      <c r="D316" s="45"/>
      <c r="E316" s="45"/>
      <c r="F316" s="11" t="str">
        <f>Sheet4!G316</f>
        <v/>
      </c>
      <c r="G316" s="45"/>
      <c r="H316" s="11" t="str">
        <f t="shared" si="8"/>
        <v/>
      </c>
    </row>
    <row r="317" spans="1:8">
      <c r="A317" s="10" t="str">
        <f t="shared" si="9"/>
        <v/>
      </c>
      <c r="B317" s="11" t="str">
        <f>IF(D317="","",IF(D317&gt;0,VLOOKUP(D317,Category!$A$2:$B$31,2,FALSE),"")&amp;"-"&amp;TEXT(COUNTIF('Product List'!$D$2:'Product List'!D317,'Product List'!D317),"000"))</f>
        <v/>
      </c>
      <c r="C317" s="45"/>
      <c r="D317" s="45"/>
      <c r="E317" s="45"/>
      <c r="F317" s="11" t="str">
        <f>Sheet4!G317</f>
        <v/>
      </c>
      <c r="G317" s="45"/>
      <c r="H317" s="11" t="str">
        <f t="shared" si="8"/>
        <v/>
      </c>
    </row>
    <row r="318" spans="1:8">
      <c r="A318" s="10" t="str">
        <f t="shared" si="9"/>
        <v/>
      </c>
      <c r="B318" s="11" t="str">
        <f>IF(D318="","",IF(D318&gt;0,VLOOKUP(D318,Category!$A$2:$B$31,2,FALSE),"")&amp;"-"&amp;TEXT(COUNTIF('Product List'!$D$2:'Product List'!D318,'Product List'!D318),"000"))</f>
        <v/>
      </c>
      <c r="C318" s="45"/>
      <c r="D318" s="45"/>
      <c r="E318" s="45"/>
      <c r="F318" s="11" t="str">
        <f>Sheet4!G318</f>
        <v/>
      </c>
      <c r="G318" s="45"/>
      <c r="H318" s="11" t="str">
        <f t="shared" si="8"/>
        <v/>
      </c>
    </row>
    <row r="319" spans="1:8">
      <c r="A319" s="10" t="str">
        <f t="shared" si="9"/>
        <v/>
      </c>
      <c r="B319" s="11" t="str">
        <f>IF(D319="","",IF(D319&gt;0,VLOOKUP(D319,Category!$A$2:$B$31,2,FALSE),"")&amp;"-"&amp;TEXT(COUNTIF('Product List'!$D$2:'Product List'!D319,'Product List'!D319),"000"))</f>
        <v/>
      </c>
      <c r="C319" s="45"/>
      <c r="D319" s="45"/>
      <c r="E319" s="45"/>
      <c r="F319" s="11" t="str">
        <f>Sheet4!G319</f>
        <v/>
      </c>
      <c r="G319" s="45"/>
      <c r="H319" s="11" t="str">
        <f t="shared" si="8"/>
        <v/>
      </c>
    </row>
    <row r="320" spans="1:8">
      <c r="A320" s="10" t="str">
        <f t="shared" si="9"/>
        <v/>
      </c>
      <c r="B320" s="11" t="str">
        <f>IF(D320="","",IF(D320&gt;0,VLOOKUP(D320,Category!$A$2:$B$31,2,FALSE),"")&amp;"-"&amp;TEXT(COUNTIF('Product List'!$D$2:'Product List'!D320,'Product List'!D320),"000"))</f>
        <v/>
      </c>
      <c r="C320" s="45"/>
      <c r="D320" s="45"/>
      <c r="E320" s="45"/>
      <c r="F320" s="11" t="str">
        <f>Sheet4!G320</f>
        <v/>
      </c>
      <c r="G320" s="45"/>
      <c r="H320" s="11" t="str">
        <f t="shared" si="8"/>
        <v/>
      </c>
    </row>
    <row r="321" spans="1:8">
      <c r="A321" s="10" t="str">
        <f t="shared" si="9"/>
        <v/>
      </c>
      <c r="B321" s="11" t="str">
        <f>IF(D321="","",IF(D321&gt;0,VLOOKUP(D321,Category!$A$2:$B$31,2,FALSE),"")&amp;"-"&amp;TEXT(COUNTIF('Product List'!$D$2:'Product List'!D321,'Product List'!D321),"000"))</f>
        <v/>
      </c>
      <c r="C321" s="45"/>
      <c r="D321" s="45"/>
      <c r="E321" s="45"/>
      <c r="F321" s="11" t="str">
        <f>Sheet4!G321</f>
        <v/>
      </c>
      <c r="G321" s="45"/>
      <c r="H321" s="11" t="str">
        <f t="shared" si="8"/>
        <v/>
      </c>
    </row>
    <row r="322" spans="1:8">
      <c r="A322" s="10" t="str">
        <f t="shared" si="9"/>
        <v/>
      </c>
      <c r="B322" s="11" t="str">
        <f>IF(D322="","",IF(D322&gt;0,VLOOKUP(D322,Category!$A$2:$B$31,2,FALSE),"")&amp;"-"&amp;TEXT(COUNTIF('Product List'!$D$2:'Product List'!D322,'Product List'!D322),"000"))</f>
        <v/>
      </c>
      <c r="C322" s="45"/>
      <c r="D322" s="45"/>
      <c r="E322" s="45"/>
      <c r="F322" s="11" t="str">
        <f>Sheet4!G322</f>
        <v/>
      </c>
      <c r="G322" s="45"/>
      <c r="H322" s="11" t="str">
        <f t="shared" si="8"/>
        <v/>
      </c>
    </row>
    <row r="323" spans="1:8">
      <c r="A323" s="10" t="str">
        <f t="shared" si="9"/>
        <v/>
      </c>
      <c r="B323" s="11" t="str">
        <f>IF(D323="","",IF(D323&gt;0,VLOOKUP(D323,Category!$A$2:$B$31,2,FALSE),"")&amp;"-"&amp;TEXT(COUNTIF('Product List'!$D$2:'Product List'!D323,'Product List'!D323),"000"))</f>
        <v/>
      </c>
      <c r="C323" s="45"/>
      <c r="D323" s="45"/>
      <c r="E323" s="45"/>
      <c r="F323" s="11" t="str">
        <f>Sheet4!G323</f>
        <v/>
      </c>
      <c r="G323" s="45"/>
      <c r="H323" s="11" t="str">
        <f t="shared" ref="H323:H386" si="10">IF(OR(F323="",G323=""),"",IF(F323&lt;=0,"Out of Stock",IF(F323&lt;=G323,"Low on Stock","In Stock")))</f>
        <v/>
      </c>
    </row>
    <row r="324" spans="1:8">
      <c r="A324" s="10" t="str">
        <f t="shared" ref="A324:A387" si="11">IF(C324&gt;0,A323+1,"")</f>
        <v/>
      </c>
      <c r="B324" s="11" t="str">
        <f>IF(D324="","",IF(D324&gt;0,VLOOKUP(D324,Category!$A$2:$B$31,2,FALSE),"")&amp;"-"&amp;TEXT(COUNTIF('Product List'!$D$2:'Product List'!D324,'Product List'!D324),"000"))</f>
        <v/>
      </c>
      <c r="C324" s="45"/>
      <c r="D324" s="45"/>
      <c r="E324" s="45"/>
      <c r="F324" s="11" t="str">
        <f>Sheet4!G324</f>
        <v/>
      </c>
      <c r="G324" s="45"/>
      <c r="H324" s="11" t="str">
        <f t="shared" si="10"/>
        <v/>
      </c>
    </row>
    <row r="325" spans="1:8">
      <c r="A325" s="10" t="str">
        <f t="shared" si="11"/>
        <v/>
      </c>
      <c r="B325" s="11" t="str">
        <f>IF(D325="","",IF(D325&gt;0,VLOOKUP(D325,Category!$A$2:$B$31,2,FALSE),"")&amp;"-"&amp;TEXT(COUNTIF('Product List'!$D$2:'Product List'!D325,'Product List'!D325),"000"))</f>
        <v/>
      </c>
      <c r="C325" s="45"/>
      <c r="D325" s="45"/>
      <c r="E325" s="45"/>
      <c r="F325" s="11" t="str">
        <f>Sheet4!G325</f>
        <v/>
      </c>
      <c r="G325" s="45"/>
      <c r="H325" s="11" t="str">
        <f t="shared" si="10"/>
        <v/>
      </c>
    </row>
    <row r="326" spans="1:8">
      <c r="A326" s="10" t="str">
        <f t="shared" si="11"/>
        <v/>
      </c>
      <c r="B326" s="11" t="str">
        <f>IF(D326="","",IF(D326&gt;0,VLOOKUP(D326,Category!$A$2:$B$31,2,FALSE),"")&amp;"-"&amp;TEXT(COUNTIF('Product List'!$D$2:'Product List'!D326,'Product List'!D326),"000"))</f>
        <v/>
      </c>
      <c r="C326" s="45"/>
      <c r="D326" s="45"/>
      <c r="E326" s="45"/>
      <c r="F326" s="11" t="str">
        <f>Sheet4!G326</f>
        <v/>
      </c>
      <c r="G326" s="45"/>
      <c r="H326" s="11" t="str">
        <f t="shared" si="10"/>
        <v/>
      </c>
    </row>
    <row r="327" spans="1:8">
      <c r="A327" s="10" t="str">
        <f t="shared" si="11"/>
        <v/>
      </c>
      <c r="B327" s="11" t="str">
        <f>IF(D327="","",IF(D327&gt;0,VLOOKUP(D327,Category!$A$2:$B$31,2,FALSE),"")&amp;"-"&amp;TEXT(COUNTIF('Product List'!$D$2:'Product List'!D327,'Product List'!D327),"000"))</f>
        <v/>
      </c>
      <c r="C327" s="45"/>
      <c r="D327" s="45"/>
      <c r="E327" s="45"/>
      <c r="F327" s="11" t="str">
        <f>Sheet4!G327</f>
        <v/>
      </c>
      <c r="G327" s="45"/>
      <c r="H327" s="11" t="str">
        <f t="shared" si="10"/>
        <v/>
      </c>
    </row>
    <row r="328" spans="1:8">
      <c r="A328" s="10" t="str">
        <f t="shared" si="11"/>
        <v/>
      </c>
      <c r="B328" s="11" t="str">
        <f>IF(D328="","",IF(D328&gt;0,VLOOKUP(D328,Category!$A$2:$B$31,2,FALSE),"")&amp;"-"&amp;TEXT(COUNTIF('Product List'!$D$2:'Product List'!D328,'Product List'!D328),"000"))</f>
        <v/>
      </c>
      <c r="C328" s="45"/>
      <c r="D328" s="45"/>
      <c r="E328" s="45"/>
      <c r="F328" s="11" t="str">
        <f>Sheet4!G328</f>
        <v/>
      </c>
      <c r="G328" s="45"/>
      <c r="H328" s="11" t="str">
        <f t="shared" si="10"/>
        <v/>
      </c>
    </row>
    <row r="329" spans="1:8">
      <c r="A329" s="10" t="str">
        <f t="shared" si="11"/>
        <v/>
      </c>
      <c r="B329" s="11" t="str">
        <f>IF(D329="","",IF(D329&gt;0,VLOOKUP(D329,Category!$A$2:$B$31,2,FALSE),"")&amp;"-"&amp;TEXT(COUNTIF('Product List'!$D$2:'Product List'!D329,'Product List'!D329),"000"))</f>
        <v/>
      </c>
      <c r="C329" s="45"/>
      <c r="D329" s="45"/>
      <c r="E329" s="45"/>
      <c r="F329" s="11" t="str">
        <f>Sheet4!G329</f>
        <v/>
      </c>
      <c r="G329" s="45"/>
      <c r="H329" s="11" t="str">
        <f t="shared" si="10"/>
        <v/>
      </c>
    </row>
    <row r="330" spans="1:8">
      <c r="A330" s="10" t="str">
        <f t="shared" si="11"/>
        <v/>
      </c>
      <c r="B330" s="11" t="str">
        <f>IF(D330="","",IF(D330&gt;0,VLOOKUP(D330,Category!$A$2:$B$31,2,FALSE),"")&amp;"-"&amp;TEXT(COUNTIF('Product List'!$D$2:'Product List'!D330,'Product List'!D330),"000"))</f>
        <v/>
      </c>
      <c r="C330" s="45"/>
      <c r="D330" s="45"/>
      <c r="E330" s="45"/>
      <c r="F330" s="11" t="str">
        <f>Sheet4!G330</f>
        <v/>
      </c>
      <c r="G330" s="45"/>
      <c r="H330" s="11" t="str">
        <f t="shared" si="10"/>
        <v/>
      </c>
    </row>
    <row r="331" spans="1:8">
      <c r="A331" s="10" t="str">
        <f t="shared" si="11"/>
        <v/>
      </c>
      <c r="B331" s="11" t="str">
        <f>IF(D331="","",IF(D331&gt;0,VLOOKUP(D331,Category!$A$2:$B$31,2,FALSE),"")&amp;"-"&amp;TEXT(COUNTIF('Product List'!$D$2:'Product List'!D331,'Product List'!D331),"000"))</f>
        <v/>
      </c>
      <c r="C331" s="45"/>
      <c r="D331" s="45"/>
      <c r="E331" s="45"/>
      <c r="F331" s="11" t="str">
        <f>Sheet4!G331</f>
        <v/>
      </c>
      <c r="G331" s="45"/>
      <c r="H331" s="11" t="str">
        <f t="shared" si="10"/>
        <v/>
      </c>
    </row>
    <row r="332" spans="1:8">
      <c r="A332" s="10" t="str">
        <f t="shared" si="11"/>
        <v/>
      </c>
      <c r="B332" s="11" t="str">
        <f>IF(D332="","",IF(D332&gt;0,VLOOKUP(D332,Category!$A$2:$B$31,2,FALSE),"")&amp;"-"&amp;TEXT(COUNTIF('Product List'!$D$2:'Product List'!D332,'Product List'!D332),"000"))</f>
        <v/>
      </c>
      <c r="C332" s="45"/>
      <c r="D332" s="45"/>
      <c r="E332" s="45"/>
      <c r="F332" s="11" t="str">
        <f>Sheet4!G332</f>
        <v/>
      </c>
      <c r="G332" s="45"/>
      <c r="H332" s="11" t="str">
        <f t="shared" si="10"/>
        <v/>
      </c>
    </row>
    <row r="333" spans="1:8">
      <c r="A333" s="10" t="str">
        <f t="shared" si="11"/>
        <v/>
      </c>
      <c r="B333" s="11" t="str">
        <f>IF(D333="","",IF(D333&gt;0,VLOOKUP(D333,Category!$A$2:$B$31,2,FALSE),"")&amp;"-"&amp;TEXT(COUNTIF('Product List'!$D$2:'Product List'!D333,'Product List'!D333),"000"))</f>
        <v/>
      </c>
      <c r="C333" s="45"/>
      <c r="D333" s="45"/>
      <c r="E333" s="45"/>
      <c r="F333" s="11" t="str">
        <f>Sheet4!G333</f>
        <v/>
      </c>
      <c r="G333" s="45"/>
      <c r="H333" s="11" t="str">
        <f t="shared" si="10"/>
        <v/>
      </c>
    </row>
    <row r="334" spans="1:8">
      <c r="A334" s="10" t="str">
        <f t="shared" si="11"/>
        <v/>
      </c>
      <c r="B334" s="11" t="str">
        <f>IF(D334="","",IF(D334&gt;0,VLOOKUP(D334,Category!$A$2:$B$31,2,FALSE),"")&amp;"-"&amp;TEXT(COUNTIF('Product List'!$D$2:'Product List'!D334,'Product List'!D334),"000"))</f>
        <v/>
      </c>
      <c r="C334" s="45"/>
      <c r="D334" s="45"/>
      <c r="E334" s="45"/>
      <c r="F334" s="11" t="str">
        <f>Sheet4!G334</f>
        <v/>
      </c>
      <c r="G334" s="45"/>
      <c r="H334" s="11" t="str">
        <f t="shared" si="10"/>
        <v/>
      </c>
    </row>
    <row r="335" spans="1:8">
      <c r="A335" s="10" t="str">
        <f t="shared" si="11"/>
        <v/>
      </c>
      <c r="B335" s="11" t="str">
        <f>IF(D335="","",IF(D335&gt;0,VLOOKUP(D335,Category!$A$2:$B$31,2,FALSE),"")&amp;"-"&amp;TEXT(COUNTIF('Product List'!$D$2:'Product List'!D335,'Product List'!D335),"000"))</f>
        <v/>
      </c>
      <c r="C335" s="45"/>
      <c r="D335" s="45"/>
      <c r="E335" s="45"/>
      <c r="F335" s="11" t="str">
        <f>Sheet4!G335</f>
        <v/>
      </c>
      <c r="G335" s="45"/>
      <c r="H335" s="11" t="str">
        <f t="shared" si="10"/>
        <v/>
      </c>
    </row>
    <row r="336" spans="1:8">
      <c r="A336" s="10" t="str">
        <f t="shared" si="11"/>
        <v/>
      </c>
      <c r="B336" s="11" t="str">
        <f>IF(D336="","",IF(D336&gt;0,VLOOKUP(D336,Category!$A$2:$B$31,2,FALSE),"")&amp;"-"&amp;TEXT(COUNTIF('Product List'!$D$2:'Product List'!D336,'Product List'!D336),"000"))</f>
        <v/>
      </c>
      <c r="C336" s="45"/>
      <c r="D336" s="45"/>
      <c r="E336" s="45"/>
      <c r="F336" s="11" t="str">
        <f>Sheet4!G336</f>
        <v/>
      </c>
      <c r="G336" s="45"/>
      <c r="H336" s="11" t="str">
        <f t="shared" si="10"/>
        <v/>
      </c>
    </row>
    <row r="337" spans="1:8">
      <c r="A337" s="10" t="str">
        <f t="shared" si="11"/>
        <v/>
      </c>
      <c r="B337" s="11" t="str">
        <f>IF(D337="","",IF(D337&gt;0,VLOOKUP(D337,Category!$A$2:$B$31,2,FALSE),"")&amp;"-"&amp;TEXT(COUNTIF('Product List'!$D$2:'Product List'!D337,'Product List'!D337),"000"))</f>
        <v/>
      </c>
      <c r="C337" s="45"/>
      <c r="D337" s="45"/>
      <c r="E337" s="45"/>
      <c r="F337" s="11" t="str">
        <f>Sheet4!G337</f>
        <v/>
      </c>
      <c r="G337" s="45"/>
      <c r="H337" s="11" t="str">
        <f t="shared" si="10"/>
        <v/>
      </c>
    </row>
    <row r="338" spans="1:8">
      <c r="A338" s="10" t="str">
        <f t="shared" si="11"/>
        <v/>
      </c>
      <c r="B338" s="11" t="str">
        <f>IF(D338="","",IF(D338&gt;0,VLOOKUP(D338,Category!$A$2:$B$31,2,FALSE),"")&amp;"-"&amp;TEXT(COUNTIF('Product List'!$D$2:'Product List'!D338,'Product List'!D338),"000"))</f>
        <v/>
      </c>
      <c r="C338" s="45"/>
      <c r="D338" s="45"/>
      <c r="E338" s="45"/>
      <c r="F338" s="11" t="str">
        <f>Sheet4!G338</f>
        <v/>
      </c>
      <c r="G338" s="45"/>
      <c r="H338" s="11" t="str">
        <f t="shared" si="10"/>
        <v/>
      </c>
    </row>
    <row r="339" spans="1:8">
      <c r="A339" s="10" t="str">
        <f t="shared" si="11"/>
        <v/>
      </c>
      <c r="B339" s="11" t="str">
        <f>IF(D339="","",IF(D339&gt;0,VLOOKUP(D339,Category!$A$2:$B$31,2,FALSE),"")&amp;"-"&amp;TEXT(COUNTIF('Product List'!$D$2:'Product List'!D339,'Product List'!D339),"000"))</f>
        <v/>
      </c>
      <c r="C339" s="45"/>
      <c r="D339" s="45"/>
      <c r="E339" s="45"/>
      <c r="F339" s="11" t="str">
        <f>Sheet4!G339</f>
        <v/>
      </c>
      <c r="G339" s="45"/>
      <c r="H339" s="11" t="str">
        <f t="shared" si="10"/>
        <v/>
      </c>
    </row>
    <row r="340" spans="1:8">
      <c r="A340" s="10" t="str">
        <f t="shared" si="11"/>
        <v/>
      </c>
      <c r="B340" s="11" t="str">
        <f>IF(D340="","",IF(D340&gt;0,VLOOKUP(D340,Category!$A$2:$B$31,2,FALSE),"")&amp;"-"&amp;TEXT(COUNTIF('Product List'!$D$2:'Product List'!D340,'Product List'!D340),"000"))</f>
        <v/>
      </c>
      <c r="C340" s="45"/>
      <c r="D340" s="45"/>
      <c r="E340" s="45"/>
      <c r="F340" s="11" t="str">
        <f>Sheet4!G340</f>
        <v/>
      </c>
      <c r="G340" s="45"/>
      <c r="H340" s="11" t="str">
        <f t="shared" si="10"/>
        <v/>
      </c>
    </row>
    <row r="341" spans="1:8">
      <c r="A341" s="10" t="str">
        <f t="shared" si="11"/>
        <v/>
      </c>
      <c r="B341" s="11" t="str">
        <f>IF(D341="","",IF(D341&gt;0,VLOOKUP(D341,Category!$A$2:$B$31,2,FALSE),"")&amp;"-"&amp;TEXT(COUNTIF('Product List'!$D$2:'Product List'!D341,'Product List'!D341),"000"))</f>
        <v/>
      </c>
      <c r="C341" s="45"/>
      <c r="D341" s="45"/>
      <c r="E341" s="45"/>
      <c r="F341" s="11" t="str">
        <f>Sheet4!G341</f>
        <v/>
      </c>
      <c r="G341" s="45"/>
      <c r="H341" s="11" t="str">
        <f t="shared" si="10"/>
        <v/>
      </c>
    </row>
    <row r="342" spans="1:8">
      <c r="A342" s="10" t="str">
        <f t="shared" si="11"/>
        <v/>
      </c>
      <c r="B342" s="11" t="str">
        <f>IF(D342="","",IF(D342&gt;0,VLOOKUP(D342,Category!$A$2:$B$31,2,FALSE),"")&amp;"-"&amp;TEXT(COUNTIF('Product List'!$D$2:'Product List'!D342,'Product List'!D342),"000"))</f>
        <v/>
      </c>
      <c r="C342" s="45"/>
      <c r="D342" s="45"/>
      <c r="E342" s="45"/>
      <c r="F342" s="11" t="str">
        <f>Sheet4!G342</f>
        <v/>
      </c>
      <c r="G342" s="45"/>
      <c r="H342" s="11" t="str">
        <f t="shared" si="10"/>
        <v/>
      </c>
    </row>
    <row r="343" spans="1:8">
      <c r="A343" s="10" t="str">
        <f t="shared" si="11"/>
        <v/>
      </c>
      <c r="B343" s="11" t="str">
        <f>IF(D343="","",IF(D343&gt;0,VLOOKUP(D343,Category!$A$2:$B$31,2,FALSE),"")&amp;"-"&amp;TEXT(COUNTIF('Product List'!$D$2:'Product List'!D343,'Product List'!D343),"000"))</f>
        <v/>
      </c>
      <c r="C343" s="45"/>
      <c r="D343" s="45"/>
      <c r="E343" s="45"/>
      <c r="F343" s="11" t="str">
        <f>Sheet4!G343</f>
        <v/>
      </c>
      <c r="G343" s="45"/>
      <c r="H343" s="11" t="str">
        <f t="shared" si="10"/>
        <v/>
      </c>
    </row>
    <row r="344" spans="1:8">
      <c r="A344" s="10" t="str">
        <f t="shared" si="11"/>
        <v/>
      </c>
      <c r="B344" s="11" t="str">
        <f>IF(D344="","",IF(D344&gt;0,VLOOKUP(D344,Category!$A$2:$B$31,2,FALSE),"")&amp;"-"&amp;TEXT(COUNTIF('Product List'!$D$2:'Product List'!D344,'Product List'!D344),"000"))</f>
        <v/>
      </c>
      <c r="C344" s="45"/>
      <c r="D344" s="45"/>
      <c r="E344" s="45"/>
      <c r="F344" s="11" t="str">
        <f>Sheet4!G344</f>
        <v/>
      </c>
      <c r="G344" s="45"/>
      <c r="H344" s="11" t="str">
        <f t="shared" si="10"/>
        <v/>
      </c>
    </row>
    <row r="345" spans="1:8">
      <c r="A345" s="10" t="str">
        <f t="shared" si="11"/>
        <v/>
      </c>
      <c r="B345" s="11" t="str">
        <f>IF(D345="","",IF(D345&gt;0,VLOOKUP(D345,Category!$A$2:$B$31,2,FALSE),"")&amp;"-"&amp;TEXT(COUNTIF('Product List'!$D$2:'Product List'!D345,'Product List'!D345),"000"))</f>
        <v/>
      </c>
      <c r="C345" s="45"/>
      <c r="D345" s="45"/>
      <c r="E345" s="45"/>
      <c r="F345" s="11" t="str">
        <f>Sheet4!G345</f>
        <v/>
      </c>
      <c r="G345" s="45"/>
      <c r="H345" s="11" t="str">
        <f t="shared" si="10"/>
        <v/>
      </c>
    </row>
    <row r="346" spans="1:8">
      <c r="A346" s="10" t="str">
        <f t="shared" si="11"/>
        <v/>
      </c>
      <c r="B346" s="11" t="str">
        <f>IF(D346="","",IF(D346&gt;0,VLOOKUP(D346,Category!$A$2:$B$31,2,FALSE),"")&amp;"-"&amp;TEXT(COUNTIF('Product List'!$D$2:'Product List'!D346,'Product List'!D346),"000"))</f>
        <v/>
      </c>
      <c r="C346" s="45"/>
      <c r="D346" s="45"/>
      <c r="E346" s="45"/>
      <c r="F346" s="11" t="str">
        <f>Sheet4!G346</f>
        <v/>
      </c>
      <c r="G346" s="45"/>
      <c r="H346" s="11" t="str">
        <f t="shared" si="10"/>
        <v/>
      </c>
    </row>
    <row r="347" spans="1:8">
      <c r="A347" s="10" t="str">
        <f t="shared" si="11"/>
        <v/>
      </c>
      <c r="B347" s="11" t="str">
        <f>IF(D347="","",IF(D347&gt;0,VLOOKUP(D347,Category!$A$2:$B$31,2,FALSE),"")&amp;"-"&amp;TEXT(COUNTIF('Product List'!$D$2:'Product List'!D347,'Product List'!D347),"000"))</f>
        <v/>
      </c>
      <c r="C347" s="45"/>
      <c r="D347" s="45"/>
      <c r="E347" s="45"/>
      <c r="F347" s="11" t="str">
        <f>Sheet4!G347</f>
        <v/>
      </c>
      <c r="G347" s="45"/>
      <c r="H347" s="11" t="str">
        <f t="shared" si="10"/>
        <v/>
      </c>
    </row>
    <row r="348" spans="1:8">
      <c r="A348" s="10" t="str">
        <f t="shared" si="11"/>
        <v/>
      </c>
      <c r="B348" s="11" t="str">
        <f>IF(D348="","",IF(D348&gt;0,VLOOKUP(D348,Category!$A$2:$B$31,2,FALSE),"")&amp;"-"&amp;TEXT(COUNTIF('Product List'!$D$2:'Product List'!D348,'Product List'!D348),"000"))</f>
        <v/>
      </c>
      <c r="C348" s="45"/>
      <c r="D348" s="45"/>
      <c r="E348" s="45"/>
      <c r="F348" s="11" t="str">
        <f>Sheet4!G348</f>
        <v/>
      </c>
      <c r="G348" s="45"/>
      <c r="H348" s="11" t="str">
        <f t="shared" si="10"/>
        <v/>
      </c>
    </row>
    <row r="349" spans="1:8">
      <c r="A349" s="10" t="str">
        <f t="shared" si="11"/>
        <v/>
      </c>
      <c r="B349" s="11" t="str">
        <f>IF(D349="","",IF(D349&gt;0,VLOOKUP(D349,Category!$A$2:$B$31,2,FALSE),"")&amp;"-"&amp;TEXT(COUNTIF('Product List'!$D$2:'Product List'!D349,'Product List'!D349),"000"))</f>
        <v/>
      </c>
      <c r="C349" s="45"/>
      <c r="D349" s="45"/>
      <c r="E349" s="45"/>
      <c r="F349" s="11" t="str">
        <f>Sheet4!G349</f>
        <v/>
      </c>
      <c r="G349" s="45"/>
      <c r="H349" s="11" t="str">
        <f t="shared" si="10"/>
        <v/>
      </c>
    </row>
    <row r="350" spans="1:8">
      <c r="A350" s="10" t="str">
        <f t="shared" si="11"/>
        <v/>
      </c>
      <c r="B350" s="11" t="str">
        <f>IF(D350="","",IF(D350&gt;0,VLOOKUP(D350,Category!$A$2:$B$31,2,FALSE),"")&amp;"-"&amp;TEXT(COUNTIF('Product List'!$D$2:'Product List'!D350,'Product List'!D350),"000"))</f>
        <v/>
      </c>
      <c r="C350" s="45"/>
      <c r="D350" s="45"/>
      <c r="E350" s="45"/>
      <c r="F350" s="11" t="str">
        <f>Sheet4!G350</f>
        <v/>
      </c>
      <c r="G350" s="45"/>
      <c r="H350" s="11" t="str">
        <f t="shared" si="10"/>
        <v/>
      </c>
    </row>
    <row r="351" spans="1:8">
      <c r="A351" s="10" t="str">
        <f t="shared" si="11"/>
        <v/>
      </c>
      <c r="B351" s="11" t="str">
        <f>IF(D351="","",IF(D351&gt;0,VLOOKUP(D351,Category!$A$2:$B$31,2,FALSE),"")&amp;"-"&amp;TEXT(COUNTIF('Product List'!$D$2:'Product List'!D351,'Product List'!D351),"000"))</f>
        <v/>
      </c>
      <c r="C351" s="45"/>
      <c r="D351" s="45"/>
      <c r="E351" s="45"/>
      <c r="F351" s="11" t="str">
        <f>Sheet4!G351</f>
        <v/>
      </c>
      <c r="G351" s="45"/>
      <c r="H351" s="11" t="str">
        <f t="shared" si="10"/>
        <v/>
      </c>
    </row>
    <row r="352" spans="1:8">
      <c r="A352" s="10" t="str">
        <f t="shared" si="11"/>
        <v/>
      </c>
      <c r="B352" s="11" t="str">
        <f>IF(D352="","",IF(D352&gt;0,VLOOKUP(D352,Category!$A$2:$B$31,2,FALSE),"")&amp;"-"&amp;TEXT(COUNTIF('Product List'!$D$2:'Product List'!D352,'Product List'!D352),"000"))</f>
        <v/>
      </c>
      <c r="C352" s="45"/>
      <c r="D352" s="45"/>
      <c r="E352" s="45"/>
      <c r="F352" s="11" t="str">
        <f>Sheet4!G352</f>
        <v/>
      </c>
      <c r="G352" s="45"/>
      <c r="H352" s="11" t="str">
        <f t="shared" si="10"/>
        <v/>
      </c>
    </row>
    <row r="353" spans="1:8">
      <c r="A353" s="10" t="str">
        <f t="shared" si="11"/>
        <v/>
      </c>
      <c r="B353" s="11" t="str">
        <f>IF(D353="","",IF(D353&gt;0,VLOOKUP(D353,Category!$A$2:$B$31,2,FALSE),"")&amp;"-"&amp;TEXT(COUNTIF('Product List'!$D$2:'Product List'!D353,'Product List'!D353),"000"))</f>
        <v/>
      </c>
      <c r="C353" s="45"/>
      <c r="D353" s="45"/>
      <c r="E353" s="45"/>
      <c r="F353" s="11" t="str">
        <f>Sheet4!G353</f>
        <v/>
      </c>
      <c r="G353" s="45"/>
      <c r="H353" s="11" t="str">
        <f t="shared" si="10"/>
        <v/>
      </c>
    </row>
    <row r="354" spans="1:8">
      <c r="A354" s="10" t="str">
        <f t="shared" si="11"/>
        <v/>
      </c>
      <c r="B354" s="11" t="str">
        <f>IF(D354="","",IF(D354&gt;0,VLOOKUP(D354,Category!$A$2:$B$31,2,FALSE),"")&amp;"-"&amp;TEXT(COUNTIF('Product List'!$D$2:'Product List'!D354,'Product List'!D354),"000"))</f>
        <v/>
      </c>
      <c r="C354" s="45"/>
      <c r="D354" s="45"/>
      <c r="E354" s="45"/>
      <c r="F354" s="11" t="str">
        <f>Sheet4!G354</f>
        <v/>
      </c>
      <c r="G354" s="45"/>
      <c r="H354" s="11" t="str">
        <f t="shared" si="10"/>
        <v/>
      </c>
    </row>
    <row r="355" spans="1:8">
      <c r="A355" s="10" t="str">
        <f t="shared" si="11"/>
        <v/>
      </c>
      <c r="B355" s="11" t="str">
        <f>IF(D355="","",IF(D355&gt;0,VLOOKUP(D355,Category!$A$2:$B$31,2,FALSE),"")&amp;"-"&amp;TEXT(COUNTIF('Product List'!$D$2:'Product List'!D355,'Product List'!D355),"000"))</f>
        <v/>
      </c>
      <c r="C355" s="45"/>
      <c r="D355" s="45"/>
      <c r="E355" s="45"/>
      <c r="F355" s="11" t="str">
        <f>Sheet4!G355</f>
        <v/>
      </c>
      <c r="G355" s="45"/>
      <c r="H355" s="11" t="str">
        <f t="shared" si="10"/>
        <v/>
      </c>
    </row>
    <row r="356" spans="1:8">
      <c r="A356" s="10" t="str">
        <f t="shared" si="11"/>
        <v/>
      </c>
      <c r="B356" s="11" t="str">
        <f>IF(D356="","",IF(D356&gt;0,VLOOKUP(D356,Category!$A$2:$B$31,2,FALSE),"")&amp;"-"&amp;TEXT(COUNTIF('Product List'!$D$2:'Product List'!D356,'Product List'!D356),"000"))</f>
        <v/>
      </c>
      <c r="C356" s="45"/>
      <c r="D356" s="45"/>
      <c r="E356" s="45"/>
      <c r="F356" s="11" t="str">
        <f>Sheet4!G356</f>
        <v/>
      </c>
      <c r="G356" s="45"/>
      <c r="H356" s="11" t="str">
        <f t="shared" si="10"/>
        <v/>
      </c>
    </row>
    <row r="357" spans="1:8">
      <c r="A357" s="10" t="str">
        <f t="shared" si="11"/>
        <v/>
      </c>
      <c r="B357" s="11" t="str">
        <f>IF(D357="","",IF(D357&gt;0,VLOOKUP(D357,Category!$A$2:$B$31,2,FALSE),"")&amp;"-"&amp;TEXT(COUNTIF('Product List'!$D$2:'Product List'!D357,'Product List'!D357),"000"))</f>
        <v/>
      </c>
      <c r="C357" s="45"/>
      <c r="D357" s="45"/>
      <c r="E357" s="45"/>
      <c r="F357" s="11" t="str">
        <f>Sheet4!G357</f>
        <v/>
      </c>
      <c r="G357" s="45"/>
      <c r="H357" s="11" t="str">
        <f t="shared" si="10"/>
        <v/>
      </c>
    </row>
    <row r="358" spans="1:8">
      <c r="A358" s="10" t="str">
        <f t="shared" si="11"/>
        <v/>
      </c>
      <c r="B358" s="11" t="str">
        <f>IF(D358="","",IF(D358&gt;0,VLOOKUP(D358,Category!$A$2:$B$31,2,FALSE),"")&amp;"-"&amp;TEXT(COUNTIF('Product List'!$D$2:'Product List'!D358,'Product List'!D358),"000"))</f>
        <v/>
      </c>
      <c r="C358" s="45"/>
      <c r="D358" s="45"/>
      <c r="E358" s="45"/>
      <c r="F358" s="11" t="str">
        <f>Sheet4!G358</f>
        <v/>
      </c>
      <c r="G358" s="45"/>
      <c r="H358" s="11" t="str">
        <f t="shared" si="10"/>
        <v/>
      </c>
    </row>
    <row r="359" spans="1:8">
      <c r="A359" s="10" t="str">
        <f t="shared" si="11"/>
        <v/>
      </c>
      <c r="B359" s="11" t="str">
        <f>IF(D359="","",IF(D359&gt;0,VLOOKUP(D359,Category!$A$2:$B$31,2,FALSE),"")&amp;"-"&amp;TEXT(COUNTIF('Product List'!$D$2:'Product List'!D359,'Product List'!D359),"000"))</f>
        <v/>
      </c>
      <c r="C359" s="45"/>
      <c r="D359" s="45"/>
      <c r="E359" s="45"/>
      <c r="F359" s="11" t="str">
        <f>Sheet4!G359</f>
        <v/>
      </c>
      <c r="G359" s="45"/>
      <c r="H359" s="11" t="str">
        <f t="shared" si="10"/>
        <v/>
      </c>
    </row>
    <row r="360" spans="1:8">
      <c r="A360" s="10" t="str">
        <f t="shared" si="11"/>
        <v/>
      </c>
      <c r="B360" s="11" t="str">
        <f>IF(D360="","",IF(D360&gt;0,VLOOKUP(D360,Category!$A$2:$B$31,2,FALSE),"")&amp;"-"&amp;TEXT(COUNTIF('Product List'!$D$2:'Product List'!D360,'Product List'!D360),"000"))</f>
        <v/>
      </c>
      <c r="C360" s="45"/>
      <c r="D360" s="45"/>
      <c r="E360" s="45"/>
      <c r="F360" s="11" t="str">
        <f>Sheet4!G360</f>
        <v/>
      </c>
      <c r="G360" s="45"/>
      <c r="H360" s="11" t="str">
        <f t="shared" si="10"/>
        <v/>
      </c>
    </row>
    <row r="361" spans="1:8">
      <c r="A361" s="10" t="str">
        <f t="shared" si="11"/>
        <v/>
      </c>
      <c r="B361" s="11" t="str">
        <f>IF(D361="","",IF(D361&gt;0,VLOOKUP(D361,Category!$A$2:$B$31,2,FALSE),"")&amp;"-"&amp;TEXT(COUNTIF('Product List'!$D$2:'Product List'!D361,'Product List'!D361),"000"))</f>
        <v/>
      </c>
      <c r="C361" s="45"/>
      <c r="D361" s="45"/>
      <c r="E361" s="45"/>
      <c r="F361" s="11" t="str">
        <f>Sheet4!G361</f>
        <v/>
      </c>
      <c r="G361" s="45"/>
      <c r="H361" s="11" t="str">
        <f t="shared" si="10"/>
        <v/>
      </c>
    </row>
    <row r="362" spans="1:8">
      <c r="A362" s="10" t="str">
        <f t="shared" si="11"/>
        <v/>
      </c>
      <c r="B362" s="11" t="str">
        <f>IF(D362="","",IF(D362&gt;0,VLOOKUP(D362,Category!$A$2:$B$31,2,FALSE),"")&amp;"-"&amp;TEXT(COUNTIF('Product List'!$D$2:'Product List'!D362,'Product List'!D362),"000"))</f>
        <v/>
      </c>
      <c r="C362" s="45"/>
      <c r="D362" s="45"/>
      <c r="E362" s="45"/>
      <c r="F362" s="11" t="str">
        <f>Sheet4!G362</f>
        <v/>
      </c>
      <c r="G362" s="45"/>
      <c r="H362" s="11" t="str">
        <f t="shared" si="10"/>
        <v/>
      </c>
    </row>
    <row r="363" spans="1:8">
      <c r="A363" s="10" t="str">
        <f t="shared" si="11"/>
        <v/>
      </c>
      <c r="B363" s="11" t="str">
        <f>IF(D363="","",IF(D363&gt;0,VLOOKUP(D363,Category!$A$2:$B$31,2,FALSE),"")&amp;"-"&amp;TEXT(COUNTIF('Product List'!$D$2:'Product List'!D363,'Product List'!D363),"000"))</f>
        <v/>
      </c>
      <c r="C363" s="45"/>
      <c r="D363" s="45"/>
      <c r="E363" s="45"/>
      <c r="F363" s="11" t="str">
        <f>Sheet4!G363</f>
        <v/>
      </c>
      <c r="G363" s="45"/>
      <c r="H363" s="11" t="str">
        <f t="shared" si="10"/>
        <v/>
      </c>
    </row>
    <row r="364" spans="1:8">
      <c r="A364" s="10" t="str">
        <f t="shared" si="11"/>
        <v/>
      </c>
      <c r="B364" s="11" t="str">
        <f>IF(D364="","",IF(D364&gt;0,VLOOKUP(D364,Category!$A$2:$B$31,2,FALSE),"")&amp;"-"&amp;TEXT(COUNTIF('Product List'!$D$2:'Product List'!D364,'Product List'!D364),"000"))</f>
        <v/>
      </c>
      <c r="C364" s="45"/>
      <c r="D364" s="45"/>
      <c r="E364" s="45"/>
      <c r="F364" s="11" t="str">
        <f>Sheet4!G364</f>
        <v/>
      </c>
      <c r="G364" s="45"/>
      <c r="H364" s="11" t="str">
        <f t="shared" si="10"/>
        <v/>
      </c>
    </row>
    <row r="365" spans="1:8">
      <c r="A365" s="10" t="str">
        <f t="shared" si="11"/>
        <v/>
      </c>
      <c r="B365" s="11" t="str">
        <f>IF(D365="","",IF(D365&gt;0,VLOOKUP(D365,Category!$A$2:$B$31,2,FALSE),"")&amp;"-"&amp;TEXT(COUNTIF('Product List'!$D$2:'Product List'!D365,'Product List'!D365),"000"))</f>
        <v/>
      </c>
      <c r="C365" s="45"/>
      <c r="D365" s="45"/>
      <c r="E365" s="45"/>
      <c r="F365" s="11" t="str">
        <f>Sheet4!G365</f>
        <v/>
      </c>
      <c r="G365" s="45"/>
      <c r="H365" s="11" t="str">
        <f t="shared" si="10"/>
        <v/>
      </c>
    </row>
    <row r="366" spans="1:8">
      <c r="A366" s="10" t="str">
        <f t="shared" si="11"/>
        <v/>
      </c>
      <c r="B366" s="11" t="str">
        <f>IF(D366="","",IF(D366&gt;0,VLOOKUP(D366,Category!$A$2:$B$31,2,FALSE),"")&amp;"-"&amp;TEXT(COUNTIF('Product List'!$D$2:'Product List'!D366,'Product List'!D366),"000"))</f>
        <v/>
      </c>
      <c r="C366" s="45"/>
      <c r="D366" s="45"/>
      <c r="E366" s="45"/>
      <c r="F366" s="11" t="str">
        <f>Sheet4!G366</f>
        <v/>
      </c>
      <c r="G366" s="45"/>
      <c r="H366" s="11" t="str">
        <f t="shared" si="10"/>
        <v/>
      </c>
    </row>
    <row r="367" spans="1:8">
      <c r="A367" s="10" t="str">
        <f t="shared" si="11"/>
        <v/>
      </c>
      <c r="B367" s="11" t="str">
        <f>IF(D367="","",IF(D367&gt;0,VLOOKUP(D367,Category!$A$2:$B$31,2,FALSE),"")&amp;"-"&amp;TEXT(COUNTIF('Product List'!$D$2:'Product List'!D367,'Product List'!D367),"000"))</f>
        <v/>
      </c>
      <c r="C367" s="45"/>
      <c r="D367" s="45"/>
      <c r="E367" s="45"/>
      <c r="F367" s="11" t="str">
        <f>Sheet4!G367</f>
        <v/>
      </c>
      <c r="G367" s="45"/>
      <c r="H367" s="11" t="str">
        <f t="shared" si="10"/>
        <v/>
      </c>
    </row>
    <row r="368" spans="1:8">
      <c r="A368" s="10" t="str">
        <f t="shared" si="11"/>
        <v/>
      </c>
      <c r="B368" s="11" t="str">
        <f>IF(D368="","",IF(D368&gt;0,VLOOKUP(D368,Category!$A$2:$B$31,2,FALSE),"")&amp;"-"&amp;TEXT(COUNTIF('Product List'!$D$2:'Product List'!D368,'Product List'!D368),"000"))</f>
        <v/>
      </c>
      <c r="C368" s="45"/>
      <c r="D368" s="45"/>
      <c r="E368" s="45"/>
      <c r="F368" s="11" t="str">
        <f>Sheet4!G368</f>
        <v/>
      </c>
      <c r="G368" s="45"/>
      <c r="H368" s="11" t="str">
        <f t="shared" si="10"/>
        <v/>
      </c>
    </row>
    <row r="369" spans="1:8">
      <c r="A369" s="10" t="str">
        <f t="shared" si="11"/>
        <v/>
      </c>
      <c r="B369" s="11" t="str">
        <f>IF(D369="","",IF(D369&gt;0,VLOOKUP(D369,Category!$A$2:$B$31,2,FALSE),"")&amp;"-"&amp;TEXT(COUNTIF('Product List'!$D$2:'Product List'!D369,'Product List'!D369),"000"))</f>
        <v/>
      </c>
      <c r="C369" s="45"/>
      <c r="D369" s="45"/>
      <c r="E369" s="45"/>
      <c r="F369" s="11" t="str">
        <f>Sheet4!G369</f>
        <v/>
      </c>
      <c r="G369" s="45"/>
      <c r="H369" s="11" t="str">
        <f t="shared" si="10"/>
        <v/>
      </c>
    </row>
    <row r="370" spans="1:8">
      <c r="A370" s="10" t="str">
        <f t="shared" si="11"/>
        <v/>
      </c>
      <c r="B370" s="11" t="str">
        <f>IF(D370="","",IF(D370&gt;0,VLOOKUP(D370,Category!$A$2:$B$31,2,FALSE),"")&amp;"-"&amp;TEXT(COUNTIF('Product List'!$D$2:'Product List'!D370,'Product List'!D370),"000"))</f>
        <v/>
      </c>
      <c r="C370" s="45"/>
      <c r="D370" s="45"/>
      <c r="E370" s="45"/>
      <c r="F370" s="11" t="str">
        <f>Sheet4!G370</f>
        <v/>
      </c>
      <c r="G370" s="45"/>
      <c r="H370" s="11" t="str">
        <f t="shared" si="10"/>
        <v/>
      </c>
    </row>
    <row r="371" spans="1:8">
      <c r="A371" s="10" t="str">
        <f t="shared" si="11"/>
        <v/>
      </c>
      <c r="B371" s="11" t="str">
        <f>IF(D371="","",IF(D371&gt;0,VLOOKUP(D371,Category!$A$2:$B$31,2,FALSE),"")&amp;"-"&amp;TEXT(COUNTIF('Product List'!$D$2:'Product List'!D371,'Product List'!D371),"000"))</f>
        <v/>
      </c>
      <c r="C371" s="45"/>
      <c r="D371" s="45"/>
      <c r="E371" s="45"/>
      <c r="F371" s="11" t="str">
        <f>Sheet4!G371</f>
        <v/>
      </c>
      <c r="G371" s="45"/>
      <c r="H371" s="11" t="str">
        <f t="shared" si="10"/>
        <v/>
      </c>
    </row>
    <row r="372" spans="1:8">
      <c r="A372" s="10" t="str">
        <f t="shared" si="11"/>
        <v/>
      </c>
      <c r="B372" s="11" t="str">
        <f>IF(D372="","",IF(D372&gt;0,VLOOKUP(D372,Category!$A$2:$B$31,2,FALSE),"")&amp;"-"&amp;TEXT(COUNTIF('Product List'!$D$2:'Product List'!D372,'Product List'!D372),"000"))</f>
        <v/>
      </c>
      <c r="C372" s="45"/>
      <c r="D372" s="45"/>
      <c r="E372" s="45"/>
      <c r="F372" s="11" t="str">
        <f>Sheet4!G372</f>
        <v/>
      </c>
      <c r="G372" s="45"/>
      <c r="H372" s="11" t="str">
        <f t="shared" si="10"/>
        <v/>
      </c>
    </row>
    <row r="373" spans="1:8">
      <c r="A373" s="10" t="str">
        <f t="shared" si="11"/>
        <v/>
      </c>
      <c r="B373" s="11" t="str">
        <f>IF(D373="","",IF(D373&gt;0,VLOOKUP(D373,Category!$A$2:$B$31,2,FALSE),"")&amp;"-"&amp;TEXT(COUNTIF('Product List'!$D$2:'Product List'!D373,'Product List'!D373),"000"))</f>
        <v/>
      </c>
      <c r="C373" s="45"/>
      <c r="D373" s="45"/>
      <c r="E373" s="45"/>
      <c r="F373" s="11" t="str">
        <f>Sheet4!G373</f>
        <v/>
      </c>
      <c r="G373" s="45"/>
      <c r="H373" s="11" t="str">
        <f t="shared" si="10"/>
        <v/>
      </c>
    </row>
    <row r="374" spans="1:8">
      <c r="A374" s="10" t="str">
        <f t="shared" si="11"/>
        <v/>
      </c>
      <c r="B374" s="11" t="str">
        <f>IF(D374="","",IF(D374&gt;0,VLOOKUP(D374,Category!$A$2:$B$31,2,FALSE),"")&amp;"-"&amp;TEXT(COUNTIF('Product List'!$D$2:'Product List'!D374,'Product List'!D374),"000"))</f>
        <v/>
      </c>
      <c r="C374" s="45"/>
      <c r="D374" s="45"/>
      <c r="E374" s="45"/>
      <c r="F374" s="11" t="str">
        <f>Sheet4!G374</f>
        <v/>
      </c>
      <c r="G374" s="45"/>
      <c r="H374" s="11" t="str">
        <f t="shared" si="10"/>
        <v/>
      </c>
    </row>
    <row r="375" spans="1:8">
      <c r="A375" s="10" t="str">
        <f t="shared" si="11"/>
        <v/>
      </c>
      <c r="B375" s="11" t="str">
        <f>IF(D375="","",IF(D375&gt;0,VLOOKUP(D375,Category!$A$2:$B$31,2,FALSE),"")&amp;"-"&amp;TEXT(COUNTIF('Product List'!$D$2:'Product List'!D375,'Product List'!D375),"000"))</f>
        <v/>
      </c>
      <c r="C375" s="45"/>
      <c r="D375" s="45"/>
      <c r="E375" s="45"/>
      <c r="F375" s="11" t="str">
        <f>Sheet4!G375</f>
        <v/>
      </c>
      <c r="G375" s="45"/>
      <c r="H375" s="11" t="str">
        <f t="shared" si="10"/>
        <v/>
      </c>
    </row>
    <row r="376" spans="1:8">
      <c r="A376" s="10" t="str">
        <f t="shared" si="11"/>
        <v/>
      </c>
      <c r="B376" s="11" t="str">
        <f>IF(D376="","",IF(D376&gt;0,VLOOKUP(D376,Category!$A$2:$B$31,2,FALSE),"")&amp;"-"&amp;TEXT(COUNTIF('Product List'!$D$2:'Product List'!D376,'Product List'!D376),"000"))</f>
        <v/>
      </c>
      <c r="C376" s="45"/>
      <c r="D376" s="45"/>
      <c r="E376" s="45"/>
      <c r="F376" s="11" t="str">
        <f>Sheet4!G376</f>
        <v/>
      </c>
      <c r="G376" s="45"/>
      <c r="H376" s="11" t="str">
        <f t="shared" si="10"/>
        <v/>
      </c>
    </row>
    <row r="377" spans="1:8">
      <c r="A377" s="10" t="str">
        <f t="shared" si="11"/>
        <v/>
      </c>
      <c r="B377" s="11" t="str">
        <f>IF(D377="","",IF(D377&gt;0,VLOOKUP(D377,Category!$A$2:$B$31,2,FALSE),"")&amp;"-"&amp;TEXT(COUNTIF('Product List'!$D$2:'Product List'!D377,'Product List'!D377),"000"))</f>
        <v/>
      </c>
      <c r="C377" s="45"/>
      <c r="D377" s="45"/>
      <c r="E377" s="45"/>
      <c r="F377" s="11" t="str">
        <f>Sheet4!G377</f>
        <v/>
      </c>
      <c r="G377" s="45"/>
      <c r="H377" s="11" t="str">
        <f t="shared" si="10"/>
        <v/>
      </c>
    </row>
    <row r="378" spans="1:8">
      <c r="A378" s="10" t="str">
        <f t="shared" si="11"/>
        <v/>
      </c>
      <c r="B378" s="11" t="str">
        <f>IF(D378="","",IF(D378&gt;0,VLOOKUP(D378,Category!$A$2:$B$31,2,FALSE),"")&amp;"-"&amp;TEXT(COUNTIF('Product List'!$D$2:'Product List'!D378,'Product List'!D378),"000"))</f>
        <v/>
      </c>
      <c r="C378" s="45"/>
      <c r="D378" s="45"/>
      <c r="E378" s="45"/>
      <c r="F378" s="11" t="str">
        <f>Sheet4!G378</f>
        <v/>
      </c>
      <c r="G378" s="45"/>
      <c r="H378" s="11" t="str">
        <f t="shared" si="10"/>
        <v/>
      </c>
    </row>
    <row r="379" spans="1:8">
      <c r="A379" s="10" t="str">
        <f t="shared" si="11"/>
        <v/>
      </c>
      <c r="B379" s="11" t="str">
        <f>IF(D379="","",IF(D379&gt;0,VLOOKUP(D379,Category!$A$2:$B$31,2,FALSE),"")&amp;"-"&amp;TEXT(COUNTIF('Product List'!$D$2:'Product List'!D379,'Product List'!D379),"000"))</f>
        <v/>
      </c>
      <c r="C379" s="45"/>
      <c r="D379" s="45"/>
      <c r="E379" s="45"/>
      <c r="F379" s="11" t="str">
        <f>Sheet4!G379</f>
        <v/>
      </c>
      <c r="G379" s="45"/>
      <c r="H379" s="11" t="str">
        <f t="shared" si="10"/>
        <v/>
      </c>
    </row>
    <row r="380" spans="1:8">
      <c r="A380" s="10" t="str">
        <f t="shared" si="11"/>
        <v/>
      </c>
      <c r="B380" s="11" t="str">
        <f>IF(D380="","",IF(D380&gt;0,VLOOKUP(D380,Category!$A$2:$B$31,2,FALSE),"")&amp;"-"&amp;TEXT(COUNTIF('Product List'!$D$2:'Product List'!D380,'Product List'!D380),"000"))</f>
        <v/>
      </c>
      <c r="C380" s="45"/>
      <c r="D380" s="45"/>
      <c r="E380" s="45"/>
      <c r="F380" s="11" t="str">
        <f>Sheet4!G380</f>
        <v/>
      </c>
      <c r="G380" s="45"/>
      <c r="H380" s="11" t="str">
        <f t="shared" si="10"/>
        <v/>
      </c>
    </row>
    <row r="381" spans="1:8">
      <c r="A381" s="10" t="str">
        <f t="shared" si="11"/>
        <v/>
      </c>
      <c r="B381" s="11" t="str">
        <f>IF(D381="","",IF(D381&gt;0,VLOOKUP(D381,Category!$A$2:$B$31,2,FALSE),"")&amp;"-"&amp;TEXT(COUNTIF('Product List'!$D$2:'Product List'!D381,'Product List'!D381),"000"))</f>
        <v/>
      </c>
      <c r="C381" s="45"/>
      <c r="D381" s="45"/>
      <c r="E381" s="45"/>
      <c r="F381" s="11" t="str">
        <f>Sheet4!G381</f>
        <v/>
      </c>
      <c r="G381" s="45"/>
      <c r="H381" s="11" t="str">
        <f t="shared" si="10"/>
        <v/>
      </c>
    </row>
    <row r="382" spans="1:8">
      <c r="A382" s="10" t="str">
        <f t="shared" si="11"/>
        <v/>
      </c>
      <c r="B382" s="11" t="str">
        <f>IF(D382="","",IF(D382&gt;0,VLOOKUP(D382,Category!$A$2:$B$31,2,FALSE),"")&amp;"-"&amp;TEXT(COUNTIF('Product List'!$D$2:'Product List'!D382,'Product List'!D382),"000"))</f>
        <v/>
      </c>
      <c r="C382" s="45"/>
      <c r="D382" s="45"/>
      <c r="E382" s="45"/>
      <c r="F382" s="11" t="str">
        <f>Sheet4!G382</f>
        <v/>
      </c>
      <c r="G382" s="45"/>
      <c r="H382" s="11" t="str">
        <f t="shared" si="10"/>
        <v/>
      </c>
    </row>
    <row r="383" spans="1:8">
      <c r="A383" s="10" t="str">
        <f t="shared" si="11"/>
        <v/>
      </c>
      <c r="B383" s="11" t="str">
        <f>IF(D383="","",IF(D383&gt;0,VLOOKUP(D383,Category!$A$2:$B$31,2,FALSE),"")&amp;"-"&amp;TEXT(COUNTIF('Product List'!$D$2:'Product List'!D383,'Product List'!D383),"000"))</f>
        <v/>
      </c>
      <c r="C383" s="45"/>
      <c r="D383" s="45"/>
      <c r="E383" s="45"/>
      <c r="F383" s="11" t="str">
        <f>Sheet4!G383</f>
        <v/>
      </c>
      <c r="G383" s="45"/>
      <c r="H383" s="11" t="str">
        <f t="shared" si="10"/>
        <v/>
      </c>
    </row>
    <row r="384" spans="1:8">
      <c r="A384" s="10" t="str">
        <f t="shared" si="11"/>
        <v/>
      </c>
      <c r="B384" s="11" t="str">
        <f>IF(D384="","",IF(D384&gt;0,VLOOKUP(D384,Category!$A$2:$B$31,2,FALSE),"")&amp;"-"&amp;TEXT(COUNTIF('Product List'!$D$2:'Product List'!D384,'Product List'!D384),"000"))</f>
        <v/>
      </c>
      <c r="C384" s="45"/>
      <c r="D384" s="45"/>
      <c r="E384" s="45"/>
      <c r="F384" s="11" t="str">
        <f>Sheet4!G384</f>
        <v/>
      </c>
      <c r="G384" s="45"/>
      <c r="H384" s="11" t="str">
        <f t="shared" si="10"/>
        <v/>
      </c>
    </row>
    <row r="385" spans="1:8">
      <c r="A385" s="10" t="str">
        <f t="shared" si="11"/>
        <v/>
      </c>
      <c r="B385" s="11" t="str">
        <f>IF(D385="","",IF(D385&gt;0,VLOOKUP(D385,Category!$A$2:$B$31,2,FALSE),"")&amp;"-"&amp;TEXT(COUNTIF('Product List'!$D$2:'Product List'!D385,'Product List'!D385),"000"))</f>
        <v/>
      </c>
      <c r="C385" s="45"/>
      <c r="D385" s="45"/>
      <c r="E385" s="45"/>
      <c r="F385" s="11" t="str">
        <f>Sheet4!G385</f>
        <v/>
      </c>
      <c r="G385" s="45"/>
      <c r="H385" s="11" t="str">
        <f t="shared" si="10"/>
        <v/>
      </c>
    </row>
    <row r="386" spans="1:8">
      <c r="A386" s="10" t="str">
        <f t="shared" si="11"/>
        <v/>
      </c>
      <c r="B386" s="11" t="str">
        <f>IF(D386="","",IF(D386&gt;0,VLOOKUP(D386,Category!$A$2:$B$31,2,FALSE),"")&amp;"-"&amp;TEXT(COUNTIF('Product List'!$D$2:'Product List'!D386,'Product List'!D386),"000"))</f>
        <v/>
      </c>
      <c r="C386" s="45"/>
      <c r="D386" s="45"/>
      <c r="E386" s="45"/>
      <c r="F386" s="11" t="str">
        <f>Sheet4!G386</f>
        <v/>
      </c>
      <c r="G386" s="45"/>
      <c r="H386" s="11" t="str">
        <f t="shared" si="10"/>
        <v/>
      </c>
    </row>
    <row r="387" spans="1:8">
      <c r="A387" s="10" t="str">
        <f t="shared" si="11"/>
        <v/>
      </c>
      <c r="B387" s="11" t="str">
        <f>IF(D387="","",IF(D387&gt;0,VLOOKUP(D387,Category!$A$2:$B$31,2,FALSE),"")&amp;"-"&amp;TEXT(COUNTIF('Product List'!$D$2:'Product List'!D387,'Product List'!D387),"000"))</f>
        <v/>
      </c>
      <c r="C387" s="45"/>
      <c r="D387" s="45"/>
      <c r="E387" s="45"/>
      <c r="F387" s="11" t="str">
        <f>Sheet4!G387</f>
        <v/>
      </c>
      <c r="G387" s="45"/>
      <c r="H387" s="11" t="str">
        <f t="shared" ref="H387:H450" si="12">IF(OR(F387="",G387=""),"",IF(F387&lt;=0,"Out of Stock",IF(F387&lt;=G387,"Low on Stock","In Stock")))</f>
        <v/>
      </c>
    </row>
    <row r="388" spans="1:8">
      <c r="A388" s="10" t="str">
        <f t="shared" ref="A388:A451" si="13">IF(C388&gt;0,A387+1,"")</f>
        <v/>
      </c>
      <c r="B388" s="11" t="str">
        <f>IF(D388="","",IF(D388&gt;0,VLOOKUP(D388,Category!$A$2:$B$31,2,FALSE),"")&amp;"-"&amp;TEXT(COUNTIF('Product List'!$D$2:'Product List'!D388,'Product List'!D388),"000"))</f>
        <v/>
      </c>
      <c r="C388" s="45"/>
      <c r="D388" s="45"/>
      <c r="E388" s="45"/>
      <c r="F388" s="11" t="str">
        <f>Sheet4!G388</f>
        <v/>
      </c>
      <c r="G388" s="45"/>
      <c r="H388" s="11" t="str">
        <f t="shared" si="12"/>
        <v/>
      </c>
    </row>
    <row r="389" spans="1:8">
      <c r="A389" s="10" t="str">
        <f t="shared" si="13"/>
        <v/>
      </c>
      <c r="B389" s="11" t="str">
        <f>IF(D389="","",IF(D389&gt;0,VLOOKUP(D389,Category!$A$2:$B$31,2,FALSE),"")&amp;"-"&amp;TEXT(COUNTIF('Product List'!$D$2:'Product List'!D389,'Product List'!D389),"000"))</f>
        <v/>
      </c>
      <c r="C389" s="45"/>
      <c r="D389" s="45"/>
      <c r="E389" s="45"/>
      <c r="F389" s="11" t="str">
        <f>Sheet4!G389</f>
        <v/>
      </c>
      <c r="G389" s="45"/>
      <c r="H389" s="11" t="str">
        <f t="shared" si="12"/>
        <v/>
      </c>
    </row>
    <row r="390" spans="1:8">
      <c r="A390" s="10" t="str">
        <f t="shared" si="13"/>
        <v/>
      </c>
      <c r="B390" s="11" t="str">
        <f>IF(D390="","",IF(D390&gt;0,VLOOKUP(D390,Category!$A$2:$B$31,2,FALSE),"")&amp;"-"&amp;TEXT(COUNTIF('Product List'!$D$2:'Product List'!D390,'Product List'!D390),"000"))</f>
        <v/>
      </c>
      <c r="C390" s="45"/>
      <c r="D390" s="45"/>
      <c r="E390" s="45"/>
      <c r="F390" s="11" t="str">
        <f>Sheet4!G390</f>
        <v/>
      </c>
      <c r="G390" s="45"/>
      <c r="H390" s="11" t="str">
        <f t="shared" si="12"/>
        <v/>
      </c>
    </row>
    <row r="391" spans="1:8">
      <c r="A391" s="10" t="str">
        <f t="shared" si="13"/>
        <v/>
      </c>
      <c r="B391" s="11" t="str">
        <f>IF(D391="","",IF(D391&gt;0,VLOOKUP(D391,Category!$A$2:$B$31,2,FALSE),"")&amp;"-"&amp;TEXT(COUNTIF('Product List'!$D$2:'Product List'!D391,'Product List'!D391),"000"))</f>
        <v/>
      </c>
      <c r="C391" s="45"/>
      <c r="D391" s="45"/>
      <c r="E391" s="45"/>
      <c r="F391" s="11" t="str">
        <f>Sheet4!G391</f>
        <v/>
      </c>
      <c r="G391" s="45"/>
      <c r="H391" s="11" t="str">
        <f t="shared" si="12"/>
        <v/>
      </c>
    </row>
    <row r="392" spans="1:8">
      <c r="A392" s="10" t="str">
        <f t="shared" si="13"/>
        <v/>
      </c>
      <c r="B392" s="11" t="str">
        <f>IF(D392="","",IF(D392&gt;0,VLOOKUP(D392,Category!$A$2:$B$31,2,FALSE),"")&amp;"-"&amp;TEXT(COUNTIF('Product List'!$D$2:'Product List'!D392,'Product List'!D392),"000"))</f>
        <v/>
      </c>
      <c r="C392" s="45"/>
      <c r="D392" s="45"/>
      <c r="E392" s="45"/>
      <c r="F392" s="11" t="str">
        <f>Sheet4!G392</f>
        <v/>
      </c>
      <c r="G392" s="45"/>
      <c r="H392" s="11" t="str">
        <f t="shared" si="12"/>
        <v/>
      </c>
    </row>
    <row r="393" spans="1:8">
      <c r="A393" s="10" t="str">
        <f t="shared" si="13"/>
        <v/>
      </c>
      <c r="B393" s="11" t="str">
        <f>IF(D393="","",IF(D393&gt;0,VLOOKUP(D393,Category!$A$2:$B$31,2,FALSE),"")&amp;"-"&amp;TEXT(COUNTIF('Product List'!$D$2:'Product List'!D393,'Product List'!D393),"000"))</f>
        <v/>
      </c>
      <c r="C393" s="45"/>
      <c r="D393" s="45"/>
      <c r="E393" s="45"/>
      <c r="F393" s="11" t="str">
        <f>Sheet4!G393</f>
        <v/>
      </c>
      <c r="G393" s="45"/>
      <c r="H393" s="11" t="str">
        <f t="shared" si="12"/>
        <v/>
      </c>
    </row>
    <row r="394" spans="1:8">
      <c r="A394" s="10" t="str">
        <f t="shared" si="13"/>
        <v/>
      </c>
      <c r="B394" s="11" t="str">
        <f>IF(D394="","",IF(D394&gt;0,VLOOKUP(D394,Category!$A$2:$B$31,2,FALSE),"")&amp;"-"&amp;TEXT(COUNTIF('Product List'!$D$2:'Product List'!D394,'Product List'!D394),"000"))</f>
        <v/>
      </c>
      <c r="C394" s="45"/>
      <c r="D394" s="45"/>
      <c r="E394" s="45"/>
      <c r="F394" s="11" t="str">
        <f>Sheet4!G394</f>
        <v/>
      </c>
      <c r="G394" s="45"/>
      <c r="H394" s="11" t="str">
        <f t="shared" si="12"/>
        <v/>
      </c>
    </row>
    <row r="395" spans="1:8">
      <c r="A395" s="10" t="str">
        <f t="shared" si="13"/>
        <v/>
      </c>
      <c r="B395" s="11" t="str">
        <f>IF(D395="","",IF(D395&gt;0,VLOOKUP(D395,Category!$A$2:$B$31,2,FALSE),"")&amp;"-"&amp;TEXT(COUNTIF('Product List'!$D$2:'Product List'!D395,'Product List'!D395),"000"))</f>
        <v/>
      </c>
      <c r="C395" s="45"/>
      <c r="D395" s="45"/>
      <c r="E395" s="45"/>
      <c r="F395" s="11" t="str">
        <f>Sheet4!G395</f>
        <v/>
      </c>
      <c r="G395" s="45"/>
      <c r="H395" s="11" t="str">
        <f t="shared" si="12"/>
        <v/>
      </c>
    </row>
    <row r="396" spans="1:8">
      <c r="A396" s="10" t="str">
        <f t="shared" si="13"/>
        <v/>
      </c>
      <c r="B396" s="11" t="str">
        <f>IF(D396="","",IF(D396&gt;0,VLOOKUP(D396,Category!$A$2:$B$31,2,FALSE),"")&amp;"-"&amp;TEXT(COUNTIF('Product List'!$D$2:'Product List'!D396,'Product List'!D396),"000"))</f>
        <v/>
      </c>
      <c r="C396" s="45"/>
      <c r="D396" s="45"/>
      <c r="E396" s="45"/>
      <c r="F396" s="11" t="str">
        <f>Sheet4!G396</f>
        <v/>
      </c>
      <c r="G396" s="45"/>
      <c r="H396" s="11" t="str">
        <f t="shared" si="12"/>
        <v/>
      </c>
    </row>
    <row r="397" spans="1:8">
      <c r="A397" s="10" t="str">
        <f t="shared" si="13"/>
        <v/>
      </c>
      <c r="B397" s="11" t="str">
        <f>IF(D397="","",IF(D397&gt;0,VLOOKUP(D397,Category!$A$2:$B$31,2,FALSE),"")&amp;"-"&amp;TEXT(COUNTIF('Product List'!$D$2:'Product List'!D397,'Product List'!D397),"000"))</f>
        <v/>
      </c>
      <c r="C397" s="45"/>
      <c r="D397" s="45"/>
      <c r="E397" s="45"/>
      <c r="F397" s="11" t="str">
        <f>Sheet4!G397</f>
        <v/>
      </c>
      <c r="G397" s="45"/>
      <c r="H397" s="11" t="str">
        <f t="shared" si="12"/>
        <v/>
      </c>
    </row>
    <row r="398" spans="1:8">
      <c r="A398" s="10" t="str">
        <f t="shared" si="13"/>
        <v/>
      </c>
      <c r="B398" s="11" t="str">
        <f>IF(D398="","",IF(D398&gt;0,VLOOKUP(D398,Category!$A$2:$B$31,2,FALSE),"")&amp;"-"&amp;TEXT(COUNTIF('Product List'!$D$2:'Product List'!D398,'Product List'!D398),"000"))</f>
        <v/>
      </c>
      <c r="C398" s="45"/>
      <c r="D398" s="45"/>
      <c r="E398" s="45"/>
      <c r="F398" s="11" t="str">
        <f>Sheet4!G398</f>
        <v/>
      </c>
      <c r="G398" s="45"/>
      <c r="H398" s="11" t="str">
        <f t="shared" si="12"/>
        <v/>
      </c>
    </row>
    <row r="399" spans="1:8">
      <c r="A399" s="10" t="str">
        <f t="shared" si="13"/>
        <v/>
      </c>
      <c r="B399" s="11" t="str">
        <f>IF(D399="","",IF(D399&gt;0,VLOOKUP(D399,Category!$A$2:$B$31,2,FALSE),"")&amp;"-"&amp;TEXT(COUNTIF('Product List'!$D$2:'Product List'!D399,'Product List'!D399),"000"))</f>
        <v/>
      </c>
      <c r="C399" s="45"/>
      <c r="D399" s="45"/>
      <c r="E399" s="45"/>
      <c r="F399" s="11" t="str">
        <f>Sheet4!G399</f>
        <v/>
      </c>
      <c r="G399" s="45"/>
      <c r="H399" s="11" t="str">
        <f t="shared" si="12"/>
        <v/>
      </c>
    </row>
    <row r="400" spans="1:8">
      <c r="A400" s="10" t="str">
        <f t="shared" si="13"/>
        <v/>
      </c>
      <c r="B400" s="11" t="str">
        <f>IF(D400="","",IF(D400&gt;0,VLOOKUP(D400,Category!$A$2:$B$31,2,FALSE),"")&amp;"-"&amp;TEXT(COUNTIF('Product List'!$D$2:'Product List'!D400,'Product List'!D400),"000"))</f>
        <v/>
      </c>
      <c r="C400" s="45"/>
      <c r="D400" s="45"/>
      <c r="E400" s="45"/>
      <c r="F400" s="11" t="str">
        <f>Sheet4!G400</f>
        <v/>
      </c>
      <c r="G400" s="45"/>
      <c r="H400" s="11" t="str">
        <f t="shared" si="12"/>
        <v/>
      </c>
    </row>
    <row r="401" spans="1:8">
      <c r="A401" s="10" t="str">
        <f t="shared" si="13"/>
        <v/>
      </c>
      <c r="B401" s="11" t="str">
        <f>IF(D401="","",IF(D401&gt;0,VLOOKUP(D401,Category!$A$2:$B$31,2,FALSE),"")&amp;"-"&amp;TEXT(COUNTIF('Product List'!$D$2:'Product List'!D401,'Product List'!D401),"000"))</f>
        <v/>
      </c>
      <c r="C401" s="45"/>
      <c r="D401" s="45"/>
      <c r="E401" s="45"/>
      <c r="F401" s="11" t="str">
        <f>Sheet4!G401</f>
        <v/>
      </c>
      <c r="G401" s="45"/>
      <c r="H401" s="11" t="str">
        <f t="shared" si="12"/>
        <v/>
      </c>
    </row>
    <row r="402" spans="1:8">
      <c r="A402" s="10" t="str">
        <f t="shared" si="13"/>
        <v/>
      </c>
      <c r="B402" s="11" t="str">
        <f>IF(D402="","",IF(D402&gt;0,VLOOKUP(D402,Category!$A$2:$B$31,2,FALSE),"")&amp;"-"&amp;TEXT(COUNTIF('Product List'!$D$2:'Product List'!D402,'Product List'!D402),"000"))</f>
        <v/>
      </c>
      <c r="C402" s="45"/>
      <c r="D402" s="45"/>
      <c r="E402" s="45"/>
      <c r="F402" s="11" t="str">
        <f>Sheet4!G402</f>
        <v/>
      </c>
      <c r="G402" s="45"/>
      <c r="H402" s="11" t="str">
        <f t="shared" si="12"/>
        <v/>
      </c>
    </row>
    <row r="403" spans="1:8">
      <c r="A403" s="10" t="str">
        <f t="shared" si="13"/>
        <v/>
      </c>
      <c r="B403" s="11" t="str">
        <f>IF(D403="","",IF(D403&gt;0,VLOOKUP(D403,Category!$A$2:$B$31,2,FALSE),"")&amp;"-"&amp;TEXT(COUNTIF('Product List'!$D$2:'Product List'!D403,'Product List'!D403),"000"))</f>
        <v/>
      </c>
      <c r="C403" s="45"/>
      <c r="D403" s="45"/>
      <c r="E403" s="45"/>
      <c r="F403" s="11" t="str">
        <f>Sheet4!G403</f>
        <v/>
      </c>
      <c r="G403" s="45"/>
      <c r="H403" s="11" t="str">
        <f t="shared" si="12"/>
        <v/>
      </c>
    </row>
    <row r="404" spans="1:8">
      <c r="A404" s="10" t="str">
        <f t="shared" si="13"/>
        <v/>
      </c>
      <c r="B404" s="11" t="str">
        <f>IF(D404="","",IF(D404&gt;0,VLOOKUP(D404,Category!$A$2:$B$31,2,FALSE),"")&amp;"-"&amp;TEXT(COUNTIF('Product List'!$D$2:'Product List'!D404,'Product List'!D404),"000"))</f>
        <v/>
      </c>
      <c r="C404" s="45"/>
      <c r="D404" s="45"/>
      <c r="E404" s="45"/>
      <c r="F404" s="11" t="str">
        <f>Sheet4!G404</f>
        <v/>
      </c>
      <c r="G404" s="45"/>
      <c r="H404" s="11" t="str">
        <f t="shared" si="12"/>
        <v/>
      </c>
    </row>
    <row r="405" spans="1:8">
      <c r="A405" s="10" t="str">
        <f t="shared" si="13"/>
        <v/>
      </c>
      <c r="B405" s="11" t="str">
        <f>IF(D405="","",IF(D405&gt;0,VLOOKUP(D405,Category!$A$2:$B$31,2,FALSE),"")&amp;"-"&amp;TEXT(COUNTIF('Product List'!$D$2:'Product List'!D405,'Product List'!D405),"000"))</f>
        <v/>
      </c>
      <c r="C405" s="45"/>
      <c r="D405" s="45"/>
      <c r="E405" s="45"/>
      <c r="F405" s="11" t="str">
        <f>Sheet4!G405</f>
        <v/>
      </c>
      <c r="G405" s="45"/>
      <c r="H405" s="11" t="str">
        <f t="shared" si="12"/>
        <v/>
      </c>
    </row>
    <row r="406" spans="1:8">
      <c r="A406" s="10" t="str">
        <f t="shared" si="13"/>
        <v/>
      </c>
      <c r="B406" s="11" t="str">
        <f>IF(D406="","",IF(D406&gt;0,VLOOKUP(D406,Category!$A$2:$B$31,2,FALSE),"")&amp;"-"&amp;TEXT(COUNTIF('Product List'!$D$2:'Product List'!D406,'Product List'!D406),"000"))</f>
        <v/>
      </c>
      <c r="C406" s="45"/>
      <c r="D406" s="45"/>
      <c r="E406" s="45"/>
      <c r="F406" s="11" t="str">
        <f>Sheet4!G406</f>
        <v/>
      </c>
      <c r="G406" s="45"/>
      <c r="H406" s="11" t="str">
        <f t="shared" si="12"/>
        <v/>
      </c>
    </row>
    <row r="407" spans="1:8">
      <c r="A407" s="10" t="str">
        <f t="shared" si="13"/>
        <v/>
      </c>
      <c r="B407" s="11" t="str">
        <f>IF(D407="","",IF(D407&gt;0,VLOOKUP(D407,Category!$A$2:$B$31,2,FALSE),"")&amp;"-"&amp;TEXT(COUNTIF('Product List'!$D$2:'Product List'!D407,'Product List'!D407),"000"))</f>
        <v/>
      </c>
      <c r="C407" s="45"/>
      <c r="D407" s="45"/>
      <c r="E407" s="45"/>
      <c r="F407" s="11" t="str">
        <f>Sheet4!G407</f>
        <v/>
      </c>
      <c r="G407" s="45"/>
      <c r="H407" s="11" t="str">
        <f t="shared" si="12"/>
        <v/>
      </c>
    </row>
    <row r="408" spans="1:8">
      <c r="A408" s="10" t="str">
        <f t="shared" si="13"/>
        <v/>
      </c>
      <c r="B408" s="11" t="str">
        <f>IF(D408="","",IF(D408&gt;0,VLOOKUP(D408,Category!$A$2:$B$31,2,FALSE),"")&amp;"-"&amp;TEXT(COUNTIF('Product List'!$D$2:'Product List'!D408,'Product List'!D408),"000"))</f>
        <v/>
      </c>
      <c r="C408" s="45"/>
      <c r="D408" s="45"/>
      <c r="E408" s="45"/>
      <c r="F408" s="11" t="str">
        <f>Sheet4!G408</f>
        <v/>
      </c>
      <c r="G408" s="45"/>
      <c r="H408" s="11" t="str">
        <f t="shared" si="12"/>
        <v/>
      </c>
    </row>
    <row r="409" spans="1:8">
      <c r="A409" s="10" t="str">
        <f t="shared" si="13"/>
        <v/>
      </c>
      <c r="B409" s="11" t="str">
        <f>IF(D409="","",IF(D409&gt;0,VLOOKUP(D409,Category!$A$2:$B$31,2,FALSE),"")&amp;"-"&amp;TEXT(COUNTIF('Product List'!$D$2:'Product List'!D409,'Product List'!D409),"000"))</f>
        <v/>
      </c>
      <c r="C409" s="45"/>
      <c r="D409" s="45"/>
      <c r="E409" s="45"/>
      <c r="F409" s="11" t="str">
        <f>Sheet4!G409</f>
        <v/>
      </c>
      <c r="G409" s="45"/>
      <c r="H409" s="11" t="str">
        <f t="shared" si="12"/>
        <v/>
      </c>
    </row>
    <row r="410" spans="1:8">
      <c r="A410" s="10" t="str">
        <f t="shared" si="13"/>
        <v/>
      </c>
      <c r="B410" s="11" t="str">
        <f>IF(D410="","",IF(D410&gt;0,VLOOKUP(D410,Category!$A$2:$B$31,2,FALSE),"")&amp;"-"&amp;TEXT(COUNTIF('Product List'!$D$2:'Product List'!D410,'Product List'!D410),"000"))</f>
        <v/>
      </c>
      <c r="C410" s="45"/>
      <c r="D410" s="45"/>
      <c r="E410" s="45"/>
      <c r="F410" s="11" t="str">
        <f>Sheet4!G410</f>
        <v/>
      </c>
      <c r="G410" s="45"/>
      <c r="H410" s="11" t="str">
        <f t="shared" si="12"/>
        <v/>
      </c>
    </row>
    <row r="411" spans="1:8">
      <c r="A411" s="10" t="str">
        <f t="shared" si="13"/>
        <v/>
      </c>
      <c r="B411" s="11" t="str">
        <f>IF(D411="","",IF(D411&gt;0,VLOOKUP(D411,Category!$A$2:$B$31,2,FALSE),"")&amp;"-"&amp;TEXT(COUNTIF('Product List'!$D$2:'Product List'!D411,'Product List'!D411),"000"))</f>
        <v/>
      </c>
      <c r="C411" s="45"/>
      <c r="D411" s="45"/>
      <c r="E411" s="45"/>
      <c r="F411" s="11" t="str">
        <f>Sheet4!G411</f>
        <v/>
      </c>
      <c r="G411" s="45"/>
      <c r="H411" s="11" t="str">
        <f t="shared" si="12"/>
        <v/>
      </c>
    </row>
    <row r="412" spans="1:8">
      <c r="A412" s="10" t="str">
        <f t="shared" si="13"/>
        <v/>
      </c>
      <c r="B412" s="11" t="str">
        <f>IF(D412="","",IF(D412&gt;0,VLOOKUP(D412,Category!$A$2:$B$31,2,FALSE),"")&amp;"-"&amp;TEXT(COUNTIF('Product List'!$D$2:'Product List'!D412,'Product List'!D412),"000"))</f>
        <v/>
      </c>
      <c r="C412" s="45"/>
      <c r="D412" s="45"/>
      <c r="E412" s="45"/>
      <c r="F412" s="11" t="str">
        <f>Sheet4!G412</f>
        <v/>
      </c>
      <c r="G412" s="45"/>
      <c r="H412" s="11" t="str">
        <f t="shared" si="12"/>
        <v/>
      </c>
    </row>
    <row r="413" spans="1:8">
      <c r="A413" s="10" t="str">
        <f t="shared" si="13"/>
        <v/>
      </c>
      <c r="B413" s="11" t="str">
        <f>IF(D413="","",IF(D413&gt;0,VLOOKUP(D413,Category!$A$2:$B$31,2,FALSE),"")&amp;"-"&amp;TEXT(COUNTIF('Product List'!$D$2:'Product List'!D413,'Product List'!D413),"000"))</f>
        <v/>
      </c>
      <c r="C413" s="45"/>
      <c r="D413" s="45"/>
      <c r="E413" s="45"/>
      <c r="F413" s="11" t="str">
        <f>Sheet4!G413</f>
        <v/>
      </c>
      <c r="G413" s="45"/>
      <c r="H413" s="11" t="str">
        <f t="shared" si="12"/>
        <v/>
      </c>
    </row>
    <row r="414" spans="1:8">
      <c r="A414" s="10" t="str">
        <f t="shared" si="13"/>
        <v/>
      </c>
      <c r="B414" s="11" t="str">
        <f>IF(D414="","",IF(D414&gt;0,VLOOKUP(D414,Category!$A$2:$B$31,2,FALSE),"")&amp;"-"&amp;TEXT(COUNTIF('Product List'!$D$2:'Product List'!D414,'Product List'!D414),"000"))</f>
        <v/>
      </c>
      <c r="C414" s="45"/>
      <c r="D414" s="45"/>
      <c r="E414" s="45"/>
      <c r="F414" s="11" t="str">
        <f>Sheet4!G414</f>
        <v/>
      </c>
      <c r="G414" s="45"/>
      <c r="H414" s="11" t="str">
        <f t="shared" si="12"/>
        <v/>
      </c>
    </row>
    <row r="415" spans="1:8">
      <c r="A415" s="10" t="str">
        <f t="shared" si="13"/>
        <v/>
      </c>
      <c r="B415" s="11" t="str">
        <f>IF(D415="","",IF(D415&gt;0,VLOOKUP(D415,Category!$A$2:$B$31,2,FALSE),"")&amp;"-"&amp;TEXT(COUNTIF('Product List'!$D$2:'Product List'!D415,'Product List'!D415),"000"))</f>
        <v/>
      </c>
      <c r="C415" s="45"/>
      <c r="D415" s="45"/>
      <c r="E415" s="45"/>
      <c r="F415" s="11" t="str">
        <f>Sheet4!G415</f>
        <v/>
      </c>
      <c r="G415" s="45"/>
      <c r="H415" s="11" t="str">
        <f t="shared" si="12"/>
        <v/>
      </c>
    </row>
    <row r="416" spans="1:8">
      <c r="A416" s="10" t="str">
        <f t="shared" si="13"/>
        <v/>
      </c>
      <c r="B416" s="11" t="str">
        <f>IF(D416="","",IF(D416&gt;0,VLOOKUP(D416,Category!$A$2:$B$31,2,FALSE),"")&amp;"-"&amp;TEXT(COUNTIF('Product List'!$D$2:'Product List'!D416,'Product List'!D416),"000"))</f>
        <v/>
      </c>
      <c r="C416" s="45"/>
      <c r="D416" s="45"/>
      <c r="E416" s="45"/>
      <c r="F416" s="11" t="str">
        <f>Sheet4!G416</f>
        <v/>
      </c>
      <c r="G416" s="45"/>
      <c r="H416" s="11" t="str">
        <f t="shared" si="12"/>
        <v/>
      </c>
    </row>
    <row r="417" spans="1:8">
      <c r="A417" s="10" t="str">
        <f t="shared" si="13"/>
        <v/>
      </c>
      <c r="B417" s="11" t="str">
        <f>IF(D417="","",IF(D417&gt;0,VLOOKUP(D417,Category!$A$2:$B$31,2,FALSE),"")&amp;"-"&amp;TEXT(COUNTIF('Product List'!$D$2:'Product List'!D417,'Product List'!D417),"000"))</f>
        <v/>
      </c>
      <c r="C417" s="45"/>
      <c r="D417" s="45"/>
      <c r="E417" s="45"/>
      <c r="F417" s="11" t="str">
        <f>Sheet4!G417</f>
        <v/>
      </c>
      <c r="G417" s="45"/>
      <c r="H417" s="11" t="str">
        <f t="shared" si="12"/>
        <v/>
      </c>
    </row>
    <row r="418" spans="1:8">
      <c r="A418" s="10" t="str">
        <f t="shared" si="13"/>
        <v/>
      </c>
      <c r="B418" s="11" t="str">
        <f>IF(D418="","",IF(D418&gt;0,VLOOKUP(D418,Category!$A$2:$B$31,2,FALSE),"")&amp;"-"&amp;TEXT(COUNTIF('Product List'!$D$2:'Product List'!D418,'Product List'!D418),"000"))</f>
        <v/>
      </c>
      <c r="C418" s="45"/>
      <c r="D418" s="45"/>
      <c r="E418" s="45"/>
      <c r="F418" s="11" t="str">
        <f>Sheet4!G418</f>
        <v/>
      </c>
      <c r="G418" s="45"/>
      <c r="H418" s="11" t="str">
        <f t="shared" si="12"/>
        <v/>
      </c>
    </row>
    <row r="419" spans="1:8">
      <c r="A419" s="10" t="str">
        <f t="shared" si="13"/>
        <v/>
      </c>
      <c r="B419" s="11" t="str">
        <f>IF(D419="","",IF(D419&gt;0,VLOOKUP(D419,Category!$A$2:$B$31,2,FALSE),"")&amp;"-"&amp;TEXT(COUNTIF('Product List'!$D$2:'Product List'!D419,'Product List'!D419),"000"))</f>
        <v/>
      </c>
      <c r="C419" s="45"/>
      <c r="D419" s="45"/>
      <c r="E419" s="45"/>
      <c r="F419" s="11" t="str">
        <f>Sheet4!G419</f>
        <v/>
      </c>
      <c r="G419" s="45"/>
      <c r="H419" s="11" t="str">
        <f t="shared" si="12"/>
        <v/>
      </c>
    </row>
    <row r="420" spans="1:8">
      <c r="A420" s="10" t="str">
        <f t="shared" si="13"/>
        <v/>
      </c>
      <c r="B420" s="11" t="str">
        <f>IF(D420="","",IF(D420&gt;0,VLOOKUP(D420,Category!$A$2:$B$31,2,FALSE),"")&amp;"-"&amp;TEXT(COUNTIF('Product List'!$D$2:'Product List'!D420,'Product List'!D420),"000"))</f>
        <v/>
      </c>
      <c r="C420" s="45"/>
      <c r="D420" s="45"/>
      <c r="E420" s="45"/>
      <c r="F420" s="11" t="str">
        <f>Sheet4!G420</f>
        <v/>
      </c>
      <c r="G420" s="45"/>
      <c r="H420" s="11" t="str">
        <f t="shared" si="12"/>
        <v/>
      </c>
    </row>
    <row r="421" spans="1:8">
      <c r="A421" s="10" t="str">
        <f t="shared" si="13"/>
        <v/>
      </c>
      <c r="B421" s="11" t="str">
        <f>IF(D421="","",IF(D421&gt;0,VLOOKUP(D421,Category!$A$2:$B$31,2,FALSE),"")&amp;"-"&amp;TEXT(COUNTIF('Product List'!$D$2:'Product List'!D421,'Product List'!D421),"000"))</f>
        <v/>
      </c>
      <c r="C421" s="45"/>
      <c r="D421" s="45"/>
      <c r="E421" s="45"/>
      <c r="F421" s="11" t="str">
        <f>Sheet4!G421</f>
        <v/>
      </c>
      <c r="G421" s="45"/>
      <c r="H421" s="11" t="str">
        <f t="shared" si="12"/>
        <v/>
      </c>
    </row>
    <row r="422" spans="1:8">
      <c r="A422" s="10" t="str">
        <f t="shared" si="13"/>
        <v/>
      </c>
      <c r="B422" s="11" t="str">
        <f>IF(D422="","",IF(D422&gt;0,VLOOKUP(D422,Category!$A$2:$B$31,2,FALSE),"")&amp;"-"&amp;TEXT(COUNTIF('Product List'!$D$2:'Product List'!D422,'Product List'!D422),"000"))</f>
        <v/>
      </c>
      <c r="C422" s="45"/>
      <c r="D422" s="45"/>
      <c r="E422" s="45"/>
      <c r="F422" s="11" t="str">
        <f>Sheet4!G422</f>
        <v/>
      </c>
      <c r="G422" s="45"/>
      <c r="H422" s="11" t="str">
        <f t="shared" si="12"/>
        <v/>
      </c>
    </row>
    <row r="423" spans="1:8">
      <c r="A423" s="10" t="str">
        <f t="shared" si="13"/>
        <v/>
      </c>
      <c r="B423" s="11" t="str">
        <f>IF(D423="","",IF(D423&gt;0,VLOOKUP(D423,Category!$A$2:$B$31,2,FALSE),"")&amp;"-"&amp;TEXT(COUNTIF('Product List'!$D$2:'Product List'!D423,'Product List'!D423),"000"))</f>
        <v/>
      </c>
      <c r="C423" s="45"/>
      <c r="D423" s="45"/>
      <c r="E423" s="45"/>
      <c r="F423" s="11" t="str">
        <f>Sheet4!G423</f>
        <v/>
      </c>
      <c r="G423" s="45"/>
      <c r="H423" s="11" t="str">
        <f t="shared" si="12"/>
        <v/>
      </c>
    </row>
    <row r="424" spans="1:8">
      <c r="A424" s="10" t="str">
        <f t="shared" si="13"/>
        <v/>
      </c>
      <c r="B424" s="11" t="str">
        <f>IF(D424="","",IF(D424&gt;0,VLOOKUP(D424,Category!$A$2:$B$31,2,FALSE),"")&amp;"-"&amp;TEXT(COUNTIF('Product List'!$D$2:'Product List'!D424,'Product List'!D424),"000"))</f>
        <v/>
      </c>
      <c r="C424" s="45"/>
      <c r="D424" s="45"/>
      <c r="E424" s="45"/>
      <c r="F424" s="11" t="str">
        <f>Sheet4!G424</f>
        <v/>
      </c>
      <c r="G424" s="45"/>
      <c r="H424" s="11" t="str">
        <f t="shared" si="12"/>
        <v/>
      </c>
    </row>
    <row r="425" spans="1:8">
      <c r="A425" s="10" t="str">
        <f t="shared" si="13"/>
        <v/>
      </c>
      <c r="B425" s="11" t="str">
        <f>IF(D425="","",IF(D425&gt;0,VLOOKUP(D425,Category!$A$2:$B$31,2,FALSE),"")&amp;"-"&amp;TEXT(COUNTIF('Product List'!$D$2:'Product List'!D425,'Product List'!D425),"000"))</f>
        <v/>
      </c>
      <c r="C425" s="45"/>
      <c r="D425" s="45"/>
      <c r="E425" s="45"/>
      <c r="F425" s="11" t="str">
        <f>Sheet4!G425</f>
        <v/>
      </c>
      <c r="G425" s="45"/>
      <c r="H425" s="11" t="str">
        <f t="shared" si="12"/>
        <v/>
      </c>
    </row>
    <row r="426" spans="1:8">
      <c r="A426" s="10" t="str">
        <f t="shared" si="13"/>
        <v/>
      </c>
      <c r="B426" s="11" t="str">
        <f>IF(D426="","",IF(D426&gt;0,VLOOKUP(D426,Category!$A$2:$B$31,2,FALSE),"")&amp;"-"&amp;TEXT(COUNTIF('Product List'!$D$2:'Product List'!D426,'Product List'!D426),"000"))</f>
        <v/>
      </c>
      <c r="C426" s="45"/>
      <c r="D426" s="45"/>
      <c r="E426" s="45"/>
      <c r="F426" s="11" t="str">
        <f>Sheet4!G426</f>
        <v/>
      </c>
      <c r="G426" s="45"/>
      <c r="H426" s="11" t="str">
        <f t="shared" si="12"/>
        <v/>
      </c>
    </row>
    <row r="427" spans="1:8">
      <c r="A427" s="10" t="str">
        <f t="shared" si="13"/>
        <v/>
      </c>
      <c r="B427" s="11" t="str">
        <f>IF(D427="","",IF(D427&gt;0,VLOOKUP(D427,Category!$A$2:$B$31,2,FALSE),"")&amp;"-"&amp;TEXT(COUNTIF('Product List'!$D$2:'Product List'!D427,'Product List'!D427),"000"))</f>
        <v/>
      </c>
      <c r="C427" s="45"/>
      <c r="D427" s="45"/>
      <c r="E427" s="45"/>
      <c r="F427" s="11" t="str">
        <f>Sheet4!G427</f>
        <v/>
      </c>
      <c r="G427" s="45"/>
      <c r="H427" s="11" t="str">
        <f t="shared" si="12"/>
        <v/>
      </c>
    </row>
    <row r="428" spans="1:8">
      <c r="A428" s="10" t="str">
        <f t="shared" si="13"/>
        <v/>
      </c>
      <c r="B428" s="11" t="str">
        <f>IF(D428="","",IF(D428&gt;0,VLOOKUP(D428,Category!$A$2:$B$31,2,FALSE),"")&amp;"-"&amp;TEXT(COUNTIF('Product List'!$D$2:'Product List'!D428,'Product List'!D428),"000"))</f>
        <v/>
      </c>
      <c r="C428" s="45"/>
      <c r="D428" s="45"/>
      <c r="E428" s="45"/>
      <c r="F428" s="11" t="str">
        <f>Sheet4!G428</f>
        <v/>
      </c>
      <c r="G428" s="45"/>
      <c r="H428" s="11" t="str">
        <f t="shared" si="12"/>
        <v/>
      </c>
    </row>
    <row r="429" spans="1:8">
      <c r="A429" s="10" t="str">
        <f t="shared" si="13"/>
        <v/>
      </c>
      <c r="B429" s="11" t="str">
        <f>IF(D429="","",IF(D429&gt;0,VLOOKUP(D429,Category!$A$2:$B$31,2,FALSE),"")&amp;"-"&amp;TEXT(COUNTIF('Product List'!$D$2:'Product List'!D429,'Product List'!D429),"000"))</f>
        <v/>
      </c>
      <c r="C429" s="45"/>
      <c r="D429" s="45"/>
      <c r="E429" s="45"/>
      <c r="F429" s="11" t="str">
        <f>Sheet4!G429</f>
        <v/>
      </c>
      <c r="G429" s="45"/>
      <c r="H429" s="11" t="str">
        <f t="shared" si="12"/>
        <v/>
      </c>
    </row>
    <row r="430" spans="1:8">
      <c r="A430" s="10" t="str">
        <f t="shared" si="13"/>
        <v/>
      </c>
      <c r="B430" s="11" t="str">
        <f>IF(D430="","",IF(D430&gt;0,VLOOKUP(D430,Category!$A$2:$B$31,2,FALSE),"")&amp;"-"&amp;TEXT(COUNTIF('Product List'!$D$2:'Product List'!D430,'Product List'!D430),"000"))</f>
        <v/>
      </c>
      <c r="C430" s="45"/>
      <c r="D430" s="45"/>
      <c r="E430" s="45"/>
      <c r="F430" s="11" t="str">
        <f>Sheet4!G430</f>
        <v/>
      </c>
      <c r="G430" s="45"/>
      <c r="H430" s="11" t="str">
        <f t="shared" si="12"/>
        <v/>
      </c>
    </row>
    <row r="431" spans="1:8">
      <c r="A431" s="10" t="str">
        <f t="shared" si="13"/>
        <v/>
      </c>
      <c r="B431" s="11" t="str">
        <f>IF(D431="","",IF(D431&gt;0,VLOOKUP(D431,Category!$A$2:$B$31,2,FALSE),"")&amp;"-"&amp;TEXT(COUNTIF('Product List'!$D$2:'Product List'!D431,'Product List'!D431),"000"))</f>
        <v/>
      </c>
      <c r="C431" s="45"/>
      <c r="D431" s="45"/>
      <c r="E431" s="45"/>
      <c r="F431" s="11" t="str">
        <f>Sheet4!G431</f>
        <v/>
      </c>
      <c r="G431" s="45"/>
      <c r="H431" s="11" t="str">
        <f t="shared" si="12"/>
        <v/>
      </c>
    </row>
    <row r="432" spans="1:8">
      <c r="A432" s="10" t="str">
        <f t="shared" si="13"/>
        <v/>
      </c>
      <c r="B432" s="11" t="str">
        <f>IF(D432="","",IF(D432&gt;0,VLOOKUP(D432,Category!$A$2:$B$31,2,FALSE),"")&amp;"-"&amp;TEXT(COUNTIF('Product List'!$D$2:'Product List'!D432,'Product List'!D432),"000"))</f>
        <v/>
      </c>
      <c r="C432" s="45"/>
      <c r="D432" s="45"/>
      <c r="E432" s="45"/>
      <c r="F432" s="11" t="str">
        <f>Sheet4!G432</f>
        <v/>
      </c>
      <c r="G432" s="45"/>
      <c r="H432" s="11" t="str">
        <f t="shared" si="12"/>
        <v/>
      </c>
    </row>
    <row r="433" spans="1:8">
      <c r="A433" s="10" t="str">
        <f t="shared" si="13"/>
        <v/>
      </c>
      <c r="B433" s="11" t="str">
        <f>IF(D433="","",IF(D433&gt;0,VLOOKUP(D433,Category!$A$2:$B$31,2,FALSE),"")&amp;"-"&amp;TEXT(COUNTIF('Product List'!$D$2:'Product List'!D433,'Product List'!D433),"000"))</f>
        <v/>
      </c>
      <c r="C433" s="45"/>
      <c r="D433" s="45"/>
      <c r="E433" s="45"/>
      <c r="F433" s="11" t="str">
        <f>Sheet4!G433</f>
        <v/>
      </c>
      <c r="G433" s="45"/>
      <c r="H433" s="11" t="str">
        <f t="shared" si="12"/>
        <v/>
      </c>
    </row>
    <row r="434" spans="1:8">
      <c r="A434" s="10" t="str">
        <f t="shared" si="13"/>
        <v/>
      </c>
      <c r="B434" s="11" t="str">
        <f>IF(D434="","",IF(D434&gt;0,VLOOKUP(D434,Category!$A$2:$B$31,2,FALSE),"")&amp;"-"&amp;TEXT(COUNTIF('Product List'!$D$2:'Product List'!D434,'Product List'!D434),"000"))</f>
        <v/>
      </c>
      <c r="C434" s="45"/>
      <c r="D434" s="45"/>
      <c r="E434" s="45"/>
      <c r="F434" s="11" t="str">
        <f>Sheet4!G434</f>
        <v/>
      </c>
      <c r="G434" s="45"/>
      <c r="H434" s="11" t="str">
        <f t="shared" si="12"/>
        <v/>
      </c>
    </row>
    <row r="435" spans="1:8">
      <c r="A435" s="10" t="str">
        <f t="shared" si="13"/>
        <v/>
      </c>
      <c r="B435" s="11" t="str">
        <f>IF(D435="","",IF(D435&gt;0,VLOOKUP(D435,Category!$A$2:$B$31,2,FALSE),"")&amp;"-"&amp;TEXT(COUNTIF('Product List'!$D$2:'Product List'!D435,'Product List'!D435),"000"))</f>
        <v/>
      </c>
      <c r="C435" s="45"/>
      <c r="D435" s="45"/>
      <c r="E435" s="45"/>
      <c r="F435" s="11" t="str">
        <f>Sheet4!G435</f>
        <v/>
      </c>
      <c r="G435" s="45"/>
      <c r="H435" s="11" t="str">
        <f t="shared" si="12"/>
        <v/>
      </c>
    </row>
    <row r="436" spans="1:8">
      <c r="A436" s="10" t="str">
        <f t="shared" si="13"/>
        <v/>
      </c>
      <c r="B436" s="11" t="str">
        <f>IF(D436="","",IF(D436&gt;0,VLOOKUP(D436,Category!$A$2:$B$31,2,FALSE),"")&amp;"-"&amp;TEXT(COUNTIF('Product List'!$D$2:'Product List'!D436,'Product List'!D436),"000"))</f>
        <v/>
      </c>
      <c r="C436" s="45"/>
      <c r="D436" s="45"/>
      <c r="E436" s="45"/>
      <c r="F436" s="11" t="str">
        <f>Sheet4!G436</f>
        <v/>
      </c>
      <c r="G436" s="45"/>
      <c r="H436" s="11" t="str">
        <f t="shared" si="12"/>
        <v/>
      </c>
    </row>
    <row r="437" spans="1:8">
      <c r="A437" s="10" t="str">
        <f t="shared" si="13"/>
        <v/>
      </c>
      <c r="B437" s="11" t="str">
        <f>IF(D437="","",IF(D437&gt;0,VLOOKUP(D437,Category!$A$2:$B$31,2,FALSE),"")&amp;"-"&amp;TEXT(COUNTIF('Product List'!$D$2:'Product List'!D437,'Product List'!D437),"000"))</f>
        <v/>
      </c>
      <c r="C437" s="45"/>
      <c r="D437" s="45"/>
      <c r="E437" s="45"/>
      <c r="F437" s="11" t="str">
        <f>Sheet4!G437</f>
        <v/>
      </c>
      <c r="G437" s="45"/>
      <c r="H437" s="11" t="str">
        <f t="shared" si="12"/>
        <v/>
      </c>
    </row>
    <row r="438" spans="1:8">
      <c r="A438" s="10" t="str">
        <f t="shared" si="13"/>
        <v/>
      </c>
      <c r="B438" s="11" t="str">
        <f>IF(D438="","",IF(D438&gt;0,VLOOKUP(D438,Category!$A$2:$B$31,2,FALSE),"")&amp;"-"&amp;TEXT(COUNTIF('Product List'!$D$2:'Product List'!D438,'Product List'!D438),"000"))</f>
        <v/>
      </c>
      <c r="C438" s="45"/>
      <c r="D438" s="45"/>
      <c r="E438" s="45"/>
      <c r="F438" s="11" t="str">
        <f>Sheet4!G438</f>
        <v/>
      </c>
      <c r="G438" s="45"/>
      <c r="H438" s="11" t="str">
        <f t="shared" si="12"/>
        <v/>
      </c>
    </row>
    <row r="439" spans="1:8">
      <c r="A439" s="10" t="str">
        <f t="shared" si="13"/>
        <v/>
      </c>
      <c r="B439" s="11" t="str">
        <f>IF(D439="","",IF(D439&gt;0,VLOOKUP(D439,Category!$A$2:$B$31,2,FALSE),"")&amp;"-"&amp;TEXT(COUNTIF('Product List'!$D$2:'Product List'!D439,'Product List'!D439),"000"))</f>
        <v/>
      </c>
      <c r="C439" s="45"/>
      <c r="D439" s="45"/>
      <c r="E439" s="45"/>
      <c r="F439" s="11" t="str">
        <f>Sheet4!G439</f>
        <v/>
      </c>
      <c r="G439" s="45"/>
      <c r="H439" s="11" t="str">
        <f t="shared" si="12"/>
        <v/>
      </c>
    </row>
    <row r="440" spans="1:8">
      <c r="A440" s="10" t="str">
        <f t="shared" si="13"/>
        <v/>
      </c>
      <c r="B440" s="11" t="str">
        <f>IF(D440="","",IF(D440&gt;0,VLOOKUP(D440,Category!$A$2:$B$31,2,FALSE),"")&amp;"-"&amp;TEXT(COUNTIF('Product List'!$D$2:'Product List'!D440,'Product List'!D440),"000"))</f>
        <v/>
      </c>
      <c r="C440" s="45"/>
      <c r="D440" s="45"/>
      <c r="E440" s="45"/>
      <c r="F440" s="11" t="str">
        <f>Sheet4!G440</f>
        <v/>
      </c>
      <c r="G440" s="45"/>
      <c r="H440" s="11" t="str">
        <f t="shared" si="12"/>
        <v/>
      </c>
    </row>
    <row r="441" spans="1:8">
      <c r="A441" s="10" t="str">
        <f t="shared" si="13"/>
        <v/>
      </c>
      <c r="B441" s="11" t="str">
        <f>IF(D441="","",IF(D441&gt;0,VLOOKUP(D441,Category!$A$2:$B$31,2,FALSE),"")&amp;"-"&amp;TEXT(COUNTIF('Product List'!$D$2:'Product List'!D441,'Product List'!D441),"000"))</f>
        <v/>
      </c>
      <c r="C441" s="45"/>
      <c r="D441" s="45"/>
      <c r="E441" s="45"/>
      <c r="F441" s="11" t="str">
        <f>Sheet4!G441</f>
        <v/>
      </c>
      <c r="G441" s="45"/>
      <c r="H441" s="11" t="str">
        <f t="shared" si="12"/>
        <v/>
      </c>
    </row>
    <row r="442" spans="1:8">
      <c r="A442" s="10" t="str">
        <f t="shared" si="13"/>
        <v/>
      </c>
      <c r="B442" s="11" t="str">
        <f>IF(D442="","",IF(D442&gt;0,VLOOKUP(D442,Category!$A$2:$B$31,2,FALSE),"")&amp;"-"&amp;TEXT(COUNTIF('Product List'!$D$2:'Product List'!D442,'Product List'!D442),"000"))</f>
        <v/>
      </c>
      <c r="C442" s="45"/>
      <c r="D442" s="45"/>
      <c r="E442" s="45"/>
      <c r="F442" s="11" t="str">
        <f>Sheet4!G442</f>
        <v/>
      </c>
      <c r="G442" s="45"/>
      <c r="H442" s="11" t="str">
        <f t="shared" si="12"/>
        <v/>
      </c>
    </row>
    <row r="443" spans="1:8">
      <c r="A443" s="10" t="str">
        <f t="shared" si="13"/>
        <v/>
      </c>
      <c r="B443" s="11" t="str">
        <f>IF(D443="","",IF(D443&gt;0,VLOOKUP(D443,Category!$A$2:$B$31,2,FALSE),"")&amp;"-"&amp;TEXT(COUNTIF('Product List'!$D$2:'Product List'!D443,'Product List'!D443),"000"))</f>
        <v/>
      </c>
      <c r="C443" s="45"/>
      <c r="D443" s="45"/>
      <c r="E443" s="45"/>
      <c r="F443" s="11" t="str">
        <f>Sheet4!G443</f>
        <v/>
      </c>
      <c r="G443" s="45"/>
      <c r="H443" s="11" t="str">
        <f t="shared" si="12"/>
        <v/>
      </c>
    </row>
    <row r="444" spans="1:8">
      <c r="A444" s="10" t="str">
        <f t="shared" si="13"/>
        <v/>
      </c>
      <c r="B444" s="11" t="str">
        <f>IF(D444="","",IF(D444&gt;0,VLOOKUP(D444,Category!$A$2:$B$31,2,FALSE),"")&amp;"-"&amp;TEXT(COUNTIF('Product List'!$D$2:'Product List'!D444,'Product List'!D444),"000"))</f>
        <v/>
      </c>
      <c r="C444" s="45"/>
      <c r="D444" s="45"/>
      <c r="E444" s="45"/>
      <c r="F444" s="11" t="str">
        <f>Sheet4!G444</f>
        <v/>
      </c>
      <c r="G444" s="45"/>
      <c r="H444" s="11" t="str">
        <f t="shared" si="12"/>
        <v/>
      </c>
    </row>
    <row r="445" spans="1:8">
      <c r="A445" s="10" t="str">
        <f t="shared" si="13"/>
        <v/>
      </c>
      <c r="B445" s="11" t="str">
        <f>IF(D445="","",IF(D445&gt;0,VLOOKUP(D445,Category!$A$2:$B$31,2,FALSE),"")&amp;"-"&amp;TEXT(COUNTIF('Product List'!$D$2:'Product List'!D445,'Product List'!D445),"000"))</f>
        <v/>
      </c>
      <c r="C445" s="45"/>
      <c r="D445" s="45"/>
      <c r="E445" s="45"/>
      <c r="F445" s="11" t="str">
        <f>Sheet4!G445</f>
        <v/>
      </c>
      <c r="G445" s="45"/>
      <c r="H445" s="11" t="str">
        <f t="shared" si="12"/>
        <v/>
      </c>
    </row>
    <row r="446" spans="1:8">
      <c r="A446" s="10" t="str">
        <f t="shared" si="13"/>
        <v/>
      </c>
      <c r="B446" s="11" t="str">
        <f>IF(D446="","",IF(D446&gt;0,VLOOKUP(D446,Category!$A$2:$B$31,2,FALSE),"")&amp;"-"&amp;TEXT(COUNTIF('Product List'!$D$2:'Product List'!D446,'Product List'!D446),"000"))</f>
        <v/>
      </c>
      <c r="C446" s="45"/>
      <c r="D446" s="45"/>
      <c r="E446" s="45"/>
      <c r="F446" s="11" t="str">
        <f>Sheet4!G446</f>
        <v/>
      </c>
      <c r="G446" s="45"/>
      <c r="H446" s="11" t="str">
        <f t="shared" si="12"/>
        <v/>
      </c>
    </row>
    <row r="447" spans="1:8">
      <c r="A447" s="10" t="str">
        <f t="shared" si="13"/>
        <v/>
      </c>
      <c r="B447" s="11" t="str">
        <f>IF(D447="","",IF(D447&gt;0,VLOOKUP(D447,Category!$A$2:$B$31,2,FALSE),"")&amp;"-"&amp;TEXT(COUNTIF('Product List'!$D$2:'Product List'!D447,'Product List'!D447),"000"))</f>
        <v/>
      </c>
      <c r="C447" s="45"/>
      <c r="D447" s="45"/>
      <c r="E447" s="45"/>
      <c r="F447" s="11" t="str">
        <f>Sheet4!G447</f>
        <v/>
      </c>
      <c r="G447" s="45"/>
      <c r="H447" s="11" t="str">
        <f t="shared" si="12"/>
        <v/>
      </c>
    </row>
    <row r="448" spans="1:8">
      <c r="A448" s="10" t="str">
        <f t="shared" si="13"/>
        <v/>
      </c>
      <c r="B448" s="11" t="str">
        <f>IF(D448="","",IF(D448&gt;0,VLOOKUP(D448,Category!$A$2:$B$31,2,FALSE),"")&amp;"-"&amp;TEXT(COUNTIF('Product List'!$D$2:'Product List'!D448,'Product List'!D448),"000"))</f>
        <v/>
      </c>
      <c r="C448" s="45"/>
      <c r="D448" s="45"/>
      <c r="E448" s="45"/>
      <c r="F448" s="11" t="str">
        <f>Sheet4!G448</f>
        <v/>
      </c>
      <c r="G448" s="45"/>
      <c r="H448" s="11" t="str">
        <f t="shared" si="12"/>
        <v/>
      </c>
    </row>
    <row r="449" spans="1:8">
      <c r="A449" s="10" t="str">
        <f t="shared" si="13"/>
        <v/>
      </c>
      <c r="B449" s="11" t="str">
        <f>IF(D449="","",IF(D449&gt;0,VLOOKUP(D449,Category!$A$2:$B$31,2,FALSE),"")&amp;"-"&amp;TEXT(COUNTIF('Product List'!$D$2:'Product List'!D449,'Product List'!D449),"000"))</f>
        <v/>
      </c>
      <c r="C449" s="45"/>
      <c r="D449" s="45"/>
      <c r="E449" s="45"/>
      <c r="F449" s="11" t="str">
        <f>Sheet4!G449</f>
        <v/>
      </c>
      <c r="G449" s="45"/>
      <c r="H449" s="11" t="str">
        <f t="shared" si="12"/>
        <v/>
      </c>
    </row>
    <row r="450" spans="1:8">
      <c r="A450" s="10" t="str">
        <f t="shared" si="13"/>
        <v/>
      </c>
      <c r="B450" s="11" t="str">
        <f>IF(D450="","",IF(D450&gt;0,VLOOKUP(D450,Category!$A$2:$B$31,2,FALSE),"")&amp;"-"&amp;TEXT(COUNTIF('Product List'!$D$2:'Product List'!D450,'Product List'!D450),"000"))</f>
        <v/>
      </c>
      <c r="C450" s="45"/>
      <c r="D450" s="45"/>
      <c r="E450" s="45"/>
      <c r="F450" s="11" t="str">
        <f>Sheet4!G450</f>
        <v/>
      </c>
      <c r="G450" s="45"/>
      <c r="H450" s="11" t="str">
        <f t="shared" si="12"/>
        <v/>
      </c>
    </row>
    <row r="451" spans="1:8">
      <c r="A451" s="10" t="str">
        <f t="shared" si="13"/>
        <v/>
      </c>
      <c r="B451" s="11" t="str">
        <f>IF(D451="","",IF(D451&gt;0,VLOOKUP(D451,Category!$A$2:$B$31,2,FALSE),"")&amp;"-"&amp;TEXT(COUNTIF('Product List'!$D$2:'Product List'!D451,'Product List'!D451),"000"))</f>
        <v/>
      </c>
      <c r="C451" s="45"/>
      <c r="D451" s="45"/>
      <c r="E451" s="45"/>
      <c r="F451" s="11" t="str">
        <f>Sheet4!G451</f>
        <v/>
      </c>
      <c r="G451" s="45"/>
      <c r="H451" s="11" t="str">
        <f t="shared" ref="H451:H514" si="14">IF(OR(F451="",G451=""),"",IF(F451&lt;=0,"Out of Stock",IF(F451&lt;=G451,"Low on Stock","In Stock")))</f>
        <v/>
      </c>
    </row>
    <row r="452" spans="1:8">
      <c r="A452" s="10" t="str">
        <f t="shared" ref="A452:A515" si="15">IF(C452&gt;0,A451+1,"")</f>
        <v/>
      </c>
      <c r="B452" s="11" t="str">
        <f>IF(D452="","",IF(D452&gt;0,VLOOKUP(D452,Category!$A$2:$B$31,2,FALSE),"")&amp;"-"&amp;TEXT(COUNTIF('Product List'!$D$2:'Product List'!D452,'Product List'!D452),"000"))</f>
        <v/>
      </c>
      <c r="C452" s="45"/>
      <c r="D452" s="45"/>
      <c r="E452" s="45"/>
      <c r="F452" s="11" t="str">
        <f>Sheet4!G452</f>
        <v/>
      </c>
      <c r="G452" s="45"/>
      <c r="H452" s="11" t="str">
        <f t="shared" si="14"/>
        <v/>
      </c>
    </row>
    <row r="453" spans="1:8">
      <c r="A453" s="10" t="str">
        <f t="shared" si="15"/>
        <v/>
      </c>
      <c r="B453" s="11" t="str">
        <f>IF(D453="","",IF(D453&gt;0,VLOOKUP(D453,Category!$A$2:$B$31,2,FALSE),"")&amp;"-"&amp;TEXT(COUNTIF('Product List'!$D$2:'Product List'!D453,'Product List'!D453),"000"))</f>
        <v/>
      </c>
      <c r="C453" s="45"/>
      <c r="D453" s="45"/>
      <c r="E453" s="45"/>
      <c r="F453" s="11" t="str">
        <f>Sheet4!G453</f>
        <v/>
      </c>
      <c r="G453" s="45"/>
      <c r="H453" s="11" t="str">
        <f t="shared" si="14"/>
        <v/>
      </c>
    </row>
    <row r="454" spans="1:8">
      <c r="A454" s="10" t="str">
        <f t="shared" si="15"/>
        <v/>
      </c>
      <c r="B454" s="11" t="str">
        <f>IF(D454="","",IF(D454&gt;0,VLOOKUP(D454,Category!$A$2:$B$31,2,FALSE),"")&amp;"-"&amp;TEXT(COUNTIF('Product List'!$D$2:'Product List'!D454,'Product List'!D454),"000"))</f>
        <v/>
      </c>
      <c r="C454" s="45"/>
      <c r="D454" s="45"/>
      <c r="E454" s="45"/>
      <c r="F454" s="11" t="str">
        <f>Sheet4!G454</f>
        <v/>
      </c>
      <c r="G454" s="45"/>
      <c r="H454" s="11" t="str">
        <f t="shared" si="14"/>
        <v/>
      </c>
    </row>
    <row r="455" spans="1:8">
      <c r="A455" s="10" t="str">
        <f t="shared" si="15"/>
        <v/>
      </c>
      <c r="B455" s="11" t="str">
        <f>IF(D455="","",IF(D455&gt;0,VLOOKUP(D455,Category!$A$2:$B$31,2,FALSE),"")&amp;"-"&amp;TEXT(COUNTIF('Product List'!$D$2:'Product List'!D455,'Product List'!D455),"000"))</f>
        <v/>
      </c>
      <c r="C455" s="45"/>
      <c r="D455" s="45"/>
      <c r="E455" s="45"/>
      <c r="F455" s="11" t="str">
        <f>Sheet4!G455</f>
        <v/>
      </c>
      <c r="G455" s="45"/>
      <c r="H455" s="11" t="str">
        <f t="shared" si="14"/>
        <v/>
      </c>
    </row>
    <row r="456" spans="1:8">
      <c r="A456" s="10" t="str">
        <f t="shared" si="15"/>
        <v/>
      </c>
      <c r="B456" s="11" t="str">
        <f>IF(D456="","",IF(D456&gt;0,VLOOKUP(D456,Category!$A$2:$B$31,2,FALSE),"")&amp;"-"&amp;TEXT(COUNTIF('Product List'!$D$2:'Product List'!D456,'Product List'!D456),"000"))</f>
        <v/>
      </c>
      <c r="C456" s="45"/>
      <c r="D456" s="45"/>
      <c r="E456" s="45"/>
      <c r="F456" s="11" t="str">
        <f>Sheet4!G456</f>
        <v/>
      </c>
      <c r="G456" s="45"/>
      <c r="H456" s="11" t="str">
        <f t="shared" si="14"/>
        <v/>
      </c>
    </row>
    <row r="457" spans="1:8">
      <c r="A457" s="10" t="str">
        <f t="shared" si="15"/>
        <v/>
      </c>
      <c r="B457" s="11" t="str">
        <f>IF(D457="","",IF(D457&gt;0,VLOOKUP(D457,Category!$A$2:$B$31,2,FALSE),"")&amp;"-"&amp;TEXT(COUNTIF('Product List'!$D$2:'Product List'!D457,'Product List'!D457),"000"))</f>
        <v/>
      </c>
      <c r="C457" s="45"/>
      <c r="D457" s="45"/>
      <c r="E457" s="45"/>
      <c r="F457" s="11" t="str">
        <f>Sheet4!G457</f>
        <v/>
      </c>
      <c r="G457" s="45"/>
      <c r="H457" s="11" t="str">
        <f t="shared" si="14"/>
        <v/>
      </c>
    </row>
    <row r="458" spans="1:8">
      <c r="A458" s="10" t="str">
        <f t="shared" si="15"/>
        <v/>
      </c>
      <c r="B458" s="11" t="str">
        <f>IF(D458="","",IF(D458&gt;0,VLOOKUP(D458,Category!$A$2:$B$31,2,FALSE),"")&amp;"-"&amp;TEXT(COUNTIF('Product List'!$D$2:'Product List'!D458,'Product List'!D458),"000"))</f>
        <v/>
      </c>
      <c r="C458" s="45"/>
      <c r="D458" s="45"/>
      <c r="E458" s="45"/>
      <c r="F458" s="11" t="str">
        <f>Sheet4!G458</f>
        <v/>
      </c>
      <c r="G458" s="45"/>
      <c r="H458" s="11" t="str">
        <f t="shared" si="14"/>
        <v/>
      </c>
    </row>
    <row r="459" spans="1:8">
      <c r="A459" s="10" t="str">
        <f t="shared" si="15"/>
        <v/>
      </c>
      <c r="B459" s="11" t="str">
        <f>IF(D459="","",IF(D459&gt;0,VLOOKUP(D459,Category!$A$2:$B$31,2,FALSE),"")&amp;"-"&amp;TEXT(COUNTIF('Product List'!$D$2:'Product List'!D459,'Product List'!D459),"000"))</f>
        <v/>
      </c>
      <c r="C459" s="45"/>
      <c r="D459" s="45"/>
      <c r="E459" s="45"/>
      <c r="F459" s="11" t="str">
        <f>Sheet4!G459</f>
        <v/>
      </c>
      <c r="G459" s="45"/>
      <c r="H459" s="11" t="str">
        <f t="shared" si="14"/>
        <v/>
      </c>
    </row>
    <row r="460" spans="1:8">
      <c r="A460" s="10" t="str">
        <f t="shared" si="15"/>
        <v/>
      </c>
      <c r="B460" s="11" t="str">
        <f>IF(D460="","",IF(D460&gt;0,VLOOKUP(D460,Category!$A$2:$B$31,2,FALSE),"")&amp;"-"&amp;TEXT(COUNTIF('Product List'!$D$2:'Product List'!D460,'Product List'!D460),"000"))</f>
        <v/>
      </c>
      <c r="C460" s="45"/>
      <c r="D460" s="45"/>
      <c r="E460" s="45"/>
      <c r="F460" s="11" t="str">
        <f>Sheet4!G460</f>
        <v/>
      </c>
      <c r="G460" s="45"/>
      <c r="H460" s="11" t="str">
        <f t="shared" si="14"/>
        <v/>
      </c>
    </row>
    <row r="461" spans="1:8">
      <c r="A461" s="10" t="str">
        <f t="shared" si="15"/>
        <v/>
      </c>
      <c r="B461" s="11" t="str">
        <f>IF(D461="","",IF(D461&gt;0,VLOOKUP(D461,Category!$A$2:$B$31,2,FALSE),"")&amp;"-"&amp;TEXT(COUNTIF('Product List'!$D$2:'Product List'!D461,'Product List'!D461),"000"))</f>
        <v/>
      </c>
      <c r="C461" s="45"/>
      <c r="D461" s="45"/>
      <c r="E461" s="45"/>
      <c r="F461" s="11" t="str">
        <f>Sheet4!G461</f>
        <v/>
      </c>
      <c r="G461" s="45"/>
      <c r="H461" s="11" t="str">
        <f t="shared" si="14"/>
        <v/>
      </c>
    </row>
    <row r="462" spans="1:8">
      <c r="A462" s="10" t="str">
        <f t="shared" si="15"/>
        <v/>
      </c>
      <c r="B462" s="11" t="str">
        <f>IF(D462="","",IF(D462&gt;0,VLOOKUP(D462,Category!$A$2:$B$31,2,FALSE),"")&amp;"-"&amp;TEXT(COUNTIF('Product List'!$D$2:'Product List'!D462,'Product List'!D462),"000"))</f>
        <v/>
      </c>
      <c r="C462" s="45"/>
      <c r="D462" s="45"/>
      <c r="E462" s="45"/>
      <c r="F462" s="11" t="str">
        <f>Sheet4!G462</f>
        <v/>
      </c>
      <c r="G462" s="45"/>
      <c r="H462" s="11" t="str">
        <f t="shared" si="14"/>
        <v/>
      </c>
    </row>
    <row r="463" spans="1:8">
      <c r="A463" s="10" t="str">
        <f t="shared" si="15"/>
        <v/>
      </c>
      <c r="B463" s="11" t="str">
        <f>IF(D463="","",IF(D463&gt;0,VLOOKUP(D463,Category!$A$2:$B$31,2,FALSE),"")&amp;"-"&amp;TEXT(COUNTIF('Product List'!$D$2:'Product List'!D463,'Product List'!D463),"000"))</f>
        <v/>
      </c>
      <c r="C463" s="45"/>
      <c r="D463" s="45"/>
      <c r="E463" s="45"/>
      <c r="F463" s="11" t="str">
        <f>Sheet4!G463</f>
        <v/>
      </c>
      <c r="G463" s="45"/>
      <c r="H463" s="11" t="str">
        <f t="shared" si="14"/>
        <v/>
      </c>
    </row>
    <row r="464" spans="1:8">
      <c r="A464" s="10" t="str">
        <f t="shared" si="15"/>
        <v/>
      </c>
      <c r="B464" s="11" t="str">
        <f>IF(D464="","",IF(D464&gt;0,VLOOKUP(D464,Category!$A$2:$B$31,2,FALSE),"")&amp;"-"&amp;TEXT(COUNTIF('Product List'!$D$2:'Product List'!D464,'Product List'!D464),"000"))</f>
        <v/>
      </c>
      <c r="C464" s="45"/>
      <c r="D464" s="45"/>
      <c r="E464" s="45"/>
      <c r="F464" s="11" t="str">
        <f>Sheet4!G464</f>
        <v/>
      </c>
      <c r="G464" s="45"/>
      <c r="H464" s="11" t="str">
        <f t="shared" si="14"/>
        <v/>
      </c>
    </row>
    <row r="465" spans="1:8">
      <c r="A465" s="10" t="str">
        <f t="shared" si="15"/>
        <v/>
      </c>
      <c r="B465" s="11" t="str">
        <f>IF(D465="","",IF(D465&gt;0,VLOOKUP(D465,Category!$A$2:$B$31,2,FALSE),"")&amp;"-"&amp;TEXT(COUNTIF('Product List'!$D$2:'Product List'!D465,'Product List'!D465),"000"))</f>
        <v/>
      </c>
      <c r="C465" s="45"/>
      <c r="D465" s="45"/>
      <c r="E465" s="45"/>
      <c r="F465" s="11" t="str">
        <f>Sheet4!G465</f>
        <v/>
      </c>
      <c r="G465" s="45"/>
      <c r="H465" s="11" t="str">
        <f t="shared" si="14"/>
        <v/>
      </c>
    </row>
    <row r="466" spans="1:8">
      <c r="A466" s="10" t="str">
        <f t="shared" si="15"/>
        <v/>
      </c>
      <c r="B466" s="11" t="str">
        <f>IF(D466="","",IF(D466&gt;0,VLOOKUP(D466,Category!$A$2:$B$31,2,FALSE),"")&amp;"-"&amp;TEXT(COUNTIF('Product List'!$D$2:'Product List'!D466,'Product List'!D466),"000"))</f>
        <v/>
      </c>
      <c r="C466" s="45"/>
      <c r="D466" s="45"/>
      <c r="E466" s="45"/>
      <c r="F466" s="11" t="str">
        <f>Sheet4!G466</f>
        <v/>
      </c>
      <c r="G466" s="45"/>
      <c r="H466" s="11" t="str">
        <f t="shared" si="14"/>
        <v/>
      </c>
    </row>
    <row r="467" spans="1:8">
      <c r="A467" s="10" t="str">
        <f t="shared" si="15"/>
        <v/>
      </c>
      <c r="B467" s="11" t="str">
        <f>IF(D467="","",IF(D467&gt;0,VLOOKUP(D467,Category!$A$2:$B$31,2,FALSE),"")&amp;"-"&amp;TEXT(COUNTIF('Product List'!$D$2:'Product List'!D467,'Product List'!D467),"000"))</f>
        <v/>
      </c>
      <c r="C467" s="45"/>
      <c r="D467" s="45"/>
      <c r="E467" s="45"/>
      <c r="F467" s="11" t="str">
        <f>Sheet4!G467</f>
        <v/>
      </c>
      <c r="G467" s="45"/>
      <c r="H467" s="11" t="str">
        <f t="shared" si="14"/>
        <v/>
      </c>
    </row>
    <row r="468" spans="1:8">
      <c r="A468" s="10" t="str">
        <f t="shared" si="15"/>
        <v/>
      </c>
      <c r="B468" s="11" t="str">
        <f>IF(D468="","",IF(D468&gt;0,VLOOKUP(D468,Category!$A$2:$B$31,2,FALSE),"")&amp;"-"&amp;TEXT(COUNTIF('Product List'!$D$2:'Product List'!D468,'Product List'!D468),"000"))</f>
        <v/>
      </c>
      <c r="C468" s="45"/>
      <c r="D468" s="45"/>
      <c r="E468" s="45"/>
      <c r="F468" s="11" t="str">
        <f>Sheet4!G468</f>
        <v/>
      </c>
      <c r="G468" s="45"/>
      <c r="H468" s="11" t="str">
        <f t="shared" si="14"/>
        <v/>
      </c>
    </row>
    <row r="469" spans="1:8">
      <c r="A469" s="10" t="str">
        <f t="shared" si="15"/>
        <v/>
      </c>
      <c r="B469" s="11" t="str">
        <f>IF(D469="","",IF(D469&gt;0,VLOOKUP(D469,Category!$A$2:$B$31,2,FALSE),"")&amp;"-"&amp;TEXT(COUNTIF('Product List'!$D$2:'Product List'!D469,'Product List'!D469),"000"))</f>
        <v/>
      </c>
      <c r="C469" s="45"/>
      <c r="D469" s="45"/>
      <c r="E469" s="45"/>
      <c r="F469" s="11" t="str">
        <f>Sheet4!G469</f>
        <v/>
      </c>
      <c r="G469" s="45"/>
      <c r="H469" s="11" t="str">
        <f t="shared" si="14"/>
        <v/>
      </c>
    </row>
    <row r="470" spans="1:8">
      <c r="A470" s="10" t="str">
        <f t="shared" si="15"/>
        <v/>
      </c>
      <c r="B470" s="11" t="str">
        <f>IF(D470="","",IF(D470&gt;0,VLOOKUP(D470,Category!$A$2:$B$31,2,FALSE),"")&amp;"-"&amp;TEXT(COUNTIF('Product List'!$D$2:'Product List'!D470,'Product List'!D470),"000"))</f>
        <v/>
      </c>
      <c r="C470" s="45"/>
      <c r="D470" s="45"/>
      <c r="E470" s="45"/>
      <c r="F470" s="11" t="str">
        <f>Sheet4!G470</f>
        <v/>
      </c>
      <c r="G470" s="45"/>
      <c r="H470" s="11" t="str">
        <f t="shared" si="14"/>
        <v/>
      </c>
    </row>
    <row r="471" spans="1:8">
      <c r="A471" s="10" t="str">
        <f t="shared" si="15"/>
        <v/>
      </c>
      <c r="B471" s="11" t="str">
        <f>IF(D471="","",IF(D471&gt;0,VLOOKUP(D471,Category!$A$2:$B$31,2,FALSE),"")&amp;"-"&amp;TEXT(COUNTIF('Product List'!$D$2:'Product List'!D471,'Product List'!D471),"000"))</f>
        <v/>
      </c>
      <c r="C471" s="45"/>
      <c r="D471" s="45"/>
      <c r="E471" s="45"/>
      <c r="F471" s="11" t="str">
        <f>Sheet4!G471</f>
        <v/>
      </c>
      <c r="G471" s="45"/>
      <c r="H471" s="11" t="str">
        <f t="shared" si="14"/>
        <v/>
      </c>
    </row>
    <row r="472" spans="1:8">
      <c r="A472" s="10" t="str">
        <f t="shared" si="15"/>
        <v/>
      </c>
      <c r="B472" s="11" t="str">
        <f>IF(D472="","",IF(D472&gt;0,VLOOKUP(D472,Category!$A$2:$B$31,2,FALSE),"")&amp;"-"&amp;TEXT(COUNTIF('Product List'!$D$2:'Product List'!D472,'Product List'!D472),"000"))</f>
        <v/>
      </c>
      <c r="C472" s="45"/>
      <c r="D472" s="45"/>
      <c r="E472" s="45"/>
      <c r="F472" s="11" t="str">
        <f>Sheet4!G472</f>
        <v/>
      </c>
      <c r="G472" s="45"/>
      <c r="H472" s="11" t="str">
        <f t="shared" si="14"/>
        <v/>
      </c>
    </row>
    <row r="473" spans="1:8">
      <c r="A473" s="10" t="str">
        <f t="shared" si="15"/>
        <v/>
      </c>
      <c r="B473" s="11" t="str">
        <f>IF(D473="","",IF(D473&gt;0,VLOOKUP(D473,Category!$A$2:$B$31,2,FALSE),"")&amp;"-"&amp;TEXT(COUNTIF('Product List'!$D$2:'Product List'!D473,'Product List'!D473),"000"))</f>
        <v/>
      </c>
      <c r="C473" s="45"/>
      <c r="D473" s="45"/>
      <c r="E473" s="45"/>
      <c r="F473" s="11" t="str">
        <f>Sheet4!G473</f>
        <v/>
      </c>
      <c r="G473" s="45"/>
      <c r="H473" s="11" t="str">
        <f t="shared" si="14"/>
        <v/>
      </c>
    </row>
    <row r="474" spans="1:8">
      <c r="A474" s="10" t="str">
        <f t="shared" si="15"/>
        <v/>
      </c>
      <c r="B474" s="11" t="str">
        <f>IF(D474="","",IF(D474&gt;0,VLOOKUP(D474,Category!$A$2:$B$31,2,FALSE),"")&amp;"-"&amp;TEXT(COUNTIF('Product List'!$D$2:'Product List'!D474,'Product List'!D474),"000"))</f>
        <v/>
      </c>
      <c r="C474" s="45"/>
      <c r="D474" s="45"/>
      <c r="E474" s="45"/>
      <c r="F474" s="11" t="str">
        <f>Sheet4!G474</f>
        <v/>
      </c>
      <c r="G474" s="45"/>
      <c r="H474" s="11" t="str">
        <f t="shared" si="14"/>
        <v/>
      </c>
    </row>
    <row r="475" spans="1:8">
      <c r="A475" s="10" t="str">
        <f t="shared" si="15"/>
        <v/>
      </c>
      <c r="B475" s="11" t="str">
        <f>IF(D475="","",IF(D475&gt;0,VLOOKUP(D475,Category!$A$2:$B$31,2,FALSE),"")&amp;"-"&amp;TEXT(COUNTIF('Product List'!$D$2:'Product List'!D475,'Product List'!D475),"000"))</f>
        <v/>
      </c>
      <c r="C475" s="45"/>
      <c r="D475" s="45"/>
      <c r="E475" s="45"/>
      <c r="F475" s="11" t="str">
        <f>Sheet4!G475</f>
        <v/>
      </c>
      <c r="G475" s="45"/>
      <c r="H475" s="11" t="str">
        <f t="shared" si="14"/>
        <v/>
      </c>
    </row>
    <row r="476" spans="1:8">
      <c r="A476" s="10" t="str">
        <f t="shared" si="15"/>
        <v/>
      </c>
      <c r="B476" s="11" t="str">
        <f>IF(D476="","",IF(D476&gt;0,VLOOKUP(D476,Category!$A$2:$B$31,2,FALSE),"")&amp;"-"&amp;TEXT(COUNTIF('Product List'!$D$2:'Product List'!D476,'Product List'!D476),"000"))</f>
        <v/>
      </c>
      <c r="C476" s="45"/>
      <c r="D476" s="45"/>
      <c r="E476" s="45"/>
      <c r="F476" s="11" t="str">
        <f>Sheet4!G476</f>
        <v/>
      </c>
      <c r="G476" s="45"/>
      <c r="H476" s="11" t="str">
        <f t="shared" si="14"/>
        <v/>
      </c>
    </row>
    <row r="477" spans="1:8">
      <c r="A477" s="10" t="str">
        <f t="shared" si="15"/>
        <v/>
      </c>
      <c r="B477" s="11" t="str">
        <f>IF(D477="","",IF(D477&gt;0,VLOOKUP(D477,Category!$A$2:$B$31,2,FALSE),"")&amp;"-"&amp;TEXT(COUNTIF('Product List'!$D$2:'Product List'!D477,'Product List'!D477),"000"))</f>
        <v/>
      </c>
      <c r="C477" s="45"/>
      <c r="D477" s="45"/>
      <c r="E477" s="45"/>
      <c r="F477" s="11" t="str">
        <f>Sheet4!G477</f>
        <v/>
      </c>
      <c r="G477" s="45"/>
      <c r="H477" s="11" t="str">
        <f t="shared" si="14"/>
        <v/>
      </c>
    </row>
    <row r="478" spans="1:8">
      <c r="A478" s="10" t="str">
        <f t="shared" si="15"/>
        <v/>
      </c>
      <c r="B478" s="11" t="str">
        <f>IF(D478="","",IF(D478&gt;0,VLOOKUP(D478,Category!$A$2:$B$31,2,FALSE),"")&amp;"-"&amp;TEXT(COUNTIF('Product List'!$D$2:'Product List'!D478,'Product List'!D478),"000"))</f>
        <v/>
      </c>
      <c r="C478" s="45"/>
      <c r="D478" s="45"/>
      <c r="E478" s="45"/>
      <c r="F478" s="11" t="str">
        <f>Sheet4!G478</f>
        <v/>
      </c>
      <c r="G478" s="45"/>
      <c r="H478" s="11" t="str">
        <f t="shared" si="14"/>
        <v/>
      </c>
    </row>
    <row r="479" spans="1:8">
      <c r="A479" s="10" t="str">
        <f t="shared" si="15"/>
        <v/>
      </c>
      <c r="B479" s="11" t="str">
        <f>IF(D479="","",IF(D479&gt;0,VLOOKUP(D479,Category!$A$2:$B$31,2,FALSE),"")&amp;"-"&amp;TEXT(COUNTIF('Product List'!$D$2:'Product List'!D479,'Product List'!D479),"000"))</f>
        <v/>
      </c>
      <c r="C479" s="45"/>
      <c r="D479" s="45"/>
      <c r="E479" s="45"/>
      <c r="F479" s="11" t="str">
        <f>Sheet4!G479</f>
        <v/>
      </c>
      <c r="G479" s="45"/>
      <c r="H479" s="11" t="str">
        <f t="shared" si="14"/>
        <v/>
      </c>
    </row>
    <row r="480" spans="1:8">
      <c r="A480" s="10" t="str">
        <f t="shared" si="15"/>
        <v/>
      </c>
      <c r="B480" s="11" t="str">
        <f>IF(D480="","",IF(D480&gt;0,VLOOKUP(D480,Category!$A$2:$B$31,2,FALSE),"")&amp;"-"&amp;TEXT(COUNTIF('Product List'!$D$2:'Product List'!D480,'Product List'!D480),"000"))</f>
        <v/>
      </c>
      <c r="C480" s="45"/>
      <c r="D480" s="45"/>
      <c r="E480" s="45"/>
      <c r="F480" s="11" t="str">
        <f>Sheet4!G480</f>
        <v/>
      </c>
      <c r="G480" s="45"/>
      <c r="H480" s="11" t="str">
        <f t="shared" si="14"/>
        <v/>
      </c>
    </row>
    <row r="481" spans="1:8">
      <c r="A481" s="10" t="str">
        <f t="shared" si="15"/>
        <v/>
      </c>
      <c r="B481" s="11" t="str">
        <f>IF(D481="","",IF(D481&gt;0,VLOOKUP(D481,Category!$A$2:$B$31,2,FALSE),"")&amp;"-"&amp;TEXT(COUNTIF('Product List'!$D$2:'Product List'!D481,'Product List'!D481),"000"))</f>
        <v/>
      </c>
      <c r="C481" s="45"/>
      <c r="D481" s="45"/>
      <c r="E481" s="45"/>
      <c r="F481" s="11" t="str">
        <f>Sheet4!G481</f>
        <v/>
      </c>
      <c r="G481" s="45"/>
      <c r="H481" s="11" t="str">
        <f t="shared" si="14"/>
        <v/>
      </c>
    </row>
    <row r="482" spans="1:8">
      <c r="A482" s="10" t="str">
        <f t="shared" si="15"/>
        <v/>
      </c>
      <c r="B482" s="11" t="str">
        <f>IF(D482="","",IF(D482&gt;0,VLOOKUP(D482,Category!$A$2:$B$31,2,FALSE),"")&amp;"-"&amp;TEXT(COUNTIF('Product List'!$D$2:'Product List'!D482,'Product List'!D482),"000"))</f>
        <v/>
      </c>
      <c r="C482" s="45"/>
      <c r="D482" s="45"/>
      <c r="E482" s="45"/>
      <c r="F482" s="11" t="str">
        <f>Sheet4!G482</f>
        <v/>
      </c>
      <c r="G482" s="45"/>
      <c r="H482" s="11" t="str">
        <f t="shared" si="14"/>
        <v/>
      </c>
    </row>
    <row r="483" spans="1:8">
      <c r="A483" s="10" t="str">
        <f t="shared" si="15"/>
        <v/>
      </c>
      <c r="B483" s="11" t="str">
        <f>IF(D483="","",IF(D483&gt;0,VLOOKUP(D483,Category!$A$2:$B$31,2,FALSE),"")&amp;"-"&amp;TEXT(COUNTIF('Product List'!$D$2:'Product List'!D483,'Product List'!D483),"000"))</f>
        <v/>
      </c>
      <c r="C483" s="45"/>
      <c r="D483" s="45"/>
      <c r="E483" s="45"/>
      <c r="F483" s="11" t="str">
        <f>Sheet4!G483</f>
        <v/>
      </c>
      <c r="G483" s="45"/>
      <c r="H483" s="11" t="str">
        <f t="shared" si="14"/>
        <v/>
      </c>
    </row>
    <row r="484" spans="1:8">
      <c r="A484" s="10" t="str">
        <f t="shared" si="15"/>
        <v/>
      </c>
      <c r="B484" s="11" t="str">
        <f>IF(D484="","",IF(D484&gt;0,VLOOKUP(D484,Category!$A$2:$B$31,2,FALSE),"")&amp;"-"&amp;TEXT(COUNTIF('Product List'!$D$2:'Product List'!D484,'Product List'!D484),"000"))</f>
        <v/>
      </c>
      <c r="C484" s="45"/>
      <c r="D484" s="45"/>
      <c r="E484" s="45"/>
      <c r="F484" s="11" t="str">
        <f>Sheet4!G484</f>
        <v/>
      </c>
      <c r="G484" s="45"/>
      <c r="H484" s="11" t="str">
        <f t="shared" si="14"/>
        <v/>
      </c>
    </row>
    <row r="485" spans="1:8">
      <c r="A485" s="10" t="str">
        <f t="shared" si="15"/>
        <v/>
      </c>
      <c r="B485" s="11" t="str">
        <f>IF(D485="","",IF(D485&gt;0,VLOOKUP(D485,Category!$A$2:$B$31,2,FALSE),"")&amp;"-"&amp;TEXT(COUNTIF('Product List'!$D$2:'Product List'!D485,'Product List'!D485),"000"))</f>
        <v/>
      </c>
      <c r="C485" s="45"/>
      <c r="D485" s="45"/>
      <c r="E485" s="45"/>
      <c r="F485" s="11" t="str">
        <f>Sheet4!G485</f>
        <v/>
      </c>
      <c r="G485" s="45"/>
      <c r="H485" s="11" t="str">
        <f t="shared" si="14"/>
        <v/>
      </c>
    </row>
    <row r="486" spans="1:8">
      <c r="A486" s="10" t="str">
        <f t="shared" si="15"/>
        <v/>
      </c>
      <c r="B486" s="11" t="str">
        <f>IF(D486="","",IF(D486&gt;0,VLOOKUP(D486,Category!$A$2:$B$31,2,FALSE),"")&amp;"-"&amp;TEXT(COUNTIF('Product List'!$D$2:'Product List'!D486,'Product List'!D486),"000"))</f>
        <v/>
      </c>
      <c r="C486" s="45"/>
      <c r="D486" s="45"/>
      <c r="E486" s="45"/>
      <c r="F486" s="11" t="str">
        <f>Sheet4!G486</f>
        <v/>
      </c>
      <c r="G486" s="45"/>
      <c r="H486" s="11" t="str">
        <f t="shared" si="14"/>
        <v/>
      </c>
    </row>
    <row r="487" spans="1:8">
      <c r="A487" s="10" t="str">
        <f t="shared" si="15"/>
        <v/>
      </c>
      <c r="B487" s="11" t="str">
        <f>IF(D487="","",IF(D487&gt;0,VLOOKUP(D487,Category!$A$2:$B$31,2,FALSE),"")&amp;"-"&amp;TEXT(COUNTIF('Product List'!$D$2:'Product List'!D487,'Product List'!D487),"000"))</f>
        <v/>
      </c>
      <c r="C487" s="45"/>
      <c r="D487" s="45"/>
      <c r="E487" s="45"/>
      <c r="F487" s="11" t="str">
        <f>Sheet4!G487</f>
        <v/>
      </c>
      <c r="G487" s="45"/>
      <c r="H487" s="11" t="str">
        <f t="shared" si="14"/>
        <v/>
      </c>
    </row>
    <row r="488" spans="1:8">
      <c r="A488" s="10" t="str">
        <f t="shared" si="15"/>
        <v/>
      </c>
      <c r="B488" s="11" t="str">
        <f>IF(D488="","",IF(D488&gt;0,VLOOKUP(D488,Category!$A$2:$B$31,2,FALSE),"")&amp;"-"&amp;TEXT(COUNTIF('Product List'!$D$2:'Product List'!D488,'Product List'!D488),"000"))</f>
        <v/>
      </c>
      <c r="C488" s="45"/>
      <c r="D488" s="45"/>
      <c r="E488" s="45"/>
      <c r="F488" s="11" t="str">
        <f>Sheet4!G488</f>
        <v/>
      </c>
      <c r="G488" s="45"/>
      <c r="H488" s="11" t="str">
        <f t="shared" si="14"/>
        <v/>
      </c>
    </row>
    <row r="489" spans="1:8">
      <c r="A489" s="10" t="str">
        <f t="shared" si="15"/>
        <v/>
      </c>
      <c r="B489" s="11" t="str">
        <f>IF(D489="","",IF(D489&gt;0,VLOOKUP(D489,Category!$A$2:$B$31,2,FALSE),"")&amp;"-"&amp;TEXT(COUNTIF('Product List'!$D$2:'Product List'!D489,'Product List'!D489),"000"))</f>
        <v/>
      </c>
      <c r="C489" s="45"/>
      <c r="D489" s="45"/>
      <c r="E489" s="45"/>
      <c r="F489" s="11" t="str">
        <f>Sheet4!G489</f>
        <v/>
      </c>
      <c r="G489" s="45"/>
      <c r="H489" s="11" t="str">
        <f t="shared" si="14"/>
        <v/>
      </c>
    </row>
    <row r="490" spans="1:8">
      <c r="A490" s="10" t="str">
        <f t="shared" si="15"/>
        <v/>
      </c>
      <c r="B490" s="11" t="str">
        <f>IF(D490="","",IF(D490&gt;0,VLOOKUP(D490,Category!$A$2:$B$31,2,FALSE),"")&amp;"-"&amp;TEXT(COUNTIF('Product List'!$D$2:'Product List'!D490,'Product List'!D490),"000"))</f>
        <v/>
      </c>
      <c r="C490" s="45"/>
      <c r="D490" s="45"/>
      <c r="E490" s="45"/>
      <c r="F490" s="11" t="str">
        <f>Sheet4!G490</f>
        <v/>
      </c>
      <c r="G490" s="45"/>
      <c r="H490" s="11" t="str">
        <f t="shared" si="14"/>
        <v/>
      </c>
    </row>
    <row r="491" spans="1:8">
      <c r="A491" s="10" t="str">
        <f t="shared" si="15"/>
        <v/>
      </c>
      <c r="B491" s="11" t="str">
        <f>IF(D491="","",IF(D491&gt;0,VLOOKUP(D491,Category!$A$2:$B$31,2,FALSE),"")&amp;"-"&amp;TEXT(COUNTIF('Product List'!$D$2:'Product List'!D491,'Product List'!D491),"000"))</f>
        <v/>
      </c>
      <c r="C491" s="45"/>
      <c r="D491" s="45"/>
      <c r="E491" s="45"/>
      <c r="F491" s="11" t="str">
        <f>Sheet4!G491</f>
        <v/>
      </c>
      <c r="G491" s="45"/>
      <c r="H491" s="11" t="str">
        <f t="shared" si="14"/>
        <v/>
      </c>
    </row>
    <row r="492" spans="1:8">
      <c r="A492" s="10" t="str">
        <f t="shared" si="15"/>
        <v/>
      </c>
      <c r="B492" s="11" t="str">
        <f>IF(D492="","",IF(D492&gt;0,VLOOKUP(D492,Category!$A$2:$B$31,2,FALSE),"")&amp;"-"&amp;TEXT(COUNTIF('Product List'!$D$2:'Product List'!D492,'Product List'!D492),"000"))</f>
        <v/>
      </c>
      <c r="C492" s="45"/>
      <c r="D492" s="45"/>
      <c r="E492" s="45"/>
      <c r="F492" s="11" t="str">
        <f>Sheet4!G492</f>
        <v/>
      </c>
      <c r="G492" s="45"/>
      <c r="H492" s="11" t="str">
        <f t="shared" si="14"/>
        <v/>
      </c>
    </row>
    <row r="493" spans="1:8">
      <c r="A493" s="10" t="str">
        <f t="shared" si="15"/>
        <v/>
      </c>
      <c r="B493" s="11" t="str">
        <f>IF(D493="","",IF(D493&gt;0,VLOOKUP(D493,Category!$A$2:$B$31,2,FALSE),"")&amp;"-"&amp;TEXT(COUNTIF('Product List'!$D$2:'Product List'!D493,'Product List'!D493),"000"))</f>
        <v/>
      </c>
      <c r="C493" s="45"/>
      <c r="D493" s="45"/>
      <c r="E493" s="45"/>
      <c r="F493" s="11" t="str">
        <f>Sheet4!G493</f>
        <v/>
      </c>
      <c r="G493" s="45"/>
      <c r="H493" s="11" t="str">
        <f t="shared" si="14"/>
        <v/>
      </c>
    </row>
    <row r="494" spans="1:8">
      <c r="A494" s="10" t="str">
        <f t="shared" si="15"/>
        <v/>
      </c>
      <c r="B494" s="11" t="str">
        <f>IF(D494="","",IF(D494&gt;0,VLOOKUP(D494,Category!$A$2:$B$31,2,FALSE),"")&amp;"-"&amp;TEXT(COUNTIF('Product List'!$D$2:'Product List'!D494,'Product List'!D494),"000"))</f>
        <v/>
      </c>
      <c r="C494" s="45"/>
      <c r="D494" s="45"/>
      <c r="E494" s="45"/>
      <c r="F494" s="11" t="str">
        <f>Sheet4!G494</f>
        <v/>
      </c>
      <c r="G494" s="45"/>
      <c r="H494" s="11" t="str">
        <f t="shared" si="14"/>
        <v/>
      </c>
    </row>
    <row r="495" spans="1:8">
      <c r="A495" s="10" t="str">
        <f t="shared" si="15"/>
        <v/>
      </c>
      <c r="B495" s="11" t="str">
        <f>IF(D495="","",IF(D495&gt;0,VLOOKUP(D495,Category!$A$2:$B$31,2,FALSE),"")&amp;"-"&amp;TEXT(COUNTIF('Product List'!$D$2:'Product List'!D495,'Product List'!D495),"000"))</f>
        <v/>
      </c>
      <c r="C495" s="45"/>
      <c r="D495" s="45"/>
      <c r="E495" s="45"/>
      <c r="F495" s="11" t="str">
        <f>Sheet4!G495</f>
        <v/>
      </c>
      <c r="G495" s="45"/>
      <c r="H495" s="11" t="str">
        <f t="shared" si="14"/>
        <v/>
      </c>
    </row>
    <row r="496" spans="1:8">
      <c r="A496" s="10" t="str">
        <f t="shared" si="15"/>
        <v/>
      </c>
      <c r="B496" s="11" t="str">
        <f>IF(D496="","",IF(D496&gt;0,VLOOKUP(D496,Category!$A$2:$B$31,2,FALSE),"")&amp;"-"&amp;TEXT(COUNTIF('Product List'!$D$2:'Product List'!D496,'Product List'!D496),"000"))</f>
        <v/>
      </c>
      <c r="C496" s="45"/>
      <c r="D496" s="45"/>
      <c r="E496" s="45"/>
      <c r="F496" s="11" t="str">
        <f>Sheet4!G496</f>
        <v/>
      </c>
      <c r="G496" s="45"/>
      <c r="H496" s="11" t="str">
        <f t="shared" si="14"/>
        <v/>
      </c>
    </row>
    <row r="497" spans="1:8">
      <c r="A497" s="10" t="str">
        <f t="shared" si="15"/>
        <v/>
      </c>
      <c r="B497" s="11" t="str">
        <f>IF(D497="","",IF(D497&gt;0,VLOOKUP(D497,Category!$A$2:$B$31,2,FALSE),"")&amp;"-"&amp;TEXT(COUNTIF('Product List'!$D$2:'Product List'!D497,'Product List'!D497),"000"))</f>
        <v/>
      </c>
      <c r="C497" s="45"/>
      <c r="D497" s="45"/>
      <c r="E497" s="45"/>
      <c r="F497" s="11" t="str">
        <f>Sheet4!G497</f>
        <v/>
      </c>
      <c r="G497" s="45"/>
      <c r="H497" s="11" t="str">
        <f t="shared" si="14"/>
        <v/>
      </c>
    </row>
    <row r="498" spans="1:8">
      <c r="A498" s="10" t="str">
        <f t="shared" si="15"/>
        <v/>
      </c>
      <c r="B498" s="11" t="str">
        <f>IF(D498="","",IF(D498&gt;0,VLOOKUP(D498,Category!$A$2:$B$31,2,FALSE),"")&amp;"-"&amp;TEXT(COUNTIF('Product List'!$D$2:'Product List'!D498,'Product List'!D498),"000"))</f>
        <v/>
      </c>
      <c r="C498" s="45"/>
      <c r="D498" s="45"/>
      <c r="E498" s="45"/>
      <c r="F498" s="11" t="str">
        <f>Sheet4!G498</f>
        <v/>
      </c>
      <c r="G498" s="45"/>
      <c r="H498" s="11" t="str">
        <f t="shared" si="14"/>
        <v/>
      </c>
    </row>
    <row r="499" spans="1:8">
      <c r="A499" s="10" t="str">
        <f t="shared" si="15"/>
        <v/>
      </c>
      <c r="B499" s="11" t="str">
        <f>IF(D499="","",IF(D499&gt;0,VLOOKUP(D499,Category!$A$2:$B$31,2,FALSE),"")&amp;"-"&amp;TEXT(COUNTIF('Product List'!$D$2:'Product List'!D499,'Product List'!D499),"000"))</f>
        <v/>
      </c>
      <c r="C499" s="45"/>
      <c r="D499" s="45"/>
      <c r="E499" s="45"/>
      <c r="F499" s="11" t="str">
        <f>Sheet4!G499</f>
        <v/>
      </c>
      <c r="G499" s="45"/>
      <c r="H499" s="11" t="str">
        <f t="shared" si="14"/>
        <v/>
      </c>
    </row>
    <row r="500" spans="1:8">
      <c r="A500" s="10" t="str">
        <f t="shared" si="15"/>
        <v/>
      </c>
      <c r="B500" s="11" t="str">
        <f>IF(D500="","",IF(D500&gt;0,VLOOKUP(D500,Category!$A$2:$B$31,2,FALSE),"")&amp;"-"&amp;TEXT(COUNTIF('Product List'!$D$2:'Product List'!D500,'Product List'!D500),"000"))</f>
        <v/>
      </c>
      <c r="C500" s="45"/>
      <c r="D500" s="45"/>
      <c r="E500" s="45"/>
      <c r="F500" s="11" t="str">
        <f>Sheet4!G500</f>
        <v/>
      </c>
      <c r="G500" s="45"/>
      <c r="H500" s="11" t="str">
        <f t="shared" si="14"/>
        <v/>
      </c>
    </row>
    <row r="501" spans="1:8">
      <c r="A501" s="10" t="str">
        <f t="shared" si="15"/>
        <v/>
      </c>
      <c r="B501" s="11" t="str">
        <f>IF(D501="","",IF(D501&gt;0,VLOOKUP(D501,Category!$A$2:$B$31,2,FALSE),"")&amp;"-"&amp;TEXT(COUNTIF('Product List'!$D$2:'Product List'!D501,'Product List'!D501),"000"))</f>
        <v/>
      </c>
      <c r="C501" s="45"/>
      <c r="D501" s="45"/>
      <c r="E501" s="45"/>
      <c r="F501" s="11" t="str">
        <f>Sheet4!G501</f>
        <v/>
      </c>
      <c r="G501" s="45"/>
      <c r="H501" s="11" t="str">
        <f t="shared" si="14"/>
        <v/>
      </c>
    </row>
    <row r="502" spans="1:8">
      <c r="A502" s="10" t="str">
        <f t="shared" si="15"/>
        <v/>
      </c>
      <c r="B502" s="11" t="str">
        <f>IF(D502="","",IF(D502&gt;0,VLOOKUP(D502,Category!$A$2:$B$31,2,FALSE),"")&amp;"-"&amp;TEXT(COUNTIF('Product List'!$D$2:'Product List'!D502,'Product List'!D502),"000"))</f>
        <v/>
      </c>
      <c r="C502" s="45"/>
      <c r="D502" s="45"/>
      <c r="E502" s="45"/>
      <c r="F502" s="11" t="str">
        <f>Sheet4!G502</f>
        <v/>
      </c>
      <c r="G502" s="45"/>
      <c r="H502" s="11" t="str">
        <f t="shared" si="14"/>
        <v/>
      </c>
    </row>
    <row r="503" spans="1:8">
      <c r="A503" s="10" t="str">
        <f t="shared" si="15"/>
        <v/>
      </c>
      <c r="B503" s="11" t="str">
        <f>IF(D503="","",IF(D503&gt;0,VLOOKUP(D503,Category!$A$2:$B$31,2,FALSE),"")&amp;"-"&amp;TEXT(COUNTIF('Product List'!$D$2:'Product List'!D503,'Product List'!D503),"000"))</f>
        <v/>
      </c>
      <c r="C503" s="45"/>
      <c r="D503" s="45"/>
      <c r="E503" s="45"/>
      <c r="F503" s="11" t="str">
        <f>Sheet4!G503</f>
        <v/>
      </c>
      <c r="G503" s="45"/>
      <c r="H503" s="11" t="str">
        <f t="shared" si="14"/>
        <v/>
      </c>
    </row>
    <row r="504" spans="1:8">
      <c r="A504" s="10" t="str">
        <f t="shared" si="15"/>
        <v/>
      </c>
      <c r="B504" s="11" t="str">
        <f>IF(D504="","",IF(D504&gt;0,VLOOKUP(D504,Category!$A$2:$B$31,2,FALSE),"")&amp;"-"&amp;TEXT(COUNTIF('Product List'!$D$2:'Product List'!D504,'Product List'!D504),"000"))</f>
        <v/>
      </c>
      <c r="C504" s="45"/>
      <c r="D504" s="45"/>
      <c r="E504" s="45"/>
      <c r="F504" s="11" t="str">
        <f>Sheet4!G504</f>
        <v/>
      </c>
      <c r="G504" s="45"/>
      <c r="H504" s="11" t="str">
        <f t="shared" si="14"/>
        <v/>
      </c>
    </row>
    <row r="505" spans="1:8">
      <c r="A505" s="10" t="str">
        <f t="shared" si="15"/>
        <v/>
      </c>
      <c r="B505" s="11" t="str">
        <f>IF(D505="","",IF(D505&gt;0,VLOOKUP(D505,Category!$A$2:$B$31,2,FALSE),"")&amp;"-"&amp;TEXT(COUNTIF('Product List'!$D$2:'Product List'!D505,'Product List'!D505),"000"))</f>
        <v/>
      </c>
      <c r="C505" s="45"/>
      <c r="D505" s="45"/>
      <c r="E505" s="45"/>
      <c r="F505" s="11" t="str">
        <f>Sheet4!G505</f>
        <v/>
      </c>
      <c r="G505" s="45"/>
      <c r="H505" s="11" t="str">
        <f t="shared" si="14"/>
        <v/>
      </c>
    </row>
    <row r="506" spans="1:8">
      <c r="A506" s="10" t="str">
        <f t="shared" si="15"/>
        <v/>
      </c>
      <c r="B506" s="11" t="str">
        <f>IF(D506="","",IF(D506&gt;0,VLOOKUP(D506,Category!$A$2:$B$31,2,FALSE),"")&amp;"-"&amp;TEXT(COUNTIF('Product List'!$D$2:'Product List'!D506,'Product List'!D506),"000"))</f>
        <v/>
      </c>
      <c r="C506" s="45"/>
      <c r="D506" s="45"/>
      <c r="E506" s="45"/>
      <c r="F506" s="11" t="str">
        <f>Sheet4!G506</f>
        <v/>
      </c>
      <c r="G506" s="45"/>
      <c r="H506" s="11" t="str">
        <f t="shared" si="14"/>
        <v/>
      </c>
    </row>
    <row r="507" spans="1:8">
      <c r="A507" s="10" t="str">
        <f t="shared" si="15"/>
        <v/>
      </c>
      <c r="B507" s="11" t="str">
        <f>IF(D507="","",IF(D507&gt;0,VLOOKUP(D507,Category!$A$2:$B$31,2,FALSE),"")&amp;"-"&amp;TEXT(COUNTIF('Product List'!$D$2:'Product List'!D507,'Product List'!D507),"000"))</f>
        <v/>
      </c>
      <c r="C507" s="45"/>
      <c r="D507" s="45"/>
      <c r="E507" s="45"/>
      <c r="F507" s="11" t="str">
        <f>Sheet4!G507</f>
        <v/>
      </c>
      <c r="G507" s="45"/>
      <c r="H507" s="11" t="str">
        <f t="shared" si="14"/>
        <v/>
      </c>
    </row>
    <row r="508" spans="1:8">
      <c r="A508" s="10" t="str">
        <f t="shared" si="15"/>
        <v/>
      </c>
      <c r="B508" s="11" t="str">
        <f>IF(D508="","",IF(D508&gt;0,VLOOKUP(D508,Category!$A$2:$B$31,2,FALSE),"")&amp;"-"&amp;TEXT(COUNTIF('Product List'!$D$2:'Product List'!D508,'Product List'!D508),"000"))</f>
        <v/>
      </c>
      <c r="C508" s="45"/>
      <c r="D508" s="45"/>
      <c r="E508" s="45"/>
      <c r="F508" s="11" t="str">
        <f>Sheet4!G508</f>
        <v/>
      </c>
      <c r="G508" s="45"/>
      <c r="H508" s="11" t="str">
        <f t="shared" si="14"/>
        <v/>
      </c>
    </row>
    <row r="509" spans="1:8">
      <c r="A509" s="10" t="str">
        <f t="shared" si="15"/>
        <v/>
      </c>
      <c r="B509" s="11" t="str">
        <f>IF(D509="","",IF(D509&gt;0,VLOOKUP(D509,Category!$A$2:$B$31,2,FALSE),"")&amp;"-"&amp;TEXT(COUNTIF('Product List'!$D$2:'Product List'!D509,'Product List'!D509),"000"))</f>
        <v/>
      </c>
      <c r="C509" s="45"/>
      <c r="D509" s="45"/>
      <c r="E509" s="45"/>
      <c r="F509" s="11" t="str">
        <f>Sheet4!G509</f>
        <v/>
      </c>
      <c r="G509" s="45"/>
      <c r="H509" s="11" t="str">
        <f t="shared" si="14"/>
        <v/>
      </c>
    </row>
    <row r="510" spans="1:8">
      <c r="A510" s="10" t="str">
        <f t="shared" si="15"/>
        <v/>
      </c>
      <c r="B510" s="11" t="str">
        <f>IF(D510="","",IF(D510&gt;0,VLOOKUP(D510,Category!$A$2:$B$31,2,FALSE),"")&amp;"-"&amp;TEXT(COUNTIF('Product List'!$D$2:'Product List'!D510,'Product List'!D510),"000"))</f>
        <v/>
      </c>
      <c r="C510" s="45"/>
      <c r="D510" s="45"/>
      <c r="E510" s="45"/>
      <c r="F510" s="11" t="str">
        <f>Sheet4!G510</f>
        <v/>
      </c>
      <c r="G510" s="45"/>
      <c r="H510" s="11" t="str">
        <f t="shared" si="14"/>
        <v/>
      </c>
    </row>
    <row r="511" spans="1:8">
      <c r="A511" s="10" t="str">
        <f t="shared" si="15"/>
        <v/>
      </c>
      <c r="B511" s="11" t="str">
        <f>IF(D511="","",IF(D511&gt;0,VLOOKUP(D511,Category!$A$2:$B$31,2,FALSE),"")&amp;"-"&amp;TEXT(COUNTIF('Product List'!$D$2:'Product List'!D511,'Product List'!D511),"000"))</f>
        <v/>
      </c>
      <c r="C511" s="45"/>
      <c r="D511" s="45"/>
      <c r="E511" s="45"/>
      <c r="F511" s="11" t="str">
        <f>Sheet4!G511</f>
        <v/>
      </c>
      <c r="G511" s="45"/>
      <c r="H511" s="11" t="str">
        <f t="shared" si="14"/>
        <v/>
      </c>
    </row>
    <row r="512" spans="1:8">
      <c r="A512" s="10" t="str">
        <f t="shared" si="15"/>
        <v/>
      </c>
      <c r="B512" s="11" t="str">
        <f>IF(D512="","",IF(D512&gt;0,VLOOKUP(D512,Category!$A$2:$B$31,2,FALSE),"")&amp;"-"&amp;TEXT(COUNTIF('Product List'!$D$2:'Product List'!D512,'Product List'!D512),"000"))</f>
        <v/>
      </c>
      <c r="C512" s="45"/>
      <c r="D512" s="45"/>
      <c r="E512" s="45"/>
      <c r="F512" s="11" t="str">
        <f>Sheet4!G512</f>
        <v/>
      </c>
      <c r="G512" s="45"/>
      <c r="H512" s="11" t="str">
        <f t="shared" si="14"/>
        <v/>
      </c>
    </row>
    <row r="513" spans="1:8">
      <c r="A513" s="10" t="str">
        <f t="shared" si="15"/>
        <v/>
      </c>
      <c r="B513" s="11" t="str">
        <f>IF(D513="","",IF(D513&gt;0,VLOOKUP(D513,Category!$A$2:$B$31,2,FALSE),"")&amp;"-"&amp;TEXT(COUNTIF('Product List'!$D$2:'Product List'!D513,'Product List'!D513),"000"))</f>
        <v/>
      </c>
      <c r="C513" s="45"/>
      <c r="D513" s="45"/>
      <c r="E513" s="45"/>
      <c r="F513" s="11" t="str">
        <f>Sheet4!G513</f>
        <v/>
      </c>
      <c r="G513" s="45"/>
      <c r="H513" s="11" t="str">
        <f t="shared" si="14"/>
        <v/>
      </c>
    </row>
    <row r="514" spans="1:8">
      <c r="A514" s="10" t="str">
        <f t="shared" si="15"/>
        <v/>
      </c>
      <c r="B514" s="11" t="str">
        <f>IF(D514="","",IF(D514&gt;0,VLOOKUP(D514,Category!$A$2:$B$31,2,FALSE),"")&amp;"-"&amp;TEXT(COUNTIF('Product List'!$D$2:'Product List'!D514,'Product List'!D514),"000"))</f>
        <v/>
      </c>
      <c r="C514" s="45"/>
      <c r="D514" s="45"/>
      <c r="E514" s="45"/>
      <c r="F514" s="11" t="str">
        <f>Sheet4!G514</f>
        <v/>
      </c>
      <c r="G514" s="45"/>
      <c r="H514" s="11" t="str">
        <f t="shared" si="14"/>
        <v/>
      </c>
    </row>
    <row r="515" spans="1:8">
      <c r="A515" s="10" t="str">
        <f t="shared" si="15"/>
        <v/>
      </c>
      <c r="B515" s="11" t="str">
        <f>IF(D515="","",IF(D515&gt;0,VLOOKUP(D515,Category!$A$2:$B$31,2,FALSE),"")&amp;"-"&amp;TEXT(COUNTIF('Product List'!$D$2:'Product List'!D515,'Product List'!D515),"000"))</f>
        <v/>
      </c>
      <c r="C515" s="45"/>
      <c r="D515" s="45"/>
      <c r="E515" s="45"/>
      <c r="F515" s="11" t="str">
        <f>Sheet4!G515</f>
        <v/>
      </c>
      <c r="G515" s="45"/>
      <c r="H515" s="11" t="str">
        <f t="shared" ref="H515:H578" si="16">IF(OR(F515="",G515=""),"",IF(F515&lt;=0,"Out of Stock",IF(F515&lt;=G515,"Low on Stock","In Stock")))</f>
        <v/>
      </c>
    </row>
    <row r="516" spans="1:8">
      <c r="A516" s="10" t="str">
        <f t="shared" ref="A516:A579" si="17">IF(C516&gt;0,A515+1,"")</f>
        <v/>
      </c>
      <c r="B516" s="11" t="str">
        <f>IF(D516="","",IF(D516&gt;0,VLOOKUP(D516,Category!$A$2:$B$31,2,FALSE),"")&amp;"-"&amp;TEXT(COUNTIF('Product List'!$D$2:'Product List'!D516,'Product List'!D516),"000"))</f>
        <v/>
      </c>
      <c r="C516" s="45"/>
      <c r="D516" s="45"/>
      <c r="E516" s="45"/>
      <c r="F516" s="11" t="str">
        <f>Sheet4!G516</f>
        <v/>
      </c>
      <c r="G516" s="45"/>
      <c r="H516" s="11" t="str">
        <f t="shared" si="16"/>
        <v/>
      </c>
    </row>
    <row r="517" spans="1:8">
      <c r="A517" s="10" t="str">
        <f t="shared" si="17"/>
        <v/>
      </c>
      <c r="B517" s="11" t="str">
        <f>IF(D517="","",IF(D517&gt;0,VLOOKUP(D517,Category!$A$2:$B$31,2,FALSE),"")&amp;"-"&amp;TEXT(COUNTIF('Product List'!$D$2:'Product List'!D517,'Product List'!D517),"000"))</f>
        <v/>
      </c>
      <c r="C517" s="45"/>
      <c r="D517" s="45"/>
      <c r="E517" s="45"/>
      <c r="F517" s="11" t="str">
        <f>Sheet4!G517</f>
        <v/>
      </c>
      <c r="G517" s="45"/>
      <c r="H517" s="11" t="str">
        <f t="shared" si="16"/>
        <v/>
      </c>
    </row>
    <row r="518" spans="1:8">
      <c r="A518" s="10" t="str">
        <f t="shared" si="17"/>
        <v/>
      </c>
      <c r="B518" s="11" t="str">
        <f>IF(D518="","",IF(D518&gt;0,VLOOKUP(D518,Category!$A$2:$B$31,2,FALSE),"")&amp;"-"&amp;TEXT(COUNTIF('Product List'!$D$2:'Product List'!D518,'Product List'!D518),"000"))</f>
        <v/>
      </c>
      <c r="C518" s="45"/>
      <c r="D518" s="45"/>
      <c r="E518" s="45"/>
      <c r="F518" s="11" t="str">
        <f>Sheet4!G518</f>
        <v/>
      </c>
      <c r="G518" s="45"/>
      <c r="H518" s="11" t="str">
        <f t="shared" si="16"/>
        <v/>
      </c>
    </row>
    <row r="519" spans="1:8">
      <c r="A519" s="10" t="str">
        <f t="shared" si="17"/>
        <v/>
      </c>
      <c r="B519" s="11" t="str">
        <f>IF(D519="","",IF(D519&gt;0,VLOOKUP(D519,Category!$A$2:$B$31,2,FALSE),"")&amp;"-"&amp;TEXT(COUNTIF('Product List'!$D$2:'Product List'!D519,'Product List'!D519),"000"))</f>
        <v/>
      </c>
      <c r="C519" s="45"/>
      <c r="D519" s="45"/>
      <c r="E519" s="45"/>
      <c r="F519" s="11" t="str">
        <f>Sheet4!G519</f>
        <v/>
      </c>
      <c r="G519" s="45"/>
      <c r="H519" s="11" t="str">
        <f t="shared" si="16"/>
        <v/>
      </c>
    </row>
    <row r="520" spans="1:8">
      <c r="A520" s="10" t="str">
        <f t="shared" si="17"/>
        <v/>
      </c>
      <c r="B520" s="11" t="str">
        <f>IF(D520="","",IF(D520&gt;0,VLOOKUP(D520,Category!$A$2:$B$31,2,FALSE),"")&amp;"-"&amp;TEXT(COUNTIF('Product List'!$D$2:'Product List'!D520,'Product List'!D520),"000"))</f>
        <v/>
      </c>
      <c r="C520" s="45"/>
      <c r="D520" s="45"/>
      <c r="E520" s="45"/>
      <c r="F520" s="11" t="str">
        <f>Sheet4!G520</f>
        <v/>
      </c>
      <c r="G520" s="45"/>
      <c r="H520" s="11" t="str">
        <f t="shared" si="16"/>
        <v/>
      </c>
    </row>
    <row r="521" spans="1:8">
      <c r="A521" s="10" t="str">
        <f t="shared" si="17"/>
        <v/>
      </c>
      <c r="B521" s="11" t="str">
        <f>IF(D521="","",IF(D521&gt;0,VLOOKUP(D521,Category!$A$2:$B$31,2,FALSE),"")&amp;"-"&amp;TEXT(COUNTIF('Product List'!$D$2:'Product List'!D521,'Product List'!D521),"000"))</f>
        <v/>
      </c>
      <c r="C521" s="45"/>
      <c r="D521" s="45"/>
      <c r="E521" s="45"/>
      <c r="F521" s="11" t="str">
        <f>Sheet4!G521</f>
        <v/>
      </c>
      <c r="G521" s="45"/>
      <c r="H521" s="11" t="str">
        <f t="shared" si="16"/>
        <v/>
      </c>
    </row>
    <row r="522" spans="1:8">
      <c r="A522" s="10" t="str">
        <f t="shared" si="17"/>
        <v/>
      </c>
      <c r="B522" s="11" t="str">
        <f>IF(D522="","",IF(D522&gt;0,VLOOKUP(D522,Category!$A$2:$B$31,2,FALSE),"")&amp;"-"&amp;TEXT(COUNTIF('Product List'!$D$2:'Product List'!D522,'Product List'!D522),"000"))</f>
        <v/>
      </c>
      <c r="C522" s="45"/>
      <c r="D522" s="45"/>
      <c r="E522" s="45"/>
      <c r="F522" s="11" t="str">
        <f>Sheet4!G522</f>
        <v/>
      </c>
      <c r="G522" s="45"/>
      <c r="H522" s="11" t="str">
        <f t="shared" si="16"/>
        <v/>
      </c>
    </row>
    <row r="523" spans="1:8">
      <c r="A523" s="10" t="str">
        <f t="shared" si="17"/>
        <v/>
      </c>
      <c r="B523" s="11" t="str">
        <f>IF(D523="","",IF(D523&gt;0,VLOOKUP(D523,Category!$A$2:$B$31,2,FALSE),"")&amp;"-"&amp;TEXT(COUNTIF('Product List'!$D$2:'Product List'!D523,'Product List'!D523),"000"))</f>
        <v/>
      </c>
      <c r="C523" s="45"/>
      <c r="D523" s="45"/>
      <c r="E523" s="45"/>
      <c r="F523" s="11" t="str">
        <f>Sheet4!G523</f>
        <v/>
      </c>
      <c r="G523" s="45"/>
      <c r="H523" s="11" t="str">
        <f t="shared" si="16"/>
        <v/>
      </c>
    </row>
    <row r="524" spans="1:8">
      <c r="A524" s="10" t="str">
        <f t="shared" si="17"/>
        <v/>
      </c>
      <c r="B524" s="11" t="str">
        <f>IF(D524="","",IF(D524&gt;0,VLOOKUP(D524,Category!$A$2:$B$31,2,FALSE),"")&amp;"-"&amp;TEXT(COUNTIF('Product List'!$D$2:'Product List'!D524,'Product List'!D524),"000"))</f>
        <v/>
      </c>
      <c r="C524" s="45"/>
      <c r="D524" s="45"/>
      <c r="E524" s="45"/>
      <c r="F524" s="11" t="str">
        <f>Sheet4!G524</f>
        <v/>
      </c>
      <c r="G524" s="45"/>
      <c r="H524" s="11" t="str">
        <f t="shared" si="16"/>
        <v/>
      </c>
    </row>
    <row r="525" spans="1:8">
      <c r="A525" s="10" t="str">
        <f t="shared" si="17"/>
        <v/>
      </c>
      <c r="B525" s="11" t="str">
        <f>IF(D525="","",IF(D525&gt;0,VLOOKUP(D525,Category!$A$2:$B$31,2,FALSE),"")&amp;"-"&amp;TEXT(COUNTIF('Product List'!$D$2:'Product List'!D525,'Product List'!D525),"000"))</f>
        <v/>
      </c>
      <c r="C525" s="45"/>
      <c r="D525" s="45"/>
      <c r="E525" s="45"/>
      <c r="F525" s="11" t="str">
        <f>Sheet4!G525</f>
        <v/>
      </c>
      <c r="G525" s="45"/>
      <c r="H525" s="11" t="str">
        <f t="shared" si="16"/>
        <v/>
      </c>
    </row>
    <row r="526" spans="1:8">
      <c r="A526" s="10" t="str">
        <f t="shared" si="17"/>
        <v/>
      </c>
      <c r="B526" s="11" t="str">
        <f>IF(D526="","",IF(D526&gt;0,VLOOKUP(D526,Category!$A$2:$B$31,2,FALSE),"")&amp;"-"&amp;TEXT(COUNTIF('Product List'!$D$2:'Product List'!D526,'Product List'!D526),"000"))</f>
        <v/>
      </c>
      <c r="C526" s="45"/>
      <c r="D526" s="45"/>
      <c r="E526" s="45"/>
      <c r="F526" s="11" t="str">
        <f>Sheet4!G526</f>
        <v/>
      </c>
      <c r="G526" s="45"/>
      <c r="H526" s="11" t="str">
        <f t="shared" si="16"/>
        <v/>
      </c>
    </row>
    <row r="527" spans="1:8">
      <c r="A527" s="10" t="str">
        <f t="shared" si="17"/>
        <v/>
      </c>
      <c r="B527" s="11" t="str">
        <f>IF(D527="","",IF(D527&gt;0,VLOOKUP(D527,Category!$A$2:$B$31,2,FALSE),"")&amp;"-"&amp;TEXT(COUNTIF('Product List'!$D$2:'Product List'!D527,'Product List'!D527),"000"))</f>
        <v/>
      </c>
      <c r="C527" s="45"/>
      <c r="D527" s="45"/>
      <c r="E527" s="45"/>
      <c r="F527" s="11" t="str">
        <f>Sheet4!G527</f>
        <v/>
      </c>
      <c r="G527" s="45"/>
      <c r="H527" s="11" t="str">
        <f t="shared" si="16"/>
        <v/>
      </c>
    </row>
    <row r="528" spans="1:8">
      <c r="A528" s="10" t="str">
        <f t="shared" si="17"/>
        <v/>
      </c>
      <c r="B528" s="11" t="str">
        <f>IF(D528="","",IF(D528&gt;0,VLOOKUP(D528,Category!$A$2:$B$31,2,FALSE),"")&amp;"-"&amp;TEXT(COUNTIF('Product List'!$D$2:'Product List'!D528,'Product List'!D528),"000"))</f>
        <v/>
      </c>
      <c r="C528" s="45"/>
      <c r="D528" s="45"/>
      <c r="E528" s="45"/>
      <c r="F528" s="11" t="str">
        <f>Sheet4!G528</f>
        <v/>
      </c>
      <c r="G528" s="45"/>
      <c r="H528" s="11" t="str">
        <f t="shared" si="16"/>
        <v/>
      </c>
    </row>
    <row r="529" spans="1:8">
      <c r="A529" s="10" t="str">
        <f t="shared" si="17"/>
        <v/>
      </c>
      <c r="B529" s="11" t="str">
        <f>IF(D529="","",IF(D529&gt;0,VLOOKUP(D529,Category!$A$2:$B$31,2,FALSE),"")&amp;"-"&amp;TEXT(COUNTIF('Product List'!$D$2:'Product List'!D529,'Product List'!D529),"000"))</f>
        <v/>
      </c>
      <c r="C529" s="45"/>
      <c r="D529" s="45"/>
      <c r="E529" s="45"/>
      <c r="F529" s="11" t="str">
        <f>Sheet4!G529</f>
        <v/>
      </c>
      <c r="G529" s="45"/>
      <c r="H529" s="11" t="str">
        <f t="shared" si="16"/>
        <v/>
      </c>
    </row>
    <row r="530" spans="1:8">
      <c r="A530" s="10" t="str">
        <f t="shared" si="17"/>
        <v/>
      </c>
      <c r="B530" s="11" t="str">
        <f>IF(D530="","",IF(D530&gt;0,VLOOKUP(D530,Category!$A$2:$B$31,2,FALSE),"")&amp;"-"&amp;TEXT(COUNTIF('Product List'!$D$2:'Product List'!D530,'Product List'!D530),"000"))</f>
        <v/>
      </c>
      <c r="C530" s="45"/>
      <c r="D530" s="45"/>
      <c r="E530" s="45"/>
      <c r="F530" s="11" t="str">
        <f>Sheet4!G530</f>
        <v/>
      </c>
      <c r="G530" s="45"/>
      <c r="H530" s="11" t="str">
        <f t="shared" si="16"/>
        <v/>
      </c>
    </row>
    <row r="531" spans="1:8">
      <c r="A531" s="10" t="str">
        <f t="shared" si="17"/>
        <v/>
      </c>
      <c r="B531" s="11" t="str">
        <f>IF(D531="","",IF(D531&gt;0,VLOOKUP(D531,Category!$A$2:$B$31,2,FALSE),"")&amp;"-"&amp;TEXT(COUNTIF('Product List'!$D$2:'Product List'!D531,'Product List'!D531),"000"))</f>
        <v/>
      </c>
      <c r="C531" s="45"/>
      <c r="D531" s="45"/>
      <c r="E531" s="45"/>
      <c r="F531" s="11" t="str">
        <f>Sheet4!G531</f>
        <v/>
      </c>
      <c r="G531" s="45"/>
      <c r="H531" s="11" t="str">
        <f t="shared" si="16"/>
        <v/>
      </c>
    </row>
    <row r="532" spans="1:8">
      <c r="A532" s="10" t="str">
        <f t="shared" si="17"/>
        <v/>
      </c>
      <c r="B532" s="11" t="str">
        <f>IF(D532="","",IF(D532&gt;0,VLOOKUP(D532,Category!$A$2:$B$31,2,FALSE),"")&amp;"-"&amp;TEXT(COUNTIF('Product List'!$D$2:'Product List'!D532,'Product List'!D532),"000"))</f>
        <v/>
      </c>
      <c r="C532" s="45"/>
      <c r="D532" s="45"/>
      <c r="E532" s="45"/>
      <c r="F532" s="11" t="str">
        <f>Sheet4!G532</f>
        <v/>
      </c>
      <c r="G532" s="45"/>
      <c r="H532" s="11" t="str">
        <f t="shared" si="16"/>
        <v/>
      </c>
    </row>
    <row r="533" spans="1:8">
      <c r="A533" s="10" t="str">
        <f t="shared" si="17"/>
        <v/>
      </c>
      <c r="B533" s="11" t="str">
        <f>IF(D533="","",IF(D533&gt;0,VLOOKUP(D533,Category!$A$2:$B$31,2,FALSE),"")&amp;"-"&amp;TEXT(COUNTIF('Product List'!$D$2:'Product List'!D533,'Product List'!D533),"000"))</f>
        <v/>
      </c>
      <c r="C533" s="45"/>
      <c r="D533" s="45"/>
      <c r="E533" s="45"/>
      <c r="F533" s="11" t="str">
        <f>Sheet4!G533</f>
        <v/>
      </c>
      <c r="G533" s="45"/>
      <c r="H533" s="11" t="str">
        <f t="shared" si="16"/>
        <v/>
      </c>
    </row>
    <row r="534" spans="1:8">
      <c r="A534" s="10" t="str">
        <f t="shared" si="17"/>
        <v/>
      </c>
      <c r="B534" s="11" t="str">
        <f>IF(D534="","",IF(D534&gt;0,VLOOKUP(D534,Category!$A$2:$B$31,2,FALSE),"")&amp;"-"&amp;TEXT(COUNTIF('Product List'!$D$2:'Product List'!D534,'Product List'!D534),"000"))</f>
        <v/>
      </c>
      <c r="C534" s="45"/>
      <c r="D534" s="45"/>
      <c r="E534" s="45"/>
      <c r="F534" s="11" t="str">
        <f>Sheet4!G534</f>
        <v/>
      </c>
      <c r="G534" s="45"/>
      <c r="H534" s="11" t="str">
        <f t="shared" si="16"/>
        <v/>
      </c>
    </row>
    <row r="535" spans="1:8">
      <c r="A535" s="10" t="str">
        <f t="shared" si="17"/>
        <v/>
      </c>
      <c r="B535" s="11" t="str">
        <f>IF(D535="","",IF(D535&gt;0,VLOOKUP(D535,Category!$A$2:$B$31,2,FALSE),"")&amp;"-"&amp;TEXT(COUNTIF('Product List'!$D$2:'Product List'!D535,'Product List'!D535),"000"))</f>
        <v/>
      </c>
      <c r="C535" s="45"/>
      <c r="D535" s="45"/>
      <c r="E535" s="45"/>
      <c r="F535" s="11" t="str">
        <f>Sheet4!G535</f>
        <v/>
      </c>
      <c r="G535" s="45"/>
      <c r="H535" s="11" t="str">
        <f t="shared" si="16"/>
        <v/>
      </c>
    </row>
    <row r="536" spans="1:8">
      <c r="A536" s="10" t="str">
        <f t="shared" si="17"/>
        <v/>
      </c>
      <c r="B536" s="11" t="str">
        <f>IF(D536="","",IF(D536&gt;0,VLOOKUP(D536,Category!$A$2:$B$31,2,FALSE),"")&amp;"-"&amp;TEXT(COUNTIF('Product List'!$D$2:'Product List'!D536,'Product List'!D536),"000"))</f>
        <v/>
      </c>
      <c r="C536" s="45"/>
      <c r="D536" s="45"/>
      <c r="E536" s="45"/>
      <c r="F536" s="11" t="str">
        <f>Sheet4!G536</f>
        <v/>
      </c>
      <c r="G536" s="45"/>
      <c r="H536" s="11" t="str">
        <f t="shared" si="16"/>
        <v/>
      </c>
    </row>
    <row r="537" spans="1:8">
      <c r="A537" s="10" t="str">
        <f t="shared" si="17"/>
        <v/>
      </c>
      <c r="B537" s="11" t="str">
        <f>IF(D537="","",IF(D537&gt;0,VLOOKUP(D537,Category!$A$2:$B$31,2,FALSE),"")&amp;"-"&amp;TEXT(COUNTIF('Product List'!$D$2:'Product List'!D537,'Product List'!D537),"000"))</f>
        <v/>
      </c>
      <c r="C537" s="45"/>
      <c r="D537" s="45"/>
      <c r="E537" s="45"/>
      <c r="F537" s="11" t="str">
        <f>Sheet4!G537</f>
        <v/>
      </c>
      <c r="G537" s="45"/>
      <c r="H537" s="11" t="str">
        <f t="shared" si="16"/>
        <v/>
      </c>
    </row>
    <row r="538" spans="1:8">
      <c r="A538" s="10" t="str">
        <f t="shared" si="17"/>
        <v/>
      </c>
      <c r="B538" s="11" t="str">
        <f>IF(D538="","",IF(D538&gt;0,VLOOKUP(D538,Category!$A$2:$B$31,2,FALSE),"")&amp;"-"&amp;TEXT(COUNTIF('Product List'!$D$2:'Product List'!D538,'Product List'!D538),"000"))</f>
        <v/>
      </c>
      <c r="C538" s="45"/>
      <c r="D538" s="45"/>
      <c r="E538" s="45"/>
      <c r="F538" s="11" t="str">
        <f>Sheet4!G538</f>
        <v/>
      </c>
      <c r="G538" s="45"/>
      <c r="H538" s="11" t="str">
        <f t="shared" si="16"/>
        <v/>
      </c>
    </row>
    <row r="539" spans="1:8">
      <c r="A539" s="10" t="str">
        <f t="shared" si="17"/>
        <v/>
      </c>
      <c r="B539" s="11" t="str">
        <f>IF(D539="","",IF(D539&gt;0,VLOOKUP(D539,Category!$A$2:$B$31,2,FALSE),"")&amp;"-"&amp;TEXT(COUNTIF('Product List'!$D$2:'Product List'!D539,'Product List'!D539),"000"))</f>
        <v/>
      </c>
      <c r="C539" s="45"/>
      <c r="D539" s="45"/>
      <c r="E539" s="45"/>
      <c r="F539" s="11" t="str">
        <f>Sheet4!G539</f>
        <v/>
      </c>
      <c r="G539" s="45"/>
      <c r="H539" s="11" t="str">
        <f t="shared" si="16"/>
        <v/>
      </c>
    </row>
    <row r="540" spans="1:8">
      <c r="A540" s="10" t="str">
        <f t="shared" si="17"/>
        <v/>
      </c>
      <c r="B540" s="11" t="str">
        <f>IF(D540="","",IF(D540&gt;0,VLOOKUP(D540,Category!$A$2:$B$31,2,FALSE),"")&amp;"-"&amp;TEXT(COUNTIF('Product List'!$D$2:'Product List'!D540,'Product List'!D540),"000"))</f>
        <v/>
      </c>
      <c r="C540" s="45"/>
      <c r="D540" s="45"/>
      <c r="E540" s="45"/>
      <c r="F540" s="11" t="str">
        <f>Sheet4!G540</f>
        <v/>
      </c>
      <c r="G540" s="45"/>
      <c r="H540" s="11" t="str">
        <f t="shared" si="16"/>
        <v/>
      </c>
    </row>
    <row r="541" spans="1:8">
      <c r="A541" s="10" t="str">
        <f t="shared" si="17"/>
        <v/>
      </c>
      <c r="B541" s="11" t="str">
        <f>IF(D541="","",IF(D541&gt;0,VLOOKUP(D541,Category!$A$2:$B$31,2,FALSE),"")&amp;"-"&amp;TEXT(COUNTIF('Product List'!$D$2:'Product List'!D541,'Product List'!D541),"000"))</f>
        <v/>
      </c>
      <c r="C541" s="45"/>
      <c r="D541" s="45"/>
      <c r="E541" s="45"/>
      <c r="F541" s="11" t="str">
        <f>Sheet4!G541</f>
        <v/>
      </c>
      <c r="G541" s="45"/>
      <c r="H541" s="11" t="str">
        <f t="shared" si="16"/>
        <v/>
      </c>
    </row>
    <row r="542" spans="1:8">
      <c r="A542" s="10" t="str">
        <f t="shared" si="17"/>
        <v/>
      </c>
      <c r="B542" s="11" t="str">
        <f>IF(D542="","",IF(D542&gt;0,VLOOKUP(D542,Category!$A$2:$B$31,2,FALSE),"")&amp;"-"&amp;TEXT(COUNTIF('Product List'!$D$2:'Product List'!D542,'Product List'!D542),"000"))</f>
        <v/>
      </c>
      <c r="C542" s="45"/>
      <c r="D542" s="45"/>
      <c r="E542" s="45"/>
      <c r="F542" s="11" t="str">
        <f>Sheet4!G542</f>
        <v/>
      </c>
      <c r="G542" s="45"/>
      <c r="H542" s="11" t="str">
        <f t="shared" si="16"/>
        <v/>
      </c>
    </row>
    <row r="543" spans="1:8">
      <c r="A543" s="10" t="str">
        <f t="shared" si="17"/>
        <v/>
      </c>
      <c r="B543" s="11" t="str">
        <f>IF(D543="","",IF(D543&gt;0,VLOOKUP(D543,Category!$A$2:$B$31,2,FALSE),"")&amp;"-"&amp;TEXT(COUNTIF('Product List'!$D$2:'Product List'!D543,'Product List'!D543),"000"))</f>
        <v/>
      </c>
      <c r="C543" s="45"/>
      <c r="D543" s="45"/>
      <c r="E543" s="45"/>
      <c r="F543" s="11" t="str">
        <f>Sheet4!G543</f>
        <v/>
      </c>
      <c r="G543" s="45"/>
      <c r="H543" s="11" t="str">
        <f t="shared" si="16"/>
        <v/>
      </c>
    </row>
    <row r="544" spans="1:8">
      <c r="A544" s="10" t="str">
        <f t="shared" si="17"/>
        <v/>
      </c>
      <c r="B544" s="11" t="str">
        <f>IF(D544="","",IF(D544&gt;0,VLOOKUP(D544,Category!$A$2:$B$31,2,FALSE),"")&amp;"-"&amp;TEXT(COUNTIF('Product List'!$D$2:'Product List'!D544,'Product List'!D544),"000"))</f>
        <v/>
      </c>
      <c r="C544" s="45"/>
      <c r="D544" s="45"/>
      <c r="E544" s="45"/>
      <c r="F544" s="11" t="str">
        <f>Sheet4!G544</f>
        <v/>
      </c>
      <c r="G544" s="45"/>
      <c r="H544" s="11" t="str">
        <f t="shared" si="16"/>
        <v/>
      </c>
    </row>
    <row r="545" spans="1:8">
      <c r="A545" s="10" t="str">
        <f t="shared" si="17"/>
        <v/>
      </c>
      <c r="B545" s="11" t="str">
        <f>IF(D545="","",IF(D545&gt;0,VLOOKUP(D545,Category!$A$2:$B$31,2,FALSE),"")&amp;"-"&amp;TEXT(COUNTIF('Product List'!$D$2:'Product List'!D545,'Product List'!D545),"000"))</f>
        <v/>
      </c>
      <c r="C545" s="45"/>
      <c r="D545" s="45"/>
      <c r="E545" s="45"/>
      <c r="F545" s="11" t="str">
        <f>Sheet4!G545</f>
        <v/>
      </c>
      <c r="G545" s="45"/>
      <c r="H545" s="11" t="str">
        <f t="shared" si="16"/>
        <v/>
      </c>
    </row>
    <row r="546" spans="1:8">
      <c r="A546" s="10" t="str">
        <f t="shared" si="17"/>
        <v/>
      </c>
      <c r="B546" s="11" t="str">
        <f>IF(D546="","",IF(D546&gt;0,VLOOKUP(D546,Category!$A$2:$B$31,2,FALSE),"")&amp;"-"&amp;TEXT(COUNTIF('Product List'!$D$2:'Product List'!D546,'Product List'!D546),"000"))</f>
        <v/>
      </c>
      <c r="C546" s="45"/>
      <c r="D546" s="45"/>
      <c r="E546" s="45"/>
      <c r="F546" s="11" t="str">
        <f>Sheet4!G546</f>
        <v/>
      </c>
      <c r="G546" s="45"/>
      <c r="H546" s="11" t="str">
        <f t="shared" si="16"/>
        <v/>
      </c>
    </row>
    <row r="547" spans="1:8">
      <c r="A547" s="10" t="str">
        <f t="shared" si="17"/>
        <v/>
      </c>
      <c r="B547" s="11" t="str">
        <f>IF(D547="","",IF(D547&gt;0,VLOOKUP(D547,Category!$A$2:$B$31,2,FALSE),"")&amp;"-"&amp;TEXT(COUNTIF('Product List'!$D$2:'Product List'!D547,'Product List'!D547),"000"))</f>
        <v/>
      </c>
      <c r="C547" s="45"/>
      <c r="D547" s="45"/>
      <c r="E547" s="45"/>
      <c r="F547" s="11" t="str">
        <f>Sheet4!G547</f>
        <v/>
      </c>
      <c r="G547" s="45"/>
      <c r="H547" s="11" t="str">
        <f t="shared" si="16"/>
        <v/>
      </c>
    </row>
    <row r="548" spans="1:8">
      <c r="A548" s="10" t="str">
        <f t="shared" si="17"/>
        <v/>
      </c>
      <c r="B548" s="11" t="str">
        <f>IF(D548="","",IF(D548&gt;0,VLOOKUP(D548,Category!$A$2:$B$31,2,FALSE),"")&amp;"-"&amp;TEXT(COUNTIF('Product List'!$D$2:'Product List'!D548,'Product List'!D548),"000"))</f>
        <v/>
      </c>
      <c r="C548" s="45"/>
      <c r="D548" s="45"/>
      <c r="E548" s="45"/>
      <c r="F548" s="11" t="str">
        <f>Sheet4!G548</f>
        <v/>
      </c>
      <c r="G548" s="45"/>
      <c r="H548" s="11" t="str">
        <f t="shared" si="16"/>
        <v/>
      </c>
    </row>
    <row r="549" spans="1:8">
      <c r="A549" s="10" t="str">
        <f t="shared" si="17"/>
        <v/>
      </c>
      <c r="B549" s="11" t="str">
        <f>IF(D549="","",IF(D549&gt;0,VLOOKUP(D549,Category!$A$2:$B$31,2,FALSE),"")&amp;"-"&amp;TEXT(COUNTIF('Product List'!$D$2:'Product List'!D549,'Product List'!D549),"000"))</f>
        <v/>
      </c>
      <c r="C549" s="45"/>
      <c r="D549" s="45"/>
      <c r="E549" s="45"/>
      <c r="F549" s="11" t="str">
        <f>Sheet4!G549</f>
        <v/>
      </c>
      <c r="G549" s="45"/>
      <c r="H549" s="11" t="str">
        <f t="shared" si="16"/>
        <v/>
      </c>
    </row>
    <row r="550" spans="1:8">
      <c r="A550" s="10" t="str">
        <f t="shared" si="17"/>
        <v/>
      </c>
      <c r="B550" s="11" t="str">
        <f>IF(D550="","",IF(D550&gt;0,VLOOKUP(D550,Category!$A$2:$B$31,2,FALSE),"")&amp;"-"&amp;TEXT(COUNTIF('Product List'!$D$2:'Product List'!D550,'Product List'!D550),"000"))</f>
        <v/>
      </c>
      <c r="C550" s="45"/>
      <c r="D550" s="45"/>
      <c r="E550" s="45"/>
      <c r="F550" s="11" t="str">
        <f>Sheet4!G550</f>
        <v/>
      </c>
      <c r="G550" s="45"/>
      <c r="H550" s="11" t="str">
        <f t="shared" si="16"/>
        <v/>
      </c>
    </row>
    <row r="551" spans="1:8">
      <c r="A551" s="10" t="str">
        <f t="shared" si="17"/>
        <v/>
      </c>
      <c r="B551" s="11" t="str">
        <f>IF(D551="","",IF(D551&gt;0,VLOOKUP(D551,Category!$A$2:$B$31,2,FALSE),"")&amp;"-"&amp;TEXT(COUNTIF('Product List'!$D$2:'Product List'!D551,'Product List'!D551),"000"))</f>
        <v/>
      </c>
      <c r="C551" s="45"/>
      <c r="D551" s="45"/>
      <c r="E551" s="45"/>
      <c r="F551" s="11" t="str">
        <f>Sheet4!G551</f>
        <v/>
      </c>
      <c r="G551" s="45"/>
      <c r="H551" s="11" t="str">
        <f t="shared" si="16"/>
        <v/>
      </c>
    </row>
    <row r="552" spans="1:8">
      <c r="A552" s="10" t="str">
        <f t="shared" si="17"/>
        <v/>
      </c>
      <c r="B552" s="11" t="str">
        <f>IF(D552="","",IF(D552&gt;0,VLOOKUP(D552,Category!$A$2:$B$31,2,FALSE),"")&amp;"-"&amp;TEXT(COUNTIF('Product List'!$D$2:'Product List'!D552,'Product List'!D552),"000"))</f>
        <v/>
      </c>
      <c r="C552" s="45"/>
      <c r="D552" s="45"/>
      <c r="E552" s="45"/>
      <c r="F552" s="11" t="str">
        <f>Sheet4!G552</f>
        <v/>
      </c>
      <c r="G552" s="45"/>
      <c r="H552" s="11" t="str">
        <f t="shared" si="16"/>
        <v/>
      </c>
    </row>
    <row r="553" spans="1:8">
      <c r="A553" s="10" t="str">
        <f t="shared" si="17"/>
        <v/>
      </c>
      <c r="B553" s="11" t="str">
        <f>IF(D553="","",IF(D553&gt;0,VLOOKUP(D553,Category!$A$2:$B$31,2,FALSE),"")&amp;"-"&amp;TEXT(COUNTIF('Product List'!$D$2:'Product List'!D553,'Product List'!D553),"000"))</f>
        <v/>
      </c>
      <c r="C553" s="45"/>
      <c r="D553" s="45"/>
      <c r="E553" s="45"/>
      <c r="F553" s="11" t="str">
        <f>Sheet4!G553</f>
        <v/>
      </c>
      <c r="G553" s="45"/>
      <c r="H553" s="11" t="str">
        <f t="shared" si="16"/>
        <v/>
      </c>
    </row>
    <row r="554" spans="1:8">
      <c r="A554" s="10" t="str">
        <f t="shared" si="17"/>
        <v/>
      </c>
      <c r="B554" s="11" t="str">
        <f>IF(D554="","",IF(D554&gt;0,VLOOKUP(D554,Category!$A$2:$B$31,2,FALSE),"")&amp;"-"&amp;TEXT(COUNTIF('Product List'!$D$2:'Product List'!D554,'Product List'!D554),"000"))</f>
        <v/>
      </c>
      <c r="C554" s="45"/>
      <c r="D554" s="45"/>
      <c r="E554" s="45"/>
      <c r="F554" s="11" t="str">
        <f>Sheet4!G554</f>
        <v/>
      </c>
      <c r="G554" s="45"/>
      <c r="H554" s="11" t="str">
        <f t="shared" si="16"/>
        <v/>
      </c>
    </row>
    <row r="555" spans="1:8">
      <c r="A555" s="10" t="str">
        <f t="shared" si="17"/>
        <v/>
      </c>
      <c r="B555" s="11" t="str">
        <f>IF(D555="","",IF(D555&gt;0,VLOOKUP(D555,Category!$A$2:$B$31,2,FALSE),"")&amp;"-"&amp;TEXT(COUNTIF('Product List'!$D$2:'Product List'!D555,'Product List'!D555),"000"))</f>
        <v/>
      </c>
      <c r="C555" s="45"/>
      <c r="D555" s="45"/>
      <c r="E555" s="45"/>
      <c r="F555" s="11" t="str">
        <f>Sheet4!G555</f>
        <v/>
      </c>
      <c r="G555" s="45"/>
      <c r="H555" s="11" t="str">
        <f t="shared" si="16"/>
        <v/>
      </c>
    </row>
    <row r="556" spans="1:8">
      <c r="A556" s="10" t="str">
        <f t="shared" si="17"/>
        <v/>
      </c>
      <c r="B556" s="11" t="str">
        <f>IF(D556="","",IF(D556&gt;0,VLOOKUP(D556,Category!$A$2:$B$31,2,FALSE),"")&amp;"-"&amp;TEXT(COUNTIF('Product List'!$D$2:'Product List'!D556,'Product List'!D556),"000"))</f>
        <v/>
      </c>
      <c r="C556" s="45"/>
      <c r="D556" s="45"/>
      <c r="E556" s="45"/>
      <c r="F556" s="11" t="str">
        <f>Sheet4!G556</f>
        <v/>
      </c>
      <c r="G556" s="45"/>
      <c r="H556" s="11" t="str">
        <f t="shared" si="16"/>
        <v/>
      </c>
    </row>
    <row r="557" spans="1:8">
      <c r="A557" s="10" t="str">
        <f t="shared" si="17"/>
        <v/>
      </c>
      <c r="B557" s="11" t="str">
        <f>IF(D557="","",IF(D557&gt;0,VLOOKUP(D557,Category!$A$2:$B$31,2,FALSE),"")&amp;"-"&amp;TEXT(COUNTIF('Product List'!$D$2:'Product List'!D557,'Product List'!D557),"000"))</f>
        <v/>
      </c>
      <c r="C557" s="45"/>
      <c r="D557" s="45"/>
      <c r="E557" s="45"/>
      <c r="F557" s="11" t="str">
        <f>Sheet4!G557</f>
        <v/>
      </c>
      <c r="G557" s="45"/>
      <c r="H557" s="11" t="str">
        <f t="shared" si="16"/>
        <v/>
      </c>
    </row>
    <row r="558" spans="1:8">
      <c r="A558" s="10" t="str">
        <f t="shared" si="17"/>
        <v/>
      </c>
      <c r="B558" s="11" t="str">
        <f>IF(D558="","",IF(D558&gt;0,VLOOKUP(D558,Category!$A$2:$B$31,2,FALSE),"")&amp;"-"&amp;TEXT(COUNTIF('Product List'!$D$2:'Product List'!D558,'Product List'!D558),"000"))</f>
        <v/>
      </c>
      <c r="C558" s="45"/>
      <c r="D558" s="45"/>
      <c r="E558" s="45"/>
      <c r="F558" s="11" t="str">
        <f>Sheet4!G558</f>
        <v/>
      </c>
      <c r="G558" s="45"/>
      <c r="H558" s="11" t="str">
        <f t="shared" si="16"/>
        <v/>
      </c>
    </row>
    <row r="559" spans="1:8">
      <c r="A559" s="10" t="str">
        <f t="shared" si="17"/>
        <v/>
      </c>
      <c r="B559" s="11" t="str">
        <f>IF(D559="","",IF(D559&gt;0,VLOOKUP(D559,Category!$A$2:$B$31,2,FALSE),"")&amp;"-"&amp;TEXT(COUNTIF('Product List'!$D$2:'Product List'!D559,'Product List'!D559),"000"))</f>
        <v/>
      </c>
      <c r="C559" s="45"/>
      <c r="D559" s="45"/>
      <c r="E559" s="45"/>
      <c r="F559" s="11" t="str">
        <f>Sheet4!G559</f>
        <v/>
      </c>
      <c r="G559" s="45"/>
      <c r="H559" s="11" t="str">
        <f t="shared" si="16"/>
        <v/>
      </c>
    </row>
    <row r="560" spans="1:8">
      <c r="A560" s="10" t="str">
        <f t="shared" si="17"/>
        <v/>
      </c>
      <c r="B560" s="11" t="str">
        <f>IF(D560="","",IF(D560&gt;0,VLOOKUP(D560,Category!$A$2:$B$31,2,FALSE),"")&amp;"-"&amp;TEXT(COUNTIF('Product List'!$D$2:'Product List'!D560,'Product List'!D560),"000"))</f>
        <v/>
      </c>
      <c r="C560" s="45"/>
      <c r="D560" s="45"/>
      <c r="E560" s="45"/>
      <c r="F560" s="11" t="str">
        <f>Sheet4!G560</f>
        <v/>
      </c>
      <c r="G560" s="45"/>
      <c r="H560" s="11" t="str">
        <f t="shared" si="16"/>
        <v/>
      </c>
    </row>
    <row r="561" spans="1:8">
      <c r="A561" s="10" t="str">
        <f t="shared" si="17"/>
        <v/>
      </c>
      <c r="B561" s="11" t="str">
        <f>IF(D561="","",IF(D561&gt;0,VLOOKUP(D561,Category!$A$2:$B$31,2,FALSE),"")&amp;"-"&amp;TEXT(COUNTIF('Product List'!$D$2:'Product List'!D561,'Product List'!D561),"000"))</f>
        <v/>
      </c>
      <c r="C561" s="45"/>
      <c r="D561" s="45"/>
      <c r="E561" s="45"/>
      <c r="F561" s="11" t="str">
        <f>Sheet4!G561</f>
        <v/>
      </c>
      <c r="G561" s="45"/>
      <c r="H561" s="11" t="str">
        <f t="shared" si="16"/>
        <v/>
      </c>
    </row>
    <row r="562" spans="1:8">
      <c r="A562" s="10" t="str">
        <f t="shared" si="17"/>
        <v/>
      </c>
      <c r="B562" s="11" t="str">
        <f>IF(D562="","",IF(D562&gt;0,VLOOKUP(D562,Category!$A$2:$B$31,2,FALSE),"")&amp;"-"&amp;TEXT(COUNTIF('Product List'!$D$2:'Product List'!D562,'Product List'!D562),"000"))</f>
        <v/>
      </c>
      <c r="C562" s="45"/>
      <c r="D562" s="45"/>
      <c r="E562" s="45"/>
      <c r="F562" s="11" t="str">
        <f>Sheet4!G562</f>
        <v/>
      </c>
      <c r="G562" s="45"/>
      <c r="H562" s="11" t="str">
        <f t="shared" si="16"/>
        <v/>
      </c>
    </row>
    <row r="563" spans="1:8">
      <c r="A563" s="10" t="str">
        <f t="shared" si="17"/>
        <v/>
      </c>
      <c r="B563" s="11" t="str">
        <f>IF(D563="","",IF(D563&gt;0,VLOOKUP(D563,Category!$A$2:$B$31,2,FALSE),"")&amp;"-"&amp;TEXT(COUNTIF('Product List'!$D$2:'Product List'!D563,'Product List'!D563),"000"))</f>
        <v/>
      </c>
      <c r="C563" s="45"/>
      <c r="D563" s="45"/>
      <c r="E563" s="45"/>
      <c r="F563" s="11" t="str">
        <f>Sheet4!G563</f>
        <v/>
      </c>
      <c r="G563" s="45"/>
      <c r="H563" s="11" t="str">
        <f t="shared" si="16"/>
        <v/>
      </c>
    </row>
    <row r="564" spans="1:8">
      <c r="A564" s="10" t="str">
        <f t="shared" si="17"/>
        <v/>
      </c>
      <c r="B564" s="11" t="str">
        <f>IF(D564="","",IF(D564&gt;0,VLOOKUP(D564,Category!$A$2:$B$31,2,FALSE),"")&amp;"-"&amp;TEXT(COUNTIF('Product List'!$D$2:'Product List'!D564,'Product List'!D564),"000"))</f>
        <v/>
      </c>
      <c r="C564" s="45"/>
      <c r="D564" s="45"/>
      <c r="E564" s="45"/>
      <c r="F564" s="11" t="str">
        <f>Sheet4!G564</f>
        <v/>
      </c>
      <c r="G564" s="45"/>
      <c r="H564" s="11" t="str">
        <f t="shared" si="16"/>
        <v/>
      </c>
    </row>
    <row r="565" spans="1:8">
      <c r="A565" s="10" t="str">
        <f t="shared" si="17"/>
        <v/>
      </c>
      <c r="B565" s="11" t="str">
        <f>IF(D565="","",IF(D565&gt;0,VLOOKUP(D565,Category!$A$2:$B$31,2,FALSE),"")&amp;"-"&amp;TEXT(COUNTIF('Product List'!$D$2:'Product List'!D565,'Product List'!D565),"000"))</f>
        <v/>
      </c>
      <c r="C565" s="45"/>
      <c r="D565" s="45"/>
      <c r="E565" s="45"/>
      <c r="F565" s="11" t="str">
        <f>Sheet4!G565</f>
        <v/>
      </c>
      <c r="G565" s="45"/>
      <c r="H565" s="11" t="str">
        <f t="shared" si="16"/>
        <v/>
      </c>
    </row>
    <row r="566" spans="1:8">
      <c r="A566" s="10" t="str">
        <f t="shared" si="17"/>
        <v/>
      </c>
      <c r="B566" s="11" t="str">
        <f>IF(D566="","",IF(D566&gt;0,VLOOKUP(D566,Category!$A$2:$B$31,2,FALSE),"")&amp;"-"&amp;TEXT(COUNTIF('Product List'!$D$2:'Product List'!D566,'Product List'!D566),"000"))</f>
        <v/>
      </c>
      <c r="C566" s="45"/>
      <c r="D566" s="45"/>
      <c r="E566" s="45"/>
      <c r="F566" s="11" t="str">
        <f>Sheet4!G566</f>
        <v/>
      </c>
      <c r="G566" s="45"/>
      <c r="H566" s="11" t="str">
        <f t="shared" si="16"/>
        <v/>
      </c>
    </row>
    <row r="567" spans="1:8">
      <c r="A567" s="10" t="str">
        <f t="shared" si="17"/>
        <v/>
      </c>
      <c r="B567" s="11" t="str">
        <f>IF(D567="","",IF(D567&gt;0,VLOOKUP(D567,Category!$A$2:$B$31,2,FALSE),"")&amp;"-"&amp;TEXT(COUNTIF('Product List'!$D$2:'Product List'!D567,'Product List'!D567),"000"))</f>
        <v/>
      </c>
      <c r="C567" s="45"/>
      <c r="D567" s="45"/>
      <c r="E567" s="45"/>
      <c r="F567" s="11" t="str">
        <f>Sheet4!G567</f>
        <v/>
      </c>
      <c r="G567" s="45"/>
      <c r="H567" s="11" t="str">
        <f t="shared" si="16"/>
        <v/>
      </c>
    </row>
    <row r="568" spans="1:8">
      <c r="A568" s="10" t="str">
        <f t="shared" si="17"/>
        <v/>
      </c>
      <c r="B568" s="11" t="str">
        <f>IF(D568="","",IF(D568&gt;0,VLOOKUP(D568,Category!$A$2:$B$31,2,FALSE),"")&amp;"-"&amp;TEXT(COUNTIF('Product List'!$D$2:'Product List'!D568,'Product List'!D568),"000"))</f>
        <v/>
      </c>
      <c r="C568" s="45"/>
      <c r="D568" s="45"/>
      <c r="E568" s="45"/>
      <c r="F568" s="11" t="str">
        <f>Sheet4!G568</f>
        <v/>
      </c>
      <c r="G568" s="45"/>
      <c r="H568" s="11" t="str">
        <f t="shared" si="16"/>
        <v/>
      </c>
    </row>
    <row r="569" spans="1:8">
      <c r="A569" s="10" t="str">
        <f t="shared" si="17"/>
        <v/>
      </c>
      <c r="B569" s="11" t="str">
        <f>IF(D569="","",IF(D569&gt;0,VLOOKUP(D569,Category!$A$2:$B$31,2,FALSE),"")&amp;"-"&amp;TEXT(COUNTIF('Product List'!$D$2:'Product List'!D569,'Product List'!D569),"000"))</f>
        <v/>
      </c>
      <c r="C569" s="45"/>
      <c r="D569" s="45"/>
      <c r="E569" s="45"/>
      <c r="F569" s="11" t="str">
        <f>Sheet4!G569</f>
        <v/>
      </c>
      <c r="G569" s="45"/>
      <c r="H569" s="11" t="str">
        <f t="shared" si="16"/>
        <v/>
      </c>
    </row>
    <row r="570" spans="1:8">
      <c r="A570" s="10" t="str">
        <f t="shared" si="17"/>
        <v/>
      </c>
      <c r="B570" s="11" t="str">
        <f>IF(D570="","",IF(D570&gt;0,VLOOKUP(D570,Category!$A$2:$B$31,2,FALSE),"")&amp;"-"&amp;TEXT(COUNTIF('Product List'!$D$2:'Product List'!D570,'Product List'!D570),"000"))</f>
        <v/>
      </c>
      <c r="C570" s="45"/>
      <c r="D570" s="45"/>
      <c r="E570" s="45"/>
      <c r="F570" s="11" t="str">
        <f>Sheet4!G570</f>
        <v/>
      </c>
      <c r="G570" s="45"/>
      <c r="H570" s="11" t="str">
        <f t="shared" si="16"/>
        <v/>
      </c>
    </row>
    <row r="571" spans="1:8">
      <c r="A571" s="10" t="str">
        <f t="shared" si="17"/>
        <v/>
      </c>
      <c r="B571" s="11" t="str">
        <f>IF(D571="","",IF(D571&gt;0,VLOOKUP(D571,Category!$A$2:$B$31,2,FALSE),"")&amp;"-"&amp;TEXT(COUNTIF('Product List'!$D$2:'Product List'!D571,'Product List'!D571),"000"))</f>
        <v/>
      </c>
      <c r="C571" s="45"/>
      <c r="D571" s="45"/>
      <c r="E571" s="45"/>
      <c r="F571" s="11" t="str">
        <f>Sheet4!G571</f>
        <v/>
      </c>
      <c r="G571" s="45"/>
      <c r="H571" s="11" t="str">
        <f t="shared" si="16"/>
        <v/>
      </c>
    </row>
    <row r="572" spans="1:8">
      <c r="A572" s="10" t="str">
        <f t="shared" si="17"/>
        <v/>
      </c>
      <c r="B572" s="11" t="str">
        <f>IF(D572="","",IF(D572&gt;0,VLOOKUP(D572,Category!$A$2:$B$31,2,FALSE),"")&amp;"-"&amp;TEXT(COUNTIF('Product List'!$D$2:'Product List'!D572,'Product List'!D572),"000"))</f>
        <v/>
      </c>
      <c r="C572" s="45"/>
      <c r="D572" s="45"/>
      <c r="E572" s="45"/>
      <c r="F572" s="11" t="str">
        <f>Sheet4!G572</f>
        <v/>
      </c>
      <c r="G572" s="45"/>
      <c r="H572" s="11" t="str">
        <f t="shared" si="16"/>
        <v/>
      </c>
    </row>
    <row r="573" spans="1:8">
      <c r="A573" s="10" t="str">
        <f t="shared" si="17"/>
        <v/>
      </c>
      <c r="B573" s="11" t="str">
        <f>IF(D573="","",IF(D573&gt;0,VLOOKUP(D573,Category!$A$2:$B$31,2,FALSE),"")&amp;"-"&amp;TEXT(COUNTIF('Product List'!$D$2:'Product List'!D573,'Product List'!D573),"000"))</f>
        <v/>
      </c>
      <c r="C573" s="45"/>
      <c r="D573" s="45"/>
      <c r="E573" s="45"/>
      <c r="F573" s="11" t="str">
        <f>Sheet4!G573</f>
        <v/>
      </c>
      <c r="G573" s="45"/>
      <c r="H573" s="11" t="str">
        <f t="shared" si="16"/>
        <v/>
      </c>
    </row>
    <row r="574" spans="1:8">
      <c r="A574" s="10" t="str">
        <f t="shared" si="17"/>
        <v/>
      </c>
      <c r="B574" s="11" t="str">
        <f>IF(D574="","",IF(D574&gt;0,VLOOKUP(D574,Category!$A$2:$B$31,2,FALSE),"")&amp;"-"&amp;TEXT(COUNTIF('Product List'!$D$2:'Product List'!D574,'Product List'!D574),"000"))</f>
        <v/>
      </c>
      <c r="C574" s="45"/>
      <c r="D574" s="45"/>
      <c r="E574" s="45"/>
      <c r="F574" s="11" t="str">
        <f>Sheet4!G574</f>
        <v/>
      </c>
      <c r="G574" s="45"/>
      <c r="H574" s="11" t="str">
        <f t="shared" si="16"/>
        <v/>
      </c>
    </row>
    <row r="575" spans="1:8">
      <c r="A575" s="10" t="str">
        <f t="shared" si="17"/>
        <v/>
      </c>
      <c r="B575" s="11" t="str">
        <f>IF(D575="","",IF(D575&gt;0,VLOOKUP(D575,Category!$A$2:$B$31,2,FALSE),"")&amp;"-"&amp;TEXT(COUNTIF('Product List'!$D$2:'Product List'!D575,'Product List'!D575),"000"))</f>
        <v/>
      </c>
      <c r="C575" s="45"/>
      <c r="D575" s="45"/>
      <c r="E575" s="45"/>
      <c r="F575" s="11" t="str">
        <f>Sheet4!G575</f>
        <v/>
      </c>
      <c r="G575" s="45"/>
      <c r="H575" s="11" t="str">
        <f t="shared" si="16"/>
        <v/>
      </c>
    </row>
    <row r="576" spans="1:8">
      <c r="A576" s="10" t="str">
        <f t="shared" si="17"/>
        <v/>
      </c>
      <c r="B576" s="11" t="str">
        <f>IF(D576="","",IF(D576&gt;0,VLOOKUP(D576,Category!$A$2:$B$31,2,FALSE),"")&amp;"-"&amp;TEXT(COUNTIF('Product List'!$D$2:'Product List'!D576,'Product List'!D576),"000"))</f>
        <v/>
      </c>
      <c r="C576" s="45"/>
      <c r="D576" s="45"/>
      <c r="E576" s="45"/>
      <c r="F576" s="11" t="str">
        <f>Sheet4!G576</f>
        <v/>
      </c>
      <c r="G576" s="45"/>
      <c r="H576" s="11" t="str">
        <f t="shared" si="16"/>
        <v/>
      </c>
    </row>
    <row r="577" spans="1:8">
      <c r="A577" s="10" t="str">
        <f t="shared" si="17"/>
        <v/>
      </c>
      <c r="B577" s="11" t="str">
        <f>IF(D577="","",IF(D577&gt;0,VLOOKUP(D577,Category!$A$2:$B$31,2,FALSE),"")&amp;"-"&amp;TEXT(COUNTIF('Product List'!$D$2:'Product List'!D577,'Product List'!D577),"000"))</f>
        <v/>
      </c>
      <c r="C577" s="45"/>
      <c r="D577" s="45"/>
      <c r="E577" s="45"/>
      <c r="F577" s="11" t="str">
        <f>Sheet4!G577</f>
        <v/>
      </c>
      <c r="G577" s="45"/>
      <c r="H577" s="11" t="str">
        <f t="shared" si="16"/>
        <v/>
      </c>
    </row>
    <row r="578" spans="1:8">
      <c r="A578" s="10" t="str">
        <f t="shared" si="17"/>
        <v/>
      </c>
      <c r="B578" s="11" t="str">
        <f>IF(D578="","",IF(D578&gt;0,VLOOKUP(D578,Category!$A$2:$B$31,2,FALSE),"")&amp;"-"&amp;TEXT(COUNTIF('Product List'!$D$2:'Product List'!D578,'Product List'!D578),"000"))</f>
        <v/>
      </c>
      <c r="C578" s="45"/>
      <c r="D578" s="45"/>
      <c r="E578" s="45"/>
      <c r="F578" s="11" t="str">
        <f>Sheet4!G578</f>
        <v/>
      </c>
      <c r="G578" s="45"/>
      <c r="H578" s="11" t="str">
        <f t="shared" si="16"/>
        <v/>
      </c>
    </row>
    <row r="579" spans="1:8">
      <c r="A579" s="10" t="str">
        <f t="shared" si="17"/>
        <v/>
      </c>
      <c r="B579" s="11" t="str">
        <f>IF(D579="","",IF(D579&gt;0,VLOOKUP(D579,Category!$A$2:$B$31,2,FALSE),"")&amp;"-"&amp;TEXT(COUNTIF('Product List'!$D$2:'Product List'!D579,'Product List'!D579),"000"))</f>
        <v/>
      </c>
      <c r="C579" s="45"/>
      <c r="D579" s="45"/>
      <c r="E579" s="45"/>
      <c r="F579" s="11" t="str">
        <f>Sheet4!G579</f>
        <v/>
      </c>
      <c r="G579" s="45"/>
      <c r="H579" s="11" t="str">
        <f t="shared" ref="H579:H596" si="18">IF(OR(F579="",G579=""),"",IF(F579&lt;=0,"Out of Stock",IF(F579&lt;=G579,"Low on Stock","In Stock")))</f>
        <v/>
      </c>
    </row>
    <row r="580" spans="1:8">
      <c r="A580" s="10" t="str">
        <f t="shared" ref="A580:A596" si="19">IF(C580&gt;0,A579+1,"")</f>
        <v/>
      </c>
      <c r="B580" s="11" t="str">
        <f>IF(D580="","",IF(D580&gt;0,VLOOKUP(D580,Category!$A$2:$B$31,2,FALSE),"")&amp;"-"&amp;TEXT(COUNTIF('Product List'!$D$2:'Product List'!D580,'Product List'!D580),"000"))</f>
        <v/>
      </c>
      <c r="C580" s="45"/>
      <c r="D580" s="45"/>
      <c r="E580" s="45"/>
      <c r="F580" s="11" t="str">
        <f>Sheet4!G580</f>
        <v/>
      </c>
      <c r="G580" s="45"/>
      <c r="H580" s="11" t="str">
        <f t="shared" si="18"/>
        <v/>
      </c>
    </row>
    <row r="581" spans="1:8">
      <c r="A581" s="10" t="str">
        <f t="shared" si="19"/>
        <v/>
      </c>
      <c r="B581" s="11" t="str">
        <f>IF(D581="","",IF(D581&gt;0,VLOOKUP(D581,Category!$A$2:$B$31,2,FALSE),"")&amp;"-"&amp;TEXT(COUNTIF('Product List'!$D$2:'Product List'!D581,'Product List'!D581),"000"))</f>
        <v/>
      </c>
      <c r="C581" s="45"/>
      <c r="D581" s="45"/>
      <c r="E581" s="45"/>
      <c r="F581" s="11" t="str">
        <f>Sheet4!G581</f>
        <v/>
      </c>
      <c r="G581" s="45"/>
      <c r="H581" s="11" t="str">
        <f t="shared" si="18"/>
        <v/>
      </c>
    </row>
    <row r="582" spans="1:8">
      <c r="A582" s="10" t="str">
        <f t="shared" si="19"/>
        <v/>
      </c>
      <c r="B582" s="11" t="str">
        <f>IF(D582="","",IF(D582&gt;0,VLOOKUP(D582,Category!$A$2:$B$31,2,FALSE),"")&amp;"-"&amp;TEXT(COUNTIF('Product List'!$D$2:'Product List'!D582,'Product List'!D582),"000"))</f>
        <v/>
      </c>
      <c r="C582" s="45"/>
      <c r="D582" s="45"/>
      <c r="E582" s="45"/>
      <c r="F582" s="11" t="str">
        <f>Sheet4!G582</f>
        <v/>
      </c>
      <c r="G582" s="45"/>
      <c r="H582" s="11" t="str">
        <f t="shared" si="18"/>
        <v/>
      </c>
    </row>
    <row r="583" spans="1:8">
      <c r="A583" s="10" t="str">
        <f t="shared" si="19"/>
        <v/>
      </c>
      <c r="B583" s="11" t="str">
        <f>IF(D583="","",IF(D583&gt;0,VLOOKUP(D583,Category!$A$2:$B$31,2,FALSE),"")&amp;"-"&amp;TEXT(COUNTIF('Product List'!$D$2:'Product List'!D583,'Product List'!D583),"000"))</f>
        <v/>
      </c>
      <c r="C583" s="45"/>
      <c r="D583" s="45"/>
      <c r="E583" s="45"/>
      <c r="F583" s="11" t="str">
        <f>Sheet4!G583</f>
        <v/>
      </c>
      <c r="G583" s="45"/>
      <c r="H583" s="11" t="str">
        <f t="shared" si="18"/>
        <v/>
      </c>
    </row>
    <row r="584" spans="1:8">
      <c r="A584" s="10" t="str">
        <f t="shared" si="19"/>
        <v/>
      </c>
      <c r="B584" s="11" t="str">
        <f>IF(D584="","",IF(D584&gt;0,VLOOKUP(D584,Category!$A$2:$B$31,2,FALSE),"")&amp;"-"&amp;TEXT(COUNTIF('Product List'!$D$2:'Product List'!D584,'Product List'!D584),"000"))</f>
        <v/>
      </c>
      <c r="C584" s="45"/>
      <c r="D584" s="45"/>
      <c r="E584" s="45"/>
      <c r="F584" s="11" t="str">
        <f>Sheet4!G584</f>
        <v/>
      </c>
      <c r="G584" s="45"/>
      <c r="H584" s="11" t="str">
        <f t="shared" si="18"/>
        <v/>
      </c>
    </row>
    <row r="585" spans="1:8">
      <c r="A585" s="10" t="str">
        <f t="shared" si="19"/>
        <v/>
      </c>
      <c r="B585" s="11" t="str">
        <f>IF(D585="","",IF(D585&gt;0,VLOOKUP(D585,Category!$A$2:$B$31,2,FALSE),"")&amp;"-"&amp;TEXT(COUNTIF('Product List'!$D$2:'Product List'!D585,'Product List'!D585),"000"))</f>
        <v/>
      </c>
      <c r="C585" s="45"/>
      <c r="D585" s="45"/>
      <c r="E585" s="45"/>
      <c r="F585" s="11" t="str">
        <f>Sheet4!G585</f>
        <v/>
      </c>
      <c r="G585" s="45"/>
      <c r="H585" s="11" t="str">
        <f t="shared" si="18"/>
        <v/>
      </c>
    </row>
    <row r="586" spans="1:8">
      <c r="A586" s="10" t="str">
        <f t="shared" si="19"/>
        <v/>
      </c>
      <c r="B586" s="11" t="str">
        <f>IF(D586="","",IF(D586&gt;0,VLOOKUP(D586,Category!$A$2:$B$31,2,FALSE),"")&amp;"-"&amp;TEXT(COUNTIF('Product List'!$D$2:'Product List'!D586,'Product List'!D586),"000"))</f>
        <v/>
      </c>
      <c r="C586" s="45"/>
      <c r="D586" s="45"/>
      <c r="E586" s="45"/>
      <c r="F586" s="11" t="str">
        <f>Sheet4!G586</f>
        <v/>
      </c>
      <c r="G586" s="45"/>
      <c r="H586" s="11" t="str">
        <f t="shared" si="18"/>
        <v/>
      </c>
    </row>
    <row r="587" spans="1:8">
      <c r="A587" s="10" t="str">
        <f t="shared" si="19"/>
        <v/>
      </c>
      <c r="B587" s="11" t="str">
        <f>IF(D587="","",IF(D587&gt;0,VLOOKUP(D587,Category!$A$2:$B$31,2,FALSE),"")&amp;"-"&amp;TEXT(COUNTIF('Product List'!$D$2:'Product List'!D587,'Product List'!D587),"000"))</f>
        <v/>
      </c>
      <c r="C587" s="45"/>
      <c r="D587" s="45"/>
      <c r="E587" s="45"/>
      <c r="F587" s="11" t="str">
        <f>Sheet4!G587</f>
        <v/>
      </c>
      <c r="G587" s="45"/>
      <c r="H587" s="11" t="str">
        <f t="shared" si="18"/>
        <v/>
      </c>
    </row>
    <row r="588" spans="1:8">
      <c r="A588" s="10" t="str">
        <f t="shared" si="19"/>
        <v/>
      </c>
      <c r="B588" s="11" t="str">
        <f>IF(D588="","",IF(D588&gt;0,VLOOKUP(D588,Category!$A$2:$B$31,2,FALSE),"")&amp;"-"&amp;TEXT(COUNTIF('Product List'!$D$2:'Product List'!D588,'Product List'!D588),"000"))</f>
        <v/>
      </c>
      <c r="C588" s="45"/>
      <c r="D588" s="45"/>
      <c r="E588" s="45"/>
      <c r="F588" s="11" t="str">
        <f>Sheet4!G588</f>
        <v/>
      </c>
      <c r="G588" s="45"/>
      <c r="H588" s="11" t="str">
        <f t="shared" si="18"/>
        <v/>
      </c>
    </row>
    <row r="589" spans="1:8">
      <c r="A589" s="10" t="str">
        <f t="shared" si="19"/>
        <v/>
      </c>
      <c r="B589" s="11" t="str">
        <f>IF(D589="","",IF(D589&gt;0,VLOOKUP(D589,Category!$A$2:$B$31,2,FALSE),"")&amp;"-"&amp;TEXT(COUNTIF('Product List'!$D$2:'Product List'!D589,'Product List'!D589),"000"))</f>
        <v/>
      </c>
      <c r="C589" s="45"/>
      <c r="D589" s="45"/>
      <c r="E589" s="45"/>
      <c r="F589" s="11" t="str">
        <f>Sheet4!G589</f>
        <v/>
      </c>
      <c r="G589" s="45"/>
      <c r="H589" s="11" t="str">
        <f t="shared" si="18"/>
        <v/>
      </c>
    </row>
    <row r="590" spans="1:8">
      <c r="A590" s="10" t="str">
        <f t="shared" si="19"/>
        <v/>
      </c>
      <c r="B590" s="11" t="str">
        <f>IF(D590="","",IF(D590&gt;0,VLOOKUP(D590,Category!$A$2:$B$31,2,FALSE),"")&amp;"-"&amp;TEXT(COUNTIF('Product List'!$D$2:'Product List'!D590,'Product List'!D590),"000"))</f>
        <v/>
      </c>
      <c r="C590" s="45"/>
      <c r="D590" s="45"/>
      <c r="E590" s="45"/>
      <c r="F590" s="11" t="str">
        <f>Sheet4!G590</f>
        <v/>
      </c>
      <c r="G590" s="45"/>
      <c r="H590" s="11" t="str">
        <f t="shared" si="18"/>
        <v/>
      </c>
    </row>
    <row r="591" spans="1:8">
      <c r="A591" s="10" t="str">
        <f t="shared" si="19"/>
        <v/>
      </c>
      <c r="B591" s="11" t="str">
        <f>IF(D591="","",IF(D591&gt;0,VLOOKUP(D591,Category!$A$2:$B$31,2,FALSE),"")&amp;"-"&amp;TEXT(COUNTIF('Product List'!$D$2:'Product List'!D591,'Product List'!D591),"000"))</f>
        <v/>
      </c>
      <c r="C591" s="45"/>
      <c r="D591" s="45"/>
      <c r="E591" s="45"/>
      <c r="F591" s="11" t="str">
        <f>Sheet4!G591</f>
        <v/>
      </c>
      <c r="G591" s="45"/>
      <c r="H591" s="11" t="str">
        <f t="shared" si="18"/>
        <v/>
      </c>
    </row>
    <row r="592" spans="1:8">
      <c r="A592" s="10" t="str">
        <f t="shared" si="19"/>
        <v/>
      </c>
      <c r="B592" s="11" t="str">
        <f>IF(D592="","",IF(D592&gt;0,VLOOKUP(D592,Category!$A$2:$B$31,2,FALSE),"")&amp;"-"&amp;TEXT(COUNTIF('Product List'!$D$2:'Product List'!D592,'Product List'!D592),"000"))</f>
        <v/>
      </c>
      <c r="C592" s="45"/>
      <c r="D592" s="45"/>
      <c r="E592" s="45"/>
      <c r="F592" s="11" t="str">
        <f>Sheet4!G592</f>
        <v/>
      </c>
      <c r="G592" s="45"/>
      <c r="H592" s="11" t="str">
        <f t="shared" si="18"/>
        <v/>
      </c>
    </row>
    <row r="593" spans="1:8">
      <c r="A593" s="10" t="str">
        <f t="shared" si="19"/>
        <v/>
      </c>
      <c r="B593" s="11" t="str">
        <f>IF(D593="","",IF(D593&gt;0,VLOOKUP(D593,Category!$A$2:$B$31,2,FALSE),"")&amp;"-"&amp;TEXT(COUNTIF('Product List'!$D$2:'Product List'!D593,'Product List'!D593),"000"))</f>
        <v/>
      </c>
      <c r="C593" s="45"/>
      <c r="D593" s="45"/>
      <c r="E593" s="45"/>
      <c r="F593" s="11" t="str">
        <f>Sheet4!G593</f>
        <v/>
      </c>
      <c r="G593" s="45"/>
      <c r="H593" s="11" t="str">
        <f t="shared" si="18"/>
        <v/>
      </c>
    </row>
    <row r="594" spans="1:8">
      <c r="A594" s="10" t="str">
        <f t="shared" si="19"/>
        <v/>
      </c>
      <c r="B594" s="11" t="str">
        <f>IF(D594="","",IF(D594&gt;0,VLOOKUP(D594,Category!$A$2:$B$31,2,FALSE),"")&amp;"-"&amp;TEXT(COUNTIF('Product List'!$D$2:'Product List'!D594,'Product List'!D594),"000"))</f>
        <v/>
      </c>
      <c r="C594" s="45"/>
      <c r="D594" s="45"/>
      <c r="E594" s="45"/>
      <c r="F594" s="11" t="str">
        <f>Sheet4!G594</f>
        <v/>
      </c>
      <c r="G594" s="45"/>
      <c r="H594" s="11" t="str">
        <f t="shared" si="18"/>
        <v/>
      </c>
    </row>
    <row r="595" spans="1:8">
      <c r="A595" s="10" t="str">
        <f t="shared" si="19"/>
        <v/>
      </c>
      <c r="B595" s="11" t="str">
        <f>IF(D595="","",IF(D595&gt;0,VLOOKUP(D595,Category!$A$2:$B$31,2,FALSE),"")&amp;"-"&amp;TEXT(COUNTIF('Product List'!$D$2:'Product List'!D595,'Product List'!D595),"000"))</f>
        <v/>
      </c>
      <c r="C595" s="45"/>
      <c r="D595" s="45"/>
      <c r="E595" s="45"/>
      <c r="F595" s="11" t="str">
        <f>Sheet4!G595</f>
        <v/>
      </c>
      <c r="G595" s="45"/>
      <c r="H595" s="11" t="str">
        <f t="shared" si="18"/>
        <v/>
      </c>
    </row>
    <row r="596" spans="1:8">
      <c r="A596" s="10" t="str">
        <f t="shared" si="19"/>
        <v/>
      </c>
      <c r="B596" s="11" t="str">
        <f>IF(D596="","",IF(D596&gt;0,VLOOKUP(D596,Category!$A$2:$B$31,2,FALSE),"")&amp;"-"&amp;TEXT(COUNTIF('Product List'!$D$2:'Product List'!D596,'Product List'!D596),"000"))</f>
        <v/>
      </c>
      <c r="C596" s="45"/>
      <c r="D596" s="45"/>
      <c r="E596" s="45"/>
      <c r="F596" s="11" t="str">
        <f>Sheet4!G596</f>
        <v/>
      </c>
      <c r="G596" s="45"/>
      <c r="H596" s="11" t="str">
        <f t="shared" si="18"/>
        <v/>
      </c>
    </row>
  </sheetData>
  <sheetProtection algorithmName="SHA-512" hashValue="ITgtMO7mu5Od0HXLAjGW3O3kNqmN1GyFpChscz1NKA9jLdTldobOezYKO54QIwn9XXGDATQDtZTzM+NIhWHN/w==" saltValue="mO+k1vGLAGJyCzpB223+OQ==" spinCount="100000" sheet="1" objects="1" scenarios="1" selectLockedCells="1"/>
  <conditionalFormatting sqref="A2:H3 A24:H596 F4:H4 D5:H5 F6:H12 A4:B15 D15:F15 F13:F14 F23:H23 A16:D20 A22:D23 A21:B21 D21 F16:F22 H13:H22">
    <cfRule type="expression" dxfId="43" priority="19">
      <formula>$H2="Low on Stock"</formula>
    </cfRule>
    <cfRule type="expression" dxfId="42" priority="20">
      <formula>$H2="Out of Stock"</formula>
    </cfRule>
  </conditionalFormatting>
  <conditionalFormatting sqref="C4:E4">
    <cfRule type="expression" dxfId="41" priority="15">
      <formula>$H4="Low on Stock"</formula>
    </cfRule>
    <cfRule type="expression" dxfId="40" priority="16">
      <formula>$H4="Out of Stock"</formula>
    </cfRule>
  </conditionalFormatting>
  <conditionalFormatting sqref="C5">
    <cfRule type="expression" dxfId="39" priority="13">
      <formula>$H5="Low on Stock"</formula>
    </cfRule>
    <cfRule type="expression" dxfId="38" priority="14">
      <formula>$H5="Out of Stock"</formula>
    </cfRule>
  </conditionalFormatting>
  <conditionalFormatting sqref="C6:E7">
    <cfRule type="expression" dxfId="37" priority="11">
      <formula>$H6="Low on Stock"</formula>
    </cfRule>
    <cfRule type="expression" dxfId="36" priority="12">
      <formula>$H6="Out of Stock"</formula>
    </cfRule>
  </conditionalFormatting>
  <conditionalFormatting sqref="C8:E14">
    <cfRule type="expression" dxfId="35" priority="9">
      <formula>$H8="Low on Stock"</formula>
    </cfRule>
    <cfRule type="expression" dxfId="34" priority="10">
      <formula>$H8="Out of Stock"</formula>
    </cfRule>
  </conditionalFormatting>
  <conditionalFormatting sqref="C15">
    <cfRule type="expression" dxfId="33" priority="7">
      <formula>$H15="Low on Stock"</formula>
    </cfRule>
    <cfRule type="expression" dxfId="32" priority="8">
      <formula>$H15="Out of Stock"</formula>
    </cfRule>
  </conditionalFormatting>
  <conditionalFormatting sqref="G13:G22">
    <cfRule type="expression" dxfId="31" priority="5">
      <formula>$H13="Low on Stock"</formula>
    </cfRule>
    <cfRule type="expression" dxfId="30" priority="6">
      <formula>$H13="Out of Stock"</formula>
    </cfRule>
  </conditionalFormatting>
  <conditionalFormatting sqref="E23">
    <cfRule type="expression" dxfId="29" priority="3">
      <formula>$H23="Low on Stock"</formula>
    </cfRule>
    <cfRule type="expression" dxfId="28" priority="4">
      <formula>$H23="Out of Stock"</formula>
    </cfRule>
  </conditionalFormatting>
  <conditionalFormatting sqref="E16:E22">
    <cfRule type="expression" dxfId="27" priority="1">
      <formula>$H16="Low on Stock"</formula>
    </cfRule>
    <cfRule type="expression" dxfId="26" priority="2">
      <formula>$H16="Out of Stock"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E98C306-DF81-2B4F-AE4E-25938D5369A8}">
          <x14:formula1>
            <xm:f>Category!$A$2:$A$31</xm:f>
          </x14:formula1>
          <xm:sqref>D2:D596</xm:sqref>
        </x14:dataValidation>
        <x14:dataValidation type="list" allowBlank="1" showInputMessage="1" showErrorMessage="1" xr:uid="{1002CDE6-0442-B549-8E15-88A745B0AF67}">
          <x14:formula1>
            <xm:f>Category!$G$2:$G$33</xm:f>
          </x14:formula1>
          <xm:sqref>E2:E596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6239E-C90F-8446-85AC-715DF1D9914F}">
  <sheetPr codeName="Sheet3"/>
  <dimension ref="A1:M995"/>
  <sheetViews>
    <sheetView showGridLines="0" zoomScale="139" workbookViewId="0">
      <selection activeCell="H6" sqref="H6"/>
    </sheetView>
  </sheetViews>
  <sheetFormatPr baseColWidth="10" defaultRowHeight="16"/>
  <cols>
    <col min="1" max="1" width="8.33203125" bestFit="1" customWidth="1"/>
    <col min="2" max="2" width="11.5" style="50" bestFit="1" customWidth="1"/>
    <col min="3" max="3" width="10.1640625" bestFit="1" customWidth="1"/>
    <col min="4" max="4" width="7" customWidth="1"/>
    <col min="5" max="5" width="29.6640625" style="50" bestFit="1" customWidth="1"/>
    <col min="6" max="6" width="9.5" bestFit="1" customWidth="1"/>
    <col min="7" max="7" width="12.5" style="57" customWidth="1"/>
    <col min="8" max="8" width="10.5" style="57" customWidth="1"/>
    <col min="9" max="9" width="13.1640625" customWidth="1"/>
    <col min="10" max="10" width="15.1640625" style="50" bestFit="1" customWidth="1"/>
    <col min="11" max="11" width="11.33203125" style="50" customWidth="1"/>
    <col min="12" max="12" width="10.83203125" style="50"/>
  </cols>
  <sheetData>
    <row r="1" spans="1:13" s="2" customFormat="1" ht="41" thickBot="1">
      <c r="A1" s="23" t="s">
        <v>0</v>
      </c>
      <c r="B1" s="51" t="s">
        <v>11</v>
      </c>
      <c r="C1" s="23" t="s">
        <v>17</v>
      </c>
      <c r="D1" s="23" t="s">
        <v>18</v>
      </c>
      <c r="E1" s="51" t="s">
        <v>2</v>
      </c>
      <c r="F1" s="23" t="s">
        <v>1</v>
      </c>
      <c r="G1" s="51" t="s">
        <v>12</v>
      </c>
      <c r="H1" s="58" t="s">
        <v>13</v>
      </c>
      <c r="I1" s="23" t="s">
        <v>14</v>
      </c>
      <c r="J1" s="51" t="s">
        <v>4</v>
      </c>
      <c r="K1" s="51" t="s">
        <v>15</v>
      </c>
      <c r="L1" s="51" t="s">
        <v>16</v>
      </c>
    </row>
    <row r="2" spans="1:13">
      <c r="A2" s="12">
        <v>1</v>
      </c>
      <c r="B2" s="52">
        <v>46132</v>
      </c>
      <c r="C2" s="13" t="str">
        <f>IF(B2=0,"",TEXT(B2,"mmmm"))</f>
        <v>April</v>
      </c>
      <c r="D2" s="13" t="str">
        <f>IF(B2=0,"",TEXT(B2,"yyyy"))</f>
        <v>2026</v>
      </c>
      <c r="E2" s="54" t="s">
        <v>129</v>
      </c>
      <c r="F2" s="14" t="str">
        <f>IFERROR(VLOOKUP(E2,Category!$D$2:$E$600,2,FALSE),"")</f>
        <v>TB-001</v>
      </c>
      <c r="G2" s="55">
        <v>1</v>
      </c>
      <c r="H2" s="55">
        <v>20000</v>
      </c>
      <c r="I2" s="15">
        <f>IF(H2*G2=0,"",H2*G2)</f>
        <v>20000</v>
      </c>
      <c r="J2" s="54" t="s">
        <v>19</v>
      </c>
      <c r="K2" s="54" t="s">
        <v>23</v>
      </c>
      <c r="L2" s="54" t="s">
        <v>20</v>
      </c>
    </row>
    <row r="3" spans="1:13">
      <c r="A3" s="10">
        <f>IF(E3&gt;0,A2+1,"")</f>
        <v>2</v>
      </c>
      <c r="B3" s="53">
        <v>46132</v>
      </c>
      <c r="C3" s="13" t="str">
        <f t="shared" ref="C3:C66" si="0">IF(B3=0,"",TEXT(B3,"mmmm"))</f>
        <v>April</v>
      </c>
      <c r="D3" s="13" t="str">
        <f t="shared" ref="D3:D66" si="1">IF(B3=0,"",TEXT(B3,"yyyy"))</f>
        <v>2026</v>
      </c>
      <c r="E3" s="45" t="s">
        <v>128</v>
      </c>
      <c r="F3" s="11" t="str">
        <f>IFERROR(VLOOKUP(E3,Category!$D$2:$E$600,2,FALSE),"")</f>
        <v>TB-002</v>
      </c>
      <c r="G3" s="56">
        <v>2</v>
      </c>
      <c r="H3" s="56">
        <v>20000</v>
      </c>
      <c r="I3" s="16">
        <f t="shared" ref="I3:I66" si="2">IF(H3*G3=0,"",H3*G3)</f>
        <v>40000</v>
      </c>
      <c r="J3" s="45" t="s">
        <v>19</v>
      </c>
      <c r="K3" s="45" t="s">
        <v>23</v>
      </c>
      <c r="L3" s="45" t="s">
        <v>20</v>
      </c>
    </row>
    <row r="4" spans="1:13">
      <c r="A4" s="10">
        <f t="shared" ref="A4:A67" si="3">IF(E4&gt;0,A3+1,"")</f>
        <v>3</v>
      </c>
      <c r="B4" s="53">
        <v>46132</v>
      </c>
      <c r="C4" s="13" t="str">
        <f t="shared" si="0"/>
        <v>April</v>
      </c>
      <c r="D4" s="13" t="str">
        <f t="shared" si="1"/>
        <v>2026</v>
      </c>
      <c r="E4" s="45" t="s">
        <v>127</v>
      </c>
      <c r="F4" s="11" t="str">
        <f>IFERROR(VLOOKUP(E4,Category!$D$2:$E$600,2,FALSE),"")</f>
        <v>TB-003</v>
      </c>
      <c r="G4" s="56">
        <v>2</v>
      </c>
      <c r="H4" s="59">
        <v>25000</v>
      </c>
      <c r="I4" s="16">
        <f t="shared" si="2"/>
        <v>50000</v>
      </c>
      <c r="J4" s="45" t="s">
        <v>19</v>
      </c>
      <c r="K4" s="45" t="s">
        <v>23</v>
      </c>
      <c r="L4" s="45" t="s">
        <v>20</v>
      </c>
    </row>
    <row r="5" spans="1:13">
      <c r="A5" s="10">
        <f t="shared" si="3"/>
        <v>4</v>
      </c>
      <c r="B5" s="53">
        <v>46132</v>
      </c>
      <c r="C5" s="13" t="str">
        <f t="shared" si="0"/>
        <v>April</v>
      </c>
      <c r="D5" s="13" t="str">
        <f t="shared" si="1"/>
        <v>2026</v>
      </c>
      <c r="E5" s="45" t="s">
        <v>126</v>
      </c>
      <c r="F5" s="11" t="str">
        <f>IFERROR(VLOOKUP(E5,Category!$D$2:$E$600,2,FALSE),"")</f>
        <v>TB-004</v>
      </c>
      <c r="G5" s="56">
        <v>2</v>
      </c>
      <c r="H5" s="56">
        <v>25000</v>
      </c>
      <c r="I5" s="16">
        <f t="shared" si="2"/>
        <v>50000</v>
      </c>
      <c r="J5" s="45" t="s">
        <v>19</v>
      </c>
      <c r="K5" s="45" t="s">
        <v>23</v>
      </c>
      <c r="L5" s="45" t="s">
        <v>20</v>
      </c>
      <c r="M5" s="42"/>
    </row>
    <row r="6" spans="1:13">
      <c r="A6" s="10" t="str">
        <f t="shared" si="3"/>
        <v/>
      </c>
      <c r="B6" s="53"/>
      <c r="C6" s="13" t="str">
        <f t="shared" si="0"/>
        <v/>
      </c>
      <c r="D6" s="13" t="str">
        <f t="shared" si="1"/>
        <v/>
      </c>
      <c r="E6" s="45"/>
      <c r="F6" s="11" t="str">
        <f>IFERROR(VLOOKUP(E6,Category!$D$2:$E$600,2,FALSE),"")</f>
        <v/>
      </c>
      <c r="G6" s="56"/>
      <c r="H6" s="59"/>
      <c r="I6" s="16" t="str">
        <f t="shared" si="2"/>
        <v/>
      </c>
      <c r="J6" s="45"/>
      <c r="K6" s="45"/>
      <c r="L6" s="45"/>
      <c r="M6" s="43"/>
    </row>
    <row r="7" spans="1:13">
      <c r="A7" s="10" t="str">
        <f t="shared" si="3"/>
        <v/>
      </c>
      <c r="B7" s="53"/>
      <c r="C7" s="13" t="str">
        <f t="shared" si="0"/>
        <v/>
      </c>
      <c r="D7" s="13" t="str">
        <f t="shared" si="1"/>
        <v/>
      </c>
      <c r="E7" s="45"/>
      <c r="F7" s="11" t="str">
        <f>IFERROR(VLOOKUP(E7,Category!$D$2:$E$600,2,FALSE),"")</f>
        <v/>
      </c>
      <c r="G7" s="56"/>
      <c r="H7" s="56"/>
      <c r="I7" s="16" t="str">
        <f t="shared" si="2"/>
        <v/>
      </c>
      <c r="J7" s="45"/>
      <c r="K7" s="45"/>
      <c r="L7" s="45"/>
      <c r="M7" s="43"/>
    </row>
    <row r="8" spans="1:13">
      <c r="A8" s="10" t="str">
        <f t="shared" si="3"/>
        <v/>
      </c>
      <c r="B8" s="53"/>
      <c r="C8" s="13" t="str">
        <f t="shared" si="0"/>
        <v/>
      </c>
      <c r="D8" s="13" t="str">
        <f t="shared" si="1"/>
        <v/>
      </c>
      <c r="E8" s="45"/>
      <c r="F8" s="11" t="str">
        <f>IFERROR(VLOOKUP(E8,Category!$D$2:$E$600,2,FALSE),"")</f>
        <v/>
      </c>
      <c r="G8" s="56"/>
      <c r="H8" s="56"/>
      <c r="I8" s="16" t="str">
        <f t="shared" si="2"/>
        <v/>
      </c>
      <c r="J8" s="45"/>
      <c r="K8" s="45"/>
      <c r="L8" s="45"/>
      <c r="M8" s="43"/>
    </row>
    <row r="9" spans="1:13">
      <c r="A9" s="10" t="str">
        <f t="shared" si="3"/>
        <v/>
      </c>
      <c r="B9" s="53"/>
      <c r="C9" s="13" t="str">
        <f t="shared" si="0"/>
        <v/>
      </c>
      <c r="D9" s="13" t="str">
        <f t="shared" si="1"/>
        <v/>
      </c>
      <c r="E9" s="45"/>
      <c r="F9" s="11" t="str">
        <f>IFERROR(VLOOKUP(E9,Category!$D$2:$E$600,2,FALSE),"")</f>
        <v/>
      </c>
      <c r="G9" s="56"/>
      <c r="H9" s="56"/>
      <c r="I9" s="16" t="str">
        <f t="shared" si="2"/>
        <v/>
      </c>
      <c r="J9" s="45"/>
      <c r="K9" s="45"/>
      <c r="L9" s="45"/>
      <c r="M9" s="43"/>
    </row>
    <row r="10" spans="1:13">
      <c r="A10" s="10" t="str">
        <f t="shared" si="3"/>
        <v/>
      </c>
      <c r="B10" s="53"/>
      <c r="C10" s="13" t="str">
        <f t="shared" si="0"/>
        <v/>
      </c>
      <c r="D10" s="13" t="str">
        <f t="shared" si="1"/>
        <v/>
      </c>
      <c r="E10" s="45"/>
      <c r="F10" s="11" t="str">
        <f>IFERROR(VLOOKUP(E10,Category!$D$2:$E$600,2,FALSE),"")</f>
        <v/>
      </c>
      <c r="G10" s="56"/>
      <c r="H10" s="56"/>
      <c r="I10" s="16" t="str">
        <f t="shared" si="2"/>
        <v/>
      </c>
      <c r="J10" s="45"/>
      <c r="K10" s="45"/>
      <c r="L10" s="45"/>
      <c r="M10" s="43"/>
    </row>
    <row r="11" spans="1:13">
      <c r="A11" s="10" t="str">
        <f t="shared" si="3"/>
        <v/>
      </c>
      <c r="B11" s="53"/>
      <c r="C11" s="13" t="str">
        <f t="shared" si="0"/>
        <v/>
      </c>
      <c r="D11" s="13" t="str">
        <f t="shared" si="1"/>
        <v/>
      </c>
      <c r="E11" s="45"/>
      <c r="F11" s="11" t="str">
        <f>IFERROR(VLOOKUP(E11,Category!$D$2:$E$600,2,FALSE),"")</f>
        <v/>
      </c>
      <c r="G11" s="56"/>
      <c r="H11" s="56"/>
      <c r="I11" s="16" t="str">
        <f t="shared" si="2"/>
        <v/>
      </c>
      <c r="J11" s="45"/>
      <c r="K11" s="45"/>
      <c r="L11" s="45"/>
      <c r="M11" s="43"/>
    </row>
    <row r="12" spans="1:13">
      <c r="A12" s="10" t="str">
        <f t="shared" si="3"/>
        <v/>
      </c>
      <c r="B12" s="53"/>
      <c r="C12" s="13" t="str">
        <f t="shared" si="0"/>
        <v/>
      </c>
      <c r="D12" s="13" t="str">
        <f t="shared" si="1"/>
        <v/>
      </c>
      <c r="E12" s="49"/>
      <c r="F12" s="11" t="str">
        <f>IFERROR(VLOOKUP(E12,Category!$D$2:$E$600,2,FALSE),"")</f>
        <v/>
      </c>
      <c r="G12" s="56"/>
      <c r="H12" s="56"/>
      <c r="I12" s="16" t="str">
        <f t="shared" si="2"/>
        <v/>
      </c>
      <c r="J12" s="45"/>
      <c r="K12" s="45"/>
      <c r="L12" s="45"/>
      <c r="M12" s="43"/>
    </row>
    <row r="13" spans="1:13">
      <c r="A13" s="10" t="str">
        <f t="shared" si="3"/>
        <v/>
      </c>
      <c r="B13" s="53"/>
      <c r="C13" s="13" t="str">
        <f t="shared" si="0"/>
        <v/>
      </c>
      <c r="D13" s="13" t="str">
        <f t="shared" si="1"/>
        <v/>
      </c>
      <c r="E13" s="45"/>
      <c r="F13" s="11" t="str">
        <f>IFERROR(VLOOKUP(E13,Category!$D$2:$E$600,2,FALSE),"")</f>
        <v/>
      </c>
      <c r="G13" s="56"/>
      <c r="H13" s="56"/>
      <c r="I13" s="16" t="str">
        <f t="shared" si="2"/>
        <v/>
      </c>
      <c r="J13" s="45"/>
      <c r="K13" s="45"/>
      <c r="L13" s="45"/>
      <c r="M13" s="43"/>
    </row>
    <row r="14" spans="1:13">
      <c r="A14" s="10" t="str">
        <f t="shared" si="3"/>
        <v/>
      </c>
      <c r="B14" s="53"/>
      <c r="C14" s="13" t="str">
        <f t="shared" si="0"/>
        <v/>
      </c>
      <c r="D14" s="13" t="str">
        <f t="shared" si="1"/>
        <v/>
      </c>
      <c r="E14" s="45"/>
      <c r="F14" s="11" t="str">
        <f>IFERROR(VLOOKUP(E14,Category!$D$2:$E$600,2,FALSE),"")</f>
        <v/>
      </c>
      <c r="G14" s="56"/>
      <c r="H14" s="56"/>
      <c r="I14" s="16" t="str">
        <f t="shared" si="2"/>
        <v/>
      </c>
      <c r="J14" s="45"/>
      <c r="K14" s="45"/>
      <c r="L14" s="45"/>
    </row>
    <row r="15" spans="1:13">
      <c r="A15" s="10" t="str">
        <f t="shared" si="3"/>
        <v/>
      </c>
      <c r="B15" s="53"/>
      <c r="C15" s="13" t="str">
        <f t="shared" si="0"/>
        <v/>
      </c>
      <c r="D15" s="13" t="str">
        <f t="shared" si="1"/>
        <v/>
      </c>
      <c r="E15" s="45"/>
      <c r="F15" s="11" t="str">
        <f>IFERROR(VLOOKUP(E15,Category!$D$2:$E$600,2,FALSE),"")</f>
        <v/>
      </c>
      <c r="G15" s="56"/>
      <c r="H15" s="56"/>
      <c r="I15" s="16" t="str">
        <f t="shared" si="2"/>
        <v/>
      </c>
      <c r="J15" s="45"/>
      <c r="K15" s="45"/>
      <c r="L15" s="45"/>
    </row>
    <row r="16" spans="1:13">
      <c r="A16" s="10" t="str">
        <f t="shared" si="3"/>
        <v/>
      </c>
      <c r="B16" s="53"/>
      <c r="C16" s="13" t="str">
        <f t="shared" si="0"/>
        <v/>
      </c>
      <c r="D16" s="13" t="str">
        <f t="shared" si="1"/>
        <v/>
      </c>
      <c r="E16" s="45"/>
      <c r="F16" s="11" t="str">
        <f>IFERROR(VLOOKUP(E16,Category!$D$2:$E$600,2,FALSE),"")</f>
        <v/>
      </c>
      <c r="G16" s="56"/>
      <c r="H16" s="56"/>
      <c r="I16" s="16" t="str">
        <f t="shared" si="2"/>
        <v/>
      </c>
      <c r="J16" s="45"/>
      <c r="K16" s="45"/>
      <c r="L16" s="45"/>
    </row>
    <row r="17" spans="1:12">
      <c r="A17" s="10" t="str">
        <f t="shared" si="3"/>
        <v/>
      </c>
      <c r="B17" s="53"/>
      <c r="C17" s="13" t="str">
        <f t="shared" si="0"/>
        <v/>
      </c>
      <c r="D17" s="13" t="str">
        <f t="shared" si="1"/>
        <v/>
      </c>
      <c r="E17" s="45"/>
      <c r="F17" s="11" t="str">
        <f>IFERROR(VLOOKUP(E17,Category!$D$2:$E$600,2,FALSE),"")</f>
        <v/>
      </c>
      <c r="G17" s="56"/>
      <c r="H17" s="56"/>
      <c r="I17" s="16" t="str">
        <f t="shared" si="2"/>
        <v/>
      </c>
      <c r="J17" s="45"/>
      <c r="K17" s="45"/>
      <c r="L17" s="45"/>
    </row>
    <row r="18" spans="1:12">
      <c r="A18" s="10" t="str">
        <f t="shared" si="3"/>
        <v/>
      </c>
      <c r="B18" s="53"/>
      <c r="C18" s="13" t="str">
        <f t="shared" si="0"/>
        <v/>
      </c>
      <c r="D18" s="13" t="str">
        <f t="shared" si="1"/>
        <v/>
      </c>
      <c r="E18" s="45"/>
      <c r="F18" s="11" t="str">
        <f>IFERROR(VLOOKUP(E18,Category!$D$2:$E$600,2,FALSE),"")</f>
        <v/>
      </c>
      <c r="G18" s="56"/>
      <c r="H18" s="60"/>
      <c r="I18" s="16" t="str">
        <f t="shared" si="2"/>
        <v/>
      </c>
      <c r="J18" s="45"/>
      <c r="K18" s="45"/>
      <c r="L18" s="45"/>
    </row>
    <row r="19" spans="1:12">
      <c r="A19" s="10" t="str">
        <f t="shared" si="3"/>
        <v/>
      </c>
      <c r="B19" s="53"/>
      <c r="C19" s="13" t="str">
        <f t="shared" si="0"/>
        <v/>
      </c>
      <c r="D19" s="13" t="str">
        <f t="shared" si="1"/>
        <v/>
      </c>
      <c r="E19" s="45"/>
      <c r="F19" s="11" t="str">
        <f>IFERROR(VLOOKUP(E19,Category!$D$2:$E$600,2,FALSE),"")</f>
        <v/>
      </c>
      <c r="G19" s="56"/>
      <c r="H19" s="56"/>
      <c r="I19" s="16" t="str">
        <f t="shared" si="2"/>
        <v/>
      </c>
      <c r="J19" s="45"/>
      <c r="K19" s="45"/>
      <c r="L19" s="45"/>
    </row>
    <row r="20" spans="1:12">
      <c r="A20" s="10" t="str">
        <f t="shared" si="3"/>
        <v/>
      </c>
      <c r="B20" s="53"/>
      <c r="C20" s="13" t="str">
        <f t="shared" si="0"/>
        <v/>
      </c>
      <c r="D20" s="13" t="str">
        <f t="shared" si="1"/>
        <v/>
      </c>
      <c r="E20" s="45"/>
      <c r="F20" s="11" t="str">
        <f>IFERROR(VLOOKUP(E20,Category!$D$2:$E$600,2,FALSE),"")</f>
        <v/>
      </c>
      <c r="G20" s="56"/>
      <c r="H20" s="56"/>
      <c r="I20" s="16" t="str">
        <f t="shared" si="2"/>
        <v/>
      </c>
      <c r="J20" s="45"/>
      <c r="K20" s="45"/>
      <c r="L20" s="45"/>
    </row>
    <row r="21" spans="1:12">
      <c r="A21" s="10" t="str">
        <f t="shared" si="3"/>
        <v/>
      </c>
      <c r="B21" s="53"/>
      <c r="C21" s="13" t="str">
        <f t="shared" si="0"/>
        <v/>
      </c>
      <c r="D21" s="13" t="str">
        <f t="shared" si="1"/>
        <v/>
      </c>
      <c r="E21" s="45"/>
      <c r="F21" s="11" t="str">
        <f>IFERROR(VLOOKUP(E21,Category!$D$2:$E$600,2,FALSE),"")</f>
        <v/>
      </c>
      <c r="G21" s="56"/>
      <c r="H21" s="56"/>
      <c r="I21" s="16" t="str">
        <f t="shared" si="2"/>
        <v/>
      </c>
      <c r="J21" s="45"/>
      <c r="K21" s="45"/>
      <c r="L21" s="45"/>
    </row>
    <row r="22" spans="1:12">
      <c r="A22" s="10" t="str">
        <f t="shared" si="3"/>
        <v/>
      </c>
      <c r="B22" s="53"/>
      <c r="C22" s="13" t="str">
        <f t="shared" si="0"/>
        <v/>
      </c>
      <c r="D22" s="13" t="str">
        <f t="shared" si="1"/>
        <v/>
      </c>
      <c r="E22" s="45"/>
      <c r="F22" s="11" t="str">
        <f>IFERROR(VLOOKUP(E22,Category!$D$2:$E$600,2,FALSE),"")</f>
        <v/>
      </c>
      <c r="G22" s="56"/>
      <c r="H22" s="56"/>
      <c r="I22" s="16" t="str">
        <f t="shared" si="2"/>
        <v/>
      </c>
      <c r="J22" s="45"/>
      <c r="K22" s="45"/>
      <c r="L22" s="45"/>
    </row>
    <row r="23" spans="1:12">
      <c r="A23" s="10" t="str">
        <f t="shared" si="3"/>
        <v/>
      </c>
      <c r="B23" s="53"/>
      <c r="C23" s="13" t="str">
        <f t="shared" si="0"/>
        <v/>
      </c>
      <c r="D23" s="13" t="str">
        <f t="shared" si="1"/>
        <v/>
      </c>
      <c r="E23" s="45"/>
      <c r="F23" s="11" t="str">
        <f>IFERROR(VLOOKUP(E23,Category!$D$2:$E$600,2,FALSE),"")</f>
        <v/>
      </c>
      <c r="G23" s="56"/>
      <c r="H23" s="56"/>
      <c r="I23" s="16" t="str">
        <f t="shared" si="2"/>
        <v/>
      </c>
      <c r="J23" s="45"/>
      <c r="K23" s="45"/>
      <c r="L23" s="45"/>
    </row>
    <row r="24" spans="1:12">
      <c r="A24" s="10" t="str">
        <f t="shared" si="3"/>
        <v/>
      </c>
      <c r="B24" s="53"/>
      <c r="C24" s="13" t="str">
        <f t="shared" si="0"/>
        <v/>
      </c>
      <c r="D24" s="13" t="str">
        <f t="shared" si="1"/>
        <v/>
      </c>
      <c r="E24" s="45"/>
      <c r="F24" s="11" t="str">
        <f>IFERROR(VLOOKUP(E24,Category!$D$2:$E$600,2,FALSE),"")</f>
        <v/>
      </c>
      <c r="G24" s="56"/>
      <c r="H24" s="56"/>
      <c r="I24" s="16" t="str">
        <f t="shared" si="2"/>
        <v/>
      </c>
      <c r="J24" s="45"/>
      <c r="K24" s="45"/>
      <c r="L24" s="45"/>
    </row>
    <row r="25" spans="1:12">
      <c r="A25" s="10" t="str">
        <f t="shared" si="3"/>
        <v/>
      </c>
      <c r="B25" s="45"/>
      <c r="C25" s="13" t="str">
        <f t="shared" si="0"/>
        <v/>
      </c>
      <c r="D25" s="13" t="str">
        <f t="shared" si="1"/>
        <v/>
      </c>
      <c r="E25" s="45"/>
      <c r="F25" s="11" t="str">
        <f>IFERROR(VLOOKUP(E25,Category!$D$2:$E$600,2,FALSE),"")</f>
        <v/>
      </c>
      <c r="G25" s="56"/>
      <c r="H25" s="56"/>
      <c r="I25" s="16" t="str">
        <f t="shared" si="2"/>
        <v/>
      </c>
      <c r="J25" s="45"/>
      <c r="K25" s="45"/>
      <c r="L25" s="45"/>
    </row>
    <row r="26" spans="1:12">
      <c r="A26" s="10" t="str">
        <f t="shared" si="3"/>
        <v/>
      </c>
      <c r="B26" s="45"/>
      <c r="C26" s="13" t="str">
        <f t="shared" si="0"/>
        <v/>
      </c>
      <c r="D26" s="13" t="str">
        <f t="shared" si="1"/>
        <v/>
      </c>
      <c r="E26" s="45"/>
      <c r="F26" s="11" t="str">
        <f>IFERROR(VLOOKUP(E26,Category!$D$2:$E$600,2,FALSE),"")</f>
        <v/>
      </c>
      <c r="G26" s="56"/>
      <c r="H26" s="56"/>
      <c r="I26" s="16" t="str">
        <f t="shared" si="2"/>
        <v/>
      </c>
      <c r="J26" s="45"/>
      <c r="K26" s="45"/>
      <c r="L26" s="45"/>
    </row>
    <row r="27" spans="1:12">
      <c r="A27" s="10" t="str">
        <f t="shared" si="3"/>
        <v/>
      </c>
      <c r="B27" s="45"/>
      <c r="C27" s="13" t="str">
        <f t="shared" si="0"/>
        <v/>
      </c>
      <c r="D27" s="13" t="str">
        <f t="shared" si="1"/>
        <v/>
      </c>
      <c r="E27" s="45"/>
      <c r="F27" s="11" t="str">
        <f>IFERROR(VLOOKUP(E27,Category!$D$2:$E$600,2,FALSE),"")</f>
        <v/>
      </c>
      <c r="G27" s="56"/>
      <c r="H27" s="56"/>
      <c r="I27" s="16" t="str">
        <f t="shared" si="2"/>
        <v/>
      </c>
      <c r="J27" s="45"/>
      <c r="K27" s="45"/>
      <c r="L27" s="45"/>
    </row>
    <row r="28" spans="1:12">
      <c r="A28" s="10" t="str">
        <f t="shared" si="3"/>
        <v/>
      </c>
      <c r="B28" s="45"/>
      <c r="C28" s="13" t="str">
        <f t="shared" si="0"/>
        <v/>
      </c>
      <c r="D28" s="13" t="str">
        <f t="shared" si="1"/>
        <v/>
      </c>
      <c r="E28" s="45"/>
      <c r="F28" s="11" t="str">
        <f>IFERROR(VLOOKUP(E28,Category!$D$2:$E$600,2,FALSE),"")</f>
        <v/>
      </c>
      <c r="G28" s="56"/>
      <c r="H28" s="56"/>
      <c r="I28" s="16" t="str">
        <f t="shared" si="2"/>
        <v/>
      </c>
      <c r="J28" s="45"/>
      <c r="K28" s="45"/>
      <c r="L28" s="45"/>
    </row>
    <row r="29" spans="1:12">
      <c r="A29" s="10" t="str">
        <f t="shared" si="3"/>
        <v/>
      </c>
      <c r="B29" s="45"/>
      <c r="C29" s="13" t="str">
        <f t="shared" si="0"/>
        <v/>
      </c>
      <c r="D29" s="13" t="str">
        <f t="shared" si="1"/>
        <v/>
      </c>
      <c r="E29" s="45"/>
      <c r="F29" s="11" t="str">
        <f>IFERROR(VLOOKUP(E29,Category!$D$2:$E$600,2,FALSE),"")</f>
        <v/>
      </c>
      <c r="G29" s="56"/>
      <c r="H29" s="56"/>
      <c r="I29" s="16" t="str">
        <f t="shared" si="2"/>
        <v/>
      </c>
      <c r="J29" s="45"/>
      <c r="K29" s="45"/>
      <c r="L29" s="45"/>
    </row>
    <row r="30" spans="1:12">
      <c r="A30" s="10" t="str">
        <f t="shared" si="3"/>
        <v/>
      </c>
      <c r="B30" s="45"/>
      <c r="C30" s="13" t="str">
        <f t="shared" si="0"/>
        <v/>
      </c>
      <c r="D30" s="13" t="str">
        <f t="shared" si="1"/>
        <v/>
      </c>
      <c r="E30" s="45"/>
      <c r="F30" s="11" t="str">
        <f>IFERROR(VLOOKUP(E30,Category!$D$2:$E$600,2,FALSE),"")</f>
        <v/>
      </c>
      <c r="G30" s="56"/>
      <c r="H30" s="56"/>
      <c r="I30" s="16" t="str">
        <f t="shared" si="2"/>
        <v/>
      </c>
      <c r="J30" s="45"/>
      <c r="K30" s="45"/>
      <c r="L30" s="45"/>
    </row>
    <row r="31" spans="1:12">
      <c r="A31" s="10" t="str">
        <f t="shared" si="3"/>
        <v/>
      </c>
      <c r="B31" s="45"/>
      <c r="C31" s="13" t="str">
        <f t="shared" si="0"/>
        <v/>
      </c>
      <c r="D31" s="13" t="str">
        <f t="shared" si="1"/>
        <v/>
      </c>
      <c r="E31" s="45"/>
      <c r="F31" s="11" t="str">
        <f>IFERROR(VLOOKUP(E31,Category!$D$2:$E$600,2,FALSE),"")</f>
        <v/>
      </c>
      <c r="G31" s="56"/>
      <c r="H31" s="56"/>
      <c r="I31" s="16" t="str">
        <f t="shared" si="2"/>
        <v/>
      </c>
      <c r="J31" s="45"/>
      <c r="K31" s="45"/>
      <c r="L31" s="45"/>
    </row>
    <row r="32" spans="1:12">
      <c r="A32" s="10" t="str">
        <f t="shared" si="3"/>
        <v/>
      </c>
      <c r="B32" s="45"/>
      <c r="C32" s="13" t="str">
        <f t="shared" si="0"/>
        <v/>
      </c>
      <c r="D32" s="13" t="str">
        <f t="shared" si="1"/>
        <v/>
      </c>
      <c r="E32" s="45"/>
      <c r="F32" s="11" t="str">
        <f>IFERROR(VLOOKUP(E32,Category!$D$2:$E$600,2,FALSE),"")</f>
        <v/>
      </c>
      <c r="G32" s="56"/>
      <c r="H32" s="56"/>
      <c r="I32" s="16" t="str">
        <f t="shared" si="2"/>
        <v/>
      </c>
      <c r="J32" s="45"/>
      <c r="K32" s="45"/>
      <c r="L32" s="45"/>
    </row>
    <row r="33" spans="1:12">
      <c r="A33" s="10" t="str">
        <f t="shared" si="3"/>
        <v/>
      </c>
      <c r="B33" s="45"/>
      <c r="C33" s="13" t="str">
        <f t="shared" si="0"/>
        <v/>
      </c>
      <c r="D33" s="13" t="str">
        <f t="shared" si="1"/>
        <v/>
      </c>
      <c r="E33" s="45"/>
      <c r="F33" s="11" t="str">
        <f>IFERROR(VLOOKUP(E33,Category!$D$2:$E$600,2,FALSE),"")</f>
        <v/>
      </c>
      <c r="G33" s="56"/>
      <c r="H33" s="56"/>
      <c r="I33" s="16" t="str">
        <f t="shared" si="2"/>
        <v/>
      </c>
      <c r="J33" s="45"/>
      <c r="K33" s="45"/>
      <c r="L33" s="45"/>
    </row>
    <row r="34" spans="1:12">
      <c r="A34" s="10" t="str">
        <f t="shared" si="3"/>
        <v/>
      </c>
      <c r="B34" s="45"/>
      <c r="C34" s="13" t="str">
        <f t="shared" si="0"/>
        <v/>
      </c>
      <c r="D34" s="13" t="str">
        <f t="shared" si="1"/>
        <v/>
      </c>
      <c r="E34" s="45"/>
      <c r="F34" s="11" t="str">
        <f>IFERROR(VLOOKUP(E34,Category!$D$2:$E$600,2,FALSE),"")</f>
        <v/>
      </c>
      <c r="G34" s="56"/>
      <c r="H34" s="56"/>
      <c r="I34" s="16" t="str">
        <f t="shared" si="2"/>
        <v/>
      </c>
      <c r="J34" s="45"/>
      <c r="K34" s="45"/>
      <c r="L34" s="45"/>
    </row>
    <row r="35" spans="1:12">
      <c r="A35" s="10" t="str">
        <f t="shared" si="3"/>
        <v/>
      </c>
      <c r="B35" s="45"/>
      <c r="C35" s="13" t="str">
        <f t="shared" si="0"/>
        <v/>
      </c>
      <c r="D35" s="13" t="str">
        <f t="shared" si="1"/>
        <v/>
      </c>
      <c r="E35" s="45"/>
      <c r="F35" s="11" t="str">
        <f>IFERROR(VLOOKUP(E35,Category!$D$2:$E$600,2,FALSE),"")</f>
        <v/>
      </c>
      <c r="G35" s="56"/>
      <c r="H35" s="56"/>
      <c r="I35" s="16" t="str">
        <f t="shared" si="2"/>
        <v/>
      </c>
      <c r="J35" s="45"/>
      <c r="K35" s="45"/>
      <c r="L35" s="45"/>
    </row>
    <row r="36" spans="1:12">
      <c r="A36" s="10" t="str">
        <f t="shared" si="3"/>
        <v/>
      </c>
      <c r="B36" s="45"/>
      <c r="C36" s="13" t="str">
        <f t="shared" si="0"/>
        <v/>
      </c>
      <c r="D36" s="13" t="str">
        <f t="shared" si="1"/>
        <v/>
      </c>
      <c r="E36" s="45"/>
      <c r="F36" s="11" t="str">
        <f>IFERROR(VLOOKUP(E36,Category!$D$2:$E$600,2,FALSE),"")</f>
        <v/>
      </c>
      <c r="G36" s="56"/>
      <c r="H36" s="56"/>
      <c r="I36" s="16" t="str">
        <f t="shared" si="2"/>
        <v/>
      </c>
      <c r="J36" s="45"/>
      <c r="K36" s="45"/>
      <c r="L36" s="45"/>
    </row>
    <row r="37" spans="1:12">
      <c r="A37" s="10" t="str">
        <f t="shared" si="3"/>
        <v/>
      </c>
      <c r="B37" s="45"/>
      <c r="C37" s="13" t="str">
        <f t="shared" si="0"/>
        <v/>
      </c>
      <c r="D37" s="13" t="str">
        <f t="shared" si="1"/>
        <v/>
      </c>
      <c r="E37" s="45"/>
      <c r="F37" s="11" t="str">
        <f>IFERROR(VLOOKUP(E37,Category!$D$2:$E$600,2,FALSE),"")</f>
        <v/>
      </c>
      <c r="G37" s="56"/>
      <c r="H37" s="56"/>
      <c r="I37" s="16" t="str">
        <f t="shared" si="2"/>
        <v/>
      </c>
      <c r="J37" s="45"/>
      <c r="K37" s="45"/>
      <c r="L37" s="45"/>
    </row>
    <row r="38" spans="1:12">
      <c r="A38" s="10" t="str">
        <f t="shared" si="3"/>
        <v/>
      </c>
      <c r="B38" s="45"/>
      <c r="C38" s="13" t="str">
        <f t="shared" si="0"/>
        <v/>
      </c>
      <c r="D38" s="13" t="str">
        <f t="shared" si="1"/>
        <v/>
      </c>
      <c r="E38" s="45"/>
      <c r="F38" s="11" t="str">
        <f>IFERROR(VLOOKUP(E38,Category!$D$2:$E$600,2,FALSE),"")</f>
        <v/>
      </c>
      <c r="G38" s="56"/>
      <c r="H38" s="56"/>
      <c r="I38" s="16" t="str">
        <f t="shared" si="2"/>
        <v/>
      </c>
      <c r="J38" s="45"/>
      <c r="K38" s="45"/>
      <c r="L38" s="45"/>
    </row>
    <row r="39" spans="1:12">
      <c r="A39" s="10" t="str">
        <f t="shared" si="3"/>
        <v/>
      </c>
      <c r="B39" s="45"/>
      <c r="C39" s="13" t="str">
        <f t="shared" si="0"/>
        <v/>
      </c>
      <c r="D39" s="13" t="str">
        <f t="shared" si="1"/>
        <v/>
      </c>
      <c r="E39" s="45"/>
      <c r="F39" s="11" t="str">
        <f>IFERROR(VLOOKUP(E39,Category!$D$2:$E$600,2,FALSE),"")</f>
        <v/>
      </c>
      <c r="G39" s="56"/>
      <c r="H39" s="56"/>
      <c r="I39" s="16" t="str">
        <f t="shared" si="2"/>
        <v/>
      </c>
      <c r="J39" s="45"/>
      <c r="K39" s="45"/>
      <c r="L39" s="45"/>
    </row>
    <row r="40" spans="1:12">
      <c r="A40" s="10" t="str">
        <f t="shared" si="3"/>
        <v/>
      </c>
      <c r="B40" s="45"/>
      <c r="C40" s="13" t="str">
        <f t="shared" si="0"/>
        <v/>
      </c>
      <c r="D40" s="13" t="str">
        <f t="shared" si="1"/>
        <v/>
      </c>
      <c r="E40" s="45"/>
      <c r="F40" s="11" t="str">
        <f>IFERROR(VLOOKUP(E40,Category!$D$2:$E$600,2,FALSE),"")</f>
        <v/>
      </c>
      <c r="G40" s="56"/>
      <c r="H40" s="56"/>
      <c r="I40" s="16" t="str">
        <f t="shared" si="2"/>
        <v/>
      </c>
      <c r="J40" s="45"/>
      <c r="K40" s="45"/>
      <c r="L40" s="45"/>
    </row>
    <row r="41" spans="1:12">
      <c r="A41" s="10" t="str">
        <f t="shared" si="3"/>
        <v/>
      </c>
      <c r="B41" s="45"/>
      <c r="C41" s="13" t="str">
        <f t="shared" si="0"/>
        <v/>
      </c>
      <c r="D41" s="13" t="str">
        <f t="shared" si="1"/>
        <v/>
      </c>
      <c r="E41" s="45"/>
      <c r="F41" s="11" t="str">
        <f>IFERROR(VLOOKUP(E41,Category!$D$2:$E$600,2,FALSE),"")</f>
        <v/>
      </c>
      <c r="G41" s="56"/>
      <c r="H41" s="56"/>
      <c r="I41" s="16" t="str">
        <f t="shared" si="2"/>
        <v/>
      </c>
      <c r="J41" s="45"/>
      <c r="K41" s="45"/>
      <c r="L41" s="45"/>
    </row>
    <row r="42" spans="1:12">
      <c r="A42" s="10" t="str">
        <f t="shared" si="3"/>
        <v/>
      </c>
      <c r="B42" s="45"/>
      <c r="C42" s="13" t="str">
        <f t="shared" si="0"/>
        <v/>
      </c>
      <c r="D42" s="13" t="str">
        <f t="shared" si="1"/>
        <v/>
      </c>
      <c r="E42" s="45"/>
      <c r="F42" s="11" t="str">
        <f>IFERROR(VLOOKUP(E42,Category!$D$2:$E$600,2,FALSE),"")</f>
        <v/>
      </c>
      <c r="G42" s="56"/>
      <c r="H42" s="56"/>
      <c r="I42" s="16" t="str">
        <f t="shared" si="2"/>
        <v/>
      </c>
      <c r="J42" s="45"/>
      <c r="K42" s="45"/>
      <c r="L42" s="45"/>
    </row>
    <row r="43" spans="1:12">
      <c r="A43" s="10" t="str">
        <f t="shared" si="3"/>
        <v/>
      </c>
      <c r="B43" s="45"/>
      <c r="C43" s="13" t="str">
        <f t="shared" si="0"/>
        <v/>
      </c>
      <c r="D43" s="13" t="str">
        <f t="shared" si="1"/>
        <v/>
      </c>
      <c r="E43" s="45"/>
      <c r="F43" s="11" t="str">
        <f>IFERROR(VLOOKUP(E43,Category!$D$2:$E$600,2,FALSE),"")</f>
        <v/>
      </c>
      <c r="G43" s="56"/>
      <c r="H43" s="56"/>
      <c r="I43" s="16" t="str">
        <f t="shared" si="2"/>
        <v/>
      </c>
      <c r="J43" s="45"/>
      <c r="K43" s="45"/>
      <c r="L43" s="45"/>
    </row>
    <row r="44" spans="1:12">
      <c r="A44" s="10" t="str">
        <f t="shared" si="3"/>
        <v/>
      </c>
      <c r="B44" s="45"/>
      <c r="C44" s="13" t="str">
        <f t="shared" si="0"/>
        <v/>
      </c>
      <c r="D44" s="13" t="str">
        <f t="shared" si="1"/>
        <v/>
      </c>
      <c r="E44" s="45"/>
      <c r="F44" s="11" t="str">
        <f>IFERROR(VLOOKUP(E44,Category!$D$2:$E$600,2,FALSE),"")</f>
        <v/>
      </c>
      <c r="G44" s="56"/>
      <c r="H44" s="56"/>
      <c r="I44" s="16" t="str">
        <f t="shared" si="2"/>
        <v/>
      </c>
      <c r="J44" s="45"/>
      <c r="K44" s="45"/>
      <c r="L44" s="45"/>
    </row>
    <row r="45" spans="1:12">
      <c r="A45" s="10" t="str">
        <f t="shared" si="3"/>
        <v/>
      </c>
      <c r="B45" s="45"/>
      <c r="C45" s="13" t="str">
        <f t="shared" si="0"/>
        <v/>
      </c>
      <c r="D45" s="13" t="str">
        <f t="shared" si="1"/>
        <v/>
      </c>
      <c r="E45" s="45"/>
      <c r="F45" s="11" t="str">
        <f>IFERROR(VLOOKUP(E45,Category!$D$2:$E$600,2,FALSE),"")</f>
        <v/>
      </c>
      <c r="G45" s="56"/>
      <c r="H45" s="56"/>
      <c r="I45" s="16" t="str">
        <f t="shared" si="2"/>
        <v/>
      </c>
      <c r="J45" s="45"/>
      <c r="K45" s="45"/>
      <c r="L45" s="45"/>
    </row>
    <row r="46" spans="1:12">
      <c r="A46" s="10" t="str">
        <f t="shared" si="3"/>
        <v/>
      </c>
      <c r="B46" s="45"/>
      <c r="C46" s="13" t="str">
        <f t="shared" si="0"/>
        <v/>
      </c>
      <c r="D46" s="13" t="str">
        <f t="shared" si="1"/>
        <v/>
      </c>
      <c r="E46" s="45"/>
      <c r="F46" s="11" t="str">
        <f>IFERROR(VLOOKUP(E46,Category!$D$2:$E$600,2,FALSE),"")</f>
        <v/>
      </c>
      <c r="G46" s="56"/>
      <c r="H46" s="56"/>
      <c r="I46" s="16" t="str">
        <f t="shared" si="2"/>
        <v/>
      </c>
      <c r="J46" s="45"/>
      <c r="K46" s="45"/>
      <c r="L46" s="45"/>
    </row>
    <row r="47" spans="1:12">
      <c r="A47" s="10" t="str">
        <f t="shared" si="3"/>
        <v/>
      </c>
      <c r="B47" s="45"/>
      <c r="C47" s="13" t="str">
        <f t="shared" si="0"/>
        <v/>
      </c>
      <c r="D47" s="13" t="str">
        <f t="shared" si="1"/>
        <v/>
      </c>
      <c r="E47" s="45"/>
      <c r="F47" s="11" t="str">
        <f>IFERROR(VLOOKUP(E47,Category!$D$2:$E$600,2,FALSE),"")</f>
        <v/>
      </c>
      <c r="G47" s="56"/>
      <c r="H47" s="56"/>
      <c r="I47" s="16" t="str">
        <f t="shared" si="2"/>
        <v/>
      </c>
      <c r="J47" s="45"/>
      <c r="K47" s="45"/>
      <c r="L47" s="45"/>
    </row>
    <row r="48" spans="1:12">
      <c r="A48" s="10" t="str">
        <f t="shared" si="3"/>
        <v/>
      </c>
      <c r="B48" s="45"/>
      <c r="C48" s="13" t="str">
        <f t="shared" si="0"/>
        <v/>
      </c>
      <c r="D48" s="13" t="str">
        <f t="shared" si="1"/>
        <v/>
      </c>
      <c r="E48" s="45"/>
      <c r="F48" s="11" t="str">
        <f>IFERROR(VLOOKUP(E48,Category!$D$2:$E$600,2,FALSE),"")</f>
        <v/>
      </c>
      <c r="G48" s="56"/>
      <c r="H48" s="56"/>
      <c r="I48" s="16" t="str">
        <f t="shared" si="2"/>
        <v/>
      </c>
      <c r="J48" s="45"/>
      <c r="K48" s="45"/>
      <c r="L48" s="45"/>
    </row>
    <row r="49" spans="1:12">
      <c r="A49" s="10" t="str">
        <f t="shared" si="3"/>
        <v/>
      </c>
      <c r="B49" s="45"/>
      <c r="C49" s="13" t="str">
        <f t="shared" si="0"/>
        <v/>
      </c>
      <c r="D49" s="13" t="str">
        <f t="shared" si="1"/>
        <v/>
      </c>
      <c r="E49" s="45"/>
      <c r="F49" s="11" t="str">
        <f>IFERROR(VLOOKUP(E49,Category!$D$2:$E$600,2,FALSE),"")</f>
        <v/>
      </c>
      <c r="G49" s="56"/>
      <c r="H49" s="56"/>
      <c r="I49" s="16" t="str">
        <f t="shared" si="2"/>
        <v/>
      </c>
      <c r="J49" s="45"/>
      <c r="K49" s="45"/>
      <c r="L49" s="45"/>
    </row>
    <row r="50" spans="1:12">
      <c r="A50" s="10" t="str">
        <f t="shared" si="3"/>
        <v/>
      </c>
      <c r="B50" s="45"/>
      <c r="C50" s="13" t="str">
        <f t="shared" si="0"/>
        <v/>
      </c>
      <c r="D50" s="13" t="str">
        <f t="shared" si="1"/>
        <v/>
      </c>
      <c r="E50" s="45"/>
      <c r="F50" s="11" t="str">
        <f>IFERROR(VLOOKUP(E50,Category!$D$2:$E$600,2,FALSE),"")</f>
        <v/>
      </c>
      <c r="G50" s="56"/>
      <c r="H50" s="56"/>
      <c r="I50" s="16" t="str">
        <f t="shared" si="2"/>
        <v/>
      </c>
      <c r="J50" s="45"/>
      <c r="K50" s="45"/>
      <c r="L50" s="45"/>
    </row>
    <row r="51" spans="1:12">
      <c r="A51" s="10" t="str">
        <f t="shared" si="3"/>
        <v/>
      </c>
      <c r="B51" s="45"/>
      <c r="C51" s="13" t="str">
        <f t="shared" si="0"/>
        <v/>
      </c>
      <c r="D51" s="13" t="str">
        <f t="shared" si="1"/>
        <v/>
      </c>
      <c r="E51" s="45"/>
      <c r="F51" s="11" t="str">
        <f>IFERROR(VLOOKUP(E51,Category!$D$2:$E$600,2,FALSE),"")</f>
        <v/>
      </c>
      <c r="G51" s="56"/>
      <c r="H51" s="56"/>
      <c r="I51" s="16" t="str">
        <f t="shared" si="2"/>
        <v/>
      </c>
      <c r="J51" s="45"/>
      <c r="K51" s="45"/>
      <c r="L51" s="45"/>
    </row>
    <row r="52" spans="1:12">
      <c r="A52" s="10" t="str">
        <f t="shared" si="3"/>
        <v/>
      </c>
      <c r="B52" s="45"/>
      <c r="C52" s="13" t="str">
        <f t="shared" si="0"/>
        <v/>
      </c>
      <c r="D52" s="13" t="str">
        <f t="shared" si="1"/>
        <v/>
      </c>
      <c r="E52" s="45"/>
      <c r="F52" s="11" t="str">
        <f>IFERROR(VLOOKUP(E52,Category!$D$2:$E$600,2,FALSE),"")</f>
        <v/>
      </c>
      <c r="G52" s="56"/>
      <c r="H52" s="56"/>
      <c r="I52" s="16" t="str">
        <f t="shared" si="2"/>
        <v/>
      </c>
      <c r="J52" s="45"/>
      <c r="K52" s="45"/>
      <c r="L52" s="45"/>
    </row>
    <row r="53" spans="1:12">
      <c r="A53" s="10" t="str">
        <f t="shared" si="3"/>
        <v/>
      </c>
      <c r="B53" s="45"/>
      <c r="C53" s="13" t="str">
        <f t="shared" si="0"/>
        <v/>
      </c>
      <c r="D53" s="13" t="str">
        <f t="shared" si="1"/>
        <v/>
      </c>
      <c r="E53" s="45"/>
      <c r="F53" s="11" t="str">
        <f>IFERROR(VLOOKUP(E53,Category!$D$2:$E$600,2,FALSE),"")</f>
        <v/>
      </c>
      <c r="G53" s="56"/>
      <c r="H53" s="56"/>
      <c r="I53" s="16" t="str">
        <f t="shared" si="2"/>
        <v/>
      </c>
      <c r="J53" s="45"/>
      <c r="K53" s="45"/>
      <c r="L53" s="45"/>
    </row>
    <row r="54" spans="1:12">
      <c r="A54" s="10" t="str">
        <f t="shared" si="3"/>
        <v/>
      </c>
      <c r="B54" s="45"/>
      <c r="C54" s="13" t="str">
        <f t="shared" si="0"/>
        <v/>
      </c>
      <c r="D54" s="13" t="str">
        <f t="shared" si="1"/>
        <v/>
      </c>
      <c r="E54" s="45"/>
      <c r="F54" s="11" t="str">
        <f>IFERROR(VLOOKUP(E54,Category!$D$2:$E$600,2,FALSE),"")</f>
        <v/>
      </c>
      <c r="G54" s="56"/>
      <c r="H54" s="56"/>
      <c r="I54" s="16" t="str">
        <f t="shared" si="2"/>
        <v/>
      </c>
      <c r="J54" s="45"/>
      <c r="K54" s="45"/>
      <c r="L54" s="45"/>
    </row>
    <row r="55" spans="1:12">
      <c r="A55" s="10" t="str">
        <f t="shared" si="3"/>
        <v/>
      </c>
      <c r="B55" s="45"/>
      <c r="C55" s="13" t="str">
        <f t="shared" si="0"/>
        <v/>
      </c>
      <c r="D55" s="13" t="str">
        <f t="shared" si="1"/>
        <v/>
      </c>
      <c r="E55" s="45"/>
      <c r="F55" s="11" t="str">
        <f>IFERROR(VLOOKUP(E55,Category!$D$2:$E$600,2,FALSE),"")</f>
        <v/>
      </c>
      <c r="G55" s="56"/>
      <c r="H55" s="56"/>
      <c r="I55" s="16" t="str">
        <f t="shared" si="2"/>
        <v/>
      </c>
      <c r="J55" s="45"/>
      <c r="K55" s="45"/>
      <c r="L55" s="45"/>
    </row>
    <row r="56" spans="1:12">
      <c r="A56" s="10" t="str">
        <f t="shared" si="3"/>
        <v/>
      </c>
      <c r="B56" s="45"/>
      <c r="C56" s="13" t="str">
        <f t="shared" si="0"/>
        <v/>
      </c>
      <c r="D56" s="13" t="str">
        <f t="shared" si="1"/>
        <v/>
      </c>
      <c r="E56" s="45"/>
      <c r="F56" s="11" t="str">
        <f>IFERROR(VLOOKUP(E56,Category!$D$2:$E$600,2,FALSE),"")</f>
        <v/>
      </c>
      <c r="G56" s="56"/>
      <c r="H56" s="56"/>
      <c r="I56" s="16" t="str">
        <f t="shared" si="2"/>
        <v/>
      </c>
      <c r="J56" s="45"/>
      <c r="K56" s="45"/>
      <c r="L56" s="45"/>
    </row>
    <row r="57" spans="1:12">
      <c r="A57" s="10" t="str">
        <f t="shared" si="3"/>
        <v/>
      </c>
      <c r="B57" s="45"/>
      <c r="C57" s="13" t="str">
        <f t="shared" si="0"/>
        <v/>
      </c>
      <c r="D57" s="13" t="str">
        <f t="shared" si="1"/>
        <v/>
      </c>
      <c r="E57" s="45"/>
      <c r="F57" s="11" t="str">
        <f>IFERROR(VLOOKUP(E57,Category!$D$2:$E$600,2,FALSE),"")</f>
        <v/>
      </c>
      <c r="G57" s="56"/>
      <c r="H57" s="56"/>
      <c r="I57" s="16" t="str">
        <f t="shared" si="2"/>
        <v/>
      </c>
      <c r="J57" s="45"/>
      <c r="K57" s="45"/>
      <c r="L57" s="45"/>
    </row>
    <row r="58" spans="1:12">
      <c r="A58" s="10" t="str">
        <f t="shared" si="3"/>
        <v/>
      </c>
      <c r="B58" s="45"/>
      <c r="C58" s="13" t="str">
        <f t="shared" si="0"/>
        <v/>
      </c>
      <c r="D58" s="13" t="str">
        <f t="shared" si="1"/>
        <v/>
      </c>
      <c r="E58" s="45"/>
      <c r="F58" s="11" t="str">
        <f>IFERROR(VLOOKUP(E58,Category!$D$2:$E$600,2,FALSE),"")</f>
        <v/>
      </c>
      <c r="G58" s="56"/>
      <c r="H58" s="56"/>
      <c r="I58" s="16" t="str">
        <f t="shared" si="2"/>
        <v/>
      </c>
      <c r="J58" s="45"/>
      <c r="K58" s="45"/>
      <c r="L58" s="45"/>
    </row>
    <row r="59" spans="1:12">
      <c r="A59" s="10" t="str">
        <f t="shared" si="3"/>
        <v/>
      </c>
      <c r="B59" s="45"/>
      <c r="C59" s="13" t="str">
        <f t="shared" si="0"/>
        <v/>
      </c>
      <c r="D59" s="13" t="str">
        <f t="shared" si="1"/>
        <v/>
      </c>
      <c r="E59" s="45"/>
      <c r="F59" s="11" t="str">
        <f>IFERROR(VLOOKUP(E59,Category!$D$2:$E$600,2,FALSE),"")</f>
        <v/>
      </c>
      <c r="G59" s="56"/>
      <c r="H59" s="56"/>
      <c r="I59" s="16" t="str">
        <f t="shared" si="2"/>
        <v/>
      </c>
      <c r="J59" s="45"/>
      <c r="K59" s="45"/>
      <c r="L59" s="45"/>
    </row>
    <row r="60" spans="1:12">
      <c r="A60" s="10" t="str">
        <f t="shared" si="3"/>
        <v/>
      </c>
      <c r="B60" s="45"/>
      <c r="C60" s="13" t="str">
        <f t="shared" si="0"/>
        <v/>
      </c>
      <c r="D60" s="13" t="str">
        <f t="shared" si="1"/>
        <v/>
      </c>
      <c r="E60" s="45"/>
      <c r="F60" s="11" t="str">
        <f>IFERROR(VLOOKUP(E60,Category!$D$2:$E$600,2,FALSE),"")</f>
        <v/>
      </c>
      <c r="G60" s="56"/>
      <c r="H60" s="56"/>
      <c r="I60" s="16" t="str">
        <f t="shared" si="2"/>
        <v/>
      </c>
      <c r="J60" s="45"/>
      <c r="K60" s="45"/>
      <c r="L60" s="45"/>
    </row>
    <row r="61" spans="1:12">
      <c r="A61" s="10" t="str">
        <f t="shared" si="3"/>
        <v/>
      </c>
      <c r="B61" s="45"/>
      <c r="C61" s="13" t="str">
        <f t="shared" si="0"/>
        <v/>
      </c>
      <c r="D61" s="13" t="str">
        <f t="shared" si="1"/>
        <v/>
      </c>
      <c r="E61" s="45"/>
      <c r="F61" s="11" t="str">
        <f>IFERROR(VLOOKUP(E61,Category!$D$2:$E$600,2,FALSE),"")</f>
        <v/>
      </c>
      <c r="G61" s="56"/>
      <c r="H61" s="56"/>
      <c r="I61" s="16" t="str">
        <f t="shared" si="2"/>
        <v/>
      </c>
      <c r="J61" s="45"/>
      <c r="K61" s="45"/>
      <c r="L61" s="45"/>
    </row>
    <row r="62" spans="1:12">
      <c r="A62" s="10" t="str">
        <f t="shared" si="3"/>
        <v/>
      </c>
      <c r="B62" s="45"/>
      <c r="C62" s="13" t="str">
        <f t="shared" si="0"/>
        <v/>
      </c>
      <c r="D62" s="13" t="str">
        <f t="shared" si="1"/>
        <v/>
      </c>
      <c r="E62" s="45"/>
      <c r="F62" s="11" t="str">
        <f>IFERROR(VLOOKUP(E62,Category!$D$2:$E$600,2,FALSE),"")</f>
        <v/>
      </c>
      <c r="G62" s="56"/>
      <c r="H62" s="56"/>
      <c r="I62" s="16" t="str">
        <f t="shared" si="2"/>
        <v/>
      </c>
      <c r="J62" s="45"/>
      <c r="K62" s="45"/>
      <c r="L62" s="45"/>
    </row>
    <row r="63" spans="1:12">
      <c r="A63" s="10" t="str">
        <f t="shared" si="3"/>
        <v/>
      </c>
      <c r="B63" s="45"/>
      <c r="C63" s="13" t="str">
        <f t="shared" si="0"/>
        <v/>
      </c>
      <c r="D63" s="13" t="str">
        <f t="shared" si="1"/>
        <v/>
      </c>
      <c r="E63" s="45"/>
      <c r="F63" s="11" t="str">
        <f>IFERROR(VLOOKUP(E63,Category!$D$2:$E$600,2,FALSE),"")</f>
        <v/>
      </c>
      <c r="G63" s="56"/>
      <c r="H63" s="56"/>
      <c r="I63" s="16" t="str">
        <f t="shared" si="2"/>
        <v/>
      </c>
      <c r="J63" s="45"/>
      <c r="K63" s="45"/>
      <c r="L63" s="45"/>
    </row>
    <row r="64" spans="1:12">
      <c r="A64" s="10" t="str">
        <f t="shared" si="3"/>
        <v/>
      </c>
      <c r="B64" s="45"/>
      <c r="C64" s="13" t="str">
        <f t="shared" si="0"/>
        <v/>
      </c>
      <c r="D64" s="13" t="str">
        <f t="shared" si="1"/>
        <v/>
      </c>
      <c r="E64" s="45"/>
      <c r="F64" s="11" t="str">
        <f>IFERROR(VLOOKUP(E64,Category!$D$2:$E$600,2,FALSE),"")</f>
        <v/>
      </c>
      <c r="G64" s="56"/>
      <c r="H64" s="56"/>
      <c r="I64" s="16" t="str">
        <f t="shared" si="2"/>
        <v/>
      </c>
      <c r="J64" s="45"/>
      <c r="K64" s="45"/>
      <c r="L64" s="45"/>
    </row>
    <row r="65" spans="1:12">
      <c r="A65" s="10" t="str">
        <f t="shared" si="3"/>
        <v/>
      </c>
      <c r="B65" s="45"/>
      <c r="C65" s="13" t="str">
        <f t="shared" si="0"/>
        <v/>
      </c>
      <c r="D65" s="13" t="str">
        <f t="shared" si="1"/>
        <v/>
      </c>
      <c r="E65" s="45"/>
      <c r="F65" s="11" t="str">
        <f>IFERROR(VLOOKUP(E65,Category!$D$2:$E$600,2,FALSE),"")</f>
        <v/>
      </c>
      <c r="G65" s="56"/>
      <c r="H65" s="56"/>
      <c r="I65" s="16" t="str">
        <f t="shared" si="2"/>
        <v/>
      </c>
      <c r="J65" s="45"/>
      <c r="K65" s="45"/>
      <c r="L65" s="45"/>
    </row>
    <row r="66" spans="1:12">
      <c r="A66" s="10" t="str">
        <f t="shared" si="3"/>
        <v/>
      </c>
      <c r="B66" s="45"/>
      <c r="C66" s="13" t="str">
        <f t="shared" si="0"/>
        <v/>
      </c>
      <c r="D66" s="13" t="str">
        <f t="shared" si="1"/>
        <v/>
      </c>
      <c r="E66" s="45"/>
      <c r="F66" s="11" t="str">
        <f>IFERROR(VLOOKUP(E66,Category!$D$2:$E$600,2,FALSE),"")</f>
        <v/>
      </c>
      <c r="G66" s="56"/>
      <c r="H66" s="56"/>
      <c r="I66" s="16" t="str">
        <f t="shared" si="2"/>
        <v/>
      </c>
      <c r="J66" s="45"/>
      <c r="K66" s="45"/>
      <c r="L66" s="45"/>
    </row>
    <row r="67" spans="1:12">
      <c r="A67" s="10" t="str">
        <f t="shared" si="3"/>
        <v/>
      </c>
      <c r="B67" s="45"/>
      <c r="C67" s="13" t="str">
        <f t="shared" ref="C67:C130" si="4">IF(B67=0,"",TEXT(B67,"mmmm"))</f>
        <v/>
      </c>
      <c r="D67" s="13" t="str">
        <f t="shared" ref="D67:D130" si="5">IF(B67=0,"",TEXT(B67,"yyyy"))</f>
        <v/>
      </c>
      <c r="E67" s="45"/>
      <c r="F67" s="11" t="str">
        <f>IFERROR(VLOOKUP(E67,Category!$D$2:$E$600,2,FALSE),"")</f>
        <v/>
      </c>
      <c r="G67" s="56"/>
      <c r="H67" s="56"/>
      <c r="I67" s="16" t="str">
        <f t="shared" ref="I67:I130" si="6">IF(H67*G67=0,"",H67*G67)</f>
        <v/>
      </c>
      <c r="J67" s="45"/>
      <c r="K67" s="45"/>
      <c r="L67" s="45"/>
    </row>
    <row r="68" spans="1:12">
      <c r="A68" s="10" t="str">
        <f t="shared" ref="A68:A131" si="7">IF(E68&gt;0,A67+1,"")</f>
        <v/>
      </c>
      <c r="B68" s="45"/>
      <c r="C68" s="13" t="str">
        <f t="shared" si="4"/>
        <v/>
      </c>
      <c r="D68" s="13" t="str">
        <f t="shared" si="5"/>
        <v/>
      </c>
      <c r="E68" s="45"/>
      <c r="F68" s="11" t="str">
        <f>IFERROR(VLOOKUP(E68,Category!$D$2:$E$600,2,FALSE),"")</f>
        <v/>
      </c>
      <c r="G68" s="56"/>
      <c r="H68" s="56"/>
      <c r="I68" s="16" t="str">
        <f t="shared" si="6"/>
        <v/>
      </c>
      <c r="J68" s="45"/>
      <c r="K68" s="45"/>
      <c r="L68" s="45"/>
    </row>
    <row r="69" spans="1:12">
      <c r="A69" s="10" t="str">
        <f t="shared" si="7"/>
        <v/>
      </c>
      <c r="B69" s="45"/>
      <c r="C69" s="13" t="str">
        <f t="shared" si="4"/>
        <v/>
      </c>
      <c r="D69" s="13" t="str">
        <f t="shared" si="5"/>
        <v/>
      </c>
      <c r="E69" s="45"/>
      <c r="F69" s="11" t="str">
        <f>IFERROR(VLOOKUP(E69,Category!$D$2:$E$600,2,FALSE),"")</f>
        <v/>
      </c>
      <c r="G69" s="56"/>
      <c r="H69" s="56"/>
      <c r="I69" s="16" t="str">
        <f t="shared" si="6"/>
        <v/>
      </c>
      <c r="J69" s="45"/>
      <c r="K69" s="45"/>
      <c r="L69" s="45"/>
    </row>
    <row r="70" spans="1:12">
      <c r="A70" s="10" t="str">
        <f t="shared" si="7"/>
        <v/>
      </c>
      <c r="B70" s="45"/>
      <c r="C70" s="13" t="str">
        <f t="shared" si="4"/>
        <v/>
      </c>
      <c r="D70" s="13" t="str">
        <f t="shared" si="5"/>
        <v/>
      </c>
      <c r="E70" s="45"/>
      <c r="F70" s="11" t="str">
        <f>IFERROR(VLOOKUP(E70,Category!$D$2:$E$600,2,FALSE),"")</f>
        <v/>
      </c>
      <c r="G70" s="56"/>
      <c r="H70" s="56"/>
      <c r="I70" s="16" t="str">
        <f t="shared" si="6"/>
        <v/>
      </c>
      <c r="J70" s="45"/>
      <c r="K70" s="45"/>
      <c r="L70" s="45"/>
    </row>
    <row r="71" spans="1:12">
      <c r="A71" s="10" t="str">
        <f t="shared" si="7"/>
        <v/>
      </c>
      <c r="B71" s="45"/>
      <c r="C71" s="13" t="str">
        <f t="shared" si="4"/>
        <v/>
      </c>
      <c r="D71" s="13" t="str">
        <f t="shared" si="5"/>
        <v/>
      </c>
      <c r="E71" s="45"/>
      <c r="F71" s="11" t="str">
        <f>IFERROR(VLOOKUP(E71,Category!$D$2:$E$600,2,FALSE),"")</f>
        <v/>
      </c>
      <c r="G71" s="56"/>
      <c r="H71" s="56"/>
      <c r="I71" s="16" t="str">
        <f t="shared" si="6"/>
        <v/>
      </c>
      <c r="J71" s="45"/>
      <c r="K71" s="45"/>
      <c r="L71" s="45"/>
    </row>
    <row r="72" spans="1:12">
      <c r="A72" s="10" t="str">
        <f t="shared" si="7"/>
        <v/>
      </c>
      <c r="B72" s="45"/>
      <c r="C72" s="13" t="str">
        <f t="shared" si="4"/>
        <v/>
      </c>
      <c r="D72" s="13" t="str">
        <f t="shared" si="5"/>
        <v/>
      </c>
      <c r="E72" s="45"/>
      <c r="F72" s="11" t="str">
        <f>IFERROR(VLOOKUP(E72,Category!$D$2:$E$600,2,FALSE),"")</f>
        <v/>
      </c>
      <c r="G72" s="56"/>
      <c r="H72" s="56"/>
      <c r="I72" s="16" t="str">
        <f t="shared" si="6"/>
        <v/>
      </c>
      <c r="J72" s="45"/>
      <c r="K72" s="45"/>
      <c r="L72" s="45"/>
    </row>
    <row r="73" spans="1:12">
      <c r="A73" s="10" t="str">
        <f t="shared" si="7"/>
        <v/>
      </c>
      <c r="B73" s="45"/>
      <c r="C73" s="13" t="str">
        <f t="shared" si="4"/>
        <v/>
      </c>
      <c r="D73" s="13" t="str">
        <f t="shared" si="5"/>
        <v/>
      </c>
      <c r="E73" s="45"/>
      <c r="F73" s="11" t="str">
        <f>IFERROR(VLOOKUP(E73,Category!$D$2:$E$600,2,FALSE),"")</f>
        <v/>
      </c>
      <c r="G73" s="56"/>
      <c r="H73" s="56"/>
      <c r="I73" s="16" t="str">
        <f t="shared" si="6"/>
        <v/>
      </c>
      <c r="J73" s="45"/>
      <c r="K73" s="45"/>
      <c r="L73" s="45"/>
    </row>
    <row r="74" spans="1:12">
      <c r="A74" s="10" t="str">
        <f t="shared" si="7"/>
        <v/>
      </c>
      <c r="B74" s="45"/>
      <c r="C74" s="13" t="str">
        <f t="shared" si="4"/>
        <v/>
      </c>
      <c r="D74" s="13" t="str">
        <f t="shared" si="5"/>
        <v/>
      </c>
      <c r="E74" s="45"/>
      <c r="F74" s="11" t="str">
        <f>IFERROR(VLOOKUP(E74,Category!$D$2:$E$600,2,FALSE),"")</f>
        <v/>
      </c>
      <c r="G74" s="56"/>
      <c r="H74" s="56"/>
      <c r="I74" s="16" t="str">
        <f t="shared" si="6"/>
        <v/>
      </c>
      <c r="J74" s="45"/>
      <c r="K74" s="45"/>
      <c r="L74" s="45"/>
    </row>
    <row r="75" spans="1:12">
      <c r="A75" s="10" t="str">
        <f t="shared" si="7"/>
        <v/>
      </c>
      <c r="B75" s="45"/>
      <c r="C75" s="13" t="str">
        <f t="shared" si="4"/>
        <v/>
      </c>
      <c r="D75" s="13" t="str">
        <f t="shared" si="5"/>
        <v/>
      </c>
      <c r="E75" s="45"/>
      <c r="F75" s="11" t="str">
        <f>IFERROR(VLOOKUP(E75,Category!$D$2:$E$600,2,FALSE),"")</f>
        <v/>
      </c>
      <c r="G75" s="56"/>
      <c r="H75" s="56"/>
      <c r="I75" s="16" t="str">
        <f t="shared" si="6"/>
        <v/>
      </c>
      <c r="J75" s="45"/>
      <c r="K75" s="45"/>
      <c r="L75" s="45"/>
    </row>
    <row r="76" spans="1:12">
      <c r="A76" s="10" t="str">
        <f t="shared" si="7"/>
        <v/>
      </c>
      <c r="B76" s="45"/>
      <c r="C76" s="13" t="str">
        <f t="shared" si="4"/>
        <v/>
      </c>
      <c r="D76" s="13" t="str">
        <f t="shared" si="5"/>
        <v/>
      </c>
      <c r="E76" s="45"/>
      <c r="F76" s="11" t="str">
        <f>IFERROR(VLOOKUP(E76,Category!$D$2:$E$600,2,FALSE),"")</f>
        <v/>
      </c>
      <c r="G76" s="56"/>
      <c r="H76" s="56"/>
      <c r="I76" s="16" t="str">
        <f t="shared" si="6"/>
        <v/>
      </c>
      <c r="J76" s="45"/>
      <c r="K76" s="45"/>
      <c r="L76" s="45"/>
    </row>
    <row r="77" spans="1:12">
      <c r="A77" s="10" t="str">
        <f t="shared" si="7"/>
        <v/>
      </c>
      <c r="B77" s="45"/>
      <c r="C77" s="13" t="str">
        <f t="shared" si="4"/>
        <v/>
      </c>
      <c r="D77" s="13" t="str">
        <f t="shared" si="5"/>
        <v/>
      </c>
      <c r="E77" s="45"/>
      <c r="F77" s="11" t="str">
        <f>IFERROR(VLOOKUP(E77,Category!$D$2:$E$600,2,FALSE),"")</f>
        <v/>
      </c>
      <c r="G77" s="56"/>
      <c r="H77" s="56"/>
      <c r="I77" s="16" t="str">
        <f t="shared" si="6"/>
        <v/>
      </c>
      <c r="J77" s="45"/>
      <c r="K77" s="45"/>
      <c r="L77" s="45"/>
    </row>
    <row r="78" spans="1:12">
      <c r="A78" s="10" t="str">
        <f t="shared" si="7"/>
        <v/>
      </c>
      <c r="B78" s="45"/>
      <c r="C78" s="13" t="str">
        <f t="shared" si="4"/>
        <v/>
      </c>
      <c r="D78" s="13" t="str">
        <f t="shared" si="5"/>
        <v/>
      </c>
      <c r="E78" s="45"/>
      <c r="F78" s="11" t="str">
        <f>IFERROR(VLOOKUP(E78,Category!$D$2:$E$600,2,FALSE),"")</f>
        <v/>
      </c>
      <c r="G78" s="56"/>
      <c r="H78" s="56"/>
      <c r="I78" s="16" t="str">
        <f t="shared" si="6"/>
        <v/>
      </c>
      <c r="J78" s="45"/>
      <c r="K78" s="45"/>
      <c r="L78" s="45"/>
    </row>
    <row r="79" spans="1:12">
      <c r="A79" s="10" t="str">
        <f t="shared" si="7"/>
        <v/>
      </c>
      <c r="B79" s="45"/>
      <c r="C79" s="13" t="str">
        <f t="shared" si="4"/>
        <v/>
      </c>
      <c r="D79" s="13" t="str">
        <f t="shared" si="5"/>
        <v/>
      </c>
      <c r="E79" s="45"/>
      <c r="F79" s="11" t="str">
        <f>IFERROR(VLOOKUP(E79,Category!$D$2:$E$600,2,FALSE),"")</f>
        <v/>
      </c>
      <c r="G79" s="56"/>
      <c r="H79" s="56"/>
      <c r="I79" s="16" t="str">
        <f t="shared" si="6"/>
        <v/>
      </c>
      <c r="J79" s="45"/>
      <c r="K79" s="45"/>
      <c r="L79" s="45"/>
    </row>
    <row r="80" spans="1:12">
      <c r="A80" s="10" t="str">
        <f t="shared" si="7"/>
        <v/>
      </c>
      <c r="B80" s="45"/>
      <c r="C80" s="13" t="str">
        <f t="shared" si="4"/>
        <v/>
      </c>
      <c r="D80" s="13" t="str">
        <f t="shared" si="5"/>
        <v/>
      </c>
      <c r="E80" s="45"/>
      <c r="F80" s="11" t="str">
        <f>IFERROR(VLOOKUP(E80,Category!$D$2:$E$600,2,FALSE),"")</f>
        <v/>
      </c>
      <c r="G80" s="56"/>
      <c r="H80" s="56"/>
      <c r="I80" s="16" t="str">
        <f t="shared" si="6"/>
        <v/>
      </c>
      <c r="J80" s="45"/>
      <c r="K80" s="45"/>
      <c r="L80" s="45"/>
    </row>
    <row r="81" spans="1:12">
      <c r="A81" s="10" t="str">
        <f t="shared" si="7"/>
        <v/>
      </c>
      <c r="B81" s="45"/>
      <c r="C81" s="13" t="str">
        <f t="shared" si="4"/>
        <v/>
      </c>
      <c r="D81" s="13" t="str">
        <f t="shared" si="5"/>
        <v/>
      </c>
      <c r="E81" s="45"/>
      <c r="F81" s="11" t="str">
        <f>IFERROR(VLOOKUP(E81,Category!$D$2:$E$600,2,FALSE),"")</f>
        <v/>
      </c>
      <c r="G81" s="56"/>
      <c r="H81" s="56"/>
      <c r="I81" s="16" t="str">
        <f t="shared" si="6"/>
        <v/>
      </c>
      <c r="J81" s="45"/>
      <c r="K81" s="45"/>
      <c r="L81" s="45"/>
    </row>
    <row r="82" spans="1:12">
      <c r="A82" s="10" t="str">
        <f t="shared" si="7"/>
        <v/>
      </c>
      <c r="B82" s="45"/>
      <c r="C82" s="13" t="str">
        <f t="shared" si="4"/>
        <v/>
      </c>
      <c r="D82" s="13" t="str">
        <f t="shared" si="5"/>
        <v/>
      </c>
      <c r="E82" s="45"/>
      <c r="F82" s="11" t="str">
        <f>IFERROR(VLOOKUP(E82,Category!$D$2:$E$600,2,FALSE),"")</f>
        <v/>
      </c>
      <c r="G82" s="56"/>
      <c r="H82" s="56"/>
      <c r="I82" s="16" t="str">
        <f t="shared" si="6"/>
        <v/>
      </c>
      <c r="J82" s="45"/>
      <c r="K82" s="45"/>
      <c r="L82" s="45"/>
    </row>
    <row r="83" spans="1:12">
      <c r="A83" s="10" t="str">
        <f t="shared" si="7"/>
        <v/>
      </c>
      <c r="B83" s="45"/>
      <c r="C83" s="13" t="str">
        <f t="shared" si="4"/>
        <v/>
      </c>
      <c r="D83" s="13" t="str">
        <f t="shared" si="5"/>
        <v/>
      </c>
      <c r="E83" s="45"/>
      <c r="F83" s="11" t="str">
        <f>IFERROR(VLOOKUP(E83,Category!$D$2:$E$600,2,FALSE),"")</f>
        <v/>
      </c>
      <c r="G83" s="56"/>
      <c r="H83" s="56"/>
      <c r="I83" s="16" t="str">
        <f t="shared" si="6"/>
        <v/>
      </c>
      <c r="J83" s="45"/>
      <c r="K83" s="45"/>
      <c r="L83" s="45"/>
    </row>
    <row r="84" spans="1:12">
      <c r="A84" s="10" t="str">
        <f t="shared" si="7"/>
        <v/>
      </c>
      <c r="B84" s="45"/>
      <c r="C84" s="13" t="str">
        <f t="shared" si="4"/>
        <v/>
      </c>
      <c r="D84" s="13" t="str">
        <f t="shared" si="5"/>
        <v/>
      </c>
      <c r="E84" s="45"/>
      <c r="F84" s="11" t="str">
        <f>IFERROR(VLOOKUP(E84,Category!$D$2:$E$600,2,FALSE),"")</f>
        <v/>
      </c>
      <c r="G84" s="56"/>
      <c r="H84" s="56"/>
      <c r="I84" s="16" t="str">
        <f t="shared" si="6"/>
        <v/>
      </c>
      <c r="J84" s="45"/>
      <c r="K84" s="45"/>
      <c r="L84" s="45"/>
    </row>
    <row r="85" spans="1:12">
      <c r="A85" s="10" t="str">
        <f t="shared" si="7"/>
        <v/>
      </c>
      <c r="B85" s="45"/>
      <c r="C85" s="13" t="str">
        <f t="shared" si="4"/>
        <v/>
      </c>
      <c r="D85" s="13" t="str">
        <f t="shared" si="5"/>
        <v/>
      </c>
      <c r="E85" s="45"/>
      <c r="F85" s="11" t="str">
        <f>IFERROR(VLOOKUP(E85,Category!$D$2:$E$600,2,FALSE),"")</f>
        <v/>
      </c>
      <c r="G85" s="56"/>
      <c r="H85" s="56"/>
      <c r="I85" s="16" t="str">
        <f t="shared" si="6"/>
        <v/>
      </c>
      <c r="J85" s="45"/>
      <c r="K85" s="45"/>
      <c r="L85" s="45"/>
    </row>
    <row r="86" spans="1:12">
      <c r="A86" s="10" t="str">
        <f t="shared" si="7"/>
        <v/>
      </c>
      <c r="B86" s="45"/>
      <c r="C86" s="13" t="str">
        <f t="shared" si="4"/>
        <v/>
      </c>
      <c r="D86" s="13" t="str">
        <f t="shared" si="5"/>
        <v/>
      </c>
      <c r="E86" s="45"/>
      <c r="F86" s="11" t="str">
        <f>IFERROR(VLOOKUP(E86,Category!$D$2:$E$600,2,FALSE),"")</f>
        <v/>
      </c>
      <c r="G86" s="56"/>
      <c r="H86" s="56"/>
      <c r="I86" s="16" t="str">
        <f t="shared" si="6"/>
        <v/>
      </c>
      <c r="J86" s="45"/>
      <c r="K86" s="45"/>
      <c r="L86" s="45"/>
    </row>
    <row r="87" spans="1:12">
      <c r="A87" s="10" t="str">
        <f t="shared" si="7"/>
        <v/>
      </c>
      <c r="B87" s="45"/>
      <c r="C87" s="13" t="str">
        <f t="shared" si="4"/>
        <v/>
      </c>
      <c r="D87" s="13" t="str">
        <f t="shared" si="5"/>
        <v/>
      </c>
      <c r="E87" s="45"/>
      <c r="F87" s="11" t="str">
        <f>IFERROR(VLOOKUP(E87,Category!$D$2:$E$600,2,FALSE),"")</f>
        <v/>
      </c>
      <c r="G87" s="56"/>
      <c r="H87" s="56"/>
      <c r="I87" s="16" t="str">
        <f t="shared" si="6"/>
        <v/>
      </c>
      <c r="J87" s="45"/>
      <c r="K87" s="45"/>
      <c r="L87" s="45"/>
    </row>
    <row r="88" spans="1:12">
      <c r="A88" s="10" t="str">
        <f t="shared" si="7"/>
        <v/>
      </c>
      <c r="B88" s="45"/>
      <c r="C88" s="13" t="str">
        <f t="shared" si="4"/>
        <v/>
      </c>
      <c r="D88" s="13" t="str">
        <f t="shared" si="5"/>
        <v/>
      </c>
      <c r="E88" s="45"/>
      <c r="F88" s="11" t="str">
        <f>IFERROR(VLOOKUP(E88,Category!$D$2:$E$600,2,FALSE),"")</f>
        <v/>
      </c>
      <c r="G88" s="56"/>
      <c r="H88" s="56"/>
      <c r="I88" s="16" t="str">
        <f t="shared" si="6"/>
        <v/>
      </c>
      <c r="J88" s="45"/>
      <c r="K88" s="45"/>
      <c r="L88" s="45"/>
    </row>
    <row r="89" spans="1:12">
      <c r="A89" s="10" t="str">
        <f t="shared" si="7"/>
        <v/>
      </c>
      <c r="B89" s="45"/>
      <c r="C89" s="13" t="str">
        <f t="shared" si="4"/>
        <v/>
      </c>
      <c r="D89" s="13" t="str">
        <f t="shared" si="5"/>
        <v/>
      </c>
      <c r="E89" s="45"/>
      <c r="F89" s="11" t="str">
        <f>IFERROR(VLOOKUP(E89,Category!$D$2:$E$600,2,FALSE),"")</f>
        <v/>
      </c>
      <c r="G89" s="56"/>
      <c r="H89" s="56"/>
      <c r="I89" s="16" t="str">
        <f t="shared" si="6"/>
        <v/>
      </c>
      <c r="J89" s="45"/>
      <c r="K89" s="45"/>
      <c r="L89" s="45"/>
    </row>
    <row r="90" spans="1:12">
      <c r="A90" s="10" t="str">
        <f t="shared" si="7"/>
        <v/>
      </c>
      <c r="B90" s="45"/>
      <c r="C90" s="13" t="str">
        <f t="shared" si="4"/>
        <v/>
      </c>
      <c r="D90" s="13" t="str">
        <f t="shared" si="5"/>
        <v/>
      </c>
      <c r="E90" s="45"/>
      <c r="F90" s="11" t="str">
        <f>IFERROR(VLOOKUP(E90,Category!$D$2:$E$600,2,FALSE),"")</f>
        <v/>
      </c>
      <c r="G90" s="56"/>
      <c r="H90" s="56"/>
      <c r="I90" s="16" t="str">
        <f t="shared" si="6"/>
        <v/>
      </c>
      <c r="J90" s="45"/>
      <c r="K90" s="45"/>
      <c r="L90" s="45"/>
    </row>
    <row r="91" spans="1:12">
      <c r="A91" s="10" t="str">
        <f t="shared" si="7"/>
        <v/>
      </c>
      <c r="B91" s="45"/>
      <c r="C91" s="13" t="str">
        <f t="shared" si="4"/>
        <v/>
      </c>
      <c r="D91" s="13" t="str">
        <f t="shared" si="5"/>
        <v/>
      </c>
      <c r="E91" s="45"/>
      <c r="F91" s="11" t="str">
        <f>IFERROR(VLOOKUP(E91,Category!$D$2:$E$600,2,FALSE),"")</f>
        <v/>
      </c>
      <c r="G91" s="56"/>
      <c r="H91" s="56"/>
      <c r="I91" s="16" t="str">
        <f t="shared" si="6"/>
        <v/>
      </c>
      <c r="J91" s="45"/>
      <c r="K91" s="45"/>
      <c r="L91" s="45"/>
    </row>
    <row r="92" spans="1:12">
      <c r="A92" s="10" t="str">
        <f t="shared" si="7"/>
        <v/>
      </c>
      <c r="B92" s="45"/>
      <c r="C92" s="13" t="str">
        <f t="shared" si="4"/>
        <v/>
      </c>
      <c r="D92" s="13" t="str">
        <f t="shared" si="5"/>
        <v/>
      </c>
      <c r="E92" s="45"/>
      <c r="F92" s="11" t="str">
        <f>IFERROR(VLOOKUP(E92,Category!$D$2:$E$600,2,FALSE),"")</f>
        <v/>
      </c>
      <c r="G92" s="56"/>
      <c r="H92" s="56"/>
      <c r="I92" s="16" t="str">
        <f t="shared" si="6"/>
        <v/>
      </c>
      <c r="J92" s="45"/>
      <c r="K92" s="45"/>
      <c r="L92" s="45"/>
    </row>
    <row r="93" spans="1:12">
      <c r="A93" s="10" t="str">
        <f t="shared" si="7"/>
        <v/>
      </c>
      <c r="B93" s="45"/>
      <c r="C93" s="13" t="str">
        <f t="shared" si="4"/>
        <v/>
      </c>
      <c r="D93" s="13" t="str">
        <f t="shared" si="5"/>
        <v/>
      </c>
      <c r="E93" s="45"/>
      <c r="F93" s="11" t="str">
        <f>IFERROR(VLOOKUP(E93,Category!$D$2:$E$600,2,FALSE),"")</f>
        <v/>
      </c>
      <c r="G93" s="56"/>
      <c r="H93" s="56"/>
      <c r="I93" s="16" t="str">
        <f t="shared" si="6"/>
        <v/>
      </c>
      <c r="J93" s="45"/>
      <c r="K93" s="45"/>
      <c r="L93" s="45"/>
    </row>
    <row r="94" spans="1:12">
      <c r="A94" s="10" t="str">
        <f t="shared" si="7"/>
        <v/>
      </c>
      <c r="B94" s="45"/>
      <c r="C94" s="13" t="str">
        <f t="shared" si="4"/>
        <v/>
      </c>
      <c r="D94" s="13" t="str">
        <f t="shared" si="5"/>
        <v/>
      </c>
      <c r="E94" s="45"/>
      <c r="F94" s="11" t="str">
        <f>IFERROR(VLOOKUP(E94,Category!$D$2:$E$600,2,FALSE),"")</f>
        <v/>
      </c>
      <c r="G94" s="56"/>
      <c r="H94" s="56"/>
      <c r="I94" s="16" t="str">
        <f t="shared" si="6"/>
        <v/>
      </c>
      <c r="J94" s="45"/>
      <c r="K94" s="45"/>
      <c r="L94" s="45"/>
    </row>
    <row r="95" spans="1:12">
      <c r="A95" s="10" t="str">
        <f t="shared" si="7"/>
        <v/>
      </c>
      <c r="B95" s="45"/>
      <c r="C95" s="13" t="str">
        <f t="shared" si="4"/>
        <v/>
      </c>
      <c r="D95" s="13" t="str">
        <f t="shared" si="5"/>
        <v/>
      </c>
      <c r="E95" s="45"/>
      <c r="F95" s="11" t="str">
        <f>IFERROR(VLOOKUP(E95,Category!$D$2:$E$600,2,FALSE),"")</f>
        <v/>
      </c>
      <c r="G95" s="56"/>
      <c r="H95" s="56"/>
      <c r="I95" s="16" t="str">
        <f t="shared" si="6"/>
        <v/>
      </c>
      <c r="J95" s="45"/>
      <c r="K95" s="45"/>
      <c r="L95" s="45"/>
    </row>
    <row r="96" spans="1:12">
      <c r="A96" s="10" t="str">
        <f t="shared" si="7"/>
        <v/>
      </c>
      <c r="B96" s="45"/>
      <c r="C96" s="13" t="str">
        <f t="shared" si="4"/>
        <v/>
      </c>
      <c r="D96" s="13" t="str">
        <f t="shared" si="5"/>
        <v/>
      </c>
      <c r="E96" s="45"/>
      <c r="F96" s="11" t="str">
        <f>IFERROR(VLOOKUP(E96,Category!$D$2:$E$600,2,FALSE),"")</f>
        <v/>
      </c>
      <c r="G96" s="56"/>
      <c r="H96" s="56"/>
      <c r="I96" s="16" t="str">
        <f t="shared" si="6"/>
        <v/>
      </c>
      <c r="J96" s="45"/>
      <c r="K96" s="45"/>
      <c r="L96" s="45"/>
    </row>
    <row r="97" spans="1:12">
      <c r="A97" s="10" t="str">
        <f t="shared" si="7"/>
        <v/>
      </c>
      <c r="B97" s="45"/>
      <c r="C97" s="13" t="str">
        <f t="shared" si="4"/>
        <v/>
      </c>
      <c r="D97" s="13" t="str">
        <f t="shared" si="5"/>
        <v/>
      </c>
      <c r="E97" s="45"/>
      <c r="F97" s="11" t="str">
        <f>IFERROR(VLOOKUP(E97,Category!$D$2:$E$600,2,FALSE),"")</f>
        <v/>
      </c>
      <c r="G97" s="56"/>
      <c r="H97" s="56"/>
      <c r="I97" s="16" t="str">
        <f t="shared" si="6"/>
        <v/>
      </c>
      <c r="J97" s="45"/>
      <c r="K97" s="45"/>
      <c r="L97" s="45"/>
    </row>
    <row r="98" spans="1:12">
      <c r="A98" s="10" t="str">
        <f t="shared" si="7"/>
        <v/>
      </c>
      <c r="B98" s="45"/>
      <c r="C98" s="13" t="str">
        <f t="shared" si="4"/>
        <v/>
      </c>
      <c r="D98" s="13" t="str">
        <f t="shared" si="5"/>
        <v/>
      </c>
      <c r="E98" s="45"/>
      <c r="F98" s="11" t="str">
        <f>IFERROR(VLOOKUP(E98,Category!$D$2:$E$600,2,FALSE),"")</f>
        <v/>
      </c>
      <c r="G98" s="56"/>
      <c r="H98" s="56"/>
      <c r="I98" s="16" t="str">
        <f t="shared" si="6"/>
        <v/>
      </c>
      <c r="J98" s="45"/>
      <c r="K98" s="45"/>
      <c r="L98" s="45"/>
    </row>
    <row r="99" spans="1:12">
      <c r="A99" s="10" t="str">
        <f t="shared" si="7"/>
        <v/>
      </c>
      <c r="B99" s="45"/>
      <c r="C99" s="13" t="str">
        <f t="shared" si="4"/>
        <v/>
      </c>
      <c r="D99" s="13" t="str">
        <f t="shared" si="5"/>
        <v/>
      </c>
      <c r="E99" s="45"/>
      <c r="F99" s="11" t="str">
        <f>IFERROR(VLOOKUP(E99,Category!$D$2:$E$600,2,FALSE),"")</f>
        <v/>
      </c>
      <c r="G99" s="56"/>
      <c r="H99" s="56"/>
      <c r="I99" s="16" t="str">
        <f t="shared" si="6"/>
        <v/>
      </c>
      <c r="J99" s="45"/>
      <c r="K99" s="45"/>
      <c r="L99" s="45"/>
    </row>
    <row r="100" spans="1:12">
      <c r="A100" s="10" t="str">
        <f t="shared" si="7"/>
        <v/>
      </c>
      <c r="B100" s="45"/>
      <c r="C100" s="13" t="str">
        <f t="shared" si="4"/>
        <v/>
      </c>
      <c r="D100" s="13" t="str">
        <f t="shared" si="5"/>
        <v/>
      </c>
      <c r="E100" s="45"/>
      <c r="F100" s="11" t="str">
        <f>IFERROR(VLOOKUP(E100,Category!$D$2:$E$600,2,FALSE),"")</f>
        <v/>
      </c>
      <c r="G100" s="56"/>
      <c r="H100" s="56"/>
      <c r="I100" s="16" t="str">
        <f t="shared" si="6"/>
        <v/>
      </c>
      <c r="J100" s="45"/>
      <c r="K100" s="45"/>
      <c r="L100" s="45"/>
    </row>
    <row r="101" spans="1:12">
      <c r="A101" s="10" t="str">
        <f t="shared" si="7"/>
        <v/>
      </c>
      <c r="B101" s="45"/>
      <c r="C101" s="13" t="str">
        <f t="shared" si="4"/>
        <v/>
      </c>
      <c r="D101" s="13" t="str">
        <f t="shared" si="5"/>
        <v/>
      </c>
      <c r="E101" s="45"/>
      <c r="F101" s="11" t="str">
        <f>IFERROR(VLOOKUP(E101,Category!$D$2:$E$600,2,FALSE),"")</f>
        <v/>
      </c>
      <c r="G101" s="56"/>
      <c r="H101" s="56"/>
      <c r="I101" s="16" t="str">
        <f t="shared" si="6"/>
        <v/>
      </c>
      <c r="J101" s="45"/>
      <c r="K101" s="45"/>
      <c r="L101" s="45"/>
    </row>
    <row r="102" spans="1:12">
      <c r="A102" s="10" t="str">
        <f t="shared" si="7"/>
        <v/>
      </c>
      <c r="B102" s="45"/>
      <c r="C102" s="13" t="str">
        <f t="shared" si="4"/>
        <v/>
      </c>
      <c r="D102" s="13" t="str">
        <f t="shared" si="5"/>
        <v/>
      </c>
      <c r="E102" s="45"/>
      <c r="F102" s="11" t="str">
        <f>IFERROR(VLOOKUP(E102,Category!$D$2:$E$600,2,FALSE),"")</f>
        <v/>
      </c>
      <c r="G102" s="56"/>
      <c r="H102" s="56"/>
      <c r="I102" s="16" t="str">
        <f t="shared" si="6"/>
        <v/>
      </c>
      <c r="J102" s="45"/>
      <c r="K102" s="45"/>
      <c r="L102" s="45"/>
    </row>
    <row r="103" spans="1:12">
      <c r="A103" s="10" t="str">
        <f t="shared" si="7"/>
        <v/>
      </c>
      <c r="B103" s="45"/>
      <c r="C103" s="13" t="str">
        <f t="shared" si="4"/>
        <v/>
      </c>
      <c r="D103" s="13" t="str">
        <f t="shared" si="5"/>
        <v/>
      </c>
      <c r="E103" s="45"/>
      <c r="F103" s="11" t="str">
        <f>IFERROR(VLOOKUP(E103,Category!$D$2:$E$600,2,FALSE),"")</f>
        <v/>
      </c>
      <c r="G103" s="56"/>
      <c r="H103" s="56"/>
      <c r="I103" s="16" t="str">
        <f t="shared" si="6"/>
        <v/>
      </c>
      <c r="J103" s="45"/>
      <c r="K103" s="45"/>
      <c r="L103" s="45"/>
    </row>
    <row r="104" spans="1:12">
      <c r="A104" s="10" t="str">
        <f t="shared" si="7"/>
        <v/>
      </c>
      <c r="B104" s="45"/>
      <c r="C104" s="13" t="str">
        <f t="shared" si="4"/>
        <v/>
      </c>
      <c r="D104" s="13" t="str">
        <f t="shared" si="5"/>
        <v/>
      </c>
      <c r="E104" s="45"/>
      <c r="F104" s="11" t="str">
        <f>IFERROR(VLOOKUP(E104,Category!$D$2:$E$600,2,FALSE),"")</f>
        <v/>
      </c>
      <c r="G104" s="56"/>
      <c r="H104" s="56"/>
      <c r="I104" s="16" t="str">
        <f t="shared" si="6"/>
        <v/>
      </c>
      <c r="J104" s="45"/>
      <c r="K104" s="45"/>
      <c r="L104" s="45"/>
    </row>
    <row r="105" spans="1:12">
      <c r="A105" s="10" t="str">
        <f t="shared" si="7"/>
        <v/>
      </c>
      <c r="B105" s="45"/>
      <c r="C105" s="13" t="str">
        <f t="shared" si="4"/>
        <v/>
      </c>
      <c r="D105" s="13" t="str">
        <f t="shared" si="5"/>
        <v/>
      </c>
      <c r="E105" s="45"/>
      <c r="F105" s="11" t="str">
        <f>IFERROR(VLOOKUP(E105,Category!$D$2:$E$600,2,FALSE),"")</f>
        <v/>
      </c>
      <c r="G105" s="56"/>
      <c r="H105" s="56"/>
      <c r="I105" s="16" t="str">
        <f t="shared" si="6"/>
        <v/>
      </c>
      <c r="J105" s="45"/>
      <c r="K105" s="45"/>
      <c r="L105" s="45"/>
    </row>
    <row r="106" spans="1:12">
      <c r="A106" s="10" t="str">
        <f t="shared" si="7"/>
        <v/>
      </c>
      <c r="B106" s="45"/>
      <c r="C106" s="13" t="str">
        <f t="shared" si="4"/>
        <v/>
      </c>
      <c r="D106" s="13" t="str">
        <f t="shared" si="5"/>
        <v/>
      </c>
      <c r="E106" s="45"/>
      <c r="F106" s="11" t="str">
        <f>IFERROR(VLOOKUP(E106,Category!$D$2:$E$600,2,FALSE),"")</f>
        <v/>
      </c>
      <c r="G106" s="56"/>
      <c r="H106" s="56"/>
      <c r="I106" s="16" t="str">
        <f t="shared" si="6"/>
        <v/>
      </c>
      <c r="J106" s="45"/>
      <c r="K106" s="45"/>
      <c r="L106" s="45"/>
    </row>
    <row r="107" spans="1:12">
      <c r="A107" s="10" t="str">
        <f t="shared" si="7"/>
        <v/>
      </c>
      <c r="B107" s="45"/>
      <c r="C107" s="13" t="str">
        <f t="shared" si="4"/>
        <v/>
      </c>
      <c r="D107" s="13" t="str">
        <f t="shared" si="5"/>
        <v/>
      </c>
      <c r="E107" s="45"/>
      <c r="F107" s="11" t="str">
        <f>IFERROR(VLOOKUP(E107,Category!$D$2:$E$600,2,FALSE),"")</f>
        <v/>
      </c>
      <c r="G107" s="56"/>
      <c r="H107" s="56"/>
      <c r="I107" s="16" t="str">
        <f t="shared" si="6"/>
        <v/>
      </c>
      <c r="J107" s="45"/>
      <c r="K107" s="45"/>
      <c r="L107" s="45"/>
    </row>
    <row r="108" spans="1:12">
      <c r="A108" s="10" t="str">
        <f t="shared" si="7"/>
        <v/>
      </c>
      <c r="B108" s="45"/>
      <c r="C108" s="13" t="str">
        <f t="shared" si="4"/>
        <v/>
      </c>
      <c r="D108" s="13" t="str">
        <f t="shared" si="5"/>
        <v/>
      </c>
      <c r="E108" s="45"/>
      <c r="F108" s="11" t="str">
        <f>IFERROR(VLOOKUP(E108,Category!$D$2:$E$600,2,FALSE),"")</f>
        <v/>
      </c>
      <c r="G108" s="56"/>
      <c r="H108" s="56"/>
      <c r="I108" s="16" t="str">
        <f t="shared" si="6"/>
        <v/>
      </c>
      <c r="J108" s="45"/>
      <c r="K108" s="45"/>
      <c r="L108" s="45"/>
    </row>
    <row r="109" spans="1:12">
      <c r="A109" s="10" t="str">
        <f t="shared" si="7"/>
        <v/>
      </c>
      <c r="B109" s="45"/>
      <c r="C109" s="13" t="str">
        <f t="shared" si="4"/>
        <v/>
      </c>
      <c r="D109" s="13" t="str">
        <f t="shared" si="5"/>
        <v/>
      </c>
      <c r="E109" s="45"/>
      <c r="F109" s="11" t="str">
        <f>IFERROR(VLOOKUP(E109,Category!$D$2:$E$600,2,FALSE),"")</f>
        <v/>
      </c>
      <c r="G109" s="56"/>
      <c r="H109" s="56"/>
      <c r="I109" s="16" t="str">
        <f t="shared" si="6"/>
        <v/>
      </c>
      <c r="J109" s="45"/>
      <c r="K109" s="45"/>
      <c r="L109" s="45"/>
    </row>
    <row r="110" spans="1:12">
      <c r="A110" s="10" t="str">
        <f t="shared" si="7"/>
        <v/>
      </c>
      <c r="B110" s="45"/>
      <c r="C110" s="13" t="str">
        <f t="shared" si="4"/>
        <v/>
      </c>
      <c r="D110" s="13" t="str">
        <f t="shared" si="5"/>
        <v/>
      </c>
      <c r="E110" s="45"/>
      <c r="F110" s="11" t="str">
        <f>IFERROR(VLOOKUP(E110,Category!$D$2:$E$600,2,FALSE),"")</f>
        <v/>
      </c>
      <c r="G110" s="56"/>
      <c r="H110" s="56"/>
      <c r="I110" s="16" t="str">
        <f t="shared" si="6"/>
        <v/>
      </c>
      <c r="J110" s="45"/>
      <c r="K110" s="45"/>
      <c r="L110" s="45"/>
    </row>
    <row r="111" spans="1:12">
      <c r="A111" s="10" t="str">
        <f t="shared" si="7"/>
        <v/>
      </c>
      <c r="B111" s="45"/>
      <c r="C111" s="13" t="str">
        <f t="shared" si="4"/>
        <v/>
      </c>
      <c r="D111" s="13" t="str">
        <f t="shared" si="5"/>
        <v/>
      </c>
      <c r="E111" s="45"/>
      <c r="F111" s="11" t="str">
        <f>IFERROR(VLOOKUP(E111,Category!$D$2:$E$600,2,FALSE),"")</f>
        <v/>
      </c>
      <c r="G111" s="56"/>
      <c r="H111" s="56"/>
      <c r="I111" s="16" t="str">
        <f t="shared" si="6"/>
        <v/>
      </c>
      <c r="J111" s="45"/>
      <c r="K111" s="45"/>
      <c r="L111" s="45"/>
    </row>
    <row r="112" spans="1:12">
      <c r="A112" s="10" t="str">
        <f t="shared" si="7"/>
        <v/>
      </c>
      <c r="B112" s="45"/>
      <c r="C112" s="13" t="str">
        <f t="shared" si="4"/>
        <v/>
      </c>
      <c r="D112" s="13" t="str">
        <f t="shared" si="5"/>
        <v/>
      </c>
      <c r="E112" s="45"/>
      <c r="F112" s="11" t="str">
        <f>IFERROR(VLOOKUP(E112,Category!$D$2:$E$600,2,FALSE),"")</f>
        <v/>
      </c>
      <c r="G112" s="56"/>
      <c r="H112" s="56"/>
      <c r="I112" s="16" t="str">
        <f t="shared" si="6"/>
        <v/>
      </c>
      <c r="J112" s="45"/>
      <c r="K112" s="45"/>
      <c r="L112" s="45"/>
    </row>
    <row r="113" spans="1:12">
      <c r="A113" s="10" t="str">
        <f t="shared" si="7"/>
        <v/>
      </c>
      <c r="B113" s="45"/>
      <c r="C113" s="13" t="str">
        <f t="shared" si="4"/>
        <v/>
      </c>
      <c r="D113" s="13" t="str">
        <f t="shared" si="5"/>
        <v/>
      </c>
      <c r="E113" s="45"/>
      <c r="F113" s="11" t="str">
        <f>IFERROR(VLOOKUP(E113,Category!$D$2:$E$600,2,FALSE),"")</f>
        <v/>
      </c>
      <c r="G113" s="56"/>
      <c r="H113" s="56"/>
      <c r="I113" s="16" t="str">
        <f t="shared" si="6"/>
        <v/>
      </c>
      <c r="J113" s="45"/>
      <c r="K113" s="45"/>
      <c r="L113" s="45"/>
    </row>
    <row r="114" spans="1:12">
      <c r="A114" s="10" t="str">
        <f t="shared" si="7"/>
        <v/>
      </c>
      <c r="B114" s="45"/>
      <c r="C114" s="13" t="str">
        <f t="shared" si="4"/>
        <v/>
      </c>
      <c r="D114" s="13" t="str">
        <f t="shared" si="5"/>
        <v/>
      </c>
      <c r="E114" s="45"/>
      <c r="F114" s="11" t="str">
        <f>IFERROR(VLOOKUP(E114,Category!$D$2:$E$600,2,FALSE),"")</f>
        <v/>
      </c>
      <c r="G114" s="56"/>
      <c r="H114" s="56"/>
      <c r="I114" s="16" t="str">
        <f t="shared" si="6"/>
        <v/>
      </c>
      <c r="J114" s="45"/>
      <c r="K114" s="45"/>
      <c r="L114" s="45"/>
    </row>
    <row r="115" spans="1:12">
      <c r="A115" s="10" t="str">
        <f t="shared" si="7"/>
        <v/>
      </c>
      <c r="B115" s="45"/>
      <c r="C115" s="13" t="str">
        <f t="shared" si="4"/>
        <v/>
      </c>
      <c r="D115" s="13" t="str">
        <f t="shared" si="5"/>
        <v/>
      </c>
      <c r="E115" s="45"/>
      <c r="F115" s="11" t="str">
        <f>IFERROR(VLOOKUP(E115,Category!$D$2:$E$600,2,FALSE),"")</f>
        <v/>
      </c>
      <c r="G115" s="56"/>
      <c r="H115" s="56"/>
      <c r="I115" s="16" t="str">
        <f t="shared" si="6"/>
        <v/>
      </c>
      <c r="J115" s="45"/>
      <c r="K115" s="45"/>
      <c r="L115" s="45"/>
    </row>
    <row r="116" spans="1:12">
      <c r="A116" s="10" t="str">
        <f t="shared" si="7"/>
        <v/>
      </c>
      <c r="B116" s="45"/>
      <c r="C116" s="13" t="str">
        <f t="shared" si="4"/>
        <v/>
      </c>
      <c r="D116" s="13" t="str">
        <f t="shared" si="5"/>
        <v/>
      </c>
      <c r="E116" s="45"/>
      <c r="F116" s="11" t="str">
        <f>IFERROR(VLOOKUP(E116,Category!$D$2:$E$600,2,FALSE),"")</f>
        <v/>
      </c>
      <c r="G116" s="56"/>
      <c r="H116" s="56"/>
      <c r="I116" s="16" t="str">
        <f t="shared" si="6"/>
        <v/>
      </c>
      <c r="J116" s="45"/>
      <c r="K116" s="45"/>
      <c r="L116" s="45"/>
    </row>
    <row r="117" spans="1:12">
      <c r="A117" s="10" t="str">
        <f t="shared" si="7"/>
        <v/>
      </c>
      <c r="B117" s="45"/>
      <c r="C117" s="13" t="str">
        <f t="shared" si="4"/>
        <v/>
      </c>
      <c r="D117" s="13" t="str">
        <f t="shared" si="5"/>
        <v/>
      </c>
      <c r="E117" s="45"/>
      <c r="F117" s="11" t="str">
        <f>IFERROR(VLOOKUP(E117,Category!$D$2:$E$600,2,FALSE),"")</f>
        <v/>
      </c>
      <c r="G117" s="56"/>
      <c r="H117" s="56"/>
      <c r="I117" s="16" t="str">
        <f t="shared" si="6"/>
        <v/>
      </c>
      <c r="J117" s="45"/>
      <c r="K117" s="45"/>
      <c r="L117" s="45"/>
    </row>
    <row r="118" spans="1:12">
      <c r="A118" s="10" t="str">
        <f t="shared" si="7"/>
        <v/>
      </c>
      <c r="B118" s="45"/>
      <c r="C118" s="13" t="str">
        <f t="shared" si="4"/>
        <v/>
      </c>
      <c r="D118" s="13" t="str">
        <f t="shared" si="5"/>
        <v/>
      </c>
      <c r="E118" s="45"/>
      <c r="F118" s="11" t="str">
        <f>IFERROR(VLOOKUP(E118,Category!$D$2:$E$600,2,FALSE),"")</f>
        <v/>
      </c>
      <c r="G118" s="56"/>
      <c r="H118" s="56"/>
      <c r="I118" s="16" t="str">
        <f t="shared" si="6"/>
        <v/>
      </c>
      <c r="J118" s="45"/>
      <c r="K118" s="45"/>
      <c r="L118" s="45"/>
    </row>
    <row r="119" spans="1:12">
      <c r="A119" s="10" t="str">
        <f t="shared" si="7"/>
        <v/>
      </c>
      <c r="B119" s="45"/>
      <c r="C119" s="13" t="str">
        <f t="shared" si="4"/>
        <v/>
      </c>
      <c r="D119" s="13" t="str">
        <f t="shared" si="5"/>
        <v/>
      </c>
      <c r="E119" s="45"/>
      <c r="F119" s="11" t="str">
        <f>IFERROR(VLOOKUP(E119,Category!$D$2:$E$600,2,FALSE),"")</f>
        <v/>
      </c>
      <c r="G119" s="56"/>
      <c r="H119" s="56"/>
      <c r="I119" s="16" t="str">
        <f t="shared" si="6"/>
        <v/>
      </c>
      <c r="J119" s="45"/>
      <c r="K119" s="45"/>
      <c r="L119" s="45"/>
    </row>
    <row r="120" spans="1:12">
      <c r="A120" s="10" t="str">
        <f t="shared" si="7"/>
        <v/>
      </c>
      <c r="B120" s="45"/>
      <c r="C120" s="13" t="str">
        <f t="shared" si="4"/>
        <v/>
      </c>
      <c r="D120" s="13" t="str">
        <f t="shared" si="5"/>
        <v/>
      </c>
      <c r="E120" s="45"/>
      <c r="F120" s="11" t="str">
        <f>IFERROR(VLOOKUP(E120,Category!$D$2:$E$600,2,FALSE),"")</f>
        <v/>
      </c>
      <c r="G120" s="56"/>
      <c r="H120" s="56"/>
      <c r="I120" s="16" t="str">
        <f t="shared" si="6"/>
        <v/>
      </c>
      <c r="J120" s="45"/>
      <c r="K120" s="45"/>
      <c r="L120" s="45"/>
    </row>
    <row r="121" spans="1:12">
      <c r="A121" s="10" t="str">
        <f t="shared" si="7"/>
        <v/>
      </c>
      <c r="B121" s="45"/>
      <c r="C121" s="13" t="str">
        <f t="shared" si="4"/>
        <v/>
      </c>
      <c r="D121" s="13" t="str">
        <f t="shared" si="5"/>
        <v/>
      </c>
      <c r="E121" s="45"/>
      <c r="F121" s="11" t="str">
        <f>IFERROR(VLOOKUP(E121,Category!$D$2:$E$600,2,FALSE),"")</f>
        <v/>
      </c>
      <c r="G121" s="56"/>
      <c r="H121" s="56"/>
      <c r="I121" s="16" t="str">
        <f t="shared" si="6"/>
        <v/>
      </c>
      <c r="J121" s="45"/>
      <c r="K121" s="45"/>
      <c r="L121" s="45"/>
    </row>
    <row r="122" spans="1:12">
      <c r="A122" s="10" t="str">
        <f t="shared" si="7"/>
        <v/>
      </c>
      <c r="B122" s="45"/>
      <c r="C122" s="13" t="str">
        <f t="shared" si="4"/>
        <v/>
      </c>
      <c r="D122" s="13" t="str">
        <f t="shared" si="5"/>
        <v/>
      </c>
      <c r="E122" s="45"/>
      <c r="F122" s="11" t="str">
        <f>IFERROR(VLOOKUP(E122,Category!$D$2:$E$600,2,FALSE),"")</f>
        <v/>
      </c>
      <c r="G122" s="56"/>
      <c r="H122" s="56"/>
      <c r="I122" s="16" t="str">
        <f t="shared" si="6"/>
        <v/>
      </c>
      <c r="J122" s="45"/>
      <c r="K122" s="45"/>
      <c r="L122" s="45"/>
    </row>
    <row r="123" spans="1:12">
      <c r="A123" s="10" t="str">
        <f t="shared" si="7"/>
        <v/>
      </c>
      <c r="B123" s="45"/>
      <c r="C123" s="13" t="str">
        <f t="shared" si="4"/>
        <v/>
      </c>
      <c r="D123" s="13" t="str">
        <f t="shared" si="5"/>
        <v/>
      </c>
      <c r="E123" s="45"/>
      <c r="F123" s="11" t="str">
        <f>IFERROR(VLOOKUP(E123,Category!$D$2:$E$600,2,FALSE),"")</f>
        <v/>
      </c>
      <c r="G123" s="56"/>
      <c r="H123" s="56"/>
      <c r="I123" s="16" t="str">
        <f t="shared" si="6"/>
        <v/>
      </c>
      <c r="J123" s="45"/>
      <c r="K123" s="45"/>
      <c r="L123" s="45"/>
    </row>
    <row r="124" spans="1:12">
      <c r="A124" s="10" t="str">
        <f t="shared" si="7"/>
        <v/>
      </c>
      <c r="B124" s="45"/>
      <c r="C124" s="13" t="str">
        <f t="shared" si="4"/>
        <v/>
      </c>
      <c r="D124" s="13" t="str">
        <f t="shared" si="5"/>
        <v/>
      </c>
      <c r="E124" s="45"/>
      <c r="F124" s="11" t="str">
        <f>IFERROR(VLOOKUP(E124,Category!$D$2:$E$600,2,FALSE),"")</f>
        <v/>
      </c>
      <c r="G124" s="56"/>
      <c r="H124" s="56"/>
      <c r="I124" s="16" t="str">
        <f t="shared" si="6"/>
        <v/>
      </c>
      <c r="J124" s="45"/>
      <c r="K124" s="45"/>
      <c r="L124" s="45"/>
    </row>
    <row r="125" spans="1:12">
      <c r="A125" s="10" t="str">
        <f t="shared" si="7"/>
        <v/>
      </c>
      <c r="B125" s="45"/>
      <c r="C125" s="13" t="str">
        <f t="shared" si="4"/>
        <v/>
      </c>
      <c r="D125" s="13" t="str">
        <f t="shared" si="5"/>
        <v/>
      </c>
      <c r="E125" s="45"/>
      <c r="F125" s="11" t="str">
        <f>IFERROR(VLOOKUP(E125,Category!$D$2:$E$600,2,FALSE),"")</f>
        <v/>
      </c>
      <c r="G125" s="56"/>
      <c r="H125" s="56"/>
      <c r="I125" s="16" t="str">
        <f t="shared" si="6"/>
        <v/>
      </c>
      <c r="J125" s="45"/>
      <c r="K125" s="45"/>
      <c r="L125" s="45"/>
    </row>
    <row r="126" spans="1:12">
      <c r="A126" s="10" t="str">
        <f t="shared" si="7"/>
        <v/>
      </c>
      <c r="B126" s="45"/>
      <c r="C126" s="13" t="str">
        <f t="shared" si="4"/>
        <v/>
      </c>
      <c r="D126" s="13" t="str">
        <f t="shared" si="5"/>
        <v/>
      </c>
      <c r="E126" s="45"/>
      <c r="F126" s="11" t="str">
        <f>IFERROR(VLOOKUP(E126,Category!$D$2:$E$600,2,FALSE),"")</f>
        <v/>
      </c>
      <c r="G126" s="56"/>
      <c r="H126" s="56"/>
      <c r="I126" s="16" t="str">
        <f t="shared" si="6"/>
        <v/>
      </c>
      <c r="J126" s="45"/>
      <c r="K126" s="45"/>
      <c r="L126" s="45"/>
    </row>
    <row r="127" spans="1:12">
      <c r="A127" s="10" t="str">
        <f t="shared" si="7"/>
        <v/>
      </c>
      <c r="B127" s="45"/>
      <c r="C127" s="13" t="str">
        <f t="shared" si="4"/>
        <v/>
      </c>
      <c r="D127" s="13" t="str">
        <f t="shared" si="5"/>
        <v/>
      </c>
      <c r="E127" s="45"/>
      <c r="F127" s="11" t="str">
        <f>IFERROR(VLOOKUP(E127,Category!$D$2:$E$600,2,FALSE),"")</f>
        <v/>
      </c>
      <c r="G127" s="56"/>
      <c r="H127" s="56"/>
      <c r="I127" s="16" t="str">
        <f t="shared" si="6"/>
        <v/>
      </c>
      <c r="J127" s="45"/>
      <c r="K127" s="45"/>
      <c r="L127" s="45"/>
    </row>
    <row r="128" spans="1:12">
      <c r="A128" s="10" t="str">
        <f t="shared" si="7"/>
        <v/>
      </c>
      <c r="B128" s="45"/>
      <c r="C128" s="13" t="str">
        <f t="shared" si="4"/>
        <v/>
      </c>
      <c r="D128" s="13" t="str">
        <f t="shared" si="5"/>
        <v/>
      </c>
      <c r="E128" s="45"/>
      <c r="F128" s="11" t="str">
        <f>IFERROR(VLOOKUP(E128,Category!$D$2:$E$600,2,FALSE),"")</f>
        <v/>
      </c>
      <c r="G128" s="56"/>
      <c r="H128" s="56"/>
      <c r="I128" s="16" t="str">
        <f t="shared" si="6"/>
        <v/>
      </c>
      <c r="J128" s="45"/>
      <c r="K128" s="45"/>
      <c r="L128" s="45"/>
    </row>
    <row r="129" spans="1:12">
      <c r="A129" s="10" t="str">
        <f t="shared" si="7"/>
        <v/>
      </c>
      <c r="B129" s="45"/>
      <c r="C129" s="13" t="str">
        <f t="shared" si="4"/>
        <v/>
      </c>
      <c r="D129" s="13" t="str">
        <f t="shared" si="5"/>
        <v/>
      </c>
      <c r="E129" s="45"/>
      <c r="F129" s="11" t="str">
        <f>IFERROR(VLOOKUP(E129,Category!$D$2:$E$600,2,FALSE),"")</f>
        <v/>
      </c>
      <c r="G129" s="56"/>
      <c r="H129" s="56"/>
      <c r="I129" s="16" t="str">
        <f t="shared" si="6"/>
        <v/>
      </c>
      <c r="J129" s="45"/>
      <c r="K129" s="45"/>
      <c r="L129" s="45"/>
    </row>
    <row r="130" spans="1:12">
      <c r="A130" s="10" t="str">
        <f t="shared" si="7"/>
        <v/>
      </c>
      <c r="B130" s="45"/>
      <c r="C130" s="13" t="str">
        <f t="shared" si="4"/>
        <v/>
      </c>
      <c r="D130" s="13" t="str">
        <f t="shared" si="5"/>
        <v/>
      </c>
      <c r="E130" s="45"/>
      <c r="F130" s="11" t="str">
        <f>IFERROR(VLOOKUP(E130,Category!$D$2:$E$600,2,FALSE),"")</f>
        <v/>
      </c>
      <c r="G130" s="56"/>
      <c r="H130" s="56"/>
      <c r="I130" s="16" t="str">
        <f t="shared" si="6"/>
        <v/>
      </c>
      <c r="J130" s="45"/>
      <c r="K130" s="45"/>
      <c r="L130" s="45"/>
    </row>
    <row r="131" spans="1:12">
      <c r="A131" s="10" t="str">
        <f t="shared" si="7"/>
        <v/>
      </c>
      <c r="B131" s="45"/>
      <c r="C131" s="13" t="str">
        <f t="shared" ref="C131:C194" si="8">IF(B131=0,"",TEXT(B131,"mmmm"))</f>
        <v/>
      </c>
      <c r="D131" s="13" t="str">
        <f t="shared" ref="D131:D194" si="9">IF(B131=0,"",TEXT(B131,"yyyy"))</f>
        <v/>
      </c>
      <c r="E131" s="45"/>
      <c r="F131" s="11" t="str">
        <f>IFERROR(VLOOKUP(E131,Category!$D$2:$E$600,2,FALSE),"")</f>
        <v/>
      </c>
      <c r="G131" s="56"/>
      <c r="H131" s="56"/>
      <c r="I131" s="16" t="str">
        <f t="shared" ref="I131:I194" si="10">IF(H131*G131=0,"",H131*G131)</f>
        <v/>
      </c>
      <c r="J131" s="45"/>
      <c r="K131" s="45"/>
      <c r="L131" s="45"/>
    </row>
    <row r="132" spans="1:12">
      <c r="A132" s="10" t="str">
        <f t="shared" ref="A132:A195" si="11">IF(E132&gt;0,A131+1,"")</f>
        <v/>
      </c>
      <c r="B132" s="45"/>
      <c r="C132" s="13" t="str">
        <f t="shared" si="8"/>
        <v/>
      </c>
      <c r="D132" s="13" t="str">
        <f t="shared" si="9"/>
        <v/>
      </c>
      <c r="E132" s="45"/>
      <c r="F132" s="11" t="str">
        <f>IFERROR(VLOOKUP(E132,Category!$D$2:$E$600,2,FALSE),"")</f>
        <v/>
      </c>
      <c r="G132" s="56"/>
      <c r="H132" s="56"/>
      <c r="I132" s="16" t="str">
        <f t="shared" si="10"/>
        <v/>
      </c>
      <c r="J132" s="45"/>
      <c r="K132" s="45"/>
      <c r="L132" s="45"/>
    </row>
    <row r="133" spans="1:12">
      <c r="A133" s="10" t="str">
        <f t="shared" si="11"/>
        <v/>
      </c>
      <c r="B133" s="45"/>
      <c r="C133" s="13" t="str">
        <f t="shared" si="8"/>
        <v/>
      </c>
      <c r="D133" s="13" t="str">
        <f t="shared" si="9"/>
        <v/>
      </c>
      <c r="E133" s="45"/>
      <c r="F133" s="11" t="str">
        <f>IFERROR(VLOOKUP(E133,Category!$D$2:$E$600,2,FALSE),"")</f>
        <v/>
      </c>
      <c r="G133" s="56"/>
      <c r="H133" s="56"/>
      <c r="I133" s="16" t="str">
        <f t="shared" si="10"/>
        <v/>
      </c>
      <c r="J133" s="45"/>
      <c r="K133" s="45"/>
      <c r="L133" s="45"/>
    </row>
    <row r="134" spans="1:12">
      <c r="A134" s="10" t="str">
        <f t="shared" si="11"/>
        <v/>
      </c>
      <c r="B134" s="45"/>
      <c r="C134" s="13" t="str">
        <f t="shared" si="8"/>
        <v/>
      </c>
      <c r="D134" s="13" t="str">
        <f t="shared" si="9"/>
        <v/>
      </c>
      <c r="E134" s="45"/>
      <c r="F134" s="11" t="str">
        <f>IFERROR(VLOOKUP(E134,Category!$D$2:$E$600,2,FALSE),"")</f>
        <v/>
      </c>
      <c r="G134" s="56"/>
      <c r="H134" s="56"/>
      <c r="I134" s="16" t="str">
        <f t="shared" si="10"/>
        <v/>
      </c>
      <c r="J134" s="45"/>
      <c r="K134" s="45"/>
      <c r="L134" s="45"/>
    </row>
    <row r="135" spans="1:12">
      <c r="A135" s="10" t="str">
        <f t="shared" si="11"/>
        <v/>
      </c>
      <c r="B135" s="45"/>
      <c r="C135" s="13" t="str">
        <f t="shared" si="8"/>
        <v/>
      </c>
      <c r="D135" s="13" t="str">
        <f t="shared" si="9"/>
        <v/>
      </c>
      <c r="E135" s="45"/>
      <c r="F135" s="11" t="str">
        <f>IFERROR(VLOOKUP(E135,Category!$D$2:$E$600,2,FALSE),"")</f>
        <v/>
      </c>
      <c r="G135" s="56"/>
      <c r="H135" s="56"/>
      <c r="I135" s="16" t="str">
        <f t="shared" si="10"/>
        <v/>
      </c>
      <c r="J135" s="45"/>
      <c r="K135" s="45"/>
      <c r="L135" s="45"/>
    </row>
    <row r="136" spans="1:12">
      <c r="A136" s="10" t="str">
        <f t="shared" si="11"/>
        <v/>
      </c>
      <c r="B136" s="45"/>
      <c r="C136" s="13" t="str">
        <f t="shared" si="8"/>
        <v/>
      </c>
      <c r="D136" s="13" t="str">
        <f t="shared" si="9"/>
        <v/>
      </c>
      <c r="E136" s="45"/>
      <c r="F136" s="11" t="str">
        <f>IFERROR(VLOOKUP(E136,Category!$D$2:$E$600,2,FALSE),"")</f>
        <v/>
      </c>
      <c r="G136" s="56"/>
      <c r="H136" s="56"/>
      <c r="I136" s="16" t="str">
        <f t="shared" si="10"/>
        <v/>
      </c>
      <c r="J136" s="45"/>
      <c r="K136" s="45"/>
      <c r="L136" s="45"/>
    </row>
    <row r="137" spans="1:12">
      <c r="A137" s="10" t="str">
        <f t="shared" si="11"/>
        <v/>
      </c>
      <c r="B137" s="45"/>
      <c r="C137" s="13" t="str">
        <f t="shared" si="8"/>
        <v/>
      </c>
      <c r="D137" s="13" t="str">
        <f t="shared" si="9"/>
        <v/>
      </c>
      <c r="E137" s="45"/>
      <c r="F137" s="11" t="str">
        <f>IFERROR(VLOOKUP(E137,Category!$D$2:$E$600,2,FALSE),"")</f>
        <v/>
      </c>
      <c r="G137" s="56"/>
      <c r="H137" s="56"/>
      <c r="I137" s="16" t="str">
        <f t="shared" si="10"/>
        <v/>
      </c>
      <c r="J137" s="45"/>
      <c r="K137" s="45"/>
      <c r="L137" s="45"/>
    </row>
    <row r="138" spans="1:12">
      <c r="A138" s="10" t="str">
        <f t="shared" si="11"/>
        <v/>
      </c>
      <c r="B138" s="45"/>
      <c r="C138" s="13" t="str">
        <f t="shared" si="8"/>
        <v/>
      </c>
      <c r="D138" s="13" t="str">
        <f t="shared" si="9"/>
        <v/>
      </c>
      <c r="E138" s="45"/>
      <c r="F138" s="11" t="str">
        <f>IFERROR(VLOOKUP(E138,Category!$D$2:$E$600,2,FALSE),"")</f>
        <v/>
      </c>
      <c r="G138" s="56"/>
      <c r="H138" s="56"/>
      <c r="I138" s="16" t="str">
        <f t="shared" si="10"/>
        <v/>
      </c>
      <c r="J138" s="45"/>
      <c r="K138" s="45"/>
      <c r="L138" s="45"/>
    </row>
    <row r="139" spans="1:12">
      <c r="A139" s="10" t="str">
        <f t="shared" si="11"/>
        <v/>
      </c>
      <c r="B139" s="45"/>
      <c r="C139" s="13" t="str">
        <f t="shared" si="8"/>
        <v/>
      </c>
      <c r="D139" s="13" t="str">
        <f t="shared" si="9"/>
        <v/>
      </c>
      <c r="E139" s="45"/>
      <c r="F139" s="11" t="str">
        <f>IFERROR(VLOOKUP(E139,Category!$D$2:$E$600,2,FALSE),"")</f>
        <v/>
      </c>
      <c r="G139" s="56"/>
      <c r="H139" s="56"/>
      <c r="I139" s="16" t="str">
        <f t="shared" si="10"/>
        <v/>
      </c>
      <c r="J139" s="45"/>
      <c r="K139" s="45"/>
      <c r="L139" s="45"/>
    </row>
    <row r="140" spans="1:12">
      <c r="A140" s="10" t="str">
        <f t="shared" si="11"/>
        <v/>
      </c>
      <c r="B140" s="45"/>
      <c r="C140" s="13" t="str">
        <f t="shared" si="8"/>
        <v/>
      </c>
      <c r="D140" s="13" t="str">
        <f t="shared" si="9"/>
        <v/>
      </c>
      <c r="E140" s="45"/>
      <c r="F140" s="11" t="str">
        <f>IFERROR(VLOOKUP(E140,Category!$D$2:$E$600,2,FALSE),"")</f>
        <v/>
      </c>
      <c r="G140" s="56"/>
      <c r="H140" s="56"/>
      <c r="I140" s="16" t="str">
        <f t="shared" si="10"/>
        <v/>
      </c>
      <c r="J140" s="45"/>
      <c r="K140" s="45"/>
      <c r="L140" s="45"/>
    </row>
    <row r="141" spans="1:12">
      <c r="A141" s="10" t="str">
        <f t="shared" si="11"/>
        <v/>
      </c>
      <c r="B141" s="45"/>
      <c r="C141" s="13" t="str">
        <f t="shared" si="8"/>
        <v/>
      </c>
      <c r="D141" s="13" t="str">
        <f t="shared" si="9"/>
        <v/>
      </c>
      <c r="E141" s="45"/>
      <c r="F141" s="11" t="str">
        <f>IFERROR(VLOOKUP(E141,Category!$D$2:$E$600,2,FALSE),"")</f>
        <v/>
      </c>
      <c r="G141" s="56"/>
      <c r="H141" s="56"/>
      <c r="I141" s="16" t="str">
        <f t="shared" si="10"/>
        <v/>
      </c>
      <c r="J141" s="45"/>
      <c r="K141" s="45"/>
      <c r="L141" s="45"/>
    </row>
    <row r="142" spans="1:12">
      <c r="A142" s="10" t="str">
        <f t="shared" si="11"/>
        <v/>
      </c>
      <c r="B142" s="45"/>
      <c r="C142" s="13" t="str">
        <f t="shared" si="8"/>
        <v/>
      </c>
      <c r="D142" s="13" t="str">
        <f t="shared" si="9"/>
        <v/>
      </c>
      <c r="E142" s="45"/>
      <c r="F142" s="11" t="str">
        <f>IFERROR(VLOOKUP(E142,Category!$D$2:$E$600,2,FALSE),"")</f>
        <v/>
      </c>
      <c r="G142" s="56"/>
      <c r="H142" s="56"/>
      <c r="I142" s="16" t="str">
        <f t="shared" si="10"/>
        <v/>
      </c>
      <c r="J142" s="45"/>
      <c r="K142" s="45"/>
      <c r="L142" s="45"/>
    </row>
    <row r="143" spans="1:12">
      <c r="A143" s="10" t="str">
        <f t="shared" si="11"/>
        <v/>
      </c>
      <c r="B143" s="45"/>
      <c r="C143" s="13" t="str">
        <f t="shared" si="8"/>
        <v/>
      </c>
      <c r="D143" s="13" t="str">
        <f t="shared" si="9"/>
        <v/>
      </c>
      <c r="E143" s="45"/>
      <c r="F143" s="11" t="str">
        <f>IFERROR(VLOOKUP(E143,Category!$D$2:$E$600,2,FALSE),"")</f>
        <v/>
      </c>
      <c r="G143" s="56"/>
      <c r="H143" s="56"/>
      <c r="I143" s="16" t="str">
        <f t="shared" si="10"/>
        <v/>
      </c>
      <c r="J143" s="45"/>
      <c r="K143" s="45"/>
      <c r="L143" s="45"/>
    </row>
    <row r="144" spans="1:12">
      <c r="A144" s="10" t="str">
        <f t="shared" si="11"/>
        <v/>
      </c>
      <c r="B144" s="45"/>
      <c r="C144" s="13" t="str">
        <f t="shared" si="8"/>
        <v/>
      </c>
      <c r="D144" s="13" t="str">
        <f t="shared" si="9"/>
        <v/>
      </c>
      <c r="E144" s="45"/>
      <c r="F144" s="11" t="str">
        <f>IFERROR(VLOOKUP(E144,Category!$D$2:$E$600,2,FALSE),"")</f>
        <v/>
      </c>
      <c r="G144" s="56"/>
      <c r="H144" s="56"/>
      <c r="I144" s="16" t="str">
        <f t="shared" si="10"/>
        <v/>
      </c>
      <c r="J144" s="45"/>
      <c r="K144" s="45"/>
      <c r="L144" s="45"/>
    </row>
    <row r="145" spans="1:12">
      <c r="A145" s="10" t="str">
        <f t="shared" si="11"/>
        <v/>
      </c>
      <c r="B145" s="45"/>
      <c r="C145" s="13" t="str">
        <f t="shared" si="8"/>
        <v/>
      </c>
      <c r="D145" s="13" t="str">
        <f t="shared" si="9"/>
        <v/>
      </c>
      <c r="E145" s="45"/>
      <c r="F145" s="11" t="str">
        <f>IFERROR(VLOOKUP(E145,Category!$D$2:$E$600,2,FALSE),"")</f>
        <v/>
      </c>
      <c r="G145" s="56"/>
      <c r="H145" s="56"/>
      <c r="I145" s="16" t="str">
        <f t="shared" si="10"/>
        <v/>
      </c>
      <c r="J145" s="45"/>
      <c r="K145" s="45"/>
      <c r="L145" s="45"/>
    </row>
    <row r="146" spans="1:12">
      <c r="A146" s="10" t="str">
        <f t="shared" si="11"/>
        <v/>
      </c>
      <c r="B146" s="45"/>
      <c r="C146" s="13" t="str">
        <f t="shared" si="8"/>
        <v/>
      </c>
      <c r="D146" s="13" t="str">
        <f t="shared" si="9"/>
        <v/>
      </c>
      <c r="E146" s="45"/>
      <c r="F146" s="11" t="str">
        <f>IFERROR(VLOOKUP(E146,Category!$D$2:$E$600,2,FALSE),"")</f>
        <v/>
      </c>
      <c r="G146" s="56"/>
      <c r="H146" s="56"/>
      <c r="I146" s="16" t="str">
        <f t="shared" si="10"/>
        <v/>
      </c>
      <c r="J146" s="45"/>
      <c r="K146" s="45"/>
      <c r="L146" s="45"/>
    </row>
    <row r="147" spans="1:12">
      <c r="A147" s="10" t="str">
        <f t="shared" si="11"/>
        <v/>
      </c>
      <c r="B147" s="45"/>
      <c r="C147" s="13" t="str">
        <f t="shared" si="8"/>
        <v/>
      </c>
      <c r="D147" s="13" t="str">
        <f t="shared" si="9"/>
        <v/>
      </c>
      <c r="E147" s="45"/>
      <c r="F147" s="11" t="str">
        <f>IFERROR(VLOOKUP(E147,Category!$D$2:$E$600,2,FALSE),"")</f>
        <v/>
      </c>
      <c r="G147" s="56"/>
      <c r="H147" s="56"/>
      <c r="I147" s="16" t="str">
        <f t="shared" si="10"/>
        <v/>
      </c>
      <c r="J147" s="45"/>
      <c r="K147" s="45"/>
      <c r="L147" s="45"/>
    </row>
    <row r="148" spans="1:12">
      <c r="A148" s="10" t="str">
        <f t="shared" si="11"/>
        <v/>
      </c>
      <c r="B148" s="45"/>
      <c r="C148" s="13" t="str">
        <f t="shared" si="8"/>
        <v/>
      </c>
      <c r="D148" s="13" t="str">
        <f t="shared" si="9"/>
        <v/>
      </c>
      <c r="E148" s="45"/>
      <c r="F148" s="11" t="str">
        <f>IFERROR(VLOOKUP(E148,Category!$D$2:$E$600,2,FALSE),"")</f>
        <v/>
      </c>
      <c r="G148" s="56"/>
      <c r="H148" s="56"/>
      <c r="I148" s="16" t="str">
        <f t="shared" si="10"/>
        <v/>
      </c>
      <c r="J148" s="45"/>
      <c r="K148" s="45"/>
      <c r="L148" s="45"/>
    </row>
    <row r="149" spans="1:12">
      <c r="A149" s="10" t="str">
        <f t="shared" si="11"/>
        <v/>
      </c>
      <c r="B149" s="45"/>
      <c r="C149" s="13" t="str">
        <f t="shared" si="8"/>
        <v/>
      </c>
      <c r="D149" s="13" t="str">
        <f t="shared" si="9"/>
        <v/>
      </c>
      <c r="E149" s="45"/>
      <c r="F149" s="11" t="str">
        <f>IFERROR(VLOOKUP(E149,Category!$D$2:$E$600,2,FALSE),"")</f>
        <v/>
      </c>
      <c r="G149" s="56"/>
      <c r="H149" s="56"/>
      <c r="I149" s="16" t="str">
        <f t="shared" si="10"/>
        <v/>
      </c>
      <c r="J149" s="45"/>
      <c r="K149" s="45"/>
      <c r="L149" s="45"/>
    </row>
    <row r="150" spans="1:12">
      <c r="A150" s="10" t="str">
        <f t="shared" si="11"/>
        <v/>
      </c>
      <c r="B150" s="45"/>
      <c r="C150" s="13" t="str">
        <f t="shared" si="8"/>
        <v/>
      </c>
      <c r="D150" s="13" t="str">
        <f t="shared" si="9"/>
        <v/>
      </c>
      <c r="E150" s="45"/>
      <c r="F150" s="11" t="str">
        <f>IFERROR(VLOOKUP(E150,Category!$D$2:$E$600,2,FALSE),"")</f>
        <v/>
      </c>
      <c r="G150" s="56"/>
      <c r="H150" s="56"/>
      <c r="I150" s="16" t="str">
        <f t="shared" si="10"/>
        <v/>
      </c>
      <c r="J150" s="45"/>
      <c r="K150" s="45"/>
      <c r="L150" s="45"/>
    </row>
    <row r="151" spans="1:12">
      <c r="A151" s="10" t="str">
        <f t="shared" si="11"/>
        <v/>
      </c>
      <c r="B151" s="45"/>
      <c r="C151" s="13" t="str">
        <f t="shared" si="8"/>
        <v/>
      </c>
      <c r="D151" s="13" t="str">
        <f t="shared" si="9"/>
        <v/>
      </c>
      <c r="E151" s="45"/>
      <c r="F151" s="11" t="str">
        <f>IFERROR(VLOOKUP(E151,Category!$D$2:$E$600,2,FALSE),"")</f>
        <v/>
      </c>
      <c r="G151" s="56"/>
      <c r="H151" s="56"/>
      <c r="I151" s="16" t="str">
        <f t="shared" si="10"/>
        <v/>
      </c>
      <c r="J151" s="45"/>
      <c r="K151" s="45"/>
      <c r="L151" s="45"/>
    </row>
    <row r="152" spans="1:12">
      <c r="A152" s="10" t="str">
        <f t="shared" si="11"/>
        <v/>
      </c>
      <c r="B152" s="45"/>
      <c r="C152" s="13" t="str">
        <f t="shared" si="8"/>
        <v/>
      </c>
      <c r="D152" s="13" t="str">
        <f t="shared" si="9"/>
        <v/>
      </c>
      <c r="E152" s="45"/>
      <c r="F152" s="11" t="str">
        <f>IFERROR(VLOOKUP(E152,Category!$D$2:$E$600,2,FALSE),"")</f>
        <v/>
      </c>
      <c r="G152" s="56"/>
      <c r="H152" s="56"/>
      <c r="I152" s="16" t="str">
        <f t="shared" si="10"/>
        <v/>
      </c>
      <c r="J152" s="45"/>
      <c r="K152" s="45"/>
      <c r="L152" s="45"/>
    </row>
    <row r="153" spans="1:12">
      <c r="A153" s="10" t="str">
        <f t="shared" si="11"/>
        <v/>
      </c>
      <c r="B153" s="45"/>
      <c r="C153" s="13" t="str">
        <f t="shared" si="8"/>
        <v/>
      </c>
      <c r="D153" s="13" t="str">
        <f t="shared" si="9"/>
        <v/>
      </c>
      <c r="E153" s="45"/>
      <c r="F153" s="11" t="str">
        <f>IFERROR(VLOOKUP(E153,Category!$D$2:$E$600,2,FALSE),"")</f>
        <v/>
      </c>
      <c r="G153" s="56"/>
      <c r="H153" s="56"/>
      <c r="I153" s="16" t="str">
        <f t="shared" si="10"/>
        <v/>
      </c>
      <c r="J153" s="45"/>
      <c r="K153" s="45"/>
      <c r="L153" s="45"/>
    </row>
    <row r="154" spans="1:12">
      <c r="A154" s="10" t="str">
        <f t="shared" si="11"/>
        <v/>
      </c>
      <c r="B154" s="45"/>
      <c r="C154" s="13" t="str">
        <f t="shared" si="8"/>
        <v/>
      </c>
      <c r="D154" s="13" t="str">
        <f t="shared" si="9"/>
        <v/>
      </c>
      <c r="E154" s="45"/>
      <c r="F154" s="11" t="str">
        <f>IFERROR(VLOOKUP(E154,Category!$D$2:$E$600,2,FALSE),"")</f>
        <v/>
      </c>
      <c r="G154" s="56"/>
      <c r="H154" s="56"/>
      <c r="I154" s="16" t="str">
        <f t="shared" si="10"/>
        <v/>
      </c>
      <c r="J154" s="45"/>
      <c r="K154" s="45"/>
      <c r="L154" s="45"/>
    </row>
    <row r="155" spans="1:12">
      <c r="A155" s="10" t="str">
        <f t="shared" si="11"/>
        <v/>
      </c>
      <c r="B155" s="45"/>
      <c r="C155" s="13" t="str">
        <f t="shared" si="8"/>
        <v/>
      </c>
      <c r="D155" s="13" t="str">
        <f t="shared" si="9"/>
        <v/>
      </c>
      <c r="E155" s="45"/>
      <c r="F155" s="11" t="str">
        <f>IFERROR(VLOOKUP(E155,Category!$D$2:$E$600,2,FALSE),"")</f>
        <v/>
      </c>
      <c r="G155" s="56"/>
      <c r="H155" s="56"/>
      <c r="I155" s="16" t="str">
        <f t="shared" si="10"/>
        <v/>
      </c>
      <c r="J155" s="45"/>
      <c r="K155" s="45"/>
      <c r="L155" s="45"/>
    </row>
    <row r="156" spans="1:12">
      <c r="A156" s="10" t="str">
        <f t="shared" si="11"/>
        <v/>
      </c>
      <c r="B156" s="45"/>
      <c r="C156" s="13" t="str">
        <f t="shared" si="8"/>
        <v/>
      </c>
      <c r="D156" s="13" t="str">
        <f t="shared" si="9"/>
        <v/>
      </c>
      <c r="E156" s="45"/>
      <c r="F156" s="11" t="str">
        <f>IFERROR(VLOOKUP(E156,Category!$D$2:$E$600,2,FALSE),"")</f>
        <v/>
      </c>
      <c r="G156" s="56"/>
      <c r="H156" s="56"/>
      <c r="I156" s="16" t="str">
        <f t="shared" si="10"/>
        <v/>
      </c>
      <c r="J156" s="45"/>
      <c r="K156" s="45"/>
      <c r="L156" s="45"/>
    </row>
    <row r="157" spans="1:12">
      <c r="A157" s="10" t="str">
        <f t="shared" si="11"/>
        <v/>
      </c>
      <c r="B157" s="45"/>
      <c r="C157" s="13" t="str">
        <f t="shared" si="8"/>
        <v/>
      </c>
      <c r="D157" s="13" t="str">
        <f t="shared" si="9"/>
        <v/>
      </c>
      <c r="E157" s="45"/>
      <c r="F157" s="11" t="str">
        <f>IFERROR(VLOOKUP(E157,Category!$D$2:$E$600,2,FALSE),"")</f>
        <v/>
      </c>
      <c r="G157" s="56"/>
      <c r="H157" s="56"/>
      <c r="I157" s="16" t="str">
        <f t="shared" si="10"/>
        <v/>
      </c>
      <c r="J157" s="45"/>
      <c r="K157" s="45"/>
      <c r="L157" s="45"/>
    </row>
    <row r="158" spans="1:12">
      <c r="A158" s="10" t="str">
        <f t="shared" si="11"/>
        <v/>
      </c>
      <c r="B158" s="45"/>
      <c r="C158" s="13" t="str">
        <f t="shared" si="8"/>
        <v/>
      </c>
      <c r="D158" s="13" t="str">
        <f t="shared" si="9"/>
        <v/>
      </c>
      <c r="E158" s="45"/>
      <c r="F158" s="11" t="str">
        <f>IFERROR(VLOOKUP(E158,Category!$D$2:$E$600,2,FALSE),"")</f>
        <v/>
      </c>
      <c r="G158" s="56"/>
      <c r="H158" s="56"/>
      <c r="I158" s="16" t="str">
        <f t="shared" si="10"/>
        <v/>
      </c>
      <c r="J158" s="45"/>
      <c r="K158" s="45"/>
      <c r="L158" s="45"/>
    </row>
    <row r="159" spans="1:12">
      <c r="A159" s="10" t="str">
        <f t="shared" si="11"/>
        <v/>
      </c>
      <c r="B159" s="45"/>
      <c r="C159" s="13" t="str">
        <f t="shared" si="8"/>
        <v/>
      </c>
      <c r="D159" s="13" t="str">
        <f t="shared" si="9"/>
        <v/>
      </c>
      <c r="E159" s="45"/>
      <c r="F159" s="11" t="str">
        <f>IFERROR(VLOOKUP(E159,Category!$D$2:$E$600,2,FALSE),"")</f>
        <v/>
      </c>
      <c r="G159" s="56"/>
      <c r="H159" s="56"/>
      <c r="I159" s="16" t="str">
        <f t="shared" si="10"/>
        <v/>
      </c>
      <c r="J159" s="45"/>
      <c r="K159" s="45"/>
      <c r="L159" s="45"/>
    </row>
    <row r="160" spans="1:12">
      <c r="A160" s="10" t="str">
        <f t="shared" si="11"/>
        <v/>
      </c>
      <c r="B160" s="45"/>
      <c r="C160" s="13" t="str">
        <f t="shared" si="8"/>
        <v/>
      </c>
      <c r="D160" s="13" t="str">
        <f t="shared" si="9"/>
        <v/>
      </c>
      <c r="E160" s="45"/>
      <c r="F160" s="11" t="str">
        <f>IFERROR(VLOOKUP(E160,Category!$D$2:$E$600,2,FALSE),"")</f>
        <v/>
      </c>
      <c r="G160" s="56"/>
      <c r="H160" s="56"/>
      <c r="I160" s="16" t="str">
        <f t="shared" si="10"/>
        <v/>
      </c>
      <c r="J160" s="45"/>
      <c r="K160" s="45"/>
      <c r="L160" s="45"/>
    </row>
    <row r="161" spans="1:12">
      <c r="A161" s="10" t="str">
        <f t="shared" si="11"/>
        <v/>
      </c>
      <c r="B161" s="45"/>
      <c r="C161" s="13" t="str">
        <f t="shared" si="8"/>
        <v/>
      </c>
      <c r="D161" s="13" t="str">
        <f t="shared" si="9"/>
        <v/>
      </c>
      <c r="E161" s="45"/>
      <c r="F161" s="11" t="str">
        <f>IFERROR(VLOOKUP(E161,Category!$D$2:$E$600,2,FALSE),"")</f>
        <v/>
      </c>
      <c r="G161" s="56"/>
      <c r="H161" s="56"/>
      <c r="I161" s="16" t="str">
        <f t="shared" si="10"/>
        <v/>
      </c>
      <c r="J161" s="45"/>
      <c r="K161" s="45"/>
      <c r="L161" s="45"/>
    </row>
    <row r="162" spans="1:12">
      <c r="A162" s="10" t="str">
        <f t="shared" si="11"/>
        <v/>
      </c>
      <c r="B162" s="45"/>
      <c r="C162" s="13" t="str">
        <f t="shared" si="8"/>
        <v/>
      </c>
      <c r="D162" s="13" t="str">
        <f t="shared" si="9"/>
        <v/>
      </c>
      <c r="E162" s="45"/>
      <c r="F162" s="11" t="str">
        <f>IFERROR(VLOOKUP(E162,Category!$D$2:$E$600,2,FALSE),"")</f>
        <v/>
      </c>
      <c r="G162" s="56"/>
      <c r="H162" s="56"/>
      <c r="I162" s="16" t="str">
        <f t="shared" si="10"/>
        <v/>
      </c>
      <c r="J162" s="45"/>
      <c r="K162" s="45"/>
      <c r="L162" s="45"/>
    </row>
    <row r="163" spans="1:12">
      <c r="A163" s="10" t="str">
        <f t="shared" si="11"/>
        <v/>
      </c>
      <c r="B163" s="45"/>
      <c r="C163" s="13" t="str">
        <f t="shared" si="8"/>
        <v/>
      </c>
      <c r="D163" s="13" t="str">
        <f t="shared" si="9"/>
        <v/>
      </c>
      <c r="E163" s="45"/>
      <c r="F163" s="11" t="str">
        <f>IFERROR(VLOOKUP(E163,Category!$D$2:$E$600,2,FALSE),"")</f>
        <v/>
      </c>
      <c r="G163" s="56"/>
      <c r="H163" s="56"/>
      <c r="I163" s="16" t="str">
        <f t="shared" si="10"/>
        <v/>
      </c>
      <c r="J163" s="45"/>
      <c r="K163" s="45"/>
      <c r="L163" s="45"/>
    </row>
    <row r="164" spans="1:12">
      <c r="A164" s="10" t="str">
        <f t="shared" si="11"/>
        <v/>
      </c>
      <c r="B164" s="45"/>
      <c r="C164" s="13" t="str">
        <f t="shared" si="8"/>
        <v/>
      </c>
      <c r="D164" s="13" t="str">
        <f t="shared" si="9"/>
        <v/>
      </c>
      <c r="E164" s="45"/>
      <c r="F164" s="11" t="str">
        <f>IFERROR(VLOOKUP(E164,Category!$D$2:$E$600,2,FALSE),"")</f>
        <v/>
      </c>
      <c r="G164" s="56"/>
      <c r="H164" s="56"/>
      <c r="I164" s="16" t="str">
        <f t="shared" si="10"/>
        <v/>
      </c>
      <c r="J164" s="45"/>
      <c r="K164" s="45"/>
      <c r="L164" s="45"/>
    </row>
    <row r="165" spans="1:12">
      <c r="A165" s="10" t="str">
        <f t="shared" si="11"/>
        <v/>
      </c>
      <c r="B165" s="45"/>
      <c r="C165" s="13" t="str">
        <f t="shared" si="8"/>
        <v/>
      </c>
      <c r="D165" s="13" t="str">
        <f t="shared" si="9"/>
        <v/>
      </c>
      <c r="E165" s="45"/>
      <c r="F165" s="11" t="str">
        <f>IFERROR(VLOOKUP(E165,Category!$D$2:$E$600,2,FALSE),"")</f>
        <v/>
      </c>
      <c r="G165" s="56"/>
      <c r="H165" s="56"/>
      <c r="I165" s="16" t="str">
        <f t="shared" si="10"/>
        <v/>
      </c>
      <c r="J165" s="45"/>
      <c r="K165" s="45"/>
      <c r="L165" s="45"/>
    </row>
    <row r="166" spans="1:12">
      <c r="A166" s="10" t="str">
        <f t="shared" si="11"/>
        <v/>
      </c>
      <c r="B166" s="45"/>
      <c r="C166" s="13" t="str">
        <f t="shared" si="8"/>
        <v/>
      </c>
      <c r="D166" s="13" t="str">
        <f t="shared" si="9"/>
        <v/>
      </c>
      <c r="E166" s="45"/>
      <c r="F166" s="11" t="str">
        <f>IFERROR(VLOOKUP(E166,Category!$D$2:$E$600,2,FALSE),"")</f>
        <v/>
      </c>
      <c r="G166" s="56"/>
      <c r="H166" s="56"/>
      <c r="I166" s="16" t="str">
        <f t="shared" si="10"/>
        <v/>
      </c>
      <c r="J166" s="45"/>
      <c r="K166" s="45"/>
      <c r="L166" s="45"/>
    </row>
    <row r="167" spans="1:12">
      <c r="A167" s="10" t="str">
        <f t="shared" si="11"/>
        <v/>
      </c>
      <c r="B167" s="45"/>
      <c r="C167" s="13" t="str">
        <f t="shared" si="8"/>
        <v/>
      </c>
      <c r="D167" s="13" t="str">
        <f t="shared" si="9"/>
        <v/>
      </c>
      <c r="E167" s="45"/>
      <c r="F167" s="11" t="str">
        <f>IFERROR(VLOOKUP(E167,Category!$D$2:$E$600,2,FALSE),"")</f>
        <v/>
      </c>
      <c r="G167" s="56"/>
      <c r="H167" s="56"/>
      <c r="I167" s="16" t="str">
        <f t="shared" si="10"/>
        <v/>
      </c>
      <c r="J167" s="45"/>
      <c r="K167" s="45"/>
      <c r="L167" s="45"/>
    </row>
    <row r="168" spans="1:12">
      <c r="A168" s="10" t="str">
        <f t="shared" si="11"/>
        <v/>
      </c>
      <c r="B168" s="45"/>
      <c r="C168" s="13" t="str">
        <f t="shared" si="8"/>
        <v/>
      </c>
      <c r="D168" s="13" t="str">
        <f t="shared" si="9"/>
        <v/>
      </c>
      <c r="E168" s="45"/>
      <c r="F168" s="11" t="str">
        <f>IFERROR(VLOOKUP(E168,Category!$D$2:$E$600,2,FALSE),"")</f>
        <v/>
      </c>
      <c r="G168" s="56"/>
      <c r="H168" s="56"/>
      <c r="I168" s="16" t="str">
        <f t="shared" si="10"/>
        <v/>
      </c>
      <c r="J168" s="45"/>
      <c r="K168" s="45"/>
      <c r="L168" s="45"/>
    </row>
    <row r="169" spans="1:12">
      <c r="A169" s="10" t="str">
        <f t="shared" si="11"/>
        <v/>
      </c>
      <c r="B169" s="45"/>
      <c r="C169" s="13" t="str">
        <f t="shared" si="8"/>
        <v/>
      </c>
      <c r="D169" s="13" t="str">
        <f t="shared" si="9"/>
        <v/>
      </c>
      <c r="E169" s="45"/>
      <c r="F169" s="11" t="str">
        <f>IFERROR(VLOOKUP(E169,Category!$D$2:$E$600,2,FALSE),"")</f>
        <v/>
      </c>
      <c r="G169" s="56"/>
      <c r="H169" s="56"/>
      <c r="I169" s="16" t="str">
        <f t="shared" si="10"/>
        <v/>
      </c>
      <c r="J169" s="45"/>
      <c r="K169" s="45"/>
      <c r="L169" s="45"/>
    </row>
    <row r="170" spans="1:12">
      <c r="A170" s="10" t="str">
        <f t="shared" si="11"/>
        <v/>
      </c>
      <c r="B170" s="45"/>
      <c r="C170" s="13" t="str">
        <f t="shared" si="8"/>
        <v/>
      </c>
      <c r="D170" s="13" t="str">
        <f t="shared" si="9"/>
        <v/>
      </c>
      <c r="E170" s="45"/>
      <c r="F170" s="11" t="str">
        <f>IFERROR(VLOOKUP(E170,Category!$D$2:$E$600,2,FALSE),"")</f>
        <v/>
      </c>
      <c r="G170" s="56"/>
      <c r="H170" s="56"/>
      <c r="I170" s="16" t="str">
        <f t="shared" si="10"/>
        <v/>
      </c>
      <c r="J170" s="45"/>
      <c r="K170" s="45"/>
      <c r="L170" s="45"/>
    </row>
    <row r="171" spans="1:12">
      <c r="A171" s="10" t="str">
        <f t="shared" si="11"/>
        <v/>
      </c>
      <c r="B171" s="45"/>
      <c r="C171" s="13" t="str">
        <f t="shared" si="8"/>
        <v/>
      </c>
      <c r="D171" s="13" t="str">
        <f t="shared" si="9"/>
        <v/>
      </c>
      <c r="E171" s="45"/>
      <c r="F171" s="11" t="str">
        <f>IFERROR(VLOOKUP(E171,Category!$D$2:$E$600,2,FALSE),"")</f>
        <v/>
      </c>
      <c r="G171" s="56"/>
      <c r="H171" s="56"/>
      <c r="I171" s="16" t="str">
        <f t="shared" si="10"/>
        <v/>
      </c>
      <c r="J171" s="45"/>
      <c r="K171" s="45"/>
      <c r="L171" s="45"/>
    </row>
    <row r="172" spans="1:12">
      <c r="A172" s="10" t="str">
        <f t="shared" si="11"/>
        <v/>
      </c>
      <c r="B172" s="45"/>
      <c r="C172" s="13" t="str">
        <f t="shared" si="8"/>
        <v/>
      </c>
      <c r="D172" s="13" t="str">
        <f t="shared" si="9"/>
        <v/>
      </c>
      <c r="E172" s="45"/>
      <c r="F172" s="11" t="str">
        <f>IFERROR(VLOOKUP(E172,Category!$D$2:$E$600,2,FALSE),"")</f>
        <v/>
      </c>
      <c r="G172" s="56"/>
      <c r="H172" s="56"/>
      <c r="I172" s="16" t="str">
        <f t="shared" si="10"/>
        <v/>
      </c>
      <c r="J172" s="45"/>
      <c r="K172" s="45"/>
      <c r="L172" s="45"/>
    </row>
    <row r="173" spans="1:12">
      <c r="A173" s="10" t="str">
        <f t="shared" si="11"/>
        <v/>
      </c>
      <c r="B173" s="45"/>
      <c r="C173" s="13" t="str">
        <f t="shared" si="8"/>
        <v/>
      </c>
      <c r="D173" s="13" t="str">
        <f t="shared" si="9"/>
        <v/>
      </c>
      <c r="E173" s="45"/>
      <c r="F173" s="11" t="str">
        <f>IFERROR(VLOOKUP(E173,Category!$D$2:$E$600,2,FALSE),"")</f>
        <v/>
      </c>
      <c r="G173" s="56"/>
      <c r="H173" s="56"/>
      <c r="I173" s="16" t="str">
        <f t="shared" si="10"/>
        <v/>
      </c>
      <c r="J173" s="45"/>
      <c r="K173" s="45"/>
      <c r="L173" s="45"/>
    </row>
    <row r="174" spans="1:12">
      <c r="A174" s="10" t="str">
        <f t="shared" si="11"/>
        <v/>
      </c>
      <c r="B174" s="45"/>
      <c r="C174" s="13" t="str">
        <f t="shared" si="8"/>
        <v/>
      </c>
      <c r="D174" s="13" t="str">
        <f t="shared" si="9"/>
        <v/>
      </c>
      <c r="E174" s="45"/>
      <c r="F174" s="11" t="str">
        <f>IFERROR(VLOOKUP(E174,Category!$D$2:$E$600,2,FALSE),"")</f>
        <v/>
      </c>
      <c r="G174" s="56"/>
      <c r="H174" s="56"/>
      <c r="I174" s="16" t="str">
        <f t="shared" si="10"/>
        <v/>
      </c>
      <c r="J174" s="45"/>
      <c r="K174" s="45"/>
      <c r="L174" s="45"/>
    </row>
    <row r="175" spans="1:12">
      <c r="A175" s="10" t="str">
        <f t="shared" si="11"/>
        <v/>
      </c>
      <c r="B175" s="45"/>
      <c r="C175" s="13" t="str">
        <f t="shared" si="8"/>
        <v/>
      </c>
      <c r="D175" s="13" t="str">
        <f t="shared" si="9"/>
        <v/>
      </c>
      <c r="E175" s="45"/>
      <c r="F175" s="11" t="str">
        <f>IFERROR(VLOOKUP(E175,Category!$D$2:$E$600,2,FALSE),"")</f>
        <v/>
      </c>
      <c r="G175" s="56"/>
      <c r="H175" s="56"/>
      <c r="I175" s="16" t="str">
        <f t="shared" si="10"/>
        <v/>
      </c>
      <c r="J175" s="45"/>
      <c r="K175" s="45"/>
      <c r="L175" s="45"/>
    </row>
    <row r="176" spans="1:12">
      <c r="A176" s="10" t="str">
        <f t="shared" si="11"/>
        <v/>
      </c>
      <c r="B176" s="45"/>
      <c r="C176" s="13" t="str">
        <f t="shared" si="8"/>
        <v/>
      </c>
      <c r="D176" s="13" t="str">
        <f t="shared" si="9"/>
        <v/>
      </c>
      <c r="E176" s="45"/>
      <c r="F176" s="11" t="str">
        <f>IFERROR(VLOOKUP(E176,Category!$D$2:$E$600,2,FALSE),"")</f>
        <v/>
      </c>
      <c r="G176" s="56"/>
      <c r="H176" s="56"/>
      <c r="I176" s="16" t="str">
        <f t="shared" si="10"/>
        <v/>
      </c>
      <c r="J176" s="45"/>
      <c r="K176" s="45"/>
      <c r="L176" s="45"/>
    </row>
    <row r="177" spans="1:12">
      <c r="A177" s="10" t="str">
        <f t="shared" si="11"/>
        <v/>
      </c>
      <c r="B177" s="45"/>
      <c r="C177" s="13" t="str">
        <f t="shared" si="8"/>
        <v/>
      </c>
      <c r="D177" s="13" t="str">
        <f t="shared" si="9"/>
        <v/>
      </c>
      <c r="E177" s="45"/>
      <c r="F177" s="11" t="str">
        <f>IFERROR(VLOOKUP(E177,Category!$D$2:$E$600,2,FALSE),"")</f>
        <v/>
      </c>
      <c r="G177" s="56"/>
      <c r="H177" s="56"/>
      <c r="I177" s="16" t="str">
        <f t="shared" si="10"/>
        <v/>
      </c>
      <c r="J177" s="45"/>
      <c r="K177" s="45"/>
      <c r="L177" s="45"/>
    </row>
    <row r="178" spans="1:12">
      <c r="A178" s="10" t="str">
        <f t="shared" si="11"/>
        <v/>
      </c>
      <c r="B178" s="45"/>
      <c r="C178" s="13" t="str">
        <f t="shared" si="8"/>
        <v/>
      </c>
      <c r="D178" s="13" t="str">
        <f t="shared" si="9"/>
        <v/>
      </c>
      <c r="E178" s="45"/>
      <c r="F178" s="11" t="str">
        <f>IFERROR(VLOOKUP(E178,Category!$D$2:$E$600,2,FALSE),"")</f>
        <v/>
      </c>
      <c r="G178" s="56"/>
      <c r="H178" s="56"/>
      <c r="I178" s="16" t="str">
        <f t="shared" si="10"/>
        <v/>
      </c>
      <c r="J178" s="45"/>
      <c r="K178" s="45"/>
      <c r="L178" s="45"/>
    </row>
    <row r="179" spans="1:12">
      <c r="A179" s="10" t="str">
        <f t="shared" si="11"/>
        <v/>
      </c>
      <c r="B179" s="45"/>
      <c r="C179" s="13" t="str">
        <f t="shared" si="8"/>
        <v/>
      </c>
      <c r="D179" s="13" t="str">
        <f t="shared" si="9"/>
        <v/>
      </c>
      <c r="E179" s="45"/>
      <c r="F179" s="11" t="str">
        <f>IFERROR(VLOOKUP(E179,Category!$D$2:$E$600,2,FALSE),"")</f>
        <v/>
      </c>
      <c r="G179" s="56"/>
      <c r="H179" s="56"/>
      <c r="I179" s="16" t="str">
        <f t="shared" si="10"/>
        <v/>
      </c>
      <c r="J179" s="45"/>
      <c r="K179" s="45"/>
      <c r="L179" s="45"/>
    </row>
    <row r="180" spans="1:12">
      <c r="A180" s="10" t="str">
        <f t="shared" si="11"/>
        <v/>
      </c>
      <c r="B180" s="45"/>
      <c r="C180" s="13" t="str">
        <f t="shared" si="8"/>
        <v/>
      </c>
      <c r="D180" s="13" t="str">
        <f t="shared" si="9"/>
        <v/>
      </c>
      <c r="E180" s="45"/>
      <c r="F180" s="11" t="str">
        <f>IFERROR(VLOOKUP(E180,Category!$D$2:$E$600,2,FALSE),"")</f>
        <v/>
      </c>
      <c r="G180" s="56"/>
      <c r="H180" s="56"/>
      <c r="I180" s="16" t="str">
        <f t="shared" si="10"/>
        <v/>
      </c>
      <c r="J180" s="45"/>
      <c r="K180" s="45"/>
      <c r="L180" s="45"/>
    </row>
    <row r="181" spans="1:12">
      <c r="A181" s="10" t="str">
        <f t="shared" si="11"/>
        <v/>
      </c>
      <c r="B181" s="45"/>
      <c r="C181" s="13" t="str">
        <f t="shared" si="8"/>
        <v/>
      </c>
      <c r="D181" s="13" t="str">
        <f t="shared" si="9"/>
        <v/>
      </c>
      <c r="E181" s="45"/>
      <c r="F181" s="11" t="str">
        <f>IFERROR(VLOOKUP(E181,Category!$D$2:$E$600,2,FALSE),"")</f>
        <v/>
      </c>
      <c r="G181" s="56"/>
      <c r="H181" s="56"/>
      <c r="I181" s="16" t="str">
        <f t="shared" si="10"/>
        <v/>
      </c>
      <c r="J181" s="45"/>
      <c r="K181" s="45"/>
      <c r="L181" s="45"/>
    </row>
    <row r="182" spans="1:12">
      <c r="A182" s="10" t="str">
        <f t="shared" si="11"/>
        <v/>
      </c>
      <c r="B182" s="45"/>
      <c r="C182" s="13" t="str">
        <f t="shared" si="8"/>
        <v/>
      </c>
      <c r="D182" s="13" t="str">
        <f t="shared" si="9"/>
        <v/>
      </c>
      <c r="E182" s="45"/>
      <c r="F182" s="11" t="str">
        <f>IFERROR(VLOOKUP(E182,Category!$D$2:$E$600,2,FALSE),"")</f>
        <v/>
      </c>
      <c r="G182" s="56"/>
      <c r="H182" s="56"/>
      <c r="I182" s="16" t="str">
        <f t="shared" si="10"/>
        <v/>
      </c>
      <c r="J182" s="45"/>
      <c r="K182" s="45"/>
      <c r="L182" s="45"/>
    </row>
    <row r="183" spans="1:12">
      <c r="A183" s="10" t="str">
        <f t="shared" si="11"/>
        <v/>
      </c>
      <c r="B183" s="45"/>
      <c r="C183" s="13" t="str">
        <f t="shared" si="8"/>
        <v/>
      </c>
      <c r="D183" s="13" t="str">
        <f t="shared" si="9"/>
        <v/>
      </c>
      <c r="E183" s="45"/>
      <c r="F183" s="11" t="str">
        <f>IFERROR(VLOOKUP(E183,Category!$D$2:$E$600,2,FALSE),"")</f>
        <v/>
      </c>
      <c r="G183" s="56"/>
      <c r="H183" s="56"/>
      <c r="I183" s="16" t="str">
        <f t="shared" si="10"/>
        <v/>
      </c>
      <c r="J183" s="45"/>
      <c r="K183" s="45"/>
      <c r="L183" s="45"/>
    </row>
    <row r="184" spans="1:12">
      <c r="A184" s="10" t="str">
        <f t="shared" si="11"/>
        <v/>
      </c>
      <c r="B184" s="45"/>
      <c r="C184" s="13" t="str">
        <f t="shared" si="8"/>
        <v/>
      </c>
      <c r="D184" s="13" t="str">
        <f t="shared" si="9"/>
        <v/>
      </c>
      <c r="E184" s="45"/>
      <c r="F184" s="11" t="str">
        <f>IFERROR(VLOOKUP(E184,Category!$D$2:$E$600,2,FALSE),"")</f>
        <v/>
      </c>
      <c r="G184" s="56"/>
      <c r="H184" s="56"/>
      <c r="I184" s="16" t="str">
        <f t="shared" si="10"/>
        <v/>
      </c>
      <c r="J184" s="45"/>
      <c r="K184" s="45"/>
      <c r="L184" s="45"/>
    </row>
    <row r="185" spans="1:12">
      <c r="A185" s="10" t="str">
        <f t="shared" si="11"/>
        <v/>
      </c>
      <c r="B185" s="45"/>
      <c r="C185" s="13" t="str">
        <f t="shared" si="8"/>
        <v/>
      </c>
      <c r="D185" s="13" t="str">
        <f t="shared" si="9"/>
        <v/>
      </c>
      <c r="E185" s="45"/>
      <c r="F185" s="11" t="str">
        <f>IFERROR(VLOOKUP(E185,Category!$D$2:$E$600,2,FALSE),"")</f>
        <v/>
      </c>
      <c r="G185" s="56"/>
      <c r="H185" s="56"/>
      <c r="I185" s="16" t="str">
        <f t="shared" si="10"/>
        <v/>
      </c>
      <c r="J185" s="45"/>
      <c r="K185" s="45"/>
      <c r="L185" s="45"/>
    </row>
    <row r="186" spans="1:12">
      <c r="A186" s="10" t="str">
        <f t="shared" si="11"/>
        <v/>
      </c>
      <c r="B186" s="45"/>
      <c r="C186" s="13" t="str">
        <f t="shared" si="8"/>
        <v/>
      </c>
      <c r="D186" s="13" t="str">
        <f t="shared" si="9"/>
        <v/>
      </c>
      <c r="E186" s="45"/>
      <c r="F186" s="11" t="str">
        <f>IFERROR(VLOOKUP(E186,Category!$D$2:$E$600,2,FALSE),"")</f>
        <v/>
      </c>
      <c r="G186" s="56"/>
      <c r="H186" s="56"/>
      <c r="I186" s="16" t="str">
        <f t="shared" si="10"/>
        <v/>
      </c>
      <c r="J186" s="45"/>
      <c r="K186" s="45"/>
      <c r="L186" s="45"/>
    </row>
    <row r="187" spans="1:12">
      <c r="A187" s="10" t="str">
        <f t="shared" si="11"/>
        <v/>
      </c>
      <c r="B187" s="45"/>
      <c r="C187" s="13" t="str">
        <f t="shared" si="8"/>
        <v/>
      </c>
      <c r="D187" s="13" t="str">
        <f t="shared" si="9"/>
        <v/>
      </c>
      <c r="E187" s="45"/>
      <c r="F187" s="11" t="str">
        <f>IFERROR(VLOOKUP(E187,Category!$D$2:$E$600,2,FALSE),"")</f>
        <v/>
      </c>
      <c r="G187" s="56"/>
      <c r="H187" s="56"/>
      <c r="I187" s="16" t="str">
        <f t="shared" si="10"/>
        <v/>
      </c>
      <c r="J187" s="45"/>
      <c r="K187" s="45"/>
      <c r="L187" s="45"/>
    </row>
    <row r="188" spans="1:12">
      <c r="A188" s="10" t="str">
        <f t="shared" si="11"/>
        <v/>
      </c>
      <c r="B188" s="45"/>
      <c r="C188" s="13" t="str">
        <f t="shared" si="8"/>
        <v/>
      </c>
      <c r="D188" s="13" t="str">
        <f t="shared" si="9"/>
        <v/>
      </c>
      <c r="E188" s="45"/>
      <c r="F188" s="11" t="str">
        <f>IFERROR(VLOOKUP(E188,Category!$D$2:$E$600,2,FALSE),"")</f>
        <v/>
      </c>
      <c r="G188" s="56"/>
      <c r="H188" s="56"/>
      <c r="I188" s="16" t="str">
        <f t="shared" si="10"/>
        <v/>
      </c>
      <c r="J188" s="45"/>
      <c r="K188" s="45"/>
      <c r="L188" s="45"/>
    </row>
    <row r="189" spans="1:12">
      <c r="A189" s="10" t="str">
        <f t="shared" si="11"/>
        <v/>
      </c>
      <c r="B189" s="45"/>
      <c r="C189" s="13" t="str">
        <f t="shared" si="8"/>
        <v/>
      </c>
      <c r="D189" s="13" t="str">
        <f t="shared" si="9"/>
        <v/>
      </c>
      <c r="E189" s="45"/>
      <c r="F189" s="11" t="str">
        <f>IFERROR(VLOOKUP(E189,Category!$D$2:$E$600,2,FALSE),"")</f>
        <v/>
      </c>
      <c r="G189" s="56"/>
      <c r="H189" s="56"/>
      <c r="I189" s="16" t="str">
        <f t="shared" si="10"/>
        <v/>
      </c>
      <c r="J189" s="45"/>
      <c r="K189" s="45"/>
      <c r="L189" s="45"/>
    </row>
    <row r="190" spans="1:12">
      <c r="A190" s="10" t="str">
        <f t="shared" si="11"/>
        <v/>
      </c>
      <c r="B190" s="45"/>
      <c r="C190" s="13" t="str">
        <f t="shared" si="8"/>
        <v/>
      </c>
      <c r="D190" s="13" t="str">
        <f t="shared" si="9"/>
        <v/>
      </c>
      <c r="E190" s="45"/>
      <c r="F190" s="11" t="str">
        <f>IFERROR(VLOOKUP(E190,Category!$D$2:$E$600,2,FALSE),"")</f>
        <v/>
      </c>
      <c r="G190" s="56"/>
      <c r="H190" s="56"/>
      <c r="I190" s="16" t="str">
        <f t="shared" si="10"/>
        <v/>
      </c>
      <c r="J190" s="45"/>
      <c r="K190" s="45"/>
      <c r="L190" s="45"/>
    </row>
    <row r="191" spans="1:12">
      <c r="A191" s="10" t="str">
        <f t="shared" si="11"/>
        <v/>
      </c>
      <c r="B191" s="45"/>
      <c r="C191" s="13" t="str">
        <f t="shared" si="8"/>
        <v/>
      </c>
      <c r="D191" s="13" t="str">
        <f t="shared" si="9"/>
        <v/>
      </c>
      <c r="E191" s="45"/>
      <c r="F191" s="11" t="str">
        <f>IFERROR(VLOOKUP(E191,Category!$D$2:$E$600,2,FALSE),"")</f>
        <v/>
      </c>
      <c r="G191" s="56"/>
      <c r="H191" s="56"/>
      <c r="I191" s="16" t="str">
        <f t="shared" si="10"/>
        <v/>
      </c>
      <c r="J191" s="45"/>
      <c r="K191" s="45"/>
      <c r="L191" s="45"/>
    </row>
    <row r="192" spans="1:12">
      <c r="A192" s="10" t="str">
        <f t="shared" si="11"/>
        <v/>
      </c>
      <c r="B192" s="45"/>
      <c r="C192" s="13" t="str">
        <f t="shared" si="8"/>
        <v/>
      </c>
      <c r="D192" s="13" t="str">
        <f t="shared" si="9"/>
        <v/>
      </c>
      <c r="E192" s="45"/>
      <c r="F192" s="11" t="str">
        <f>IFERROR(VLOOKUP(E192,Category!$D$2:$E$600,2,FALSE),"")</f>
        <v/>
      </c>
      <c r="G192" s="56"/>
      <c r="H192" s="56"/>
      <c r="I192" s="16" t="str">
        <f t="shared" si="10"/>
        <v/>
      </c>
      <c r="J192" s="45"/>
      <c r="K192" s="45"/>
      <c r="L192" s="45"/>
    </row>
    <row r="193" spans="1:12">
      <c r="A193" s="10" t="str">
        <f t="shared" si="11"/>
        <v/>
      </c>
      <c r="B193" s="45"/>
      <c r="C193" s="13" t="str">
        <f t="shared" si="8"/>
        <v/>
      </c>
      <c r="D193" s="13" t="str">
        <f t="shared" si="9"/>
        <v/>
      </c>
      <c r="E193" s="45"/>
      <c r="F193" s="11" t="str">
        <f>IFERROR(VLOOKUP(E193,Category!$D$2:$E$600,2,FALSE),"")</f>
        <v/>
      </c>
      <c r="G193" s="56"/>
      <c r="H193" s="56"/>
      <c r="I193" s="16" t="str">
        <f t="shared" si="10"/>
        <v/>
      </c>
      <c r="J193" s="45"/>
      <c r="K193" s="45"/>
      <c r="L193" s="45"/>
    </row>
    <row r="194" spans="1:12">
      <c r="A194" s="10" t="str">
        <f t="shared" si="11"/>
        <v/>
      </c>
      <c r="B194" s="45"/>
      <c r="C194" s="13" t="str">
        <f t="shared" si="8"/>
        <v/>
      </c>
      <c r="D194" s="13" t="str">
        <f t="shared" si="9"/>
        <v/>
      </c>
      <c r="E194" s="45"/>
      <c r="F194" s="11" t="str">
        <f>IFERROR(VLOOKUP(E194,Category!$D$2:$E$600,2,FALSE),"")</f>
        <v/>
      </c>
      <c r="G194" s="56"/>
      <c r="H194" s="56"/>
      <c r="I194" s="16" t="str">
        <f t="shared" si="10"/>
        <v/>
      </c>
      <c r="J194" s="45"/>
      <c r="K194" s="45"/>
      <c r="L194" s="45"/>
    </row>
    <row r="195" spans="1:12">
      <c r="A195" s="10" t="str">
        <f t="shared" si="11"/>
        <v/>
      </c>
      <c r="B195" s="45"/>
      <c r="C195" s="13" t="str">
        <f t="shared" ref="C195:C258" si="12">IF(B195=0,"",TEXT(B195,"mmmm"))</f>
        <v/>
      </c>
      <c r="D195" s="13" t="str">
        <f t="shared" ref="D195:D258" si="13">IF(B195=0,"",TEXT(B195,"yyyy"))</f>
        <v/>
      </c>
      <c r="E195" s="45"/>
      <c r="F195" s="11" t="str">
        <f>IFERROR(VLOOKUP(E195,Category!$D$2:$E$600,2,FALSE),"")</f>
        <v/>
      </c>
      <c r="G195" s="56"/>
      <c r="H195" s="56"/>
      <c r="I195" s="16" t="str">
        <f t="shared" ref="I195:I258" si="14">IF(H195*G195=0,"",H195*G195)</f>
        <v/>
      </c>
      <c r="J195" s="45"/>
      <c r="K195" s="45"/>
      <c r="L195" s="45"/>
    </row>
    <row r="196" spans="1:12">
      <c r="A196" s="10" t="str">
        <f t="shared" ref="A196:A259" si="15">IF(E196&gt;0,A195+1,"")</f>
        <v/>
      </c>
      <c r="B196" s="45"/>
      <c r="C196" s="13" t="str">
        <f t="shared" si="12"/>
        <v/>
      </c>
      <c r="D196" s="13" t="str">
        <f t="shared" si="13"/>
        <v/>
      </c>
      <c r="E196" s="45"/>
      <c r="F196" s="11" t="str">
        <f>IFERROR(VLOOKUP(E196,Category!$D$2:$E$600,2,FALSE),"")</f>
        <v/>
      </c>
      <c r="G196" s="56"/>
      <c r="H196" s="56"/>
      <c r="I196" s="16" t="str">
        <f t="shared" si="14"/>
        <v/>
      </c>
      <c r="J196" s="45"/>
      <c r="K196" s="45"/>
      <c r="L196" s="45"/>
    </row>
    <row r="197" spans="1:12">
      <c r="A197" s="10" t="str">
        <f t="shared" si="15"/>
        <v/>
      </c>
      <c r="B197" s="45"/>
      <c r="C197" s="13" t="str">
        <f t="shared" si="12"/>
        <v/>
      </c>
      <c r="D197" s="13" t="str">
        <f t="shared" si="13"/>
        <v/>
      </c>
      <c r="E197" s="45"/>
      <c r="F197" s="11" t="str">
        <f>IFERROR(VLOOKUP(E197,Category!$D$2:$E$600,2,FALSE),"")</f>
        <v/>
      </c>
      <c r="G197" s="56"/>
      <c r="H197" s="56"/>
      <c r="I197" s="16" t="str">
        <f t="shared" si="14"/>
        <v/>
      </c>
      <c r="J197" s="45"/>
      <c r="K197" s="45"/>
      <c r="L197" s="45"/>
    </row>
    <row r="198" spans="1:12">
      <c r="A198" s="10" t="str">
        <f t="shared" si="15"/>
        <v/>
      </c>
      <c r="B198" s="45"/>
      <c r="C198" s="13" t="str">
        <f t="shared" si="12"/>
        <v/>
      </c>
      <c r="D198" s="13" t="str">
        <f t="shared" si="13"/>
        <v/>
      </c>
      <c r="E198" s="45"/>
      <c r="F198" s="11" t="str">
        <f>IFERROR(VLOOKUP(E198,Category!$D$2:$E$600,2,FALSE),"")</f>
        <v/>
      </c>
      <c r="G198" s="56"/>
      <c r="H198" s="56"/>
      <c r="I198" s="16" t="str">
        <f t="shared" si="14"/>
        <v/>
      </c>
      <c r="J198" s="45"/>
      <c r="K198" s="45"/>
      <c r="L198" s="45"/>
    </row>
    <row r="199" spans="1:12">
      <c r="A199" s="10" t="str">
        <f t="shared" si="15"/>
        <v/>
      </c>
      <c r="B199" s="45"/>
      <c r="C199" s="13" t="str">
        <f t="shared" si="12"/>
        <v/>
      </c>
      <c r="D199" s="13" t="str">
        <f t="shared" si="13"/>
        <v/>
      </c>
      <c r="E199" s="45"/>
      <c r="F199" s="11" t="str">
        <f>IFERROR(VLOOKUP(E199,Category!$D$2:$E$600,2,FALSE),"")</f>
        <v/>
      </c>
      <c r="G199" s="56"/>
      <c r="H199" s="56"/>
      <c r="I199" s="16" t="str">
        <f t="shared" si="14"/>
        <v/>
      </c>
      <c r="J199" s="45"/>
      <c r="K199" s="45"/>
      <c r="L199" s="45"/>
    </row>
    <row r="200" spans="1:12">
      <c r="A200" s="10" t="str">
        <f t="shared" si="15"/>
        <v/>
      </c>
      <c r="B200" s="45"/>
      <c r="C200" s="13" t="str">
        <f t="shared" si="12"/>
        <v/>
      </c>
      <c r="D200" s="13" t="str">
        <f t="shared" si="13"/>
        <v/>
      </c>
      <c r="E200" s="45"/>
      <c r="F200" s="11" t="str">
        <f>IFERROR(VLOOKUP(E200,Category!$D$2:$E$600,2,FALSE),"")</f>
        <v/>
      </c>
      <c r="G200" s="56"/>
      <c r="H200" s="56"/>
      <c r="I200" s="16" t="str">
        <f t="shared" si="14"/>
        <v/>
      </c>
      <c r="J200" s="45"/>
      <c r="K200" s="45"/>
      <c r="L200" s="45"/>
    </row>
    <row r="201" spans="1:12">
      <c r="A201" s="10" t="str">
        <f t="shared" si="15"/>
        <v/>
      </c>
      <c r="B201" s="45"/>
      <c r="C201" s="13" t="str">
        <f t="shared" si="12"/>
        <v/>
      </c>
      <c r="D201" s="13" t="str">
        <f t="shared" si="13"/>
        <v/>
      </c>
      <c r="E201" s="45"/>
      <c r="F201" s="11" t="str">
        <f>IFERROR(VLOOKUP(E201,Category!$D$2:$E$600,2,FALSE),"")</f>
        <v/>
      </c>
      <c r="G201" s="56"/>
      <c r="H201" s="56"/>
      <c r="I201" s="16" t="str">
        <f t="shared" si="14"/>
        <v/>
      </c>
      <c r="J201" s="45"/>
      <c r="K201" s="45"/>
      <c r="L201" s="45"/>
    </row>
    <row r="202" spans="1:12">
      <c r="A202" s="10" t="str">
        <f t="shared" si="15"/>
        <v/>
      </c>
      <c r="B202" s="45"/>
      <c r="C202" s="13" t="str">
        <f t="shared" si="12"/>
        <v/>
      </c>
      <c r="D202" s="13" t="str">
        <f t="shared" si="13"/>
        <v/>
      </c>
      <c r="E202" s="45"/>
      <c r="F202" s="11" t="str">
        <f>IFERROR(VLOOKUP(E202,Category!$D$2:$E$600,2,FALSE),"")</f>
        <v/>
      </c>
      <c r="G202" s="56"/>
      <c r="H202" s="56"/>
      <c r="I202" s="16" t="str">
        <f t="shared" si="14"/>
        <v/>
      </c>
      <c r="J202" s="45"/>
      <c r="K202" s="45"/>
      <c r="L202" s="45"/>
    </row>
    <row r="203" spans="1:12">
      <c r="A203" s="10" t="str">
        <f t="shared" si="15"/>
        <v/>
      </c>
      <c r="B203" s="45"/>
      <c r="C203" s="13" t="str">
        <f t="shared" si="12"/>
        <v/>
      </c>
      <c r="D203" s="13" t="str">
        <f t="shared" si="13"/>
        <v/>
      </c>
      <c r="E203" s="45"/>
      <c r="F203" s="11" t="str">
        <f>IFERROR(VLOOKUP(E203,Category!$D$2:$E$600,2,FALSE),"")</f>
        <v/>
      </c>
      <c r="G203" s="56"/>
      <c r="H203" s="56"/>
      <c r="I203" s="16" t="str">
        <f t="shared" si="14"/>
        <v/>
      </c>
      <c r="J203" s="45"/>
      <c r="K203" s="45"/>
      <c r="L203" s="45"/>
    </row>
    <row r="204" spans="1:12">
      <c r="A204" s="10" t="str">
        <f t="shared" si="15"/>
        <v/>
      </c>
      <c r="B204" s="45"/>
      <c r="C204" s="13" t="str">
        <f t="shared" si="12"/>
        <v/>
      </c>
      <c r="D204" s="13" t="str">
        <f t="shared" si="13"/>
        <v/>
      </c>
      <c r="E204" s="45"/>
      <c r="F204" s="11" t="str">
        <f>IFERROR(VLOOKUP(E204,Category!$D$2:$E$600,2,FALSE),"")</f>
        <v/>
      </c>
      <c r="G204" s="56"/>
      <c r="H204" s="56"/>
      <c r="I204" s="16" t="str">
        <f t="shared" si="14"/>
        <v/>
      </c>
      <c r="J204" s="45"/>
      <c r="K204" s="45"/>
      <c r="L204" s="45"/>
    </row>
    <row r="205" spans="1:12">
      <c r="A205" s="10" t="str">
        <f t="shared" si="15"/>
        <v/>
      </c>
      <c r="B205" s="45"/>
      <c r="C205" s="13" t="str">
        <f t="shared" si="12"/>
        <v/>
      </c>
      <c r="D205" s="13" t="str">
        <f t="shared" si="13"/>
        <v/>
      </c>
      <c r="E205" s="45"/>
      <c r="F205" s="11" t="str">
        <f>IFERROR(VLOOKUP(E205,Category!$D$2:$E$600,2,FALSE),"")</f>
        <v/>
      </c>
      <c r="G205" s="56"/>
      <c r="H205" s="56"/>
      <c r="I205" s="16" t="str">
        <f t="shared" si="14"/>
        <v/>
      </c>
      <c r="J205" s="45"/>
      <c r="K205" s="45"/>
      <c r="L205" s="45"/>
    </row>
    <row r="206" spans="1:12">
      <c r="A206" s="10" t="str">
        <f t="shared" si="15"/>
        <v/>
      </c>
      <c r="B206" s="45"/>
      <c r="C206" s="13" t="str">
        <f t="shared" si="12"/>
        <v/>
      </c>
      <c r="D206" s="13" t="str">
        <f t="shared" si="13"/>
        <v/>
      </c>
      <c r="E206" s="45"/>
      <c r="F206" s="11" t="str">
        <f>IFERROR(VLOOKUP(E206,Category!$D$2:$E$600,2,FALSE),"")</f>
        <v/>
      </c>
      <c r="G206" s="56"/>
      <c r="H206" s="56"/>
      <c r="I206" s="16" t="str">
        <f t="shared" si="14"/>
        <v/>
      </c>
      <c r="J206" s="45"/>
      <c r="K206" s="45"/>
      <c r="L206" s="45"/>
    </row>
    <row r="207" spans="1:12">
      <c r="A207" s="10" t="str">
        <f t="shared" si="15"/>
        <v/>
      </c>
      <c r="B207" s="45"/>
      <c r="C207" s="13" t="str">
        <f t="shared" si="12"/>
        <v/>
      </c>
      <c r="D207" s="13" t="str">
        <f t="shared" si="13"/>
        <v/>
      </c>
      <c r="E207" s="45"/>
      <c r="F207" s="11" t="str">
        <f>IFERROR(VLOOKUP(E207,Category!$D$2:$E$600,2,FALSE),"")</f>
        <v/>
      </c>
      <c r="G207" s="56"/>
      <c r="H207" s="56"/>
      <c r="I207" s="16" t="str">
        <f t="shared" si="14"/>
        <v/>
      </c>
      <c r="J207" s="45"/>
      <c r="K207" s="45"/>
      <c r="L207" s="45"/>
    </row>
    <row r="208" spans="1:12">
      <c r="A208" s="10" t="str">
        <f t="shared" si="15"/>
        <v/>
      </c>
      <c r="B208" s="45"/>
      <c r="C208" s="13" t="str">
        <f t="shared" si="12"/>
        <v/>
      </c>
      <c r="D208" s="13" t="str">
        <f t="shared" si="13"/>
        <v/>
      </c>
      <c r="E208" s="45"/>
      <c r="F208" s="11" t="str">
        <f>IFERROR(VLOOKUP(E208,Category!$D$2:$E$600,2,FALSE),"")</f>
        <v/>
      </c>
      <c r="G208" s="56"/>
      <c r="H208" s="56"/>
      <c r="I208" s="16" t="str">
        <f t="shared" si="14"/>
        <v/>
      </c>
      <c r="J208" s="45"/>
      <c r="K208" s="45"/>
      <c r="L208" s="45"/>
    </row>
    <row r="209" spans="1:12">
      <c r="A209" s="10" t="str">
        <f t="shared" si="15"/>
        <v/>
      </c>
      <c r="B209" s="45"/>
      <c r="C209" s="13" t="str">
        <f t="shared" si="12"/>
        <v/>
      </c>
      <c r="D209" s="13" t="str">
        <f t="shared" si="13"/>
        <v/>
      </c>
      <c r="E209" s="45"/>
      <c r="F209" s="11" t="str">
        <f>IFERROR(VLOOKUP(E209,Category!$D$2:$E$600,2,FALSE),"")</f>
        <v/>
      </c>
      <c r="G209" s="56"/>
      <c r="H209" s="56"/>
      <c r="I209" s="16" t="str">
        <f t="shared" si="14"/>
        <v/>
      </c>
      <c r="J209" s="45"/>
      <c r="K209" s="45"/>
      <c r="L209" s="45"/>
    </row>
    <row r="210" spans="1:12">
      <c r="A210" s="10" t="str">
        <f t="shared" si="15"/>
        <v/>
      </c>
      <c r="B210" s="45"/>
      <c r="C210" s="13" t="str">
        <f t="shared" si="12"/>
        <v/>
      </c>
      <c r="D210" s="13" t="str">
        <f t="shared" si="13"/>
        <v/>
      </c>
      <c r="E210" s="45"/>
      <c r="F210" s="11" t="str">
        <f>IFERROR(VLOOKUP(E210,Category!$D$2:$E$600,2,FALSE),"")</f>
        <v/>
      </c>
      <c r="G210" s="56"/>
      <c r="H210" s="56"/>
      <c r="I210" s="16" t="str">
        <f t="shared" si="14"/>
        <v/>
      </c>
      <c r="J210" s="45"/>
      <c r="K210" s="45"/>
      <c r="L210" s="45"/>
    </row>
    <row r="211" spans="1:12">
      <c r="A211" s="10" t="str">
        <f t="shared" si="15"/>
        <v/>
      </c>
      <c r="B211" s="45"/>
      <c r="C211" s="13" t="str">
        <f t="shared" si="12"/>
        <v/>
      </c>
      <c r="D211" s="13" t="str">
        <f t="shared" si="13"/>
        <v/>
      </c>
      <c r="E211" s="45"/>
      <c r="F211" s="11" t="str">
        <f>IFERROR(VLOOKUP(E211,Category!$D$2:$E$600,2,FALSE),"")</f>
        <v/>
      </c>
      <c r="G211" s="56"/>
      <c r="H211" s="56"/>
      <c r="I211" s="16" t="str">
        <f t="shared" si="14"/>
        <v/>
      </c>
      <c r="J211" s="45"/>
      <c r="K211" s="45"/>
      <c r="L211" s="45"/>
    </row>
    <row r="212" spans="1:12">
      <c r="A212" s="10" t="str">
        <f t="shared" si="15"/>
        <v/>
      </c>
      <c r="B212" s="45"/>
      <c r="C212" s="13" t="str">
        <f t="shared" si="12"/>
        <v/>
      </c>
      <c r="D212" s="13" t="str">
        <f t="shared" si="13"/>
        <v/>
      </c>
      <c r="E212" s="45"/>
      <c r="F212" s="11" t="str">
        <f>IFERROR(VLOOKUP(E212,Category!$D$2:$E$600,2,FALSE),"")</f>
        <v/>
      </c>
      <c r="G212" s="56"/>
      <c r="H212" s="56"/>
      <c r="I212" s="16" t="str">
        <f t="shared" si="14"/>
        <v/>
      </c>
      <c r="J212" s="45"/>
      <c r="K212" s="45"/>
      <c r="L212" s="45"/>
    </row>
    <row r="213" spans="1:12">
      <c r="A213" s="10" t="str">
        <f t="shared" si="15"/>
        <v/>
      </c>
      <c r="B213" s="45"/>
      <c r="C213" s="13" t="str">
        <f t="shared" si="12"/>
        <v/>
      </c>
      <c r="D213" s="13" t="str">
        <f t="shared" si="13"/>
        <v/>
      </c>
      <c r="E213" s="45"/>
      <c r="F213" s="11" t="str">
        <f>IFERROR(VLOOKUP(E213,Category!$D$2:$E$600,2,FALSE),"")</f>
        <v/>
      </c>
      <c r="G213" s="56"/>
      <c r="H213" s="56"/>
      <c r="I213" s="16" t="str">
        <f t="shared" si="14"/>
        <v/>
      </c>
      <c r="J213" s="45"/>
      <c r="K213" s="45"/>
      <c r="L213" s="45"/>
    </row>
    <row r="214" spans="1:12">
      <c r="A214" s="10" t="str">
        <f t="shared" si="15"/>
        <v/>
      </c>
      <c r="B214" s="45"/>
      <c r="C214" s="13" t="str">
        <f t="shared" si="12"/>
        <v/>
      </c>
      <c r="D214" s="13" t="str">
        <f t="shared" si="13"/>
        <v/>
      </c>
      <c r="E214" s="45"/>
      <c r="F214" s="11" t="str">
        <f>IFERROR(VLOOKUP(E214,Category!$D$2:$E$600,2,FALSE),"")</f>
        <v/>
      </c>
      <c r="G214" s="56"/>
      <c r="H214" s="56"/>
      <c r="I214" s="16" t="str">
        <f t="shared" si="14"/>
        <v/>
      </c>
      <c r="J214" s="45"/>
      <c r="K214" s="45"/>
      <c r="L214" s="45"/>
    </row>
    <row r="215" spans="1:12">
      <c r="A215" s="10" t="str">
        <f t="shared" si="15"/>
        <v/>
      </c>
      <c r="B215" s="45"/>
      <c r="C215" s="13" t="str">
        <f t="shared" si="12"/>
        <v/>
      </c>
      <c r="D215" s="13" t="str">
        <f t="shared" si="13"/>
        <v/>
      </c>
      <c r="E215" s="45"/>
      <c r="F215" s="11" t="str">
        <f>IFERROR(VLOOKUP(E215,Category!$D$2:$E$600,2,FALSE),"")</f>
        <v/>
      </c>
      <c r="G215" s="56"/>
      <c r="H215" s="56"/>
      <c r="I215" s="16" t="str">
        <f t="shared" si="14"/>
        <v/>
      </c>
      <c r="J215" s="45"/>
      <c r="K215" s="45"/>
      <c r="L215" s="45"/>
    </row>
    <row r="216" spans="1:12">
      <c r="A216" s="10" t="str">
        <f t="shared" si="15"/>
        <v/>
      </c>
      <c r="B216" s="45"/>
      <c r="C216" s="13" t="str">
        <f t="shared" si="12"/>
        <v/>
      </c>
      <c r="D216" s="13" t="str">
        <f t="shared" si="13"/>
        <v/>
      </c>
      <c r="E216" s="45"/>
      <c r="F216" s="11" t="str">
        <f>IFERROR(VLOOKUP(E216,Category!$D$2:$E$600,2,FALSE),"")</f>
        <v/>
      </c>
      <c r="G216" s="56"/>
      <c r="H216" s="56"/>
      <c r="I216" s="16" t="str">
        <f t="shared" si="14"/>
        <v/>
      </c>
      <c r="J216" s="45"/>
      <c r="K216" s="45"/>
      <c r="L216" s="45"/>
    </row>
    <row r="217" spans="1:12">
      <c r="A217" s="10" t="str">
        <f t="shared" si="15"/>
        <v/>
      </c>
      <c r="B217" s="45"/>
      <c r="C217" s="13" t="str">
        <f t="shared" si="12"/>
        <v/>
      </c>
      <c r="D217" s="13" t="str">
        <f t="shared" si="13"/>
        <v/>
      </c>
      <c r="E217" s="45"/>
      <c r="F217" s="11" t="str">
        <f>IFERROR(VLOOKUP(E217,Category!$D$2:$E$600,2,FALSE),"")</f>
        <v/>
      </c>
      <c r="G217" s="56"/>
      <c r="H217" s="56"/>
      <c r="I217" s="16" t="str">
        <f t="shared" si="14"/>
        <v/>
      </c>
      <c r="J217" s="45"/>
      <c r="K217" s="45"/>
      <c r="L217" s="45"/>
    </row>
    <row r="218" spans="1:12">
      <c r="A218" s="10" t="str">
        <f t="shared" si="15"/>
        <v/>
      </c>
      <c r="B218" s="45"/>
      <c r="C218" s="13" t="str">
        <f t="shared" si="12"/>
        <v/>
      </c>
      <c r="D218" s="13" t="str">
        <f t="shared" si="13"/>
        <v/>
      </c>
      <c r="E218" s="45"/>
      <c r="F218" s="11" t="str">
        <f>IFERROR(VLOOKUP(E218,Category!$D$2:$E$600,2,FALSE),"")</f>
        <v/>
      </c>
      <c r="G218" s="56"/>
      <c r="H218" s="56"/>
      <c r="I218" s="16" t="str">
        <f t="shared" si="14"/>
        <v/>
      </c>
      <c r="J218" s="45"/>
      <c r="K218" s="45"/>
      <c r="L218" s="45"/>
    </row>
    <row r="219" spans="1:12">
      <c r="A219" s="10" t="str">
        <f t="shared" si="15"/>
        <v/>
      </c>
      <c r="B219" s="45"/>
      <c r="C219" s="13" t="str">
        <f t="shared" si="12"/>
        <v/>
      </c>
      <c r="D219" s="13" t="str">
        <f t="shared" si="13"/>
        <v/>
      </c>
      <c r="E219" s="45"/>
      <c r="F219" s="11" t="str">
        <f>IFERROR(VLOOKUP(E219,Category!$D$2:$E$600,2,FALSE),"")</f>
        <v/>
      </c>
      <c r="G219" s="56"/>
      <c r="H219" s="56"/>
      <c r="I219" s="16" t="str">
        <f t="shared" si="14"/>
        <v/>
      </c>
      <c r="J219" s="45"/>
      <c r="K219" s="45"/>
      <c r="L219" s="45"/>
    </row>
    <row r="220" spans="1:12">
      <c r="A220" s="10" t="str">
        <f t="shared" si="15"/>
        <v/>
      </c>
      <c r="B220" s="45"/>
      <c r="C220" s="13" t="str">
        <f t="shared" si="12"/>
        <v/>
      </c>
      <c r="D220" s="13" t="str">
        <f t="shared" si="13"/>
        <v/>
      </c>
      <c r="E220" s="45"/>
      <c r="F220" s="11" t="str">
        <f>IFERROR(VLOOKUP(E220,Category!$D$2:$E$600,2,FALSE),"")</f>
        <v/>
      </c>
      <c r="G220" s="56"/>
      <c r="H220" s="56"/>
      <c r="I220" s="16" t="str">
        <f t="shared" si="14"/>
        <v/>
      </c>
      <c r="J220" s="45"/>
      <c r="K220" s="45"/>
      <c r="L220" s="45"/>
    </row>
    <row r="221" spans="1:12">
      <c r="A221" s="10" t="str">
        <f t="shared" si="15"/>
        <v/>
      </c>
      <c r="B221" s="45"/>
      <c r="C221" s="13" t="str">
        <f t="shared" si="12"/>
        <v/>
      </c>
      <c r="D221" s="13" t="str">
        <f t="shared" si="13"/>
        <v/>
      </c>
      <c r="E221" s="45"/>
      <c r="F221" s="11" t="str">
        <f>IFERROR(VLOOKUP(E221,Category!$D$2:$E$600,2,FALSE),"")</f>
        <v/>
      </c>
      <c r="G221" s="56"/>
      <c r="H221" s="56"/>
      <c r="I221" s="16" t="str">
        <f t="shared" si="14"/>
        <v/>
      </c>
      <c r="J221" s="45"/>
      <c r="K221" s="45"/>
      <c r="L221" s="45"/>
    </row>
    <row r="222" spans="1:12">
      <c r="A222" s="10" t="str">
        <f t="shared" si="15"/>
        <v/>
      </c>
      <c r="B222" s="45"/>
      <c r="C222" s="13" t="str">
        <f t="shared" si="12"/>
        <v/>
      </c>
      <c r="D222" s="13" t="str">
        <f t="shared" si="13"/>
        <v/>
      </c>
      <c r="E222" s="45"/>
      <c r="F222" s="11" t="str">
        <f>IFERROR(VLOOKUP(E222,Category!$D$2:$E$600,2,FALSE),"")</f>
        <v/>
      </c>
      <c r="G222" s="56"/>
      <c r="H222" s="56"/>
      <c r="I222" s="16" t="str">
        <f t="shared" si="14"/>
        <v/>
      </c>
      <c r="J222" s="45"/>
      <c r="K222" s="45"/>
      <c r="L222" s="45"/>
    </row>
    <row r="223" spans="1:12">
      <c r="A223" s="10" t="str">
        <f t="shared" si="15"/>
        <v/>
      </c>
      <c r="B223" s="45"/>
      <c r="C223" s="13" t="str">
        <f t="shared" si="12"/>
        <v/>
      </c>
      <c r="D223" s="13" t="str">
        <f t="shared" si="13"/>
        <v/>
      </c>
      <c r="E223" s="45"/>
      <c r="F223" s="11" t="str">
        <f>IFERROR(VLOOKUP(E223,Category!$D$2:$E$600,2,FALSE),"")</f>
        <v/>
      </c>
      <c r="G223" s="56"/>
      <c r="H223" s="56"/>
      <c r="I223" s="16" t="str">
        <f t="shared" si="14"/>
        <v/>
      </c>
      <c r="J223" s="45"/>
      <c r="K223" s="45"/>
      <c r="L223" s="45"/>
    </row>
    <row r="224" spans="1:12">
      <c r="A224" s="10" t="str">
        <f t="shared" si="15"/>
        <v/>
      </c>
      <c r="B224" s="45"/>
      <c r="C224" s="13" t="str">
        <f t="shared" si="12"/>
        <v/>
      </c>
      <c r="D224" s="13" t="str">
        <f t="shared" si="13"/>
        <v/>
      </c>
      <c r="E224" s="45"/>
      <c r="F224" s="11" t="str">
        <f>IFERROR(VLOOKUP(E224,Category!$D$2:$E$600,2,FALSE),"")</f>
        <v/>
      </c>
      <c r="G224" s="56"/>
      <c r="H224" s="56"/>
      <c r="I224" s="16" t="str">
        <f t="shared" si="14"/>
        <v/>
      </c>
      <c r="J224" s="45"/>
      <c r="K224" s="45"/>
      <c r="L224" s="45"/>
    </row>
    <row r="225" spans="1:12">
      <c r="A225" s="10" t="str">
        <f t="shared" si="15"/>
        <v/>
      </c>
      <c r="B225" s="45"/>
      <c r="C225" s="13" t="str">
        <f t="shared" si="12"/>
        <v/>
      </c>
      <c r="D225" s="13" t="str">
        <f t="shared" si="13"/>
        <v/>
      </c>
      <c r="E225" s="45"/>
      <c r="F225" s="11" t="str">
        <f>IFERROR(VLOOKUP(E225,Category!$D$2:$E$600,2,FALSE),"")</f>
        <v/>
      </c>
      <c r="G225" s="56"/>
      <c r="H225" s="56"/>
      <c r="I225" s="16" t="str">
        <f t="shared" si="14"/>
        <v/>
      </c>
      <c r="J225" s="45"/>
      <c r="K225" s="45"/>
      <c r="L225" s="45"/>
    </row>
    <row r="226" spans="1:12">
      <c r="A226" s="10" t="str">
        <f t="shared" si="15"/>
        <v/>
      </c>
      <c r="B226" s="45"/>
      <c r="C226" s="13" t="str">
        <f t="shared" si="12"/>
        <v/>
      </c>
      <c r="D226" s="13" t="str">
        <f t="shared" si="13"/>
        <v/>
      </c>
      <c r="E226" s="45"/>
      <c r="F226" s="11" t="str">
        <f>IFERROR(VLOOKUP(E226,Category!$D$2:$E$600,2,FALSE),"")</f>
        <v/>
      </c>
      <c r="G226" s="56"/>
      <c r="H226" s="56"/>
      <c r="I226" s="16" t="str">
        <f t="shared" si="14"/>
        <v/>
      </c>
      <c r="J226" s="45"/>
      <c r="K226" s="45"/>
      <c r="L226" s="45"/>
    </row>
    <row r="227" spans="1:12">
      <c r="A227" s="10" t="str">
        <f t="shared" si="15"/>
        <v/>
      </c>
      <c r="B227" s="45"/>
      <c r="C227" s="13" t="str">
        <f t="shared" si="12"/>
        <v/>
      </c>
      <c r="D227" s="13" t="str">
        <f t="shared" si="13"/>
        <v/>
      </c>
      <c r="E227" s="45"/>
      <c r="F227" s="11" t="str">
        <f>IFERROR(VLOOKUP(E227,Category!$D$2:$E$600,2,FALSE),"")</f>
        <v/>
      </c>
      <c r="G227" s="56"/>
      <c r="H227" s="56"/>
      <c r="I227" s="16" t="str">
        <f t="shared" si="14"/>
        <v/>
      </c>
      <c r="J227" s="45"/>
      <c r="K227" s="45"/>
      <c r="L227" s="45"/>
    </row>
    <row r="228" spans="1:12">
      <c r="A228" s="10" t="str">
        <f t="shared" si="15"/>
        <v/>
      </c>
      <c r="B228" s="45"/>
      <c r="C228" s="13" t="str">
        <f t="shared" si="12"/>
        <v/>
      </c>
      <c r="D228" s="13" t="str">
        <f t="shared" si="13"/>
        <v/>
      </c>
      <c r="E228" s="45"/>
      <c r="F228" s="11" t="str">
        <f>IFERROR(VLOOKUP(E228,Category!$D$2:$E$600,2,FALSE),"")</f>
        <v/>
      </c>
      <c r="G228" s="56"/>
      <c r="H228" s="56"/>
      <c r="I228" s="16" t="str">
        <f t="shared" si="14"/>
        <v/>
      </c>
      <c r="J228" s="45"/>
      <c r="K228" s="45"/>
      <c r="L228" s="45"/>
    </row>
    <row r="229" spans="1:12">
      <c r="A229" s="10" t="str">
        <f t="shared" si="15"/>
        <v/>
      </c>
      <c r="B229" s="45"/>
      <c r="C229" s="13" t="str">
        <f t="shared" si="12"/>
        <v/>
      </c>
      <c r="D229" s="13" t="str">
        <f t="shared" si="13"/>
        <v/>
      </c>
      <c r="E229" s="45"/>
      <c r="F229" s="11" t="str">
        <f>IFERROR(VLOOKUP(E229,Category!$D$2:$E$600,2,FALSE),"")</f>
        <v/>
      </c>
      <c r="G229" s="56"/>
      <c r="H229" s="56"/>
      <c r="I229" s="16" t="str">
        <f t="shared" si="14"/>
        <v/>
      </c>
      <c r="J229" s="45"/>
      <c r="K229" s="45"/>
      <c r="L229" s="45"/>
    </row>
    <row r="230" spans="1:12">
      <c r="A230" s="10" t="str">
        <f t="shared" si="15"/>
        <v/>
      </c>
      <c r="B230" s="45"/>
      <c r="C230" s="13" t="str">
        <f t="shared" si="12"/>
        <v/>
      </c>
      <c r="D230" s="13" t="str">
        <f t="shared" si="13"/>
        <v/>
      </c>
      <c r="E230" s="45"/>
      <c r="F230" s="11" t="str">
        <f>IFERROR(VLOOKUP(E230,Category!$D$2:$E$600,2,FALSE),"")</f>
        <v/>
      </c>
      <c r="G230" s="56"/>
      <c r="H230" s="56"/>
      <c r="I230" s="16" t="str">
        <f t="shared" si="14"/>
        <v/>
      </c>
      <c r="J230" s="45"/>
      <c r="K230" s="45"/>
      <c r="L230" s="45"/>
    </row>
    <row r="231" spans="1:12">
      <c r="A231" s="10" t="str">
        <f t="shared" si="15"/>
        <v/>
      </c>
      <c r="B231" s="45"/>
      <c r="C231" s="13" t="str">
        <f t="shared" si="12"/>
        <v/>
      </c>
      <c r="D231" s="13" t="str">
        <f t="shared" si="13"/>
        <v/>
      </c>
      <c r="E231" s="45"/>
      <c r="F231" s="11" t="str">
        <f>IFERROR(VLOOKUP(E231,Category!$D$2:$E$600,2,FALSE),"")</f>
        <v/>
      </c>
      <c r="G231" s="56"/>
      <c r="H231" s="56"/>
      <c r="I231" s="16" t="str">
        <f t="shared" si="14"/>
        <v/>
      </c>
      <c r="J231" s="45"/>
      <c r="K231" s="45"/>
      <c r="L231" s="45"/>
    </row>
    <row r="232" spans="1:12">
      <c r="A232" s="10" t="str">
        <f t="shared" si="15"/>
        <v/>
      </c>
      <c r="B232" s="45"/>
      <c r="C232" s="13" t="str">
        <f t="shared" si="12"/>
        <v/>
      </c>
      <c r="D232" s="13" t="str">
        <f t="shared" si="13"/>
        <v/>
      </c>
      <c r="E232" s="45"/>
      <c r="F232" s="11" t="str">
        <f>IFERROR(VLOOKUP(E232,Category!$D$2:$E$600,2,FALSE),"")</f>
        <v/>
      </c>
      <c r="G232" s="56"/>
      <c r="H232" s="56"/>
      <c r="I232" s="16" t="str">
        <f t="shared" si="14"/>
        <v/>
      </c>
      <c r="J232" s="45"/>
      <c r="K232" s="45"/>
      <c r="L232" s="45"/>
    </row>
    <row r="233" spans="1:12">
      <c r="A233" s="10" t="str">
        <f t="shared" si="15"/>
        <v/>
      </c>
      <c r="B233" s="45"/>
      <c r="C233" s="13" t="str">
        <f t="shared" si="12"/>
        <v/>
      </c>
      <c r="D233" s="13" t="str">
        <f t="shared" si="13"/>
        <v/>
      </c>
      <c r="E233" s="45"/>
      <c r="F233" s="11" t="str">
        <f>IFERROR(VLOOKUP(E233,Category!$D$2:$E$600,2,FALSE),"")</f>
        <v/>
      </c>
      <c r="G233" s="56"/>
      <c r="H233" s="56"/>
      <c r="I233" s="16" t="str">
        <f t="shared" si="14"/>
        <v/>
      </c>
      <c r="J233" s="45"/>
      <c r="K233" s="45"/>
      <c r="L233" s="45"/>
    </row>
    <row r="234" spans="1:12">
      <c r="A234" s="10" t="str">
        <f t="shared" si="15"/>
        <v/>
      </c>
      <c r="B234" s="45"/>
      <c r="C234" s="13" t="str">
        <f t="shared" si="12"/>
        <v/>
      </c>
      <c r="D234" s="13" t="str">
        <f t="shared" si="13"/>
        <v/>
      </c>
      <c r="E234" s="45"/>
      <c r="F234" s="11" t="str">
        <f>IFERROR(VLOOKUP(E234,Category!$D$2:$E$600,2,FALSE),"")</f>
        <v/>
      </c>
      <c r="G234" s="56"/>
      <c r="H234" s="56"/>
      <c r="I234" s="16" t="str">
        <f t="shared" si="14"/>
        <v/>
      </c>
      <c r="J234" s="45"/>
      <c r="K234" s="45"/>
      <c r="L234" s="45"/>
    </row>
    <row r="235" spans="1:12">
      <c r="A235" s="10" t="str">
        <f t="shared" si="15"/>
        <v/>
      </c>
      <c r="B235" s="45"/>
      <c r="C235" s="13" t="str">
        <f t="shared" si="12"/>
        <v/>
      </c>
      <c r="D235" s="13" t="str">
        <f t="shared" si="13"/>
        <v/>
      </c>
      <c r="E235" s="45"/>
      <c r="F235" s="11" t="str">
        <f>IFERROR(VLOOKUP(E235,Category!$D$2:$E$600,2,FALSE),"")</f>
        <v/>
      </c>
      <c r="G235" s="56"/>
      <c r="H235" s="56"/>
      <c r="I235" s="16" t="str">
        <f t="shared" si="14"/>
        <v/>
      </c>
      <c r="J235" s="45"/>
      <c r="K235" s="45"/>
      <c r="L235" s="45"/>
    </row>
    <row r="236" spans="1:12">
      <c r="A236" s="10" t="str">
        <f t="shared" si="15"/>
        <v/>
      </c>
      <c r="B236" s="45"/>
      <c r="C236" s="13" t="str">
        <f t="shared" si="12"/>
        <v/>
      </c>
      <c r="D236" s="13" t="str">
        <f t="shared" si="13"/>
        <v/>
      </c>
      <c r="E236" s="45"/>
      <c r="F236" s="11" t="str">
        <f>IFERROR(VLOOKUP(E236,Category!$D$2:$E$600,2,FALSE),"")</f>
        <v/>
      </c>
      <c r="G236" s="56"/>
      <c r="H236" s="56"/>
      <c r="I236" s="16" t="str">
        <f t="shared" si="14"/>
        <v/>
      </c>
      <c r="J236" s="45"/>
      <c r="K236" s="45"/>
      <c r="L236" s="45"/>
    </row>
    <row r="237" spans="1:12">
      <c r="A237" s="10" t="str">
        <f t="shared" si="15"/>
        <v/>
      </c>
      <c r="B237" s="45"/>
      <c r="C237" s="13" t="str">
        <f t="shared" si="12"/>
        <v/>
      </c>
      <c r="D237" s="13" t="str">
        <f t="shared" si="13"/>
        <v/>
      </c>
      <c r="E237" s="45"/>
      <c r="F237" s="11" t="str">
        <f>IFERROR(VLOOKUP(E237,Category!$D$2:$E$600,2,FALSE),"")</f>
        <v/>
      </c>
      <c r="G237" s="56"/>
      <c r="H237" s="56"/>
      <c r="I237" s="16" t="str">
        <f t="shared" si="14"/>
        <v/>
      </c>
      <c r="J237" s="45"/>
      <c r="K237" s="45"/>
      <c r="L237" s="45"/>
    </row>
    <row r="238" spans="1:12">
      <c r="A238" s="10" t="str">
        <f t="shared" si="15"/>
        <v/>
      </c>
      <c r="B238" s="45"/>
      <c r="C238" s="13" t="str">
        <f t="shared" si="12"/>
        <v/>
      </c>
      <c r="D238" s="13" t="str">
        <f t="shared" si="13"/>
        <v/>
      </c>
      <c r="E238" s="45"/>
      <c r="F238" s="11" t="str">
        <f>IFERROR(VLOOKUP(E238,Category!$D$2:$E$600,2,FALSE),"")</f>
        <v/>
      </c>
      <c r="G238" s="56"/>
      <c r="H238" s="56"/>
      <c r="I238" s="16" t="str">
        <f t="shared" si="14"/>
        <v/>
      </c>
      <c r="J238" s="45"/>
      <c r="K238" s="45"/>
      <c r="L238" s="45"/>
    </row>
    <row r="239" spans="1:12">
      <c r="A239" s="10" t="str">
        <f t="shared" si="15"/>
        <v/>
      </c>
      <c r="B239" s="45"/>
      <c r="C239" s="13" t="str">
        <f t="shared" si="12"/>
        <v/>
      </c>
      <c r="D239" s="13" t="str">
        <f t="shared" si="13"/>
        <v/>
      </c>
      <c r="E239" s="45"/>
      <c r="F239" s="11" t="str">
        <f>IFERROR(VLOOKUP(E239,Category!$D$2:$E$600,2,FALSE),"")</f>
        <v/>
      </c>
      <c r="G239" s="56"/>
      <c r="H239" s="56"/>
      <c r="I239" s="16" t="str">
        <f t="shared" si="14"/>
        <v/>
      </c>
      <c r="J239" s="45"/>
      <c r="K239" s="45"/>
      <c r="L239" s="45"/>
    </row>
    <row r="240" spans="1:12">
      <c r="A240" s="10" t="str">
        <f t="shared" si="15"/>
        <v/>
      </c>
      <c r="B240" s="45"/>
      <c r="C240" s="13" t="str">
        <f t="shared" si="12"/>
        <v/>
      </c>
      <c r="D240" s="13" t="str">
        <f t="shared" si="13"/>
        <v/>
      </c>
      <c r="E240" s="45"/>
      <c r="F240" s="11" t="str">
        <f>IFERROR(VLOOKUP(E240,Category!$D$2:$E$600,2,FALSE),"")</f>
        <v/>
      </c>
      <c r="G240" s="56"/>
      <c r="H240" s="56"/>
      <c r="I240" s="16" t="str">
        <f t="shared" si="14"/>
        <v/>
      </c>
      <c r="J240" s="45"/>
      <c r="K240" s="45"/>
      <c r="L240" s="45"/>
    </row>
    <row r="241" spans="1:12">
      <c r="A241" s="10" t="str">
        <f t="shared" si="15"/>
        <v/>
      </c>
      <c r="B241" s="45"/>
      <c r="C241" s="13" t="str">
        <f t="shared" si="12"/>
        <v/>
      </c>
      <c r="D241" s="13" t="str">
        <f t="shared" si="13"/>
        <v/>
      </c>
      <c r="E241" s="45"/>
      <c r="F241" s="11" t="str">
        <f>IFERROR(VLOOKUP(E241,Category!$D$2:$E$600,2,FALSE),"")</f>
        <v/>
      </c>
      <c r="G241" s="56"/>
      <c r="H241" s="56"/>
      <c r="I241" s="16" t="str">
        <f t="shared" si="14"/>
        <v/>
      </c>
      <c r="J241" s="45"/>
      <c r="K241" s="45"/>
      <c r="L241" s="45"/>
    </row>
    <row r="242" spans="1:12">
      <c r="A242" s="10" t="str">
        <f t="shared" si="15"/>
        <v/>
      </c>
      <c r="B242" s="45"/>
      <c r="C242" s="13" t="str">
        <f t="shared" si="12"/>
        <v/>
      </c>
      <c r="D242" s="13" t="str">
        <f t="shared" si="13"/>
        <v/>
      </c>
      <c r="E242" s="45"/>
      <c r="F242" s="11" t="str">
        <f>IFERROR(VLOOKUP(E242,Category!$D$2:$E$600,2,FALSE),"")</f>
        <v/>
      </c>
      <c r="G242" s="56"/>
      <c r="H242" s="56"/>
      <c r="I242" s="16" t="str">
        <f t="shared" si="14"/>
        <v/>
      </c>
      <c r="J242" s="45"/>
      <c r="K242" s="45"/>
      <c r="L242" s="45"/>
    </row>
    <row r="243" spans="1:12">
      <c r="A243" s="10" t="str">
        <f t="shared" si="15"/>
        <v/>
      </c>
      <c r="B243" s="45"/>
      <c r="C243" s="13" t="str">
        <f t="shared" si="12"/>
        <v/>
      </c>
      <c r="D243" s="13" t="str">
        <f t="shared" si="13"/>
        <v/>
      </c>
      <c r="E243" s="45"/>
      <c r="F243" s="11" t="str">
        <f>IFERROR(VLOOKUP(E243,Category!$D$2:$E$600,2,FALSE),"")</f>
        <v/>
      </c>
      <c r="G243" s="56"/>
      <c r="H243" s="56"/>
      <c r="I243" s="16" t="str">
        <f t="shared" si="14"/>
        <v/>
      </c>
      <c r="J243" s="45"/>
      <c r="K243" s="45"/>
      <c r="L243" s="45"/>
    </row>
    <row r="244" spans="1:12">
      <c r="A244" s="10" t="str">
        <f t="shared" si="15"/>
        <v/>
      </c>
      <c r="B244" s="45"/>
      <c r="C244" s="13" t="str">
        <f t="shared" si="12"/>
        <v/>
      </c>
      <c r="D244" s="13" t="str">
        <f t="shared" si="13"/>
        <v/>
      </c>
      <c r="E244" s="45"/>
      <c r="F244" s="11" t="str">
        <f>IFERROR(VLOOKUP(E244,Category!$D$2:$E$600,2,FALSE),"")</f>
        <v/>
      </c>
      <c r="G244" s="56"/>
      <c r="H244" s="56"/>
      <c r="I244" s="16" t="str">
        <f t="shared" si="14"/>
        <v/>
      </c>
      <c r="J244" s="45"/>
      <c r="K244" s="45"/>
      <c r="L244" s="45"/>
    </row>
    <row r="245" spans="1:12">
      <c r="A245" s="10" t="str">
        <f t="shared" si="15"/>
        <v/>
      </c>
      <c r="B245" s="45"/>
      <c r="C245" s="13" t="str">
        <f t="shared" si="12"/>
        <v/>
      </c>
      <c r="D245" s="13" t="str">
        <f t="shared" si="13"/>
        <v/>
      </c>
      <c r="E245" s="45"/>
      <c r="F245" s="11" t="str">
        <f>IFERROR(VLOOKUP(E245,Category!$D$2:$E$600,2,FALSE),"")</f>
        <v/>
      </c>
      <c r="G245" s="56"/>
      <c r="H245" s="56"/>
      <c r="I245" s="16" t="str">
        <f t="shared" si="14"/>
        <v/>
      </c>
      <c r="J245" s="45"/>
      <c r="K245" s="45"/>
      <c r="L245" s="45"/>
    </row>
    <row r="246" spans="1:12">
      <c r="A246" s="10" t="str">
        <f t="shared" si="15"/>
        <v/>
      </c>
      <c r="B246" s="45"/>
      <c r="C246" s="13" t="str">
        <f t="shared" si="12"/>
        <v/>
      </c>
      <c r="D246" s="13" t="str">
        <f t="shared" si="13"/>
        <v/>
      </c>
      <c r="E246" s="45"/>
      <c r="F246" s="11" t="str">
        <f>IFERROR(VLOOKUP(E246,Category!$D$2:$E$600,2,FALSE),"")</f>
        <v/>
      </c>
      <c r="G246" s="56"/>
      <c r="H246" s="56"/>
      <c r="I246" s="16" t="str">
        <f t="shared" si="14"/>
        <v/>
      </c>
      <c r="J246" s="45"/>
      <c r="K246" s="45"/>
      <c r="L246" s="45"/>
    </row>
    <row r="247" spans="1:12">
      <c r="A247" s="10" t="str">
        <f t="shared" si="15"/>
        <v/>
      </c>
      <c r="B247" s="45"/>
      <c r="C247" s="13" t="str">
        <f t="shared" si="12"/>
        <v/>
      </c>
      <c r="D247" s="13" t="str">
        <f t="shared" si="13"/>
        <v/>
      </c>
      <c r="E247" s="45"/>
      <c r="F247" s="11" t="str">
        <f>IFERROR(VLOOKUP(E247,Category!$D$2:$E$600,2,FALSE),"")</f>
        <v/>
      </c>
      <c r="G247" s="56"/>
      <c r="H247" s="56"/>
      <c r="I247" s="16" t="str">
        <f t="shared" si="14"/>
        <v/>
      </c>
      <c r="J247" s="45"/>
      <c r="K247" s="45"/>
      <c r="L247" s="45"/>
    </row>
    <row r="248" spans="1:12">
      <c r="A248" s="10" t="str">
        <f t="shared" si="15"/>
        <v/>
      </c>
      <c r="B248" s="45"/>
      <c r="C248" s="13" t="str">
        <f t="shared" si="12"/>
        <v/>
      </c>
      <c r="D248" s="13" t="str">
        <f t="shared" si="13"/>
        <v/>
      </c>
      <c r="E248" s="45"/>
      <c r="F248" s="11" t="str">
        <f>IFERROR(VLOOKUP(E248,Category!$D$2:$E$600,2,FALSE),"")</f>
        <v/>
      </c>
      <c r="G248" s="56"/>
      <c r="H248" s="56"/>
      <c r="I248" s="16" t="str">
        <f t="shared" si="14"/>
        <v/>
      </c>
      <c r="J248" s="45"/>
      <c r="K248" s="45"/>
      <c r="L248" s="45"/>
    </row>
    <row r="249" spans="1:12">
      <c r="A249" s="10" t="str">
        <f t="shared" si="15"/>
        <v/>
      </c>
      <c r="B249" s="45"/>
      <c r="C249" s="13" t="str">
        <f t="shared" si="12"/>
        <v/>
      </c>
      <c r="D249" s="13" t="str">
        <f t="shared" si="13"/>
        <v/>
      </c>
      <c r="E249" s="45"/>
      <c r="F249" s="11" t="str">
        <f>IFERROR(VLOOKUP(E249,Category!$D$2:$E$600,2,FALSE),"")</f>
        <v/>
      </c>
      <c r="G249" s="56"/>
      <c r="H249" s="56"/>
      <c r="I249" s="16" t="str">
        <f t="shared" si="14"/>
        <v/>
      </c>
      <c r="J249" s="45"/>
      <c r="K249" s="45"/>
      <c r="L249" s="45"/>
    </row>
    <row r="250" spans="1:12">
      <c r="A250" s="10" t="str">
        <f t="shared" si="15"/>
        <v/>
      </c>
      <c r="B250" s="45"/>
      <c r="C250" s="13" t="str">
        <f t="shared" si="12"/>
        <v/>
      </c>
      <c r="D250" s="13" t="str">
        <f t="shared" si="13"/>
        <v/>
      </c>
      <c r="E250" s="45"/>
      <c r="F250" s="11" t="str">
        <f>IFERROR(VLOOKUP(E250,Category!$D$2:$E$600,2,FALSE),"")</f>
        <v/>
      </c>
      <c r="G250" s="56"/>
      <c r="H250" s="56"/>
      <c r="I250" s="16" t="str">
        <f t="shared" si="14"/>
        <v/>
      </c>
      <c r="J250" s="45"/>
      <c r="K250" s="45"/>
      <c r="L250" s="45"/>
    </row>
    <row r="251" spans="1:12">
      <c r="A251" s="10" t="str">
        <f t="shared" si="15"/>
        <v/>
      </c>
      <c r="B251" s="45"/>
      <c r="C251" s="13" t="str">
        <f t="shared" si="12"/>
        <v/>
      </c>
      <c r="D251" s="13" t="str">
        <f t="shared" si="13"/>
        <v/>
      </c>
      <c r="E251" s="45"/>
      <c r="F251" s="11" t="str">
        <f>IFERROR(VLOOKUP(E251,Category!$D$2:$E$600,2,FALSE),"")</f>
        <v/>
      </c>
      <c r="G251" s="56"/>
      <c r="H251" s="56"/>
      <c r="I251" s="16" t="str">
        <f t="shared" si="14"/>
        <v/>
      </c>
      <c r="J251" s="45"/>
      <c r="K251" s="45"/>
      <c r="L251" s="45"/>
    </row>
    <row r="252" spans="1:12">
      <c r="A252" s="10" t="str">
        <f t="shared" si="15"/>
        <v/>
      </c>
      <c r="B252" s="45"/>
      <c r="C252" s="13" t="str">
        <f t="shared" si="12"/>
        <v/>
      </c>
      <c r="D252" s="13" t="str">
        <f t="shared" si="13"/>
        <v/>
      </c>
      <c r="E252" s="45"/>
      <c r="F252" s="11" t="str">
        <f>IFERROR(VLOOKUP(E252,Category!$D$2:$E$600,2,FALSE),"")</f>
        <v/>
      </c>
      <c r="G252" s="56"/>
      <c r="H252" s="56"/>
      <c r="I252" s="16" t="str">
        <f t="shared" si="14"/>
        <v/>
      </c>
      <c r="J252" s="45"/>
      <c r="K252" s="45"/>
      <c r="L252" s="45"/>
    </row>
    <row r="253" spans="1:12">
      <c r="A253" s="10" t="str">
        <f t="shared" si="15"/>
        <v/>
      </c>
      <c r="B253" s="45"/>
      <c r="C253" s="13" t="str">
        <f t="shared" si="12"/>
        <v/>
      </c>
      <c r="D253" s="13" t="str">
        <f t="shared" si="13"/>
        <v/>
      </c>
      <c r="E253" s="45"/>
      <c r="F253" s="11" t="str">
        <f>IFERROR(VLOOKUP(E253,Category!$D$2:$E$600,2,FALSE),"")</f>
        <v/>
      </c>
      <c r="G253" s="56"/>
      <c r="H253" s="56"/>
      <c r="I253" s="16" t="str">
        <f t="shared" si="14"/>
        <v/>
      </c>
      <c r="J253" s="45"/>
      <c r="K253" s="45"/>
      <c r="L253" s="45"/>
    </row>
    <row r="254" spans="1:12">
      <c r="A254" s="10" t="str">
        <f t="shared" si="15"/>
        <v/>
      </c>
      <c r="B254" s="45"/>
      <c r="C254" s="13" t="str">
        <f t="shared" si="12"/>
        <v/>
      </c>
      <c r="D254" s="13" t="str">
        <f t="shared" si="13"/>
        <v/>
      </c>
      <c r="E254" s="45"/>
      <c r="F254" s="11" t="str">
        <f>IFERROR(VLOOKUP(E254,Category!$D$2:$E$600,2,FALSE),"")</f>
        <v/>
      </c>
      <c r="G254" s="56"/>
      <c r="H254" s="56"/>
      <c r="I254" s="16" t="str">
        <f t="shared" si="14"/>
        <v/>
      </c>
      <c r="J254" s="45"/>
      <c r="K254" s="45"/>
      <c r="L254" s="45"/>
    </row>
    <row r="255" spans="1:12">
      <c r="A255" s="10" t="str">
        <f t="shared" si="15"/>
        <v/>
      </c>
      <c r="B255" s="45"/>
      <c r="C255" s="13" t="str">
        <f t="shared" si="12"/>
        <v/>
      </c>
      <c r="D255" s="13" t="str">
        <f t="shared" si="13"/>
        <v/>
      </c>
      <c r="E255" s="45"/>
      <c r="F255" s="11" t="str">
        <f>IFERROR(VLOOKUP(E255,Category!$D$2:$E$600,2,FALSE),"")</f>
        <v/>
      </c>
      <c r="G255" s="56"/>
      <c r="H255" s="56"/>
      <c r="I255" s="16" t="str">
        <f t="shared" si="14"/>
        <v/>
      </c>
      <c r="J255" s="45"/>
      <c r="K255" s="45"/>
      <c r="L255" s="45"/>
    </row>
    <row r="256" spans="1:12">
      <c r="A256" s="10" t="str">
        <f t="shared" si="15"/>
        <v/>
      </c>
      <c r="B256" s="45"/>
      <c r="C256" s="13" t="str">
        <f t="shared" si="12"/>
        <v/>
      </c>
      <c r="D256" s="13" t="str">
        <f t="shared" si="13"/>
        <v/>
      </c>
      <c r="E256" s="45"/>
      <c r="F256" s="11" t="str">
        <f>IFERROR(VLOOKUP(E256,Category!$D$2:$E$600,2,FALSE),"")</f>
        <v/>
      </c>
      <c r="G256" s="56"/>
      <c r="H256" s="56"/>
      <c r="I256" s="16" t="str">
        <f t="shared" si="14"/>
        <v/>
      </c>
      <c r="J256" s="45"/>
      <c r="K256" s="45"/>
      <c r="L256" s="45"/>
    </row>
    <row r="257" spans="1:12">
      <c r="A257" s="10" t="str">
        <f t="shared" si="15"/>
        <v/>
      </c>
      <c r="B257" s="45"/>
      <c r="C257" s="13" t="str">
        <f t="shared" si="12"/>
        <v/>
      </c>
      <c r="D257" s="13" t="str">
        <f t="shared" si="13"/>
        <v/>
      </c>
      <c r="E257" s="45"/>
      <c r="F257" s="11" t="str">
        <f>IFERROR(VLOOKUP(E257,Category!$D$2:$E$600,2,FALSE),"")</f>
        <v/>
      </c>
      <c r="G257" s="56"/>
      <c r="H257" s="56"/>
      <c r="I257" s="16" t="str">
        <f t="shared" si="14"/>
        <v/>
      </c>
      <c r="J257" s="45"/>
      <c r="K257" s="45"/>
      <c r="L257" s="45"/>
    </row>
    <row r="258" spans="1:12">
      <c r="A258" s="10" t="str">
        <f t="shared" si="15"/>
        <v/>
      </c>
      <c r="B258" s="45"/>
      <c r="C258" s="13" t="str">
        <f t="shared" si="12"/>
        <v/>
      </c>
      <c r="D258" s="13" t="str">
        <f t="shared" si="13"/>
        <v/>
      </c>
      <c r="E258" s="45"/>
      <c r="F258" s="11" t="str">
        <f>IFERROR(VLOOKUP(E258,Category!$D$2:$E$600,2,FALSE),"")</f>
        <v/>
      </c>
      <c r="G258" s="56"/>
      <c r="H258" s="56"/>
      <c r="I258" s="16" t="str">
        <f t="shared" si="14"/>
        <v/>
      </c>
      <c r="J258" s="45"/>
      <c r="K258" s="45"/>
      <c r="L258" s="45"/>
    </row>
    <row r="259" spans="1:12">
      <c r="A259" s="10" t="str">
        <f t="shared" si="15"/>
        <v/>
      </c>
      <c r="B259" s="45"/>
      <c r="C259" s="13" t="str">
        <f t="shared" ref="C259:C322" si="16">IF(B259=0,"",TEXT(B259,"mmmm"))</f>
        <v/>
      </c>
      <c r="D259" s="13" t="str">
        <f t="shared" ref="D259:D322" si="17">IF(B259=0,"",TEXT(B259,"yyyy"))</f>
        <v/>
      </c>
      <c r="E259" s="45"/>
      <c r="F259" s="11" t="str">
        <f>IFERROR(VLOOKUP(E259,Category!$D$2:$E$600,2,FALSE),"")</f>
        <v/>
      </c>
      <c r="G259" s="56"/>
      <c r="H259" s="56"/>
      <c r="I259" s="16" t="str">
        <f t="shared" ref="I259:I322" si="18">IF(H259*G259=0,"",H259*G259)</f>
        <v/>
      </c>
      <c r="J259" s="45"/>
      <c r="K259" s="45"/>
      <c r="L259" s="45"/>
    </row>
    <row r="260" spans="1:12">
      <c r="A260" s="10" t="str">
        <f t="shared" ref="A260:A323" si="19">IF(E260&gt;0,A259+1,"")</f>
        <v/>
      </c>
      <c r="B260" s="45"/>
      <c r="C260" s="13" t="str">
        <f t="shared" si="16"/>
        <v/>
      </c>
      <c r="D260" s="13" t="str">
        <f t="shared" si="17"/>
        <v/>
      </c>
      <c r="E260" s="45"/>
      <c r="F260" s="11" t="str">
        <f>IFERROR(VLOOKUP(E260,Category!$D$2:$E$600,2,FALSE),"")</f>
        <v/>
      </c>
      <c r="G260" s="56"/>
      <c r="H260" s="56"/>
      <c r="I260" s="16" t="str">
        <f t="shared" si="18"/>
        <v/>
      </c>
      <c r="J260" s="45"/>
      <c r="K260" s="45"/>
      <c r="L260" s="45"/>
    </row>
    <row r="261" spans="1:12">
      <c r="A261" s="10" t="str">
        <f t="shared" si="19"/>
        <v/>
      </c>
      <c r="B261" s="45"/>
      <c r="C261" s="13" t="str">
        <f t="shared" si="16"/>
        <v/>
      </c>
      <c r="D261" s="13" t="str">
        <f t="shared" si="17"/>
        <v/>
      </c>
      <c r="E261" s="45"/>
      <c r="F261" s="11" t="str">
        <f>IFERROR(VLOOKUP(E261,Category!$D$2:$E$600,2,FALSE),"")</f>
        <v/>
      </c>
      <c r="G261" s="56"/>
      <c r="H261" s="56"/>
      <c r="I261" s="16" t="str">
        <f t="shared" si="18"/>
        <v/>
      </c>
      <c r="J261" s="45"/>
      <c r="K261" s="45"/>
      <c r="L261" s="45"/>
    </row>
    <row r="262" spans="1:12">
      <c r="A262" s="10" t="str">
        <f t="shared" si="19"/>
        <v/>
      </c>
      <c r="B262" s="45"/>
      <c r="C262" s="13" t="str">
        <f t="shared" si="16"/>
        <v/>
      </c>
      <c r="D262" s="13" t="str">
        <f t="shared" si="17"/>
        <v/>
      </c>
      <c r="E262" s="45"/>
      <c r="F262" s="11" t="str">
        <f>IFERROR(VLOOKUP(E262,Category!$D$2:$E$600,2,FALSE),"")</f>
        <v/>
      </c>
      <c r="G262" s="56"/>
      <c r="H262" s="56"/>
      <c r="I262" s="16" t="str">
        <f t="shared" si="18"/>
        <v/>
      </c>
      <c r="J262" s="45"/>
      <c r="K262" s="45"/>
      <c r="L262" s="45"/>
    </row>
    <row r="263" spans="1:12">
      <c r="A263" s="10" t="str">
        <f t="shared" si="19"/>
        <v/>
      </c>
      <c r="B263" s="45"/>
      <c r="C263" s="13" t="str">
        <f t="shared" si="16"/>
        <v/>
      </c>
      <c r="D263" s="13" t="str">
        <f t="shared" si="17"/>
        <v/>
      </c>
      <c r="E263" s="45"/>
      <c r="F263" s="11" t="str">
        <f>IFERROR(VLOOKUP(E263,Category!$D$2:$E$600,2,FALSE),"")</f>
        <v/>
      </c>
      <c r="G263" s="56"/>
      <c r="H263" s="56"/>
      <c r="I263" s="16" t="str">
        <f t="shared" si="18"/>
        <v/>
      </c>
      <c r="J263" s="45"/>
      <c r="K263" s="45"/>
      <c r="L263" s="45"/>
    </row>
    <row r="264" spans="1:12">
      <c r="A264" s="10" t="str">
        <f t="shared" si="19"/>
        <v/>
      </c>
      <c r="B264" s="45"/>
      <c r="C264" s="13" t="str">
        <f t="shared" si="16"/>
        <v/>
      </c>
      <c r="D264" s="13" t="str">
        <f t="shared" si="17"/>
        <v/>
      </c>
      <c r="E264" s="45"/>
      <c r="F264" s="11" t="str">
        <f>IFERROR(VLOOKUP(E264,Category!$D$2:$E$600,2,FALSE),"")</f>
        <v/>
      </c>
      <c r="G264" s="56"/>
      <c r="H264" s="56"/>
      <c r="I264" s="16" t="str">
        <f t="shared" si="18"/>
        <v/>
      </c>
      <c r="J264" s="45"/>
      <c r="K264" s="45"/>
      <c r="L264" s="45"/>
    </row>
    <row r="265" spans="1:12">
      <c r="A265" s="10" t="str">
        <f t="shared" si="19"/>
        <v/>
      </c>
      <c r="B265" s="45"/>
      <c r="C265" s="13" t="str">
        <f t="shared" si="16"/>
        <v/>
      </c>
      <c r="D265" s="13" t="str">
        <f t="shared" si="17"/>
        <v/>
      </c>
      <c r="E265" s="45"/>
      <c r="F265" s="11" t="str">
        <f>IFERROR(VLOOKUP(E265,Category!$D$2:$E$600,2,FALSE),"")</f>
        <v/>
      </c>
      <c r="G265" s="56"/>
      <c r="H265" s="56"/>
      <c r="I265" s="16" t="str">
        <f t="shared" si="18"/>
        <v/>
      </c>
      <c r="J265" s="45"/>
      <c r="K265" s="45"/>
      <c r="L265" s="45"/>
    </row>
    <row r="266" spans="1:12">
      <c r="A266" s="10" t="str">
        <f t="shared" si="19"/>
        <v/>
      </c>
      <c r="B266" s="45"/>
      <c r="C266" s="13" t="str">
        <f t="shared" si="16"/>
        <v/>
      </c>
      <c r="D266" s="13" t="str">
        <f t="shared" si="17"/>
        <v/>
      </c>
      <c r="E266" s="45"/>
      <c r="F266" s="11" t="str">
        <f>IFERROR(VLOOKUP(E266,Category!$D$2:$E$600,2,FALSE),"")</f>
        <v/>
      </c>
      <c r="G266" s="56"/>
      <c r="H266" s="56"/>
      <c r="I266" s="16" t="str">
        <f t="shared" si="18"/>
        <v/>
      </c>
      <c r="J266" s="45"/>
      <c r="K266" s="45"/>
      <c r="L266" s="45"/>
    </row>
    <row r="267" spans="1:12">
      <c r="A267" s="10" t="str">
        <f t="shared" si="19"/>
        <v/>
      </c>
      <c r="B267" s="45"/>
      <c r="C267" s="13" t="str">
        <f t="shared" si="16"/>
        <v/>
      </c>
      <c r="D267" s="13" t="str">
        <f t="shared" si="17"/>
        <v/>
      </c>
      <c r="E267" s="45"/>
      <c r="F267" s="11" t="str">
        <f>IFERROR(VLOOKUP(E267,Category!$D$2:$E$600,2,FALSE),"")</f>
        <v/>
      </c>
      <c r="G267" s="56"/>
      <c r="H267" s="56"/>
      <c r="I267" s="16" t="str">
        <f t="shared" si="18"/>
        <v/>
      </c>
      <c r="J267" s="45"/>
      <c r="K267" s="45"/>
      <c r="L267" s="45"/>
    </row>
    <row r="268" spans="1:12">
      <c r="A268" s="10" t="str">
        <f t="shared" si="19"/>
        <v/>
      </c>
      <c r="B268" s="45"/>
      <c r="C268" s="13" t="str">
        <f t="shared" si="16"/>
        <v/>
      </c>
      <c r="D268" s="13" t="str">
        <f t="shared" si="17"/>
        <v/>
      </c>
      <c r="E268" s="45"/>
      <c r="F268" s="11" t="str">
        <f>IFERROR(VLOOKUP(E268,Category!$D$2:$E$600,2,FALSE),"")</f>
        <v/>
      </c>
      <c r="G268" s="56"/>
      <c r="H268" s="56"/>
      <c r="I268" s="16" t="str">
        <f t="shared" si="18"/>
        <v/>
      </c>
      <c r="J268" s="45"/>
      <c r="K268" s="45"/>
      <c r="L268" s="45"/>
    </row>
    <row r="269" spans="1:12">
      <c r="A269" s="10" t="str">
        <f t="shared" si="19"/>
        <v/>
      </c>
      <c r="B269" s="45"/>
      <c r="C269" s="13" t="str">
        <f t="shared" si="16"/>
        <v/>
      </c>
      <c r="D269" s="13" t="str">
        <f t="shared" si="17"/>
        <v/>
      </c>
      <c r="E269" s="45"/>
      <c r="F269" s="11" t="str">
        <f>IFERROR(VLOOKUP(E269,Category!$D$2:$E$600,2,FALSE),"")</f>
        <v/>
      </c>
      <c r="G269" s="56"/>
      <c r="H269" s="56"/>
      <c r="I269" s="16" t="str">
        <f t="shared" si="18"/>
        <v/>
      </c>
      <c r="J269" s="45"/>
      <c r="K269" s="45"/>
      <c r="L269" s="45"/>
    </row>
    <row r="270" spans="1:12">
      <c r="A270" s="10" t="str">
        <f t="shared" si="19"/>
        <v/>
      </c>
      <c r="B270" s="45"/>
      <c r="C270" s="13" t="str">
        <f t="shared" si="16"/>
        <v/>
      </c>
      <c r="D270" s="13" t="str">
        <f t="shared" si="17"/>
        <v/>
      </c>
      <c r="E270" s="45"/>
      <c r="F270" s="11" t="str">
        <f>IFERROR(VLOOKUP(E270,Category!$D$2:$E$600,2,FALSE),"")</f>
        <v/>
      </c>
      <c r="G270" s="56"/>
      <c r="H270" s="56"/>
      <c r="I270" s="16" t="str">
        <f t="shared" si="18"/>
        <v/>
      </c>
      <c r="J270" s="45"/>
      <c r="K270" s="45"/>
      <c r="L270" s="45"/>
    </row>
    <row r="271" spans="1:12">
      <c r="A271" s="10" t="str">
        <f t="shared" si="19"/>
        <v/>
      </c>
      <c r="B271" s="45"/>
      <c r="C271" s="13" t="str">
        <f t="shared" si="16"/>
        <v/>
      </c>
      <c r="D271" s="13" t="str">
        <f t="shared" si="17"/>
        <v/>
      </c>
      <c r="E271" s="45"/>
      <c r="F271" s="11" t="str">
        <f>IFERROR(VLOOKUP(E271,Category!$D$2:$E$600,2,FALSE),"")</f>
        <v/>
      </c>
      <c r="G271" s="56"/>
      <c r="H271" s="56"/>
      <c r="I271" s="16" t="str">
        <f t="shared" si="18"/>
        <v/>
      </c>
      <c r="J271" s="45"/>
      <c r="K271" s="45"/>
      <c r="L271" s="45"/>
    </row>
    <row r="272" spans="1:12">
      <c r="A272" s="10" t="str">
        <f t="shared" si="19"/>
        <v/>
      </c>
      <c r="B272" s="45"/>
      <c r="C272" s="13" t="str">
        <f t="shared" si="16"/>
        <v/>
      </c>
      <c r="D272" s="13" t="str">
        <f t="shared" si="17"/>
        <v/>
      </c>
      <c r="E272" s="45"/>
      <c r="F272" s="11" t="str">
        <f>IFERROR(VLOOKUP(E272,Category!$D$2:$E$600,2,FALSE),"")</f>
        <v/>
      </c>
      <c r="G272" s="56"/>
      <c r="H272" s="56"/>
      <c r="I272" s="16" t="str">
        <f t="shared" si="18"/>
        <v/>
      </c>
      <c r="J272" s="45"/>
      <c r="K272" s="45"/>
      <c r="L272" s="45"/>
    </row>
    <row r="273" spans="1:12">
      <c r="A273" s="10" t="str">
        <f t="shared" si="19"/>
        <v/>
      </c>
      <c r="B273" s="45"/>
      <c r="C273" s="13" t="str">
        <f t="shared" si="16"/>
        <v/>
      </c>
      <c r="D273" s="13" t="str">
        <f t="shared" si="17"/>
        <v/>
      </c>
      <c r="E273" s="45"/>
      <c r="F273" s="11" t="str">
        <f>IFERROR(VLOOKUP(E273,Category!$D$2:$E$600,2,FALSE),"")</f>
        <v/>
      </c>
      <c r="G273" s="56"/>
      <c r="H273" s="56"/>
      <c r="I273" s="16" t="str">
        <f t="shared" si="18"/>
        <v/>
      </c>
      <c r="J273" s="45"/>
      <c r="K273" s="45"/>
      <c r="L273" s="45"/>
    </row>
    <row r="274" spans="1:12">
      <c r="A274" s="10" t="str">
        <f t="shared" si="19"/>
        <v/>
      </c>
      <c r="B274" s="45"/>
      <c r="C274" s="13" t="str">
        <f t="shared" si="16"/>
        <v/>
      </c>
      <c r="D274" s="13" t="str">
        <f t="shared" si="17"/>
        <v/>
      </c>
      <c r="E274" s="45"/>
      <c r="F274" s="11" t="str">
        <f>IFERROR(VLOOKUP(E274,Category!$D$2:$E$600,2,FALSE),"")</f>
        <v/>
      </c>
      <c r="G274" s="56"/>
      <c r="H274" s="56"/>
      <c r="I274" s="16" t="str">
        <f t="shared" si="18"/>
        <v/>
      </c>
      <c r="J274" s="45"/>
      <c r="K274" s="45"/>
      <c r="L274" s="45"/>
    </row>
    <row r="275" spans="1:12">
      <c r="A275" s="10" t="str">
        <f t="shared" si="19"/>
        <v/>
      </c>
      <c r="B275" s="45"/>
      <c r="C275" s="13" t="str">
        <f t="shared" si="16"/>
        <v/>
      </c>
      <c r="D275" s="13" t="str">
        <f t="shared" si="17"/>
        <v/>
      </c>
      <c r="E275" s="45"/>
      <c r="F275" s="11" t="str">
        <f>IFERROR(VLOOKUP(E275,Category!$D$2:$E$600,2,FALSE),"")</f>
        <v/>
      </c>
      <c r="G275" s="56"/>
      <c r="H275" s="56"/>
      <c r="I275" s="16" t="str">
        <f t="shared" si="18"/>
        <v/>
      </c>
      <c r="J275" s="45"/>
      <c r="K275" s="45"/>
      <c r="L275" s="45"/>
    </row>
    <row r="276" spans="1:12">
      <c r="A276" s="10" t="str">
        <f t="shared" si="19"/>
        <v/>
      </c>
      <c r="B276" s="45"/>
      <c r="C276" s="13" t="str">
        <f t="shared" si="16"/>
        <v/>
      </c>
      <c r="D276" s="13" t="str">
        <f t="shared" si="17"/>
        <v/>
      </c>
      <c r="E276" s="45"/>
      <c r="F276" s="11" t="str">
        <f>IFERROR(VLOOKUP(E276,Category!$D$2:$E$600,2,FALSE),"")</f>
        <v/>
      </c>
      <c r="G276" s="56"/>
      <c r="H276" s="56"/>
      <c r="I276" s="16" t="str">
        <f t="shared" si="18"/>
        <v/>
      </c>
      <c r="J276" s="45"/>
      <c r="K276" s="45"/>
      <c r="L276" s="45"/>
    </row>
    <row r="277" spans="1:12">
      <c r="A277" s="10" t="str">
        <f t="shared" si="19"/>
        <v/>
      </c>
      <c r="B277" s="45"/>
      <c r="C277" s="13" t="str">
        <f t="shared" si="16"/>
        <v/>
      </c>
      <c r="D277" s="13" t="str">
        <f t="shared" si="17"/>
        <v/>
      </c>
      <c r="E277" s="45"/>
      <c r="F277" s="11" t="str">
        <f>IFERROR(VLOOKUP(E277,Category!$D$2:$E$600,2,FALSE),"")</f>
        <v/>
      </c>
      <c r="G277" s="56"/>
      <c r="H277" s="56"/>
      <c r="I277" s="16" t="str">
        <f t="shared" si="18"/>
        <v/>
      </c>
      <c r="J277" s="45"/>
      <c r="K277" s="45"/>
      <c r="L277" s="45"/>
    </row>
    <row r="278" spans="1:12">
      <c r="A278" s="10" t="str">
        <f t="shared" si="19"/>
        <v/>
      </c>
      <c r="B278" s="45"/>
      <c r="C278" s="13" t="str">
        <f t="shared" si="16"/>
        <v/>
      </c>
      <c r="D278" s="13" t="str">
        <f t="shared" si="17"/>
        <v/>
      </c>
      <c r="E278" s="45"/>
      <c r="F278" s="11" t="str">
        <f>IFERROR(VLOOKUP(E278,Category!$D$2:$E$600,2,FALSE),"")</f>
        <v/>
      </c>
      <c r="G278" s="56"/>
      <c r="H278" s="56"/>
      <c r="I278" s="16" t="str">
        <f t="shared" si="18"/>
        <v/>
      </c>
      <c r="J278" s="45"/>
      <c r="K278" s="45"/>
      <c r="L278" s="45"/>
    </row>
    <row r="279" spans="1:12">
      <c r="A279" s="10" t="str">
        <f t="shared" si="19"/>
        <v/>
      </c>
      <c r="B279" s="45"/>
      <c r="C279" s="13" t="str">
        <f t="shared" si="16"/>
        <v/>
      </c>
      <c r="D279" s="13" t="str">
        <f t="shared" si="17"/>
        <v/>
      </c>
      <c r="E279" s="45"/>
      <c r="F279" s="11" t="str">
        <f>IFERROR(VLOOKUP(E279,Category!$D$2:$E$600,2,FALSE),"")</f>
        <v/>
      </c>
      <c r="G279" s="56"/>
      <c r="H279" s="56"/>
      <c r="I279" s="16" t="str">
        <f t="shared" si="18"/>
        <v/>
      </c>
      <c r="J279" s="45"/>
      <c r="K279" s="45"/>
      <c r="L279" s="45"/>
    </row>
    <row r="280" spans="1:12">
      <c r="A280" s="10" t="str">
        <f t="shared" si="19"/>
        <v/>
      </c>
      <c r="B280" s="45"/>
      <c r="C280" s="13" t="str">
        <f t="shared" si="16"/>
        <v/>
      </c>
      <c r="D280" s="13" t="str">
        <f t="shared" si="17"/>
        <v/>
      </c>
      <c r="E280" s="45"/>
      <c r="F280" s="11" t="str">
        <f>IFERROR(VLOOKUP(E280,Category!$D$2:$E$600,2,FALSE),"")</f>
        <v/>
      </c>
      <c r="G280" s="56"/>
      <c r="H280" s="56"/>
      <c r="I280" s="16" t="str">
        <f t="shared" si="18"/>
        <v/>
      </c>
      <c r="J280" s="45"/>
      <c r="K280" s="45"/>
      <c r="L280" s="45"/>
    </row>
    <row r="281" spans="1:12">
      <c r="A281" s="10" t="str">
        <f t="shared" si="19"/>
        <v/>
      </c>
      <c r="B281" s="45"/>
      <c r="C281" s="13" t="str">
        <f t="shared" si="16"/>
        <v/>
      </c>
      <c r="D281" s="13" t="str">
        <f t="shared" si="17"/>
        <v/>
      </c>
      <c r="E281" s="45"/>
      <c r="F281" s="11" t="str">
        <f>IFERROR(VLOOKUP(E281,Category!$D$2:$E$600,2,FALSE),"")</f>
        <v/>
      </c>
      <c r="G281" s="56"/>
      <c r="H281" s="56"/>
      <c r="I281" s="16" t="str">
        <f t="shared" si="18"/>
        <v/>
      </c>
      <c r="J281" s="45"/>
      <c r="K281" s="45"/>
      <c r="L281" s="45"/>
    </row>
    <row r="282" spans="1:12">
      <c r="A282" s="10" t="str">
        <f t="shared" si="19"/>
        <v/>
      </c>
      <c r="B282" s="45"/>
      <c r="C282" s="13" t="str">
        <f t="shared" si="16"/>
        <v/>
      </c>
      <c r="D282" s="13" t="str">
        <f t="shared" si="17"/>
        <v/>
      </c>
      <c r="E282" s="45"/>
      <c r="F282" s="11" t="str">
        <f>IFERROR(VLOOKUP(E282,Category!$D$2:$E$600,2,FALSE),"")</f>
        <v/>
      </c>
      <c r="G282" s="56"/>
      <c r="H282" s="56"/>
      <c r="I282" s="16" t="str">
        <f t="shared" si="18"/>
        <v/>
      </c>
      <c r="J282" s="45"/>
      <c r="K282" s="45"/>
      <c r="L282" s="45"/>
    </row>
    <row r="283" spans="1:12">
      <c r="A283" s="10" t="str">
        <f t="shared" si="19"/>
        <v/>
      </c>
      <c r="B283" s="45"/>
      <c r="C283" s="13" t="str">
        <f t="shared" si="16"/>
        <v/>
      </c>
      <c r="D283" s="13" t="str">
        <f t="shared" si="17"/>
        <v/>
      </c>
      <c r="E283" s="45"/>
      <c r="F283" s="11" t="str">
        <f>IFERROR(VLOOKUP(E283,Category!$D$2:$E$600,2,FALSE),"")</f>
        <v/>
      </c>
      <c r="G283" s="56"/>
      <c r="H283" s="56"/>
      <c r="I283" s="16" t="str">
        <f t="shared" si="18"/>
        <v/>
      </c>
      <c r="J283" s="45"/>
      <c r="K283" s="45"/>
      <c r="L283" s="45"/>
    </row>
    <row r="284" spans="1:12">
      <c r="A284" s="10" t="str">
        <f t="shared" si="19"/>
        <v/>
      </c>
      <c r="B284" s="45"/>
      <c r="C284" s="13" t="str">
        <f t="shared" si="16"/>
        <v/>
      </c>
      <c r="D284" s="13" t="str">
        <f t="shared" si="17"/>
        <v/>
      </c>
      <c r="E284" s="45"/>
      <c r="F284" s="11" t="str">
        <f>IFERROR(VLOOKUP(E284,Category!$D$2:$E$600,2,FALSE),"")</f>
        <v/>
      </c>
      <c r="G284" s="56"/>
      <c r="H284" s="56"/>
      <c r="I284" s="16" t="str">
        <f t="shared" si="18"/>
        <v/>
      </c>
      <c r="J284" s="45"/>
      <c r="K284" s="45"/>
      <c r="L284" s="45"/>
    </row>
    <row r="285" spans="1:12">
      <c r="A285" s="10" t="str">
        <f t="shared" si="19"/>
        <v/>
      </c>
      <c r="B285" s="45"/>
      <c r="C285" s="13" t="str">
        <f t="shared" si="16"/>
        <v/>
      </c>
      <c r="D285" s="13" t="str">
        <f t="shared" si="17"/>
        <v/>
      </c>
      <c r="E285" s="45"/>
      <c r="F285" s="11" t="str">
        <f>IFERROR(VLOOKUP(E285,Category!$D$2:$E$600,2,FALSE),"")</f>
        <v/>
      </c>
      <c r="G285" s="56"/>
      <c r="H285" s="56"/>
      <c r="I285" s="16" t="str">
        <f t="shared" si="18"/>
        <v/>
      </c>
      <c r="J285" s="45"/>
      <c r="K285" s="45"/>
      <c r="L285" s="45"/>
    </row>
    <row r="286" spans="1:12">
      <c r="A286" s="10" t="str">
        <f t="shared" si="19"/>
        <v/>
      </c>
      <c r="B286" s="45"/>
      <c r="C286" s="13" t="str">
        <f t="shared" si="16"/>
        <v/>
      </c>
      <c r="D286" s="13" t="str">
        <f t="shared" si="17"/>
        <v/>
      </c>
      <c r="E286" s="45"/>
      <c r="F286" s="11" t="str">
        <f>IFERROR(VLOOKUP(E286,Category!$D$2:$E$600,2,FALSE),"")</f>
        <v/>
      </c>
      <c r="G286" s="56"/>
      <c r="H286" s="56"/>
      <c r="I286" s="16" t="str">
        <f t="shared" si="18"/>
        <v/>
      </c>
      <c r="J286" s="45"/>
      <c r="K286" s="45"/>
      <c r="L286" s="45"/>
    </row>
    <row r="287" spans="1:12">
      <c r="A287" s="10" t="str">
        <f t="shared" si="19"/>
        <v/>
      </c>
      <c r="B287" s="45"/>
      <c r="C287" s="13" t="str">
        <f t="shared" si="16"/>
        <v/>
      </c>
      <c r="D287" s="13" t="str">
        <f t="shared" si="17"/>
        <v/>
      </c>
      <c r="E287" s="45"/>
      <c r="F287" s="11" t="str">
        <f>IFERROR(VLOOKUP(E287,Category!$D$2:$E$600,2,FALSE),"")</f>
        <v/>
      </c>
      <c r="G287" s="56"/>
      <c r="H287" s="56"/>
      <c r="I287" s="16" t="str">
        <f t="shared" si="18"/>
        <v/>
      </c>
      <c r="J287" s="45"/>
      <c r="K287" s="45"/>
      <c r="L287" s="45"/>
    </row>
    <row r="288" spans="1:12">
      <c r="A288" s="10" t="str">
        <f t="shared" si="19"/>
        <v/>
      </c>
      <c r="B288" s="45"/>
      <c r="C288" s="13" t="str">
        <f t="shared" si="16"/>
        <v/>
      </c>
      <c r="D288" s="13" t="str">
        <f t="shared" si="17"/>
        <v/>
      </c>
      <c r="E288" s="45"/>
      <c r="F288" s="11" t="str">
        <f>IFERROR(VLOOKUP(E288,Category!$D$2:$E$600,2,FALSE),"")</f>
        <v/>
      </c>
      <c r="G288" s="56"/>
      <c r="H288" s="56"/>
      <c r="I288" s="16" t="str">
        <f t="shared" si="18"/>
        <v/>
      </c>
      <c r="J288" s="45"/>
      <c r="K288" s="45"/>
      <c r="L288" s="45"/>
    </row>
    <row r="289" spans="1:12">
      <c r="A289" s="10" t="str">
        <f t="shared" si="19"/>
        <v/>
      </c>
      <c r="B289" s="45"/>
      <c r="C289" s="13" t="str">
        <f t="shared" si="16"/>
        <v/>
      </c>
      <c r="D289" s="13" t="str">
        <f t="shared" si="17"/>
        <v/>
      </c>
      <c r="E289" s="45"/>
      <c r="F289" s="11" t="str">
        <f>IFERROR(VLOOKUP(E289,Category!$D$2:$E$600,2,FALSE),"")</f>
        <v/>
      </c>
      <c r="G289" s="56"/>
      <c r="H289" s="56"/>
      <c r="I289" s="16" t="str">
        <f t="shared" si="18"/>
        <v/>
      </c>
      <c r="J289" s="45"/>
      <c r="K289" s="45"/>
      <c r="L289" s="45"/>
    </row>
    <row r="290" spans="1:12">
      <c r="A290" s="10" t="str">
        <f t="shared" si="19"/>
        <v/>
      </c>
      <c r="B290" s="45"/>
      <c r="C290" s="13" t="str">
        <f t="shared" si="16"/>
        <v/>
      </c>
      <c r="D290" s="13" t="str">
        <f t="shared" si="17"/>
        <v/>
      </c>
      <c r="E290" s="45"/>
      <c r="F290" s="11" t="str">
        <f>IFERROR(VLOOKUP(E290,Category!$D$2:$E$600,2,FALSE),"")</f>
        <v/>
      </c>
      <c r="G290" s="56"/>
      <c r="H290" s="56"/>
      <c r="I290" s="16" t="str">
        <f t="shared" si="18"/>
        <v/>
      </c>
      <c r="J290" s="45"/>
      <c r="K290" s="45"/>
      <c r="L290" s="45"/>
    </row>
    <row r="291" spans="1:12">
      <c r="A291" s="10" t="str">
        <f t="shared" si="19"/>
        <v/>
      </c>
      <c r="B291" s="45"/>
      <c r="C291" s="13" t="str">
        <f t="shared" si="16"/>
        <v/>
      </c>
      <c r="D291" s="13" t="str">
        <f t="shared" si="17"/>
        <v/>
      </c>
      <c r="E291" s="45"/>
      <c r="F291" s="11" t="str">
        <f>IFERROR(VLOOKUP(E291,Category!$D$2:$E$600,2,FALSE),"")</f>
        <v/>
      </c>
      <c r="G291" s="56"/>
      <c r="H291" s="56"/>
      <c r="I291" s="16" t="str">
        <f t="shared" si="18"/>
        <v/>
      </c>
      <c r="J291" s="45"/>
      <c r="K291" s="45"/>
      <c r="L291" s="45"/>
    </row>
    <row r="292" spans="1:12">
      <c r="A292" s="10" t="str">
        <f t="shared" si="19"/>
        <v/>
      </c>
      <c r="B292" s="45"/>
      <c r="C292" s="13" t="str">
        <f t="shared" si="16"/>
        <v/>
      </c>
      <c r="D292" s="13" t="str">
        <f t="shared" si="17"/>
        <v/>
      </c>
      <c r="E292" s="45"/>
      <c r="F292" s="11" t="str">
        <f>IFERROR(VLOOKUP(E292,Category!$D$2:$E$600,2,FALSE),"")</f>
        <v/>
      </c>
      <c r="G292" s="56"/>
      <c r="H292" s="56"/>
      <c r="I292" s="16" t="str">
        <f t="shared" si="18"/>
        <v/>
      </c>
      <c r="J292" s="45"/>
      <c r="K292" s="45"/>
      <c r="L292" s="45"/>
    </row>
    <row r="293" spans="1:12">
      <c r="A293" s="10" t="str">
        <f t="shared" si="19"/>
        <v/>
      </c>
      <c r="B293" s="45"/>
      <c r="C293" s="13" t="str">
        <f t="shared" si="16"/>
        <v/>
      </c>
      <c r="D293" s="13" t="str">
        <f t="shared" si="17"/>
        <v/>
      </c>
      <c r="E293" s="45"/>
      <c r="F293" s="11" t="str">
        <f>IFERROR(VLOOKUP(E293,Category!$D$2:$E$600,2,FALSE),"")</f>
        <v/>
      </c>
      <c r="G293" s="56"/>
      <c r="H293" s="56"/>
      <c r="I293" s="16" t="str">
        <f t="shared" si="18"/>
        <v/>
      </c>
      <c r="J293" s="45"/>
      <c r="K293" s="45"/>
      <c r="L293" s="45"/>
    </row>
    <row r="294" spans="1:12">
      <c r="A294" s="10" t="str">
        <f t="shared" si="19"/>
        <v/>
      </c>
      <c r="B294" s="45"/>
      <c r="C294" s="13" t="str">
        <f t="shared" si="16"/>
        <v/>
      </c>
      <c r="D294" s="13" t="str">
        <f t="shared" si="17"/>
        <v/>
      </c>
      <c r="E294" s="45"/>
      <c r="F294" s="11" t="str">
        <f>IFERROR(VLOOKUP(E294,Category!$D$2:$E$600,2,FALSE),"")</f>
        <v/>
      </c>
      <c r="G294" s="56"/>
      <c r="H294" s="56"/>
      <c r="I294" s="16" t="str">
        <f t="shared" si="18"/>
        <v/>
      </c>
      <c r="J294" s="45"/>
      <c r="K294" s="45"/>
      <c r="L294" s="45"/>
    </row>
    <row r="295" spans="1:12">
      <c r="A295" s="10" t="str">
        <f t="shared" si="19"/>
        <v/>
      </c>
      <c r="B295" s="45"/>
      <c r="C295" s="13" t="str">
        <f t="shared" si="16"/>
        <v/>
      </c>
      <c r="D295" s="13" t="str">
        <f t="shared" si="17"/>
        <v/>
      </c>
      <c r="E295" s="45"/>
      <c r="F295" s="11" t="str">
        <f>IFERROR(VLOOKUP(E295,Category!$D$2:$E$600,2,FALSE),"")</f>
        <v/>
      </c>
      <c r="G295" s="56"/>
      <c r="H295" s="56"/>
      <c r="I295" s="16" t="str">
        <f t="shared" si="18"/>
        <v/>
      </c>
      <c r="J295" s="45"/>
      <c r="K295" s="45"/>
      <c r="L295" s="45"/>
    </row>
    <row r="296" spans="1:12">
      <c r="A296" s="10" t="str">
        <f t="shared" si="19"/>
        <v/>
      </c>
      <c r="B296" s="45"/>
      <c r="C296" s="13" t="str">
        <f t="shared" si="16"/>
        <v/>
      </c>
      <c r="D296" s="13" t="str">
        <f t="shared" si="17"/>
        <v/>
      </c>
      <c r="E296" s="45"/>
      <c r="F296" s="11" t="str">
        <f>IFERROR(VLOOKUP(E296,Category!$D$2:$E$600,2,FALSE),"")</f>
        <v/>
      </c>
      <c r="G296" s="56"/>
      <c r="H296" s="56"/>
      <c r="I296" s="16" t="str">
        <f t="shared" si="18"/>
        <v/>
      </c>
      <c r="J296" s="45"/>
      <c r="K296" s="45"/>
      <c r="L296" s="45"/>
    </row>
    <row r="297" spans="1:12">
      <c r="A297" s="10" t="str">
        <f t="shared" si="19"/>
        <v/>
      </c>
      <c r="B297" s="45"/>
      <c r="C297" s="13" t="str">
        <f t="shared" si="16"/>
        <v/>
      </c>
      <c r="D297" s="13" t="str">
        <f t="shared" si="17"/>
        <v/>
      </c>
      <c r="E297" s="45"/>
      <c r="F297" s="11" t="str">
        <f>IFERROR(VLOOKUP(E297,Category!$D$2:$E$600,2,FALSE),"")</f>
        <v/>
      </c>
      <c r="G297" s="56"/>
      <c r="H297" s="56"/>
      <c r="I297" s="16" t="str">
        <f t="shared" si="18"/>
        <v/>
      </c>
      <c r="J297" s="45"/>
      <c r="K297" s="45"/>
      <c r="L297" s="45"/>
    </row>
    <row r="298" spans="1:12">
      <c r="A298" s="10" t="str">
        <f t="shared" si="19"/>
        <v/>
      </c>
      <c r="B298" s="45"/>
      <c r="C298" s="13" t="str">
        <f t="shared" si="16"/>
        <v/>
      </c>
      <c r="D298" s="13" t="str">
        <f t="shared" si="17"/>
        <v/>
      </c>
      <c r="E298" s="45"/>
      <c r="F298" s="11" t="str">
        <f>IFERROR(VLOOKUP(E298,Category!$D$2:$E$600,2,FALSE),"")</f>
        <v/>
      </c>
      <c r="G298" s="56"/>
      <c r="H298" s="56"/>
      <c r="I298" s="16" t="str">
        <f t="shared" si="18"/>
        <v/>
      </c>
      <c r="J298" s="45"/>
      <c r="K298" s="45"/>
      <c r="L298" s="45"/>
    </row>
    <row r="299" spans="1:12">
      <c r="A299" s="10" t="str">
        <f t="shared" si="19"/>
        <v/>
      </c>
      <c r="B299" s="45"/>
      <c r="C299" s="13" t="str">
        <f t="shared" si="16"/>
        <v/>
      </c>
      <c r="D299" s="13" t="str">
        <f t="shared" si="17"/>
        <v/>
      </c>
      <c r="E299" s="45"/>
      <c r="F299" s="11" t="str">
        <f>IFERROR(VLOOKUP(E299,Category!$D$2:$E$600,2,FALSE),"")</f>
        <v/>
      </c>
      <c r="G299" s="56"/>
      <c r="H299" s="56"/>
      <c r="I299" s="16" t="str">
        <f t="shared" si="18"/>
        <v/>
      </c>
      <c r="J299" s="45"/>
      <c r="K299" s="45"/>
      <c r="L299" s="45"/>
    </row>
    <row r="300" spans="1:12">
      <c r="A300" s="10" t="str">
        <f t="shared" si="19"/>
        <v/>
      </c>
      <c r="B300" s="45"/>
      <c r="C300" s="13" t="str">
        <f t="shared" si="16"/>
        <v/>
      </c>
      <c r="D300" s="13" t="str">
        <f t="shared" si="17"/>
        <v/>
      </c>
      <c r="E300" s="45"/>
      <c r="F300" s="11" t="str">
        <f>IFERROR(VLOOKUP(E300,Category!$D$2:$E$600,2,FALSE),"")</f>
        <v/>
      </c>
      <c r="G300" s="56"/>
      <c r="H300" s="56"/>
      <c r="I300" s="16" t="str">
        <f t="shared" si="18"/>
        <v/>
      </c>
      <c r="J300" s="45"/>
      <c r="K300" s="45"/>
      <c r="L300" s="45"/>
    </row>
    <row r="301" spans="1:12">
      <c r="A301" s="10" t="str">
        <f t="shared" si="19"/>
        <v/>
      </c>
      <c r="B301" s="45"/>
      <c r="C301" s="13" t="str">
        <f t="shared" si="16"/>
        <v/>
      </c>
      <c r="D301" s="13" t="str">
        <f t="shared" si="17"/>
        <v/>
      </c>
      <c r="E301" s="45"/>
      <c r="F301" s="11" t="str">
        <f>IFERROR(VLOOKUP(E301,Category!$D$2:$E$600,2,FALSE),"")</f>
        <v/>
      </c>
      <c r="G301" s="56"/>
      <c r="H301" s="56"/>
      <c r="I301" s="16" t="str">
        <f t="shared" si="18"/>
        <v/>
      </c>
      <c r="J301" s="45"/>
      <c r="K301" s="45"/>
      <c r="L301" s="45"/>
    </row>
    <row r="302" spans="1:12">
      <c r="A302" s="10" t="str">
        <f t="shared" si="19"/>
        <v/>
      </c>
      <c r="B302" s="45"/>
      <c r="C302" s="13" t="str">
        <f t="shared" si="16"/>
        <v/>
      </c>
      <c r="D302" s="13" t="str">
        <f t="shared" si="17"/>
        <v/>
      </c>
      <c r="E302" s="45"/>
      <c r="F302" s="11" t="str">
        <f>IFERROR(VLOOKUP(E302,Category!$D$2:$E$600,2,FALSE),"")</f>
        <v/>
      </c>
      <c r="G302" s="56"/>
      <c r="H302" s="56"/>
      <c r="I302" s="16" t="str">
        <f t="shared" si="18"/>
        <v/>
      </c>
      <c r="J302" s="45"/>
      <c r="K302" s="45"/>
      <c r="L302" s="45"/>
    </row>
    <row r="303" spans="1:12">
      <c r="A303" s="10" t="str">
        <f t="shared" si="19"/>
        <v/>
      </c>
      <c r="B303" s="45"/>
      <c r="C303" s="13" t="str">
        <f t="shared" si="16"/>
        <v/>
      </c>
      <c r="D303" s="13" t="str">
        <f t="shared" si="17"/>
        <v/>
      </c>
      <c r="E303" s="45"/>
      <c r="F303" s="11" t="str">
        <f>IFERROR(VLOOKUP(E303,Category!$D$2:$E$600,2,FALSE),"")</f>
        <v/>
      </c>
      <c r="G303" s="56"/>
      <c r="H303" s="56"/>
      <c r="I303" s="16" t="str">
        <f t="shared" si="18"/>
        <v/>
      </c>
      <c r="J303" s="45"/>
      <c r="K303" s="45"/>
      <c r="L303" s="45"/>
    </row>
    <row r="304" spans="1:12">
      <c r="A304" s="10" t="str">
        <f t="shared" si="19"/>
        <v/>
      </c>
      <c r="B304" s="45"/>
      <c r="C304" s="13" t="str">
        <f t="shared" si="16"/>
        <v/>
      </c>
      <c r="D304" s="13" t="str">
        <f t="shared" si="17"/>
        <v/>
      </c>
      <c r="E304" s="45"/>
      <c r="F304" s="11" t="str">
        <f>IFERROR(VLOOKUP(E304,Category!$D$2:$E$600,2,FALSE),"")</f>
        <v/>
      </c>
      <c r="G304" s="56"/>
      <c r="H304" s="56"/>
      <c r="I304" s="16" t="str">
        <f t="shared" si="18"/>
        <v/>
      </c>
      <c r="J304" s="45"/>
      <c r="K304" s="45"/>
      <c r="L304" s="45"/>
    </row>
    <row r="305" spans="1:12">
      <c r="A305" s="10" t="str">
        <f t="shared" si="19"/>
        <v/>
      </c>
      <c r="B305" s="45"/>
      <c r="C305" s="13" t="str">
        <f t="shared" si="16"/>
        <v/>
      </c>
      <c r="D305" s="13" t="str">
        <f t="shared" si="17"/>
        <v/>
      </c>
      <c r="E305" s="45"/>
      <c r="F305" s="11" t="str">
        <f>IFERROR(VLOOKUP(E305,Category!$D$2:$E$600,2,FALSE),"")</f>
        <v/>
      </c>
      <c r="G305" s="56"/>
      <c r="H305" s="56"/>
      <c r="I305" s="16" t="str">
        <f t="shared" si="18"/>
        <v/>
      </c>
      <c r="J305" s="45"/>
      <c r="K305" s="45"/>
      <c r="L305" s="45"/>
    </row>
    <row r="306" spans="1:12">
      <c r="A306" s="10" t="str">
        <f t="shared" si="19"/>
        <v/>
      </c>
      <c r="B306" s="45"/>
      <c r="C306" s="13" t="str">
        <f t="shared" si="16"/>
        <v/>
      </c>
      <c r="D306" s="13" t="str">
        <f t="shared" si="17"/>
        <v/>
      </c>
      <c r="E306" s="45"/>
      <c r="F306" s="11" t="str">
        <f>IFERROR(VLOOKUP(E306,Category!$D$2:$E$600,2,FALSE),"")</f>
        <v/>
      </c>
      <c r="G306" s="56"/>
      <c r="H306" s="56"/>
      <c r="I306" s="16" t="str">
        <f t="shared" si="18"/>
        <v/>
      </c>
      <c r="J306" s="45"/>
      <c r="K306" s="45"/>
      <c r="L306" s="45"/>
    </row>
    <row r="307" spans="1:12">
      <c r="A307" s="10" t="str">
        <f t="shared" si="19"/>
        <v/>
      </c>
      <c r="B307" s="45"/>
      <c r="C307" s="13" t="str">
        <f t="shared" si="16"/>
        <v/>
      </c>
      <c r="D307" s="13" t="str">
        <f t="shared" si="17"/>
        <v/>
      </c>
      <c r="E307" s="45"/>
      <c r="F307" s="11" t="str">
        <f>IFERROR(VLOOKUP(E307,Category!$D$2:$E$600,2,FALSE),"")</f>
        <v/>
      </c>
      <c r="G307" s="56"/>
      <c r="H307" s="56"/>
      <c r="I307" s="16" t="str">
        <f t="shared" si="18"/>
        <v/>
      </c>
      <c r="J307" s="45"/>
      <c r="K307" s="45"/>
      <c r="L307" s="45"/>
    </row>
    <row r="308" spans="1:12">
      <c r="A308" s="10" t="str">
        <f t="shared" si="19"/>
        <v/>
      </c>
      <c r="B308" s="45"/>
      <c r="C308" s="13" t="str">
        <f t="shared" si="16"/>
        <v/>
      </c>
      <c r="D308" s="13" t="str">
        <f t="shared" si="17"/>
        <v/>
      </c>
      <c r="E308" s="45"/>
      <c r="F308" s="11" t="str">
        <f>IFERROR(VLOOKUP(E308,Category!$D$2:$E$600,2,FALSE),"")</f>
        <v/>
      </c>
      <c r="G308" s="56"/>
      <c r="H308" s="56"/>
      <c r="I308" s="16" t="str">
        <f t="shared" si="18"/>
        <v/>
      </c>
      <c r="J308" s="45"/>
      <c r="K308" s="45"/>
      <c r="L308" s="45"/>
    </row>
    <row r="309" spans="1:12">
      <c r="A309" s="10" t="str">
        <f t="shared" si="19"/>
        <v/>
      </c>
      <c r="B309" s="45"/>
      <c r="C309" s="13" t="str">
        <f t="shared" si="16"/>
        <v/>
      </c>
      <c r="D309" s="13" t="str">
        <f t="shared" si="17"/>
        <v/>
      </c>
      <c r="E309" s="45"/>
      <c r="F309" s="11" t="str">
        <f>IFERROR(VLOOKUP(E309,Category!$D$2:$E$600,2,FALSE),"")</f>
        <v/>
      </c>
      <c r="G309" s="56"/>
      <c r="H309" s="56"/>
      <c r="I309" s="16" t="str">
        <f t="shared" si="18"/>
        <v/>
      </c>
      <c r="J309" s="45"/>
      <c r="K309" s="45"/>
      <c r="L309" s="45"/>
    </row>
    <row r="310" spans="1:12">
      <c r="A310" s="10" t="str">
        <f t="shared" si="19"/>
        <v/>
      </c>
      <c r="B310" s="45"/>
      <c r="C310" s="13" t="str">
        <f t="shared" si="16"/>
        <v/>
      </c>
      <c r="D310" s="13" t="str">
        <f t="shared" si="17"/>
        <v/>
      </c>
      <c r="E310" s="45"/>
      <c r="F310" s="11" t="str">
        <f>IFERROR(VLOOKUP(E310,Category!$D$2:$E$600,2,FALSE),"")</f>
        <v/>
      </c>
      <c r="G310" s="56"/>
      <c r="H310" s="56"/>
      <c r="I310" s="16" t="str">
        <f t="shared" si="18"/>
        <v/>
      </c>
      <c r="J310" s="45"/>
      <c r="K310" s="45"/>
      <c r="L310" s="45"/>
    </row>
    <row r="311" spans="1:12">
      <c r="A311" s="10" t="str">
        <f t="shared" si="19"/>
        <v/>
      </c>
      <c r="B311" s="45"/>
      <c r="C311" s="13" t="str">
        <f t="shared" si="16"/>
        <v/>
      </c>
      <c r="D311" s="13" t="str">
        <f t="shared" si="17"/>
        <v/>
      </c>
      <c r="E311" s="45"/>
      <c r="F311" s="11" t="str">
        <f>IFERROR(VLOOKUP(E311,Category!$D$2:$E$600,2,FALSE),"")</f>
        <v/>
      </c>
      <c r="G311" s="56"/>
      <c r="H311" s="56"/>
      <c r="I311" s="16" t="str">
        <f t="shared" si="18"/>
        <v/>
      </c>
      <c r="J311" s="45"/>
      <c r="K311" s="45"/>
      <c r="L311" s="45"/>
    </row>
    <row r="312" spans="1:12">
      <c r="A312" s="10" t="str">
        <f t="shared" si="19"/>
        <v/>
      </c>
      <c r="B312" s="45"/>
      <c r="C312" s="13" t="str">
        <f t="shared" si="16"/>
        <v/>
      </c>
      <c r="D312" s="13" t="str">
        <f t="shared" si="17"/>
        <v/>
      </c>
      <c r="E312" s="45"/>
      <c r="F312" s="11" t="str">
        <f>IFERROR(VLOOKUP(E312,Category!$D$2:$E$600,2,FALSE),"")</f>
        <v/>
      </c>
      <c r="G312" s="56"/>
      <c r="H312" s="56"/>
      <c r="I312" s="16" t="str">
        <f t="shared" si="18"/>
        <v/>
      </c>
      <c r="J312" s="45"/>
      <c r="K312" s="45"/>
      <c r="L312" s="45"/>
    </row>
    <row r="313" spans="1:12">
      <c r="A313" s="10" t="str">
        <f t="shared" si="19"/>
        <v/>
      </c>
      <c r="B313" s="45"/>
      <c r="C313" s="13" t="str">
        <f t="shared" si="16"/>
        <v/>
      </c>
      <c r="D313" s="13" t="str">
        <f t="shared" si="17"/>
        <v/>
      </c>
      <c r="E313" s="45"/>
      <c r="F313" s="11" t="str">
        <f>IFERROR(VLOOKUP(E313,Category!$D$2:$E$600,2,FALSE),"")</f>
        <v/>
      </c>
      <c r="G313" s="56"/>
      <c r="H313" s="56"/>
      <c r="I313" s="16" t="str">
        <f t="shared" si="18"/>
        <v/>
      </c>
      <c r="J313" s="45"/>
      <c r="K313" s="45"/>
      <c r="L313" s="45"/>
    </row>
    <row r="314" spans="1:12">
      <c r="A314" s="10" t="str">
        <f t="shared" si="19"/>
        <v/>
      </c>
      <c r="B314" s="45"/>
      <c r="C314" s="13" t="str">
        <f t="shared" si="16"/>
        <v/>
      </c>
      <c r="D314" s="13" t="str">
        <f t="shared" si="17"/>
        <v/>
      </c>
      <c r="E314" s="45"/>
      <c r="F314" s="11" t="str">
        <f>IFERROR(VLOOKUP(E314,Category!$D$2:$E$600,2,FALSE),"")</f>
        <v/>
      </c>
      <c r="G314" s="56"/>
      <c r="H314" s="56"/>
      <c r="I314" s="16" t="str">
        <f t="shared" si="18"/>
        <v/>
      </c>
      <c r="J314" s="45"/>
      <c r="K314" s="45"/>
      <c r="L314" s="45"/>
    </row>
    <row r="315" spans="1:12">
      <c r="A315" s="10" t="str">
        <f t="shared" si="19"/>
        <v/>
      </c>
      <c r="B315" s="45"/>
      <c r="C315" s="13" t="str">
        <f t="shared" si="16"/>
        <v/>
      </c>
      <c r="D315" s="13" t="str">
        <f t="shared" si="17"/>
        <v/>
      </c>
      <c r="E315" s="45"/>
      <c r="F315" s="11" t="str">
        <f>IFERROR(VLOOKUP(E315,Category!$D$2:$E$600,2,FALSE),"")</f>
        <v/>
      </c>
      <c r="G315" s="56"/>
      <c r="H315" s="56"/>
      <c r="I315" s="16" t="str">
        <f t="shared" si="18"/>
        <v/>
      </c>
      <c r="J315" s="45"/>
      <c r="K315" s="45"/>
      <c r="L315" s="45"/>
    </row>
    <row r="316" spans="1:12">
      <c r="A316" s="10" t="str">
        <f t="shared" si="19"/>
        <v/>
      </c>
      <c r="B316" s="45"/>
      <c r="C316" s="13" t="str">
        <f t="shared" si="16"/>
        <v/>
      </c>
      <c r="D316" s="13" t="str">
        <f t="shared" si="17"/>
        <v/>
      </c>
      <c r="E316" s="45"/>
      <c r="F316" s="11" t="str">
        <f>IFERROR(VLOOKUP(E316,Category!$D$2:$E$600,2,FALSE),"")</f>
        <v/>
      </c>
      <c r="G316" s="56"/>
      <c r="H316" s="56"/>
      <c r="I316" s="16" t="str">
        <f t="shared" si="18"/>
        <v/>
      </c>
      <c r="J316" s="45"/>
      <c r="K316" s="45"/>
      <c r="L316" s="45"/>
    </row>
    <row r="317" spans="1:12">
      <c r="A317" s="10" t="str">
        <f t="shared" si="19"/>
        <v/>
      </c>
      <c r="B317" s="45"/>
      <c r="C317" s="13" t="str">
        <f t="shared" si="16"/>
        <v/>
      </c>
      <c r="D317" s="13" t="str">
        <f t="shared" si="17"/>
        <v/>
      </c>
      <c r="E317" s="45"/>
      <c r="F317" s="11" t="str">
        <f>IFERROR(VLOOKUP(E317,Category!$D$2:$E$600,2,FALSE),"")</f>
        <v/>
      </c>
      <c r="G317" s="56"/>
      <c r="H317" s="56"/>
      <c r="I317" s="16" t="str">
        <f t="shared" si="18"/>
        <v/>
      </c>
      <c r="J317" s="45"/>
      <c r="K317" s="45"/>
      <c r="L317" s="45"/>
    </row>
    <row r="318" spans="1:12">
      <c r="A318" s="10" t="str">
        <f t="shared" si="19"/>
        <v/>
      </c>
      <c r="B318" s="45"/>
      <c r="C318" s="13" t="str">
        <f t="shared" si="16"/>
        <v/>
      </c>
      <c r="D318" s="13" t="str">
        <f t="shared" si="17"/>
        <v/>
      </c>
      <c r="E318" s="45"/>
      <c r="F318" s="11" t="str">
        <f>IFERROR(VLOOKUP(E318,Category!$D$2:$E$600,2,FALSE),"")</f>
        <v/>
      </c>
      <c r="G318" s="56"/>
      <c r="H318" s="56"/>
      <c r="I318" s="16" t="str">
        <f t="shared" si="18"/>
        <v/>
      </c>
      <c r="J318" s="45"/>
      <c r="K318" s="45"/>
      <c r="L318" s="45"/>
    </row>
    <row r="319" spans="1:12">
      <c r="A319" s="10" t="str">
        <f t="shared" si="19"/>
        <v/>
      </c>
      <c r="B319" s="45"/>
      <c r="C319" s="13" t="str">
        <f t="shared" si="16"/>
        <v/>
      </c>
      <c r="D319" s="13" t="str">
        <f t="shared" si="17"/>
        <v/>
      </c>
      <c r="E319" s="45"/>
      <c r="F319" s="11" t="str">
        <f>IFERROR(VLOOKUP(E319,Category!$D$2:$E$600,2,FALSE),"")</f>
        <v/>
      </c>
      <c r="G319" s="56"/>
      <c r="H319" s="56"/>
      <c r="I319" s="16" t="str">
        <f t="shared" si="18"/>
        <v/>
      </c>
      <c r="J319" s="45"/>
      <c r="K319" s="45"/>
      <c r="L319" s="45"/>
    </row>
    <row r="320" spans="1:12">
      <c r="A320" s="10" t="str">
        <f t="shared" si="19"/>
        <v/>
      </c>
      <c r="B320" s="45"/>
      <c r="C320" s="13" t="str">
        <f t="shared" si="16"/>
        <v/>
      </c>
      <c r="D320" s="13" t="str">
        <f t="shared" si="17"/>
        <v/>
      </c>
      <c r="E320" s="45"/>
      <c r="F320" s="11" t="str">
        <f>IFERROR(VLOOKUP(E320,Category!$D$2:$E$600,2,FALSE),"")</f>
        <v/>
      </c>
      <c r="G320" s="56"/>
      <c r="H320" s="56"/>
      <c r="I320" s="16" t="str">
        <f t="shared" si="18"/>
        <v/>
      </c>
      <c r="J320" s="45"/>
      <c r="K320" s="45"/>
      <c r="L320" s="45"/>
    </row>
    <row r="321" spans="1:12">
      <c r="A321" s="10" t="str">
        <f t="shared" si="19"/>
        <v/>
      </c>
      <c r="B321" s="45"/>
      <c r="C321" s="13" t="str">
        <f t="shared" si="16"/>
        <v/>
      </c>
      <c r="D321" s="13" t="str">
        <f t="shared" si="17"/>
        <v/>
      </c>
      <c r="E321" s="45"/>
      <c r="F321" s="11" t="str">
        <f>IFERROR(VLOOKUP(E321,Category!$D$2:$E$600,2,FALSE),"")</f>
        <v/>
      </c>
      <c r="G321" s="56"/>
      <c r="H321" s="56"/>
      <c r="I321" s="16" t="str">
        <f t="shared" si="18"/>
        <v/>
      </c>
      <c r="J321" s="45"/>
      <c r="K321" s="45"/>
      <c r="L321" s="45"/>
    </row>
    <row r="322" spans="1:12">
      <c r="A322" s="10" t="str">
        <f t="shared" si="19"/>
        <v/>
      </c>
      <c r="B322" s="45"/>
      <c r="C322" s="13" t="str">
        <f t="shared" si="16"/>
        <v/>
      </c>
      <c r="D322" s="13" t="str">
        <f t="shared" si="17"/>
        <v/>
      </c>
      <c r="E322" s="45"/>
      <c r="F322" s="11" t="str">
        <f>IFERROR(VLOOKUP(E322,Category!$D$2:$E$600,2,FALSE),"")</f>
        <v/>
      </c>
      <c r="G322" s="56"/>
      <c r="H322" s="56"/>
      <c r="I322" s="16" t="str">
        <f t="shared" si="18"/>
        <v/>
      </c>
      <c r="J322" s="45"/>
      <c r="K322" s="45"/>
      <c r="L322" s="45"/>
    </row>
    <row r="323" spans="1:12">
      <c r="A323" s="10" t="str">
        <f t="shared" si="19"/>
        <v/>
      </c>
      <c r="B323" s="45"/>
      <c r="C323" s="13" t="str">
        <f t="shared" ref="C323:C386" si="20">IF(B323=0,"",TEXT(B323,"mmmm"))</f>
        <v/>
      </c>
      <c r="D323" s="13" t="str">
        <f t="shared" ref="D323:D386" si="21">IF(B323=0,"",TEXT(B323,"yyyy"))</f>
        <v/>
      </c>
      <c r="E323" s="45"/>
      <c r="F323" s="11" t="str">
        <f>IFERROR(VLOOKUP(E323,Category!$D$2:$E$600,2,FALSE),"")</f>
        <v/>
      </c>
      <c r="G323" s="56"/>
      <c r="H323" s="56"/>
      <c r="I323" s="16" t="str">
        <f t="shared" ref="I323:I386" si="22">IF(H323*G323=0,"",H323*G323)</f>
        <v/>
      </c>
      <c r="J323" s="45"/>
      <c r="K323" s="45"/>
      <c r="L323" s="45"/>
    </row>
    <row r="324" spans="1:12">
      <c r="A324" s="10" t="str">
        <f t="shared" ref="A324:A387" si="23">IF(E324&gt;0,A323+1,"")</f>
        <v/>
      </c>
      <c r="B324" s="45"/>
      <c r="C324" s="13" t="str">
        <f t="shared" si="20"/>
        <v/>
      </c>
      <c r="D324" s="13" t="str">
        <f t="shared" si="21"/>
        <v/>
      </c>
      <c r="E324" s="45"/>
      <c r="F324" s="11" t="str">
        <f>IFERROR(VLOOKUP(E324,Category!$D$2:$E$600,2,FALSE),"")</f>
        <v/>
      </c>
      <c r="G324" s="56"/>
      <c r="H324" s="56"/>
      <c r="I324" s="16" t="str">
        <f t="shared" si="22"/>
        <v/>
      </c>
      <c r="J324" s="45"/>
      <c r="K324" s="45"/>
      <c r="L324" s="45"/>
    </row>
    <row r="325" spans="1:12">
      <c r="A325" s="10" t="str">
        <f t="shared" si="23"/>
        <v/>
      </c>
      <c r="B325" s="45"/>
      <c r="C325" s="13" t="str">
        <f t="shared" si="20"/>
        <v/>
      </c>
      <c r="D325" s="13" t="str">
        <f t="shared" si="21"/>
        <v/>
      </c>
      <c r="E325" s="45"/>
      <c r="F325" s="11" t="str">
        <f>IFERROR(VLOOKUP(E325,Category!$D$2:$E$600,2,FALSE),"")</f>
        <v/>
      </c>
      <c r="G325" s="56"/>
      <c r="H325" s="56"/>
      <c r="I325" s="16" t="str">
        <f t="shared" si="22"/>
        <v/>
      </c>
      <c r="J325" s="45"/>
      <c r="K325" s="45"/>
      <c r="L325" s="45"/>
    </row>
    <row r="326" spans="1:12">
      <c r="A326" s="10" t="str">
        <f t="shared" si="23"/>
        <v/>
      </c>
      <c r="B326" s="45"/>
      <c r="C326" s="13" t="str">
        <f t="shared" si="20"/>
        <v/>
      </c>
      <c r="D326" s="13" t="str">
        <f t="shared" si="21"/>
        <v/>
      </c>
      <c r="E326" s="45"/>
      <c r="F326" s="11" t="str">
        <f>IFERROR(VLOOKUP(E326,Category!$D$2:$E$600,2,FALSE),"")</f>
        <v/>
      </c>
      <c r="G326" s="56"/>
      <c r="H326" s="56"/>
      <c r="I326" s="16" t="str">
        <f t="shared" si="22"/>
        <v/>
      </c>
      <c r="J326" s="45"/>
      <c r="K326" s="45"/>
      <c r="L326" s="45"/>
    </row>
    <row r="327" spans="1:12">
      <c r="A327" s="10" t="str">
        <f t="shared" si="23"/>
        <v/>
      </c>
      <c r="B327" s="45"/>
      <c r="C327" s="13" t="str">
        <f t="shared" si="20"/>
        <v/>
      </c>
      <c r="D327" s="13" t="str">
        <f t="shared" si="21"/>
        <v/>
      </c>
      <c r="E327" s="45"/>
      <c r="F327" s="11" t="str">
        <f>IFERROR(VLOOKUP(E327,Category!$D$2:$E$600,2,FALSE),"")</f>
        <v/>
      </c>
      <c r="G327" s="56"/>
      <c r="H327" s="56"/>
      <c r="I327" s="16" t="str">
        <f t="shared" si="22"/>
        <v/>
      </c>
      <c r="J327" s="45"/>
      <c r="K327" s="45"/>
      <c r="L327" s="45"/>
    </row>
    <row r="328" spans="1:12">
      <c r="A328" s="10" t="str">
        <f t="shared" si="23"/>
        <v/>
      </c>
      <c r="B328" s="45"/>
      <c r="C328" s="13" t="str">
        <f t="shared" si="20"/>
        <v/>
      </c>
      <c r="D328" s="13" t="str">
        <f t="shared" si="21"/>
        <v/>
      </c>
      <c r="E328" s="45"/>
      <c r="F328" s="11" t="str">
        <f>IFERROR(VLOOKUP(E328,Category!$D$2:$E$600,2,FALSE),"")</f>
        <v/>
      </c>
      <c r="G328" s="56"/>
      <c r="H328" s="56"/>
      <c r="I328" s="16" t="str">
        <f t="shared" si="22"/>
        <v/>
      </c>
      <c r="J328" s="45"/>
      <c r="K328" s="45"/>
      <c r="L328" s="45"/>
    </row>
    <row r="329" spans="1:12">
      <c r="A329" s="10" t="str">
        <f t="shared" si="23"/>
        <v/>
      </c>
      <c r="B329" s="45"/>
      <c r="C329" s="13" t="str">
        <f t="shared" si="20"/>
        <v/>
      </c>
      <c r="D329" s="13" t="str">
        <f t="shared" si="21"/>
        <v/>
      </c>
      <c r="E329" s="45"/>
      <c r="F329" s="11" t="str">
        <f>IFERROR(VLOOKUP(E329,Category!$D$2:$E$600,2,FALSE),"")</f>
        <v/>
      </c>
      <c r="G329" s="56"/>
      <c r="H329" s="56"/>
      <c r="I329" s="16" t="str">
        <f t="shared" si="22"/>
        <v/>
      </c>
      <c r="J329" s="45"/>
      <c r="K329" s="45"/>
      <c r="L329" s="45"/>
    </row>
    <row r="330" spans="1:12">
      <c r="A330" s="10" t="str">
        <f t="shared" si="23"/>
        <v/>
      </c>
      <c r="B330" s="45"/>
      <c r="C330" s="13" t="str">
        <f t="shared" si="20"/>
        <v/>
      </c>
      <c r="D330" s="13" t="str">
        <f t="shared" si="21"/>
        <v/>
      </c>
      <c r="E330" s="45"/>
      <c r="F330" s="11" t="str">
        <f>IFERROR(VLOOKUP(E330,Category!$D$2:$E$600,2,FALSE),"")</f>
        <v/>
      </c>
      <c r="G330" s="56"/>
      <c r="H330" s="56"/>
      <c r="I330" s="16" t="str">
        <f t="shared" si="22"/>
        <v/>
      </c>
      <c r="J330" s="45"/>
      <c r="K330" s="45"/>
      <c r="L330" s="45"/>
    </row>
    <row r="331" spans="1:12">
      <c r="A331" s="10" t="str">
        <f t="shared" si="23"/>
        <v/>
      </c>
      <c r="B331" s="45"/>
      <c r="C331" s="13" t="str">
        <f t="shared" si="20"/>
        <v/>
      </c>
      <c r="D331" s="13" t="str">
        <f t="shared" si="21"/>
        <v/>
      </c>
      <c r="E331" s="45"/>
      <c r="F331" s="11" t="str">
        <f>IFERROR(VLOOKUP(E331,Category!$D$2:$E$600,2,FALSE),"")</f>
        <v/>
      </c>
      <c r="G331" s="56"/>
      <c r="H331" s="56"/>
      <c r="I331" s="16" t="str">
        <f t="shared" si="22"/>
        <v/>
      </c>
      <c r="J331" s="45"/>
      <c r="K331" s="45"/>
      <c r="L331" s="45"/>
    </row>
    <row r="332" spans="1:12">
      <c r="A332" s="10" t="str">
        <f t="shared" si="23"/>
        <v/>
      </c>
      <c r="B332" s="45"/>
      <c r="C332" s="13" t="str">
        <f t="shared" si="20"/>
        <v/>
      </c>
      <c r="D332" s="13" t="str">
        <f t="shared" si="21"/>
        <v/>
      </c>
      <c r="E332" s="45"/>
      <c r="F332" s="11" t="str">
        <f>IFERROR(VLOOKUP(E332,Category!$D$2:$E$600,2,FALSE),"")</f>
        <v/>
      </c>
      <c r="G332" s="56"/>
      <c r="H332" s="56"/>
      <c r="I332" s="16" t="str">
        <f t="shared" si="22"/>
        <v/>
      </c>
      <c r="J332" s="45"/>
      <c r="K332" s="45"/>
      <c r="L332" s="45"/>
    </row>
    <row r="333" spans="1:12">
      <c r="A333" s="10" t="str">
        <f t="shared" si="23"/>
        <v/>
      </c>
      <c r="B333" s="45"/>
      <c r="C333" s="13" t="str">
        <f t="shared" si="20"/>
        <v/>
      </c>
      <c r="D333" s="13" t="str">
        <f t="shared" si="21"/>
        <v/>
      </c>
      <c r="E333" s="45"/>
      <c r="F333" s="11" t="str">
        <f>IFERROR(VLOOKUP(E333,Category!$D$2:$E$600,2,FALSE),"")</f>
        <v/>
      </c>
      <c r="G333" s="56"/>
      <c r="H333" s="56"/>
      <c r="I333" s="16" t="str">
        <f t="shared" si="22"/>
        <v/>
      </c>
      <c r="J333" s="45"/>
      <c r="K333" s="45"/>
      <c r="L333" s="45"/>
    </row>
    <row r="334" spans="1:12">
      <c r="A334" s="10" t="str">
        <f t="shared" si="23"/>
        <v/>
      </c>
      <c r="B334" s="45"/>
      <c r="C334" s="13" t="str">
        <f t="shared" si="20"/>
        <v/>
      </c>
      <c r="D334" s="13" t="str">
        <f t="shared" si="21"/>
        <v/>
      </c>
      <c r="E334" s="45"/>
      <c r="F334" s="11" t="str">
        <f>IFERROR(VLOOKUP(E334,Category!$D$2:$E$600,2,FALSE),"")</f>
        <v/>
      </c>
      <c r="G334" s="56"/>
      <c r="H334" s="56"/>
      <c r="I334" s="16" t="str">
        <f t="shared" si="22"/>
        <v/>
      </c>
      <c r="J334" s="45"/>
      <c r="K334" s="45"/>
      <c r="L334" s="45"/>
    </row>
    <row r="335" spans="1:12">
      <c r="A335" s="10" t="str">
        <f t="shared" si="23"/>
        <v/>
      </c>
      <c r="B335" s="45"/>
      <c r="C335" s="13" t="str">
        <f t="shared" si="20"/>
        <v/>
      </c>
      <c r="D335" s="13" t="str">
        <f t="shared" si="21"/>
        <v/>
      </c>
      <c r="E335" s="45"/>
      <c r="F335" s="11" t="str">
        <f>IFERROR(VLOOKUP(E335,Category!$D$2:$E$600,2,FALSE),"")</f>
        <v/>
      </c>
      <c r="G335" s="56"/>
      <c r="H335" s="56"/>
      <c r="I335" s="16" t="str">
        <f t="shared" si="22"/>
        <v/>
      </c>
      <c r="J335" s="45"/>
      <c r="K335" s="45"/>
      <c r="L335" s="45"/>
    </row>
    <row r="336" spans="1:12">
      <c r="A336" s="10" t="str">
        <f t="shared" si="23"/>
        <v/>
      </c>
      <c r="B336" s="45"/>
      <c r="C336" s="13" t="str">
        <f t="shared" si="20"/>
        <v/>
      </c>
      <c r="D336" s="13" t="str">
        <f t="shared" si="21"/>
        <v/>
      </c>
      <c r="E336" s="45"/>
      <c r="F336" s="11" t="str">
        <f>IFERROR(VLOOKUP(E336,Category!$D$2:$E$600,2,FALSE),"")</f>
        <v/>
      </c>
      <c r="G336" s="56"/>
      <c r="H336" s="56"/>
      <c r="I336" s="16" t="str">
        <f t="shared" si="22"/>
        <v/>
      </c>
      <c r="J336" s="45"/>
      <c r="K336" s="45"/>
      <c r="L336" s="45"/>
    </row>
    <row r="337" spans="1:12">
      <c r="A337" s="10" t="str">
        <f t="shared" si="23"/>
        <v/>
      </c>
      <c r="B337" s="45"/>
      <c r="C337" s="13" t="str">
        <f t="shared" si="20"/>
        <v/>
      </c>
      <c r="D337" s="13" t="str">
        <f t="shared" si="21"/>
        <v/>
      </c>
      <c r="E337" s="45"/>
      <c r="F337" s="11" t="str">
        <f>IFERROR(VLOOKUP(E337,Category!$D$2:$E$600,2,FALSE),"")</f>
        <v/>
      </c>
      <c r="G337" s="56"/>
      <c r="H337" s="56"/>
      <c r="I337" s="16" t="str">
        <f t="shared" si="22"/>
        <v/>
      </c>
      <c r="J337" s="45"/>
      <c r="K337" s="45"/>
      <c r="L337" s="45"/>
    </row>
    <row r="338" spans="1:12">
      <c r="A338" s="10" t="str">
        <f t="shared" si="23"/>
        <v/>
      </c>
      <c r="B338" s="45"/>
      <c r="C338" s="13" t="str">
        <f t="shared" si="20"/>
        <v/>
      </c>
      <c r="D338" s="13" t="str">
        <f t="shared" si="21"/>
        <v/>
      </c>
      <c r="E338" s="45"/>
      <c r="F338" s="11" t="str">
        <f>IFERROR(VLOOKUP(E338,Category!$D$2:$E$600,2,FALSE),"")</f>
        <v/>
      </c>
      <c r="G338" s="56"/>
      <c r="H338" s="56"/>
      <c r="I338" s="16" t="str">
        <f t="shared" si="22"/>
        <v/>
      </c>
      <c r="J338" s="45"/>
      <c r="K338" s="45"/>
      <c r="L338" s="45"/>
    </row>
    <row r="339" spans="1:12">
      <c r="A339" s="10" t="str">
        <f t="shared" si="23"/>
        <v/>
      </c>
      <c r="B339" s="45"/>
      <c r="C339" s="13" t="str">
        <f t="shared" si="20"/>
        <v/>
      </c>
      <c r="D339" s="13" t="str">
        <f t="shared" si="21"/>
        <v/>
      </c>
      <c r="E339" s="45"/>
      <c r="F339" s="11" t="str">
        <f>IFERROR(VLOOKUP(E339,Category!$D$2:$E$600,2,FALSE),"")</f>
        <v/>
      </c>
      <c r="G339" s="56"/>
      <c r="H339" s="56"/>
      <c r="I339" s="16" t="str">
        <f t="shared" si="22"/>
        <v/>
      </c>
      <c r="J339" s="45"/>
      <c r="K339" s="45"/>
      <c r="L339" s="45"/>
    </row>
    <row r="340" spans="1:12">
      <c r="A340" s="10" t="str">
        <f t="shared" si="23"/>
        <v/>
      </c>
      <c r="B340" s="45"/>
      <c r="C340" s="13" t="str">
        <f t="shared" si="20"/>
        <v/>
      </c>
      <c r="D340" s="13" t="str">
        <f t="shared" si="21"/>
        <v/>
      </c>
      <c r="E340" s="45"/>
      <c r="F340" s="11" t="str">
        <f>IFERROR(VLOOKUP(E340,Category!$D$2:$E$600,2,FALSE),"")</f>
        <v/>
      </c>
      <c r="G340" s="56"/>
      <c r="H340" s="56"/>
      <c r="I340" s="16" t="str">
        <f t="shared" si="22"/>
        <v/>
      </c>
      <c r="J340" s="45"/>
      <c r="K340" s="45"/>
      <c r="L340" s="45"/>
    </row>
    <row r="341" spans="1:12">
      <c r="A341" s="10" t="str">
        <f t="shared" si="23"/>
        <v/>
      </c>
      <c r="B341" s="45"/>
      <c r="C341" s="13" t="str">
        <f t="shared" si="20"/>
        <v/>
      </c>
      <c r="D341" s="13" t="str">
        <f t="shared" si="21"/>
        <v/>
      </c>
      <c r="E341" s="45"/>
      <c r="F341" s="11" t="str">
        <f>IFERROR(VLOOKUP(E341,Category!$D$2:$E$600,2,FALSE),"")</f>
        <v/>
      </c>
      <c r="G341" s="56"/>
      <c r="H341" s="56"/>
      <c r="I341" s="16" t="str">
        <f t="shared" si="22"/>
        <v/>
      </c>
      <c r="J341" s="45"/>
      <c r="K341" s="45"/>
      <c r="L341" s="45"/>
    </row>
    <row r="342" spans="1:12">
      <c r="A342" s="10" t="str">
        <f t="shared" si="23"/>
        <v/>
      </c>
      <c r="B342" s="45"/>
      <c r="C342" s="13" t="str">
        <f t="shared" si="20"/>
        <v/>
      </c>
      <c r="D342" s="13" t="str">
        <f t="shared" si="21"/>
        <v/>
      </c>
      <c r="E342" s="45"/>
      <c r="F342" s="11" t="str">
        <f>IFERROR(VLOOKUP(E342,Category!$D$2:$E$600,2,FALSE),"")</f>
        <v/>
      </c>
      <c r="G342" s="56"/>
      <c r="H342" s="56"/>
      <c r="I342" s="16" t="str">
        <f t="shared" si="22"/>
        <v/>
      </c>
      <c r="J342" s="45"/>
      <c r="K342" s="45"/>
      <c r="L342" s="45"/>
    </row>
    <row r="343" spans="1:12">
      <c r="A343" s="10" t="str">
        <f t="shared" si="23"/>
        <v/>
      </c>
      <c r="B343" s="45"/>
      <c r="C343" s="13" t="str">
        <f t="shared" si="20"/>
        <v/>
      </c>
      <c r="D343" s="13" t="str">
        <f t="shared" si="21"/>
        <v/>
      </c>
      <c r="E343" s="45"/>
      <c r="F343" s="11" t="str">
        <f>IFERROR(VLOOKUP(E343,Category!$D$2:$E$600,2,FALSE),"")</f>
        <v/>
      </c>
      <c r="G343" s="56"/>
      <c r="H343" s="56"/>
      <c r="I343" s="16" t="str">
        <f t="shared" si="22"/>
        <v/>
      </c>
      <c r="J343" s="45"/>
      <c r="K343" s="45"/>
      <c r="L343" s="45"/>
    </row>
    <row r="344" spans="1:12">
      <c r="A344" s="10" t="str">
        <f t="shared" si="23"/>
        <v/>
      </c>
      <c r="B344" s="45"/>
      <c r="C344" s="13" t="str">
        <f t="shared" si="20"/>
        <v/>
      </c>
      <c r="D344" s="13" t="str">
        <f t="shared" si="21"/>
        <v/>
      </c>
      <c r="E344" s="45"/>
      <c r="F344" s="11" t="str">
        <f>IFERROR(VLOOKUP(E344,Category!$D$2:$E$600,2,FALSE),"")</f>
        <v/>
      </c>
      <c r="G344" s="56"/>
      <c r="H344" s="56"/>
      <c r="I344" s="16" t="str">
        <f t="shared" si="22"/>
        <v/>
      </c>
      <c r="J344" s="45"/>
      <c r="K344" s="45"/>
      <c r="L344" s="45"/>
    </row>
    <row r="345" spans="1:12">
      <c r="A345" s="10" t="str">
        <f t="shared" si="23"/>
        <v/>
      </c>
      <c r="B345" s="45"/>
      <c r="C345" s="13" t="str">
        <f t="shared" si="20"/>
        <v/>
      </c>
      <c r="D345" s="13" t="str">
        <f t="shared" si="21"/>
        <v/>
      </c>
      <c r="E345" s="45"/>
      <c r="F345" s="11" t="str">
        <f>IFERROR(VLOOKUP(E345,Category!$D$2:$E$600,2,FALSE),"")</f>
        <v/>
      </c>
      <c r="G345" s="56"/>
      <c r="H345" s="56"/>
      <c r="I345" s="16" t="str">
        <f t="shared" si="22"/>
        <v/>
      </c>
      <c r="J345" s="45"/>
      <c r="K345" s="45"/>
      <c r="L345" s="45"/>
    </row>
    <row r="346" spans="1:12">
      <c r="A346" s="10" t="str">
        <f t="shared" si="23"/>
        <v/>
      </c>
      <c r="B346" s="45"/>
      <c r="C346" s="13" t="str">
        <f t="shared" si="20"/>
        <v/>
      </c>
      <c r="D346" s="13" t="str">
        <f t="shared" si="21"/>
        <v/>
      </c>
      <c r="E346" s="45"/>
      <c r="F346" s="11" t="str">
        <f>IFERROR(VLOOKUP(E346,Category!$D$2:$E$600,2,FALSE),"")</f>
        <v/>
      </c>
      <c r="G346" s="56"/>
      <c r="H346" s="56"/>
      <c r="I346" s="16" t="str">
        <f t="shared" si="22"/>
        <v/>
      </c>
      <c r="J346" s="45"/>
      <c r="K346" s="45"/>
      <c r="L346" s="45"/>
    </row>
    <row r="347" spans="1:12">
      <c r="A347" s="10" t="str">
        <f t="shared" si="23"/>
        <v/>
      </c>
      <c r="B347" s="45"/>
      <c r="C347" s="13" t="str">
        <f t="shared" si="20"/>
        <v/>
      </c>
      <c r="D347" s="13" t="str">
        <f t="shared" si="21"/>
        <v/>
      </c>
      <c r="E347" s="45"/>
      <c r="F347" s="11" t="str">
        <f>IFERROR(VLOOKUP(E347,Category!$D$2:$E$600,2,FALSE),"")</f>
        <v/>
      </c>
      <c r="G347" s="56"/>
      <c r="H347" s="56"/>
      <c r="I347" s="16" t="str">
        <f t="shared" si="22"/>
        <v/>
      </c>
      <c r="J347" s="45"/>
      <c r="K347" s="45"/>
      <c r="L347" s="45"/>
    </row>
    <row r="348" spans="1:12">
      <c r="A348" s="10" t="str">
        <f t="shared" si="23"/>
        <v/>
      </c>
      <c r="B348" s="45"/>
      <c r="C348" s="13" t="str">
        <f t="shared" si="20"/>
        <v/>
      </c>
      <c r="D348" s="13" t="str">
        <f t="shared" si="21"/>
        <v/>
      </c>
      <c r="E348" s="45"/>
      <c r="F348" s="11" t="str">
        <f>IFERROR(VLOOKUP(E348,Category!$D$2:$E$600,2,FALSE),"")</f>
        <v/>
      </c>
      <c r="G348" s="56"/>
      <c r="H348" s="56"/>
      <c r="I348" s="16" t="str">
        <f t="shared" si="22"/>
        <v/>
      </c>
      <c r="J348" s="45"/>
      <c r="K348" s="45"/>
      <c r="L348" s="45"/>
    </row>
    <row r="349" spans="1:12">
      <c r="A349" s="10" t="str">
        <f t="shared" si="23"/>
        <v/>
      </c>
      <c r="B349" s="45"/>
      <c r="C349" s="13" t="str">
        <f t="shared" si="20"/>
        <v/>
      </c>
      <c r="D349" s="13" t="str">
        <f t="shared" si="21"/>
        <v/>
      </c>
      <c r="E349" s="45"/>
      <c r="F349" s="11" t="str">
        <f>IFERROR(VLOOKUP(E349,Category!$D$2:$E$600,2,FALSE),"")</f>
        <v/>
      </c>
      <c r="G349" s="56"/>
      <c r="H349" s="56"/>
      <c r="I349" s="16" t="str">
        <f t="shared" si="22"/>
        <v/>
      </c>
      <c r="J349" s="45"/>
      <c r="K349" s="45"/>
      <c r="L349" s="45"/>
    </row>
    <row r="350" spans="1:12">
      <c r="A350" s="10" t="str">
        <f t="shared" si="23"/>
        <v/>
      </c>
      <c r="B350" s="45"/>
      <c r="C350" s="13" t="str">
        <f t="shared" si="20"/>
        <v/>
      </c>
      <c r="D350" s="13" t="str">
        <f t="shared" si="21"/>
        <v/>
      </c>
      <c r="E350" s="45"/>
      <c r="F350" s="11" t="str">
        <f>IFERROR(VLOOKUP(E350,Category!$D$2:$E$600,2,FALSE),"")</f>
        <v/>
      </c>
      <c r="G350" s="56"/>
      <c r="H350" s="56"/>
      <c r="I350" s="16" t="str">
        <f t="shared" si="22"/>
        <v/>
      </c>
      <c r="J350" s="45"/>
      <c r="K350" s="45"/>
      <c r="L350" s="45"/>
    </row>
    <row r="351" spans="1:12">
      <c r="A351" s="10" t="str">
        <f t="shared" si="23"/>
        <v/>
      </c>
      <c r="B351" s="45"/>
      <c r="C351" s="13" t="str">
        <f t="shared" si="20"/>
        <v/>
      </c>
      <c r="D351" s="13" t="str">
        <f t="shared" si="21"/>
        <v/>
      </c>
      <c r="E351" s="45"/>
      <c r="F351" s="11" t="str">
        <f>IFERROR(VLOOKUP(E351,Category!$D$2:$E$600,2,FALSE),"")</f>
        <v/>
      </c>
      <c r="G351" s="56"/>
      <c r="H351" s="56"/>
      <c r="I351" s="16" t="str">
        <f t="shared" si="22"/>
        <v/>
      </c>
      <c r="J351" s="45"/>
      <c r="K351" s="45"/>
      <c r="L351" s="45"/>
    </row>
    <row r="352" spans="1:12">
      <c r="A352" s="10" t="str">
        <f t="shared" si="23"/>
        <v/>
      </c>
      <c r="B352" s="45"/>
      <c r="C352" s="13" t="str">
        <f t="shared" si="20"/>
        <v/>
      </c>
      <c r="D352" s="13" t="str">
        <f t="shared" si="21"/>
        <v/>
      </c>
      <c r="E352" s="45"/>
      <c r="F352" s="11" t="str">
        <f>IFERROR(VLOOKUP(E352,Category!$D$2:$E$600,2,FALSE),"")</f>
        <v/>
      </c>
      <c r="G352" s="56"/>
      <c r="H352" s="56"/>
      <c r="I352" s="16" t="str">
        <f t="shared" si="22"/>
        <v/>
      </c>
      <c r="J352" s="45"/>
      <c r="K352" s="45"/>
      <c r="L352" s="45"/>
    </row>
    <row r="353" spans="1:12">
      <c r="A353" s="10" t="str">
        <f t="shared" si="23"/>
        <v/>
      </c>
      <c r="B353" s="45"/>
      <c r="C353" s="13" t="str">
        <f t="shared" si="20"/>
        <v/>
      </c>
      <c r="D353" s="13" t="str">
        <f t="shared" si="21"/>
        <v/>
      </c>
      <c r="E353" s="45"/>
      <c r="F353" s="11" t="str">
        <f>IFERROR(VLOOKUP(E353,Category!$D$2:$E$600,2,FALSE),"")</f>
        <v/>
      </c>
      <c r="G353" s="56"/>
      <c r="H353" s="56"/>
      <c r="I353" s="16" t="str">
        <f t="shared" si="22"/>
        <v/>
      </c>
      <c r="J353" s="45"/>
      <c r="K353" s="45"/>
      <c r="L353" s="45"/>
    </row>
    <row r="354" spans="1:12">
      <c r="A354" s="10" t="str">
        <f t="shared" si="23"/>
        <v/>
      </c>
      <c r="B354" s="45"/>
      <c r="C354" s="13" t="str">
        <f t="shared" si="20"/>
        <v/>
      </c>
      <c r="D354" s="13" t="str">
        <f t="shared" si="21"/>
        <v/>
      </c>
      <c r="E354" s="45"/>
      <c r="F354" s="11" t="str">
        <f>IFERROR(VLOOKUP(E354,Category!$D$2:$E$600,2,FALSE),"")</f>
        <v/>
      </c>
      <c r="G354" s="56"/>
      <c r="H354" s="56"/>
      <c r="I354" s="16" t="str">
        <f t="shared" si="22"/>
        <v/>
      </c>
      <c r="J354" s="45"/>
      <c r="K354" s="45"/>
      <c r="L354" s="45"/>
    </row>
    <row r="355" spans="1:12">
      <c r="A355" s="10" t="str">
        <f t="shared" si="23"/>
        <v/>
      </c>
      <c r="B355" s="45"/>
      <c r="C355" s="13" t="str">
        <f t="shared" si="20"/>
        <v/>
      </c>
      <c r="D355" s="13" t="str">
        <f t="shared" si="21"/>
        <v/>
      </c>
      <c r="E355" s="45"/>
      <c r="F355" s="11" t="str">
        <f>IFERROR(VLOOKUP(E355,Category!$D$2:$E$600,2,FALSE),"")</f>
        <v/>
      </c>
      <c r="G355" s="56"/>
      <c r="H355" s="56"/>
      <c r="I355" s="16" t="str">
        <f t="shared" si="22"/>
        <v/>
      </c>
      <c r="J355" s="45"/>
      <c r="K355" s="45"/>
      <c r="L355" s="45"/>
    </row>
    <row r="356" spans="1:12">
      <c r="A356" s="10" t="str">
        <f t="shared" si="23"/>
        <v/>
      </c>
      <c r="B356" s="45"/>
      <c r="C356" s="13" t="str">
        <f t="shared" si="20"/>
        <v/>
      </c>
      <c r="D356" s="13" t="str">
        <f t="shared" si="21"/>
        <v/>
      </c>
      <c r="E356" s="45"/>
      <c r="F356" s="11" t="str">
        <f>IFERROR(VLOOKUP(E356,Category!$D$2:$E$600,2,FALSE),"")</f>
        <v/>
      </c>
      <c r="G356" s="56"/>
      <c r="H356" s="56"/>
      <c r="I356" s="16" t="str">
        <f t="shared" si="22"/>
        <v/>
      </c>
      <c r="J356" s="45"/>
      <c r="K356" s="45"/>
      <c r="L356" s="45"/>
    </row>
    <row r="357" spans="1:12">
      <c r="A357" s="10" t="str">
        <f t="shared" si="23"/>
        <v/>
      </c>
      <c r="B357" s="45"/>
      <c r="C357" s="13" t="str">
        <f t="shared" si="20"/>
        <v/>
      </c>
      <c r="D357" s="13" t="str">
        <f t="shared" si="21"/>
        <v/>
      </c>
      <c r="E357" s="45"/>
      <c r="F357" s="11" t="str">
        <f>IFERROR(VLOOKUP(E357,Category!$D$2:$E$600,2,FALSE),"")</f>
        <v/>
      </c>
      <c r="G357" s="56"/>
      <c r="H357" s="56"/>
      <c r="I357" s="16" t="str">
        <f t="shared" si="22"/>
        <v/>
      </c>
      <c r="J357" s="45"/>
      <c r="K357" s="45"/>
      <c r="L357" s="45"/>
    </row>
    <row r="358" spans="1:12">
      <c r="A358" s="10" t="str">
        <f t="shared" si="23"/>
        <v/>
      </c>
      <c r="B358" s="45"/>
      <c r="C358" s="13" t="str">
        <f t="shared" si="20"/>
        <v/>
      </c>
      <c r="D358" s="13" t="str">
        <f t="shared" si="21"/>
        <v/>
      </c>
      <c r="E358" s="45"/>
      <c r="F358" s="11" t="str">
        <f>IFERROR(VLOOKUP(E358,Category!$D$2:$E$600,2,FALSE),"")</f>
        <v/>
      </c>
      <c r="G358" s="56"/>
      <c r="H358" s="56"/>
      <c r="I358" s="16" t="str">
        <f t="shared" si="22"/>
        <v/>
      </c>
      <c r="J358" s="45"/>
      <c r="K358" s="45"/>
      <c r="L358" s="45"/>
    </row>
    <row r="359" spans="1:12">
      <c r="A359" s="10" t="str">
        <f t="shared" si="23"/>
        <v/>
      </c>
      <c r="B359" s="45"/>
      <c r="C359" s="13" t="str">
        <f t="shared" si="20"/>
        <v/>
      </c>
      <c r="D359" s="13" t="str">
        <f t="shared" si="21"/>
        <v/>
      </c>
      <c r="E359" s="45"/>
      <c r="F359" s="11" t="str">
        <f>IFERROR(VLOOKUP(E359,Category!$D$2:$E$600,2,FALSE),"")</f>
        <v/>
      </c>
      <c r="G359" s="56"/>
      <c r="H359" s="56"/>
      <c r="I359" s="16" t="str">
        <f t="shared" si="22"/>
        <v/>
      </c>
      <c r="J359" s="45"/>
      <c r="K359" s="45"/>
      <c r="L359" s="45"/>
    </row>
    <row r="360" spans="1:12">
      <c r="A360" s="10" t="str">
        <f t="shared" si="23"/>
        <v/>
      </c>
      <c r="B360" s="45"/>
      <c r="C360" s="13" t="str">
        <f t="shared" si="20"/>
        <v/>
      </c>
      <c r="D360" s="13" t="str">
        <f t="shared" si="21"/>
        <v/>
      </c>
      <c r="E360" s="45"/>
      <c r="F360" s="11" t="str">
        <f>IFERROR(VLOOKUP(E360,Category!$D$2:$E$600,2,FALSE),"")</f>
        <v/>
      </c>
      <c r="G360" s="56"/>
      <c r="H360" s="56"/>
      <c r="I360" s="16" t="str">
        <f t="shared" si="22"/>
        <v/>
      </c>
      <c r="J360" s="45"/>
      <c r="K360" s="45"/>
      <c r="L360" s="45"/>
    </row>
    <row r="361" spans="1:12">
      <c r="A361" s="10" t="str">
        <f t="shared" si="23"/>
        <v/>
      </c>
      <c r="B361" s="45"/>
      <c r="C361" s="13" t="str">
        <f t="shared" si="20"/>
        <v/>
      </c>
      <c r="D361" s="13" t="str">
        <f t="shared" si="21"/>
        <v/>
      </c>
      <c r="E361" s="45"/>
      <c r="F361" s="11" t="str">
        <f>IFERROR(VLOOKUP(E361,Category!$D$2:$E$600,2,FALSE),"")</f>
        <v/>
      </c>
      <c r="G361" s="56"/>
      <c r="H361" s="56"/>
      <c r="I361" s="16" t="str">
        <f t="shared" si="22"/>
        <v/>
      </c>
      <c r="J361" s="45"/>
      <c r="K361" s="45"/>
      <c r="L361" s="45"/>
    </row>
    <row r="362" spans="1:12">
      <c r="A362" s="10" t="str">
        <f t="shared" si="23"/>
        <v/>
      </c>
      <c r="B362" s="45"/>
      <c r="C362" s="13" t="str">
        <f t="shared" si="20"/>
        <v/>
      </c>
      <c r="D362" s="13" t="str">
        <f t="shared" si="21"/>
        <v/>
      </c>
      <c r="E362" s="45"/>
      <c r="F362" s="11" t="str">
        <f>IFERROR(VLOOKUP(E362,Category!$D$2:$E$600,2,FALSE),"")</f>
        <v/>
      </c>
      <c r="G362" s="56"/>
      <c r="H362" s="56"/>
      <c r="I362" s="16" t="str">
        <f t="shared" si="22"/>
        <v/>
      </c>
      <c r="J362" s="45"/>
      <c r="K362" s="45"/>
      <c r="L362" s="45"/>
    </row>
    <row r="363" spans="1:12">
      <c r="A363" s="10" t="str">
        <f t="shared" si="23"/>
        <v/>
      </c>
      <c r="B363" s="45"/>
      <c r="C363" s="13" t="str">
        <f t="shared" si="20"/>
        <v/>
      </c>
      <c r="D363" s="13" t="str">
        <f t="shared" si="21"/>
        <v/>
      </c>
      <c r="E363" s="45"/>
      <c r="F363" s="11" t="str">
        <f>IFERROR(VLOOKUP(E363,Category!$D$2:$E$600,2,FALSE),"")</f>
        <v/>
      </c>
      <c r="G363" s="56"/>
      <c r="H363" s="56"/>
      <c r="I363" s="16" t="str">
        <f t="shared" si="22"/>
        <v/>
      </c>
      <c r="J363" s="45"/>
      <c r="K363" s="45"/>
      <c r="L363" s="45"/>
    </row>
    <row r="364" spans="1:12">
      <c r="A364" s="10" t="str">
        <f t="shared" si="23"/>
        <v/>
      </c>
      <c r="B364" s="45"/>
      <c r="C364" s="13" t="str">
        <f t="shared" si="20"/>
        <v/>
      </c>
      <c r="D364" s="13" t="str">
        <f t="shared" si="21"/>
        <v/>
      </c>
      <c r="E364" s="45"/>
      <c r="F364" s="11" t="str">
        <f>IFERROR(VLOOKUP(E364,Category!$D$2:$E$600,2,FALSE),"")</f>
        <v/>
      </c>
      <c r="G364" s="56"/>
      <c r="H364" s="56"/>
      <c r="I364" s="16" t="str">
        <f t="shared" si="22"/>
        <v/>
      </c>
      <c r="J364" s="45"/>
      <c r="K364" s="45"/>
      <c r="L364" s="45"/>
    </row>
    <row r="365" spans="1:12">
      <c r="A365" s="10" t="str">
        <f t="shared" si="23"/>
        <v/>
      </c>
      <c r="B365" s="45"/>
      <c r="C365" s="13" t="str">
        <f t="shared" si="20"/>
        <v/>
      </c>
      <c r="D365" s="13" t="str">
        <f t="shared" si="21"/>
        <v/>
      </c>
      <c r="E365" s="45"/>
      <c r="F365" s="11" t="str">
        <f>IFERROR(VLOOKUP(E365,Category!$D$2:$E$600,2,FALSE),"")</f>
        <v/>
      </c>
      <c r="G365" s="56"/>
      <c r="H365" s="56"/>
      <c r="I365" s="16" t="str">
        <f t="shared" si="22"/>
        <v/>
      </c>
      <c r="J365" s="45"/>
      <c r="K365" s="45"/>
      <c r="L365" s="45"/>
    </row>
    <row r="366" spans="1:12">
      <c r="A366" s="10" t="str">
        <f t="shared" si="23"/>
        <v/>
      </c>
      <c r="B366" s="45"/>
      <c r="C366" s="13" t="str">
        <f t="shared" si="20"/>
        <v/>
      </c>
      <c r="D366" s="13" t="str">
        <f t="shared" si="21"/>
        <v/>
      </c>
      <c r="E366" s="45"/>
      <c r="F366" s="11" t="str">
        <f>IFERROR(VLOOKUP(E366,Category!$D$2:$E$600,2,FALSE),"")</f>
        <v/>
      </c>
      <c r="G366" s="56"/>
      <c r="H366" s="56"/>
      <c r="I366" s="16" t="str">
        <f t="shared" si="22"/>
        <v/>
      </c>
      <c r="J366" s="45"/>
      <c r="K366" s="45"/>
      <c r="L366" s="45"/>
    </row>
    <row r="367" spans="1:12">
      <c r="A367" s="10" t="str">
        <f t="shared" si="23"/>
        <v/>
      </c>
      <c r="B367" s="45"/>
      <c r="C367" s="13" t="str">
        <f t="shared" si="20"/>
        <v/>
      </c>
      <c r="D367" s="13" t="str">
        <f t="shared" si="21"/>
        <v/>
      </c>
      <c r="E367" s="45"/>
      <c r="F367" s="11" t="str">
        <f>IFERROR(VLOOKUP(E367,Category!$D$2:$E$600,2,FALSE),"")</f>
        <v/>
      </c>
      <c r="G367" s="56"/>
      <c r="H367" s="56"/>
      <c r="I367" s="16" t="str">
        <f t="shared" si="22"/>
        <v/>
      </c>
      <c r="J367" s="45"/>
      <c r="K367" s="45"/>
      <c r="L367" s="45"/>
    </row>
    <row r="368" spans="1:12">
      <c r="A368" s="10" t="str">
        <f t="shared" si="23"/>
        <v/>
      </c>
      <c r="B368" s="45"/>
      <c r="C368" s="13" t="str">
        <f t="shared" si="20"/>
        <v/>
      </c>
      <c r="D368" s="13" t="str">
        <f t="shared" si="21"/>
        <v/>
      </c>
      <c r="E368" s="45"/>
      <c r="F368" s="11" t="str">
        <f>IFERROR(VLOOKUP(E368,Category!$D$2:$E$600,2,FALSE),"")</f>
        <v/>
      </c>
      <c r="G368" s="56"/>
      <c r="H368" s="56"/>
      <c r="I368" s="16" t="str">
        <f t="shared" si="22"/>
        <v/>
      </c>
      <c r="J368" s="45"/>
      <c r="K368" s="45"/>
      <c r="L368" s="45"/>
    </row>
    <row r="369" spans="1:12">
      <c r="A369" s="10" t="str">
        <f t="shared" si="23"/>
        <v/>
      </c>
      <c r="B369" s="45"/>
      <c r="C369" s="13" t="str">
        <f t="shared" si="20"/>
        <v/>
      </c>
      <c r="D369" s="13" t="str">
        <f t="shared" si="21"/>
        <v/>
      </c>
      <c r="E369" s="45"/>
      <c r="F369" s="11" t="str">
        <f>IFERROR(VLOOKUP(E369,Category!$D$2:$E$600,2,FALSE),"")</f>
        <v/>
      </c>
      <c r="G369" s="56"/>
      <c r="H369" s="56"/>
      <c r="I369" s="16" t="str">
        <f t="shared" si="22"/>
        <v/>
      </c>
      <c r="J369" s="45"/>
      <c r="K369" s="45"/>
      <c r="L369" s="45"/>
    </row>
    <row r="370" spans="1:12">
      <c r="A370" s="10" t="str">
        <f t="shared" si="23"/>
        <v/>
      </c>
      <c r="B370" s="45"/>
      <c r="C370" s="13" t="str">
        <f t="shared" si="20"/>
        <v/>
      </c>
      <c r="D370" s="13" t="str">
        <f t="shared" si="21"/>
        <v/>
      </c>
      <c r="E370" s="45"/>
      <c r="F370" s="11" t="str">
        <f>IFERROR(VLOOKUP(E370,Category!$D$2:$E$600,2,FALSE),"")</f>
        <v/>
      </c>
      <c r="G370" s="56"/>
      <c r="H370" s="56"/>
      <c r="I370" s="16" t="str">
        <f t="shared" si="22"/>
        <v/>
      </c>
      <c r="J370" s="45"/>
      <c r="K370" s="45"/>
      <c r="L370" s="45"/>
    </row>
    <row r="371" spans="1:12">
      <c r="A371" s="10" t="str">
        <f t="shared" si="23"/>
        <v/>
      </c>
      <c r="B371" s="45"/>
      <c r="C371" s="13" t="str">
        <f t="shared" si="20"/>
        <v/>
      </c>
      <c r="D371" s="13" t="str">
        <f t="shared" si="21"/>
        <v/>
      </c>
      <c r="E371" s="45"/>
      <c r="F371" s="11" t="str">
        <f>IFERROR(VLOOKUP(E371,Category!$D$2:$E$600,2,FALSE),"")</f>
        <v/>
      </c>
      <c r="G371" s="56"/>
      <c r="H371" s="56"/>
      <c r="I371" s="16" t="str">
        <f t="shared" si="22"/>
        <v/>
      </c>
      <c r="J371" s="45"/>
      <c r="K371" s="45"/>
      <c r="L371" s="45"/>
    </row>
    <row r="372" spans="1:12">
      <c r="A372" s="10" t="str">
        <f t="shared" si="23"/>
        <v/>
      </c>
      <c r="B372" s="45"/>
      <c r="C372" s="13" t="str">
        <f t="shared" si="20"/>
        <v/>
      </c>
      <c r="D372" s="13" t="str">
        <f t="shared" si="21"/>
        <v/>
      </c>
      <c r="E372" s="45"/>
      <c r="F372" s="11" t="str">
        <f>IFERROR(VLOOKUP(E372,Category!$D$2:$E$600,2,FALSE),"")</f>
        <v/>
      </c>
      <c r="G372" s="56"/>
      <c r="H372" s="56"/>
      <c r="I372" s="16" t="str">
        <f t="shared" si="22"/>
        <v/>
      </c>
      <c r="J372" s="45"/>
      <c r="K372" s="45"/>
      <c r="L372" s="45"/>
    </row>
    <row r="373" spans="1:12">
      <c r="A373" s="10" t="str">
        <f t="shared" si="23"/>
        <v/>
      </c>
      <c r="B373" s="45"/>
      <c r="C373" s="13" t="str">
        <f t="shared" si="20"/>
        <v/>
      </c>
      <c r="D373" s="13" t="str">
        <f t="shared" si="21"/>
        <v/>
      </c>
      <c r="E373" s="45"/>
      <c r="F373" s="11" t="str">
        <f>IFERROR(VLOOKUP(E373,Category!$D$2:$E$600,2,FALSE),"")</f>
        <v/>
      </c>
      <c r="G373" s="56"/>
      <c r="H373" s="56"/>
      <c r="I373" s="16" t="str">
        <f t="shared" si="22"/>
        <v/>
      </c>
      <c r="J373" s="45"/>
      <c r="K373" s="45"/>
      <c r="L373" s="45"/>
    </row>
    <row r="374" spans="1:12">
      <c r="A374" s="10" t="str">
        <f t="shared" si="23"/>
        <v/>
      </c>
      <c r="B374" s="45"/>
      <c r="C374" s="13" t="str">
        <f t="shared" si="20"/>
        <v/>
      </c>
      <c r="D374" s="13" t="str">
        <f t="shared" si="21"/>
        <v/>
      </c>
      <c r="E374" s="45"/>
      <c r="F374" s="11" t="str">
        <f>IFERROR(VLOOKUP(E374,Category!$D$2:$E$600,2,FALSE),"")</f>
        <v/>
      </c>
      <c r="G374" s="56"/>
      <c r="H374" s="56"/>
      <c r="I374" s="16" t="str">
        <f t="shared" si="22"/>
        <v/>
      </c>
      <c r="J374" s="45"/>
      <c r="K374" s="45"/>
      <c r="L374" s="45"/>
    </row>
    <row r="375" spans="1:12">
      <c r="A375" s="10" t="str">
        <f t="shared" si="23"/>
        <v/>
      </c>
      <c r="B375" s="45"/>
      <c r="C375" s="13" t="str">
        <f t="shared" si="20"/>
        <v/>
      </c>
      <c r="D375" s="13" t="str">
        <f t="shared" si="21"/>
        <v/>
      </c>
      <c r="E375" s="45"/>
      <c r="F375" s="11" t="str">
        <f>IFERROR(VLOOKUP(E375,Category!$D$2:$E$600,2,FALSE),"")</f>
        <v/>
      </c>
      <c r="G375" s="56"/>
      <c r="H375" s="56"/>
      <c r="I375" s="16" t="str">
        <f t="shared" si="22"/>
        <v/>
      </c>
      <c r="J375" s="45"/>
      <c r="K375" s="45"/>
      <c r="L375" s="45"/>
    </row>
    <row r="376" spans="1:12">
      <c r="A376" s="10" t="str">
        <f t="shared" si="23"/>
        <v/>
      </c>
      <c r="B376" s="45"/>
      <c r="C376" s="13" t="str">
        <f t="shared" si="20"/>
        <v/>
      </c>
      <c r="D376" s="13" t="str">
        <f t="shared" si="21"/>
        <v/>
      </c>
      <c r="E376" s="45"/>
      <c r="F376" s="11" t="str">
        <f>IFERROR(VLOOKUP(E376,Category!$D$2:$E$600,2,FALSE),"")</f>
        <v/>
      </c>
      <c r="G376" s="56"/>
      <c r="H376" s="56"/>
      <c r="I376" s="16" t="str">
        <f t="shared" si="22"/>
        <v/>
      </c>
      <c r="J376" s="45"/>
      <c r="K376" s="45"/>
      <c r="L376" s="45"/>
    </row>
    <row r="377" spans="1:12">
      <c r="A377" s="10" t="str">
        <f t="shared" si="23"/>
        <v/>
      </c>
      <c r="B377" s="45"/>
      <c r="C377" s="13" t="str">
        <f t="shared" si="20"/>
        <v/>
      </c>
      <c r="D377" s="13" t="str">
        <f t="shared" si="21"/>
        <v/>
      </c>
      <c r="E377" s="45"/>
      <c r="F377" s="11" t="str">
        <f>IFERROR(VLOOKUP(E377,Category!$D$2:$E$600,2,FALSE),"")</f>
        <v/>
      </c>
      <c r="G377" s="56"/>
      <c r="H377" s="56"/>
      <c r="I377" s="16" t="str">
        <f t="shared" si="22"/>
        <v/>
      </c>
      <c r="J377" s="45"/>
      <c r="K377" s="45"/>
      <c r="L377" s="45"/>
    </row>
    <row r="378" spans="1:12">
      <c r="A378" s="10" t="str">
        <f t="shared" si="23"/>
        <v/>
      </c>
      <c r="B378" s="45"/>
      <c r="C378" s="13" t="str">
        <f t="shared" si="20"/>
        <v/>
      </c>
      <c r="D378" s="13" t="str">
        <f t="shared" si="21"/>
        <v/>
      </c>
      <c r="E378" s="45"/>
      <c r="F378" s="11" t="str">
        <f>IFERROR(VLOOKUP(E378,Category!$D$2:$E$600,2,FALSE),"")</f>
        <v/>
      </c>
      <c r="G378" s="56"/>
      <c r="H378" s="56"/>
      <c r="I378" s="16" t="str">
        <f t="shared" si="22"/>
        <v/>
      </c>
      <c r="J378" s="45"/>
      <c r="K378" s="45"/>
      <c r="L378" s="45"/>
    </row>
    <row r="379" spans="1:12">
      <c r="A379" s="10" t="str">
        <f t="shared" si="23"/>
        <v/>
      </c>
      <c r="B379" s="45"/>
      <c r="C379" s="13" t="str">
        <f t="shared" si="20"/>
        <v/>
      </c>
      <c r="D379" s="13" t="str">
        <f t="shared" si="21"/>
        <v/>
      </c>
      <c r="E379" s="45"/>
      <c r="F379" s="11" t="str">
        <f>IFERROR(VLOOKUP(E379,Category!$D$2:$E$600,2,FALSE),"")</f>
        <v/>
      </c>
      <c r="G379" s="56"/>
      <c r="H379" s="56"/>
      <c r="I379" s="16" t="str">
        <f t="shared" si="22"/>
        <v/>
      </c>
      <c r="J379" s="45"/>
      <c r="K379" s="45"/>
      <c r="L379" s="45"/>
    </row>
    <row r="380" spans="1:12">
      <c r="A380" s="10" t="str">
        <f t="shared" si="23"/>
        <v/>
      </c>
      <c r="B380" s="45"/>
      <c r="C380" s="13" t="str">
        <f t="shared" si="20"/>
        <v/>
      </c>
      <c r="D380" s="13" t="str">
        <f t="shared" si="21"/>
        <v/>
      </c>
      <c r="E380" s="45"/>
      <c r="F380" s="11" t="str">
        <f>IFERROR(VLOOKUP(E380,Category!$D$2:$E$600,2,FALSE),"")</f>
        <v/>
      </c>
      <c r="G380" s="56"/>
      <c r="H380" s="56"/>
      <c r="I380" s="16" t="str">
        <f t="shared" si="22"/>
        <v/>
      </c>
      <c r="J380" s="45"/>
      <c r="K380" s="45"/>
      <c r="L380" s="45"/>
    </row>
    <row r="381" spans="1:12">
      <c r="A381" s="10" t="str">
        <f t="shared" si="23"/>
        <v/>
      </c>
      <c r="B381" s="45"/>
      <c r="C381" s="13" t="str">
        <f t="shared" si="20"/>
        <v/>
      </c>
      <c r="D381" s="13" t="str">
        <f t="shared" si="21"/>
        <v/>
      </c>
      <c r="E381" s="45"/>
      <c r="F381" s="11" t="str">
        <f>IFERROR(VLOOKUP(E381,Category!$D$2:$E$600,2,FALSE),"")</f>
        <v/>
      </c>
      <c r="G381" s="56"/>
      <c r="H381" s="56"/>
      <c r="I381" s="16" t="str">
        <f t="shared" si="22"/>
        <v/>
      </c>
      <c r="J381" s="45"/>
      <c r="K381" s="45"/>
      <c r="L381" s="45"/>
    </row>
    <row r="382" spans="1:12">
      <c r="A382" s="10" t="str">
        <f t="shared" si="23"/>
        <v/>
      </c>
      <c r="B382" s="45"/>
      <c r="C382" s="13" t="str">
        <f t="shared" si="20"/>
        <v/>
      </c>
      <c r="D382" s="13" t="str">
        <f t="shared" si="21"/>
        <v/>
      </c>
      <c r="E382" s="45"/>
      <c r="F382" s="11" t="str">
        <f>IFERROR(VLOOKUP(E382,Category!$D$2:$E$600,2,FALSE),"")</f>
        <v/>
      </c>
      <c r="G382" s="56"/>
      <c r="H382" s="56"/>
      <c r="I382" s="16" t="str">
        <f t="shared" si="22"/>
        <v/>
      </c>
      <c r="J382" s="45"/>
      <c r="K382" s="45"/>
      <c r="L382" s="45"/>
    </row>
    <row r="383" spans="1:12">
      <c r="A383" s="10" t="str">
        <f t="shared" si="23"/>
        <v/>
      </c>
      <c r="B383" s="45"/>
      <c r="C383" s="13" t="str">
        <f t="shared" si="20"/>
        <v/>
      </c>
      <c r="D383" s="13" t="str">
        <f t="shared" si="21"/>
        <v/>
      </c>
      <c r="E383" s="45"/>
      <c r="F383" s="11" t="str">
        <f>IFERROR(VLOOKUP(E383,Category!$D$2:$E$600,2,FALSE),"")</f>
        <v/>
      </c>
      <c r="G383" s="56"/>
      <c r="H383" s="56"/>
      <c r="I383" s="16" t="str">
        <f t="shared" si="22"/>
        <v/>
      </c>
      <c r="J383" s="45"/>
      <c r="K383" s="45"/>
      <c r="L383" s="45"/>
    </row>
    <row r="384" spans="1:12">
      <c r="A384" s="10" t="str">
        <f t="shared" si="23"/>
        <v/>
      </c>
      <c r="B384" s="45"/>
      <c r="C384" s="13" t="str">
        <f t="shared" si="20"/>
        <v/>
      </c>
      <c r="D384" s="13" t="str">
        <f t="shared" si="21"/>
        <v/>
      </c>
      <c r="E384" s="45"/>
      <c r="F384" s="11" t="str">
        <f>IFERROR(VLOOKUP(E384,Category!$D$2:$E$600,2,FALSE),"")</f>
        <v/>
      </c>
      <c r="G384" s="56"/>
      <c r="H384" s="56"/>
      <c r="I384" s="16" t="str">
        <f t="shared" si="22"/>
        <v/>
      </c>
      <c r="J384" s="45"/>
      <c r="K384" s="45"/>
      <c r="L384" s="45"/>
    </row>
    <row r="385" spans="1:12">
      <c r="A385" s="10" t="str">
        <f t="shared" si="23"/>
        <v/>
      </c>
      <c r="B385" s="45"/>
      <c r="C385" s="13" t="str">
        <f t="shared" si="20"/>
        <v/>
      </c>
      <c r="D385" s="13" t="str">
        <f t="shared" si="21"/>
        <v/>
      </c>
      <c r="E385" s="45"/>
      <c r="F385" s="11" t="str">
        <f>IFERROR(VLOOKUP(E385,Category!$D$2:$E$600,2,FALSE),"")</f>
        <v/>
      </c>
      <c r="G385" s="56"/>
      <c r="H385" s="56"/>
      <c r="I385" s="16" t="str">
        <f t="shared" si="22"/>
        <v/>
      </c>
      <c r="J385" s="45"/>
      <c r="K385" s="45"/>
      <c r="L385" s="45"/>
    </row>
    <row r="386" spans="1:12">
      <c r="A386" s="10" t="str">
        <f t="shared" si="23"/>
        <v/>
      </c>
      <c r="B386" s="45"/>
      <c r="C386" s="13" t="str">
        <f t="shared" si="20"/>
        <v/>
      </c>
      <c r="D386" s="13" t="str">
        <f t="shared" si="21"/>
        <v/>
      </c>
      <c r="E386" s="45"/>
      <c r="F386" s="11" t="str">
        <f>IFERROR(VLOOKUP(E386,Category!$D$2:$E$600,2,FALSE),"")</f>
        <v/>
      </c>
      <c r="G386" s="56"/>
      <c r="H386" s="56"/>
      <c r="I386" s="16" t="str">
        <f t="shared" si="22"/>
        <v/>
      </c>
      <c r="J386" s="45"/>
      <c r="K386" s="45"/>
      <c r="L386" s="45"/>
    </row>
    <row r="387" spans="1:12">
      <c r="A387" s="10" t="str">
        <f t="shared" si="23"/>
        <v/>
      </c>
      <c r="B387" s="45"/>
      <c r="C387" s="13" t="str">
        <f t="shared" ref="C387:C450" si="24">IF(B387=0,"",TEXT(B387,"mmmm"))</f>
        <v/>
      </c>
      <c r="D387" s="13" t="str">
        <f t="shared" ref="D387:D450" si="25">IF(B387=0,"",TEXT(B387,"yyyy"))</f>
        <v/>
      </c>
      <c r="E387" s="45"/>
      <c r="F387" s="11" t="str">
        <f>IFERROR(VLOOKUP(E387,Category!$D$2:$E$600,2,FALSE),"")</f>
        <v/>
      </c>
      <c r="G387" s="56"/>
      <c r="H387" s="56"/>
      <c r="I387" s="16" t="str">
        <f t="shared" ref="I387:I450" si="26">IF(H387*G387=0,"",H387*G387)</f>
        <v/>
      </c>
      <c r="J387" s="45"/>
      <c r="K387" s="45"/>
      <c r="L387" s="45"/>
    </row>
    <row r="388" spans="1:12">
      <c r="A388" s="10" t="str">
        <f t="shared" ref="A388:A451" si="27">IF(E388&gt;0,A387+1,"")</f>
        <v/>
      </c>
      <c r="B388" s="45"/>
      <c r="C388" s="13" t="str">
        <f t="shared" si="24"/>
        <v/>
      </c>
      <c r="D388" s="13" t="str">
        <f t="shared" si="25"/>
        <v/>
      </c>
      <c r="E388" s="45"/>
      <c r="F388" s="11" t="str">
        <f>IFERROR(VLOOKUP(E388,Category!$D$2:$E$600,2,FALSE),"")</f>
        <v/>
      </c>
      <c r="G388" s="56"/>
      <c r="H388" s="56"/>
      <c r="I388" s="16" t="str">
        <f t="shared" si="26"/>
        <v/>
      </c>
      <c r="J388" s="45"/>
      <c r="K388" s="45"/>
      <c r="L388" s="45"/>
    </row>
    <row r="389" spans="1:12">
      <c r="A389" s="10" t="str">
        <f t="shared" si="27"/>
        <v/>
      </c>
      <c r="B389" s="45"/>
      <c r="C389" s="13" t="str">
        <f t="shared" si="24"/>
        <v/>
      </c>
      <c r="D389" s="13" t="str">
        <f t="shared" si="25"/>
        <v/>
      </c>
      <c r="E389" s="45"/>
      <c r="F389" s="11" t="str">
        <f>IFERROR(VLOOKUP(E389,Category!$D$2:$E$600,2,FALSE),"")</f>
        <v/>
      </c>
      <c r="G389" s="56"/>
      <c r="H389" s="56"/>
      <c r="I389" s="16" t="str">
        <f t="shared" si="26"/>
        <v/>
      </c>
      <c r="J389" s="45"/>
      <c r="K389" s="45"/>
      <c r="L389" s="45"/>
    </row>
    <row r="390" spans="1:12">
      <c r="A390" s="10" t="str">
        <f t="shared" si="27"/>
        <v/>
      </c>
      <c r="B390" s="45"/>
      <c r="C390" s="13" t="str">
        <f t="shared" si="24"/>
        <v/>
      </c>
      <c r="D390" s="13" t="str">
        <f t="shared" si="25"/>
        <v/>
      </c>
      <c r="E390" s="45"/>
      <c r="F390" s="11" t="str">
        <f>IFERROR(VLOOKUP(E390,Category!$D$2:$E$600,2,FALSE),"")</f>
        <v/>
      </c>
      <c r="G390" s="56"/>
      <c r="H390" s="56"/>
      <c r="I390" s="16" t="str">
        <f t="shared" si="26"/>
        <v/>
      </c>
      <c r="J390" s="45"/>
      <c r="K390" s="45"/>
      <c r="L390" s="45"/>
    </row>
    <row r="391" spans="1:12">
      <c r="A391" s="10" t="str">
        <f t="shared" si="27"/>
        <v/>
      </c>
      <c r="B391" s="45"/>
      <c r="C391" s="13" t="str">
        <f t="shared" si="24"/>
        <v/>
      </c>
      <c r="D391" s="13" t="str">
        <f t="shared" si="25"/>
        <v/>
      </c>
      <c r="E391" s="45"/>
      <c r="F391" s="11" t="str">
        <f>IFERROR(VLOOKUP(E391,Category!$D$2:$E$600,2,FALSE),"")</f>
        <v/>
      </c>
      <c r="G391" s="56"/>
      <c r="H391" s="56"/>
      <c r="I391" s="16" t="str">
        <f t="shared" si="26"/>
        <v/>
      </c>
      <c r="J391" s="45"/>
      <c r="K391" s="45"/>
      <c r="L391" s="45"/>
    </row>
    <row r="392" spans="1:12">
      <c r="A392" s="10" t="str">
        <f t="shared" si="27"/>
        <v/>
      </c>
      <c r="B392" s="45"/>
      <c r="C392" s="13" t="str">
        <f t="shared" si="24"/>
        <v/>
      </c>
      <c r="D392" s="13" t="str">
        <f t="shared" si="25"/>
        <v/>
      </c>
      <c r="E392" s="45"/>
      <c r="F392" s="11" t="str">
        <f>IFERROR(VLOOKUP(E392,Category!$D$2:$E$600,2,FALSE),"")</f>
        <v/>
      </c>
      <c r="G392" s="56"/>
      <c r="H392" s="56"/>
      <c r="I392" s="16" t="str">
        <f t="shared" si="26"/>
        <v/>
      </c>
      <c r="J392" s="45"/>
      <c r="K392" s="45"/>
      <c r="L392" s="45"/>
    </row>
    <row r="393" spans="1:12">
      <c r="A393" s="10" t="str">
        <f t="shared" si="27"/>
        <v/>
      </c>
      <c r="B393" s="45"/>
      <c r="C393" s="13" t="str">
        <f t="shared" si="24"/>
        <v/>
      </c>
      <c r="D393" s="13" t="str">
        <f t="shared" si="25"/>
        <v/>
      </c>
      <c r="E393" s="45"/>
      <c r="F393" s="11" t="str">
        <f>IFERROR(VLOOKUP(E393,Category!$D$2:$E$600,2,FALSE),"")</f>
        <v/>
      </c>
      <c r="G393" s="56"/>
      <c r="H393" s="56"/>
      <c r="I393" s="16" t="str">
        <f t="shared" si="26"/>
        <v/>
      </c>
      <c r="J393" s="45"/>
      <c r="K393" s="45"/>
      <c r="L393" s="45"/>
    </row>
    <row r="394" spans="1:12">
      <c r="A394" s="10" t="str">
        <f t="shared" si="27"/>
        <v/>
      </c>
      <c r="B394" s="45"/>
      <c r="C394" s="13" t="str">
        <f t="shared" si="24"/>
        <v/>
      </c>
      <c r="D394" s="13" t="str">
        <f t="shared" si="25"/>
        <v/>
      </c>
      <c r="E394" s="45"/>
      <c r="F394" s="11" t="str">
        <f>IFERROR(VLOOKUP(E394,Category!$D$2:$E$600,2,FALSE),"")</f>
        <v/>
      </c>
      <c r="G394" s="56"/>
      <c r="H394" s="56"/>
      <c r="I394" s="16" t="str">
        <f t="shared" si="26"/>
        <v/>
      </c>
      <c r="J394" s="45"/>
      <c r="K394" s="45"/>
      <c r="L394" s="45"/>
    </row>
    <row r="395" spans="1:12">
      <c r="A395" s="10" t="str">
        <f t="shared" si="27"/>
        <v/>
      </c>
      <c r="B395" s="45"/>
      <c r="C395" s="13" t="str">
        <f t="shared" si="24"/>
        <v/>
      </c>
      <c r="D395" s="13" t="str">
        <f t="shared" si="25"/>
        <v/>
      </c>
      <c r="E395" s="45"/>
      <c r="F395" s="11" t="str">
        <f>IFERROR(VLOOKUP(E395,Category!$D$2:$E$600,2,FALSE),"")</f>
        <v/>
      </c>
      <c r="G395" s="56"/>
      <c r="H395" s="56"/>
      <c r="I395" s="16" t="str">
        <f t="shared" si="26"/>
        <v/>
      </c>
      <c r="J395" s="45"/>
      <c r="K395" s="45"/>
      <c r="L395" s="45"/>
    </row>
    <row r="396" spans="1:12">
      <c r="A396" s="10" t="str">
        <f t="shared" si="27"/>
        <v/>
      </c>
      <c r="B396" s="45"/>
      <c r="C396" s="13" t="str">
        <f t="shared" si="24"/>
        <v/>
      </c>
      <c r="D396" s="13" t="str">
        <f t="shared" si="25"/>
        <v/>
      </c>
      <c r="E396" s="45"/>
      <c r="F396" s="11" t="str">
        <f>IFERROR(VLOOKUP(E396,Category!$D$2:$E$600,2,FALSE),"")</f>
        <v/>
      </c>
      <c r="G396" s="56"/>
      <c r="H396" s="56"/>
      <c r="I396" s="16" t="str">
        <f t="shared" si="26"/>
        <v/>
      </c>
      <c r="J396" s="45"/>
      <c r="K396" s="45"/>
      <c r="L396" s="45"/>
    </row>
    <row r="397" spans="1:12">
      <c r="A397" s="10" t="str">
        <f t="shared" si="27"/>
        <v/>
      </c>
      <c r="B397" s="45"/>
      <c r="C397" s="13" t="str">
        <f t="shared" si="24"/>
        <v/>
      </c>
      <c r="D397" s="13" t="str">
        <f t="shared" si="25"/>
        <v/>
      </c>
      <c r="E397" s="45"/>
      <c r="F397" s="11" t="str">
        <f>IFERROR(VLOOKUP(E397,Category!$D$2:$E$600,2,FALSE),"")</f>
        <v/>
      </c>
      <c r="G397" s="56"/>
      <c r="H397" s="56"/>
      <c r="I397" s="16" t="str">
        <f t="shared" si="26"/>
        <v/>
      </c>
      <c r="J397" s="45"/>
      <c r="K397" s="45"/>
      <c r="L397" s="45"/>
    </row>
    <row r="398" spans="1:12">
      <c r="A398" s="10" t="str">
        <f t="shared" si="27"/>
        <v/>
      </c>
      <c r="B398" s="45"/>
      <c r="C398" s="13" t="str">
        <f t="shared" si="24"/>
        <v/>
      </c>
      <c r="D398" s="13" t="str">
        <f t="shared" si="25"/>
        <v/>
      </c>
      <c r="E398" s="45"/>
      <c r="F398" s="11" t="str">
        <f>IFERROR(VLOOKUP(E398,Category!$D$2:$E$600,2,FALSE),"")</f>
        <v/>
      </c>
      <c r="G398" s="56"/>
      <c r="H398" s="56"/>
      <c r="I398" s="16" t="str">
        <f t="shared" si="26"/>
        <v/>
      </c>
      <c r="J398" s="45"/>
      <c r="K398" s="45"/>
      <c r="L398" s="45"/>
    </row>
    <row r="399" spans="1:12">
      <c r="A399" s="10" t="str">
        <f t="shared" si="27"/>
        <v/>
      </c>
      <c r="B399" s="45"/>
      <c r="C399" s="13" t="str">
        <f t="shared" si="24"/>
        <v/>
      </c>
      <c r="D399" s="13" t="str">
        <f t="shared" si="25"/>
        <v/>
      </c>
      <c r="E399" s="45"/>
      <c r="F399" s="11" t="str">
        <f>IFERROR(VLOOKUP(E399,Category!$D$2:$E$600,2,FALSE),"")</f>
        <v/>
      </c>
      <c r="G399" s="56"/>
      <c r="H399" s="56"/>
      <c r="I399" s="16" t="str">
        <f t="shared" si="26"/>
        <v/>
      </c>
      <c r="J399" s="45"/>
      <c r="K399" s="45"/>
      <c r="L399" s="45"/>
    </row>
    <row r="400" spans="1:12">
      <c r="A400" s="10" t="str">
        <f t="shared" si="27"/>
        <v/>
      </c>
      <c r="B400" s="45"/>
      <c r="C400" s="13" t="str">
        <f t="shared" si="24"/>
        <v/>
      </c>
      <c r="D400" s="13" t="str">
        <f t="shared" si="25"/>
        <v/>
      </c>
      <c r="E400" s="45"/>
      <c r="F400" s="11" t="str">
        <f>IFERROR(VLOOKUP(E400,Category!$D$2:$E$600,2,FALSE),"")</f>
        <v/>
      </c>
      <c r="G400" s="56"/>
      <c r="H400" s="56"/>
      <c r="I400" s="16" t="str">
        <f t="shared" si="26"/>
        <v/>
      </c>
      <c r="J400" s="45"/>
      <c r="K400" s="45"/>
      <c r="L400" s="45"/>
    </row>
    <row r="401" spans="1:12">
      <c r="A401" s="10" t="str">
        <f t="shared" si="27"/>
        <v/>
      </c>
      <c r="B401" s="45"/>
      <c r="C401" s="13" t="str">
        <f t="shared" si="24"/>
        <v/>
      </c>
      <c r="D401" s="13" t="str">
        <f t="shared" si="25"/>
        <v/>
      </c>
      <c r="E401" s="45"/>
      <c r="F401" s="11" t="str">
        <f>IFERROR(VLOOKUP(E401,Category!$D$2:$E$600,2,FALSE),"")</f>
        <v/>
      </c>
      <c r="G401" s="56"/>
      <c r="H401" s="56"/>
      <c r="I401" s="16" t="str">
        <f t="shared" si="26"/>
        <v/>
      </c>
      <c r="J401" s="45"/>
      <c r="K401" s="45"/>
      <c r="L401" s="45"/>
    </row>
    <row r="402" spans="1:12">
      <c r="A402" s="10" t="str">
        <f t="shared" si="27"/>
        <v/>
      </c>
      <c r="B402" s="45"/>
      <c r="C402" s="13" t="str">
        <f t="shared" si="24"/>
        <v/>
      </c>
      <c r="D402" s="13" t="str">
        <f t="shared" si="25"/>
        <v/>
      </c>
      <c r="E402" s="45"/>
      <c r="F402" s="11" t="str">
        <f>IFERROR(VLOOKUP(E402,Category!$D$2:$E$600,2,FALSE),"")</f>
        <v/>
      </c>
      <c r="G402" s="56"/>
      <c r="H402" s="56"/>
      <c r="I402" s="16" t="str">
        <f t="shared" si="26"/>
        <v/>
      </c>
      <c r="J402" s="45"/>
      <c r="K402" s="45"/>
      <c r="L402" s="45"/>
    </row>
    <row r="403" spans="1:12">
      <c r="A403" s="10" t="str">
        <f t="shared" si="27"/>
        <v/>
      </c>
      <c r="B403" s="45"/>
      <c r="C403" s="13" t="str">
        <f t="shared" si="24"/>
        <v/>
      </c>
      <c r="D403" s="13" t="str">
        <f t="shared" si="25"/>
        <v/>
      </c>
      <c r="E403" s="45"/>
      <c r="F403" s="11" t="str">
        <f>IFERROR(VLOOKUP(E403,Category!$D$2:$E$600,2,FALSE),"")</f>
        <v/>
      </c>
      <c r="G403" s="56"/>
      <c r="H403" s="56"/>
      <c r="I403" s="16" t="str">
        <f t="shared" si="26"/>
        <v/>
      </c>
      <c r="J403" s="45"/>
      <c r="K403" s="45"/>
      <c r="L403" s="45"/>
    </row>
    <row r="404" spans="1:12">
      <c r="A404" s="10" t="str">
        <f t="shared" si="27"/>
        <v/>
      </c>
      <c r="B404" s="45"/>
      <c r="C404" s="13" t="str">
        <f t="shared" si="24"/>
        <v/>
      </c>
      <c r="D404" s="13" t="str">
        <f t="shared" si="25"/>
        <v/>
      </c>
      <c r="E404" s="45"/>
      <c r="F404" s="11" t="str">
        <f>IFERROR(VLOOKUP(E404,Category!$D$2:$E$600,2,FALSE),"")</f>
        <v/>
      </c>
      <c r="G404" s="56"/>
      <c r="H404" s="56"/>
      <c r="I404" s="16" t="str">
        <f t="shared" si="26"/>
        <v/>
      </c>
      <c r="J404" s="45"/>
      <c r="K404" s="45"/>
      <c r="L404" s="45"/>
    </row>
    <row r="405" spans="1:12">
      <c r="A405" s="10" t="str">
        <f t="shared" si="27"/>
        <v/>
      </c>
      <c r="B405" s="45"/>
      <c r="C405" s="13" t="str">
        <f t="shared" si="24"/>
        <v/>
      </c>
      <c r="D405" s="13" t="str">
        <f t="shared" si="25"/>
        <v/>
      </c>
      <c r="E405" s="45"/>
      <c r="F405" s="11" t="str">
        <f>IFERROR(VLOOKUP(E405,Category!$D$2:$E$600,2,FALSE),"")</f>
        <v/>
      </c>
      <c r="G405" s="56"/>
      <c r="H405" s="56"/>
      <c r="I405" s="16" t="str">
        <f t="shared" si="26"/>
        <v/>
      </c>
      <c r="J405" s="45"/>
      <c r="K405" s="45"/>
      <c r="L405" s="45"/>
    </row>
    <row r="406" spans="1:12">
      <c r="A406" s="10" t="str">
        <f t="shared" si="27"/>
        <v/>
      </c>
      <c r="B406" s="45"/>
      <c r="C406" s="13" t="str">
        <f t="shared" si="24"/>
        <v/>
      </c>
      <c r="D406" s="13" t="str">
        <f t="shared" si="25"/>
        <v/>
      </c>
      <c r="E406" s="45"/>
      <c r="F406" s="11" t="str">
        <f>IFERROR(VLOOKUP(E406,Category!$D$2:$E$600,2,FALSE),"")</f>
        <v/>
      </c>
      <c r="G406" s="56"/>
      <c r="H406" s="56"/>
      <c r="I406" s="16" t="str">
        <f t="shared" si="26"/>
        <v/>
      </c>
      <c r="J406" s="45"/>
      <c r="K406" s="45"/>
      <c r="L406" s="45"/>
    </row>
    <row r="407" spans="1:12">
      <c r="A407" s="10" t="str">
        <f t="shared" si="27"/>
        <v/>
      </c>
      <c r="B407" s="45"/>
      <c r="C407" s="13" t="str">
        <f t="shared" si="24"/>
        <v/>
      </c>
      <c r="D407" s="13" t="str">
        <f t="shared" si="25"/>
        <v/>
      </c>
      <c r="E407" s="45"/>
      <c r="F407" s="11" t="str">
        <f>IFERROR(VLOOKUP(E407,Category!$D$2:$E$600,2,FALSE),"")</f>
        <v/>
      </c>
      <c r="G407" s="56"/>
      <c r="H407" s="56"/>
      <c r="I407" s="16" t="str">
        <f t="shared" si="26"/>
        <v/>
      </c>
      <c r="J407" s="45"/>
      <c r="K407" s="45"/>
      <c r="L407" s="45"/>
    </row>
    <row r="408" spans="1:12">
      <c r="A408" s="10" t="str">
        <f t="shared" si="27"/>
        <v/>
      </c>
      <c r="B408" s="45"/>
      <c r="C408" s="13" t="str">
        <f t="shared" si="24"/>
        <v/>
      </c>
      <c r="D408" s="13" t="str">
        <f t="shared" si="25"/>
        <v/>
      </c>
      <c r="E408" s="45"/>
      <c r="F408" s="11" t="str">
        <f>IFERROR(VLOOKUP(E408,Category!$D$2:$E$600,2,FALSE),"")</f>
        <v/>
      </c>
      <c r="G408" s="56"/>
      <c r="H408" s="56"/>
      <c r="I408" s="16" t="str">
        <f t="shared" si="26"/>
        <v/>
      </c>
      <c r="J408" s="45"/>
      <c r="K408" s="45"/>
      <c r="L408" s="45"/>
    </row>
    <row r="409" spans="1:12">
      <c r="A409" s="10" t="str">
        <f t="shared" si="27"/>
        <v/>
      </c>
      <c r="B409" s="45"/>
      <c r="C409" s="13" t="str">
        <f t="shared" si="24"/>
        <v/>
      </c>
      <c r="D409" s="13" t="str">
        <f t="shared" si="25"/>
        <v/>
      </c>
      <c r="E409" s="45"/>
      <c r="F409" s="11" t="str">
        <f>IFERROR(VLOOKUP(E409,Category!$D$2:$E$600,2,FALSE),"")</f>
        <v/>
      </c>
      <c r="G409" s="56"/>
      <c r="H409" s="56"/>
      <c r="I409" s="16" t="str">
        <f t="shared" si="26"/>
        <v/>
      </c>
      <c r="J409" s="45"/>
      <c r="K409" s="45"/>
      <c r="L409" s="45"/>
    </row>
    <row r="410" spans="1:12">
      <c r="A410" s="10" t="str">
        <f t="shared" si="27"/>
        <v/>
      </c>
      <c r="B410" s="45"/>
      <c r="C410" s="13" t="str">
        <f t="shared" si="24"/>
        <v/>
      </c>
      <c r="D410" s="13" t="str">
        <f t="shared" si="25"/>
        <v/>
      </c>
      <c r="E410" s="45"/>
      <c r="F410" s="11" t="str">
        <f>IFERROR(VLOOKUP(E410,Category!$D$2:$E$600,2,FALSE),"")</f>
        <v/>
      </c>
      <c r="G410" s="56"/>
      <c r="H410" s="56"/>
      <c r="I410" s="16" t="str">
        <f t="shared" si="26"/>
        <v/>
      </c>
      <c r="J410" s="45"/>
      <c r="K410" s="45"/>
      <c r="L410" s="45"/>
    </row>
    <row r="411" spans="1:12">
      <c r="A411" s="10" t="str">
        <f t="shared" si="27"/>
        <v/>
      </c>
      <c r="B411" s="45"/>
      <c r="C411" s="13" t="str">
        <f t="shared" si="24"/>
        <v/>
      </c>
      <c r="D411" s="13" t="str">
        <f t="shared" si="25"/>
        <v/>
      </c>
      <c r="E411" s="45"/>
      <c r="F411" s="11" t="str">
        <f>IFERROR(VLOOKUP(E411,Category!$D$2:$E$600,2,FALSE),"")</f>
        <v/>
      </c>
      <c r="G411" s="56"/>
      <c r="H411" s="56"/>
      <c r="I411" s="16" t="str">
        <f t="shared" si="26"/>
        <v/>
      </c>
      <c r="J411" s="45"/>
      <c r="K411" s="45"/>
      <c r="L411" s="45"/>
    </row>
    <row r="412" spans="1:12">
      <c r="A412" s="10" t="str">
        <f t="shared" si="27"/>
        <v/>
      </c>
      <c r="B412" s="45"/>
      <c r="C412" s="13" t="str">
        <f t="shared" si="24"/>
        <v/>
      </c>
      <c r="D412" s="13" t="str">
        <f t="shared" si="25"/>
        <v/>
      </c>
      <c r="E412" s="45"/>
      <c r="F412" s="11" t="str">
        <f>IFERROR(VLOOKUP(E412,Category!$D$2:$E$600,2,FALSE),"")</f>
        <v/>
      </c>
      <c r="G412" s="56"/>
      <c r="H412" s="56"/>
      <c r="I412" s="16" t="str">
        <f t="shared" si="26"/>
        <v/>
      </c>
      <c r="J412" s="45"/>
      <c r="K412" s="45"/>
      <c r="L412" s="45"/>
    </row>
    <row r="413" spans="1:12">
      <c r="A413" s="10" t="str">
        <f t="shared" si="27"/>
        <v/>
      </c>
      <c r="B413" s="45"/>
      <c r="C413" s="13" t="str">
        <f t="shared" si="24"/>
        <v/>
      </c>
      <c r="D413" s="13" t="str">
        <f t="shared" si="25"/>
        <v/>
      </c>
      <c r="E413" s="45"/>
      <c r="F413" s="11" t="str">
        <f>IFERROR(VLOOKUP(E413,Category!$D$2:$E$600,2,FALSE),"")</f>
        <v/>
      </c>
      <c r="G413" s="56"/>
      <c r="H413" s="56"/>
      <c r="I413" s="16" t="str">
        <f t="shared" si="26"/>
        <v/>
      </c>
      <c r="J413" s="45"/>
      <c r="K413" s="45"/>
      <c r="L413" s="45"/>
    </row>
    <row r="414" spans="1:12">
      <c r="A414" s="10" t="str">
        <f t="shared" si="27"/>
        <v/>
      </c>
      <c r="B414" s="45"/>
      <c r="C414" s="13" t="str">
        <f t="shared" si="24"/>
        <v/>
      </c>
      <c r="D414" s="13" t="str">
        <f t="shared" si="25"/>
        <v/>
      </c>
      <c r="E414" s="45"/>
      <c r="F414" s="11" t="str">
        <f>IFERROR(VLOOKUP(E414,Category!$D$2:$E$600,2,FALSE),"")</f>
        <v/>
      </c>
      <c r="G414" s="56"/>
      <c r="H414" s="56"/>
      <c r="I414" s="16" t="str">
        <f t="shared" si="26"/>
        <v/>
      </c>
      <c r="J414" s="45"/>
      <c r="K414" s="45"/>
      <c r="L414" s="45"/>
    </row>
    <row r="415" spans="1:12">
      <c r="A415" s="10" t="str">
        <f t="shared" si="27"/>
        <v/>
      </c>
      <c r="B415" s="45"/>
      <c r="C415" s="13" t="str">
        <f t="shared" si="24"/>
        <v/>
      </c>
      <c r="D415" s="13" t="str">
        <f t="shared" si="25"/>
        <v/>
      </c>
      <c r="E415" s="45"/>
      <c r="F415" s="11" t="str">
        <f>IFERROR(VLOOKUP(E415,Category!$D$2:$E$600,2,FALSE),"")</f>
        <v/>
      </c>
      <c r="G415" s="56"/>
      <c r="H415" s="56"/>
      <c r="I415" s="16" t="str">
        <f t="shared" si="26"/>
        <v/>
      </c>
      <c r="J415" s="45"/>
      <c r="K415" s="45"/>
      <c r="L415" s="45"/>
    </row>
    <row r="416" spans="1:12">
      <c r="A416" s="10" t="str">
        <f t="shared" si="27"/>
        <v/>
      </c>
      <c r="B416" s="45"/>
      <c r="C416" s="13" t="str">
        <f t="shared" si="24"/>
        <v/>
      </c>
      <c r="D416" s="13" t="str">
        <f t="shared" si="25"/>
        <v/>
      </c>
      <c r="E416" s="45"/>
      <c r="F416" s="11" t="str">
        <f>IFERROR(VLOOKUP(E416,Category!$D$2:$E$600,2,FALSE),"")</f>
        <v/>
      </c>
      <c r="G416" s="56"/>
      <c r="H416" s="56"/>
      <c r="I416" s="16" t="str">
        <f t="shared" si="26"/>
        <v/>
      </c>
      <c r="J416" s="45"/>
      <c r="K416" s="45"/>
      <c r="L416" s="45"/>
    </row>
    <row r="417" spans="1:12">
      <c r="A417" s="10" t="str">
        <f t="shared" si="27"/>
        <v/>
      </c>
      <c r="B417" s="45"/>
      <c r="C417" s="13" t="str">
        <f t="shared" si="24"/>
        <v/>
      </c>
      <c r="D417" s="13" t="str">
        <f t="shared" si="25"/>
        <v/>
      </c>
      <c r="E417" s="45"/>
      <c r="F417" s="11" t="str">
        <f>IFERROR(VLOOKUP(E417,Category!$D$2:$E$600,2,FALSE),"")</f>
        <v/>
      </c>
      <c r="G417" s="56"/>
      <c r="H417" s="56"/>
      <c r="I417" s="16" t="str">
        <f t="shared" si="26"/>
        <v/>
      </c>
      <c r="J417" s="45"/>
      <c r="K417" s="45"/>
      <c r="L417" s="45"/>
    </row>
    <row r="418" spans="1:12">
      <c r="A418" s="10" t="str">
        <f t="shared" si="27"/>
        <v/>
      </c>
      <c r="B418" s="45"/>
      <c r="C418" s="13" t="str">
        <f t="shared" si="24"/>
        <v/>
      </c>
      <c r="D418" s="13" t="str">
        <f t="shared" si="25"/>
        <v/>
      </c>
      <c r="E418" s="45"/>
      <c r="F418" s="11" t="str">
        <f>IFERROR(VLOOKUP(E418,Category!$D$2:$E$600,2,FALSE),"")</f>
        <v/>
      </c>
      <c r="G418" s="56"/>
      <c r="H418" s="56"/>
      <c r="I418" s="16" t="str">
        <f t="shared" si="26"/>
        <v/>
      </c>
      <c r="J418" s="45"/>
      <c r="K418" s="45"/>
      <c r="L418" s="45"/>
    </row>
    <row r="419" spans="1:12">
      <c r="A419" s="10" t="str">
        <f t="shared" si="27"/>
        <v/>
      </c>
      <c r="B419" s="45"/>
      <c r="C419" s="13" t="str">
        <f t="shared" si="24"/>
        <v/>
      </c>
      <c r="D419" s="13" t="str">
        <f t="shared" si="25"/>
        <v/>
      </c>
      <c r="E419" s="45"/>
      <c r="F419" s="11" t="str">
        <f>IFERROR(VLOOKUP(E419,Category!$D$2:$E$600,2,FALSE),"")</f>
        <v/>
      </c>
      <c r="G419" s="56"/>
      <c r="H419" s="56"/>
      <c r="I419" s="16" t="str">
        <f t="shared" si="26"/>
        <v/>
      </c>
      <c r="J419" s="45"/>
      <c r="K419" s="45"/>
      <c r="L419" s="45"/>
    </row>
    <row r="420" spans="1:12">
      <c r="A420" s="10" t="str">
        <f t="shared" si="27"/>
        <v/>
      </c>
      <c r="B420" s="45"/>
      <c r="C420" s="13" t="str">
        <f t="shared" si="24"/>
        <v/>
      </c>
      <c r="D420" s="13" t="str">
        <f t="shared" si="25"/>
        <v/>
      </c>
      <c r="E420" s="45"/>
      <c r="F420" s="11" t="str">
        <f>IFERROR(VLOOKUP(E420,Category!$D$2:$E$600,2,FALSE),"")</f>
        <v/>
      </c>
      <c r="G420" s="56"/>
      <c r="H420" s="56"/>
      <c r="I420" s="16" t="str">
        <f t="shared" si="26"/>
        <v/>
      </c>
      <c r="J420" s="45"/>
      <c r="K420" s="45"/>
      <c r="L420" s="45"/>
    </row>
    <row r="421" spans="1:12">
      <c r="A421" s="10" t="str">
        <f t="shared" si="27"/>
        <v/>
      </c>
      <c r="B421" s="45"/>
      <c r="C421" s="13" t="str">
        <f t="shared" si="24"/>
        <v/>
      </c>
      <c r="D421" s="13" t="str">
        <f t="shared" si="25"/>
        <v/>
      </c>
      <c r="E421" s="45"/>
      <c r="F421" s="11" t="str">
        <f>IFERROR(VLOOKUP(E421,Category!$D$2:$E$600,2,FALSE),"")</f>
        <v/>
      </c>
      <c r="G421" s="56"/>
      <c r="H421" s="56"/>
      <c r="I421" s="16" t="str">
        <f t="shared" si="26"/>
        <v/>
      </c>
      <c r="J421" s="45"/>
      <c r="K421" s="45"/>
      <c r="L421" s="45"/>
    </row>
    <row r="422" spans="1:12">
      <c r="A422" s="10" t="str">
        <f t="shared" si="27"/>
        <v/>
      </c>
      <c r="B422" s="45"/>
      <c r="C422" s="13" t="str">
        <f t="shared" si="24"/>
        <v/>
      </c>
      <c r="D422" s="13" t="str">
        <f t="shared" si="25"/>
        <v/>
      </c>
      <c r="E422" s="45"/>
      <c r="F422" s="11" t="str">
        <f>IFERROR(VLOOKUP(E422,Category!$D$2:$E$600,2,FALSE),"")</f>
        <v/>
      </c>
      <c r="G422" s="56"/>
      <c r="H422" s="56"/>
      <c r="I422" s="16" t="str">
        <f t="shared" si="26"/>
        <v/>
      </c>
      <c r="J422" s="45"/>
      <c r="K422" s="45"/>
      <c r="L422" s="45"/>
    </row>
    <row r="423" spans="1:12">
      <c r="A423" s="10" t="str">
        <f t="shared" si="27"/>
        <v/>
      </c>
      <c r="B423" s="45"/>
      <c r="C423" s="13" t="str">
        <f t="shared" si="24"/>
        <v/>
      </c>
      <c r="D423" s="13" t="str">
        <f t="shared" si="25"/>
        <v/>
      </c>
      <c r="E423" s="45"/>
      <c r="F423" s="11" t="str">
        <f>IFERROR(VLOOKUP(E423,Category!$D$2:$E$600,2,FALSE),"")</f>
        <v/>
      </c>
      <c r="G423" s="56"/>
      <c r="H423" s="56"/>
      <c r="I423" s="16" t="str">
        <f t="shared" si="26"/>
        <v/>
      </c>
      <c r="J423" s="45"/>
      <c r="K423" s="45"/>
      <c r="L423" s="45"/>
    </row>
    <row r="424" spans="1:12">
      <c r="A424" s="10" t="str">
        <f t="shared" si="27"/>
        <v/>
      </c>
      <c r="B424" s="45"/>
      <c r="C424" s="13" t="str">
        <f t="shared" si="24"/>
        <v/>
      </c>
      <c r="D424" s="13" t="str">
        <f t="shared" si="25"/>
        <v/>
      </c>
      <c r="E424" s="45"/>
      <c r="F424" s="11" t="str">
        <f>IFERROR(VLOOKUP(E424,Category!$D$2:$E$600,2,FALSE),"")</f>
        <v/>
      </c>
      <c r="G424" s="56"/>
      <c r="H424" s="56"/>
      <c r="I424" s="16" t="str">
        <f t="shared" si="26"/>
        <v/>
      </c>
      <c r="J424" s="45"/>
      <c r="K424" s="45"/>
      <c r="L424" s="45"/>
    </row>
    <row r="425" spans="1:12">
      <c r="A425" s="10" t="str">
        <f t="shared" si="27"/>
        <v/>
      </c>
      <c r="B425" s="45"/>
      <c r="C425" s="13" t="str">
        <f t="shared" si="24"/>
        <v/>
      </c>
      <c r="D425" s="13" t="str">
        <f t="shared" si="25"/>
        <v/>
      </c>
      <c r="E425" s="45"/>
      <c r="F425" s="11" t="str">
        <f>IFERROR(VLOOKUP(E425,Category!$D$2:$E$600,2,FALSE),"")</f>
        <v/>
      </c>
      <c r="G425" s="56"/>
      <c r="H425" s="56"/>
      <c r="I425" s="16" t="str">
        <f t="shared" si="26"/>
        <v/>
      </c>
      <c r="J425" s="45"/>
      <c r="K425" s="45"/>
      <c r="L425" s="45"/>
    </row>
    <row r="426" spans="1:12">
      <c r="A426" s="10" t="str">
        <f t="shared" si="27"/>
        <v/>
      </c>
      <c r="B426" s="45"/>
      <c r="C426" s="13" t="str">
        <f t="shared" si="24"/>
        <v/>
      </c>
      <c r="D426" s="13" t="str">
        <f t="shared" si="25"/>
        <v/>
      </c>
      <c r="E426" s="45"/>
      <c r="F426" s="11" t="str">
        <f>IFERROR(VLOOKUP(E426,Category!$D$2:$E$600,2,FALSE),"")</f>
        <v/>
      </c>
      <c r="G426" s="56"/>
      <c r="H426" s="56"/>
      <c r="I426" s="16" t="str">
        <f t="shared" si="26"/>
        <v/>
      </c>
      <c r="J426" s="45"/>
      <c r="K426" s="45"/>
      <c r="L426" s="45"/>
    </row>
    <row r="427" spans="1:12">
      <c r="A427" s="10" t="str">
        <f t="shared" si="27"/>
        <v/>
      </c>
      <c r="B427" s="45"/>
      <c r="C427" s="13" t="str">
        <f t="shared" si="24"/>
        <v/>
      </c>
      <c r="D427" s="13" t="str">
        <f t="shared" si="25"/>
        <v/>
      </c>
      <c r="E427" s="45"/>
      <c r="F427" s="11" t="str">
        <f>IFERROR(VLOOKUP(E427,Category!$D$2:$E$600,2,FALSE),"")</f>
        <v/>
      </c>
      <c r="G427" s="56"/>
      <c r="H427" s="56"/>
      <c r="I427" s="16" t="str">
        <f t="shared" si="26"/>
        <v/>
      </c>
      <c r="J427" s="45"/>
      <c r="K427" s="45"/>
      <c r="L427" s="45"/>
    </row>
    <row r="428" spans="1:12">
      <c r="A428" s="10" t="str">
        <f t="shared" si="27"/>
        <v/>
      </c>
      <c r="B428" s="45"/>
      <c r="C428" s="13" t="str">
        <f t="shared" si="24"/>
        <v/>
      </c>
      <c r="D428" s="13" t="str">
        <f t="shared" si="25"/>
        <v/>
      </c>
      <c r="E428" s="45"/>
      <c r="F428" s="11" t="str">
        <f>IFERROR(VLOOKUP(E428,Category!$D$2:$E$600,2,FALSE),"")</f>
        <v/>
      </c>
      <c r="G428" s="56"/>
      <c r="H428" s="56"/>
      <c r="I428" s="16" t="str">
        <f t="shared" si="26"/>
        <v/>
      </c>
      <c r="J428" s="45"/>
      <c r="K428" s="45"/>
      <c r="L428" s="45"/>
    </row>
    <row r="429" spans="1:12">
      <c r="A429" s="10" t="str">
        <f t="shared" si="27"/>
        <v/>
      </c>
      <c r="B429" s="45"/>
      <c r="C429" s="13" t="str">
        <f t="shared" si="24"/>
        <v/>
      </c>
      <c r="D429" s="13" t="str">
        <f t="shared" si="25"/>
        <v/>
      </c>
      <c r="E429" s="45"/>
      <c r="F429" s="11" t="str">
        <f>IFERROR(VLOOKUP(E429,Category!$D$2:$E$600,2,FALSE),"")</f>
        <v/>
      </c>
      <c r="G429" s="56"/>
      <c r="H429" s="56"/>
      <c r="I429" s="16" t="str">
        <f t="shared" si="26"/>
        <v/>
      </c>
      <c r="J429" s="45"/>
      <c r="K429" s="45"/>
      <c r="L429" s="45"/>
    </row>
    <row r="430" spans="1:12">
      <c r="A430" s="10" t="str">
        <f t="shared" si="27"/>
        <v/>
      </c>
      <c r="B430" s="45"/>
      <c r="C430" s="13" t="str">
        <f t="shared" si="24"/>
        <v/>
      </c>
      <c r="D430" s="13" t="str">
        <f t="shared" si="25"/>
        <v/>
      </c>
      <c r="E430" s="45"/>
      <c r="F430" s="11" t="str">
        <f>IFERROR(VLOOKUP(E430,Category!$D$2:$E$600,2,FALSE),"")</f>
        <v/>
      </c>
      <c r="G430" s="56"/>
      <c r="H430" s="56"/>
      <c r="I430" s="16" t="str">
        <f t="shared" si="26"/>
        <v/>
      </c>
      <c r="J430" s="45"/>
      <c r="K430" s="45"/>
      <c r="L430" s="45"/>
    </row>
    <row r="431" spans="1:12">
      <c r="A431" s="10" t="str">
        <f t="shared" si="27"/>
        <v/>
      </c>
      <c r="B431" s="45"/>
      <c r="C431" s="13" t="str">
        <f t="shared" si="24"/>
        <v/>
      </c>
      <c r="D431" s="13" t="str">
        <f t="shared" si="25"/>
        <v/>
      </c>
      <c r="E431" s="45"/>
      <c r="F431" s="11" t="str">
        <f>IFERROR(VLOOKUP(E431,Category!$D$2:$E$600,2,FALSE),"")</f>
        <v/>
      </c>
      <c r="G431" s="56"/>
      <c r="H431" s="56"/>
      <c r="I431" s="16" t="str">
        <f t="shared" si="26"/>
        <v/>
      </c>
      <c r="J431" s="45"/>
      <c r="K431" s="45"/>
      <c r="L431" s="45"/>
    </row>
    <row r="432" spans="1:12">
      <c r="A432" s="10" t="str">
        <f t="shared" si="27"/>
        <v/>
      </c>
      <c r="B432" s="45"/>
      <c r="C432" s="13" t="str">
        <f t="shared" si="24"/>
        <v/>
      </c>
      <c r="D432" s="13" t="str">
        <f t="shared" si="25"/>
        <v/>
      </c>
      <c r="E432" s="45"/>
      <c r="F432" s="11" t="str">
        <f>IFERROR(VLOOKUP(E432,Category!$D$2:$E$600,2,FALSE),"")</f>
        <v/>
      </c>
      <c r="G432" s="56"/>
      <c r="H432" s="56"/>
      <c r="I432" s="16" t="str">
        <f t="shared" si="26"/>
        <v/>
      </c>
      <c r="J432" s="45"/>
      <c r="K432" s="45"/>
      <c r="L432" s="45"/>
    </row>
    <row r="433" spans="1:12">
      <c r="A433" s="10" t="str">
        <f t="shared" si="27"/>
        <v/>
      </c>
      <c r="B433" s="45"/>
      <c r="C433" s="13" t="str">
        <f t="shared" si="24"/>
        <v/>
      </c>
      <c r="D433" s="13" t="str">
        <f t="shared" si="25"/>
        <v/>
      </c>
      <c r="E433" s="45"/>
      <c r="F433" s="11" t="str">
        <f>IFERROR(VLOOKUP(E433,Category!$D$2:$E$600,2,FALSE),"")</f>
        <v/>
      </c>
      <c r="G433" s="56"/>
      <c r="H433" s="56"/>
      <c r="I433" s="16" t="str">
        <f t="shared" si="26"/>
        <v/>
      </c>
      <c r="J433" s="45"/>
      <c r="K433" s="45"/>
      <c r="L433" s="45"/>
    </row>
    <row r="434" spans="1:12">
      <c r="A434" s="10" t="str">
        <f t="shared" si="27"/>
        <v/>
      </c>
      <c r="B434" s="45"/>
      <c r="C434" s="13" t="str">
        <f t="shared" si="24"/>
        <v/>
      </c>
      <c r="D434" s="13" t="str">
        <f t="shared" si="25"/>
        <v/>
      </c>
      <c r="E434" s="45"/>
      <c r="F434" s="11" t="str">
        <f>IFERROR(VLOOKUP(E434,Category!$D$2:$E$600,2,FALSE),"")</f>
        <v/>
      </c>
      <c r="G434" s="56"/>
      <c r="H434" s="56"/>
      <c r="I434" s="16" t="str">
        <f t="shared" si="26"/>
        <v/>
      </c>
      <c r="J434" s="45"/>
      <c r="K434" s="45"/>
      <c r="L434" s="45"/>
    </row>
    <row r="435" spans="1:12">
      <c r="A435" s="10" t="str">
        <f t="shared" si="27"/>
        <v/>
      </c>
      <c r="B435" s="45"/>
      <c r="C435" s="13" t="str">
        <f t="shared" si="24"/>
        <v/>
      </c>
      <c r="D435" s="13" t="str">
        <f t="shared" si="25"/>
        <v/>
      </c>
      <c r="E435" s="45"/>
      <c r="F435" s="11" t="str">
        <f>IFERROR(VLOOKUP(E435,Category!$D$2:$E$600,2,FALSE),"")</f>
        <v/>
      </c>
      <c r="G435" s="56"/>
      <c r="H435" s="56"/>
      <c r="I435" s="16" t="str">
        <f t="shared" si="26"/>
        <v/>
      </c>
      <c r="J435" s="45"/>
      <c r="K435" s="45"/>
      <c r="L435" s="45"/>
    </row>
    <row r="436" spans="1:12">
      <c r="A436" s="10" t="str">
        <f t="shared" si="27"/>
        <v/>
      </c>
      <c r="B436" s="45"/>
      <c r="C436" s="13" t="str">
        <f t="shared" si="24"/>
        <v/>
      </c>
      <c r="D436" s="13" t="str">
        <f t="shared" si="25"/>
        <v/>
      </c>
      <c r="E436" s="45"/>
      <c r="F436" s="11" t="str">
        <f>IFERROR(VLOOKUP(E436,Category!$D$2:$E$600,2,FALSE),"")</f>
        <v/>
      </c>
      <c r="G436" s="56"/>
      <c r="H436" s="56"/>
      <c r="I436" s="16" t="str">
        <f t="shared" si="26"/>
        <v/>
      </c>
      <c r="J436" s="45"/>
      <c r="K436" s="45"/>
      <c r="L436" s="45"/>
    </row>
    <row r="437" spans="1:12">
      <c r="A437" s="10" t="str">
        <f t="shared" si="27"/>
        <v/>
      </c>
      <c r="B437" s="45"/>
      <c r="C437" s="13" t="str">
        <f t="shared" si="24"/>
        <v/>
      </c>
      <c r="D437" s="13" t="str">
        <f t="shared" si="25"/>
        <v/>
      </c>
      <c r="E437" s="45"/>
      <c r="F437" s="11" t="str">
        <f>IFERROR(VLOOKUP(E437,Category!$D$2:$E$600,2,FALSE),"")</f>
        <v/>
      </c>
      <c r="G437" s="56"/>
      <c r="H437" s="56"/>
      <c r="I437" s="16" t="str">
        <f t="shared" si="26"/>
        <v/>
      </c>
      <c r="J437" s="45"/>
      <c r="K437" s="45"/>
      <c r="L437" s="45"/>
    </row>
    <row r="438" spans="1:12">
      <c r="A438" s="10" t="str">
        <f t="shared" si="27"/>
        <v/>
      </c>
      <c r="B438" s="45"/>
      <c r="C438" s="13" t="str">
        <f t="shared" si="24"/>
        <v/>
      </c>
      <c r="D438" s="13" t="str">
        <f t="shared" si="25"/>
        <v/>
      </c>
      <c r="E438" s="45"/>
      <c r="F438" s="11" t="str">
        <f>IFERROR(VLOOKUP(E438,Category!$D$2:$E$600,2,FALSE),"")</f>
        <v/>
      </c>
      <c r="G438" s="56"/>
      <c r="H438" s="56"/>
      <c r="I438" s="16" t="str">
        <f t="shared" si="26"/>
        <v/>
      </c>
      <c r="J438" s="45"/>
      <c r="K438" s="45"/>
      <c r="L438" s="45"/>
    </row>
    <row r="439" spans="1:12">
      <c r="A439" s="10" t="str">
        <f t="shared" si="27"/>
        <v/>
      </c>
      <c r="B439" s="45"/>
      <c r="C439" s="13" t="str">
        <f t="shared" si="24"/>
        <v/>
      </c>
      <c r="D439" s="13" t="str">
        <f t="shared" si="25"/>
        <v/>
      </c>
      <c r="E439" s="45"/>
      <c r="F439" s="11" t="str">
        <f>IFERROR(VLOOKUP(E439,Category!$D$2:$E$600,2,FALSE),"")</f>
        <v/>
      </c>
      <c r="G439" s="56"/>
      <c r="H439" s="56"/>
      <c r="I439" s="16" t="str">
        <f t="shared" si="26"/>
        <v/>
      </c>
      <c r="J439" s="45"/>
      <c r="K439" s="45"/>
      <c r="L439" s="45"/>
    </row>
    <row r="440" spans="1:12">
      <c r="A440" s="10" t="str">
        <f t="shared" si="27"/>
        <v/>
      </c>
      <c r="B440" s="45"/>
      <c r="C440" s="13" t="str">
        <f t="shared" si="24"/>
        <v/>
      </c>
      <c r="D440" s="13" t="str">
        <f t="shared" si="25"/>
        <v/>
      </c>
      <c r="E440" s="45"/>
      <c r="F440" s="11" t="str">
        <f>IFERROR(VLOOKUP(E440,Category!$D$2:$E$600,2,FALSE),"")</f>
        <v/>
      </c>
      <c r="G440" s="56"/>
      <c r="H440" s="56"/>
      <c r="I440" s="16" t="str">
        <f t="shared" si="26"/>
        <v/>
      </c>
      <c r="J440" s="45"/>
      <c r="K440" s="45"/>
      <c r="L440" s="45"/>
    </row>
    <row r="441" spans="1:12">
      <c r="A441" s="10" t="str">
        <f t="shared" si="27"/>
        <v/>
      </c>
      <c r="B441" s="45"/>
      <c r="C441" s="13" t="str">
        <f t="shared" si="24"/>
        <v/>
      </c>
      <c r="D441" s="13" t="str">
        <f t="shared" si="25"/>
        <v/>
      </c>
      <c r="E441" s="45"/>
      <c r="F441" s="11" t="str">
        <f>IFERROR(VLOOKUP(E441,Category!$D$2:$E$600,2,FALSE),"")</f>
        <v/>
      </c>
      <c r="G441" s="56"/>
      <c r="H441" s="56"/>
      <c r="I441" s="16" t="str">
        <f t="shared" si="26"/>
        <v/>
      </c>
      <c r="J441" s="45"/>
      <c r="K441" s="45"/>
      <c r="L441" s="45"/>
    </row>
    <row r="442" spans="1:12">
      <c r="A442" s="10" t="str">
        <f t="shared" si="27"/>
        <v/>
      </c>
      <c r="B442" s="45"/>
      <c r="C442" s="13" t="str">
        <f t="shared" si="24"/>
        <v/>
      </c>
      <c r="D442" s="13" t="str">
        <f t="shared" si="25"/>
        <v/>
      </c>
      <c r="E442" s="45"/>
      <c r="F442" s="11" t="str">
        <f>IFERROR(VLOOKUP(E442,Category!$D$2:$E$600,2,FALSE),"")</f>
        <v/>
      </c>
      <c r="G442" s="56"/>
      <c r="H442" s="56"/>
      <c r="I442" s="16" t="str">
        <f t="shared" si="26"/>
        <v/>
      </c>
      <c r="J442" s="45"/>
      <c r="K442" s="45"/>
      <c r="L442" s="45"/>
    </row>
    <row r="443" spans="1:12">
      <c r="A443" s="10" t="str">
        <f t="shared" si="27"/>
        <v/>
      </c>
      <c r="B443" s="45"/>
      <c r="C443" s="13" t="str">
        <f t="shared" si="24"/>
        <v/>
      </c>
      <c r="D443" s="13" t="str">
        <f t="shared" si="25"/>
        <v/>
      </c>
      <c r="E443" s="45"/>
      <c r="F443" s="11" t="str">
        <f>IFERROR(VLOOKUP(E443,Category!$D$2:$E$600,2,FALSE),"")</f>
        <v/>
      </c>
      <c r="G443" s="56"/>
      <c r="H443" s="56"/>
      <c r="I443" s="16" t="str">
        <f t="shared" si="26"/>
        <v/>
      </c>
      <c r="J443" s="45"/>
      <c r="K443" s="45"/>
      <c r="L443" s="45"/>
    </row>
    <row r="444" spans="1:12">
      <c r="A444" s="10" t="str">
        <f t="shared" si="27"/>
        <v/>
      </c>
      <c r="B444" s="45"/>
      <c r="C444" s="13" t="str">
        <f t="shared" si="24"/>
        <v/>
      </c>
      <c r="D444" s="13" t="str">
        <f t="shared" si="25"/>
        <v/>
      </c>
      <c r="E444" s="45"/>
      <c r="F444" s="11" t="str">
        <f>IFERROR(VLOOKUP(E444,Category!$D$2:$E$600,2,FALSE),"")</f>
        <v/>
      </c>
      <c r="G444" s="56"/>
      <c r="H444" s="56"/>
      <c r="I444" s="16" t="str">
        <f t="shared" si="26"/>
        <v/>
      </c>
      <c r="J444" s="45"/>
      <c r="K444" s="45"/>
      <c r="L444" s="45"/>
    </row>
    <row r="445" spans="1:12">
      <c r="A445" s="10" t="str">
        <f t="shared" si="27"/>
        <v/>
      </c>
      <c r="B445" s="45"/>
      <c r="C445" s="13" t="str">
        <f t="shared" si="24"/>
        <v/>
      </c>
      <c r="D445" s="13" t="str">
        <f t="shared" si="25"/>
        <v/>
      </c>
      <c r="E445" s="45"/>
      <c r="F445" s="11" t="str">
        <f>IFERROR(VLOOKUP(E445,Category!$D$2:$E$600,2,FALSE),"")</f>
        <v/>
      </c>
      <c r="G445" s="56"/>
      <c r="H445" s="56"/>
      <c r="I445" s="16" t="str">
        <f t="shared" si="26"/>
        <v/>
      </c>
      <c r="J445" s="45"/>
      <c r="K445" s="45"/>
      <c r="L445" s="45"/>
    </row>
    <row r="446" spans="1:12">
      <c r="A446" s="10" t="str">
        <f t="shared" si="27"/>
        <v/>
      </c>
      <c r="B446" s="45"/>
      <c r="C446" s="13" t="str">
        <f t="shared" si="24"/>
        <v/>
      </c>
      <c r="D446" s="13" t="str">
        <f t="shared" si="25"/>
        <v/>
      </c>
      <c r="E446" s="45"/>
      <c r="F446" s="11" t="str">
        <f>IFERROR(VLOOKUP(E446,Category!$D$2:$E$600,2,FALSE),"")</f>
        <v/>
      </c>
      <c r="G446" s="56"/>
      <c r="H446" s="56"/>
      <c r="I446" s="16" t="str">
        <f t="shared" si="26"/>
        <v/>
      </c>
      <c r="J446" s="45"/>
      <c r="K446" s="45"/>
      <c r="L446" s="45"/>
    </row>
    <row r="447" spans="1:12">
      <c r="A447" s="10" t="str">
        <f t="shared" si="27"/>
        <v/>
      </c>
      <c r="B447" s="45"/>
      <c r="C447" s="13" t="str">
        <f t="shared" si="24"/>
        <v/>
      </c>
      <c r="D447" s="13" t="str">
        <f t="shared" si="25"/>
        <v/>
      </c>
      <c r="E447" s="45"/>
      <c r="F447" s="11" t="str">
        <f>IFERROR(VLOOKUP(E447,Category!$D$2:$E$600,2,FALSE),"")</f>
        <v/>
      </c>
      <c r="G447" s="56"/>
      <c r="H447" s="56"/>
      <c r="I447" s="16" t="str">
        <f t="shared" si="26"/>
        <v/>
      </c>
      <c r="J447" s="45"/>
      <c r="K447" s="45"/>
      <c r="L447" s="45"/>
    </row>
    <row r="448" spans="1:12">
      <c r="A448" s="10" t="str">
        <f t="shared" si="27"/>
        <v/>
      </c>
      <c r="B448" s="45"/>
      <c r="C448" s="13" t="str">
        <f t="shared" si="24"/>
        <v/>
      </c>
      <c r="D448" s="13" t="str">
        <f t="shared" si="25"/>
        <v/>
      </c>
      <c r="E448" s="45"/>
      <c r="F448" s="11" t="str">
        <f>IFERROR(VLOOKUP(E448,Category!$D$2:$E$600,2,FALSE),"")</f>
        <v/>
      </c>
      <c r="G448" s="56"/>
      <c r="H448" s="56"/>
      <c r="I448" s="16" t="str">
        <f t="shared" si="26"/>
        <v/>
      </c>
      <c r="J448" s="45"/>
      <c r="K448" s="45"/>
      <c r="L448" s="45"/>
    </row>
    <row r="449" spans="1:12">
      <c r="A449" s="10" t="str">
        <f t="shared" si="27"/>
        <v/>
      </c>
      <c r="B449" s="45"/>
      <c r="C449" s="13" t="str">
        <f t="shared" si="24"/>
        <v/>
      </c>
      <c r="D449" s="13" t="str">
        <f t="shared" si="25"/>
        <v/>
      </c>
      <c r="E449" s="45"/>
      <c r="F449" s="11" t="str">
        <f>IFERROR(VLOOKUP(E449,Category!$D$2:$E$600,2,FALSE),"")</f>
        <v/>
      </c>
      <c r="G449" s="56"/>
      <c r="H449" s="56"/>
      <c r="I449" s="16" t="str">
        <f t="shared" si="26"/>
        <v/>
      </c>
      <c r="J449" s="45"/>
      <c r="K449" s="45"/>
      <c r="L449" s="45"/>
    </row>
    <row r="450" spans="1:12">
      <c r="A450" s="10" t="str">
        <f t="shared" si="27"/>
        <v/>
      </c>
      <c r="B450" s="45"/>
      <c r="C450" s="13" t="str">
        <f t="shared" si="24"/>
        <v/>
      </c>
      <c r="D450" s="13" t="str">
        <f t="shared" si="25"/>
        <v/>
      </c>
      <c r="E450" s="45"/>
      <c r="F450" s="11" t="str">
        <f>IFERROR(VLOOKUP(E450,Category!$D$2:$E$600,2,FALSE),"")</f>
        <v/>
      </c>
      <c r="G450" s="56"/>
      <c r="H450" s="56"/>
      <c r="I450" s="16" t="str">
        <f t="shared" si="26"/>
        <v/>
      </c>
      <c r="J450" s="45"/>
      <c r="K450" s="45"/>
      <c r="L450" s="45"/>
    </row>
    <row r="451" spans="1:12">
      <c r="A451" s="10" t="str">
        <f t="shared" si="27"/>
        <v/>
      </c>
      <c r="B451" s="45"/>
      <c r="C451" s="13" t="str">
        <f t="shared" ref="C451:C514" si="28">IF(B451=0,"",TEXT(B451,"mmmm"))</f>
        <v/>
      </c>
      <c r="D451" s="13" t="str">
        <f t="shared" ref="D451:D514" si="29">IF(B451=0,"",TEXT(B451,"yyyy"))</f>
        <v/>
      </c>
      <c r="E451" s="45"/>
      <c r="F451" s="11" t="str">
        <f>IFERROR(VLOOKUP(E451,Category!$D$2:$E$600,2,FALSE),"")</f>
        <v/>
      </c>
      <c r="G451" s="56"/>
      <c r="H451" s="56"/>
      <c r="I451" s="16" t="str">
        <f t="shared" ref="I451:I514" si="30">IF(H451*G451=0,"",H451*G451)</f>
        <v/>
      </c>
      <c r="J451" s="45"/>
      <c r="K451" s="45"/>
      <c r="L451" s="45"/>
    </row>
    <row r="452" spans="1:12">
      <c r="A452" s="10" t="str">
        <f t="shared" ref="A452:A515" si="31">IF(E452&gt;0,A451+1,"")</f>
        <v/>
      </c>
      <c r="B452" s="45"/>
      <c r="C452" s="13" t="str">
        <f t="shared" si="28"/>
        <v/>
      </c>
      <c r="D452" s="13" t="str">
        <f t="shared" si="29"/>
        <v/>
      </c>
      <c r="E452" s="45"/>
      <c r="F452" s="11" t="str">
        <f>IFERROR(VLOOKUP(E452,Category!$D$2:$E$600,2,FALSE),"")</f>
        <v/>
      </c>
      <c r="G452" s="56"/>
      <c r="H452" s="56"/>
      <c r="I452" s="16" t="str">
        <f t="shared" si="30"/>
        <v/>
      </c>
      <c r="J452" s="45"/>
      <c r="K452" s="45"/>
      <c r="L452" s="45"/>
    </row>
    <row r="453" spans="1:12">
      <c r="A453" s="10" t="str">
        <f t="shared" si="31"/>
        <v/>
      </c>
      <c r="B453" s="45"/>
      <c r="C453" s="13" t="str">
        <f t="shared" si="28"/>
        <v/>
      </c>
      <c r="D453" s="13" t="str">
        <f t="shared" si="29"/>
        <v/>
      </c>
      <c r="E453" s="45"/>
      <c r="F453" s="11" t="str">
        <f>IFERROR(VLOOKUP(E453,Category!$D$2:$E$600,2,FALSE),"")</f>
        <v/>
      </c>
      <c r="G453" s="56"/>
      <c r="H453" s="56"/>
      <c r="I453" s="16" t="str">
        <f t="shared" si="30"/>
        <v/>
      </c>
      <c r="J453" s="45"/>
      <c r="K453" s="45"/>
      <c r="L453" s="45"/>
    </row>
    <row r="454" spans="1:12">
      <c r="A454" s="10" t="str">
        <f t="shared" si="31"/>
        <v/>
      </c>
      <c r="B454" s="45"/>
      <c r="C454" s="13" t="str">
        <f t="shared" si="28"/>
        <v/>
      </c>
      <c r="D454" s="13" t="str">
        <f t="shared" si="29"/>
        <v/>
      </c>
      <c r="E454" s="45"/>
      <c r="F454" s="11" t="str">
        <f>IFERROR(VLOOKUP(E454,Category!$D$2:$E$600,2,FALSE),"")</f>
        <v/>
      </c>
      <c r="G454" s="56"/>
      <c r="H454" s="56"/>
      <c r="I454" s="16" t="str">
        <f t="shared" si="30"/>
        <v/>
      </c>
      <c r="J454" s="45"/>
      <c r="K454" s="45"/>
      <c r="L454" s="45"/>
    </row>
    <row r="455" spans="1:12">
      <c r="A455" s="10" t="str">
        <f t="shared" si="31"/>
        <v/>
      </c>
      <c r="B455" s="45"/>
      <c r="C455" s="13" t="str">
        <f t="shared" si="28"/>
        <v/>
      </c>
      <c r="D455" s="13" t="str">
        <f t="shared" si="29"/>
        <v/>
      </c>
      <c r="E455" s="45"/>
      <c r="F455" s="11" t="str">
        <f>IFERROR(VLOOKUP(E455,Category!$D$2:$E$600,2,FALSE),"")</f>
        <v/>
      </c>
      <c r="G455" s="56"/>
      <c r="H455" s="56"/>
      <c r="I455" s="16" t="str">
        <f t="shared" si="30"/>
        <v/>
      </c>
      <c r="J455" s="45"/>
      <c r="K455" s="45"/>
      <c r="L455" s="45"/>
    </row>
    <row r="456" spans="1:12">
      <c r="A456" s="10" t="str">
        <f t="shared" si="31"/>
        <v/>
      </c>
      <c r="B456" s="45"/>
      <c r="C456" s="13" t="str">
        <f t="shared" si="28"/>
        <v/>
      </c>
      <c r="D456" s="13" t="str">
        <f t="shared" si="29"/>
        <v/>
      </c>
      <c r="E456" s="45"/>
      <c r="F456" s="11" t="str">
        <f>IFERROR(VLOOKUP(E456,Category!$D$2:$E$600,2,FALSE),"")</f>
        <v/>
      </c>
      <c r="G456" s="56"/>
      <c r="H456" s="56"/>
      <c r="I456" s="16" t="str">
        <f t="shared" si="30"/>
        <v/>
      </c>
      <c r="J456" s="45"/>
      <c r="K456" s="45"/>
      <c r="L456" s="45"/>
    </row>
    <row r="457" spans="1:12">
      <c r="A457" s="10" t="str">
        <f t="shared" si="31"/>
        <v/>
      </c>
      <c r="B457" s="45"/>
      <c r="C457" s="13" t="str">
        <f t="shared" si="28"/>
        <v/>
      </c>
      <c r="D457" s="13" t="str">
        <f t="shared" si="29"/>
        <v/>
      </c>
      <c r="E457" s="45"/>
      <c r="F457" s="11" t="str">
        <f>IFERROR(VLOOKUP(E457,Category!$D$2:$E$600,2,FALSE),"")</f>
        <v/>
      </c>
      <c r="G457" s="56"/>
      <c r="H457" s="56"/>
      <c r="I457" s="16" t="str">
        <f t="shared" si="30"/>
        <v/>
      </c>
      <c r="J457" s="45"/>
      <c r="K457" s="45"/>
      <c r="L457" s="45"/>
    </row>
    <row r="458" spans="1:12">
      <c r="A458" s="10" t="str">
        <f t="shared" si="31"/>
        <v/>
      </c>
      <c r="B458" s="45"/>
      <c r="C458" s="13" t="str">
        <f t="shared" si="28"/>
        <v/>
      </c>
      <c r="D458" s="13" t="str">
        <f t="shared" si="29"/>
        <v/>
      </c>
      <c r="E458" s="45"/>
      <c r="F458" s="11" t="str">
        <f>IFERROR(VLOOKUP(E458,Category!$D$2:$E$600,2,FALSE),"")</f>
        <v/>
      </c>
      <c r="G458" s="56"/>
      <c r="H458" s="56"/>
      <c r="I458" s="16" t="str">
        <f t="shared" si="30"/>
        <v/>
      </c>
      <c r="J458" s="45"/>
      <c r="K458" s="45"/>
      <c r="L458" s="45"/>
    </row>
    <row r="459" spans="1:12">
      <c r="A459" s="10" t="str">
        <f t="shared" si="31"/>
        <v/>
      </c>
      <c r="B459" s="45"/>
      <c r="C459" s="13" t="str">
        <f t="shared" si="28"/>
        <v/>
      </c>
      <c r="D459" s="13" t="str">
        <f t="shared" si="29"/>
        <v/>
      </c>
      <c r="E459" s="45"/>
      <c r="F459" s="11" t="str">
        <f>IFERROR(VLOOKUP(E459,Category!$D$2:$E$600,2,FALSE),"")</f>
        <v/>
      </c>
      <c r="G459" s="56"/>
      <c r="H459" s="56"/>
      <c r="I459" s="16" t="str">
        <f t="shared" si="30"/>
        <v/>
      </c>
      <c r="J459" s="45"/>
      <c r="K459" s="45"/>
      <c r="L459" s="45"/>
    </row>
    <row r="460" spans="1:12">
      <c r="A460" s="10" t="str">
        <f t="shared" si="31"/>
        <v/>
      </c>
      <c r="B460" s="45"/>
      <c r="C460" s="13" t="str">
        <f t="shared" si="28"/>
        <v/>
      </c>
      <c r="D460" s="13" t="str">
        <f t="shared" si="29"/>
        <v/>
      </c>
      <c r="E460" s="45"/>
      <c r="F460" s="11" t="str">
        <f>IFERROR(VLOOKUP(E460,Category!$D$2:$E$600,2,FALSE),"")</f>
        <v/>
      </c>
      <c r="G460" s="56"/>
      <c r="H460" s="56"/>
      <c r="I460" s="16" t="str">
        <f t="shared" si="30"/>
        <v/>
      </c>
      <c r="J460" s="45"/>
      <c r="K460" s="45"/>
      <c r="L460" s="45"/>
    </row>
    <row r="461" spans="1:12">
      <c r="A461" s="10" t="str">
        <f t="shared" si="31"/>
        <v/>
      </c>
      <c r="B461" s="45"/>
      <c r="C461" s="13" t="str">
        <f t="shared" si="28"/>
        <v/>
      </c>
      <c r="D461" s="13" t="str">
        <f t="shared" si="29"/>
        <v/>
      </c>
      <c r="E461" s="45"/>
      <c r="F461" s="11" t="str">
        <f>IFERROR(VLOOKUP(E461,Category!$D$2:$E$600,2,FALSE),"")</f>
        <v/>
      </c>
      <c r="G461" s="56"/>
      <c r="H461" s="56"/>
      <c r="I461" s="16" t="str">
        <f t="shared" si="30"/>
        <v/>
      </c>
      <c r="J461" s="45"/>
      <c r="K461" s="45"/>
      <c r="L461" s="45"/>
    </row>
    <row r="462" spans="1:12">
      <c r="A462" s="10" t="str">
        <f t="shared" si="31"/>
        <v/>
      </c>
      <c r="B462" s="45"/>
      <c r="C462" s="13" t="str">
        <f t="shared" si="28"/>
        <v/>
      </c>
      <c r="D462" s="13" t="str">
        <f t="shared" si="29"/>
        <v/>
      </c>
      <c r="E462" s="45"/>
      <c r="F462" s="11" t="str">
        <f>IFERROR(VLOOKUP(E462,Category!$D$2:$E$600,2,FALSE),"")</f>
        <v/>
      </c>
      <c r="G462" s="56"/>
      <c r="H462" s="56"/>
      <c r="I462" s="16" t="str">
        <f t="shared" si="30"/>
        <v/>
      </c>
      <c r="J462" s="45"/>
      <c r="K462" s="45"/>
      <c r="L462" s="45"/>
    </row>
    <row r="463" spans="1:12">
      <c r="A463" s="10" t="str">
        <f t="shared" si="31"/>
        <v/>
      </c>
      <c r="B463" s="45"/>
      <c r="C463" s="13" t="str">
        <f t="shared" si="28"/>
        <v/>
      </c>
      <c r="D463" s="13" t="str">
        <f t="shared" si="29"/>
        <v/>
      </c>
      <c r="E463" s="45"/>
      <c r="F463" s="11" t="str">
        <f>IFERROR(VLOOKUP(E463,Category!$D$2:$E$600,2,FALSE),"")</f>
        <v/>
      </c>
      <c r="G463" s="56"/>
      <c r="H463" s="56"/>
      <c r="I463" s="16" t="str">
        <f t="shared" si="30"/>
        <v/>
      </c>
      <c r="J463" s="45"/>
      <c r="K463" s="45"/>
      <c r="L463" s="45"/>
    </row>
    <row r="464" spans="1:12">
      <c r="A464" s="10" t="str">
        <f t="shared" si="31"/>
        <v/>
      </c>
      <c r="B464" s="45"/>
      <c r="C464" s="13" t="str">
        <f t="shared" si="28"/>
        <v/>
      </c>
      <c r="D464" s="13" t="str">
        <f t="shared" si="29"/>
        <v/>
      </c>
      <c r="E464" s="45"/>
      <c r="F464" s="11" t="str">
        <f>IFERROR(VLOOKUP(E464,Category!$D$2:$E$600,2,FALSE),"")</f>
        <v/>
      </c>
      <c r="G464" s="56"/>
      <c r="H464" s="56"/>
      <c r="I464" s="16" t="str">
        <f t="shared" si="30"/>
        <v/>
      </c>
      <c r="J464" s="45"/>
      <c r="K464" s="45"/>
      <c r="L464" s="45"/>
    </row>
    <row r="465" spans="1:12">
      <c r="A465" s="10" t="str">
        <f t="shared" si="31"/>
        <v/>
      </c>
      <c r="B465" s="45"/>
      <c r="C465" s="13" t="str">
        <f t="shared" si="28"/>
        <v/>
      </c>
      <c r="D465" s="13" t="str">
        <f t="shared" si="29"/>
        <v/>
      </c>
      <c r="E465" s="45"/>
      <c r="F465" s="11" t="str">
        <f>IFERROR(VLOOKUP(E465,Category!$D$2:$E$600,2,FALSE),"")</f>
        <v/>
      </c>
      <c r="G465" s="56"/>
      <c r="H465" s="56"/>
      <c r="I465" s="16" t="str">
        <f t="shared" si="30"/>
        <v/>
      </c>
      <c r="J465" s="45"/>
      <c r="K465" s="45"/>
      <c r="L465" s="45"/>
    </row>
    <row r="466" spans="1:12">
      <c r="A466" s="10" t="str">
        <f t="shared" si="31"/>
        <v/>
      </c>
      <c r="B466" s="45"/>
      <c r="C466" s="13" t="str">
        <f t="shared" si="28"/>
        <v/>
      </c>
      <c r="D466" s="13" t="str">
        <f t="shared" si="29"/>
        <v/>
      </c>
      <c r="E466" s="45"/>
      <c r="F466" s="11" t="str">
        <f>IFERROR(VLOOKUP(E466,Category!$D$2:$E$600,2,FALSE),"")</f>
        <v/>
      </c>
      <c r="G466" s="56"/>
      <c r="H466" s="56"/>
      <c r="I466" s="16" t="str">
        <f t="shared" si="30"/>
        <v/>
      </c>
      <c r="J466" s="45"/>
      <c r="K466" s="45"/>
      <c r="L466" s="45"/>
    </row>
    <row r="467" spans="1:12">
      <c r="A467" s="10" t="str">
        <f t="shared" si="31"/>
        <v/>
      </c>
      <c r="B467" s="45"/>
      <c r="C467" s="13" t="str">
        <f t="shared" si="28"/>
        <v/>
      </c>
      <c r="D467" s="13" t="str">
        <f t="shared" si="29"/>
        <v/>
      </c>
      <c r="E467" s="45"/>
      <c r="F467" s="11" t="str">
        <f>IFERROR(VLOOKUP(E467,Category!$D$2:$E$600,2,FALSE),"")</f>
        <v/>
      </c>
      <c r="G467" s="56"/>
      <c r="H467" s="56"/>
      <c r="I467" s="16" t="str">
        <f t="shared" si="30"/>
        <v/>
      </c>
      <c r="J467" s="45"/>
      <c r="K467" s="45"/>
      <c r="L467" s="45"/>
    </row>
    <row r="468" spans="1:12">
      <c r="A468" s="10" t="str">
        <f t="shared" si="31"/>
        <v/>
      </c>
      <c r="B468" s="45"/>
      <c r="C468" s="13" t="str">
        <f t="shared" si="28"/>
        <v/>
      </c>
      <c r="D468" s="13" t="str">
        <f t="shared" si="29"/>
        <v/>
      </c>
      <c r="E468" s="45"/>
      <c r="F468" s="11" t="str">
        <f>IFERROR(VLOOKUP(E468,Category!$D$2:$E$600,2,FALSE),"")</f>
        <v/>
      </c>
      <c r="G468" s="56"/>
      <c r="H468" s="56"/>
      <c r="I468" s="16" t="str">
        <f t="shared" si="30"/>
        <v/>
      </c>
      <c r="J468" s="45"/>
      <c r="K468" s="45"/>
      <c r="L468" s="45"/>
    </row>
    <row r="469" spans="1:12">
      <c r="A469" s="10" t="str">
        <f t="shared" si="31"/>
        <v/>
      </c>
      <c r="B469" s="45"/>
      <c r="C469" s="13" t="str">
        <f t="shared" si="28"/>
        <v/>
      </c>
      <c r="D469" s="13" t="str">
        <f t="shared" si="29"/>
        <v/>
      </c>
      <c r="E469" s="45"/>
      <c r="F469" s="11" t="str">
        <f>IFERROR(VLOOKUP(E469,Category!$D$2:$E$600,2,FALSE),"")</f>
        <v/>
      </c>
      <c r="G469" s="56"/>
      <c r="H469" s="56"/>
      <c r="I469" s="16" t="str">
        <f t="shared" si="30"/>
        <v/>
      </c>
      <c r="J469" s="45"/>
      <c r="K469" s="45"/>
      <c r="L469" s="45"/>
    </row>
    <row r="470" spans="1:12">
      <c r="A470" s="10" t="str">
        <f t="shared" si="31"/>
        <v/>
      </c>
      <c r="B470" s="45"/>
      <c r="C470" s="13" t="str">
        <f t="shared" si="28"/>
        <v/>
      </c>
      <c r="D470" s="13" t="str">
        <f t="shared" si="29"/>
        <v/>
      </c>
      <c r="E470" s="45"/>
      <c r="F470" s="11" t="str">
        <f>IFERROR(VLOOKUP(E470,Category!$D$2:$E$600,2,FALSE),"")</f>
        <v/>
      </c>
      <c r="G470" s="56"/>
      <c r="H470" s="56"/>
      <c r="I470" s="16" t="str">
        <f t="shared" si="30"/>
        <v/>
      </c>
      <c r="J470" s="45"/>
      <c r="K470" s="45"/>
      <c r="L470" s="45"/>
    </row>
    <row r="471" spans="1:12">
      <c r="A471" s="10" t="str">
        <f t="shared" si="31"/>
        <v/>
      </c>
      <c r="B471" s="45"/>
      <c r="C471" s="13" t="str">
        <f t="shared" si="28"/>
        <v/>
      </c>
      <c r="D471" s="13" t="str">
        <f t="shared" si="29"/>
        <v/>
      </c>
      <c r="E471" s="45"/>
      <c r="F471" s="11" t="str">
        <f>IFERROR(VLOOKUP(E471,Category!$D$2:$E$600,2,FALSE),"")</f>
        <v/>
      </c>
      <c r="G471" s="56"/>
      <c r="H471" s="56"/>
      <c r="I471" s="16" t="str">
        <f t="shared" si="30"/>
        <v/>
      </c>
      <c r="J471" s="45"/>
      <c r="K471" s="45"/>
      <c r="L471" s="45"/>
    </row>
    <row r="472" spans="1:12">
      <c r="A472" s="10" t="str">
        <f t="shared" si="31"/>
        <v/>
      </c>
      <c r="B472" s="45"/>
      <c r="C472" s="13" t="str">
        <f t="shared" si="28"/>
        <v/>
      </c>
      <c r="D472" s="13" t="str">
        <f t="shared" si="29"/>
        <v/>
      </c>
      <c r="E472" s="45"/>
      <c r="F472" s="11" t="str">
        <f>IFERROR(VLOOKUP(E472,Category!$D$2:$E$600,2,FALSE),"")</f>
        <v/>
      </c>
      <c r="G472" s="56"/>
      <c r="H472" s="56"/>
      <c r="I472" s="16" t="str">
        <f t="shared" si="30"/>
        <v/>
      </c>
      <c r="J472" s="45"/>
      <c r="K472" s="45"/>
      <c r="L472" s="45"/>
    </row>
    <row r="473" spans="1:12">
      <c r="A473" s="10" t="str">
        <f t="shared" si="31"/>
        <v/>
      </c>
      <c r="B473" s="45"/>
      <c r="C473" s="13" t="str">
        <f t="shared" si="28"/>
        <v/>
      </c>
      <c r="D473" s="13" t="str">
        <f t="shared" si="29"/>
        <v/>
      </c>
      <c r="E473" s="45"/>
      <c r="F473" s="11" t="str">
        <f>IFERROR(VLOOKUP(E473,Category!$D$2:$E$600,2,FALSE),"")</f>
        <v/>
      </c>
      <c r="G473" s="56"/>
      <c r="H473" s="56"/>
      <c r="I473" s="16" t="str">
        <f t="shared" si="30"/>
        <v/>
      </c>
      <c r="J473" s="45"/>
      <c r="K473" s="45"/>
      <c r="L473" s="45"/>
    </row>
    <row r="474" spans="1:12">
      <c r="A474" s="10" t="str">
        <f t="shared" si="31"/>
        <v/>
      </c>
      <c r="B474" s="45"/>
      <c r="C474" s="13" t="str">
        <f t="shared" si="28"/>
        <v/>
      </c>
      <c r="D474" s="13" t="str">
        <f t="shared" si="29"/>
        <v/>
      </c>
      <c r="E474" s="45"/>
      <c r="F474" s="11" t="str">
        <f>IFERROR(VLOOKUP(E474,Category!$D$2:$E$600,2,FALSE),"")</f>
        <v/>
      </c>
      <c r="G474" s="56"/>
      <c r="H474" s="56"/>
      <c r="I474" s="16" t="str">
        <f t="shared" si="30"/>
        <v/>
      </c>
      <c r="J474" s="45"/>
      <c r="K474" s="45"/>
      <c r="L474" s="45"/>
    </row>
    <row r="475" spans="1:12">
      <c r="A475" s="10" t="str">
        <f t="shared" si="31"/>
        <v/>
      </c>
      <c r="B475" s="45"/>
      <c r="C475" s="13" t="str">
        <f t="shared" si="28"/>
        <v/>
      </c>
      <c r="D475" s="13" t="str">
        <f t="shared" si="29"/>
        <v/>
      </c>
      <c r="E475" s="45"/>
      <c r="F475" s="11" t="str">
        <f>IFERROR(VLOOKUP(E475,Category!$D$2:$E$600,2,FALSE),"")</f>
        <v/>
      </c>
      <c r="G475" s="56"/>
      <c r="H475" s="56"/>
      <c r="I475" s="16" t="str">
        <f t="shared" si="30"/>
        <v/>
      </c>
      <c r="J475" s="45"/>
      <c r="K475" s="45"/>
      <c r="L475" s="45"/>
    </row>
    <row r="476" spans="1:12">
      <c r="A476" s="10" t="str">
        <f t="shared" si="31"/>
        <v/>
      </c>
      <c r="B476" s="45"/>
      <c r="C476" s="13" t="str">
        <f t="shared" si="28"/>
        <v/>
      </c>
      <c r="D476" s="13" t="str">
        <f t="shared" si="29"/>
        <v/>
      </c>
      <c r="E476" s="45"/>
      <c r="F476" s="11" t="str">
        <f>IFERROR(VLOOKUP(E476,Category!$D$2:$E$600,2,FALSE),"")</f>
        <v/>
      </c>
      <c r="G476" s="56"/>
      <c r="H476" s="56"/>
      <c r="I476" s="16" t="str">
        <f t="shared" si="30"/>
        <v/>
      </c>
      <c r="J476" s="45"/>
      <c r="K476" s="45"/>
      <c r="L476" s="45"/>
    </row>
    <row r="477" spans="1:12">
      <c r="A477" s="10" t="str">
        <f t="shared" si="31"/>
        <v/>
      </c>
      <c r="B477" s="45"/>
      <c r="C477" s="13" t="str">
        <f t="shared" si="28"/>
        <v/>
      </c>
      <c r="D477" s="13" t="str">
        <f t="shared" si="29"/>
        <v/>
      </c>
      <c r="E477" s="45"/>
      <c r="F477" s="11" t="str">
        <f>IFERROR(VLOOKUP(E477,Category!$D$2:$E$600,2,FALSE),"")</f>
        <v/>
      </c>
      <c r="G477" s="56"/>
      <c r="H477" s="56"/>
      <c r="I477" s="16" t="str">
        <f t="shared" si="30"/>
        <v/>
      </c>
      <c r="J477" s="45"/>
      <c r="K477" s="45"/>
      <c r="L477" s="45"/>
    </row>
    <row r="478" spans="1:12">
      <c r="A478" s="10" t="str">
        <f t="shared" si="31"/>
        <v/>
      </c>
      <c r="B478" s="45"/>
      <c r="C478" s="13" t="str">
        <f t="shared" si="28"/>
        <v/>
      </c>
      <c r="D478" s="13" t="str">
        <f t="shared" si="29"/>
        <v/>
      </c>
      <c r="E478" s="45"/>
      <c r="F478" s="11" t="str">
        <f>IFERROR(VLOOKUP(E478,Category!$D$2:$E$600,2,FALSE),"")</f>
        <v/>
      </c>
      <c r="G478" s="56"/>
      <c r="H478" s="56"/>
      <c r="I478" s="16" t="str">
        <f t="shared" si="30"/>
        <v/>
      </c>
      <c r="J478" s="45"/>
      <c r="K478" s="45"/>
      <c r="L478" s="45"/>
    </row>
    <row r="479" spans="1:12">
      <c r="A479" s="10" t="str">
        <f t="shared" si="31"/>
        <v/>
      </c>
      <c r="B479" s="45"/>
      <c r="C479" s="13" t="str">
        <f t="shared" si="28"/>
        <v/>
      </c>
      <c r="D479" s="13" t="str">
        <f t="shared" si="29"/>
        <v/>
      </c>
      <c r="E479" s="45"/>
      <c r="F479" s="11" t="str">
        <f>IFERROR(VLOOKUP(E479,Category!$D$2:$E$600,2,FALSE),"")</f>
        <v/>
      </c>
      <c r="G479" s="56"/>
      <c r="H479" s="56"/>
      <c r="I479" s="16" t="str">
        <f t="shared" si="30"/>
        <v/>
      </c>
      <c r="J479" s="45"/>
      <c r="K479" s="45"/>
      <c r="L479" s="45"/>
    </row>
    <row r="480" spans="1:12">
      <c r="A480" s="10" t="str">
        <f t="shared" si="31"/>
        <v/>
      </c>
      <c r="B480" s="45"/>
      <c r="C480" s="13" t="str">
        <f t="shared" si="28"/>
        <v/>
      </c>
      <c r="D480" s="13" t="str">
        <f t="shared" si="29"/>
        <v/>
      </c>
      <c r="E480" s="45"/>
      <c r="F480" s="11" t="str">
        <f>IFERROR(VLOOKUP(E480,Category!$D$2:$E$600,2,FALSE),"")</f>
        <v/>
      </c>
      <c r="G480" s="56"/>
      <c r="H480" s="56"/>
      <c r="I480" s="16" t="str">
        <f t="shared" si="30"/>
        <v/>
      </c>
      <c r="J480" s="45"/>
      <c r="K480" s="45"/>
      <c r="L480" s="45"/>
    </row>
    <row r="481" spans="1:12">
      <c r="A481" s="10" t="str">
        <f t="shared" si="31"/>
        <v/>
      </c>
      <c r="B481" s="45"/>
      <c r="C481" s="13" t="str">
        <f t="shared" si="28"/>
        <v/>
      </c>
      <c r="D481" s="13" t="str">
        <f t="shared" si="29"/>
        <v/>
      </c>
      <c r="E481" s="45"/>
      <c r="F481" s="11" t="str">
        <f>IFERROR(VLOOKUP(E481,Category!$D$2:$E$600,2,FALSE),"")</f>
        <v/>
      </c>
      <c r="G481" s="56"/>
      <c r="H481" s="56"/>
      <c r="I481" s="16" t="str">
        <f t="shared" si="30"/>
        <v/>
      </c>
      <c r="J481" s="45"/>
      <c r="K481" s="45"/>
      <c r="L481" s="45"/>
    </row>
    <row r="482" spans="1:12">
      <c r="A482" s="10" t="str">
        <f t="shared" si="31"/>
        <v/>
      </c>
      <c r="B482" s="45"/>
      <c r="C482" s="13" t="str">
        <f t="shared" si="28"/>
        <v/>
      </c>
      <c r="D482" s="13" t="str">
        <f t="shared" si="29"/>
        <v/>
      </c>
      <c r="E482" s="45"/>
      <c r="F482" s="11" t="str">
        <f>IFERROR(VLOOKUP(E482,Category!$D$2:$E$600,2,FALSE),"")</f>
        <v/>
      </c>
      <c r="G482" s="56"/>
      <c r="H482" s="56"/>
      <c r="I482" s="16" t="str">
        <f t="shared" si="30"/>
        <v/>
      </c>
      <c r="J482" s="45"/>
      <c r="K482" s="45"/>
      <c r="L482" s="45"/>
    </row>
    <row r="483" spans="1:12">
      <c r="A483" s="10" t="str">
        <f t="shared" si="31"/>
        <v/>
      </c>
      <c r="B483" s="45"/>
      <c r="C483" s="13" t="str">
        <f t="shared" si="28"/>
        <v/>
      </c>
      <c r="D483" s="13" t="str">
        <f t="shared" si="29"/>
        <v/>
      </c>
      <c r="E483" s="45"/>
      <c r="F483" s="11" t="str">
        <f>IFERROR(VLOOKUP(E483,Category!$D$2:$E$600,2,FALSE),"")</f>
        <v/>
      </c>
      <c r="G483" s="56"/>
      <c r="H483" s="56"/>
      <c r="I483" s="16" t="str">
        <f t="shared" si="30"/>
        <v/>
      </c>
      <c r="J483" s="45"/>
      <c r="K483" s="45"/>
      <c r="L483" s="45"/>
    </row>
    <row r="484" spans="1:12">
      <c r="A484" s="10" t="str">
        <f t="shared" si="31"/>
        <v/>
      </c>
      <c r="B484" s="45"/>
      <c r="C484" s="13" t="str">
        <f t="shared" si="28"/>
        <v/>
      </c>
      <c r="D484" s="13" t="str">
        <f t="shared" si="29"/>
        <v/>
      </c>
      <c r="E484" s="45"/>
      <c r="F484" s="11" t="str">
        <f>IFERROR(VLOOKUP(E484,Category!$D$2:$E$600,2,FALSE),"")</f>
        <v/>
      </c>
      <c r="G484" s="56"/>
      <c r="H484" s="56"/>
      <c r="I484" s="16" t="str">
        <f t="shared" si="30"/>
        <v/>
      </c>
      <c r="J484" s="45"/>
      <c r="K484" s="45"/>
      <c r="L484" s="45"/>
    </row>
    <row r="485" spans="1:12">
      <c r="A485" s="10" t="str">
        <f t="shared" si="31"/>
        <v/>
      </c>
      <c r="B485" s="45"/>
      <c r="C485" s="13" t="str">
        <f t="shared" si="28"/>
        <v/>
      </c>
      <c r="D485" s="13" t="str">
        <f t="shared" si="29"/>
        <v/>
      </c>
      <c r="E485" s="45"/>
      <c r="F485" s="11" t="str">
        <f>IFERROR(VLOOKUP(E485,Category!$D$2:$E$600,2,FALSE),"")</f>
        <v/>
      </c>
      <c r="G485" s="56"/>
      <c r="H485" s="56"/>
      <c r="I485" s="16" t="str">
        <f t="shared" si="30"/>
        <v/>
      </c>
      <c r="J485" s="45"/>
      <c r="K485" s="45"/>
      <c r="L485" s="45"/>
    </row>
    <row r="486" spans="1:12">
      <c r="A486" s="10" t="str">
        <f t="shared" si="31"/>
        <v/>
      </c>
      <c r="B486" s="45"/>
      <c r="C486" s="13" t="str">
        <f t="shared" si="28"/>
        <v/>
      </c>
      <c r="D486" s="13" t="str">
        <f t="shared" si="29"/>
        <v/>
      </c>
      <c r="E486" s="45"/>
      <c r="F486" s="11" t="str">
        <f>IFERROR(VLOOKUP(E486,Category!$D$2:$E$600,2,FALSE),"")</f>
        <v/>
      </c>
      <c r="G486" s="56"/>
      <c r="H486" s="56"/>
      <c r="I486" s="16" t="str">
        <f t="shared" si="30"/>
        <v/>
      </c>
      <c r="J486" s="45"/>
      <c r="K486" s="45"/>
      <c r="L486" s="45"/>
    </row>
    <row r="487" spans="1:12">
      <c r="A487" s="10" t="str">
        <f t="shared" si="31"/>
        <v/>
      </c>
      <c r="B487" s="45"/>
      <c r="C487" s="13" t="str">
        <f t="shared" si="28"/>
        <v/>
      </c>
      <c r="D487" s="13" t="str">
        <f t="shared" si="29"/>
        <v/>
      </c>
      <c r="E487" s="45"/>
      <c r="F487" s="11" t="str">
        <f>IFERROR(VLOOKUP(E487,Category!$D$2:$E$600,2,FALSE),"")</f>
        <v/>
      </c>
      <c r="G487" s="56"/>
      <c r="H487" s="56"/>
      <c r="I487" s="16" t="str">
        <f t="shared" si="30"/>
        <v/>
      </c>
      <c r="J487" s="45"/>
      <c r="K487" s="45"/>
      <c r="L487" s="45"/>
    </row>
    <row r="488" spans="1:12">
      <c r="A488" s="10" t="str">
        <f t="shared" si="31"/>
        <v/>
      </c>
      <c r="B488" s="45"/>
      <c r="C488" s="13" t="str">
        <f t="shared" si="28"/>
        <v/>
      </c>
      <c r="D488" s="13" t="str">
        <f t="shared" si="29"/>
        <v/>
      </c>
      <c r="E488" s="45"/>
      <c r="F488" s="11" t="str">
        <f>IFERROR(VLOOKUP(E488,Category!$D$2:$E$600,2,FALSE),"")</f>
        <v/>
      </c>
      <c r="G488" s="56"/>
      <c r="H488" s="56"/>
      <c r="I488" s="16" t="str">
        <f t="shared" si="30"/>
        <v/>
      </c>
      <c r="J488" s="45"/>
      <c r="K488" s="45"/>
      <c r="L488" s="45"/>
    </row>
    <row r="489" spans="1:12">
      <c r="A489" s="10" t="str">
        <f t="shared" si="31"/>
        <v/>
      </c>
      <c r="B489" s="45"/>
      <c r="C489" s="13" t="str">
        <f t="shared" si="28"/>
        <v/>
      </c>
      <c r="D489" s="13" t="str">
        <f t="shared" si="29"/>
        <v/>
      </c>
      <c r="E489" s="45"/>
      <c r="F489" s="11" t="str">
        <f>IFERROR(VLOOKUP(E489,Category!$D$2:$E$600,2,FALSE),"")</f>
        <v/>
      </c>
      <c r="G489" s="56"/>
      <c r="H489" s="56"/>
      <c r="I489" s="16" t="str">
        <f t="shared" si="30"/>
        <v/>
      </c>
      <c r="J489" s="45"/>
      <c r="K489" s="45"/>
      <c r="L489" s="45"/>
    </row>
    <row r="490" spans="1:12">
      <c r="A490" s="10" t="str">
        <f t="shared" si="31"/>
        <v/>
      </c>
      <c r="B490" s="45"/>
      <c r="C490" s="13" t="str">
        <f t="shared" si="28"/>
        <v/>
      </c>
      <c r="D490" s="13" t="str">
        <f t="shared" si="29"/>
        <v/>
      </c>
      <c r="E490" s="45"/>
      <c r="F490" s="11" t="str">
        <f>IFERROR(VLOOKUP(E490,Category!$D$2:$E$600,2,FALSE),"")</f>
        <v/>
      </c>
      <c r="G490" s="56"/>
      <c r="H490" s="56"/>
      <c r="I490" s="16" t="str">
        <f t="shared" si="30"/>
        <v/>
      </c>
      <c r="J490" s="45"/>
      <c r="K490" s="45"/>
      <c r="L490" s="45"/>
    </row>
    <row r="491" spans="1:12">
      <c r="A491" s="10" t="str">
        <f t="shared" si="31"/>
        <v/>
      </c>
      <c r="B491" s="45"/>
      <c r="C491" s="13" t="str">
        <f t="shared" si="28"/>
        <v/>
      </c>
      <c r="D491" s="13" t="str">
        <f t="shared" si="29"/>
        <v/>
      </c>
      <c r="E491" s="45"/>
      <c r="F491" s="11" t="str">
        <f>IFERROR(VLOOKUP(E491,Category!$D$2:$E$600,2,FALSE),"")</f>
        <v/>
      </c>
      <c r="G491" s="56"/>
      <c r="H491" s="56"/>
      <c r="I491" s="16" t="str">
        <f t="shared" si="30"/>
        <v/>
      </c>
      <c r="J491" s="45"/>
      <c r="K491" s="45"/>
      <c r="L491" s="45"/>
    </row>
    <row r="492" spans="1:12">
      <c r="A492" s="10" t="str">
        <f t="shared" si="31"/>
        <v/>
      </c>
      <c r="B492" s="45"/>
      <c r="C492" s="13" t="str">
        <f t="shared" si="28"/>
        <v/>
      </c>
      <c r="D492" s="13" t="str">
        <f t="shared" si="29"/>
        <v/>
      </c>
      <c r="E492" s="45"/>
      <c r="F492" s="11" t="str">
        <f>IFERROR(VLOOKUP(E492,Category!$D$2:$E$600,2,FALSE),"")</f>
        <v/>
      </c>
      <c r="G492" s="56"/>
      <c r="H492" s="56"/>
      <c r="I492" s="16" t="str">
        <f t="shared" si="30"/>
        <v/>
      </c>
      <c r="J492" s="45"/>
      <c r="K492" s="45"/>
      <c r="L492" s="45"/>
    </row>
    <row r="493" spans="1:12">
      <c r="A493" s="10" t="str">
        <f t="shared" si="31"/>
        <v/>
      </c>
      <c r="B493" s="45"/>
      <c r="C493" s="13" t="str">
        <f t="shared" si="28"/>
        <v/>
      </c>
      <c r="D493" s="13" t="str">
        <f t="shared" si="29"/>
        <v/>
      </c>
      <c r="E493" s="45"/>
      <c r="F493" s="11" t="str">
        <f>IFERROR(VLOOKUP(E493,Category!$D$2:$E$600,2,FALSE),"")</f>
        <v/>
      </c>
      <c r="G493" s="56"/>
      <c r="H493" s="56"/>
      <c r="I493" s="16" t="str">
        <f t="shared" si="30"/>
        <v/>
      </c>
      <c r="J493" s="45"/>
      <c r="K493" s="45"/>
      <c r="L493" s="45"/>
    </row>
    <row r="494" spans="1:12">
      <c r="A494" s="10" t="str">
        <f t="shared" si="31"/>
        <v/>
      </c>
      <c r="B494" s="45"/>
      <c r="C494" s="13" t="str">
        <f t="shared" si="28"/>
        <v/>
      </c>
      <c r="D494" s="13" t="str">
        <f t="shared" si="29"/>
        <v/>
      </c>
      <c r="E494" s="45"/>
      <c r="F494" s="11" t="str">
        <f>IFERROR(VLOOKUP(E494,Category!$D$2:$E$600,2,FALSE),"")</f>
        <v/>
      </c>
      <c r="G494" s="56"/>
      <c r="H494" s="56"/>
      <c r="I494" s="16" t="str">
        <f t="shared" si="30"/>
        <v/>
      </c>
      <c r="J494" s="45"/>
      <c r="K494" s="45"/>
      <c r="L494" s="45"/>
    </row>
    <row r="495" spans="1:12">
      <c r="A495" s="10" t="str">
        <f t="shared" si="31"/>
        <v/>
      </c>
      <c r="B495" s="45"/>
      <c r="C495" s="13" t="str">
        <f t="shared" si="28"/>
        <v/>
      </c>
      <c r="D495" s="13" t="str">
        <f t="shared" si="29"/>
        <v/>
      </c>
      <c r="E495" s="45"/>
      <c r="F495" s="11" t="str">
        <f>IFERROR(VLOOKUP(E495,Category!$D$2:$E$600,2,FALSE),"")</f>
        <v/>
      </c>
      <c r="G495" s="56"/>
      <c r="H495" s="56"/>
      <c r="I495" s="16" t="str">
        <f t="shared" si="30"/>
        <v/>
      </c>
      <c r="J495" s="45"/>
      <c r="K495" s="45"/>
      <c r="L495" s="45"/>
    </row>
    <row r="496" spans="1:12">
      <c r="A496" s="10" t="str">
        <f t="shared" si="31"/>
        <v/>
      </c>
      <c r="B496" s="45"/>
      <c r="C496" s="13" t="str">
        <f t="shared" si="28"/>
        <v/>
      </c>
      <c r="D496" s="13" t="str">
        <f t="shared" si="29"/>
        <v/>
      </c>
      <c r="E496" s="45"/>
      <c r="F496" s="11" t="str">
        <f>IFERROR(VLOOKUP(E496,Category!$D$2:$E$600,2,FALSE),"")</f>
        <v/>
      </c>
      <c r="G496" s="56"/>
      <c r="H496" s="56"/>
      <c r="I496" s="16" t="str">
        <f t="shared" si="30"/>
        <v/>
      </c>
      <c r="J496" s="45"/>
      <c r="K496" s="45"/>
      <c r="L496" s="45"/>
    </row>
    <row r="497" spans="1:12">
      <c r="A497" s="10" t="str">
        <f t="shared" si="31"/>
        <v/>
      </c>
      <c r="B497" s="45"/>
      <c r="C497" s="13" t="str">
        <f t="shared" si="28"/>
        <v/>
      </c>
      <c r="D497" s="13" t="str">
        <f t="shared" si="29"/>
        <v/>
      </c>
      <c r="E497" s="45"/>
      <c r="F497" s="11" t="str">
        <f>IFERROR(VLOOKUP(E497,Category!$D$2:$E$600,2,FALSE),"")</f>
        <v/>
      </c>
      <c r="G497" s="56"/>
      <c r="H497" s="56"/>
      <c r="I497" s="16" t="str">
        <f t="shared" si="30"/>
        <v/>
      </c>
      <c r="J497" s="45"/>
      <c r="K497" s="45"/>
      <c r="L497" s="45"/>
    </row>
    <row r="498" spans="1:12">
      <c r="A498" s="10" t="str">
        <f t="shared" si="31"/>
        <v/>
      </c>
      <c r="B498" s="45"/>
      <c r="C498" s="13" t="str">
        <f t="shared" si="28"/>
        <v/>
      </c>
      <c r="D498" s="13" t="str">
        <f t="shared" si="29"/>
        <v/>
      </c>
      <c r="E498" s="45"/>
      <c r="F498" s="11" t="str">
        <f>IFERROR(VLOOKUP(E498,Category!$D$2:$E$600,2,FALSE),"")</f>
        <v/>
      </c>
      <c r="G498" s="56"/>
      <c r="H498" s="56"/>
      <c r="I498" s="16" t="str">
        <f t="shared" si="30"/>
        <v/>
      </c>
      <c r="J498" s="45"/>
      <c r="K498" s="45"/>
      <c r="L498" s="45"/>
    </row>
    <row r="499" spans="1:12">
      <c r="A499" s="10" t="str">
        <f t="shared" si="31"/>
        <v/>
      </c>
      <c r="B499" s="45"/>
      <c r="C499" s="13" t="str">
        <f t="shared" si="28"/>
        <v/>
      </c>
      <c r="D499" s="13" t="str">
        <f t="shared" si="29"/>
        <v/>
      </c>
      <c r="E499" s="45"/>
      <c r="F499" s="11" t="str">
        <f>IFERROR(VLOOKUP(E499,Category!$D$2:$E$600,2,FALSE),"")</f>
        <v/>
      </c>
      <c r="G499" s="56"/>
      <c r="H499" s="56"/>
      <c r="I499" s="16" t="str">
        <f t="shared" si="30"/>
        <v/>
      </c>
      <c r="J499" s="45"/>
      <c r="K499" s="45"/>
      <c r="L499" s="45"/>
    </row>
    <row r="500" spans="1:12">
      <c r="A500" s="10" t="str">
        <f t="shared" si="31"/>
        <v/>
      </c>
      <c r="B500" s="45"/>
      <c r="C500" s="13" t="str">
        <f t="shared" si="28"/>
        <v/>
      </c>
      <c r="D500" s="13" t="str">
        <f t="shared" si="29"/>
        <v/>
      </c>
      <c r="E500" s="45"/>
      <c r="F500" s="11" t="str">
        <f>IFERROR(VLOOKUP(E500,Category!$D$2:$E$600,2,FALSE),"")</f>
        <v/>
      </c>
      <c r="G500" s="56"/>
      <c r="H500" s="56"/>
      <c r="I500" s="16" t="str">
        <f t="shared" si="30"/>
        <v/>
      </c>
      <c r="J500" s="45"/>
      <c r="K500" s="45"/>
      <c r="L500" s="45"/>
    </row>
    <row r="501" spans="1:12">
      <c r="A501" s="10" t="str">
        <f t="shared" si="31"/>
        <v/>
      </c>
      <c r="B501" s="45"/>
      <c r="C501" s="13" t="str">
        <f t="shared" si="28"/>
        <v/>
      </c>
      <c r="D501" s="13" t="str">
        <f t="shared" si="29"/>
        <v/>
      </c>
      <c r="E501" s="45"/>
      <c r="F501" s="11" t="str">
        <f>IFERROR(VLOOKUP(E501,Category!$D$2:$E$600,2,FALSE),"")</f>
        <v/>
      </c>
      <c r="G501" s="56"/>
      <c r="H501" s="56"/>
      <c r="I501" s="16" t="str">
        <f t="shared" si="30"/>
        <v/>
      </c>
      <c r="J501" s="45"/>
      <c r="K501" s="45"/>
      <c r="L501" s="45"/>
    </row>
    <row r="502" spans="1:12">
      <c r="A502" s="10" t="str">
        <f t="shared" si="31"/>
        <v/>
      </c>
      <c r="B502" s="45"/>
      <c r="C502" s="13" t="str">
        <f t="shared" si="28"/>
        <v/>
      </c>
      <c r="D502" s="13" t="str">
        <f t="shared" si="29"/>
        <v/>
      </c>
      <c r="E502" s="45"/>
      <c r="F502" s="11" t="str">
        <f>IFERROR(VLOOKUP(E502,Category!$D$2:$E$600,2,FALSE),"")</f>
        <v/>
      </c>
      <c r="G502" s="56"/>
      <c r="H502" s="56"/>
      <c r="I502" s="16" t="str">
        <f t="shared" si="30"/>
        <v/>
      </c>
      <c r="J502" s="45"/>
      <c r="K502" s="45"/>
      <c r="L502" s="45"/>
    </row>
    <row r="503" spans="1:12">
      <c r="A503" s="10" t="str">
        <f t="shared" si="31"/>
        <v/>
      </c>
      <c r="B503" s="45"/>
      <c r="C503" s="13" t="str">
        <f t="shared" si="28"/>
        <v/>
      </c>
      <c r="D503" s="13" t="str">
        <f t="shared" si="29"/>
        <v/>
      </c>
      <c r="E503" s="45"/>
      <c r="F503" s="11" t="str">
        <f>IFERROR(VLOOKUP(E503,Category!$D$2:$E$600,2,FALSE),"")</f>
        <v/>
      </c>
      <c r="G503" s="56"/>
      <c r="H503" s="56"/>
      <c r="I503" s="16" t="str">
        <f t="shared" si="30"/>
        <v/>
      </c>
      <c r="J503" s="45"/>
      <c r="K503" s="45"/>
      <c r="L503" s="45"/>
    </row>
    <row r="504" spans="1:12">
      <c r="A504" s="10" t="str">
        <f t="shared" si="31"/>
        <v/>
      </c>
      <c r="B504" s="45"/>
      <c r="C504" s="13" t="str">
        <f t="shared" si="28"/>
        <v/>
      </c>
      <c r="D504" s="13" t="str">
        <f t="shared" si="29"/>
        <v/>
      </c>
      <c r="E504" s="45"/>
      <c r="F504" s="11" t="str">
        <f>IFERROR(VLOOKUP(E504,Category!$D$2:$E$600,2,FALSE),"")</f>
        <v/>
      </c>
      <c r="G504" s="56"/>
      <c r="H504" s="56"/>
      <c r="I504" s="16" t="str">
        <f t="shared" si="30"/>
        <v/>
      </c>
      <c r="J504" s="45"/>
      <c r="K504" s="45"/>
      <c r="L504" s="45"/>
    </row>
    <row r="505" spans="1:12">
      <c r="A505" s="10" t="str">
        <f t="shared" si="31"/>
        <v/>
      </c>
      <c r="B505" s="45"/>
      <c r="C505" s="13" t="str">
        <f t="shared" si="28"/>
        <v/>
      </c>
      <c r="D505" s="13" t="str">
        <f t="shared" si="29"/>
        <v/>
      </c>
      <c r="E505" s="45"/>
      <c r="F505" s="11" t="str">
        <f>IFERROR(VLOOKUP(E505,Category!$D$2:$E$600,2,FALSE),"")</f>
        <v/>
      </c>
      <c r="G505" s="56"/>
      <c r="H505" s="56"/>
      <c r="I505" s="16" t="str">
        <f t="shared" si="30"/>
        <v/>
      </c>
      <c r="J505" s="45"/>
      <c r="K505" s="45"/>
      <c r="L505" s="45"/>
    </row>
    <row r="506" spans="1:12">
      <c r="A506" s="10" t="str">
        <f t="shared" si="31"/>
        <v/>
      </c>
      <c r="B506" s="45"/>
      <c r="C506" s="13" t="str">
        <f t="shared" si="28"/>
        <v/>
      </c>
      <c r="D506" s="13" t="str">
        <f t="shared" si="29"/>
        <v/>
      </c>
      <c r="E506" s="45"/>
      <c r="F506" s="11" t="str">
        <f>IFERROR(VLOOKUP(E506,Category!$D$2:$E$600,2,FALSE),"")</f>
        <v/>
      </c>
      <c r="G506" s="56"/>
      <c r="H506" s="56"/>
      <c r="I506" s="16" t="str">
        <f t="shared" si="30"/>
        <v/>
      </c>
      <c r="J506" s="45"/>
      <c r="K506" s="45"/>
      <c r="L506" s="45"/>
    </row>
    <row r="507" spans="1:12">
      <c r="A507" s="10" t="str">
        <f t="shared" si="31"/>
        <v/>
      </c>
      <c r="B507" s="45"/>
      <c r="C507" s="13" t="str">
        <f t="shared" si="28"/>
        <v/>
      </c>
      <c r="D507" s="13" t="str">
        <f t="shared" si="29"/>
        <v/>
      </c>
      <c r="E507" s="45"/>
      <c r="F507" s="11" t="str">
        <f>IFERROR(VLOOKUP(E507,Category!$D$2:$E$600,2,FALSE),"")</f>
        <v/>
      </c>
      <c r="G507" s="56"/>
      <c r="H507" s="56"/>
      <c r="I507" s="16" t="str">
        <f t="shared" si="30"/>
        <v/>
      </c>
      <c r="J507" s="45"/>
      <c r="K507" s="45"/>
      <c r="L507" s="45"/>
    </row>
    <row r="508" spans="1:12">
      <c r="A508" s="10" t="str">
        <f t="shared" si="31"/>
        <v/>
      </c>
      <c r="B508" s="45"/>
      <c r="C508" s="13" t="str">
        <f t="shared" si="28"/>
        <v/>
      </c>
      <c r="D508" s="13" t="str">
        <f t="shared" si="29"/>
        <v/>
      </c>
      <c r="E508" s="45"/>
      <c r="F508" s="11" t="str">
        <f>IFERROR(VLOOKUP(E508,Category!$D$2:$E$600,2,FALSE),"")</f>
        <v/>
      </c>
      <c r="G508" s="56"/>
      <c r="H508" s="56"/>
      <c r="I508" s="16" t="str">
        <f t="shared" si="30"/>
        <v/>
      </c>
      <c r="J508" s="45"/>
      <c r="K508" s="45"/>
      <c r="L508" s="45"/>
    </row>
    <row r="509" spans="1:12">
      <c r="A509" s="10" t="str">
        <f t="shared" si="31"/>
        <v/>
      </c>
      <c r="B509" s="45"/>
      <c r="C509" s="13" t="str">
        <f t="shared" si="28"/>
        <v/>
      </c>
      <c r="D509" s="13" t="str">
        <f t="shared" si="29"/>
        <v/>
      </c>
      <c r="E509" s="45"/>
      <c r="F509" s="11" t="str">
        <f>IFERROR(VLOOKUP(E509,Category!$D$2:$E$600,2,FALSE),"")</f>
        <v/>
      </c>
      <c r="G509" s="56"/>
      <c r="H509" s="56"/>
      <c r="I509" s="16" t="str">
        <f t="shared" si="30"/>
        <v/>
      </c>
      <c r="J509" s="45"/>
      <c r="K509" s="45"/>
      <c r="L509" s="45"/>
    </row>
    <row r="510" spans="1:12">
      <c r="A510" s="10" t="str">
        <f t="shared" si="31"/>
        <v/>
      </c>
      <c r="B510" s="45"/>
      <c r="C510" s="13" t="str">
        <f t="shared" si="28"/>
        <v/>
      </c>
      <c r="D510" s="13" t="str">
        <f t="shared" si="29"/>
        <v/>
      </c>
      <c r="E510" s="45"/>
      <c r="F510" s="11" t="str">
        <f>IFERROR(VLOOKUP(E510,Category!$D$2:$E$600,2,FALSE),"")</f>
        <v/>
      </c>
      <c r="G510" s="56"/>
      <c r="H510" s="56"/>
      <c r="I510" s="16" t="str">
        <f t="shared" si="30"/>
        <v/>
      </c>
      <c r="J510" s="45"/>
      <c r="K510" s="45"/>
      <c r="L510" s="45"/>
    </row>
    <row r="511" spans="1:12">
      <c r="A511" s="10" t="str">
        <f t="shared" si="31"/>
        <v/>
      </c>
      <c r="B511" s="45"/>
      <c r="C511" s="13" t="str">
        <f t="shared" si="28"/>
        <v/>
      </c>
      <c r="D511" s="13" t="str">
        <f t="shared" si="29"/>
        <v/>
      </c>
      <c r="E511" s="45"/>
      <c r="F511" s="11" t="str">
        <f>IFERROR(VLOOKUP(E511,Category!$D$2:$E$600,2,FALSE),"")</f>
        <v/>
      </c>
      <c r="G511" s="56"/>
      <c r="H511" s="56"/>
      <c r="I511" s="16" t="str">
        <f t="shared" si="30"/>
        <v/>
      </c>
      <c r="J511" s="45"/>
      <c r="K511" s="45"/>
      <c r="L511" s="45"/>
    </row>
    <row r="512" spans="1:12">
      <c r="A512" s="10" t="str">
        <f t="shared" si="31"/>
        <v/>
      </c>
      <c r="B512" s="45"/>
      <c r="C512" s="13" t="str">
        <f t="shared" si="28"/>
        <v/>
      </c>
      <c r="D512" s="13" t="str">
        <f t="shared" si="29"/>
        <v/>
      </c>
      <c r="E512" s="45"/>
      <c r="F512" s="11" t="str">
        <f>IFERROR(VLOOKUP(E512,Category!$D$2:$E$600,2,FALSE),"")</f>
        <v/>
      </c>
      <c r="G512" s="56"/>
      <c r="H512" s="56"/>
      <c r="I512" s="16" t="str">
        <f t="shared" si="30"/>
        <v/>
      </c>
      <c r="J512" s="45"/>
      <c r="K512" s="45"/>
      <c r="L512" s="45"/>
    </row>
    <row r="513" spans="1:12">
      <c r="A513" s="10" t="str">
        <f t="shared" si="31"/>
        <v/>
      </c>
      <c r="B513" s="45"/>
      <c r="C513" s="13" t="str">
        <f t="shared" si="28"/>
        <v/>
      </c>
      <c r="D513" s="13" t="str">
        <f t="shared" si="29"/>
        <v/>
      </c>
      <c r="E513" s="45"/>
      <c r="F513" s="11" t="str">
        <f>IFERROR(VLOOKUP(E513,Category!$D$2:$E$600,2,FALSE),"")</f>
        <v/>
      </c>
      <c r="G513" s="56"/>
      <c r="H513" s="56"/>
      <c r="I513" s="16" t="str">
        <f t="shared" si="30"/>
        <v/>
      </c>
      <c r="J513" s="45"/>
      <c r="K513" s="45"/>
      <c r="L513" s="45"/>
    </row>
    <row r="514" spans="1:12">
      <c r="A514" s="10" t="str">
        <f t="shared" si="31"/>
        <v/>
      </c>
      <c r="B514" s="45"/>
      <c r="C514" s="13" t="str">
        <f t="shared" si="28"/>
        <v/>
      </c>
      <c r="D514" s="13" t="str">
        <f t="shared" si="29"/>
        <v/>
      </c>
      <c r="E514" s="45"/>
      <c r="F514" s="11" t="str">
        <f>IFERROR(VLOOKUP(E514,Category!$D$2:$E$600,2,FALSE),"")</f>
        <v/>
      </c>
      <c r="G514" s="56"/>
      <c r="H514" s="56"/>
      <c r="I514" s="16" t="str">
        <f t="shared" si="30"/>
        <v/>
      </c>
      <c r="J514" s="45"/>
      <c r="K514" s="45"/>
      <c r="L514" s="45"/>
    </row>
    <row r="515" spans="1:12">
      <c r="A515" s="10" t="str">
        <f t="shared" si="31"/>
        <v/>
      </c>
      <c r="B515" s="45"/>
      <c r="C515" s="13" t="str">
        <f t="shared" ref="C515:C578" si="32">IF(B515=0,"",TEXT(B515,"mmmm"))</f>
        <v/>
      </c>
      <c r="D515" s="13" t="str">
        <f t="shared" ref="D515:D578" si="33">IF(B515=0,"",TEXT(B515,"yyyy"))</f>
        <v/>
      </c>
      <c r="E515" s="45"/>
      <c r="F515" s="11" t="str">
        <f>IFERROR(VLOOKUP(E515,Category!$D$2:$E$600,2,FALSE),"")</f>
        <v/>
      </c>
      <c r="G515" s="56"/>
      <c r="H515" s="56"/>
      <c r="I515" s="16" t="str">
        <f t="shared" ref="I515:I578" si="34">IF(H515*G515=0,"",H515*G515)</f>
        <v/>
      </c>
      <c r="J515" s="45"/>
      <c r="K515" s="45"/>
      <c r="L515" s="45"/>
    </row>
    <row r="516" spans="1:12">
      <c r="A516" s="10" t="str">
        <f t="shared" ref="A516:A579" si="35">IF(E516&gt;0,A515+1,"")</f>
        <v/>
      </c>
      <c r="B516" s="45"/>
      <c r="C516" s="13" t="str">
        <f t="shared" si="32"/>
        <v/>
      </c>
      <c r="D516" s="13" t="str">
        <f t="shared" si="33"/>
        <v/>
      </c>
      <c r="E516" s="45"/>
      <c r="F516" s="11" t="str">
        <f>IFERROR(VLOOKUP(E516,Category!$D$2:$E$600,2,FALSE),"")</f>
        <v/>
      </c>
      <c r="G516" s="56"/>
      <c r="H516" s="56"/>
      <c r="I516" s="16" t="str">
        <f t="shared" si="34"/>
        <v/>
      </c>
      <c r="J516" s="45"/>
      <c r="K516" s="45"/>
      <c r="L516" s="45"/>
    </row>
    <row r="517" spans="1:12">
      <c r="A517" s="10" t="str">
        <f t="shared" si="35"/>
        <v/>
      </c>
      <c r="B517" s="45"/>
      <c r="C517" s="13" t="str">
        <f t="shared" si="32"/>
        <v/>
      </c>
      <c r="D517" s="13" t="str">
        <f t="shared" si="33"/>
        <v/>
      </c>
      <c r="E517" s="45"/>
      <c r="F517" s="11" t="str">
        <f>IFERROR(VLOOKUP(E517,Category!$D$2:$E$600,2,FALSE),"")</f>
        <v/>
      </c>
      <c r="G517" s="56"/>
      <c r="H517" s="56"/>
      <c r="I517" s="16" t="str">
        <f t="shared" si="34"/>
        <v/>
      </c>
      <c r="J517" s="45"/>
      <c r="K517" s="45"/>
      <c r="L517" s="45"/>
    </row>
    <row r="518" spans="1:12">
      <c r="A518" s="10" t="str">
        <f t="shared" si="35"/>
        <v/>
      </c>
      <c r="B518" s="45"/>
      <c r="C518" s="13" t="str">
        <f t="shared" si="32"/>
        <v/>
      </c>
      <c r="D518" s="13" t="str">
        <f t="shared" si="33"/>
        <v/>
      </c>
      <c r="E518" s="45"/>
      <c r="F518" s="11" t="str">
        <f>IFERROR(VLOOKUP(E518,Category!$D$2:$E$600,2,FALSE),"")</f>
        <v/>
      </c>
      <c r="G518" s="56"/>
      <c r="H518" s="56"/>
      <c r="I518" s="16" t="str">
        <f t="shared" si="34"/>
        <v/>
      </c>
      <c r="J518" s="45"/>
      <c r="K518" s="45"/>
      <c r="L518" s="45"/>
    </row>
    <row r="519" spans="1:12">
      <c r="A519" s="10" t="str">
        <f t="shared" si="35"/>
        <v/>
      </c>
      <c r="B519" s="45"/>
      <c r="C519" s="13" t="str">
        <f t="shared" si="32"/>
        <v/>
      </c>
      <c r="D519" s="13" t="str">
        <f t="shared" si="33"/>
        <v/>
      </c>
      <c r="E519" s="45"/>
      <c r="F519" s="11" t="str">
        <f>IFERROR(VLOOKUP(E519,Category!$D$2:$E$600,2,FALSE),"")</f>
        <v/>
      </c>
      <c r="G519" s="56"/>
      <c r="H519" s="56"/>
      <c r="I519" s="16" t="str">
        <f t="shared" si="34"/>
        <v/>
      </c>
      <c r="J519" s="45"/>
      <c r="K519" s="45"/>
      <c r="L519" s="45"/>
    </row>
    <row r="520" spans="1:12">
      <c r="A520" s="10" t="str">
        <f t="shared" si="35"/>
        <v/>
      </c>
      <c r="B520" s="45"/>
      <c r="C520" s="13" t="str">
        <f t="shared" si="32"/>
        <v/>
      </c>
      <c r="D520" s="13" t="str">
        <f t="shared" si="33"/>
        <v/>
      </c>
      <c r="E520" s="45"/>
      <c r="F520" s="11" t="str">
        <f>IFERROR(VLOOKUP(E520,Category!$D$2:$E$600,2,FALSE),"")</f>
        <v/>
      </c>
      <c r="G520" s="56"/>
      <c r="H520" s="56"/>
      <c r="I520" s="16" t="str">
        <f t="shared" si="34"/>
        <v/>
      </c>
      <c r="J520" s="45"/>
      <c r="K520" s="45"/>
      <c r="L520" s="45"/>
    </row>
    <row r="521" spans="1:12">
      <c r="A521" s="10" t="str">
        <f t="shared" si="35"/>
        <v/>
      </c>
      <c r="B521" s="45"/>
      <c r="C521" s="13" t="str">
        <f t="shared" si="32"/>
        <v/>
      </c>
      <c r="D521" s="13" t="str">
        <f t="shared" si="33"/>
        <v/>
      </c>
      <c r="E521" s="45"/>
      <c r="F521" s="11" t="str">
        <f>IFERROR(VLOOKUP(E521,Category!$D$2:$E$600,2,FALSE),"")</f>
        <v/>
      </c>
      <c r="G521" s="56"/>
      <c r="H521" s="56"/>
      <c r="I521" s="16" t="str">
        <f t="shared" si="34"/>
        <v/>
      </c>
      <c r="J521" s="45"/>
      <c r="K521" s="45"/>
      <c r="L521" s="45"/>
    </row>
    <row r="522" spans="1:12">
      <c r="A522" s="10" t="str">
        <f t="shared" si="35"/>
        <v/>
      </c>
      <c r="B522" s="45"/>
      <c r="C522" s="13" t="str">
        <f t="shared" si="32"/>
        <v/>
      </c>
      <c r="D522" s="13" t="str">
        <f t="shared" si="33"/>
        <v/>
      </c>
      <c r="E522" s="45"/>
      <c r="F522" s="11" t="str">
        <f>IFERROR(VLOOKUP(E522,Category!$D$2:$E$600,2,FALSE),"")</f>
        <v/>
      </c>
      <c r="G522" s="56"/>
      <c r="H522" s="56"/>
      <c r="I522" s="16" t="str">
        <f t="shared" si="34"/>
        <v/>
      </c>
      <c r="J522" s="45"/>
      <c r="K522" s="45"/>
      <c r="L522" s="45"/>
    </row>
    <row r="523" spans="1:12">
      <c r="A523" s="10" t="str">
        <f t="shared" si="35"/>
        <v/>
      </c>
      <c r="B523" s="45"/>
      <c r="C523" s="13" t="str">
        <f t="shared" si="32"/>
        <v/>
      </c>
      <c r="D523" s="13" t="str">
        <f t="shared" si="33"/>
        <v/>
      </c>
      <c r="E523" s="45"/>
      <c r="F523" s="11" t="str">
        <f>IFERROR(VLOOKUP(E523,Category!$D$2:$E$600,2,FALSE),"")</f>
        <v/>
      </c>
      <c r="G523" s="56"/>
      <c r="H523" s="56"/>
      <c r="I523" s="16" t="str">
        <f t="shared" si="34"/>
        <v/>
      </c>
      <c r="J523" s="45"/>
      <c r="K523" s="45"/>
      <c r="L523" s="45"/>
    </row>
    <row r="524" spans="1:12">
      <c r="A524" s="10" t="str">
        <f t="shared" si="35"/>
        <v/>
      </c>
      <c r="B524" s="45"/>
      <c r="C524" s="13" t="str">
        <f t="shared" si="32"/>
        <v/>
      </c>
      <c r="D524" s="13" t="str">
        <f t="shared" si="33"/>
        <v/>
      </c>
      <c r="E524" s="45"/>
      <c r="F524" s="11" t="str">
        <f>IFERROR(VLOOKUP(E524,Category!$D$2:$E$600,2,FALSE),"")</f>
        <v/>
      </c>
      <c r="G524" s="56"/>
      <c r="H524" s="56"/>
      <c r="I524" s="16" t="str">
        <f t="shared" si="34"/>
        <v/>
      </c>
      <c r="J524" s="45"/>
      <c r="K524" s="45"/>
      <c r="L524" s="45"/>
    </row>
    <row r="525" spans="1:12">
      <c r="A525" s="10" t="str">
        <f t="shared" si="35"/>
        <v/>
      </c>
      <c r="B525" s="45"/>
      <c r="C525" s="13" t="str">
        <f t="shared" si="32"/>
        <v/>
      </c>
      <c r="D525" s="13" t="str">
        <f t="shared" si="33"/>
        <v/>
      </c>
      <c r="E525" s="45"/>
      <c r="F525" s="11" t="str">
        <f>IFERROR(VLOOKUP(E525,Category!$D$2:$E$600,2,FALSE),"")</f>
        <v/>
      </c>
      <c r="G525" s="56"/>
      <c r="H525" s="56"/>
      <c r="I525" s="16" t="str">
        <f t="shared" si="34"/>
        <v/>
      </c>
      <c r="J525" s="45"/>
      <c r="K525" s="45"/>
      <c r="L525" s="45"/>
    </row>
    <row r="526" spans="1:12">
      <c r="A526" s="10" t="str">
        <f t="shared" si="35"/>
        <v/>
      </c>
      <c r="B526" s="45"/>
      <c r="C526" s="13" t="str">
        <f t="shared" si="32"/>
        <v/>
      </c>
      <c r="D526" s="13" t="str">
        <f t="shared" si="33"/>
        <v/>
      </c>
      <c r="E526" s="45"/>
      <c r="F526" s="11" t="str">
        <f>IFERROR(VLOOKUP(E526,Category!$D$2:$E$600,2,FALSE),"")</f>
        <v/>
      </c>
      <c r="G526" s="56"/>
      <c r="H526" s="56"/>
      <c r="I526" s="16" t="str">
        <f t="shared" si="34"/>
        <v/>
      </c>
      <c r="J526" s="45"/>
      <c r="K526" s="45"/>
      <c r="L526" s="45"/>
    </row>
    <row r="527" spans="1:12">
      <c r="A527" s="10" t="str">
        <f t="shared" si="35"/>
        <v/>
      </c>
      <c r="B527" s="45"/>
      <c r="C527" s="13" t="str">
        <f t="shared" si="32"/>
        <v/>
      </c>
      <c r="D527" s="13" t="str">
        <f t="shared" si="33"/>
        <v/>
      </c>
      <c r="E527" s="45"/>
      <c r="F527" s="11" t="str">
        <f>IFERROR(VLOOKUP(E527,Category!$D$2:$E$600,2,FALSE),"")</f>
        <v/>
      </c>
      <c r="G527" s="56"/>
      <c r="H527" s="56"/>
      <c r="I527" s="16" t="str">
        <f t="shared" si="34"/>
        <v/>
      </c>
      <c r="J527" s="45"/>
      <c r="K527" s="45"/>
      <c r="L527" s="45"/>
    </row>
    <row r="528" spans="1:12">
      <c r="A528" s="10" t="str">
        <f t="shared" si="35"/>
        <v/>
      </c>
      <c r="B528" s="45"/>
      <c r="C528" s="13" t="str">
        <f t="shared" si="32"/>
        <v/>
      </c>
      <c r="D528" s="13" t="str">
        <f t="shared" si="33"/>
        <v/>
      </c>
      <c r="E528" s="45"/>
      <c r="F528" s="11" t="str">
        <f>IFERROR(VLOOKUP(E528,Category!$D$2:$E$600,2,FALSE),"")</f>
        <v/>
      </c>
      <c r="G528" s="56"/>
      <c r="H528" s="56"/>
      <c r="I528" s="16" t="str">
        <f t="shared" si="34"/>
        <v/>
      </c>
      <c r="J528" s="45"/>
      <c r="K528" s="45"/>
      <c r="L528" s="45"/>
    </row>
    <row r="529" spans="1:12">
      <c r="A529" s="10" t="str">
        <f t="shared" si="35"/>
        <v/>
      </c>
      <c r="B529" s="45"/>
      <c r="C529" s="13" t="str">
        <f t="shared" si="32"/>
        <v/>
      </c>
      <c r="D529" s="13" t="str">
        <f t="shared" si="33"/>
        <v/>
      </c>
      <c r="E529" s="45"/>
      <c r="F529" s="11" t="str">
        <f>IFERROR(VLOOKUP(E529,Category!$D$2:$E$600,2,FALSE),"")</f>
        <v/>
      </c>
      <c r="G529" s="56"/>
      <c r="H529" s="56"/>
      <c r="I529" s="16" t="str">
        <f t="shared" si="34"/>
        <v/>
      </c>
      <c r="J529" s="45"/>
      <c r="K529" s="45"/>
      <c r="L529" s="45"/>
    </row>
    <row r="530" spans="1:12">
      <c r="A530" s="10" t="str">
        <f t="shared" si="35"/>
        <v/>
      </c>
      <c r="B530" s="45"/>
      <c r="C530" s="13" t="str">
        <f t="shared" si="32"/>
        <v/>
      </c>
      <c r="D530" s="13" t="str">
        <f t="shared" si="33"/>
        <v/>
      </c>
      <c r="E530" s="45"/>
      <c r="F530" s="11" t="str">
        <f>IFERROR(VLOOKUP(E530,Category!$D$2:$E$600,2,FALSE),"")</f>
        <v/>
      </c>
      <c r="G530" s="56"/>
      <c r="H530" s="56"/>
      <c r="I530" s="16" t="str">
        <f t="shared" si="34"/>
        <v/>
      </c>
      <c r="J530" s="45"/>
      <c r="K530" s="45"/>
      <c r="L530" s="45"/>
    </row>
    <row r="531" spans="1:12">
      <c r="A531" s="10" t="str">
        <f t="shared" si="35"/>
        <v/>
      </c>
      <c r="B531" s="45"/>
      <c r="C531" s="13" t="str">
        <f t="shared" si="32"/>
        <v/>
      </c>
      <c r="D531" s="13" t="str">
        <f t="shared" si="33"/>
        <v/>
      </c>
      <c r="E531" s="45"/>
      <c r="F531" s="11" t="str">
        <f>IFERROR(VLOOKUP(E531,Category!$D$2:$E$600,2,FALSE),"")</f>
        <v/>
      </c>
      <c r="G531" s="56"/>
      <c r="H531" s="56"/>
      <c r="I531" s="16" t="str">
        <f t="shared" si="34"/>
        <v/>
      </c>
      <c r="J531" s="45"/>
      <c r="K531" s="45"/>
      <c r="L531" s="45"/>
    </row>
    <row r="532" spans="1:12">
      <c r="A532" s="10" t="str">
        <f t="shared" si="35"/>
        <v/>
      </c>
      <c r="B532" s="45"/>
      <c r="C532" s="13" t="str">
        <f t="shared" si="32"/>
        <v/>
      </c>
      <c r="D532" s="13" t="str">
        <f t="shared" si="33"/>
        <v/>
      </c>
      <c r="E532" s="45"/>
      <c r="F532" s="11" t="str">
        <f>IFERROR(VLOOKUP(E532,Category!$D$2:$E$600,2,FALSE),"")</f>
        <v/>
      </c>
      <c r="G532" s="56"/>
      <c r="H532" s="56"/>
      <c r="I532" s="16" t="str">
        <f t="shared" si="34"/>
        <v/>
      </c>
      <c r="J532" s="45"/>
      <c r="K532" s="45"/>
      <c r="L532" s="45"/>
    </row>
    <row r="533" spans="1:12">
      <c r="A533" s="10" t="str">
        <f t="shared" si="35"/>
        <v/>
      </c>
      <c r="B533" s="45"/>
      <c r="C533" s="13" t="str">
        <f t="shared" si="32"/>
        <v/>
      </c>
      <c r="D533" s="13" t="str">
        <f t="shared" si="33"/>
        <v/>
      </c>
      <c r="E533" s="45"/>
      <c r="F533" s="11" t="str">
        <f>IFERROR(VLOOKUP(E533,Category!$D$2:$E$600,2,FALSE),"")</f>
        <v/>
      </c>
      <c r="G533" s="56"/>
      <c r="H533" s="56"/>
      <c r="I533" s="16" t="str">
        <f t="shared" si="34"/>
        <v/>
      </c>
      <c r="J533" s="45"/>
      <c r="K533" s="45"/>
      <c r="L533" s="45"/>
    </row>
    <row r="534" spans="1:12">
      <c r="A534" s="10" t="str">
        <f t="shared" si="35"/>
        <v/>
      </c>
      <c r="B534" s="45"/>
      <c r="C534" s="13" t="str">
        <f t="shared" si="32"/>
        <v/>
      </c>
      <c r="D534" s="13" t="str">
        <f t="shared" si="33"/>
        <v/>
      </c>
      <c r="E534" s="45"/>
      <c r="F534" s="11" t="str">
        <f>IFERROR(VLOOKUP(E534,Category!$D$2:$E$600,2,FALSE),"")</f>
        <v/>
      </c>
      <c r="G534" s="56"/>
      <c r="H534" s="56"/>
      <c r="I534" s="16" t="str">
        <f t="shared" si="34"/>
        <v/>
      </c>
      <c r="J534" s="45"/>
      <c r="K534" s="45"/>
      <c r="L534" s="45"/>
    </row>
    <row r="535" spans="1:12">
      <c r="A535" s="10" t="str">
        <f t="shared" si="35"/>
        <v/>
      </c>
      <c r="B535" s="45"/>
      <c r="C535" s="13" t="str">
        <f t="shared" si="32"/>
        <v/>
      </c>
      <c r="D535" s="13" t="str">
        <f t="shared" si="33"/>
        <v/>
      </c>
      <c r="E535" s="45"/>
      <c r="F535" s="11" t="str">
        <f>IFERROR(VLOOKUP(E535,Category!$D$2:$E$600,2,FALSE),"")</f>
        <v/>
      </c>
      <c r="G535" s="56"/>
      <c r="H535" s="56"/>
      <c r="I535" s="16" t="str">
        <f t="shared" si="34"/>
        <v/>
      </c>
      <c r="J535" s="45"/>
      <c r="K535" s="45"/>
      <c r="L535" s="45"/>
    </row>
    <row r="536" spans="1:12">
      <c r="A536" s="10" t="str">
        <f t="shared" si="35"/>
        <v/>
      </c>
      <c r="B536" s="45"/>
      <c r="C536" s="13" t="str">
        <f t="shared" si="32"/>
        <v/>
      </c>
      <c r="D536" s="13" t="str">
        <f t="shared" si="33"/>
        <v/>
      </c>
      <c r="E536" s="45"/>
      <c r="F536" s="11" t="str">
        <f>IFERROR(VLOOKUP(E536,Category!$D$2:$E$600,2,FALSE),"")</f>
        <v/>
      </c>
      <c r="G536" s="56"/>
      <c r="H536" s="56"/>
      <c r="I536" s="16" t="str">
        <f t="shared" si="34"/>
        <v/>
      </c>
      <c r="J536" s="45"/>
      <c r="K536" s="45"/>
      <c r="L536" s="45"/>
    </row>
    <row r="537" spans="1:12">
      <c r="A537" s="10" t="str">
        <f t="shared" si="35"/>
        <v/>
      </c>
      <c r="B537" s="45"/>
      <c r="C537" s="13" t="str">
        <f t="shared" si="32"/>
        <v/>
      </c>
      <c r="D537" s="13" t="str">
        <f t="shared" si="33"/>
        <v/>
      </c>
      <c r="E537" s="45"/>
      <c r="F537" s="11" t="str">
        <f>IFERROR(VLOOKUP(E537,Category!$D$2:$E$600,2,FALSE),"")</f>
        <v/>
      </c>
      <c r="G537" s="56"/>
      <c r="H537" s="56"/>
      <c r="I537" s="16" t="str">
        <f t="shared" si="34"/>
        <v/>
      </c>
      <c r="J537" s="45"/>
      <c r="K537" s="45"/>
      <c r="L537" s="45"/>
    </row>
    <row r="538" spans="1:12">
      <c r="A538" s="10" t="str">
        <f t="shared" si="35"/>
        <v/>
      </c>
      <c r="B538" s="45"/>
      <c r="C538" s="13" t="str">
        <f t="shared" si="32"/>
        <v/>
      </c>
      <c r="D538" s="13" t="str">
        <f t="shared" si="33"/>
        <v/>
      </c>
      <c r="E538" s="45"/>
      <c r="F538" s="11" t="str">
        <f>IFERROR(VLOOKUP(E538,Category!$D$2:$E$600,2,FALSE),"")</f>
        <v/>
      </c>
      <c r="G538" s="56"/>
      <c r="H538" s="56"/>
      <c r="I538" s="16" t="str">
        <f t="shared" si="34"/>
        <v/>
      </c>
      <c r="J538" s="45"/>
      <c r="K538" s="45"/>
      <c r="L538" s="45"/>
    </row>
    <row r="539" spans="1:12">
      <c r="A539" s="10" t="str">
        <f t="shared" si="35"/>
        <v/>
      </c>
      <c r="B539" s="45"/>
      <c r="C539" s="13" t="str">
        <f t="shared" si="32"/>
        <v/>
      </c>
      <c r="D539" s="13" t="str">
        <f t="shared" si="33"/>
        <v/>
      </c>
      <c r="E539" s="45"/>
      <c r="F539" s="11" t="str">
        <f>IFERROR(VLOOKUP(E539,Category!$D$2:$E$600,2,FALSE),"")</f>
        <v/>
      </c>
      <c r="G539" s="56"/>
      <c r="H539" s="56"/>
      <c r="I539" s="16" t="str">
        <f t="shared" si="34"/>
        <v/>
      </c>
      <c r="J539" s="45"/>
      <c r="K539" s="45"/>
      <c r="L539" s="45"/>
    </row>
    <row r="540" spans="1:12">
      <c r="A540" s="10" t="str">
        <f t="shared" si="35"/>
        <v/>
      </c>
      <c r="B540" s="45"/>
      <c r="C540" s="13" t="str">
        <f t="shared" si="32"/>
        <v/>
      </c>
      <c r="D540" s="13" t="str">
        <f t="shared" si="33"/>
        <v/>
      </c>
      <c r="E540" s="45"/>
      <c r="F540" s="11" t="str">
        <f>IFERROR(VLOOKUP(E540,Category!$D$2:$E$600,2,FALSE),"")</f>
        <v/>
      </c>
      <c r="G540" s="56"/>
      <c r="H540" s="56"/>
      <c r="I540" s="16" t="str">
        <f t="shared" si="34"/>
        <v/>
      </c>
      <c r="J540" s="45"/>
      <c r="K540" s="45"/>
      <c r="L540" s="45"/>
    </row>
    <row r="541" spans="1:12">
      <c r="A541" s="10" t="str">
        <f t="shared" si="35"/>
        <v/>
      </c>
      <c r="B541" s="45"/>
      <c r="C541" s="13" t="str">
        <f t="shared" si="32"/>
        <v/>
      </c>
      <c r="D541" s="13" t="str">
        <f t="shared" si="33"/>
        <v/>
      </c>
      <c r="E541" s="45"/>
      <c r="F541" s="11" t="str">
        <f>IFERROR(VLOOKUP(E541,Category!$D$2:$E$600,2,FALSE),"")</f>
        <v/>
      </c>
      <c r="G541" s="56"/>
      <c r="H541" s="56"/>
      <c r="I541" s="16" t="str">
        <f t="shared" si="34"/>
        <v/>
      </c>
      <c r="J541" s="45"/>
      <c r="K541" s="45"/>
      <c r="L541" s="45"/>
    </row>
    <row r="542" spans="1:12">
      <c r="A542" s="10" t="str">
        <f t="shared" si="35"/>
        <v/>
      </c>
      <c r="B542" s="45"/>
      <c r="C542" s="13" t="str">
        <f t="shared" si="32"/>
        <v/>
      </c>
      <c r="D542" s="13" t="str">
        <f t="shared" si="33"/>
        <v/>
      </c>
      <c r="E542" s="45"/>
      <c r="F542" s="11" t="str">
        <f>IFERROR(VLOOKUP(E542,Category!$D$2:$E$600,2,FALSE),"")</f>
        <v/>
      </c>
      <c r="G542" s="56"/>
      <c r="H542" s="56"/>
      <c r="I542" s="16" t="str">
        <f t="shared" si="34"/>
        <v/>
      </c>
      <c r="J542" s="45"/>
      <c r="K542" s="45"/>
      <c r="L542" s="45"/>
    </row>
    <row r="543" spans="1:12">
      <c r="A543" s="10" t="str">
        <f t="shared" si="35"/>
        <v/>
      </c>
      <c r="B543" s="45"/>
      <c r="C543" s="13" t="str">
        <f t="shared" si="32"/>
        <v/>
      </c>
      <c r="D543" s="13" t="str">
        <f t="shared" si="33"/>
        <v/>
      </c>
      <c r="E543" s="45"/>
      <c r="F543" s="11" t="str">
        <f>IFERROR(VLOOKUP(E543,Category!$D$2:$E$600,2,FALSE),"")</f>
        <v/>
      </c>
      <c r="G543" s="56"/>
      <c r="H543" s="56"/>
      <c r="I543" s="16" t="str">
        <f t="shared" si="34"/>
        <v/>
      </c>
      <c r="J543" s="45"/>
      <c r="K543" s="45"/>
      <c r="L543" s="45"/>
    </row>
    <row r="544" spans="1:12">
      <c r="A544" s="10" t="str">
        <f t="shared" si="35"/>
        <v/>
      </c>
      <c r="B544" s="45"/>
      <c r="C544" s="13" t="str">
        <f t="shared" si="32"/>
        <v/>
      </c>
      <c r="D544" s="13" t="str">
        <f t="shared" si="33"/>
        <v/>
      </c>
      <c r="E544" s="45"/>
      <c r="F544" s="11" t="str">
        <f>IFERROR(VLOOKUP(E544,Category!$D$2:$E$600,2,FALSE),"")</f>
        <v/>
      </c>
      <c r="G544" s="56"/>
      <c r="H544" s="56"/>
      <c r="I544" s="16" t="str">
        <f t="shared" si="34"/>
        <v/>
      </c>
      <c r="J544" s="45"/>
      <c r="K544" s="45"/>
      <c r="L544" s="45"/>
    </row>
    <row r="545" spans="1:12">
      <c r="A545" s="10" t="str">
        <f t="shared" si="35"/>
        <v/>
      </c>
      <c r="B545" s="45"/>
      <c r="C545" s="13" t="str">
        <f t="shared" si="32"/>
        <v/>
      </c>
      <c r="D545" s="13" t="str">
        <f t="shared" si="33"/>
        <v/>
      </c>
      <c r="E545" s="45"/>
      <c r="F545" s="11" t="str">
        <f>IFERROR(VLOOKUP(E545,Category!$D$2:$E$600,2,FALSE),"")</f>
        <v/>
      </c>
      <c r="G545" s="56"/>
      <c r="H545" s="56"/>
      <c r="I545" s="16" t="str">
        <f t="shared" si="34"/>
        <v/>
      </c>
      <c r="J545" s="45"/>
      <c r="K545" s="45"/>
      <c r="L545" s="45"/>
    </row>
    <row r="546" spans="1:12">
      <c r="A546" s="10" t="str">
        <f t="shared" si="35"/>
        <v/>
      </c>
      <c r="B546" s="45"/>
      <c r="C546" s="13" t="str">
        <f t="shared" si="32"/>
        <v/>
      </c>
      <c r="D546" s="13" t="str">
        <f t="shared" si="33"/>
        <v/>
      </c>
      <c r="E546" s="45"/>
      <c r="F546" s="11" t="str">
        <f>IFERROR(VLOOKUP(E546,Category!$D$2:$E$600,2,FALSE),"")</f>
        <v/>
      </c>
      <c r="G546" s="56"/>
      <c r="H546" s="56"/>
      <c r="I546" s="16" t="str">
        <f t="shared" si="34"/>
        <v/>
      </c>
      <c r="J546" s="45"/>
      <c r="K546" s="45"/>
      <c r="L546" s="45"/>
    </row>
    <row r="547" spans="1:12">
      <c r="A547" s="10" t="str">
        <f t="shared" si="35"/>
        <v/>
      </c>
      <c r="B547" s="45"/>
      <c r="C547" s="13" t="str">
        <f t="shared" si="32"/>
        <v/>
      </c>
      <c r="D547" s="13" t="str">
        <f t="shared" si="33"/>
        <v/>
      </c>
      <c r="E547" s="45"/>
      <c r="F547" s="11" t="str">
        <f>IFERROR(VLOOKUP(E547,Category!$D$2:$E$600,2,FALSE),"")</f>
        <v/>
      </c>
      <c r="G547" s="56"/>
      <c r="H547" s="56"/>
      <c r="I547" s="16" t="str">
        <f t="shared" si="34"/>
        <v/>
      </c>
      <c r="J547" s="45"/>
      <c r="K547" s="45"/>
      <c r="L547" s="45"/>
    </row>
    <row r="548" spans="1:12">
      <c r="A548" s="10" t="str">
        <f t="shared" si="35"/>
        <v/>
      </c>
      <c r="B548" s="45"/>
      <c r="C548" s="13" t="str">
        <f t="shared" si="32"/>
        <v/>
      </c>
      <c r="D548" s="13" t="str">
        <f t="shared" si="33"/>
        <v/>
      </c>
      <c r="E548" s="45"/>
      <c r="F548" s="11" t="str">
        <f>IFERROR(VLOOKUP(E548,Category!$D$2:$E$600,2,FALSE),"")</f>
        <v/>
      </c>
      <c r="G548" s="56"/>
      <c r="H548" s="56"/>
      <c r="I548" s="16" t="str">
        <f t="shared" si="34"/>
        <v/>
      </c>
      <c r="J548" s="45"/>
      <c r="K548" s="45"/>
      <c r="L548" s="45"/>
    </row>
    <row r="549" spans="1:12">
      <c r="A549" s="10" t="str">
        <f t="shared" si="35"/>
        <v/>
      </c>
      <c r="B549" s="45"/>
      <c r="C549" s="13" t="str">
        <f t="shared" si="32"/>
        <v/>
      </c>
      <c r="D549" s="13" t="str">
        <f t="shared" si="33"/>
        <v/>
      </c>
      <c r="E549" s="45"/>
      <c r="F549" s="11" t="str">
        <f>IFERROR(VLOOKUP(E549,Category!$D$2:$E$600,2,FALSE),"")</f>
        <v/>
      </c>
      <c r="G549" s="56"/>
      <c r="H549" s="56"/>
      <c r="I549" s="16" t="str">
        <f t="shared" si="34"/>
        <v/>
      </c>
      <c r="J549" s="45"/>
      <c r="K549" s="45"/>
      <c r="L549" s="45"/>
    </row>
    <row r="550" spans="1:12">
      <c r="A550" s="10" t="str">
        <f t="shared" si="35"/>
        <v/>
      </c>
      <c r="B550" s="45"/>
      <c r="C550" s="13" t="str">
        <f t="shared" si="32"/>
        <v/>
      </c>
      <c r="D550" s="13" t="str">
        <f t="shared" si="33"/>
        <v/>
      </c>
      <c r="E550" s="45"/>
      <c r="F550" s="11" t="str">
        <f>IFERROR(VLOOKUP(E550,Category!$D$2:$E$600,2,FALSE),"")</f>
        <v/>
      </c>
      <c r="G550" s="56"/>
      <c r="H550" s="56"/>
      <c r="I550" s="16" t="str">
        <f t="shared" si="34"/>
        <v/>
      </c>
      <c r="J550" s="45"/>
      <c r="K550" s="45"/>
      <c r="L550" s="45"/>
    </row>
    <row r="551" spans="1:12">
      <c r="A551" s="10" t="str">
        <f t="shared" si="35"/>
        <v/>
      </c>
      <c r="B551" s="45"/>
      <c r="C551" s="13" t="str">
        <f t="shared" si="32"/>
        <v/>
      </c>
      <c r="D551" s="13" t="str">
        <f t="shared" si="33"/>
        <v/>
      </c>
      <c r="E551" s="45"/>
      <c r="F551" s="11" t="str">
        <f>IFERROR(VLOOKUP(E551,Category!$D$2:$E$600,2,FALSE),"")</f>
        <v/>
      </c>
      <c r="G551" s="56"/>
      <c r="H551" s="56"/>
      <c r="I551" s="16" t="str">
        <f t="shared" si="34"/>
        <v/>
      </c>
      <c r="J551" s="45"/>
      <c r="K551" s="45"/>
      <c r="L551" s="45"/>
    </row>
    <row r="552" spans="1:12">
      <c r="A552" s="10" t="str">
        <f t="shared" si="35"/>
        <v/>
      </c>
      <c r="B552" s="45"/>
      <c r="C552" s="13" t="str">
        <f t="shared" si="32"/>
        <v/>
      </c>
      <c r="D552" s="13" t="str">
        <f t="shared" si="33"/>
        <v/>
      </c>
      <c r="E552" s="45"/>
      <c r="F552" s="11" t="str">
        <f>IFERROR(VLOOKUP(E552,Category!$D$2:$E$600,2,FALSE),"")</f>
        <v/>
      </c>
      <c r="G552" s="56"/>
      <c r="H552" s="56"/>
      <c r="I552" s="16" t="str">
        <f t="shared" si="34"/>
        <v/>
      </c>
      <c r="J552" s="45"/>
      <c r="K552" s="45"/>
      <c r="L552" s="45"/>
    </row>
    <row r="553" spans="1:12">
      <c r="A553" s="10" t="str">
        <f t="shared" si="35"/>
        <v/>
      </c>
      <c r="B553" s="45"/>
      <c r="C553" s="13" t="str">
        <f t="shared" si="32"/>
        <v/>
      </c>
      <c r="D553" s="13" t="str">
        <f t="shared" si="33"/>
        <v/>
      </c>
      <c r="E553" s="45"/>
      <c r="F553" s="11" t="str">
        <f>IFERROR(VLOOKUP(E553,Category!$D$2:$E$600,2,FALSE),"")</f>
        <v/>
      </c>
      <c r="G553" s="56"/>
      <c r="H553" s="56"/>
      <c r="I553" s="16" t="str">
        <f t="shared" si="34"/>
        <v/>
      </c>
      <c r="J553" s="45"/>
      <c r="K553" s="45"/>
      <c r="L553" s="45"/>
    </row>
    <row r="554" spans="1:12">
      <c r="A554" s="10" t="str">
        <f t="shared" si="35"/>
        <v/>
      </c>
      <c r="B554" s="45"/>
      <c r="C554" s="13" t="str">
        <f t="shared" si="32"/>
        <v/>
      </c>
      <c r="D554" s="13" t="str">
        <f t="shared" si="33"/>
        <v/>
      </c>
      <c r="E554" s="45"/>
      <c r="F554" s="11" t="str">
        <f>IFERROR(VLOOKUP(E554,Category!$D$2:$E$600,2,FALSE),"")</f>
        <v/>
      </c>
      <c r="G554" s="56"/>
      <c r="H554" s="56"/>
      <c r="I554" s="16" t="str">
        <f t="shared" si="34"/>
        <v/>
      </c>
      <c r="J554" s="45"/>
      <c r="K554" s="45"/>
      <c r="L554" s="45"/>
    </row>
    <row r="555" spans="1:12">
      <c r="A555" s="10" t="str">
        <f t="shared" si="35"/>
        <v/>
      </c>
      <c r="B555" s="45"/>
      <c r="C555" s="13" t="str">
        <f t="shared" si="32"/>
        <v/>
      </c>
      <c r="D555" s="13" t="str">
        <f t="shared" si="33"/>
        <v/>
      </c>
      <c r="E555" s="45"/>
      <c r="F555" s="11" t="str">
        <f>IFERROR(VLOOKUP(E555,Category!$D$2:$E$600,2,FALSE),"")</f>
        <v/>
      </c>
      <c r="G555" s="56"/>
      <c r="H555" s="56"/>
      <c r="I555" s="16" t="str">
        <f t="shared" si="34"/>
        <v/>
      </c>
      <c r="J555" s="45"/>
      <c r="K555" s="45"/>
      <c r="L555" s="45"/>
    </row>
    <row r="556" spans="1:12">
      <c r="A556" s="10" t="str">
        <f t="shared" si="35"/>
        <v/>
      </c>
      <c r="B556" s="45"/>
      <c r="C556" s="13" t="str">
        <f t="shared" si="32"/>
        <v/>
      </c>
      <c r="D556" s="13" t="str">
        <f t="shared" si="33"/>
        <v/>
      </c>
      <c r="E556" s="45"/>
      <c r="F556" s="11" t="str">
        <f>IFERROR(VLOOKUP(E556,Category!$D$2:$E$600,2,FALSE),"")</f>
        <v/>
      </c>
      <c r="G556" s="56"/>
      <c r="H556" s="56"/>
      <c r="I556" s="16" t="str">
        <f t="shared" si="34"/>
        <v/>
      </c>
      <c r="J556" s="45"/>
      <c r="K556" s="45"/>
      <c r="L556" s="45"/>
    </row>
    <row r="557" spans="1:12">
      <c r="A557" s="10" t="str">
        <f t="shared" si="35"/>
        <v/>
      </c>
      <c r="B557" s="45"/>
      <c r="C557" s="13" t="str">
        <f t="shared" si="32"/>
        <v/>
      </c>
      <c r="D557" s="13" t="str">
        <f t="shared" si="33"/>
        <v/>
      </c>
      <c r="E557" s="45"/>
      <c r="F557" s="11" t="str">
        <f>IFERROR(VLOOKUP(E557,Category!$D$2:$E$600,2,FALSE),"")</f>
        <v/>
      </c>
      <c r="G557" s="56"/>
      <c r="H557" s="56"/>
      <c r="I557" s="16" t="str">
        <f t="shared" si="34"/>
        <v/>
      </c>
      <c r="J557" s="45"/>
      <c r="K557" s="45"/>
      <c r="L557" s="45"/>
    </row>
    <row r="558" spans="1:12">
      <c r="A558" s="10" t="str">
        <f t="shared" si="35"/>
        <v/>
      </c>
      <c r="B558" s="45"/>
      <c r="C558" s="13" t="str">
        <f t="shared" si="32"/>
        <v/>
      </c>
      <c r="D558" s="13" t="str">
        <f t="shared" si="33"/>
        <v/>
      </c>
      <c r="E558" s="45"/>
      <c r="F558" s="11" t="str">
        <f>IFERROR(VLOOKUP(E558,Category!$D$2:$E$600,2,FALSE),"")</f>
        <v/>
      </c>
      <c r="G558" s="56"/>
      <c r="H558" s="56"/>
      <c r="I558" s="16" t="str">
        <f t="shared" si="34"/>
        <v/>
      </c>
      <c r="J558" s="45"/>
      <c r="K558" s="45"/>
      <c r="L558" s="45"/>
    </row>
    <row r="559" spans="1:12">
      <c r="A559" s="10" t="str">
        <f t="shared" si="35"/>
        <v/>
      </c>
      <c r="B559" s="45"/>
      <c r="C559" s="13" t="str">
        <f t="shared" si="32"/>
        <v/>
      </c>
      <c r="D559" s="13" t="str">
        <f t="shared" si="33"/>
        <v/>
      </c>
      <c r="E559" s="45"/>
      <c r="F559" s="11" t="str">
        <f>IFERROR(VLOOKUP(E559,Category!$D$2:$E$600,2,FALSE),"")</f>
        <v/>
      </c>
      <c r="G559" s="56"/>
      <c r="H559" s="56"/>
      <c r="I559" s="16" t="str">
        <f t="shared" si="34"/>
        <v/>
      </c>
      <c r="J559" s="45"/>
      <c r="K559" s="45"/>
      <c r="L559" s="45"/>
    </row>
    <row r="560" spans="1:12">
      <c r="A560" s="10" t="str">
        <f t="shared" si="35"/>
        <v/>
      </c>
      <c r="B560" s="45"/>
      <c r="C560" s="13" t="str">
        <f t="shared" si="32"/>
        <v/>
      </c>
      <c r="D560" s="13" t="str">
        <f t="shared" si="33"/>
        <v/>
      </c>
      <c r="E560" s="45"/>
      <c r="F560" s="11" t="str">
        <f>IFERROR(VLOOKUP(E560,Category!$D$2:$E$600,2,FALSE),"")</f>
        <v/>
      </c>
      <c r="G560" s="56"/>
      <c r="H560" s="56"/>
      <c r="I560" s="16" t="str">
        <f t="shared" si="34"/>
        <v/>
      </c>
      <c r="J560" s="45"/>
      <c r="K560" s="45"/>
      <c r="L560" s="45"/>
    </row>
    <row r="561" spans="1:12">
      <c r="A561" s="10" t="str">
        <f t="shared" si="35"/>
        <v/>
      </c>
      <c r="B561" s="45"/>
      <c r="C561" s="13" t="str">
        <f t="shared" si="32"/>
        <v/>
      </c>
      <c r="D561" s="13" t="str">
        <f t="shared" si="33"/>
        <v/>
      </c>
      <c r="E561" s="45"/>
      <c r="F561" s="11" t="str">
        <f>IFERROR(VLOOKUP(E561,Category!$D$2:$E$600,2,FALSE),"")</f>
        <v/>
      </c>
      <c r="G561" s="56"/>
      <c r="H561" s="56"/>
      <c r="I561" s="16" t="str">
        <f t="shared" si="34"/>
        <v/>
      </c>
      <c r="J561" s="45"/>
      <c r="K561" s="45"/>
      <c r="L561" s="45"/>
    </row>
    <row r="562" spans="1:12">
      <c r="A562" s="10" t="str">
        <f t="shared" si="35"/>
        <v/>
      </c>
      <c r="B562" s="45"/>
      <c r="C562" s="13" t="str">
        <f t="shared" si="32"/>
        <v/>
      </c>
      <c r="D562" s="13" t="str">
        <f t="shared" si="33"/>
        <v/>
      </c>
      <c r="E562" s="45"/>
      <c r="F562" s="11" t="str">
        <f>IFERROR(VLOOKUP(E562,Category!$D$2:$E$600,2,FALSE),"")</f>
        <v/>
      </c>
      <c r="G562" s="56"/>
      <c r="H562" s="56"/>
      <c r="I562" s="16" t="str">
        <f t="shared" si="34"/>
        <v/>
      </c>
      <c r="J562" s="45"/>
      <c r="K562" s="45"/>
      <c r="L562" s="45"/>
    </row>
    <row r="563" spans="1:12">
      <c r="A563" s="10" t="str">
        <f t="shared" si="35"/>
        <v/>
      </c>
      <c r="B563" s="45"/>
      <c r="C563" s="13" t="str">
        <f t="shared" si="32"/>
        <v/>
      </c>
      <c r="D563" s="13" t="str">
        <f t="shared" si="33"/>
        <v/>
      </c>
      <c r="E563" s="45"/>
      <c r="F563" s="11" t="str">
        <f>IFERROR(VLOOKUP(E563,Category!$D$2:$E$600,2,FALSE),"")</f>
        <v/>
      </c>
      <c r="G563" s="56"/>
      <c r="H563" s="56"/>
      <c r="I563" s="16" t="str">
        <f t="shared" si="34"/>
        <v/>
      </c>
      <c r="J563" s="45"/>
      <c r="K563" s="45"/>
      <c r="L563" s="45"/>
    </row>
    <row r="564" spans="1:12">
      <c r="A564" s="10" t="str">
        <f t="shared" si="35"/>
        <v/>
      </c>
      <c r="B564" s="45"/>
      <c r="C564" s="13" t="str">
        <f t="shared" si="32"/>
        <v/>
      </c>
      <c r="D564" s="13" t="str">
        <f t="shared" si="33"/>
        <v/>
      </c>
      <c r="E564" s="45"/>
      <c r="F564" s="11" t="str">
        <f>IFERROR(VLOOKUP(E564,Category!$D$2:$E$600,2,FALSE),"")</f>
        <v/>
      </c>
      <c r="G564" s="56"/>
      <c r="H564" s="56"/>
      <c r="I564" s="16" t="str">
        <f t="shared" si="34"/>
        <v/>
      </c>
      <c r="J564" s="45"/>
      <c r="K564" s="45"/>
      <c r="L564" s="45"/>
    </row>
    <row r="565" spans="1:12">
      <c r="A565" s="10" t="str">
        <f t="shared" si="35"/>
        <v/>
      </c>
      <c r="B565" s="45"/>
      <c r="C565" s="13" t="str">
        <f t="shared" si="32"/>
        <v/>
      </c>
      <c r="D565" s="13" t="str">
        <f t="shared" si="33"/>
        <v/>
      </c>
      <c r="E565" s="45"/>
      <c r="F565" s="11" t="str">
        <f>IFERROR(VLOOKUP(E565,Category!$D$2:$E$600,2,FALSE),"")</f>
        <v/>
      </c>
      <c r="G565" s="56"/>
      <c r="H565" s="56"/>
      <c r="I565" s="16" t="str">
        <f t="shared" si="34"/>
        <v/>
      </c>
      <c r="J565" s="45"/>
      <c r="K565" s="45"/>
      <c r="L565" s="45"/>
    </row>
    <row r="566" spans="1:12">
      <c r="A566" s="10" t="str">
        <f t="shared" si="35"/>
        <v/>
      </c>
      <c r="B566" s="45"/>
      <c r="C566" s="13" t="str">
        <f t="shared" si="32"/>
        <v/>
      </c>
      <c r="D566" s="13" t="str">
        <f t="shared" si="33"/>
        <v/>
      </c>
      <c r="E566" s="45"/>
      <c r="F566" s="11" t="str">
        <f>IFERROR(VLOOKUP(E566,Category!$D$2:$E$600,2,FALSE),"")</f>
        <v/>
      </c>
      <c r="G566" s="56"/>
      <c r="H566" s="56"/>
      <c r="I566" s="16" t="str">
        <f t="shared" si="34"/>
        <v/>
      </c>
      <c r="J566" s="45"/>
      <c r="K566" s="45"/>
      <c r="L566" s="45"/>
    </row>
    <row r="567" spans="1:12">
      <c r="A567" s="10" t="str">
        <f t="shared" si="35"/>
        <v/>
      </c>
      <c r="B567" s="45"/>
      <c r="C567" s="13" t="str">
        <f t="shared" si="32"/>
        <v/>
      </c>
      <c r="D567" s="13" t="str">
        <f t="shared" si="33"/>
        <v/>
      </c>
      <c r="E567" s="45"/>
      <c r="F567" s="11" t="str">
        <f>IFERROR(VLOOKUP(E567,Category!$D$2:$E$600,2,FALSE),"")</f>
        <v/>
      </c>
      <c r="G567" s="56"/>
      <c r="H567" s="56"/>
      <c r="I567" s="16" t="str">
        <f t="shared" si="34"/>
        <v/>
      </c>
      <c r="J567" s="45"/>
      <c r="K567" s="45"/>
      <c r="L567" s="45"/>
    </row>
    <row r="568" spans="1:12">
      <c r="A568" s="10" t="str">
        <f t="shared" si="35"/>
        <v/>
      </c>
      <c r="B568" s="45"/>
      <c r="C568" s="13" t="str">
        <f t="shared" si="32"/>
        <v/>
      </c>
      <c r="D568" s="13" t="str">
        <f t="shared" si="33"/>
        <v/>
      </c>
      <c r="E568" s="45"/>
      <c r="F568" s="11" t="str">
        <f>IFERROR(VLOOKUP(E568,Category!$D$2:$E$600,2,FALSE),"")</f>
        <v/>
      </c>
      <c r="G568" s="56"/>
      <c r="H568" s="56"/>
      <c r="I568" s="16" t="str">
        <f t="shared" si="34"/>
        <v/>
      </c>
      <c r="J568" s="45"/>
      <c r="K568" s="45"/>
      <c r="L568" s="45"/>
    </row>
    <row r="569" spans="1:12">
      <c r="A569" s="10" t="str">
        <f t="shared" si="35"/>
        <v/>
      </c>
      <c r="B569" s="45"/>
      <c r="C569" s="13" t="str">
        <f t="shared" si="32"/>
        <v/>
      </c>
      <c r="D569" s="13" t="str">
        <f t="shared" si="33"/>
        <v/>
      </c>
      <c r="E569" s="45"/>
      <c r="F569" s="11" t="str">
        <f>IFERROR(VLOOKUP(E569,Category!$D$2:$E$600,2,FALSE),"")</f>
        <v/>
      </c>
      <c r="G569" s="56"/>
      <c r="H569" s="56"/>
      <c r="I569" s="16" t="str">
        <f t="shared" si="34"/>
        <v/>
      </c>
      <c r="J569" s="45"/>
      <c r="K569" s="45"/>
      <c r="L569" s="45"/>
    </row>
    <row r="570" spans="1:12">
      <c r="A570" s="10" t="str">
        <f t="shared" si="35"/>
        <v/>
      </c>
      <c r="B570" s="45"/>
      <c r="C570" s="13" t="str">
        <f t="shared" si="32"/>
        <v/>
      </c>
      <c r="D570" s="13" t="str">
        <f t="shared" si="33"/>
        <v/>
      </c>
      <c r="E570" s="45"/>
      <c r="F570" s="11" t="str">
        <f>IFERROR(VLOOKUP(E570,Category!$D$2:$E$600,2,FALSE),"")</f>
        <v/>
      </c>
      <c r="G570" s="56"/>
      <c r="H570" s="56"/>
      <c r="I570" s="16" t="str">
        <f t="shared" si="34"/>
        <v/>
      </c>
      <c r="J570" s="45"/>
      <c r="K570" s="45"/>
      <c r="L570" s="45"/>
    </row>
    <row r="571" spans="1:12">
      <c r="A571" s="10" t="str">
        <f t="shared" si="35"/>
        <v/>
      </c>
      <c r="B571" s="45"/>
      <c r="C571" s="13" t="str">
        <f t="shared" si="32"/>
        <v/>
      </c>
      <c r="D571" s="13" t="str">
        <f t="shared" si="33"/>
        <v/>
      </c>
      <c r="E571" s="45"/>
      <c r="F571" s="11" t="str">
        <f>IFERROR(VLOOKUP(E571,Category!$D$2:$E$600,2,FALSE),"")</f>
        <v/>
      </c>
      <c r="G571" s="56"/>
      <c r="H571" s="56"/>
      <c r="I571" s="16" t="str">
        <f t="shared" si="34"/>
        <v/>
      </c>
      <c r="J571" s="45"/>
      <c r="K571" s="45"/>
      <c r="L571" s="45"/>
    </row>
    <row r="572" spans="1:12">
      <c r="A572" s="10" t="str">
        <f t="shared" si="35"/>
        <v/>
      </c>
      <c r="B572" s="45"/>
      <c r="C572" s="13" t="str">
        <f t="shared" si="32"/>
        <v/>
      </c>
      <c r="D572" s="13" t="str">
        <f t="shared" si="33"/>
        <v/>
      </c>
      <c r="E572" s="45"/>
      <c r="F572" s="11" t="str">
        <f>IFERROR(VLOOKUP(E572,Category!$D$2:$E$600,2,FALSE),"")</f>
        <v/>
      </c>
      <c r="G572" s="56"/>
      <c r="H572" s="56"/>
      <c r="I572" s="16" t="str">
        <f t="shared" si="34"/>
        <v/>
      </c>
      <c r="J572" s="45"/>
      <c r="K572" s="45"/>
      <c r="L572" s="45"/>
    </row>
    <row r="573" spans="1:12">
      <c r="A573" s="10" t="str">
        <f t="shared" si="35"/>
        <v/>
      </c>
      <c r="B573" s="45"/>
      <c r="C573" s="13" t="str">
        <f t="shared" si="32"/>
        <v/>
      </c>
      <c r="D573" s="13" t="str">
        <f t="shared" si="33"/>
        <v/>
      </c>
      <c r="E573" s="45"/>
      <c r="F573" s="11" t="str">
        <f>IFERROR(VLOOKUP(E573,Category!$D$2:$E$600,2,FALSE),"")</f>
        <v/>
      </c>
      <c r="G573" s="56"/>
      <c r="H573" s="56"/>
      <c r="I573" s="16" t="str">
        <f t="shared" si="34"/>
        <v/>
      </c>
      <c r="J573" s="45"/>
      <c r="K573" s="45"/>
      <c r="L573" s="45"/>
    </row>
    <row r="574" spans="1:12">
      <c r="A574" s="10" t="str">
        <f t="shared" si="35"/>
        <v/>
      </c>
      <c r="B574" s="45"/>
      <c r="C574" s="13" t="str">
        <f t="shared" si="32"/>
        <v/>
      </c>
      <c r="D574" s="13" t="str">
        <f t="shared" si="33"/>
        <v/>
      </c>
      <c r="E574" s="45"/>
      <c r="F574" s="11" t="str">
        <f>IFERROR(VLOOKUP(E574,Category!$D$2:$E$600,2,FALSE),"")</f>
        <v/>
      </c>
      <c r="G574" s="56"/>
      <c r="H574" s="56"/>
      <c r="I574" s="16" t="str">
        <f t="shared" si="34"/>
        <v/>
      </c>
      <c r="J574" s="45"/>
      <c r="K574" s="45"/>
      <c r="L574" s="45"/>
    </row>
    <row r="575" spans="1:12">
      <c r="A575" s="10" t="str">
        <f t="shared" si="35"/>
        <v/>
      </c>
      <c r="B575" s="45"/>
      <c r="C575" s="13" t="str">
        <f t="shared" si="32"/>
        <v/>
      </c>
      <c r="D575" s="13" t="str">
        <f t="shared" si="33"/>
        <v/>
      </c>
      <c r="E575" s="45"/>
      <c r="F575" s="11" t="str">
        <f>IFERROR(VLOOKUP(E575,Category!$D$2:$E$600,2,FALSE),"")</f>
        <v/>
      </c>
      <c r="G575" s="56"/>
      <c r="H575" s="56"/>
      <c r="I575" s="16" t="str">
        <f t="shared" si="34"/>
        <v/>
      </c>
      <c r="J575" s="45"/>
      <c r="K575" s="45"/>
      <c r="L575" s="45"/>
    </row>
    <row r="576" spans="1:12">
      <c r="A576" s="10" t="str">
        <f t="shared" si="35"/>
        <v/>
      </c>
      <c r="B576" s="45"/>
      <c r="C576" s="13" t="str">
        <f t="shared" si="32"/>
        <v/>
      </c>
      <c r="D576" s="13" t="str">
        <f t="shared" si="33"/>
        <v/>
      </c>
      <c r="E576" s="45"/>
      <c r="F576" s="11" t="str">
        <f>IFERROR(VLOOKUP(E576,Category!$D$2:$E$600,2,FALSE),"")</f>
        <v/>
      </c>
      <c r="G576" s="56"/>
      <c r="H576" s="56"/>
      <c r="I576" s="16" t="str">
        <f t="shared" si="34"/>
        <v/>
      </c>
      <c r="J576" s="45"/>
      <c r="K576" s="45"/>
      <c r="L576" s="45"/>
    </row>
    <row r="577" spans="1:12">
      <c r="A577" s="10" t="str">
        <f t="shared" si="35"/>
        <v/>
      </c>
      <c r="B577" s="45"/>
      <c r="C577" s="13" t="str">
        <f t="shared" si="32"/>
        <v/>
      </c>
      <c r="D577" s="13" t="str">
        <f t="shared" si="33"/>
        <v/>
      </c>
      <c r="E577" s="45"/>
      <c r="F577" s="11" t="str">
        <f>IFERROR(VLOOKUP(E577,Category!$D$2:$E$600,2,FALSE),"")</f>
        <v/>
      </c>
      <c r="G577" s="56"/>
      <c r="H577" s="56"/>
      <c r="I577" s="16" t="str">
        <f t="shared" si="34"/>
        <v/>
      </c>
      <c r="J577" s="45"/>
      <c r="K577" s="45"/>
      <c r="L577" s="45"/>
    </row>
    <row r="578" spans="1:12">
      <c r="A578" s="10" t="str">
        <f t="shared" si="35"/>
        <v/>
      </c>
      <c r="B578" s="45"/>
      <c r="C578" s="13" t="str">
        <f t="shared" si="32"/>
        <v/>
      </c>
      <c r="D578" s="13" t="str">
        <f t="shared" si="33"/>
        <v/>
      </c>
      <c r="E578" s="45"/>
      <c r="F578" s="11" t="str">
        <f>IFERROR(VLOOKUP(E578,Category!$D$2:$E$600,2,FALSE),"")</f>
        <v/>
      </c>
      <c r="G578" s="56"/>
      <c r="H578" s="56"/>
      <c r="I578" s="16" t="str">
        <f t="shared" si="34"/>
        <v/>
      </c>
      <c r="J578" s="45"/>
      <c r="K578" s="45"/>
      <c r="L578" s="45"/>
    </row>
    <row r="579" spans="1:12">
      <c r="A579" s="10" t="str">
        <f t="shared" si="35"/>
        <v/>
      </c>
      <c r="B579" s="45"/>
      <c r="C579" s="13" t="str">
        <f t="shared" ref="C579:C642" si="36">IF(B579=0,"",TEXT(B579,"mmmm"))</f>
        <v/>
      </c>
      <c r="D579" s="13" t="str">
        <f t="shared" ref="D579:D642" si="37">IF(B579=0,"",TEXT(B579,"yyyy"))</f>
        <v/>
      </c>
      <c r="E579" s="45"/>
      <c r="F579" s="11" t="str">
        <f>IFERROR(VLOOKUP(E579,Category!$D$2:$E$600,2,FALSE),"")</f>
        <v/>
      </c>
      <c r="G579" s="56"/>
      <c r="H579" s="56"/>
      <c r="I579" s="16" t="str">
        <f t="shared" ref="I579:I642" si="38">IF(H579*G579=0,"",H579*G579)</f>
        <v/>
      </c>
      <c r="J579" s="45"/>
      <c r="K579" s="45"/>
      <c r="L579" s="45"/>
    </row>
    <row r="580" spans="1:12">
      <c r="A580" s="10" t="str">
        <f t="shared" ref="A580:A643" si="39">IF(E580&gt;0,A579+1,"")</f>
        <v/>
      </c>
      <c r="B580" s="45"/>
      <c r="C580" s="13" t="str">
        <f t="shared" si="36"/>
        <v/>
      </c>
      <c r="D580" s="13" t="str">
        <f t="shared" si="37"/>
        <v/>
      </c>
      <c r="E580" s="45"/>
      <c r="F580" s="11" t="str">
        <f>IFERROR(VLOOKUP(E580,Category!$D$2:$E$600,2,FALSE),"")</f>
        <v/>
      </c>
      <c r="G580" s="56"/>
      <c r="H580" s="56"/>
      <c r="I580" s="16" t="str">
        <f t="shared" si="38"/>
        <v/>
      </c>
      <c r="J580" s="45"/>
      <c r="K580" s="45"/>
      <c r="L580" s="45"/>
    </row>
    <row r="581" spans="1:12">
      <c r="A581" s="10" t="str">
        <f t="shared" si="39"/>
        <v/>
      </c>
      <c r="B581" s="45"/>
      <c r="C581" s="13" t="str">
        <f t="shared" si="36"/>
        <v/>
      </c>
      <c r="D581" s="13" t="str">
        <f t="shared" si="37"/>
        <v/>
      </c>
      <c r="E581" s="45"/>
      <c r="F581" s="11" t="str">
        <f>IFERROR(VLOOKUP(E581,Category!$D$2:$E$600,2,FALSE),"")</f>
        <v/>
      </c>
      <c r="G581" s="56"/>
      <c r="H581" s="56"/>
      <c r="I581" s="16" t="str">
        <f t="shared" si="38"/>
        <v/>
      </c>
      <c r="J581" s="45"/>
      <c r="K581" s="45"/>
      <c r="L581" s="45"/>
    </row>
    <row r="582" spans="1:12">
      <c r="A582" s="10" t="str">
        <f t="shared" si="39"/>
        <v/>
      </c>
      <c r="B582" s="45"/>
      <c r="C582" s="13" t="str">
        <f t="shared" si="36"/>
        <v/>
      </c>
      <c r="D582" s="13" t="str">
        <f t="shared" si="37"/>
        <v/>
      </c>
      <c r="E582" s="45"/>
      <c r="F582" s="11" t="str">
        <f>IFERROR(VLOOKUP(E582,Category!$D$2:$E$600,2,FALSE),"")</f>
        <v/>
      </c>
      <c r="G582" s="56"/>
      <c r="H582" s="56"/>
      <c r="I582" s="16" t="str">
        <f t="shared" si="38"/>
        <v/>
      </c>
      <c r="J582" s="45"/>
      <c r="K582" s="45"/>
      <c r="L582" s="45"/>
    </row>
    <row r="583" spans="1:12">
      <c r="A583" s="10" t="str">
        <f t="shared" si="39"/>
        <v/>
      </c>
      <c r="B583" s="45"/>
      <c r="C583" s="13" t="str">
        <f t="shared" si="36"/>
        <v/>
      </c>
      <c r="D583" s="13" t="str">
        <f t="shared" si="37"/>
        <v/>
      </c>
      <c r="E583" s="45"/>
      <c r="F583" s="11" t="str">
        <f>IFERROR(VLOOKUP(E583,Category!$D$2:$E$600,2,FALSE),"")</f>
        <v/>
      </c>
      <c r="G583" s="56"/>
      <c r="H583" s="56"/>
      <c r="I583" s="16" t="str">
        <f t="shared" si="38"/>
        <v/>
      </c>
      <c r="J583" s="45"/>
      <c r="K583" s="45"/>
      <c r="L583" s="45"/>
    </row>
    <row r="584" spans="1:12">
      <c r="A584" s="10" t="str">
        <f t="shared" si="39"/>
        <v/>
      </c>
      <c r="B584" s="45"/>
      <c r="C584" s="13" t="str">
        <f t="shared" si="36"/>
        <v/>
      </c>
      <c r="D584" s="13" t="str">
        <f t="shared" si="37"/>
        <v/>
      </c>
      <c r="E584" s="45"/>
      <c r="F584" s="11" t="str">
        <f>IFERROR(VLOOKUP(E584,Category!$D$2:$E$600,2,FALSE),"")</f>
        <v/>
      </c>
      <c r="G584" s="56"/>
      <c r="H584" s="56"/>
      <c r="I584" s="16" t="str">
        <f t="shared" si="38"/>
        <v/>
      </c>
      <c r="J584" s="45"/>
      <c r="K584" s="45"/>
      <c r="L584" s="45"/>
    </row>
    <row r="585" spans="1:12">
      <c r="A585" s="10" t="str">
        <f t="shared" si="39"/>
        <v/>
      </c>
      <c r="B585" s="45"/>
      <c r="C585" s="13" t="str">
        <f t="shared" si="36"/>
        <v/>
      </c>
      <c r="D585" s="13" t="str">
        <f t="shared" si="37"/>
        <v/>
      </c>
      <c r="E585" s="45"/>
      <c r="F585" s="11" t="str">
        <f>IFERROR(VLOOKUP(E585,Category!$D$2:$E$600,2,FALSE),"")</f>
        <v/>
      </c>
      <c r="G585" s="56"/>
      <c r="H585" s="56"/>
      <c r="I585" s="16" t="str">
        <f t="shared" si="38"/>
        <v/>
      </c>
      <c r="J585" s="45"/>
      <c r="K585" s="45"/>
      <c r="L585" s="45"/>
    </row>
    <row r="586" spans="1:12">
      <c r="A586" s="10" t="str">
        <f t="shared" si="39"/>
        <v/>
      </c>
      <c r="B586" s="45"/>
      <c r="C586" s="13" t="str">
        <f t="shared" si="36"/>
        <v/>
      </c>
      <c r="D586" s="13" t="str">
        <f t="shared" si="37"/>
        <v/>
      </c>
      <c r="E586" s="45"/>
      <c r="F586" s="11" t="str">
        <f>IFERROR(VLOOKUP(E586,Category!$D$2:$E$600,2,FALSE),"")</f>
        <v/>
      </c>
      <c r="G586" s="56"/>
      <c r="H586" s="56"/>
      <c r="I586" s="16" t="str">
        <f t="shared" si="38"/>
        <v/>
      </c>
      <c r="J586" s="45"/>
      <c r="K586" s="45"/>
      <c r="L586" s="45"/>
    </row>
    <row r="587" spans="1:12">
      <c r="A587" s="10" t="str">
        <f t="shared" si="39"/>
        <v/>
      </c>
      <c r="B587" s="45"/>
      <c r="C587" s="13" t="str">
        <f t="shared" si="36"/>
        <v/>
      </c>
      <c r="D587" s="13" t="str">
        <f t="shared" si="37"/>
        <v/>
      </c>
      <c r="E587" s="45"/>
      <c r="F587" s="11" t="str">
        <f>IFERROR(VLOOKUP(E587,Category!$D$2:$E$600,2,FALSE),"")</f>
        <v/>
      </c>
      <c r="G587" s="56"/>
      <c r="H587" s="56"/>
      <c r="I587" s="16" t="str">
        <f t="shared" si="38"/>
        <v/>
      </c>
      <c r="J587" s="45"/>
      <c r="K587" s="45"/>
      <c r="L587" s="45"/>
    </row>
    <row r="588" spans="1:12">
      <c r="A588" s="10" t="str">
        <f t="shared" si="39"/>
        <v/>
      </c>
      <c r="B588" s="45"/>
      <c r="C588" s="13" t="str">
        <f t="shared" si="36"/>
        <v/>
      </c>
      <c r="D588" s="13" t="str">
        <f t="shared" si="37"/>
        <v/>
      </c>
      <c r="E588" s="45"/>
      <c r="F588" s="11" t="str">
        <f>IFERROR(VLOOKUP(E588,Category!$D$2:$E$600,2,FALSE),"")</f>
        <v/>
      </c>
      <c r="G588" s="56"/>
      <c r="H588" s="56"/>
      <c r="I588" s="16" t="str">
        <f t="shared" si="38"/>
        <v/>
      </c>
      <c r="J588" s="45"/>
      <c r="K588" s="45"/>
      <c r="L588" s="45"/>
    </row>
    <row r="589" spans="1:12">
      <c r="A589" s="10" t="str">
        <f t="shared" si="39"/>
        <v/>
      </c>
      <c r="B589" s="45"/>
      <c r="C589" s="13" t="str">
        <f t="shared" si="36"/>
        <v/>
      </c>
      <c r="D589" s="13" t="str">
        <f t="shared" si="37"/>
        <v/>
      </c>
      <c r="E589" s="45"/>
      <c r="F589" s="11" t="str">
        <f>IFERROR(VLOOKUP(E589,Category!$D$2:$E$600,2,FALSE),"")</f>
        <v/>
      </c>
      <c r="G589" s="56"/>
      <c r="H589" s="56"/>
      <c r="I589" s="16" t="str">
        <f t="shared" si="38"/>
        <v/>
      </c>
      <c r="J589" s="45"/>
      <c r="K589" s="45"/>
      <c r="L589" s="45"/>
    </row>
    <row r="590" spans="1:12">
      <c r="A590" s="10" t="str">
        <f t="shared" si="39"/>
        <v/>
      </c>
      <c r="B590" s="45"/>
      <c r="C590" s="13" t="str">
        <f t="shared" si="36"/>
        <v/>
      </c>
      <c r="D590" s="13" t="str">
        <f t="shared" si="37"/>
        <v/>
      </c>
      <c r="E590" s="45"/>
      <c r="F590" s="11" t="str">
        <f>IFERROR(VLOOKUP(E590,Category!$D$2:$E$600,2,FALSE),"")</f>
        <v/>
      </c>
      <c r="G590" s="56"/>
      <c r="H590" s="56"/>
      <c r="I590" s="16" t="str">
        <f t="shared" si="38"/>
        <v/>
      </c>
      <c r="J590" s="45"/>
      <c r="K590" s="45"/>
      <c r="L590" s="45"/>
    </row>
    <row r="591" spans="1:12">
      <c r="A591" s="10" t="str">
        <f t="shared" si="39"/>
        <v/>
      </c>
      <c r="B591" s="45"/>
      <c r="C591" s="13" t="str">
        <f t="shared" si="36"/>
        <v/>
      </c>
      <c r="D591" s="13" t="str">
        <f t="shared" si="37"/>
        <v/>
      </c>
      <c r="E591" s="45"/>
      <c r="F591" s="11" t="str">
        <f>IFERROR(VLOOKUP(E591,Category!$D$2:$E$600,2,FALSE),"")</f>
        <v/>
      </c>
      <c r="G591" s="56"/>
      <c r="H591" s="56"/>
      <c r="I591" s="16" t="str">
        <f t="shared" si="38"/>
        <v/>
      </c>
      <c r="J591" s="45"/>
      <c r="K591" s="45"/>
      <c r="L591" s="45"/>
    </row>
    <row r="592" spans="1:12">
      <c r="A592" s="10" t="str">
        <f t="shared" si="39"/>
        <v/>
      </c>
      <c r="B592" s="45"/>
      <c r="C592" s="13" t="str">
        <f t="shared" si="36"/>
        <v/>
      </c>
      <c r="D592" s="13" t="str">
        <f t="shared" si="37"/>
        <v/>
      </c>
      <c r="E592" s="45"/>
      <c r="F592" s="11" t="str">
        <f>IFERROR(VLOOKUP(E592,Category!$D$2:$E$600,2,FALSE),"")</f>
        <v/>
      </c>
      <c r="G592" s="56"/>
      <c r="H592" s="56"/>
      <c r="I592" s="16" t="str">
        <f t="shared" si="38"/>
        <v/>
      </c>
      <c r="J592" s="45"/>
      <c r="K592" s="45"/>
      <c r="L592" s="45"/>
    </row>
    <row r="593" spans="1:12">
      <c r="A593" s="10" t="str">
        <f t="shared" si="39"/>
        <v/>
      </c>
      <c r="B593" s="45"/>
      <c r="C593" s="13" t="str">
        <f t="shared" si="36"/>
        <v/>
      </c>
      <c r="D593" s="13" t="str">
        <f t="shared" si="37"/>
        <v/>
      </c>
      <c r="E593" s="45"/>
      <c r="F593" s="11" t="str">
        <f>IFERROR(VLOOKUP(E593,Category!$D$2:$E$600,2,FALSE),"")</f>
        <v/>
      </c>
      <c r="G593" s="56"/>
      <c r="H593" s="56"/>
      <c r="I593" s="16" t="str">
        <f t="shared" si="38"/>
        <v/>
      </c>
      <c r="J593" s="45"/>
      <c r="K593" s="45"/>
      <c r="L593" s="45"/>
    </row>
    <row r="594" spans="1:12">
      <c r="A594" s="10" t="str">
        <f t="shared" si="39"/>
        <v/>
      </c>
      <c r="B594" s="45"/>
      <c r="C594" s="13" t="str">
        <f t="shared" si="36"/>
        <v/>
      </c>
      <c r="D594" s="13" t="str">
        <f t="shared" si="37"/>
        <v/>
      </c>
      <c r="E594" s="45"/>
      <c r="F594" s="11" t="str">
        <f>IFERROR(VLOOKUP(E594,Category!$D$2:$E$600,2,FALSE),"")</f>
        <v/>
      </c>
      <c r="G594" s="56"/>
      <c r="H594" s="56"/>
      <c r="I594" s="16" t="str">
        <f t="shared" si="38"/>
        <v/>
      </c>
      <c r="J594" s="45"/>
      <c r="K594" s="45"/>
      <c r="L594" s="45"/>
    </row>
    <row r="595" spans="1:12">
      <c r="A595" s="10" t="str">
        <f t="shared" si="39"/>
        <v/>
      </c>
      <c r="B595" s="45"/>
      <c r="C595" s="13" t="str">
        <f t="shared" si="36"/>
        <v/>
      </c>
      <c r="D595" s="13" t="str">
        <f t="shared" si="37"/>
        <v/>
      </c>
      <c r="E595" s="45"/>
      <c r="F595" s="11" t="str">
        <f>IFERROR(VLOOKUP(E595,Category!$D$2:$E$600,2,FALSE),"")</f>
        <v/>
      </c>
      <c r="G595" s="56"/>
      <c r="H595" s="56"/>
      <c r="I595" s="16" t="str">
        <f t="shared" si="38"/>
        <v/>
      </c>
      <c r="J595" s="45"/>
      <c r="K595" s="45"/>
      <c r="L595" s="45"/>
    </row>
    <row r="596" spans="1:12">
      <c r="A596" s="10" t="str">
        <f t="shared" si="39"/>
        <v/>
      </c>
      <c r="B596" s="45"/>
      <c r="C596" s="13" t="str">
        <f t="shared" si="36"/>
        <v/>
      </c>
      <c r="D596" s="13" t="str">
        <f t="shared" si="37"/>
        <v/>
      </c>
      <c r="E596" s="45"/>
      <c r="F596" s="11" t="str">
        <f>IFERROR(VLOOKUP(E596,Category!$D$2:$E$600,2,FALSE),"")</f>
        <v/>
      </c>
      <c r="G596" s="56"/>
      <c r="H596" s="56"/>
      <c r="I596" s="16" t="str">
        <f t="shared" si="38"/>
        <v/>
      </c>
      <c r="J596" s="45"/>
      <c r="K596" s="45"/>
      <c r="L596" s="45"/>
    </row>
    <row r="597" spans="1:12">
      <c r="A597" s="10" t="str">
        <f t="shared" si="39"/>
        <v/>
      </c>
      <c r="B597" s="45"/>
      <c r="C597" s="13" t="str">
        <f t="shared" si="36"/>
        <v/>
      </c>
      <c r="D597" s="13" t="str">
        <f t="shared" si="37"/>
        <v/>
      </c>
      <c r="E597" s="45"/>
      <c r="F597" s="11" t="str">
        <f>IFERROR(VLOOKUP(E597,Category!$D$2:$E$600,2,FALSE),"")</f>
        <v/>
      </c>
      <c r="G597" s="56"/>
      <c r="H597" s="56"/>
      <c r="I597" s="16" t="str">
        <f t="shared" si="38"/>
        <v/>
      </c>
      <c r="J597" s="45"/>
      <c r="K597" s="45"/>
      <c r="L597" s="45"/>
    </row>
    <row r="598" spans="1:12">
      <c r="A598" s="10" t="str">
        <f t="shared" si="39"/>
        <v/>
      </c>
      <c r="B598" s="45"/>
      <c r="C598" s="13" t="str">
        <f t="shared" si="36"/>
        <v/>
      </c>
      <c r="D598" s="13" t="str">
        <f t="shared" si="37"/>
        <v/>
      </c>
      <c r="E598" s="45"/>
      <c r="F598" s="11" t="str">
        <f>IFERROR(VLOOKUP(E598,Category!$D$2:$E$600,2,FALSE),"")</f>
        <v/>
      </c>
      <c r="G598" s="56"/>
      <c r="H598" s="56"/>
      <c r="I598" s="16" t="str">
        <f t="shared" si="38"/>
        <v/>
      </c>
      <c r="J598" s="45"/>
      <c r="K598" s="45"/>
      <c r="L598" s="45"/>
    </row>
    <row r="599" spans="1:12">
      <c r="A599" s="10" t="str">
        <f t="shared" si="39"/>
        <v/>
      </c>
      <c r="B599" s="45"/>
      <c r="C599" s="13" t="str">
        <f t="shared" si="36"/>
        <v/>
      </c>
      <c r="D599" s="13" t="str">
        <f t="shared" si="37"/>
        <v/>
      </c>
      <c r="E599" s="45"/>
      <c r="F599" s="11" t="str">
        <f>IFERROR(VLOOKUP(E599,Category!$D$2:$E$600,2,FALSE),"")</f>
        <v/>
      </c>
      <c r="G599" s="56"/>
      <c r="H599" s="56"/>
      <c r="I599" s="16" t="str">
        <f t="shared" si="38"/>
        <v/>
      </c>
      <c r="J599" s="45"/>
      <c r="K599" s="45"/>
      <c r="L599" s="45"/>
    </row>
    <row r="600" spans="1:12">
      <c r="A600" s="10" t="str">
        <f t="shared" si="39"/>
        <v/>
      </c>
      <c r="B600" s="45"/>
      <c r="C600" s="13" t="str">
        <f t="shared" si="36"/>
        <v/>
      </c>
      <c r="D600" s="13" t="str">
        <f t="shared" si="37"/>
        <v/>
      </c>
      <c r="E600" s="45"/>
      <c r="F600" s="11" t="str">
        <f>IFERROR(VLOOKUP(E600,Category!$D$2:$E$600,2,FALSE),"")</f>
        <v/>
      </c>
      <c r="G600" s="56"/>
      <c r="H600" s="56"/>
      <c r="I600" s="16" t="str">
        <f t="shared" si="38"/>
        <v/>
      </c>
      <c r="J600" s="45"/>
      <c r="K600" s="45"/>
      <c r="L600" s="45"/>
    </row>
    <row r="601" spans="1:12">
      <c r="A601" s="10" t="str">
        <f t="shared" si="39"/>
        <v/>
      </c>
      <c r="B601" s="45"/>
      <c r="C601" s="13" t="str">
        <f t="shared" si="36"/>
        <v/>
      </c>
      <c r="D601" s="13" t="str">
        <f t="shared" si="37"/>
        <v/>
      </c>
      <c r="E601" s="45"/>
      <c r="F601" s="11" t="str">
        <f>IFERROR(VLOOKUP(E601,Category!$D$2:$E$600,2,FALSE),"")</f>
        <v/>
      </c>
      <c r="G601" s="56"/>
      <c r="H601" s="56"/>
      <c r="I601" s="16" t="str">
        <f t="shared" si="38"/>
        <v/>
      </c>
      <c r="J601" s="45"/>
      <c r="K601" s="45"/>
      <c r="L601" s="45"/>
    </row>
    <row r="602" spans="1:12">
      <c r="A602" s="10" t="str">
        <f t="shared" si="39"/>
        <v/>
      </c>
      <c r="B602" s="45"/>
      <c r="C602" s="13" t="str">
        <f t="shared" si="36"/>
        <v/>
      </c>
      <c r="D602" s="13" t="str">
        <f t="shared" si="37"/>
        <v/>
      </c>
      <c r="E602" s="45"/>
      <c r="F602" s="11" t="str">
        <f>IFERROR(VLOOKUP(E602,Category!$D$2:$E$600,2,FALSE),"")</f>
        <v/>
      </c>
      <c r="G602" s="56"/>
      <c r="H602" s="56"/>
      <c r="I602" s="16" t="str">
        <f t="shared" si="38"/>
        <v/>
      </c>
      <c r="J602" s="45"/>
      <c r="K602" s="45"/>
      <c r="L602" s="45"/>
    </row>
    <row r="603" spans="1:12">
      <c r="A603" s="10" t="str">
        <f t="shared" si="39"/>
        <v/>
      </c>
      <c r="B603" s="45"/>
      <c r="C603" s="13" t="str">
        <f t="shared" si="36"/>
        <v/>
      </c>
      <c r="D603" s="13" t="str">
        <f t="shared" si="37"/>
        <v/>
      </c>
      <c r="E603" s="45"/>
      <c r="F603" s="11" t="str">
        <f>IFERROR(VLOOKUP(E603,Category!$D$2:$E$600,2,FALSE),"")</f>
        <v/>
      </c>
      <c r="G603" s="56"/>
      <c r="H603" s="56"/>
      <c r="I603" s="16" t="str">
        <f t="shared" si="38"/>
        <v/>
      </c>
      <c r="J603" s="45"/>
      <c r="K603" s="45"/>
      <c r="L603" s="45"/>
    </row>
    <row r="604" spans="1:12">
      <c r="A604" s="10" t="str">
        <f t="shared" si="39"/>
        <v/>
      </c>
      <c r="B604" s="45"/>
      <c r="C604" s="13" t="str">
        <f t="shared" si="36"/>
        <v/>
      </c>
      <c r="D604" s="13" t="str">
        <f t="shared" si="37"/>
        <v/>
      </c>
      <c r="E604" s="45"/>
      <c r="F604" s="11" t="str">
        <f>IFERROR(VLOOKUP(E604,Category!$D$2:$E$600,2,FALSE),"")</f>
        <v/>
      </c>
      <c r="G604" s="56"/>
      <c r="H604" s="56"/>
      <c r="I604" s="16" t="str">
        <f t="shared" si="38"/>
        <v/>
      </c>
      <c r="J604" s="45"/>
      <c r="K604" s="45"/>
      <c r="L604" s="45"/>
    </row>
    <row r="605" spans="1:12">
      <c r="A605" s="10" t="str">
        <f t="shared" si="39"/>
        <v/>
      </c>
      <c r="B605" s="45"/>
      <c r="C605" s="13" t="str">
        <f t="shared" si="36"/>
        <v/>
      </c>
      <c r="D605" s="13" t="str">
        <f t="shared" si="37"/>
        <v/>
      </c>
      <c r="E605" s="45"/>
      <c r="F605" s="11" t="str">
        <f>IFERROR(VLOOKUP(E605,Category!$D$2:$E$600,2,FALSE),"")</f>
        <v/>
      </c>
      <c r="G605" s="56"/>
      <c r="H605" s="56"/>
      <c r="I605" s="16" t="str">
        <f t="shared" si="38"/>
        <v/>
      </c>
      <c r="J605" s="45"/>
      <c r="K605" s="45"/>
      <c r="L605" s="45"/>
    </row>
    <row r="606" spans="1:12">
      <c r="A606" s="10" t="str">
        <f t="shared" si="39"/>
        <v/>
      </c>
      <c r="B606" s="45"/>
      <c r="C606" s="13" t="str">
        <f t="shared" si="36"/>
        <v/>
      </c>
      <c r="D606" s="13" t="str">
        <f t="shared" si="37"/>
        <v/>
      </c>
      <c r="E606" s="45"/>
      <c r="F606" s="11" t="str">
        <f>IFERROR(VLOOKUP(E606,Category!$D$2:$E$600,2,FALSE),"")</f>
        <v/>
      </c>
      <c r="G606" s="56"/>
      <c r="H606" s="56"/>
      <c r="I606" s="16" t="str">
        <f t="shared" si="38"/>
        <v/>
      </c>
      <c r="J606" s="45"/>
      <c r="K606" s="45"/>
      <c r="L606" s="45"/>
    </row>
    <row r="607" spans="1:12">
      <c r="A607" s="10" t="str">
        <f t="shared" si="39"/>
        <v/>
      </c>
      <c r="B607" s="45"/>
      <c r="C607" s="13" t="str">
        <f t="shared" si="36"/>
        <v/>
      </c>
      <c r="D607" s="13" t="str">
        <f t="shared" si="37"/>
        <v/>
      </c>
      <c r="E607" s="45"/>
      <c r="F607" s="11" t="str">
        <f>IFERROR(VLOOKUP(E607,Category!$D$2:$E$600,2,FALSE),"")</f>
        <v/>
      </c>
      <c r="G607" s="56"/>
      <c r="H607" s="56"/>
      <c r="I607" s="16" t="str">
        <f t="shared" si="38"/>
        <v/>
      </c>
      <c r="J607" s="45"/>
      <c r="K607" s="45"/>
      <c r="L607" s="45"/>
    </row>
    <row r="608" spans="1:12">
      <c r="A608" s="10" t="str">
        <f t="shared" si="39"/>
        <v/>
      </c>
      <c r="B608" s="45"/>
      <c r="C608" s="13" t="str">
        <f t="shared" si="36"/>
        <v/>
      </c>
      <c r="D608" s="13" t="str">
        <f t="shared" si="37"/>
        <v/>
      </c>
      <c r="E608" s="45"/>
      <c r="F608" s="11" t="str">
        <f>IFERROR(VLOOKUP(E608,Category!$D$2:$E$600,2,FALSE),"")</f>
        <v/>
      </c>
      <c r="G608" s="56"/>
      <c r="H608" s="56"/>
      <c r="I608" s="16" t="str">
        <f t="shared" si="38"/>
        <v/>
      </c>
      <c r="J608" s="45"/>
      <c r="K608" s="45"/>
      <c r="L608" s="45"/>
    </row>
    <row r="609" spans="1:12">
      <c r="A609" s="10" t="str">
        <f t="shared" si="39"/>
        <v/>
      </c>
      <c r="B609" s="45"/>
      <c r="C609" s="13" t="str">
        <f t="shared" si="36"/>
        <v/>
      </c>
      <c r="D609" s="13" t="str">
        <f t="shared" si="37"/>
        <v/>
      </c>
      <c r="E609" s="45"/>
      <c r="F609" s="11" t="str">
        <f>IFERROR(VLOOKUP(E609,Category!$D$2:$E$600,2,FALSE),"")</f>
        <v/>
      </c>
      <c r="G609" s="56"/>
      <c r="H609" s="56"/>
      <c r="I609" s="16" t="str">
        <f t="shared" si="38"/>
        <v/>
      </c>
      <c r="J609" s="45"/>
      <c r="K609" s="45"/>
      <c r="L609" s="45"/>
    </row>
    <row r="610" spans="1:12">
      <c r="A610" s="10" t="str">
        <f t="shared" si="39"/>
        <v/>
      </c>
      <c r="B610" s="45"/>
      <c r="C610" s="13" t="str">
        <f t="shared" si="36"/>
        <v/>
      </c>
      <c r="D610" s="13" t="str">
        <f t="shared" si="37"/>
        <v/>
      </c>
      <c r="E610" s="45"/>
      <c r="F610" s="11" t="str">
        <f>IFERROR(VLOOKUP(E610,Category!$D$2:$E$600,2,FALSE),"")</f>
        <v/>
      </c>
      <c r="G610" s="56"/>
      <c r="H610" s="56"/>
      <c r="I610" s="16" t="str">
        <f t="shared" si="38"/>
        <v/>
      </c>
      <c r="J610" s="45"/>
      <c r="K610" s="45"/>
      <c r="L610" s="45"/>
    </row>
    <row r="611" spans="1:12">
      <c r="A611" s="10" t="str">
        <f t="shared" si="39"/>
        <v/>
      </c>
      <c r="B611" s="45"/>
      <c r="C611" s="13" t="str">
        <f t="shared" si="36"/>
        <v/>
      </c>
      <c r="D611" s="13" t="str">
        <f t="shared" si="37"/>
        <v/>
      </c>
      <c r="E611" s="45"/>
      <c r="F611" s="11" t="str">
        <f>IFERROR(VLOOKUP(E611,Category!$D$2:$E$600,2,FALSE),"")</f>
        <v/>
      </c>
      <c r="G611" s="56"/>
      <c r="H611" s="56"/>
      <c r="I611" s="16" t="str">
        <f t="shared" si="38"/>
        <v/>
      </c>
      <c r="J611" s="45"/>
      <c r="K611" s="45"/>
      <c r="L611" s="45"/>
    </row>
    <row r="612" spans="1:12">
      <c r="A612" s="10" t="str">
        <f t="shared" si="39"/>
        <v/>
      </c>
      <c r="B612" s="45"/>
      <c r="C612" s="13" t="str">
        <f t="shared" si="36"/>
        <v/>
      </c>
      <c r="D612" s="13" t="str">
        <f t="shared" si="37"/>
        <v/>
      </c>
      <c r="E612" s="45"/>
      <c r="F612" s="11" t="str">
        <f>IFERROR(VLOOKUP(E612,Category!$D$2:$E$600,2,FALSE),"")</f>
        <v/>
      </c>
      <c r="G612" s="56"/>
      <c r="H612" s="56"/>
      <c r="I612" s="16" t="str">
        <f t="shared" si="38"/>
        <v/>
      </c>
      <c r="J612" s="45"/>
      <c r="K612" s="45"/>
      <c r="L612" s="45"/>
    </row>
    <row r="613" spans="1:12">
      <c r="A613" s="10" t="str">
        <f t="shared" si="39"/>
        <v/>
      </c>
      <c r="B613" s="45"/>
      <c r="C613" s="13" t="str">
        <f t="shared" si="36"/>
        <v/>
      </c>
      <c r="D613" s="13" t="str">
        <f t="shared" si="37"/>
        <v/>
      </c>
      <c r="E613" s="45"/>
      <c r="F613" s="11" t="str">
        <f>IFERROR(VLOOKUP(E613,Category!$D$2:$E$600,2,FALSE),"")</f>
        <v/>
      </c>
      <c r="G613" s="56"/>
      <c r="H613" s="56"/>
      <c r="I613" s="16" t="str">
        <f t="shared" si="38"/>
        <v/>
      </c>
      <c r="J613" s="45"/>
      <c r="K613" s="45"/>
      <c r="L613" s="45"/>
    </row>
    <row r="614" spans="1:12">
      <c r="A614" s="10" t="str">
        <f t="shared" si="39"/>
        <v/>
      </c>
      <c r="B614" s="45"/>
      <c r="C614" s="13" t="str">
        <f t="shared" si="36"/>
        <v/>
      </c>
      <c r="D614" s="13" t="str">
        <f t="shared" si="37"/>
        <v/>
      </c>
      <c r="E614" s="45"/>
      <c r="F614" s="11" t="str">
        <f>IFERROR(VLOOKUP(E614,Category!$D$2:$E$600,2,FALSE),"")</f>
        <v/>
      </c>
      <c r="G614" s="56"/>
      <c r="H614" s="56"/>
      <c r="I614" s="16" t="str">
        <f t="shared" si="38"/>
        <v/>
      </c>
      <c r="J614" s="45"/>
      <c r="K614" s="45"/>
      <c r="L614" s="45"/>
    </row>
    <row r="615" spans="1:12">
      <c r="A615" s="10" t="str">
        <f t="shared" si="39"/>
        <v/>
      </c>
      <c r="B615" s="45"/>
      <c r="C615" s="13" t="str">
        <f t="shared" si="36"/>
        <v/>
      </c>
      <c r="D615" s="13" t="str">
        <f t="shared" si="37"/>
        <v/>
      </c>
      <c r="E615" s="45"/>
      <c r="F615" s="11" t="str">
        <f>IFERROR(VLOOKUP(E615,Category!$D$2:$E$600,2,FALSE),"")</f>
        <v/>
      </c>
      <c r="G615" s="56"/>
      <c r="H615" s="56"/>
      <c r="I615" s="16" t="str">
        <f t="shared" si="38"/>
        <v/>
      </c>
      <c r="J615" s="45"/>
      <c r="K615" s="45"/>
      <c r="L615" s="45"/>
    </row>
    <row r="616" spans="1:12">
      <c r="A616" s="10" t="str">
        <f t="shared" si="39"/>
        <v/>
      </c>
      <c r="B616" s="45"/>
      <c r="C616" s="13" t="str">
        <f t="shared" si="36"/>
        <v/>
      </c>
      <c r="D616" s="13" t="str">
        <f t="shared" si="37"/>
        <v/>
      </c>
      <c r="E616" s="45"/>
      <c r="F616" s="11" t="str">
        <f>IFERROR(VLOOKUP(E616,Category!$D$2:$E$600,2,FALSE),"")</f>
        <v/>
      </c>
      <c r="G616" s="56"/>
      <c r="H616" s="56"/>
      <c r="I616" s="16" t="str">
        <f t="shared" si="38"/>
        <v/>
      </c>
      <c r="J616" s="45"/>
      <c r="K616" s="45"/>
      <c r="L616" s="45"/>
    </row>
    <row r="617" spans="1:12">
      <c r="A617" s="10" t="str">
        <f t="shared" si="39"/>
        <v/>
      </c>
      <c r="B617" s="45"/>
      <c r="C617" s="13" t="str">
        <f t="shared" si="36"/>
        <v/>
      </c>
      <c r="D617" s="13" t="str">
        <f t="shared" si="37"/>
        <v/>
      </c>
      <c r="E617" s="45"/>
      <c r="F617" s="11" t="str">
        <f>IFERROR(VLOOKUP(E617,Category!$D$2:$E$600,2,FALSE),"")</f>
        <v/>
      </c>
      <c r="G617" s="56"/>
      <c r="H617" s="56"/>
      <c r="I617" s="16" t="str">
        <f t="shared" si="38"/>
        <v/>
      </c>
      <c r="J617" s="45"/>
      <c r="K617" s="45"/>
      <c r="L617" s="45"/>
    </row>
    <row r="618" spans="1:12">
      <c r="A618" s="10" t="str">
        <f t="shared" si="39"/>
        <v/>
      </c>
      <c r="B618" s="45"/>
      <c r="C618" s="13" t="str">
        <f t="shared" si="36"/>
        <v/>
      </c>
      <c r="D618" s="13" t="str">
        <f t="shared" si="37"/>
        <v/>
      </c>
      <c r="E618" s="45"/>
      <c r="F618" s="11" t="str">
        <f>IFERROR(VLOOKUP(E618,Category!$D$2:$E$600,2,FALSE),"")</f>
        <v/>
      </c>
      <c r="G618" s="56"/>
      <c r="H618" s="56"/>
      <c r="I618" s="16" t="str">
        <f t="shared" si="38"/>
        <v/>
      </c>
      <c r="J618" s="45"/>
      <c r="K618" s="45"/>
      <c r="L618" s="45"/>
    </row>
    <row r="619" spans="1:12">
      <c r="A619" s="10" t="str">
        <f t="shared" si="39"/>
        <v/>
      </c>
      <c r="B619" s="45"/>
      <c r="C619" s="13" t="str">
        <f t="shared" si="36"/>
        <v/>
      </c>
      <c r="D619" s="13" t="str">
        <f t="shared" si="37"/>
        <v/>
      </c>
      <c r="E619" s="45"/>
      <c r="F619" s="11" t="str">
        <f>IFERROR(VLOOKUP(E619,Category!$D$2:$E$600,2,FALSE),"")</f>
        <v/>
      </c>
      <c r="G619" s="56"/>
      <c r="H619" s="56"/>
      <c r="I619" s="16" t="str">
        <f t="shared" si="38"/>
        <v/>
      </c>
      <c r="J619" s="45"/>
      <c r="K619" s="45"/>
      <c r="L619" s="45"/>
    </row>
    <row r="620" spans="1:12">
      <c r="A620" s="10" t="str">
        <f t="shared" si="39"/>
        <v/>
      </c>
      <c r="B620" s="45"/>
      <c r="C620" s="13" t="str">
        <f t="shared" si="36"/>
        <v/>
      </c>
      <c r="D620" s="13" t="str">
        <f t="shared" si="37"/>
        <v/>
      </c>
      <c r="E620" s="45"/>
      <c r="F620" s="11" t="str">
        <f>IFERROR(VLOOKUP(E620,Category!$D$2:$E$600,2,FALSE),"")</f>
        <v/>
      </c>
      <c r="G620" s="56"/>
      <c r="H620" s="56"/>
      <c r="I620" s="16" t="str">
        <f t="shared" si="38"/>
        <v/>
      </c>
      <c r="J620" s="45"/>
      <c r="K620" s="45"/>
      <c r="L620" s="45"/>
    </row>
    <row r="621" spans="1:12">
      <c r="A621" s="10" t="str">
        <f t="shared" si="39"/>
        <v/>
      </c>
      <c r="B621" s="45"/>
      <c r="C621" s="13" t="str">
        <f t="shared" si="36"/>
        <v/>
      </c>
      <c r="D621" s="13" t="str">
        <f t="shared" si="37"/>
        <v/>
      </c>
      <c r="E621" s="45"/>
      <c r="F621" s="11" t="str">
        <f>IFERROR(VLOOKUP(E621,Category!$D$2:$E$600,2,FALSE),"")</f>
        <v/>
      </c>
      <c r="G621" s="56"/>
      <c r="H621" s="56"/>
      <c r="I621" s="16" t="str">
        <f t="shared" si="38"/>
        <v/>
      </c>
      <c r="J621" s="45"/>
      <c r="K621" s="45"/>
      <c r="L621" s="45"/>
    </row>
    <row r="622" spans="1:12">
      <c r="A622" s="10" t="str">
        <f t="shared" si="39"/>
        <v/>
      </c>
      <c r="B622" s="45"/>
      <c r="C622" s="13" t="str">
        <f t="shared" si="36"/>
        <v/>
      </c>
      <c r="D622" s="13" t="str">
        <f t="shared" si="37"/>
        <v/>
      </c>
      <c r="E622" s="45"/>
      <c r="F622" s="11" t="str">
        <f>IFERROR(VLOOKUP(E622,Category!$D$2:$E$600,2,FALSE),"")</f>
        <v/>
      </c>
      <c r="G622" s="56"/>
      <c r="H622" s="56"/>
      <c r="I622" s="16" t="str">
        <f t="shared" si="38"/>
        <v/>
      </c>
      <c r="J622" s="45"/>
      <c r="K622" s="45"/>
      <c r="L622" s="45"/>
    </row>
    <row r="623" spans="1:12">
      <c r="A623" s="10" t="str">
        <f t="shared" si="39"/>
        <v/>
      </c>
      <c r="B623" s="45"/>
      <c r="C623" s="13" t="str">
        <f t="shared" si="36"/>
        <v/>
      </c>
      <c r="D623" s="13" t="str">
        <f t="shared" si="37"/>
        <v/>
      </c>
      <c r="E623" s="45"/>
      <c r="F623" s="11" t="str">
        <f>IFERROR(VLOOKUP(E623,Category!$D$2:$E$600,2,FALSE),"")</f>
        <v/>
      </c>
      <c r="G623" s="56"/>
      <c r="H623" s="56"/>
      <c r="I623" s="16" t="str">
        <f t="shared" si="38"/>
        <v/>
      </c>
      <c r="J623" s="45"/>
      <c r="K623" s="45"/>
      <c r="L623" s="45"/>
    </row>
    <row r="624" spans="1:12">
      <c r="A624" s="10" t="str">
        <f t="shared" si="39"/>
        <v/>
      </c>
      <c r="B624" s="45"/>
      <c r="C624" s="13" t="str">
        <f t="shared" si="36"/>
        <v/>
      </c>
      <c r="D624" s="13" t="str">
        <f t="shared" si="37"/>
        <v/>
      </c>
      <c r="E624" s="45"/>
      <c r="F624" s="11" t="str">
        <f>IFERROR(VLOOKUP(E624,Category!$D$2:$E$600,2,FALSE),"")</f>
        <v/>
      </c>
      <c r="G624" s="56"/>
      <c r="H624" s="56"/>
      <c r="I624" s="16" t="str">
        <f t="shared" si="38"/>
        <v/>
      </c>
      <c r="J624" s="45"/>
      <c r="K624" s="45"/>
      <c r="L624" s="45"/>
    </row>
    <row r="625" spans="1:12">
      <c r="A625" s="10" t="str">
        <f t="shared" si="39"/>
        <v/>
      </c>
      <c r="B625" s="45"/>
      <c r="C625" s="13" t="str">
        <f t="shared" si="36"/>
        <v/>
      </c>
      <c r="D625" s="13" t="str">
        <f t="shared" si="37"/>
        <v/>
      </c>
      <c r="E625" s="45"/>
      <c r="F625" s="11" t="str">
        <f>IFERROR(VLOOKUP(E625,Category!$D$2:$E$600,2,FALSE),"")</f>
        <v/>
      </c>
      <c r="G625" s="56"/>
      <c r="H625" s="56"/>
      <c r="I625" s="16" t="str">
        <f t="shared" si="38"/>
        <v/>
      </c>
      <c r="J625" s="45"/>
      <c r="K625" s="45"/>
      <c r="L625" s="45"/>
    </row>
    <row r="626" spans="1:12">
      <c r="A626" s="10" t="str">
        <f t="shared" si="39"/>
        <v/>
      </c>
      <c r="B626" s="45"/>
      <c r="C626" s="13" t="str">
        <f t="shared" si="36"/>
        <v/>
      </c>
      <c r="D626" s="13" t="str">
        <f t="shared" si="37"/>
        <v/>
      </c>
      <c r="E626" s="45"/>
      <c r="F626" s="11" t="str">
        <f>IFERROR(VLOOKUP(E626,Category!$D$2:$E$600,2,FALSE),"")</f>
        <v/>
      </c>
      <c r="G626" s="56"/>
      <c r="H626" s="56"/>
      <c r="I626" s="16" t="str">
        <f t="shared" si="38"/>
        <v/>
      </c>
      <c r="J626" s="45"/>
      <c r="K626" s="45"/>
      <c r="L626" s="45"/>
    </row>
    <row r="627" spans="1:12">
      <c r="A627" s="10" t="str">
        <f t="shared" si="39"/>
        <v/>
      </c>
      <c r="B627" s="45"/>
      <c r="C627" s="13" t="str">
        <f t="shared" si="36"/>
        <v/>
      </c>
      <c r="D627" s="13" t="str">
        <f t="shared" si="37"/>
        <v/>
      </c>
      <c r="E627" s="45"/>
      <c r="F627" s="11" t="str">
        <f>IFERROR(VLOOKUP(E627,Category!$D$2:$E$600,2,FALSE),"")</f>
        <v/>
      </c>
      <c r="G627" s="56"/>
      <c r="H627" s="56"/>
      <c r="I627" s="16" t="str">
        <f t="shared" si="38"/>
        <v/>
      </c>
      <c r="J627" s="45"/>
      <c r="K627" s="45"/>
      <c r="L627" s="45"/>
    </row>
    <row r="628" spans="1:12">
      <c r="A628" s="10" t="str">
        <f t="shared" si="39"/>
        <v/>
      </c>
      <c r="B628" s="45"/>
      <c r="C628" s="13" t="str">
        <f t="shared" si="36"/>
        <v/>
      </c>
      <c r="D628" s="13" t="str">
        <f t="shared" si="37"/>
        <v/>
      </c>
      <c r="E628" s="45"/>
      <c r="F628" s="11" t="str">
        <f>IFERROR(VLOOKUP(E628,Category!$D$2:$E$600,2,FALSE),"")</f>
        <v/>
      </c>
      <c r="G628" s="56"/>
      <c r="H628" s="56"/>
      <c r="I628" s="16" t="str">
        <f t="shared" si="38"/>
        <v/>
      </c>
      <c r="J628" s="45"/>
      <c r="K628" s="45"/>
      <c r="L628" s="45"/>
    </row>
    <row r="629" spans="1:12">
      <c r="A629" s="10" t="str">
        <f t="shared" si="39"/>
        <v/>
      </c>
      <c r="B629" s="45"/>
      <c r="C629" s="13" t="str">
        <f t="shared" si="36"/>
        <v/>
      </c>
      <c r="D629" s="13" t="str">
        <f t="shared" si="37"/>
        <v/>
      </c>
      <c r="E629" s="45"/>
      <c r="F629" s="11" t="str">
        <f>IFERROR(VLOOKUP(E629,Category!$D$2:$E$600,2,FALSE),"")</f>
        <v/>
      </c>
      <c r="G629" s="56"/>
      <c r="H629" s="56"/>
      <c r="I629" s="16" t="str">
        <f t="shared" si="38"/>
        <v/>
      </c>
      <c r="J629" s="45"/>
      <c r="K629" s="45"/>
      <c r="L629" s="45"/>
    </row>
    <row r="630" spans="1:12">
      <c r="A630" s="10" t="str">
        <f t="shared" si="39"/>
        <v/>
      </c>
      <c r="B630" s="45"/>
      <c r="C630" s="13" t="str">
        <f t="shared" si="36"/>
        <v/>
      </c>
      <c r="D630" s="13" t="str">
        <f t="shared" si="37"/>
        <v/>
      </c>
      <c r="E630" s="45"/>
      <c r="F630" s="11" t="str">
        <f>IFERROR(VLOOKUP(E630,Category!$D$2:$E$600,2,FALSE),"")</f>
        <v/>
      </c>
      <c r="G630" s="56"/>
      <c r="H630" s="56"/>
      <c r="I630" s="16" t="str">
        <f t="shared" si="38"/>
        <v/>
      </c>
      <c r="J630" s="45"/>
      <c r="K630" s="45"/>
      <c r="L630" s="45"/>
    </row>
    <row r="631" spans="1:12">
      <c r="A631" s="10" t="str">
        <f t="shared" si="39"/>
        <v/>
      </c>
      <c r="B631" s="45"/>
      <c r="C631" s="13" t="str">
        <f t="shared" si="36"/>
        <v/>
      </c>
      <c r="D631" s="13" t="str">
        <f t="shared" si="37"/>
        <v/>
      </c>
      <c r="E631" s="45"/>
      <c r="F631" s="11" t="str">
        <f>IFERROR(VLOOKUP(E631,Category!$D$2:$E$600,2,FALSE),"")</f>
        <v/>
      </c>
      <c r="G631" s="56"/>
      <c r="H631" s="56"/>
      <c r="I631" s="16" t="str">
        <f t="shared" si="38"/>
        <v/>
      </c>
      <c r="J631" s="45"/>
      <c r="K631" s="45"/>
      <c r="L631" s="45"/>
    </row>
    <row r="632" spans="1:12">
      <c r="A632" s="10" t="str">
        <f t="shared" si="39"/>
        <v/>
      </c>
      <c r="B632" s="45"/>
      <c r="C632" s="13" t="str">
        <f t="shared" si="36"/>
        <v/>
      </c>
      <c r="D632" s="13" t="str">
        <f t="shared" si="37"/>
        <v/>
      </c>
      <c r="E632" s="45"/>
      <c r="F632" s="11" t="str">
        <f>IFERROR(VLOOKUP(E632,Category!$D$2:$E$600,2,FALSE),"")</f>
        <v/>
      </c>
      <c r="G632" s="56"/>
      <c r="H632" s="56"/>
      <c r="I632" s="16" t="str">
        <f t="shared" si="38"/>
        <v/>
      </c>
      <c r="J632" s="45"/>
      <c r="K632" s="45"/>
      <c r="L632" s="45"/>
    </row>
    <row r="633" spans="1:12">
      <c r="A633" s="10" t="str">
        <f t="shared" si="39"/>
        <v/>
      </c>
      <c r="B633" s="45"/>
      <c r="C633" s="13" t="str">
        <f t="shared" si="36"/>
        <v/>
      </c>
      <c r="D633" s="13" t="str">
        <f t="shared" si="37"/>
        <v/>
      </c>
      <c r="E633" s="45"/>
      <c r="F633" s="11" t="str">
        <f>IFERROR(VLOOKUP(E633,Category!$D$2:$E$600,2,FALSE),"")</f>
        <v/>
      </c>
      <c r="G633" s="56"/>
      <c r="H633" s="56"/>
      <c r="I633" s="16" t="str">
        <f t="shared" si="38"/>
        <v/>
      </c>
      <c r="J633" s="45"/>
      <c r="K633" s="45"/>
      <c r="L633" s="45"/>
    </row>
    <row r="634" spans="1:12">
      <c r="A634" s="10" t="str">
        <f t="shared" si="39"/>
        <v/>
      </c>
      <c r="B634" s="45"/>
      <c r="C634" s="13" t="str">
        <f t="shared" si="36"/>
        <v/>
      </c>
      <c r="D634" s="13" t="str">
        <f t="shared" si="37"/>
        <v/>
      </c>
      <c r="E634" s="45"/>
      <c r="F634" s="11" t="str">
        <f>IFERROR(VLOOKUP(E634,Category!$D$2:$E$600,2,FALSE),"")</f>
        <v/>
      </c>
      <c r="G634" s="56"/>
      <c r="H634" s="56"/>
      <c r="I634" s="16" t="str">
        <f t="shared" si="38"/>
        <v/>
      </c>
      <c r="J634" s="45"/>
      <c r="K634" s="45"/>
      <c r="L634" s="45"/>
    </row>
    <row r="635" spans="1:12">
      <c r="A635" s="10" t="str">
        <f t="shared" si="39"/>
        <v/>
      </c>
      <c r="B635" s="45"/>
      <c r="C635" s="13" t="str">
        <f t="shared" si="36"/>
        <v/>
      </c>
      <c r="D635" s="13" t="str">
        <f t="shared" si="37"/>
        <v/>
      </c>
      <c r="E635" s="45"/>
      <c r="F635" s="11" t="str">
        <f>IFERROR(VLOOKUP(E635,Category!$D$2:$E$600,2,FALSE),"")</f>
        <v/>
      </c>
      <c r="G635" s="56"/>
      <c r="H635" s="56"/>
      <c r="I635" s="16" t="str">
        <f t="shared" si="38"/>
        <v/>
      </c>
      <c r="J635" s="45"/>
      <c r="K635" s="45"/>
      <c r="L635" s="45"/>
    </row>
    <row r="636" spans="1:12">
      <c r="A636" s="10" t="str">
        <f t="shared" si="39"/>
        <v/>
      </c>
      <c r="B636" s="45"/>
      <c r="C636" s="13" t="str">
        <f t="shared" si="36"/>
        <v/>
      </c>
      <c r="D636" s="13" t="str">
        <f t="shared" si="37"/>
        <v/>
      </c>
      <c r="E636" s="45"/>
      <c r="F636" s="11" t="str">
        <f>IFERROR(VLOOKUP(E636,Category!$D$2:$E$600,2,FALSE),"")</f>
        <v/>
      </c>
      <c r="G636" s="56"/>
      <c r="H636" s="56"/>
      <c r="I636" s="16" t="str">
        <f t="shared" si="38"/>
        <v/>
      </c>
      <c r="J636" s="45"/>
      <c r="K636" s="45"/>
      <c r="L636" s="45"/>
    </row>
    <row r="637" spans="1:12">
      <c r="A637" s="10" t="str">
        <f t="shared" si="39"/>
        <v/>
      </c>
      <c r="B637" s="45"/>
      <c r="C637" s="13" t="str">
        <f t="shared" si="36"/>
        <v/>
      </c>
      <c r="D637" s="13" t="str">
        <f t="shared" si="37"/>
        <v/>
      </c>
      <c r="E637" s="45"/>
      <c r="F637" s="11" t="str">
        <f>IFERROR(VLOOKUP(E637,Category!$D$2:$E$600,2,FALSE),"")</f>
        <v/>
      </c>
      <c r="G637" s="56"/>
      <c r="H637" s="56"/>
      <c r="I637" s="16" t="str">
        <f t="shared" si="38"/>
        <v/>
      </c>
      <c r="J637" s="45"/>
      <c r="K637" s="45"/>
      <c r="L637" s="45"/>
    </row>
    <row r="638" spans="1:12">
      <c r="A638" s="10" t="str">
        <f t="shared" si="39"/>
        <v/>
      </c>
      <c r="B638" s="45"/>
      <c r="C638" s="13" t="str">
        <f t="shared" si="36"/>
        <v/>
      </c>
      <c r="D638" s="13" t="str">
        <f t="shared" si="37"/>
        <v/>
      </c>
      <c r="E638" s="45"/>
      <c r="F638" s="11" t="str">
        <f>IFERROR(VLOOKUP(E638,Category!$D$2:$E$600,2,FALSE),"")</f>
        <v/>
      </c>
      <c r="G638" s="56"/>
      <c r="H638" s="56"/>
      <c r="I638" s="16" t="str">
        <f t="shared" si="38"/>
        <v/>
      </c>
      <c r="J638" s="45"/>
      <c r="K638" s="45"/>
      <c r="L638" s="45"/>
    </row>
    <row r="639" spans="1:12">
      <c r="A639" s="10" t="str">
        <f t="shared" si="39"/>
        <v/>
      </c>
      <c r="B639" s="45"/>
      <c r="C639" s="13" t="str">
        <f t="shared" si="36"/>
        <v/>
      </c>
      <c r="D639" s="13" t="str">
        <f t="shared" si="37"/>
        <v/>
      </c>
      <c r="E639" s="45"/>
      <c r="F639" s="11" t="str">
        <f>IFERROR(VLOOKUP(E639,Category!$D$2:$E$600,2,FALSE),"")</f>
        <v/>
      </c>
      <c r="G639" s="56"/>
      <c r="H639" s="56"/>
      <c r="I639" s="16" t="str">
        <f t="shared" si="38"/>
        <v/>
      </c>
      <c r="J639" s="45"/>
      <c r="K639" s="45"/>
      <c r="L639" s="45"/>
    </row>
    <row r="640" spans="1:12">
      <c r="A640" s="10" t="str">
        <f t="shared" si="39"/>
        <v/>
      </c>
      <c r="B640" s="45"/>
      <c r="C640" s="13" t="str">
        <f t="shared" si="36"/>
        <v/>
      </c>
      <c r="D640" s="13" t="str">
        <f t="shared" si="37"/>
        <v/>
      </c>
      <c r="E640" s="45"/>
      <c r="F640" s="11" t="str">
        <f>IFERROR(VLOOKUP(E640,Category!$D$2:$E$600,2,FALSE),"")</f>
        <v/>
      </c>
      <c r="G640" s="56"/>
      <c r="H640" s="56"/>
      <c r="I640" s="16" t="str">
        <f t="shared" si="38"/>
        <v/>
      </c>
      <c r="J640" s="45"/>
      <c r="K640" s="45"/>
      <c r="L640" s="45"/>
    </row>
    <row r="641" spans="1:12">
      <c r="A641" s="10" t="str">
        <f t="shared" si="39"/>
        <v/>
      </c>
      <c r="B641" s="45"/>
      <c r="C641" s="13" t="str">
        <f t="shared" si="36"/>
        <v/>
      </c>
      <c r="D641" s="13" t="str">
        <f t="shared" si="37"/>
        <v/>
      </c>
      <c r="E641" s="45"/>
      <c r="F641" s="11" t="str">
        <f>IFERROR(VLOOKUP(E641,Category!$D$2:$E$600,2,FALSE),"")</f>
        <v/>
      </c>
      <c r="G641" s="56"/>
      <c r="H641" s="56"/>
      <c r="I641" s="16" t="str">
        <f t="shared" si="38"/>
        <v/>
      </c>
      <c r="J641" s="45"/>
      <c r="K641" s="45"/>
      <c r="L641" s="45"/>
    </row>
    <row r="642" spans="1:12">
      <c r="A642" s="10" t="str">
        <f t="shared" si="39"/>
        <v/>
      </c>
      <c r="B642" s="45"/>
      <c r="C642" s="13" t="str">
        <f t="shared" si="36"/>
        <v/>
      </c>
      <c r="D642" s="13" t="str">
        <f t="shared" si="37"/>
        <v/>
      </c>
      <c r="E642" s="45"/>
      <c r="F642" s="11" t="str">
        <f>IFERROR(VLOOKUP(E642,Category!$D$2:$E$600,2,FALSE),"")</f>
        <v/>
      </c>
      <c r="G642" s="56"/>
      <c r="H642" s="56"/>
      <c r="I642" s="16" t="str">
        <f t="shared" si="38"/>
        <v/>
      </c>
      <c r="J642" s="45"/>
      <c r="K642" s="45"/>
      <c r="L642" s="45"/>
    </row>
    <row r="643" spans="1:12">
      <c r="A643" s="10" t="str">
        <f t="shared" si="39"/>
        <v/>
      </c>
      <c r="B643" s="45"/>
      <c r="C643" s="13" t="str">
        <f t="shared" ref="C643:C706" si="40">IF(B643=0,"",TEXT(B643,"mmmm"))</f>
        <v/>
      </c>
      <c r="D643" s="13" t="str">
        <f t="shared" ref="D643:D706" si="41">IF(B643=0,"",TEXT(B643,"yyyy"))</f>
        <v/>
      </c>
      <c r="E643" s="45"/>
      <c r="F643" s="11" t="str">
        <f>IFERROR(VLOOKUP(E643,Category!$D$2:$E$600,2,FALSE),"")</f>
        <v/>
      </c>
      <c r="G643" s="56"/>
      <c r="H643" s="56"/>
      <c r="I643" s="16" t="str">
        <f t="shared" ref="I643:I706" si="42">IF(H643*G643=0,"",H643*G643)</f>
        <v/>
      </c>
      <c r="J643" s="45"/>
      <c r="K643" s="45"/>
      <c r="L643" s="45"/>
    </row>
    <row r="644" spans="1:12">
      <c r="A644" s="10" t="str">
        <f t="shared" ref="A644:A707" si="43">IF(E644&gt;0,A643+1,"")</f>
        <v/>
      </c>
      <c r="B644" s="45"/>
      <c r="C644" s="13" t="str">
        <f t="shared" si="40"/>
        <v/>
      </c>
      <c r="D644" s="13" t="str">
        <f t="shared" si="41"/>
        <v/>
      </c>
      <c r="E644" s="45"/>
      <c r="F644" s="11" t="str">
        <f>IFERROR(VLOOKUP(E644,Category!$D$2:$E$600,2,FALSE),"")</f>
        <v/>
      </c>
      <c r="G644" s="56"/>
      <c r="H644" s="56"/>
      <c r="I644" s="16" t="str">
        <f t="shared" si="42"/>
        <v/>
      </c>
      <c r="J644" s="45"/>
      <c r="K644" s="45"/>
      <c r="L644" s="45"/>
    </row>
    <row r="645" spans="1:12">
      <c r="A645" s="10" t="str">
        <f t="shared" si="43"/>
        <v/>
      </c>
      <c r="B645" s="45"/>
      <c r="C645" s="13" t="str">
        <f t="shared" si="40"/>
        <v/>
      </c>
      <c r="D645" s="13" t="str">
        <f t="shared" si="41"/>
        <v/>
      </c>
      <c r="E645" s="45"/>
      <c r="F645" s="11" t="str">
        <f>IFERROR(VLOOKUP(E645,Category!$D$2:$E$600,2,FALSE),"")</f>
        <v/>
      </c>
      <c r="G645" s="56"/>
      <c r="H645" s="56"/>
      <c r="I645" s="16" t="str">
        <f t="shared" si="42"/>
        <v/>
      </c>
      <c r="J645" s="45"/>
      <c r="K645" s="45"/>
      <c r="L645" s="45"/>
    </row>
    <row r="646" spans="1:12">
      <c r="A646" s="10" t="str">
        <f t="shared" si="43"/>
        <v/>
      </c>
      <c r="B646" s="45"/>
      <c r="C646" s="13" t="str">
        <f t="shared" si="40"/>
        <v/>
      </c>
      <c r="D646" s="13" t="str">
        <f t="shared" si="41"/>
        <v/>
      </c>
      <c r="E646" s="45"/>
      <c r="F646" s="11" t="str">
        <f>IFERROR(VLOOKUP(E646,Category!$D$2:$E$600,2,FALSE),"")</f>
        <v/>
      </c>
      <c r="G646" s="56"/>
      <c r="H646" s="56"/>
      <c r="I646" s="16" t="str">
        <f t="shared" si="42"/>
        <v/>
      </c>
      <c r="J646" s="45"/>
      <c r="K646" s="45"/>
      <c r="L646" s="45"/>
    </row>
    <row r="647" spans="1:12">
      <c r="A647" s="10" t="str">
        <f t="shared" si="43"/>
        <v/>
      </c>
      <c r="B647" s="45"/>
      <c r="C647" s="13" t="str">
        <f t="shared" si="40"/>
        <v/>
      </c>
      <c r="D647" s="13" t="str">
        <f t="shared" si="41"/>
        <v/>
      </c>
      <c r="E647" s="45"/>
      <c r="F647" s="11" t="str">
        <f>IFERROR(VLOOKUP(E647,Category!$D$2:$E$600,2,FALSE),"")</f>
        <v/>
      </c>
      <c r="G647" s="56"/>
      <c r="H647" s="56"/>
      <c r="I647" s="16" t="str">
        <f t="shared" si="42"/>
        <v/>
      </c>
      <c r="J647" s="45"/>
      <c r="K647" s="45"/>
      <c r="L647" s="45"/>
    </row>
    <row r="648" spans="1:12">
      <c r="A648" s="10" t="str">
        <f t="shared" si="43"/>
        <v/>
      </c>
      <c r="B648" s="45"/>
      <c r="C648" s="13" t="str">
        <f t="shared" si="40"/>
        <v/>
      </c>
      <c r="D648" s="13" t="str">
        <f t="shared" si="41"/>
        <v/>
      </c>
      <c r="E648" s="45"/>
      <c r="F648" s="11" t="str">
        <f>IFERROR(VLOOKUP(E648,Category!$D$2:$E$600,2,FALSE),"")</f>
        <v/>
      </c>
      <c r="G648" s="56"/>
      <c r="H648" s="56"/>
      <c r="I648" s="16" t="str">
        <f t="shared" si="42"/>
        <v/>
      </c>
      <c r="J648" s="45"/>
      <c r="K648" s="45"/>
      <c r="L648" s="45"/>
    </row>
    <row r="649" spans="1:12">
      <c r="A649" s="10" t="str">
        <f t="shared" si="43"/>
        <v/>
      </c>
      <c r="B649" s="45"/>
      <c r="C649" s="13" t="str">
        <f t="shared" si="40"/>
        <v/>
      </c>
      <c r="D649" s="13" t="str">
        <f t="shared" si="41"/>
        <v/>
      </c>
      <c r="E649" s="45"/>
      <c r="F649" s="11" t="str">
        <f>IFERROR(VLOOKUP(E649,Category!$D$2:$E$600,2,FALSE),"")</f>
        <v/>
      </c>
      <c r="G649" s="56"/>
      <c r="H649" s="56"/>
      <c r="I649" s="16" t="str">
        <f t="shared" si="42"/>
        <v/>
      </c>
      <c r="J649" s="45"/>
      <c r="K649" s="45"/>
      <c r="L649" s="45"/>
    </row>
    <row r="650" spans="1:12">
      <c r="A650" s="10" t="str">
        <f t="shared" si="43"/>
        <v/>
      </c>
      <c r="B650" s="45"/>
      <c r="C650" s="13" t="str">
        <f t="shared" si="40"/>
        <v/>
      </c>
      <c r="D650" s="13" t="str">
        <f t="shared" si="41"/>
        <v/>
      </c>
      <c r="E650" s="45"/>
      <c r="F650" s="11" t="str">
        <f>IFERROR(VLOOKUP(E650,Category!$D$2:$E$600,2,FALSE),"")</f>
        <v/>
      </c>
      <c r="G650" s="56"/>
      <c r="H650" s="56"/>
      <c r="I650" s="16" t="str">
        <f t="shared" si="42"/>
        <v/>
      </c>
      <c r="J650" s="45"/>
      <c r="K650" s="45"/>
      <c r="L650" s="45"/>
    </row>
    <row r="651" spans="1:12">
      <c r="A651" s="10" t="str">
        <f t="shared" si="43"/>
        <v/>
      </c>
      <c r="B651" s="45"/>
      <c r="C651" s="13" t="str">
        <f t="shared" si="40"/>
        <v/>
      </c>
      <c r="D651" s="13" t="str">
        <f t="shared" si="41"/>
        <v/>
      </c>
      <c r="E651" s="45"/>
      <c r="F651" s="11" t="str">
        <f>IFERROR(VLOOKUP(E651,Category!$D$2:$E$600,2,FALSE),"")</f>
        <v/>
      </c>
      <c r="G651" s="56"/>
      <c r="H651" s="56"/>
      <c r="I651" s="16" t="str">
        <f t="shared" si="42"/>
        <v/>
      </c>
      <c r="J651" s="45"/>
      <c r="K651" s="45"/>
      <c r="L651" s="45"/>
    </row>
    <row r="652" spans="1:12">
      <c r="A652" s="10" t="str">
        <f t="shared" si="43"/>
        <v/>
      </c>
      <c r="B652" s="45"/>
      <c r="C652" s="13" t="str">
        <f t="shared" si="40"/>
        <v/>
      </c>
      <c r="D652" s="13" t="str">
        <f t="shared" si="41"/>
        <v/>
      </c>
      <c r="E652" s="45"/>
      <c r="F652" s="11" t="str">
        <f>IFERROR(VLOOKUP(E652,Category!$D$2:$E$600,2,FALSE),"")</f>
        <v/>
      </c>
      <c r="G652" s="56"/>
      <c r="H652" s="56"/>
      <c r="I652" s="16" t="str">
        <f t="shared" si="42"/>
        <v/>
      </c>
      <c r="J652" s="45"/>
      <c r="K652" s="45"/>
      <c r="L652" s="45"/>
    </row>
    <row r="653" spans="1:12">
      <c r="A653" s="10" t="str">
        <f t="shared" si="43"/>
        <v/>
      </c>
      <c r="B653" s="45"/>
      <c r="C653" s="13" t="str">
        <f t="shared" si="40"/>
        <v/>
      </c>
      <c r="D653" s="13" t="str">
        <f t="shared" si="41"/>
        <v/>
      </c>
      <c r="E653" s="45"/>
      <c r="F653" s="11" t="str">
        <f>IFERROR(VLOOKUP(E653,Category!$D$2:$E$600,2,FALSE),"")</f>
        <v/>
      </c>
      <c r="G653" s="56"/>
      <c r="H653" s="56"/>
      <c r="I653" s="16" t="str">
        <f t="shared" si="42"/>
        <v/>
      </c>
      <c r="J653" s="45"/>
      <c r="K653" s="45"/>
      <c r="L653" s="45"/>
    </row>
    <row r="654" spans="1:12">
      <c r="A654" s="10" t="str">
        <f t="shared" si="43"/>
        <v/>
      </c>
      <c r="B654" s="45"/>
      <c r="C654" s="13" t="str">
        <f t="shared" si="40"/>
        <v/>
      </c>
      <c r="D654" s="13" t="str">
        <f t="shared" si="41"/>
        <v/>
      </c>
      <c r="E654" s="45"/>
      <c r="F654" s="11" t="str">
        <f>IFERROR(VLOOKUP(E654,Category!$D$2:$E$600,2,FALSE),"")</f>
        <v/>
      </c>
      <c r="G654" s="56"/>
      <c r="H654" s="56"/>
      <c r="I654" s="16" t="str">
        <f t="shared" si="42"/>
        <v/>
      </c>
      <c r="J654" s="45"/>
      <c r="K654" s="45"/>
      <c r="L654" s="45"/>
    </row>
    <row r="655" spans="1:12">
      <c r="A655" s="10" t="str">
        <f t="shared" si="43"/>
        <v/>
      </c>
      <c r="B655" s="45"/>
      <c r="C655" s="13" t="str">
        <f t="shared" si="40"/>
        <v/>
      </c>
      <c r="D655" s="13" t="str">
        <f t="shared" si="41"/>
        <v/>
      </c>
      <c r="E655" s="45"/>
      <c r="F655" s="11" t="str">
        <f>IFERROR(VLOOKUP(E655,Category!$D$2:$E$600,2,FALSE),"")</f>
        <v/>
      </c>
      <c r="G655" s="56"/>
      <c r="H655" s="56"/>
      <c r="I655" s="16" t="str">
        <f t="shared" si="42"/>
        <v/>
      </c>
      <c r="J655" s="45"/>
      <c r="K655" s="45"/>
      <c r="L655" s="45"/>
    </row>
    <row r="656" spans="1:12">
      <c r="A656" s="10" t="str">
        <f t="shared" si="43"/>
        <v/>
      </c>
      <c r="B656" s="45"/>
      <c r="C656" s="13" t="str">
        <f t="shared" si="40"/>
        <v/>
      </c>
      <c r="D656" s="13" t="str">
        <f t="shared" si="41"/>
        <v/>
      </c>
      <c r="E656" s="45"/>
      <c r="F656" s="11" t="str">
        <f>IFERROR(VLOOKUP(E656,Category!$D$2:$E$600,2,FALSE),"")</f>
        <v/>
      </c>
      <c r="G656" s="56"/>
      <c r="H656" s="56"/>
      <c r="I656" s="16" t="str">
        <f t="shared" si="42"/>
        <v/>
      </c>
      <c r="J656" s="45"/>
      <c r="K656" s="45"/>
      <c r="L656" s="45"/>
    </row>
    <row r="657" spans="1:12">
      <c r="A657" s="10" t="str">
        <f t="shared" si="43"/>
        <v/>
      </c>
      <c r="B657" s="45"/>
      <c r="C657" s="13" t="str">
        <f t="shared" si="40"/>
        <v/>
      </c>
      <c r="D657" s="13" t="str">
        <f t="shared" si="41"/>
        <v/>
      </c>
      <c r="E657" s="45"/>
      <c r="F657" s="11" t="str">
        <f>IFERROR(VLOOKUP(E657,Category!$D$2:$E$600,2,FALSE),"")</f>
        <v/>
      </c>
      <c r="G657" s="56"/>
      <c r="H657" s="56"/>
      <c r="I657" s="16" t="str">
        <f t="shared" si="42"/>
        <v/>
      </c>
      <c r="J657" s="45"/>
      <c r="K657" s="45"/>
      <c r="L657" s="45"/>
    </row>
    <row r="658" spans="1:12">
      <c r="A658" s="10" t="str">
        <f t="shared" si="43"/>
        <v/>
      </c>
      <c r="B658" s="45"/>
      <c r="C658" s="13" t="str">
        <f t="shared" si="40"/>
        <v/>
      </c>
      <c r="D658" s="13" t="str">
        <f t="shared" si="41"/>
        <v/>
      </c>
      <c r="E658" s="45"/>
      <c r="F658" s="11" t="str">
        <f>IFERROR(VLOOKUP(E658,Category!$D$2:$E$600,2,FALSE),"")</f>
        <v/>
      </c>
      <c r="G658" s="56"/>
      <c r="H658" s="56"/>
      <c r="I658" s="16" t="str">
        <f t="shared" si="42"/>
        <v/>
      </c>
      <c r="J658" s="45"/>
      <c r="K658" s="45"/>
      <c r="L658" s="45"/>
    </row>
    <row r="659" spans="1:12">
      <c r="A659" s="10" t="str">
        <f t="shared" si="43"/>
        <v/>
      </c>
      <c r="B659" s="45"/>
      <c r="C659" s="13" t="str">
        <f t="shared" si="40"/>
        <v/>
      </c>
      <c r="D659" s="13" t="str">
        <f t="shared" si="41"/>
        <v/>
      </c>
      <c r="E659" s="45"/>
      <c r="F659" s="11" t="str">
        <f>IFERROR(VLOOKUP(E659,Category!$D$2:$E$600,2,FALSE),"")</f>
        <v/>
      </c>
      <c r="G659" s="56"/>
      <c r="H659" s="56"/>
      <c r="I659" s="16" t="str">
        <f t="shared" si="42"/>
        <v/>
      </c>
      <c r="J659" s="45"/>
      <c r="K659" s="45"/>
      <c r="L659" s="45"/>
    </row>
    <row r="660" spans="1:12">
      <c r="A660" s="10" t="str">
        <f t="shared" si="43"/>
        <v/>
      </c>
      <c r="B660" s="45"/>
      <c r="C660" s="13" t="str">
        <f t="shared" si="40"/>
        <v/>
      </c>
      <c r="D660" s="13" t="str">
        <f t="shared" si="41"/>
        <v/>
      </c>
      <c r="E660" s="45"/>
      <c r="F660" s="11" t="str">
        <f>IFERROR(VLOOKUP(E660,Category!$D$2:$E$600,2,FALSE),"")</f>
        <v/>
      </c>
      <c r="G660" s="56"/>
      <c r="H660" s="56"/>
      <c r="I660" s="16" t="str">
        <f t="shared" si="42"/>
        <v/>
      </c>
      <c r="J660" s="45"/>
      <c r="K660" s="45"/>
      <c r="L660" s="45"/>
    </row>
    <row r="661" spans="1:12">
      <c r="A661" s="10" t="str">
        <f t="shared" si="43"/>
        <v/>
      </c>
      <c r="B661" s="45"/>
      <c r="C661" s="13" t="str">
        <f t="shared" si="40"/>
        <v/>
      </c>
      <c r="D661" s="13" t="str">
        <f t="shared" si="41"/>
        <v/>
      </c>
      <c r="E661" s="45"/>
      <c r="F661" s="11" t="str">
        <f>IFERROR(VLOOKUP(E661,Category!$D$2:$E$600,2,FALSE),"")</f>
        <v/>
      </c>
      <c r="G661" s="56"/>
      <c r="H661" s="56"/>
      <c r="I661" s="16" t="str">
        <f t="shared" si="42"/>
        <v/>
      </c>
      <c r="J661" s="45"/>
      <c r="K661" s="45"/>
      <c r="L661" s="45"/>
    </row>
    <row r="662" spans="1:12">
      <c r="A662" s="10" t="str">
        <f t="shared" si="43"/>
        <v/>
      </c>
      <c r="B662" s="45"/>
      <c r="C662" s="13" t="str">
        <f t="shared" si="40"/>
        <v/>
      </c>
      <c r="D662" s="13" t="str">
        <f t="shared" si="41"/>
        <v/>
      </c>
      <c r="E662" s="45"/>
      <c r="F662" s="11" t="str">
        <f>IFERROR(VLOOKUP(E662,Category!$D$2:$E$600,2,FALSE),"")</f>
        <v/>
      </c>
      <c r="G662" s="56"/>
      <c r="H662" s="56"/>
      <c r="I662" s="16" t="str">
        <f t="shared" si="42"/>
        <v/>
      </c>
      <c r="J662" s="45"/>
      <c r="K662" s="45"/>
      <c r="L662" s="45"/>
    </row>
    <row r="663" spans="1:12">
      <c r="A663" s="10" t="str">
        <f t="shared" si="43"/>
        <v/>
      </c>
      <c r="B663" s="45"/>
      <c r="C663" s="13" t="str">
        <f t="shared" si="40"/>
        <v/>
      </c>
      <c r="D663" s="13" t="str">
        <f t="shared" si="41"/>
        <v/>
      </c>
      <c r="E663" s="45"/>
      <c r="F663" s="11" t="str">
        <f>IFERROR(VLOOKUP(E663,Category!$D$2:$E$600,2,FALSE),"")</f>
        <v/>
      </c>
      <c r="G663" s="56"/>
      <c r="H663" s="56"/>
      <c r="I663" s="16" t="str">
        <f t="shared" si="42"/>
        <v/>
      </c>
      <c r="J663" s="45"/>
      <c r="K663" s="45"/>
      <c r="L663" s="45"/>
    </row>
    <row r="664" spans="1:12">
      <c r="A664" s="10" t="str">
        <f t="shared" si="43"/>
        <v/>
      </c>
      <c r="B664" s="45"/>
      <c r="C664" s="13" t="str">
        <f t="shared" si="40"/>
        <v/>
      </c>
      <c r="D664" s="13" t="str">
        <f t="shared" si="41"/>
        <v/>
      </c>
      <c r="E664" s="45"/>
      <c r="F664" s="11" t="str">
        <f>IFERROR(VLOOKUP(E664,Category!$D$2:$E$600,2,FALSE),"")</f>
        <v/>
      </c>
      <c r="G664" s="56"/>
      <c r="H664" s="56"/>
      <c r="I664" s="16" t="str">
        <f t="shared" si="42"/>
        <v/>
      </c>
      <c r="J664" s="45"/>
      <c r="K664" s="45"/>
      <c r="L664" s="45"/>
    </row>
    <row r="665" spans="1:12">
      <c r="A665" s="10" t="str">
        <f t="shared" si="43"/>
        <v/>
      </c>
      <c r="B665" s="45"/>
      <c r="C665" s="13" t="str">
        <f t="shared" si="40"/>
        <v/>
      </c>
      <c r="D665" s="13" t="str">
        <f t="shared" si="41"/>
        <v/>
      </c>
      <c r="E665" s="45"/>
      <c r="F665" s="11" t="str">
        <f>IFERROR(VLOOKUP(E665,Category!$D$2:$E$600,2,FALSE),"")</f>
        <v/>
      </c>
      <c r="G665" s="56"/>
      <c r="H665" s="56"/>
      <c r="I665" s="16" t="str">
        <f t="shared" si="42"/>
        <v/>
      </c>
      <c r="J665" s="45"/>
      <c r="K665" s="45"/>
      <c r="L665" s="45"/>
    </row>
    <row r="666" spans="1:12">
      <c r="A666" s="10" t="str">
        <f t="shared" si="43"/>
        <v/>
      </c>
      <c r="B666" s="45"/>
      <c r="C666" s="13" t="str">
        <f t="shared" si="40"/>
        <v/>
      </c>
      <c r="D666" s="13" t="str">
        <f t="shared" si="41"/>
        <v/>
      </c>
      <c r="E666" s="45"/>
      <c r="F666" s="11" t="str">
        <f>IFERROR(VLOOKUP(E666,Category!$D$2:$E$600,2,FALSE),"")</f>
        <v/>
      </c>
      <c r="G666" s="56"/>
      <c r="H666" s="56"/>
      <c r="I666" s="16" t="str">
        <f t="shared" si="42"/>
        <v/>
      </c>
      <c r="J666" s="45"/>
      <c r="K666" s="45"/>
      <c r="L666" s="45"/>
    </row>
    <row r="667" spans="1:12">
      <c r="A667" s="10" t="str">
        <f t="shared" si="43"/>
        <v/>
      </c>
      <c r="B667" s="45"/>
      <c r="C667" s="13" t="str">
        <f t="shared" si="40"/>
        <v/>
      </c>
      <c r="D667" s="13" t="str">
        <f t="shared" si="41"/>
        <v/>
      </c>
      <c r="E667" s="45"/>
      <c r="F667" s="11" t="str">
        <f>IFERROR(VLOOKUP(E667,Category!$D$2:$E$600,2,FALSE),"")</f>
        <v/>
      </c>
      <c r="G667" s="56"/>
      <c r="H667" s="56"/>
      <c r="I667" s="16" t="str">
        <f t="shared" si="42"/>
        <v/>
      </c>
      <c r="J667" s="45"/>
      <c r="K667" s="45"/>
      <c r="L667" s="45"/>
    </row>
    <row r="668" spans="1:12">
      <c r="A668" s="10" t="str">
        <f t="shared" si="43"/>
        <v/>
      </c>
      <c r="B668" s="45"/>
      <c r="C668" s="13" t="str">
        <f t="shared" si="40"/>
        <v/>
      </c>
      <c r="D668" s="13" t="str">
        <f t="shared" si="41"/>
        <v/>
      </c>
      <c r="E668" s="45"/>
      <c r="F668" s="11" t="str">
        <f>IFERROR(VLOOKUP(E668,Category!$D$2:$E$600,2,FALSE),"")</f>
        <v/>
      </c>
      <c r="G668" s="56"/>
      <c r="H668" s="56"/>
      <c r="I668" s="16" t="str">
        <f t="shared" si="42"/>
        <v/>
      </c>
      <c r="J668" s="45"/>
      <c r="K668" s="45"/>
      <c r="L668" s="45"/>
    </row>
    <row r="669" spans="1:12">
      <c r="A669" s="10" t="str">
        <f t="shared" si="43"/>
        <v/>
      </c>
      <c r="B669" s="45"/>
      <c r="C669" s="13" t="str">
        <f t="shared" si="40"/>
        <v/>
      </c>
      <c r="D669" s="13" t="str">
        <f t="shared" si="41"/>
        <v/>
      </c>
      <c r="E669" s="45"/>
      <c r="F669" s="11" t="str">
        <f>IFERROR(VLOOKUP(E669,Category!$D$2:$E$600,2,FALSE),"")</f>
        <v/>
      </c>
      <c r="G669" s="56"/>
      <c r="H669" s="56"/>
      <c r="I669" s="16" t="str">
        <f t="shared" si="42"/>
        <v/>
      </c>
      <c r="J669" s="45"/>
      <c r="K669" s="45"/>
      <c r="L669" s="45"/>
    </row>
    <row r="670" spans="1:12">
      <c r="A670" s="10" t="str">
        <f t="shared" si="43"/>
        <v/>
      </c>
      <c r="B670" s="45"/>
      <c r="C670" s="13" t="str">
        <f t="shared" si="40"/>
        <v/>
      </c>
      <c r="D670" s="13" t="str">
        <f t="shared" si="41"/>
        <v/>
      </c>
      <c r="E670" s="45"/>
      <c r="F670" s="11" t="str">
        <f>IFERROR(VLOOKUP(E670,Category!$D$2:$E$600,2,FALSE),"")</f>
        <v/>
      </c>
      <c r="G670" s="56"/>
      <c r="H670" s="56"/>
      <c r="I670" s="16" t="str">
        <f t="shared" si="42"/>
        <v/>
      </c>
      <c r="J670" s="45"/>
      <c r="K670" s="45"/>
      <c r="L670" s="45"/>
    </row>
    <row r="671" spans="1:12">
      <c r="A671" s="10" t="str">
        <f t="shared" si="43"/>
        <v/>
      </c>
      <c r="B671" s="45"/>
      <c r="C671" s="13" t="str">
        <f t="shared" si="40"/>
        <v/>
      </c>
      <c r="D671" s="13" t="str">
        <f t="shared" si="41"/>
        <v/>
      </c>
      <c r="E671" s="45"/>
      <c r="F671" s="11" t="str">
        <f>IFERROR(VLOOKUP(E671,Category!$D$2:$E$600,2,FALSE),"")</f>
        <v/>
      </c>
      <c r="G671" s="56"/>
      <c r="H671" s="56"/>
      <c r="I671" s="16" t="str">
        <f t="shared" si="42"/>
        <v/>
      </c>
      <c r="J671" s="45"/>
      <c r="K671" s="45"/>
      <c r="L671" s="45"/>
    </row>
    <row r="672" spans="1:12">
      <c r="A672" s="10" t="str">
        <f t="shared" si="43"/>
        <v/>
      </c>
      <c r="B672" s="45"/>
      <c r="C672" s="13" t="str">
        <f t="shared" si="40"/>
        <v/>
      </c>
      <c r="D672" s="13" t="str">
        <f t="shared" si="41"/>
        <v/>
      </c>
      <c r="E672" s="45"/>
      <c r="F672" s="11" t="str">
        <f>IFERROR(VLOOKUP(E672,Category!$D$2:$E$600,2,FALSE),"")</f>
        <v/>
      </c>
      <c r="G672" s="56"/>
      <c r="H672" s="56"/>
      <c r="I672" s="16" t="str">
        <f t="shared" si="42"/>
        <v/>
      </c>
      <c r="J672" s="45"/>
      <c r="K672" s="45"/>
      <c r="L672" s="45"/>
    </row>
    <row r="673" spans="1:12">
      <c r="A673" s="10" t="str">
        <f t="shared" si="43"/>
        <v/>
      </c>
      <c r="B673" s="45"/>
      <c r="C673" s="13" t="str">
        <f t="shared" si="40"/>
        <v/>
      </c>
      <c r="D673" s="13" t="str">
        <f t="shared" si="41"/>
        <v/>
      </c>
      <c r="E673" s="45"/>
      <c r="F673" s="11" t="str">
        <f>IFERROR(VLOOKUP(E673,Category!$D$2:$E$600,2,FALSE),"")</f>
        <v/>
      </c>
      <c r="G673" s="56"/>
      <c r="H673" s="56"/>
      <c r="I673" s="16" t="str">
        <f t="shared" si="42"/>
        <v/>
      </c>
      <c r="J673" s="45"/>
      <c r="K673" s="45"/>
      <c r="L673" s="45"/>
    </row>
    <row r="674" spans="1:12">
      <c r="A674" s="10" t="str">
        <f t="shared" si="43"/>
        <v/>
      </c>
      <c r="B674" s="45"/>
      <c r="C674" s="13" t="str">
        <f t="shared" si="40"/>
        <v/>
      </c>
      <c r="D674" s="13" t="str">
        <f t="shared" si="41"/>
        <v/>
      </c>
      <c r="E674" s="45"/>
      <c r="F674" s="11" t="str">
        <f>IFERROR(VLOOKUP(E674,Category!$D$2:$E$600,2,FALSE),"")</f>
        <v/>
      </c>
      <c r="G674" s="56"/>
      <c r="H674" s="56"/>
      <c r="I674" s="16" t="str">
        <f t="shared" si="42"/>
        <v/>
      </c>
      <c r="J674" s="45"/>
      <c r="K674" s="45"/>
      <c r="L674" s="45"/>
    </row>
    <row r="675" spans="1:12">
      <c r="A675" s="10" t="str">
        <f t="shared" si="43"/>
        <v/>
      </c>
      <c r="B675" s="45"/>
      <c r="C675" s="13" t="str">
        <f t="shared" si="40"/>
        <v/>
      </c>
      <c r="D675" s="13" t="str">
        <f t="shared" si="41"/>
        <v/>
      </c>
      <c r="E675" s="45"/>
      <c r="F675" s="11" t="str">
        <f>IFERROR(VLOOKUP(E675,Category!$D$2:$E$600,2,FALSE),"")</f>
        <v/>
      </c>
      <c r="G675" s="56"/>
      <c r="H675" s="56"/>
      <c r="I675" s="16" t="str">
        <f t="shared" si="42"/>
        <v/>
      </c>
      <c r="J675" s="45"/>
      <c r="K675" s="45"/>
      <c r="L675" s="45"/>
    </row>
    <row r="676" spans="1:12">
      <c r="A676" s="10" t="str">
        <f t="shared" si="43"/>
        <v/>
      </c>
      <c r="B676" s="45"/>
      <c r="C676" s="13" t="str">
        <f t="shared" si="40"/>
        <v/>
      </c>
      <c r="D676" s="13" t="str">
        <f t="shared" si="41"/>
        <v/>
      </c>
      <c r="E676" s="45"/>
      <c r="F676" s="11" t="str">
        <f>IFERROR(VLOOKUP(E676,Category!$D$2:$E$600,2,FALSE),"")</f>
        <v/>
      </c>
      <c r="G676" s="56"/>
      <c r="H676" s="56"/>
      <c r="I676" s="16" t="str">
        <f t="shared" si="42"/>
        <v/>
      </c>
      <c r="J676" s="45"/>
      <c r="K676" s="45"/>
      <c r="L676" s="45"/>
    </row>
    <row r="677" spans="1:12">
      <c r="A677" s="10" t="str">
        <f t="shared" si="43"/>
        <v/>
      </c>
      <c r="B677" s="45"/>
      <c r="C677" s="13" t="str">
        <f t="shared" si="40"/>
        <v/>
      </c>
      <c r="D677" s="13" t="str">
        <f t="shared" si="41"/>
        <v/>
      </c>
      <c r="E677" s="45"/>
      <c r="F677" s="11" t="str">
        <f>IFERROR(VLOOKUP(E677,Category!$D$2:$E$600,2,FALSE),"")</f>
        <v/>
      </c>
      <c r="G677" s="56"/>
      <c r="H677" s="56"/>
      <c r="I677" s="16" t="str">
        <f t="shared" si="42"/>
        <v/>
      </c>
      <c r="J677" s="45"/>
      <c r="K677" s="45"/>
      <c r="L677" s="45"/>
    </row>
    <row r="678" spans="1:12">
      <c r="A678" s="10" t="str">
        <f t="shared" si="43"/>
        <v/>
      </c>
      <c r="B678" s="45"/>
      <c r="C678" s="13" t="str">
        <f t="shared" si="40"/>
        <v/>
      </c>
      <c r="D678" s="13" t="str">
        <f t="shared" si="41"/>
        <v/>
      </c>
      <c r="E678" s="45"/>
      <c r="F678" s="11" t="str">
        <f>IFERROR(VLOOKUP(E678,Category!$D$2:$E$600,2,FALSE),"")</f>
        <v/>
      </c>
      <c r="G678" s="56"/>
      <c r="H678" s="56"/>
      <c r="I678" s="16" t="str">
        <f t="shared" si="42"/>
        <v/>
      </c>
      <c r="J678" s="45"/>
      <c r="K678" s="45"/>
      <c r="L678" s="45"/>
    </row>
    <row r="679" spans="1:12">
      <c r="A679" s="10" t="str">
        <f t="shared" si="43"/>
        <v/>
      </c>
      <c r="B679" s="45"/>
      <c r="C679" s="13" t="str">
        <f t="shared" si="40"/>
        <v/>
      </c>
      <c r="D679" s="13" t="str">
        <f t="shared" si="41"/>
        <v/>
      </c>
      <c r="E679" s="45"/>
      <c r="F679" s="11" t="str">
        <f>IFERROR(VLOOKUP(E679,Category!$D$2:$E$600,2,FALSE),"")</f>
        <v/>
      </c>
      <c r="G679" s="56"/>
      <c r="H679" s="56"/>
      <c r="I679" s="16" t="str">
        <f t="shared" si="42"/>
        <v/>
      </c>
      <c r="J679" s="45"/>
      <c r="K679" s="45"/>
      <c r="L679" s="45"/>
    </row>
    <row r="680" spans="1:12">
      <c r="A680" s="10" t="str">
        <f t="shared" si="43"/>
        <v/>
      </c>
      <c r="B680" s="45"/>
      <c r="C680" s="13" t="str">
        <f t="shared" si="40"/>
        <v/>
      </c>
      <c r="D680" s="13" t="str">
        <f t="shared" si="41"/>
        <v/>
      </c>
      <c r="E680" s="45"/>
      <c r="F680" s="11" t="str">
        <f>IFERROR(VLOOKUP(E680,Category!$D$2:$E$600,2,FALSE),"")</f>
        <v/>
      </c>
      <c r="G680" s="56"/>
      <c r="H680" s="56"/>
      <c r="I680" s="16" t="str">
        <f t="shared" si="42"/>
        <v/>
      </c>
      <c r="J680" s="45"/>
      <c r="K680" s="45"/>
      <c r="L680" s="45"/>
    </row>
    <row r="681" spans="1:12">
      <c r="A681" s="10" t="str">
        <f t="shared" si="43"/>
        <v/>
      </c>
      <c r="B681" s="45"/>
      <c r="C681" s="13" t="str">
        <f t="shared" si="40"/>
        <v/>
      </c>
      <c r="D681" s="13" t="str">
        <f t="shared" si="41"/>
        <v/>
      </c>
      <c r="E681" s="45"/>
      <c r="F681" s="11" t="str">
        <f>IFERROR(VLOOKUP(E681,Category!$D$2:$E$600,2,FALSE),"")</f>
        <v/>
      </c>
      <c r="G681" s="56"/>
      <c r="H681" s="56"/>
      <c r="I681" s="16" t="str">
        <f t="shared" si="42"/>
        <v/>
      </c>
      <c r="J681" s="45"/>
      <c r="K681" s="45"/>
      <c r="L681" s="45"/>
    </row>
    <row r="682" spans="1:12">
      <c r="A682" s="10" t="str">
        <f t="shared" si="43"/>
        <v/>
      </c>
      <c r="B682" s="45"/>
      <c r="C682" s="13" t="str">
        <f t="shared" si="40"/>
        <v/>
      </c>
      <c r="D682" s="13" t="str">
        <f t="shared" si="41"/>
        <v/>
      </c>
      <c r="E682" s="45"/>
      <c r="F682" s="11" t="str">
        <f>IFERROR(VLOOKUP(E682,Category!$D$2:$E$600,2,FALSE),"")</f>
        <v/>
      </c>
      <c r="G682" s="56"/>
      <c r="H682" s="56"/>
      <c r="I682" s="16" t="str">
        <f t="shared" si="42"/>
        <v/>
      </c>
      <c r="J682" s="45"/>
      <c r="K682" s="45"/>
      <c r="L682" s="45"/>
    </row>
    <row r="683" spans="1:12">
      <c r="A683" s="10" t="str">
        <f t="shared" si="43"/>
        <v/>
      </c>
      <c r="B683" s="45"/>
      <c r="C683" s="13" t="str">
        <f t="shared" si="40"/>
        <v/>
      </c>
      <c r="D683" s="13" t="str">
        <f t="shared" si="41"/>
        <v/>
      </c>
      <c r="E683" s="45"/>
      <c r="F683" s="11" t="str">
        <f>IFERROR(VLOOKUP(E683,Category!$D$2:$E$600,2,FALSE),"")</f>
        <v/>
      </c>
      <c r="G683" s="56"/>
      <c r="H683" s="56"/>
      <c r="I683" s="16" t="str">
        <f t="shared" si="42"/>
        <v/>
      </c>
      <c r="J683" s="45"/>
      <c r="K683" s="45"/>
      <c r="L683" s="45"/>
    </row>
    <row r="684" spans="1:12">
      <c r="A684" s="10" t="str">
        <f t="shared" si="43"/>
        <v/>
      </c>
      <c r="B684" s="45"/>
      <c r="C684" s="13" t="str">
        <f t="shared" si="40"/>
        <v/>
      </c>
      <c r="D684" s="13" t="str">
        <f t="shared" si="41"/>
        <v/>
      </c>
      <c r="E684" s="45"/>
      <c r="F684" s="11" t="str">
        <f>IFERROR(VLOOKUP(E684,Category!$D$2:$E$600,2,FALSE),"")</f>
        <v/>
      </c>
      <c r="G684" s="56"/>
      <c r="H684" s="56"/>
      <c r="I684" s="16" t="str">
        <f t="shared" si="42"/>
        <v/>
      </c>
      <c r="J684" s="45"/>
      <c r="K684" s="45"/>
      <c r="L684" s="45"/>
    </row>
    <row r="685" spans="1:12">
      <c r="A685" s="10" t="str">
        <f t="shared" si="43"/>
        <v/>
      </c>
      <c r="B685" s="45"/>
      <c r="C685" s="13" t="str">
        <f t="shared" si="40"/>
        <v/>
      </c>
      <c r="D685" s="13" t="str">
        <f t="shared" si="41"/>
        <v/>
      </c>
      <c r="E685" s="45"/>
      <c r="F685" s="11" t="str">
        <f>IFERROR(VLOOKUP(E685,Category!$D$2:$E$600,2,FALSE),"")</f>
        <v/>
      </c>
      <c r="G685" s="56"/>
      <c r="H685" s="56"/>
      <c r="I685" s="16" t="str">
        <f t="shared" si="42"/>
        <v/>
      </c>
      <c r="J685" s="45"/>
      <c r="K685" s="45"/>
      <c r="L685" s="45"/>
    </row>
    <row r="686" spans="1:12">
      <c r="A686" s="10" t="str">
        <f t="shared" si="43"/>
        <v/>
      </c>
      <c r="B686" s="45"/>
      <c r="C686" s="13" t="str">
        <f t="shared" si="40"/>
        <v/>
      </c>
      <c r="D686" s="13" t="str">
        <f t="shared" si="41"/>
        <v/>
      </c>
      <c r="E686" s="45"/>
      <c r="F686" s="11" t="str">
        <f>IFERROR(VLOOKUP(E686,Category!$D$2:$E$600,2,FALSE),"")</f>
        <v/>
      </c>
      <c r="G686" s="56"/>
      <c r="H686" s="56"/>
      <c r="I686" s="16" t="str">
        <f t="shared" si="42"/>
        <v/>
      </c>
      <c r="J686" s="45"/>
      <c r="K686" s="45"/>
      <c r="L686" s="45"/>
    </row>
    <row r="687" spans="1:12">
      <c r="A687" s="10" t="str">
        <f t="shared" si="43"/>
        <v/>
      </c>
      <c r="B687" s="45"/>
      <c r="C687" s="13" t="str">
        <f t="shared" si="40"/>
        <v/>
      </c>
      <c r="D687" s="13" t="str">
        <f t="shared" si="41"/>
        <v/>
      </c>
      <c r="E687" s="45"/>
      <c r="F687" s="11" t="str">
        <f>IFERROR(VLOOKUP(E687,Category!$D$2:$E$600,2,FALSE),"")</f>
        <v/>
      </c>
      <c r="G687" s="56"/>
      <c r="H687" s="56"/>
      <c r="I687" s="16" t="str">
        <f t="shared" si="42"/>
        <v/>
      </c>
      <c r="J687" s="45"/>
      <c r="K687" s="45"/>
      <c r="L687" s="45"/>
    </row>
    <row r="688" spans="1:12">
      <c r="A688" s="10" t="str">
        <f t="shared" si="43"/>
        <v/>
      </c>
      <c r="B688" s="45"/>
      <c r="C688" s="13" t="str">
        <f t="shared" si="40"/>
        <v/>
      </c>
      <c r="D688" s="13" t="str">
        <f t="shared" si="41"/>
        <v/>
      </c>
      <c r="E688" s="45"/>
      <c r="F688" s="11" t="str">
        <f>IFERROR(VLOOKUP(E688,Category!$D$2:$E$600,2,FALSE),"")</f>
        <v/>
      </c>
      <c r="G688" s="56"/>
      <c r="H688" s="56"/>
      <c r="I688" s="16" t="str">
        <f t="shared" si="42"/>
        <v/>
      </c>
      <c r="J688" s="45"/>
      <c r="K688" s="45"/>
      <c r="L688" s="45"/>
    </row>
    <row r="689" spans="1:12">
      <c r="A689" s="10" t="str">
        <f t="shared" si="43"/>
        <v/>
      </c>
      <c r="B689" s="45"/>
      <c r="C689" s="13" t="str">
        <f t="shared" si="40"/>
        <v/>
      </c>
      <c r="D689" s="13" t="str">
        <f t="shared" si="41"/>
        <v/>
      </c>
      <c r="E689" s="45"/>
      <c r="F689" s="11" t="str">
        <f>IFERROR(VLOOKUP(E689,Category!$D$2:$E$600,2,FALSE),"")</f>
        <v/>
      </c>
      <c r="G689" s="56"/>
      <c r="H689" s="56"/>
      <c r="I689" s="16" t="str">
        <f t="shared" si="42"/>
        <v/>
      </c>
      <c r="J689" s="45"/>
      <c r="K689" s="45"/>
      <c r="L689" s="45"/>
    </row>
    <row r="690" spans="1:12">
      <c r="A690" s="10" t="str">
        <f t="shared" si="43"/>
        <v/>
      </c>
      <c r="B690" s="45"/>
      <c r="C690" s="13" t="str">
        <f t="shared" si="40"/>
        <v/>
      </c>
      <c r="D690" s="13" t="str">
        <f t="shared" si="41"/>
        <v/>
      </c>
      <c r="E690" s="45"/>
      <c r="F690" s="11" t="str">
        <f>IFERROR(VLOOKUP(E690,Category!$D$2:$E$600,2,FALSE),"")</f>
        <v/>
      </c>
      <c r="G690" s="56"/>
      <c r="H690" s="56"/>
      <c r="I690" s="16" t="str">
        <f t="shared" si="42"/>
        <v/>
      </c>
      <c r="J690" s="45"/>
      <c r="K690" s="45"/>
      <c r="L690" s="45"/>
    </row>
    <row r="691" spans="1:12">
      <c r="A691" s="10" t="str">
        <f t="shared" si="43"/>
        <v/>
      </c>
      <c r="B691" s="45"/>
      <c r="C691" s="13" t="str">
        <f t="shared" si="40"/>
        <v/>
      </c>
      <c r="D691" s="13" t="str">
        <f t="shared" si="41"/>
        <v/>
      </c>
      <c r="E691" s="45"/>
      <c r="F691" s="11" t="str">
        <f>IFERROR(VLOOKUP(E691,Category!$D$2:$E$600,2,FALSE),"")</f>
        <v/>
      </c>
      <c r="G691" s="56"/>
      <c r="H691" s="56"/>
      <c r="I691" s="16" t="str">
        <f t="shared" si="42"/>
        <v/>
      </c>
      <c r="J691" s="45"/>
      <c r="K691" s="45"/>
      <c r="L691" s="45"/>
    </row>
    <row r="692" spans="1:12">
      <c r="A692" s="10" t="str">
        <f t="shared" si="43"/>
        <v/>
      </c>
      <c r="B692" s="45"/>
      <c r="C692" s="13" t="str">
        <f t="shared" si="40"/>
        <v/>
      </c>
      <c r="D692" s="13" t="str">
        <f t="shared" si="41"/>
        <v/>
      </c>
      <c r="E692" s="45"/>
      <c r="F692" s="11" t="str">
        <f>IFERROR(VLOOKUP(E692,Category!$D$2:$E$600,2,FALSE),"")</f>
        <v/>
      </c>
      <c r="G692" s="56"/>
      <c r="H692" s="56"/>
      <c r="I692" s="16" t="str">
        <f t="shared" si="42"/>
        <v/>
      </c>
      <c r="J692" s="45"/>
      <c r="K692" s="45"/>
      <c r="L692" s="45"/>
    </row>
    <row r="693" spans="1:12">
      <c r="A693" s="10" t="str">
        <f t="shared" si="43"/>
        <v/>
      </c>
      <c r="B693" s="45"/>
      <c r="C693" s="13" t="str">
        <f t="shared" si="40"/>
        <v/>
      </c>
      <c r="D693" s="13" t="str">
        <f t="shared" si="41"/>
        <v/>
      </c>
      <c r="E693" s="45"/>
      <c r="F693" s="11" t="str">
        <f>IFERROR(VLOOKUP(E693,Category!$D$2:$E$600,2,FALSE),"")</f>
        <v/>
      </c>
      <c r="G693" s="56"/>
      <c r="H693" s="56"/>
      <c r="I693" s="16" t="str">
        <f t="shared" si="42"/>
        <v/>
      </c>
      <c r="J693" s="45"/>
      <c r="K693" s="45"/>
      <c r="L693" s="45"/>
    </row>
    <row r="694" spans="1:12">
      <c r="A694" s="10" t="str">
        <f t="shared" si="43"/>
        <v/>
      </c>
      <c r="B694" s="45"/>
      <c r="C694" s="13" t="str">
        <f t="shared" si="40"/>
        <v/>
      </c>
      <c r="D694" s="13" t="str">
        <f t="shared" si="41"/>
        <v/>
      </c>
      <c r="E694" s="45"/>
      <c r="F694" s="11" t="str">
        <f>IFERROR(VLOOKUP(E694,Category!$D$2:$E$600,2,FALSE),"")</f>
        <v/>
      </c>
      <c r="G694" s="56"/>
      <c r="H694" s="56"/>
      <c r="I694" s="16" t="str">
        <f t="shared" si="42"/>
        <v/>
      </c>
      <c r="J694" s="45"/>
      <c r="K694" s="45"/>
      <c r="L694" s="45"/>
    </row>
    <row r="695" spans="1:12">
      <c r="A695" s="10" t="str">
        <f t="shared" si="43"/>
        <v/>
      </c>
      <c r="B695" s="45"/>
      <c r="C695" s="13" t="str">
        <f t="shared" si="40"/>
        <v/>
      </c>
      <c r="D695" s="13" t="str">
        <f t="shared" si="41"/>
        <v/>
      </c>
      <c r="E695" s="45"/>
      <c r="F695" s="11" t="str">
        <f>IFERROR(VLOOKUP(E695,Category!$D$2:$E$600,2,FALSE),"")</f>
        <v/>
      </c>
      <c r="G695" s="56"/>
      <c r="H695" s="56"/>
      <c r="I695" s="16" t="str">
        <f t="shared" si="42"/>
        <v/>
      </c>
      <c r="J695" s="45"/>
      <c r="K695" s="45"/>
      <c r="L695" s="45"/>
    </row>
    <row r="696" spans="1:12">
      <c r="A696" s="10" t="str">
        <f t="shared" si="43"/>
        <v/>
      </c>
      <c r="B696" s="45"/>
      <c r="C696" s="13" t="str">
        <f t="shared" si="40"/>
        <v/>
      </c>
      <c r="D696" s="13" t="str">
        <f t="shared" si="41"/>
        <v/>
      </c>
      <c r="E696" s="45"/>
      <c r="F696" s="11" t="str">
        <f>IFERROR(VLOOKUP(E696,Category!$D$2:$E$600,2,FALSE),"")</f>
        <v/>
      </c>
      <c r="G696" s="56"/>
      <c r="H696" s="56"/>
      <c r="I696" s="16" t="str">
        <f t="shared" si="42"/>
        <v/>
      </c>
      <c r="J696" s="45"/>
      <c r="K696" s="45"/>
      <c r="L696" s="45"/>
    </row>
    <row r="697" spans="1:12">
      <c r="A697" s="10" t="str">
        <f t="shared" si="43"/>
        <v/>
      </c>
      <c r="B697" s="45"/>
      <c r="C697" s="13" t="str">
        <f t="shared" si="40"/>
        <v/>
      </c>
      <c r="D697" s="13" t="str">
        <f t="shared" si="41"/>
        <v/>
      </c>
      <c r="E697" s="45"/>
      <c r="F697" s="11" t="str">
        <f>IFERROR(VLOOKUP(E697,Category!$D$2:$E$600,2,FALSE),"")</f>
        <v/>
      </c>
      <c r="G697" s="56"/>
      <c r="H697" s="56"/>
      <c r="I697" s="16" t="str">
        <f t="shared" si="42"/>
        <v/>
      </c>
      <c r="J697" s="45"/>
      <c r="K697" s="45"/>
      <c r="L697" s="45"/>
    </row>
    <row r="698" spans="1:12">
      <c r="A698" s="10" t="str">
        <f t="shared" si="43"/>
        <v/>
      </c>
      <c r="B698" s="45"/>
      <c r="C698" s="13" t="str">
        <f t="shared" si="40"/>
        <v/>
      </c>
      <c r="D698" s="13" t="str">
        <f t="shared" si="41"/>
        <v/>
      </c>
      <c r="E698" s="45"/>
      <c r="F698" s="11" t="str">
        <f>IFERROR(VLOOKUP(E698,Category!$D$2:$E$600,2,FALSE),"")</f>
        <v/>
      </c>
      <c r="G698" s="56"/>
      <c r="H698" s="56"/>
      <c r="I698" s="16" t="str">
        <f t="shared" si="42"/>
        <v/>
      </c>
      <c r="J698" s="45"/>
      <c r="K698" s="45"/>
      <c r="L698" s="45"/>
    </row>
    <row r="699" spans="1:12">
      <c r="A699" s="10" t="str">
        <f t="shared" si="43"/>
        <v/>
      </c>
      <c r="B699" s="45"/>
      <c r="C699" s="13" t="str">
        <f t="shared" si="40"/>
        <v/>
      </c>
      <c r="D699" s="13" t="str">
        <f t="shared" si="41"/>
        <v/>
      </c>
      <c r="E699" s="45"/>
      <c r="F699" s="11" t="str">
        <f>IFERROR(VLOOKUP(E699,Category!$D$2:$E$600,2,FALSE),"")</f>
        <v/>
      </c>
      <c r="G699" s="56"/>
      <c r="H699" s="56"/>
      <c r="I699" s="16" t="str">
        <f t="shared" si="42"/>
        <v/>
      </c>
      <c r="J699" s="45"/>
      <c r="K699" s="45"/>
      <c r="L699" s="45"/>
    </row>
    <row r="700" spans="1:12">
      <c r="A700" s="10" t="str">
        <f t="shared" si="43"/>
        <v/>
      </c>
      <c r="B700" s="45"/>
      <c r="C700" s="13" t="str">
        <f t="shared" si="40"/>
        <v/>
      </c>
      <c r="D700" s="13" t="str">
        <f t="shared" si="41"/>
        <v/>
      </c>
      <c r="E700" s="45"/>
      <c r="F700" s="11" t="str">
        <f>IFERROR(VLOOKUP(E700,Category!$D$2:$E$600,2,FALSE),"")</f>
        <v/>
      </c>
      <c r="G700" s="56"/>
      <c r="H700" s="56"/>
      <c r="I700" s="16" t="str">
        <f t="shared" si="42"/>
        <v/>
      </c>
      <c r="J700" s="45"/>
      <c r="K700" s="45"/>
      <c r="L700" s="45"/>
    </row>
    <row r="701" spans="1:12">
      <c r="A701" s="10" t="str">
        <f t="shared" si="43"/>
        <v/>
      </c>
      <c r="B701" s="45"/>
      <c r="C701" s="13" t="str">
        <f t="shared" si="40"/>
        <v/>
      </c>
      <c r="D701" s="13" t="str">
        <f t="shared" si="41"/>
        <v/>
      </c>
      <c r="E701" s="45"/>
      <c r="F701" s="11" t="str">
        <f>IFERROR(VLOOKUP(E701,Category!$D$2:$E$600,2,FALSE),"")</f>
        <v/>
      </c>
      <c r="G701" s="56"/>
      <c r="H701" s="56"/>
      <c r="I701" s="16" t="str">
        <f t="shared" si="42"/>
        <v/>
      </c>
      <c r="J701" s="45"/>
      <c r="K701" s="45"/>
      <c r="L701" s="45"/>
    </row>
    <row r="702" spans="1:12">
      <c r="A702" s="10" t="str">
        <f t="shared" si="43"/>
        <v/>
      </c>
      <c r="B702" s="45"/>
      <c r="C702" s="13" t="str">
        <f t="shared" si="40"/>
        <v/>
      </c>
      <c r="D702" s="13" t="str">
        <f t="shared" si="41"/>
        <v/>
      </c>
      <c r="E702" s="45"/>
      <c r="F702" s="11" t="str">
        <f>IFERROR(VLOOKUP(E702,Category!$D$2:$E$600,2,FALSE),"")</f>
        <v/>
      </c>
      <c r="G702" s="56"/>
      <c r="H702" s="56"/>
      <c r="I702" s="16" t="str">
        <f t="shared" si="42"/>
        <v/>
      </c>
      <c r="J702" s="45"/>
      <c r="K702" s="45"/>
      <c r="L702" s="45"/>
    </row>
    <row r="703" spans="1:12">
      <c r="A703" s="10" t="str">
        <f t="shared" si="43"/>
        <v/>
      </c>
      <c r="B703" s="45"/>
      <c r="C703" s="13" t="str">
        <f t="shared" si="40"/>
        <v/>
      </c>
      <c r="D703" s="13" t="str">
        <f t="shared" si="41"/>
        <v/>
      </c>
      <c r="E703" s="45"/>
      <c r="F703" s="11" t="str">
        <f>IFERROR(VLOOKUP(E703,Category!$D$2:$E$600,2,FALSE),"")</f>
        <v/>
      </c>
      <c r="G703" s="56"/>
      <c r="H703" s="56"/>
      <c r="I703" s="16" t="str">
        <f t="shared" si="42"/>
        <v/>
      </c>
      <c r="J703" s="45"/>
      <c r="K703" s="45"/>
      <c r="L703" s="45"/>
    </row>
    <row r="704" spans="1:12">
      <c r="A704" s="10" t="str">
        <f t="shared" si="43"/>
        <v/>
      </c>
      <c r="B704" s="45"/>
      <c r="C704" s="13" t="str">
        <f t="shared" si="40"/>
        <v/>
      </c>
      <c r="D704" s="13" t="str">
        <f t="shared" si="41"/>
        <v/>
      </c>
      <c r="E704" s="45"/>
      <c r="F704" s="11" t="str">
        <f>IFERROR(VLOOKUP(E704,Category!$D$2:$E$600,2,FALSE),"")</f>
        <v/>
      </c>
      <c r="G704" s="56"/>
      <c r="H704" s="56"/>
      <c r="I704" s="16" t="str">
        <f t="shared" si="42"/>
        <v/>
      </c>
      <c r="J704" s="45"/>
      <c r="K704" s="45"/>
      <c r="L704" s="45"/>
    </row>
    <row r="705" spans="1:12">
      <c r="A705" s="10" t="str">
        <f t="shared" si="43"/>
        <v/>
      </c>
      <c r="B705" s="45"/>
      <c r="C705" s="13" t="str">
        <f t="shared" si="40"/>
        <v/>
      </c>
      <c r="D705" s="13" t="str">
        <f t="shared" si="41"/>
        <v/>
      </c>
      <c r="E705" s="45"/>
      <c r="F705" s="11" t="str">
        <f>IFERROR(VLOOKUP(E705,Category!$D$2:$E$600,2,FALSE),"")</f>
        <v/>
      </c>
      <c r="G705" s="56"/>
      <c r="H705" s="56"/>
      <c r="I705" s="16" t="str">
        <f t="shared" si="42"/>
        <v/>
      </c>
      <c r="J705" s="45"/>
      <c r="K705" s="45"/>
      <c r="L705" s="45"/>
    </row>
    <row r="706" spans="1:12">
      <c r="A706" s="10" t="str">
        <f t="shared" si="43"/>
        <v/>
      </c>
      <c r="B706" s="45"/>
      <c r="C706" s="13" t="str">
        <f t="shared" si="40"/>
        <v/>
      </c>
      <c r="D706" s="13" t="str">
        <f t="shared" si="41"/>
        <v/>
      </c>
      <c r="E706" s="45"/>
      <c r="F706" s="11" t="str">
        <f>IFERROR(VLOOKUP(E706,Category!$D$2:$E$600,2,FALSE),"")</f>
        <v/>
      </c>
      <c r="G706" s="56"/>
      <c r="H706" s="56"/>
      <c r="I706" s="16" t="str">
        <f t="shared" si="42"/>
        <v/>
      </c>
      <c r="J706" s="45"/>
      <c r="K706" s="45"/>
      <c r="L706" s="45"/>
    </row>
    <row r="707" spans="1:12">
      <c r="A707" s="10" t="str">
        <f t="shared" si="43"/>
        <v/>
      </c>
      <c r="B707" s="45"/>
      <c r="C707" s="13" t="str">
        <f t="shared" ref="C707:C770" si="44">IF(B707=0,"",TEXT(B707,"mmmm"))</f>
        <v/>
      </c>
      <c r="D707" s="13" t="str">
        <f t="shared" ref="D707:D770" si="45">IF(B707=0,"",TEXT(B707,"yyyy"))</f>
        <v/>
      </c>
      <c r="E707" s="45"/>
      <c r="F707" s="11" t="str">
        <f>IFERROR(VLOOKUP(E707,Category!$D$2:$E$600,2,FALSE),"")</f>
        <v/>
      </c>
      <c r="G707" s="56"/>
      <c r="H707" s="56"/>
      <c r="I707" s="16" t="str">
        <f t="shared" ref="I707:I770" si="46">IF(H707*G707=0,"",H707*G707)</f>
        <v/>
      </c>
      <c r="J707" s="45"/>
      <c r="K707" s="45"/>
      <c r="L707" s="45"/>
    </row>
    <row r="708" spans="1:12">
      <c r="A708" s="10" t="str">
        <f t="shared" ref="A708:A771" si="47">IF(E708&gt;0,A707+1,"")</f>
        <v/>
      </c>
      <c r="B708" s="45"/>
      <c r="C708" s="13" t="str">
        <f t="shared" si="44"/>
        <v/>
      </c>
      <c r="D708" s="13" t="str">
        <f t="shared" si="45"/>
        <v/>
      </c>
      <c r="E708" s="45"/>
      <c r="F708" s="11" t="str">
        <f>IFERROR(VLOOKUP(E708,Category!$D$2:$E$600,2,FALSE),"")</f>
        <v/>
      </c>
      <c r="G708" s="56"/>
      <c r="H708" s="56"/>
      <c r="I708" s="16" t="str">
        <f t="shared" si="46"/>
        <v/>
      </c>
      <c r="J708" s="45"/>
      <c r="K708" s="45"/>
      <c r="L708" s="45"/>
    </row>
    <row r="709" spans="1:12">
      <c r="A709" s="10" t="str">
        <f t="shared" si="47"/>
        <v/>
      </c>
      <c r="B709" s="45"/>
      <c r="C709" s="13" t="str">
        <f t="shared" si="44"/>
        <v/>
      </c>
      <c r="D709" s="13" t="str">
        <f t="shared" si="45"/>
        <v/>
      </c>
      <c r="E709" s="45"/>
      <c r="F709" s="11" t="str">
        <f>IFERROR(VLOOKUP(E709,Category!$D$2:$E$600,2,FALSE),"")</f>
        <v/>
      </c>
      <c r="G709" s="56"/>
      <c r="H709" s="56"/>
      <c r="I709" s="16" t="str">
        <f t="shared" si="46"/>
        <v/>
      </c>
      <c r="J709" s="45"/>
      <c r="K709" s="45"/>
      <c r="L709" s="45"/>
    </row>
    <row r="710" spans="1:12">
      <c r="A710" s="10" t="str">
        <f t="shared" si="47"/>
        <v/>
      </c>
      <c r="B710" s="45"/>
      <c r="C710" s="13" t="str">
        <f t="shared" si="44"/>
        <v/>
      </c>
      <c r="D710" s="13" t="str">
        <f t="shared" si="45"/>
        <v/>
      </c>
      <c r="E710" s="45"/>
      <c r="F710" s="11" t="str">
        <f>IFERROR(VLOOKUP(E710,Category!$D$2:$E$600,2,FALSE),"")</f>
        <v/>
      </c>
      <c r="G710" s="56"/>
      <c r="H710" s="56"/>
      <c r="I710" s="16" t="str">
        <f t="shared" si="46"/>
        <v/>
      </c>
      <c r="J710" s="45"/>
      <c r="K710" s="45"/>
      <c r="L710" s="45"/>
    </row>
    <row r="711" spans="1:12">
      <c r="A711" s="10" t="str">
        <f t="shared" si="47"/>
        <v/>
      </c>
      <c r="B711" s="45"/>
      <c r="C711" s="13" t="str">
        <f t="shared" si="44"/>
        <v/>
      </c>
      <c r="D711" s="13" t="str">
        <f t="shared" si="45"/>
        <v/>
      </c>
      <c r="E711" s="45"/>
      <c r="F711" s="11" t="str">
        <f>IFERROR(VLOOKUP(E711,Category!$D$2:$E$600,2,FALSE),"")</f>
        <v/>
      </c>
      <c r="G711" s="56"/>
      <c r="H711" s="56"/>
      <c r="I711" s="16" t="str">
        <f t="shared" si="46"/>
        <v/>
      </c>
      <c r="J711" s="45"/>
      <c r="K711" s="45"/>
      <c r="L711" s="45"/>
    </row>
    <row r="712" spans="1:12">
      <c r="A712" s="10" t="str">
        <f t="shared" si="47"/>
        <v/>
      </c>
      <c r="B712" s="45"/>
      <c r="C712" s="13" t="str">
        <f t="shared" si="44"/>
        <v/>
      </c>
      <c r="D712" s="13" t="str">
        <f t="shared" si="45"/>
        <v/>
      </c>
      <c r="E712" s="45"/>
      <c r="F712" s="11" t="str">
        <f>IFERROR(VLOOKUP(E712,Category!$D$2:$E$600,2,FALSE),"")</f>
        <v/>
      </c>
      <c r="G712" s="56"/>
      <c r="H712" s="56"/>
      <c r="I712" s="16" t="str">
        <f t="shared" si="46"/>
        <v/>
      </c>
      <c r="J712" s="45"/>
      <c r="K712" s="45"/>
      <c r="L712" s="45"/>
    </row>
    <row r="713" spans="1:12">
      <c r="A713" s="10" t="str">
        <f t="shared" si="47"/>
        <v/>
      </c>
      <c r="B713" s="45"/>
      <c r="C713" s="13" t="str">
        <f t="shared" si="44"/>
        <v/>
      </c>
      <c r="D713" s="13" t="str">
        <f t="shared" si="45"/>
        <v/>
      </c>
      <c r="E713" s="45"/>
      <c r="F713" s="11" t="str">
        <f>IFERROR(VLOOKUP(E713,Category!$D$2:$E$600,2,FALSE),"")</f>
        <v/>
      </c>
      <c r="G713" s="56"/>
      <c r="H713" s="56"/>
      <c r="I713" s="16" t="str">
        <f t="shared" si="46"/>
        <v/>
      </c>
      <c r="J713" s="45"/>
      <c r="K713" s="45"/>
      <c r="L713" s="45"/>
    </row>
    <row r="714" spans="1:12">
      <c r="A714" s="10" t="str">
        <f t="shared" si="47"/>
        <v/>
      </c>
      <c r="B714" s="45"/>
      <c r="C714" s="13" t="str">
        <f t="shared" si="44"/>
        <v/>
      </c>
      <c r="D714" s="13" t="str">
        <f t="shared" si="45"/>
        <v/>
      </c>
      <c r="E714" s="45"/>
      <c r="F714" s="11" t="str">
        <f>IFERROR(VLOOKUP(E714,Category!$D$2:$E$600,2,FALSE),"")</f>
        <v/>
      </c>
      <c r="G714" s="56"/>
      <c r="H714" s="56"/>
      <c r="I714" s="16" t="str">
        <f t="shared" si="46"/>
        <v/>
      </c>
      <c r="J714" s="45"/>
      <c r="K714" s="45"/>
      <c r="L714" s="45"/>
    </row>
    <row r="715" spans="1:12">
      <c r="A715" s="10" t="str">
        <f t="shared" si="47"/>
        <v/>
      </c>
      <c r="B715" s="45"/>
      <c r="C715" s="13" t="str">
        <f t="shared" si="44"/>
        <v/>
      </c>
      <c r="D715" s="13" t="str">
        <f t="shared" si="45"/>
        <v/>
      </c>
      <c r="E715" s="45"/>
      <c r="F715" s="11" t="str">
        <f>IFERROR(VLOOKUP(E715,Category!$D$2:$E$600,2,FALSE),"")</f>
        <v/>
      </c>
      <c r="G715" s="56"/>
      <c r="H715" s="56"/>
      <c r="I715" s="16" t="str">
        <f t="shared" si="46"/>
        <v/>
      </c>
      <c r="J715" s="45"/>
      <c r="K715" s="45"/>
      <c r="L715" s="45"/>
    </row>
    <row r="716" spans="1:12">
      <c r="A716" s="10" t="str">
        <f t="shared" si="47"/>
        <v/>
      </c>
      <c r="B716" s="45"/>
      <c r="C716" s="13" t="str">
        <f t="shared" si="44"/>
        <v/>
      </c>
      <c r="D716" s="13" t="str">
        <f t="shared" si="45"/>
        <v/>
      </c>
      <c r="E716" s="45"/>
      <c r="F716" s="11" t="str">
        <f>IFERROR(VLOOKUP(E716,Category!$D$2:$E$600,2,FALSE),"")</f>
        <v/>
      </c>
      <c r="G716" s="56"/>
      <c r="H716" s="56"/>
      <c r="I716" s="16" t="str">
        <f t="shared" si="46"/>
        <v/>
      </c>
      <c r="J716" s="45"/>
      <c r="K716" s="45"/>
      <c r="L716" s="45"/>
    </row>
    <row r="717" spans="1:12">
      <c r="A717" s="10" t="str">
        <f t="shared" si="47"/>
        <v/>
      </c>
      <c r="B717" s="45"/>
      <c r="C717" s="13" t="str">
        <f t="shared" si="44"/>
        <v/>
      </c>
      <c r="D717" s="13" t="str">
        <f t="shared" si="45"/>
        <v/>
      </c>
      <c r="E717" s="45"/>
      <c r="F717" s="11" t="str">
        <f>IFERROR(VLOOKUP(E717,Category!$D$2:$E$600,2,FALSE),"")</f>
        <v/>
      </c>
      <c r="G717" s="56"/>
      <c r="H717" s="56"/>
      <c r="I717" s="16" t="str">
        <f t="shared" si="46"/>
        <v/>
      </c>
      <c r="J717" s="45"/>
      <c r="K717" s="45"/>
      <c r="L717" s="45"/>
    </row>
    <row r="718" spans="1:12">
      <c r="A718" s="10" t="str">
        <f t="shared" si="47"/>
        <v/>
      </c>
      <c r="B718" s="45"/>
      <c r="C718" s="13" t="str">
        <f t="shared" si="44"/>
        <v/>
      </c>
      <c r="D718" s="13" t="str">
        <f t="shared" si="45"/>
        <v/>
      </c>
      <c r="E718" s="45"/>
      <c r="F718" s="11" t="str">
        <f>IFERROR(VLOOKUP(E718,Category!$D$2:$E$600,2,FALSE),"")</f>
        <v/>
      </c>
      <c r="G718" s="56"/>
      <c r="H718" s="56"/>
      <c r="I718" s="16" t="str">
        <f t="shared" si="46"/>
        <v/>
      </c>
      <c r="J718" s="45"/>
      <c r="K718" s="45"/>
      <c r="L718" s="45"/>
    </row>
    <row r="719" spans="1:12">
      <c r="A719" s="10" t="str">
        <f t="shared" si="47"/>
        <v/>
      </c>
      <c r="B719" s="45"/>
      <c r="C719" s="13" t="str">
        <f t="shared" si="44"/>
        <v/>
      </c>
      <c r="D719" s="13" t="str">
        <f t="shared" si="45"/>
        <v/>
      </c>
      <c r="E719" s="45"/>
      <c r="F719" s="11" t="str">
        <f>IFERROR(VLOOKUP(E719,Category!$D$2:$E$600,2,FALSE),"")</f>
        <v/>
      </c>
      <c r="G719" s="56"/>
      <c r="H719" s="56"/>
      <c r="I719" s="16" t="str">
        <f t="shared" si="46"/>
        <v/>
      </c>
      <c r="J719" s="45"/>
      <c r="K719" s="45"/>
      <c r="L719" s="45"/>
    </row>
    <row r="720" spans="1:12">
      <c r="A720" s="10" t="str">
        <f t="shared" si="47"/>
        <v/>
      </c>
      <c r="B720" s="45"/>
      <c r="C720" s="13" t="str">
        <f t="shared" si="44"/>
        <v/>
      </c>
      <c r="D720" s="13" t="str">
        <f t="shared" si="45"/>
        <v/>
      </c>
      <c r="E720" s="45"/>
      <c r="F720" s="11" t="str">
        <f>IFERROR(VLOOKUP(E720,Category!$D$2:$E$600,2,FALSE),"")</f>
        <v/>
      </c>
      <c r="G720" s="56"/>
      <c r="H720" s="56"/>
      <c r="I720" s="16" t="str">
        <f t="shared" si="46"/>
        <v/>
      </c>
      <c r="J720" s="45"/>
      <c r="K720" s="45"/>
      <c r="L720" s="45"/>
    </row>
    <row r="721" spans="1:12">
      <c r="A721" s="10" t="str">
        <f t="shared" si="47"/>
        <v/>
      </c>
      <c r="B721" s="45"/>
      <c r="C721" s="13" t="str">
        <f t="shared" si="44"/>
        <v/>
      </c>
      <c r="D721" s="13" t="str">
        <f t="shared" si="45"/>
        <v/>
      </c>
      <c r="E721" s="45"/>
      <c r="F721" s="11" t="str">
        <f>IFERROR(VLOOKUP(E721,Category!$D$2:$E$600,2,FALSE),"")</f>
        <v/>
      </c>
      <c r="G721" s="56"/>
      <c r="H721" s="56"/>
      <c r="I721" s="16" t="str">
        <f t="shared" si="46"/>
        <v/>
      </c>
      <c r="J721" s="45"/>
      <c r="K721" s="45"/>
      <c r="L721" s="45"/>
    </row>
    <row r="722" spans="1:12">
      <c r="A722" s="10" t="str">
        <f t="shared" si="47"/>
        <v/>
      </c>
      <c r="B722" s="45"/>
      <c r="C722" s="13" t="str">
        <f t="shared" si="44"/>
        <v/>
      </c>
      <c r="D722" s="13" t="str">
        <f t="shared" si="45"/>
        <v/>
      </c>
      <c r="E722" s="45"/>
      <c r="F722" s="11" t="str">
        <f>IFERROR(VLOOKUP(E722,Category!$D$2:$E$600,2,FALSE),"")</f>
        <v/>
      </c>
      <c r="G722" s="56"/>
      <c r="H722" s="56"/>
      <c r="I722" s="16" t="str">
        <f t="shared" si="46"/>
        <v/>
      </c>
      <c r="J722" s="45"/>
      <c r="K722" s="45"/>
      <c r="L722" s="45"/>
    </row>
    <row r="723" spans="1:12">
      <c r="A723" s="10" t="str">
        <f t="shared" si="47"/>
        <v/>
      </c>
      <c r="B723" s="45"/>
      <c r="C723" s="13" t="str">
        <f t="shared" si="44"/>
        <v/>
      </c>
      <c r="D723" s="13" t="str">
        <f t="shared" si="45"/>
        <v/>
      </c>
      <c r="E723" s="45"/>
      <c r="F723" s="11" t="str">
        <f>IFERROR(VLOOKUP(E723,Category!$D$2:$E$600,2,FALSE),"")</f>
        <v/>
      </c>
      <c r="G723" s="56"/>
      <c r="H723" s="56"/>
      <c r="I723" s="16" t="str">
        <f t="shared" si="46"/>
        <v/>
      </c>
      <c r="J723" s="45"/>
      <c r="K723" s="45"/>
      <c r="L723" s="45"/>
    </row>
    <row r="724" spans="1:12">
      <c r="A724" s="10" t="str">
        <f t="shared" si="47"/>
        <v/>
      </c>
      <c r="B724" s="45"/>
      <c r="C724" s="13" t="str">
        <f t="shared" si="44"/>
        <v/>
      </c>
      <c r="D724" s="13" t="str">
        <f t="shared" si="45"/>
        <v/>
      </c>
      <c r="E724" s="45"/>
      <c r="F724" s="11" t="str">
        <f>IFERROR(VLOOKUP(E724,Category!$D$2:$E$600,2,FALSE),"")</f>
        <v/>
      </c>
      <c r="G724" s="56"/>
      <c r="H724" s="56"/>
      <c r="I724" s="16" t="str">
        <f t="shared" si="46"/>
        <v/>
      </c>
      <c r="J724" s="45"/>
      <c r="K724" s="45"/>
      <c r="L724" s="45"/>
    </row>
    <row r="725" spans="1:12">
      <c r="A725" s="10" t="str">
        <f t="shared" si="47"/>
        <v/>
      </c>
      <c r="B725" s="45"/>
      <c r="C725" s="13" t="str">
        <f t="shared" si="44"/>
        <v/>
      </c>
      <c r="D725" s="13" t="str">
        <f t="shared" si="45"/>
        <v/>
      </c>
      <c r="E725" s="45"/>
      <c r="F725" s="11" t="str">
        <f>IFERROR(VLOOKUP(E725,Category!$D$2:$E$600,2,FALSE),"")</f>
        <v/>
      </c>
      <c r="G725" s="56"/>
      <c r="H725" s="56"/>
      <c r="I725" s="16" t="str">
        <f t="shared" si="46"/>
        <v/>
      </c>
      <c r="J725" s="45"/>
      <c r="K725" s="45"/>
      <c r="L725" s="45"/>
    </row>
    <row r="726" spans="1:12">
      <c r="A726" s="10" t="str">
        <f t="shared" si="47"/>
        <v/>
      </c>
      <c r="B726" s="45"/>
      <c r="C726" s="13" t="str">
        <f t="shared" si="44"/>
        <v/>
      </c>
      <c r="D726" s="13" t="str">
        <f t="shared" si="45"/>
        <v/>
      </c>
      <c r="E726" s="45"/>
      <c r="F726" s="11" t="str">
        <f>IFERROR(VLOOKUP(E726,Category!$D$2:$E$600,2,FALSE),"")</f>
        <v/>
      </c>
      <c r="G726" s="56"/>
      <c r="H726" s="56"/>
      <c r="I726" s="16" t="str">
        <f t="shared" si="46"/>
        <v/>
      </c>
      <c r="J726" s="45"/>
      <c r="K726" s="45"/>
      <c r="L726" s="45"/>
    </row>
    <row r="727" spans="1:12">
      <c r="A727" s="10" t="str">
        <f t="shared" si="47"/>
        <v/>
      </c>
      <c r="B727" s="45"/>
      <c r="C727" s="13" t="str">
        <f t="shared" si="44"/>
        <v/>
      </c>
      <c r="D727" s="13" t="str">
        <f t="shared" si="45"/>
        <v/>
      </c>
      <c r="E727" s="45"/>
      <c r="F727" s="11" t="str">
        <f>IFERROR(VLOOKUP(E727,Category!$D$2:$E$600,2,FALSE),"")</f>
        <v/>
      </c>
      <c r="G727" s="56"/>
      <c r="H727" s="56"/>
      <c r="I727" s="16" t="str">
        <f t="shared" si="46"/>
        <v/>
      </c>
      <c r="J727" s="45"/>
      <c r="K727" s="45"/>
      <c r="L727" s="45"/>
    </row>
    <row r="728" spans="1:12">
      <c r="A728" s="10" t="str">
        <f t="shared" si="47"/>
        <v/>
      </c>
      <c r="B728" s="45"/>
      <c r="C728" s="13" t="str">
        <f t="shared" si="44"/>
        <v/>
      </c>
      <c r="D728" s="13" t="str">
        <f t="shared" si="45"/>
        <v/>
      </c>
      <c r="E728" s="45"/>
      <c r="F728" s="11" t="str">
        <f>IFERROR(VLOOKUP(E728,Category!$D$2:$E$600,2,FALSE),"")</f>
        <v/>
      </c>
      <c r="G728" s="56"/>
      <c r="H728" s="56"/>
      <c r="I728" s="16" t="str">
        <f t="shared" si="46"/>
        <v/>
      </c>
      <c r="J728" s="45"/>
      <c r="K728" s="45"/>
      <c r="L728" s="45"/>
    </row>
    <row r="729" spans="1:12">
      <c r="A729" s="10" t="str">
        <f t="shared" si="47"/>
        <v/>
      </c>
      <c r="B729" s="45"/>
      <c r="C729" s="13" t="str">
        <f t="shared" si="44"/>
        <v/>
      </c>
      <c r="D729" s="13" t="str">
        <f t="shared" si="45"/>
        <v/>
      </c>
      <c r="E729" s="45"/>
      <c r="F729" s="11" t="str">
        <f>IFERROR(VLOOKUP(E729,Category!$D$2:$E$600,2,FALSE),"")</f>
        <v/>
      </c>
      <c r="G729" s="56"/>
      <c r="H729" s="56"/>
      <c r="I729" s="16" t="str">
        <f t="shared" si="46"/>
        <v/>
      </c>
      <c r="J729" s="45"/>
      <c r="K729" s="45"/>
      <c r="L729" s="45"/>
    </row>
    <row r="730" spans="1:12">
      <c r="A730" s="10" t="str">
        <f t="shared" si="47"/>
        <v/>
      </c>
      <c r="B730" s="45"/>
      <c r="C730" s="13" t="str">
        <f t="shared" si="44"/>
        <v/>
      </c>
      <c r="D730" s="13" t="str">
        <f t="shared" si="45"/>
        <v/>
      </c>
      <c r="E730" s="45"/>
      <c r="F730" s="11" t="str">
        <f>IFERROR(VLOOKUP(E730,Category!$D$2:$E$600,2,FALSE),"")</f>
        <v/>
      </c>
      <c r="G730" s="56"/>
      <c r="H730" s="56"/>
      <c r="I730" s="16" t="str">
        <f t="shared" si="46"/>
        <v/>
      </c>
      <c r="J730" s="45"/>
      <c r="K730" s="45"/>
      <c r="L730" s="45"/>
    </row>
    <row r="731" spans="1:12">
      <c r="A731" s="10" t="str">
        <f t="shared" si="47"/>
        <v/>
      </c>
      <c r="B731" s="45"/>
      <c r="C731" s="13" t="str">
        <f t="shared" si="44"/>
        <v/>
      </c>
      <c r="D731" s="13" t="str">
        <f t="shared" si="45"/>
        <v/>
      </c>
      <c r="E731" s="45"/>
      <c r="F731" s="11" t="str">
        <f>IFERROR(VLOOKUP(E731,Category!$D$2:$E$600,2,FALSE),"")</f>
        <v/>
      </c>
      <c r="G731" s="56"/>
      <c r="H731" s="56"/>
      <c r="I731" s="16" t="str">
        <f t="shared" si="46"/>
        <v/>
      </c>
      <c r="J731" s="45"/>
      <c r="K731" s="45"/>
      <c r="L731" s="45"/>
    </row>
    <row r="732" spans="1:12">
      <c r="A732" s="10" t="str">
        <f t="shared" si="47"/>
        <v/>
      </c>
      <c r="B732" s="45"/>
      <c r="C732" s="13" t="str">
        <f t="shared" si="44"/>
        <v/>
      </c>
      <c r="D732" s="13" t="str">
        <f t="shared" si="45"/>
        <v/>
      </c>
      <c r="E732" s="45"/>
      <c r="F732" s="11" t="str">
        <f>IFERROR(VLOOKUP(E732,Category!$D$2:$E$600,2,FALSE),"")</f>
        <v/>
      </c>
      <c r="G732" s="56"/>
      <c r="H732" s="56"/>
      <c r="I732" s="16" t="str">
        <f t="shared" si="46"/>
        <v/>
      </c>
      <c r="J732" s="45"/>
      <c r="K732" s="45"/>
      <c r="L732" s="45"/>
    </row>
    <row r="733" spans="1:12">
      <c r="A733" s="10" t="str">
        <f t="shared" si="47"/>
        <v/>
      </c>
      <c r="B733" s="45"/>
      <c r="C733" s="13" t="str">
        <f t="shared" si="44"/>
        <v/>
      </c>
      <c r="D733" s="13" t="str">
        <f t="shared" si="45"/>
        <v/>
      </c>
      <c r="E733" s="45"/>
      <c r="F733" s="11" t="str">
        <f>IFERROR(VLOOKUP(E733,Category!$D$2:$E$600,2,FALSE),"")</f>
        <v/>
      </c>
      <c r="G733" s="56"/>
      <c r="H733" s="56"/>
      <c r="I733" s="16" t="str">
        <f t="shared" si="46"/>
        <v/>
      </c>
      <c r="J733" s="45"/>
      <c r="K733" s="45"/>
      <c r="L733" s="45"/>
    </row>
    <row r="734" spans="1:12">
      <c r="A734" s="10" t="str">
        <f t="shared" si="47"/>
        <v/>
      </c>
      <c r="B734" s="45"/>
      <c r="C734" s="13" t="str">
        <f t="shared" si="44"/>
        <v/>
      </c>
      <c r="D734" s="13" t="str">
        <f t="shared" si="45"/>
        <v/>
      </c>
      <c r="E734" s="45"/>
      <c r="F734" s="11" t="str">
        <f>IFERROR(VLOOKUP(E734,Category!$D$2:$E$600,2,FALSE),"")</f>
        <v/>
      </c>
      <c r="G734" s="56"/>
      <c r="H734" s="56"/>
      <c r="I734" s="16" t="str">
        <f t="shared" si="46"/>
        <v/>
      </c>
      <c r="J734" s="45"/>
      <c r="K734" s="45"/>
      <c r="L734" s="45"/>
    </row>
    <row r="735" spans="1:12">
      <c r="A735" s="10" t="str">
        <f t="shared" si="47"/>
        <v/>
      </c>
      <c r="B735" s="45"/>
      <c r="C735" s="13" t="str">
        <f t="shared" si="44"/>
        <v/>
      </c>
      <c r="D735" s="13" t="str">
        <f t="shared" si="45"/>
        <v/>
      </c>
      <c r="E735" s="45"/>
      <c r="F735" s="11" t="str">
        <f>IFERROR(VLOOKUP(E735,Category!$D$2:$E$600,2,FALSE),"")</f>
        <v/>
      </c>
      <c r="G735" s="56"/>
      <c r="H735" s="56"/>
      <c r="I735" s="16" t="str">
        <f t="shared" si="46"/>
        <v/>
      </c>
      <c r="J735" s="45"/>
      <c r="K735" s="45"/>
      <c r="L735" s="45"/>
    </row>
    <row r="736" spans="1:12">
      <c r="A736" s="10" t="str">
        <f t="shared" si="47"/>
        <v/>
      </c>
      <c r="B736" s="45"/>
      <c r="C736" s="13" t="str">
        <f t="shared" si="44"/>
        <v/>
      </c>
      <c r="D736" s="13" t="str">
        <f t="shared" si="45"/>
        <v/>
      </c>
      <c r="E736" s="45"/>
      <c r="F736" s="11" t="str">
        <f>IFERROR(VLOOKUP(E736,Category!$D$2:$E$600,2,FALSE),"")</f>
        <v/>
      </c>
      <c r="G736" s="56"/>
      <c r="H736" s="56"/>
      <c r="I736" s="16" t="str">
        <f t="shared" si="46"/>
        <v/>
      </c>
      <c r="J736" s="45"/>
      <c r="K736" s="45"/>
      <c r="L736" s="45"/>
    </row>
    <row r="737" spans="1:12">
      <c r="A737" s="10" t="str">
        <f t="shared" si="47"/>
        <v/>
      </c>
      <c r="B737" s="45"/>
      <c r="C737" s="13" t="str">
        <f t="shared" si="44"/>
        <v/>
      </c>
      <c r="D737" s="13" t="str">
        <f t="shared" si="45"/>
        <v/>
      </c>
      <c r="E737" s="45"/>
      <c r="F737" s="11" t="str">
        <f>IFERROR(VLOOKUP(E737,Category!$D$2:$E$600,2,FALSE),"")</f>
        <v/>
      </c>
      <c r="G737" s="56"/>
      <c r="H737" s="56"/>
      <c r="I737" s="16" t="str">
        <f t="shared" si="46"/>
        <v/>
      </c>
      <c r="J737" s="45"/>
      <c r="K737" s="45"/>
      <c r="L737" s="45"/>
    </row>
    <row r="738" spans="1:12">
      <c r="A738" s="10" t="str">
        <f t="shared" si="47"/>
        <v/>
      </c>
      <c r="B738" s="45"/>
      <c r="C738" s="13" t="str">
        <f t="shared" si="44"/>
        <v/>
      </c>
      <c r="D738" s="13" t="str">
        <f t="shared" si="45"/>
        <v/>
      </c>
      <c r="E738" s="45"/>
      <c r="F738" s="11" t="str">
        <f>IFERROR(VLOOKUP(E738,Category!$D$2:$E$600,2,FALSE),"")</f>
        <v/>
      </c>
      <c r="G738" s="56"/>
      <c r="H738" s="56"/>
      <c r="I738" s="16" t="str">
        <f t="shared" si="46"/>
        <v/>
      </c>
      <c r="J738" s="45"/>
      <c r="K738" s="45"/>
      <c r="L738" s="45"/>
    </row>
    <row r="739" spans="1:12">
      <c r="A739" s="10" t="str">
        <f t="shared" si="47"/>
        <v/>
      </c>
      <c r="B739" s="45"/>
      <c r="C739" s="13" t="str">
        <f t="shared" si="44"/>
        <v/>
      </c>
      <c r="D739" s="13" t="str">
        <f t="shared" si="45"/>
        <v/>
      </c>
      <c r="E739" s="45"/>
      <c r="F739" s="11" t="str">
        <f>IFERROR(VLOOKUP(E739,Category!$D$2:$E$600,2,FALSE),"")</f>
        <v/>
      </c>
      <c r="G739" s="56"/>
      <c r="H739" s="56"/>
      <c r="I739" s="16" t="str">
        <f t="shared" si="46"/>
        <v/>
      </c>
      <c r="J739" s="45"/>
      <c r="K739" s="45"/>
      <c r="L739" s="45"/>
    </row>
    <row r="740" spans="1:12">
      <c r="A740" s="10" t="str">
        <f t="shared" si="47"/>
        <v/>
      </c>
      <c r="B740" s="45"/>
      <c r="C740" s="13" t="str">
        <f t="shared" si="44"/>
        <v/>
      </c>
      <c r="D740" s="13" t="str">
        <f t="shared" si="45"/>
        <v/>
      </c>
      <c r="E740" s="45"/>
      <c r="F740" s="11" t="str">
        <f>IFERROR(VLOOKUP(E740,Category!$D$2:$E$600,2,FALSE),"")</f>
        <v/>
      </c>
      <c r="G740" s="56"/>
      <c r="H740" s="56"/>
      <c r="I740" s="16" t="str">
        <f t="shared" si="46"/>
        <v/>
      </c>
      <c r="J740" s="45"/>
      <c r="K740" s="45"/>
      <c r="L740" s="45"/>
    </row>
    <row r="741" spans="1:12">
      <c r="A741" s="10" t="str">
        <f t="shared" si="47"/>
        <v/>
      </c>
      <c r="B741" s="45"/>
      <c r="C741" s="13" t="str">
        <f t="shared" si="44"/>
        <v/>
      </c>
      <c r="D741" s="13" t="str">
        <f t="shared" si="45"/>
        <v/>
      </c>
      <c r="E741" s="45"/>
      <c r="F741" s="11" t="str">
        <f>IFERROR(VLOOKUP(E741,Category!$D$2:$E$600,2,FALSE),"")</f>
        <v/>
      </c>
      <c r="G741" s="56"/>
      <c r="H741" s="56"/>
      <c r="I741" s="16" t="str">
        <f t="shared" si="46"/>
        <v/>
      </c>
      <c r="J741" s="45"/>
      <c r="K741" s="45"/>
      <c r="L741" s="45"/>
    </row>
    <row r="742" spans="1:12">
      <c r="A742" s="10" t="str">
        <f t="shared" si="47"/>
        <v/>
      </c>
      <c r="B742" s="45"/>
      <c r="C742" s="13" t="str">
        <f t="shared" si="44"/>
        <v/>
      </c>
      <c r="D742" s="13" t="str">
        <f t="shared" si="45"/>
        <v/>
      </c>
      <c r="E742" s="45"/>
      <c r="F742" s="11" t="str">
        <f>IFERROR(VLOOKUP(E742,Category!$D$2:$E$600,2,FALSE),"")</f>
        <v/>
      </c>
      <c r="G742" s="56"/>
      <c r="H742" s="56"/>
      <c r="I742" s="16" t="str">
        <f t="shared" si="46"/>
        <v/>
      </c>
      <c r="J742" s="45"/>
      <c r="K742" s="45"/>
      <c r="L742" s="45"/>
    </row>
    <row r="743" spans="1:12">
      <c r="A743" s="10" t="str">
        <f t="shared" si="47"/>
        <v/>
      </c>
      <c r="B743" s="45"/>
      <c r="C743" s="13" t="str">
        <f t="shared" si="44"/>
        <v/>
      </c>
      <c r="D743" s="13" t="str">
        <f t="shared" si="45"/>
        <v/>
      </c>
      <c r="E743" s="45"/>
      <c r="F743" s="11" t="str">
        <f>IFERROR(VLOOKUP(E743,Category!$D$2:$E$600,2,FALSE),"")</f>
        <v/>
      </c>
      <c r="G743" s="56"/>
      <c r="H743" s="56"/>
      <c r="I743" s="16" t="str">
        <f t="shared" si="46"/>
        <v/>
      </c>
      <c r="J743" s="45"/>
      <c r="K743" s="45"/>
      <c r="L743" s="45"/>
    </row>
    <row r="744" spans="1:12">
      <c r="A744" s="10" t="str">
        <f t="shared" si="47"/>
        <v/>
      </c>
      <c r="B744" s="45"/>
      <c r="C744" s="13" t="str">
        <f t="shared" si="44"/>
        <v/>
      </c>
      <c r="D744" s="13" t="str">
        <f t="shared" si="45"/>
        <v/>
      </c>
      <c r="E744" s="45"/>
      <c r="F744" s="11" t="str">
        <f>IFERROR(VLOOKUP(E744,Category!$D$2:$E$600,2,FALSE),"")</f>
        <v/>
      </c>
      <c r="G744" s="56"/>
      <c r="H744" s="56"/>
      <c r="I744" s="16" t="str">
        <f t="shared" si="46"/>
        <v/>
      </c>
      <c r="J744" s="45"/>
      <c r="K744" s="45"/>
      <c r="L744" s="45"/>
    </row>
    <row r="745" spans="1:12">
      <c r="A745" s="10" t="str">
        <f t="shared" si="47"/>
        <v/>
      </c>
      <c r="B745" s="45"/>
      <c r="C745" s="13" t="str">
        <f t="shared" si="44"/>
        <v/>
      </c>
      <c r="D745" s="13" t="str">
        <f t="shared" si="45"/>
        <v/>
      </c>
      <c r="E745" s="45"/>
      <c r="F745" s="11" t="str">
        <f>IFERROR(VLOOKUP(E745,Category!$D$2:$E$600,2,FALSE),"")</f>
        <v/>
      </c>
      <c r="G745" s="56"/>
      <c r="H745" s="56"/>
      <c r="I745" s="16" t="str">
        <f t="shared" si="46"/>
        <v/>
      </c>
      <c r="J745" s="45"/>
      <c r="K745" s="45"/>
      <c r="L745" s="45"/>
    </row>
    <row r="746" spans="1:12">
      <c r="A746" s="10" t="str">
        <f t="shared" si="47"/>
        <v/>
      </c>
      <c r="B746" s="45"/>
      <c r="C746" s="13" t="str">
        <f t="shared" si="44"/>
        <v/>
      </c>
      <c r="D746" s="13" t="str">
        <f t="shared" si="45"/>
        <v/>
      </c>
      <c r="E746" s="45"/>
      <c r="F746" s="11" t="str">
        <f>IFERROR(VLOOKUP(E746,Category!$D$2:$E$600,2,FALSE),"")</f>
        <v/>
      </c>
      <c r="G746" s="56"/>
      <c r="H746" s="56"/>
      <c r="I746" s="16" t="str">
        <f t="shared" si="46"/>
        <v/>
      </c>
      <c r="J746" s="45"/>
      <c r="K746" s="45"/>
      <c r="L746" s="45"/>
    </row>
    <row r="747" spans="1:12">
      <c r="A747" s="10" t="str">
        <f t="shared" si="47"/>
        <v/>
      </c>
      <c r="B747" s="45"/>
      <c r="C747" s="13" t="str">
        <f t="shared" si="44"/>
        <v/>
      </c>
      <c r="D747" s="13" t="str">
        <f t="shared" si="45"/>
        <v/>
      </c>
      <c r="E747" s="45"/>
      <c r="F747" s="11" t="str">
        <f>IFERROR(VLOOKUP(E747,Category!$D$2:$E$600,2,FALSE),"")</f>
        <v/>
      </c>
      <c r="G747" s="56"/>
      <c r="H747" s="56"/>
      <c r="I747" s="16" t="str">
        <f t="shared" si="46"/>
        <v/>
      </c>
      <c r="J747" s="45"/>
      <c r="K747" s="45"/>
      <c r="L747" s="45"/>
    </row>
    <row r="748" spans="1:12">
      <c r="A748" s="10" t="str">
        <f t="shared" si="47"/>
        <v/>
      </c>
      <c r="B748" s="45"/>
      <c r="C748" s="13" t="str">
        <f t="shared" si="44"/>
        <v/>
      </c>
      <c r="D748" s="13" t="str">
        <f t="shared" si="45"/>
        <v/>
      </c>
      <c r="E748" s="45"/>
      <c r="F748" s="11" t="str">
        <f>IFERROR(VLOOKUP(E748,Category!$D$2:$E$600,2,FALSE),"")</f>
        <v/>
      </c>
      <c r="G748" s="56"/>
      <c r="H748" s="56"/>
      <c r="I748" s="16" t="str">
        <f t="shared" si="46"/>
        <v/>
      </c>
      <c r="J748" s="45"/>
      <c r="K748" s="45"/>
      <c r="L748" s="45"/>
    </row>
    <row r="749" spans="1:12">
      <c r="A749" s="10" t="str">
        <f t="shared" si="47"/>
        <v/>
      </c>
      <c r="B749" s="45"/>
      <c r="C749" s="13" t="str">
        <f t="shared" si="44"/>
        <v/>
      </c>
      <c r="D749" s="13" t="str">
        <f t="shared" si="45"/>
        <v/>
      </c>
      <c r="E749" s="45"/>
      <c r="F749" s="11" t="str">
        <f>IFERROR(VLOOKUP(E749,Category!$D$2:$E$600,2,FALSE),"")</f>
        <v/>
      </c>
      <c r="G749" s="56"/>
      <c r="H749" s="56"/>
      <c r="I749" s="16" t="str">
        <f t="shared" si="46"/>
        <v/>
      </c>
      <c r="J749" s="45"/>
      <c r="K749" s="45"/>
      <c r="L749" s="45"/>
    </row>
    <row r="750" spans="1:12">
      <c r="A750" s="10" t="str">
        <f t="shared" si="47"/>
        <v/>
      </c>
      <c r="B750" s="45"/>
      <c r="C750" s="13" t="str">
        <f t="shared" si="44"/>
        <v/>
      </c>
      <c r="D750" s="13" t="str">
        <f t="shared" si="45"/>
        <v/>
      </c>
      <c r="E750" s="45"/>
      <c r="F750" s="11" t="str">
        <f>IFERROR(VLOOKUP(E750,Category!$D$2:$E$600,2,FALSE),"")</f>
        <v/>
      </c>
      <c r="G750" s="56"/>
      <c r="H750" s="56"/>
      <c r="I750" s="16" t="str">
        <f t="shared" si="46"/>
        <v/>
      </c>
      <c r="J750" s="45"/>
      <c r="K750" s="45"/>
      <c r="L750" s="45"/>
    </row>
    <row r="751" spans="1:12">
      <c r="A751" s="10" t="str">
        <f t="shared" si="47"/>
        <v/>
      </c>
      <c r="B751" s="45"/>
      <c r="C751" s="13" t="str">
        <f t="shared" si="44"/>
        <v/>
      </c>
      <c r="D751" s="13" t="str">
        <f t="shared" si="45"/>
        <v/>
      </c>
      <c r="E751" s="45"/>
      <c r="F751" s="11" t="str">
        <f>IFERROR(VLOOKUP(E751,Category!$D$2:$E$600,2,FALSE),"")</f>
        <v/>
      </c>
      <c r="G751" s="56"/>
      <c r="H751" s="56"/>
      <c r="I751" s="16" t="str">
        <f t="shared" si="46"/>
        <v/>
      </c>
      <c r="J751" s="45"/>
      <c r="K751" s="45"/>
      <c r="L751" s="45"/>
    </row>
    <row r="752" spans="1:12">
      <c r="A752" s="10" t="str">
        <f t="shared" si="47"/>
        <v/>
      </c>
      <c r="B752" s="45"/>
      <c r="C752" s="13" t="str">
        <f t="shared" si="44"/>
        <v/>
      </c>
      <c r="D752" s="13" t="str">
        <f t="shared" si="45"/>
        <v/>
      </c>
      <c r="E752" s="45"/>
      <c r="F752" s="11" t="str">
        <f>IFERROR(VLOOKUP(E752,Category!$D$2:$E$600,2,FALSE),"")</f>
        <v/>
      </c>
      <c r="G752" s="56"/>
      <c r="H752" s="56"/>
      <c r="I752" s="16" t="str">
        <f t="shared" si="46"/>
        <v/>
      </c>
      <c r="J752" s="45"/>
      <c r="K752" s="45"/>
      <c r="L752" s="45"/>
    </row>
    <row r="753" spans="1:12">
      <c r="A753" s="10" t="str">
        <f t="shared" si="47"/>
        <v/>
      </c>
      <c r="B753" s="45"/>
      <c r="C753" s="13" t="str">
        <f t="shared" si="44"/>
        <v/>
      </c>
      <c r="D753" s="13" t="str">
        <f t="shared" si="45"/>
        <v/>
      </c>
      <c r="E753" s="45"/>
      <c r="F753" s="11" t="str">
        <f>IFERROR(VLOOKUP(E753,Category!$D$2:$E$600,2,FALSE),"")</f>
        <v/>
      </c>
      <c r="G753" s="56"/>
      <c r="H753" s="56"/>
      <c r="I753" s="16" t="str">
        <f t="shared" si="46"/>
        <v/>
      </c>
      <c r="J753" s="45"/>
      <c r="K753" s="45"/>
      <c r="L753" s="45"/>
    </row>
    <row r="754" spans="1:12">
      <c r="A754" s="10" t="str">
        <f t="shared" si="47"/>
        <v/>
      </c>
      <c r="B754" s="45"/>
      <c r="C754" s="13" t="str">
        <f t="shared" si="44"/>
        <v/>
      </c>
      <c r="D754" s="13" t="str">
        <f t="shared" si="45"/>
        <v/>
      </c>
      <c r="E754" s="45"/>
      <c r="F754" s="11" t="str">
        <f>IFERROR(VLOOKUP(E754,Category!$D$2:$E$600,2,FALSE),"")</f>
        <v/>
      </c>
      <c r="G754" s="56"/>
      <c r="H754" s="56"/>
      <c r="I754" s="16" t="str">
        <f t="shared" si="46"/>
        <v/>
      </c>
      <c r="J754" s="45"/>
      <c r="K754" s="45"/>
      <c r="L754" s="45"/>
    </row>
    <row r="755" spans="1:12">
      <c r="A755" s="10" t="str">
        <f t="shared" si="47"/>
        <v/>
      </c>
      <c r="B755" s="45"/>
      <c r="C755" s="13" t="str">
        <f t="shared" si="44"/>
        <v/>
      </c>
      <c r="D755" s="13" t="str">
        <f t="shared" si="45"/>
        <v/>
      </c>
      <c r="E755" s="45"/>
      <c r="F755" s="11" t="str">
        <f>IFERROR(VLOOKUP(E755,Category!$D$2:$E$600,2,FALSE),"")</f>
        <v/>
      </c>
      <c r="G755" s="56"/>
      <c r="H755" s="56"/>
      <c r="I755" s="16" t="str">
        <f t="shared" si="46"/>
        <v/>
      </c>
      <c r="J755" s="45"/>
      <c r="K755" s="45"/>
      <c r="L755" s="45"/>
    </row>
    <row r="756" spans="1:12">
      <c r="A756" s="10" t="str">
        <f t="shared" si="47"/>
        <v/>
      </c>
      <c r="B756" s="45"/>
      <c r="C756" s="13" t="str">
        <f t="shared" si="44"/>
        <v/>
      </c>
      <c r="D756" s="13" t="str">
        <f t="shared" si="45"/>
        <v/>
      </c>
      <c r="E756" s="45"/>
      <c r="F756" s="11" t="str">
        <f>IFERROR(VLOOKUP(E756,Category!$D$2:$E$600,2,FALSE),"")</f>
        <v/>
      </c>
      <c r="G756" s="56"/>
      <c r="H756" s="56"/>
      <c r="I756" s="16" t="str">
        <f t="shared" si="46"/>
        <v/>
      </c>
      <c r="J756" s="45"/>
      <c r="K756" s="45"/>
      <c r="L756" s="45"/>
    </row>
    <row r="757" spans="1:12">
      <c r="A757" s="10" t="str">
        <f t="shared" si="47"/>
        <v/>
      </c>
      <c r="B757" s="45"/>
      <c r="C757" s="13" t="str">
        <f t="shared" si="44"/>
        <v/>
      </c>
      <c r="D757" s="13" t="str">
        <f t="shared" si="45"/>
        <v/>
      </c>
      <c r="E757" s="45"/>
      <c r="F757" s="11" t="str">
        <f>IFERROR(VLOOKUP(E757,Category!$D$2:$E$600,2,FALSE),"")</f>
        <v/>
      </c>
      <c r="G757" s="56"/>
      <c r="H757" s="56"/>
      <c r="I757" s="16" t="str">
        <f t="shared" si="46"/>
        <v/>
      </c>
      <c r="J757" s="45"/>
      <c r="K757" s="45"/>
      <c r="L757" s="45"/>
    </row>
    <row r="758" spans="1:12">
      <c r="A758" s="10" t="str">
        <f t="shared" si="47"/>
        <v/>
      </c>
      <c r="B758" s="45"/>
      <c r="C758" s="13" t="str">
        <f t="shared" si="44"/>
        <v/>
      </c>
      <c r="D758" s="13" t="str">
        <f t="shared" si="45"/>
        <v/>
      </c>
      <c r="E758" s="45"/>
      <c r="F758" s="11" t="str">
        <f>IFERROR(VLOOKUP(E758,Category!$D$2:$E$600,2,FALSE),"")</f>
        <v/>
      </c>
      <c r="G758" s="56"/>
      <c r="H758" s="56"/>
      <c r="I758" s="16" t="str">
        <f t="shared" si="46"/>
        <v/>
      </c>
      <c r="J758" s="45"/>
      <c r="K758" s="45"/>
      <c r="L758" s="45"/>
    </row>
    <row r="759" spans="1:12">
      <c r="A759" s="10" t="str">
        <f t="shared" si="47"/>
        <v/>
      </c>
      <c r="B759" s="45"/>
      <c r="C759" s="13" t="str">
        <f t="shared" si="44"/>
        <v/>
      </c>
      <c r="D759" s="13" t="str">
        <f t="shared" si="45"/>
        <v/>
      </c>
      <c r="E759" s="45"/>
      <c r="F759" s="11" t="str">
        <f>IFERROR(VLOOKUP(E759,Category!$D$2:$E$600,2,FALSE),"")</f>
        <v/>
      </c>
      <c r="G759" s="56"/>
      <c r="H759" s="56"/>
      <c r="I759" s="16" t="str">
        <f t="shared" si="46"/>
        <v/>
      </c>
      <c r="J759" s="45"/>
      <c r="K759" s="45"/>
      <c r="L759" s="45"/>
    </row>
    <row r="760" spans="1:12">
      <c r="A760" s="10" t="str">
        <f t="shared" si="47"/>
        <v/>
      </c>
      <c r="B760" s="45"/>
      <c r="C760" s="13" t="str">
        <f t="shared" si="44"/>
        <v/>
      </c>
      <c r="D760" s="13" t="str">
        <f t="shared" si="45"/>
        <v/>
      </c>
      <c r="E760" s="45"/>
      <c r="F760" s="11" t="str">
        <f>IFERROR(VLOOKUP(E760,Category!$D$2:$E$600,2,FALSE),"")</f>
        <v/>
      </c>
      <c r="G760" s="56"/>
      <c r="H760" s="56"/>
      <c r="I760" s="16" t="str">
        <f t="shared" si="46"/>
        <v/>
      </c>
      <c r="J760" s="45"/>
      <c r="K760" s="45"/>
      <c r="L760" s="45"/>
    </row>
    <row r="761" spans="1:12">
      <c r="A761" s="10" t="str">
        <f t="shared" si="47"/>
        <v/>
      </c>
      <c r="B761" s="45"/>
      <c r="C761" s="13" t="str">
        <f t="shared" si="44"/>
        <v/>
      </c>
      <c r="D761" s="13" t="str">
        <f t="shared" si="45"/>
        <v/>
      </c>
      <c r="E761" s="45"/>
      <c r="F761" s="11" t="str">
        <f>IFERROR(VLOOKUP(E761,Category!$D$2:$E$600,2,FALSE),"")</f>
        <v/>
      </c>
      <c r="G761" s="56"/>
      <c r="H761" s="56"/>
      <c r="I761" s="16" t="str">
        <f t="shared" si="46"/>
        <v/>
      </c>
      <c r="J761" s="45"/>
      <c r="K761" s="45"/>
      <c r="L761" s="45"/>
    </row>
    <row r="762" spans="1:12">
      <c r="A762" s="10" t="str">
        <f t="shared" si="47"/>
        <v/>
      </c>
      <c r="B762" s="45"/>
      <c r="C762" s="13" t="str">
        <f t="shared" si="44"/>
        <v/>
      </c>
      <c r="D762" s="13" t="str">
        <f t="shared" si="45"/>
        <v/>
      </c>
      <c r="E762" s="45"/>
      <c r="F762" s="11" t="str">
        <f>IFERROR(VLOOKUP(E762,Category!$D$2:$E$600,2,FALSE),"")</f>
        <v/>
      </c>
      <c r="G762" s="56"/>
      <c r="H762" s="56"/>
      <c r="I762" s="16" t="str">
        <f t="shared" si="46"/>
        <v/>
      </c>
      <c r="J762" s="45"/>
      <c r="K762" s="45"/>
      <c r="L762" s="45"/>
    </row>
    <row r="763" spans="1:12">
      <c r="A763" s="10" t="str">
        <f t="shared" si="47"/>
        <v/>
      </c>
      <c r="B763" s="45"/>
      <c r="C763" s="13" t="str">
        <f t="shared" si="44"/>
        <v/>
      </c>
      <c r="D763" s="13" t="str">
        <f t="shared" si="45"/>
        <v/>
      </c>
      <c r="E763" s="45"/>
      <c r="F763" s="11" t="str">
        <f>IFERROR(VLOOKUP(E763,Category!$D$2:$E$600,2,FALSE),"")</f>
        <v/>
      </c>
      <c r="G763" s="56"/>
      <c r="H763" s="56"/>
      <c r="I763" s="16" t="str">
        <f t="shared" si="46"/>
        <v/>
      </c>
      <c r="J763" s="45"/>
      <c r="K763" s="45"/>
      <c r="L763" s="45"/>
    </row>
    <row r="764" spans="1:12">
      <c r="A764" s="10" t="str">
        <f t="shared" si="47"/>
        <v/>
      </c>
      <c r="B764" s="45"/>
      <c r="C764" s="13" t="str">
        <f t="shared" si="44"/>
        <v/>
      </c>
      <c r="D764" s="13" t="str">
        <f t="shared" si="45"/>
        <v/>
      </c>
      <c r="E764" s="45"/>
      <c r="F764" s="11" t="str">
        <f>IFERROR(VLOOKUP(E764,Category!$D$2:$E$600,2,FALSE),"")</f>
        <v/>
      </c>
      <c r="G764" s="56"/>
      <c r="H764" s="56"/>
      <c r="I764" s="16" t="str">
        <f t="shared" si="46"/>
        <v/>
      </c>
      <c r="J764" s="45"/>
      <c r="K764" s="45"/>
      <c r="L764" s="45"/>
    </row>
    <row r="765" spans="1:12">
      <c r="A765" s="10" t="str">
        <f t="shared" si="47"/>
        <v/>
      </c>
      <c r="B765" s="45"/>
      <c r="C765" s="13" t="str">
        <f t="shared" si="44"/>
        <v/>
      </c>
      <c r="D765" s="13" t="str">
        <f t="shared" si="45"/>
        <v/>
      </c>
      <c r="E765" s="45"/>
      <c r="F765" s="11" t="str">
        <f>IFERROR(VLOOKUP(E765,Category!$D$2:$E$600,2,FALSE),"")</f>
        <v/>
      </c>
      <c r="G765" s="56"/>
      <c r="H765" s="56"/>
      <c r="I765" s="16" t="str">
        <f t="shared" si="46"/>
        <v/>
      </c>
      <c r="J765" s="45"/>
      <c r="K765" s="45"/>
      <c r="L765" s="45"/>
    </row>
    <row r="766" spans="1:12">
      <c r="A766" s="10" t="str">
        <f t="shared" si="47"/>
        <v/>
      </c>
      <c r="B766" s="45"/>
      <c r="C766" s="13" t="str">
        <f t="shared" si="44"/>
        <v/>
      </c>
      <c r="D766" s="13" t="str">
        <f t="shared" si="45"/>
        <v/>
      </c>
      <c r="E766" s="45"/>
      <c r="F766" s="11" t="str">
        <f>IFERROR(VLOOKUP(E766,Category!$D$2:$E$600,2,FALSE),"")</f>
        <v/>
      </c>
      <c r="G766" s="56"/>
      <c r="H766" s="56"/>
      <c r="I766" s="16" t="str">
        <f t="shared" si="46"/>
        <v/>
      </c>
      <c r="J766" s="45"/>
      <c r="K766" s="45"/>
      <c r="L766" s="45"/>
    </row>
    <row r="767" spans="1:12">
      <c r="A767" s="10" t="str">
        <f t="shared" si="47"/>
        <v/>
      </c>
      <c r="B767" s="45"/>
      <c r="C767" s="13" t="str">
        <f t="shared" si="44"/>
        <v/>
      </c>
      <c r="D767" s="13" t="str">
        <f t="shared" si="45"/>
        <v/>
      </c>
      <c r="E767" s="45"/>
      <c r="F767" s="11" t="str">
        <f>IFERROR(VLOOKUP(E767,Category!$D$2:$E$600,2,FALSE),"")</f>
        <v/>
      </c>
      <c r="G767" s="56"/>
      <c r="H767" s="56"/>
      <c r="I767" s="16" t="str">
        <f t="shared" si="46"/>
        <v/>
      </c>
      <c r="J767" s="45"/>
      <c r="K767" s="45"/>
      <c r="L767" s="45"/>
    </row>
    <row r="768" spans="1:12">
      <c r="A768" s="10" t="str">
        <f t="shared" si="47"/>
        <v/>
      </c>
      <c r="B768" s="45"/>
      <c r="C768" s="13" t="str">
        <f t="shared" si="44"/>
        <v/>
      </c>
      <c r="D768" s="13" t="str">
        <f t="shared" si="45"/>
        <v/>
      </c>
      <c r="E768" s="45"/>
      <c r="F768" s="11" t="str">
        <f>IFERROR(VLOOKUP(E768,Category!$D$2:$E$600,2,FALSE),"")</f>
        <v/>
      </c>
      <c r="G768" s="56"/>
      <c r="H768" s="56"/>
      <c r="I768" s="16" t="str">
        <f t="shared" si="46"/>
        <v/>
      </c>
      <c r="J768" s="45"/>
      <c r="K768" s="45"/>
      <c r="L768" s="45"/>
    </row>
    <row r="769" spans="1:12">
      <c r="A769" s="10" t="str">
        <f t="shared" si="47"/>
        <v/>
      </c>
      <c r="B769" s="45"/>
      <c r="C769" s="13" t="str">
        <f t="shared" si="44"/>
        <v/>
      </c>
      <c r="D769" s="13" t="str">
        <f t="shared" si="45"/>
        <v/>
      </c>
      <c r="E769" s="45"/>
      <c r="F769" s="11" t="str">
        <f>IFERROR(VLOOKUP(E769,Category!$D$2:$E$600,2,FALSE),"")</f>
        <v/>
      </c>
      <c r="G769" s="56"/>
      <c r="H769" s="56"/>
      <c r="I769" s="16" t="str">
        <f t="shared" si="46"/>
        <v/>
      </c>
      <c r="J769" s="45"/>
      <c r="K769" s="45"/>
      <c r="L769" s="45"/>
    </row>
    <row r="770" spans="1:12">
      <c r="A770" s="10" t="str">
        <f t="shared" si="47"/>
        <v/>
      </c>
      <c r="B770" s="45"/>
      <c r="C770" s="13" t="str">
        <f t="shared" si="44"/>
        <v/>
      </c>
      <c r="D770" s="13" t="str">
        <f t="shared" si="45"/>
        <v/>
      </c>
      <c r="E770" s="45"/>
      <c r="F770" s="11" t="str">
        <f>IFERROR(VLOOKUP(E770,Category!$D$2:$E$600,2,FALSE),"")</f>
        <v/>
      </c>
      <c r="G770" s="56"/>
      <c r="H770" s="56"/>
      <c r="I770" s="16" t="str">
        <f t="shared" si="46"/>
        <v/>
      </c>
      <c r="J770" s="45"/>
      <c r="K770" s="45"/>
      <c r="L770" s="45"/>
    </row>
    <row r="771" spans="1:12">
      <c r="A771" s="10" t="str">
        <f t="shared" si="47"/>
        <v/>
      </c>
      <c r="B771" s="45"/>
      <c r="C771" s="13" t="str">
        <f t="shared" ref="C771:C834" si="48">IF(B771=0,"",TEXT(B771,"mmmm"))</f>
        <v/>
      </c>
      <c r="D771" s="13" t="str">
        <f t="shared" ref="D771:D834" si="49">IF(B771=0,"",TEXT(B771,"yyyy"))</f>
        <v/>
      </c>
      <c r="E771" s="45"/>
      <c r="F771" s="11" t="str">
        <f>IFERROR(VLOOKUP(E771,Category!$D$2:$E$600,2,FALSE),"")</f>
        <v/>
      </c>
      <c r="G771" s="56"/>
      <c r="H771" s="56"/>
      <c r="I771" s="16" t="str">
        <f t="shared" ref="I771:I834" si="50">IF(H771*G771=0,"",H771*G771)</f>
        <v/>
      </c>
      <c r="J771" s="45"/>
      <c r="K771" s="45"/>
      <c r="L771" s="45"/>
    </row>
    <row r="772" spans="1:12">
      <c r="A772" s="10" t="str">
        <f t="shared" ref="A772:A835" si="51">IF(E772&gt;0,A771+1,"")</f>
        <v/>
      </c>
      <c r="B772" s="45"/>
      <c r="C772" s="13" t="str">
        <f t="shared" si="48"/>
        <v/>
      </c>
      <c r="D772" s="13" t="str">
        <f t="shared" si="49"/>
        <v/>
      </c>
      <c r="E772" s="45"/>
      <c r="F772" s="11" t="str">
        <f>IFERROR(VLOOKUP(E772,Category!$D$2:$E$600,2,FALSE),"")</f>
        <v/>
      </c>
      <c r="G772" s="56"/>
      <c r="H772" s="56"/>
      <c r="I772" s="16" t="str">
        <f t="shared" si="50"/>
        <v/>
      </c>
      <c r="J772" s="45"/>
      <c r="K772" s="45"/>
      <c r="L772" s="45"/>
    </row>
    <row r="773" spans="1:12">
      <c r="A773" s="10" t="str">
        <f t="shared" si="51"/>
        <v/>
      </c>
      <c r="B773" s="45"/>
      <c r="C773" s="13" t="str">
        <f t="shared" si="48"/>
        <v/>
      </c>
      <c r="D773" s="13" t="str">
        <f t="shared" si="49"/>
        <v/>
      </c>
      <c r="E773" s="45"/>
      <c r="F773" s="11" t="str">
        <f>IFERROR(VLOOKUP(E773,Category!$D$2:$E$600,2,FALSE),"")</f>
        <v/>
      </c>
      <c r="G773" s="56"/>
      <c r="H773" s="56"/>
      <c r="I773" s="16" t="str">
        <f t="shared" si="50"/>
        <v/>
      </c>
      <c r="J773" s="45"/>
      <c r="K773" s="45"/>
      <c r="L773" s="45"/>
    </row>
    <row r="774" spans="1:12">
      <c r="A774" s="10" t="str">
        <f t="shared" si="51"/>
        <v/>
      </c>
      <c r="B774" s="45"/>
      <c r="C774" s="13" t="str">
        <f t="shared" si="48"/>
        <v/>
      </c>
      <c r="D774" s="13" t="str">
        <f t="shared" si="49"/>
        <v/>
      </c>
      <c r="E774" s="45"/>
      <c r="F774" s="11" t="str">
        <f>IFERROR(VLOOKUP(E774,Category!$D$2:$E$600,2,FALSE),"")</f>
        <v/>
      </c>
      <c r="G774" s="56"/>
      <c r="H774" s="56"/>
      <c r="I774" s="16" t="str">
        <f t="shared" si="50"/>
        <v/>
      </c>
      <c r="J774" s="45"/>
      <c r="K774" s="45"/>
      <c r="L774" s="45"/>
    </row>
    <row r="775" spans="1:12">
      <c r="A775" s="10" t="str">
        <f t="shared" si="51"/>
        <v/>
      </c>
      <c r="B775" s="45"/>
      <c r="C775" s="13" t="str">
        <f t="shared" si="48"/>
        <v/>
      </c>
      <c r="D775" s="13" t="str">
        <f t="shared" si="49"/>
        <v/>
      </c>
      <c r="E775" s="45"/>
      <c r="F775" s="11" t="str">
        <f>IFERROR(VLOOKUP(E775,Category!$D$2:$E$600,2,FALSE),"")</f>
        <v/>
      </c>
      <c r="G775" s="56"/>
      <c r="H775" s="56"/>
      <c r="I775" s="16" t="str">
        <f t="shared" si="50"/>
        <v/>
      </c>
      <c r="J775" s="45"/>
      <c r="K775" s="45"/>
      <c r="L775" s="45"/>
    </row>
    <row r="776" spans="1:12">
      <c r="A776" s="10" t="str">
        <f t="shared" si="51"/>
        <v/>
      </c>
      <c r="B776" s="45"/>
      <c r="C776" s="13" t="str">
        <f t="shared" si="48"/>
        <v/>
      </c>
      <c r="D776" s="13" t="str">
        <f t="shared" si="49"/>
        <v/>
      </c>
      <c r="E776" s="45"/>
      <c r="F776" s="11" t="str">
        <f>IFERROR(VLOOKUP(E776,Category!$D$2:$E$600,2,FALSE),"")</f>
        <v/>
      </c>
      <c r="G776" s="56"/>
      <c r="H776" s="56"/>
      <c r="I776" s="16" t="str">
        <f t="shared" si="50"/>
        <v/>
      </c>
      <c r="J776" s="45"/>
      <c r="K776" s="45"/>
      <c r="L776" s="45"/>
    </row>
    <row r="777" spans="1:12">
      <c r="A777" s="10" t="str">
        <f t="shared" si="51"/>
        <v/>
      </c>
      <c r="B777" s="45"/>
      <c r="C777" s="13" t="str">
        <f t="shared" si="48"/>
        <v/>
      </c>
      <c r="D777" s="13" t="str">
        <f t="shared" si="49"/>
        <v/>
      </c>
      <c r="E777" s="45"/>
      <c r="F777" s="11" t="str">
        <f>IFERROR(VLOOKUP(E777,Category!$D$2:$E$600,2,FALSE),"")</f>
        <v/>
      </c>
      <c r="G777" s="56"/>
      <c r="H777" s="56"/>
      <c r="I777" s="16" t="str">
        <f t="shared" si="50"/>
        <v/>
      </c>
      <c r="J777" s="45"/>
      <c r="K777" s="45"/>
      <c r="L777" s="45"/>
    </row>
    <row r="778" spans="1:12">
      <c r="A778" s="10" t="str">
        <f t="shared" si="51"/>
        <v/>
      </c>
      <c r="B778" s="45"/>
      <c r="C778" s="13" t="str">
        <f t="shared" si="48"/>
        <v/>
      </c>
      <c r="D778" s="13" t="str">
        <f t="shared" si="49"/>
        <v/>
      </c>
      <c r="E778" s="45"/>
      <c r="F778" s="11" t="str">
        <f>IFERROR(VLOOKUP(E778,Category!$D$2:$E$600,2,FALSE),"")</f>
        <v/>
      </c>
      <c r="G778" s="56"/>
      <c r="H778" s="56"/>
      <c r="I778" s="16" t="str">
        <f t="shared" si="50"/>
        <v/>
      </c>
      <c r="J778" s="45"/>
      <c r="K778" s="45"/>
      <c r="L778" s="45"/>
    </row>
    <row r="779" spans="1:12">
      <c r="A779" s="10" t="str">
        <f t="shared" si="51"/>
        <v/>
      </c>
      <c r="B779" s="45"/>
      <c r="C779" s="13" t="str">
        <f t="shared" si="48"/>
        <v/>
      </c>
      <c r="D779" s="13" t="str">
        <f t="shared" si="49"/>
        <v/>
      </c>
      <c r="E779" s="45"/>
      <c r="F779" s="11" t="str">
        <f>IFERROR(VLOOKUP(E779,Category!$D$2:$E$600,2,FALSE),"")</f>
        <v/>
      </c>
      <c r="G779" s="56"/>
      <c r="H779" s="56"/>
      <c r="I779" s="16" t="str">
        <f t="shared" si="50"/>
        <v/>
      </c>
      <c r="J779" s="45"/>
      <c r="K779" s="45"/>
      <c r="L779" s="45"/>
    </row>
    <row r="780" spans="1:12">
      <c r="A780" s="10" t="str">
        <f t="shared" si="51"/>
        <v/>
      </c>
      <c r="B780" s="45"/>
      <c r="C780" s="13" t="str">
        <f t="shared" si="48"/>
        <v/>
      </c>
      <c r="D780" s="13" t="str">
        <f t="shared" si="49"/>
        <v/>
      </c>
      <c r="E780" s="45"/>
      <c r="F780" s="11" t="str">
        <f>IFERROR(VLOOKUP(E780,Category!$D$2:$E$600,2,FALSE),"")</f>
        <v/>
      </c>
      <c r="G780" s="56"/>
      <c r="H780" s="56"/>
      <c r="I780" s="16" t="str">
        <f t="shared" si="50"/>
        <v/>
      </c>
      <c r="J780" s="45"/>
      <c r="K780" s="45"/>
      <c r="L780" s="45"/>
    </row>
    <row r="781" spans="1:12">
      <c r="A781" s="10" t="str">
        <f t="shared" si="51"/>
        <v/>
      </c>
      <c r="B781" s="45"/>
      <c r="C781" s="13" t="str">
        <f t="shared" si="48"/>
        <v/>
      </c>
      <c r="D781" s="13" t="str">
        <f t="shared" si="49"/>
        <v/>
      </c>
      <c r="E781" s="45"/>
      <c r="F781" s="11" t="str">
        <f>IFERROR(VLOOKUP(E781,Category!$D$2:$E$600,2,FALSE),"")</f>
        <v/>
      </c>
      <c r="G781" s="56"/>
      <c r="H781" s="56"/>
      <c r="I781" s="16" t="str">
        <f t="shared" si="50"/>
        <v/>
      </c>
      <c r="J781" s="45"/>
      <c r="K781" s="45"/>
      <c r="L781" s="45"/>
    </row>
    <row r="782" spans="1:12">
      <c r="A782" s="10" t="str">
        <f t="shared" si="51"/>
        <v/>
      </c>
      <c r="B782" s="45"/>
      <c r="C782" s="13" t="str">
        <f t="shared" si="48"/>
        <v/>
      </c>
      <c r="D782" s="13" t="str">
        <f t="shared" si="49"/>
        <v/>
      </c>
      <c r="E782" s="45"/>
      <c r="F782" s="11" t="str">
        <f>IFERROR(VLOOKUP(E782,Category!$D$2:$E$600,2,FALSE),"")</f>
        <v/>
      </c>
      <c r="G782" s="56"/>
      <c r="H782" s="56"/>
      <c r="I782" s="16" t="str">
        <f t="shared" si="50"/>
        <v/>
      </c>
      <c r="J782" s="45"/>
      <c r="K782" s="45"/>
      <c r="L782" s="45"/>
    </row>
    <row r="783" spans="1:12">
      <c r="A783" s="10" t="str">
        <f t="shared" si="51"/>
        <v/>
      </c>
      <c r="B783" s="45"/>
      <c r="C783" s="13" t="str">
        <f t="shared" si="48"/>
        <v/>
      </c>
      <c r="D783" s="13" t="str">
        <f t="shared" si="49"/>
        <v/>
      </c>
      <c r="E783" s="45"/>
      <c r="F783" s="11" t="str">
        <f>IFERROR(VLOOKUP(E783,Category!$D$2:$E$600,2,FALSE),"")</f>
        <v/>
      </c>
      <c r="G783" s="56"/>
      <c r="H783" s="56"/>
      <c r="I783" s="16" t="str">
        <f t="shared" si="50"/>
        <v/>
      </c>
      <c r="J783" s="45"/>
      <c r="K783" s="45"/>
      <c r="L783" s="45"/>
    </row>
    <row r="784" spans="1:12">
      <c r="A784" s="10" t="str">
        <f t="shared" si="51"/>
        <v/>
      </c>
      <c r="B784" s="45"/>
      <c r="C784" s="13" t="str">
        <f t="shared" si="48"/>
        <v/>
      </c>
      <c r="D784" s="13" t="str">
        <f t="shared" si="49"/>
        <v/>
      </c>
      <c r="E784" s="45"/>
      <c r="F784" s="11" t="str">
        <f>IFERROR(VLOOKUP(E784,Category!$D$2:$E$600,2,FALSE),"")</f>
        <v/>
      </c>
      <c r="G784" s="56"/>
      <c r="H784" s="56"/>
      <c r="I784" s="16" t="str">
        <f t="shared" si="50"/>
        <v/>
      </c>
      <c r="J784" s="45"/>
      <c r="K784" s="45"/>
      <c r="L784" s="45"/>
    </row>
    <row r="785" spans="1:12">
      <c r="A785" s="10" t="str">
        <f t="shared" si="51"/>
        <v/>
      </c>
      <c r="B785" s="45"/>
      <c r="C785" s="13" t="str">
        <f t="shared" si="48"/>
        <v/>
      </c>
      <c r="D785" s="13" t="str">
        <f t="shared" si="49"/>
        <v/>
      </c>
      <c r="E785" s="45"/>
      <c r="F785" s="11" t="str">
        <f>IFERROR(VLOOKUP(E785,Category!$D$2:$E$600,2,FALSE),"")</f>
        <v/>
      </c>
      <c r="G785" s="56"/>
      <c r="H785" s="56"/>
      <c r="I785" s="16" t="str">
        <f t="shared" si="50"/>
        <v/>
      </c>
      <c r="J785" s="45"/>
      <c r="K785" s="45"/>
      <c r="L785" s="45"/>
    </row>
    <row r="786" spans="1:12">
      <c r="A786" s="10" t="str">
        <f t="shared" si="51"/>
        <v/>
      </c>
      <c r="B786" s="45"/>
      <c r="C786" s="13" t="str">
        <f t="shared" si="48"/>
        <v/>
      </c>
      <c r="D786" s="13" t="str">
        <f t="shared" si="49"/>
        <v/>
      </c>
      <c r="E786" s="45"/>
      <c r="F786" s="11" t="str">
        <f>IFERROR(VLOOKUP(E786,Category!$D$2:$E$600,2,FALSE),"")</f>
        <v/>
      </c>
      <c r="G786" s="56"/>
      <c r="H786" s="56"/>
      <c r="I786" s="16" t="str">
        <f t="shared" si="50"/>
        <v/>
      </c>
      <c r="J786" s="45"/>
      <c r="K786" s="45"/>
      <c r="L786" s="45"/>
    </row>
    <row r="787" spans="1:12">
      <c r="A787" s="10" t="str">
        <f t="shared" si="51"/>
        <v/>
      </c>
      <c r="B787" s="45"/>
      <c r="C787" s="13" t="str">
        <f t="shared" si="48"/>
        <v/>
      </c>
      <c r="D787" s="13" t="str">
        <f t="shared" si="49"/>
        <v/>
      </c>
      <c r="E787" s="45"/>
      <c r="F787" s="11" t="str">
        <f>IFERROR(VLOOKUP(E787,Category!$D$2:$E$600,2,FALSE),"")</f>
        <v/>
      </c>
      <c r="G787" s="56"/>
      <c r="H787" s="56"/>
      <c r="I787" s="16" t="str">
        <f t="shared" si="50"/>
        <v/>
      </c>
      <c r="J787" s="45"/>
      <c r="K787" s="45"/>
      <c r="L787" s="45"/>
    </row>
    <row r="788" spans="1:12">
      <c r="A788" s="10" t="str">
        <f t="shared" si="51"/>
        <v/>
      </c>
      <c r="B788" s="45"/>
      <c r="C788" s="13" t="str">
        <f t="shared" si="48"/>
        <v/>
      </c>
      <c r="D788" s="13" t="str">
        <f t="shared" si="49"/>
        <v/>
      </c>
      <c r="E788" s="45"/>
      <c r="F788" s="11" t="str">
        <f>IFERROR(VLOOKUP(E788,Category!$D$2:$E$600,2,FALSE),"")</f>
        <v/>
      </c>
      <c r="G788" s="56"/>
      <c r="H788" s="56"/>
      <c r="I788" s="16" t="str">
        <f t="shared" si="50"/>
        <v/>
      </c>
      <c r="J788" s="45"/>
      <c r="K788" s="45"/>
      <c r="L788" s="45"/>
    </row>
    <row r="789" spans="1:12">
      <c r="A789" s="10" t="str">
        <f t="shared" si="51"/>
        <v/>
      </c>
      <c r="B789" s="45"/>
      <c r="C789" s="13" t="str">
        <f t="shared" si="48"/>
        <v/>
      </c>
      <c r="D789" s="13" t="str">
        <f t="shared" si="49"/>
        <v/>
      </c>
      <c r="E789" s="45"/>
      <c r="F789" s="11" t="str">
        <f>IFERROR(VLOOKUP(E789,Category!$D$2:$E$600,2,FALSE),"")</f>
        <v/>
      </c>
      <c r="G789" s="56"/>
      <c r="H789" s="56"/>
      <c r="I789" s="16" t="str">
        <f t="shared" si="50"/>
        <v/>
      </c>
      <c r="J789" s="45"/>
      <c r="K789" s="45"/>
      <c r="L789" s="45"/>
    </row>
    <row r="790" spans="1:12">
      <c r="A790" s="10" t="str">
        <f t="shared" si="51"/>
        <v/>
      </c>
      <c r="B790" s="45"/>
      <c r="C790" s="13" t="str">
        <f t="shared" si="48"/>
        <v/>
      </c>
      <c r="D790" s="13" t="str">
        <f t="shared" si="49"/>
        <v/>
      </c>
      <c r="E790" s="45"/>
      <c r="F790" s="11" t="str">
        <f>IFERROR(VLOOKUP(E790,Category!$D$2:$E$600,2,FALSE),"")</f>
        <v/>
      </c>
      <c r="G790" s="56"/>
      <c r="H790" s="56"/>
      <c r="I790" s="16" t="str">
        <f t="shared" si="50"/>
        <v/>
      </c>
      <c r="J790" s="45"/>
      <c r="K790" s="45"/>
      <c r="L790" s="45"/>
    </row>
    <row r="791" spans="1:12">
      <c r="A791" s="10" t="str">
        <f t="shared" si="51"/>
        <v/>
      </c>
      <c r="B791" s="45"/>
      <c r="C791" s="13" t="str">
        <f t="shared" si="48"/>
        <v/>
      </c>
      <c r="D791" s="13" t="str">
        <f t="shared" si="49"/>
        <v/>
      </c>
      <c r="E791" s="45"/>
      <c r="F791" s="11" t="str">
        <f>IFERROR(VLOOKUP(E791,Category!$D$2:$E$600,2,FALSE),"")</f>
        <v/>
      </c>
      <c r="G791" s="56"/>
      <c r="H791" s="56"/>
      <c r="I791" s="16" t="str">
        <f t="shared" si="50"/>
        <v/>
      </c>
      <c r="J791" s="45"/>
      <c r="K791" s="45"/>
      <c r="L791" s="45"/>
    </row>
    <row r="792" spans="1:12">
      <c r="A792" s="10" t="str">
        <f t="shared" si="51"/>
        <v/>
      </c>
      <c r="B792" s="45"/>
      <c r="C792" s="13" t="str">
        <f t="shared" si="48"/>
        <v/>
      </c>
      <c r="D792" s="13" t="str">
        <f t="shared" si="49"/>
        <v/>
      </c>
      <c r="E792" s="45"/>
      <c r="F792" s="11" t="str">
        <f>IFERROR(VLOOKUP(E792,Category!$D$2:$E$600,2,FALSE),"")</f>
        <v/>
      </c>
      <c r="G792" s="56"/>
      <c r="H792" s="56"/>
      <c r="I792" s="16" t="str">
        <f t="shared" si="50"/>
        <v/>
      </c>
      <c r="J792" s="45"/>
      <c r="K792" s="45"/>
      <c r="L792" s="45"/>
    </row>
    <row r="793" spans="1:12">
      <c r="A793" s="10" t="str">
        <f t="shared" si="51"/>
        <v/>
      </c>
      <c r="B793" s="45"/>
      <c r="C793" s="13" t="str">
        <f t="shared" si="48"/>
        <v/>
      </c>
      <c r="D793" s="13" t="str">
        <f t="shared" si="49"/>
        <v/>
      </c>
      <c r="E793" s="45"/>
      <c r="F793" s="11" t="str">
        <f>IFERROR(VLOOKUP(E793,Category!$D$2:$E$600,2,FALSE),"")</f>
        <v/>
      </c>
      <c r="G793" s="56"/>
      <c r="H793" s="56"/>
      <c r="I793" s="16" t="str">
        <f t="shared" si="50"/>
        <v/>
      </c>
      <c r="J793" s="45"/>
      <c r="K793" s="45"/>
      <c r="L793" s="45"/>
    </row>
    <row r="794" spans="1:12">
      <c r="A794" s="10" t="str">
        <f t="shared" si="51"/>
        <v/>
      </c>
      <c r="B794" s="45"/>
      <c r="C794" s="13" t="str">
        <f t="shared" si="48"/>
        <v/>
      </c>
      <c r="D794" s="13" t="str">
        <f t="shared" si="49"/>
        <v/>
      </c>
      <c r="E794" s="45"/>
      <c r="F794" s="11" t="str">
        <f>IFERROR(VLOOKUP(E794,Category!$D$2:$E$600,2,FALSE),"")</f>
        <v/>
      </c>
      <c r="G794" s="56"/>
      <c r="H794" s="56"/>
      <c r="I794" s="16" t="str">
        <f t="shared" si="50"/>
        <v/>
      </c>
      <c r="J794" s="45"/>
      <c r="K794" s="45"/>
      <c r="L794" s="45"/>
    </row>
    <row r="795" spans="1:12">
      <c r="A795" s="10" t="str">
        <f t="shared" si="51"/>
        <v/>
      </c>
      <c r="B795" s="45"/>
      <c r="C795" s="13" t="str">
        <f t="shared" si="48"/>
        <v/>
      </c>
      <c r="D795" s="13" t="str">
        <f t="shared" si="49"/>
        <v/>
      </c>
      <c r="E795" s="45"/>
      <c r="F795" s="11" t="str">
        <f>IFERROR(VLOOKUP(E795,Category!$D$2:$E$600,2,FALSE),"")</f>
        <v/>
      </c>
      <c r="G795" s="56"/>
      <c r="H795" s="56"/>
      <c r="I795" s="16" t="str">
        <f t="shared" si="50"/>
        <v/>
      </c>
      <c r="J795" s="45"/>
      <c r="K795" s="45"/>
      <c r="L795" s="45"/>
    </row>
    <row r="796" spans="1:12">
      <c r="A796" s="10" t="str">
        <f t="shared" si="51"/>
        <v/>
      </c>
      <c r="B796" s="45"/>
      <c r="C796" s="13" t="str">
        <f t="shared" si="48"/>
        <v/>
      </c>
      <c r="D796" s="13" t="str">
        <f t="shared" si="49"/>
        <v/>
      </c>
      <c r="E796" s="45"/>
      <c r="F796" s="11" t="str">
        <f>IFERROR(VLOOKUP(E796,Category!$D$2:$E$600,2,FALSE),"")</f>
        <v/>
      </c>
      <c r="G796" s="56"/>
      <c r="H796" s="56"/>
      <c r="I796" s="16" t="str">
        <f t="shared" si="50"/>
        <v/>
      </c>
      <c r="J796" s="45"/>
      <c r="K796" s="45"/>
      <c r="L796" s="45"/>
    </row>
    <row r="797" spans="1:12">
      <c r="A797" s="10" t="str">
        <f t="shared" si="51"/>
        <v/>
      </c>
      <c r="B797" s="45"/>
      <c r="C797" s="13" t="str">
        <f t="shared" si="48"/>
        <v/>
      </c>
      <c r="D797" s="13" t="str">
        <f t="shared" si="49"/>
        <v/>
      </c>
      <c r="E797" s="45"/>
      <c r="F797" s="11" t="str">
        <f>IFERROR(VLOOKUP(E797,Category!$D$2:$E$600,2,FALSE),"")</f>
        <v/>
      </c>
      <c r="G797" s="56"/>
      <c r="H797" s="56"/>
      <c r="I797" s="16" t="str">
        <f t="shared" si="50"/>
        <v/>
      </c>
      <c r="J797" s="45"/>
      <c r="K797" s="45"/>
      <c r="L797" s="45"/>
    </row>
    <row r="798" spans="1:12">
      <c r="A798" s="10" t="str">
        <f t="shared" si="51"/>
        <v/>
      </c>
      <c r="B798" s="45"/>
      <c r="C798" s="13" t="str">
        <f t="shared" si="48"/>
        <v/>
      </c>
      <c r="D798" s="13" t="str">
        <f t="shared" si="49"/>
        <v/>
      </c>
      <c r="E798" s="45"/>
      <c r="F798" s="11" t="str">
        <f>IFERROR(VLOOKUP(E798,Category!$D$2:$E$600,2,FALSE),"")</f>
        <v/>
      </c>
      <c r="G798" s="56"/>
      <c r="H798" s="56"/>
      <c r="I798" s="16" t="str">
        <f t="shared" si="50"/>
        <v/>
      </c>
      <c r="J798" s="45"/>
      <c r="K798" s="45"/>
      <c r="L798" s="45"/>
    </row>
    <row r="799" spans="1:12">
      <c r="A799" s="10" t="str">
        <f t="shared" si="51"/>
        <v/>
      </c>
      <c r="B799" s="45"/>
      <c r="C799" s="13" t="str">
        <f t="shared" si="48"/>
        <v/>
      </c>
      <c r="D799" s="13" t="str">
        <f t="shared" si="49"/>
        <v/>
      </c>
      <c r="E799" s="45"/>
      <c r="F799" s="11" t="str">
        <f>IFERROR(VLOOKUP(E799,Category!$D$2:$E$600,2,FALSE),"")</f>
        <v/>
      </c>
      <c r="G799" s="56"/>
      <c r="H799" s="56"/>
      <c r="I799" s="16" t="str">
        <f t="shared" si="50"/>
        <v/>
      </c>
      <c r="J799" s="45"/>
      <c r="K799" s="45"/>
      <c r="L799" s="45"/>
    </row>
    <row r="800" spans="1:12">
      <c r="A800" s="10" t="str">
        <f t="shared" si="51"/>
        <v/>
      </c>
      <c r="B800" s="45"/>
      <c r="C800" s="13" t="str">
        <f t="shared" si="48"/>
        <v/>
      </c>
      <c r="D800" s="13" t="str">
        <f t="shared" si="49"/>
        <v/>
      </c>
      <c r="E800" s="45"/>
      <c r="F800" s="11" t="str">
        <f>IFERROR(VLOOKUP(E800,Category!$D$2:$E$600,2,FALSE),"")</f>
        <v/>
      </c>
      <c r="G800" s="56"/>
      <c r="H800" s="56"/>
      <c r="I800" s="16" t="str">
        <f t="shared" si="50"/>
        <v/>
      </c>
      <c r="J800" s="45"/>
      <c r="K800" s="45"/>
      <c r="L800" s="45"/>
    </row>
    <row r="801" spans="1:12">
      <c r="A801" s="10" t="str">
        <f t="shared" si="51"/>
        <v/>
      </c>
      <c r="B801" s="45"/>
      <c r="C801" s="13" t="str">
        <f t="shared" si="48"/>
        <v/>
      </c>
      <c r="D801" s="13" t="str">
        <f t="shared" si="49"/>
        <v/>
      </c>
      <c r="E801" s="45"/>
      <c r="F801" s="11" t="str">
        <f>IFERROR(VLOOKUP(E801,Category!$D$2:$E$600,2,FALSE),"")</f>
        <v/>
      </c>
      <c r="G801" s="56"/>
      <c r="H801" s="56"/>
      <c r="I801" s="16" t="str">
        <f t="shared" si="50"/>
        <v/>
      </c>
      <c r="J801" s="45"/>
      <c r="K801" s="45"/>
      <c r="L801" s="45"/>
    </row>
    <row r="802" spans="1:12">
      <c r="A802" s="10" t="str">
        <f t="shared" si="51"/>
        <v/>
      </c>
      <c r="B802" s="45"/>
      <c r="C802" s="13" t="str">
        <f t="shared" si="48"/>
        <v/>
      </c>
      <c r="D802" s="13" t="str">
        <f t="shared" si="49"/>
        <v/>
      </c>
      <c r="E802" s="45"/>
      <c r="F802" s="11" t="str">
        <f>IFERROR(VLOOKUP(E802,Category!$D$2:$E$600,2,FALSE),"")</f>
        <v/>
      </c>
      <c r="G802" s="56"/>
      <c r="H802" s="56"/>
      <c r="I802" s="16" t="str">
        <f t="shared" si="50"/>
        <v/>
      </c>
      <c r="J802" s="45"/>
      <c r="K802" s="45"/>
      <c r="L802" s="45"/>
    </row>
    <row r="803" spans="1:12">
      <c r="A803" s="10" t="str">
        <f t="shared" si="51"/>
        <v/>
      </c>
      <c r="B803" s="45"/>
      <c r="C803" s="13" t="str">
        <f t="shared" si="48"/>
        <v/>
      </c>
      <c r="D803" s="13" t="str">
        <f t="shared" si="49"/>
        <v/>
      </c>
      <c r="E803" s="45"/>
      <c r="F803" s="11" t="str">
        <f>IFERROR(VLOOKUP(E803,Category!$D$2:$E$600,2,FALSE),"")</f>
        <v/>
      </c>
      <c r="G803" s="56"/>
      <c r="H803" s="56"/>
      <c r="I803" s="16" t="str">
        <f t="shared" si="50"/>
        <v/>
      </c>
      <c r="J803" s="45"/>
      <c r="K803" s="45"/>
      <c r="L803" s="45"/>
    </row>
    <row r="804" spans="1:12">
      <c r="A804" s="10" t="str">
        <f t="shared" si="51"/>
        <v/>
      </c>
      <c r="B804" s="45"/>
      <c r="C804" s="13" t="str">
        <f t="shared" si="48"/>
        <v/>
      </c>
      <c r="D804" s="13" t="str">
        <f t="shared" si="49"/>
        <v/>
      </c>
      <c r="E804" s="45"/>
      <c r="F804" s="11" t="str">
        <f>IFERROR(VLOOKUP(E804,Category!$D$2:$E$600,2,FALSE),"")</f>
        <v/>
      </c>
      <c r="G804" s="56"/>
      <c r="H804" s="56"/>
      <c r="I804" s="16" t="str">
        <f t="shared" si="50"/>
        <v/>
      </c>
      <c r="J804" s="45"/>
      <c r="K804" s="45"/>
      <c r="L804" s="45"/>
    </row>
    <row r="805" spans="1:12">
      <c r="A805" s="10" t="str">
        <f t="shared" si="51"/>
        <v/>
      </c>
      <c r="B805" s="45"/>
      <c r="C805" s="13" t="str">
        <f t="shared" si="48"/>
        <v/>
      </c>
      <c r="D805" s="13" t="str">
        <f t="shared" si="49"/>
        <v/>
      </c>
      <c r="E805" s="45"/>
      <c r="F805" s="11" t="str">
        <f>IFERROR(VLOOKUP(E805,Category!$D$2:$E$600,2,FALSE),"")</f>
        <v/>
      </c>
      <c r="G805" s="56"/>
      <c r="H805" s="56"/>
      <c r="I805" s="16" t="str">
        <f t="shared" si="50"/>
        <v/>
      </c>
      <c r="J805" s="45"/>
      <c r="K805" s="45"/>
      <c r="L805" s="45"/>
    </row>
    <row r="806" spans="1:12">
      <c r="A806" s="10" t="str">
        <f t="shared" si="51"/>
        <v/>
      </c>
      <c r="B806" s="45"/>
      <c r="C806" s="13" t="str">
        <f t="shared" si="48"/>
        <v/>
      </c>
      <c r="D806" s="13" t="str">
        <f t="shared" si="49"/>
        <v/>
      </c>
      <c r="E806" s="45"/>
      <c r="F806" s="11" t="str">
        <f>IFERROR(VLOOKUP(E806,Category!$D$2:$E$600,2,FALSE),"")</f>
        <v/>
      </c>
      <c r="G806" s="56"/>
      <c r="H806" s="56"/>
      <c r="I806" s="16" t="str">
        <f t="shared" si="50"/>
        <v/>
      </c>
      <c r="J806" s="45"/>
      <c r="K806" s="45"/>
      <c r="L806" s="45"/>
    </row>
    <row r="807" spans="1:12">
      <c r="A807" s="10" t="str">
        <f t="shared" si="51"/>
        <v/>
      </c>
      <c r="B807" s="45"/>
      <c r="C807" s="13" t="str">
        <f t="shared" si="48"/>
        <v/>
      </c>
      <c r="D807" s="13" t="str">
        <f t="shared" si="49"/>
        <v/>
      </c>
      <c r="E807" s="45"/>
      <c r="F807" s="11" t="str">
        <f>IFERROR(VLOOKUP(E807,Category!$D$2:$E$600,2,FALSE),"")</f>
        <v/>
      </c>
      <c r="G807" s="56"/>
      <c r="H807" s="56"/>
      <c r="I807" s="16" t="str">
        <f t="shared" si="50"/>
        <v/>
      </c>
      <c r="J807" s="45"/>
      <c r="K807" s="45"/>
      <c r="L807" s="45"/>
    </row>
    <row r="808" spans="1:12">
      <c r="A808" s="10" t="str">
        <f t="shared" si="51"/>
        <v/>
      </c>
      <c r="B808" s="45"/>
      <c r="C808" s="13" t="str">
        <f t="shared" si="48"/>
        <v/>
      </c>
      <c r="D808" s="13" t="str">
        <f t="shared" si="49"/>
        <v/>
      </c>
      <c r="E808" s="45"/>
      <c r="F808" s="11" t="str">
        <f>IFERROR(VLOOKUP(E808,Category!$D$2:$E$600,2,FALSE),"")</f>
        <v/>
      </c>
      <c r="G808" s="56"/>
      <c r="H808" s="56"/>
      <c r="I808" s="16" t="str">
        <f t="shared" si="50"/>
        <v/>
      </c>
      <c r="J808" s="45"/>
      <c r="K808" s="45"/>
      <c r="L808" s="45"/>
    </row>
    <row r="809" spans="1:12">
      <c r="A809" s="10" t="str">
        <f t="shared" si="51"/>
        <v/>
      </c>
      <c r="B809" s="45"/>
      <c r="C809" s="13" t="str">
        <f t="shared" si="48"/>
        <v/>
      </c>
      <c r="D809" s="13" t="str">
        <f t="shared" si="49"/>
        <v/>
      </c>
      <c r="E809" s="45"/>
      <c r="F809" s="11" t="str">
        <f>IFERROR(VLOOKUP(E809,Category!$D$2:$E$600,2,FALSE),"")</f>
        <v/>
      </c>
      <c r="G809" s="56"/>
      <c r="H809" s="56"/>
      <c r="I809" s="16" t="str">
        <f t="shared" si="50"/>
        <v/>
      </c>
      <c r="J809" s="45"/>
      <c r="K809" s="45"/>
      <c r="L809" s="45"/>
    </row>
    <row r="810" spans="1:12">
      <c r="A810" s="10" t="str">
        <f t="shared" si="51"/>
        <v/>
      </c>
      <c r="B810" s="45"/>
      <c r="C810" s="13" t="str">
        <f t="shared" si="48"/>
        <v/>
      </c>
      <c r="D810" s="13" t="str">
        <f t="shared" si="49"/>
        <v/>
      </c>
      <c r="E810" s="45"/>
      <c r="F810" s="11" t="str">
        <f>IFERROR(VLOOKUP(E810,Category!$D$2:$E$600,2,FALSE),"")</f>
        <v/>
      </c>
      <c r="G810" s="56"/>
      <c r="H810" s="56"/>
      <c r="I810" s="16" t="str">
        <f t="shared" si="50"/>
        <v/>
      </c>
      <c r="J810" s="45"/>
      <c r="K810" s="45"/>
      <c r="L810" s="45"/>
    </row>
    <row r="811" spans="1:12">
      <c r="A811" s="10" t="str">
        <f t="shared" si="51"/>
        <v/>
      </c>
      <c r="B811" s="45"/>
      <c r="C811" s="13" t="str">
        <f t="shared" si="48"/>
        <v/>
      </c>
      <c r="D811" s="13" t="str">
        <f t="shared" si="49"/>
        <v/>
      </c>
      <c r="E811" s="45"/>
      <c r="F811" s="11" t="str">
        <f>IFERROR(VLOOKUP(E811,Category!$D$2:$E$600,2,FALSE),"")</f>
        <v/>
      </c>
      <c r="G811" s="56"/>
      <c r="H811" s="56"/>
      <c r="I811" s="16" t="str">
        <f t="shared" si="50"/>
        <v/>
      </c>
      <c r="J811" s="45"/>
      <c r="K811" s="45"/>
      <c r="L811" s="45"/>
    </row>
    <row r="812" spans="1:12">
      <c r="A812" s="10" t="str">
        <f t="shared" si="51"/>
        <v/>
      </c>
      <c r="B812" s="45"/>
      <c r="C812" s="13" t="str">
        <f t="shared" si="48"/>
        <v/>
      </c>
      <c r="D812" s="13" t="str">
        <f t="shared" si="49"/>
        <v/>
      </c>
      <c r="E812" s="45"/>
      <c r="F812" s="11" t="str">
        <f>IFERROR(VLOOKUP(E812,Category!$D$2:$E$600,2,FALSE),"")</f>
        <v/>
      </c>
      <c r="G812" s="56"/>
      <c r="H812" s="56"/>
      <c r="I812" s="16" t="str">
        <f t="shared" si="50"/>
        <v/>
      </c>
      <c r="J812" s="45"/>
      <c r="K812" s="45"/>
      <c r="L812" s="45"/>
    </row>
    <row r="813" spans="1:12">
      <c r="A813" s="10" t="str">
        <f t="shared" si="51"/>
        <v/>
      </c>
      <c r="B813" s="45"/>
      <c r="C813" s="13" t="str">
        <f t="shared" si="48"/>
        <v/>
      </c>
      <c r="D813" s="13" t="str">
        <f t="shared" si="49"/>
        <v/>
      </c>
      <c r="E813" s="45"/>
      <c r="F813" s="11" t="str">
        <f>IFERROR(VLOOKUP(E813,Category!$D$2:$E$600,2,FALSE),"")</f>
        <v/>
      </c>
      <c r="G813" s="56"/>
      <c r="H813" s="56"/>
      <c r="I813" s="16" t="str">
        <f t="shared" si="50"/>
        <v/>
      </c>
      <c r="J813" s="45"/>
      <c r="K813" s="45"/>
      <c r="L813" s="45"/>
    </row>
    <row r="814" spans="1:12">
      <c r="A814" s="10" t="str">
        <f t="shared" si="51"/>
        <v/>
      </c>
      <c r="B814" s="45"/>
      <c r="C814" s="13" t="str">
        <f t="shared" si="48"/>
        <v/>
      </c>
      <c r="D814" s="13" t="str">
        <f t="shared" si="49"/>
        <v/>
      </c>
      <c r="E814" s="45"/>
      <c r="F814" s="11" t="str">
        <f>IFERROR(VLOOKUP(E814,Category!$D$2:$E$600,2,FALSE),"")</f>
        <v/>
      </c>
      <c r="G814" s="56"/>
      <c r="H814" s="56"/>
      <c r="I814" s="16" t="str">
        <f t="shared" si="50"/>
        <v/>
      </c>
      <c r="J814" s="45"/>
      <c r="K814" s="45"/>
      <c r="L814" s="45"/>
    </row>
    <row r="815" spans="1:12">
      <c r="A815" s="10" t="str">
        <f t="shared" si="51"/>
        <v/>
      </c>
      <c r="B815" s="45"/>
      <c r="C815" s="13" t="str">
        <f t="shared" si="48"/>
        <v/>
      </c>
      <c r="D815" s="13" t="str">
        <f t="shared" si="49"/>
        <v/>
      </c>
      <c r="E815" s="45"/>
      <c r="F815" s="11" t="str">
        <f>IFERROR(VLOOKUP(E815,Category!$D$2:$E$600,2,FALSE),"")</f>
        <v/>
      </c>
      <c r="G815" s="56"/>
      <c r="H815" s="56"/>
      <c r="I815" s="16" t="str">
        <f t="shared" si="50"/>
        <v/>
      </c>
      <c r="J815" s="45"/>
      <c r="K815" s="45"/>
      <c r="L815" s="45"/>
    </row>
    <row r="816" spans="1:12">
      <c r="A816" s="10" t="str">
        <f t="shared" si="51"/>
        <v/>
      </c>
      <c r="B816" s="45"/>
      <c r="C816" s="13" t="str">
        <f t="shared" si="48"/>
        <v/>
      </c>
      <c r="D816" s="13" t="str">
        <f t="shared" si="49"/>
        <v/>
      </c>
      <c r="E816" s="45"/>
      <c r="F816" s="11" t="str">
        <f>IFERROR(VLOOKUP(E816,Category!$D$2:$E$600,2,FALSE),"")</f>
        <v/>
      </c>
      <c r="G816" s="56"/>
      <c r="H816" s="56"/>
      <c r="I816" s="16" t="str">
        <f t="shared" si="50"/>
        <v/>
      </c>
      <c r="J816" s="45"/>
      <c r="K816" s="45"/>
      <c r="L816" s="45"/>
    </row>
    <row r="817" spans="1:12">
      <c r="A817" s="10" t="str">
        <f t="shared" si="51"/>
        <v/>
      </c>
      <c r="B817" s="45"/>
      <c r="C817" s="13" t="str">
        <f t="shared" si="48"/>
        <v/>
      </c>
      <c r="D817" s="13" t="str">
        <f t="shared" si="49"/>
        <v/>
      </c>
      <c r="E817" s="45"/>
      <c r="F817" s="11" t="str">
        <f>IFERROR(VLOOKUP(E817,Category!$D$2:$E$600,2,FALSE),"")</f>
        <v/>
      </c>
      <c r="G817" s="56"/>
      <c r="H817" s="56"/>
      <c r="I817" s="16" t="str">
        <f t="shared" si="50"/>
        <v/>
      </c>
      <c r="J817" s="45"/>
      <c r="K817" s="45"/>
      <c r="L817" s="45"/>
    </row>
    <row r="818" spans="1:12">
      <c r="A818" s="10" t="str">
        <f t="shared" si="51"/>
        <v/>
      </c>
      <c r="B818" s="45"/>
      <c r="C818" s="13" t="str">
        <f t="shared" si="48"/>
        <v/>
      </c>
      <c r="D818" s="13" t="str">
        <f t="shared" si="49"/>
        <v/>
      </c>
      <c r="E818" s="45"/>
      <c r="F818" s="11" t="str">
        <f>IFERROR(VLOOKUP(E818,Category!$D$2:$E$600,2,FALSE),"")</f>
        <v/>
      </c>
      <c r="G818" s="56"/>
      <c r="H818" s="56"/>
      <c r="I818" s="16" t="str">
        <f t="shared" si="50"/>
        <v/>
      </c>
      <c r="J818" s="45"/>
      <c r="K818" s="45"/>
      <c r="L818" s="45"/>
    </row>
    <row r="819" spans="1:12">
      <c r="A819" s="10" t="str">
        <f t="shared" si="51"/>
        <v/>
      </c>
      <c r="B819" s="45"/>
      <c r="C819" s="13" t="str">
        <f t="shared" si="48"/>
        <v/>
      </c>
      <c r="D819" s="13" t="str">
        <f t="shared" si="49"/>
        <v/>
      </c>
      <c r="E819" s="45"/>
      <c r="F819" s="11" t="str">
        <f>IFERROR(VLOOKUP(E819,Category!$D$2:$E$600,2,FALSE),"")</f>
        <v/>
      </c>
      <c r="G819" s="56"/>
      <c r="H819" s="56"/>
      <c r="I819" s="16" t="str">
        <f t="shared" si="50"/>
        <v/>
      </c>
      <c r="J819" s="45"/>
      <c r="K819" s="45"/>
      <c r="L819" s="45"/>
    </row>
    <row r="820" spans="1:12">
      <c r="A820" s="10" t="str">
        <f t="shared" si="51"/>
        <v/>
      </c>
      <c r="B820" s="45"/>
      <c r="C820" s="13" t="str">
        <f t="shared" si="48"/>
        <v/>
      </c>
      <c r="D820" s="13" t="str">
        <f t="shared" si="49"/>
        <v/>
      </c>
      <c r="E820" s="45"/>
      <c r="F820" s="11" t="str">
        <f>IFERROR(VLOOKUP(E820,Category!$D$2:$E$600,2,FALSE),"")</f>
        <v/>
      </c>
      <c r="G820" s="56"/>
      <c r="H820" s="56"/>
      <c r="I820" s="16" t="str">
        <f t="shared" si="50"/>
        <v/>
      </c>
      <c r="J820" s="45"/>
      <c r="K820" s="45"/>
      <c r="L820" s="45"/>
    </row>
    <row r="821" spans="1:12">
      <c r="A821" s="10" t="str">
        <f t="shared" si="51"/>
        <v/>
      </c>
      <c r="B821" s="45"/>
      <c r="C821" s="13" t="str">
        <f t="shared" si="48"/>
        <v/>
      </c>
      <c r="D821" s="13" t="str">
        <f t="shared" si="49"/>
        <v/>
      </c>
      <c r="E821" s="45"/>
      <c r="F821" s="11" t="str">
        <f>IFERROR(VLOOKUP(E821,Category!$D$2:$E$600,2,FALSE),"")</f>
        <v/>
      </c>
      <c r="G821" s="56"/>
      <c r="H821" s="56"/>
      <c r="I821" s="16" t="str">
        <f t="shared" si="50"/>
        <v/>
      </c>
      <c r="J821" s="45"/>
      <c r="K821" s="45"/>
      <c r="L821" s="45"/>
    </row>
    <row r="822" spans="1:12">
      <c r="A822" s="10" t="str">
        <f t="shared" si="51"/>
        <v/>
      </c>
      <c r="B822" s="45"/>
      <c r="C822" s="13" t="str">
        <f t="shared" si="48"/>
        <v/>
      </c>
      <c r="D822" s="13" t="str">
        <f t="shared" si="49"/>
        <v/>
      </c>
      <c r="E822" s="45"/>
      <c r="F822" s="11" t="str">
        <f>IFERROR(VLOOKUP(E822,Category!$D$2:$E$600,2,FALSE),"")</f>
        <v/>
      </c>
      <c r="G822" s="56"/>
      <c r="H822" s="56"/>
      <c r="I822" s="16" t="str">
        <f t="shared" si="50"/>
        <v/>
      </c>
      <c r="J822" s="45"/>
      <c r="K822" s="45"/>
      <c r="L822" s="45"/>
    </row>
    <row r="823" spans="1:12">
      <c r="A823" s="10" t="str">
        <f t="shared" si="51"/>
        <v/>
      </c>
      <c r="B823" s="45"/>
      <c r="C823" s="13" t="str">
        <f t="shared" si="48"/>
        <v/>
      </c>
      <c r="D823" s="13" t="str">
        <f t="shared" si="49"/>
        <v/>
      </c>
      <c r="E823" s="45"/>
      <c r="F823" s="11" t="str">
        <f>IFERROR(VLOOKUP(E823,Category!$D$2:$E$600,2,FALSE),"")</f>
        <v/>
      </c>
      <c r="G823" s="56"/>
      <c r="H823" s="56"/>
      <c r="I823" s="16" t="str">
        <f t="shared" si="50"/>
        <v/>
      </c>
      <c r="J823" s="45"/>
      <c r="K823" s="45"/>
      <c r="L823" s="45"/>
    </row>
    <row r="824" spans="1:12">
      <c r="A824" s="10" t="str">
        <f t="shared" si="51"/>
        <v/>
      </c>
      <c r="B824" s="45"/>
      <c r="C824" s="13" t="str">
        <f t="shared" si="48"/>
        <v/>
      </c>
      <c r="D824" s="13" t="str">
        <f t="shared" si="49"/>
        <v/>
      </c>
      <c r="E824" s="45"/>
      <c r="F824" s="11" t="str">
        <f>IFERROR(VLOOKUP(E824,Category!$D$2:$E$600,2,FALSE),"")</f>
        <v/>
      </c>
      <c r="G824" s="56"/>
      <c r="H824" s="56"/>
      <c r="I824" s="16" t="str">
        <f t="shared" si="50"/>
        <v/>
      </c>
      <c r="J824" s="45"/>
      <c r="K824" s="45"/>
      <c r="L824" s="45"/>
    </row>
    <row r="825" spans="1:12">
      <c r="A825" s="10" t="str">
        <f t="shared" si="51"/>
        <v/>
      </c>
      <c r="B825" s="45"/>
      <c r="C825" s="13" t="str">
        <f t="shared" si="48"/>
        <v/>
      </c>
      <c r="D825" s="13" t="str">
        <f t="shared" si="49"/>
        <v/>
      </c>
      <c r="E825" s="45"/>
      <c r="F825" s="11" t="str">
        <f>IFERROR(VLOOKUP(E825,Category!$D$2:$E$600,2,FALSE),"")</f>
        <v/>
      </c>
      <c r="G825" s="56"/>
      <c r="H825" s="56"/>
      <c r="I825" s="16" t="str">
        <f t="shared" si="50"/>
        <v/>
      </c>
      <c r="J825" s="45"/>
      <c r="K825" s="45"/>
      <c r="L825" s="45"/>
    </row>
    <row r="826" spans="1:12">
      <c r="A826" s="10" t="str">
        <f t="shared" si="51"/>
        <v/>
      </c>
      <c r="B826" s="45"/>
      <c r="C826" s="13" t="str">
        <f t="shared" si="48"/>
        <v/>
      </c>
      <c r="D826" s="13" t="str">
        <f t="shared" si="49"/>
        <v/>
      </c>
      <c r="E826" s="45"/>
      <c r="F826" s="11" t="str">
        <f>IFERROR(VLOOKUP(E826,Category!$D$2:$E$600,2,FALSE),"")</f>
        <v/>
      </c>
      <c r="G826" s="56"/>
      <c r="H826" s="56"/>
      <c r="I826" s="16" t="str">
        <f t="shared" si="50"/>
        <v/>
      </c>
      <c r="J826" s="45"/>
      <c r="K826" s="45"/>
      <c r="L826" s="45"/>
    </row>
    <row r="827" spans="1:12">
      <c r="A827" s="10" t="str">
        <f t="shared" si="51"/>
        <v/>
      </c>
      <c r="B827" s="45"/>
      <c r="C827" s="13" t="str">
        <f t="shared" si="48"/>
        <v/>
      </c>
      <c r="D827" s="13" t="str">
        <f t="shared" si="49"/>
        <v/>
      </c>
      <c r="E827" s="45"/>
      <c r="F827" s="11" t="str">
        <f>IFERROR(VLOOKUP(E827,Category!$D$2:$E$600,2,FALSE),"")</f>
        <v/>
      </c>
      <c r="G827" s="56"/>
      <c r="H827" s="56"/>
      <c r="I827" s="16" t="str">
        <f t="shared" si="50"/>
        <v/>
      </c>
      <c r="J827" s="45"/>
      <c r="K827" s="45"/>
      <c r="L827" s="45"/>
    </row>
    <row r="828" spans="1:12">
      <c r="A828" s="10" t="str">
        <f t="shared" si="51"/>
        <v/>
      </c>
      <c r="B828" s="45"/>
      <c r="C828" s="13" t="str">
        <f t="shared" si="48"/>
        <v/>
      </c>
      <c r="D828" s="13" t="str">
        <f t="shared" si="49"/>
        <v/>
      </c>
      <c r="E828" s="45"/>
      <c r="F828" s="11" t="str">
        <f>IFERROR(VLOOKUP(E828,Category!$D$2:$E$600,2,FALSE),"")</f>
        <v/>
      </c>
      <c r="G828" s="56"/>
      <c r="H828" s="56"/>
      <c r="I828" s="16" t="str">
        <f t="shared" si="50"/>
        <v/>
      </c>
      <c r="J828" s="45"/>
      <c r="K828" s="45"/>
      <c r="L828" s="45"/>
    </row>
    <row r="829" spans="1:12">
      <c r="A829" s="10" t="str">
        <f t="shared" si="51"/>
        <v/>
      </c>
      <c r="B829" s="45"/>
      <c r="C829" s="13" t="str">
        <f t="shared" si="48"/>
        <v/>
      </c>
      <c r="D829" s="13" t="str">
        <f t="shared" si="49"/>
        <v/>
      </c>
      <c r="E829" s="45"/>
      <c r="F829" s="11" t="str">
        <f>IFERROR(VLOOKUP(E829,Category!$D$2:$E$600,2,FALSE),"")</f>
        <v/>
      </c>
      <c r="G829" s="56"/>
      <c r="H829" s="56"/>
      <c r="I829" s="16" t="str">
        <f t="shared" si="50"/>
        <v/>
      </c>
      <c r="J829" s="45"/>
      <c r="K829" s="45"/>
      <c r="L829" s="45"/>
    </row>
    <row r="830" spans="1:12">
      <c r="A830" s="10" t="str">
        <f t="shared" si="51"/>
        <v/>
      </c>
      <c r="B830" s="45"/>
      <c r="C830" s="13" t="str">
        <f t="shared" si="48"/>
        <v/>
      </c>
      <c r="D830" s="13" t="str">
        <f t="shared" si="49"/>
        <v/>
      </c>
      <c r="E830" s="45"/>
      <c r="F830" s="11" t="str">
        <f>IFERROR(VLOOKUP(E830,Category!$D$2:$E$600,2,FALSE),"")</f>
        <v/>
      </c>
      <c r="G830" s="56"/>
      <c r="H830" s="56"/>
      <c r="I830" s="16" t="str">
        <f t="shared" si="50"/>
        <v/>
      </c>
      <c r="J830" s="45"/>
      <c r="K830" s="45"/>
      <c r="L830" s="45"/>
    </row>
    <row r="831" spans="1:12">
      <c r="A831" s="10" t="str">
        <f t="shared" si="51"/>
        <v/>
      </c>
      <c r="B831" s="45"/>
      <c r="C831" s="13" t="str">
        <f t="shared" si="48"/>
        <v/>
      </c>
      <c r="D831" s="13" t="str">
        <f t="shared" si="49"/>
        <v/>
      </c>
      <c r="E831" s="45"/>
      <c r="F831" s="11" t="str">
        <f>IFERROR(VLOOKUP(E831,Category!$D$2:$E$600,2,FALSE),"")</f>
        <v/>
      </c>
      <c r="G831" s="56"/>
      <c r="H831" s="56"/>
      <c r="I831" s="16" t="str">
        <f t="shared" si="50"/>
        <v/>
      </c>
      <c r="J831" s="45"/>
      <c r="K831" s="45"/>
      <c r="L831" s="45"/>
    </row>
    <row r="832" spans="1:12">
      <c r="A832" s="10" t="str">
        <f t="shared" si="51"/>
        <v/>
      </c>
      <c r="B832" s="45"/>
      <c r="C832" s="13" t="str">
        <f t="shared" si="48"/>
        <v/>
      </c>
      <c r="D832" s="13" t="str">
        <f t="shared" si="49"/>
        <v/>
      </c>
      <c r="E832" s="45"/>
      <c r="F832" s="11" t="str">
        <f>IFERROR(VLOOKUP(E832,Category!$D$2:$E$600,2,FALSE),"")</f>
        <v/>
      </c>
      <c r="G832" s="56"/>
      <c r="H832" s="56"/>
      <c r="I832" s="16" t="str">
        <f t="shared" si="50"/>
        <v/>
      </c>
      <c r="J832" s="45"/>
      <c r="K832" s="45"/>
      <c r="L832" s="45"/>
    </row>
    <row r="833" spans="1:12">
      <c r="A833" s="10" t="str">
        <f t="shared" si="51"/>
        <v/>
      </c>
      <c r="B833" s="45"/>
      <c r="C833" s="13" t="str">
        <f t="shared" si="48"/>
        <v/>
      </c>
      <c r="D833" s="13" t="str">
        <f t="shared" si="49"/>
        <v/>
      </c>
      <c r="E833" s="45"/>
      <c r="F833" s="11" t="str">
        <f>IFERROR(VLOOKUP(E833,Category!$D$2:$E$600,2,FALSE),"")</f>
        <v/>
      </c>
      <c r="G833" s="56"/>
      <c r="H833" s="56"/>
      <c r="I833" s="16" t="str">
        <f t="shared" si="50"/>
        <v/>
      </c>
      <c r="J833" s="45"/>
      <c r="K833" s="45"/>
      <c r="L833" s="45"/>
    </row>
    <row r="834" spans="1:12">
      <c r="A834" s="10" t="str">
        <f t="shared" si="51"/>
        <v/>
      </c>
      <c r="B834" s="45"/>
      <c r="C834" s="13" t="str">
        <f t="shared" si="48"/>
        <v/>
      </c>
      <c r="D834" s="13" t="str">
        <f t="shared" si="49"/>
        <v/>
      </c>
      <c r="E834" s="45"/>
      <c r="F834" s="11" t="str">
        <f>IFERROR(VLOOKUP(E834,Category!$D$2:$E$600,2,FALSE),"")</f>
        <v/>
      </c>
      <c r="G834" s="56"/>
      <c r="H834" s="56"/>
      <c r="I834" s="16" t="str">
        <f t="shared" si="50"/>
        <v/>
      </c>
      <c r="J834" s="45"/>
      <c r="K834" s="45"/>
      <c r="L834" s="45"/>
    </row>
    <row r="835" spans="1:12">
      <c r="A835" s="10" t="str">
        <f t="shared" si="51"/>
        <v/>
      </c>
      <c r="B835" s="45"/>
      <c r="C835" s="13" t="str">
        <f t="shared" ref="C835:C898" si="52">IF(B835=0,"",TEXT(B835,"mmmm"))</f>
        <v/>
      </c>
      <c r="D835" s="13" t="str">
        <f t="shared" ref="D835:D898" si="53">IF(B835=0,"",TEXT(B835,"yyyy"))</f>
        <v/>
      </c>
      <c r="E835" s="45"/>
      <c r="F835" s="11" t="str">
        <f>IFERROR(VLOOKUP(E835,Category!$D$2:$E$600,2,FALSE),"")</f>
        <v/>
      </c>
      <c r="G835" s="56"/>
      <c r="H835" s="56"/>
      <c r="I835" s="16" t="str">
        <f t="shared" ref="I835:I898" si="54">IF(H835*G835=0,"",H835*G835)</f>
        <v/>
      </c>
      <c r="J835" s="45"/>
      <c r="K835" s="45"/>
      <c r="L835" s="45"/>
    </row>
    <row r="836" spans="1:12">
      <c r="A836" s="10" t="str">
        <f t="shared" ref="A836:A899" si="55">IF(E836&gt;0,A835+1,"")</f>
        <v/>
      </c>
      <c r="B836" s="45"/>
      <c r="C836" s="13" t="str">
        <f t="shared" si="52"/>
        <v/>
      </c>
      <c r="D836" s="13" t="str">
        <f t="shared" si="53"/>
        <v/>
      </c>
      <c r="E836" s="45"/>
      <c r="F836" s="11" t="str">
        <f>IFERROR(VLOOKUP(E836,Category!$D$2:$E$600,2,FALSE),"")</f>
        <v/>
      </c>
      <c r="G836" s="56"/>
      <c r="H836" s="56"/>
      <c r="I836" s="16" t="str">
        <f t="shared" si="54"/>
        <v/>
      </c>
      <c r="J836" s="45"/>
      <c r="K836" s="45"/>
      <c r="L836" s="45"/>
    </row>
    <row r="837" spans="1:12">
      <c r="A837" s="10" t="str">
        <f t="shared" si="55"/>
        <v/>
      </c>
      <c r="B837" s="45"/>
      <c r="C837" s="13" t="str">
        <f t="shared" si="52"/>
        <v/>
      </c>
      <c r="D837" s="13" t="str">
        <f t="shared" si="53"/>
        <v/>
      </c>
      <c r="E837" s="45"/>
      <c r="F837" s="11" t="str">
        <f>IFERROR(VLOOKUP(E837,Category!$D$2:$E$600,2,FALSE),"")</f>
        <v/>
      </c>
      <c r="G837" s="56"/>
      <c r="H837" s="56"/>
      <c r="I837" s="16" t="str">
        <f t="shared" si="54"/>
        <v/>
      </c>
      <c r="J837" s="45"/>
      <c r="K837" s="45"/>
      <c r="L837" s="45"/>
    </row>
    <row r="838" spans="1:12">
      <c r="A838" s="10" t="str">
        <f t="shared" si="55"/>
        <v/>
      </c>
      <c r="B838" s="45"/>
      <c r="C838" s="13" t="str">
        <f t="shared" si="52"/>
        <v/>
      </c>
      <c r="D838" s="13" t="str">
        <f t="shared" si="53"/>
        <v/>
      </c>
      <c r="E838" s="45"/>
      <c r="F838" s="11" t="str">
        <f>IFERROR(VLOOKUP(E838,Category!$D$2:$E$600,2,FALSE),"")</f>
        <v/>
      </c>
      <c r="G838" s="56"/>
      <c r="H838" s="56"/>
      <c r="I838" s="16" t="str">
        <f t="shared" si="54"/>
        <v/>
      </c>
      <c r="J838" s="45"/>
      <c r="K838" s="45"/>
      <c r="L838" s="45"/>
    </row>
    <row r="839" spans="1:12">
      <c r="A839" s="10" t="str">
        <f t="shared" si="55"/>
        <v/>
      </c>
      <c r="B839" s="45"/>
      <c r="C839" s="13" t="str">
        <f t="shared" si="52"/>
        <v/>
      </c>
      <c r="D839" s="13" t="str">
        <f t="shared" si="53"/>
        <v/>
      </c>
      <c r="E839" s="45"/>
      <c r="F839" s="11" t="str">
        <f>IFERROR(VLOOKUP(E839,Category!$D$2:$E$600,2,FALSE),"")</f>
        <v/>
      </c>
      <c r="G839" s="56"/>
      <c r="H839" s="56"/>
      <c r="I839" s="16" t="str">
        <f t="shared" si="54"/>
        <v/>
      </c>
      <c r="J839" s="45"/>
      <c r="K839" s="45"/>
      <c r="L839" s="45"/>
    </row>
    <row r="840" spans="1:12">
      <c r="A840" s="10" t="str">
        <f t="shared" si="55"/>
        <v/>
      </c>
      <c r="B840" s="45"/>
      <c r="C840" s="13" t="str">
        <f t="shared" si="52"/>
        <v/>
      </c>
      <c r="D840" s="13" t="str">
        <f t="shared" si="53"/>
        <v/>
      </c>
      <c r="E840" s="45"/>
      <c r="F840" s="11" t="str">
        <f>IFERROR(VLOOKUP(E840,Category!$D$2:$E$600,2,FALSE),"")</f>
        <v/>
      </c>
      <c r="G840" s="56"/>
      <c r="H840" s="56"/>
      <c r="I840" s="16" t="str">
        <f t="shared" si="54"/>
        <v/>
      </c>
      <c r="J840" s="45"/>
      <c r="K840" s="45"/>
      <c r="L840" s="45"/>
    </row>
    <row r="841" spans="1:12">
      <c r="A841" s="10" t="str">
        <f t="shared" si="55"/>
        <v/>
      </c>
      <c r="B841" s="45"/>
      <c r="C841" s="13" t="str">
        <f t="shared" si="52"/>
        <v/>
      </c>
      <c r="D841" s="13" t="str">
        <f t="shared" si="53"/>
        <v/>
      </c>
      <c r="E841" s="45"/>
      <c r="F841" s="11" t="str">
        <f>IFERROR(VLOOKUP(E841,Category!$D$2:$E$600,2,FALSE),"")</f>
        <v/>
      </c>
      <c r="G841" s="56"/>
      <c r="H841" s="56"/>
      <c r="I841" s="16" t="str">
        <f t="shared" si="54"/>
        <v/>
      </c>
      <c r="J841" s="45"/>
      <c r="K841" s="45"/>
      <c r="L841" s="45"/>
    </row>
    <row r="842" spans="1:12">
      <c r="A842" s="10" t="str">
        <f t="shared" si="55"/>
        <v/>
      </c>
      <c r="B842" s="45"/>
      <c r="C842" s="13" t="str">
        <f t="shared" si="52"/>
        <v/>
      </c>
      <c r="D842" s="13" t="str">
        <f t="shared" si="53"/>
        <v/>
      </c>
      <c r="E842" s="45"/>
      <c r="F842" s="11" t="str">
        <f>IFERROR(VLOOKUP(E842,Category!$D$2:$E$600,2,FALSE),"")</f>
        <v/>
      </c>
      <c r="G842" s="56"/>
      <c r="H842" s="56"/>
      <c r="I842" s="16" t="str">
        <f t="shared" si="54"/>
        <v/>
      </c>
      <c r="J842" s="45"/>
      <c r="K842" s="45"/>
      <c r="L842" s="45"/>
    </row>
    <row r="843" spans="1:12">
      <c r="A843" s="10" t="str">
        <f t="shared" si="55"/>
        <v/>
      </c>
      <c r="B843" s="45"/>
      <c r="C843" s="13" t="str">
        <f t="shared" si="52"/>
        <v/>
      </c>
      <c r="D843" s="13" t="str">
        <f t="shared" si="53"/>
        <v/>
      </c>
      <c r="E843" s="45"/>
      <c r="F843" s="11" t="str">
        <f>IFERROR(VLOOKUP(E843,Category!$D$2:$E$600,2,FALSE),"")</f>
        <v/>
      </c>
      <c r="G843" s="56"/>
      <c r="H843" s="56"/>
      <c r="I843" s="16" t="str">
        <f t="shared" si="54"/>
        <v/>
      </c>
      <c r="J843" s="45"/>
      <c r="K843" s="45"/>
      <c r="L843" s="45"/>
    </row>
    <row r="844" spans="1:12">
      <c r="A844" s="10" t="str">
        <f t="shared" si="55"/>
        <v/>
      </c>
      <c r="B844" s="45"/>
      <c r="C844" s="13" t="str">
        <f t="shared" si="52"/>
        <v/>
      </c>
      <c r="D844" s="13" t="str">
        <f t="shared" si="53"/>
        <v/>
      </c>
      <c r="E844" s="45"/>
      <c r="F844" s="11" t="str">
        <f>IFERROR(VLOOKUP(E844,Category!$D$2:$E$600,2,FALSE),"")</f>
        <v/>
      </c>
      <c r="G844" s="56"/>
      <c r="H844" s="56"/>
      <c r="I844" s="16" t="str">
        <f t="shared" si="54"/>
        <v/>
      </c>
      <c r="J844" s="45"/>
      <c r="K844" s="45"/>
      <c r="L844" s="45"/>
    </row>
    <row r="845" spans="1:12">
      <c r="A845" s="10" t="str">
        <f t="shared" si="55"/>
        <v/>
      </c>
      <c r="B845" s="45"/>
      <c r="C845" s="13" t="str">
        <f t="shared" si="52"/>
        <v/>
      </c>
      <c r="D845" s="13" t="str">
        <f t="shared" si="53"/>
        <v/>
      </c>
      <c r="E845" s="45"/>
      <c r="F845" s="11" t="str">
        <f>IFERROR(VLOOKUP(E845,Category!$D$2:$E$600,2,FALSE),"")</f>
        <v/>
      </c>
      <c r="G845" s="56"/>
      <c r="H845" s="56"/>
      <c r="I845" s="16" t="str">
        <f t="shared" si="54"/>
        <v/>
      </c>
      <c r="J845" s="45"/>
      <c r="K845" s="45"/>
      <c r="L845" s="45"/>
    </row>
    <row r="846" spans="1:12">
      <c r="A846" s="10" t="str">
        <f t="shared" si="55"/>
        <v/>
      </c>
      <c r="B846" s="45"/>
      <c r="C846" s="13" t="str">
        <f t="shared" si="52"/>
        <v/>
      </c>
      <c r="D846" s="13" t="str">
        <f t="shared" si="53"/>
        <v/>
      </c>
      <c r="E846" s="45"/>
      <c r="F846" s="11" t="str">
        <f>IFERROR(VLOOKUP(E846,Category!$D$2:$E$600,2,FALSE),"")</f>
        <v/>
      </c>
      <c r="G846" s="56"/>
      <c r="H846" s="56"/>
      <c r="I846" s="16" t="str">
        <f t="shared" si="54"/>
        <v/>
      </c>
      <c r="J846" s="45"/>
      <c r="K846" s="45"/>
      <c r="L846" s="45"/>
    </row>
    <row r="847" spans="1:12">
      <c r="A847" s="10" t="str">
        <f t="shared" si="55"/>
        <v/>
      </c>
      <c r="B847" s="45"/>
      <c r="C847" s="13" t="str">
        <f t="shared" si="52"/>
        <v/>
      </c>
      <c r="D847" s="13" t="str">
        <f t="shared" si="53"/>
        <v/>
      </c>
      <c r="E847" s="45"/>
      <c r="F847" s="11" t="str">
        <f>IFERROR(VLOOKUP(E847,Category!$D$2:$E$600,2,FALSE),"")</f>
        <v/>
      </c>
      <c r="G847" s="56"/>
      <c r="H847" s="56"/>
      <c r="I847" s="16" t="str">
        <f t="shared" si="54"/>
        <v/>
      </c>
      <c r="J847" s="45"/>
      <c r="K847" s="45"/>
      <c r="L847" s="45"/>
    </row>
    <row r="848" spans="1:12">
      <c r="A848" s="10" t="str">
        <f t="shared" si="55"/>
        <v/>
      </c>
      <c r="B848" s="45"/>
      <c r="C848" s="13" t="str">
        <f t="shared" si="52"/>
        <v/>
      </c>
      <c r="D848" s="13" t="str">
        <f t="shared" si="53"/>
        <v/>
      </c>
      <c r="E848" s="45"/>
      <c r="F848" s="11" t="str">
        <f>IFERROR(VLOOKUP(E848,Category!$D$2:$E$600,2,FALSE),"")</f>
        <v/>
      </c>
      <c r="G848" s="56"/>
      <c r="H848" s="56"/>
      <c r="I848" s="16" t="str">
        <f t="shared" si="54"/>
        <v/>
      </c>
      <c r="J848" s="45"/>
      <c r="K848" s="45"/>
      <c r="L848" s="45"/>
    </row>
    <row r="849" spans="1:12">
      <c r="A849" s="10" t="str">
        <f t="shared" si="55"/>
        <v/>
      </c>
      <c r="B849" s="45"/>
      <c r="C849" s="13" t="str">
        <f t="shared" si="52"/>
        <v/>
      </c>
      <c r="D849" s="13" t="str">
        <f t="shared" si="53"/>
        <v/>
      </c>
      <c r="E849" s="45"/>
      <c r="F849" s="11" t="str">
        <f>IFERROR(VLOOKUP(E849,Category!$D$2:$E$600,2,FALSE),"")</f>
        <v/>
      </c>
      <c r="G849" s="56"/>
      <c r="H849" s="56"/>
      <c r="I849" s="16" t="str">
        <f t="shared" si="54"/>
        <v/>
      </c>
      <c r="J849" s="45"/>
      <c r="K849" s="45"/>
      <c r="L849" s="45"/>
    </row>
    <row r="850" spans="1:12">
      <c r="A850" s="10" t="str">
        <f t="shared" si="55"/>
        <v/>
      </c>
      <c r="B850" s="45"/>
      <c r="C850" s="13" t="str">
        <f t="shared" si="52"/>
        <v/>
      </c>
      <c r="D850" s="13" t="str">
        <f t="shared" si="53"/>
        <v/>
      </c>
      <c r="E850" s="45"/>
      <c r="F850" s="11" t="str">
        <f>IFERROR(VLOOKUP(E850,Category!$D$2:$E$600,2,FALSE),"")</f>
        <v/>
      </c>
      <c r="G850" s="56"/>
      <c r="H850" s="56"/>
      <c r="I850" s="16" t="str">
        <f t="shared" si="54"/>
        <v/>
      </c>
      <c r="J850" s="45"/>
      <c r="K850" s="45"/>
      <c r="L850" s="45"/>
    </row>
    <row r="851" spans="1:12">
      <c r="A851" s="10" t="str">
        <f t="shared" si="55"/>
        <v/>
      </c>
      <c r="B851" s="45"/>
      <c r="C851" s="13" t="str">
        <f t="shared" si="52"/>
        <v/>
      </c>
      <c r="D851" s="13" t="str">
        <f t="shared" si="53"/>
        <v/>
      </c>
      <c r="E851" s="45"/>
      <c r="F851" s="11" t="str">
        <f>IFERROR(VLOOKUP(E851,Category!$D$2:$E$600,2,FALSE),"")</f>
        <v/>
      </c>
      <c r="G851" s="56"/>
      <c r="H851" s="56"/>
      <c r="I851" s="16" t="str">
        <f t="shared" si="54"/>
        <v/>
      </c>
      <c r="J851" s="45"/>
      <c r="K851" s="45"/>
      <c r="L851" s="45"/>
    </row>
    <row r="852" spans="1:12">
      <c r="A852" s="10" t="str">
        <f t="shared" si="55"/>
        <v/>
      </c>
      <c r="B852" s="45"/>
      <c r="C852" s="13" t="str">
        <f t="shared" si="52"/>
        <v/>
      </c>
      <c r="D852" s="13" t="str">
        <f t="shared" si="53"/>
        <v/>
      </c>
      <c r="E852" s="45"/>
      <c r="F852" s="11" t="str">
        <f>IFERROR(VLOOKUP(E852,Category!$D$2:$E$600,2,FALSE),"")</f>
        <v/>
      </c>
      <c r="G852" s="56"/>
      <c r="H852" s="56"/>
      <c r="I852" s="16" t="str">
        <f t="shared" si="54"/>
        <v/>
      </c>
      <c r="J852" s="45"/>
      <c r="K852" s="45"/>
      <c r="L852" s="45"/>
    </row>
    <row r="853" spans="1:12">
      <c r="A853" s="10" t="str">
        <f t="shared" si="55"/>
        <v/>
      </c>
      <c r="B853" s="45"/>
      <c r="C853" s="13" t="str">
        <f t="shared" si="52"/>
        <v/>
      </c>
      <c r="D853" s="13" t="str">
        <f t="shared" si="53"/>
        <v/>
      </c>
      <c r="E853" s="45"/>
      <c r="F853" s="11" t="str">
        <f>IFERROR(VLOOKUP(E853,Category!$D$2:$E$600,2,FALSE),"")</f>
        <v/>
      </c>
      <c r="G853" s="56"/>
      <c r="H853" s="56"/>
      <c r="I853" s="16" t="str">
        <f t="shared" si="54"/>
        <v/>
      </c>
      <c r="J853" s="45"/>
      <c r="K853" s="45"/>
      <c r="L853" s="45"/>
    </row>
    <row r="854" spans="1:12">
      <c r="A854" s="10" t="str">
        <f t="shared" si="55"/>
        <v/>
      </c>
      <c r="B854" s="45"/>
      <c r="C854" s="13" t="str">
        <f t="shared" si="52"/>
        <v/>
      </c>
      <c r="D854" s="13" t="str">
        <f t="shared" si="53"/>
        <v/>
      </c>
      <c r="E854" s="45"/>
      <c r="F854" s="11" t="str">
        <f>IFERROR(VLOOKUP(E854,Category!$D$2:$E$600,2,FALSE),"")</f>
        <v/>
      </c>
      <c r="G854" s="56"/>
      <c r="H854" s="56"/>
      <c r="I854" s="16" t="str">
        <f t="shared" si="54"/>
        <v/>
      </c>
      <c r="J854" s="45"/>
      <c r="K854" s="45"/>
      <c r="L854" s="45"/>
    </row>
    <row r="855" spans="1:12">
      <c r="A855" s="10" t="str">
        <f t="shared" si="55"/>
        <v/>
      </c>
      <c r="B855" s="45"/>
      <c r="C855" s="13" t="str">
        <f t="shared" si="52"/>
        <v/>
      </c>
      <c r="D855" s="13" t="str">
        <f t="shared" si="53"/>
        <v/>
      </c>
      <c r="E855" s="45"/>
      <c r="F855" s="11" t="str">
        <f>IFERROR(VLOOKUP(E855,Category!$D$2:$E$600,2,FALSE),"")</f>
        <v/>
      </c>
      <c r="G855" s="56"/>
      <c r="H855" s="56"/>
      <c r="I855" s="16" t="str">
        <f t="shared" si="54"/>
        <v/>
      </c>
      <c r="J855" s="45"/>
      <c r="K855" s="45"/>
      <c r="L855" s="45"/>
    </row>
    <row r="856" spans="1:12">
      <c r="A856" s="10" t="str">
        <f t="shared" si="55"/>
        <v/>
      </c>
      <c r="B856" s="45"/>
      <c r="C856" s="13" t="str">
        <f t="shared" si="52"/>
        <v/>
      </c>
      <c r="D856" s="13" t="str">
        <f t="shared" si="53"/>
        <v/>
      </c>
      <c r="E856" s="45"/>
      <c r="F856" s="11" t="str">
        <f>IFERROR(VLOOKUP(E856,Category!$D$2:$E$600,2,FALSE),"")</f>
        <v/>
      </c>
      <c r="G856" s="56"/>
      <c r="H856" s="56"/>
      <c r="I856" s="16" t="str">
        <f t="shared" si="54"/>
        <v/>
      </c>
      <c r="J856" s="45"/>
      <c r="K856" s="45"/>
      <c r="L856" s="45"/>
    </row>
    <row r="857" spans="1:12">
      <c r="A857" s="10" t="str">
        <f t="shared" si="55"/>
        <v/>
      </c>
      <c r="B857" s="45"/>
      <c r="C857" s="13" t="str">
        <f t="shared" si="52"/>
        <v/>
      </c>
      <c r="D857" s="13" t="str">
        <f t="shared" si="53"/>
        <v/>
      </c>
      <c r="E857" s="45"/>
      <c r="F857" s="11" t="str">
        <f>IFERROR(VLOOKUP(E857,Category!$D$2:$E$600,2,FALSE),"")</f>
        <v/>
      </c>
      <c r="G857" s="56"/>
      <c r="H857" s="56"/>
      <c r="I857" s="16" t="str">
        <f t="shared" si="54"/>
        <v/>
      </c>
      <c r="J857" s="45"/>
      <c r="K857" s="45"/>
      <c r="L857" s="45"/>
    </row>
    <row r="858" spans="1:12">
      <c r="A858" s="10" t="str">
        <f t="shared" si="55"/>
        <v/>
      </c>
      <c r="B858" s="45"/>
      <c r="C858" s="13" t="str">
        <f t="shared" si="52"/>
        <v/>
      </c>
      <c r="D858" s="13" t="str">
        <f t="shared" si="53"/>
        <v/>
      </c>
      <c r="E858" s="45"/>
      <c r="F858" s="11" t="str">
        <f>IFERROR(VLOOKUP(E858,Category!$D$2:$E$600,2,FALSE),"")</f>
        <v/>
      </c>
      <c r="G858" s="56"/>
      <c r="H858" s="56"/>
      <c r="I858" s="16" t="str">
        <f t="shared" si="54"/>
        <v/>
      </c>
      <c r="J858" s="45"/>
      <c r="K858" s="45"/>
      <c r="L858" s="45"/>
    </row>
    <row r="859" spans="1:12">
      <c r="A859" s="10" t="str">
        <f t="shared" si="55"/>
        <v/>
      </c>
      <c r="B859" s="45"/>
      <c r="C859" s="13" t="str">
        <f t="shared" si="52"/>
        <v/>
      </c>
      <c r="D859" s="13" t="str">
        <f t="shared" si="53"/>
        <v/>
      </c>
      <c r="E859" s="45"/>
      <c r="F859" s="11" t="str">
        <f>IFERROR(VLOOKUP(E859,Category!$D$2:$E$600,2,FALSE),"")</f>
        <v/>
      </c>
      <c r="G859" s="56"/>
      <c r="H859" s="56"/>
      <c r="I859" s="16" t="str">
        <f t="shared" si="54"/>
        <v/>
      </c>
      <c r="J859" s="45"/>
      <c r="K859" s="45"/>
      <c r="L859" s="45"/>
    </row>
    <row r="860" spans="1:12">
      <c r="A860" s="10" t="str">
        <f t="shared" si="55"/>
        <v/>
      </c>
      <c r="B860" s="45"/>
      <c r="C860" s="13" t="str">
        <f t="shared" si="52"/>
        <v/>
      </c>
      <c r="D860" s="13" t="str">
        <f t="shared" si="53"/>
        <v/>
      </c>
      <c r="E860" s="45"/>
      <c r="F860" s="11" t="str">
        <f>IFERROR(VLOOKUP(E860,Category!$D$2:$E$600,2,FALSE),"")</f>
        <v/>
      </c>
      <c r="G860" s="56"/>
      <c r="H860" s="56"/>
      <c r="I860" s="16" t="str">
        <f t="shared" si="54"/>
        <v/>
      </c>
      <c r="J860" s="45"/>
      <c r="K860" s="45"/>
      <c r="L860" s="45"/>
    </row>
    <row r="861" spans="1:12">
      <c r="A861" s="10" t="str">
        <f t="shared" si="55"/>
        <v/>
      </c>
      <c r="B861" s="45"/>
      <c r="C861" s="13" t="str">
        <f t="shared" si="52"/>
        <v/>
      </c>
      <c r="D861" s="13" t="str">
        <f t="shared" si="53"/>
        <v/>
      </c>
      <c r="E861" s="45"/>
      <c r="F861" s="11" t="str">
        <f>IFERROR(VLOOKUP(E861,Category!$D$2:$E$600,2,FALSE),"")</f>
        <v/>
      </c>
      <c r="G861" s="56"/>
      <c r="H861" s="56"/>
      <c r="I861" s="16" t="str">
        <f t="shared" si="54"/>
        <v/>
      </c>
      <c r="J861" s="45"/>
      <c r="K861" s="45"/>
      <c r="L861" s="45"/>
    </row>
    <row r="862" spans="1:12">
      <c r="A862" s="10" t="str">
        <f t="shared" si="55"/>
        <v/>
      </c>
      <c r="B862" s="45"/>
      <c r="C862" s="13" t="str">
        <f t="shared" si="52"/>
        <v/>
      </c>
      <c r="D862" s="13" t="str">
        <f t="shared" si="53"/>
        <v/>
      </c>
      <c r="E862" s="45"/>
      <c r="F862" s="11" t="str">
        <f>IFERROR(VLOOKUP(E862,Category!$D$2:$E$600,2,FALSE),"")</f>
        <v/>
      </c>
      <c r="G862" s="56"/>
      <c r="H862" s="56"/>
      <c r="I862" s="16" t="str">
        <f t="shared" si="54"/>
        <v/>
      </c>
      <c r="J862" s="45"/>
      <c r="K862" s="45"/>
      <c r="L862" s="45"/>
    </row>
    <row r="863" spans="1:12">
      <c r="A863" s="10" t="str">
        <f t="shared" si="55"/>
        <v/>
      </c>
      <c r="B863" s="45"/>
      <c r="C863" s="13" t="str">
        <f t="shared" si="52"/>
        <v/>
      </c>
      <c r="D863" s="13" t="str">
        <f t="shared" si="53"/>
        <v/>
      </c>
      <c r="E863" s="45"/>
      <c r="F863" s="11" t="str">
        <f>IFERROR(VLOOKUP(E863,Category!$D$2:$E$600,2,FALSE),"")</f>
        <v/>
      </c>
      <c r="G863" s="56"/>
      <c r="H863" s="56"/>
      <c r="I863" s="16" t="str">
        <f t="shared" si="54"/>
        <v/>
      </c>
      <c r="J863" s="45"/>
      <c r="K863" s="45"/>
      <c r="L863" s="45"/>
    </row>
    <row r="864" spans="1:12">
      <c r="A864" s="10" t="str">
        <f t="shared" si="55"/>
        <v/>
      </c>
      <c r="B864" s="45"/>
      <c r="C864" s="13" t="str">
        <f t="shared" si="52"/>
        <v/>
      </c>
      <c r="D864" s="13" t="str">
        <f t="shared" si="53"/>
        <v/>
      </c>
      <c r="E864" s="45"/>
      <c r="F864" s="11" t="str">
        <f>IFERROR(VLOOKUP(E864,Category!$D$2:$E$600,2,FALSE),"")</f>
        <v/>
      </c>
      <c r="G864" s="56"/>
      <c r="H864" s="56"/>
      <c r="I864" s="16" t="str">
        <f t="shared" si="54"/>
        <v/>
      </c>
      <c r="J864" s="45"/>
      <c r="K864" s="45"/>
      <c r="L864" s="45"/>
    </row>
    <row r="865" spans="1:12">
      <c r="A865" s="10" t="str">
        <f t="shared" si="55"/>
        <v/>
      </c>
      <c r="B865" s="45"/>
      <c r="C865" s="13" t="str">
        <f t="shared" si="52"/>
        <v/>
      </c>
      <c r="D865" s="13" t="str">
        <f t="shared" si="53"/>
        <v/>
      </c>
      <c r="E865" s="45"/>
      <c r="F865" s="11" t="str">
        <f>IFERROR(VLOOKUP(E865,Category!$D$2:$E$600,2,FALSE),"")</f>
        <v/>
      </c>
      <c r="G865" s="56"/>
      <c r="H865" s="56"/>
      <c r="I865" s="16" t="str">
        <f t="shared" si="54"/>
        <v/>
      </c>
      <c r="J865" s="45"/>
      <c r="K865" s="45"/>
      <c r="L865" s="45"/>
    </row>
    <row r="866" spans="1:12">
      <c r="A866" s="10" t="str">
        <f t="shared" si="55"/>
        <v/>
      </c>
      <c r="B866" s="45"/>
      <c r="C866" s="13" t="str">
        <f t="shared" si="52"/>
        <v/>
      </c>
      <c r="D866" s="13" t="str">
        <f t="shared" si="53"/>
        <v/>
      </c>
      <c r="E866" s="45"/>
      <c r="F866" s="11" t="str">
        <f>IFERROR(VLOOKUP(E866,Category!$D$2:$E$600,2,FALSE),"")</f>
        <v/>
      </c>
      <c r="G866" s="56"/>
      <c r="H866" s="56"/>
      <c r="I866" s="16" t="str">
        <f t="shared" si="54"/>
        <v/>
      </c>
      <c r="J866" s="45"/>
      <c r="K866" s="45"/>
      <c r="L866" s="45"/>
    </row>
    <row r="867" spans="1:12">
      <c r="A867" s="10" t="str">
        <f t="shared" si="55"/>
        <v/>
      </c>
      <c r="B867" s="45"/>
      <c r="C867" s="13" t="str">
        <f t="shared" si="52"/>
        <v/>
      </c>
      <c r="D867" s="13" t="str">
        <f t="shared" si="53"/>
        <v/>
      </c>
      <c r="E867" s="45"/>
      <c r="F867" s="11" t="str">
        <f>IFERROR(VLOOKUP(E867,Category!$D$2:$E$600,2,FALSE),"")</f>
        <v/>
      </c>
      <c r="G867" s="56"/>
      <c r="H867" s="56"/>
      <c r="I867" s="16" t="str">
        <f t="shared" si="54"/>
        <v/>
      </c>
      <c r="J867" s="45"/>
      <c r="K867" s="45"/>
      <c r="L867" s="45"/>
    </row>
    <row r="868" spans="1:12">
      <c r="A868" s="10" t="str">
        <f t="shared" si="55"/>
        <v/>
      </c>
      <c r="B868" s="45"/>
      <c r="C868" s="13" t="str">
        <f t="shared" si="52"/>
        <v/>
      </c>
      <c r="D868" s="13" t="str">
        <f t="shared" si="53"/>
        <v/>
      </c>
      <c r="E868" s="45"/>
      <c r="F868" s="11" t="str">
        <f>IFERROR(VLOOKUP(E868,Category!$D$2:$E$600,2,FALSE),"")</f>
        <v/>
      </c>
      <c r="G868" s="56"/>
      <c r="H868" s="56"/>
      <c r="I868" s="16" t="str">
        <f t="shared" si="54"/>
        <v/>
      </c>
      <c r="J868" s="45"/>
      <c r="K868" s="45"/>
      <c r="L868" s="45"/>
    </row>
    <row r="869" spans="1:12">
      <c r="A869" s="10" t="str">
        <f t="shared" si="55"/>
        <v/>
      </c>
      <c r="B869" s="45"/>
      <c r="C869" s="13" t="str">
        <f t="shared" si="52"/>
        <v/>
      </c>
      <c r="D869" s="13" t="str">
        <f t="shared" si="53"/>
        <v/>
      </c>
      <c r="E869" s="45"/>
      <c r="F869" s="11" t="str">
        <f>IFERROR(VLOOKUP(E869,Category!$D$2:$E$600,2,FALSE),"")</f>
        <v/>
      </c>
      <c r="G869" s="56"/>
      <c r="H869" s="56"/>
      <c r="I869" s="16" t="str">
        <f t="shared" si="54"/>
        <v/>
      </c>
      <c r="J869" s="45"/>
      <c r="K869" s="45"/>
      <c r="L869" s="45"/>
    </row>
    <row r="870" spans="1:12">
      <c r="A870" s="10" t="str">
        <f t="shared" si="55"/>
        <v/>
      </c>
      <c r="B870" s="45"/>
      <c r="C870" s="13" t="str">
        <f t="shared" si="52"/>
        <v/>
      </c>
      <c r="D870" s="13" t="str">
        <f t="shared" si="53"/>
        <v/>
      </c>
      <c r="E870" s="45"/>
      <c r="F870" s="11" t="str">
        <f>IFERROR(VLOOKUP(E870,Category!$D$2:$E$600,2,FALSE),"")</f>
        <v/>
      </c>
      <c r="G870" s="56"/>
      <c r="H870" s="56"/>
      <c r="I870" s="16" t="str">
        <f t="shared" si="54"/>
        <v/>
      </c>
      <c r="J870" s="45"/>
      <c r="K870" s="45"/>
      <c r="L870" s="45"/>
    </row>
    <row r="871" spans="1:12">
      <c r="A871" s="10" t="str">
        <f t="shared" si="55"/>
        <v/>
      </c>
      <c r="B871" s="45"/>
      <c r="C871" s="13" t="str">
        <f t="shared" si="52"/>
        <v/>
      </c>
      <c r="D871" s="13" t="str">
        <f t="shared" si="53"/>
        <v/>
      </c>
      <c r="E871" s="45"/>
      <c r="F871" s="11" t="str">
        <f>IFERROR(VLOOKUP(E871,Category!$D$2:$E$600,2,FALSE),"")</f>
        <v/>
      </c>
      <c r="G871" s="56"/>
      <c r="H871" s="56"/>
      <c r="I871" s="16" t="str">
        <f t="shared" si="54"/>
        <v/>
      </c>
      <c r="J871" s="45"/>
      <c r="K871" s="45"/>
      <c r="L871" s="45"/>
    </row>
    <row r="872" spans="1:12">
      <c r="A872" s="10" t="str">
        <f t="shared" si="55"/>
        <v/>
      </c>
      <c r="B872" s="45"/>
      <c r="C872" s="13" t="str">
        <f t="shared" si="52"/>
        <v/>
      </c>
      <c r="D872" s="13" t="str">
        <f t="shared" si="53"/>
        <v/>
      </c>
      <c r="E872" s="45"/>
      <c r="F872" s="11" t="str">
        <f>IFERROR(VLOOKUP(E872,Category!$D$2:$E$600,2,FALSE),"")</f>
        <v/>
      </c>
      <c r="G872" s="56"/>
      <c r="H872" s="56"/>
      <c r="I872" s="16" t="str">
        <f t="shared" si="54"/>
        <v/>
      </c>
      <c r="J872" s="45"/>
      <c r="K872" s="45"/>
      <c r="L872" s="45"/>
    </row>
    <row r="873" spans="1:12">
      <c r="A873" s="10" t="str">
        <f t="shared" si="55"/>
        <v/>
      </c>
      <c r="B873" s="45"/>
      <c r="C873" s="13" t="str">
        <f t="shared" si="52"/>
        <v/>
      </c>
      <c r="D873" s="13" t="str">
        <f t="shared" si="53"/>
        <v/>
      </c>
      <c r="E873" s="45"/>
      <c r="F873" s="11" t="str">
        <f>IFERROR(VLOOKUP(E873,Category!$D$2:$E$600,2,FALSE),"")</f>
        <v/>
      </c>
      <c r="G873" s="56"/>
      <c r="H873" s="56"/>
      <c r="I873" s="16" t="str">
        <f t="shared" si="54"/>
        <v/>
      </c>
      <c r="J873" s="45"/>
      <c r="K873" s="45"/>
      <c r="L873" s="45"/>
    </row>
    <row r="874" spans="1:12">
      <c r="A874" s="10" t="str">
        <f t="shared" si="55"/>
        <v/>
      </c>
      <c r="B874" s="45"/>
      <c r="C874" s="13" t="str">
        <f t="shared" si="52"/>
        <v/>
      </c>
      <c r="D874" s="13" t="str">
        <f t="shared" si="53"/>
        <v/>
      </c>
      <c r="E874" s="45"/>
      <c r="F874" s="11" t="str">
        <f>IFERROR(VLOOKUP(E874,Category!$D$2:$E$600,2,FALSE),"")</f>
        <v/>
      </c>
      <c r="G874" s="56"/>
      <c r="H874" s="56"/>
      <c r="I874" s="16" t="str">
        <f t="shared" si="54"/>
        <v/>
      </c>
      <c r="J874" s="45"/>
      <c r="K874" s="45"/>
      <c r="L874" s="45"/>
    </row>
    <row r="875" spans="1:12">
      <c r="A875" s="10" t="str">
        <f t="shared" si="55"/>
        <v/>
      </c>
      <c r="B875" s="45"/>
      <c r="C875" s="13" t="str">
        <f t="shared" si="52"/>
        <v/>
      </c>
      <c r="D875" s="13" t="str">
        <f t="shared" si="53"/>
        <v/>
      </c>
      <c r="E875" s="45"/>
      <c r="F875" s="11" t="str">
        <f>IFERROR(VLOOKUP(E875,Category!$D$2:$E$600,2,FALSE),"")</f>
        <v/>
      </c>
      <c r="G875" s="56"/>
      <c r="H875" s="56"/>
      <c r="I875" s="16" t="str">
        <f t="shared" si="54"/>
        <v/>
      </c>
      <c r="J875" s="45"/>
      <c r="K875" s="45"/>
      <c r="L875" s="45"/>
    </row>
    <row r="876" spans="1:12">
      <c r="A876" s="10" t="str">
        <f t="shared" si="55"/>
        <v/>
      </c>
      <c r="B876" s="45"/>
      <c r="C876" s="13" t="str">
        <f t="shared" si="52"/>
        <v/>
      </c>
      <c r="D876" s="13" t="str">
        <f t="shared" si="53"/>
        <v/>
      </c>
      <c r="E876" s="45"/>
      <c r="F876" s="11" t="str">
        <f>IFERROR(VLOOKUP(E876,Category!$D$2:$E$600,2,FALSE),"")</f>
        <v/>
      </c>
      <c r="G876" s="56"/>
      <c r="H876" s="56"/>
      <c r="I876" s="16" t="str">
        <f t="shared" si="54"/>
        <v/>
      </c>
      <c r="J876" s="45"/>
      <c r="K876" s="45"/>
      <c r="L876" s="45"/>
    </row>
    <row r="877" spans="1:12">
      <c r="A877" s="10" t="str">
        <f t="shared" si="55"/>
        <v/>
      </c>
      <c r="B877" s="45"/>
      <c r="C877" s="13" t="str">
        <f t="shared" si="52"/>
        <v/>
      </c>
      <c r="D877" s="13" t="str">
        <f t="shared" si="53"/>
        <v/>
      </c>
      <c r="E877" s="45"/>
      <c r="F877" s="11" t="str">
        <f>IFERROR(VLOOKUP(E877,Category!$D$2:$E$600,2,FALSE),"")</f>
        <v/>
      </c>
      <c r="G877" s="56"/>
      <c r="H877" s="56"/>
      <c r="I877" s="16" t="str">
        <f t="shared" si="54"/>
        <v/>
      </c>
      <c r="J877" s="45"/>
      <c r="K877" s="45"/>
      <c r="L877" s="45"/>
    </row>
    <row r="878" spans="1:12">
      <c r="A878" s="10" t="str">
        <f t="shared" si="55"/>
        <v/>
      </c>
      <c r="B878" s="45"/>
      <c r="C878" s="13" t="str">
        <f t="shared" si="52"/>
        <v/>
      </c>
      <c r="D878" s="13" t="str">
        <f t="shared" si="53"/>
        <v/>
      </c>
      <c r="E878" s="45"/>
      <c r="F878" s="11" t="str">
        <f>IFERROR(VLOOKUP(E878,Category!$D$2:$E$600,2,FALSE),"")</f>
        <v/>
      </c>
      <c r="G878" s="56"/>
      <c r="H878" s="56"/>
      <c r="I878" s="16" t="str">
        <f t="shared" si="54"/>
        <v/>
      </c>
      <c r="J878" s="45"/>
      <c r="K878" s="45"/>
      <c r="L878" s="45"/>
    </row>
    <row r="879" spans="1:12">
      <c r="A879" s="10" t="str">
        <f t="shared" si="55"/>
        <v/>
      </c>
      <c r="B879" s="45"/>
      <c r="C879" s="13" t="str">
        <f t="shared" si="52"/>
        <v/>
      </c>
      <c r="D879" s="13" t="str">
        <f t="shared" si="53"/>
        <v/>
      </c>
      <c r="E879" s="45"/>
      <c r="F879" s="11" t="str">
        <f>IFERROR(VLOOKUP(E879,Category!$D$2:$E$600,2,FALSE),"")</f>
        <v/>
      </c>
      <c r="G879" s="56"/>
      <c r="H879" s="56"/>
      <c r="I879" s="16" t="str">
        <f t="shared" si="54"/>
        <v/>
      </c>
      <c r="J879" s="45"/>
      <c r="K879" s="45"/>
      <c r="L879" s="45"/>
    </row>
    <row r="880" spans="1:12">
      <c r="A880" s="10" t="str">
        <f t="shared" si="55"/>
        <v/>
      </c>
      <c r="B880" s="45"/>
      <c r="C880" s="13" t="str">
        <f t="shared" si="52"/>
        <v/>
      </c>
      <c r="D880" s="13" t="str">
        <f t="shared" si="53"/>
        <v/>
      </c>
      <c r="E880" s="45"/>
      <c r="F880" s="11" t="str">
        <f>IFERROR(VLOOKUP(E880,Category!$D$2:$E$600,2,FALSE),"")</f>
        <v/>
      </c>
      <c r="G880" s="56"/>
      <c r="H880" s="56"/>
      <c r="I880" s="16" t="str">
        <f t="shared" si="54"/>
        <v/>
      </c>
      <c r="J880" s="45"/>
      <c r="K880" s="45"/>
      <c r="L880" s="45"/>
    </row>
    <row r="881" spans="1:12">
      <c r="A881" s="10" t="str">
        <f t="shared" si="55"/>
        <v/>
      </c>
      <c r="B881" s="45"/>
      <c r="C881" s="13" t="str">
        <f t="shared" si="52"/>
        <v/>
      </c>
      <c r="D881" s="13" t="str">
        <f t="shared" si="53"/>
        <v/>
      </c>
      <c r="E881" s="45"/>
      <c r="F881" s="11" t="str">
        <f>IFERROR(VLOOKUP(E881,Category!$D$2:$E$600,2,FALSE),"")</f>
        <v/>
      </c>
      <c r="G881" s="56"/>
      <c r="H881" s="56"/>
      <c r="I881" s="16" t="str">
        <f t="shared" si="54"/>
        <v/>
      </c>
      <c r="J881" s="45"/>
      <c r="K881" s="45"/>
      <c r="L881" s="45"/>
    </row>
    <row r="882" spans="1:12">
      <c r="A882" s="10" t="str">
        <f t="shared" si="55"/>
        <v/>
      </c>
      <c r="B882" s="45"/>
      <c r="C882" s="13" t="str">
        <f t="shared" si="52"/>
        <v/>
      </c>
      <c r="D882" s="13" t="str">
        <f t="shared" si="53"/>
        <v/>
      </c>
      <c r="E882" s="45"/>
      <c r="F882" s="11" t="str">
        <f>IFERROR(VLOOKUP(E882,Category!$D$2:$E$600,2,FALSE),"")</f>
        <v/>
      </c>
      <c r="G882" s="56"/>
      <c r="H882" s="56"/>
      <c r="I882" s="16" t="str">
        <f t="shared" si="54"/>
        <v/>
      </c>
      <c r="J882" s="45"/>
      <c r="K882" s="45"/>
      <c r="L882" s="45"/>
    </row>
    <row r="883" spans="1:12">
      <c r="A883" s="10" t="str">
        <f t="shared" si="55"/>
        <v/>
      </c>
      <c r="B883" s="45"/>
      <c r="C883" s="13" t="str">
        <f t="shared" si="52"/>
        <v/>
      </c>
      <c r="D883" s="13" t="str">
        <f t="shared" si="53"/>
        <v/>
      </c>
      <c r="E883" s="45"/>
      <c r="F883" s="11" t="str">
        <f>IFERROR(VLOOKUP(E883,Category!$D$2:$E$600,2,FALSE),"")</f>
        <v/>
      </c>
      <c r="G883" s="56"/>
      <c r="H883" s="56"/>
      <c r="I883" s="16" t="str">
        <f t="shared" si="54"/>
        <v/>
      </c>
      <c r="J883" s="45"/>
      <c r="K883" s="45"/>
      <c r="L883" s="45"/>
    </row>
    <row r="884" spans="1:12">
      <c r="A884" s="10" t="str">
        <f t="shared" si="55"/>
        <v/>
      </c>
      <c r="B884" s="45"/>
      <c r="C884" s="13" t="str">
        <f t="shared" si="52"/>
        <v/>
      </c>
      <c r="D884" s="13" t="str">
        <f t="shared" si="53"/>
        <v/>
      </c>
      <c r="E884" s="45"/>
      <c r="F884" s="11" t="str">
        <f>IFERROR(VLOOKUP(E884,Category!$D$2:$E$600,2,FALSE),"")</f>
        <v/>
      </c>
      <c r="G884" s="56"/>
      <c r="H884" s="56"/>
      <c r="I884" s="16" t="str">
        <f t="shared" si="54"/>
        <v/>
      </c>
      <c r="J884" s="45"/>
      <c r="K884" s="45"/>
      <c r="L884" s="45"/>
    </row>
    <row r="885" spans="1:12">
      <c r="A885" s="10" t="str">
        <f t="shared" si="55"/>
        <v/>
      </c>
      <c r="B885" s="45"/>
      <c r="C885" s="13" t="str">
        <f t="shared" si="52"/>
        <v/>
      </c>
      <c r="D885" s="13" t="str">
        <f t="shared" si="53"/>
        <v/>
      </c>
      <c r="E885" s="45"/>
      <c r="F885" s="11" t="str">
        <f>IFERROR(VLOOKUP(E885,Category!$D$2:$E$600,2,FALSE),"")</f>
        <v/>
      </c>
      <c r="G885" s="56"/>
      <c r="H885" s="56"/>
      <c r="I885" s="16" t="str">
        <f t="shared" si="54"/>
        <v/>
      </c>
      <c r="J885" s="45"/>
      <c r="K885" s="45"/>
      <c r="L885" s="45"/>
    </row>
    <row r="886" spans="1:12">
      <c r="A886" s="10" t="str">
        <f t="shared" si="55"/>
        <v/>
      </c>
      <c r="B886" s="45"/>
      <c r="C886" s="13" t="str">
        <f t="shared" si="52"/>
        <v/>
      </c>
      <c r="D886" s="13" t="str">
        <f t="shared" si="53"/>
        <v/>
      </c>
      <c r="E886" s="45"/>
      <c r="F886" s="11" t="str">
        <f>IFERROR(VLOOKUP(E886,Category!$D$2:$E$600,2,FALSE),"")</f>
        <v/>
      </c>
      <c r="G886" s="56"/>
      <c r="H886" s="56"/>
      <c r="I886" s="16" t="str">
        <f t="shared" si="54"/>
        <v/>
      </c>
      <c r="J886" s="45"/>
      <c r="K886" s="45"/>
      <c r="L886" s="45"/>
    </row>
    <row r="887" spans="1:12">
      <c r="A887" s="10" t="str">
        <f t="shared" si="55"/>
        <v/>
      </c>
      <c r="B887" s="45"/>
      <c r="C887" s="13" t="str">
        <f t="shared" si="52"/>
        <v/>
      </c>
      <c r="D887" s="13" t="str">
        <f t="shared" si="53"/>
        <v/>
      </c>
      <c r="E887" s="45"/>
      <c r="F887" s="11" t="str">
        <f>IFERROR(VLOOKUP(E887,Category!$D$2:$E$600,2,FALSE),"")</f>
        <v/>
      </c>
      <c r="G887" s="56"/>
      <c r="H887" s="56"/>
      <c r="I887" s="16" t="str">
        <f t="shared" si="54"/>
        <v/>
      </c>
      <c r="J887" s="45"/>
      <c r="K887" s="45"/>
      <c r="L887" s="45"/>
    </row>
    <row r="888" spans="1:12">
      <c r="A888" s="10" t="str">
        <f t="shared" si="55"/>
        <v/>
      </c>
      <c r="B888" s="45"/>
      <c r="C888" s="13" t="str">
        <f t="shared" si="52"/>
        <v/>
      </c>
      <c r="D888" s="13" t="str">
        <f t="shared" si="53"/>
        <v/>
      </c>
      <c r="E888" s="45"/>
      <c r="F888" s="11" t="str">
        <f>IFERROR(VLOOKUP(E888,Category!$D$2:$E$600,2,FALSE),"")</f>
        <v/>
      </c>
      <c r="G888" s="56"/>
      <c r="H888" s="56"/>
      <c r="I888" s="16" t="str">
        <f t="shared" si="54"/>
        <v/>
      </c>
      <c r="J888" s="45"/>
      <c r="K888" s="45"/>
      <c r="L888" s="45"/>
    </row>
    <row r="889" spans="1:12">
      <c r="A889" s="10" t="str">
        <f t="shared" si="55"/>
        <v/>
      </c>
      <c r="B889" s="45"/>
      <c r="C889" s="13" t="str">
        <f t="shared" si="52"/>
        <v/>
      </c>
      <c r="D889" s="13" t="str">
        <f t="shared" si="53"/>
        <v/>
      </c>
      <c r="E889" s="45"/>
      <c r="F889" s="11" t="str">
        <f>IFERROR(VLOOKUP(E889,Category!$D$2:$E$600,2,FALSE),"")</f>
        <v/>
      </c>
      <c r="G889" s="56"/>
      <c r="H889" s="56"/>
      <c r="I889" s="16" t="str">
        <f t="shared" si="54"/>
        <v/>
      </c>
      <c r="J889" s="45"/>
      <c r="K889" s="45"/>
      <c r="L889" s="45"/>
    </row>
    <row r="890" spans="1:12">
      <c r="A890" s="10" t="str">
        <f t="shared" si="55"/>
        <v/>
      </c>
      <c r="B890" s="45"/>
      <c r="C890" s="13" t="str">
        <f t="shared" si="52"/>
        <v/>
      </c>
      <c r="D890" s="13" t="str">
        <f t="shared" si="53"/>
        <v/>
      </c>
      <c r="E890" s="45"/>
      <c r="F890" s="11" t="str">
        <f>IFERROR(VLOOKUP(E890,Category!$D$2:$E$600,2,FALSE),"")</f>
        <v/>
      </c>
      <c r="G890" s="56"/>
      <c r="H890" s="56"/>
      <c r="I890" s="16" t="str">
        <f t="shared" si="54"/>
        <v/>
      </c>
      <c r="J890" s="45"/>
      <c r="K890" s="45"/>
      <c r="L890" s="45"/>
    </row>
    <row r="891" spans="1:12">
      <c r="A891" s="10" t="str">
        <f t="shared" si="55"/>
        <v/>
      </c>
      <c r="B891" s="45"/>
      <c r="C891" s="13" t="str">
        <f t="shared" si="52"/>
        <v/>
      </c>
      <c r="D891" s="13" t="str">
        <f t="shared" si="53"/>
        <v/>
      </c>
      <c r="E891" s="45"/>
      <c r="F891" s="11" t="str">
        <f>IFERROR(VLOOKUP(E891,Category!$D$2:$E$600,2,FALSE),"")</f>
        <v/>
      </c>
      <c r="G891" s="56"/>
      <c r="H891" s="56"/>
      <c r="I891" s="16" t="str">
        <f t="shared" si="54"/>
        <v/>
      </c>
      <c r="J891" s="45"/>
      <c r="K891" s="45"/>
      <c r="L891" s="45"/>
    </row>
    <row r="892" spans="1:12">
      <c r="A892" s="10" t="str">
        <f t="shared" si="55"/>
        <v/>
      </c>
      <c r="B892" s="45"/>
      <c r="C892" s="13" t="str">
        <f t="shared" si="52"/>
        <v/>
      </c>
      <c r="D892" s="13" t="str">
        <f t="shared" si="53"/>
        <v/>
      </c>
      <c r="E892" s="45"/>
      <c r="F892" s="11" t="str">
        <f>IFERROR(VLOOKUP(E892,Category!$D$2:$E$600,2,FALSE),"")</f>
        <v/>
      </c>
      <c r="G892" s="56"/>
      <c r="H892" s="56"/>
      <c r="I892" s="16" t="str">
        <f t="shared" si="54"/>
        <v/>
      </c>
      <c r="J892" s="45"/>
      <c r="K892" s="45"/>
      <c r="L892" s="45"/>
    </row>
    <row r="893" spans="1:12">
      <c r="A893" s="10" t="str">
        <f t="shared" si="55"/>
        <v/>
      </c>
      <c r="B893" s="45"/>
      <c r="C893" s="13" t="str">
        <f t="shared" si="52"/>
        <v/>
      </c>
      <c r="D893" s="13" t="str">
        <f t="shared" si="53"/>
        <v/>
      </c>
      <c r="E893" s="45"/>
      <c r="F893" s="11" t="str">
        <f>IFERROR(VLOOKUP(E893,Category!$D$2:$E$600,2,FALSE),"")</f>
        <v/>
      </c>
      <c r="G893" s="56"/>
      <c r="H893" s="56"/>
      <c r="I893" s="16" t="str">
        <f t="shared" si="54"/>
        <v/>
      </c>
      <c r="J893" s="45"/>
      <c r="K893" s="45"/>
      <c r="L893" s="45"/>
    </row>
    <row r="894" spans="1:12">
      <c r="A894" s="10" t="str">
        <f t="shared" si="55"/>
        <v/>
      </c>
      <c r="B894" s="45"/>
      <c r="C894" s="13" t="str">
        <f t="shared" si="52"/>
        <v/>
      </c>
      <c r="D894" s="13" t="str">
        <f t="shared" si="53"/>
        <v/>
      </c>
      <c r="E894" s="45"/>
      <c r="F894" s="11" t="str">
        <f>IFERROR(VLOOKUP(E894,Category!$D$2:$E$600,2,FALSE),"")</f>
        <v/>
      </c>
      <c r="G894" s="56"/>
      <c r="H894" s="56"/>
      <c r="I894" s="16" t="str">
        <f t="shared" si="54"/>
        <v/>
      </c>
      <c r="J894" s="45"/>
      <c r="K894" s="45"/>
      <c r="L894" s="45"/>
    </row>
    <row r="895" spans="1:12">
      <c r="A895" s="10" t="str">
        <f t="shared" si="55"/>
        <v/>
      </c>
      <c r="B895" s="45"/>
      <c r="C895" s="13" t="str">
        <f t="shared" si="52"/>
        <v/>
      </c>
      <c r="D895" s="13" t="str">
        <f t="shared" si="53"/>
        <v/>
      </c>
      <c r="E895" s="45"/>
      <c r="F895" s="11" t="str">
        <f>IFERROR(VLOOKUP(E895,Category!$D$2:$E$600,2,FALSE),"")</f>
        <v/>
      </c>
      <c r="G895" s="56"/>
      <c r="H895" s="56"/>
      <c r="I895" s="16" t="str">
        <f t="shared" si="54"/>
        <v/>
      </c>
      <c r="J895" s="45"/>
      <c r="K895" s="45"/>
      <c r="L895" s="45"/>
    </row>
    <row r="896" spans="1:12">
      <c r="A896" s="10" t="str">
        <f t="shared" si="55"/>
        <v/>
      </c>
      <c r="B896" s="45"/>
      <c r="C896" s="13" t="str">
        <f t="shared" si="52"/>
        <v/>
      </c>
      <c r="D896" s="13" t="str">
        <f t="shared" si="53"/>
        <v/>
      </c>
      <c r="E896" s="45"/>
      <c r="F896" s="11" t="str">
        <f>IFERROR(VLOOKUP(E896,Category!$D$2:$E$600,2,FALSE),"")</f>
        <v/>
      </c>
      <c r="G896" s="56"/>
      <c r="H896" s="56"/>
      <c r="I896" s="16" t="str">
        <f t="shared" si="54"/>
        <v/>
      </c>
      <c r="J896" s="45"/>
      <c r="K896" s="45"/>
      <c r="L896" s="45"/>
    </row>
    <row r="897" spans="1:12">
      <c r="A897" s="10" t="str">
        <f t="shared" si="55"/>
        <v/>
      </c>
      <c r="B897" s="45"/>
      <c r="C897" s="13" t="str">
        <f t="shared" si="52"/>
        <v/>
      </c>
      <c r="D897" s="13" t="str">
        <f t="shared" si="53"/>
        <v/>
      </c>
      <c r="E897" s="45"/>
      <c r="F897" s="11" t="str">
        <f>IFERROR(VLOOKUP(E897,Category!$D$2:$E$600,2,FALSE),"")</f>
        <v/>
      </c>
      <c r="G897" s="56"/>
      <c r="H897" s="56"/>
      <c r="I897" s="16" t="str">
        <f t="shared" si="54"/>
        <v/>
      </c>
      <c r="J897" s="45"/>
      <c r="K897" s="45"/>
      <c r="L897" s="45"/>
    </row>
    <row r="898" spans="1:12">
      <c r="A898" s="10" t="str">
        <f t="shared" si="55"/>
        <v/>
      </c>
      <c r="B898" s="45"/>
      <c r="C898" s="13" t="str">
        <f t="shared" si="52"/>
        <v/>
      </c>
      <c r="D898" s="13" t="str">
        <f t="shared" si="53"/>
        <v/>
      </c>
      <c r="E898" s="45"/>
      <c r="F898" s="11" t="str">
        <f>IFERROR(VLOOKUP(E898,Category!$D$2:$E$600,2,FALSE),"")</f>
        <v/>
      </c>
      <c r="G898" s="56"/>
      <c r="H898" s="56"/>
      <c r="I898" s="16" t="str">
        <f t="shared" si="54"/>
        <v/>
      </c>
      <c r="J898" s="45"/>
      <c r="K898" s="45"/>
      <c r="L898" s="45"/>
    </row>
    <row r="899" spans="1:12">
      <c r="A899" s="10" t="str">
        <f t="shared" si="55"/>
        <v/>
      </c>
      <c r="B899" s="45"/>
      <c r="C899" s="13" t="str">
        <f t="shared" ref="C899:C962" si="56">IF(B899=0,"",TEXT(B899,"mmmm"))</f>
        <v/>
      </c>
      <c r="D899" s="13" t="str">
        <f t="shared" ref="D899:D962" si="57">IF(B899=0,"",TEXT(B899,"yyyy"))</f>
        <v/>
      </c>
      <c r="E899" s="45"/>
      <c r="F899" s="11" t="str">
        <f>IFERROR(VLOOKUP(E899,Category!$D$2:$E$600,2,FALSE),"")</f>
        <v/>
      </c>
      <c r="G899" s="56"/>
      <c r="H899" s="56"/>
      <c r="I899" s="16" t="str">
        <f t="shared" ref="I899:I962" si="58">IF(H899*G899=0,"",H899*G899)</f>
        <v/>
      </c>
      <c r="J899" s="45"/>
      <c r="K899" s="45"/>
      <c r="L899" s="45"/>
    </row>
    <row r="900" spans="1:12">
      <c r="A900" s="10" t="str">
        <f t="shared" ref="A900:A963" si="59">IF(E900&gt;0,A899+1,"")</f>
        <v/>
      </c>
      <c r="B900" s="45"/>
      <c r="C900" s="13" t="str">
        <f t="shared" si="56"/>
        <v/>
      </c>
      <c r="D900" s="13" t="str">
        <f t="shared" si="57"/>
        <v/>
      </c>
      <c r="E900" s="45"/>
      <c r="F900" s="11" t="str">
        <f>IFERROR(VLOOKUP(E900,Category!$D$2:$E$600,2,FALSE),"")</f>
        <v/>
      </c>
      <c r="G900" s="56"/>
      <c r="H900" s="56"/>
      <c r="I900" s="16" t="str">
        <f t="shared" si="58"/>
        <v/>
      </c>
      <c r="J900" s="45"/>
      <c r="K900" s="45"/>
      <c r="L900" s="45"/>
    </row>
    <row r="901" spans="1:12">
      <c r="A901" s="10" t="str">
        <f t="shared" si="59"/>
        <v/>
      </c>
      <c r="B901" s="45"/>
      <c r="C901" s="13" t="str">
        <f t="shared" si="56"/>
        <v/>
      </c>
      <c r="D901" s="13" t="str">
        <f t="shared" si="57"/>
        <v/>
      </c>
      <c r="E901" s="45"/>
      <c r="F901" s="11" t="str">
        <f>IFERROR(VLOOKUP(E901,Category!$D$2:$E$600,2,FALSE),"")</f>
        <v/>
      </c>
      <c r="G901" s="56"/>
      <c r="H901" s="56"/>
      <c r="I901" s="16" t="str">
        <f t="shared" si="58"/>
        <v/>
      </c>
      <c r="J901" s="45"/>
      <c r="K901" s="45"/>
      <c r="L901" s="45"/>
    </row>
    <row r="902" spans="1:12">
      <c r="A902" s="10" t="str">
        <f t="shared" si="59"/>
        <v/>
      </c>
      <c r="B902" s="45"/>
      <c r="C902" s="13" t="str">
        <f t="shared" si="56"/>
        <v/>
      </c>
      <c r="D902" s="13" t="str">
        <f t="shared" si="57"/>
        <v/>
      </c>
      <c r="E902" s="45"/>
      <c r="F902" s="11" t="str">
        <f>IFERROR(VLOOKUP(E902,Category!$D$2:$E$600,2,FALSE),"")</f>
        <v/>
      </c>
      <c r="G902" s="56"/>
      <c r="H902" s="56"/>
      <c r="I902" s="16" t="str">
        <f t="shared" si="58"/>
        <v/>
      </c>
      <c r="J902" s="45"/>
      <c r="K902" s="45"/>
      <c r="L902" s="45"/>
    </row>
    <row r="903" spans="1:12">
      <c r="A903" s="10" t="str">
        <f t="shared" si="59"/>
        <v/>
      </c>
      <c r="B903" s="45"/>
      <c r="C903" s="13" t="str">
        <f t="shared" si="56"/>
        <v/>
      </c>
      <c r="D903" s="13" t="str">
        <f t="shared" si="57"/>
        <v/>
      </c>
      <c r="E903" s="45"/>
      <c r="F903" s="11" t="str">
        <f>IFERROR(VLOOKUP(E903,Category!$D$2:$E$600,2,FALSE),"")</f>
        <v/>
      </c>
      <c r="G903" s="56"/>
      <c r="H903" s="56"/>
      <c r="I903" s="16" t="str">
        <f t="shared" si="58"/>
        <v/>
      </c>
      <c r="J903" s="45"/>
      <c r="K903" s="45"/>
      <c r="L903" s="45"/>
    </row>
    <row r="904" spans="1:12">
      <c r="A904" s="10" t="str">
        <f t="shared" si="59"/>
        <v/>
      </c>
      <c r="B904" s="45"/>
      <c r="C904" s="13" t="str">
        <f t="shared" si="56"/>
        <v/>
      </c>
      <c r="D904" s="13" t="str">
        <f t="shared" si="57"/>
        <v/>
      </c>
      <c r="E904" s="45"/>
      <c r="F904" s="11" t="str">
        <f>IFERROR(VLOOKUP(E904,Category!$D$2:$E$600,2,FALSE),"")</f>
        <v/>
      </c>
      <c r="G904" s="56"/>
      <c r="H904" s="56"/>
      <c r="I904" s="16" t="str">
        <f t="shared" si="58"/>
        <v/>
      </c>
      <c r="J904" s="45"/>
      <c r="K904" s="45"/>
      <c r="L904" s="45"/>
    </row>
    <row r="905" spans="1:12">
      <c r="A905" s="10" t="str">
        <f t="shared" si="59"/>
        <v/>
      </c>
      <c r="B905" s="45"/>
      <c r="C905" s="13" t="str">
        <f t="shared" si="56"/>
        <v/>
      </c>
      <c r="D905" s="13" t="str">
        <f t="shared" si="57"/>
        <v/>
      </c>
      <c r="E905" s="45"/>
      <c r="F905" s="11" t="str">
        <f>IFERROR(VLOOKUP(E905,Category!$D$2:$E$600,2,FALSE),"")</f>
        <v/>
      </c>
      <c r="G905" s="56"/>
      <c r="H905" s="56"/>
      <c r="I905" s="16" t="str">
        <f t="shared" si="58"/>
        <v/>
      </c>
      <c r="J905" s="45"/>
      <c r="K905" s="45"/>
      <c r="L905" s="45"/>
    </row>
    <row r="906" spans="1:12">
      <c r="A906" s="10" t="str">
        <f t="shared" si="59"/>
        <v/>
      </c>
      <c r="B906" s="45"/>
      <c r="C906" s="13" t="str">
        <f t="shared" si="56"/>
        <v/>
      </c>
      <c r="D906" s="13" t="str">
        <f t="shared" si="57"/>
        <v/>
      </c>
      <c r="E906" s="45"/>
      <c r="F906" s="11" t="str">
        <f>IFERROR(VLOOKUP(E906,Category!$D$2:$E$600,2,FALSE),"")</f>
        <v/>
      </c>
      <c r="G906" s="56"/>
      <c r="H906" s="56"/>
      <c r="I906" s="16" t="str">
        <f t="shared" si="58"/>
        <v/>
      </c>
      <c r="J906" s="45"/>
      <c r="K906" s="45"/>
      <c r="L906" s="45"/>
    </row>
    <row r="907" spans="1:12">
      <c r="A907" s="10" t="str">
        <f t="shared" si="59"/>
        <v/>
      </c>
      <c r="B907" s="45"/>
      <c r="C907" s="13" t="str">
        <f t="shared" si="56"/>
        <v/>
      </c>
      <c r="D907" s="13" t="str">
        <f t="shared" si="57"/>
        <v/>
      </c>
      <c r="E907" s="45"/>
      <c r="F907" s="11" t="str">
        <f>IFERROR(VLOOKUP(E907,Category!$D$2:$E$600,2,FALSE),"")</f>
        <v/>
      </c>
      <c r="G907" s="56"/>
      <c r="H907" s="56"/>
      <c r="I907" s="16" t="str">
        <f t="shared" si="58"/>
        <v/>
      </c>
      <c r="J907" s="45"/>
      <c r="K907" s="45"/>
      <c r="L907" s="45"/>
    </row>
    <row r="908" spans="1:12">
      <c r="A908" s="10" t="str">
        <f t="shared" si="59"/>
        <v/>
      </c>
      <c r="B908" s="45"/>
      <c r="C908" s="13" t="str">
        <f t="shared" si="56"/>
        <v/>
      </c>
      <c r="D908" s="13" t="str">
        <f t="shared" si="57"/>
        <v/>
      </c>
      <c r="E908" s="45"/>
      <c r="F908" s="11" t="str">
        <f>IFERROR(VLOOKUP(E908,Category!$D$2:$E$600,2,FALSE),"")</f>
        <v/>
      </c>
      <c r="G908" s="56"/>
      <c r="H908" s="56"/>
      <c r="I908" s="16" t="str">
        <f t="shared" si="58"/>
        <v/>
      </c>
      <c r="J908" s="45"/>
      <c r="K908" s="45"/>
      <c r="L908" s="45"/>
    </row>
    <row r="909" spans="1:12">
      <c r="A909" s="10" t="str">
        <f t="shared" si="59"/>
        <v/>
      </c>
      <c r="B909" s="45"/>
      <c r="C909" s="13" t="str">
        <f t="shared" si="56"/>
        <v/>
      </c>
      <c r="D909" s="13" t="str">
        <f t="shared" si="57"/>
        <v/>
      </c>
      <c r="E909" s="45"/>
      <c r="F909" s="11" t="str">
        <f>IFERROR(VLOOKUP(E909,Category!$D$2:$E$600,2,FALSE),"")</f>
        <v/>
      </c>
      <c r="G909" s="56"/>
      <c r="H909" s="56"/>
      <c r="I909" s="16" t="str">
        <f t="shared" si="58"/>
        <v/>
      </c>
      <c r="J909" s="45"/>
      <c r="K909" s="45"/>
      <c r="L909" s="45"/>
    </row>
    <row r="910" spans="1:12">
      <c r="A910" s="10" t="str">
        <f t="shared" si="59"/>
        <v/>
      </c>
      <c r="B910" s="45"/>
      <c r="C910" s="13" t="str">
        <f t="shared" si="56"/>
        <v/>
      </c>
      <c r="D910" s="13" t="str">
        <f t="shared" si="57"/>
        <v/>
      </c>
      <c r="E910" s="45"/>
      <c r="F910" s="11" t="str">
        <f>IFERROR(VLOOKUP(E910,Category!$D$2:$E$600,2,FALSE),"")</f>
        <v/>
      </c>
      <c r="G910" s="56"/>
      <c r="H910" s="56"/>
      <c r="I910" s="16" t="str">
        <f t="shared" si="58"/>
        <v/>
      </c>
      <c r="J910" s="45"/>
      <c r="K910" s="45"/>
      <c r="L910" s="45"/>
    </row>
    <row r="911" spans="1:12">
      <c r="A911" s="10" t="str">
        <f t="shared" si="59"/>
        <v/>
      </c>
      <c r="B911" s="45"/>
      <c r="C911" s="13" t="str">
        <f t="shared" si="56"/>
        <v/>
      </c>
      <c r="D911" s="13" t="str">
        <f t="shared" si="57"/>
        <v/>
      </c>
      <c r="E911" s="45"/>
      <c r="F911" s="11" t="str">
        <f>IFERROR(VLOOKUP(E911,Category!$D$2:$E$600,2,FALSE),"")</f>
        <v/>
      </c>
      <c r="G911" s="56"/>
      <c r="H911" s="56"/>
      <c r="I911" s="16" t="str">
        <f t="shared" si="58"/>
        <v/>
      </c>
      <c r="J911" s="45"/>
      <c r="K911" s="45"/>
      <c r="L911" s="45"/>
    </row>
    <row r="912" spans="1:12">
      <c r="A912" s="10" t="str">
        <f t="shared" si="59"/>
        <v/>
      </c>
      <c r="B912" s="45"/>
      <c r="C912" s="13" t="str">
        <f t="shared" si="56"/>
        <v/>
      </c>
      <c r="D912" s="13" t="str">
        <f t="shared" si="57"/>
        <v/>
      </c>
      <c r="E912" s="45"/>
      <c r="F912" s="11" t="str">
        <f>IFERROR(VLOOKUP(E912,Category!$D$2:$E$600,2,FALSE),"")</f>
        <v/>
      </c>
      <c r="G912" s="56"/>
      <c r="H912" s="56"/>
      <c r="I912" s="16" t="str">
        <f t="shared" si="58"/>
        <v/>
      </c>
      <c r="J912" s="45"/>
      <c r="K912" s="45"/>
      <c r="L912" s="45"/>
    </row>
    <row r="913" spans="1:12">
      <c r="A913" s="10" t="str">
        <f t="shared" si="59"/>
        <v/>
      </c>
      <c r="B913" s="45"/>
      <c r="C913" s="13" t="str">
        <f t="shared" si="56"/>
        <v/>
      </c>
      <c r="D913" s="13" t="str">
        <f t="shared" si="57"/>
        <v/>
      </c>
      <c r="E913" s="45"/>
      <c r="F913" s="11" t="str">
        <f>IFERROR(VLOOKUP(E913,Category!$D$2:$E$600,2,FALSE),"")</f>
        <v/>
      </c>
      <c r="G913" s="56"/>
      <c r="H913" s="56"/>
      <c r="I913" s="16" t="str">
        <f t="shared" si="58"/>
        <v/>
      </c>
      <c r="J913" s="45"/>
      <c r="K913" s="45"/>
      <c r="L913" s="45"/>
    </row>
    <row r="914" spans="1:12">
      <c r="A914" s="10" t="str">
        <f t="shared" si="59"/>
        <v/>
      </c>
      <c r="B914" s="45"/>
      <c r="C914" s="13" t="str">
        <f t="shared" si="56"/>
        <v/>
      </c>
      <c r="D914" s="13" t="str">
        <f t="shared" si="57"/>
        <v/>
      </c>
      <c r="E914" s="45"/>
      <c r="F914" s="11" t="str">
        <f>IFERROR(VLOOKUP(E914,Category!$D$2:$E$600,2,FALSE),"")</f>
        <v/>
      </c>
      <c r="G914" s="56"/>
      <c r="H914" s="56"/>
      <c r="I914" s="16" t="str">
        <f t="shared" si="58"/>
        <v/>
      </c>
      <c r="J914" s="45"/>
      <c r="K914" s="45"/>
      <c r="L914" s="45"/>
    </row>
    <row r="915" spans="1:12">
      <c r="A915" s="10" t="str">
        <f t="shared" si="59"/>
        <v/>
      </c>
      <c r="B915" s="45"/>
      <c r="C915" s="13" t="str">
        <f t="shared" si="56"/>
        <v/>
      </c>
      <c r="D915" s="13" t="str">
        <f t="shared" si="57"/>
        <v/>
      </c>
      <c r="E915" s="45"/>
      <c r="F915" s="11" t="str">
        <f>IFERROR(VLOOKUP(E915,Category!$D$2:$E$600,2,FALSE),"")</f>
        <v/>
      </c>
      <c r="G915" s="56"/>
      <c r="H915" s="56"/>
      <c r="I915" s="16" t="str">
        <f t="shared" si="58"/>
        <v/>
      </c>
      <c r="J915" s="45"/>
      <c r="K915" s="45"/>
      <c r="L915" s="45"/>
    </row>
    <row r="916" spans="1:12">
      <c r="A916" s="10" t="str">
        <f t="shared" si="59"/>
        <v/>
      </c>
      <c r="B916" s="45"/>
      <c r="C916" s="13" t="str">
        <f t="shared" si="56"/>
        <v/>
      </c>
      <c r="D916" s="13" t="str">
        <f t="shared" si="57"/>
        <v/>
      </c>
      <c r="E916" s="45"/>
      <c r="F916" s="11" t="str">
        <f>IFERROR(VLOOKUP(E916,Category!$D$2:$E$600,2,FALSE),"")</f>
        <v/>
      </c>
      <c r="G916" s="56"/>
      <c r="H916" s="56"/>
      <c r="I916" s="16" t="str">
        <f t="shared" si="58"/>
        <v/>
      </c>
      <c r="J916" s="45"/>
      <c r="K916" s="45"/>
      <c r="L916" s="45"/>
    </row>
    <row r="917" spans="1:12">
      <c r="A917" s="10" t="str">
        <f t="shared" si="59"/>
        <v/>
      </c>
      <c r="B917" s="45"/>
      <c r="C917" s="13" t="str">
        <f t="shared" si="56"/>
        <v/>
      </c>
      <c r="D917" s="13" t="str">
        <f t="shared" si="57"/>
        <v/>
      </c>
      <c r="E917" s="45"/>
      <c r="F917" s="11" t="str">
        <f>IFERROR(VLOOKUP(E917,Category!$D$2:$E$600,2,FALSE),"")</f>
        <v/>
      </c>
      <c r="G917" s="56"/>
      <c r="H917" s="56"/>
      <c r="I917" s="16" t="str">
        <f t="shared" si="58"/>
        <v/>
      </c>
      <c r="J917" s="45"/>
      <c r="K917" s="45"/>
      <c r="L917" s="45"/>
    </row>
    <row r="918" spans="1:12">
      <c r="A918" s="10" t="str">
        <f t="shared" si="59"/>
        <v/>
      </c>
      <c r="B918" s="45"/>
      <c r="C918" s="13" t="str">
        <f t="shared" si="56"/>
        <v/>
      </c>
      <c r="D918" s="13" t="str">
        <f t="shared" si="57"/>
        <v/>
      </c>
      <c r="E918" s="45"/>
      <c r="F918" s="11" t="str">
        <f>IFERROR(VLOOKUP(E918,Category!$D$2:$E$600,2,FALSE),"")</f>
        <v/>
      </c>
      <c r="G918" s="56"/>
      <c r="H918" s="56"/>
      <c r="I918" s="16" t="str">
        <f t="shared" si="58"/>
        <v/>
      </c>
      <c r="J918" s="45"/>
      <c r="K918" s="45"/>
      <c r="L918" s="45"/>
    </row>
    <row r="919" spans="1:12">
      <c r="A919" s="10" t="str">
        <f t="shared" si="59"/>
        <v/>
      </c>
      <c r="B919" s="45"/>
      <c r="C919" s="13" t="str">
        <f t="shared" si="56"/>
        <v/>
      </c>
      <c r="D919" s="13" t="str">
        <f t="shared" si="57"/>
        <v/>
      </c>
      <c r="E919" s="45"/>
      <c r="F919" s="11" t="str">
        <f>IFERROR(VLOOKUP(E919,Category!$D$2:$E$600,2,FALSE),"")</f>
        <v/>
      </c>
      <c r="G919" s="56"/>
      <c r="H919" s="56"/>
      <c r="I919" s="16" t="str">
        <f t="shared" si="58"/>
        <v/>
      </c>
      <c r="J919" s="45"/>
      <c r="K919" s="45"/>
      <c r="L919" s="45"/>
    </row>
    <row r="920" spans="1:12">
      <c r="A920" s="10" t="str">
        <f t="shared" si="59"/>
        <v/>
      </c>
      <c r="B920" s="45"/>
      <c r="C920" s="13" t="str">
        <f t="shared" si="56"/>
        <v/>
      </c>
      <c r="D920" s="13" t="str">
        <f t="shared" si="57"/>
        <v/>
      </c>
      <c r="E920" s="45"/>
      <c r="F920" s="11" t="str">
        <f>IFERROR(VLOOKUP(E920,Category!$D$2:$E$600,2,FALSE),"")</f>
        <v/>
      </c>
      <c r="G920" s="56"/>
      <c r="H920" s="56"/>
      <c r="I920" s="16" t="str">
        <f t="shared" si="58"/>
        <v/>
      </c>
      <c r="J920" s="45"/>
      <c r="K920" s="45"/>
      <c r="L920" s="45"/>
    </row>
    <row r="921" spans="1:12">
      <c r="A921" s="10" t="str">
        <f t="shared" si="59"/>
        <v/>
      </c>
      <c r="B921" s="45"/>
      <c r="C921" s="13" t="str">
        <f t="shared" si="56"/>
        <v/>
      </c>
      <c r="D921" s="13" t="str">
        <f t="shared" si="57"/>
        <v/>
      </c>
      <c r="E921" s="45"/>
      <c r="F921" s="11" t="str">
        <f>IFERROR(VLOOKUP(E921,Category!$D$2:$E$600,2,FALSE),"")</f>
        <v/>
      </c>
      <c r="G921" s="56"/>
      <c r="H921" s="56"/>
      <c r="I921" s="16" t="str">
        <f t="shared" si="58"/>
        <v/>
      </c>
      <c r="J921" s="45"/>
      <c r="K921" s="45"/>
      <c r="L921" s="45"/>
    </row>
    <row r="922" spans="1:12">
      <c r="A922" s="10" t="str">
        <f t="shared" si="59"/>
        <v/>
      </c>
      <c r="B922" s="45"/>
      <c r="C922" s="13" t="str">
        <f t="shared" si="56"/>
        <v/>
      </c>
      <c r="D922" s="13" t="str">
        <f t="shared" si="57"/>
        <v/>
      </c>
      <c r="E922" s="45"/>
      <c r="F922" s="11" t="str">
        <f>IFERROR(VLOOKUP(E922,Category!$D$2:$E$600,2,FALSE),"")</f>
        <v/>
      </c>
      <c r="G922" s="56"/>
      <c r="H922" s="56"/>
      <c r="I922" s="16" t="str">
        <f t="shared" si="58"/>
        <v/>
      </c>
      <c r="J922" s="45"/>
      <c r="K922" s="45"/>
      <c r="L922" s="45"/>
    </row>
    <row r="923" spans="1:12">
      <c r="A923" s="10" t="str">
        <f t="shared" si="59"/>
        <v/>
      </c>
      <c r="B923" s="45"/>
      <c r="C923" s="13" t="str">
        <f t="shared" si="56"/>
        <v/>
      </c>
      <c r="D923" s="13" t="str">
        <f t="shared" si="57"/>
        <v/>
      </c>
      <c r="E923" s="45"/>
      <c r="F923" s="11" t="str">
        <f>IFERROR(VLOOKUP(E923,Category!$D$2:$E$600,2,FALSE),"")</f>
        <v/>
      </c>
      <c r="G923" s="56"/>
      <c r="H923" s="56"/>
      <c r="I923" s="16" t="str">
        <f t="shared" si="58"/>
        <v/>
      </c>
      <c r="J923" s="45"/>
      <c r="K923" s="45"/>
      <c r="L923" s="45"/>
    </row>
    <row r="924" spans="1:12">
      <c r="A924" s="10" t="str">
        <f t="shared" si="59"/>
        <v/>
      </c>
      <c r="B924" s="45"/>
      <c r="C924" s="13" t="str">
        <f t="shared" si="56"/>
        <v/>
      </c>
      <c r="D924" s="13" t="str">
        <f t="shared" si="57"/>
        <v/>
      </c>
      <c r="E924" s="45"/>
      <c r="F924" s="11" t="str">
        <f>IFERROR(VLOOKUP(E924,Category!$D$2:$E$600,2,FALSE),"")</f>
        <v/>
      </c>
      <c r="G924" s="56"/>
      <c r="H924" s="56"/>
      <c r="I924" s="16" t="str">
        <f t="shared" si="58"/>
        <v/>
      </c>
      <c r="J924" s="45"/>
      <c r="K924" s="45"/>
      <c r="L924" s="45"/>
    </row>
    <row r="925" spans="1:12">
      <c r="A925" s="10" t="str">
        <f t="shared" si="59"/>
        <v/>
      </c>
      <c r="B925" s="45"/>
      <c r="C925" s="13" t="str">
        <f t="shared" si="56"/>
        <v/>
      </c>
      <c r="D925" s="13" t="str">
        <f t="shared" si="57"/>
        <v/>
      </c>
      <c r="E925" s="45"/>
      <c r="F925" s="11" t="str">
        <f>IFERROR(VLOOKUP(E925,Category!$D$2:$E$600,2,FALSE),"")</f>
        <v/>
      </c>
      <c r="G925" s="56"/>
      <c r="H925" s="56"/>
      <c r="I925" s="16" t="str">
        <f t="shared" si="58"/>
        <v/>
      </c>
      <c r="J925" s="45"/>
      <c r="K925" s="45"/>
      <c r="L925" s="45"/>
    </row>
    <row r="926" spans="1:12">
      <c r="A926" s="10" t="str">
        <f t="shared" si="59"/>
        <v/>
      </c>
      <c r="B926" s="45"/>
      <c r="C926" s="13" t="str">
        <f t="shared" si="56"/>
        <v/>
      </c>
      <c r="D926" s="13" t="str">
        <f t="shared" si="57"/>
        <v/>
      </c>
      <c r="E926" s="45"/>
      <c r="F926" s="11" t="str">
        <f>IFERROR(VLOOKUP(E926,Category!$D$2:$E$600,2,FALSE),"")</f>
        <v/>
      </c>
      <c r="G926" s="56"/>
      <c r="H926" s="56"/>
      <c r="I926" s="16" t="str">
        <f t="shared" si="58"/>
        <v/>
      </c>
      <c r="J926" s="45"/>
      <c r="K926" s="45"/>
      <c r="L926" s="45"/>
    </row>
    <row r="927" spans="1:12">
      <c r="A927" s="10" t="str">
        <f t="shared" si="59"/>
        <v/>
      </c>
      <c r="B927" s="45"/>
      <c r="C927" s="13" t="str">
        <f t="shared" si="56"/>
        <v/>
      </c>
      <c r="D927" s="13" t="str">
        <f t="shared" si="57"/>
        <v/>
      </c>
      <c r="E927" s="45"/>
      <c r="F927" s="11" t="str">
        <f>IFERROR(VLOOKUP(E927,Category!$D$2:$E$600,2,FALSE),"")</f>
        <v/>
      </c>
      <c r="G927" s="56"/>
      <c r="H927" s="56"/>
      <c r="I927" s="16" t="str">
        <f t="shared" si="58"/>
        <v/>
      </c>
      <c r="J927" s="45"/>
      <c r="K927" s="45"/>
      <c r="L927" s="45"/>
    </row>
    <row r="928" spans="1:12">
      <c r="A928" s="10" t="str">
        <f t="shared" si="59"/>
        <v/>
      </c>
      <c r="B928" s="45"/>
      <c r="C928" s="13" t="str">
        <f t="shared" si="56"/>
        <v/>
      </c>
      <c r="D928" s="13" t="str">
        <f t="shared" si="57"/>
        <v/>
      </c>
      <c r="E928" s="45"/>
      <c r="F928" s="11" t="str">
        <f>IFERROR(VLOOKUP(E928,Category!$D$2:$E$600,2,FALSE),"")</f>
        <v/>
      </c>
      <c r="G928" s="56"/>
      <c r="H928" s="56"/>
      <c r="I928" s="16" t="str">
        <f t="shared" si="58"/>
        <v/>
      </c>
      <c r="J928" s="45"/>
      <c r="K928" s="45"/>
      <c r="L928" s="45"/>
    </row>
    <row r="929" spans="1:12">
      <c r="A929" s="10" t="str">
        <f t="shared" si="59"/>
        <v/>
      </c>
      <c r="B929" s="45"/>
      <c r="C929" s="13" t="str">
        <f t="shared" si="56"/>
        <v/>
      </c>
      <c r="D929" s="13" t="str">
        <f t="shared" si="57"/>
        <v/>
      </c>
      <c r="E929" s="45"/>
      <c r="F929" s="11" t="str">
        <f>IFERROR(VLOOKUP(E929,Category!$D$2:$E$600,2,FALSE),"")</f>
        <v/>
      </c>
      <c r="G929" s="56"/>
      <c r="H929" s="56"/>
      <c r="I929" s="16" t="str">
        <f t="shared" si="58"/>
        <v/>
      </c>
      <c r="J929" s="45"/>
      <c r="K929" s="45"/>
      <c r="L929" s="45"/>
    </row>
    <row r="930" spans="1:12">
      <c r="A930" s="10" t="str">
        <f t="shared" si="59"/>
        <v/>
      </c>
      <c r="B930" s="45"/>
      <c r="C930" s="13" t="str">
        <f t="shared" si="56"/>
        <v/>
      </c>
      <c r="D930" s="13" t="str">
        <f t="shared" si="57"/>
        <v/>
      </c>
      <c r="E930" s="45"/>
      <c r="F930" s="11" t="str">
        <f>IFERROR(VLOOKUP(E930,Category!$D$2:$E$600,2,FALSE),"")</f>
        <v/>
      </c>
      <c r="G930" s="56"/>
      <c r="H930" s="56"/>
      <c r="I930" s="16" t="str">
        <f t="shared" si="58"/>
        <v/>
      </c>
      <c r="J930" s="45"/>
      <c r="K930" s="45"/>
      <c r="L930" s="45"/>
    </row>
    <row r="931" spans="1:12">
      <c r="A931" s="10" t="str">
        <f t="shared" si="59"/>
        <v/>
      </c>
      <c r="B931" s="45"/>
      <c r="C931" s="13" t="str">
        <f t="shared" si="56"/>
        <v/>
      </c>
      <c r="D931" s="13" t="str">
        <f t="shared" si="57"/>
        <v/>
      </c>
      <c r="E931" s="45"/>
      <c r="F931" s="11" t="str">
        <f>IFERROR(VLOOKUP(E931,Category!$D$2:$E$600,2,FALSE),"")</f>
        <v/>
      </c>
      <c r="G931" s="56"/>
      <c r="H931" s="56"/>
      <c r="I931" s="16" t="str">
        <f t="shared" si="58"/>
        <v/>
      </c>
      <c r="J931" s="45"/>
      <c r="K931" s="45"/>
      <c r="L931" s="45"/>
    </row>
    <row r="932" spans="1:12">
      <c r="A932" s="10" t="str">
        <f t="shared" si="59"/>
        <v/>
      </c>
      <c r="B932" s="45"/>
      <c r="C932" s="13" t="str">
        <f t="shared" si="56"/>
        <v/>
      </c>
      <c r="D932" s="13" t="str">
        <f t="shared" si="57"/>
        <v/>
      </c>
      <c r="E932" s="45"/>
      <c r="F932" s="11" t="str">
        <f>IFERROR(VLOOKUP(E932,Category!$D$2:$E$600,2,FALSE),"")</f>
        <v/>
      </c>
      <c r="G932" s="56"/>
      <c r="H932" s="56"/>
      <c r="I932" s="16" t="str">
        <f t="shared" si="58"/>
        <v/>
      </c>
      <c r="J932" s="45"/>
      <c r="K932" s="45"/>
      <c r="L932" s="45"/>
    </row>
    <row r="933" spans="1:12">
      <c r="A933" s="10" t="str">
        <f t="shared" si="59"/>
        <v/>
      </c>
      <c r="B933" s="45"/>
      <c r="C933" s="13" t="str">
        <f t="shared" si="56"/>
        <v/>
      </c>
      <c r="D933" s="13" t="str">
        <f t="shared" si="57"/>
        <v/>
      </c>
      <c r="E933" s="45"/>
      <c r="F933" s="11" t="str">
        <f>IFERROR(VLOOKUP(E933,Category!$D$2:$E$600,2,FALSE),"")</f>
        <v/>
      </c>
      <c r="G933" s="56"/>
      <c r="H933" s="56"/>
      <c r="I933" s="16" t="str">
        <f t="shared" si="58"/>
        <v/>
      </c>
      <c r="J933" s="45"/>
      <c r="K933" s="45"/>
      <c r="L933" s="45"/>
    </row>
    <row r="934" spans="1:12">
      <c r="A934" s="10" t="str">
        <f t="shared" si="59"/>
        <v/>
      </c>
      <c r="B934" s="45"/>
      <c r="C934" s="13" t="str">
        <f t="shared" si="56"/>
        <v/>
      </c>
      <c r="D934" s="13" t="str">
        <f t="shared" si="57"/>
        <v/>
      </c>
      <c r="E934" s="45"/>
      <c r="F934" s="11" t="str">
        <f>IFERROR(VLOOKUP(E934,Category!$D$2:$E$600,2,FALSE),"")</f>
        <v/>
      </c>
      <c r="G934" s="56"/>
      <c r="H934" s="56"/>
      <c r="I934" s="16" t="str">
        <f t="shared" si="58"/>
        <v/>
      </c>
      <c r="J934" s="45"/>
      <c r="K934" s="45"/>
      <c r="L934" s="45"/>
    </row>
    <row r="935" spans="1:12">
      <c r="A935" s="10" t="str">
        <f t="shared" si="59"/>
        <v/>
      </c>
      <c r="B935" s="45"/>
      <c r="C935" s="13" t="str">
        <f t="shared" si="56"/>
        <v/>
      </c>
      <c r="D935" s="13" t="str">
        <f t="shared" si="57"/>
        <v/>
      </c>
      <c r="E935" s="45"/>
      <c r="F935" s="11" t="str">
        <f>IFERROR(VLOOKUP(E935,Category!$D$2:$E$600,2,FALSE),"")</f>
        <v/>
      </c>
      <c r="G935" s="56"/>
      <c r="H935" s="56"/>
      <c r="I935" s="16" t="str">
        <f t="shared" si="58"/>
        <v/>
      </c>
      <c r="J935" s="45"/>
      <c r="K935" s="45"/>
      <c r="L935" s="45"/>
    </row>
    <row r="936" spans="1:12">
      <c r="A936" s="10" t="str">
        <f t="shared" si="59"/>
        <v/>
      </c>
      <c r="B936" s="45"/>
      <c r="C936" s="13" t="str">
        <f t="shared" si="56"/>
        <v/>
      </c>
      <c r="D936" s="13" t="str">
        <f t="shared" si="57"/>
        <v/>
      </c>
      <c r="E936" s="45"/>
      <c r="F936" s="11" t="str">
        <f>IFERROR(VLOOKUP(E936,Category!$D$2:$E$600,2,FALSE),"")</f>
        <v/>
      </c>
      <c r="G936" s="56"/>
      <c r="H936" s="56"/>
      <c r="I936" s="16" t="str">
        <f t="shared" si="58"/>
        <v/>
      </c>
      <c r="J936" s="45"/>
      <c r="K936" s="45"/>
      <c r="L936" s="45"/>
    </row>
    <row r="937" spans="1:12">
      <c r="A937" s="10" t="str">
        <f t="shared" si="59"/>
        <v/>
      </c>
      <c r="B937" s="45"/>
      <c r="C937" s="13" t="str">
        <f t="shared" si="56"/>
        <v/>
      </c>
      <c r="D937" s="13" t="str">
        <f t="shared" si="57"/>
        <v/>
      </c>
      <c r="E937" s="45"/>
      <c r="F937" s="11" t="str">
        <f>IFERROR(VLOOKUP(E937,Category!$D$2:$E$600,2,FALSE),"")</f>
        <v/>
      </c>
      <c r="G937" s="56"/>
      <c r="H937" s="56"/>
      <c r="I937" s="16" t="str">
        <f t="shared" si="58"/>
        <v/>
      </c>
      <c r="J937" s="45"/>
      <c r="K937" s="45"/>
      <c r="L937" s="45"/>
    </row>
    <row r="938" spans="1:12">
      <c r="A938" s="10" t="str">
        <f t="shared" si="59"/>
        <v/>
      </c>
      <c r="B938" s="45"/>
      <c r="C938" s="13" t="str">
        <f t="shared" si="56"/>
        <v/>
      </c>
      <c r="D938" s="13" t="str">
        <f t="shared" si="57"/>
        <v/>
      </c>
      <c r="E938" s="45"/>
      <c r="F938" s="11" t="str">
        <f>IFERROR(VLOOKUP(E938,Category!$D$2:$E$600,2,FALSE),"")</f>
        <v/>
      </c>
      <c r="G938" s="56"/>
      <c r="H938" s="56"/>
      <c r="I938" s="16" t="str">
        <f t="shared" si="58"/>
        <v/>
      </c>
      <c r="J938" s="45"/>
      <c r="K938" s="45"/>
      <c r="L938" s="45"/>
    </row>
    <row r="939" spans="1:12">
      <c r="A939" s="10" t="str">
        <f t="shared" si="59"/>
        <v/>
      </c>
      <c r="B939" s="45"/>
      <c r="C939" s="13" t="str">
        <f t="shared" si="56"/>
        <v/>
      </c>
      <c r="D939" s="13" t="str">
        <f t="shared" si="57"/>
        <v/>
      </c>
      <c r="E939" s="45"/>
      <c r="F939" s="11" t="str">
        <f>IFERROR(VLOOKUP(E939,Category!$D$2:$E$600,2,FALSE),"")</f>
        <v/>
      </c>
      <c r="G939" s="56"/>
      <c r="H939" s="56"/>
      <c r="I939" s="16" t="str">
        <f t="shared" si="58"/>
        <v/>
      </c>
      <c r="J939" s="45"/>
      <c r="K939" s="45"/>
      <c r="L939" s="45"/>
    </row>
    <row r="940" spans="1:12">
      <c r="A940" s="10" t="str">
        <f t="shared" si="59"/>
        <v/>
      </c>
      <c r="B940" s="45"/>
      <c r="C940" s="13" t="str">
        <f t="shared" si="56"/>
        <v/>
      </c>
      <c r="D940" s="13" t="str">
        <f t="shared" si="57"/>
        <v/>
      </c>
      <c r="E940" s="45"/>
      <c r="F940" s="11" t="str">
        <f>IFERROR(VLOOKUP(E940,Category!$D$2:$E$600,2,FALSE),"")</f>
        <v/>
      </c>
      <c r="G940" s="56"/>
      <c r="H940" s="56"/>
      <c r="I940" s="16" t="str">
        <f t="shared" si="58"/>
        <v/>
      </c>
      <c r="J940" s="45"/>
      <c r="K940" s="45"/>
      <c r="L940" s="45"/>
    </row>
    <row r="941" spans="1:12">
      <c r="A941" s="10" t="str">
        <f t="shared" si="59"/>
        <v/>
      </c>
      <c r="B941" s="45"/>
      <c r="C941" s="13" t="str">
        <f t="shared" si="56"/>
        <v/>
      </c>
      <c r="D941" s="13" t="str">
        <f t="shared" si="57"/>
        <v/>
      </c>
      <c r="E941" s="45"/>
      <c r="F941" s="11" t="str">
        <f>IFERROR(VLOOKUP(E941,Category!$D$2:$E$600,2,FALSE),"")</f>
        <v/>
      </c>
      <c r="G941" s="56"/>
      <c r="H941" s="56"/>
      <c r="I941" s="16" t="str">
        <f t="shared" si="58"/>
        <v/>
      </c>
      <c r="J941" s="45"/>
      <c r="K941" s="45"/>
      <c r="L941" s="45"/>
    </row>
    <row r="942" spans="1:12">
      <c r="A942" s="10" t="str">
        <f t="shared" si="59"/>
        <v/>
      </c>
      <c r="B942" s="45"/>
      <c r="C942" s="13" t="str">
        <f t="shared" si="56"/>
        <v/>
      </c>
      <c r="D942" s="13" t="str">
        <f t="shared" si="57"/>
        <v/>
      </c>
      <c r="E942" s="45"/>
      <c r="F942" s="11" t="str">
        <f>IFERROR(VLOOKUP(E942,Category!$D$2:$E$600,2,FALSE),"")</f>
        <v/>
      </c>
      <c r="G942" s="56"/>
      <c r="H942" s="56"/>
      <c r="I942" s="16" t="str">
        <f t="shared" si="58"/>
        <v/>
      </c>
      <c r="J942" s="45"/>
      <c r="K942" s="45"/>
      <c r="L942" s="45"/>
    </row>
    <row r="943" spans="1:12">
      <c r="A943" s="10" t="str">
        <f t="shared" si="59"/>
        <v/>
      </c>
      <c r="B943" s="45"/>
      <c r="C943" s="13" t="str">
        <f t="shared" si="56"/>
        <v/>
      </c>
      <c r="D943" s="13" t="str">
        <f t="shared" si="57"/>
        <v/>
      </c>
      <c r="E943" s="45"/>
      <c r="F943" s="11" t="str">
        <f>IFERROR(VLOOKUP(E943,Category!$D$2:$E$600,2,FALSE),"")</f>
        <v/>
      </c>
      <c r="G943" s="56"/>
      <c r="H943" s="56"/>
      <c r="I943" s="16" t="str">
        <f t="shared" si="58"/>
        <v/>
      </c>
      <c r="J943" s="45"/>
      <c r="K943" s="45"/>
      <c r="L943" s="45"/>
    </row>
    <row r="944" spans="1:12">
      <c r="A944" s="10" t="str">
        <f t="shared" si="59"/>
        <v/>
      </c>
      <c r="B944" s="45"/>
      <c r="C944" s="13" t="str">
        <f t="shared" si="56"/>
        <v/>
      </c>
      <c r="D944" s="13" t="str">
        <f t="shared" si="57"/>
        <v/>
      </c>
      <c r="E944" s="45"/>
      <c r="F944" s="11" t="str">
        <f>IFERROR(VLOOKUP(E944,Category!$D$2:$E$600,2,FALSE),"")</f>
        <v/>
      </c>
      <c r="G944" s="56"/>
      <c r="H944" s="56"/>
      <c r="I944" s="16" t="str">
        <f t="shared" si="58"/>
        <v/>
      </c>
      <c r="J944" s="45"/>
      <c r="K944" s="45"/>
      <c r="L944" s="45"/>
    </row>
    <row r="945" spans="1:12">
      <c r="A945" s="10" t="str">
        <f t="shared" si="59"/>
        <v/>
      </c>
      <c r="B945" s="45"/>
      <c r="C945" s="13" t="str">
        <f t="shared" si="56"/>
        <v/>
      </c>
      <c r="D945" s="13" t="str">
        <f t="shared" si="57"/>
        <v/>
      </c>
      <c r="E945" s="45"/>
      <c r="F945" s="11" t="str">
        <f>IFERROR(VLOOKUP(E945,Category!$D$2:$E$600,2,FALSE),"")</f>
        <v/>
      </c>
      <c r="G945" s="56"/>
      <c r="H945" s="56"/>
      <c r="I945" s="16" t="str">
        <f t="shared" si="58"/>
        <v/>
      </c>
      <c r="J945" s="45"/>
      <c r="K945" s="45"/>
      <c r="L945" s="45"/>
    </row>
    <row r="946" spans="1:12">
      <c r="A946" s="10" t="str">
        <f t="shared" si="59"/>
        <v/>
      </c>
      <c r="B946" s="45"/>
      <c r="C946" s="13" t="str">
        <f t="shared" si="56"/>
        <v/>
      </c>
      <c r="D946" s="13" t="str">
        <f t="shared" si="57"/>
        <v/>
      </c>
      <c r="E946" s="45"/>
      <c r="F946" s="11" t="str">
        <f>IFERROR(VLOOKUP(E946,Category!$D$2:$E$600,2,FALSE),"")</f>
        <v/>
      </c>
      <c r="G946" s="56"/>
      <c r="H946" s="56"/>
      <c r="I946" s="16" t="str">
        <f t="shared" si="58"/>
        <v/>
      </c>
      <c r="J946" s="45"/>
      <c r="K946" s="45"/>
      <c r="L946" s="45"/>
    </row>
    <row r="947" spans="1:12">
      <c r="A947" s="10" t="str">
        <f t="shared" si="59"/>
        <v/>
      </c>
      <c r="B947" s="45"/>
      <c r="C947" s="13" t="str">
        <f t="shared" si="56"/>
        <v/>
      </c>
      <c r="D947" s="13" t="str">
        <f t="shared" si="57"/>
        <v/>
      </c>
      <c r="E947" s="45"/>
      <c r="F947" s="11" t="str">
        <f>IFERROR(VLOOKUP(E947,Category!$D$2:$E$600,2,FALSE),"")</f>
        <v/>
      </c>
      <c r="G947" s="56"/>
      <c r="H947" s="56"/>
      <c r="I947" s="16" t="str">
        <f t="shared" si="58"/>
        <v/>
      </c>
      <c r="J947" s="45"/>
      <c r="K947" s="45"/>
      <c r="L947" s="45"/>
    </row>
    <row r="948" spans="1:12">
      <c r="A948" s="10" t="str">
        <f t="shared" si="59"/>
        <v/>
      </c>
      <c r="B948" s="45"/>
      <c r="C948" s="13" t="str">
        <f t="shared" si="56"/>
        <v/>
      </c>
      <c r="D948" s="13" t="str">
        <f t="shared" si="57"/>
        <v/>
      </c>
      <c r="E948" s="45"/>
      <c r="F948" s="11" t="str">
        <f>IFERROR(VLOOKUP(E948,Category!$D$2:$E$600,2,FALSE),"")</f>
        <v/>
      </c>
      <c r="G948" s="56"/>
      <c r="H948" s="56"/>
      <c r="I948" s="16" t="str">
        <f t="shared" si="58"/>
        <v/>
      </c>
      <c r="J948" s="45"/>
      <c r="K948" s="45"/>
      <c r="L948" s="45"/>
    </row>
    <row r="949" spans="1:12">
      <c r="A949" s="10" t="str">
        <f t="shared" si="59"/>
        <v/>
      </c>
      <c r="B949" s="45"/>
      <c r="C949" s="13" t="str">
        <f t="shared" si="56"/>
        <v/>
      </c>
      <c r="D949" s="13" t="str">
        <f t="shared" si="57"/>
        <v/>
      </c>
      <c r="E949" s="45"/>
      <c r="F949" s="11" t="str">
        <f>IFERROR(VLOOKUP(E949,Category!$D$2:$E$600,2,FALSE),"")</f>
        <v/>
      </c>
      <c r="G949" s="56"/>
      <c r="H949" s="56"/>
      <c r="I949" s="16" t="str">
        <f t="shared" si="58"/>
        <v/>
      </c>
      <c r="J949" s="45"/>
      <c r="K949" s="45"/>
      <c r="L949" s="45"/>
    </row>
    <row r="950" spans="1:12">
      <c r="A950" s="10" t="str">
        <f t="shared" si="59"/>
        <v/>
      </c>
      <c r="B950" s="45"/>
      <c r="C950" s="13" t="str">
        <f t="shared" si="56"/>
        <v/>
      </c>
      <c r="D950" s="13" t="str">
        <f t="shared" si="57"/>
        <v/>
      </c>
      <c r="E950" s="45"/>
      <c r="F950" s="11" t="str">
        <f>IFERROR(VLOOKUP(E950,Category!$D$2:$E$600,2,FALSE),"")</f>
        <v/>
      </c>
      <c r="G950" s="56"/>
      <c r="H950" s="56"/>
      <c r="I950" s="16" t="str">
        <f t="shared" si="58"/>
        <v/>
      </c>
      <c r="J950" s="45"/>
      <c r="K950" s="45"/>
      <c r="L950" s="45"/>
    </row>
    <row r="951" spans="1:12">
      <c r="A951" s="10" t="str">
        <f t="shared" si="59"/>
        <v/>
      </c>
      <c r="B951" s="45"/>
      <c r="C951" s="13" t="str">
        <f t="shared" si="56"/>
        <v/>
      </c>
      <c r="D951" s="13" t="str">
        <f t="shared" si="57"/>
        <v/>
      </c>
      <c r="E951" s="45"/>
      <c r="F951" s="11" t="str">
        <f>IFERROR(VLOOKUP(E951,Category!$D$2:$E$600,2,FALSE),"")</f>
        <v/>
      </c>
      <c r="G951" s="56"/>
      <c r="H951" s="56"/>
      <c r="I951" s="16" t="str">
        <f t="shared" si="58"/>
        <v/>
      </c>
      <c r="J951" s="45"/>
      <c r="K951" s="45"/>
      <c r="L951" s="45"/>
    </row>
    <row r="952" spans="1:12">
      <c r="A952" s="10" t="str">
        <f t="shared" si="59"/>
        <v/>
      </c>
      <c r="B952" s="45"/>
      <c r="C952" s="13" t="str">
        <f t="shared" si="56"/>
        <v/>
      </c>
      <c r="D952" s="13" t="str">
        <f t="shared" si="57"/>
        <v/>
      </c>
      <c r="E952" s="45"/>
      <c r="F952" s="11" t="str">
        <f>IFERROR(VLOOKUP(E952,Category!$D$2:$E$600,2,FALSE),"")</f>
        <v/>
      </c>
      <c r="G952" s="56"/>
      <c r="H952" s="56"/>
      <c r="I952" s="16" t="str">
        <f t="shared" si="58"/>
        <v/>
      </c>
      <c r="J952" s="45"/>
      <c r="K952" s="45"/>
      <c r="L952" s="45"/>
    </row>
    <row r="953" spans="1:12">
      <c r="A953" s="10" t="str">
        <f t="shared" si="59"/>
        <v/>
      </c>
      <c r="B953" s="45"/>
      <c r="C953" s="13" t="str">
        <f t="shared" si="56"/>
        <v/>
      </c>
      <c r="D953" s="13" t="str">
        <f t="shared" si="57"/>
        <v/>
      </c>
      <c r="E953" s="45"/>
      <c r="F953" s="11" t="str">
        <f>IFERROR(VLOOKUP(E953,Category!$D$2:$E$600,2,FALSE),"")</f>
        <v/>
      </c>
      <c r="G953" s="56"/>
      <c r="H953" s="56"/>
      <c r="I953" s="16" t="str">
        <f t="shared" si="58"/>
        <v/>
      </c>
      <c r="J953" s="45"/>
      <c r="K953" s="45"/>
      <c r="L953" s="45"/>
    </row>
    <row r="954" spans="1:12">
      <c r="A954" s="10" t="str">
        <f t="shared" si="59"/>
        <v/>
      </c>
      <c r="B954" s="45"/>
      <c r="C954" s="13" t="str">
        <f t="shared" si="56"/>
        <v/>
      </c>
      <c r="D954" s="13" t="str">
        <f t="shared" si="57"/>
        <v/>
      </c>
      <c r="E954" s="45"/>
      <c r="F954" s="11" t="str">
        <f>IFERROR(VLOOKUP(E954,Category!$D$2:$E$600,2,FALSE),"")</f>
        <v/>
      </c>
      <c r="G954" s="56"/>
      <c r="H954" s="56"/>
      <c r="I954" s="16" t="str">
        <f t="shared" si="58"/>
        <v/>
      </c>
      <c r="J954" s="45"/>
      <c r="K954" s="45"/>
      <c r="L954" s="45"/>
    </row>
    <row r="955" spans="1:12">
      <c r="A955" s="10" t="str">
        <f t="shared" si="59"/>
        <v/>
      </c>
      <c r="B955" s="45"/>
      <c r="C955" s="13" t="str">
        <f t="shared" si="56"/>
        <v/>
      </c>
      <c r="D955" s="13" t="str">
        <f t="shared" si="57"/>
        <v/>
      </c>
      <c r="E955" s="45"/>
      <c r="F955" s="11" t="str">
        <f>IFERROR(VLOOKUP(E955,Category!$D$2:$E$600,2,FALSE),"")</f>
        <v/>
      </c>
      <c r="G955" s="56"/>
      <c r="H955" s="56"/>
      <c r="I955" s="16" t="str">
        <f t="shared" si="58"/>
        <v/>
      </c>
      <c r="J955" s="45"/>
      <c r="K955" s="45"/>
      <c r="L955" s="45"/>
    </row>
    <row r="956" spans="1:12">
      <c r="A956" s="10" t="str">
        <f t="shared" si="59"/>
        <v/>
      </c>
      <c r="B956" s="45"/>
      <c r="C956" s="13" t="str">
        <f t="shared" si="56"/>
        <v/>
      </c>
      <c r="D956" s="13" t="str">
        <f t="shared" si="57"/>
        <v/>
      </c>
      <c r="E956" s="45"/>
      <c r="F956" s="11" t="str">
        <f>IFERROR(VLOOKUP(E956,Category!$D$2:$E$600,2,FALSE),"")</f>
        <v/>
      </c>
      <c r="G956" s="56"/>
      <c r="H956" s="56"/>
      <c r="I956" s="16" t="str">
        <f t="shared" si="58"/>
        <v/>
      </c>
      <c r="J956" s="45"/>
      <c r="K956" s="45"/>
      <c r="L956" s="45"/>
    </row>
    <row r="957" spans="1:12">
      <c r="A957" s="10" t="str">
        <f t="shared" si="59"/>
        <v/>
      </c>
      <c r="B957" s="45"/>
      <c r="C957" s="13" t="str">
        <f t="shared" si="56"/>
        <v/>
      </c>
      <c r="D957" s="13" t="str">
        <f t="shared" si="57"/>
        <v/>
      </c>
      <c r="E957" s="45"/>
      <c r="F957" s="11" t="str">
        <f>IFERROR(VLOOKUP(E957,Category!$D$2:$E$600,2,FALSE),"")</f>
        <v/>
      </c>
      <c r="G957" s="56"/>
      <c r="H957" s="56"/>
      <c r="I957" s="16" t="str">
        <f t="shared" si="58"/>
        <v/>
      </c>
      <c r="J957" s="45"/>
      <c r="K957" s="45"/>
      <c r="L957" s="45"/>
    </row>
    <row r="958" spans="1:12">
      <c r="A958" s="10" t="str">
        <f t="shared" si="59"/>
        <v/>
      </c>
      <c r="B958" s="45"/>
      <c r="C958" s="13" t="str">
        <f t="shared" si="56"/>
        <v/>
      </c>
      <c r="D958" s="13" t="str">
        <f t="shared" si="57"/>
        <v/>
      </c>
      <c r="E958" s="45"/>
      <c r="F958" s="11" t="str">
        <f>IFERROR(VLOOKUP(E958,Category!$D$2:$E$600,2,FALSE),"")</f>
        <v/>
      </c>
      <c r="G958" s="56"/>
      <c r="H958" s="56"/>
      <c r="I958" s="16" t="str">
        <f t="shared" si="58"/>
        <v/>
      </c>
      <c r="J958" s="45"/>
      <c r="K958" s="45"/>
      <c r="L958" s="45"/>
    </row>
    <row r="959" spans="1:12">
      <c r="A959" s="10" t="str">
        <f t="shared" si="59"/>
        <v/>
      </c>
      <c r="B959" s="45"/>
      <c r="C959" s="13" t="str">
        <f t="shared" si="56"/>
        <v/>
      </c>
      <c r="D959" s="13" t="str">
        <f t="shared" si="57"/>
        <v/>
      </c>
      <c r="E959" s="45"/>
      <c r="F959" s="11" t="str">
        <f>IFERROR(VLOOKUP(E959,Category!$D$2:$E$600,2,FALSE),"")</f>
        <v/>
      </c>
      <c r="G959" s="56"/>
      <c r="H959" s="56"/>
      <c r="I959" s="16" t="str">
        <f t="shared" si="58"/>
        <v/>
      </c>
      <c r="J959" s="45"/>
      <c r="K959" s="45"/>
      <c r="L959" s="45"/>
    </row>
    <row r="960" spans="1:12">
      <c r="A960" s="10" t="str">
        <f t="shared" si="59"/>
        <v/>
      </c>
      <c r="B960" s="45"/>
      <c r="C960" s="13" t="str">
        <f t="shared" si="56"/>
        <v/>
      </c>
      <c r="D960" s="13" t="str">
        <f t="shared" si="57"/>
        <v/>
      </c>
      <c r="E960" s="45"/>
      <c r="F960" s="11" t="str">
        <f>IFERROR(VLOOKUP(E960,Category!$D$2:$E$600,2,FALSE),"")</f>
        <v/>
      </c>
      <c r="G960" s="56"/>
      <c r="H960" s="56"/>
      <c r="I960" s="16" t="str">
        <f t="shared" si="58"/>
        <v/>
      </c>
      <c r="J960" s="45"/>
      <c r="K960" s="45"/>
      <c r="L960" s="45"/>
    </row>
    <row r="961" spans="1:12">
      <c r="A961" s="10" t="str">
        <f t="shared" si="59"/>
        <v/>
      </c>
      <c r="B961" s="45"/>
      <c r="C961" s="13" t="str">
        <f t="shared" si="56"/>
        <v/>
      </c>
      <c r="D961" s="13" t="str">
        <f t="shared" si="57"/>
        <v/>
      </c>
      <c r="E961" s="45"/>
      <c r="F961" s="11" t="str">
        <f>IFERROR(VLOOKUP(E961,Category!$D$2:$E$600,2,FALSE),"")</f>
        <v/>
      </c>
      <c r="G961" s="56"/>
      <c r="H961" s="56"/>
      <c r="I961" s="16" t="str">
        <f t="shared" si="58"/>
        <v/>
      </c>
      <c r="J961" s="45"/>
      <c r="K961" s="45"/>
      <c r="L961" s="45"/>
    </row>
    <row r="962" spans="1:12">
      <c r="A962" s="10" t="str">
        <f t="shared" si="59"/>
        <v/>
      </c>
      <c r="B962" s="45"/>
      <c r="C962" s="13" t="str">
        <f t="shared" si="56"/>
        <v/>
      </c>
      <c r="D962" s="13" t="str">
        <f t="shared" si="57"/>
        <v/>
      </c>
      <c r="E962" s="45"/>
      <c r="F962" s="11" t="str">
        <f>IFERROR(VLOOKUP(E962,Category!$D$2:$E$600,2,FALSE),"")</f>
        <v/>
      </c>
      <c r="G962" s="56"/>
      <c r="H962" s="56"/>
      <c r="I962" s="16" t="str">
        <f t="shared" si="58"/>
        <v/>
      </c>
      <c r="J962" s="45"/>
      <c r="K962" s="45"/>
      <c r="L962" s="45"/>
    </row>
    <row r="963" spans="1:12">
      <c r="A963" s="10" t="str">
        <f t="shared" si="59"/>
        <v/>
      </c>
      <c r="B963" s="45"/>
      <c r="C963" s="13" t="str">
        <f t="shared" ref="C963:C995" si="60">IF(B963=0,"",TEXT(B963,"mmmm"))</f>
        <v/>
      </c>
      <c r="D963" s="13" t="str">
        <f t="shared" ref="D963:D995" si="61">IF(B963=0,"",TEXT(B963,"yyyy"))</f>
        <v/>
      </c>
      <c r="E963" s="45"/>
      <c r="F963" s="11" t="str">
        <f>IFERROR(VLOOKUP(E963,Category!$D$2:$E$600,2,FALSE),"")</f>
        <v/>
      </c>
      <c r="G963" s="56"/>
      <c r="H963" s="56"/>
      <c r="I963" s="16" t="str">
        <f t="shared" ref="I963:I995" si="62">IF(H963*G963=0,"",H963*G963)</f>
        <v/>
      </c>
      <c r="J963" s="45"/>
      <c r="K963" s="45"/>
      <c r="L963" s="45"/>
    </row>
    <row r="964" spans="1:12">
      <c r="A964" s="10" t="str">
        <f t="shared" ref="A964:A995" si="63">IF(E964&gt;0,A963+1,"")</f>
        <v/>
      </c>
      <c r="B964" s="45"/>
      <c r="C964" s="13" t="str">
        <f t="shared" si="60"/>
        <v/>
      </c>
      <c r="D964" s="13" t="str">
        <f t="shared" si="61"/>
        <v/>
      </c>
      <c r="E964" s="45"/>
      <c r="F964" s="11" t="str">
        <f>IFERROR(VLOOKUP(E964,Category!$D$2:$E$600,2,FALSE),"")</f>
        <v/>
      </c>
      <c r="G964" s="56"/>
      <c r="H964" s="56"/>
      <c r="I964" s="16" t="str">
        <f t="shared" si="62"/>
        <v/>
      </c>
      <c r="J964" s="45"/>
      <c r="K964" s="45"/>
      <c r="L964" s="45"/>
    </row>
    <row r="965" spans="1:12">
      <c r="A965" s="10" t="str">
        <f t="shared" si="63"/>
        <v/>
      </c>
      <c r="B965" s="45"/>
      <c r="C965" s="13" t="str">
        <f t="shared" si="60"/>
        <v/>
      </c>
      <c r="D965" s="13" t="str">
        <f t="shared" si="61"/>
        <v/>
      </c>
      <c r="E965" s="45"/>
      <c r="F965" s="11" t="str">
        <f>IFERROR(VLOOKUP(E965,Category!$D$2:$E$600,2,FALSE),"")</f>
        <v/>
      </c>
      <c r="G965" s="56"/>
      <c r="H965" s="56"/>
      <c r="I965" s="16" t="str">
        <f t="shared" si="62"/>
        <v/>
      </c>
      <c r="J965" s="45"/>
      <c r="K965" s="45"/>
      <c r="L965" s="45"/>
    </row>
    <row r="966" spans="1:12">
      <c r="A966" s="10" t="str">
        <f t="shared" si="63"/>
        <v/>
      </c>
      <c r="B966" s="45"/>
      <c r="C966" s="13" t="str">
        <f t="shared" si="60"/>
        <v/>
      </c>
      <c r="D966" s="13" t="str">
        <f t="shared" si="61"/>
        <v/>
      </c>
      <c r="E966" s="45"/>
      <c r="F966" s="11" t="str">
        <f>IFERROR(VLOOKUP(E966,Category!$D$2:$E$600,2,FALSE),"")</f>
        <v/>
      </c>
      <c r="G966" s="56"/>
      <c r="H966" s="56"/>
      <c r="I966" s="16" t="str">
        <f t="shared" si="62"/>
        <v/>
      </c>
      <c r="J966" s="45"/>
      <c r="K966" s="45"/>
      <c r="L966" s="45"/>
    </row>
    <row r="967" spans="1:12">
      <c r="A967" s="10" t="str">
        <f t="shared" si="63"/>
        <v/>
      </c>
      <c r="B967" s="45"/>
      <c r="C967" s="13" t="str">
        <f t="shared" si="60"/>
        <v/>
      </c>
      <c r="D967" s="13" t="str">
        <f t="shared" si="61"/>
        <v/>
      </c>
      <c r="E967" s="45"/>
      <c r="F967" s="11" t="str">
        <f>IFERROR(VLOOKUP(E967,Category!$D$2:$E$600,2,FALSE),"")</f>
        <v/>
      </c>
      <c r="G967" s="56"/>
      <c r="H967" s="56"/>
      <c r="I967" s="16" t="str">
        <f t="shared" si="62"/>
        <v/>
      </c>
      <c r="J967" s="45"/>
      <c r="K967" s="45"/>
      <c r="L967" s="45"/>
    </row>
    <row r="968" spans="1:12">
      <c r="A968" s="10" t="str">
        <f t="shared" si="63"/>
        <v/>
      </c>
      <c r="B968" s="45"/>
      <c r="C968" s="13" t="str">
        <f t="shared" si="60"/>
        <v/>
      </c>
      <c r="D968" s="13" t="str">
        <f t="shared" si="61"/>
        <v/>
      </c>
      <c r="E968" s="45"/>
      <c r="F968" s="11" t="str">
        <f>IFERROR(VLOOKUP(E968,Category!$D$2:$E$600,2,FALSE),"")</f>
        <v/>
      </c>
      <c r="G968" s="56"/>
      <c r="H968" s="56"/>
      <c r="I968" s="16" t="str">
        <f t="shared" si="62"/>
        <v/>
      </c>
      <c r="J968" s="45"/>
      <c r="K968" s="45"/>
      <c r="L968" s="45"/>
    </row>
    <row r="969" spans="1:12">
      <c r="A969" s="10" t="str">
        <f t="shared" si="63"/>
        <v/>
      </c>
      <c r="B969" s="45"/>
      <c r="C969" s="13" t="str">
        <f t="shared" si="60"/>
        <v/>
      </c>
      <c r="D969" s="13" t="str">
        <f t="shared" si="61"/>
        <v/>
      </c>
      <c r="E969" s="45"/>
      <c r="F969" s="11" t="str">
        <f>IFERROR(VLOOKUP(E969,Category!$D$2:$E$600,2,FALSE),"")</f>
        <v/>
      </c>
      <c r="G969" s="56"/>
      <c r="H969" s="56"/>
      <c r="I969" s="16" t="str">
        <f t="shared" si="62"/>
        <v/>
      </c>
      <c r="J969" s="45"/>
      <c r="K969" s="45"/>
      <c r="L969" s="45"/>
    </row>
    <row r="970" spans="1:12">
      <c r="A970" s="10" t="str">
        <f t="shared" si="63"/>
        <v/>
      </c>
      <c r="B970" s="45"/>
      <c r="C970" s="13" t="str">
        <f t="shared" si="60"/>
        <v/>
      </c>
      <c r="D970" s="13" t="str">
        <f t="shared" si="61"/>
        <v/>
      </c>
      <c r="E970" s="45"/>
      <c r="F970" s="11" t="str">
        <f>IFERROR(VLOOKUP(E970,Category!$D$2:$E$600,2,FALSE),"")</f>
        <v/>
      </c>
      <c r="G970" s="56"/>
      <c r="H970" s="56"/>
      <c r="I970" s="16" t="str">
        <f t="shared" si="62"/>
        <v/>
      </c>
      <c r="J970" s="45"/>
      <c r="K970" s="45"/>
      <c r="L970" s="45"/>
    </row>
    <row r="971" spans="1:12">
      <c r="A971" s="10" t="str">
        <f t="shared" si="63"/>
        <v/>
      </c>
      <c r="B971" s="45"/>
      <c r="C971" s="13" t="str">
        <f t="shared" si="60"/>
        <v/>
      </c>
      <c r="D971" s="13" t="str">
        <f t="shared" si="61"/>
        <v/>
      </c>
      <c r="E971" s="45"/>
      <c r="F971" s="11" t="str">
        <f>IFERROR(VLOOKUP(E971,Category!$D$2:$E$600,2,FALSE),"")</f>
        <v/>
      </c>
      <c r="G971" s="56"/>
      <c r="H971" s="56"/>
      <c r="I971" s="16" t="str">
        <f t="shared" si="62"/>
        <v/>
      </c>
      <c r="J971" s="45"/>
      <c r="K971" s="45"/>
      <c r="L971" s="45"/>
    </row>
    <row r="972" spans="1:12">
      <c r="A972" s="10" t="str">
        <f t="shared" si="63"/>
        <v/>
      </c>
      <c r="B972" s="45"/>
      <c r="C972" s="13" t="str">
        <f t="shared" si="60"/>
        <v/>
      </c>
      <c r="D972" s="13" t="str">
        <f t="shared" si="61"/>
        <v/>
      </c>
      <c r="E972" s="45"/>
      <c r="F972" s="11" t="str">
        <f>IFERROR(VLOOKUP(E972,Category!$D$2:$E$600,2,FALSE),"")</f>
        <v/>
      </c>
      <c r="G972" s="56"/>
      <c r="H972" s="56"/>
      <c r="I972" s="16" t="str">
        <f t="shared" si="62"/>
        <v/>
      </c>
      <c r="J972" s="45"/>
      <c r="K972" s="45"/>
      <c r="L972" s="45"/>
    </row>
    <row r="973" spans="1:12">
      <c r="A973" s="10" t="str">
        <f t="shared" si="63"/>
        <v/>
      </c>
      <c r="B973" s="45"/>
      <c r="C973" s="13" t="str">
        <f t="shared" si="60"/>
        <v/>
      </c>
      <c r="D973" s="13" t="str">
        <f t="shared" si="61"/>
        <v/>
      </c>
      <c r="E973" s="45"/>
      <c r="F973" s="11" t="str">
        <f>IFERROR(VLOOKUP(E973,Category!$D$2:$E$600,2,FALSE),"")</f>
        <v/>
      </c>
      <c r="G973" s="56"/>
      <c r="H973" s="56"/>
      <c r="I973" s="16" t="str">
        <f t="shared" si="62"/>
        <v/>
      </c>
      <c r="J973" s="45"/>
      <c r="K973" s="45"/>
      <c r="L973" s="45"/>
    </row>
    <row r="974" spans="1:12">
      <c r="A974" s="10" t="str">
        <f t="shared" si="63"/>
        <v/>
      </c>
      <c r="B974" s="45"/>
      <c r="C974" s="13" t="str">
        <f t="shared" si="60"/>
        <v/>
      </c>
      <c r="D974" s="13" t="str">
        <f t="shared" si="61"/>
        <v/>
      </c>
      <c r="E974" s="45"/>
      <c r="F974" s="11" t="str">
        <f>IFERROR(VLOOKUP(E974,Category!$D$2:$E$600,2,FALSE),"")</f>
        <v/>
      </c>
      <c r="G974" s="56"/>
      <c r="H974" s="56"/>
      <c r="I974" s="16" t="str">
        <f t="shared" si="62"/>
        <v/>
      </c>
      <c r="J974" s="45"/>
      <c r="K974" s="45"/>
      <c r="L974" s="45"/>
    </row>
    <row r="975" spans="1:12">
      <c r="A975" s="10" t="str">
        <f t="shared" si="63"/>
        <v/>
      </c>
      <c r="B975" s="45"/>
      <c r="C975" s="13" t="str">
        <f t="shared" si="60"/>
        <v/>
      </c>
      <c r="D975" s="13" t="str">
        <f t="shared" si="61"/>
        <v/>
      </c>
      <c r="E975" s="45"/>
      <c r="F975" s="11" t="str">
        <f>IFERROR(VLOOKUP(E975,Category!$D$2:$E$600,2,FALSE),"")</f>
        <v/>
      </c>
      <c r="G975" s="56"/>
      <c r="H975" s="56"/>
      <c r="I975" s="16" t="str">
        <f t="shared" si="62"/>
        <v/>
      </c>
      <c r="J975" s="45"/>
      <c r="K975" s="45"/>
      <c r="L975" s="45"/>
    </row>
    <row r="976" spans="1:12">
      <c r="A976" s="10" t="str">
        <f t="shared" si="63"/>
        <v/>
      </c>
      <c r="B976" s="45"/>
      <c r="C976" s="13" t="str">
        <f t="shared" si="60"/>
        <v/>
      </c>
      <c r="D976" s="13" t="str">
        <f t="shared" si="61"/>
        <v/>
      </c>
      <c r="E976" s="45"/>
      <c r="F976" s="11" t="str">
        <f>IFERROR(VLOOKUP(E976,Category!$D$2:$E$600,2,FALSE),"")</f>
        <v/>
      </c>
      <c r="G976" s="56"/>
      <c r="H976" s="56"/>
      <c r="I976" s="16" t="str">
        <f t="shared" si="62"/>
        <v/>
      </c>
      <c r="J976" s="45"/>
      <c r="K976" s="45"/>
      <c r="L976" s="45"/>
    </row>
    <row r="977" spans="1:12">
      <c r="A977" s="10" t="str">
        <f t="shared" si="63"/>
        <v/>
      </c>
      <c r="B977" s="45"/>
      <c r="C977" s="13" t="str">
        <f t="shared" si="60"/>
        <v/>
      </c>
      <c r="D977" s="13" t="str">
        <f t="shared" si="61"/>
        <v/>
      </c>
      <c r="E977" s="45"/>
      <c r="F977" s="11" t="str">
        <f>IFERROR(VLOOKUP(E977,Category!$D$2:$E$600,2,FALSE),"")</f>
        <v/>
      </c>
      <c r="G977" s="56"/>
      <c r="H977" s="56"/>
      <c r="I977" s="16" t="str">
        <f t="shared" si="62"/>
        <v/>
      </c>
      <c r="J977" s="45"/>
      <c r="K977" s="45"/>
      <c r="L977" s="45"/>
    </row>
    <row r="978" spans="1:12">
      <c r="A978" s="10" t="str">
        <f t="shared" si="63"/>
        <v/>
      </c>
      <c r="B978" s="45"/>
      <c r="C978" s="13" t="str">
        <f t="shared" si="60"/>
        <v/>
      </c>
      <c r="D978" s="13" t="str">
        <f t="shared" si="61"/>
        <v/>
      </c>
      <c r="E978" s="45"/>
      <c r="F978" s="11" t="str">
        <f>IFERROR(VLOOKUP(E978,Category!$D$2:$E$600,2,FALSE),"")</f>
        <v/>
      </c>
      <c r="G978" s="56"/>
      <c r="H978" s="56"/>
      <c r="I978" s="16" t="str">
        <f t="shared" si="62"/>
        <v/>
      </c>
      <c r="J978" s="45"/>
      <c r="K978" s="45"/>
      <c r="L978" s="45"/>
    </row>
    <row r="979" spans="1:12">
      <c r="A979" s="10" t="str">
        <f t="shared" si="63"/>
        <v/>
      </c>
      <c r="B979" s="45"/>
      <c r="C979" s="13" t="str">
        <f t="shared" si="60"/>
        <v/>
      </c>
      <c r="D979" s="13" t="str">
        <f t="shared" si="61"/>
        <v/>
      </c>
      <c r="E979" s="45"/>
      <c r="F979" s="11" t="str">
        <f>IFERROR(VLOOKUP(E979,Category!$D$2:$E$600,2,FALSE),"")</f>
        <v/>
      </c>
      <c r="G979" s="56"/>
      <c r="H979" s="56"/>
      <c r="I979" s="16" t="str">
        <f t="shared" si="62"/>
        <v/>
      </c>
      <c r="J979" s="45"/>
      <c r="K979" s="45"/>
      <c r="L979" s="45"/>
    </row>
    <row r="980" spans="1:12">
      <c r="A980" s="10" t="str">
        <f t="shared" si="63"/>
        <v/>
      </c>
      <c r="B980" s="45"/>
      <c r="C980" s="13" t="str">
        <f t="shared" si="60"/>
        <v/>
      </c>
      <c r="D980" s="13" t="str">
        <f t="shared" si="61"/>
        <v/>
      </c>
      <c r="E980" s="45"/>
      <c r="F980" s="11" t="str">
        <f>IFERROR(VLOOKUP(E980,Category!$D$2:$E$600,2,FALSE),"")</f>
        <v/>
      </c>
      <c r="G980" s="56"/>
      <c r="H980" s="56"/>
      <c r="I980" s="16" t="str">
        <f t="shared" si="62"/>
        <v/>
      </c>
      <c r="J980" s="45"/>
      <c r="K980" s="45"/>
      <c r="L980" s="45"/>
    </row>
    <row r="981" spans="1:12">
      <c r="A981" s="10" t="str">
        <f t="shared" si="63"/>
        <v/>
      </c>
      <c r="B981" s="45"/>
      <c r="C981" s="13" t="str">
        <f t="shared" si="60"/>
        <v/>
      </c>
      <c r="D981" s="13" t="str">
        <f t="shared" si="61"/>
        <v/>
      </c>
      <c r="E981" s="45"/>
      <c r="F981" s="11" t="str">
        <f>IFERROR(VLOOKUP(E981,Category!$D$2:$E$600,2,FALSE),"")</f>
        <v/>
      </c>
      <c r="G981" s="56"/>
      <c r="H981" s="56"/>
      <c r="I981" s="16" t="str">
        <f t="shared" si="62"/>
        <v/>
      </c>
      <c r="J981" s="45"/>
      <c r="K981" s="45"/>
      <c r="L981" s="45"/>
    </row>
    <row r="982" spans="1:12">
      <c r="A982" s="10" t="str">
        <f t="shared" si="63"/>
        <v/>
      </c>
      <c r="B982" s="45"/>
      <c r="C982" s="13" t="str">
        <f t="shared" si="60"/>
        <v/>
      </c>
      <c r="D982" s="13" t="str">
        <f t="shared" si="61"/>
        <v/>
      </c>
      <c r="E982" s="45"/>
      <c r="F982" s="11" t="str">
        <f>IFERROR(VLOOKUP(E982,Category!$D$2:$E$600,2,FALSE),"")</f>
        <v/>
      </c>
      <c r="G982" s="56"/>
      <c r="H982" s="56"/>
      <c r="I982" s="16" t="str">
        <f t="shared" si="62"/>
        <v/>
      </c>
      <c r="J982" s="45"/>
      <c r="K982" s="45"/>
      <c r="L982" s="45"/>
    </row>
    <row r="983" spans="1:12">
      <c r="A983" s="10" t="str">
        <f t="shared" si="63"/>
        <v/>
      </c>
      <c r="B983" s="45"/>
      <c r="C983" s="13" t="str">
        <f t="shared" si="60"/>
        <v/>
      </c>
      <c r="D983" s="13" t="str">
        <f t="shared" si="61"/>
        <v/>
      </c>
      <c r="E983" s="45"/>
      <c r="F983" s="11" t="str">
        <f>IFERROR(VLOOKUP(E983,Category!$D$2:$E$600,2,FALSE),"")</f>
        <v/>
      </c>
      <c r="G983" s="56"/>
      <c r="H983" s="56"/>
      <c r="I983" s="16" t="str">
        <f t="shared" si="62"/>
        <v/>
      </c>
      <c r="J983" s="45"/>
      <c r="K983" s="45"/>
      <c r="L983" s="45"/>
    </row>
    <row r="984" spans="1:12">
      <c r="A984" s="10" t="str">
        <f t="shared" si="63"/>
        <v/>
      </c>
      <c r="B984" s="45"/>
      <c r="C984" s="13" t="str">
        <f t="shared" si="60"/>
        <v/>
      </c>
      <c r="D984" s="13" t="str">
        <f t="shared" si="61"/>
        <v/>
      </c>
      <c r="E984" s="45"/>
      <c r="F984" s="11" t="str">
        <f>IFERROR(VLOOKUP(E984,Category!$D$2:$E$600,2,FALSE),"")</f>
        <v/>
      </c>
      <c r="G984" s="56"/>
      <c r="H984" s="56"/>
      <c r="I984" s="16" t="str">
        <f t="shared" si="62"/>
        <v/>
      </c>
      <c r="J984" s="45"/>
      <c r="K984" s="45"/>
      <c r="L984" s="45"/>
    </row>
    <row r="985" spans="1:12">
      <c r="A985" s="10" t="str">
        <f t="shared" si="63"/>
        <v/>
      </c>
      <c r="B985" s="45"/>
      <c r="C985" s="13" t="str">
        <f t="shared" si="60"/>
        <v/>
      </c>
      <c r="D985" s="13" t="str">
        <f t="shared" si="61"/>
        <v/>
      </c>
      <c r="E985" s="45"/>
      <c r="F985" s="11" t="str">
        <f>IFERROR(VLOOKUP(E985,Category!$D$2:$E$600,2,FALSE),"")</f>
        <v/>
      </c>
      <c r="G985" s="56"/>
      <c r="H985" s="56"/>
      <c r="I985" s="16" t="str">
        <f t="shared" si="62"/>
        <v/>
      </c>
      <c r="J985" s="45"/>
      <c r="K985" s="45"/>
      <c r="L985" s="45"/>
    </row>
    <row r="986" spans="1:12">
      <c r="A986" s="10" t="str">
        <f t="shared" si="63"/>
        <v/>
      </c>
      <c r="B986" s="45"/>
      <c r="C986" s="13" t="str">
        <f t="shared" si="60"/>
        <v/>
      </c>
      <c r="D986" s="13" t="str">
        <f t="shared" si="61"/>
        <v/>
      </c>
      <c r="E986" s="45"/>
      <c r="F986" s="11" t="str">
        <f>IFERROR(VLOOKUP(E986,Category!$D$2:$E$600,2,FALSE),"")</f>
        <v/>
      </c>
      <c r="G986" s="56"/>
      <c r="H986" s="56"/>
      <c r="I986" s="16" t="str">
        <f t="shared" si="62"/>
        <v/>
      </c>
      <c r="J986" s="45"/>
      <c r="K986" s="45"/>
      <c r="L986" s="45"/>
    </row>
    <row r="987" spans="1:12">
      <c r="A987" s="10" t="str">
        <f t="shared" si="63"/>
        <v/>
      </c>
      <c r="B987" s="45"/>
      <c r="C987" s="13" t="str">
        <f t="shared" si="60"/>
        <v/>
      </c>
      <c r="D987" s="13" t="str">
        <f t="shared" si="61"/>
        <v/>
      </c>
      <c r="E987" s="45"/>
      <c r="F987" s="11" t="str">
        <f>IFERROR(VLOOKUP(E987,Category!$D$2:$E$600,2,FALSE),"")</f>
        <v/>
      </c>
      <c r="G987" s="56"/>
      <c r="H987" s="56"/>
      <c r="I987" s="16" t="str">
        <f t="shared" si="62"/>
        <v/>
      </c>
      <c r="J987" s="45"/>
      <c r="K987" s="45"/>
      <c r="L987" s="45"/>
    </row>
    <row r="988" spans="1:12">
      <c r="A988" s="10" t="str">
        <f t="shared" si="63"/>
        <v/>
      </c>
      <c r="B988" s="45"/>
      <c r="C988" s="13" t="str">
        <f t="shared" si="60"/>
        <v/>
      </c>
      <c r="D988" s="13" t="str">
        <f t="shared" si="61"/>
        <v/>
      </c>
      <c r="E988" s="45"/>
      <c r="F988" s="11" t="str">
        <f>IFERROR(VLOOKUP(E988,Category!$D$2:$E$600,2,FALSE),"")</f>
        <v/>
      </c>
      <c r="G988" s="56"/>
      <c r="H988" s="56"/>
      <c r="I988" s="16" t="str">
        <f t="shared" si="62"/>
        <v/>
      </c>
      <c r="J988" s="45"/>
      <c r="K988" s="45"/>
      <c r="L988" s="45"/>
    </row>
    <row r="989" spans="1:12">
      <c r="A989" s="10" t="str">
        <f t="shared" si="63"/>
        <v/>
      </c>
      <c r="B989" s="45"/>
      <c r="C989" s="13" t="str">
        <f t="shared" si="60"/>
        <v/>
      </c>
      <c r="D989" s="13" t="str">
        <f t="shared" si="61"/>
        <v/>
      </c>
      <c r="E989" s="45"/>
      <c r="F989" s="11" t="str">
        <f>IFERROR(VLOOKUP(E989,Category!$D$2:$E$600,2,FALSE),"")</f>
        <v/>
      </c>
      <c r="G989" s="56"/>
      <c r="H989" s="56"/>
      <c r="I989" s="16" t="str">
        <f t="shared" si="62"/>
        <v/>
      </c>
      <c r="J989" s="45"/>
      <c r="K989" s="45"/>
      <c r="L989" s="45"/>
    </row>
    <row r="990" spans="1:12">
      <c r="A990" s="10" t="str">
        <f t="shared" si="63"/>
        <v/>
      </c>
      <c r="B990" s="45"/>
      <c r="C990" s="13" t="str">
        <f t="shared" si="60"/>
        <v/>
      </c>
      <c r="D990" s="13" t="str">
        <f t="shared" si="61"/>
        <v/>
      </c>
      <c r="E990" s="45"/>
      <c r="F990" s="11" t="str">
        <f>IFERROR(VLOOKUP(E990,Category!$D$2:$E$600,2,FALSE),"")</f>
        <v/>
      </c>
      <c r="G990" s="56"/>
      <c r="H990" s="56"/>
      <c r="I990" s="16" t="str">
        <f t="shared" si="62"/>
        <v/>
      </c>
      <c r="J990" s="45"/>
      <c r="K990" s="45"/>
      <c r="L990" s="45"/>
    </row>
    <row r="991" spans="1:12">
      <c r="A991" s="10" t="str">
        <f t="shared" si="63"/>
        <v/>
      </c>
      <c r="B991" s="45"/>
      <c r="C991" s="13" t="str">
        <f t="shared" si="60"/>
        <v/>
      </c>
      <c r="D991" s="13" t="str">
        <f t="shared" si="61"/>
        <v/>
      </c>
      <c r="E991" s="45"/>
      <c r="F991" s="11" t="str">
        <f>IFERROR(VLOOKUP(E991,Category!$D$2:$E$600,2,FALSE),"")</f>
        <v/>
      </c>
      <c r="G991" s="56"/>
      <c r="H991" s="56"/>
      <c r="I991" s="16" t="str">
        <f t="shared" si="62"/>
        <v/>
      </c>
      <c r="J991" s="45"/>
      <c r="K991" s="45"/>
      <c r="L991" s="45"/>
    </row>
    <row r="992" spans="1:12">
      <c r="A992" s="10" t="str">
        <f t="shared" si="63"/>
        <v/>
      </c>
      <c r="B992" s="45"/>
      <c r="C992" s="13" t="str">
        <f t="shared" si="60"/>
        <v/>
      </c>
      <c r="D992" s="13" t="str">
        <f t="shared" si="61"/>
        <v/>
      </c>
      <c r="E992" s="45"/>
      <c r="F992" s="11" t="str">
        <f>IFERROR(VLOOKUP(E992,Category!$D$2:$E$600,2,FALSE),"")</f>
        <v/>
      </c>
      <c r="G992" s="56"/>
      <c r="H992" s="56"/>
      <c r="I992" s="16" t="str">
        <f t="shared" si="62"/>
        <v/>
      </c>
      <c r="J992" s="45"/>
      <c r="K992" s="45"/>
      <c r="L992" s="45"/>
    </row>
    <row r="993" spans="1:12">
      <c r="A993" s="10" t="str">
        <f t="shared" si="63"/>
        <v/>
      </c>
      <c r="B993" s="45"/>
      <c r="C993" s="13" t="str">
        <f t="shared" si="60"/>
        <v/>
      </c>
      <c r="D993" s="13" t="str">
        <f t="shared" si="61"/>
        <v/>
      </c>
      <c r="E993" s="45"/>
      <c r="F993" s="11" t="str">
        <f>IFERROR(VLOOKUP(E993,Category!$D$2:$E$600,2,FALSE),"")</f>
        <v/>
      </c>
      <c r="G993" s="56"/>
      <c r="H993" s="56"/>
      <c r="I993" s="16" t="str">
        <f t="shared" si="62"/>
        <v/>
      </c>
      <c r="J993" s="45"/>
      <c r="K993" s="45"/>
      <c r="L993" s="45"/>
    </row>
    <row r="994" spans="1:12">
      <c r="A994" s="10" t="str">
        <f t="shared" si="63"/>
        <v/>
      </c>
      <c r="B994" s="45"/>
      <c r="C994" s="13" t="str">
        <f t="shared" si="60"/>
        <v/>
      </c>
      <c r="D994" s="13" t="str">
        <f t="shared" si="61"/>
        <v/>
      </c>
      <c r="E994" s="45"/>
      <c r="F994" s="11" t="str">
        <f>IFERROR(VLOOKUP(E994,Category!$D$2:$E$600,2,FALSE),"")</f>
        <v/>
      </c>
      <c r="G994" s="56"/>
      <c r="H994" s="56"/>
      <c r="I994" s="16" t="str">
        <f t="shared" si="62"/>
        <v/>
      </c>
      <c r="J994" s="45"/>
      <c r="K994" s="45"/>
      <c r="L994" s="45"/>
    </row>
    <row r="995" spans="1:12">
      <c r="A995" s="10" t="str">
        <f t="shared" si="63"/>
        <v/>
      </c>
      <c r="B995" s="45"/>
      <c r="C995" s="13" t="str">
        <f t="shared" si="60"/>
        <v/>
      </c>
      <c r="D995" s="13" t="str">
        <f t="shared" si="61"/>
        <v/>
      </c>
      <c r="E995" s="45"/>
      <c r="F995" s="11" t="str">
        <f>IFERROR(VLOOKUP(E995,Category!$D$2:$E$600,2,FALSE),"")</f>
        <v/>
      </c>
      <c r="G995" s="56"/>
      <c r="H995" s="56"/>
      <c r="I995" s="16" t="str">
        <f t="shared" si="62"/>
        <v/>
      </c>
      <c r="J995" s="45"/>
      <c r="K995" s="45"/>
      <c r="L995" s="45"/>
    </row>
  </sheetData>
  <sheetProtection algorithmName="SHA-512" hashValue="FXl9Hc5Zc9agrKGT5D7tiNUbF/J0eJd8XkHMc8I0v1OQynxqbvoLc8spu7Qyu/vN15GStvKziGESILoZcaGeOw==" saltValue="6Y2x6Hucu7LRq5rbJMdhhg==" spinCount="100000" sheet="1" objects="1" scenarios="1" selectLockedCells="1"/>
  <conditionalFormatting sqref="A1:L2 I4:L4 E4:G4 B25:B995 E5:L5 A3:B3 E3:L3 C3:D995 A4:A995 E24:L995 E6:G14 I13:I14 E15:I17 E18:G18 I18 E19:I23 I6:L12">
    <cfRule type="expression" dxfId="25" priority="10">
      <formula>$L1="Pending"</formula>
    </cfRule>
  </conditionalFormatting>
  <conditionalFormatting sqref="B4:B14">
    <cfRule type="expression" dxfId="24" priority="20">
      <formula>$L4="Pending"</formula>
    </cfRule>
  </conditionalFormatting>
  <conditionalFormatting sqref="M6:M13">
    <cfRule type="expression" dxfId="23" priority="9">
      <formula>$L6="Pending"</formula>
    </cfRule>
  </conditionalFormatting>
  <conditionalFormatting sqref="H7:H15">
    <cfRule type="expression" dxfId="22" priority="8">
      <formula>$L7="Pending"</formula>
    </cfRule>
  </conditionalFormatting>
  <conditionalFormatting sqref="B15">
    <cfRule type="expression" dxfId="21" priority="7">
      <formula>$L15="Pending"</formula>
    </cfRule>
  </conditionalFormatting>
  <conditionalFormatting sqref="J13:L19">
    <cfRule type="expression" dxfId="20" priority="6">
      <formula>$L13="Pending"</formula>
    </cfRule>
  </conditionalFormatting>
  <conditionalFormatting sqref="B16 B18 B20">
    <cfRule type="expression" dxfId="19" priority="5">
      <formula>$L16="Pending"</formula>
    </cfRule>
  </conditionalFormatting>
  <conditionalFormatting sqref="B17 B19">
    <cfRule type="expression" dxfId="18" priority="4">
      <formula>$L17="Pending"</formula>
    </cfRule>
  </conditionalFormatting>
  <conditionalFormatting sqref="B22 B24">
    <cfRule type="expression" dxfId="17" priority="3">
      <formula>$L22="Pending"</formula>
    </cfRule>
  </conditionalFormatting>
  <conditionalFormatting sqref="B21 B23">
    <cfRule type="expression" dxfId="16" priority="2">
      <formula>$L21="Pending"</formula>
    </cfRule>
  </conditionalFormatting>
  <conditionalFormatting sqref="J20:L23">
    <cfRule type="expression" dxfId="15" priority="1">
      <formula>$L20="Pending"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5FA912A-0FB4-5F4A-957A-AA7F539E8536}">
          <x14:formula1>
            <xm:f>'Product List'!$C$2:$C$27</xm:f>
          </x14:formula1>
          <xm:sqref>E2:E995</xm:sqref>
        </x14:dataValidation>
        <x14:dataValidation type="list" allowBlank="1" showInputMessage="1" showErrorMessage="1" xr:uid="{FFB65315-1931-A546-811E-F919ADAA91FF}">
          <x14:formula1>
            <xm:f>Category!$G$2:$G$30</xm:f>
          </x14:formula1>
          <xm:sqref>J2:J995</xm:sqref>
        </x14:dataValidation>
        <x14:dataValidation type="list" allowBlank="1" showInputMessage="1" showErrorMessage="1" xr:uid="{017AD715-3FD6-CC4E-BFB1-1146FB7FB75A}">
          <x14:formula1>
            <xm:f>Category!$I$2:$I$3</xm:f>
          </x14:formula1>
          <xm:sqref>K2:K995</xm:sqref>
        </x14:dataValidation>
        <x14:dataValidation type="list" allowBlank="1" showInputMessage="1" showErrorMessage="1" xr:uid="{8F167573-217F-4E40-A3A3-2800C88AE0A7}">
          <x14:formula1>
            <xm:f>Category!$H$2:$H$3</xm:f>
          </x14:formula1>
          <xm:sqref>L2:L995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31F6C-EE2F-754A-85F9-1B2370960E20}">
  <sheetPr codeName="Sheet5"/>
  <dimension ref="A1:U1496"/>
  <sheetViews>
    <sheetView showGridLines="0" zoomScale="108" zoomScaleNormal="108" workbookViewId="0">
      <selection activeCell="E23" sqref="E23"/>
    </sheetView>
  </sheetViews>
  <sheetFormatPr baseColWidth="10" defaultColWidth="6.1640625" defaultRowHeight="16"/>
  <cols>
    <col min="1" max="1" width="5.83203125" bestFit="1" customWidth="1"/>
    <col min="2" max="2" width="9.83203125" style="64" bestFit="1" customWidth="1"/>
    <col min="3" max="3" width="8.1640625" style="27" customWidth="1"/>
    <col min="4" max="4" width="5.1640625" style="27" bestFit="1" customWidth="1"/>
    <col min="5" max="5" width="26.1640625" style="50" bestFit="1" customWidth="1"/>
    <col min="6" max="6" width="9.5" style="27" customWidth="1"/>
    <col min="7" max="7" width="10" style="68" bestFit="1" customWidth="1"/>
    <col min="8" max="8" width="11.5" style="57" customWidth="1"/>
    <col min="9" max="9" width="11.1640625" style="69" bestFit="1" customWidth="1"/>
    <col min="10" max="10" width="9.6640625" style="69" customWidth="1"/>
    <col min="11" max="11" width="10.83203125" style="69" customWidth="1"/>
    <col min="12" max="12" width="11.83203125" style="69" customWidth="1"/>
    <col min="13" max="14" width="9.6640625" style="30" customWidth="1"/>
    <col min="15" max="15" width="9.6640625" style="30" bestFit="1" customWidth="1"/>
    <col min="16" max="16" width="15.6640625" style="71" customWidth="1"/>
    <col min="17" max="17" width="10" style="71" customWidth="1"/>
    <col min="18" max="18" width="13.5" style="71" customWidth="1"/>
    <col min="19" max="19" width="10.1640625" style="50" bestFit="1" customWidth="1"/>
    <col min="20" max="20" width="9.6640625" style="30" customWidth="1"/>
    <col min="21" max="21" width="8.6640625" bestFit="1" customWidth="1"/>
  </cols>
  <sheetData>
    <row r="1" spans="1:21" s="2" customFormat="1" ht="51">
      <c r="A1" s="24" t="s">
        <v>0</v>
      </c>
      <c r="B1" s="62" t="s">
        <v>25</v>
      </c>
      <c r="C1" s="24" t="s">
        <v>17</v>
      </c>
      <c r="D1" s="24" t="s">
        <v>18</v>
      </c>
      <c r="E1" s="62" t="s">
        <v>2</v>
      </c>
      <c r="F1" s="24" t="s">
        <v>1</v>
      </c>
      <c r="G1" s="62" t="s">
        <v>30</v>
      </c>
      <c r="H1" s="62" t="s">
        <v>53</v>
      </c>
      <c r="I1" s="62" t="s">
        <v>54</v>
      </c>
      <c r="J1" s="62" t="s">
        <v>107</v>
      </c>
      <c r="K1" s="62" t="s">
        <v>120</v>
      </c>
      <c r="L1" s="62" t="s">
        <v>137</v>
      </c>
      <c r="M1" s="24" t="s">
        <v>108</v>
      </c>
      <c r="N1" s="24" t="s">
        <v>109</v>
      </c>
      <c r="O1" s="24" t="s">
        <v>55</v>
      </c>
      <c r="P1" s="70" t="s">
        <v>56</v>
      </c>
      <c r="Q1" s="70" t="s">
        <v>15</v>
      </c>
      <c r="R1" s="70" t="s">
        <v>16</v>
      </c>
      <c r="S1" s="70" t="s">
        <v>60</v>
      </c>
      <c r="T1" s="24" t="s">
        <v>110</v>
      </c>
    </row>
    <row r="2" spans="1:21">
      <c r="A2" s="10">
        <f>IF(E2&gt;0,1,"")</f>
        <v>1</v>
      </c>
      <c r="B2" s="63">
        <v>46246</v>
      </c>
      <c r="C2" s="25" t="str">
        <f>IF(B2=0,"",TEXT(B2,"mmmm"))</f>
        <v>August</v>
      </c>
      <c r="D2" s="25" t="str">
        <f>IF(B2=0,"",TEXT(B2,"yyyy"))</f>
        <v>2026</v>
      </c>
      <c r="E2" s="45" t="s">
        <v>128</v>
      </c>
      <c r="F2" s="28" t="str">
        <f>IFERROR(VLOOKUP(E2,Category!$D$2:$E$600,2,FALSE),"")</f>
        <v>TB-002</v>
      </c>
      <c r="G2" s="65">
        <v>20000</v>
      </c>
      <c r="H2" s="56">
        <v>1</v>
      </c>
      <c r="I2" s="66">
        <v>50000</v>
      </c>
      <c r="J2" s="67">
        <v>45000</v>
      </c>
      <c r="K2" s="67" t="s">
        <v>131</v>
      </c>
      <c r="L2" s="67" t="s">
        <v>122</v>
      </c>
      <c r="M2" s="29" t="str">
        <f>IFERROR(IF(O2&gt;0,IF(R2="Paid","",O2-J2),""),"")</f>
        <v/>
      </c>
      <c r="N2" s="29">
        <f>IF(J2&gt;0,IF(R2="Paid",O2-J2,""),"")</f>
        <v>5000</v>
      </c>
      <c r="O2" s="29">
        <f t="shared" ref="O2:O65" si="0">IF(H2*I2=0,"",H2*I2)</f>
        <v>50000</v>
      </c>
      <c r="P2" s="61" t="s">
        <v>124</v>
      </c>
      <c r="Q2" s="61" t="s">
        <v>59</v>
      </c>
      <c r="R2" s="61" t="s">
        <v>20</v>
      </c>
      <c r="S2" s="45" t="s">
        <v>61</v>
      </c>
      <c r="T2" s="29">
        <f t="shared" ref="T2:T65" si="1">IF(R2="paid",(H2*I2)-(G2*H2),"")</f>
        <v>30000</v>
      </c>
      <c r="U2" s="6"/>
    </row>
    <row r="3" spans="1:21">
      <c r="A3" s="10">
        <f>IF(E3&gt;0,A2+1,"")</f>
        <v>2</v>
      </c>
      <c r="B3" s="63">
        <v>46247</v>
      </c>
      <c r="C3" s="25" t="str">
        <f>IF(B3=0,"",TEXT(B3,"mmmm"))</f>
        <v>August</v>
      </c>
      <c r="D3" s="25" t="str">
        <f>IF(B3=0,"",TEXT(B3,"yyyy"))</f>
        <v>2026</v>
      </c>
      <c r="E3" s="45" t="s">
        <v>127</v>
      </c>
      <c r="F3" s="28" t="str">
        <f>IFERROR(VLOOKUP(E3,Category!$D$2:$E$600,2,FALSE),"")</f>
        <v>TB-003</v>
      </c>
      <c r="G3" s="65">
        <v>25000</v>
      </c>
      <c r="H3" s="56">
        <v>1</v>
      </c>
      <c r="I3" s="66">
        <v>60000</v>
      </c>
      <c r="J3" s="67">
        <v>40000</v>
      </c>
      <c r="K3" s="67" t="s">
        <v>131</v>
      </c>
      <c r="L3" s="67" t="s">
        <v>122</v>
      </c>
      <c r="M3" s="29" t="str">
        <f t="shared" ref="M3:M66" si="2">IFERROR(IF(O3&gt;0,IF(R3="Paid","",O3-J3),""),"")</f>
        <v/>
      </c>
      <c r="N3" s="29">
        <f t="shared" ref="N3:N66" si="3">IF(J3&gt;0,IF(R3="Paid",O3-J3,""),"")</f>
        <v>20000</v>
      </c>
      <c r="O3" s="29">
        <f t="shared" si="0"/>
        <v>60000</v>
      </c>
      <c r="P3" s="61" t="s">
        <v>125</v>
      </c>
      <c r="Q3" s="61" t="s">
        <v>59</v>
      </c>
      <c r="R3" s="61" t="s">
        <v>20</v>
      </c>
      <c r="S3" s="45" t="s">
        <v>61</v>
      </c>
      <c r="T3" s="29">
        <f t="shared" si="1"/>
        <v>35000</v>
      </c>
      <c r="U3" s="6"/>
    </row>
    <row r="4" spans="1:21">
      <c r="A4" s="10">
        <f t="shared" ref="A4:A67" si="4">IF(E4&gt;0,A3+1,"")</f>
        <v>3</v>
      </c>
      <c r="B4" s="63">
        <v>46248</v>
      </c>
      <c r="C4" s="25" t="str">
        <f t="shared" ref="C4:C66" si="5">IF(B4=0,"",TEXT(B4,"mmmm"))</f>
        <v>August</v>
      </c>
      <c r="D4" s="25" t="str">
        <f t="shared" ref="D4:D66" si="6">IF(B4=0,"",TEXT(B4,"yyyy"))</f>
        <v>2026</v>
      </c>
      <c r="E4" s="45" t="s">
        <v>126</v>
      </c>
      <c r="F4" s="28" t="str">
        <f>IFERROR(VLOOKUP(E4,Category!$D$2:$E$600,2,FALSE),"")</f>
        <v>TB-004</v>
      </c>
      <c r="G4" s="65">
        <v>25000</v>
      </c>
      <c r="H4" s="56">
        <v>1</v>
      </c>
      <c r="I4" s="66">
        <v>60000</v>
      </c>
      <c r="J4" s="67">
        <v>40000</v>
      </c>
      <c r="K4" s="67" t="s">
        <v>132</v>
      </c>
      <c r="L4" s="67" t="s">
        <v>122</v>
      </c>
      <c r="M4" s="29" t="str">
        <f t="shared" si="2"/>
        <v/>
      </c>
      <c r="N4" s="29">
        <f t="shared" si="3"/>
        <v>20000</v>
      </c>
      <c r="O4" s="29">
        <f t="shared" si="0"/>
        <v>60000</v>
      </c>
      <c r="P4" s="61" t="s">
        <v>138</v>
      </c>
      <c r="Q4" s="61" t="s">
        <v>59</v>
      </c>
      <c r="R4" s="61" t="s">
        <v>20</v>
      </c>
      <c r="S4" s="45" t="s">
        <v>61</v>
      </c>
      <c r="T4" s="29">
        <f t="shared" si="1"/>
        <v>35000</v>
      </c>
      <c r="U4" s="6"/>
    </row>
    <row r="5" spans="1:21">
      <c r="A5" s="10">
        <f t="shared" si="4"/>
        <v>4</v>
      </c>
      <c r="B5" s="63">
        <v>46249</v>
      </c>
      <c r="C5" s="25" t="str">
        <f t="shared" si="5"/>
        <v>August</v>
      </c>
      <c r="D5" s="25" t="str">
        <f t="shared" si="6"/>
        <v>2026</v>
      </c>
      <c r="E5" s="45" t="s">
        <v>128</v>
      </c>
      <c r="F5" s="28" t="str">
        <f>IFERROR(VLOOKUP(E5,Category!$D$2:$E$600,2,FALSE),"")</f>
        <v>TB-002</v>
      </c>
      <c r="G5" s="65">
        <v>20000</v>
      </c>
      <c r="H5" s="56">
        <v>1</v>
      </c>
      <c r="I5" s="66">
        <v>50000</v>
      </c>
      <c r="J5" s="67">
        <v>45000</v>
      </c>
      <c r="K5" s="67" t="s">
        <v>131</v>
      </c>
      <c r="L5" s="67" t="s">
        <v>122</v>
      </c>
      <c r="M5" s="29">
        <f t="shared" si="2"/>
        <v>5000</v>
      </c>
      <c r="N5" s="29" t="str">
        <f t="shared" si="3"/>
        <v/>
      </c>
      <c r="O5" s="29">
        <f t="shared" si="0"/>
        <v>50000</v>
      </c>
      <c r="P5" s="61" t="s">
        <v>125</v>
      </c>
      <c r="Q5" s="61" t="s">
        <v>59</v>
      </c>
      <c r="R5" s="61" t="s">
        <v>21</v>
      </c>
      <c r="S5" s="45" t="s">
        <v>61</v>
      </c>
      <c r="T5" s="29" t="str">
        <f t="shared" si="1"/>
        <v/>
      </c>
      <c r="U5" s="6"/>
    </row>
    <row r="6" spans="1:21">
      <c r="A6" s="10" t="str">
        <f t="shared" si="4"/>
        <v/>
      </c>
      <c r="B6" s="63"/>
      <c r="C6" s="25" t="str">
        <f t="shared" si="5"/>
        <v/>
      </c>
      <c r="D6" s="25" t="str">
        <f t="shared" si="6"/>
        <v/>
      </c>
      <c r="E6" s="45"/>
      <c r="F6" s="28" t="str">
        <f>IFERROR(VLOOKUP(E6,Category!$D$2:$E$600,2,FALSE),"")</f>
        <v/>
      </c>
      <c r="G6" s="65"/>
      <c r="H6" s="56"/>
      <c r="I6" s="66"/>
      <c r="J6" s="67"/>
      <c r="K6" s="67"/>
      <c r="L6" s="67"/>
      <c r="M6" s="29" t="str">
        <f t="shared" si="2"/>
        <v/>
      </c>
      <c r="N6" s="29" t="str">
        <f t="shared" si="3"/>
        <v/>
      </c>
      <c r="O6" s="29" t="str">
        <f t="shared" si="0"/>
        <v/>
      </c>
      <c r="P6" s="61"/>
      <c r="Q6" s="61"/>
      <c r="R6" s="61"/>
      <c r="S6" s="45"/>
      <c r="T6" s="29" t="str">
        <f t="shared" si="1"/>
        <v/>
      </c>
      <c r="U6" s="6"/>
    </row>
    <row r="7" spans="1:21">
      <c r="A7" s="10" t="str">
        <f t="shared" si="4"/>
        <v/>
      </c>
      <c r="B7" s="63"/>
      <c r="C7" s="25" t="str">
        <f t="shared" si="5"/>
        <v/>
      </c>
      <c r="D7" s="25" t="str">
        <f t="shared" si="6"/>
        <v/>
      </c>
      <c r="E7" s="45"/>
      <c r="F7" s="28" t="str">
        <f>IFERROR(VLOOKUP(E7,Category!$D$2:$E$600,2,FALSE),"")</f>
        <v/>
      </c>
      <c r="G7" s="65"/>
      <c r="H7" s="56"/>
      <c r="I7" s="66"/>
      <c r="J7" s="67"/>
      <c r="K7" s="67"/>
      <c r="L7" s="67"/>
      <c r="M7" s="29" t="str">
        <f t="shared" si="2"/>
        <v/>
      </c>
      <c r="N7" s="29" t="str">
        <f t="shared" si="3"/>
        <v/>
      </c>
      <c r="O7" s="29" t="str">
        <f t="shared" si="0"/>
        <v/>
      </c>
      <c r="P7" s="61"/>
      <c r="Q7" s="61"/>
      <c r="R7" s="61"/>
      <c r="S7" s="45"/>
      <c r="T7" s="29" t="str">
        <f t="shared" si="1"/>
        <v/>
      </c>
    </row>
    <row r="8" spans="1:21">
      <c r="A8" s="10" t="str">
        <f t="shared" si="4"/>
        <v/>
      </c>
      <c r="B8" s="63"/>
      <c r="C8" s="25" t="str">
        <f t="shared" si="5"/>
        <v/>
      </c>
      <c r="D8" s="25" t="str">
        <f t="shared" si="6"/>
        <v/>
      </c>
      <c r="E8" s="45"/>
      <c r="F8" s="28" t="str">
        <f>IFERROR(VLOOKUP(E8,Category!$D$2:$E$600,2,FALSE),"")</f>
        <v/>
      </c>
      <c r="G8" s="65"/>
      <c r="H8" s="56"/>
      <c r="I8" s="66"/>
      <c r="J8" s="67"/>
      <c r="K8" s="67"/>
      <c r="L8" s="67"/>
      <c r="M8" s="29" t="str">
        <f t="shared" si="2"/>
        <v/>
      </c>
      <c r="N8" s="29" t="str">
        <f t="shared" si="3"/>
        <v/>
      </c>
      <c r="O8" s="29" t="str">
        <f t="shared" si="0"/>
        <v/>
      </c>
      <c r="P8" s="61"/>
      <c r="Q8" s="61"/>
      <c r="R8" s="61"/>
      <c r="S8" s="45"/>
      <c r="T8" s="29" t="str">
        <f t="shared" si="1"/>
        <v/>
      </c>
    </row>
    <row r="9" spans="1:21">
      <c r="A9" s="10" t="str">
        <f t="shared" si="4"/>
        <v/>
      </c>
      <c r="B9" s="63"/>
      <c r="C9" s="25" t="str">
        <f t="shared" si="5"/>
        <v/>
      </c>
      <c r="D9" s="25" t="str">
        <f t="shared" si="6"/>
        <v/>
      </c>
      <c r="E9" s="45"/>
      <c r="F9" s="28" t="str">
        <f>IFERROR(VLOOKUP(E9,Category!$D$2:$E$600,2,FALSE),"")</f>
        <v/>
      </c>
      <c r="G9" s="65"/>
      <c r="H9" s="56"/>
      <c r="I9" s="66"/>
      <c r="J9" s="67"/>
      <c r="K9" s="67"/>
      <c r="L9" s="67"/>
      <c r="M9" s="29" t="str">
        <f t="shared" si="2"/>
        <v/>
      </c>
      <c r="N9" s="29" t="str">
        <f t="shared" si="3"/>
        <v/>
      </c>
      <c r="O9" s="29" t="str">
        <f t="shared" si="0"/>
        <v/>
      </c>
      <c r="P9" s="61"/>
      <c r="Q9" s="61"/>
      <c r="R9" s="61"/>
      <c r="S9" s="45"/>
      <c r="T9" s="29" t="str">
        <f t="shared" si="1"/>
        <v/>
      </c>
    </row>
    <row r="10" spans="1:21">
      <c r="A10" s="10" t="str">
        <f t="shared" si="4"/>
        <v/>
      </c>
      <c r="B10" s="63"/>
      <c r="C10" s="25" t="str">
        <f t="shared" si="5"/>
        <v/>
      </c>
      <c r="D10" s="25" t="str">
        <f t="shared" si="6"/>
        <v/>
      </c>
      <c r="E10" s="45"/>
      <c r="F10" s="28" t="str">
        <f>IFERROR(VLOOKUP(E10,Category!$D$2:$E$600,2,FALSE),"")</f>
        <v/>
      </c>
      <c r="G10" s="65"/>
      <c r="H10" s="56"/>
      <c r="I10" s="66"/>
      <c r="J10" s="67"/>
      <c r="K10" s="67"/>
      <c r="L10" s="67"/>
      <c r="M10" s="29" t="str">
        <f t="shared" si="2"/>
        <v/>
      </c>
      <c r="N10" s="29" t="str">
        <f t="shared" si="3"/>
        <v/>
      </c>
      <c r="O10" s="29" t="str">
        <f t="shared" si="0"/>
        <v/>
      </c>
      <c r="P10" s="61"/>
      <c r="Q10" s="61"/>
      <c r="R10" s="61"/>
      <c r="S10" s="45"/>
      <c r="T10" s="29" t="str">
        <f t="shared" si="1"/>
        <v/>
      </c>
    </row>
    <row r="11" spans="1:21">
      <c r="A11" s="10" t="str">
        <f t="shared" si="4"/>
        <v/>
      </c>
      <c r="B11" s="63"/>
      <c r="C11" s="25" t="str">
        <f t="shared" si="5"/>
        <v/>
      </c>
      <c r="D11" s="25" t="str">
        <f t="shared" si="6"/>
        <v/>
      </c>
      <c r="E11" s="45"/>
      <c r="F11" s="28" t="str">
        <f>IFERROR(VLOOKUP(E11,Category!$D$2:$E$600,2,FALSE),"")</f>
        <v/>
      </c>
      <c r="G11" s="65"/>
      <c r="H11" s="56"/>
      <c r="I11" s="66"/>
      <c r="J11" s="67"/>
      <c r="K11" s="67"/>
      <c r="L11" s="67"/>
      <c r="M11" s="29" t="str">
        <f t="shared" si="2"/>
        <v/>
      </c>
      <c r="N11" s="29" t="str">
        <f t="shared" si="3"/>
        <v/>
      </c>
      <c r="O11" s="29" t="str">
        <f t="shared" si="0"/>
        <v/>
      </c>
      <c r="P11" s="61"/>
      <c r="Q11" s="61"/>
      <c r="R11" s="61"/>
      <c r="S11" s="45"/>
      <c r="T11" s="29" t="str">
        <f t="shared" si="1"/>
        <v/>
      </c>
    </row>
    <row r="12" spans="1:21">
      <c r="A12" s="10" t="str">
        <f t="shared" si="4"/>
        <v/>
      </c>
      <c r="B12" s="63"/>
      <c r="C12" s="25" t="str">
        <f t="shared" si="5"/>
        <v/>
      </c>
      <c r="D12" s="25" t="str">
        <f t="shared" si="6"/>
        <v/>
      </c>
      <c r="E12" s="45"/>
      <c r="F12" s="28" t="str">
        <f>IFERROR(VLOOKUP(E12,Category!$D$2:$E$600,2,FALSE),"")</f>
        <v/>
      </c>
      <c r="G12" s="65"/>
      <c r="H12" s="56"/>
      <c r="I12" s="66"/>
      <c r="J12" s="67"/>
      <c r="K12" s="67"/>
      <c r="L12" s="67"/>
      <c r="M12" s="29" t="str">
        <f t="shared" si="2"/>
        <v/>
      </c>
      <c r="N12" s="29" t="str">
        <f t="shared" si="3"/>
        <v/>
      </c>
      <c r="O12" s="29" t="str">
        <f t="shared" si="0"/>
        <v/>
      </c>
      <c r="P12" s="61"/>
      <c r="Q12" s="61"/>
      <c r="R12" s="61"/>
      <c r="S12" s="45"/>
      <c r="T12" s="29" t="str">
        <f t="shared" si="1"/>
        <v/>
      </c>
    </row>
    <row r="13" spans="1:21">
      <c r="A13" s="10" t="str">
        <f t="shared" si="4"/>
        <v/>
      </c>
      <c r="B13" s="63"/>
      <c r="C13" s="25" t="str">
        <f t="shared" si="5"/>
        <v/>
      </c>
      <c r="D13" s="25" t="str">
        <f t="shared" si="6"/>
        <v/>
      </c>
      <c r="E13" s="45"/>
      <c r="F13" s="28" t="str">
        <f>IFERROR(VLOOKUP(E13,Category!$D$2:$E$600,2,FALSE),"")</f>
        <v/>
      </c>
      <c r="G13" s="65"/>
      <c r="H13" s="56"/>
      <c r="I13" s="66"/>
      <c r="J13" s="67"/>
      <c r="K13" s="67"/>
      <c r="L13" s="67"/>
      <c r="M13" s="29" t="str">
        <f t="shared" si="2"/>
        <v/>
      </c>
      <c r="N13" s="29" t="str">
        <f t="shared" si="3"/>
        <v/>
      </c>
      <c r="O13" s="29" t="str">
        <f t="shared" si="0"/>
        <v/>
      </c>
      <c r="P13" s="61"/>
      <c r="Q13" s="61"/>
      <c r="R13" s="61"/>
      <c r="S13" s="45"/>
      <c r="T13" s="29" t="str">
        <f t="shared" si="1"/>
        <v/>
      </c>
    </row>
    <row r="14" spans="1:21">
      <c r="A14" s="10" t="str">
        <f t="shared" si="4"/>
        <v/>
      </c>
      <c r="B14" s="63"/>
      <c r="C14" s="25" t="str">
        <f t="shared" si="5"/>
        <v/>
      </c>
      <c r="D14" s="25" t="str">
        <f t="shared" si="6"/>
        <v/>
      </c>
      <c r="E14" s="45"/>
      <c r="F14" s="28" t="str">
        <f>IFERROR(VLOOKUP(E14,Category!$D$2:$E$600,2,FALSE),"")</f>
        <v/>
      </c>
      <c r="G14" s="65"/>
      <c r="H14" s="56"/>
      <c r="I14" s="66"/>
      <c r="J14" s="67"/>
      <c r="K14" s="67"/>
      <c r="L14" s="67"/>
      <c r="M14" s="29" t="str">
        <f t="shared" si="2"/>
        <v/>
      </c>
      <c r="N14" s="29" t="str">
        <f t="shared" si="3"/>
        <v/>
      </c>
      <c r="O14" s="29" t="str">
        <f t="shared" si="0"/>
        <v/>
      </c>
      <c r="P14" s="61"/>
      <c r="Q14" s="61"/>
      <c r="R14" s="61"/>
      <c r="S14" s="45"/>
      <c r="T14" s="29" t="str">
        <f t="shared" si="1"/>
        <v/>
      </c>
    </row>
    <row r="15" spans="1:21">
      <c r="A15" s="10" t="str">
        <f t="shared" si="4"/>
        <v/>
      </c>
      <c r="B15" s="63"/>
      <c r="C15" s="25" t="str">
        <f t="shared" si="5"/>
        <v/>
      </c>
      <c r="D15" s="25" t="str">
        <f t="shared" si="6"/>
        <v/>
      </c>
      <c r="E15" s="45"/>
      <c r="F15" s="28" t="str">
        <f>IFERROR(VLOOKUP(E15,Category!$D$2:$E$600,2,FALSE),"")</f>
        <v/>
      </c>
      <c r="G15" s="65"/>
      <c r="H15" s="56"/>
      <c r="I15" s="66"/>
      <c r="J15" s="67"/>
      <c r="K15" s="67"/>
      <c r="L15" s="67"/>
      <c r="M15" s="29" t="str">
        <f t="shared" si="2"/>
        <v/>
      </c>
      <c r="N15" s="29" t="str">
        <f t="shared" si="3"/>
        <v/>
      </c>
      <c r="O15" s="29" t="str">
        <f t="shared" si="0"/>
        <v/>
      </c>
      <c r="P15" s="61"/>
      <c r="Q15" s="61"/>
      <c r="R15" s="61"/>
      <c r="S15" s="45"/>
      <c r="T15" s="29" t="str">
        <f t="shared" si="1"/>
        <v/>
      </c>
    </row>
    <row r="16" spans="1:21">
      <c r="A16" s="10" t="str">
        <f t="shared" si="4"/>
        <v/>
      </c>
      <c r="B16" s="63"/>
      <c r="C16" s="25" t="str">
        <f t="shared" si="5"/>
        <v/>
      </c>
      <c r="D16" s="25" t="str">
        <f t="shared" si="6"/>
        <v/>
      </c>
      <c r="E16" s="45"/>
      <c r="F16" s="28" t="str">
        <f>IFERROR(VLOOKUP(E16,Category!$D$2:$E$600,2,FALSE),"")</f>
        <v/>
      </c>
      <c r="G16" s="65"/>
      <c r="H16" s="56"/>
      <c r="I16" s="66"/>
      <c r="J16" s="67"/>
      <c r="K16" s="67"/>
      <c r="L16" s="67"/>
      <c r="M16" s="29" t="str">
        <f t="shared" si="2"/>
        <v/>
      </c>
      <c r="N16" s="29" t="str">
        <f t="shared" si="3"/>
        <v/>
      </c>
      <c r="O16" s="29" t="str">
        <f t="shared" si="0"/>
        <v/>
      </c>
      <c r="P16" s="61"/>
      <c r="Q16" s="61"/>
      <c r="R16" s="61"/>
      <c r="S16" s="45"/>
      <c r="T16" s="29" t="str">
        <f t="shared" si="1"/>
        <v/>
      </c>
    </row>
    <row r="17" spans="1:20">
      <c r="A17" s="10" t="str">
        <f t="shared" si="4"/>
        <v/>
      </c>
      <c r="B17" s="63"/>
      <c r="C17" s="25" t="str">
        <f t="shared" si="5"/>
        <v/>
      </c>
      <c r="D17" s="25" t="str">
        <f t="shared" si="6"/>
        <v/>
      </c>
      <c r="E17" s="45"/>
      <c r="F17" s="28" t="str">
        <f>IFERROR(VLOOKUP(E17,Category!$D$2:$E$600,2,FALSE),"")</f>
        <v/>
      </c>
      <c r="G17" s="65"/>
      <c r="H17" s="56"/>
      <c r="I17" s="66"/>
      <c r="J17" s="67"/>
      <c r="K17" s="67"/>
      <c r="L17" s="67"/>
      <c r="M17" s="29" t="str">
        <f t="shared" si="2"/>
        <v/>
      </c>
      <c r="N17" s="29" t="str">
        <f t="shared" si="3"/>
        <v/>
      </c>
      <c r="O17" s="29" t="str">
        <f t="shared" si="0"/>
        <v/>
      </c>
      <c r="P17" s="61"/>
      <c r="Q17" s="61"/>
      <c r="R17" s="61"/>
      <c r="S17" s="45"/>
      <c r="T17" s="29" t="str">
        <f t="shared" si="1"/>
        <v/>
      </c>
    </row>
    <row r="18" spans="1:20">
      <c r="A18" s="10" t="str">
        <f t="shared" si="4"/>
        <v/>
      </c>
      <c r="B18" s="63"/>
      <c r="C18" s="25" t="str">
        <f t="shared" si="5"/>
        <v/>
      </c>
      <c r="D18" s="25" t="str">
        <f t="shared" si="6"/>
        <v/>
      </c>
      <c r="E18" s="45"/>
      <c r="F18" s="28" t="str">
        <f>IFERROR(VLOOKUP(E18,Category!$D$2:$E$600,2,FALSE),"")</f>
        <v/>
      </c>
      <c r="G18" s="65"/>
      <c r="H18" s="56"/>
      <c r="I18" s="66"/>
      <c r="J18" s="67"/>
      <c r="K18" s="67"/>
      <c r="L18" s="67"/>
      <c r="M18" s="29" t="str">
        <f t="shared" si="2"/>
        <v/>
      </c>
      <c r="N18" s="29" t="str">
        <f t="shared" si="3"/>
        <v/>
      </c>
      <c r="O18" s="29" t="str">
        <f t="shared" si="0"/>
        <v/>
      </c>
      <c r="P18" s="61"/>
      <c r="Q18" s="61"/>
      <c r="R18" s="61"/>
      <c r="S18" s="45"/>
      <c r="T18" s="29" t="str">
        <f t="shared" si="1"/>
        <v/>
      </c>
    </row>
    <row r="19" spans="1:20">
      <c r="A19" s="10" t="str">
        <f t="shared" si="4"/>
        <v/>
      </c>
      <c r="B19" s="63"/>
      <c r="C19" s="25" t="str">
        <f t="shared" si="5"/>
        <v/>
      </c>
      <c r="D19" s="25" t="str">
        <f t="shared" si="6"/>
        <v/>
      </c>
      <c r="E19" s="45"/>
      <c r="F19" s="28" t="str">
        <f>IFERROR(VLOOKUP(E19,Category!$D$2:$E$600,2,FALSE),"")</f>
        <v/>
      </c>
      <c r="G19" s="65"/>
      <c r="H19" s="56"/>
      <c r="I19" s="66"/>
      <c r="J19" s="67"/>
      <c r="K19" s="67"/>
      <c r="L19" s="67"/>
      <c r="M19" s="29" t="str">
        <f t="shared" si="2"/>
        <v/>
      </c>
      <c r="N19" s="29" t="str">
        <f t="shared" si="3"/>
        <v/>
      </c>
      <c r="O19" s="29" t="str">
        <f t="shared" si="0"/>
        <v/>
      </c>
      <c r="P19" s="61"/>
      <c r="Q19" s="61"/>
      <c r="R19" s="61"/>
      <c r="S19" s="45"/>
      <c r="T19" s="29" t="str">
        <f t="shared" si="1"/>
        <v/>
      </c>
    </row>
    <row r="20" spans="1:20">
      <c r="A20" s="10" t="str">
        <f t="shared" si="4"/>
        <v/>
      </c>
      <c r="B20" s="63"/>
      <c r="C20" s="25" t="str">
        <f t="shared" si="5"/>
        <v/>
      </c>
      <c r="D20" s="25" t="str">
        <f t="shared" si="6"/>
        <v/>
      </c>
      <c r="E20" s="45"/>
      <c r="F20" s="28" t="str">
        <f>IFERROR(VLOOKUP(E20,Category!$D$2:$E$600,2,FALSE),"")</f>
        <v/>
      </c>
      <c r="G20" s="65"/>
      <c r="H20" s="56"/>
      <c r="I20" s="66"/>
      <c r="J20" s="67"/>
      <c r="K20" s="67"/>
      <c r="L20" s="67"/>
      <c r="M20" s="29" t="str">
        <f t="shared" si="2"/>
        <v/>
      </c>
      <c r="N20" s="29" t="str">
        <f t="shared" si="3"/>
        <v/>
      </c>
      <c r="O20" s="29" t="str">
        <f t="shared" si="0"/>
        <v/>
      </c>
      <c r="P20" s="61"/>
      <c r="Q20" s="61"/>
      <c r="R20" s="61"/>
      <c r="S20" s="45"/>
      <c r="T20" s="29" t="str">
        <f t="shared" si="1"/>
        <v/>
      </c>
    </row>
    <row r="21" spans="1:20">
      <c r="A21" s="10" t="str">
        <f t="shared" si="4"/>
        <v/>
      </c>
      <c r="B21" s="63"/>
      <c r="C21" s="25" t="str">
        <f t="shared" si="5"/>
        <v/>
      </c>
      <c r="D21" s="25" t="str">
        <f t="shared" si="6"/>
        <v/>
      </c>
      <c r="E21" s="45"/>
      <c r="F21" s="28" t="str">
        <f>IFERROR(VLOOKUP(E21,Category!$D$2:$E$600,2,FALSE),"")</f>
        <v/>
      </c>
      <c r="G21" s="65"/>
      <c r="H21" s="56"/>
      <c r="I21" s="66"/>
      <c r="J21" s="67"/>
      <c r="K21" s="67"/>
      <c r="L21" s="67"/>
      <c r="M21" s="29" t="str">
        <f t="shared" si="2"/>
        <v/>
      </c>
      <c r="N21" s="29" t="str">
        <f t="shared" si="3"/>
        <v/>
      </c>
      <c r="O21" s="29" t="str">
        <f t="shared" si="0"/>
        <v/>
      </c>
      <c r="P21" s="61"/>
      <c r="Q21" s="61"/>
      <c r="R21" s="61"/>
      <c r="S21" s="45"/>
      <c r="T21" s="29" t="str">
        <f t="shared" si="1"/>
        <v/>
      </c>
    </row>
    <row r="22" spans="1:20">
      <c r="A22" s="10" t="str">
        <f t="shared" si="4"/>
        <v/>
      </c>
      <c r="B22" s="63"/>
      <c r="C22" s="25" t="str">
        <f t="shared" si="5"/>
        <v/>
      </c>
      <c r="D22" s="25" t="str">
        <f t="shared" si="6"/>
        <v/>
      </c>
      <c r="E22" s="45"/>
      <c r="F22" s="28" t="str">
        <f>IFERROR(VLOOKUP(E22,Category!$D$2:$E$600,2,FALSE),"")</f>
        <v/>
      </c>
      <c r="G22" s="65"/>
      <c r="H22" s="56"/>
      <c r="I22" s="66"/>
      <c r="J22" s="67"/>
      <c r="K22" s="67"/>
      <c r="L22" s="67"/>
      <c r="M22" s="29" t="str">
        <f t="shared" si="2"/>
        <v/>
      </c>
      <c r="N22" s="29" t="str">
        <f t="shared" si="3"/>
        <v/>
      </c>
      <c r="O22" s="29" t="str">
        <f t="shared" si="0"/>
        <v/>
      </c>
      <c r="P22" s="61"/>
      <c r="Q22" s="61"/>
      <c r="R22" s="61"/>
      <c r="S22" s="45"/>
      <c r="T22" s="29" t="str">
        <f t="shared" si="1"/>
        <v/>
      </c>
    </row>
    <row r="23" spans="1:20">
      <c r="A23" s="10" t="str">
        <f t="shared" si="4"/>
        <v/>
      </c>
      <c r="B23" s="63"/>
      <c r="C23" s="25" t="str">
        <f t="shared" si="5"/>
        <v/>
      </c>
      <c r="D23" s="25" t="str">
        <f t="shared" si="6"/>
        <v/>
      </c>
      <c r="E23" s="45"/>
      <c r="F23" s="28" t="str">
        <f>IFERROR(VLOOKUP(E23,Category!$D$2:$E$600,2,FALSE),"")</f>
        <v/>
      </c>
      <c r="G23" s="65"/>
      <c r="H23" s="56"/>
      <c r="I23" s="66"/>
      <c r="J23" s="67"/>
      <c r="K23" s="67"/>
      <c r="L23" s="67"/>
      <c r="M23" s="29" t="str">
        <f t="shared" si="2"/>
        <v/>
      </c>
      <c r="N23" s="29" t="str">
        <f t="shared" si="3"/>
        <v/>
      </c>
      <c r="O23" s="29" t="str">
        <f t="shared" si="0"/>
        <v/>
      </c>
      <c r="P23" s="61"/>
      <c r="Q23" s="61"/>
      <c r="R23" s="61"/>
      <c r="S23" s="45"/>
      <c r="T23" s="29" t="str">
        <f t="shared" si="1"/>
        <v/>
      </c>
    </row>
    <row r="24" spans="1:20">
      <c r="A24" s="10" t="str">
        <f t="shared" si="4"/>
        <v/>
      </c>
      <c r="B24" s="63"/>
      <c r="C24" s="25" t="str">
        <f t="shared" si="5"/>
        <v/>
      </c>
      <c r="D24" s="25" t="str">
        <f t="shared" si="6"/>
        <v/>
      </c>
      <c r="E24" s="45"/>
      <c r="F24" s="28" t="str">
        <f>IFERROR(VLOOKUP(E24,Category!$D$2:$E$600,2,FALSE),"")</f>
        <v/>
      </c>
      <c r="G24" s="65"/>
      <c r="H24" s="56"/>
      <c r="I24" s="66"/>
      <c r="J24" s="67"/>
      <c r="K24" s="67"/>
      <c r="L24" s="67"/>
      <c r="M24" s="29" t="str">
        <f t="shared" si="2"/>
        <v/>
      </c>
      <c r="N24" s="29" t="str">
        <f t="shared" si="3"/>
        <v/>
      </c>
      <c r="O24" s="29" t="str">
        <f t="shared" si="0"/>
        <v/>
      </c>
      <c r="P24" s="61"/>
      <c r="Q24" s="61"/>
      <c r="R24" s="61"/>
      <c r="S24" s="45"/>
      <c r="T24" s="29" t="str">
        <f t="shared" si="1"/>
        <v/>
      </c>
    </row>
    <row r="25" spans="1:20">
      <c r="A25" s="10" t="str">
        <f t="shared" si="4"/>
        <v/>
      </c>
      <c r="B25" s="63"/>
      <c r="C25" s="25" t="str">
        <f t="shared" si="5"/>
        <v/>
      </c>
      <c r="D25" s="25" t="str">
        <f t="shared" si="6"/>
        <v/>
      </c>
      <c r="E25" s="45"/>
      <c r="F25" s="28" t="str">
        <f>IFERROR(VLOOKUP(E25,Category!$D$2:$E$600,2,FALSE),"")</f>
        <v/>
      </c>
      <c r="G25" s="65"/>
      <c r="H25" s="56"/>
      <c r="I25" s="66"/>
      <c r="J25" s="67"/>
      <c r="K25" s="67"/>
      <c r="L25" s="67"/>
      <c r="M25" s="29" t="str">
        <f t="shared" si="2"/>
        <v/>
      </c>
      <c r="N25" s="29" t="str">
        <f t="shared" si="3"/>
        <v/>
      </c>
      <c r="O25" s="29" t="str">
        <f t="shared" si="0"/>
        <v/>
      </c>
      <c r="P25" s="61"/>
      <c r="Q25" s="61"/>
      <c r="R25" s="61"/>
      <c r="S25" s="45"/>
      <c r="T25" s="29" t="str">
        <f t="shared" si="1"/>
        <v/>
      </c>
    </row>
    <row r="26" spans="1:20">
      <c r="A26" s="10" t="str">
        <f t="shared" si="4"/>
        <v/>
      </c>
      <c r="B26" s="63"/>
      <c r="C26" s="25" t="str">
        <f t="shared" si="5"/>
        <v/>
      </c>
      <c r="D26" s="25" t="str">
        <f t="shared" si="6"/>
        <v/>
      </c>
      <c r="E26" s="45"/>
      <c r="F26" s="28" t="str">
        <f>IFERROR(VLOOKUP(E26,Category!$D$2:$E$600,2,FALSE),"")</f>
        <v/>
      </c>
      <c r="G26" s="65"/>
      <c r="H26" s="56"/>
      <c r="I26" s="66"/>
      <c r="J26" s="67"/>
      <c r="K26" s="67"/>
      <c r="L26" s="67"/>
      <c r="M26" s="29" t="str">
        <f t="shared" si="2"/>
        <v/>
      </c>
      <c r="N26" s="29" t="str">
        <f t="shared" si="3"/>
        <v/>
      </c>
      <c r="O26" s="29" t="str">
        <f t="shared" si="0"/>
        <v/>
      </c>
      <c r="P26" s="61"/>
      <c r="Q26" s="61"/>
      <c r="R26" s="61"/>
      <c r="S26" s="45"/>
      <c r="T26" s="29" t="str">
        <f t="shared" si="1"/>
        <v/>
      </c>
    </row>
    <row r="27" spans="1:20">
      <c r="A27" s="10" t="str">
        <f t="shared" si="4"/>
        <v/>
      </c>
      <c r="B27" s="63"/>
      <c r="C27" s="25" t="str">
        <f t="shared" si="5"/>
        <v/>
      </c>
      <c r="D27" s="25" t="str">
        <f t="shared" si="6"/>
        <v/>
      </c>
      <c r="E27" s="45"/>
      <c r="F27" s="28" t="str">
        <f>IFERROR(VLOOKUP(E27,Category!$D$2:$E$600,2,FALSE),"")</f>
        <v/>
      </c>
      <c r="G27" s="65"/>
      <c r="H27" s="56"/>
      <c r="I27" s="66"/>
      <c r="J27" s="67"/>
      <c r="K27" s="67"/>
      <c r="L27" s="67"/>
      <c r="M27" s="29" t="str">
        <f t="shared" si="2"/>
        <v/>
      </c>
      <c r="N27" s="29" t="str">
        <f t="shared" si="3"/>
        <v/>
      </c>
      <c r="O27" s="29" t="str">
        <f t="shared" si="0"/>
        <v/>
      </c>
      <c r="P27" s="61"/>
      <c r="Q27" s="61"/>
      <c r="R27" s="61"/>
      <c r="S27" s="45"/>
      <c r="T27" s="29" t="str">
        <f t="shared" si="1"/>
        <v/>
      </c>
    </row>
    <row r="28" spans="1:20">
      <c r="A28" s="10" t="str">
        <f t="shared" si="4"/>
        <v/>
      </c>
      <c r="B28" s="63"/>
      <c r="C28" s="25" t="str">
        <f t="shared" si="5"/>
        <v/>
      </c>
      <c r="D28" s="25" t="str">
        <f t="shared" si="6"/>
        <v/>
      </c>
      <c r="E28" s="45"/>
      <c r="F28" s="28" t="str">
        <f>IFERROR(VLOOKUP(E28,Category!$D$2:$E$600,2,FALSE),"")</f>
        <v/>
      </c>
      <c r="G28" s="65"/>
      <c r="H28" s="56"/>
      <c r="I28" s="66"/>
      <c r="J28" s="67"/>
      <c r="K28" s="67"/>
      <c r="L28" s="67"/>
      <c r="M28" s="29" t="str">
        <f t="shared" si="2"/>
        <v/>
      </c>
      <c r="N28" s="29" t="str">
        <f t="shared" si="3"/>
        <v/>
      </c>
      <c r="O28" s="29" t="str">
        <f t="shared" si="0"/>
        <v/>
      </c>
      <c r="P28" s="61"/>
      <c r="Q28" s="61"/>
      <c r="R28" s="61"/>
      <c r="S28" s="45"/>
      <c r="T28" s="29" t="str">
        <f t="shared" si="1"/>
        <v/>
      </c>
    </row>
    <row r="29" spans="1:20">
      <c r="A29" s="10" t="str">
        <f t="shared" si="4"/>
        <v/>
      </c>
      <c r="B29" s="63"/>
      <c r="C29" s="25" t="str">
        <f t="shared" si="5"/>
        <v/>
      </c>
      <c r="D29" s="25" t="str">
        <f t="shared" si="6"/>
        <v/>
      </c>
      <c r="E29" s="45"/>
      <c r="F29" s="28" t="str">
        <f>IFERROR(VLOOKUP(E29,Category!$D$2:$E$600,2,FALSE),"")</f>
        <v/>
      </c>
      <c r="G29" s="65"/>
      <c r="H29" s="56"/>
      <c r="I29" s="66"/>
      <c r="J29" s="67"/>
      <c r="K29" s="67"/>
      <c r="L29" s="67"/>
      <c r="M29" s="29" t="str">
        <f t="shared" si="2"/>
        <v/>
      </c>
      <c r="N29" s="29" t="str">
        <f t="shared" si="3"/>
        <v/>
      </c>
      <c r="O29" s="29" t="str">
        <f t="shared" si="0"/>
        <v/>
      </c>
      <c r="P29" s="61"/>
      <c r="Q29" s="61"/>
      <c r="R29" s="61"/>
      <c r="S29" s="45"/>
      <c r="T29" s="29" t="str">
        <f t="shared" si="1"/>
        <v/>
      </c>
    </row>
    <row r="30" spans="1:20">
      <c r="A30" s="10" t="str">
        <f t="shared" si="4"/>
        <v/>
      </c>
      <c r="B30" s="63"/>
      <c r="C30" s="25" t="str">
        <f t="shared" si="5"/>
        <v/>
      </c>
      <c r="D30" s="25" t="str">
        <f t="shared" si="6"/>
        <v/>
      </c>
      <c r="E30" s="45"/>
      <c r="F30" s="28" t="str">
        <f>IFERROR(VLOOKUP(E30,Category!$D$2:$E$600,2,FALSE),"")</f>
        <v/>
      </c>
      <c r="G30" s="65"/>
      <c r="H30" s="56"/>
      <c r="I30" s="66"/>
      <c r="J30" s="67"/>
      <c r="K30" s="67"/>
      <c r="L30" s="67"/>
      <c r="M30" s="29" t="str">
        <f t="shared" si="2"/>
        <v/>
      </c>
      <c r="N30" s="29" t="str">
        <f t="shared" si="3"/>
        <v/>
      </c>
      <c r="O30" s="29" t="str">
        <f t="shared" si="0"/>
        <v/>
      </c>
      <c r="P30" s="61"/>
      <c r="Q30" s="61"/>
      <c r="R30" s="61"/>
      <c r="S30" s="45"/>
      <c r="T30" s="29" t="str">
        <f t="shared" si="1"/>
        <v/>
      </c>
    </row>
    <row r="31" spans="1:20">
      <c r="A31" s="10" t="str">
        <f t="shared" si="4"/>
        <v/>
      </c>
      <c r="B31" s="63"/>
      <c r="C31" s="25" t="str">
        <f t="shared" si="5"/>
        <v/>
      </c>
      <c r="D31" s="25" t="str">
        <f t="shared" si="6"/>
        <v/>
      </c>
      <c r="E31" s="45"/>
      <c r="F31" s="28" t="str">
        <f>IFERROR(VLOOKUP(E31,Category!$D$2:$E$600,2,FALSE),"")</f>
        <v/>
      </c>
      <c r="G31" s="65"/>
      <c r="H31" s="56"/>
      <c r="I31" s="66"/>
      <c r="J31" s="67"/>
      <c r="K31" s="67"/>
      <c r="L31" s="67"/>
      <c r="M31" s="29" t="str">
        <f t="shared" si="2"/>
        <v/>
      </c>
      <c r="N31" s="29" t="str">
        <f t="shared" si="3"/>
        <v/>
      </c>
      <c r="O31" s="29" t="str">
        <f t="shared" si="0"/>
        <v/>
      </c>
      <c r="P31" s="61"/>
      <c r="Q31" s="61"/>
      <c r="R31" s="61"/>
      <c r="S31" s="45"/>
      <c r="T31" s="29" t="str">
        <f t="shared" si="1"/>
        <v/>
      </c>
    </row>
    <row r="32" spans="1:20">
      <c r="A32" s="10" t="str">
        <f t="shared" si="4"/>
        <v/>
      </c>
      <c r="B32" s="63"/>
      <c r="C32" s="25" t="str">
        <f t="shared" si="5"/>
        <v/>
      </c>
      <c r="D32" s="25" t="str">
        <f t="shared" si="6"/>
        <v/>
      </c>
      <c r="E32" s="45"/>
      <c r="F32" s="28" t="str">
        <f>IFERROR(VLOOKUP(E32,Category!$D$2:$E$600,2,FALSE),"")</f>
        <v/>
      </c>
      <c r="G32" s="65"/>
      <c r="H32" s="56"/>
      <c r="I32" s="66"/>
      <c r="J32" s="67"/>
      <c r="K32" s="67"/>
      <c r="L32" s="67"/>
      <c r="M32" s="29" t="str">
        <f t="shared" si="2"/>
        <v/>
      </c>
      <c r="N32" s="29" t="str">
        <f t="shared" si="3"/>
        <v/>
      </c>
      <c r="O32" s="29" t="str">
        <f t="shared" si="0"/>
        <v/>
      </c>
      <c r="P32" s="61"/>
      <c r="Q32" s="61"/>
      <c r="R32" s="61"/>
      <c r="S32" s="45"/>
      <c r="T32" s="29" t="str">
        <f t="shared" si="1"/>
        <v/>
      </c>
    </row>
    <row r="33" spans="1:20">
      <c r="A33" s="10" t="str">
        <f t="shared" si="4"/>
        <v/>
      </c>
      <c r="B33" s="63"/>
      <c r="C33" s="25" t="str">
        <f t="shared" si="5"/>
        <v/>
      </c>
      <c r="D33" s="25" t="str">
        <f t="shared" si="6"/>
        <v/>
      </c>
      <c r="E33" s="45"/>
      <c r="F33" s="28" t="str">
        <f>IFERROR(VLOOKUP(E33,Category!$D$2:$E$600,2,FALSE),"")</f>
        <v/>
      </c>
      <c r="G33" s="65"/>
      <c r="H33" s="56"/>
      <c r="I33" s="66"/>
      <c r="J33" s="67"/>
      <c r="K33" s="67"/>
      <c r="L33" s="67"/>
      <c r="M33" s="29" t="str">
        <f t="shared" si="2"/>
        <v/>
      </c>
      <c r="N33" s="29" t="str">
        <f t="shared" si="3"/>
        <v/>
      </c>
      <c r="O33" s="29" t="str">
        <f t="shared" si="0"/>
        <v/>
      </c>
      <c r="P33" s="61"/>
      <c r="Q33" s="61"/>
      <c r="R33" s="61"/>
      <c r="S33" s="45"/>
      <c r="T33" s="29" t="str">
        <f t="shared" si="1"/>
        <v/>
      </c>
    </row>
    <row r="34" spans="1:20">
      <c r="A34" s="10" t="str">
        <f t="shared" si="4"/>
        <v/>
      </c>
      <c r="B34" s="63"/>
      <c r="C34" s="25" t="str">
        <f t="shared" si="5"/>
        <v/>
      </c>
      <c r="D34" s="25" t="str">
        <f t="shared" si="6"/>
        <v/>
      </c>
      <c r="E34" s="45"/>
      <c r="F34" s="28" t="str">
        <f>IFERROR(VLOOKUP(E34,Category!$D$2:$E$600,2,FALSE),"")</f>
        <v/>
      </c>
      <c r="G34" s="65"/>
      <c r="H34" s="56"/>
      <c r="I34" s="66"/>
      <c r="J34" s="67"/>
      <c r="K34" s="67"/>
      <c r="L34" s="67"/>
      <c r="M34" s="29" t="str">
        <f t="shared" si="2"/>
        <v/>
      </c>
      <c r="N34" s="29" t="str">
        <f t="shared" si="3"/>
        <v/>
      </c>
      <c r="O34" s="29" t="str">
        <f t="shared" si="0"/>
        <v/>
      </c>
      <c r="P34" s="61"/>
      <c r="Q34" s="61"/>
      <c r="R34" s="61"/>
      <c r="S34" s="45"/>
      <c r="T34" s="29" t="str">
        <f t="shared" si="1"/>
        <v/>
      </c>
    </row>
    <row r="35" spans="1:20">
      <c r="A35" s="10" t="str">
        <f t="shared" si="4"/>
        <v/>
      </c>
      <c r="B35" s="63"/>
      <c r="C35" s="25" t="str">
        <f t="shared" si="5"/>
        <v/>
      </c>
      <c r="D35" s="25" t="str">
        <f t="shared" si="6"/>
        <v/>
      </c>
      <c r="E35" s="45"/>
      <c r="F35" s="28" t="str">
        <f>IFERROR(VLOOKUP(E35,Category!$D$2:$E$600,2,FALSE),"")</f>
        <v/>
      </c>
      <c r="G35" s="65"/>
      <c r="H35" s="56"/>
      <c r="I35" s="66"/>
      <c r="J35" s="67"/>
      <c r="K35" s="67"/>
      <c r="L35" s="67"/>
      <c r="M35" s="29" t="str">
        <f t="shared" si="2"/>
        <v/>
      </c>
      <c r="N35" s="29" t="str">
        <f t="shared" si="3"/>
        <v/>
      </c>
      <c r="O35" s="29" t="str">
        <f t="shared" si="0"/>
        <v/>
      </c>
      <c r="P35" s="61"/>
      <c r="Q35" s="61"/>
      <c r="R35" s="61"/>
      <c r="S35" s="45"/>
      <c r="T35" s="29" t="str">
        <f t="shared" si="1"/>
        <v/>
      </c>
    </row>
    <row r="36" spans="1:20">
      <c r="A36" s="10" t="str">
        <f t="shared" si="4"/>
        <v/>
      </c>
      <c r="B36" s="63"/>
      <c r="C36" s="25" t="str">
        <f t="shared" si="5"/>
        <v/>
      </c>
      <c r="D36" s="25" t="str">
        <f t="shared" si="6"/>
        <v/>
      </c>
      <c r="E36" s="45"/>
      <c r="F36" s="28" t="str">
        <f>IFERROR(VLOOKUP(E36,Category!$D$2:$E$600,2,FALSE),"")</f>
        <v/>
      </c>
      <c r="G36" s="65"/>
      <c r="H36" s="56"/>
      <c r="I36" s="66"/>
      <c r="J36" s="67"/>
      <c r="K36" s="67"/>
      <c r="L36" s="67"/>
      <c r="M36" s="29" t="str">
        <f t="shared" si="2"/>
        <v/>
      </c>
      <c r="N36" s="29" t="str">
        <f t="shared" si="3"/>
        <v/>
      </c>
      <c r="O36" s="29" t="str">
        <f t="shared" si="0"/>
        <v/>
      </c>
      <c r="P36" s="61"/>
      <c r="Q36" s="61"/>
      <c r="R36" s="61"/>
      <c r="S36" s="45"/>
      <c r="T36" s="29" t="str">
        <f t="shared" si="1"/>
        <v/>
      </c>
    </row>
    <row r="37" spans="1:20">
      <c r="A37" s="10" t="str">
        <f t="shared" si="4"/>
        <v/>
      </c>
      <c r="B37" s="63"/>
      <c r="C37" s="25" t="str">
        <f t="shared" si="5"/>
        <v/>
      </c>
      <c r="D37" s="25" t="str">
        <f t="shared" si="6"/>
        <v/>
      </c>
      <c r="E37" s="45"/>
      <c r="F37" s="28" t="str">
        <f>IFERROR(VLOOKUP(E37,Category!$D$2:$E$600,2,FALSE),"")</f>
        <v/>
      </c>
      <c r="G37" s="65"/>
      <c r="H37" s="56"/>
      <c r="I37" s="66"/>
      <c r="J37" s="67"/>
      <c r="K37" s="67"/>
      <c r="L37" s="67"/>
      <c r="M37" s="29" t="str">
        <f t="shared" si="2"/>
        <v/>
      </c>
      <c r="N37" s="29" t="str">
        <f t="shared" si="3"/>
        <v/>
      </c>
      <c r="O37" s="29" t="str">
        <f t="shared" si="0"/>
        <v/>
      </c>
      <c r="P37" s="61"/>
      <c r="Q37" s="61"/>
      <c r="R37" s="61"/>
      <c r="S37" s="45"/>
      <c r="T37" s="29" t="str">
        <f t="shared" si="1"/>
        <v/>
      </c>
    </row>
    <row r="38" spans="1:20">
      <c r="A38" s="10" t="str">
        <f t="shared" si="4"/>
        <v/>
      </c>
      <c r="B38" s="63"/>
      <c r="C38" s="25" t="str">
        <f t="shared" si="5"/>
        <v/>
      </c>
      <c r="D38" s="25" t="str">
        <f t="shared" si="6"/>
        <v/>
      </c>
      <c r="E38" s="45"/>
      <c r="F38" s="28" t="str">
        <f>IFERROR(VLOOKUP(E38,Category!$D$2:$E$600,2,FALSE),"")</f>
        <v/>
      </c>
      <c r="G38" s="65"/>
      <c r="H38" s="56"/>
      <c r="I38" s="66"/>
      <c r="J38" s="67"/>
      <c r="K38" s="67"/>
      <c r="L38" s="67"/>
      <c r="M38" s="29" t="str">
        <f t="shared" si="2"/>
        <v/>
      </c>
      <c r="N38" s="29" t="str">
        <f t="shared" si="3"/>
        <v/>
      </c>
      <c r="O38" s="29" t="str">
        <f t="shared" si="0"/>
        <v/>
      </c>
      <c r="P38" s="61"/>
      <c r="Q38" s="61"/>
      <c r="R38" s="61"/>
      <c r="S38" s="45"/>
      <c r="T38" s="29" t="str">
        <f t="shared" si="1"/>
        <v/>
      </c>
    </row>
    <row r="39" spans="1:20">
      <c r="A39" s="10" t="str">
        <f t="shared" si="4"/>
        <v/>
      </c>
      <c r="B39" s="63"/>
      <c r="C39" s="25" t="str">
        <f t="shared" si="5"/>
        <v/>
      </c>
      <c r="D39" s="25" t="str">
        <f t="shared" si="6"/>
        <v/>
      </c>
      <c r="E39" s="45"/>
      <c r="F39" s="28" t="str">
        <f>IFERROR(VLOOKUP(E39,Category!$D$2:$E$600,2,FALSE),"")</f>
        <v/>
      </c>
      <c r="G39" s="65"/>
      <c r="H39" s="56"/>
      <c r="I39" s="66"/>
      <c r="J39" s="67"/>
      <c r="K39" s="67"/>
      <c r="L39" s="67"/>
      <c r="M39" s="29" t="str">
        <f t="shared" si="2"/>
        <v/>
      </c>
      <c r="N39" s="29" t="str">
        <f t="shared" si="3"/>
        <v/>
      </c>
      <c r="O39" s="29" t="str">
        <f t="shared" si="0"/>
        <v/>
      </c>
      <c r="P39" s="61"/>
      <c r="Q39" s="61"/>
      <c r="R39" s="61"/>
      <c r="S39" s="45"/>
      <c r="T39" s="29" t="str">
        <f t="shared" si="1"/>
        <v/>
      </c>
    </row>
    <row r="40" spans="1:20">
      <c r="A40" s="10" t="str">
        <f t="shared" si="4"/>
        <v/>
      </c>
      <c r="B40" s="63"/>
      <c r="C40" s="25" t="str">
        <f t="shared" si="5"/>
        <v/>
      </c>
      <c r="D40" s="25" t="str">
        <f t="shared" si="6"/>
        <v/>
      </c>
      <c r="E40" s="45"/>
      <c r="F40" s="28" t="str">
        <f>IFERROR(VLOOKUP(E40,Category!$D$2:$E$600,2,FALSE),"")</f>
        <v/>
      </c>
      <c r="G40" s="65"/>
      <c r="H40" s="56"/>
      <c r="I40" s="66"/>
      <c r="J40" s="67"/>
      <c r="K40" s="67"/>
      <c r="L40" s="67"/>
      <c r="M40" s="29" t="str">
        <f t="shared" si="2"/>
        <v/>
      </c>
      <c r="N40" s="29" t="str">
        <f t="shared" si="3"/>
        <v/>
      </c>
      <c r="O40" s="29" t="str">
        <f t="shared" si="0"/>
        <v/>
      </c>
      <c r="P40" s="61"/>
      <c r="Q40" s="61"/>
      <c r="R40" s="61"/>
      <c r="S40" s="45"/>
      <c r="T40" s="29" t="str">
        <f t="shared" si="1"/>
        <v/>
      </c>
    </row>
    <row r="41" spans="1:20">
      <c r="A41" s="10" t="str">
        <f t="shared" si="4"/>
        <v/>
      </c>
      <c r="B41" s="63"/>
      <c r="C41" s="25" t="str">
        <f t="shared" si="5"/>
        <v/>
      </c>
      <c r="D41" s="25" t="str">
        <f t="shared" si="6"/>
        <v/>
      </c>
      <c r="E41" s="45"/>
      <c r="F41" s="28" t="str">
        <f>IFERROR(VLOOKUP(E41,Category!$D$2:$E$600,2,FALSE),"")</f>
        <v/>
      </c>
      <c r="G41" s="65"/>
      <c r="H41" s="56"/>
      <c r="I41" s="66"/>
      <c r="J41" s="67"/>
      <c r="K41" s="67"/>
      <c r="L41" s="67"/>
      <c r="M41" s="29" t="str">
        <f t="shared" si="2"/>
        <v/>
      </c>
      <c r="N41" s="29" t="str">
        <f t="shared" si="3"/>
        <v/>
      </c>
      <c r="O41" s="29" t="str">
        <f t="shared" si="0"/>
        <v/>
      </c>
      <c r="P41" s="61"/>
      <c r="Q41" s="61"/>
      <c r="R41" s="61"/>
      <c r="S41" s="45"/>
      <c r="T41" s="29" t="str">
        <f t="shared" si="1"/>
        <v/>
      </c>
    </row>
    <row r="42" spans="1:20">
      <c r="A42" s="10" t="str">
        <f t="shared" si="4"/>
        <v/>
      </c>
      <c r="B42" s="63"/>
      <c r="C42" s="25" t="str">
        <f t="shared" si="5"/>
        <v/>
      </c>
      <c r="D42" s="25" t="str">
        <f t="shared" si="6"/>
        <v/>
      </c>
      <c r="E42" s="45"/>
      <c r="F42" s="28" t="str">
        <f>IFERROR(VLOOKUP(E42,Category!$D$2:$E$600,2,FALSE),"")</f>
        <v/>
      </c>
      <c r="G42" s="65"/>
      <c r="H42" s="56"/>
      <c r="I42" s="66"/>
      <c r="J42" s="67"/>
      <c r="K42" s="67"/>
      <c r="L42" s="67"/>
      <c r="M42" s="29" t="str">
        <f t="shared" si="2"/>
        <v/>
      </c>
      <c r="N42" s="29" t="str">
        <f t="shared" si="3"/>
        <v/>
      </c>
      <c r="O42" s="29" t="str">
        <f t="shared" si="0"/>
        <v/>
      </c>
      <c r="P42" s="61"/>
      <c r="Q42" s="61"/>
      <c r="R42" s="61"/>
      <c r="S42" s="45"/>
      <c r="T42" s="29" t="str">
        <f t="shared" si="1"/>
        <v/>
      </c>
    </row>
    <row r="43" spans="1:20">
      <c r="A43" s="10" t="str">
        <f t="shared" si="4"/>
        <v/>
      </c>
      <c r="B43" s="63"/>
      <c r="C43" s="25" t="str">
        <f t="shared" si="5"/>
        <v/>
      </c>
      <c r="D43" s="25" t="str">
        <f t="shared" si="6"/>
        <v/>
      </c>
      <c r="E43" s="45"/>
      <c r="F43" s="28" t="str">
        <f>IFERROR(VLOOKUP(E43,Category!$D$2:$E$600,2,FALSE),"")</f>
        <v/>
      </c>
      <c r="G43" s="65"/>
      <c r="H43" s="56"/>
      <c r="I43" s="66"/>
      <c r="J43" s="67"/>
      <c r="K43" s="67"/>
      <c r="L43" s="67"/>
      <c r="M43" s="29" t="str">
        <f t="shared" si="2"/>
        <v/>
      </c>
      <c r="N43" s="29" t="str">
        <f t="shared" si="3"/>
        <v/>
      </c>
      <c r="O43" s="29" t="str">
        <f t="shared" si="0"/>
        <v/>
      </c>
      <c r="P43" s="61"/>
      <c r="Q43" s="61"/>
      <c r="R43" s="61"/>
      <c r="S43" s="45"/>
      <c r="T43" s="29" t="str">
        <f t="shared" si="1"/>
        <v/>
      </c>
    </row>
    <row r="44" spans="1:20">
      <c r="A44" s="10" t="str">
        <f t="shared" si="4"/>
        <v/>
      </c>
      <c r="B44" s="63"/>
      <c r="C44" s="25" t="str">
        <f t="shared" si="5"/>
        <v/>
      </c>
      <c r="D44" s="25" t="str">
        <f t="shared" si="6"/>
        <v/>
      </c>
      <c r="E44" s="45"/>
      <c r="F44" s="28" t="str">
        <f>IFERROR(VLOOKUP(E44,Category!$D$2:$E$600,2,FALSE),"")</f>
        <v/>
      </c>
      <c r="G44" s="65"/>
      <c r="H44" s="56"/>
      <c r="I44" s="66"/>
      <c r="J44" s="67"/>
      <c r="K44" s="67"/>
      <c r="L44" s="67"/>
      <c r="M44" s="29" t="str">
        <f t="shared" si="2"/>
        <v/>
      </c>
      <c r="N44" s="29" t="str">
        <f t="shared" si="3"/>
        <v/>
      </c>
      <c r="O44" s="29" t="str">
        <f t="shared" si="0"/>
        <v/>
      </c>
      <c r="P44" s="61"/>
      <c r="Q44" s="61"/>
      <c r="R44" s="61"/>
      <c r="S44" s="45"/>
      <c r="T44" s="29" t="str">
        <f t="shared" si="1"/>
        <v/>
      </c>
    </row>
    <row r="45" spans="1:20">
      <c r="A45" s="10" t="str">
        <f t="shared" si="4"/>
        <v/>
      </c>
      <c r="B45" s="63"/>
      <c r="C45" s="25" t="str">
        <f t="shared" si="5"/>
        <v/>
      </c>
      <c r="D45" s="25" t="str">
        <f t="shared" si="6"/>
        <v/>
      </c>
      <c r="E45" s="45"/>
      <c r="F45" s="28" t="str">
        <f>IFERROR(VLOOKUP(E45,Category!$D$2:$E$600,2,FALSE),"")</f>
        <v/>
      </c>
      <c r="G45" s="65"/>
      <c r="H45" s="56"/>
      <c r="I45" s="66"/>
      <c r="J45" s="67"/>
      <c r="K45" s="67"/>
      <c r="L45" s="67"/>
      <c r="M45" s="29" t="str">
        <f t="shared" si="2"/>
        <v/>
      </c>
      <c r="N45" s="29" t="str">
        <f t="shared" si="3"/>
        <v/>
      </c>
      <c r="O45" s="29" t="str">
        <f t="shared" si="0"/>
        <v/>
      </c>
      <c r="P45" s="61"/>
      <c r="Q45" s="61"/>
      <c r="R45" s="61"/>
      <c r="S45" s="45"/>
      <c r="T45" s="29" t="str">
        <f t="shared" si="1"/>
        <v/>
      </c>
    </row>
    <row r="46" spans="1:20">
      <c r="A46" s="10" t="str">
        <f t="shared" si="4"/>
        <v/>
      </c>
      <c r="B46" s="63"/>
      <c r="C46" s="25" t="str">
        <f t="shared" si="5"/>
        <v/>
      </c>
      <c r="D46" s="25" t="str">
        <f t="shared" si="6"/>
        <v/>
      </c>
      <c r="E46" s="45"/>
      <c r="F46" s="28" t="str">
        <f>IFERROR(VLOOKUP(E46,Category!$D$2:$E$600,2,FALSE),"")</f>
        <v/>
      </c>
      <c r="G46" s="65"/>
      <c r="H46" s="56"/>
      <c r="I46" s="66"/>
      <c r="J46" s="67"/>
      <c r="K46" s="67"/>
      <c r="L46" s="67"/>
      <c r="M46" s="29" t="str">
        <f t="shared" si="2"/>
        <v/>
      </c>
      <c r="N46" s="29" t="str">
        <f t="shared" si="3"/>
        <v/>
      </c>
      <c r="O46" s="29" t="str">
        <f t="shared" si="0"/>
        <v/>
      </c>
      <c r="P46" s="61"/>
      <c r="Q46" s="61"/>
      <c r="R46" s="61"/>
      <c r="S46" s="45"/>
      <c r="T46" s="29" t="str">
        <f t="shared" si="1"/>
        <v/>
      </c>
    </row>
    <row r="47" spans="1:20">
      <c r="A47" s="10" t="str">
        <f t="shared" si="4"/>
        <v/>
      </c>
      <c r="B47" s="63"/>
      <c r="C47" s="25" t="str">
        <f t="shared" si="5"/>
        <v/>
      </c>
      <c r="D47" s="25" t="str">
        <f t="shared" si="6"/>
        <v/>
      </c>
      <c r="E47" s="45"/>
      <c r="F47" s="28" t="str">
        <f>IFERROR(VLOOKUP(E47,Category!$D$2:$E$600,2,FALSE),"")</f>
        <v/>
      </c>
      <c r="G47" s="65"/>
      <c r="H47" s="56"/>
      <c r="I47" s="66"/>
      <c r="J47" s="67"/>
      <c r="K47" s="67"/>
      <c r="L47" s="67"/>
      <c r="M47" s="29" t="str">
        <f t="shared" si="2"/>
        <v/>
      </c>
      <c r="N47" s="29" t="str">
        <f t="shared" si="3"/>
        <v/>
      </c>
      <c r="O47" s="29" t="str">
        <f t="shared" si="0"/>
        <v/>
      </c>
      <c r="P47" s="61"/>
      <c r="Q47" s="61"/>
      <c r="R47" s="61"/>
      <c r="S47" s="45"/>
      <c r="T47" s="29" t="str">
        <f t="shared" si="1"/>
        <v/>
      </c>
    </row>
    <row r="48" spans="1:20">
      <c r="A48" s="10" t="str">
        <f t="shared" si="4"/>
        <v/>
      </c>
      <c r="B48" s="63"/>
      <c r="C48" s="25" t="str">
        <f t="shared" si="5"/>
        <v/>
      </c>
      <c r="D48" s="25" t="str">
        <f t="shared" si="6"/>
        <v/>
      </c>
      <c r="E48" s="45"/>
      <c r="F48" s="28" t="str">
        <f>IFERROR(VLOOKUP(E48,Category!$D$2:$E$600,2,FALSE),"")</f>
        <v/>
      </c>
      <c r="G48" s="65"/>
      <c r="H48" s="56"/>
      <c r="I48" s="66"/>
      <c r="J48" s="67"/>
      <c r="K48" s="67"/>
      <c r="L48" s="67"/>
      <c r="M48" s="29" t="str">
        <f t="shared" si="2"/>
        <v/>
      </c>
      <c r="N48" s="29" t="str">
        <f t="shared" si="3"/>
        <v/>
      </c>
      <c r="O48" s="29" t="str">
        <f t="shared" si="0"/>
        <v/>
      </c>
      <c r="P48" s="61"/>
      <c r="Q48" s="61"/>
      <c r="R48" s="61"/>
      <c r="S48" s="45"/>
      <c r="T48" s="29" t="str">
        <f t="shared" si="1"/>
        <v/>
      </c>
    </row>
    <row r="49" spans="1:20">
      <c r="A49" s="10" t="str">
        <f t="shared" si="4"/>
        <v/>
      </c>
      <c r="B49" s="63"/>
      <c r="C49" s="25" t="str">
        <f t="shared" si="5"/>
        <v/>
      </c>
      <c r="D49" s="25" t="str">
        <f t="shared" si="6"/>
        <v/>
      </c>
      <c r="E49" s="45"/>
      <c r="F49" s="28" t="str">
        <f>IFERROR(VLOOKUP(E49,Category!$D$2:$E$600,2,FALSE),"")</f>
        <v/>
      </c>
      <c r="G49" s="65"/>
      <c r="H49" s="56"/>
      <c r="I49" s="66"/>
      <c r="J49" s="67"/>
      <c r="K49" s="67"/>
      <c r="L49" s="67"/>
      <c r="M49" s="29" t="str">
        <f t="shared" si="2"/>
        <v/>
      </c>
      <c r="N49" s="29" t="str">
        <f t="shared" si="3"/>
        <v/>
      </c>
      <c r="O49" s="29" t="str">
        <f t="shared" si="0"/>
        <v/>
      </c>
      <c r="P49" s="61"/>
      <c r="Q49" s="61"/>
      <c r="R49" s="61"/>
      <c r="S49" s="45"/>
      <c r="T49" s="29" t="str">
        <f t="shared" si="1"/>
        <v/>
      </c>
    </row>
    <row r="50" spans="1:20">
      <c r="A50" s="10" t="str">
        <f t="shared" si="4"/>
        <v/>
      </c>
      <c r="B50" s="63"/>
      <c r="C50" s="25" t="str">
        <f t="shared" si="5"/>
        <v/>
      </c>
      <c r="D50" s="25" t="str">
        <f t="shared" si="6"/>
        <v/>
      </c>
      <c r="E50" s="45"/>
      <c r="F50" s="28" t="str">
        <f>IFERROR(VLOOKUP(E50,Category!$D$2:$E$600,2,FALSE),"")</f>
        <v/>
      </c>
      <c r="G50" s="65"/>
      <c r="H50" s="56"/>
      <c r="I50" s="66"/>
      <c r="J50" s="67"/>
      <c r="K50" s="67"/>
      <c r="L50" s="67"/>
      <c r="M50" s="29" t="str">
        <f t="shared" si="2"/>
        <v/>
      </c>
      <c r="N50" s="29" t="str">
        <f t="shared" si="3"/>
        <v/>
      </c>
      <c r="O50" s="29" t="str">
        <f t="shared" si="0"/>
        <v/>
      </c>
      <c r="P50" s="61"/>
      <c r="Q50" s="61"/>
      <c r="R50" s="61"/>
      <c r="S50" s="45"/>
      <c r="T50" s="29" t="str">
        <f t="shared" si="1"/>
        <v/>
      </c>
    </row>
    <row r="51" spans="1:20">
      <c r="A51" s="10" t="str">
        <f t="shared" si="4"/>
        <v/>
      </c>
      <c r="B51" s="63"/>
      <c r="C51" s="25" t="str">
        <f t="shared" si="5"/>
        <v/>
      </c>
      <c r="D51" s="25" t="str">
        <f t="shared" si="6"/>
        <v/>
      </c>
      <c r="E51" s="45"/>
      <c r="F51" s="28" t="str">
        <f>IFERROR(VLOOKUP(E51,Category!$D$2:$E$600,2,FALSE),"")</f>
        <v/>
      </c>
      <c r="G51" s="65"/>
      <c r="H51" s="56"/>
      <c r="I51" s="66"/>
      <c r="J51" s="67"/>
      <c r="K51" s="67"/>
      <c r="L51" s="67"/>
      <c r="M51" s="29" t="str">
        <f t="shared" si="2"/>
        <v/>
      </c>
      <c r="N51" s="29" t="str">
        <f t="shared" si="3"/>
        <v/>
      </c>
      <c r="O51" s="29" t="str">
        <f t="shared" si="0"/>
        <v/>
      </c>
      <c r="P51" s="61"/>
      <c r="Q51" s="61"/>
      <c r="R51" s="61"/>
      <c r="S51" s="45"/>
      <c r="T51" s="29" t="str">
        <f t="shared" si="1"/>
        <v/>
      </c>
    </row>
    <row r="52" spans="1:20">
      <c r="A52" s="10" t="str">
        <f t="shared" si="4"/>
        <v/>
      </c>
      <c r="B52" s="63"/>
      <c r="C52" s="25" t="str">
        <f t="shared" si="5"/>
        <v/>
      </c>
      <c r="D52" s="25" t="str">
        <f t="shared" si="6"/>
        <v/>
      </c>
      <c r="E52" s="45"/>
      <c r="F52" s="28" t="str">
        <f>IFERROR(VLOOKUP(E52,Category!$D$2:$E$600,2,FALSE),"")</f>
        <v/>
      </c>
      <c r="G52" s="65"/>
      <c r="H52" s="56"/>
      <c r="I52" s="66"/>
      <c r="J52" s="67"/>
      <c r="K52" s="67"/>
      <c r="L52" s="67"/>
      <c r="M52" s="29" t="str">
        <f t="shared" si="2"/>
        <v/>
      </c>
      <c r="N52" s="29" t="str">
        <f t="shared" si="3"/>
        <v/>
      </c>
      <c r="O52" s="29" t="str">
        <f t="shared" si="0"/>
        <v/>
      </c>
      <c r="P52" s="61"/>
      <c r="Q52" s="61"/>
      <c r="R52" s="61"/>
      <c r="S52" s="45"/>
      <c r="T52" s="29" t="str">
        <f t="shared" si="1"/>
        <v/>
      </c>
    </row>
    <row r="53" spans="1:20">
      <c r="A53" s="10" t="str">
        <f t="shared" si="4"/>
        <v/>
      </c>
      <c r="B53" s="63"/>
      <c r="C53" s="25" t="str">
        <f t="shared" si="5"/>
        <v/>
      </c>
      <c r="D53" s="25" t="str">
        <f t="shared" si="6"/>
        <v/>
      </c>
      <c r="E53" s="45"/>
      <c r="F53" s="28" t="str">
        <f>IFERROR(VLOOKUP(E53,Category!$D$2:$E$600,2,FALSE),"")</f>
        <v/>
      </c>
      <c r="G53" s="65"/>
      <c r="H53" s="56"/>
      <c r="I53" s="66"/>
      <c r="J53" s="67"/>
      <c r="K53" s="67"/>
      <c r="L53" s="67"/>
      <c r="M53" s="29" t="str">
        <f t="shared" si="2"/>
        <v/>
      </c>
      <c r="N53" s="29" t="str">
        <f t="shared" si="3"/>
        <v/>
      </c>
      <c r="O53" s="29" t="str">
        <f t="shared" si="0"/>
        <v/>
      </c>
      <c r="P53" s="61"/>
      <c r="Q53" s="61"/>
      <c r="R53" s="61"/>
      <c r="S53" s="45"/>
      <c r="T53" s="29" t="str">
        <f t="shared" si="1"/>
        <v/>
      </c>
    </row>
    <row r="54" spans="1:20">
      <c r="A54" s="10" t="str">
        <f t="shared" si="4"/>
        <v/>
      </c>
      <c r="B54" s="63"/>
      <c r="C54" s="25" t="str">
        <f t="shared" si="5"/>
        <v/>
      </c>
      <c r="D54" s="25" t="str">
        <f t="shared" si="6"/>
        <v/>
      </c>
      <c r="E54" s="45"/>
      <c r="F54" s="28" t="str">
        <f>IFERROR(VLOOKUP(E54,Category!$D$2:$E$600,2,FALSE),"")</f>
        <v/>
      </c>
      <c r="G54" s="65"/>
      <c r="H54" s="56"/>
      <c r="I54" s="66"/>
      <c r="J54" s="67"/>
      <c r="K54" s="67"/>
      <c r="L54" s="67"/>
      <c r="M54" s="29" t="str">
        <f t="shared" si="2"/>
        <v/>
      </c>
      <c r="N54" s="29" t="str">
        <f t="shared" si="3"/>
        <v/>
      </c>
      <c r="O54" s="29" t="str">
        <f t="shared" si="0"/>
        <v/>
      </c>
      <c r="P54" s="61"/>
      <c r="Q54" s="61"/>
      <c r="R54" s="61"/>
      <c r="S54" s="45"/>
      <c r="T54" s="29" t="str">
        <f t="shared" si="1"/>
        <v/>
      </c>
    </row>
    <row r="55" spans="1:20">
      <c r="A55" s="10" t="str">
        <f t="shared" si="4"/>
        <v/>
      </c>
      <c r="B55" s="63"/>
      <c r="C55" s="25" t="str">
        <f t="shared" si="5"/>
        <v/>
      </c>
      <c r="D55" s="25" t="str">
        <f t="shared" si="6"/>
        <v/>
      </c>
      <c r="E55" s="45"/>
      <c r="F55" s="28" t="str">
        <f>IFERROR(VLOOKUP(E55,Category!$D$2:$E$600,2,FALSE),"")</f>
        <v/>
      </c>
      <c r="G55" s="65"/>
      <c r="H55" s="56"/>
      <c r="I55" s="66"/>
      <c r="J55" s="67"/>
      <c r="K55" s="67"/>
      <c r="L55" s="67"/>
      <c r="M55" s="29" t="str">
        <f t="shared" si="2"/>
        <v/>
      </c>
      <c r="N55" s="29" t="str">
        <f t="shared" si="3"/>
        <v/>
      </c>
      <c r="O55" s="29" t="str">
        <f t="shared" si="0"/>
        <v/>
      </c>
      <c r="P55" s="61"/>
      <c r="Q55" s="61"/>
      <c r="R55" s="61"/>
      <c r="S55" s="45"/>
      <c r="T55" s="29" t="str">
        <f t="shared" si="1"/>
        <v/>
      </c>
    </row>
    <row r="56" spans="1:20">
      <c r="A56" s="10" t="str">
        <f t="shared" si="4"/>
        <v/>
      </c>
      <c r="B56" s="63"/>
      <c r="C56" s="25" t="str">
        <f t="shared" si="5"/>
        <v/>
      </c>
      <c r="D56" s="25" t="str">
        <f t="shared" si="6"/>
        <v/>
      </c>
      <c r="E56" s="45"/>
      <c r="F56" s="28" t="str">
        <f>IFERROR(VLOOKUP(E56,Category!$D$2:$E$600,2,FALSE),"")</f>
        <v/>
      </c>
      <c r="G56" s="65"/>
      <c r="H56" s="56"/>
      <c r="I56" s="66"/>
      <c r="J56" s="67"/>
      <c r="K56" s="67"/>
      <c r="L56" s="67"/>
      <c r="M56" s="29" t="str">
        <f t="shared" si="2"/>
        <v/>
      </c>
      <c r="N56" s="29" t="str">
        <f t="shared" si="3"/>
        <v/>
      </c>
      <c r="O56" s="29" t="str">
        <f t="shared" si="0"/>
        <v/>
      </c>
      <c r="P56" s="61"/>
      <c r="Q56" s="61"/>
      <c r="R56" s="61"/>
      <c r="S56" s="45"/>
      <c r="T56" s="29" t="str">
        <f t="shared" si="1"/>
        <v/>
      </c>
    </row>
    <row r="57" spans="1:20">
      <c r="A57" s="10" t="str">
        <f t="shared" si="4"/>
        <v/>
      </c>
      <c r="B57" s="63"/>
      <c r="C57" s="25" t="str">
        <f t="shared" si="5"/>
        <v/>
      </c>
      <c r="D57" s="25" t="str">
        <f t="shared" si="6"/>
        <v/>
      </c>
      <c r="E57" s="45"/>
      <c r="F57" s="28" t="str">
        <f>IFERROR(VLOOKUP(E57,Category!$D$2:$E$600,2,FALSE),"")</f>
        <v/>
      </c>
      <c r="G57" s="65"/>
      <c r="H57" s="56"/>
      <c r="I57" s="66"/>
      <c r="J57" s="67"/>
      <c r="K57" s="67"/>
      <c r="L57" s="67"/>
      <c r="M57" s="29" t="str">
        <f t="shared" si="2"/>
        <v/>
      </c>
      <c r="N57" s="29" t="str">
        <f t="shared" si="3"/>
        <v/>
      </c>
      <c r="O57" s="29" t="str">
        <f t="shared" si="0"/>
        <v/>
      </c>
      <c r="P57" s="61"/>
      <c r="Q57" s="61"/>
      <c r="R57" s="61"/>
      <c r="S57" s="45"/>
      <c r="T57" s="29" t="str">
        <f t="shared" si="1"/>
        <v/>
      </c>
    </row>
    <row r="58" spans="1:20">
      <c r="A58" s="10" t="str">
        <f t="shared" si="4"/>
        <v/>
      </c>
      <c r="B58" s="63"/>
      <c r="C58" s="25" t="str">
        <f t="shared" si="5"/>
        <v/>
      </c>
      <c r="D58" s="25" t="str">
        <f t="shared" si="6"/>
        <v/>
      </c>
      <c r="E58" s="45"/>
      <c r="F58" s="28" t="str">
        <f>IFERROR(VLOOKUP(E58,Category!$D$2:$E$600,2,FALSE),"")</f>
        <v/>
      </c>
      <c r="G58" s="65"/>
      <c r="H58" s="56"/>
      <c r="I58" s="66"/>
      <c r="J58" s="67"/>
      <c r="K58" s="67"/>
      <c r="L58" s="67"/>
      <c r="M58" s="29" t="str">
        <f t="shared" si="2"/>
        <v/>
      </c>
      <c r="N58" s="29" t="str">
        <f t="shared" si="3"/>
        <v/>
      </c>
      <c r="O58" s="29" t="str">
        <f t="shared" si="0"/>
        <v/>
      </c>
      <c r="P58" s="61"/>
      <c r="Q58" s="61"/>
      <c r="R58" s="61"/>
      <c r="S58" s="45"/>
      <c r="T58" s="29" t="str">
        <f t="shared" si="1"/>
        <v/>
      </c>
    </row>
    <row r="59" spans="1:20">
      <c r="A59" s="10" t="str">
        <f t="shared" si="4"/>
        <v/>
      </c>
      <c r="B59" s="63"/>
      <c r="C59" s="25" t="str">
        <f t="shared" si="5"/>
        <v/>
      </c>
      <c r="D59" s="25" t="str">
        <f t="shared" si="6"/>
        <v/>
      </c>
      <c r="E59" s="45"/>
      <c r="F59" s="28" t="str">
        <f>IFERROR(VLOOKUP(E59,Category!$D$2:$E$600,2,FALSE),"")</f>
        <v/>
      </c>
      <c r="G59" s="65"/>
      <c r="H59" s="56"/>
      <c r="I59" s="66"/>
      <c r="J59" s="67"/>
      <c r="K59" s="67"/>
      <c r="L59" s="67"/>
      <c r="M59" s="29" t="str">
        <f t="shared" si="2"/>
        <v/>
      </c>
      <c r="N59" s="29" t="str">
        <f t="shared" si="3"/>
        <v/>
      </c>
      <c r="O59" s="29" t="str">
        <f t="shared" si="0"/>
        <v/>
      </c>
      <c r="P59" s="61"/>
      <c r="Q59" s="61"/>
      <c r="R59" s="61"/>
      <c r="S59" s="45"/>
      <c r="T59" s="29" t="str">
        <f t="shared" si="1"/>
        <v/>
      </c>
    </row>
    <row r="60" spans="1:20">
      <c r="A60" s="10" t="str">
        <f t="shared" si="4"/>
        <v/>
      </c>
      <c r="B60" s="63"/>
      <c r="C60" s="25" t="str">
        <f t="shared" si="5"/>
        <v/>
      </c>
      <c r="D60" s="25" t="str">
        <f t="shared" si="6"/>
        <v/>
      </c>
      <c r="E60" s="45"/>
      <c r="F60" s="28" t="str">
        <f>IFERROR(VLOOKUP(E60,Category!$D$2:$E$600,2,FALSE),"")</f>
        <v/>
      </c>
      <c r="G60" s="65"/>
      <c r="H60" s="56"/>
      <c r="I60" s="66"/>
      <c r="J60" s="67"/>
      <c r="K60" s="67"/>
      <c r="L60" s="67"/>
      <c r="M60" s="29" t="str">
        <f t="shared" si="2"/>
        <v/>
      </c>
      <c r="N60" s="29" t="str">
        <f t="shared" si="3"/>
        <v/>
      </c>
      <c r="O60" s="29" t="str">
        <f t="shared" si="0"/>
        <v/>
      </c>
      <c r="P60" s="61"/>
      <c r="Q60" s="61"/>
      <c r="R60" s="61"/>
      <c r="S60" s="45"/>
      <c r="T60" s="29" t="str">
        <f t="shared" si="1"/>
        <v/>
      </c>
    </row>
    <row r="61" spans="1:20">
      <c r="A61" s="10" t="str">
        <f t="shared" si="4"/>
        <v/>
      </c>
      <c r="B61" s="63"/>
      <c r="C61" s="25" t="str">
        <f t="shared" si="5"/>
        <v/>
      </c>
      <c r="D61" s="25" t="str">
        <f t="shared" si="6"/>
        <v/>
      </c>
      <c r="E61" s="45"/>
      <c r="F61" s="28" t="str">
        <f>IFERROR(VLOOKUP(E61,Category!$D$2:$E$600,2,FALSE),"")</f>
        <v/>
      </c>
      <c r="G61" s="65"/>
      <c r="H61" s="56"/>
      <c r="I61" s="66"/>
      <c r="J61" s="67"/>
      <c r="K61" s="67"/>
      <c r="L61" s="67"/>
      <c r="M61" s="29" t="str">
        <f t="shared" si="2"/>
        <v/>
      </c>
      <c r="N61" s="29" t="str">
        <f t="shared" si="3"/>
        <v/>
      </c>
      <c r="O61" s="29" t="str">
        <f t="shared" si="0"/>
        <v/>
      </c>
      <c r="P61" s="61"/>
      <c r="Q61" s="61"/>
      <c r="R61" s="61"/>
      <c r="S61" s="45"/>
      <c r="T61" s="29" t="str">
        <f t="shared" si="1"/>
        <v/>
      </c>
    </row>
    <row r="62" spans="1:20">
      <c r="A62" s="10" t="str">
        <f t="shared" si="4"/>
        <v/>
      </c>
      <c r="B62" s="63"/>
      <c r="C62" s="25" t="str">
        <f t="shared" si="5"/>
        <v/>
      </c>
      <c r="D62" s="25" t="str">
        <f t="shared" si="6"/>
        <v/>
      </c>
      <c r="E62" s="45"/>
      <c r="F62" s="28" t="str">
        <f>IFERROR(VLOOKUP(E62,Category!$D$2:$E$600,2,FALSE),"")</f>
        <v/>
      </c>
      <c r="G62" s="65"/>
      <c r="H62" s="56"/>
      <c r="I62" s="66"/>
      <c r="J62" s="67"/>
      <c r="K62" s="67"/>
      <c r="L62" s="67"/>
      <c r="M62" s="29" t="str">
        <f t="shared" si="2"/>
        <v/>
      </c>
      <c r="N62" s="29" t="str">
        <f t="shared" si="3"/>
        <v/>
      </c>
      <c r="O62" s="29" t="str">
        <f t="shared" si="0"/>
        <v/>
      </c>
      <c r="P62" s="61"/>
      <c r="Q62" s="61"/>
      <c r="R62" s="61"/>
      <c r="S62" s="45"/>
      <c r="T62" s="29" t="str">
        <f t="shared" si="1"/>
        <v/>
      </c>
    </row>
    <row r="63" spans="1:20">
      <c r="A63" s="10" t="str">
        <f t="shared" si="4"/>
        <v/>
      </c>
      <c r="B63" s="63"/>
      <c r="C63" s="25" t="str">
        <f t="shared" si="5"/>
        <v/>
      </c>
      <c r="D63" s="25" t="str">
        <f t="shared" si="6"/>
        <v/>
      </c>
      <c r="E63" s="45"/>
      <c r="F63" s="28" t="str">
        <f>IFERROR(VLOOKUP(E63,Category!$D$2:$E$600,2,FALSE),"")</f>
        <v/>
      </c>
      <c r="G63" s="65"/>
      <c r="H63" s="56"/>
      <c r="I63" s="66"/>
      <c r="J63" s="67"/>
      <c r="K63" s="67"/>
      <c r="L63" s="67"/>
      <c r="M63" s="29" t="str">
        <f t="shared" si="2"/>
        <v/>
      </c>
      <c r="N63" s="29" t="str">
        <f t="shared" si="3"/>
        <v/>
      </c>
      <c r="O63" s="29" t="str">
        <f t="shared" si="0"/>
        <v/>
      </c>
      <c r="P63" s="61"/>
      <c r="Q63" s="61"/>
      <c r="R63" s="61"/>
      <c r="S63" s="45"/>
      <c r="T63" s="29" t="str">
        <f t="shared" si="1"/>
        <v/>
      </c>
    </row>
    <row r="64" spans="1:20">
      <c r="A64" s="10" t="str">
        <f t="shared" si="4"/>
        <v/>
      </c>
      <c r="B64" s="63"/>
      <c r="C64" s="25" t="str">
        <f t="shared" si="5"/>
        <v/>
      </c>
      <c r="D64" s="25" t="str">
        <f t="shared" si="6"/>
        <v/>
      </c>
      <c r="E64" s="45"/>
      <c r="F64" s="28" t="str">
        <f>IFERROR(VLOOKUP(E64,Category!$D$2:$E$600,2,FALSE),"")</f>
        <v/>
      </c>
      <c r="G64" s="65"/>
      <c r="H64" s="56"/>
      <c r="I64" s="66"/>
      <c r="J64" s="67"/>
      <c r="K64" s="67"/>
      <c r="L64" s="67"/>
      <c r="M64" s="29" t="str">
        <f t="shared" si="2"/>
        <v/>
      </c>
      <c r="N64" s="29" t="str">
        <f t="shared" si="3"/>
        <v/>
      </c>
      <c r="O64" s="29" t="str">
        <f t="shared" si="0"/>
        <v/>
      </c>
      <c r="P64" s="61"/>
      <c r="Q64" s="61"/>
      <c r="R64" s="61"/>
      <c r="S64" s="45"/>
      <c r="T64" s="29" t="str">
        <f t="shared" si="1"/>
        <v/>
      </c>
    </row>
    <row r="65" spans="1:20">
      <c r="A65" s="10" t="str">
        <f t="shared" si="4"/>
        <v/>
      </c>
      <c r="B65" s="63"/>
      <c r="C65" s="25" t="str">
        <f t="shared" si="5"/>
        <v/>
      </c>
      <c r="D65" s="25" t="str">
        <f t="shared" si="6"/>
        <v/>
      </c>
      <c r="E65" s="45"/>
      <c r="F65" s="28" t="str">
        <f>IFERROR(VLOOKUP(E65,Category!$D$2:$E$600,2,FALSE),"")</f>
        <v/>
      </c>
      <c r="G65" s="65"/>
      <c r="H65" s="56"/>
      <c r="I65" s="66"/>
      <c r="J65" s="67"/>
      <c r="K65" s="67"/>
      <c r="L65" s="67"/>
      <c r="M65" s="29" t="str">
        <f t="shared" si="2"/>
        <v/>
      </c>
      <c r="N65" s="29" t="str">
        <f t="shared" si="3"/>
        <v/>
      </c>
      <c r="O65" s="29" t="str">
        <f t="shared" si="0"/>
        <v/>
      </c>
      <c r="P65" s="61"/>
      <c r="Q65" s="61"/>
      <c r="R65" s="61"/>
      <c r="S65" s="45"/>
      <c r="T65" s="29" t="str">
        <f t="shared" si="1"/>
        <v/>
      </c>
    </row>
    <row r="66" spans="1:20">
      <c r="A66" s="10" t="str">
        <f t="shared" si="4"/>
        <v/>
      </c>
      <c r="B66" s="63"/>
      <c r="C66" s="25" t="str">
        <f t="shared" si="5"/>
        <v/>
      </c>
      <c r="D66" s="25" t="str">
        <f t="shared" si="6"/>
        <v/>
      </c>
      <c r="E66" s="45"/>
      <c r="F66" s="28" t="str">
        <f>IFERROR(VLOOKUP(E66,Category!$D$2:$E$600,2,FALSE),"")</f>
        <v/>
      </c>
      <c r="G66" s="65"/>
      <c r="H66" s="56"/>
      <c r="I66" s="66"/>
      <c r="J66" s="67"/>
      <c r="K66" s="67"/>
      <c r="L66" s="67"/>
      <c r="M66" s="29" t="str">
        <f t="shared" si="2"/>
        <v/>
      </c>
      <c r="N66" s="29" t="str">
        <f t="shared" si="3"/>
        <v/>
      </c>
      <c r="O66" s="29" t="str">
        <f t="shared" ref="O66:O129" si="7">IF(H66*I66=0,"",H66*I66)</f>
        <v/>
      </c>
      <c r="P66" s="61"/>
      <c r="Q66" s="61"/>
      <c r="R66" s="61"/>
      <c r="S66" s="45"/>
      <c r="T66" s="29" t="str">
        <f t="shared" ref="T66:T129" si="8">IF(R66="paid",(H66*I66)-(G66*H66),"")</f>
        <v/>
      </c>
    </row>
    <row r="67" spans="1:20">
      <c r="A67" s="10" t="str">
        <f t="shared" si="4"/>
        <v/>
      </c>
      <c r="B67" s="63"/>
      <c r="C67" s="25" t="str">
        <f t="shared" ref="C67:C130" si="9">IF(B67=0,"",TEXT(B67,"mmmm"))</f>
        <v/>
      </c>
      <c r="D67" s="25" t="str">
        <f t="shared" ref="D67:D130" si="10">IF(B67=0,"",TEXT(B67,"yyyy"))</f>
        <v/>
      </c>
      <c r="E67" s="45"/>
      <c r="F67" s="28" t="str">
        <f>IFERROR(VLOOKUP(E67,Category!$D$2:$E$600,2,FALSE),"")</f>
        <v/>
      </c>
      <c r="G67" s="65"/>
      <c r="H67" s="56"/>
      <c r="I67" s="66"/>
      <c r="J67" s="67"/>
      <c r="K67" s="67"/>
      <c r="L67" s="67"/>
      <c r="M67" s="29" t="str">
        <f t="shared" ref="M67:M130" si="11">IFERROR(IF(O67&gt;0,IF(R67="Paid","",O67-J67),""),"")</f>
        <v/>
      </c>
      <c r="N67" s="29" t="str">
        <f t="shared" ref="N67:N130" si="12">IF(J67&gt;0,IF(R67="Paid",O67-J67,""),"")</f>
        <v/>
      </c>
      <c r="O67" s="29" t="str">
        <f t="shared" si="7"/>
        <v/>
      </c>
      <c r="P67" s="61"/>
      <c r="Q67" s="61"/>
      <c r="R67" s="61"/>
      <c r="S67" s="45"/>
      <c r="T67" s="29" t="str">
        <f t="shared" si="8"/>
        <v/>
      </c>
    </row>
    <row r="68" spans="1:20">
      <c r="A68" s="10" t="str">
        <f t="shared" ref="A68:A131" si="13">IF(E68&gt;0,A67+1,"")</f>
        <v/>
      </c>
      <c r="B68" s="63"/>
      <c r="C68" s="25" t="str">
        <f t="shared" si="9"/>
        <v/>
      </c>
      <c r="D68" s="25" t="str">
        <f t="shared" si="10"/>
        <v/>
      </c>
      <c r="E68" s="45"/>
      <c r="F68" s="28" t="str">
        <f>IFERROR(VLOOKUP(E68,Category!$D$2:$E$600,2,FALSE),"")</f>
        <v/>
      </c>
      <c r="G68" s="65"/>
      <c r="H68" s="56"/>
      <c r="I68" s="66"/>
      <c r="J68" s="67"/>
      <c r="K68" s="67"/>
      <c r="L68" s="67"/>
      <c r="M68" s="29" t="str">
        <f t="shared" si="11"/>
        <v/>
      </c>
      <c r="N68" s="29" t="str">
        <f t="shared" si="12"/>
        <v/>
      </c>
      <c r="O68" s="29" t="str">
        <f t="shared" si="7"/>
        <v/>
      </c>
      <c r="P68" s="61"/>
      <c r="Q68" s="61"/>
      <c r="R68" s="61"/>
      <c r="S68" s="45"/>
      <c r="T68" s="29" t="str">
        <f t="shared" si="8"/>
        <v/>
      </c>
    </row>
    <row r="69" spans="1:20">
      <c r="A69" s="10" t="str">
        <f t="shared" si="13"/>
        <v/>
      </c>
      <c r="B69" s="63"/>
      <c r="C69" s="25" t="str">
        <f t="shared" si="9"/>
        <v/>
      </c>
      <c r="D69" s="25" t="str">
        <f t="shared" si="10"/>
        <v/>
      </c>
      <c r="E69" s="45"/>
      <c r="F69" s="28" t="str">
        <f>IFERROR(VLOOKUP(E69,Category!$D$2:$E$600,2,FALSE),"")</f>
        <v/>
      </c>
      <c r="G69" s="65"/>
      <c r="H69" s="56"/>
      <c r="I69" s="66"/>
      <c r="J69" s="67"/>
      <c r="K69" s="67"/>
      <c r="L69" s="67"/>
      <c r="M69" s="29" t="str">
        <f t="shared" si="11"/>
        <v/>
      </c>
      <c r="N69" s="29" t="str">
        <f t="shared" si="12"/>
        <v/>
      </c>
      <c r="O69" s="29" t="str">
        <f t="shared" si="7"/>
        <v/>
      </c>
      <c r="P69" s="61"/>
      <c r="Q69" s="61"/>
      <c r="R69" s="61"/>
      <c r="S69" s="45"/>
      <c r="T69" s="29" t="str">
        <f t="shared" si="8"/>
        <v/>
      </c>
    </row>
    <row r="70" spans="1:20">
      <c r="A70" s="10" t="str">
        <f t="shared" si="13"/>
        <v/>
      </c>
      <c r="B70" s="63"/>
      <c r="C70" s="25" t="str">
        <f t="shared" si="9"/>
        <v/>
      </c>
      <c r="D70" s="25" t="str">
        <f t="shared" si="10"/>
        <v/>
      </c>
      <c r="E70" s="45"/>
      <c r="F70" s="28" t="str">
        <f>IFERROR(VLOOKUP(E70,Category!$D$2:$E$600,2,FALSE),"")</f>
        <v/>
      </c>
      <c r="G70" s="65"/>
      <c r="H70" s="56"/>
      <c r="I70" s="66"/>
      <c r="J70" s="67"/>
      <c r="K70" s="67"/>
      <c r="L70" s="67"/>
      <c r="M70" s="29" t="str">
        <f t="shared" si="11"/>
        <v/>
      </c>
      <c r="N70" s="29" t="str">
        <f t="shared" si="12"/>
        <v/>
      </c>
      <c r="O70" s="29" t="str">
        <f t="shared" si="7"/>
        <v/>
      </c>
      <c r="P70" s="61"/>
      <c r="Q70" s="61"/>
      <c r="R70" s="61"/>
      <c r="S70" s="45"/>
      <c r="T70" s="29" t="str">
        <f t="shared" si="8"/>
        <v/>
      </c>
    </row>
    <row r="71" spans="1:20">
      <c r="A71" s="10" t="str">
        <f t="shared" si="13"/>
        <v/>
      </c>
      <c r="B71" s="63"/>
      <c r="C71" s="25" t="str">
        <f t="shared" si="9"/>
        <v/>
      </c>
      <c r="D71" s="25" t="str">
        <f t="shared" si="10"/>
        <v/>
      </c>
      <c r="E71" s="45"/>
      <c r="F71" s="28" t="str">
        <f>IFERROR(VLOOKUP(E71,Category!$D$2:$E$600,2,FALSE),"")</f>
        <v/>
      </c>
      <c r="G71" s="65"/>
      <c r="H71" s="56"/>
      <c r="I71" s="66"/>
      <c r="J71" s="67"/>
      <c r="K71" s="67"/>
      <c r="L71" s="67"/>
      <c r="M71" s="29" t="str">
        <f t="shared" si="11"/>
        <v/>
      </c>
      <c r="N71" s="29" t="str">
        <f t="shared" si="12"/>
        <v/>
      </c>
      <c r="O71" s="29" t="str">
        <f t="shared" si="7"/>
        <v/>
      </c>
      <c r="P71" s="61"/>
      <c r="Q71" s="61"/>
      <c r="R71" s="61"/>
      <c r="S71" s="45"/>
      <c r="T71" s="29" t="str">
        <f t="shared" si="8"/>
        <v/>
      </c>
    </row>
    <row r="72" spans="1:20">
      <c r="A72" s="10" t="str">
        <f t="shared" si="13"/>
        <v/>
      </c>
      <c r="B72" s="63"/>
      <c r="C72" s="25" t="str">
        <f t="shared" si="9"/>
        <v/>
      </c>
      <c r="D72" s="25" t="str">
        <f t="shared" si="10"/>
        <v/>
      </c>
      <c r="E72" s="45"/>
      <c r="F72" s="28" t="str">
        <f>IFERROR(VLOOKUP(E72,Category!$D$2:$E$600,2,FALSE),"")</f>
        <v/>
      </c>
      <c r="G72" s="65"/>
      <c r="H72" s="56"/>
      <c r="I72" s="66"/>
      <c r="J72" s="67"/>
      <c r="K72" s="67"/>
      <c r="L72" s="67"/>
      <c r="M72" s="29" t="str">
        <f t="shared" si="11"/>
        <v/>
      </c>
      <c r="N72" s="29" t="str">
        <f t="shared" si="12"/>
        <v/>
      </c>
      <c r="O72" s="29" t="str">
        <f t="shared" si="7"/>
        <v/>
      </c>
      <c r="P72" s="61"/>
      <c r="Q72" s="61"/>
      <c r="R72" s="61"/>
      <c r="S72" s="45"/>
      <c r="T72" s="29" t="str">
        <f t="shared" si="8"/>
        <v/>
      </c>
    </row>
    <row r="73" spans="1:20">
      <c r="A73" s="10" t="str">
        <f t="shared" si="13"/>
        <v/>
      </c>
      <c r="B73" s="63"/>
      <c r="C73" s="25" t="str">
        <f t="shared" si="9"/>
        <v/>
      </c>
      <c r="D73" s="25" t="str">
        <f t="shared" si="10"/>
        <v/>
      </c>
      <c r="E73" s="45"/>
      <c r="F73" s="28" t="str">
        <f>IFERROR(VLOOKUP(E73,Category!$D$2:$E$600,2,FALSE),"")</f>
        <v/>
      </c>
      <c r="G73" s="65"/>
      <c r="H73" s="56"/>
      <c r="I73" s="66"/>
      <c r="J73" s="67"/>
      <c r="K73" s="67"/>
      <c r="L73" s="67"/>
      <c r="M73" s="29" t="str">
        <f t="shared" si="11"/>
        <v/>
      </c>
      <c r="N73" s="29" t="str">
        <f t="shared" si="12"/>
        <v/>
      </c>
      <c r="O73" s="29" t="str">
        <f t="shared" si="7"/>
        <v/>
      </c>
      <c r="P73" s="61"/>
      <c r="Q73" s="61"/>
      <c r="R73" s="61"/>
      <c r="S73" s="45"/>
      <c r="T73" s="29" t="str">
        <f t="shared" si="8"/>
        <v/>
      </c>
    </row>
    <row r="74" spans="1:20">
      <c r="A74" s="10" t="str">
        <f t="shared" si="13"/>
        <v/>
      </c>
      <c r="B74" s="63"/>
      <c r="C74" s="25" t="str">
        <f t="shared" si="9"/>
        <v/>
      </c>
      <c r="D74" s="25" t="str">
        <f t="shared" si="10"/>
        <v/>
      </c>
      <c r="E74" s="45"/>
      <c r="F74" s="28" t="str">
        <f>IFERROR(VLOOKUP(E74,Category!$D$2:$E$600,2,FALSE),"")</f>
        <v/>
      </c>
      <c r="G74" s="65"/>
      <c r="H74" s="56"/>
      <c r="I74" s="66"/>
      <c r="J74" s="67"/>
      <c r="K74" s="67"/>
      <c r="L74" s="67"/>
      <c r="M74" s="29" t="str">
        <f t="shared" si="11"/>
        <v/>
      </c>
      <c r="N74" s="29" t="str">
        <f t="shared" si="12"/>
        <v/>
      </c>
      <c r="O74" s="29" t="str">
        <f t="shared" si="7"/>
        <v/>
      </c>
      <c r="P74" s="61"/>
      <c r="Q74" s="61"/>
      <c r="R74" s="61"/>
      <c r="S74" s="45"/>
      <c r="T74" s="29" t="str">
        <f t="shared" si="8"/>
        <v/>
      </c>
    </row>
    <row r="75" spans="1:20">
      <c r="A75" s="10" t="str">
        <f t="shared" si="13"/>
        <v/>
      </c>
      <c r="B75" s="63"/>
      <c r="C75" s="25" t="str">
        <f t="shared" si="9"/>
        <v/>
      </c>
      <c r="D75" s="25" t="str">
        <f t="shared" si="10"/>
        <v/>
      </c>
      <c r="E75" s="45"/>
      <c r="F75" s="28" t="str">
        <f>IFERROR(VLOOKUP(E75,Category!$D$2:$E$600,2,FALSE),"")</f>
        <v/>
      </c>
      <c r="G75" s="65"/>
      <c r="H75" s="56"/>
      <c r="I75" s="66"/>
      <c r="J75" s="67"/>
      <c r="K75" s="67"/>
      <c r="L75" s="67"/>
      <c r="M75" s="29" t="str">
        <f t="shared" si="11"/>
        <v/>
      </c>
      <c r="N75" s="29" t="str">
        <f t="shared" si="12"/>
        <v/>
      </c>
      <c r="O75" s="29" t="str">
        <f t="shared" si="7"/>
        <v/>
      </c>
      <c r="P75" s="61"/>
      <c r="Q75" s="61"/>
      <c r="R75" s="61"/>
      <c r="S75" s="45"/>
      <c r="T75" s="29" t="str">
        <f t="shared" si="8"/>
        <v/>
      </c>
    </row>
    <row r="76" spans="1:20">
      <c r="A76" s="10" t="str">
        <f t="shared" si="13"/>
        <v/>
      </c>
      <c r="B76" s="63"/>
      <c r="C76" s="25" t="str">
        <f t="shared" si="9"/>
        <v/>
      </c>
      <c r="D76" s="25" t="str">
        <f t="shared" si="10"/>
        <v/>
      </c>
      <c r="E76" s="45"/>
      <c r="F76" s="28" t="str">
        <f>IFERROR(VLOOKUP(E76,Category!$D$2:$E$600,2,FALSE),"")</f>
        <v/>
      </c>
      <c r="G76" s="65"/>
      <c r="H76" s="56"/>
      <c r="I76" s="66"/>
      <c r="J76" s="67"/>
      <c r="K76" s="67"/>
      <c r="L76" s="67"/>
      <c r="M76" s="29" t="str">
        <f t="shared" si="11"/>
        <v/>
      </c>
      <c r="N76" s="29" t="str">
        <f t="shared" si="12"/>
        <v/>
      </c>
      <c r="O76" s="29" t="str">
        <f t="shared" si="7"/>
        <v/>
      </c>
      <c r="P76" s="61"/>
      <c r="Q76" s="61"/>
      <c r="R76" s="61"/>
      <c r="S76" s="45"/>
      <c r="T76" s="29" t="str">
        <f t="shared" si="8"/>
        <v/>
      </c>
    </row>
    <row r="77" spans="1:20">
      <c r="A77" s="10" t="str">
        <f t="shared" si="13"/>
        <v/>
      </c>
      <c r="B77" s="63"/>
      <c r="C77" s="25" t="str">
        <f t="shared" si="9"/>
        <v/>
      </c>
      <c r="D77" s="25" t="str">
        <f t="shared" si="10"/>
        <v/>
      </c>
      <c r="E77" s="45"/>
      <c r="F77" s="28" t="str">
        <f>IFERROR(VLOOKUP(E77,Category!$D$2:$E$600,2,FALSE),"")</f>
        <v/>
      </c>
      <c r="G77" s="65"/>
      <c r="H77" s="56"/>
      <c r="I77" s="66"/>
      <c r="J77" s="67"/>
      <c r="K77" s="67"/>
      <c r="L77" s="67"/>
      <c r="M77" s="29" t="str">
        <f t="shared" si="11"/>
        <v/>
      </c>
      <c r="N77" s="29" t="str">
        <f t="shared" si="12"/>
        <v/>
      </c>
      <c r="O77" s="29" t="str">
        <f t="shared" si="7"/>
        <v/>
      </c>
      <c r="P77" s="61"/>
      <c r="Q77" s="61"/>
      <c r="R77" s="61"/>
      <c r="S77" s="45"/>
      <c r="T77" s="29" t="str">
        <f t="shared" si="8"/>
        <v/>
      </c>
    </row>
    <row r="78" spans="1:20">
      <c r="A78" s="10" t="str">
        <f t="shared" si="13"/>
        <v/>
      </c>
      <c r="B78" s="63"/>
      <c r="C78" s="25" t="str">
        <f t="shared" si="9"/>
        <v/>
      </c>
      <c r="D78" s="25" t="str">
        <f t="shared" si="10"/>
        <v/>
      </c>
      <c r="E78" s="45"/>
      <c r="F78" s="28" t="str">
        <f>IFERROR(VLOOKUP(E78,Category!$D$2:$E$600,2,FALSE),"")</f>
        <v/>
      </c>
      <c r="G78" s="65"/>
      <c r="H78" s="56"/>
      <c r="I78" s="66"/>
      <c r="J78" s="67"/>
      <c r="K78" s="67"/>
      <c r="L78" s="67"/>
      <c r="M78" s="29" t="str">
        <f t="shared" si="11"/>
        <v/>
      </c>
      <c r="N78" s="29" t="str">
        <f t="shared" si="12"/>
        <v/>
      </c>
      <c r="O78" s="29" t="str">
        <f t="shared" si="7"/>
        <v/>
      </c>
      <c r="P78" s="61"/>
      <c r="Q78" s="61"/>
      <c r="R78" s="61"/>
      <c r="S78" s="45"/>
      <c r="T78" s="29" t="str">
        <f t="shared" si="8"/>
        <v/>
      </c>
    </row>
    <row r="79" spans="1:20">
      <c r="A79" s="10" t="str">
        <f t="shared" si="13"/>
        <v/>
      </c>
      <c r="B79" s="63"/>
      <c r="C79" s="25" t="str">
        <f t="shared" si="9"/>
        <v/>
      </c>
      <c r="D79" s="25" t="str">
        <f t="shared" si="10"/>
        <v/>
      </c>
      <c r="E79" s="45"/>
      <c r="F79" s="28" t="str">
        <f>IFERROR(VLOOKUP(E79,Category!$D$2:$E$600,2,FALSE),"")</f>
        <v/>
      </c>
      <c r="G79" s="65"/>
      <c r="H79" s="56"/>
      <c r="I79" s="66"/>
      <c r="J79" s="67"/>
      <c r="K79" s="67"/>
      <c r="L79" s="67"/>
      <c r="M79" s="29" t="str">
        <f t="shared" si="11"/>
        <v/>
      </c>
      <c r="N79" s="29" t="str">
        <f t="shared" si="12"/>
        <v/>
      </c>
      <c r="O79" s="29" t="str">
        <f t="shared" si="7"/>
        <v/>
      </c>
      <c r="P79" s="61"/>
      <c r="Q79" s="61"/>
      <c r="R79" s="61"/>
      <c r="S79" s="45"/>
      <c r="T79" s="29" t="str">
        <f t="shared" si="8"/>
        <v/>
      </c>
    </row>
    <row r="80" spans="1:20">
      <c r="A80" s="10" t="str">
        <f t="shared" si="13"/>
        <v/>
      </c>
      <c r="B80" s="63"/>
      <c r="C80" s="25" t="str">
        <f t="shared" si="9"/>
        <v/>
      </c>
      <c r="D80" s="25" t="str">
        <f t="shared" si="10"/>
        <v/>
      </c>
      <c r="E80" s="45"/>
      <c r="F80" s="28" t="str">
        <f>IFERROR(VLOOKUP(E80,Category!$D$2:$E$600,2,FALSE),"")</f>
        <v/>
      </c>
      <c r="G80" s="65"/>
      <c r="H80" s="56"/>
      <c r="I80" s="66"/>
      <c r="J80" s="67"/>
      <c r="K80" s="67"/>
      <c r="L80" s="67"/>
      <c r="M80" s="29" t="str">
        <f t="shared" si="11"/>
        <v/>
      </c>
      <c r="N80" s="29" t="str">
        <f t="shared" si="12"/>
        <v/>
      </c>
      <c r="O80" s="29" t="str">
        <f t="shared" si="7"/>
        <v/>
      </c>
      <c r="P80" s="61"/>
      <c r="Q80" s="61"/>
      <c r="R80" s="61"/>
      <c r="S80" s="45"/>
      <c r="T80" s="29" t="str">
        <f t="shared" si="8"/>
        <v/>
      </c>
    </row>
    <row r="81" spans="1:20">
      <c r="A81" s="10" t="str">
        <f t="shared" si="13"/>
        <v/>
      </c>
      <c r="B81" s="63"/>
      <c r="C81" s="25" t="str">
        <f t="shared" si="9"/>
        <v/>
      </c>
      <c r="D81" s="25" t="str">
        <f t="shared" si="10"/>
        <v/>
      </c>
      <c r="E81" s="45"/>
      <c r="F81" s="28" t="str">
        <f>IFERROR(VLOOKUP(E81,Category!$D$2:$E$600,2,FALSE),"")</f>
        <v/>
      </c>
      <c r="G81" s="65"/>
      <c r="H81" s="56"/>
      <c r="I81" s="66"/>
      <c r="J81" s="67"/>
      <c r="K81" s="67"/>
      <c r="L81" s="67"/>
      <c r="M81" s="29" t="str">
        <f t="shared" si="11"/>
        <v/>
      </c>
      <c r="N81" s="29" t="str">
        <f t="shared" si="12"/>
        <v/>
      </c>
      <c r="O81" s="29" t="str">
        <f t="shared" si="7"/>
        <v/>
      </c>
      <c r="P81" s="61"/>
      <c r="Q81" s="61"/>
      <c r="R81" s="61"/>
      <c r="S81" s="45"/>
      <c r="T81" s="29" t="str">
        <f t="shared" si="8"/>
        <v/>
      </c>
    </row>
    <row r="82" spans="1:20">
      <c r="A82" s="10" t="str">
        <f t="shared" si="13"/>
        <v/>
      </c>
      <c r="B82" s="63"/>
      <c r="C82" s="25" t="str">
        <f t="shared" si="9"/>
        <v/>
      </c>
      <c r="D82" s="25" t="str">
        <f t="shared" si="10"/>
        <v/>
      </c>
      <c r="E82" s="45"/>
      <c r="F82" s="28" t="str">
        <f>IFERROR(VLOOKUP(E82,Category!$D$2:$E$600,2,FALSE),"")</f>
        <v/>
      </c>
      <c r="G82" s="65"/>
      <c r="H82" s="56"/>
      <c r="I82" s="66"/>
      <c r="J82" s="67"/>
      <c r="K82" s="67"/>
      <c r="L82" s="67"/>
      <c r="M82" s="29" t="str">
        <f t="shared" si="11"/>
        <v/>
      </c>
      <c r="N82" s="29" t="str">
        <f t="shared" si="12"/>
        <v/>
      </c>
      <c r="O82" s="29" t="str">
        <f t="shared" si="7"/>
        <v/>
      </c>
      <c r="P82" s="61"/>
      <c r="Q82" s="61"/>
      <c r="R82" s="61"/>
      <c r="S82" s="45"/>
      <c r="T82" s="29" t="str">
        <f t="shared" si="8"/>
        <v/>
      </c>
    </row>
    <row r="83" spans="1:20">
      <c r="A83" s="10" t="str">
        <f t="shared" si="13"/>
        <v/>
      </c>
      <c r="B83" s="63"/>
      <c r="C83" s="25" t="str">
        <f t="shared" si="9"/>
        <v/>
      </c>
      <c r="D83" s="25" t="str">
        <f t="shared" si="10"/>
        <v/>
      </c>
      <c r="E83" s="45"/>
      <c r="F83" s="28" t="str">
        <f>IFERROR(VLOOKUP(E83,Category!$D$2:$E$600,2,FALSE),"")</f>
        <v/>
      </c>
      <c r="G83" s="65"/>
      <c r="H83" s="56"/>
      <c r="I83" s="66"/>
      <c r="J83" s="67"/>
      <c r="K83" s="67"/>
      <c r="L83" s="67"/>
      <c r="M83" s="29" t="str">
        <f t="shared" si="11"/>
        <v/>
      </c>
      <c r="N83" s="29" t="str">
        <f t="shared" si="12"/>
        <v/>
      </c>
      <c r="O83" s="29" t="str">
        <f t="shared" si="7"/>
        <v/>
      </c>
      <c r="P83" s="61"/>
      <c r="Q83" s="61"/>
      <c r="R83" s="61"/>
      <c r="S83" s="45"/>
      <c r="T83" s="29" t="str">
        <f t="shared" si="8"/>
        <v/>
      </c>
    </row>
    <row r="84" spans="1:20">
      <c r="A84" s="10" t="str">
        <f t="shared" si="13"/>
        <v/>
      </c>
      <c r="B84" s="63"/>
      <c r="C84" s="25" t="str">
        <f t="shared" si="9"/>
        <v/>
      </c>
      <c r="D84" s="25" t="str">
        <f t="shared" si="10"/>
        <v/>
      </c>
      <c r="E84" s="45"/>
      <c r="F84" s="28" t="str">
        <f>IFERROR(VLOOKUP(E84,Category!$D$2:$E$600,2,FALSE),"")</f>
        <v/>
      </c>
      <c r="G84" s="65"/>
      <c r="H84" s="56"/>
      <c r="I84" s="66"/>
      <c r="J84" s="67"/>
      <c r="K84" s="67"/>
      <c r="L84" s="67"/>
      <c r="M84" s="29" t="str">
        <f t="shared" si="11"/>
        <v/>
      </c>
      <c r="N84" s="29" t="str">
        <f t="shared" si="12"/>
        <v/>
      </c>
      <c r="O84" s="29" t="str">
        <f t="shared" si="7"/>
        <v/>
      </c>
      <c r="P84" s="61"/>
      <c r="Q84" s="61"/>
      <c r="R84" s="61"/>
      <c r="S84" s="45"/>
      <c r="T84" s="29" t="str">
        <f t="shared" si="8"/>
        <v/>
      </c>
    </row>
    <row r="85" spans="1:20">
      <c r="A85" s="10" t="str">
        <f t="shared" si="13"/>
        <v/>
      </c>
      <c r="B85" s="63"/>
      <c r="C85" s="25" t="str">
        <f t="shared" si="9"/>
        <v/>
      </c>
      <c r="D85" s="25" t="str">
        <f t="shared" si="10"/>
        <v/>
      </c>
      <c r="E85" s="45"/>
      <c r="F85" s="28" t="str">
        <f>IFERROR(VLOOKUP(E85,Category!$D$2:$E$600,2,FALSE),"")</f>
        <v/>
      </c>
      <c r="G85" s="65"/>
      <c r="H85" s="56"/>
      <c r="I85" s="66"/>
      <c r="J85" s="67"/>
      <c r="K85" s="67"/>
      <c r="L85" s="67"/>
      <c r="M85" s="29" t="str">
        <f t="shared" si="11"/>
        <v/>
      </c>
      <c r="N85" s="29" t="str">
        <f t="shared" si="12"/>
        <v/>
      </c>
      <c r="O85" s="29" t="str">
        <f t="shared" si="7"/>
        <v/>
      </c>
      <c r="P85" s="61"/>
      <c r="Q85" s="61"/>
      <c r="R85" s="61"/>
      <c r="S85" s="45"/>
      <c r="T85" s="29" t="str">
        <f t="shared" si="8"/>
        <v/>
      </c>
    </row>
    <row r="86" spans="1:20">
      <c r="A86" s="10" t="str">
        <f t="shared" si="13"/>
        <v/>
      </c>
      <c r="B86" s="63"/>
      <c r="C86" s="25" t="str">
        <f t="shared" si="9"/>
        <v/>
      </c>
      <c r="D86" s="25" t="str">
        <f t="shared" si="10"/>
        <v/>
      </c>
      <c r="E86" s="45"/>
      <c r="F86" s="28" t="str">
        <f>IFERROR(VLOOKUP(E86,Category!$D$2:$E$600,2,FALSE),"")</f>
        <v/>
      </c>
      <c r="G86" s="65"/>
      <c r="H86" s="56"/>
      <c r="I86" s="66"/>
      <c r="J86" s="67"/>
      <c r="K86" s="67"/>
      <c r="L86" s="67"/>
      <c r="M86" s="29" t="str">
        <f t="shared" si="11"/>
        <v/>
      </c>
      <c r="N86" s="29" t="str">
        <f t="shared" si="12"/>
        <v/>
      </c>
      <c r="O86" s="29" t="str">
        <f t="shared" si="7"/>
        <v/>
      </c>
      <c r="P86" s="61"/>
      <c r="Q86" s="61"/>
      <c r="R86" s="61"/>
      <c r="S86" s="45"/>
      <c r="T86" s="29" t="str">
        <f t="shared" si="8"/>
        <v/>
      </c>
    </row>
    <row r="87" spans="1:20">
      <c r="A87" s="10" t="str">
        <f t="shared" si="13"/>
        <v/>
      </c>
      <c r="B87" s="63"/>
      <c r="C87" s="25" t="str">
        <f t="shared" si="9"/>
        <v/>
      </c>
      <c r="D87" s="25" t="str">
        <f t="shared" si="10"/>
        <v/>
      </c>
      <c r="E87" s="45"/>
      <c r="F87" s="28" t="str">
        <f>IFERROR(VLOOKUP(E87,Category!$D$2:$E$600,2,FALSE),"")</f>
        <v/>
      </c>
      <c r="G87" s="65"/>
      <c r="H87" s="56"/>
      <c r="I87" s="66"/>
      <c r="J87" s="67"/>
      <c r="K87" s="67"/>
      <c r="L87" s="67"/>
      <c r="M87" s="29" t="str">
        <f t="shared" si="11"/>
        <v/>
      </c>
      <c r="N87" s="29" t="str">
        <f t="shared" si="12"/>
        <v/>
      </c>
      <c r="O87" s="29" t="str">
        <f t="shared" si="7"/>
        <v/>
      </c>
      <c r="P87" s="61"/>
      <c r="Q87" s="61"/>
      <c r="R87" s="61"/>
      <c r="S87" s="45"/>
      <c r="T87" s="29" t="str">
        <f t="shared" si="8"/>
        <v/>
      </c>
    </row>
    <row r="88" spans="1:20">
      <c r="A88" s="10" t="str">
        <f t="shared" si="13"/>
        <v/>
      </c>
      <c r="B88" s="63"/>
      <c r="C88" s="25" t="str">
        <f t="shared" si="9"/>
        <v/>
      </c>
      <c r="D88" s="25" t="str">
        <f t="shared" si="10"/>
        <v/>
      </c>
      <c r="E88" s="45"/>
      <c r="F88" s="28" t="str">
        <f>IFERROR(VLOOKUP(E88,Category!$D$2:$E$600,2,FALSE),"")</f>
        <v/>
      </c>
      <c r="G88" s="65"/>
      <c r="H88" s="56"/>
      <c r="I88" s="66"/>
      <c r="J88" s="67"/>
      <c r="K88" s="67"/>
      <c r="L88" s="67"/>
      <c r="M88" s="29" t="str">
        <f t="shared" si="11"/>
        <v/>
      </c>
      <c r="N88" s="29" t="str">
        <f t="shared" si="12"/>
        <v/>
      </c>
      <c r="O88" s="29" t="str">
        <f t="shared" si="7"/>
        <v/>
      </c>
      <c r="P88" s="61"/>
      <c r="Q88" s="61"/>
      <c r="R88" s="61"/>
      <c r="S88" s="45"/>
      <c r="T88" s="29" t="str">
        <f t="shared" si="8"/>
        <v/>
      </c>
    </row>
    <row r="89" spans="1:20">
      <c r="A89" s="10" t="str">
        <f t="shared" si="13"/>
        <v/>
      </c>
      <c r="B89" s="63"/>
      <c r="C89" s="25" t="str">
        <f t="shared" si="9"/>
        <v/>
      </c>
      <c r="D89" s="25" t="str">
        <f t="shared" si="10"/>
        <v/>
      </c>
      <c r="E89" s="45"/>
      <c r="F89" s="28" t="str">
        <f>IFERROR(VLOOKUP(E89,Category!$D$2:$E$600,2,FALSE),"")</f>
        <v/>
      </c>
      <c r="G89" s="65"/>
      <c r="H89" s="56"/>
      <c r="I89" s="66"/>
      <c r="J89" s="67"/>
      <c r="K89" s="67"/>
      <c r="L89" s="67"/>
      <c r="M89" s="29" t="str">
        <f t="shared" si="11"/>
        <v/>
      </c>
      <c r="N89" s="29" t="str">
        <f t="shared" si="12"/>
        <v/>
      </c>
      <c r="O89" s="29" t="str">
        <f t="shared" si="7"/>
        <v/>
      </c>
      <c r="P89" s="61"/>
      <c r="Q89" s="61"/>
      <c r="R89" s="61"/>
      <c r="S89" s="45"/>
      <c r="T89" s="29" t="str">
        <f t="shared" si="8"/>
        <v/>
      </c>
    </row>
    <row r="90" spans="1:20">
      <c r="A90" s="10" t="str">
        <f t="shared" si="13"/>
        <v/>
      </c>
      <c r="B90" s="63"/>
      <c r="C90" s="25" t="str">
        <f t="shared" si="9"/>
        <v/>
      </c>
      <c r="D90" s="25" t="str">
        <f t="shared" si="10"/>
        <v/>
      </c>
      <c r="E90" s="45"/>
      <c r="F90" s="28" t="str">
        <f>IFERROR(VLOOKUP(E90,Category!$D$2:$E$600,2,FALSE),"")</f>
        <v/>
      </c>
      <c r="G90" s="65"/>
      <c r="H90" s="56"/>
      <c r="I90" s="66"/>
      <c r="J90" s="67"/>
      <c r="K90" s="67"/>
      <c r="L90" s="67"/>
      <c r="M90" s="29" t="str">
        <f t="shared" si="11"/>
        <v/>
      </c>
      <c r="N90" s="29" t="str">
        <f t="shared" si="12"/>
        <v/>
      </c>
      <c r="O90" s="29" t="str">
        <f t="shared" si="7"/>
        <v/>
      </c>
      <c r="P90" s="61"/>
      <c r="Q90" s="61"/>
      <c r="R90" s="61"/>
      <c r="S90" s="45"/>
      <c r="T90" s="29" t="str">
        <f t="shared" si="8"/>
        <v/>
      </c>
    </row>
    <row r="91" spans="1:20">
      <c r="A91" s="10" t="str">
        <f t="shared" si="13"/>
        <v/>
      </c>
      <c r="B91" s="63"/>
      <c r="C91" s="25" t="str">
        <f t="shared" si="9"/>
        <v/>
      </c>
      <c r="D91" s="25" t="str">
        <f t="shared" si="10"/>
        <v/>
      </c>
      <c r="E91" s="45"/>
      <c r="F91" s="28" t="str">
        <f>IFERROR(VLOOKUP(E91,Category!$D$2:$E$600,2,FALSE),"")</f>
        <v/>
      </c>
      <c r="G91" s="65"/>
      <c r="H91" s="56"/>
      <c r="I91" s="66"/>
      <c r="J91" s="67"/>
      <c r="K91" s="67"/>
      <c r="L91" s="67"/>
      <c r="M91" s="29" t="str">
        <f t="shared" si="11"/>
        <v/>
      </c>
      <c r="N91" s="29" t="str">
        <f t="shared" si="12"/>
        <v/>
      </c>
      <c r="O91" s="29" t="str">
        <f t="shared" si="7"/>
        <v/>
      </c>
      <c r="P91" s="61"/>
      <c r="Q91" s="61"/>
      <c r="R91" s="61"/>
      <c r="S91" s="45"/>
      <c r="T91" s="29" t="str">
        <f t="shared" si="8"/>
        <v/>
      </c>
    </row>
    <row r="92" spans="1:20">
      <c r="A92" s="10" t="str">
        <f t="shared" si="13"/>
        <v/>
      </c>
      <c r="B92" s="63"/>
      <c r="C92" s="25" t="str">
        <f t="shared" si="9"/>
        <v/>
      </c>
      <c r="D92" s="25" t="str">
        <f t="shared" si="10"/>
        <v/>
      </c>
      <c r="E92" s="45"/>
      <c r="F92" s="28" t="str">
        <f>IFERROR(VLOOKUP(E92,Category!$D$2:$E$600,2,FALSE),"")</f>
        <v/>
      </c>
      <c r="G92" s="65"/>
      <c r="H92" s="56"/>
      <c r="I92" s="66"/>
      <c r="J92" s="67"/>
      <c r="K92" s="67"/>
      <c r="L92" s="67"/>
      <c r="M92" s="29" t="str">
        <f t="shared" si="11"/>
        <v/>
      </c>
      <c r="N92" s="29" t="str">
        <f t="shared" si="12"/>
        <v/>
      </c>
      <c r="O92" s="29" t="str">
        <f t="shared" si="7"/>
        <v/>
      </c>
      <c r="P92" s="61"/>
      <c r="Q92" s="61"/>
      <c r="R92" s="61"/>
      <c r="S92" s="45"/>
      <c r="T92" s="29" t="str">
        <f t="shared" si="8"/>
        <v/>
      </c>
    </row>
    <row r="93" spans="1:20">
      <c r="A93" s="10" t="str">
        <f t="shared" si="13"/>
        <v/>
      </c>
      <c r="B93" s="63"/>
      <c r="C93" s="25" t="str">
        <f t="shared" si="9"/>
        <v/>
      </c>
      <c r="D93" s="25" t="str">
        <f t="shared" si="10"/>
        <v/>
      </c>
      <c r="E93" s="45"/>
      <c r="F93" s="28" t="str">
        <f>IFERROR(VLOOKUP(E93,Category!$D$2:$E$600,2,FALSE),"")</f>
        <v/>
      </c>
      <c r="G93" s="65"/>
      <c r="H93" s="56"/>
      <c r="I93" s="66"/>
      <c r="J93" s="67"/>
      <c r="K93" s="67"/>
      <c r="L93" s="67"/>
      <c r="M93" s="29" t="str">
        <f t="shared" si="11"/>
        <v/>
      </c>
      <c r="N93" s="29" t="str">
        <f t="shared" si="12"/>
        <v/>
      </c>
      <c r="O93" s="29" t="str">
        <f t="shared" si="7"/>
        <v/>
      </c>
      <c r="P93" s="61"/>
      <c r="Q93" s="61"/>
      <c r="R93" s="61"/>
      <c r="S93" s="45"/>
      <c r="T93" s="29" t="str">
        <f t="shared" si="8"/>
        <v/>
      </c>
    </row>
    <row r="94" spans="1:20">
      <c r="A94" s="10" t="str">
        <f t="shared" si="13"/>
        <v/>
      </c>
      <c r="B94" s="63"/>
      <c r="C94" s="25" t="str">
        <f t="shared" si="9"/>
        <v/>
      </c>
      <c r="D94" s="25" t="str">
        <f t="shared" si="10"/>
        <v/>
      </c>
      <c r="E94" s="45"/>
      <c r="F94" s="28" t="str">
        <f>IFERROR(VLOOKUP(E94,Category!$D$2:$E$600,2,FALSE),"")</f>
        <v/>
      </c>
      <c r="G94" s="65"/>
      <c r="H94" s="56"/>
      <c r="I94" s="66"/>
      <c r="J94" s="67"/>
      <c r="K94" s="67"/>
      <c r="L94" s="67"/>
      <c r="M94" s="29" t="str">
        <f t="shared" si="11"/>
        <v/>
      </c>
      <c r="N94" s="29" t="str">
        <f t="shared" si="12"/>
        <v/>
      </c>
      <c r="O94" s="29" t="str">
        <f t="shared" si="7"/>
        <v/>
      </c>
      <c r="P94" s="61"/>
      <c r="Q94" s="61"/>
      <c r="R94" s="61"/>
      <c r="S94" s="45"/>
      <c r="T94" s="29" t="str">
        <f t="shared" si="8"/>
        <v/>
      </c>
    </row>
    <row r="95" spans="1:20">
      <c r="A95" s="10" t="str">
        <f t="shared" si="13"/>
        <v/>
      </c>
      <c r="B95" s="63"/>
      <c r="C95" s="25" t="str">
        <f t="shared" si="9"/>
        <v/>
      </c>
      <c r="D95" s="25" t="str">
        <f t="shared" si="10"/>
        <v/>
      </c>
      <c r="E95" s="45"/>
      <c r="F95" s="28" t="str">
        <f>IFERROR(VLOOKUP(E95,Category!$D$2:$E$600,2,FALSE),"")</f>
        <v/>
      </c>
      <c r="G95" s="65"/>
      <c r="H95" s="56"/>
      <c r="I95" s="66"/>
      <c r="J95" s="67"/>
      <c r="K95" s="67"/>
      <c r="L95" s="67"/>
      <c r="M95" s="29" t="str">
        <f t="shared" si="11"/>
        <v/>
      </c>
      <c r="N95" s="29" t="str">
        <f t="shared" si="12"/>
        <v/>
      </c>
      <c r="O95" s="29" t="str">
        <f t="shared" si="7"/>
        <v/>
      </c>
      <c r="P95" s="61"/>
      <c r="Q95" s="61"/>
      <c r="R95" s="61"/>
      <c r="S95" s="45"/>
      <c r="T95" s="29" t="str">
        <f t="shared" si="8"/>
        <v/>
      </c>
    </row>
    <row r="96" spans="1:20">
      <c r="A96" s="10" t="str">
        <f t="shared" si="13"/>
        <v/>
      </c>
      <c r="B96" s="63"/>
      <c r="C96" s="25" t="str">
        <f t="shared" si="9"/>
        <v/>
      </c>
      <c r="D96" s="25" t="str">
        <f t="shared" si="10"/>
        <v/>
      </c>
      <c r="E96" s="45"/>
      <c r="F96" s="28" t="str">
        <f>IFERROR(VLOOKUP(E96,Category!$D$2:$E$600,2,FALSE),"")</f>
        <v/>
      </c>
      <c r="G96" s="65"/>
      <c r="H96" s="56"/>
      <c r="I96" s="66"/>
      <c r="J96" s="67"/>
      <c r="K96" s="67"/>
      <c r="L96" s="67"/>
      <c r="M96" s="29" t="str">
        <f t="shared" si="11"/>
        <v/>
      </c>
      <c r="N96" s="29" t="str">
        <f t="shared" si="12"/>
        <v/>
      </c>
      <c r="O96" s="29" t="str">
        <f t="shared" si="7"/>
        <v/>
      </c>
      <c r="P96" s="61"/>
      <c r="Q96" s="61"/>
      <c r="R96" s="61"/>
      <c r="S96" s="45"/>
      <c r="T96" s="29" t="str">
        <f t="shared" si="8"/>
        <v/>
      </c>
    </row>
    <row r="97" spans="1:20">
      <c r="A97" s="10" t="str">
        <f t="shared" si="13"/>
        <v/>
      </c>
      <c r="B97" s="63"/>
      <c r="C97" s="25" t="str">
        <f t="shared" si="9"/>
        <v/>
      </c>
      <c r="D97" s="25" t="str">
        <f t="shared" si="10"/>
        <v/>
      </c>
      <c r="E97" s="45"/>
      <c r="F97" s="28" t="str">
        <f>IFERROR(VLOOKUP(E97,Category!$D$2:$E$600,2,FALSE),"")</f>
        <v/>
      </c>
      <c r="G97" s="65"/>
      <c r="H97" s="56"/>
      <c r="I97" s="66"/>
      <c r="J97" s="67"/>
      <c r="K97" s="67"/>
      <c r="L97" s="67"/>
      <c r="M97" s="29" t="str">
        <f t="shared" si="11"/>
        <v/>
      </c>
      <c r="N97" s="29" t="str">
        <f t="shared" si="12"/>
        <v/>
      </c>
      <c r="O97" s="29" t="str">
        <f t="shared" si="7"/>
        <v/>
      </c>
      <c r="P97" s="61"/>
      <c r="Q97" s="61"/>
      <c r="R97" s="61"/>
      <c r="S97" s="45"/>
      <c r="T97" s="29" t="str">
        <f t="shared" si="8"/>
        <v/>
      </c>
    </row>
    <row r="98" spans="1:20">
      <c r="A98" s="10" t="str">
        <f t="shared" si="13"/>
        <v/>
      </c>
      <c r="B98" s="63"/>
      <c r="C98" s="25" t="str">
        <f t="shared" si="9"/>
        <v/>
      </c>
      <c r="D98" s="25" t="str">
        <f t="shared" si="10"/>
        <v/>
      </c>
      <c r="E98" s="45"/>
      <c r="F98" s="28" t="str">
        <f>IFERROR(VLOOKUP(E98,Category!$D$2:$E$600,2,FALSE),"")</f>
        <v/>
      </c>
      <c r="G98" s="65"/>
      <c r="H98" s="56"/>
      <c r="I98" s="66"/>
      <c r="J98" s="67"/>
      <c r="K98" s="67"/>
      <c r="L98" s="67"/>
      <c r="M98" s="29" t="str">
        <f t="shared" si="11"/>
        <v/>
      </c>
      <c r="N98" s="29" t="str">
        <f t="shared" si="12"/>
        <v/>
      </c>
      <c r="O98" s="29" t="str">
        <f t="shared" si="7"/>
        <v/>
      </c>
      <c r="P98" s="61"/>
      <c r="Q98" s="61"/>
      <c r="R98" s="61"/>
      <c r="S98" s="45"/>
      <c r="T98" s="29" t="str">
        <f t="shared" si="8"/>
        <v/>
      </c>
    </row>
    <row r="99" spans="1:20">
      <c r="A99" s="10" t="str">
        <f t="shared" si="13"/>
        <v/>
      </c>
      <c r="B99" s="63"/>
      <c r="C99" s="25" t="str">
        <f t="shared" si="9"/>
        <v/>
      </c>
      <c r="D99" s="25" t="str">
        <f t="shared" si="10"/>
        <v/>
      </c>
      <c r="E99" s="45"/>
      <c r="F99" s="28" t="str">
        <f>IFERROR(VLOOKUP(E99,Category!$D$2:$E$600,2,FALSE),"")</f>
        <v/>
      </c>
      <c r="G99" s="65"/>
      <c r="H99" s="56"/>
      <c r="I99" s="66"/>
      <c r="J99" s="67"/>
      <c r="K99" s="67"/>
      <c r="L99" s="67"/>
      <c r="M99" s="29" t="str">
        <f t="shared" si="11"/>
        <v/>
      </c>
      <c r="N99" s="29" t="str">
        <f t="shared" si="12"/>
        <v/>
      </c>
      <c r="O99" s="29" t="str">
        <f t="shared" si="7"/>
        <v/>
      </c>
      <c r="P99" s="61"/>
      <c r="Q99" s="61"/>
      <c r="R99" s="61"/>
      <c r="S99" s="45"/>
      <c r="T99" s="29" t="str">
        <f t="shared" si="8"/>
        <v/>
      </c>
    </row>
    <row r="100" spans="1:20">
      <c r="A100" s="10" t="str">
        <f t="shared" si="13"/>
        <v/>
      </c>
      <c r="B100" s="63"/>
      <c r="C100" s="25" t="str">
        <f t="shared" si="9"/>
        <v/>
      </c>
      <c r="D100" s="25" t="str">
        <f t="shared" si="10"/>
        <v/>
      </c>
      <c r="E100" s="45"/>
      <c r="F100" s="28" t="str">
        <f>IFERROR(VLOOKUP(E100,Category!$D$2:$E$600,2,FALSE),"")</f>
        <v/>
      </c>
      <c r="G100" s="65"/>
      <c r="H100" s="56"/>
      <c r="I100" s="66"/>
      <c r="J100" s="67"/>
      <c r="K100" s="67"/>
      <c r="L100" s="67"/>
      <c r="M100" s="29" t="str">
        <f t="shared" si="11"/>
        <v/>
      </c>
      <c r="N100" s="29" t="str">
        <f t="shared" si="12"/>
        <v/>
      </c>
      <c r="O100" s="29" t="str">
        <f t="shared" si="7"/>
        <v/>
      </c>
      <c r="P100" s="61"/>
      <c r="Q100" s="61"/>
      <c r="R100" s="61"/>
      <c r="S100" s="45"/>
      <c r="T100" s="29" t="str">
        <f t="shared" si="8"/>
        <v/>
      </c>
    </row>
    <row r="101" spans="1:20">
      <c r="A101" s="10" t="str">
        <f t="shared" si="13"/>
        <v/>
      </c>
      <c r="B101" s="63"/>
      <c r="C101" s="25" t="str">
        <f t="shared" si="9"/>
        <v/>
      </c>
      <c r="D101" s="25" t="str">
        <f t="shared" si="10"/>
        <v/>
      </c>
      <c r="E101" s="45"/>
      <c r="F101" s="28" t="str">
        <f>IFERROR(VLOOKUP(E101,Category!$D$2:$E$600,2,FALSE),"")</f>
        <v/>
      </c>
      <c r="G101" s="65"/>
      <c r="H101" s="56"/>
      <c r="I101" s="66"/>
      <c r="J101" s="67"/>
      <c r="K101" s="67"/>
      <c r="L101" s="67"/>
      <c r="M101" s="29" t="str">
        <f t="shared" si="11"/>
        <v/>
      </c>
      <c r="N101" s="29" t="str">
        <f t="shared" si="12"/>
        <v/>
      </c>
      <c r="O101" s="29" t="str">
        <f t="shared" si="7"/>
        <v/>
      </c>
      <c r="P101" s="61"/>
      <c r="Q101" s="61"/>
      <c r="R101" s="61"/>
      <c r="S101" s="45"/>
      <c r="T101" s="29" t="str">
        <f t="shared" si="8"/>
        <v/>
      </c>
    </row>
    <row r="102" spans="1:20">
      <c r="A102" s="10" t="str">
        <f t="shared" si="13"/>
        <v/>
      </c>
      <c r="B102" s="63"/>
      <c r="C102" s="25" t="str">
        <f t="shared" si="9"/>
        <v/>
      </c>
      <c r="D102" s="25" t="str">
        <f t="shared" si="10"/>
        <v/>
      </c>
      <c r="E102" s="45"/>
      <c r="F102" s="28" t="str">
        <f>IFERROR(VLOOKUP(E102,Category!$D$2:$E$600,2,FALSE),"")</f>
        <v/>
      </c>
      <c r="G102" s="65"/>
      <c r="H102" s="56"/>
      <c r="I102" s="66"/>
      <c r="J102" s="67"/>
      <c r="K102" s="67"/>
      <c r="L102" s="67"/>
      <c r="M102" s="29" t="str">
        <f t="shared" si="11"/>
        <v/>
      </c>
      <c r="N102" s="29" t="str">
        <f t="shared" si="12"/>
        <v/>
      </c>
      <c r="O102" s="29" t="str">
        <f t="shared" si="7"/>
        <v/>
      </c>
      <c r="P102" s="61"/>
      <c r="Q102" s="61"/>
      <c r="R102" s="61"/>
      <c r="S102" s="45"/>
      <c r="T102" s="29" t="str">
        <f t="shared" si="8"/>
        <v/>
      </c>
    </row>
    <row r="103" spans="1:20">
      <c r="A103" s="10" t="str">
        <f t="shared" si="13"/>
        <v/>
      </c>
      <c r="B103" s="63"/>
      <c r="C103" s="25" t="str">
        <f t="shared" si="9"/>
        <v/>
      </c>
      <c r="D103" s="25" t="str">
        <f t="shared" si="10"/>
        <v/>
      </c>
      <c r="E103" s="45"/>
      <c r="F103" s="28" t="str">
        <f>IFERROR(VLOOKUP(E103,Category!$D$2:$E$600,2,FALSE),"")</f>
        <v/>
      </c>
      <c r="G103" s="65"/>
      <c r="H103" s="56"/>
      <c r="I103" s="66"/>
      <c r="J103" s="67"/>
      <c r="K103" s="67"/>
      <c r="L103" s="67"/>
      <c r="M103" s="29" t="str">
        <f t="shared" si="11"/>
        <v/>
      </c>
      <c r="N103" s="29" t="str">
        <f t="shared" si="12"/>
        <v/>
      </c>
      <c r="O103" s="29" t="str">
        <f t="shared" si="7"/>
        <v/>
      </c>
      <c r="P103" s="61"/>
      <c r="Q103" s="61"/>
      <c r="R103" s="61"/>
      <c r="S103" s="45"/>
      <c r="T103" s="29" t="str">
        <f t="shared" si="8"/>
        <v/>
      </c>
    </row>
    <row r="104" spans="1:20">
      <c r="A104" s="10" t="str">
        <f t="shared" si="13"/>
        <v/>
      </c>
      <c r="B104" s="63"/>
      <c r="C104" s="25" t="str">
        <f t="shared" si="9"/>
        <v/>
      </c>
      <c r="D104" s="25" t="str">
        <f t="shared" si="10"/>
        <v/>
      </c>
      <c r="E104" s="45"/>
      <c r="F104" s="28" t="str">
        <f>IFERROR(VLOOKUP(E104,Category!$D$2:$E$600,2,FALSE),"")</f>
        <v/>
      </c>
      <c r="G104" s="65"/>
      <c r="H104" s="56"/>
      <c r="I104" s="66"/>
      <c r="J104" s="67"/>
      <c r="K104" s="67"/>
      <c r="L104" s="67"/>
      <c r="M104" s="29" t="str">
        <f t="shared" si="11"/>
        <v/>
      </c>
      <c r="N104" s="29" t="str">
        <f t="shared" si="12"/>
        <v/>
      </c>
      <c r="O104" s="29" t="str">
        <f t="shared" si="7"/>
        <v/>
      </c>
      <c r="P104" s="61"/>
      <c r="Q104" s="61"/>
      <c r="R104" s="61"/>
      <c r="S104" s="45"/>
      <c r="T104" s="29" t="str">
        <f t="shared" si="8"/>
        <v/>
      </c>
    </row>
    <row r="105" spans="1:20">
      <c r="A105" s="10" t="str">
        <f t="shared" si="13"/>
        <v/>
      </c>
      <c r="B105" s="63"/>
      <c r="C105" s="25" t="str">
        <f t="shared" si="9"/>
        <v/>
      </c>
      <c r="D105" s="25" t="str">
        <f t="shared" si="10"/>
        <v/>
      </c>
      <c r="E105" s="45"/>
      <c r="F105" s="28" t="str">
        <f>IFERROR(VLOOKUP(E105,Category!$D$2:$E$600,2,FALSE),"")</f>
        <v/>
      </c>
      <c r="G105" s="65"/>
      <c r="H105" s="56"/>
      <c r="I105" s="66"/>
      <c r="J105" s="67"/>
      <c r="K105" s="67"/>
      <c r="L105" s="67"/>
      <c r="M105" s="29" t="str">
        <f t="shared" si="11"/>
        <v/>
      </c>
      <c r="N105" s="29" t="str">
        <f t="shared" si="12"/>
        <v/>
      </c>
      <c r="O105" s="29" t="str">
        <f t="shared" si="7"/>
        <v/>
      </c>
      <c r="P105" s="61"/>
      <c r="Q105" s="61"/>
      <c r="R105" s="61"/>
      <c r="S105" s="45"/>
      <c r="T105" s="29" t="str">
        <f t="shared" si="8"/>
        <v/>
      </c>
    </row>
    <row r="106" spans="1:20">
      <c r="A106" s="10" t="str">
        <f t="shared" si="13"/>
        <v/>
      </c>
      <c r="B106" s="63"/>
      <c r="C106" s="25" t="str">
        <f t="shared" si="9"/>
        <v/>
      </c>
      <c r="D106" s="25" t="str">
        <f t="shared" si="10"/>
        <v/>
      </c>
      <c r="E106" s="45"/>
      <c r="F106" s="28" t="str">
        <f>IFERROR(VLOOKUP(E106,Category!$D$2:$E$600,2,FALSE),"")</f>
        <v/>
      </c>
      <c r="G106" s="65"/>
      <c r="H106" s="56"/>
      <c r="I106" s="66"/>
      <c r="J106" s="67"/>
      <c r="K106" s="67"/>
      <c r="L106" s="67"/>
      <c r="M106" s="29" t="str">
        <f t="shared" si="11"/>
        <v/>
      </c>
      <c r="N106" s="29" t="str">
        <f t="shared" si="12"/>
        <v/>
      </c>
      <c r="O106" s="29" t="str">
        <f t="shared" si="7"/>
        <v/>
      </c>
      <c r="P106" s="61"/>
      <c r="Q106" s="61"/>
      <c r="R106" s="61"/>
      <c r="S106" s="45"/>
      <c r="T106" s="29" t="str">
        <f t="shared" si="8"/>
        <v/>
      </c>
    </row>
    <row r="107" spans="1:20">
      <c r="A107" s="10" t="str">
        <f t="shared" si="13"/>
        <v/>
      </c>
      <c r="B107" s="63"/>
      <c r="C107" s="25" t="str">
        <f t="shared" si="9"/>
        <v/>
      </c>
      <c r="D107" s="25" t="str">
        <f t="shared" si="10"/>
        <v/>
      </c>
      <c r="E107" s="45"/>
      <c r="F107" s="28" t="str">
        <f>IFERROR(VLOOKUP(E107,Category!$D$2:$E$600,2,FALSE),"")</f>
        <v/>
      </c>
      <c r="G107" s="65"/>
      <c r="H107" s="56"/>
      <c r="I107" s="66"/>
      <c r="J107" s="67"/>
      <c r="K107" s="67"/>
      <c r="L107" s="67"/>
      <c r="M107" s="29" t="str">
        <f t="shared" si="11"/>
        <v/>
      </c>
      <c r="N107" s="29" t="str">
        <f t="shared" si="12"/>
        <v/>
      </c>
      <c r="O107" s="29" t="str">
        <f t="shared" si="7"/>
        <v/>
      </c>
      <c r="P107" s="61"/>
      <c r="Q107" s="61"/>
      <c r="R107" s="61"/>
      <c r="S107" s="45"/>
      <c r="T107" s="29" t="str">
        <f t="shared" si="8"/>
        <v/>
      </c>
    </row>
    <row r="108" spans="1:20">
      <c r="A108" s="10" t="str">
        <f t="shared" si="13"/>
        <v/>
      </c>
      <c r="B108" s="63"/>
      <c r="C108" s="25" t="str">
        <f t="shared" si="9"/>
        <v/>
      </c>
      <c r="D108" s="25" t="str">
        <f t="shared" si="10"/>
        <v/>
      </c>
      <c r="E108" s="45"/>
      <c r="F108" s="28" t="str">
        <f>IFERROR(VLOOKUP(E108,Category!$D$2:$E$600,2,FALSE),"")</f>
        <v/>
      </c>
      <c r="G108" s="65"/>
      <c r="H108" s="56"/>
      <c r="I108" s="66"/>
      <c r="J108" s="67"/>
      <c r="K108" s="67"/>
      <c r="L108" s="67"/>
      <c r="M108" s="29" t="str">
        <f t="shared" si="11"/>
        <v/>
      </c>
      <c r="N108" s="29" t="str">
        <f t="shared" si="12"/>
        <v/>
      </c>
      <c r="O108" s="29" t="str">
        <f t="shared" si="7"/>
        <v/>
      </c>
      <c r="P108" s="61"/>
      <c r="Q108" s="61"/>
      <c r="R108" s="61"/>
      <c r="S108" s="45"/>
      <c r="T108" s="29" t="str">
        <f t="shared" si="8"/>
        <v/>
      </c>
    </row>
    <row r="109" spans="1:20">
      <c r="A109" s="10" t="str">
        <f t="shared" si="13"/>
        <v/>
      </c>
      <c r="B109" s="63"/>
      <c r="C109" s="25" t="str">
        <f t="shared" si="9"/>
        <v/>
      </c>
      <c r="D109" s="25" t="str">
        <f t="shared" si="10"/>
        <v/>
      </c>
      <c r="E109" s="45"/>
      <c r="F109" s="28" t="str">
        <f>IFERROR(VLOOKUP(E109,Category!$D$2:$E$600,2,FALSE),"")</f>
        <v/>
      </c>
      <c r="G109" s="65"/>
      <c r="H109" s="56"/>
      <c r="I109" s="66"/>
      <c r="J109" s="67"/>
      <c r="K109" s="67"/>
      <c r="L109" s="67"/>
      <c r="M109" s="29" t="str">
        <f t="shared" si="11"/>
        <v/>
      </c>
      <c r="N109" s="29" t="str">
        <f t="shared" si="12"/>
        <v/>
      </c>
      <c r="O109" s="29" t="str">
        <f t="shared" si="7"/>
        <v/>
      </c>
      <c r="P109" s="61"/>
      <c r="Q109" s="61"/>
      <c r="R109" s="61"/>
      <c r="S109" s="45"/>
      <c r="T109" s="29" t="str">
        <f t="shared" si="8"/>
        <v/>
      </c>
    </row>
    <row r="110" spans="1:20">
      <c r="A110" s="10" t="str">
        <f t="shared" si="13"/>
        <v/>
      </c>
      <c r="B110" s="63"/>
      <c r="C110" s="25" t="str">
        <f t="shared" si="9"/>
        <v/>
      </c>
      <c r="D110" s="25" t="str">
        <f t="shared" si="10"/>
        <v/>
      </c>
      <c r="E110" s="45"/>
      <c r="F110" s="28" t="str">
        <f>IFERROR(VLOOKUP(E110,Category!$D$2:$E$600,2,FALSE),"")</f>
        <v/>
      </c>
      <c r="G110" s="65"/>
      <c r="H110" s="56"/>
      <c r="I110" s="66"/>
      <c r="J110" s="67"/>
      <c r="K110" s="67"/>
      <c r="L110" s="67"/>
      <c r="M110" s="29" t="str">
        <f t="shared" si="11"/>
        <v/>
      </c>
      <c r="N110" s="29" t="str">
        <f t="shared" si="12"/>
        <v/>
      </c>
      <c r="O110" s="29" t="str">
        <f t="shared" si="7"/>
        <v/>
      </c>
      <c r="P110" s="61"/>
      <c r="Q110" s="61"/>
      <c r="R110" s="61"/>
      <c r="S110" s="45"/>
      <c r="T110" s="29" t="str">
        <f t="shared" si="8"/>
        <v/>
      </c>
    </row>
    <row r="111" spans="1:20">
      <c r="A111" s="10" t="str">
        <f t="shared" si="13"/>
        <v/>
      </c>
      <c r="B111" s="63"/>
      <c r="C111" s="25" t="str">
        <f t="shared" si="9"/>
        <v/>
      </c>
      <c r="D111" s="25" t="str">
        <f t="shared" si="10"/>
        <v/>
      </c>
      <c r="E111" s="45"/>
      <c r="F111" s="28" t="str">
        <f>IFERROR(VLOOKUP(E111,Category!$D$2:$E$600,2,FALSE),"")</f>
        <v/>
      </c>
      <c r="G111" s="65"/>
      <c r="H111" s="56"/>
      <c r="I111" s="66"/>
      <c r="J111" s="67"/>
      <c r="K111" s="67"/>
      <c r="L111" s="67"/>
      <c r="M111" s="29" t="str">
        <f t="shared" si="11"/>
        <v/>
      </c>
      <c r="N111" s="29" t="str">
        <f t="shared" si="12"/>
        <v/>
      </c>
      <c r="O111" s="29" t="str">
        <f t="shared" si="7"/>
        <v/>
      </c>
      <c r="P111" s="61"/>
      <c r="Q111" s="61"/>
      <c r="R111" s="61"/>
      <c r="S111" s="45"/>
      <c r="T111" s="29" t="str">
        <f t="shared" si="8"/>
        <v/>
      </c>
    </row>
    <row r="112" spans="1:20">
      <c r="A112" s="10" t="str">
        <f t="shared" si="13"/>
        <v/>
      </c>
      <c r="B112" s="63"/>
      <c r="C112" s="25" t="str">
        <f t="shared" si="9"/>
        <v/>
      </c>
      <c r="D112" s="25" t="str">
        <f t="shared" si="10"/>
        <v/>
      </c>
      <c r="E112" s="45"/>
      <c r="F112" s="28" t="str">
        <f>IFERROR(VLOOKUP(E112,Category!$D$2:$E$600,2,FALSE),"")</f>
        <v/>
      </c>
      <c r="G112" s="65"/>
      <c r="H112" s="56"/>
      <c r="I112" s="66"/>
      <c r="J112" s="67"/>
      <c r="K112" s="67"/>
      <c r="L112" s="67"/>
      <c r="M112" s="29" t="str">
        <f t="shared" si="11"/>
        <v/>
      </c>
      <c r="N112" s="29" t="str">
        <f t="shared" si="12"/>
        <v/>
      </c>
      <c r="O112" s="29" t="str">
        <f t="shared" si="7"/>
        <v/>
      </c>
      <c r="P112" s="61"/>
      <c r="Q112" s="61"/>
      <c r="R112" s="61"/>
      <c r="S112" s="45"/>
      <c r="T112" s="29" t="str">
        <f t="shared" si="8"/>
        <v/>
      </c>
    </row>
    <row r="113" spans="1:20">
      <c r="A113" s="10" t="str">
        <f t="shared" si="13"/>
        <v/>
      </c>
      <c r="B113" s="63"/>
      <c r="C113" s="25" t="str">
        <f t="shared" si="9"/>
        <v/>
      </c>
      <c r="D113" s="25" t="str">
        <f t="shared" si="10"/>
        <v/>
      </c>
      <c r="E113" s="45"/>
      <c r="F113" s="28" t="str">
        <f>IFERROR(VLOOKUP(E113,Category!$D$2:$E$600,2,FALSE),"")</f>
        <v/>
      </c>
      <c r="G113" s="65"/>
      <c r="H113" s="56"/>
      <c r="I113" s="66"/>
      <c r="J113" s="67"/>
      <c r="K113" s="67"/>
      <c r="L113" s="67"/>
      <c r="M113" s="29" t="str">
        <f t="shared" si="11"/>
        <v/>
      </c>
      <c r="N113" s="29" t="str">
        <f t="shared" si="12"/>
        <v/>
      </c>
      <c r="O113" s="29" t="str">
        <f t="shared" si="7"/>
        <v/>
      </c>
      <c r="P113" s="61"/>
      <c r="Q113" s="61"/>
      <c r="R113" s="61"/>
      <c r="S113" s="45"/>
      <c r="T113" s="29" t="str">
        <f t="shared" si="8"/>
        <v/>
      </c>
    </row>
    <row r="114" spans="1:20">
      <c r="A114" s="10" t="str">
        <f t="shared" si="13"/>
        <v/>
      </c>
      <c r="B114" s="63"/>
      <c r="C114" s="25" t="str">
        <f t="shared" si="9"/>
        <v/>
      </c>
      <c r="D114" s="25" t="str">
        <f t="shared" si="10"/>
        <v/>
      </c>
      <c r="E114" s="45"/>
      <c r="F114" s="28" t="str">
        <f>IFERROR(VLOOKUP(E114,Category!$D$2:$E$600,2,FALSE),"")</f>
        <v/>
      </c>
      <c r="G114" s="65"/>
      <c r="H114" s="56"/>
      <c r="I114" s="66"/>
      <c r="J114" s="67"/>
      <c r="K114" s="67"/>
      <c r="L114" s="67"/>
      <c r="M114" s="29" t="str">
        <f t="shared" si="11"/>
        <v/>
      </c>
      <c r="N114" s="29" t="str">
        <f t="shared" si="12"/>
        <v/>
      </c>
      <c r="O114" s="29" t="str">
        <f t="shared" si="7"/>
        <v/>
      </c>
      <c r="P114" s="61"/>
      <c r="Q114" s="61"/>
      <c r="R114" s="61"/>
      <c r="S114" s="45"/>
      <c r="T114" s="29" t="str">
        <f t="shared" si="8"/>
        <v/>
      </c>
    </row>
    <row r="115" spans="1:20">
      <c r="A115" s="10" t="str">
        <f t="shared" si="13"/>
        <v/>
      </c>
      <c r="B115" s="63"/>
      <c r="C115" s="25" t="str">
        <f t="shared" si="9"/>
        <v/>
      </c>
      <c r="D115" s="25" t="str">
        <f t="shared" si="10"/>
        <v/>
      </c>
      <c r="E115" s="45"/>
      <c r="F115" s="28" t="str">
        <f>IFERROR(VLOOKUP(E115,Category!$D$2:$E$600,2,FALSE),"")</f>
        <v/>
      </c>
      <c r="G115" s="65"/>
      <c r="H115" s="56"/>
      <c r="I115" s="66"/>
      <c r="J115" s="67"/>
      <c r="K115" s="67"/>
      <c r="L115" s="67"/>
      <c r="M115" s="29" t="str">
        <f t="shared" si="11"/>
        <v/>
      </c>
      <c r="N115" s="29" t="str">
        <f t="shared" si="12"/>
        <v/>
      </c>
      <c r="O115" s="29" t="str">
        <f t="shared" si="7"/>
        <v/>
      </c>
      <c r="P115" s="61"/>
      <c r="Q115" s="61"/>
      <c r="R115" s="61"/>
      <c r="S115" s="45"/>
      <c r="T115" s="29" t="str">
        <f t="shared" si="8"/>
        <v/>
      </c>
    </row>
    <row r="116" spans="1:20">
      <c r="A116" s="10" t="str">
        <f t="shared" si="13"/>
        <v/>
      </c>
      <c r="B116" s="63"/>
      <c r="C116" s="25" t="str">
        <f t="shared" si="9"/>
        <v/>
      </c>
      <c r="D116" s="25" t="str">
        <f t="shared" si="10"/>
        <v/>
      </c>
      <c r="E116" s="45"/>
      <c r="F116" s="28" t="str">
        <f>IFERROR(VLOOKUP(E116,Category!$D$2:$E$600,2,FALSE),"")</f>
        <v/>
      </c>
      <c r="G116" s="65"/>
      <c r="H116" s="56"/>
      <c r="I116" s="66"/>
      <c r="J116" s="67"/>
      <c r="K116" s="67"/>
      <c r="L116" s="67"/>
      <c r="M116" s="29" t="str">
        <f t="shared" si="11"/>
        <v/>
      </c>
      <c r="N116" s="29" t="str">
        <f t="shared" si="12"/>
        <v/>
      </c>
      <c r="O116" s="29" t="str">
        <f t="shared" si="7"/>
        <v/>
      </c>
      <c r="P116" s="61"/>
      <c r="Q116" s="61"/>
      <c r="R116" s="61"/>
      <c r="S116" s="45"/>
      <c r="T116" s="29" t="str">
        <f t="shared" si="8"/>
        <v/>
      </c>
    </row>
    <row r="117" spans="1:20">
      <c r="A117" s="10" t="str">
        <f t="shared" si="13"/>
        <v/>
      </c>
      <c r="B117" s="63"/>
      <c r="C117" s="25" t="str">
        <f t="shared" si="9"/>
        <v/>
      </c>
      <c r="D117" s="25" t="str">
        <f t="shared" si="10"/>
        <v/>
      </c>
      <c r="E117" s="45"/>
      <c r="F117" s="28" t="str">
        <f>IFERROR(VLOOKUP(E117,Category!$D$2:$E$600,2,FALSE),"")</f>
        <v/>
      </c>
      <c r="G117" s="65"/>
      <c r="H117" s="56"/>
      <c r="I117" s="66"/>
      <c r="J117" s="67"/>
      <c r="K117" s="67"/>
      <c r="L117" s="67"/>
      <c r="M117" s="29" t="str">
        <f t="shared" si="11"/>
        <v/>
      </c>
      <c r="N117" s="29" t="str">
        <f t="shared" si="12"/>
        <v/>
      </c>
      <c r="O117" s="29" t="str">
        <f t="shared" si="7"/>
        <v/>
      </c>
      <c r="P117" s="61"/>
      <c r="Q117" s="61"/>
      <c r="R117" s="61"/>
      <c r="S117" s="45"/>
      <c r="T117" s="29" t="str">
        <f t="shared" si="8"/>
        <v/>
      </c>
    </row>
    <row r="118" spans="1:20">
      <c r="A118" s="10" t="str">
        <f t="shared" si="13"/>
        <v/>
      </c>
      <c r="B118" s="63"/>
      <c r="C118" s="25" t="str">
        <f t="shared" si="9"/>
        <v/>
      </c>
      <c r="D118" s="25" t="str">
        <f t="shared" si="10"/>
        <v/>
      </c>
      <c r="E118" s="45"/>
      <c r="F118" s="28" t="str">
        <f>IFERROR(VLOOKUP(E118,Category!$D$2:$E$600,2,FALSE),"")</f>
        <v/>
      </c>
      <c r="G118" s="65"/>
      <c r="H118" s="56"/>
      <c r="I118" s="66"/>
      <c r="J118" s="67"/>
      <c r="K118" s="67"/>
      <c r="L118" s="67"/>
      <c r="M118" s="29" t="str">
        <f t="shared" si="11"/>
        <v/>
      </c>
      <c r="N118" s="29" t="str">
        <f t="shared" si="12"/>
        <v/>
      </c>
      <c r="O118" s="29" t="str">
        <f t="shared" si="7"/>
        <v/>
      </c>
      <c r="P118" s="61"/>
      <c r="Q118" s="61"/>
      <c r="R118" s="61"/>
      <c r="S118" s="45"/>
      <c r="T118" s="29" t="str">
        <f t="shared" si="8"/>
        <v/>
      </c>
    </row>
    <row r="119" spans="1:20">
      <c r="A119" s="10" t="str">
        <f t="shared" si="13"/>
        <v/>
      </c>
      <c r="B119" s="63"/>
      <c r="C119" s="25" t="str">
        <f t="shared" si="9"/>
        <v/>
      </c>
      <c r="D119" s="25" t="str">
        <f t="shared" si="10"/>
        <v/>
      </c>
      <c r="E119" s="45"/>
      <c r="F119" s="28" t="str">
        <f>IFERROR(VLOOKUP(E119,Category!$D$2:$E$600,2,FALSE),"")</f>
        <v/>
      </c>
      <c r="G119" s="65"/>
      <c r="H119" s="56"/>
      <c r="I119" s="66"/>
      <c r="J119" s="67"/>
      <c r="K119" s="67"/>
      <c r="L119" s="67"/>
      <c r="M119" s="29" t="str">
        <f t="shared" si="11"/>
        <v/>
      </c>
      <c r="N119" s="29" t="str">
        <f t="shared" si="12"/>
        <v/>
      </c>
      <c r="O119" s="29" t="str">
        <f t="shared" si="7"/>
        <v/>
      </c>
      <c r="P119" s="61"/>
      <c r="Q119" s="61"/>
      <c r="R119" s="61"/>
      <c r="S119" s="45"/>
      <c r="T119" s="29" t="str">
        <f t="shared" si="8"/>
        <v/>
      </c>
    </row>
    <row r="120" spans="1:20">
      <c r="A120" s="10" t="str">
        <f t="shared" si="13"/>
        <v/>
      </c>
      <c r="B120" s="63"/>
      <c r="C120" s="25" t="str">
        <f t="shared" si="9"/>
        <v/>
      </c>
      <c r="D120" s="25" t="str">
        <f t="shared" si="10"/>
        <v/>
      </c>
      <c r="E120" s="45"/>
      <c r="F120" s="28" t="str">
        <f>IFERROR(VLOOKUP(E120,Category!$D$2:$E$600,2,FALSE),"")</f>
        <v/>
      </c>
      <c r="G120" s="65"/>
      <c r="H120" s="56"/>
      <c r="I120" s="66"/>
      <c r="J120" s="67"/>
      <c r="K120" s="67"/>
      <c r="L120" s="67"/>
      <c r="M120" s="29" t="str">
        <f t="shared" si="11"/>
        <v/>
      </c>
      <c r="N120" s="29" t="str">
        <f t="shared" si="12"/>
        <v/>
      </c>
      <c r="O120" s="29" t="str">
        <f t="shared" si="7"/>
        <v/>
      </c>
      <c r="P120" s="61"/>
      <c r="Q120" s="61"/>
      <c r="R120" s="61"/>
      <c r="S120" s="45"/>
      <c r="T120" s="29" t="str">
        <f t="shared" si="8"/>
        <v/>
      </c>
    </row>
    <row r="121" spans="1:20">
      <c r="A121" s="10" t="str">
        <f t="shared" si="13"/>
        <v/>
      </c>
      <c r="B121" s="63"/>
      <c r="C121" s="25" t="str">
        <f t="shared" si="9"/>
        <v/>
      </c>
      <c r="D121" s="25" t="str">
        <f t="shared" si="10"/>
        <v/>
      </c>
      <c r="E121" s="45"/>
      <c r="F121" s="28" t="str">
        <f>IFERROR(VLOOKUP(E121,Category!$D$2:$E$600,2,FALSE),"")</f>
        <v/>
      </c>
      <c r="G121" s="65"/>
      <c r="H121" s="56"/>
      <c r="I121" s="66"/>
      <c r="J121" s="67"/>
      <c r="K121" s="67"/>
      <c r="L121" s="67"/>
      <c r="M121" s="29" t="str">
        <f t="shared" si="11"/>
        <v/>
      </c>
      <c r="N121" s="29" t="str">
        <f t="shared" si="12"/>
        <v/>
      </c>
      <c r="O121" s="29" t="str">
        <f t="shared" si="7"/>
        <v/>
      </c>
      <c r="P121" s="61"/>
      <c r="Q121" s="61"/>
      <c r="R121" s="61"/>
      <c r="S121" s="45"/>
      <c r="T121" s="29" t="str">
        <f t="shared" si="8"/>
        <v/>
      </c>
    </row>
    <row r="122" spans="1:20">
      <c r="A122" s="10" t="str">
        <f t="shared" si="13"/>
        <v/>
      </c>
      <c r="B122" s="63"/>
      <c r="C122" s="25" t="str">
        <f t="shared" si="9"/>
        <v/>
      </c>
      <c r="D122" s="25" t="str">
        <f t="shared" si="10"/>
        <v/>
      </c>
      <c r="E122" s="45"/>
      <c r="F122" s="28" t="str">
        <f>IFERROR(VLOOKUP(E122,Category!$D$2:$E$600,2,FALSE),"")</f>
        <v/>
      </c>
      <c r="G122" s="65"/>
      <c r="H122" s="56"/>
      <c r="I122" s="66"/>
      <c r="J122" s="67"/>
      <c r="K122" s="67"/>
      <c r="L122" s="67"/>
      <c r="M122" s="29" t="str">
        <f t="shared" si="11"/>
        <v/>
      </c>
      <c r="N122" s="29" t="str">
        <f t="shared" si="12"/>
        <v/>
      </c>
      <c r="O122" s="29" t="str">
        <f t="shared" si="7"/>
        <v/>
      </c>
      <c r="P122" s="61"/>
      <c r="Q122" s="61"/>
      <c r="R122" s="61"/>
      <c r="S122" s="45"/>
      <c r="T122" s="29" t="str">
        <f t="shared" si="8"/>
        <v/>
      </c>
    </row>
    <row r="123" spans="1:20">
      <c r="A123" s="10" t="str">
        <f t="shared" si="13"/>
        <v/>
      </c>
      <c r="B123" s="63"/>
      <c r="C123" s="25" t="str">
        <f t="shared" si="9"/>
        <v/>
      </c>
      <c r="D123" s="25" t="str">
        <f t="shared" si="10"/>
        <v/>
      </c>
      <c r="E123" s="45"/>
      <c r="F123" s="28" t="str">
        <f>IFERROR(VLOOKUP(E123,Category!$D$2:$E$600,2,FALSE),"")</f>
        <v/>
      </c>
      <c r="G123" s="65"/>
      <c r="H123" s="56"/>
      <c r="I123" s="66"/>
      <c r="J123" s="67"/>
      <c r="K123" s="67"/>
      <c r="L123" s="67"/>
      <c r="M123" s="29" t="str">
        <f t="shared" si="11"/>
        <v/>
      </c>
      <c r="N123" s="29" t="str">
        <f t="shared" si="12"/>
        <v/>
      </c>
      <c r="O123" s="29" t="str">
        <f t="shared" si="7"/>
        <v/>
      </c>
      <c r="P123" s="61"/>
      <c r="Q123" s="61"/>
      <c r="R123" s="61"/>
      <c r="S123" s="45"/>
      <c r="T123" s="29" t="str">
        <f t="shared" si="8"/>
        <v/>
      </c>
    </row>
    <row r="124" spans="1:20">
      <c r="A124" s="10" t="str">
        <f t="shared" si="13"/>
        <v/>
      </c>
      <c r="B124" s="63"/>
      <c r="C124" s="25" t="str">
        <f t="shared" si="9"/>
        <v/>
      </c>
      <c r="D124" s="25" t="str">
        <f t="shared" si="10"/>
        <v/>
      </c>
      <c r="E124" s="45"/>
      <c r="F124" s="28" t="str">
        <f>IFERROR(VLOOKUP(E124,Category!$D$2:$E$600,2,FALSE),"")</f>
        <v/>
      </c>
      <c r="G124" s="65"/>
      <c r="H124" s="56"/>
      <c r="I124" s="66"/>
      <c r="J124" s="67"/>
      <c r="K124" s="67"/>
      <c r="L124" s="67"/>
      <c r="M124" s="29" t="str">
        <f t="shared" si="11"/>
        <v/>
      </c>
      <c r="N124" s="29" t="str">
        <f t="shared" si="12"/>
        <v/>
      </c>
      <c r="O124" s="29" t="str">
        <f t="shared" si="7"/>
        <v/>
      </c>
      <c r="P124" s="61"/>
      <c r="Q124" s="61"/>
      <c r="R124" s="61"/>
      <c r="S124" s="45"/>
      <c r="T124" s="29" t="str">
        <f t="shared" si="8"/>
        <v/>
      </c>
    </row>
    <row r="125" spans="1:20">
      <c r="A125" s="10" t="str">
        <f t="shared" si="13"/>
        <v/>
      </c>
      <c r="B125" s="63"/>
      <c r="C125" s="25" t="str">
        <f t="shared" si="9"/>
        <v/>
      </c>
      <c r="D125" s="25" t="str">
        <f t="shared" si="10"/>
        <v/>
      </c>
      <c r="E125" s="45"/>
      <c r="F125" s="28" t="str">
        <f>IFERROR(VLOOKUP(E125,Category!$D$2:$E$600,2,FALSE),"")</f>
        <v/>
      </c>
      <c r="G125" s="65"/>
      <c r="H125" s="56"/>
      <c r="I125" s="66"/>
      <c r="J125" s="67"/>
      <c r="K125" s="67"/>
      <c r="L125" s="67"/>
      <c r="M125" s="29" t="str">
        <f t="shared" si="11"/>
        <v/>
      </c>
      <c r="N125" s="29" t="str">
        <f t="shared" si="12"/>
        <v/>
      </c>
      <c r="O125" s="29" t="str">
        <f t="shared" si="7"/>
        <v/>
      </c>
      <c r="P125" s="61"/>
      <c r="Q125" s="61"/>
      <c r="R125" s="61"/>
      <c r="S125" s="45"/>
      <c r="T125" s="29" t="str">
        <f t="shared" si="8"/>
        <v/>
      </c>
    </row>
    <row r="126" spans="1:20">
      <c r="A126" s="10" t="str">
        <f t="shared" si="13"/>
        <v/>
      </c>
      <c r="B126" s="63"/>
      <c r="C126" s="25" t="str">
        <f t="shared" si="9"/>
        <v/>
      </c>
      <c r="D126" s="25" t="str">
        <f t="shared" si="10"/>
        <v/>
      </c>
      <c r="E126" s="45"/>
      <c r="F126" s="28" t="str">
        <f>IFERROR(VLOOKUP(E126,Category!$D$2:$E$600,2,FALSE),"")</f>
        <v/>
      </c>
      <c r="G126" s="65"/>
      <c r="H126" s="56"/>
      <c r="I126" s="66"/>
      <c r="J126" s="67"/>
      <c r="K126" s="67"/>
      <c r="L126" s="67"/>
      <c r="M126" s="29" t="str">
        <f t="shared" si="11"/>
        <v/>
      </c>
      <c r="N126" s="29" t="str">
        <f t="shared" si="12"/>
        <v/>
      </c>
      <c r="O126" s="29" t="str">
        <f t="shared" si="7"/>
        <v/>
      </c>
      <c r="P126" s="61"/>
      <c r="Q126" s="61"/>
      <c r="R126" s="61"/>
      <c r="S126" s="45"/>
      <c r="T126" s="29" t="str">
        <f t="shared" si="8"/>
        <v/>
      </c>
    </row>
    <row r="127" spans="1:20">
      <c r="A127" s="10" t="str">
        <f t="shared" si="13"/>
        <v/>
      </c>
      <c r="B127" s="63"/>
      <c r="C127" s="25" t="str">
        <f t="shared" si="9"/>
        <v/>
      </c>
      <c r="D127" s="25" t="str">
        <f t="shared" si="10"/>
        <v/>
      </c>
      <c r="E127" s="45"/>
      <c r="F127" s="28" t="str">
        <f>IFERROR(VLOOKUP(E127,Category!$D$2:$E$600,2,FALSE),"")</f>
        <v/>
      </c>
      <c r="G127" s="65"/>
      <c r="H127" s="56"/>
      <c r="I127" s="66"/>
      <c r="J127" s="67"/>
      <c r="K127" s="67"/>
      <c r="L127" s="67"/>
      <c r="M127" s="29" t="str">
        <f t="shared" si="11"/>
        <v/>
      </c>
      <c r="N127" s="29" t="str">
        <f t="shared" si="12"/>
        <v/>
      </c>
      <c r="O127" s="29" t="str">
        <f t="shared" si="7"/>
        <v/>
      </c>
      <c r="P127" s="61"/>
      <c r="Q127" s="61"/>
      <c r="R127" s="61"/>
      <c r="S127" s="45"/>
      <c r="T127" s="29" t="str">
        <f t="shared" si="8"/>
        <v/>
      </c>
    </row>
    <row r="128" spans="1:20">
      <c r="A128" s="10" t="str">
        <f t="shared" si="13"/>
        <v/>
      </c>
      <c r="B128" s="63"/>
      <c r="C128" s="25" t="str">
        <f t="shared" si="9"/>
        <v/>
      </c>
      <c r="D128" s="25" t="str">
        <f t="shared" si="10"/>
        <v/>
      </c>
      <c r="E128" s="45"/>
      <c r="F128" s="28" t="str">
        <f>IFERROR(VLOOKUP(E128,Category!$D$2:$E$600,2,FALSE),"")</f>
        <v/>
      </c>
      <c r="G128" s="65"/>
      <c r="H128" s="56"/>
      <c r="I128" s="66"/>
      <c r="J128" s="67"/>
      <c r="K128" s="67"/>
      <c r="L128" s="67"/>
      <c r="M128" s="29" t="str">
        <f t="shared" si="11"/>
        <v/>
      </c>
      <c r="N128" s="29" t="str">
        <f t="shared" si="12"/>
        <v/>
      </c>
      <c r="O128" s="29" t="str">
        <f t="shared" si="7"/>
        <v/>
      </c>
      <c r="P128" s="61"/>
      <c r="Q128" s="61"/>
      <c r="R128" s="61"/>
      <c r="S128" s="45"/>
      <c r="T128" s="29" t="str">
        <f t="shared" si="8"/>
        <v/>
      </c>
    </row>
    <row r="129" spans="1:20">
      <c r="A129" s="10" t="str">
        <f t="shared" si="13"/>
        <v/>
      </c>
      <c r="B129" s="63"/>
      <c r="C129" s="25" t="str">
        <f t="shared" si="9"/>
        <v/>
      </c>
      <c r="D129" s="25" t="str">
        <f t="shared" si="10"/>
        <v/>
      </c>
      <c r="E129" s="45"/>
      <c r="F129" s="28" t="str">
        <f>IFERROR(VLOOKUP(E129,Category!$D$2:$E$600,2,FALSE),"")</f>
        <v/>
      </c>
      <c r="G129" s="65"/>
      <c r="H129" s="56"/>
      <c r="I129" s="66"/>
      <c r="J129" s="67"/>
      <c r="K129" s="67"/>
      <c r="L129" s="67"/>
      <c r="M129" s="29" t="str">
        <f t="shared" si="11"/>
        <v/>
      </c>
      <c r="N129" s="29" t="str">
        <f t="shared" si="12"/>
        <v/>
      </c>
      <c r="O129" s="29" t="str">
        <f t="shared" si="7"/>
        <v/>
      </c>
      <c r="P129" s="61"/>
      <c r="Q129" s="61"/>
      <c r="R129" s="61"/>
      <c r="S129" s="45"/>
      <c r="T129" s="29" t="str">
        <f t="shared" si="8"/>
        <v/>
      </c>
    </row>
    <row r="130" spans="1:20">
      <c r="A130" s="10" t="str">
        <f t="shared" si="13"/>
        <v/>
      </c>
      <c r="B130" s="63"/>
      <c r="C130" s="25" t="str">
        <f t="shared" si="9"/>
        <v/>
      </c>
      <c r="D130" s="25" t="str">
        <f t="shared" si="10"/>
        <v/>
      </c>
      <c r="E130" s="45"/>
      <c r="F130" s="28" t="str">
        <f>IFERROR(VLOOKUP(E130,Category!$D$2:$E$600,2,FALSE),"")</f>
        <v/>
      </c>
      <c r="G130" s="65"/>
      <c r="H130" s="56"/>
      <c r="I130" s="66"/>
      <c r="J130" s="67"/>
      <c r="K130" s="67"/>
      <c r="L130" s="67"/>
      <c r="M130" s="29" t="str">
        <f t="shared" si="11"/>
        <v/>
      </c>
      <c r="N130" s="29" t="str">
        <f t="shared" si="12"/>
        <v/>
      </c>
      <c r="O130" s="29" t="str">
        <f t="shared" ref="O130:O193" si="14">IF(H130*I130=0,"",H130*I130)</f>
        <v/>
      </c>
      <c r="P130" s="61"/>
      <c r="Q130" s="61"/>
      <c r="R130" s="61"/>
      <c r="S130" s="45"/>
      <c r="T130" s="29" t="str">
        <f t="shared" ref="T130:T193" si="15">IF(R130="paid",(H130*I130)-(G130*H130),"")</f>
        <v/>
      </c>
    </row>
    <row r="131" spans="1:20">
      <c r="A131" s="10" t="str">
        <f t="shared" si="13"/>
        <v/>
      </c>
      <c r="B131" s="63"/>
      <c r="C131" s="25" t="str">
        <f t="shared" ref="C131:C194" si="16">IF(B131=0,"",TEXT(B131,"mmmm"))</f>
        <v/>
      </c>
      <c r="D131" s="25" t="str">
        <f t="shared" ref="D131:D194" si="17">IF(B131=0,"",TEXT(B131,"yyyy"))</f>
        <v/>
      </c>
      <c r="E131" s="45"/>
      <c r="F131" s="28" t="str">
        <f>IFERROR(VLOOKUP(E131,Category!$D$2:$E$600,2,FALSE),"")</f>
        <v/>
      </c>
      <c r="G131" s="65"/>
      <c r="H131" s="56"/>
      <c r="I131" s="66"/>
      <c r="J131" s="67"/>
      <c r="K131" s="67"/>
      <c r="L131" s="67"/>
      <c r="M131" s="29" t="str">
        <f t="shared" ref="M131:M194" si="18">IFERROR(IF(O131&gt;0,IF(R131="Paid","",O131-J131),""),"")</f>
        <v/>
      </c>
      <c r="N131" s="29" t="str">
        <f t="shared" ref="N131:N194" si="19">IF(J131&gt;0,IF(R131="Paid",O131-J131,""),"")</f>
        <v/>
      </c>
      <c r="O131" s="29" t="str">
        <f t="shared" si="14"/>
        <v/>
      </c>
      <c r="P131" s="61"/>
      <c r="Q131" s="61"/>
      <c r="R131" s="61"/>
      <c r="S131" s="45"/>
      <c r="T131" s="29" t="str">
        <f t="shared" si="15"/>
        <v/>
      </c>
    </row>
    <row r="132" spans="1:20">
      <c r="A132" s="10" t="str">
        <f t="shared" ref="A132:A195" si="20">IF(E132&gt;0,A131+1,"")</f>
        <v/>
      </c>
      <c r="B132" s="63"/>
      <c r="C132" s="25" t="str">
        <f t="shared" si="16"/>
        <v/>
      </c>
      <c r="D132" s="25" t="str">
        <f t="shared" si="17"/>
        <v/>
      </c>
      <c r="E132" s="45"/>
      <c r="F132" s="28" t="str">
        <f>IFERROR(VLOOKUP(E132,Category!$D$2:$E$600,2,FALSE),"")</f>
        <v/>
      </c>
      <c r="G132" s="65"/>
      <c r="H132" s="56"/>
      <c r="I132" s="66"/>
      <c r="J132" s="67"/>
      <c r="K132" s="67"/>
      <c r="L132" s="67"/>
      <c r="M132" s="29" t="str">
        <f t="shared" si="18"/>
        <v/>
      </c>
      <c r="N132" s="29" t="str">
        <f t="shared" si="19"/>
        <v/>
      </c>
      <c r="O132" s="29" t="str">
        <f t="shared" si="14"/>
        <v/>
      </c>
      <c r="P132" s="61"/>
      <c r="Q132" s="61"/>
      <c r="R132" s="61"/>
      <c r="S132" s="45"/>
      <c r="T132" s="29" t="str">
        <f t="shared" si="15"/>
        <v/>
      </c>
    </row>
    <row r="133" spans="1:20">
      <c r="A133" s="10" t="str">
        <f t="shared" si="20"/>
        <v/>
      </c>
      <c r="B133" s="63"/>
      <c r="C133" s="25" t="str">
        <f t="shared" si="16"/>
        <v/>
      </c>
      <c r="D133" s="25" t="str">
        <f t="shared" si="17"/>
        <v/>
      </c>
      <c r="E133" s="45"/>
      <c r="F133" s="28" t="str">
        <f>IFERROR(VLOOKUP(E133,Category!$D$2:$E$600,2,FALSE),"")</f>
        <v/>
      </c>
      <c r="G133" s="65"/>
      <c r="H133" s="56"/>
      <c r="I133" s="66"/>
      <c r="J133" s="67"/>
      <c r="K133" s="67"/>
      <c r="L133" s="67"/>
      <c r="M133" s="29" t="str">
        <f t="shared" si="18"/>
        <v/>
      </c>
      <c r="N133" s="29" t="str">
        <f t="shared" si="19"/>
        <v/>
      </c>
      <c r="O133" s="29" t="str">
        <f t="shared" si="14"/>
        <v/>
      </c>
      <c r="P133" s="61"/>
      <c r="Q133" s="61"/>
      <c r="R133" s="61"/>
      <c r="S133" s="45"/>
      <c r="T133" s="29" t="str">
        <f t="shared" si="15"/>
        <v/>
      </c>
    </row>
    <row r="134" spans="1:20">
      <c r="A134" s="10" t="str">
        <f t="shared" si="20"/>
        <v/>
      </c>
      <c r="B134" s="63"/>
      <c r="C134" s="25" t="str">
        <f t="shared" si="16"/>
        <v/>
      </c>
      <c r="D134" s="25" t="str">
        <f t="shared" si="17"/>
        <v/>
      </c>
      <c r="E134" s="45"/>
      <c r="F134" s="28" t="str">
        <f>IFERROR(VLOOKUP(E134,Category!$D$2:$E$600,2,FALSE),"")</f>
        <v/>
      </c>
      <c r="G134" s="65"/>
      <c r="H134" s="56"/>
      <c r="I134" s="66"/>
      <c r="J134" s="67"/>
      <c r="K134" s="67"/>
      <c r="L134" s="67"/>
      <c r="M134" s="29" t="str">
        <f t="shared" si="18"/>
        <v/>
      </c>
      <c r="N134" s="29" t="str">
        <f t="shared" si="19"/>
        <v/>
      </c>
      <c r="O134" s="29" t="str">
        <f t="shared" si="14"/>
        <v/>
      </c>
      <c r="P134" s="61"/>
      <c r="Q134" s="61"/>
      <c r="R134" s="61"/>
      <c r="S134" s="45"/>
      <c r="T134" s="29" t="str">
        <f t="shared" si="15"/>
        <v/>
      </c>
    </row>
    <row r="135" spans="1:20">
      <c r="A135" s="10" t="str">
        <f t="shared" si="20"/>
        <v/>
      </c>
      <c r="B135" s="63"/>
      <c r="C135" s="25" t="str">
        <f t="shared" si="16"/>
        <v/>
      </c>
      <c r="D135" s="25" t="str">
        <f t="shared" si="17"/>
        <v/>
      </c>
      <c r="E135" s="45"/>
      <c r="F135" s="28" t="str">
        <f>IFERROR(VLOOKUP(E135,Category!$D$2:$E$600,2,FALSE),"")</f>
        <v/>
      </c>
      <c r="G135" s="65"/>
      <c r="H135" s="56"/>
      <c r="I135" s="66"/>
      <c r="J135" s="67"/>
      <c r="K135" s="67"/>
      <c r="L135" s="67"/>
      <c r="M135" s="29" t="str">
        <f t="shared" si="18"/>
        <v/>
      </c>
      <c r="N135" s="29" t="str">
        <f t="shared" si="19"/>
        <v/>
      </c>
      <c r="O135" s="29" t="str">
        <f t="shared" si="14"/>
        <v/>
      </c>
      <c r="P135" s="61"/>
      <c r="Q135" s="61"/>
      <c r="R135" s="61"/>
      <c r="S135" s="45"/>
      <c r="T135" s="29" t="str">
        <f t="shared" si="15"/>
        <v/>
      </c>
    </row>
    <row r="136" spans="1:20">
      <c r="A136" s="10" t="str">
        <f t="shared" si="20"/>
        <v/>
      </c>
      <c r="B136" s="63"/>
      <c r="C136" s="25" t="str">
        <f t="shared" si="16"/>
        <v/>
      </c>
      <c r="D136" s="25" t="str">
        <f t="shared" si="17"/>
        <v/>
      </c>
      <c r="E136" s="45"/>
      <c r="F136" s="28" t="str">
        <f>IFERROR(VLOOKUP(E136,Category!$D$2:$E$600,2,FALSE),"")</f>
        <v/>
      </c>
      <c r="G136" s="65"/>
      <c r="H136" s="56"/>
      <c r="I136" s="66"/>
      <c r="J136" s="67"/>
      <c r="K136" s="67"/>
      <c r="L136" s="67"/>
      <c r="M136" s="29" t="str">
        <f t="shared" si="18"/>
        <v/>
      </c>
      <c r="N136" s="29" t="str">
        <f t="shared" si="19"/>
        <v/>
      </c>
      <c r="O136" s="29" t="str">
        <f t="shared" si="14"/>
        <v/>
      </c>
      <c r="P136" s="61"/>
      <c r="Q136" s="61"/>
      <c r="R136" s="61"/>
      <c r="S136" s="45"/>
      <c r="T136" s="29" t="str">
        <f t="shared" si="15"/>
        <v/>
      </c>
    </row>
    <row r="137" spans="1:20">
      <c r="A137" s="10" t="str">
        <f t="shared" si="20"/>
        <v/>
      </c>
      <c r="B137" s="63"/>
      <c r="C137" s="25" t="str">
        <f t="shared" si="16"/>
        <v/>
      </c>
      <c r="D137" s="25" t="str">
        <f t="shared" si="17"/>
        <v/>
      </c>
      <c r="E137" s="45"/>
      <c r="F137" s="28" t="str">
        <f>IFERROR(VLOOKUP(E137,Category!$D$2:$E$600,2,FALSE),"")</f>
        <v/>
      </c>
      <c r="G137" s="65"/>
      <c r="H137" s="56"/>
      <c r="I137" s="66"/>
      <c r="J137" s="67"/>
      <c r="K137" s="67"/>
      <c r="L137" s="67"/>
      <c r="M137" s="29" t="str">
        <f t="shared" si="18"/>
        <v/>
      </c>
      <c r="N137" s="29" t="str">
        <f t="shared" si="19"/>
        <v/>
      </c>
      <c r="O137" s="29" t="str">
        <f t="shared" si="14"/>
        <v/>
      </c>
      <c r="P137" s="61"/>
      <c r="Q137" s="61"/>
      <c r="R137" s="61"/>
      <c r="S137" s="45"/>
      <c r="T137" s="29" t="str">
        <f t="shared" si="15"/>
        <v/>
      </c>
    </row>
    <row r="138" spans="1:20">
      <c r="A138" s="10" t="str">
        <f t="shared" si="20"/>
        <v/>
      </c>
      <c r="B138" s="63"/>
      <c r="C138" s="25" t="str">
        <f t="shared" si="16"/>
        <v/>
      </c>
      <c r="D138" s="25" t="str">
        <f t="shared" si="17"/>
        <v/>
      </c>
      <c r="E138" s="45"/>
      <c r="F138" s="28" t="str">
        <f>IFERROR(VLOOKUP(E138,Category!$D$2:$E$600,2,FALSE),"")</f>
        <v/>
      </c>
      <c r="G138" s="65"/>
      <c r="H138" s="56"/>
      <c r="I138" s="66"/>
      <c r="J138" s="67"/>
      <c r="K138" s="67"/>
      <c r="L138" s="67"/>
      <c r="M138" s="29" t="str">
        <f t="shared" si="18"/>
        <v/>
      </c>
      <c r="N138" s="29" t="str">
        <f t="shared" si="19"/>
        <v/>
      </c>
      <c r="O138" s="29" t="str">
        <f t="shared" si="14"/>
        <v/>
      </c>
      <c r="P138" s="61"/>
      <c r="Q138" s="61"/>
      <c r="R138" s="61"/>
      <c r="S138" s="45"/>
      <c r="T138" s="29" t="str">
        <f t="shared" si="15"/>
        <v/>
      </c>
    </row>
    <row r="139" spans="1:20">
      <c r="A139" s="10" t="str">
        <f t="shared" si="20"/>
        <v/>
      </c>
      <c r="B139" s="63"/>
      <c r="C139" s="25" t="str">
        <f t="shared" si="16"/>
        <v/>
      </c>
      <c r="D139" s="25" t="str">
        <f t="shared" si="17"/>
        <v/>
      </c>
      <c r="E139" s="45"/>
      <c r="F139" s="28" t="str">
        <f>IFERROR(VLOOKUP(E139,Category!$D$2:$E$600,2,FALSE),"")</f>
        <v/>
      </c>
      <c r="G139" s="65"/>
      <c r="H139" s="56"/>
      <c r="I139" s="66"/>
      <c r="J139" s="67"/>
      <c r="K139" s="67"/>
      <c r="L139" s="67"/>
      <c r="M139" s="29" t="str">
        <f t="shared" si="18"/>
        <v/>
      </c>
      <c r="N139" s="29" t="str">
        <f t="shared" si="19"/>
        <v/>
      </c>
      <c r="O139" s="29" t="str">
        <f t="shared" si="14"/>
        <v/>
      </c>
      <c r="P139" s="61"/>
      <c r="Q139" s="61"/>
      <c r="R139" s="61"/>
      <c r="S139" s="45"/>
      <c r="T139" s="29" t="str">
        <f t="shared" si="15"/>
        <v/>
      </c>
    </row>
    <row r="140" spans="1:20">
      <c r="A140" s="10" t="str">
        <f t="shared" si="20"/>
        <v/>
      </c>
      <c r="B140" s="63"/>
      <c r="C140" s="25" t="str">
        <f t="shared" si="16"/>
        <v/>
      </c>
      <c r="D140" s="25" t="str">
        <f t="shared" si="17"/>
        <v/>
      </c>
      <c r="E140" s="45"/>
      <c r="F140" s="28" t="str">
        <f>IFERROR(VLOOKUP(E140,Category!$D$2:$E$600,2,FALSE),"")</f>
        <v/>
      </c>
      <c r="G140" s="65"/>
      <c r="H140" s="56"/>
      <c r="I140" s="66"/>
      <c r="J140" s="67"/>
      <c r="K140" s="67"/>
      <c r="L140" s="67"/>
      <c r="M140" s="29" t="str">
        <f t="shared" si="18"/>
        <v/>
      </c>
      <c r="N140" s="29" t="str">
        <f t="shared" si="19"/>
        <v/>
      </c>
      <c r="O140" s="29" t="str">
        <f t="shared" si="14"/>
        <v/>
      </c>
      <c r="P140" s="61"/>
      <c r="Q140" s="61"/>
      <c r="R140" s="61"/>
      <c r="S140" s="45"/>
      <c r="T140" s="29" t="str">
        <f t="shared" si="15"/>
        <v/>
      </c>
    </row>
    <row r="141" spans="1:20">
      <c r="A141" s="10" t="str">
        <f t="shared" si="20"/>
        <v/>
      </c>
      <c r="B141" s="63"/>
      <c r="C141" s="25" t="str">
        <f t="shared" si="16"/>
        <v/>
      </c>
      <c r="D141" s="25" t="str">
        <f t="shared" si="17"/>
        <v/>
      </c>
      <c r="E141" s="45"/>
      <c r="F141" s="28" t="str">
        <f>IFERROR(VLOOKUP(E141,Category!$D$2:$E$600,2,FALSE),"")</f>
        <v/>
      </c>
      <c r="G141" s="65"/>
      <c r="H141" s="56"/>
      <c r="I141" s="66"/>
      <c r="J141" s="67"/>
      <c r="K141" s="67"/>
      <c r="L141" s="67"/>
      <c r="M141" s="29" t="str">
        <f t="shared" si="18"/>
        <v/>
      </c>
      <c r="N141" s="29" t="str">
        <f t="shared" si="19"/>
        <v/>
      </c>
      <c r="O141" s="29" t="str">
        <f t="shared" si="14"/>
        <v/>
      </c>
      <c r="P141" s="61"/>
      <c r="Q141" s="61"/>
      <c r="R141" s="61"/>
      <c r="S141" s="45"/>
      <c r="T141" s="29" t="str">
        <f t="shared" si="15"/>
        <v/>
      </c>
    </row>
    <row r="142" spans="1:20">
      <c r="A142" s="10" t="str">
        <f t="shared" si="20"/>
        <v/>
      </c>
      <c r="B142" s="63"/>
      <c r="C142" s="25" t="str">
        <f t="shared" si="16"/>
        <v/>
      </c>
      <c r="D142" s="25" t="str">
        <f t="shared" si="17"/>
        <v/>
      </c>
      <c r="E142" s="45"/>
      <c r="F142" s="28" t="str">
        <f>IFERROR(VLOOKUP(E142,Category!$D$2:$E$600,2,FALSE),"")</f>
        <v/>
      </c>
      <c r="G142" s="65"/>
      <c r="H142" s="56"/>
      <c r="I142" s="66"/>
      <c r="J142" s="67"/>
      <c r="K142" s="67"/>
      <c r="L142" s="67"/>
      <c r="M142" s="29" t="str">
        <f t="shared" si="18"/>
        <v/>
      </c>
      <c r="N142" s="29" t="str">
        <f t="shared" si="19"/>
        <v/>
      </c>
      <c r="O142" s="29" t="str">
        <f t="shared" si="14"/>
        <v/>
      </c>
      <c r="P142" s="61"/>
      <c r="Q142" s="61"/>
      <c r="R142" s="61"/>
      <c r="S142" s="45"/>
      <c r="T142" s="29" t="str">
        <f t="shared" si="15"/>
        <v/>
      </c>
    </row>
    <row r="143" spans="1:20">
      <c r="A143" s="10" t="str">
        <f t="shared" si="20"/>
        <v/>
      </c>
      <c r="B143" s="63"/>
      <c r="C143" s="25" t="str">
        <f t="shared" si="16"/>
        <v/>
      </c>
      <c r="D143" s="25" t="str">
        <f t="shared" si="17"/>
        <v/>
      </c>
      <c r="E143" s="45"/>
      <c r="F143" s="28" t="str">
        <f>IFERROR(VLOOKUP(E143,Category!$D$2:$E$600,2,FALSE),"")</f>
        <v/>
      </c>
      <c r="G143" s="65"/>
      <c r="H143" s="56"/>
      <c r="I143" s="66"/>
      <c r="J143" s="67"/>
      <c r="K143" s="67"/>
      <c r="L143" s="67"/>
      <c r="M143" s="29" t="str">
        <f t="shared" si="18"/>
        <v/>
      </c>
      <c r="N143" s="29" t="str">
        <f t="shared" si="19"/>
        <v/>
      </c>
      <c r="O143" s="29" t="str">
        <f t="shared" si="14"/>
        <v/>
      </c>
      <c r="P143" s="61"/>
      <c r="Q143" s="61"/>
      <c r="R143" s="61"/>
      <c r="S143" s="45"/>
      <c r="T143" s="29" t="str">
        <f t="shared" si="15"/>
        <v/>
      </c>
    </row>
    <row r="144" spans="1:20">
      <c r="A144" s="10" t="str">
        <f t="shared" si="20"/>
        <v/>
      </c>
      <c r="B144" s="63"/>
      <c r="C144" s="25" t="str">
        <f t="shared" si="16"/>
        <v/>
      </c>
      <c r="D144" s="25" t="str">
        <f t="shared" si="17"/>
        <v/>
      </c>
      <c r="E144" s="45"/>
      <c r="F144" s="28" t="str">
        <f>IFERROR(VLOOKUP(E144,Category!$D$2:$E$600,2,FALSE),"")</f>
        <v/>
      </c>
      <c r="G144" s="65"/>
      <c r="H144" s="56"/>
      <c r="I144" s="66"/>
      <c r="J144" s="67"/>
      <c r="K144" s="67"/>
      <c r="L144" s="67"/>
      <c r="M144" s="29" t="str">
        <f t="shared" si="18"/>
        <v/>
      </c>
      <c r="N144" s="29" t="str">
        <f t="shared" si="19"/>
        <v/>
      </c>
      <c r="O144" s="29" t="str">
        <f t="shared" si="14"/>
        <v/>
      </c>
      <c r="P144" s="61"/>
      <c r="Q144" s="61"/>
      <c r="R144" s="61"/>
      <c r="S144" s="45"/>
      <c r="T144" s="29" t="str">
        <f t="shared" si="15"/>
        <v/>
      </c>
    </row>
    <row r="145" spans="1:20">
      <c r="A145" s="10" t="str">
        <f t="shared" si="20"/>
        <v/>
      </c>
      <c r="B145" s="63"/>
      <c r="C145" s="25" t="str">
        <f t="shared" si="16"/>
        <v/>
      </c>
      <c r="D145" s="25" t="str">
        <f t="shared" si="17"/>
        <v/>
      </c>
      <c r="E145" s="45"/>
      <c r="F145" s="28" t="str">
        <f>IFERROR(VLOOKUP(E145,Category!$D$2:$E$600,2,FALSE),"")</f>
        <v/>
      </c>
      <c r="G145" s="65"/>
      <c r="H145" s="56"/>
      <c r="I145" s="66"/>
      <c r="J145" s="67"/>
      <c r="K145" s="67"/>
      <c r="L145" s="67"/>
      <c r="M145" s="29" t="str">
        <f t="shared" si="18"/>
        <v/>
      </c>
      <c r="N145" s="29" t="str">
        <f t="shared" si="19"/>
        <v/>
      </c>
      <c r="O145" s="29" t="str">
        <f t="shared" si="14"/>
        <v/>
      </c>
      <c r="P145" s="61"/>
      <c r="Q145" s="61"/>
      <c r="R145" s="61"/>
      <c r="S145" s="45"/>
      <c r="T145" s="29" t="str">
        <f t="shared" si="15"/>
        <v/>
      </c>
    </row>
    <row r="146" spans="1:20">
      <c r="A146" s="10" t="str">
        <f t="shared" si="20"/>
        <v/>
      </c>
      <c r="B146" s="63"/>
      <c r="C146" s="25" t="str">
        <f t="shared" si="16"/>
        <v/>
      </c>
      <c r="D146" s="25" t="str">
        <f t="shared" si="17"/>
        <v/>
      </c>
      <c r="E146" s="45"/>
      <c r="F146" s="28" t="str">
        <f>IFERROR(VLOOKUP(E146,Category!$D$2:$E$600,2,FALSE),"")</f>
        <v/>
      </c>
      <c r="G146" s="65"/>
      <c r="H146" s="56"/>
      <c r="I146" s="66"/>
      <c r="J146" s="67"/>
      <c r="K146" s="67"/>
      <c r="L146" s="67"/>
      <c r="M146" s="29" t="str">
        <f t="shared" si="18"/>
        <v/>
      </c>
      <c r="N146" s="29" t="str">
        <f t="shared" si="19"/>
        <v/>
      </c>
      <c r="O146" s="29" t="str">
        <f t="shared" si="14"/>
        <v/>
      </c>
      <c r="P146" s="61"/>
      <c r="Q146" s="61"/>
      <c r="R146" s="61"/>
      <c r="S146" s="45"/>
      <c r="T146" s="29" t="str">
        <f t="shared" si="15"/>
        <v/>
      </c>
    </row>
    <row r="147" spans="1:20">
      <c r="A147" s="10" t="str">
        <f t="shared" si="20"/>
        <v/>
      </c>
      <c r="B147" s="63"/>
      <c r="C147" s="25" t="str">
        <f t="shared" si="16"/>
        <v/>
      </c>
      <c r="D147" s="25" t="str">
        <f t="shared" si="17"/>
        <v/>
      </c>
      <c r="E147" s="45"/>
      <c r="F147" s="28" t="str">
        <f>IFERROR(VLOOKUP(E147,Category!$D$2:$E$600,2,FALSE),"")</f>
        <v/>
      </c>
      <c r="G147" s="65"/>
      <c r="H147" s="56"/>
      <c r="I147" s="66"/>
      <c r="J147" s="67"/>
      <c r="K147" s="67"/>
      <c r="L147" s="67"/>
      <c r="M147" s="29" t="str">
        <f t="shared" si="18"/>
        <v/>
      </c>
      <c r="N147" s="29" t="str">
        <f t="shared" si="19"/>
        <v/>
      </c>
      <c r="O147" s="29" t="str">
        <f t="shared" si="14"/>
        <v/>
      </c>
      <c r="P147" s="61"/>
      <c r="Q147" s="61"/>
      <c r="R147" s="61"/>
      <c r="S147" s="45"/>
      <c r="T147" s="29" t="str">
        <f t="shared" si="15"/>
        <v/>
      </c>
    </row>
    <row r="148" spans="1:20">
      <c r="A148" s="10" t="str">
        <f t="shared" si="20"/>
        <v/>
      </c>
      <c r="B148" s="63"/>
      <c r="C148" s="25" t="str">
        <f t="shared" si="16"/>
        <v/>
      </c>
      <c r="D148" s="25" t="str">
        <f t="shared" si="17"/>
        <v/>
      </c>
      <c r="E148" s="45"/>
      <c r="F148" s="28" t="str">
        <f>IFERROR(VLOOKUP(E148,Category!$D$2:$E$600,2,FALSE),"")</f>
        <v/>
      </c>
      <c r="G148" s="65"/>
      <c r="H148" s="56"/>
      <c r="I148" s="66"/>
      <c r="J148" s="67"/>
      <c r="K148" s="67"/>
      <c r="L148" s="67"/>
      <c r="M148" s="29" t="str">
        <f t="shared" si="18"/>
        <v/>
      </c>
      <c r="N148" s="29" t="str">
        <f t="shared" si="19"/>
        <v/>
      </c>
      <c r="O148" s="29" t="str">
        <f t="shared" si="14"/>
        <v/>
      </c>
      <c r="P148" s="61"/>
      <c r="Q148" s="61"/>
      <c r="R148" s="61"/>
      <c r="S148" s="45"/>
      <c r="T148" s="29" t="str">
        <f t="shared" si="15"/>
        <v/>
      </c>
    </row>
    <row r="149" spans="1:20">
      <c r="A149" s="10" t="str">
        <f t="shared" si="20"/>
        <v/>
      </c>
      <c r="B149" s="63"/>
      <c r="C149" s="25" t="str">
        <f t="shared" si="16"/>
        <v/>
      </c>
      <c r="D149" s="25" t="str">
        <f t="shared" si="17"/>
        <v/>
      </c>
      <c r="E149" s="45"/>
      <c r="F149" s="28" t="str">
        <f>IFERROR(VLOOKUP(E149,Category!$D$2:$E$600,2,FALSE),"")</f>
        <v/>
      </c>
      <c r="G149" s="65"/>
      <c r="H149" s="56"/>
      <c r="I149" s="66"/>
      <c r="J149" s="67"/>
      <c r="K149" s="67"/>
      <c r="L149" s="67"/>
      <c r="M149" s="29" t="str">
        <f t="shared" si="18"/>
        <v/>
      </c>
      <c r="N149" s="29" t="str">
        <f t="shared" si="19"/>
        <v/>
      </c>
      <c r="O149" s="29" t="str">
        <f t="shared" si="14"/>
        <v/>
      </c>
      <c r="P149" s="61"/>
      <c r="Q149" s="61"/>
      <c r="R149" s="61"/>
      <c r="S149" s="45"/>
      <c r="T149" s="29" t="str">
        <f t="shared" si="15"/>
        <v/>
      </c>
    </row>
    <row r="150" spans="1:20">
      <c r="A150" s="10" t="str">
        <f t="shared" si="20"/>
        <v/>
      </c>
      <c r="B150" s="63"/>
      <c r="C150" s="25" t="str">
        <f t="shared" si="16"/>
        <v/>
      </c>
      <c r="D150" s="25" t="str">
        <f t="shared" si="17"/>
        <v/>
      </c>
      <c r="E150" s="45"/>
      <c r="F150" s="28" t="str">
        <f>IFERROR(VLOOKUP(E150,Category!$D$2:$E$600,2,FALSE),"")</f>
        <v/>
      </c>
      <c r="G150" s="65"/>
      <c r="H150" s="56"/>
      <c r="I150" s="66"/>
      <c r="J150" s="67"/>
      <c r="K150" s="67"/>
      <c r="L150" s="67"/>
      <c r="M150" s="29" t="str">
        <f t="shared" si="18"/>
        <v/>
      </c>
      <c r="N150" s="29" t="str">
        <f t="shared" si="19"/>
        <v/>
      </c>
      <c r="O150" s="29" t="str">
        <f t="shared" si="14"/>
        <v/>
      </c>
      <c r="P150" s="61"/>
      <c r="Q150" s="61"/>
      <c r="R150" s="61"/>
      <c r="S150" s="45"/>
      <c r="T150" s="29" t="str">
        <f t="shared" si="15"/>
        <v/>
      </c>
    </row>
    <row r="151" spans="1:20">
      <c r="A151" s="10" t="str">
        <f t="shared" si="20"/>
        <v/>
      </c>
      <c r="B151" s="63"/>
      <c r="C151" s="25" t="str">
        <f t="shared" si="16"/>
        <v/>
      </c>
      <c r="D151" s="25" t="str">
        <f t="shared" si="17"/>
        <v/>
      </c>
      <c r="E151" s="45"/>
      <c r="F151" s="28" t="str">
        <f>IFERROR(VLOOKUP(E151,Category!$D$2:$E$600,2,FALSE),"")</f>
        <v/>
      </c>
      <c r="G151" s="65"/>
      <c r="H151" s="56"/>
      <c r="I151" s="66"/>
      <c r="J151" s="67"/>
      <c r="K151" s="67"/>
      <c r="L151" s="67"/>
      <c r="M151" s="29" t="str">
        <f t="shared" si="18"/>
        <v/>
      </c>
      <c r="N151" s="29" t="str">
        <f t="shared" si="19"/>
        <v/>
      </c>
      <c r="O151" s="29" t="str">
        <f t="shared" si="14"/>
        <v/>
      </c>
      <c r="P151" s="61"/>
      <c r="Q151" s="61"/>
      <c r="R151" s="61"/>
      <c r="S151" s="45"/>
      <c r="T151" s="29" t="str">
        <f t="shared" si="15"/>
        <v/>
      </c>
    </row>
    <row r="152" spans="1:20">
      <c r="A152" s="10" t="str">
        <f t="shared" si="20"/>
        <v/>
      </c>
      <c r="B152" s="63"/>
      <c r="C152" s="25" t="str">
        <f t="shared" si="16"/>
        <v/>
      </c>
      <c r="D152" s="25" t="str">
        <f t="shared" si="17"/>
        <v/>
      </c>
      <c r="E152" s="45"/>
      <c r="F152" s="28" t="str">
        <f>IFERROR(VLOOKUP(E152,Category!$D$2:$E$600,2,FALSE),"")</f>
        <v/>
      </c>
      <c r="G152" s="65"/>
      <c r="H152" s="56"/>
      <c r="I152" s="66"/>
      <c r="J152" s="67"/>
      <c r="K152" s="67"/>
      <c r="L152" s="67"/>
      <c r="M152" s="29" t="str">
        <f t="shared" si="18"/>
        <v/>
      </c>
      <c r="N152" s="29" t="str">
        <f t="shared" si="19"/>
        <v/>
      </c>
      <c r="O152" s="29" t="str">
        <f t="shared" si="14"/>
        <v/>
      </c>
      <c r="P152" s="61"/>
      <c r="Q152" s="61"/>
      <c r="R152" s="61"/>
      <c r="S152" s="45"/>
      <c r="T152" s="29" t="str">
        <f t="shared" si="15"/>
        <v/>
      </c>
    </row>
    <row r="153" spans="1:20">
      <c r="A153" s="10" t="str">
        <f t="shared" si="20"/>
        <v/>
      </c>
      <c r="B153" s="63"/>
      <c r="C153" s="25" t="str">
        <f t="shared" si="16"/>
        <v/>
      </c>
      <c r="D153" s="25" t="str">
        <f t="shared" si="17"/>
        <v/>
      </c>
      <c r="E153" s="45"/>
      <c r="F153" s="28" t="str">
        <f>IFERROR(VLOOKUP(E153,Category!$D$2:$E$600,2,FALSE),"")</f>
        <v/>
      </c>
      <c r="G153" s="65"/>
      <c r="H153" s="56"/>
      <c r="I153" s="66"/>
      <c r="J153" s="67"/>
      <c r="K153" s="67"/>
      <c r="L153" s="67"/>
      <c r="M153" s="29" t="str">
        <f t="shared" si="18"/>
        <v/>
      </c>
      <c r="N153" s="29" t="str">
        <f t="shared" si="19"/>
        <v/>
      </c>
      <c r="O153" s="29" t="str">
        <f t="shared" si="14"/>
        <v/>
      </c>
      <c r="P153" s="61"/>
      <c r="Q153" s="61"/>
      <c r="R153" s="61"/>
      <c r="S153" s="45"/>
      <c r="T153" s="29" t="str">
        <f t="shared" si="15"/>
        <v/>
      </c>
    </row>
    <row r="154" spans="1:20">
      <c r="A154" s="10" t="str">
        <f t="shared" si="20"/>
        <v/>
      </c>
      <c r="B154" s="63"/>
      <c r="C154" s="25" t="str">
        <f t="shared" si="16"/>
        <v/>
      </c>
      <c r="D154" s="25" t="str">
        <f t="shared" si="17"/>
        <v/>
      </c>
      <c r="E154" s="45"/>
      <c r="F154" s="28" t="str">
        <f>IFERROR(VLOOKUP(E154,Category!$D$2:$E$600,2,FALSE),"")</f>
        <v/>
      </c>
      <c r="G154" s="65"/>
      <c r="H154" s="56"/>
      <c r="I154" s="66"/>
      <c r="J154" s="67"/>
      <c r="K154" s="67"/>
      <c r="L154" s="67"/>
      <c r="M154" s="29" t="str">
        <f t="shared" si="18"/>
        <v/>
      </c>
      <c r="N154" s="29" t="str">
        <f t="shared" si="19"/>
        <v/>
      </c>
      <c r="O154" s="29" t="str">
        <f t="shared" si="14"/>
        <v/>
      </c>
      <c r="P154" s="61"/>
      <c r="Q154" s="61"/>
      <c r="R154" s="61"/>
      <c r="S154" s="45"/>
      <c r="T154" s="29" t="str">
        <f t="shared" si="15"/>
        <v/>
      </c>
    </row>
    <row r="155" spans="1:20">
      <c r="A155" s="10" t="str">
        <f t="shared" si="20"/>
        <v/>
      </c>
      <c r="B155" s="63"/>
      <c r="C155" s="25" t="str">
        <f t="shared" si="16"/>
        <v/>
      </c>
      <c r="D155" s="25" t="str">
        <f t="shared" si="17"/>
        <v/>
      </c>
      <c r="E155" s="45"/>
      <c r="F155" s="28" t="str">
        <f>IFERROR(VLOOKUP(E155,Category!$D$2:$E$600,2,FALSE),"")</f>
        <v/>
      </c>
      <c r="G155" s="65"/>
      <c r="H155" s="56"/>
      <c r="I155" s="66"/>
      <c r="J155" s="67"/>
      <c r="K155" s="67"/>
      <c r="L155" s="67"/>
      <c r="M155" s="29" t="str">
        <f t="shared" si="18"/>
        <v/>
      </c>
      <c r="N155" s="29" t="str">
        <f t="shared" si="19"/>
        <v/>
      </c>
      <c r="O155" s="29" t="str">
        <f t="shared" si="14"/>
        <v/>
      </c>
      <c r="P155" s="61"/>
      <c r="Q155" s="61"/>
      <c r="R155" s="61"/>
      <c r="S155" s="45"/>
      <c r="T155" s="29" t="str">
        <f t="shared" si="15"/>
        <v/>
      </c>
    </row>
    <row r="156" spans="1:20">
      <c r="A156" s="10" t="str">
        <f t="shared" si="20"/>
        <v/>
      </c>
      <c r="B156" s="63"/>
      <c r="C156" s="25" t="str">
        <f t="shared" si="16"/>
        <v/>
      </c>
      <c r="D156" s="25" t="str">
        <f t="shared" si="17"/>
        <v/>
      </c>
      <c r="E156" s="45"/>
      <c r="F156" s="28" t="str">
        <f>IFERROR(VLOOKUP(E156,Category!$D$2:$E$600,2,FALSE),"")</f>
        <v/>
      </c>
      <c r="G156" s="65"/>
      <c r="H156" s="56"/>
      <c r="I156" s="66"/>
      <c r="J156" s="67"/>
      <c r="K156" s="67"/>
      <c r="L156" s="67"/>
      <c r="M156" s="29" t="str">
        <f t="shared" si="18"/>
        <v/>
      </c>
      <c r="N156" s="29" t="str">
        <f t="shared" si="19"/>
        <v/>
      </c>
      <c r="O156" s="29" t="str">
        <f t="shared" si="14"/>
        <v/>
      </c>
      <c r="P156" s="61"/>
      <c r="Q156" s="61"/>
      <c r="R156" s="61"/>
      <c r="S156" s="45"/>
      <c r="T156" s="29" t="str">
        <f t="shared" si="15"/>
        <v/>
      </c>
    </row>
    <row r="157" spans="1:20">
      <c r="A157" s="10" t="str">
        <f t="shared" si="20"/>
        <v/>
      </c>
      <c r="B157" s="63"/>
      <c r="C157" s="25" t="str">
        <f t="shared" si="16"/>
        <v/>
      </c>
      <c r="D157" s="25" t="str">
        <f t="shared" si="17"/>
        <v/>
      </c>
      <c r="E157" s="45"/>
      <c r="F157" s="28" t="str">
        <f>IFERROR(VLOOKUP(E157,Category!$D$2:$E$600,2,FALSE),"")</f>
        <v/>
      </c>
      <c r="G157" s="65"/>
      <c r="H157" s="56"/>
      <c r="I157" s="66"/>
      <c r="J157" s="67"/>
      <c r="K157" s="67"/>
      <c r="L157" s="67"/>
      <c r="M157" s="29" t="str">
        <f t="shared" si="18"/>
        <v/>
      </c>
      <c r="N157" s="29" t="str">
        <f t="shared" si="19"/>
        <v/>
      </c>
      <c r="O157" s="29" t="str">
        <f t="shared" si="14"/>
        <v/>
      </c>
      <c r="P157" s="61"/>
      <c r="Q157" s="61"/>
      <c r="R157" s="61"/>
      <c r="S157" s="45"/>
      <c r="T157" s="29" t="str">
        <f t="shared" si="15"/>
        <v/>
      </c>
    </row>
    <row r="158" spans="1:20">
      <c r="A158" s="10" t="str">
        <f t="shared" si="20"/>
        <v/>
      </c>
      <c r="B158" s="63"/>
      <c r="C158" s="25" t="str">
        <f t="shared" si="16"/>
        <v/>
      </c>
      <c r="D158" s="25" t="str">
        <f t="shared" si="17"/>
        <v/>
      </c>
      <c r="E158" s="45"/>
      <c r="F158" s="28" t="str">
        <f>IFERROR(VLOOKUP(E158,Category!$D$2:$E$600,2,FALSE),"")</f>
        <v/>
      </c>
      <c r="G158" s="65"/>
      <c r="H158" s="56"/>
      <c r="I158" s="66"/>
      <c r="J158" s="67"/>
      <c r="K158" s="67"/>
      <c r="L158" s="67"/>
      <c r="M158" s="29" t="str">
        <f t="shared" si="18"/>
        <v/>
      </c>
      <c r="N158" s="29" t="str">
        <f t="shared" si="19"/>
        <v/>
      </c>
      <c r="O158" s="29" t="str">
        <f t="shared" si="14"/>
        <v/>
      </c>
      <c r="P158" s="61"/>
      <c r="Q158" s="61"/>
      <c r="R158" s="61"/>
      <c r="S158" s="45"/>
      <c r="T158" s="29" t="str">
        <f t="shared" si="15"/>
        <v/>
      </c>
    </row>
    <row r="159" spans="1:20">
      <c r="A159" s="10" t="str">
        <f t="shared" si="20"/>
        <v/>
      </c>
      <c r="B159" s="63"/>
      <c r="C159" s="25" t="str">
        <f t="shared" si="16"/>
        <v/>
      </c>
      <c r="D159" s="25" t="str">
        <f t="shared" si="17"/>
        <v/>
      </c>
      <c r="E159" s="45"/>
      <c r="F159" s="28" t="str">
        <f>IFERROR(VLOOKUP(E159,Category!$D$2:$E$600,2,FALSE),"")</f>
        <v/>
      </c>
      <c r="G159" s="65"/>
      <c r="H159" s="56"/>
      <c r="I159" s="66"/>
      <c r="J159" s="67"/>
      <c r="K159" s="67"/>
      <c r="L159" s="67"/>
      <c r="M159" s="29" t="str">
        <f t="shared" si="18"/>
        <v/>
      </c>
      <c r="N159" s="29" t="str">
        <f t="shared" si="19"/>
        <v/>
      </c>
      <c r="O159" s="29" t="str">
        <f t="shared" si="14"/>
        <v/>
      </c>
      <c r="P159" s="61"/>
      <c r="Q159" s="61"/>
      <c r="R159" s="61"/>
      <c r="S159" s="45"/>
      <c r="T159" s="29" t="str">
        <f t="shared" si="15"/>
        <v/>
      </c>
    </row>
    <row r="160" spans="1:20">
      <c r="A160" s="10" t="str">
        <f t="shared" si="20"/>
        <v/>
      </c>
      <c r="B160" s="63"/>
      <c r="C160" s="25" t="str">
        <f t="shared" si="16"/>
        <v/>
      </c>
      <c r="D160" s="25" t="str">
        <f t="shared" si="17"/>
        <v/>
      </c>
      <c r="E160" s="45"/>
      <c r="F160" s="28" t="str">
        <f>IFERROR(VLOOKUP(E160,Category!$D$2:$E$600,2,FALSE),"")</f>
        <v/>
      </c>
      <c r="G160" s="65"/>
      <c r="H160" s="56"/>
      <c r="I160" s="66"/>
      <c r="J160" s="67"/>
      <c r="K160" s="67"/>
      <c r="L160" s="67"/>
      <c r="M160" s="29" t="str">
        <f t="shared" si="18"/>
        <v/>
      </c>
      <c r="N160" s="29" t="str">
        <f t="shared" si="19"/>
        <v/>
      </c>
      <c r="O160" s="29" t="str">
        <f t="shared" si="14"/>
        <v/>
      </c>
      <c r="P160" s="61"/>
      <c r="Q160" s="61"/>
      <c r="R160" s="61"/>
      <c r="S160" s="45"/>
      <c r="T160" s="29" t="str">
        <f t="shared" si="15"/>
        <v/>
      </c>
    </row>
    <row r="161" spans="1:20">
      <c r="A161" s="10" t="str">
        <f t="shared" si="20"/>
        <v/>
      </c>
      <c r="B161" s="63"/>
      <c r="C161" s="25" t="str">
        <f t="shared" si="16"/>
        <v/>
      </c>
      <c r="D161" s="25" t="str">
        <f t="shared" si="17"/>
        <v/>
      </c>
      <c r="E161" s="45"/>
      <c r="F161" s="28" t="str">
        <f>IFERROR(VLOOKUP(E161,Category!$D$2:$E$600,2,FALSE),"")</f>
        <v/>
      </c>
      <c r="G161" s="65"/>
      <c r="H161" s="56"/>
      <c r="I161" s="66"/>
      <c r="J161" s="67"/>
      <c r="K161" s="67"/>
      <c r="L161" s="67"/>
      <c r="M161" s="29" t="str">
        <f t="shared" si="18"/>
        <v/>
      </c>
      <c r="N161" s="29" t="str">
        <f t="shared" si="19"/>
        <v/>
      </c>
      <c r="O161" s="29" t="str">
        <f t="shared" si="14"/>
        <v/>
      </c>
      <c r="P161" s="61"/>
      <c r="Q161" s="61"/>
      <c r="R161" s="61"/>
      <c r="S161" s="45"/>
      <c r="T161" s="29" t="str">
        <f t="shared" si="15"/>
        <v/>
      </c>
    </row>
    <row r="162" spans="1:20">
      <c r="A162" s="10" t="str">
        <f t="shared" si="20"/>
        <v/>
      </c>
      <c r="B162" s="63"/>
      <c r="C162" s="25" t="str">
        <f t="shared" si="16"/>
        <v/>
      </c>
      <c r="D162" s="25" t="str">
        <f t="shared" si="17"/>
        <v/>
      </c>
      <c r="E162" s="45"/>
      <c r="F162" s="28" t="str">
        <f>IFERROR(VLOOKUP(E162,Category!$D$2:$E$600,2,FALSE),"")</f>
        <v/>
      </c>
      <c r="G162" s="65"/>
      <c r="H162" s="56"/>
      <c r="I162" s="66"/>
      <c r="J162" s="67"/>
      <c r="K162" s="67"/>
      <c r="L162" s="67"/>
      <c r="M162" s="29" t="str">
        <f t="shared" si="18"/>
        <v/>
      </c>
      <c r="N162" s="29" t="str">
        <f t="shared" si="19"/>
        <v/>
      </c>
      <c r="O162" s="29" t="str">
        <f t="shared" si="14"/>
        <v/>
      </c>
      <c r="P162" s="61"/>
      <c r="Q162" s="61"/>
      <c r="R162" s="61"/>
      <c r="S162" s="45"/>
      <c r="T162" s="29" t="str">
        <f t="shared" si="15"/>
        <v/>
      </c>
    </row>
    <row r="163" spans="1:20">
      <c r="A163" s="10" t="str">
        <f t="shared" si="20"/>
        <v/>
      </c>
      <c r="B163" s="63"/>
      <c r="C163" s="25" t="str">
        <f t="shared" si="16"/>
        <v/>
      </c>
      <c r="D163" s="25" t="str">
        <f t="shared" si="17"/>
        <v/>
      </c>
      <c r="E163" s="45"/>
      <c r="F163" s="28" t="str">
        <f>IFERROR(VLOOKUP(E163,Category!$D$2:$E$600,2,FALSE),"")</f>
        <v/>
      </c>
      <c r="G163" s="65"/>
      <c r="H163" s="56"/>
      <c r="I163" s="66"/>
      <c r="J163" s="67"/>
      <c r="K163" s="67"/>
      <c r="L163" s="67"/>
      <c r="M163" s="29" t="str">
        <f t="shared" si="18"/>
        <v/>
      </c>
      <c r="N163" s="29" t="str">
        <f t="shared" si="19"/>
        <v/>
      </c>
      <c r="O163" s="29" t="str">
        <f t="shared" si="14"/>
        <v/>
      </c>
      <c r="P163" s="61"/>
      <c r="Q163" s="61"/>
      <c r="R163" s="61"/>
      <c r="S163" s="45"/>
      <c r="T163" s="29" t="str">
        <f t="shared" si="15"/>
        <v/>
      </c>
    </row>
    <row r="164" spans="1:20">
      <c r="A164" s="10" t="str">
        <f t="shared" si="20"/>
        <v/>
      </c>
      <c r="B164" s="63"/>
      <c r="C164" s="25" t="str">
        <f t="shared" si="16"/>
        <v/>
      </c>
      <c r="D164" s="25" t="str">
        <f t="shared" si="17"/>
        <v/>
      </c>
      <c r="E164" s="45"/>
      <c r="F164" s="28" t="str">
        <f>IFERROR(VLOOKUP(E164,Category!$D$2:$E$600,2,FALSE),"")</f>
        <v/>
      </c>
      <c r="G164" s="65"/>
      <c r="H164" s="56"/>
      <c r="I164" s="66"/>
      <c r="J164" s="67"/>
      <c r="K164" s="67"/>
      <c r="L164" s="67"/>
      <c r="M164" s="29" t="str">
        <f t="shared" si="18"/>
        <v/>
      </c>
      <c r="N164" s="29" t="str">
        <f t="shared" si="19"/>
        <v/>
      </c>
      <c r="O164" s="29" t="str">
        <f t="shared" si="14"/>
        <v/>
      </c>
      <c r="P164" s="61"/>
      <c r="Q164" s="61"/>
      <c r="R164" s="61"/>
      <c r="S164" s="45"/>
      <c r="T164" s="29" t="str">
        <f t="shared" si="15"/>
        <v/>
      </c>
    </row>
    <row r="165" spans="1:20">
      <c r="A165" s="10" t="str">
        <f t="shared" si="20"/>
        <v/>
      </c>
      <c r="B165" s="63"/>
      <c r="C165" s="25" t="str">
        <f t="shared" si="16"/>
        <v/>
      </c>
      <c r="D165" s="25" t="str">
        <f t="shared" si="17"/>
        <v/>
      </c>
      <c r="E165" s="45"/>
      <c r="F165" s="28" t="str">
        <f>IFERROR(VLOOKUP(E165,Category!$D$2:$E$600,2,FALSE),"")</f>
        <v/>
      </c>
      <c r="G165" s="65"/>
      <c r="H165" s="56"/>
      <c r="I165" s="66"/>
      <c r="J165" s="67"/>
      <c r="K165" s="67"/>
      <c r="L165" s="67"/>
      <c r="M165" s="29" t="str">
        <f t="shared" si="18"/>
        <v/>
      </c>
      <c r="N165" s="29" t="str">
        <f t="shared" si="19"/>
        <v/>
      </c>
      <c r="O165" s="29" t="str">
        <f t="shared" si="14"/>
        <v/>
      </c>
      <c r="P165" s="61"/>
      <c r="Q165" s="61"/>
      <c r="R165" s="61"/>
      <c r="S165" s="45"/>
      <c r="T165" s="29" t="str">
        <f t="shared" si="15"/>
        <v/>
      </c>
    </row>
    <row r="166" spans="1:20">
      <c r="A166" s="10" t="str">
        <f t="shared" si="20"/>
        <v/>
      </c>
      <c r="B166" s="63"/>
      <c r="C166" s="25" t="str">
        <f t="shared" si="16"/>
        <v/>
      </c>
      <c r="D166" s="25" t="str">
        <f t="shared" si="17"/>
        <v/>
      </c>
      <c r="E166" s="45"/>
      <c r="F166" s="28" t="str">
        <f>IFERROR(VLOOKUP(E166,Category!$D$2:$E$600,2,FALSE),"")</f>
        <v/>
      </c>
      <c r="G166" s="65"/>
      <c r="H166" s="56"/>
      <c r="I166" s="66"/>
      <c r="J166" s="67"/>
      <c r="K166" s="67"/>
      <c r="L166" s="67"/>
      <c r="M166" s="29" t="str">
        <f t="shared" si="18"/>
        <v/>
      </c>
      <c r="N166" s="29" t="str">
        <f t="shared" si="19"/>
        <v/>
      </c>
      <c r="O166" s="29" t="str">
        <f t="shared" si="14"/>
        <v/>
      </c>
      <c r="P166" s="61"/>
      <c r="Q166" s="61"/>
      <c r="R166" s="61"/>
      <c r="S166" s="45"/>
      <c r="T166" s="29" t="str">
        <f t="shared" si="15"/>
        <v/>
      </c>
    </row>
    <row r="167" spans="1:20">
      <c r="A167" s="10" t="str">
        <f t="shared" si="20"/>
        <v/>
      </c>
      <c r="B167" s="63"/>
      <c r="C167" s="25" t="str">
        <f t="shared" si="16"/>
        <v/>
      </c>
      <c r="D167" s="25" t="str">
        <f t="shared" si="17"/>
        <v/>
      </c>
      <c r="E167" s="45"/>
      <c r="F167" s="28" t="str">
        <f>IFERROR(VLOOKUP(E167,Category!$D$2:$E$600,2,FALSE),"")</f>
        <v/>
      </c>
      <c r="G167" s="65"/>
      <c r="H167" s="56"/>
      <c r="I167" s="66"/>
      <c r="J167" s="67"/>
      <c r="K167" s="67"/>
      <c r="L167" s="67"/>
      <c r="M167" s="29" t="str">
        <f t="shared" si="18"/>
        <v/>
      </c>
      <c r="N167" s="29" t="str">
        <f t="shared" si="19"/>
        <v/>
      </c>
      <c r="O167" s="29" t="str">
        <f t="shared" si="14"/>
        <v/>
      </c>
      <c r="P167" s="61"/>
      <c r="Q167" s="61"/>
      <c r="R167" s="61"/>
      <c r="S167" s="45"/>
      <c r="T167" s="29" t="str">
        <f t="shared" si="15"/>
        <v/>
      </c>
    </row>
    <row r="168" spans="1:20">
      <c r="A168" s="10" t="str">
        <f t="shared" si="20"/>
        <v/>
      </c>
      <c r="B168" s="63"/>
      <c r="C168" s="25" t="str">
        <f t="shared" si="16"/>
        <v/>
      </c>
      <c r="D168" s="25" t="str">
        <f t="shared" si="17"/>
        <v/>
      </c>
      <c r="E168" s="45"/>
      <c r="F168" s="28" t="str">
        <f>IFERROR(VLOOKUP(E168,Category!$D$2:$E$600,2,FALSE),"")</f>
        <v/>
      </c>
      <c r="G168" s="65"/>
      <c r="H168" s="56"/>
      <c r="I168" s="66"/>
      <c r="J168" s="67"/>
      <c r="K168" s="67"/>
      <c r="L168" s="67"/>
      <c r="M168" s="29" t="str">
        <f t="shared" si="18"/>
        <v/>
      </c>
      <c r="N168" s="29" t="str">
        <f t="shared" si="19"/>
        <v/>
      </c>
      <c r="O168" s="29" t="str">
        <f t="shared" si="14"/>
        <v/>
      </c>
      <c r="P168" s="61"/>
      <c r="Q168" s="61"/>
      <c r="R168" s="61"/>
      <c r="S168" s="45"/>
      <c r="T168" s="29" t="str">
        <f t="shared" si="15"/>
        <v/>
      </c>
    </row>
    <row r="169" spans="1:20">
      <c r="A169" s="10" t="str">
        <f t="shared" si="20"/>
        <v/>
      </c>
      <c r="B169" s="63"/>
      <c r="C169" s="25" t="str">
        <f t="shared" si="16"/>
        <v/>
      </c>
      <c r="D169" s="25" t="str">
        <f t="shared" si="17"/>
        <v/>
      </c>
      <c r="E169" s="45"/>
      <c r="F169" s="28" t="str">
        <f>IFERROR(VLOOKUP(E169,Category!$D$2:$E$600,2,FALSE),"")</f>
        <v/>
      </c>
      <c r="G169" s="65"/>
      <c r="H169" s="56"/>
      <c r="I169" s="66"/>
      <c r="J169" s="67"/>
      <c r="K169" s="67"/>
      <c r="L169" s="67"/>
      <c r="M169" s="29" t="str">
        <f t="shared" si="18"/>
        <v/>
      </c>
      <c r="N169" s="29" t="str">
        <f t="shared" si="19"/>
        <v/>
      </c>
      <c r="O169" s="29" t="str">
        <f t="shared" si="14"/>
        <v/>
      </c>
      <c r="P169" s="61"/>
      <c r="Q169" s="61"/>
      <c r="R169" s="61"/>
      <c r="S169" s="45"/>
      <c r="T169" s="29" t="str">
        <f t="shared" si="15"/>
        <v/>
      </c>
    </row>
    <row r="170" spans="1:20">
      <c r="A170" s="10" t="str">
        <f t="shared" si="20"/>
        <v/>
      </c>
      <c r="B170" s="63"/>
      <c r="C170" s="25" t="str">
        <f t="shared" si="16"/>
        <v/>
      </c>
      <c r="D170" s="25" t="str">
        <f t="shared" si="17"/>
        <v/>
      </c>
      <c r="E170" s="45"/>
      <c r="F170" s="28" t="str">
        <f>IFERROR(VLOOKUP(E170,Category!$D$2:$E$600,2,FALSE),"")</f>
        <v/>
      </c>
      <c r="G170" s="65"/>
      <c r="H170" s="56"/>
      <c r="I170" s="66"/>
      <c r="J170" s="67"/>
      <c r="K170" s="67"/>
      <c r="L170" s="67"/>
      <c r="M170" s="29" t="str">
        <f t="shared" si="18"/>
        <v/>
      </c>
      <c r="N170" s="29" t="str">
        <f t="shared" si="19"/>
        <v/>
      </c>
      <c r="O170" s="29" t="str">
        <f t="shared" si="14"/>
        <v/>
      </c>
      <c r="P170" s="61"/>
      <c r="Q170" s="61"/>
      <c r="R170" s="61"/>
      <c r="S170" s="45"/>
      <c r="T170" s="29" t="str">
        <f t="shared" si="15"/>
        <v/>
      </c>
    </row>
    <row r="171" spans="1:20">
      <c r="A171" s="10" t="str">
        <f t="shared" si="20"/>
        <v/>
      </c>
      <c r="B171" s="63"/>
      <c r="C171" s="25" t="str">
        <f t="shared" si="16"/>
        <v/>
      </c>
      <c r="D171" s="25" t="str">
        <f t="shared" si="17"/>
        <v/>
      </c>
      <c r="E171" s="45"/>
      <c r="F171" s="28" t="str">
        <f>IFERROR(VLOOKUP(E171,Category!$D$2:$E$600,2,FALSE),"")</f>
        <v/>
      </c>
      <c r="G171" s="65"/>
      <c r="H171" s="56"/>
      <c r="I171" s="66"/>
      <c r="J171" s="67"/>
      <c r="K171" s="67"/>
      <c r="L171" s="67"/>
      <c r="M171" s="29" t="str">
        <f t="shared" si="18"/>
        <v/>
      </c>
      <c r="N171" s="29" t="str">
        <f t="shared" si="19"/>
        <v/>
      </c>
      <c r="O171" s="29" t="str">
        <f t="shared" si="14"/>
        <v/>
      </c>
      <c r="P171" s="61"/>
      <c r="Q171" s="61"/>
      <c r="R171" s="61"/>
      <c r="S171" s="45"/>
      <c r="T171" s="29" t="str">
        <f t="shared" si="15"/>
        <v/>
      </c>
    </row>
    <row r="172" spans="1:20">
      <c r="A172" s="10" t="str">
        <f t="shared" si="20"/>
        <v/>
      </c>
      <c r="B172" s="63"/>
      <c r="C172" s="25" t="str">
        <f t="shared" si="16"/>
        <v/>
      </c>
      <c r="D172" s="25" t="str">
        <f t="shared" si="17"/>
        <v/>
      </c>
      <c r="E172" s="45"/>
      <c r="F172" s="28" t="str">
        <f>IFERROR(VLOOKUP(E172,Category!$D$2:$E$600,2,FALSE),"")</f>
        <v/>
      </c>
      <c r="G172" s="65"/>
      <c r="H172" s="56"/>
      <c r="I172" s="66"/>
      <c r="J172" s="67"/>
      <c r="K172" s="67"/>
      <c r="L172" s="67"/>
      <c r="M172" s="29" t="str">
        <f t="shared" si="18"/>
        <v/>
      </c>
      <c r="N172" s="29" t="str">
        <f t="shared" si="19"/>
        <v/>
      </c>
      <c r="O172" s="29" t="str">
        <f t="shared" si="14"/>
        <v/>
      </c>
      <c r="P172" s="61"/>
      <c r="Q172" s="61"/>
      <c r="R172" s="61"/>
      <c r="S172" s="45"/>
      <c r="T172" s="29" t="str">
        <f t="shared" si="15"/>
        <v/>
      </c>
    </row>
    <row r="173" spans="1:20">
      <c r="A173" s="10" t="str">
        <f t="shared" si="20"/>
        <v/>
      </c>
      <c r="B173" s="63"/>
      <c r="C173" s="25" t="str">
        <f t="shared" si="16"/>
        <v/>
      </c>
      <c r="D173" s="25" t="str">
        <f t="shared" si="17"/>
        <v/>
      </c>
      <c r="E173" s="45"/>
      <c r="F173" s="28" t="str">
        <f>IFERROR(VLOOKUP(E173,Category!$D$2:$E$600,2,FALSE),"")</f>
        <v/>
      </c>
      <c r="G173" s="65"/>
      <c r="H173" s="56"/>
      <c r="I173" s="66"/>
      <c r="J173" s="67"/>
      <c r="K173" s="67"/>
      <c r="L173" s="67"/>
      <c r="M173" s="29" t="str">
        <f t="shared" si="18"/>
        <v/>
      </c>
      <c r="N173" s="29" t="str">
        <f t="shared" si="19"/>
        <v/>
      </c>
      <c r="O173" s="29" t="str">
        <f t="shared" si="14"/>
        <v/>
      </c>
      <c r="P173" s="61"/>
      <c r="Q173" s="61"/>
      <c r="R173" s="61"/>
      <c r="S173" s="45"/>
      <c r="T173" s="29" t="str">
        <f t="shared" si="15"/>
        <v/>
      </c>
    </row>
    <row r="174" spans="1:20">
      <c r="A174" s="10" t="str">
        <f t="shared" si="20"/>
        <v/>
      </c>
      <c r="B174" s="63"/>
      <c r="C174" s="25" t="str">
        <f t="shared" si="16"/>
        <v/>
      </c>
      <c r="D174" s="25" t="str">
        <f t="shared" si="17"/>
        <v/>
      </c>
      <c r="E174" s="45"/>
      <c r="F174" s="28" t="str">
        <f>IFERROR(VLOOKUP(E174,Category!$D$2:$E$600,2,FALSE),"")</f>
        <v/>
      </c>
      <c r="G174" s="65"/>
      <c r="H174" s="56"/>
      <c r="I174" s="66"/>
      <c r="J174" s="67"/>
      <c r="K174" s="67"/>
      <c r="L174" s="67"/>
      <c r="M174" s="29" t="str">
        <f t="shared" si="18"/>
        <v/>
      </c>
      <c r="N174" s="29" t="str">
        <f t="shared" si="19"/>
        <v/>
      </c>
      <c r="O174" s="29" t="str">
        <f t="shared" si="14"/>
        <v/>
      </c>
      <c r="P174" s="61"/>
      <c r="Q174" s="61"/>
      <c r="R174" s="61"/>
      <c r="S174" s="45"/>
      <c r="T174" s="29" t="str">
        <f t="shared" si="15"/>
        <v/>
      </c>
    </row>
    <row r="175" spans="1:20">
      <c r="A175" s="10" t="str">
        <f t="shared" si="20"/>
        <v/>
      </c>
      <c r="B175" s="63"/>
      <c r="C175" s="25" t="str">
        <f t="shared" si="16"/>
        <v/>
      </c>
      <c r="D175" s="25" t="str">
        <f t="shared" si="17"/>
        <v/>
      </c>
      <c r="E175" s="45"/>
      <c r="F175" s="28" t="str">
        <f>IFERROR(VLOOKUP(E175,Category!$D$2:$E$600,2,FALSE),"")</f>
        <v/>
      </c>
      <c r="G175" s="65"/>
      <c r="H175" s="56"/>
      <c r="I175" s="66"/>
      <c r="J175" s="67"/>
      <c r="K175" s="67"/>
      <c r="L175" s="67"/>
      <c r="M175" s="29" t="str">
        <f t="shared" si="18"/>
        <v/>
      </c>
      <c r="N175" s="29" t="str">
        <f t="shared" si="19"/>
        <v/>
      </c>
      <c r="O175" s="29" t="str">
        <f t="shared" si="14"/>
        <v/>
      </c>
      <c r="P175" s="61"/>
      <c r="Q175" s="61"/>
      <c r="R175" s="61"/>
      <c r="S175" s="45"/>
      <c r="T175" s="29" t="str">
        <f t="shared" si="15"/>
        <v/>
      </c>
    </row>
    <row r="176" spans="1:20">
      <c r="A176" s="10" t="str">
        <f t="shared" si="20"/>
        <v/>
      </c>
      <c r="B176" s="63"/>
      <c r="C176" s="25" t="str">
        <f t="shared" si="16"/>
        <v/>
      </c>
      <c r="D176" s="25" t="str">
        <f t="shared" si="17"/>
        <v/>
      </c>
      <c r="E176" s="45"/>
      <c r="F176" s="28" t="str">
        <f>IFERROR(VLOOKUP(E176,Category!$D$2:$E$600,2,FALSE),"")</f>
        <v/>
      </c>
      <c r="G176" s="65"/>
      <c r="H176" s="56"/>
      <c r="I176" s="66"/>
      <c r="J176" s="67"/>
      <c r="K176" s="67"/>
      <c r="L176" s="67"/>
      <c r="M176" s="29" t="str">
        <f t="shared" si="18"/>
        <v/>
      </c>
      <c r="N176" s="29" t="str">
        <f t="shared" si="19"/>
        <v/>
      </c>
      <c r="O176" s="29" t="str">
        <f t="shared" si="14"/>
        <v/>
      </c>
      <c r="P176" s="61"/>
      <c r="Q176" s="61"/>
      <c r="R176" s="61"/>
      <c r="S176" s="45"/>
      <c r="T176" s="29" t="str">
        <f t="shared" si="15"/>
        <v/>
      </c>
    </row>
    <row r="177" spans="1:20">
      <c r="A177" s="10" t="str">
        <f t="shared" si="20"/>
        <v/>
      </c>
      <c r="B177" s="63"/>
      <c r="C177" s="25" t="str">
        <f t="shared" si="16"/>
        <v/>
      </c>
      <c r="D177" s="25" t="str">
        <f t="shared" si="17"/>
        <v/>
      </c>
      <c r="E177" s="45"/>
      <c r="F177" s="28" t="str">
        <f>IFERROR(VLOOKUP(E177,Category!$D$2:$E$600,2,FALSE),"")</f>
        <v/>
      </c>
      <c r="G177" s="65"/>
      <c r="H177" s="56"/>
      <c r="I177" s="66"/>
      <c r="J177" s="67"/>
      <c r="K177" s="67"/>
      <c r="L177" s="67"/>
      <c r="M177" s="29" t="str">
        <f t="shared" si="18"/>
        <v/>
      </c>
      <c r="N177" s="29" t="str">
        <f t="shared" si="19"/>
        <v/>
      </c>
      <c r="O177" s="29" t="str">
        <f t="shared" si="14"/>
        <v/>
      </c>
      <c r="P177" s="61"/>
      <c r="Q177" s="61"/>
      <c r="R177" s="61"/>
      <c r="S177" s="45"/>
      <c r="T177" s="29" t="str">
        <f t="shared" si="15"/>
        <v/>
      </c>
    </row>
    <row r="178" spans="1:20">
      <c r="A178" s="10" t="str">
        <f t="shared" si="20"/>
        <v/>
      </c>
      <c r="B178" s="63"/>
      <c r="C178" s="25" t="str">
        <f t="shared" si="16"/>
        <v/>
      </c>
      <c r="D178" s="25" t="str">
        <f t="shared" si="17"/>
        <v/>
      </c>
      <c r="E178" s="45"/>
      <c r="F178" s="28" t="str">
        <f>IFERROR(VLOOKUP(E178,Category!$D$2:$E$600,2,FALSE),"")</f>
        <v/>
      </c>
      <c r="G178" s="65"/>
      <c r="H178" s="56"/>
      <c r="I178" s="66"/>
      <c r="J178" s="67"/>
      <c r="K178" s="67"/>
      <c r="L178" s="67"/>
      <c r="M178" s="29" t="str">
        <f t="shared" si="18"/>
        <v/>
      </c>
      <c r="N178" s="29" t="str">
        <f t="shared" si="19"/>
        <v/>
      </c>
      <c r="O178" s="29" t="str">
        <f t="shared" si="14"/>
        <v/>
      </c>
      <c r="P178" s="61"/>
      <c r="Q178" s="61"/>
      <c r="R178" s="61"/>
      <c r="S178" s="45"/>
      <c r="T178" s="29" t="str">
        <f t="shared" si="15"/>
        <v/>
      </c>
    </row>
    <row r="179" spans="1:20">
      <c r="A179" s="10" t="str">
        <f t="shared" si="20"/>
        <v/>
      </c>
      <c r="B179" s="63"/>
      <c r="C179" s="25" t="str">
        <f t="shared" si="16"/>
        <v/>
      </c>
      <c r="D179" s="25" t="str">
        <f t="shared" si="17"/>
        <v/>
      </c>
      <c r="E179" s="45"/>
      <c r="F179" s="28" t="str">
        <f>IFERROR(VLOOKUP(E179,Category!$D$2:$E$600,2,FALSE),"")</f>
        <v/>
      </c>
      <c r="G179" s="65"/>
      <c r="H179" s="56"/>
      <c r="I179" s="66"/>
      <c r="J179" s="67"/>
      <c r="K179" s="67"/>
      <c r="L179" s="67"/>
      <c r="M179" s="29" t="str">
        <f t="shared" si="18"/>
        <v/>
      </c>
      <c r="N179" s="29" t="str">
        <f t="shared" si="19"/>
        <v/>
      </c>
      <c r="O179" s="29" t="str">
        <f t="shared" si="14"/>
        <v/>
      </c>
      <c r="P179" s="61"/>
      <c r="Q179" s="61"/>
      <c r="R179" s="61"/>
      <c r="S179" s="45"/>
      <c r="T179" s="29" t="str">
        <f t="shared" si="15"/>
        <v/>
      </c>
    </row>
    <row r="180" spans="1:20">
      <c r="A180" s="10" t="str">
        <f t="shared" si="20"/>
        <v/>
      </c>
      <c r="B180" s="63"/>
      <c r="C180" s="25" t="str">
        <f t="shared" si="16"/>
        <v/>
      </c>
      <c r="D180" s="25" t="str">
        <f t="shared" si="17"/>
        <v/>
      </c>
      <c r="E180" s="45"/>
      <c r="F180" s="28" t="str">
        <f>IFERROR(VLOOKUP(E180,Category!$D$2:$E$600,2,FALSE),"")</f>
        <v/>
      </c>
      <c r="G180" s="65"/>
      <c r="H180" s="56"/>
      <c r="I180" s="66"/>
      <c r="J180" s="67"/>
      <c r="K180" s="67"/>
      <c r="L180" s="67"/>
      <c r="M180" s="29" t="str">
        <f t="shared" si="18"/>
        <v/>
      </c>
      <c r="N180" s="29" t="str">
        <f t="shared" si="19"/>
        <v/>
      </c>
      <c r="O180" s="29" t="str">
        <f t="shared" si="14"/>
        <v/>
      </c>
      <c r="P180" s="61"/>
      <c r="Q180" s="61"/>
      <c r="R180" s="61"/>
      <c r="S180" s="45"/>
      <c r="T180" s="29" t="str">
        <f t="shared" si="15"/>
        <v/>
      </c>
    </row>
    <row r="181" spans="1:20">
      <c r="A181" s="10" t="str">
        <f t="shared" si="20"/>
        <v/>
      </c>
      <c r="B181" s="63"/>
      <c r="C181" s="25" t="str">
        <f t="shared" si="16"/>
        <v/>
      </c>
      <c r="D181" s="25" t="str">
        <f t="shared" si="17"/>
        <v/>
      </c>
      <c r="E181" s="45"/>
      <c r="F181" s="28" t="str">
        <f>IFERROR(VLOOKUP(E181,Category!$D$2:$E$600,2,FALSE),"")</f>
        <v/>
      </c>
      <c r="G181" s="65"/>
      <c r="H181" s="56"/>
      <c r="I181" s="66"/>
      <c r="J181" s="67"/>
      <c r="K181" s="67"/>
      <c r="L181" s="67"/>
      <c r="M181" s="29" t="str">
        <f t="shared" si="18"/>
        <v/>
      </c>
      <c r="N181" s="29" t="str">
        <f t="shared" si="19"/>
        <v/>
      </c>
      <c r="O181" s="29" t="str">
        <f t="shared" si="14"/>
        <v/>
      </c>
      <c r="P181" s="61"/>
      <c r="Q181" s="61"/>
      <c r="R181" s="61"/>
      <c r="S181" s="45"/>
      <c r="T181" s="29" t="str">
        <f t="shared" si="15"/>
        <v/>
      </c>
    </row>
    <row r="182" spans="1:20">
      <c r="A182" s="10" t="str">
        <f t="shared" si="20"/>
        <v/>
      </c>
      <c r="B182" s="63"/>
      <c r="C182" s="25" t="str">
        <f t="shared" si="16"/>
        <v/>
      </c>
      <c r="D182" s="25" t="str">
        <f t="shared" si="17"/>
        <v/>
      </c>
      <c r="E182" s="45"/>
      <c r="F182" s="28" t="str">
        <f>IFERROR(VLOOKUP(E182,Category!$D$2:$E$600,2,FALSE),"")</f>
        <v/>
      </c>
      <c r="G182" s="65"/>
      <c r="H182" s="56"/>
      <c r="I182" s="66"/>
      <c r="J182" s="67"/>
      <c r="K182" s="67"/>
      <c r="L182" s="67"/>
      <c r="M182" s="29" t="str">
        <f t="shared" si="18"/>
        <v/>
      </c>
      <c r="N182" s="29" t="str">
        <f t="shared" si="19"/>
        <v/>
      </c>
      <c r="O182" s="29" t="str">
        <f t="shared" si="14"/>
        <v/>
      </c>
      <c r="P182" s="61"/>
      <c r="Q182" s="61"/>
      <c r="R182" s="61"/>
      <c r="S182" s="45"/>
      <c r="T182" s="29" t="str">
        <f t="shared" si="15"/>
        <v/>
      </c>
    </row>
    <row r="183" spans="1:20">
      <c r="A183" s="10" t="str">
        <f t="shared" si="20"/>
        <v/>
      </c>
      <c r="B183" s="63"/>
      <c r="C183" s="25" t="str">
        <f t="shared" si="16"/>
        <v/>
      </c>
      <c r="D183" s="25" t="str">
        <f t="shared" si="17"/>
        <v/>
      </c>
      <c r="E183" s="45"/>
      <c r="F183" s="28" t="str">
        <f>IFERROR(VLOOKUP(E183,Category!$D$2:$E$600,2,FALSE),"")</f>
        <v/>
      </c>
      <c r="G183" s="65"/>
      <c r="H183" s="56"/>
      <c r="I183" s="66"/>
      <c r="J183" s="67"/>
      <c r="K183" s="67"/>
      <c r="L183" s="67"/>
      <c r="M183" s="29" t="str">
        <f t="shared" si="18"/>
        <v/>
      </c>
      <c r="N183" s="29" t="str">
        <f t="shared" si="19"/>
        <v/>
      </c>
      <c r="O183" s="29" t="str">
        <f t="shared" si="14"/>
        <v/>
      </c>
      <c r="P183" s="61"/>
      <c r="Q183" s="61"/>
      <c r="R183" s="61"/>
      <c r="S183" s="45"/>
      <c r="T183" s="29" t="str">
        <f t="shared" si="15"/>
        <v/>
      </c>
    </row>
    <row r="184" spans="1:20">
      <c r="A184" s="10" t="str">
        <f t="shared" si="20"/>
        <v/>
      </c>
      <c r="B184" s="63"/>
      <c r="C184" s="25" t="str">
        <f t="shared" si="16"/>
        <v/>
      </c>
      <c r="D184" s="25" t="str">
        <f t="shared" si="17"/>
        <v/>
      </c>
      <c r="E184" s="45"/>
      <c r="F184" s="28" t="str">
        <f>IFERROR(VLOOKUP(E184,Category!$D$2:$E$600,2,FALSE),"")</f>
        <v/>
      </c>
      <c r="G184" s="65"/>
      <c r="H184" s="56"/>
      <c r="I184" s="66"/>
      <c r="J184" s="67"/>
      <c r="K184" s="67"/>
      <c r="L184" s="67"/>
      <c r="M184" s="29" t="str">
        <f t="shared" si="18"/>
        <v/>
      </c>
      <c r="N184" s="29" t="str">
        <f t="shared" si="19"/>
        <v/>
      </c>
      <c r="O184" s="29" t="str">
        <f t="shared" si="14"/>
        <v/>
      </c>
      <c r="P184" s="61"/>
      <c r="Q184" s="61"/>
      <c r="R184" s="61"/>
      <c r="S184" s="45"/>
      <c r="T184" s="29" t="str">
        <f t="shared" si="15"/>
        <v/>
      </c>
    </row>
    <row r="185" spans="1:20">
      <c r="A185" s="10" t="str">
        <f t="shared" si="20"/>
        <v/>
      </c>
      <c r="B185" s="63"/>
      <c r="C185" s="25" t="str">
        <f t="shared" si="16"/>
        <v/>
      </c>
      <c r="D185" s="25" t="str">
        <f t="shared" si="17"/>
        <v/>
      </c>
      <c r="E185" s="45"/>
      <c r="F185" s="28" t="str">
        <f>IFERROR(VLOOKUP(E185,Category!$D$2:$E$600,2,FALSE),"")</f>
        <v/>
      </c>
      <c r="G185" s="65"/>
      <c r="H185" s="56"/>
      <c r="I185" s="66"/>
      <c r="J185" s="67"/>
      <c r="K185" s="67"/>
      <c r="L185" s="67"/>
      <c r="M185" s="29" t="str">
        <f t="shared" si="18"/>
        <v/>
      </c>
      <c r="N185" s="29" t="str">
        <f t="shared" si="19"/>
        <v/>
      </c>
      <c r="O185" s="29" t="str">
        <f t="shared" si="14"/>
        <v/>
      </c>
      <c r="P185" s="61"/>
      <c r="Q185" s="61"/>
      <c r="R185" s="61"/>
      <c r="S185" s="45"/>
      <c r="T185" s="29" t="str">
        <f t="shared" si="15"/>
        <v/>
      </c>
    </row>
    <row r="186" spans="1:20">
      <c r="A186" s="10" t="str">
        <f t="shared" si="20"/>
        <v/>
      </c>
      <c r="B186" s="63"/>
      <c r="C186" s="25" t="str">
        <f t="shared" si="16"/>
        <v/>
      </c>
      <c r="D186" s="25" t="str">
        <f t="shared" si="17"/>
        <v/>
      </c>
      <c r="E186" s="45"/>
      <c r="F186" s="28" t="str">
        <f>IFERROR(VLOOKUP(E186,Category!$D$2:$E$600,2,FALSE),"")</f>
        <v/>
      </c>
      <c r="G186" s="65"/>
      <c r="H186" s="56"/>
      <c r="I186" s="66"/>
      <c r="J186" s="67"/>
      <c r="K186" s="67"/>
      <c r="L186" s="67"/>
      <c r="M186" s="29" t="str">
        <f t="shared" si="18"/>
        <v/>
      </c>
      <c r="N186" s="29" t="str">
        <f t="shared" si="19"/>
        <v/>
      </c>
      <c r="O186" s="29" t="str">
        <f t="shared" si="14"/>
        <v/>
      </c>
      <c r="P186" s="61"/>
      <c r="Q186" s="61"/>
      <c r="R186" s="61"/>
      <c r="S186" s="45"/>
      <c r="T186" s="29" t="str">
        <f t="shared" si="15"/>
        <v/>
      </c>
    </row>
    <row r="187" spans="1:20">
      <c r="A187" s="10" t="str">
        <f t="shared" si="20"/>
        <v/>
      </c>
      <c r="B187" s="63"/>
      <c r="C187" s="25" t="str">
        <f t="shared" si="16"/>
        <v/>
      </c>
      <c r="D187" s="25" t="str">
        <f t="shared" si="17"/>
        <v/>
      </c>
      <c r="E187" s="45"/>
      <c r="F187" s="28" t="str">
        <f>IFERROR(VLOOKUP(E187,Category!$D$2:$E$600,2,FALSE),"")</f>
        <v/>
      </c>
      <c r="G187" s="65"/>
      <c r="H187" s="56"/>
      <c r="I187" s="66"/>
      <c r="J187" s="67"/>
      <c r="K187" s="67"/>
      <c r="L187" s="67"/>
      <c r="M187" s="29" t="str">
        <f t="shared" si="18"/>
        <v/>
      </c>
      <c r="N187" s="29" t="str">
        <f t="shared" si="19"/>
        <v/>
      </c>
      <c r="O187" s="29" t="str">
        <f t="shared" si="14"/>
        <v/>
      </c>
      <c r="P187" s="61"/>
      <c r="Q187" s="61"/>
      <c r="R187" s="61"/>
      <c r="S187" s="45"/>
      <c r="T187" s="29" t="str">
        <f t="shared" si="15"/>
        <v/>
      </c>
    </row>
    <row r="188" spans="1:20">
      <c r="A188" s="10" t="str">
        <f t="shared" si="20"/>
        <v/>
      </c>
      <c r="B188" s="63"/>
      <c r="C188" s="25" t="str">
        <f t="shared" si="16"/>
        <v/>
      </c>
      <c r="D188" s="25" t="str">
        <f t="shared" si="17"/>
        <v/>
      </c>
      <c r="E188" s="45"/>
      <c r="F188" s="28" t="str">
        <f>IFERROR(VLOOKUP(E188,Category!$D$2:$E$600,2,FALSE),"")</f>
        <v/>
      </c>
      <c r="G188" s="65"/>
      <c r="H188" s="56"/>
      <c r="I188" s="66"/>
      <c r="J188" s="67"/>
      <c r="K188" s="67"/>
      <c r="L188" s="67"/>
      <c r="M188" s="29" t="str">
        <f t="shared" si="18"/>
        <v/>
      </c>
      <c r="N188" s="29" t="str">
        <f t="shared" si="19"/>
        <v/>
      </c>
      <c r="O188" s="29" t="str">
        <f t="shared" si="14"/>
        <v/>
      </c>
      <c r="P188" s="61"/>
      <c r="Q188" s="61"/>
      <c r="R188" s="61"/>
      <c r="S188" s="45"/>
      <c r="T188" s="29" t="str">
        <f t="shared" si="15"/>
        <v/>
      </c>
    </row>
    <row r="189" spans="1:20">
      <c r="A189" s="10" t="str">
        <f t="shared" si="20"/>
        <v/>
      </c>
      <c r="B189" s="63"/>
      <c r="C189" s="25" t="str">
        <f t="shared" si="16"/>
        <v/>
      </c>
      <c r="D189" s="25" t="str">
        <f t="shared" si="17"/>
        <v/>
      </c>
      <c r="E189" s="45"/>
      <c r="F189" s="28" t="str">
        <f>IFERROR(VLOOKUP(E189,Category!$D$2:$E$600,2,FALSE),"")</f>
        <v/>
      </c>
      <c r="G189" s="65"/>
      <c r="H189" s="56"/>
      <c r="I189" s="66"/>
      <c r="J189" s="67"/>
      <c r="K189" s="67"/>
      <c r="L189" s="67"/>
      <c r="M189" s="29" t="str">
        <f t="shared" si="18"/>
        <v/>
      </c>
      <c r="N189" s="29" t="str">
        <f t="shared" si="19"/>
        <v/>
      </c>
      <c r="O189" s="29" t="str">
        <f t="shared" si="14"/>
        <v/>
      </c>
      <c r="P189" s="61"/>
      <c r="Q189" s="61"/>
      <c r="R189" s="61"/>
      <c r="S189" s="45"/>
      <c r="T189" s="29" t="str">
        <f t="shared" si="15"/>
        <v/>
      </c>
    </row>
    <row r="190" spans="1:20">
      <c r="A190" s="10" t="str">
        <f t="shared" si="20"/>
        <v/>
      </c>
      <c r="B190" s="63"/>
      <c r="C190" s="25" t="str">
        <f t="shared" si="16"/>
        <v/>
      </c>
      <c r="D190" s="25" t="str">
        <f t="shared" si="17"/>
        <v/>
      </c>
      <c r="E190" s="45"/>
      <c r="F190" s="28" t="str">
        <f>IFERROR(VLOOKUP(E190,Category!$D$2:$E$600,2,FALSE),"")</f>
        <v/>
      </c>
      <c r="G190" s="65"/>
      <c r="H190" s="56"/>
      <c r="I190" s="66"/>
      <c r="J190" s="67"/>
      <c r="K190" s="67"/>
      <c r="L190" s="67"/>
      <c r="M190" s="29" t="str">
        <f t="shared" si="18"/>
        <v/>
      </c>
      <c r="N190" s="29" t="str">
        <f t="shared" si="19"/>
        <v/>
      </c>
      <c r="O190" s="29" t="str">
        <f t="shared" si="14"/>
        <v/>
      </c>
      <c r="P190" s="61"/>
      <c r="Q190" s="61"/>
      <c r="R190" s="61"/>
      <c r="S190" s="45"/>
      <c r="T190" s="29" t="str">
        <f t="shared" si="15"/>
        <v/>
      </c>
    </row>
    <row r="191" spans="1:20">
      <c r="A191" s="10" t="str">
        <f t="shared" si="20"/>
        <v/>
      </c>
      <c r="B191" s="63"/>
      <c r="C191" s="25" t="str">
        <f t="shared" si="16"/>
        <v/>
      </c>
      <c r="D191" s="25" t="str">
        <f t="shared" si="17"/>
        <v/>
      </c>
      <c r="E191" s="45"/>
      <c r="F191" s="28" t="str">
        <f>IFERROR(VLOOKUP(E191,Category!$D$2:$E$600,2,FALSE),"")</f>
        <v/>
      </c>
      <c r="G191" s="65"/>
      <c r="H191" s="56"/>
      <c r="I191" s="66"/>
      <c r="J191" s="67"/>
      <c r="K191" s="67"/>
      <c r="L191" s="67"/>
      <c r="M191" s="29" t="str">
        <f t="shared" si="18"/>
        <v/>
      </c>
      <c r="N191" s="29" t="str">
        <f t="shared" si="19"/>
        <v/>
      </c>
      <c r="O191" s="29" t="str">
        <f t="shared" si="14"/>
        <v/>
      </c>
      <c r="P191" s="61"/>
      <c r="Q191" s="61"/>
      <c r="R191" s="61"/>
      <c r="S191" s="45"/>
      <c r="T191" s="29" t="str">
        <f t="shared" si="15"/>
        <v/>
      </c>
    </row>
    <row r="192" spans="1:20">
      <c r="A192" s="10" t="str">
        <f t="shared" si="20"/>
        <v/>
      </c>
      <c r="B192" s="63"/>
      <c r="C192" s="25" t="str">
        <f t="shared" si="16"/>
        <v/>
      </c>
      <c r="D192" s="25" t="str">
        <f t="shared" si="17"/>
        <v/>
      </c>
      <c r="E192" s="45"/>
      <c r="F192" s="28" t="str">
        <f>IFERROR(VLOOKUP(E192,Category!$D$2:$E$600,2,FALSE),"")</f>
        <v/>
      </c>
      <c r="G192" s="65"/>
      <c r="H192" s="56"/>
      <c r="I192" s="66"/>
      <c r="J192" s="67"/>
      <c r="K192" s="67"/>
      <c r="L192" s="67"/>
      <c r="M192" s="29" t="str">
        <f t="shared" si="18"/>
        <v/>
      </c>
      <c r="N192" s="29" t="str">
        <f t="shared" si="19"/>
        <v/>
      </c>
      <c r="O192" s="29" t="str">
        <f t="shared" si="14"/>
        <v/>
      </c>
      <c r="P192" s="61"/>
      <c r="Q192" s="61"/>
      <c r="R192" s="61"/>
      <c r="S192" s="45"/>
      <c r="T192" s="29" t="str">
        <f t="shared" si="15"/>
        <v/>
      </c>
    </row>
    <row r="193" spans="1:20">
      <c r="A193" s="10" t="str">
        <f t="shared" si="20"/>
        <v/>
      </c>
      <c r="B193" s="63"/>
      <c r="C193" s="25" t="str">
        <f t="shared" si="16"/>
        <v/>
      </c>
      <c r="D193" s="25" t="str">
        <f t="shared" si="17"/>
        <v/>
      </c>
      <c r="E193" s="45"/>
      <c r="F193" s="28" t="str">
        <f>IFERROR(VLOOKUP(E193,Category!$D$2:$E$600,2,FALSE),"")</f>
        <v/>
      </c>
      <c r="G193" s="65"/>
      <c r="H193" s="56"/>
      <c r="I193" s="66"/>
      <c r="J193" s="67"/>
      <c r="K193" s="67"/>
      <c r="L193" s="67"/>
      <c r="M193" s="29" t="str">
        <f t="shared" si="18"/>
        <v/>
      </c>
      <c r="N193" s="29" t="str">
        <f t="shared" si="19"/>
        <v/>
      </c>
      <c r="O193" s="29" t="str">
        <f t="shared" si="14"/>
        <v/>
      </c>
      <c r="P193" s="61"/>
      <c r="Q193" s="61"/>
      <c r="R193" s="61"/>
      <c r="S193" s="45"/>
      <c r="T193" s="29" t="str">
        <f t="shared" si="15"/>
        <v/>
      </c>
    </row>
    <row r="194" spans="1:20">
      <c r="A194" s="10" t="str">
        <f t="shared" si="20"/>
        <v/>
      </c>
      <c r="B194" s="63"/>
      <c r="C194" s="25" t="str">
        <f t="shared" si="16"/>
        <v/>
      </c>
      <c r="D194" s="25" t="str">
        <f t="shared" si="17"/>
        <v/>
      </c>
      <c r="E194" s="45"/>
      <c r="F194" s="28" t="str">
        <f>IFERROR(VLOOKUP(E194,Category!$D$2:$E$600,2,FALSE),"")</f>
        <v/>
      </c>
      <c r="G194" s="65"/>
      <c r="H194" s="56"/>
      <c r="I194" s="66"/>
      <c r="J194" s="67"/>
      <c r="K194" s="67"/>
      <c r="L194" s="67"/>
      <c r="M194" s="29" t="str">
        <f t="shared" si="18"/>
        <v/>
      </c>
      <c r="N194" s="29" t="str">
        <f t="shared" si="19"/>
        <v/>
      </c>
      <c r="O194" s="29" t="str">
        <f t="shared" ref="O194:O257" si="21">IF(H194*I194=0,"",H194*I194)</f>
        <v/>
      </c>
      <c r="P194" s="61"/>
      <c r="Q194" s="61"/>
      <c r="R194" s="61"/>
      <c r="S194" s="45"/>
      <c r="T194" s="29" t="str">
        <f t="shared" ref="T194:T257" si="22">IF(R194="paid",(H194*I194)-(G194*H194),"")</f>
        <v/>
      </c>
    </row>
    <row r="195" spans="1:20">
      <c r="A195" s="10" t="str">
        <f t="shared" si="20"/>
        <v/>
      </c>
      <c r="B195" s="63"/>
      <c r="C195" s="25" t="str">
        <f t="shared" ref="C195:C258" si="23">IF(B195=0,"",TEXT(B195,"mmmm"))</f>
        <v/>
      </c>
      <c r="D195" s="25" t="str">
        <f t="shared" ref="D195:D258" si="24">IF(B195=0,"",TEXT(B195,"yyyy"))</f>
        <v/>
      </c>
      <c r="E195" s="45"/>
      <c r="F195" s="28" t="str">
        <f>IFERROR(VLOOKUP(E195,Category!$D$2:$E$600,2,FALSE),"")</f>
        <v/>
      </c>
      <c r="G195" s="65"/>
      <c r="H195" s="56"/>
      <c r="I195" s="66"/>
      <c r="J195" s="67"/>
      <c r="K195" s="67"/>
      <c r="L195" s="67"/>
      <c r="M195" s="29" t="str">
        <f t="shared" ref="M195:M258" si="25">IFERROR(IF(O195&gt;0,IF(R195="Paid","",O195-J195),""),"")</f>
        <v/>
      </c>
      <c r="N195" s="29" t="str">
        <f t="shared" ref="N195:N258" si="26">IF(J195&gt;0,IF(R195="Paid",O195-J195,""),"")</f>
        <v/>
      </c>
      <c r="O195" s="29" t="str">
        <f t="shared" si="21"/>
        <v/>
      </c>
      <c r="P195" s="61"/>
      <c r="Q195" s="61"/>
      <c r="R195" s="61"/>
      <c r="S195" s="45"/>
      <c r="T195" s="29" t="str">
        <f t="shared" si="22"/>
        <v/>
      </c>
    </row>
    <row r="196" spans="1:20">
      <c r="A196" s="10" t="str">
        <f t="shared" ref="A196:A259" si="27">IF(E196&gt;0,A195+1,"")</f>
        <v/>
      </c>
      <c r="B196" s="63"/>
      <c r="C196" s="25" t="str">
        <f t="shared" si="23"/>
        <v/>
      </c>
      <c r="D196" s="25" t="str">
        <f t="shared" si="24"/>
        <v/>
      </c>
      <c r="E196" s="45"/>
      <c r="F196" s="28" t="str">
        <f>IFERROR(VLOOKUP(E196,Category!$D$2:$E$600,2,FALSE),"")</f>
        <v/>
      </c>
      <c r="G196" s="65"/>
      <c r="H196" s="56"/>
      <c r="I196" s="66"/>
      <c r="J196" s="67"/>
      <c r="K196" s="67"/>
      <c r="L196" s="67"/>
      <c r="M196" s="29" t="str">
        <f t="shared" si="25"/>
        <v/>
      </c>
      <c r="N196" s="29" t="str">
        <f t="shared" si="26"/>
        <v/>
      </c>
      <c r="O196" s="29" t="str">
        <f t="shared" si="21"/>
        <v/>
      </c>
      <c r="P196" s="61"/>
      <c r="Q196" s="61"/>
      <c r="R196" s="61"/>
      <c r="S196" s="45"/>
      <c r="T196" s="29" t="str">
        <f t="shared" si="22"/>
        <v/>
      </c>
    </row>
    <row r="197" spans="1:20">
      <c r="A197" s="10" t="str">
        <f t="shared" si="27"/>
        <v/>
      </c>
      <c r="B197" s="63"/>
      <c r="C197" s="25" t="str">
        <f t="shared" si="23"/>
        <v/>
      </c>
      <c r="D197" s="25" t="str">
        <f t="shared" si="24"/>
        <v/>
      </c>
      <c r="E197" s="45"/>
      <c r="F197" s="28" t="str">
        <f>IFERROR(VLOOKUP(E197,Category!$D$2:$E$600,2,FALSE),"")</f>
        <v/>
      </c>
      <c r="G197" s="65"/>
      <c r="H197" s="56"/>
      <c r="I197" s="66"/>
      <c r="J197" s="67"/>
      <c r="K197" s="67"/>
      <c r="L197" s="67"/>
      <c r="M197" s="29" t="str">
        <f t="shared" si="25"/>
        <v/>
      </c>
      <c r="N197" s="29" t="str">
        <f t="shared" si="26"/>
        <v/>
      </c>
      <c r="O197" s="29" t="str">
        <f t="shared" si="21"/>
        <v/>
      </c>
      <c r="P197" s="61"/>
      <c r="Q197" s="61"/>
      <c r="R197" s="61"/>
      <c r="S197" s="45"/>
      <c r="T197" s="29" t="str">
        <f t="shared" si="22"/>
        <v/>
      </c>
    </row>
    <row r="198" spans="1:20">
      <c r="A198" s="10" t="str">
        <f t="shared" si="27"/>
        <v/>
      </c>
      <c r="B198" s="63"/>
      <c r="C198" s="25" t="str">
        <f t="shared" si="23"/>
        <v/>
      </c>
      <c r="D198" s="25" t="str">
        <f t="shared" si="24"/>
        <v/>
      </c>
      <c r="E198" s="45"/>
      <c r="F198" s="28" t="str">
        <f>IFERROR(VLOOKUP(E198,Category!$D$2:$E$600,2,FALSE),"")</f>
        <v/>
      </c>
      <c r="G198" s="65"/>
      <c r="H198" s="56"/>
      <c r="I198" s="66"/>
      <c r="J198" s="67"/>
      <c r="K198" s="67"/>
      <c r="L198" s="67"/>
      <c r="M198" s="29" t="str">
        <f t="shared" si="25"/>
        <v/>
      </c>
      <c r="N198" s="29" t="str">
        <f t="shared" si="26"/>
        <v/>
      </c>
      <c r="O198" s="29" t="str">
        <f t="shared" si="21"/>
        <v/>
      </c>
      <c r="P198" s="61"/>
      <c r="Q198" s="61"/>
      <c r="R198" s="61"/>
      <c r="S198" s="45"/>
      <c r="T198" s="29" t="str">
        <f t="shared" si="22"/>
        <v/>
      </c>
    </row>
    <row r="199" spans="1:20">
      <c r="A199" s="10" t="str">
        <f t="shared" si="27"/>
        <v/>
      </c>
      <c r="B199" s="63"/>
      <c r="C199" s="25" t="str">
        <f t="shared" si="23"/>
        <v/>
      </c>
      <c r="D199" s="25" t="str">
        <f t="shared" si="24"/>
        <v/>
      </c>
      <c r="E199" s="45"/>
      <c r="F199" s="28" t="str">
        <f>IFERROR(VLOOKUP(E199,Category!$D$2:$E$600,2,FALSE),"")</f>
        <v/>
      </c>
      <c r="G199" s="65"/>
      <c r="H199" s="56"/>
      <c r="I199" s="66"/>
      <c r="J199" s="67"/>
      <c r="K199" s="67"/>
      <c r="L199" s="67"/>
      <c r="M199" s="29" t="str">
        <f t="shared" si="25"/>
        <v/>
      </c>
      <c r="N199" s="29" t="str">
        <f t="shared" si="26"/>
        <v/>
      </c>
      <c r="O199" s="29" t="str">
        <f t="shared" si="21"/>
        <v/>
      </c>
      <c r="P199" s="61"/>
      <c r="Q199" s="61"/>
      <c r="R199" s="61"/>
      <c r="S199" s="45"/>
      <c r="T199" s="29" t="str">
        <f t="shared" si="22"/>
        <v/>
      </c>
    </row>
    <row r="200" spans="1:20">
      <c r="A200" s="10" t="str">
        <f t="shared" si="27"/>
        <v/>
      </c>
      <c r="B200" s="63"/>
      <c r="C200" s="25" t="str">
        <f t="shared" si="23"/>
        <v/>
      </c>
      <c r="D200" s="25" t="str">
        <f t="shared" si="24"/>
        <v/>
      </c>
      <c r="E200" s="45"/>
      <c r="F200" s="28" t="str">
        <f>IFERROR(VLOOKUP(E200,Category!$D$2:$E$600,2,FALSE),"")</f>
        <v/>
      </c>
      <c r="G200" s="65"/>
      <c r="H200" s="56"/>
      <c r="I200" s="66"/>
      <c r="J200" s="67"/>
      <c r="K200" s="67"/>
      <c r="L200" s="67"/>
      <c r="M200" s="29" t="str">
        <f t="shared" si="25"/>
        <v/>
      </c>
      <c r="N200" s="29" t="str">
        <f t="shared" si="26"/>
        <v/>
      </c>
      <c r="O200" s="29" t="str">
        <f t="shared" si="21"/>
        <v/>
      </c>
      <c r="P200" s="61"/>
      <c r="Q200" s="61"/>
      <c r="R200" s="61"/>
      <c r="S200" s="45"/>
      <c r="T200" s="29" t="str">
        <f t="shared" si="22"/>
        <v/>
      </c>
    </row>
    <row r="201" spans="1:20">
      <c r="A201" s="10" t="str">
        <f t="shared" si="27"/>
        <v/>
      </c>
      <c r="B201" s="63"/>
      <c r="C201" s="25" t="str">
        <f t="shared" si="23"/>
        <v/>
      </c>
      <c r="D201" s="25" t="str">
        <f t="shared" si="24"/>
        <v/>
      </c>
      <c r="E201" s="45"/>
      <c r="F201" s="28" t="str">
        <f>IFERROR(VLOOKUP(E201,Category!$D$2:$E$600,2,FALSE),"")</f>
        <v/>
      </c>
      <c r="G201" s="65"/>
      <c r="H201" s="56"/>
      <c r="I201" s="66"/>
      <c r="J201" s="67"/>
      <c r="K201" s="67"/>
      <c r="L201" s="67"/>
      <c r="M201" s="29" t="str">
        <f t="shared" si="25"/>
        <v/>
      </c>
      <c r="N201" s="29" t="str">
        <f t="shared" si="26"/>
        <v/>
      </c>
      <c r="O201" s="29" t="str">
        <f t="shared" si="21"/>
        <v/>
      </c>
      <c r="P201" s="61"/>
      <c r="Q201" s="61"/>
      <c r="R201" s="61"/>
      <c r="S201" s="45"/>
      <c r="T201" s="29" t="str">
        <f t="shared" si="22"/>
        <v/>
      </c>
    </row>
    <row r="202" spans="1:20">
      <c r="A202" s="10" t="str">
        <f t="shared" si="27"/>
        <v/>
      </c>
      <c r="B202" s="63"/>
      <c r="C202" s="25" t="str">
        <f t="shared" si="23"/>
        <v/>
      </c>
      <c r="D202" s="25" t="str">
        <f t="shared" si="24"/>
        <v/>
      </c>
      <c r="E202" s="45"/>
      <c r="F202" s="28" t="str">
        <f>IFERROR(VLOOKUP(E202,Category!$D$2:$E$600,2,FALSE),"")</f>
        <v/>
      </c>
      <c r="G202" s="65"/>
      <c r="H202" s="56"/>
      <c r="I202" s="66"/>
      <c r="J202" s="67"/>
      <c r="K202" s="67"/>
      <c r="L202" s="67"/>
      <c r="M202" s="29" t="str">
        <f t="shared" si="25"/>
        <v/>
      </c>
      <c r="N202" s="29" t="str">
        <f t="shared" si="26"/>
        <v/>
      </c>
      <c r="O202" s="29" t="str">
        <f t="shared" si="21"/>
        <v/>
      </c>
      <c r="P202" s="61"/>
      <c r="Q202" s="61"/>
      <c r="R202" s="61"/>
      <c r="S202" s="45"/>
      <c r="T202" s="29" t="str">
        <f t="shared" si="22"/>
        <v/>
      </c>
    </row>
    <row r="203" spans="1:20">
      <c r="A203" s="10" t="str">
        <f t="shared" si="27"/>
        <v/>
      </c>
      <c r="B203" s="63"/>
      <c r="C203" s="25" t="str">
        <f t="shared" si="23"/>
        <v/>
      </c>
      <c r="D203" s="25" t="str">
        <f t="shared" si="24"/>
        <v/>
      </c>
      <c r="E203" s="45"/>
      <c r="F203" s="28" t="str">
        <f>IFERROR(VLOOKUP(E203,Category!$D$2:$E$600,2,FALSE),"")</f>
        <v/>
      </c>
      <c r="G203" s="65"/>
      <c r="H203" s="56"/>
      <c r="I203" s="66"/>
      <c r="J203" s="67"/>
      <c r="K203" s="67"/>
      <c r="L203" s="67"/>
      <c r="M203" s="29" t="str">
        <f t="shared" si="25"/>
        <v/>
      </c>
      <c r="N203" s="29" t="str">
        <f t="shared" si="26"/>
        <v/>
      </c>
      <c r="O203" s="29" t="str">
        <f t="shared" si="21"/>
        <v/>
      </c>
      <c r="P203" s="61"/>
      <c r="Q203" s="61"/>
      <c r="R203" s="61"/>
      <c r="S203" s="45"/>
      <c r="T203" s="29" t="str">
        <f t="shared" si="22"/>
        <v/>
      </c>
    </row>
    <row r="204" spans="1:20">
      <c r="A204" s="10" t="str">
        <f t="shared" si="27"/>
        <v/>
      </c>
      <c r="B204" s="63"/>
      <c r="C204" s="25" t="str">
        <f t="shared" si="23"/>
        <v/>
      </c>
      <c r="D204" s="25" t="str">
        <f t="shared" si="24"/>
        <v/>
      </c>
      <c r="E204" s="45"/>
      <c r="F204" s="28" t="str">
        <f>IFERROR(VLOOKUP(E204,Category!$D$2:$E$600,2,FALSE),"")</f>
        <v/>
      </c>
      <c r="G204" s="65"/>
      <c r="H204" s="56"/>
      <c r="I204" s="66"/>
      <c r="J204" s="67"/>
      <c r="K204" s="67"/>
      <c r="L204" s="67"/>
      <c r="M204" s="29" t="str">
        <f t="shared" si="25"/>
        <v/>
      </c>
      <c r="N204" s="29" t="str">
        <f t="shared" si="26"/>
        <v/>
      </c>
      <c r="O204" s="29" t="str">
        <f t="shared" si="21"/>
        <v/>
      </c>
      <c r="P204" s="61"/>
      <c r="Q204" s="61"/>
      <c r="R204" s="61"/>
      <c r="S204" s="45"/>
      <c r="T204" s="29" t="str">
        <f t="shared" si="22"/>
        <v/>
      </c>
    </row>
    <row r="205" spans="1:20">
      <c r="A205" s="10" t="str">
        <f t="shared" si="27"/>
        <v/>
      </c>
      <c r="B205" s="63"/>
      <c r="C205" s="25" t="str">
        <f t="shared" si="23"/>
        <v/>
      </c>
      <c r="D205" s="25" t="str">
        <f t="shared" si="24"/>
        <v/>
      </c>
      <c r="E205" s="45"/>
      <c r="F205" s="28" t="str">
        <f>IFERROR(VLOOKUP(E205,Category!$D$2:$E$600,2,FALSE),"")</f>
        <v/>
      </c>
      <c r="G205" s="65"/>
      <c r="H205" s="56"/>
      <c r="I205" s="66"/>
      <c r="J205" s="67"/>
      <c r="K205" s="67"/>
      <c r="L205" s="67"/>
      <c r="M205" s="29" t="str">
        <f t="shared" si="25"/>
        <v/>
      </c>
      <c r="N205" s="29" t="str">
        <f t="shared" si="26"/>
        <v/>
      </c>
      <c r="O205" s="29" t="str">
        <f t="shared" si="21"/>
        <v/>
      </c>
      <c r="P205" s="61"/>
      <c r="Q205" s="61"/>
      <c r="R205" s="61"/>
      <c r="S205" s="45"/>
      <c r="T205" s="29" t="str">
        <f t="shared" si="22"/>
        <v/>
      </c>
    </row>
    <row r="206" spans="1:20">
      <c r="A206" s="10" t="str">
        <f t="shared" si="27"/>
        <v/>
      </c>
      <c r="B206" s="63"/>
      <c r="C206" s="25" t="str">
        <f t="shared" si="23"/>
        <v/>
      </c>
      <c r="D206" s="25" t="str">
        <f t="shared" si="24"/>
        <v/>
      </c>
      <c r="E206" s="45"/>
      <c r="F206" s="28" t="str">
        <f>IFERROR(VLOOKUP(E206,Category!$D$2:$E$600,2,FALSE),"")</f>
        <v/>
      </c>
      <c r="G206" s="65"/>
      <c r="H206" s="56"/>
      <c r="I206" s="66"/>
      <c r="J206" s="67"/>
      <c r="K206" s="67"/>
      <c r="L206" s="67"/>
      <c r="M206" s="29" t="str">
        <f t="shared" si="25"/>
        <v/>
      </c>
      <c r="N206" s="29" t="str">
        <f t="shared" si="26"/>
        <v/>
      </c>
      <c r="O206" s="29" t="str">
        <f t="shared" si="21"/>
        <v/>
      </c>
      <c r="P206" s="61"/>
      <c r="Q206" s="61"/>
      <c r="R206" s="61"/>
      <c r="S206" s="45"/>
      <c r="T206" s="29" t="str">
        <f t="shared" si="22"/>
        <v/>
      </c>
    </row>
    <row r="207" spans="1:20">
      <c r="A207" s="10" t="str">
        <f t="shared" si="27"/>
        <v/>
      </c>
      <c r="B207" s="63"/>
      <c r="C207" s="25" t="str">
        <f t="shared" si="23"/>
        <v/>
      </c>
      <c r="D207" s="25" t="str">
        <f t="shared" si="24"/>
        <v/>
      </c>
      <c r="E207" s="45"/>
      <c r="F207" s="28" t="str">
        <f>IFERROR(VLOOKUP(E207,Category!$D$2:$E$600,2,FALSE),"")</f>
        <v/>
      </c>
      <c r="G207" s="65"/>
      <c r="H207" s="56"/>
      <c r="I207" s="66"/>
      <c r="J207" s="67"/>
      <c r="K207" s="67"/>
      <c r="L207" s="67"/>
      <c r="M207" s="29" t="str">
        <f t="shared" si="25"/>
        <v/>
      </c>
      <c r="N207" s="29" t="str">
        <f t="shared" si="26"/>
        <v/>
      </c>
      <c r="O207" s="29" t="str">
        <f t="shared" si="21"/>
        <v/>
      </c>
      <c r="P207" s="61"/>
      <c r="Q207" s="61"/>
      <c r="R207" s="61"/>
      <c r="S207" s="45"/>
      <c r="T207" s="29" t="str">
        <f t="shared" si="22"/>
        <v/>
      </c>
    </row>
    <row r="208" spans="1:20">
      <c r="A208" s="10" t="str">
        <f t="shared" si="27"/>
        <v/>
      </c>
      <c r="B208" s="63"/>
      <c r="C208" s="25" t="str">
        <f t="shared" si="23"/>
        <v/>
      </c>
      <c r="D208" s="25" t="str">
        <f t="shared" si="24"/>
        <v/>
      </c>
      <c r="E208" s="45"/>
      <c r="F208" s="28" t="str">
        <f>IFERROR(VLOOKUP(E208,Category!$D$2:$E$600,2,FALSE),"")</f>
        <v/>
      </c>
      <c r="G208" s="65"/>
      <c r="H208" s="56"/>
      <c r="I208" s="66"/>
      <c r="J208" s="67"/>
      <c r="K208" s="67"/>
      <c r="L208" s="67"/>
      <c r="M208" s="29" t="str">
        <f t="shared" si="25"/>
        <v/>
      </c>
      <c r="N208" s="29" t="str">
        <f t="shared" si="26"/>
        <v/>
      </c>
      <c r="O208" s="29" t="str">
        <f t="shared" si="21"/>
        <v/>
      </c>
      <c r="P208" s="61"/>
      <c r="Q208" s="61"/>
      <c r="R208" s="61"/>
      <c r="S208" s="45"/>
      <c r="T208" s="29" t="str">
        <f t="shared" si="22"/>
        <v/>
      </c>
    </row>
    <row r="209" spans="1:20">
      <c r="A209" s="10" t="str">
        <f t="shared" si="27"/>
        <v/>
      </c>
      <c r="B209" s="63"/>
      <c r="C209" s="25" t="str">
        <f t="shared" si="23"/>
        <v/>
      </c>
      <c r="D209" s="25" t="str">
        <f t="shared" si="24"/>
        <v/>
      </c>
      <c r="E209" s="45"/>
      <c r="F209" s="28" t="str">
        <f>IFERROR(VLOOKUP(E209,Category!$D$2:$E$600,2,FALSE),"")</f>
        <v/>
      </c>
      <c r="G209" s="65"/>
      <c r="H209" s="56"/>
      <c r="I209" s="66"/>
      <c r="J209" s="67"/>
      <c r="K209" s="67"/>
      <c r="L209" s="67"/>
      <c r="M209" s="29" t="str">
        <f t="shared" si="25"/>
        <v/>
      </c>
      <c r="N209" s="29" t="str">
        <f t="shared" si="26"/>
        <v/>
      </c>
      <c r="O209" s="29" t="str">
        <f t="shared" si="21"/>
        <v/>
      </c>
      <c r="P209" s="61"/>
      <c r="Q209" s="61"/>
      <c r="R209" s="61"/>
      <c r="S209" s="45"/>
      <c r="T209" s="29" t="str">
        <f t="shared" si="22"/>
        <v/>
      </c>
    </row>
    <row r="210" spans="1:20">
      <c r="A210" s="10" t="str">
        <f t="shared" si="27"/>
        <v/>
      </c>
      <c r="B210" s="63"/>
      <c r="C210" s="25" t="str">
        <f t="shared" si="23"/>
        <v/>
      </c>
      <c r="D210" s="25" t="str">
        <f t="shared" si="24"/>
        <v/>
      </c>
      <c r="E210" s="45"/>
      <c r="F210" s="28" t="str">
        <f>IFERROR(VLOOKUP(E210,Category!$D$2:$E$600,2,FALSE),"")</f>
        <v/>
      </c>
      <c r="G210" s="65"/>
      <c r="H210" s="56"/>
      <c r="I210" s="66"/>
      <c r="J210" s="67"/>
      <c r="K210" s="67"/>
      <c r="L210" s="67"/>
      <c r="M210" s="29" t="str">
        <f t="shared" si="25"/>
        <v/>
      </c>
      <c r="N210" s="29" t="str">
        <f t="shared" si="26"/>
        <v/>
      </c>
      <c r="O210" s="29" t="str">
        <f t="shared" si="21"/>
        <v/>
      </c>
      <c r="P210" s="61"/>
      <c r="Q210" s="61"/>
      <c r="R210" s="61"/>
      <c r="S210" s="45"/>
      <c r="T210" s="29" t="str">
        <f t="shared" si="22"/>
        <v/>
      </c>
    </row>
    <row r="211" spans="1:20">
      <c r="A211" s="10" t="str">
        <f t="shared" si="27"/>
        <v/>
      </c>
      <c r="B211" s="63"/>
      <c r="C211" s="25" t="str">
        <f t="shared" si="23"/>
        <v/>
      </c>
      <c r="D211" s="25" t="str">
        <f t="shared" si="24"/>
        <v/>
      </c>
      <c r="E211" s="45"/>
      <c r="F211" s="28" t="str">
        <f>IFERROR(VLOOKUP(E211,Category!$D$2:$E$600,2,FALSE),"")</f>
        <v/>
      </c>
      <c r="G211" s="65"/>
      <c r="H211" s="56"/>
      <c r="I211" s="66"/>
      <c r="J211" s="67"/>
      <c r="K211" s="67"/>
      <c r="L211" s="67"/>
      <c r="M211" s="29" t="str">
        <f t="shared" si="25"/>
        <v/>
      </c>
      <c r="N211" s="29" t="str">
        <f t="shared" si="26"/>
        <v/>
      </c>
      <c r="O211" s="29" t="str">
        <f t="shared" si="21"/>
        <v/>
      </c>
      <c r="P211" s="61"/>
      <c r="Q211" s="61"/>
      <c r="R211" s="61"/>
      <c r="S211" s="45"/>
      <c r="T211" s="29" t="str">
        <f t="shared" si="22"/>
        <v/>
      </c>
    </row>
    <row r="212" spans="1:20">
      <c r="A212" s="10" t="str">
        <f t="shared" si="27"/>
        <v/>
      </c>
      <c r="B212" s="63"/>
      <c r="C212" s="25" t="str">
        <f t="shared" si="23"/>
        <v/>
      </c>
      <c r="D212" s="25" t="str">
        <f t="shared" si="24"/>
        <v/>
      </c>
      <c r="E212" s="45"/>
      <c r="F212" s="28" t="str">
        <f>IFERROR(VLOOKUP(E212,Category!$D$2:$E$600,2,FALSE),"")</f>
        <v/>
      </c>
      <c r="G212" s="65"/>
      <c r="H212" s="56"/>
      <c r="I212" s="66"/>
      <c r="J212" s="67"/>
      <c r="K212" s="67"/>
      <c r="L212" s="67"/>
      <c r="M212" s="29" t="str">
        <f t="shared" si="25"/>
        <v/>
      </c>
      <c r="N212" s="29" t="str">
        <f t="shared" si="26"/>
        <v/>
      </c>
      <c r="O212" s="29" t="str">
        <f t="shared" si="21"/>
        <v/>
      </c>
      <c r="P212" s="61"/>
      <c r="Q212" s="61"/>
      <c r="R212" s="61"/>
      <c r="S212" s="45"/>
      <c r="T212" s="29" t="str">
        <f t="shared" si="22"/>
        <v/>
      </c>
    </row>
    <row r="213" spans="1:20">
      <c r="A213" s="10" t="str">
        <f t="shared" si="27"/>
        <v/>
      </c>
      <c r="B213" s="63"/>
      <c r="C213" s="25" t="str">
        <f t="shared" si="23"/>
        <v/>
      </c>
      <c r="D213" s="25" t="str">
        <f t="shared" si="24"/>
        <v/>
      </c>
      <c r="E213" s="45"/>
      <c r="F213" s="28" t="str">
        <f>IFERROR(VLOOKUP(E213,Category!$D$2:$E$600,2,FALSE),"")</f>
        <v/>
      </c>
      <c r="G213" s="65"/>
      <c r="H213" s="56"/>
      <c r="I213" s="66"/>
      <c r="J213" s="67"/>
      <c r="K213" s="67"/>
      <c r="L213" s="67"/>
      <c r="M213" s="29" t="str">
        <f t="shared" si="25"/>
        <v/>
      </c>
      <c r="N213" s="29" t="str">
        <f t="shared" si="26"/>
        <v/>
      </c>
      <c r="O213" s="29" t="str">
        <f t="shared" si="21"/>
        <v/>
      </c>
      <c r="P213" s="61"/>
      <c r="Q213" s="61"/>
      <c r="R213" s="61"/>
      <c r="S213" s="45"/>
      <c r="T213" s="29" t="str">
        <f t="shared" si="22"/>
        <v/>
      </c>
    </row>
    <row r="214" spans="1:20">
      <c r="A214" s="10" t="str">
        <f t="shared" si="27"/>
        <v/>
      </c>
      <c r="B214" s="63"/>
      <c r="C214" s="25" t="str">
        <f t="shared" si="23"/>
        <v/>
      </c>
      <c r="D214" s="25" t="str">
        <f t="shared" si="24"/>
        <v/>
      </c>
      <c r="E214" s="45"/>
      <c r="F214" s="28" t="str">
        <f>IFERROR(VLOOKUP(E214,Category!$D$2:$E$600,2,FALSE),"")</f>
        <v/>
      </c>
      <c r="G214" s="65"/>
      <c r="H214" s="56"/>
      <c r="I214" s="66"/>
      <c r="J214" s="67"/>
      <c r="K214" s="67"/>
      <c r="L214" s="67"/>
      <c r="M214" s="29" t="str">
        <f t="shared" si="25"/>
        <v/>
      </c>
      <c r="N214" s="29" t="str">
        <f t="shared" si="26"/>
        <v/>
      </c>
      <c r="O214" s="29" t="str">
        <f t="shared" si="21"/>
        <v/>
      </c>
      <c r="P214" s="61"/>
      <c r="Q214" s="61"/>
      <c r="R214" s="61"/>
      <c r="S214" s="45"/>
      <c r="T214" s="29" t="str">
        <f t="shared" si="22"/>
        <v/>
      </c>
    </row>
    <row r="215" spans="1:20">
      <c r="A215" s="10" t="str">
        <f t="shared" si="27"/>
        <v/>
      </c>
      <c r="B215" s="63"/>
      <c r="C215" s="25" t="str">
        <f t="shared" si="23"/>
        <v/>
      </c>
      <c r="D215" s="25" t="str">
        <f t="shared" si="24"/>
        <v/>
      </c>
      <c r="E215" s="45"/>
      <c r="F215" s="28" t="str">
        <f>IFERROR(VLOOKUP(E215,Category!$D$2:$E$600,2,FALSE),"")</f>
        <v/>
      </c>
      <c r="G215" s="65"/>
      <c r="H215" s="56"/>
      <c r="I215" s="66"/>
      <c r="J215" s="67"/>
      <c r="K215" s="67"/>
      <c r="L215" s="67"/>
      <c r="M215" s="29" t="str">
        <f t="shared" si="25"/>
        <v/>
      </c>
      <c r="N215" s="29" t="str">
        <f t="shared" si="26"/>
        <v/>
      </c>
      <c r="O215" s="29" t="str">
        <f t="shared" si="21"/>
        <v/>
      </c>
      <c r="P215" s="61"/>
      <c r="Q215" s="61"/>
      <c r="R215" s="61"/>
      <c r="S215" s="45"/>
      <c r="T215" s="29" t="str">
        <f t="shared" si="22"/>
        <v/>
      </c>
    </row>
    <row r="216" spans="1:20">
      <c r="A216" s="10" t="str">
        <f t="shared" si="27"/>
        <v/>
      </c>
      <c r="B216" s="63"/>
      <c r="C216" s="25" t="str">
        <f t="shared" si="23"/>
        <v/>
      </c>
      <c r="D216" s="25" t="str">
        <f t="shared" si="24"/>
        <v/>
      </c>
      <c r="E216" s="45"/>
      <c r="F216" s="28" t="str">
        <f>IFERROR(VLOOKUP(E216,Category!$D$2:$E$600,2,FALSE),"")</f>
        <v/>
      </c>
      <c r="G216" s="65"/>
      <c r="H216" s="56"/>
      <c r="I216" s="66"/>
      <c r="J216" s="67"/>
      <c r="K216" s="67"/>
      <c r="L216" s="67"/>
      <c r="M216" s="29" t="str">
        <f t="shared" si="25"/>
        <v/>
      </c>
      <c r="N216" s="29" t="str">
        <f t="shared" si="26"/>
        <v/>
      </c>
      <c r="O216" s="29" t="str">
        <f t="shared" si="21"/>
        <v/>
      </c>
      <c r="P216" s="61"/>
      <c r="Q216" s="61"/>
      <c r="R216" s="61"/>
      <c r="S216" s="45"/>
      <c r="T216" s="29" t="str">
        <f t="shared" si="22"/>
        <v/>
      </c>
    </row>
    <row r="217" spans="1:20">
      <c r="A217" s="10" t="str">
        <f t="shared" si="27"/>
        <v/>
      </c>
      <c r="B217" s="63"/>
      <c r="C217" s="25" t="str">
        <f t="shared" si="23"/>
        <v/>
      </c>
      <c r="D217" s="25" t="str">
        <f t="shared" si="24"/>
        <v/>
      </c>
      <c r="E217" s="45"/>
      <c r="F217" s="28" t="str">
        <f>IFERROR(VLOOKUP(E217,Category!$D$2:$E$600,2,FALSE),"")</f>
        <v/>
      </c>
      <c r="G217" s="65"/>
      <c r="H217" s="56"/>
      <c r="I217" s="66"/>
      <c r="J217" s="67"/>
      <c r="K217" s="67"/>
      <c r="L217" s="67"/>
      <c r="M217" s="29" t="str">
        <f t="shared" si="25"/>
        <v/>
      </c>
      <c r="N217" s="29" t="str">
        <f t="shared" si="26"/>
        <v/>
      </c>
      <c r="O217" s="29" t="str">
        <f t="shared" si="21"/>
        <v/>
      </c>
      <c r="P217" s="61"/>
      <c r="Q217" s="61"/>
      <c r="R217" s="61"/>
      <c r="S217" s="45"/>
      <c r="T217" s="29" t="str">
        <f t="shared" si="22"/>
        <v/>
      </c>
    </row>
    <row r="218" spans="1:20">
      <c r="A218" s="10" t="str">
        <f t="shared" si="27"/>
        <v/>
      </c>
      <c r="B218" s="63"/>
      <c r="C218" s="25" t="str">
        <f t="shared" si="23"/>
        <v/>
      </c>
      <c r="D218" s="25" t="str">
        <f t="shared" si="24"/>
        <v/>
      </c>
      <c r="E218" s="45"/>
      <c r="F218" s="28" t="str">
        <f>IFERROR(VLOOKUP(E218,Category!$D$2:$E$600,2,FALSE),"")</f>
        <v/>
      </c>
      <c r="G218" s="65"/>
      <c r="H218" s="56"/>
      <c r="I218" s="66"/>
      <c r="J218" s="67"/>
      <c r="K218" s="67"/>
      <c r="L218" s="67"/>
      <c r="M218" s="29" t="str">
        <f t="shared" si="25"/>
        <v/>
      </c>
      <c r="N218" s="29" t="str">
        <f t="shared" si="26"/>
        <v/>
      </c>
      <c r="O218" s="29" t="str">
        <f t="shared" si="21"/>
        <v/>
      </c>
      <c r="P218" s="61"/>
      <c r="Q218" s="61"/>
      <c r="R218" s="61"/>
      <c r="S218" s="45"/>
      <c r="T218" s="29" t="str">
        <f t="shared" si="22"/>
        <v/>
      </c>
    </row>
    <row r="219" spans="1:20">
      <c r="A219" s="10" t="str">
        <f t="shared" si="27"/>
        <v/>
      </c>
      <c r="B219" s="63"/>
      <c r="C219" s="25" t="str">
        <f t="shared" si="23"/>
        <v/>
      </c>
      <c r="D219" s="25" t="str">
        <f t="shared" si="24"/>
        <v/>
      </c>
      <c r="E219" s="45"/>
      <c r="F219" s="28" t="str">
        <f>IFERROR(VLOOKUP(E219,Category!$D$2:$E$600,2,FALSE),"")</f>
        <v/>
      </c>
      <c r="G219" s="65"/>
      <c r="H219" s="56"/>
      <c r="I219" s="66"/>
      <c r="J219" s="67"/>
      <c r="K219" s="67"/>
      <c r="L219" s="67"/>
      <c r="M219" s="29" t="str">
        <f t="shared" si="25"/>
        <v/>
      </c>
      <c r="N219" s="29" t="str">
        <f t="shared" si="26"/>
        <v/>
      </c>
      <c r="O219" s="29" t="str">
        <f t="shared" si="21"/>
        <v/>
      </c>
      <c r="P219" s="61"/>
      <c r="Q219" s="61"/>
      <c r="R219" s="61"/>
      <c r="S219" s="45"/>
      <c r="T219" s="29" t="str">
        <f t="shared" si="22"/>
        <v/>
      </c>
    </row>
    <row r="220" spans="1:20">
      <c r="A220" s="10" t="str">
        <f t="shared" si="27"/>
        <v/>
      </c>
      <c r="B220" s="63"/>
      <c r="C220" s="25" t="str">
        <f t="shared" si="23"/>
        <v/>
      </c>
      <c r="D220" s="25" t="str">
        <f t="shared" si="24"/>
        <v/>
      </c>
      <c r="E220" s="45"/>
      <c r="F220" s="28" t="str">
        <f>IFERROR(VLOOKUP(E220,Category!$D$2:$E$600,2,FALSE),"")</f>
        <v/>
      </c>
      <c r="G220" s="65"/>
      <c r="H220" s="56"/>
      <c r="I220" s="66"/>
      <c r="J220" s="67"/>
      <c r="K220" s="67"/>
      <c r="L220" s="67"/>
      <c r="M220" s="29" t="str">
        <f t="shared" si="25"/>
        <v/>
      </c>
      <c r="N220" s="29" t="str">
        <f t="shared" si="26"/>
        <v/>
      </c>
      <c r="O220" s="29" t="str">
        <f t="shared" si="21"/>
        <v/>
      </c>
      <c r="P220" s="61"/>
      <c r="Q220" s="61"/>
      <c r="R220" s="61"/>
      <c r="S220" s="45"/>
      <c r="T220" s="29" t="str">
        <f t="shared" si="22"/>
        <v/>
      </c>
    </row>
    <row r="221" spans="1:20">
      <c r="A221" s="10" t="str">
        <f t="shared" si="27"/>
        <v/>
      </c>
      <c r="B221" s="63"/>
      <c r="C221" s="25" t="str">
        <f t="shared" si="23"/>
        <v/>
      </c>
      <c r="D221" s="25" t="str">
        <f t="shared" si="24"/>
        <v/>
      </c>
      <c r="E221" s="45"/>
      <c r="F221" s="28" t="str">
        <f>IFERROR(VLOOKUP(E221,Category!$D$2:$E$600,2,FALSE),"")</f>
        <v/>
      </c>
      <c r="G221" s="65"/>
      <c r="H221" s="56"/>
      <c r="I221" s="66"/>
      <c r="J221" s="67"/>
      <c r="K221" s="67"/>
      <c r="L221" s="67"/>
      <c r="M221" s="29" t="str">
        <f t="shared" si="25"/>
        <v/>
      </c>
      <c r="N221" s="29" t="str">
        <f t="shared" si="26"/>
        <v/>
      </c>
      <c r="O221" s="29" t="str">
        <f t="shared" si="21"/>
        <v/>
      </c>
      <c r="P221" s="61"/>
      <c r="Q221" s="61"/>
      <c r="R221" s="61"/>
      <c r="S221" s="45"/>
      <c r="T221" s="29" t="str">
        <f t="shared" si="22"/>
        <v/>
      </c>
    </row>
    <row r="222" spans="1:20">
      <c r="A222" s="10" t="str">
        <f t="shared" si="27"/>
        <v/>
      </c>
      <c r="B222" s="63"/>
      <c r="C222" s="25" t="str">
        <f t="shared" si="23"/>
        <v/>
      </c>
      <c r="D222" s="25" t="str">
        <f t="shared" si="24"/>
        <v/>
      </c>
      <c r="E222" s="45"/>
      <c r="F222" s="28" t="str">
        <f>IFERROR(VLOOKUP(E222,Category!$D$2:$E$600,2,FALSE),"")</f>
        <v/>
      </c>
      <c r="G222" s="65"/>
      <c r="H222" s="56"/>
      <c r="I222" s="66"/>
      <c r="J222" s="67"/>
      <c r="K222" s="67"/>
      <c r="L222" s="67"/>
      <c r="M222" s="29" t="str">
        <f t="shared" si="25"/>
        <v/>
      </c>
      <c r="N222" s="29" t="str">
        <f t="shared" si="26"/>
        <v/>
      </c>
      <c r="O222" s="29" t="str">
        <f t="shared" si="21"/>
        <v/>
      </c>
      <c r="P222" s="61"/>
      <c r="Q222" s="61"/>
      <c r="R222" s="61"/>
      <c r="S222" s="45"/>
      <c r="T222" s="29" t="str">
        <f t="shared" si="22"/>
        <v/>
      </c>
    </row>
    <row r="223" spans="1:20">
      <c r="A223" s="10" t="str">
        <f t="shared" si="27"/>
        <v/>
      </c>
      <c r="B223" s="63"/>
      <c r="C223" s="25" t="str">
        <f t="shared" si="23"/>
        <v/>
      </c>
      <c r="D223" s="25" t="str">
        <f t="shared" si="24"/>
        <v/>
      </c>
      <c r="E223" s="45"/>
      <c r="F223" s="28" t="str">
        <f>IFERROR(VLOOKUP(E223,Category!$D$2:$E$600,2,FALSE),"")</f>
        <v/>
      </c>
      <c r="G223" s="65"/>
      <c r="H223" s="56"/>
      <c r="I223" s="66"/>
      <c r="J223" s="67"/>
      <c r="K223" s="67"/>
      <c r="L223" s="67"/>
      <c r="M223" s="29" t="str">
        <f t="shared" si="25"/>
        <v/>
      </c>
      <c r="N223" s="29" t="str">
        <f t="shared" si="26"/>
        <v/>
      </c>
      <c r="O223" s="29" t="str">
        <f t="shared" si="21"/>
        <v/>
      </c>
      <c r="P223" s="61"/>
      <c r="Q223" s="61"/>
      <c r="R223" s="61"/>
      <c r="S223" s="45"/>
      <c r="T223" s="29" t="str">
        <f t="shared" si="22"/>
        <v/>
      </c>
    </row>
    <row r="224" spans="1:20">
      <c r="A224" s="10" t="str">
        <f t="shared" si="27"/>
        <v/>
      </c>
      <c r="B224" s="63"/>
      <c r="C224" s="25" t="str">
        <f t="shared" si="23"/>
        <v/>
      </c>
      <c r="D224" s="25" t="str">
        <f t="shared" si="24"/>
        <v/>
      </c>
      <c r="E224" s="45"/>
      <c r="F224" s="28" t="str">
        <f>IFERROR(VLOOKUP(E224,Category!$D$2:$E$600,2,FALSE),"")</f>
        <v/>
      </c>
      <c r="G224" s="65"/>
      <c r="H224" s="56"/>
      <c r="I224" s="66"/>
      <c r="J224" s="67"/>
      <c r="K224" s="67"/>
      <c r="L224" s="67"/>
      <c r="M224" s="29" t="str">
        <f t="shared" si="25"/>
        <v/>
      </c>
      <c r="N224" s="29" t="str">
        <f t="shared" si="26"/>
        <v/>
      </c>
      <c r="O224" s="29" t="str">
        <f t="shared" si="21"/>
        <v/>
      </c>
      <c r="P224" s="61"/>
      <c r="Q224" s="61"/>
      <c r="R224" s="61"/>
      <c r="S224" s="45"/>
      <c r="T224" s="29" t="str">
        <f t="shared" si="22"/>
        <v/>
      </c>
    </row>
    <row r="225" spans="1:20">
      <c r="A225" s="10" t="str">
        <f t="shared" si="27"/>
        <v/>
      </c>
      <c r="B225" s="63"/>
      <c r="C225" s="25" t="str">
        <f t="shared" si="23"/>
        <v/>
      </c>
      <c r="D225" s="25" t="str">
        <f t="shared" si="24"/>
        <v/>
      </c>
      <c r="E225" s="45"/>
      <c r="F225" s="28" t="str">
        <f>IFERROR(VLOOKUP(E225,Category!$D$2:$E$600,2,FALSE),"")</f>
        <v/>
      </c>
      <c r="G225" s="65"/>
      <c r="H225" s="56"/>
      <c r="I225" s="66"/>
      <c r="J225" s="67"/>
      <c r="K225" s="67"/>
      <c r="L225" s="67"/>
      <c r="M225" s="29" t="str">
        <f t="shared" si="25"/>
        <v/>
      </c>
      <c r="N225" s="29" t="str">
        <f t="shared" si="26"/>
        <v/>
      </c>
      <c r="O225" s="29" t="str">
        <f t="shared" si="21"/>
        <v/>
      </c>
      <c r="P225" s="61"/>
      <c r="Q225" s="61"/>
      <c r="R225" s="61"/>
      <c r="S225" s="45"/>
      <c r="T225" s="29" t="str">
        <f t="shared" si="22"/>
        <v/>
      </c>
    </row>
    <row r="226" spans="1:20">
      <c r="A226" s="10" t="str">
        <f t="shared" si="27"/>
        <v/>
      </c>
      <c r="B226" s="63"/>
      <c r="C226" s="25" t="str">
        <f t="shared" si="23"/>
        <v/>
      </c>
      <c r="D226" s="25" t="str">
        <f t="shared" si="24"/>
        <v/>
      </c>
      <c r="E226" s="45"/>
      <c r="F226" s="28" t="str">
        <f>IFERROR(VLOOKUP(E226,Category!$D$2:$E$600,2,FALSE),"")</f>
        <v/>
      </c>
      <c r="G226" s="65"/>
      <c r="H226" s="56"/>
      <c r="I226" s="66"/>
      <c r="J226" s="67"/>
      <c r="K226" s="67"/>
      <c r="L226" s="67"/>
      <c r="M226" s="29" t="str">
        <f t="shared" si="25"/>
        <v/>
      </c>
      <c r="N226" s="29" t="str">
        <f t="shared" si="26"/>
        <v/>
      </c>
      <c r="O226" s="29" t="str">
        <f t="shared" si="21"/>
        <v/>
      </c>
      <c r="P226" s="61"/>
      <c r="Q226" s="61"/>
      <c r="R226" s="61"/>
      <c r="S226" s="45"/>
      <c r="T226" s="29" t="str">
        <f t="shared" si="22"/>
        <v/>
      </c>
    </row>
    <row r="227" spans="1:20">
      <c r="A227" s="10" t="str">
        <f t="shared" si="27"/>
        <v/>
      </c>
      <c r="B227" s="63"/>
      <c r="C227" s="25" t="str">
        <f t="shared" si="23"/>
        <v/>
      </c>
      <c r="D227" s="25" t="str">
        <f t="shared" si="24"/>
        <v/>
      </c>
      <c r="E227" s="45"/>
      <c r="F227" s="28" t="str">
        <f>IFERROR(VLOOKUP(E227,Category!$D$2:$E$600,2,FALSE),"")</f>
        <v/>
      </c>
      <c r="G227" s="65"/>
      <c r="H227" s="56"/>
      <c r="I227" s="66"/>
      <c r="J227" s="67"/>
      <c r="K227" s="67"/>
      <c r="L227" s="67"/>
      <c r="M227" s="29" t="str">
        <f t="shared" si="25"/>
        <v/>
      </c>
      <c r="N227" s="29" t="str">
        <f t="shared" si="26"/>
        <v/>
      </c>
      <c r="O227" s="29" t="str">
        <f t="shared" si="21"/>
        <v/>
      </c>
      <c r="P227" s="61"/>
      <c r="Q227" s="61"/>
      <c r="R227" s="61"/>
      <c r="S227" s="45"/>
      <c r="T227" s="29" t="str">
        <f t="shared" si="22"/>
        <v/>
      </c>
    </row>
    <row r="228" spans="1:20">
      <c r="A228" s="10" t="str">
        <f t="shared" si="27"/>
        <v/>
      </c>
      <c r="B228" s="63"/>
      <c r="C228" s="25" t="str">
        <f t="shared" si="23"/>
        <v/>
      </c>
      <c r="D228" s="25" t="str">
        <f t="shared" si="24"/>
        <v/>
      </c>
      <c r="E228" s="45"/>
      <c r="F228" s="28" t="str">
        <f>IFERROR(VLOOKUP(E228,Category!$D$2:$E$600,2,FALSE),"")</f>
        <v/>
      </c>
      <c r="G228" s="65"/>
      <c r="H228" s="56"/>
      <c r="I228" s="66"/>
      <c r="J228" s="67"/>
      <c r="K228" s="67"/>
      <c r="L228" s="67"/>
      <c r="M228" s="29" t="str">
        <f t="shared" si="25"/>
        <v/>
      </c>
      <c r="N228" s="29" t="str">
        <f t="shared" si="26"/>
        <v/>
      </c>
      <c r="O228" s="29" t="str">
        <f t="shared" si="21"/>
        <v/>
      </c>
      <c r="P228" s="61"/>
      <c r="Q228" s="61"/>
      <c r="R228" s="61"/>
      <c r="S228" s="45"/>
      <c r="T228" s="29" t="str">
        <f t="shared" si="22"/>
        <v/>
      </c>
    </row>
    <row r="229" spans="1:20">
      <c r="A229" s="10" t="str">
        <f t="shared" si="27"/>
        <v/>
      </c>
      <c r="B229" s="63"/>
      <c r="C229" s="25" t="str">
        <f t="shared" si="23"/>
        <v/>
      </c>
      <c r="D229" s="25" t="str">
        <f t="shared" si="24"/>
        <v/>
      </c>
      <c r="E229" s="45"/>
      <c r="F229" s="28" t="str">
        <f>IFERROR(VLOOKUP(E229,Category!$D$2:$E$600,2,FALSE),"")</f>
        <v/>
      </c>
      <c r="G229" s="65"/>
      <c r="H229" s="56"/>
      <c r="I229" s="66"/>
      <c r="J229" s="67"/>
      <c r="K229" s="67"/>
      <c r="L229" s="67"/>
      <c r="M229" s="29" t="str">
        <f t="shared" si="25"/>
        <v/>
      </c>
      <c r="N229" s="29" t="str">
        <f t="shared" si="26"/>
        <v/>
      </c>
      <c r="O229" s="29" t="str">
        <f t="shared" si="21"/>
        <v/>
      </c>
      <c r="P229" s="61"/>
      <c r="Q229" s="61"/>
      <c r="R229" s="61"/>
      <c r="S229" s="45"/>
      <c r="T229" s="29" t="str">
        <f t="shared" si="22"/>
        <v/>
      </c>
    </row>
    <row r="230" spans="1:20">
      <c r="A230" s="10" t="str">
        <f t="shared" si="27"/>
        <v/>
      </c>
      <c r="B230" s="63"/>
      <c r="C230" s="25" t="str">
        <f t="shared" si="23"/>
        <v/>
      </c>
      <c r="D230" s="25" t="str">
        <f t="shared" si="24"/>
        <v/>
      </c>
      <c r="E230" s="45"/>
      <c r="F230" s="28" t="str">
        <f>IFERROR(VLOOKUP(E230,Category!$D$2:$E$600,2,FALSE),"")</f>
        <v/>
      </c>
      <c r="G230" s="65"/>
      <c r="H230" s="56"/>
      <c r="I230" s="66"/>
      <c r="J230" s="67"/>
      <c r="K230" s="67"/>
      <c r="L230" s="67"/>
      <c r="M230" s="29" t="str">
        <f t="shared" si="25"/>
        <v/>
      </c>
      <c r="N230" s="29" t="str">
        <f t="shared" si="26"/>
        <v/>
      </c>
      <c r="O230" s="29" t="str">
        <f t="shared" si="21"/>
        <v/>
      </c>
      <c r="P230" s="61"/>
      <c r="Q230" s="61"/>
      <c r="R230" s="61"/>
      <c r="S230" s="45"/>
      <c r="T230" s="29" t="str">
        <f t="shared" si="22"/>
        <v/>
      </c>
    </row>
    <row r="231" spans="1:20">
      <c r="A231" s="10" t="str">
        <f t="shared" si="27"/>
        <v/>
      </c>
      <c r="B231" s="63"/>
      <c r="C231" s="25" t="str">
        <f t="shared" si="23"/>
        <v/>
      </c>
      <c r="D231" s="25" t="str">
        <f t="shared" si="24"/>
        <v/>
      </c>
      <c r="E231" s="45"/>
      <c r="F231" s="28" t="str">
        <f>IFERROR(VLOOKUP(E231,Category!$D$2:$E$600,2,FALSE),"")</f>
        <v/>
      </c>
      <c r="G231" s="65"/>
      <c r="H231" s="56"/>
      <c r="I231" s="66"/>
      <c r="J231" s="67"/>
      <c r="K231" s="67"/>
      <c r="L231" s="67"/>
      <c r="M231" s="29" t="str">
        <f t="shared" si="25"/>
        <v/>
      </c>
      <c r="N231" s="29" t="str">
        <f t="shared" si="26"/>
        <v/>
      </c>
      <c r="O231" s="29" t="str">
        <f t="shared" si="21"/>
        <v/>
      </c>
      <c r="P231" s="61"/>
      <c r="Q231" s="61"/>
      <c r="R231" s="61"/>
      <c r="S231" s="45"/>
      <c r="T231" s="29" t="str">
        <f t="shared" si="22"/>
        <v/>
      </c>
    </row>
    <row r="232" spans="1:20">
      <c r="A232" s="10" t="str">
        <f t="shared" si="27"/>
        <v/>
      </c>
      <c r="B232" s="63"/>
      <c r="C232" s="25" t="str">
        <f t="shared" si="23"/>
        <v/>
      </c>
      <c r="D232" s="25" t="str">
        <f t="shared" si="24"/>
        <v/>
      </c>
      <c r="E232" s="45"/>
      <c r="F232" s="28" t="str">
        <f>IFERROR(VLOOKUP(E232,Category!$D$2:$E$600,2,FALSE),"")</f>
        <v/>
      </c>
      <c r="G232" s="65"/>
      <c r="H232" s="56"/>
      <c r="I232" s="66"/>
      <c r="J232" s="67"/>
      <c r="K232" s="67"/>
      <c r="L232" s="67"/>
      <c r="M232" s="29" t="str">
        <f t="shared" si="25"/>
        <v/>
      </c>
      <c r="N232" s="29" t="str">
        <f t="shared" si="26"/>
        <v/>
      </c>
      <c r="O232" s="29" t="str">
        <f t="shared" si="21"/>
        <v/>
      </c>
      <c r="P232" s="61"/>
      <c r="Q232" s="61"/>
      <c r="R232" s="61"/>
      <c r="S232" s="45"/>
      <c r="T232" s="29" t="str">
        <f t="shared" si="22"/>
        <v/>
      </c>
    </row>
    <row r="233" spans="1:20">
      <c r="A233" s="10" t="str">
        <f t="shared" si="27"/>
        <v/>
      </c>
      <c r="B233" s="63"/>
      <c r="C233" s="25" t="str">
        <f t="shared" si="23"/>
        <v/>
      </c>
      <c r="D233" s="25" t="str">
        <f t="shared" si="24"/>
        <v/>
      </c>
      <c r="E233" s="45"/>
      <c r="F233" s="28" t="str">
        <f>IFERROR(VLOOKUP(E233,Category!$D$2:$E$600,2,FALSE),"")</f>
        <v/>
      </c>
      <c r="G233" s="65"/>
      <c r="H233" s="56"/>
      <c r="I233" s="66"/>
      <c r="J233" s="67"/>
      <c r="K233" s="67"/>
      <c r="L233" s="67"/>
      <c r="M233" s="29" t="str">
        <f t="shared" si="25"/>
        <v/>
      </c>
      <c r="N233" s="29" t="str">
        <f t="shared" si="26"/>
        <v/>
      </c>
      <c r="O233" s="29" t="str">
        <f t="shared" si="21"/>
        <v/>
      </c>
      <c r="P233" s="61"/>
      <c r="Q233" s="61"/>
      <c r="R233" s="61"/>
      <c r="S233" s="45"/>
      <c r="T233" s="29" t="str">
        <f t="shared" si="22"/>
        <v/>
      </c>
    </row>
    <row r="234" spans="1:20">
      <c r="A234" s="10" t="str">
        <f t="shared" si="27"/>
        <v/>
      </c>
      <c r="B234" s="63"/>
      <c r="C234" s="25" t="str">
        <f t="shared" si="23"/>
        <v/>
      </c>
      <c r="D234" s="25" t="str">
        <f t="shared" si="24"/>
        <v/>
      </c>
      <c r="E234" s="45"/>
      <c r="F234" s="28" t="str">
        <f>IFERROR(VLOOKUP(E234,Category!$D$2:$E$600,2,FALSE),"")</f>
        <v/>
      </c>
      <c r="G234" s="65"/>
      <c r="H234" s="56"/>
      <c r="I234" s="66"/>
      <c r="J234" s="67"/>
      <c r="K234" s="67"/>
      <c r="L234" s="67"/>
      <c r="M234" s="29" t="str">
        <f t="shared" si="25"/>
        <v/>
      </c>
      <c r="N234" s="29" t="str">
        <f t="shared" si="26"/>
        <v/>
      </c>
      <c r="O234" s="29" t="str">
        <f t="shared" si="21"/>
        <v/>
      </c>
      <c r="P234" s="61"/>
      <c r="Q234" s="61"/>
      <c r="R234" s="61"/>
      <c r="S234" s="45"/>
      <c r="T234" s="29" t="str">
        <f t="shared" si="22"/>
        <v/>
      </c>
    </row>
    <row r="235" spans="1:20">
      <c r="A235" s="10" t="str">
        <f t="shared" si="27"/>
        <v/>
      </c>
      <c r="B235" s="63"/>
      <c r="C235" s="25" t="str">
        <f t="shared" si="23"/>
        <v/>
      </c>
      <c r="D235" s="25" t="str">
        <f t="shared" si="24"/>
        <v/>
      </c>
      <c r="E235" s="45"/>
      <c r="F235" s="28" t="str">
        <f>IFERROR(VLOOKUP(E235,Category!$D$2:$E$600,2,FALSE),"")</f>
        <v/>
      </c>
      <c r="G235" s="65"/>
      <c r="H235" s="56"/>
      <c r="I235" s="66"/>
      <c r="J235" s="67"/>
      <c r="K235" s="67"/>
      <c r="L235" s="67"/>
      <c r="M235" s="29" t="str">
        <f t="shared" si="25"/>
        <v/>
      </c>
      <c r="N235" s="29" t="str">
        <f t="shared" si="26"/>
        <v/>
      </c>
      <c r="O235" s="29" t="str">
        <f t="shared" si="21"/>
        <v/>
      </c>
      <c r="P235" s="61"/>
      <c r="Q235" s="61"/>
      <c r="R235" s="61"/>
      <c r="S235" s="45"/>
      <c r="T235" s="29" t="str">
        <f t="shared" si="22"/>
        <v/>
      </c>
    </row>
    <row r="236" spans="1:20">
      <c r="A236" s="10" t="str">
        <f t="shared" si="27"/>
        <v/>
      </c>
      <c r="B236" s="63"/>
      <c r="C236" s="25" t="str">
        <f t="shared" si="23"/>
        <v/>
      </c>
      <c r="D236" s="25" t="str">
        <f t="shared" si="24"/>
        <v/>
      </c>
      <c r="E236" s="45"/>
      <c r="F236" s="28" t="str">
        <f>IFERROR(VLOOKUP(E236,Category!$D$2:$E$600,2,FALSE),"")</f>
        <v/>
      </c>
      <c r="G236" s="65"/>
      <c r="H236" s="56"/>
      <c r="I236" s="66"/>
      <c r="J236" s="67"/>
      <c r="K236" s="67"/>
      <c r="L236" s="67"/>
      <c r="M236" s="29" t="str">
        <f t="shared" si="25"/>
        <v/>
      </c>
      <c r="N236" s="29" t="str">
        <f t="shared" si="26"/>
        <v/>
      </c>
      <c r="O236" s="29" t="str">
        <f t="shared" si="21"/>
        <v/>
      </c>
      <c r="P236" s="61"/>
      <c r="Q236" s="61"/>
      <c r="R236" s="61"/>
      <c r="S236" s="45"/>
      <c r="T236" s="29" t="str">
        <f t="shared" si="22"/>
        <v/>
      </c>
    </row>
    <row r="237" spans="1:20">
      <c r="A237" s="10" t="str">
        <f t="shared" si="27"/>
        <v/>
      </c>
      <c r="B237" s="63"/>
      <c r="C237" s="25" t="str">
        <f t="shared" si="23"/>
        <v/>
      </c>
      <c r="D237" s="25" t="str">
        <f t="shared" si="24"/>
        <v/>
      </c>
      <c r="E237" s="45"/>
      <c r="F237" s="28" t="str">
        <f>IFERROR(VLOOKUP(E237,Category!$D$2:$E$600,2,FALSE),"")</f>
        <v/>
      </c>
      <c r="G237" s="65"/>
      <c r="H237" s="56"/>
      <c r="I237" s="66"/>
      <c r="J237" s="67"/>
      <c r="K237" s="67"/>
      <c r="L237" s="67"/>
      <c r="M237" s="29" t="str">
        <f t="shared" si="25"/>
        <v/>
      </c>
      <c r="N237" s="29" t="str">
        <f t="shared" si="26"/>
        <v/>
      </c>
      <c r="O237" s="29" t="str">
        <f t="shared" si="21"/>
        <v/>
      </c>
      <c r="P237" s="61"/>
      <c r="Q237" s="61"/>
      <c r="R237" s="61"/>
      <c r="S237" s="45"/>
      <c r="T237" s="29" t="str">
        <f t="shared" si="22"/>
        <v/>
      </c>
    </row>
    <row r="238" spans="1:20">
      <c r="A238" s="10" t="str">
        <f t="shared" si="27"/>
        <v/>
      </c>
      <c r="B238" s="63"/>
      <c r="C238" s="25" t="str">
        <f t="shared" si="23"/>
        <v/>
      </c>
      <c r="D238" s="25" t="str">
        <f t="shared" si="24"/>
        <v/>
      </c>
      <c r="E238" s="45"/>
      <c r="F238" s="28" t="str">
        <f>IFERROR(VLOOKUP(E238,Category!$D$2:$E$600,2,FALSE),"")</f>
        <v/>
      </c>
      <c r="G238" s="65"/>
      <c r="H238" s="56"/>
      <c r="I238" s="66"/>
      <c r="J238" s="67"/>
      <c r="K238" s="67"/>
      <c r="L238" s="67"/>
      <c r="M238" s="29" t="str">
        <f t="shared" si="25"/>
        <v/>
      </c>
      <c r="N238" s="29" t="str">
        <f t="shared" si="26"/>
        <v/>
      </c>
      <c r="O238" s="29" t="str">
        <f t="shared" si="21"/>
        <v/>
      </c>
      <c r="P238" s="61"/>
      <c r="Q238" s="61"/>
      <c r="R238" s="61"/>
      <c r="S238" s="45"/>
      <c r="T238" s="29" t="str">
        <f t="shared" si="22"/>
        <v/>
      </c>
    </row>
    <row r="239" spans="1:20">
      <c r="A239" s="10" t="str">
        <f t="shared" si="27"/>
        <v/>
      </c>
      <c r="B239" s="63"/>
      <c r="C239" s="25" t="str">
        <f t="shared" si="23"/>
        <v/>
      </c>
      <c r="D239" s="25" t="str">
        <f t="shared" si="24"/>
        <v/>
      </c>
      <c r="E239" s="45"/>
      <c r="F239" s="28" t="str">
        <f>IFERROR(VLOOKUP(E239,Category!$D$2:$E$600,2,FALSE),"")</f>
        <v/>
      </c>
      <c r="G239" s="65"/>
      <c r="H239" s="56"/>
      <c r="I239" s="66"/>
      <c r="J239" s="67"/>
      <c r="K239" s="67"/>
      <c r="L239" s="67"/>
      <c r="M239" s="29" t="str">
        <f t="shared" si="25"/>
        <v/>
      </c>
      <c r="N239" s="29" t="str">
        <f t="shared" si="26"/>
        <v/>
      </c>
      <c r="O239" s="29" t="str">
        <f t="shared" si="21"/>
        <v/>
      </c>
      <c r="P239" s="61"/>
      <c r="Q239" s="61"/>
      <c r="R239" s="61"/>
      <c r="S239" s="45"/>
      <c r="T239" s="29" t="str">
        <f t="shared" si="22"/>
        <v/>
      </c>
    </row>
    <row r="240" spans="1:20">
      <c r="A240" s="10" t="str">
        <f t="shared" si="27"/>
        <v/>
      </c>
      <c r="B240" s="63"/>
      <c r="C240" s="25" t="str">
        <f t="shared" si="23"/>
        <v/>
      </c>
      <c r="D240" s="25" t="str">
        <f t="shared" si="24"/>
        <v/>
      </c>
      <c r="E240" s="45"/>
      <c r="F240" s="28" t="str">
        <f>IFERROR(VLOOKUP(E240,Category!$D$2:$E$600,2,FALSE),"")</f>
        <v/>
      </c>
      <c r="G240" s="65"/>
      <c r="H240" s="56"/>
      <c r="I240" s="66"/>
      <c r="J240" s="67"/>
      <c r="K240" s="67"/>
      <c r="L240" s="67"/>
      <c r="M240" s="29" t="str">
        <f t="shared" si="25"/>
        <v/>
      </c>
      <c r="N240" s="29" t="str">
        <f t="shared" si="26"/>
        <v/>
      </c>
      <c r="O240" s="29" t="str">
        <f t="shared" si="21"/>
        <v/>
      </c>
      <c r="P240" s="61"/>
      <c r="Q240" s="61"/>
      <c r="R240" s="61"/>
      <c r="S240" s="45"/>
      <c r="T240" s="29" t="str">
        <f t="shared" si="22"/>
        <v/>
      </c>
    </row>
    <row r="241" spans="1:20">
      <c r="A241" s="10" t="str">
        <f t="shared" si="27"/>
        <v/>
      </c>
      <c r="B241" s="63"/>
      <c r="C241" s="25" t="str">
        <f t="shared" si="23"/>
        <v/>
      </c>
      <c r="D241" s="25" t="str">
        <f t="shared" si="24"/>
        <v/>
      </c>
      <c r="E241" s="45"/>
      <c r="F241" s="28" t="str">
        <f>IFERROR(VLOOKUP(E241,Category!$D$2:$E$600,2,FALSE),"")</f>
        <v/>
      </c>
      <c r="G241" s="65"/>
      <c r="H241" s="56"/>
      <c r="I241" s="66"/>
      <c r="J241" s="67"/>
      <c r="K241" s="67"/>
      <c r="L241" s="67"/>
      <c r="M241" s="29" t="str">
        <f t="shared" si="25"/>
        <v/>
      </c>
      <c r="N241" s="29" t="str">
        <f t="shared" si="26"/>
        <v/>
      </c>
      <c r="O241" s="29" t="str">
        <f t="shared" si="21"/>
        <v/>
      </c>
      <c r="P241" s="61"/>
      <c r="Q241" s="61"/>
      <c r="R241" s="61"/>
      <c r="S241" s="45"/>
      <c r="T241" s="29" t="str">
        <f t="shared" si="22"/>
        <v/>
      </c>
    </row>
    <row r="242" spans="1:20">
      <c r="A242" s="10" t="str">
        <f t="shared" si="27"/>
        <v/>
      </c>
      <c r="B242" s="63"/>
      <c r="C242" s="25" t="str">
        <f t="shared" si="23"/>
        <v/>
      </c>
      <c r="D242" s="25" t="str">
        <f t="shared" si="24"/>
        <v/>
      </c>
      <c r="E242" s="45"/>
      <c r="F242" s="28" t="str">
        <f>IFERROR(VLOOKUP(E242,Category!$D$2:$E$600,2,FALSE),"")</f>
        <v/>
      </c>
      <c r="G242" s="65"/>
      <c r="H242" s="56"/>
      <c r="I242" s="66"/>
      <c r="J242" s="67"/>
      <c r="K242" s="67"/>
      <c r="L242" s="67"/>
      <c r="M242" s="29" t="str">
        <f t="shared" si="25"/>
        <v/>
      </c>
      <c r="N242" s="29" t="str">
        <f t="shared" si="26"/>
        <v/>
      </c>
      <c r="O242" s="29" t="str">
        <f t="shared" si="21"/>
        <v/>
      </c>
      <c r="P242" s="61"/>
      <c r="Q242" s="61"/>
      <c r="R242" s="61"/>
      <c r="S242" s="45"/>
      <c r="T242" s="29" t="str">
        <f t="shared" si="22"/>
        <v/>
      </c>
    </row>
    <row r="243" spans="1:20">
      <c r="A243" s="10" t="str">
        <f t="shared" si="27"/>
        <v/>
      </c>
      <c r="B243" s="63"/>
      <c r="C243" s="25" t="str">
        <f t="shared" si="23"/>
        <v/>
      </c>
      <c r="D243" s="25" t="str">
        <f t="shared" si="24"/>
        <v/>
      </c>
      <c r="E243" s="45"/>
      <c r="F243" s="28" t="str">
        <f>IFERROR(VLOOKUP(E243,Category!$D$2:$E$600,2,FALSE),"")</f>
        <v/>
      </c>
      <c r="G243" s="65"/>
      <c r="H243" s="56"/>
      <c r="I243" s="66"/>
      <c r="J243" s="67"/>
      <c r="K243" s="67"/>
      <c r="L243" s="67"/>
      <c r="M243" s="29" t="str">
        <f t="shared" si="25"/>
        <v/>
      </c>
      <c r="N243" s="29" t="str">
        <f t="shared" si="26"/>
        <v/>
      </c>
      <c r="O243" s="29" t="str">
        <f t="shared" si="21"/>
        <v/>
      </c>
      <c r="P243" s="61"/>
      <c r="Q243" s="61"/>
      <c r="R243" s="61"/>
      <c r="S243" s="45"/>
      <c r="T243" s="29" t="str">
        <f t="shared" si="22"/>
        <v/>
      </c>
    </row>
    <row r="244" spans="1:20">
      <c r="A244" s="10" t="str">
        <f t="shared" si="27"/>
        <v/>
      </c>
      <c r="B244" s="63"/>
      <c r="C244" s="25" t="str">
        <f t="shared" si="23"/>
        <v/>
      </c>
      <c r="D244" s="25" t="str">
        <f t="shared" si="24"/>
        <v/>
      </c>
      <c r="E244" s="45"/>
      <c r="F244" s="28" t="str">
        <f>IFERROR(VLOOKUP(E244,Category!$D$2:$E$600,2,FALSE),"")</f>
        <v/>
      </c>
      <c r="G244" s="65"/>
      <c r="H244" s="56"/>
      <c r="I244" s="66"/>
      <c r="J244" s="67"/>
      <c r="K244" s="67"/>
      <c r="L244" s="67"/>
      <c r="M244" s="29" t="str">
        <f t="shared" si="25"/>
        <v/>
      </c>
      <c r="N244" s="29" t="str">
        <f t="shared" si="26"/>
        <v/>
      </c>
      <c r="O244" s="29" t="str">
        <f t="shared" si="21"/>
        <v/>
      </c>
      <c r="P244" s="61"/>
      <c r="Q244" s="61"/>
      <c r="R244" s="61"/>
      <c r="S244" s="45"/>
      <c r="T244" s="29" t="str">
        <f t="shared" si="22"/>
        <v/>
      </c>
    </row>
    <row r="245" spans="1:20">
      <c r="A245" s="10" t="str">
        <f t="shared" si="27"/>
        <v/>
      </c>
      <c r="B245" s="63"/>
      <c r="C245" s="25" t="str">
        <f t="shared" si="23"/>
        <v/>
      </c>
      <c r="D245" s="25" t="str">
        <f t="shared" si="24"/>
        <v/>
      </c>
      <c r="E245" s="45"/>
      <c r="F245" s="28" t="str">
        <f>IFERROR(VLOOKUP(E245,Category!$D$2:$E$600,2,FALSE),"")</f>
        <v/>
      </c>
      <c r="G245" s="65"/>
      <c r="H245" s="56"/>
      <c r="I245" s="66"/>
      <c r="J245" s="67"/>
      <c r="K245" s="67"/>
      <c r="L245" s="67"/>
      <c r="M245" s="29" t="str">
        <f t="shared" si="25"/>
        <v/>
      </c>
      <c r="N245" s="29" t="str">
        <f t="shared" si="26"/>
        <v/>
      </c>
      <c r="O245" s="29" t="str">
        <f t="shared" si="21"/>
        <v/>
      </c>
      <c r="P245" s="61"/>
      <c r="Q245" s="61"/>
      <c r="R245" s="61"/>
      <c r="S245" s="45"/>
      <c r="T245" s="29" t="str">
        <f t="shared" si="22"/>
        <v/>
      </c>
    </row>
    <row r="246" spans="1:20">
      <c r="A246" s="10" t="str">
        <f t="shared" si="27"/>
        <v/>
      </c>
      <c r="B246" s="63"/>
      <c r="C246" s="25" t="str">
        <f t="shared" si="23"/>
        <v/>
      </c>
      <c r="D246" s="25" t="str">
        <f t="shared" si="24"/>
        <v/>
      </c>
      <c r="E246" s="45"/>
      <c r="F246" s="28" t="str">
        <f>IFERROR(VLOOKUP(E246,Category!$D$2:$E$600,2,FALSE),"")</f>
        <v/>
      </c>
      <c r="G246" s="65"/>
      <c r="H246" s="56"/>
      <c r="I246" s="66"/>
      <c r="J246" s="67"/>
      <c r="K246" s="67"/>
      <c r="L246" s="67"/>
      <c r="M246" s="29" t="str">
        <f t="shared" si="25"/>
        <v/>
      </c>
      <c r="N246" s="29" t="str">
        <f t="shared" si="26"/>
        <v/>
      </c>
      <c r="O246" s="29" t="str">
        <f t="shared" si="21"/>
        <v/>
      </c>
      <c r="P246" s="61"/>
      <c r="Q246" s="61"/>
      <c r="R246" s="61"/>
      <c r="S246" s="45"/>
      <c r="T246" s="29" t="str">
        <f t="shared" si="22"/>
        <v/>
      </c>
    </row>
    <row r="247" spans="1:20">
      <c r="A247" s="10" t="str">
        <f t="shared" si="27"/>
        <v/>
      </c>
      <c r="B247" s="63"/>
      <c r="C247" s="25" t="str">
        <f t="shared" si="23"/>
        <v/>
      </c>
      <c r="D247" s="25" t="str">
        <f t="shared" si="24"/>
        <v/>
      </c>
      <c r="E247" s="45"/>
      <c r="F247" s="28" t="str">
        <f>IFERROR(VLOOKUP(E247,Category!$D$2:$E$600,2,FALSE),"")</f>
        <v/>
      </c>
      <c r="G247" s="65"/>
      <c r="H247" s="56"/>
      <c r="I247" s="66"/>
      <c r="J247" s="67"/>
      <c r="K247" s="67"/>
      <c r="L247" s="67"/>
      <c r="M247" s="29" t="str">
        <f t="shared" si="25"/>
        <v/>
      </c>
      <c r="N247" s="29" t="str">
        <f t="shared" si="26"/>
        <v/>
      </c>
      <c r="O247" s="29" t="str">
        <f t="shared" si="21"/>
        <v/>
      </c>
      <c r="P247" s="61"/>
      <c r="Q247" s="61"/>
      <c r="R247" s="61"/>
      <c r="S247" s="45"/>
      <c r="T247" s="29" t="str">
        <f t="shared" si="22"/>
        <v/>
      </c>
    </row>
    <row r="248" spans="1:20">
      <c r="A248" s="10" t="str">
        <f t="shared" si="27"/>
        <v/>
      </c>
      <c r="B248" s="63"/>
      <c r="C248" s="25" t="str">
        <f t="shared" si="23"/>
        <v/>
      </c>
      <c r="D248" s="25" t="str">
        <f t="shared" si="24"/>
        <v/>
      </c>
      <c r="E248" s="45"/>
      <c r="F248" s="28" t="str">
        <f>IFERROR(VLOOKUP(E248,Category!$D$2:$E$600,2,FALSE),"")</f>
        <v/>
      </c>
      <c r="G248" s="65"/>
      <c r="H248" s="56"/>
      <c r="I248" s="66"/>
      <c r="J248" s="67"/>
      <c r="K248" s="67"/>
      <c r="L248" s="67"/>
      <c r="M248" s="29" t="str">
        <f t="shared" si="25"/>
        <v/>
      </c>
      <c r="N248" s="29" t="str">
        <f t="shared" si="26"/>
        <v/>
      </c>
      <c r="O248" s="29" t="str">
        <f t="shared" si="21"/>
        <v/>
      </c>
      <c r="P248" s="61"/>
      <c r="Q248" s="61"/>
      <c r="R248" s="61"/>
      <c r="S248" s="45"/>
      <c r="T248" s="29" t="str">
        <f t="shared" si="22"/>
        <v/>
      </c>
    </row>
    <row r="249" spans="1:20">
      <c r="A249" s="10" t="str">
        <f t="shared" si="27"/>
        <v/>
      </c>
      <c r="B249" s="63"/>
      <c r="C249" s="25" t="str">
        <f t="shared" si="23"/>
        <v/>
      </c>
      <c r="D249" s="25" t="str">
        <f t="shared" si="24"/>
        <v/>
      </c>
      <c r="E249" s="45"/>
      <c r="F249" s="28" t="str">
        <f>IFERROR(VLOOKUP(E249,Category!$D$2:$E$600,2,FALSE),"")</f>
        <v/>
      </c>
      <c r="G249" s="65"/>
      <c r="H249" s="56"/>
      <c r="I249" s="66"/>
      <c r="J249" s="67"/>
      <c r="K249" s="67"/>
      <c r="L249" s="67"/>
      <c r="M249" s="29" t="str">
        <f t="shared" si="25"/>
        <v/>
      </c>
      <c r="N249" s="29" t="str">
        <f t="shared" si="26"/>
        <v/>
      </c>
      <c r="O249" s="29" t="str">
        <f t="shared" si="21"/>
        <v/>
      </c>
      <c r="P249" s="61"/>
      <c r="Q249" s="61"/>
      <c r="R249" s="61"/>
      <c r="S249" s="45"/>
      <c r="T249" s="29" t="str">
        <f t="shared" si="22"/>
        <v/>
      </c>
    </row>
    <row r="250" spans="1:20">
      <c r="A250" s="10" t="str">
        <f t="shared" si="27"/>
        <v/>
      </c>
      <c r="B250" s="63"/>
      <c r="C250" s="25" t="str">
        <f t="shared" si="23"/>
        <v/>
      </c>
      <c r="D250" s="25" t="str">
        <f t="shared" si="24"/>
        <v/>
      </c>
      <c r="E250" s="45"/>
      <c r="F250" s="28" t="str">
        <f>IFERROR(VLOOKUP(E250,Category!$D$2:$E$600,2,FALSE),"")</f>
        <v/>
      </c>
      <c r="G250" s="65"/>
      <c r="H250" s="56"/>
      <c r="I250" s="66"/>
      <c r="J250" s="67"/>
      <c r="K250" s="67"/>
      <c r="L250" s="67"/>
      <c r="M250" s="29" t="str">
        <f t="shared" si="25"/>
        <v/>
      </c>
      <c r="N250" s="29" t="str">
        <f t="shared" si="26"/>
        <v/>
      </c>
      <c r="O250" s="29" t="str">
        <f t="shared" si="21"/>
        <v/>
      </c>
      <c r="P250" s="61"/>
      <c r="Q250" s="61"/>
      <c r="R250" s="61"/>
      <c r="S250" s="45"/>
      <c r="T250" s="29" t="str">
        <f t="shared" si="22"/>
        <v/>
      </c>
    </row>
    <row r="251" spans="1:20">
      <c r="A251" s="10" t="str">
        <f t="shared" si="27"/>
        <v/>
      </c>
      <c r="B251" s="63"/>
      <c r="C251" s="25" t="str">
        <f t="shared" si="23"/>
        <v/>
      </c>
      <c r="D251" s="25" t="str">
        <f t="shared" si="24"/>
        <v/>
      </c>
      <c r="E251" s="45"/>
      <c r="F251" s="28" t="str">
        <f>IFERROR(VLOOKUP(E251,Category!$D$2:$E$600,2,FALSE),"")</f>
        <v/>
      </c>
      <c r="G251" s="65"/>
      <c r="H251" s="56"/>
      <c r="I251" s="66"/>
      <c r="J251" s="67"/>
      <c r="K251" s="67"/>
      <c r="L251" s="67"/>
      <c r="M251" s="29" t="str">
        <f t="shared" si="25"/>
        <v/>
      </c>
      <c r="N251" s="29" t="str">
        <f t="shared" si="26"/>
        <v/>
      </c>
      <c r="O251" s="29" t="str">
        <f t="shared" si="21"/>
        <v/>
      </c>
      <c r="P251" s="61"/>
      <c r="Q251" s="61"/>
      <c r="R251" s="61"/>
      <c r="S251" s="45"/>
      <c r="T251" s="29" t="str">
        <f t="shared" si="22"/>
        <v/>
      </c>
    </row>
    <row r="252" spans="1:20">
      <c r="A252" s="10" t="str">
        <f t="shared" si="27"/>
        <v/>
      </c>
      <c r="B252" s="63"/>
      <c r="C252" s="25" t="str">
        <f t="shared" si="23"/>
        <v/>
      </c>
      <c r="D252" s="25" t="str">
        <f t="shared" si="24"/>
        <v/>
      </c>
      <c r="E252" s="45"/>
      <c r="F252" s="28" t="str">
        <f>IFERROR(VLOOKUP(E252,Category!$D$2:$E$600,2,FALSE),"")</f>
        <v/>
      </c>
      <c r="G252" s="65"/>
      <c r="H252" s="56"/>
      <c r="I252" s="66"/>
      <c r="J252" s="67"/>
      <c r="K252" s="67"/>
      <c r="L252" s="67"/>
      <c r="M252" s="29" t="str">
        <f t="shared" si="25"/>
        <v/>
      </c>
      <c r="N252" s="29" t="str">
        <f t="shared" si="26"/>
        <v/>
      </c>
      <c r="O252" s="29" t="str">
        <f t="shared" si="21"/>
        <v/>
      </c>
      <c r="P252" s="61"/>
      <c r="Q252" s="61"/>
      <c r="R252" s="61"/>
      <c r="S252" s="45"/>
      <c r="T252" s="29" t="str">
        <f t="shared" si="22"/>
        <v/>
      </c>
    </row>
    <row r="253" spans="1:20">
      <c r="A253" s="10" t="str">
        <f t="shared" si="27"/>
        <v/>
      </c>
      <c r="B253" s="63"/>
      <c r="C253" s="25" t="str">
        <f t="shared" si="23"/>
        <v/>
      </c>
      <c r="D253" s="25" t="str">
        <f t="shared" si="24"/>
        <v/>
      </c>
      <c r="E253" s="45"/>
      <c r="F253" s="28" t="str">
        <f>IFERROR(VLOOKUP(E253,Category!$D$2:$E$600,2,FALSE),"")</f>
        <v/>
      </c>
      <c r="G253" s="65"/>
      <c r="H253" s="56"/>
      <c r="I253" s="66"/>
      <c r="J253" s="67"/>
      <c r="K253" s="67"/>
      <c r="L253" s="67"/>
      <c r="M253" s="29" t="str">
        <f t="shared" si="25"/>
        <v/>
      </c>
      <c r="N253" s="29" t="str">
        <f t="shared" si="26"/>
        <v/>
      </c>
      <c r="O253" s="29" t="str">
        <f t="shared" si="21"/>
        <v/>
      </c>
      <c r="P253" s="61"/>
      <c r="Q253" s="61"/>
      <c r="R253" s="61"/>
      <c r="S253" s="45"/>
      <c r="T253" s="29" t="str">
        <f t="shared" si="22"/>
        <v/>
      </c>
    </row>
    <row r="254" spans="1:20">
      <c r="A254" s="10" t="str">
        <f t="shared" si="27"/>
        <v/>
      </c>
      <c r="B254" s="63"/>
      <c r="C254" s="25" t="str">
        <f t="shared" si="23"/>
        <v/>
      </c>
      <c r="D254" s="25" t="str">
        <f t="shared" si="24"/>
        <v/>
      </c>
      <c r="E254" s="45"/>
      <c r="F254" s="28" t="str">
        <f>IFERROR(VLOOKUP(E254,Category!$D$2:$E$600,2,FALSE),"")</f>
        <v/>
      </c>
      <c r="G254" s="65"/>
      <c r="H254" s="56"/>
      <c r="I254" s="66"/>
      <c r="J254" s="67"/>
      <c r="K254" s="67"/>
      <c r="L254" s="67"/>
      <c r="M254" s="29" t="str">
        <f t="shared" si="25"/>
        <v/>
      </c>
      <c r="N254" s="29" t="str">
        <f t="shared" si="26"/>
        <v/>
      </c>
      <c r="O254" s="29" t="str">
        <f t="shared" si="21"/>
        <v/>
      </c>
      <c r="P254" s="61"/>
      <c r="Q254" s="61"/>
      <c r="R254" s="61"/>
      <c r="S254" s="45"/>
      <c r="T254" s="29" t="str">
        <f t="shared" si="22"/>
        <v/>
      </c>
    </row>
    <row r="255" spans="1:20">
      <c r="A255" s="10" t="str">
        <f t="shared" si="27"/>
        <v/>
      </c>
      <c r="B255" s="63"/>
      <c r="C255" s="25" t="str">
        <f t="shared" si="23"/>
        <v/>
      </c>
      <c r="D255" s="25" t="str">
        <f t="shared" si="24"/>
        <v/>
      </c>
      <c r="E255" s="45"/>
      <c r="F255" s="28" t="str">
        <f>IFERROR(VLOOKUP(E255,Category!$D$2:$E$600,2,FALSE),"")</f>
        <v/>
      </c>
      <c r="G255" s="65"/>
      <c r="H255" s="56"/>
      <c r="I255" s="66"/>
      <c r="J255" s="67"/>
      <c r="K255" s="67"/>
      <c r="L255" s="67"/>
      <c r="M255" s="29" t="str">
        <f t="shared" si="25"/>
        <v/>
      </c>
      <c r="N255" s="29" t="str">
        <f t="shared" si="26"/>
        <v/>
      </c>
      <c r="O255" s="29" t="str">
        <f t="shared" si="21"/>
        <v/>
      </c>
      <c r="P255" s="61"/>
      <c r="Q255" s="61"/>
      <c r="R255" s="61"/>
      <c r="S255" s="45"/>
      <c r="T255" s="29" t="str">
        <f t="shared" si="22"/>
        <v/>
      </c>
    </row>
    <row r="256" spans="1:20">
      <c r="A256" s="10" t="str">
        <f t="shared" si="27"/>
        <v/>
      </c>
      <c r="B256" s="63"/>
      <c r="C256" s="25" t="str">
        <f t="shared" si="23"/>
        <v/>
      </c>
      <c r="D256" s="25" t="str">
        <f t="shared" si="24"/>
        <v/>
      </c>
      <c r="E256" s="45"/>
      <c r="F256" s="28" t="str">
        <f>IFERROR(VLOOKUP(E256,Category!$D$2:$E$600,2,FALSE),"")</f>
        <v/>
      </c>
      <c r="G256" s="65"/>
      <c r="H256" s="56"/>
      <c r="I256" s="66"/>
      <c r="J256" s="67"/>
      <c r="K256" s="67"/>
      <c r="L256" s="67"/>
      <c r="M256" s="29" t="str">
        <f t="shared" si="25"/>
        <v/>
      </c>
      <c r="N256" s="29" t="str">
        <f t="shared" si="26"/>
        <v/>
      </c>
      <c r="O256" s="29" t="str">
        <f t="shared" si="21"/>
        <v/>
      </c>
      <c r="P256" s="61"/>
      <c r="Q256" s="61"/>
      <c r="R256" s="61"/>
      <c r="S256" s="45"/>
      <c r="T256" s="29" t="str">
        <f t="shared" si="22"/>
        <v/>
      </c>
    </row>
    <row r="257" spans="1:20">
      <c r="A257" s="10" t="str">
        <f t="shared" si="27"/>
        <v/>
      </c>
      <c r="B257" s="63"/>
      <c r="C257" s="25" t="str">
        <f t="shared" si="23"/>
        <v/>
      </c>
      <c r="D257" s="25" t="str">
        <f t="shared" si="24"/>
        <v/>
      </c>
      <c r="E257" s="45"/>
      <c r="F257" s="28" t="str">
        <f>IFERROR(VLOOKUP(E257,Category!$D$2:$E$600,2,FALSE),"")</f>
        <v/>
      </c>
      <c r="G257" s="65"/>
      <c r="H257" s="56"/>
      <c r="I257" s="66"/>
      <c r="J257" s="67"/>
      <c r="K257" s="67"/>
      <c r="L257" s="67"/>
      <c r="M257" s="29" t="str">
        <f t="shared" si="25"/>
        <v/>
      </c>
      <c r="N257" s="29" t="str">
        <f t="shared" si="26"/>
        <v/>
      </c>
      <c r="O257" s="29" t="str">
        <f t="shared" si="21"/>
        <v/>
      </c>
      <c r="P257" s="61"/>
      <c r="Q257" s="61"/>
      <c r="R257" s="61"/>
      <c r="S257" s="45"/>
      <c r="T257" s="29" t="str">
        <f t="shared" si="22"/>
        <v/>
      </c>
    </row>
    <row r="258" spans="1:20">
      <c r="A258" s="10" t="str">
        <f t="shared" si="27"/>
        <v/>
      </c>
      <c r="B258" s="63"/>
      <c r="C258" s="25" t="str">
        <f t="shared" si="23"/>
        <v/>
      </c>
      <c r="D258" s="25" t="str">
        <f t="shared" si="24"/>
        <v/>
      </c>
      <c r="E258" s="45"/>
      <c r="F258" s="28" t="str">
        <f>IFERROR(VLOOKUP(E258,Category!$D$2:$E$600,2,FALSE),"")</f>
        <v/>
      </c>
      <c r="G258" s="65"/>
      <c r="H258" s="56"/>
      <c r="I258" s="66"/>
      <c r="J258" s="67"/>
      <c r="K258" s="67"/>
      <c r="L258" s="67"/>
      <c r="M258" s="29" t="str">
        <f t="shared" si="25"/>
        <v/>
      </c>
      <c r="N258" s="29" t="str">
        <f t="shared" si="26"/>
        <v/>
      </c>
      <c r="O258" s="29" t="str">
        <f t="shared" ref="O258:O321" si="28">IF(H258*I258=0,"",H258*I258)</f>
        <v/>
      </c>
      <c r="P258" s="61"/>
      <c r="Q258" s="61"/>
      <c r="R258" s="61"/>
      <c r="S258" s="45"/>
      <c r="T258" s="29" t="str">
        <f t="shared" ref="T258:T321" si="29">IF(R258="paid",(H258*I258)-(G258*H258),"")</f>
        <v/>
      </c>
    </row>
    <row r="259" spans="1:20">
      <c r="A259" s="10" t="str">
        <f t="shared" si="27"/>
        <v/>
      </c>
      <c r="B259" s="63"/>
      <c r="C259" s="25" t="str">
        <f t="shared" ref="C259:C322" si="30">IF(B259=0,"",TEXT(B259,"mmmm"))</f>
        <v/>
      </c>
      <c r="D259" s="25" t="str">
        <f t="shared" ref="D259:D322" si="31">IF(B259=0,"",TEXT(B259,"yyyy"))</f>
        <v/>
      </c>
      <c r="E259" s="45"/>
      <c r="F259" s="28" t="str">
        <f>IFERROR(VLOOKUP(E259,Category!$D$2:$E$600,2,FALSE),"")</f>
        <v/>
      </c>
      <c r="G259" s="65"/>
      <c r="H259" s="56"/>
      <c r="I259" s="66"/>
      <c r="J259" s="67"/>
      <c r="K259" s="67"/>
      <c r="L259" s="67"/>
      <c r="M259" s="29" t="str">
        <f t="shared" ref="M259:M322" si="32">IFERROR(IF(O259&gt;0,IF(R259="Paid","",O259-J259),""),"")</f>
        <v/>
      </c>
      <c r="N259" s="29" t="str">
        <f t="shared" ref="N259:N322" si="33">IF(J259&gt;0,IF(R259="Paid",O259-J259,""),"")</f>
        <v/>
      </c>
      <c r="O259" s="29" t="str">
        <f t="shared" si="28"/>
        <v/>
      </c>
      <c r="P259" s="61"/>
      <c r="Q259" s="61"/>
      <c r="R259" s="61"/>
      <c r="S259" s="45"/>
      <c r="T259" s="29" t="str">
        <f t="shared" si="29"/>
        <v/>
      </c>
    </row>
    <row r="260" spans="1:20">
      <c r="A260" s="10" t="str">
        <f t="shared" ref="A260:A323" si="34">IF(E260&gt;0,A259+1,"")</f>
        <v/>
      </c>
      <c r="B260" s="63"/>
      <c r="C260" s="25" t="str">
        <f t="shared" si="30"/>
        <v/>
      </c>
      <c r="D260" s="25" t="str">
        <f t="shared" si="31"/>
        <v/>
      </c>
      <c r="E260" s="45"/>
      <c r="F260" s="28" t="str">
        <f>IFERROR(VLOOKUP(E260,Category!$D$2:$E$600,2,FALSE),"")</f>
        <v/>
      </c>
      <c r="G260" s="65"/>
      <c r="H260" s="56"/>
      <c r="I260" s="66"/>
      <c r="J260" s="67"/>
      <c r="K260" s="67"/>
      <c r="L260" s="67"/>
      <c r="M260" s="29" t="str">
        <f t="shared" si="32"/>
        <v/>
      </c>
      <c r="N260" s="29" t="str">
        <f t="shared" si="33"/>
        <v/>
      </c>
      <c r="O260" s="29" t="str">
        <f t="shared" si="28"/>
        <v/>
      </c>
      <c r="P260" s="61"/>
      <c r="Q260" s="61"/>
      <c r="R260" s="61"/>
      <c r="S260" s="45"/>
      <c r="T260" s="29" t="str">
        <f t="shared" si="29"/>
        <v/>
      </c>
    </row>
    <row r="261" spans="1:20">
      <c r="A261" s="10" t="str">
        <f t="shared" si="34"/>
        <v/>
      </c>
      <c r="B261" s="63"/>
      <c r="C261" s="25" t="str">
        <f t="shared" si="30"/>
        <v/>
      </c>
      <c r="D261" s="25" t="str">
        <f t="shared" si="31"/>
        <v/>
      </c>
      <c r="E261" s="45"/>
      <c r="F261" s="28" t="str">
        <f>IFERROR(VLOOKUP(E261,Category!$D$2:$E$600,2,FALSE),"")</f>
        <v/>
      </c>
      <c r="G261" s="65"/>
      <c r="H261" s="56"/>
      <c r="I261" s="66"/>
      <c r="J261" s="67"/>
      <c r="K261" s="67"/>
      <c r="L261" s="67"/>
      <c r="M261" s="29" t="str">
        <f t="shared" si="32"/>
        <v/>
      </c>
      <c r="N261" s="29" t="str">
        <f t="shared" si="33"/>
        <v/>
      </c>
      <c r="O261" s="29" t="str">
        <f t="shared" si="28"/>
        <v/>
      </c>
      <c r="P261" s="61"/>
      <c r="Q261" s="61"/>
      <c r="R261" s="61"/>
      <c r="S261" s="45"/>
      <c r="T261" s="29" t="str">
        <f t="shared" si="29"/>
        <v/>
      </c>
    </row>
    <row r="262" spans="1:20">
      <c r="A262" s="10" t="str">
        <f t="shared" si="34"/>
        <v/>
      </c>
      <c r="B262" s="63"/>
      <c r="C262" s="25" t="str">
        <f t="shared" si="30"/>
        <v/>
      </c>
      <c r="D262" s="25" t="str">
        <f t="shared" si="31"/>
        <v/>
      </c>
      <c r="E262" s="45"/>
      <c r="F262" s="28" t="str">
        <f>IFERROR(VLOOKUP(E262,Category!$D$2:$E$600,2,FALSE),"")</f>
        <v/>
      </c>
      <c r="G262" s="65"/>
      <c r="H262" s="56"/>
      <c r="I262" s="66"/>
      <c r="J262" s="67"/>
      <c r="K262" s="67"/>
      <c r="L262" s="67"/>
      <c r="M262" s="29" t="str">
        <f t="shared" si="32"/>
        <v/>
      </c>
      <c r="N262" s="29" t="str">
        <f t="shared" si="33"/>
        <v/>
      </c>
      <c r="O262" s="29" t="str">
        <f t="shared" si="28"/>
        <v/>
      </c>
      <c r="P262" s="61"/>
      <c r="Q262" s="61"/>
      <c r="R262" s="61"/>
      <c r="S262" s="45"/>
      <c r="T262" s="29" t="str">
        <f t="shared" si="29"/>
        <v/>
      </c>
    </row>
    <row r="263" spans="1:20">
      <c r="A263" s="10" t="str">
        <f t="shared" si="34"/>
        <v/>
      </c>
      <c r="B263" s="63"/>
      <c r="C263" s="25" t="str">
        <f t="shared" si="30"/>
        <v/>
      </c>
      <c r="D263" s="25" t="str">
        <f t="shared" si="31"/>
        <v/>
      </c>
      <c r="E263" s="45"/>
      <c r="F263" s="28" t="str">
        <f>IFERROR(VLOOKUP(E263,Category!$D$2:$E$600,2,FALSE),"")</f>
        <v/>
      </c>
      <c r="G263" s="65"/>
      <c r="H263" s="56"/>
      <c r="I263" s="66"/>
      <c r="J263" s="67"/>
      <c r="K263" s="67"/>
      <c r="L263" s="67"/>
      <c r="M263" s="29" t="str">
        <f t="shared" si="32"/>
        <v/>
      </c>
      <c r="N263" s="29" t="str">
        <f t="shared" si="33"/>
        <v/>
      </c>
      <c r="O263" s="29" t="str">
        <f t="shared" si="28"/>
        <v/>
      </c>
      <c r="P263" s="61"/>
      <c r="Q263" s="61"/>
      <c r="R263" s="61"/>
      <c r="S263" s="45"/>
      <c r="T263" s="29" t="str">
        <f t="shared" si="29"/>
        <v/>
      </c>
    </row>
    <row r="264" spans="1:20">
      <c r="A264" s="10" t="str">
        <f t="shared" si="34"/>
        <v/>
      </c>
      <c r="B264" s="63"/>
      <c r="C264" s="25" t="str">
        <f t="shared" si="30"/>
        <v/>
      </c>
      <c r="D264" s="25" t="str">
        <f t="shared" si="31"/>
        <v/>
      </c>
      <c r="E264" s="45"/>
      <c r="F264" s="28" t="str">
        <f>IFERROR(VLOOKUP(E264,Category!$D$2:$E$600,2,FALSE),"")</f>
        <v/>
      </c>
      <c r="G264" s="65"/>
      <c r="H264" s="56"/>
      <c r="I264" s="66"/>
      <c r="J264" s="67"/>
      <c r="K264" s="67"/>
      <c r="L264" s="67"/>
      <c r="M264" s="29" t="str">
        <f t="shared" si="32"/>
        <v/>
      </c>
      <c r="N264" s="29" t="str">
        <f t="shared" si="33"/>
        <v/>
      </c>
      <c r="O264" s="29" t="str">
        <f t="shared" si="28"/>
        <v/>
      </c>
      <c r="P264" s="61"/>
      <c r="Q264" s="61"/>
      <c r="R264" s="61"/>
      <c r="S264" s="45"/>
      <c r="T264" s="29" t="str">
        <f t="shared" si="29"/>
        <v/>
      </c>
    </row>
    <row r="265" spans="1:20">
      <c r="A265" s="10" t="str">
        <f t="shared" si="34"/>
        <v/>
      </c>
      <c r="B265" s="63"/>
      <c r="C265" s="25" t="str">
        <f t="shared" si="30"/>
        <v/>
      </c>
      <c r="D265" s="25" t="str">
        <f t="shared" si="31"/>
        <v/>
      </c>
      <c r="E265" s="45"/>
      <c r="F265" s="28" t="str">
        <f>IFERROR(VLOOKUP(E265,Category!$D$2:$E$600,2,FALSE),"")</f>
        <v/>
      </c>
      <c r="G265" s="65"/>
      <c r="H265" s="56"/>
      <c r="I265" s="66"/>
      <c r="J265" s="67"/>
      <c r="K265" s="67"/>
      <c r="L265" s="67"/>
      <c r="M265" s="29" t="str">
        <f t="shared" si="32"/>
        <v/>
      </c>
      <c r="N265" s="29" t="str">
        <f t="shared" si="33"/>
        <v/>
      </c>
      <c r="O265" s="29" t="str">
        <f t="shared" si="28"/>
        <v/>
      </c>
      <c r="P265" s="61"/>
      <c r="Q265" s="61"/>
      <c r="R265" s="61"/>
      <c r="S265" s="45"/>
      <c r="T265" s="29" t="str">
        <f t="shared" si="29"/>
        <v/>
      </c>
    </row>
    <row r="266" spans="1:20">
      <c r="A266" s="10" t="str">
        <f t="shared" si="34"/>
        <v/>
      </c>
      <c r="B266" s="63"/>
      <c r="C266" s="25" t="str">
        <f t="shared" si="30"/>
        <v/>
      </c>
      <c r="D266" s="25" t="str">
        <f t="shared" si="31"/>
        <v/>
      </c>
      <c r="E266" s="45"/>
      <c r="F266" s="28" t="str">
        <f>IFERROR(VLOOKUP(E266,Category!$D$2:$E$600,2,FALSE),"")</f>
        <v/>
      </c>
      <c r="G266" s="65"/>
      <c r="H266" s="56"/>
      <c r="I266" s="66"/>
      <c r="J266" s="67"/>
      <c r="K266" s="67"/>
      <c r="L266" s="67"/>
      <c r="M266" s="29" t="str">
        <f t="shared" si="32"/>
        <v/>
      </c>
      <c r="N266" s="29" t="str">
        <f t="shared" si="33"/>
        <v/>
      </c>
      <c r="O266" s="29" t="str">
        <f t="shared" si="28"/>
        <v/>
      </c>
      <c r="P266" s="61"/>
      <c r="Q266" s="61"/>
      <c r="R266" s="61"/>
      <c r="S266" s="45"/>
      <c r="T266" s="29" t="str">
        <f t="shared" si="29"/>
        <v/>
      </c>
    </row>
    <row r="267" spans="1:20">
      <c r="A267" s="10" t="str">
        <f t="shared" si="34"/>
        <v/>
      </c>
      <c r="B267" s="63"/>
      <c r="C267" s="25" t="str">
        <f t="shared" si="30"/>
        <v/>
      </c>
      <c r="D267" s="25" t="str">
        <f t="shared" si="31"/>
        <v/>
      </c>
      <c r="E267" s="45"/>
      <c r="F267" s="28" t="str">
        <f>IFERROR(VLOOKUP(E267,Category!$D$2:$E$600,2,FALSE),"")</f>
        <v/>
      </c>
      <c r="G267" s="65"/>
      <c r="H267" s="56"/>
      <c r="I267" s="66"/>
      <c r="J267" s="67"/>
      <c r="K267" s="67"/>
      <c r="L267" s="67"/>
      <c r="M267" s="29" t="str">
        <f t="shared" si="32"/>
        <v/>
      </c>
      <c r="N267" s="29" t="str">
        <f t="shared" si="33"/>
        <v/>
      </c>
      <c r="O267" s="29" t="str">
        <f t="shared" si="28"/>
        <v/>
      </c>
      <c r="P267" s="61"/>
      <c r="Q267" s="61"/>
      <c r="R267" s="61"/>
      <c r="S267" s="45"/>
      <c r="T267" s="29" t="str">
        <f t="shared" si="29"/>
        <v/>
      </c>
    </row>
    <row r="268" spans="1:20">
      <c r="A268" s="10" t="str">
        <f t="shared" si="34"/>
        <v/>
      </c>
      <c r="B268" s="63"/>
      <c r="C268" s="25" t="str">
        <f t="shared" si="30"/>
        <v/>
      </c>
      <c r="D268" s="25" t="str">
        <f t="shared" si="31"/>
        <v/>
      </c>
      <c r="E268" s="45"/>
      <c r="F268" s="28" t="str">
        <f>IFERROR(VLOOKUP(E268,Category!$D$2:$E$600,2,FALSE),"")</f>
        <v/>
      </c>
      <c r="G268" s="65"/>
      <c r="H268" s="56"/>
      <c r="I268" s="66"/>
      <c r="J268" s="67"/>
      <c r="K268" s="67"/>
      <c r="L268" s="67"/>
      <c r="M268" s="29" t="str">
        <f t="shared" si="32"/>
        <v/>
      </c>
      <c r="N268" s="29" t="str">
        <f t="shared" si="33"/>
        <v/>
      </c>
      <c r="O268" s="29" t="str">
        <f t="shared" si="28"/>
        <v/>
      </c>
      <c r="P268" s="61"/>
      <c r="Q268" s="61"/>
      <c r="R268" s="61"/>
      <c r="S268" s="45"/>
      <c r="T268" s="29" t="str">
        <f t="shared" si="29"/>
        <v/>
      </c>
    </row>
    <row r="269" spans="1:20">
      <c r="A269" s="10" t="str">
        <f t="shared" si="34"/>
        <v/>
      </c>
      <c r="B269" s="63"/>
      <c r="C269" s="25" t="str">
        <f t="shared" si="30"/>
        <v/>
      </c>
      <c r="D269" s="25" t="str">
        <f t="shared" si="31"/>
        <v/>
      </c>
      <c r="E269" s="45"/>
      <c r="F269" s="28" t="str">
        <f>IFERROR(VLOOKUP(E269,Category!$D$2:$E$600,2,FALSE),"")</f>
        <v/>
      </c>
      <c r="G269" s="65"/>
      <c r="H269" s="56"/>
      <c r="I269" s="66"/>
      <c r="J269" s="67"/>
      <c r="K269" s="67"/>
      <c r="L269" s="67"/>
      <c r="M269" s="29" t="str">
        <f t="shared" si="32"/>
        <v/>
      </c>
      <c r="N269" s="29" t="str">
        <f t="shared" si="33"/>
        <v/>
      </c>
      <c r="O269" s="29" t="str">
        <f t="shared" si="28"/>
        <v/>
      </c>
      <c r="P269" s="61"/>
      <c r="Q269" s="61"/>
      <c r="R269" s="61"/>
      <c r="S269" s="45"/>
      <c r="T269" s="29" t="str">
        <f t="shared" si="29"/>
        <v/>
      </c>
    </row>
    <row r="270" spans="1:20">
      <c r="A270" s="10" t="str">
        <f t="shared" si="34"/>
        <v/>
      </c>
      <c r="B270" s="63"/>
      <c r="C270" s="25" t="str">
        <f t="shared" si="30"/>
        <v/>
      </c>
      <c r="D270" s="25" t="str">
        <f t="shared" si="31"/>
        <v/>
      </c>
      <c r="E270" s="45"/>
      <c r="F270" s="28" t="str">
        <f>IFERROR(VLOOKUP(E270,Category!$D$2:$E$600,2,FALSE),"")</f>
        <v/>
      </c>
      <c r="G270" s="65"/>
      <c r="H270" s="56"/>
      <c r="I270" s="66"/>
      <c r="J270" s="67"/>
      <c r="K270" s="67"/>
      <c r="L270" s="67"/>
      <c r="M270" s="29" t="str">
        <f t="shared" si="32"/>
        <v/>
      </c>
      <c r="N270" s="29" t="str">
        <f t="shared" si="33"/>
        <v/>
      </c>
      <c r="O270" s="29" t="str">
        <f t="shared" si="28"/>
        <v/>
      </c>
      <c r="P270" s="61"/>
      <c r="Q270" s="61"/>
      <c r="R270" s="61"/>
      <c r="S270" s="45"/>
      <c r="T270" s="29" t="str">
        <f t="shared" si="29"/>
        <v/>
      </c>
    </row>
    <row r="271" spans="1:20">
      <c r="A271" s="10" t="str">
        <f t="shared" si="34"/>
        <v/>
      </c>
      <c r="B271" s="63"/>
      <c r="C271" s="25" t="str">
        <f t="shared" si="30"/>
        <v/>
      </c>
      <c r="D271" s="25" t="str">
        <f t="shared" si="31"/>
        <v/>
      </c>
      <c r="E271" s="45"/>
      <c r="F271" s="28" t="str">
        <f>IFERROR(VLOOKUP(E271,Category!$D$2:$E$600,2,FALSE),"")</f>
        <v/>
      </c>
      <c r="G271" s="65"/>
      <c r="H271" s="56"/>
      <c r="I271" s="66"/>
      <c r="J271" s="67"/>
      <c r="K271" s="67"/>
      <c r="L271" s="67"/>
      <c r="M271" s="29" t="str">
        <f t="shared" si="32"/>
        <v/>
      </c>
      <c r="N271" s="29" t="str">
        <f t="shared" si="33"/>
        <v/>
      </c>
      <c r="O271" s="29" t="str">
        <f t="shared" si="28"/>
        <v/>
      </c>
      <c r="P271" s="61"/>
      <c r="Q271" s="61"/>
      <c r="R271" s="61"/>
      <c r="S271" s="45"/>
      <c r="T271" s="29" t="str">
        <f t="shared" si="29"/>
        <v/>
      </c>
    </row>
    <row r="272" spans="1:20">
      <c r="A272" s="10" t="str">
        <f t="shared" si="34"/>
        <v/>
      </c>
      <c r="B272" s="63"/>
      <c r="C272" s="25" t="str">
        <f t="shared" si="30"/>
        <v/>
      </c>
      <c r="D272" s="25" t="str">
        <f t="shared" si="31"/>
        <v/>
      </c>
      <c r="E272" s="45"/>
      <c r="F272" s="28" t="str">
        <f>IFERROR(VLOOKUP(E272,Category!$D$2:$E$600,2,FALSE),"")</f>
        <v/>
      </c>
      <c r="G272" s="65"/>
      <c r="H272" s="56"/>
      <c r="I272" s="66"/>
      <c r="J272" s="67"/>
      <c r="K272" s="67"/>
      <c r="L272" s="67"/>
      <c r="M272" s="29" t="str">
        <f t="shared" si="32"/>
        <v/>
      </c>
      <c r="N272" s="29" t="str">
        <f t="shared" si="33"/>
        <v/>
      </c>
      <c r="O272" s="29" t="str">
        <f t="shared" si="28"/>
        <v/>
      </c>
      <c r="P272" s="61"/>
      <c r="Q272" s="61"/>
      <c r="R272" s="61"/>
      <c r="S272" s="45"/>
      <c r="T272" s="29" t="str">
        <f t="shared" si="29"/>
        <v/>
      </c>
    </row>
    <row r="273" spans="1:20">
      <c r="A273" s="10" t="str">
        <f t="shared" si="34"/>
        <v/>
      </c>
      <c r="B273" s="63"/>
      <c r="C273" s="25" t="str">
        <f t="shared" si="30"/>
        <v/>
      </c>
      <c r="D273" s="25" t="str">
        <f t="shared" si="31"/>
        <v/>
      </c>
      <c r="E273" s="45"/>
      <c r="F273" s="28" t="str">
        <f>IFERROR(VLOOKUP(E273,Category!$D$2:$E$600,2,FALSE),"")</f>
        <v/>
      </c>
      <c r="G273" s="65"/>
      <c r="H273" s="56"/>
      <c r="I273" s="66"/>
      <c r="J273" s="67"/>
      <c r="K273" s="67"/>
      <c r="L273" s="67"/>
      <c r="M273" s="29" t="str">
        <f t="shared" si="32"/>
        <v/>
      </c>
      <c r="N273" s="29" t="str">
        <f t="shared" si="33"/>
        <v/>
      </c>
      <c r="O273" s="29" t="str">
        <f t="shared" si="28"/>
        <v/>
      </c>
      <c r="P273" s="61"/>
      <c r="Q273" s="61"/>
      <c r="R273" s="61"/>
      <c r="S273" s="45"/>
      <c r="T273" s="29" t="str">
        <f t="shared" si="29"/>
        <v/>
      </c>
    </row>
    <row r="274" spans="1:20">
      <c r="A274" s="10" t="str">
        <f t="shared" si="34"/>
        <v/>
      </c>
      <c r="B274" s="63"/>
      <c r="C274" s="25" t="str">
        <f t="shared" si="30"/>
        <v/>
      </c>
      <c r="D274" s="25" t="str">
        <f t="shared" si="31"/>
        <v/>
      </c>
      <c r="E274" s="45"/>
      <c r="F274" s="28" t="str">
        <f>IFERROR(VLOOKUP(E274,Category!$D$2:$E$600,2,FALSE),"")</f>
        <v/>
      </c>
      <c r="G274" s="65"/>
      <c r="H274" s="56"/>
      <c r="I274" s="66"/>
      <c r="J274" s="67"/>
      <c r="K274" s="67"/>
      <c r="L274" s="67"/>
      <c r="M274" s="29" t="str">
        <f t="shared" si="32"/>
        <v/>
      </c>
      <c r="N274" s="29" t="str">
        <f t="shared" si="33"/>
        <v/>
      </c>
      <c r="O274" s="29" t="str">
        <f t="shared" si="28"/>
        <v/>
      </c>
      <c r="P274" s="61"/>
      <c r="Q274" s="61"/>
      <c r="R274" s="61"/>
      <c r="S274" s="45"/>
      <c r="T274" s="29" t="str">
        <f t="shared" si="29"/>
        <v/>
      </c>
    </row>
    <row r="275" spans="1:20">
      <c r="A275" s="10" t="str">
        <f t="shared" si="34"/>
        <v/>
      </c>
      <c r="B275" s="63"/>
      <c r="C275" s="25" t="str">
        <f t="shared" si="30"/>
        <v/>
      </c>
      <c r="D275" s="25" t="str">
        <f t="shared" si="31"/>
        <v/>
      </c>
      <c r="E275" s="45"/>
      <c r="F275" s="28" t="str">
        <f>IFERROR(VLOOKUP(E275,Category!$D$2:$E$600,2,FALSE),"")</f>
        <v/>
      </c>
      <c r="G275" s="65"/>
      <c r="H275" s="56"/>
      <c r="I275" s="66"/>
      <c r="J275" s="67"/>
      <c r="K275" s="67"/>
      <c r="L275" s="67"/>
      <c r="M275" s="29" t="str">
        <f t="shared" si="32"/>
        <v/>
      </c>
      <c r="N275" s="29" t="str">
        <f t="shared" si="33"/>
        <v/>
      </c>
      <c r="O275" s="29" t="str">
        <f t="shared" si="28"/>
        <v/>
      </c>
      <c r="P275" s="61"/>
      <c r="Q275" s="61"/>
      <c r="R275" s="61"/>
      <c r="S275" s="45"/>
      <c r="T275" s="29" t="str">
        <f t="shared" si="29"/>
        <v/>
      </c>
    </row>
    <row r="276" spans="1:20">
      <c r="A276" s="10" t="str">
        <f t="shared" si="34"/>
        <v/>
      </c>
      <c r="B276" s="63"/>
      <c r="C276" s="25" t="str">
        <f t="shared" si="30"/>
        <v/>
      </c>
      <c r="D276" s="25" t="str">
        <f t="shared" si="31"/>
        <v/>
      </c>
      <c r="E276" s="45"/>
      <c r="F276" s="28" t="str">
        <f>IFERROR(VLOOKUP(E276,Category!$D$2:$E$600,2,FALSE),"")</f>
        <v/>
      </c>
      <c r="G276" s="65"/>
      <c r="H276" s="56"/>
      <c r="I276" s="66"/>
      <c r="J276" s="67"/>
      <c r="K276" s="67"/>
      <c r="L276" s="67"/>
      <c r="M276" s="29" t="str">
        <f t="shared" si="32"/>
        <v/>
      </c>
      <c r="N276" s="29" t="str">
        <f t="shared" si="33"/>
        <v/>
      </c>
      <c r="O276" s="29" t="str">
        <f t="shared" si="28"/>
        <v/>
      </c>
      <c r="P276" s="61"/>
      <c r="Q276" s="61"/>
      <c r="R276" s="61"/>
      <c r="S276" s="45"/>
      <c r="T276" s="29" t="str">
        <f t="shared" si="29"/>
        <v/>
      </c>
    </row>
    <row r="277" spans="1:20">
      <c r="A277" s="10" t="str">
        <f t="shared" si="34"/>
        <v/>
      </c>
      <c r="B277" s="63"/>
      <c r="C277" s="25" t="str">
        <f t="shared" si="30"/>
        <v/>
      </c>
      <c r="D277" s="25" t="str">
        <f t="shared" si="31"/>
        <v/>
      </c>
      <c r="E277" s="45"/>
      <c r="F277" s="28" t="str">
        <f>IFERROR(VLOOKUP(E277,Category!$D$2:$E$600,2,FALSE),"")</f>
        <v/>
      </c>
      <c r="G277" s="65"/>
      <c r="H277" s="56"/>
      <c r="I277" s="66"/>
      <c r="J277" s="67"/>
      <c r="K277" s="67"/>
      <c r="L277" s="67"/>
      <c r="M277" s="29" t="str">
        <f t="shared" si="32"/>
        <v/>
      </c>
      <c r="N277" s="29" t="str">
        <f t="shared" si="33"/>
        <v/>
      </c>
      <c r="O277" s="29" t="str">
        <f t="shared" si="28"/>
        <v/>
      </c>
      <c r="P277" s="61"/>
      <c r="Q277" s="61"/>
      <c r="R277" s="61"/>
      <c r="S277" s="45"/>
      <c r="T277" s="29" t="str">
        <f t="shared" si="29"/>
        <v/>
      </c>
    </row>
    <row r="278" spans="1:20">
      <c r="A278" s="10" t="str">
        <f t="shared" si="34"/>
        <v/>
      </c>
      <c r="B278" s="63"/>
      <c r="C278" s="25" t="str">
        <f t="shared" si="30"/>
        <v/>
      </c>
      <c r="D278" s="25" t="str">
        <f t="shared" si="31"/>
        <v/>
      </c>
      <c r="E278" s="45"/>
      <c r="F278" s="28" t="str">
        <f>IFERROR(VLOOKUP(E278,Category!$D$2:$E$600,2,FALSE),"")</f>
        <v/>
      </c>
      <c r="G278" s="65"/>
      <c r="H278" s="56"/>
      <c r="I278" s="66"/>
      <c r="J278" s="67"/>
      <c r="K278" s="67"/>
      <c r="L278" s="67"/>
      <c r="M278" s="29" t="str">
        <f t="shared" si="32"/>
        <v/>
      </c>
      <c r="N278" s="29" t="str">
        <f t="shared" si="33"/>
        <v/>
      </c>
      <c r="O278" s="29" t="str">
        <f t="shared" si="28"/>
        <v/>
      </c>
      <c r="P278" s="61"/>
      <c r="Q278" s="61"/>
      <c r="R278" s="61"/>
      <c r="S278" s="45"/>
      <c r="T278" s="29" t="str">
        <f t="shared" si="29"/>
        <v/>
      </c>
    </row>
    <row r="279" spans="1:20">
      <c r="A279" s="10" t="str">
        <f t="shared" si="34"/>
        <v/>
      </c>
      <c r="B279" s="63"/>
      <c r="C279" s="25" t="str">
        <f t="shared" si="30"/>
        <v/>
      </c>
      <c r="D279" s="25" t="str">
        <f t="shared" si="31"/>
        <v/>
      </c>
      <c r="E279" s="45"/>
      <c r="F279" s="28" t="str">
        <f>IFERROR(VLOOKUP(E279,Category!$D$2:$E$600,2,FALSE),"")</f>
        <v/>
      </c>
      <c r="G279" s="65"/>
      <c r="H279" s="56"/>
      <c r="I279" s="66"/>
      <c r="J279" s="67"/>
      <c r="K279" s="67"/>
      <c r="L279" s="67"/>
      <c r="M279" s="29" t="str">
        <f t="shared" si="32"/>
        <v/>
      </c>
      <c r="N279" s="29" t="str">
        <f t="shared" si="33"/>
        <v/>
      </c>
      <c r="O279" s="29" t="str">
        <f t="shared" si="28"/>
        <v/>
      </c>
      <c r="P279" s="61"/>
      <c r="Q279" s="61"/>
      <c r="R279" s="61"/>
      <c r="S279" s="45"/>
      <c r="T279" s="29" t="str">
        <f t="shared" si="29"/>
        <v/>
      </c>
    </row>
    <row r="280" spans="1:20">
      <c r="A280" s="10" t="str">
        <f t="shared" si="34"/>
        <v/>
      </c>
      <c r="B280" s="63"/>
      <c r="C280" s="25" t="str">
        <f t="shared" si="30"/>
        <v/>
      </c>
      <c r="D280" s="25" t="str">
        <f t="shared" si="31"/>
        <v/>
      </c>
      <c r="E280" s="45"/>
      <c r="F280" s="28" t="str">
        <f>IFERROR(VLOOKUP(E280,Category!$D$2:$E$600,2,FALSE),"")</f>
        <v/>
      </c>
      <c r="G280" s="65"/>
      <c r="H280" s="56"/>
      <c r="I280" s="66"/>
      <c r="J280" s="67"/>
      <c r="K280" s="67"/>
      <c r="L280" s="67"/>
      <c r="M280" s="29" t="str">
        <f t="shared" si="32"/>
        <v/>
      </c>
      <c r="N280" s="29" t="str">
        <f t="shared" si="33"/>
        <v/>
      </c>
      <c r="O280" s="29" t="str">
        <f t="shared" si="28"/>
        <v/>
      </c>
      <c r="P280" s="61"/>
      <c r="Q280" s="61"/>
      <c r="R280" s="61"/>
      <c r="S280" s="45"/>
      <c r="T280" s="29" t="str">
        <f t="shared" si="29"/>
        <v/>
      </c>
    </row>
    <row r="281" spans="1:20">
      <c r="A281" s="10" t="str">
        <f t="shared" si="34"/>
        <v/>
      </c>
      <c r="B281" s="63"/>
      <c r="C281" s="25" t="str">
        <f t="shared" si="30"/>
        <v/>
      </c>
      <c r="D281" s="25" t="str">
        <f t="shared" si="31"/>
        <v/>
      </c>
      <c r="E281" s="45"/>
      <c r="F281" s="28" t="str">
        <f>IFERROR(VLOOKUP(E281,Category!$D$2:$E$600,2,FALSE),"")</f>
        <v/>
      </c>
      <c r="G281" s="65"/>
      <c r="H281" s="56"/>
      <c r="I281" s="66"/>
      <c r="J281" s="67"/>
      <c r="K281" s="67"/>
      <c r="L281" s="67"/>
      <c r="M281" s="29" t="str">
        <f t="shared" si="32"/>
        <v/>
      </c>
      <c r="N281" s="29" t="str">
        <f t="shared" si="33"/>
        <v/>
      </c>
      <c r="O281" s="29" t="str">
        <f t="shared" si="28"/>
        <v/>
      </c>
      <c r="P281" s="61"/>
      <c r="Q281" s="61"/>
      <c r="R281" s="61"/>
      <c r="S281" s="45"/>
      <c r="T281" s="29" t="str">
        <f t="shared" si="29"/>
        <v/>
      </c>
    </row>
    <row r="282" spans="1:20">
      <c r="A282" s="10" t="str">
        <f t="shared" si="34"/>
        <v/>
      </c>
      <c r="B282" s="63"/>
      <c r="C282" s="25" t="str">
        <f t="shared" si="30"/>
        <v/>
      </c>
      <c r="D282" s="25" t="str">
        <f t="shared" si="31"/>
        <v/>
      </c>
      <c r="E282" s="45"/>
      <c r="F282" s="28" t="str">
        <f>IFERROR(VLOOKUP(E282,Category!$D$2:$E$600,2,FALSE),"")</f>
        <v/>
      </c>
      <c r="G282" s="65"/>
      <c r="H282" s="56"/>
      <c r="I282" s="66"/>
      <c r="J282" s="67"/>
      <c r="K282" s="67"/>
      <c r="L282" s="67"/>
      <c r="M282" s="29" t="str">
        <f t="shared" si="32"/>
        <v/>
      </c>
      <c r="N282" s="29" t="str">
        <f t="shared" si="33"/>
        <v/>
      </c>
      <c r="O282" s="29" t="str">
        <f t="shared" si="28"/>
        <v/>
      </c>
      <c r="P282" s="61"/>
      <c r="Q282" s="61"/>
      <c r="R282" s="61"/>
      <c r="S282" s="45"/>
      <c r="T282" s="29" t="str">
        <f t="shared" si="29"/>
        <v/>
      </c>
    </row>
    <row r="283" spans="1:20">
      <c r="A283" s="10" t="str">
        <f t="shared" si="34"/>
        <v/>
      </c>
      <c r="B283" s="63"/>
      <c r="C283" s="25" t="str">
        <f t="shared" si="30"/>
        <v/>
      </c>
      <c r="D283" s="25" t="str">
        <f t="shared" si="31"/>
        <v/>
      </c>
      <c r="E283" s="45"/>
      <c r="F283" s="28" t="str">
        <f>IFERROR(VLOOKUP(E283,Category!$D$2:$E$600,2,FALSE),"")</f>
        <v/>
      </c>
      <c r="G283" s="65"/>
      <c r="H283" s="56"/>
      <c r="I283" s="66"/>
      <c r="J283" s="67"/>
      <c r="K283" s="67"/>
      <c r="L283" s="67"/>
      <c r="M283" s="29" t="str">
        <f t="shared" si="32"/>
        <v/>
      </c>
      <c r="N283" s="29" t="str">
        <f t="shared" si="33"/>
        <v/>
      </c>
      <c r="O283" s="29" t="str">
        <f t="shared" si="28"/>
        <v/>
      </c>
      <c r="P283" s="61"/>
      <c r="Q283" s="61"/>
      <c r="R283" s="61"/>
      <c r="S283" s="45"/>
      <c r="T283" s="29" t="str">
        <f t="shared" si="29"/>
        <v/>
      </c>
    </row>
    <row r="284" spans="1:20">
      <c r="A284" s="10" t="str">
        <f t="shared" si="34"/>
        <v/>
      </c>
      <c r="B284" s="63"/>
      <c r="C284" s="25" t="str">
        <f t="shared" si="30"/>
        <v/>
      </c>
      <c r="D284" s="25" t="str">
        <f t="shared" si="31"/>
        <v/>
      </c>
      <c r="E284" s="45"/>
      <c r="F284" s="28" t="str">
        <f>IFERROR(VLOOKUP(E284,Category!$D$2:$E$600,2,FALSE),"")</f>
        <v/>
      </c>
      <c r="G284" s="65"/>
      <c r="H284" s="56"/>
      <c r="I284" s="66"/>
      <c r="J284" s="67"/>
      <c r="K284" s="67"/>
      <c r="L284" s="67"/>
      <c r="M284" s="29" t="str">
        <f t="shared" si="32"/>
        <v/>
      </c>
      <c r="N284" s="29" t="str">
        <f t="shared" si="33"/>
        <v/>
      </c>
      <c r="O284" s="29" t="str">
        <f t="shared" si="28"/>
        <v/>
      </c>
      <c r="P284" s="61"/>
      <c r="Q284" s="61"/>
      <c r="R284" s="61"/>
      <c r="S284" s="45"/>
      <c r="T284" s="29" t="str">
        <f t="shared" si="29"/>
        <v/>
      </c>
    </row>
    <row r="285" spans="1:20">
      <c r="A285" s="10" t="str">
        <f t="shared" si="34"/>
        <v/>
      </c>
      <c r="B285" s="63"/>
      <c r="C285" s="25" t="str">
        <f t="shared" si="30"/>
        <v/>
      </c>
      <c r="D285" s="25" t="str">
        <f t="shared" si="31"/>
        <v/>
      </c>
      <c r="E285" s="45"/>
      <c r="F285" s="28" t="str">
        <f>IFERROR(VLOOKUP(E285,Category!$D$2:$E$600,2,FALSE),"")</f>
        <v/>
      </c>
      <c r="G285" s="65"/>
      <c r="H285" s="56"/>
      <c r="I285" s="66"/>
      <c r="J285" s="67"/>
      <c r="K285" s="67"/>
      <c r="L285" s="67"/>
      <c r="M285" s="29" t="str">
        <f t="shared" si="32"/>
        <v/>
      </c>
      <c r="N285" s="29" t="str">
        <f t="shared" si="33"/>
        <v/>
      </c>
      <c r="O285" s="29" t="str">
        <f t="shared" si="28"/>
        <v/>
      </c>
      <c r="P285" s="61"/>
      <c r="Q285" s="61"/>
      <c r="R285" s="61"/>
      <c r="S285" s="45"/>
      <c r="T285" s="29" t="str">
        <f t="shared" si="29"/>
        <v/>
      </c>
    </row>
    <row r="286" spans="1:20">
      <c r="A286" s="10" t="str">
        <f t="shared" si="34"/>
        <v/>
      </c>
      <c r="B286" s="63"/>
      <c r="C286" s="25" t="str">
        <f t="shared" si="30"/>
        <v/>
      </c>
      <c r="D286" s="25" t="str">
        <f t="shared" si="31"/>
        <v/>
      </c>
      <c r="E286" s="45"/>
      <c r="F286" s="28" t="str">
        <f>IFERROR(VLOOKUP(E286,Category!$D$2:$E$600,2,FALSE),"")</f>
        <v/>
      </c>
      <c r="G286" s="65"/>
      <c r="H286" s="56"/>
      <c r="I286" s="66"/>
      <c r="J286" s="67"/>
      <c r="K286" s="67"/>
      <c r="L286" s="67"/>
      <c r="M286" s="29" t="str">
        <f t="shared" si="32"/>
        <v/>
      </c>
      <c r="N286" s="29" t="str">
        <f t="shared" si="33"/>
        <v/>
      </c>
      <c r="O286" s="29" t="str">
        <f t="shared" si="28"/>
        <v/>
      </c>
      <c r="P286" s="61"/>
      <c r="Q286" s="61"/>
      <c r="R286" s="61"/>
      <c r="S286" s="45"/>
      <c r="T286" s="29" t="str">
        <f t="shared" si="29"/>
        <v/>
      </c>
    </row>
    <row r="287" spans="1:20">
      <c r="A287" s="10" t="str">
        <f t="shared" si="34"/>
        <v/>
      </c>
      <c r="B287" s="63"/>
      <c r="C287" s="25" t="str">
        <f t="shared" si="30"/>
        <v/>
      </c>
      <c r="D287" s="25" t="str">
        <f t="shared" si="31"/>
        <v/>
      </c>
      <c r="E287" s="45"/>
      <c r="F287" s="28" t="str">
        <f>IFERROR(VLOOKUP(E287,Category!$D$2:$E$600,2,FALSE),"")</f>
        <v/>
      </c>
      <c r="G287" s="65"/>
      <c r="H287" s="56"/>
      <c r="I287" s="66"/>
      <c r="J287" s="67"/>
      <c r="K287" s="67"/>
      <c r="L287" s="67"/>
      <c r="M287" s="29" t="str">
        <f t="shared" si="32"/>
        <v/>
      </c>
      <c r="N287" s="29" t="str">
        <f t="shared" si="33"/>
        <v/>
      </c>
      <c r="O287" s="29" t="str">
        <f t="shared" si="28"/>
        <v/>
      </c>
      <c r="P287" s="61"/>
      <c r="Q287" s="61"/>
      <c r="R287" s="61"/>
      <c r="S287" s="45"/>
      <c r="T287" s="29" t="str">
        <f t="shared" si="29"/>
        <v/>
      </c>
    </row>
    <row r="288" spans="1:20">
      <c r="A288" s="10" t="str">
        <f t="shared" si="34"/>
        <v/>
      </c>
      <c r="B288" s="63"/>
      <c r="C288" s="25" t="str">
        <f t="shared" si="30"/>
        <v/>
      </c>
      <c r="D288" s="25" t="str">
        <f t="shared" si="31"/>
        <v/>
      </c>
      <c r="E288" s="45"/>
      <c r="F288" s="28" t="str">
        <f>IFERROR(VLOOKUP(E288,Category!$D$2:$E$600,2,FALSE),"")</f>
        <v/>
      </c>
      <c r="G288" s="65"/>
      <c r="H288" s="56"/>
      <c r="I288" s="66"/>
      <c r="J288" s="67"/>
      <c r="K288" s="67"/>
      <c r="L288" s="67"/>
      <c r="M288" s="29" t="str">
        <f t="shared" si="32"/>
        <v/>
      </c>
      <c r="N288" s="29" t="str">
        <f t="shared" si="33"/>
        <v/>
      </c>
      <c r="O288" s="29" t="str">
        <f t="shared" si="28"/>
        <v/>
      </c>
      <c r="P288" s="61"/>
      <c r="Q288" s="61"/>
      <c r="R288" s="61"/>
      <c r="S288" s="45"/>
      <c r="T288" s="29" t="str">
        <f t="shared" si="29"/>
        <v/>
      </c>
    </row>
    <row r="289" spans="1:20">
      <c r="A289" s="10" t="str">
        <f t="shared" si="34"/>
        <v/>
      </c>
      <c r="B289" s="63"/>
      <c r="C289" s="25" t="str">
        <f t="shared" si="30"/>
        <v/>
      </c>
      <c r="D289" s="25" t="str">
        <f t="shared" si="31"/>
        <v/>
      </c>
      <c r="E289" s="45"/>
      <c r="F289" s="28" t="str">
        <f>IFERROR(VLOOKUP(E289,Category!$D$2:$E$600,2,FALSE),"")</f>
        <v/>
      </c>
      <c r="G289" s="65"/>
      <c r="H289" s="56"/>
      <c r="I289" s="66"/>
      <c r="J289" s="67"/>
      <c r="K289" s="67"/>
      <c r="L289" s="67"/>
      <c r="M289" s="29" t="str">
        <f t="shared" si="32"/>
        <v/>
      </c>
      <c r="N289" s="29" t="str">
        <f t="shared" si="33"/>
        <v/>
      </c>
      <c r="O289" s="29" t="str">
        <f t="shared" si="28"/>
        <v/>
      </c>
      <c r="P289" s="61"/>
      <c r="Q289" s="61"/>
      <c r="R289" s="61"/>
      <c r="S289" s="45"/>
      <c r="T289" s="29" t="str">
        <f t="shared" si="29"/>
        <v/>
      </c>
    </row>
    <row r="290" spans="1:20">
      <c r="A290" s="10" t="str">
        <f t="shared" si="34"/>
        <v/>
      </c>
      <c r="B290" s="63"/>
      <c r="C290" s="25" t="str">
        <f t="shared" si="30"/>
        <v/>
      </c>
      <c r="D290" s="25" t="str">
        <f t="shared" si="31"/>
        <v/>
      </c>
      <c r="E290" s="45"/>
      <c r="F290" s="28" t="str">
        <f>IFERROR(VLOOKUP(E290,Category!$D$2:$E$600,2,FALSE),"")</f>
        <v/>
      </c>
      <c r="G290" s="65"/>
      <c r="H290" s="56"/>
      <c r="I290" s="66"/>
      <c r="J290" s="67"/>
      <c r="K290" s="67"/>
      <c r="L290" s="67"/>
      <c r="M290" s="29" t="str">
        <f t="shared" si="32"/>
        <v/>
      </c>
      <c r="N290" s="29" t="str">
        <f t="shared" si="33"/>
        <v/>
      </c>
      <c r="O290" s="29" t="str">
        <f t="shared" si="28"/>
        <v/>
      </c>
      <c r="P290" s="61"/>
      <c r="Q290" s="61"/>
      <c r="R290" s="61"/>
      <c r="S290" s="45"/>
      <c r="T290" s="29" t="str">
        <f t="shared" si="29"/>
        <v/>
      </c>
    </row>
    <row r="291" spans="1:20">
      <c r="A291" s="10" t="str">
        <f t="shared" si="34"/>
        <v/>
      </c>
      <c r="B291" s="63"/>
      <c r="C291" s="25" t="str">
        <f t="shared" si="30"/>
        <v/>
      </c>
      <c r="D291" s="25" t="str">
        <f t="shared" si="31"/>
        <v/>
      </c>
      <c r="E291" s="45"/>
      <c r="F291" s="28" t="str">
        <f>IFERROR(VLOOKUP(E291,Category!$D$2:$E$600,2,FALSE),"")</f>
        <v/>
      </c>
      <c r="G291" s="65"/>
      <c r="H291" s="56"/>
      <c r="I291" s="66"/>
      <c r="J291" s="67"/>
      <c r="K291" s="67"/>
      <c r="L291" s="67"/>
      <c r="M291" s="29" t="str">
        <f t="shared" si="32"/>
        <v/>
      </c>
      <c r="N291" s="29" t="str">
        <f t="shared" si="33"/>
        <v/>
      </c>
      <c r="O291" s="29" t="str">
        <f t="shared" si="28"/>
        <v/>
      </c>
      <c r="P291" s="61"/>
      <c r="Q291" s="61"/>
      <c r="R291" s="61"/>
      <c r="S291" s="45"/>
      <c r="T291" s="29" t="str">
        <f t="shared" si="29"/>
        <v/>
      </c>
    </row>
    <row r="292" spans="1:20">
      <c r="A292" s="10" t="str">
        <f t="shared" si="34"/>
        <v/>
      </c>
      <c r="B292" s="63"/>
      <c r="C292" s="25" t="str">
        <f t="shared" si="30"/>
        <v/>
      </c>
      <c r="D292" s="25" t="str">
        <f t="shared" si="31"/>
        <v/>
      </c>
      <c r="E292" s="45"/>
      <c r="F292" s="28" t="str">
        <f>IFERROR(VLOOKUP(E292,Category!$D$2:$E$600,2,FALSE),"")</f>
        <v/>
      </c>
      <c r="G292" s="65"/>
      <c r="H292" s="56"/>
      <c r="I292" s="66"/>
      <c r="J292" s="67"/>
      <c r="K292" s="67"/>
      <c r="L292" s="67"/>
      <c r="M292" s="29" t="str">
        <f t="shared" si="32"/>
        <v/>
      </c>
      <c r="N292" s="29" t="str">
        <f t="shared" si="33"/>
        <v/>
      </c>
      <c r="O292" s="29" t="str">
        <f t="shared" si="28"/>
        <v/>
      </c>
      <c r="P292" s="61"/>
      <c r="Q292" s="61"/>
      <c r="R292" s="61"/>
      <c r="S292" s="45"/>
      <c r="T292" s="29" t="str">
        <f t="shared" si="29"/>
        <v/>
      </c>
    </row>
    <row r="293" spans="1:20">
      <c r="A293" s="10" t="str">
        <f t="shared" si="34"/>
        <v/>
      </c>
      <c r="B293" s="63"/>
      <c r="C293" s="25" t="str">
        <f t="shared" si="30"/>
        <v/>
      </c>
      <c r="D293" s="25" t="str">
        <f t="shared" si="31"/>
        <v/>
      </c>
      <c r="E293" s="45"/>
      <c r="F293" s="28" t="str">
        <f>IFERROR(VLOOKUP(E293,Category!$D$2:$E$600,2,FALSE),"")</f>
        <v/>
      </c>
      <c r="G293" s="65"/>
      <c r="H293" s="56"/>
      <c r="I293" s="66"/>
      <c r="J293" s="67"/>
      <c r="K293" s="67"/>
      <c r="L293" s="67"/>
      <c r="M293" s="29" t="str">
        <f t="shared" si="32"/>
        <v/>
      </c>
      <c r="N293" s="29" t="str">
        <f t="shared" si="33"/>
        <v/>
      </c>
      <c r="O293" s="29" t="str">
        <f t="shared" si="28"/>
        <v/>
      </c>
      <c r="P293" s="61"/>
      <c r="Q293" s="61"/>
      <c r="R293" s="61"/>
      <c r="S293" s="45"/>
      <c r="T293" s="29" t="str">
        <f t="shared" si="29"/>
        <v/>
      </c>
    </row>
    <row r="294" spans="1:20">
      <c r="A294" s="10" t="str">
        <f t="shared" si="34"/>
        <v/>
      </c>
      <c r="B294" s="63"/>
      <c r="C294" s="25" t="str">
        <f t="shared" si="30"/>
        <v/>
      </c>
      <c r="D294" s="25" t="str">
        <f t="shared" si="31"/>
        <v/>
      </c>
      <c r="E294" s="45"/>
      <c r="F294" s="28" t="str">
        <f>IFERROR(VLOOKUP(E294,Category!$D$2:$E$600,2,FALSE),"")</f>
        <v/>
      </c>
      <c r="G294" s="65"/>
      <c r="H294" s="56"/>
      <c r="I294" s="66"/>
      <c r="J294" s="67"/>
      <c r="K294" s="67"/>
      <c r="L294" s="67"/>
      <c r="M294" s="29" t="str">
        <f t="shared" si="32"/>
        <v/>
      </c>
      <c r="N294" s="29" t="str">
        <f t="shared" si="33"/>
        <v/>
      </c>
      <c r="O294" s="29" t="str">
        <f t="shared" si="28"/>
        <v/>
      </c>
      <c r="P294" s="61"/>
      <c r="Q294" s="61"/>
      <c r="R294" s="61"/>
      <c r="S294" s="45"/>
      <c r="T294" s="29" t="str">
        <f t="shared" si="29"/>
        <v/>
      </c>
    </row>
    <row r="295" spans="1:20">
      <c r="A295" s="10" t="str">
        <f t="shared" si="34"/>
        <v/>
      </c>
      <c r="B295" s="63"/>
      <c r="C295" s="25" t="str">
        <f t="shared" si="30"/>
        <v/>
      </c>
      <c r="D295" s="25" t="str">
        <f t="shared" si="31"/>
        <v/>
      </c>
      <c r="E295" s="45"/>
      <c r="F295" s="28" t="str">
        <f>IFERROR(VLOOKUP(E295,Category!$D$2:$E$600,2,FALSE),"")</f>
        <v/>
      </c>
      <c r="G295" s="65"/>
      <c r="H295" s="56"/>
      <c r="I295" s="66"/>
      <c r="J295" s="67"/>
      <c r="K295" s="67"/>
      <c r="L295" s="67"/>
      <c r="M295" s="29" t="str">
        <f t="shared" si="32"/>
        <v/>
      </c>
      <c r="N295" s="29" t="str">
        <f t="shared" si="33"/>
        <v/>
      </c>
      <c r="O295" s="29" t="str">
        <f t="shared" si="28"/>
        <v/>
      </c>
      <c r="P295" s="61"/>
      <c r="Q295" s="61"/>
      <c r="R295" s="61"/>
      <c r="S295" s="45"/>
      <c r="T295" s="29" t="str">
        <f t="shared" si="29"/>
        <v/>
      </c>
    </row>
    <row r="296" spans="1:20">
      <c r="A296" s="10" t="str">
        <f t="shared" si="34"/>
        <v/>
      </c>
      <c r="B296" s="63"/>
      <c r="C296" s="25" t="str">
        <f t="shared" si="30"/>
        <v/>
      </c>
      <c r="D296" s="25" t="str">
        <f t="shared" si="31"/>
        <v/>
      </c>
      <c r="E296" s="45"/>
      <c r="F296" s="28" t="str">
        <f>IFERROR(VLOOKUP(E296,Category!$D$2:$E$600,2,FALSE),"")</f>
        <v/>
      </c>
      <c r="G296" s="65"/>
      <c r="H296" s="56"/>
      <c r="I296" s="66"/>
      <c r="J296" s="67"/>
      <c r="K296" s="67"/>
      <c r="L296" s="67"/>
      <c r="M296" s="29" t="str">
        <f t="shared" si="32"/>
        <v/>
      </c>
      <c r="N296" s="29" t="str">
        <f t="shared" si="33"/>
        <v/>
      </c>
      <c r="O296" s="29" t="str">
        <f t="shared" si="28"/>
        <v/>
      </c>
      <c r="P296" s="61"/>
      <c r="Q296" s="61"/>
      <c r="R296" s="61"/>
      <c r="S296" s="45"/>
      <c r="T296" s="29" t="str">
        <f t="shared" si="29"/>
        <v/>
      </c>
    </row>
    <row r="297" spans="1:20">
      <c r="A297" s="10" t="str">
        <f t="shared" si="34"/>
        <v/>
      </c>
      <c r="B297" s="63"/>
      <c r="C297" s="25" t="str">
        <f t="shared" si="30"/>
        <v/>
      </c>
      <c r="D297" s="25" t="str">
        <f t="shared" si="31"/>
        <v/>
      </c>
      <c r="E297" s="45"/>
      <c r="F297" s="28" t="str">
        <f>IFERROR(VLOOKUP(E297,Category!$D$2:$E$600,2,FALSE),"")</f>
        <v/>
      </c>
      <c r="G297" s="65"/>
      <c r="H297" s="56"/>
      <c r="I297" s="66"/>
      <c r="J297" s="67"/>
      <c r="K297" s="67"/>
      <c r="L297" s="67"/>
      <c r="M297" s="29" t="str">
        <f t="shared" si="32"/>
        <v/>
      </c>
      <c r="N297" s="29" t="str">
        <f t="shared" si="33"/>
        <v/>
      </c>
      <c r="O297" s="29" t="str">
        <f t="shared" si="28"/>
        <v/>
      </c>
      <c r="P297" s="61"/>
      <c r="Q297" s="61"/>
      <c r="R297" s="61"/>
      <c r="S297" s="45"/>
      <c r="T297" s="29" t="str">
        <f t="shared" si="29"/>
        <v/>
      </c>
    </row>
    <row r="298" spans="1:20">
      <c r="A298" s="10" t="str">
        <f t="shared" si="34"/>
        <v/>
      </c>
      <c r="B298" s="63"/>
      <c r="C298" s="25" t="str">
        <f t="shared" si="30"/>
        <v/>
      </c>
      <c r="D298" s="25" t="str">
        <f t="shared" si="31"/>
        <v/>
      </c>
      <c r="E298" s="45"/>
      <c r="F298" s="28" t="str">
        <f>IFERROR(VLOOKUP(E298,Category!$D$2:$E$600,2,FALSE),"")</f>
        <v/>
      </c>
      <c r="G298" s="65"/>
      <c r="H298" s="56"/>
      <c r="I298" s="66"/>
      <c r="J298" s="67"/>
      <c r="K298" s="67"/>
      <c r="L298" s="67"/>
      <c r="M298" s="29" t="str">
        <f t="shared" si="32"/>
        <v/>
      </c>
      <c r="N298" s="29" t="str">
        <f t="shared" si="33"/>
        <v/>
      </c>
      <c r="O298" s="29" t="str">
        <f t="shared" si="28"/>
        <v/>
      </c>
      <c r="P298" s="61"/>
      <c r="Q298" s="61"/>
      <c r="R298" s="61"/>
      <c r="S298" s="45"/>
      <c r="T298" s="29" t="str">
        <f t="shared" si="29"/>
        <v/>
      </c>
    </row>
    <row r="299" spans="1:20">
      <c r="A299" s="10" t="str">
        <f t="shared" si="34"/>
        <v/>
      </c>
      <c r="B299" s="63"/>
      <c r="C299" s="25" t="str">
        <f t="shared" si="30"/>
        <v/>
      </c>
      <c r="D299" s="25" t="str">
        <f t="shared" si="31"/>
        <v/>
      </c>
      <c r="E299" s="45"/>
      <c r="F299" s="28" t="str">
        <f>IFERROR(VLOOKUP(E299,Category!$D$2:$E$600,2,FALSE),"")</f>
        <v/>
      </c>
      <c r="G299" s="65"/>
      <c r="H299" s="56"/>
      <c r="I299" s="66"/>
      <c r="J299" s="67"/>
      <c r="K299" s="67"/>
      <c r="L299" s="67"/>
      <c r="M299" s="29" t="str">
        <f t="shared" si="32"/>
        <v/>
      </c>
      <c r="N299" s="29" t="str">
        <f t="shared" si="33"/>
        <v/>
      </c>
      <c r="O299" s="29" t="str">
        <f t="shared" si="28"/>
        <v/>
      </c>
      <c r="P299" s="61"/>
      <c r="Q299" s="61"/>
      <c r="R299" s="61"/>
      <c r="S299" s="45"/>
      <c r="T299" s="29" t="str">
        <f t="shared" si="29"/>
        <v/>
      </c>
    </row>
    <row r="300" spans="1:20">
      <c r="A300" s="10" t="str">
        <f t="shared" si="34"/>
        <v/>
      </c>
      <c r="B300" s="63"/>
      <c r="C300" s="25" t="str">
        <f t="shared" si="30"/>
        <v/>
      </c>
      <c r="D300" s="25" t="str">
        <f t="shared" si="31"/>
        <v/>
      </c>
      <c r="E300" s="45"/>
      <c r="F300" s="28" t="str">
        <f>IFERROR(VLOOKUP(E300,Category!$D$2:$E$600,2,FALSE),"")</f>
        <v/>
      </c>
      <c r="G300" s="65"/>
      <c r="H300" s="56"/>
      <c r="I300" s="66"/>
      <c r="J300" s="67"/>
      <c r="K300" s="67"/>
      <c r="L300" s="67"/>
      <c r="M300" s="29" t="str">
        <f t="shared" si="32"/>
        <v/>
      </c>
      <c r="N300" s="29" t="str">
        <f t="shared" si="33"/>
        <v/>
      </c>
      <c r="O300" s="29" t="str">
        <f t="shared" si="28"/>
        <v/>
      </c>
      <c r="P300" s="61"/>
      <c r="Q300" s="61"/>
      <c r="R300" s="61"/>
      <c r="S300" s="45"/>
      <c r="T300" s="29" t="str">
        <f t="shared" si="29"/>
        <v/>
      </c>
    </row>
    <row r="301" spans="1:20">
      <c r="A301" s="10" t="str">
        <f t="shared" si="34"/>
        <v/>
      </c>
      <c r="B301" s="63"/>
      <c r="C301" s="25" t="str">
        <f t="shared" si="30"/>
        <v/>
      </c>
      <c r="D301" s="25" t="str">
        <f t="shared" si="31"/>
        <v/>
      </c>
      <c r="E301" s="45"/>
      <c r="F301" s="28" t="str">
        <f>IFERROR(VLOOKUP(E301,Category!$D$2:$E$600,2,FALSE),"")</f>
        <v/>
      </c>
      <c r="G301" s="65"/>
      <c r="H301" s="56"/>
      <c r="I301" s="66"/>
      <c r="J301" s="67"/>
      <c r="K301" s="67"/>
      <c r="L301" s="67"/>
      <c r="M301" s="29" t="str">
        <f t="shared" si="32"/>
        <v/>
      </c>
      <c r="N301" s="29" t="str">
        <f t="shared" si="33"/>
        <v/>
      </c>
      <c r="O301" s="29" t="str">
        <f t="shared" si="28"/>
        <v/>
      </c>
      <c r="P301" s="61"/>
      <c r="Q301" s="61"/>
      <c r="R301" s="61"/>
      <c r="S301" s="45"/>
      <c r="T301" s="29" t="str">
        <f t="shared" si="29"/>
        <v/>
      </c>
    </row>
    <row r="302" spans="1:20">
      <c r="A302" s="10" t="str">
        <f t="shared" si="34"/>
        <v/>
      </c>
      <c r="B302" s="63"/>
      <c r="C302" s="25" t="str">
        <f t="shared" si="30"/>
        <v/>
      </c>
      <c r="D302" s="25" t="str">
        <f t="shared" si="31"/>
        <v/>
      </c>
      <c r="E302" s="45"/>
      <c r="F302" s="28" t="str">
        <f>IFERROR(VLOOKUP(E302,Category!$D$2:$E$600,2,FALSE),"")</f>
        <v/>
      </c>
      <c r="G302" s="65"/>
      <c r="H302" s="56"/>
      <c r="I302" s="66"/>
      <c r="J302" s="67"/>
      <c r="K302" s="67"/>
      <c r="L302" s="67"/>
      <c r="M302" s="29" t="str">
        <f t="shared" si="32"/>
        <v/>
      </c>
      <c r="N302" s="29" t="str">
        <f t="shared" si="33"/>
        <v/>
      </c>
      <c r="O302" s="29" t="str">
        <f t="shared" si="28"/>
        <v/>
      </c>
      <c r="P302" s="61"/>
      <c r="Q302" s="61"/>
      <c r="R302" s="61"/>
      <c r="S302" s="45"/>
      <c r="T302" s="29" t="str">
        <f t="shared" si="29"/>
        <v/>
      </c>
    </row>
    <row r="303" spans="1:20">
      <c r="A303" s="10" t="str">
        <f t="shared" si="34"/>
        <v/>
      </c>
      <c r="B303" s="63"/>
      <c r="C303" s="25" t="str">
        <f t="shared" si="30"/>
        <v/>
      </c>
      <c r="D303" s="25" t="str">
        <f t="shared" si="31"/>
        <v/>
      </c>
      <c r="E303" s="45"/>
      <c r="F303" s="28" t="str">
        <f>IFERROR(VLOOKUP(E303,Category!$D$2:$E$600,2,FALSE),"")</f>
        <v/>
      </c>
      <c r="G303" s="65"/>
      <c r="H303" s="56"/>
      <c r="I303" s="66"/>
      <c r="J303" s="67"/>
      <c r="K303" s="67"/>
      <c r="L303" s="67"/>
      <c r="M303" s="29" t="str">
        <f t="shared" si="32"/>
        <v/>
      </c>
      <c r="N303" s="29" t="str">
        <f t="shared" si="33"/>
        <v/>
      </c>
      <c r="O303" s="29" t="str">
        <f t="shared" si="28"/>
        <v/>
      </c>
      <c r="P303" s="61"/>
      <c r="Q303" s="61"/>
      <c r="R303" s="61"/>
      <c r="S303" s="45"/>
      <c r="T303" s="29" t="str">
        <f t="shared" si="29"/>
        <v/>
      </c>
    </row>
    <row r="304" spans="1:20">
      <c r="A304" s="10" t="str">
        <f t="shared" si="34"/>
        <v/>
      </c>
      <c r="B304" s="63"/>
      <c r="C304" s="25" t="str">
        <f t="shared" si="30"/>
        <v/>
      </c>
      <c r="D304" s="25" t="str">
        <f t="shared" si="31"/>
        <v/>
      </c>
      <c r="E304" s="45"/>
      <c r="F304" s="28" t="str">
        <f>IFERROR(VLOOKUP(E304,Category!$D$2:$E$600,2,FALSE),"")</f>
        <v/>
      </c>
      <c r="G304" s="65"/>
      <c r="H304" s="56"/>
      <c r="I304" s="66"/>
      <c r="J304" s="67"/>
      <c r="K304" s="67"/>
      <c r="L304" s="67"/>
      <c r="M304" s="29" t="str">
        <f t="shared" si="32"/>
        <v/>
      </c>
      <c r="N304" s="29" t="str">
        <f t="shared" si="33"/>
        <v/>
      </c>
      <c r="O304" s="29" t="str">
        <f t="shared" si="28"/>
        <v/>
      </c>
      <c r="P304" s="61"/>
      <c r="Q304" s="61"/>
      <c r="R304" s="61"/>
      <c r="S304" s="45"/>
      <c r="T304" s="29" t="str">
        <f t="shared" si="29"/>
        <v/>
      </c>
    </row>
    <row r="305" spans="1:20">
      <c r="A305" s="10" t="str">
        <f t="shared" si="34"/>
        <v/>
      </c>
      <c r="B305" s="63"/>
      <c r="C305" s="25" t="str">
        <f t="shared" si="30"/>
        <v/>
      </c>
      <c r="D305" s="25" t="str">
        <f t="shared" si="31"/>
        <v/>
      </c>
      <c r="E305" s="45"/>
      <c r="F305" s="28" t="str">
        <f>IFERROR(VLOOKUP(E305,Category!$D$2:$E$600,2,FALSE),"")</f>
        <v/>
      </c>
      <c r="G305" s="65"/>
      <c r="H305" s="56"/>
      <c r="I305" s="66"/>
      <c r="J305" s="67"/>
      <c r="K305" s="67"/>
      <c r="L305" s="67"/>
      <c r="M305" s="29" t="str">
        <f t="shared" si="32"/>
        <v/>
      </c>
      <c r="N305" s="29" t="str">
        <f t="shared" si="33"/>
        <v/>
      </c>
      <c r="O305" s="29" t="str">
        <f t="shared" si="28"/>
        <v/>
      </c>
      <c r="P305" s="61"/>
      <c r="Q305" s="61"/>
      <c r="R305" s="61"/>
      <c r="S305" s="45"/>
      <c r="T305" s="29" t="str">
        <f t="shared" si="29"/>
        <v/>
      </c>
    </row>
    <row r="306" spans="1:20">
      <c r="A306" s="10" t="str">
        <f t="shared" si="34"/>
        <v/>
      </c>
      <c r="B306" s="63"/>
      <c r="C306" s="25" t="str">
        <f t="shared" si="30"/>
        <v/>
      </c>
      <c r="D306" s="25" t="str">
        <f t="shared" si="31"/>
        <v/>
      </c>
      <c r="E306" s="45"/>
      <c r="F306" s="28" t="str">
        <f>IFERROR(VLOOKUP(E306,Category!$D$2:$E$600,2,FALSE),"")</f>
        <v/>
      </c>
      <c r="G306" s="65"/>
      <c r="H306" s="56"/>
      <c r="I306" s="66"/>
      <c r="J306" s="67"/>
      <c r="K306" s="67"/>
      <c r="L306" s="67"/>
      <c r="M306" s="29" t="str">
        <f t="shared" si="32"/>
        <v/>
      </c>
      <c r="N306" s="29" t="str">
        <f t="shared" si="33"/>
        <v/>
      </c>
      <c r="O306" s="29" t="str">
        <f t="shared" si="28"/>
        <v/>
      </c>
      <c r="P306" s="61"/>
      <c r="Q306" s="61"/>
      <c r="R306" s="61"/>
      <c r="S306" s="45"/>
      <c r="T306" s="29" t="str">
        <f t="shared" si="29"/>
        <v/>
      </c>
    </row>
    <row r="307" spans="1:20">
      <c r="A307" s="10" t="str">
        <f t="shared" si="34"/>
        <v/>
      </c>
      <c r="B307" s="63"/>
      <c r="C307" s="25" t="str">
        <f t="shared" si="30"/>
        <v/>
      </c>
      <c r="D307" s="25" t="str">
        <f t="shared" si="31"/>
        <v/>
      </c>
      <c r="E307" s="45"/>
      <c r="F307" s="28" t="str">
        <f>IFERROR(VLOOKUP(E307,Category!$D$2:$E$600,2,FALSE),"")</f>
        <v/>
      </c>
      <c r="G307" s="65"/>
      <c r="H307" s="56"/>
      <c r="I307" s="66"/>
      <c r="J307" s="67"/>
      <c r="K307" s="67"/>
      <c r="L307" s="67"/>
      <c r="M307" s="29" t="str">
        <f t="shared" si="32"/>
        <v/>
      </c>
      <c r="N307" s="29" t="str">
        <f t="shared" si="33"/>
        <v/>
      </c>
      <c r="O307" s="29" t="str">
        <f t="shared" si="28"/>
        <v/>
      </c>
      <c r="P307" s="61"/>
      <c r="Q307" s="61"/>
      <c r="R307" s="61"/>
      <c r="S307" s="45"/>
      <c r="T307" s="29" t="str">
        <f t="shared" si="29"/>
        <v/>
      </c>
    </row>
    <row r="308" spans="1:20">
      <c r="A308" s="10" t="str">
        <f t="shared" si="34"/>
        <v/>
      </c>
      <c r="B308" s="63"/>
      <c r="C308" s="25" t="str">
        <f t="shared" si="30"/>
        <v/>
      </c>
      <c r="D308" s="25" t="str">
        <f t="shared" si="31"/>
        <v/>
      </c>
      <c r="E308" s="45"/>
      <c r="F308" s="28" t="str">
        <f>IFERROR(VLOOKUP(E308,Category!$D$2:$E$600,2,FALSE),"")</f>
        <v/>
      </c>
      <c r="G308" s="65"/>
      <c r="H308" s="56"/>
      <c r="I308" s="66"/>
      <c r="J308" s="67"/>
      <c r="K308" s="67"/>
      <c r="L308" s="67"/>
      <c r="M308" s="29" t="str">
        <f t="shared" si="32"/>
        <v/>
      </c>
      <c r="N308" s="29" t="str">
        <f t="shared" si="33"/>
        <v/>
      </c>
      <c r="O308" s="29" t="str">
        <f t="shared" si="28"/>
        <v/>
      </c>
      <c r="P308" s="61"/>
      <c r="Q308" s="61"/>
      <c r="R308" s="61"/>
      <c r="S308" s="45"/>
      <c r="T308" s="29" t="str">
        <f t="shared" si="29"/>
        <v/>
      </c>
    </row>
    <row r="309" spans="1:20">
      <c r="A309" s="10" t="str">
        <f t="shared" si="34"/>
        <v/>
      </c>
      <c r="B309" s="63"/>
      <c r="C309" s="25" t="str">
        <f t="shared" si="30"/>
        <v/>
      </c>
      <c r="D309" s="25" t="str">
        <f t="shared" si="31"/>
        <v/>
      </c>
      <c r="E309" s="45"/>
      <c r="F309" s="28" t="str">
        <f>IFERROR(VLOOKUP(E309,Category!$D$2:$E$600,2,FALSE),"")</f>
        <v/>
      </c>
      <c r="G309" s="65"/>
      <c r="H309" s="56"/>
      <c r="I309" s="66"/>
      <c r="J309" s="67"/>
      <c r="K309" s="67"/>
      <c r="L309" s="67"/>
      <c r="M309" s="29" t="str">
        <f t="shared" si="32"/>
        <v/>
      </c>
      <c r="N309" s="29" t="str">
        <f t="shared" si="33"/>
        <v/>
      </c>
      <c r="O309" s="29" t="str">
        <f t="shared" si="28"/>
        <v/>
      </c>
      <c r="P309" s="61"/>
      <c r="Q309" s="61"/>
      <c r="R309" s="61"/>
      <c r="S309" s="45"/>
      <c r="T309" s="29" t="str">
        <f t="shared" si="29"/>
        <v/>
      </c>
    </row>
    <row r="310" spans="1:20">
      <c r="A310" s="10" t="str">
        <f t="shared" si="34"/>
        <v/>
      </c>
      <c r="B310" s="63"/>
      <c r="C310" s="25" t="str">
        <f t="shared" si="30"/>
        <v/>
      </c>
      <c r="D310" s="25" t="str">
        <f t="shared" si="31"/>
        <v/>
      </c>
      <c r="E310" s="45"/>
      <c r="F310" s="28" t="str">
        <f>IFERROR(VLOOKUP(E310,Category!$D$2:$E$600,2,FALSE),"")</f>
        <v/>
      </c>
      <c r="G310" s="65"/>
      <c r="H310" s="56"/>
      <c r="I310" s="66"/>
      <c r="J310" s="67"/>
      <c r="K310" s="67"/>
      <c r="L310" s="67"/>
      <c r="M310" s="29" t="str">
        <f t="shared" si="32"/>
        <v/>
      </c>
      <c r="N310" s="29" t="str">
        <f t="shared" si="33"/>
        <v/>
      </c>
      <c r="O310" s="29" t="str">
        <f t="shared" si="28"/>
        <v/>
      </c>
      <c r="P310" s="61"/>
      <c r="Q310" s="61"/>
      <c r="R310" s="61"/>
      <c r="S310" s="45"/>
      <c r="T310" s="29" t="str">
        <f t="shared" si="29"/>
        <v/>
      </c>
    </row>
    <row r="311" spans="1:20">
      <c r="A311" s="10" t="str">
        <f t="shared" si="34"/>
        <v/>
      </c>
      <c r="B311" s="63"/>
      <c r="C311" s="25" t="str">
        <f t="shared" si="30"/>
        <v/>
      </c>
      <c r="D311" s="25" t="str">
        <f t="shared" si="31"/>
        <v/>
      </c>
      <c r="E311" s="45"/>
      <c r="F311" s="28" t="str">
        <f>IFERROR(VLOOKUP(E311,Category!$D$2:$E$600,2,FALSE),"")</f>
        <v/>
      </c>
      <c r="G311" s="65"/>
      <c r="H311" s="56"/>
      <c r="I311" s="66"/>
      <c r="J311" s="67"/>
      <c r="K311" s="67"/>
      <c r="L311" s="67"/>
      <c r="M311" s="29" t="str">
        <f t="shared" si="32"/>
        <v/>
      </c>
      <c r="N311" s="29" t="str">
        <f t="shared" si="33"/>
        <v/>
      </c>
      <c r="O311" s="29" t="str">
        <f t="shared" si="28"/>
        <v/>
      </c>
      <c r="P311" s="61"/>
      <c r="Q311" s="61"/>
      <c r="R311" s="61"/>
      <c r="S311" s="45"/>
      <c r="T311" s="29" t="str">
        <f t="shared" si="29"/>
        <v/>
      </c>
    </row>
    <row r="312" spans="1:20">
      <c r="A312" s="10" t="str">
        <f t="shared" si="34"/>
        <v/>
      </c>
      <c r="B312" s="63"/>
      <c r="C312" s="25" t="str">
        <f t="shared" si="30"/>
        <v/>
      </c>
      <c r="D312" s="25" t="str">
        <f t="shared" si="31"/>
        <v/>
      </c>
      <c r="E312" s="45"/>
      <c r="F312" s="28" t="str">
        <f>IFERROR(VLOOKUP(E312,Category!$D$2:$E$600,2,FALSE),"")</f>
        <v/>
      </c>
      <c r="G312" s="65"/>
      <c r="H312" s="56"/>
      <c r="I312" s="66"/>
      <c r="J312" s="67"/>
      <c r="K312" s="67"/>
      <c r="L312" s="67"/>
      <c r="M312" s="29" t="str">
        <f t="shared" si="32"/>
        <v/>
      </c>
      <c r="N312" s="29" t="str">
        <f t="shared" si="33"/>
        <v/>
      </c>
      <c r="O312" s="29" t="str">
        <f t="shared" si="28"/>
        <v/>
      </c>
      <c r="P312" s="61"/>
      <c r="Q312" s="61"/>
      <c r="R312" s="61"/>
      <c r="S312" s="45"/>
      <c r="T312" s="29" t="str">
        <f t="shared" si="29"/>
        <v/>
      </c>
    </row>
    <row r="313" spans="1:20">
      <c r="A313" s="10" t="str">
        <f t="shared" si="34"/>
        <v/>
      </c>
      <c r="B313" s="63"/>
      <c r="C313" s="25" t="str">
        <f t="shared" si="30"/>
        <v/>
      </c>
      <c r="D313" s="25" t="str">
        <f t="shared" si="31"/>
        <v/>
      </c>
      <c r="E313" s="45"/>
      <c r="F313" s="28" t="str">
        <f>IFERROR(VLOOKUP(E313,Category!$D$2:$E$600,2,FALSE),"")</f>
        <v/>
      </c>
      <c r="G313" s="65"/>
      <c r="H313" s="56"/>
      <c r="I313" s="66"/>
      <c r="J313" s="67"/>
      <c r="K313" s="67"/>
      <c r="L313" s="67"/>
      <c r="M313" s="29" t="str">
        <f t="shared" si="32"/>
        <v/>
      </c>
      <c r="N313" s="29" t="str">
        <f t="shared" si="33"/>
        <v/>
      </c>
      <c r="O313" s="29" t="str">
        <f t="shared" si="28"/>
        <v/>
      </c>
      <c r="P313" s="61"/>
      <c r="Q313" s="61"/>
      <c r="R313" s="61"/>
      <c r="S313" s="45"/>
      <c r="T313" s="29" t="str">
        <f t="shared" si="29"/>
        <v/>
      </c>
    </row>
    <row r="314" spans="1:20">
      <c r="A314" s="10" t="str">
        <f t="shared" si="34"/>
        <v/>
      </c>
      <c r="B314" s="63"/>
      <c r="C314" s="25" t="str">
        <f t="shared" si="30"/>
        <v/>
      </c>
      <c r="D314" s="25" t="str">
        <f t="shared" si="31"/>
        <v/>
      </c>
      <c r="E314" s="45"/>
      <c r="F314" s="28" t="str">
        <f>IFERROR(VLOOKUP(E314,Category!$D$2:$E$600,2,FALSE),"")</f>
        <v/>
      </c>
      <c r="G314" s="65"/>
      <c r="H314" s="56"/>
      <c r="I314" s="66"/>
      <c r="J314" s="67"/>
      <c r="K314" s="67"/>
      <c r="L314" s="67"/>
      <c r="M314" s="29" t="str">
        <f t="shared" si="32"/>
        <v/>
      </c>
      <c r="N314" s="29" t="str">
        <f t="shared" si="33"/>
        <v/>
      </c>
      <c r="O314" s="29" t="str">
        <f t="shared" si="28"/>
        <v/>
      </c>
      <c r="P314" s="61"/>
      <c r="Q314" s="61"/>
      <c r="R314" s="61"/>
      <c r="S314" s="45"/>
      <c r="T314" s="29" t="str">
        <f t="shared" si="29"/>
        <v/>
      </c>
    </row>
    <row r="315" spans="1:20">
      <c r="A315" s="10" t="str">
        <f t="shared" si="34"/>
        <v/>
      </c>
      <c r="B315" s="63"/>
      <c r="C315" s="25" t="str">
        <f t="shared" si="30"/>
        <v/>
      </c>
      <c r="D315" s="25" t="str">
        <f t="shared" si="31"/>
        <v/>
      </c>
      <c r="E315" s="45"/>
      <c r="F315" s="28" t="str">
        <f>IFERROR(VLOOKUP(E315,Category!$D$2:$E$600,2,FALSE),"")</f>
        <v/>
      </c>
      <c r="G315" s="65"/>
      <c r="H315" s="56"/>
      <c r="I315" s="66"/>
      <c r="J315" s="67"/>
      <c r="K315" s="67"/>
      <c r="L315" s="67"/>
      <c r="M315" s="29" t="str">
        <f t="shared" si="32"/>
        <v/>
      </c>
      <c r="N315" s="29" t="str">
        <f t="shared" si="33"/>
        <v/>
      </c>
      <c r="O315" s="29" t="str">
        <f t="shared" si="28"/>
        <v/>
      </c>
      <c r="P315" s="61"/>
      <c r="Q315" s="61"/>
      <c r="R315" s="61"/>
      <c r="S315" s="45"/>
      <c r="T315" s="29" t="str">
        <f t="shared" si="29"/>
        <v/>
      </c>
    </row>
    <row r="316" spans="1:20">
      <c r="A316" s="10" t="str">
        <f t="shared" si="34"/>
        <v/>
      </c>
      <c r="B316" s="63"/>
      <c r="C316" s="25" t="str">
        <f t="shared" si="30"/>
        <v/>
      </c>
      <c r="D316" s="25" t="str">
        <f t="shared" si="31"/>
        <v/>
      </c>
      <c r="E316" s="45"/>
      <c r="F316" s="28" t="str">
        <f>IFERROR(VLOOKUP(E316,Category!$D$2:$E$600,2,FALSE),"")</f>
        <v/>
      </c>
      <c r="G316" s="65"/>
      <c r="H316" s="56"/>
      <c r="I316" s="66"/>
      <c r="J316" s="67"/>
      <c r="K316" s="67"/>
      <c r="L316" s="67"/>
      <c r="M316" s="29" t="str">
        <f t="shared" si="32"/>
        <v/>
      </c>
      <c r="N316" s="29" t="str">
        <f t="shared" si="33"/>
        <v/>
      </c>
      <c r="O316" s="29" t="str">
        <f t="shared" si="28"/>
        <v/>
      </c>
      <c r="P316" s="61"/>
      <c r="Q316" s="61"/>
      <c r="R316" s="61"/>
      <c r="S316" s="45"/>
      <c r="T316" s="29" t="str">
        <f t="shared" si="29"/>
        <v/>
      </c>
    </row>
    <row r="317" spans="1:20">
      <c r="A317" s="10" t="str">
        <f t="shared" si="34"/>
        <v/>
      </c>
      <c r="B317" s="63"/>
      <c r="C317" s="25" t="str">
        <f t="shared" si="30"/>
        <v/>
      </c>
      <c r="D317" s="25" t="str">
        <f t="shared" si="31"/>
        <v/>
      </c>
      <c r="E317" s="45"/>
      <c r="F317" s="28" t="str">
        <f>IFERROR(VLOOKUP(E317,Category!$D$2:$E$600,2,FALSE),"")</f>
        <v/>
      </c>
      <c r="G317" s="65"/>
      <c r="H317" s="56"/>
      <c r="I317" s="66"/>
      <c r="J317" s="67"/>
      <c r="K317" s="67"/>
      <c r="L317" s="67"/>
      <c r="M317" s="29" t="str">
        <f t="shared" si="32"/>
        <v/>
      </c>
      <c r="N317" s="29" t="str">
        <f t="shared" si="33"/>
        <v/>
      </c>
      <c r="O317" s="29" t="str">
        <f t="shared" si="28"/>
        <v/>
      </c>
      <c r="P317" s="61"/>
      <c r="Q317" s="61"/>
      <c r="R317" s="61"/>
      <c r="S317" s="45"/>
      <c r="T317" s="29" t="str">
        <f t="shared" si="29"/>
        <v/>
      </c>
    </row>
    <row r="318" spans="1:20">
      <c r="A318" s="10" t="str">
        <f t="shared" si="34"/>
        <v/>
      </c>
      <c r="B318" s="63"/>
      <c r="C318" s="25" t="str">
        <f t="shared" si="30"/>
        <v/>
      </c>
      <c r="D318" s="25" t="str">
        <f t="shared" si="31"/>
        <v/>
      </c>
      <c r="E318" s="45"/>
      <c r="F318" s="28" t="str">
        <f>IFERROR(VLOOKUP(E318,Category!$D$2:$E$600,2,FALSE),"")</f>
        <v/>
      </c>
      <c r="G318" s="65"/>
      <c r="H318" s="56"/>
      <c r="I318" s="66"/>
      <c r="J318" s="67"/>
      <c r="K318" s="67"/>
      <c r="L318" s="67"/>
      <c r="M318" s="29" t="str">
        <f t="shared" si="32"/>
        <v/>
      </c>
      <c r="N318" s="29" t="str">
        <f t="shared" si="33"/>
        <v/>
      </c>
      <c r="O318" s="29" t="str">
        <f t="shared" si="28"/>
        <v/>
      </c>
      <c r="P318" s="61"/>
      <c r="Q318" s="61"/>
      <c r="R318" s="61"/>
      <c r="S318" s="45"/>
      <c r="T318" s="29" t="str">
        <f t="shared" si="29"/>
        <v/>
      </c>
    </row>
    <row r="319" spans="1:20">
      <c r="A319" s="10" t="str">
        <f t="shared" si="34"/>
        <v/>
      </c>
      <c r="B319" s="63"/>
      <c r="C319" s="25" t="str">
        <f t="shared" si="30"/>
        <v/>
      </c>
      <c r="D319" s="25" t="str">
        <f t="shared" si="31"/>
        <v/>
      </c>
      <c r="E319" s="45"/>
      <c r="F319" s="28" t="str">
        <f>IFERROR(VLOOKUP(E319,Category!$D$2:$E$600,2,FALSE),"")</f>
        <v/>
      </c>
      <c r="G319" s="65"/>
      <c r="H319" s="56"/>
      <c r="I319" s="66"/>
      <c r="J319" s="67"/>
      <c r="K319" s="67"/>
      <c r="L319" s="67"/>
      <c r="M319" s="29" t="str">
        <f t="shared" si="32"/>
        <v/>
      </c>
      <c r="N319" s="29" t="str">
        <f t="shared" si="33"/>
        <v/>
      </c>
      <c r="O319" s="29" t="str">
        <f t="shared" si="28"/>
        <v/>
      </c>
      <c r="P319" s="61"/>
      <c r="Q319" s="61"/>
      <c r="R319" s="61"/>
      <c r="S319" s="45"/>
      <c r="T319" s="29" t="str">
        <f t="shared" si="29"/>
        <v/>
      </c>
    </row>
    <row r="320" spans="1:20">
      <c r="A320" s="10" t="str">
        <f t="shared" si="34"/>
        <v/>
      </c>
      <c r="B320" s="63"/>
      <c r="C320" s="25" t="str">
        <f t="shared" si="30"/>
        <v/>
      </c>
      <c r="D320" s="25" t="str">
        <f t="shared" si="31"/>
        <v/>
      </c>
      <c r="E320" s="45"/>
      <c r="F320" s="28" t="str">
        <f>IFERROR(VLOOKUP(E320,Category!$D$2:$E$600,2,FALSE),"")</f>
        <v/>
      </c>
      <c r="G320" s="65"/>
      <c r="H320" s="56"/>
      <c r="I320" s="66"/>
      <c r="J320" s="67"/>
      <c r="K320" s="67"/>
      <c r="L320" s="67"/>
      <c r="M320" s="29" t="str">
        <f t="shared" si="32"/>
        <v/>
      </c>
      <c r="N320" s="29" t="str">
        <f t="shared" si="33"/>
        <v/>
      </c>
      <c r="O320" s="29" t="str">
        <f t="shared" si="28"/>
        <v/>
      </c>
      <c r="P320" s="61"/>
      <c r="Q320" s="61"/>
      <c r="R320" s="61"/>
      <c r="S320" s="45"/>
      <c r="T320" s="29" t="str">
        <f t="shared" si="29"/>
        <v/>
      </c>
    </row>
    <row r="321" spans="1:20">
      <c r="A321" s="10" t="str">
        <f t="shared" si="34"/>
        <v/>
      </c>
      <c r="B321" s="63"/>
      <c r="C321" s="25" t="str">
        <f t="shared" si="30"/>
        <v/>
      </c>
      <c r="D321" s="25" t="str">
        <f t="shared" si="31"/>
        <v/>
      </c>
      <c r="E321" s="45"/>
      <c r="F321" s="28" t="str">
        <f>IFERROR(VLOOKUP(E321,Category!$D$2:$E$600,2,FALSE),"")</f>
        <v/>
      </c>
      <c r="G321" s="65"/>
      <c r="H321" s="56"/>
      <c r="I321" s="66"/>
      <c r="J321" s="67"/>
      <c r="K321" s="67"/>
      <c r="L321" s="67"/>
      <c r="M321" s="29" t="str">
        <f t="shared" si="32"/>
        <v/>
      </c>
      <c r="N321" s="29" t="str">
        <f t="shared" si="33"/>
        <v/>
      </c>
      <c r="O321" s="29" t="str">
        <f t="shared" si="28"/>
        <v/>
      </c>
      <c r="P321" s="61"/>
      <c r="Q321" s="61"/>
      <c r="R321" s="61"/>
      <c r="S321" s="45"/>
      <c r="T321" s="29" t="str">
        <f t="shared" si="29"/>
        <v/>
      </c>
    </row>
    <row r="322" spans="1:20">
      <c r="A322" s="10" t="str">
        <f t="shared" si="34"/>
        <v/>
      </c>
      <c r="B322" s="63"/>
      <c r="C322" s="25" t="str">
        <f t="shared" si="30"/>
        <v/>
      </c>
      <c r="D322" s="25" t="str">
        <f t="shared" si="31"/>
        <v/>
      </c>
      <c r="E322" s="45"/>
      <c r="F322" s="28" t="str">
        <f>IFERROR(VLOOKUP(E322,Category!$D$2:$E$600,2,FALSE),"")</f>
        <v/>
      </c>
      <c r="G322" s="65"/>
      <c r="H322" s="56"/>
      <c r="I322" s="66"/>
      <c r="J322" s="67"/>
      <c r="K322" s="67"/>
      <c r="L322" s="67"/>
      <c r="M322" s="29" t="str">
        <f t="shared" si="32"/>
        <v/>
      </c>
      <c r="N322" s="29" t="str">
        <f t="shared" si="33"/>
        <v/>
      </c>
      <c r="O322" s="29" t="str">
        <f t="shared" ref="O322:O385" si="35">IF(H322*I322=0,"",H322*I322)</f>
        <v/>
      </c>
      <c r="P322" s="61"/>
      <c r="Q322" s="61"/>
      <c r="R322" s="61"/>
      <c r="S322" s="45"/>
      <c r="T322" s="29" t="str">
        <f t="shared" ref="T322:T385" si="36">IF(R322="paid",(H322*I322)-(G322*H322),"")</f>
        <v/>
      </c>
    </row>
    <row r="323" spans="1:20">
      <c r="A323" s="10" t="str">
        <f t="shared" si="34"/>
        <v/>
      </c>
      <c r="B323" s="63"/>
      <c r="C323" s="25" t="str">
        <f t="shared" ref="C323:C386" si="37">IF(B323=0,"",TEXT(B323,"mmmm"))</f>
        <v/>
      </c>
      <c r="D323" s="25" t="str">
        <f t="shared" ref="D323:D386" si="38">IF(B323=0,"",TEXT(B323,"yyyy"))</f>
        <v/>
      </c>
      <c r="E323" s="45"/>
      <c r="F323" s="28" t="str">
        <f>IFERROR(VLOOKUP(E323,Category!$D$2:$E$600,2,FALSE),"")</f>
        <v/>
      </c>
      <c r="G323" s="65"/>
      <c r="H323" s="56"/>
      <c r="I323" s="66"/>
      <c r="J323" s="67"/>
      <c r="K323" s="67"/>
      <c r="L323" s="67"/>
      <c r="M323" s="29" t="str">
        <f t="shared" ref="M323:M386" si="39">IFERROR(IF(O323&gt;0,IF(R323="Paid","",O323-J323),""),"")</f>
        <v/>
      </c>
      <c r="N323" s="29" t="str">
        <f t="shared" ref="N323:N386" si="40">IF(J323&gt;0,IF(R323="Paid",O323-J323,""),"")</f>
        <v/>
      </c>
      <c r="O323" s="29" t="str">
        <f t="shared" si="35"/>
        <v/>
      </c>
      <c r="P323" s="61"/>
      <c r="Q323" s="61"/>
      <c r="R323" s="61"/>
      <c r="S323" s="45"/>
      <c r="T323" s="29" t="str">
        <f t="shared" si="36"/>
        <v/>
      </c>
    </row>
    <row r="324" spans="1:20">
      <c r="A324" s="10" t="str">
        <f t="shared" ref="A324:A387" si="41">IF(E324&gt;0,A323+1,"")</f>
        <v/>
      </c>
      <c r="B324" s="63"/>
      <c r="C324" s="25" t="str">
        <f t="shared" si="37"/>
        <v/>
      </c>
      <c r="D324" s="25" t="str">
        <f t="shared" si="38"/>
        <v/>
      </c>
      <c r="E324" s="45"/>
      <c r="F324" s="28" t="str">
        <f>IFERROR(VLOOKUP(E324,Category!$D$2:$E$600,2,FALSE),"")</f>
        <v/>
      </c>
      <c r="G324" s="65"/>
      <c r="H324" s="56"/>
      <c r="I324" s="66"/>
      <c r="J324" s="67"/>
      <c r="K324" s="67"/>
      <c r="L324" s="67"/>
      <c r="M324" s="29" t="str">
        <f t="shared" si="39"/>
        <v/>
      </c>
      <c r="N324" s="29" t="str">
        <f t="shared" si="40"/>
        <v/>
      </c>
      <c r="O324" s="29" t="str">
        <f t="shared" si="35"/>
        <v/>
      </c>
      <c r="P324" s="61"/>
      <c r="Q324" s="61"/>
      <c r="R324" s="61"/>
      <c r="S324" s="45"/>
      <c r="T324" s="29" t="str">
        <f t="shared" si="36"/>
        <v/>
      </c>
    </row>
    <row r="325" spans="1:20">
      <c r="A325" s="10" t="str">
        <f t="shared" si="41"/>
        <v/>
      </c>
      <c r="B325" s="63"/>
      <c r="C325" s="25" t="str">
        <f t="shared" si="37"/>
        <v/>
      </c>
      <c r="D325" s="25" t="str">
        <f t="shared" si="38"/>
        <v/>
      </c>
      <c r="E325" s="45"/>
      <c r="F325" s="28" t="str">
        <f>IFERROR(VLOOKUP(E325,Category!$D$2:$E$600,2,FALSE),"")</f>
        <v/>
      </c>
      <c r="G325" s="65"/>
      <c r="H325" s="56"/>
      <c r="I325" s="66"/>
      <c r="J325" s="67"/>
      <c r="K325" s="67"/>
      <c r="L325" s="67"/>
      <c r="M325" s="29" t="str">
        <f t="shared" si="39"/>
        <v/>
      </c>
      <c r="N325" s="29" t="str">
        <f t="shared" si="40"/>
        <v/>
      </c>
      <c r="O325" s="29" t="str">
        <f t="shared" si="35"/>
        <v/>
      </c>
      <c r="P325" s="61"/>
      <c r="Q325" s="61"/>
      <c r="R325" s="61"/>
      <c r="S325" s="45"/>
      <c r="T325" s="29" t="str">
        <f t="shared" si="36"/>
        <v/>
      </c>
    </row>
    <row r="326" spans="1:20">
      <c r="A326" s="10" t="str">
        <f t="shared" si="41"/>
        <v/>
      </c>
      <c r="B326" s="63"/>
      <c r="C326" s="25" t="str">
        <f t="shared" si="37"/>
        <v/>
      </c>
      <c r="D326" s="25" t="str">
        <f t="shared" si="38"/>
        <v/>
      </c>
      <c r="E326" s="45"/>
      <c r="F326" s="28" t="str">
        <f>IFERROR(VLOOKUP(E326,Category!$D$2:$E$600,2,FALSE),"")</f>
        <v/>
      </c>
      <c r="G326" s="65"/>
      <c r="H326" s="56"/>
      <c r="I326" s="66"/>
      <c r="J326" s="67"/>
      <c r="K326" s="67"/>
      <c r="L326" s="67"/>
      <c r="M326" s="29" t="str">
        <f t="shared" si="39"/>
        <v/>
      </c>
      <c r="N326" s="29" t="str">
        <f t="shared" si="40"/>
        <v/>
      </c>
      <c r="O326" s="29" t="str">
        <f t="shared" si="35"/>
        <v/>
      </c>
      <c r="P326" s="61"/>
      <c r="Q326" s="61"/>
      <c r="R326" s="61"/>
      <c r="S326" s="45"/>
      <c r="T326" s="29" t="str">
        <f t="shared" si="36"/>
        <v/>
      </c>
    </row>
    <row r="327" spans="1:20">
      <c r="A327" s="10" t="str">
        <f t="shared" si="41"/>
        <v/>
      </c>
      <c r="B327" s="63"/>
      <c r="C327" s="25" t="str">
        <f t="shared" si="37"/>
        <v/>
      </c>
      <c r="D327" s="25" t="str">
        <f t="shared" si="38"/>
        <v/>
      </c>
      <c r="E327" s="45"/>
      <c r="F327" s="28" t="str">
        <f>IFERROR(VLOOKUP(E327,Category!$D$2:$E$600,2,FALSE),"")</f>
        <v/>
      </c>
      <c r="G327" s="65"/>
      <c r="H327" s="56"/>
      <c r="I327" s="66"/>
      <c r="J327" s="67"/>
      <c r="K327" s="67"/>
      <c r="L327" s="67"/>
      <c r="M327" s="29" t="str">
        <f t="shared" si="39"/>
        <v/>
      </c>
      <c r="N327" s="29" t="str">
        <f t="shared" si="40"/>
        <v/>
      </c>
      <c r="O327" s="29" t="str">
        <f t="shared" si="35"/>
        <v/>
      </c>
      <c r="P327" s="61"/>
      <c r="Q327" s="61"/>
      <c r="R327" s="61"/>
      <c r="S327" s="45"/>
      <c r="T327" s="29" t="str">
        <f t="shared" si="36"/>
        <v/>
      </c>
    </row>
    <row r="328" spans="1:20">
      <c r="A328" s="10" t="str">
        <f t="shared" si="41"/>
        <v/>
      </c>
      <c r="B328" s="63"/>
      <c r="C328" s="25" t="str">
        <f t="shared" si="37"/>
        <v/>
      </c>
      <c r="D328" s="25" t="str">
        <f t="shared" si="38"/>
        <v/>
      </c>
      <c r="E328" s="45"/>
      <c r="F328" s="28" t="str">
        <f>IFERROR(VLOOKUP(E328,Category!$D$2:$E$600,2,FALSE),"")</f>
        <v/>
      </c>
      <c r="G328" s="65"/>
      <c r="H328" s="56"/>
      <c r="I328" s="66"/>
      <c r="J328" s="67"/>
      <c r="K328" s="67"/>
      <c r="L328" s="67"/>
      <c r="M328" s="29" t="str">
        <f t="shared" si="39"/>
        <v/>
      </c>
      <c r="N328" s="29" t="str">
        <f t="shared" si="40"/>
        <v/>
      </c>
      <c r="O328" s="29" t="str">
        <f t="shared" si="35"/>
        <v/>
      </c>
      <c r="P328" s="61"/>
      <c r="Q328" s="61"/>
      <c r="R328" s="61"/>
      <c r="S328" s="45"/>
      <c r="T328" s="29" t="str">
        <f t="shared" si="36"/>
        <v/>
      </c>
    </row>
    <row r="329" spans="1:20">
      <c r="A329" s="10" t="str">
        <f t="shared" si="41"/>
        <v/>
      </c>
      <c r="B329" s="63"/>
      <c r="C329" s="25" t="str">
        <f t="shared" si="37"/>
        <v/>
      </c>
      <c r="D329" s="25" t="str">
        <f t="shared" si="38"/>
        <v/>
      </c>
      <c r="E329" s="45"/>
      <c r="F329" s="28" t="str">
        <f>IFERROR(VLOOKUP(E329,Category!$D$2:$E$600,2,FALSE),"")</f>
        <v/>
      </c>
      <c r="G329" s="65"/>
      <c r="H329" s="56"/>
      <c r="I329" s="66"/>
      <c r="J329" s="67"/>
      <c r="K329" s="67"/>
      <c r="L329" s="67"/>
      <c r="M329" s="29" t="str">
        <f t="shared" si="39"/>
        <v/>
      </c>
      <c r="N329" s="29" t="str">
        <f t="shared" si="40"/>
        <v/>
      </c>
      <c r="O329" s="29" t="str">
        <f t="shared" si="35"/>
        <v/>
      </c>
      <c r="P329" s="61"/>
      <c r="Q329" s="61"/>
      <c r="R329" s="61"/>
      <c r="S329" s="45"/>
      <c r="T329" s="29" t="str">
        <f t="shared" si="36"/>
        <v/>
      </c>
    </row>
    <row r="330" spans="1:20">
      <c r="A330" s="10" t="str">
        <f t="shared" si="41"/>
        <v/>
      </c>
      <c r="B330" s="63"/>
      <c r="C330" s="25" t="str">
        <f t="shared" si="37"/>
        <v/>
      </c>
      <c r="D330" s="25" t="str">
        <f t="shared" si="38"/>
        <v/>
      </c>
      <c r="E330" s="45"/>
      <c r="F330" s="28" t="str">
        <f>IFERROR(VLOOKUP(E330,Category!$D$2:$E$600,2,FALSE),"")</f>
        <v/>
      </c>
      <c r="G330" s="65"/>
      <c r="H330" s="56"/>
      <c r="I330" s="66"/>
      <c r="J330" s="67"/>
      <c r="K330" s="67"/>
      <c r="L330" s="67"/>
      <c r="M330" s="29" t="str">
        <f t="shared" si="39"/>
        <v/>
      </c>
      <c r="N330" s="29" t="str">
        <f t="shared" si="40"/>
        <v/>
      </c>
      <c r="O330" s="29" t="str">
        <f t="shared" si="35"/>
        <v/>
      </c>
      <c r="P330" s="61"/>
      <c r="Q330" s="61"/>
      <c r="R330" s="61"/>
      <c r="S330" s="45"/>
      <c r="T330" s="29" t="str">
        <f t="shared" si="36"/>
        <v/>
      </c>
    </row>
    <row r="331" spans="1:20">
      <c r="A331" s="10" t="str">
        <f t="shared" si="41"/>
        <v/>
      </c>
      <c r="B331" s="63"/>
      <c r="C331" s="25" t="str">
        <f t="shared" si="37"/>
        <v/>
      </c>
      <c r="D331" s="25" t="str">
        <f t="shared" si="38"/>
        <v/>
      </c>
      <c r="E331" s="45"/>
      <c r="F331" s="28" t="str">
        <f>IFERROR(VLOOKUP(E331,Category!$D$2:$E$600,2,FALSE),"")</f>
        <v/>
      </c>
      <c r="G331" s="65"/>
      <c r="H331" s="56"/>
      <c r="I331" s="66"/>
      <c r="J331" s="67"/>
      <c r="K331" s="67"/>
      <c r="L331" s="67"/>
      <c r="M331" s="29" t="str">
        <f t="shared" si="39"/>
        <v/>
      </c>
      <c r="N331" s="29" t="str">
        <f t="shared" si="40"/>
        <v/>
      </c>
      <c r="O331" s="29" t="str">
        <f t="shared" si="35"/>
        <v/>
      </c>
      <c r="P331" s="61"/>
      <c r="Q331" s="61"/>
      <c r="R331" s="61"/>
      <c r="S331" s="45"/>
      <c r="T331" s="29" t="str">
        <f t="shared" si="36"/>
        <v/>
      </c>
    </row>
    <row r="332" spans="1:20">
      <c r="A332" s="10" t="str">
        <f t="shared" si="41"/>
        <v/>
      </c>
      <c r="B332" s="63"/>
      <c r="C332" s="25" t="str">
        <f t="shared" si="37"/>
        <v/>
      </c>
      <c r="D332" s="25" t="str">
        <f t="shared" si="38"/>
        <v/>
      </c>
      <c r="E332" s="45"/>
      <c r="F332" s="28" t="str">
        <f>IFERROR(VLOOKUP(E332,Category!$D$2:$E$600,2,FALSE),"")</f>
        <v/>
      </c>
      <c r="G332" s="65"/>
      <c r="H332" s="56"/>
      <c r="I332" s="66"/>
      <c r="J332" s="67"/>
      <c r="K332" s="67"/>
      <c r="L332" s="67"/>
      <c r="M332" s="29" t="str">
        <f t="shared" si="39"/>
        <v/>
      </c>
      <c r="N332" s="29" t="str">
        <f t="shared" si="40"/>
        <v/>
      </c>
      <c r="O332" s="29" t="str">
        <f t="shared" si="35"/>
        <v/>
      </c>
      <c r="P332" s="61"/>
      <c r="Q332" s="61"/>
      <c r="R332" s="61"/>
      <c r="S332" s="45"/>
      <c r="T332" s="29" t="str">
        <f t="shared" si="36"/>
        <v/>
      </c>
    </row>
    <row r="333" spans="1:20">
      <c r="A333" s="10" t="str">
        <f t="shared" si="41"/>
        <v/>
      </c>
      <c r="B333" s="63"/>
      <c r="C333" s="25" t="str">
        <f t="shared" si="37"/>
        <v/>
      </c>
      <c r="D333" s="25" t="str">
        <f t="shared" si="38"/>
        <v/>
      </c>
      <c r="E333" s="45"/>
      <c r="F333" s="28" t="str">
        <f>IFERROR(VLOOKUP(E333,Category!$D$2:$E$600,2,FALSE),"")</f>
        <v/>
      </c>
      <c r="G333" s="65"/>
      <c r="H333" s="56"/>
      <c r="I333" s="66"/>
      <c r="J333" s="67"/>
      <c r="K333" s="67"/>
      <c r="L333" s="67"/>
      <c r="M333" s="29" t="str">
        <f t="shared" si="39"/>
        <v/>
      </c>
      <c r="N333" s="29" t="str">
        <f t="shared" si="40"/>
        <v/>
      </c>
      <c r="O333" s="29" t="str">
        <f t="shared" si="35"/>
        <v/>
      </c>
      <c r="P333" s="61"/>
      <c r="Q333" s="61"/>
      <c r="R333" s="61"/>
      <c r="S333" s="45"/>
      <c r="T333" s="29" t="str">
        <f t="shared" si="36"/>
        <v/>
      </c>
    </row>
    <row r="334" spans="1:20">
      <c r="A334" s="10" t="str">
        <f t="shared" si="41"/>
        <v/>
      </c>
      <c r="B334" s="63"/>
      <c r="C334" s="25" t="str">
        <f t="shared" si="37"/>
        <v/>
      </c>
      <c r="D334" s="25" t="str">
        <f t="shared" si="38"/>
        <v/>
      </c>
      <c r="E334" s="45"/>
      <c r="F334" s="28" t="str">
        <f>IFERROR(VLOOKUP(E334,Category!$D$2:$E$600,2,FALSE),"")</f>
        <v/>
      </c>
      <c r="G334" s="65"/>
      <c r="H334" s="56"/>
      <c r="I334" s="66"/>
      <c r="J334" s="67"/>
      <c r="K334" s="67"/>
      <c r="L334" s="67"/>
      <c r="M334" s="29" t="str">
        <f t="shared" si="39"/>
        <v/>
      </c>
      <c r="N334" s="29" t="str">
        <f t="shared" si="40"/>
        <v/>
      </c>
      <c r="O334" s="29" t="str">
        <f t="shared" si="35"/>
        <v/>
      </c>
      <c r="P334" s="61"/>
      <c r="Q334" s="61"/>
      <c r="R334" s="61"/>
      <c r="S334" s="45"/>
      <c r="T334" s="29" t="str">
        <f t="shared" si="36"/>
        <v/>
      </c>
    </row>
    <row r="335" spans="1:20">
      <c r="A335" s="10" t="str">
        <f t="shared" si="41"/>
        <v/>
      </c>
      <c r="B335" s="63"/>
      <c r="C335" s="25" t="str">
        <f t="shared" si="37"/>
        <v/>
      </c>
      <c r="D335" s="25" t="str">
        <f t="shared" si="38"/>
        <v/>
      </c>
      <c r="E335" s="45"/>
      <c r="F335" s="28" t="str">
        <f>IFERROR(VLOOKUP(E335,Category!$D$2:$E$600,2,FALSE),"")</f>
        <v/>
      </c>
      <c r="G335" s="65"/>
      <c r="H335" s="56"/>
      <c r="I335" s="66"/>
      <c r="J335" s="67"/>
      <c r="K335" s="67"/>
      <c r="L335" s="67"/>
      <c r="M335" s="29" t="str">
        <f t="shared" si="39"/>
        <v/>
      </c>
      <c r="N335" s="29" t="str">
        <f t="shared" si="40"/>
        <v/>
      </c>
      <c r="O335" s="29" t="str">
        <f t="shared" si="35"/>
        <v/>
      </c>
      <c r="P335" s="61"/>
      <c r="Q335" s="61"/>
      <c r="R335" s="61"/>
      <c r="S335" s="45"/>
      <c r="T335" s="29" t="str">
        <f t="shared" si="36"/>
        <v/>
      </c>
    </row>
    <row r="336" spans="1:20">
      <c r="A336" s="10" t="str">
        <f t="shared" si="41"/>
        <v/>
      </c>
      <c r="B336" s="63"/>
      <c r="C336" s="25" t="str">
        <f t="shared" si="37"/>
        <v/>
      </c>
      <c r="D336" s="25" t="str">
        <f t="shared" si="38"/>
        <v/>
      </c>
      <c r="E336" s="45"/>
      <c r="F336" s="28" t="str">
        <f>IFERROR(VLOOKUP(E336,Category!$D$2:$E$600,2,FALSE),"")</f>
        <v/>
      </c>
      <c r="G336" s="65"/>
      <c r="H336" s="56"/>
      <c r="I336" s="66"/>
      <c r="J336" s="67"/>
      <c r="K336" s="67"/>
      <c r="L336" s="67"/>
      <c r="M336" s="29" t="str">
        <f t="shared" si="39"/>
        <v/>
      </c>
      <c r="N336" s="29" t="str">
        <f t="shared" si="40"/>
        <v/>
      </c>
      <c r="O336" s="29" t="str">
        <f t="shared" si="35"/>
        <v/>
      </c>
      <c r="P336" s="61"/>
      <c r="Q336" s="61"/>
      <c r="R336" s="61"/>
      <c r="S336" s="45"/>
      <c r="T336" s="29" t="str">
        <f t="shared" si="36"/>
        <v/>
      </c>
    </row>
    <row r="337" spans="1:20">
      <c r="A337" s="10" t="str">
        <f t="shared" si="41"/>
        <v/>
      </c>
      <c r="B337" s="63"/>
      <c r="C337" s="25" t="str">
        <f t="shared" si="37"/>
        <v/>
      </c>
      <c r="D337" s="25" t="str">
        <f t="shared" si="38"/>
        <v/>
      </c>
      <c r="E337" s="45"/>
      <c r="F337" s="28" t="str">
        <f>IFERROR(VLOOKUP(E337,Category!$D$2:$E$600,2,FALSE),"")</f>
        <v/>
      </c>
      <c r="G337" s="65"/>
      <c r="H337" s="56"/>
      <c r="I337" s="66"/>
      <c r="J337" s="67"/>
      <c r="K337" s="67"/>
      <c r="L337" s="67"/>
      <c r="M337" s="29" t="str">
        <f t="shared" si="39"/>
        <v/>
      </c>
      <c r="N337" s="29" t="str">
        <f t="shared" si="40"/>
        <v/>
      </c>
      <c r="O337" s="29" t="str">
        <f t="shared" si="35"/>
        <v/>
      </c>
      <c r="P337" s="61"/>
      <c r="Q337" s="61"/>
      <c r="R337" s="61"/>
      <c r="S337" s="45"/>
      <c r="T337" s="29" t="str">
        <f t="shared" si="36"/>
        <v/>
      </c>
    </row>
    <row r="338" spans="1:20">
      <c r="A338" s="10" t="str">
        <f t="shared" si="41"/>
        <v/>
      </c>
      <c r="B338" s="63"/>
      <c r="C338" s="25" t="str">
        <f t="shared" si="37"/>
        <v/>
      </c>
      <c r="D338" s="25" t="str">
        <f t="shared" si="38"/>
        <v/>
      </c>
      <c r="E338" s="45"/>
      <c r="F338" s="28" t="str">
        <f>IFERROR(VLOOKUP(E338,Category!$D$2:$E$600,2,FALSE),"")</f>
        <v/>
      </c>
      <c r="G338" s="65"/>
      <c r="H338" s="56"/>
      <c r="I338" s="66"/>
      <c r="J338" s="67"/>
      <c r="K338" s="67"/>
      <c r="L338" s="67"/>
      <c r="M338" s="29" t="str">
        <f t="shared" si="39"/>
        <v/>
      </c>
      <c r="N338" s="29" t="str">
        <f t="shared" si="40"/>
        <v/>
      </c>
      <c r="O338" s="29" t="str">
        <f t="shared" si="35"/>
        <v/>
      </c>
      <c r="P338" s="61"/>
      <c r="Q338" s="61"/>
      <c r="R338" s="61"/>
      <c r="S338" s="45"/>
      <c r="T338" s="29" t="str">
        <f t="shared" si="36"/>
        <v/>
      </c>
    </row>
    <row r="339" spans="1:20">
      <c r="A339" s="10" t="str">
        <f t="shared" si="41"/>
        <v/>
      </c>
      <c r="B339" s="63"/>
      <c r="C339" s="25" t="str">
        <f t="shared" si="37"/>
        <v/>
      </c>
      <c r="D339" s="25" t="str">
        <f t="shared" si="38"/>
        <v/>
      </c>
      <c r="E339" s="45"/>
      <c r="F339" s="28" t="str">
        <f>IFERROR(VLOOKUP(E339,Category!$D$2:$E$600,2,FALSE),"")</f>
        <v/>
      </c>
      <c r="G339" s="65"/>
      <c r="H339" s="56"/>
      <c r="I339" s="66"/>
      <c r="J339" s="67"/>
      <c r="K339" s="67"/>
      <c r="L339" s="67"/>
      <c r="M339" s="29" t="str">
        <f t="shared" si="39"/>
        <v/>
      </c>
      <c r="N339" s="29" t="str">
        <f t="shared" si="40"/>
        <v/>
      </c>
      <c r="O339" s="29" t="str">
        <f t="shared" si="35"/>
        <v/>
      </c>
      <c r="P339" s="61"/>
      <c r="Q339" s="61"/>
      <c r="R339" s="61"/>
      <c r="S339" s="45"/>
      <c r="T339" s="29" t="str">
        <f t="shared" si="36"/>
        <v/>
      </c>
    </row>
    <row r="340" spans="1:20">
      <c r="A340" s="10" t="str">
        <f t="shared" si="41"/>
        <v/>
      </c>
      <c r="B340" s="63"/>
      <c r="C340" s="25" t="str">
        <f t="shared" si="37"/>
        <v/>
      </c>
      <c r="D340" s="25" t="str">
        <f t="shared" si="38"/>
        <v/>
      </c>
      <c r="E340" s="45"/>
      <c r="F340" s="28" t="str">
        <f>IFERROR(VLOOKUP(E340,Category!$D$2:$E$600,2,FALSE),"")</f>
        <v/>
      </c>
      <c r="G340" s="65"/>
      <c r="H340" s="56"/>
      <c r="I340" s="66"/>
      <c r="J340" s="67"/>
      <c r="K340" s="67"/>
      <c r="L340" s="67"/>
      <c r="M340" s="29" t="str">
        <f t="shared" si="39"/>
        <v/>
      </c>
      <c r="N340" s="29" t="str">
        <f t="shared" si="40"/>
        <v/>
      </c>
      <c r="O340" s="29" t="str">
        <f t="shared" si="35"/>
        <v/>
      </c>
      <c r="P340" s="61"/>
      <c r="Q340" s="61"/>
      <c r="R340" s="61"/>
      <c r="S340" s="45"/>
      <c r="T340" s="29" t="str">
        <f t="shared" si="36"/>
        <v/>
      </c>
    </row>
    <row r="341" spans="1:20">
      <c r="A341" s="10" t="str">
        <f t="shared" si="41"/>
        <v/>
      </c>
      <c r="B341" s="63"/>
      <c r="C341" s="25" t="str">
        <f t="shared" si="37"/>
        <v/>
      </c>
      <c r="D341" s="25" t="str">
        <f t="shared" si="38"/>
        <v/>
      </c>
      <c r="E341" s="45"/>
      <c r="F341" s="28" t="str">
        <f>IFERROR(VLOOKUP(E341,Category!$D$2:$E$600,2,FALSE),"")</f>
        <v/>
      </c>
      <c r="G341" s="65"/>
      <c r="H341" s="56"/>
      <c r="I341" s="66"/>
      <c r="J341" s="67"/>
      <c r="K341" s="67"/>
      <c r="L341" s="67"/>
      <c r="M341" s="29" t="str">
        <f t="shared" si="39"/>
        <v/>
      </c>
      <c r="N341" s="29" t="str">
        <f t="shared" si="40"/>
        <v/>
      </c>
      <c r="O341" s="29" t="str">
        <f t="shared" si="35"/>
        <v/>
      </c>
      <c r="P341" s="61"/>
      <c r="Q341" s="61"/>
      <c r="R341" s="61"/>
      <c r="S341" s="45"/>
      <c r="T341" s="29" t="str">
        <f t="shared" si="36"/>
        <v/>
      </c>
    </row>
    <row r="342" spans="1:20">
      <c r="A342" s="10" t="str">
        <f t="shared" si="41"/>
        <v/>
      </c>
      <c r="B342" s="63"/>
      <c r="C342" s="25" t="str">
        <f t="shared" si="37"/>
        <v/>
      </c>
      <c r="D342" s="25" t="str">
        <f t="shared" si="38"/>
        <v/>
      </c>
      <c r="E342" s="45"/>
      <c r="F342" s="28" t="str">
        <f>IFERROR(VLOOKUP(E342,Category!$D$2:$E$600,2,FALSE),"")</f>
        <v/>
      </c>
      <c r="G342" s="65"/>
      <c r="H342" s="56"/>
      <c r="I342" s="66"/>
      <c r="J342" s="67"/>
      <c r="K342" s="67"/>
      <c r="L342" s="67"/>
      <c r="M342" s="29" t="str">
        <f t="shared" si="39"/>
        <v/>
      </c>
      <c r="N342" s="29" t="str">
        <f t="shared" si="40"/>
        <v/>
      </c>
      <c r="O342" s="29" t="str">
        <f t="shared" si="35"/>
        <v/>
      </c>
      <c r="P342" s="61"/>
      <c r="Q342" s="61"/>
      <c r="R342" s="61"/>
      <c r="S342" s="45"/>
      <c r="T342" s="29" t="str">
        <f t="shared" si="36"/>
        <v/>
      </c>
    </row>
    <row r="343" spans="1:20">
      <c r="A343" s="10" t="str">
        <f t="shared" si="41"/>
        <v/>
      </c>
      <c r="B343" s="63"/>
      <c r="C343" s="25" t="str">
        <f t="shared" si="37"/>
        <v/>
      </c>
      <c r="D343" s="25" t="str">
        <f t="shared" si="38"/>
        <v/>
      </c>
      <c r="E343" s="45"/>
      <c r="F343" s="28" t="str">
        <f>IFERROR(VLOOKUP(E343,Category!$D$2:$E$600,2,FALSE),"")</f>
        <v/>
      </c>
      <c r="G343" s="65"/>
      <c r="H343" s="56"/>
      <c r="I343" s="66"/>
      <c r="J343" s="67"/>
      <c r="K343" s="67"/>
      <c r="L343" s="67"/>
      <c r="M343" s="29" t="str">
        <f t="shared" si="39"/>
        <v/>
      </c>
      <c r="N343" s="29" t="str">
        <f t="shared" si="40"/>
        <v/>
      </c>
      <c r="O343" s="29" t="str">
        <f t="shared" si="35"/>
        <v/>
      </c>
      <c r="P343" s="61"/>
      <c r="Q343" s="61"/>
      <c r="R343" s="61"/>
      <c r="S343" s="45"/>
      <c r="T343" s="29" t="str">
        <f t="shared" si="36"/>
        <v/>
      </c>
    </row>
    <row r="344" spans="1:20">
      <c r="A344" s="10" t="str">
        <f t="shared" si="41"/>
        <v/>
      </c>
      <c r="B344" s="63"/>
      <c r="C344" s="25" t="str">
        <f t="shared" si="37"/>
        <v/>
      </c>
      <c r="D344" s="25" t="str">
        <f t="shared" si="38"/>
        <v/>
      </c>
      <c r="E344" s="45"/>
      <c r="F344" s="28" t="str">
        <f>IFERROR(VLOOKUP(E344,Category!$D$2:$E$600,2,FALSE),"")</f>
        <v/>
      </c>
      <c r="G344" s="65"/>
      <c r="H344" s="56"/>
      <c r="I344" s="66"/>
      <c r="J344" s="67"/>
      <c r="K344" s="67"/>
      <c r="L344" s="67"/>
      <c r="M344" s="29" t="str">
        <f t="shared" si="39"/>
        <v/>
      </c>
      <c r="N344" s="29" t="str">
        <f t="shared" si="40"/>
        <v/>
      </c>
      <c r="O344" s="29" t="str">
        <f t="shared" si="35"/>
        <v/>
      </c>
      <c r="P344" s="61"/>
      <c r="Q344" s="61"/>
      <c r="R344" s="61"/>
      <c r="S344" s="45"/>
      <c r="T344" s="29" t="str">
        <f t="shared" si="36"/>
        <v/>
      </c>
    </row>
    <row r="345" spans="1:20">
      <c r="A345" s="10" t="str">
        <f t="shared" si="41"/>
        <v/>
      </c>
      <c r="B345" s="63"/>
      <c r="C345" s="25" t="str">
        <f t="shared" si="37"/>
        <v/>
      </c>
      <c r="D345" s="25" t="str">
        <f t="shared" si="38"/>
        <v/>
      </c>
      <c r="E345" s="45"/>
      <c r="F345" s="28" t="str">
        <f>IFERROR(VLOOKUP(E345,Category!$D$2:$E$600,2,FALSE),"")</f>
        <v/>
      </c>
      <c r="G345" s="65"/>
      <c r="H345" s="56"/>
      <c r="I345" s="66"/>
      <c r="J345" s="67"/>
      <c r="K345" s="67"/>
      <c r="L345" s="67"/>
      <c r="M345" s="29" t="str">
        <f t="shared" si="39"/>
        <v/>
      </c>
      <c r="N345" s="29" t="str">
        <f t="shared" si="40"/>
        <v/>
      </c>
      <c r="O345" s="29" t="str">
        <f t="shared" si="35"/>
        <v/>
      </c>
      <c r="P345" s="61"/>
      <c r="Q345" s="61"/>
      <c r="R345" s="61"/>
      <c r="S345" s="45"/>
      <c r="T345" s="29" t="str">
        <f t="shared" si="36"/>
        <v/>
      </c>
    </row>
    <row r="346" spans="1:20">
      <c r="A346" s="10" t="str">
        <f t="shared" si="41"/>
        <v/>
      </c>
      <c r="B346" s="63"/>
      <c r="C346" s="25" t="str">
        <f t="shared" si="37"/>
        <v/>
      </c>
      <c r="D346" s="25" t="str">
        <f t="shared" si="38"/>
        <v/>
      </c>
      <c r="E346" s="45"/>
      <c r="F346" s="28" t="str">
        <f>IFERROR(VLOOKUP(E346,Category!$D$2:$E$600,2,FALSE),"")</f>
        <v/>
      </c>
      <c r="G346" s="65"/>
      <c r="H346" s="56"/>
      <c r="I346" s="66"/>
      <c r="J346" s="67"/>
      <c r="K346" s="67"/>
      <c r="L346" s="67"/>
      <c r="M346" s="29" t="str">
        <f t="shared" si="39"/>
        <v/>
      </c>
      <c r="N346" s="29" t="str">
        <f t="shared" si="40"/>
        <v/>
      </c>
      <c r="O346" s="29" t="str">
        <f t="shared" si="35"/>
        <v/>
      </c>
      <c r="P346" s="61"/>
      <c r="Q346" s="61"/>
      <c r="R346" s="61"/>
      <c r="S346" s="45"/>
      <c r="T346" s="29" t="str">
        <f t="shared" si="36"/>
        <v/>
      </c>
    </row>
    <row r="347" spans="1:20">
      <c r="A347" s="10" t="str">
        <f t="shared" si="41"/>
        <v/>
      </c>
      <c r="B347" s="63"/>
      <c r="C347" s="25" t="str">
        <f t="shared" si="37"/>
        <v/>
      </c>
      <c r="D347" s="25" t="str">
        <f t="shared" si="38"/>
        <v/>
      </c>
      <c r="E347" s="45"/>
      <c r="F347" s="28" t="str">
        <f>IFERROR(VLOOKUP(E347,Category!$D$2:$E$600,2,FALSE),"")</f>
        <v/>
      </c>
      <c r="G347" s="65"/>
      <c r="H347" s="56"/>
      <c r="I347" s="66"/>
      <c r="J347" s="67"/>
      <c r="K347" s="67"/>
      <c r="L347" s="67"/>
      <c r="M347" s="29" t="str">
        <f t="shared" si="39"/>
        <v/>
      </c>
      <c r="N347" s="29" t="str">
        <f t="shared" si="40"/>
        <v/>
      </c>
      <c r="O347" s="29" t="str">
        <f t="shared" si="35"/>
        <v/>
      </c>
      <c r="P347" s="61"/>
      <c r="Q347" s="61"/>
      <c r="R347" s="61"/>
      <c r="S347" s="45"/>
      <c r="T347" s="29" t="str">
        <f t="shared" si="36"/>
        <v/>
      </c>
    </row>
    <row r="348" spans="1:20">
      <c r="A348" s="10" t="str">
        <f t="shared" si="41"/>
        <v/>
      </c>
      <c r="B348" s="63"/>
      <c r="C348" s="25" t="str">
        <f t="shared" si="37"/>
        <v/>
      </c>
      <c r="D348" s="25" t="str">
        <f t="shared" si="38"/>
        <v/>
      </c>
      <c r="E348" s="45"/>
      <c r="F348" s="28" t="str">
        <f>IFERROR(VLOOKUP(E348,Category!$D$2:$E$600,2,FALSE),"")</f>
        <v/>
      </c>
      <c r="G348" s="65"/>
      <c r="H348" s="56"/>
      <c r="I348" s="66"/>
      <c r="J348" s="67"/>
      <c r="K348" s="67"/>
      <c r="L348" s="67"/>
      <c r="M348" s="29" t="str">
        <f t="shared" si="39"/>
        <v/>
      </c>
      <c r="N348" s="29" t="str">
        <f t="shared" si="40"/>
        <v/>
      </c>
      <c r="O348" s="29" t="str">
        <f t="shared" si="35"/>
        <v/>
      </c>
      <c r="P348" s="61"/>
      <c r="Q348" s="61"/>
      <c r="R348" s="61"/>
      <c r="S348" s="45"/>
      <c r="T348" s="29" t="str">
        <f t="shared" si="36"/>
        <v/>
      </c>
    </row>
    <row r="349" spans="1:20">
      <c r="A349" s="10" t="str">
        <f t="shared" si="41"/>
        <v/>
      </c>
      <c r="B349" s="63"/>
      <c r="C349" s="25" t="str">
        <f t="shared" si="37"/>
        <v/>
      </c>
      <c r="D349" s="25" t="str">
        <f t="shared" si="38"/>
        <v/>
      </c>
      <c r="E349" s="45"/>
      <c r="F349" s="28" t="str">
        <f>IFERROR(VLOOKUP(E349,Category!$D$2:$E$600,2,FALSE),"")</f>
        <v/>
      </c>
      <c r="G349" s="65"/>
      <c r="H349" s="56"/>
      <c r="I349" s="66"/>
      <c r="J349" s="67"/>
      <c r="K349" s="67"/>
      <c r="L349" s="67"/>
      <c r="M349" s="29" t="str">
        <f t="shared" si="39"/>
        <v/>
      </c>
      <c r="N349" s="29" t="str">
        <f t="shared" si="40"/>
        <v/>
      </c>
      <c r="O349" s="29" t="str">
        <f t="shared" si="35"/>
        <v/>
      </c>
      <c r="P349" s="61"/>
      <c r="Q349" s="61"/>
      <c r="R349" s="61"/>
      <c r="S349" s="45"/>
      <c r="T349" s="29" t="str">
        <f t="shared" si="36"/>
        <v/>
      </c>
    </row>
    <row r="350" spans="1:20">
      <c r="A350" s="10" t="str">
        <f t="shared" si="41"/>
        <v/>
      </c>
      <c r="B350" s="63"/>
      <c r="C350" s="25" t="str">
        <f t="shared" si="37"/>
        <v/>
      </c>
      <c r="D350" s="25" t="str">
        <f t="shared" si="38"/>
        <v/>
      </c>
      <c r="E350" s="45"/>
      <c r="F350" s="28" t="str">
        <f>IFERROR(VLOOKUP(E350,Category!$D$2:$E$600,2,FALSE),"")</f>
        <v/>
      </c>
      <c r="G350" s="65"/>
      <c r="H350" s="56"/>
      <c r="I350" s="66"/>
      <c r="J350" s="67"/>
      <c r="K350" s="67"/>
      <c r="L350" s="67"/>
      <c r="M350" s="29" t="str">
        <f t="shared" si="39"/>
        <v/>
      </c>
      <c r="N350" s="29" t="str">
        <f t="shared" si="40"/>
        <v/>
      </c>
      <c r="O350" s="29" t="str">
        <f t="shared" si="35"/>
        <v/>
      </c>
      <c r="P350" s="61"/>
      <c r="Q350" s="61"/>
      <c r="R350" s="61"/>
      <c r="S350" s="45"/>
      <c r="T350" s="29" t="str">
        <f t="shared" si="36"/>
        <v/>
      </c>
    </row>
    <row r="351" spans="1:20">
      <c r="A351" s="10" t="str">
        <f t="shared" si="41"/>
        <v/>
      </c>
      <c r="B351" s="63"/>
      <c r="C351" s="25" t="str">
        <f t="shared" si="37"/>
        <v/>
      </c>
      <c r="D351" s="25" t="str">
        <f t="shared" si="38"/>
        <v/>
      </c>
      <c r="E351" s="45"/>
      <c r="F351" s="28" t="str">
        <f>IFERROR(VLOOKUP(E351,Category!$D$2:$E$600,2,FALSE),"")</f>
        <v/>
      </c>
      <c r="G351" s="65"/>
      <c r="H351" s="56"/>
      <c r="I351" s="66"/>
      <c r="J351" s="67"/>
      <c r="K351" s="67"/>
      <c r="L351" s="67"/>
      <c r="M351" s="29" t="str">
        <f t="shared" si="39"/>
        <v/>
      </c>
      <c r="N351" s="29" t="str">
        <f t="shared" si="40"/>
        <v/>
      </c>
      <c r="O351" s="29" t="str">
        <f t="shared" si="35"/>
        <v/>
      </c>
      <c r="P351" s="61"/>
      <c r="Q351" s="61"/>
      <c r="R351" s="61"/>
      <c r="S351" s="45"/>
      <c r="T351" s="29" t="str">
        <f t="shared" si="36"/>
        <v/>
      </c>
    </row>
    <row r="352" spans="1:20">
      <c r="A352" s="10" t="str">
        <f t="shared" si="41"/>
        <v/>
      </c>
      <c r="B352" s="63"/>
      <c r="C352" s="25" t="str">
        <f t="shared" si="37"/>
        <v/>
      </c>
      <c r="D352" s="25" t="str">
        <f t="shared" si="38"/>
        <v/>
      </c>
      <c r="E352" s="45"/>
      <c r="F352" s="28" t="str">
        <f>IFERROR(VLOOKUP(E352,Category!$D$2:$E$600,2,FALSE),"")</f>
        <v/>
      </c>
      <c r="G352" s="65"/>
      <c r="H352" s="56"/>
      <c r="I352" s="66"/>
      <c r="J352" s="67"/>
      <c r="K352" s="67"/>
      <c r="L352" s="67"/>
      <c r="M352" s="29" t="str">
        <f t="shared" si="39"/>
        <v/>
      </c>
      <c r="N352" s="29" t="str">
        <f t="shared" si="40"/>
        <v/>
      </c>
      <c r="O352" s="29" t="str">
        <f t="shared" si="35"/>
        <v/>
      </c>
      <c r="P352" s="61"/>
      <c r="Q352" s="61"/>
      <c r="R352" s="61"/>
      <c r="S352" s="45"/>
      <c r="T352" s="29" t="str">
        <f t="shared" si="36"/>
        <v/>
      </c>
    </row>
    <row r="353" spans="1:20">
      <c r="A353" s="10" t="str">
        <f t="shared" si="41"/>
        <v/>
      </c>
      <c r="B353" s="63"/>
      <c r="C353" s="25" t="str">
        <f t="shared" si="37"/>
        <v/>
      </c>
      <c r="D353" s="25" t="str">
        <f t="shared" si="38"/>
        <v/>
      </c>
      <c r="E353" s="45"/>
      <c r="F353" s="28" t="str">
        <f>IFERROR(VLOOKUP(E353,Category!$D$2:$E$600,2,FALSE),"")</f>
        <v/>
      </c>
      <c r="G353" s="65"/>
      <c r="H353" s="56"/>
      <c r="I353" s="66"/>
      <c r="J353" s="67"/>
      <c r="K353" s="67"/>
      <c r="L353" s="67"/>
      <c r="M353" s="29" t="str">
        <f t="shared" si="39"/>
        <v/>
      </c>
      <c r="N353" s="29" t="str">
        <f t="shared" si="40"/>
        <v/>
      </c>
      <c r="O353" s="29" t="str">
        <f t="shared" si="35"/>
        <v/>
      </c>
      <c r="P353" s="61"/>
      <c r="Q353" s="61"/>
      <c r="R353" s="61"/>
      <c r="S353" s="45"/>
      <c r="T353" s="29" t="str">
        <f t="shared" si="36"/>
        <v/>
      </c>
    </row>
    <row r="354" spans="1:20">
      <c r="A354" s="10" t="str">
        <f t="shared" si="41"/>
        <v/>
      </c>
      <c r="B354" s="63"/>
      <c r="C354" s="25" t="str">
        <f t="shared" si="37"/>
        <v/>
      </c>
      <c r="D354" s="25" t="str">
        <f t="shared" si="38"/>
        <v/>
      </c>
      <c r="E354" s="45"/>
      <c r="F354" s="28" t="str">
        <f>IFERROR(VLOOKUP(E354,Category!$D$2:$E$600,2,FALSE),"")</f>
        <v/>
      </c>
      <c r="G354" s="65"/>
      <c r="H354" s="56"/>
      <c r="I354" s="66"/>
      <c r="J354" s="67"/>
      <c r="K354" s="67"/>
      <c r="L354" s="67"/>
      <c r="M354" s="29" t="str">
        <f t="shared" si="39"/>
        <v/>
      </c>
      <c r="N354" s="29" t="str">
        <f t="shared" si="40"/>
        <v/>
      </c>
      <c r="O354" s="29" t="str">
        <f t="shared" si="35"/>
        <v/>
      </c>
      <c r="P354" s="61"/>
      <c r="Q354" s="61"/>
      <c r="R354" s="61"/>
      <c r="S354" s="45"/>
      <c r="T354" s="29" t="str">
        <f t="shared" si="36"/>
        <v/>
      </c>
    </row>
    <row r="355" spans="1:20">
      <c r="A355" s="10" t="str">
        <f t="shared" si="41"/>
        <v/>
      </c>
      <c r="B355" s="63"/>
      <c r="C355" s="25" t="str">
        <f t="shared" si="37"/>
        <v/>
      </c>
      <c r="D355" s="25" t="str">
        <f t="shared" si="38"/>
        <v/>
      </c>
      <c r="E355" s="45"/>
      <c r="F355" s="28" t="str">
        <f>IFERROR(VLOOKUP(E355,Category!$D$2:$E$600,2,FALSE),"")</f>
        <v/>
      </c>
      <c r="G355" s="65"/>
      <c r="H355" s="56"/>
      <c r="I355" s="66"/>
      <c r="J355" s="67"/>
      <c r="K355" s="67"/>
      <c r="L355" s="67"/>
      <c r="M355" s="29" t="str">
        <f t="shared" si="39"/>
        <v/>
      </c>
      <c r="N355" s="29" t="str">
        <f t="shared" si="40"/>
        <v/>
      </c>
      <c r="O355" s="29" t="str">
        <f t="shared" si="35"/>
        <v/>
      </c>
      <c r="P355" s="61"/>
      <c r="Q355" s="61"/>
      <c r="R355" s="61"/>
      <c r="S355" s="45"/>
      <c r="T355" s="29" t="str">
        <f t="shared" si="36"/>
        <v/>
      </c>
    </row>
    <row r="356" spans="1:20">
      <c r="A356" s="10" t="str">
        <f t="shared" si="41"/>
        <v/>
      </c>
      <c r="B356" s="63"/>
      <c r="C356" s="25" t="str">
        <f t="shared" si="37"/>
        <v/>
      </c>
      <c r="D356" s="25" t="str">
        <f t="shared" si="38"/>
        <v/>
      </c>
      <c r="E356" s="45"/>
      <c r="F356" s="28" t="str">
        <f>IFERROR(VLOOKUP(E356,Category!$D$2:$E$600,2,FALSE),"")</f>
        <v/>
      </c>
      <c r="G356" s="65"/>
      <c r="H356" s="56"/>
      <c r="I356" s="66"/>
      <c r="J356" s="67"/>
      <c r="K356" s="67"/>
      <c r="L356" s="67"/>
      <c r="M356" s="29" t="str">
        <f t="shared" si="39"/>
        <v/>
      </c>
      <c r="N356" s="29" t="str">
        <f t="shared" si="40"/>
        <v/>
      </c>
      <c r="O356" s="29" t="str">
        <f t="shared" si="35"/>
        <v/>
      </c>
      <c r="P356" s="61"/>
      <c r="Q356" s="61"/>
      <c r="R356" s="61"/>
      <c r="S356" s="45"/>
      <c r="T356" s="29" t="str">
        <f t="shared" si="36"/>
        <v/>
      </c>
    </row>
    <row r="357" spans="1:20">
      <c r="A357" s="10" t="str">
        <f t="shared" si="41"/>
        <v/>
      </c>
      <c r="B357" s="63"/>
      <c r="C357" s="25" t="str">
        <f t="shared" si="37"/>
        <v/>
      </c>
      <c r="D357" s="25" t="str">
        <f t="shared" si="38"/>
        <v/>
      </c>
      <c r="E357" s="45"/>
      <c r="F357" s="28" t="str">
        <f>IFERROR(VLOOKUP(E357,Category!$D$2:$E$600,2,FALSE),"")</f>
        <v/>
      </c>
      <c r="G357" s="65"/>
      <c r="H357" s="56"/>
      <c r="I357" s="66"/>
      <c r="J357" s="67"/>
      <c r="K357" s="67"/>
      <c r="L357" s="67"/>
      <c r="M357" s="29" t="str">
        <f t="shared" si="39"/>
        <v/>
      </c>
      <c r="N357" s="29" t="str">
        <f t="shared" si="40"/>
        <v/>
      </c>
      <c r="O357" s="29" t="str">
        <f t="shared" si="35"/>
        <v/>
      </c>
      <c r="P357" s="61"/>
      <c r="Q357" s="61"/>
      <c r="R357" s="61"/>
      <c r="S357" s="45"/>
      <c r="T357" s="29" t="str">
        <f t="shared" si="36"/>
        <v/>
      </c>
    </row>
    <row r="358" spans="1:20">
      <c r="A358" s="10" t="str">
        <f t="shared" si="41"/>
        <v/>
      </c>
      <c r="B358" s="63"/>
      <c r="C358" s="25" t="str">
        <f t="shared" si="37"/>
        <v/>
      </c>
      <c r="D358" s="25" t="str">
        <f t="shared" si="38"/>
        <v/>
      </c>
      <c r="E358" s="45"/>
      <c r="F358" s="28" t="str">
        <f>IFERROR(VLOOKUP(E358,Category!$D$2:$E$600,2,FALSE),"")</f>
        <v/>
      </c>
      <c r="G358" s="65"/>
      <c r="H358" s="56"/>
      <c r="I358" s="66"/>
      <c r="J358" s="67"/>
      <c r="K358" s="67"/>
      <c r="L358" s="67"/>
      <c r="M358" s="29" t="str">
        <f t="shared" si="39"/>
        <v/>
      </c>
      <c r="N358" s="29" t="str">
        <f t="shared" si="40"/>
        <v/>
      </c>
      <c r="O358" s="29" t="str">
        <f t="shared" si="35"/>
        <v/>
      </c>
      <c r="P358" s="61"/>
      <c r="Q358" s="61"/>
      <c r="R358" s="61"/>
      <c r="S358" s="45"/>
      <c r="T358" s="29" t="str">
        <f t="shared" si="36"/>
        <v/>
      </c>
    </row>
    <row r="359" spans="1:20">
      <c r="A359" s="10" t="str">
        <f t="shared" si="41"/>
        <v/>
      </c>
      <c r="B359" s="63"/>
      <c r="C359" s="25" t="str">
        <f t="shared" si="37"/>
        <v/>
      </c>
      <c r="D359" s="25" t="str">
        <f t="shared" si="38"/>
        <v/>
      </c>
      <c r="E359" s="45"/>
      <c r="F359" s="28" t="str">
        <f>IFERROR(VLOOKUP(E359,Category!$D$2:$E$600,2,FALSE),"")</f>
        <v/>
      </c>
      <c r="G359" s="65"/>
      <c r="H359" s="56"/>
      <c r="I359" s="66"/>
      <c r="J359" s="67"/>
      <c r="K359" s="67"/>
      <c r="L359" s="67"/>
      <c r="M359" s="29" t="str">
        <f t="shared" si="39"/>
        <v/>
      </c>
      <c r="N359" s="29" t="str">
        <f t="shared" si="40"/>
        <v/>
      </c>
      <c r="O359" s="29" t="str">
        <f t="shared" si="35"/>
        <v/>
      </c>
      <c r="P359" s="61"/>
      <c r="Q359" s="61"/>
      <c r="R359" s="61"/>
      <c r="S359" s="45"/>
      <c r="T359" s="29" t="str">
        <f t="shared" si="36"/>
        <v/>
      </c>
    </row>
    <row r="360" spans="1:20">
      <c r="A360" s="10" t="str">
        <f t="shared" si="41"/>
        <v/>
      </c>
      <c r="B360" s="63"/>
      <c r="C360" s="25" t="str">
        <f t="shared" si="37"/>
        <v/>
      </c>
      <c r="D360" s="25" t="str">
        <f t="shared" si="38"/>
        <v/>
      </c>
      <c r="E360" s="45"/>
      <c r="F360" s="28" t="str">
        <f>IFERROR(VLOOKUP(E360,Category!$D$2:$E$600,2,FALSE),"")</f>
        <v/>
      </c>
      <c r="G360" s="65"/>
      <c r="H360" s="56"/>
      <c r="I360" s="66"/>
      <c r="J360" s="67"/>
      <c r="K360" s="67"/>
      <c r="L360" s="67"/>
      <c r="M360" s="29" t="str">
        <f t="shared" si="39"/>
        <v/>
      </c>
      <c r="N360" s="29" t="str">
        <f t="shared" si="40"/>
        <v/>
      </c>
      <c r="O360" s="29" t="str">
        <f t="shared" si="35"/>
        <v/>
      </c>
      <c r="P360" s="61"/>
      <c r="Q360" s="61"/>
      <c r="R360" s="61"/>
      <c r="S360" s="45"/>
      <c r="T360" s="29" t="str">
        <f t="shared" si="36"/>
        <v/>
      </c>
    </row>
    <row r="361" spans="1:20">
      <c r="A361" s="10" t="str">
        <f t="shared" si="41"/>
        <v/>
      </c>
      <c r="B361" s="63"/>
      <c r="C361" s="25" t="str">
        <f t="shared" si="37"/>
        <v/>
      </c>
      <c r="D361" s="25" t="str">
        <f t="shared" si="38"/>
        <v/>
      </c>
      <c r="E361" s="45"/>
      <c r="F361" s="28" t="str">
        <f>IFERROR(VLOOKUP(E361,Category!$D$2:$E$600,2,FALSE),"")</f>
        <v/>
      </c>
      <c r="G361" s="65"/>
      <c r="H361" s="56"/>
      <c r="I361" s="66"/>
      <c r="J361" s="67"/>
      <c r="K361" s="67"/>
      <c r="L361" s="67"/>
      <c r="M361" s="29" t="str">
        <f t="shared" si="39"/>
        <v/>
      </c>
      <c r="N361" s="29" t="str">
        <f t="shared" si="40"/>
        <v/>
      </c>
      <c r="O361" s="29" t="str">
        <f t="shared" si="35"/>
        <v/>
      </c>
      <c r="P361" s="61"/>
      <c r="Q361" s="61"/>
      <c r="R361" s="61"/>
      <c r="S361" s="45"/>
      <c r="T361" s="29" t="str">
        <f t="shared" si="36"/>
        <v/>
      </c>
    </row>
    <row r="362" spans="1:20">
      <c r="A362" s="10" t="str">
        <f t="shared" si="41"/>
        <v/>
      </c>
      <c r="B362" s="63"/>
      <c r="C362" s="25" t="str">
        <f t="shared" si="37"/>
        <v/>
      </c>
      <c r="D362" s="25" t="str">
        <f t="shared" si="38"/>
        <v/>
      </c>
      <c r="E362" s="45"/>
      <c r="F362" s="28" t="str">
        <f>IFERROR(VLOOKUP(E362,Category!$D$2:$E$600,2,FALSE),"")</f>
        <v/>
      </c>
      <c r="G362" s="65"/>
      <c r="H362" s="56"/>
      <c r="I362" s="66"/>
      <c r="J362" s="67"/>
      <c r="K362" s="67"/>
      <c r="L362" s="67"/>
      <c r="M362" s="29" t="str">
        <f t="shared" si="39"/>
        <v/>
      </c>
      <c r="N362" s="29" t="str">
        <f t="shared" si="40"/>
        <v/>
      </c>
      <c r="O362" s="29" t="str">
        <f t="shared" si="35"/>
        <v/>
      </c>
      <c r="P362" s="61"/>
      <c r="Q362" s="61"/>
      <c r="R362" s="61"/>
      <c r="S362" s="45"/>
      <c r="T362" s="29" t="str">
        <f t="shared" si="36"/>
        <v/>
      </c>
    </row>
    <row r="363" spans="1:20">
      <c r="A363" s="10" t="str">
        <f t="shared" si="41"/>
        <v/>
      </c>
      <c r="B363" s="63"/>
      <c r="C363" s="25" t="str">
        <f t="shared" si="37"/>
        <v/>
      </c>
      <c r="D363" s="25" t="str">
        <f t="shared" si="38"/>
        <v/>
      </c>
      <c r="E363" s="45"/>
      <c r="F363" s="28" t="str">
        <f>IFERROR(VLOOKUP(E363,Category!$D$2:$E$600,2,FALSE),"")</f>
        <v/>
      </c>
      <c r="G363" s="65"/>
      <c r="H363" s="56"/>
      <c r="I363" s="66"/>
      <c r="J363" s="67"/>
      <c r="K363" s="67"/>
      <c r="L363" s="67"/>
      <c r="M363" s="29" t="str">
        <f t="shared" si="39"/>
        <v/>
      </c>
      <c r="N363" s="29" t="str">
        <f t="shared" si="40"/>
        <v/>
      </c>
      <c r="O363" s="29" t="str">
        <f t="shared" si="35"/>
        <v/>
      </c>
      <c r="P363" s="61"/>
      <c r="Q363" s="61"/>
      <c r="R363" s="61"/>
      <c r="S363" s="45"/>
      <c r="T363" s="29" t="str">
        <f t="shared" si="36"/>
        <v/>
      </c>
    </row>
    <row r="364" spans="1:20">
      <c r="A364" s="10" t="str">
        <f t="shared" si="41"/>
        <v/>
      </c>
      <c r="B364" s="63"/>
      <c r="C364" s="25" t="str">
        <f t="shared" si="37"/>
        <v/>
      </c>
      <c r="D364" s="25" t="str">
        <f t="shared" si="38"/>
        <v/>
      </c>
      <c r="E364" s="45"/>
      <c r="F364" s="28" t="str">
        <f>IFERROR(VLOOKUP(E364,Category!$D$2:$E$600,2,FALSE),"")</f>
        <v/>
      </c>
      <c r="G364" s="65"/>
      <c r="H364" s="56"/>
      <c r="I364" s="66"/>
      <c r="J364" s="67"/>
      <c r="K364" s="67"/>
      <c r="L364" s="67"/>
      <c r="M364" s="29" t="str">
        <f t="shared" si="39"/>
        <v/>
      </c>
      <c r="N364" s="29" t="str">
        <f t="shared" si="40"/>
        <v/>
      </c>
      <c r="O364" s="29" t="str">
        <f t="shared" si="35"/>
        <v/>
      </c>
      <c r="P364" s="61"/>
      <c r="Q364" s="61"/>
      <c r="R364" s="61"/>
      <c r="S364" s="45"/>
      <c r="T364" s="29" t="str">
        <f t="shared" si="36"/>
        <v/>
      </c>
    </row>
    <row r="365" spans="1:20">
      <c r="A365" s="10" t="str">
        <f t="shared" si="41"/>
        <v/>
      </c>
      <c r="B365" s="63"/>
      <c r="C365" s="25" t="str">
        <f t="shared" si="37"/>
        <v/>
      </c>
      <c r="D365" s="25" t="str">
        <f t="shared" si="38"/>
        <v/>
      </c>
      <c r="E365" s="45"/>
      <c r="F365" s="28" t="str">
        <f>IFERROR(VLOOKUP(E365,Category!$D$2:$E$600,2,FALSE),"")</f>
        <v/>
      </c>
      <c r="G365" s="65"/>
      <c r="H365" s="56"/>
      <c r="I365" s="66"/>
      <c r="J365" s="67"/>
      <c r="K365" s="67"/>
      <c r="L365" s="67"/>
      <c r="M365" s="29" t="str">
        <f t="shared" si="39"/>
        <v/>
      </c>
      <c r="N365" s="29" t="str">
        <f t="shared" si="40"/>
        <v/>
      </c>
      <c r="O365" s="29" t="str">
        <f t="shared" si="35"/>
        <v/>
      </c>
      <c r="P365" s="61"/>
      <c r="Q365" s="61"/>
      <c r="R365" s="61"/>
      <c r="S365" s="45"/>
      <c r="T365" s="29" t="str">
        <f t="shared" si="36"/>
        <v/>
      </c>
    </row>
    <row r="366" spans="1:20">
      <c r="A366" s="10" t="str">
        <f t="shared" si="41"/>
        <v/>
      </c>
      <c r="B366" s="63"/>
      <c r="C366" s="25" t="str">
        <f t="shared" si="37"/>
        <v/>
      </c>
      <c r="D366" s="25" t="str">
        <f t="shared" si="38"/>
        <v/>
      </c>
      <c r="E366" s="45"/>
      <c r="F366" s="28" t="str">
        <f>IFERROR(VLOOKUP(E366,Category!$D$2:$E$600,2,FALSE),"")</f>
        <v/>
      </c>
      <c r="G366" s="65"/>
      <c r="H366" s="56"/>
      <c r="I366" s="66"/>
      <c r="J366" s="67"/>
      <c r="K366" s="67"/>
      <c r="L366" s="67"/>
      <c r="M366" s="29" t="str">
        <f t="shared" si="39"/>
        <v/>
      </c>
      <c r="N366" s="29" t="str">
        <f t="shared" si="40"/>
        <v/>
      </c>
      <c r="O366" s="29" t="str">
        <f t="shared" si="35"/>
        <v/>
      </c>
      <c r="P366" s="61"/>
      <c r="Q366" s="61"/>
      <c r="R366" s="61"/>
      <c r="S366" s="45"/>
      <c r="T366" s="29" t="str">
        <f t="shared" si="36"/>
        <v/>
      </c>
    </row>
    <row r="367" spans="1:20">
      <c r="A367" s="10" t="str">
        <f t="shared" si="41"/>
        <v/>
      </c>
      <c r="B367" s="63"/>
      <c r="C367" s="25" t="str">
        <f t="shared" si="37"/>
        <v/>
      </c>
      <c r="D367" s="25" t="str">
        <f t="shared" si="38"/>
        <v/>
      </c>
      <c r="E367" s="45"/>
      <c r="F367" s="28" t="str">
        <f>IFERROR(VLOOKUP(E367,Category!$D$2:$E$600,2,FALSE),"")</f>
        <v/>
      </c>
      <c r="G367" s="65"/>
      <c r="H367" s="56"/>
      <c r="I367" s="66"/>
      <c r="J367" s="67"/>
      <c r="K367" s="67"/>
      <c r="L367" s="67"/>
      <c r="M367" s="29" t="str">
        <f t="shared" si="39"/>
        <v/>
      </c>
      <c r="N367" s="29" t="str">
        <f t="shared" si="40"/>
        <v/>
      </c>
      <c r="O367" s="29" t="str">
        <f t="shared" si="35"/>
        <v/>
      </c>
      <c r="P367" s="61"/>
      <c r="Q367" s="61"/>
      <c r="R367" s="61"/>
      <c r="S367" s="45"/>
      <c r="T367" s="29" t="str">
        <f t="shared" si="36"/>
        <v/>
      </c>
    </row>
    <row r="368" spans="1:20">
      <c r="A368" s="10" t="str">
        <f t="shared" si="41"/>
        <v/>
      </c>
      <c r="B368" s="63"/>
      <c r="C368" s="25" t="str">
        <f t="shared" si="37"/>
        <v/>
      </c>
      <c r="D368" s="25" t="str">
        <f t="shared" si="38"/>
        <v/>
      </c>
      <c r="E368" s="45"/>
      <c r="F368" s="28" t="str">
        <f>IFERROR(VLOOKUP(E368,Category!$D$2:$E$600,2,FALSE),"")</f>
        <v/>
      </c>
      <c r="G368" s="65"/>
      <c r="H368" s="56"/>
      <c r="I368" s="66"/>
      <c r="J368" s="67"/>
      <c r="K368" s="67"/>
      <c r="L368" s="67"/>
      <c r="M368" s="29" t="str">
        <f t="shared" si="39"/>
        <v/>
      </c>
      <c r="N368" s="29" t="str">
        <f t="shared" si="40"/>
        <v/>
      </c>
      <c r="O368" s="29" t="str">
        <f t="shared" si="35"/>
        <v/>
      </c>
      <c r="P368" s="61"/>
      <c r="Q368" s="61"/>
      <c r="R368" s="61"/>
      <c r="S368" s="45"/>
      <c r="T368" s="29" t="str">
        <f t="shared" si="36"/>
        <v/>
      </c>
    </row>
    <row r="369" spans="1:20">
      <c r="A369" s="10" t="str">
        <f t="shared" si="41"/>
        <v/>
      </c>
      <c r="B369" s="63"/>
      <c r="C369" s="25" t="str">
        <f t="shared" si="37"/>
        <v/>
      </c>
      <c r="D369" s="25" t="str">
        <f t="shared" si="38"/>
        <v/>
      </c>
      <c r="E369" s="45"/>
      <c r="F369" s="28" t="str">
        <f>IFERROR(VLOOKUP(E369,Category!$D$2:$E$600,2,FALSE),"")</f>
        <v/>
      </c>
      <c r="G369" s="65"/>
      <c r="H369" s="56"/>
      <c r="I369" s="66"/>
      <c r="J369" s="67"/>
      <c r="K369" s="67"/>
      <c r="L369" s="67"/>
      <c r="M369" s="29" t="str">
        <f t="shared" si="39"/>
        <v/>
      </c>
      <c r="N369" s="29" t="str">
        <f t="shared" si="40"/>
        <v/>
      </c>
      <c r="O369" s="29" t="str">
        <f t="shared" si="35"/>
        <v/>
      </c>
      <c r="P369" s="61"/>
      <c r="Q369" s="61"/>
      <c r="R369" s="61"/>
      <c r="S369" s="45"/>
      <c r="T369" s="29" t="str">
        <f t="shared" si="36"/>
        <v/>
      </c>
    </row>
    <row r="370" spans="1:20">
      <c r="A370" s="10" t="str">
        <f t="shared" si="41"/>
        <v/>
      </c>
      <c r="B370" s="63"/>
      <c r="C370" s="25" t="str">
        <f t="shared" si="37"/>
        <v/>
      </c>
      <c r="D370" s="25" t="str">
        <f t="shared" si="38"/>
        <v/>
      </c>
      <c r="E370" s="45"/>
      <c r="F370" s="28" t="str">
        <f>IFERROR(VLOOKUP(E370,Category!$D$2:$E$600,2,FALSE),"")</f>
        <v/>
      </c>
      <c r="G370" s="65"/>
      <c r="H370" s="56"/>
      <c r="I370" s="66"/>
      <c r="J370" s="67"/>
      <c r="K370" s="67"/>
      <c r="L370" s="67"/>
      <c r="M370" s="29" t="str">
        <f t="shared" si="39"/>
        <v/>
      </c>
      <c r="N370" s="29" t="str">
        <f t="shared" si="40"/>
        <v/>
      </c>
      <c r="O370" s="29" t="str">
        <f t="shared" si="35"/>
        <v/>
      </c>
      <c r="P370" s="61"/>
      <c r="Q370" s="61"/>
      <c r="R370" s="61"/>
      <c r="S370" s="45"/>
      <c r="T370" s="29" t="str">
        <f t="shared" si="36"/>
        <v/>
      </c>
    </row>
    <row r="371" spans="1:20">
      <c r="A371" s="10" t="str">
        <f t="shared" si="41"/>
        <v/>
      </c>
      <c r="B371" s="63"/>
      <c r="C371" s="25" t="str">
        <f t="shared" si="37"/>
        <v/>
      </c>
      <c r="D371" s="25" t="str">
        <f t="shared" si="38"/>
        <v/>
      </c>
      <c r="E371" s="45"/>
      <c r="F371" s="28" t="str">
        <f>IFERROR(VLOOKUP(E371,Category!$D$2:$E$600,2,FALSE),"")</f>
        <v/>
      </c>
      <c r="G371" s="65"/>
      <c r="H371" s="56"/>
      <c r="I371" s="66"/>
      <c r="J371" s="67"/>
      <c r="K371" s="67"/>
      <c r="L371" s="67"/>
      <c r="M371" s="29" t="str">
        <f t="shared" si="39"/>
        <v/>
      </c>
      <c r="N371" s="29" t="str">
        <f t="shared" si="40"/>
        <v/>
      </c>
      <c r="O371" s="29" t="str">
        <f t="shared" si="35"/>
        <v/>
      </c>
      <c r="P371" s="61"/>
      <c r="Q371" s="61"/>
      <c r="R371" s="61"/>
      <c r="S371" s="45"/>
      <c r="T371" s="29" t="str">
        <f t="shared" si="36"/>
        <v/>
      </c>
    </row>
    <row r="372" spans="1:20">
      <c r="A372" s="10" t="str">
        <f t="shared" si="41"/>
        <v/>
      </c>
      <c r="B372" s="63"/>
      <c r="C372" s="25" t="str">
        <f t="shared" si="37"/>
        <v/>
      </c>
      <c r="D372" s="25" t="str">
        <f t="shared" si="38"/>
        <v/>
      </c>
      <c r="E372" s="45"/>
      <c r="F372" s="28" t="str">
        <f>IFERROR(VLOOKUP(E372,Category!$D$2:$E$600,2,FALSE),"")</f>
        <v/>
      </c>
      <c r="G372" s="65"/>
      <c r="H372" s="56"/>
      <c r="I372" s="66"/>
      <c r="J372" s="67"/>
      <c r="K372" s="67"/>
      <c r="L372" s="67"/>
      <c r="M372" s="29" t="str">
        <f t="shared" si="39"/>
        <v/>
      </c>
      <c r="N372" s="29" t="str">
        <f t="shared" si="40"/>
        <v/>
      </c>
      <c r="O372" s="29" t="str">
        <f t="shared" si="35"/>
        <v/>
      </c>
      <c r="P372" s="61"/>
      <c r="Q372" s="61"/>
      <c r="R372" s="61"/>
      <c r="S372" s="45"/>
      <c r="T372" s="29" t="str">
        <f t="shared" si="36"/>
        <v/>
      </c>
    </row>
    <row r="373" spans="1:20">
      <c r="A373" s="10" t="str">
        <f t="shared" si="41"/>
        <v/>
      </c>
      <c r="B373" s="63"/>
      <c r="C373" s="25" t="str">
        <f t="shared" si="37"/>
        <v/>
      </c>
      <c r="D373" s="25" t="str">
        <f t="shared" si="38"/>
        <v/>
      </c>
      <c r="E373" s="45"/>
      <c r="F373" s="28" t="str">
        <f>IFERROR(VLOOKUP(E373,Category!$D$2:$E$600,2,FALSE),"")</f>
        <v/>
      </c>
      <c r="G373" s="65"/>
      <c r="H373" s="56"/>
      <c r="I373" s="66"/>
      <c r="J373" s="67"/>
      <c r="K373" s="67"/>
      <c r="L373" s="67"/>
      <c r="M373" s="29" t="str">
        <f t="shared" si="39"/>
        <v/>
      </c>
      <c r="N373" s="29" t="str">
        <f t="shared" si="40"/>
        <v/>
      </c>
      <c r="O373" s="29" t="str">
        <f t="shared" si="35"/>
        <v/>
      </c>
      <c r="P373" s="61"/>
      <c r="Q373" s="61"/>
      <c r="R373" s="61"/>
      <c r="S373" s="45"/>
      <c r="T373" s="29" t="str">
        <f t="shared" si="36"/>
        <v/>
      </c>
    </row>
    <row r="374" spans="1:20">
      <c r="A374" s="10" t="str">
        <f t="shared" si="41"/>
        <v/>
      </c>
      <c r="B374" s="63"/>
      <c r="C374" s="25" t="str">
        <f t="shared" si="37"/>
        <v/>
      </c>
      <c r="D374" s="25" t="str">
        <f t="shared" si="38"/>
        <v/>
      </c>
      <c r="E374" s="45"/>
      <c r="F374" s="28" t="str">
        <f>IFERROR(VLOOKUP(E374,Category!$D$2:$E$600,2,FALSE),"")</f>
        <v/>
      </c>
      <c r="G374" s="65"/>
      <c r="H374" s="56"/>
      <c r="I374" s="66"/>
      <c r="J374" s="67"/>
      <c r="K374" s="67"/>
      <c r="L374" s="67"/>
      <c r="M374" s="29" t="str">
        <f t="shared" si="39"/>
        <v/>
      </c>
      <c r="N374" s="29" t="str">
        <f t="shared" si="40"/>
        <v/>
      </c>
      <c r="O374" s="29" t="str">
        <f t="shared" si="35"/>
        <v/>
      </c>
      <c r="P374" s="61"/>
      <c r="Q374" s="61"/>
      <c r="R374" s="61"/>
      <c r="S374" s="45"/>
      <c r="T374" s="29" t="str">
        <f t="shared" si="36"/>
        <v/>
      </c>
    </row>
    <row r="375" spans="1:20">
      <c r="A375" s="10" t="str">
        <f t="shared" si="41"/>
        <v/>
      </c>
      <c r="B375" s="63"/>
      <c r="C375" s="25" t="str">
        <f t="shared" si="37"/>
        <v/>
      </c>
      <c r="D375" s="25" t="str">
        <f t="shared" si="38"/>
        <v/>
      </c>
      <c r="E375" s="45"/>
      <c r="F375" s="28" t="str">
        <f>IFERROR(VLOOKUP(E375,Category!$D$2:$E$600,2,FALSE),"")</f>
        <v/>
      </c>
      <c r="G375" s="65"/>
      <c r="H375" s="56"/>
      <c r="I375" s="66"/>
      <c r="J375" s="67"/>
      <c r="K375" s="67"/>
      <c r="L375" s="67"/>
      <c r="M375" s="29" t="str">
        <f t="shared" si="39"/>
        <v/>
      </c>
      <c r="N375" s="29" t="str">
        <f t="shared" si="40"/>
        <v/>
      </c>
      <c r="O375" s="29" t="str">
        <f t="shared" si="35"/>
        <v/>
      </c>
      <c r="P375" s="61"/>
      <c r="Q375" s="61"/>
      <c r="R375" s="61"/>
      <c r="S375" s="45"/>
      <c r="T375" s="29" t="str">
        <f t="shared" si="36"/>
        <v/>
      </c>
    </row>
    <row r="376" spans="1:20">
      <c r="A376" s="10" t="str">
        <f t="shared" si="41"/>
        <v/>
      </c>
      <c r="B376" s="63"/>
      <c r="C376" s="25" t="str">
        <f t="shared" si="37"/>
        <v/>
      </c>
      <c r="D376" s="25" t="str">
        <f t="shared" si="38"/>
        <v/>
      </c>
      <c r="E376" s="45"/>
      <c r="F376" s="28" t="str">
        <f>IFERROR(VLOOKUP(E376,Category!$D$2:$E$600,2,FALSE),"")</f>
        <v/>
      </c>
      <c r="G376" s="65"/>
      <c r="H376" s="56"/>
      <c r="I376" s="66"/>
      <c r="J376" s="67"/>
      <c r="K376" s="67"/>
      <c r="L376" s="67"/>
      <c r="M376" s="29" t="str">
        <f t="shared" si="39"/>
        <v/>
      </c>
      <c r="N376" s="29" t="str">
        <f t="shared" si="40"/>
        <v/>
      </c>
      <c r="O376" s="29" t="str">
        <f t="shared" si="35"/>
        <v/>
      </c>
      <c r="P376" s="61"/>
      <c r="Q376" s="61"/>
      <c r="R376" s="61"/>
      <c r="S376" s="45"/>
      <c r="T376" s="29" t="str">
        <f t="shared" si="36"/>
        <v/>
      </c>
    </row>
    <row r="377" spans="1:20">
      <c r="A377" s="10" t="str">
        <f t="shared" si="41"/>
        <v/>
      </c>
      <c r="B377" s="63"/>
      <c r="C377" s="25" t="str">
        <f t="shared" si="37"/>
        <v/>
      </c>
      <c r="D377" s="25" t="str">
        <f t="shared" si="38"/>
        <v/>
      </c>
      <c r="E377" s="45"/>
      <c r="F377" s="28" t="str">
        <f>IFERROR(VLOOKUP(E377,Category!$D$2:$E$600,2,FALSE),"")</f>
        <v/>
      </c>
      <c r="G377" s="65"/>
      <c r="H377" s="56"/>
      <c r="I377" s="66"/>
      <c r="J377" s="67"/>
      <c r="K377" s="67"/>
      <c r="L377" s="67"/>
      <c r="M377" s="29" t="str">
        <f t="shared" si="39"/>
        <v/>
      </c>
      <c r="N377" s="29" t="str">
        <f t="shared" si="40"/>
        <v/>
      </c>
      <c r="O377" s="29" t="str">
        <f t="shared" si="35"/>
        <v/>
      </c>
      <c r="P377" s="61"/>
      <c r="Q377" s="61"/>
      <c r="R377" s="61"/>
      <c r="S377" s="45"/>
      <c r="T377" s="29" t="str">
        <f t="shared" si="36"/>
        <v/>
      </c>
    </row>
    <row r="378" spans="1:20">
      <c r="A378" s="10" t="str">
        <f t="shared" si="41"/>
        <v/>
      </c>
      <c r="B378" s="63"/>
      <c r="C378" s="25" t="str">
        <f t="shared" si="37"/>
        <v/>
      </c>
      <c r="D378" s="25" t="str">
        <f t="shared" si="38"/>
        <v/>
      </c>
      <c r="E378" s="45"/>
      <c r="F378" s="28" t="str">
        <f>IFERROR(VLOOKUP(E378,Category!$D$2:$E$600,2,FALSE),"")</f>
        <v/>
      </c>
      <c r="G378" s="65"/>
      <c r="H378" s="56"/>
      <c r="I378" s="66"/>
      <c r="J378" s="67"/>
      <c r="K378" s="67"/>
      <c r="L378" s="67"/>
      <c r="M378" s="29" t="str">
        <f t="shared" si="39"/>
        <v/>
      </c>
      <c r="N378" s="29" t="str">
        <f t="shared" si="40"/>
        <v/>
      </c>
      <c r="O378" s="29" t="str">
        <f t="shared" si="35"/>
        <v/>
      </c>
      <c r="P378" s="61"/>
      <c r="Q378" s="61"/>
      <c r="R378" s="61"/>
      <c r="S378" s="45"/>
      <c r="T378" s="29" t="str">
        <f t="shared" si="36"/>
        <v/>
      </c>
    </row>
    <row r="379" spans="1:20">
      <c r="A379" s="10" t="str">
        <f t="shared" si="41"/>
        <v/>
      </c>
      <c r="B379" s="63"/>
      <c r="C379" s="25" t="str">
        <f t="shared" si="37"/>
        <v/>
      </c>
      <c r="D379" s="25" t="str">
        <f t="shared" si="38"/>
        <v/>
      </c>
      <c r="E379" s="45"/>
      <c r="F379" s="28" t="str">
        <f>IFERROR(VLOOKUP(E379,Category!$D$2:$E$600,2,FALSE),"")</f>
        <v/>
      </c>
      <c r="G379" s="65"/>
      <c r="H379" s="56"/>
      <c r="I379" s="66"/>
      <c r="J379" s="67"/>
      <c r="K379" s="67"/>
      <c r="L379" s="67"/>
      <c r="M379" s="29" t="str">
        <f t="shared" si="39"/>
        <v/>
      </c>
      <c r="N379" s="29" t="str">
        <f t="shared" si="40"/>
        <v/>
      </c>
      <c r="O379" s="29" t="str">
        <f t="shared" si="35"/>
        <v/>
      </c>
      <c r="P379" s="61"/>
      <c r="Q379" s="61"/>
      <c r="R379" s="61"/>
      <c r="S379" s="45"/>
      <c r="T379" s="29" t="str">
        <f t="shared" si="36"/>
        <v/>
      </c>
    </row>
    <row r="380" spans="1:20">
      <c r="A380" s="10" t="str">
        <f t="shared" si="41"/>
        <v/>
      </c>
      <c r="B380" s="63"/>
      <c r="C380" s="25" t="str">
        <f t="shared" si="37"/>
        <v/>
      </c>
      <c r="D380" s="25" t="str">
        <f t="shared" si="38"/>
        <v/>
      </c>
      <c r="E380" s="45"/>
      <c r="F380" s="28" t="str">
        <f>IFERROR(VLOOKUP(E380,Category!$D$2:$E$600,2,FALSE),"")</f>
        <v/>
      </c>
      <c r="G380" s="65"/>
      <c r="H380" s="56"/>
      <c r="I380" s="66"/>
      <c r="J380" s="67"/>
      <c r="K380" s="67"/>
      <c r="L380" s="67"/>
      <c r="M380" s="29" t="str">
        <f t="shared" si="39"/>
        <v/>
      </c>
      <c r="N380" s="29" t="str">
        <f t="shared" si="40"/>
        <v/>
      </c>
      <c r="O380" s="29" t="str">
        <f t="shared" si="35"/>
        <v/>
      </c>
      <c r="P380" s="61"/>
      <c r="Q380" s="61"/>
      <c r="R380" s="61"/>
      <c r="S380" s="45"/>
      <c r="T380" s="29" t="str">
        <f t="shared" si="36"/>
        <v/>
      </c>
    </row>
    <row r="381" spans="1:20">
      <c r="A381" s="10" t="str">
        <f t="shared" si="41"/>
        <v/>
      </c>
      <c r="B381" s="63"/>
      <c r="C381" s="25" t="str">
        <f t="shared" si="37"/>
        <v/>
      </c>
      <c r="D381" s="25" t="str">
        <f t="shared" si="38"/>
        <v/>
      </c>
      <c r="E381" s="45"/>
      <c r="F381" s="28" t="str">
        <f>IFERROR(VLOOKUP(E381,Category!$D$2:$E$600,2,FALSE),"")</f>
        <v/>
      </c>
      <c r="G381" s="65"/>
      <c r="H381" s="56"/>
      <c r="I381" s="66"/>
      <c r="J381" s="67"/>
      <c r="K381" s="67"/>
      <c r="L381" s="67"/>
      <c r="M381" s="29" t="str">
        <f t="shared" si="39"/>
        <v/>
      </c>
      <c r="N381" s="29" t="str">
        <f t="shared" si="40"/>
        <v/>
      </c>
      <c r="O381" s="29" t="str">
        <f t="shared" si="35"/>
        <v/>
      </c>
      <c r="P381" s="61"/>
      <c r="Q381" s="61"/>
      <c r="R381" s="61"/>
      <c r="S381" s="45"/>
      <c r="T381" s="29" t="str">
        <f t="shared" si="36"/>
        <v/>
      </c>
    </row>
    <row r="382" spans="1:20">
      <c r="A382" s="10" t="str">
        <f t="shared" si="41"/>
        <v/>
      </c>
      <c r="B382" s="63"/>
      <c r="C382" s="25" t="str">
        <f t="shared" si="37"/>
        <v/>
      </c>
      <c r="D382" s="25" t="str">
        <f t="shared" si="38"/>
        <v/>
      </c>
      <c r="E382" s="45"/>
      <c r="F382" s="28" t="str">
        <f>IFERROR(VLOOKUP(E382,Category!$D$2:$E$600,2,FALSE),"")</f>
        <v/>
      </c>
      <c r="G382" s="65"/>
      <c r="H382" s="56"/>
      <c r="I382" s="66"/>
      <c r="J382" s="67"/>
      <c r="K382" s="67"/>
      <c r="L382" s="67"/>
      <c r="M382" s="29" t="str">
        <f t="shared" si="39"/>
        <v/>
      </c>
      <c r="N382" s="29" t="str">
        <f t="shared" si="40"/>
        <v/>
      </c>
      <c r="O382" s="29" t="str">
        <f t="shared" si="35"/>
        <v/>
      </c>
      <c r="P382" s="61"/>
      <c r="Q382" s="61"/>
      <c r="R382" s="61"/>
      <c r="S382" s="45"/>
      <c r="T382" s="29" t="str">
        <f t="shared" si="36"/>
        <v/>
      </c>
    </row>
    <row r="383" spans="1:20">
      <c r="A383" s="10" t="str">
        <f t="shared" si="41"/>
        <v/>
      </c>
      <c r="B383" s="63"/>
      <c r="C383" s="25" t="str">
        <f t="shared" si="37"/>
        <v/>
      </c>
      <c r="D383" s="25" t="str">
        <f t="shared" si="38"/>
        <v/>
      </c>
      <c r="E383" s="45"/>
      <c r="F383" s="28" t="str">
        <f>IFERROR(VLOOKUP(E383,Category!$D$2:$E$600,2,FALSE),"")</f>
        <v/>
      </c>
      <c r="G383" s="65"/>
      <c r="H383" s="56"/>
      <c r="I383" s="66"/>
      <c r="J383" s="67"/>
      <c r="K383" s="67"/>
      <c r="L383" s="67"/>
      <c r="M383" s="29" t="str">
        <f t="shared" si="39"/>
        <v/>
      </c>
      <c r="N383" s="29" t="str">
        <f t="shared" si="40"/>
        <v/>
      </c>
      <c r="O383" s="29" t="str">
        <f t="shared" si="35"/>
        <v/>
      </c>
      <c r="P383" s="61"/>
      <c r="Q383" s="61"/>
      <c r="R383" s="61"/>
      <c r="S383" s="45"/>
      <c r="T383" s="29" t="str">
        <f t="shared" si="36"/>
        <v/>
      </c>
    </row>
    <row r="384" spans="1:20">
      <c r="A384" s="10" t="str">
        <f t="shared" si="41"/>
        <v/>
      </c>
      <c r="B384" s="63"/>
      <c r="C384" s="25" t="str">
        <f t="shared" si="37"/>
        <v/>
      </c>
      <c r="D384" s="25" t="str">
        <f t="shared" si="38"/>
        <v/>
      </c>
      <c r="E384" s="45"/>
      <c r="F384" s="28" t="str">
        <f>IFERROR(VLOOKUP(E384,Category!$D$2:$E$600,2,FALSE),"")</f>
        <v/>
      </c>
      <c r="G384" s="65"/>
      <c r="H384" s="56"/>
      <c r="I384" s="66"/>
      <c r="J384" s="67"/>
      <c r="K384" s="67"/>
      <c r="L384" s="67"/>
      <c r="M384" s="29" t="str">
        <f t="shared" si="39"/>
        <v/>
      </c>
      <c r="N384" s="29" t="str">
        <f t="shared" si="40"/>
        <v/>
      </c>
      <c r="O384" s="29" t="str">
        <f t="shared" si="35"/>
        <v/>
      </c>
      <c r="P384" s="61"/>
      <c r="Q384" s="61"/>
      <c r="R384" s="61"/>
      <c r="S384" s="45"/>
      <c r="T384" s="29" t="str">
        <f t="shared" si="36"/>
        <v/>
      </c>
    </row>
    <row r="385" spans="1:20">
      <c r="A385" s="10" t="str">
        <f t="shared" si="41"/>
        <v/>
      </c>
      <c r="B385" s="63"/>
      <c r="C385" s="25" t="str">
        <f t="shared" si="37"/>
        <v/>
      </c>
      <c r="D385" s="25" t="str">
        <f t="shared" si="38"/>
        <v/>
      </c>
      <c r="E385" s="45"/>
      <c r="F385" s="28" t="str">
        <f>IFERROR(VLOOKUP(E385,Category!$D$2:$E$600,2,FALSE),"")</f>
        <v/>
      </c>
      <c r="G385" s="65"/>
      <c r="H385" s="56"/>
      <c r="I385" s="66"/>
      <c r="J385" s="67"/>
      <c r="K385" s="67"/>
      <c r="L385" s="67"/>
      <c r="M385" s="29" t="str">
        <f t="shared" si="39"/>
        <v/>
      </c>
      <c r="N385" s="29" t="str">
        <f t="shared" si="40"/>
        <v/>
      </c>
      <c r="O385" s="29" t="str">
        <f t="shared" si="35"/>
        <v/>
      </c>
      <c r="P385" s="61"/>
      <c r="Q385" s="61"/>
      <c r="R385" s="61"/>
      <c r="S385" s="45"/>
      <c r="T385" s="29" t="str">
        <f t="shared" si="36"/>
        <v/>
      </c>
    </row>
    <row r="386" spans="1:20">
      <c r="A386" s="10" t="str">
        <f t="shared" si="41"/>
        <v/>
      </c>
      <c r="B386" s="63"/>
      <c r="C386" s="25" t="str">
        <f t="shared" si="37"/>
        <v/>
      </c>
      <c r="D386" s="25" t="str">
        <f t="shared" si="38"/>
        <v/>
      </c>
      <c r="E386" s="45"/>
      <c r="F386" s="28" t="str">
        <f>IFERROR(VLOOKUP(E386,Category!$D$2:$E$600,2,FALSE),"")</f>
        <v/>
      </c>
      <c r="G386" s="65"/>
      <c r="H386" s="56"/>
      <c r="I386" s="66"/>
      <c r="J386" s="67"/>
      <c r="K386" s="67"/>
      <c r="L386" s="67"/>
      <c r="M386" s="29" t="str">
        <f t="shared" si="39"/>
        <v/>
      </c>
      <c r="N386" s="29" t="str">
        <f t="shared" si="40"/>
        <v/>
      </c>
      <c r="O386" s="29" t="str">
        <f t="shared" ref="O386:O449" si="42">IF(H386*I386=0,"",H386*I386)</f>
        <v/>
      </c>
      <c r="P386" s="61"/>
      <c r="Q386" s="61"/>
      <c r="R386" s="61"/>
      <c r="S386" s="45"/>
      <c r="T386" s="29" t="str">
        <f t="shared" ref="T386:T449" si="43">IF(R386="paid",(H386*I386)-(G386*H386),"")</f>
        <v/>
      </c>
    </row>
    <row r="387" spans="1:20">
      <c r="A387" s="10" t="str">
        <f t="shared" si="41"/>
        <v/>
      </c>
      <c r="B387" s="63"/>
      <c r="C387" s="25" t="str">
        <f t="shared" ref="C387:C450" si="44">IF(B387=0,"",TEXT(B387,"mmmm"))</f>
        <v/>
      </c>
      <c r="D387" s="25" t="str">
        <f t="shared" ref="D387:D450" si="45">IF(B387=0,"",TEXT(B387,"yyyy"))</f>
        <v/>
      </c>
      <c r="E387" s="45"/>
      <c r="F387" s="28" t="str">
        <f>IFERROR(VLOOKUP(E387,Category!$D$2:$E$600,2,FALSE),"")</f>
        <v/>
      </c>
      <c r="G387" s="65"/>
      <c r="H387" s="56"/>
      <c r="I387" s="66"/>
      <c r="J387" s="67"/>
      <c r="K387" s="67"/>
      <c r="L387" s="67"/>
      <c r="M387" s="29" t="str">
        <f t="shared" ref="M387:M450" si="46">IFERROR(IF(O387&gt;0,IF(R387="Paid","",O387-J387),""),"")</f>
        <v/>
      </c>
      <c r="N387" s="29" t="str">
        <f t="shared" ref="N387:N450" si="47">IF(J387&gt;0,IF(R387="Paid",O387-J387,""),"")</f>
        <v/>
      </c>
      <c r="O387" s="29" t="str">
        <f t="shared" si="42"/>
        <v/>
      </c>
      <c r="P387" s="61"/>
      <c r="Q387" s="61"/>
      <c r="R387" s="61"/>
      <c r="S387" s="45"/>
      <c r="T387" s="29" t="str">
        <f t="shared" si="43"/>
        <v/>
      </c>
    </row>
    <row r="388" spans="1:20">
      <c r="A388" s="10" t="str">
        <f t="shared" ref="A388:A451" si="48">IF(E388&gt;0,A387+1,"")</f>
        <v/>
      </c>
      <c r="B388" s="63"/>
      <c r="C388" s="25" t="str">
        <f t="shared" si="44"/>
        <v/>
      </c>
      <c r="D388" s="25" t="str">
        <f t="shared" si="45"/>
        <v/>
      </c>
      <c r="E388" s="45"/>
      <c r="F388" s="28" t="str">
        <f>IFERROR(VLOOKUP(E388,Category!$D$2:$E$600,2,FALSE),"")</f>
        <v/>
      </c>
      <c r="G388" s="65"/>
      <c r="H388" s="56"/>
      <c r="I388" s="66"/>
      <c r="J388" s="67"/>
      <c r="K388" s="67"/>
      <c r="L388" s="67"/>
      <c r="M388" s="29" t="str">
        <f t="shared" si="46"/>
        <v/>
      </c>
      <c r="N388" s="29" t="str">
        <f t="shared" si="47"/>
        <v/>
      </c>
      <c r="O388" s="29" t="str">
        <f t="shared" si="42"/>
        <v/>
      </c>
      <c r="P388" s="61"/>
      <c r="Q388" s="61"/>
      <c r="R388" s="61"/>
      <c r="S388" s="45"/>
      <c r="T388" s="29" t="str">
        <f t="shared" si="43"/>
        <v/>
      </c>
    </row>
    <row r="389" spans="1:20">
      <c r="A389" s="10" t="str">
        <f t="shared" si="48"/>
        <v/>
      </c>
      <c r="B389" s="63"/>
      <c r="C389" s="25" t="str">
        <f t="shared" si="44"/>
        <v/>
      </c>
      <c r="D389" s="25" t="str">
        <f t="shared" si="45"/>
        <v/>
      </c>
      <c r="E389" s="45"/>
      <c r="F389" s="28" t="str">
        <f>IFERROR(VLOOKUP(E389,Category!$D$2:$E$600,2,FALSE),"")</f>
        <v/>
      </c>
      <c r="G389" s="65"/>
      <c r="H389" s="56"/>
      <c r="I389" s="66"/>
      <c r="J389" s="67"/>
      <c r="K389" s="67"/>
      <c r="L389" s="67"/>
      <c r="M389" s="29" t="str">
        <f t="shared" si="46"/>
        <v/>
      </c>
      <c r="N389" s="29" t="str">
        <f t="shared" si="47"/>
        <v/>
      </c>
      <c r="O389" s="29" t="str">
        <f t="shared" si="42"/>
        <v/>
      </c>
      <c r="P389" s="61"/>
      <c r="Q389" s="61"/>
      <c r="R389" s="61"/>
      <c r="S389" s="45"/>
      <c r="T389" s="29" t="str">
        <f t="shared" si="43"/>
        <v/>
      </c>
    </row>
    <row r="390" spans="1:20">
      <c r="A390" s="10" t="str">
        <f t="shared" si="48"/>
        <v/>
      </c>
      <c r="B390" s="63"/>
      <c r="C390" s="25" t="str">
        <f t="shared" si="44"/>
        <v/>
      </c>
      <c r="D390" s="25" t="str">
        <f t="shared" si="45"/>
        <v/>
      </c>
      <c r="E390" s="45"/>
      <c r="F390" s="28" t="str">
        <f>IFERROR(VLOOKUP(E390,Category!$D$2:$E$600,2,FALSE),"")</f>
        <v/>
      </c>
      <c r="G390" s="65"/>
      <c r="H390" s="56"/>
      <c r="I390" s="66"/>
      <c r="J390" s="67"/>
      <c r="K390" s="67"/>
      <c r="L390" s="67"/>
      <c r="M390" s="29" t="str">
        <f t="shared" si="46"/>
        <v/>
      </c>
      <c r="N390" s="29" t="str">
        <f t="shared" si="47"/>
        <v/>
      </c>
      <c r="O390" s="29" t="str">
        <f t="shared" si="42"/>
        <v/>
      </c>
      <c r="P390" s="61"/>
      <c r="Q390" s="61"/>
      <c r="R390" s="61"/>
      <c r="S390" s="45"/>
      <c r="T390" s="29" t="str">
        <f t="shared" si="43"/>
        <v/>
      </c>
    </row>
    <row r="391" spans="1:20">
      <c r="A391" s="10" t="str">
        <f t="shared" si="48"/>
        <v/>
      </c>
      <c r="B391" s="63"/>
      <c r="C391" s="25" t="str">
        <f t="shared" si="44"/>
        <v/>
      </c>
      <c r="D391" s="25" t="str">
        <f t="shared" si="45"/>
        <v/>
      </c>
      <c r="E391" s="45"/>
      <c r="F391" s="28" t="str">
        <f>IFERROR(VLOOKUP(E391,Category!$D$2:$E$600,2,FALSE),"")</f>
        <v/>
      </c>
      <c r="G391" s="65"/>
      <c r="H391" s="56"/>
      <c r="I391" s="66"/>
      <c r="J391" s="67"/>
      <c r="K391" s="67"/>
      <c r="L391" s="67"/>
      <c r="M391" s="29" t="str">
        <f t="shared" si="46"/>
        <v/>
      </c>
      <c r="N391" s="29" t="str">
        <f t="shared" si="47"/>
        <v/>
      </c>
      <c r="O391" s="29" t="str">
        <f t="shared" si="42"/>
        <v/>
      </c>
      <c r="P391" s="61"/>
      <c r="Q391" s="61"/>
      <c r="R391" s="61"/>
      <c r="S391" s="45"/>
      <c r="T391" s="29" t="str">
        <f t="shared" si="43"/>
        <v/>
      </c>
    </row>
    <row r="392" spans="1:20">
      <c r="A392" s="10" t="str">
        <f t="shared" si="48"/>
        <v/>
      </c>
      <c r="B392" s="63"/>
      <c r="C392" s="25" t="str">
        <f t="shared" si="44"/>
        <v/>
      </c>
      <c r="D392" s="25" t="str">
        <f t="shared" si="45"/>
        <v/>
      </c>
      <c r="E392" s="45"/>
      <c r="F392" s="28" t="str">
        <f>IFERROR(VLOOKUP(E392,Category!$D$2:$E$600,2,FALSE),"")</f>
        <v/>
      </c>
      <c r="G392" s="65"/>
      <c r="H392" s="56"/>
      <c r="I392" s="66"/>
      <c r="J392" s="67"/>
      <c r="K392" s="67"/>
      <c r="L392" s="67"/>
      <c r="M392" s="29" t="str">
        <f t="shared" si="46"/>
        <v/>
      </c>
      <c r="N392" s="29" t="str">
        <f t="shared" si="47"/>
        <v/>
      </c>
      <c r="O392" s="29" t="str">
        <f t="shared" si="42"/>
        <v/>
      </c>
      <c r="P392" s="61"/>
      <c r="Q392" s="61"/>
      <c r="R392" s="61"/>
      <c r="S392" s="45"/>
      <c r="T392" s="29" t="str">
        <f t="shared" si="43"/>
        <v/>
      </c>
    </row>
    <row r="393" spans="1:20">
      <c r="A393" s="10" t="str">
        <f t="shared" si="48"/>
        <v/>
      </c>
      <c r="B393" s="63"/>
      <c r="C393" s="25" t="str">
        <f t="shared" si="44"/>
        <v/>
      </c>
      <c r="D393" s="25" t="str">
        <f t="shared" si="45"/>
        <v/>
      </c>
      <c r="E393" s="45"/>
      <c r="F393" s="28" t="str">
        <f>IFERROR(VLOOKUP(E393,Category!$D$2:$E$600,2,FALSE),"")</f>
        <v/>
      </c>
      <c r="G393" s="65"/>
      <c r="H393" s="56"/>
      <c r="I393" s="66"/>
      <c r="J393" s="67"/>
      <c r="K393" s="67"/>
      <c r="L393" s="67"/>
      <c r="M393" s="29" t="str">
        <f t="shared" si="46"/>
        <v/>
      </c>
      <c r="N393" s="29" t="str">
        <f t="shared" si="47"/>
        <v/>
      </c>
      <c r="O393" s="29" t="str">
        <f t="shared" si="42"/>
        <v/>
      </c>
      <c r="P393" s="61"/>
      <c r="Q393" s="61"/>
      <c r="R393" s="61"/>
      <c r="S393" s="45"/>
      <c r="T393" s="29" t="str">
        <f t="shared" si="43"/>
        <v/>
      </c>
    </row>
    <row r="394" spans="1:20">
      <c r="A394" s="10" t="str">
        <f t="shared" si="48"/>
        <v/>
      </c>
      <c r="B394" s="63"/>
      <c r="C394" s="25" t="str">
        <f t="shared" si="44"/>
        <v/>
      </c>
      <c r="D394" s="25" t="str">
        <f t="shared" si="45"/>
        <v/>
      </c>
      <c r="E394" s="45"/>
      <c r="F394" s="28" t="str">
        <f>IFERROR(VLOOKUP(E394,Category!$D$2:$E$600,2,FALSE),"")</f>
        <v/>
      </c>
      <c r="G394" s="65"/>
      <c r="H394" s="56"/>
      <c r="I394" s="66"/>
      <c r="J394" s="67"/>
      <c r="K394" s="67"/>
      <c r="L394" s="67"/>
      <c r="M394" s="29" t="str">
        <f t="shared" si="46"/>
        <v/>
      </c>
      <c r="N394" s="29" t="str">
        <f t="shared" si="47"/>
        <v/>
      </c>
      <c r="O394" s="29" t="str">
        <f t="shared" si="42"/>
        <v/>
      </c>
      <c r="P394" s="61"/>
      <c r="Q394" s="61"/>
      <c r="R394" s="61"/>
      <c r="S394" s="45"/>
      <c r="T394" s="29" t="str">
        <f t="shared" si="43"/>
        <v/>
      </c>
    </row>
    <row r="395" spans="1:20">
      <c r="A395" s="10" t="str">
        <f t="shared" si="48"/>
        <v/>
      </c>
      <c r="B395" s="63"/>
      <c r="C395" s="25" t="str">
        <f t="shared" si="44"/>
        <v/>
      </c>
      <c r="D395" s="25" t="str">
        <f t="shared" si="45"/>
        <v/>
      </c>
      <c r="E395" s="45"/>
      <c r="F395" s="28" t="str">
        <f>IFERROR(VLOOKUP(E395,Category!$D$2:$E$600,2,FALSE),"")</f>
        <v/>
      </c>
      <c r="G395" s="65"/>
      <c r="H395" s="56"/>
      <c r="I395" s="66"/>
      <c r="J395" s="67"/>
      <c r="K395" s="67"/>
      <c r="L395" s="67"/>
      <c r="M395" s="29" t="str">
        <f t="shared" si="46"/>
        <v/>
      </c>
      <c r="N395" s="29" t="str">
        <f t="shared" si="47"/>
        <v/>
      </c>
      <c r="O395" s="29" t="str">
        <f t="shared" si="42"/>
        <v/>
      </c>
      <c r="P395" s="61"/>
      <c r="Q395" s="61"/>
      <c r="R395" s="61"/>
      <c r="S395" s="45"/>
      <c r="T395" s="29" t="str">
        <f t="shared" si="43"/>
        <v/>
      </c>
    </row>
    <row r="396" spans="1:20">
      <c r="A396" s="10" t="str">
        <f t="shared" si="48"/>
        <v/>
      </c>
      <c r="B396" s="63"/>
      <c r="C396" s="25" t="str">
        <f t="shared" si="44"/>
        <v/>
      </c>
      <c r="D396" s="25" t="str">
        <f t="shared" si="45"/>
        <v/>
      </c>
      <c r="E396" s="45"/>
      <c r="F396" s="28" t="str">
        <f>IFERROR(VLOOKUP(E396,Category!$D$2:$E$600,2,FALSE),"")</f>
        <v/>
      </c>
      <c r="G396" s="65"/>
      <c r="H396" s="56"/>
      <c r="I396" s="66"/>
      <c r="J396" s="67"/>
      <c r="K396" s="67"/>
      <c r="L396" s="67"/>
      <c r="M396" s="29" t="str">
        <f t="shared" si="46"/>
        <v/>
      </c>
      <c r="N396" s="29" t="str">
        <f t="shared" si="47"/>
        <v/>
      </c>
      <c r="O396" s="29" t="str">
        <f t="shared" si="42"/>
        <v/>
      </c>
      <c r="P396" s="61"/>
      <c r="Q396" s="61"/>
      <c r="R396" s="61"/>
      <c r="S396" s="45"/>
      <c r="T396" s="29" t="str">
        <f t="shared" si="43"/>
        <v/>
      </c>
    </row>
    <row r="397" spans="1:20">
      <c r="A397" s="10" t="str">
        <f t="shared" si="48"/>
        <v/>
      </c>
      <c r="B397" s="63"/>
      <c r="C397" s="25" t="str">
        <f t="shared" si="44"/>
        <v/>
      </c>
      <c r="D397" s="25" t="str">
        <f t="shared" si="45"/>
        <v/>
      </c>
      <c r="E397" s="45"/>
      <c r="F397" s="28" t="str">
        <f>IFERROR(VLOOKUP(E397,Category!$D$2:$E$600,2,FALSE),"")</f>
        <v/>
      </c>
      <c r="G397" s="65"/>
      <c r="H397" s="56"/>
      <c r="I397" s="66"/>
      <c r="J397" s="67"/>
      <c r="K397" s="67"/>
      <c r="L397" s="67"/>
      <c r="M397" s="29" t="str">
        <f t="shared" si="46"/>
        <v/>
      </c>
      <c r="N397" s="29" t="str">
        <f t="shared" si="47"/>
        <v/>
      </c>
      <c r="O397" s="29" t="str">
        <f t="shared" si="42"/>
        <v/>
      </c>
      <c r="P397" s="61"/>
      <c r="Q397" s="61"/>
      <c r="R397" s="61"/>
      <c r="S397" s="45"/>
      <c r="T397" s="29" t="str">
        <f t="shared" si="43"/>
        <v/>
      </c>
    </row>
    <row r="398" spans="1:20">
      <c r="A398" s="10" t="str">
        <f t="shared" si="48"/>
        <v/>
      </c>
      <c r="B398" s="63"/>
      <c r="C398" s="25" t="str">
        <f t="shared" si="44"/>
        <v/>
      </c>
      <c r="D398" s="25" t="str">
        <f t="shared" si="45"/>
        <v/>
      </c>
      <c r="E398" s="45"/>
      <c r="F398" s="28" t="str">
        <f>IFERROR(VLOOKUP(E398,Category!$D$2:$E$600,2,FALSE),"")</f>
        <v/>
      </c>
      <c r="G398" s="65"/>
      <c r="H398" s="56"/>
      <c r="I398" s="66"/>
      <c r="J398" s="67"/>
      <c r="K398" s="67"/>
      <c r="L398" s="67"/>
      <c r="M398" s="29" t="str">
        <f t="shared" si="46"/>
        <v/>
      </c>
      <c r="N398" s="29" t="str">
        <f t="shared" si="47"/>
        <v/>
      </c>
      <c r="O398" s="29" t="str">
        <f t="shared" si="42"/>
        <v/>
      </c>
      <c r="P398" s="61"/>
      <c r="Q398" s="61"/>
      <c r="R398" s="61"/>
      <c r="S398" s="45"/>
      <c r="T398" s="29" t="str">
        <f t="shared" si="43"/>
        <v/>
      </c>
    </row>
    <row r="399" spans="1:20">
      <c r="A399" s="10" t="str">
        <f t="shared" si="48"/>
        <v/>
      </c>
      <c r="B399" s="63"/>
      <c r="C399" s="25" t="str">
        <f t="shared" si="44"/>
        <v/>
      </c>
      <c r="D399" s="25" t="str">
        <f t="shared" si="45"/>
        <v/>
      </c>
      <c r="E399" s="45"/>
      <c r="F399" s="28" t="str">
        <f>IFERROR(VLOOKUP(E399,Category!$D$2:$E$600,2,FALSE),"")</f>
        <v/>
      </c>
      <c r="G399" s="65"/>
      <c r="H399" s="56"/>
      <c r="I399" s="66"/>
      <c r="J399" s="67"/>
      <c r="K399" s="67"/>
      <c r="L399" s="67"/>
      <c r="M399" s="29" t="str">
        <f t="shared" si="46"/>
        <v/>
      </c>
      <c r="N399" s="29" t="str">
        <f t="shared" si="47"/>
        <v/>
      </c>
      <c r="O399" s="29" t="str">
        <f t="shared" si="42"/>
        <v/>
      </c>
      <c r="P399" s="61"/>
      <c r="Q399" s="61"/>
      <c r="R399" s="61"/>
      <c r="S399" s="45"/>
      <c r="T399" s="29" t="str">
        <f t="shared" si="43"/>
        <v/>
      </c>
    </row>
    <row r="400" spans="1:20">
      <c r="A400" s="10" t="str">
        <f t="shared" si="48"/>
        <v/>
      </c>
      <c r="B400" s="63"/>
      <c r="C400" s="25" t="str">
        <f t="shared" si="44"/>
        <v/>
      </c>
      <c r="D400" s="25" t="str">
        <f t="shared" si="45"/>
        <v/>
      </c>
      <c r="E400" s="45"/>
      <c r="F400" s="28" t="str">
        <f>IFERROR(VLOOKUP(E400,Category!$D$2:$E$600,2,FALSE),"")</f>
        <v/>
      </c>
      <c r="G400" s="65"/>
      <c r="H400" s="56"/>
      <c r="I400" s="66"/>
      <c r="J400" s="67"/>
      <c r="K400" s="67"/>
      <c r="L400" s="67"/>
      <c r="M400" s="29" t="str">
        <f t="shared" si="46"/>
        <v/>
      </c>
      <c r="N400" s="29" t="str">
        <f t="shared" si="47"/>
        <v/>
      </c>
      <c r="O400" s="29" t="str">
        <f t="shared" si="42"/>
        <v/>
      </c>
      <c r="P400" s="61"/>
      <c r="Q400" s="61"/>
      <c r="R400" s="61"/>
      <c r="S400" s="45"/>
      <c r="T400" s="29" t="str">
        <f t="shared" si="43"/>
        <v/>
      </c>
    </row>
    <row r="401" spans="1:20">
      <c r="A401" s="10" t="str">
        <f t="shared" si="48"/>
        <v/>
      </c>
      <c r="B401" s="63"/>
      <c r="C401" s="25" t="str">
        <f t="shared" si="44"/>
        <v/>
      </c>
      <c r="D401" s="25" t="str">
        <f t="shared" si="45"/>
        <v/>
      </c>
      <c r="E401" s="45"/>
      <c r="F401" s="28" t="str">
        <f>IFERROR(VLOOKUP(E401,Category!$D$2:$E$600,2,FALSE),"")</f>
        <v/>
      </c>
      <c r="G401" s="65"/>
      <c r="H401" s="56"/>
      <c r="I401" s="66"/>
      <c r="J401" s="67"/>
      <c r="K401" s="67"/>
      <c r="L401" s="67"/>
      <c r="M401" s="29" t="str">
        <f t="shared" si="46"/>
        <v/>
      </c>
      <c r="N401" s="29" t="str">
        <f t="shared" si="47"/>
        <v/>
      </c>
      <c r="O401" s="29" t="str">
        <f t="shared" si="42"/>
        <v/>
      </c>
      <c r="P401" s="61"/>
      <c r="Q401" s="61"/>
      <c r="R401" s="61"/>
      <c r="S401" s="45"/>
      <c r="T401" s="29" t="str">
        <f t="shared" si="43"/>
        <v/>
      </c>
    </row>
    <row r="402" spans="1:20">
      <c r="A402" s="10" t="str">
        <f t="shared" si="48"/>
        <v/>
      </c>
      <c r="B402" s="63"/>
      <c r="C402" s="25" t="str">
        <f t="shared" si="44"/>
        <v/>
      </c>
      <c r="D402" s="25" t="str">
        <f t="shared" si="45"/>
        <v/>
      </c>
      <c r="E402" s="45"/>
      <c r="F402" s="28" t="str">
        <f>IFERROR(VLOOKUP(E402,Category!$D$2:$E$600,2,FALSE),"")</f>
        <v/>
      </c>
      <c r="G402" s="65"/>
      <c r="H402" s="56"/>
      <c r="I402" s="66"/>
      <c r="J402" s="67"/>
      <c r="K402" s="67"/>
      <c r="L402" s="67"/>
      <c r="M402" s="29" t="str">
        <f t="shared" si="46"/>
        <v/>
      </c>
      <c r="N402" s="29" t="str">
        <f t="shared" si="47"/>
        <v/>
      </c>
      <c r="O402" s="29" t="str">
        <f t="shared" si="42"/>
        <v/>
      </c>
      <c r="P402" s="61"/>
      <c r="Q402" s="61"/>
      <c r="R402" s="61"/>
      <c r="S402" s="45"/>
      <c r="T402" s="29" t="str">
        <f t="shared" si="43"/>
        <v/>
      </c>
    </row>
    <row r="403" spans="1:20">
      <c r="A403" s="10" t="str">
        <f t="shared" si="48"/>
        <v/>
      </c>
      <c r="B403" s="63"/>
      <c r="C403" s="25" t="str">
        <f t="shared" si="44"/>
        <v/>
      </c>
      <c r="D403" s="25" t="str">
        <f t="shared" si="45"/>
        <v/>
      </c>
      <c r="E403" s="45"/>
      <c r="F403" s="28" t="str">
        <f>IFERROR(VLOOKUP(E403,Category!$D$2:$E$600,2,FALSE),"")</f>
        <v/>
      </c>
      <c r="G403" s="65"/>
      <c r="H403" s="56"/>
      <c r="I403" s="66"/>
      <c r="J403" s="67"/>
      <c r="K403" s="67"/>
      <c r="L403" s="67"/>
      <c r="M403" s="29" t="str">
        <f t="shared" si="46"/>
        <v/>
      </c>
      <c r="N403" s="29" t="str">
        <f t="shared" si="47"/>
        <v/>
      </c>
      <c r="O403" s="29" t="str">
        <f t="shared" si="42"/>
        <v/>
      </c>
      <c r="P403" s="61"/>
      <c r="Q403" s="61"/>
      <c r="R403" s="61"/>
      <c r="S403" s="45"/>
      <c r="T403" s="29" t="str">
        <f t="shared" si="43"/>
        <v/>
      </c>
    </row>
    <row r="404" spans="1:20">
      <c r="A404" s="10" t="str">
        <f t="shared" si="48"/>
        <v/>
      </c>
      <c r="B404" s="63"/>
      <c r="C404" s="25" t="str">
        <f t="shared" si="44"/>
        <v/>
      </c>
      <c r="D404" s="25" t="str">
        <f t="shared" si="45"/>
        <v/>
      </c>
      <c r="E404" s="45"/>
      <c r="F404" s="28" t="str">
        <f>IFERROR(VLOOKUP(E404,Category!$D$2:$E$600,2,FALSE),"")</f>
        <v/>
      </c>
      <c r="G404" s="65"/>
      <c r="H404" s="56"/>
      <c r="I404" s="66"/>
      <c r="J404" s="67"/>
      <c r="K404" s="67"/>
      <c r="L404" s="67"/>
      <c r="M404" s="29" t="str">
        <f t="shared" si="46"/>
        <v/>
      </c>
      <c r="N404" s="29" t="str">
        <f t="shared" si="47"/>
        <v/>
      </c>
      <c r="O404" s="29" t="str">
        <f t="shared" si="42"/>
        <v/>
      </c>
      <c r="P404" s="61"/>
      <c r="Q404" s="61"/>
      <c r="R404" s="61"/>
      <c r="S404" s="45"/>
      <c r="T404" s="29" t="str">
        <f t="shared" si="43"/>
        <v/>
      </c>
    </row>
    <row r="405" spans="1:20">
      <c r="A405" s="10" t="str">
        <f t="shared" si="48"/>
        <v/>
      </c>
      <c r="B405" s="63"/>
      <c r="C405" s="25" t="str">
        <f t="shared" si="44"/>
        <v/>
      </c>
      <c r="D405" s="25" t="str">
        <f t="shared" si="45"/>
        <v/>
      </c>
      <c r="E405" s="45"/>
      <c r="F405" s="28" t="str">
        <f>IFERROR(VLOOKUP(E405,Category!$D$2:$E$600,2,FALSE),"")</f>
        <v/>
      </c>
      <c r="G405" s="65"/>
      <c r="H405" s="56"/>
      <c r="I405" s="66"/>
      <c r="J405" s="67"/>
      <c r="K405" s="67"/>
      <c r="L405" s="67"/>
      <c r="M405" s="29" t="str">
        <f t="shared" si="46"/>
        <v/>
      </c>
      <c r="N405" s="29" t="str">
        <f t="shared" si="47"/>
        <v/>
      </c>
      <c r="O405" s="29" t="str">
        <f t="shared" si="42"/>
        <v/>
      </c>
      <c r="P405" s="61"/>
      <c r="Q405" s="61"/>
      <c r="R405" s="61"/>
      <c r="S405" s="45"/>
      <c r="T405" s="29" t="str">
        <f t="shared" si="43"/>
        <v/>
      </c>
    </row>
    <row r="406" spans="1:20">
      <c r="A406" s="10" t="str">
        <f t="shared" si="48"/>
        <v/>
      </c>
      <c r="B406" s="63"/>
      <c r="C406" s="25" t="str">
        <f t="shared" si="44"/>
        <v/>
      </c>
      <c r="D406" s="25" t="str">
        <f t="shared" si="45"/>
        <v/>
      </c>
      <c r="E406" s="45"/>
      <c r="F406" s="28" t="str">
        <f>IFERROR(VLOOKUP(E406,Category!$D$2:$E$600,2,FALSE),"")</f>
        <v/>
      </c>
      <c r="G406" s="65"/>
      <c r="H406" s="56"/>
      <c r="I406" s="66"/>
      <c r="J406" s="67"/>
      <c r="K406" s="67"/>
      <c r="L406" s="67"/>
      <c r="M406" s="29" t="str">
        <f t="shared" si="46"/>
        <v/>
      </c>
      <c r="N406" s="29" t="str">
        <f t="shared" si="47"/>
        <v/>
      </c>
      <c r="O406" s="29" t="str">
        <f t="shared" si="42"/>
        <v/>
      </c>
      <c r="P406" s="61"/>
      <c r="Q406" s="61"/>
      <c r="R406" s="61"/>
      <c r="S406" s="45"/>
      <c r="T406" s="29" t="str">
        <f t="shared" si="43"/>
        <v/>
      </c>
    </row>
    <row r="407" spans="1:20">
      <c r="A407" s="10" t="str">
        <f t="shared" si="48"/>
        <v/>
      </c>
      <c r="B407" s="63"/>
      <c r="C407" s="25" t="str">
        <f t="shared" si="44"/>
        <v/>
      </c>
      <c r="D407" s="25" t="str">
        <f t="shared" si="45"/>
        <v/>
      </c>
      <c r="E407" s="45"/>
      <c r="F407" s="28" t="str">
        <f>IFERROR(VLOOKUP(E407,Category!$D$2:$E$600,2,FALSE),"")</f>
        <v/>
      </c>
      <c r="G407" s="65"/>
      <c r="H407" s="56"/>
      <c r="I407" s="66"/>
      <c r="J407" s="67"/>
      <c r="K407" s="67"/>
      <c r="L407" s="67"/>
      <c r="M407" s="29" t="str">
        <f t="shared" si="46"/>
        <v/>
      </c>
      <c r="N407" s="29" t="str">
        <f t="shared" si="47"/>
        <v/>
      </c>
      <c r="O407" s="29" t="str">
        <f t="shared" si="42"/>
        <v/>
      </c>
      <c r="P407" s="61"/>
      <c r="Q407" s="61"/>
      <c r="R407" s="61"/>
      <c r="S407" s="45"/>
      <c r="T407" s="29" t="str">
        <f t="shared" si="43"/>
        <v/>
      </c>
    </row>
    <row r="408" spans="1:20">
      <c r="A408" s="10" t="str">
        <f t="shared" si="48"/>
        <v/>
      </c>
      <c r="B408" s="63"/>
      <c r="C408" s="25" t="str">
        <f t="shared" si="44"/>
        <v/>
      </c>
      <c r="D408" s="25" t="str">
        <f t="shared" si="45"/>
        <v/>
      </c>
      <c r="E408" s="45"/>
      <c r="F408" s="28" t="str">
        <f>IFERROR(VLOOKUP(E408,Category!$D$2:$E$600,2,FALSE),"")</f>
        <v/>
      </c>
      <c r="G408" s="65"/>
      <c r="H408" s="56"/>
      <c r="I408" s="66"/>
      <c r="J408" s="67"/>
      <c r="K408" s="67"/>
      <c r="L408" s="67"/>
      <c r="M408" s="29" t="str">
        <f t="shared" si="46"/>
        <v/>
      </c>
      <c r="N408" s="29" t="str">
        <f t="shared" si="47"/>
        <v/>
      </c>
      <c r="O408" s="29" t="str">
        <f t="shared" si="42"/>
        <v/>
      </c>
      <c r="P408" s="61"/>
      <c r="Q408" s="61"/>
      <c r="R408" s="61"/>
      <c r="S408" s="45"/>
      <c r="T408" s="29" t="str">
        <f t="shared" si="43"/>
        <v/>
      </c>
    </row>
    <row r="409" spans="1:20">
      <c r="A409" s="10" t="str">
        <f t="shared" si="48"/>
        <v/>
      </c>
      <c r="B409" s="63"/>
      <c r="C409" s="25" t="str">
        <f t="shared" si="44"/>
        <v/>
      </c>
      <c r="D409" s="25" t="str">
        <f t="shared" si="45"/>
        <v/>
      </c>
      <c r="E409" s="45"/>
      <c r="F409" s="28" t="str">
        <f>IFERROR(VLOOKUP(E409,Category!$D$2:$E$600,2,FALSE),"")</f>
        <v/>
      </c>
      <c r="G409" s="65"/>
      <c r="H409" s="56"/>
      <c r="I409" s="66"/>
      <c r="J409" s="67"/>
      <c r="K409" s="67"/>
      <c r="L409" s="67"/>
      <c r="M409" s="29" t="str">
        <f t="shared" si="46"/>
        <v/>
      </c>
      <c r="N409" s="29" t="str">
        <f t="shared" si="47"/>
        <v/>
      </c>
      <c r="O409" s="29" t="str">
        <f t="shared" si="42"/>
        <v/>
      </c>
      <c r="P409" s="61"/>
      <c r="Q409" s="61"/>
      <c r="R409" s="61"/>
      <c r="S409" s="45"/>
      <c r="T409" s="29" t="str">
        <f t="shared" si="43"/>
        <v/>
      </c>
    </row>
    <row r="410" spans="1:20">
      <c r="A410" s="10" t="str">
        <f t="shared" si="48"/>
        <v/>
      </c>
      <c r="B410" s="63"/>
      <c r="C410" s="25" t="str">
        <f t="shared" si="44"/>
        <v/>
      </c>
      <c r="D410" s="25" t="str">
        <f t="shared" si="45"/>
        <v/>
      </c>
      <c r="E410" s="45"/>
      <c r="F410" s="28" t="str">
        <f>IFERROR(VLOOKUP(E410,Category!$D$2:$E$600,2,FALSE),"")</f>
        <v/>
      </c>
      <c r="G410" s="65"/>
      <c r="H410" s="56"/>
      <c r="I410" s="66"/>
      <c r="J410" s="67"/>
      <c r="K410" s="67"/>
      <c r="L410" s="67"/>
      <c r="M410" s="29" t="str">
        <f t="shared" si="46"/>
        <v/>
      </c>
      <c r="N410" s="29" t="str">
        <f t="shared" si="47"/>
        <v/>
      </c>
      <c r="O410" s="29" t="str">
        <f t="shared" si="42"/>
        <v/>
      </c>
      <c r="P410" s="61"/>
      <c r="Q410" s="61"/>
      <c r="R410" s="61"/>
      <c r="S410" s="45"/>
      <c r="T410" s="29" t="str">
        <f t="shared" si="43"/>
        <v/>
      </c>
    </row>
    <row r="411" spans="1:20">
      <c r="A411" s="10" t="str">
        <f t="shared" si="48"/>
        <v/>
      </c>
      <c r="B411" s="63"/>
      <c r="C411" s="25" t="str">
        <f t="shared" si="44"/>
        <v/>
      </c>
      <c r="D411" s="25" t="str">
        <f t="shared" si="45"/>
        <v/>
      </c>
      <c r="E411" s="45"/>
      <c r="F411" s="28" t="str">
        <f>IFERROR(VLOOKUP(E411,Category!$D$2:$E$600,2,FALSE),"")</f>
        <v/>
      </c>
      <c r="G411" s="65"/>
      <c r="H411" s="56"/>
      <c r="I411" s="66"/>
      <c r="J411" s="67"/>
      <c r="K411" s="67"/>
      <c r="L411" s="67"/>
      <c r="M411" s="29" t="str">
        <f t="shared" si="46"/>
        <v/>
      </c>
      <c r="N411" s="29" t="str">
        <f t="shared" si="47"/>
        <v/>
      </c>
      <c r="O411" s="29" t="str">
        <f t="shared" si="42"/>
        <v/>
      </c>
      <c r="P411" s="61"/>
      <c r="Q411" s="61"/>
      <c r="R411" s="61"/>
      <c r="S411" s="45"/>
      <c r="T411" s="29" t="str">
        <f t="shared" si="43"/>
        <v/>
      </c>
    </row>
    <row r="412" spans="1:20">
      <c r="A412" s="10" t="str">
        <f t="shared" si="48"/>
        <v/>
      </c>
      <c r="B412" s="63"/>
      <c r="C412" s="25" t="str">
        <f t="shared" si="44"/>
        <v/>
      </c>
      <c r="D412" s="25" t="str">
        <f t="shared" si="45"/>
        <v/>
      </c>
      <c r="E412" s="45"/>
      <c r="F412" s="28" t="str">
        <f>IFERROR(VLOOKUP(E412,Category!$D$2:$E$600,2,FALSE),"")</f>
        <v/>
      </c>
      <c r="G412" s="65"/>
      <c r="H412" s="56"/>
      <c r="I412" s="66"/>
      <c r="J412" s="67"/>
      <c r="K412" s="67"/>
      <c r="L412" s="67"/>
      <c r="M412" s="29" t="str">
        <f t="shared" si="46"/>
        <v/>
      </c>
      <c r="N412" s="29" t="str">
        <f t="shared" si="47"/>
        <v/>
      </c>
      <c r="O412" s="29" t="str">
        <f t="shared" si="42"/>
        <v/>
      </c>
      <c r="P412" s="61"/>
      <c r="Q412" s="61"/>
      <c r="R412" s="61"/>
      <c r="S412" s="45"/>
      <c r="T412" s="29" t="str">
        <f t="shared" si="43"/>
        <v/>
      </c>
    </row>
    <row r="413" spans="1:20">
      <c r="A413" s="10" t="str">
        <f t="shared" si="48"/>
        <v/>
      </c>
      <c r="B413" s="63"/>
      <c r="C413" s="25" t="str">
        <f t="shared" si="44"/>
        <v/>
      </c>
      <c r="D413" s="25" t="str">
        <f t="shared" si="45"/>
        <v/>
      </c>
      <c r="E413" s="45"/>
      <c r="F413" s="28" t="str">
        <f>IFERROR(VLOOKUP(E413,Category!$D$2:$E$600,2,FALSE),"")</f>
        <v/>
      </c>
      <c r="G413" s="65"/>
      <c r="H413" s="56"/>
      <c r="I413" s="66"/>
      <c r="J413" s="67"/>
      <c r="K413" s="67"/>
      <c r="L413" s="67"/>
      <c r="M413" s="29" t="str">
        <f t="shared" si="46"/>
        <v/>
      </c>
      <c r="N413" s="29" t="str">
        <f t="shared" si="47"/>
        <v/>
      </c>
      <c r="O413" s="29" t="str">
        <f t="shared" si="42"/>
        <v/>
      </c>
      <c r="P413" s="61"/>
      <c r="Q413" s="61"/>
      <c r="R413" s="61"/>
      <c r="S413" s="45"/>
      <c r="T413" s="29" t="str">
        <f t="shared" si="43"/>
        <v/>
      </c>
    </row>
    <row r="414" spans="1:20">
      <c r="A414" s="10" t="str">
        <f t="shared" si="48"/>
        <v/>
      </c>
      <c r="B414" s="63"/>
      <c r="C414" s="25" t="str">
        <f t="shared" si="44"/>
        <v/>
      </c>
      <c r="D414" s="25" t="str">
        <f t="shared" si="45"/>
        <v/>
      </c>
      <c r="E414" s="45"/>
      <c r="F414" s="28" t="str">
        <f>IFERROR(VLOOKUP(E414,Category!$D$2:$E$600,2,FALSE),"")</f>
        <v/>
      </c>
      <c r="G414" s="65"/>
      <c r="H414" s="56"/>
      <c r="I414" s="66"/>
      <c r="J414" s="67"/>
      <c r="K414" s="67"/>
      <c r="L414" s="67"/>
      <c r="M414" s="29" t="str">
        <f t="shared" si="46"/>
        <v/>
      </c>
      <c r="N414" s="29" t="str">
        <f t="shared" si="47"/>
        <v/>
      </c>
      <c r="O414" s="29" t="str">
        <f t="shared" si="42"/>
        <v/>
      </c>
      <c r="P414" s="61"/>
      <c r="Q414" s="61"/>
      <c r="R414" s="61"/>
      <c r="S414" s="45"/>
      <c r="T414" s="29" t="str">
        <f t="shared" si="43"/>
        <v/>
      </c>
    </row>
    <row r="415" spans="1:20">
      <c r="A415" s="10" t="str">
        <f t="shared" si="48"/>
        <v/>
      </c>
      <c r="B415" s="63"/>
      <c r="C415" s="25" t="str">
        <f t="shared" si="44"/>
        <v/>
      </c>
      <c r="D415" s="25" t="str">
        <f t="shared" si="45"/>
        <v/>
      </c>
      <c r="E415" s="45"/>
      <c r="F415" s="28" t="str">
        <f>IFERROR(VLOOKUP(E415,Category!$D$2:$E$600,2,FALSE),"")</f>
        <v/>
      </c>
      <c r="G415" s="65"/>
      <c r="H415" s="56"/>
      <c r="I415" s="66"/>
      <c r="J415" s="67"/>
      <c r="K415" s="67"/>
      <c r="L415" s="67"/>
      <c r="M415" s="29" t="str">
        <f t="shared" si="46"/>
        <v/>
      </c>
      <c r="N415" s="29" t="str">
        <f t="shared" si="47"/>
        <v/>
      </c>
      <c r="O415" s="29" t="str">
        <f t="shared" si="42"/>
        <v/>
      </c>
      <c r="P415" s="61"/>
      <c r="Q415" s="61"/>
      <c r="R415" s="61"/>
      <c r="S415" s="45"/>
      <c r="T415" s="29" t="str">
        <f t="shared" si="43"/>
        <v/>
      </c>
    </row>
    <row r="416" spans="1:20">
      <c r="A416" s="10" t="str">
        <f t="shared" si="48"/>
        <v/>
      </c>
      <c r="B416" s="63"/>
      <c r="C416" s="25" t="str">
        <f t="shared" si="44"/>
        <v/>
      </c>
      <c r="D416" s="25" t="str">
        <f t="shared" si="45"/>
        <v/>
      </c>
      <c r="E416" s="45"/>
      <c r="F416" s="28" t="str">
        <f>IFERROR(VLOOKUP(E416,Category!$D$2:$E$600,2,FALSE),"")</f>
        <v/>
      </c>
      <c r="G416" s="65"/>
      <c r="H416" s="56"/>
      <c r="I416" s="66"/>
      <c r="J416" s="67"/>
      <c r="K416" s="67"/>
      <c r="L416" s="67"/>
      <c r="M416" s="29" t="str">
        <f t="shared" si="46"/>
        <v/>
      </c>
      <c r="N416" s="29" t="str">
        <f t="shared" si="47"/>
        <v/>
      </c>
      <c r="O416" s="29" t="str">
        <f t="shared" si="42"/>
        <v/>
      </c>
      <c r="P416" s="61"/>
      <c r="Q416" s="61"/>
      <c r="R416" s="61"/>
      <c r="S416" s="45"/>
      <c r="T416" s="29" t="str">
        <f t="shared" si="43"/>
        <v/>
      </c>
    </row>
    <row r="417" spans="1:20">
      <c r="A417" s="10" t="str">
        <f t="shared" si="48"/>
        <v/>
      </c>
      <c r="B417" s="63"/>
      <c r="C417" s="25" t="str">
        <f t="shared" si="44"/>
        <v/>
      </c>
      <c r="D417" s="25" t="str">
        <f t="shared" si="45"/>
        <v/>
      </c>
      <c r="E417" s="45"/>
      <c r="F417" s="28" t="str">
        <f>IFERROR(VLOOKUP(E417,Category!$D$2:$E$600,2,FALSE),"")</f>
        <v/>
      </c>
      <c r="G417" s="65"/>
      <c r="H417" s="56"/>
      <c r="I417" s="66"/>
      <c r="J417" s="67"/>
      <c r="K417" s="67"/>
      <c r="L417" s="67"/>
      <c r="M417" s="29" t="str">
        <f t="shared" si="46"/>
        <v/>
      </c>
      <c r="N417" s="29" t="str">
        <f t="shared" si="47"/>
        <v/>
      </c>
      <c r="O417" s="29" t="str">
        <f t="shared" si="42"/>
        <v/>
      </c>
      <c r="P417" s="61"/>
      <c r="Q417" s="61"/>
      <c r="R417" s="61"/>
      <c r="S417" s="45"/>
      <c r="T417" s="29" t="str">
        <f t="shared" si="43"/>
        <v/>
      </c>
    </row>
    <row r="418" spans="1:20">
      <c r="A418" s="10" t="str">
        <f t="shared" si="48"/>
        <v/>
      </c>
      <c r="B418" s="63"/>
      <c r="C418" s="25" t="str">
        <f t="shared" si="44"/>
        <v/>
      </c>
      <c r="D418" s="25" t="str">
        <f t="shared" si="45"/>
        <v/>
      </c>
      <c r="E418" s="45"/>
      <c r="F418" s="28" t="str">
        <f>IFERROR(VLOOKUP(E418,Category!$D$2:$E$600,2,FALSE),"")</f>
        <v/>
      </c>
      <c r="G418" s="65"/>
      <c r="H418" s="56"/>
      <c r="I418" s="66"/>
      <c r="J418" s="67"/>
      <c r="K418" s="67"/>
      <c r="L418" s="67"/>
      <c r="M418" s="29" t="str">
        <f t="shared" si="46"/>
        <v/>
      </c>
      <c r="N418" s="29" t="str">
        <f t="shared" si="47"/>
        <v/>
      </c>
      <c r="O418" s="29" t="str">
        <f t="shared" si="42"/>
        <v/>
      </c>
      <c r="P418" s="61"/>
      <c r="Q418" s="61"/>
      <c r="R418" s="61"/>
      <c r="S418" s="45"/>
      <c r="T418" s="29" t="str">
        <f t="shared" si="43"/>
        <v/>
      </c>
    </row>
    <row r="419" spans="1:20">
      <c r="A419" s="10" t="str">
        <f t="shared" si="48"/>
        <v/>
      </c>
      <c r="B419" s="63"/>
      <c r="C419" s="25" t="str">
        <f t="shared" si="44"/>
        <v/>
      </c>
      <c r="D419" s="25" t="str">
        <f t="shared" si="45"/>
        <v/>
      </c>
      <c r="E419" s="45"/>
      <c r="F419" s="28" t="str">
        <f>IFERROR(VLOOKUP(E419,Category!$D$2:$E$600,2,FALSE),"")</f>
        <v/>
      </c>
      <c r="G419" s="65"/>
      <c r="H419" s="56"/>
      <c r="I419" s="66"/>
      <c r="J419" s="67"/>
      <c r="K419" s="67"/>
      <c r="L419" s="67"/>
      <c r="M419" s="29" t="str">
        <f t="shared" si="46"/>
        <v/>
      </c>
      <c r="N419" s="29" t="str">
        <f t="shared" si="47"/>
        <v/>
      </c>
      <c r="O419" s="29" t="str">
        <f t="shared" si="42"/>
        <v/>
      </c>
      <c r="P419" s="61"/>
      <c r="Q419" s="61"/>
      <c r="R419" s="61"/>
      <c r="S419" s="45"/>
      <c r="T419" s="29" t="str">
        <f t="shared" si="43"/>
        <v/>
      </c>
    </row>
    <row r="420" spans="1:20">
      <c r="A420" s="10" t="str">
        <f t="shared" si="48"/>
        <v/>
      </c>
      <c r="B420" s="63"/>
      <c r="C420" s="25" t="str">
        <f t="shared" si="44"/>
        <v/>
      </c>
      <c r="D420" s="25" t="str">
        <f t="shared" si="45"/>
        <v/>
      </c>
      <c r="E420" s="45"/>
      <c r="F420" s="28" t="str">
        <f>IFERROR(VLOOKUP(E420,Category!$D$2:$E$600,2,FALSE),"")</f>
        <v/>
      </c>
      <c r="G420" s="65"/>
      <c r="H420" s="56"/>
      <c r="I420" s="66"/>
      <c r="J420" s="67"/>
      <c r="K420" s="67"/>
      <c r="L420" s="67"/>
      <c r="M420" s="29" t="str">
        <f t="shared" si="46"/>
        <v/>
      </c>
      <c r="N420" s="29" t="str">
        <f t="shared" si="47"/>
        <v/>
      </c>
      <c r="O420" s="29" t="str">
        <f t="shared" si="42"/>
        <v/>
      </c>
      <c r="P420" s="61"/>
      <c r="Q420" s="61"/>
      <c r="R420" s="61"/>
      <c r="S420" s="45"/>
      <c r="T420" s="29" t="str">
        <f t="shared" si="43"/>
        <v/>
      </c>
    </row>
    <row r="421" spans="1:20">
      <c r="A421" s="10" t="str">
        <f t="shared" si="48"/>
        <v/>
      </c>
      <c r="B421" s="63"/>
      <c r="C421" s="25" t="str">
        <f t="shared" si="44"/>
        <v/>
      </c>
      <c r="D421" s="25" t="str">
        <f t="shared" si="45"/>
        <v/>
      </c>
      <c r="E421" s="45"/>
      <c r="F421" s="28" t="str">
        <f>IFERROR(VLOOKUP(E421,Category!$D$2:$E$600,2,FALSE),"")</f>
        <v/>
      </c>
      <c r="G421" s="65"/>
      <c r="H421" s="56"/>
      <c r="I421" s="66"/>
      <c r="J421" s="67"/>
      <c r="K421" s="67"/>
      <c r="L421" s="67"/>
      <c r="M421" s="29" t="str">
        <f t="shared" si="46"/>
        <v/>
      </c>
      <c r="N421" s="29" t="str">
        <f t="shared" si="47"/>
        <v/>
      </c>
      <c r="O421" s="29" t="str">
        <f t="shared" si="42"/>
        <v/>
      </c>
      <c r="P421" s="61"/>
      <c r="Q421" s="61"/>
      <c r="R421" s="61"/>
      <c r="S421" s="45"/>
      <c r="T421" s="29" t="str">
        <f t="shared" si="43"/>
        <v/>
      </c>
    </row>
    <row r="422" spans="1:20">
      <c r="A422" s="10" t="str">
        <f t="shared" si="48"/>
        <v/>
      </c>
      <c r="B422" s="63"/>
      <c r="C422" s="25" t="str">
        <f t="shared" si="44"/>
        <v/>
      </c>
      <c r="D422" s="25" t="str">
        <f t="shared" si="45"/>
        <v/>
      </c>
      <c r="E422" s="45"/>
      <c r="F422" s="28" t="str">
        <f>IFERROR(VLOOKUP(E422,Category!$D$2:$E$600,2,FALSE),"")</f>
        <v/>
      </c>
      <c r="G422" s="65"/>
      <c r="H422" s="56"/>
      <c r="I422" s="66"/>
      <c r="J422" s="67"/>
      <c r="K422" s="67"/>
      <c r="L422" s="67"/>
      <c r="M422" s="29" t="str">
        <f t="shared" si="46"/>
        <v/>
      </c>
      <c r="N422" s="29" t="str">
        <f t="shared" si="47"/>
        <v/>
      </c>
      <c r="O422" s="29" t="str">
        <f t="shared" si="42"/>
        <v/>
      </c>
      <c r="P422" s="61"/>
      <c r="Q422" s="61"/>
      <c r="R422" s="61"/>
      <c r="S422" s="45"/>
      <c r="T422" s="29" t="str">
        <f t="shared" si="43"/>
        <v/>
      </c>
    </row>
    <row r="423" spans="1:20">
      <c r="A423" s="10" t="str">
        <f t="shared" si="48"/>
        <v/>
      </c>
      <c r="B423" s="63"/>
      <c r="C423" s="25" t="str">
        <f t="shared" si="44"/>
        <v/>
      </c>
      <c r="D423" s="25" t="str">
        <f t="shared" si="45"/>
        <v/>
      </c>
      <c r="E423" s="45"/>
      <c r="F423" s="28" t="str">
        <f>IFERROR(VLOOKUP(E423,Category!$D$2:$E$600,2,FALSE),"")</f>
        <v/>
      </c>
      <c r="G423" s="65"/>
      <c r="H423" s="56"/>
      <c r="I423" s="66"/>
      <c r="J423" s="67"/>
      <c r="K423" s="67"/>
      <c r="L423" s="67"/>
      <c r="M423" s="29" t="str">
        <f t="shared" si="46"/>
        <v/>
      </c>
      <c r="N423" s="29" t="str">
        <f t="shared" si="47"/>
        <v/>
      </c>
      <c r="O423" s="29" t="str">
        <f t="shared" si="42"/>
        <v/>
      </c>
      <c r="P423" s="61"/>
      <c r="Q423" s="61"/>
      <c r="R423" s="61"/>
      <c r="S423" s="45"/>
      <c r="T423" s="29" t="str">
        <f t="shared" si="43"/>
        <v/>
      </c>
    </row>
    <row r="424" spans="1:20">
      <c r="A424" s="10" t="str">
        <f t="shared" si="48"/>
        <v/>
      </c>
      <c r="B424" s="63"/>
      <c r="C424" s="25" t="str">
        <f t="shared" si="44"/>
        <v/>
      </c>
      <c r="D424" s="25" t="str">
        <f t="shared" si="45"/>
        <v/>
      </c>
      <c r="E424" s="45"/>
      <c r="F424" s="28" t="str">
        <f>IFERROR(VLOOKUP(E424,Category!$D$2:$E$600,2,FALSE),"")</f>
        <v/>
      </c>
      <c r="G424" s="65"/>
      <c r="H424" s="56"/>
      <c r="I424" s="66"/>
      <c r="J424" s="67"/>
      <c r="K424" s="67"/>
      <c r="L424" s="67"/>
      <c r="M424" s="29" t="str">
        <f t="shared" si="46"/>
        <v/>
      </c>
      <c r="N424" s="29" t="str">
        <f t="shared" si="47"/>
        <v/>
      </c>
      <c r="O424" s="29" t="str">
        <f t="shared" si="42"/>
        <v/>
      </c>
      <c r="P424" s="61"/>
      <c r="Q424" s="61"/>
      <c r="R424" s="61"/>
      <c r="S424" s="45"/>
      <c r="T424" s="29" t="str">
        <f t="shared" si="43"/>
        <v/>
      </c>
    </row>
    <row r="425" spans="1:20">
      <c r="A425" s="10" t="str">
        <f t="shared" si="48"/>
        <v/>
      </c>
      <c r="B425" s="63"/>
      <c r="C425" s="25" t="str">
        <f t="shared" si="44"/>
        <v/>
      </c>
      <c r="D425" s="25" t="str">
        <f t="shared" si="45"/>
        <v/>
      </c>
      <c r="E425" s="45"/>
      <c r="F425" s="28" t="str">
        <f>IFERROR(VLOOKUP(E425,Category!$D$2:$E$600,2,FALSE),"")</f>
        <v/>
      </c>
      <c r="G425" s="65"/>
      <c r="H425" s="56"/>
      <c r="I425" s="66"/>
      <c r="J425" s="67"/>
      <c r="K425" s="67"/>
      <c r="L425" s="67"/>
      <c r="M425" s="29" t="str">
        <f t="shared" si="46"/>
        <v/>
      </c>
      <c r="N425" s="29" t="str">
        <f t="shared" si="47"/>
        <v/>
      </c>
      <c r="O425" s="29" t="str">
        <f t="shared" si="42"/>
        <v/>
      </c>
      <c r="P425" s="61"/>
      <c r="Q425" s="61"/>
      <c r="R425" s="61"/>
      <c r="S425" s="45"/>
      <c r="T425" s="29" t="str">
        <f t="shared" si="43"/>
        <v/>
      </c>
    </row>
    <row r="426" spans="1:20">
      <c r="A426" s="10" t="str">
        <f t="shared" si="48"/>
        <v/>
      </c>
      <c r="B426" s="63"/>
      <c r="C426" s="25" t="str">
        <f t="shared" si="44"/>
        <v/>
      </c>
      <c r="D426" s="25" t="str">
        <f t="shared" si="45"/>
        <v/>
      </c>
      <c r="E426" s="45"/>
      <c r="F426" s="28" t="str">
        <f>IFERROR(VLOOKUP(E426,Category!$D$2:$E$600,2,FALSE),"")</f>
        <v/>
      </c>
      <c r="G426" s="65"/>
      <c r="H426" s="56"/>
      <c r="I426" s="66"/>
      <c r="J426" s="67"/>
      <c r="K426" s="67"/>
      <c r="L426" s="67"/>
      <c r="M426" s="29" t="str">
        <f t="shared" si="46"/>
        <v/>
      </c>
      <c r="N426" s="29" t="str">
        <f t="shared" si="47"/>
        <v/>
      </c>
      <c r="O426" s="29" t="str">
        <f t="shared" si="42"/>
        <v/>
      </c>
      <c r="P426" s="61"/>
      <c r="Q426" s="61"/>
      <c r="R426" s="61"/>
      <c r="S426" s="45"/>
      <c r="T426" s="29" t="str">
        <f t="shared" si="43"/>
        <v/>
      </c>
    </row>
    <row r="427" spans="1:20">
      <c r="A427" s="10" t="str">
        <f t="shared" si="48"/>
        <v/>
      </c>
      <c r="B427" s="63"/>
      <c r="C427" s="25" t="str">
        <f t="shared" si="44"/>
        <v/>
      </c>
      <c r="D427" s="25" t="str">
        <f t="shared" si="45"/>
        <v/>
      </c>
      <c r="E427" s="45"/>
      <c r="F427" s="28" t="str">
        <f>IFERROR(VLOOKUP(E427,Category!$D$2:$E$600,2,FALSE),"")</f>
        <v/>
      </c>
      <c r="G427" s="65"/>
      <c r="H427" s="56"/>
      <c r="I427" s="66"/>
      <c r="J427" s="67"/>
      <c r="K427" s="67"/>
      <c r="L427" s="67"/>
      <c r="M427" s="29" t="str">
        <f t="shared" si="46"/>
        <v/>
      </c>
      <c r="N427" s="29" t="str">
        <f t="shared" si="47"/>
        <v/>
      </c>
      <c r="O427" s="29" t="str">
        <f t="shared" si="42"/>
        <v/>
      </c>
      <c r="P427" s="61"/>
      <c r="Q427" s="61"/>
      <c r="R427" s="61"/>
      <c r="S427" s="45"/>
      <c r="T427" s="29" t="str">
        <f t="shared" si="43"/>
        <v/>
      </c>
    </row>
    <row r="428" spans="1:20">
      <c r="A428" s="10" t="str">
        <f t="shared" si="48"/>
        <v/>
      </c>
      <c r="B428" s="63"/>
      <c r="C428" s="25" t="str">
        <f t="shared" si="44"/>
        <v/>
      </c>
      <c r="D428" s="25" t="str">
        <f t="shared" si="45"/>
        <v/>
      </c>
      <c r="E428" s="45"/>
      <c r="F428" s="28" t="str">
        <f>IFERROR(VLOOKUP(E428,Category!$D$2:$E$600,2,FALSE),"")</f>
        <v/>
      </c>
      <c r="G428" s="65"/>
      <c r="H428" s="56"/>
      <c r="I428" s="66"/>
      <c r="J428" s="67"/>
      <c r="K428" s="67"/>
      <c r="L428" s="67"/>
      <c r="M428" s="29" t="str">
        <f t="shared" si="46"/>
        <v/>
      </c>
      <c r="N428" s="29" t="str">
        <f t="shared" si="47"/>
        <v/>
      </c>
      <c r="O428" s="29" t="str">
        <f t="shared" si="42"/>
        <v/>
      </c>
      <c r="P428" s="61"/>
      <c r="Q428" s="61"/>
      <c r="R428" s="61"/>
      <c r="S428" s="45"/>
      <c r="T428" s="29" t="str">
        <f t="shared" si="43"/>
        <v/>
      </c>
    </row>
    <row r="429" spans="1:20">
      <c r="A429" s="10" t="str">
        <f t="shared" si="48"/>
        <v/>
      </c>
      <c r="B429" s="63"/>
      <c r="C429" s="25" t="str">
        <f t="shared" si="44"/>
        <v/>
      </c>
      <c r="D429" s="25" t="str">
        <f t="shared" si="45"/>
        <v/>
      </c>
      <c r="E429" s="45"/>
      <c r="F429" s="28" t="str">
        <f>IFERROR(VLOOKUP(E429,Category!$D$2:$E$600,2,FALSE),"")</f>
        <v/>
      </c>
      <c r="G429" s="65"/>
      <c r="H429" s="56"/>
      <c r="I429" s="66"/>
      <c r="J429" s="67"/>
      <c r="K429" s="67"/>
      <c r="L429" s="67"/>
      <c r="M429" s="29" t="str">
        <f t="shared" si="46"/>
        <v/>
      </c>
      <c r="N429" s="29" t="str">
        <f t="shared" si="47"/>
        <v/>
      </c>
      <c r="O429" s="29" t="str">
        <f t="shared" si="42"/>
        <v/>
      </c>
      <c r="P429" s="61"/>
      <c r="Q429" s="61"/>
      <c r="R429" s="61"/>
      <c r="S429" s="45"/>
      <c r="T429" s="29" t="str">
        <f t="shared" si="43"/>
        <v/>
      </c>
    </row>
    <row r="430" spans="1:20">
      <c r="A430" s="10" t="str">
        <f t="shared" si="48"/>
        <v/>
      </c>
      <c r="B430" s="63"/>
      <c r="C430" s="25" t="str">
        <f t="shared" si="44"/>
        <v/>
      </c>
      <c r="D430" s="25" t="str">
        <f t="shared" si="45"/>
        <v/>
      </c>
      <c r="E430" s="45"/>
      <c r="F430" s="28" t="str">
        <f>IFERROR(VLOOKUP(E430,Category!$D$2:$E$600,2,FALSE),"")</f>
        <v/>
      </c>
      <c r="G430" s="65"/>
      <c r="H430" s="56"/>
      <c r="I430" s="66"/>
      <c r="J430" s="67"/>
      <c r="K430" s="67"/>
      <c r="L430" s="67"/>
      <c r="M430" s="29" t="str">
        <f t="shared" si="46"/>
        <v/>
      </c>
      <c r="N430" s="29" t="str">
        <f t="shared" si="47"/>
        <v/>
      </c>
      <c r="O430" s="29" t="str">
        <f t="shared" si="42"/>
        <v/>
      </c>
      <c r="P430" s="61"/>
      <c r="Q430" s="61"/>
      <c r="R430" s="61"/>
      <c r="S430" s="45"/>
      <c r="T430" s="29" t="str">
        <f t="shared" si="43"/>
        <v/>
      </c>
    </row>
    <row r="431" spans="1:20">
      <c r="A431" s="10" t="str">
        <f t="shared" si="48"/>
        <v/>
      </c>
      <c r="B431" s="63"/>
      <c r="C431" s="25" t="str">
        <f t="shared" si="44"/>
        <v/>
      </c>
      <c r="D431" s="25" t="str">
        <f t="shared" si="45"/>
        <v/>
      </c>
      <c r="E431" s="45"/>
      <c r="F431" s="28" t="str">
        <f>IFERROR(VLOOKUP(E431,Category!$D$2:$E$600,2,FALSE),"")</f>
        <v/>
      </c>
      <c r="G431" s="65"/>
      <c r="H431" s="56"/>
      <c r="I431" s="66"/>
      <c r="J431" s="67"/>
      <c r="K431" s="67"/>
      <c r="L431" s="67"/>
      <c r="M431" s="29" t="str">
        <f t="shared" si="46"/>
        <v/>
      </c>
      <c r="N431" s="29" t="str">
        <f t="shared" si="47"/>
        <v/>
      </c>
      <c r="O431" s="29" t="str">
        <f t="shared" si="42"/>
        <v/>
      </c>
      <c r="P431" s="61"/>
      <c r="Q431" s="61"/>
      <c r="R431" s="61"/>
      <c r="S431" s="45"/>
      <c r="T431" s="29" t="str">
        <f t="shared" si="43"/>
        <v/>
      </c>
    </row>
    <row r="432" spans="1:20">
      <c r="A432" s="10" t="str">
        <f t="shared" si="48"/>
        <v/>
      </c>
      <c r="B432" s="63"/>
      <c r="C432" s="25" t="str">
        <f t="shared" si="44"/>
        <v/>
      </c>
      <c r="D432" s="25" t="str">
        <f t="shared" si="45"/>
        <v/>
      </c>
      <c r="E432" s="45"/>
      <c r="F432" s="28" t="str">
        <f>IFERROR(VLOOKUP(E432,Category!$D$2:$E$600,2,FALSE),"")</f>
        <v/>
      </c>
      <c r="G432" s="65"/>
      <c r="H432" s="56"/>
      <c r="I432" s="66"/>
      <c r="J432" s="67"/>
      <c r="K432" s="67"/>
      <c r="L432" s="67"/>
      <c r="M432" s="29" t="str">
        <f t="shared" si="46"/>
        <v/>
      </c>
      <c r="N432" s="29" t="str">
        <f t="shared" si="47"/>
        <v/>
      </c>
      <c r="O432" s="29" t="str">
        <f t="shared" si="42"/>
        <v/>
      </c>
      <c r="P432" s="61"/>
      <c r="Q432" s="61"/>
      <c r="R432" s="61"/>
      <c r="S432" s="45"/>
      <c r="T432" s="29" t="str">
        <f t="shared" si="43"/>
        <v/>
      </c>
    </row>
    <row r="433" spans="1:20">
      <c r="A433" s="10" t="str">
        <f t="shared" si="48"/>
        <v/>
      </c>
      <c r="B433" s="63"/>
      <c r="C433" s="25" t="str">
        <f t="shared" si="44"/>
        <v/>
      </c>
      <c r="D433" s="25" t="str">
        <f t="shared" si="45"/>
        <v/>
      </c>
      <c r="E433" s="45"/>
      <c r="F433" s="28" t="str">
        <f>IFERROR(VLOOKUP(E433,Category!$D$2:$E$600,2,FALSE),"")</f>
        <v/>
      </c>
      <c r="G433" s="65"/>
      <c r="H433" s="56"/>
      <c r="I433" s="66"/>
      <c r="J433" s="67"/>
      <c r="K433" s="67"/>
      <c r="L433" s="67"/>
      <c r="M433" s="29" t="str">
        <f t="shared" si="46"/>
        <v/>
      </c>
      <c r="N433" s="29" t="str">
        <f t="shared" si="47"/>
        <v/>
      </c>
      <c r="O433" s="29" t="str">
        <f t="shared" si="42"/>
        <v/>
      </c>
      <c r="P433" s="61"/>
      <c r="Q433" s="61"/>
      <c r="R433" s="61"/>
      <c r="S433" s="45"/>
      <c r="T433" s="29" t="str">
        <f t="shared" si="43"/>
        <v/>
      </c>
    </row>
    <row r="434" spans="1:20">
      <c r="A434" s="10" t="str">
        <f t="shared" si="48"/>
        <v/>
      </c>
      <c r="B434" s="63"/>
      <c r="C434" s="25" t="str">
        <f t="shared" si="44"/>
        <v/>
      </c>
      <c r="D434" s="25" t="str">
        <f t="shared" si="45"/>
        <v/>
      </c>
      <c r="E434" s="45"/>
      <c r="F434" s="28" t="str">
        <f>IFERROR(VLOOKUP(E434,Category!$D$2:$E$600,2,FALSE),"")</f>
        <v/>
      </c>
      <c r="G434" s="65"/>
      <c r="H434" s="56"/>
      <c r="I434" s="66"/>
      <c r="J434" s="67"/>
      <c r="K434" s="67"/>
      <c r="L434" s="67"/>
      <c r="M434" s="29" t="str">
        <f t="shared" si="46"/>
        <v/>
      </c>
      <c r="N434" s="29" t="str">
        <f t="shared" si="47"/>
        <v/>
      </c>
      <c r="O434" s="29" t="str">
        <f t="shared" si="42"/>
        <v/>
      </c>
      <c r="P434" s="61"/>
      <c r="Q434" s="61"/>
      <c r="R434" s="61"/>
      <c r="S434" s="45"/>
      <c r="T434" s="29" t="str">
        <f t="shared" si="43"/>
        <v/>
      </c>
    </row>
    <row r="435" spans="1:20">
      <c r="A435" s="10" t="str">
        <f t="shared" si="48"/>
        <v/>
      </c>
      <c r="B435" s="63"/>
      <c r="C435" s="25" t="str">
        <f t="shared" si="44"/>
        <v/>
      </c>
      <c r="D435" s="25" t="str">
        <f t="shared" si="45"/>
        <v/>
      </c>
      <c r="E435" s="45"/>
      <c r="F435" s="28" t="str">
        <f>IFERROR(VLOOKUP(E435,Category!$D$2:$E$600,2,FALSE),"")</f>
        <v/>
      </c>
      <c r="G435" s="65"/>
      <c r="H435" s="56"/>
      <c r="I435" s="66"/>
      <c r="J435" s="67"/>
      <c r="K435" s="67"/>
      <c r="L435" s="67"/>
      <c r="M435" s="29" t="str">
        <f t="shared" si="46"/>
        <v/>
      </c>
      <c r="N435" s="29" t="str">
        <f t="shared" si="47"/>
        <v/>
      </c>
      <c r="O435" s="29" t="str">
        <f t="shared" si="42"/>
        <v/>
      </c>
      <c r="P435" s="61"/>
      <c r="Q435" s="61"/>
      <c r="R435" s="61"/>
      <c r="S435" s="45"/>
      <c r="T435" s="29" t="str">
        <f t="shared" si="43"/>
        <v/>
      </c>
    </row>
    <row r="436" spans="1:20">
      <c r="A436" s="10" t="str">
        <f t="shared" si="48"/>
        <v/>
      </c>
      <c r="B436" s="63"/>
      <c r="C436" s="25" t="str">
        <f t="shared" si="44"/>
        <v/>
      </c>
      <c r="D436" s="25" t="str">
        <f t="shared" si="45"/>
        <v/>
      </c>
      <c r="E436" s="45"/>
      <c r="F436" s="28" t="str">
        <f>IFERROR(VLOOKUP(E436,Category!$D$2:$E$600,2,FALSE),"")</f>
        <v/>
      </c>
      <c r="G436" s="65"/>
      <c r="H436" s="56"/>
      <c r="I436" s="66"/>
      <c r="J436" s="67"/>
      <c r="K436" s="67"/>
      <c r="L436" s="67"/>
      <c r="M436" s="29" t="str">
        <f t="shared" si="46"/>
        <v/>
      </c>
      <c r="N436" s="29" t="str">
        <f t="shared" si="47"/>
        <v/>
      </c>
      <c r="O436" s="29" t="str">
        <f t="shared" si="42"/>
        <v/>
      </c>
      <c r="P436" s="61"/>
      <c r="Q436" s="61"/>
      <c r="R436" s="61"/>
      <c r="S436" s="45"/>
      <c r="T436" s="29" t="str">
        <f t="shared" si="43"/>
        <v/>
      </c>
    </row>
    <row r="437" spans="1:20">
      <c r="A437" s="10" t="str">
        <f t="shared" si="48"/>
        <v/>
      </c>
      <c r="B437" s="63"/>
      <c r="C437" s="25" t="str">
        <f t="shared" si="44"/>
        <v/>
      </c>
      <c r="D437" s="25" t="str">
        <f t="shared" si="45"/>
        <v/>
      </c>
      <c r="E437" s="45"/>
      <c r="F437" s="28" t="str">
        <f>IFERROR(VLOOKUP(E437,Category!$D$2:$E$600,2,FALSE),"")</f>
        <v/>
      </c>
      <c r="G437" s="65"/>
      <c r="H437" s="56"/>
      <c r="I437" s="66"/>
      <c r="J437" s="67"/>
      <c r="K437" s="67"/>
      <c r="L437" s="67"/>
      <c r="M437" s="29" t="str">
        <f t="shared" si="46"/>
        <v/>
      </c>
      <c r="N437" s="29" t="str">
        <f t="shared" si="47"/>
        <v/>
      </c>
      <c r="O437" s="29" t="str">
        <f t="shared" si="42"/>
        <v/>
      </c>
      <c r="P437" s="61"/>
      <c r="Q437" s="61"/>
      <c r="R437" s="61"/>
      <c r="S437" s="45"/>
      <c r="T437" s="29" t="str">
        <f t="shared" si="43"/>
        <v/>
      </c>
    </row>
    <row r="438" spans="1:20">
      <c r="A438" s="10" t="str">
        <f t="shared" si="48"/>
        <v/>
      </c>
      <c r="B438" s="63"/>
      <c r="C438" s="25" t="str">
        <f t="shared" si="44"/>
        <v/>
      </c>
      <c r="D438" s="25" t="str">
        <f t="shared" si="45"/>
        <v/>
      </c>
      <c r="E438" s="45"/>
      <c r="F438" s="28" t="str">
        <f>IFERROR(VLOOKUP(E438,Category!$D$2:$E$600,2,FALSE),"")</f>
        <v/>
      </c>
      <c r="G438" s="65"/>
      <c r="H438" s="56"/>
      <c r="I438" s="66"/>
      <c r="J438" s="67"/>
      <c r="K438" s="67"/>
      <c r="L438" s="67"/>
      <c r="M438" s="29" t="str">
        <f t="shared" si="46"/>
        <v/>
      </c>
      <c r="N438" s="29" t="str">
        <f t="shared" si="47"/>
        <v/>
      </c>
      <c r="O438" s="29" t="str">
        <f t="shared" si="42"/>
        <v/>
      </c>
      <c r="P438" s="61"/>
      <c r="Q438" s="61"/>
      <c r="R438" s="61"/>
      <c r="S438" s="45"/>
      <c r="T438" s="29" t="str">
        <f t="shared" si="43"/>
        <v/>
      </c>
    </row>
    <row r="439" spans="1:20">
      <c r="A439" s="10" t="str">
        <f t="shared" si="48"/>
        <v/>
      </c>
      <c r="B439" s="63"/>
      <c r="C439" s="25" t="str">
        <f t="shared" si="44"/>
        <v/>
      </c>
      <c r="D439" s="25" t="str">
        <f t="shared" si="45"/>
        <v/>
      </c>
      <c r="E439" s="45"/>
      <c r="F439" s="28" t="str">
        <f>IFERROR(VLOOKUP(E439,Category!$D$2:$E$600,2,FALSE),"")</f>
        <v/>
      </c>
      <c r="G439" s="65"/>
      <c r="H439" s="56"/>
      <c r="I439" s="66"/>
      <c r="J439" s="67"/>
      <c r="K439" s="67"/>
      <c r="L439" s="67"/>
      <c r="M439" s="29" t="str">
        <f t="shared" si="46"/>
        <v/>
      </c>
      <c r="N439" s="29" t="str">
        <f t="shared" si="47"/>
        <v/>
      </c>
      <c r="O439" s="29" t="str">
        <f t="shared" si="42"/>
        <v/>
      </c>
      <c r="P439" s="61"/>
      <c r="Q439" s="61"/>
      <c r="R439" s="61"/>
      <c r="S439" s="45"/>
      <c r="T439" s="29" t="str">
        <f t="shared" si="43"/>
        <v/>
      </c>
    </row>
    <row r="440" spans="1:20">
      <c r="A440" s="10" t="str">
        <f t="shared" si="48"/>
        <v/>
      </c>
      <c r="B440" s="63"/>
      <c r="C440" s="25" t="str">
        <f t="shared" si="44"/>
        <v/>
      </c>
      <c r="D440" s="25" t="str">
        <f t="shared" si="45"/>
        <v/>
      </c>
      <c r="E440" s="45"/>
      <c r="F440" s="28" t="str">
        <f>IFERROR(VLOOKUP(E440,Category!$D$2:$E$600,2,FALSE),"")</f>
        <v/>
      </c>
      <c r="G440" s="65"/>
      <c r="H440" s="56"/>
      <c r="I440" s="66"/>
      <c r="J440" s="67"/>
      <c r="K440" s="67"/>
      <c r="L440" s="67"/>
      <c r="M440" s="29" t="str">
        <f t="shared" si="46"/>
        <v/>
      </c>
      <c r="N440" s="29" t="str">
        <f t="shared" si="47"/>
        <v/>
      </c>
      <c r="O440" s="29" t="str">
        <f t="shared" si="42"/>
        <v/>
      </c>
      <c r="P440" s="61"/>
      <c r="Q440" s="61"/>
      <c r="R440" s="61"/>
      <c r="S440" s="45"/>
      <c r="T440" s="29" t="str">
        <f t="shared" si="43"/>
        <v/>
      </c>
    </row>
    <row r="441" spans="1:20">
      <c r="A441" s="10" t="str">
        <f t="shared" si="48"/>
        <v/>
      </c>
      <c r="B441" s="63"/>
      <c r="C441" s="25" t="str">
        <f t="shared" si="44"/>
        <v/>
      </c>
      <c r="D441" s="25" t="str">
        <f t="shared" si="45"/>
        <v/>
      </c>
      <c r="E441" s="45"/>
      <c r="F441" s="28" t="str">
        <f>IFERROR(VLOOKUP(E441,Category!$D$2:$E$600,2,FALSE),"")</f>
        <v/>
      </c>
      <c r="G441" s="65"/>
      <c r="H441" s="56"/>
      <c r="I441" s="66"/>
      <c r="J441" s="67"/>
      <c r="K441" s="67"/>
      <c r="L441" s="67"/>
      <c r="M441" s="29" t="str">
        <f t="shared" si="46"/>
        <v/>
      </c>
      <c r="N441" s="29" t="str">
        <f t="shared" si="47"/>
        <v/>
      </c>
      <c r="O441" s="29" t="str">
        <f t="shared" si="42"/>
        <v/>
      </c>
      <c r="P441" s="61"/>
      <c r="Q441" s="61"/>
      <c r="R441" s="61"/>
      <c r="S441" s="45"/>
      <c r="T441" s="29" t="str">
        <f t="shared" si="43"/>
        <v/>
      </c>
    </row>
    <row r="442" spans="1:20">
      <c r="A442" s="10" t="str">
        <f t="shared" si="48"/>
        <v/>
      </c>
      <c r="B442" s="63"/>
      <c r="C442" s="25" t="str">
        <f t="shared" si="44"/>
        <v/>
      </c>
      <c r="D442" s="25" t="str">
        <f t="shared" si="45"/>
        <v/>
      </c>
      <c r="E442" s="45"/>
      <c r="F442" s="28" t="str">
        <f>IFERROR(VLOOKUP(E442,Category!$D$2:$E$600,2,FALSE),"")</f>
        <v/>
      </c>
      <c r="G442" s="65"/>
      <c r="H442" s="56"/>
      <c r="I442" s="66"/>
      <c r="J442" s="67"/>
      <c r="K442" s="67"/>
      <c r="L442" s="67"/>
      <c r="M442" s="29" t="str">
        <f t="shared" si="46"/>
        <v/>
      </c>
      <c r="N442" s="29" t="str">
        <f t="shared" si="47"/>
        <v/>
      </c>
      <c r="O442" s="29" t="str">
        <f t="shared" si="42"/>
        <v/>
      </c>
      <c r="P442" s="61"/>
      <c r="Q442" s="61"/>
      <c r="R442" s="61"/>
      <c r="S442" s="45"/>
      <c r="T442" s="29" t="str">
        <f t="shared" si="43"/>
        <v/>
      </c>
    </row>
    <row r="443" spans="1:20">
      <c r="A443" s="10" t="str">
        <f t="shared" si="48"/>
        <v/>
      </c>
      <c r="B443" s="63"/>
      <c r="C443" s="25" t="str">
        <f t="shared" si="44"/>
        <v/>
      </c>
      <c r="D443" s="25" t="str">
        <f t="shared" si="45"/>
        <v/>
      </c>
      <c r="E443" s="45"/>
      <c r="F443" s="28" t="str">
        <f>IFERROR(VLOOKUP(E443,Category!$D$2:$E$600,2,FALSE),"")</f>
        <v/>
      </c>
      <c r="G443" s="65"/>
      <c r="H443" s="56"/>
      <c r="I443" s="66"/>
      <c r="J443" s="67"/>
      <c r="K443" s="67"/>
      <c r="L443" s="67"/>
      <c r="M443" s="29" t="str">
        <f t="shared" si="46"/>
        <v/>
      </c>
      <c r="N443" s="29" t="str">
        <f t="shared" si="47"/>
        <v/>
      </c>
      <c r="O443" s="29" t="str">
        <f t="shared" si="42"/>
        <v/>
      </c>
      <c r="P443" s="61"/>
      <c r="Q443" s="61"/>
      <c r="R443" s="61"/>
      <c r="S443" s="45"/>
      <c r="T443" s="29" t="str">
        <f t="shared" si="43"/>
        <v/>
      </c>
    </row>
    <row r="444" spans="1:20">
      <c r="A444" s="10" t="str">
        <f t="shared" si="48"/>
        <v/>
      </c>
      <c r="B444" s="63"/>
      <c r="C444" s="25" t="str">
        <f t="shared" si="44"/>
        <v/>
      </c>
      <c r="D444" s="25" t="str">
        <f t="shared" si="45"/>
        <v/>
      </c>
      <c r="E444" s="45"/>
      <c r="F444" s="28" t="str">
        <f>IFERROR(VLOOKUP(E444,Category!$D$2:$E$600,2,FALSE),"")</f>
        <v/>
      </c>
      <c r="G444" s="65"/>
      <c r="H444" s="56"/>
      <c r="I444" s="66"/>
      <c r="J444" s="67"/>
      <c r="K444" s="67"/>
      <c r="L444" s="67"/>
      <c r="M444" s="29" t="str">
        <f t="shared" si="46"/>
        <v/>
      </c>
      <c r="N444" s="29" t="str">
        <f t="shared" si="47"/>
        <v/>
      </c>
      <c r="O444" s="29" t="str">
        <f t="shared" si="42"/>
        <v/>
      </c>
      <c r="P444" s="61"/>
      <c r="Q444" s="61"/>
      <c r="R444" s="61"/>
      <c r="S444" s="45"/>
      <c r="T444" s="29" t="str">
        <f t="shared" si="43"/>
        <v/>
      </c>
    </row>
    <row r="445" spans="1:20">
      <c r="A445" s="10" t="str">
        <f t="shared" si="48"/>
        <v/>
      </c>
      <c r="B445" s="63"/>
      <c r="C445" s="25" t="str">
        <f t="shared" si="44"/>
        <v/>
      </c>
      <c r="D445" s="25" t="str">
        <f t="shared" si="45"/>
        <v/>
      </c>
      <c r="E445" s="45"/>
      <c r="F445" s="28" t="str">
        <f>IFERROR(VLOOKUP(E445,Category!$D$2:$E$600,2,FALSE),"")</f>
        <v/>
      </c>
      <c r="G445" s="65"/>
      <c r="H445" s="56"/>
      <c r="I445" s="66"/>
      <c r="J445" s="67"/>
      <c r="K445" s="67"/>
      <c r="L445" s="67"/>
      <c r="M445" s="29" t="str">
        <f t="shared" si="46"/>
        <v/>
      </c>
      <c r="N445" s="29" t="str">
        <f t="shared" si="47"/>
        <v/>
      </c>
      <c r="O445" s="29" t="str">
        <f t="shared" si="42"/>
        <v/>
      </c>
      <c r="P445" s="61"/>
      <c r="Q445" s="61"/>
      <c r="R445" s="61"/>
      <c r="S445" s="45"/>
      <c r="T445" s="29" t="str">
        <f t="shared" si="43"/>
        <v/>
      </c>
    </row>
    <row r="446" spans="1:20">
      <c r="A446" s="10" t="str">
        <f t="shared" si="48"/>
        <v/>
      </c>
      <c r="B446" s="63"/>
      <c r="C446" s="25" t="str">
        <f t="shared" si="44"/>
        <v/>
      </c>
      <c r="D446" s="25" t="str">
        <f t="shared" si="45"/>
        <v/>
      </c>
      <c r="E446" s="45"/>
      <c r="F446" s="28" t="str">
        <f>IFERROR(VLOOKUP(E446,Category!$D$2:$E$600,2,FALSE),"")</f>
        <v/>
      </c>
      <c r="G446" s="65"/>
      <c r="H446" s="56"/>
      <c r="I446" s="66"/>
      <c r="J446" s="67"/>
      <c r="K446" s="67"/>
      <c r="L446" s="67"/>
      <c r="M446" s="29" t="str">
        <f t="shared" si="46"/>
        <v/>
      </c>
      <c r="N446" s="29" t="str">
        <f t="shared" si="47"/>
        <v/>
      </c>
      <c r="O446" s="29" t="str">
        <f t="shared" si="42"/>
        <v/>
      </c>
      <c r="P446" s="61"/>
      <c r="Q446" s="61"/>
      <c r="R446" s="61"/>
      <c r="S446" s="45"/>
      <c r="T446" s="29" t="str">
        <f t="shared" si="43"/>
        <v/>
      </c>
    </row>
    <row r="447" spans="1:20">
      <c r="A447" s="10" t="str">
        <f t="shared" si="48"/>
        <v/>
      </c>
      <c r="B447" s="63"/>
      <c r="C447" s="25" t="str">
        <f t="shared" si="44"/>
        <v/>
      </c>
      <c r="D447" s="25" t="str">
        <f t="shared" si="45"/>
        <v/>
      </c>
      <c r="E447" s="45"/>
      <c r="F447" s="28" t="str">
        <f>IFERROR(VLOOKUP(E447,Category!$D$2:$E$600,2,FALSE),"")</f>
        <v/>
      </c>
      <c r="G447" s="65"/>
      <c r="H447" s="56"/>
      <c r="I447" s="66"/>
      <c r="J447" s="67"/>
      <c r="K447" s="67"/>
      <c r="L447" s="67"/>
      <c r="M447" s="29" t="str">
        <f t="shared" si="46"/>
        <v/>
      </c>
      <c r="N447" s="29" t="str">
        <f t="shared" si="47"/>
        <v/>
      </c>
      <c r="O447" s="29" t="str">
        <f t="shared" si="42"/>
        <v/>
      </c>
      <c r="P447" s="61"/>
      <c r="Q447" s="61"/>
      <c r="R447" s="61"/>
      <c r="S447" s="45"/>
      <c r="T447" s="29" t="str">
        <f t="shared" si="43"/>
        <v/>
      </c>
    </row>
    <row r="448" spans="1:20">
      <c r="A448" s="10" t="str">
        <f t="shared" si="48"/>
        <v/>
      </c>
      <c r="B448" s="63"/>
      <c r="C448" s="25" t="str">
        <f t="shared" si="44"/>
        <v/>
      </c>
      <c r="D448" s="25" t="str">
        <f t="shared" si="45"/>
        <v/>
      </c>
      <c r="E448" s="45"/>
      <c r="F448" s="28" t="str">
        <f>IFERROR(VLOOKUP(E448,Category!$D$2:$E$600,2,FALSE),"")</f>
        <v/>
      </c>
      <c r="G448" s="65"/>
      <c r="H448" s="56"/>
      <c r="I448" s="66"/>
      <c r="J448" s="67"/>
      <c r="K448" s="67"/>
      <c r="L448" s="67"/>
      <c r="M448" s="29" t="str">
        <f t="shared" si="46"/>
        <v/>
      </c>
      <c r="N448" s="29" t="str">
        <f t="shared" si="47"/>
        <v/>
      </c>
      <c r="O448" s="29" t="str">
        <f t="shared" si="42"/>
        <v/>
      </c>
      <c r="P448" s="61"/>
      <c r="Q448" s="61"/>
      <c r="R448" s="61"/>
      <c r="S448" s="45"/>
      <c r="T448" s="29" t="str">
        <f t="shared" si="43"/>
        <v/>
      </c>
    </row>
    <row r="449" spans="1:20">
      <c r="A449" s="10" t="str">
        <f t="shared" si="48"/>
        <v/>
      </c>
      <c r="B449" s="63"/>
      <c r="C449" s="25" t="str">
        <f t="shared" si="44"/>
        <v/>
      </c>
      <c r="D449" s="25" t="str">
        <f t="shared" si="45"/>
        <v/>
      </c>
      <c r="E449" s="45"/>
      <c r="F449" s="28" t="str">
        <f>IFERROR(VLOOKUP(E449,Category!$D$2:$E$600,2,FALSE),"")</f>
        <v/>
      </c>
      <c r="G449" s="65"/>
      <c r="H449" s="56"/>
      <c r="I449" s="66"/>
      <c r="J449" s="67"/>
      <c r="K449" s="67"/>
      <c r="L449" s="67"/>
      <c r="M449" s="29" t="str">
        <f t="shared" si="46"/>
        <v/>
      </c>
      <c r="N449" s="29" t="str">
        <f t="shared" si="47"/>
        <v/>
      </c>
      <c r="O449" s="29" t="str">
        <f t="shared" si="42"/>
        <v/>
      </c>
      <c r="P449" s="61"/>
      <c r="Q449" s="61"/>
      <c r="R449" s="61"/>
      <c r="S449" s="45"/>
      <c r="T449" s="29" t="str">
        <f t="shared" si="43"/>
        <v/>
      </c>
    </row>
    <row r="450" spans="1:20">
      <c r="A450" s="10" t="str">
        <f t="shared" si="48"/>
        <v/>
      </c>
      <c r="B450" s="63"/>
      <c r="C450" s="25" t="str">
        <f t="shared" si="44"/>
        <v/>
      </c>
      <c r="D450" s="25" t="str">
        <f t="shared" si="45"/>
        <v/>
      </c>
      <c r="E450" s="45"/>
      <c r="F450" s="28" t="str">
        <f>IFERROR(VLOOKUP(E450,Category!$D$2:$E$600,2,FALSE),"")</f>
        <v/>
      </c>
      <c r="G450" s="65"/>
      <c r="H450" s="56"/>
      <c r="I450" s="66"/>
      <c r="J450" s="67"/>
      <c r="K450" s="67"/>
      <c r="L450" s="67"/>
      <c r="M450" s="29" t="str">
        <f t="shared" si="46"/>
        <v/>
      </c>
      <c r="N450" s="29" t="str">
        <f t="shared" si="47"/>
        <v/>
      </c>
      <c r="O450" s="29" t="str">
        <f t="shared" ref="O450:O513" si="49">IF(H450*I450=0,"",H450*I450)</f>
        <v/>
      </c>
      <c r="P450" s="61"/>
      <c r="Q450" s="61"/>
      <c r="R450" s="61"/>
      <c r="S450" s="45"/>
      <c r="T450" s="29" t="str">
        <f t="shared" ref="T450:T513" si="50">IF(R450="paid",(H450*I450)-(G450*H450),"")</f>
        <v/>
      </c>
    </row>
    <row r="451" spans="1:20">
      <c r="A451" s="10" t="str">
        <f t="shared" si="48"/>
        <v/>
      </c>
      <c r="B451" s="63"/>
      <c r="C451" s="25" t="str">
        <f t="shared" ref="C451:C514" si="51">IF(B451=0,"",TEXT(B451,"mmmm"))</f>
        <v/>
      </c>
      <c r="D451" s="25" t="str">
        <f t="shared" ref="D451:D514" si="52">IF(B451=0,"",TEXT(B451,"yyyy"))</f>
        <v/>
      </c>
      <c r="E451" s="45"/>
      <c r="F451" s="28" t="str">
        <f>IFERROR(VLOOKUP(E451,Category!$D$2:$E$600,2,FALSE),"")</f>
        <v/>
      </c>
      <c r="G451" s="65"/>
      <c r="H451" s="56"/>
      <c r="I451" s="66"/>
      <c r="J451" s="67"/>
      <c r="K451" s="67"/>
      <c r="L451" s="67"/>
      <c r="M451" s="29" t="str">
        <f t="shared" ref="M451:M514" si="53">IFERROR(IF(O451&gt;0,IF(R451="Paid","",O451-J451),""),"")</f>
        <v/>
      </c>
      <c r="N451" s="29" t="str">
        <f t="shared" ref="N451:N514" si="54">IF(J451&gt;0,IF(R451="Paid",O451-J451,""),"")</f>
        <v/>
      </c>
      <c r="O451" s="29" t="str">
        <f t="shared" si="49"/>
        <v/>
      </c>
      <c r="P451" s="61"/>
      <c r="Q451" s="61"/>
      <c r="R451" s="61"/>
      <c r="S451" s="45"/>
      <c r="T451" s="29" t="str">
        <f t="shared" si="50"/>
        <v/>
      </c>
    </row>
    <row r="452" spans="1:20">
      <c r="A452" s="10" t="str">
        <f t="shared" ref="A452:A515" si="55">IF(E452&gt;0,A451+1,"")</f>
        <v/>
      </c>
      <c r="B452" s="63"/>
      <c r="C452" s="25" t="str">
        <f t="shared" si="51"/>
        <v/>
      </c>
      <c r="D452" s="25" t="str">
        <f t="shared" si="52"/>
        <v/>
      </c>
      <c r="E452" s="45"/>
      <c r="F452" s="28" t="str">
        <f>IFERROR(VLOOKUP(E452,Category!$D$2:$E$600,2,FALSE),"")</f>
        <v/>
      </c>
      <c r="G452" s="65"/>
      <c r="H452" s="56"/>
      <c r="I452" s="66"/>
      <c r="J452" s="67"/>
      <c r="K452" s="67"/>
      <c r="L452" s="67"/>
      <c r="M452" s="29" t="str">
        <f t="shared" si="53"/>
        <v/>
      </c>
      <c r="N452" s="29" t="str">
        <f t="shared" si="54"/>
        <v/>
      </c>
      <c r="O452" s="29" t="str">
        <f t="shared" si="49"/>
        <v/>
      </c>
      <c r="P452" s="61"/>
      <c r="Q452" s="61"/>
      <c r="R452" s="61"/>
      <c r="S452" s="45"/>
      <c r="T452" s="29" t="str">
        <f t="shared" si="50"/>
        <v/>
      </c>
    </row>
    <row r="453" spans="1:20">
      <c r="A453" s="10" t="str">
        <f t="shared" si="55"/>
        <v/>
      </c>
      <c r="B453" s="63"/>
      <c r="C453" s="25" t="str">
        <f t="shared" si="51"/>
        <v/>
      </c>
      <c r="D453" s="25" t="str">
        <f t="shared" si="52"/>
        <v/>
      </c>
      <c r="E453" s="45"/>
      <c r="F453" s="28" t="str">
        <f>IFERROR(VLOOKUP(E453,Category!$D$2:$E$600,2,FALSE),"")</f>
        <v/>
      </c>
      <c r="G453" s="65"/>
      <c r="H453" s="56"/>
      <c r="I453" s="66"/>
      <c r="J453" s="67"/>
      <c r="K453" s="67"/>
      <c r="L453" s="67"/>
      <c r="M453" s="29" t="str">
        <f t="shared" si="53"/>
        <v/>
      </c>
      <c r="N453" s="29" t="str">
        <f t="shared" si="54"/>
        <v/>
      </c>
      <c r="O453" s="29" t="str">
        <f t="shared" si="49"/>
        <v/>
      </c>
      <c r="P453" s="61"/>
      <c r="Q453" s="61"/>
      <c r="R453" s="61"/>
      <c r="S453" s="45"/>
      <c r="T453" s="29" t="str">
        <f t="shared" si="50"/>
        <v/>
      </c>
    </row>
    <row r="454" spans="1:20">
      <c r="A454" s="10" t="str">
        <f t="shared" si="55"/>
        <v/>
      </c>
      <c r="B454" s="63"/>
      <c r="C454" s="25" t="str">
        <f t="shared" si="51"/>
        <v/>
      </c>
      <c r="D454" s="25" t="str">
        <f t="shared" si="52"/>
        <v/>
      </c>
      <c r="E454" s="45"/>
      <c r="F454" s="28" t="str">
        <f>IFERROR(VLOOKUP(E454,Category!$D$2:$E$600,2,FALSE),"")</f>
        <v/>
      </c>
      <c r="G454" s="65"/>
      <c r="H454" s="56"/>
      <c r="I454" s="66"/>
      <c r="J454" s="67"/>
      <c r="K454" s="67"/>
      <c r="L454" s="67"/>
      <c r="M454" s="29" t="str">
        <f t="shared" si="53"/>
        <v/>
      </c>
      <c r="N454" s="29" t="str">
        <f t="shared" si="54"/>
        <v/>
      </c>
      <c r="O454" s="29" t="str">
        <f t="shared" si="49"/>
        <v/>
      </c>
      <c r="P454" s="61"/>
      <c r="Q454" s="61"/>
      <c r="R454" s="61"/>
      <c r="S454" s="45"/>
      <c r="T454" s="29" t="str">
        <f t="shared" si="50"/>
        <v/>
      </c>
    </row>
    <row r="455" spans="1:20">
      <c r="A455" s="10" t="str">
        <f t="shared" si="55"/>
        <v/>
      </c>
      <c r="B455" s="63"/>
      <c r="C455" s="25" t="str">
        <f t="shared" si="51"/>
        <v/>
      </c>
      <c r="D455" s="25" t="str">
        <f t="shared" si="52"/>
        <v/>
      </c>
      <c r="E455" s="45"/>
      <c r="F455" s="28" t="str">
        <f>IFERROR(VLOOKUP(E455,Category!$D$2:$E$600,2,FALSE),"")</f>
        <v/>
      </c>
      <c r="G455" s="65"/>
      <c r="H455" s="56"/>
      <c r="I455" s="66"/>
      <c r="J455" s="67"/>
      <c r="K455" s="67"/>
      <c r="L455" s="67"/>
      <c r="M455" s="29" t="str">
        <f t="shared" si="53"/>
        <v/>
      </c>
      <c r="N455" s="29" t="str">
        <f t="shared" si="54"/>
        <v/>
      </c>
      <c r="O455" s="29" t="str">
        <f t="shared" si="49"/>
        <v/>
      </c>
      <c r="P455" s="61"/>
      <c r="Q455" s="61"/>
      <c r="R455" s="61"/>
      <c r="S455" s="45"/>
      <c r="T455" s="29" t="str">
        <f t="shared" si="50"/>
        <v/>
      </c>
    </row>
    <row r="456" spans="1:20">
      <c r="A456" s="10" t="str">
        <f t="shared" si="55"/>
        <v/>
      </c>
      <c r="B456" s="63"/>
      <c r="C456" s="25" t="str">
        <f t="shared" si="51"/>
        <v/>
      </c>
      <c r="D456" s="25" t="str">
        <f t="shared" si="52"/>
        <v/>
      </c>
      <c r="E456" s="45"/>
      <c r="F456" s="28" t="str">
        <f>IFERROR(VLOOKUP(E456,Category!$D$2:$E$600,2,FALSE),"")</f>
        <v/>
      </c>
      <c r="G456" s="65"/>
      <c r="H456" s="56"/>
      <c r="I456" s="66"/>
      <c r="J456" s="67"/>
      <c r="K456" s="67"/>
      <c r="L456" s="67"/>
      <c r="M456" s="29" t="str">
        <f t="shared" si="53"/>
        <v/>
      </c>
      <c r="N456" s="29" t="str">
        <f t="shared" si="54"/>
        <v/>
      </c>
      <c r="O456" s="29" t="str">
        <f t="shared" si="49"/>
        <v/>
      </c>
      <c r="P456" s="61"/>
      <c r="Q456" s="61"/>
      <c r="R456" s="61"/>
      <c r="S456" s="45"/>
      <c r="T456" s="29" t="str">
        <f t="shared" si="50"/>
        <v/>
      </c>
    </row>
    <row r="457" spans="1:20">
      <c r="A457" s="10" t="str">
        <f t="shared" si="55"/>
        <v/>
      </c>
      <c r="B457" s="63"/>
      <c r="C457" s="25" t="str">
        <f t="shared" si="51"/>
        <v/>
      </c>
      <c r="D457" s="25" t="str">
        <f t="shared" si="52"/>
        <v/>
      </c>
      <c r="E457" s="45"/>
      <c r="F457" s="28" t="str">
        <f>IFERROR(VLOOKUP(E457,Category!$D$2:$E$600,2,FALSE),"")</f>
        <v/>
      </c>
      <c r="G457" s="65"/>
      <c r="H457" s="56"/>
      <c r="I457" s="66"/>
      <c r="J457" s="67"/>
      <c r="K457" s="67"/>
      <c r="L457" s="67"/>
      <c r="M457" s="29" t="str">
        <f t="shared" si="53"/>
        <v/>
      </c>
      <c r="N457" s="29" t="str">
        <f t="shared" si="54"/>
        <v/>
      </c>
      <c r="O457" s="29" t="str">
        <f t="shared" si="49"/>
        <v/>
      </c>
      <c r="P457" s="61"/>
      <c r="Q457" s="61"/>
      <c r="R457" s="61"/>
      <c r="S457" s="45"/>
      <c r="T457" s="29" t="str">
        <f t="shared" si="50"/>
        <v/>
      </c>
    </row>
    <row r="458" spans="1:20">
      <c r="A458" s="10" t="str">
        <f t="shared" si="55"/>
        <v/>
      </c>
      <c r="B458" s="63"/>
      <c r="C458" s="25" t="str">
        <f t="shared" si="51"/>
        <v/>
      </c>
      <c r="D458" s="25" t="str">
        <f t="shared" si="52"/>
        <v/>
      </c>
      <c r="E458" s="45"/>
      <c r="F458" s="28" t="str">
        <f>IFERROR(VLOOKUP(E458,Category!$D$2:$E$600,2,FALSE),"")</f>
        <v/>
      </c>
      <c r="G458" s="65"/>
      <c r="H458" s="56"/>
      <c r="I458" s="66"/>
      <c r="J458" s="67"/>
      <c r="K458" s="67"/>
      <c r="L458" s="67"/>
      <c r="M458" s="29" t="str">
        <f t="shared" si="53"/>
        <v/>
      </c>
      <c r="N458" s="29" t="str">
        <f t="shared" si="54"/>
        <v/>
      </c>
      <c r="O458" s="29" t="str">
        <f t="shared" si="49"/>
        <v/>
      </c>
      <c r="P458" s="61"/>
      <c r="Q458" s="61"/>
      <c r="R458" s="61"/>
      <c r="S458" s="45"/>
      <c r="T458" s="29" t="str">
        <f t="shared" si="50"/>
        <v/>
      </c>
    </row>
    <row r="459" spans="1:20">
      <c r="A459" s="10" t="str">
        <f t="shared" si="55"/>
        <v/>
      </c>
      <c r="B459" s="63"/>
      <c r="C459" s="25" t="str">
        <f t="shared" si="51"/>
        <v/>
      </c>
      <c r="D459" s="25" t="str">
        <f t="shared" si="52"/>
        <v/>
      </c>
      <c r="E459" s="45"/>
      <c r="F459" s="28" t="str">
        <f>IFERROR(VLOOKUP(E459,Category!$D$2:$E$600,2,FALSE),"")</f>
        <v/>
      </c>
      <c r="G459" s="65"/>
      <c r="H459" s="56"/>
      <c r="I459" s="66"/>
      <c r="J459" s="67"/>
      <c r="K459" s="67"/>
      <c r="L459" s="67"/>
      <c r="M459" s="29" t="str">
        <f t="shared" si="53"/>
        <v/>
      </c>
      <c r="N459" s="29" t="str">
        <f t="shared" si="54"/>
        <v/>
      </c>
      <c r="O459" s="29" t="str">
        <f t="shared" si="49"/>
        <v/>
      </c>
      <c r="P459" s="61"/>
      <c r="Q459" s="61"/>
      <c r="R459" s="61"/>
      <c r="S459" s="45"/>
      <c r="T459" s="29" t="str">
        <f t="shared" si="50"/>
        <v/>
      </c>
    </row>
    <row r="460" spans="1:20">
      <c r="A460" s="10" t="str">
        <f t="shared" si="55"/>
        <v/>
      </c>
      <c r="B460" s="63"/>
      <c r="C460" s="25" t="str">
        <f t="shared" si="51"/>
        <v/>
      </c>
      <c r="D460" s="25" t="str">
        <f t="shared" si="52"/>
        <v/>
      </c>
      <c r="E460" s="45"/>
      <c r="F460" s="28" t="str">
        <f>IFERROR(VLOOKUP(E460,Category!$D$2:$E$600,2,FALSE),"")</f>
        <v/>
      </c>
      <c r="G460" s="65"/>
      <c r="H460" s="56"/>
      <c r="I460" s="66"/>
      <c r="J460" s="67"/>
      <c r="K460" s="67"/>
      <c r="L460" s="67"/>
      <c r="M460" s="29" t="str">
        <f t="shared" si="53"/>
        <v/>
      </c>
      <c r="N460" s="29" t="str">
        <f t="shared" si="54"/>
        <v/>
      </c>
      <c r="O460" s="29" t="str">
        <f t="shared" si="49"/>
        <v/>
      </c>
      <c r="P460" s="61"/>
      <c r="Q460" s="61"/>
      <c r="R460" s="61"/>
      <c r="S460" s="45"/>
      <c r="T460" s="29" t="str">
        <f t="shared" si="50"/>
        <v/>
      </c>
    </row>
    <row r="461" spans="1:20">
      <c r="A461" s="10" t="str">
        <f t="shared" si="55"/>
        <v/>
      </c>
      <c r="B461" s="63"/>
      <c r="C461" s="25" t="str">
        <f t="shared" si="51"/>
        <v/>
      </c>
      <c r="D461" s="25" t="str">
        <f t="shared" si="52"/>
        <v/>
      </c>
      <c r="E461" s="45"/>
      <c r="F461" s="28" t="str">
        <f>IFERROR(VLOOKUP(E461,Category!$D$2:$E$600,2,FALSE),"")</f>
        <v/>
      </c>
      <c r="G461" s="65"/>
      <c r="H461" s="56"/>
      <c r="I461" s="66"/>
      <c r="J461" s="67"/>
      <c r="K461" s="67"/>
      <c r="L461" s="67"/>
      <c r="M461" s="29" t="str">
        <f t="shared" si="53"/>
        <v/>
      </c>
      <c r="N461" s="29" t="str">
        <f t="shared" si="54"/>
        <v/>
      </c>
      <c r="O461" s="29" t="str">
        <f t="shared" si="49"/>
        <v/>
      </c>
      <c r="P461" s="61"/>
      <c r="Q461" s="61"/>
      <c r="R461" s="61"/>
      <c r="S461" s="45"/>
      <c r="T461" s="29" t="str">
        <f t="shared" si="50"/>
        <v/>
      </c>
    </row>
    <row r="462" spans="1:20">
      <c r="A462" s="10" t="str">
        <f t="shared" si="55"/>
        <v/>
      </c>
      <c r="B462" s="63"/>
      <c r="C462" s="25" t="str">
        <f t="shared" si="51"/>
        <v/>
      </c>
      <c r="D462" s="25" t="str">
        <f t="shared" si="52"/>
        <v/>
      </c>
      <c r="E462" s="45"/>
      <c r="F462" s="28" t="str">
        <f>IFERROR(VLOOKUP(E462,Category!$D$2:$E$600,2,FALSE),"")</f>
        <v/>
      </c>
      <c r="G462" s="65"/>
      <c r="H462" s="56"/>
      <c r="I462" s="66"/>
      <c r="J462" s="67"/>
      <c r="K462" s="67"/>
      <c r="L462" s="67"/>
      <c r="M462" s="29" t="str">
        <f t="shared" si="53"/>
        <v/>
      </c>
      <c r="N462" s="29" t="str">
        <f t="shared" si="54"/>
        <v/>
      </c>
      <c r="O462" s="29" t="str">
        <f t="shared" si="49"/>
        <v/>
      </c>
      <c r="P462" s="61"/>
      <c r="Q462" s="61"/>
      <c r="R462" s="61"/>
      <c r="S462" s="45"/>
      <c r="T462" s="29" t="str">
        <f t="shared" si="50"/>
        <v/>
      </c>
    </row>
    <row r="463" spans="1:20">
      <c r="A463" s="10" t="str">
        <f t="shared" si="55"/>
        <v/>
      </c>
      <c r="B463" s="63"/>
      <c r="C463" s="25" t="str">
        <f t="shared" si="51"/>
        <v/>
      </c>
      <c r="D463" s="25" t="str">
        <f t="shared" si="52"/>
        <v/>
      </c>
      <c r="E463" s="45"/>
      <c r="F463" s="28" t="str">
        <f>IFERROR(VLOOKUP(E463,Category!$D$2:$E$600,2,FALSE),"")</f>
        <v/>
      </c>
      <c r="G463" s="65"/>
      <c r="H463" s="56"/>
      <c r="I463" s="66"/>
      <c r="J463" s="67"/>
      <c r="K463" s="67"/>
      <c r="L463" s="67"/>
      <c r="M463" s="29" t="str">
        <f t="shared" si="53"/>
        <v/>
      </c>
      <c r="N463" s="29" t="str">
        <f t="shared" si="54"/>
        <v/>
      </c>
      <c r="O463" s="29" t="str">
        <f t="shared" si="49"/>
        <v/>
      </c>
      <c r="P463" s="61"/>
      <c r="Q463" s="61"/>
      <c r="R463" s="61"/>
      <c r="S463" s="45"/>
      <c r="T463" s="29" t="str">
        <f t="shared" si="50"/>
        <v/>
      </c>
    </row>
    <row r="464" spans="1:20">
      <c r="A464" s="10" t="str">
        <f t="shared" si="55"/>
        <v/>
      </c>
      <c r="B464" s="63"/>
      <c r="C464" s="25" t="str">
        <f t="shared" si="51"/>
        <v/>
      </c>
      <c r="D464" s="25" t="str">
        <f t="shared" si="52"/>
        <v/>
      </c>
      <c r="E464" s="45"/>
      <c r="F464" s="28" t="str">
        <f>IFERROR(VLOOKUP(E464,Category!$D$2:$E$600,2,FALSE),"")</f>
        <v/>
      </c>
      <c r="G464" s="65"/>
      <c r="H464" s="56"/>
      <c r="I464" s="66"/>
      <c r="J464" s="67"/>
      <c r="K464" s="67"/>
      <c r="L464" s="67"/>
      <c r="M464" s="29" t="str">
        <f t="shared" si="53"/>
        <v/>
      </c>
      <c r="N464" s="29" t="str">
        <f t="shared" si="54"/>
        <v/>
      </c>
      <c r="O464" s="29" t="str">
        <f t="shared" si="49"/>
        <v/>
      </c>
      <c r="P464" s="61"/>
      <c r="Q464" s="61"/>
      <c r="R464" s="61"/>
      <c r="S464" s="45"/>
      <c r="T464" s="29" t="str">
        <f t="shared" si="50"/>
        <v/>
      </c>
    </row>
    <row r="465" spans="1:20">
      <c r="A465" s="10" t="str">
        <f t="shared" si="55"/>
        <v/>
      </c>
      <c r="B465" s="63"/>
      <c r="C465" s="25" t="str">
        <f t="shared" si="51"/>
        <v/>
      </c>
      <c r="D465" s="25" t="str">
        <f t="shared" si="52"/>
        <v/>
      </c>
      <c r="E465" s="45"/>
      <c r="F465" s="28" t="str">
        <f>IFERROR(VLOOKUP(E465,Category!$D$2:$E$600,2,FALSE),"")</f>
        <v/>
      </c>
      <c r="G465" s="65"/>
      <c r="H465" s="56"/>
      <c r="I465" s="66"/>
      <c r="J465" s="67"/>
      <c r="K465" s="67"/>
      <c r="L465" s="67"/>
      <c r="M465" s="29" t="str">
        <f t="shared" si="53"/>
        <v/>
      </c>
      <c r="N465" s="29" t="str">
        <f t="shared" si="54"/>
        <v/>
      </c>
      <c r="O465" s="29" t="str">
        <f t="shared" si="49"/>
        <v/>
      </c>
      <c r="P465" s="61"/>
      <c r="Q465" s="61"/>
      <c r="R465" s="61"/>
      <c r="S465" s="45"/>
      <c r="T465" s="29" t="str">
        <f t="shared" si="50"/>
        <v/>
      </c>
    </row>
    <row r="466" spans="1:20">
      <c r="A466" s="10" t="str">
        <f t="shared" si="55"/>
        <v/>
      </c>
      <c r="B466" s="63"/>
      <c r="C466" s="25" t="str">
        <f t="shared" si="51"/>
        <v/>
      </c>
      <c r="D466" s="25" t="str">
        <f t="shared" si="52"/>
        <v/>
      </c>
      <c r="E466" s="45"/>
      <c r="F466" s="28" t="str">
        <f>IFERROR(VLOOKUP(E466,Category!$D$2:$E$600,2,FALSE),"")</f>
        <v/>
      </c>
      <c r="G466" s="65"/>
      <c r="H466" s="56"/>
      <c r="I466" s="66"/>
      <c r="J466" s="67"/>
      <c r="K466" s="67"/>
      <c r="L466" s="67"/>
      <c r="M466" s="29" t="str">
        <f t="shared" si="53"/>
        <v/>
      </c>
      <c r="N466" s="29" t="str">
        <f t="shared" si="54"/>
        <v/>
      </c>
      <c r="O466" s="29" t="str">
        <f t="shared" si="49"/>
        <v/>
      </c>
      <c r="P466" s="61"/>
      <c r="Q466" s="61"/>
      <c r="R466" s="61"/>
      <c r="S466" s="45"/>
      <c r="T466" s="29" t="str">
        <f t="shared" si="50"/>
        <v/>
      </c>
    </row>
    <row r="467" spans="1:20">
      <c r="A467" s="10" t="str">
        <f t="shared" si="55"/>
        <v/>
      </c>
      <c r="B467" s="63"/>
      <c r="C467" s="25" t="str">
        <f t="shared" si="51"/>
        <v/>
      </c>
      <c r="D467" s="25" t="str">
        <f t="shared" si="52"/>
        <v/>
      </c>
      <c r="E467" s="45"/>
      <c r="F467" s="28" t="str">
        <f>IFERROR(VLOOKUP(E467,Category!$D$2:$E$600,2,FALSE),"")</f>
        <v/>
      </c>
      <c r="G467" s="65"/>
      <c r="H467" s="56"/>
      <c r="I467" s="66"/>
      <c r="J467" s="67"/>
      <c r="K467" s="67"/>
      <c r="L467" s="67"/>
      <c r="M467" s="29" t="str">
        <f t="shared" si="53"/>
        <v/>
      </c>
      <c r="N467" s="29" t="str">
        <f t="shared" si="54"/>
        <v/>
      </c>
      <c r="O467" s="29" t="str">
        <f t="shared" si="49"/>
        <v/>
      </c>
      <c r="P467" s="61"/>
      <c r="Q467" s="61"/>
      <c r="R467" s="61"/>
      <c r="S467" s="45"/>
      <c r="T467" s="29" t="str">
        <f t="shared" si="50"/>
        <v/>
      </c>
    </row>
    <row r="468" spans="1:20">
      <c r="A468" s="10" t="str">
        <f t="shared" si="55"/>
        <v/>
      </c>
      <c r="B468" s="63"/>
      <c r="C468" s="25" t="str">
        <f t="shared" si="51"/>
        <v/>
      </c>
      <c r="D468" s="25" t="str">
        <f t="shared" si="52"/>
        <v/>
      </c>
      <c r="E468" s="45"/>
      <c r="F468" s="28" t="str">
        <f>IFERROR(VLOOKUP(E468,Category!$D$2:$E$600,2,FALSE),"")</f>
        <v/>
      </c>
      <c r="G468" s="65"/>
      <c r="H468" s="56"/>
      <c r="I468" s="66"/>
      <c r="J468" s="67"/>
      <c r="K468" s="67"/>
      <c r="L468" s="67"/>
      <c r="M468" s="29" t="str">
        <f t="shared" si="53"/>
        <v/>
      </c>
      <c r="N468" s="29" t="str">
        <f t="shared" si="54"/>
        <v/>
      </c>
      <c r="O468" s="29" t="str">
        <f t="shared" si="49"/>
        <v/>
      </c>
      <c r="P468" s="61"/>
      <c r="Q468" s="61"/>
      <c r="R468" s="61"/>
      <c r="S468" s="45"/>
      <c r="T468" s="29" t="str">
        <f t="shared" si="50"/>
        <v/>
      </c>
    </row>
    <row r="469" spans="1:20">
      <c r="A469" s="10" t="str">
        <f t="shared" si="55"/>
        <v/>
      </c>
      <c r="B469" s="63"/>
      <c r="C469" s="25" t="str">
        <f t="shared" si="51"/>
        <v/>
      </c>
      <c r="D469" s="25" t="str">
        <f t="shared" si="52"/>
        <v/>
      </c>
      <c r="E469" s="45"/>
      <c r="F469" s="28" t="str">
        <f>IFERROR(VLOOKUP(E469,Category!$D$2:$E$600,2,FALSE),"")</f>
        <v/>
      </c>
      <c r="G469" s="65"/>
      <c r="H469" s="56"/>
      <c r="I469" s="66"/>
      <c r="J469" s="67"/>
      <c r="K469" s="67"/>
      <c r="L469" s="67"/>
      <c r="M469" s="29" t="str">
        <f t="shared" si="53"/>
        <v/>
      </c>
      <c r="N469" s="29" t="str">
        <f t="shared" si="54"/>
        <v/>
      </c>
      <c r="O469" s="29" t="str">
        <f t="shared" si="49"/>
        <v/>
      </c>
      <c r="P469" s="61"/>
      <c r="Q469" s="61"/>
      <c r="R469" s="61"/>
      <c r="S469" s="45"/>
      <c r="T469" s="29" t="str">
        <f t="shared" si="50"/>
        <v/>
      </c>
    </row>
    <row r="470" spans="1:20">
      <c r="A470" s="10" t="str">
        <f t="shared" si="55"/>
        <v/>
      </c>
      <c r="B470" s="63"/>
      <c r="C470" s="25" t="str">
        <f t="shared" si="51"/>
        <v/>
      </c>
      <c r="D470" s="25" t="str">
        <f t="shared" si="52"/>
        <v/>
      </c>
      <c r="E470" s="45"/>
      <c r="F470" s="28" t="str">
        <f>IFERROR(VLOOKUP(E470,Category!$D$2:$E$600,2,FALSE),"")</f>
        <v/>
      </c>
      <c r="G470" s="65"/>
      <c r="H470" s="56"/>
      <c r="I470" s="66"/>
      <c r="J470" s="67"/>
      <c r="K470" s="67"/>
      <c r="L470" s="67"/>
      <c r="M470" s="29" t="str">
        <f t="shared" si="53"/>
        <v/>
      </c>
      <c r="N470" s="29" t="str">
        <f t="shared" si="54"/>
        <v/>
      </c>
      <c r="O470" s="29" t="str">
        <f t="shared" si="49"/>
        <v/>
      </c>
      <c r="P470" s="61"/>
      <c r="Q470" s="61"/>
      <c r="R470" s="61"/>
      <c r="S470" s="45"/>
      <c r="T470" s="29" t="str">
        <f t="shared" si="50"/>
        <v/>
      </c>
    </row>
    <row r="471" spans="1:20">
      <c r="A471" s="10" t="str">
        <f t="shared" si="55"/>
        <v/>
      </c>
      <c r="B471" s="63"/>
      <c r="C471" s="25" t="str">
        <f t="shared" si="51"/>
        <v/>
      </c>
      <c r="D471" s="25" t="str">
        <f t="shared" si="52"/>
        <v/>
      </c>
      <c r="E471" s="45"/>
      <c r="F471" s="28" t="str">
        <f>IFERROR(VLOOKUP(E471,Category!$D$2:$E$600,2,FALSE),"")</f>
        <v/>
      </c>
      <c r="G471" s="65"/>
      <c r="H471" s="56"/>
      <c r="I471" s="66"/>
      <c r="J471" s="67"/>
      <c r="K471" s="67"/>
      <c r="L471" s="67"/>
      <c r="M471" s="29" t="str">
        <f t="shared" si="53"/>
        <v/>
      </c>
      <c r="N471" s="29" t="str">
        <f t="shared" si="54"/>
        <v/>
      </c>
      <c r="O471" s="29" t="str">
        <f t="shared" si="49"/>
        <v/>
      </c>
      <c r="P471" s="61"/>
      <c r="Q471" s="61"/>
      <c r="R471" s="61"/>
      <c r="S471" s="45"/>
      <c r="T471" s="29" t="str">
        <f t="shared" si="50"/>
        <v/>
      </c>
    </row>
    <row r="472" spans="1:20">
      <c r="A472" s="10" t="str">
        <f t="shared" si="55"/>
        <v/>
      </c>
      <c r="B472" s="63"/>
      <c r="C472" s="25" t="str">
        <f t="shared" si="51"/>
        <v/>
      </c>
      <c r="D472" s="25" t="str">
        <f t="shared" si="52"/>
        <v/>
      </c>
      <c r="E472" s="45"/>
      <c r="F472" s="28" t="str">
        <f>IFERROR(VLOOKUP(E472,Category!$D$2:$E$600,2,FALSE),"")</f>
        <v/>
      </c>
      <c r="G472" s="65"/>
      <c r="H472" s="56"/>
      <c r="I472" s="66"/>
      <c r="J472" s="67"/>
      <c r="K472" s="67"/>
      <c r="L472" s="67"/>
      <c r="M472" s="29" t="str">
        <f t="shared" si="53"/>
        <v/>
      </c>
      <c r="N472" s="29" t="str">
        <f t="shared" si="54"/>
        <v/>
      </c>
      <c r="O472" s="29" t="str">
        <f t="shared" si="49"/>
        <v/>
      </c>
      <c r="P472" s="61"/>
      <c r="Q472" s="61"/>
      <c r="R472" s="61"/>
      <c r="S472" s="45"/>
      <c r="T472" s="29" t="str">
        <f t="shared" si="50"/>
        <v/>
      </c>
    </row>
    <row r="473" spans="1:20">
      <c r="A473" s="10" t="str">
        <f t="shared" si="55"/>
        <v/>
      </c>
      <c r="B473" s="63"/>
      <c r="C473" s="25" t="str">
        <f t="shared" si="51"/>
        <v/>
      </c>
      <c r="D473" s="25" t="str">
        <f t="shared" si="52"/>
        <v/>
      </c>
      <c r="E473" s="45"/>
      <c r="F473" s="28" t="str">
        <f>IFERROR(VLOOKUP(E473,Category!$D$2:$E$600,2,FALSE),"")</f>
        <v/>
      </c>
      <c r="G473" s="65"/>
      <c r="H473" s="56"/>
      <c r="I473" s="66"/>
      <c r="J473" s="67"/>
      <c r="K473" s="67"/>
      <c r="L473" s="67"/>
      <c r="M473" s="29" t="str">
        <f t="shared" si="53"/>
        <v/>
      </c>
      <c r="N473" s="29" t="str">
        <f t="shared" si="54"/>
        <v/>
      </c>
      <c r="O473" s="29" t="str">
        <f t="shared" si="49"/>
        <v/>
      </c>
      <c r="P473" s="61"/>
      <c r="Q473" s="61"/>
      <c r="R473" s="61"/>
      <c r="S473" s="45"/>
      <c r="T473" s="29" t="str">
        <f t="shared" si="50"/>
        <v/>
      </c>
    </row>
    <row r="474" spans="1:20">
      <c r="A474" s="10" t="str">
        <f t="shared" si="55"/>
        <v/>
      </c>
      <c r="B474" s="63"/>
      <c r="C474" s="25" t="str">
        <f t="shared" si="51"/>
        <v/>
      </c>
      <c r="D474" s="25" t="str">
        <f t="shared" si="52"/>
        <v/>
      </c>
      <c r="E474" s="45"/>
      <c r="F474" s="28" t="str">
        <f>IFERROR(VLOOKUP(E474,Category!$D$2:$E$600,2,FALSE),"")</f>
        <v/>
      </c>
      <c r="G474" s="65"/>
      <c r="H474" s="56"/>
      <c r="I474" s="66"/>
      <c r="J474" s="67"/>
      <c r="K474" s="67"/>
      <c r="L474" s="67"/>
      <c r="M474" s="29" t="str">
        <f t="shared" si="53"/>
        <v/>
      </c>
      <c r="N474" s="29" t="str">
        <f t="shared" si="54"/>
        <v/>
      </c>
      <c r="O474" s="29" t="str">
        <f t="shared" si="49"/>
        <v/>
      </c>
      <c r="P474" s="61"/>
      <c r="Q474" s="61"/>
      <c r="R474" s="61"/>
      <c r="S474" s="45"/>
      <c r="T474" s="29" t="str">
        <f t="shared" si="50"/>
        <v/>
      </c>
    </row>
    <row r="475" spans="1:20">
      <c r="A475" s="10" t="str">
        <f t="shared" si="55"/>
        <v/>
      </c>
      <c r="B475" s="63"/>
      <c r="C475" s="25" t="str">
        <f t="shared" si="51"/>
        <v/>
      </c>
      <c r="D475" s="25" t="str">
        <f t="shared" si="52"/>
        <v/>
      </c>
      <c r="E475" s="45"/>
      <c r="F475" s="28" t="str">
        <f>IFERROR(VLOOKUP(E475,Category!$D$2:$E$600,2,FALSE),"")</f>
        <v/>
      </c>
      <c r="G475" s="65"/>
      <c r="H475" s="56"/>
      <c r="I475" s="66"/>
      <c r="J475" s="67"/>
      <c r="K475" s="67"/>
      <c r="L475" s="67"/>
      <c r="M475" s="29" t="str">
        <f t="shared" si="53"/>
        <v/>
      </c>
      <c r="N475" s="29" t="str">
        <f t="shared" si="54"/>
        <v/>
      </c>
      <c r="O475" s="29" t="str">
        <f t="shared" si="49"/>
        <v/>
      </c>
      <c r="P475" s="61"/>
      <c r="Q475" s="61"/>
      <c r="R475" s="61"/>
      <c r="S475" s="45"/>
      <c r="T475" s="29" t="str">
        <f t="shared" si="50"/>
        <v/>
      </c>
    </row>
    <row r="476" spans="1:20">
      <c r="A476" s="10" t="str">
        <f t="shared" si="55"/>
        <v/>
      </c>
      <c r="B476" s="63"/>
      <c r="C476" s="25" t="str">
        <f t="shared" si="51"/>
        <v/>
      </c>
      <c r="D476" s="25" t="str">
        <f t="shared" si="52"/>
        <v/>
      </c>
      <c r="E476" s="45"/>
      <c r="F476" s="28" t="str">
        <f>IFERROR(VLOOKUP(E476,Category!$D$2:$E$600,2,FALSE),"")</f>
        <v/>
      </c>
      <c r="G476" s="65"/>
      <c r="H476" s="56"/>
      <c r="I476" s="66"/>
      <c r="J476" s="67"/>
      <c r="K476" s="67"/>
      <c r="L476" s="67"/>
      <c r="M476" s="29" t="str">
        <f t="shared" si="53"/>
        <v/>
      </c>
      <c r="N476" s="29" t="str">
        <f t="shared" si="54"/>
        <v/>
      </c>
      <c r="O476" s="29" t="str">
        <f t="shared" si="49"/>
        <v/>
      </c>
      <c r="P476" s="61"/>
      <c r="Q476" s="61"/>
      <c r="R476" s="61"/>
      <c r="S476" s="45"/>
      <c r="T476" s="29" t="str">
        <f t="shared" si="50"/>
        <v/>
      </c>
    </row>
    <row r="477" spans="1:20">
      <c r="A477" s="10" t="str">
        <f t="shared" si="55"/>
        <v/>
      </c>
      <c r="B477" s="63"/>
      <c r="C477" s="25" t="str">
        <f t="shared" si="51"/>
        <v/>
      </c>
      <c r="D477" s="25" t="str">
        <f t="shared" si="52"/>
        <v/>
      </c>
      <c r="E477" s="45"/>
      <c r="F477" s="28" t="str">
        <f>IFERROR(VLOOKUP(E477,Category!$D$2:$E$600,2,FALSE),"")</f>
        <v/>
      </c>
      <c r="G477" s="65"/>
      <c r="H477" s="56"/>
      <c r="I477" s="66"/>
      <c r="J477" s="67"/>
      <c r="K477" s="67"/>
      <c r="L477" s="67"/>
      <c r="M477" s="29" t="str">
        <f t="shared" si="53"/>
        <v/>
      </c>
      <c r="N477" s="29" t="str">
        <f t="shared" si="54"/>
        <v/>
      </c>
      <c r="O477" s="29" t="str">
        <f t="shared" si="49"/>
        <v/>
      </c>
      <c r="P477" s="61"/>
      <c r="Q477" s="61"/>
      <c r="R477" s="61"/>
      <c r="S477" s="45"/>
      <c r="T477" s="29" t="str">
        <f t="shared" si="50"/>
        <v/>
      </c>
    </row>
    <row r="478" spans="1:20">
      <c r="A478" s="10" t="str">
        <f t="shared" si="55"/>
        <v/>
      </c>
      <c r="B478" s="63"/>
      <c r="C478" s="25" t="str">
        <f t="shared" si="51"/>
        <v/>
      </c>
      <c r="D478" s="25" t="str">
        <f t="shared" si="52"/>
        <v/>
      </c>
      <c r="E478" s="45"/>
      <c r="F478" s="28" t="str">
        <f>IFERROR(VLOOKUP(E478,Category!$D$2:$E$600,2,FALSE),"")</f>
        <v/>
      </c>
      <c r="G478" s="65"/>
      <c r="H478" s="56"/>
      <c r="I478" s="66"/>
      <c r="J478" s="67"/>
      <c r="K478" s="67"/>
      <c r="L478" s="67"/>
      <c r="M478" s="29" t="str">
        <f t="shared" si="53"/>
        <v/>
      </c>
      <c r="N478" s="29" t="str">
        <f t="shared" si="54"/>
        <v/>
      </c>
      <c r="O478" s="29" t="str">
        <f t="shared" si="49"/>
        <v/>
      </c>
      <c r="P478" s="61"/>
      <c r="Q478" s="61"/>
      <c r="R478" s="61"/>
      <c r="S478" s="45"/>
      <c r="T478" s="29" t="str">
        <f t="shared" si="50"/>
        <v/>
      </c>
    </row>
    <row r="479" spans="1:20">
      <c r="A479" s="10" t="str">
        <f t="shared" si="55"/>
        <v/>
      </c>
      <c r="B479" s="63"/>
      <c r="C479" s="25" t="str">
        <f t="shared" si="51"/>
        <v/>
      </c>
      <c r="D479" s="25" t="str">
        <f t="shared" si="52"/>
        <v/>
      </c>
      <c r="E479" s="45"/>
      <c r="F479" s="28" t="str">
        <f>IFERROR(VLOOKUP(E479,Category!$D$2:$E$600,2,FALSE),"")</f>
        <v/>
      </c>
      <c r="G479" s="65"/>
      <c r="H479" s="56"/>
      <c r="I479" s="66"/>
      <c r="J479" s="67"/>
      <c r="K479" s="67"/>
      <c r="L479" s="67"/>
      <c r="M479" s="29" t="str">
        <f t="shared" si="53"/>
        <v/>
      </c>
      <c r="N479" s="29" t="str">
        <f t="shared" si="54"/>
        <v/>
      </c>
      <c r="O479" s="29" t="str">
        <f t="shared" si="49"/>
        <v/>
      </c>
      <c r="P479" s="61"/>
      <c r="Q479" s="61"/>
      <c r="R479" s="61"/>
      <c r="S479" s="45"/>
      <c r="T479" s="29" t="str">
        <f t="shared" si="50"/>
        <v/>
      </c>
    </row>
    <row r="480" spans="1:20">
      <c r="A480" s="10" t="str">
        <f t="shared" si="55"/>
        <v/>
      </c>
      <c r="B480" s="63"/>
      <c r="C480" s="25" t="str">
        <f t="shared" si="51"/>
        <v/>
      </c>
      <c r="D480" s="25" t="str">
        <f t="shared" si="52"/>
        <v/>
      </c>
      <c r="E480" s="45"/>
      <c r="F480" s="28" t="str">
        <f>IFERROR(VLOOKUP(E480,Category!$D$2:$E$600,2,FALSE),"")</f>
        <v/>
      </c>
      <c r="G480" s="65"/>
      <c r="H480" s="56"/>
      <c r="I480" s="66"/>
      <c r="J480" s="67"/>
      <c r="K480" s="67"/>
      <c r="L480" s="67"/>
      <c r="M480" s="29" t="str">
        <f t="shared" si="53"/>
        <v/>
      </c>
      <c r="N480" s="29" t="str">
        <f t="shared" si="54"/>
        <v/>
      </c>
      <c r="O480" s="29" t="str">
        <f t="shared" si="49"/>
        <v/>
      </c>
      <c r="P480" s="61"/>
      <c r="Q480" s="61"/>
      <c r="R480" s="61"/>
      <c r="S480" s="45"/>
      <c r="T480" s="29" t="str">
        <f t="shared" si="50"/>
        <v/>
      </c>
    </row>
    <row r="481" spans="1:20">
      <c r="A481" s="10" t="str">
        <f t="shared" si="55"/>
        <v/>
      </c>
      <c r="B481" s="63"/>
      <c r="C481" s="25" t="str">
        <f t="shared" si="51"/>
        <v/>
      </c>
      <c r="D481" s="25" t="str">
        <f t="shared" si="52"/>
        <v/>
      </c>
      <c r="E481" s="45"/>
      <c r="F481" s="28" t="str">
        <f>IFERROR(VLOOKUP(E481,Category!$D$2:$E$600,2,FALSE),"")</f>
        <v/>
      </c>
      <c r="G481" s="65"/>
      <c r="H481" s="56"/>
      <c r="I481" s="66"/>
      <c r="J481" s="67"/>
      <c r="K481" s="67"/>
      <c r="L481" s="67"/>
      <c r="M481" s="29" t="str">
        <f t="shared" si="53"/>
        <v/>
      </c>
      <c r="N481" s="29" t="str">
        <f t="shared" si="54"/>
        <v/>
      </c>
      <c r="O481" s="29" t="str">
        <f t="shared" si="49"/>
        <v/>
      </c>
      <c r="P481" s="61"/>
      <c r="Q481" s="61"/>
      <c r="R481" s="61"/>
      <c r="S481" s="45"/>
      <c r="T481" s="29" t="str">
        <f t="shared" si="50"/>
        <v/>
      </c>
    </row>
    <row r="482" spans="1:20">
      <c r="A482" s="10" t="str">
        <f t="shared" si="55"/>
        <v/>
      </c>
      <c r="B482" s="63"/>
      <c r="C482" s="25" t="str">
        <f t="shared" si="51"/>
        <v/>
      </c>
      <c r="D482" s="25" t="str">
        <f t="shared" si="52"/>
        <v/>
      </c>
      <c r="E482" s="45"/>
      <c r="F482" s="28" t="str">
        <f>IFERROR(VLOOKUP(E482,Category!$D$2:$E$600,2,FALSE),"")</f>
        <v/>
      </c>
      <c r="G482" s="65"/>
      <c r="H482" s="56"/>
      <c r="I482" s="66"/>
      <c r="J482" s="67"/>
      <c r="K482" s="67"/>
      <c r="L482" s="67"/>
      <c r="M482" s="29" t="str">
        <f t="shared" si="53"/>
        <v/>
      </c>
      <c r="N482" s="29" t="str">
        <f t="shared" si="54"/>
        <v/>
      </c>
      <c r="O482" s="29" t="str">
        <f t="shared" si="49"/>
        <v/>
      </c>
      <c r="P482" s="61"/>
      <c r="Q482" s="61"/>
      <c r="R482" s="61"/>
      <c r="S482" s="45"/>
      <c r="T482" s="29" t="str">
        <f t="shared" si="50"/>
        <v/>
      </c>
    </row>
    <row r="483" spans="1:20">
      <c r="A483" s="10" t="str">
        <f t="shared" si="55"/>
        <v/>
      </c>
      <c r="B483" s="63"/>
      <c r="C483" s="25" t="str">
        <f t="shared" si="51"/>
        <v/>
      </c>
      <c r="D483" s="25" t="str">
        <f t="shared" si="52"/>
        <v/>
      </c>
      <c r="E483" s="45"/>
      <c r="F483" s="28" t="str">
        <f>IFERROR(VLOOKUP(E483,Category!$D$2:$E$600,2,FALSE),"")</f>
        <v/>
      </c>
      <c r="G483" s="65"/>
      <c r="H483" s="56"/>
      <c r="I483" s="66"/>
      <c r="J483" s="67"/>
      <c r="K483" s="67"/>
      <c r="L483" s="67"/>
      <c r="M483" s="29" t="str">
        <f t="shared" si="53"/>
        <v/>
      </c>
      <c r="N483" s="29" t="str">
        <f t="shared" si="54"/>
        <v/>
      </c>
      <c r="O483" s="29" t="str">
        <f t="shared" si="49"/>
        <v/>
      </c>
      <c r="P483" s="61"/>
      <c r="Q483" s="61"/>
      <c r="R483" s="61"/>
      <c r="S483" s="45"/>
      <c r="T483" s="29" t="str">
        <f t="shared" si="50"/>
        <v/>
      </c>
    </row>
    <row r="484" spans="1:20">
      <c r="A484" s="10" t="str">
        <f t="shared" si="55"/>
        <v/>
      </c>
      <c r="B484" s="63"/>
      <c r="C484" s="25" t="str">
        <f t="shared" si="51"/>
        <v/>
      </c>
      <c r="D484" s="25" t="str">
        <f t="shared" si="52"/>
        <v/>
      </c>
      <c r="E484" s="45"/>
      <c r="F484" s="28" t="str">
        <f>IFERROR(VLOOKUP(E484,Category!$D$2:$E$600,2,FALSE),"")</f>
        <v/>
      </c>
      <c r="G484" s="65"/>
      <c r="H484" s="56"/>
      <c r="I484" s="66"/>
      <c r="J484" s="67"/>
      <c r="K484" s="67"/>
      <c r="L484" s="67"/>
      <c r="M484" s="29" t="str">
        <f t="shared" si="53"/>
        <v/>
      </c>
      <c r="N484" s="29" t="str">
        <f t="shared" si="54"/>
        <v/>
      </c>
      <c r="O484" s="29" t="str">
        <f t="shared" si="49"/>
        <v/>
      </c>
      <c r="P484" s="61"/>
      <c r="Q484" s="61"/>
      <c r="R484" s="61"/>
      <c r="S484" s="45"/>
      <c r="T484" s="29" t="str">
        <f t="shared" si="50"/>
        <v/>
      </c>
    </row>
    <row r="485" spans="1:20">
      <c r="A485" s="10" t="str">
        <f t="shared" si="55"/>
        <v/>
      </c>
      <c r="B485" s="63"/>
      <c r="C485" s="25" t="str">
        <f t="shared" si="51"/>
        <v/>
      </c>
      <c r="D485" s="25" t="str">
        <f t="shared" si="52"/>
        <v/>
      </c>
      <c r="E485" s="45"/>
      <c r="F485" s="28" t="str">
        <f>IFERROR(VLOOKUP(E485,Category!$D$2:$E$600,2,FALSE),"")</f>
        <v/>
      </c>
      <c r="G485" s="65"/>
      <c r="H485" s="56"/>
      <c r="I485" s="66"/>
      <c r="J485" s="67"/>
      <c r="K485" s="67"/>
      <c r="L485" s="67"/>
      <c r="M485" s="29" t="str">
        <f t="shared" si="53"/>
        <v/>
      </c>
      <c r="N485" s="29" t="str">
        <f t="shared" si="54"/>
        <v/>
      </c>
      <c r="O485" s="29" t="str">
        <f t="shared" si="49"/>
        <v/>
      </c>
      <c r="P485" s="61"/>
      <c r="Q485" s="61"/>
      <c r="R485" s="61"/>
      <c r="S485" s="45"/>
      <c r="T485" s="29" t="str">
        <f t="shared" si="50"/>
        <v/>
      </c>
    </row>
    <row r="486" spans="1:20">
      <c r="A486" s="10" t="str">
        <f t="shared" si="55"/>
        <v/>
      </c>
      <c r="B486" s="63"/>
      <c r="C486" s="25" t="str">
        <f t="shared" si="51"/>
        <v/>
      </c>
      <c r="D486" s="25" t="str">
        <f t="shared" si="52"/>
        <v/>
      </c>
      <c r="E486" s="45"/>
      <c r="F486" s="28" t="str">
        <f>IFERROR(VLOOKUP(E486,Category!$D$2:$E$600,2,FALSE),"")</f>
        <v/>
      </c>
      <c r="G486" s="65"/>
      <c r="H486" s="56"/>
      <c r="I486" s="66"/>
      <c r="J486" s="67"/>
      <c r="K486" s="67"/>
      <c r="L486" s="67"/>
      <c r="M486" s="29" t="str">
        <f t="shared" si="53"/>
        <v/>
      </c>
      <c r="N486" s="29" t="str">
        <f t="shared" si="54"/>
        <v/>
      </c>
      <c r="O486" s="29" t="str">
        <f t="shared" si="49"/>
        <v/>
      </c>
      <c r="P486" s="61"/>
      <c r="Q486" s="61"/>
      <c r="R486" s="61"/>
      <c r="S486" s="45"/>
      <c r="T486" s="29" t="str">
        <f t="shared" si="50"/>
        <v/>
      </c>
    </row>
    <row r="487" spans="1:20">
      <c r="A487" s="10" t="str">
        <f t="shared" si="55"/>
        <v/>
      </c>
      <c r="B487" s="63"/>
      <c r="C487" s="25" t="str">
        <f t="shared" si="51"/>
        <v/>
      </c>
      <c r="D487" s="25" t="str">
        <f t="shared" si="52"/>
        <v/>
      </c>
      <c r="E487" s="45"/>
      <c r="F487" s="28" t="str">
        <f>IFERROR(VLOOKUP(E487,Category!$D$2:$E$600,2,FALSE),"")</f>
        <v/>
      </c>
      <c r="G487" s="65"/>
      <c r="H487" s="56"/>
      <c r="I487" s="66"/>
      <c r="J487" s="67"/>
      <c r="K487" s="67"/>
      <c r="L487" s="67"/>
      <c r="M487" s="29" t="str">
        <f t="shared" si="53"/>
        <v/>
      </c>
      <c r="N487" s="29" t="str">
        <f t="shared" si="54"/>
        <v/>
      </c>
      <c r="O487" s="29" t="str">
        <f t="shared" si="49"/>
        <v/>
      </c>
      <c r="P487" s="61"/>
      <c r="Q487" s="61"/>
      <c r="R487" s="61"/>
      <c r="S487" s="45"/>
      <c r="T487" s="29" t="str">
        <f t="shared" si="50"/>
        <v/>
      </c>
    </row>
    <row r="488" spans="1:20">
      <c r="A488" s="10" t="str">
        <f t="shared" si="55"/>
        <v/>
      </c>
      <c r="B488" s="63"/>
      <c r="C488" s="25" t="str">
        <f t="shared" si="51"/>
        <v/>
      </c>
      <c r="D488" s="25" t="str">
        <f t="shared" si="52"/>
        <v/>
      </c>
      <c r="E488" s="45"/>
      <c r="F488" s="28" t="str">
        <f>IFERROR(VLOOKUP(E488,Category!$D$2:$E$600,2,FALSE),"")</f>
        <v/>
      </c>
      <c r="G488" s="65"/>
      <c r="H488" s="56"/>
      <c r="I488" s="66"/>
      <c r="J488" s="67"/>
      <c r="K488" s="67"/>
      <c r="L488" s="67"/>
      <c r="M488" s="29" t="str">
        <f t="shared" si="53"/>
        <v/>
      </c>
      <c r="N488" s="29" t="str">
        <f t="shared" si="54"/>
        <v/>
      </c>
      <c r="O488" s="29" t="str">
        <f t="shared" si="49"/>
        <v/>
      </c>
      <c r="P488" s="61"/>
      <c r="Q488" s="61"/>
      <c r="R488" s="61"/>
      <c r="S488" s="45"/>
      <c r="T488" s="29" t="str">
        <f t="shared" si="50"/>
        <v/>
      </c>
    </row>
    <row r="489" spans="1:20">
      <c r="A489" s="10" t="str">
        <f t="shared" si="55"/>
        <v/>
      </c>
      <c r="B489" s="63"/>
      <c r="C489" s="25" t="str">
        <f t="shared" si="51"/>
        <v/>
      </c>
      <c r="D489" s="25" t="str">
        <f t="shared" si="52"/>
        <v/>
      </c>
      <c r="E489" s="45"/>
      <c r="F489" s="28" t="str">
        <f>IFERROR(VLOOKUP(E489,Category!$D$2:$E$600,2,FALSE),"")</f>
        <v/>
      </c>
      <c r="G489" s="65"/>
      <c r="H489" s="56"/>
      <c r="I489" s="66"/>
      <c r="J489" s="67"/>
      <c r="K489" s="67"/>
      <c r="L489" s="67"/>
      <c r="M489" s="29" t="str">
        <f t="shared" si="53"/>
        <v/>
      </c>
      <c r="N489" s="29" t="str">
        <f t="shared" si="54"/>
        <v/>
      </c>
      <c r="O489" s="29" t="str">
        <f t="shared" si="49"/>
        <v/>
      </c>
      <c r="P489" s="61"/>
      <c r="Q489" s="61"/>
      <c r="R489" s="61"/>
      <c r="S489" s="45"/>
      <c r="T489" s="29" t="str">
        <f t="shared" si="50"/>
        <v/>
      </c>
    </row>
    <row r="490" spans="1:20">
      <c r="A490" s="10" t="str">
        <f t="shared" si="55"/>
        <v/>
      </c>
      <c r="B490" s="63"/>
      <c r="C490" s="25" t="str">
        <f t="shared" si="51"/>
        <v/>
      </c>
      <c r="D490" s="25" t="str">
        <f t="shared" si="52"/>
        <v/>
      </c>
      <c r="E490" s="45"/>
      <c r="F490" s="28" t="str">
        <f>IFERROR(VLOOKUP(E490,Category!$D$2:$E$600,2,FALSE),"")</f>
        <v/>
      </c>
      <c r="G490" s="65"/>
      <c r="H490" s="56"/>
      <c r="I490" s="66"/>
      <c r="J490" s="67"/>
      <c r="K490" s="67"/>
      <c r="L490" s="67"/>
      <c r="M490" s="29" t="str">
        <f t="shared" si="53"/>
        <v/>
      </c>
      <c r="N490" s="29" t="str">
        <f t="shared" si="54"/>
        <v/>
      </c>
      <c r="O490" s="29" t="str">
        <f t="shared" si="49"/>
        <v/>
      </c>
      <c r="P490" s="61"/>
      <c r="Q490" s="61"/>
      <c r="R490" s="61"/>
      <c r="S490" s="45"/>
      <c r="T490" s="29" t="str">
        <f t="shared" si="50"/>
        <v/>
      </c>
    </row>
    <row r="491" spans="1:20">
      <c r="A491" s="10" t="str">
        <f t="shared" si="55"/>
        <v/>
      </c>
      <c r="B491" s="63"/>
      <c r="C491" s="25" t="str">
        <f t="shared" si="51"/>
        <v/>
      </c>
      <c r="D491" s="25" t="str">
        <f t="shared" si="52"/>
        <v/>
      </c>
      <c r="E491" s="45"/>
      <c r="F491" s="28" t="str">
        <f>IFERROR(VLOOKUP(E491,Category!$D$2:$E$600,2,FALSE),"")</f>
        <v/>
      </c>
      <c r="G491" s="65"/>
      <c r="H491" s="56"/>
      <c r="I491" s="66"/>
      <c r="J491" s="67"/>
      <c r="K491" s="67"/>
      <c r="L491" s="67"/>
      <c r="M491" s="29" t="str">
        <f t="shared" si="53"/>
        <v/>
      </c>
      <c r="N491" s="29" t="str">
        <f t="shared" si="54"/>
        <v/>
      </c>
      <c r="O491" s="29" t="str">
        <f t="shared" si="49"/>
        <v/>
      </c>
      <c r="P491" s="61"/>
      <c r="Q491" s="61"/>
      <c r="R491" s="61"/>
      <c r="S491" s="45"/>
      <c r="T491" s="29" t="str">
        <f t="shared" si="50"/>
        <v/>
      </c>
    </row>
    <row r="492" spans="1:20">
      <c r="A492" s="10" t="str">
        <f t="shared" si="55"/>
        <v/>
      </c>
      <c r="B492" s="63"/>
      <c r="C492" s="25" t="str">
        <f t="shared" si="51"/>
        <v/>
      </c>
      <c r="D492" s="25" t="str">
        <f t="shared" si="52"/>
        <v/>
      </c>
      <c r="E492" s="45"/>
      <c r="F492" s="28" t="str">
        <f>IFERROR(VLOOKUP(E492,Category!$D$2:$E$600,2,FALSE),"")</f>
        <v/>
      </c>
      <c r="G492" s="65"/>
      <c r="H492" s="56"/>
      <c r="I492" s="66"/>
      <c r="J492" s="67"/>
      <c r="K492" s="67"/>
      <c r="L492" s="67"/>
      <c r="M492" s="29" t="str">
        <f t="shared" si="53"/>
        <v/>
      </c>
      <c r="N492" s="29" t="str">
        <f t="shared" si="54"/>
        <v/>
      </c>
      <c r="O492" s="29" t="str">
        <f t="shared" si="49"/>
        <v/>
      </c>
      <c r="P492" s="61"/>
      <c r="Q492" s="61"/>
      <c r="R492" s="61"/>
      <c r="S492" s="45"/>
      <c r="T492" s="29" t="str">
        <f t="shared" si="50"/>
        <v/>
      </c>
    </row>
    <row r="493" spans="1:20">
      <c r="A493" s="10" t="str">
        <f t="shared" si="55"/>
        <v/>
      </c>
      <c r="B493" s="63"/>
      <c r="C493" s="25" t="str">
        <f t="shared" si="51"/>
        <v/>
      </c>
      <c r="D493" s="25" t="str">
        <f t="shared" si="52"/>
        <v/>
      </c>
      <c r="E493" s="45"/>
      <c r="F493" s="28" t="str">
        <f>IFERROR(VLOOKUP(E493,Category!$D$2:$E$600,2,FALSE),"")</f>
        <v/>
      </c>
      <c r="G493" s="65"/>
      <c r="H493" s="56"/>
      <c r="I493" s="66"/>
      <c r="J493" s="67"/>
      <c r="K493" s="67"/>
      <c r="L493" s="67"/>
      <c r="M493" s="29" t="str">
        <f t="shared" si="53"/>
        <v/>
      </c>
      <c r="N493" s="29" t="str">
        <f t="shared" si="54"/>
        <v/>
      </c>
      <c r="O493" s="29" t="str">
        <f t="shared" si="49"/>
        <v/>
      </c>
      <c r="P493" s="61"/>
      <c r="Q493" s="61"/>
      <c r="R493" s="61"/>
      <c r="S493" s="45"/>
      <c r="T493" s="29" t="str">
        <f t="shared" si="50"/>
        <v/>
      </c>
    </row>
    <row r="494" spans="1:20">
      <c r="A494" s="10" t="str">
        <f t="shared" si="55"/>
        <v/>
      </c>
      <c r="B494" s="63"/>
      <c r="C494" s="25" t="str">
        <f t="shared" si="51"/>
        <v/>
      </c>
      <c r="D494" s="25" t="str">
        <f t="shared" si="52"/>
        <v/>
      </c>
      <c r="E494" s="45"/>
      <c r="F494" s="28" t="str">
        <f>IFERROR(VLOOKUP(E494,Category!$D$2:$E$600,2,FALSE),"")</f>
        <v/>
      </c>
      <c r="G494" s="65"/>
      <c r="H494" s="56"/>
      <c r="I494" s="66"/>
      <c r="J494" s="67"/>
      <c r="K494" s="67"/>
      <c r="L494" s="67"/>
      <c r="M494" s="29" t="str">
        <f t="shared" si="53"/>
        <v/>
      </c>
      <c r="N494" s="29" t="str">
        <f t="shared" si="54"/>
        <v/>
      </c>
      <c r="O494" s="29" t="str">
        <f t="shared" si="49"/>
        <v/>
      </c>
      <c r="P494" s="61"/>
      <c r="Q494" s="61"/>
      <c r="R494" s="61"/>
      <c r="S494" s="45"/>
      <c r="T494" s="29" t="str">
        <f t="shared" si="50"/>
        <v/>
      </c>
    </row>
    <row r="495" spans="1:20">
      <c r="A495" s="10" t="str">
        <f t="shared" si="55"/>
        <v/>
      </c>
      <c r="B495" s="63"/>
      <c r="C495" s="25" t="str">
        <f t="shared" si="51"/>
        <v/>
      </c>
      <c r="D495" s="25" t="str">
        <f t="shared" si="52"/>
        <v/>
      </c>
      <c r="E495" s="45"/>
      <c r="F495" s="28" t="str">
        <f>IFERROR(VLOOKUP(E495,Category!$D$2:$E$600,2,FALSE),"")</f>
        <v/>
      </c>
      <c r="G495" s="65"/>
      <c r="H495" s="56"/>
      <c r="I495" s="66"/>
      <c r="J495" s="67"/>
      <c r="K495" s="67"/>
      <c r="L495" s="67"/>
      <c r="M495" s="29" t="str">
        <f t="shared" si="53"/>
        <v/>
      </c>
      <c r="N495" s="29" t="str">
        <f t="shared" si="54"/>
        <v/>
      </c>
      <c r="O495" s="29" t="str">
        <f t="shared" si="49"/>
        <v/>
      </c>
      <c r="P495" s="61"/>
      <c r="Q495" s="61"/>
      <c r="R495" s="61"/>
      <c r="S495" s="45"/>
      <c r="T495" s="29" t="str">
        <f t="shared" si="50"/>
        <v/>
      </c>
    </row>
    <row r="496" spans="1:20">
      <c r="A496" s="10" t="str">
        <f t="shared" si="55"/>
        <v/>
      </c>
      <c r="B496" s="63"/>
      <c r="C496" s="25" t="str">
        <f t="shared" si="51"/>
        <v/>
      </c>
      <c r="D496" s="25" t="str">
        <f t="shared" si="52"/>
        <v/>
      </c>
      <c r="E496" s="45"/>
      <c r="F496" s="28" t="str">
        <f>IFERROR(VLOOKUP(E496,Category!$D$2:$E$600,2,FALSE),"")</f>
        <v/>
      </c>
      <c r="G496" s="65"/>
      <c r="H496" s="56"/>
      <c r="I496" s="66"/>
      <c r="J496" s="67"/>
      <c r="K496" s="67"/>
      <c r="L496" s="67"/>
      <c r="M496" s="29" t="str">
        <f t="shared" si="53"/>
        <v/>
      </c>
      <c r="N496" s="29" t="str">
        <f t="shared" si="54"/>
        <v/>
      </c>
      <c r="O496" s="29" t="str">
        <f t="shared" si="49"/>
        <v/>
      </c>
      <c r="P496" s="61"/>
      <c r="Q496" s="61"/>
      <c r="R496" s="61"/>
      <c r="S496" s="45"/>
      <c r="T496" s="29" t="str">
        <f t="shared" si="50"/>
        <v/>
      </c>
    </row>
    <row r="497" spans="1:20">
      <c r="A497" s="10" t="str">
        <f t="shared" si="55"/>
        <v/>
      </c>
      <c r="B497" s="63"/>
      <c r="C497" s="25" t="str">
        <f t="shared" si="51"/>
        <v/>
      </c>
      <c r="D497" s="25" t="str">
        <f t="shared" si="52"/>
        <v/>
      </c>
      <c r="E497" s="45"/>
      <c r="F497" s="28" t="str">
        <f>IFERROR(VLOOKUP(E497,Category!$D$2:$E$600,2,FALSE),"")</f>
        <v/>
      </c>
      <c r="G497" s="65"/>
      <c r="H497" s="56"/>
      <c r="I497" s="66"/>
      <c r="J497" s="67"/>
      <c r="K497" s="67"/>
      <c r="L497" s="67"/>
      <c r="M497" s="29" t="str">
        <f t="shared" si="53"/>
        <v/>
      </c>
      <c r="N497" s="29" t="str">
        <f t="shared" si="54"/>
        <v/>
      </c>
      <c r="O497" s="29" t="str">
        <f t="shared" si="49"/>
        <v/>
      </c>
      <c r="P497" s="61"/>
      <c r="Q497" s="61"/>
      <c r="R497" s="61"/>
      <c r="S497" s="45"/>
      <c r="T497" s="29" t="str">
        <f t="shared" si="50"/>
        <v/>
      </c>
    </row>
    <row r="498" spans="1:20">
      <c r="A498" s="10" t="str">
        <f t="shared" si="55"/>
        <v/>
      </c>
      <c r="B498" s="63"/>
      <c r="C498" s="25" t="str">
        <f t="shared" si="51"/>
        <v/>
      </c>
      <c r="D498" s="25" t="str">
        <f t="shared" si="52"/>
        <v/>
      </c>
      <c r="E498" s="45"/>
      <c r="F498" s="28" t="str">
        <f>IFERROR(VLOOKUP(E498,Category!$D$2:$E$600,2,FALSE),"")</f>
        <v/>
      </c>
      <c r="G498" s="65"/>
      <c r="H498" s="56"/>
      <c r="I498" s="66"/>
      <c r="J498" s="67"/>
      <c r="K498" s="67"/>
      <c r="L498" s="67"/>
      <c r="M498" s="29" t="str">
        <f t="shared" si="53"/>
        <v/>
      </c>
      <c r="N498" s="29" t="str">
        <f t="shared" si="54"/>
        <v/>
      </c>
      <c r="O498" s="29" t="str">
        <f t="shared" si="49"/>
        <v/>
      </c>
      <c r="P498" s="61"/>
      <c r="Q498" s="61"/>
      <c r="R498" s="61"/>
      <c r="S498" s="45"/>
      <c r="T498" s="29" t="str">
        <f t="shared" si="50"/>
        <v/>
      </c>
    </row>
    <row r="499" spans="1:20">
      <c r="A499" s="10" t="str">
        <f t="shared" si="55"/>
        <v/>
      </c>
      <c r="B499" s="63"/>
      <c r="C499" s="25" t="str">
        <f t="shared" si="51"/>
        <v/>
      </c>
      <c r="D499" s="25" t="str">
        <f t="shared" si="52"/>
        <v/>
      </c>
      <c r="E499" s="45"/>
      <c r="F499" s="28" t="str">
        <f>IFERROR(VLOOKUP(E499,Category!$D$2:$E$600,2,FALSE),"")</f>
        <v/>
      </c>
      <c r="G499" s="65"/>
      <c r="H499" s="56"/>
      <c r="I499" s="66"/>
      <c r="J499" s="67"/>
      <c r="K499" s="67"/>
      <c r="L499" s="67"/>
      <c r="M499" s="29" t="str">
        <f t="shared" si="53"/>
        <v/>
      </c>
      <c r="N499" s="29" t="str">
        <f t="shared" si="54"/>
        <v/>
      </c>
      <c r="O499" s="29" t="str">
        <f t="shared" si="49"/>
        <v/>
      </c>
      <c r="P499" s="61"/>
      <c r="Q499" s="61"/>
      <c r="R499" s="61"/>
      <c r="S499" s="45"/>
      <c r="T499" s="29" t="str">
        <f t="shared" si="50"/>
        <v/>
      </c>
    </row>
    <row r="500" spans="1:20">
      <c r="A500" s="10" t="str">
        <f t="shared" si="55"/>
        <v/>
      </c>
      <c r="B500" s="63"/>
      <c r="C500" s="25" t="str">
        <f t="shared" si="51"/>
        <v/>
      </c>
      <c r="D500" s="25" t="str">
        <f t="shared" si="52"/>
        <v/>
      </c>
      <c r="E500" s="45"/>
      <c r="F500" s="28" t="str">
        <f>IFERROR(VLOOKUP(E500,Category!$D$2:$E$600,2,FALSE),"")</f>
        <v/>
      </c>
      <c r="G500" s="65"/>
      <c r="H500" s="56"/>
      <c r="I500" s="66"/>
      <c r="J500" s="67"/>
      <c r="K500" s="67"/>
      <c r="L500" s="67"/>
      <c r="M500" s="29" t="str">
        <f t="shared" si="53"/>
        <v/>
      </c>
      <c r="N500" s="29" t="str">
        <f t="shared" si="54"/>
        <v/>
      </c>
      <c r="O500" s="29" t="str">
        <f t="shared" si="49"/>
        <v/>
      </c>
      <c r="P500" s="61"/>
      <c r="Q500" s="61"/>
      <c r="R500" s="61"/>
      <c r="S500" s="45"/>
      <c r="T500" s="29" t="str">
        <f t="shared" si="50"/>
        <v/>
      </c>
    </row>
    <row r="501" spans="1:20">
      <c r="A501" s="10" t="str">
        <f t="shared" si="55"/>
        <v/>
      </c>
      <c r="B501" s="63"/>
      <c r="C501" s="25" t="str">
        <f t="shared" si="51"/>
        <v/>
      </c>
      <c r="D501" s="25" t="str">
        <f t="shared" si="52"/>
        <v/>
      </c>
      <c r="E501" s="45"/>
      <c r="F501" s="28" t="str">
        <f>IFERROR(VLOOKUP(E501,Category!$D$2:$E$600,2,FALSE),"")</f>
        <v/>
      </c>
      <c r="G501" s="65"/>
      <c r="H501" s="56"/>
      <c r="I501" s="66"/>
      <c r="J501" s="67"/>
      <c r="K501" s="67"/>
      <c r="L501" s="67"/>
      <c r="M501" s="29" t="str">
        <f t="shared" si="53"/>
        <v/>
      </c>
      <c r="N501" s="29" t="str">
        <f t="shared" si="54"/>
        <v/>
      </c>
      <c r="O501" s="29" t="str">
        <f t="shared" si="49"/>
        <v/>
      </c>
      <c r="P501" s="61"/>
      <c r="Q501" s="61"/>
      <c r="R501" s="61"/>
      <c r="S501" s="45"/>
      <c r="T501" s="29" t="str">
        <f t="shared" si="50"/>
        <v/>
      </c>
    </row>
    <row r="502" spans="1:20">
      <c r="A502" s="10" t="str">
        <f t="shared" si="55"/>
        <v/>
      </c>
      <c r="B502" s="63"/>
      <c r="C502" s="25" t="str">
        <f t="shared" si="51"/>
        <v/>
      </c>
      <c r="D502" s="25" t="str">
        <f t="shared" si="52"/>
        <v/>
      </c>
      <c r="E502" s="45"/>
      <c r="F502" s="28" t="str">
        <f>IFERROR(VLOOKUP(E502,Category!$D$2:$E$600,2,FALSE),"")</f>
        <v/>
      </c>
      <c r="G502" s="65"/>
      <c r="H502" s="56"/>
      <c r="I502" s="66"/>
      <c r="J502" s="67"/>
      <c r="K502" s="67"/>
      <c r="L502" s="67"/>
      <c r="M502" s="29" t="str">
        <f t="shared" si="53"/>
        <v/>
      </c>
      <c r="N502" s="29" t="str">
        <f t="shared" si="54"/>
        <v/>
      </c>
      <c r="O502" s="29" t="str">
        <f t="shared" si="49"/>
        <v/>
      </c>
      <c r="P502" s="61"/>
      <c r="Q502" s="61"/>
      <c r="R502" s="61"/>
      <c r="S502" s="45"/>
      <c r="T502" s="29" t="str">
        <f t="shared" si="50"/>
        <v/>
      </c>
    </row>
    <row r="503" spans="1:20">
      <c r="A503" s="10" t="str">
        <f t="shared" si="55"/>
        <v/>
      </c>
      <c r="B503" s="63"/>
      <c r="C503" s="25" t="str">
        <f t="shared" si="51"/>
        <v/>
      </c>
      <c r="D503" s="25" t="str">
        <f t="shared" si="52"/>
        <v/>
      </c>
      <c r="E503" s="45"/>
      <c r="F503" s="28" t="str">
        <f>IFERROR(VLOOKUP(E503,Category!$D$2:$E$600,2,FALSE),"")</f>
        <v/>
      </c>
      <c r="G503" s="65"/>
      <c r="H503" s="56"/>
      <c r="I503" s="66"/>
      <c r="J503" s="67"/>
      <c r="K503" s="67"/>
      <c r="L503" s="67"/>
      <c r="M503" s="29" t="str">
        <f t="shared" si="53"/>
        <v/>
      </c>
      <c r="N503" s="29" t="str">
        <f t="shared" si="54"/>
        <v/>
      </c>
      <c r="O503" s="29" t="str">
        <f t="shared" si="49"/>
        <v/>
      </c>
      <c r="P503" s="61"/>
      <c r="Q503" s="61"/>
      <c r="R503" s="61"/>
      <c r="S503" s="45"/>
      <c r="T503" s="29" t="str">
        <f t="shared" si="50"/>
        <v/>
      </c>
    </row>
    <row r="504" spans="1:20">
      <c r="A504" s="10" t="str">
        <f t="shared" si="55"/>
        <v/>
      </c>
      <c r="B504" s="63"/>
      <c r="C504" s="25" t="str">
        <f t="shared" si="51"/>
        <v/>
      </c>
      <c r="D504" s="25" t="str">
        <f t="shared" si="52"/>
        <v/>
      </c>
      <c r="E504" s="45"/>
      <c r="F504" s="28" t="str">
        <f>IFERROR(VLOOKUP(E504,Category!$D$2:$E$600,2,FALSE),"")</f>
        <v/>
      </c>
      <c r="G504" s="65"/>
      <c r="H504" s="56"/>
      <c r="I504" s="66"/>
      <c r="J504" s="67"/>
      <c r="K504" s="67"/>
      <c r="L504" s="67"/>
      <c r="M504" s="29" t="str">
        <f t="shared" si="53"/>
        <v/>
      </c>
      <c r="N504" s="29" t="str">
        <f t="shared" si="54"/>
        <v/>
      </c>
      <c r="O504" s="29" t="str">
        <f t="shared" si="49"/>
        <v/>
      </c>
      <c r="P504" s="61"/>
      <c r="Q504" s="61"/>
      <c r="R504" s="61"/>
      <c r="S504" s="45"/>
      <c r="T504" s="29" t="str">
        <f t="shared" si="50"/>
        <v/>
      </c>
    </row>
    <row r="505" spans="1:20">
      <c r="A505" s="10" t="str">
        <f t="shared" si="55"/>
        <v/>
      </c>
      <c r="B505" s="63"/>
      <c r="C505" s="25" t="str">
        <f t="shared" si="51"/>
        <v/>
      </c>
      <c r="D505" s="25" t="str">
        <f t="shared" si="52"/>
        <v/>
      </c>
      <c r="E505" s="45"/>
      <c r="F505" s="28" t="str">
        <f>IFERROR(VLOOKUP(E505,Category!$D$2:$E$600,2,FALSE),"")</f>
        <v/>
      </c>
      <c r="G505" s="65"/>
      <c r="H505" s="56"/>
      <c r="I505" s="66"/>
      <c r="J505" s="67"/>
      <c r="K505" s="67"/>
      <c r="L505" s="67"/>
      <c r="M505" s="29" t="str">
        <f t="shared" si="53"/>
        <v/>
      </c>
      <c r="N505" s="29" t="str">
        <f t="shared" si="54"/>
        <v/>
      </c>
      <c r="O505" s="29" t="str">
        <f t="shared" si="49"/>
        <v/>
      </c>
      <c r="P505" s="61"/>
      <c r="Q505" s="61"/>
      <c r="R505" s="61"/>
      <c r="S505" s="45"/>
      <c r="T505" s="29" t="str">
        <f t="shared" si="50"/>
        <v/>
      </c>
    </row>
    <row r="506" spans="1:20">
      <c r="A506" s="10" t="str">
        <f t="shared" si="55"/>
        <v/>
      </c>
      <c r="B506" s="63"/>
      <c r="C506" s="25" t="str">
        <f t="shared" si="51"/>
        <v/>
      </c>
      <c r="D506" s="25" t="str">
        <f t="shared" si="52"/>
        <v/>
      </c>
      <c r="E506" s="45"/>
      <c r="F506" s="28" t="str">
        <f>IFERROR(VLOOKUP(E506,Category!$D$2:$E$600,2,FALSE),"")</f>
        <v/>
      </c>
      <c r="G506" s="65"/>
      <c r="H506" s="56"/>
      <c r="I506" s="66"/>
      <c r="J506" s="67"/>
      <c r="K506" s="67"/>
      <c r="L506" s="67"/>
      <c r="M506" s="29" t="str">
        <f t="shared" si="53"/>
        <v/>
      </c>
      <c r="N506" s="29" t="str">
        <f t="shared" si="54"/>
        <v/>
      </c>
      <c r="O506" s="29" t="str">
        <f t="shared" si="49"/>
        <v/>
      </c>
      <c r="P506" s="61"/>
      <c r="Q506" s="61"/>
      <c r="R506" s="61"/>
      <c r="S506" s="45"/>
      <c r="T506" s="29" t="str">
        <f t="shared" si="50"/>
        <v/>
      </c>
    </row>
    <row r="507" spans="1:20">
      <c r="A507" s="10" t="str">
        <f t="shared" si="55"/>
        <v/>
      </c>
      <c r="B507" s="63"/>
      <c r="C507" s="25" t="str">
        <f t="shared" si="51"/>
        <v/>
      </c>
      <c r="D507" s="25" t="str">
        <f t="shared" si="52"/>
        <v/>
      </c>
      <c r="E507" s="45"/>
      <c r="F507" s="28" t="str">
        <f>IFERROR(VLOOKUP(E507,Category!$D$2:$E$600,2,FALSE),"")</f>
        <v/>
      </c>
      <c r="G507" s="65"/>
      <c r="H507" s="56"/>
      <c r="I507" s="66"/>
      <c r="J507" s="67"/>
      <c r="K507" s="67"/>
      <c r="L507" s="67"/>
      <c r="M507" s="29" t="str">
        <f t="shared" si="53"/>
        <v/>
      </c>
      <c r="N507" s="29" t="str">
        <f t="shared" si="54"/>
        <v/>
      </c>
      <c r="O507" s="29" t="str">
        <f t="shared" si="49"/>
        <v/>
      </c>
      <c r="P507" s="61"/>
      <c r="Q507" s="61"/>
      <c r="R507" s="61"/>
      <c r="S507" s="45"/>
      <c r="T507" s="29" t="str">
        <f t="shared" si="50"/>
        <v/>
      </c>
    </row>
    <row r="508" spans="1:20">
      <c r="A508" s="10" t="str">
        <f t="shared" si="55"/>
        <v/>
      </c>
      <c r="B508" s="63"/>
      <c r="C508" s="25" t="str">
        <f t="shared" si="51"/>
        <v/>
      </c>
      <c r="D508" s="25" t="str">
        <f t="shared" si="52"/>
        <v/>
      </c>
      <c r="E508" s="45"/>
      <c r="F508" s="28" t="str">
        <f>IFERROR(VLOOKUP(E508,Category!$D$2:$E$600,2,FALSE),"")</f>
        <v/>
      </c>
      <c r="G508" s="65"/>
      <c r="H508" s="56"/>
      <c r="I508" s="66"/>
      <c r="J508" s="67"/>
      <c r="K508" s="67"/>
      <c r="L508" s="67"/>
      <c r="M508" s="29" t="str">
        <f t="shared" si="53"/>
        <v/>
      </c>
      <c r="N508" s="29" t="str">
        <f t="shared" si="54"/>
        <v/>
      </c>
      <c r="O508" s="29" t="str">
        <f t="shared" si="49"/>
        <v/>
      </c>
      <c r="P508" s="61"/>
      <c r="Q508" s="61"/>
      <c r="R508" s="61"/>
      <c r="S508" s="45"/>
      <c r="T508" s="29" t="str">
        <f t="shared" si="50"/>
        <v/>
      </c>
    </row>
    <row r="509" spans="1:20">
      <c r="A509" s="10" t="str">
        <f t="shared" si="55"/>
        <v/>
      </c>
      <c r="B509" s="63"/>
      <c r="C509" s="25" t="str">
        <f t="shared" si="51"/>
        <v/>
      </c>
      <c r="D509" s="25" t="str">
        <f t="shared" si="52"/>
        <v/>
      </c>
      <c r="E509" s="45"/>
      <c r="F509" s="28" t="str">
        <f>IFERROR(VLOOKUP(E509,Category!$D$2:$E$600,2,FALSE),"")</f>
        <v/>
      </c>
      <c r="G509" s="65"/>
      <c r="H509" s="56"/>
      <c r="I509" s="66"/>
      <c r="J509" s="67"/>
      <c r="K509" s="67"/>
      <c r="L509" s="67"/>
      <c r="M509" s="29" t="str">
        <f t="shared" si="53"/>
        <v/>
      </c>
      <c r="N509" s="29" t="str">
        <f t="shared" si="54"/>
        <v/>
      </c>
      <c r="O509" s="29" t="str">
        <f t="shared" si="49"/>
        <v/>
      </c>
      <c r="P509" s="61"/>
      <c r="Q509" s="61"/>
      <c r="R509" s="61"/>
      <c r="S509" s="45"/>
      <c r="T509" s="29" t="str">
        <f t="shared" si="50"/>
        <v/>
      </c>
    </row>
    <row r="510" spans="1:20">
      <c r="A510" s="10" t="str">
        <f t="shared" si="55"/>
        <v/>
      </c>
      <c r="B510" s="63"/>
      <c r="C510" s="25" t="str">
        <f t="shared" si="51"/>
        <v/>
      </c>
      <c r="D510" s="25" t="str">
        <f t="shared" si="52"/>
        <v/>
      </c>
      <c r="E510" s="45"/>
      <c r="F510" s="28" t="str">
        <f>IFERROR(VLOOKUP(E510,Category!$D$2:$E$600,2,FALSE),"")</f>
        <v/>
      </c>
      <c r="G510" s="65"/>
      <c r="H510" s="56"/>
      <c r="I510" s="66"/>
      <c r="J510" s="67"/>
      <c r="K510" s="67"/>
      <c r="L510" s="67"/>
      <c r="M510" s="29" t="str">
        <f t="shared" si="53"/>
        <v/>
      </c>
      <c r="N510" s="29" t="str">
        <f t="shared" si="54"/>
        <v/>
      </c>
      <c r="O510" s="29" t="str">
        <f t="shared" si="49"/>
        <v/>
      </c>
      <c r="P510" s="61"/>
      <c r="Q510" s="61"/>
      <c r="R510" s="61"/>
      <c r="S510" s="45"/>
      <c r="T510" s="29" t="str">
        <f t="shared" si="50"/>
        <v/>
      </c>
    </row>
    <row r="511" spans="1:20">
      <c r="A511" s="10" t="str">
        <f t="shared" si="55"/>
        <v/>
      </c>
      <c r="B511" s="63"/>
      <c r="C511" s="25" t="str">
        <f t="shared" si="51"/>
        <v/>
      </c>
      <c r="D511" s="25" t="str">
        <f t="shared" si="52"/>
        <v/>
      </c>
      <c r="E511" s="45"/>
      <c r="F511" s="28" t="str">
        <f>IFERROR(VLOOKUP(E511,Category!$D$2:$E$600,2,FALSE),"")</f>
        <v/>
      </c>
      <c r="G511" s="65"/>
      <c r="H511" s="56"/>
      <c r="I511" s="66"/>
      <c r="J511" s="67"/>
      <c r="K511" s="67"/>
      <c r="L511" s="67"/>
      <c r="M511" s="29" t="str">
        <f t="shared" si="53"/>
        <v/>
      </c>
      <c r="N511" s="29" t="str">
        <f t="shared" si="54"/>
        <v/>
      </c>
      <c r="O511" s="29" t="str">
        <f t="shared" si="49"/>
        <v/>
      </c>
      <c r="P511" s="61"/>
      <c r="Q511" s="61"/>
      <c r="R511" s="61"/>
      <c r="S511" s="45"/>
      <c r="T511" s="29" t="str">
        <f t="shared" si="50"/>
        <v/>
      </c>
    </row>
    <row r="512" spans="1:20">
      <c r="A512" s="10" t="str">
        <f t="shared" si="55"/>
        <v/>
      </c>
      <c r="B512" s="63"/>
      <c r="C512" s="25" t="str">
        <f t="shared" si="51"/>
        <v/>
      </c>
      <c r="D512" s="25" t="str">
        <f t="shared" si="52"/>
        <v/>
      </c>
      <c r="E512" s="45"/>
      <c r="F512" s="28" t="str">
        <f>IFERROR(VLOOKUP(E512,Category!$D$2:$E$600,2,FALSE),"")</f>
        <v/>
      </c>
      <c r="G512" s="65"/>
      <c r="H512" s="56"/>
      <c r="I512" s="66"/>
      <c r="J512" s="67"/>
      <c r="K512" s="67"/>
      <c r="L512" s="67"/>
      <c r="M512" s="29" t="str">
        <f t="shared" si="53"/>
        <v/>
      </c>
      <c r="N512" s="29" t="str">
        <f t="shared" si="54"/>
        <v/>
      </c>
      <c r="O512" s="29" t="str">
        <f t="shared" si="49"/>
        <v/>
      </c>
      <c r="P512" s="61"/>
      <c r="Q512" s="61"/>
      <c r="R512" s="61"/>
      <c r="S512" s="45"/>
      <c r="T512" s="29" t="str">
        <f t="shared" si="50"/>
        <v/>
      </c>
    </row>
    <row r="513" spans="1:20">
      <c r="A513" s="10" t="str">
        <f t="shared" si="55"/>
        <v/>
      </c>
      <c r="B513" s="63"/>
      <c r="C513" s="25" t="str">
        <f t="shared" si="51"/>
        <v/>
      </c>
      <c r="D513" s="25" t="str">
        <f t="shared" si="52"/>
        <v/>
      </c>
      <c r="E513" s="45"/>
      <c r="F513" s="28" t="str">
        <f>IFERROR(VLOOKUP(E513,Category!$D$2:$E$600,2,FALSE),"")</f>
        <v/>
      </c>
      <c r="G513" s="65"/>
      <c r="H513" s="56"/>
      <c r="I513" s="66"/>
      <c r="J513" s="67"/>
      <c r="K513" s="67"/>
      <c r="L513" s="67"/>
      <c r="M513" s="29" t="str">
        <f t="shared" si="53"/>
        <v/>
      </c>
      <c r="N513" s="29" t="str">
        <f t="shared" si="54"/>
        <v/>
      </c>
      <c r="O513" s="29" t="str">
        <f t="shared" si="49"/>
        <v/>
      </c>
      <c r="P513" s="61"/>
      <c r="Q513" s="61"/>
      <c r="R513" s="61"/>
      <c r="S513" s="45"/>
      <c r="T513" s="29" t="str">
        <f t="shared" si="50"/>
        <v/>
      </c>
    </row>
    <row r="514" spans="1:20">
      <c r="A514" s="10" t="str">
        <f t="shared" si="55"/>
        <v/>
      </c>
      <c r="B514" s="63"/>
      <c r="C514" s="25" t="str">
        <f t="shared" si="51"/>
        <v/>
      </c>
      <c r="D514" s="25" t="str">
        <f t="shared" si="52"/>
        <v/>
      </c>
      <c r="E514" s="45"/>
      <c r="F514" s="28" t="str">
        <f>IFERROR(VLOOKUP(E514,Category!$D$2:$E$600,2,FALSE),"")</f>
        <v/>
      </c>
      <c r="G514" s="65"/>
      <c r="H514" s="56"/>
      <c r="I514" s="66"/>
      <c r="J514" s="67"/>
      <c r="K514" s="67"/>
      <c r="L514" s="67"/>
      <c r="M514" s="29" t="str">
        <f t="shared" si="53"/>
        <v/>
      </c>
      <c r="N514" s="29" t="str">
        <f t="shared" si="54"/>
        <v/>
      </c>
      <c r="O514" s="29" t="str">
        <f t="shared" ref="O514:O577" si="56">IF(H514*I514=0,"",H514*I514)</f>
        <v/>
      </c>
      <c r="P514" s="61"/>
      <c r="Q514" s="61"/>
      <c r="R514" s="61"/>
      <c r="S514" s="45"/>
      <c r="T514" s="29" t="str">
        <f t="shared" ref="T514:T577" si="57">IF(R514="paid",(H514*I514)-(G514*H514),"")</f>
        <v/>
      </c>
    </row>
    <row r="515" spans="1:20">
      <c r="A515" s="10" t="str">
        <f t="shared" si="55"/>
        <v/>
      </c>
      <c r="B515" s="63"/>
      <c r="C515" s="25" t="str">
        <f t="shared" ref="C515:C578" si="58">IF(B515=0,"",TEXT(B515,"mmmm"))</f>
        <v/>
      </c>
      <c r="D515" s="25" t="str">
        <f t="shared" ref="D515:D578" si="59">IF(B515=0,"",TEXT(B515,"yyyy"))</f>
        <v/>
      </c>
      <c r="E515" s="45"/>
      <c r="F515" s="28" t="str">
        <f>IFERROR(VLOOKUP(E515,Category!$D$2:$E$600,2,FALSE),"")</f>
        <v/>
      </c>
      <c r="G515" s="65"/>
      <c r="H515" s="56"/>
      <c r="I515" s="66"/>
      <c r="J515" s="67"/>
      <c r="K515" s="67"/>
      <c r="L515" s="67"/>
      <c r="M515" s="29" t="str">
        <f t="shared" ref="M515:M578" si="60">IFERROR(IF(O515&gt;0,IF(R515="Paid","",O515-J515),""),"")</f>
        <v/>
      </c>
      <c r="N515" s="29" t="str">
        <f t="shared" ref="N515:N578" si="61">IF(J515&gt;0,IF(R515="Paid",O515-J515,""),"")</f>
        <v/>
      </c>
      <c r="O515" s="29" t="str">
        <f t="shared" si="56"/>
        <v/>
      </c>
      <c r="P515" s="61"/>
      <c r="Q515" s="61"/>
      <c r="R515" s="61"/>
      <c r="S515" s="45"/>
      <c r="T515" s="29" t="str">
        <f t="shared" si="57"/>
        <v/>
      </c>
    </row>
    <row r="516" spans="1:20">
      <c r="A516" s="10" t="str">
        <f t="shared" ref="A516:A579" si="62">IF(E516&gt;0,A515+1,"")</f>
        <v/>
      </c>
      <c r="B516" s="63"/>
      <c r="C516" s="25" t="str">
        <f t="shared" si="58"/>
        <v/>
      </c>
      <c r="D516" s="25" t="str">
        <f t="shared" si="59"/>
        <v/>
      </c>
      <c r="E516" s="45"/>
      <c r="F516" s="28" t="str">
        <f>IFERROR(VLOOKUP(E516,Category!$D$2:$E$600,2,FALSE),"")</f>
        <v/>
      </c>
      <c r="G516" s="65"/>
      <c r="H516" s="56"/>
      <c r="I516" s="66"/>
      <c r="J516" s="67"/>
      <c r="K516" s="67"/>
      <c r="L516" s="67"/>
      <c r="M516" s="29" t="str">
        <f t="shared" si="60"/>
        <v/>
      </c>
      <c r="N516" s="29" t="str">
        <f t="shared" si="61"/>
        <v/>
      </c>
      <c r="O516" s="29" t="str">
        <f t="shared" si="56"/>
        <v/>
      </c>
      <c r="P516" s="61"/>
      <c r="Q516" s="61"/>
      <c r="R516" s="61"/>
      <c r="S516" s="45"/>
      <c r="T516" s="29" t="str">
        <f t="shared" si="57"/>
        <v/>
      </c>
    </row>
    <row r="517" spans="1:20">
      <c r="A517" s="10" t="str">
        <f t="shared" si="62"/>
        <v/>
      </c>
      <c r="B517" s="63"/>
      <c r="C517" s="25" t="str">
        <f t="shared" si="58"/>
        <v/>
      </c>
      <c r="D517" s="25" t="str">
        <f t="shared" si="59"/>
        <v/>
      </c>
      <c r="E517" s="45"/>
      <c r="F517" s="28" t="str">
        <f>IFERROR(VLOOKUP(E517,Category!$D$2:$E$600,2,FALSE),"")</f>
        <v/>
      </c>
      <c r="G517" s="65"/>
      <c r="H517" s="56"/>
      <c r="I517" s="66"/>
      <c r="J517" s="67"/>
      <c r="K517" s="67"/>
      <c r="L517" s="67"/>
      <c r="M517" s="29" t="str">
        <f t="shared" si="60"/>
        <v/>
      </c>
      <c r="N517" s="29" t="str">
        <f t="shared" si="61"/>
        <v/>
      </c>
      <c r="O517" s="29" t="str">
        <f t="shared" si="56"/>
        <v/>
      </c>
      <c r="P517" s="61"/>
      <c r="Q517" s="61"/>
      <c r="R517" s="61"/>
      <c r="S517" s="45"/>
      <c r="T517" s="29" t="str">
        <f t="shared" si="57"/>
        <v/>
      </c>
    </row>
    <row r="518" spans="1:20">
      <c r="A518" s="10" t="str">
        <f t="shared" si="62"/>
        <v/>
      </c>
      <c r="B518" s="63"/>
      <c r="C518" s="25" t="str">
        <f t="shared" si="58"/>
        <v/>
      </c>
      <c r="D518" s="25" t="str">
        <f t="shared" si="59"/>
        <v/>
      </c>
      <c r="E518" s="45"/>
      <c r="F518" s="28" t="str">
        <f>IFERROR(VLOOKUP(E518,Category!$D$2:$E$600,2,FALSE),"")</f>
        <v/>
      </c>
      <c r="G518" s="65"/>
      <c r="H518" s="56"/>
      <c r="I518" s="66"/>
      <c r="J518" s="67"/>
      <c r="K518" s="67"/>
      <c r="L518" s="67"/>
      <c r="M518" s="29" t="str">
        <f t="shared" si="60"/>
        <v/>
      </c>
      <c r="N518" s="29" t="str">
        <f t="shared" si="61"/>
        <v/>
      </c>
      <c r="O518" s="29" t="str">
        <f t="shared" si="56"/>
        <v/>
      </c>
      <c r="P518" s="61"/>
      <c r="Q518" s="61"/>
      <c r="R518" s="61"/>
      <c r="S518" s="45"/>
      <c r="T518" s="29" t="str">
        <f t="shared" si="57"/>
        <v/>
      </c>
    </row>
    <row r="519" spans="1:20">
      <c r="A519" s="10" t="str">
        <f t="shared" si="62"/>
        <v/>
      </c>
      <c r="B519" s="63"/>
      <c r="C519" s="25" t="str">
        <f t="shared" si="58"/>
        <v/>
      </c>
      <c r="D519" s="25" t="str">
        <f t="shared" si="59"/>
        <v/>
      </c>
      <c r="E519" s="45"/>
      <c r="F519" s="28" t="str">
        <f>IFERROR(VLOOKUP(E519,Category!$D$2:$E$600,2,FALSE),"")</f>
        <v/>
      </c>
      <c r="G519" s="65"/>
      <c r="H519" s="56"/>
      <c r="I519" s="66"/>
      <c r="J519" s="67"/>
      <c r="K519" s="67"/>
      <c r="L519" s="67"/>
      <c r="M519" s="29" t="str">
        <f t="shared" si="60"/>
        <v/>
      </c>
      <c r="N519" s="29" t="str">
        <f t="shared" si="61"/>
        <v/>
      </c>
      <c r="O519" s="29" t="str">
        <f t="shared" si="56"/>
        <v/>
      </c>
      <c r="P519" s="61"/>
      <c r="Q519" s="61"/>
      <c r="R519" s="61"/>
      <c r="S519" s="45"/>
      <c r="T519" s="29" t="str">
        <f t="shared" si="57"/>
        <v/>
      </c>
    </row>
    <row r="520" spans="1:20">
      <c r="A520" s="10" t="str">
        <f t="shared" si="62"/>
        <v/>
      </c>
      <c r="B520" s="63"/>
      <c r="C520" s="25" t="str">
        <f t="shared" si="58"/>
        <v/>
      </c>
      <c r="D520" s="25" t="str">
        <f t="shared" si="59"/>
        <v/>
      </c>
      <c r="E520" s="45"/>
      <c r="F520" s="28" t="str">
        <f>IFERROR(VLOOKUP(E520,Category!$D$2:$E$600,2,FALSE),"")</f>
        <v/>
      </c>
      <c r="G520" s="65"/>
      <c r="H520" s="56"/>
      <c r="I520" s="66"/>
      <c r="J520" s="67"/>
      <c r="K520" s="67"/>
      <c r="L520" s="67"/>
      <c r="M520" s="29" t="str">
        <f t="shared" si="60"/>
        <v/>
      </c>
      <c r="N520" s="29" t="str">
        <f t="shared" si="61"/>
        <v/>
      </c>
      <c r="O520" s="29" t="str">
        <f t="shared" si="56"/>
        <v/>
      </c>
      <c r="P520" s="61"/>
      <c r="Q520" s="61"/>
      <c r="R520" s="61"/>
      <c r="S520" s="45"/>
      <c r="T520" s="29" t="str">
        <f t="shared" si="57"/>
        <v/>
      </c>
    </row>
    <row r="521" spans="1:20">
      <c r="A521" s="10" t="str">
        <f t="shared" si="62"/>
        <v/>
      </c>
      <c r="B521" s="63"/>
      <c r="C521" s="25" t="str">
        <f t="shared" si="58"/>
        <v/>
      </c>
      <c r="D521" s="25" t="str">
        <f t="shared" si="59"/>
        <v/>
      </c>
      <c r="E521" s="45"/>
      <c r="F521" s="28" t="str">
        <f>IFERROR(VLOOKUP(E521,Category!$D$2:$E$600,2,FALSE),"")</f>
        <v/>
      </c>
      <c r="G521" s="65"/>
      <c r="H521" s="56"/>
      <c r="I521" s="66"/>
      <c r="J521" s="67"/>
      <c r="K521" s="67"/>
      <c r="L521" s="67"/>
      <c r="M521" s="29" t="str">
        <f t="shared" si="60"/>
        <v/>
      </c>
      <c r="N521" s="29" t="str">
        <f t="shared" si="61"/>
        <v/>
      </c>
      <c r="O521" s="29" t="str">
        <f t="shared" si="56"/>
        <v/>
      </c>
      <c r="P521" s="61"/>
      <c r="Q521" s="61"/>
      <c r="R521" s="61"/>
      <c r="S521" s="45"/>
      <c r="T521" s="29" t="str">
        <f t="shared" si="57"/>
        <v/>
      </c>
    </row>
    <row r="522" spans="1:20">
      <c r="A522" s="10" t="str">
        <f t="shared" si="62"/>
        <v/>
      </c>
      <c r="B522" s="63"/>
      <c r="C522" s="25" t="str">
        <f t="shared" si="58"/>
        <v/>
      </c>
      <c r="D522" s="25" t="str">
        <f t="shared" si="59"/>
        <v/>
      </c>
      <c r="E522" s="45"/>
      <c r="F522" s="28" t="str">
        <f>IFERROR(VLOOKUP(E522,Category!$D$2:$E$600,2,FALSE),"")</f>
        <v/>
      </c>
      <c r="G522" s="65"/>
      <c r="H522" s="56"/>
      <c r="I522" s="66"/>
      <c r="J522" s="67"/>
      <c r="K522" s="67"/>
      <c r="L522" s="67"/>
      <c r="M522" s="29" t="str">
        <f t="shared" si="60"/>
        <v/>
      </c>
      <c r="N522" s="29" t="str">
        <f t="shared" si="61"/>
        <v/>
      </c>
      <c r="O522" s="29" t="str">
        <f t="shared" si="56"/>
        <v/>
      </c>
      <c r="P522" s="61"/>
      <c r="Q522" s="61"/>
      <c r="R522" s="61"/>
      <c r="S522" s="45"/>
      <c r="T522" s="29" t="str">
        <f t="shared" si="57"/>
        <v/>
      </c>
    </row>
    <row r="523" spans="1:20">
      <c r="A523" s="10" t="str">
        <f t="shared" si="62"/>
        <v/>
      </c>
      <c r="B523" s="63"/>
      <c r="C523" s="25" t="str">
        <f t="shared" si="58"/>
        <v/>
      </c>
      <c r="D523" s="25" t="str">
        <f t="shared" si="59"/>
        <v/>
      </c>
      <c r="E523" s="45"/>
      <c r="F523" s="28" t="str">
        <f>IFERROR(VLOOKUP(E523,Category!$D$2:$E$600,2,FALSE),"")</f>
        <v/>
      </c>
      <c r="G523" s="65"/>
      <c r="H523" s="56"/>
      <c r="I523" s="66"/>
      <c r="J523" s="67"/>
      <c r="K523" s="67"/>
      <c r="L523" s="67"/>
      <c r="M523" s="29" t="str">
        <f t="shared" si="60"/>
        <v/>
      </c>
      <c r="N523" s="29" t="str">
        <f t="shared" si="61"/>
        <v/>
      </c>
      <c r="O523" s="29" t="str">
        <f t="shared" si="56"/>
        <v/>
      </c>
      <c r="P523" s="61"/>
      <c r="Q523" s="61"/>
      <c r="R523" s="61"/>
      <c r="S523" s="45"/>
      <c r="T523" s="29" t="str">
        <f t="shared" si="57"/>
        <v/>
      </c>
    </row>
    <row r="524" spans="1:20">
      <c r="A524" s="10" t="str">
        <f t="shared" si="62"/>
        <v/>
      </c>
      <c r="B524" s="63"/>
      <c r="C524" s="25" t="str">
        <f t="shared" si="58"/>
        <v/>
      </c>
      <c r="D524" s="25" t="str">
        <f t="shared" si="59"/>
        <v/>
      </c>
      <c r="E524" s="45"/>
      <c r="F524" s="28" t="str">
        <f>IFERROR(VLOOKUP(E524,Category!$D$2:$E$600,2,FALSE),"")</f>
        <v/>
      </c>
      <c r="G524" s="65"/>
      <c r="H524" s="56"/>
      <c r="I524" s="66"/>
      <c r="J524" s="67"/>
      <c r="K524" s="67"/>
      <c r="L524" s="67"/>
      <c r="M524" s="29" t="str">
        <f t="shared" si="60"/>
        <v/>
      </c>
      <c r="N524" s="29" t="str">
        <f t="shared" si="61"/>
        <v/>
      </c>
      <c r="O524" s="29" t="str">
        <f t="shared" si="56"/>
        <v/>
      </c>
      <c r="P524" s="61"/>
      <c r="Q524" s="61"/>
      <c r="R524" s="61"/>
      <c r="S524" s="45"/>
      <c r="T524" s="29" t="str">
        <f t="shared" si="57"/>
        <v/>
      </c>
    </row>
    <row r="525" spans="1:20">
      <c r="A525" s="10" t="str">
        <f t="shared" si="62"/>
        <v/>
      </c>
      <c r="B525" s="63"/>
      <c r="C525" s="25" t="str">
        <f t="shared" si="58"/>
        <v/>
      </c>
      <c r="D525" s="25" t="str">
        <f t="shared" si="59"/>
        <v/>
      </c>
      <c r="E525" s="45"/>
      <c r="F525" s="28" t="str">
        <f>IFERROR(VLOOKUP(E525,Category!$D$2:$E$600,2,FALSE),"")</f>
        <v/>
      </c>
      <c r="G525" s="65"/>
      <c r="H525" s="56"/>
      <c r="I525" s="66"/>
      <c r="J525" s="67"/>
      <c r="K525" s="67"/>
      <c r="L525" s="67"/>
      <c r="M525" s="29" t="str">
        <f t="shared" si="60"/>
        <v/>
      </c>
      <c r="N525" s="29" t="str">
        <f t="shared" si="61"/>
        <v/>
      </c>
      <c r="O525" s="29" t="str">
        <f t="shared" si="56"/>
        <v/>
      </c>
      <c r="P525" s="61"/>
      <c r="Q525" s="61"/>
      <c r="R525" s="61"/>
      <c r="S525" s="45"/>
      <c r="T525" s="29" t="str">
        <f t="shared" si="57"/>
        <v/>
      </c>
    </row>
    <row r="526" spans="1:20">
      <c r="A526" s="10" t="str">
        <f t="shared" si="62"/>
        <v/>
      </c>
      <c r="B526" s="63"/>
      <c r="C526" s="25" t="str">
        <f t="shared" si="58"/>
        <v/>
      </c>
      <c r="D526" s="25" t="str">
        <f t="shared" si="59"/>
        <v/>
      </c>
      <c r="E526" s="45"/>
      <c r="F526" s="28" t="str">
        <f>IFERROR(VLOOKUP(E526,Category!$D$2:$E$600,2,FALSE),"")</f>
        <v/>
      </c>
      <c r="G526" s="65"/>
      <c r="H526" s="56"/>
      <c r="I526" s="66"/>
      <c r="J526" s="67"/>
      <c r="K526" s="67"/>
      <c r="L526" s="67"/>
      <c r="M526" s="29" t="str">
        <f t="shared" si="60"/>
        <v/>
      </c>
      <c r="N526" s="29" t="str">
        <f t="shared" si="61"/>
        <v/>
      </c>
      <c r="O526" s="29" t="str">
        <f t="shared" si="56"/>
        <v/>
      </c>
      <c r="P526" s="61"/>
      <c r="Q526" s="61"/>
      <c r="R526" s="61"/>
      <c r="S526" s="45"/>
      <c r="T526" s="29" t="str">
        <f t="shared" si="57"/>
        <v/>
      </c>
    </row>
    <row r="527" spans="1:20">
      <c r="A527" s="10" t="str">
        <f t="shared" si="62"/>
        <v/>
      </c>
      <c r="B527" s="63"/>
      <c r="C527" s="25" t="str">
        <f t="shared" si="58"/>
        <v/>
      </c>
      <c r="D527" s="25" t="str">
        <f t="shared" si="59"/>
        <v/>
      </c>
      <c r="E527" s="45"/>
      <c r="F527" s="28" t="str">
        <f>IFERROR(VLOOKUP(E527,Category!$D$2:$E$600,2,FALSE),"")</f>
        <v/>
      </c>
      <c r="G527" s="65"/>
      <c r="H527" s="56"/>
      <c r="I527" s="66"/>
      <c r="J527" s="67"/>
      <c r="K527" s="67"/>
      <c r="L527" s="67"/>
      <c r="M527" s="29" t="str">
        <f t="shared" si="60"/>
        <v/>
      </c>
      <c r="N527" s="29" t="str">
        <f t="shared" si="61"/>
        <v/>
      </c>
      <c r="O527" s="29" t="str">
        <f t="shared" si="56"/>
        <v/>
      </c>
      <c r="P527" s="61"/>
      <c r="Q527" s="61"/>
      <c r="R527" s="61"/>
      <c r="S527" s="45"/>
      <c r="T527" s="29" t="str">
        <f t="shared" si="57"/>
        <v/>
      </c>
    </row>
    <row r="528" spans="1:20">
      <c r="A528" s="10" t="str">
        <f t="shared" si="62"/>
        <v/>
      </c>
      <c r="B528" s="63"/>
      <c r="C528" s="25" t="str">
        <f t="shared" si="58"/>
        <v/>
      </c>
      <c r="D528" s="25" t="str">
        <f t="shared" si="59"/>
        <v/>
      </c>
      <c r="E528" s="45"/>
      <c r="F528" s="28" t="str">
        <f>IFERROR(VLOOKUP(E528,Category!$D$2:$E$600,2,FALSE),"")</f>
        <v/>
      </c>
      <c r="G528" s="65"/>
      <c r="H528" s="56"/>
      <c r="I528" s="66"/>
      <c r="J528" s="67"/>
      <c r="K528" s="67"/>
      <c r="L528" s="67"/>
      <c r="M528" s="29" t="str">
        <f t="shared" si="60"/>
        <v/>
      </c>
      <c r="N528" s="29" t="str">
        <f t="shared" si="61"/>
        <v/>
      </c>
      <c r="O528" s="29" t="str">
        <f t="shared" si="56"/>
        <v/>
      </c>
      <c r="P528" s="61"/>
      <c r="Q528" s="61"/>
      <c r="R528" s="61"/>
      <c r="S528" s="45"/>
      <c r="T528" s="29" t="str">
        <f t="shared" si="57"/>
        <v/>
      </c>
    </row>
    <row r="529" spans="1:20">
      <c r="A529" s="10" t="str">
        <f t="shared" si="62"/>
        <v/>
      </c>
      <c r="B529" s="63"/>
      <c r="C529" s="25" t="str">
        <f t="shared" si="58"/>
        <v/>
      </c>
      <c r="D529" s="25" t="str">
        <f t="shared" si="59"/>
        <v/>
      </c>
      <c r="E529" s="45"/>
      <c r="F529" s="28" t="str">
        <f>IFERROR(VLOOKUP(E529,Category!$D$2:$E$600,2,FALSE),"")</f>
        <v/>
      </c>
      <c r="G529" s="65"/>
      <c r="H529" s="56"/>
      <c r="I529" s="66"/>
      <c r="J529" s="67"/>
      <c r="K529" s="67"/>
      <c r="L529" s="67"/>
      <c r="M529" s="29" t="str">
        <f t="shared" si="60"/>
        <v/>
      </c>
      <c r="N529" s="29" t="str">
        <f t="shared" si="61"/>
        <v/>
      </c>
      <c r="O529" s="29" t="str">
        <f t="shared" si="56"/>
        <v/>
      </c>
      <c r="P529" s="61"/>
      <c r="Q529" s="61"/>
      <c r="R529" s="61"/>
      <c r="S529" s="45"/>
      <c r="T529" s="29" t="str">
        <f t="shared" si="57"/>
        <v/>
      </c>
    </row>
    <row r="530" spans="1:20">
      <c r="A530" s="10" t="str">
        <f t="shared" si="62"/>
        <v/>
      </c>
      <c r="B530" s="63"/>
      <c r="C530" s="25" t="str">
        <f t="shared" si="58"/>
        <v/>
      </c>
      <c r="D530" s="25" t="str">
        <f t="shared" si="59"/>
        <v/>
      </c>
      <c r="E530" s="45"/>
      <c r="F530" s="28" t="str">
        <f>IFERROR(VLOOKUP(E530,Category!$D$2:$E$600,2,FALSE),"")</f>
        <v/>
      </c>
      <c r="G530" s="65"/>
      <c r="H530" s="56"/>
      <c r="I530" s="66"/>
      <c r="J530" s="67"/>
      <c r="K530" s="67"/>
      <c r="L530" s="67"/>
      <c r="M530" s="29" t="str">
        <f t="shared" si="60"/>
        <v/>
      </c>
      <c r="N530" s="29" t="str">
        <f t="shared" si="61"/>
        <v/>
      </c>
      <c r="O530" s="29" t="str">
        <f t="shared" si="56"/>
        <v/>
      </c>
      <c r="P530" s="61"/>
      <c r="Q530" s="61"/>
      <c r="R530" s="61"/>
      <c r="S530" s="45"/>
      <c r="T530" s="29" t="str">
        <f t="shared" si="57"/>
        <v/>
      </c>
    </row>
    <row r="531" spans="1:20">
      <c r="A531" s="10" t="str">
        <f t="shared" si="62"/>
        <v/>
      </c>
      <c r="B531" s="63"/>
      <c r="C531" s="25" t="str">
        <f t="shared" si="58"/>
        <v/>
      </c>
      <c r="D531" s="25" t="str">
        <f t="shared" si="59"/>
        <v/>
      </c>
      <c r="E531" s="45"/>
      <c r="F531" s="28" t="str">
        <f>IFERROR(VLOOKUP(E531,Category!$D$2:$E$600,2,FALSE),"")</f>
        <v/>
      </c>
      <c r="G531" s="65"/>
      <c r="H531" s="56"/>
      <c r="I531" s="66"/>
      <c r="J531" s="67"/>
      <c r="K531" s="67"/>
      <c r="L531" s="67"/>
      <c r="M531" s="29" t="str">
        <f t="shared" si="60"/>
        <v/>
      </c>
      <c r="N531" s="29" t="str">
        <f t="shared" si="61"/>
        <v/>
      </c>
      <c r="O531" s="29" t="str">
        <f t="shared" si="56"/>
        <v/>
      </c>
      <c r="P531" s="61"/>
      <c r="Q531" s="61"/>
      <c r="R531" s="61"/>
      <c r="S531" s="45"/>
      <c r="T531" s="29" t="str">
        <f t="shared" si="57"/>
        <v/>
      </c>
    </row>
    <row r="532" spans="1:20">
      <c r="A532" s="10" t="str">
        <f t="shared" si="62"/>
        <v/>
      </c>
      <c r="B532" s="63"/>
      <c r="C532" s="25" t="str">
        <f t="shared" si="58"/>
        <v/>
      </c>
      <c r="D532" s="25" t="str">
        <f t="shared" si="59"/>
        <v/>
      </c>
      <c r="E532" s="45"/>
      <c r="F532" s="28" t="str">
        <f>IFERROR(VLOOKUP(E532,Category!$D$2:$E$600,2,FALSE),"")</f>
        <v/>
      </c>
      <c r="G532" s="65"/>
      <c r="H532" s="56"/>
      <c r="I532" s="66"/>
      <c r="J532" s="67"/>
      <c r="K532" s="67"/>
      <c r="L532" s="67"/>
      <c r="M532" s="29" t="str">
        <f t="shared" si="60"/>
        <v/>
      </c>
      <c r="N532" s="29" t="str">
        <f t="shared" si="61"/>
        <v/>
      </c>
      <c r="O532" s="29" t="str">
        <f t="shared" si="56"/>
        <v/>
      </c>
      <c r="P532" s="61"/>
      <c r="Q532" s="61"/>
      <c r="R532" s="61"/>
      <c r="S532" s="45"/>
      <c r="T532" s="29" t="str">
        <f t="shared" si="57"/>
        <v/>
      </c>
    </row>
    <row r="533" spans="1:20">
      <c r="A533" s="10" t="str">
        <f t="shared" si="62"/>
        <v/>
      </c>
      <c r="B533" s="63"/>
      <c r="C533" s="25" t="str">
        <f t="shared" si="58"/>
        <v/>
      </c>
      <c r="D533" s="25" t="str">
        <f t="shared" si="59"/>
        <v/>
      </c>
      <c r="E533" s="45"/>
      <c r="F533" s="28" t="str">
        <f>IFERROR(VLOOKUP(E533,Category!$D$2:$E$600,2,FALSE),"")</f>
        <v/>
      </c>
      <c r="G533" s="65"/>
      <c r="H533" s="56"/>
      <c r="I533" s="66"/>
      <c r="J533" s="67"/>
      <c r="K533" s="67"/>
      <c r="L533" s="67"/>
      <c r="M533" s="29" t="str">
        <f t="shared" si="60"/>
        <v/>
      </c>
      <c r="N533" s="29" t="str">
        <f t="shared" si="61"/>
        <v/>
      </c>
      <c r="O533" s="29" t="str">
        <f t="shared" si="56"/>
        <v/>
      </c>
      <c r="P533" s="61"/>
      <c r="Q533" s="61"/>
      <c r="R533" s="61"/>
      <c r="S533" s="45"/>
      <c r="T533" s="29" t="str">
        <f t="shared" si="57"/>
        <v/>
      </c>
    </row>
    <row r="534" spans="1:20">
      <c r="A534" s="10" t="str">
        <f t="shared" si="62"/>
        <v/>
      </c>
      <c r="B534" s="63"/>
      <c r="C534" s="25" t="str">
        <f t="shared" si="58"/>
        <v/>
      </c>
      <c r="D534" s="25" t="str">
        <f t="shared" si="59"/>
        <v/>
      </c>
      <c r="E534" s="45"/>
      <c r="F534" s="28" t="str">
        <f>IFERROR(VLOOKUP(E534,Category!$D$2:$E$600,2,FALSE),"")</f>
        <v/>
      </c>
      <c r="G534" s="65"/>
      <c r="H534" s="56"/>
      <c r="I534" s="66"/>
      <c r="J534" s="67"/>
      <c r="K534" s="67"/>
      <c r="L534" s="67"/>
      <c r="M534" s="29" t="str">
        <f t="shared" si="60"/>
        <v/>
      </c>
      <c r="N534" s="29" t="str">
        <f t="shared" si="61"/>
        <v/>
      </c>
      <c r="O534" s="29" t="str">
        <f t="shared" si="56"/>
        <v/>
      </c>
      <c r="P534" s="61"/>
      <c r="Q534" s="61"/>
      <c r="R534" s="61"/>
      <c r="S534" s="45"/>
      <c r="T534" s="29" t="str">
        <f t="shared" si="57"/>
        <v/>
      </c>
    </row>
    <row r="535" spans="1:20">
      <c r="A535" s="10" t="str">
        <f t="shared" si="62"/>
        <v/>
      </c>
      <c r="B535" s="63"/>
      <c r="C535" s="25" t="str">
        <f t="shared" si="58"/>
        <v/>
      </c>
      <c r="D535" s="25" t="str">
        <f t="shared" si="59"/>
        <v/>
      </c>
      <c r="E535" s="45"/>
      <c r="F535" s="28" t="str">
        <f>IFERROR(VLOOKUP(E535,Category!$D$2:$E$600,2,FALSE),"")</f>
        <v/>
      </c>
      <c r="G535" s="65"/>
      <c r="H535" s="56"/>
      <c r="I535" s="66"/>
      <c r="J535" s="67"/>
      <c r="K535" s="67"/>
      <c r="L535" s="67"/>
      <c r="M535" s="29" t="str">
        <f t="shared" si="60"/>
        <v/>
      </c>
      <c r="N535" s="29" t="str">
        <f t="shared" si="61"/>
        <v/>
      </c>
      <c r="O535" s="29" t="str">
        <f t="shared" si="56"/>
        <v/>
      </c>
      <c r="P535" s="61"/>
      <c r="Q535" s="61"/>
      <c r="R535" s="61"/>
      <c r="S535" s="45"/>
      <c r="T535" s="29" t="str">
        <f t="shared" si="57"/>
        <v/>
      </c>
    </row>
    <row r="536" spans="1:20">
      <c r="A536" s="10" t="str">
        <f t="shared" si="62"/>
        <v/>
      </c>
      <c r="B536" s="63"/>
      <c r="C536" s="25" t="str">
        <f t="shared" si="58"/>
        <v/>
      </c>
      <c r="D536" s="25" t="str">
        <f t="shared" si="59"/>
        <v/>
      </c>
      <c r="E536" s="45"/>
      <c r="F536" s="28" t="str">
        <f>IFERROR(VLOOKUP(E536,Category!$D$2:$E$600,2,FALSE),"")</f>
        <v/>
      </c>
      <c r="G536" s="65"/>
      <c r="H536" s="56"/>
      <c r="I536" s="66"/>
      <c r="J536" s="67"/>
      <c r="K536" s="67"/>
      <c r="L536" s="67"/>
      <c r="M536" s="29" t="str">
        <f t="shared" si="60"/>
        <v/>
      </c>
      <c r="N536" s="29" t="str">
        <f t="shared" si="61"/>
        <v/>
      </c>
      <c r="O536" s="29" t="str">
        <f t="shared" si="56"/>
        <v/>
      </c>
      <c r="P536" s="61"/>
      <c r="Q536" s="61"/>
      <c r="R536" s="61"/>
      <c r="S536" s="45"/>
      <c r="T536" s="29" t="str">
        <f t="shared" si="57"/>
        <v/>
      </c>
    </row>
    <row r="537" spans="1:20">
      <c r="A537" s="10" t="str">
        <f t="shared" si="62"/>
        <v/>
      </c>
      <c r="B537" s="63"/>
      <c r="C537" s="25" t="str">
        <f t="shared" si="58"/>
        <v/>
      </c>
      <c r="D537" s="25" t="str">
        <f t="shared" si="59"/>
        <v/>
      </c>
      <c r="E537" s="45"/>
      <c r="F537" s="28" t="str">
        <f>IFERROR(VLOOKUP(E537,Category!$D$2:$E$600,2,FALSE),"")</f>
        <v/>
      </c>
      <c r="G537" s="65"/>
      <c r="H537" s="56"/>
      <c r="I537" s="66"/>
      <c r="J537" s="67"/>
      <c r="K537" s="67"/>
      <c r="L537" s="67"/>
      <c r="M537" s="29" t="str">
        <f t="shared" si="60"/>
        <v/>
      </c>
      <c r="N537" s="29" t="str">
        <f t="shared" si="61"/>
        <v/>
      </c>
      <c r="O537" s="29" t="str">
        <f t="shared" si="56"/>
        <v/>
      </c>
      <c r="P537" s="61"/>
      <c r="Q537" s="61"/>
      <c r="R537" s="61"/>
      <c r="S537" s="45"/>
      <c r="T537" s="29" t="str">
        <f t="shared" si="57"/>
        <v/>
      </c>
    </row>
    <row r="538" spans="1:20">
      <c r="A538" s="10" t="str">
        <f t="shared" si="62"/>
        <v/>
      </c>
      <c r="B538" s="63"/>
      <c r="C538" s="25" t="str">
        <f t="shared" si="58"/>
        <v/>
      </c>
      <c r="D538" s="25" t="str">
        <f t="shared" si="59"/>
        <v/>
      </c>
      <c r="E538" s="45"/>
      <c r="F538" s="28" t="str">
        <f>IFERROR(VLOOKUP(E538,Category!$D$2:$E$600,2,FALSE),"")</f>
        <v/>
      </c>
      <c r="G538" s="65"/>
      <c r="H538" s="56"/>
      <c r="I538" s="66"/>
      <c r="J538" s="67"/>
      <c r="K538" s="67"/>
      <c r="L538" s="67"/>
      <c r="M538" s="29" t="str">
        <f t="shared" si="60"/>
        <v/>
      </c>
      <c r="N538" s="29" t="str">
        <f t="shared" si="61"/>
        <v/>
      </c>
      <c r="O538" s="29" t="str">
        <f t="shared" si="56"/>
        <v/>
      </c>
      <c r="P538" s="61"/>
      <c r="Q538" s="61"/>
      <c r="R538" s="61"/>
      <c r="S538" s="45"/>
      <c r="T538" s="29" t="str">
        <f t="shared" si="57"/>
        <v/>
      </c>
    </row>
    <row r="539" spans="1:20">
      <c r="A539" s="10" t="str">
        <f t="shared" si="62"/>
        <v/>
      </c>
      <c r="B539" s="63"/>
      <c r="C539" s="25" t="str">
        <f t="shared" si="58"/>
        <v/>
      </c>
      <c r="D539" s="25" t="str">
        <f t="shared" si="59"/>
        <v/>
      </c>
      <c r="E539" s="45"/>
      <c r="F539" s="28" t="str">
        <f>IFERROR(VLOOKUP(E539,Category!$D$2:$E$600,2,FALSE),"")</f>
        <v/>
      </c>
      <c r="G539" s="65"/>
      <c r="H539" s="56"/>
      <c r="I539" s="66"/>
      <c r="J539" s="67"/>
      <c r="K539" s="67"/>
      <c r="L539" s="67"/>
      <c r="M539" s="29" t="str">
        <f t="shared" si="60"/>
        <v/>
      </c>
      <c r="N539" s="29" t="str">
        <f t="shared" si="61"/>
        <v/>
      </c>
      <c r="O539" s="29" t="str">
        <f t="shared" si="56"/>
        <v/>
      </c>
      <c r="P539" s="61"/>
      <c r="Q539" s="61"/>
      <c r="R539" s="61"/>
      <c r="S539" s="45"/>
      <c r="T539" s="29" t="str">
        <f t="shared" si="57"/>
        <v/>
      </c>
    </row>
    <row r="540" spans="1:20">
      <c r="A540" s="10" t="str">
        <f t="shared" si="62"/>
        <v/>
      </c>
      <c r="B540" s="63"/>
      <c r="C540" s="25" t="str">
        <f t="shared" si="58"/>
        <v/>
      </c>
      <c r="D540" s="25" t="str">
        <f t="shared" si="59"/>
        <v/>
      </c>
      <c r="E540" s="45"/>
      <c r="F540" s="28" t="str">
        <f>IFERROR(VLOOKUP(E540,Category!$D$2:$E$600,2,FALSE),"")</f>
        <v/>
      </c>
      <c r="G540" s="65"/>
      <c r="H540" s="56"/>
      <c r="I540" s="66"/>
      <c r="J540" s="67"/>
      <c r="K540" s="67"/>
      <c r="L540" s="67"/>
      <c r="M540" s="29" t="str">
        <f t="shared" si="60"/>
        <v/>
      </c>
      <c r="N540" s="29" t="str">
        <f t="shared" si="61"/>
        <v/>
      </c>
      <c r="O540" s="29" t="str">
        <f t="shared" si="56"/>
        <v/>
      </c>
      <c r="P540" s="61"/>
      <c r="Q540" s="61"/>
      <c r="R540" s="61"/>
      <c r="S540" s="45"/>
      <c r="T540" s="29" t="str">
        <f t="shared" si="57"/>
        <v/>
      </c>
    </row>
    <row r="541" spans="1:20">
      <c r="A541" s="10" t="str">
        <f t="shared" si="62"/>
        <v/>
      </c>
      <c r="B541" s="63"/>
      <c r="C541" s="25" t="str">
        <f t="shared" si="58"/>
        <v/>
      </c>
      <c r="D541" s="25" t="str">
        <f t="shared" si="59"/>
        <v/>
      </c>
      <c r="E541" s="45"/>
      <c r="F541" s="28" t="str">
        <f>IFERROR(VLOOKUP(E541,Category!$D$2:$E$600,2,FALSE),"")</f>
        <v/>
      </c>
      <c r="G541" s="65"/>
      <c r="H541" s="56"/>
      <c r="I541" s="66"/>
      <c r="J541" s="67"/>
      <c r="K541" s="67"/>
      <c r="L541" s="67"/>
      <c r="M541" s="29" t="str">
        <f t="shared" si="60"/>
        <v/>
      </c>
      <c r="N541" s="29" t="str">
        <f t="shared" si="61"/>
        <v/>
      </c>
      <c r="O541" s="29" t="str">
        <f t="shared" si="56"/>
        <v/>
      </c>
      <c r="P541" s="61"/>
      <c r="Q541" s="61"/>
      <c r="R541" s="61"/>
      <c r="S541" s="45"/>
      <c r="T541" s="29" t="str">
        <f t="shared" si="57"/>
        <v/>
      </c>
    </row>
    <row r="542" spans="1:20">
      <c r="A542" s="10" t="str">
        <f t="shared" si="62"/>
        <v/>
      </c>
      <c r="B542" s="63"/>
      <c r="C542" s="25" t="str">
        <f t="shared" si="58"/>
        <v/>
      </c>
      <c r="D542" s="25" t="str">
        <f t="shared" si="59"/>
        <v/>
      </c>
      <c r="E542" s="45"/>
      <c r="F542" s="28" t="str">
        <f>IFERROR(VLOOKUP(E542,Category!$D$2:$E$600,2,FALSE),"")</f>
        <v/>
      </c>
      <c r="G542" s="65"/>
      <c r="H542" s="56"/>
      <c r="I542" s="66"/>
      <c r="J542" s="67"/>
      <c r="K542" s="67"/>
      <c r="L542" s="67"/>
      <c r="M542" s="29" t="str">
        <f t="shared" si="60"/>
        <v/>
      </c>
      <c r="N542" s="29" t="str">
        <f t="shared" si="61"/>
        <v/>
      </c>
      <c r="O542" s="29" t="str">
        <f t="shared" si="56"/>
        <v/>
      </c>
      <c r="P542" s="61"/>
      <c r="Q542" s="61"/>
      <c r="R542" s="61"/>
      <c r="S542" s="45"/>
      <c r="T542" s="29" t="str">
        <f t="shared" si="57"/>
        <v/>
      </c>
    </row>
    <row r="543" spans="1:20">
      <c r="A543" s="10" t="str">
        <f t="shared" si="62"/>
        <v/>
      </c>
      <c r="B543" s="63"/>
      <c r="C543" s="25" t="str">
        <f t="shared" si="58"/>
        <v/>
      </c>
      <c r="D543" s="25" t="str">
        <f t="shared" si="59"/>
        <v/>
      </c>
      <c r="E543" s="45"/>
      <c r="F543" s="28" t="str">
        <f>IFERROR(VLOOKUP(E543,Category!$D$2:$E$600,2,FALSE),"")</f>
        <v/>
      </c>
      <c r="G543" s="65"/>
      <c r="H543" s="56"/>
      <c r="I543" s="66"/>
      <c r="J543" s="67"/>
      <c r="K543" s="67"/>
      <c r="L543" s="67"/>
      <c r="M543" s="29" t="str">
        <f t="shared" si="60"/>
        <v/>
      </c>
      <c r="N543" s="29" t="str">
        <f t="shared" si="61"/>
        <v/>
      </c>
      <c r="O543" s="29" t="str">
        <f t="shared" si="56"/>
        <v/>
      </c>
      <c r="P543" s="61"/>
      <c r="Q543" s="61"/>
      <c r="R543" s="61"/>
      <c r="S543" s="45"/>
      <c r="T543" s="29" t="str">
        <f t="shared" si="57"/>
        <v/>
      </c>
    </row>
    <row r="544" spans="1:20">
      <c r="A544" s="10" t="str">
        <f t="shared" si="62"/>
        <v/>
      </c>
      <c r="B544" s="63"/>
      <c r="C544" s="25" t="str">
        <f t="shared" si="58"/>
        <v/>
      </c>
      <c r="D544" s="25" t="str">
        <f t="shared" si="59"/>
        <v/>
      </c>
      <c r="E544" s="45"/>
      <c r="F544" s="28" t="str">
        <f>IFERROR(VLOOKUP(E544,Category!$D$2:$E$600,2,FALSE),"")</f>
        <v/>
      </c>
      <c r="G544" s="65"/>
      <c r="H544" s="56"/>
      <c r="I544" s="66"/>
      <c r="J544" s="67"/>
      <c r="K544" s="67"/>
      <c r="L544" s="67"/>
      <c r="M544" s="29" t="str">
        <f t="shared" si="60"/>
        <v/>
      </c>
      <c r="N544" s="29" t="str">
        <f t="shared" si="61"/>
        <v/>
      </c>
      <c r="O544" s="29" t="str">
        <f t="shared" si="56"/>
        <v/>
      </c>
      <c r="P544" s="61"/>
      <c r="Q544" s="61"/>
      <c r="R544" s="61"/>
      <c r="S544" s="45"/>
      <c r="T544" s="29" t="str">
        <f t="shared" si="57"/>
        <v/>
      </c>
    </row>
    <row r="545" spans="1:20">
      <c r="A545" s="10" t="str">
        <f t="shared" si="62"/>
        <v/>
      </c>
      <c r="B545" s="63"/>
      <c r="C545" s="25" t="str">
        <f t="shared" si="58"/>
        <v/>
      </c>
      <c r="D545" s="25" t="str">
        <f t="shared" si="59"/>
        <v/>
      </c>
      <c r="E545" s="45"/>
      <c r="F545" s="28" t="str">
        <f>IFERROR(VLOOKUP(E545,Category!$D$2:$E$600,2,FALSE),"")</f>
        <v/>
      </c>
      <c r="G545" s="65"/>
      <c r="H545" s="56"/>
      <c r="I545" s="66"/>
      <c r="J545" s="67"/>
      <c r="K545" s="67"/>
      <c r="L545" s="67"/>
      <c r="M545" s="29" t="str">
        <f t="shared" si="60"/>
        <v/>
      </c>
      <c r="N545" s="29" t="str">
        <f t="shared" si="61"/>
        <v/>
      </c>
      <c r="O545" s="29" t="str">
        <f t="shared" si="56"/>
        <v/>
      </c>
      <c r="P545" s="61"/>
      <c r="Q545" s="61"/>
      <c r="R545" s="61"/>
      <c r="S545" s="45"/>
      <c r="T545" s="29" t="str">
        <f t="shared" si="57"/>
        <v/>
      </c>
    </row>
    <row r="546" spans="1:20">
      <c r="A546" s="10" t="str">
        <f t="shared" si="62"/>
        <v/>
      </c>
      <c r="B546" s="63"/>
      <c r="C546" s="25" t="str">
        <f t="shared" si="58"/>
        <v/>
      </c>
      <c r="D546" s="25" t="str">
        <f t="shared" si="59"/>
        <v/>
      </c>
      <c r="E546" s="45"/>
      <c r="F546" s="28" t="str">
        <f>IFERROR(VLOOKUP(E546,Category!$D$2:$E$600,2,FALSE),"")</f>
        <v/>
      </c>
      <c r="G546" s="65"/>
      <c r="H546" s="56"/>
      <c r="I546" s="66"/>
      <c r="J546" s="67"/>
      <c r="K546" s="67"/>
      <c r="L546" s="67"/>
      <c r="M546" s="29" t="str">
        <f t="shared" si="60"/>
        <v/>
      </c>
      <c r="N546" s="29" t="str">
        <f t="shared" si="61"/>
        <v/>
      </c>
      <c r="O546" s="29" t="str">
        <f t="shared" si="56"/>
        <v/>
      </c>
      <c r="P546" s="61"/>
      <c r="Q546" s="61"/>
      <c r="R546" s="61"/>
      <c r="S546" s="45"/>
      <c r="T546" s="29" t="str">
        <f t="shared" si="57"/>
        <v/>
      </c>
    </row>
    <row r="547" spans="1:20">
      <c r="A547" s="10" t="str">
        <f t="shared" si="62"/>
        <v/>
      </c>
      <c r="B547" s="63"/>
      <c r="C547" s="25" t="str">
        <f t="shared" si="58"/>
        <v/>
      </c>
      <c r="D547" s="25" t="str">
        <f t="shared" si="59"/>
        <v/>
      </c>
      <c r="E547" s="45"/>
      <c r="F547" s="28" t="str">
        <f>IFERROR(VLOOKUP(E547,Category!$D$2:$E$600,2,FALSE),"")</f>
        <v/>
      </c>
      <c r="G547" s="65"/>
      <c r="H547" s="56"/>
      <c r="I547" s="66"/>
      <c r="J547" s="67"/>
      <c r="K547" s="67"/>
      <c r="L547" s="67"/>
      <c r="M547" s="29" t="str">
        <f t="shared" si="60"/>
        <v/>
      </c>
      <c r="N547" s="29" t="str">
        <f t="shared" si="61"/>
        <v/>
      </c>
      <c r="O547" s="29" t="str">
        <f t="shared" si="56"/>
        <v/>
      </c>
      <c r="P547" s="61"/>
      <c r="Q547" s="61"/>
      <c r="R547" s="61"/>
      <c r="S547" s="45"/>
      <c r="T547" s="29" t="str">
        <f t="shared" si="57"/>
        <v/>
      </c>
    </row>
    <row r="548" spans="1:20">
      <c r="A548" s="10" t="str">
        <f t="shared" si="62"/>
        <v/>
      </c>
      <c r="B548" s="63"/>
      <c r="C548" s="25" t="str">
        <f t="shared" si="58"/>
        <v/>
      </c>
      <c r="D548" s="25" t="str">
        <f t="shared" si="59"/>
        <v/>
      </c>
      <c r="E548" s="45"/>
      <c r="F548" s="28" t="str">
        <f>IFERROR(VLOOKUP(E548,Category!$D$2:$E$600,2,FALSE),"")</f>
        <v/>
      </c>
      <c r="G548" s="65"/>
      <c r="H548" s="56"/>
      <c r="I548" s="66"/>
      <c r="J548" s="67"/>
      <c r="K548" s="67"/>
      <c r="L548" s="67"/>
      <c r="M548" s="29" t="str">
        <f t="shared" si="60"/>
        <v/>
      </c>
      <c r="N548" s="29" t="str">
        <f t="shared" si="61"/>
        <v/>
      </c>
      <c r="O548" s="29" t="str">
        <f t="shared" si="56"/>
        <v/>
      </c>
      <c r="P548" s="61"/>
      <c r="Q548" s="61"/>
      <c r="R548" s="61"/>
      <c r="S548" s="45"/>
      <c r="T548" s="29" t="str">
        <f t="shared" si="57"/>
        <v/>
      </c>
    </row>
    <row r="549" spans="1:20">
      <c r="A549" s="10" t="str">
        <f t="shared" si="62"/>
        <v/>
      </c>
      <c r="B549" s="63"/>
      <c r="C549" s="25" t="str">
        <f t="shared" si="58"/>
        <v/>
      </c>
      <c r="D549" s="25" t="str">
        <f t="shared" si="59"/>
        <v/>
      </c>
      <c r="E549" s="45"/>
      <c r="F549" s="28" t="str">
        <f>IFERROR(VLOOKUP(E549,Category!$D$2:$E$600,2,FALSE),"")</f>
        <v/>
      </c>
      <c r="G549" s="65"/>
      <c r="H549" s="56"/>
      <c r="I549" s="66"/>
      <c r="J549" s="67"/>
      <c r="K549" s="67"/>
      <c r="L549" s="67"/>
      <c r="M549" s="29" t="str">
        <f t="shared" si="60"/>
        <v/>
      </c>
      <c r="N549" s="29" t="str">
        <f t="shared" si="61"/>
        <v/>
      </c>
      <c r="O549" s="29" t="str">
        <f t="shared" si="56"/>
        <v/>
      </c>
      <c r="P549" s="61"/>
      <c r="Q549" s="61"/>
      <c r="R549" s="61"/>
      <c r="S549" s="45"/>
      <c r="T549" s="29" t="str">
        <f t="shared" si="57"/>
        <v/>
      </c>
    </row>
    <row r="550" spans="1:20">
      <c r="A550" s="10" t="str">
        <f t="shared" si="62"/>
        <v/>
      </c>
      <c r="B550" s="63"/>
      <c r="C550" s="25" t="str">
        <f t="shared" si="58"/>
        <v/>
      </c>
      <c r="D550" s="25" t="str">
        <f t="shared" si="59"/>
        <v/>
      </c>
      <c r="E550" s="45"/>
      <c r="F550" s="28" t="str">
        <f>IFERROR(VLOOKUP(E550,Category!$D$2:$E$600,2,FALSE),"")</f>
        <v/>
      </c>
      <c r="G550" s="65"/>
      <c r="H550" s="56"/>
      <c r="I550" s="66"/>
      <c r="J550" s="67"/>
      <c r="K550" s="67"/>
      <c r="L550" s="67"/>
      <c r="M550" s="29" t="str">
        <f t="shared" si="60"/>
        <v/>
      </c>
      <c r="N550" s="29" t="str">
        <f t="shared" si="61"/>
        <v/>
      </c>
      <c r="O550" s="29" t="str">
        <f t="shared" si="56"/>
        <v/>
      </c>
      <c r="P550" s="61"/>
      <c r="Q550" s="61"/>
      <c r="R550" s="61"/>
      <c r="S550" s="45"/>
      <c r="T550" s="29" t="str">
        <f t="shared" si="57"/>
        <v/>
      </c>
    </row>
    <row r="551" spans="1:20">
      <c r="A551" s="10" t="str">
        <f t="shared" si="62"/>
        <v/>
      </c>
      <c r="B551" s="63"/>
      <c r="C551" s="25" t="str">
        <f t="shared" si="58"/>
        <v/>
      </c>
      <c r="D551" s="25" t="str">
        <f t="shared" si="59"/>
        <v/>
      </c>
      <c r="E551" s="45"/>
      <c r="F551" s="28" t="str">
        <f>IFERROR(VLOOKUP(E551,Category!$D$2:$E$600,2,FALSE),"")</f>
        <v/>
      </c>
      <c r="G551" s="65"/>
      <c r="H551" s="56"/>
      <c r="I551" s="66"/>
      <c r="J551" s="67"/>
      <c r="K551" s="67"/>
      <c r="L551" s="67"/>
      <c r="M551" s="29" t="str">
        <f t="shared" si="60"/>
        <v/>
      </c>
      <c r="N551" s="29" t="str">
        <f t="shared" si="61"/>
        <v/>
      </c>
      <c r="O551" s="29" t="str">
        <f t="shared" si="56"/>
        <v/>
      </c>
      <c r="P551" s="61"/>
      <c r="Q551" s="61"/>
      <c r="R551" s="61"/>
      <c r="S551" s="45"/>
      <c r="T551" s="29" t="str">
        <f t="shared" si="57"/>
        <v/>
      </c>
    </row>
    <row r="552" spans="1:20">
      <c r="A552" s="10" t="str">
        <f t="shared" si="62"/>
        <v/>
      </c>
      <c r="B552" s="63"/>
      <c r="C552" s="25" t="str">
        <f t="shared" si="58"/>
        <v/>
      </c>
      <c r="D552" s="25" t="str">
        <f t="shared" si="59"/>
        <v/>
      </c>
      <c r="E552" s="45"/>
      <c r="F552" s="28" t="str">
        <f>IFERROR(VLOOKUP(E552,Category!$D$2:$E$600,2,FALSE),"")</f>
        <v/>
      </c>
      <c r="G552" s="65"/>
      <c r="H552" s="56"/>
      <c r="I552" s="66"/>
      <c r="J552" s="67"/>
      <c r="K552" s="67"/>
      <c r="L552" s="67"/>
      <c r="M552" s="29" t="str">
        <f t="shared" si="60"/>
        <v/>
      </c>
      <c r="N552" s="29" t="str">
        <f t="shared" si="61"/>
        <v/>
      </c>
      <c r="O552" s="29" t="str">
        <f t="shared" si="56"/>
        <v/>
      </c>
      <c r="P552" s="61"/>
      <c r="Q552" s="61"/>
      <c r="R552" s="61"/>
      <c r="S552" s="45"/>
      <c r="T552" s="29" t="str">
        <f t="shared" si="57"/>
        <v/>
      </c>
    </row>
    <row r="553" spans="1:20">
      <c r="A553" s="10" t="str">
        <f t="shared" si="62"/>
        <v/>
      </c>
      <c r="B553" s="63"/>
      <c r="C553" s="25" t="str">
        <f t="shared" si="58"/>
        <v/>
      </c>
      <c r="D553" s="25" t="str">
        <f t="shared" si="59"/>
        <v/>
      </c>
      <c r="E553" s="45"/>
      <c r="F553" s="28" t="str">
        <f>IFERROR(VLOOKUP(E553,Category!$D$2:$E$600,2,FALSE),"")</f>
        <v/>
      </c>
      <c r="G553" s="65"/>
      <c r="H553" s="56"/>
      <c r="I553" s="66"/>
      <c r="J553" s="67"/>
      <c r="K553" s="67"/>
      <c r="L553" s="67"/>
      <c r="M553" s="29" t="str">
        <f t="shared" si="60"/>
        <v/>
      </c>
      <c r="N553" s="29" t="str">
        <f t="shared" si="61"/>
        <v/>
      </c>
      <c r="O553" s="29" t="str">
        <f t="shared" si="56"/>
        <v/>
      </c>
      <c r="P553" s="61"/>
      <c r="Q553" s="61"/>
      <c r="R553" s="61"/>
      <c r="S553" s="45"/>
      <c r="T553" s="29" t="str">
        <f t="shared" si="57"/>
        <v/>
      </c>
    </row>
    <row r="554" spans="1:20">
      <c r="A554" s="10" t="str">
        <f t="shared" si="62"/>
        <v/>
      </c>
      <c r="B554" s="63"/>
      <c r="C554" s="25" t="str">
        <f t="shared" si="58"/>
        <v/>
      </c>
      <c r="D554" s="25" t="str">
        <f t="shared" si="59"/>
        <v/>
      </c>
      <c r="E554" s="45"/>
      <c r="F554" s="28" t="str">
        <f>IFERROR(VLOOKUP(E554,Category!$D$2:$E$600,2,FALSE),"")</f>
        <v/>
      </c>
      <c r="G554" s="65"/>
      <c r="H554" s="56"/>
      <c r="I554" s="66"/>
      <c r="J554" s="67"/>
      <c r="K554" s="67"/>
      <c r="L554" s="67"/>
      <c r="M554" s="29" t="str">
        <f t="shared" si="60"/>
        <v/>
      </c>
      <c r="N554" s="29" t="str">
        <f t="shared" si="61"/>
        <v/>
      </c>
      <c r="O554" s="29" t="str">
        <f t="shared" si="56"/>
        <v/>
      </c>
      <c r="P554" s="61"/>
      <c r="Q554" s="61"/>
      <c r="R554" s="61"/>
      <c r="S554" s="45"/>
      <c r="T554" s="29" t="str">
        <f t="shared" si="57"/>
        <v/>
      </c>
    </row>
    <row r="555" spans="1:20">
      <c r="A555" s="10" t="str">
        <f t="shared" si="62"/>
        <v/>
      </c>
      <c r="B555" s="63"/>
      <c r="C555" s="25" t="str">
        <f t="shared" si="58"/>
        <v/>
      </c>
      <c r="D555" s="25" t="str">
        <f t="shared" si="59"/>
        <v/>
      </c>
      <c r="E555" s="45"/>
      <c r="F555" s="28" t="str">
        <f>IFERROR(VLOOKUP(E555,Category!$D$2:$E$600,2,FALSE),"")</f>
        <v/>
      </c>
      <c r="G555" s="65"/>
      <c r="H555" s="56"/>
      <c r="I555" s="66"/>
      <c r="J555" s="67"/>
      <c r="K555" s="67"/>
      <c r="L555" s="67"/>
      <c r="M555" s="29" t="str">
        <f t="shared" si="60"/>
        <v/>
      </c>
      <c r="N555" s="29" t="str">
        <f t="shared" si="61"/>
        <v/>
      </c>
      <c r="O555" s="29" t="str">
        <f t="shared" si="56"/>
        <v/>
      </c>
      <c r="P555" s="61"/>
      <c r="Q555" s="61"/>
      <c r="R555" s="61"/>
      <c r="S555" s="45"/>
      <c r="T555" s="29" t="str">
        <f t="shared" si="57"/>
        <v/>
      </c>
    </row>
    <row r="556" spans="1:20">
      <c r="A556" s="10" t="str">
        <f t="shared" si="62"/>
        <v/>
      </c>
      <c r="B556" s="63"/>
      <c r="C556" s="25" t="str">
        <f t="shared" si="58"/>
        <v/>
      </c>
      <c r="D556" s="25" t="str">
        <f t="shared" si="59"/>
        <v/>
      </c>
      <c r="E556" s="45"/>
      <c r="F556" s="28" t="str">
        <f>IFERROR(VLOOKUP(E556,Category!$D$2:$E$600,2,FALSE),"")</f>
        <v/>
      </c>
      <c r="G556" s="65"/>
      <c r="H556" s="56"/>
      <c r="I556" s="66"/>
      <c r="J556" s="67"/>
      <c r="K556" s="67"/>
      <c r="L556" s="67"/>
      <c r="M556" s="29" t="str">
        <f t="shared" si="60"/>
        <v/>
      </c>
      <c r="N556" s="29" t="str">
        <f t="shared" si="61"/>
        <v/>
      </c>
      <c r="O556" s="29" t="str">
        <f t="shared" si="56"/>
        <v/>
      </c>
      <c r="P556" s="61"/>
      <c r="Q556" s="61"/>
      <c r="R556" s="61"/>
      <c r="S556" s="45"/>
      <c r="T556" s="29" t="str">
        <f t="shared" si="57"/>
        <v/>
      </c>
    </row>
    <row r="557" spans="1:20">
      <c r="A557" s="10" t="str">
        <f t="shared" si="62"/>
        <v/>
      </c>
      <c r="B557" s="63"/>
      <c r="C557" s="25" t="str">
        <f t="shared" si="58"/>
        <v/>
      </c>
      <c r="D557" s="25" t="str">
        <f t="shared" si="59"/>
        <v/>
      </c>
      <c r="E557" s="45"/>
      <c r="F557" s="28" t="str">
        <f>IFERROR(VLOOKUP(E557,Category!$D$2:$E$600,2,FALSE),"")</f>
        <v/>
      </c>
      <c r="G557" s="65"/>
      <c r="H557" s="56"/>
      <c r="I557" s="66"/>
      <c r="J557" s="67"/>
      <c r="K557" s="67"/>
      <c r="L557" s="67"/>
      <c r="M557" s="29" t="str">
        <f t="shared" si="60"/>
        <v/>
      </c>
      <c r="N557" s="29" t="str">
        <f t="shared" si="61"/>
        <v/>
      </c>
      <c r="O557" s="29" t="str">
        <f t="shared" si="56"/>
        <v/>
      </c>
      <c r="P557" s="61"/>
      <c r="Q557" s="61"/>
      <c r="R557" s="61"/>
      <c r="S557" s="45"/>
      <c r="T557" s="29" t="str">
        <f t="shared" si="57"/>
        <v/>
      </c>
    </row>
    <row r="558" spans="1:20">
      <c r="A558" s="10" t="str">
        <f t="shared" si="62"/>
        <v/>
      </c>
      <c r="B558" s="63"/>
      <c r="C558" s="25" t="str">
        <f t="shared" si="58"/>
        <v/>
      </c>
      <c r="D558" s="25" t="str">
        <f t="shared" si="59"/>
        <v/>
      </c>
      <c r="E558" s="45"/>
      <c r="F558" s="28" t="str">
        <f>IFERROR(VLOOKUP(E558,Category!$D$2:$E$600,2,FALSE),"")</f>
        <v/>
      </c>
      <c r="G558" s="65"/>
      <c r="H558" s="56"/>
      <c r="I558" s="66"/>
      <c r="J558" s="67"/>
      <c r="K558" s="67"/>
      <c r="L558" s="67"/>
      <c r="M558" s="29" t="str">
        <f t="shared" si="60"/>
        <v/>
      </c>
      <c r="N558" s="29" t="str">
        <f t="shared" si="61"/>
        <v/>
      </c>
      <c r="O558" s="29" t="str">
        <f t="shared" si="56"/>
        <v/>
      </c>
      <c r="P558" s="61"/>
      <c r="Q558" s="61"/>
      <c r="R558" s="61"/>
      <c r="S558" s="45"/>
      <c r="T558" s="29" t="str">
        <f t="shared" si="57"/>
        <v/>
      </c>
    </row>
    <row r="559" spans="1:20">
      <c r="A559" s="10" t="str">
        <f t="shared" si="62"/>
        <v/>
      </c>
      <c r="B559" s="63"/>
      <c r="C559" s="25" t="str">
        <f t="shared" si="58"/>
        <v/>
      </c>
      <c r="D559" s="25" t="str">
        <f t="shared" si="59"/>
        <v/>
      </c>
      <c r="E559" s="45"/>
      <c r="F559" s="28" t="str">
        <f>IFERROR(VLOOKUP(E559,Category!$D$2:$E$600,2,FALSE),"")</f>
        <v/>
      </c>
      <c r="G559" s="65"/>
      <c r="H559" s="56"/>
      <c r="I559" s="66"/>
      <c r="J559" s="67"/>
      <c r="K559" s="67"/>
      <c r="L559" s="67"/>
      <c r="M559" s="29" t="str">
        <f t="shared" si="60"/>
        <v/>
      </c>
      <c r="N559" s="29" t="str">
        <f t="shared" si="61"/>
        <v/>
      </c>
      <c r="O559" s="29" t="str">
        <f t="shared" si="56"/>
        <v/>
      </c>
      <c r="P559" s="61"/>
      <c r="Q559" s="61"/>
      <c r="R559" s="61"/>
      <c r="S559" s="45"/>
      <c r="T559" s="29" t="str">
        <f t="shared" si="57"/>
        <v/>
      </c>
    </row>
    <row r="560" spans="1:20">
      <c r="A560" s="10" t="str">
        <f t="shared" si="62"/>
        <v/>
      </c>
      <c r="B560" s="63"/>
      <c r="C560" s="25" t="str">
        <f t="shared" si="58"/>
        <v/>
      </c>
      <c r="D560" s="25" t="str">
        <f t="shared" si="59"/>
        <v/>
      </c>
      <c r="E560" s="45"/>
      <c r="F560" s="28" t="str">
        <f>IFERROR(VLOOKUP(E560,Category!$D$2:$E$600,2,FALSE),"")</f>
        <v/>
      </c>
      <c r="G560" s="65"/>
      <c r="H560" s="56"/>
      <c r="I560" s="66"/>
      <c r="J560" s="67"/>
      <c r="K560" s="67"/>
      <c r="L560" s="67"/>
      <c r="M560" s="29" t="str">
        <f t="shared" si="60"/>
        <v/>
      </c>
      <c r="N560" s="29" t="str">
        <f t="shared" si="61"/>
        <v/>
      </c>
      <c r="O560" s="29" t="str">
        <f t="shared" si="56"/>
        <v/>
      </c>
      <c r="P560" s="61"/>
      <c r="Q560" s="61"/>
      <c r="R560" s="61"/>
      <c r="S560" s="45"/>
      <c r="T560" s="29" t="str">
        <f t="shared" si="57"/>
        <v/>
      </c>
    </row>
    <row r="561" spans="1:20">
      <c r="A561" s="10" t="str">
        <f t="shared" si="62"/>
        <v/>
      </c>
      <c r="B561" s="63"/>
      <c r="C561" s="25" t="str">
        <f t="shared" si="58"/>
        <v/>
      </c>
      <c r="D561" s="25" t="str">
        <f t="shared" si="59"/>
        <v/>
      </c>
      <c r="E561" s="45"/>
      <c r="F561" s="28" t="str">
        <f>IFERROR(VLOOKUP(E561,Category!$D$2:$E$600,2,FALSE),"")</f>
        <v/>
      </c>
      <c r="G561" s="65"/>
      <c r="H561" s="56"/>
      <c r="I561" s="66"/>
      <c r="J561" s="67"/>
      <c r="K561" s="67"/>
      <c r="L561" s="67"/>
      <c r="M561" s="29" t="str">
        <f t="shared" si="60"/>
        <v/>
      </c>
      <c r="N561" s="29" t="str">
        <f t="shared" si="61"/>
        <v/>
      </c>
      <c r="O561" s="29" t="str">
        <f t="shared" si="56"/>
        <v/>
      </c>
      <c r="P561" s="61"/>
      <c r="Q561" s="61"/>
      <c r="R561" s="61"/>
      <c r="S561" s="45"/>
      <c r="T561" s="29" t="str">
        <f t="shared" si="57"/>
        <v/>
      </c>
    </row>
    <row r="562" spans="1:20">
      <c r="A562" s="10" t="str">
        <f t="shared" si="62"/>
        <v/>
      </c>
      <c r="B562" s="63"/>
      <c r="C562" s="25" t="str">
        <f t="shared" si="58"/>
        <v/>
      </c>
      <c r="D562" s="25" t="str">
        <f t="shared" si="59"/>
        <v/>
      </c>
      <c r="E562" s="45"/>
      <c r="F562" s="28" t="str">
        <f>IFERROR(VLOOKUP(E562,Category!$D$2:$E$600,2,FALSE),"")</f>
        <v/>
      </c>
      <c r="G562" s="65"/>
      <c r="H562" s="56"/>
      <c r="I562" s="66"/>
      <c r="J562" s="67"/>
      <c r="K562" s="67"/>
      <c r="L562" s="67"/>
      <c r="M562" s="29" t="str">
        <f t="shared" si="60"/>
        <v/>
      </c>
      <c r="N562" s="29" t="str">
        <f t="shared" si="61"/>
        <v/>
      </c>
      <c r="O562" s="29" t="str">
        <f t="shared" si="56"/>
        <v/>
      </c>
      <c r="P562" s="61"/>
      <c r="Q562" s="61"/>
      <c r="R562" s="61"/>
      <c r="S562" s="45"/>
      <c r="T562" s="29" t="str">
        <f t="shared" si="57"/>
        <v/>
      </c>
    </row>
    <row r="563" spans="1:20">
      <c r="A563" s="10" t="str">
        <f t="shared" si="62"/>
        <v/>
      </c>
      <c r="B563" s="63"/>
      <c r="C563" s="25" t="str">
        <f t="shared" si="58"/>
        <v/>
      </c>
      <c r="D563" s="25" t="str">
        <f t="shared" si="59"/>
        <v/>
      </c>
      <c r="E563" s="45"/>
      <c r="F563" s="28" t="str">
        <f>IFERROR(VLOOKUP(E563,Category!$D$2:$E$600,2,FALSE),"")</f>
        <v/>
      </c>
      <c r="G563" s="65"/>
      <c r="H563" s="56"/>
      <c r="I563" s="66"/>
      <c r="J563" s="67"/>
      <c r="K563" s="67"/>
      <c r="L563" s="67"/>
      <c r="M563" s="29" t="str">
        <f t="shared" si="60"/>
        <v/>
      </c>
      <c r="N563" s="29" t="str">
        <f t="shared" si="61"/>
        <v/>
      </c>
      <c r="O563" s="29" t="str">
        <f t="shared" si="56"/>
        <v/>
      </c>
      <c r="P563" s="61"/>
      <c r="Q563" s="61"/>
      <c r="R563" s="61"/>
      <c r="S563" s="45"/>
      <c r="T563" s="29" t="str">
        <f t="shared" si="57"/>
        <v/>
      </c>
    </row>
    <row r="564" spans="1:20">
      <c r="A564" s="10" t="str">
        <f t="shared" si="62"/>
        <v/>
      </c>
      <c r="B564" s="63"/>
      <c r="C564" s="25" t="str">
        <f t="shared" si="58"/>
        <v/>
      </c>
      <c r="D564" s="25" t="str">
        <f t="shared" si="59"/>
        <v/>
      </c>
      <c r="E564" s="45"/>
      <c r="F564" s="28" t="str">
        <f>IFERROR(VLOOKUP(E564,Category!$D$2:$E$600,2,FALSE),"")</f>
        <v/>
      </c>
      <c r="G564" s="65"/>
      <c r="H564" s="56"/>
      <c r="I564" s="66"/>
      <c r="J564" s="67"/>
      <c r="K564" s="67"/>
      <c r="L564" s="67"/>
      <c r="M564" s="29" t="str">
        <f t="shared" si="60"/>
        <v/>
      </c>
      <c r="N564" s="29" t="str">
        <f t="shared" si="61"/>
        <v/>
      </c>
      <c r="O564" s="29" t="str">
        <f t="shared" si="56"/>
        <v/>
      </c>
      <c r="P564" s="61"/>
      <c r="Q564" s="61"/>
      <c r="R564" s="61"/>
      <c r="S564" s="45"/>
      <c r="T564" s="29" t="str">
        <f t="shared" si="57"/>
        <v/>
      </c>
    </row>
    <row r="565" spans="1:20">
      <c r="A565" s="10" t="str">
        <f t="shared" si="62"/>
        <v/>
      </c>
      <c r="B565" s="63"/>
      <c r="C565" s="25" t="str">
        <f t="shared" si="58"/>
        <v/>
      </c>
      <c r="D565" s="25" t="str">
        <f t="shared" si="59"/>
        <v/>
      </c>
      <c r="E565" s="45"/>
      <c r="F565" s="28" t="str">
        <f>IFERROR(VLOOKUP(E565,Category!$D$2:$E$600,2,FALSE),"")</f>
        <v/>
      </c>
      <c r="G565" s="65"/>
      <c r="H565" s="56"/>
      <c r="I565" s="66"/>
      <c r="J565" s="67"/>
      <c r="K565" s="67"/>
      <c r="L565" s="67"/>
      <c r="M565" s="29" t="str">
        <f t="shared" si="60"/>
        <v/>
      </c>
      <c r="N565" s="29" t="str">
        <f t="shared" si="61"/>
        <v/>
      </c>
      <c r="O565" s="29" t="str">
        <f t="shared" si="56"/>
        <v/>
      </c>
      <c r="P565" s="61"/>
      <c r="Q565" s="61"/>
      <c r="R565" s="61"/>
      <c r="S565" s="45"/>
      <c r="T565" s="29" t="str">
        <f t="shared" si="57"/>
        <v/>
      </c>
    </row>
    <row r="566" spans="1:20">
      <c r="A566" s="10" t="str">
        <f t="shared" si="62"/>
        <v/>
      </c>
      <c r="B566" s="63"/>
      <c r="C566" s="25" t="str">
        <f t="shared" si="58"/>
        <v/>
      </c>
      <c r="D566" s="25" t="str">
        <f t="shared" si="59"/>
        <v/>
      </c>
      <c r="E566" s="45"/>
      <c r="F566" s="28" t="str">
        <f>IFERROR(VLOOKUP(E566,Category!$D$2:$E$600,2,FALSE),"")</f>
        <v/>
      </c>
      <c r="G566" s="65"/>
      <c r="H566" s="56"/>
      <c r="I566" s="66"/>
      <c r="J566" s="67"/>
      <c r="K566" s="67"/>
      <c r="L566" s="67"/>
      <c r="M566" s="29" t="str">
        <f t="shared" si="60"/>
        <v/>
      </c>
      <c r="N566" s="29" t="str">
        <f t="shared" si="61"/>
        <v/>
      </c>
      <c r="O566" s="29" t="str">
        <f t="shared" si="56"/>
        <v/>
      </c>
      <c r="P566" s="61"/>
      <c r="Q566" s="61"/>
      <c r="R566" s="61"/>
      <c r="S566" s="45"/>
      <c r="T566" s="29" t="str">
        <f t="shared" si="57"/>
        <v/>
      </c>
    </row>
    <row r="567" spans="1:20">
      <c r="A567" s="10" t="str">
        <f t="shared" si="62"/>
        <v/>
      </c>
      <c r="B567" s="63"/>
      <c r="C567" s="25" t="str">
        <f t="shared" si="58"/>
        <v/>
      </c>
      <c r="D567" s="25" t="str">
        <f t="shared" si="59"/>
        <v/>
      </c>
      <c r="E567" s="45"/>
      <c r="F567" s="28" t="str">
        <f>IFERROR(VLOOKUP(E567,Category!$D$2:$E$600,2,FALSE),"")</f>
        <v/>
      </c>
      <c r="G567" s="65"/>
      <c r="H567" s="56"/>
      <c r="I567" s="66"/>
      <c r="J567" s="67"/>
      <c r="K567" s="67"/>
      <c r="L567" s="67"/>
      <c r="M567" s="29" t="str">
        <f t="shared" si="60"/>
        <v/>
      </c>
      <c r="N567" s="29" t="str">
        <f t="shared" si="61"/>
        <v/>
      </c>
      <c r="O567" s="29" t="str">
        <f t="shared" si="56"/>
        <v/>
      </c>
      <c r="P567" s="61"/>
      <c r="Q567" s="61"/>
      <c r="R567" s="61"/>
      <c r="S567" s="45"/>
      <c r="T567" s="29" t="str">
        <f t="shared" si="57"/>
        <v/>
      </c>
    </row>
    <row r="568" spans="1:20">
      <c r="A568" s="10" t="str">
        <f t="shared" si="62"/>
        <v/>
      </c>
      <c r="B568" s="63"/>
      <c r="C568" s="25" t="str">
        <f t="shared" si="58"/>
        <v/>
      </c>
      <c r="D568" s="25" t="str">
        <f t="shared" si="59"/>
        <v/>
      </c>
      <c r="E568" s="45"/>
      <c r="F568" s="28" t="str">
        <f>IFERROR(VLOOKUP(E568,Category!$D$2:$E$600,2,FALSE),"")</f>
        <v/>
      </c>
      <c r="G568" s="65"/>
      <c r="H568" s="56"/>
      <c r="I568" s="66"/>
      <c r="J568" s="67"/>
      <c r="K568" s="67"/>
      <c r="L568" s="67"/>
      <c r="M568" s="29" t="str">
        <f t="shared" si="60"/>
        <v/>
      </c>
      <c r="N568" s="29" t="str">
        <f t="shared" si="61"/>
        <v/>
      </c>
      <c r="O568" s="29" t="str">
        <f t="shared" si="56"/>
        <v/>
      </c>
      <c r="P568" s="61"/>
      <c r="Q568" s="61"/>
      <c r="R568" s="61"/>
      <c r="S568" s="45"/>
      <c r="T568" s="29" t="str">
        <f t="shared" si="57"/>
        <v/>
      </c>
    </row>
    <row r="569" spans="1:20">
      <c r="A569" s="10" t="str">
        <f t="shared" si="62"/>
        <v/>
      </c>
      <c r="B569" s="63"/>
      <c r="C569" s="25" t="str">
        <f t="shared" si="58"/>
        <v/>
      </c>
      <c r="D569" s="25" t="str">
        <f t="shared" si="59"/>
        <v/>
      </c>
      <c r="E569" s="45"/>
      <c r="F569" s="28" t="str">
        <f>IFERROR(VLOOKUP(E569,Category!$D$2:$E$600,2,FALSE),"")</f>
        <v/>
      </c>
      <c r="G569" s="65"/>
      <c r="H569" s="56"/>
      <c r="I569" s="66"/>
      <c r="J569" s="67"/>
      <c r="K569" s="67"/>
      <c r="L569" s="67"/>
      <c r="M569" s="29" t="str">
        <f t="shared" si="60"/>
        <v/>
      </c>
      <c r="N569" s="29" t="str">
        <f t="shared" si="61"/>
        <v/>
      </c>
      <c r="O569" s="29" t="str">
        <f t="shared" si="56"/>
        <v/>
      </c>
      <c r="P569" s="61"/>
      <c r="Q569" s="61"/>
      <c r="R569" s="61"/>
      <c r="S569" s="45"/>
      <c r="T569" s="29" t="str">
        <f t="shared" si="57"/>
        <v/>
      </c>
    </row>
    <row r="570" spans="1:20">
      <c r="A570" s="10" t="str">
        <f t="shared" si="62"/>
        <v/>
      </c>
      <c r="B570" s="63"/>
      <c r="C570" s="25" t="str">
        <f t="shared" si="58"/>
        <v/>
      </c>
      <c r="D570" s="25" t="str">
        <f t="shared" si="59"/>
        <v/>
      </c>
      <c r="E570" s="45"/>
      <c r="F570" s="28" t="str">
        <f>IFERROR(VLOOKUP(E570,Category!$D$2:$E$600,2,FALSE),"")</f>
        <v/>
      </c>
      <c r="G570" s="65"/>
      <c r="H570" s="56"/>
      <c r="I570" s="66"/>
      <c r="J570" s="67"/>
      <c r="K570" s="67"/>
      <c r="L570" s="67"/>
      <c r="M570" s="29" t="str">
        <f t="shared" si="60"/>
        <v/>
      </c>
      <c r="N570" s="29" t="str">
        <f t="shared" si="61"/>
        <v/>
      </c>
      <c r="O570" s="29" t="str">
        <f t="shared" si="56"/>
        <v/>
      </c>
      <c r="P570" s="61"/>
      <c r="Q570" s="61"/>
      <c r="R570" s="61"/>
      <c r="S570" s="45"/>
      <c r="T570" s="29" t="str">
        <f t="shared" si="57"/>
        <v/>
      </c>
    </row>
    <row r="571" spans="1:20">
      <c r="A571" s="10" t="str">
        <f t="shared" si="62"/>
        <v/>
      </c>
      <c r="B571" s="63"/>
      <c r="C571" s="25" t="str">
        <f t="shared" si="58"/>
        <v/>
      </c>
      <c r="D571" s="25" t="str">
        <f t="shared" si="59"/>
        <v/>
      </c>
      <c r="E571" s="45"/>
      <c r="F571" s="28" t="str">
        <f>IFERROR(VLOOKUP(E571,Category!$D$2:$E$600,2,FALSE),"")</f>
        <v/>
      </c>
      <c r="G571" s="65"/>
      <c r="H571" s="56"/>
      <c r="I571" s="66"/>
      <c r="J571" s="67"/>
      <c r="K571" s="67"/>
      <c r="L571" s="67"/>
      <c r="M571" s="29" t="str">
        <f t="shared" si="60"/>
        <v/>
      </c>
      <c r="N571" s="29" t="str">
        <f t="shared" si="61"/>
        <v/>
      </c>
      <c r="O571" s="29" t="str">
        <f t="shared" si="56"/>
        <v/>
      </c>
      <c r="P571" s="61"/>
      <c r="Q571" s="61"/>
      <c r="R571" s="61"/>
      <c r="S571" s="45"/>
      <c r="T571" s="29" t="str">
        <f t="shared" si="57"/>
        <v/>
      </c>
    </row>
    <row r="572" spans="1:20">
      <c r="A572" s="10" t="str">
        <f t="shared" si="62"/>
        <v/>
      </c>
      <c r="B572" s="63"/>
      <c r="C572" s="25" t="str">
        <f t="shared" si="58"/>
        <v/>
      </c>
      <c r="D572" s="25" t="str">
        <f t="shared" si="59"/>
        <v/>
      </c>
      <c r="E572" s="45"/>
      <c r="F572" s="28" t="str">
        <f>IFERROR(VLOOKUP(E572,Category!$D$2:$E$600,2,FALSE),"")</f>
        <v/>
      </c>
      <c r="G572" s="65"/>
      <c r="H572" s="56"/>
      <c r="I572" s="66"/>
      <c r="J572" s="67"/>
      <c r="K572" s="67"/>
      <c r="L572" s="67"/>
      <c r="M572" s="29" t="str">
        <f t="shared" si="60"/>
        <v/>
      </c>
      <c r="N572" s="29" t="str">
        <f t="shared" si="61"/>
        <v/>
      </c>
      <c r="O572" s="29" t="str">
        <f t="shared" si="56"/>
        <v/>
      </c>
      <c r="P572" s="61"/>
      <c r="Q572" s="61"/>
      <c r="R572" s="61"/>
      <c r="S572" s="45"/>
      <c r="T572" s="29" t="str">
        <f t="shared" si="57"/>
        <v/>
      </c>
    </row>
    <row r="573" spans="1:20">
      <c r="A573" s="10" t="str">
        <f t="shared" si="62"/>
        <v/>
      </c>
      <c r="B573" s="63"/>
      <c r="C573" s="25" t="str">
        <f t="shared" si="58"/>
        <v/>
      </c>
      <c r="D573" s="25" t="str">
        <f t="shared" si="59"/>
        <v/>
      </c>
      <c r="E573" s="45"/>
      <c r="F573" s="28" t="str">
        <f>IFERROR(VLOOKUP(E573,Category!$D$2:$E$600,2,FALSE),"")</f>
        <v/>
      </c>
      <c r="G573" s="65"/>
      <c r="H573" s="56"/>
      <c r="I573" s="66"/>
      <c r="J573" s="67"/>
      <c r="K573" s="67"/>
      <c r="L573" s="67"/>
      <c r="M573" s="29" t="str">
        <f t="shared" si="60"/>
        <v/>
      </c>
      <c r="N573" s="29" t="str">
        <f t="shared" si="61"/>
        <v/>
      </c>
      <c r="O573" s="29" t="str">
        <f t="shared" si="56"/>
        <v/>
      </c>
      <c r="P573" s="61"/>
      <c r="Q573" s="61"/>
      <c r="R573" s="61"/>
      <c r="S573" s="45"/>
      <c r="T573" s="29" t="str">
        <f t="shared" si="57"/>
        <v/>
      </c>
    </row>
    <row r="574" spans="1:20">
      <c r="A574" s="10" t="str">
        <f t="shared" si="62"/>
        <v/>
      </c>
      <c r="B574" s="63"/>
      <c r="C574" s="25" t="str">
        <f t="shared" si="58"/>
        <v/>
      </c>
      <c r="D574" s="25" t="str">
        <f t="shared" si="59"/>
        <v/>
      </c>
      <c r="E574" s="45"/>
      <c r="F574" s="28" t="str">
        <f>IFERROR(VLOOKUP(E574,Category!$D$2:$E$600,2,FALSE),"")</f>
        <v/>
      </c>
      <c r="G574" s="65"/>
      <c r="H574" s="56"/>
      <c r="I574" s="66"/>
      <c r="J574" s="67"/>
      <c r="K574" s="67"/>
      <c r="L574" s="67"/>
      <c r="M574" s="29" t="str">
        <f t="shared" si="60"/>
        <v/>
      </c>
      <c r="N574" s="29" t="str">
        <f t="shared" si="61"/>
        <v/>
      </c>
      <c r="O574" s="29" t="str">
        <f t="shared" si="56"/>
        <v/>
      </c>
      <c r="P574" s="61"/>
      <c r="Q574" s="61"/>
      <c r="R574" s="61"/>
      <c r="S574" s="45"/>
      <c r="T574" s="29" t="str">
        <f t="shared" si="57"/>
        <v/>
      </c>
    </row>
    <row r="575" spans="1:20">
      <c r="A575" s="10" t="str">
        <f t="shared" si="62"/>
        <v/>
      </c>
      <c r="B575" s="63"/>
      <c r="C575" s="25" t="str">
        <f t="shared" si="58"/>
        <v/>
      </c>
      <c r="D575" s="25" t="str">
        <f t="shared" si="59"/>
        <v/>
      </c>
      <c r="E575" s="45"/>
      <c r="F575" s="28" t="str">
        <f>IFERROR(VLOOKUP(E575,Category!$D$2:$E$600,2,FALSE),"")</f>
        <v/>
      </c>
      <c r="G575" s="65"/>
      <c r="H575" s="56"/>
      <c r="I575" s="66"/>
      <c r="J575" s="67"/>
      <c r="K575" s="67"/>
      <c r="L575" s="67"/>
      <c r="M575" s="29" t="str">
        <f t="shared" si="60"/>
        <v/>
      </c>
      <c r="N575" s="29" t="str">
        <f t="shared" si="61"/>
        <v/>
      </c>
      <c r="O575" s="29" t="str">
        <f t="shared" si="56"/>
        <v/>
      </c>
      <c r="P575" s="61"/>
      <c r="Q575" s="61"/>
      <c r="R575" s="61"/>
      <c r="S575" s="45"/>
      <c r="T575" s="29" t="str">
        <f t="shared" si="57"/>
        <v/>
      </c>
    </row>
    <row r="576" spans="1:20">
      <c r="A576" s="10" t="str">
        <f t="shared" si="62"/>
        <v/>
      </c>
      <c r="B576" s="63"/>
      <c r="C576" s="25" t="str">
        <f t="shared" si="58"/>
        <v/>
      </c>
      <c r="D576" s="25" t="str">
        <f t="shared" si="59"/>
        <v/>
      </c>
      <c r="E576" s="45"/>
      <c r="F576" s="28" t="str">
        <f>IFERROR(VLOOKUP(E576,Category!$D$2:$E$600,2,FALSE),"")</f>
        <v/>
      </c>
      <c r="G576" s="65"/>
      <c r="H576" s="56"/>
      <c r="I576" s="66"/>
      <c r="J576" s="67"/>
      <c r="K576" s="67"/>
      <c r="L576" s="67"/>
      <c r="M576" s="29" t="str">
        <f t="shared" si="60"/>
        <v/>
      </c>
      <c r="N576" s="29" t="str">
        <f t="shared" si="61"/>
        <v/>
      </c>
      <c r="O576" s="29" t="str">
        <f t="shared" si="56"/>
        <v/>
      </c>
      <c r="P576" s="61"/>
      <c r="Q576" s="61"/>
      <c r="R576" s="61"/>
      <c r="S576" s="45"/>
      <c r="T576" s="29" t="str">
        <f t="shared" si="57"/>
        <v/>
      </c>
    </row>
    <row r="577" spans="1:20">
      <c r="A577" s="10" t="str">
        <f t="shared" si="62"/>
        <v/>
      </c>
      <c r="B577" s="63"/>
      <c r="C577" s="25" t="str">
        <f t="shared" si="58"/>
        <v/>
      </c>
      <c r="D577" s="25" t="str">
        <f t="shared" si="59"/>
        <v/>
      </c>
      <c r="E577" s="45"/>
      <c r="F577" s="28" t="str">
        <f>IFERROR(VLOOKUP(E577,Category!$D$2:$E$600,2,FALSE),"")</f>
        <v/>
      </c>
      <c r="G577" s="65"/>
      <c r="H577" s="56"/>
      <c r="I577" s="66"/>
      <c r="J577" s="67"/>
      <c r="K577" s="67"/>
      <c r="L577" s="67"/>
      <c r="M577" s="29" t="str">
        <f t="shared" si="60"/>
        <v/>
      </c>
      <c r="N577" s="29" t="str">
        <f t="shared" si="61"/>
        <v/>
      </c>
      <c r="O577" s="29" t="str">
        <f t="shared" si="56"/>
        <v/>
      </c>
      <c r="P577" s="61"/>
      <c r="Q577" s="61"/>
      <c r="R577" s="61"/>
      <c r="S577" s="45"/>
      <c r="T577" s="29" t="str">
        <f t="shared" si="57"/>
        <v/>
      </c>
    </row>
    <row r="578" spans="1:20">
      <c r="A578" s="10" t="str">
        <f t="shared" si="62"/>
        <v/>
      </c>
      <c r="B578" s="63"/>
      <c r="C578" s="25" t="str">
        <f t="shared" si="58"/>
        <v/>
      </c>
      <c r="D578" s="25" t="str">
        <f t="shared" si="59"/>
        <v/>
      </c>
      <c r="E578" s="45"/>
      <c r="F578" s="28" t="str">
        <f>IFERROR(VLOOKUP(E578,Category!$D$2:$E$600,2,FALSE),"")</f>
        <v/>
      </c>
      <c r="G578" s="65"/>
      <c r="H578" s="56"/>
      <c r="I578" s="66"/>
      <c r="J578" s="67"/>
      <c r="K578" s="67"/>
      <c r="L578" s="67"/>
      <c r="M578" s="29" t="str">
        <f t="shared" si="60"/>
        <v/>
      </c>
      <c r="N578" s="29" t="str">
        <f t="shared" si="61"/>
        <v/>
      </c>
      <c r="O578" s="29" t="str">
        <f t="shared" ref="O578:O641" si="63">IF(H578*I578=0,"",H578*I578)</f>
        <v/>
      </c>
      <c r="P578" s="61"/>
      <c r="Q578" s="61"/>
      <c r="R578" s="61"/>
      <c r="S578" s="45"/>
      <c r="T578" s="29" t="str">
        <f t="shared" ref="T578:T641" si="64">IF(R578="paid",(H578*I578)-(G578*H578),"")</f>
        <v/>
      </c>
    </row>
    <row r="579" spans="1:20">
      <c r="A579" s="10" t="str">
        <f t="shared" si="62"/>
        <v/>
      </c>
      <c r="B579" s="63"/>
      <c r="C579" s="25" t="str">
        <f t="shared" ref="C579:C642" si="65">IF(B579=0,"",TEXT(B579,"mmmm"))</f>
        <v/>
      </c>
      <c r="D579" s="25" t="str">
        <f t="shared" ref="D579:D642" si="66">IF(B579=0,"",TEXT(B579,"yyyy"))</f>
        <v/>
      </c>
      <c r="E579" s="45"/>
      <c r="F579" s="28" t="str">
        <f>IFERROR(VLOOKUP(E579,Category!$D$2:$E$600,2,FALSE),"")</f>
        <v/>
      </c>
      <c r="G579" s="65"/>
      <c r="H579" s="56"/>
      <c r="I579" s="66"/>
      <c r="J579" s="67"/>
      <c r="K579" s="67"/>
      <c r="L579" s="67"/>
      <c r="M579" s="29" t="str">
        <f t="shared" ref="M579:M642" si="67">IFERROR(IF(O579&gt;0,IF(R579="Paid","",O579-J579),""),"")</f>
        <v/>
      </c>
      <c r="N579" s="29" t="str">
        <f t="shared" ref="N579:N642" si="68">IF(J579&gt;0,IF(R579="Paid",O579-J579,""),"")</f>
        <v/>
      </c>
      <c r="O579" s="29" t="str">
        <f t="shared" si="63"/>
        <v/>
      </c>
      <c r="P579" s="61"/>
      <c r="Q579" s="61"/>
      <c r="R579" s="61"/>
      <c r="S579" s="45"/>
      <c r="T579" s="29" t="str">
        <f t="shared" si="64"/>
        <v/>
      </c>
    </row>
    <row r="580" spans="1:20">
      <c r="A580" s="10" t="str">
        <f t="shared" ref="A580:A643" si="69">IF(E580&gt;0,A579+1,"")</f>
        <v/>
      </c>
      <c r="B580" s="63"/>
      <c r="C580" s="25" t="str">
        <f t="shared" si="65"/>
        <v/>
      </c>
      <c r="D580" s="25" t="str">
        <f t="shared" si="66"/>
        <v/>
      </c>
      <c r="E580" s="45"/>
      <c r="F580" s="28" t="str">
        <f>IFERROR(VLOOKUP(E580,Category!$D$2:$E$600,2,FALSE),"")</f>
        <v/>
      </c>
      <c r="G580" s="65"/>
      <c r="H580" s="56"/>
      <c r="I580" s="66"/>
      <c r="J580" s="67"/>
      <c r="K580" s="67"/>
      <c r="L580" s="67"/>
      <c r="M580" s="29" t="str">
        <f t="shared" si="67"/>
        <v/>
      </c>
      <c r="N580" s="29" t="str">
        <f t="shared" si="68"/>
        <v/>
      </c>
      <c r="O580" s="29" t="str">
        <f t="shared" si="63"/>
        <v/>
      </c>
      <c r="P580" s="61"/>
      <c r="Q580" s="61"/>
      <c r="R580" s="61"/>
      <c r="S580" s="45"/>
      <c r="T580" s="29" t="str">
        <f t="shared" si="64"/>
        <v/>
      </c>
    </row>
    <row r="581" spans="1:20">
      <c r="A581" s="10" t="str">
        <f t="shared" si="69"/>
        <v/>
      </c>
      <c r="B581" s="63"/>
      <c r="C581" s="25" t="str">
        <f t="shared" si="65"/>
        <v/>
      </c>
      <c r="D581" s="25" t="str">
        <f t="shared" si="66"/>
        <v/>
      </c>
      <c r="E581" s="45"/>
      <c r="F581" s="28" t="str">
        <f>IFERROR(VLOOKUP(E581,Category!$D$2:$E$600,2,FALSE),"")</f>
        <v/>
      </c>
      <c r="G581" s="65"/>
      <c r="H581" s="56"/>
      <c r="I581" s="66"/>
      <c r="J581" s="67"/>
      <c r="K581" s="67"/>
      <c r="L581" s="67"/>
      <c r="M581" s="29" t="str">
        <f t="shared" si="67"/>
        <v/>
      </c>
      <c r="N581" s="29" t="str">
        <f t="shared" si="68"/>
        <v/>
      </c>
      <c r="O581" s="29" t="str">
        <f t="shared" si="63"/>
        <v/>
      </c>
      <c r="P581" s="61"/>
      <c r="Q581" s="61"/>
      <c r="R581" s="61"/>
      <c r="S581" s="45"/>
      <c r="T581" s="29" t="str">
        <f t="shared" si="64"/>
        <v/>
      </c>
    </row>
    <row r="582" spans="1:20">
      <c r="A582" s="10" t="str">
        <f t="shared" si="69"/>
        <v/>
      </c>
      <c r="B582" s="63"/>
      <c r="C582" s="25" t="str">
        <f t="shared" si="65"/>
        <v/>
      </c>
      <c r="D582" s="25" t="str">
        <f t="shared" si="66"/>
        <v/>
      </c>
      <c r="E582" s="45"/>
      <c r="F582" s="28" t="str">
        <f>IFERROR(VLOOKUP(E582,Category!$D$2:$E$600,2,FALSE),"")</f>
        <v/>
      </c>
      <c r="G582" s="65"/>
      <c r="H582" s="56"/>
      <c r="I582" s="66"/>
      <c r="J582" s="67"/>
      <c r="K582" s="67"/>
      <c r="L582" s="67"/>
      <c r="M582" s="29" t="str">
        <f t="shared" si="67"/>
        <v/>
      </c>
      <c r="N582" s="29" t="str">
        <f t="shared" si="68"/>
        <v/>
      </c>
      <c r="O582" s="29" t="str">
        <f t="shared" si="63"/>
        <v/>
      </c>
      <c r="P582" s="61"/>
      <c r="Q582" s="61"/>
      <c r="R582" s="61"/>
      <c r="S582" s="45"/>
      <c r="T582" s="29" t="str">
        <f t="shared" si="64"/>
        <v/>
      </c>
    </row>
    <row r="583" spans="1:20">
      <c r="A583" s="10" t="str">
        <f t="shared" si="69"/>
        <v/>
      </c>
      <c r="B583" s="63"/>
      <c r="C583" s="25" t="str">
        <f t="shared" si="65"/>
        <v/>
      </c>
      <c r="D583" s="25" t="str">
        <f t="shared" si="66"/>
        <v/>
      </c>
      <c r="E583" s="45"/>
      <c r="F583" s="28" t="str">
        <f>IFERROR(VLOOKUP(E583,Category!$D$2:$E$600,2,FALSE),"")</f>
        <v/>
      </c>
      <c r="G583" s="65"/>
      <c r="H583" s="56"/>
      <c r="I583" s="66"/>
      <c r="J583" s="67"/>
      <c r="K583" s="67"/>
      <c r="L583" s="67"/>
      <c r="M583" s="29" t="str">
        <f t="shared" si="67"/>
        <v/>
      </c>
      <c r="N583" s="29" t="str">
        <f t="shared" si="68"/>
        <v/>
      </c>
      <c r="O583" s="29" t="str">
        <f t="shared" si="63"/>
        <v/>
      </c>
      <c r="P583" s="61"/>
      <c r="Q583" s="61"/>
      <c r="R583" s="61"/>
      <c r="S583" s="45"/>
      <c r="T583" s="29" t="str">
        <f t="shared" si="64"/>
        <v/>
      </c>
    </row>
    <row r="584" spans="1:20">
      <c r="A584" s="10" t="str">
        <f t="shared" si="69"/>
        <v/>
      </c>
      <c r="B584" s="63"/>
      <c r="C584" s="25" t="str">
        <f t="shared" si="65"/>
        <v/>
      </c>
      <c r="D584" s="25" t="str">
        <f t="shared" si="66"/>
        <v/>
      </c>
      <c r="E584" s="45"/>
      <c r="F584" s="28" t="str">
        <f>IFERROR(VLOOKUP(E584,Category!$D$2:$E$600,2,FALSE),"")</f>
        <v/>
      </c>
      <c r="G584" s="65"/>
      <c r="H584" s="56"/>
      <c r="I584" s="66"/>
      <c r="J584" s="67"/>
      <c r="K584" s="67"/>
      <c r="L584" s="67"/>
      <c r="M584" s="29" t="str">
        <f t="shared" si="67"/>
        <v/>
      </c>
      <c r="N584" s="29" t="str">
        <f t="shared" si="68"/>
        <v/>
      </c>
      <c r="O584" s="29" t="str">
        <f t="shared" si="63"/>
        <v/>
      </c>
      <c r="P584" s="61"/>
      <c r="Q584" s="61"/>
      <c r="R584" s="61"/>
      <c r="S584" s="45"/>
      <c r="T584" s="29" t="str">
        <f t="shared" si="64"/>
        <v/>
      </c>
    </row>
    <row r="585" spans="1:20">
      <c r="A585" s="10" t="str">
        <f t="shared" si="69"/>
        <v/>
      </c>
      <c r="B585" s="63"/>
      <c r="C585" s="25" t="str">
        <f t="shared" si="65"/>
        <v/>
      </c>
      <c r="D585" s="25" t="str">
        <f t="shared" si="66"/>
        <v/>
      </c>
      <c r="E585" s="45"/>
      <c r="F585" s="28" t="str">
        <f>IFERROR(VLOOKUP(E585,Category!$D$2:$E$600,2,FALSE),"")</f>
        <v/>
      </c>
      <c r="G585" s="65"/>
      <c r="H585" s="56"/>
      <c r="I585" s="66"/>
      <c r="J585" s="67"/>
      <c r="K585" s="67"/>
      <c r="L585" s="67"/>
      <c r="M585" s="29" t="str">
        <f t="shared" si="67"/>
        <v/>
      </c>
      <c r="N585" s="29" t="str">
        <f t="shared" si="68"/>
        <v/>
      </c>
      <c r="O585" s="29" t="str">
        <f t="shared" si="63"/>
        <v/>
      </c>
      <c r="P585" s="61"/>
      <c r="Q585" s="61"/>
      <c r="R585" s="61"/>
      <c r="S585" s="45"/>
      <c r="T585" s="29" t="str">
        <f t="shared" si="64"/>
        <v/>
      </c>
    </row>
    <row r="586" spans="1:20">
      <c r="A586" s="10" t="str">
        <f t="shared" si="69"/>
        <v/>
      </c>
      <c r="B586" s="63"/>
      <c r="C586" s="25" t="str">
        <f t="shared" si="65"/>
        <v/>
      </c>
      <c r="D586" s="25" t="str">
        <f t="shared" si="66"/>
        <v/>
      </c>
      <c r="E586" s="45"/>
      <c r="F586" s="28" t="str">
        <f>IFERROR(VLOOKUP(E586,Category!$D$2:$E$600,2,FALSE),"")</f>
        <v/>
      </c>
      <c r="G586" s="65"/>
      <c r="H586" s="56"/>
      <c r="I586" s="66"/>
      <c r="J586" s="67"/>
      <c r="K586" s="67"/>
      <c r="L586" s="67"/>
      <c r="M586" s="29" t="str">
        <f t="shared" si="67"/>
        <v/>
      </c>
      <c r="N586" s="29" t="str">
        <f t="shared" si="68"/>
        <v/>
      </c>
      <c r="O586" s="29" t="str">
        <f t="shared" si="63"/>
        <v/>
      </c>
      <c r="P586" s="61"/>
      <c r="Q586" s="61"/>
      <c r="R586" s="61"/>
      <c r="S586" s="45"/>
      <c r="T586" s="29" t="str">
        <f t="shared" si="64"/>
        <v/>
      </c>
    </row>
    <row r="587" spans="1:20">
      <c r="A587" s="10" t="str">
        <f t="shared" si="69"/>
        <v/>
      </c>
      <c r="B587" s="63"/>
      <c r="C587" s="25" t="str">
        <f t="shared" si="65"/>
        <v/>
      </c>
      <c r="D587" s="25" t="str">
        <f t="shared" si="66"/>
        <v/>
      </c>
      <c r="E587" s="45"/>
      <c r="F587" s="28" t="str">
        <f>IFERROR(VLOOKUP(E587,Category!$D$2:$E$600,2,FALSE),"")</f>
        <v/>
      </c>
      <c r="G587" s="65"/>
      <c r="H587" s="56"/>
      <c r="I587" s="66"/>
      <c r="J587" s="67"/>
      <c r="K587" s="67"/>
      <c r="L587" s="67"/>
      <c r="M587" s="29" t="str">
        <f t="shared" si="67"/>
        <v/>
      </c>
      <c r="N587" s="29" t="str">
        <f t="shared" si="68"/>
        <v/>
      </c>
      <c r="O587" s="29" t="str">
        <f t="shared" si="63"/>
        <v/>
      </c>
      <c r="P587" s="61"/>
      <c r="Q587" s="61"/>
      <c r="R587" s="61"/>
      <c r="S587" s="45"/>
      <c r="T587" s="29" t="str">
        <f t="shared" si="64"/>
        <v/>
      </c>
    </row>
    <row r="588" spans="1:20">
      <c r="A588" s="10" t="str">
        <f t="shared" si="69"/>
        <v/>
      </c>
      <c r="B588" s="63"/>
      <c r="C588" s="25" t="str">
        <f t="shared" si="65"/>
        <v/>
      </c>
      <c r="D588" s="25" t="str">
        <f t="shared" si="66"/>
        <v/>
      </c>
      <c r="E588" s="45"/>
      <c r="F588" s="28" t="str">
        <f>IFERROR(VLOOKUP(E588,Category!$D$2:$E$600,2,FALSE),"")</f>
        <v/>
      </c>
      <c r="G588" s="65"/>
      <c r="H588" s="56"/>
      <c r="I588" s="66"/>
      <c r="J588" s="67"/>
      <c r="K588" s="67"/>
      <c r="L588" s="67"/>
      <c r="M588" s="29" t="str">
        <f t="shared" si="67"/>
        <v/>
      </c>
      <c r="N588" s="29" t="str">
        <f t="shared" si="68"/>
        <v/>
      </c>
      <c r="O588" s="29" t="str">
        <f t="shared" si="63"/>
        <v/>
      </c>
      <c r="P588" s="61"/>
      <c r="Q588" s="61"/>
      <c r="R588" s="61"/>
      <c r="S588" s="45"/>
      <c r="T588" s="29" t="str">
        <f t="shared" si="64"/>
        <v/>
      </c>
    </row>
    <row r="589" spans="1:20">
      <c r="A589" s="10" t="str">
        <f t="shared" si="69"/>
        <v/>
      </c>
      <c r="B589" s="63"/>
      <c r="C589" s="25" t="str">
        <f t="shared" si="65"/>
        <v/>
      </c>
      <c r="D589" s="25" t="str">
        <f t="shared" si="66"/>
        <v/>
      </c>
      <c r="E589" s="45"/>
      <c r="F589" s="28" t="str">
        <f>IFERROR(VLOOKUP(E589,Category!$D$2:$E$600,2,FALSE),"")</f>
        <v/>
      </c>
      <c r="G589" s="65"/>
      <c r="H589" s="56"/>
      <c r="I589" s="66"/>
      <c r="J589" s="67"/>
      <c r="K589" s="67"/>
      <c r="L589" s="67"/>
      <c r="M589" s="29" t="str">
        <f t="shared" si="67"/>
        <v/>
      </c>
      <c r="N589" s="29" t="str">
        <f t="shared" si="68"/>
        <v/>
      </c>
      <c r="O589" s="29" t="str">
        <f t="shared" si="63"/>
        <v/>
      </c>
      <c r="P589" s="61"/>
      <c r="Q589" s="61"/>
      <c r="R589" s="61"/>
      <c r="S589" s="45"/>
      <c r="T589" s="29" t="str">
        <f t="shared" si="64"/>
        <v/>
      </c>
    </row>
    <row r="590" spans="1:20">
      <c r="A590" s="10" t="str">
        <f t="shared" si="69"/>
        <v/>
      </c>
      <c r="B590" s="63"/>
      <c r="C590" s="25" t="str">
        <f t="shared" si="65"/>
        <v/>
      </c>
      <c r="D590" s="25" t="str">
        <f t="shared" si="66"/>
        <v/>
      </c>
      <c r="E590" s="45"/>
      <c r="F590" s="28" t="str">
        <f>IFERROR(VLOOKUP(E590,Category!$D$2:$E$600,2,FALSE),"")</f>
        <v/>
      </c>
      <c r="G590" s="65"/>
      <c r="H590" s="56"/>
      <c r="I590" s="66"/>
      <c r="J590" s="67"/>
      <c r="K590" s="67"/>
      <c r="L590" s="67"/>
      <c r="M590" s="29" t="str">
        <f t="shared" si="67"/>
        <v/>
      </c>
      <c r="N590" s="29" t="str">
        <f t="shared" si="68"/>
        <v/>
      </c>
      <c r="O590" s="29" t="str">
        <f t="shared" si="63"/>
        <v/>
      </c>
      <c r="P590" s="61"/>
      <c r="Q590" s="61"/>
      <c r="R590" s="61"/>
      <c r="S590" s="45"/>
      <c r="T590" s="29" t="str">
        <f t="shared" si="64"/>
        <v/>
      </c>
    </row>
    <row r="591" spans="1:20">
      <c r="A591" s="10" t="str">
        <f t="shared" si="69"/>
        <v/>
      </c>
      <c r="B591" s="63"/>
      <c r="C591" s="25" t="str">
        <f t="shared" si="65"/>
        <v/>
      </c>
      <c r="D591" s="25" t="str">
        <f t="shared" si="66"/>
        <v/>
      </c>
      <c r="E591" s="45"/>
      <c r="F591" s="28" t="str">
        <f>IFERROR(VLOOKUP(E591,Category!$D$2:$E$600,2,FALSE),"")</f>
        <v/>
      </c>
      <c r="G591" s="65"/>
      <c r="H591" s="56"/>
      <c r="I591" s="66"/>
      <c r="J591" s="67"/>
      <c r="K591" s="67"/>
      <c r="L591" s="67"/>
      <c r="M591" s="29" t="str">
        <f t="shared" si="67"/>
        <v/>
      </c>
      <c r="N591" s="29" t="str">
        <f t="shared" si="68"/>
        <v/>
      </c>
      <c r="O591" s="29" t="str">
        <f t="shared" si="63"/>
        <v/>
      </c>
      <c r="P591" s="61"/>
      <c r="Q591" s="61"/>
      <c r="R591" s="61"/>
      <c r="S591" s="45"/>
      <c r="T591" s="29" t="str">
        <f t="shared" si="64"/>
        <v/>
      </c>
    </row>
    <row r="592" spans="1:20">
      <c r="A592" s="10" t="str">
        <f t="shared" si="69"/>
        <v/>
      </c>
      <c r="B592" s="63"/>
      <c r="C592" s="25" t="str">
        <f t="shared" si="65"/>
        <v/>
      </c>
      <c r="D592" s="25" t="str">
        <f t="shared" si="66"/>
        <v/>
      </c>
      <c r="E592" s="45"/>
      <c r="F592" s="28" t="str">
        <f>IFERROR(VLOOKUP(E592,Category!$D$2:$E$600,2,FALSE),"")</f>
        <v/>
      </c>
      <c r="G592" s="65"/>
      <c r="H592" s="56"/>
      <c r="I592" s="66"/>
      <c r="J592" s="67"/>
      <c r="K592" s="67"/>
      <c r="L592" s="67"/>
      <c r="M592" s="29" t="str">
        <f t="shared" si="67"/>
        <v/>
      </c>
      <c r="N592" s="29" t="str">
        <f t="shared" si="68"/>
        <v/>
      </c>
      <c r="O592" s="29" t="str">
        <f t="shared" si="63"/>
        <v/>
      </c>
      <c r="P592" s="61"/>
      <c r="Q592" s="61"/>
      <c r="R592" s="61"/>
      <c r="S592" s="45"/>
      <c r="T592" s="29" t="str">
        <f t="shared" si="64"/>
        <v/>
      </c>
    </row>
    <row r="593" spans="1:20">
      <c r="A593" s="10" t="str">
        <f t="shared" si="69"/>
        <v/>
      </c>
      <c r="B593" s="63"/>
      <c r="C593" s="25" t="str">
        <f t="shared" si="65"/>
        <v/>
      </c>
      <c r="D593" s="25" t="str">
        <f t="shared" si="66"/>
        <v/>
      </c>
      <c r="E593" s="45"/>
      <c r="F593" s="28" t="str">
        <f>IFERROR(VLOOKUP(E593,Category!$D$2:$E$600,2,FALSE),"")</f>
        <v/>
      </c>
      <c r="G593" s="65"/>
      <c r="H593" s="56"/>
      <c r="I593" s="66"/>
      <c r="J593" s="67"/>
      <c r="K593" s="67"/>
      <c r="L593" s="67"/>
      <c r="M593" s="29" t="str">
        <f t="shared" si="67"/>
        <v/>
      </c>
      <c r="N593" s="29" t="str">
        <f t="shared" si="68"/>
        <v/>
      </c>
      <c r="O593" s="29" t="str">
        <f t="shared" si="63"/>
        <v/>
      </c>
      <c r="P593" s="61"/>
      <c r="Q593" s="61"/>
      <c r="R593" s="61"/>
      <c r="S593" s="45"/>
      <c r="T593" s="29" t="str">
        <f t="shared" si="64"/>
        <v/>
      </c>
    </row>
    <row r="594" spans="1:20">
      <c r="A594" s="10" t="str">
        <f t="shared" si="69"/>
        <v/>
      </c>
      <c r="B594" s="63"/>
      <c r="C594" s="25" t="str">
        <f t="shared" si="65"/>
        <v/>
      </c>
      <c r="D594" s="25" t="str">
        <f t="shared" si="66"/>
        <v/>
      </c>
      <c r="E594" s="45"/>
      <c r="F594" s="28" t="str">
        <f>IFERROR(VLOOKUP(E594,Category!$D$2:$E$600,2,FALSE),"")</f>
        <v/>
      </c>
      <c r="G594" s="65"/>
      <c r="H594" s="56"/>
      <c r="I594" s="66"/>
      <c r="J594" s="67"/>
      <c r="K594" s="67"/>
      <c r="L594" s="67"/>
      <c r="M594" s="29" t="str">
        <f t="shared" si="67"/>
        <v/>
      </c>
      <c r="N594" s="29" t="str">
        <f t="shared" si="68"/>
        <v/>
      </c>
      <c r="O594" s="29" t="str">
        <f t="shared" si="63"/>
        <v/>
      </c>
      <c r="P594" s="61"/>
      <c r="Q594" s="61"/>
      <c r="R594" s="61"/>
      <c r="S594" s="45"/>
      <c r="T594" s="29" t="str">
        <f t="shared" si="64"/>
        <v/>
      </c>
    </row>
    <row r="595" spans="1:20">
      <c r="A595" s="10" t="str">
        <f t="shared" si="69"/>
        <v/>
      </c>
      <c r="B595" s="63"/>
      <c r="C595" s="25" t="str">
        <f t="shared" si="65"/>
        <v/>
      </c>
      <c r="D595" s="25" t="str">
        <f t="shared" si="66"/>
        <v/>
      </c>
      <c r="E595" s="45"/>
      <c r="F595" s="28" t="str">
        <f>IFERROR(VLOOKUP(E595,Category!$D$2:$E$600,2,FALSE),"")</f>
        <v/>
      </c>
      <c r="G595" s="65"/>
      <c r="H595" s="56"/>
      <c r="I595" s="66"/>
      <c r="J595" s="67"/>
      <c r="K595" s="67"/>
      <c r="L595" s="67"/>
      <c r="M595" s="29" t="str">
        <f t="shared" si="67"/>
        <v/>
      </c>
      <c r="N595" s="29" t="str">
        <f t="shared" si="68"/>
        <v/>
      </c>
      <c r="O595" s="29" t="str">
        <f t="shared" si="63"/>
        <v/>
      </c>
      <c r="P595" s="61"/>
      <c r="Q595" s="61"/>
      <c r="R595" s="61"/>
      <c r="S595" s="45"/>
      <c r="T595" s="29" t="str">
        <f t="shared" si="64"/>
        <v/>
      </c>
    </row>
    <row r="596" spans="1:20">
      <c r="A596" s="10" t="str">
        <f t="shared" si="69"/>
        <v/>
      </c>
      <c r="B596" s="63"/>
      <c r="C596" s="25" t="str">
        <f t="shared" si="65"/>
        <v/>
      </c>
      <c r="D596" s="25" t="str">
        <f t="shared" si="66"/>
        <v/>
      </c>
      <c r="E596" s="45"/>
      <c r="F596" s="28" t="str">
        <f>IFERROR(VLOOKUP(E596,Category!$D$2:$E$600,2,FALSE),"")</f>
        <v/>
      </c>
      <c r="G596" s="65"/>
      <c r="H596" s="56"/>
      <c r="I596" s="66"/>
      <c r="J596" s="67"/>
      <c r="K596" s="67"/>
      <c r="L596" s="67"/>
      <c r="M596" s="29" t="str">
        <f t="shared" si="67"/>
        <v/>
      </c>
      <c r="N596" s="29" t="str">
        <f t="shared" si="68"/>
        <v/>
      </c>
      <c r="O596" s="29" t="str">
        <f t="shared" si="63"/>
        <v/>
      </c>
      <c r="P596" s="61"/>
      <c r="Q596" s="61"/>
      <c r="R596" s="61"/>
      <c r="S596" s="45"/>
      <c r="T596" s="29" t="str">
        <f t="shared" si="64"/>
        <v/>
      </c>
    </row>
    <row r="597" spans="1:20">
      <c r="A597" s="10" t="str">
        <f t="shared" si="69"/>
        <v/>
      </c>
      <c r="B597" s="63"/>
      <c r="C597" s="25" t="str">
        <f t="shared" si="65"/>
        <v/>
      </c>
      <c r="D597" s="25" t="str">
        <f t="shared" si="66"/>
        <v/>
      </c>
      <c r="E597" s="45"/>
      <c r="F597" s="28" t="str">
        <f>IFERROR(VLOOKUP(E597,Category!$D$2:$E$600,2,FALSE),"")</f>
        <v/>
      </c>
      <c r="G597" s="65"/>
      <c r="H597" s="56"/>
      <c r="I597" s="66"/>
      <c r="J597" s="67"/>
      <c r="K597" s="67"/>
      <c r="L597" s="67"/>
      <c r="M597" s="29" t="str">
        <f t="shared" si="67"/>
        <v/>
      </c>
      <c r="N597" s="29" t="str">
        <f t="shared" si="68"/>
        <v/>
      </c>
      <c r="O597" s="29" t="str">
        <f t="shared" si="63"/>
        <v/>
      </c>
      <c r="P597" s="61"/>
      <c r="Q597" s="61"/>
      <c r="R597" s="61"/>
      <c r="S597" s="45"/>
      <c r="T597" s="29" t="str">
        <f t="shared" si="64"/>
        <v/>
      </c>
    </row>
    <row r="598" spans="1:20">
      <c r="A598" s="10" t="str">
        <f t="shared" si="69"/>
        <v/>
      </c>
      <c r="B598" s="63"/>
      <c r="C598" s="25" t="str">
        <f t="shared" si="65"/>
        <v/>
      </c>
      <c r="D598" s="25" t="str">
        <f t="shared" si="66"/>
        <v/>
      </c>
      <c r="E598" s="45"/>
      <c r="F598" s="28" t="str">
        <f>IFERROR(VLOOKUP(E598,Category!$D$2:$E$600,2,FALSE),"")</f>
        <v/>
      </c>
      <c r="G598" s="65"/>
      <c r="H598" s="56"/>
      <c r="I598" s="66"/>
      <c r="J598" s="67"/>
      <c r="K598" s="67"/>
      <c r="L598" s="67"/>
      <c r="M598" s="29" t="str">
        <f t="shared" si="67"/>
        <v/>
      </c>
      <c r="N598" s="29" t="str">
        <f t="shared" si="68"/>
        <v/>
      </c>
      <c r="O598" s="29" t="str">
        <f t="shared" si="63"/>
        <v/>
      </c>
      <c r="P598" s="61"/>
      <c r="Q598" s="61"/>
      <c r="R598" s="61"/>
      <c r="S598" s="45"/>
      <c r="T598" s="29" t="str">
        <f t="shared" si="64"/>
        <v/>
      </c>
    </row>
    <row r="599" spans="1:20">
      <c r="A599" s="10" t="str">
        <f t="shared" si="69"/>
        <v/>
      </c>
      <c r="B599" s="63"/>
      <c r="C599" s="25" t="str">
        <f t="shared" si="65"/>
        <v/>
      </c>
      <c r="D599" s="25" t="str">
        <f t="shared" si="66"/>
        <v/>
      </c>
      <c r="E599" s="45"/>
      <c r="F599" s="28" t="str">
        <f>IFERROR(VLOOKUP(E599,Category!$D$2:$E$600,2,FALSE),"")</f>
        <v/>
      </c>
      <c r="G599" s="65"/>
      <c r="H599" s="56"/>
      <c r="I599" s="66"/>
      <c r="J599" s="67"/>
      <c r="K599" s="67"/>
      <c r="L599" s="67"/>
      <c r="M599" s="29" t="str">
        <f t="shared" si="67"/>
        <v/>
      </c>
      <c r="N599" s="29" t="str">
        <f t="shared" si="68"/>
        <v/>
      </c>
      <c r="O599" s="29" t="str">
        <f t="shared" si="63"/>
        <v/>
      </c>
      <c r="P599" s="61"/>
      <c r="Q599" s="61"/>
      <c r="R599" s="61"/>
      <c r="S599" s="45"/>
      <c r="T599" s="29" t="str">
        <f t="shared" si="64"/>
        <v/>
      </c>
    </row>
    <row r="600" spans="1:20">
      <c r="A600" s="10" t="str">
        <f t="shared" si="69"/>
        <v/>
      </c>
      <c r="B600" s="63"/>
      <c r="C600" s="25" t="str">
        <f t="shared" si="65"/>
        <v/>
      </c>
      <c r="D600" s="25" t="str">
        <f t="shared" si="66"/>
        <v/>
      </c>
      <c r="E600" s="45"/>
      <c r="F600" s="28" t="str">
        <f>IFERROR(VLOOKUP(E600,Category!$D$2:$E$600,2,FALSE),"")</f>
        <v/>
      </c>
      <c r="G600" s="65"/>
      <c r="H600" s="56"/>
      <c r="I600" s="66"/>
      <c r="J600" s="67"/>
      <c r="K600" s="67"/>
      <c r="L600" s="67"/>
      <c r="M600" s="29" t="str">
        <f t="shared" si="67"/>
        <v/>
      </c>
      <c r="N600" s="29" t="str">
        <f t="shared" si="68"/>
        <v/>
      </c>
      <c r="O600" s="29" t="str">
        <f t="shared" si="63"/>
        <v/>
      </c>
      <c r="P600" s="61"/>
      <c r="Q600" s="61"/>
      <c r="R600" s="61"/>
      <c r="S600" s="45"/>
      <c r="T600" s="29" t="str">
        <f t="shared" si="64"/>
        <v/>
      </c>
    </row>
    <row r="601" spans="1:20">
      <c r="A601" s="10" t="str">
        <f t="shared" si="69"/>
        <v/>
      </c>
      <c r="B601" s="63"/>
      <c r="C601" s="25" t="str">
        <f t="shared" si="65"/>
        <v/>
      </c>
      <c r="D601" s="25" t="str">
        <f t="shared" si="66"/>
        <v/>
      </c>
      <c r="E601" s="45"/>
      <c r="F601" s="28" t="str">
        <f>IFERROR(VLOOKUP(E601,Category!$D$2:$E$600,2,FALSE),"")</f>
        <v/>
      </c>
      <c r="G601" s="65"/>
      <c r="H601" s="56"/>
      <c r="I601" s="66"/>
      <c r="J601" s="67"/>
      <c r="K601" s="67"/>
      <c r="L601" s="67"/>
      <c r="M601" s="29" t="str">
        <f t="shared" si="67"/>
        <v/>
      </c>
      <c r="N601" s="29" t="str">
        <f t="shared" si="68"/>
        <v/>
      </c>
      <c r="O601" s="29" t="str">
        <f t="shared" si="63"/>
        <v/>
      </c>
      <c r="P601" s="61"/>
      <c r="Q601" s="61"/>
      <c r="R601" s="61"/>
      <c r="S601" s="45"/>
      <c r="T601" s="29" t="str">
        <f t="shared" si="64"/>
        <v/>
      </c>
    </row>
    <row r="602" spans="1:20">
      <c r="A602" s="10" t="str">
        <f t="shared" si="69"/>
        <v/>
      </c>
      <c r="B602" s="63"/>
      <c r="C602" s="25" t="str">
        <f t="shared" si="65"/>
        <v/>
      </c>
      <c r="D602" s="25" t="str">
        <f t="shared" si="66"/>
        <v/>
      </c>
      <c r="E602" s="45"/>
      <c r="F602" s="28" t="str">
        <f>IFERROR(VLOOKUP(E602,Category!$D$2:$E$600,2,FALSE),"")</f>
        <v/>
      </c>
      <c r="G602" s="65"/>
      <c r="H602" s="56"/>
      <c r="I602" s="66"/>
      <c r="J602" s="67"/>
      <c r="K602" s="67"/>
      <c r="L602" s="67"/>
      <c r="M602" s="29" t="str">
        <f t="shared" si="67"/>
        <v/>
      </c>
      <c r="N602" s="29" t="str">
        <f t="shared" si="68"/>
        <v/>
      </c>
      <c r="O602" s="29" t="str">
        <f t="shared" si="63"/>
        <v/>
      </c>
      <c r="P602" s="61"/>
      <c r="Q602" s="61"/>
      <c r="R602" s="61"/>
      <c r="S602" s="45"/>
      <c r="T602" s="29" t="str">
        <f t="shared" si="64"/>
        <v/>
      </c>
    </row>
    <row r="603" spans="1:20">
      <c r="A603" s="10" t="str">
        <f t="shared" si="69"/>
        <v/>
      </c>
      <c r="B603" s="63"/>
      <c r="C603" s="25" t="str">
        <f t="shared" si="65"/>
        <v/>
      </c>
      <c r="D603" s="25" t="str">
        <f t="shared" si="66"/>
        <v/>
      </c>
      <c r="E603" s="45"/>
      <c r="F603" s="28" t="str">
        <f>IFERROR(VLOOKUP(E603,Category!$D$2:$E$600,2,FALSE),"")</f>
        <v/>
      </c>
      <c r="G603" s="65"/>
      <c r="H603" s="56"/>
      <c r="I603" s="66"/>
      <c r="J603" s="67"/>
      <c r="K603" s="67"/>
      <c r="L603" s="67"/>
      <c r="M603" s="29" t="str">
        <f t="shared" si="67"/>
        <v/>
      </c>
      <c r="N603" s="29" t="str">
        <f t="shared" si="68"/>
        <v/>
      </c>
      <c r="O603" s="29" t="str">
        <f t="shared" si="63"/>
        <v/>
      </c>
      <c r="P603" s="61"/>
      <c r="Q603" s="61"/>
      <c r="R603" s="61"/>
      <c r="S603" s="45"/>
      <c r="T603" s="29" t="str">
        <f t="shared" si="64"/>
        <v/>
      </c>
    </row>
    <row r="604" spans="1:20">
      <c r="A604" s="10" t="str">
        <f t="shared" si="69"/>
        <v/>
      </c>
      <c r="B604" s="63"/>
      <c r="C604" s="25" t="str">
        <f t="shared" si="65"/>
        <v/>
      </c>
      <c r="D604" s="25" t="str">
        <f t="shared" si="66"/>
        <v/>
      </c>
      <c r="E604" s="45"/>
      <c r="F604" s="28" t="str">
        <f>IFERROR(VLOOKUP(E604,Category!$D$2:$E$600,2,FALSE),"")</f>
        <v/>
      </c>
      <c r="G604" s="65"/>
      <c r="H604" s="56"/>
      <c r="I604" s="66"/>
      <c r="J604" s="67"/>
      <c r="K604" s="67"/>
      <c r="L604" s="67"/>
      <c r="M604" s="29" t="str">
        <f t="shared" si="67"/>
        <v/>
      </c>
      <c r="N604" s="29" t="str">
        <f t="shared" si="68"/>
        <v/>
      </c>
      <c r="O604" s="29" t="str">
        <f t="shared" si="63"/>
        <v/>
      </c>
      <c r="P604" s="61"/>
      <c r="Q604" s="61"/>
      <c r="R604" s="61"/>
      <c r="S604" s="45"/>
      <c r="T604" s="29" t="str">
        <f t="shared" si="64"/>
        <v/>
      </c>
    </row>
    <row r="605" spans="1:20">
      <c r="A605" s="10" t="str">
        <f t="shared" si="69"/>
        <v/>
      </c>
      <c r="B605" s="63"/>
      <c r="C605" s="25" t="str">
        <f t="shared" si="65"/>
        <v/>
      </c>
      <c r="D605" s="25" t="str">
        <f t="shared" si="66"/>
        <v/>
      </c>
      <c r="E605" s="45"/>
      <c r="F605" s="28" t="str">
        <f>IFERROR(VLOOKUP(E605,Category!$D$2:$E$600,2,FALSE),"")</f>
        <v/>
      </c>
      <c r="G605" s="65"/>
      <c r="H605" s="56"/>
      <c r="I605" s="66"/>
      <c r="J605" s="67"/>
      <c r="K605" s="67"/>
      <c r="L605" s="67"/>
      <c r="M605" s="29" t="str">
        <f t="shared" si="67"/>
        <v/>
      </c>
      <c r="N605" s="29" t="str">
        <f t="shared" si="68"/>
        <v/>
      </c>
      <c r="O605" s="29" t="str">
        <f t="shared" si="63"/>
        <v/>
      </c>
      <c r="P605" s="61"/>
      <c r="Q605" s="61"/>
      <c r="R605" s="61"/>
      <c r="S605" s="45"/>
      <c r="T605" s="29" t="str">
        <f t="shared" si="64"/>
        <v/>
      </c>
    </row>
    <row r="606" spans="1:20">
      <c r="A606" s="10" t="str">
        <f t="shared" si="69"/>
        <v/>
      </c>
      <c r="B606" s="63"/>
      <c r="C606" s="25" t="str">
        <f t="shared" si="65"/>
        <v/>
      </c>
      <c r="D606" s="25" t="str">
        <f t="shared" si="66"/>
        <v/>
      </c>
      <c r="E606" s="45"/>
      <c r="F606" s="28" t="str">
        <f>IFERROR(VLOOKUP(E606,Category!$D$2:$E$600,2,FALSE),"")</f>
        <v/>
      </c>
      <c r="G606" s="65"/>
      <c r="H606" s="56"/>
      <c r="I606" s="66"/>
      <c r="J606" s="67"/>
      <c r="K606" s="67"/>
      <c r="L606" s="67"/>
      <c r="M606" s="29" t="str">
        <f t="shared" si="67"/>
        <v/>
      </c>
      <c r="N606" s="29" t="str">
        <f t="shared" si="68"/>
        <v/>
      </c>
      <c r="O606" s="29" t="str">
        <f t="shared" si="63"/>
        <v/>
      </c>
      <c r="P606" s="61"/>
      <c r="Q606" s="61"/>
      <c r="R606" s="61"/>
      <c r="S606" s="45"/>
      <c r="T606" s="29" t="str">
        <f t="shared" si="64"/>
        <v/>
      </c>
    </row>
    <row r="607" spans="1:20">
      <c r="A607" s="10" t="str">
        <f t="shared" si="69"/>
        <v/>
      </c>
      <c r="B607" s="63"/>
      <c r="C607" s="25" t="str">
        <f t="shared" si="65"/>
        <v/>
      </c>
      <c r="D607" s="25" t="str">
        <f t="shared" si="66"/>
        <v/>
      </c>
      <c r="E607" s="45"/>
      <c r="F607" s="28" t="str">
        <f>IFERROR(VLOOKUP(E607,Category!$D$2:$E$600,2,FALSE),"")</f>
        <v/>
      </c>
      <c r="G607" s="65"/>
      <c r="H607" s="56"/>
      <c r="I607" s="66"/>
      <c r="J607" s="67"/>
      <c r="K607" s="67"/>
      <c r="L607" s="67"/>
      <c r="M607" s="29" t="str">
        <f t="shared" si="67"/>
        <v/>
      </c>
      <c r="N607" s="29" t="str">
        <f t="shared" si="68"/>
        <v/>
      </c>
      <c r="O607" s="29" t="str">
        <f t="shared" si="63"/>
        <v/>
      </c>
      <c r="P607" s="61"/>
      <c r="Q607" s="61"/>
      <c r="R607" s="61"/>
      <c r="S607" s="45"/>
      <c r="T607" s="29" t="str">
        <f t="shared" si="64"/>
        <v/>
      </c>
    </row>
    <row r="608" spans="1:20">
      <c r="A608" s="10" t="str">
        <f t="shared" si="69"/>
        <v/>
      </c>
      <c r="B608" s="63"/>
      <c r="C608" s="25" t="str">
        <f t="shared" si="65"/>
        <v/>
      </c>
      <c r="D608" s="25" t="str">
        <f t="shared" si="66"/>
        <v/>
      </c>
      <c r="E608" s="45"/>
      <c r="F608" s="28" t="str">
        <f>IFERROR(VLOOKUP(E608,Category!$D$2:$E$600,2,FALSE),"")</f>
        <v/>
      </c>
      <c r="G608" s="65"/>
      <c r="H608" s="56"/>
      <c r="I608" s="66"/>
      <c r="J608" s="67"/>
      <c r="K608" s="67"/>
      <c r="L608" s="67"/>
      <c r="M608" s="29" t="str">
        <f t="shared" si="67"/>
        <v/>
      </c>
      <c r="N608" s="29" t="str">
        <f t="shared" si="68"/>
        <v/>
      </c>
      <c r="O608" s="29" t="str">
        <f t="shared" si="63"/>
        <v/>
      </c>
      <c r="P608" s="61"/>
      <c r="Q608" s="61"/>
      <c r="R608" s="61"/>
      <c r="S608" s="45"/>
      <c r="T608" s="29" t="str">
        <f t="shared" si="64"/>
        <v/>
      </c>
    </row>
    <row r="609" spans="1:20">
      <c r="A609" s="10" t="str">
        <f t="shared" si="69"/>
        <v/>
      </c>
      <c r="B609" s="63"/>
      <c r="C609" s="25" t="str">
        <f t="shared" si="65"/>
        <v/>
      </c>
      <c r="D609" s="25" t="str">
        <f t="shared" si="66"/>
        <v/>
      </c>
      <c r="E609" s="45"/>
      <c r="F609" s="28" t="str">
        <f>IFERROR(VLOOKUP(E609,Category!$D$2:$E$600,2,FALSE),"")</f>
        <v/>
      </c>
      <c r="G609" s="65"/>
      <c r="H609" s="56"/>
      <c r="I609" s="66"/>
      <c r="J609" s="67"/>
      <c r="K609" s="67"/>
      <c r="L609" s="67"/>
      <c r="M609" s="29" t="str">
        <f t="shared" si="67"/>
        <v/>
      </c>
      <c r="N609" s="29" t="str">
        <f t="shared" si="68"/>
        <v/>
      </c>
      <c r="O609" s="29" t="str">
        <f t="shared" si="63"/>
        <v/>
      </c>
      <c r="P609" s="61"/>
      <c r="Q609" s="61"/>
      <c r="R609" s="61"/>
      <c r="S609" s="45"/>
      <c r="T609" s="29" t="str">
        <f t="shared" si="64"/>
        <v/>
      </c>
    </row>
    <row r="610" spans="1:20">
      <c r="A610" s="10" t="str">
        <f t="shared" si="69"/>
        <v/>
      </c>
      <c r="B610" s="63"/>
      <c r="C610" s="25" t="str">
        <f t="shared" si="65"/>
        <v/>
      </c>
      <c r="D610" s="25" t="str">
        <f t="shared" si="66"/>
        <v/>
      </c>
      <c r="E610" s="45"/>
      <c r="F610" s="28" t="str">
        <f>IFERROR(VLOOKUP(E610,Category!$D$2:$E$600,2,FALSE),"")</f>
        <v/>
      </c>
      <c r="G610" s="65"/>
      <c r="H610" s="56"/>
      <c r="I610" s="66"/>
      <c r="J610" s="67"/>
      <c r="K610" s="67"/>
      <c r="L610" s="67"/>
      <c r="M610" s="29" t="str">
        <f t="shared" si="67"/>
        <v/>
      </c>
      <c r="N610" s="29" t="str">
        <f t="shared" si="68"/>
        <v/>
      </c>
      <c r="O610" s="29" t="str">
        <f t="shared" si="63"/>
        <v/>
      </c>
      <c r="P610" s="61"/>
      <c r="Q610" s="61"/>
      <c r="R610" s="61"/>
      <c r="S610" s="45"/>
      <c r="T610" s="29" t="str">
        <f t="shared" si="64"/>
        <v/>
      </c>
    </row>
    <row r="611" spans="1:20">
      <c r="A611" s="10" t="str">
        <f t="shared" si="69"/>
        <v/>
      </c>
      <c r="B611" s="63"/>
      <c r="C611" s="25" t="str">
        <f t="shared" si="65"/>
        <v/>
      </c>
      <c r="D611" s="25" t="str">
        <f t="shared" si="66"/>
        <v/>
      </c>
      <c r="E611" s="45"/>
      <c r="F611" s="28" t="str">
        <f>IFERROR(VLOOKUP(E611,Category!$D$2:$E$600,2,FALSE),"")</f>
        <v/>
      </c>
      <c r="G611" s="65"/>
      <c r="H611" s="56"/>
      <c r="I611" s="66"/>
      <c r="J611" s="67"/>
      <c r="K611" s="67"/>
      <c r="L611" s="67"/>
      <c r="M611" s="29" t="str">
        <f t="shared" si="67"/>
        <v/>
      </c>
      <c r="N611" s="29" t="str">
        <f t="shared" si="68"/>
        <v/>
      </c>
      <c r="O611" s="29" t="str">
        <f t="shared" si="63"/>
        <v/>
      </c>
      <c r="P611" s="61"/>
      <c r="Q611" s="61"/>
      <c r="R611" s="61"/>
      <c r="S611" s="45"/>
      <c r="T611" s="29" t="str">
        <f t="shared" si="64"/>
        <v/>
      </c>
    </row>
    <row r="612" spans="1:20">
      <c r="A612" s="10" t="str">
        <f t="shared" si="69"/>
        <v/>
      </c>
      <c r="B612" s="63"/>
      <c r="C612" s="25" t="str">
        <f t="shared" si="65"/>
        <v/>
      </c>
      <c r="D612" s="25" t="str">
        <f t="shared" si="66"/>
        <v/>
      </c>
      <c r="E612" s="45"/>
      <c r="F612" s="28" t="str">
        <f>IFERROR(VLOOKUP(E612,Category!$D$2:$E$600,2,FALSE),"")</f>
        <v/>
      </c>
      <c r="G612" s="65"/>
      <c r="H612" s="56"/>
      <c r="I612" s="66"/>
      <c r="J612" s="67"/>
      <c r="K612" s="67"/>
      <c r="L612" s="67"/>
      <c r="M612" s="29" t="str">
        <f t="shared" si="67"/>
        <v/>
      </c>
      <c r="N612" s="29" t="str">
        <f t="shared" si="68"/>
        <v/>
      </c>
      <c r="O612" s="29" t="str">
        <f t="shared" si="63"/>
        <v/>
      </c>
      <c r="P612" s="61"/>
      <c r="Q612" s="61"/>
      <c r="R612" s="61"/>
      <c r="S612" s="45"/>
      <c r="T612" s="29" t="str">
        <f t="shared" si="64"/>
        <v/>
      </c>
    </row>
    <row r="613" spans="1:20">
      <c r="A613" s="10" t="str">
        <f t="shared" si="69"/>
        <v/>
      </c>
      <c r="B613" s="63"/>
      <c r="C613" s="25" t="str">
        <f t="shared" si="65"/>
        <v/>
      </c>
      <c r="D613" s="25" t="str">
        <f t="shared" si="66"/>
        <v/>
      </c>
      <c r="E613" s="45"/>
      <c r="F613" s="28" t="str">
        <f>IFERROR(VLOOKUP(E613,Category!$D$2:$E$600,2,FALSE),"")</f>
        <v/>
      </c>
      <c r="G613" s="65"/>
      <c r="H613" s="56"/>
      <c r="I613" s="66"/>
      <c r="J613" s="67"/>
      <c r="K613" s="67"/>
      <c r="L613" s="67"/>
      <c r="M613" s="29" t="str">
        <f t="shared" si="67"/>
        <v/>
      </c>
      <c r="N613" s="29" t="str">
        <f t="shared" si="68"/>
        <v/>
      </c>
      <c r="O613" s="29" t="str">
        <f t="shared" si="63"/>
        <v/>
      </c>
      <c r="P613" s="61"/>
      <c r="Q613" s="61"/>
      <c r="R613" s="61"/>
      <c r="S613" s="45"/>
      <c r="T613" s="29" t="str">
        <f t="shared" si="64"/>
        <v/>
      </c>
    </row>
    <row r="614" spans="1:20">
      <c r="A614" s="10" t="str">
        <f t="shared" si="69"/>
        <v/>
      </c>
      <c r="B614" s="63"/>
      <c r="C614" s="25" t="str">
        <f t="shared" si="65"/>
        <v/>
      </c>
      <c r="D614" s="25" t="str">
        <f t="shared" si="66"/>
        <v/>
      </c>
      <c r="E614" s="45"/>
      <c r="F614" s="28" t="str">
        <f>IFERROR(VLOOKUP(E614,Category!$D$2:$E$600,2,FALSE),"")</f>
        <v/>
      </c>
      <c r="G614" s="65"/>
      <c r="H614" s="56"/>
      <c r="I614" s="66"/>
      <c r="J614" s="67"/>
      <c r="K614" s="67"/>
      <c r="L614" s="67"/>
      <c r="M614" s="29" t="str">
        <f t="shared" si="67"/>
        <v/>
      </c>
      <c r="N614" s="29" t="str">
        <f t="shared" si="68"/>
        <v/>
      </c>
      <c r="O614" s="29" t="str">
        <f t="shared" si="63"/>
        <v/>
      </c>
      <c r="P614" s="61"/>
      <c r="Q614" s="61"/>
      <c r="R614" s="61"/>
      <c r="S614" s="45"/>
      <c r="T614" s="29" t="str">
        <f t="shared" si="64"/>
        <v/>
      </c>
    </row>
    <row r="615" spans="1:20">
      <c r="A615" s="10" t="str">
        <f t="shared" si="69"/>
        <v/>
      </c>
      <c r="B615" s="63"/>
      <c r="C615" s="25" t="str">
        <f t="shared" si="65"/>
        <v/>
      </c>
      <c r="D615" s="25" t="str">
        <f t="shared" si="66"/>
        <v/>
      </c>
      <c r="E615" s="45"/>
      <c r="F615" s="28" t="str">
        <f>IFERROR(VLOOKUP(E615,Category!$D$2:$E$600,2,FALSE),"")</f>
        <v/>
      </c>
      <c r="G615" s="65"/>
      <c r="H615" s="56"/>
      <c r="I615" s="66"/>
      <c r="J615" s="67"/>
      <c r="K615" s="67"/>
      <c r="L615" s="67"/>
      <c r="M615" s="29" t="str">
        <f t="shared" si="67"/>
        <v/>
      </c>
      <c r="N615" s="29" t="str">
        <f t="shared" si="68"/>
        <v/>
      </c>
      <c r="O615" s="29" t="str">
        <f t="shared" si="63"/>
        <v/>
      </c>
      <c r="P615" s="61"/>
      <c r="Q615" s="61"/>
      <c r="R615" s="61"/>
      <c r="S615" s="45"/>
      <c r="T615" s="29" t="str">
        <f t="shared" si="64"/>
        <v/>
      </c>
    </row>
    <row r="616" spans="1:20">
      <c r="A616" s="10" t="str">
        <f t="shared" si="69"/>
        <v/>
      </c>
      <c r="B616" s="63"/>
      <c r="C616" s="25" t="str">
        <f t="shared" si="65"/>
        <v/>
      </c>
      <c r="D616" s="25" t="str">
        <f t="shared" si="66"/>
        <v/>
      </c>
      <c r="E616" s="45"/>
      <c r="F616" s="28" t="str">
        <f>IFERROR(VLOOKUP(E616,Category!$D$2:$E$600,2,FALSE),"")</f>
        <v/>
      </c>
      <c r="G616" s="65"/>
      <c r="H616" s="56"/>
      <c r="I616" s="66"/>
      <c r="J616" s="67"/>
      <c r="K616" s="67"/>
      <c r="L616" s="67"/>
      <c r="M616" s="29" t="str">
        <f t="shared" si="67"/>
        <v/>
      </c>
      <c r="N616" s="29" t="str">
        <f t="shared" si="68"/>
        <v/>
      </c>
      <c r="O616" s="29" t="str">
        <f t="shared" si="63"/>
        <v/>
      </c>
      <c r="P616" s="61"/>
      <c r="Q616" s="61"/>
      <c r="R616" s="61"/>
      <c r="S616" s="45"/>
      <c r="T616" s="29" t="str">
        <f t="shared" si="64"/>
        <v/>
      </c>
    </row>
    <row r="617" spans="1:20">
      <c r="A617" s="10" t="str">
        <f t="shared" si="69"/>
        <v/>
      </c>
      <c r="B617" s="63"/>
      <c r="C617" s="25" t="str">
        <f t="shared" si="65"/>
        <v/>
      </c>
      <c r="D617" s="25" t="str">
        <f t="shared" si="66"/>
        <v/>
      </c>
      <c r="E617" s="45"/>
      <c r="F617" s="28" t="str">
        <f>IFERROR(VLOOKUP(E617,Category!$D$2:$E$600,2,FALSE),"")</f>
        <v/>
      </c>
      <c r="G617" s="65"/>
      <c r="H617" s="56"/>
      <c r="I617" s="66"/>
      <c r="J617" s="67"/>
      <c r="K617" s="67"/>
      <c r="L617" s="67"/>
      <c r="M617" s="29" t="str">
        <f t="shared" si="67"/>
        <v/>
      </c>
      <c r="N617" s="29" t="str">
        <f t="shared" si="68"/>
        <v/>
      </c>
      <c r="O617" s="29" t="str">
        <f t="shared" si="63"/>
        <v/>
      </c>
      <c r="P617" s="61"/>
      <c r="Q617" s="61"/>
      <c r="R617" s="61"/>
      <c r="S617" s="45"/>
      <c r="T617" s="29" t="str">
        <f t="shared" si="64"/>
        <v/>
      </c>
    </row>
    <row r="618" spans="1:20">
      <c r="A618" s="10" t="str">
        <f t="shared" si="69"/>
        <v/>
      </c>
      <c r="B618" s="63"/>
      <c r="C618" s="25" t="str">
        <f t="shared" si="65"/>
        <v/>
      </c>
      <c r="D618" s="25" t="str">
        <f t="shared" si="66"/>
        <v/>
      </c>
      <c r="E618" s="45"/>
      <c r="F618" s="28" t="str">
        <f>IFERROR(VLOOKUP(E618,Category!$D$2:$E$600,2,FALSE),"")</f>
        <v/>
      </c>
      <c r="G618" s="65"/>
      <c r="H618" s="56"/>
      <c r="I618" s="66"/>
      <c r="J618" s="67"/>
      <c r="K618" s="67"/>
      <c r="L618" s="67"/>
      <c r="M618" s="29" t="str">
        <f t="shared" si="67"/>
        <v/>
      </c>
      <c r="N618" s="29" t="str">
        <f t="shared" si="68"/>
        <v/>
      </c>
      <c r="O618" s="29" t="str">
        <f t="shared" si="63"/>
        <v/>
      </c>
      <c r="P618" s="61"/>
      <c r="Q618" s="61"/>
      <c r="R618" s="61"/>
      <c r="S618" s="45"/>
      <c r="T618" s="29" t="str">
        <f t="shared" si="64"/>
        <v/>
      </c>
    </row>
    <row r="619" spans="1:20">
      <c r="A619" s="10" t="str">
        <f t="shared" si="69"/>
        <v/>
      </c>
      <c r="B619" s="63"/>
      <c r="C619" s="25" t="str">
        <f t="shared" si="65"/>
        <v/>
      </c>
      <c r="D619" s="25" t="str">
        <f t="shared" si="66"/>
        <v/>
      </c>
      <c r="E619" s="45"/>
      <c r="F619" s="28" t="str">
        <f>IFERROR(VLOOKUP(E619,Category!$D$2:$E$600,2,FALSE),"")</f>
        <v/>
      </c>
      <c r="G619" s="65"/>
      <c r="H619" s="56"/>
      <c r="I619" s="66"/>
      <c r="J619" s="67"/>
      <c r="K619" s="67"/>
      <c r="L619" s="67"/>
      <c r="M619" s="29" t="str">
        <f t="shared" si="67"/>
        <v/>
      </c>
      <c r="N619" s="29" t="str">
        <f t="shared" si="68"/>
        <v/>
      </c>
      <c r="O619" s="29" t="str">
        <f t="shared" si="63"/>
        <v/>
      </c>
      <c r="P619" s="61"/>
      <c r="Q619" s="61"/>
      <c r="R619" s="61"/>
      <c r="S619" s="45"/>
      <c r="T619" s="29" t="str">
        <f t="shared" si="64"/>
        <v/>
      </c>
    </row>
    <row r="620" spans="1:20">
      <c r="A620" s="10" t="str">
        <f t="shared" si="69"/>
        <v/>
      </c>
      <c r="B620" s="63"/>
      <c r="C620" s="25" t="str">
        <f t="shared" si="65"/>
        <v/>
      </c>
      <c r="D620" s="25" t="str">
        <f t="shared" si="66"/>
        <v/>
      </c>
      <c r="E620" s="45"/>
      <c r="F620" s="28" t="str">
        <f>IFERROR(VLOOKUP(E620,Category!$D$2:$E$600,2,FALSE),"")</f>
        <v/>
      </c>
      <c r="G620" s="65"/>
      <c r="H620" s="56"/>
      <c r="I620" s="66"/>
      <c r="J620" s="67"/>
      <c r="K620" s="67"/>
      <c r="L620" s="67"/>
      <c r="M620" s="29" t="str">
        <f t="shared" si="67"/>
        <v/>
      </c>
      <c r="N620" s="29" t="str">
        <f t="shared" si="68"/>
        <v/>
      </c>
      <c r="O620" s="29" t="str">
        <f t="shared" si="63"/>
        <v/>
      </c>
      <c r="P620" s="61"/>
      <c r="Q620" s="61"/>
      <c r="R620" s="61"/>
      <c r="S620" s="45"/>
      <c r="T620" s="29" t="str">
        <f t="shared" si="64"/>
        <v/>
      </c>
    </row>
    <row r="621" spans="1:20">
      <c r="A621" s="10" t="str">
        <f t="shared" si="69"/>
        <v/>
      </c>
      <c r="B621" s="63"/>
      <c r="C621" s="25" t="str">
        <f t="shared" si="65"/>
        <v/>
      </c>
      <c r="D621" s="25" t="str">
        <f t="shared" si="66"/>
        <v/>
      </c>
      <c r="E621" s="45"/>
      <c r="F621" s="28" t="str">
        <f>IFERROR(VLOOKUP(E621,Category!$D$2:$E$600,2,FALSE),"")</f>
        <v/>
      </c>
      <c r="G621" s="65"/>
      <c r="H621" s="56"/>
      <c r="I621" s="66"/>
      <c r="J621" s="67"/>
      <c r="K621" s="67"/>
      <c r="L621" s="67"/>
      <c r="M621" s="29" t="str">
        <f t="shared" si="67"/>
        <v/>
      </c>
      <c r="N621" s="29" t="str">
        <f t="shared" si="68"/>
        <v/>
      </c>
      <c r="O621" s="29" t="str">
        <f t="shared" si="63"/>
        <v/>
      </c>
      <c r="P621" s="61"/>
      <c r="Q621" s="61"/>
      <c r="R621" s="61"/>
      <c r="S621" s="45"/>
      <c r="T621" s="29" t="str">
        <f t="shared" si="64"/>
        <v/>
      </c>
    </row>
    <row r="622" spans="1:20">
      <c r="A622" s="10" t="str">
        <f t="shared" si="69"/>
        <v/>
      </c>
      <c r="B622" s="63"/>
      <c r="C622" s="25" t="str">
        <f t="shared" si="65"/>
        <v/>
      </c>
      <c r="D622" s="25" t="str">
        <f t="shared" si="66"/>
        <v/>
      </c>
      <c r="E622" s="45"/>
      <c r="F622" s="28" t="str">
        <f>IFERROR(VLOOKUP(E622,Category!$D$2:$E$600,2,FALSE),"")</f>
        <v/>
      </c>
      <c r="G622" s="65"/>
      <c r="H622" s="56"/>
      <c r="I622" s="66"/>
      <c r="J622" s="67"/>
      <c r="K622" s="67"/>
      <c r="L622" s="67"/>
      <c r="M622" s="29" t="str">
        <f t="shared" si="67"/>
        <v/>
      </c>
      <c r="N622" s="29" t="str">
        <f t="shared" si="68"/>
        <v/>
      </c>
      <c r="O622" s="29" t="str">
        <f t="shared" si="63"/>
        <v/>
      </c>
      <c r="P622" s="61"/>
      <c r="Q622" s="61"/>
      <c r="R622" s="61"/>
      <c r="S622" s="45"/>
      <c r="T622" s="29" t="str">
        <f t="shared" si="64"/>
        <v/>
      </c>
    </row>
    <row r="623" spans="1:20">
      <c r="A623" s="10" t="str">
        <f t="shared" si="69"/>
        <v/>
      </c>
      <c r="B623" s="63"/>
      <c r="C623" s="25" t="str">
        <f t="shared" si="65"/>
        <v/>
      </c>
      <c r="D623" s="25" t="str">
        <f t="shared" si="66"/>
        <v/>
      </c>
      <c r="E623" s="45"/>
      <c r="F623" s="28" t="str">
        <f>IFERROR(VLOOKUP(E623,Category!$D$2:$E$600,2,FALSE),"")</f>
        <v/>
      </c>
      <c r="G623" s="65"/>
      <c r="H623" s="56"/>
      <c r="I623" s="66"/>
      <c r="J623" s="67"/>
      <c r="K623" s="67"/>
      <c r="L623" s="67"/>
      <c r="M623" s="29" t="str">
        <f t="shared" si="67"/>
        <v/>
      </c>
      <c r="N623" s="29" t="str">
        <f t="shared" si="68"/>
        <v/>
      </c>
      <c r="O623" s="29" t="str">
        <f t="shared" si="63"/>
        <v/>
      </c>
      <c r="P623" s="61"/>
      <c r="Q623" s="61"/>
      <c r="R623" s="61"/>
      <c r="S623" s="45"/>
      <c r="T623" s="29" t="str">
        <f t="shared" si="64"/>
        <v/>
      </c>
    </row>
    <row r="624" spans="1:20">
      <c r="A624" s="10" t="str">
        <f t="shared" si="69"/>
        <v/>
      </c>
      <c r="B624" s="63"/>
      <c r="C624" s="25" t="str">
        <f t="shared" si="65"/>
        <v/>
      </c>
      <c r="D624" s="25" t="str">
        <f t="shared" si="66"/>
        <v/>
      </c>
      <c r="E624" s="45"/>
      <c r="F624" s="28" t="str">
        <f>IFERROR(VLOOKUP(E624,Category!$D$2:$E$600,2,FALSE),"")</f>
        <v/>
      </c>
      <c r="G624" s="65"/>
      <c r="H624" s="56"/>
      <c r="I624" s="66"/>
      <c r="J624" s="67"/>
      <c r="K624" s="67"/>
      <c r="L624" s="67"/>
      <c r="M624" s="29" t="str">
        <f t="shared" si="67"/>
        <v/>
      </c>
      <c r="N624" s="29" t="str">
        <f t="shared" si="68"/>
        <v/>
      </c>
      <c r="O624" s="29" t="str">
        <f t="shared" si="63"/>
        <v/>
      </c>
      <c r="P624" s="61"/>
      <c r="Q624" s="61"/>
      <c r="R624" s="61"/>
      <c r="S624" s="45"/>
      <c r="T624" s="29" t="str">
        <f t="shared" si="64"/>
        <v/>
      </c>
    </row>
    <row r="625" spans="1:20">
      <c r="A625" s="10" t="str">
        <f t="shared" si="69"/>
        <v/>
      </c>
      <c r="B625" s="63"/>
      <c r="C625" s="25" t="str">
        <f t="shared" si="65"/>
        <v/>
      </c>
      <c r="D625" s="25" t="str">
        <f t="shared" si="66"/>
        <v/>
      </c>
      <c r="E625" s="45"/>
      <c r="F625" s="28" t="str">
        <f>IFERROR(VLOOKUP(E625,Category!$D$2:$E$600,2,FALSE),"")</f>
        <v/>
      </c>
      <c r="G625" s="65"/>
      <c r="H625" s="56"/>
      <c r="I625" s="66"/>
      <c r="J625" s="67"/>
      <c r="K625" s="67"/>
      <c r="L625" s="67"/>
      <c r="M625" s="29" t="str">
        <f t="shared" si="67"/>
        <v/>
      </c>
      <c r="N625" s="29" t="str">
        <f t="shared" si="68"/>
        <v/>
      </c>
      <c r="O625" s="29" t="str">
        <f t="shared" si="63"/>
        <v/>
      </c>
      <c r="P625" s="61"/>
      <c r="Q625" s="61"/>
      <c r="R625" s="61"/>
      <c r="S625" s="45"/>
      <c r="T625" s="29" t="str">
        <f t="shared" si="64"/>
        <v/>
      </c>
    </row>
    <row r="626" spans="1:20">
      <c r="A626" s="10" t="str">
        <f t="shared" si="69"/>
        <v/>
      </c>
      <c r="B626" s="63"/>
      <c r="C626" s="25" t="str">
        <f t="shared" si="65"/>
        <v/>
      </c>
      <c r="D626" s="25" t="str">
        <f t="shared" si="66"/>
        <v/>
      </c>
      <c r="E626" s="45"/>
      <c r="F626" s="28" t="str">
        <f>IFERROR(VLOOKUP(E626,Category!$D$2:$E$600,2,FALSE),"")</f>
        <v/>
      </c>
      <c r="G626" s="65"/>
      <c r="H626" s="56"/>
      <c r="I626" s="66"/>
      <c r="J626" s="67"/>
      <c r="K626" s="67"/>
      <c r="L626" s="67"/>
      <c r="M626" s="29" t="str">
        <f t="shared" si="67"/>
        <v/>
      </c>
      <c r="N626" s="29" t="str">
        <f t="shared" si="68"/>
        <v/>
      </c>
      <c r="O626" s="29" t="str">
        <f t="shared" si="63"/>
        <v/>
      </c>
      <c r="P626" s="61"/>
      <c r="Q626" s="61"/>
      <c r="R626" s="61"/>
      <c r="S626" s="45"/>
      <c r="T626" s="29" t="str">
        <f t="shared" si="64"/>
        <v/>
      </c>
    </row>
    <row r="627" spans="1:20">
      <c r="A627" s="10" t="str">
        <f t="shared" si="69"/>
        <v/>
      </c>
      <c r="B627" s="63"/>
      <c r="C627" s="25" t="str">
        <f t="shared" si="65"/>
        <v/>
      </c>
      <c r="D627" s="25" t="str">
        <f t="shared" si="66"/>
        <v/>
      </c>
      <c r="E627" s="45"/>
      <c r="F627" s="28" t="str">
        <f>IFERROR(VLOOKUP(E627,Category!$D$2:$E$600,2,FALSE),"")</f>
        <v/>
      </c>
      <c r="G627" s="65"/>
      <c r="H627" s="56"/>
      <c r="I627" s="66"/>
      <c r="J627" s="67"/>
      <c r="K627" s="67"/>
      <c r="L627" s="67"/>
      <c r="M627" s="29" t="str">
        <f t="shared" si="67"/>
        <v/>
      </c>
      <c r="N627" s="29" t="str">
        <f t="shared" si="68"/>
        <v/>
      </c>
      <c r="O627" s="29" t="str">
        <f t="shared" si="63"/>
        <v/>
      </c>
      <c r="P627" s="61"/>
      <c r="Q627" s="61"/>
      <c r="R627" s="61"/>
      <c r="S627" s="45"/>
      <c r="T627" s="29" t="str">
        <f t="shared" si="64"/>
        <v/>
      </c>
    </row>
    <row r="628" spans="1:20">
      <c r="A628" s="10" t="str">
        <f t="shared" si="69"/>
        <v/>
      </c>
      <c r="B628" s="63"/>
      <c r="C628" s="25" t="str">
        <f t="shared" si="65"/>
        <v/>
      </c>
      <c r="D628" s="25" t="str">
        <f t="shared" si="66"/>
        <v/>
      </c>
      <c r="E628" s="45"/>
      <c r="F628" s="28" t="str">
        <f>IFERROR(VLOOKUP(E628,Category!$D$2:$E$600,2,FALSE),"")</f>
        <v/>
      </c>
      <c r="G628" s="65"/>
      <c r="H628" s="56"/>
      <c r="I628" s="66"/>
      <c r="J628" s="67"/>
      <c r="K628" s="67"/>
      <c r="L628" s="67"/>
      <c r="M628" s="29" t="str">
        <f t="shared" si="67"/>
        <v/>
      </c>
      <c r="N628" s="29" t="str">
        <f t="shared" si="68"/>
        <v/>
      </c>
      <c r="O628" s="29" t="str">
        <f t="shared" si="63"/>
        <v/>
      </c>
      <c r="P628" s="61"/>
      <c r="Q628" s="61"/>
      <c r="R628" s="61"/>
      <c r="S628" s="45"/>
      <c r="T628" s="29" t="str">
        <f t="shared" si="64"/>
        <v/>
      </c>
    </row>
    <row r="629" spans="1:20">
      <c r="A629" s="10" t="str">
        <f t="shared" si="69"/>
        <v/>
      </c>
      <c r="B629" s="63"/>
      <c r="C629" s="25" t="str">
        <f t="shared" si="65"/>
        <v/>
      </c>
      <c r="D629" s="25" t="str">
        <f t="shared" si="66"/>
        <v/>
      </c>
      <c r="E629" s="45"/>
      <c r="F629" s="28" t="str">
        <f>IFERROR(VLOOKUP(E629,Category!$D$2:$E$600,2,FALSE),"")</f>
        <v/>
      </c>
      <c r="G629" s="65"/>
      <c r="H629" s="56"/>
      <c r="I629" s="66"/>
      <c r="J629" s="67"/>
      <c r="K629" s="67"/>
      <c r="L629" s="67"/>
      <c r="M629" s="29" t="str">
        <f t="shared" si="67"/>
        <v/>
      </c>
      <c r="N629" s="29" t="str">
        <f t="shared" si="68"/>
        <v/>
      </c>
      <c r="O629" s="29" t="str">
        <f t="shared" si="63"/>
        <v/>
      </c>
      <c r="P629" s="61"/>
      <c r="Q629" s="61"/>
      <c r="R629" s="61"/>
      <c r="S629" s="45"/>
      <c r="T629" s="29" t="str">
        <f t="shared" si="64"/>
        <v/>
      </c>
    </row>
    <row r="630" spans="1:20">
      <c r="A630" s="10" t="str">
        <f t="shared" si="69"/>
        <v/>
      </c>
      <c r="B630" s="63"/>
      <c r="C630" s="25" t="str">
        <f t="shared" si="65"/>
        <v/>
      </c>
      <c r="D630" s="25" t="str">
        <f t="shared" si="66"/>
        <v/>
      </c>
      <c r="E630" s="45"/>
      <c r="F630" s="28" t="str">
        <f>IFERROR(VLOOKUP(E630,Category!$D$2:$E$600,2,FALSE),"")</f>
        <v/>
      </c>
      <c r="G630" s="65"/>
      <c r="H630" s="56"/>
      <c r="I630" s="66"/>
      <c r="J630" s="67"/>
      <c r="K630" s="67"/>
      <c r="L630" s="67"/>
      <c r="M630" s="29" t="str">
        <f t="shared" si="67"/>
        <v/>
      </c>
      <c r="N630" s="29" t="str">
        <f t="shared" si="68"/>
        <v/>
      </c>
      <c r="O630" s="29" t="str">
        <f t="shared" si="63"/>
        <v/>
      </c>
      <c r="P630" s="61"/>
      <c r="Q630" s="61"/>
      <c r="R630" s="61"/>
      <c r="S630" s="45"/>
      <c r="T630" s="29" t="str">
        <f t="shared" si="64"/>
        <v/>
      </c>
    </row>
    <row r="631" spans="1:20">
      <c r="A631" s="10" t="str">
        <f t="shared" si="69"/>
        <v/>
      </c>
      <c r="B631" s="63"/>
      <c r="C631" s="25" t="str">
        <f t="shared" si="65"/>
        <v/>
      </c>
      <c r="D631" s="25" t="str">
        <f t="shared" si="66"/>
        <v/>
      </c>
      <c r="E631" s="45"/>
      <c r="F631" s="28" t="str">
        <f>IFERROR(VLOOKUP(E631,Category!$D$2:$E$600,2,FALSE),"")</f>
        <v/>
      </c>
      <c r="G631" s="65"/>
      <c r="H631" s="56"/>
      <c r="I631" s="66"/>
      <c r="J631" s="67"/>
      <c r="K631" s="67"/>
      <c r="L631" s="67"/>
      <c r="M631" s="29" t="str">
        <f t="shared" si="67"/>
        <v/>
      </c>
      <c r="N631" s="29" t="str">
        <f t="shared" si="68"/>
        <v/>
      </c>
      <c r="O631" s="29" t="str">
        <f t="shared" si="63"/>
        <v/>
      </c>
      <c r="P631" s="61"/>
      <c r="Q631" s="61"/>
      <c r="R631" s="61"/>
      <c r="S631" s="45"/>
      <c r="T631" s="29" t="str">
        <f t="shared" si="64"/>
        <v/>
      </c>
    </row>
    <row r="632" spans="1:20">
      <c r="A632" s="10" t="str">
        <f t="shared" si="69"/>
        <v/>
      </c>
      <c r="B632" s="63"/>
      <c r="C632" s="25" t="str">
        <f t="shared" si="65"/>
        <v/>
      </c>
      <c r="D632" s="25" t="str">
        <f t="shared" si="66"/>
        <v/>
      </c>
      <c r="E632" s="45"/>
      <c r="F632" s="28" t="str">
        <f>IFERROR(VLOOKUP(E632,Category!$D$2:$E$600,2,FALSE),"")</f>
        <v/>
      </c>
      <c r="G632" s="65"/>
      <c r="H632" s="56"/>
      <c r="I632" s="66"/>
      <c r="J632" s="67"/>
      <c r="K632" s="67"/>
      <c r="L632" s="67"/>
      <c r="M632" s="29" t="str">
        <f t="shared" si="67"/>
        <v/>
      </c>
      <c r="N632" s="29" t="str">
        <f t="shared" si="68"/>
        <v/>
      </c>
      <c r="O632" s="29" t="str">
        <f t="shared" si="63"/>
        <v/>
      </c>
      <c r="P632" s="61"/>
      <c r="Q632" s="61"/>
      <c r="R632" s="61"/>
      <c r="S632" s="45"/>
      <c r="T632" s="29" t="str">
        <f t="shared" si="64"/>
        <v/>
      </c>
    </row>
    <row r="633" spans="1:20">
      <c r="A633" s="10" t="str">
        <f t="shared" si="69"/>
        <v/>
      </c>
      <c r="B633" s="63"/>
      <c r="C633" s="25" t="str">
        <f t="shared" si="65"/>
        <v/>
      </c>
      <c r="D633" s="25" t="str">
        <f t="shared" si="66"/>
        <v/>
      </c>
      <c r="E633" s="45"/>
      <c r="F633" s="28" t="str">
        <f>IFERROR(VLOOKUP(E633,Category!$D$2:$E$600,2,FALSE),"")</f>
        <v/>
      </c>
      <c r="G633" s="65"/>
      <c r="H633" s="56"/>
      <c r="I633" s="66"/>
      <c r="J633" s="67"/>
      <c r="K633" s="67"/>
      <c r="L633" s="67"/>
      <c r="M633" s="29" t="str">
        <f t="shared" si="67"/>
        <v/>
      </c>
      <c r="N633" s="29" t="str">
        <f t="shared" si="68"/>
        <v/>
      </c>
      <c r="O633" s="29" t="str">
        <f t="shared" si="63"/>
        <v/>
      </c>
      <c r="P633" s="61"/>
      <c r="Q633" s="61"/>
      <c r="R633" s="61"/>
      <c r="S633" s="45"/>
      <c r="T633" s="29" t="str">
        <f t="shared" si="64"/>
        <v/>
      </c>
    </row>
    <row r="634" spans="1:20">
      <c r="A634" s="10" t="str">
        <f t="shared" si="69"/>
        <v/>
      </c>
      <c r="B634" s="63"/>
      <c r="C634" s="25" t="str">
        <f t="shared" si="65"/>
        <v/>
      </c>
      <c r="D634" s="25" t="str">
        <f t="shared" si="66"/>
        <v/>
      </c>
      <c r="E634" s="45"/>
      <c r="F634" s="28" t="str">
        <f>IFERROR(VLOOKUP(E634,Category!$D$2:$E$600,2,FALSE),"")</f>
        <v/>
      </c>
      <c r="G634" s="65"/>
      <c r="H634" s="56"/>
      <c r="I634" s="66"/>
      <c r="J634" s="67"/>
      <c r="K634" s="67"/>
      <c r="L634" s="67"/>
      <c r="M634" s="29" t="str">
        <f t="shared" si="67"/>
        <v/>
      </c>
      <c r="N634" s="29" t="str">
        <f t="shared" si="68"/>
        <v/>
      </c>
      <c r="O634" s="29" t="str">
        <f t="shared" si="63"/>
        <v/>
      </c>
      <c r="P634" s="61"/>
      <c r="Q634" s="61"/>
      <c r="R634" s="61"/>
      <c r="S634" s="45"/>
      <c r="T634" s="29" t="str">
        <f t="shared" si="64"/>
        <v/>
      </c>
    </row>
    <row r="635" spans="1:20">
      <c r="A635" s="10" t="str">
        <f t="shared" si="69"/>
        <v/>
      </c>
      <c r="B635" s="63"/>
      <c r="C635" s="25" t="str">
        <f t="shared" si="65"/>
        <v/>
      </c>
      <c r="D635" s="25" t="str">
        <f t="shared" si="66"/>
        <v/>
      </c>
      <c r="E635" s="45"/>
      <c r="F635" s="28" t="str">
        <f>IFERROR(VLOOKUP(E635,Category!$D$2:$E$600,2,FALSE),"")</f>
        <v/>
      </c>
      <c r="G635" s="65"/>
      <c r="H635" s="56"/>
      <c r="I635" s="66"/>
      <c r="J635" s="67"/>
      <c r="K635" s="67"/>
      <c r="L635" s="67"/>
      <c r="M635" s="29" t="str">
        <f t="shared" si="67"/>
        <v/>
      </c>
      <c r="N635" s="29" t="str">
        <f t="shared" si="68"/>
        <v/>
      </c>
      <c r="O635" s="29" t="str">
        <f t="shared" si="63"/>
        <v/>
      </c>
      <c r="P635" s="61"/>
      <c r="Q635" s="61"/>
      <c r="R635" s="61"/>
      <c r="S635" s="45"/>
      <c r="T635" s="29" t="str">
        <f t="shared" si="64"/>
        <v/>
      </c>
    </row>
    <row r="636" spans="1:20">
      <c r="A636" s="10" t="str">
        <f t="shared" si="69"/>
        <v/>
      </c>
      <c r="B636" s="63"/>
      <c r="C636" s="25" t="str">
        <f t="shared" si="65"/>
        <v/>
      </c>
      <c r="D636" s="25" t="str">
        <f t="shared" si="66"/>
        <v/>
      </c>
      <c r="E636" s="45"/>
      <c r="F636" s="28" t="str">
        <f>IFERROR(VLOOKUP(E636,Category!$D$2:$E$600,2,FALSE),"")</f>
        <v/>
      </c>
      <c r="G636" s="65"/>
      <c r="H636" s="56"/>
      <c r="I636" s="66"/>
      <c r="J636" s="67"/>
      <c r="K636" s="67"/>
      <c r="L636" s="67"/>
      <c r="M636" s="29" t="str">
        <f t="shared" si="67"/>
        <v/>
      </c>
      <c r="N636" s="29" t="str">
        <f t="shared" si="68"/>
        <v/>
      </c>
      <c r="O636" s="29" t="str">
        <f t="shared" si="63"/>
        <v/>
      </c>
      <c r="P636" s="61"/>
      <c r="Q636" s="61"/>
      <c r="R636" s="61"/>
      <c r="S636" s="45"/>
      <c r="T636" s="29" t="str">
        <f t="shared" si="64"/>
        <v/>
      </c>
    </row>
    <row r="637" spans="1:20">
      <c r="A637" s="10" t="str">
        <f t="shared" si="69"/>
        <v/>
      </c>
      <c r="B637" s="63"/>
      <c r="C637" s="25" t="str">
        <f t="shared" si="65"/>
        <v/>
      </c>
      <c r="D637" s="25" t="str">
        <f t="shared" si="66"/>
        <v/>
      </c>
      <c r="E637" s="45"/>
      <c r="F637" s="28" t="str">
        <f>IFERROR(VLOOKUP(E637,Category!$D$2:$E$600,2,FALSE),"")</f>
        <v/>
      </c>
      <c r="G637" s="65"/>
      <c r="H637" s="56"/>
      <c r="I637" s="66"/>
      <c r="J637" s="67"/>
      <c r="K637" s="67"/>
      <c r="L637" s="67"/>
      <c r="M637" s="29" t="str">
        <f t="shared" si="67"/>
        <v/>
      </c>
      <c r="N637" s="29" t="str">
        <f t="shared" si="68"/>
        <v/>
      </c>
      <c r="O637" s="29" t="str">
        <f t="shared" si="63"/>
        <v/>
      </c>
      <c r="P637" s="61"/>
      <c r="Q637" s="61"/>
      <c r="R637" s="61"/>
      <c r="S637" s="45"/>
      <c r="T637" s="29" t="str">
        <f t="shared" si="64"/>
        <v/>
      </c>
    </row>
    <row r="638" spans="1:20">
      <c r="A638" s="10" t="str">
        <f t="shared" si="69"/>
        <v/>
      </c>
      <c r="B638" s="63"/>
      <c r="C638" s="25" t="str">
        <f t="shared" si="65"/>
        <v/>
      </c>
      <c r="D638" s="25" t="str">
        <f t="shared" si="66"/>
        <v/>
      </c>
      <c r="E638" s="45"/>
      <c r="F638" s="28" t="str">
        <f>IFERROR(VLOOKUP(E638,Category!$D$2:$E$600,2,FALSE),"")</f>
        <v/>
      </c>
      <c r="G638" s="65"/>
      <c r="H638" s="56"/>
      <c r="I638" s="66"/>
      <c r="J638" s="67"/>
      <c r="K638" s="67"/>
      <c r="L638" s="67"/>
      <c r="M638" s="29" t="str">
        <f t="shared" si="67"/>
        <v/>
      </c>
      <c r="N638" s="29" t="str">
        <f t="shared" si="68"/>
        <v/>
      </c>
      <c r="O638" s="29" t="str">
        <f t="shared" si="63"/>
        <v/>
      </c>
      <c r="P638" s="61"/>
      <c r="Q638" s="61"/>
      <c r="R638" s="61"/>
      <c r="S638" s="45"/>
      <c r="T638" s="29" t="str">
        <f t="shared" si="64"/>
        <v/>
      </c>
    </row>
    <row r="639" spans="1:20">
      <c r="A639" s="10" t="str">
        <f t="shared" si="69"/>
        <v/>
      </c>
      <c r="B639" s="63"/>
      <c r="C639" s="25" t="str">
        <f t="shared" si="65"/>
        <v/>
      </c>
      <c r="D639" s="25" t="str">
        <f t="shared" si="66"/>
        <v/>
      </c>
      <c r="E639" s="45"/>
      <c r="F639" s="28" t="str">
        <f>IFERROR(VLOOKUP(E639,Category!$D$2:$E$600,2,FALSE),"")</f>
        <v/>
      </c>
      <c r="G639" s="65"/>
      <c r="H639" s="56"/>
      <c r="I639" s="66"/>
      <c r="J639" s="67"/>
      <c r="K639" s="67"/>
      <c r="L639" s="67"/>
      <c r="M639" s="29" t="str">
        <f t="shared" si="67"/>
        <v/>
      </c>
      <c r="N639" s="29" t="str">
        <f t="shared" si="68"/>
        <v/>
      </c>
      <c r="O639" s="29" t="str">
        <f t="shared" si="63"/>
        <v/>
      </c>
      <c r="P639" s="61"/>
      <c r="Q639" s="61"/>
      <c r="R639" s="61"/>
      <c r="S639" s="45"/>
      <c r="T639" s="29" t="str">
        <f t="shared" si="64"/>
        <v/>
      </c>
    </row>
    <row r="640" spans="1:20">
      <c r="A640" s="10" t="str">
        <f t="shared" si="69"/>
        <v/>
      </c>
      <c r="B640" s="63"/>
      <c r="C640" s="25" t="str">
        <f t="shared" si="65"/>
        <v/>
      </c>
      <c r="D640" s="25" t="str">
        <f t="shared" si="66"/>
        <v/>
      </c>
      <c r="E640" s="45"/>
      <c r="F640" s="28" t="str">
        <f>IFERROR(VLOOKUP(E640,Category!$D$2:$E$600,2,FALSE),"")</f>
        <v/>
      </c>
      <c r="G640" s="65"/>
      <c r="H640" s="56"/>
      <c r="I640" s="66"/>
      <c r="J640" s="67"/>
      <c r="K640" s="67"/>
      <c r="L640" s="67"/>
      <c r="M640" s="29" t="str">
        <f t="shared" si="67"/>
        <v/>
      </c>
      <c r="N640" s="29" t="str">
        <f t="shared" si="68"/>
        <v/>
      </c>
      <c r="O640" s="29" t="str">
        <f t="shared" si="63"/>
        <v/>
      </c>
      <c r="P640" s="61"/>
      <c r="Q640" s="61"/>
      <c r="R640" s="61"/>
      <c r="S640" s="45"/>
      <c r="T640" s="29" t="str">
        <f t="shared" si="64"/>
        <v/>
      </c>
    </row>
    <row r="641" spans="1:20">
      <c r="A641" s="10" t="str">
        <f t="shared" si="69"/>
        <v/>
      </c>
      <c r="B641" s="63"/>
      <c r="C641" s="25" t="str">
        <f t="shared" si="65"/>
        <v/>
      </c>
      <c r="D641" s="25" t="str">
        <f t="shared" si="66"/>
        <v/>
      </c>
      <c r="E641" s="45"/>
      <c r="F641" s="28" t="str">
        <f>IFERROR(VLOOKUP(E641,Category!$D$2:$E$600,2,FALSE),"")</f>
        <v/>
      </c>
      <c r="G641" s="65"/>
      <c r="H641" s="56"/>
      <c r="I641" s="66"/>
      <c r="J641" s="67"/>
      <c r="K641" s="67"/>
      <c r="L641" s="67"/>
      <c r="M641" s="29" t="str">
        <f t="shared" si="67"/>
        <v/>
      </c>
      <c r="N641" s="29" t="str">
        <f t="shared" si="68"/>
        <v/>
      </c>
      <c r="O641" s="29" t="str">
        <f t="shared" si="63"/>
        <v/>
      </c>
      <c r="P641" s="61"/>
      <c r="Q641" s="61"/>
      <c r="R641" s="61"/>
      <c r="S641" s="45"/>
      <c r="T641" s="29" t="str">
        <f t="shared" si="64"/>
        <v/>
      </c>
    </row>
    <row r="642" spans="1:20">
      <c r="A642" s="10" t="str">
        <f t="shared" si="69"/>
        <v/>
      </c>
      <c r="B642" s="63"/>
      <c r="C642" s="25" t="str">
        <f t="shared" si="65"/>
        <v/>
      </c>
      <c r="D642" s="25" t="str">
        <f t="shared" si="66"/>
        <v/>
      </c>
      <c r="E642" s="45"/>
      <c r="F642" s="28" t="str">
        <f>IFERROR(VLOOKUP(E642,Category!$D$2:$E$600,2,FALSE),"")</f>
        <v/>
      </c>
      <c r="G642" s="65"/>
      <c r="H642" s="56"/>
      <c r="I642" s="66"/>
      <c r="J642" s="67"/>
      <c r="K642" s="67"/>
      <c r="L642" s="67"/>
      <c r="M642" s="29" t="str">
        <f t="shared" si="67"/>
        <v/>
      </c>
      <c r="N642" s="29" t="str">
        <f t="shared" si="68"/>
        <v/>
      </c>
      <c r="O642" s="29" t="str">
        <f t="shared" ref="O642:O705" si="70">IF(H642*I642=0,"",H642*I642)</f>
        <v/>
      </c>
      <c r="P642" s="61"/>
      <c r="Q642" s="61"/>
      <c r="R642" s="61"/>
      <c r="S642" s="45"/>
      <c r="T642" s="29" t="str">
        <f t="shared" ref="T642:T705" si="71">IF(R642="paid",(H642*I642)-(G642*H642),"")</f>
        <v/>
      </c>
    </row>
    <row r="643" spans="1:20">
      <c r="A643" s="10" t="str">
        <f t="shared" si="69"/>
        <v/>
      </c>
      <c r="B643" s="63"/>
      <c r="C643" s="25" t="str">
        <f t="shared" ref="C643:C706" si="72">IF(B643=0,"",TEXT(B643,"mmmm"))</f>
        <v/>
      </c>
      <c r="D643" s="25" t="str">
        <f t="shared" ref="D643:D706" si="73">IF(B643=0,"",TEXT(B643,"yyyy"))</f>
        <v/>
      </c>
      <c r="E643" s="45"/>
      <c r="F643" s="28" t="str">
        <f>IFERROR(VLOOKUP(E643,Category!$D$2:$E$600,2,FALSE),"")</f>
        <v/>
      </c>
      <c r="G643" s="65"/>
      <c r="H643" s="56"/>
      <c r="I643" s="66"/>
      <c r="J643" s="67"/>
      <c r="K643" s="67"/>
      <c r="L643" s="67"/>
      <c r="M643" s="29" t="str">
        <f t="shared" ref="M643:M706" si="74">IFERROR(IF(O643&gt;0,IF(R643="Paid","",O643-J643),""),"")</f>
        <v/>
      </c>
      <c r="N643" s="29" t="str">
        <f t="shared" ref="N643:N706" si="75">IF(J643&gt;0,IF(R643="Paid",O643-J643,""),"")</f>
        <v/>
      </c>
      <c r="O643" s="29" t="str">
        <f t="shared" si="70"/>
        <v/>
      </c>
      <c r="P643" s="61"/>
      <c r="Q643" s="61"/>
      <c r="R643" s="61"/>
      <c r="S643" s="45"/>
      <c r="T643" s="29" t="str">
        <f t="shared" si="71"/>
        <v/>
      </c>
    </row>
    <row r="644" spans="1:20">
      <c r="A644" s="10" t="str">
        <f t="shared" ref="A644:A707" si="76">IF(E644&gt;0,A643+1,"")</f>
        <v/>
      </c>
      <c r="B644" s="63"/>
      <c r="C644" s="25" t="str">
        <f t="shared" si="72"/>
        <v/>
      </c>
      <c r="D644" s="25" t="str">
        <f t="shared" si="73"/>
        <v/>
      </c>
      <c r="E644" s="45"/>
      <c r="F644" s="28" t="str">
        <f>IFERROR(VLOOKUP(E644,Category!$D$2:$E$600,2,FALSE),"")</f>
        <v/>
      </c>
      <c r="G644" s="65"/>
      <c r="H644" s="56"/>
      <c r="I644" s="66"/>
      <c r="J644" s="67"/>
      <c r="K644" s="67"/>
      <c r="L644" s="67"/>
      <c r="M644" s="29" t="str">
        <f t="shared" si="74"/>
        <v/>
      </c>
      <c r="N644" s="29" t="str">
        <f t="shared" si="75"/>
        <v/>
      </c>
      <c r="O644" s="29" t="str">
        <f t="shared" si="70"/>
        <v/>
      </c>
      <c r="P644" s="61"/>
      <c r="Q644" s="61"/>
      <c r="R644" s="61"/>
      <c r="S644" s="45"/>
      <c r="T644" s="29" t="str">
        <f t="shared" si="71"/>
        <v/>
      </c>
    </row>
    <row r="645" spans="1:20">
      <c r="A645" s="10" t="str">
        <f t="shared" si="76"/>
        <v/>
      </c>
      <c r="B645" s="63"/>
      <c r="C645" s="25" t="str">
        <f t="shared" si="72"/>
        <v/>
      </c>
      <c r="D645" s="25" t="str">
        <f t="shared" si="73"/>
        <v/>
      </c>
      <c r="E645" s="45"/>
      <c r="F645" s="28" t="str">
        <f>IFERROR(VLOOKUP(E645,Category!$D$2:$E$600,2,FALSE),"")</f>
        <v/>
      </c>
      <c r="G645" s="65"/>
      <c r="H645" s="56"/>
      <c r="I645" s="66"/>
      <c r="J645" s="67"/>
      <c r="K645" s="67"/>
      <c r="L645" s="67"/>
      <c r="M645" s="29" t="str">
        <f t="shared" si="74"/>
        <v/>
      </c>
      <c r="N645" s="29" t="str">
        <f t="shared" si="75"/>
        <v/>
      </c>
      <c r="O645" s="29" t="str">
        <f t="shared" si="70"/>
        <v/>
      </c>
      <c r="P645" s="61"/>
      <c r="Q645" s="61"/>
      <c r="R645" s="61"/>
      <c r="S645" s="45"/>
      <c r="T645" s="29" t="str">
        <f t="shared" si="71"/>
        <v/>
      </c>
    </row>
    <row r="646" spans="1:20">
      <c r="A646" s="10" t="str">
        <f t="shared" si="76"/>
        <v/>
      </c>
      <c r="B646" s="63"/>
      <c r="C646" s="25" t="str">
        <f t="shared" si="72"/>
        <v/>
      </c>
      <c r="D646" s="25" t="str">
        <f t="shared" si="73"/>
        <v/>
      </c>
      <c r="E646" s="45"/>
      <c r="F646" s="28" t="str">
        <f>IFERROR(VLOOKUP(E646,Category!$D$2:$E$600,2,FALSE),"")</f>
        <v/>
      </c>
      <c r="G646" s="65"/>
      <c r="H646" s="56"/>
      <c r="I646" s="66"/>
      <c r="J646" s="67"/>
      <c r="K646" s="67"/>
      <c r="L646" s="67"/>
      <c r="M646" s="29" t="str">
        <f t="shared" si="74"/>
        <v/>
      </c>
      <c r="N646" s="29" t="str">
        <f t="shared" si="75"/>
        <v/>
      </c>
      <c r="O646" s="29" t="str">
        <f t="shared" si="70"/>
        <v/>
      </c>
      <c r="P646" s="61"/>
      <c r="Q646" s="61"/>
      <c r="R646" s="61"/>
      <c r="S646" s="45"/>
      <c r="T646" s="29" t="str">
        <f t="shared" si="71"/>
        <v/>
      </c>
    </row>
    <row r="647" spans="1:20">
      <c r="A647" s="10" t="str">
        <f t="shared" si="76"/>
        <v/>
      </c>
      <c r="B647" s="63"/>
      <c r="C647" s="25" t="str">
        <f t="shared" si="72"/>
        <v/>
      </c>
      <c r="D647" s="25" t="str">
        <f t="shared" si="73"/>
        <v/>
      </c>
      <c r="E647" s="45"/>
      <c r="F647" s="28" t="str">
        <f>IFERROR(VLOOKUP(E647,Category!$D$2:$E$600,2,FALSE),"")</f>
        <v/>
      </c>
      <c r="G647" s="65"/>
      <c r="H647" s="56"/>
      <c r="I647" s="66"/>
      <c r="J647" s="67"/>
      <c r="K647" s="67"/>
      <c r="L647" s="67"/>
      <c r="M647" s="29" t="str">
        <f t="shared" si="74"/>
        <v/>
      </c>
      <c r="N647" s="29" t="str">
        <f t="shared" si="75"/>
        <v/>
      </c>
      <c r="O647" s="29" t="str">
        <f t="shared" si="70"/>
        <v/>
      </c>
      <c r="P647" s="61"/>
      <c r="Q647" s="61"/>
      <c r="R647" s="61"/>
      <c r="S647" s="45"/>
      <c r="T647" s="29" t="str">
        <f t="shared" si="71"/>
        <v/>
      </c>
    </row>
    <row r="648" spans="1:20">
      <c r="A648" s="10" t="str">
        <f t="shared" si="76"/>
        <v/>
      </c>
      <c r="B648" s="63"/>
      <c r="C648" s="25" t="str">
        <f t="shared" si="72"/>
        <v/>
      </c>
      <c r="D648" s="25" t="str">
        <f t="shared" si="73"/>
        <v/>
      </c>
      <c r="E648" s="45"/>
      <c r="F648" s="28" t="str">
        <f>IFERROR(VLOOKUP(E648,Category!$D$2:$E$600,2,FALSE),"")</f>
        <v/>
      </c>
      <c r="G648" s="65"/>
      <c r="H648" s="56"/>
      <c r="I648" s="66"/>
      <c r="J648" s="67"/>
      <c r="K648" s="67"/>
      <c r="L648" s="67"/>
      <c r="M648" s="29" t="str">
        <f t="shared" si="74"/>
        <v/>
      </c>
      <c r="N648" s="29" t="str">
        <f t="shared" si="75"/>
        <v/>
      </c>
      <c r="O648" s="29" t="str">
        <f t="shared" si="70"/>
        <v/>
      </c>
      <c r="P648" s="61"/>
      <c r="Q648" s="61"/>
      <c r="R648" s="61"/>
      <c r="S648" s="45"/>
      <c r="T648" s="29" t="str">
        <f t="shared" si="71"/>
        <v/>
      </c>
    </row>
    <row r="649" spans="1:20">
      <c r="A649" s="10" t="str">
        <f t="shared" si="76"/>
        <v/>
      </c>
      <c r="B649" s="63"/>
      <c r="C649" s="25" t="str">
        <f t="shared" si="72"/>
        <v/>
      </c>
      <c r="D649" s="25" t="str">
        <f t="shared" si="73"/>
        <v/>
      </c>
      <c r="E649" s="45"/>
      <c r="F649" s="28" t="str">
        <f>IFERROR(VLOOKUP(E649,Category!$D$2:$E$600,2,FALSE),"")</f>
        <v/>
      </c>
      <c r="G649" s="65"/>
      <c r="H649" s="56"/>
      <c r="I649" s="66"/>
      <c r="J649" s="67"/>
      <c r="K649" s="67"/>
      <c r="L649" s="67"/>
      <c r="M649" s="29" t="str">
        <f t="shared" si="74"/>
        <v/>
      </c>
      <c r="N649" s="29" t="str">
        <f t="shared" si="75"/>
        <v/>
      </c>
      <c r="O649" s="29" t="str">
        <f t="shared" si="70"/>
        <v/>
      </c>
      <c r="P649" s="61"/>
      <c r="Q649" s="61"/>
      <c r="R649" s="61"/>
      <c r="S649" s="45"/>
      <c r="T649" s="29" t="str">
        <f t="shared" si="71"/>
        <v/>
      </c>
    </row>
    <row r="650" spans="1:20">
      <c r="A650" s="10" t="str">
        <f t="shared" si="76"/>
        <v/>
      </c>
      <c r="B650" s="63"/>
      <c r="C650" s="25" t="str">
        <f t="shared" si="72"/>
        <v/>
      </c>
      <c r="D650" s="25" t="str">
        <f t="shared" si="73"/>
        <v/>
      </c>
      <c r="E650" s="45"/>
      <c r="F650" s="28" t="str">
        <f>IFERROR(VLOOKUP(E650,Category!$D$2:$E$600,2,FALSE),"")</f>
        <v/>
      </c>
      <c r="G650" s="65"/>
      <c r="H650" s="56"/>
      <c r="I650" s="66"/>
      <c r="J650" s="67"/>
      <c r="K650" s="67"/>
      <c r="L650" s="67"/>
      <c r="M650" s="29" t="str">
        <f t="shared" si="74"/>
        <v/>
      </c>
      <c r="N650" s="29" t="str">
        <f t="shared" si="75"/>
        <v/>
      </c>
      <c r="O650" s="29" t="str">
        <f t="shared" si="70"/>
        <v/>
      </c>
      <c r="P650" s="61"/>
      <c r="Q650" s="61"/>
      <c r="R650" s="61"/>
      <c r="S650" s="45"/>
      <c r="T650" s="29" t="str">
        <f t="shared" si="71"/>
        <v/>
      </c>
    </row>
    <row r="651" spans="1:20">
      <c r="A651" s="10" t="str">
        <f t="shared" si="76"/>
        <v/>
      </c>
      <c r="B651" s="63"/>
      <c r="C651" s="25" t="str">
        <f t="shared" si="72"/>
        <v/>
      </c>
      <c r="D651" s="25" t="str">
        <f t="shared" si="73"/>
        <v/>
      </c>
      <c r="E651" s="45"/>
      <c r="F651" s="28" t="str">
        <f>IFERROR(VLOOKUP(E651,Category!$D$2:$E$600,2,FALSE),"")</f>
        <v/>
      </c>
      <c r="G651" s="65"/>
      <c r="H651" s="56"/>
      <c r="I651" s="66"/>
      <c r="J651" s="67"/>
      <c r="K651" s="67"/>
      <c r="L651" s="67"/>
      <c r="M651" s="29" t="str">
        <f t="shared" si="74"/>
        <v/>
      </c>
      <c r="N651" s="29" t="str">
        <f t="shared" si="75"/>
        <v/>
      </c>
      <c r="O651" s="29" t="str">
        <f t="shared" si="70"/>
        <v/>
      </c>
      <c r="P651" s="61"/>
      <c r="Q651" s="61"/>
      <c r="R651" s="61"/>
      <c r="S651" s="45"/>
      <c r="T651" s="29" t="str">
        <f t="shared" si="71"/>
        <v/>
      </c>
    </row>
    <row r="652" spans="1:20">
      <c r="A652" s="10" t="str">
        <f t="shared" si="76"/>
        <v/>
      </c>
      <c r="B652" s="63"/>
      <c r="C652" s="25" t="str">
        <f t="shared" si="72"/>
        <v/>
      </c>
      <c r="D652" s="25" t="str">
        <f t="shared" si="73"/>
        <v/>
      </c>
      <c r="E652" s="45"/>
      <c r="F652" s="28" t="str">
        <f>IFERROR(VLOOKUP(E652,Category!$D$2:$E$600,2,FALSE),"")</f>
        <v/>
      </c>
      <c r="G652" s="65"/>
      <c r="H652" s="56"/>
      <c r="I652" s="66"/>
      <c r="J652" s="67"/>
      <c r="K652" s="67"/>
      <c r="L652" s="67"/>
      <c r="M652" s="29" t="str">
        <f t="shared" si="74"/>
        <v/>
      </c>
      <c r="N652" s="29" t="str">
        <f t="shared" si="75"/>
        <v/>
      </c>
      <c r="O652" s="29" t="str">
        <f t="shared" si="70"/>
        <v/>
      </c>
      <c r="P652" s="61"/>
      <c r="Q652" s="61"/>
      <c r="R652" s="61"/>
      <c r="S652" s="45"/>
      <c r="T652" s="29" t="str">
        <f t="shared" si="71"/>
        <v/>
      </c>
    </row>
    <row r="653" spans="1:20">
      <c r="A653" s="10" t="str">
        <f t="shared" si="76"/>
        <v/>
      </c>
      <c r="B653" s="63"/>
      <c r="C653" s="25" t="str">
        <f t="shared" si="72"/>
        <v/>
      </c>
      <c r="D653" s="25" t="str">
        <f t="shared" si="73"/>
        <v/>
      </c>
      <c r="E653" s="45"/>
      <c r="F653" s="28" t="str">
        <f>IFERROR(VLOOKUP(E653,Category!$D$2:$E$600,2,FALSE),"")</f>
        <v/>
      </c>
      <c r="G653" s="65"/>
      <c r="H653" s="56"/>
      <c r="I653" s="66"/>
      <c r="J653" s="67"/>
      <c r="K653" s="67"/>
      <c r="L653" s="67"/>
      <c r="M653" s="29" t="str">
        <f t="shared" si="74"/>
        <v/>
      </c>
      <c r="N653" s="29" t="str">
        <f t="shared" si="75"/>
        <v/>
      </c>
      <c r="O653" s="29" t="str">
        <f t="shared" si="70"/>
        <v/>
      </c>
      <c r="P653" s="61"/>
      <c r="Q653" s="61"/>
      <c r="R653" s="61"/>
      <c r="S653" s="45"/>
      <c r="T653" s="29" t="str">
        <f t="shared" si="71"/>
        <v/>
      </c>
    </row>
    <row r="654" spans="1:20">
      <c r="A654" s="10" t="str">
        <f t="shared" si="76"/>
        <v/>
      </c>
      <c r="B654" s="63"/>
      <c r="C654" s="25" t="str">
        <f t="shared" si="72"/>
        <v/>
      </c>
      <c r="D654" s="25" t="str">
        <f t="shared" si="73"/>
        <v/>
      </c>
      <c r="E654" s="45"/>
      <c r="F654" s="28" t="str">
        <f>IFERROR(VLOOKUP(E654,Category!$D$2:$E$600,2,FALSE),"")</f>
        <v/>
      </c>
      <c r="G654" s="65"/>
      <c r="H654" s="56"/>
      <c r="I654" s="66"/>
      <c r="J654" s="67"/>
      <c r="K654" s="67"/>
      <c r="L654" s="67"/>
      <c r="M654" s="29" t="str">
        <f t="shared" si="74"/>
        <v/>
      </c>
      <c r="N654" s="29" t="str">
        <f t="shared" si="75"/>
        <v/>
      </c>
      <c r="O654" s="29" t="str">
        <f t="shared" si="70"/>
        <v/>
      </c>
      <c r="P654" s="61"/>
      <c r="Q654" s="61"/>
      <c r="R654" s="61"/>
      <c r="S654" s="45"/>
      <c r="T654" s="29" t="str">
        <f t="shared" si="71"/>
        <v/>
      </c>
    </row>
    <row r="655" spans="1:20">
      <c r="A655" s="10" t="str">
        <f t="shared" si="76"/>
        <v/>
      </c>
      <c r="B655" s="63"/>
      <c r="C655" s="25" t="str">
        <f t="shared" si="72"/>
        <v/>
      </c>
      <c r="D655" s="25" t="str">
        <f t="shared" si="73"/>
        <v/>
      </c>
      <c r="E655" s="45"/>
      <c r="F655" s="28" t="str">
        <f>IFERROR(VLOOKUP(E655,Category!$D$2:$E$600,2,FALSE),"")</f>
        <v/>
      </c>
      <c r="G655" s="65"/>
      <c r="H655" s="56"/>
      <c r="I655" s="66"/>
      <c r="J655" s="67"/>
      <c r="K655" s="67"/>
      <c r="L655" s="67"/>
      <c r="M655" s="29" t="str">
        <f t="shared" si="74"/>
        <v/>
      </c>
      <c r="N655" s="29" t="str">
        <f t="shared" si="75"/>
        <v/>
      </c>
      <c r="O655" s="29" t="str">
        <f t="shared" si="70"/>
        <v/>
      </c>
      <c r="P655" s="61"/>
      <c r="Q655" s="61"/>
      <c r="R655" s="61"/>
      <c r="S655" s="45"/>
      <c r="T655" s="29" t="str">
        <f t="shared" si="71"/>
        <v/>
      </c>
    </row>
    <row r="656" spans="1:20">
      <c r="A656" s="10" t="str">
        <f t="shared" si="76"/>
        <v/>
      </c>
      <c r="B656" s="63"/>
      <c r="C656" s="25" t="str">
        <f t="shared" si="72"/>
        <v/>
      </c>
      <c r="D656" s="25" t="str">
        <f t="shared" si="73"/>
        <v/>
      </c>
      <c r="E656" s="45"/>
      <c r="F656" s="28" t="str">
        <f>IFERROR(VLOOKUP(E656,Category!$D$2:$E$600,2,FALSE),"")</f>
        <v/>
      </c>
      <c r="G656" s="65"/>
      <c r="H656" s="56"/>
      <c r="I656" s="66"/>
      <c r="J656" s="67"/>
      <c r="K656" s="67"/>
      <c r="L656" s="67"/>
      <c r="M656" s="29" t="str">
        <f t="shared" si="74"/>
        <v/>
      </c>
      <c r="N656" s="29" t="str">
        <f t="shared" si="75"/>
        <v/>
      </c>
      <c r="O656" s="29" t="str">
        <f t="shared" si="70"/>
        <v/>
      </c>
      <c r="P656" s="61"/>
      <c r="Q656" s="61"/>
      <c r="R656" s="61"/>
      <c r="S656" s="45"/>
      <c r="T656" s="29" t="str">
        <f t="shared" si="71"/>
        <v/>
      </c>
    </row>
    <row r="657" spans="1:20">
      <c r="A657" s="10" t="str">
        <f t="shared" si="76"/>
        <v/>
      </c>
      <c r="B657" s="63"/>
      <c r="C657" s="25" t="str">
        <f t="shared" si="72"/>
        <v/>
      </c>
      <c r="D657" s="25" t="str">
        <f t="shared" si="73"/>
        <v/>
      </c>
      <c r="E657" s="45"/>
      <c r="F657" s="28" t="str">
        <f>IFERROR(VLOOKUP(E657,Category!$D$2:$E$600,2,FALSE),"")</f>
        <v/>
      </c>
      <c r="G657" s="65"/>
      <c r="H657" s="56"/>
      <c r="I657" s="66"/>
      <c r="J657" s="67"/>
      <c r="K657" s="67"/>
      <c r="L657" s="67"/>
      <c r="M657" s="29" t="str">
        <f t="shared" si="74"/>
        <v/>
      </c>
      <c r="N657" s="29" t="str">
        <f t="shared" si="75"/>
        <v/>
      </c>
      <c r="O657" s="29" t="str">
        <f t="shared" si="70"/>
        <v/>
      </c>
      <c r="P657" s="61"/>
      <c r="Q657" s="61"/>
      <c r="R657" s="61"/>
      <c r="S657" s="45"/>
      <c r="T657" s="29" t="str">
        <f t="shared" si="71"/>
        <v/>
      </c>
    </row>
    <row r="658" spans="1:20">
      <c r="A658" s="10" t="str">
        <f t="shared" si="76"/>
        <v/>
      </c>
      <c r="B658" s="63"/>
      <c r="C658" s="25" t="str">
        <f t="shared" si="72"/>
        <v/>
      </c>
      <c r="D658" s="25" t="str">
        <f t="shared" si="73"/>
        <v/>
      </c>
      <c r="E658" s="45"/>
      <c r="F658" s="28" t="str">
        <f>IFERROR(VLOOKUP(E658,Category!$D$2:$E$600,2,FALSE),"")</f>
        <v/>
      </c>
      <c r="G658" s="65"/>
      <c r="H658" s="56"/>
      <c r="I658" s="66"/>
      <c r="J658" s="67"/>
      <c r="K658" s="67"/>
      <c r="L658" s="67"/>
      <c r="M658" s="29" t="str">
        <f t="shared" si="74"/>
        <v/>
      </c>
      <c r="N658" s="29" t="str">
        <f t="shared" si="75"/>
        <v/>
      </c>
      <c r="O658" s="29" t="str">
        <f t="shared" si="70"/>
        <v/>
      </c>
      <c r="P658" s="61"/>
      <c r="Q658" s="61"/>
      <c r="R658" s="61"/>
      <c r="S658" s="45"/>
      <c r="T658" s="29" t="str">
        <f t="shared" si="71"/>
        <v/>
      </c>
    </row>
    <row r="659" spans="1:20">
      <c r="A659" s="10" t="str">
        <f t="shared" si="76"/>
        <v/>
      </c>
      <c r="B659" s="63"/>
      <c r="C659" s="25" t="str">
        <f t="shared" si="72"/>
        <v/>
      </c>
      <c r="D659" s="25" t="str">
        <f t="shared" si="73"/>
        <v/>
      </c>
      <c r="E659" s="45"/>
      <c r="F659" s="28" t="str">
        <f>IFERROR(VLOOKUP(E659,Category!$D$2:$E$600,2,FALSE),"")</f>
        <v/>
      </c>
      <c r="G659" s="65"/>
      <c r="H659" s="56"/>
      <c r="I659" s="66"/>
      <c r="J659" s="67"/>
      <c r="K659" s="67"/>
      <c r="L659" s="67"/>
      <c r="M659" s="29" t="str">
        <f t="shared" si="74"/>
        <v/>
      </c>
      <c r="N659" s="29" t="str">
        <f t="shared" si="75"/>
        <v/>
      </c>
      <c r="O659" s="29" t="str">
        <f t="shared" si="70"/>
        <v/>
      </c>
      <c r="P659" s="61"/>
      <c r="Q659" s="61"/>
      <c r="R659" s="61"/>
      <c r="S659" s="45"/>
      <c r="T659" s="29" t="str">
        <f t="shared" si="71"/>
        <v/>
      </c>
    </row>
    <row r="660" spans="1:20">
      <c r="A660" s="10" t="str">
        <f t="shared" si="76"/>
        <v/>
      </c>
      <c r="B660" s="63"/>
      <c r="C660" s="25" t="str">
        <f t="shared" si="72"/>
        <v/>
      </c>
      <c r="D660" s="25" t="str">
        <f t="shared" si="73"/>
        <v/>
      </c>
      <c r="E660" s="45"/>
      <c r="F660" s="28" t="str">
        <f>IFERROR(VLOOKUP(E660,Category!$D$2:$E$600,2,FALSE),"")</f>
        <v/>
      </c>
      <c r="G660" s="65"/>
      <c r="H660" s="56"/>
      <c r="I660" s="66"/>
      <c r="J660" s="67"/>
      <c r="K660" s="67"/>
      <c r="L660" s="67"/>
      <c r="M660" s="29" t="str">
        <f t="shared" si="74"/>
        <v/>
      </c>
      <c r="N660" s="29" t="str">
        <f t="shared" si="75"/>
        <v/>
      </c>
      <c r="O660" s="29" t="str">
        <f t="shared" si="70"/>
        <v/>
      </c>
      <c r="P660" s="61"/>
      <c r="Q660" s="61"/>
      <c r="R660" s="61"/>
      <c r="S660" s="45"/>
      <c r="T660" s="29" t="str">
        <f t="shared" si="71"/>
        <v/>
      </c>
    </row>
    <row r="661" spans="1:20">
      <c r="A661" s="10" t="str">
        <f t="shared" si="76"/>
        <v/>
      </c>
      <c r="B661" s="63"/>
      <c r="C661" s="25" t="str">
        <f t="shared" si="72"/>
        <v/>
      </c>
      <c r="D661" s="25" t="str">
        <f t="shared" si="73"/>
        <v/>
      </c>
      <c r="E661" s="45"/>
      <c r="F661" s="28" t="str">
        <f>IFERROR(VLOOKUP(E661,Category!$D$2:$E$600,2,FALSE),"")</f>
        <v/>
      </c>
      <c r="G661" s="65"/>
      <c r="H661" s="56"/>
      <c r="I661" s="66"/>
      <c r="J661" s="67"/>
      <c r="K661" s="67"/>
      <c r="L661" s="67"/>
      <c r="M661" s="29" t="str">
        <f t="shared" si="74"/>
        <v/>
      </c>
      <c r="N661" s="29" t="str">
        <f t="shared" si="75"/>
        <v/>
      </c>
      <c r="O661" s="29" t="str">
        <f t="shared" si="70"/>
        <v/>
      </c>
      <c r="P661" s="61"/>
      <c r="Q661" s="61"/>
      <c r="R661" s="61"/>
      <c r="S661" s="45"/>
      <c r="T661" s="29" t="str">
        <f t="shared" si="71"/>
        <v/>
      </c>
    </row>
    <row r="662" spans="1:20">
      <c r="A662" s="10" t="str">
        <f t="shared" si="76"/>
        <v/>
      </c>
      <c r="B662" s="63"/>
      <c r="C662" s="25" t="str">
        <f t="shared" si="72"/>
        <v/>
      </c>
      <c r="D662" s="25" t="str">
        <f t="shared" si="73"/>
        <v/>
      </c>
      <c r="E662" s="45"/>
      <c r="F662" s="28" t="str">
        <f>IFERROR(VLOOKUP(E662,Category!$D$2:$E$600,2,FALSE),"")</f>
        <v/>
      </c>
      <c r="G662" s="65"/>
      <c r="H662" s="56"/>
      <c r="I662" s="66"/>
      <c r="J662" s="67"/>
      <c r="K662" s="67"/>
      <c r="L662" s="67"/>
      <c r="M662" s="29" t="str">
        <f t="shared" si="74"/>
        <v/>
      </c>
      <c r="N662" s="29" t="str">
        <f t="shared" si="75"/>
        <v/>
      </c>
      <c r="O662" s="29" t="str">
        <f t="shared" si="70"/>
        <v/>
      </c>
      <c r="P662" s="61"/>
      <c r="Q662" s="61"/>
      <c r="R662" s="61"/>
      <c r="S662" s="45"/>
      <c r="T662" s="29" t="str">
        <f t="shared" si="71"/>
        <v/>
      </c>
    </row>
    <row r="663" spans="1:20">
      <c r="A663" s="10" t="str">
        <f t="shared" si="76"/>
        <v/>
      </c>
      <c r="B663" s="63"/>
      <c r="C663" s="25" t="str">
        <f t="shared" si="72"/>
        <v/>
      </c>
      <c r="D663" s="25" t="str">
        <f t="shared" si="73"/>
        <v/>
      </c>
      <c r="E663" s="45"/>
      <c r="F663" s="28" t="str">
        <f>IFERROR(VLOOKUP(E663,Category!$D$2:$E$600,2,FALSE),"")</f>
        <v/>
      </c>
      <c r="G663" s="65"/>
      <c r="H663" s="56"/>
      <c r="I663" s="66"/>
      <c r="J663" s="67"/>
      <c r="K663" s="67"/>
      <c r="L663" s="67"/>
      <c r="M663" s="29" t="str">
        <f t="shared" si="74"/>
        <v/>
      </c>
      <c r="N663" s="29" t="str">
        <f t="shared" si="75"/>
        <v/>
      </c>
      <c r="O663" s="29" t="str">
        <f t="shared" si="70"/>
        <v/>
      </c>
      <c r="P663" s="61"/>
      <c r="Q663" s="61"/>
      <c r="R663" s="61"/>
      <c r="S663" s="45"/>
      <c r="T663" s="29" t="str">
        <f t="shared" si="71"/>
        <v/>
      </c>
    </row>
    <row r="664" spans="1:20">
      <c r="A664" s="10" t="str">
        <f t="shared" si="76"/>
        <v/>
      </c>
      <c r="B664" s="63"/>
      <c r="C664" s="25" t="str">
        <f t="shared" si="72"/>
        <v/>
      </c>
      <c r="D664" s="25" t="str">
        <f t="shared" si="73"/>
        <v/>
      </c>
      <c r="E664" s="45"/>
      <c r="F664" s="28" t="str">
        <f>IFERROR(VLOOKUP(E664,Category!$D$2:$E$600,2,FALSE),"")</f>
        <v/>
      </c>
      <c r="G664" s="65"/>
      <c r="H664" s="56"/>
      <c r="I664" s="66"/>
      <c r="J664" s="67"/>
      <c r="K664" s="67"/>
      <c r="L664" s="67"/>
      <c r="M664" s="29" t="str">
        <f t="shared" si="74"/>
        <v/>
      </c>
      <c r="N664" s="29" t="str">
        <f t="shared" si="75"/>
        <v/>
      </c>
      <c r="O664" s="29" t="str">
        <f t="shared" si="70"/>
        <v/>
      </c>
      <c r="P664" s="61"/>
      <c r="Q664" s="61"/>
      <c r="R664" s="61"/>
      <c r="S664" s="45"/>
      <c r="T664" s="29" t="str">
        <f t="shared" si="71"/>
        <v/>
      </c>
    </row>
    <row r="665" spans="1:20">
      <c r="A665" s="10" t="str">
        <f t="shared" si="76"/>
        <v/>
      </c>
      <c r="B665" s="63"/>
      <c r="C665" s="25" t="str">
        <f t="shared" si="72"/>
        <v/>
      </c>
      <c r="D665" s="25" t="str">
        <f t="shared" si="73"/>
        <v/>
      </c>
      <c r="E665" s="45"/>
      <c r="F665" s="28" t="str">
        <f>IFERROR(VLOOKUP(E665,Category!$D$2:$E$600,2,FALSE),"")</f>
        <v/>
      </c>
      <c r="G665" s="65"/>
      <c r="H665" s="56"/>
      <c r="I665" s="66"/>
      <c r="J665" s="67"/>
      <c r="K665" s="67"/>
      <c r="L665" s="67"/>
      <c r="M665" s="29" t="str">
        <f t="shared" si="74"/>
        <v/>
      </c>
      <c r="N665" s="29" t="str">
        <f t="shared" si="75"/>
        <v/>
      </c>
      <c r="O665" s="29" t="str">
        <f t="shared" si="70"/>
        <v/>
      </c>
      <c r="P665" s="61"/>
      <c r="Q665" s="61"/>
      <c r="R665" s="61"/>
      <c r="S665" s="45"/>
      <c r="T665" s="29" t="str">
        <f t="shared" si="71"/>
        <v/>
      </c>
    </row>
    <row r="666" spans="1:20">
      <c r="A666" s="10" t="str">
        <f t="shared" si="76"/>
        <v/>
      </c>
      <c r="B666" s="63"/>
      <c r="C666" s="25" t="str">
        <f t="shared" si="72"/>
        <v/>
      </c>
      <c r="D666" s="25" t="str">
        <f t="shared" si="73"/>
        <v/>
      </c>
      <c r="E666" s="45"/>
      <c r="F666" s="28" t="str">
        <f>IFERROR(VLOOKUP(E666,Category!$D$2:$E$600,2,FALSE),"")</f>
        <v/>
      </c>
      <c r="G666" s="65"/>
      <c r="H666" s="56"/>
      <c r="I666" s="66"/>
      <c r="J666" s="67"/>
      <c r="K666" s="67"/>
      <c r="L666" s="67"/>
      <c r="M666" s="29" t="str">
        <f t="shared" si="74"/>
        <v/>
      </c>
      <c r="N666" s="29" t="str">
        <f t="shared" si="75"/>
        <v/>
      </c>
      <c r="O666" s="29" t="str">
        <f t="shared" si="70"/>
        <v/>
      </c>
      <c r="P666" s="61"/>
      <c r="Q666" s="61"/>
      <c r="R666" s="61"/>
      <c r="S666" s="45"/>
      <c r="T666" s="29" t="str">
        <f t="shared" si="71"/>
        <v/>
      </c>
    </row>
    <row r="667" spans="1:20">
      <c r="A667" s="10" t="str">
        <f t="shared" si="76"/>
        <v/>
      </c>
      <c r="B667" s="63"/>
      <c r="C667" s="25" t="str">
        <f t="shared" si="72"/>
        <v/>
      </c>
      <c r="D667" s="25" t="str">
        <f t="shared" si="73"/>
        <v/>
      </c>
      <c r="E667" s="45"/>
      <c r="F667" s="28" t="str">
        <f>IFERROR(VLOOKUP(E667,Category!$D$2:$E$600,2,FALSE),"")</f>
        <v/>
      </c>
      <c r="G667" s="65"/>
      <c r="H667" s="56"/>
      <c r="I667" s="66"/>
      <c r="J667" s="67"/>
      <c r="K667" s="67"/>
      <c r="L667" s="67"/>
      <c r="M667" s="29" t="str">
        <f t="shared" si="74"/>
        <v/>
      </c>
      <c r="N667" s="29" t="str">
        <f t="shared" si="75"/>
        <v/>
      </c>
      <c r="O667" s="29" t="str">
        <f t="shared" si="70"/>
        <v/>
      </c>
      <c r="P667" s="61"/>
      <c r="Q667" s="61"/>
      <c r="R667" s="61"/>
      <c r="S667" s="45"/>
      <c r="T667" s="29" t="str">
        <f t="shared" si="71"/>
        <v/>
      </c>
    </row>
    <row r="668" spans="1:20">
      <c r="A668" s="10" t="str">
        <f t="shared" si="76"/>
        <v/>
      </c>
      <c r="B668" s="63"/>
      <c r="C668" s="25" t="str">
        <f t="shared" si="72"/>
        <v/>
      </c>
      <c r="D668" s="25" t="str">
        <f t="shared" si="73"/>
        <v/>
      </c>
      <c r="E668" s="45"/>
      <c r="F668" s="28" t="str">
        <f>IFERROR(VLOOKUP(E668,Category!$D$2:$E$600,2,FALSE),"")</f>
        <v/>
      </c>
      <c r="G668" s="65"/>
      <c r="H668" s="56"/>
      <c r="I668" s="66"/>
      <c r="J668" s="67"/>
      <c r="K668" s="67"/>
      <c r="L668" s="67"/>
      <c r="M668" s="29" t="str">
        <f t="shared" si="74"/>
        <v/>
      </c>
      <c r="N668" s="29" t="str">
        <f t="shared" si="75"/>
        <v/>
      </c>
      <c r="O668" s="29" t="str">
        <f t="shared" si="70"/>
        <v/>
      </c>
      <c r="P668" s="61"/>
      <c r="Q668" s="61"/>
      <c r="R668" s="61"/>
      <c r="S668" s="45"/>
      <c r="T668" s="29" t="str">
        <f t="shared" si="71"/>
        <v/>
      </c>
    </row>
    <row r="669" spans="1:20">
      <c r="A669" s="10" t="str">
        <f t="shared" si="76"/>
        <v/>
      </c>
      <c r="B669" s="63"/>
      <c r="C669" s="25" t="str">
        <f t="shared" si="72"/>
        <v/>
      </c>
      <c r="D669" s="25" t="str">
        <f t="shared" si="73"/>
        <v/>
      </c>
      <c r="E669" s="45"/>
      <c r="F669" s="28" t="str">
        <f>IFERROR(VLOOKUP(E669,Category!$D$2:$E$600,2,FALSE),"")</f>
        <v/>
      </c>
      <c r="G669" s="65"/>
      <c r="H669" s="56"/>
      <c r="I669" s="66"/>
      <c r="J669" s="67"/>
      <c r="K669" s="67"/>
      <c r="L669" s="67"/>
      <c r="M669" s="29" t="str">
        <f t="shared" si="74"/>
        <v/>
      </c>
      <c r="N669" s="29" t="str">
        <f t="shared" si="75"/>
        <v/>
      </c>
      <c r="O669" s="29" t="str">
        <f t="shared" si="70"/>
        <v/>
      </c>
      <c r="P669" s="61"/>
      <c r="Q669" s="61"/>
      <c r="R669" s="61"/>
      <c r="S669" s="45"/>
      <c r="T669" s="29" t="str">
        <f t="shared" si="71"/>
        <v/>
      </c>
    </row>
    <row r="670" spans="1:20">
      <c r="A670" s="10" t="str">
        <f t="shared" si="76"/>
        <v/>
      </c>
      <c r="B670" s="63"/>
      <c r="C670" s="25" t="str">
        <f t="shared" si="72"/>
        <v/>
      </c>
      <c r="D670" s="25" t="str">
        <f t="shared" si="73"/>
        <v/>
      </c>
      <c r="E670" s="45"/>
      <c r="F670" s="28" t="str">
        <f>IFERROR(VLOOKUP(E670,Category!$D$2:$E$600,2,FALSE),"")</f>
        <v/>
      </c>
      <c r="G670" s="65"/>
      <c r="H670" s="56"/>
      <c r="I670" s="66"/>
      <c r="J670" s="67"/>
      <c r="K670" s="67"/>
      <c r="L670" s="67"/>
      <c r="M670" s="29" t="str">
        <f t="shared" si="74"/>
        <v/>
      </c>
      <c r="N670" s="29" t="str">
        <f t="shared" si="75"/>
        <v/>
      </c>
      <c r="O670" s="29" t="str">
        <f t="shared" si="70"/>
        <v/>
      </c>
      <c r="P670" s="61"/>
      <c r="Q670" s="61"/>
      <c r="R670" s="61"/>
      <c r="S670" s="45"/>
      <c r="T670" s="29" t="str">
        <f t="shared" si="71"/>
        <v/>
      </c>
    </row>
    <row r="671" spans="1:20">
      <c r="A671" s="10" t="str">
        <f t="shared" si="76"/>
        <v/>
      </c>
      <c r="B671" s="63"/>
      <c r="C671" s="25" t="str">
        <f t="shared" si="72"/>
        <v/>
      </c>
      <c r="D671" s="25" t="str">
        <f t="shared" si="73"/>
        <v/>
      </c>
      <c r="E671" s="45"/>
      <c r="F671" s="28" t="str">
        <f>IFERROR(VLOOKUP(E671,Category!$D$2:$E$600,2,FALSE),"")</f>
        <v/>
      </c>
      <c r="G671" s="65"/>
      <c r="H671" s="56"/>
      <c r="I671" s="66"/>
      <c r="J671" s="67"/>
      <c r="K671" s="67"/>
      <c r="L671" s="67"/>
      <c r="M671" s="29" t="str">
        <f t="shared" si="74"/>
        <v/>
      </c>
      <c r="N671" s="29" t="str">
        <f t="shared" si="75"/>
        <v/>
      </c>
      <c r="O671" s="29" t="str">
        <f t="shared" si="70"/>
        <v/>
      </c>
      <c r="P671" s="61"/>
      <c r="Q671" s="61"/>
      <c r="R671" s="61"/>
      <c r="S671" s="45"/>
      <c r="T671" s="29" t="str">
        <f t="shared" si="71"/>
        <v/>
      </c>
    </row>
    <row r="672" spans="1:20">
      <c r="A672" s="10" t="str">
        <f t="shared" si="76"/>
        <v/>
      </c>
      <c r="B672" s="63"/>
      <c r="C672" s="25" t="str">
        <f t="shared" si="72"/>
        <v/>
      </c>
      <c r="D672" s="25" t="str">
        <f t="shared" si="73"/>
        <v/>
      </c>
      <c r="E672" s="45"/>
      <c r="F672" s="28" t="str">
        <f>IFERROR(VLOOKUP(E672,Category!$D$2:$E$600,2,FALSE),"")</f>
        <v/>
      </c>
      <c r="G672" s="65"/>
      <c r="H672" s="56"/>
      <c r="I672" s="66"/>
      <c r="J672" s="67"/>
      <c r="K672" s="67"/>
      <c r="L672" s="67"/>
      <c r="M672" s="29" t="str">
        <f t="shared" si="74"/>
        <v/>
      </c>
      <c r="N672" s="29" t="str">
        <f t="shared" si="75"/>
        <v/>
      </c>
      <c r="O672" s="29" t="str">
        <f t="shared" si="70"/>
        <v/>
      </c>
      <c r="P672" s="61"/>
      <c r="Q672" s="61"/>
      <c r="R672" s="61"/>
      <c r="S672" s="45"/>
      <c r="T672" s="29" t="str">
        <f t="shared" si="71"/>
        <v/>
      </c>
    </row>
    <row r="673" spans="1:20">
      <c r="A673" s="10" t="str">
        <f t="shared" si="76"/>
        <v/>
      </c>
      <c r="B673" s="63"/>
      <c r="C673" s="25" t="str">
        <f t="shared" si="72"/>
        <v/>
      </c>
      <c r="D673" s="25" t="str">
        <f t="shared" si="73"/>
        <v/>
      </c>
      <c r="E673" s="45"/>
      <c r="F673" s="28" t="str">
        <f>IFERROR(VLOOKUP(E673,Category!$D$2:$E$600,2,FALSE),"")</f>
        <v/>
      </c>
      <c r="G673" s="65"/>
      <c r="H673" s="56"/>
      <c r="I673" s="66"/>
      <c r="J673" s="67"/>
      <c r="K673" s="67"/>
      <c r="L673" s="67"/>
      <c r="M673" s="29" t="str">
        <f t="shared" si="74"/>
        <v/>
      </c>
      <c r="N673" s="29" t="str">
        <f t="shared" si="75"/>
        <v/>
      </c>
      <c r="O673" s="29" t="str">
        <f t="shared" si="70"/>
        <v/>
      </c>
      <c r="P673" s="61"/>
      <c r="Q673" s="61"/>
      <c r="R673" s="61"/>
      <c r="S673" s="45"/>
      <c r="T673" s="29" t="str">
        <f t="shared" si="71"/>
        <v/>
      </c>
    </row>
    <row r="674" spans="1:20">
      <c r="A674" s="10" t="str">
        <f t="shared" si="76"/>
        <v/>
      </c>
      <c r="B674" s="63"/>
      <c r="C674" s="25" t="str">
        <f t="shared" si="72"/>
        <v/>
      </c>
      <c r="D674" s="25" t="str">
        <f t="shared" si="73"/>
        <v/>
      </c>
      <c r="E674" s="45"/>
      <c r="F674" s="28" t="str">
        <f>IFERROR(VLOOKUP(E674,Category!$D$2:$E$600,2,FALSE),"")</f>
        <v/>
      </c>
      <c r="G674" s="65"/>
      <c r="H674" s="56"/>
      <c r="I674" s="66"/>
      <c r="J674" s="67"/>
      <c r="K674" s="67"/>
      <c r="L674" s="67"/>
      <c r="M674" s="29" t="str">
        <f t="shared" si="74"/>
        <v/>
      </c>
      <c r="N674" s="29" t="str">
        <f t="shared" si="75"/>
        <v/>
      </c>
      <c r="O674" s="29" t="str">
        <f t="shared" si="70"/>
        <v/>
      </c>
      <c r="P674" s="61"/>
      <c r="Q674" s="61"/>
      <c r="R674" s="61"/>
      <c r="S674" s="45"/>
      <c r="T674" s="29" t="str">
        <f t="shared" si="71"/>
        <v/>
      </c>
    </row>
    <row r="675" spans="1:20">
      <c r="A675" s="10" t="str">
        <f t="shared" si="76"/>
        <v/>
      </c>
      <c r="B675" s="63"/>
      <c r="C675" s="25" t="str">
        <f t="shared" si="72"/>
        <v/>
      </c>
      <c r="D675" s="25" t="str">
        <f t="shared" si="73"/>
        <v/>
      </c>
      <c r="E675" s="45"/>
      <c r="F675" s="28" t="str">
        <f>IFERROR(VLOOKUP(E675,Category!$D$2:$E$600,2,FALSE),"")</f>
        <v/>
      </c>
      <c r="G675" s="65"/>
      <c r="H675" s="56"/>
      <c r="I675" s="66"/>
      <c r="J675" s="67"/>
      <c r="K675" s="67"/>
      <c r="L675" s="67"/>
      <c r="M675" s="29" t="str">
        <f t="shared" si="74"/>
        <v/>
      </c>
      <c r="N675" s="29" t="str">
        <f t="shared" si="75"/>
        <v/>
      </c>
      <c r="O675" s="29" t="str">
        <f t="shared" si="70"/>
        <v/>
      </c>
      <c r="P675" s="61"/>
      <c r="Q675" s="61"/>
      <c r="R675" s="61"/>
      <c r="S675" s="45"/>
      <c r="T675" s="29" t="str">
        <f t="shared" si="71"/>
        <v/>
      </c>
    </row>
    <row r="676" spans="1:20">
      <c r="A676" s="10" t="str">
        <f t="shared" si="76"/>
        <v/>
      </c>
      <c r="B676" s="63"/>
      <c r="C676" s="25" t="str">
        <f t="shared" si="72"/>
        <v/>
      </c>
      <c r="D676" s="25" t="str">
        <f t="shared" si="73"/>
        <v/>
      </c>
      <c r="E676" s="45"/>
      <c r="F676" s="28" t="str">
        <f>IFERROR(VLOOKUP(E676,Category!$D$2:$E$600,2,FALSE),"")</f>
        <v/>
      </c>
      <c r="G676" s="65"/>
      <c r="H676" s="56"/>
      <c r="I676" s="66"/>
      <c r="J676" s="67"/>
      <c r="K676" s="67"/>
      <c r="L676" s="67"/>
      <c r="M676" s="29" t="str">
        <f t="shared" si="74"/>
        <v/>
      </c>
      <c r="N676" s="29" t="str">
        <f t="shared" si="75"/>
        <v/>
      </c>
      <c r="O676" s="29" t="str">
        <f t="shared" si="70"/>
        <v/>
      </c>
      <c r="P676" s="61"/>
      <c r="Q676" s="61"/>
      <c r="R676" s="61"/>
      <c r="S676" s="45"/>
      <c r="T676" s="29" t="str">
        <f t="shared" si="71"/>
        <v/>
      </c>
    </row>
    <row r="677" spans="1:20">
      <c r="A677" s="10" t="str">
        <f t="shared" si="76"/>
        <v/>
      </c>
      <c r="B677" s="63"/>
      <c r="C677" s="25" t="str">
        <f t="shared" si="72"/>
        <v/>
      </c>
      <c r="D677" s="25" t="str">
        <f t="shared" si="73"/>
        <v/>
      </c>
      <c r="E677" s="45"/>
      <c r="F677" s="28" t="str">
        <f>IFERROR(VLOOKUP(E677,Category!$D$2:$E$600,2,FALSE),"")</f>
        <v/>
      </c>
      <c r="G677" s="65"/>
      <c r="H677" s="56"/>
      <c r="I677" s="66"/>
      <c r="J677" s="67"/>
      <c r="K677" s="67"/>
      <c r="L677" s="67"/>
      <c r="M677" s="29" t="str">
        <f t="shared" si="74"/>
        <v/>
      </c>
      <c r="N677" s="29" t="str">
        <f t="shared" si="75"/>
        <v/>
      </c>
      <c r="O677" s="29" t="str">
        <f t="shared" si="70"/>
        <v/>
      </c>
      <c r="P677" s="61"/>
      <c r="Q677" s="61"/>
      <c r="R677" s="61"/>
      <c r="S677" s="45"/>
      <c r="T677" s="29" t="str">
        <f t="shared" si="71"/>
        <v/>
      </c>
    </row>
    <row r="678" spans="1:20">
      <c r="A678" s="10" t="str">
        <f t="shared" si="76"/>
        <v/>
      </c>
      <c r="B678" s="63"/>
      <c r="C678" s="25" t="str">
        <f t="shared" si="72"/>
        <v/>
      </c>
      <c r="D678" s="25" t="str">
        <f t="shared" si="73"/>
        <v/>
      </c>
      <c r="E678" s="45"/>
      <c r="F678" s="28" t="str">
        <f>IFERROR(VLOOKUP(E678,Category!$D$2:$E$600,2,FALSE),"")</f>
        <v/>
      </c>
      <c r="G678" s="65"/>
      <c r="H678" s="56"/>
      <c r="I678" s="66"/>
      <c r="J678" s="67"/>
      <c r="K678" s="67"/>
      <c r="L678" s="67"/>
      <c r="M678" s="29" t="str">
        <f t="shared" si="74"/>
        <v/>
      </c>
      <c r="N678" s="29" t="str">
        <f t="shared" si="75"/>
        <v/>
      </c>
      <c r="O678" s="29" t="str">
        <f t="shared" si="70"/>
        <v/>
      </c>
      <c r="P678" s="61"/>
      <c r="Q678" s="61"/>
      <c r="R678" s="61"/>
      <c r="S678" s="45"/>
      <c r="T678" s="29" t="str">
        <f t="shared" si="71"/>
        <v/>
      </c>
    </row>
    <row r="679" spans="1:20">
      <c r="A679" s="10" t="str">
        <f t="shared" si="76"/>
        <v/>
      </c>
      <c r="B679" s="63"/>
      <c r="C679" s="25" t="str">
        <f t="shared" si="72"/>
        <v/>
      </c>
      <c r="D679" s="25" t="str">
        <f t="shared" si="73"/>
        <v/>
      </c>
      <c r="E679" s="45"/>
      <c r="F679" s="28" t="str">
        <f>IFERROR(VLOOKUP(E679,Category!$D$2:$E$600,2,FALSE),"")</f>
        <v/>
      </c>
      <c r="G679" s="65"/>
      <c r="H679" s="56"/>
      <c r="I679" s="66"/>
      <c r="J679" s="67"/>
      <c r="K679" s="67"/>
      <c r="L679" s="67"/>
      <c r="M679" s="29" t="str">
        <f t="shared" si="74"/>
        <v/>
      </c>
      <c r="N679" s="29" t="str">
        <f t="shared" si="75"/>
        <v/>
      </c>
      <c r="O679" s="29" t="str">
        <f t="shared" si="70"/>
        <v/>
      </c>
      <c r="P679" s="61"/>
      <c r="Q679" s="61"/>
      <c r="R679" s="61"/>
      <c r="S679" s="45"/>
      <c r="T679" s="29" t="str">
        <f t="shared" si="71"/>
        <v/>
      </c>
    </row>
    <row r="680" spans="1:20">
      <c r="A680" s="10" t="str">
        <f t="shared" si="76"/>
        <v/>
      </c>
      <c r="B680" s="63"/>
      <c r="C680" s="25" t="str">
        <f t="shared" si="72"/>
        <v/>
      </c>
      <c r="D680" s="25" t="str">
        <f t="shared" si="73"/>
        <v/>
      </c>
      <c r="E680" s="45"/>
      <c r="F680" s="28" t="str">
        <f>IFERROR(VLOOKUP(E680,Category!$D$2:$E$600,2,FALSE),"")</f>
        <v/>
      </c>
      <c r="G680" s="65"/>
      <c r="H680" s="56"/>
      <c r="I680" s="66"/>
      <c r="J680" s="67"/>
      <c r="K680" s="67"/>
      <c r="L680" s="67"/>
      <c r="M680" s="29" t="str">
        <f t="shared" si="74"/>
        <v/>
      </c>
      <c r="N680" s="29" t="str">
        <f t="shared" si="75"/>
        <v/>
      </c>
      <c r="O680" s="29" t="str">
        <f t="shared" si="70"/>
        <v/>
      </c>
      <c r="P680" s="61"/>
      <c r="Q680" s="61"/>
      <c r="R680" s="61"/>
      <c r="S680" s="45"/>
      <c r="T680" s="29" t="str">
        <f t="shared" si="71"/>
        <v/>
      </c>
    </row>
    <row r="681" spans="1:20">
      <c r="A681" s="10" t="str">
        <f t="shared" si="76"/>
        <v/>
      </c>
      <c r="B681" s="63"/>
      <c r="C681" s="25" t="str">
        <f t="shared" si="72"/>
        <v/>
      </c>
      <c r="D681" s="25" t="str">
        <f t="shared" si="73"/>
        <v/>
      </c>
      <c r="E681" s="45"/>
      <c r="F681" s="28" t="str">
        <f>IFERROR(VLOOKUP(E681,Category!$D$2:$E$600,2,FALSE),"")</f>
        <v/>
      </c>
      <c r="G681" s="65"/>
      <c r="H681" s="56"/>
      <c r="I681" s="66"/>
      <c r="J681" s="67"/>
      <c r="K681" s="67"/>
      <c r="L681" s="67"/>
      <c r="M681" s="29" t="str">
        <f t="shared" si="74"/>
        <v/>
      </c>
      <c r="N681" s="29" t="str">
        <f t="shared" si="75"/>
        <v/>
      </c>
      <c r="O681" s="29" t="str">
        <f t="shared" si="70"/>
        <v/>
      </c>
      <c r="P681" s="61"/>
      <c r="Q681" s="61"/>
      <c r="R681" s="61"/>
      <c r="S681" s="45"/>
      <c r="T681" s="29" t="str">
        <f t="shared" si="71"/>
        <v/>
      </c>
    </row>
    <row r="682" spans="1:20">
      <c r="A682" s="10" t="str">
        <f t="shared" si="76"/>
        <v/>
      </c>
      <c r="B682" s="63"/>
      <c r="C682" s="25" t="str">
        <f t="shared" si="72"/>
        <v/>
      </c>
      <c r="D682" s="25" t="str">
        <f t="shared" si="73"/>
        <v/>
      </c>
      <c r="E682" s="45"/>
      <c r="F682" s="28" t="str">
        <f>IFERROR(VLOOKUP(E682,Category!$D$2:$E$600,2,FALSE),"")</f>
        <v/>
      </c>
      <c r="G682" s="65"/>
      <c r="H682" s="56"/>
      <c r="I682" s="66"/>
      <c r="J682" s="67"/>
      <c r="K682" s="67"/>
      <c r="L682" s="67"/>
      <c r="M682" s="29" t="str">
        <f t="shared" si="74"/>
        <v/>
      </c>
      <c r="N682" s="29" t="str">
        <f t="shared" si="75"/>
        <v/>
      </c>
      <c r="O682" s="29" t="str">
        <f t="shared" si="70"/>
        <v/>
      </c>
      <c r="P682" s="61"/>
      <c r="Q682" s="61"/>
      <c r="R682" s="61"/>
      <c r="S682" s="45"/>
      <c r="T682" s="29" t="str">
        <f t="shared" si="71"/>
        <v/>
      </c>
    </row>
    <row r="683" spans="1:20">
      <c r="A683" s="10" t="str">
        <f t="shared" si="76"/>
        <v/>
      </c>
      <c r="B683" s="63"/>
      <c r="C683" s="25" t="str">
        <f t="shared" si="72"/>
        <v/>
      </c>
      <c r="D683" s="25" t="str">
        <f t="shared" si="73"/>
        <v/>
      </c>
      <c r="E683" s="45"/>
      <c r="F683" s="28" t="str">
        <f>IFERROR(VLOOKUP(E683,Category!$D$2:$E$600,2,FALSE),"")</f>
        <v/>
      </c>
      <c r="G683" s="65"/>
      <c r="H683" s="56"/>
      <c r="I683" s="66"/>
      <c r="J683" s="67"/>
      <c r="K683" s="67"/>
      <c r="L683" s="67"/>
      <c r="M683" s="29" t="str">
        <f t="shared" si="74"/>
        <v/>
      </c>
      <c r="N683" s="29" t="str">
        <f t="shared" si="75"/>
        <v/>
      </c>
      <c r="O683" s="29" t="str">
        <f t="shared" si="70"/>
        <v/>
      </c>
      <c r="P683" s="61"/>
      <c r="Q683" s="61"/>
      <c r="R683" s="61"/>
      <c r="S683" s="45"/>
      <c r="T683" s="29" t="str">
        <f t="shared" si="71"/>
        <v/>
      </c>
    </row>
    <row r="684" spans="1:20">
      <c r="A684" s="10" t="str">
        <f t="shared" si="76"/>
        <v/>
      </c>
      <c r="B684" s="63"/>
      <c r="C684" s="25" t="str">
        <f t="shared" si="72"/>
        <v/>
      </c>
      <c r="D684" s="25" t="str">
        <f t="shared" si="73"/>
        <v/>
      </c>
      <c r="E684" s="45"/>
      <c r="F684" s="28" t="str">
        <f>IFERROR(VLOOKUP(E684,Category!$D$2:$E$600,2,FALSE),"")</f>
        <v/>
      </c>
      <c r="G684" s="65"/>
      <c r="H684" s="56"/>
      <c r="I684" s="66"/>
      <c r="J684" s="67"/>
      <c r="K684" s="67"/>
      <c r="L684" s="67"/>
      <c r="M684" s="29" t="str">
        <f t="shared" si="74"/>
        <v/>
      </c>
      <c r="N684" s="29" t="str">
        <f t="shared" si="75"/>
        <v/>
      </c>
      <c r="O684" s="29" t="str">
        <f t="shared" si="70"/>
        <v/>
      </c>
      <c r="P684" s="61"/>
      <c r="Q684" s="61"/>
      <c r="R684" s="61"/>
      <c r="S684" s="45"/>
      <c r="T684" s="29" t="str">
        <f t="shared" si="71"/>
        <v/>
      </c>
    </row>
    <row r="685" spans="1:20">
      <c r="A685" s="10" t="str">
        <f t="shared" si="76"/>
        <v/>
      </c>
      <c r="B685" s="63"/>
      <c r="C685" s="25" t="str">
        <f t="shared" si="72"/>
        <v/>
      </c>
      <c r="D685" s="25" t="str">
        <f t="shared" si="73"/>
        <v/>
      </c>
      <c r="E685" s="45"/>
      <c r="F685" s="28" t="str">
        <f>IFERROR(VLOOKUP(E685,Category!$D$2:$E$600,2,FALSE),"")</f>
        <v/>
      </c>
      <c r="G685" s="65"/>
      <c r="H685" s="56"/>
      <c r="I685" s="66"/>
      <c r="J685" s="67"/>
      <c r="K685" s="67"/>
      <c r="L685" s="67"/>
      <c r="M685" s="29" t="str">
        <f t="shared" si="74"/>
        <v/>
      </c>
      <c r="N685" s="29" t="str">
        <f t="shared" si="75"/>
        <v/>
      </c>
      <c r="O685" s="29" t="str">
        <f t="shared" si="70"/>
        <v/>
      </c>
      <c r="P685" s="61"/>
      <c r="Q685" s="61"/>
      <c r="R685" s="61"/>
      <c r="S685" s="45"/>
      <c r="T685" s="29" t="str">
        <f t="shared" si="71"/>
        <v/>
      </c>
    </row>
    <row r="686" spans="1:20">
      <c r="A686" s="10" t="str">
        <f t="shared" si="76"/>
        <v/>
      </c>
      <c r="B686" s="63"/>
      <c r="C686" s="25" t="str">
        <f t="shared" si="72"/>
        <v/>
      </c>
      <c r="D686" s="25" t="str">
        <f t="shared" si="73"/>
        <v/>
      </c>
      <c r="E686" s="45"/>
      <c r="F686" s="28" t="str">
        <f>IFERROR(VLOOKUP(E686,Category!$D$2:$E$600,2,FALSE),"")</f>
        <v/>
      </c>
      <c r="G686" s="65"/>
      <c r="H686" s="56"/>
      <c r="I686" s="66"/>
      <c r="J686" s="67"/>
      <c r="K686" s="67"/>
      <c r="L686" s="67"/>
      <c r="M686" s="29" t="str">
        <f t="shared" si="74"/>
        <v/>
      </c>
      <c r="N686" s="29" t="str">
        <f t="shared" si="75"/>
        <v/>
      </c>
      <c r="O686" s="29" t="str">
        <f t="shared" si="70"/>
        <v/>
      </c>
      <c r="P686" s="61"/>
      <c r="Q686" s="61"/>
      <c r="R686" s="61"/>
      <c r="S686" s="45"/>
      <c r="T686" s="29" t="str">
        <f t="shared" si="71"/>
        <v/>
      </c>
    </row>
    <row r="687" spans="1:20">
      <c r="A687" s="10" t="str">
        <f t="shared" si="76"/>
        <v/>
      </c>
      <c r="B687" s="63"/>
      <c r="C687" s="25" t="str">
        <f t="shared" si="72"/>
        <v/>
      </c>
      <c r="D687" s="25" t="str">
        <f t="shared" si="73"/>
        <v/>
      </c>
      <c r="E687" s="45"/>
      <c r="F687" s="28" t="str">
        <f>IFERROR(VLOOKUP(E687,Category!$D$2:$E$600,2,FALSE),"")</f>
        <v/>
      </c>
      <c r="G687" s="65"/>
      <c r="H687" s="56"/>
      <c r="I687" s="66"/>
      <c r="J687" s="67"/>
      <c r="K687" s="67"/>
      <c r="L687" s="67"/>
      <c r="M687" s="29" t="str">
        <f t="shared" si="74"/>
        <v/>
      </c>
      <c r="N687" s="29" t="str">
        <f t="shared" si="75"/>
        <v/>
      </c>
      <c r="O687" s="29" t="str">
        <f t="shared" si="70"/>
        <v/>
      </c>
      <c r="P687" s="61"/>
      <c r="Q687" s="61"/>
      <c r="R687" s="61"/>
      <c r="S687" s="45"/>
      <c r="T687" s="29" t="str">
        <f t="shared" si="71"/>
        <v/>
      </c>
    </row>
    <row r="688" spans="1:20">
      <c r="A688" s="10" t="str">
        <f t="shared" si="76"/>
        <v/>
      </c>
      <c r="B688" s="63"/>
      <c r="C688" s="25" t="str">
        <f t="shared" si="72"/>
        <v/>
      </c>
      <c r="D688" s="25" t="str">
        <f t="shared" si="73"/>
        <v/>
      </c>
      <c r="E688" s="45"/>
      <c r="F688" s="28" t="str">
        <f>IFERROR(VLOOKUP(E688,Category!$D$2:$E$600,2,FALSE),"")</f>
        <v/>
      </c>
      <c r="G688" s="65"/>
      <c r="H688" s="56"/>
      <c r="I688" s="66"/>
      <c r="J688" s="67"/>
      <c r="K688" s="67"/>
      <c r="L688" s="67"/>
      <c r="M688" s="29" t="str">
        <f t="shared" si="74"/>
        <v/>
      </c>
      <c r="N688" s="29" t="str">
        <f t="shared" si="75"/>
        <v/>
      </c>
      <c r="O688" s="29" t="str">
        <f t="shared" si="70"/>
        <v/>
      </c>
      <c r="P688" s="61"/>
      <c r="Q688" s="61"/>
      <c r="R688" s="61"/>
      <c r="S688" s="45"/>
      <c r="T688" s="29" t="str">
        <f t="shared" si="71"/>
        <v/>
      </c>
    </row>
    <row r="689" spans="1:20">
      <c r="A689" s="10" t="str">
        <f t="shared" si="76"/>
        <v/>
      </c>
      <c r="B689" s="63"/>
      <c r="C689" s="25" t="str">
        <f t="shared" si="72"/>
        <v/>
      </c>
      <c r="D689" s="25" t="str">
        <f t="shared" si="73"/>
        <v/>
      </c>
      <c r="E689" s="45"/>
      <c r="F689" s="28" t="str">
        <f>IFERROR(VLOOKUP(E689,Category!$D$2:$E$600,2,FALSE),"")</f>
        <v/>
      </c>
      <c r="G689" s="65"/>
      <c r="H689" s="56"/>
      <c r="I689" s="66"/>
      <c r="J689" s="67"/>
      <c r="K689" s="67"/>
      <c r="L689" s="67"/>
      <c r="M689" s="29" t="str">
        <f t="shared" si="74"/>
        <v/>
      </c>
      <c r="N689" s="29" t="str">
        <f t="shared" si="75"/>
        <v/>
      </c>
      <c r="O689" s="29" t="str">
        <f t="shared" si="70"/>
        <v/>
      </c>
      <c r="P689" s="61"/>
      <c r="Q689" s="61"/>
      <c r="R689" s="61"/>
      <c r="S689" s="45"/>
      <c r="T689" s="29" t="str">
        <f t="shared" si="71"/>
        <v/>
      </c>
    </row>
    <row r="690" spans="1:20">
      <c r="A690" s="10" t="str">
        <f t="shared" si="76"/>
        <v/>
      </c>
      <c r="B690" s="63"/>
      <c r="C690" s="25" t="str">
        <f t="shared" si="72"/>
        <v/>
      </c>
      <c r="D690" s="25" t="str">
        <f t="shared" si="73"/>
        <v/>
      </c>
      <c r="E690" s="45"/>
      <c r="F690" s="28" t="str">
        <f>IFERROR(VLOOKUP(E690,Category!$D$2:$E$600,2,FALSE),"")</f>
        <v/>
      </c>
      <c r="G690" s="65"/>
      <c r="H690" s="56"/>
      <c r="I690" s="66"/>
      <c r="J690" s="67"/>
      <c r="K690" s="67"/>
      <c r="L690" s="67"/>
      <c r="M690" s="29" t="str">
        <f t="shared" si="74"/>
        <v/>
      </c>
      <c r="N690" s="29" t="str">
        <f t="shared" si="75"/>
        <v/>
      </c>
      <c r="O690" s="29" t="str">
        <f t="shared" si="70"/>
        <v/>
      </c>
      <c r="P690" s="61"/>
      <c r="Q690" s="61"/>
      <c r="R690" s="61"/>
      <c r="S690" s="45"/>
      <c r="T690" s="29" t="str">
        <f t="shared" si="71"/>
        <v/>
      </c>
    </row>
    <row r="691" spans="1:20">
      <c r="A691" s="10" t="str">
        <f t="shared" si="76"/>
        <v/>
      </c>
      <c r="B691" s="63"/>
      <c r="C691" s="25" t="str">
        <f t="shared" si="72"/>
        <v/>
      </c>
      <c r="D691" s="25" t="str">
        <f t="shared" si="73"/>
        <v/>
      </c>
      <c r="E691" s="45"/>
      <c r="F691" s="28" t="str">
        <f>IFERROR(VLOOKUP(E691,Category!$D$2:$E$600,2,FALSE),"")</f>
        <v/>
      </c>
      <c r="G691" s="65"/>
      <c r="H691" s="56"/>
      <c r="I691" s="66"/>
      <c r="J691" s="67"/>
      <c r="K691" s="67"/>
      <c r="L691" s="67"/>
      <c r="M691" s="29" t="str">
        <f t="shared" si="74"/>
        <v/>
      </c>
      <c r="N691" s="29" t="str">
        <f t="shared" si="75"/>
        <v/>
      </c>
      <c r="O691" s="29" t="str">
        <f t="shared" si="70"/>
        <v/>
      </c>
      <c r="P691" s="61"/>
      <c r="Q691" s="61"/>
      <c r="R691" s="61"/>
      <c r="S691" s="45"/>
      <c r="T691" s="29" t="str">
        <f t="shared" si="71"/>
        <v/>
      </c>
    </row>
    <row r="692" spans="1:20">
      <c r="A692" s="10" t="str">
        <f t="shared" si="76"/>
        <v/>
      </c>
      <c r="B692" s="63"/>
      <c r="C692" s="25" t="str">
        <f t="shared" si="72"/>
        <v/>
      </c>
      <c r="D692" s="25" t="str">
        <f t="shared" si="73"/>
        <v/>
      </c>
      <c r="E692" s="45"/>
      <c r="F692" s="28" t="str">
        <f>IFERROR(VLOOKUP(E692,Category!$D$2:$E$600,2,FALSE),"")</f>
        <v/>
      </c>
      <c r="G692" s="65"/>
      <c r="H692" s="56"/>
      <c r="I692" s="66"/>
      <c r="J692" s="67"/>
      <c r="K692" s="67"/>
      <c r="L692" s="67"/>
      <c r="M692" s="29" t="str">
        <f t="shared" si="74"/>
        <v/>
      </c>
      <c r="N692" s="29" t="str">
        <f t="shared" si="75"/>
        <v/>
      </c>
      <c r="O692" s="29" t="str">
        <f t="shared" si="70"/>
        <v/>
      </c>
      <c r="P692" s="61"/>
      <c r="Q692" s="61"/>
      <c r="R692" s="61"/>
      <c r="S692" s="45"/>
      <c r="T692" s="29" t="str">
        <f t="shared" si="71"/>
        <v/>
      </c>
    </row>
    <row r="693" spans="1:20">
      <c r="A693" s="10" t="str">
        <f t="shared" si="76"/>
        <v/>
      </c>
      <c r="B693" s="63"/>
      <c r="C693" s="25" t="str">
        <f t="shared" si="72"/>
        <v/>
      </c>
      <c r="D693" s="25" t="str">
        <f t="shared" si="73"/>
        <v/>
      </c>
      <c r="E693" s="45"/>
      <c r="F693" s="28" t="str">
        <f>IFERROR(VLOOKUP(E693,Category!$D$2:$E$600,2,FALSE),"")</f>
        <v/>
      </c>
      <c r="G693" s="65"/>
      <c r="H693" s="56"/>
      <c r="I693" s="66"/>
      <c r="J693" s="67"/>
      <c r="K693" s="67"/>
      <c r="L693" s="67"/>
      <c r="M693" s="29" t="str">
        <f t="shared" si="74"/>
        <v/>
      </c>
      <c r="N693" s="29" t="str">
        <f t="shared" si="75"/>
        <v/>
      </c>
      <c r="O693" s="29" t="str">
        <f t="shared" si="70"/>
        <v/>
      </c>
      <c r="P693" s="61"/>
      <c r="Q693" s="61"/>
      <c r="R693" s="61"/>
      <c r="S693" s="45"/>
      <c r="T693" s="29" t="str">
        <f t="shared" si="71"/>
        <v/>
      </c>
    </row>
    <row r="694" spans="1:20">
      <c r="A694" s="10" t="str">
        <f t="shared" si="76"/>
        <v/>
      </c>
      <c r="B694" s="63"/>
      <c r="C694" s="25" t="str">
        <f t="shared" si="72"/>
        <v/>
      </c>
      <c r="D694" s="25" t="str">
        <f t="shared" si="73"/>
        <v/>
      </c>
      <c r="E694" s="45"/>
      <c r="F694" s="28" t="str">
        <f>IFERROR(VLOOKUP(E694,Category!$D$2:$E$600,2,FALSE),"")</f>
        <v/>
      </c>
      <c r="G694" s="65"/>
      <c r="H694" s="56"/>
      <c r="I694" s="66"/>
      <c r="J694" s="67"/>
      <c r="K694" s="67"/>
      <c r="L694" s="67"/>
      <c r="M694" s="29" t="str">
        <f t="shared" si="74"/>
        <v/>
      </c>
      <c r="N694" s="29" t="str">
        <f t="shared" si="75"/>
        <v/>
      </c>
      <c r="O694" s="29" t="str">
        <f t="shared" si="70"/>
        <v/>
      </c>
      <c r="P694" s="61"/>
      <c r="Q694" s="61"/>
      <c r="R694" s="61"/>
      <c r="S694" s="45"/>
      <c r="T694" s="29" t="str">
        <f t="shared" si="71"/>
        <v/>
      </c>
    </row>
    <row r="695" spans="1:20">
      <c r="A695" s="10" t="str">
        <f t="shared" si="76"/>
        <v/>
      </c>
      <c r="B695" s="63"/>
      <c r="C695" s="25" t="str">
        <f t="shared" si="72"/>
        <v/>
      </c>
      <c r="D695" s="25" t="str">
        <f t="shared" si="73"/>
        <v/>
      </c>
      <c r="E695" s="45"/>
      <c r="F695" s="28" t="str">
        <f>IFERROR(VLOOKUP(E695,Category!$D$2:$E$600,2,FALSE),"")</f>
        <v/>
      </c>
      <c r="G695" s="65"/>
      <c r="H695" s="56"/>
      <c r="I695" s="66"/>
      <c r="J695" s="67"/>
      <c r="K695" s="67"/>
      <c r="L695" s="67"/>
      <c r="M695" s="29" t="str">
        <f t="shared" si="74"/>
        <v/>
      </c>
      <c r="N695" s="29" t="str">
        <f t="shared" si="75"/>
        <v/>
      </c>
      <c r="O695" s="29" t="str">
        <f t="shared" si="70"/>
        <v/>
      </c>
      <c r="P695" s="61"/>
      <c r="Q695" s="61"/>
      <c r="R695" s="61"/>
      <c r="S695" s="45"/>
      <c r="T695" s="29" t="str">
        <f t="shared" si="71"/>
        <v/>
      </c>
    </row>
    <row r="696" spans="1:20">
      <c r="A696" s="10" t="str">
        <f t="shared" si="76"/>
        <v/>
      </c>
      <c r="B696" s="63"/>
      <c r="C696" s="25" t="str">
        <f t="shared" si="72"/>
        <v/>
      </c>
      <c r="D696" s="25" t="str">
        <f t="shared" si="73"/>
        <v/>
      </c>
      <c r="E696" s="45"/>
      <c r="F696" s="28" t="str">
        <f>IFERROR(VLOOKUP(E696,Category!$D$2:$E$600,2,FALSE),"")</f>
        <v/>
      </c>
      <c r="G696" s="65"/>
      <c r="H696" s="56"/>
      <c r="I696" s="66"/>
      <c r="J696" s="67"/>
      <c r="K696" s="67"/>
      <c r="L696" s="67"/>
      <c r="M696" s="29" t="str">
        <f t="shared" si="74"/>
        <v/>
      </c>
      <c r="N696" s="29" t="str">
        <f t="shared" si="75"/>
        <v/>
      </c>
      <c r="O696" s="29" t="str">
        <f t="shared" si="70"/>
        <v/>
      </c>
      <c r="P696" s="61"/>
      <c r="Q696" s="61"/>
      <c r="R696" s="61"/>
      <c r="S696" s="45"/>
      <c r="T696" s="29" t="str">
        <f t="shared" si="71"/>
        <v/>
      </c>
    </row>
    <row r="697" spans="1:20">
      <c r="A697" s="10" t="str">
        <f t="shared" si="76"/>
        <v/>
      </c>
      <c r="B697" s="63"/>
      <c r="C697" s="25" t="str">
        <f t="shared" si="72"/>
        <v/>
      </c>
      <c r="D697" s="25" t="str">
        <f t="shared" si="73"/>
        <v/>
      </c>
      <c r="E697" s="45"/>
      <c r="F697" s="28" t="str">
        <f>IFERROR(VLOOKUP(E697,Category!$D$2:$E$600,2,FALSE),"")</f>
        <v/>
      </c>
      <c r="G697" s="65"/>
      <c r="H697" s="56"/>
      <c r="I697" s="66"/>
      <c r="J697" s="67"/>
      <c r="K697" s="67"/>
      <c r="L697" s="67"/>
      <c r="M697" s="29" t="str">
        <f t="shared" si="74"/>
        <v/>
      </c>
      <c r="N697" s="29" t="str">
        <f t="shared" si="75"/>
        <v/>
      </c>
      <c r="O697" s="29" t="str">
        <f t="shared" si="70"/>
        <v/>
      </c>
      <c r="P697" s="61"/>
      <c r="Q697" s="61"/>
      <c r="R697" s="61"/>
      <c r="S697" s="45"/>
      <c r="T697" s="29" t="str">
        <f t="shared" si="71"/>
        <v/>
      </c>
    </row>
    <row r="698" spans="1:20">
      <c r="A698" s="10" t="str">
        <f t="shared" si="76"/>
        <v/>
      </c>
      <c r="B698" s="63"/>
      <c r="C698" s="25" t="str">
        <f t="shared" si="72"/>
        <v/>
      </c>
      <c r="D698" s="25" t="str">
        <f t="shared" si="73"/>
        <v/>
      </c>
      <c r="E698" s="45"/>
      <c r="F698" s="28" t="str">
        <f>IFERROR(VLOOKUP(E698,Category!$D$2:$E$600,2,FALSE),"")</f>
        <v/>
      </c>
      <c r="G698" s="65"/>
      <c r="H698" s="56"/>
      <c r="I698" s="66"/>
      <c r="J698" s="67"/>
      <c r="K698" s="67"/>
      <c r="L698" s="67"/>
      <c r="M698" s="29" t="str">
        <f t="shared" si="74"/>
        <v/>
      </c>
      <c r="N698" s="29" t="str">
        <f t="shared" si="75"/>
        <v/>
      </c>
      <c r="O698" s="29" t="str">
        <f t="shared" si="70"/>
        <v/>
      </c>
      <c r="P698" s="61"/>
      <c r="Q698" s="61"/>
      <c r="R698" s="61"/>
      <c r="S698" s="45"/>
      <c r="T698" s="29" t="str">
        <f t="shared" si="71"/>
        <v/>
      </c>
    </row>
    <row r="699" spans="1:20">
      <c r="A699" s="10" t="str">
        <f t="shared" si="76"/>
        <v/>
      </c>
      <c r="B699" s="63"/>
      <c r="C699" s="25" t="str">
        <f t="shared" si="72"/>
        <v/>
      </c>
      <c r="D699" s="25" t="str">
        <f t="shared" si="73"/>
        <v/>
      </c>
      <c r="E699" s="45"/>
      <c r="F699" s="28" t="str">
        <f>IFERROR(VLOOKUP(E699,Category!$D$2:$E$600,2,FALSE),"")</f>
        <v/>
      </c>
      <c r="G699" s="65"/>
      <c r="H699" s="56"/>
      <c r="I699" s="66"/>
      <c r="J699" s="67"/>
      <c r="K699" s="67"/>
      <c r="L699" s="67"/>
      <c r="M699" s="29" t="str">
        <f t="shared" si="74"/>
        <v/>
      </c>
      <c r="N699" s="29" t="str">
        <f t="shared" si="75"/>
        <v/>
      </c>
      <c r="O699" s="29" t="str">
        <f t="shared" si="70"/>
        <v/>
      </c>
      <c r="P699" s="61"/>
      <c r="Q699" s="61"/>
      <c r="R699" s="61"/>
      <c r="S699" s="45"/>
      <c r="T699" s="29" t="str">
        <f t="shared" si="71"/>
        <v/>
      </c>
    </row>
    <row r="700" spans="1:20">
      <c r="A700" s="10" t="str">
        <f t="shared" si="76"/>
        <v/>
      </c>
      <c r="B700" s="63"/>
      <c r="C700" s="25" t="str">
        <f t="shared" si="72"/>
        <v/>
      </c>
      <c r="D700" s="25" t="str">
        <f t="shared" si="73"/>
        <v/>
      </c>
      <c r="E700" s="45"/>
      <c r="F700" s="28" t="str">
        <f>IFERROR(VLOOKUP(E700,Category!$D$2:$E$600,2,FALSE),"")</f>
        <v/>
      </c>
      <c r="G700" s="65"/>
      <c r="H700" s="56"/>
      <c r="I700" s="66"/>
      <c r="J700" s="67"/>
      <c r="K700" s="67"/>
      <c r="L700" s="67"/>
      <c r="M700" s="29" t="str">
        <f t="shared" si="74"/>
        <v/>
      </c>
      <c r="N700" s="29" t="str">
        <f t="shared" si="75"/>
        <v/>
      </c>
      <c r="O700" s="29" t="str">
        <f t="shared" si="70"/>
        <v/>
      </c>
      <c r="P700" s="61"/>
      <c r="Q700" s="61"/>
      <c r="R700" s="61"/>
      <c r="S700" s="45"/>
      <c r="T700" s="29" t="str">
        <f t="shared" si="71"/>
        <v/>
      </c>
    </row>
    <row r="701" spans="1:20">
      <c r="A701" s="10" t="str">
        <f t="shared" si="76"/>
        <v/>
      </c>
      <c r="B701" s="63"/>
      <c r="C701" s="25" t="str">
        <f t="shared" si="72"/>
        <v/>
      </c>
      <c r="D701" s="25" t="str">
        <f t="shared" si="73"/>
        <v/>
      </c>
      <c r="E701" s="45"/>
      <c r="F701" s="28" t="str">
        <f>IFERROR(VLOOKUP(E701,Category!$D$2:$E$600,2,FALSE),"")</f>
        <v/>
      </c>
      <c r="G701" s="65"/>
      <c r="H701" s="56"/>
      <c r="I701" s="66"/>
      <c r="J701" s="67"/>
      <c r="K701" s="67"/>
      <c r="L701" s="67"/>
      <c r="M701" s="29" t="str">
        <f t="shared" si="74"/>
        <v/>
      </c>
      <c r="N701" s="29" t="str">
        <f t="shared" si="75"/>
        <v/>
      </c>
      <c r="O701" s="29" t="str">
        <f t="shared" si="70"/>
        <v/>
      </c>
      <c r="P701" s="61"/>
      <c r="Q701" s="61"/>
      <c r="R701" s="61"/>
      <c r="S701" s="45"/>
      <c r="T701" s="29" t="str">
        <f t="shared" si="71"/>
        <v/>
      </c>
    </row>
    <row r="702" spans="1:20">
      <c r="A702" s="10" t="str">
        <f t="shared" si="76"/>
        <v/>
      </c>
      <c r="B702" s="63"/>
      <c r="C702" s="25" t="str">
        <f t="shared" si="72"/>
        <v/>
      </c>
      <c r="D702" s="25" t="str">
        <f t="shared" si="73"/>
        <v/>
      </c>
      <c r="E702" s="45"/>
      <c r="F702" s="28" t="str">
        <f>IFERROR(VLOOKUP(E702,Category!$D$2:$E$600,2,FALSE),"")</f>
        <v/>
      </c>
      <c r="G702" s="65"/>
      <c r="H702" s="56"/>
      <c r="I702" s="66"/>
      <c r="J702" s="67"/>
      <c r="K702" s="67"/>
      <c r="L702" s="67"/>
      <c r="M702" s="29" t="str">
        <f t="shared" si="74"/>
        <v/>
      </c>
      <c r="N702" s="29" t="str">
        <f t="shared" si="75"/>
        <v/>
      </c>
      <c r="O702" s="29" t="str">
        <f t="shared" si="70"/>
        <v/>
      </c>
      <c r="P702" s="61"/>
      <c r="Q702" s="61"/>
      <c r="R702" s="61"/>
      <c r="S702" s="45"/>
      <c r="T702" s="29" t="str">
        <f t="shared" si="71"/>
        <v/>
      </c>
    </row>
    <row r="703" spans="1:20">
      <c r="A703" s="10" t="str">
        <f t="shared" si="76"/>
        <v/>
      </c>
      <c r="B703" s="63"/>
      <c r="C703" s="25" t="str">
        <f t="shared" si="72"/>
        <v/>
      </c>
      <c r="D703" s="25" t="str">
        <f t="shared" si="73"/>
        <v/>
      </c>
      <c r="E703" s="45"/>
      <c r="F703" s="28" t="str">
        <f>IFERROR(VLOOKUP(E703,Category!$D$2:$E$600,2,FALSE),"")</f>
        <v/>
      </c>
      <c r="G703" s="65"/>
      <c r="H703" s="56"/>
      <c r="I703" s="66"/>
      <c r="J703" s="67"/>
      <c r="K703" s="67"/>
      <c r="L703" s="67"/>
      <c r="M703" s="29" t="str">
        <f t="shared" si="74"/>
        <v/>
      </c>
      <c r="N703" s="29" t="str">
        <f t="shared" si="75"/>
        <v/>
      </c>
      <c r="O703" s="29" t="str">
        <f t="shared" si="70"/>
        <v/>
      </c>
      <c r="P703" s="61"/>
      <c r="Q703" s="61"/>
      <c r="R703" s="61"/>
      <c r="S703" s="45"/>
      <c r="T703" s="29" t="str">
        <f t="shared" si="71"/>
        <v/>
      </c>
    </row>
    <row r="704" spans="1:20">
      <c r="A704" s="10" t="str">
        <f t="shared" si="76"/>
        <v/>
      </c>
      <c r="B704" s="63"/>
      <c r="C704" s="25" t="str">
        <f t="shared" si="72"/>
        <v/>
      </c>
      <c r="D704" s="25" t="str">
        <f t="shared" si="73"/>
        <v/>
      </c>
      <c r="E704" s="45"/>
      <c r="F704" s="28" t="str">
        <f>IFERROR(VLOOKUP(E704,Category!$D$2:$E$600,2,FALSE),"")</f>
        <v/>
      </c>
      <c r="G704" s="65"/>
      <c r="H704" s="56"/>
      <c r="I704" s="66"/>
      <c r="J704" s="67"/>
      <c r="K704" s="67"/>
      <c r="L704" s="67"/>
      <c r="M704" s="29" t="str">
        <f t="shared" si="74"/>
        <v/>
      </c>
      <c r="N704" s="29" t="str">
        <f t="shared" si="75"/>
        <v/>
      </c>
      <c r="O704" s="29" t="str">
        <f t="shared" si="70"/>
        <v/>
      </c>
      <c r="P704" s="61"/>
      <c r="Q704" s="61"/>
      <c r="R704" s="61"/>
      <c r="S704" s="45"/>
      <c r="T704" s="29" t="str">
        <f t="shared" si="71"/>
        <v/>
      </c>
    </row>
    <row r="705" spans="1:20">
      <c r="A705" s="10" t="str">
        <f t="shared" si="76"/>
        <v/>
      </c>
      <c r="B705" s="63"/>
      <c r="C705" s="25" t="str">
        <f t="shared" si="72"/>
        <v/>
      </c>
      <c r="D705" s="25" t="str">
        <f t="shared" si="73"/>
        <v/>
      </c>
      <c r="E705" s="45"/>
      <c r="F705" s="28" t="str">
        <f>IFERROR(VLOOKUP(E705,Category!$D$2:$E$600,2,FALSE),"")</f>
        <v/>
      </c>
      <c r="G705" s="65"/>
      <c r="H705" s="56"/>
      <c r="I705" s="66"/>
      <c r="J705" s="67"/>
      <c r="K705" s="67"/>
      <c r="L705" s="67"/>
      <c r="M705" s="29" t="str">
        <f t="shared" si="74"/>
        <v/>
      </c>
      <c r="N705" s="29" t="str">
        <f t="shared" si="75"/>
        <v/>
      </c>
      <c r="O705" s="29" t="str">
        <f t="shared" si="70"/>
        <v/>
      </c>
      <c r="P705" s="61"/>
      <c r="Q705" s="61"/>
      <c r="R705" s="61"/>
      <c r="S705" s="45"/>
      <c r="T705" s="29" t="str">
        <f t="shared" si="71"/>
        <v/>
      </c>
    </row>
    <row r="706" spans="1:20">
      <c r="A706" s="10" t="str">
        <f t="shared" si="76"/>
        <v/>
      </c>
      <c r="B706" s="63"/>
      <c r="C706" s="25" t="str">
        <f t="shared" si="72"/>
        <v/>
      </c>
      <c r="D706" s="25" t="str">
        <f t="shared" si="73"/>
        <v/>
      </c>
      <c r="E706" s="45"/>
      <c r="F706" s="28" t="str">
        <f>IFERROR(VLOOKUP(E706,Category!$D$2:$E$600,2,FALSE),"")</f>
        <v/>
      </c>
      <c r="G706" s="65"/>
      <c r="H706" s="56"/>
      <c r="I706" s="66"/>
      <c r="J706" s="67"/>
      <c r="K706" s="67"/>
      <c r="L706" s="67"/>
      <c r="M706" s="29" t="str">
        <f t="shared" si="74"/>
        <v/>
      </c>
      <c r="N706" s="29" t="str">
        <f t="shared" si="75"/>
        <v/>
      </c>
      <c r="O706" s="29" t="str">
        <f t="shared" ref="O706:O769" si="77">IF(H706*I706=0,"",H706*I706)</f>
        <v/>
      </c>
      <c r="P706" s="61"/>
      <c r="Q706" s="61"/>
      <c r="R706" s="61"/>
      <c r="S706" s="45"/>
      <c r="T706" s="29" t="str">
        <f t="shared" ref="T706:T769" si="78">IF(R706="paid",(H706*I706)-(G706*H706),"")</f>
        <v/>
      </c>
    </row>
    <row r="707" spans="1:20">
      <c r="A707" s="10" t="str">
        <f t="shared" si="76"/>
        <v/>
      </c>
      <c r="B707" s="63"/>
      <c r="C707" s="25" t="str">
        <f t="shared" ref="C707:C770" si="79">IF(B707=0,"",TEXT(B707,"mmmm"))</f>
        <v/>
      </c>
      <c r="D707" s="25" t="str">
        <f t="shared" ref="D707:D770" si="80">IF(B707=0,"",TEXT(B707,"yyyy"))</f>
        <v/>
      </c>
      <c r="E707" s="45"/>
      <c r="F707" s="28" t="str">
        <f>IFERROR(VLOOKUP(E707,Category!$D$2:$E$600,2,FALSE),"")</f>
        <v/>
      </c>
      <c r="G707" s="65"/>
      <c r="H707" s="56"/>
      <c r="I707" s="66"/>
      <c r="J707" s="67"/>
      <c r="K707" s="67"/>
      <c r="L707" s="67"/>
      <c r="M707" s="29" t="str">
        <f t="shared" ref="M707:M770" si="81">IFERROR(IF(O707&gt;0,IF(R707="Paid","",O707-J707),""),"")</f>
        <v/>
      </c>
      <c r="N707" s="29" t="str">
        <f t="shared" ref="N707:N770" si="82">IF(J707&gt;0,IF(R707="Paid",O707-J707,""),"")</f>
        <v/>
      </c>
      <c r="O707" s="29" t="str">
        <f t="shared" si="77"/>
        <v/>
      </c>
      <c r="P707" s="61"/>
      <c r="Q707" s="61"/>
      <c r="R707" s="61"/>
      <c r="S707" s="45"/>
      <c r="T707" s="29" t="str">
        <f t="shared" si="78"/>
        <v/>
      </c>
    </row>
    <row r="708" spans="1:20">
      <c r="A708" s="10" t="str">
        <f t="shared" ref="A708:A771" si="83">IF(E708&gt;0,A707+1,"")</f>
        <v/>
      </c>
      <c r="B708" s="63"/>
      <c r="C708" s="25" t="str">
        <f t="shared" si="79"/>
        <v/>
      </c>
      <c r="D708" s="25" t="str">
        <f t="shared" si="80"/>
        <v/>
      </c>
      <c r="E708" s="45"/>
      <c r="F708" s="28" t="str">
        <f>IFERROR(VLOOKUP(E708,Category!$D$2:$E$600,2,FALSE),"")</f>
        <v/>
      </c>
      <c r="G708" s="65"/>
      <c r="H708" s="56"/>
      <c r="I708" s="66"/>
      <c r="J708" s="67"/>
      <c r="K708" s="67"/>
      <c r="L708" s="67"/>
      <c r="M708" s="29" t="str">
        <f t="shared" si="81"/>
        <v/>
      </c>
      <c r="N708" s="29" t="str">
        <f t="shared" si="82"/>
        <v/>
      </c>
      <c r="O708" s="29" t="str">
        <f t="shared" si="77"/>
        <v/>
      </c>
      <c r="P708" s="61"/>
      <c r="Q708" s="61"/>
      <c r="R708" s="61"/>
      <c r="S708" s="45"/>
      <c r="T708" s="29" t="str">
        <f t="shared" si="78"/>
        <v/>
      </c>
    </row>
    <row r="709" spans="1:20">
      <c r="A709" s="10" t="str">
        <f t="shared" si="83"/>
        <v/>
      </c>
      <c r="B709" s="63"/>
      <c r="C709" s="25" t="str">
        <f t="shared" si="79"/>
        <v/>
      </c>
      <c r="D709" s="25" t="str">
        <f t="shared" si="80"/>
        <v/>
      </c>
      <c r="E709" s="45"/>
      <c r="F709" s="28" t="str">
        <f>IFERROR(VLOOKUP(E709,Category!$D$2:$E$600,2,FALSE),"")</f>
        <v/>
      </c>
      <c r="G709" s="65"/>
      <c r="H709" s="56"/>
      <c r="I709" s="66"/>
      <c r="J709" s="67"/>
      <c r="K709" s="67"/>
      <c r="L709" s="67"/>
      <c r="M709" s="29" t="str">
        <f t="shared" si="81"/>
        <v/>
      </c>
      <c r="N709" s="29" t="str">
        <f t="shared" si="82"/>
        <v/>
      </c>
      <c r="O709" s="29" t="str">
        <f t="shared" si="77"/>
        <v/>
      </c>
      <c r="P709" s="61"/>
      <c r="Q709" s="61"/>
      <c r="R709" s="61"/>
      <c r="S709" s="45"/>
      <c r="T709" s="29" t="str">
        <f t="shared" si="78"/>
        <v/>
      </c>
    </row>
    <row r="710" spans="1:20">
      <c r="A710" s="10" t="str">
        <f t="shared" si="83"/>
        <v/>
      </c>
      <c r="B710" s="63"/>
      <c r="C710" s="25" t="str">
        <f t="shared" si="79"/>
        <v/>
      </c>
      <c r="D710" s="25" t="str">
        <f t="shared" si="80"/>
        <v/>
      </c>
      <c r="E710" s="45"/>
      <c r="F710" s="28" t="str">
        <f>IFERROR(VLOOKUP(E710,Category!$D$2:$E$600,2,FALSE),"")</f>
        <v/>
      </c>
      <c r="G710" s="65"/>
      <c r="H710" s="56"/>
      <c r="I710" s="66"/>
      <c r="J710" s="67"/>
      <c r="K710" s="67"/>
      <c r="L710" s="67"/>
      <c r="M710" s="29" t="str">
        <f t="shared" si="81"/>
        <v/>
      </c>
      <c r="N710" s="29" t="str">
        <f t="shared" si="82"/>
        <v/>
      </c>
      <c r="O710" s="29" t="str">
        <f t="shared" si="77"/>
        <v/>
      </c>
      <c r="P710" s="61"/>
      <c r="Q710" s="61"/>
      <c r="R710" s="61"/>
      <c r="S710" s="45"/>
      <c r="T710" s="29" t="str">
        <f t="shared" si="78"/>
        <v/>
      </c>
    </row>
    <row r="711" spans="1:20">
      <c r="A711" s="10" t="str">
        <f t="shared" si="83"/>
        <v/>
      </c>
      <c r="B711" s="63"/>
      <c r="C711" s="25" t="str">
        <f t="shared" si="79"/>
        <v/>
      </c>
      <c r="D711" s="25" t="str">
        <f t="shared" si="80"/>
        <v/>
      </c>
      <c r="E711" s="45"/>
      <c r="F711" s="28" t="str">
        <f>IFERROR(VLOOKUP(E711,Category!$D$2:$E$600,2,FALSE),"")</f>
        <v/>
      </c>
      <c r="G711" s="65"/>
      <c r="H711" s="56"/>
      <c r="I711" s="66"/>
      <c r="J711" s="67"/>
      <c r="K711" s="67"/>
      <c r="L711" s="67"/>
      <c r="M711" s="29" t="str">
        <f t="shared" si="81"/>
        <v/>
      </c>
      <c r="N711" s="29" t="str">
        <f t="shared" si="82"/>
        <v/>
      </c>
      <c r="O711" s="29" t="str">
        <f t="shared" si="77"/>
        <v/>
      </c>
      <c r="P711" s="61"/>
      <c r="Q711" s="61"/>
      <c r="R711" s="61"/>
      <c r="S711" s="45"/>
      <c r="T711" s="29" t="str">
        <f t="shared" si="78"/>
        <v/>
      </c>
    </row>
    <row r="712" spans="1:20">
      <c r="A712" s="10" t="str">
        <f t="shared" si="83"/>
        <v/>
      </c>
      <c r="B712" s="63"/>
      <c r="C712" s="25" t="str">
        <f t="shared" si="79"/>
        <v/>
      </c>
      <c r="D712" s="25" t="str">
        <f t="shared" si="80"/>
        <v/>
      </c>
      <c r="E712" s="45"/>
      <c r="F712" s="28" t="str">
        <f>IFERROR(VLOOKUP(E712,Category!$D$2:$E$600,2,FALSE),"")</f>
        <v/>
      </c>
      <c r="G712" s="65"/>
      <c r="H712" s="56"/>
      <c r="I712" s="66"/>
      <c r="J712" s="67"/>
      <c r="K712" s="67"/>
      <c r="L712" s="67"/>
      <c r="M712" s="29" t="str">
        <f t="shared" si="81"/>
        <v/>
      </c>
      <c r="N712" s="29" t="str">
        <f t="shared" si="82"/>
        <v/>
      </c>
      <c r="O712" s="29" t="str">
        <f t="shared" si="77"/>
        <v/>
      </c>
      <c r="P712" s="61"/>
      <c r="Q712" s="61"/>
      <c r="R712" s="61"/>
      <c r="S712" s="45"/>
      <c r="T712" s="29" t="str">
        <f t="shared" si="78"/>
        <v/>
      </c>
    </row>
    <row r="713" spans="1:20">
      <c r="A713" s="10" t="str">
        <f t="shared" si="83"/>
        <v/>
      </c>
      <c r="B713" s="63"/>
      <c r="C713" s="25" t="str">
        <f t="shared" si="79"/>
        <v/>
      </c>
      <c r="D713" s="25" t="str">
        <f t="shared" si="80"/>
        <v/>
      </c>
      <c r="E713" s="45"/>
      <c r="F713" s="28" t="str">
        <f>IFERROR(VLOOKUP(E713,Category!$D$2:$E$600,2,FALSE),"")</f>
        <v/>
      </c>
      <c r="G713" s="65"/>
      <c r="H713" s="56"/>
      <c r="I713" s="66"/>
      <c r="J713" s="67"/>
      <c r="K713" s="67"/>
      <c r="L713" s="67"/>
      <c r="M713" s="29" t="str">
        <f t="shared" si="81"/>
        <v/>
      </c>
      <c r="N713" s="29" t="str">
        <f t="shared" si="82"/>
        <v/>
      </c>
      <c r="O713" s="29" t="str">
        <f t="shared" si="77"/>
        <v/>
      </c>
      <c r="P713" s="61"/>
      <c r="Q713" s="61"/>
      <c r="R713" s="61"/>
      <c r="S713" s="45"/>
      <c r="T713" s="29" t="str">
        <f t="shared" si="78"/>
        <v/>
      </c>
    </row>
    <row r="714" spans="1:20">
      <c r="A714" s="10" t="str">
        <f t="shared" si="83"/>
        <v/>
      </c>
      <c r="B714" s="63"/>
      <c r="C714" s="25" t="str">
        <f t="shared" si="79"/>
        <v/>
      </c>
      <c r="D714" s="25" t="str">
        <f t="shared" si="80"/>
        <v/>
      </c>
      <c r="E714" s="45"/>
      <c r="F714" s="28" t="str">
        <f>IFERROR(VLOOKUP(E714,Category!$D$2:$E$600,2,FALSE),"")</f>
        <v/>
      </c>
      <c r="G714" s="65"/>
      <c r="H714" s="56"/>
      <c r="I714" s="66"/>
      <c r="J714" s="67"/>
      <c r="K714" s="67"/>
      <c r="L714" s="67"/>
      <c r="M714" s="29" t="str">
        <f t="shared" si="81"/>
        <v/>
      </c>
      <c r="N714" s="29" t="str">
        <f t="shared" si="82"/>
        <v/>
      </c>
      <c r="O714" s="29" t="str">
        <f t="shared" si="77"/>
        <v/>
      </c>
      <c r="P714" s="61"/>
      <c r="Q714" s="61"/>
      <c r="R714" s="61"/>
      <c r="S714" s="45"/>
      <c r="T714" s="29" t="str">
        <f t="shared" si="78"/>
        <v/>
      </c>
    </row>
    <row r="715" spans="1:20">
      <c r="A715" s="10" t="str">
        <f t="shared" si="83"/>
        <v/>
      </c>
      <c r="B715" s="63"/>
      <c r="C715" s="25" t="str">
        <f t="shared" si="79"/>
        <v/>
      </c>
      <c r="D715" s="25" t="str">
        <f t="shared" si="80"/>
        <v/>
      </c>
      <c r="E715" s="45"/>
      <c r="F715" s="28" t="str">
        <f>IFERROR(VLOOKUP(E715,Category!$D$2:$E$600,2,FALSE),"")</f>
        <v/>
      </c>
      <c r="G715" s="65"/>
      <c r="H715" s="56"/>
      <c r="I715" s="66"/>
      <c r="J715" s="67"/>
      <c r="K715" s="67"/>
      <c r="L715" s="67"/>
      <c r="M715" s="29" t="str">
        <f t="shared" si="81"/>
        <v/>
      </c>
      <c r="N715" s="29" t="str">
        <f t="shared" si="82"/>
        <v/>
      </c>
      <c r="O715" s="29" t="str">
        <f t="shared" si="77"/>
        <v/>
      </c>
      <c r="P715" s="61"/>
      <c r="Q715" s="61"/>
      <c r="R715" s="61"/>
      <c r="S715" s="45"/>
      <c r="T715" s="29" t="str">
        <f t="shared" si="78"/>
        <v/>
      </c>
    </row>
    <row r="716" spans="1:20">
      <c r="A716" s="10" t="str">
        <f t="shared" si="83"/>
        <v/>
      </c>
      <c r="B716" s="63"/>
      <c r="C716" s="25" t="str">
        <f t="shared" si="79"/>
        <v/>
      </c>
      <c r="D716" s="25" t="str">
        <f t="shared" si="80"/>
        <v/>
      </c>
      <c r="E716" s="45"/>
      <c r="F716" s="28" t="str">
        <f>IFERROR(VLOOKUP(E716,Category!$D$2:$E$600,2,FALSE),"")</f>
        <v/>
      </c>
      <c r="G716" s="65"/>
      <c r="H716" s="56"/>
      <c r="I716" s="66"/>
      <c r="J716" s="67"/>
      <c r="K716" s="67"/>
      <c r="L716" s="67"/>
      <c r="M716" s="29" t="str">
        <f t="shared" si="81"/>
        <v/>
      </c>
      <c r="N716" s="29" t="str">
        <f t="shared" si="82"/>
        <v/>
      </c>
      <c r="O716" s="29" t="str">
        <f t="shared" si="77"/>
        <v/>
      </c>
      <c r="P716" s="61"/>
      <c r="Q716" s="61"/>
      <c r="R716" s="61"/>
      <c r="S716" s="45"/>
      <c r="T716" s="29" t="str">
        <f t="shared" si="78"/>
        <v/>
      </c>
    </row>
    <row r="717" spans="1:20">
      <c r="A717" s="10" t="str">
        <f t="shared" si="83"/>
        <v/>
      </c>
      <c r="B717" s="63"/>
      <c r="C717" s="25" t="str">
        <f t="shared" si="79"/>
        <v/>
      </c>
      <c r="D717" s="25" t="str">
        <f t="shared" si="80"/>
        <v/>
      </c>
      <c r="E717" s="45"/>
      <c r="F717" s="28" t="str">
        <f>IFERROR(VLOOKUP(E717,Category!$D$2:$E$600,2,FALSE),"")</f>
        <v/>
      </c>
      <c r="G717" s="65"/>
      <c r="H717" s="56"/>
      <c r="I717" s="66"/>
      <c r="J717" s="67"/>
      <c r="K717" s="67"/>
      <c r="L717" s="67"/>
      <c r="M717" s="29" t="str">
        <f t="shared" si="81"/>
        <v/>
      </c>
      <c r="N717" s="29" t="str">
        <f t="shared" si="82"/>
        <v/>
      </c>
      <c r="O717" s="29" t="str">
        <f t="shared" si="77"/>
        <v/>
      </c>
      <c r="P717" s="61"/>
      <c r="Q717" s="61"/>
      <c r="R717" s="61"/>
      <c r="S717" s="45"/>
      <c r="T717" s="29" t="str">
        <f t="shared" si="78"/>
        <v/>
      </c>
    </row>
    <row r="718" spans="1:20">
      <c r="A718" s="10" t="str">
        <f t="shared" si="83"/>
        <v/>
      </c>
      <c r="B718" s="63"/>
      <c r="C718" s="25" t="str">
        <f t="shared" si="79"/>
        <v/>
      </c>
      <c r="D718" s="25" t="str">
        <f t="shared" si="80"/>
        <v/>
      </c>
      <c r="E718" s="45"/>
      <c r="F718" s="28" t="str">
        <f>IFERROR(VLOOKUP(E718,Category!$D$2:$E$600,2,FALSE),"")</f>
        <v/>
      </c>
      <c r="G718" s="65"/>
      <c r="H718" s="56"/>
      <c r="I718" s="66"/>
      <c r="J718" s="67"/>
      <c r="K718" s="67"/>
      <c r="L718" s="67"/>
      <c r="M718" s="29" t="str">
        <f t="shared" si="81"/>
        <v/>
      </c>
      <c r="N718" s="29" t="str">
        <f t="shared" si="82"/>
        <v/>
      </c>
      <c r="O718" s="29" t="str">
        <f t="shared" si="77"/>
        <v/>
      </c>
      <c r="P718" s="61"/>
      <c r="Q718" s="61"/>
      <c r="R718" s="61"/>
      <c r="S718" s="45"/>
      <c r="T718" s="29" t="str">
        <f t="shared" si="78"/>
        <v/>
      </c>
    </row>
    <row r="719" spans="1:20">
      <c r="A719" s="10" t="str">
        <f t="shared" si="83"/>
        <v/>
      </c>
      <c r="B719" s="63"/>
      <c r="C719" s="25" t="str">
        <f t="shared" si="79"/>
        <v/>
      </c>
      <c r="D719" s="25" t="str">
        <f t="shared" si="80"/>
        <v/>
      </c>
      <c r="E719" s="45"/>
      <c r="F719" s="28" t="str">
        <f>IFERROR(VLOOKUP(E719,Category!$D$2:$E$600,2,FALSE),"")</f>
        <v/>
      </c>
      <c r="G719" s="65"/>
      <c r="H719" s="56"/>
      <c r="I719" s="66"/>
      <c r="J719" s="67"/>
      <c r="K719" s="67"/>
      <c r="L719" s="67"/>
      <c r="M719" s="29" t="str">
        <f t="shared" si="81"/>
        <v/>
      </c>
      <c r="N719" s="29" t="str">
        <f t="shared" si="82"/>
        <v/>
      </c>
      <c r="O719" s="29" t="str">
        <f t="shared" si="77"/>
        <v/>
      </c>
      <c r="P719" s="61"/>
      <c r="Q719" s="61"/>
      <c r="R719" s="61"/>
      <c r="S719" s="45"/>
      <c r="T719" s="29" t="str">
        <f t="shared" si="78"/>
        <v/>
      </c>
    </row>
    <row r="720" spans="1:20">
      <c r="A720" s="10" t="str">
        <f t="shared" si="83"/>
        <v/>
      </c>
      <c r="B720" s="63"/>
      <c r="C720" s="25" t="str">
        <f t="shared" si="79"/>
        <v/>
      </c>
      <c r="D720" s="25" t="str">
        <f t="shared" si="80"/>
        <v/>
      </c>
      <c r="E720" s="45"/>
      <c r="F720" s="28" t="str">
        <f>IFERROR(VLOOKUP(E720,Category!$D$2:$E$600,2,FALSE),"")</f>
        <v/>
      </c>
      <c r="G720" s="65"/>
      <c r="H720" s="56"/>
      <c r="I720" s="66"/>
      <c r="J720" s="67"/>
      <c r="K720" s="67"/>
      <c r="L720" s="67"/>
      <c r="M720" s="29" t="str">
        <f t="shared" si="81"/>
        <v/>
      </c>
      <c r="N720" s="29" t="str">
        <f t="shared" si="82"/>
        <v/>
      </c>
      <c r="O720" s="29" t="str">
        <f t="shared" si="77"/>
        <v/>
      </c>
      <c r="P720" s="61"/>
      <c r="Q720" s="61"/>
      <c r="R720" s="61"/>
      <c r="S720" s="45"/>
      <c r="T720" s="29" t="str">
        <f t="shared" si="78"/>
        <v/>
      </c>
    </row>
    <row r="721" spans="1:20">
      <c r="A721" s="10" t="str">
        <f t="shared" si="83"/>
        <v/>
      </c>
      <c r="B721" s="63"/>
      <c r="C721" s="25" t="str">
        <f t="shared" si="79"/>
        <v/>
      </c>
      <c r="D721" s="25" t="str">
        <f t="shared" si="80"/>
        <v/>
      </c>
      <c r="E721" s="45"/>
      <c r="F721" s="28" t="str">
        <f>IFERROR(VLOOKUP(E721,Category!$D$2:$E$600,2,FALSE),"")</f>
        <v/>
      </c>
      <c r="G721" s="65"/>
      <c r="H721" s="56"/>
      <c r="I721" s="66"/>
      <c r="J721" s="67"/>
      <c r="K721" s="67"/>
      <c r="L721" s="67"/>
      <c r="M721" s="29" t="str">
        <f t="shared" si="81"/>
        <v/>
      </c>
      <c r="N721" s="29" t="str">
        <f t="shared" si="82"/>
        <v/>
      </c>
      <c r="O721" s="29" t="str">
        <f t="shared" si="77"/>
        <v/>
      </c>
      <c r="P721" s="61"/>
      <c r="Q721" s="61"/>
      <c r="R721" s="61"/>
      <c r="S721" s="45"/>
      <c r="T721" s="29" t="str">
        <f t="shared" si="78"/>
        <v/>
      </c>
    </row>
    <row r="722" spans="1:20">
      <c r="A722" s="10" t="str">
        <f t="shared" si="83"/>
        <v/>
      </c>
      <c r="B722" s="63"/>
      <c r="C722" s="25" t="str">
        <f t="shared" si="79"/>
        <v/>
      </c>
      <c r="D722" s="25" t="str">
        <f t="shared" si="80"/>
        <v/>
      </c>
      <c r="E722" s="45"/>
      <c r="F722" s="28" t="str">
        <f>IFERROR(VLOOKUP(E722,Category!$D$2:$E$600,2,FALSE),"")</f>
        <v/>
      </c>
      <c r="G722" s="65"/>
      <c r="H722" s="56"/>
      <c r="I722" s="66"/>
      <c r="J722" s="67"/>
      <c r="K722" s="67"/>
      <c r="L722" s="67"/>
      <c r="M722" s="29" t="str">
        <f t="shared" si="81"/>
        <v/>
      </c>
      <c r="N722" s="29" t="str">
        <f t="shared" si="82"/>
        <v/>
      </c>
      <c r="O722" s="29" t="str">
        <f t="shared" si="77"/>
        <v/>
      </c>
      <c r="P722" s="61"/>
      <c r="Q722" s="61"/>
      <c r="R722" s="61"/>
      <c r="S722" s="45"/>
      <c r="T722" s="29" t="str">
        <f t="shared" si="78"/>
        <v/>
      </c>
    </row>
    <row r="723" spans="1:20">
      <c r="A723" s="10" t="str">
        <f t="shared" si="83"/>
        <v/>
      </c>
      <c r="B723" s="63"/>
      <c r="C723" s="25" t="str">
        <f t="shared" si="79"/>
        <v/>
      </c>
      <c r="D723" s="25" t="str">
        <f t="shared" si="80"/>
        <v/>
      </c>
      <c r="E723" s="45"/>
      <c r="F723" s="28" t="str">
        <f>IFERROR(VLOOKUP(E723,Category!$D$2:$E$600,2,FALSE),"")</f>
        <v/>
      </c>
      <c r="G723" s="65"/>
      <c r="H723" s="56"/>
      <c r="I723" s="66"/>
      <c r="J723" s="67"/>
      <c r="K723" s="67"/>
      <c r="L723" s="67"/>
      <c r="M723" s="29" t="str">
        <f t="shared" si="81"/>
        <v/>
      </c>
      <c r="N723" s="29" t="str">
        <f t="shared" si="82"/>
        <v/>
      </c>
      <c r="O723" s="29" t="str">
        <f t="shared" si="77"/>
        <v/>
      </c>
      <c r="P723" s="61"/>
      <c r="Q723" s="61"/>
      <c r="R723" s="61"/>
      <c r="S723" s="45"/>
      <c r="T723" s="29" t="str">
        <f t="shared" si="78"/>
        <v/>
      </c>
    </row>
    <row r="724" spans="1:20">
      <c r="A724" s="10" t="str">
        <f t="shared" si="83"/>
        <v/>
      </c>
      <c r="B724" s="63"/>
      <c r="C724" s="25" t="str">
        <f t="shared" si="79"/>
        <v/>
      </c>
      <c r="D724" s="25" t="str">
        <f t="shared" si="80"/>
        <v/>
      </c>
      <c r="E724" s="45"/>
      <c r="F724" s="28" t="str">
        <f>IFERROR(VLOOKUP(E724,Category!$D$2:$E$600,2,FALSE),"")</f>
        <v/>
      </c>
      <c r="G724" s="65"/>
      <c r="H724" s="56"/>
      <c r="I724" s="66"/>
      <c r="J724" s="67"/>
      <c r="K724" s="67"/>
      <c r="L724" s="67"/>
      <c r="M724" s="29" t="str">
        <f t="shared" si="81"/>
        <v/>
      </c>
      <c r="N724" s="29" t="str">
        <f t="shared" si="82"/>
        <v/>
      </c>
      <c r="O724" s="29" t="str">
        <f t="shared" si="77"/>
        <v/>
      </c>
      <c r="P724" s="61"/>
      <c r="Q724" s="61"/>
      <c r="R724" s="61"/>
      <c r="S724" s="45"/>
      <c r="T724" s="29" t="str">
        <f t="shared" si="78"/>
        <v/>
      </c>
    </row>
    <row r="725" spans="1:20">
      <c r="A725" s="10" t="str">
        <f t="shared" si="83"/>
        <v/>
      </c>
      <c r="B725" s="63"/>
      <c r="C725" s="25" t="str">
        <f t="shared" si="79"/>
        <v/>
      </c>
      <c r="D725" s="25" t="str">
        <f t="shared" si="80"/>
        <v/>
      </c>
      <c r="E725" s="45"/>
      <c r="F725" s="28" t="str">
        <f>IFERROR(VLOOKUP(E725,Category!$D$2:$E$600,2,FALSE),"")</f>
        <v/>
      </c>
      <c r="G725" s="65"/>
      <c r="H725" s="56"/>
      <c r="I725" s="66"/>
      <c r="J725" s="67"/>
      <c r="K725" s="67"/>
      <c r="L725" s="67"/>
      <c r="M725" s="29" t="str">
        <f t="shared" si="81"/>
        <v/>
      </c>
      <c r="N725" s="29" t="str">
        <f t="shared" si="82"/>
        <v/>
      </c>
      <c r="O725" s="29" t="str">
        <f t="shared" si="77"/>
        <v/>
      </c>
      <c r="P725" s="61"/>
      <c r="Q725" s="61"/>
      <c r="R725" s="61"/>
      <c r="S725" s="45"/>
      <c r="T725" s="29" t="str">
        <f t="shared" si="78"/>
        <v/>
      </c>
    </row>
    <row r="726" spans="1:20">
      <c r="A726" s="10" t="str">
        <f t="shared" si="83"/>
        <v/>
      </c>
      <c r="B726" s="63"/>
      <c r="C726" s="25" t="str">
        <f t="shared" si="79"/>
        <v/>
      </c>
      <c r="D726" s="25" t="str">
        <f t="shared" si="80"/>
        <v/>
      </c>
      <c r="E726" s="45"/>
      <c r="F726" s="28" t="str">
        <f>IFERROR(VLOOKUP(E726,Category!$D$2:$E$600,2,FALSE),"")</f>
        <v/>
      </c>
      <c r="G726" s="65"/>
      <c r="H726" s="56"/>
      <c r="I726" s="66"/>
      <c r="J726" s="67"/>
      <c r="K726" s="67"/>
      <c r="L726" s="67"/>
      <c r="M726" s="29" t="str">
        <f t="shared" si="81"/>
        <v/>
      </c>
      <c r="N726" s="29" t="str">
        <f t="shared" si="82"/>
        <v/>
      </c>
      <c r="O726" s="29" t="str">
        <f t="shared" si="77"/>
        <v/>
      </c>
      <c r="P726" s="61"/>
      <c r="Q726" s="61"/>
      <c r="R726" s="61"/>
      <c r="S726" s="45"/>
      <c r="T726" s="29" t="str">
        <f t="shared" si="78"/>
        <v/>
      </c>
    </row>
    <row r="727" spans="1:20">
      <c r="A727" s="10" t="str">
        <f t="shared" si="83"/>
        <v/>
      </c>
      <c r="B727" s="63"/>
      <c r="C727" s="25" t="str">
        <f t="shared" si="79"/>
        <v/>
      </c>
      <c r="D727" s="25" t="str">
        <f t="shared" si="80"/>
        <v/>
      </c>
      <c r="E727" s="45"/>
      <c r="F727" s="28" t="str">
        <f>IFERROR(VLOOKUP(E727,Category!$D$2:$E$600,2,FALSE),"")</f>
        <v/>
      </c>
      <c r="G727" s="65"/>
      <c r="H727" s="56"/>
      <c r="I727" s="66"/>
      <c r="J727" s="67"/>
      <c r="K727" s="67"/>
      <c r="L727" s="67"/>
      <c r="M727" s="29" t="str">
        <f t="shared" si="81"/>
        <v/>
      </c>
      <c r="N727" s="29" t="str">
        <f t="shared" si="82"/>
        <v/>
      </c>
      <c r="O727" s="29" t="str">
        <f t="shared" si="77"/>
        <v/>
      </c>
      <c r="P727" s="61"/>
      <c r="Q727" s="61"/>
      <c r="R727" s="61"/>
      <c r="S727" s="45"/>
      <c r="T727" s="29" t="str">
        <f t="shared" si="78"/>
        <v/>
      </c>
    </row>
    <row r="728" spans="1:20">
      <c r="A728" s="10" t="str">
        <f t="shared" si="83"/>
        <v/>
      </c>
      <c r="B728" s="63"/>
      <c r="C728" s="25" t="str">
        <f t="shared" si="79"/>
        <v/>
      </c>
      <c r="D728" s="25" t="str">
        <f t="shared" si="80"/>
        <v/>
      </c>
      <c r="E728" s="45"/>
      <c r="F728" s="28" t="str">
        <f>IFERROR(VLOOKUP(E728,Category!$D$2:$E$600,2,FALSE),"")</f>
        <v/>
      </c>
      <c r="G728" s="65"/>
      <c r="H728" s="56"/>
      <c r="I728" s="66"/>
      <c r="J728" s="67"/>
      <c r="K728" s="67"/>
      <c r="L728" s="67"/>
      <c r="M728" s="29" t="str">
        <f t="shared" si="81"/>
        <v/>
      </c>
      <c r="N728" s="29" t="str">
        <f t="shared" si="82"/>
        <v/>
      </c>
      <c r="O728" s="29" t="str">
        <f t="shared" si="77"/>
        <v/>
      </c>
      <c r="P728" s="61"/>
      <c r="Q728" s="61"/>
      <c r="R728" s="61"/>
      <c r="S728" s="45"/>
      <c r="T728" s="29" t="str">
        <f t="shared" si="78"/>
        <v/>
      </c>
    </row>
    <row r="729" spans="1:20">
      <c r="A729" s="10" t="str">
        <f t="shared" si="83"/>
        <v/>
      </c>
      <c r="B729" s="63"/>
      <c r="C729" s="25" t="str">
        <f t="shared" si="79"/>
        <v/>
      </c>
      <c r="D729" s="25" t="str">
        <f t="shared" si="80"/>
        <v/>
      </c>
      <c r="E729" s="45"/>
      <c r="F729" s="28" t="str">
        <f>IFERROR(VLOOKUP(E729,Category!$D$2:$E$600,2,FALSE),"")</f>
        <v/>
      </c>
      <c r="G729" s="65"/>
      <c r="H729" s="56"/>
      <c r="I729" s="66"/>
      <c r="J729" s="67"/>
      <c r="K729" s="67"/>
      <c r="L729" s="67"/>
      <c r="M729" s="29" t="str">
        <f t="shared" si="81"/>
        <v/>
      </c>
      <c r="N729" s="29" t="str">
        <f t="shared" si="82"/>
        <v/>
      </c>
      <c r="O729" s="29" t="str">
        <f t="shared" si="77"/>
        <v/>
      </c>
      <c r="P729" s="61"/>
      <c r="Q729" s="61"/>
      <c r="R729" s="61"/>
      <c r="S729" s="45"/>
      <c r="T729" s="29" t="str">
        <f t="shared" si="78"/>
        <v/>
      </c>
    </row>
    <row r="730" spans="1:20">
      <c r="A730" s="10" t="str">
        <f t="shared" si="83"/>
        <v/>
      </c>
      <c r="B730" s="63"/>
      <c r="C730" s="25" t="str">
        <f t="shared" si="79"/>
        <v/>
      </c>
      <c r="D730" s="25" t="str">
        <f t="shared" si="80"/>
        <v/>
      </c>
      <c r="E730" s="45"/>
      <c r="F730" s="28" t="str">
        <f>IFERROR(VLOOKUP(E730,Category!$D$2:$E$600,2,FALSE),"")</f>
        <v/>
      </c>
      <c r="G730" s="65"/>
      <c r="H730" s="56"/>
      <c r="I730" s="66"/>
      <c r="J730" s="67"/>
      <c r="K730" s="67"/>
      <c r="L730" s="67"/>
      <c r="M730" s="29" t="str">
        <f t="shared" si="81"/>
        <v/>
      </c>
      <c r="N730" s="29" t="str">
        <f t="shared" si="82"/>
        <v/>
      </c>
      <c r="O730" s="29" t="str">
        <f t="shared" si="77"/>
        <v/>
      </c>
      <c r="P730" s="61"/>
      <c r="Q730" s="61"/>
      <c r="R730" s="61"/>
      <c r="S730" s="45"/>
      <c r="T730" s="29" t="str">
        <f t="shared" si="78"/>
        <v/>
      </c>
    </row>
    <row r="731" spans="1:20">
      <c r="A731" s="10" t="str">
        <f t="shared" si="83"/>
        <v/>
      </c>
      <c r="B731" s="63"/>
      <c r="C731" s="25" t="str">
        <f t="shared" si="79"/>
        <v/>
      </c>
      <c r="D731" s="25" t="str">
        <f t="shared" si="80"/>
        <v/>
      </c>
      <c r="E731" s="45"/>
      <c r="F731" s="28" t="str">
        <f>IFERROR(VLOOKUP(E731,Category!$D$2:$E$600,2,FALSE),"")</f>
        <v/>
      </c>
      <c r="G731" s="65"/>
      <c r="H731" s="56"/>
      <c r="I731" s="66"/>
      <c r="J731" s="67"/>
      <c r="K731" s="67"/>
      <c r="L731" s="67"/>
      <c r="M731" s="29" t="str">
        <f t="shared" si="81"/>
        <v/>
      </c>
      <c r="N731" s="29" t="str">
        <f t="shared" si="82"/>
        <v/>
      </c>
      <c r="O731" s="29" t="str">
        <f t="shared" si="77"/>
        <v/>
      </c>
      <c r="P731" s="61"/>
      <c r="Q731" s="61"/>
      <c r="R731" s="61"/>
      <c r="S731" s="45"/>
      <c r="T731" s="29" t="str">
        <f t="shared" si="78"/>
        <v/>
      </c>
    </row>
    <row r="732" spans="1:20">
      <c r="A732" s="10" t="str">
        <f t="shared" si="83"/>
        <v/>
      </c>
      <c r="B732" s="63"/>
      <c r="C732" s="25" t="str">
        <f t="shared" si="79"/>
        <v/>
      </c>
      <c r="D732" s="25" t="str">
        <f t="shared" si="80"/>
        <v/>
      </c>
      <c r="E732" s="45"/>
      <c r="F732" s="28" t="str">
        <f>IFERROR(VLOOKUP(E732,Category!$D$2:$E$600,2,FALSE),"")</f>
        <v/>
      </c>
      <c r="G732" s="65"/>
      <c r="H732" s="56"/>
      <c r="I732" s="66"/>
      <c r="J732" s="67"/>
      <c r="K732" s="67"/>
      <c r="L732" s="67"/>
      <c r="M732" s="29" t="str">
        <f t="shared" si="81"/>
        <v/>
      </c>
      <c r="N732" s="29" t="str">
        <f t="shared" si="82"/>
        <v/>
      </c>
      <c r="O732" s="29" t="str">
        <f t="shared" si="77"/>
        <v/>
      </c>
      <c r="P732" s="61"/>
      <c r="Q732" s="61"/>
      <c r="R732" s="61"/>
      <c r="S732" s="45"/>
      <c r="T732" s="29" t="str">
        <f t="shared" si="78"/>
        <v/>
      </c>
    </row>
    <row r="733" spans="1:20">
      <c r="A733" s="10" t="str">
        <f t="shared" si="83"/>
        <v/>
      </c>
      <c r="B733" s="63"/>
      <c r="C733" s="25" t="str">
        <f t="shared" si="79"/>
        <v/>
      </c>
      <c r="D733" s="25" t="str">
        <f t="shared" si="80"/>
        <v/>
      </c>
      <c r="E733" s="45"/>
      <c r="F733" s="28" t="str">
        <f>IFERROR(VLOOKUP(E733,Category!$D$2:$E$600,2,FALSE),"")</f>
        <v/>
      </c>
      <c r="G733" s="65"/>
      <c r="H733" s="56"/>
      <c r="I733" s="66"/>
      <c r="J733" s="67"/>
      <c r="K733" s="67"/>
      <c r="L733" s="67"/>
      <c r="M733" s="29" t="str">
        <f t="shared" si="81"/>
        <v/>
      </c>
      <c r="N733" s="29" t="str">
        <f t="shared" si="82"/>
        <v/>
      </c>
      <c r="O733" s="29" t="str">
        <f t="shared" si="77"/>
        <v/>
      </c>
      <c r="P733" s="61"/>
      <c r="Q733" s="61"/>
      <c r="R733" s="61"/>
      <c r="S733" s="45"/>
      <c r="T733" s="29" t="str">
        <f t="shared" si="78"/>
        <v/>
      </c>
    </row>
    <row r="734" spans="1:20">
      <c r="A734" s="10" t="str">
        <f t="shared" si="83"/>
        <v/>
      </c>
      <c r="B734" s="63"/>
      <c r="C734" s="25" t="str">
        <f t="shared" si="79"/>
        <v/>
      </c>
      <c r="D734" s="25" t="str">
        <f t="shared" si="80"/>
        <v/>
      </c>
      <c r="E734" s="45"/>
      <c r="F734" s="28" t="str">
        <f>IFERROR(VLOOKUP(E734,Category!$D$2:$E$600,2,FALSE),"")</f>
        <v/>
      </c>
      <c r="G734" s="65"/>
      <c r="H734" s="56"/>
      <c r="I734" s="66"/>
      <c r="J734" s="67"/>
      <c r="K734" s="67"/>
      <c r="L734" s="67"/>
      <c r="M734" s="29" t="str">
        <f t="shared" si="81"/>
        <v/>
      </c>
      <c r="N734" s="29" t="str">
        <f t="shared" si="82"/>
        <v/>
      </c>
      <c r="O734" s="29" t="str">
        <f t="shared" si="77"/>
        <v/>
      </c>
      <c r="P734" s="61"/>
      <c r="Q734" s="61"/>
      <c r="R734" s="61"/>
      <c r="S734" s="45"/>
      <c r="T734" s="29" t="str">
        <f t="shared" si="78"/>
        <v/>
      </c>
    </row>
    <row r="735" spans="1:20">
      <c r="A735" s="10" t="str">
        <f t="shared" si="83"/>
        <v/>
      </c>
      <c r="B735" s="63"/>
      <c r="C735" s="25" t="str">
        <f t="shared" si="79"/>
        <v/>
      </c>
      <c r="D735" s="25" t="str">
        <f t="shared" si="80"/>
        <v/>
      </c>
      <c r="E735" s="45"/>
      <c r="F735" s="28" t="str">
        <f>IFERROR(VLOOKUP(E735,Category!$D$2:$E$600,2,FALSE),"")</f>
        <v/>
      </c>
      <c r="G735" s="65"/>
      <c r="H735" s="56"/>
      <c r="I735" s="66"/>
      <c r="J735" s="67"/>
      <c r="K735" s="67"/>
      <c r="L735" s="67"/>
      <c r="M735" s="29" t="str">
        <f t="shared" si="81"/>
        <v/>
      </c>
      <c r="N735" s="29" t="str">
        <f t="shared" si="82"/>
        <v/>
      </c>
      <c r="O735" s="29" t="str">
        <f t="shared" si="77"/>
        <v/>
      </c>
      <c r="P735" s="61"/>
      <c r="Q735" s="61"/>
      <c r="R735" s="61"/>
      <c r="S735" s="45"/>
      <c r="T735" s="29" t="str">
        <f t="shared" si="78"/>
        <v/>
      </c>
    </row>
    <row r="736" spans="1:20">
      <c r="A736" s="10" t="str">
        <f t="shared" si="83"/>
        <v/>
      </c>
      <c r="B736" s="63"/>
      <c r="C736" s="25" t="str">
        <f t="shared" si="79"/>
        <v/>
      </c>
      <c r="D736" s="25" t="str">
        <f t="shared" si="80"/>
        <v/>
      </c>
      <c r="E736" s="45"/>
      <c r="F736" s="28" t="str">
        <f>IFERROR(VLOOKUP(E736,Category!$D$2:$E$600,2,FALSE),"")</f>
        <v/>
      </c>
      <c r="G736" s="65"/>
      <c r="H736" s="56"/>
      <c r="I736" s="66"/>
      <c r="J736" s="67"/>
      <c r="K736" s="67"/>
      <c r="L736" s="67"/>
      <c r="M736" s="29" t="str">
        <f t="shared" si="81"/>
        <v/>
      </c>
      <c r="N736" s="29" t="str">
        <f t="shared" si="82"/>
        <v/>
      </c>
      <c r="O736" s="29" t="str">
        <f t="shared" si="77"/>
        <v/>
      </c>
      <c r="P736" s="61"/>
      <c r="Q736" s="61"/>
      <c r="R736" s="61"/>
      <c r="S736" s="45"/>
      <c r="T736" s="29" t="str">
        <f t="shared" si="78"/>
        <v/>
      </c>
    </row>
    <row r="737" spans="1:20">
      <c r="A737" s="10" t="str">
        <f t="shared" si="83"/>
        <v/>
      </c>
      <c r="B737" s="63"/>
      <c r="C737" s="25" t="str">
        <f t="shared" si="79"/>
        <v/>
      </c>
      <c r="D737" s="25" t="str">
        <f t="shared" si="80"/>
        <v/>
      </c>
      <c r="E737" s="45"/>
      <c r="F737" s="28" t="str">
        <f>IFERROR(VLOOKUP(E737,Category!$D$2:$E$600,2,FALSE),"")</f>
        <v/>
      </c>
      <c r="G737" s="65"/>
      <c r="H737" s="56"/>
      <c r="I737" s="66"/>
      <c r="J737" s="67"/>
      <c r="K737" s="67"/>
      <c r="L737" s="67"/>
      <c r="M737" s="29" t="str">
        <f t="shared" si="81"/>
        <v/>
      </c>
      <c r="N737" s="29" t="str">
        <f t="shared" si="82"/>
        <v/>
      </c>
      <c r="O737" s="29" t="str">
        <f t="shared" si="77"/>
        <v/>
      </c>
      <c r="P737" s="61"/>
      <c r="Q737" s="61"/>
      <c r="R737" s="61"/>
      <c r="S737" s="45"/>
      <c r="T737" s="29" t="str">
        <f t="shared" si="78"/>
        <v/>
      </c>
    </row>
    <row r="738" spans="1:20">
      <c r="A738" s="10" t="str">
        <f t="shared" si="83"/>
        <v/>
      </c>
      <c r="B738" s="63"/>
      <c r="C738" s="25" t="str">
        <f t="shared" si="79"/>
        <v/>
      </c>
      <c r="D738" s="25" t="str">
        <f t="shared" si="80"/>
        <v/>
      </c>
      <c r="E738" s="45"/>
      <c r="F738" s="28" t="str">
        <f>IFERROR(VLOOKUP(E738,Category!$D$2:$E$600,2,FALSE),"")</f>
        <v/>
      </c>
      <c r="G738" s="65"/>
      <c r="H738" s="56"/>
      <c r="I738" s="66"/>
      <c r="J738" s="67"/>
      <c r="K738" s="67"/>
      <c r="L738" s="67"/>
      <c r="M738" s="29" t="str">
        <f t="shared" si="81"/>
        <v/>
      </c>
      <c r="N738" s="29" t="str">
        <f t="shared" si="82"/>
        <v/>
      </c>
      <c r="O738" s="29" t="str">
        <f t="shared" si="77"/>
        <v/>
      </c>
      <c r="P738" s="61"/>
      <c r="Q738" s="61"/>
      <c r="R738" s="61"/>
      <c r="S738" s="45"/>
      <c r="T738" s="29" t="str">
        <f t="shared" si="78"/>
        <v/>
      </c>
    </row>
    <row r="739" spans="1:20">
      <c r="A739" s="10" t="str">
        <f t="shared" si="83"/>
        <v/>
      </c>
      <c r="B739" s="63"/>
      <c r="C739" s="25" t="str">
        <f t="shared" si="79"/>
        <v/>
      </c>
      <c r="D739" s="25" t="str">
        <f t="shared" si="80"/>
        <v/>
      </c>
      <c r="E739" s="45"/>
      <c r="F739" s="28" t="str">
        <f>IFERROR(VLOOKUP(E739,Category!$D$2:$E$600,2,FALSE),"")</f>
        <v/>
      </c>
      <c r="G739" s="65"/>
      <c r="H739" s="56"/>
      <c r="I739" s="66"/>
      <c r="J739" s="67"/>
      <c r="K739" s="67"/>
      <c r="L739" s="67"/>
      <c r="M739" s="29" t="str">
        <f t="shared" si="81"/>
        <v/>
      </c>
      <c r="N739" s="29" t="str">
        <f t="shared" si="82"/>
        <v/>
      </c>
      <c r="O739" s="29" t="str">
        <f t="shared" si="77"/>
        <v/>
      </c>
      <c r="P739" s="61"/>
      <c r="Q739" s="61"/>
      <c r="R739" s="61"/>
      <c r="S739" s="45"/>
      <c r="T739" s="29" t="str">
        <f t="shared" si="78"/>
        <v/>
      </c>
    </row>
    <row r="740" spans="1:20">
      <c r="A740" s="10" t="str">
        <f t="shared" si="83"/>
        <v/>
      </c>
      <c r="B740" s="63"/>
      <c r="C740" s="25" t="str">
        <f t="shared" si="79"/>
        <v/>
      </c>
      <c r="D740" s="25" t="str">
        <f t="shared" si="80"/>
        <v/>
      </c>
      <c r="E740" s="45"/>
      <c r="F740" s="28" t="str">
        <f>IFERROR(VLOOKUP(E740,Category!$D$2:$E$600,2,FALSE),"")</f>
        <v/>
      </c>
      <c r="G740" s="65"/>
      <c r="H740" s="56"/>
      <c r="I740" s="66"/>
      <c r="J740" s="67"/>
      <c r="K740" s="67"/>
      <c r="L740" s="67"/>
      <c r="M740" s="29" t="str">
        <f t="shared" si="81"/>
        <v/>
      </c>
      <c r="N740" s="29" t="str">
        <f t="shared" si="82"/>
        <v/>
      </c>
      <c r="O740" s="29" t="str">
        <f t="shared" si="77"/>
        <v/>
      </c>
      <c r="P740" s="61"/>
      <c r="Q740" s="61"/>
      <c r="R740" s="61"/>
      <c r="S740" s="45"/>
      <c r="T740" s="29" t="str">
        <f t="shared" si="78"/>
        <v/>
      </c>
    </row>
    <row r="741" spans="1:20">
      <c r="A741" s="10" t="str">
        <f t="shared" si="83"/>
        <v/>
      </c>
      <c r="B741" s="63"/>
      <c r="C741" s="25" t="str">
        <f t="shared" si="79"/>
        <v/>
      </c>
      <c r="D741" s="25" t="str">
        <f t="shared" si="80"/>
        <v/>
      </c>
      <c r="E741" s="45"/>
      <c r="F741" s="28" t="str">
        <f>IFERROR(VLOOKUP(E741,Category!$D$2:$E$600,2,FALSE),"")</f>
        <v/>
      </c>
      <c r="G741" s="65"/>
      <c r="H741" s="56"/>
      <c r="I741" s="66"/>
      <c r="J741" s="67"/>
      <c r="K741" s="67"/>
      <c r="L741" s="67"/>
      <c r="M741" s="29" t="str">
        <f t="shared" si="81"/>
        <v/>
      </c>
      <c r="N741" s="29" t="str">
        <f t="shared" si="82"/>
        <v/>
      </c>
      <c r="O741" s="29" t="str">
        <f t="shared" si="77"/>
        <v/>
      </c>
      <c r="P741" s="61"/>
      <c r="Q741" s="61"/>
      <c r="R741" s="61"/>
      <c r="S741" s="45"/>
      <c r="T741" s="29" t="str">
        <f t="shared" si="78"/>
        <v/>
      </c>
    </row>
    <row r="742" spans="1:20">
      <c r="A742" s="10" t="str">
        <f t="shared" si="83"/>
        <v/>
      </c>
      <c r="B742" s="63"/>
      <c r="C742" s="25" t="str">
        <f t="shared" si="79"/>
        <v/>
      </c>
      <c r="D742" s="25" t="str">
        <f t="shared" si="80"/>
        <v/>
      </c>
      <c r="E742" s="45"/>
      <c r="F742" s="28" t="str">
        <f>IFERROR(VLOOKUP(E742,Category!$D$2:$E$600,2,FALSE),"")</f>
        <v/>
      </c>
      <c r="G742" s="65"/>
      <c r="H742" s="56"/>
      <c r="I742" s="66"/>
      <c r="J742" s="67"/>
      <c r="K742" s="67"/>
      <c r="L742" s="67"/>
      <c r="M742" s="29" t="str">
        <f t="shared" si="81"/>
        <v/>
      </c>
      <c r="N742" s="29" t="str">
        <f t="shared" si="82"/>
        <v/>
      </c>
      <c r="O742" s="29" t="str">
        <f t="shared" si="77"/>
        <v/>
      </c>
      <c r="P742" s="61"/>
      <c r="Q742" s="61"/>
      <c r="R742" s="61"/>
      <c r="S742" s="45"/>
      <c r="T742" s="29" t="str">
        <f t="shared" si="78"/>
        <v/>
      </c>
    </row>
    <row r="743" spans="1:20">
      <c r="A743" s="10" t="str">
        <f t="shared" si="83"/>
        <v/>
      </c>
      <c r="B743" s="63"/>
      <c r="C743" s="25" t="str">
        <f t="shared" si="79"/>
        <v/>
      </c>
      <c r="D743" s="25" t="str">
        <f t="shared" si="80"/>
        <v/>
      </c>
      <c r="E743" s="45"/>
      <c r="F743" s="28" t="str">
        <f>IFERROR(VLOOKUP(E743,Category!$D$2:$E$600,2,FALSE),"")</f>
        <v/>
      </c>
      <c r="G743" s="65"/>
      <c r="H743" s="56"/>
      <c r="I743" s="66"/>
      <c r="J743" s="67"/>
      <c r="K743" s="67"/>
      <c r="L743" s="67"/>
      <c r="M743" s="29" t="str">
        <f t="shared" si="81"/>
        <v/>
      </c>
      <c r="N743" s="29" t="str">
        <f t="shared" si="82"/>
        <v/>
      </c>
      <c r="O743" s="29" t="str">
        <f t="shared" si="77"/>
        <v/>
      </c>
      <c r="P743" s="61"/>
      <c r="Q743" s="61"/>
      <c r="R743" s="61"/>
      <c r="S743" s="45"/>
      <c r="T743" s="29" t="str">
        <f t="shared" si="78"/>
        <v/>
      </c>
    </row>
    <row r="744" spans="1:20">
      <c r="A744" s="10" t="str">
        <f t="shared" si="83"/>
        <v/>
      </c>
      <c r="B744" s="63"/>
      <c r="C744" s="25" t="str">
        <f t="shared" si="79"/>
        <v/>
      </c>
      <c r="D744" s="25" t="str">
        <f t="shared" si="80"/>
        <v/>
      </c>
      <c r="E744" s="45"/>
      <c r="F744" s="28" t="str">
        <f>IFERROR(VLOOKUP(E744,Category!$D$2:$E$600,2,FALSE),"")</f>
        <v/>
      </c>
      <c r="G744" s="65"/>
      <c r="H744" s="56"/>
      <c r="I744" s="66"/>
      <c r="J744" s="67"/>
      <c r="K744" s="67"/>
      <c r="L744" s="67"/>
      <c r="M744" s="29" t="str">
        <f t="shared" si="81"/>
        <v/>
      </c>
      <c r="N744" s="29" t="str">
        <f t="shared" si="82"/>
        <v/>
      </c>
      <c r="O744" s="29" t="str">
        <f t="shared" si="77"/>
        <v/>
      </c>
      <c r="P744" s="61"/>
      <c r="Q744" s="61"/>
      <c r="R744" s="61"/>
      <c r="S744" s="45"/>
      <c r="T744" s="29" t="str">
        <f t="shared" si="78"/>
        <v/>
      </c>
    </row>
    <row r="745" spans="1:20">
      <c r="A745" s="10" t="str">
        <f t="shared" si="83"/>
        <v/>
      </c>
      <c r="B745" s="63"/>
      <c r="C745" s="25" t="str">
        <f t="shared" si="79"/>
        <v/>
      </c>
      <c r="D745" s="25" t="str">
        <f t="shared" si="80"/>
        <v/>
      </c>
      <c r="E745" s="45"/>
      <c r="F745" s="28" t="str">
        <f>IFERROR(VLOOKUP(E745,Category!$D$2:$E$600,2,FALSE),"")</f>
        <v/>
      </c>
      <c r="G745" s="65"/>
      <c r="H745" s="56"/>
      <c r="I745" s="66"/>
      <c r="J745" s="67"/>
      <c r="K745" s="67"/>
      <c r="L745" s="67"/>
      <c r="M745" s="29" t="str">
        <f t="shared" si="81"/>
        <v/>
      </c>
      <c r="N745" s="29" t="str">
        <f t="shared" si="82"/>
        <v/>
      </c>
      <c r="O745" s="29" t="str">
        <f t="shared" si="77"/>
        <v/>
      </c>
      <c r="P745" s="61"/>
      <c r="Q745" s="61"/>
      <c r="R745" s="61"/>
      <c r="S745" s="45"/>
      <c r="T745" s="29" t="str">
        <f t="shared" si="78"/>
        <v/>
      </c>
    </row>
    <row r="746" spans="1:20">
      <c r="A746" s="10" t="str">
        <f t="shared" si="83"/>
        <v/>
      </c>
      <c r="B746" s="63"/>
      <c r="C746" s="25" t="str">
        <f t="shared" si="79"/>
        <v/>
      </c>
      <c r="D746" s="25" t="str">
        <f t="shared" si="80"/>
        <v/>
      </c>
      <c r="E746" s="45"/>
      <c r="F746" s="28" t="str">
        <f>IFERROR(VLOOKUP(E746,Category!$D$2:$E$600,2,FALSE),"")</f>
        <v/>
      </c>
      <c r="G746" s="65"/>
      <c r="H746" s="56"/>
      <c r="I746" s="66"/>
      <c r="J746" s="67"/>
      <c r="K746" s="67"/>
      <c r="L746" s="67"/>
      <c r="M746" s="29" t="str">
        <f t="shared" si="81"/>
        <v/>
      </c>
      <c r="N746" s="29" t="str">
        <f t="shared" si="82"/>
        <v/>
      </c>
      <c r="O746" s="29" t="str">
        <f t="shared" si="77"/>
        <v/>
      </c>
      <c r="P746" s="61"/>
      <c r="Q746" s="61"/>
      <c r="R746" s="61"/>
      <c r="S746" s="45"/>
      <c r="T746" s="29" t="str">
        <f t="shared" si="78"/>
        <v/>
      </c>
    </row>
    <row r="747" spans="1:20">
      <c r="A747" s="10" t="str">
        <f t="shared" si="83"/>
        <v/>
      </c>
      <c r="B747" s="63"/>
      <c r="C747" s="25" t="str">
        <f t="shared" si="79"/>
        <v/>
      </c>
      <c r="D747" s="25" t="str">
        <f t="shared" si="80"/>
        <v/>
      </c>
      <c r="E747" s="45"/>
      <c r="F747" s="28" t="str">
        <f>IFERROR(VLOOKUP(E747,Category!$D$2:$E$600,2,FALSE),"")</f>
        <v/>
      </c>
      <c r="G747" s="65"/>
      <c r="H747" s="56"/>
      <c r="I747" s="66"/>
      <c r="J747" s="67"/>
      <c r="K747" s="67"/>
      <c r="L747" s="67"/>
      <c r="M747" s="29" t="str">
        <f t="shared" si="81"/>
        <v/>
      </c>
      <c r="N747" s="29" t="str">
        <f t="shared" si="82"/>
        <v/>
      </c>
      <c r="O747" s="29" t="str">
        <f t="shared" si="77"/>
        <v/>
      </c>
      <c r="P747" s="61"/>
      <c r="Q747" s="61"/>
      <c r="R747" s="61"/>
      <c r="S747" s="45"/>
      <c r="T747" s="29" t="str">
        <f t="shared" si="78"/>
        <v/>
      </c>
    </row>
    <row r="748" spans="1:20">
      <c r="A748" s="10" t="str">
        <f t="shared" si="83"/>
        <v/>
      </c>
      <c r="B748" s="63"/>
      <c r="C748" s="25" t="str">
        <f t="shared" si="79"/>
        <v/>
      </c>
      <c r="D748" s="25" t="str">
        <f t="shared" si="80"/>
        <v/>
      </c>
      <c r="E748" s="45"/>
      <c r="F748" s="28" t="str">
        <f>IFERROR(VLOOKUP(E748,Category!$D$2:$E$600,2,FALSE),"")</f>
        <v/>
      </c>
      <c r="G748" s="65"/>
      <c r="H748" s="56"/>
      <c r="I748" s="66"/>
      <c r="J748" s="67"/>
      <c r="K748" s="67"/>
      <c r="L748" s="67"/>
      <c r="M748" s="29" t="str">
        <f t="shared" si="81"/>
        <v/>
      </c>
      <c r="N748" s="29" t="str">
        <f t="shared" si="82"/>
        <v/>
      </c>
      <c r="O748" s="29" t="str">
        <f t="shared" si="77"/>
        <v/>
      </c>
      <c r="P748" s="61"/>
      <c r="Q748" s="61"/>
      <c r="R748" s="61"/>
      <c r="S748" s="45"/>
      <c r="T748" s="29" t="str">
        <f t="shared" si="78"/>
        <v/>
      </c>
    </row>
    <row r="749" spans="1:20">
      <c r="A749" s="10" t="str">
        <f t="shared" si="83"/>
        <v/>
      </c>
      <c r="B749" s="63"/>
      <c r="C749" s="25" t="str">
        <f t="shared" si="79"/>
        <v/>
      </c>
      <c r="D749" s="25" t="str">
        <f t="shared" si="80"/>
        <v/>
      </c>
      <c r="E749" s="45"/>
      <c r="F749" s="28" t="str">
        <f>IFERROR(VLOOKUP(E749,Category!$D$2:$E$600,2,FALSE),"")</f>
        <v/>
      </c>
      <c r="G749" s="65"/>
      <c r="H749" s="56"/>
      <c r="I749" s="66"/>
      <c r="J749" s="67"/>
      <c r="K749" s="67"/>
      <c r="L749" s="67"/>
      <c r="M749" s="29" t="str">
        <f t="shared" si="81"/>
        <v/>
      </c>
      <c r="N749" s="29" t="str">
        <f t="shared" si="82"/>
        <v/>
      </c>
      <c r="O749" s="29" t="str">
        <f t="shared" si="77"/>
        <v/>
      </c>
      <c r="P749" s="61"/>
      <c r="Q749" s="61"/>
      <c r="R749" s="61"/>
      <c r="S749" s="45"/>
      <c r="T749" s="29" t="str">
        <f t="shared" si="78"/>
        <v/>
      </c>
    </row>
    <row r="750" spans="1:20">
      <c r="A750" s="10" t="str">
        <f t="shared" si="83"/>
        <v/>
      </c>
      <c r="B750" s="63"/>
      <c r="C750" s="25" t="str">
        <f t="shared" si="79"/>
        <v/>
      </c>
      <c r="D750" s="25" t="str">
        <f t="shared" si="80"/>
        <v/>
      </c>
      <c r="E750" s="45"/>
      <c r="F750" s="28" t="str">
        <f>IFERROR(VLOOKUP(E750,Category!$D$2:$E$600,2,FALSE),"")</f>
        <v/>
      </c>
      <c r="G750" s="65"/>
      <c r="H750" s="56"/>
      <c r="I750" s="66"/>
      <c r="J750" s="67"/>
      <c r="K750" s="67"/>
      <c r="L750" s="67"/>
      <c r="M750" s="29" t="str">
        <f t="shared" si="81"/>
        <v/>
      </c>
      <c r="N750" s="29" t="str">
        <f t="shared" si="82"/>
        <v/>
      </c>
      <c r="O750" s="29" t="str">
        <f t="shared" si="77"/>
        <v/>
      </c>
      <c r="P750" s="61"/>
      <c r="Q750" s="61"/>
      <c r="R750" s="61"/>
      <c r="S750" s="45"/>
      <c r="T750" s="29" t="str">
        <f t="shared" si="78"/>
        <v/>
      </c>
    </row>
    <row r="751" spans="1:20">
      <c r="A751" s="10" t="str">
        <f t="shared" si="83"/>
        <v/>
      </c>
      <c r="B751" s="63"/>
      <c r="C751" s="25" t="str">
        <f t="shared" si="79"/>
        <v/>
      </c>
      <c r="D751" s="25" t="str">
        <f t="shared" si="80"/>
        <v/>
      </c>
      <c r="E751" s="45"/>
      <c r="F751" s="28" t="str">
        <f>IFERROR(VLOOKUP(E751,Category!$D$2:$E$600,2,FALSE),"")</f>
        <v/>
      </c>
      <c r="G751" s="65"/>
      <c r="H751" s="56"/>
      <c r="I751" s="66"/>
      <c r="J751" s="67"/>
      <c r="K751" s="67"/>
      <c r="L751" s="67"/>
      <c r="M751" s="29" t="str">
        <f t="shared" si="81"/>
        <v/>
      </c>
      <c r="N751" s="29" t="str">
        <f t="shared" si="82"/>
        <v/>
      </c>
      <c r="O751" s="29" t="str">
        <f t="shared" si="77"/>
        <v/>
      </c>
      <c r="P751" s="61"/>
      <c r="Q751" s="61"/>
      <c r="R751" s="61"/>
      <c r="S751" s="45"/>
      <c r="T751" s="29" t="str">
        <f t="shared" si="78"/>
        <v/>
      </c>
    </row>
    <row r="752" spans="1:20">
      <c r="A752" s="10" t="str">
        <f t="shared" si="83"/>
        <v/>
      </c>
      <c r="B752" s="63"/>
      <c r="C752" s="25" t="str">
        <f t="shared" si="79"/>
        <v/>
      </c>
      <c r="D752" s="25" t="str">
        <f t="shared" si="80"/>
        <v/>
      </c>
      <c r="E752" s="45"/>
      <c r="F752" s="28" t="str">
        <f>IFERROR(VLOOKUP(E752,Category!$D$2:$E$600,2,FALSE),"")</f>
        <v/>
      </c>
      <c r="G752" s="65"/>
      <c r="H752" s="56"/>
      <c r="I752" s="66"/>
      <c r="J752" s="67"/>
      <c r="K752" s="67"/>
      <c r="L752" s="67"/>
      <c r="M752" s="29" t="str">
        <f t="shared" si="81"/>
        <v/>
      </c>
      <c r="N752" s="29" t="str">
        <f t="shared" si="82"/>
        <v/>
      </c>
      <c r="O752" s="29" t="str">
        <f t="shared" si="77"/>
        <v/>
      </c>
      <c r="P752" s="61"/>
      <c r="Q752" s="61"/>
      <c r="R752" s="61"/>
      <c r="S752" s="45"/>
      <c r="T752" s="29" t="str">
        <f t="shared" si="78"/>
        <v/>
      </c>
    </row>
    <row r="753" spans="1:20">
      <c r="A753" s="10" t="str">
        <f t="shared" si="83"/>
        <v/>
      </c>
      <c r="B753" s="63"/>
      <c r="C753" s="25" t="str">
        <f t="shared" si="79"/>
        <v/>
      </c>
      <c r="D753" s="25" t="str">
        <f t="shared" si="80"/>
        <v/>
      </c>
      <c r="E753" s="45"/>
      <c r="F753" s="28" t="str">
        <f>IFERROR(VLOOKUP(E753,Category!$D$2:$E$600,2,FALSE),"")</f>
        <v/>
      </c>
      <c r="G753" s="65"/>
      <c r="H753" s="56"/>
      <c r="I753" s="66"/>
      <c r="J753" s="67"/>
      <c r="K753" s="67"/>
      <c r="L753" s="67"/>
      <c r="M753" s="29" t="str">
        <f t="shared" si="81"/>
        <v/>
      </c>
      <c r="N753" s="29" t="str">
        <f t="shared" si="82"/>
        <v/>
      </c>
      <c r="O753" s="29" t="str">
        <f t="shared" si="77"/>
        <v/>
      </c>
      <c r="P753" s="61"/>
      <c r="Q753" s="61"/>
      <c r="R753" s="61"/>
      <c r="S753" s="45"/>
      <c r="T753" s="29" t="str">
        <f t="shared" si="78"/>
        <v/>
      </c>
    </row>
    <row r="754" spans="1:20">
      <c r="A754" s="10" t="str">
        <f t="shared" si="83"/>
        <v/>
      </c>
      <c r="B754" s="63"/>
      <c r="C754" s="25" t="str">
        <f t="shared" si="79"/>
        <v/>
      </c>
      <c r="D754" s="25" t="str">
        <f t="shared" si="80"/>
        <v/>
      </c>
      <c r="E754" s="45"/>
      <c r="F754" s="28" t="str">
        <f>IFERROR(VLOOKUP(E754,Category!$D$2:$E$600,2,FALSE),"")</f>
        <v/>
      </c>
      <c r="G754" s="65"/>
      <c r="H754" s="56"/>
      <c r="I754" s="66"/>
      <c r="J754" s="67"/>
      <c r="K754" s="67"/>
      <c r="L754" s="67"/>
      <c r="M754" s="29" t="str">
        <f t="shared" si="81"/>
        <v/>
      </c>
      <c r="N754" s="29" t="str">
        <f t="shared" si="82"/>
        <v/>
      </c>
      <c r="O754" s="29" t="str">
        <f t="shared" si="77"/>
        <v/>
      </c>
      <c r="P754" s="61"/>
      <c r="Q754" s="61"/>
      <c r="R754" s="61"/>
      <c r="S754" s="45"/>
      <c r="T754" s="29" t="str">
        <f t="shared" si="78"/>
        <v/>
      </c>
    </row>
    <row r="755" spans="1:20">
      <c r="A755" s="10" t="str">
        <f t="shared" si="83"/>
        <v/>
      </c>
      <c r="B755" s="63"/>
      <c r="C755" s="25" t="str">
        <f t="shared" si="79"/>
        <v/>
      </c>
      <c r="D755" s="25" t="str">
        <f t="shared" si="80"/>
        <v/>
      </c>
      <c r="E755" s="45"/>
      <c r="F755" s="28" t="str">
        <f>IFERROR(VLOOKUP(E755,Category!$D$2:$E$600,2,FALSE),"")</f>
        <v/>
      </c>
      <c r="G755" s="65"/>
      <c r="H755" s="56"/>
      <c r="I755" s="66"/>
      <c r="J755" s="67"/>
      <c r="K755" s="67"/>
      <c r="L755" s="67"/>
      <c r="M755" s="29" t="str">
        <f t="shared" si="81"/>
        <v/>
      </c>
      <c r="N755" s="29" t="str">
        <f t="shared" si="82"/>
        <v/>
      </c>
      <c r="O755" s="29" t="str">
        <f t="shared" si="77"/>
        <v/>
      </c>
      <c r="P755" s="61"/>
      <c r="Q755" s="61"/>
      <c r="R755" s="61"/>
      <c r="S755" s="45"/>
      <c r="T755" s="29" t="str">
        <f t="shared" si="78"/>
        <v/>
      </c>
    </row>
    <row r="756" spans="1:20">
      <c r="A756" s="10" t="str">
        <f t="shared" si="83"/>
        <v/>
      </c>
      <c r="B756" s="63"/>
      <c r="C756" s="25" t="str">
        <f t="shared" si="79"/>
        <v/>
      </c>
      <c r="D756" s="25" t="str">
        <f t="shared" si="80"/>
        <v/>
      </c>
      <c r="E756" s="45"/>
      <c r="F756" s="28" t="str">
        <f>IFERROR(VLOOKUP(E756,Category!$D$2:$E$600,2,FALSE),"")</f>
        <v/>
      </c>
      <c r="G756" s="65"/>
      <c r="H756" s="56"/>
      <c r="I756" s="66"/>
      <c r="J756" s="67"/>
      <c r="K756" s="67"/>
      <c r="L756" s="67"/>
      <c r="M756" s="29" t="str">
        <f t="shared" si="81"/>
        <v/>
      </c>
      <c r="N756" s="29" t="str">
        <f t="shared" si="82"/>
        <v/>
      </c>
      <c r="O756" s="29" t="str">
        <f t="shared" si="77"/>
        <v/>
      </c>
      <c r="P756" s="61"/>
      <c r="Q756" s="61"/>
      <c r="R756" s="61"/>
      <c r="S756" s="45"/>
      <c r="T756" s="29" t="str">
        <f t="shared" si="78"/>
        <v/>
      </c>
    </row>
    <row r="757" spans="1:20">
      <c r="A757" s="10" t="str">
        <f t="shared" si="83"/>
        <v/>
      </c>
      <c r="B757" s="63"/>
      <c r="C757" s="25" t="str">
        <f t="shared" si="79"/>
        <v/>
      </c>
      <c r="D757" s="25" t="str">
        <f t="shared" si="80"/>
        <v/>
      </c>
      <c r="E757" s="45"/>
      <c r="F757" s="28" t="str">
        <f>IFERROR(VLOOKUP(E757,Category!$D$2:$E$600,2,FALSE),"")</f>
        <v/>
      </c>
      <c r="G757" s="65"/>
      <c r="H757" s="56"/>
      <c r="I757" s="66"/>
      <c r="J757" s="67"/>
      <c r="K757" s="67"/>
      <c r="L757" s="67"/>
      <c r="M757" s="29" t="str">
        <f t="shared" si="81"/>
        <v/>
      </c>
      <c r="N757" s="29" t="str">
        <f t="shared" si="82"/>
        <v/>
      </c>
      <c r="O757" s="29" t="str">
        <f t="shared" si="77"/>
        <v/>
      </c>
      <c r="P757" s="61"/>
      <c r="Q757" s="61"/>
      <c r="R757" s="61"/>
      <c r="S757" s="45"/>
      <c r="T757" s="29" t="str">
        <f t="shared" si="78"/>
        <v/>
      </c>
    </row>
    <row r="758" spans="1:20">
      <c r="A758" s="10" t="str">
        <f t="shared" si="83"/>
        <v/>
      </c>
      <c r="B758" s="63"/>
      <c r="C758" s="25" t="str">
        <f t="shared" si="79"/>
        <v/>
      </c>
      <c r="D758" s="25" t="str">
        <f t="shared" si="80"/>
        <v/>
      </c>
      <c r="E758" s="45"/>
      <c r="F758" s="28" t="str">
        <f>IFERROR(VLOOKUP(E758,Category!$D$2:$E$600,2,FALSE),"")</f>
        <v/>
      </c>
      <c r="G758" s="65"/>
      <c r="H758" s="56"/>
      <c r="I758" s="66"/>
      <c r="J758" s="67"/>
      <c r="K758" s="67"/>
      <c r="L758" s="67"/>
      <c r="M758" s="29" t="str">
        <f t="shared" si="81"/>
        <v/>
      </c>
      <c r="N758" s="29" t="str">
        <f t="shared" si="82"/>
        <v/>
      </c>
      <c r="O758" s="29" t="str">
        <f t="shared" si="77"/>
        <v/>
      </c>
      <c r="P758" s="61"/>
      <c r="Q758" s="61"/>
      <c r="R758" s="61"/>
      <c r="S758" s="45"/>
      <c r="T758" s="29" t="str">
        <f t="shared" si="78"/>
        <v/>
      </c>
    </row>
    <row r="759" spans="1:20">
      <c r="A759" s="10" t="str">
        <f t="shared" si="83"/>
        <v/>
      </c>
      <c r="B759" s="63"/>
      <c r="C759" s="25" t="str">
        <f t="shared" si="79"/>
        <v/>
      </c>
      <c r="D759" s="25" t="str">
        <f t="shared" si="80"/>
        <v/>
      </c>
      <c r="E759" s="45"/>
      <c r="F759" s="28" t="str">
        <f>IFERROR(VLOOKUP(E759,Category!$D$2:$E$600,2,FALSE),"")</f>
        <v/>
      </c>
      <c r="G759" s="65"/>
      <c r="H759" s="56"/>
      <c r="I759" s="66"/>
      <c r="J759" s="67"/>
      <c r="K759" s="67"/>
      <c r="L759" s="67"/>
      <c r="M759" s="29" t="str">
        <f t="shared" si="81"/>
        <v/>
      </c>
      <c r="N759" s="29" t="str">
        <f t="shared" si="82"/>
        <v/>
      </c>
      <c r="O759" s="29" t="str">
        <f t="shared" si="77"/>
        <v/>
      </c>
      <c r="P759" s="61"/>
      <c r="Q759" s="61"/>
      <c r="R759" s="61"/>
      <c r="S759" s="45"/>
      <c r="T759" s="29" t="str">
        <f t="shared" si="78"/>
        <v/>
      </c>
    </row>
    <row r="760" spans="1:20">
      <c r="A760" s="10" t="str">
        <f t="shared" si="83"/>
        <v/>
      </c>
      <c r="B760" s="63"/>
      <c r="C760" s="25" t="str">
        <f t="shared" si="79"/>
        <v/>
      </c>
      <c r="D760" s="25" t="str">
        <f t="shared" si="80"/>
        <v/>
      </c>
      <c r="E760" s="45"/>
      <c r="F760" s="28" t="str">
        <f>IFERROR(VLOOKUP(E760,Category!$D$2:$E$600,2,FALSE),"")</f>
        <v/>
      </c>
      <c r="G760" s="65"/>
      <c r="H760" s="56"/>
      <c r="I760" s="66"/>
      <c r="J760" s="67"/>
      <c r="K760" s="67"/>
      <c r="L760" s="67"/>
      <c r="M760" s="29" t="str">
        <f t="shared" si="81"/>
        <v/>
      </c>
      <c r="N760" s="29" t="str">
        <f t="shared" si="82"/>
        <v/>
      </c>
      <c r="O760" s="29" t="str">
        <f t="shared" si="77"/>
        <v/>
      </c>
      <c r="P760" s="61"/>
      <c r="Q760" s="61"/>
      <c r="R760" s="61"/>
      <c r="S760" s="45"/>
      <c r="T760" s="29" t="str">
        <f t="shared" si="78"/>
        <v/>
      </c>
    </row>
    <row r="761" spans="1:20">
      <c r="A761" s="10" t="str">
        <f t="shared" si="83"/>
        <v/>
      </c>
      <c r="B761" s="63"/>
      <c r="C761" s="25" t="str">
        <f t="shared" si="79"/>
        <v/>
      </c>
      <c r="D761" s="25" t="str">
        <f t="shared" si="80"/>
        <v/>
      </c>
      <c r="E761" s="45"/>
      <c r="F761" s="28" t="str">
        <f>IFERROR(VLOOKUP(E761,Category!$D$2:$E$600,2,FALSE),"")</f>
        <v/>
      </c>
      <c r="G761" s="65"/>
      <c r="H761" s="56"/>
      <c r="I761" s="66"/>
      <c r="J761" s="67"/>
      <c r="K761" s="67"/>
      <c r="L761" s="67"/>
      <c r="M761" s="29" t="str">
        <f t="shared" si="81"/>
        <v/>
      </c>
      <c r="N761" s="29" t="str">
        <f t="shared" si="82"/>
        <v/>
      </c>
      <c r="O761" s="29" t="str">
        <f t="shared" si="77"/>
        <v/>
      </c>
      <c r="P761" s="61"/>
      <c r="Q761" s="61"/>
      <c r="R761" s="61"/>
      <c r="S761" s="45"/>
      <c r="T761" s="29" t="str">
        <f t="shared" si="78"/>
        <v/>
      </c>
    </row>
    <row r="762" spans="1:20">
      <c r="A762" s="10" t="str">
        <f t="shared" si="83"/>
        <v/>
      </c>
      <c r="B762" s="63"/>
      <c r="C762" s="25" t="str">
        <f t="shared" si="79"/>
        <v/>
      </c>
      <c r="D762" s="25" t="str">
        <f t="shared" si="80"/>
        <v/>
      </c>
      <c r="E762" s="45"/>
      <c r="F762" s="28" t="str">
        <f>IFERROR(VLOOKUP(E762,Category!$D$2:$E$600,2,FALSE),"")</f>
        <v/>
      </c>
      <c r="G762" s="65"/>
      <c r="H762" s="56"/>
      <c r="I762" s="66"/>
      <c r="J762" s="67"/>
      <c r="K762" s="67"/>
      <c r="L762" s="67"/>
      <c r="M762" s="29" t="str">
        <f t="shared" si="81"/>
        <v/>
      </c>
      <c r="N762" s="29" t="str">
        <f t="shared" si="82"/>
        <v/>
      </c>
      <c r="O762" s="29" t="str">
        <f t="shared" si="77"/>
        <v/>
      </c>
      <c r="P762" s="61"/>
      <c r="Q762" s="61"/>
      <c r="R762" s="61"/>
      <c r="S762" s="45"/>
      <c r="T762" s="29" t="str">
        <f t="shared" si="78"/>
        <v/>
      </c>
    </row>
    <row r="763" spans="1:20">
      <c r="A763" s="10" t="str">
        <f t="shared" si="83"/>
        <v/>
      </c>
      <c r="B763" s="63"/>
      <c r="C763" s="25" t="str">
        <f t="shared" si="79"/>
        <v/>
      </c>
      <c r="D763" s="25" t="str">
        <f t="shared" si="80"/>
        <v/>
      </c>
      <c r="E763" s="45"/>
      <c r="F763" s="28" t="str">
        <f>IFERROR(VLOOKUP(E763,Category!$D$2:$E$600,2,FALSE),"")</f>
        <v/>
      </c>
      <c r="G763" s="65"/>
      <c r="H763" s="56"/>
      <c r="I763" s="66"/>
      <c r="J763" s="67"/>
      <c r="K763" s="67"/>
      <c r="L763" s="67"/>
      <c r="M763" s="29" t="str">
        <f t="shared" si="81"/>
        <v/>
      </c>
      <c r="N763" s="29" t="str">
        <f t="shared" si="82"/>
        <v/>
      </c>
      <c r="O763" s="29" t="str">
        <f t="shared" si="77"/>
        <v/>
      </c>
      <c r="P763" s="61"/>
      <c r="Q763" s="61"/>
      <c r="R763" s="61"/>
      <c r="S763" s="45"/>
      <c r="T763" s="29" t="str">
        <f t="shared" si="78"/>
        <v/>
      </c>
    </row>
    <row r="764" spans="1:20">
      <c r="A764" s="10" t="str">
        <f t="shared" si="83"/>
        <v/>
      </c>
      <c r="B764" s="63"/>
      <c r="C764" s="25" t="str">
        <f t="shared" si="79"/>
        <v/>
      </c>
      <c r="D764" s="25" t="str">
        <f t="shared" si="80"/>
        <v/>
      </c>
      <c r="E764" s="45"/>
      <c r="F764" s="28" t="str">
        <f>IFERROR(VLOOKUP(E764,Category!$D$2:$E$600,2,FALSE),"")</f>
        <v/>
      </c>
      <c r="G764" s="65"/>
      <c r="H764" s="56"/>
      <c r="I764" s="66"/>
      <c r="J764" s="67"/>
      <c r="K764" s="67"/>
      <c r="L764" s="67"/>
      <c r="M764" s="29" t="str">
        <f t="shared" si="81"/>
        <v/>
      </c>
      <c r="N764" s="29" t="str">
        <f t="shared" si="82"/>
        <v/>
      </c>
      <c r="O764" s="29" t="str">
        <f t="shared" si="77"/>
        <v/>
      </c>
      <c r="P764" s="61"/>
      <c r="Q764" s="61"/>
      <c r="R764" s="61"/>
      <c r="S764" s="45"/>
      <c r="T764" s="29" t="str">
        <f t="shared" si="78"/>
        <v/>
      </c>
    </row>
    <row r="765" spans="1:20">
      <c r="A765" s="10" t="str">
        <f t="shared" si="83"/>
        <v/>
      </c>
      <c r="B765" s="63"/>
      <c r="C765" s="25" t="str">
        <f t="shared" si="79"/>
        <v/>
      </c>
      <c r="D765" s="25" t="str">
        <f t="shared" si="80"/>
        <v/>
      </c>
      <c r="E765" s="45"/>
      <c r="F765" s="28" t="str">
        <f>IFERROR(VLOOKUP(E765,Category!$D$2:$E$600,2,FALSE),"")</f>
        <v/>
      </c>
      <c r="G765" s="65"/>
      <c r="H765" s="56"/>
      <c r="I765" s="66"/>
      <c r="J765" s="67"/>
      <c r="K765" s="67"/>
      <c r="L765" s="67"/>
      <c r="M765" s="29" t="str">
        <f t="shared" si="81"/>
        <v/>
      </c>
      <c r="N765" s="29" t="str">
        <f t="shared" si="82"/>
        <v/>
      </c>
      <c r="O765" s="29" t="str">
        <f t="shared" si="77"/>
        <v/>
      </c>
      <c r="P765" s="61"/>
      <c r="Q765" s="61"/>
      <c r="R765" s="61"/>
      <c r="S765" s="45"/>
      <c r="T765" s="29" t="str">
        <f t="shared" si="78"/>
        <v/>
      </c>
    </row>
    <row r="766" spans="1:20">
      <c r="A766" s="10" t="str">
        <f t="shared" si="83"/>
        <v/>
      </c>
      <c r="B766" s="63"/>
      <c r="C766" s="25" t="str">
        <f t="shared" si="79"/>
        <v/>
      </c>
      <c r="D766" s="25" t="str">
        <f t="shared" si="80"/>
        <v/>
      </c>
      <c r="E766" s="45"/>
      <c r="F766" s="28" t="str">
        <f>IFERROR(VLOOKUP(E766,Category!$D$2:$E$600,2,FALSE),"")</f>
        <v/>
      </c>
      <c r="G766" s="65"/>
      <c r="H766" s="56"/>
      <c r="I766" s="66"/>
      <c r="J766" s="67"/>
      <c r="K766" s="67"/>
      <c r="L766" s="67"/>
      <c r="M766" s="29" t="str">
        <f t="shared" si="81"/>
        <v/>
      </c>
      <c r="N766" s="29" t="str">
        <f t="shared" si="82"/>
        <v/>
      </c>
      <c r="O766" s="29" t="str">
        <f t="shared" si="77"/>
        <v/>
      </c>
      <c r="P766" s="61"/>
      <c r="Q766" s="61"/>
      <c r="R766" s="61"/>
      <c r="S766" s="45"/>
      <c r="T766" s="29" t="str">
        <f t="shared" si="78"/>
        <v/>
      </c>
    </row>
    <row r="767" spans="1:20">
      <c r="A767" s="10" t="str">
        <f t="shared" si="83"/>
        <v/>
      </c>
      <c r="B767" s="63"/>
      <c r="C767" s="25" t="str">
        <f t="shared" si="79"/>
        <v/>
      </c>
      <c r="D767" s="25" t="str">
        <f t="shared" si="80"/>
        <v/>
      </c>
      <c r="E767" s="45"/>
      <c r="F767" s="28" t="str">
        <f>IFERROR(VLOOKUP(E767,Category!$D$2:$E$600,2,FALSE),"")</f>
        <v/>
      </c>
      <c r="G767" s="65"/>
      <c r="H767" s="56"/>
      <c r="I767" s="66"/>
      <c r="J767" s="67"/>
      <c r="K767" s="67"/>
      <c r="L767" s="67"/>
      <c r="M767" s="29" t="str">
        <f t="shared" si="81"/>
        <v/>
      </c>
      <c r="N767" s="29" t="str">
        <f t="shared" si="82"/>
        <v/>
      </c>
      <c r="O767" s="29" t="str">
        <f t="shared" si="77"/>
        <v/>
      </c>
      <c r="P767" s="61"/>
      <c r="Q767" s="61"/>
      <c r="R767" s="61"/>
      <c r="S767" s="45"/>
      <c r="T767" s="29" t="str">
        <f t="shared" si="78"/>
        <v/>
      </c>
    </row>
    <row r="768" spans="1:20">
      <c r="A768" s="10" t="str">
        <f t="shared" si="83"/>
        <v/>
      </c>
      <c r="B768" s="63"/>
      <c r="C768" s="25" t="str">
        <f t="shared" si="79"/>
        <v/>
      </c>
      <c r="D768" s="25" t="str">
        <f t="shared" si="80"/>
        <v/>
      </c>
      <c r="E768" s="45"/>
      <c r="F768" s="28" t="str">
        <f>IFERROR(VLOOKUP(E768,Category!$D$2:$E$600,2,FALSE),"")</f>
        <v/>
      </c>
      <c r="G768" s="65"/>
      <c r="H768" s="56"/>
      <c r="I768" s="66"/>
      <c r="J768" s="67"/>
      <c r="K768" s="67"/>
      <c r="L768" s="67"/>
      <c r="M768" s="29" t="str">
        <f t="shared" si="81"/>
        <v/>
      </c>
      <c r="N768" s="29" t="str">
        <f t="shared" si="82"/>
        <v/>
      </c>
      <c r="O768" s="29" t="str">
        <f t="shared" si="77"/>
        <v/>
      </c>
      <c r="P768" s="61"/>
      <c r="Q768" s="61"/>
      <c r="R768" s="61"/>
      <c r="S768" s="45"/>
      <c r="T768" s="29" t="str">
        <f t="shared" si="78"/>
        <v/>
      </c>
    </row>
    <row r="769" spans="1:20">
      <c r="A769" s="10" t="str">
        <f t="shared" si="83"/>
        <v/>
      </c>
      <c r="B769" s="63"/>
      <c r="C769" s="25" t="str">
        <f t="shared" si="79"/>
        <v/>
      </c>
      <c r="D769" s="25" t="str">
        <f t="shared" si="80"/>
        <v/>
      </c>
      <c r="E769" s="45"/>
      <c r="F769" s="28" t="str">
        <f>IFERROR(VLOOKUP(E769,Category!$D$2:$E$600,2,FALSE),"")</f>
        <v/>
      </c>
      <c r="G769" s="65"/>
      <c r="H769" s="56"/>
      <c r="I769" s="66"/>
      <c r="J769" s="67"/>
      <c r="K769" s="67"/>
      <c r="L769" s="67"/>
      <c r="M769" s="29" t="str">
        <f t="shared" si="81"/>
        <v/>
      </c>
      <c r="N769" s="29" t="str">
        <f t="shared" si="82"/>
        <v/>
      </c>
      <c r="O769" s="29" t="str">
        <f t="shared" si="77"/>
        <v/>
      </c>
      <c r="P769" s="61"/>
      <c r="Q769" s="61"/>
      <c r="R769" s="61"/>
      <c r="S769" s="45"/>
      <c r="T769" s="29" t="str">
        <f t="shared" si="78"/>
        <v/>
      </c>
    </row>
    <row r="770" spans="1:20">
      <c r="A770" s="10" t="str">
        <f t="shared" si="83"/>
        <v/>
      </c>
      <c r="B770" s="63"/>
      <c r="C770" s="25" t="str">
        <f t="shared" si="79"/>
        <v/>
      </c>
      <c r="D770" s="25" t="str">
        <f t="shared" si="80"/>
        <v/>
      </c>
      <c r="E770" s="45"/>
      <c r="F770" s="28" t="str">
        <f>IFERROR(VLOOKUP(E770,Category!$D$2:$E$600,2,FALSE),"")</f>
        <v/>
      </c>
      <c r="G770" s="65"/>
      <c r="H770" s="56"/>
      <c r="I770" s="66"/>
      <c r="J770" s="67"/>
      <c r="K770" s="67"/>
      <c r="L770" s="67"/>
      <c r="M770" s="29" t="str">
        <f t="shared" si="81"/>
        <v/>
      </c>
      <c r="N770" s="29" t="str">
        <f t="shared" si="82"/>
        <v/>
      </c>
      <c r="O770" s="29" t="str">
        <f t="shared" ref="O770:O833" si="84">IF(H770*I770=0,"",H770*I770)</f>
        <v/>
      </c>
      <c r="P770" s="61"/>
      <c r="Q770" s="61"/>
      <c r="R770" s="61"/>
      <c r="S770" s="45"/>
      <c r="T770" s="29" t="str">
        <f t="shared" ref="T770:T833" si="85">IF(R770="paid",(H770*I770)-(G770*H770),"")</f>
        <v/>
      </c>
    </row>
    <row r="771" spans="1:20">
      <c r="A771" s="10" t="str">
        <f t="shared" si="83"/>
        <v/>
      </c>
      <c r="B771" s="63"/>
      <c r="C771" s="25" t="str">
        <f t="shared" ref="C771:C834" si="86">IF(B771=0,"",TEXT(B771,"mmmm"))</f>
        <v/>
      </c>
      <c r="D771" s="25" t="str">
        <f t="shared" ref="D771:D834" si="87">IF(B771=0,"",TEXT(B771,"yyyy"))</f>
        <v/>
      </c>
      <c r="E771" s="45"/>
      <c r="F771" s="28" t="str">
        <f>IFERROR(VLOOKUP(E771,Category!$D$2:$E$600,2,FALSE),"")</f>
        <v/>
      </c>
      <c r="G771" s="65"/>
      <c r="H771" s="56"/>
      <c r="I771" s="66"/>
      <c r="J771" s="67"/>
      <c r="K771" s="67"/>
      <c r="L771" s="67"/>
      <c r="M771" s="29" t="str">
        <f t="shared" ref="M771:M834" si="88">IFERROR(IF(O771&gt;0,IF(R771="Paid","",O771-J771),""),"")</f>
        <v/>
      </c>
      <c r="N771" s="29" t="str">
        <f t="shared" ref="N771:N834" si="89">IF(J771&gt;0,IF(R771="Paid",O771-J771,""),"")</f>
        <v/>
      </c>
      <c r="O771" s="29" t="str">
        <f t="shared" si="84"/>
        <v/>
      </c>
      <c r="P771" s="61"/>
      <c r="Q771" s="61"/>
      <c r="R771" s="61"/>
      <c r="S771" s="45"/>
      <c r="T771" s="29" t="str">
        <f t="shared" si="85"/>
        <v/>
      </c>
    </row>
    <row r="772" spans="1:20">
      <c r="A772" s="10" t="str">
        <f t="shared" ref="A772:A835" si="90">IF(E772&gt;0,A771+1,"")</f>
        <v/>
      </c>
      <c r="B772" s="63"/>
      <c r="C772" s="25" t="str">
        <f t="shared" si="86"/>
        <v/>
      </c>
      <c r="D772" s="25" t="str">
        <f t="shared" si="87"/>
        <v/>
      </c>
      <c r="E772" s="45"/>
      <c r="F772" s="28" t="str">
        <f>IFERROR(VLOOKUP(E772,Category!$D$2:$E$600,2,FALSE),"")</f>
        <v/>
      </c>
      <c r="G772" s="65"/>
      <c r="H772" s="56"/>
      <c r="I772" s="66"/>
      <c r="J772" s="67"/>
      <c r="K772" s="67"/>
      <c r="L772" s="67"/>
      <c r="M772" s="29" t="str">
        <f t="shared" si="88"/>
        <v/>
      </c>
      <c r="N772" s="29" t="str">
        <f t="shared" si="89"/>
        <v/>
      </c>
      <c r="O772" s="29" t="str">
        <f t="shared" si="84"/>
        <v/>
      </c>
      <c r="P772" s="61"/>
      <c r="Q772" s="61"/>
      <c r="R772" s="61"/>
      <c r="S772" s="45"/>
      <c r="T772" s="29" t="str">
        <f t="shared" si="85"/>
        <v/>
      </c>
    </row>
    <row r="773" spans="1:20">
      <c r="A773" s="10" t="str">
        <f t="shared" si="90"/>
        <v/>
      </c>
      <c r="B773" s="63"/>
      <c r="C773" s="25" t="str">
        <f t="shared" si="86"/>
        <v/>
      </c>
      <c r="D773" s="25" t="str">
        <f t="shared" si="87"/>
        <v/>
      </c>
      <c r="E773" s="45"/>
      <c r="F773" s="28" t="str">
        <f>IFERROR(VLOOKUP(E773,Category!$D$2:$E$600,2,FALSE),"")</f>
        <v/>
      </c>
      <c r="G773" s="65"/>
      <c r="H773" s="56"/>
      <c r="I773" s="66"/>
      <c r="J773" s="67"/>
      <c r="K773" s="67"/>
      <c r="L773" s="67"/>
      <c r="M773" s="29" t="str">
        <f t="shared" si="88"/>
        <v/>
      </c>
      <c r="N773" s="29" t="str">
        <f t="shared" si="89"/>
        <v/>
      </c>
      <c r="O773" s="29" t="str">
        <f t="shared" si="84"/>
        <v/>
      </c>
      <c r="P773" s="61"/>
      <c r="Q773" s="61"/>
      <c r="R773" s="61"/>
      <c r="S773" s="45"/>
      <c r="T773" s="29" t="str">
        <f t="shared" si="85"/>
        <v/>
      </c>
    </row>
    <row r="774" spans="1:20">
      <c r="A774" s="10" t="str">
        <f t="shared" si="90"/>
        <v/>
      </c>
      <c r="B774" s="63"/>
      <c r="C774" s="25" t="str">
        <f t="shared" si="86"/>
        <v/>
      </c>
      <c r="D774" s="25" t="str">
        <f t="shared" si="87"/>
        <v/>
      </c>
      <c r="E774" s="45"/>
      <c r="F774" s="28" t="str">
        <f>IFERROR(VLOOKUP(E774,Category!$D$2:$E$600,2,FALSE),"")</f>
        <v/>
      </c>
      <c r="G774" s="65"/>
      <c r="H774" s="56"/>
      <c r="I774" s="66"/>
      <c r="J774" s="67"/>
      <c r="K774" s="67"/>
      <c r="L774" s="67"/>
      <c r="M774" s="29" t="str">
        <f t="shared" si="88"/>
        <v/>
      </c>
      <c r="N774" s="29" t="str">
        <f t="shared" si="89"/>
        <v/>
      </c>
      <c r="O774" s="29" t="str">
        <f t="shared" si="84"/>
        <v/>
      </c>
      <c r="P774" s="61"/>
      <c r="Q774" s="61"/>
      <c r="R774" s="61"/>
      <c r="S774" s="45"/>
      <c r="T774" s="29" t="str">
        <f t="shared" si="85"/>
        <v/>
      </c>
    </row>
    <row r="775" spans="1:20">
      <c r="A775" s="10" t="str">
        <f t="shared" si="90"/>
        <v/>
      </c>
      <c r="B775" s="63"/>
      <c r="C775" s="25" t="str">
        <f t="shared" si="86"/>
        <v/>
      </c>
      <c r="D775" s="25" t="str">
        <f t="shared" si="87"/>
        <v/>
      </c>
      <c r="E775" s="45"/>
      <c r="F775" s="28" t="str">
        <f>IFERROR(VLOOKUP(E775,Category!$D$2:$E$600,2,FALSE),"")</f>
        <v/>
      </c>
      <c r="G775" s="65"/>
      <c r="H775" s="56"/>
      <c r="I775" s="66"/>
      <c r="J775" s="67"/>
      <c r="K775" s="67"/>
      <c r="L775" s="67"/>
      <c r="M775" s="29" t="str">
        <f t="shared" si="88"/>
        <v/>
      </c>
      <c r="N775" s="29" t="str">
        <f t="shared" si="89"/>
        <v/>
      </c>
      <c r="O775" s="29" t="str">
        <f t="shared" si="84"/>
        <v/>
      </c>
      <c r="P775" s="61"/>
      <c r="Q775" s="61"/>
      <c r="R775" s="61"/>
      <c r="S775" s="45"/>
      <c r="T775" s="29" t="str">
        <f t="shared" si="85"/>
        <v/>
      </c>
    </row>
    <row r="776" spans="1:20">
      <c r="A776" s="10" t="str">
        <f t="shared" si="90"/>
        <v/>
      </c>
      <c r="B776" s="63"/>
      <c r="C776" s="25" t="str">
        <f t="shared" si="86"/>
        <v/>
      </c>
      <c r="D776" s="25" t="str">
        <f t="shared" si="87"/>
        <v/>
      </c>
      <c r="E776" s="45"/>
      <c r="F776" s="28" t="str">
        <f>IFERROR(VLOOKUP(E776,Category!$D$2:$E$600,2,FALSE),"")</f>
        <v/>
      </c>
      <c r="G776" s="65"/>
      <c r="H776" s="56"/>
      <c r="I776" s="66"/>
      <c r="J776" s="67"/>
      <c r="K776" s="67"/>
      <c r="L776" s="67"/>
      <c r="M776" s="29" t="str">
        <f t="shared" si="88"/>
        <v/>
      </c>
      <c r="N776" s="29" t="str">
        <f t="shared" si="89"/>
        <v/>
      </c>
      <c r="O776" s="29" t="str">
        <f t="shared" si="84"/>
        <v/>
      </c>
      <c r="P776" s="61"/>
      <c r="Q776" s="61"/>
      <c r="R776" s="61"/>
      <c r="S776" s="45"/>
      <c r="T776" s="29" t="str">
        <f t="shared" si="85"/>
        <v/>
      </c>
    </row>
    <row r="777" spans="1:20">
      <c r="A777" s="10" t="str">
        <f t="shared" si="90"/>
        <v/>
      </c>
      <c r="B777" s="63"/>
      <c r="C777" s="25" t="str">
        <f t="shared" si="86"/>
        <v/>
      </c>
      <c r="D777" s="25" t="str">
        <f t="shared" si="87"/>
        <v/>
      </c>
      <c r="E777" s="45"/>
      <c r="F777" s="28" t="str">
        <f>IFERROR(VLOOKUP(E777,Category!$D$2:$E$600,2,FALSE),"")</f>
        <v/>
      </c>
      <c r="G777" s="65"/>
      <c r="H777" s="56"/>
      <c r="I777" s="66"/>
      <c r="J777" s="67"/>
      <c r="K777" s="67"/>
      <c r="L777" s="67"/>
      <c r="M777" s="29" t="str">
        <f t="shared" si="88"/>
        <v/>
      </c>
      <c r="N777" s="29" t="str">
        <f t="shared" si="89"/>
        <v/>
      </c>
      <c r="O777" s="29" t="str">
        <f t="shared" si="84"/>
        <v/>
      </c>
      <c r="P777" s="61"/>
      <c r="Q777" s="61"/>
      <c r="R777" s="61"/>
      <c r="S777" s="45"/>
      <c r="T777" s="29" t="str">
        <f t="shared" si="85"/>
        <v/>
      </c>
    </row>
    <row r="778" spans="1:20">
      <c r="A778" s="10" t="str">
        <f t="shared" si="90"/>
        <v/>
      </c>
      <c r="B778" s="63"/>
      <c r="C778" s="25" t="str">
        <f t="shared" si="86"/>
        <v/>
      </c>
      <c r="D778" s="25" t="str">
        <f t="shared" si="87"/>
        <v/>
      </c>
      <c r="E778" s="45"/>
      <c r="F778" s="28" t="str">
        <f>IFERROR(VLOOKUP(E778,Category!$D$2:$E$600,2,FALSE),"")</f>
        <v/>
      </c>
      <c r="G778" s="65"/>
      <c r="H778" s="56"/>
      <c r="I778" s="66"/>
      <c r="J778" s="67"/>
      <c r="K778" s="67"/>
      <c r="L778" s="67"/>
      <c r="M778" s="29" t="str">
        <f t="shared" si="88"/>
        <v/>
      </c>
      <c r="N778" s="29" t="str">
        <f t="shared" si="89"/>
        <v/>
      </c>
      <c r="O778" s="29" t="str">
        <f t="shared" si="84"/>
        <v/>
      </c>
      <c r="P778" s="61"/>
      <c r="Q778" s="61"/>
      <c r="R778" s="61"/>
      <c r="S778" s="45"/>
      <c r="T778" s="29" t="str">
        <f t="shared" si="85"/>
        <v/>
      </c>
    </row>
    <row r="779" spans="1:20">
      <c r="A779" s="10" t="str">
        <f t="shared" si="90"/>
        <v/>
      </c>
      <c r="B779" s="63"/>
      <c r="C779" s="25" t="str">
        <f t="shared" si="86"/>
        <v/>
      </c>
      <c r="D779" s="25" t="str">
        <f t="shared" si="87"/>
        <v/>
      </c>
      <c r="E779" s="45"/>
      <c r="F779" s="28" t="str">
        <f>IFERROR(VLOOKUP(E779,Category!$D$2:$E$600,2,FALSE),"")</f>
        <v/>
      </c>
      <c r="G779" s="65"/>
      <c r="H779" s="56"/>
      <c r="I779" s="66"/>
      <c r="J779" s="67"/>
      <c r="K779" s="67"/>
      <c r="L779" s="67"/>
      <c r="M779" s="29" t="str">
        <f t="shared" si="88"/>
        <v/>
      </c>
      <c r="N779" s="29" t="str">
        <f t="shared" si="89"/>
        <v/>
      </c>
      <c r="O779" s="29" t="str">
        <f t="shared" si="84"/>
        <v/>
      </c>
      <c r="P779" s="61"/>
      <c r="Q779" s="61"/>
      <c r="R779" s="61"/>
      <c r="S779" s="45"/>
      <c r="T779" s="29" t="str">
        <f t="shared" si="85"/>
        <v/>
      </c>
    </row>
    <row r="780" spans="1:20">
      <c r="A780" s="10" t="str">
        <f t="shared" si="90"/>
        <v/>
      </c>
      <c r="B780" s="63"/>
      <c r="C780" s="25" t="str">
        <f t="shared" si="86"/>
        <v/>
      </c>
      <c r="D780" s="25" t="str">
        <f t="shared" si="87"/>
        <v/>
      </c>
      <c r="E780" s="45"/>
      <c r="F780" s="28" t="str">
        <f>IFERROR(VLOOKUP(E780,Category!$D$2:$E$600,2,FALSE),"")</f>
        <v/>
      </c>
      <c r="G780" s="65"/>
      <c r="H780" s="56"/>
      <c r="I780" s="66"/>
      <c r="J780" s="67"/>
      <c r="K780" s="67"/>
      <c r="L780" s="67"/>
      <c r="M780" s="29" t="str">
        <f t="shared" si="88"/>
        <v/>
      </c>
      <c r="N780" s="29" t="str">
        <f t="shared" si="89"/>
        <v/>
      </c>
      <c r="O780" s="29" t="str">
        <f t="shared" si="84"/>
        <v/>
      </c>
      <c r="P780" s="61"/>
      <c r="Q780" s="61"/>
      <c r="R780" s="61"/>
      <c r="S780" s="45"/>
      <c r="T780" s="29" t="str">
        <f t="shared" si="85"/>
        <v/>
      </c>
    </row>
    <row r="781" spans="1:20">
      <c r="A781" s="10" t="str">
        <f t="shared" si="90"/>
        <v/>
      </c>
      <c r="B781" s="63"/>
      <c r="C781" s="25" t="str">
        <f t="shared" si="86"/>
        <v/>
      </c>
      <c r="D781" s="25" t="str">
        <f t="shared" si="87"/>
        <v/>
      </c>
      <c r="E781" s="45"/>
      <c r="F781" s="28" t="str">
        <f>IFERROR(VLOOKUP(E781,Category!$D$2:$E$600,2,FALSE),"")</f>
        <v/>
      </c>
      <c r="G781" s="65"/>
      <c r="H781" s="56"/>
      <c r="I781" s="66"/>
      <c r="J781" s="67"/>
      <c r="K781" s="67"/>
      <c r="L781" s="67"/>
      <c r="M781" s="29" t="str">
        <f t="shared" si="88"/>
        <v/>
      </c>
      <c r="N781" s="29" t="str">
        <f t="shared" si="89"/>
        <v/>
      </c>
      <c r="O781" s="29" t="str">
        <f t="shared" si="84"/>
        <v/>
      </c>
      <c r="P781" s="61"/>
      <c r="Q781" s="61"/>
      <c r="R781" s="61"/>
      <c r="S781" s="45"/>
      <c r="T781" s="29" t="str">
        <f t="shared" si="85"/>
        <v/>
      </c>
    </row>
    <row r="782" spans="1:20">
      <c r="A782" s="10" t="str">
        <f t="shared" si="90"/>
        <v/>
      </c>
      <c r="B782" s="63"/>
      <c r="C782" s="25" t="str">
        <f t="shared" si="86"/>
        <v/>
      </c>
      <c r="D782" s="25" t="str">
        <f t="shared" si="87"/>
        <v/>
      </c>
      <c r="E782" s="45"/>
      <c r="F782" s="28" t="str">
        <f>IFERROR(VLOOKUP(E782,Category!$D$2:$E$600,2,FALSE),"")</f>
        <v/>
      </c>
      <c r="G782" s="65"/>
      <c r="H782" s="56"/>
      <c r="I782" s="66"/>
      <c r="J782" s="67"/>
      <c r="K782" s="67"/>
      <c r="L782" s="67"/>
      <c r="M782" s="29" t="str">
        <f t="shared" si="88"/>
        <v/>
      </c>
      <c r="N782" s="29" t="str">
        <f t="shared" si="89"/>
        <v/>
      </c>
      <c r="O782" s="29" t="str">
        <f t="shared" si="84"/>
        <v/>
      </c>
      <c r="P782" s="61"/>
      <c r="Q782" s="61"/>
      <c r="R782" s="61"/>
      <c r="S782" s="45"/>
      <c r="T782" s="29" t="str">
        <f t="shared" si="85"/>
        <v/>
      </c>
    </row>
    <row r="783" spans="1:20">
      <c r="A783" s="10" t="str">
        <f t="shared" si="90"/>
        <v/>
      </c>
      <c r="B783" s="63"/>
      <c r="C783" s="25" t="str">
        <f t="shared" si="86"/>
        <v/>
      </c>
      <c r="D783" s="25" t="str">
        <f t="shared" si="87"/>
        <v/>
      </c>
      <c r="E783" s="45"/>
      <c r="F783" s="28" t="str">
        <f>IFERROR(VLOOKUP(E783,Category!$D$2:$E$600,2,FALSE),"")</f>
        <v/>
      </c>
      <c r="G783" s="65"/>
      <c r="H783" s="56"/>
      <c r="I783" s="66"/>
      <c r="J783" s="67"/>
      <c r="K783" s="67"/>
      <c r="L783" s="67"/>
      <c r="M783" s="29" t="str">
        <f t="shared" si="88"/>
        <v/>
      </c>
      <c r="N783" s="29" t="str">
        <f t="shared" si="89"/>
        <v/>
      </c>
      <c r="O783" s="29" t="str">
        <f t="shared" si="84"/>
        <v/>
      </c>
      <c r="P783" s="61"/>
      <c r="Q783" s="61"/>
      <c r="R783" s="61"/>
      <c r="S783" s="45"/>
      <c r="T783" s="29" t="str">
        <f t="shared" si="85"/>
        <v/>
      </c>
    </row>
    <row r="784" spans="1:20">
      <c r="A784" s="10" t="str">
        <f t="shared" si="90"/>
        <v/>
      </c>
      <c r="B784" s="63"/>
      <c r="C784" s="25" t="str">
        <f t="shared" si="86"/>
        <v/>
      </c>
      <c r="D784" s="25" t="str">
        <f t="shared" si="87"/>
        <v/>
      </c>
      <c r="E784" s="45"/>
      <c r="F784" s="28" t="str">
        <f>IFERROR(VLOOKUP(E784,Category!$D$2:$E$600,2,FALSE),"")</f>
        <v/>
      </c>
      <c r="G784" s="65"/>
      <c r="H784" s="56"/>
      <c r="I784" s="66"/>
      <c r="J784" s="67"/>
      <c r="K784" s="67"/>
      <c r="L784" s="67"/>
      <c r="M784" s="29" t="str">
        <f t="shared" si="88"/>
        <v/>
      </c>
      <c r="N784" s="29" t="str">
        <f t="shared" si="89"/>
        <v/>
      </c>
      <c r="O784" s="29" t="str">
        <f t="shared" si="84"/>
        <v/>
      </c>
      <c r="P784" s="61"/>
      <c r="Q784" s="61"/>
      <c r="R784" s="61"/>
      <c r="S784" s="45"/>
      <c r="T784" s="29" t="str">
        <f t="shared" si="85"/>
        <v/>
      </c>
    </row>
    <row r="785" spans="1:20">
      <c r="A785" s="10" t="str">
        <f t="shared" si="90"/>
        <v/>
      </c>
      <c r="B785" s="63"/>
      <c r="C785" s="25" t="str">
        <f t="shared" si="86"/>
        <v/>
      </c>
      <c r="D785" s="25" t="str">
        <f t="shared" si="87"/>
        <v/>
      </c>
      <c r="E785" s="45"/>
      <c r="F785" s="28" t="str">
        <f>IFERROR(VLOOKUP(E785,Category!$D$2:$E$600,2,FALSE),"")</f>
        <v/>
      </c>
      <c r="G785" s="65"/>
      <c r="H785" s="56"/>
      <c r="I785" s="66"/>
      <c r="J785" s="67"/>
      <c r="K785" s="67"/>
      <c r="L785" s="67"/>
      <c r="M785" s="29" t="str">
        <f t="shared" si="88"/>
        <v/>
      </c>
      <c r="N785" s="29" t="str">
        <f t="shared" si="89"/>
        <v/>
      </c>
      <c r="O785" s="29" t="str">
        <f t="shared" si="84"/>
        <v/>
      </c>
      <c r="P785" s="61"/>
      <c r="Q785" s="61"/>
      <c r="R785" s="61"/>
      <c r="S785" s="45"/>
      <c r="T785" s="29" t="str">
        <f t="shared" si="85"/>
        <v/>
      </c>
    </row>
    <row r="786" spans="1:20">
      <c r="A786" s="10" t="str">
        <f t="shared" si="90"/>
        <v/>
      </c>
      <c r="B786" s="63"/>
      <c r="C786" s="25" t="str">
        <f t="shared" si="86"/>
        <v/>
      </c>
      <c r="D786" s="25" t="str">
        <f t="shared" si="87"/>
        <v/>
      </c>
      <c r="E786" s="45"/>
      <c r="F786" s="28" t="str">
        <f>IFERROR(VLOOKUP(E786,Category!$D$2:$E$600,2,FALSE),"")</f>
        <v/>
      </c>
      <c r="G786" s="65"/>
      <c r="H786" s="56"/>
      <c r="I786" s="66"/>
      <c r="J786" s="67"/>
      <c r="K786" s="67"/>
      <c r="L786" s="67"/>
      <c r="M786" s="29" t="str">
        <f t="shared" si="88"/>
        <v/>
      </c>
      <c r="N786" s="29" t="str">
        <f t="shared" si="89"/>
        <v/>
      </c>
      <c r="O786" s="29" t="str">
        <f t="shared" si="84"/>
        <v/>
      </c>
      <c r="P786" s="61"/>
      <c r="Q786" s="61"/>
      <c r="R786" s="61"/>
      <c r="S786" s="45"/>
      <c r="T786" s="29" t="str">
        <f t="shared" si="85"/>
        <v/>
      </c>
    </row>
    <row r="787" spans="1:20">
      <c r="A787" s="10" t="str">
        <f t="shared" si="90"/>
        <v/>
      </c>
      <c r="B787" s="63"/>
      <c r="C787" s="25" t="str">
        <f t="shared" si="86"/>
        <v/>
      </c>
      <c r="D787" s="25" t="str">
        <f t="shared" si="87"/>
        <v/>
      </c>
      <c r="E787" s="45"/>
      <c r="F787" s="28" t="str">
        <f>IFERROR(VLOOKUP(E787,Category!$D$2:$E$600,2,FALSE),"")</f>
        <v/>
      </c>
      <c r="G787" s="65"/>
      <c r="H787" s="56"/>
      <c r="I787" s="66"/>
      <c r="J787" s="67"/>
      <c r="K787" s="67"/>
      <c r="L787" s="67"/>
      <c r="M787" s="29" t="str">
        <f t="shared" si="88"/>
        <v/>
      </c>
      <c r="N787" s="29" t="str">
        <f t="shared" si="89"/>
        <v/>
      </c>
      <c r="O787" s="29" t="str">
        <f t="shared" si="84"/>
        <v/>
      </c>
      <c r="P787" s="61"/>
      <c r="Q787" s="61"/>
      <c r="R787" s="61"/>
      <c r="S787" s="45"/>
      <c r="T787" s="29" t="str">
        <f t="shared" si="85"/>
        <v/>
      </c>
    </row>
    <row r="788" spans="1:20">
      <c r="A788" s="10" t="str">
        <f t="shared" si="90"/>
        <v/>
      </c>
      <c r="B788" s="63"/>
      <c r="C788" s="25" t="str">
        <f t="shared" si="86"/>
        <v/>
      </c>
      <c r="D788" s="25" t="str">
        <f t="shared" si="87"/>
        <v/>
      </c>
      <c r="E788" s="45"/>
      <c r="F788" s="28" t="str">
        <f>IFERROR(VLOOKUP(E788,Category!$D$2:$E$600,2,FALSE),"")</f>
        <v/>
      </c>
      <c r="G788" s="65"/>
      <c r="H788" s="56"/>
      <c r="I788" s="66"/>
      <c r="J788" s="67"/>
      <c r="K788" s="67"/>
      <c r="L788" s="67"/>
      <c r="M788" s="29" t="str">
        <f t="shared" si="88"/>
        <v/>
      </c>
      <c r="N788" s="29" t="str">
        <f t="shared" si="89"/>
        <v/>
      </c>
      <c r="O788" s="29" t="str">
        <f t="shared" si="84"/>
        <v/>
      </c>
      <c r="P788" s="61"/>
      <c r="Q788" s="61"/>
      <c r="R788" s="61"/>
      <c r="S788" s="45"/>
      <c r="T788" s="29" t="str">
        <f t="shared" si="85"/>
        <v/>
      </c>
    </row>
    <row r="789" spans="1:20">
      <c r="A789" s="10" t="str">
        <f t="shared" si="90"/>
        <v/>
      </c>
      <c r="B789" s="63"/>
      <c r="C789" s="25" t="str">
        <f t="shared" si="86"/>
        <v/>
      </c>
      <c r="D789" s="25" t="str">
        <f t="shared" si="87"/>
        <v/>
      </c>
      <c r="E789" s="45"/>
      <c r="F789" s="28" t="str">
        <f>IFERROR(VLOOKUP(E789,Category!$D$2:$E$600,2,FALSE),"")</f>
        <v/>
      </c>
      <c r="G789" s="65"/>
      <c r="H789" s="56"/>
      <c r="I789" s="66"/>
      <c r="J789" s="67"/>
      <c r="K789" s="67"/>
      <c r="L789" s="67"/>
      <c r="M789" s="29" t="str">
        <f t="shared" si="88"/>
        <v/>
      </c>
      <c r="N789" s="29" t="str">
        <f t="shared" si="89"/>
        <v/>
      </c>
      <c r="O789" s="29" t="str">
        <f t="shared" si="84"/>
        <v/>
      </c>
      <c r="P789" s="61"/>
      <c r="Q789" s="61"/>
      <c r="R789" s="61"/>
      <c r="S789" s="45"/>
      <c r="T789" s="29" t="str">
        <f t="shared" si="85"/>
        <v/>
      </c>
    </row>
    <row r="790" spans="1:20">
      <c r="A790" s="10" t="str">
        <f t="shared" si="90"/>
        <v/>
      </c>
      <c r="B790" s="63"/>
      <c r="C790" s="25" t="str">
        <f t="shared" si="86"/>
        <v/>
      </c>
      <c r="D790" s="25" t="str">
        <f t="shared" si="87"/>
        <v/>
      </c>
      <c r="E790" s="45"/>
      <c r="F790" s="28" t="str">
        <f>IFERROR(VLOOKUP(E790,Category!$D$2:$E$600,2,FALSE),"")</f>
        <v/>
      </c>
      <c r="G790" s="65"/>
      <c r="H790" s="56"/>
      <c r="I790" s="66"/>
      <c r="J790" s="67"/>
      <c r="K790" s="67"/>
      <c r="L790" s="67"/>
      <c r="M790" s="29" t="str">
        <f t="shared" si="88"/>
        <v/>
      </c>
      <c r="N790" s="29" t="str">
        <f t="shared" si="89"/>
        <v/>
      </c>
      <c r="O790" s="29" t="str">
        <f t="shared" si="84"/>
        <v/>
      </c>
      <c r="P790" s="61"/>
      <c r="Q790" s="61"/>
      <c r="R790" s="61"/>
      <c r="S790" s="45"/>
      <c r="T790" s="29" t="str">
        <f t="shared" si="85"/>
        <v/>
      </c>
    </row>
    <row r="791" spans="1:20">
      <c r="A791" s="10" t="str">
        <f t="shared" si="90"/>
        <v/>
      </c>
      <c r="B791" s="63"/>
      <c r="C791" s="25" t="str">
        <f t="shared" si="86"/>
        <v/>
      </c>
      <c r="D791" s="25" t="str">
        <f t="shared" si="87"/>
        <v/>
      </c>
      <c r="E791" s="45"/>
      <c r="F791" s="28" t="str">
        <f>IFERROR(VLOOKUP(E791,Category!$D$2:$E$600,2,FALSE),"")</f>
        <v/>
      </c>
      <c r="G791" s="65"/>
      <c r="H791" s="56"/>
      <c r="I791" s="66"/>
      <c r="J791" s="67"/>
      <c r="K791" s="67"/>
      <c r="L791" s="67"/>
      <c r="M791" s="29" t="str">
        <f t="shared" si="88"/>
        <v/>
      </c>
      <c r="N791" s="29" t="str">
        <f t="shared" si="89"/>
        <v/>
      </c>
      <c r="O791" s="29" t="str">
        <f t="shared" si="84"/>
        <v/>
      </c>
      <c r="P791" s="61"/>
      <c r="Q791" s="61"/>
      <c r="R791" s="61"/>
      <c r="S791" s="45"/>
      <c r="T791" s="29" t="str">
        <f t="shared" si="85"/>
        <v/>
      </c>
    </row>
    <row r="792" spans="1:20">
      <c r="A792" s="10" t="str">
        <f t="shared" si="90"/>
        <v/>
      </c>
      <c r="B792" s="63"/>
      <c r="C792" s="25" t="str">
        <f t="shared" si="86"/>
        <v/>
      </c>
      <c r="D792" s="25" t="str">
        <f t="shared" si="87"/>
        <v/>
      </c>
      <c r="E792" s="45"/>
      <c r="F792" s="28" t="str">
        <f>IFERROR(VLOOKUP(E792,Category!$D$2:$E$600,2,FALSE),"")</f>
        <v/>
      </c>
      <c r="G792" s="65"/>
      <c r="H792" s="56"/>
      <c r="I792" s="66"/>
      <c r="J792" s="67"/>
      <c r="K792" s="67"/>
      <c r="L792" s="67"/>
      <c r="M792" s="29" t="str">
        <f t="shared" si="88"/>
        <v/>
      </c>
      <c r="N792" s="29" t="str">
        <f t="shared" si="89"/>
        <v/>
      </c>
      <c r="O792" s="29" t="str">
        <f t="shared" si="84"/>
        <v/>
      </c>
      <c r="P792" s="61"/>
      <c r="Q792" s="61"/>
      <c r="R792" s="61"/>
      <c r="S792" s="45"/>
      <c r="T792" s="29" t="str">
        <f t="shared" si="85"/>
        <v/>
      </c>
    </row>
    <row r="793" spans="1:20">
      <c r="A793" s="10" t="str">
        <f t="shared" si="90"/>
        <v/>
      </c>
      <c r="B793" s="63"/>
      <c r="C793" s="25" t="str">
        <f t="shared" si="86"/>
        <v/>
      </c>
      <c r="D793" s="25" t="str">
        <f t="shared" si="87"/>
        <v/>
      </c>
      <c r="E793" s="45"/>
      <c r="F793" s="28" t="str">
        <f>IFERROR(VLOOKUP(E793,Category!$D$2:$E$600,2,FALSE),"")</f>
        <v/>
      </c>
      <c r="G793" s="65"/>
      <c r="H793" s="56"/>
      <c r="I793" s="66"/>
      <c r="J793" s="67"/>
      <c r="K793" s="67"/>
      <c r="L793" s="67"/>
      <c r="M793" s="29" t="str">
        <f t="shared" si="88"/>
        <v/>
      </c>
      <c r="N793" s="29" t="str">
        <f t="shared" si="89"/>
        <v/>
      </c>
      <c r="O793" s="29" t="str">
        <f t="shared" si="84"/>
        <v/>
      </c>
      <c r="P793" s="61"/>
      <c r="Q793" s="61"/>
      <c r="R793" s="61"/>
      <c r="S793" s="45"/>
      <c r="T793" s="29" t="str">
        <f t="shared" si="85"/>
        <v/>
      </c>
    </row>
    <row r="794" spans="1:20">
      <c r="A794" s="10" t="str">
        <f t="shared" si="90"/>
        <v/>
      </c>
      <c r="B794" s="63"/>
      <c r="C794" s="25" t="str">
        <f t="shared" si="86"/>
        <v/>
      </c>
      <c r="D794" s="25" t="str">
        <f t="shared" si="87"/>
        <v/>
      </c>
      <c r="E794" s="45"/>
      <c r="F794" s="28" t="str">
        <f>IFERROR(VLOOKUP(E794,Category!$D$2:$E$600,2,FALSE),"")</f>
        <v/>
      </c>
      <c r="G794" s="65"/>
      <c r="H794" s="56"/>
      <c r="I794" s="66"/>
      <c r="J794" s="67"/>
      <c r="K794" s="67"/>
      <c r="L794" s="67"/>
      <c r="M794" s="29" t="str">
        <f t="shared" si="88"/>
        <v/>
      </c>
      <c r="N794" s="29" t="str">
        <f t="shared" si="89"/>
        <v/>
      </c>
      <c r="O794" s="29" t="str">
        <f t="shared" si="84"/>
        <v/>
      </c>
      <c r="P794" s="61"/>
      <c r="Q794" s="61"/>
      <c r="R794" s="61"/>
      <c r="S794" s="45"/>
      <c r="T794" s="29" t="str">
        <f t="shared" si="85"/>
        <v/>
      </c>
    </row>
    <row r="795" spans="1:20">
      <c r="A795" s="10" t="str">
        <f t="shared" si="90"/>
        <v/>
      </c>
      <c r="B795" s="63"/>
      <c r="C795" s="25" t="str">
        <f t="shared" si="86"/>
        <v/>
      </c>
      <c r="D795" s="25" t="str">
        <f t="shared" si="87"/>
        <v/>
      </c>
      <c r="E795" s="45"/>
      <c r="F795" s="28" t="str">
        <f>IFERROR(VLOOKUP(E795,Category!$D$2:$E$600,2,FALSE),"")</f>
        <v/>
      </c>
      <c r="G795" s="65"/>
      <c r="H795" s="56"/>
      <c r="I795" s="66"/>
      <c r="J795" s="67"/>
      <c r="K795" s="67"/>
      <c r="L795" s="67"/>
      <c r="M795" s="29" t="str">
        <f t="shared" si="88"/>
        <v/>
      </c>
      <c r="N795" s="29" t="str">
        <f t="shared" si="89"/>
        <v/>
      </c>
      <c r="O795" s="29" t="str">
        <f t="shared" si="84"/>
        <v/>
      </c>
      <c r="P795" s="61"/>
      <c r="Q795" s="61"/>
      <c r="R795" s="61"/>
      <c r="S795" s="45"/>
      <c r="T795" s="29" t="str">
        <f t="shared" si="85"/>
        <v/>
      </c>
    </row>
    <row r="796" spans="1:20">
      <c r="A796" s="10" t="str">
        <f t="shared" si="90"/>
        <v/>
      </c>
      <c r="B796" s="63"/>
      <c r="C796" s="25" t="str">
        <f t="shared" si="86"/>
        <v/>
      </c>
      <c r="D796" s="25" t="str">
        <f t="shared" si="87"/>
        <v/>
      </c>
      <c r="E796" s="45"/>
      <c r="F796" s="28" t="str">
        <f>IFERROR(VLOOKUP(E796,Category!$D$2:$E$600,2,FALSE),"")</f>
        <v/>
      </c>
      <c r="G796" s="65"/>
      <c r="H796" s="56"/>
      <c r="I796" s="66"/>
      <c r="J796" s="67"/>
      <c r="K796" s="67"/>
      <c r="L796" s="67"/>
      <c r="M796" s="29" t="str">
        <f t="shared" si="88"/>
        <v/>
      </c>
      <c r="N796" s="29" t="str">
        <f t="shared" si="89"/>
        <v/>
      </c>
      <c r="O796" s="29" t="str">
        <f t="shared" si="84"/>
        <v/>
      </c>
      <c r="P796" s="61"/>
      <c r="Q796" s="61"/>
      <c r="R796" s="61"/>
      <c r="S796" s="45"/>
      <c r="T796" s="29" t="str">
        <f t="shared" si="85"/>
        <v/>
      </c>
    </row>
    <row r="797" spans="1:20">
      <c r="A797" s="10" t="str">
        <f t="shared" si="90"/>
        <v/>
      </c>
      <c r="B797" s="63"/>
      <c r="C797" s="25" t="str">
        <f t="shared" si="86"/>
        <v/>
      </c>
      <c r="D797" s="25" t="str">
        <f t="shared" si="87"/>
        <v/>
      </c>
      <c r="E797" s="45"/>
      <c r="F797" s="28" t="str">
        <f>IFERROR(VLOOKUP(E797,Category!$D$2:$E$600,2,FALSE),"")</f>
        <v/>
      </c>
      <c r="G797" s="65"/>
      <c r="H797" s="56"/>
      <c r="I797" s="66"/>
      <c r="J797" s="67"/>
      <c r="K797" s="67"/>
      <c r="L797" s="67"/>
      <c r="M797" s="29" t="str">
        <f t="shared" si="88"/>
        <v/>
      </c>
      <c r="N797" s="29" t="str">
        <f t="shared" si="89"/>
        <v/>
      </c>
      <c r="O797" s="29" t="str">
        <f t="shared" si="84"/>
        <v/>
      </c>
      <c r="P797" s="61"/>
      <c r="Q797" s="61"/>
      <c r="R797" s="61"/>
      <c r="S797" s="45"/>
      <c r="T797" s="29" t="str">
        <f t="shared" si="85"/>
        <v/>
      </c>
    </row>
    <row r="798" spans="1:20">
      <c r="A798" s="10" t="str">
        <f t="shared" si="90"/>
        <v/>
      </c>
      <c r="B798" s="63"/>
      <c r="C798" s="25" t="str">
        <f t="shared" si="86"/>
        <v/>
      </c>
      <c r="D798" s="25" t="str">
        <f t="shared" si="87"/>
        <v/>
      </c>
      <c r="E798" s="45"/>
      <c r="F798" s="28" t="str">
        <f>IFERROR(VLOOKUP(E798,Category!$D$2:$E$600,2,FALSE),"")</f>
        <v/>
      </c>
      <c r="G798" s="65"/>
      <c r="H798" s="56"/>
      <c r="I798" s="66"/>
      <c r="J798" s="67"/>
      <c r="K798" s="67"/>
      <c r="L798" s="67"/>
      <c r="M798" s="29" t="str">
        <f t="shared" si="88"/>
        <v/>
      </c>
      <c r="N798" s="29" t="str">
        <f t="shared" si="89"/>
        <v/>
      </c>
      <c r="O798" s="29" t="str">
        <f t="shared" si="84"/>
        <v/>
      </c>
      <c r="P798" s="61"/>
      <c r="Q798" s="61"/>
      <c r="R798" s="61"/>
      <c r="S798" s="45"/>
      <c r="T798" s="29" t="str">
        <f t="shared" si="85"/>
        <v/>
      </c>
    </row>
    <row r="799" spans="1:20">
      <c r="A799" s="10" t="str">
        <f t="shared" si="90"/>
        <v/>
      </c>
      <c r="B799" s="63"/>
      <c r="C799" s="25" t="str">
        <f t="shared" si="86"/>
        <v/>
      </c>
      <c r="D799" s="25" t="str">
        <f t="shared" si="87"/>
        <v/>
      </c>
      <c r="E799" s="45"/>
      <c r="F799" s="28" t="str">
        <f>IFERROR(VLOOKUP(E799,Category!$D$2:$E$600,2,FALSE),"")</f>
        <v/>
      </c>
      <c r="G799" s="65"/>
      <c r="H799" s="56"/>
      <c r="I799" s="66"/>
      <c r="J799" s="67"/>
      <c r="K799" s="67"/>
      <c r="L799" s="67"/>
      <c r="M799" s="29" t="str">
        <f t="shared" si="88"/>
        <v/>
      </c>
      <c r="N799" s="29" t="str">
        <f t="shared" si="89"/>
        <v/>
      </c>
      <c r="O799" s="29" t="str">
        <f t="shared" si="84"/>
        <v/>
      </c>
      <c r="P799" s="61"/>
      <c r="Q799" s="61"/>
      <c r="R799" s="61"/>
      <c r="S799" s="45"/>
      <c r="T799" s="29" t="str">
        <f t="shared" si="85"/>
        <v/>
      </c>
    </row>
    <row r="800" spans="1:20">
      <c r="A800" s="10" t="str">
        <f t="shared" si="90"/>
        <v/>
      </c>
      <c r="B800" s="63"/>
      <c r="C800" s="25" t="str">
        <f t="shared" si="86"/>
        <v/>
      </c>
      <c r="D800" s="25" t="str">
        <f t="shared" si="87"/>
        <v/>
      </c>
      <c r="E800" s="45"/>
      <c r="F800" s="28" t="str">
        <f>IFERROR(VLOOKUP(E800,Category!$D$2:$E$600,2,FALSE),"")</f>
        <v/>
      </c>
      <c r="G800" s="65"/>
      <c r="H800" s="56"/>
      <c r="I800" s="66"/>
      <c r="J800" s="67"/>
      <c r="K800" s="67"/>
      <c r="L800" s="67"/>
      <c r="M800" s="29" t="str">
        <f t="shared" si="88"/>
        <v/>
      </c>
      <c r="N800" s="29" t="str">
        <f t="shared" si="89"/>
        <v/>
      </c>
      <c r="O800" s="29" t="str">
        <f t="shared" si="84"/>
        <v/>
      </c>
      <c r="P800" s="61"/>
      <c r="Q800" s="61"/>
      <c r="R800" s="61"/>
      <c r="S800" s="45"/>
      <c r="T800" s="29" t="str">
        <f t="shared" si="85"/>
        <v/>
      </c>
    </row>
    <row r="801" spans="1:20">
      <c r="A801" s="10" t="str">
        <f t="shared" si="90"/>
        <v/>
      </c>
      <c r="B801" s="63"/>
      <c r="C801" s="25" t="str">
        <f t="shared" si="86"/>
        <v/>
      </c>
      <c r="D801" s="25" t="str">
        <f t="shared" si="87"/>
        <v/>
      </c>
      <c r="E801" s="45"/>
      <c r="F801" s="28" t="str">
        <f>IFERROR(VLOOKUP(E801,Category!$D$2:$E$600,2,FALSE),"")</f>
        <v/>
      </c>
      <c r="G801" s="65"/>
      <c r="H801" s="56"/>
      <c r="I801" s="66"/>
      <c r="J801" s="67"/>
      <c r="K801" s="67"/>
      <c r="L801" s="67"/>
      <c r="M801" s="29" t="str">
        <f t="shared" si="88"/>
        <v/>
      </c>
      <c r="N801" s="29" t="str">
        <f t="shared" si="89"/>
        <v/>
      </c>
      <c r="O801" s="29" t="str">
        <f t="shared" si="84"/>
        <v/>
      </c>
      <c r="P801" s="61"/>
      <c r="Q801" s="61"/>
      <c r="R801" s="61"/>
      <c r="S801" s="45"/>
      <c r="T801" s="29" t="str">
        <f t="shared" si="85"/>
        <v/>
      </c>
    </row>
    <row r="802" spans="1:20">
      <c r="A802" s="10" t="str">
        <f t="shared" si="90"/>
        <v/>
      </c>
      <c r="B802" s="63"/>
      <c r="C802" s="25" t="str">
        <f t="shared" si="86"/>
        <v/>
      </c>
      <c r="D802" s="25" t="str">
        <f t="shared" si="87"/>
        <v/>
      </c>
      <c r="E802" s="45"/>
      <c r="F802" s="28" t="str">
        <f>IFERROR(VLOOKUP(E802,Category!$D$2:$E$600,2,FALSE),"")</f>
        <v/>
      </c>
      <c r="G802" s="65"/>
      <c r="H802" s="56"/>
      <c r="I802" s="66"/>
      <c r="J802" s="67"/>
      <c r="K802" s="67"/>
      <c r="L802" s="67"/>
      <c r="M802" s="29" t="str">
        <f t="shared" si="88"/>
        <v/>
      </c>
      <c r="N802" s="29" t="str">
        <f t="shared" si="89"/>
        <v/>
      </c>
      <c r="O802" s="29" t="str">
        <f t="shared" si="84"/>
        <v/>
      </c>
      <c r="P802" s="61"/>
      <c r="Q802" s="61"/>
      <c r="R802" s="61"/>
      <c r="S802" s="45"/>
      <c r="T802" s="29" t="str">
        <f t="shared" si="85"/>
        <v/>
      </c>
    </row>
    <row r="803" spans="1:20">
      <c r="A803" s="10" t="str">
        <f t="shared" si="90"/>
        <v/>
      </c>
      <c r="B803" s="63"/>
      <c r="C803" s="25" t="str">
        <f t="shared" si="86"/>
        <v/>
      </c>
      <c r="D803" s="25" t="str">
        <f t="shared" si="87"/>
        <v/>
      </c>
      <c r="E803" s="45"/>
      <c r="F803" s="28" t="str">
        <f>IFERROR(VLOOKUP(E803,Category!$D$2:$E$600,2,FALSE),"")</f>
        <v/>
      </c>
      <c r="G803" s="65"/>
      <c r="H803" s="56"/>
      <c r="I803" s="66"/>
      <c r="J803" s="67"/>
      <c r="K803" s="67"/>
      <c r="L803" s="67"/>
      <c r="M803" s="29" t="str">
        <f t="shared" si="88"/>
        <v/>
      </c>
      <c r="N803" s="29" t="str">
        <f t="shared" si="89"/>
        <v/>
      </c>
      <c r="O803" s="29" t="str">
        <f t="shared" si="84"/>
        <v/>
      </c>
      <c r="P803" s="61"/>
      <c r="Q803" s="61"/>
      <c r="R803" s="61"/>
      <c r="S803" s="45"/>
      <c r="T803" s="29" t="str">
        <f t="shared" si="85"/>
        <v/>
      </c>
    </row>
    <row r="804" spans="1:20">
      <c r="A804" s="10" t="str">
        <f t="shared" si="90"/>
        <v/>
      </c>
      <c r="B804" s="63"/>
      <c r="C804" s="25" t="str">
        <f t="shared" si="86"/>
        <v/>
      </c>
      <c r="D804" s="25" t="str">
        <f t="shared" si="87"/>
        <v/>
      </c>
      <c r="E804" s="45"/>
      <c r="F804" s="28" t="str">
        <f>IFERROR(VLOOKUP(E804,Category!$D$2:$E$600,2,FALSE),"")</f>
        <v/>
      </c>
      <c r="G804" s="65"/>
      <c r="H804" s="56"/>
      <c r="I804" s="66"/>
      <c r="J804" s="67"/>
      <c r="K804" s="67"/>
      <c r="L804" s="67"/>
      <c r="M804" s="29" t="str">
        <f t="shared" si="88"/>
        <v/>
      </c>
      <c r="N804" s="29" t="str">
        <f t="shared" si="89"/>
        <v/>
      </c>
      <c r="O804" s="29" t="str">
        <f t="shared" si="84"/>
        <v/>
      </c>
      <c r="P804" s="61"/>
      <c r="Q804" s="61"/>
      <c r="R804" s="61"/>
      <c r="S804" s="45"/>
      <c r="T804" s="29" t="str">
        <f t="shared" si="85"/>
        <v/>
      </c>
    </row>
    <row r="805" spans="1:20">
      <c r="A805" s="10" t="str">
        <f t="shared" si="90"/>
        <v/>
      </c>
      <c r="B805" s="63"/>
      <c r="C805" s="25" t="str">
        <f t="shared" si="86"/>
        <v/>
      </c>
      <c r="D805" s="25" t="str">
        <f t="shared" si="87"/>
        <v/>
      </c>
      <c r="E805" s="45"/>
      <c r="F805" s="28" t="str">
        <f>IFERROR(VLOOKUP(E805,Category!$D$2:$E$600,2,FALSE),"")</f>
        <v/>
      </c>
      <c r="G805" s="65"/>
      <c r="H805" s="56"/>
      <c r="I805" s="66"/>
      <c r="J805" s="67"/>
      <c r="K805" s="67"/>
      <c r="L805" s="67"/>
      <c r="M805" s="29" t="str">
        <f t="shared" si="88"/>
        <v/>
      </c>
      <c r="N805" s="29" t="str">
        <f t="shared" si="89"/>
        <v/>
      </c>
      <c r="O805" s="29" t="str">
        <f t="shared" si="84"/>
        <v/>
      </c>
      <c r="P805" s="61"/>
      <c r="Q805" s="61"/>
      <c r="R805" s="61"/>
      <c r="S805" s="45"/>
      <c r="T805" s="29" t="str">
        <f t="shared" si="85"/>
        <v/>
      </c>
    </row>
    <row r="806" spans="1:20">
      <c r="A806" s="10" t="str">
        <f t="shared" si="90"/>
        <v/>
      </c>
      <c r="B806" s="63"/>
      <c r="C806" s="25" t="str">
        <f t="shared" si="86"/>
        <v/>
      </c>
      <c r="D806" s="25" t="str">
        <f t="shared" si="87"/>
        <v/>
      </c>
      <c r="E806" s="45"/>
      <c r="F806" s="28" t="str">
        <f>IFERROR(VLOOKUP(E806,Category!$D$2:$E$600,2,FALSE),"")</f>
        <v/>
      </c>
      <c r="G806" s="65"/>
      <c r="H806" s="56"/>
      <c r="I806" s="66"/>
      <c r="J806" s="67"/>
      <c r="K806" s="67"/>
      <c r="L806" s="67"/>
      <c r="M806" s="29" t="str">
        <f t="shared" si="88"/>
        <v/>
      </c>
      <c r="N806" s="29" t="str">
        <f t="shared" si="89"/>
        <v/>
      </c>
      <c r="O806" s="29" t="str">
        <f t="shared" si="84"/>
        <v/>
      </c>
      <c r="P806" s="61"/>
      <c r="Q806" s="61"/>
      <c r="R806" s="61"/>
      <c r="S806" s="45"/>
      <c r="T806" s="29" t="str">
        <f t="shared" si="85"/>
        <v/>
      </c>
    </row>
    <row r="807" spans="1:20">
      <c r="A807" s="10" t="str">
        <f t="shared" si="90"/>
        <v/>
      </c>
      <c r="B807" s="63"/>
      <c r="C807" s="25" t="str">
        <f t="shared" si="86"/>
        <v/>
      </c>
      <c r="D807" s="25" t="str">
        <f t="shared" si="87"/>
        <v/>
      </c>
      <c r="E807" s="45"/>
      <c r="F807" s="28" t="str">
        <f>IFERROR(VLOOKUP(E807,Category!$D$2:$E$600,2,FALSE),"")</f>
        <v/>
      </c>
      <c r="G807" s="65"/>
      <c r="H807" s="56"/>
      <c r="I807" s="66"/>
      <c r="J807" s="67"/>
      <c r="K807" s="67"/>
      <c r="L807" s="67"/>
      <c r="M807" s="29" t="str">
        <f t="shared" si="88"/>
        <v/>
      </c>
      <c r="N807" s="29" t="str">
        <f t="shared" si="89"/>
        <v/>
      </c>
      <c r="O807" s="29" t="str">
        <f t="shared" si="84"/>
        <v/>
      </c>
      <c r="P807" s="61"/>
      <c r="Q807" s="61"/>
      <c r="R807" s="61"/>
      <c r="S807" s="45"/>
      <c r="T807" s="29" t="str">
        <f t="shared" si="85"/>
        <v/>
      </c>
    </row>
    <row r="808" spans="1:20">
      <c r="A808" s="10" t="str">
        <f t="shared" si="90"/>
        <v/>
      </c>
      <c r="B808" s="63"/>
      <c r="C808" s="25" t="str">
        <f t="shared" si="86"/>
        <v/>
      </c>
      <c r="D808" s="25" t="str">
        <f t="shared" si="87"/>
        <v/>
      </c>
      <c r="E808" s="45"/>
      <c r="F808" s="28" t="str">
        <f>IFERROR(VLOOKUP(E808,Category!$D$2:$E$600,2,FALSE),"")</f>
        <v/>
      </c>
      <c r="G808" s="65"/>
      <c r="H808" s="56"/>
      <c r="I808" s="66"/>
      <c r="J808" s="67"/>
      <c r="K808" s="67"/>
      <c r="L808" s="67"/>
      <c r="M808" s="29" t="str">
        <f t="shared" si="88"/>
        <v/>
      </c>
      <c r="N808" s="29" t="str">
        <f t="shared" si="89"/>
        <v/>
      </c>
      <c r="O808" s="29" t="str">
        <f t="shared" si="84"/>
        <v/>
      </c>
      <c r="P808" s="61"/>
      <c r="Q808" s="61"/>
      <c r="R808" s="61"/>
      <c r="S808" s="45"/>
      <c r="T808" s="29" t="str">
        <f t="shared" si="85"/>
        <v/>
      </c>
    </row>
    <row r="809" spans="1:20">
      <c r="A809" s="10" t="str">
        <f t="shared" si="90"/>
        <v/>
      </c>
      <c r="B809" s="63"/>
      <c r="C809" s="25" t="str">
        <f t="shared" si="86"/>
        <v/>
      </c>
      <c r="D809" s="25" t="str">
        <f t="shared" si="87"/>
        <v/>
      </c>
      <c r="E809" s="45"/>
      <c r="F809" s="28" t="str">
        <f>IFERROR(VLOOKUP(E809,Category!$D$2:$E$600,2,FALSE),"")</f>
        <v/>
      </c>
      <c r="G809" s="65"/>
      <c r="H809" s="56"/>
      <c r="I809" s="66"/>
      <c r="J809" s="67"/>
      <c r="K809" s="67"/>
      <c r="L809" s="67"/>
      <c r="M809" s="29" t="str">
        <f t="shared" si="88"/>
        <v/>
      </c>
      <c r="N809" s="29" t="str">
        <f t="shared" si="89"/>
        <v/>
      </c>
      <c r="O809" s="29" t="str">
        <f t="shared" si="84"/>
        <v/>
      </c>
      <c r="P809" s="61"/>
      <c r="Q809" s="61"/>
      <c r="R809" s="61"/>
      <c r="S809" s="45"/>
      <c r="T809" s="29" t="str">
        <f t="shared" si="85"/>
        <v/>
      </c>
    </row>
    <row r="810" spans="1:20">
      <c r="A810" s="10" t="str">
        <f t="shared" si="90"/>
        <v/>
      </c>
      <c r="B810" s="63"/>
      <c r="C810" s="25" t="str">
        <f t="shared" si="86"/>
        <v/>
      </c>
      <c r="D810" s="25" t="str">
        <f t="shared" si="87"/>
        <v/>
      </c>
      <c r="E810" s="45"/>
      <c r="F810" s="28" t="str">
        <f>IFERROR(VLOOKUP(E810,Category!$D$2:$E$600,2,FALSE),"")</f>
        <v/>
      </c>
      <c r="G810" s="65"/>
      <c r="H810" s="56"/>
      <c r="I810" s="66"/>
      <c r="J810" s="67"/>
      <c r="K810" s="67"/>
      <c r="L810" s="67"/>
      <c r="M810" s="29" t="str">
        <f t="shared" si="88"/>
        <v/>
      </c>
      <c r="N810" s="29" t="str">
        <f t="shared" si="89"/>
        <v/>
      </c>
      <c r="O810" s="29" t="str">
        <f t="shared" si="84"/>
        <v/>
      </c>
      <c r="P810" s="61"/>
      <c r="Q810" s="61"/>
      <c r="R810" s="61"/>
      <c r="S810" s="45"/>
      <c r="T810" s="29" t="str">
        <f t="shared" si="85"/>
        <v/>
      </c>
    </row>
    <row r="811" spans="1:20">
      <c r="A811" s="10" t="str">
        <f t="shared" si="90"/>
        <v/>
      </c>
      <c r="B811" s="63"/>
      <c r="C811" s="25" t="str">
        <f t="shared" si="86"/>
        <v/>
      </c>
      <c r="D811" s="25" t="str">
        <f t="shared" si="87"/>
        <v/>
      </c>
      <c r="E811" s="45"/>
      <c r="F811" s="28" t="str">
        <f>IFERROR(VLOOKUP(E811,Category!$D$2:$E$600,2,FALSE),"")</f>
        <v/>
      </c>
      <c r="G811" s="65"/>
      <c r="H811" s="56"/>
      <c r="I811" s="66"/>
      <c r="J811" s="67"/>
      <c r="K811" s="67"/>
      <c r="L811" s="67"/>
      <c r="M811" s="29" t="str">
        <f t="shared" si="88"/>
        <v/>
      </c>
      <c r="N811" s="29" t="str">
        <f t="shared" si="89"/>
        <v/>
      </c>
      <c r="O811" s="29" t="str">
        <f t="shared" si="84"/>
        <v/>
      </c>
      <c r="P811" s="61"/>
      <c r="Q811" s="61"/>
      <c r="R811" s="61"/>
      <c r="S811" s="45"/>
      <c r="T811" s="29" t="str">
        <f t="shared" si="85"/>
        <v/>
      </c>
    </row>
    <row r="812" spans="1:20">
      <c r="A812" s="10" t="str">
        <f t="shared" si="90"/>
        <v/>
      </c>
      <c r="B812" s="63"/>
      <c r="C812" s="25" t="str">
        <f t="shared" si="86"/>
        <v/>
      </c>
      <c r="D812" s="25" t="str">
        <f t="shared" si="87"/>
        <v/>
      </c>
      <c r="E812" s="45"/>
      <c r="F812" s="28" t="str">
        <f>IFERROR(VLOOKUP(E812,Category!$D$2:$E$600,2,FALSE),"")</f>
        <v/>
      </c>
      <c r="G812" s="65"/>
      <c r="H812" s="56"/>
      <c r="I812" s="66"/>
      <c r="J812" s="67"/>
      <c r="K812" s="67"/>
      <c r="L812" s="67"/>
      <c r="M812" s="29" t="str">
        <f t="shared" si="88"/>
        <v/>
      </c>
      <c r="N812" s="29" t="str">
        <f t="shared" si="89"/>
        <v/>
      </c>
      <c r="O812" s="29" t="str">
        <f t="shared" si="84"/>
        <v/>
      </c>
      <c r="P812" s="61"/>
      <c r="Q812" s="61"/>
      <c r="R812" s="61"/>
      <c r="S812" s="45"/>
      <c r="T812" s="29" t="str">
        <f t="shared" si="85"/>
        <v/>
      </c>
    </row>
    <row r="813" spans="1:20">
      <c r="A813" s="10" t="str">
        <f t="shared" si="90"/>
        <v/>
      </c>
      <c r="B813" s="63"/>
      <c r="C813" s="25" t="str">
        <f t="shared" si="86"/>
        <v/>
      </c>
      <c r="D813" s="25" t="str">
        <f t="shared" si="87"/>
        <v/>
      </c>
      <c r="E813" s="45"/>
      <c r="F813" s="28" t="str">
        <f>IFERROR(VLOOKUP(E813,Category!$D$2:$E$600,2,FALSE),"")</f>
        <v/>
      </c>
      <c r="G813" s="65"/>
      <c r="H813" s="56"/>
      <c r="I813" s="66"/>
      <c r="J813" s="67"/>
      <c r="K813" s="67"/>
      <c r="L813" s="67"/>
      <c r="M813" s="29" t="str">
        <f t="shared" si="88"/>
        <v/>
      </c>
      <c r="N813" s="29" t="str">
        <f t="shared" si="89"/>
        <v/>
      </c>
      <c r="O813" s="29" t="str">
        <f t="shared" si="84"/>
        <v/>
      </c>
      <c r="P813" s="61"/>
      <c r="Q813" s="61"/>
      <c r="R813" s="61"/>
      <c r="S813" s="45"/>
      <c r="T813" s="29" t="str">
        <f t="shared" si="85"/>
        <v/>
      </c>
    </row>
    <row r="814" spans="1:20">
      <c r="A814" s="10" t="str">
        <f t="shared" si="90"/>
        <v/>
      </c>
      <c r="B814" s="63"/>
      <c r="C814" s="25" t="str">
        <f t="shared" si="86"/>
        <v/>
      </c>
      <c r="D814" s="25" t="str">
        <f t="shared" si="87"/>
        <v/>
      </c>
      <c r="E814" s="45"/>
      <c r="F814" s="28" t="str">
        <f>IFERROR(VLOOKUP(E814,Category!$D$2:$E$600,2,FALSE),"")</f>
        <v/>
      </c>
      <c r="G814" s="65"/>
      <c r="H814" s="56"/>
      <c r="I814" s="66"/>
      <c r="J814" s="67"/>
      <c r="K814" s="67"/>
      <c r="L814" s="67"/>
      <c r="M814" s="29" t="str">
        <f t="shared" si="88"/>
        <v/>
      </c>
      <c r="N814" s="29" t="str">
        <f t="shared" si="89"/>
        <v/>
      </c>
      <c r="O814" s="29" t="str">
        <f t="shared" si="84"/>
        <v/>
      </c>
      <c r="P814" s="61"/>
      <c r="Q814" s="61"/>
      <c r="R814" s="61"/>
      <c r="S814" s="45"/>
      <c r="T814" s="29" t="str">
        <f t="shared" si="85"/>
        <v/>
      </c>
    </row>
    <row r="815" spans="1:20">
      <c r="A815" s="10" t="str">
        <f t="shared" si="90"/>
        <v/>
      </c>
      <c r="B815" s="63"/>
      <c r="C815" s="25" t="str">
        <f t="shared" si="86"/>
        <v/>
      </c>
      <c r="D815" s="25" t="str">
        <f t="shared" si="87"/>
        <v/>
      </c>
      <c r="E815" s="45"/>
      <c r="F815" s="28" t="str">
        <f>IFERROR(VLOOKUP(E815,Category!$D$2:$E$600,2,FALSE),"")</f>
        <v/>
      </c>
      <c r="G815" s="65"/>
      <c r="H815" s="56"/>
      <c r="I815" s="66"/>
      <c r="J815" s="67"/>
      <c r="K815" s="67"/>
      <c r="L815" s="67"/>
      <c r="M815" s="29" t="str">
        <f t="shared" si="88"/>
        <v/>
      </c>
      <c r="N815" s="29" t="str">
        <f t="shared" si="89"/>
        <v/>
      </c>
      <c r="O815" s="29" t="str">
        <f t="shared" si="84"/>
        <v/>
      </c>
      <c r="P815" s="61"/>
      <c r="Q815" s="61"/>
      <c r="R815" s="61"/>
      <c r="S815" s="45"/>
      <c r="T815" s="29" t="str">
        <f t="shared" si="85"/>
        <v/>
      </c>
    </row>
    <row r="816" spans="1:20">
      <c r="A816" s="10" t="str">
        <f t="shared" si="90"/>
        <v/>
      </c>
      <c r="B816" s="63"/>
      <c r="C816" s="25" t="str">
        <f t="shared" si="86"/>
        <v/>
      </c>
      <c r="D816" s="25" t="str">
        <f t="shared" si="87"/>
        <v/>
      </c>
      <c r="E816" s="45"/>
      <c r="F816" s="28" t="str">
        <f>IFERROR(VLOOKUP(E816,Category!$D$2:$E$600,2,FALSE),"")</f>
        <v/>
      </c>
      <c r="G816" s="65"/>
      <c r="H816" s="56"/>
      <c r="I816" s="66"/>
      <c r="J816" s="67"/>
      <c r="K816" s="67"/>
      <c r="L816" s="67"/>
      <c r="M816" s="29" t="str">
        <f t="shared" si="88"/>
        <v/>
      </c>
      <c r="N816" s="29" t="str">
        <f t="shared" si="89"/>
        <v/>
      </c>
      <c r="O816" s="29" t="str">
        <f t="shared" si="84"/>
        <v/>
      </c>
      <c r="P816" s="61"/>
      <c r="Q816" s="61"/>
      <c r="R816" s="61"/>
      <c r="S816" s="45"/>
      <c r="T816" s="29" t="str">
        <f t="shared" si="85"/>
        <v/>
      </c>
    </row>
    <row r="817" spans="1:20">
      <c r="A817" s="10" t="str">
        <f t="shared" si="90"/>
        <v/>
      </c>
      <c r="B817" s="63"/>
      <c r="C817" s="25" t="str">
        <f t="shared" si="86"/>
        <v/>
      </c>
      <c r="D817" s="25" t="str">
        <f t="shared" si="87"/>
        <v/>
      </c>
      <c r="E817" s="45"/>
      <c r="F817" s="28" t="str">
        <f>IFERROR(VLOOKUP(E817,Category!$D$2:$E$600,2,FALSE),"")</f>
        <v/>
      </c>
      <c r="G817" s="65"/>
      <c r="H817" s="56"/>
      <c r="I817" s="66"/>
      <c r="J817" s="67"/>
      <c r="K817" s="67"/>
      <c r="L817" s="67"/>
      <c r="M817" s="29" t="str">
        <f t="shared" si="88"/>
        <v/>
      </c>
      <c r="N817" s="29" t="str">
        <f t="shared" si="89"/>
        <v/>
      </c>
      <c r="O817" s="29" t="str">
        <f t="shared" si="84"/>
        <v/>
      </c>
      <c r="P817" s="61"/>
      <c r="Q817" s="61"/>
      <c r="R817" s="61"/>
      <c r="S817" s="45"/>
      <c r="T817" s="29" t="str">
        <f t="shared" si="85"/>
        <v/>
      </c>
    </row>
    <row r="818" spans="1:20">
      <c r="A818" s="10" t="str">
        <f t="shared" si="90"/>
        <v/>
      </c>
      <c r="B818" s="63"/>
      <c r="C818" s="25" t="str">
        <f t="shared" si="86"/>
        <v/>
      </c>
      <c r="D818" s="25" t="str">
        <f t="shared" si="87"/>
        <v/>
      </c>
      <c r="E818" s="45"/>
      <c r="F818" s="28" t="str">
        <f>IFERROR(VLOOKUP(E818,Category!$D$2:$E$600,2,FALSE),"")</f>
        <v/>
      </c>
      <c r="G818" s="65"/>
      <c r="H818" s="56"/>
      <c r="I818" s="66"/>
      <c r="J818" s="67"/>
      <c r="K818" s="67"/>
      <c r="L818" s="67"/>
      <c r="M818" s="29" t="str">
        <f t="shared" si="88"/>
        <v/>
      </c>
      <c r="N818" s="29" t="str">
        <f t="shared" si="89"/>
        <v/>
      </c>
      <c r="O818" s="29" t="str">
        <f t="shared" si="84"/>
        <v/>
      </c>
      <c r="P818" s="61"/>
      <c r="Q818" s="61"/>
      <c r="R818" s="61"/>
      <c r="S818" s="45"/>
      <c r="T818" s="29" t="str">
        <f t="shared" si="85"/>
        <v/>
      </c>
    </row>
    <row r="819" spans="1:20">
      <c r="A819" s="10" t="str">
        <f t="shared" si="90"/>
        <v/>
      </c>
      <c r="B819" s="63"/>
      <c r="C819" s="25" t="str">
        <f t="shared" si="86"/>
        <v/>
      </c>
      <c r="D819" s="25" t="str">
        <f t="shared" si="87"/>
        <v/>
      </c>
      <c r="E819" s="45"/>
      <c r="F819" s="28" t="str">
        <f>IFERROR(VLOOKUP(E819,Category!$D$2:$E$600,2,FALSE),"")</f>
        <v/>
      </c>
      <c r="G819" s="65"/>
      <c r="H819" s="56"/>
      <c r="I819" s="66"/>
      <c r="J819" s="67"/>
      <c r="K819" s="67"/>
      <c r="L819" s="67"/>
      <c r="M819" s="29" t="str">
        <f t="shared" si="88"/>
        <v/>
      </c>
      <c r="N819" s="29" t="str">
        <f t="shared" si="89"/>
        <v/>
      </c>
      <c r="O819" s="29" t="str">
        <f t="shared" si="84"/>
        <v/>
      </c>
      <c r="P819" s="61"/>
      <c r="Q819" s="61"/>
      <c r="R819" s="61"/>
      <c r="S819" s="45"/>
      <c r="T819" s="29" t="str">
        <f t="shared" si="85"/>
        <v/>
      </c>
    </row>
    <row r="820" spans="1:20">
      <c r="A820" s="10" t="str">
        <f t="shared" si="90"/>
        <v/>
      </c>
      <c r="B820" s="63"/>
      <c r="C820" s="25" t="str">
        <f t="shared" si="86"/>
        <v/>
      </c>
      <c r="D820" s="25" t="str">
        <f t="shared" si="87"/>
        <v/>
      </c>
      <c r="E820" s="45"/>
      <c r="F820" s="28" t="str">
        <f>IFERROR(VLOOKUP(E820,Category!$D$2:$E$600,2,FALSE),"")</f>
        <v/>
      </c>
      <c r="G820" s="65"/>
      <c r="H820" s="56"/>
      <c r="I820" s="66"/>
      <c r="J820" s="67"/>
      <c r="K820" s="67"/>
      <c r="L820" s="67"/>
      <c r="M820" s="29" t="str">
        <f t="shared" si="88"/>
        <v/>
      </c>
      <c r="N820" s="29" t="str">
        <f t="shared" si="89"/>
        <v/>
      </c>
      <c r="O820" s="29" t="str">
        <f t="shared" si="84"/>
        <v/>
      </c>
      <c r="P820" s="61"/>
      <c r="Q820" s="61"/>
      <c r="R820" s="61"/>
      <c r="S820" s="45"/>
      <c r="T820" s="29" t="str">
        <f t="shared" si="85"/>
        <v/>
      </c>
    </row>
    <row r="821" spans="1:20">
      <c r="A821" s="10" t="str">
        <f t="shared" si="90"/>
        <v/>
      </c>
      <c r="B821" s="63"/>
      <c r="C821" s="25" t="str">
        <f t="shared" si="86"/>
        <v/>
      </c>
      <c r="D821" s="25" t="str">
        <f t="shared" si="87"/>
        <v/>
      </c>
      <c r="E821" s="45"/>
      <c r="F821" s="28" t="str">
        <f>IFERROR(VLOOKUP(E821,Category!$D$2:$E$600,2,FALSE),"")</f>
        <v/>
      </c>
      <c r="G821" s="65"/>
      <c r="H821" s="56"/>
      <c r="I821" s="66"/>
      <c r="J821" s="67"/>
      <c r="K821" s="67"/>
      <c r="L821" s="67"/>
      <c r="M821" s="29" t="str">
        <f t="shared" si="88"/>
        <v/>
      </c>
      <c r="N821" s="29" t="str">
        <f t="shared" si="89"/>
        <v/>
      </c>
      <c r="O821" s="29" t="str">
        <f t="shared" si="84"/>
        <v/>
      </c>
      <c r="P821" s="61"/>
      <c r="Q821" s="61"/>
      <c r="R821" s="61"/>
      <c r="S821" s="45"/>
      <c r="T821" s="29" t="str">
        <f t="shared" si="85"/>
        <v/>
      </c>
    </row>
    <row r="822" spans="1:20">
      <c r="A822" s="10" t="str">
        <f t="shared" si="90"/>
        <v/>
      </c>
      <c r="B822" s="63"/>
      <c r="C822" s="25" t="str">
        <f t="shared" si="86"/>
        <v/>
      </c>
      <c r="D822" s="25" t="str">
        <f t="shared" si="87"/>
        <v/>
      </c>
      <c r="E822" s="45"/>
      <c r="F822" s="28" t="str">
        <f>IFERROR(VLOOKUP(E822,Category!$D$2:$E$600,2,FALSE),"")</f>
        <v/>
      </c>
      <c r="G822" s="65"/>
      <c r="H822" s="56"/>
      <c r="I822" s="66"/>
      <c r="J822" s="67"/>
      <c r="K822" s="67"/>
      <c r="L822" s="67"/>
      <c r="M822" s="29" t="str">
        <f t="shared" si="88"/>
        <v/>
      </c>
      <c r="N822" s="29" t="str">
        <f t="shared" si="89"/>
        <v/>
      </c>
      <c r="O822" s="29" t="str">
        <f t="shared" si="84"/>
        <v/>
      </c>
      <c r="P822" s="61"/>
      <c r="Q822" s="61"/>
      <c r="R822" s="61"/>
      <c r="S822" s="45"/>
      <c r="T822" s="29" t="str">
        <f t="shared" si="85"/>
        <v/>
      </c>
    </row>
    <row r="823" spans="1:20">
      <c r="A823" s="10" t="str">
        <f t="shared" si="90"/>
        <v/>
      </c>
      <c r="B823" s="63"/>
      <c r="C823" s="25" t="str">
        <f t="shared" si="86"/>
        <v/>
      </c>
      <c r="D823" s="25" t="str">
        <f t="shared" si="87"/>
        <v/>
      </c>
      <c r="E823" s="45"/>
      <c r="F823" s="28" t="str">
        <f>IFERROR(VLOOKUP(E823,Category!$D$2:$E$600,2,FALSE),"")</f>
        <v/>
      </c>
      <c r="G823" s="65"/>
      <c r="H823" s="56"/>
      <c r="I823" s="66"/>
      <c r="J823" s="67"/>
      <c r="K823" s="67"/>
      <c r="L823" s="67"/>
      <c r="M823" s="29" t="str">
        <f t="shared" si="88"/>
        <v/>
      </c>
      <c r="N823" s="29" t="str">
        <f t="shared" si="89"/>
        <v/>
      </c>
      <c r="O823" s="29" t="str">
        <f t="shared" si="84"/>
        <v/>
      </c>
      <c r="P823" s="61"/>
      <c r="Q823" s="61"/>
      <c r="R823" s="61"/>
      <c r="S823" s="45"/>
      <c r="T823" s="29" t="str">
        <f t="shared" si="85"/>
        <v/>
      </c>
    </row>
    <row r="824" spans="1:20">
      <c r="A824" s="10" t="str">
        <f t="shared" si="90"/>
        <v/>
      </c>
      <c r="B824" s="63"/>
      <c r="C824" s="25" t="str">
        <f t="shared" si="86"/>
        <v/>
      </c>
      <c r="D824" s="25" t="str">
        <f t="shared" si="87"/>
        <v/>
      </c>
      <c r="E824" s="45"/>
      <c r="F824" s="28" t="str">
        <f>IFERROR(VLOOKUP(E824,Category!$D$2:$E$600,2,FALSE),"")</f>
        <v/>
      </c>
      <c r="G824" s="65"/>
      <c r="H824" s="56"/>
      <c r="I824" s="66"/>
      <c r="J824" s="67"/>
      <c r="K824" s="67"/>
      <c r="L824" s="67"/>
      <c r="M824" s="29" t="str">
        <f t="shared" si="88"/>
        <v/>
      </c>
      <c r="N824" s="29" t="str">
        <f t="shared" si="89"/>
        <v/>
      </c>
      <c r="O824" s="29" t="str">
        <f t="shared" si="84"/>
        <v/>
      </c>
      <c r="P824" s="61"/>
      <c r="Q824" s="61"/>
      <c r="R824" s="61"/>
      <c r="S824" s="45"/>
      <c r="T824" s="29" t="str">
        <f t="shared" si="85"/>
        <v/>
      </c>
    </row>
    <row r="825" spans="1:20">
      <c r="A825" s="10" t="str">
        <f t="shared" si="90"/>
        <v/>
      </c>
      <c r="B825" s="63"/>
      <c r="C825" s="25" t="str">
        <f t="shared" si="86"/>
        <v/>
      </c>
      <c r="D825" s="25" t="str">
        <f t="shared" si="87"/>
        <v/>
      </c>
      <c r="E825" s="45"/>
      <c r="F825" s="28" t="str">
        <f>IFERROR(VLOOKUP(E825,Category!$D$2:$E$600,2,FALSE),"")</f>
        <v/>
      </c>
      <c r="G825" s="65"/>
      <c r="H825" s="56"/>
      <c r="I825" s="66"/>
      <c r="J825" s="67"/>
      <c r="K825" s="67"/>
      <c r="L825" s="67"/>
      <c r="M825" s="29" t="str">
        <f t="shared" si="88"/>
        <v/>
      </c>
      <c r="N825" s="29" t="str">
        <f t="shared" si="89"/>
        <v/>
      </c>
      <c r="O825" s="29" t="str">
        <f t="shared" si="84"/>
        <v/>
      </c>
      <c r="P825" s="61"/>
      <c r="Q825" s="61"/>
      <c r="R825" s="61"/>
      <c r="S825" s="45"/>
      <c r="T825" s="29" t="str">
        <f t="shared" si="85"/>
        <v/>
      </c>
    </row>
    <row r="826" spans="1:20">
      <c r="A826" s="10" t="str">
        <f t="shared" si="90"/>
        <v/>
      </c>
      <c r="B826" s="63"/>
      <c r="C826" s="25" t="str">
        <f t="shared" si="86"/>
        <v/>
      </c>
      <c r="D826" s="25" t="str">
        <f t="shared" si="87"/>
        <v/>
      </c>
      <c r="E826" s="45"/>
      <c r="F826" s="28" t="str">
        <f>IFERROR(VLOOKUP(E826,Category!$D$2:$E$600,2,FALSE),"")</f>
        <v/>
      </c>
      <c r="G826" s="65"/>
      <c r="H826" s="56"/>
      <c r="I826" s="66"/>
      <c r="J826" s="67"/>
      <c r="K826" s="67"/>
      <c r="L826" s="67"/>
      <c r="M826" s="29" t="str">
        <f t="shared" si="88"/>
        <v/>
      </c>
      <c r="N826" s="29" t="str">
        <f t="shared" si="89"/>
        <v/>
      </c>
      <c r="O826" s="29" t="str">
        <f t="shared" si="84"/>
        <v/>
      </c>
      <c r="P826" s="61"/>
      <c r="Q826" s="61"/>
      <c r="R826" s="61"/>
      <c r="S826" s="45"/>
      <c r="T826" s="29" t="str">
        <f t="shared" si="85"/>
        <v/>
      </c>
    </row>
    <row r="827" spans="1:20">
      <c r="A827" s="10" t="str">
        <f t="shared" si="90"/>
        <v/>
      </c>
      <c r="B827" s="63"/>
      <c r="C827" s="25" t="str">
        <f t="shared" si="86"/>
        <v/>
      </c>
      <c r="D827" s="25" t="str">
        <f t="shared" si="87"/>
        <v/>
      </c>
      <c r="E827" s="45"/>
      <c r="F827" s="28" t="str">
        <f>IFERROR(VLOOKUP(E827,Category!$D$2:$E$600,2,FALSE),"")</f>
        <v/>
      </c>
      <c r="G827" s="65"/>
      <c r="H827" s="56"/>
      <c r="I827" s="66"/>
      <c r="J827" s="67"/>
      <c r="K827" s="67"/>
      <c r="L827" s="67"/>
      <c r="M827" s="29" t="str">
        <f t="shared" si="88"/>
        <v/>
      </c>
      <c r="N827" s="29" t="str">
        <f t="shared" si="89"/>
        <v/>
      </c>
      <c r="O827" s="29" t="str">
        <f t="shared" si="84"/>
        <v/>
      </c>
      <c r="P827" s="61"/>
      <c r="Q827" s="61"/>
      <c r="R827" s="61"/>
      <c r="S827" s="45"/>
      <c r="T827" s="29" t="str">
        <f t="shared" si="85"/>
        <v/>
      </c>
    </row>
    <row r="828" spans="1:20">
      <c r="A828" s="10" t="str">
        <f t="shared" si="90"/>
        <v/>
      </c>
      <c r="B828" s="63"/>
      <c r="C828" s="25" t="str">
        <f t="shared" si="86"/>
        <v/>
      </c>
      <c r="D828" s="25" t="str">
        <f t="shared" si="87"/>
        <v/>
      </c>
      <c r="E828" s="45"/>
      <c r="F828" s="28" t="str">
        <f>IFERROR(VLOOKUP(E828,Category!$D$2:$E$600,2,FALSE),"")</f>
        <v/>
      </c>
      <c r="G828" s="65"/>
      <c r="H828" s="56"/>
      <c r="I828" s="66"/>
      <c r="J828" s="67"/>
      <c r="K828" s="67"/>
      <c r="L828" s="67"/>
      <c r="M828" s="29" t="str">
        <f t="shared" si="88"/>
        <v/>
      </c>
      <c r="N828" s="29" t="str">
        <f t="shared" si="89"/>
        <v/>
      </c>
      <c r="O828" s="29" t="str">
        <f t="shared" si="84"/>
        <v/>
      </c>
      <c r="P828" s="61"/>
      <c r="Q828" s="61"/>
      <c r="R828" s="61"/>
      <c r="S828" s="45"/>
      <c r="T828" s="29" t="str">
        <f t="shared" si="85"/>
        <v/>
      </c>
    </row>
    <row r="829" spans="1:20">
      <c r="A829" s="10" t="str">
        <f t="shared" si="90"/>
        <v/>
      </c>
      <c r="B829" s="63"/>
      <c r="C829" s="25" t="str">
        <f t="shared" si="86"/>
        <v/>
      </c>
      <c r="D829" s="25" t="str">
        <f t="shared" si="87"/>
        <v/>
      </c>
      <c r="E829" s="45"/>
      <c r="F829" s="28" t="str">
        <f>IFERROR(VLOOKUP(E829,Category!$D$2:$E$600,2,FALSE),"")</f>
        <v/>
      </c>
      <c r="G829" s="65"/>
      <c r="H829" s="56"/>
      <c r="I829" s="66"/>
      <c r="J829" s="67"/>
      <c r="K829" s="67"/>
      <c r="L829" s="67"/>
      <c r="M829" s="29" t="str">
        <f t="shared" si="88"/>
        <v/>
      </c>
      <c r="N829" s="29" t="str">
        <f t="shared" si="89"/>
        <v/>
      </c>
      <c r="O829" s="29" t="str">
        <f t="shared" si="84"/>
        <v/>
      </c>
      <c r="P829" s="61"/>
      <c r="Q829" s="61"/>
      <c r="R829" s="61"/>
      <c r="S829" s="45"/>
      <c r="T829" s="29" t="str">
        <f t="shared" si="85"/>
        <v/>
      </c>
    </row>
    <row r="830" spans="1:20">
      <c r="A830" s="10" t="str">
        <f t="shared" si="90"/>
        <v/>
      </c>
      <c r="B830" s="63"/>
      <c r="C830" s="25" t="str">
        <f t="shared" si="86"/>
        <v/>
      </c>
      <c r="D830" s="25" t="str">
        <f t="shared" si="87"/>
        <v/>
      </c>
      <c r="E830" s="45"/>
      <c r="F830" s="28" t="str">
        <f>IFERROR(VLOOKUP(E830,Category!$D$2:$E$600,2,FALSE),"")</f>
        <v/>
      </c>
      <c r="G830" s="65"/>
      <c r="H830" s="56"/>
      <c r="I830" s="66"/>
      <c r="J830" s="67"/>
      <c r="K830" s="67"/>
      <c r="L830" s="67"/>
      <c r="M830" s="29" t="str">
        <f t="shared" si="88"/>
        <v/>
      </c>
      <c r="N830" s="29" t="str">
        <f t="shared" si="89"/>
        <v/>
      </c>
      <c r="O830" s="29" t="str">
        <f t="shared" si="84"/>
        <v/>
      </c>
      <c r="P830" s="61"/>
      <c r="Q830" s="61"/>
      <c r="R830" s="61"/>
      <c r="S830" s="45"/>
      <c r="T830" s="29" t="str">
        <f t="shared" si="85"/>
        <v/>
      </c>
    </row>
    <row r="831" spans="1:20">
      <c r="A831" s="10" t="str">
        <f t="shared" si="90"/>
        <v/>
      </c>
      <c r="B831" s="63"/>
      <c r="C831" s="25" t="str">
        <f t="shared" si="86"/>
        <v/>
      </c>
      <c r="D831" s="25" t="str">
        <f t="shared" si="87"/>
        <v/>
      </c>
      <c r="E831" s="45"/>
      <c r="F831" s="28" t="str">
        <f>IFERROR(VLOOKUP(E831,Category!$D$2:$E$600,2,FALSE),"")</f>
        <v/>
      </c>
      <c r="G831" s="65"/>
      <c r="H831" s="56"/>
      <c r="I831" s="66"/>
      <c r="J831" s="67"/>
      <c r="K831" s="67"/>
      <c r="L831" s="67"/>
      <c r="M831" s="29" t="str">
        <f t="shared" si="88"/>
        <v/>
      </c>
      <c r="N831" s="29" t="str">
        <f t="shared" si="89"/>
        <v/>
      </c>
      <c r="O831" s="29" t="str">
        <f t="shared" si="84"/>
        <v/>
      </c>
      <c r="P831" s="61"/>
      <c r="Q831" s="61"/>
      <c r="R831" s="61"/>
      <c r="S831" s="45"/>
      <c r="T831" s="29" t="str">
        <f t="shared" si="85"/>
        <v/>
      </c>
    </row>
    <row r="832" spans="1:20">
      <c r="A832" s="10" t="str">
        <f t="shared" si="90"/>
        <v/>
      </c>
      <c r="B832" s="63"/>
      <c r="C832" s="25" t="str">
        <f t="shared" si="86"/>
        <v/>
      </c>
      <c r="D832" s="25" t="str">
        <f t="shared" si="87"/>
        <v/>
      </c>
      <c r="E832" s="45"/>
      <c r="F832" s="28" t="str">
        <f>IFERROR(VLOOKUP(E832,Category!$D$2:$E$600,2,FALSE),"")</f>
        <v/>
      </c>
      <c r="G832" s="65"/>
      <c r="H832" s="56"/>
      <c r="I832" s="66"/>
      <c r="J832" s="67"/>
      <c r="K832" s="67"/>
      <c r="L832" s="67"/>
      <c r="M832" s="29" t="str">
        <f t="shared" si="88"/>
        <v/>
      </c>
      <c r="N832" s="29" t="str">
        <f t="shared" si="89"/>
        <v/>
      </c>
      <c r="O832" s="29" t="str">
        <f t="shared" si="84"/>
        <v/>
      </c>
      <c r="P832" s="61"/>
      <c r="Q832" s="61"/>
      <c r="R832" s="61"/>
      <c r="S832" s="45"/>
      <c r="T832" s="29" t="str">
        <f t="shared" si="85"/>
        <v/>
      </c>
    </row>
    <row r="833" spans="1:20">
      <c r="A833" s="10" t="str">
        <f t="shared" si="90"/>
        <v/>
      </c>
      <c r="B833" s="63"/>
      <c r="C833" s="25" t="str">
        <f t="shared" si="86"/>
        <v/>
      </c>
      <c r="D833" s="25" t="str">
        <f t="shared" si="87"/>
        <v/>
      </c>
      <c r="E833" s="45"/>
      <c r="F833" s="28" t="str">
        <f>IFERROR(VLOOKUP(E833,Category!$D$2:$E$600,2,FALSE),"")</f>
        <v/>
      </c>
      <c r="G833" s="65"/>
      <c r="H833" s="56"/>
      <c r="I833" s="66"/>
      <c r="J833" s="67"/>
      <c r="K833" s="67"/>
      <c r="L833" s="67"/>
      <c r="M833" s="29" t="str">
        <f t="shared" si="88"/>
        <v/>
      </c>
      <c r="N833" s="29" t="str">
        <f t="shared" si="89"/>
        <v/>
      </c>
      <c r="O833" s="29" t="str">
        <f t="shared" si="84"/>
        <v/>
      </c>
      <c r="P833" s="61"/>
      <c r="Q833" s="61"/>
      <c r="R833" s="61"/>
      <c r="S833" s="45"/>
      <c r="T833" s="29" t="str">
        <f t="shared" si="85"/>
        <v/>
      </c>
    </row>
    <row r="834" spans="1:20">
      <c r="A834" s="10" t="str">
        <f t="shared" si="90"/>
        <v/>
      </c>
      <c r="B834" s="63"/>
      <c r="C834" s="25" t="str">
        <f t="shared" si="86"/>
        <v/>
      </c>
      <c r="D834" s="25" t="str">
        <f t="shared" si="87"/>
        <v/>
      </c>
      <c r="E834" s="45"/>
      <c r="F834" s="28" t="str">
        <f>IFERROR(VLOOKUP(E834,Category!$D$2:$E$600,2,FALSE),"")</f>
        <v/>
      </c>
      <c r="G834" s="65"/>
      <c r="H834" s="56"/>
      <c r="I834" s="66"/>
      <c r="J834" s="67"/>
      <c r="K834" s="67"/>
      <c r="L834" s="67"/>
      <c r="M834" s="29" t="str">
        <f t="shared" si="88"/>
        <v/>
      </c>
      <c r="N834" s="29" t="str">
        <f t="shared" si="89"/>
        <v/>
      </c>
      <c r="O834" s="29" t="str">
        <f t="shared" ref="O834:O897" si="91">IF(H834*I834=0,"",H834*I834)</f>
        <v/>
      </c>
      <c r="P834" s="61"/>
      <c r="Q834" s="61"/>
      <c r="R834" s="61"/>
      <c r="S834" s="45"/>
      <c r="T834" s="29" t="str">
        <f t="shared" ref="T834:T897" si="92">IF(R834="paid",(H834*I834)-(G834*H834),"")</f>
        <v/>
      </c>
    </row>
    <row r="835" spans="1:20">
      <c r="A835" s="10" t="str">
        <f t="shared" si="90"/>
        <v/>
      </c>
      <c r="B835" s="63"/>
      <c r="C835" s="25" t="str">
        <f t="shared" ref="C835:C898" si="93">IF(B835=0,"",TEXT(B835,"mmmm"))</f>
        <v/>
      </c>
      <c r="D835" s="25" t="str">
        <f t="shared" ref="D835:D898" si="94">IF(B835=0,"",TEXT(B835,"yyyy"))</f>
        <v/>
      </c>
      <c r="E835" s="45"/>
      <c r="F835" s="28" t="str">
        <f>IFERROR(VLOOKUP(E835,Category!$D$2:$E$600,2,FALSE),"")</f>
        <v/>
      </c>
      <c r="G835" s="65"/>
      <c r="H835" s="56"/>
      <c r="I835" s="66"/>
      <c r="J835" s="67"/>
      <c r="K835" s="67"/>
      <c r="L835" s="67"/>
      <c r="M835" s="29" t="str">
        <f t="shared" ref="M835:M898" si="95">IFERROR(IF(O835&gt;0,IF(R835="Paid","",O835-J835),""),"")</f>
        <v/>
      </c>
      <c r="N835" s="29" t="str">
        <f t="shared" ref="N835:N898" si="96">IF(J835&gt;0,IF(R835="Paid",O835-J835,""),"")</f>
        <v/>
      </c>
      <c r="O835" s="29" t="str">
        <f t="shared" si="91"/>
        <v/>
      </c>
      <c r="P835" s="61"/>
      <c r="Q835" s="61"/>
      <c r="R835" s="61"/>
      <c r="S835" s="45"/>
      <c r="T835" s="29" t="str">
        <f t="shared" si="92"/>
        <v/>
      </c>
    </row>
    <row r="836" spans="1:20">
      <c r="A836" s="10" t="str">
        <f t="shared" ref="A836:A899" si="97">IF(E836&gt;0,A835+1,"")</f>
        <v/>
      </c>
      <c r="B836" s="63"/>
      <c r="C836" s="25" t="str">
        <f t="shared" si="93"/>
        <v/>
      </c>
      <c r="D836" s="25" t="str">
        <f t="shared" si="94"/>
        <v/>
      </c>
      <c r="E836" s="45"/>
      <c r="F836" s="28" t="str">
        <f>IFERROR(VLOOKUP(E836,Category!$D$2:$E$600,2,FALSE),"")</f>
        <v/>
      </c>
      <c r="G836" s="65"/>
      <c r="H836" s="56"/>
      <c r="I836" s="66"/>
      <c r="J836" s="67"/>
      <c r="K836" s="67"/>
      <c r="L836" s="67"/>
      <c r="M836" s="29" t="str">
        <f t="shared" si="95"/>
        <v/>
      </c>
      <c r="N836" s="29" t="str">
        <f t="shared" si="96"/>
        <v/>
      </c>
      <c r="O836" s="29" t="str">
        <f t="shared" si="91"/>
        <v/>
      </c>
      <c r="P836" s="61"/>
      <c r="Q836" s="61"/>
      <c r="R836" s="61"/>
      <c r="S836" s="45"/>
      <c r="T836" s="29" t="str">
        <f t="shared" si="92"/>
        <v/>
      </c>
    </row>
    <row r="837" spans="1:20">
      <c r="A837" s="10" t="str">
        <f t="shared" si="97"/>
        <v/>
      </c>
      <c r="B837" s="63"/>
      <c r="C837" s="25" t="str">
        <f t="shared" si="93"/>
        <v/>
      </c>
      <c r="D837" s="25" t="str">
        <f t="shared" si="94"/>
        <v/>
      </c>
      <c r="E837" s="45"/>
      <c r="F837" s="28" t="str">
        <f>IFERROR(VLOOKUP(E837,Category!$D$2:$E$600,2,FALSE),"")</f>
        <v/>
      </c>
      <c r="G837" s="65"/>
      <c r="H837" s="56"/>
      <c r="I837" s="66"/>
      <c r="J837" s="67"/>
      <c r="K837" s="67"/>
      <c r="L837" s="67"/>
      <c r="M837" s="29" t="str">
        <f t="shared" si="95"/>
        <v/>
      </c>
      <c r="N837" s="29" t="str">
        <f t="shared" si="96"/>
        <v/>
      </c>
      <c r="O837" s="29" t="str">
        <f t="shared" si="91"/>
        <v/>
      </c>
      <c r="P837" s="61"/>
      <c r="Q837" s="61"/>
      <c r="R837" s="61"/>
      <c r="S837" s="45"/>
      <c r="T837" s="29" t="str">
        <f t="shared" si="92"/>
        <v/>
      </c>
    </row>
    <row r="838" spans="1:20">
      <c r="A838" s="10" t="str">
        <f t="shared" si="97"/>
        <v/>
      </c>
      <c r="B838" s="63"/>
      <c r="C838" s="25" t="str">
        <f t="shared" si="93"/>
        <v/>
      </c>
      <c r="D838" s="25" t="str">
        <f t="shared" si="94"/>
        <v/>
      </c>
      <c r="E838" s="45"/>
      <c r="F838" s="28" t="str">
        <f>IFERROR(VLOOKUP(E838,Category!$D$2:$E$600,2,FALSE),"")</f>
        <v/>
      </c>
      <c r="G838" s="65"/>
      <c r="H838" s="56"/>
      <c r="I838" s="66"/>
      <c r="J838" s="67"/>
      <c r="K838" s="67"/>
      <c r="L838" s="67"/>
      <c r="M838" s="29" t="str">
        <f t="shared" si="95"/>
        <v/>
      </c>
      <c r="N838" s="29" t="str">
        <f t="shared" si="96"/>
        <v/>
      </c>
      <c r="O838" s="29" t="str">
        <f t="shared" si="91"/>
        <v/>
      </c>
      <c r="P838" s="61"/>
      <c r="Q838" s="61"/>
      <c r="R838" s="61"/>
      <c r="S838" s="45"/>
      <c r="T838" s="29" t="str">
        <f t="shared" si="92"/>
        <v/>
      </c>
    </row>
    <row r="839" spans="1:20">
      <c r="A839" s="10" t="str">
        <f t="shared" si="97"/>
        <v/>
      </c>
      <c r="B839" s="63"/>
      <c r="C839" s="25" t="str">
        <f t="shared" si="93"/>
        <v/>
      </c>
      <c r="D839" s="25" t="str">
        <f t="shared" si="94"/>
        <v/>
      </c>
      <c r="E839" s="45"/>
      <c r="F839" s="28" t="str">
        <f>IFERROR(VLOOKUP(E839,Category!$D$2:$E$600,2,FALSE),"")</f>
        <v/>
      </c>
      <c r="G839" s="65"/>
      <c r="H839" s="56"/>
      <c r="I839" s="66"/>
      <c r="J839" s="67"/>
      <c r="K839" s="67"/>
      <c r="L839" s="67"/>
      <c r="M839" s="29" t="str">
        <f t="shared" si="95"/>
        <v/>
      </c>
      <c r="N839" s="29" t="str">
        <f t="shared" si="96"/>
        <v/>
      </c>
      <c r="O839" s="29" t="str">
        <f t="shared" si="91"/>
        <v/>
      </c>
      <c r="P839" s="61"/>
      <c r="Q839" s="61"/>
      <c r="R839" s="61"/>
      <c r="S839" s="45"/>
      <c r="T839" s="29" t="str">
        <f t="shared" si="92"/>
        <v/>
      </c>
    </row>
    <row r="840" spans="1:20">
      <c r="A840" s="10" t="str">
        <f t="shared" si="97"/>
        <v/>
      </c>
      <c r="B840" s="63"/>
      <c r="C840" s="25" t="str">
        <f t="shared" si="93"/>
        <v/>
      </c>
      <c r="D840" s="25" t="str">
        <f t="shared" si="94"/>
        <v/>
      </c>
      <c r="E840" s="45"/>
      <c r="F840" s="28" t="str">
        <f>IFERROR(VLOOKUP(E840,Category!$D$2:$E$600,2,FALSE),"")</f>
        <v/>
      </c>
      <c r="G840" s="65"/>
      <c r="H840" s="56"/>
      <c r="I840" s="66"/>
      <c r="J840" s="67"/>
      <c r="K840" s="67"/>
      <c r="L840" s="67"/>
      <c r="M840" s="29" t="str">
        <f t="shared" si="95"/>
        <v/>
      </c>
      <c r="N840" s="29" t="str">
        <f t="shared" si="96"/>
        <v/>
      </c>
      <c r="O840" s="29" t="str">
        <f t="shared" si="91"/>
        <v/>
      </c>
      <c r="P840" s="61"/>
      <c r="Q840" s="61"/>
      <c r="R840" s="61"/>
      <c r="S840" s="45"/>
      <c r="T840" s="29" t="str">
        <f t="shared" si="92"/>
        <v/>
      </c>
    </row>
    <row r="841" spans="1:20">
      <c r="A841" s="10" t="str">
        <f t="shared" si="97"/>
        <v/>
      </c>
      <c r="B841" s="63"/>
      <c r="C841" s="25" t="str">
        <f t="shared" si="93"/>
        <v/>
      </c>
      <c r="D841" s="25" t="str">
        <f t="shared" si="94"/>
        <v/>
      </c>
      <c r="E841" s="45"/>
      <c r="F841" s="28" t="str">
        <f>IFERROR(VLOOKUP(E841,Category!$D$2:$E$600,2,FALSE),"")</f>
        <v/>
      </c>
      <c r="G841" s="65"/>
      <c r="H841" s="56"/>
      <c r="I841" s="66"/>
      <c r="J841" s="67"/>
      <c r="K841" s="67"/>
      <c r="L841" s="67"/>
      <c r="M841" s="29" t="str">
        <f t="shared" si="95"/>
        <v/>
      </c>
      <c r="N841" s="29" t="str">
        <f t="shared" si="96"/>
        <v/>
      </c>
      <c r="O841" s="29" t="str">
        <f t="shared" si="91"/>
        <v/>
      </c>
      <c r="P841" s="61"/>
      <c r="Q841" s="61"/>
      <c r="R841" s="61"/>
      <c r="S841" s="45"/>
      <c r="T841" s="29" t="str">
        <f t="shared" si="92"/>
        <v/>
      </c>
    </row>
    <row r="842" spans="1:20">
      <c r="A842" s="10" t="str">
        <f t="shared" si="97"/>
        <v/>
      </c>
      <c r="B842" s="63"/>
      <c r="C842" s="25" t="str">
        <f t="shared" si="93"/>
        <v/>
      </c>
      <c r="D842" s="25" t="str">
        <f t="shared" si="94"/>
        <v/>
      </c>
      <c r="E842" s="45"/>
      <c r="F842" s="28" t="str">
        <f>IFERROR(VLOOKUP(E842,Category!$D$2:$E$600,2,FALSE),"")</f>
        <v/>
      </c>
      <c r="G842" s="65"/>
      <c r="H842" s="56"/>
      <c r="I842" s="66"/>
      <c r="J842" s="67"/>
      <c r="K842" s="67"/>
      <c r="L842" s="67"/>
      <c r="M842" s="29" t="str">
        <f t="shared" si="95"/>
        <v/>
      </c>
      <c r="N842" s="29" t="str">
        <f t="shared" si="96"/>
        <v/>
      </c>
      <c r="O842" s="29" t="str">
        <f t="shared" si="91"/>
        <v/>
      </c>
      <c r="P842" s="61"/>
      <c r="Q842" s="61"/>
      <c r="R842" s="61"/>
      <c r="S842" s="45"/>
      <c r="T842" s="29" t="str">
        <f t="shared" si="92"/>
        <v/>
      </c>
    </row>
    <row r="843" spans="1:20">
      <c r="A843" s="10" t="str">
        <f t="shared" si="97"/>
        <v/>
      </c>
      <c r="B843" s="63"/>
      <c r="C843" s="25" t="str">
        <f t="shared" si="93"/>
        <v/>
      </c>
      <c r="D843" s="25" t="str">
        <f t="shared" si="94"/>
        <v/>
      </c>
      <c r="E843" s="45"/>
      <c r="F843" s="28" t="str">
        <f>IFERROR(VLOOKUP(E843,Category!$D$2:$E$600,2,FALSE),"")</f>
        <v/>
      </c>
      <c r="G843" s="65"/>
      <c r="H843" s="56"/>
      <c r="I843" s="66"/>
      <c r="J843" s="67"/>
      <c r="K843" s="67"/>
      <c r="L843" s="67"/>
      <c r="M843" s="29" t="str">
        <f t="shared" si="95"/>
        <v/>
      </c>
      <c r="N843" s="29" t="str">
        <f t="shared" si="96"/>
        <v/>
      </c>
      <c r="O843" s="29" t="str">
        <f t="shared" si="91"/>
        <v/>
      </c>
      <c r="P843" s="61"/>
      <c r="Q843" s="61"/>
      <c r="R843" s="61"/>
      <c r="S843" s="45"/>
      <c r="T843" s="29" t="str">
        <f t="shared" si="92"/>
        <v/>
      </c>
    </row>
    <row r="844" spans="1:20">
      <c r="A844" s="10" t="str">
        <f t="shared" si="97"/>
        <v/>
      </c>
      <c r="B844" s="63"/>
      <c r="C844" s="25" t="str">
        <f t="shared" si="93"/>
        <v/>
      </c>
      <c r="D844" s="25" t="str">
        <f t="shared" si="94"/>
        <v/>
      </c>
      <c r="E844" s="45"/>
      <c r="F844" s="28" t="str">
        <f>IFERROR(VLOOKUP(E844,Category!$D$2:$E$600,2,FALSE),"")</f>
        <v/>
      </c>
      <c r="G844" s="65"/>
      <c r="H844" s="56"/>
      <c r="I844" s="66"/>
      <c r="J844" s="67"/>
      <c r="K844" s="67"/>
      <c r="L844" s="67"/>
      <c r="M844" s="29" t="str">
        <f t="shared" si="95"/>
        <v/>
      </c>
      <c r="N844" s="29" t="str">
        <f t="shared" si="96"/>
        <v/>
      </c>
      <c r="O844" s="29" t="str">
        <f t="shared" si="91"/>
        <v/>
      </c>
      <c r="P844" s="61"/>
      <c r="Q844" s="61"/>
      <c r="R844" s="61"/>
      <c r="S844" s="45"/>
      <c r="T844" s="29" t="str">
        <f t="shared" si="92"/>
        <v/>
      </c>
    </row>
    <row r="845" spans="1:20">
      <c r="A845" s="10" t="str">
        <f t="shared" si="97"/>
        <v/>
      </c>
      <c r="B845" s="63"/>
      <c r="C845" s="25" t="str">
        <f t="shared" si="93"/>
        <v/>
      </c>
      <c r="D845" s="25" t="str">
        <f t="shared" si="94"/>
        <v/>
      </c>
      <c r="E845" s="45"/>
      <c r="F845" s="28" t="str">
        <f>IFERROR(VLOOKUP(E845,Category!$D$2:$E$600,2,FALSE),"")</f>
        <v/>
      </c>
      <c r="G845" s="65"/>
      <c r="H845" s="56"/>
      <c r="I845" s="66"/>
      <c r="J845" s="67"/>
      <c r="K845" s="67"/>
      <c r="L845" s="67"/>
      <c r="M845" s="29" t="str">
        <f t="shared" si="95"/>
        <v/>
      </c>
      <c r="N845" s="29" t="str">
        <f t="shared" si="96"/>
        <v/>
      </c>
      <c r="O845" s="29" t="str">
        <f t="shared" si="91"/>
        <v/>
      </c>
      <c r="P845" s="61"/>
      <c r="Q845" s="61"/>
      <c r="R845" s="61"/>
      <c r="S845" s="45"/>
      <c r="T845" s="29" t="str">
        <f t="shared" si="92"/>
        <v/>
      </c>
    </row>
    <row r="846" spans="1:20">
      <c r="A846" s="10" t="str">
        <f t="shared" si="97"/>
        <v/>
      </c>
      <c r="B846" s="63"/>
      <c r="C846" s="25" t="str">
        <f t="shared" si="93"/>
        <v/>
      </c>
      <c r="D846" s="25" t="str">
        <f t="shared" si="94"/>
        <v/>
      </c>
      <c r="E846" s="45"/>
      <c r="F846" s="28" t="str">
        <f>IFERROR(VLOOKUP(E846,Category!$D$2:$E$600,2,FALSE),"")</f>
        <v/>
      </c>
      <c r="G846" s="65"/>
      <c r="H846" s="56"/>
      <c r="I846" s="66"/>
      <c r="J846" s="67"/>
      <c r="K846" s="67"/>
      <c r="L846" s="67"/>
      <c r="M846" s="29" t="str">
        <f t="shared" si="95"/>
        <v/>
      </c>
      <c r="N846" s="29" t="str">
        <f t="shared" si="96"/>
        <v/>
      </c>
      <c r="O846" s="29" t="str">
        <f t="shared" si="91"/>
        <v/>
      </c>
      <c r="P846" s="61"/>
      <c r="Q846" s="61"/>
      <c r="R846" s="61"/>
      <c r="S846" s="45"/>
      <c r="T846" s="29" t="str">
        <f t="shared" si="92"/>
        <v/>
      </c>
    </row>
    <row r="847" spans="1:20">
      <c r="A847" s="10" t="str">
        <f t="shared" si="97"/>
        <v/>
      </c>
      <c r="B847" s="63"/>
      <c r="C847" s="25" t="str">
        <f t="shared" si="93"/>
        <v/>
      </c>
      <c r="D847" s="25" t="str">
        <f t="shared" si="94"/>
        <v/>
      </c>
      <c r="E847" s="45"/>
      <c r="F847" s="28" t="str">
        <f>IFERROR(VLOOKUP(E847,Category!$D$2:$E$600,2,FALSE),"")</f>
        <v/>
      </c>
      <c r="G847" s="65"/>
      <c r="H847" s="56"/>
      <c r="I847" s="66"/>
      <c r="J847" s="67"/>
      <c r="K847" s="67"/>
      <c r="L847" s="67"/>
      <c r="M847" s="29" t="str">
        <f t="shared" si="95"/>
        <v/>
      </c>
      <c r="N847" s="29" t="str">
        <f t="shared" si="96"/>
        <v/>
      </c>
      <c r="O847" s="29" t="str">
        <f t="shared" si="91"/>
        <v/>
      </c>
      <c r="P847" s="61"/>
      <c r="Q847" s="61"/>
      <c r="R847" s="61"/>
      <c r="S847" s="45"/>
      <c r="T847" s="29" t="str">
        <f t="shared" si="92"/>
        <v/>
      </c>
    </row>
    <row r="848" spans="1:20">
      <c r="A848" s="10" t="str">
        <f t="shared" si="97"/>
        <v/>
      </c>
      <c r="B848" s="63"/>
      <c r="C848" s="25" t="str">
        <f t="shared" si="93"/>
        <v/>
      </c>
      <c r="D848" s="25" t="str">
        <f t="shared" si="94"/>
        <v/>
      </c>
      <c r="E848" s="45"/>
      <c r="F848" s="28" t="str">
        <f>IFERROR(VLOOKUP(E848,Category!$D$2:$E$600,2,FALSE),"")</f>
        <v/>
      </c>
      <c r="G848" s="65"/>
      <c r="H848" s="56"/>
      <c r="I848" s="66"/>
      <c r="J848" s="67"/>
      <c r="K848" s="67"/>
      <c r="L848" s="67"/>
      <c r="M848" s="29" t="str">
        <f t="shared" si="95"/>
        <v/>
      </c>
      <c r="N848" s="29" t="str">
        <f t="shared" si="96"/>
        <v/>
      </c>
      <c r="O848" s="29" t="str">
        <f t="shared" si="91"/>
        <v/>
      </c>
      <c r="P848" s="61"/>
      <c r="Q848" s="61"/>
      <c r="R848" s="61"/>
      <c r="S848" s="45"/>
      <c r="T848" s="29" t="str">
        <f t="shared" si="92"/>
        <v/>
      </c>
    </row>
    <row r="849" spans="1:20">
      <c r="A849" s="10" t="str">
        <f t="shared" si="97"/>
        <v/>
      </c>
      <c r="B849" s="63"/>
      <c r="C849" s="25" t="str">
        <f t="shared" si="93"/>
        <v/>
      </c>
      <c r="D849" s="25" t="str">
        <f t="shared" si="94"/>
        <v/>
      </c>
      <c r="E849" s="45"/>
      <c r="F849" s="28" t="str">
        <f>IFERROR(VLOOKUP(E849,Category!$D$2:$E$600,2,FALSE),"")</f>
        <v/>
      </c>
      <c r="G849" s="65"/>
      <c r="H849" s="56"/>
      <c r="I849" s="66"/>
      <c r="J849" s="67"/>
      <c r="K849" s="67"/>
      <c r="L849" s="67"/>
      <c r="M849" s="29" t="str">
        <f t="shared" si="95"/>
        <v/>
      </c>
      <c r="N849" s="29" t="str">
        <f t="shared" si="96"/>
        <v/>
      </c>
      <c r="O849" s="29" t="str">
        <f t="shared" si="91"/>
        <v/>
      </c>
      <c r="P849" s="61"/>
      <c r="Q849" s="61"/>
      <c r="R849" s="61"/>
      <c r="S849" s="45"/>
      <c r="T849" s="29" t="str">
        <f t="shared" si="92"/>
        <v/>
      </c>
    </row>
    <row r="850" spans="1:20">
      <c r="A850" s="10" t="str">
        <f t="shared" si="97"/>
        <v/>
      </c>
      <c r="B850" s="63"/>
      <c r="C850" s="25" t="str">
        <f t="shared" si="93"/>
        <v/>
      </c>
      <c r="D850" s="25" t="str">
        <f t="shared" si="94"/>
        <v/>
      </c>
      <c r="E850" s="45"/>
      <c r="F850" s="28" t="str">
        <f>IFERROR(VLOOKUP(E850,Category!$D$2:$E$600,2,FALSE),"")</f>
        <v/>
      </c>
      <c r="G850" s="65"/>
      <c r="H850" s="56"/>
      <c r="I850" s="66"/>
      <c r="J850" s="67"/>
      <c r="K850" s="67"/>
      <c r="L850" s="67"/>
      <c r="M850" s="29" t="str">
        <f t="shared" si="95"/>
        <v/>
      </c>
      <c r="N850" s="29" t="str">
        <f t="shared" si="96"/>
        <v/>
      </c>
      <c r="O850" s="29" t="str">
        <f t="shared" si="91"/>
        <v/>
      </c>
      <c r="P850" s="61"/>
      <c r="Q850" s="61"/>
      <c r="R850" s="61"/>
      <c r="S850" s="45"/>
      <c r="T850" s="29" t="str">
        <f t="shared" si="92"/>
        <v/>
      </c>
    </row>
    <row r="851" spans="1:20">
      <c r="A851" s="10" t="str">
        <f t="shared" si="97"/>
        <v/>
      </c>
      <c r="B851" s="63"/>
      <c r="C851" s="25" t="str">
        <f t="shared" si="93"/>
        <v/>
      </c>
      <c r="D851" s="25" t="str">
        <f t="shared" si="94"/>
        <v/>
      </c>
      <c r="E851" s="45"/>
      <c r="F851" s="28" t="str">
        <f>IFERROR(VLOOKUP(E851,Category!$D$2:$E$600,2,FALSE),"")</f>
        <v/>
      </c>
      <c r="G851" s="65"/>
      <c r="H851" s="56"/>
      <c r="I851" s="66"/>
      <c r="J851" s="67"/>
      <c r="K851" s="67"/>
      <c r="L851" s="67"/>
      <c r="M851" s="29" t="str">
        <f t="shared" si="95"/>
        <v/>
      </c>
      <c r="N851" s="29" t="str">
        <f t="shared" si="96"/>
        <v/>
      </c>
      <c r="O851" s="29" t="str">
        <f t="shared" si="91"/>
        <v/>
      </c>
      <c r="P851" s="61"/>
      <c r="Q851" s="61"/>
      <c r="R851" s="61"/>
      <c r="S851" s="45"/>
      <c r="T851" s="29" t="str">
        <f t="shared" si="92"/>
        <v/>
      </c>
    </row>
    <row r="852" spans="1:20">
      <c r="A852" s="10" t="str">
        <f t="shared" si="97"/>
        <v/>
      </c>
      <c r="B852" s="63"/>
      <c r="C852" s="25" t="str">
        <f t="shared" si="93"/>
        <v/>
      </c>
      <c r="D852" s="25" t="str">
        <f t="shared" si="94"/>
        <v/>
      </c>
      <c r="E852" s="45"/>
      <c r="F852" s="28" t="str">
        <f>IFERROR(VLOOKUP(E852,Category!$D$2:$E$600,2,FALSE),"")</f>
        <v/>
      </c>
      <c r="G852" s="65"/>
      <c r="H852" s="56"/>
      <c r="I852" s="66"/>
      <c r="J852" s="67"/>
      <c r="K852" s="67"/>
      <c r="L852" s="67"/>
      <c r="M852" s="29" t="str">
        <f t="shared" si="95"/>
        <v/>
      </c>
      <c r="N852" s="29" t="str">
        <f t="shared" si="96"/>
        <v/>
      </c>
      <c r="O852" s="29" t="str">
        <f t="shared" si="91"/>
        <v/>
      </c>
      <c r="P852" s="61"/>
      <c r="Q852" s="61"/>
      <c r="R852" s="61"/>
      <c r="S852" s="45"/>
      <c r="T852" s="29" t="str">
        <f t="shared" si="92"/>
        <v/>
      </c>
    </row>
    <row r="853" spans="1:20">
      <c r="A853" s="10" t="str">
        <f t="shared" si="97"/>
        <v/>
      </c>
      <c r="B853" s="63"/>
      <c r="C853" s="25" t="str">
        <f t="shared" si="93"/>
        <v/>
      </c>
      <c r="D853" s="25" t="str">
        <f t="shared" si="94"/>
        <v/>
      </c>
      <c r="E853" s="45"/>
      <c r="F853" s="28" t="str">
        <f>IFERROR(VLOOKUP(E853,Category!$D$2:$E$600,2,FALSE),"")</f>
        <v/>
      </c>
      <c r="G853" s="65"/>
      <c r="H853" s="56"/>
      <c r="I853" s="66"/>
      <c r="J853" s="67"/>
      <c r="K853" s="67"/>
      <c r="L853" s="67"/>
      <c r="M853" s="29" t="str">
        <f t="shared" si="95"/>
        <v/>
      </c>
      <c r="N853" s="29" t="str">
        <f t="shared" si="96"/>
        <v/>
      </c>
      <c r="O853" s="29" t="str">
        <f t="shared" si="91"/>
        <v/>
      </c>
      <c r="P853" s="61"/>
      <c r="Q853" s="61"/>
      <c r="R853" s="61"/>
      <c r="S853" s="45"/>
      <c r="T853" s="29" t="str">
        <f t="shared" si="92"/>
        <v/>
      </c>
    </row>
    <row r="854" spans="1:20">
      <c r="A854" s="10" t="str">
        <f t="shared" si="97"/>
        <v/>
      </c>
      <c r="B854" s="63"/>
      <c r="C854" s="25" t="str">
        <f t="shared" si="93"/>
        <v/>
      </c>
      <c r="D854" s="25" t="str">
        <f t="shared" si="94"/>
        <v/>
      </c>
      <c r="E854" s="45"/>
      <c r="F854" s="28" t="str">
        <f>IFERROR(VLOOKUP(E854,Category!$D$2:$E$600,2,FALSE),"")</f>
        <v/>
      </c>
      <c r="G854" s="65"/>
      <c r="H854" s="56"/>
      <c r="I854" s="66"/>
      <c r="J854" s="67"/>
      <c r="K854" s="67"/>
      <c r="L854" s="67"/>
      <c r="M854" s="29" t="str">
        <f t="shared" si="95"/>
        <v/>
      </c>
      <c r="N854" s="29" t="str">
        <f t="shared" si="96"/>
        <v/>
      </c>
      <c r="O854" s="29" t="str">
        <f t="shared" si="91"/>
        <v/>
      </c>
      <c r="P854" s="61"/>
      <c r="Q854" s="61"/>
      <c r="R854" s="61"/>
      <c r="S854" s="45"/>
      <c r="T854" s="29" t="str">
        <f t="shared" si="92"/>
        <v/>
      </c>
    </row>
    <row r="855" spans="1:20">
      <c r="A855" s="10" t="str">
        <f t="shared" si="97"/>
        <v/>
      </c>
      <c r="B855" s="63"/>
      <c r="C855" s="25" t="str">
        <f t="shared" si="93"/>
        <v/>
      </c>
      <c r="D855" s="25" t="str">
        <f t="shared" si="94"/>
        <v/>
      </c>
      <c r="E855" s="45"/>
      <c r="F855" s="28" t="str">
        <f>IFERROR(VLOOKUP(E855,Category!$D$2:$E$600,2,FALSE),"")</f>
        <v/>
      </c>
      <c r="G855" s="65"/>
      <c r="H855" s="56"/>
      <c r="I855" s="66"/>
      <c r="J855" s="67"/>
      <c r="K855" s="67"/>
      <c r="L855" s="67"/>
      <c r="M855" s="29" t="str">
        <f t="shared" si="95"/>
        <v/>
      </c>
      <c r="N855" s="29" t="str">
        <f t="shared" si="96"/>
        <v/>
      </c>
      <c r="O855" s="29" t="str">
        <f t="shared" si="91"/>
        <v/>
      </c>
      <c r="P855" s="61"/>
      <c r="Q855" s="61"/>
      <c r="R855" s="61"/>
      <c r="S855" s="45"/>
      <c r="T855" s="29" t="str">
        <f t="shared" si="92"/>
        <v/>
      </c>
    </row>
    <row r="856" spans="1:20">
      <c r="A856" s="10" t="str">
        <f t="shared" si="97"/>
        <v/>
      </c>
      <c r="B856" s="63"/>
      <c r="C856" s="25" t="str">
        <f t="shared" si="93"/>
        <v/>
      </c>
      <c r="D856" s="25" t="str">
        <f t="shared" si="94"/>
        <v/>
      </c>
      <c r="E856" s="45"/>
      <c r="F856" s="28" t="str">
        <f>IFERROR(VLOOKUP(E856,Category!$D$2:$E$600,2,FALSE),"")</f>
        <v/>
      </c>
      <c r="G856" s="65"/>
      <c r="H856" s="56"/>
      <c r="I856" s="66"/>
      <c r="J856" s="67"/>
      <c r="K856" s="67"/>
      <c r="L856" s="67"/>
      <c r="M856" s="29" t="str">
        <f t="shared" si="95"/>
        <v/>
      </c>
      <c r="N856" s="29" t="str">
        <f t="shared" si="96"/>
        <v/>
      </c>
      <c r="O856" s="29" t="str">
        <f t="shared" si="91"/>
        <v/>
      </c>
      <c r="P856" s="61"/>
      <c r="Q856" s="61"/>
      <c r="R856" s="61"/>
      <c r="S856" s="45"/>
      <c r="T856" s="29" t="str">
        <f t="shared" si="92"/>
        <v/>
      </c>
    </row>
    <row r="857" spans="1:20">
      <c r="A857" s="10" t="str">
        <f t="shared" si="97"/>
        <v/>
      </c>
      <c r="B857" s="63"/>
      <c r="C857" s="25" t="str">
        <f t="shared" si="93"/>
        <v/>
      </c>
      <c r="D857" s="25" t="str">
        <f t="shared" si="94"/>
        <v/>
      </c>
      <c r="E857" s="45"/>
      <c r="F857" s="28" t="str">
        <f>IFERROR(VLOOKUP(E857,Category!$D$2:$E$600,2,FALSE),"")</f>
        <v/>
      </c>
      <c r="G857" s="65"/>
      <c r="H857" s="56"/>
      <c r="I857" s="66"/>
      <c r="J857" s="67"/>
      <c r="K857" s="67"/>
      <c r="L857" s="67"/>
      <c r="M857" s="29" t="str">
        <f t="shared" si="95"/>
        <v/>
      </c>
      <c r="N857" s="29" t="str">
        <f t="shared" si="96"/>
        <v/>
      </c>
      <c r="O857" s="29" t="str">
        <f t="shared" si="91"/>
        <v/>
      </c>
      <c r="P857" s="61"/>
      <c r="Q857" s="61"/>
      <c r="R857" s="61"/>
      <c r="S857" s="45"/>
      <c r="T857" s="29" t="str">
        <f t="shared" si="92"/>
        <v/>
      </c>
    </row>
    <row r="858" spans="1:20">
      <c r="A858" s="10" t="str">
        <f t="shared" si="97"/>
        <v/>
      </c>
      <c r="B858" s="63"/>
      <c r="C858" s="25" t="str">
        <f t="shared" si="93"/>
        <v/>
      </c>
      <c r="D858" s="25" t="str">
        <f t="shared" si="94"/>
        <v/>
      </c>
      <c r="E858" s="45"/>
      <c r="F858" s="28" t="str">
        <f>IFERROR(VLOOKUP(E858,Category!$D$2:$E$600,2,FALSE),"")</f>
        <v/>
      </c>
      <c r="G858" s="65"/>
      <c r="H858" s="56"/>
      <c r="I858" s="66"/>
      <c r="J858" s="67"/>
      <c r="K858" s="67"/>
      <c r="L858" s="67"/>
      <c r="M858" s="29" t="str">
        <f t="shared" si="95"/>
        <v/>
      </c>
      <c r="N858" s="29" t="str">
        <f t="shared" si="96"/>
        <v/>
      </c>
      <c r="O858" s="29" t="str">
        <f t="shared" si="91"/>
        <v/>
      </c>
      <c r="P858" s="61"/>
      <c r="Q858" s="61"/>
      <c r="R858" s="61"/>
      <c r="S858" s="45"/>
      <c r="T858" s="29" t="str">
        <f t="shared" si="92"/>
        <v/>
      </c>
    </row>
    <row r="859" spans="1:20">
      <c r="A859" s="10" t="str">
        <f t="shared" si="97"/>
        <v/>
      </c>
      <c r="B859" s="63"/>
      <c r="C859" s="25" t="str">
        <f t="shared" si="93"/>
        <v/>
      </c>
      <c r="D859" s="25" t="str">
        <f t="shared" si="94"/>
        <v/>
      </c>
      <c r="E859" s="45"/>
      <c r="F859" s="28" t="str">
        <f>IFERROR(VLOOKUP(E859,Category!$D$2:$E$600,2,FALSE),"")</f>
        <v/>
      </c>
      <c r="G859" s="65"/>
      <c r="H859" s="56"/>
      <c r="I859" s="66"/>
      <c r="J859" s="67"/>
      <c r="K859" s="67"/>
      <c r="L859" s="67"/>
      <c r="M859" s="29" t="str">
        <f t="shared" si="95"/>
        <v/>
      </c>
      <c r="N859" s="29" t="str">
        <f t="shared" si="96"/>
        <v/>
      </c>
      <c r="O859" s="29" t="str">
        <f t="shared" si="91"/>
        <v/>
      </c>
      <c r="P859" s="61"/>
      <c r="Q859" s="61"/>
      <c r="R859" s="61"/>
      <c r="S859" s="45"/>
      <c r="T859" s="29" t="str">
        <f t="shared" si="92"/>
        <v/>
      </c>
    </row>
    <row r="860" spans="1:20">
      <c r="A860" s="10" t="str">
        <f t="shared" si="97"/>
        <v/>
      </c>
      <c r="B860" s="63"/>
      <c r="C860" s="25" t="str">
        <f t="shared" si="93"/>
        <v/>
      </c>
      <c r="D860" s="25" t="str">
        <f t="shared" si="94"/>
        <v/>
      </c>
      <c r="E860" s="45"/>
      <c r="F860" s="28" t="str">
        <f>IFERROR(VLOOKUP(E860,Category!$D$2:$E$600,2,FALSE),"")</f>
        <v/>
      </c>
      <c r="G860" s="65"/>
      <c r="H860" s="56"/>
      <c r="I860" s="66"/>
      <c r="J860" s="67"/>
      <c r="K860" s="67"/>
      <c r="L860" s="67"/>
      <c r="M860" s="29" t="str">
        <f t="shared" si="95"/>
        <v/>
      </c>
      <c r="N860" s="29" t="str">
        <f t="shared" si="96"/>
        <v/>
      </c>
      <c r="O860" s="29" t="str">
        <f t="shared" si="91"/>
        <v/>
      </c>
      <c r="P860" s="61"/>
      <c r="Q860" s="61"/>
      <c r="R860" s="61"/>
      <c r="S860" s="45"/>
      <c r="T860" s="29" t="str">
        <f t="shared" si="92"/>
        <v/>
      </c>
    </row>
    <row r="861" spans="1:20">
      <c r="A861" s="10" t="str">
        <f t="shared" si="97"/>
        <v/>
      </c>
      <c r="B861" s="63"/>
      <c r="C861" s="25" t="str">
        <f t="shared" si="93"/>
        <v/>
      </c>
      <c r="D861" s="25" t="str">
        <f t="shared" si="94"/>
        <v/>
      </c>
      <c r="E861" s="45"/>
      <c r="F861" s="28" t="str">
        <f>IFERROR(VLOOKUP(E861,Category!$D$2:$E$600,2,FALSE),"")</f>
        <v/>
      </c>
      <c r="G861" s="65"/>
      <c r="H861" s="56"/>
      <c r="I861" s="66"/>
      <c r="J861" s="67"/>
      <c r="K861" s="67"/>
      <c r="L861" s="67"/>
      <c r="M861" s="29" t="str">
        <f t="shared" si="95"/>
        <v/>
      </c>
      <c r="N861" s="29" t="str">
        <f t="shared" si="96"/>
        <v/>
      </c>
      <c r="O861" s="29" t="str">
        <f t="shared" si="91"/>
        <v/>
      </c>
      <c r="P861" s="61"/>
      <c r="Q861" s="61"/>
      <c r="R861" s="61"/>
      <c r="S861" s="45"/>
      <c r="T861" s="29" t="str">
        <f t="shared" si="92"/>
        <v/>
      </c>
    </row>
    <row r="862" spans="1:20">
      <c r="A862" s="10" t="str">
        <f t="shared" si="97"/>
        <v/>
      </c>
      <c r="B862" s="63"/>
      <c r="C862" s="25" t="str">
        <f t="shared" si="93"/>
        <v/>
      </c>
      <c r="D862" s="25" t="str">
        <f t="shared" si="94"/>
        <v/>
      </c>
      <c r="E862" s="45"/>
      <c r="F862" s="28" t="str">
        <f>IFERROR(VLOOKUP(E862,Category!$D$2:$E$600,2,FALSE),"")</f>
        <v/>
      </c>
      <c r="G862" s="65"/>
      <c r="H862" s="56"/>
      <c r="I862" s="66"/>
      <c r="J862" s="67"/>
      <c r="K862" s="67"/>
      <c r="L862" s="67"/>
      <c r="M862" s="29" t="str">
        <f t="shared" si="95"/>
        <v/>
      </c>
      <c r="N862" s="29" t="str">
        <f t="shared" si="96"/>
        <v/>
      </c>
      <c r="O862" s="29" t="str">
        <f t="shared" si="91"/>
        <v/>
      </c>
      <c r="P862" s="61"/>
      <c r="Q862" s="61"/>
      <c r="R862" s="61"/>
      <c r="S862" s="45"/>
      <c r="T862" s="29" t="str">
        <f t="shared" si="92"/>
        <v/>
      </c>
    </row>
    <row r="863" spans="1:20">
      <c r="A863" s="10" t="str">
        <f t="shared" si="97"/>
        <v/>
      </c>
      <c r="B863" s="63"/>
      <c r="C863" s="25" t="str">
        <f t="shared" si="93"/>
        <v/>
      </c>
      <c r="D863" s="25" t="str">
        <f t="shared" si="94"/>
        <v/>
      </c>
      <c r="E863" s="45"/>
      <c r="F863" s="28" t="str">
        <f>IFERROR(VLOOKUP(E863,Category!$D$2:$E$600,2,FALSE),"")</f>
        <v/>
      </c>
      <c r="G863" s="65"/>
      <c r="H863" s="56"/>
      <c r="I863" s="66"/>
      <c r="J863" s="67"/>
      <c r="K863" s="67"/>
      <c r="L863" s="67"/>
      <c r="M863" s="29" t="str">
        <f t="shared" si="95"/>
        <v/>
      </c>
      <c r="N863" s="29" t="str">
        <f t="shared" si="96"/>
        <v/>
      </c>
      <c r="O863" s="29" t="str">
        <f t="shared" si="91"/>
        <v/>
      </c>
      <c r="P863" s="61"/>
      <c r="Q863" s="61"/>
      <c r="R863" s="61"/>
      <c r="S863" s="45"/>
      <c r="T863" s="29" t="str">
        <f t="shared" si="92"/>
        <v/>
      </c>
    </row>
    <row r="864" spans="1:20">
      <c r="A864" s="10" t="str">
        <f t="shared" si="97"/>
        <v/>
      </c>
      <c r="B864" s="63"/>
      <c r="C864" s="25" t="str">
        <f t="shared" si="93"/>
        <v/>
      </c>
      <c r="D864" s="25" t="str">
        <f t="shared" si="94"/>
        <v/>
      </c>
      <c r="E864" s="45"/>
      <c r="F864" s="28" t="str">
        <f>IFERROR(VLOOKUP(E864,Category!$D$2:$E$600,2,FALSE),"")</f>
        <v/>
      </c>
      <c r="G864" s="65"/>
      <c r="H864" s="56"/>
      <c r="I864" s="66"/>
      <c r="J864" s="67"/>
      <c r="K864" s="67"/>
      <c r="L864" s="67"/>
      <c r="M864" s="29" t="str">
        <f t="shared" si="95"/>
        <v/>
      </c>
      <c r="N864" s="29" t="str">
        <f t="shared" si="96"/>
        <v/>
      </c>
      <c r="O864" s="29" t="str">
        <f t="shared" si="91"/>
        <v/>
      </c>
      <c r="P864" s="61"/>
      <c r="Q864" s="61"/>
      <c r="R864" s="61"/>
      <c r="S864" s="45"/>
      <c r="T864" s="29" t="str">
        <f t="shared" si="92"/>
        <v/>
      </c>
    </row>
    <row r="865" spans="1:20">
      <c r="A865" s="10" t="str">
        <f t="shared" si="97"/>
        <v/>
      </c>
      <c r="B865" s="63"/>
      <c r="C865" s="25" t="str">
        <f t="shared" si="93"/>
        <v/>
      </c>
      <c r="D865" s="25" t="str">
        <f t="shared" si="94"/>
        <v/>
      </c>
      <c r="E865" s="45"/>
      <c r="F865" s="28" t="str">
        <f>IFERROR(VLOOKUP(E865,Category!$D$2:$E$600,2,FALSE),"")</f>
        <v/>
      </c>
      <c r="G865" s="65"/>
      <c r="H865" s="56"/>
      <c r="I865" s="66"/>
      <c r="J865" s="67"/>
      <c r="K865" s="67"/>
      <c r="L865" s="67"/>
      <c r="M865" s="29" t="str">
        <f t="shared" si="95"/>
        <v/>
      </c>
      <c r="N865" s="29" t="str">
        <f t="shared" si="96"/>
        <v/>
      </c>
      <c r="O865" s="29" t="str">
        <f t="shared" si="91"/>
        <v/>
      </c>
      <c r="P865" s="61"/>
      <c r="Q865" s="61"/>
      <c r="R865" s="61"/>
      <c r="S865" s="45"/>
      <c r="T865" s="29" t="str">
        <f t="shared" si="92"/>
        <v/>
      </c>
    </row>
    <row r="866" spans="1:20">
      <c r="A866" s="10" t="str">
        <f t="shared" si="97"/>
        <v/>
      </c>
      <c r="B866" s="63"/>
      <c r="C866" s="25" t="str">
        <f t="shared" si="93"/>
        <v/>
      </c>
      <c r="D866" s="25" t="str">
        <f t="shared" si="94"/>
        <v/>
      </c>
      <c r="E866" s="45"/>
      <c r="F866" s="28" t="str">
        <f>IFERROR(VLOOKUP(E866,Category!$D$2:$E$600,2,FALSE),"")</f>
        <v/>
      </c>
      <c r="G866" s="65"/>
      <c r="H866" s="56"/>
      <c r="I866" s="66"/>
      <c r="J866" s="67"/>
      <c r="K866" s="67"/>
      <c r="L866" s="67"/>
      <c r="M866" s="29" t="str">
        <f t="shared" si="95"/>
        <v/>
      </c>
      <c r="N866" s="29" t="str">
        <f t="shared" si="96"/>
        <v/>
      </c>
      <c r="O866" s="29" t="str">
        <f t="shared" si="91"/>
        <v/>
      </c>
      <c r="P866" s="61"/>
      <c r="Q866" s="61"/>
      <c r="R866" s="61"/>
      <c r="S866" s="45"/>
      <c r="T866" s="29" t="str">
        <f t="shared" si="92"/>
        <v/>
      </c>
    </row>
    <row r="867" spans="1:20">
      <c r="A867" s="10" t="str">
        <f t="shared" si="97"/>
        <v/>
      </c>
      <c r="B867" s="63"/>
      <c r="C867" s="25" t="str">
        <f t="shared" si="93"/>
        <v/>
      </c>
      <c r="D867" s="25" t="str">
        <f t="shared" si="94"/>
        <v/>
      </c>
      <c r="E867" s="45"/>
      <c r="F867" s="28" t="str">
        <f>IFERROR(VLOOKUP(E867,Category!$D$2:$E$600,2,FALSE),"")</f>
        <v/>
      </c>
      <c r="G867" s="65"/>
      <c r="H867" s="56"/>
      <c r="I867" s="66"/>
      <c r="J867" s="67"/>
      <c r="K867" s="67"/>
      <c r="L867" s="67"/>
      <c r="M867" s="29" t="str">
        <f t="shared" si="95"/>
        <v/>
      </c>
      <c r="N867" s="29" t="str">
        <f t="shared" si="96"/>
        <v/>
      </c>
      <c r="O867" s="29" t="str">
        <f t="shared" si="91"/>
        <v/>
      </c>
      <c r="P867" s="61"/>
      <c r="Q867" s="61"/>
      <c r="R867" s="61"/>
      <c r="S867" s="45"/>
      <c r="T867" s="29" t="str">
        <f t="shared" si="92"/>
        <v/>
      </c>
    </row>
    <row r="868" spans="1:20">
      <c r="A868" s="10" t="str">
        <f t="shared" si="97"/>
        <v/>
      </c>
      <c r="B868" s="63"/>
      <c r="C868" s="25" t="str">
        <f t="shared" si="93"/>
        <v/>
      </c>
      <c r="D868" s="25" t="str">
        <f t="shared" si="94"/>
        <v/>
      </c>
      <c r="E868" s="45"/>
      <c r="F868" s="28" t="str">
        <f>IFERROR(VLOOKUP(E868,Category!$D$2:$E$600,2,FALSE),"")</f>
        <v/>
      </c>
      <c r="G868" s="65"/>
      <c r="H868" s="56"/>
      <c r="I868" s="66"/>
      <c r="J868" s="67"/>
      <c r="K868" s="67"/>
      <c r="L868" s="67"/>
      <c r="M868" s="29" t="str">
        <f t="shared" si="95"/>
        <v/>
      </c>
      <c r="N868" s="29" t="str">
        <f t="shared" si="96"/>
        <v/>
      </c>
      <c r="O868" s="29" t="str">
        <f t="shared" si="91"/>
        <v/>
      </c>
      <c r="P868" s="61"/>
      <c r="Q868" s="61"/>
      <c r="R868" s="61"/>
      <c r="S868" s="45"/>
      <c r="T868" s="29" t="str">
        <f t="shared" si="92"/>
        <v/>
      </c>
    </row>
    <row r="869" spans="1:20">
      <c r="A869" s="10" t="str">
        <f t="shared" si="97"/>
        <v/>
      </c>
      <c r="B869" s="63"/>
      <c r="C869" s="25" t="str">
        <f t="shared" si="93"/>
        <v/>
      </c>
      <c r="D869" s="25" t="str">
        <f t="shared" si="94"/>
        <v/>
      </c>
      <c r="E869" s="45"/>
      <c r="F869" s="28" t="str">
        <f>IFERROR(VLOOKUP(E869,Category!$D$2:$E$600,2,FALSE),"")</f>
        <v/>
      </c>
      <c r="G869" s="65"/>
      <c r="H869" s="56"/>
      <c r="I869" s="66"/>
      <c r="J869" s="67"/>
      <c r="K869" s="67"/>
      <c r="L869" s="67"/>
      <c r="M869" s="29" t="str">
        <f t="shared" si="95"/>
        <v/>
      </c>
      <c r="N869" s="29" t="str">
        <f t="shared" si="96"/>
        <v/>
      </c>
      <c r="O869" s="29" t="str">
        <f t="shared" si="91"/>
        <v/>
      </c>
      <c r="P869" s="61"/>
      <c r="Q869" s="61"/>
      <c r="R869" s="61"/>
      <c r="S869" s="45"/>
      <c r="T869" s="29" t="str">
        <f t="shared" si="92"/>
        <v/>
      </c>
    </row>
    <row r="870" spans="1:20">
      <c r="A870" s="10" t="str">
        <f t="shared" si="97"/>
        <v/>
      </c>
      <c r="B870" s="63"/>
      <c r="C870" s="25" t="str">
        <f t="shared" si="93"/>
        <v/>
      </c>
      <c r="D870" s="25" t="str">
        <f t="shared" si="94"/>
        <v/>
      </c>
      <c r="E870" s="45"/>
      <c r="F870" s="28" t="str">
        <f>IFERROR(VLOOKUP(E870,Category!$D$2:$E$600,2,FALSE),"")</f>
        <v/>
      </c>
      <c r="G870" s="65"/>
      <c r="H870" s="56"/>
      <c r="I870" s="66"/>
      <c r="J870" s="67"/>
      <c r="K870" s="67"/>
      <c r="L870" s="67"/>
      <c r="M870" s="29" t="str">
        <f t="shared" si="95"/>
        <v/>
      </c>
      <c r="N870" s="29" t="str">
        <f t="shared" si="96"/>
        <v/>
      </c>
      <c r="O870" s="29" t="str">
        <f t="shared" si="91"/>
        <v/>
      </c>
      <c r="P870" s="61"/>
      <c r="Q870" s="61"/>
      <c r="R870" s="61"/>
      <c r="S870" s="45"/>
      <c r="T870" s="29" t="str">
        <f t="shared" si="92"/>
        <v/>
      </c>
    </row>
    <row r="871" spans="1:20">
      <c r="A871" s="10" t="str">
        <f t="shared" si="97"/>
        <v/>
      </c>
      <c r="B871" s="63"/>
      <c r="C871" s="25" t="str">
        <f t="shared" si="93"/>
        <v/>
      </c>
      <c r="D871" s="25" t="str">
        <f t="shared" si="94"/>
        <v/>
      </c>
      <c r="E871" s="45"/>
      <c r="F871" s="28" t="str">
        <f>IFERROR(VLOOKUP(E871,Category!$D$2:$E$600,2,FALSE),"")</f>
        <v/>
      </c>
      <c r="G871" s="65"/>
      <c r="H871" s="56"/>
      <c r="I871" s="66"/>
      <c r="J871" s="67"/>
      <c r="K871" s="67"/>
      <c r="L871" s="67"/>
      <c r="M871" s="29" t="str">
        <f t="shared" si="95"/>
        <v/>
      </c>
      <c r="N871" s="29" t="str">
        <f t="shared" si="96"/>
        <v/>
      </c>
      <c r="O871" s="29" t="str">
        <f t="shared" si="91"/>
        <v/>
      </c>
      <c r="P871" s="61"/>
      <c r="Q871" s="61"/>
      <c r="R871" s="61"/>
      <c r="S871" s="45"/>
      <c r="T871" s="29" t="str">
        <f t="shared" si="92"/>
        <v/>
      </c>
    </row>
    <row r="872" spans="1:20">
      <c r="A872" s="10" t="str">
        <f t="shared" si="97"/>
        <v/>
      </c>
      <c r="B872" s="63"/>
      <c r="C872" s="25" t="str">
        <f t="shared" si="93"/>
        <v/>
      </c>
      <c r="D872" s="25" t="str">
        <f t="shared" si="94"/>
        <v/>
      </c>
      <c r="E872" s="45"/>
      <c r="F872" s="28" t="str">
        <f>IFERROR(VLOOKUP(E872,Category!$D$2:$E$600,2,FALSE),"")</f>
        <v/>
      </c>
      <c r="G872" s="65"/>
      <c r="H872" s="56"/>
      <c r="I872" s="66"/>
      <c r="J872" s="67"/>
      <c r="K872" s="67"/>
      <c r="L872" s="67"/>
      <c r="M872" s="29" t="str">
        <f t="shared" si="95"/>
        <v/>
      </c>
      <c r="N872" s="29" t="str">
        <f t="shared" si="96"/>
        <v/>
      </c>
      <c r="O872" s="29" t="str">
        <f t="shared" si="91"/>
        <v/>
      </c>
      <c r="P872" s="61"/>
      <c r="Q872" s="61"/>
      <c r="R872" s="61"/>
      <c r="S872" s="45"/>
      <c r="T872" s="29" t="str">
        <f t="shared" si="92"/>
        <v/>
      </c>
    </row>
    <row r="873" spans="1:20">
      <c r="A873" s="10" t="str">
        <f t="shared" si="97"/>
        <v/>
      </c>
      <c r="B873" s="63"/>
      <c r="C873" s="25" t="str">
        <f t="shared" si="93"/>
        <v/>
      </c>
      <c r="D873" s="25" t="str">
        <f t="shared" si="94"/>
        <v/>
      </c>
      <c r="E873" s="45"/>
      <c r="F873" s="28" t="str">
        <f>IFERROR(VLOOKUP(E873,Category!$D$2:$E$600,2,FALSE),"")</f>
        <v/>
      </c>
      <c r="G873" s="65"/>
      <c r="H873" s="56"/>
      <c r="I873" s="66"/>
      <c r="J873" s="67"/>
      <c r="K873" s="67"/>
      <c r="L873" s="67"/>
      <c r="M873" s="29" t="str">
        <f t="shared" si="95"/>
        <v/>
      </c>
      <c r="N873" s="29" t="str">
        <f t="shared" si="96"/>
        <v/>
      </c>
      <c r="O873" s="29" t="str">
        <f t="shared" si="91"/>
        <v/>
      </c>
      <c r="P873" s="61"/>
      <c r="Q873" s="61"/>
      <c r="R873" s="61"/>
      <c r="S873" s="45"/>
      <c r="T873" s="29" t="str">
        <f t="shared" si="92"/>
        <v/>
      </c>
    </row>
    <row r="874" spans="1:20">
      <c r="A874" s="10" t="str">
        <f t="shared" si="97"/>
        <v/>
      </c>
      <c r="B874" s="63"/>
      <c r="C874" s="25" t="str">
        <f t="shared" si="93"/>
        <v/>
      </c>
      <c r="D874" s="25" t="str">
        <f t="shared" si="94"/>
        <v/>
      </c>
      <c r="E874" s="45"/>
      <c r="F874" s="28" t="str">
        <f>IFERROR(VLOOKUP(E874,Category!$D$2:$E$600,2,FALSE),"")</f>
        <v/>
      </c>
      <c r="G874" s="65"/>
      <c r="H874" s="56"/>
      <c r="I874" s="66"/>
      <c r="J874" s="67"/>
      <c r="K874" s="67"/>
      <c r="L874" s="67"/>
      <c r="M874" s="29" t="str">
        <f t="shared" si="95"/>
        <v/>
      </c>
      <c r="N874" s="29" t="str">
        <f t="shared" si="96"/>
        <v/>
      </c>
      <c r="O874" s="29" t="str">
        <f t="shared" si="91"/>
        <v/>
      </c>
      <c r="P874" s="61"/>
      <c r="Q874" s="61"/>
      <c r="R874" s="61"/>
      <c r="S874" s="45"/>
      <c r="T874" s="29" t="str">
        <f t="shared" si="92"/>
        <v/>
      </c>
    </row>
    <row r="875" spans="1:20">
      <c r="A875" s="10" t="str">
        <f t="shared" si="97"/>
        <v/>
      </c>
      <c r="B875" s="63"/>
      <c r="C875" s="25" t="str">
        <f t="shared" si="93"/>
        <v/>
      </c>
      <c r="D875" s="25" t="str">
        <f t="shared" si="94"/>
        <v/>
      </c>
      <c r="E875" s="45"/>
      <c r="F875" s="28" t="str">
        <f>IFERROR(VLOOKUP(E875,Category!$D$2:$E$600,2,FALSE),"")</f>
        <v/>
      </c>
      <c r="G875" s="65"/>
      <c r="H875" s="56"/>
      <c r="I875" s="66"/>
      <c r="J875" s="67"/>
      <c r="K875" s="67"/>
      <c r="L875" s="67"/>
      <c r="M875" s="29" t="str">
        <f t="shared" si="95"/>
        <v/>
      </c>
      <c r="N875" s="29" t="str">
        <f t="shared" si="96"/>
        <v/>
      </c>
      <c r="O875" s="29" t="str">
        <f t="shared" si="91"/>
        <v/>
      </c>
      <c r="P875" s="61"/>
      <c r="Q875" s="61"/>
      <c r="R875" s="61"/>
      <c r="S875" s="45"/>
      <c r="T875" s="29" t="str">
        <f t="shared" si="92"/>
        <v/>
      </c>
    </row>
    <row r="876" spans="1:20">
      <c r="A876" s="10" t="str">
        <f t="shared" si="97"/>
        <v/>
      </c>
      <c r="B876" s="63"/>
      <c r="C876" s="25" t="str">
        <f t="shared" si="93"/>
        <v/>
      </c>
      <c r="D876" s="25" t="str">
        <f t="shared" si="94"/>
        <v/>
      </c>
      <c r="E876" s="45"/>
      <c r="F876" s="28" t="str">
        <f>IFERROR(VLOOKUP(E876,Category!$D$2:$E$600,2,FALSE),"")</f>
        <v/>
      </c>
      <c r="G876" s="65"/>
      <c r="H876" s="56"/>
      <c r="I876" s="66"/>
      <c r="J876" s="67"/>
      <c r="K876" s="67"/>
      <c r="L876" s="67"/>
      <c r="M876" s="29" t="str">
        <f t="shared" si="95"/>
        <v/>
      </c>
      <c r="N876" s="29" t="str">
        <f t="shared" si="96"/>
        <v/>
      </c>
      <c r="O876" s="29" t="str">
        <f t="shared" si="91"/>
        <v/>
      </c>
      <c r="P876" s="61"/>
      <c r="Q876" s="61"/>
      <c r="R876" s="61"/>
      <c r="S876" s="45"/>
      <c r="T876" s="29" t="str">
        <f t="shared" si="92"/>
        <v/>
      </c>
    </row>
    <row r="877" spans="1:20">
      <c r="A877" s="10" t="str">
        <f t="shared" si="97"/>
        <v/>
      </c>
      <c r="B877" s="63"/>
      <c r="C877" s="25" t="str">
        <f t="shared" si="93"/>
        <v/>
      </c>
      <c r="D877" s="25" t="str">
        <f t="shared" si="94"/>
        <v/>
      </c>
      <c r="E877" s="45"/>
      <c r="F877" s="28" t="str">
        <f>IFERROR(VLOOKUP(E877,Category!$D$2:$E$600,2,FALSE),"")</f>
        <v/>
      </c>
      <c r="G877" s="65"/>
      <c r="H877" s="56"/>
      <c r="I877" s="66"/>
      <c r="J877" s="67"/>
      <c r="K877" s="67"/>
      <c r="L877" s="67"/>
      <c r="M877" s="29" t="str">
        <f t="shared" si="95"/>
        <v/>
      </c>
      <c r="N877" s="29" t="str">
        <f t="shared" si="96"/>
        <v/>
      </c>
      <c r="O877" s="29" t="str">
        <f t="shared" si="91"/>
        <v/>
      </c>
      <c r="P877" s="61"/>
      <c r="Q877" s="61"/>
      <c r="R877" s="61"/>
      <c r="S877" s="45"/>
      <c r="T877" s="29" t="str">
        <f t="shared" si="92"/>
        <v/>
      </c>
    </row>
    <row r="878" spans="1:20">
      <c r="A878" s="10" t="str">
        <f t="shared" si="97"/>
        <v/>
      </c>
      <c r="B878" s="63"/>
      <c r="C878" s="25" t="str">
        <f t="shared" si="93"/>
        <v/>
      </c>
      <c r="D878" s="25" t="str">
        <f t="shared" si="94"/>
        <v/>
      </c>
      <c r="E878" s="45"/>
      <c r="F878" s="28" t="str">
        <f>IFERROR(VLOOKUP(E878,Category!$D$2:$E$600,2,FALSE),"")</f>
        <v/>
      </c>
      <c r="G878" s="65"/>
      <c r="H878" s="56"/>
      <c r="I878" s="66"/>
      <c r="J878" s="67"/>
      <c r="K878" s="67"/>
      <c r="L878" s="67"/>
      <c r="M878" s="29" t="str">
        <f t="shared" si="95"/>
        <v/>
      </c>
      <c r="N878" s="29" t="str">
        <f t="shared" si="96"/>
        <v/>
      </c>
      <c r="O878" s="29" t="str">
        <f t="shared" si="91"/>
        <v/>
      </c>
      <c r="P878" s="61"/>
      <c r="Q878" s="61"/>
      <c r="R878" s="61"/>
      <c r="S878" s="45"/>
      <c r="T878" s="29" t="str">
        <f t="shared" si="92"/>
        <v/>
      </c>
    </row>
    <row r="879" spans="1:20">
      <c r="A879" s="10" t="str">
        <f t="shared" si="97"/>
        <v/>
      </c>
      <c r="B879" s="63"/>
      <c r="C879" s="25" t="str">
        <f t="shared" si="93"/>
        <v/>
      </c>
      <c r="D879" s="25" t="str">
        <f t="shared" si="94"/>
        <v/>
      </c>
      <c r="E879" s="45"/>
      <c r="F879" s="28" t="str">
        <f>IFERROR(VLOOKUP(E879,Category!$D$2:$E$600,2,FALSE),"")</f>
        <v/>
      </c>
      <c r="G879" s="65"/>
      <c r="H879" s="56"/>
      <c r="I879" s="66"/>
      <c r="J879" s="67"/>
      <c r="K879" s="67"/>
      <c r="L879" s="67"/>
      <c r="M879" s="29" t="str">
        <f t="shared" si="95"/>
        <v/>
      </c>
      <c r="N879" s="29" t="str">
        <f t="shared" si="96"/>
        <v/>
      </c>
      <c r="O879" s="29" t="str">
        <f t="shared" si="91"/>
        <v/>
      </c>
      <c r="P879" s="61"/>
      <c r="Q879" s="61"/>
      <c r="R879" s="61"/>
      <c r="S879" s="45"/>
      <c r="T879" s="29" t="str">
        <f t="shared" si="92"/>
        <v/>
      </c>
    </row>
    <row r="880" spans="1:20">
      <c r="A880" s="10" t="str">
        <f t="shared" si="97"/>
        <v/>
      </c>
      <c r="B880" s="63"/>
      <c r="C880" s="25" t="str">
        <f t="shared" si="93"/>
        <v/>
      </c>
      <c r="D880" s="25" t="str">
        <f t="shared" si="94"/>
        <v/>
      </c>
      <c r="E880" s="45"/>
      <c r="F880" s="28" t="str">
        <f>IFERROR(VLOOKUP(E880,Category!$D$2:$E$600,2,FALSE),"")</f>
        <v/>
      </c>
      <c r="G880" s="65"/>
      <c r="H880" s="56"/>
      <c r="I880" s="66"/>
      <c r="J880" s="67"/>
      <c r="K880" s="67"/>
      <c r="L880" s="67"/>
      <c r="M880" s="29" t="str">
        <f t="shared" si="95"/>
        <v/>
      </c>
      <c r="N880" s="29" t="str">
        <f t="shared" si="96"/>
        <v/>
      </c>
      <c r="O880" s="29" t="str">
        <f t="shared" si="91"/>
        <v/>
      </c>
      <c r="P880" s="61"/>
      <c r="Q880" s="61"/>
      <c r="R880" s="61"/>
      <c r="S880" s="45"/>
      <c r="T880" s="29" t="str">
        <f t="shared" si="92"/>
        <v/>
      </c>
    </row>
    <row r="881" spans="1:20">
      <c r="A881" s="10" t="str">
        <f t="shared" si="97"/>
        <v/>
      </c>
      <c r="B881" s="63"/>
      <c r="C881" s="25" t="str">
        <f t="shared" si="93"/>
        <v/>
      </c>
      <c r="D881" s="25" t="str">
        <f t="shared" si="94"/>
        <v/>
      </c>
      <c r="E881" s="45"/>
      <c r="F881" s="28" t="str">
        <f>IFERROR(VLOOKUP(E881,Category!$D$2:$E$600,2,FALSE),"")</f>
        <v/>
      </c>
      <c r="G881" s="65"/>
      <c r="H881" s="56"/>
      <c r="I881" s="66"/>
      <c r="J881" s="67"/>
      <c r="K881" s="67"/>
      <c r="L881" s="67"/>
      <c r="M881" s="29" t="str">
        <f t="shared" si="95"/>
        <v/>
      </c>
      <c r="N881" s="29" t="str">
        <f t="shared" si="96"/>
        <v/>
      </c>
      <c r="O881" s="29" t="str">
        <f t="shared" si="91"/>
        <v/>
      </c>
      <c r="P881" s="61"/>
      <c r="Q881" s="61"/>
      <c r="R881" s="61"/>
      <c r="S881" s="45"/>
      <c r="T881" s="29" t="str">
        <f t="shared" si="92"/>
        <v/>
      </c>
    </row>
    <row r="882" spans="1:20">
      <c r="A882" s="10" t="str">
        <f t="shared" si="97"/>
        <v/>
      </c>
      <c r="B882" s="63"/>
      <c r="C882" s="25" t="str">
        <f t="shared" si="93"/>
        <v/>
      </c>
      <c r="D882" s="25" t="str">
        <f t="shared" si="94"/>
        <v/>
      </c>
      <c r="E882" s="45"/>
      <c r="F882" s="28" t="str">
        <f>IFERROR(VLOOKUP(E882,Category!$D$2:$E$600,2,FALSE),"")</f>
        <v/>
      </c>
      <c r="G882" s="65"/>
      <c r="H882" s="56"/>
      <c r="I882" s="66"/>
      <c r="J882" s="67"/>
      <c r="K882" s="67"/>
      <c r="L882" s="67"/>
      <c r="M882" s="29" t="str">
        <f t="shared" si="95"/>
        <v/>
      </c>
      <c r="N882" s="29" t="str">
        <f t="shared" si="96"/>
        <v/>
      </c>
      <c r="O882" s="29" t="str">
        <f t="shared" si="91"/>
        <v/>
      </c>
      <c r="P882" s="61"/>
      <c r="Q882" s="61"/>
      <c r="R882" s="61"/>
      <c r="S882" s="45"/>
      <c r="T882" s="29" t="str">
        <f t="shared" si="92"/>
        <v/>
      </c>
    </row>
    <row r="883" spans="1:20">
      <c r="A883" s="10" t="str">
        <f t="shared" si="97"/>
        <v/>
      </c>
      <c r="B883" s="63"/>
      <c r="C883" s="25" t="str">
        <f t="shared" si="93"/>
        <v/>
      </c>
      <c r="D883" s="25" t="str">
        <f t="shared" si="94"/>
        <v/>
      </c>
      <c r="E883" s="45"/>
      <c r="F883" s="28" t="str">
        <f>IFERROR(VLOOKUP(E883,Category!$D$2:$E$600,2,FALSE),"")</f>
        <v/>
      </c>
      <c r="G883" s="65"/>
      <c r="H883" s="56"/>
      <c r="I883" s="66"/>
      <c r="J883" s="67"/>
      <c r="K883" s="67"/>
      <c r="L883" s="67"/>
      <c r="M883" s="29" t="str">
        <f t="shared" si="95"/>
        <v/>
      </c>
      <c r="N883" s="29" t="str">
        <f t="shared" si="96"/>
        <v/>
      </c>
      <c r="O883" s="29" t="str">
        <f t="shared" si="91"/>
        <v/>
      </c>
      <c r="P883" s="61"/>
      <c r="Q883" s="61"/>
      <c r="R883" s="61"/>
      <c r="S883" s="45"/>
      <c r="T883" s="29" t="str">
        <f t="shared" si="92"/>
        <v/>
      </c>
    </row>
    <row r="884" spans="1:20">
      <c r="A884" s="10" t="str">
        <f t="shared" si="97"/>
        <v/>
      </c>
      <c r="B884" s="63"/>
      <c r="C884" s="25" t="str">
        <f t="shared" si="93"/>
        <v/>
      </c>
      <c r="D884" s="25" t="str">
        <f t="shared" si="94"/>
        <v/>
      </c>
      <c r="E884" s="45"/>
      <c r="F884" s="28" t="str">
        <f>IFERROR(VLOOKUP(E884,Category!$D$2:$E$600,2,FALSE),"")</f>
        <v/>
      </c>
      <c r="G884" s="65"/>
      <c r="H884" s="56"/>
      <c r="I884" s="66"/>
      <c r="J884" s="67"/>
      <c r="K884" s="67"/>
      <c r="L884" s="67"/>
      <c r="M884" s="29" t="str">
        <f t="shared" si="95"/>
        <v/>
      </c>
      <c r="N884" s="29" t="str">
        <f t="shared" si="96"/>
        <v/>
      </c>
      <c r="O884" s="29" t="str">
        <f t="shared" si="91"/>
        <v/>
      </c>
      <c r="P884" s="61"/>
      <c r="Q884" s="61"/>
      <c r="R884" s="61"/>
      <c r="S884" s="45"/>
      <c r="T884" s="29" t="str">
        <f t="shared" si="92"/>
        <v/>
      </c>
    </row>
    <row r="885" spans="1:20">
      <c r="A885" s="10" t="str">
        <f t="shared" si="97"/>
        <v/>
      </c>
      <c r="B885" s="63"/>
      <c r="C885" s="25" t="str">
        <f t="shared" si="93"/>
        <v/>
      </c>
      <c r="D885" s="25" t="str">
        <f t="shared" si="94"/>
        <v/>
      </c>
      <c r="E885" s="45"/>
      <c r="F885" s="28" t="str">
        <f>IFERROR(VLOOKUP(E885,Category!$D$2:$E$600,2,FALSE),"")</f>
        <v/>
      </c>
      <c r="G885" s="65"/>
      <c r="H885" s="56"/>
      <c r="I885" s="66"/>
      <c r="J885" s="67"/>
      <c r="K885" s="67"/>
      <c r="L885" s="67"/>
      <c r="M885" s="29" t="str">
        <f t="shared" si="95"/>
        <v/>
      </c>
      <c r="N885" s="29" t="str">
        <f t="shared" si="96"/>
        <v/>
      </c>
      <c r="O885" s="29" t="str">
        <f t="shared" si="91"/>
        <v/>
      </c>
      <c r="P885" s="61"/>
      <c r="Q885" s="61"/>
      <c r="R885" s="61"/>
      <c r="S885" s="45"/>
      <c r="T885" s="29" t="str">
        <f t="shared" si="92"/>
        <v/>
      </c>
    </row>
    <row r="886" spans="1:20">
      <c r="A886" s="10" t="str">
        <f t="shared" si="97"/>
        <v/>
      </c>
      <c r="B886" s="63"/>
      <c r="C886" s="25" t="str">
        <f t="shared" si="93"/>
        <v/>
      </c>
      <c r="D886" s="25" t="str">
        <f t="shared" si="94"/>
        <v/>
      </c>
      <c r="E886" s="45"/>
      <c r="F886" s="28" t="str">
        <f>IFERROR(VLOOKUP(E886,Category!$D$2:$E$600,2,FALSE),"")</f>
        <v/>
      </c>
      <c r="G886" s="65"/>
      <c r="H886" s="56"/>
      <c r="I886" s="66"/>
      <c r="J886" s="67"/>
      <c r="K886" s="67"/>
      <c r="L886" s="67"/>
      <c r="M886" s="29" t="str">
        <f t="shared" si="95"/>
        <v/>
      </c>
      <c r="N886" s="29" t="str">
        <f t="shared" si="96"/>
        <v/>
      </c>
      <c r="O886" s="29" t="str">
        <f t="shared" si="91"/>
        <v/>
      </c>
      <c r="P886" s="61"/>
      <c r="Q886" s="61"/>
      <c r="R886" s="61"/>
      <c r="S886" s="45"/>
      <c r="T886" s="29" t="str">
        <f t="shared" si="92"/>
        <v/>
      </c>
    </row>
    <row r="887" spans="1:20">
      <c r="A887" s="10" t="str">
        <f t="shared" si="97"/>
        <v/>
      </c>
      <c r="B887" s="63"/>
      <c r="C887" s="25" t="str">
        <f t="shared" si="93"/>
        <v/>
      </c>
      <c r="D887" s="25" t="str">
        <f t="shared" si="94"/>
        <v/>
      </c>
      <c r="E887" s="45"/>
      <c r="F887" s="28" t="str">
        <f>IFERROR(VLOOKUP(E887,Category!$D$2:$E$600,2,FALSE),"")</f>
        <v/>
      </c>
      <c r="G887" s="65"/>
      <c r="H887" s="56"/>
      <c r="I887" s="66"/>
      <c r="J887" s="67"/>
      <c r="K887" s="67"/>
      <c r="L887" s="67"/>
      <c r="M887" s="29" t="str">
        <f t="shared" si="95"/>
        <v/>
      </c>
      <c r="N887" s="29" t="str">
        <f t="shared" si="96"/>
        <v/>
      </c>
      <c r="O887" s="29" t="str">
        <f t="shared" si="91"/>
        <v/>
      </c>
      <c r="P887" s="61"/>
      <c r="Q887" s="61"/>
      <c r="R887" s="61"/>
      <c r="S887" s="45"/>
      <c r="T887" s="29" t="str">
        <f t="shared" si="92"/>
        <v/>
      </c>
    </row>
    <row r="888" spans="1:20">
      <c r="A888" s="10" t="str">
        <f t="shared" si="97"/>
        <v/>
      </c>
      <c r="B888" s="63"/>
      <c r="C888" s="25" t="str">
        <f t="shared" si="93"/>
        <v/>
      </c>
      <c r="D888" s="25" t="str">
        <f t="shared" si="94"/>
        <v/>
      </c>
      <c r="E888" s="45"/>
      <c r="F888" s="28" t="str">
        <f>IFERROR(VLOOKUP(E888,Category!$D$2:$E$600,2,FALSE),"")</f>
        <v/>
      </c>
      <c r="G888" s="65"/>
      <c r="H888" s="56"/>
      <c r="I888" s="66"/>
      <c r="J888" s="67"/>
      <c r="K888" s="67"/>
      <c r="L888" s="67"/>
      <c r="M888" s="29" t="str">
        <f t="shared" si="95"/>
        <v/>
      </c>
      <c r="N888" s="29" t="str">
        <f t="shared" si="96"/>
        <v/>
      </c>
      <c r="O888" s="29" t="str">
        <f t="shared" si="91"/>
        <v/>
      </c>
      <c r="P888" s="61"/>
      <c r="Q888" s="61"/>
      <c r="R888" s="61"/>
      <c r="S888" s="45"/>
      <c r="T888" s="29" t="str">
        <f t="shared" si="92"/>
        <v/>
      </c>
    </row>
    <row r="889" spans="1:20">
      <c r="A889" s="10" t="str">
        <f t="shared" si="97"/>
        <v/>
      </c>
      <c r="B889" s="63"/>
      <c r="C889" s="25" t="str">
        <f t="shared" si="93"/>
        <v/>
      </c>
      <c r="D889" s="25" t="str">
        <f t="shared" si="94"/>
        <v/>
      </c>
      <c r="E889" s="45"/>
      <c r="F889" s="28" t="str">
        <f>IFERROR(VLOOKUP(E889,Category!$D$2:$E$600,2,FALSE),"")</f>
        <v/>
      </c>
      <c r="G889" s="65"/>
      <c r="H889" s="56"/>
      <c r="I889" s="66"/>
      <c r="J889" s="67"/>
      <c r="K889" s="67"/>
      <c r="L889" s="67"/>
      <c r="M889" s="29" t="str">
        <f t="shared" si="95"/>
        <v/>
      </c>
      <c r="N889" s="29" t="str">
        <f t="shared" si="96"/>
        <v/>
      </c>
      <c r="O889" s="29" t="str">
        <f t="shared" si="91"/>
        <v/>
      </c>
      <c r="P889" s="61"/>
      <c r="Q889" s="61"/>
      <c r="R889" s="61"/>
      <c r="S889" s="45"/>
      <c r="T889" s="29" t="str">
        <f t="shared" si="92"/>
        <v/>
      </c>
    </row>
    <row r="890" spans="1:20">
      <c r="A890" s="10" t="str">
        <f t="shared" si="97"/>
        <v/>
      </c>
      <c r="B890" s="63"/>
      <c r="C890" s="25" t="str">
        <f t="shared" si="93"/>
        <v/>
      </c>
      <c r="D890" s="25" t="str">
        <f t="shared" si="94"/>
        <v/>
      </c>
      <c r="E890" s="45"/>
      <c r="F890" s="28" t="str">
        <f>IFERROR(VLOOKUP(E890,Category!$D$2:$E$600,2,FALSE),"")</f>
        <v/>
      </c>
      <c r="G890" s="65"/>
      <c r="H890" s="56"/>
      <c r="I890" s="66"/>
      <c r="J890" s="67"/>
      <c r="K890" s="67"/>
      <c r="L890" s="67"/>
      <c r="M890" s="29" t="str">
        <f t="shared" si="95"/>
        <v/>
      </c>
      <c r="N890" s="29" t="str">
        <f t="shared" si="96"/>
        <v/>
      </c>
      <c r="O890" s="29" t="str">
        <f t="shared" si="91"/>
        <v/>
      </c>
      <c r="P890" s="61"/>
      <c r="Q890" s="61"/>
      <c r="R890" s="61"/>
      <c r="S890" s="45"/>
      <c r="T890" s="29" t="str">
        <f t="shared" si="92"/>
        <v/>
      </c>
    </row>
    <row r="891" spans="1:20">
      <c r="A891" s="10" t="str">
        <f t="shared" si="97"/>
        <v/>
      </c>
      <c r="B891" s="63"/>
      <c r="C891" s="25" t="str">
        <f t="shared" si="93"/>
        <v/>
      </c>
      <c r="D891" s="25" t="str">
        <f t="shared" si="94"/>
        <v/>
      </c>
      <c r="E891" s="45"/>
      <c r="F891" s="28" t="str">
        <f>IFERROR(VLOOKUP(E891,Category!$D$2:$E$600,2,FALSE),"")</f>
        <v/>
      </c>
      <c r="G891" s="65"/>
      <c r="H891" s="56"/>
      <c r="I891" s="66"/>
      <c r="J891" s="67"/>
      <c r="K891" s="67"/>
      <c r="L891" s="67"/>
      <c r="M891" s="29" t="str">
        <f t="shared" si="95"/>
        <v/>
      </c>
      <c r="N891" s="29" t="str">
        <f t="shared" si="96"/>
        <v/>
      </c>
      <c r="O891" s="29" t="str">
        <f t="shared" si="91"/>
        <v/>
      </c>
      <c r="P891" s="61"/>
      <c r="Q891" s="61"/>
      <c r="R891" s="61"/>
      <c r="S891" s="45"/>
      <c r="T891" s="29" t="str">
        <f t="shared" si="92"/>
        <v/>
      </c>
    </row>
    <row r="892" spans="1:20">
      <c r="A892" s="10" t="str">
        <f t="shared" si="97"/>
        <v/>
      </c>
      <c r="B892" s="63"/>
      <c r="C892" s="25" t="str">
        <f t="shared" si="93"/>
        <v/>
      </c>
      <c r="D892" s="25" t="str">
        <f t="shared" si="94"/>
        <v/>
      </c>
      <c r="E892" s="45"/>
      <c r="F892" s="28" t="str">
        <f>IFERROR(VLOOKUP(E892,Category!$D$2:$E$600,2,FALSE),"")</f>
        <v/>
      </c>
      <c r="G892" s="65"/>
      <c r="H892" s="56"/>
      <c r="I892" s="66"/>
      <c r="J892" s="67"/>
      <c r="K892" s="67"/>
      <c r="L892" s="67"/>
      <c r="M892" s="29" t="str">
        <f t="shared" si="95"/>
        <v/>
      </c>
      <c r="N892" s="29" t="str">
        <f t="shared" si="96"/>
        <v/>
      </c>
      <c r="O892" s="29" t="str">
        <f t="shared" si="91"/>
        <v/>
      </c>
      <c r="P892" s="61"/>
      <c r="Q892" s="61"/>
      <c r="R892" s="61"/>
      <c r="S892" s="45"/>
      <c r="T892" s="29" t="str">
        <f t="shared" si="92"/>
        <v/>
      </c>
    </row>
    <row r="893" spans="1:20">
      <c r="A893" s="10" t="str">
        <f t="shared" si="97"/>
        <v/>
      </c>
      <c r="B893" s="63"/>
      <c r="C893" s="25" t="str">
        <f t="shared" si="93"/>
        <v/>
      </c>
      <c r="D893" s="25" t="str">
        <f t="shared" si="94"/>
        <v/>
      </c>
      <c r="E893" s="45"/>
      <c r="F893" s="28" t="str">
        <f>IFERROR(VLOOKUP(E893,Category!$D$2:$E$600,2,FALSE),"")</f>
        <v/>
      </c>
      <c r="G893" s="65"/>
      <c r="H893" s="56"/>
      <c r="I893" s="66"/>
      <c r="J893" s="67"/>
      <c r="K893" s="67"/>
      <c r="L893" s="67"/>
      <c r="M893" s="29" t="str">
        <f t="shared" si="95"/>
        <v/>
      </c>
      <c r="N893" s="29" t="str">
        <f t="shared" si="96"/>
        <v/>
      </c>
      <c r="O893" s="29" t="str">
        <f t="shared" si="91"/>
        <v/>
      </c>
      <c r="P893" s="61"/>
      <c r="Q893" s="61"/>
      <c r="R893" s="61"/>
      <c r="S893" s="45"/>
      <c r="T893" s="29" t="str">
        <f t="shared" si="92"/>
        <v/>
      </c>
    </row>
    <row r="894" spans="1:20">
      <c r="A894" s="10" t="str">
        <f t="shared" si="97"/>
        <v/>
      </c>
      <c r="B894" s="63"/>
      <c r="C894" s="25" t="str">
        <f t="shared" si="93"/>
        <v/>
      </c>
      <c r="D894" s="25" t="str">
        <f t="shared" si="94"/>
        <v/>
      </c>
      <c r="E894" s="45"/>
      <c r="F894" s="28" t="str">
        <f>IFERROR(VLOOKUP(E894,Category!$D$2:$E$600,2,FALSE),"")</f>
        <v/>
      </c>
      <c r="G894" s="65"/>
      <c r="H894" s="56"/>
      <c r="I894" s="66"/>
      <c r="J894" s="67"/>
      <c r="K894" s="67"/>
      <c r="L894" s="67"/>
      <c r="M894" s="29" t="str">
        <f t="shared" si="95"/>
        <v/>
      </c>
      <c r="N894" s="29" t="str">
        <f t="shared" si="96"/>
        <v/>
      </c>
      <c r="O894" s="29" t="str">
        <f t="shared" si="91"/>
        <v/>
      </c>
      <c r="P894" s="61"/>
      <c r="Q894" s="61"/>
      <c r="R894" s="61"/>
      <c r="S894" s="45"/>
      <c r="T894" s="29" t="str">
        <f t="shared" si="92"/>
        <v/>
      </c>
    </row>
    <row r="895" spans="1:20">
      <c r="A895" s="10" t="str">
        <f t="shared" si="97"/>
        <v/>
      </c>
      <c r="B895" s="63"/>
      <c r="C895" s="25" t="str">
        <f t="shared" si="93"/>
        <v/>
      </c>
      <c r="D895" s="25" t="str">
        <f t="shared" si="94"/>
        <v/>
      </c>
      <c r="E895" s="45"/>
      <c r="F895" s="28" t="str">
        <f>IFERROR(VLOOKUP(E895,Category!$D$2:$E$600,2,FALSE),"")</f>
        <v/>
      </c>
      <c r="G895" s="65"/>
      <c r="H895" s="56"/>
      <c r="I895" s="66"/>
      <c r="J895" s="67"/>
      <c r="K895" s="67"/>
      <c r="L895" s="67"/>
      <c r="M895" s="29" t="str">
        <f t="shared" si="95"/>
        <v/>
      </c>
      <c r="N895" s="29" t="str">
        <f t="shared" si="96"/>
        <v/>
      </c>
      <c r="O895" s="29" t="str">
        <f t="shared" si="91"/>
        <v/>
      </c>
      <c r="P895" s="61"/>
      <c r="Q895" s="61"/>
      <c r="R895" s="61"/>
      <c r="S895" s="45"/>
      <c r="T895" s="29" t="str">
        <f t="shared" si="92"/>
        <v/>
      </c>
    </row>
    <row r="896" spans="1:20">
      <c r="A896" s="10" t="str">
        <f t="shared" si="97"/>
        <v/>
      </c>
      <c r="B896" s="63"/>
      <c r="C896" s="25" t="str">
        <f t="shared" si="93"/>
        <v/>
      </c>
      <c r="D896" s="25" t="str">
        <f t="shared" si="94"/>
        <v/>
      </c>
      <c r="E896" s="45"/>
      <c r="F896" s="28" t="str">
        <f>IFERROR(VLOOKUP(E896,Category!$D$2:$E$600,2,FALSE),"")</f>
        <v/>
      </c>
      <c r="G896" s="65"/>
      <c r="H896" s="56"/>
      <c r="I896" s="66"/>
      <c r="J896" s="67"/>
      <c r="K896" s="67"/>
      <c r="L896" s="67"/>
      <c r="M896" s="29" t="str">
        <f t="shared" si="95"/>
        <v/>
      </c>
      <c r="N896" s="29" t="str">
        <f t="shared" si="96"/>
        <v/>
      </c>
      <c r="O896" s="29" t="str">
        <f t="shared" si="91"/>
        <v/>
      </c>
      <c r="P896" s="61"/>
      <c r="Q896" s="61"/>
      <c r="R896" s="61"/>
      <c r="S896" s="45"/>
      <c r="T896" s="29" t="str">
        <f t="shared" si="92"/>
        <v/>
      </c>
    </row>
    <row r="897" spans="1:20">
      <c r="A897" s="10" t="str">
        <f t="shared" si="97"/>
        <v/>
      </c>
      <c r="B897" s="63"/>
      <c r="C897" s="25" t="str">
        <f t="shared" si="93"/>
        <v/>
      </c>
      <c r="D897" s="25" t="str">
        <f t="shared" si="94"/>
        <v/>
      </c>
      <c r="E897" s="45"/>
      <c r="F897" s="28" t="str">
        <f>IFERROR(VLOOKUP(E897,Category!$D$2:$E$600,2,FALSE),"")</f>
        <v/>
      </c>
      <c r="G897" s="65"/>
      <c r="H897" s="56"/>
      <c r="I897" s="66"/>
      <c r="J897" s="67"/>
      <c r="K897" s="67"/>
      <c r="L897" s="67"/>
      <c r="M897" s="29" t="str">
        <f t="shared" si="95"/>
        <v/>
      </c>
      <c r="N897" s="29" t="str">
        <f t="shared" si="96"/>
        <v/>
      </c>
      <c r="O897" s="29" t="str">
        <f t="shared" si="91"/>
        <v/>
      </c>
      <c r="P897" s="61"/>
      <c r="Q897" s="61"/>
      <c r="R897" s="61"/>
      <c r="S897" s="45"/>
      <c r="T897" s="29" t="str">
        <f t="shared" si="92"/>
        <v/>
      </c>
    </row>
    <row r="898" spans="1:20">
      <c r="A898" s="10" t="str">
        <f t="shared" si="97"/>
        <v/>
      </c>
      <c r="B898" s="63"/>
      <c r="C898" s="25" t="str">
        <f t="shared" si="93"/>
        <v/>
      </c>
      <c r="D898" s="25" t="str">
        <f t="shared" si="94"/>
        <v/>
      </c>
      <c r="E898" s="45"/>
      <c r="F898" s="28" t="str">
        <f>IFERROR(VLOOKUP(E898,Category!$D$2:$E$600,2,FALSE),"")</f>
        <v/>
      </c>
      <c r="G898" s="65"/>
      <c r="H898" s="56"/>
      <c r="I898" s="66"/>
      <c r="J898" s="67"/>
      <c r="K898" s="67"/>
      <c r="L898" s="67"/>
      <c r="M898" s="29" t="str">
        <f t="shared" si="95"/>
        <v/>
      </c>
      <c r="N898" s="29" t="str">
        <f t="shared" si="96"/>
        <v/>
      </c>
      <c r="O898" s="29" t="str">
        <f t="shared" ref="O898:O961" si="98">IF(H898*I898=0,"",H898*I898)</f>
        <v/>
      </c>
      <c r="P898" s="61"/>
      <c r="Q898" s="61"/>
      <c r="R898" s="61"/>
      <c r="S898" s="45"/>
      <c r="T898" s="29" t="str">
        <f t="shared" ref="T898:T961" si="99">IF(R898="paid",(H898*I898)-(G898*H898),"")</f>
        <v/>
      </c>
    </row>
    <row r="899" spans="1:20">
      <c r="A899" s="10" t="str">
        <f t="shared" si="97"/>
        <v/>
      </c>
      <c r="B899" s="63"/>
      <c r="C899" s="25" t="str">
        <f t="shared" ref="C899:C962" si="100">IF(B899=0,"",TEXT(B899,"mmmm"))</f>
        <v/>
      </c>
      <c r="D899" s="25" t="str">
        <f t="shared" ref="D899:D962" si="101">IF(B899=0,"",TEXT(B899,"yyyy"))</f>
        <v/>
      </c>
      <c r="E899" s="45"/>
      <c r="F899" s="28" t="str">
        <f>IFERROR(VLOOKUP(E899,Category!$D$2:$E$600,2,FALSE),"")</f>
        <v/>
      </c>
      <c r="G899" s="65"/>
      <c r="H899" s="56"/>
      <c r="I899" s="66"/>
      <c r="J899" s="67"/>
      <c r="K899" s="67"/>
      <c r="L899" s="67"/>
      <c r="M899" s="29" t="str">
        <f t="shared" ref="M899:M962" si="102">IFERROR(IF(O899&gt;0,IF(R899="Paid","",O899-J899),""),"")</f>
        <v/>
      </c>
      <c r="N899" s="29" t="str">
        <f t="shared" ref="N899:N962" si="103">IF(J899&gt;0,IF(R899="Paid",O899-J899,""),"")</f>
        <v/>
      </c>
      <c r="O899" s="29" t="str">
        <f t="shared" si="98"/>
        <v/>
      </c>
      <c r="P899" s="61"/>
      <c r="Q899" s="61"/>
      <c r="R899" s="61"/>
      <c r="S899" s="45"/>
      <c r="T899" s="29" t="str">
        <f t="shared" si="99"/>
        <v/>
      </c>
    </row>
    <row r="900" spans="1:20">
      <c r="A900" s="10" t="str">
        <f t="shared" ref="A900:A963" si="104">IF(E900&gt;0,A899+1,"")</f>
        <v/>
      </c>
      <c r="B900" s="63"/>
      <c r="C900" s="25" t="str">
        <f t="shared" si="100"/>
        <v/>
      </c>
      <c r="D900" s="25" t="str">
        <f t="shared" si="101"/>
        <v/>
      </c>
      <c r="E900" s="45"/>
      <c r="F900" s="28" t="str">
        <f>IFERROR(VLOOKUP(E900,Category!$D$2:$E$600,2,FALSE),"")</f>
        <v/>
      </c>
      <c r="G900" s="65"/>
      <c r="H900" s="56"/>
      <c r="I900" s="66"/>
      <c r="J900" s="67"/>
      <c r="K900" s="67"/>
      <c r="L900" s="67"/>
      <c r="M900" s="29" t="str">
        <f t="shared" si="102"/>
        <v/>
      </c>
      <c r="N900" s="29" t="str">
        <f t="shared" si="103"/>
        <v/>
      </c>
      <c r="O900" s="29" t="str">
        <f t="shared" si="98"/>
        <v/>
      </c>
      <c r="P900" s="61"/>
      <c r="Q900" s="61"/>
      <c r="R900" s="61"/>
      <c r="S900" s="45"/>
      <c r="T900" s="29" t="str">
        <f t="shared" si="99"/>
        <v/>
      </c>
    </row>
    <row r="901" spans="1:20">
      <c r="A901" s="10" t="str">
        <f t="shared" si="104"/>
        <v/>
      </c>
      <c r="B901" s="63"/>
      <c r="C901" s="25" t="str">
        <f t="shared" si="100"/>
        <v/>
      </c>
      <c r="D901" s="25" t="str">
        <f t="shared" si="101"/>
        <v/>
      </c>
      <c r="E901" s="45"/>
      <c r="F901" s="28" t="str">
        <f>IFERROR(VLOOKUP(E901,Category!$D$2:$E$600,2,FALSE),"")</f>
        <v/>
      </c>
      <c r="G901" s="65"/>
      <c r="H901" s="56"/>
      <c r="I901" s="66"/>
      <c r="J901" s="67"/>
      <c r="K901" s="67"/>
      <c r="L901" s="67"/>
      <c r="M901" s="29" t="str">
        <f t="shared" si="102"/>
        <v/>
      </c>
      <c r="N901" s="29" t="str">
        <f t="shared" si="103"/>
        <v/>
      </c>
      <c r="O901" s="29" t="str">
        <f t="shared" si="98"/>
        <v/>
      </c>
      <c r="P901" s="61"/>
      <c r="Q901" s="61"/>
      <c r="R901" s="61"/>
      <c r="S901" s="45"/>
      <c r="T901" s="29" t="str">
        <f t="shared" si="99"/>
        <v/>
      </c>
    </row>
    <row r="902" spans="1:20">
      <c r="A902" s="10" t="str">
        <f t="shared" si="104"/>
        <v/>
      </c>
      <c r="B902" s="63"/>
      <c r="C902" s="25" t="str">
        <f t="shared" si="100"/>
        <v/>
      </c>
      <c r="D902" s="25" t="str">
        <f t="shared" si="101"/>
        <v/>
      </c>
      <c r="E902" s="45"/>
      <c r="F902" s="28" t="str">
        <f>IFERROR(VLOOKUP(E902,Category!$D$2:$E$600,2,FALSE),"")</f>
        <v/>
      </c>
      <c r="G902" s="65"/>
      <c r="H902" s="56"/>
      <c r="I902" s="66"/>
      <c r="J902" s="67"/>
      <c r="K902" s="67"/>
      <c r="L902" s="67"/>
      <c r="M902" s="29" t="str">
        <f t="shared" si="102"/>
        <v/>
      </c>
      <c r="N902" s="29" t="str">
        <f t="shared" si="103"/>
        <v/>
      </c>
      <c r="O902" s="29" t="str">
        <f t="shared" si="98"/>
        <v/>
      </c>
      <c r="P902" s="61"/>
      <c r="Q902" s="61"/>
      <c r="R902" s="61"/>
      <c r="S902" s="45"/>
      <c r="T902" s="29" t="str">
        <f t="shared" si="99"/>
        <v/>
      </c>
    </row>
    <row r="903" spans="1:20">
      <c r="A903" s="10" t="str">
        <f t="shared" si="104"/>
        <v/>
      </c>
      <c r="B903" s="63"/>
      <c r="C903" s="25" t="str">
        <f t="shared" si="100"/>
        <v/>
      </c>
      <c r="D903" s="25" t="str">
        <f t="shared" si="101"/>
        <v/>
      </c>
      <c r="E903" s="45"/>
      <c r="F903" s="28" t="str">
        <f>IFERROR(VLOOKUP(E903,Category!$D$2:$E$600,2,FALSE),"")</f>
        <v/>
      </c>
      <c r="G903" s="65"/>
      <c r="H903" s="56"/>
      <c r="I903" s="66"/>
      <c r="J903" s="67"/>
      <c r="K903" s="67"/>
      <c r="L903" s="67"/>
      <c r="M903" s="29" t="str">
        <f t="shared" si="102"/>
        <v/>
      </c>
      <c r="N903" s="29" t="str">
        <f t="shared" si="103"/>
        <v/>
      </c>
      <c r="O903" s="29" t="str">
        <f t="shared" si="98"/>
        <v/>
      </c>
      <c r="P903" s="61"/>
      <c r="Q903" s="61"/>
      <c r="R903" s="61"/>
      <c r="S903" s="45"/>
      <c r="T903" s="29" t="str">
        <f t="shared" si="99"/>
        <v/>
      </c>
    </row>
    <row r="904" spans="1:20">
      <c r="A904" s="10" t="str">
        <f t="shared" si="104"/>
        <v/>
      </c>
      <c r="B904" s="63"/>
      <c r="C904" s="25" t="str">
        <f t="shared" si="100"/>
        <v/>
      </c>
      <c r="D904" s="25" t="str">
        <f t="shared" si="101"/>
        <v/>
      </c>
      <c r="E904" s="45"/>
      <c r="F904" s="28" t="str">
        <f>IFERROR(VLOOKUP(E904,Category!$D$2:$E$600,2,FALSE),"")</f>
        <v/>
      </c>
      <c r="G904" s="65"/>
      <c r="H904" s="56"/>
      <c r="I904" s="66"/>
      <c r="J904" s="67"/>
      <c r="K904" s="67"/>
      <c r="L904" s="67"/>
      <c r="M904" s="29" t="str">
        <f t="shared" si="102"/>
        <v/>
      </c>
      <c r="N904" s="29" t="str">
        <f t="shared" si="103"/>
        <v/>
      </c>
      <c r="O904" s="29" t="str">
        <f t="shared" si="98"/>
        <v/>
      </c>
      <c r="P904" s="61"/>
      <c r="Q904" s="61"/>
      <c r="R904" s="61"/>
      <c r="S904" s="45"/>
      <c r="T904" s="29" t="str">
        <f t="shared" si="99"/>
        <v/>
      </c>
    </row>
    <row r="905" spans="1:20">
      <c r="A905" s="10" t="str">
        <f t="shared" si="104"/>
        <v/>
      </c>
      <c r="B905" s="63"/>
      <c r="C905" s="25" t="str">
        <f t="shared" si="100"/>
        <v/>
      </c>
      <c r="D905" s="25" t="str">
        <f t="shared" si="101"/>
        <v/>
      </c>
      <c r="E905" s="45"/>
      <c r="F905" s="28" t="str">
        <f>IFERROR(VLOOKUP(E905,Category!$D$2:$E$600,2,FALSE),"")</f>
        <v/>
      </c>
      <c r="G905" s="65"/>
      <c r="H905" s="56"/>
      <c r="I905" s="66"/>
      <c r="J905" s="67"/>
      <c r="K905" s="67"/>
      <c r="L905" s="67"/>
      <c r="M905" s="29" t="str">
        <f t="shared" si="102"/>
        <v/>
      </c>
      <c r="N905" s="29" t="str">
        <f t="shared" si="103"/>
        <v/>
      </c>
      <c r="O905" s="29" t="str">
        <f t="shared" si="98"/>
        <v/>
      </c>
      <c r="P905" s="61"/>
      <c r="Q905" s="61"/>
      <c r="R905" s="61"/>
      <c r="S905" s="45"/>
      <c r="T905" s="29" t="str">
        <f t="shared" si="99"/>
        <v/>
      </c>
    </row>
    <row r="906" spans="1:20">
      <c r="A906" s="10" t="str">
        <f t="shared" si="104"/>
        <v/>
      </c>
      <c r="B906" s="63"/>
      <c r="C906" s="25" t="str">
        <f t="shared" si="100"/>
        <v/>
      </c>
      <c r="D906" s="25" t="str">
        <f t="shared" si="101"/>
        <v/>
      </c>
      <c r="E906" s="45"/>
      <c r="F906" s="28" t="str">
        <f>IFERROR(VLOOKUP(E906,Category!$D$2:$E$600,2,FALSE),"")</f>
        <v/>
      </c>
      <c r="G906" s="65"/>
      <c r="H906" s="56"/>
      <c r="I906" s="66"/>
      <c r="J906" s="67"/>
      <c r="K906" s="67"/>
      <c r="L906" s="67"/>
      <c r="M906" s="29" t="str">
        <f t="shared" si="102"/>
        <v/>
      </c>
      <c r="N906" s="29" t="str">
        <f t="shared" si="103"/>
        <v/>
      </c>
      <c r="O906" s="29" t="str">
        <f t="shared" si="98"/>
        <v/>
      </c>
      <c r="P906" s="61"/>
      <c r="Q906" s="61"/>
      <c r="R906" s="61"/>
      <c r="S906" s="45"/>
      <c r="T906" s="29" t="str">
        <f t="shared" si="99"/>
        <v/>
      </c>
    </row>
    <row r="907" spans="1:20">
      <c r="A907" s="10" t="str">
        <f t="shared" si="104"/>
        <v/>
      </c>
      <c r="B907" s="63"/>
      <c r="C907" s="25" t="str">
        <f t="shared" si="100"/>
        <v/>
      </c>
      <c r="D907" s="25" t="str">
        <f t="shared" si="101"/>
        <v/>
      </c>
      <c r="E907" s="45"/>
      <c r="F907" s="28" t="str">
        <f>IFERROR(VLOOKUP(E907,Category!$D$2:$E$600,2,FALSE),"")</f>
        <v/>
      </c>
      <c r="G907" s="65"/>
      <c r="H907" s="56"/>
      <c r="I907" s="66"/>
      <c r="J907" s="67"/>
      <c r="K907" s="67"/>
      <c r="L907" s="67"/>
      <c r="M907" s="29" t="str">
        <f t="shared" si="102"/>
        <v/>
      </c>
      <c r="N907" s="29" t="str">
        <f t="shared" si="103"/>
        <v/>
      </c>
      <c r="O907" s="29" t="str">
        <f t="shared" si="98"/>
        <v/>
      </c>
      <c r="P907" s="61"/>
      <c r="Q907" s="61"/>
      <c r="R907" s="61"/>
      <c r="S907" s="45"/>
      <c r="T907" s="29" t="str">
        <f t="shared" si="99"/>
        <v/>
      </c>
    </row>
    <row r="908" spans="1:20">
      <c r="A908" s="10" t="str">
        <f t="shared" si="104"/>
        <v/>
      </c>
      <c r="B908" s="63"/>
      <c r="C908" s="25" t="str">
        <f t="shared" si="100"/>
        <v/>
      </c>
      <c r="D908" s="25" t="str">
        <f t="shared" si="101"/>
        <v/>
      </c>
      <c r="E908" s="45"/>
      <c r="F908" s="28" t="str">
        <f>IFERROR(VLOOKUP(E908,Category!$D$2:$E$600,2,FALSE),"")</f>
        <v/>
      </c>
      <c r="G908" s="65"/>
      <c r="H908" s="56"/>
      <c r="I908" s="66"/>
      <c r="J908" s="67"/>
      <c r="K908" s="67"/>
      <c r="L908" s="67"/>
      <c r="M908" s="29" t="str">
        <f t="shared" si="102"/>
        <v/>
      </c>
      <c r="N908" s="29" t="str">
        <f t="shared" si="103"/>
        <v/>
      </c>
      <c r="O908" s="29" t="str">
        <f t="shared" si="98"/>
        <v/>
      </c>
      <c r="P908" s="61"/>
      <c r="Q908" s="61"/>
      <c r="R908" s="61"/>
      <c r="S908" s="45"/>
      <c r="T908" s="29" t="str">
        <f t="shared" si="99"/>
        <v/>
      </c>
    </row>
    <row r="909" spans="1:20">
      <c r="A909" s="10" t="str">
        <f t="shared" si="104"/>
        <v/>
      </c>
      <c r="B909" s="63"/>
      <c r="C909" s="25" t="str">
        <f t="shared" si="100"/>
        <v/>
      </c>
      <c r="D909" s="25" t="str">
        <f t="shared" si="101"/>
        <v/>
      </c>
      <c r="E909" s="45"/>
      <c r="F909" s="28" t="str">
        <f>IFERROR(VLOOKUP(E909,Category!$D$2:$E$600,2,FALSE),"")</f>
        <v/>
      </c>
      <c r="G909" s="65"/>
      <c r="H909" s="56"/>
      <c r="I909" s="66"/>
      <c r="J909" s="67"/>
      <c r="K909" s="67"/>
      <c r="L909" s="67"/>
      <c r="M909" s="29" t="str">
        <f t="shared" si="102"/>
        <v/>
      </c>
      <c r="N909" s="29" t="str">
        <f t="shared" si="103"/>
        <v/>
      </c>
      <c r="O909" s="29" t="str">
        <f t="shared" si="98"/>
        <v/>
      </c>
      <c r="P909" s="61"/>
      <c r="Q909" s="61"/>
      <c r="R909" s="61"/>
      <c r="S909" s="45"/>
      <c r="T909" s="29" t="str">
        <f t="shared" si="99"/>
        <v/>
      </c>
    </row>
    <row r="910" spans="1:20">
      <c r="A910" s="10" t="str">
        <f t="shared" si="104"/>
        <v/>
      </c>
      <c r="B910" s="63"/>
      <c r="C910" s="25" t="str">
        <f t="shared" si="100"/>
        <v/>
      </c>
      <c r="D910" s="25" t="str">
        <f t="shared" si="101"/>
        <v/>
      </c>
      <c r="E910" s="45"/>
      <c r="F910" s="28" t="str">
        <f>IFERROR(VLOOKUP(E910,Category!$D$2:$E$600,2,FALSE),"")</f>
        <v/>
      </c>
      <c r="G910" s="65"/>
      <c r="H910" s="56"/>
      <c r="I910" s="66"/>
      <c r="J910" s="67"/>
      <c r="K910" s="67"/>
      <c r="L910" s="67"/>
      <c r="M910" s="29" t="str">
        <f t="shared" si="102"/>
        <v/>
      </c>
      <c r="N910" s="29" t="str">
        <f t="shared" si="103"/>
        <v/>
      </c>
      <c r="O910" s="29" t="str">
        <f t="shared" si="98"/>
        <v/>
      </c>
      <c r="P910" s="61"/>
      <c r="Q910" s="61"/>
      <c r="R910" s="61"/>
      <c r="S910" s="45"/>
      <c r="T910" s="29" t="str">
        <f t="shared" si="99"/>
        <v/>
      </c>
    </row>
    <row r="911" spans="1:20">
      <c r="A911" s="10" t="str">
        <f t="shared" si="104"/>
        <v/>
      </c>
      <c r="B911" s="63"/>
      <c r="C911" s="25" t="str">
        <f t="shared" si="100"/>
        <v/>
      </c>
      <c r="D911" s="25" t="str">
        <f t="shared" si="101"/>
        <v/>
      </c>
      <c r="E911" s="45"/>
      <c r="F911" s="28" t="str">
        <f>IFERROR(VLOOKUP(E911,Category!$D$2:$E$600,2,FALSE),"")</f>
        <v/>
      </c>
      <c r="G911" s="65"/>
      <c r="H911" s="56"/>
      <c r="I911" s="66"/>
      <c r="J911" s="67"/>
      <c r="K911" s="67"/>
      <c r="L911" s="67"/>
      <c r="M911" s="29" t="str">
        <f t="shared" si="102"/>
        <v/>
      </c>
      <c r="N911" s="29" t="str">
        <f t="shared" si="103"/>
        <v/>
      </c>
      <c r="O911" s="29" t="str">
        <f t="shared" si="98"/>
        <v/>
      </c>
      <c r="P911" s="61"/>
      <c r="Q911" s="61"/>
      <c r="R911" s="61"/>
      <c r="S911" s="45"/>
      <c r="T911" s="29" t="str">
        <f t="shared" si="99"/>
        <v/>
      </c>
    </row>
    <row r="912" spans="1:20">
      <c r="A912" s="10" t="str">
        <f t="shared" si="104"/>
        <v/>
      </c>
      <c r="B912" s="63"/>
      <c r="C912" s="25" t="str">
        <f t="shared" si="100"/>
        <v/>
      </c>
      <c r="D912" s="25" t="str">
        <f t="shared" si="101"/>
        <v/>
      </c>
      <c r="E912" s="45"/>
      <c r="F912" s="28" t="str">
        <f>IFERROR(VLOOKUP(E912,Category!$D$2:$E$600,2,FALSE),"")</f>
        <v/>
      </c>
      <c r="G912" s="65"/>
      <c r="H912" s="56"/>
      <c r="I912" s="66"/>
      <c r="J912" s="67"/>
      <c r="K912" s="67"/>
      <c r="L912" s="67"/>
      <c r="M912" s="29" t="str">
        <f t="shared" si="102"/>
        <v/>
      </c>
      <c r="N912" s="29" t="str">
        <f t="shared" si="103"/>
        <v/>
      </c>
      <c r="O912" s="29" t="str">
        <f t="shared" si="98"/>
        <v/>
      </c>
      <c r="P912" s="61"/>
      <c r="Q912" s="61"/>
      <c r="R912" s="61"/>
      <c r="S912" s="45"/>
      <c r="T912" s="29" t="str">
        <f t="shared" si="99"/>
        <v/>
      </c>
    </row>
    <row r="913" spans="1:20">
      <c r="A913" s="10" t="str">
        <f t="shared" si="104"/>
        <v/>
      </c>
      <c r="B913" s="63"/>
      <c r="C913" s="25" t="str">
        <f t="shared" si="100"/>
        <v/>
      </c>
      <c r="D913" s="25" t="str">
        <f t="shared" si="101"/>
        <v/>
      </c>
      <c r="E913" s="45"/>
      <c r="F913" s="28" t="str">
        <f>IFERROR(VLOOKUP(E913,Category!$D$2:$E$600,2,FALSE),"")</f>
        <v/>
      </c>
      <c r="G913" s="65"/>
      <c r="H913" s="56"/>
      <c r="I913" s="66"/>
      <c r="J913" s="67"/>
      <c r="K913" s="67"/>
      <c r="L913" s="67"/>
      <c r="M913" s="29" t="str">
        <f t="shared" si="102"/>
        <v/>
      </c>
      <c r="N913" s="29" t="str">
        <f t="shared" si="103"/>
        <v/>
      </c>
      <c r="O913" s="29" t="str">
        <f t="shared" si="98"/>
        <v/>
      </c>
      <c r="P913" s="61"/>
      <c r="Q913" s="61"/>
      <c r="R913" s="61"/>
      <c r="S913" s="45"/>
      <c r="T913" s="29" t="str">
        <f t="shared" si="99"/>
        <v/>
      </c>
    </row>
    <row r="914" spans="1:20">
      <c r="A914" s="10" t="str">
        <f t="shared" si="104"/>
        <v/>
      </c>
      <c r="B914" s="63"/>
      <c r="C914" s="25" t="str">
        <f t="shared" si="100"/>
        <v/>
      </c>
      <c r="D914" s="25" t="str">
        <f t="shared" si="101"/>
        <v/>
      </c>
      <c r="E914" s="45"/>
      <c r="F914" s="28" t="str">
        <f>IFERROR(VLOOKUP(E914,Category!$D$2:$E$600,2,FALSE),"")</f>
        <v/>
      </c>
      <c r="G914" s="65"/>
      <c r="H914" s="56"/>
      <c r="I914" s="66"/>
      <c r="J914" s="67"/>
      <c r="K914" s="67"/>
      <c r="L914" s="67"/>
      <c r="M914" s="29" t="str">
        <f t="shared" si="102"/>
        <v/>
      </c>
      <c r="N914" s="29" t="str">
        <f t="shared" si="103"/>
        <v/>
      </c>
      <c r="O914" s="29" t="str">
        <f t="shared" si="98"/>
        <v/>
      </c>
      <c r="P914" s="61"/>
      <c r="Q914" s="61"/>
      <c r="R914" s="61"/>
      <c r="S914" s="45"/>
      <c r="T914" s="29" t="str">
        <f t="shared" si="99"/>
        <v/>
      </c>
    </row>
    <row r="915" spans="1:20">
      <c r="A915" s="10" t="str">
        <f t="shared" si="104"/>
        <v/>
      </c>
      <c r="B915" s="63"/>
      <c r="C915" s="25" t="str">
        <f t="shared" si="100"/>
        <v/>
      </c>
      <c r="D915" s="25" t="str">
        <f t="shared" si="101"/>
        <v/>
      </c>
      <c r="E915" s="45"/>
      <c r="F915" s="28" t="str">
        <f>IFERROR(VLOOKUP(E915,Category!$D$2:$E$600,2,FALSE),"")</f>
        <v/>
      </c>
      <c r="G915" s="65"/>
      <c r="H915" s="56"/>
      <c r="I915" s="66"/>
      <c r="J915" s="67"/>
      <c r="K915" s="67"/>
      <c r="L915" s="67"/>
      <c r="M915" s="29" t="str">
        <f t="shared" si="102"/>
        <v/>
      </c>
      <c r="N915" s="29" t="str">
        <f t="shared" si="103"/>
        <v/>
      </c>
      <c r="O915" s="29" t="str">
        <f t="shared" si="98"/>
        <v/>
      </c>
      <c r="P915" s="61"/>
      <c r="Q915" s="61"/>
      <c r="R915" s="61"/>
      <c r="S915" s="45"/>
      <c r="T915" s="29" t="str">
        <f t="shared" si="99"/>
        <v/>
      </c>
    </row>
    <row r="916" spans="1:20">
      <c r="A916" s="10" t="str">
        <f t="shared" si="104"/>
        <v/>
      </c>
      <c r="B916" s="63"/>
      <c r="C916" s="25" t="str">
        <f t="shared" si="100"/>
        <v/>
      </c>
      <c r="D916" s="25" t="str">
        <f t="shared" si="101"/>
        <v/>
      </c>
      <c r="E916" s="45"/>
      <c r="F916" s="28" t="str">
        <f>IFERROR(VLOOKUP(E916,Category!$D$2:$E$600,2,FALSE),"")</f>
        <v/>
      </c>
      <c r="G916" s="65"/>
      <c r="H916" s="56"/>
      <c r="I916" s="66"/>
      <c r="J916" s="67"/>
      <c r="K916" s="67"/>
      <c r="L916" s="67"/>
      <c r="M916" s="29" t="str">
        <f t="shared" si="102"/>
        <v/>
      </c>
      <c r="N916" s="29" t="str">
        <f t="shared" si="103"/>
        <v/>
      </c>
      <c r="O916" s="29" t="str">
        <f t="shared" si="98"/>
        <v/>
      </c>
      <c r="P916" s="61"/>
      <c r="Q916" s="61"/>
      <c r="R916" s="61"/>
      <c r="S916" s="45"/>
      <c r="T916" s="29" t="str">
        <f t="shared" si="99"/>
        <v/>
      </c>
    </row>
    <row r="917" spans="1:20">
      <c r="A917" s="10" t="str">
        <f t="shared" si="104"/>
        <v/>
      </c>
      <c r="B917" s="63"/>
      <c r="C917" s="25" t="str">
        <f t="shared" si="100"/>
        <v/>
      </c>
      <c r="D917" s="25" t="str">
        <f t="shared" si="101"/>
        <v/>
      </c>
      <c r="E917" s="45"/>
      <c r="F917" s="28" t="str">
        <f>IFERROR(VLOOKUP(E917,Category!$D$2:$E$600,2,FALSE),"")</f>
        <v/>
      </c>
      <c r="G917" s="65"/>
      <c r="H917" s="56"/>
      <c r="I917" s="66"/>
      <c r="J917" s="67"/>
      <c r="K917" s="67"/>
      <c r="L917" s="67"/>
      <c r="M917" s="29" t="str">
        <f t="shared" si="102"/>
        <v/>
      </c>
      <c r="N917" s="29" t="str">
        <f t="shared" si="103"/>
        <v/>
      </c>
      <c r="O917" s="29" t="str">
        <f t="shared" si="98"/>
        <v/>
      </c>
      <c r="P917" s="61"/>
      <c r="Q917" s="61"/>
      <c r="R917" s="61"/>
      <c r="S917" s="45"/>
      <c r="T917" s="29" t="str">
        <f t="shared" si="99"/>
        <v/>
      </c>
    </row>
    <row r="918" spans="1:20">
      <c r="A918" s="10" t="str">
        <f t="shared" si="104"/>
        <v/>
      </c>
      <c r="B918" s="63"/>
      <c r="C918" s="25" t="str">
        <f t="shared" si="100"/>
        <v/>
      </c>
      <c r="D918" s="25" t="str">
        <f t="shared" si="101"/>
        <v/>
      </c>
      <c r="E918" s="45"/>
      <c r="F918" s="28" t="str">
        <f>IFERROR(VLOOKUP(E918,Category!$D$2:$E$600,2,FALSE),"")</f>
        <v/>
      </c>
      <c r="G918" s="65"/>
      <c r="H918" s="56"/>
      <c r="I918" s="66"/>
      <c r="J918" s="67"/>
      <c r="K918" s="67"/>
      <c r="L918" s="67"/>
      <c r="M918" s="29" t="str">
        <f t="shared" si="102"/>
        <v/>
      </c>
      <c r="N918" s="29" t="str">
        <f t="shared" si="103"/>
        <v/>
      </c>
      <c r="O918" s="29" t="str">
        <f t="shared" si="98"/>
        <v/>
      </c>
      <c r="P918" s="61"/>
      <c r="Q918" s="61"/>
      <c r="R918" s="61"/>
      <c r="S918" s="45"/>
      <c r="T918" s="29" t="str">
        <f t="shared" si="99"/>
        <v/>
      </c>
    </row>
    <row r="919" spans="1:20">
      <c r="A919" s="10" t="str">
        <f t="shared" si="104"/>
        <v/>
      </c>
      <c r="B919" s="63"/>
      <c r="C919" s="25" t="str">
        <f t="shared" si="100"/>
        <v/>
      </c>
      <c r="D919" s="25" t="str">
        <f t="shared" si="101"/>
        <v/>
      </c>
      <c r="E919" s="45"/>
      <c r="F919" s="28" t="str">
        <f>IFERROR(VLOOKUP(E919,Category!$D$2:$E$600,2,FALSE),"")</f>
        <v/>
      </c>
      <c r="G919" s="65"/>
      <c r="H919" s="56"/>
      <c r="I919" s="66"/>
      <c r="J919" s="67"/>
      <c r="K919" s="67"/>
      <c r="L919" s="67"/>
      <c r="M919" s="29" t="str">
        <f t="shared" si="102"/>
        <v/>
      </c>
      <c r="N919" s="29" t="str">
        <f t="shared" si="103"/>
        <v/>
      </c>
      <c r="O919" s="29" t="str">
        <f t="shared" si="98"/>
        <v/>
      </c>
      <c r="P919" s="61"/>
      <c r="Q919" s="61"/>
      <c r="R919" s="61"/>
      <c r="S919" s="45"/>
      <c r="T919" s="29" t="str">
        <f t="shared" si="99"/>
        <v/>
      </c>
    </row>
    <row r="920" spans="1:20">
      <c r="A920" s="10" t="str">
        <f t="shared" si="104"/>
        <v/>
      </c>
      <c r="B920" s="63"/>
      <c r="C920" s="25" t="str">
        <f t="shared" si="100"/>
        <v/>
      </c>
      <c r="D920" s="25" t="str">
        <f t="shared" si="101"/>
        <v/>
      </c>
      <c r="E920" s="45"/>
      <c r="F920" s="28" t="str">
        <f>IFERROR(VLOOKUP(E920,Category!$D$2:$E$600,2,FALSE),"")</f>
        <v/>
      </c>
      <c r="G920" s="65"/>
      <c r="H920" s="56"/>
      <c r="I920" s="66"/>
      <c r="J920" s="67"/>
      <c r="K920" s="67"/>
      <c r="L920" s="67"/>
      <c r="M920" s="29" t="str">
        <f t="shared" si="102"/>
        <v/>
      </c>
      <c r="N920" s="29" t="str">
        <f t="shared" si="103"/>
        <v/>
      </c>
      <c r="O920" s="29" t="str">
        <f t="shared" si="98"/>
        <v/>
      </c>
      <c r="P920" s="61"/>
      <c r="Q920" s="61"/>
      <c r="R920" s="61"/>
      <c r="S920" s="45"/>
      <c r="T920" s="29" t="str">
        <f t="shared" si="99"/>
        <v/>
      </c>
    </row>
    <row r="921" spans="1:20">
      <c r="A921" s="10" t="str">
        <f t="shared" si="104"/>
        <v/>
      </c>
      <c r="B921" s="63"/>
      <c r="C921" s="25" t="str">
        <f t="shared" si="100"/>
        <v/>
      </c>
      <c r="D921" s="25" t="str">
        <f t="shared" si="101"/>
        <v/>
      </c>
      <c r="E921" s="45"/>
      <c r="F921" s="28" t="str">
        <f>IFERROR(VLOOKUP(E921,Category!$D$2:$E$600,2,FALSE),"")</f>
        <v/>
      </c>
      <c r="G921" s="65"/>
      <c r="H921" s="56"/>
      <c r="I921" s="66"/>
      <c r="J921" s="67"/>
      <c r="K921" s="67"/>
      <c r="L921" s="67"/>
      <c r="M921" s="29" t="str">
        <f t="shared" si="102"/>
        <v/>
      </c>
      <c r="N921" s="29" t="str">
        <f t="shared" si="103"/>
        <v/>
      </c>
      <c r="O921" s="29" t="str">
        <f t="shared" si="98"/>
        <v/>
      </c>
      <c r="P921" s="61"/>
      <c r="Q921" s="61"/>
      <c r="R921" s="61"/>
      <c r="S921" s="45"/>
      <c r="T921" s="29" t="str">
        <f t="shared" si="99"/>
        <v/>
      </c>
    </row>
    <row r="922" spans="1:20">
      <c r="A922" s="10" t="str">
        <f t="shared" si="104"/>
        <v/>
      </c>
      <c r="B922" s="63"/>
      <c r="C922" s="25" t="str">
        <f t="shared" si="100"/>
        <v/>
      </c>
      <c r="D922" s="25" t="str">
        <f t="shared" si="101"/>
        <v/>
      </c>
      <c r="E922" s="45"/>
      <c r="F922" s="28" t="str">
        <f>IFERROR(VLOOKUP(E922,Category!$D$2:$E$600,2,FALSE),"")</f>
        <v/>
      </c>
      <c r="G922" s="65"/>
      <c r="H922" s="56"/>
      <c r="I922" s="66"/>
      <c r="J922" s="67"/>
      <c r="K922" s="67"/>
      <c r="L922" s="67"/>
      <c r="M922" s="29" t="str">
        <f t="shared" si="102"/>
        <v/>
      </c>
      <c r="N922" s="29" t="str">
        <f t="shared" si="103"/>
        <v/>
      </c>
      <c r="O922" s="29" t="str">
        <f t="shared" si="98"/>
        <v/>
      </c>
      <c r="P922" s="61"/>
      <c r="Q922" s="61"/>
      <c r="R922" s="61"/>
      <c r="S922" s="45"/>
      <c r="T922" s="29" t="str">
        <f t="shared" si="99"/>
        <v/>
      </c>
    </row>
    <row r="923" spans="1:20">
      <c r="A923" s="10" t="str">
        <f t="shared" si="104"/>
        <v/>
      </c>
      <c r="B923" s="63"/>
      <c r="C923" s="25" t="str">
        <f t="shared" si="100"/>
        <v/>
      </c>
      <c r="D923" s="25" t="str">
        <f t="shared" si="101"/>
        <v/>
      </c>
      <c r="E923" s="45"/>
      <c r="F923" s="28" t="str">
        <f>IFERROR(VLOOKUP(E923,Category!$D$2:$E$600,2,FALSE),"")</f>
        <v/>
      </c>
      <c r="G923" s="65"/>
      <c r="H923" s="56"/>
      <c r="I923" s="66"/>
      <c r="J923" s="67"/>
      <c r="K923" s="67"/>
      <c r="L923" s="67"/>
      <c r="M923" s="29" t="str">
        <f t="shared" si="102"/>
        <v/>
      </c>
      <c r="N923" s="29" t="str">
        <f t="shared" si="103"/>
        <v/>
      </c>
      <c r="O923" s="29" t="str">
        <f t="shared" si="98"/>
        <v/>
      </c>
      <c r="P923" s="61"/>
      <c r="Q923" s="61"/>
      <c r="R923" s="61"/>
      <c r="S923" s="45"/>
      <c r="T923" s="29" t="str">
        <f t="shared" si="99"/>
        <v/>
      </c>
    </row>
    <row r="924" spans="1:20">
      <c r="A924" s="10" t="str">
        <f t="shared" si="104"/>
        <v/>
      </c>
      <c r="B924" s="63"/>
      <c r="C924" s="25" t="str">
        <f t="shared" si="100"/>
        <v/>
      </c>
      <c r="D924" s="25" t="str">
        <f t="shared" si="101"/>
        <v/>
      </c>
      <c r="E924" s="45"/>
      <c r="F924" s="28" t="str">
        <f>IFERROR(VLOOKUP(E924,Category!$D$2:$E$600,2,FALSE),"")</f>
        <v/>
      </c>
      <c r="G924" s="65"/>
      <c r="H924" s="56"/>
      <c r="I924" s="66"/>
      <c r="J924" s="67"/>
      <c r="K924" s="67"/>
      <c r="L924" s="67"/>
      <c r="M924" s="29" t="str">
        <f t="shared" si="102"/>
        <v/>
      </c>
      <c r="N924" s="29" t="str">
        <f t="shared" si="103"/>
        <v/>
      </c>
      <c r="O924" s="29" t="str">
        <f t="shared" si="98"/>
        <v/>
      </c>
      <c r="P924" s="61"/>
      <c r="Q924" s="61"/>
      <c r="R924" s="61"/>
      <c r="S924" s="45"/>
      <c r="T924" s="29" t="str">
        <f t="shared" si="99"/>
        <v/>
      </c>
    </row>
    <row r="925" spans="1:20">
      <c r="A925" s="10" t="str">
        <f t="shared" si="104"/>
        <v/>
      </c>
      <c r="B925" s="63"/>
      <c r="C925" s="25" t="str">
        <f t="shared" si="100"/>
        <v/>
      </c>
      <c r="D925" s="25" t="str">
        <f t="shared" si="101"/>
        <v/>
      </c>
      <c r="E925" s="45"/>
      <c r="F925" s="28" t="str">
        <f>IFERROR(VLOOKUP(E925,Category!$D$2:$E$600,2,FALSE),"")</f>
        <v/>
      </c>
      <c r="G925" s="65"/>
      <c r="H925" s="56"/>
      <c r="I925" s="66"/>
      <c r="J925" s="67"/>
      <c r="K925" s="67"/>
      <c r="L925" s="67"/>
      <c r="M925" s="29" t="str">
        <f t="shared" si="102"/>
        <v/>
      </c>
      <c r="N925" s="29" t="str">
        <f t="shared" si="103"/>
        <v/>
      </c>
      <c r="O925" s="29" t="str">
        <f t="shared" si="98"/>
        <v/>
      </c>
      <c r="P925" s="61"/>
      <c r="Q925" s="61"/>
      <c r="R925" s="61"/>
      <c r="S925" s="45"/>
      <c r="T925" s="29" t="str">
        <f t="shared" si="99"/>
        <v/>
      </c>
    </row>
    <row r="926" spans="1:20">
      <c r="A926" s="10" t="str">
        <f t="shared" si="104"/>
        <v/>
      </c>
      <c r="B926" s="63"/>
      <c r="C926" s="25" t="str">
        <f t="shared" si="100"/>
        <v/>
      </c>
      <c r="D926" s="25" t="str">
        <f t="shared" si="101"/>
        <v/>
      </c>
      <c r="E926" s="45"/>
      <c r="F926" s="28" t="str">
        <f>IFERROR(VLOOKUP(E926,Category!$D$2:$E$600,2,FALSE),"")</f>
        <v/>
      </c>
      <c r="G926" s="65"/>
      <c r="H926" s="56"/>
      <c r="I926" s="66"/>
      <c r="J926" s="67"/>
      <c r="K926" s="67"/>
      <c r="L926" s="67"/>
      <c r="M926" s="29" t="str">
        <f t="shared" si="102"/>
        <v/>
      </c>
      <c r="N926" s="29" t="str">
        <f t="shared" si="103"/>
        <v/>
      </c>
      <c r="O926" s="29" t="str">
        <f t="shared" si="98"/>
        <v/>
      </c>
      <c r="P926" s="61"/>
      <c r="Q926" s="61"/>
      <c r="R926" s="61"/>
      <c r="S926" s="45"/>
      <c r="T926" s="29" t="str">
        <f t="shared" si="99"/>
        <v/>
      </c>
    </row>
    <row r="927" spans="1:20">
      <c r="A927" s="10" t="str">
        <f t="shared" si="104"/>
        <v/>
      </c>
      <c r="B927" s="63"/>
      <c r="C927" s="25" t="str">
        <f t="shared" si="100"/>
        <v/>
      </c>
      <c r="D927" s="25" t="str">
        <f t="shared" si="101"/>
        <v/>
      </c>
      <c r="E927" s="45"/>
      <c r="F927" s="28" t="str">
        <f>IFERROR(VLOOKUP(E927,Category!$D$2:$E$600,2,FALSE),"")</f>
        <v/>
      </c>
      <c r="G927" s="65"/>
      <c r="H927" s="56"/>
      <c r="I927" s="66"/>
      <c r="J927" s="67"/>
      <c r="K927" s="67"/>
      <c r="L927" s="67"/>
      <c r="M927" s="29" t="str">
        <f t="shared" si="102"/>
        <v/>
      </c>
      <c r="N927" s="29" t="str">
        <f t="shared" si="103"/>
        <v/>
      </c>
      <c r="O927" s="29" t="str">
        <f t="shared" si="98"/>
        <v/>
      </c>
      <c r="P927" s="61"/>
      <c r="Q927" s="61"/>
      <c r="R927" s="61"/>
      <c r="S927" s="45"/>
      <c r="T927" s="29" t="str">
        <f t="shared" si="99"/>
        <v/>
      </c>
    </row>
    <row r="928" spans="1:20">
      <c r="A928" s="10" t="str">
        <f t="shared" si="104"/>
        <v/>
      </c>
      <c r="B928" s="63"/>
      <c r="C928" s="25" t="str">
        <f t="shared" si="100"/>
        <v/>
      </c>
      <c r="D928" s="25" t="str">
        <f t="shared" si="101"/>
        <v/>
      </c>
      <c r="E928" s="45"/>
      <c r="F928" s="28" t="str">
        <f>IFERROR(VLOOKUP(E928,Category!$D$2:$E$600,2,FALSE),"")</f>
        <v/>
      </c>
      <c r="G928" s="65"/>
      <c r="H928" s="56"/>
      <c r="I928" s="66"/>
      <c r="J928" s="67"/>
      <c r="K928" s="67"/>
      <c r="L928" s="67"/>
      <c r="M928" s="29" t="str">
        <f t="shared" si="102"/>
        <v/>
      </c>
      <c r="N928" s="29" t="str">
        <f t="shared" si="103"/>
        <v/>
      </c>
      <c r="O928" s="29" t="str">
        <f t="shared" si="98"/>
        <v/>
      </c>
      <c r="P928" s="61"/>
      <c r="Q928" s="61"/>
      <c r="R928" s="61"/>
      <c r="S928" s="45"/>
      <c r="T928" s="29" t="str">
        <f t="shared" si="99"/>
        <v/>
      </c>
    </row>
    <row r="929" spans="1:20">
      <c r="A929" s="10" t="str">
        <f t="shared" si="104"/>
        <v/>
      </c>
      <c r="B929" s="63"/>
      <c r="C929" s="25" t="str">
        <f t="shared" si="100"/>
        <v/>
      </c>
      <c r="D929" s="25" t="str">
        <f t="shared" si="101"/>
        <v/>
      </c>
      <c r="E929" s="45"/>
      <c r="F929" s="28" t="str">
        <f>IFERROR(VLOOKUP(E929,Category!$D$2:$E$600,2,FALSE),"")</f>
        <v/>
      </c>
      <c r="G929" s="65"/>
      <c r="H929" s="56"/>
      <c r="I929" s="66"/>
      <c r="J929" s="67"/>
      <c r="K929" s="67"/>
      <c r="L929" s="67"/>
      <c r="M929" s="29" t="str">
        <f t="shared" si="102"/>
        <v/>
      </c>
      <c r="N929" s="29" t="str">
        <f t="shared" si="103"/>
        <v/>
      </c>
      <c r="O929" s="29" t="str">
        <f t="shared" si="98"/>
        <v/>
      </c>
      <c r="P929" s="61"/>
      <c r="Q929" s="61"/>
      <c r="R929" s="61"/>
      <c r="S929" s="45"/>
      <c r="T929" s="29" t="str">
        <f t="shared" si="99"/>
        <v/>
      </c>
    </row>
    <row r="930" spans="1:20">
      <c r="A930" s="10" t="str">
        <f t="shared" si="104"/>
        <v/>
      </c>
      <c r="B930" s="63"/>
      <c r="C930" s="25" t="str">
        <f t="shared" si="100"/>
        <v/>
      </c>
      <c r="D930" s="25" t="str">
        <f t="shared" si="101"/>
        <v/>
      </c>
      <c r="E930" s="45"/>
      <c r="F930" s="28" t="str">
        <f>IFERROR(VLOOKUP(E930,Category!$D$2:$E$600,2,FALSE),"")</f>
        <v/>
      </c>
      <c r="G930" s="65"/>
      <c r="H930" s="56"/>
      <c r="I930" s="66"/>
      <c r="J930" s="67"/>
      <c r="K930" s="67"/>
      <c r="L930" s="67"/>
      <c r="M930" s="29" t="str">
        <f t="shared" si="102"/>
        <v/>
      </c>
      <c r="N930" s="29" t="str">
        <f t="shared" si="103"/>
        <v/>
      </c>
      <c r="O930" s="29" t="str">
        <f t="shared" si="98"/>
        <v/>
      </c>
      <c r="P930" s="61"/>
      <c r="Q930" s="61"/>
      <c r="R930" s="61"/>
      <c r="S930" s="45"/>
      <c r="T930" s="29" t="str">
        <f t="shared" si="99"/>
        <v/>
      </c>
    </row>
    <row r="931" spans="1:20">
      <c r="A931" s="10" t="str">
        <f t="shared" si="104"/>
        <v/>
      </c>
      <c r="B931" s="63"/>
      <c r="C931" s="25" t="str">
        <f t="shared" si="100"/>
        <v/>
      </c>
      <c r="D931" s="25" t="str">
        <f t="shared" si="101"/>
        <v/>
      </c>
      <c r="E931" s="45"/>
      <c r="F931" s="28" t="str">
        <f>IFERROR(VLOOKUP(E931,Category!$D$2:$E$600,2,FALSE),"")</f>
        <v/>
      </c>
      <c r="G931" s="65"/>
      <c r="H931" s="56"/>
      <c r="I931" s="66"/>
      <c r="J931" s="67"/>
      <c r="K931" s="67"/>
      <c r="L931" s="67"/>
      <c r="M931" s="29" t="str">
        <f t="shared" si="102"/>
        <v/>
      </c>
      <c r="N931" s="29" t="str">
        <f t="shared" si="103"/>
        <v/>
      </c>
      <c r="O931" s="29" t="str">
        <f t="shared" si="98"/>
        <v/>
      </c>
      <c r="P931" s="61"/>
      <c r="Q931" s="61"/>
      <c r="R931" s="61"/>
      <c r="S931" s="45"/>
      <c r="T931" s="29" t="str">
        <f t="shared" si="99"/>
        <v/>
      </c>
    </row>
    <row r="932" spans="1:20">
      <c r="A932" s="10" t="str">
        <f t="shared" si="104"/>
        <v/>
      </c>
      <c r="B932" s="63"/>
      <c r="C932" s="25" t="str">
        <f t="shared" si="100"/>
        <v/>
      </c>
      <c r="D932" s="25" t="str">
        <f t="shared" si="101"/>
        <v/>
      </c>
      <c r="E932" s="45"/>
      <c r="F932" s="28" t="str">
        <f>IFERROR(VLOOKUP(E932,Category!$D$2:$E$600,2,FALSE),"")</f>
        <v/>
      </c>
      <c r="G932" s="65"/>
      <c r="H932" s="56"/>
      <c r="I932" s="66"/>
      <c r="J932" s="67"/>
      <c r="K932" s="67"/>
      <c r="L932" s="67"/>
      <c r="M932" s="29" t="str">
        <f t="shared" si="102"/>
        <v/>
      </c>
      <c r="N932" s="29" t="str">
        <f t="shared" si="103"/>
        <v/>
      </c>
      <c r="O932" s="29" t="str">
        <f t="shared" si="98"/>
        <v/>
      </c>
      <c r="P932" s="61"/>
      <c r="Q932" s="61"/>
      <c r="R932" s="61"/>
      <c r="S932" s="45"/>
      <c r="T932" s="29" t="str">
        <f t="shared" si="99"/>
        <v/>
      </c>
    </row>
    <row r="933" spans="1:20">
      <c r="A933" s="10" t="str">
        <f t="shared" si="104"/>
        <v/>
      </c>
      <c r="B933" s="63"/>
      <c r="C933" s="25" t="str">
        <f t="shared" si="100"/>
        <v/>
      </c>
      <c r="D933" s="25" t="str">
        <f t="shared" si="101"/>
        <v/>
      </c>
      <c r="E933" s="45"/>
      <c r="F933" s="28" t="str">
        <f>IFERROR(VLOOKUP(E933,Category!$D$2:$E$600,2,FALSE),"")</f>
        <v/>
      </c>
      <c r="G933" s="65"/>
      <c r="H933" s="56"/>
      <c r="I933" s="66"/>
      <c r="J933" s="67"/>
      <c r="K933" s="67"/>
      <c r="L933" s="67"/>
      <c r="M933" s="29" t="str">
        <f t="shared" si="102"/>
        <v/>
      </c>
      <c r="N933" s="29" t="str">
        <f t="shared" si="103"/>
        <v/>
      </c>
      <c r="O933" s="29" t="str">
        <f t="shared" si="98"/>
        <v/>
      </c>
      <c r="P933" s="61"/>
      <c r="Q933" s="61"/>
      <c r="R933" s="61"/>
      <c r="S933" s="45"/>
      <c r="T933" s="29" t="str">
        <f t="shared" si="99"/>
        <v/>
      </c>
    </row>
    <row r="934" spans="1:20">
      <c r="A934" s="10" t="str">
        <f t="shared" si="104"/>
        <v/>
      </c>
      <c r="B934" s="63"/>
      <c r="C934" s="25" t="str">
        <f t="shared" si="100"/>
        <v/>
      </c>
      <c r="D934" s="25" t="str">
        <f t="shared" si="101"/>
        <v/>
      </c>
      <c r="E934" s="45"/>
      <c r="F934" s="28" t="str">
        <f>IFERROR(VLOOKUP(E934,Category!$D$2:$E$600,2,FALSE),"")</f>
        <v/>
      </c>
      <c r="G934" s="65"/>
      <c r="H934" s="56"/>
      <c r="I934" s="66"/>
      <c r="J934" s="67"/>
      <c r="K934" s="67"/>
      <c r="L934" s="67"/>
      <c r="M934" s="29" t="str">
        <f t="shared" si="102"/>
        <v/>
      </c>
      <c r="N934" s="29" t="str">
        <f t="shared" si="103"/>
        <v/>
      </c>
      <c r="O934" s="29" t="str">
        <f t="shared" si="98"/>
        <v/>
      </c>
      <c r="P934" s="61"/>
      <c r="Q934" s="61"/>
      <c r="R934" s="61"/>
      <c r="S934" s="45"/>
      <c r="T934" s="29" t="str">
        <f t="shared" si="99"/>
        <v/>
      </c>
    </row>
    <row r="935" spans="1:20">
      <c r="A935" s="10" t="str">
        <f t="shared" si="104"/>
        <v/>
      </c>
      <c r="B935" s="63"/>
      <c r="C935" s="25" t="str">
        <f t="shared" si="100"/>
        <v/>
      </c>
      <c r="D935" s="25" t="str">
        <f t="shared" si="101"/>
        <v/>
      </c>
      <c r="E935" s="45"/>
      <c r="F935" s="28" t="str">
        <f>IFERROR(VLOOKUP(E935,Category!$D$2:$E$600,2,FALSE),"")</f>
        <v/>
      </c>
      <c r="G935" s="65"/>
      <c r="H935" s="56"/>
      <c r="I935" s="66"/>
      <c r="J935" s="67"/>
      <c r="K935" s="67"/>
      <c r="L935" s="67"/>
      <c r="M935" s="29" t="str">
        <f t="shared" si="102"/>
        <v/>
      </c>
      <c r="N935" s="29" t="str">
        <f t="shared" si="103"/>
        <v/>
      </c>
      <c r="O935" s="29" t="str">
        <f t="shared" si="98"/>
        <v/>
      </c>
      <c r="P935" s="61"/>
      <c r="Q935" s="61"/>
      <c r="R935" s="61"/>
      <c r="S935" s="45"/>
      <c r="T935" s="29" t="str">
        <f t="shared" si="99"/>
        <v/>
      </c>
    </row>
    <row r="936" spans="1:20">
      <c r="A936" s="10" t="str">
        <f t="shared" si="104"/>
        <v/>
      </c>
      <c r="B936" s="63"/>
      <c r="C936" s="25" t="str">
        <f t="shared" si="100"/>
        <v/>
      </c>
      <c r="D936" s="25" t="str">
        <f t="shared" si="101"/>
        <v/>
      </c>
      <c r="E936" s="45"/>
      <c r="F936" s="28" t="str">
        <f>IFERROR(VLOOKUP(E936,Category!$D$2:$E$600,2,FALSE),"")</f>
        <v/>
      </c>
      <c r="G936" s="65"/>
      <c r="H936" s="56"/>
      <c r="I936" s="66"/>
      <c r="J936" s="67"/>
      <c r="K936" s="67"/>
      <c r="L936" s="67"/>
      <c r="M936" s="29" t="str">
        <f t="shared" si="102"/>
        <v/>
      </c>
      <c r="N936" s="29" t="str">
        <f t="shared" si="103"/>
        <v/>
      </c>
      <c r="O936" s="29" t="str">
        <f t="shared" si="98"/>
        <v/>
      </c>
      <c r="P936" s="61"/>
      <c r="Q936" s="61"/>
      <c r="R936" s="61"/>
      <c r="S936" s="45"/>
      <c r="T936" s="29" t="str">
        <f t="shared" si="99"/>
        <v/>
      </c>
    </row>
    <row r="937" spans="1:20">
      <c r="A937" s="10" t="str">
        <f t="shared" si="104"/>
        <v/>
      </c>
      <c r="B937" s="63"/>
      <c r="C937" s="25" t="str">
        <f t="shared" si="100"/>
        <v/>
      </c>
      <c r="D937" s="25" t="str">
        <f t="shared" si="101"/>
        <v/>
      </c>
      <c r="E937" s="45"/>
      <c r="F937" s="28" t="str">
        <f>IFERROR(VLOOKUP(E937,Category!$D$2:$E$600,2,FALSE),"")</f>
        <v/>
      </c>
      <c r="G937" s="65"/>
      <c r="H937" s="56"/>
      <c r="I937" s="66"/>
      <c r="J937" s="67"/>
      <c r="K937" s="67"/>
      <c r="L937" s="67"/>
      <c r="M937" s="29" t="str">
        <f t="shared" si="102"/>
        <v/>
      </c>
      <c r="N937" s="29" t="str">
        <f t="shared" si="103"/>
        <v/>
      </c>
      <c r="O937" s="29" t="str">
        <f t="shared" si="98"/>
        <v/>
      </c>
      <c r="P937" s="61"/>
      <c r="Q937" s="61"/>
      <c r="R937" s="61"/>
      <c r="S937" s="45"/>
      <c r="T937" s="29" t="str">
        <f t="shared" si="99"/>
        <v/>
      </c>
    </row>
    <row r="938" spans="1:20">
      <c r="A938" s="10" t="str">
        <f t="shared" si="104"/>
        <v/>
      </c>
      <c r="B938" s="63"/>
      <c r="C938" s="25" t="str">
        <f t="shared" si="100"/>
        <v/>
      </c>
      <c r="D938" s="25" t="str">
        <f t="shared" si="101"/>
        <v/>
      </c>
      <c r="E938" s="45"/>
      <c r="F938" s="28" t="str">
        <f>IFERROR(VLOOKUP(E938,Category!$D$2:$E$600,2,FALSE),"")</f>
        <v/>
      </c>
      <c r="G938" s="65"/>
      <c r="H938" s="56"/>
      <c r="I938" s="66"/>
      <c r="J938" s="67"/>
      <c r="K938" s="67"/>
      <c r="L938" s="67"/>
      <c r="M938" s="29" t="str">
        <f t="shared" si="102"/>
        <v/>
      </c>
      <c r="N938" s="29" t="str">
        <f t="shared" si="103"/>
        <v/>
      </c>
      <c r="O938" s="29" t="str">
        <f t="shared" si="98"/>
        <v/>
      </c>
      <c r="P938" s="61"/>
      <c r="Q938" s="61"/>
      <c r="R938" s="61"/>
      <c r="S938" s="45"/>
      <c r="T938" s="29" t="str">
        <f t="shared" si="99"/>
        <v/>
      </c>
    </row>
    <row r="939" spans="1:20">
      <c r="A939" s="10" t="str">
        <f t="shared" si="104"/>
        <v/>
      </c>
      <c r="B939" s="63"/>
      <c r="C939" s="25" t="str">
        <f t="shared" si="100"/>
        <v/>
      </c>
      <c r="D939" s="25" t="str">
        <f t="shared" si="101"/>
        <v/>
      </c>
      <c r="E939" s="45"/>
      <c r="F939" s="28" t="str">
        <f>IFERROR(VLOOKUP(E939,Category!$D$2:$E$600,2,FALSE),"")</f>
        <v/>
      </c>
      <c r="G939" s="65"/>
      <c r="H939" s="56"/>
      <c r="I939" s="66"/>
      <c r="J939" s="67"/>
      <c r="K939" s="67"/>
      <c r="L939" s="67"/>
      <c r="M939" s="29" t="str">
        <f t="shared" si="102"/>
        <v/>
      </c>
      <c r="N939" s="29" t="str">
        <f t="shared" si="103"/>
        <v/>
      </c>
      <c r="O939" s="29" t="str">
        <f t="shared" si="98"/>
        <v/>
      </c>
      <c r="P939" s="61"/>
      <c r="Q939" s="61"/>
      <c r="R939" s="61"/>
      <c r="S939" s="45"/>
      <c r="T939" s="29" t="str">
        <f t="shared" si="99"/>
        <v/>
      </c>
    </row>
    <row r="940" spans="1:20">
      <c r="A940" s="10" t="str">
        <f t="shared" si="104"/>
        <v/>
      </c>
      <c r="B940" s="63"/>
      <c r="C940" s="25" t="str">
        <f t="shared" si="100"/>
        <v/>
      </c>
      <c r="D940" s="25" t="str">
        <f t="shared" si="101"/>
        <v/>
      </c>
      <c r="E940" s="45"/>
      <c r="F940" s="28" t="str">
        <f>IFERROR(VLOOKUP(E940,Category!$D$2:$E$600,2,FALSE),"")</f>
        <v/>
      </c>
      <c r="G940" s="65"/>
      <c r="H940" s="56"/>
      <c r="I940" s="66"/>
      <c r="J940" s="67"/>
      <c r="K940" s="67"/>
      <c r="L940" s="67"/>
      <c r="M940" s="29" t="str">
        <f t="shared" si="102"/>
        <v/>
      </c>
      <c r="N940" s="29" t="str">
        <f t="shared" si="103"/>
        <v/>
      </c>
      <c r="O940" s="29" t="str">
        <f t="shared" si="98"/>
        <v/>
      </c>
      <c r="P940" s="61"/>
      <c r="Q940" s="61"/>
      <c r="R940" s="61"/>
      <c r="S940" s="45"/>
      <c r="T940" s="29" t="str">
        <f t="shared" si="99"/>
        <v/>
      </c>
    </row>
    <row r="941" spans="1:20">
      <c r="A941" s="10" t="str">
        <f t="shared" si="104"/>
        <v/>
      </c>
      <c r="B941" s="63"/>
      <c r="C941" s="25" t="str">
        <f t="shared" si="100"/>
        <v/>
      </c>
      <c r="D941" s="25" t="str">
        <f t="shared" si="101"/>
        <v/>
      </c>
      <c r="E941" s="45"/>
      <c r="F941" s="28" t="str">
        <f>IFERROR(VLOOKUP(E941,Category!$D$2:$E$600,2,FALSE),"")</f>
        <v/>
      </c>
      <c r="G941" s="65"/>
      <c r="H941" s="56"/>
      <c r="I941" s="66"/>
      <c r="J941" s="67"/>
      <c r="K941" s="67"/>
      <c r="L941" s="67"/>
      <c r="M941" s="29" t="str">
        <f t="shared" si="102"/>
        <v/>
      </c>
      <c r="N941" s="29" t="str">
        <f t="shared" si="103"/>
        <v/>
      </c>
      <c r="O941" s="29" t="str">
        <f t="shared" si="98"/>
        <v/>
      </c>
      <c r="P941" s="61"/>
      <c r="Q941" s="61"/>
      <c r="R941" s="61"/>
      <c r="S941" s="45"/>
      <c r="T941" s="29" t="str">
        <f t="shared" si="99"/>
        <v/>
      </c>
    </row>
    <row r="942" spans="1:20">
      <c r="A942" s="10" t="str">
        <f t="shared" si="104"/>
        <v/>
      </c>
      <c r="B942" s="63"/>
      <c r="C942" s="25" t="str">
        <f t="shared" si="100"/>
        <v/>
      </c>
      <c r="D942" s="25" t="str">
        <f t="shared" si="101"/>
        <v/>
      </c>
      <c r="E942" s="45"/>
      <c r="F942" s="28" t="str">
        <f>IFERROR(VLOOKUP(E942,Category!$D$2:$E$600,2,FALSE),"")</f>
        <v/>
      </c>
      <c r="G942" s="65"/>
      <c r="H942" s="56"/>
      <c r="I942" s="66"/>
      <c r="J942" s="67"/>
      <c r="K942" s="67"/>
      <c r="L942" s="67"/>
      <c r="M942" s="29" t="str">
        <f t="shared" si="102"/>
        <v/>
      </c>
      <c r="N942" s="29" t="str">
        <f t="shared" si="103"/>
        <v/>
      </c>
      <c r="O942" s="29" t="str">
        <f t="shared" si="98"/>
        <v/>
      </c>
      <c r="P942" s="61"/>
      <c r="Q942" s="61"/>
      <c r="R942" s="61"/>
      <c r="S942" s="45"/>
      <c r="T942" s="29" t="str">
        <f t="shared" si="99"/>
        <v/>
      </c>
    </row>
    <row r="943" spans="1:20">
      <c r="A943" s="10" t="str">
        <f t="shared" si="104"/>
        <v/>
      </c>
      <c r="B943" s="63"/>
      <c r="C943" s="25" t="str">
        <f t="shared" si="100"/>
        <v/>
      </c>
      <c r="D943" s="25" t="str">
        <f t="shared" si="101"/>
        <v/>
      </c>
      <c r="E943" s="45"/>
      <c r="F943" s="28" t="str">
        <f>IFERROR(VLOOKUP(E943,Category!$D$2:$E$600,2,FALSE),"")</f>
        <v/>
      </c>
      <c r="G943" s="65"/>
      <c r="H943" s="56"/>
      <c r="I943" s="66"/>
      <c r="J943" s="67"/>
      <c r="K943" s="67"/>
      <c r="L943" s="67"/>
      <c r="M943" s="29" t="str">
        <f t="shared" si="102"/>
        <v/>
      </c>
      <c r="N943" s="29" t="str">
        <f t="shared" si="103"/>
        <v/>
      </c>
      <c r="O943" s="29" t="str">
        <f t="shared" si="98"/>
        <v/>
      </c>
      <c r="P943" s="61"/>
      <c r="Q943" s="61"/>
      <c r="R943" s="61"/>
      <c r="S943" s="45"/>
      <c r="T943" s="29" t="str">
        <f t="shared" si="99"/>
        <v/>
      </c>
    </row>
    <row r="944" spans="1:20">
      <c r="A944" s="10" t="str">
        <f t="shared" si="104"/>
        <v/>
      </c>
      <c r="B944" s="63"/>
      <c r="C944" s="25" t="str">
        <f t="shared" si="100"/>
        <v/>
      </c>
      <c r="D944" s="25" t="str">
        <f t="shared" si="101"/>
        <v/>
      </c>
      <c r="E944" s="45"/>
      <c r="F944" s="28" t="str">
        <f>IFERROR(VLOOKUP(E944,Category!$D$2:$E$600,2,FALSE),"")</f>
        <v/>
      </c>
      <c r="G944" s="65"/>
      <c r="H944" s="56"/>
      <c r="I944" s="66"/>
      <c r="J944" s="67"/>
      <c r="K944" s="67"/>
      <c r="L944" s="67"/>
      <c r="M944" s="29" t="str">
        <f t="shared" si="102"/>
        <v/>
      </c>
      <c r="N944" s="29" t="str">
        <f t="shared" si="103"/>
        <v/>
      </c>
      <c r="O944" s="29" t="str">
        <f t="shared" si="98"/>
        <v/>
      </c>
      <c r="P944" s="61"/>
      <c r="Q944" s="61"/>
      <c r="R944" s="61"/>
      <c r="S944" s="45"/>
      <c r="T944" s="29" t="str">
        <f t="shared" si="99"/>
        <v/>
      </c>
    </row>
    <row r="945" spans="1:20">
      <c r="A945" s="10" t="str">
        <f t="shared" si="104"/>
        <v/>
      </c>
      <c r="B945" s="63"/>
      <c r="C945" s="25" t="str">
        <f t="shared" si="100"/>
        <v/>
      </c>
      <c r="D945" s="25" t="str">
        <f t="shared" si="101"/>
        <v/>
      </c>
      <c r="E945" s="45"/>
      <c r="F945" s="28" t="str">
        <f>IFERROR(VLOOKUP(E945,Category!$D$2:$E$600,2,FALSE),"")</f>
        <v/>
      </c>
      <c r="G945" s="65"/>
      <c r="H945" s="56"/>
      <c r="I945" s="66"/>
      <c r="J945" s="67"/>
      <c r="K945" s="67"/>
      <c r="L945" s="67"/>
      <c r="M945" s="29" t="str">
        <f t="shared" si="102"/>
        <v/>
      </c>
      <c r="N945" s="29" t="str">
        <f t="shared" si="103"/>
        <v/>
      </c>
      <c r="O945" s="29" t="str">
        <f t="shared" si="98"/>
        <v/>
      </c>
      <c r="P945" s="61"/>
      <c r="Q945" s="61"/>
      <c r="R945" s="61"/>
      <c r="S945" s="45"/>
      <c r="T945" s="29" t="str">
        <f t="shared" si="99"/>
        <v/>
      </c>
    </row>
    <row r="946" spans="1:20">
      <c r="A946" s="10" t="str">
        <f t="shared" si="104"/>
        <v/>
      </c>
      <c r="B946" s="63"/>
      <c r="C946" s="25" t="str">
        <f t="shared" si="100"/>
        <v/>
      </c>
      <c r="D946" s="25" t="str">
        <f t="shared" si="101"/>
        <v/>
      </c>
      <c r="E946" s="45"/>
      <c r="F946" s="28" t="str">
        <f>IFERROR(VLOOKUP(E946,Category!$D$2:$E$600,2,FALSE),"")</f>
        <v/>
      </c>
      <c r="G946" s="65"/>
      <c r="H946" s="56"/>
      <c r="I946" s="66"/>
      <c r="J946" s="67"/>
      <c r="K946" s="67"/>
      <c r="L946" s="67"/>
      <c r="M946" s="29" t="str">
        <f t="shared" si="102"/>
        <v/>
      </c>
      <c r="N946" s="29" t="str">
        <f t="shared" si="103"/>
        <v/>
      </c>
      <c r="O946" s="29" t="str">
        <f t="shared" si="98"/>
        <v/>
      </c>
      <c r="P946" s="61"/>
      <c r="Q946" s="61"/>
      <c r="R946" s="61"/>
      <c r="S946" s="45"/>
      <c r="T946" s="29" t="str">
        <f t="shared" si="99"/>
        <v/>
      </c>
    </row>
    <row r="947" spans="1:20">
      <c r="A947" s="10" t="str">
        <f t="shared" si="104"/>
        <v/>
      </c>
      <c r="B947" s="63"/>
      <c r="C947" s="25" t="str">
        <f t="shared" si="100"/>
        <v/>
      </c>
      <c r="D947" s="25" t="str">
        <f t="shared" si="101"/>
        <v/>
      </c>
      <c r="E947" s="45"/>
      <c r="F947" s="28" t="str">
        <f>IFERROR(VLOOKUP(E947,Category!$D$2:$E$600,2,FALSE),"")</f>
        <v/>
      </c>
      <c r="G947" s="65"/>
      <c r="H947" s="56"/>
      <c r="I947" s="66"/>
      <c r="J947" s="67"/>
      <c r="K947" s="67"/>
      <c r="L947" s="67"/>
      <c r="M947" s="29" t="str">
        <f t="shared" si="102"/>
        <v/>
      </c>
      <c r="N947" s="29" t="str">
        <f t="shared" si="103"/>
        <v/>
      </c>
      <c r="O947" s="29" t="str">
        <f t="shared" si="98"/>
        <v/>
      </c>
      <c r="P947" s="61"/>
      <c r="Q947" s="61"/>
      <c r="R947" s="61"/>
      <c r="S947" s="45"/>
      <c r="T947" s="29" t="str">
        <f t="shared" si="99"/>
        <v/>
      </c>
    </row>
    <row r="948" spans="1:20">
      <c r="A948" s="10" t="str">
        <f t="shared" si="104"/>
        <v/>
      </c>
      <c r="B948" s="63"/>
      <c r="C948" s="25" t="str">
        <f t="shared" si="100"/>
        <v/>
      </c>
      <c r="D948" s="25" t="str">
        <f t="shared" si="101"/>
        <v/>
      </c>
      <c r="E948" s="45"/>
      <c r="F948" s="28" t="str">
        <f>IFERROR(VLOOKUP(E948,Category!$D$2:$E$600,2,FALSE),"")</f>
        <v/>
      </c>
      <c r="G948" s="65"/>
      <c r="H948" s="56"/>
      <c r="I948" s="66"/>
      <c r="J948" s="67"/>
      <c r="K948" s="67"/>
      <c r="L948" s="67"/>
      <c r="M948" s="29" t="str">
        <f t="shared" si="102"/>
        <v/>
      </c>
      <c r="N948" s="29" t="str">
        <f t="shared" si="103"/>
        <v/>
      </c>
      <c r="O948" s="29" t="str">
        <f t="shared" si="98"/>
        <v/>
      </c>
      <c r="P948" s="61"/>
      <c r="Q948" s="61"/>
      <c r="R948" s="61"/>
      <c r="S948" s="45"/>
      <c r="T948" s="29" t="str">
        <f t="shared" si="99"/>
        <v/>
      </c>
    </row>
    <row r="949" spans="1:20">
      <c r="A949" s="10" t="str">
        <f t="shared" si="104"/>
        <v/>
      </c>
      <c r="B949" s="63"/>
      <c r="C949" s="25" t="str">
        <f t="shared" si="100"/>
        <v/>
      </c>
      <c r="D949" s="25" t="str">
        <f t="shared" si="101"/>
        <v/>
      </c>
      <c r="E949" s="45"/>
      <c r="F949" s="28" t="str">
        <f>IFERROR(VLOOKUP(E949,Category!$D$2:$E$600,2,FALSE),"")</f>
        <v/>
      </c>
      <c r="G949" s="65"/>
      <c r="H949" s="56"/>
      <c r="I949" s="66"/>
      <c r="J949" s="67"/>
      <c r="K949" s="67"/>
      <c r="L949" s="67"/>
      <c r="M949" s="29" t="str">
        <f t="shared" si="102"/>
        <v/>
      </c>
      <c r="N949" s="29" t="str">
        <f t="shared" si="103"/>
        <v/>
      </c>
      <c r="O949" s="29" t="str">
        <f t="shared" si="98"/>
        <v/>
      </c>
      <c r="P949" s="61"/>
      <c r="Q949" s="61"/>
      <c r="R949" s="61"/>
      <c r="S949" s="45"/>
      <c r="T949" s="29" t="str">
        <f t="shared" si="99"/>
        <v/>
      </c>
    </row>
    <row r="950" spans="1:20">
      <c r="A950" s="10" t="str">
        <f t="shared" si="104"/>
        <v/>
      </c>
      <c r="B950" s="63"/>
      <c r="C950" s="25" t="str">
        <f t="shared" si="100"/>
        <v/>
      </c>
      <c r="D950" s="25" t="str">
        <f t="shared" si="101"/>
        <v/>
      </c>
      <c r="E950" s="45"/>
      <c r="F950" s="28" t="str">
        <f>IFERROR(VLOOKUP(E950,Category!$D$2:$E$600,2,FALSE),"")</f>
        <v/>
      </c>
      <c r="G950" s="65"/>
      <c r="H950" s="56"/>
      <c r="I950" s="66"/>
      <c r="J950" s="67"/>
      <c r="K950" s="67"/>
      <c r="L950" s="67"/>
      <c r="M950" s="29" t="str">
        <f t="shared" si="102"/>
        <v/>
      </c>
      <c r="N950" s="29" t="str">
        <f t="shared" si="103"/>
        <v/>
      </c>
      <c r="O950" s="29" t="str">
        <f t="shared" si="98"/>
        <v/>
      </c>
      <c r="P950" s="61"/>
      <c r="Q950" s="61"/>
      <c r="R950" s="61"/>
      <c r="S950" s="45"/>
      <c r="T950" s="29" t="str">
        <f t="shared" si="99"/>
        <v/>
      </c>
    </row>
    <row r="951" spans="1:20">
      <c r="A951" s="10" t="str">
        <f t="shared" si="104"/>
        <v/>
      </c>
      <c r="B951" s="63"/>
      <c r="C951" s="25" t="str">
        <f t="shared" si="100"/>
        <v/>
      </c>
      <c r="D951" s="25" t="str">
        <f t="shared" si="101"/>
        <v/>
      </c>
      <c r="E951" s="45"/>
      <c r="F951" s="28" t="str">
        <f>IFERROR(VLOOKUP(E951,Category!$D$2:$E$600,2,FALSE),"")</f>
        <v/>
      </c>
      <c r="G951" s="65"/>
      <c r="H951" s="56"/>
      <c r="I951" s="66"/>
      <c r="J951" s="67"/>
      <c r="K951" s="67"/>
      <c r="L951" s="67"/>
      <c r="M951" s="29" t="str">
        <f t="shared" si="102"/>
        <v/>
      </c>
      <c r="N951" s="29" t="str">
        <f t="shared" si="103"/>
        <v/>
      </c>
      <c r="O951" s="29" t="str">
        <f t="shared" si="98"/>
        <v/>
      </c>
      <c r="P951" s="61"/>
      <c r="Q951" s="61"/>
      <c r="R951" s="61"/>
      <c r="S951" s="45"/>
      <c r="T951" s="29" t="str">
        <f t="shared" si="99"/>
        <v/>
      </c>
    </row>
    <row r="952" spans="1:20">
      <c r="A952" s="10" t="str">
        <f t="shared" si="104"/>
        <v/>
      </c>
      <c r="B952" s="63"/>
      <c r="C952" s="25" t="str">
        <f t="shared" si="100"/>
        <v/>
      </c>
      <c r="D952" s="25" t="str">
        <f t="shared" si="101"/>
        <v/>
      </c>
      <c r="E952" s="45"/>
      <c r="F952" s="28" t="str">
        <f>IFERROR(VLOOKUP(E952,Category!$D$2:$E$600,2,FALSE),"")</f>
        <v/>
      </c>
      <c r="G952" s="65"/>
      <c r="H952" s="56"/>
      <c r="I952" s="66"/>
      <c r="J952" s="67"/>
      <c r="K952" s="67"/>
      <c r="L952" s="67"/>
      <c r="M952" s="29" t="str">
        <f t="shared" si="102"/>
        <v/>
      </c>
      <c r="N952" s="29" t="str">
        <f t="shared" si="103"/>
        <v/>
      </c>
      <c r="O952" s="29" t="str">
        <f t="shared" si="98"/>
        <v/>
      </c>
      <c r="P952" s="61"/>
      <c r="Q952" s="61"/>
      <c r="R952" s="61"/>
      <c r="S952" s="45"/>
      <c r="T952" s="29" t="str">
        <f t="shared" si="99"/>
        <v/>
      </c>
    </row>
    <row r="953" spans="1:20">
      <c r="A953" s="10" t="str">
        <f t="shared" si="104"/>
        <v/>
      </c>
      <c r="B953" s="63"/>
      <c r="C953" s="25" t="str">
        <f t="shared" si="100"/>
        <v/>
      </c>
      <c r="D953" s="25" t="str">
        <f t="shared" si="101"/>
        <v/>
      </c>
      <c r="E953" s="45"/>
      <c r="F953" s="28" t="str">
        <f>IFERROR(VLOOKUP(E953,Category!$D$2:$E$600,2,FALSE),"")</f>
        <v/>
      </c>
      <c r="G953" s="65"/>
      <c r="H953" s="56"/>
      <c r="I953" s="66"/>
      <c r="J953" s="67"/>
      <c r="K953" s="67"/>
      <c r="L953" s="67"/>
      <c r="M953" s="29" t="str">
        <f t="shared" si="102"/>
        <v/>
      </c>
      <c r="N953" s="29" t="str">
        <f t="shared" si="103"/>
        <v/>
      </c>
      <c r="O953" s="29" t="str">
        <f t="shared" si="98"/>
        <v/>
      </c>
      <c r="P953" s="61"/>
      <c r="Q953" s="61"/>
      <c r="R953" s="61"/>
      <c r="S953" s="45"/>
      <c r="T953" s="29" t="str">
        <f t="shared" si="99"/>
        <v/>
      </c>
    </row>
    <row r="954" spans="1:20">
      <c r="A954" s="10" t="str">
        <f t="shared" si="104"/>
        <v/>
      </c>
      <c r="B954" s="63"/>
      <c r="C954" s="25" t="str">
        <f t="shared" si="100"/>
        <v/>
      </c>
      <c r="D954" s="25" t="str">
        <f t="shared" si="101"/>
        <v/>
      </c>
      <c r="E954" s="45"/>
      <c r="F954" s="28" t="str">
        <f>IFERROR(VLOOKUP(E954,Category!$D$2:$E$600,2,FALSE),"")</f>
        <v/>
      </c>
      <c r="G954" s="65"/>
      <c r="H954" s="56"/>
      <c r="I954" s="66"/>
      <c r="J954" s="67"/>
      <c r="K954" s="67"/>
      <c r="L954" s="67"/>
      <c r="M954" s="29" t="str">
        <f t="shared" si="102"/>
        <v/>
      </c>
      <c r="N954" s="29" t="str">
        <f t="shared" si="103"/>
        <v/>
      </c>
      <c r="O954" s="29" t="str">
        <f t="shared" si="98"/>
        <v/>
      </c>
      <c r="P954" s="61"/>
      <c r="Q954" s="61"/>
      <c r="R954" s="61"/>
      <c r="S954" s="45"/>
      <c r="T954" s="29" t="str">
        <f t="shared" si="99"/>
        <v/>
      </c>
    </row>
    <row r="955" spans="1:20">
      <c r="A955" s="10" t="str">
        <f t="shared" si="104"/>
        <v/>
      </c>
      <c r="B955" s="63"/>
      <c r="C955" s="25" t="str">
        <f t="shared" si="100"/>
        <v/>
      </c>
      <c r="D955" s="25" t="str">
        <f t="shared" si="101"/>
        <v/>
      </c>
      <c r="E955" s="45"/>
      <c r="F955" s="28" t="str">
        <f>IFERROR(VLOOKUP(E955,Category!$D$2:$E$600,2,FALSE),"")</f>
        <v/>
      </c>
      <c r="G955" s="65"/>
      <c r="H955" s="56"/>
      <c r="I955" s="66"/>
      <c r="J955" s="67"/>
      <c r="K955" s="67"/>
      <c r="L955" s="67"/>
      <c r="M955" s="29" t="str">
        <f t="shared" si="102"/>
        <v/>
      </c>
      <c r="N955" s="29" t="str">
        <f t="shared" si="103"/>
        <v/>
      </c>
      <c r="O955" s="29" t="str">
        <f t="shared" si="98"/>
        <v/>
      </c>
      <c r="P955" s="61"/>
      <c r="Q955" s="61"/>
      <c r="R955" s="61"/>
      <c r="S955" s="45"/>
      <c r="T955" s="29" t="str">
        <f t="shared" si="99"/>
        <v/>
      </c>
    </row>
    <row r="956" spans="1:20">
      <c r="A956" s="10" t="str">
        <f t="shared" si="104"/>
        <v/>
      </c>
      <c r="B956" s="63"/>
      <c r="C956" s="25" t="str">
        <f t="shared" si="100"/>
        <v/>
      </c>
      <c r="D956" s="25" t="str">
        <f t="shared" si="101"/>
        <v/>
      </c>
      <c r="E956" s="45"/>
      <c r="F956" s="28" t="str">
        <f>IFERROR(VLOOKUP(E956,Category!$D$2:$E$600,2,FALSE),"")</f>
        <v/>
      </c>
      <c r="G956" s="65"/>
      <c r="H956" s="56"/>
      <c r="I956" s="66"/>
      <c r="J956" s="67"/>
      <c r="K956" s="67"/>
      <c r="L956" s="67"/>
      <c r="M956" s="29" t="str">
        <f t="shared" si="102"/>
        <v/>
      </c>
      <c r="N956" s="29" t="str">
        <f t="shared" si="103"/>
        <v/>
      </c>
      <c r="O956" s="29" t="str">
        <f t="shared" si="98"/>
        <v/>
      </c>
      <c r="P956" s="61"/>
      <c r="Q956" s="61"/>
      <c r="R956" s="61"/>
      <c r="S956" s="45"/>
      <c r="T956" s="29" t="str">
        <f t="shared" si="99"/>
        <v/>
      </c>
    </row>
    <row r="957" spans="1:20">
      <c r="A957" s="10" t="str">
        <f t="shared" si="104"/>
        <v/>
      </c>
      <c r="B957" s="63"/>
      <c r="C957" s="25" t="str">
        <f t="shared" si="100"/>
        <v/>
      </c>
      <c r="D957" s="25" t="str">
        <f t="shared" si="101"/>
        <v/>
      </c>
      <c r="E957" s="45"/>
      <c r="F957" s="28" t="str">
        <f>IFERROR(VLOOKUP(E957,Category!$D$2:$E$600,2,FALSE),"")</f>
        <v/>
      </c>
      <c r="G957" s="65"/>
      <c r="H957" s="56"/>
      <c r="I957" s="66"/>
      <c r="J957" s="67"/>
      <c r="K957" s="67"/>
      <c r="L957" s="67"/>
      <c r="M957" s="29" t="str">
        <f t="shared" si="102"/>
        <v/>
      </c>
      <c r="N957" s="29" t="str">
        <f t="shared" si="103"/>
        <v/>
      </c>
      <c r="O957" s="29" t="str">
        <f t="shared" si="98"/>
        <v/>
      </c>
      <c r="P957" s="61"/>
      <c r="Q957" s="61"/>
      <c r="R957" s="61"/>
      <c r="S957" s="45"/>
      <c r="T957" s="29" t="str">
        <f t="shared" si="99"/>
        <v/>
      </c>
    </row>
    <row r="958" spans="1:20">
      <c r="A958" s="10" t="str">
        <f t="shared" si="104"/>
        <v/>
      </c>
      <c r="B958" s="63"/>
      <c r="C958" s="25" t="str">
        <f t="shared" si="100"/>
        <v/>
      </c>
      <c r="D958" s="25" t="str">
        <f t="shared" si="101"/>
        <v/>
      </c>
      <c r="E958" s="45"/>
      <c r="F958" s="28" t="str">
        <f>IFERROR(VLOOKUP(E958,Category!$D$2:$E$600,2,FALSE),"")</f>
        <v/>
      </c>
      <c r="G958" s="65"/>
      <c r="H958" s="56"/>
      <c r="I958" s="66"/>
      <c r="J958" s="67"/>
      <c r="K958" s="67"/>
      <c r="L958" s="67"/>
      <c r="M958" s="29" t="str">
        <f t="shared" si="102"/>
        <v/>
      </c>
      <c r="N958" s="29" t="str">
        <f t="shared" si="103"/>
        <v/>
      </c>
      <c r="O958" s="29" t="str">
        <f t="shared" si="98"/>
        <v/>
      </c>
      <c r="P958" s="61"/>
      <c r="Q958" s="61"/>
      <c r="R958" s="61"/>
      <c r="S958" s="45"/>
      <c r="T958" s="29" t="str">
        <f t="shared" si="99"/>
        <v/>
      </c>
    </row>
    <row r="959" spans="1:20">
      <c r="A959" s="10" t="str">
        <f t="shared" si="104"/>
        <v/>
      </c>
      <c r="B959" s="63"/>
      <c r="C959" s="25" t="str">
        <f t="shared" si="100"/>
        <v/>
      </c>
      <c r="D959" s="25" t="str">
        <f t="shared" si="101"/>
        <v/>
      </c>
      <c r="E959" s="45"/>
      <c r="F959" s="28" t="str">
        <f>IFERROR(VLOOKUP(E959,Category!$D$2:$E$600,2,FALSE),"")</f>
        <v/>
      </c>
      <c r="G959" s="65"/>
      <c r="H959" s="56"/>
      <c r="I959" s="66"/>
      <c r="J959" s="67"/>
      <c r="K959" s="67"/>
      <c r="L959" s="67"/>
      <c r="M959" s="29" t="str">
        <f t="shared" si="102"/>
        <v/>
      </c>
      <c r="N959" s="29" t="str">
        <f t="shared" si="103"/>
        <v/>
      </c>
      <c r="O959" s="29" t="str">
        <f t="shared" si="98"/>
        <v/>
      </c>
      <c r="P959" s="61"/>
      <c r="Q959" s="61"/>
      <c r="R959" s="61"/>
      <c r="S959" s="45"/>
      <c r="T959" s="29" t="str">
        <f t="shared" si="99"/>
        <v/>
      </c>
    </row>
    <row r="960" spans="1:20">
      <c r="A960" s="10" t="str">
        <f t="shared" si="104"/>
        <v/>
      </c>
      <c r="B960" s="63"/>
      <c r="C960" s="25" t="str">
        <f t="shared" si="100"/>
        <v/>
      </c>
      <c r="D960" s="25" t="str">
        <f t="shared" si="101"/>
        <v/>
      </c>
      <c r="E960" s="45"/>
      <c r="F960" s="28" t="str">
        <f>IFERROR(VLOOKUP(E960,Category!$D$2:$E$600,2,FALSE),"")</f>
        <v/>
      </c>
      <c r="G960" s="65"/>
      <c r="H960" s="56"/>
      <c r="I960" s="66"/>
      <c r="J960" s="67"/>
      <c r="K960" s="67"/>
      <c r="L960" s="67"/>
      <c r="M960" s="29" t="str">
        <f t="shared" si="102"/>
        <v/>
      </c>
      <c r="N960" s="29" t="str">
        <f t="shared" si="103"/>
        <v/>
      </c>
      <c r="O960" s="29" t="str">
        <f t="shared" si="98"/>
        <v/>
      </c>
      <c r="P960" s="61"/>
      <c r="Q960" s="61"/>
      <c r="R960" s="61"/>
      <c r="S960" s="45"/>
      <c r="T960" s="29" t="str">
        <f t="shared" si="99"/>
        <v/>
      </c>
    </row>
    <row r="961" spans="1:20">
      <c r="A961" s="10" t="str">
        <f t="shared" si="104"/>
        <v/>
      </c>
      <c r="B961" s="63"/>
      <c r="C961" s="25" t="str">
        <f t="shared" si="100"/>
        <v/>
      </c>
      <c r="D961" s="25" t="str">
        <f t="shared" si="101"/>
        <v/>
      </c>
      <c r="E961" s="45"/>
      <c r="F961" s="28" t="str">
        <f>IFERROR(VLOOKUP(E961,Category!$D$2:$E$600,2,FALSE),"")</f>
        <v/>
      </c>
      <c r="G961" s="65"/>
      <c r="H961" s="56"/>
      <c r="I961" s="66"/>
      <c r="J961" s="67"/>
      <c r="K961" s="67"/>
      <c r="L961" s="67"/>
      <c r="M961" s="29" t="str">
        <f t="shared" si="102"/>
        <v/>
      </c>
      <c r="N961" s="29" t="str">
        <f t="shared" si="103"/>
        <v/>
      </c>
      <c r="O961" s="29" t="str">
        <f t="shared" si="98"/>
        <v/>
      </c>
      <c r="P961" s="61"/>
      <c r="Q961" s="61"/>
      <c r="R961" s="61"/>
      <c r="S961" s="45"/>
      <c r="T961" s="29" t="str">
        <f t="shared" si="99"/>
        <v/>
      </c>
    </row>
    <row r="962" spans="1:20">
      <c r="A962" s="10" t="str">
        <f t="shared" si="104"/>
        <v/>
      </c>
      <c r="B962" s="63"/>
      <c r="C962" s="25" t="str">
        <f t="shared" si="100"/>
        <v/>
      </c>
      <c r="D962" s="25" t="str">
        <f t="shared" si="101"/>
        <v/>
      </c>
      <c r="E962" s="45"/>
      <c r="F962" s="28" t="str">
        <f>IFERROR(VLOOKUP(E962,Category!$D$2:$E$600,2,FALSE),"")</f>
        <v/>
      </c>
      <c r="G962" s="65"/>
      <c r="H962" s="56"/>
      <c r="I962" s="66"/>
      <c r="J962" s="67"/>
      <c r="K962" s="67"/>
      <c r="L962" s="67"/>
      <c r="M962" s="29" t="str">
        <f t="shared" si="102"/>
        <v/>
      </c>
      <c r="N962" s="29" t="str">
        <f t="shared" si="103"/>
        <v/>
      </c>
      <c r="O962" s="29" t="str">
        <f t="shared" ref="O962:O1025" si="105">IF(H962*I962=0,"",H962*I962)</f>
        <v/>
      </c>
      <c r="P962" s="61"/>
      <c r="Q962" s="61"/>
      <c r="R962" s="61"/>
      <c r="S962" s="45"/>
      <c r="T962" s="29" t="str">
        <f t="shared" ref="T962:T1025" si="106">IF(R962="paid",(H962*I962)-(G962*H962),"")</f>
        <v/>
      </c>
    </row>
    <row r="963" spans="1:20">
      <c r="A963" s="10" t="str">
        <f t="shared" si="104"/>
        <v/>
      </c>
      <c r="B963" s="63"/>
      <c r="C963" s="25" t="str">
        <f t="shared" ref="C963:C1026" si="107">IF(B963=0,"",TEXT(B963,"mmmm"))</f>
        <v/>
      </c>
      <c r="D963" s="25" t="str">
        <f t="shared" ref="D963:D1026" si="108">IF(B963=0,"",TEXT(B963,"yyyy"))</f>
        <v/>
      </c>
      <c r="E963" s="45"/>
      <c r="F963" s="28" t="str">
        <f>IFERROR(VLOOKUP(E963,Category!$D$2:$E$600,2,FALSE),"")</f>
        <v/>
      </c>
      <c r="G963" s="65"/>
      <c r="H963" s="56"/>
      <c r="I963" s="66"/>
      <c r="J963" s="67"/>
      <c r="K963" s="67"/>
      <c r="L963" s="67"/>
      <c r="M963" s="29" t="str">
        <f t="shared" ref="M963:M1026" si="109">IFERROR(IF(O963&gt;0,IF(R963="Paid","",O963-J963),""),"")</f>
        <v/>
      </c>
      <c r="N963" s="29" t="str">
        <f t="shared" ref="N963:N1026" si="110">IF(J963&gt;0,IF(R963="Paid",O963-J963,""),"")</f>
        <v/>
      </c>
      <c r="O963" s="29" t="str">
        <f t="shared" si="105"/>
        <v/>
      </c>
      <c r="P963" s="61"/>
      <c r="Q963" s="61"/>
      <c r="R963" s="61"/>
      <c r="S963" s="45"/>
      <c r="T963" s="29" t="str">
        <f t="shared" si="106"/>
        <v/>
      </c>
    </row>
    <row r="964" spans="1:20">
      <c r="A964" s="10" t="str">
        <f t="shared" ref="A964:A1027" si="111">IF(E964&gt;0,A963+1,"")</f>
        <v/>
      </c>
      <c r="B964" s="63"/>
      <c r="C964" s="25" t="str">
        <f t="shared" si="107"/>
        <v/>
      </c>
      <c r="D964" s="25" t="str">
        <f t="shared" si="108"/>
        <v/>
      </c>
      <c r="E964" s="45"/>
      <c r="F964" s="28" t="str">
        <f>IFERROR(VLOOKUP(E964,Category!$D$2:$E$600,2,FALSE),"")</f>
        <v/>
      </c>
      <c r="G964" s="65"/>
      <c r="H964" s="56"/>
      <c r="I964" s="66"/>
      <c r="J964" s="67"/>
      <c r="K964" s="67"/>
      <c r="L964" s="67"/>
      <c r="M964" s="29" t="str">
        <f t="shared" si="109"/>
        <v/>
      </c>
      <c r="N964" s="29" t="str">
        <f t="shared" si="110"/>
        <v/>
      </c>
      <c r="O964" s="29" t="str">
        <f t="shared" si="105"/>
        <v/>
      </c>
      <c r="P964" s="61"/>
      <c r="Q964" s="61"/>
      <c r="R964" s="61"/>
      <c r="S964" s="45"/>
      <c r="T964" s="29" t="str">
        <f t="shared" si="106"/>
        <v/>
      </c>
    </row>
    <row r="965" spans="1:20">
      <c r="A965" s="10" t="str">
        <f t="shared" si="111"/>
        <v/>
      </c>
      <c r="B965" s="63"/>
      <c r="C965" s="25" t="str">
        <f t="shared" si="107"/>
        <v/>
      </c>
      <c r="D965" s="25" t="str">
        <f t="shared" si="108"/>
        <v/>
      </c>
      <c r="E965" s="45"/>
      <c r="F965" s="28" t="str">
        <f>IFERROR(VLOOKUP(E965,Category!$D$2:$E$600,2,FALSE),"")</f>
        <v/>
      </c>
      <c r="G965" s="65"/>
      <c r="H965" s="56"/>
      <c r="I965" s="66"/>
      <c r="J965" s="67"/>
      <c r="K965" s="67"/>
      <c r="L965" s="67"/>
      <c r="M965" s="29" t="str">
        <f t="shared" si="109"/>
        <v/>
      </c>
      <c r="N965" s="29" t="str">
        <f t="shared" si="110"/>
        <v/>
      </c>
      <c r="O965" s="29" t="str">
        <f t="shared" si="105"/>
        <v/>
      </c>
      <c r="P965" s="61"/>
      <c r="Q965" s="61"/>
      <c r="R965" s="61"/>
      <c r="S965" s="45"/>
      <c r="T965" s="29" t="str">
        <f t="shared" si="106"/>
        <v/>
      </c>
    </row>
    <row r="966" spans="1:20">
      <c r="A966" s="10" t="str">
        <f t="shared" si="111"/>
        <v/>
      </c>
      <c r="B966" s="63"/>
      <c r="C966" s="25" t="str">
        <f t="shared" si="107"/>
        <v/>
      </c>
      <c r="D966" s="25" t="str">
        <f t="shared" si="108"/>
        <v/>
      </c>
      <c r="E966" s="45"/>
      <c r="F966" s="28" t="str">
        <f>IFERROR(VLOOKUP(E966,Category!$D$2:$E$600,2,FALSE),"")</f>
        <v/>
      </c>
      <c r="G966" s="65"/>
      <c r="H966" s="56"/>
      <c r="I966" s="66"/>
      <c r="J966" s="67"/>
      <c r="K966" s="67"/>
      <c r="L966" s="67"/>
      <c r="M966" s="29" t="str">
        <f t="shared" si="109"/>
        <v/>
      </c>
      <c r="N966" s="29" t="str">
        <f t="shared" si="110"/>
        <v/>
      </c>
      <c r="O966" s="29" t="str">
        <f t="shared" si="105"/>
        <v/>
      </c>
      <c r="P966" s="61"/>
      <c r="Q966" s="61"/>
      <c r="R966" s="61"/>
      <c r="S966" s="45"/>
      <c r="T966" s="29" t="str">
        <f t="shared" si="106"/>
        <v/>
      </c>
    </row>
    <row r="967" spans="1:20">
      <c r="A967" s="10" t="str">
        <f t="shared" si="111"/>
        <v/>
      </c>
      <c r="B967" s="63"/>
      <c r="C967" s="25" t="str">
        <f t="shared" si="107"/>
        <v/>
      </c>
      <c r="D967" s="25" t="str">
        <f t="shared" si="108"/>
        <v/>
      </c>
      <c r="E967" s="45"/>
      <c r="F967" s="28" t="str">
        <f>IFERROR(VLOOKUP(E967,Category!$D$2:$E$600,2,FALSE),"")</f>
        <v/>
      </c>
      <c r="G967" s="65"/>
      <c r="H967" s="56"/>
      <c r="I967" s="66"/>
      <c r="J967" s="67"/>
      <c r="K967" s="67"/>
      <c r="L967" s="67"/>
      <c r="M967" s="29" t="str">
        <f t="shared" si="109"/>
        <v/>
      </c>
      <c r="N967" s="29" t="str">
        <f t="shared" si="110"/>
        <v/>
      </c>
      <c r="O967" s="29" t="str">
        <f t="shared" si="105"/>
        <v/>
      </c>
      <c r="P967" s="61"/>
      <c r="Q967" s="61"/>
      <c r="R967" s="61"/>
      <c r="S967" s="45"/>
      <c r="T967" s="29" t="str">
        <f t="shared" si="106"/>
        <v/>
      </c>
    </row>
    <row r="968" spans="1:20">
      <c r="A968" s="10" t="str">
        <f t="shared" si="111"/>
        <v/>
      </c>
      <c r="B968" s="63"/>
      <c r="C968" s="25" t="str">
        <f t="shared" si="107"/>
        <v/>
      </c>
      <c r="D968" s="25" t="str">
        <f t="shared" si="108"/>
        <v/>
      </c>
      <c r="E968" s="45"/>
      <c r="F968" s="28" t="str">
        <f>IFERROR(VLOOKUP(E968,Category!$D$2:$E$600,2,FALSE),"")</f>
        <v/>
      </c>
      <c r="G968" s="65"/>
      <c r="H968" s="56"/>
      <c r="I968" s="66"/>
      <c r="J968" s="67"/>
      <c r="K968" s="67"/>
      <c r="L968" s="67"/>
      <c r="M968" s="29" t="str">
        <f t="shared" si="109"/>
        <v/>
      </c>
      <c r="N968" s="29" t="str">
        <f t="shared" si="110"/>
        <v/>
      </c>
      <c r="O968" s="29" t="str">
        <f t="shared" si="105"/>
        <v/>
      </c>
      <c r="P968" s="61"/>
      <c r="Q968" s="61"/>
      <c r="R968" s="61"/>
      <c r="S968" s="45"/>
      <c r="T968" s="29" t="str">
        <f t="shared" si="106"/>
        <v/>
      </c>
    </row>
    <row r="969" spans="1:20">
      <c r="A969" s="10" t="str">
        <f t="shared" si="111"/>
        <v/>
      </c>
      <c r="B969" s="63"/>
      <c r="C969" s="25" t="str">
        <f t="shared" si="107"/>
        <v/>
      </c>
      <c r="D969" s="25" t="str">
        <f t="shared" si="108"/>
        <v/>
      </c>
      <c r="E969" s="45"/>
      <c r="F969" s="28" t="str">
        <f>IFERROR(VLOOKUP(E969,Category!$D$2:$E$600,2,FALSE),"")</f>
        <v/>
      </c>
      <c r="G969" s="65"/>
      <c r="H969" s="56"/>
      <c r="I969" s="66"/>
      <c r="J969" s="67"/>
      <c r="K969" s="67"/>
      <c r="L969" s="67"/>
      <c r="M969" s="29" t="str">
        <f t="shared" si="109"/>
        <v/>
      </c>
      <c r="N969" s="29" t="str">
        <f t="shared" si="110"/>
        <v/>
      </c>
      <c r="O969" s="29" t="str">
        <f t="shared" si="105"/>
        <v/>
      </c>
      <c r="P969" s="61"/>
      <c r="Q969" s="61"/>
      <c r="R969" s="61"/>
      <c r="S969" s="45"/>
      <c r="T969" s="29" t="str">
        <f t="shared" si="106"/>
        <v/>
      </c>
    </row>
    <row r="970" spans="1:20">
      <c r="A970" s="10" t="str">
        <f t="shared" si="111"/>
        <v/>
      </c>
      <c r="B970" s="63"/>
      <c r="C970" s="25" t="str">
        <f t="shared" si="107"/>
        <v/>
      </c>
      <c r="D970" s="25" t="str">
        <f t="shared" si="108"/>
        <v/>
      </c>
      <c r="E970" s="45"/>
      <c r="F970" s="28" t="str">
        <f>IFERROR(VLOOKUP(E970,Category!$D$2:$E$600,2,FALSE),"")</f>
        <v/>
      </c>
      <c r="G970" s="65"/>
      <c r="H970" s="56"/>
      <c r="I970" s="66"/>
      <c r="J970" s="67"/>
      <c r="K970" s="67"/>
      <c r="L970" s="67"/>
      <c r="M970" s="29" t="str">
        <f t="shared" si="109"/>
        <v/>
      </c>
      <c r="N970" s="29" t="str">
        <f t="shared" si="110"/>
        <v/>
      </c>
      <c r="O970" s="29" t="str">
        <f t="shared" si="105"/>
        <v/>
      </c>
      <c r="P970" s="61"/>
      <c r="Q970" s="61"/>
      <c r="R970" s="61"/>
      <c r="S970" s="45"/>
      <c r="T970" s="29" t="str">
        <f t="shared" si="106"/>
        <v/>
      </c>
    </row>
    <row r="971" spans="1:20">
      <c r="A971" s="10" t="str">
        <f t="shared" si="111"/>
        <v/>
      </c>
      <c r="B971" s="63"/>
      <c r="C971" s="25" t="str">
        <f t="shared" si="107"/>
        <v/>
      </c>
      <c r="D971" s="25" t="str">
        <f t="shared" si="108"/>
        <v/>
      </c>
      <c r="E971" s="45"/>
      <c r="F971" s="28" t="str">
        <f>IFERROR(VLOOKUP(E971,Category!$D$2:$E$600,2,FALSE),"")</f>
        <v/>
      </c>
      <c r="G971" s="65"/>
      <c r="H971" s="56"/>
      <c r="I971" s="66"/>
      <c r="J971" s="67"/>
      <c r="K971" s="67"/>
      <c r="L971" s="67"/>
      <c r="M971" s="29" t="str">
        <f t="shared" si="109"/>
        <v/>
      </c>
      <c r="N971" s="29" t="str">
        <f t="shared" si="110"/>
        <v/>
      </c>
      <c r="O971" s="29" t="str">
        <f t="shared" si="105"/>
        <v/>
      </c>
      <c r="P971" s="61"/>
      <c r="Q971" s="61"/>
      <c r="R971" s="61"/>
      <c r="S971" s="45"/>
      <c r="T971" s="29" t="str">
        <f t="shared" si="106"/>
        <v/>
      </c>
    </row>
    <row r="972" spans="1:20">
      <c r="A972" s="10" t="str">
        <f t="shared" si="111"/>
        <v/>
      </c>
      <c r="B972" s="63"/>
      <c r="C972" s="25" t="str">
        <f t="shared" si="107"/>
        <v/>
      </c>
      <c r="D972" s="25" t="str">
        <f t="shared" si="108"/>
        <v/>
      </c>
      <c r="E972" s="45"/>
      <c r="F972" s="28" t="str">
        <f>IFERROR(VLOOKUP(E972,Category!$D$2:$E$600,2,FALSE),"")</f>
        <v/>
      </c>
      <c r="G972" s="65"/>
      <c r="H972" s="56"/>
      <c r="I972" s="66"/>
      <c r="J972" s="67"/>
      <c r="K972" s="67"/>
      <c r="L972" s="67"/>
      <c r="M972" s="29" t="str">
        <f t="shared" si="109"/>
        <v/>
      </c>
      <c r="N972" s="29" t="str">
        <f t="shared" si="110"/>
        <v/>
      </c>
      <c r="O972" s="29" t="str">
        <f t="shared" si="105"/>
        <v/>
      </c>
      <c r="P972" s="61"/>
      <c r="Q972" s="61"/>
      <c r="R972" s="61"/>
      <c r="S972" s="45"/>
      <c r="T972" s="29" t="str">
        <f t="shared" si="106"/>
        <v/>
      </c>
    </row>
    <row r="973" spans="1:20">
      <c r="A973" s="10" t="str">
        <f t="shared" si="111"/>
        <v/>
      </c>
      <c r="B973" s="63"/>
      <c r="C973" s="25" t="str">
        <f t="shared" si="107"/>
        <v/>
      </c>
      <c r="D973" s="25" t="str">
        <f t="shared" si="108"/>
        <v/>
      </c>
      <c r="E973" s="45"/>
      <c r="F973" s="28" t="str">
        <f>IFERROR(VLOOKUP(E973,Category!$D$2:$E$600,2,FALSE),"")</f>
        <v/>
      </c>
      <c r="G973" s="65"/>
      <c r="H973" s="56"/>
      <c r="I973" s="66"/>
      <c r="J973" s="67"/>
      <c r="K973" s="67"/>
      <c r="L973" s="67"/>
      <c r="M973" s="29" t="str">
        <f t="shared" si="109"/>
        <v/>
      </c>
      <c r="N973" s="29" t="str">
        <f t="shared" si="110"/>
        <v/>
      </c>
      <c r="O973" s="29" t="str">
        <f t="shared" si="105"/>
        <v/>
      </c>
      <c r="P973" s="61"/>
      <c r="Q973" s="61"/>
      <c r="R973" s="61"/>
      <c r="S973" s="45"/>
      <c r="T973" s="29" t="str">
        <f t="shared" si="106"/>
        <v/>
      </c>
    </row>
    <row r="974" spans="1:20">
      <c r="A974" s="10" t="str">
        <f t="shared" si="111"/>
        <v/>
      </c>
      <c r="B974" s="63"/>
      <c r="C974" s="25" t="str">
        <f t="shared" si="107"/>
        <v/>
      </c>
      <c r="D974" s="25" t="str">
        <f t="shared" si="108"/>
        <v/>
      </c>
      <c r="E974" s="45"/>
      <c r="F974" s="28" t="str">
        <f>IFERROR(VLOOKUP(E974,Category!$D$2:$E$600,2,FALSE),"")</f>
        <v/>
      </c>
      <c r="G974" s="65"/>
      <c r="H974" s="56"/>
      <c r="I974" s="66"/>
      <c r="J974" s="67"/>
      <c r="K974" s="67"/>
      <c r="L974" s="67"/>
      <c r="M974" s="29" t="str">
        <f t="shared" si="109"/>
        <v/>
      </c>
      <c r="N974" s="29" t="str">
        <f t="shared" si="110"/>
        <v/>
      </c>
      <c r="O974" s="29" t="str">
        <f t="shared" si="105"/>
        <v/>
      </c>
      <c r="P974" s="61"/>
      <c r="Q974" s="61"/>
      <c r="R974" s="61"/>
      <c r="S974" s="45"/>
      <c r="T974" s="29" t="str">
        <f t="shared" si="106"/>
        <v/>
      </c>
    </row>
    <row r="975" spans="1:20">
      <c r="A975" s="10" t="str">
        <f t="shared" si="111"/>
        <v/>
      </c>
      <c r="B975" s="63"/>
      <c r="C975" s="25" t="str">
        <f t="shared" si="107"/>
        <v/>
      </c>
      <c r="D975" s="25" t="str">
        <f t="shared" si="108"/>
        <v/>
      </c>
      <c r="E975" s="45"/>
      <c r="F975" s="28" t="str">
        <f>IFERROR(VLOOKUP(E975,Category!$D$2:$E$600,2,FALSE),"")</f>
        <v/>
      </c>
      <c r="G975" s="65"/>
      <c r="H975" s="56"/>
      <c r="I975" s="66"/>
      <c r="J975" s="67"/>
      <c r="K975" s="67"/>
      <c r="L975" s="67"/>
      <c r="M975" s="29" t="str">
        <f t="shared" si="109"/>
        <v/>
      </c>
      <c r="N975" s="29" t="str">
        <f t="shared" si="110"/>
        <v/>
      </c>
      <c r="O975" s="29" t="str">
        <f t="shared" si="105"/>
        <v/>
      </c>
      <c r="P975" s="61"/>
      <c r="Q975" s="61"/>
      <c r="R975" s="61"/>
      <c r="S975" s="45"/>
      <c r="T975" s="29" t="str">
        <f t="shared" si="106"/>
        <v/>
      </c>
    </row>
    <row r="976" spans="1:20">
      <c r="A976" s="10" t="str">
        <f t="shared" si="111"/>
        <v/>
      </c>
      <c r="B976" s="63"/>
      <c r="C976" s="25" t="str">
        <f t="shared" si="107"/>
        <v/>
      </c>
      <c r="D976" s="25" t="str">
        <f t="shared" si="108"/>
        <v/>
      </c>
      <c r="E976" s="45"/>
      <c r="F976" s="28" t="str">
        <f>IFERROR(VLOOKUP(E976,Category!$D$2:$E$600,2,FALSE),"")</f>
        <v/>
      </c>
      <c r="G976" s="65"/>
      <c r="H976" s="56"/>
      <c r="I976" s="66"/>
      <c r="J976" s="67"/>
      <c r="K976" s="67"/>
      <c r="L976" s="67"/>
      <c r="M976" s="29" t="str">
        <f t="shared" si="109"/>
        <v/>
      </c>
      <c r="N976" s="29" t="str">
        <f t="shared" si="110"/>
        <v/>
      </c>
      <c r="O976" s="29" t="str">
        <f t="shared" si="105"/>
        <v/>
      </c>
      <c r="P976" s="61"/>
      <c r="Q976" s="61"/>
      <c r="R976" s="61"/>
      <c r="S976" s="45"/>
      <c r="T976" s="29" t="str">
        <f t="shared" si="106"/>
        <v/>
      </c>
    </row>
    <row r="977" spans="1:20">
      <c r="A977" s="10" t="str">
        <f t="shared" si="111"/>
        <v/>
      </c>
      <c r="B977" s="63"/>
      <c r="C977" s="25" t="str">
        <f t="shared" si="107"/>
        <v/>
      </c>
      <c r="D977" s="25" t="str">
        <f t="shared" si="108"/>
        <v/>
      </c>
      <c r="E977" s="45"/>
      <c r="F977" s="28" t="str">
        <f>IFERROR(VLOOKUP(E977,Category!$D$2:$E$600,2,FALSE),"")</f>
        <v/>
      </c>
      <c r="G977" s="65"/>
      <c r="H977" s="56"/>
      <c r="I977" s="66"/>
      <c r="J977" s="67"/>
      <c r="K977" s="67"/>
      <c r="L977" s="67"/>
      <c r="M977" s="29" t="str">
        <f t="shared" si="109"/>
        <v/>
      </c>
      <c r="N977" s="29" t="str">
        <f t="shared" si="110"/>
        <v/>
      </c>
      <c r="O977" s="29" t="str">
        <f t="shared" si="105"/>
        <v/>
      </c>
      <c r="P977" s="61"/>
      <c r="Q977" s="61"/>
      <c r="R977" s="61"/>
      <c r="S977" s="45"/>
      <c r="T977" s="29" t="str">
        <f t="shared" si="106"/>
        <v/>
      </c>
    </row>
    <row r="978" spans="1:20">
      <c r="A978" s="10" t="str">
        <f t="shared" si="111"/>
        <v/>
      </c>
      <c r="B978" s="63"/>
      <c r="C978" s="25" t="str">
        <f t="shared" si="107"/>
        <v/>
      </c>
      <c r="D978" s="25" t="str">
        <f t="shared" si="108"/>
        <v/>
      </c>
      <c r="E978" s="45"/>
      <c r="F978" s="28" t="str">
        <f>IFERROR(VLOOKUP(E978,Category!$D$2:$E$600,2,FALSE),"")</f>
        <v/>
      </c>
      <c r="G978" s="65"/>
      <c r="H978" s="56"/>
      <c r="I978" s="66"/>
      <c r="J978" s="67"/>
      <c r="K978" s="67"/>
      <c r="L978" s="67"/>
      <c r="M978" s="29" t="str">
        <f t="shared" si="109"/>
        <v/>
      </c>
      <c r="N978" s="29" t="str">
        <f t="shared" si="110"/>
        <v/>
      </c>
      <c r="O978" s="29" t="str">
        <f t="shared" si="105"/>
        <v/>
      </c>
      <c r="P978" s="61"/>
      <c r="Q978" s="61"/>
      <c r="R978" s="61"/>
      <c r="S978" s="45"/>
      <c r="T978" s="29" t="str">
        <f t="shared" si="106"/>
        <v/>
      </c>
    </row>
    <row r="979" spans="1:20">
      <c r="A979" s="10" t="str">
        <f t="shared" si="111"/>
        <v/>
      </c>
      <c r="B979" s="63"/>
      <c r="C979" s="25" t="str">
        <f t="shared" si="107"/>
        <v/>
      </c>
      <c r="D979" s="25" t="str">
        <f t="shared" si="108"/>
        <v/>
      </c>
      <c r="E979" s="45"/>
      <c r="F979" s="28" t="str">
        <f>IFERROR(VLOOKUP(E979,Category!$D$2:$E$600,2,FALSE),"")</f>
        <v/>
      </c>
      <c r="G979" s="65"/>
      <c r="H979" s="56"/>
      <c r="I979" s="66"/>
      <c r="J979" s="67"/>
      <c r="K979" s="67"/>
      <c r="L979" s="67"/>
      <c r="M979" s="29" t="str">
        <f t="shared" si="109"/>
        <v/>
      </c>
      <c r="N979" s="29" t="str">
        <f t="shared" si="110"/>
        <v/>
      </c>
      <c r="O979" s="29" t="str">
        <f t="shared" si="105"/>
        <v/>
      </c>
      <c r="P979" s="61"/>
      <c r="Q979" s="61"/>
      <c r="R979" s="61"/>
      <c r="S979" s="45"/>
      <c r="T979" s="29" t="str">
        <f t="shared" si="106"/>
        <v/>
      </c>
    </row>
    <row r="980" spans="1:20">
      <c r="A980" s="10" t="str">
        <f t="shared" si="111"/>
        <v/>
      </c>
      <c r="B980" s="63"/>
      <c r="C980" s="25" t="str">
        <f t="shared" si="107"/>
        <v/>
      </c>
      <c r="D980" s="25" t="str">
        <f t="shared" si="108"/>
        <v/>
      </c>
      <c r="E980" s="45"/>
      <c r="F980" s="28" t="str">
        <f>IFERROR(VLOOKUP(E980,Category!$D$2:$E$600,2,FALSE),"")</f>
        <v/>
      </c>
      <c r="G980" s="65"/>
      <c r="H980" s="56"/>
      <c r="I980" s="66"/>
      <c r="J980" s="67"/>
      <c r="K980" s="67"/>
      <c r="L980" s="67"/>
      <c r="M980" s="29" t="str">
        <f t="shared" si="109"/>
        <v/>
      </c>
      <c r="N980" s="29" t="str">
        <f t="shared" si="110"/>
        <v/>
      </c>
      <c r="O980" s="29" t="str">
        <f t="shared" si="105"/>
        <v/>
      </c>
      <c r="P980" s="61"/>
      <c r="Q980" s="61"/>
      <c r="R980" s="61"/>
      <c r="S980" s="45"/>
      <c r="T980" s="29" t="str">
        <f t="shared" si="106"/>
        <v/>
      </c>
    </row>
    <row r="981" spans="1:20">
      <c r="A981" s="10" t="str">
        <f t="shared" si="111"/>
        <v/>
      </c>
      <c r="B981" s="63"/>
      <c r="C981" s="25" t="str">
        <f t="shared" si="107"/>
        <v/>
      </c>
      <c r="D981" s="25" t="str">
        <f t="shared" si="108"/>
        <v/>
      </c>
      <c r="E981" s="45"/>
      <c r="F981" s="28" t="str">
        <f>IFERROR(VLOOKUP(E981,Category!$D$2:$E$600,2,FALSE),"")</f>
        <v/>
      </c>
      <c r="G981" s="65"/>
      <c r="H981" s="56"/>
      <c r="I981" s="66"/>
      <c r="J981" s="67"/>
      <c r="K981" s="67"/>
      <c r="L981" s="67"/>
      <c r="M981" s="29" t="str">
        <f t="shared" si="109"/>
        <v/>
      </c>
      <c r="N981" s="29" t="str">
        <f t="shared" si="110"/>
        <v/>
      </c>
      <c r="O981" s="29" t="str">
        <f t="shared" si="105"/>
        <v/>
      </c>
      <c r="P981" s="61"/>
      <c r="Q981" s="61"/>
      <c r="R981" s="61"/>
      <c r="S981" s="45"/>
      <c r="T981" s="29" t="str">
        <f t="shared" si="106"/>
        <v/>
      </c>
    </row>
    <row r="982" spans="1:20">
      <c r="A982" s="10" t="str">
        <f t="shared" si="111"/>
        <v/>
      </c>
      <c r="B982" s="63"/>
      <c r="C982" s="25" t="str">
        <f t="shared" si="107"/>
        <v/>
      </c>
      <c r="D982" s="25" t="str">
        <f t="shared" si="108"/>
        <v/>
      </c>
      <c r="E982" s="45"/>
      <c r="F982" s="28" t="str">
        <f>IFERROR(VLOOKUP(E982,Category!$D$2:$E$600,2,FALSE),"")</f>
        <v/>
      </c>
      <c r="G982" s="65"/>
      <c r="H982" s="56"/>
      <c r="I982" s="66"/>
      <c r="J982" s="67"/>
      <c r="K982" s="67"/>
      <c r="L982" s="67"/>
      <c r="M982" s="29" t="str">
        <f t="shared" si="109"/>
        <v/>
      </c>
      <c r="N982" s="29" t="str">
        <f t="shared" si="110"/>
        <v/>
      </c>
      <c r="O982" s="29" t="str">
        <f t="shared" si="105"/>
        <v/>
      </c>
      <c r="P982" s="61"/>
      <c r="Q982" s="61"/>
      <c r="R982" s="61"/>
      <c r="S982" s="45"/>
      <c r="T982" s="29" t="str">
        <f t="shared" si="106"/>
        <v/>
      </c>
    </row>
    <row r="983" spans="1:20">
      <c r="A983" s="10" t="str">
        <f t="shared" si="111"/>
        <v/>
      </c>
      <c r="B983" s="63"/>
      <c r="C983" s="25" t="str">
        <f t="shared" si="107"/>
        <v/>
      </c>
      <c r="D983" s="25" t="str">
        <f t="shared" si="108"/>
        <v/>
      </c>
      <c r="E983" s="45"/>
      <c r="F983" s="28" t="str">
        <f>IFERROR(VLOOKUP(E983,Category!$D$2:$E$600,2,FALSE),"")</f>
        <v/>
      </c>
      <c r="G983" s="65"/>
      <c r="H983" s="56"/>
      <c r="I983" s="66"/>
      <c r="J983" s="67"/>
      <c r="K983" s="67"/>
      <c r="L983" s="67"/>
      <c r="M983" s="29" t="str">
        <f t="shared" si="109"/>
        <v/>
      </c>
      <c r="N983" s="29" t="str">
        <f t="shared" si="110"/>
        <v/>
      </c>
      <c r="O983" s="29" t="str">
        <f t="shared" si="105"/>
        <v/>
      </c>
      <c r="P983" s="61"/>
      <c r="Q983" s="61"/>
      <c r="R983" s="61"/>
      <c r="S983" s="45"/>
      <c r="T983" s="29" t="str">
        <f t="shared" si="106"/>
        <v/>
      </c>
    </row>
    <row r="984" spans="1:20">
      <c r="A984" s="10" t="str">
        <f t="shared" si="111"/>
        <v/>
      </c>
      <c r="B984" s="63"/>
      <c r="C984" s="25" t="str">
        <f t="shared" si="107"/>
        <v/>
      </c>
      <c r="D984" s="25" t="str">
        <f t="shared" si="108"/>
        <v/>
      </c>
      <c r="E984" s="45"/>
      <c r="F984" s="28" t="str">
        <f>IFERROR(VLOOKUP(E984,Category!$D$2:$E$600,2,FALSE),"")</f>
        <v/>
      </c>
      <c r="G984" s="65"/>
      <c r="H984" s="56"/>
      <c r="I984" s="66"/>
      <c r="J984" s="67"/>
      <c r="K984" s="67"/>
      <c r="L984" s="67"/>
      <c r="M984" s="29" t="str">
        <f t="shared" si="109"/>
        <v/>
      </c>
      <c r="N984" s="29" t="str">
        <f t="shared" si="110"/>
        <v/>
      </c>
      <c r="O984" s="29" t="str">
        <f t="shared" si="105"/>
        <v/>
      </c>
      <c r="P984" s="61"/>
      <c r="Q984" s="61"/>
      <c r="R984" s="61"/>
      <c r="S984" s="45"/>
      <c r="T984" s="29" t="str">
        <f t="shared" si="106"/>
        <v/>
      </c>
    </row>
    <row r="985" spans="1:20">
      <c r="A985" s="10" t="str">
        <f t="shared" si="111"/>
        <v/>
      </c>
      <c r="B985" s="63"/>
      <c r="C985" s="25" t="str">
        <f t="shared" si="107"/>
        <v/>
      </c>
      <c r="D985" s="25" t="str">
        <f t="shared" si="108"/>
        <v/>
      </c>
      <c r="E985" s="45"/>
      <c r="F985" s="28" t="str">
        <f>IFERROR(VLOOKUP(E985,Category!$D$2:$E$600,2,FALSE),"")</f>
        <v/>
      </c>
      <c r="G985" s="65"/>
      <c r="H985" s="56"/>
      <c r="I985" s="66"/>
      <c r="J985" s="67"/>
      <c r="K985" s="67"/>
      <c r="L985" s="67"/>
      <c r="M985" s="29" t="str">
        <f t="shared" si="109"/>
        <v/>
      </c>
      <c r="N985" s="29" t="str">
        <f t="shared" si="110"/>
        <v/>
      </c>
      <c r="O985" s="29" t="str">
        <f t="shared" si="105"/>
        <v/>
      </c>
      <c r="P985" s="61"/>
      <c r="Q985" s="61"/>
      <c r="R985" s="61"/>
      <c r="S985" s="45"/>
      <c r="T985" s="29" t="str">
        <f t="shared" si="106"/>
        <v/>
      </c>
    </row>
    <row r="986" spans="1:20">
      <c r="A986" s="10" t="str">
        <f t="shared" si="111"/>
        <v/>
      </c>
      <c r="B986" s="63"/>
      <c r="C986" s="25" t="str">
        <f t="shared" si="107"/>
        <v/>
      </c>
      <c r="D986" s="25" t="str">
        <f t="shared" si="108"/>
        <v/>
      </c>
      <c r="E986" s="45"/>
      <c r="F986" s="28" t="str">
        <f>IFERROR(VLOOKUP(E986,Category!$D$2:$E$600,2,FALSE),"")</f>
        <v/>
      </c>
      <c r="G986" s="65"/>
      <c r="H986" s="56"/>
      <c r="I986" s="66"/>
      <c r="J986" s="67"/>
      <c r="K986" s="67"/>
      <c r="L986" s="67"/>
      <c r="M986" s="29" t="str">
        <f t="shared" si="109"/>
        <v/>
      </c>
      <c r="N986" s="29" t="str">
        <f t="shared" si="110"/>
        <v/>
      </c>
      <c r="O986" s="29" t="str">
        <f t="shared" si="105"/>
        <v/>
      </c>
      <c r="P986" s="61"/>
      <c r="Q986" s="61"/>
      <c r="R986" s="61"/>
      <c r="S986" s="45"/>
      <c r="T986" s="29" t="str">
        <f t="shared" si="106"/>
        <v/>
      </c>
    </row>
    <row r="987" spans="1:20">
      <c r="A987" s="10" t="str">
        <f t="shared" si="111"/>
        <v/>
      </c>
      <c r="B987" s="63"/>
      <c r="C987" s="25" t="str">
        <f t="shared" si="107"/>
        <v/>
      </c>
      <c r="D987" s="25" t="str">
        <f t="shared" si="108"/>
        <v/>
      </c>
      <c r="E987" s="45"/>
      <c r="F987" s="28" t="str">
        <f>IFERROR(VLOOKUP(E987,Category!$D$2:$E$600,2,FALSE),"")</f>
        <v/>
      </c>
      <c r="G987" s="65"/>
      <c r="H987" s="56"/>
      <c r="I987" s="66"/>
      <c r="J987" s="67"/>
      <c r="K987" s="67"/>
      <c r="L987" s="67"/>
      <c r="M987" s="29" t="str">
        <f t="shared" si="109"/>
        <v/>
      </c>
      <c r="N987" s="29" t="str">
        <f t="shared" si="110"/>
        <v/>
      </c>
      <c r="O987" s="29" t="str">
        <f t="shared" si="105"/>
        <v/>
      </c>
      <c r="P987" s="61"/>
      <c r="Q987" s="61"/>
      <c r="R987" s="61"/>
      <c r="S987" s="45"/>
      <c r="T987" s="29" t="str">
        <f t="shared" si="106"/>
        <v/>
      </c>
    </row>
    <row r="988" spans="1:20">
      <c r="A988" s="10" t="str">
        <f t="shared" si="111"/>
        <v/>
      </c>
      <c r="B988" s="63"/>
      <c r="C988" s="25" t="str">
        <f t="shared" si="107"/>
        <v/>
      </c>
      <c r="D988" s="25" t="str">
        <f t="shared" si="108"/>
        <v/>
      </c>
      <c r="E988" s="45"/>
      <c r="F988" s="28" t="str">
        <f>IFERROR(VLOOKUP(E988,Category!$D$2:$E$600,2,FALSE),"")</f>
        <v/>
      </c>
      <c r="G988" s="65"/>
      <c r="H988" s="56"/>
      <c r="I988" s="66"/>
      <c r="J988" s="67"/>
      <c r="K988" s="67"/>
      <c r="L988" s="67"/>
      <c r="M988" s="29" t="str">
        <f t="shared" si="109"/>
        <v/>
      </c>
      <c r="N988" s="29" t="str">
        <f t="shared" si="110"/>
        <v/>
      </c>
      <c r="O988" s="29" t="str">
        <f t="shared" si="105"/>
        <v/>
      </c>
      <c r="P988" s="61"/>
      <c r="Q988" s="61"/>
      <c r="R988" s="61"/>
      <c r="S988" s="45"/>
      <c r="T988" s="29" t="str">
        <f t="shared" si="106"/>
        <v/>
      </c>
    </row>
    <row r="989" spans="1:20">
      <c r="A989" s="10" t="str">
        <f t="shared" si="111"/>
        <v/>
      </c>
      <c r="B989" s="63"/>
      <c r="C989" s="25" t="str">
        <f t="shared" si="107"/>
        <v/>
      </c>
      <c r="D989" s="25" t="str">
        <f t="shared" si="108"/>
        <v/>
      </c>
      <c r="E989" s="45"/>
      <c r="F989" s="28" t="str">
        <f>IFERROR(VLOOKUP(E989,Category!$D$2:$E$600,2,FALSE),"")</f>
        <v/>
      </c>
      <c r="G989" s="65"/>
      <c r="H989" s="56"/>
      <c r="I989" s="66"/>
      <c r="J989" s="67"/>
      <c r="K989" s="67"/>
      <c r="L989" s="67"/>
      <c r="M989" s="29" t="str">
        <f t="shared" si="109"/>
        <v/>
      </c>
      <c r="N989" s="29" t="str">
        <f t="shared" si="110"/>
        <v/>
      </c>
      <c r="O989" s="29" t="str">
        <f t="shared" si="105"/>
        <v/>
      </c>
      <c r="P989" s="61"/>
      <c r="Q989" s="61"/>
      <c r="R989" s="61"/>
      <c r="S989" s="45"/>
      <c r="T989" s="29" t="str">
        <f t="shared" si="106"/>
        <v/>
      </c>
    </row>
    <row r="990" spans="1:20">
      <c r="A990" s="10" t="str">
        <f t="shared" si="111"/>
        <v/>
      </c>
      <c r="B990" s="63"/>
      <c r="C990" s="25" t="str">
        <f t="shared" si="107"/>
        <v/>
      </c>
      <c r="D990" s="25" t="str">
        <f t="shared" si="108"/>
        <v/>
      </c>
      <c r="E990" s="45"/>
      <c r="F990" s="28" t="str">
        <f>IFERROR(VLOOKUP(E990,Category!$D$2:$E$600,2,FALSE),"")</f>
        <v/>
      </c>
      <c r="G990" s="65"/>
      <c r="H990" s="56"/>
      <c r="I990" s="66"/>
      <c r="J990" s="67"/>
      <c r="K990" s="67"/>
      <c r="L990" s="67"/>
      <c r="M990" s="29" t="str">
        <f t="shared" si="109"/>
        <v/>
      </c>
      <c r="N990" s="29" t="str">
        <f t="shared" si="110"/>
        <v/>
      </c>
      <c r="O990" s="29" t="str">
        <f t="shared" si="105"/>
        <v/>
      </c>
      <c r="P990" s="61"/>
      <c r="Q990" s="61"/>
      <c r="R990" s="61"/>
      <c r="S990" s="45"/>
      <c r="T990" s="29" t="str">
        <f t="shared" si="106"/>
        <v/>
      </c>
    </row>
    <row r="991" spans="1:20">
      <c r="A991" s="10" t="str">
        <f t="shared" si="111"/>
        <v/>
      </c>
      <c r="B991" s="63"/>
      <c r="C991" s="25" t="str">
        <f t="shared" si="107"/>
        <v/>
      </c>
      <c r="D991" s="25" t="str">
        <f t="shared" si="108"/>
        <v/>
      </c>
      <c r="E991" s="45"/>
      <c r="F991" s="28" t="str">
        <f>IFERROR(VLOOKUP(E991,Category!$D$2:$E$600,2,FALSE),"")</f>
        <v/>
      </c>
      <c r="G991" s="65"/>
      <c r="H991" s="56"/>
      <c r="I991" s="66"/>
      <c r="J991" s="67"/>
      <c r="K991" s="67"/>
      <c r="L991" s="67"/>
      <c r="M991" s="29" t="str">
        <f t="shared" si="109"/>
        <v/>
      </c>
      <c r="N991" s="29" t="str">
        <f t="shared" si="110"/>
        <v/>
      </c>
      <c r="O991" s="29" t="str">
        <f t="shared" si="105"/>
        <v/>
      </c>
      <c r="P991" s="61"/>
      <c r="Q991" s="61"/>
      <c r="R991" s="61"/>
      <c r="S991" s="45"/>
      <c r="T991" s="29" t="str">
        <f t="shared" si="106"/>
        <v/>
      </c>
    </row>
    <row r="992" spans="1:20">
      <c r="A992" s="10" t="str">
        <f t="shared" si="111"/>
        <v/>
      </c>
      <c r="B992" s="63"/>
      <c r="C992" s="25" t="str">
        <f t="shared" si="107"/>
        <v/>
      </c>
      <c r="D992" s="25" t="str">
        <f t="shared" si="108"/>
        <v/>
      </c>
      <c r="E992" s="45"/>
      <c r="F992" s="28" t="str">
        <f>IFERROR(VLOOKUP(E992,Category!$D$2:$E$600,2,FALSE),"")</f>
        <v/>
      </c>
      <c r="G992" s="65"/>
      <c r="H992" s="56"/>
      <c r="I992" s="66"/>
      <c r="J992" s="67"/>
      <c r="K992" s="67"/>
      <c r="L992" s="67"/>
      <c r="M992" s="29" t="str">
        <f t="shared" si="109"/>
        <v/>
      </c>
      <c r="N992" s="29" t="str">
        <f t="shared" si="110"/>
        <v/>
      </c>
      <c r="O992" s="29" t="str">
        <f t="shared" si="105"/>
        <v/>
      </c>
      <c r="P992" s="61"/>
      <c r="Q992" s="61"/>
      <c r="R992" s="61"/>
      <c r="S992" s="45"/>
      <c r="T992" s="29" t="str">
        <f t="shared" si="106"/>
        <v/>
      </c>
    </row>
    <row r="993" spans="1:20">
      <c r="A993" s="10" t="str">
        <f t="shared" si="111"/>
        <v/>
      </c>
      <c r="B993" s="63"/>
      <c r="C993" s="25" t="str">
        <f t="shared" si="107"/>
        <v/>
      </c>
      <c r="D993" s="25" t="str">
        <f t="shared" si="108"/>
        <v/>
      </c>
      <c r="E993" s="45"/>
      <c r="F993" s="28" t="str">
        <f>IFERROR(VLOOKUP(E993,Category!$D$2:$E$600,2,FALSE),"")</f>
        <v/>
      </c>
      <c r="G993" s="65"/>
      <c r="H993" s="56"/>
      <c r="I993" s="66"/>
      <c r="J993" s="67"/>
      <c r="K993" s="67"/>
      <c r="L993" s="67"/>
      <c r="M993" s="29" t="str">
        <f t="shared" si="109"/>
        <v/>
      </c>
      <c r="N993" s="29" t="str">
        <f t="shared" si="110"/>
        <v/>
      </c>
      <c r="O993" s="29" t="str">
        <f t="shared" si="105"/>
        <v/>
      </c>
      <c r="P993" s="61"/>
      <c r="Q993" s="61"/>
      <c r="R993" s="61"/>
      <c r="S993" s="45"/>
      <c r="T993" s="29" t="str">
        <f t="shared" si="106"/>
        <v/>
      </c>
    </row>
    <row r="994" spans="1:20">
      <c r="A994" s="10" t="str">
        <f t="shared" si="111"/>
        <v/>
      </c>
      <c r="B994" s="63"/>
      <c r="C994" s="25" t="str">
        <f t="shared" si="107"/>
        <v/>
      </c>
      <c r="D994" s="25" t="str">
        <f t="shared" si="108"/>
        <v/>
      </c>
      <c r="E994" s="45"/>
      <c r="F994" s="28" t="str">
        <f>IFERROR(VLOOKUP(E994,Category!$D$2:$E$600,2,FALSE),"")</f>
        <v/>
      </c>
      <c r="G994" s="65"/>
      <c r="H994" s="56"/>
      <c r="I994" s="66"/>
      <c r="J994" s="67"/>
      <c r="K994" s="67"/>
      <c r="L994" s="67"/>
      <c r="M994" s="29" t="str">
        <f t="shared" si="109"/>
        <v/>
      </c>
      <c r="N994" s="29" t="str">
        <f t="shared" si="110"/>
        <v/>
      </c>
      <c r="O994" s="29" t="str">
        <f t="shared" si="105"/>
        <v/>
      </c>
      <c r="P994" s="61"/>
      <c r="Q994" s="61"/>
      <c r="R994" s="61"/>
      <c r="S994" s="45"/>
      <c r="T994" s="29" t="str">
        <f t="shared" si="106"/>
        <v/>
      </c>
    </row>
    <row r="995" spans="1:20">
      <c r="A995" s="10" t="str">
        <f t="shared" si="111"/>
        <v/>
      </c>
      <c r="B995" s="63"/>
      <c r="C995" s="25" t="str">
        <f t="shared" si="107"/>
        <v/>
      </c>
      <c r="D995" s="25" t="str">
        <f t="shared" si="108"/>
        <v/>
      </c>
      <c r="E995" s="45"/>
      <c r="F995" s="28" t="str">
        <f>IFERROR(VLOOKUP(E995,Category!$D$2:$E$600,2,FALSE),"")</f>
        <v/>
      </c>
      <c r="G995" s="65"/>
      <c r="H995" s="56"/>
      <c r="I995" s="66"/>
      <c r="J995" s="67"/>
      <c r="K995" s="67"/>
      <c r="L995" s="67"/>
      <c r="M995" s="29" t="str">
        <f t="shared" si="109"/>
        <v/>
      </c>
      <c r="N995" s="29" t="str">
        <f t="shared" si="110"/>
        <v/>
      </c>
      <c r="O995" s="29" t="str">
        <f t="shared" si="105"/>
        <v/>
      </c>
      <c r="P995" s="61"/>
      <c r="Q995" s="61"/>
      <c r="R995" s="61"/>
      <c r="S995" s="45"/>
      <c r="T995" s="29" t="str">
        <f t="shared" si="106"/>
        <v/>
      </c>
    </row>
    <row r="996" spans="1:20">
      <c r="A996" s="10" t="str">
        <f t="shared" si="111"/>
        <v/>
      </c>
      <c r="B996" s="63"/>
      <c r="C996" s="25" t="str">
        <f t="shared" si="107"/>
        <v/>
      </c>
      <c r="D996" s="25" t="str">
        <f t="shared" si="108"/>
        <v/>
      </c>
      <c r="E996" s="45"/>
      <c r="F996" s="28" t="str">
        <f>IFERROR(VLOOKUP(E996,Category!$D$2:$E$600,2,FALSE),"")</f>
        <v/>
      </c>
      <c r="G996" s="65"/>
      <c r="H996" s="56"/>
      <c r="I996" s="66"/>
      <c r="J996" s="67"/>
      <c r="K996" s="67"/>
      <c r="L996" s="67"/>
      <c r="M996" s="29" t="str">
        <f t="shared" si="109"/>
        <v/>
      </c>
      <c r="N996" s="29" t="str">
        <f t="shared" si="110"/>
        <v/>
      </c>
      <c r="O996" s="29" t="str">
        <f t="shared" si="105"/>
        <v/>
      </c>
      <c r="P996" s="61"/>
      <c r="Q996" s="61"/>
      <c r="R996" s="61"/>
      <c r="S996" s="45"/>
      <c r="T996" s="29" t="str">
        <f t="shared" si="106"/>
        <v/>
      </c>
    </row>
    <row r="997" spans="1:20">
      <c r="A997" s="10" t="str">
        <f t="shared" si="111"/>
        <v/>
      </c>
      <c r="B997" s="63"/>
      <c r="C997" s="25" t="str">
        <f t="shared" si="107"/>
        <v/>
      </c>
      <c r="D997" s="25" t="str">
        <f t="shared" si="108"/>
        <v/>
      </c>
      <c r="E997" s="45"/>
      <c r="F997" s="28" t="str">
        <f>IFERROR(VLOOKUP(E997,Category!$D$2:$E$600,2,FALSE),"")</f>
        <v/>
      </c>
      <c r="G997" s="65"/>
      <c r="H997" s="56"/>
      <c r="I997" s="66"/>
      <c r="J997" s="67"/>
      <c r="K997" s="67"/>
      <c r="L997" s="67"/>
      <c r="M997" s="29" t="str">
        <f t="shared" si="109"/>
        <v/>
      </c>
      <c r="N997" s="29" t="str">
        <f t="shared" si="110"/>
        <v/>
      </c>
      <c r="O997" s="29" t="str">
        <f t="shared" si="105"/>
        <v/>
      </c>
      <c r="P997" s="61"/>
      <c r="Q997" s="61"/>
      <c r="R997" s="61"/>
      <c r="S997" s="45"/>
      <c r="T997" s="29" t="str">
        <f t="shared" si="106"/>
        <v/>
      </c>
    </row>
    <row r="998" spans="1:20">
      <c r="A998" s="10" t="str">
        <f t="shared" si="111"/>
        <v/>
      </c>
      <c r="B998" s="63"/>
      <c r="C998" s="25" t="str">
        <f t="shared" si="107"/>
        <v/>
      </c>
      <c r="D998" s="25" t="str">
        <f t="shared" si="108"/>
        <v/>
      </c>
      <c r="E998" s="45"/>
      <c r="F998" s="28" t="str">
        <f>IFERROR(VLOOKUP(E998,Category!$D$2:$E$600,2,FALSE),"")</f>
        <v/>
      </c>
      <c r="G998" s="65"/>
      <c r="H998" s="56"/>
      <c r="I998" s="66"/>
      <c r="J998" s="67"/>
      <c r="K998" s="67"/>
      <c r="L998" s="67"/>
      <c r="M998" s="29" t="str">
        <f t="shared" si="109"/>
        <v/>
      </c>
      <c r="N998" s="29" t="str">
        <f t="shared" si="110"/>
        <v/>
      </c>
      <c r="O998" s="29" t="str">
        <f t="shared" si="105"/>
        <v/>
      </c>
      <c r="P998" s="61"/>
      <c r="Q998" s="61"/>
      <c r="R998" s="61"/>
      <c r="S998" s="45"/>
      <c r="T998" s="29" t="str">
        <f t="shared" si="106"/>
        <v/>
      </c>
    </row>
    <row r="999" spans="1:20">
      <c r="A999" s="10" t="str">
        <f t="shared" si="111"/>
        <v/>
      </c>
      <c r="B999" s="63"/>
      <c r="C999" s="25" t="str">
        <f t="shared" si="107"/>
        <v/>
      </c>
      <c r="D999" s="25" t="str">
        <f t="shared" si="108"/>
        <v/>
      </c>
      <c r="E999" s="45"/>
      <c r="F999" s="28" t="str">
        <f>IFERROR(VLOOKUP(E999,Category!$D$2:$E$600,2,FALSE),"")</f>
        <v/>
      </c>
      <c r="G999" s="65"/>
      <c r="H999" s="56"/>
      <c r="I999" s="66"/>
      <c r="J999" s="67"/>
      <c r="K999" s="67"/>
      <c r="L999" s="67"/>
      <c r="M999" s="29" t="str">
        <f t="shared" si="109"/>
        <v/>
      </c>
      <c r="N999" s="29" t="str">
        <f t="shared" si="110"/>
        <v/>
      </c>
      <c r="O999" s="29" t="str">
        <f t="shared" si="105"/>
        <v/>
      </c>
      <c r="P999" s="61"/>
      <c r="Q999" s="61"/>
      <c r="R999" s="61"/>
      <c r="S999" s="45"/>
      <c r="T999" s="29" t="str">
        <f t="shared" si="106"/>
        <v/>
      </c>
    </row>
    <row r="1000" spans="1:20">
      <c r="A1000" s="10" t="str">
        <f t="shared" si="111"/>
        <v/>
      </c>
      <c r="B1000" s="63"/>
      <c r="C1000" s="25" t="str">
        <f t="shared" si="107"/>
        <v/>
      </c>
      <c r="D1000" s="25" t="str">
        <f t="shared" si="108"/>
        <v/>
      </c>
      <c r="E1000" s="45"/>
      <c r="F1000" s="28" t="str">
        <f>IFERROR(VLOOKUP(E1000,Category!$D$2:$E$600,2,FALSE),"")</f>
        <v/>
      </c>
      <c r="G1000" s="65"/>
      <c r="H1000" s="56"/>
      <c r="I1000" s="66"/>
      <c r="J1000" s="67"/>
      <c r="K1000" s="67"/>
      <c r="L1000" s="67"/>
      <c r="M1000" s="29" t="str">
        <f t="shared" si="109"/>
        <v/>
      </c>
      <c r="N1000" s="29" t="str">
        <f t="shared" si="110"/>
        <v/>
      </c>
      <c r="O1000" s="29" t="str">
        <f t="shared" si="105"/>
        <v/>
      </c>
      <c r="P1000" s="61"/>
      <c r="Q1000" s="61"/>
      <c r="R1000" s="61"/>
      <c r="S1000" s="45"/>
      <c r="T1000" s="29" t="str">
        <f t="shared" si="106"/>
        <v/>
      </c>
    </row>
    <row r="1001" spans="1:20">
      <c r="A1001" s="10" t="str">
        <f t="shared" si="111"/>
        <v/>
      </c>
      <c r="B1001" s="63"/>
      <c r="C1001" s="25" t="str">
        <f t="shared" si="107"/>
        <v/>
      </c>
      <c r="D1001" s="25" t="str">
        <f t="shared" si="108"/>
        <v/>
      </c>
      <c r="E1001" s="45"/>
      <c r="F1001" s="28" t="str">
        <f>IFERROR(VLOOKUP(E1001,Category!$D$2:$E$600,2,FALSE),"")</f>
        <v/>
      </c>
      <c r="G1001" s="65"/>
      <c r="H1001" s="56"/>
      <c r="I1001" s="66"/>
      <c r="J1001" s="67"/>
      <c r="K1001" s="67"/>
      <c r="L1001" s="67"/>
      <c r="M1001" s="29" t="str">
        <f t="shared" si="109"/>
        <v/>
      </c>
      <c r="N1001" s="29" t="str">
        <f t="shared" si="110"/>
        <v/>
      </c>
      <c r="O1001" s="29" t="str">
        <f t="shared" si="105"/>
        <v/>
      </c>
      <c r="P1001" s="61"/>
      <c r="Q1001" s="61"/>
      <c r="R1001" s="61"/>
      <c r="S1001" s="45"/>
      <c r="T1001" s="29" t="str">
        <f t="shared" si="106"/>
        <v/>
      </c>
    </row>
    <row r="1002" spans="1:20">
      <c r="A1002" s="10" t="str">
        <f t="shared" si="111"/>
        <v/>
      </c>
      <c r="B1002" s="63"/>
      <c r="C1002" s="25" t="str">
        <f t="shared" si="107"/>
        <v/>
      </c>
      <c r="D1002" s="25" t="str">
        <f t="shared" si="108"/>
        <v/>
      </c>
      <c r="E1002" s="45"/>
      <c r="F1002" s="28" t="str">
        <f>IFERROR(VLOOKUP(E1002,Category!$D$2:$E$600,2,FALSE),"")</f>
        <v/>
      </c>
      <c r="G1002" s="65"/>
      <c r="H1002" s="56"/>
      <c r="I1002" s="66"/>
      <c r="J1002" s="67"/>
      <c r="K1002" s="67"/>
      <c r="L1002" s="67"/>
      <c r="M1002" s="29" t="str">
        <f t="shared" si="109"/>
        <v/>
      </c>
      <c r="N1002" s="29" t="str">
        <f t="shared" si="110"/>
        <v/>
      </c>
      <c r="O1002" s="29" t="str">
        <f t="shared" si="105"/>
        <v/>
      </c>
      <c r="P1002" s="61"/>
      <c r="Q1002" s="61"/>
      <c r="R1002" s="61"/>
      <c r="S1002" s="45"/>
      <c r="T1002" s="29" t="str">
        <f t="shared" si="106"/>
        <v/>
      </c>
    </row>
    <row r="1003" spans="1:20">
      <c r="A1003" s="10" t="str">
        <f t="shared" si="111"/>
        <v/>
      </c>
      <c r="B1003" s="63"/>
      <c r="C1003" s="25" t="str">
        <f t="shared" si="107"/>
        <v/>
      </c>
      <c r="D1003" s="25" t="str">
        <f t="shared" si="108"/>
        <v/>
      </c>
      <c r="E1003" s="45"/>
      <c r="F1003" s="28" t="str">
        <f>IFERROR(VLOOKUP(E1003,Category!$D$2:$E$600,2,FALSE),"")</f>
        <v/>
      </c>
      <c r="G1003" s="65"/>
      <c r="H1003" s="56"/>
      <c r="I1003" s="66"/>
      <c r="J1003" s="67"/>
      <c r="K1003" s="67"/>
      <c r="L1003" s="67"/>
      <c r="M1003" s="29" t="str">
        <f t="shared" si="109"/>
        <v/>
      </c>
      <c r="N1003" s="29" t="str">
        <f t="shared" si="110"/>
        <v/>
      </c>
      <c r="O1003" s="29" t="str">
        <f t="shared" si="105"/>
        <v/>
      </c>
      <c r="P1003" s="61"/>
      <c r="Q1003" s="61"/>
      <c r="R1003" s="61"/>
      <c r="S1003" s="45"/>
      <c r="T1003" s="29" t="str">
        <f t="shared" si="106"/>
        <v/>
      </c>
    </row>
    <row r="1004" spans="1:20">
      <c r="A1004" s="10" t="str">
        <f t="shared" si="111"/>
        <v/>
      </c>
      <c r="B1004" s="63"/>
      <c r="C1004" s="25" t="str">
        <f t="shared" si="107"/>
        <v/>
      </c>
      <c r="D1004" s="25" t="str">
        <f t="shared" si="108"/>
        <v/>
      </c>
      <c r="E1004" s="45"/>
      <c r="F1004" s="28" t="str">
        <f>IFERROR(VLOOKUP(E1004,Category!$D$2:$E$600,2,FALSE),"")</f>
        <v/>
      </c>
      <c r="G1004" s="65"/>
      <c r="H1004" s="56"/>
      <c r="I1004" s="66"/>
      <c r="J1004" s="67"/>
      <c r="K1004" s="67"/>
      <c r="L1004" s="67"/>
      <c r="M1004" s="29" t="str">
        <f t="shared" si="109"/>
        <v/>
      </c>
      <c r="N1004" s="29" t="str">
        <f t="shared" si="110"/>
        <v/>
      </c>
      <c r="O1004" s="29" t="str">
        <f t="shared" si="105"/>
        <v/>
      </c>
      <c r="P1004" s="61"/>
      <c r="Q1004" s="61"/>
      <c r="R1004" s="61"/>
      <c r="S1004" s="45"/>
      <c r="T1004" s="29" t="str">
        <f t="shared" si="106"/>
        <v/>
      </c>
    </row>
    <row r="1005" spans="1:20">
      <c r="A1005" s="10" t="str">
        <f t="shared" si="111"/>
        <v/>
      </c>
      <c r="B1005" s="63"/>
      <c r="C1005" s="25" t="str">
        <f t="shared" si="107"/>
        <v/>
      </c>
      <c r="D1005" s="25" t="str">
        <f t="shared" si="108"/>
        <v/>
      </c>
      <c r="E1005" s="45"/>
      <c r="F1005" s="28" t="str">
        <f>IFERROR(VLOOKUP(E1005,Category!$D$2:$E$600,2,FALSE),"")</f>
        <v/>
      </c>
      <c r="G1005" s="65"/>
      <c r="H1005" s="56"/>
      <c r="I1005" s="66"/>
      <c r="J1005" s="67"/>
      <c r="K1005" s="67"/>
      <c r="L1005" s="67"/>
      <c r="M1005" s="29" t="str">
        <f t="shared" si="109"/>
        <v/>
      </c>
      <c r="N1005" s="29" t="str">
        <f t="shared" si="110"/>
        <v/>
      </c>
      <c r="O1005" s="29" t="str">
        <f t="shared" si="105"/>
        <v/>
      </c>
      <c r="P1005" s="61"/>
      <c r="Q1005" s="61"/>
      <c r="R1005" s="61"/>
      <c r="S1005" s="45"/>
      <c r="T1005" s="29" t="str">
        <f t="shared" si="106"/>
        <v/>
      </c>
    </row>
    <row r="1006" spans="1:20">
      <c r="A1006" s="10" t="str">
        <f t="shared" si="111"/>
        <v/>
      </c>
      <c r="B1006" s="63"/>
      <c r="C1006" s="25" t="str">
        <f t="shared" si="107"/>
        <v/>
      </c>
      <c r="D1006" s="25" t="str">
        <f t="shared" si="108"/>
        <v/>
      </c>
      <c r="E1006" s="45"/>
      <c r="F1006" s="28" t="str">
        <f>IFERROR(VLOOKUP(E1006,Category!$D$2:$E$600,2,FALSE),"")</f>
        <v/>
      </c>
      <c r="G1006" s="65"/>
      <c r="H1006" s="56"/>
      <c r="I1006" s="66"/>
      <c r="J1006" s="67"/>
      <c r="K1006" s="67"/>
      <c r="L1006" s="67"/>
      <c r="M1006" s="29" t="str">
        <f t="shared" si="109"/>
        <v/>
      </c>
      <c r="N1006" s="29" t="str">
        <f t="shared" si="110"/>
        <v/>
      </c>
      <c r="O1006" s="29" t="str">
        <f t="shared" si="105"/>
        <v/>
      </c>
      <c r="P1006" s="61"/>
      <c r="Q1006" s="61"/>
      <c r="R1006" s="61"/>
      <c r="S1006" s="45"/>
      <c r="T1006" s="29" t="str">
        <f t="shared" si="106"/>
        <v/>
      </c>
    </row>
    <row r="1007" spans="1:20">
      <c r="A1007" s="10" t="str">
        <f t="shared" si="111"/>
        <v/>
      </c>
      <c r="B1007" s="63"/>
      <c r="C1007" s="25" t="str">
        <f t="shared" si="107"/>
        <v/>
      </c>
      <c r="D1007" s="25" t="str">
        <f t="shared" si="108"/>
        <v/>
      </c>
      <c r="E1007" s="45"/>
      <c r="F1007" s="28" t="str">
        <f>IFERROR(VLOOKUP(E1007,Category!$D$2:$E$600,2,FALSE),"")</f>
        <v/>
      </c>
      <c r="G1007" s="65"/>
      <c r="H1007" s="56"/>
      <c r="I1007" s="66"/>
      <c r="J1007" s="67"/>
      <c r="K1007" s="67"/>
      <c r="L1007" s="67"/>
      <c r="M1007" s="29" t="str">
        <f t="shared" si="109"/>
        <v/>
      </c>
      <c r="N1007" s="29" t="str">
        <f t="shared" si="110"/>
        <v/>
      </c>
      <c r="O1007" s="29" t="str">
        <f t="shared" si="105"/>
        <v/>
      </c>
      <c r="P1007" s="61"/>
      <c r="Q1007" s="61"/>
      <c r="R1007" s="61"/>
      <c r="S1007" s="45"/>
      <c r="T1007" s="29" t="str">
        <f t="shared" si="106"/>
        <v/>
      </c>
    </row>
    <row r="1008" spans="1:20">
      <c r="A1008" s="10" t="str">
        <f t="shared" si="111"/>
        <v/>
      </c>
      <c r="B1008" s="63"/>
      <c r="C1008" s="25" t="str">
        <f t="shared" si="107"/>
        <v/>
      </c>
      <c r="D1008" s="25" t="str">
        <f t="shared" si="108"/>
        <v/>
      </c>
      <c r="E1008" s="45"/>
      <c r="F1008" s="28" t="str">
        <f>IFERROR(VLOOKUP(E1008,Category!$D$2:$E$600,2,FALSE),"")</f>
        <v/>
      </c>
      <c r="G1008" s="65"/>
      <c r="H1008" s="56"/>
      <c r="I1008" s="66"/>
      <c r="J1008" s="67"/>
      <c r="K1008" s="67"/>
      <c r="L1008" s="67"/>
      <c r="M1008" s="29" t="str">
        <f t="shared" si="109"/>
        <v/>
      </c>
      <c r="N1008" s="29" t="str">
        <f t="shared" si="110"/>
        <v/>
      </c>
      <c r="O1008" s="29" t="str">
        <f t="shared" si="105"/>
        <v/>
      </c>
      <c r="P1008" s="61"/>
      <c r="Q1008" s="61"/>
      <c r="R1008" s="61"/>
      <c r="S1008" s="45"/>
      <c r="T1008" s="29" t="str">
        <f t="shared" si="106"/>
        <v/>
      </c>
    </row>
    <row r="1009" spans="1:20">
      <c r="A1009" s="10" t="str">
        <f t="shared" si="111"/>
        <v/>
      </c>
      <c r="B1009" s="63"/>
      <c r="C1009" s="25" t="str">
        <f t="shared" si="107"/>
        <v/>
      </c>
      <c r="D1009" s="25" t="str">
        <f t="shared" si="108"/>
        <v/>
      </c>
      <c r="E1009" s="45"/>
      <c r="F1009" s="28" t="str">
        <f>IFERROR(VLOOKUP(E1009,Category!$D$2:$E$600,2,FALSE),"")</f>
        <v/>
      </c>
      <c r="G1009" s="65"/>
      <c r="H1009" s="56"/>
      <c r="I1009" s="66"/>
      <c r="J1009" s="67"/>
      <c r="K1009" s="67"/>
      <c r="L1009" s="67"/>
      <c r="M1009" s="29" t="str">
        <f t="shared" si="109"/>
        <v/>
      </c>
      <c r="N1009" s="29" t="str">
        <f t="shared" si="110"/>
        <v/>
      </c>
      <c r="O1009" s="29" t="str">
        <f t="shared" si="105"/>
        <v/>
      </c>
      <c r="P1009" s="61"/>
      <c r="Q1009" s="61"/>
      <c r="R1009" s="61"/>
      <c r="S1009" s="45"/>
      <c r="T1009" s="29" t="str">
        <f t="shared" si="106"/>
        <v/>
      </c>
    </row>
    <row r="1010" spans="1:20">
      <c r="A1010" s="10" t="str">
        <f t="shared" si="111"/>
        <v/>
      </c>
      <c r="B1010" s="63"/>
      <c r="C1010" s="25" t="str">
        <f t="shared" si="107"/>
        <v/>
      </c>
      <c r="D1010" s="25" t="str">
        <f t="shared" si="108"/>
        <v/>
      </c>
      <c r="E1010" s="45"/>
      <c r="F1010" s="28" t="str">
        <f>IFERROR(VLOOKUP(E1010,Category!$D$2:$E$600,2,FALSE),"")</f>
        <v/>
      </c>
      <c r="G1010" s="65"/>
      <c r="H1010" s="56"/>
      <c r="I1010" s="66"/>
      <c r="J1010" s="67"/>
      <c r="K1010" s="67"/>
      <c r="L1010" s="67"/>
      <c r="M1010" s="29" t="str">
        <f t="shared" si="109"/>
        <v/>
      </c>
      <c r="N1010" s="29" t="str">
        <f t="shared" si="110"/>
        <v/>
      </c>
      <c r="O1010" s="29" t="str">
        <f t="shared" si="105"/>
        <v/>
      </c>
      <c r="P1010" s="61"/>
      <c r="Q1010" s="61"/>
      <c r="R1010" s="61"/>
      <c r="S1010" s="45"/>
      <c r="T1010" s="29" t="str">
        <f t="shared" si="106"/>
        <v/>
      </c>
    </row>
    <row r="1011" spans="1:20">
      <c r="A1011" s="10" t="str">
        <f t="shared" si="111"/>
        <v/>
      </c>
      <c r="B1011" s="63"/>
      <c r="C1011" s="25" t="str">
        <f t="shared" si="107"/>
        <v/>
      </c>
      <c r="D1011" s="25" t="str">
        <f t="shared" si="108"/>
        <v/>
      </c>
      <c r="E1011" s="45"/>
      <c r="F1011" s="28" t="str">
        <f>IFERROR(VLOOKUP(E1011,Category!$D$2:$E$600,2,FALSE),"")</f>
        <v/>
      </c>
      <c r="G1011" s="65"/>
      <c r="H1011" s="56"/>
      <c r="I1011" s="66"/>
      <c r="J1011" s="67"/>
      <c r="K1011" s="67"/>
      <c r="L1011" s="67"/>
      <c r="M1011" s="29" t="str">
        <f t="shared" si="109"/>
        <v/>
      </c>
      <c r="N1011" s="29" t="str">
        <f t="shared" si="110"/>
        <v/>
      </c>
      <c r="O1011" s="29" t="str">
        <f t="shared" si="105"/>
        <v/>
      </c>
      <c r="P1011" s="61"/>
      <c r="Q1011" s="61"/>
      <c r="R1011" s="61"/>
      <c r="S1011" s="45"/>
      <c r="T1011" s="29" t="str">
        <f t="shared" si="106"/>
        <v/>
      </c>
    </row>
    <row r="1012" spans="1:20">
      <c r="A1012" s="10" t="str">
        <f t="shared" si="111"/>
        <v/>
      </c>
      <c r="B1012" s="63"/>
      <c r="C1012" s="25" t="str">
        <f t="shared" si="107"/>
        <v/>
      </c>
      <c r="D1012" s="25" t="str">
        <f t="shared" si="108"/>
        <v/>
      </c>
      <c r="E1012" s="45"/>
      <c r="F1012" s="28" t="str">
        <f>IFERROR(VLOOKUP(E1012,Category!$D$2:$E$600,2,FALSE),"")</f>
        <v/>
      </c>
      <c r="G1012" s="65"/>
      <c r="H1012" s="56"/>
      <c r="I1012" s="66"/>
      <c r="J1012" s="67"/>
      <c r="K1012" s="67"/>
      <c r="L1012" s="67"/>
      <c r="M1012" s="29" t="str">
        <f t="shared" si="109"/>
        <v/>
      </c>
      <c r="N1012" s="29" t="str">
        <f t="shared" si="110"/>
        <v/>
      </c>
      <c r="O1012" s="29" t="str">
        <f t="shared" si="105"/>
        <v/>
      </c>
      <c r="P1012" s="61"/>
      <c r="Q1012" s="61"/>
      <c r="R1012" s="61"/>
      <c r="S1012" s="45"/>
      <c r="T1012" s="29" t="str">
        <f t="shared" si="106"/>
        <v/>
      </c>
    </row>
    <row r="1013" spans="1:20">
      <c r="A1013" s="10" t="str">
        <f t="shared" si="111"/>
        <v/>
      </c>
      <c r="B1013" s="63"/>
      <c r="C1013" s="25" t="str">
        <f t="shared" si="107"/>
        <v/>
      </c>
      <c r="D1013" s="25" t="str">
        <f t="shared" si="108"/>
        <v/>
      </c>
      <c r="E1013" s="45"/>
      <c r="F1013" s="28" t="str">
        <f>IFERROR(VLOOKUP(E1013,Category!$D$2:$E$600,2,FALSE),"")</f>
        <v/>
      </c>
      <c r="G1013" s="65"/>
      <c r="H1013" s="56"/>
      <c r="I1013" s="66"/>
      <c r="J1013" s="67"/>
      <c r="K1013" s="67"/>
      <c r="L1013" s="67"/>
      <c r="M1013" s="29" t="str">
        <f t="shared" si="109"/>
        <v/>
      </c>
      <c r="N1013" s="29" t="str">
        <f t="shared" si="110"/>
        <v/>
      </c>
      <c r="O1013" s="29" t="str">
        <f t="shared" si="105"/>
        <v/>
      </c>
      <c r="P1013" s="61"/>
      <c r="Q1013" s="61"/>
      <c r="R1013" s="61"/>
      <c r="S1013" s="45"/>
      <c r="T1013" s="29" t="str">
        <f t="shared" si="106"/>
        <v/>
      </c>
    </row>
    <row r="1014" spans="1:20">
      <c r="A1014" s="10" t="str">
        <f t="shared" si="111"/>
        <v/>
      </c>
      <c r="B1014" s="63"/>
      <c r="C1014" s="25" t="str">
        <f t="shared" si="107"/>
        <v/>
      </c>
      <c r="D1014" s="25" t="str">
        <f t="shared" si="108"/>
        <v/>
      </c>
      <c r="E1014" s="45"/>
      <c r="F1014" s="28" t="str">
        <f>IFERROR(VLOOKUP(E1014,Category!$D$2:$E$600,2,FALSE),"")</f>
        <v/>
      </c>
      <c r="G1014" s="65"/>
      <c r="H1014" s="56"/>
      <c r="I1014" s="66"/>
      <c r="J1014" s="67"/>
      <c r="K1014" s="67"/>
      <c r="L1014" s="67"/>
      <c r="M1014" s="29" t="str">
        <f t="shared" si="109"/>
        <v/>
      </c>
      <c r="N1014" s="29" t="str">
        <f t="shared" si="110"/>
        <v/>
      </c>
      <c r="O1014" s="29" t="str">
        <f t="shared" si="105"/>
        <v/>
      </c>
      <c r="P1014" s="61"/>
      <c r="Q1014" s="61"/>
      <c r="R1014" s="61"/>
      <c r="S1014" s="45"/>
      <c r="T1014" s="29" t="str">
        <f t="shared" si="106"/>
        <v/>
      </c>
    </row>
    <row r="1015" spans="1:20">
      <c r="A1015" s="10" t="str">
        <f t="shared" si="111"/>
        <v/>
      </c>
      <c r="B1015" s="63"/>
      <c r="C1015" s="25" t="str">
        <f t="shared" si="107"/>
        <v/>
      </c>
      <c r="D1015" s="25" t="str">
        <f t="shared" si="108"/>
        <v/>
      </c>
      <c r="E1015" s="45"/>
      <c r="F1015" s="28" t="str">
        <f>IFERROR(VLOOKUP(E1015,Category!$D$2:$E$600,2,FALSE),"")</f>
        <v/>
      </c>
      <c r="G1015" s="65"/>
      <c r="H1015" s="56"/>
      <c r="I1015" s="66"/>
      <c r="J1015" s="67"/>
      <c r="K1015" s="67"/>
      <c r="L1015" s="67"/>
      <c r="M1015" s="29" t="str">
        <f t="shared" si="109"/>
        <v/>
      </c>
      <c r="N1015" s="29" t="str">
        <f t="shared" si="110"/>
        <v/>
      </c>
      <c r="O1015" s="29" t="str">
        <f t="shared" si="105"/>
        <v/>
      </c>
      <c r="P1015" s="61"/>
      <c r="Q1015" s="61"/>
      <c r="R1015" s="61"/>
      <c r="S1015" s="45"/>
      <c r="T1015" s="29" t="str">
        <f t="shared" si="106"/>
        <v/>
      </c>
    </row>
    <row r="1016" spans="1:20">
      <c r="A1016" s="10" t="str">
        <f t="shared" si="111"/>
        <v/>
      </c>
      <c r="B1016" s="63"/>
      <c r="C1016" s="25" t="str">
        <f t="shared" si="107"/>
        <v/>
      </c>
      <c r="D1016" s="25" t="str">
        <f t="shared" si="108"/>
        <v/>
      </c>
      <c r="E1016" s="45"/>
      <c r="F1016" s="28" t="str">
        <f>IFERROR(VLOOKUP(E1016,Category!$D$2:$E$600,2,FALSE),"")</f>
        <v/>
      </c>
      <c r="G1016" s="65"/>
      <c r="H1016" s="56"/>
      <c r="I1016" s="66"/>
      <c r="J1016" s="67"/>
      <c r="K1016" s="67"/>
      <c r="L1016" s="67"/>
      <c r="M1016" s="29" t="str">
        <f t="shared" si="109"/>
        <v/>
      </c>
      <c r="N1016" s="29" t="str">
        <f t="shared" si="110"/>
        <v/>
      </c>
      <c r="O1016" s="29" t="str">
        <f t="shared" si="105"/>
        <v/>
      </c>
      <c r="P1016" s="61"/>
      <c r="Q1016" s="61"/>
      <c r="R1016" s="61"/>
      <c r="S1016" s="45"/>
      <c r="T1016" s="29" t="str">
        <f t="shared" si="106"/>
        <v/>
      </c>
    </row>
    <row r="1017" spans="1:20">
      <c r="A1017" s="10" t="str">
        <f t="shared" si="111"/>
        <v/>
      </c>
      <c r="B1017" s="63"/>
      <c r="C1017" s="25" t="str">
        <f t="shared" si="107"/>
        <v/>
      </c>
      <c r="D1017" s="25" t="str">
        <f t="shared" si="108"/>
        <v/>
      </c>
      <c r="E1017" s="45"/>
      <c r="F1017" s="28" t="str">
        <f>IFERROR(VLOOKUP(E1017,Category!$D$2:$E$600,2,FALSE),"")</f>
        <v/>
      </c>
      <c r="G1017" s="65"/>
      <c r="H1017" s="56"/>
      <c r="I1017" s="66"/>
      <c r="J1017" s="67"/>
      <c r="K1017" s="67"/>
      <c r="L1017" s="67"/>
      <c r="M1017" s="29" t="str">
        <f t="shared" si="109"/>
        <v/>
      </c>
      <c r="N1017" s="29" t="str">
        <f t="shared" si="110"/>
        <v/>
      </c>
      <c r="O1017" s="29" t="str">
        <f t="shared" si="105"/>
        <v/>
      </c>
      <c r="P1017" s="61"/>
      <c r="Q1017" s="61"/>
      <c r="R1017" s="61"/>
      <c r="S1017" s="45"/>
      <c r="T1017" s="29" t="str">
        <f t="shared" si="106"/>
        <v/>
      </c>
    </row>
    <row r="1018" spans="1:20">
      <c r="A1018" s="10" t="str">
        <f t="shared" si="111"/>
        <v/>
      </c>
      <c r="B1018" s="63"/>
      <c r="C1018" s="25" t="str">
        <f t="shared" si="107"/>
        <v/>
      </c>
      <c r="D1018" s="25" t="str">
        <f t="shared" si="108"/>
        <v/>
      </c>
      <c r="E1018" s="45"/>
      <c r="F1018" s="28" t="str">
        <f>IFERROR(VLOOKUP(E1018,Category!$D$2:$E$600,2,FALSE),"")</f>
        <v/>
      </c>
      <c r="G1018" s="65"/>
      <c r="H1018" s="56"/>
      <c r="I1018" s="66"/>
      <c r="J1018" s="67"/>
      <c r="K1018" s="67"/>
      <c r="L1018" s="67"/>
      <c r="M1018" s="29" t="str">
        <f t="shared" si="109"/>
        <v/>
      </c>
      <c r="N1018" s="29" t="str">
        <f t="shared" si="110"/>
        <v/>
      </c>
      <c r="O1018" s="29" t="str">
        <f t="shared" si="105"/>
        <v/>
      </c>
      <c r="P1018" s="61"/>
      <c r="Q1018" s="61"/>
      <c r="R1018" s="61"/>
      <c r="S1018" s="45"/>
      <c r="T1018" s="29" t="str">
        <f t="shared" si="106"/>
        <v/>
      </c>
    </row>
    <row r="1019" spans="1:20">
      <c r="A1019" s="10" t="str">
        <f t="shared" si="111"/>
        <v/>
      </c>
      <c r="B1019" s="63"/>
      <c r="C1019" s="25" t="str">
        <f t="shared" si="107"/>
        <v/>
      </c>
      <c r="D1019" s="25" t="str">
        <f t="shared" si="108"/>
        <v/>
      </c>
      <c r="E1019" s="45"/>
      <c r="F1019" s="28" t="str">
        <f>IFERROR(VLOOKUP(E1019,Category!$D$2:$E$600,2,FALSE),"")</f>
        <v/>
      </c>
      <c r="G1019" s="65"/>
      <c r="H1019" s="56"/>
      <c r="I1019" s="66"/>
      <c r="J1019" s="67"/>
      <c r="K1019" s="67"/>
      <c r="L1019" s="67"/>
      <c r="M1019" s="29" t="str">
        <f t="shared" si="109"/>
        <v/>
      </c>
      <c r="N1019" s="29" t="str">
        <f t="shared" si="110"/>
        <v/>
      </c>
      <c r="O1019" s="29" t="str">
        <f t="shared" si="105"/>
        <v/>
      </c>
      <c r="P1019" s="61"/>
      <c r="Q1019" s="61"/>
      <c r="R1019" s="61"/>
      <c r="S1019" s="45"/>
      <c r="T1019" s="29" t="str">
        <f t="shared" si="106"/>
        <v/>
      </c>
    </row>
    <row r="1020" spans="1:20">
      <c r="A1020" s="10" t="str">
        <f t="shared" si="111"/>
        <v/>
      </c>
      <c r="B1020" s="63"/>
      <c r="C1020" s="25" t="str">
        <f t="shared" si="107"/>
        <v/>
      </c>
      <c r="D1020" s="25" t="str">
        <f t="shared" si="108"/>
        <v/>
      </c>
      <c r="E1020" s="45"/>
      <c r="F1020" s="28" t="str">
        <f>IFERROR(VLOOKUP(E1020,Category!$D$2:$E$600,2,FALSE),"")</f>
        <v/>
      </c>
      <c r="G1020" s="65"/>
      <c r="H1020" s="56"/>
      <c r="I1020" s="66"/>
      <c r="J1020" s="67"/>
      <c r="K1020" s="67"/>
      <c r="L1020" s="67"/>
      <c r="M1020" s="29" t="str">
        <f t="shared" si="109"/>
        <v/>
      </c>
      <c r="N1020" s="29" t="str">
        <f t="shared" si="110"/>
        <v/>
      </c>
      <c r="O1020" s="29" t="str">
        <f t="shared" si="105"/>
        <v/>
      </c>
      <c r="P1020" s="61"/>
      <c r="Q1020" s="61"/>
      <c r="R1020" s="61"/>
      <c r="S1020" s="45"/>
      <c r="T1020" s="29" t="str">
        <f t="shared" si="106"/>
        <v/>
      </c>
    </row>
    <row r="1021" spans="1:20">
      <c r="A1021" s="10" t="str">
        <f t="shared" si="111"/>
        <v/>
      </c>
      <c r="B1021" s="63"/>
      <c r="C1021" s="25" t="str">
        <f t="shared" si="107"/>
        <v/>
      </c>
      <c r="D1021" s="25" t="str">
        <f t="shared" si="108"/>
        <v/>
      </c>
      <c r="E1021" s="45"/>
      <c r="F1021" s="28" t="str">
        <f>IFERROR(VLOOKUP(E1021,Category!$D$2:$E$600,2,FALSE),"")</f>
        <v/>
      </c>
      <c r="G1021" s="65"/>
      <c r="H1021" s="56"/>
      <c r="I1021" s="66"/>
      <c r="J1021" s="67"/>
      <c r="K1021" s="67"/>
      <c r="L1021" s="67"/>
      <c r="M1021" s="29" t="str">
        <f t="shared" si="109"/>
        <v/>
      </c>
      <c r="N1021" s="29" t="str">
        <f t="shared" si="110"/>
        <v/>
      </c>
      <c r="O1021" s="29" t="str">
        <f t="shared" si="105"/>
        <v/>
      </c>
      <c r="P1021" s="61"/>
      <c r="Q1021" s="61"/>
      <c r="R1021" s="61"/>
      <c r="S1021" s="45"/>
      <c r="T1021" s="29" t="str">
        <f t="shared" si="106"/>
        <v/>
      </c>
    </row>
    <row r="1022" spans="1:20">
      <c r="A1022" s="10" t="str">
        <f t="shared" si="111"/>
        <v/>
      </c>
      <c r="B1022" s="63"/>
      <c r="C1022" s="25" t="str">
        <f t="shared" si="107"/>
        <v/>
      </c>
      <c r="D1022" s="25" t="str">
        <f t="shared" si="108"/>
        <v/>
      </c>
      <c r="E1022" s="45"/>
      <c r="F1022" s="28" t="str">
        <f>IFERROR(VLOOKUP(E1022,Category!$D$2:$E$600,2,FALSE),"")</f>
        <v/>
      </c>
      <c r="G1022" s="65"/>
      <c r="H1022" s="56"/>
      <c r="I1022" s="66"/>
      <c r="J1022" s="67"/>
      <c r="K1022" s="67"/>
      <c r="L1022" s="67"/>
      <c r="M1022" s="29" t="str">
        <f t="shared" si="109"/>
        <v/>
      </c>
      <c r="N1022" s="29" t="str">
        <f t="shared" si="110"/>
        <v/>
      </c>
      <c r="O1022" s="29" t="str">
        <f t="shared" si="105"/>
        <v/>
      </c>
      <c r="P1022" s="61"/>
      <c r="Q1022" s="61"/>
      <c r="R1022" s="61"/>
      <c r="S1022" s="45"/>
      <c r="T1022" s="29" t="str">
        <f t="shared" si="106"/>
        <v/>
      </c>
    </row>
    <row r="1023" spans="1:20">
      <c r="A1023" s="10" t="str">
        <f t="shared" si="111"/>
        <v/>
      </c>
      <c r="B1023" s="63"/>
      <c r="C1023" s="25" t="str">
        <f t="shared" si="107"/>
        <v/>
      </c>
      <c r="D1023" s="25" t="str">
        <f t="shared" si="108"/>
        <v/>
      </c>
      <c r="E1023" s="45"/>
      <c r="F1023" s="28" t="str">
        <f>IFERROR(VLOOKUP(E1023,Category!$D$2:$E$600,2,FALSE),"")</f>
        <v/>
      </c>
      <c r="G1023" s="65"/>
      <c r="H1023" s="56"/>
      <c r="I1023" s="66"/>
      <c r="J1023" s="67"/>
      <c r="K1023" s="67"/>
      <c r="L1023" s="67"/>
      <c r="M1023" s="29" t="str">
        <f t="shared" si="109"/>
        <v/>
      </c>
      <c r="N1023" s="29" t="str">
        <f t="shared" si="110"/>
        <v/>
      </c>
      <c r="O1023" s="29" t="str">
        <f t="shared" si="105"/>
        <v/>
      </c>
      <c r="P1023" s="61"/>
      <c r="Q1023" s="61"/>
      <c r="R1023" s="61"/>
      <c r="S1023" s="45"/>
      <c r="T1023" s="29" t="str">
        <f t="shared" si="106"/>
        <v/>
      </c>
    </row>
    <row r="1024" spans="1:20">
      <c r="A1024" s="10" t="str">
        <f t="shared" si="111"/>
        <v/>
      </c>
      <c r="B1024" s="63"/>
      <c r="C1024" s="25" t="str">
        <f t="shared" si="107"/>
        <v/>
      </c>
      <c r="D1024" s="25" t="str">
        <f t="shared" si="108"/>
        <v/>
      </c>
      <c r="E1024" s="45"/>
      <c r="F1024" s="28" t="str">
        <f>IFERROR(VLOOKUP(E1024,Category!$D$2:$E$600,2,FALSE),"")</f>
        <v/>
      </c>
      <c r="G1024" s="65"/>
      <c r="H1024" s="56"/>
      <c r="I1024" s="66"/>
      <c r="J1024" s="67"/>
      <c r="K1024" s="67"/>
      <c r="L1024" s="67"/>
      <c r="M1024" s="29" t="str">
        <f t="shared" si="109"/>
        <v/>
      </c>
      <c r="N1024" s="29" t="str">
        <f t="shared" si="110"/>
        <v/>
      </c>
      <c r="O1024" s="29" t="str">
        <f t="shared" si="105"/>
        <v/>
      </c>
      <c r="P1024" s="61"/>
      <c r="Q1024" s="61"/>
      <c r="R1024" s="61"/>
      <c r="S1024" s="45"/>
      <c r="T1024" s="29" t="str">
        <f t="shared" si="106"/>
        <v/>
      </c>
    </row>
    <row r="1025" spans="1:20">
      <c r="A1025" s="10" t="str">
        <f t="shared" si="111"/>
        <v/>
      </c>
      <c r="B1025" s="63"/>
      <c r="C1025" s="25" t="str">
        <f t="shared" si="107"/>
        <v/>
      </c>
      <c r="D1025" s="25" t="str">
        <f t="shared" si="108"/>
        <v/>
      </c>
      <c r="E1025" s="45"/>
      <c r="F1025" s="28" t="str">
        <f>IFERROR(VLOOKUP(E1025,Category!$D$2:$E$600,2,FALSE),"")</f>
        <v/>
      </c>
      <c r="G1025" s="65"/>
      <c r="H1025" s="56"/>
      <c r="I1025" s="66"/>
      <c r="J1025" s="67"/>
      <c r="K1025" s="67"/>
      <c r="L1025" s="67"/>
      <c r="M1025" s="29" t="str">
        <f t="shared" si="109"/>
        <v/>
      </c>
      <c r="N1025" s="29" t="str">
        <f t="shared" si="110"/>
        <v/>
      </c>
      <c r="O1025" s="29" t="str">
        <f t="shared" si="105"/>
        <v/>
      </c>
      <c r="P1025" s="61"/>
      <c r="Q1025" s="61"/>
      <c r="R1025" s="61"/>
      <c r="S1025" s="45"/>
      <c r="T1025" s="29" t="str">
        <f t="shared" si="106"/>
        <v/>
      </c>
    </row>
    <row r="1026" spans="1:20">
      <c r="A1026" s="10" t="str">
        <f t="shared" si="111"/>
        <v/>
      </c>
      <c r="B1026" s="63"/>
      <c r="C1026" s="25" t="str">
        <f t="shared" si="107"/>
        <v/>
      </c>
      <c r="D1026" s="25" t="str">
        <f t="shared" si="108"/>
        <v/>
      </c>
      <c r="E1026" s="45"/>
      <c r="F1026" s="28" t="str">
        <f>IFERROR(VLOOKUP(E1026,Category!$D$2:$E$600,2,FALSE),"")</f>
        <v/>
      </c>
      <c r="G1026" s="65"/>
      <c r="H1026" s="56"/>
      <c r="I1026" s="66"/>
      <c r="J1026" s="67"/>
      <c r="K1026" s="67"/>
      <c r="L1026" s="67"/>
      <c r="M1026" s="29" t="str">
        <f t="shared" si="109"/>
        <v/>
      </c>
      <c r="N1026" s="29" t="str">
        <f t="shared" si="110"/>
        <v/>
      </c>
      <c r="O1026" s="29" t="str">
        <f t="shared" ref="O1026:O1089" si="112">IF(H1026*I1026=0,"",H1026*I1026)</f>
        <v/>
      </c>
      <c r="P1026" s="61"/>
      <c r="Q1026" s="61"/>
      <c r="R1026" s="61"/>
      <c r="S1026" s="45"/>
      <c r="T1026" s="29" t="str">
        <f t="shared" ref="T1026:T1089" si="113">IF(R1026="paid",(H1026*I1026)-(G1026*H1026),"")</f>
        <v/>
      </c>
    </row>
    <row r="1027" spans="1:20">
      <c r="A1027" s="10" t="str">
        <f t="shared" si="111"/>
        <v/>
      </c>
      <c r="B1027" s="63"/>
      <c r="C1027" s="25" t="str">
        <f t="shared" ref="C1027:C1090" si="114">IF(B1027=0,"",TEXT(B1027,"mmmm"))</f>
        <v/>
      </c>
      <c r="D1027" s="25" t="str">
        <f t="shared" ref="D1027:D1090" si="115">IF(B1027=0,"",TEXT(B1027,"yyyy"))</f>
        <v/>
      </c>
      <c r="E1027" s="45"/>
      <c r="F1027" s="28" t="str">
        <f>IFERROR(VLOOKUP(E1027,Category!$D$2:$E$600,2,FALSE),"")</f>
        <v/>
      </c>
      <c r="G1027" s="65"/>
      <c r="H1027" s="56"/>
      <c r="I1027" s="66"/>
      <c r="J1027" s="67"/>
      <c r="K1027" s="67"/>
      <c r="L1027" s="67"/>
      <c r="M1027" s="29" t="str">
        <f t="shared" ref="M1027:M1090" si="116">IFERROR(IF(O1027&gt;0,IF(R1027="Paid","",O1027-J1027),""),"")</f>
        <v/>
      </c>
      <c r="N1027" s="29" t="str">
        <f t="shared" ref="N1027:N1090" si="117">IF(J1027&gt;0,IF(R1027="Paid",O1027-J1027,""),"")</f>
        <v/>
      </c>
      <c r="O1027" s="29" t="str">
        <f t="shared" si="112"/>
        <v/>
      </c>
      <c r="P1027" s="61"/>
      <c r="Q1027" s="61"/>
      <c r="R1027" s="61"/>
      <c r="S1027" s="45"/>
      <c r="T1027" s="29" t="str">
        <f t="shared" si="113"/>
        <v/>
      </c>
    </row>
    <row r="1028" spans="1:20">
      <c r="A1028" s="10" t="str">
        <f t="shared" ref="A1028:A1091" si="118">IF(E1028&gt;0,A1027+1,"")</f>
        <v/>
      </c>
      <c r="B1028" s="63"/>
      <c r="C1028" s="25" t="str">
        <f t="shared" si="114"/>
        <v/>
      </c>
      <c r="D1028" s="25" t="str">
        <f t="shared" si="115"/>
        <v/>
      </c>
      <c r="E1028" s="45"/>
      <c r="F1028" s="28" t="str">
        <f>IFERROR(VLOOKUP(E1028,Category!$D$2:$E$600,2,FALSE),"")</f>
        <v/>
      </c>
      <c r="G1028" s="65"/>
      <c r="H1028" s="56"/>
      <c r="I1028" s="66"/>
      <c r="J1028" s="67"/>
      <c r="K1028" s="67"/>
      <c r="L1028" s="67"/>
      <c r="M1028" s="29" t="str">
        <f t="shared" si="116"/>
        <v/>
      </c>
      <c r="N1028" s="29" t="str">
        <f t="shared" si="117"/>
        <v/>
      </c>
      <c r="O1028" s="29" t="str">
        <f t="shared" si="112"/>
        <v/>
      </c>
      <c r="P1028" s="61"/>
      <c r="Q1028" s="61"/>
      <c r="R1028" s="61"/>
      <c r="S1028" s="45"/>
      <c r="T1028" s="29" t="str">
        <f t="shared" si="113"/>
        <v/>
      </c>
    </row>
    <row r="1029" spans="1:20">
      <c r="A1029" s="10" t="str">
        <f t="shared" si="118"/>
        <v/>
      </c>
      <c r="B1029" s="63"/>
      <c r="C1029" s="25" t="str">
        <f t="shared" si="114"/>
        <v/>
      </c>
      <c r="D1029" s="25" t="str">
        <f t="shared" si="115"/>
        <v/>
      </c>
      <c r="E1029" s="45"/>
      <c r="F1029" s="28" t="str">
        <f>IFERROR(VLOOKUP(E1029,Category!$D$2:$E$600,2,FALSE),"")</f>
        <v/>
      </c>
      <c r="G1029" s="65"/>
      <c r="H1029" s="56"/>
      <c r="I1029" s="66"/>
      <c r="J1029" s="67"/>
      <c r="K1029" s="67"/>
      <c r="L1029" s="67"/>
      <c r="M1029" s="29" t="str">
        <f t="shared" si="116"/>
        <v/>
      </c>
      <c r="N1029" s="29" t="str">
        <f t="shared" si="117"/>
        <v/>
      </c>
      <c r="O1029" s="29" t="str">
        <f t="shared" si="112"/>
        <v/>
      </c>
      <c r="P1029" s="61"/>
      <c r="Q1029" s="61"/>
      <c r="R1029" s="61"/>
      <c r="S1029" s="45"/>
      <c r="T1029" s="29" t="str">
        <f t="shared" si="113"/>
        <v/>
      </c>
    </row>
    <row r="1030" spans="1:20">
      <c r="A1030" s="10" t="str">
        <f t="shared" si="118"/>
        <v/>
      </c>
      <c r="B1030" s="63"/>
      <c r="C1030" s="25" t="str">
        <f t="shared" si="114"/>
        <v/>
      </c>
      <c r="D1030" s="25" t="str">
        <f t="shared" si="115"/>
        <v/>
      </c>
      <c r="E1030" s="45"/>
      <c r="F1030" s="28" t="str">
        <f>IFERROR(VLOOKUP(E1030,Category!$D$2:$E$600,2,FALSE),"")</f>
        <v/>
      </c>
      <c r="G1030" s="65"/>
      <c r="H1030" s="56"/>
      <c r="I1030" s="66"/>
      <c r="J1030" s="67"/>
      <c r="K1030" s="67"/>
      <c r="L1030" s="67"/>
      <c r="M1030" s="29" t="str">
        <f t="shared" si="116"/>
        <v/>
      </c>
      <c r="N1030" s="29" t="str">
        <f t="shared" si="117"/>
        <v/>
      </c>
      <c r="O1030" s="29" t="str">
        <f t="shared" si="112"/>
        <v/>
      </c>
      <c r="P1030" s="61"/>
      <c r="Q1030" s="61"/>
      <c r="R1030" s="61"/>
      <c r="S1030" s="45"/>
      <c r="T1030" s="29" t="str">
        <f t="shared" si="113"/>
        <v/>
      </c>
    </row>
    <row r="1031" spans="1:20">
      <c r="A1031" s="10" t="str">
        <f t="shared" si="118"/>
        <v/>
      </c>
      <c r="B1031" s="63"/>
      <c r="C1031" s="25" t="str">
        <f t="shared" si="114"/>
        <v/>
      </c>
      <c r="D1031" s="25" t="str">
        <f t="shared" si="115"/>
        <v/>
      </c>
      <c r="E1031" s="45"/>
      <c r="F1031" s="28" t="str">
        <f>IFERROR(VLOOKUP(E1031,Category!$D$2:$E$600,2,FALSE),"")</f>
        <v/>
      </c>
      <c r="G1031" s="65"/>
      <c r="H1031" s="56"/>
      <c r="I1031" s="66"/>
      <c r="J1031" s="67"/>
      <c r="K1031" s="67"/>
      <c r="L1031" s="67"/>
      <c r="M1031" s="29" t="str">
        <f t="shared" si="116"/>
        <v/>
      </c>
      <c r="N1031" s="29" t="str">
        <f t="shared" si="117"/>
        <v/>
      </c>
      <c r="O1031" s="29" t="str">
        <f t="shared" si="112"/>
        <v/>
      </c>
      <c r="P1031" s="61"/>
      <c r="Q1031" s="61"/>
      <c r="R1031" s="61"/>
      <c r="S1031" s="45"/>
      <c r="T1031" s="29" t="str">
        <f t="shared" si="113"/>
        <v/>
      </c>
    </row>
    <row r="1032" spans="1:20">
      <c r="A1032" s="10" t="str">
        <f t="shared" si="118"/>
        <v/>
      </c>
      <c r="B1032" s="63"/>
      <c r="C1032" s="25" t="str">
        <f t="shared" si="114"/>
        <v/>
      </c>
      <c r="D1032" s="25" t="str">
        <f t="shared" si="115"/>
        <v/>
      </c>
      <c r="E1032" s="45"/>
      <c r="F1032" s="28" t="str">
        <f>IFERROR(VLOOKUP(E1032,Category!$D$2:$E$600,2,FALSE),"")</f>
        <v/>
      </c>
      <c r="G1032" s="65"/>
      <c r="H1032" s="56"/>
      <c r="I1032" s="66"/>
      <c r="J1032" s="67"/>
      <c r="K1032" s="67"/>
      <c r="L1032" s="67"/>
      <c r="M1032" s="29" t="str">
        <f t="shared" si="116"/>
        <v/>
      </c>
      <c r="N1032" s="29" t="str">
        <f t="shared" si="117"/>
        <v/>
      </c>
      <c r="O1032" s="29" t="str">
        <f t="shared" si="112"/>
        <v/>
      </c>
      <c r="P1032" s="61"/>
      <c r="Q1032" s="61"/>
      <c r="R1032" s="61"/>
      <c r="S1032" s="45"/>
      <c r="T1032" s="29" t="str">
        <f t="shared" si="113"/>
        <v/>
      </c>
    </row>
    <row r="1033" spans="1:20">
      <c r="A1033" s="10" t="str">
        <f t="shared" si="118"/>
        <v/>
      </c>
      <c r="B1033" s="63"/>
      <c r="C1033" s="25" t="str">
        <f t="shared" si="114"/>
        <v/>
      </c>
      <c r="D1033" s="25" t="str">
        <f t="shared" si="115"/>
        <v/>
      </c>
      <c r="E1033" s="45"/>
      <c r="F1033" s="28" t="str">
        <f>IFERROR(VLOOKUP(E1033,Category!$D$2:$E$600,2,FALSE),"")</f>
        <v/>
      </c>
      <c r="G1033" s="65"/>
      <c r="H1033" s="56"/>
      <c r="I1033" s="66"/>
      <c r="J1033" s="67"/>
      <c r="K1033" s="67"/>
      <c r="L1033" s="67"/>
      <c r="M1033" s="29" t="str">
        <f t="shared" si="116"/>
        <v/>
      </c>
      <c r="N1033" s="29" t="str">
        <f t="shared" si="117"/>
        <v/>
      </c>
      <c r="O1033" s="29" t="str">
        <f t="shared" si="112"/>
        <v/>
      </c>
      <c r="P1033" s="61"/>
      <c r="Q1033" s="61"/>
      <c r="R1033" s="61"/>
      <c r="S1033" s="45"/>
      <c r="T1033" s="29" t="str">
        <f t="shared" si="113"/>
        <v/>
      </c>
    </row>
    <row r="1034" spans="1:20">
      <c r="A1034" s="10" t="str">
        <f t="shared" si="118"/>
        <v/>
      </c>
      <c r="B1034" s="63"/>
      <c r="C1034" s="25" t="str">
        <f t="shared" si="114"/>
        <v/>
      </c>
      <c r="D1034" s="25" t="str">
        <f t="shared" si="115"/>
        <v/>
      </c>
      <c r="E1034" s="45"/>
      <c r="F1034" s="28" t="str">
        <f>IFERROR(VLOOKUP(E1034,Category!$D$2:$E$600,2,FALSE),"")</f>
        <v/>
      </c>
      <c r="G1034" s="65"/>
      <c r="H1034" s="56"/>
      <c r="I1034" s="66"/>
      <c r="J1034" s="67"/>
      <c r="K1034" s="67"/>
      <c r="L1034" s="67"/>
      <c r="M1034" s="29" t="str">
        <f t="shared" si="116"/>
        <v/>
      </c>
      <c r="N1034" s="29" t="str">
        <f t="shared" si="117"/>
        <v/>
      </c>
      <c r="O1034" s="29" t="str">
        <f t="shared" si="112"/>
        <v/>
      </c>
      <c r="P1034" s="61"/>
      <c r="Q1034" s="61"/>
      <c r="R1034" s="61"/>
      <c r="S1034" s="45"/>
      <c r="T1034" s="29" t="str">
        <f t="shared" si="113"/>
        <v/>
      </c>
    </row>
    <row r="1035" spans="1:20">
      <c r="A1035" s="10" t="str">
        <f t="shared" si="118"/>
        <v/>
      </c>
      <c r="B1035" s="63"/>
      <c r="C1035" s="25" t="str">
        <f t="shared" si="114"/>
        <v/>
      </c>
      <c r="D1035" s="25" t="str">
        <f t="shared" si="115"/>
        <v/>
      </c>
      <c r="E1035" s="45"/>
      <c r="F1035" s="28" t="str">
        <f>IFERROR(VLOOKUP(E1035,Category!$D$2:$E$600,2,FALSE),"")</f>
        <v/>
      </c>
      <c r="G1035" s="65"/>
      <c r="H1035" s="56"/>
      <c r="I1035" s="66"/>
      <c r="J1035" s="67"/>
      <c r="K1035" s="67"/>
      <c r="L1035" s="67"/>
      <c r="M1035" s="29" t="str">
        <f t="shared" si="116"/>
        <v/>
      </c>
      <c r="N1035" s="29" t="str">
        <f t="shared" si="117"/>
        <v/>
      </c>
      <c r="O1035" s="29" t="str">
        <f t="shared" si="112"/>
        <v/>
      </c>
      <c r="P1035" s="61"/>
      <c r="Q1035" s="61"/>
      <c r="R1035" s="61"/>
      <c r="S1035" s="45"/>
      <c r="T1035" s="29" t="str">
        <f t="shared" si="113"/>
        <v/>
      </c>
    </row>
    <row r="1036" spans="1:20">
      <c r="A1036" s="10" t="str">
        <f t="shared" si="118"/>
        <v/>
      </c>
      <c r="B1036" s="63"/>
      <c r="C1036" s="25" t="str">
        <f t="shared" si="114"/>
        <v/>
      </c>
      <c r="D1036" s="25" t="str">
        <f t="shared" si="115"/>
        <v/>
      </c>
      <c r="E1036" s="45"/>
      <c r="F1036" s="28" t="str">
        <f>IFERROR(VLOOKUP(E1036,Category!$D$2:$E$600,2,FALSE),"")</f>
        <v/>
      </c>
      <c r="G1036" s="65"/>
      <c r="H1036" s="56"/>
      <c r="I1036" s="66"/>
      <c r="J1036" s="67"/>
      <c r="K1036" s="67"/>
      <c r="L1036" s="67"/>
      <c r="M1036" s="29" t="str">
        <f t="shared" si="116"/>
        <v/>
      </c>
      <c r="N1036" s="29" t="str">
        <f t="shared" si="117"/>
        <v/>
      </c>
      <c r="O1036" s="29" t="str">
        <f t="shared" si="112"/>
        <v/>
      </c>
      <c r="P1036" s="61"/>
      <c r="Q1036" s="61"/>
      <c r="R1036" s="61"/>
      <c r="S1036" s="45"/>
      <c r="T1036" s="29" t="str">
        <f t="shared" si="113"/>
        <v/>
      </c>
    </row>
    <row r="1037" spans="1:20">
      <c r="A1037" s="10" t="str">
        <f t="shared" si="118"/>
        <v/>
      </c>
      <c r="B1037" s="63"/>
      <c r="C1037" s="25" t="str">
        <f t="shared" si="114"/>
        <v/>
      </c>
      <c r="D1037" s="25" t="str">
        <f t="shared" si="115"/>
        <v/>
      </c>
      <c r="E1037" s="45"/>
      <c r="F1037" s="28" t="str">
        <f>IFERROR(VLOOKUP(E1037,Category!$D$2:$E$600,2,FALSE),"")</f>
        <v/>
      </c>
      <c r="G1037" s="65"/>
      <c r="H1037" s="56"/>
      <c r="I1037" s="66"/>
      <c r="J1037" s="67"/>
      <c r="K1037" s="67"/>
      <c r="L1037" s="67"/>
      <c r="M1037" s="29" t="str">
        <f t="shared" si="116"/>
        <v/>
      </c>
      <c r="N1037" s="29" t="str">
        <f t="shared" si="117"/>
        <v/>
      </c>
      <c r="O1037" s="29" t="str">
        <f t="shared" si="112"/>
        <v/>
      </c>
      <c r="P1037" s="61"/>
      <c r="Q1037" s="61"/>
      <c r="R1037" s="61"/>
      <c r="S1037" s="45"/>
      <c r="T1037" s="29" t="str">
        <f t="shared" si="113"/>
        <v/>
      </c>
    </row>
    <row r="1038" spans="1:20">
      <c r="A1038" s="10" t="str">
        <f t="shared" si="118"/>
        <v/>
      </c>
      <c r="B1038" s="63"/>
      <c r="C1038" s="25" t="str">
        <f t="shared" si="114"/>
        <v/>
      </c>
      <c r="D1038" s="25" t="str">
        <f t="shared" si="115"/>
        <v/>
      </c>
      <c r="E1038" s="45"/>
      <c r="F1038" s="28" t="str">
        <f>IFERROR(VLOOKUP(E1038,Category!$D$2:$E$600,2,FALSE),"")</f>
        <v/>
      </c>
      <c r="G1038" s="65"/>
      <c r="H1038" s="56"/>
      <c r="I1038" s="66"/>
      <c r="J1038" s="67"/>
      <c r="K1038" s="67"/>
      <c r="L1038" s="67"/>
      <c r="M1038" s="29" t="str">
        <f t="shared" si="116"/>
        <v/>
      </c>
      <c r="N1038" s="29" t="str">
        <f t="shared" si="117"/>
        <v/>
      </c>
      <c r="O1038" s="29" t="str">
        <f t="shared" si="112"/>
        <v/>
      </c>
      <c r="P1038" s="61"/>
      <c r="Q1038" s="61"/>
      <c r="R1038" s="61"/>
      <c r="S1038" s="45"/>
      <c r="T1038" s="29" t="str">
        <f t="shared" si="113"/>
        <v/>
      </c>
    </row>
    <row r="1039" spans="1:20">
      <c r="A1039" s="10" t="str">
        <f t="shared" si="118"/>
        <v/>
      </c>
      <c r="B1039" s="63"/>
      <c r="C1039" s="25" t="str">
        <f t="shared" si="114"/>
        <v/>
      </c>
      <c r="D1039" s="25" t="str">
        <f t="shared" si="115"/>
        <v/>
      </c>
      <c r="E1039" s="45"/>
      <c r="F1039" s="28" t="str">
        <f>IFERROR(VLOOKUP(E1039,Category!$D$2:$E$600,2,FALSE),"")</f>
        <v/>
      </c>
      <c r="G1039" s="65"/>
      <c r="H1039" s="56"/>
      <c r="I1039" s="66"/>
      <c r="J1039" s="67"/>
      <c r="K1039" s="67"/>
      <c r="L1039" s="67"/>
      <c r="M1039" s="29" t="str">
        <f t="shared" si="116"/>
        <v/>
      </c>
      <c r="N1039" s="29" t="str">
        <f t="shared" si="117"/>
        <v/>
      </c>
      <c r="O1039" s="29" t="str">
        <f t="shared" si="112"/>
        <v/>
      </c>
      <c r="P1039" s="61"/>
      <c r="Q1039" s="61"/>
      <c r="R1039" s="61"/>
      <c r="S1039" s="45"/>
      <c r="T1039" s="29" t="str">
        <f t="shared" si="113"/>
        <v/>
      </c>
    </row>
    <row r="1040" spans="1:20">
      <c r="A1040" s="10" t="str">
        <f t="shared" si="118"/>
        <v/>
      </c>
      <c r="B1040" s="63"/>
      <c r="C1040" s="25" t="str">
        <f t="shared" si="114"/>
        <v/>
      </c>
      <c r="D1040" s="25" t="str">
        <f t="shared" si="115"/>
        <v/>
      </c>
      <c r="E1040" s="45"/>
      <c r="F1040" s="28" t="str">
        <f>IFERROR(VLOOKUP(E1040,Category!$D$2:$E$600,2,FALSE),"")</f>
        <v/>
      </c>
      <c r="G1040" s="65"/>
      <c r="H1040" s="56"/>
      <c r="I1040" s="66"/>
      <c r="J1040" s="67"/>
      <c r="K1040" s="67"/>
      <c r="L1040" s="67"/>
      <c r="M1040" s="29" t="str">
        <f t="shared" si="116"/>
        <v/>
      </c>
      <c r="N1040" s="29" t="str">
        <f t="shared" si="117"/>
        <v/>
      </c>
      <c r="O1040" s="29" t="str">
        <f t="shared" si="112"/>
        <v/>
      </c>
      <c r="P1040" s="61"/>
      <c r="Q1040" s="61"/>
      <c r="R1040" s="61"/>
      <c r="S1040" s="45"/>
      <c r="T1040" s="29" t="str">
        <f t="shared" si="113"/>
        <v/>
      </c>
    </row>
    <row r="1041" spans="1:20">
      <c r="A1041" s="10" t="str">
        <f t="shared" si="118"/>
        <v/>
      </c>
      <c r="B1041" s="63"/>
      <c r="C1041" s="25" t="str">
        <f t="shared" si="114"/>
        <v/>
      </c>
      <c r="D1041" s="25" t="str">
        <f t="shared" si="115"/>
        <v/>
      </c>
      <c r="E1041" s="45"/>
      <c r="F1041" s="28" t="str">
        <f>IFERROR(VLOOKUP(E1041,Category!$D$2:$E$600,2,FALSE),"")</f>
        <v/>
      </c>
      <c r="G1041" s="65"/>
      <c r="H1041" s="56"/>
      <c r="I1041" s="66"/>
      <c r="J1041" s="67"/>
      <c r="K1041" s="67"/>
      <c r="L1041" s="67"/>
      <c r="M1041" s="29" t="str">
        <f t="shared" si="116"/>
        <v/>
      </c>
      <c r="N1041" s="29" t="str">
        <f t="shared" si="117"/>
        <v/>
      </c>
      <c r="O1041" s="29" t="str">
        <f t="shared" si="112"/>
        <v/>
      </c>
      <c r="P1041" s="61"/>
      <c r="Q1041" s="61"/>
      <c r="R1041" s="61"/>
      <c r="S1041" s="45"/>
      <c r="T1041" s="29" t="str">
        <f t="shared" si="113"/>
        <v/>
      </c>
    </row>
    <row r="1042" spans="1:20">
      <c r="A1042" s="10" t="str">
        <f t="shared" si="118"/>
        <v/>
      </c>
      <c r="B1042" s="63"/>
      <c r="C1042" s="25" t="str">
        <f t="shared" si="114"/>
        <v/>
      </c>
      <c r="D1042" s="25" t="str">
        <f t="shared" si="115"/>
        <v/>
      </c>
      <c r="E1042" s="45"/>
      <c r="F1042" s="28" t="str">
        <f>IFERROR(VLOOKUP(E1042,Category!$D$2:$E$600,2,FALSE),"")</f>
        <v/>
      </c>
      <c r="G1042" s="65"/>
      <c r="H1042" s="56"/>
      <c r="I1042" s="66"/>
      <c r="J1042" s="67"/>
      <c r="K1042" s="67"/>
      <c r="L1042" s="67"/>
      <c r="M1042" s="29" t="str">
        <f t="shared" si="116"/>
        <v/>
      </c>
      <c r="N1042" s="29" t="str">
        <f t="shared" si="117"/>
        <v/>
      </c>
      <c r="O1042" s="29" t="str">
        <f t="shared" si="112"/>
        <v/>
      </c>
      <c r="P1042" s="61"/>
      <c r="Q1042" s="61"/>
      <c r="R1042" s="61"/>
      <c r="S1042" s="45"/>
      <c r="T1042" s="29" t="str">
        <f t="shared" si="113"/>
        <v/>
      </c>
    </row>
    <row r="1043" spans="1:20">
      <c r="A1043" s="10" t="str">
        <f t="shared" si="118"/>
        <v/>
      </c>
      <c r="B1043" s="63"/>
      <c r="C1043" s="25" t="str">
        <f t="shared" si="114"/>
        <v/>
      </c>
      <c r="D1043" s="25" t="str">
        <f t="shared" si="115"/>
        <v/>
      </c>
      <c r="E1043" s="45"/>
      <c r="F1043" s="28" t="str">
        <f>IFERROR(VLOOKUP(E1043,Category!$D$2:$E$600,2,FALSE),"")</f>
        <v/>
      </c>
      <c r="G1043" s="65"/>
      <c r="H1043" s="56"/>
      <c r="I1043" s="66"/>
      <c r="J1043" s="67"/>
      <c r="K1043" s="67"/>
      <c r="L1043" s="67"/>
      <c r="M1043" s="29" t="str">
        <f t="shared" si="116"/>
        <v/>
      </c>
      <c r="N1043" s="29" t="str">
        <f t="shared" si="117"/>
        <v/>
      </c>
      <c r="O1043" s="29" t="str">
        <f t="shared" si="112"/>
        <v/>
      </c>
      <c r="P1043" s="61"/>
      <c r="Q1043" s="61"/>
      <c r="R1043" s="61"/>
      <c r="S1043" s="45"/>
      <c r="T1043" s="29" t="str">
        <f t="shared" si="113"/>
        <v/>
      </c>
    </row>
    <row r="1044" spans="1:20">
      <c r="A1044" s="10" t="str">
        <f t="shared" si="118"/>
        <v/>
      </c>
      <c r="B1044" s="63"/>
      <c r="C1044" s="25" t="str">
        <f t="shared" si="114"/>
        <v/>
      </c>
      <c r="D1044" s="25" t="str">
        <f t="shared" si="115"/>
        <v/>
      </c>
      <c r="E1044" s="45"/>
      <c r="F1044" s="28" t="str">
        <f>IFERROR(VLOOKUP(E1044,Category!$D$2:$E$600,2,FALSE),"")</f>
        <v/>
      </c>
      <c r="G1044" s="65"/>
      <c r="H1044" s="56"/>
      <c r="I1044" s="66"/>
      <c r="J1044" s="67"/>
      <c r="K1044" s="67"/>
      <c r="L1044" s="67"/>
      <c r="M1044" s="29" t="str">
        <f t="shared" si="116"/>
        <v/>
      </c>
      <c r="N1044" s="29" t="str">
        <f t="shared" si="117"/>
        <v/>
      </c>
      <c r="O1044" s="29" t="str">
        <f t="shared" si="112"/>
        <v/>
      </c>
      <c r="P1044" s="61"/>
      <c r="Q1044" s="61"/>
      <c r="R1044" s="61"/>
      <c r="S1044" s="45"/>
      <c r="T1044" s="29" t="str">
        <f t="shared" si="113"/>
        <v/>
      </c>
    </row>
    <row r="1045" spans="1:20">
      <c r="A1045" s="10" t="str">
        <f t="shared" si="118"/>
        <v/>
      </c>
      <c r="B1045" s="63"/>
      <c r="C1045" s="25" t="str">
        <f t="shared" si="114"/>
        <v/>
      </c>
      <c r="D1045" s="25" t="str">
        <f t="shared" si="115"/>
        <v/>
      </c>
      <c r="E1045" s="45"/>
      <c r="F1045" s="28" t="str">
        <f>IFERROR(VLOOKUP(E1045,Category!$D$2:$E$600,2,FALSE),"")</f>
        <v/>
      </c>
      <c r="G1045" s="65"/>
      <c r="H1045" s="56"/>
      <c r="I1045" s="66"/>
      <c r="J1045" s="67"/>
      <c r="K1045" s="67"/>
      <c r="L1045" s="67"/>
      <c r="M1045" s="29" t="str">
        <f t="shared" si="116"/>
        <v/>
      </c>
      <c r="N1045" s="29" t="str">
        <f t="shared" si="117"/>
        <v/>
      </c>
      <c r="O1045" s="29" t="str">
        <f t="shared" si="112"/>
        <v/>
      </c>
      <c r="P1045" s="61"/>
      <c r="Q1045" s="61"/>
      <c r="R1045" s="61"/>
      <c r="S1045" s="45"/>
      <c r="T1045" s="29" t="str">
        <f t="shared" si="113"/>
        <v/>
      </c>
    </row>
    <row r="1046" spans="1:20">
      <c r="A1046" s="10" t="str">
        <f t="shared" si="118"/>
        <v/>
      </c>
      <c r="B1046" s="63"/>
      <c r="C1046" s="25" t="str">
        <f t="shared" si="114"/>
        <v/>
      </c>
      <c r="D1046" s="25" t="str">
        <f t="shared" si="115"/>
        <v/>
      </c>
      <c r="E1046" s="45"/>
      <c r="F1046" s="28" t="str">
        <f>IFERROR(VLOOKUP(E1046,Category!$D$2:$E$600,2,FALSE),"")</f>
        <v/>
      </c>
      <c r="G1046" s="65"/>
      <c r="H1046" s="56"/>
      <c r="I1046" s="66"/>
      <c r="J1046" s="67"/>
      <c r="K1046" s="67"/>
      <c r="L1046" s="67"/>
      <c r="M1046" s="29" t="str">
        <f t="shared" si="116"/>
        <v/>
      </c>
      <c r="N1046" s="29" t="str">
        <f t="shared" si="117"/>
        <v/>
      </c>
      <c r="O1046" s="29" t="str">
        <f t="shared" si="112"/>
        <v/>
      </c>
      <c r="P1046" s="61"/>
      <c r="Q1046" s="61"/>
      <c r="R1046" s="61"/>
      <c r="S1046" s="45"/>
      <c r="T1046" s="29" t="str">
        <f t="shared" si="113"/>
        <v/>
      </c>
    </row>
    <row r="1047" spans="1:20">
      <c r="A1047" s="10" t="str">
        <f t="shared" si="118"/>
        <v/>
      </c>
      <c r="B1047" s="63"/>
      <c r="C1047" s="25" t="str">
        <f t="shared" si="114"/>
        <v/>
      </c>
      <c r="D1047" s="25" t="str">
        <f t="shared" si="115"/>
        <v/>
      </c>
      <c r="E1047" s="45"/>
      <c r="F1047" s="28" t="str">
        <f>IFERROR(VLOOKUP(E1047,Category!$D$2:$E$600,2,FALSE),"")</f>
        <v/>
      </c>
      <c r="G1047" s="65"/>
      <c r="H1047" s="56"/>
      <c r="I1047" s="66"/>
      <c r="J1047" s="67"/>
      <c r="K1047" s="67"/>
      <c r="L1047" s="67"/>
      <c r="M1047" s="29" t="str">
        <f t="shared" si="116"/>
        <v/>
      </c>
      <c r="N1047" s="29" t="str">
        <f t="shared" si="117"/>
        <v/>
      </c>
      <c r="O1047" s="29" t="str">
        <f t="shared" si="112"/>
        <v/>
      </c>
      <c r="P1047" s="61"/>
      <c r="Q1047" s="61"/>
      <c r="R1047" s="61"/>
      <c r="S1047" s="45"/>
      <c r="T1047" s="29" t="str">
        <f t="shared" si="113"/>
        <v/>
      </c>
    </row>
    <row r="1048" spans="1:20">
      <c r="A1048" s="10" t="str">
        <f t="shared" si="118"/>
        <v/>
      </c>
      <c r="B1048" s="63"/>
      <c r="C1048" s="25" t="str">
        <f t="shared" si="114"/>
        <v/>
      </c>
      <c r="D1048" s="25" t="str">
        <f t="shared" si="115"/>
        <v/>
      </c>
      <c r="E1048" s="45"/>
      <c r="F1048" s="28" t="str">
        <f>IFERROR(VLOOKUP(E1048,Category!$D$2:$E$600,2,FALSE),"")</f>
        <v/>
      </c>
      <c r="G1048" s="65"/>
      <c r="H1048" s="56"/>
      <c r="I1048" s="66"/>
      <c r="J1048" s="67"/>
      <c r="K1048" s="67"/>
      <c r="L1048" s="67"/>
      <c r="M1048" s="29" t="str">
        <f t="shared" si="116"/>
        <v/>
      </c>
      <c r="N1048" s="29" t="str">
        <f t="shared" si="117"/>
        <v/>
      </c>
      <c r="O1048" s="29" t="str">
        <f t="shared" si="112"/>
        <v/>
      </c>
      <c r="P1048" s="61"/>
      <c r="Q1048" s="61"/>
      <c r="R1048" s="61"/>
      <c r="S1048" s="45"/>
      <c r="T1048" s="29" t="str">
        <f t="shared" si="113"/>
        <v/>
      </c>
    </row>
    <row r="1049" spans="1:20">
      <c r="A1049" s="10" t="str">
        <f t="shared" si="118"/>
        <v/>
      </c>
      <c r="B1049" s="63"/>
      <c r="C1049" s="25" t="str">
        <f t="shared" si="114"/>
        <v/>
      </c>
      <c r="D1049" s="25" t="str">
        <f t="shared" si="115"/>
        <v/>
      </c>
      <c r="E1049" s="45"/>
      <c r="F1049" s="28" t="str">
        <f>IFERROR(VLOOKUP(E1049,Category!$D$2:$E$600,2,FALSE),"")</f>
        <v/>
      </c>
      <c r="G1049" s="65"/>
      <c r="H1049" s="56"/>
      <c r="I1049" s="66"/>
      <c r="J1049" s="67"/>
      <c r="K1049" s="67"/>
      <c r="L1049" s="67"/>
      <c r="M1049" s="29" t="str">
        <f t="shared" si="116"/>
        <v/>
      </c>
      <c r="N1049" s="29" t="str">
        <f t="shared" si="117"/>
        <v/>
      </c>
      <c r="O1049" s="29" t="str">
        <f t="shared" si="112"/>
        <v/>
      </c>
      <c r="P1049" s="61"/>
      <c r="Q1049" s="61"/>
      <c r="R1049" s="61"/>
      <c r="S1049" s="45"/>
      <c r="T1049" s="29" t="str">
        <f t="shared" si="113"/>
        <v/>
      </c>
    </row>
    <row r="1050" spans="1:20">
      <c r="A1050" s="10" t="str">
        <f t="shared" si="118"/>
        <v/>
      </c>
      <c r="B1050" s="63"/>
      <c r="C1050" s="25" t="str">
        <f t="shared" si="114"/>
        <v/>
      </c>
      <c r="D1050" s="25" t="str">
        <f t="shared" si="115"/>
        <v/>
      </c>
      <c r="E1050" s="45"/>
      <c r="F1050" s="28" t="str">
        <f>IFERROR(VLOOKUP(E1050,Category!$D$2:$E$600,2,FALSE),"")</f>
        <v/>
      </c>
      <c r="G1050" s="65"/>
      <c r="H1050" s="56"/>
      <c r="I1050" s="66"/>
      <c r="J1050" s="67"/>
      <c r="K1050" s="67"/>
      <c r="L1050" s="67"/>
      <c r="M1050" s="29" t="str">
        <f t="shared" si="116"/>
        <v/>
      </c>
      <c r="N1050" s="29" t="str">
        <f t="shared" si="117"/>
        <v/>
      </c>
      <c r="O1050" s="29" t="str">
        <f t="shared" si="112"/>
        <v/>
      </c>
      <c r="P1050" s="61"/>
      <c r="Q1050" s="61"/>
      <c r="R1050" s="61"/>
      <c r="S1050" s="45"/>
      <c r="T1050" s="29" t="str">
        <f t="shared" si="113"/>
        <v/>
      </c>
    </row>
    <row r="1051" spans="1:20">
      <c r="A1051" s="10" t="str">
        <f t="shared" si="118"/>
        <v/>
      </c>
      <c r="B1051" s="63"/>
      <c r="C1051" s="25" t="str">
        <f t="shared" si="114"/>
        <v/>
      </c>
      <c r="D1051" s="25" t="str">
        <f t="shared" si="115"/>
        <v/>
      </c>
      <c r="E1051" s="45"/>
      <c r="F1051" s="28" t="str">
        <f>IFERROR(VLOOKUP(E1051,Category!$D$2:$E$600,2,FALSE),"")</f>
        <v/>
      </c>
      <c r="G1051" s="65"/>
      <c r="H1051" s="56"/>
      <c r="I1051" s="66"/>
      <c r="J1051" s="67"/>
      <c r="K1051" s="67"/>
      <c r="L1051" s="67"/>
      <c r="M1051" s="29" t="str">
        <f t="shared" si="116"/>
        <v/>
      </c>
      <c r="N1051" s="29" t="str">
        <f t="shared" si="117"/>
        <v/>
      </c>
      <c r="O1051" s="29" t="str">
        <f t="shared" si="112"/>
        <v/>
      </c>
      <c r="P1051" s="61"/>
      <c r="Q1051" s="61"/>
      <c r="R1051" s="61"/>
      <c r="S1051" s="45"/>
      <c r="T1051" s="29" t="str">
        <f t="shared" si="113"/>
        <v/>
      </c>
    </row>
    <row r="1052" spans="1:20">
      <c r="A1052" s="10" t="str">
        <f t="shared" si="118"/>
        <v/>
      </c>
      <c r="B1052" s="63"/>
      <c r="C1052" s="25" t="str">
        <f t="shared" si="114"/>
        <v/>
      </c>
      <c r="D1052" s="25" t="str">
        <f t="shared" si="115"/>
        <v/>
      </c>
      <c r="E1052" s="45"/>
      <c r="F1052" s="28" t="str">
        <f>IFERROR(VLOOKUP(E1052,Category!$D$2:$E$600,2,FALSE),"")</f>
        <v/>
      </c>
      <c r="G1052" s="65"/>
      <c r="H1052" s="56"/>
      <c r="I1052" s="66"/>
      <c r="J1052" s="67"/>
      <c r="K1052" s="67"/>
      <c r="L1052" s="67"/>
      <c r="M1052" s="29" t="str">
        <f t="shared" si="116"/>
        <v/>
      </c>
      <c r="N1052" s="29" t="str">
        <f t="shared" si="117"/>
        <v/>
      </c>
      <c r="O1052" s="29" t="str">
        <f t="shared" si="112"/>
        <v/>
      </c>
      <c r="P1052" s="61"/>
      <c r="Q1052" s="61"/>
      <c r="R1052" s="61"/>
      <c r="S1052" s="45"/>
      <c r="T1052" s="29" t="str">
        <f t="shared" si="113"/>
        <v/>
      </c>
    </row>
    <row r="1053" spans="1:20">
      <c r="A1053" s="10" t="str">
        <f t="shared" si="118"/>
        <v/>
      </c>
      <c r="B1053" s="63"/>
      <c r="C1053" s="25" t="str">
        <f t="shared" si="114"/>
        <v/>
      </c>
      <c r="D1053" s="25" t="str">
        <f t="shared" si="115"/>
        <v/>
      </c>
      <c r="E1053" s="45"/>
      <c r="F1053" s="28" t="str">
        <f>IFERROR(VLOOKUP(E1053,Category!$D$2:$E$600,2,FALSE),"")</f>
        <v/>
      </c>
      <c r="G1053" s="65"/>
      <c r="H1053" s="56"/>
      <c r="I1053" s="66"/>
      <c r="J1053" s="67"/>
      <c r="K1053" s="67"/>
      <c r="L1053" s="67"/>
      <c r="M1053" s="29" t="str">
        <f t="shared" si="116"/>
        <v/>
      </c>
      <c r="N1053" s="29" t="str">
        <f t="shared" si="117"/>
        <v/>
      </c>
      <c r="O1053" s="29" t="str">
        <f t="shared" si="112"/>
        <v/>
      </c>
      <c r="P1053" s="61"/>
      <c r="Q1053" s="61"/>
      <c r="R1053" s="61"/>
      <c r="S1053" s="45"/>
      <c r="T1053" s="29" t="str">
        <f t="shared" si="113"/>
        <v/>
      </c>
    </row>
    <row r="1054" spans="1:20">
      <c r="A1054" s="10" t="str">
        <f t="shared" si="118"/>
        <v/>
      </c>
      <c r="B1054" s="63"/>
      <c r="C1054" s="25" t="str">
        <f t="shared" si="114"/>
        <v/>
      </c>
      <c r="D1054" s="25" t="str">
        <f t="shared" si="115"/>
        <v/>
      </c>
      <c r="E1054" s="45"/>
      <c r="F1054" s="28" t="str">
        <f>IFERROR(VLOOKUP(E1054,Category!$D$2:$E$600,2,FALSE),"")</f>
        <v/>
      </c>
      <c r="G1054" s="65"/>
      <c r="H1054" s="56"/>
      <c r="I1054" s="66"/>
      <c r="J1054" s="67"/>
      <c r="K1054" s="67"/>
      <c r="L1054" s="67"/>
      <c r="M1054" s="29" t="str">
        <f t="shared" si="116"/>
        <v/>
      </c>
      <c r="N1054" s="29" t="str">
        <f t="shared" si="117"/>
        <v/>
      </c>
      <c r="O1054" s="29" t="str">
        <f t="shared" si="112"/>
        <v/>
      </c>
      <c r="P1054" s="61"/>
      <c r="Q1054" s="61"/>
      <c r="R1054" s="61"/>
      <c r="S1054" s="45"/>
      <c r="T1054" s="29" t="str">
        <f t="shared" si="113"/>
        <v/>
      </c>
    </row>
    <row r="1055" spans="1:20">
      <c r="A1055" s="10" t="str">
        <f t="shared" si="118"/>
        <v/>
      </c>
      <c r="B1055" s="63"/>
      <c r="C1055" s="25" t="str">
        <f t="shared" si="114"/>
        <v/>
      </c>
      <c r="D1055" s="25" t="str">
        <f t="shared" si="115"/>
        <v/>
      </c>
      <c r="E1055" s="45"/>
      <c r="F1055" s="28" t="str">
        <f>IFERROR(VLOOKUP(E1055,Category!$D$2:$E$600,2,FALSE),"")</f>
        <v/>
      </c>
      <c r="G1055" s="65"/>
      <c r="H1055" s="56"/>
      <c r="I1055" s="66"/>
      <c r="J1055" s="67"/>
      <c r="K1055" s="67"/>
      <c r="L1055" s="67"/>
      <c r="M1055" s="29" t="str">
        <f t="shared" si="116"/>
        <v/>
      </c>
      <c r="N1055" s="29" t="str">
        <f t="shared" si="117"/>
        <v/>
      </c>
      <c r="O1055" s="29" t="str">
        <f t="shared" si="112"/>
        <v/>
      </c>
      <c r="P1055" s="61"/>
      <c r="Q1055" s="61"/>
      <c r="R1055" s="61"/>
      <c r="S1055" s="45"/>
      <c r="T1055" s="29" t="str">
        <f t="shared" si="113"/>
        <v/>
      </c>
    </row>
    <row r="1056" spans="1:20">
      <c r="A1056" s="10" t="str">
        <f t="shared" si="118"/>
        <v/>
      </c>
      <c r="B1056" s="63"/>
      <c r="C1056" s="25" t="str">
        <f t="shared" si="114"/>
        <v/>
      </c>
      <c r="D1056" s="25" t="str">
        <f t="shared" si="115"/>
        <v/>
      </c>
      <c r="E1056" s="45"/>
      <c r="F1056" s="28" t="str">
        <f>IFERROR(VLOOKUP(E1056,Category!$D$2:$E$600,2,FALSE),"")</f>
        <v/>
      </c>
      <c r="G1056" s="65"/>
      <c r="H1056" s="56"/>
      <c r="I1056" s="66"/>
      <c r="J1056" s="67"/>
      <c r="K1056" s="67"/>
      <c r="L1056" s="67"/>
      <c r="M1056" s="29" t="str">
        <f t="shared" si="116"/>
        <v/>
      </c>
      <c r="N1056" s="29" t="str">
        <f t="shared" si="117"/>
        <v/>
      </c>
      <c r="O1056" s="29" t="str">
        <f t="shared" si="112"/>
        <v/>
      </c>
      <c r="P1056" s="61"/>
      <c r="Q1056" s="61"/>
      <c r="R1056" s="61"/>
      <c r="S1056" s="45"/>
      <c r="T1056" s="29" t="str">
        <f t="shared" si="113"/>
        <v/>
      </c>
    </row>
    <row r="1057" spans="1:20">
      <c r="A1057" s="10" t="str">
        <f t="shared" si="118"/>
        <v/>
      </c>
      <c r="B1057" s="63"/>
      <c r="C1057" s="25" t="str">
        <f t="shared" si="114"/>
        <v/>
      </c>
      <c r="D1057" s="25" t="str">
        <f t="shared" si="115"/>
        <v/>
      </c>
      <c r="E1057" s="45"/>
      <c r="F1057" s="28" t="str">
        <f>IFERROR(VLOOKUP(E1057,Category!$D$2:$E$600,2,FALSE),"")</f>
        <v/>
      </c>
      <c r="G1057" s="65"/>
      <c r="H1057" s="56"/>
      <c r="I1057" s="66"/>
      <c r="J1057" s="67"/>
      <c r="K1057" s="67"/>
      <c r="L1057" s="67"/>
      <c r="M1057" s="29" t="str">
        <f t="shared" si="116"/>
        <v/>
      </c>
      <c r="N1057" s="29" t="str">
        <f t="shared" si="117"/>
        <v/>
      </c>
      <c r="O1057" s="29" t="str">
        <f t="shared" si="112"/>
        <v/>
      </c>
      <c r="P1057" s="61"/>
      <c r="Q1057" s="61"/>
      <c r="R1057" s="61"/>
      <c r="S1057" s="45"/>
      <c r="T1057" s="29" t="str">
        <f t="shared" si="113"/>
        <v/>
      </c>
    </row>
    <row r="1058" spans="1:20">
      <c r="A1058" s="10" t="str">
        <f t="shared" si="118"/>
        <v/>
      </c>
      <c r="B1058" s="63"/>
      <c r="C1058" s="25" t="str">
        <f t="shared" si="114"/>
        <v/>
      </c>
      <c r="D1058" s="25" t="str">
        <f t="shared" si="115"/>
        <v/>
      </c>
      <c r="E1058" s="45"/>
      <c r="F1058" s="28" t="str">
        <f>IFERROR(VLOOKUP(E1058,Category!$D$2:$E$600,2,FALSE),"")</f>
        <v/>
      </c>
      <c r="G1058" s="65"/>
      <c r="H1058" s="56"/>
      <c r="I1058" s="66"/>
      <c r="J1058" s="67"/>
      <c r="K1058" s="67"/>
      <c r="L1058" s="67"/>
      <c r="M1058" s="29" t="str">
        <f t="shared" si="116"/>
        <v/>
      </c>
      <c r="N1058" s="29" t="str">
        <f t="shared" si="117"/>
        <v/>
      </c>
      <c r="O1058" s="29" t="str">
        <f t="shared" si="112"/>
        <v/>
      </c>
      <c r="P1058" s="61"/>
      <c r="Q1058" s="61"/>
      <c r="R1058" s="61"/>
      <c r="S1058" s="45"/>
      <c r="T1058" s="29" t="str">
        <f t="shared" si="113"/>
        <v/>
      </c>
    </row>
    <row r="1059" spans="1:20">
      <c r="A1059" s="10" t="str">
        <f t="shared" si="118"/>
        <v/>
      </c>
      <c r="B1059" s="63"/>
      <c r="C1059" s="25" t="str">
        <f t="shared" si="114"/>
        <v/>
      </c>
      <c r="D1059" s="25" t="str">
        <f t="shared" si="115"/>
        <v/>
      </c>
      <c r="E1059" s="45"/>
      <c r="F1059" s="28" t="str">
        <f>IFERROR(VLOOKUP(E1059,Category!$D$2:$E$600,2,FALSE),"")</f>
        <v/>
      </c>
      <c r="G1059" s="65"/>
      <c r="H1059" s="56"/>
      <c r="I1059" s="66"/>
      <c r="J1059" s="67"/>
      <c r="K1059" s="67"/>
      <c r="L1059" s="67"/>
      <c r="M1059" s="29" t="str">
        <f t="shared" si="116"/>
        <v/>
      </c>
      <c r="N1059" s="29" t="str">
        <f t="shared" si="117"/>
        <v/>
      </c>
      <c r="O1059" s="29" t="str">
        <f t="shared" si="112"/>
        <v/>
      </c>
      <c r="P1059" s="61"/>
      <c r="Q1059" s="61"/>
      <c r="R1059" s="61"/>
      <c r="S1059" s="45"/>
      <c r="T1059" s="29" t="str">
        <f t="shared" si="113"/>
        <v/>
      </c>
    </row>
    <row r="1060" spans="1:20">
      <c r="A1060" s="10" t="str">
        <f t="shared" si="118"/>
        <v/>
      </c>
      <c r="B1060" s="63"/>
      <c r="C1060" s="25" t="str">
        <f t="shared" si="114"/>
        <v/>
      </c>
      <c r="D1060" s="25" t="str">
        <f t="shared" si="115"/>
        <v/>
      </c>
      <c r="E1060" s="45"/>
      <c r="F1060" s="28" t="str">
        <f>IFERROR(VLOOKUP(E1060,Category!$D$2:$E$600,2,FALSE),"")</f>
        <v/>
      </c>
      <c r="G1060" s="65"/>
      <c r="H1060" s="56"/>
      <c r="I1060" s="66"/>
      <c r="J1060" s="67"/>
      <c r="K1060" s="67"/>
      <c r="L1060" s="67"/>
      <c r="M1060" s="29" t="str">
        <f t="shared" si="116"/>
        <v/>
      </c>
      <c r="N1060" s="29" t="str">
        <f t="shared" si="117"/>
        <v/>
      </c>
      <c r="O1060" s="29" t="str">
        <f t="shared" si="112"/>
        <v/>
      </c>
      <c r="P1060" s="61"/>
      <c r="Q1060" s="61"/>
      <c r="R1060" s="61"/>
      <c r="S1060" s="45"/>
      <c r="T1060" s="29" t="str">
        <f t="shared" si="113"/>
        <v/>
      </c>
    </row>
    <row r="1061" spans="1:20">
      <c r="A1061" s="10" t="str">
        <f t="shared" si="118"/>
        <v/>
      </c>
      <c r="B1061" s="63"/>
      <c r="C1061" s="25" t="str">
        <f t="shared" si="114"/>
        <v/>
      </c>
      <c r="D1061" s="25" t="str">
        <f t="shared" si="115"/>
        <v/>
      </c>
      <c r="E1061" s="45"/>
      <c r="F1061" s="28" t="str">
        <f>IFERROR(VLOOKUP(E1061,Category!$D$2:$E$600,2,FALSE),"")</f>
        <v/>
      </c>
      <c r="G1061" s="65"/>
      <c r="H1061" s="56"/>
      <c r="I1061" s="66"/>
      <c r="J1061" s="67"/>
      <c r="K1061" s="67"/>
      <c r="L1061" s="67"/>
      <c r="M1061" s="29" t="str">
        <f t="shared" si="116"/>
        <v/>
      </c>
      <c r="N1061" s="29" t="str">
        <f t="shared" si="117"/>
        <v/>
      </c>
      <c r="O1061" s="29" t="str">
        <f t="shared" si="112"/>
        <v/>
      </c>
      <c r="P1061" s="61"/>
      <c r="Q1061" s="61"/>
      <c r="R1061" s="61"/>
      <c r="S1061" s="45"/>
      <c r="T1061" s="29" t="str">
        <f t="shared" si="113"/>
        <v/>
      </c>
    </row>
    <row r="1062" spans="1:20">
      <c r="A1062" s="10" t="str">
        <f t="shared" si="118"/>
        <v/>
      </c>
      <c r="B1062" s="63"/>
      <c r="C1062" s="25" t="str">
        <f t="shared" si="114"/>
        <v/>
      </c>
      <c r="D1062" s="25" t="str">
        <f t="shared" si="115"/>
        <v/>
      </c>
      <c r="E1062" s="45"/>
      <c r="F1062" s="28" t="str">
        <f>IFERROR(VLOOKUP(E1062,Category!$D$2:$E$600,2,FALSE),"")</f>
        <v/>
      </c>
      <c r="G1062" s="65"/>
      <c r="H1062" s="56"/>
      <c r="I1062" s="66"/>
      <c r="J1062" s="67"/>
      <c r="K1062" s="67"/>
      <c r="L1062" s="67"/>
      <c r="M1062" s="29" t="str">
        <f t="shared" si="116"/>
        <v/>
      </c>
      <c r="N1062" s="29" t="str">
        <f t="shared" si="117"/>
        <v/>
      </c>
      <c r="O1062" s="29" t="str">
        <f t="shared" si="112"/>
        <v/>
      </c>
      <c r="P1062" s="61"/>
      <c r="Q1062" s="61"/>
      <c r="R1062" s="61"/>
      <c r="S1062" s="45"/>
      <c r="T1062" s="29" t="str">
        <f t="shared" si="113"/>
        <v/>
      </c>
    </row>
    <row r="1063" spans="1:20">
      <c r="A1063" s="10" t="str">
        <f t="shared" si="118"/>
        <v/>
      </c>
      <c r="B1063" s="63"/>
      <c r="C1063" s="25" t="str">
        <f t="shared" si="114"/>
        <v/>
      </c>
      <c r="D1063" s="25" t="str">
        <f t="shared" si="115"/>
        <v/>
      </c>
      <c r="E1063" s="45"/>
      <c r="F1063" s="28" t="str">
        <f>IFERROR(VLOOKUP(E1063,Category!$D$2:$E$600,2,FALSE),"")</f>
        <v/>
      </c>
      <c r="G1063" s="65"/>
      <c r="H1063" s="56"/>
      <c r="I1063" s="66"/>
      <c r="J1063" s="67"/>
      <c r="K1063" s="67"/>
      <c r="L1063" s="67"/>
      <c r="M1063" s="29" t="str">
        <f t="shared" si="116"/>
        <v/>
      </c>
      <c r="N1063" s="29" t="str">
        <f t="shared" si="117"/>
        <v/>
      </c>
      <c r="O1063" s="29" t="str">
        <f t="shared" si="112"/>
        <v/>
      </c>
      <c r="P1063" s="61"/>
      <c r="Q1063" s="61"/>
      <c r="R1063" s="61"/>
      <c r="S1063" s="45"/>
      <c r="T1063" s="29" t="str">
        <f t="shared" si="113"/>
        <v/>
      </c>
    </row>
    <row r="1064" spans="1:20">
      <c r="A1064" s="10" t="str">
        <f t="shared" si="118"/>
        <v/>
      </c>
      <c r="B1064" s="63"/>
      <c r="C1064" s="25" t="str">
        <f t="shared" si="114"/>
        <v/>
      </c>
      <c r="D1064" s="25" t="str">
        <f t="shared" si="115"/>
        <v/>
      </c>
      <c r="E1064" s="45"/>
      <c r="F1064" s="28" t="str">
        <f>IFERROR(VLOOKUP(E1064,Category!$D$2:$E$600,2,FALSE),"")</f>
        <v/>
      </c>
      <c r="G1064" s="65"/>
      <c r="H1064" s="56"/>
      <c r="I1064" s="66"/>
      <c r="J1064" s="67"/>
      <c r="K1064" s="67"/>
      <c r="L1064" s="67"/>
      <c r="M1064" s="29" t="str">
        <f t="shared" si="116"/>
        <v/>
      </c>
      <c r="N1064" s="29" t="str">
        <f t="shared" si="117"/>
        <v/>
      </c>
      <c r="O1064" s="29" t="str">
        <f t="shared" si="112"/>
        <v/>
      </c>
      <c r="P1064" s="61"/>
      <c r="Q1064" s="61"/>
      <c r="R1064" s="61"/>
      <c r="S1064" s="45"/>
      <c r="T1064" s="29" t="str">
        <f t="shared" si="113"/>
        <v/>
      </c>
    </row>
    <row r="1065" spans="1:20">
      <c r="A1065" s="10" t="str">
        <f t="shared" si="118"/>
        <v/>
      </c>
      <c r="B1065" s="63"/>
      <c r="C1065" s="25" t="str">
        <f t="shared" si="114"/>
        <v/>
      </c>
      <c r="D1065" s="25" t="str">
        <f t="shared" si="115"/>
        <v/>
      </c>
      <c r="E1065" s="45"/>
      <c r="F1065" s="28" t="str">
        <f>IFERROR(VLOOKUP(E1065,Category!$D$2:$E$600,2,FALSE),"")</f>
        <v/>
      </c>
      <c r="G1065" s="65"/>
      <c r="H1065" s="56"/>
      <c r="I1065" s="66"/>
      <c r="J1065" s="67"/>
      <c r="K1065" s="67"/>
      <c r="L1065" s="67"/>
      <c r="M1065" s="29" t="str">
        <f t="shared" si="116"/>
        <v/>
      </c>
      <c r="N1065" s="29" t="str">
        <f t="shared" si="117"/>
        <v/>
      </c>
      <c r="O1065" s="29" t="str">
        <f t="shared" si="112"/>
        <v/>
      </c>
      <c r="P1065" s="61"/>
      <c r="Q1065" s="61"/>
      <c r="R1065" s="61"/>
      <c r="S1065" s="45"/>
      <c r="T1065" s="29" t="str">
        <f t="shared" si="113"/>
        <v/>
      </c>
    </row>
    <row r="1066" spans="1:20">
      <c r="A1066" s="10" t="str">
        <f t="shared" si="118"/>
        <v/>
      </c>
      <c r="B1066" s="63"/>
      <c r="C1066" s="25" t="str">
        <f t="shared" si="114"/>
        <v/>
      </c>
      <c r="D1066" s="25" t="str">
        <f t="shared" si="115"/>
        <v/>
      </c>
      <c r="E1066" s="45"/>
      <c r="F1066" s="28" t="str">
        <f>IFERROR(VLOOKUP(E1066,Category!$D$2:$E$600,2,FALSE),"")</f>
        <v/>
      </c>
      <c r="G1066" s="65"/>
      <c r="H1066" s="56"/>
      <c r="I1066" s="66"/>
      <c r="J1066" s="67"/>
      <c r="K1066" s="67"/>
      <c r="L1066" s="67"/>
      <c r="M1066" s="29" t="str">
        <f t="shared" si="116"/>
        <v/>
      </c>
      <c r="N1066" s="29" t="str">
        <f t="shared" si="117"/>
        <v/>
      </c>
      <c r="O1066" s="29" t="str">
        <f t="shared" si="112"/>
        <v/>
      </c>
      <c r="P1066" s="61"/>
      <c r="Q1066" s="61"/>
      <c r="R1066" s="61"/>
      <c r="S1066" s="45"/>
      <c r="T1066" s="29" t="str">
        <f t="shared" si="113"/>
        <v/>
      </c>
    </row>
    <row r="1067" spans="1:20">
      <c r="A1067" s="10" t="str">
        <f t="shared" si="118"/>
        <v/>
      </c>
      <c r="B1067" s="63"/>
      <c r="C1067" s="25" t="str">
        <f t="shared" si="114"/>
        <v/>
      </c>
      <c r="D1067" s="25" t="str">
        <f t="shared" si="115"/>
        <v/>
      </c>
      <c r="E1067" s="45"/>
      <c r="F1067" s="28" t="str">
        <f>IFERROR(VLOOKUP(E1067,Category!$D$2:$E$600,2,FALSE),"")</f>
        <v/>
      </c>
      <c r="G1067" s="65"/>
      <c r="H1067" s="56"/>
      <c r="I1067" s="66"/>
      <c r="J1067" s="67"/>
      <c r="K1067" s="67"/>
      <c r="L1067" s="67"/>
      <c r="M1067" s="29" t="str">
        <f t="shared" si="116"/>
        <v/>
      </c>
      <c r="N1067" s="29" t="str">
        <f t="shared" si="117"/>
        <v/>
      </c>
      <c r="O1067" s="29" t="str">
        <f t="shared" si="112"/>
        <v/>
      </c>
      <c r="P1067" s="61"/>
      <c r="Q1067" s="61"/>
      <c r="R1067" s="61"/>
      <c r="S1067" s="45"/>
      <c r="T1067" s="29" t="str">
        <f t="shared" si="113"/>
        <v/>
      </c>
    </row>
    <row r="1068" spans="1:20">
      <c r="A1068" s="10" t="str">
        <f t="shared" si="118"/>
        <v/>
      </c>
      <c r="B1068" s="63"/>
      <c r="C1068" s="25" t="str">
        <f t="shared" si="114"/>
        <v/>
      </c>
      <c r="D1068" s="25" t="str">
        <f t="shared" si="115"/>
        <v/>
      </c>
      <c r="E1068" s="45"/>
      <c r="F1068" s="28" t="str">
        <f>IFERROR(VLOOKUP(E1068,Category!$D$2:$E$600,2,FALSE),"")</f>
        <v/>
      </c>
      <c r="G1068" s="65"/>
      <c r="H1068" s="56"/>
      <c r="I1068" s="66"/>
      <c r="J1068" s="67"/>
      <c r="K1068" s="67"/>
      <c r="L1068" s="67"/>
      <c r="M1068" s="29" t="str">
        <f t="shared" si="116"/>
        <v/>
      </c>
      <c r="N1068" s="29" t="str">
        <f t="shared" si="117"/>
        <v/>
      </c>
      <c r="O1068" s="29" t="str">
        <f t="shared" si="112"/>
        <v/>
      </c>
      <c r="P1068" s="61"/>
      <c r="Q1068" s="61"/>
      <c r="R1068" s="61"/>
      <c r="S1068" s="45"/>
      <c r="T1068" s="29" t="str">
        <f t="shared" si="113"/>
        <v/>
      </c>
    </row>
    <row r="1069" spans="1:20">
      <c r="A1069" s="10" t="str">
        <f t="shared" si="118"/>
        <v/>
      </c>
      <c r="B1069" s="63"/>
      <c r="C1069" s="25" t="str">
        <f t="shared" si="114"/>
        <v/>
      </c>
      <c r="D1069" s="25" t="str">
        <f t="shared" si="115"/>
        <v/>
      </c>
      <c r="E1069" s="45"/>
      <c r="F1069" s="28" t="str">
        <f>IFERROR(VLOOKUP(E1069,Category!$D$2:$E$600,2,FALSE),"")</f>
        <v/>
      </c>
      <c r="G1069" s="65"/>
      <c r="H1069" s="56"/>
      <c r="I1069" s="66"/>
      <c r="J1069" s="67"/>
      <c r="K1069" s="67"/>
      <c r="L1069" s="67"/>
      <c r="M1069" s="29" t="str">
        <f t="shared" si="116"/>
        <v/>
      </c>
      <c r="N1069" s="29" t="str">
        <f t="shared" si="117"/>
        <v/>
      </c>
      <c r="O1069" s="29" t="str">
        <f t="shared" si="112"/>
        <v/>
      </c>
      <c r="P1069" s="61"/>
      <c r="Q1069" s="61"/>
      <c r="R1069" s="61"/>
      <c r="S1069" s="45"/>
      <c r="T1069" s="29" t="str">
        <f t="shared" si="113"/>
        <v/>
      </c>
    </row>
    <row r="1070" spans="1:20">
      <c r="A1070" s="10" t="str">
        <f t="shared" si="118"/>
        <v/>
      </c>
      <c r="B1070" s="63"/>
      <c r="C1070" s="25" t="str">
        <f t="shared" si="114"/>
        <v/>
      </c>
      <c r="D1070" s="25" t="str">
        <f t="shared" si="115"/>
        <v/>
      </c>
      <c r="E1070" s="45"/>
      <c r="F1070" s="28" t="str">
        <f>IFERROR(VLOOKUP(E1070,Category!$D$2:$E$600,2,FALSE),"")</f>
        <v/>
      </c>
      <c r="G1070" s="65"/>
      <c r="H1070" s="56"/>
      <c r="I1070" s="66"/>
      <c r="J1070" s="67"/>
      <c r="K1070" s="67"/>
      <c r="L1070" s="67"/>
      <c r="M1070" s="29" t="str">
        <f t="shared" si="116"/>
        <v/>
      </c>
      <c r="N1070" s="29" t="str">
        <f t="shared" si="117"/>
        <v/>
      </c>
      <c r="O1070" s="29" t="str">
        <f t="shared" si="112"/>
        <v/>
      </c>
      <c r="P1070" s="61"/>
      <c r="Q1070" s="61"/>
      <c r="R1070" s="61"/>
      <c r="S1070" s="45"/>
      <c r="T1070" s="29" t="str">
        <f t="shared" si="113"/>
        <v/>
      </c>
    </row>
    <row r="1071" spans="1:20">
      <c r="A1071" s="10" t="str">
        <f t="shared" si="118"/>
        <v/>
      </c>
      <c r="B1071" s="63"/>
      <c r="C1071" s="25" t="str">
        <f t="shared" si="114"/>
        <v/>
      </c>
      <c r="D1071" s="25" t="str">
        <f t="shared" si="115"/>
        <v/>
      </c>
      <c r="E1071" s="45"/>
      <c r="F1071" s="28" t="str">
        <f>IFERROR(VLOOKUP(E1071,Category!$D$2:$E$600,2,FALSE),"")</f>
        <v/>
      </c>
      <c r="G1071" s="65"/>
      <c r="H1071" s="56"/>
      <c r="I1071" s="66"/>
      <c r="J1071" s="67"/>
      <c r="K1071" s="67"/>
      <c r="L1071" s="67"/>
      <c r="M1071" s="29" t="str">
        <f t="shared" si="116"/>
        <v/>
      </c>
      <c r="N1071" s="29" t="str">
        <f t="shared" si="117"/>
        <v/>
      </c>
      <c r="O1071" s="29" t="str">
        <f t="shared" si="112"/>
        <v/>
      </c>
      <c r="P1071" s="61"/>
      <c r="Q1071" s="61"/>
      <c r="R1071" s="61"/>
      <c r="S1071" s="45"/>
      <c r="T1071" s="29" t="str">
        <f t="shared" si="113"/>
        <v/>
      </c>
    </row>
    <row r="1072" spans="1:20">
      <c r="A1072" s="10" t="str">
        <f t="shared" si="118"/>
        <v/>
      </c>
      <c r="B1072" s="63"/>
      <c r="C1072" s="25" t="str">
        <f t="shared" si="114"/>
        <v/>
      </c>
      <c r="D1072" s="25" t="str">
        <f t="shared" si="115"/>
        <v/>
      </c>
      <c r="E1072" s="45"/>
      <c r="F1072" s="28" t="str">
        <f>IFERROR(VLOOKUP(E1072,Category!$D$2:$E$600,2,FALSE),"")</f>
        <v/>
      </c>
      <c r="G1072" s="65"/>
      <c r="H1072" s="56"/>
      <c r="I1072" s="66"/>
      <c r="J1072" s="67"/>
      <c r="K1072" s="67"/>
      <c r="L1072" s="67"/>
      <c r="M1072" s="29" t="str">
        <f t="shared" si="116"/>
        <v/>
      </c>
      <c r="N1072" s="29" t="str">
        <f t="shared" si="117"/>
        <v/>
      </c>
      <c r="O1072" s="29" t="str">
        <f t="shared" si="112"/>
        <v/>
      </c>
      <c r="P1072" s="61"/>
      <c r="Q1072" s="61"/>
      <c r="R1072" s="61"/>
      <c r="S1072" s="45"/>
      <c r="T1072" s="29" t="str">
        <f t="shared" si="113"/>
        <v/>
      </c>
    </row>
    <row r="1073" spans="1:20">
      <c r="A1073" s="10" t="str">
        <f t="shared" si="118"/>
        <v/>
      </c>
      <c r="B1073" s="63"/>
      <c r="C1073" s="25" t="str">
        <f t="shared" si="114"/>
        <v/>
      </c>
      <c r="D1073" s="25" t="str">
        <f t="shared" si="115"/>
        <v/>
      </c>
      <c r="E1073" s="45"/>
      <c r="F1073" s="28" t="str">
        <f>IFERROR(VLOOKUP(E1073,Category!$D$2:$E$600,2,FALSE),"")</f>
        <v/>
      </c>
      <c r="G1073" s="65"/>
      <c r="H1073" s="56"/>
      <c r="I1073" s="66"/>
      <c r="J1073" s="67"/>
      <c r="K1073" s="67"/>
      <c r="L1073" s="67"/>
      <c r="M1073" s="29" t="str">
        <f t="shared" si="116"/>
        <v/>
      </c>
      <c r="N1073" s="29" t="str">
        <f t="shared" si="117"/>
        <v/>
      </c>
      <c r="O1073" s="29" t="str">
        <f t="shared" si="112"/>
        <v/>
      </c>
      <c r="P1073" s="61"/>
      <c r="Q1073" s="61"/>
      <c r="R1073" s="61"/>
      <c r="S1073" s="45"/>
      <c r="T1073" s="29" t="str">
        <f t="shared" si="113"/>
        <v/>
      </c>
    </row>
    <row r="1074" spans="1:20">
      <c r="A1074" s="10" t="str">
        <f t="shared" si="118"/>
        <v/>
      </c>
      <c r="B1074" s="63"/>
      <c r="C1074" s="25" t="str">
        <f t="shared" si="114"/>
        <v/>
      </c>
      <c r="D1074" s="25" t="str">
        <f t="shared" si="115"/>
        <v/>
      </c>
      <c r="E1074" s="45"/>
      <c r="F1074" s="28" t="str">
        <f>IFERROR(VLOOKUP(E1074,Category!$D$2:$E$600,2,FALSE),"")</f>
        <v/>
      </c>
      <c r="G1074" s="65"/>
      <c r="H1074" s="56"/>
      <c r="I1074" s="66"/>
      <c r="J1074" s="67"/>
      <c r="K1074" s="67"/>
      <c r="L1074" s="67"/>
      <c r="M1074" s="29" t="str">
        <f t="shared" si="116"/>
        <v/>
      </c>
      <c r="N1074" s="29" t="str">
        <f t="shared" si="117"/>
        <v/>
      </c>
      <c r="O1074" s="29" t="str">
        <f t="shared" si="112"/>
        <v/>
      </c>
      <c r="P1074" s="61"/>
      <c r="Q1074" s="61"/>
      <c r="R1074" s="61"/>
      <c r="S1074" s="45"/>
      <c r="T1074" s="29" t="str">
        <f t="shared" si="113"/>
        <v/>
      </c>
    </row>
    <row r="1075" spans="1:20">
      <c r="A1075" s="10" t="str">
        <f t="shared" si="118"/>
        <v/>
      </c>
      <c r="B1075" s="63"/>
      <c r="C1075" s="25" t="str">
        <f t="shared" si="114"/>
        <v/>
      </c>
      <c r="D1075" s="25" t="str">
        <f t="shared" si="115"/>
        <v/>
      </c>
      <c r="E1075" s="45"/>
      <c r="F1075" s="28" t="str">
        <f>IFERROR(VLOOKUP(E1075,Category!$D$2:$E$600,2,FALSE),"")</f>
        <v/>
      </c>
      <c r="G1075" s="65"/>
      <c r="H1075" s="56"/>
      <c r="I1075" s="66"/>
      <c r="J1075" s="67"/>
      <c r="K1075" s="67"/>
      <c r="L1075" s="67"/>
      <c r="M1075" s="29" t="str">
        <f t="shared" si="116"/>
        <v/>
      </c>
      <c r="N1075" s="29" t="str">
        <f t="shared" si="117"/>
        <v/>
      </c>
      <c r="O1075" s="29" t="str">
        <f t="shared" si="112"/>
        <v/>
      </c>
      <c r="P1075" s="61"/>
      <c r="Q1075" s="61"/>
      <c r="R1075" s="61"/>
      <c r="S1075" s="45"/>
      <c r="T1075" s="29" t="str">
        <f t="shared" si="113"/>
        <v/>
      </c>
    </row>
    <row r="1076" spans="1:20">
      <c r="A1076" s="10" t="str">
        <f t="shared" si="118"/>
        <v/>
      </c>
      <c r="B1076" s="63"/>
      <c r="C1076" s="25" t="str">
        <f t="shared" si="114"/>
        <v/>
      </c>
      <c r="D1076" s="25" t="str">
        <f t="shared" si="115"/>
        <v/>
      </c>
      <c r="E1076" s="45"/>
      <c r="F1076" s="28" t="str">
        <f>IFERROR(VLOOKUP(E1076,Category!$D$2:$E$600,2,FALSE),"")</f>
        <v/>
      </c>
      <c r="G1076" s="65"/>
      <c r="H1076" s="56"/>
      <c r="I1076" s="66"/>
      <c r="J1076" s="67"/>
      <c r="K1076" s="67"/>
      <c r="L1076" s="67"/>
      <c r="M1076" s="29" t="str">
        <f t="shared" si="116"/>
        <v/>
      </c>
      <c r="N1076" s="29" t="str">
        <f t="shared" si="117"/>
        <v/>
      </c>
      <c r="O1076" s="29" t="str">
        <f t="shared" si="112"/>
        <v/>
      </c>
      <c r="P1076" s="61"/>
      <c r="Q1076" s="61"/>
      <c r="R1076" s="61"/>
      <c r="S1076" s="45"/>
      <c r="T1076" s="29" t="str">
        <f t="shared" si="113"/>
        <v/>
      </c>
    </row>
    <row r="1077" spans="1:20">
      <c r="A1077" s="10" t="str">
        <f t="shared" si="118"/>
        <v/>
      </c>
      <c r="B1077" s="63"/>
      <c r="C1077" s="25" t="str">
        <f t="shared" si="114"/>
        <v/>
      </c>
      <c r="D1077" s="25" t="str">
        <f t="shared" si="115"/>
        <v/>
      </c>
      <c r="E1077" s="45"/>
      <c r="F1077" s="28" t="str">
        <f>IFERROR(VLOOKUP(E1077,Category!$D$2:$E$600,2,FALSE),"")</f>
        <v/>
      </c>
      <c r="G1077" s="65"/>
      <c r="H1077" s="56"/>
      <c r="I1077" s="66"/>
      <c r="J1077" s="67"/>
      <c r="K1077" s="67"/>
      <c r="L1077" s="67"/>
      <c r="M1077" s="29" t="str">
        <f t="shared" si="116"/>
        <v/>
      </c>
      <c r="N1077" s="29" t="str">
        <f t="shared" si="117"/>
        <v/>
      </c>
      <c r="O1077" s="29" t="str">
        <f t="shared" si="112"/>
        <v/>
      </c>
      <c r="P1077" s="61"/>
      <c r="Q1077" s="61"/>
      <c r="R1077" s="61"/>
      <c r="S1077" s="45"/>
      <c r="T1077" s="29" t="str">
        <f t="shared" si="113"/>
        <v/>
      </c>
    </row>
    <row r="1078" spans="1:20">
      <c r="A1078" s="10" t="str">
        <f t="shared" si="118"/>
        <v/>
      </c>
      <c r="B1078" s="63"/>
      <c r="C1078" s="25" t="str">
        <f t="shared" si="114"/>
        <v/>
      </c>
      <c r="D1078" s="25" t="str">
        <f t="shared" si="115"/>
        <v/>
      </c>
      <c r="E1078" s="45"/>
      <c r="F1078" s="28" t="str">
        <f>IFERROR(VLOOKUP(E1078,Category!$D$2:$E$600,2,FALSE),"")</f>
        <v/>
      </c>
      <c r="G1078" s="65"/>
      <c r="H1078" s="56"/>
      <c r="I1078" s="66"/>
      <c r="J1078" s="67"/>
      <c r="K1078" s="67"/>
      <c r="L1078" s="67"/>
      <c r="M1078" s="29" t="str">
        <f t="shared" si="116"/>
        <v/>
      </c>
      <c r="N1078" s="29" t="str">
        <f t="shared" si="117"/>
        <v/>
      </c>
      <c r="O1078" s="29" t="str">
        <f t="shared" si="112"/>
        <v/>
      </c>
      <c r="P1078" s="61"/>
      <c r="Q1078" s="61"/>
      <c r="R1078" s="61"/>
      <c r="S1078" s="45"/>
      <c r="T1078" s="29" t="str">
        <f t="shared" si="113"/>
        <v/>
      </c>
    </row>
    <row r="1079" spans="1:20">
      <c r="A1079" s="10" t="str">
        <f t="shared" si="118"/>
        <v/>
      </c>
      <c r="B1079" s="63"/>
      <c r="C1079" s="25" t="str">
        <f t="shared" si="114"/>
        <v/>
      </c>
      <c r="D1079" s="25" t="str">
        <f t="shared" si="115"/>
        <v/>
      </c>
      <c r="E1079" s="45"/>
      <c r="F1079" s="28" t="str">
        <f>IFERROR(VLOOKUP(E1079,Category!$D$2:$E$600,2,FALSE),"")</f>
        <v/>
      </c>
      <c r="G1079" s="65"/>
      <c r="H1079" s="56"/>
      <c r="I1079" s="66"/>
      <c r="J1079" s="67"/>
      <c r="K1079" s="67"/>
      <c r="L1079" s="67"/>
      <c r="M1079" s="29" t="str">
        <f t="shared" si="116"/>
        <v/>
      </c>
      <c r="N1079" s="29" t="str">
        <f t="shared" si="117"/>
        <v/>
      </c>
      <c r="O1079" s="29" t="str">
        <f t="shared" si="112"/>
        <v/>
      </c>
      <c r="P1079" s="61"/>
      <c r="Q1079" s="61"/>
      <c r="R1079" s="61"/>
      <c r="S1079" s="45"/>
      <c r="T1079" s="29" t="str">
        <f t="shared" si="113"/>
        <v/>
      </c>
    </row>
    <row r="1080" spans="1:20">
      <c r="A1080" s="10" t="str">
        <f t="shared" si="118"/>
        <v/>
      </c>
      <c r="B1080" s="63"/>
      <c r="C1080" s="25" t="str">
        <f t="shared" si="114"/>
        <v/>
      </c>
      <c r="D1080" s="25" t="str">
        <f t="shared" si="115"/>
        <v/>
      </c>
      <c r="E1080" s="45"/>
      <c r="F1080" s="28" t="str">
        <f>IFERROR(VLOOKUP(E1080,Category!$D$2:$E$600,2,FALSE),"")</f>
        <v/>
      </c>
      <c r="G1080" s="65"/>
      <c r="H1080" s="56"/>
      <c r="I1080" s="66"/>
      <c r="J1080" s="67"/>
      <c r="K1080" s="67"/>
      <c r="L1080" s="67"/>
      <c r="M1080" s="29" t="str">
        <f t="shared" si="116"/>
        <v/>
      </c>
      <c r="N1080" s="29" t="str">
        <f t="shared" si="117"/>
        <v/>
      </c>
      <c r="O1080" s="29" t="str">
        <f t="shared" si="112"/>
        <v/>
      </c>
      <c r="P1080" s="61"/>
      <c r="Q1080" s="61"/>
      <c r="R1080" s="61"/>
      <c r="S1080" s="45"/>
      <c r="T1080" s="29" t="str">
        <f t="shared" si="113"/>
        <v/>
      </c>
    </row>
    <row r="1081" spans="1:20">
      <c r="A1081" s="10" t="str">
        <f t="shared" si="118"/>
        <v/>
      </c>
      <c r="B1081" s="63"/>
      <c r="C1081" s="25" t="str">
        <f t="shared" si="114"/>
        <v/>
      </c>
      <c r="D1081" s="25" t="str">
        <f t="shared" si="115"/>
        <v/>
      </c>
      <c r="E1081" s="45"/>
      <c r="F1081" s="28" t="str">
        <f>IFERROR(VLOOKUP(E1081,Category!$D$2:$E$600,2,FALSE),"")</f>
        <v/>
      </c>
      <c r="G1081" s="65"/>
      <c r="H1081" s="56"/>
      <c r="I1081" s="66"/>
      <c r="J1081" s="67"/>
      <c r="K1081" s="67"/>
      <c r="L1081" s="67"/>
      <c r="M1081" s="29" t="str">
        <f t="shared" si="116"/>
        <v/>
      </c>
      <c r="N1081" s="29" t="str">
        <f t="shared" si="117"/>
        <v/>
      </c>
      <c r="O1081" s="29" t="str">
        <f t="shared" si="112"/>
        <v/>
      </c>
      <c r="P1081" s="61"/>
      <c r="Q1081" s="61"/>
      <c r="R1081" s="61"/>
      <c r="S1081" s="45"/>
      <c r="T1081" s="29" t="str">
        <f t="shared" si="113"/>
        <v/>
      </c>
    </row>
    <row r="1082" spans="1:20">
      <c r="A1082" s="10" t="str">
        <f t="shared" si="118"/>
        <v/>
      </c>
      <c r="B1082" s="63"/>
      <c r="C1082" s="25" t="str">
        <f t="shared" si="114"/>
        <v/>
      </c>
      <c r="D1082" s="25" t="str">
        <f t="shared" si="115"/>
        <v/>
      </c>
      <c r="E1082" s="45"/>
      <c r="F1082" s="28" t="str">
        <f>IFERROR(VLOOKUP(E1082,Category!$D$2:$E$600,2,FALSE),"")</f>
        <v/>
      </c>
      <c r="G1082" s="65"/>
      <c r="H1082" s="56"/>
      <c r="I1082" s="66"/>
      <c r="J1082" s="67"/>
      <c r="K1082" s="67"/>
      <c r="L1082" s="67"/>
      <c r="M1082" s="29" t="str">
        <f t="shared" si="116"/>
        <v/>
      </c>
      <c r="N1082" s="29" t="str">
        <f t="shared" si="117"/>
        <v/>
      </c>
      <c r="O1082" s="29" t="str">
        <f t="shared" si="112"/>
        <v/>
      </c>
      <c r="P1082" s="61"/>
      <c r="Q1082" s="61"/>
      <c r="R1082" s="61"/>
      <c r="S1082" s="45"/>
      <c r="T1082" s="29" t="str">
        <f t="shared" si="113"/>
        <v/>
      </c>
    </row>
    <row r="1083" spans="1:20">
      <c r="A1083" s="10" t="str">
        <f t="shared" si="118"/>
        <v/>
      </c>
      <c r="B1083" s="63"/>
      <c r="C1083" s="25" t="str">
        <f t="shared" si="114"/>
        <v/>
      </c>
      <c r="D1083" s="25" t="str">
        <f t="shared" si="115"/>
        <v/>
      </c>
      <c r="E1083" s="45"/>
      <c r="F1083" s="28" t="str">
        <f>IFERROR(VLOOKUP(E1083,Category!$D$2:$E$600,2,FALSE),"")</f>
        <v/>
      </c>
      <c r="G1083" s="65"/>
      <c r="H1083" s="56"/>
      <c r="I1083" s="66"/>
      <c r="J1083" s="67"/>
      <c r="K1083" s="67"/>
      <c r="L1083" s="67"/>
      <c r="M1083" s="29" t="str">
        <f t="shared" si="116"/>
        <v/>
      </c>
      <c r="N1083" s="29" t="str">
        <f t="shared" si="117"/>
        <v/>
      </c>
      <c r="O1083" s="29" t="str">
        <f t="shared" si="112"/>
        <v/>
      </c>
      <c r="P1083" s="61"/>
      <c r="Q1083" s="61"/>
      <c r="R1083" s="61"/>
      <c r="S1083" s="45"/>
      <c r="T1083" s="29" t="str">
        <f t="shared" si="113"/>
        <v/>
      </c>
    </row>
    <row r="1084" spans="1:20">
      <c r="A1084" s="10" t="str">
        <f t="shared" si="118"/>
        <v/>
      </c>
      <c r="B1084" s="63"/>
      <c r="C1084" s="25" t="str">
        <f t="shared" si="114"/>
        <v/>
      </c>
      <c r="D1084" s="25" t="str">
        <f t="shared" si="115"/>
        <v/>
      </c>
      <c r="E1084" s="45"/>
      <c r="F1084" s="28" t="str">
        <f>IFERROR(VLOOKUP(E1084,Category!$D$2:$E$600,2,FALSE),"")</f>
        <v/>
      </c>
      <c r="G1084" s="65"/>
      <c r="H1084" s="56"/>
      <c r="I1084" s="66"/>
      <c r="J1084" s="67"/>
      <c r="K1084" s="67"/>
      <c r="L1084" s="67"/>
      <c r="M1084" s="29" t="str">
        <f t="shared" si="116"/>
        <v/>
      </c>
      <c r="N1084" s="29" t="str">
        <f t="shared" si="117"/>
        <v/>
      </c>
      <c r="O1084" s="29" t="str">
        <f t="shared" si="112"/>
        <v/>
      </c>
      <c r="P1084" s="61"/>
      <c r="Q1084" s="61"/>
      <c r="R1084" s="61"/>
      <c r="S1084" s="45"/>
      <c r="T1084" s="29" t="str">
        <f t="shared" si="113"/>
        <v/>
      </c>
    </row>
    <row r="1085" spans="1:20">
      <c r="A1085" s="10" t="str">
        <f t="shared" si="118"/>
        <v/>
      </c>
      <c r="B1085" s="63"/>
      <c r="C1085" s="25" t="str">
        <f t="shared" si="114"/>
        <v/>
      </c>
      <c r="D1085" s="25" t="str">
        <f t="shared" si="115"/>
        <v/>
      </c>
      <c r="E1085" s="45"/>
      <c r="F1085" s="28" t="str">
        <f>IFERROR(VLOOKUP(E1085,Category!$D$2:$E$600,2,FALSE),"")</f>
        <v/>
      </c>
      <c r="G1085" s="65"/>
      <c r="H1085" s="56"/>
      <c r="I1085" s="66"/>
      <c r="J1085" s="67"/>
      <c r="K1085" s="67"/>
      <c r="L1085" s="67"/>
      <c r="M1085" s="29" t="str">
        <f t="shared" si="116"/>
        <v/>
      </c>
      <c r="N1085" s="29" t="str">
        <f t="shared" si="117"/>
        <v/>
      </c>
      <c r="O1085" s="29" t="str">
        <f t="shared" si="112"/>
        <v/>
      </c>
      <c r="P1085" s="61"/>
      <c r="Q1085" s="61"/>
      <c r="R1085" s="61"/>
      <c r="S1085" s="45"/>
      <c r="T1085" s="29" t="str">
        <f t="shared" si="113"/>
        <v/>
      </c>
    </row>
    <row r="1086" spans="1:20">
      <c r="A1086" s="10" t="str">
        <f t="shared" si="118"/>
        <v/>
      </c>
      <c r="B1086" s="63"/>
      <c r="C1086" s="25" t="str">
        <f t="shared" si="114"/>
        <v/>
      </c>
      <c r="D1086" s="25" t="str">
        <f t="shared" si="115"/>
        <v/>
      </c>
      <c r="E1086" s="45"/>
      <c r="F1086" s="28" t="str">
        <f>IFERROR(VLOOKUP(E1086,Category!$D$2:$E$600,2,FALSE),"")</f>
        <v/>
      </c>
      <c r="G1086" s="65"/>
      <c r="H1086" s="56"/>
      <c r="I1086" s="66"/>
      <c r="J1086" s="67"/>
      <c r="K1086" s="67"/>
      <c r="L1086" s="67"/>
      <c r="M1086" s="29" t="str">
        <f t="shared" si="116"/>
        <v/>
      </c>
      <c r="N1086" s="29" t="str">
        <f t="shared" si="117"/>
        <v/>
      </c>
      <c r="O1086" s="29" t="str">
        <f t="shared" si="112"/>
        <v/>
      </c>
      <c r="P1086" s="61"/>
      <c r="Q1086" s="61"/>
      <c r="R1086" s="61"/>
      <c r="S1086" s="45"/>
      <c r="T1086" s="29" t="str">
        <f t="shared" si="113"/>
        <v/>
      </c>
    </row>
    <row r="1087" spans="1:20">
      <c r="A1087" s="10" t="str">
        <f t="shared" si="118"/>
        <v/>
      </c>
      <c r="B1087" s="63"/>
      <c r="C1087" s="25" t="str">
        <f t="shared" si="114"/>
        <v/>
      </c>
      <c r="D1087" s="25" t="str">
        <f t="shared" si="115"/>
        <v/>
      </c>
      <c r="E1087" s="45"/>
      <c r="F1087" s="28" t="str">
        <f>IFERROR(VLOOKUP(E1087,Category!$D$2:$E$600,2,FALSE),"")</f>
        <v/>
      </c>
      <c r="G1087" s="65"/>
      <c r="H1087" s="56"/>
      <c r="I1087" s="66"/>
      <c r="J1087" s="67"/>
      <c r="K1087" s="67"/>
      <c r="L1087" s="67"/>
      <c r="M1087" s="29" t="str">
        <f t="shared" si="116"/>
        <v/>
      </c>
      <c r="N1087" s="29" t="str">
        <f t="shared" si="117"/>
        <v/>
      </c>
      <c r="O1087" s="29" t="str">
        <f t="shared" si="112"/>
        <v/>
      </c>
      <c r="P1087" s="61"/>
      <c r="Q1087" s="61"/>
      <c r="R1087" s="61"/>
      <c r="S1087" s="45"/>
      <c r="T1087" s="29" t="str">
        <f t="shared" si="113"/>
        <v/>
      </c>
    </row>
    <row r="1088" spans="1:20">
      <c r="A1088" s="10" t="str">
        <f t="shared" si="118"/>
        <v/>
      </c>
      <c r="B1088" s="63"/>
      <c r="C1088" s="25" t="str">
        <f t="shared" si="114"/>
        <v/>
      </c>
      <c r="D1088" s="25" t="str">
        <f t="shared" si="115"/>
        <v/>
      </c>
      <c r="E1088" s="45"/>
      <c r="F1088" s="28" t="str">
        <f>IFERROR(VLOOKUP(E1088,Category!$D$2:$E$600,2,FALSE),"")</f>
        <v/>
      </c>
      <c r="G1088" s="65"/>
      <c r="H1088" s="56"/>
      <c r="I1088" s="66"/>
      <c r="J1088" s="67"/>
      <c r="K1088" s="67"/>
      <c r="L1088" s="67"/>
      <c r="M1088" s="29" t="str">
        <f t="shared" si="116"/>
        <v/>
      </c>
      <c r="N1088" s="29" t="str">
        <f t="shared" si="117"/>
        <v/>
      </c>
      <c r="O1088" s="29" t="str">
        <f t="shared" si="112"/>
        <v/>
      </c>
      <c r="P1088" s="61"/>
      <c r="Q1088" s="61"/>
      <c r="R1088" s="61"/>
      <c r="S1088" s="45"/>
      <c r="T1088" s="29" t="str">
        <f t="shared" si="113"/>
        <v/>
      </c>
    </row>
    <row r="1089" spans="1:20">
      <c r="A1089" s="10" t="str">
        <f t="shared" si="118"/>
        <v/>
      </c>
      <c r="B1089" s="63"/>
      <c r="C1089" s="25" t="str">
        <f t="shared" si="114"/>
        <v/>
      </c>
      <c r="D1089" s="25" t="str">
        <f t="shared" si="115"/>
        <v/>
      </c>
      <c r="E1089" s="45"/>
      <c r="F1089" s="28" t="str">
        <f>IFERROR(VLOOKUP(E1089,Category!$D$2:$E$600,2,FALSE),"")</f>
        <v/>
      </c>
      <c r="G1089" s="65"/>
      <c r="H1089" s="56"/>
      <c r="I1089" s="66"/>
      <c r="J1089" s="67"/>
      <c r="K1089" s="67"/>
      <c r="L1089" s="67"/>
      <c r="M1089" s="29" t="str">
        <f t="shared" si="116"/>
        <v/>
      </c>
      <c r="N1089" s="29" t="str">
        <f t="shared" si="117"/>
        <v/>
      </c>
      <c r="O1089" s="29" t="str">
        <f t="shared" si="112"/>
        <v/>
      </c>
      <c r="P1089" s="61"/>
      <c r="Q1089" s="61"/>
      <c r="R1089" s="61"/>
      <c r="S1089" s="45"/>
      <c r="T1089" s="29" t="str">
        <f t="shared" si="113"/>
        <v/>
      </c>
    </row>
    <row r="1090" spans="1:20">
      <c r="A1090" s="10" t="str">
        <f t="shared" si="118"/>
        <v/>
      </c>
      <c r="B1090" s="63"/>
      <c r="C1090" s="25" t="str">
        <f t="shared" si="114"/>
        <v/>
      </c>
      <c r="D1090" s="25" t="str">
        <f t="shared" si="115"/>
        <v/>
      </c>
      <c r="E1090" s="45"/>
      <c r="F1090" s="28" t="str">
        <f>IFERROR(VLOOKUP(E1090,Category!$D$2:$E$600,2,FALSE),"")</f>
        <v/>
      </c>
      <c r="G1090" s="65"/>
      <c r="H1090" s="56"/>
      <c r="I1090" s="66"/>
      <c r="J1090" s="67"/>
      <c r="K1090" s="67"/>
      <c r="L1090" s="67"/>
      <c r="M1090" s="29" t="str">
        <f t="shared" si="116"/>
        <v/>
      </c>
      <c r="N1090" s="29" t="str">
        <f t="shared" si="117"/>
        <v/>
      </c>
      <c r="O1090" s="29" t="str">
        <f t="shared" ref="O1090:O1153" si="119">IF(H1090*I1090=0,"",H1090*I1090)</f>
        <v/>
      </c>
      <c r="P1090" s="61"/>
      <c r="Q1090" s="61"/>
      <c r="R1090" s="61"/>
      <c r="S1090" s="45"/>
      <c r="T1090" s="29" t="str">
        <f t="shared" ref="T1090:T1153" si="120">IF(R1090="paid",(H1090*I1090)-(G1090*H1090),"")</f>
        <v/>
      </c>
    </row>
    <row r="1091" spans="1:20">
      <c r="A1091" s="10" t="str">
        <f t="shared" si="118"/>
        <v/>
      </c>
      <c r="B1091" s="63"/>
      <c r="C1091" s="25" t="str">
        <f t="shared" ref="C1091:C1154" si="121">IF(B1091=0,"",TEXT(B1091,"mmmm"))</f>
        <v/>
      </c>
      <c r="D1091" s="25" t="str">
        <f t="shared" ref="D1091:D1154" si="122">IF(B1091=0,"",TEXT(B1091,"yyyy"))</f>
        <v/>
      </c>
      <c r="E1091" s="45"/>
      <c r="F1091" s="28" t="str">
        <f>IFERROR(VLOOKUP(E1091,Category!$D$2:$E$600,2,FALSE),"")</f>
        <v/>
      </c>
      <c r="G1091" s="65"/>
      <c r="H1091" s="56"/>
      <c r="I1091" s="66"/>
      <c r="J1091" s="67"/>
      <c r="K1091" s="67"/>
      <c r="L1091" s="67"/>
      <c r="M1091" s="29" t="str">
        <f t="shared" ref="M1091:M1154" si="123">IFERROR(IF(O1091&gt;0,IF(R1091="Paid","",O1091-J1091),""),"")</f>
        <v/>
      </c>
      <c r="N1091" s="29" t="str">
        <f t="shared" ref="N1091:N1154" si="124">IF(J1091&gt;0,IF(R1091="Paid",O1091-J1091,""),"")</f>
        <v/>
      </c>
      <c r="O1091" s="29" t="str">
        <f t="shared" si="119"/>
        <v/>
      </c>
      <c r="P1091" s="61"/>
      <c r="Q1091" s="61"/>
      <c r="R1091" s="61"/>
      <c r="S1091" s="45"/>
      <c r="T1091" s="29" t="str">
        <f t="shared" si="120"/>
        <v/>
      </c>
    </row>
    <row r="1092" spans="1:20">
      <c r="A1092" s="10" t="str">
        <f t="shared" ref="A1092:A1155" si="125">IF(E1092&gt;0,A1091+1,"")</f>
        <v/>
      </c>
      <c r="B1092" s="63"/>
      <c r="C1092" s="25" t="str">
        <f t="shared" si="121"/>
        <v/>
      </c>
      <c r="D1092" s="25" t="str">
        <f t="shared" si="122"/>
        <v/>
      </c>
      <c r="E1092" s="45"/>
      <c r="F1092" s="28" t="str">
        <f>IFERROR(VLOOKUP(E1092,Category!$D$2:$E$600,2,FALSE),"")</f>
        <v/>
      </c>
      <c r="G1092" s="65"/>
      <c r="H1092" s="56"/>
      <c r="I1092" s="66"/>
      <c r="J1092" s="67"/>
      <c r="K1092" s="67"/>
      <c r="L1092" s="67"/>
      <c r="M1092" s="29" t="str">
        <f t="shared" si="123"/>
        <v/>
      </c>
      <c r="N1092" s="29" t="str">
        <f t="shared" si="124"/>
        <v/>
      </c>
      <c r="O1092" s="29" t="str">
        <f t="shared" si="119"/>
        <v/>
      </c>
      <c r="P1092" s="61"/>
      <c r="Q1092" s="61"/>
      <c r="R1092" s="61"/>
      <c r="S1092" s="45"/>
      <c r="T1092" s="29" t="str">
        <f t="shared" si="120"/>
        <v/>
      </c>
    </row>
    <row r="1093" spans="1:20">
      <c r="A1093" s="10" t="str">
        <f t="shared" si="125"/>
        <v/>
      </c>
      <c r="B1093" s="63"/>
      <c r="C1093" s="25" t="str">
        <f t="shared" si="121"/>
        <v/>
      </c>
      <c r="D1093" s="25" t="str">
        <f t="shared" si="122"/>
        <v/>
      </c>
      <c r="E1093" s="45"/>
      <c r="F1093" s="28" t="str">
        <f>IFERROR(VLOOKUP(E1093,Category!$D$2:$E$600,2,FALSE),"")</f>
        <v/>
      </c>
      <c r="G1093" s="65"/>
      <c r="H1093" s="56"/>
      <c r="I1093" s="66"/>
      <c r="J1093" s="67"/>
      <c r="K1093" s="67"/>
      <c r="L1093" s="67"/>
      <c r="M1093" s="29" t="str">
        <f t="shared" si="123"/>
        <v/>
      </c>
      <c r="N1093" s="29" t="str">
        <f t="shared" si="124"/>
        <v/>
      </c>
      <c r="O1093" s="29" t="str">
        <f t="shared" si="119"/>
        <v/>
      </c>
      <c r="P1093" s="61"/>
      <c r="Q1093" s="61"/>
      <c r="R1093" s="61"/>
      <c r="S1093" s="45"/>
      <c r="T1093" s="29" t="str">
        <f t="shared" si="120"/>
        <v/>
      </c>
    </row>
    <row r="1094" spans="1:20">
      <c r="A1094" s="10" t="str">
        <f t="shared" si="125"/>
        <v/>
      </c>
      <c r="B1094" s="63"/>
      <c r="C1094" s="25" t="str">
        <f t="shared" si="121"/>
        <v/>
      </c>
      <c r="D1094" s="25" t="str">
        <f t="shared" si="122"/>
        <v/>
      </c>
      <c r="E1094" s="45"/>
      <c r="F1094" s="28" t="str">
        <f>IFERROR(VLOOKUP(E1094,Category!$D$2:$E$600,2,FALSE),"")</f>
        <v/>
      </c>
      <c r="G1094" s="65"/>
      <c r="H1094" s="56"/>
      <c r="I1094" s="66"/>
      <c r="J1094" s="67"/>
      <c r="K1094" s="67"/>
      <c r="L1094" s="67"/>
      <c r="M1094" s="29" t="str">
        <f t="shared" si="123"/>
        <v/>
      </c>
      <c r="N1094" s="29" t="str">
        <f t="shared" si="124"/>
        <v/>
      </c>
      <c r="O1094" s="29" t="str">
        <f t="shared" si="119"/>
        <v/>
      </c>
      <c r="P1094" s="61"/>
      <c r="Q1094" s="61"/>
      <c r="R1094" s="61"/>
      <c r="S1094" s="45"/>
      <c r="T1094" s="29" t="str">
        <f t="shared" si="120"/>
        <v/>
      </c>
    </row>
    <row r="1095" spans="1:20">
      <c r="A1095" s="10" t="str">
        <f t="shared" si="125"/>
        <v/>
      </c>
      <c r="B1095" s="63"/>
      <c r="C1095" s="25" t="str">
        <f t="shared" si="121"/>
        <v/>
      </c>
      <c r="D1095" s="25" t="str">
        <f t="shared" si="122"/>
        <v/>
      </c>
      <c r="E1095" s="45"/>
      <c r="F1095" s="28" t="str">
        <f>IFERROR(VLOOKUP(E1095,Category!$D$2:$E$600,2,FALSE),"")</f>
        <v/>
      </c>
      <c r="G1095" s="65"/>
      <c r="H1095" s="56"/>
      <c r="I1095" s="66"/>
      <c r="J1095" s="67"/>
      <c r="K1095" s="67"/>
      <c r="L1095" s="67"/>
      <c r="M1095" s="29" t="str">
        <f t="shared" si="123"/>
        <v/>
      </c>
      <c r="N1095" s="29" t="str">
        <f t="shared" si="124"/>
        <v/>
      </c>
      <c r="O1095" s="29" t="str">
        <f t="shared" si="119"/>
        <v/>
      </c>
      <c r="P1095" s="61"/>
      <c r="Q1095" s="61"/>
      <c r="R1095" s="61"/>
      <c r="S1095" s="45"/>
      <c r="T1095" s="29" t="str">
        <f t="shared" si="120"/>
        <v/>
      </c>
    </row>
    <row r="1096" spans="1:20">
      <c r="A1096" s="10" t="str">
        <f t="shared" si="125"/>
        <v/>
      </c>
      <c r="B1096" s="63"/>
      <c r="C1096" s="25" t="str">
        <f t="shared" si="121"/>
        <v/>
      </c>
      <c r="D1096" s="25" t="str">
        <f t="shared" si="122"/>
        <v/>
      </c>
      <c r="E1096" s="45"/>
      <c r="F1096" s="28" t="str">
        <f>IFERROR(VLOOKUP(E1096,Category!$D$2:$E$600,2,FALSE),"")</f>
        <v/>
      </c>
      <c r="G1096" s="65"/>
      <c r="H1096" s="56"/>
      <c r="I1096" s="66"/>
      <c r="J1096" s="67"/>
      <c r="K1096" s="67"/>
      <c r="L1096" s="67"/>
      <c r="M1096" s="29" t="str">
        <f t="shared" si="123"/>
        <v/>
      </c>
      <c r="N1096" s="29" t="str">
        <f t="shared" si="124"/>
        <v/>
      </c>
      <c r="O1096" s="29" t="str">
        <f t="shared" si="119"/>
        <v/>
      </c>
      <c r="P1096" s="61"/>
      <c r="Q1096" s="61"/>
      <c r="R1096" s="61"/>
      <c r="S1096" s="45"/>
      <c r="T1096" s="29" t="str">
        <f t="shared" si="120"/>
        <v/>
      </c>
    </row>
    <row r="1097" spans="1:20">
      <c r="A1097" s="10" t="str">
        <f t="shared" si="125"/>
        <v/>
      </c>
      <c r="B1097" s="63"/>
      <c r="C1097" s="25" t="str">
        <f t="shared" si="121"/>
        <v/>
      </c>
      <c r="D1097" s="25" t="str">
        <f t="shared" si="122"/>
        <v/>
      </c>
      <c r="E1097" s="45"/>
      <c r="F1097" s="28" t="str">
        <f>IFERROR(VLOOKUP(E1097,Category!$D$2:$E$600,2,FALSE),"")</f>
        <v/>
      </c>
      <c r="G1097" s="65"/>
      <c r="H1097" s="56"/>
      <c r="I1097" s="66"/>
      <c r="J1097" s="67"/>
      <c r="K1097" s="67"/>
      <c r="L1097" s="67"/>
      <c r="M1097" s="29" t="str">
        <f t="shared" si="123"/>
        <v/>
      </c>
      <c r="N1097" s="29" t="str">
        <f t="shared" si="124"/>
        <v/>
      </c>
      <c r="O1097" s="29" t="str">
        <f t="shared" si="119"/>
        <v/>
      </c>
      <c r="P1097" s="61"/>
      <c r="Q1097" s="61"/>
      <c r="R1097" s="61"/>
      <c r="S1097" s="45"/>
      <c r="T1097" s="29" t="str">
        <f t="shared" si="120"/>
        <v/>
      </c>
    </row>
    <row r="1098" spans="1:20">
      <c r="A1098" s="10" t="str">
        <f t="shared" si="125"/>
        <v/>
      </c>
      <c r="B1098" s="63"/>
      <c r="C1098" s="25" t="str">
        <f t="shared" si="121"/>
        <v/>
      </c>
      <c r="D1098" s="25" t="str">
        <f t="shared" si="122"/>
        <v/>
      </c>
      <c r="E1098" s="45"/>
      <c r="F1098" s="28" t="str">
        <f>IFERROR(VLOOKUP(E1098,Category!$D$2:$E$600,2,FALSE),"")</f>
        <v/>
      </c>
      <c r="G1098" s="65"/>
      <c r="H1098" s="56"/>
      <c r="I1098" s="66"/>
      <c r="J1098" s="67"/>
      <c r="K1098" s="67"/>
      <c r="L1098" s="67"/>
      <c r="M1098" s="29" t="str">
        <f t="shared" si="123"/>
        <v/>
      </c>
      <c r="N1098" s="29" t="str">
        <f t="shared" si="124"/>
        <v/>
      </c>
      <c r="O1098" s="29" t="str">
        <f t="shared" si="119"/>
        <v/>
      </c>
      <c r="P1098" s="61"/>
      <c r="Q1098" s="61"/>
      <c r="R1098" s="61"/>
      <c r="S1098" s="45"/>
      <c r="T1098" s="29" t="str">
        <f t="shared" si="120"/>
        <v/>
      </c>
    </row>
    <row r="1099" spans="1:20">
      <c r="A1099" s="10" t="str">
        <f t="shared" si="125"/>
        <v/>
      </c>
      <c r="B1099" s="63"/>
      <c r="C1099" s="25" t="str">
        <f t="shared" si="121"/>
        <v/>
      </c>
      <c r="D1099" s="25" t="str">
        <f t="shared" si="122"/>
        <v/>
      </c>
      <c r="E1099" s="45"/>
      <c r="F1099" s="28" t="str">
        <f>IFERROR(VLOOKUP(E1099,Category!$D$2:$E$600,2,FALSE),"")</f>
        <v/>
      </c>
      <c r="G1099" s="65"/>
      <c r="H1099" s="56"/>
      <c r="I1099" s="66"/>
      <c r="J1099" s="67"/>
      <c r="K1099" s="67"/>
      <c r="L1099" s="67"/>
      <c r="M1099" s="29" t="str">
        <f t="shared" si="123"/>
        <v/>
      </c>
      <c r="N1099" s="29" t="str">
        <f t="shared" si="124"/>
        <v/>
      </c>
      <c r="O1099" s="29" t="str">
        <f t="shared" si="119"/>
        <v/>
      </c>
      <c r="P1099" s="61"/>
      <c r="Q1099" s="61"/>
      <c r="R1099" s="61"/>
      <c r="S1099" s="45"/>
      <c r="T1099" s="29" t="str">
        <f t="shared" si="120"/>
        <v/>
      </c>
    </row>
    <row r="1100" spans="1:20">
      <c r="A1100" s="10" t="str">
        <f t="shared" si="125"/>
        <v/>
      </c>
      <c r="B1100" s="63"/>
      <c r="C1100" s="25" t="str">
        <f t="shared" si="121"/>
        <v/>
      </c>
      <c r="D1100" s="25" t="str">
        <f t="shared" si="122"/>
        <v/>
      </c>
      <c r="E1100" s="45"/>
      <c r="F1100" s="28" t="str">
        <f>IFERROR(VLOOKUP(E1100,Category!$D$2:$E$600,2,FALSE),"")</f>
        <v/>
      </c>
      <c r="G1100" s="65"/>
      <c r="H1100" s="56"/>
      <c r="I1100" s="66"/>
      <c r="J1100" s="67"/>
      <c r="K1100" s="67"/>
      <c r="L1100" s="67"/>
      <c r="M1100" s="29" t="str">
        <f t="shared" si="123"/>
        <v/>
      </c>
      <c r="N1100" s="29" t="str">
        <f t="shared" si="124"/>
        <v/>
      </c>
      <c r="O1100" s="29" t="str">
        <f t="shared" si="119"/>
        <v/>
      </c>
      <c r="P1100" s="61"/>
      <c r="Q1100" s="61"/>
      <c r="R1100" s="61"/>
      <c r="S1100" s="45"/>
      <c r="T1100" s="29" t="str">
        <f t="shared" si="120"/>
        <v/>
      </c>
    </row>
    <row r="1101" spans="1:20">
      <c r="A1101" s="10" t="str">
        <f t="shared" si="125"/>
        <v/>
      </c>
      <c r="B1101" s="63"/>
      <c r="C1101" s="25" t="str">
        <f t="shared" si="121"/>
        <v/>
      </c>
      <c r="D1101" s="25" t="str">
        <f t="shared" si="122"/>
        <v/>
      </c>
      <c r="E1101" s="45"/>
      <c r="F1101" s="28" t="str">
        <f>IFERROR(VLOOKUP(E1101,Category!$D$2:$E$600,2,FALSE),"")</f>
        <v/>
      </c>
      <c r="G1101" s="65"/>
      <c r="H1101" s="56"/>
      <c r="I1101" s="66"/>
      <c r="J1101" s="67"/>
      <c r="K1101" s="67"/>
      <c r="L1101" s="67"/>
      <c r="M1101" s="29" t="str">
        <f t="shared" si="123"/>
        <v/>
      </c>
      <c r="N1101" s="29" t="str">
        <f t="shared" si="124"/>
        <v/>
      </c>
      <c r="O1101" s="29" t="str">
        <f t="shared" si="119"/>
        <v/>
      </c>
      <c r="P1101" s="61"/>
      <c r="Q1101" s="61"/>
      <c r="R1101" s="61"/>
      <c r="S1101" s="45"/>
      <c r="T1101" s="29" t="str">
        <f t="shared" si="120"/>
        <v/>
      </c>
    </row>
    <row r="1102" spans="1:20">
      <c r="A1102" s="10" t="str">
        <f t="shared" si="125"/>
        <v/>
      </c>
      <c r="B1102" s="63"/>
      <c r="C1102" s="25" t="str">
        <f t="shared" si="121"/>
        <v/>
      </c>
      <c r="D1102" s="25" t="str">
        <f t="shared" si="122"/>
        <v/>
      </c>
      <c r="E1102" s="45"/>
      <c r="F1102" s="28" t="str">
        <f>IFERROR(VLOOKUP(E1102,Category!$D$2:$E$600,2,FALSE),"")</f>
        <v/>
      </c>
      <c r="G1102" s="65"/>
      <c r="H1102" s="56"/>
      <c r="I1102" s="66"/>
      <c r="J1102" s="67"/>
      <c r="K1102" s="67"/>
      <c r="L1102" s="67"/>
      <c r="M1102" s="29" t="str">
        <f t="shared" si="123"/>
        <v/>
      </c>
      <c r="N1102" s="29" t="str">
        <f t="shared" si="124"/>
        <v/>
      </c>
      <c r="O1102" s="29" t="str">
        <f t="shared" si="119"/>
        <v/>
      </c>
      <c r="P1102" s="61"/>
      <c r="Q1102" s="61"/>
      <c r="R1102" s="61"/>
      <c r="S1102" s="45"/>
      <c r="T1102" s="29" t="str">
        <f t="shared" si="120"/>
        <v/>
      </c>
    </row>
    <row r="1103" spans="1:20">
      <c r="A1103" s="10" t="str">
        <f t="shared" si="125"/>
        <v/>
      </c>
      <c r="B1103" s="63"/>
      <c r="C1103" s="25" t="str">
        <f t="shared" si="121"/>
        <v/>
      </c>
      <c r="D1103" s="25" t="str">
        <f t="shared" si="122"/>
        <v/>
      </c>
      <c r="E1103" s="45"/>
      <c r="F1103" s="28" t="str">
        <f>IFERROR(VLOOKUP(E1103,Category!$D$2:$E$600,2,FALSE),"")</f>
        <v/>
      </c>
      <c r="G1103" s="65"/>
      <c r="H1103" s="56"/>
      <c r="I1103" s="66"/>
      <c r="J1103" s="67"/>
      <c r="K1103" s="67"/>
      <c r="L1103" s="67"/>
      <c r="M1103" s="29" t="str">
        <f t="shared" si="123"/>
        <v/>
      </c>
      <c r="N1103" s="29" t="str">
        <f t="shared" si="124"/>
        <v/>
      </c>
      <c r="O1103" s="29" t="str">
        <f t="shared" si="119"/>
        <v/>
      </c>
      <c r="P1103" s="61"/>
      <c r="Q1103" s="61"/>
      <c r="R1103" s="61"/>
      <c r="S1103" s="45"/>
      <c r="T1103" s="29" t="str">
        <f t="shared" si="120"/>
        <v/>
      </c>
    </row>
    <row r="1104" spans="1:20">
      <c r="A1104" s="10" t="str">
        <f t="shared" si="125"/>
        <v/>
      </c>
      <c r="B1104" s="63"/>
      <c r="C1104" s="25" t="str">
        <f t="shared" si="121"/>
        <v/>
      </c>
      <c r="D1104" s="25" t="str">
        <f t="shared" si="122"/>
        <v/>
      </c>
      <c r="E1104" s="45"/>
      <c r="F1104" s="28" t="str">
        <f>IFERROR(VLOOKUP(E1104,Category!$D$2:$E$600,2,FALSE),"")</f>
        <v/>
      </c>
      <c r="G1104" s="65"/>
      <c r="H1104" s="56"/>
      <c r="I1104" s="66"/>
      <c r="J1104" s="67"/>
      <c r="K1104" s="67"/>
      <c r="L1104" s="67"/>
      <c r="M1104" s="29" t="str">
        <f t="shared" si="123"/>
        <v/>
      </c>
      <c r="N1104" s="29" t="str">
        <f t="shared" si="124"/>
        <v/>
      </c>
      <c r="O1104" s="29" t="str">
        <f t="shared" si="119"/>
        <v/>
      </c>
      <c r="P1104" s="61"/>
      <c r="Q1104" s="61"/>
      <c r="R1104" s="61"/>
      <c r="S1104" s="45"/>
      <c r="T1104" s="29" t="str">
        <f t="shared" si="120"/>
        <v/>
      </c>
    </row>
    <row r="1105" spans="1:20">
      <c r="A1105" s="10" t="str">
        <f t="shared" si="125"/>
        <v/>
      </c>
      <c r="B1105" s="63"/>
      <c r="C1105" s="25" t="str">
        <f t="shared" si="121"/>
        <v/>
      </c>
      <c r="D1105" s="25" t="str">
        <f t="shared" si="122"/>
        <v/>
      </c>
      <c r="E1105" s="45"/>
      <c r="F1105" s="28" t="str">
        <f>IFERROR(VLOOKUP(E1105,Category!$D$2:$E$600,2,FALSE),"")</f>
        <v/>
      </c>
      <c r="G1105" s="65"/>
      <c r="H1105" s="56"/>
      <c r="I1105" s="66"/>
      <c r="J1105" s="67"/>
      <c r="K1105" s="67"/>
      <c r="L1105" s="67"/>
      <c r="M1105" s="29" t="str">
        <f t="shared" si="123"/>
        <v/>
      </c>
      <c r="N1105" s="29" t="str">
        <f t="shared" si="124"/>
        <v/>
      </c>
      <c r="O1105" s="29" t="str">
        <f t="shared" si="119"/>
        <v/>
      </c>
      <c r="P1105" s="61"/>
      <c r="Q1105" s="61"/>
      <c r="R1105" s="61"/>
      <c r="S1105" s="45"/>
      <c r="T1105" s="29" t="str">
        <f t="shared" si="120"/>
        <v/>
      </c>
    </row>
    <row r="1106" spans="1:20">
      <c r="A1106" s="10" t="str">
        <f t="shared" si="125"/>
        <v/>
      </c>
      <c r="B1106" s="63"/>
      <c r="C1106" s="25" t="str">
        <f t="shared" si="121"/>
        <v/>
      </c>
      <c r="D1106" s="25" t="str">
        <f t="shared" si="122"/>
        <v/>
      </c>
      <c r="E1106" s="45"/>
      <c r="F1106" s="28" t="str">
        <f>IFERROR(VLOOKUP(E1106,Category!$D$2:$E$600,2,FALSE),"")</f>
        <v/>
      </c>
      <c r="G1106" s="65"/>
      <c r="H1106" s="56"/>
      <c r="I1106" s="66"/>
      <c r="J1106" s="67"/>
      <c r="K1106" s="67"/>
      <c r="L1106" s="67"/>
      <c r="M1106" s="29" t="str">
        <f t="shared" si="123"/>
        <v/>
      </c>
      <c r="N1106" s="29" t="str">
        <f t="shared" si="124"/>
        <v/>
      </c>
      <c r="O1106" s="29" t="str">
        <f t="shared" si="119"/>
        <v/>
      </c>
      <c r="P1106" s="61"/>
      <c r="Q1106" s="61"/>
      <c r="R1106" s="61"/>
      <c r="S1106" s="45"/>
      <c r="T1106" s="29" t="str">
        <f t="shared" si="120"/>
        <v/>
      </c>
    </row>
    <row r="1107" spans="1:20">
      <c r="A1107" s="10" t="str">
        <f t="shared" si="125"/>
        <v/>
      </c>
      <c r="B1107" s="63"/>
      <c r="C1107" s="25" t="str">
        <f t="shared" si="121"/>
        <v/>
      </c>
      <c r="D1107" s="25" t="str">
        <f t="shared" si="122"/>
        <v/>
      </c>
      <c r="E1107" s="45"/>
      <c r="F1107" s="28" t="str">
        <f>IFERROR(VLOOKUP(E1107,Category!$D$2:$E$600,2,FALSE),"")</f>
        <v/>
      </c>
      <c r="G1107" s="65"/>
      <c r="H1107" s="56"/>
      <c r="I1107" s="66"/>
      <c r="J1107" s="67"/>
      <c r="K1107" s="67"/>
      <c r="L1107" s="67"/>
      <c r="M1107" s="29" t="str">
        <f t="shared" si="123"/>
        <v/>
      </c>
      <c r="N1107" s="29" t="str">
        <f t="shared" si="124"/>
        <v/>
      </c>
      <c r="O1107" s="29" t="str">
        <f t="shared" si="119"/>
        <v/>
      </c>
      <c r="P1107" s="61"/>
      <c r="Q1107" s="61"/>
      <c r="R1107" s="61"/>
      <c r="S1107" s="45"/>
      <c r="T1107" s="29" t="str">
        <f t="shared" si="120"/>
        <v/>
      </c>
    </row>
    <row r="1108" spans="1:20">
      <c r="A1108" s="10" t="str">
        <f t="shared" si="125"/>
        <v/>
      </c>
      <c r="B1108" s="63"/>
      <c r="C1108" s="25" t="str">
        <f t="shared" si="121"/>
        <v/>
      </c>
      <c r="D1108" s="25" t="str">
        <f t="shared" si="122"/>
        <v/>
      </c>
      <c r="E1108" s="45"/>
      <c r="F1108" s="28" t="str">
        <f>IFERROR(VLOOKUP(E1108,Category!$D$2:$E$600,2,FALSE),"")</f>
        <v/>
      </c>
      <c r="G1108" s="65"/>
      <c r="H1108" s="56"/>
      <c r="I1108" s="66"/>
      <c r="J1108" s="67"/>
      <c r="K1108" s="67"/>
      <c r="L1108" s="67"/>
      <c r="M1108" s="29" t="str">
        <f t="shared" si="123"/>
        <v/>
      </c>
      <c r="N1108" s="29" t="str">
        <f t="shared" si="124"/>
        <v/>
      </c>
      <c r="O1108" s="29" t="str">
        <f t="shared" si="119"/>
        <v/>
      </c>
      <c r="P1108" s="61"/>
      <c r="Q1108" s="61"/>
      <c r="R1108" s="61"/>
      <c r="S1108" s="45"/>
      <c r="T1108" s="29" t="str">
        <f t="shared" si="120"/>
        <v/>
      </c>
    </row>
    <row r="1109" spans="1:20">
      <c r="A1109" s="10" t="str">
        <f t="shared" si="125"/>
        <v/>
      </c>
      <c r="B1109" s="63"/>
      <c r="C1109" s="25" t="str">
        <f t="shared" si="121"/>
        <v/>
      </c>
      <c r="D1109" s="25" t="str">
        <f t="shared" si="122"/>
        <v/>
      </c>
      <c r="E1109" s="45"/>
      <c r="F1109" s="28" t="str">
        <f>IFERROR(VLOOKUP(E1109,Category!$D$2:$E$600,2,FALSE),"")</f>
        <v/>
      </c>
      <c r="G1109" s="65"/>
      <c r="H1109" s="56"/>
      <c r="I1109" s="66"/>
      <c r="J1109" s="67"/>
      <c r="K1109" s="67"/>
      <c r="L1109" s="67"/>
      <c r="M1109" s="29" t="str">
        <f t="shared" si="123"/>
        <v/>
      </c>
      <c r="N1109" s="29" t="str">
        <f t="shared" si="124"/>
        <v/>
      </c>
      <c r="O1109" s="29" t="str">
        <f t="shared" si="119"/>
        <v/>
      </c>
      <c r="P1109" s="61"/>
      <c r="Q1109" s="61"/>
      <c r="R1109" s="61"/>
      <c r="S1109" s="45"/>
      <c r="T1109" s="29" t="str">
        <f t="shared" si="120"/>
        <v/>
      </c>
    </row>
    <row r="1110" spans="1:20">
      <c r="A1110" s="10" t="str">
        <f t="shared" si="125"/>
        <v/>
      </c>
      <c r="B1110" s="63"/>
      <c r="C1110" s="25" t="str">
        <f t="shared" si="121"/>
        <v/>
      </c>
      <c r="D1110" s="25" t="str">
        <f t="shared" si="122"/>
        <v/>
      </c>
      <c r="E1110" s="45"/>
      <c r="F1110" s="28" t="str">
        <f>IFERROR(VLOOKUP(E1110,Category!$D$2:$E$600,2,FALSE),"")</f>
        <v/>
      </c>
      <c r="G1110" s="65"/>
      <c r="H1110" s="56"/>
      <c r="I1110" s="66"/>
      <c r="J1110" s="67"/>
      <c r="K1110" s="67"/>
      <c r="L1110" s="67"/>
      <c r="M1110" s="29" t="str">
        <f t="shared" si="123"/>
        <v/>
      </c>
      <c r="N1110" s="29" t="str">
        <f t="shared" si="124"/>
        <v/>
      </c>
      <c r="O1110" s="29" t="str">
        <f t="shared" si="119"/>
        <v/>
      </c>
      <c r="P1110" s="61"/>
      <c r="Q1110" s="61"/>
      <c r="R1110" s="61"/>
      <c r="S1110" s="45"/>
      <c r="T1110" s="29" t="str">
        <f t="shared" si="120"/>
        <v/>
      </c>
    </row>
    <row r="1111" spans="1:20">
      <c r="A1111" s="10" t="str">
        <f t="shared" si="125"/>
        <v/>
      </c>
      <c r="B1111" s="63"/>
      <c r="C1111" s="25" t="str">
        <f t="shared" si="121"/>
        <v/>
      </c>
      <c r="D1111" s="25" t="str">
        <f t="shared" si="122"/>
        <v/>
      </c>
      <c r="E1111" s="45"/>
      <c r="F1111" s="28" t="str">
        <f>IFERROR(VLOOKUP(E1111,Category!$D$2:$E$600,2,FALSE),"")</f>
        <v/>
      </c>
      <c r="G1111" s="65"/>
      <c r="H1111" s="56"/>
      <c r="I1111" s="66"/>
      <c r="J1111" s="67"/>
      <c r="K1111" s="67"/>
      <c r="L1111" s="67"/>
      <c r="M1111" s="29" t="str">
        <f t="shared" si="123"/>
        <v/>
      </c>
      <c r="N1111" s="29" t="str">
        <f t="shared" si="124"/>
        <v/>
      </c>
      <c r="O1111" s="29" t="str">
        <f t="shared" si="119"/>
        <v/>
      </c>
      <c r="P1111" s="61"/>
      <c r="Q1111" s="61"/>
      <c r="R1111" s="61"/>
      <c r="S1111" s="45"/>
      <c r="T1111" s="29" t="str">
        <f t="shared" si="120"/>
        <v/>
      </c>
    </row>
    <row r="1112" spans="1:20">
      <c r="A1112" s="10" t="str">
        <f t="shared" si="125"/>
        <v/>
      </c>
      <c r="B1112" s="63"/>
      <c r="C1112" s="25" t="str">
        <f t="shared" si="121"/>
        <v/>
      </c>
      <c r="D1112" s="25" t="str">
        <f t="shared" si="122"/>
        <v/>
      </c>
      <c r="E1112" s="45"/>
      <c r="F1112" s="28" t="str">
        <f>IFERROR(VLOOKUP(E1112,Category!$D$2:$E$600,2,FALSE),"")</f>
        <v/>
      </c>
      <c r="G1112" s="65"/>
      <c r="H1112" s="56"/>
      <c r="I1112" s="66"/>
      <c r="J1112" s="67"/>
      <c r="K1112" s="67"/>
      <c r="L1112" s="67"/>
      <c r="M1112" s="29" t="str">
        <f t="shared" si="123"/>
        <v/>
      </c>
      <c r="N1112" s="29" t="str">
        <f t="shared" si="124"/>
        <v/>
      </c>
      <c r="O1112" s="29" t="str">
        <f t="shared" si="119"/>
        <v/>
      </c>
      <c r="P1112" s="61"/>
      <c r="Q1112" s="61"/>
      <c r="R1112" s="61"/>
      <c r="S1112" s="45"/>
      <c r="T1112" s="29" t="str">
        <f t="shared" si="120"/>
        <v/>
      </c>
    </row>
    <row r="1113" spans="1:20">
      <c r="A1113" s="10" t="str">
        <f t="shared" si="125"/>
        <v/>
      </c>
      <c r="B1113" s="63"/>
      <c r="C1113" s="25" t="str">
        <f t="shared" si="121"/>
        <v/>
      </c>
      <c r="D1113" s="25" t="str">
        <f t="shared" si="122"/>
        <v/>
      </c>
      <c r="E1113" s="45"/>
      <c r="F1113" s="28" t="str">
        <f>IFERROR(VLOOKUP(E1113,Category!$D$2:$E$600,2,FALSE),"")</f>
        <v/>
      </c>
      <c r="G1113" s="65"/>
      <c r="H1113" s="56"/>
      <c r="I1113" s="66"/>
      <c r="J1113" s="67"/>
      <c r="K1113" s="67"/>
      <c r="L1113" s="67"/>
      <c r="M1113" s="29" t="str">
        <f t="shared" si="123"/>
        <v/>
      </c>
      <c r="N1113" s="29" t="str">
        <f t="shared" si="124"/>
        <v/>
      </c>
      <c r="O1113" s="29" t="str">
        <f t="shared" si="119"/>
        <v/>
      </c>
      <c r="P1113" s="61"/>
      <c r="Q1113" s="61"/>
      <c r="R1113" s="61"/>
      <c r="S1113" s="45"/>
      <c r="T1113" s="29" t="str">
        <f t="shared" si="120"/>
        <v/>
      </c>
    </row>
    <row r="1114" spans="1:20">
      <c r="A1114" s="10" t="str">
        <f t="shared" si="125"/>
        <v/>
      </c>
      <c r="B1114" s="63"/>
      <c r="C1114" s="25" t="str">
        <f t="shared" si="121"/>
        <v/>
      </c>
      <c r="D1114" s="25" t="str">
        <f t="shared" si="122"/>
        <v/>
      </c>
      <c r="E1114" s="45"/>
      <c r="F1114" s="28" t="str">
        <f>IFERROR(VLOOKUP(E1114,Category!$D$2:$E$600,2,FALSE),"")</f>
        <v/>
      </c>
      <c r="G1114" s="65"/>
      <c r="H1114" s="56"/>
      <c r="I1114" s="66"/>
      <c r="J1114" s="67"/>
      <c r="K1114" s="67"/>
      <c r="L1114" s="67"/>
      <c r="M1114" s="29" t="str">
        <f t="shared" si="123"/>
        <v/>
      </c>
      <c r="N1114" s="29" t="str">
        <f t="shared" si="124"/>
        <v/>
      </c>
      <c r="O1114" s="29" t="str">
        <f t="shared" si="119"/>
        <v/>
      </c>
      <c r="P1114" s="61"/>
      <c r="Q1114" s="61"/>
      <c r="R1114" s="61"/>
      <c r="S1114" s="45"/>
      <c r="T1114" s="29" t="str">
        <f t="shared" si="120"/>
        <v/>
      </c>
    </row>
    <row r="1115" spans="1:20">
      <c r="A1115" s="10" t="str">
        <f t="shared" si="125"/>
        <v/>
      </c>
      <c r="B1115" s="63"/>
      <c r="C1115" s="25" t="str">
        <f t="shared" si="121"/>
        <v/>
      </c>
      <c r="D1115" s="25" t="str">
        <f t="shared" si="122"/>
        <v/>
      </c>
      <c r="E1115" s="45"/>
      <c r="F1115" s="28" t="str">
        <f>IFERROR(VLOOKUP(E1115,Category!$D$2:$E$600,2,FALSE),"")</f>
        <v/>
      </c>
      <c r="G1115" s="65"/>
      <c r="H1115" s="56"/>
      <c r="I1115" s="66"/>
      <c r="J1115" s="67"/>
      <c r="K1115" s="67"/>
      <c r="L1115" s="67"/>
      <c r="M1115" s="29" t="str">
        <f t="shared" si="123"/>
        <v/>
      </c>
      <c r="N1115" s="29" t="str">
        <f t="shared" si="124"/>
        <v/>
      </c>
      <c r="O1115" s="29" t="str">
        <f t="shared" si="119"/>
        <v/>
      </c>
      <c r="P1115" s="61"/>
      <c r="Q1115" s="61"/>
      <c r="R1115" s="61"/>
      <c r="S1115" s="45"/>
      <c r="T1115" s="29" t="str">
        <f t="shared" si="120"/>
        <v/>
      </c>
    </row>
    <row r="1116" spans="1:20">
      <c r="A1116" s="10" t="str">
        <f t="shared" si="125"/>
        <v/>
      </c>
      <c r="B1116" s="63"/>
      <c r="C1116" s="25" t="str">
        <f t="shared" si="121"/>
        <v/>
      </c>
      <c r="D1116" s="25" t="str">
        <f t="shared" si="122"/>
        <v/>
      </c>
      <c r="E1116" s="45"/>
      <c r="F1116" s="28" t="str">
        <f>IFERROR(VLOOKUP(E1116,Category!$D$2:$E$600,2,FALSE),"")</f>
        <v/>
      </c>
      <c r="G1116" s="65"/>
      <c r="H1116" s="56"/>
      <c r="I1116" s="66"/>
      <c r="J1116" s="67"/>
      <c r="K1116" s="67"/>
      <c r="L1116" s="67"/>
      <c r="M1116" s="29" t="str">
        <f t="shared" si="123"/>
        <v/>
      </c>
      <c r="N1116" s="29" t="str">
        <f t="shared" si="124"/>
        <v/>
      </c>
      <c r="O1116" s="29" t="str">
        <f t="shared" si="119"/>
        <v/>
      </c>
      <c r="P1116" s="61"/>
      <c r="Q1116" s="61"/>
      <c r="R1116" s="61"/>
      <c r="S1116" s="45"/>
      <c r="T1116" s="29" t="str">
        <f t="shared" si="120"/>
        <v/>
      </c>
    </row>
    <row r="1117" spans="1:20">
      <c r="A1117" s="10" t="str">
        <f t="shared" si="125"/>
        <v/>
      </c>
      <c r="B1117" s="63"/>
      <c r="C1117" s="25" t="str">
        <f t="shared" si="121"/>
        <v/>
      </c>
      <c r="D1117" s="25" t="str">
        <f t="shared" si="122"/>
        <v/>
      </c>
      <c r="E1117" s="45"/>
      <c r="F1117" s="28" t="str">
        <f>IFERROR(VLOOKUP(E1117,Category!$D$2:$E$600,2,FALSE),"")</f>
        <v/>
      </c>
      <c r="G1117" s="65"/>
      <c r="H1117" s="56"/>
      <c r="I1117" s="66"/>
      <c r="J1117" s="67"/>
      <c r="K1117" s="67"/>
      <c r="L1117" s="67"/>
      <c r="M1117" s="29" t="str">
        <f t="shared" si="123"/>
        <v/>
      </c>
      <c r="N1117" s="29" t="str">
        <f t="shared" si="124"/>
        <v/>
      </c>
      <c r="O1117" s="29" t="str">
        <f t="shared" si="119"/>
        <v/>
      </c>
      <c r="P1117" s="61"/>
      <c r="Q1117" s="61"/>
      <c r="R1117" s="61"/>
      <c r="S1117" s="45"/>
      <c r="T1117" s="29" t="str">
        <f t="shared" si="120"/>
        <v/>
      </c>
    </row>
    <row r="1118" spans="1:20">
      <c r="A1118" s="10" t="str">
        <f t="shared" si="125"/>
        <v/>
      </c>
      <c r="B1118" s="63"/>
      <c r="C1118" s="25" t="str">
        <f t="shared" si="121"/>
        <v/>
      </c>
      <c r="D1118" s="25" t="str">
        <f t="shared" si="122"/>
        <v/>
      </c>
      <c r="E1118" s="45"/>
      <c r="F1118" s="28" t="str">
        <f>IFERROR(VLOOKUP(E1118,Category!$D$2:$E$600,2,FALSE),"")</f>
        <v/>
      </c>
      <c r="G1118" s="65"/>
      <c r="H1118" s="56"/>
      <c r="I1118" s="66"/>
      <c r="J1118" s="67"/>
      <c r="K1118" s="67"/>
      <c r="L1118" s="67"/>
      <c r="M1118" s="29" t="str">
        <f t="shared" si="123"/>
        <v/>
      </c>
      <c r="N1118" s="29" t="str">
        <f t="shared" si="124"/>
        <v/>
      </c>
      <c r="O1118" s="29" t="str">
        <f t="shared" si="119"/>
        <v/>
      </c>
      <c r="P1118" s="61"/>
      <c r="Q1118" s="61"/>
      <c r="R1118" s="61"/>
      <c r="S1118" s="45"/>
      <c r="T1118" s="29" t="str">
        <f t="shared" si="120"/>
        <v/>
      </c>
    </row>
    <row r="1119" spans="1:20">
      <c r="A1119" s="10" t="str">
        <f t="shared" si="125"/>
        <v/>
      </c>
      <c r="B1119" s="63"/>
      <c r="C1119" s="25" t="str">
        <f t="shared" si="121"/>
        <v/>
      </c>
      <c r="D1119" s="25" t="str">
        <f t="shared" si="122"/>
        <v/>
      </c>
      <c r="E1119" s="45"/>
      <c r="F1119" s="28" t="str">
        <f>IFERROR(VLOOKUP(E1119,Category!$D$2:$E$600,2,FALSE),"")</f>
        <v/>
      </c>
      <c r="G1119" s="65"/>
      <c r="H1119" s="56"/>
      <c r="I1119" s="66"/>
      <c r="J1119" s="67"/>
      <c r="K1119" s="67"/>
      <c r="L1119" s="67"/>
      <c r="M1119" s="29" t="str">
        <f t="shared" si="123"/>
        <v/>
      </c>
      <c r="N1119" s="29" t="str">
        <f t="shared" si="124"/>
        <v/>
      </c>
      <c r="O1119" s="29" t="str">
        <f t="shared" si="119"/>
        <v/>
      </c>
      <c r="P1119" s="61"/>
      <c r="Q1119" s="61"/>
      <c r="R1119" s="61"/>
      <c r="S1119" s="45"/>
      <c r="T1119" s="29" t="str">
        <f t="shared" si="120"/>
        <v/>
      </c>
    </row>
    <row r="1120" spans="1:20">
      <c r="A1120" s="10" t="str">
        <f t="shared" si="125"/>
        <v/>
      </c>
      <c r="B1120" s="63"/>
      <c r="C1120" s="25" t="str">
        <f t="shared" si="121"/>
        <v/>
      </c>
      <c r="D1120" s="25" t="str">
        <f t="shared" si="122"/>
        <v/>
      </c>
      <c r="E1120" s="45"/>
      <c r="F1120" s="28" t="str">
        <f>IFERROR(VLOOKUP(E1120,Category!$D$2:$E$600,2,FALSE),"")</f>
        <v/>
      </c>
      <c r="G1120" s="65"/>
      <c r="H1120" s="56"/>
      <c r="I1120" s="66"/>
      <c r="J1120" s="67"/>
      <c r="K1120" s="67"/>
      <c r="L1120" s="67"/>
      <c r="M1120" s="29" t="str">
        <f t="shared" si="123"/>
        <v/>
      </c>
      <c r="N1120" s="29" t="str">
        <f t="shared" si="124"/>
        <v/>
      </c>
      <c r="O1120" s="29" t="str">
        <f t="shared" si="119"/>
        <v/>
      </c>
      <c r="P1120" s="61"/>
      <c r="Q1120" s="61"/>
      <c r="R1120" s="61"/>
      <c r="S1120" s="45"/>
      <c r="T1120" s="29" t="str">
        <f t="shared" si="120"/>
        <v/>
      </c>
    </row>
    <row r="1121" spans="1:20">
      <c r="A1121" s="10" t="str">
        <f t="shared" si="125"/>
        <v/>
      </c>
      <c r="B1121" s="63"/>
      <c r="C1121" s="25" t="str">
        <f t="shared" si="121"/>
        <v/>
      </c>
      <c r="D1121" s="25" t="str">
        <f t="shared" si="122"/>
        <v/>
      </c>
      <c r="E1121" s="45"/>
      <c r="F1121" s="28" t="str">
        <f>IFERROR(VLOOKUP(E1121,Category!$D$2:$E$600,2,FALSE),"")</f>
        <v/>
      </c>
      <c r="G1121" s="65"/>
      <c r="H1121" s="56"/>
      <c r="I1121" s="66"/>
      <c r="J1121" s="67"/>
      <c r="K1121" s="67"/>
      <c r="L1121" s="67"/>
      <c r="M1121" s="29" t="str">
        <f t="shared" si="123"/>
        <v/>
      </c>
      <c r="N1121" s="29" t="str">
        <f t="shared" si="124"/>
        <v/>
      </c>
      <c r="O1121" s="29" t="str">
        <f t="shared" si="119"/>
        <v/>
      </c>
      <c r="P1121" s="61"/>
      <c r="Q1121" s="61"/>
      <c r="R1121" s="61"/>
      <c r="S1121" s="45"/>
      <c r="T1121" s="29" t="str">
        <f t="shared" si="120"/>
        <v/>
      </c>
    </row>
    <row r="1122" spans="1:20">
      <c r="A1122" s="10" t="str">
        <f t="shared" si="125"/>
        <v/>
      </c>
      <c r="B1122" s="63"/>
      <c r="C1122" s="25" t="str">
        <f t="shared" si="121"/>
        <v/>
      </c>
      <c r="D1122" s="25" t="str">
        <f t="shared" si="122"/>
        <v/>
      </c>
      <c r="E1122" s="45"/>
      <c r="F1122" s="28" t="str">
        <f>IFERROR(VLOOKUP(E1122,Category!$D$2:$E$600,2,FALSE),"")</f>
        <v/>
      </c>
      <c r="G1122" s="65"/>
      <c r="H1122" s="56"/>
      <c r="I1122" s="66"/>
      <c r="J1122" s="67"/>
      <c r="K1122" s="67"/>
      <c r="L1122" s="67"/>
      <c r="M1122" s="29" t="str">
        <f t="shared" si="123"/>
        <v/>
      </c>
      <c r="N1122" s="29" t="str">
        <f t="shared" si="124"/>
        <v/>
      </c>
      <c r="O1122" s="29" t="str">
        <f t="shared" si="119"/>
        <v/>
      </c>
      <c r="P1122" s="61"/>
      <c r="Q1122" s="61"/>
      <c r="R1122" s="61"/>
      <c r="S1122" s="45"/>
      <c r="T1122" s="29" t="str">
        <f t="shared" si="120"/>
        <v/>
      </c>
    </row>
    <row r="1123" spans="1:20">
      <c r="A1123" s="10" t="str">
        <f t="shared" si="125"/>
        <v/>
      </c>
      <c r="B1123" s="63"/>
      <c r="C1123" s="25" t="str">
        <f t="shared" si="121"/>
        <v/>
      </c>
      <c r="D1123" s="25" t="str">
        <f t="shared" si="122"/>
        <v/>
      </c>
      <c r="E1123" s="45"/>
      <c r="F1123" s="28" t="str">
        <f>IFERROR(VLOOKUP(E1123,Category!$D$2:$E$600,2,FALSE),"")</f>
        <v/>
      </c>
      <c r="G1123" s="65"/>
      <c r="H1123" s="56"/>
      <c r="I1123" s="66"/>
      <c r="J1123" s="67"/>
      <c r="K1123" s="67"/>
      <c r="L1123" s="67"/>
      <c r="M1123" s="29" t="str">
        <f t="shared" si="123"/>
        <v/>
      </c>
      <c r="N1123" s="29" t="str">
        <f t="shared" si="124"/>
        <v/>
      </c>
      <c r="O1123" s="29" t="str">
        <f t="shared" si="119"/>
        <v/>
      </c>
      <c r="P1123" s="61"/>
      <c r="Q1123" s="61"/>
      <c r="R1123" s="61"/>
      <c r="S1123" s="45"/>
      <c r="T1123" s="29" t="str">
        <f t="shared" si="120"/>
        <v/>
      </c>
    </row>
    <row r="1124" spans="1:20">
      <c r="A1124" s="10" t="str">
        <f t="shared" si="125"/>
        <v/>
      </c>
      <c r="B1124" s="63"/>
      <c r="C1124" s="25" t="str">
        <f t="shared" si="121"/>
        <v/>
      </c>
      <c r="D1124" s="25" t="str">
        <f t="shared" si="122"/>
        <v/>
      </c>
      <c r="E1124" s="45"/>
      <c r="F1124" s="28" t="str">
        <f>IFERROR(VLOOKUP(E1124,Category!$D$2:$E$600,2,FALSE),"")</f>
        <v/>
      </c>
      <c r="G1124" s="65"/>
      <c r="H1124" s="56"/>
      <c r="I1124" s="66"/>
      <c r="J1124" s="67"/>
      <c r="K1124" s="67"/>
      <c r="L1124" s="67"/>
      <c r="M1124" s="29" t="str">
        <f t="shared" si="123"/>
        <v/>
      </c>
      <c r="N1124" s="29" t="str">
        <f t="shared" si="124"/>
        <v/>
      </c>
      <c r="O1124" s="29" t="str">
        <f t="shared" si="119"/>
        <v/>
      </c>
      <c r="P1124" s="61"/>
      <c r="Q1124" s="61"/>
      <c r="R1124" s="61"/>
      <c r="S1124" s="45"/>
      <c r="T1124" s="29" t="str">
        <f t="shared" si="120"/>
        <v/>
      </c>
    </row>
    <row r="1125" spans="1:20">
      <c r="A1125" s="10" t="str">
        <f t="shared" si="125"/>
        <v/>
      </c>
      <c r="B1125" s="63"/>
      <c r="C1125" s="25" t="str">
        <f t="shared" si="121"/>
        <v/>
      </c>
      <c r="D1125" s="25" t="str">
        <f t="shared" si="122"/>
        <v/>
      </c>
      <c r="E1125" s="45"/>
      <c r="F1125" s="28" t="str">
        <f>IFERROR(VLOOKUP(E1125,Category!$D$2:$E$600,2,FALSE),"")</f>
        <v/>
      </c>
      <c r="G1125" s="65"/>
      <c r="H1125" s="56"/>
      <c r="I1125" s="66"/>
      <c r="J1125" s="67"/>
      <c r="K1125" s="67"/>
      <c r="L1125" s="67"/>
      <c r="M1125" s="29" t="str">
        <f t="shared" si="123"/>
        <v/>
      </c>
      <c r="N1125" s="29" t="str">
        <f t="shared" si="124"/>
        <v/>
      </c>
      <c r="O1125" s="29" t="str">
        <f t="shared" si="119"/>
        <v/>
      </c>
      <c r="P1125" s="61"/>
      <c r="Q1125" s="61"/>
      <c r="R1125" s="61"/>
      <c r="S1125" s="45"/>
      <c r="T1125" s="29" t="str">
        <f t="shared" si="120"/>
        <v/>
      </c>
    </row>
    <row r="1126" spans="1:20">
      <c r="A1126" s="10" t="str">
        <f t="shared" si="125"/>
        <v/>
      </c>
      <c r="B1126" s="63"/>
      <c r="C1126" s="25" t="str">
        <f t="shared" si="121"/>
        <v/>
      </c>
      <c r="D1126" s="25" t="str">
        <f t="shared" si="122"/>
        <v/>
      </c>
      <c r="E1126" s="45"/>
      <c r="F1126" s="28" t="str">
        <f>IFERROR(VLOOKUP(E1126,Category!$D$2:$E$600,2,FALSE),"")</f>
        <v/>
      </c>
      <c r="G1126" s="65"/>
      <c r="H1126" s="56"/>
      <c r="I1126" s="66"/>
      <c r="J1126" s="67"/>
      <c r="K1126" s="67"/>
      <c r="L1126" s="67"/>
      <c r="M1126" s="29" t="str">
        <f t="shared" si="123"/>
        <v/>
      </c>
      <c r="N1126" s="29" t="str">
        <f t="shared" si="124"/>
        <v/>
      </c>
      <c r="O1126" s="29" t="str">
        <f t="shared" si="119"/>
        <v/>
      </c>
      <c r="P1126" s="61"/>
      <c r="Q1126" s="61"/>
      <c r="R1126" s="61"/>
      <c r="S1126" s="45"/>
      <c r="T1126" s="29" t="str">
        <f t="shared" si="120"/>
        <v/>
      </c>
    </row>
    <row r="1127" spans="1:20">
      <c r="A1127" s="10" t="str">
        <f t="shared" si="125"/>
        <v/>
      </c>
      <c r="B1127" s="63"/>
      <c r="C1127" s="25" t="str">
        <f t="shared" si="121"/>
        <v/>
      </c>
      <c r="D1127" s="25" t="str">
        <f t="shared" si="122"/>
        <v/>
      </c>
      <c r="E1127" s="45"/>
      <c r="F1127" s="28" t="str">
        <f>IFERROR(VLOOKUP(E1127,Category!$D$2:$E$600,2,FALSE),"")</f>
        <v/>
      </c>
      <c r="G1127" s="65"/>
      <c r="H1127" s="56"/>
      <c r="I1127" s="66"/>
      <c r="J1127" s="67"/>
      <c r="K1127" s="67"/>
      <c r="L1127" s="67"/>
      <c r="M1127" s="29" t="str">
        <f t="shared" si="123"/>
        <v/>
      </c>
      <c r="N1127" s="29" t="str">
        <f t="shared" si="124"/>
        <v/>
      </c>
      <c r="O1127" s="29" t="str">
        <f t="shared" si="119"/>
        <v/>
      </c>
      <c r="P1127" s="61"/>
      <c r="Q1127" s="61"/>
      <c r="R1127" s="61"/>
      <c r="S1127" s="45"/>
      <c r="T1127" s="29" t="str">
        <f t="shared" si="120"/>
        <v/>
      </c>
    </row>
    <row r="1128" spans="1:20">
      <c r="A1128" s="10" t="str">
        <f t="shared" si="125"/>
        <v/>
      </c>
      <c r="B1128" s="63"/>
      <c r="C1128" s="25" t="str">
        <f t="shared" si="121"/>
        <v/>
      </c>
      <c r="D1128" s="25" t="str">
        <f t="shared" si="122"/>
        <v/>
      </c>
      <c r="E1128" s="45"/>
      <c r="F1128" s="28" t="str">
        <f>IFERROR(VLOOKUP(E1128,Category!$D$2:$E$600,2,FALSE),"")</f>
        <v/>
      </c>
      <c r="G1128" s="65"/>
      <c r="H1128" s="56"/>
      <c r="I1128" s="66"/>
      <c r="J1128" s="67"/>
      <c r="K1128" s="67"/>
      <c r="L1128" s="67"/>
      <c r="M1128" s="29" t="str">
        <f t="shared" si="123"/>
        <v/>
      </c>
      <c r="N1128" s="29" t="str">
        <f t="shared" si="124"/>
        <v/>
      </c>
      <c r="O1128" s="29" t="str">
        <f t="shared" si="119"/>
        <v/>
      </c>
      <c r="P1128" s="61"/>
      <c r="Q1128" s="61"/>
      <c r="R1128" s="61"/>
      <c r="S1128" s="45"/>
      <c r="T1128" s="29" t="str">
        <f t="shared" si="120"/>
        <v/>
      </c>
    </row>
    <row r="1129" spans="1:20">
      <c r="A1129" s="10" t="str">
        <f t="shared" si="125"/>
        <v/>
      </c>
      <c r="B1129" s="63"/>
      <c r="C1129" s="25" t="str">
        <f t="shared" si="121"/>
        <v/>
      </c>
      <c r="D1129" s="25" t="str">
        <f t="shared" si="122"/>
        <v/>
      </c>
      <c r="E1129" s="45"/>
      <c r="F1129" s="28" t="str">
        <f>IFERROR(VLOOKUP(E1129,Category!$D$2:$E$600,2,FALSE),"")</f>
        <v/>
      </c>
      <c r="G1129" s="65"/>
      <c r="H1129" s="56"/>
      <c r="I1129" s="66"/>
      <c r="J1129" s="67"/>
      <c r="K1129" s="67"/>
      <c r="L1129" s="67"/>
      <c r="M1129" s="29" t="str">
        <f t="shared" si="123"/>
        <v/>
      </c>
      <c r="N1129" s="29" t="str">
        <f t="shared" si="124"/>
        <v/>
      </c>
      <c r="O1129" s="29" t="str">
        <f t="shared" si="119"/>
        <v/>
      </c>
      <c r="P1129" s="61"/>
      <c r="Q1129" s="61"/>
      <c r="R1129" s="61"/>
      <c r="S1129" s="45"/>
      <c r="T1129" s="29" t="str">
        <f t="shared" si="120"/>
        <v/>
      </c>
    </row>
    <row r="1130" spans="1:20">
      <c r="A1130" s="10" t="str">
        <f t="shared" si="125"/>
        <v/>
      </c>
      <c r="B1130" s="63"/>
      <c r="C1130" s="25" t="str">
        <f t="shared" si="121"/>
        <v/>
      </c>
      <c r="D1130" s="25" t="str">
        <f t="shared" si="122"/>
        <v/>
      </c>
      <c r="E1130" s="45"/>
      <c r="F1130" s="28" t="str">
        <f>IFERROR(VLOOKUP(E1130,Category!$D$2:$E$600,2,FALSE),"")</f>
        <v/>
      </c>
      <c r="G1130" s="65"/>
      <c r="H1130" s="56"/>
      <c r="I1130" s="66"/>
      <c r="J1130" s="67"/>
      <c r="K1130" s="67"/>
      <c r="L1130" s="67"/>
      <c r="M1130" s="29" t="str">
        <f t="shared" si="123"/>
        <v/>
      </c>
      <c r="N1130" s="29" t="str">
        <f t="shared" si="124"/>
        <v/>
      </c>
      <c r="O1130" s="29" t="str">
        <f t="shared" si="119"/>
        <v/>
      </c>
      <c r="P1130" s="61"/>
      <c r="Q1130" s="61"/>
      <c r="R1130" s="61"/>
      <c r="S1130" s="45"/>
      <c r="T1130" s="29" t="str">
        <f t="shared" si="120"/>
        <v/>
      </c>
    </row>
    <row r="1131" spans="1:20">
      <c r="A1131" s="10" t="str">
        <f t="shared" si="125"/>
        <v/>
      </c>
      <c r="B1131" s="63"/>
      <c r="C1131" s="25" t="str">
        <f t="shared" si="121"/>
        <v/>
      </c>
      <c r="D1131" s="25" t="str">
        <f t="shared" si="122"/>
        <v/>
      </c>
      <c r="E1131" s="45"/>
      <c r="F1131" s="28" t="str">
        <f>IFERROR(VLOOKUP(E1131,Category!$D$2:$E$600,2,FALSE),"")</f>
        <v/>
      </c>
      <c r="G1131" s="65"/>
      <c r="H1131" s="56"/>
      <c r="I1131" s="66"/>
      <c r="J1131" s="67"/>
      <c r="K1131" s="67"/>
      <c r="L1131" s="67"/>
      <c r="M1131" s="29" t="str">
        <f t="shared" si="123"/>
        <v/>
      </c>
      <c r="N1131" s="29" t="str">
        <f t="shared" si="124"/>
        <v/>
      </c>
      <c r="O1131" s="29" t="str">
        <f t="shared" si="119"/>
        <v/>
      </c>
      <c r="P1131" s="61"/>
      <c r="Q1131" s="61"/>
      <c r="R1131" s="61"/>
      <c r="S1131" s="45"/>
      <c r="T1131" s="29" t="str">
        <f t="shared" si="120"/>
        <v/>
      </c>
    </row>
    <row r="1132" spans="1:20">
      <c r="A1132" s="10" t="str">
        <f t="shared" si="125"/>
        <v/>
      </c>
      <c r="B1132" s="63"/>
      <c r="C1132" s="25" t="str">
        <f t="shared" si="121"/>
        <v/>
      </c>
      <c r="D1132" s="25" t="str">
        <f t="shared" si="122"/>
        <v/>
      </c>
      <c r="E1132" s="45"/>
      <c r="F1132" s="28" t="str">
        <f>IFERROR(VLOOKUP(E1132,Category!$D$2:$E$600,2,FALSE),"")</f>
        <v/>
      </c>
      <c r="G1132" s="65"/>
      <c r="H1132" s="56"/>
      <c r="I1132" s="66"/>
      <c r="J1132" s="67"/>
      <c r="K1132" s="67"/>
      <c r="L1132" s="67"/>
      <c r="M1132" s="29" t="str">
        <f t="shared" si="123"/>
        <v/>
      </c>
      <c r="N1132" s="29" t="str">
        <f t="shared" si="124"/>
        <v/>
      </c>
      <c r="O1132" s="29" t="str">
        <f t="shared" si="119"/>
        <v/>
      </c>
      <c r="P1132" s="61"/>
      <c r="Q1132" s="61"/>
      <c r="R1132" s="61"/>
      <c r="S1132" s="45"/>
      <c r="T1132" s="29" t="str">
        <f t="shared" si="120"/>
        <v/>
      </c>
    </row>
    <row r="1133" spans="1:20">
      <c r="A1133" s="10" t="str">
        <f t="shared" si="125"/>
        <v/>
      </c>
      <c r="B1133" s="63"/>
      <c r="C1133" s="25" t="str">
        <f t="shared" si="121"/>
        <v/>
      </c>
      <c r="D1133" s="25" t="str">
        <f t="shared" si="122"/>
        <v/>
      </c>
      <c r="E1133" s="45"/>
      <c r="F1133" s="28" t="str">
        <f>IFERROR(VLOOKUP(E1133,Category!$D$2:$E$600,2,FALSE),"")</f>
        <v/>
      </c>
      <c r="G1133" s="65"/>
      <c r="H1133" s="56"/>
      <c r="I1133" s="66"/>
      <c r="J1133" s="67"/>
      <c r="K1133" s="67"/>
      <c r="L1133" s="67"/>
      <c r="M1133" s="29" t="str">
        <f t="shared" si="123"/>
        <v/>
      </c>
      <c r="N1133" s="29" t="str">
        <f t="shared" si="124"/>
        <v/>
      </c>
      <c r="O1133" s="29" t="str">
        <f t="shared" si="119"/>
        <v/>
      </c>
      <c r="P1133" s="61"/>
      <c r="Q1133" s="61"/>
      <c r="R1133" s="61"/>
      <c r="S1133" s="45"/>
      <c r="T1133" s="29" t="str">
        <f t="shared" si="120"/>
        <v/>
      </c>
    </row>
    <row r="1134" spans="1:20">
      <c r="A1134" s="10" t="str">
        <f t="shared" si="125"/>
        <v/>
      </c>
      <c r="B1134" s="63"/>
      <c r="C1134" s="25" t="str">
        <f t="shared" si="121"/>
        <v/>
      </c>
      <c r="D1134" s="25" t="str">
        <f t="shared" si="122"/>
        <v/>
      </c>
      <c r="E1134" s="45"/>
      <c r="F1134" s="28" t="str">
        <f>IFERROR(VLOOKUP(E1134,Category!$D$2:$E$600,2,FALSE),"")</f>
        <v/>
      </c>
      <c r="G1134" s="65"/>
      <c r="H1134" s="56"/>
      <c r="I1134" s="66"/>
      <c r="J1134" s="67"/>
      <c r="K1134" s="67"/>
      <c r="L1134" s="67"/>
      <c r="M1134" s="29" t="str">
        <f t="shared" si="123"/>
        <v/>
      </c>
      <c r="N1134" s="29" t="str">
        <f t="shared" si="124"/>
        <v/>
      </c>
      <c r="O1134" s="29" t="str">
        <f t="shared" si="119"/>
        <v/>
      </c>
      <c r="P1134" s="61"/>
      <c r="Q1134" s="61"/>
      <c r="R1134" s="61"/>
      <c r="S1134" s="45"/>
      <c r="T1134" s="29" t="str">
        <f t="shared" si="120"/>
        <v/>
      </c>
    </row>
    <row r="1135" spans="1:20">
      <c r="A1135" s="10" t="str">
        <f t="shared" si="125"/>
        <v/>
      </c>
      <c r="B1135" s="63"/>
      <c r="C1135" s="25" t="str">
        <f t="shared" si="121"/>
        <v/>
      </c>
      <c r="D1135" s="25" t="str">
        <f t="shared" si="122"/>
        <v/>
      </c>
      <c r="E1135" s="45"/>
      <c r="F1135" s="28" t="str">
        <f>IFERROR(VLOOKUP(E1135,Category!$D$2:$E$600,2,FALSE),"")</f>
        <v/>
      </c>
      <c r="G1135" s="65"/>
      <c r="H1135" s="56"/>
      <c r="I1135" s="66"/>
      <c r="J1135" s="67"/>
      <c r="K1135" s="67"/>
      <c r="L1135" s="67"/>
      <c r="M1135" s="29" t="str">
        <f t="shared" si="123"/>
        <v/>
      </c>
      <c r="N1135" s="29" t="str">
        <f t="shared" si="124"/>
        <v/>
      </c>
      <c r="O1135" s="29" t="str">
        <f t="shared" si="119"/>
        <v/>
      </c>
      <c r="P1135" s="61"/>
      <c r="Q1135" s="61"/>
      <c r="R1135" s="61"/>
      <c r="S1135" s="45"/>
      <c r="T1135" s="29" t="str">
        <f t="shared" si="120"/>
        <v/>
      </c>
    </row>
    <row r="1136" spans="1:20">
      <c r="A1136" s="10" t="str">
        <f t="shared" si="125"/>
        <v/>
      </c>
      <c r="B1136" s="63"/>
      <c r="C1136" s="25" t="str">
        <f t="shared" si="121"/>
        <v/>
      </c>
      <c r="D1136" s="25" t="str">
        <f t="shared" si="122"/>
        <v/>
      </c>
      <c r="E1136" s="45"/>
      <c r="F1136" s="28" t="str">
        <f>IFERROR(VLOOKUP(E1136,Category!$D$2:$E$600,2,FALSE),"")</f>
        <v/>
      </c>
      <c r="G1136" s="65"/>
      <c r="H1136" s="56"/>
      <c r="I1136" s="66"/>
      <c r="J1136" s="67"/>
      <c r="K1136" s="67"/>
      <c r="L1136" s="67"/>
      <c r="M1136" s="29" t="str">
        <f t="shared" si="123"/>
        <v/>
      </c>
      <c r="N1136" s="29" t="str">
        <f t="shared" si="124"/>
        <v/>
      </c>
      <c r="O1136" s="29" t="str">
        <f t="shared" si="119"/>
        <v/>
      </c>
      <c r="P1136" s="61"/>
      <c r="Q1136" s="61"/>
      <c r="R1136" s="61"/>
      <c r="S1136" s="45"/>
      <c r="T1136" s="29" t="str">
        <f t="shared" si="120"/>
        <v/>
      </c>
    </row>
    <row r="1137" spans="1:20">
      <c r="A1137" s="10" t="str">
        <f t="shared" si="125"/>
        <v/>
      </c>
      <c r="B1137" s="63"/>
      <c r="C1137" s="25" t="str">
        <f t="shared" si="121"/>
        <v/>
      </c>
      <c r="D1137" s="25" t="str">
        <f t="shared" si="122"/>
        <v/>
      </c>
      <c r="E1137" s="45"/>
      <c r="F1137" s="28" t="str">
        <f>IFERROR(VLOOKUP(E1137,Category!$D$2:$E$600,2,FALSE),"")</f>
        <v/>
      </c>
      <c r="G1137" s="65"/>
      <c r="H1137" s="56"/>
      <c r="I1137" s="66"/>
      <c r="J1137" s="67"/>
      <c r="K1137" s="67"/>
      <c r="L1137" s="67"/>
      <c r="M1137" s="29" t="str">
        <f t="shared" si="123"/>
        <v/>
      </c>
      <c r="N1137" s="29" t="str">
        <f t="shared" si="124"/>
        <v/>
      </c>
      <c r="O1137" s="29" t="str">
        <f t="shared" si="119"/>
        <v/>
      </c>
      <c r="P1137" s="61"/>
      <c r="Q1137" s="61"/>
      <c r="R1137" s="61"/>
      <c r="S1137" s="45"/>
      <c r="T1137" s="29" t="str">
        <f t="shared" si="120"/>
        <v/>
      </c>
    </row>
    <row r="1138" spans="1:20">
      <c r="A1138" s="10" t="str">
        <f t="shared" si="125"/>
        <v/>
      </c>
      <c r="B1138" s="63"/>
      <c r="C1138" s="25" t="str">
        <f t="shared" si="121"/>
        <v/>
      </c>
      <c r="D1138" s="25" t="str">
        <f t="shared" si="122"/>
        <v/>
      </c>
      <c r="E1138" s="45"/>
      <c r="F1138" s="28" t="str">
        <f>IFERROR(VLOOKUP(E1138,Category!$D$2:$E$600,2,FALSE),"")</f>
        <v/>
      </c>
      <c r="G1138" s="65"/>
      <c r="H1138" s="56"/>
      <c r="I1138" s="66"/>
      <c r="J1138" s="67"/>
      <c r="K1138" s="67"/>
      <c r="L1138" s="67"/>
      <c r="M1138" s="29" t="str">
        <f t="shared" si="123"/>
        <v/>
      </c>
      <c r="N1138" s="29" t="str">
        <f t="shared" si="124"/>
        <v/>
      </c>
      <c r="O1138" s="29" t="str">
        <f t="shared" si="119"/>
        <v/>
      </c>
      <c r="P1138" s="61"/>
      <c r="Q1138" s="61"/>
      <c r="R1138" s="61"/>
      <c r="S1138" s="45"/>
      <c r="T1138" s="29" t="str">
        <f t="shared" si="120"/>
        <v/>
      </c>
    </row>
    <row r="1139" spans="1:20">
      <c r="A1139" s="10" t="str">
        <f t="shared" si="125"/>
        <v/>
      </c>
      <c r="B1139" s="63"/>
      <c r="C1139" s="25" t="str">
        <f t="shared" si="121"/>
        <v/>
      </c>
      <c r="D1139" s="25" t="str">
        <f t="shared" si="122"/>
        <v/>
      </c>
      <c r="E1139" s="45"/>
      <c r="F1139" s="28" t="str">
        <f>IFERROR(VLOOKUP(E1139,Category!$D$2:$E$600,2,FALSE),"")</f>
        <v/>
      </c>
      <c r="G1139" s="65"/>
      <c r="H1139" s="56"/>
      <c r="I1139" s="66"/>
      <c r="J1139" s="67"/>
      <c r="K1139" s="67"/>
      <c r="L1139" s="67"/>
      <c r="M1139" s="29" t="str">
        <f t="shared" si="123"/>
        <v/>
      </c>
      <c r="N1139" s="29" t="str">
        <f t="shared" si="124"/>
        <v/>
      </c>
      <c r="O1139" s="29" t="str">
        <f t="shared" si="119"/>
        <v/>
      </c>
      <c r="P1139" s="61"/>
      <c r="Q1139" s="61"/>
      <c r="R1139" s="61"/>
      <c r="S1139" s="45"/>
      <c r="T1139" s="29" t="str">
        <f t="shared" si="120"/>
        <v/>
      </c>
    </row>
    <row r="1140" spans="1:20">
      <c r="A1140" s="10" t="str">
        <f t="shared" si="125"/>
        <v/>
      </c>
      <c r="B1140" s="63"/>
      <c r="C1140" s="25" t="str">
        <f t="shared" si="121"/>
        <v/>
      </c>
      <c r="D1140" s="25" t="str">
        <f t="shared" si="122"/>
        <v/>
      </c>
      <c r="E1140" s="45"/>
      <c r="F1140" s="28" t="str">
        <f>IFERROR(VLOOKUP(E1140,Category!$D$2:$E$600,2,FALSE),"")</f>
        <v/>
      </c>
      <c r="G1140" s="65"/>
      <c r="H1140" s="56"/>
      <c r="I1140" s="66"/>
      <c r="J1140" s="67"/>
      <c r="K1140" s="67"/>
      <c r="L1140" s="67"/>
      <c r="M1140" s="29" t="str">
        <f t="shared" si="123"/>
        <v/>
      </c>
      <c r="N1140" s="29" t="str">
        <f t="shared" si="124"/>
        <v/>
      </c>
      <c r="O1140" s="29" t="str">
        <f t="shared" si="119"/>
        <v/>
      </c>
      <c r="P1140" s="61"/>
      <c r="Q1140" s="61"/>
      <c r="R1140" s="61"/>
      <c r="S1140" s="45"/>
      <c r="T1140" s="29" t="str">
        <f t="shared" si="120"/>
        <v/>
      </c>
    </row>
    <row r="1141" spans="1:20">
      <c r="A1141" s="10" t="str">
        <f t="shared" si="125"/>
        <v/>
      </c>
      <c r="B1141" s="63"/>
      <c r="C1141" s="25" t="str">
        <f t="shared" si="121"/>
        <v/>
      </c>
      <c r="D1141" s="25" t="str">
        <f t="shared" si="122"/>
        <v/>
      </c>
      <c r="E1141" s="45"/>
      <c r="F1141" s="28" t="str">
        <f>IFERROR(VLOOKUP(E1141,Category!$D$2:$E$600,2,FALSE),"")</f>
        <v/>
      </c>
      <c r="G1141" s="65"/>
      <c r="H1141" s="56"/>
      <c r="I1141" s="66"/>
      <c r="J1141" s="67"/>
      <c r="K1141" s="67"/>
      <c r="L1141" s="67"/>
      <c r="M1141" s="29" t="str">
        <f t="shared" si="123"/>
        <v/>
      </c>
      <c r="N1141" s="29" t="str">
        <f t="shared" si="124"/>
        <v/>
      </c>
      <c r="O1141" s="29" t="str">
        <f t="shared" si="119"/>
        <v/>
      </c>
      <c r="P1141" s="61"/>
      <c r="Q1141" s="61"/>
      <c r="R1141" s="61"/>
      <c r="S1141" s="45"/>
      <c r="T1141" s="29" t="str">
        <f t="shared" si="120"/>
        <v/>
      </c>
    </row>
    <row r="1142" spans="1:20">
      <c r="A1142" s="10" t="str">
        <f t="shared" si="125"/>
        <v/>
      </c>
      <c r="B1142" s="63"/>
      <c r="C1142" s="25" t="str">
        <f t="shared" si="121"/>
        <v/>
      </c>
      <c r="D1142" s="25" t="str">
        <f t="shared" si="122"/>
        <v/>
      </c>
      <c r="E1142" s="45"/>
      <c r="F1142" s="28" t="str">
        <f>IFERROR(VLOOKUP(E1142,Category!$D$2:$E$600,2,FALSE),"")</f>
        <v/>
      </c>
      <c r="G1142" s="65"/>
      <c r="H1142" s="56"/>
      <c r="I1142" s="66"/>
      <c r="J1142" s="67"/>
      <c r="K1142" s="67"/>
      <c r="L1142" s="67"/>
      <c r="M1142" s="29" t="str">
        <f t="shared" si="123"/>
        <v/>
      </c>
      <c r="N1142" s="29" t="str">
        <f t="shared" si="124"/>
        <v/>
      </c>
      <c r="O1142" s="29" t="str">
        <f t="shared" si="119"/>
        <v/>
      </c>
      <c r="P1142" s="61"/>
      <c r="Q1142" s="61"/>
      <c r="R1142" s="61"/>
      <c r="S1142" s="45"/>
      <c r="T1142" s="29" t="str">
        <f t="shared" si="120"/>
        <v/>
      </c>
    </row>
    <row r="1143" spans="1:20">
      <c r="A1143" s="10" t="str">
        <f t="shared" si="125"/>
        <v/>
      </c>
      <c r="B1143" s="63"/>
      <c r="C1143" s="25" t="str">
        <f t="shared" si="121"/>
        <v/>
      </c>
      <c r="D1143" s="25" t="str">
        <f t="shared" si="122"/>
        <v/>
      </c>
      <c r="E1143" s="45"/>
      <c r="F1143" s="28" t="str">
        <f>IFERROR(VLOOKUP(E1143,Category!$D$2:$E$600,2,FALSE),"")</f>
        <v/>
      </c>
      <c r="G1143" s="65"/>
      <c r="H1143" s="56"/>
      <c r="I1143" s="66"/>
      <c r="J1143" s="67"/>
      <c r="K1143" s="67"/>
      <c r="L1143" s="67"/>
      <c r="M1143" s="29" t="str">
        <f t="shared" si="123"/>
        <v/>
      </c>
      <c r="N1143" s="29" t="str">
        <f t="shared" si="124"/>
        <v/>
      </c>
      <c r="O1143" s="29" t="str">
        <f t="shared" si="119"/>
        <v/>
      </c>
      <c r="P1143" s="61"/>
      <c r="Q1143" s="61"/>
      <c r="R1143" s="61"/>
      <c r="S1143" s="45"/>
      <c r="T1143" s="29" t="str">
        <f t="shared" si="120"/>
        <v/>
      </c>
    </row>
    <row r="1144" spans="1:20">
      <c r="A1144" s="10" t="str">
        <f t="shared" si="125"/>
        <v/>
      </c>
      <c r="B1144" s="63"/>
      <c r="C1144" s="25" t="str">
        <f t="shared" si="121"/>
        <v/>
      </c>
      <c r="D1144" s="25" t="str">
        <f t="shared" si="122"/>
        <v/>
      </c>
      <c r="E1144" s="45"/>
      <c r="F1144" s="28" t="str">
        <f>IFERROR(VLOOKUP(E1144,Category!$D$2:$E$600,2,FALSE),"")</f>
        <v/>
      </c>
      <c r="G1144" s="65"/>
      <c r="H1144" s="56"/>
      <c r="I1144" s="66"/>
      <c r="J1144" s="67"/>
      <c r="K1144" s="67"/>
      <c r="L1144" s="67"/>
      <c r="M1144" s="29" t="str">
        <f t="shared" si="123"/>
        <v/>
      </c>
      <c r="N1144" s="29" t="str">
        <f t="shared" si="124"/>
        <v/>
      </c>
      <c r="O1144" s="29" t="str">
        <f t="shared" si="119"/>
        <v/>
      </c>
      <c r="P1144" s="61"/>
      <c r="Q1144" s="61"/>
      <c r="R1144" s="61"/>
      <c r="S1144" s="45"/>
      <c r="T1144" s="29" t="str">
        <f t="shared" si="120"/>
        <v/>
      </c>
    </row>
    <row r="1145" spans="1:20">
      <c r="A1145" s="10" t="str">
        <f t="shared" si="125"/>
        <v/>
      </c>
      <c r="B1145" s="63"/>
      <c r="C1145" s="25" t="str">
        <f t="shared" si="121"/>
        <v/>
      </c>
      <c r="D1145" s="25" t="str">
        <f t="shared" si="122"/>
        <v/>
      </c>
      <c r="E1145" s="45"/>
      <c r="F1145" s="28" t="str">
        <f>IFERROR(VLOOKUP(E1145,Category!$D$2:$E$600,2,FALSE),"")</f>
        <v/>
      </c>
      <c r="G1145" s="65"/>
      <c r="H1145" s="56"/>
      <c r="I1145" s="66"/>
      <c r="J1145" s="67"/>
      <c r="K1145" s="67"/>
      <c r="L1145" s="67"/>
      <c r="M1145" s="29" t="str">
        <f t="shared" si="123"/>
        <v/>
      </c>
      <c r="N1145" s="29" t="str">
        <f t="shared" si="124"/>
        <v/>
      </c>
      <c r="O1145" s="29" t="str">
        <f t="shared" si="119"/>
        <v/>
      </c>
      <c r="P1145" s="61"/>
      <c r="Q1145" s="61"/>
      <c r="R1145" s="61"/>
      <c r="S1145" s="45"/>
      <c r="T1145" s="29" t="str">
        <f t="shared" si="120"/>
        <v/>
      </c>
    </row>
    <row r="1146" spans="1:20">
      <c r="A1146" s="10" t="str">
        <f t="shared" si="125"/>
        <v/>
      </c>
      <c r="B1146" s="63"/>
      <c r="C1146" s="25" t="str">
        <f t="shared" si="121"/>
        <v/>
      </c>
      <c r="D1146" s="25" t="str">
        <f t="shared" si="122"/>
        <v/>
      </c>
      <c r="E1146" s="45"/>
      <c r="F1146" s="28" t="str">
        <f>IFERROR(VLOOKUP(E1146,Category!$D$2:$E$600,2,FALSE),"")</f>
        <v/>
      </c>
      <c r="G1146" s="65"/>
      <c r="H1146" s="56"/>
      <c r="I1146" s="66"/>
      <c r="J1146" s="67"/>
      <c r="K1146" s="67"/>
      <c r="L1146" s="67"/>
      <c r="M1146" s="29" t="str">
        <f t="shared" si="123"/>
        <v/>
      </c>
      <c r="N1146" s="29" t="str">
        <f t="shared" si="124"/>
        <v/>
      </c>
      <c r="O1146" s="29" t="str">
        <f t="shared" si="119"/>
        <v/>
      </c>
      <c r="P1146" s="61"/>
      <c r="Q1146" s="61"/>
      <c r="R1146" s="61"/>
      <c r="S1146" s="45"/>
      <c r="T1146" s="29" t="str">
        <f t="shared" si="120"/>
        <v/>
      </c>
    </row>
    <row r="1147" spans="1:20">
      <c r="A1147" s="10" t="str">
        <f t="shared" si="125"/>
        <v/>
      </c>
      <c r="B1147" s="63"/>
      <c r="C1147" s="25" t="str">
        <f t="shared" si="121"/>
        <v/>
      </c>
      <c r="D1147" s="25" t="str">
        <f t="shared" si="122"/>
        <v/>
      </c>
      <c r="E1147" s="45"/>
      <c r="F1147" s="28" t="str">
        <f>IFERROR(VLOOKUP(E1147,Category!$D$2:$E$600,2,FALSE),"")</f>
        <v/>
      </c>
      <c r="G1147" s="65"/>
      <c r="H1147" s="56"/>
      <c r="I1147" s="66"/>
      <c r="J1147" s="67"/>
      <c r="K1147" s="67"/>
      <c r="L1147" s="67"/>
      <c r="M1147" s="29" t="str">
        <f t="shared" si="123"/>
        <v/>
      </c>
      <c r="N1147" s="29" t="str">
        <f t="shared" si="124"/>
        <v/>
      </c>
      <c r="O1147" s="29" t="str">
        <f t="shared" si="119"/>
        <v/>
      </c>
      <c r="P1147" s="61"/>
      <c r="Q1147" s="61"/>
      <c r="R1147" s="61"/>
      <c r="S1147" s="45"/>
      <c r="T1147" s="29" t="str">
        <f t="shared" si="120"/>
        <v/>
      </c>
    </row>
    <row r="1148" spans="1:20">
      <c r="A1148" s="10" t="str">
        <f t="shared" si="125"/>
        <v/>
      </c>
      <c r="B1148" s="63"/>
      <c r="C1148" s="25" t="str">
        <f t="shared" si="121"/>
        <v/>
      </c>
      <c r="D1148" s="25" t="str">
        <f t="shared" si="122"/>
        <v/>
      </c>
      <c r="E1148" s="45"/>
      <c r="F1148" s="28" t="str">
        <f>IFERROR(VLOOKUP(E1148,Category!$D$2:$E$600,2,FALSE),"")</f>
        <v/>
      </c>
      <c r="G1148" s="65"/>
      <c r="H1148" s="56"/>
      <c r="I1148" s="66"/>
      <c r="J1148" s="67"/>
      <c r="K1148" s="67"/>
      <c r="L1148" s="67"/>
      <c r="M1148" s="29" t="str">
        <f t="shared" si="123"/>
        <v/>
      </c>
      <c r="N1148" s="29" t="str">
        <f t="shared" si="124"/>
        <v/>
      </c>
      <c r="O1148" s="29" t="str">
        <f t="shared" si="119"/>
        <v/>
      </c>
      <c r="P1148" s="61"/>
      <c r="Q1148" s="61"/>
      <c r="R1148" s="61"/>
      <c r="S1148" s="45"/>
      <c r="T1148" s="29" t="str">
        <f t="shared" si="120"/>
        <v/>
      </c>
    </row>
    <row r="1149" spans="1:20">
      <c r="A1149" s="10" t="str">
        <f t="shared" si="125"/>
        <v/>
      </c>
      <c r="B1149" s="63"/>
      <c r="C1149" s="25" t="str">
        <f t="shared" si="121"/>
        <v/>
      </c>
      <c r="D1149" s="25" t="str">
        <f t="shared" si="122"/>
        <v/>
      </c>
      <c r="E1149" s="45"/>
      <c r="F1149" s="28" t="str">
        <f>IFERROR(VLOOKUP(E1149,Category!$D$2:$E$600,2,FALSE),"")</f>
        <v/>
      </c>
      <c r="G1149" s="65"/>
      <c r="H1149" s="56"/>
      <c r="I1149" s="66"/>
      <c r="J1149" s="67"/>
      <c r="K1149" s="67"/>
      <c r="L1149" s="67"/>
      <c r="M1149" s="29" t="str">
        <f t="shared" si="123"/>
        <v/>
      </c>
      <c r="N1149" s="29" t="str">
        <f t="shared" si="124"/>
        <v/>
      </c>
      <c r="O1149" s="29" t="str">
        <f t="shared" si="119"/>
        <v/>
      </c>
      <c r="P1149" s="61"/>
      <c r="Q1149" s="61"/>
      <c r="R1149" s="61"/>
      <c r="S1149" s="45"/>
      <c r="T1149" s="29" t="str">
        <f t="shared" si="120"/>
        <v/>
      </c>
    </row>
    <row r="1150" spans="1:20">
      <c r="A1150" s="10" t="str">
        <f t="shared" si="125"/>
        <v/>
      </c>
      <c r="B1150" s="63"/>
      <c r="C1150" s="25" t="str">
        <f t="shared" si="121"/>
        <v/>
      </c>
      <c r="D1150" s="25" t="str">
        <f t="shared" si="122"/>
        <v/>
      </c>
      <c r="E1150" s="45"/>
      <c r="F1150" s="28" t="str">
        <f>IFERROR(VLOOKUP(E1150,Category!$D$2:$E$600,2,FALSE),"")</f>
        <v/>
      </c>
      <c r="G1150" s="65"/>
      <c r="H1150" s="56"/>
      <c r="I1150" s="66"/>
      <c r="J1150" s="67"/>
      <c r="K1150" s="67"/>
      <c r="L1150" s="67"/>
      <c r="M1150" s="29" t="str">
        <f t="shared" si="123"/>
        <v/>
      </c>
      <c r="N1150" s="29" t="str">
        <f t="shared" si="124"/>
        <v/>
      </c>
      <c r="O1150" s="29" t="str">
        <f t="shared" si="119"/>
        <v/>
      </c>
      <c r="P1150" s="61"/>
      <c r="Q1150" s="61"/>
      <c r="R1150" s="61"/>
      <c r="S1150" s="45"/>
      <c r="T1150" s="29" t="str">
        <f t="shared" si="120"/>
        <v/>
      </c>
    </row>
    <row r="1151" spans="1:20">
      <c r="A1151" s="10" t="str">
        <f t="shared" si="125"/>
        <v/>
      </c>
      <c r="B1151" s="63"/>
      <c r="C1151" s="25" t="str">
        <f t="shared" si="121"/>
        <v/>
      </c>
      <c r="D1151" s="25" t="str">
        <f t="shared" si="122"/>
        <v/>
      </c>
      <c r="E1151" s="45"/>
      <c r="F1151" s="28" t="str">
        <f>IFERROR(VLOOKUP(E1151,Category!$D$2:$E$600,2,FALSE),"")</f>
        <v/>
      </c>
      <c r="G1151" s="65"/>
      <c r="H1151" s="56"/>
      <c r="I1151" s="66"/>
      <c r="J1151" s="67"/>
      <c r="K1151" s="67"/>
      <c r="L1151" s="67"/>
      <c r="M1151" s="29" t="str">
        <f t="shared" si="123"/>
        <v/>
      </c>
      <c r="N1151" s="29" t="str">
        <f t="shared" si="124"/>
        <v/>
      </c>
      <c r="O1151" s="29" t="str">
        <f t="shared" si="119"/>
        <v/>
      </c>
      <c r="P1151" s="61"/>
      <c r="Q1151" s="61"/>
      <c r="R1151" s="61"/>
      <c r="S1151" s="45"/>
      <c r="T1151" s="29" t="str">
        <f t="shared" si="120"/>
        <v/>
      </c>
    </row>
    <row r="1152" spans="1:20">
      <c r="A1152" s="10" t="str">
        <f t="shared" si="125"/>
        <v/>
      </c>
      <c r="B1152" s="63"/>
      <c r="C1152" s="25" t="str">
        <f t="shared" si="121"/>
        <v/>
      </c>
      <c r="D1152" s="25" t="str">
        <f t="shared" si="122"/>
        <v/>
      </c>
      <c r="E1152" s="45"/>
      <c r="F1152" s="28" t="str">
        <f>IFERROR(VLOOKUP(E1152,Category!$D$2:$E$600,2,FALSE),"")</f>
        <v/>
      </c>
      <c r="G1152" s="65"/>
      <c r="H1152" s="56"/>
      <c r="I1152" s="66"/>
      <c r="J1152" s="67"/>
      <c r="K1152" s="67"/>
      <c r="L1152" s="67"/>
      <c r="M1152" s="29" t="str">
        <f t="shared" si="123"/>
        <v/>
      </c>
      <c r="N1152" s="29" t="str">
        <f t="shared" si="124"/>
        <v/>
      </c>
      <c r="O1152" s="29" t="str">
        <f t="shared" si="119"/>
        <v/>
      </c>
      <c r="P1152" s="61"/>
      <c r="Q1152" s="61"/>
      <c r="R1152" s="61"/>
      <c r="S1152" s="45"/>
      <c r="T1152" s="29" t="str">
        <f t="shared" si="120"/>
        <v/>
      </c>
    </row>
    <row r="1153" spans="1:20">
      <c r="A1153" s="10" t="str">
        <f t="shared" si="125"/>
        <v/>
      </c>
      <c r="B1153" s="63"/>
      <c r="C1153" s="25" t="str">
        <f t="shared" si="121"/>
        <v/>
      </c>
      <c r="D1153" s="25" t="str">
        <f t="shared" si="122"/>
        <v/>
      </c>
      <c r="E1153" s="45"/>
      <c r="F1153" s="28" t="str">
        <f>IFERROR(VLOOKUP(E1153,Category!$D$2:$E$600,2,FALSE),"")</f>
        <v/>
      </c>
      <c r="G1153" s="65"/>
      <c r="H1153" s="56"/>
      <c r="I1153" s="66"/>
      <c r="J1153" s="67"/>
      <c r="K1153" s="67"/>
      <c r="L1153" s="67"/>
      <c r="M1153" s="29" t="str">
        <f t="shared" si="123"/>
        <v/>
      </c>
      <c r="N1153" s="29" t="str">
        <f t="shared" si="124"/>
        <v/>
      </c>
      <c r="O1153" s="29" t="str">
        <f t="shared" si="119"/>
        <v/>
      </c>
      <c r="P1153" s="61"/>
      <c r="Q1153" s="61"/>
      <c r="R1153" s="61"/>
      <c r="S1153" s="45"/>
      <c r="T1153" s="29" t="str">
        <f t="shared" si="120"/>
        <v/>
      </c>
    </row>
    <row r="1154" spans="1:20">
      <c r="A1154" s="10" t="str">
        <f t="shared" si="125"/>
        <v/>
      </c>
      <c r="B1154" s="63"/>
      <c r="C1154" s="25" t="str">
        <f t="shared" si="121"/>
        <v/>
      </c>
      <c r="D1154" s="25" t="str">
        <f t="shared" si="122"/>
        <v/>
      </c>
      <c r="E1154" s="45"/>
      <c r="F1154" s="28" t="str">
        <f>IFERROR(VLOOKUP(E1154,Category!$D$2:$E$600,2,FALSE),"")</f>
        <v/>
      </c>
      <c r="G1154" s="65"/>
      <c r="H1154" s="56"/>
      <c r="I1154" s="66"/>
      <c r="J1154" s="67"/>
      <c r="K1154" s="67"/>
      <c r="L1154" s="67"/>
      <c r="M1154" s="29" t="str">
        <f t="shared" si="123"/>
        <v/>
      </c>
      <c r="N1154" s="29" t="str">
        <f t="shared" si="124"/>
        <v/>
      </c>
      <c r="O1154" s="29" t="str">
        <f t="shared" ref="O1154:O1217" si="126">IF(H1154*I1154=0,"",H1154*I1154)</f>
        <v/>
      </c>
      <c r="P1154" s="61"/>
      <c r="Q1154" s="61"/>
      <c r="R1154" s="61"/>
      <c r="S1154" s="45"/>
      <c r="T1154" s="29" t="str">
        <f t="shared" ref="T1154:T1217" si="127">IF(R1154="paid",(H1154*I1154)-(G1154*H1154),"")</f>
        <v/>
      </c>
    </row>
    <row r="1155" spans="1:20">
      <c r="A1155" s="10" t="str">
        <f t="shared" si="125"/>
        <v/>
      </c>
      <c r="B1155" s="63"/>
      <c r="C1155" s="25" t="str">
        <f t="shared" ref="C1155:C1218" si="128">IF(B1155=0,"",TEXT(B1155,"mmmm"))</f>
        <v/>
      </c>
      <c r="D1155" s="25" t="str">
        <f t="shared" ref="D1155:D1218" si="129">IF(B1155=0,"",TEXT(B1155,"yyyy"))</f>
        <v/>
      </c>
      <c r="E1155" s="45"/>
      <c r="F1155" s="28" t="str">
        <f>IFERROR(VLOOKUP(E1155,Category!$D$2:$E$600,2,FALSE),"")</f>
        <v/>
      </c>
      <c r="G1155" s="65"/>
      <c r="H1155" s="56"/>
      <c r="I1155" s="66"/>
      <c r="J1155" s="67"/>
      <c r="K1155" s="67"/>
      <c r="L1155" s="67"/>
      <c r="M1155" s="29" t="str">
        <f t="shared" ref="M1155:M1218" si="130">IFERROR(IF(O1155&gt;0,IF(R1155="Paid","",O1155-J1155),""),"")</f>
        <v/>
      </c>
      <c r="N1155" s="29" t="str">
        <f t="shared" ref="N1155:N1218" si="131">IF(J1155&gt;0,IF(R1155="Paid",O1155-J1155,""),"")</f>
        <v/>
      </c>
      <c r="O1155" s="29" t="str">
        <f t="shared" si="126"/>
        <v/>
      </c>
      <c r="P1155" s="61"/>
      <c r="Q1155" s="61"/>
      <c r="R1155" s="61"/>
      <c r="S1155" s="45"/>
      <c r="T1155" s="29" t="str">
        <f t="shared" si="127"/>
        <v/>
      </c>
    </row>
    <row r="1156" spans="1:20">
      <c r="A1156" s="10" t="str">
        <f t="shared" ref="A1156:A1219" si="132">IF(E1156&gt;0,A1155+1,"")</f>
        <v/>
      </c>
      <c r="B1156" s="63"/>
      <c r="C1156" s="25" t="str">
        <f t="shared" si="128"/>
        <v/>
      </c>
      <c r="D1156" s="25" t="str">
        <f t="shared" si="129"/>
        <v/>
      </c>
      <c r="E1156" s="45"/>
      <c r="F1156" s="28" t="str">
        <f>IFERROR(VLOOKUP(E1156,Category!$D$2:$E$600,2,FALSE),"")</f>
        <v/>
      </c>
      <c r="G1156" s="65"/>
      <c r="H1156" s="56"/>
      <c r="I1156" s="66"/>
      <c r="J1156" s="67"/>
      <c r="K1156" s="67"/>
      <c r="L1156" s="67"/>
      <c r="M1156" s="29" t="str">
        <f t="shared" si="130"/>
        <v/>
      </c>
      <c r="N1156" s="29" t="str">
        <f t="shared" si="131"/>
        <v/>
      </c>
      <c r="O1156" s="29" t="str">
        <f t="shared" si="126"/>
        <v/>
      </c>
      <c r="P1156" s="61"/>
      <c r="Q1156" s="61"/>
      <c r="R1156" s="61"/>
      <c r="S1156" s="45"/>
      <c r="T1156" s="29" t="str">
        <f t="shared" si="127"/>
        <v/>
      </c>
    </row>
    <row r="1157" spans="1:20">
      <c r="A1157" s="10" t="str">
        <f t="shared" si="132"/>
        <v/>
      </c>
      <c r="B1157" s="63"/>
      <c r="C1157" s="25" t="str">
        <f t="shared" si="128"/>
        <v/>
      </c>
      <c r="D1157" s="25" t="str">
        <f t="shared" si="129"/>
        <v/>
      </c>
      <c r="E1157" s="45"/>
      <c r="F1157" s="28" t="str">
        <f>IFERROR(VLOOKUP(E1157,Category!$D$2:$E$600,2,FALSE),"")</f>
        <v/>
      </c>
      <c r="G1157" s="65"/>
      <c r="H1157" s="56"/>
      <c r="I1157" s="66"/>
      <c r="J1157" s="67"/>
      <c r="K1157" s="67"/>
      <c r="L1157" s="67"/>
      <c r="M1157" s="29" t="str">
        <f t="shared" si="130"/>
        <v/>
      </c>
      <c r="N1157" s="29" t="str">
        <f t="shared" si="131"/>
        <v/>
      </c>
      <c r="O1157" s="29" t="str">
        <f t="shared" si="126"/>
        <v/>
      </c>
      <c r="P1157" s="61"/>
      <c r="Q1157" s="61"/>
      <c r="R1157" s="61"/>
      <c r="S1157" s="45"/>
      <c r="T1157" s="29" t="str">
        <f t="shared" si="127"/>
        <v/>
      </c>
    </row>
    <row r="1158" spans="1:20">
      <c r="A1158" s="10" t="str">
        <f t="shared" si="132"/>
        <v/>
      </c>
      <c r="B1158" s="63"/>
      <c r="C1158" s="25" t="str">
        <f t="shared" si="128"/>
        <v/>
      </c>
      <c r="D1158" s="25" t="str">
        <f t="shared" si="129"/>
        <v/>
      </c>
      <c r="E1158" s="45"/>
      <c r="F1158" s="28" t="str">
        <f>IFERROR(VLOOKUP(E1158,Category!$D$2:$E$600,2,FALSE),"")</f>
        <v/>
      </c>
      <c r="G1158" s="65"/>
      <c r="H1158" s="56"/>
      <c r="I1158" s="66"/>
      <c r="J1158" s="67"/>
      <c r="K1158" s="67"/>
      <c r="L1158" s="67"/>
      <c r="M1158" s="29" t="str">
        <f t="shared" si="130"/>
        <v/>
      </c>
      <c r="N1158" s="29" t="str">
        <f t="shared" si="131"/>
        <v/>
      </c>
      <c r="O1158" s="29" t="str">
        <f t="shared" si="126"/>
        <v/>
      </c>
      <c r="P1158" s="61"/>
      <c r="Q1158" s="61"/>
      <c r="R1158" s="61"/>
      <c r="S1158" s="45"/>
      <c r="T1158" s="29" t="str">
        <f t="shared" si="127"/>
        <v/>
      </c>
    </row>
    <row r="1159" spans="1:20">
      <c r="A1159" s="10" t="str">
        <f t="shared" si="132"/>
        <v/>
      </c>
      <c r="B1159" s="63"/>
      <c r="C1159" s="25" t="str">
        <f t="shared" si="128"/>
        <v/>
      </c>
      <c r="D1159" s="25" t="str">
        <f t="shared" si="129"/>
        <v/>
      </c>
      <c r="E1159" s="45"/>
      <c r="F1159" s="28" t="str">
        <f>IFERROR(VLOOKUP(E1159,Category!$D$2:$E$600,2,FALSE),"")</f>
        <v/>
      </c>
      <c r="G1159" s="65"/>
      <c r="H1159" s="56"/>
      <c r="I1159" s="66"/>
      <c r="J1159" s="67"/>
      <c r="K1159" s="67"/>
      <c r="L1159" s="67"/>
      <c r="M1159" s="29" t="str">
        <f t="shared" si="130"/>
        <v/>
      </c>
      <c r="N1159" s="29" t="str">
        <f t="shared" si="131"/>
        <v/>
      </c>
      <c r="O1159" s="29" t="str">
        <f t="shared" si="126"/>
        <v/>
      </c>
      <c r="P1159" s="61"/>
      <c r="Q1159" s="61"/>
      <c r="R1159" s="61"/>
      <c r="S1159" s="45"/>
      <c r="T1159" s="29" t="str">
        <f t="shared" si="127"/>
        <v/>
      </c>
    </row>
    <row r="1160" spans="1:20">
      <c r="A1160" s="10" t="str">
        <f t="shared" si="132"/>
        <v/>
      </c>
      <c r="B1160" s="63"/>
      <c r="C1160" s="25" t="str">
        <f t="shared" si="128"/>
        <v/>
      </c>
      <c r="D1160" s="25" t="str">
        <f t="shared" si="129"/>
        <v/>
      </c>
      <c r="E1160" s="45"/>
      <c r="F1160" s="28" t="str">
        <f>IFERROR(VLOOKUP(E1160,Category!$D$2:$E$600,2,FALSE),"")</f>
        <v/>
      </c>
      <c r="G1160" s="65"/>
      <c r="H1160" s="56"/>
      <c r="I1160" s="66"/>
      <c r="J1160" s="67"/>
      <c r="K1160" s="67"/>
      <c r="L1160" s="67"/>
      <c r="M1160" s="29" t="str">
        <f t="shared" si="130"/>
        <v/>
      </c>
      <c r="N1160" s="29" t="str">
        <f t="shared" si="131"/>
        <v/>
      </c>
      <c r="O1160" s="29" t="str">
        <f t="shared" si="126"/>
        <v/>
      </c>
      <c r="P1160" s="61"/>
      <c r="Q1160" s="61"/>
      <c r="R1160" s="61"/>
      <c r="S1160" s="45"/>
      <c r="T1160" s="29" t="str">
        <f t="shared" si="127"/>
        <v/>
      </c>
    </row>
    <row r="1161" spans="1:20">
      <c r="A1161" s="10" t="str">
        <f t="shared" si="132"/>
        <v/>
      </c>
      <c r="B1161" s="63"/>
      <c r="C1161" s="25" t="str">
        <f t="shared" si="128"/>
        <v/>
      </c>
      <c r="D1161" s="25" t="str">
        <f t="shared" si="129"/>
        <v/>
      </c>
      <c r="E1161" s="45"/>
      <c r="F1161" s="28" t="str">
        <f>IFERROR(VLOOKUP(E1161,Category!$D$2:$E$600,2,FALSE),"")</f>
        <v/>
      </c>
      <c r="G1161" s="65"/>
      <c r="H1161" s="56"/>
      <c r="I1161" s="66"/>
      <c r="J1161" s="67"/>
      <c r="K1161" s="67"/>
      <c r="L1161" s="67"/>
      <c r="M1161" s="29" t="str">
        <f t="shared" si="130"/>
        <v/>
      </c>
      <c r="N1161" s="29" t="str">
        <f t="shared" si="131"/>
        <v/>
      </c>
      <c r="O1161" s="29" t="str">
        <f t="shared" si="126"/>
        <v/>
      </c>
      <c r="P1161" s="61"/>
      <c r="Q1161" s="61"/>
      <c r="R1161" s="61"/>
      <c r="S1161" s="45"/>
      <c r="T1161" s="29" t="str">
        <f t="shared" si="127"/>
        <v/>
      </c>
    </row>
    <row r="1162" spans="1:20">
      <c r="A1162" s="10" t="str">
        <f t="shared" si="132"/>
        <v/>
      </c>
      <c r="B1162" s="63"/>
      <c r="C1162" s="25" t="str">
        <f t="shared" si="128"/>
        <v/>
      </c>
      <c r="D1162" s="25" t="str">
        <f t="shared" si="129"/>
        <v/>
      </c>
      <c r="E1162" s="45"/>
      <c r="F1162" s="28" t="str">
        <f>IFERROR(VLOOKUP(E1162,Category!$D$2:$E$600,2,FALSE),"")</f>
        <v/>
      </c>
      <c r="G1162" s="65"/>
      <c r="H1162" s="56"/>
      <c r="I1162" s="66"/>
      <c r="J1162" s="67"/>
      <c r="K1162" s="67"/>
      <c r="L1162" s="67"/>
      <c r="M1162" s="29" t="str">
        <f t="shared" si="130"/>
        <v/>
      </c>
      <c r="N1162" s="29" t="str">
        <f t="shared" si="131"/>
        <v/>
      </c>
      <c r="O1162" s="29" t="str">
        <f t="shared" si="126"/>
        <v/>
      </c>
      <c r="P1162" s="61"/>
      <c r="Q1162" s="61"/>
      <c r="R1162" s="61"/>
      <c r="S1162" s="45"/>
      <c r="T1162" s="29" t="str">
        <f t="shared" si="127"/>
        <v/>
      </c>
    </row>
    <row r="1163" spans="1:20">
      <c r="A1163" s="10" t="str">
        <f t="shared" si="132"/>
        <v/>
      </c>
      <c r="B1163" s="63"/>
      <c r="C1163" s="25" t="str">
        <f t="shared" si="128"/>
        <v/>
      </c>
      <c r="D1163" s="25" t="str">
        <f t="shared" si="129"/>
        <v/>
      </c>
      <c r="E1163" s="45"/>
      <c r="F1163" s="28" t="str">
        <f>IFERROR(VLOOKUP(E1163,Category!$D$2:$E$600,2,FALSE),"")</f>
        <v/>
      </c>
      <c r="G1163" s="65"/>
      <c r="H1163" s="56"/>
      <c r="I1163" s="66"/>
      <c r="J1163" s="67"/>
      <c r="K1163" s="67"/>
      <c r="L1163" s="67"/>
      <c r="M1163" s="29" t="str">
        <f t="shared" si="130"/>
        <v/>
      </c>
      <c r="N1163" s="29" t="str">
        <f t="shared" si="131"/>
        <v/>
      </c>
      <c r="O1163" s="29" t="str">
        <f t="shared" si="126"/>
        <v/>
      </c>
      <c r="P1163" s="61"/>
      <c r="Q1163" s="61"/>
      <c r="R1163" s="61"/>
      <c r="S1163" s="45"/>
      <c r="T1163" s="29" t="str">
        <f t="shared" si="127"/>
        <v/>
      </c>
    </row>
    <row r="1164" spans="1:20">
      <c r="A1164" s="10" t="str">
        <f t="shared" si="132"/>
        <v/>
      </c>
      <c r="B1164" s="63"/>
      <c r="C1164" s="25" t="str">
        <f t="shared" si="128"/>
        <v/>
      </c>
      <c r="D1164" s="25" t="str">
        <f t="shared" si="129"/>
        <v/>
      </c>
      <c r="E1164" s="45"/>
      <c r="F1164" s="28" t="str">
        <f>IFERROR(VLOOKUP(E1164,Category!$D$2:$E$600,2,FALSE),"")</f>
        <v/>
      </c>
      <c r="G1164" s="65"/>
      <c r="H1164" s="56"/>
      <c r="I1164" s="66"/>
      <c r="J1164" s="67"/>
      <c r="K1164" s="67"/>
      <c r="L1164" s="67"/>
      <c r="M1164" s="29" t="str">
        <f t="shared" si="130"/>
        <v/>
      </c>
      <c r="N1164" s="29" t="str">
        <f t="shared" si="131"/>
        <v/>
      </c>
      <c r="O1164" s="29" t="str">
        <f t="shared" si="126"/>
        <v/>
      </c>
      <c r="P1164" s="61"/>
      <c r="Q1164" s="61"/>
      <c r="R1164" s="61"/>
      <c r="S1164" s="45"/>
      <c r="T1164" s="29" t="str">
        <f t="shared" si="127"/>
        <v/>
      </c>
    </row>
    <row r="1165" spans="1:20">
      <c r="A1165" s="10" t="str">
        <f t="shared" si="132"/>
        <v/>
      </c>
      <c r="B1165" s="63"/>
      <c r="C1165" s="25" t="str">
        <f t="shared" si="128"/>
        <v/>
      </c>
      <c r="D1165" s="25" t="str">
        <f t="shared" si="129"/>
        <v/>
      </c>
      <c r="E1165" s="45"/>
      <c r="F1165" s="28" t="str">
        <f>IFERROR(VLOOKUP(E1165,Category!$D$2:$E$600,2,FALSE),"")</f>
        <v/>
      </c>
      <c r="G1165" s="65"/>
      <c r="H1165" s="56"/>
      <c r="I1165" s="66"/>
      <c r="J1165" s="67"/>
      <c r="K1165" s="67"/>
      <c r="L1165" s="67"/>
      <c r="M1165" s="29" t="str">
        <f t="shared" si="130"/>
        <v/>
      </c>
      <c r="N1165" s="29" t="str">
        <f t="shared" si="131"/>
        <v/>
      </c>
      <c r="O1165" s="29" t="str">
        <f t="shared" si="126"/>
        <v/>
      </c>
      <c r="P1165" s="61"/>
      <c r="Q1165" s="61"/>
      <c r="R1165" s="61"/>
      <c r="S1165" s="45"/>
      <c r="T1165" s="29" t="str">
        <f t="shared" si="127"/>
        <v/>
      </c>
    </row>
    <row r="1166" spans="1:20">
      <c r="A1166" s="10" t="str">
        <f t="shared" si="132"/>
        <v/>
      </c>
      <c r="B1166" s="63"/>
      <c r="C1166" s="25" t="str">
        <f t="shared" si="128"/>
        <v/>
      </c>
      <c r="D1166" s="25" t="str">
        <f t="shared" si="129"/>
        <v/>
      </c>
      <c r="E1166" s="45"/>
      <c r="F1166" s="28" t="str">
        <f>IFERROR(VLOOKUP(E1166,Category!$D$2:$E$600,2,FALSE),"")</f>
        <v/>
      </c>
      <c r="G1166" s="65"/>
      <c r="H1166" s="56"/>
      <c r="I1166" s="66"/>
      <c r="J1166" s="67"/>
      <c r="K1166" s="67"/>
      <c r="L1166" s="67"/>
      <c r="M1166" s="29" t="str">
        <f t="shared" si="130"/>
        <v/>
      </c>
      <c r="N1166" s="29" t="str">
        <f t="shared" si="131"/>
        <v/>
      </c>
      <c r="O1166" s="29" t="str">
        <f t="shared" si="126"/>
        <v/>
      </c>
      <c r="P1166" s="61"/>
      <c r="Q1166" s="61"/>
      <c r="R1166" s="61"/>
      <c r="S1166" s="45"/>
      <c r="T1166" s="29" t="str">
        <f t="shared" si="127"/>
        <v/>
      </c>
    </row>
    <row r="1167" spans="1:20">
      <c r="A1167" s="10" t="str">
        <f t="shared" si="132"/>
        <v/>
      </c>
      <c r="B1167" s="63"/>
      <c r="C1167" s="25" t="str">
        <f t="shared" si="128"/>
        <v/>
      </c>
      <c r="D1167" s="25" t="str">
        <f t="shared" si="129"/>
        <v/>
      </c>
      <c r="E1167" s="45"/>
      <c r="F1167" s="28" t="str">
        <f>IFERROR(VLOOKUP(E1167,Category!$D$2:$E$600,2,FALSE),"")</f>
        <v/>
      </c>
      <c r="G1167" s="65"/>
      <c r="H1167" s="56"/>
      <c r="I1167" s="66"/>
      <c r="J1167" s="67"/>
      <c r="K1167" s="67"/>
      <c r="L1167" s="67"/>
      <c r="M1167" s="29" t="str">
        <f t="shared" si="130"/>
        <v/>
      </c>
      <c r="N1167" s="29" t="str">
        <f t="shared" si="131"/>
        <v/>
      </c>
      <c r="O1167" s="29" t="str">
        <f t="shared" si="126"/>
        <v/>
      </c>
      <c r="P1167" s="61"/>
      <c r="Q1167" s="61"/>
      <c r="R1167" s="61"/>
      <c r="S1167" s="45"/>
      <c r="T1167" s="29" t="str">
        <f t="shared" si="127"/>
        <v/>
      </c>
    </row>
    <row r="1168" spans="1:20">
      <c r="A1168" s="10" t="str">
        <f t="shared" si="132"/>
        <v/>
      </c>
      <c r="B1168" s="63"/>
      <c r="C1168" s="25" t="str">
        <f t="shared" si="128"/>
        <v/>
      </c>
      <c r="D1168" s="25" t="str">
        <f t="shared" si="129"/>
        <v/>
      </c>
      <c r="E1168" s="45"/>
      <c r="F1168" s="28" t="str">
        <f>IFERROR(VLOOKUP(E1168,Category!$D$2:$E$600,2,FALSE),"")</f>
        <v/>
      </c>
      <c r="G1168" s="65"/>
      <c r="H1168" s="56"/>
      <c r="I1168" s="66"/>
      <c r="J1168" s="67"/>
      <c r="K1168" s="67"/>
      <c r="L1168" s="67"/>
      <c r="M1168" s="29" t="str">
        <f t="shared" si="130"/>
        <v/>
      </c>
      <c r="N1168" s="29" t="str">
        <f t="shared" si="131"/>
        <v/>
      </c>
      <c r="O1168" s="29" t="str">
        <f t="shared" si="126"/>
        <v/>
      </c>
      <c r="P1168" s="61"/>
      <c r="Q1168" s="61"/>
      <c r="R1168" s="61"/>
      <c r="S1168" s="45"/>
      <c r="T1168" s="29" t="str">
        <f t="shared" si="127"/>
        <v/>
      </c>
    </row>
    <row r="1169" spans="1:20">
      <c r="A1169" s="10" t="str">
        <f t="shared" si="132"/>
        <v/>
      </c>
      <c r="B1169" s="63"/>
      <c r="C1169" s="25" t="str">
        <f t="shared" si="128"/>
        <v/>
      </c>
      <c r="D1169" s="25" t="str">
        <f t="shared" si="129"/>
        <v/>
      </c>
      <c r="E1169" s="45"/>
      <c r="F1169" s="28" t="str">
        <f>IFERROR(VLOOKUP(E1169,Category!$D$2:$E$600,2,FALSE),"")</f>
        <v/>
      </c>
      <c r="G1169" s="65"/>
      <c r="H1169" s="56"/>
      <c r="I1169" s="66"/>
      <c r="J1169" s="67"/>
      <c r="K1169" s="67"/>
      <c r="L1169" s="67"/>
      <c r="M1169" s="29" t="str">
        <f t="shared" si="130"/>
        <v/>
      </c>
      <c r="N1169" s="29" t="str">
        <f t="shared" si="131"/>
        <v/>
      </c>
      <c r="O1169" s="29" t="str">
        <f t="shared" si="126"/>
        <v/>
      </c>
      <c r="P1169" s="61"/>
      <c r="Q1169" s="61"/>
      <c r="R1169" s="61"/>
      <c r="S1169" s="45"/>
      <c r="T1169" s="29" t="str">
        <f t="shared" si="127"/>
        <v/>
      </c>
    </row>
    <row r="1170" spans="1:20">
      <c r="A1170" s="10" t="str">
        <f t="shared" si="132"/>
        <v/>
      </c>
      <c r="B1170" s="63"/>
      <c r="C1170" s="25" t="str">
        <f t="shared" si="128"/>
        <v/>
      </c>
      <c r="D1170" s="25" t="str">
        <f t="shared" si="129"/>
        <v/>
      </c>
      <c r="E1170" s="45"/>
      <c r="F1170" s="28" t="str">
        <f>IFERROR(VLOOKUP(E1170,Category!$D$2:$E$600,2,FALSE),"")</f>
        <v/>
      </c>
      <c r="G1170" s="65"/>
      <c r="H1170" s="56"/>
      <c r="I1170" s="66"/>
      <c r="J1170" s="67"/>
      <c r="K1170" s="67"/>
      <c r="L1170" s="67"/>
      <c r="M1170" s="29" t="str">
        <f t="shared" si="130"/>
        <v/>
      </c>
      <c r="N1170" s="29" t="str">
        <f t="shared" si="131"/>
        <v/>
      </c>
      <c r="O1170" s="29" t="str">
        <f t="shared" si="126"/>
        <v/>
      </c>
      <c r="P1170" s="61"/>
      <c r="Q1170" s="61"/>
      <c r="R1170" s="61"/>
      <c r="S1170" s="45"/>
      <c r="T1170" s="29" t="str">
        <f t="shared" si="127"/>
        <v/>
      </c>
    </row>
    <row r="1171" spans="1:20">
      <c r="A1171" s="10" t="str">
        <f t="shared" si="132"/>
        <v/>
      </c>
      <c r="B1171" s="63"/>
      <c r="C1171" s="25" t="str">
        <f t="shared" si="128"/>
        <v/>
      </c>
      <c r="D1171" s="25" t="str">
        <f t="shared" si="129"/>
        <v/>
      </c>
      <c r="E1171" s="45"/>
      <c r="F1171" s="28" t="str">
        <f>IFERROR(VLOOKUP(E1171,Category!$D$2:$E$600,2,FALSE),"")</f>
        <v/>
      </c>
      <c r="G1171" s="65"/>
      <c r="H1171" s="56"/>
      <c r="I1171" s="66"/>
      <c r="J1171" s="67"/>
      <c r="K1171" s="67"/>
      <c r="L1171" s="67"/>
      <c r="M1171" s="29" t="str">
        <f t="shared" si="130"/>
        <v/>
      </c>
      <c r="N1171" s="29" t="str">
        <f t="shared" si="131"/>
        <v/>
      </c>
      <c r="O1171" s="29" t="str">
        <f t="shared" si="126"/>
        <v/>
      </c>
      <c r="P1171" s="61"/>
      <c r="Q1171" s="61"/>
      <c r="R1171" s="61"/>
      <c r="S1171" s="45"/>
      <c r="T1171" s="29" t="str">
        <f t="shared" si="127"/>
        <v/>
      </c>
    </row>
    <row r="1172" spans="1:20">
      <c r="A1172" s="10" t="str">
        <f t="shared" si="132"/>
        <v/>
      </c>
      <c r="B1172" s="63"/>
      <c r="C1172" s="25" t="str">
        <f t="shared" si="128"/>
        <v/>
      </c>
      <c r="D1172" s="25" t="str">
        <f t="shared" si="129"/>
        <v/>
      </c>
      <c r="E1172" s="45"/>
      <c r="F1172" s="28" t="str">
        <f>IFERROR(VLOOKUP(E1172,Category!$D$2:$E$600,2,FALSE),"")</f>
        <v/>
      </c>
      <c r="G1172" s="65"/>
      <c r="H1172" s="56"/>
      <c r="I1172" s="66"/>
      <c r="J1172" s="67"/>
      <c r="K1172" s="67"/>
      <c r="L1172" s="67"/>
      <c r="M1172" s="29" t="str">
        <f t="shared" si="130"/>
        <v/>
      </c>
      <c r="N1172" s="29" t="str">
        <f t="shared" si="131"/>
        <v/>
      </c>
      <c r="O1172" s="29" t="str">
        <f t="shared" si="126"/>
        <v/>
      </c>
      <c r="P1172" s="61"/>
      <c r="Q1172" s="61"/>
      <c r="R1172" s="61"/>
      <c r="S1172" s="45"/>
      <c r="T1172" s="29" t="str">
        <f t="shared" si="127"/>
        <v/>
      </c>
    </row>
    <row r="1173" spans="1:20">
      <c r="A1173" s="10" t="str">
        <f t="shared" si="132"/>
        <v/>
      </c>
      <c r="B1173" s="63"/>
      <c r="C1173" s="25" t="str">
        <f t="shared" si="128"/>
        <v/>
      </c>
      <c r="D1173" s="25" t="str">
        <f t="shared" si="129"/>
        <v/>
      </c>
      <c r="E1173" s="45"/>
      <c r="F1173" s="28" t="str">
        <f>IFERROR(VLOOKUP(E1173,Category!$D$2:$E$600,2,FALSE),"")</f>
        <v/>
      </c>
      <c r="G1173" s="65"/>
      <c r="H1173" s="56"/>
      <c r="I1173" s="66"/>
      <c r="J1173" s="67"/>
      <c r="K1173" s="67"/>
      <c r="L1173" s="67"/>
      <c r="M1173" s="29" t="str">
        <f t="shared" si="130"/>
        <v/>
      </c>
      <c r="N1173" s="29" t="str">
        <f t="shared" si="131"/>
        <v/>
      </c>
      <c r="O1173" s="29" t="str">
        <f t="shared" si="126"/>
        <v/>
      </c>
      <c r="P1173" s="61"/>
      <c r="Q1173" s="61"/>
      <c r="R1173" s="61"/>
      <c r="S1173" s="45"/>
      <c r="T1173" s="29" t="str">
        <f t="shared" si="127"/>
        <v/>
      </c>
    </row>
    <row r="1174" spans="1:20">
      <c r="A1174" s="10" t="str">
        <f t="shared" si="132"/>
        <v/>
      </c>
      <c r="B1174" s="63"/>
      <c r="C1174" s="25" t="str">
        <f t="shared" si="128"/>
        <v/>
      </c>
      <c r="D1174" s="25" t="str">
        <f t="shared" si="129"/>
        <v/>
      </c>
      <c r="E1174" s="45"/>
      <c r="F1174" s="28" t="str">
        <f>IFERROR(VLOOKUP(E1174,Category!$D$2:$E$600,2,FALSE),"")</f>
        <v/>
      </c>
      <c r="G1174" s="65"/>
      <c r="H1174" s="56"/>
      <c r="I1174" s="66"/>
      <c r="J1174" s="67"/>
      <c r="K1174" s="67"/>
      <c r="L1174" s="67"/>
      <c r="M1174" s="29" t="str">
        <f t="shared" si="130"/>
        <v/>
      </c>
      <c r="N1174" s="29" t="str">
        <f t="shared" si="131"/>
        <v/>
      </c>
      <c r="O1174" s="29" t="str">
        <f t="shared" si="126"/>
        <v/>
      </c>
      <c r="P1174" s="61"/>
      <c r="Q1174" s="61"/>
      <c r="R1174" s="61"/>
      <c r="S1174" s="45"/>
      <c r="T1174" s="29" t="str">
        <f t="shared" si="127"/>
        <v/>
      </c>
    </row>
    <row r="1175" spans="1:20">
      <c r="A1175" s="10" t="str">
        <f t="shared" si="132"/>
        <v/>
      </c>
      <c r="B1175" s="63"/>
      <c r="C1175" s="25" t="str">
        <f t="shared" si="128"/>
        <v/>
      </c>
      <c r="D1175" s="25" t="str">
        <f t="shared" si="129"/>
        <v/>
      </c>
      <c r="E1175" s="45"/>
      <c r="F1175" s="28" t="str">
        <f>IFERROR(VLOOKUP(E1175,Category!$D$2:$E$600,2,FALSE),"")</f>
        <v/>
      </c>
      <c r="G1175" s="65"/>
      <c r="H1175" s="56"/>
      <c r="I1175" s="66"/>
      <c r="J1175" s="67"/>
      <c r="K1175" s="67"/>
      <c r="L1175" s="67"/>
      <c r="M1175" s="29" t="str">
        <f t="shared" si="130"/>
        <v/>
      </c>
      <c r="N1175" s="29" t="str">
        <f t="shared" si="131"/>
        <v/>
      </c>
      <c r="O1175" s="29" t="str">
        <f t="shared" si="126"/>
        <v/>
      </c>
      <c r="P1175" s="61"/>
      <c r="Q1175" s="61"/>
      <c r="R1175" s="61"/>
      <c r="S1175" s="45"/>
      <c r="T1175" s="29" t="str">
        <f t="shared" si="127"/>
        <v/>
      </c>
    </row>
    <row r="1176" spans="1:20">
      <c r="A1176" s="10" t="str">
        <f t="shared" si="132"/>
        <v/>
      </c>
      <c r="B1176" s="63"/>
      <c r="C1176" s="25" t="str">
        <f t="shared" si="128"/>
        <v/>
      </c>
      <c r="D1176" s="25" t="str">
        <f t="shared" si="129"/>
        <v/>
      </c>
      <c r="E1176" s="45"/>
      <c r="F1176" s="28" t="str">
        <f>IFERROR(VLOOKUP(E1176,Category!$D$2:$E$600,2,FALSE),"")</f>
        <v/>
      </c>
      <c r="G1176" s="65"/>
      <c r="H1176" s="56"/>
      <c r="I1176" s="66"/>
      <c r="J1176" s="67"/>
      <c r="K1176" s="67"/>
      <c r="L1176" s="67"/>
      <c r="M1176" s="29" t="str">
        <f t="shared" si="130"/>
        <v/>
      </c>
      <c r="N1176" s="29" t="str">
        <f t="shared" si="131"/>
        <v/>
      </c>
      <c r="O1176" s="29" t="str">
        <f t="shared" si="126"/>
        <v/>
      </c>
      <c r="P1176" s="61"/>
      <c r="Q1176" s="61"/>
      <c r="R1176" s="61"/>
      <c r="S1176" s="45"/>
      <c r="T1176" s="29" t="str">
        <f t="shared" si="127"/>
        <v/>
      </c>
    </row>
    <row r="1177" spans="1:20">
      <c r="A1177" s="10" t="str">
        <f t="shared" si="132"/>
        <v/>
      </c>
      <c r="B1177" s="63"/>
      <c r="C1177" s="25" t="str">
        <f t="shared" si="128"/>
        <v/>
      </c>
      <c r="D1177" s="25" t="str">
        <f t="shared" si="129"/>
        <v/>
      </c>
      <c r="E1177" s="45"/>
      <c r="F1177" s="28" t="str">
        <f>IFERROR(VLOOKUP(E1177,Category!$D$2:$E$600,2,FALSE),"")</f>
        <v/>
      </c>
      <c r="G1177" s="65"/>
      <c r="H1177" s="56"/>
      <c r="I1177" s="66"/>
      <c r="J1177" s="67"/>
      <c r="K1177" s="67"/>
      <c r="L1177" s="67"/>
      <c r="M1177" s="29" t="str">
        <f t="shared" si="130"/>
        <v/>
      </c>
      <c r="N1177" s="29" t="str">
        <f t="shared" si="131"/>
        <v/>
      </c>
      <c r="O1177" s="29" t="str">
        <f t="shared" si="126"/>
        <v/>
      </c>
      <c r="P1177" s="61"/>
      <c r="Q1177" s="61"/>
      <c r="R1177" s="61"/>
      <c r="S1177" s="45"/>
      <c r="T1177" s="29" t="str">
        <f t="shared" si="127"/>
        <v/>
      </c>
    </row>
    <row r="1178" spans="1:20">
      <c r="A1178" s="10" t="str">
        <f t="shared" si="132"/>
        <v/>
      </c>
      <c r="B1178" s="63"/>
      <c r="C1178" s="25" t="str">
        <f t="shared" si="128"/>
        <v/>
      </c>
      <c r="D1178" s="25" t="str">
        <f t="shared" si="129"/>
        <v/>
      </c>
      <c r="E1178" s="45"/>
      <c r="F1178" s="28" t="str">
        <f>IFERROR(VLOOKUP(E1178,Category!$D$2:$E$600,2,FALSE),"")</f>
        <v/>
      </c>
      <c r="G1178" s="65"/>
      <c r="H1178" s="56"/>
      <c r="I1178" s="66"/>
      <c r="J1178" s="67"/>
      <c r="K1178" s="67"/>
      <c r="L1178" s="67"/>
      <c r="M1178" s="29" t="str">
        <f t="shared" si="130"/>
        <v/>
      </c>
      <c r="N1178" s="29" t="str">
        <f t="shared" si="131"/>
        <v/>
      </c>
      <c r="O1178" s="29" t="str">
        <f t="shared" si="126"/>
        <v/>
      </c>
      <c r="P1178" s="61"/>
      <c r="Q1178" s="61"/>
      <c r="R1178" s="61"/>
      <c r="S1178" s="45"/>
      <c r="T1178" s="29" t="str">
        <f t="shared" si="127"/>
        <v/>
      </c>
    </row>
    <row r="1179" spans="1:20">
      <c r="A1179" s="10" t="str">
        <f t="shared" si="132"/>
        <v/>
      </c>
      <c r="B1179" s="63"/>
      <c r="C1179" s="25" t="str">
        <f t="shared" si="128"/>
        <v/>
      </c>
      <c r="D1179" s="25" t="str">
        <f t="shared" si="129"/>
        <v/>
      </c>
      <c r="E1179" s="45"/>
      <c r="F1179" s="28" t="str">
        <f>IFERROR(VLOOKUP(E1179,Category!$D$2:$E$600,2,FALSE),"")</f>
        <v/>
      </c>
      <c r="G1179" s="65"/>
      <c r="H1179" s="56"/>
      <c r="I1179" s="66"/>
      <c r="J1179" s="67"/>
      <c r="K1179" s="67"/>
      <c r="L1179" s="67"/>
      <c r="M1179" s="29" t="str">
        <f t="shared" si="130"/>
        <v/>
      </c>
      <c r="N1179" s="29" t="str">
        <f t="shared" si="131"/>
        <v/>
      </c>
      <c r="O1179" s="29" t="str">
        <f t="shared" si="126"/>
        <v/>
      </c>
      <c r="P1179" s="61"/>
      <c r="Q1179" s="61"/>
      <c r="R1179" s="61"/>
      <c r="S1179" s="45"/>
      <c r="T1179" s="29" t="str">
        <f t="shared" si="127"/>
        <v/>
      </c>
    </row>
    <row r="1180" spans="1:20">
      <c r="A1180" s="10" t="str">
        <f t="shared" si="132"/>
        <v/>
      </c>
      <c r="B1180" s="63"/>
      <c r="C1180" s="25" t="str">
        <f t="shared" si="128"/>
        <v/>
      </c>
      <c r="D1180" s="25" t="str">
        <f t="shared" si="129"/>
        <v/>
      </c>
      <c r="E1180" s="45"/>
      <c r="F1180" s="28" t="str">
        <f>IFERROR(VLOOKUP(E1180,Category!$D$2:$E$600,2,FALSE),"")</f>
        <v/>
      </c>
      <c r="G1180" s="65"/>
      <c r="H1180" s="56"/>
      <c r="I1180" s="66"/>
      <c r="J1180" s="67"/>
      <c r="K1180" s="67"/>
      <c r="L1180" s="67"/>
      <c r="M1180" s="29" t="str">
        <f t="shared" si="130"/>
        <v/>
      </c>
      <c r="N1180" s="29" t="str">
        <f t="shared" si="131"/>
        <v/>
      </c>
      <c r="O1180" s="29" t="str">
        <f t="shared" si="126"/>
        <v/>
      </c>
      <c r="P1180" s="61"/>
      <c r="Q1180" s="61"/>
      <c r="R1180" s="61"/>
      <c r="S1180" s="45"/>
      <c r="T1180" s="29" t="str">
        <f t="shared" si="127"/>
        <v/>
      </c>
    </row>
    <row r="1181" spans="1:20">
      <c r="A1181" s="10" t="str">
        <f t="shared" si="132"/>
        <v/>
      </c>
      <c r="B1181" s="63"/>
      <c r="C1181" s="25" t="str">
        <f t="shared" si="128"/>
        <v/>
      </c>
      <c r="D1181" s="25" t="str">
        <f t="shared" si="129"/>
        <v/>
      </c>
      <c r="E1181" s="45"/>
      <c r="F1181" s="28" t="str">
        <f>IFERROR(VLOOKUP(E1181,Category!$D$2:$E$600,2,FALSE),"")</f>
        <v/>
      </c>
      <c r="G1181" s="65"/>
      <c r="H1181" s="56"/>
      <c r="I1181" s="66"/>
      <c r="J1181" s="67"/>
      <c r="K1181" s="67"/>
      <c r="L1181" s="67"/>
      <c r="M1181" s="29" t="str">
        <f t="shared" si="130"/>
        <v/>
      </c>
      <c r="N1181" s="29" t="str">
        <f t="shared" si="131"/>
        <v/>
      </c>
      <c r="O1181" s="29" t="str">
        <f t="shared" si="126"/>
        <v/>
      </c>
      <c r="P1181" s="61"/>
      <c r="Q1181" s="61"/>
      <c r="R1181" s="61"/>
      <c r="S1181" s="45"/>
      <c r="T1181" s="29" t="str">
        <f t="shared" si="127"/>
        <v/>
      </c>
    </row>
    <row r="1182" spans="1:20">
      <c r="A1182" s="10" t="str">
        <f t="shared" si="132"/>
        <v/>
      </c>
      <c r="B1182" s="63"/>
      <c r="C1182" s="25" t="str">
        <f t="shared" si="128"/>
        <v/>
      </c>
      <c r="D1182" s="25" t="str">
        <f t="shared" si="129"/>
        <v/>
      </c>
      <c r="E1182" s="45"/>
      <c r="F1182" s="28" t="str">
        <f>IFERROR(VLOOKUP(E1182,Category!$D$2:$E$600,2,FALSE),"")</f>
        <v/>
      </c>
      <c r="G1182" s="65"/>
      <c r="H1182" s="56"/>
      <c r="I1182" s="66"/>
      <c r="J1182" s="67"/>
      <c r="K1182" s="67"/>
      <c r="L1182" s="67"/>
      <c r="M1182" s="29" t="str">
        <f t="shared" si="130"/>
        <v/>
      </c>
      <c r="N1182" s="29" t="str">
        <f t="shared" si="131"/>
        <v/>
      </c>
      <c r="O1182" s="29" t="str">
        <f t="shared" si="126"/>
        <v/>
      </c>
      <c r="P1182" s="61"/>
      <c r="Q1182" s="61"/>
      <c r="R1182" s="61"/>
      <c r="S1182" s="45"/>
      <c r="T1182" s="29" t="str">
        <f t="shared" si="127"/>
        <v/>
      </c>
    </row>
    <row r="1183" spans="1:20">
      <c r="A1183" s="10" t="str">
        <f t="shared" si="132"/>
        <v/>
      </c>
      <c r="B1183" s="63"/>
      <c r="C1183" s="25" t="str">
        <f t="shared" si="128"/>
        <v/>
      </c>
      <c r="D1183" s="25" t="str">
        <f t="shared" si="129"/>
        <v/>
      </c>
      <c r="E1183" s="45"/>
      <c r="F1183" s="28" t="str">
        <f>IFERROR(VLOOKUP(E1183,Category!$D$2:$E$600,2,FALSE),"")</f>
        <v/>
      </c>
      <c r="G1183" s="65"/>
      <c r="H1183" s="56"/>
      <c r="I1183" s="66"/>
      <c r="J1183" s="67"/>
      <c r="K1183" s="67"/>
      <c r="L1183" s="67"/>
      <c r="M1183" s="29" t="str">
        <f t="shared" si="130"/>
        <v/>
      </c>
      <c r="N1183" s="29" t="str">
        <f t="shared" si="131"/>
        <v/>
      </c>
      <c r="O1183" s="29" t="str">
        <f t="shared" si="126"/>
        <v/>
      </c>
      <c r="P1183" s="61"/>
      <c r="Q1183" s="61"/>
      <c r="R1183" s="61"/>
      <c r="S1183" s="45"/>
      <c r="T1183" s="29" t="str">
        <f t="shared" si="127"/>
        <v/>
      </c>
    </row>
    <row r="1184" spans="1:20">
      <c r="A1184" s="10" t="str">
        <f t="shared" si="132"/>
        <v/>
      </c>
      <c r="B1184" s="63"/>
      <c r="C1184" s="25" t="str">
        <f t="shared" si="128"/>
        <v/>
      </c>
      <c r="D1184" s="25" t="str">
        <f t="shared" si="129"/>
        <v/>
      </c>
      <c r="E1184" s="45"/>
      <c r="F1184" s="28" t="str">
        <f>IFERROR(VLOOKUP(E1184,Category!$D$2:$E$600,2,FALSE),"")</f>
        <v/>
      </c>
      <c r="G1184" s="65"/>
      <c r="H1184" s="56"/>
      <c r="I1184" s="66"/>
      <c r="J1184" s="67"/>
      <c r="K1184" s="67"/>
      <c r="L1184" s="67"/>
      <c r="M1184" s="29" t="str">
        <f t="shared" si="130"/>
        <v/>
      </c>
      <c r="N1184" s="29" t="str">
        <f t="shared" si="131"/>
        <v/>
      </c>
      <c r="O1184" s="29" t="str">
        <f t="shared" si="126"/>
        <v/>
      </c>
      <c r="P1184" s="61"/>
      <c r="Q1184" s="61"/>
      <c r="R1184" s="61"/>
      <c r="S1184" s="45"/>
      <c r="T1184" s="29" t="str">
        <f t="shared" si="127"/>
        <v/>
      </c>
    </row>
    <row r="1185" spans="1:20">
      <c r="A1185" s="10" t="str">
        <f t="shared" si="132"/>
        <v/>
      </c>
      <c r="B1185" s="63"/>
      <c r="C1185" s="25" t="str">
        <f t="shared" si="128"/>
        <v/>
      </c>
      <c r="D1185" s="25" t="str">
        <f t="shared" si="129"/>
        <v/>
      </c>
      <c r="E1185" s="45"/>
      <c r="F1185" s="28" t="str">
        <f>IFERROR(VLOOKUP(E1185,Category!$D$2:$E$600,2,FALSE),"")</f>
        <v/>
      </c>
      <c r="G1185" s="65"/>
      <c r="H1185" s="56"/>
      <c r="I1185" s="66"/>
      <c r="J1185" s="67"/>
      <c r="K1185" s="67"/>
      <c r="L1185" s="67"/>
      <c r="M1185" s="29" t="str">
        <f t="shared" si="130"/>
        <v/>
      </c>
      <c r="N1185" s="29" t="str">
        <f t="shared" si="131"/>
        <v/>
      </c>
      <c r="O1185" s="29" t="str">
        <f t="shared" si="126"/>
        <v/>
      </c>
      <c r="P1185" s="61"/>
      <c r="Q1185" s="61"/>
      <c r="R1185" s="61"/>
      <c r="S1185" s="45"/>
      <c r="T1185" s="29" t="str">
        <f t="shared" si="127"/>
        <v/>
      </c>
    </row>
    <row r="1186" spans="1:20">
      <c r="A1186" s="10" t="str">
        <f t="shared" si="132"/>
        <v/>
      </c>
      <c r="B1186" s="63"/>
      <c r="C1186" s="25" t="str">
        <f t="shared" si="128"/>
        <v/>
      </c>
      <c r="D1186" s="25" t="str">
        <f t="shared" si="129"/>
        <v/>
      </c>
      <c r="E1186" s="45"/>
      <c r="F1186" s="28" t="str">
        <f>IFERROR(VLOOKUP(E1186,Category!$D$2:$E$600,2,FALSE),"")</f>
        <v/>
      </c>
      <c r="G1186" s="65"/>
      <c r="H1186" s="56"/>
      <c r="I1186" s="66"/>
      <c r="J1186" s="67"/>
      <c r="K1186" s="67"/>
      <c r="L1186" s="67"/>
      <c r="M1186" s="29" t="str">
        <f t="shared" si="130"/>
        <v/>
      </c>
      <c r="N1186" s="29" t="str">
        <f t="shared" si="131"/>
        <v/>
      </c>
      <c r="O1186" s="29" t="str">
        <f t="shared" si="126"/>
        <v/>
      </c>
      <c r="P1186" s="61"/>
      <c r="Q1186" s="61"/>
      <c r="R1186" s="61"/>
      <c r="S1186" s="45"/>
      <c r="T1186" s="29" t="str">
        <f t="shared" si="127"/>
        <v/>
      </c>
    </row>
    <row r="1187" spans="1:20">
      <c r="A1187" s="10" t="str">
        <f t="shared" si="132"/>
        <v/>
      </c>
      <c r="B1187" s="63"/>
      <c r="C1187" s="25" t="str">
        <f t="shared" si="128"/>
        <v/>
      </c>
      <c r="D1187" s="25" t="str">
        <f t="shared" si="129"/>
        <v/>
      </c>
      <c r="E1187" s="45"/>
      <c r="F1187" s="28" t="str">
        <f>IFERROR(VLOOKUP(E1187,Category!$D$2:$E$600,2,FALSE),"")</f>
        <v/>
      </c>
      <c r="G1187" s="65"/>
      <c r="H1187" s="56"/>
      <c r="I1187" s="66"/>
      <c r="J1187" s="67"/>
      <c r="K1187" s="67"/>
      <c r="L1187" s="67"/>
      <c r="M1187" s="29" t="str">
        <f t="shared" si="130"/>
        <v/>
      </c>
      <c r="N1187" s="29" t="str">
        <f t="shared" si="131"/>
        <v/>
      </c>
      <c r="O1187" s="29" t="str">
        <f t="shared" si="126"/>
        <v/>
      </c>
      <c r="P1187" s="61"/>
      <c r="Q1187" s="61"/>
      <c r="R1187" s="61"/>
      <c r="S1187" s="45"/>
      <c r="T1187" s="29" t="str">
        <f t="shared" si="127"/>
        <v/>
      </c>
    </row>
    <row r="1188" spans="1:20">
      <c r="A1188" s="10" t="str">
        <f t="shared" si="132"/>
        <v/>
      </c>
      <c r="B1188" s="63"/>
      <c r="C1188" s="25" t="str">
        <f t="shared" si="128"/>
        <v/>
      </c>
      <c r="D1188" s="25" t="str">
        <f t="shared" si="129"/>
        <v/>
      </c>
      <c r="E1188" s="45"/>
      <c r="F1188" s="28" t="str">
        <f>IFERROR(VLOOKUP(E1188,Category!$D$2:$E$600,2,FALSE),"")</f>
        <v/>
      </c>
      <c r="G1188" s="65"/>
      <c r="H1188" s="56"/>
      <c r="I1188" s="66"/>
      <c r="J1188" s="67"/>
      <c r="K1188" s="67"/>
      <c r="L1188" s="67"/>
      <c r="M1188" s="29" t="str">
        <f t="shared" si="130"/>
        <v/>
      </c>
      <c r="N1188" s="29" t="str">
        <f t="shared" si="131"/>
        <v/>
      </c>
      <c r="O1188" s="29" t="str">
        <f t="shared" si="126"/>
        <v/>
      </c>
      <c r="P1188" s="61"/>
      <c r="Q1188" s="61"/>
      <c r="R1188" s="61"/>
      <c r="S1188" s="45"/>
      <c r="T1188" s="29" t="str">
        <f t="shared" si="127"/>
        <v/>
      </c>
    </row>
    <row r="1189" spans="1:20">
      <c r="A1189" s="10" t="str">
        <f t="shared" si="132"/>
        <v/>
      </c>
      <c r="B1189" s="63"/>
      <c r="C1189" s="25" t="str">
        <f t="shared" si="128"/>
        <v/>
      </c>
      <c r="D1189" s="25" t="str">
        <f t="shared" si="129"/>
        <v/>
      </c>
      <c r="E1189" s="45"/>
      <c r="F1189" s="28" t="str">
        <f>IFERROR(VLOOKUP(E1189,Category!$D$2:$E$600,2,FALSE),"")</f>
        <v/>
      </c>
      <c r="G1189" s="65"/>
      <c r="H1189" s="56"/>
      <c r="I1189" s="66"/>
      <c r="J1189" s="67"/>
      <c r="K1189" s="67"/>
      <c r="L1189" s="67"/>
      <c r="M1189" s="29" t="str">
        <f t="shared" si="130"/>
        <v/>
      </c>
      <c r="N1189" s="29" t="str">
        <f t="shared" si="131"/>
        <v/>
      </c>
      <c r="O1189" s="29" t="str">
        <f t="shared" si="126"/>
        <v/>
      </c>
      <c r="P1189" s="61"/>
      <c r="Q1189" s="61"/>
      <c r="R1189" s="61"/>
      <c r="S1189" s="45"/>
      <c r="T1189" s="29" t="str">
        <f t="shared" si="127"/>
        <v/>
      </c>
    </row>
    <row r="1190" spans="1:20">
      <c r="A1190" s="10" t="str">
        <f t="shared" si="132"/>
        <v/>
      </c>
      <c r="B1190" s="63"/>
      <c r="C1190" s="25" t="str">
        <f t="shared" si="128"/>
        <v/>
      </c>
      <c r="D1190" s="25" t="str">
        <f t="shared" si="129"/>
        <v/>
      </c>
      <c r="E1190" s="45"/>
      <c r="F1190" s="28" t="str">
        <f>IFERROR(VLOOKUP(E1190,Category!$D$2:$E$600,2,FALSE),"")</f>
        <v/>
      </c>
      <c r="G1190" s="65"/>
      <c r="H1190" s="56"/>
      <c r="I1190" s="66"/>
      <c r="J1190" s="67"/>
      <c r="K1190" s="67"/>
      <c r="L1190" s="67"/>
      <c r="M1190" s="29" t="str">
        <f t="shared" si="130"/>
        <v/>
      </c>
      <c r="N1190" s="29" t="str">
        <f t="shared" si="131"/>
        <v/>
      </c>
      <c r="O1190" s="29" t="str">
        <f t="shared" si="126"/>
        <v/>
      </c>
      <c r="P1190" s="61"/>
      <c r="Q1190" s="61"/>
      <c r="R1190" s="61"/>
      <c r="S1190" s="45"/>
      <c r="T1190" s="29" t="str">
        <f t="shared" si="127"/>
        <v/>
      </c>
    </row>
    <row r="1191" spans="1:20">
      <c r="A1191" s="10" t="str">
        <f t="shared" si="132"/>
        <v/>
      </c>
      <c r="B1191" s="63"/>
      <c r="C1191" s="25" t="str">
        <f t="shared" si="128"/>
        <v/>
      </c>
      <c r="D1191" s="25" t="str">
        <f t="shared" si="129"/>
        <v/>
      </c>
      <c r="E1191" s="45"/>
      <c r="F1191" s="28" t="str">
        <f>IFERROR(VLOOKUP(E1191,Category!$D$2:$E$600,2,FALSE),"")</f>
        <v/>
      </c>
      <c r="G1191" s="65"/>
      <c r="H1191" s="56"/>
      <c r="I1191" s="66"/>
      <c r="J1191" s="67"/>
      <c r="K1191" s="67"/>
      <c r="L1191" s="67"/>
      <c r="M1191" s="29" t="str">
        <f t="shared" si="130"/>
        <v/>
      </c>
      <c r="N1191" s="29" t="str">
        <f t="shared" si="131"/>
        <v/>
      </c>
      <c r="O1191" s="29" t="str">
        <f t="shared" si="126"/>
        <v/>
      </c>
      <c r="P1191" s="61"/>
      <c r="Q1191" s="61"/>
      <c r="R1191" s="61"/>
      <c r="S1191" s="45"/>
      <c r="T1191" s="29" t="str">
        <f t="shared" si="127"/>
        <v/>
      </c>
    </row>
    <row r="1192" spans="1:20">
      <c r="A1192" s="10" t="str">
        <f t="shared" si="132"/>
        <v/>
      </c>
      <c r="B1192" s="63"/>
      <c r="C1192" s="25" t="str">
        <f t="shared" si="128"/>
        <v/>
      </c>
      <c r="D1192" s="25" t="str">
        <f t="shared" si="129"/>
        <v/>
      </c>
      <c r="E1192" s="45"/>
      <c r="F1192" s="28" t="str">
        <f>IFERROR(VLOOKUP(E1192,Category!$D$2:$E$600,2,FALSE),"")</f>
        <v/>
      </c>
      <c r="G1192" s="65"/>
      <c r="H1192" s="56"/>
      <c r="I1192" s="66"/>
      <c r="J1192" s="67"/>
      <c r="K1192" s="67"/>
      <c r="L1192" s="67"/>
      <c r="M1192" s="29" t="str">
        <f t="shared" si="130"/>
        <v/>
      </c>
      <c r="N1192" s="29" t="str">
        <f t="shared" si="131"/>
        <v/>
      </c>
      <c r="O1192" s="29" t="str">
        <f t="shared" si="126"/>
        <v/>
      </c>
      <c r="P1192" s="61"/>
      <c r="Q1192" s="61"/>
      <c r="R1192" s="61"/>
      <c r="S1192" s="45"/>
      <c r="T1192" s="29" t="str">
        <f t="shared" si="127"/>
        <v/>
      </c>
    </row>
    <row r="1193" spans="1:20">
      <c r="A1193" s="10" t="str">
        <f t="shared" si="132"/>
        <v/>
      </c>
      <c r="B1193" s="63"/>
      <c r="C1193" s="25" t="str">
        <f t="shared" si="128"/>
        <v/>
      </c>
      <c r="D1193" s="25" t="str">
        <f t="shared" si="129"/>
        <v/>
      </c>
      <c r="E1193" s="45"/>
      <c r="F1193" s="28" t="str">
        <f>IFERROR(VLOOKUP(E1193,Category!$D$2:$E$600,2,FALSE),"")</f>
        <v/>
      </c>
      <c r="G1193" s="65"/>
      <c r="H1193" s="56"/>
      <c r="I1193" s="66"/>
      <c r="J1193" s="67"/>
      <c r="K1193" s="67"/>
      <c r="L1193" s="67"/>
      <c r="M1193" s="29" t="str">
        <f t="shared" si="130"/>
        <v/>
      </c>
      <c r="N1193" s="29" t="str">
        <f t="shared" si="131"/>
        <v/>
      </c>
      <c r="O1193" s="29" t="str">
        <f t="shared" si="126"/>
        <v/>
      </c>
      <c r="P1193" s="61"/>
      <c r="Q1193" s="61"/>
      <c r="R1193" s="61"/>
      <c r="S1193" s="45"/>
      <c r="T1193" s="29" t="str">
        <f t="shared" si="127"/>
        <v/>
      </c>
    </row>
    <row r="1194" spans="1:20">
      <c r="A1194" s="10" t="str">
        <f t="shared" si="132"/>
        <v/>
      </c>
      <c r="B1194" s="63"/>
      <c r="C1194" s="25" t="str">
        <f t="shared" si="128"/>
        <v/>
      </c>
      <c r="D1194" s="25" t="str">
        <f t="shared" si="129"/>
        <v/>
      </c>
      <c r="E1194" s="45"/>
      <c r="F1194" s="28" t="str">
        <f>IFERROR(VLOOKUP(E1194,Category!$D$2:$E$600,2,FALSE),"")</f>
        <v/>
      </c>
      <c r="G1194" s="65"/>
      <c r="H1194" s="56"/>
      <c r="I1194" s="66"/>
      <c r="J1194" s="67"/>
      <c r="K1194" s="67"/>
      <c r="L1194" s="67"/>
      <c r="M1194" s="29" t="str">
        <f t="shared" si="130"/>
        <v/>
      </c>
      <c r="N1194" s="29" t="str">
        <f t="shared" si="131"/>
        <v/>
      </c>
      <c r="O1194" s="29" t="str">
        <f t="shared" si="126"/>
        <v/>
      </c>
      <c r="P1194" s="61"/>
      <c r="Q1194" s="61"/>
      <c r="R1194" s="61"/>
      <c r="S1194" s="45"/>
      <c r="T1194" s="29" t="str">
        <f t="shared" si="127"/>
        <v/>
      </c>
    </row>
    <row r="1195" spans="1:20">
      <c r="A1195" s="10" t="str">
        <f t="shared" si="132"/>
        <v/>
      </c>
      <c r="B1195" s="63"/>
      <c r="C1195" s="25" t="str">
        <f t="shared" si="128"/>
        <v/>
      </c>
      <c r="D1195" s="25" t="str">
        <f t="shared" si="129"/>
        <v/>
      </c>
      <c r="E1195" s="45"/>
      <c r="F1195" s="28" t="str">
        <f>IFERROR(VLOOKUP(E1195,Category!$D$2:$E$600,2,FALSE),"")</f>
        <v/>
      </c>
      <c r="G1195" s="65"/>
      <c r="H1195" s="56"/>
      <c r="I1195" s="66"/>
      <c r="J1195" s="67"/>
      <c r="K1195" s="67"/>
      <c r="L1195" s="67"/>
      <c r="M1195" s="29" t="str">
        <f t="shared" si="130"/>
        <v/>
      </c>
      <c r="N1195" s="29" t="str">
        <f t="shared" si="131"/>
        <v/>
      </c>
      <c r="O1195" s="29" t="str">
        <f t="shared" si="126"/>
        <v/>
      </c>
      <c r="P1195" s="61"/>
      <c r="Q1195" s="61"/>
      <c r="R1195" s="61"/>
      <c r="S1195" s="45"/>
      <c r="T1195" s="29" t="str">
        <f t="shared" si="127"/>
        <v/>
      </c>
    </row>
    <row r="1196" spans="1:20">
      <c r="A1196" s="10" t="str">
        <f t="shared" si="132"/>
        <v/>
      </c>
      <c r="B1196" s="63"/>
      <c r="C1196" s="25" t="str">
        <f t="shared" si="128"/>
        <v/>
      </c>
      <c r="D1196" s="25" t="str">
        <f t="shared" si="129"/>
        <v/>
      </c>
      <c r="E1196" s="45"/>
      <c r="F1196" s="28" t="str">
        <f>IFERROR(VLOOKUP(E1196,Category!$D$2:$E$600,2,FALSE),"")</f>
        <v/>
      </c>
      <c r="G1196" s="65"/>
      <c r="H1196" s="56"/>
      <c r="I1196" s="66"/>
      <c r="J1196" s="67"/>
      <c r="K1196" s="67"/>
      <c r="L1196" s="67"/>
      <c r="M1196" s="29" t="str">
        <f t="shared" si="130"/>
        <v/>
      </c>
      <c r="N1196" s="29" t="str">
        <f t="shared" si="131"/>
        <v/>
      </c>
      <c r="O1196" s="29" t="str">
        <f t="shared" si="126"/>
        <v/>
      </c>
      <c r="P1196" s="61"/>
      <c r="Q1196" s="61"/>
      <c r="R1196" s="61"/>
      <c r="S1196" s="45"/>
      <c r="T1196" s="29" t="str">
        <f t="shared" si="127"/>
        <v/>
      </c>
    </row>
    <row r="1197" spans="1:20">
      <c r="A1197" s="10" t="str">
        <f t="shared" si="132"/>
        <v/>
      </c>
      <c r="B1197" s="63"/>
      <c r="C1197" s="25" t="str">
        <f t="shared" si="128"/>
        <v/>
      </c>
      <c r="D1197" s="25" t="str">
        <f t="shared" si="129"/>
        <v/>
      </c>
      <c r="E1197" s="45"/>
      <c r="F1197" s="28" t="str">
        <f>IFERROR(VLOOKUP(E1197,Category!$D$2:$E$600,2,FALSE),"")</f>
        <v/>
      </c>
      <c r="G1197" s="65"/>
      <c r="H1197" s="56"/>
      <c r="I1197" s="66"/>
      <c r="J1197" s="67"/>
      <c r="K1197" s="67"/>
      <c r="L1197" s="67"/>
      <c r="M1197" s="29" t="str">
        <f t="shared" si="130"/>
        <v/>
      </c>
      <c r="N1197" s="29" t="str">
        <f t="shared" si="131"/>
        <v/>
      </c>
      <c r="O1197" s="29" t="str">
        <f t="shared" si="126"/>
        <v/>
      </c>
      <c r="P1197" s="61"/>
      <c r="Q1197" s="61"/>
      <c r="R1197" s="61"/>
      <c r="S1197" s="45"/>
      <c r="T1197" s="29" t="str">
        <f t="shared" si="127"/>
        <v/>
      </c>
    </row>
    <row r="1198" spans="1:20">
      <c r="A1198" s="10" t="str">
        <f t="shared" si="132"/>
        <v/>
      </c>
      <c r="B1198" s="63"/>
      <c r="C1198" s="25" t="str">
        <f t="shared" si="128"/>
        <v/>
      </c>
      <c r="D1198" s="25" t="str">
        <f t="shared" si="129"/>
        <v/>
      </c>
      <c r="E1198" s="45"/>
      <c r="F1198" s="28" t="str">
        <f>IFERROR(VLOOKUP(E1198,Category!$D$2:$E$600,2,FALSE),"")</f>
        <v/>
      </c>
      <c r="G1198" s="65"/>
      <c r="H1198" s="56"/>
      <c r="I1198" s="66"/>
      <c r="J1198" s="67"/>
      <c r="K1198" s="67"/>
      <c r="L1198" s="67"/>
      <c r="M1198" s="29" t="str">
        <f t="shared" si="130"/>
        <v/>
      </c>
      <c r="N1198" s="29" t="str">
        <f t="shared" si="131"/>
        <v/>
      </c>
      <c r="O1198" s="29" t="str">
        <f t="shared" si="126"/>
        <v/>
      </c>
      <c r="P1198" s="61"/>
      <c r="Q1198" s="61"/>
      <c r="R1198" s="61"/>
      <c r="S1198" s="45"/>
      <c r="T1198" s="29" t="str">
        <f t="shared" si="127"/>
        <v/>
      </c>
    </row>
    <row r="1199" spans="1:20">
      <c r="A1199" s="10" t="str">
        <f t="shared" si="132"/>
        <v/>
      </c>
      <c r="B1199" s="63"/>
      <c r="C1199" s="25" t="str">
        <f t="shared" si="128"/>
        <v/>
      </c>
      <c r="D1199" s="25" t="str">
        <f t="shared" si="129"/>
        <v/>
      </c>
      <c r="E1199" s="45"/>
      <c r="F1199" s="28" t="str">
        <f>IFERROR(VLOOKUP(E1199,Category!$D$2:$E$600,2,FALSE),"")</f>
        <v/>
      </c>
      <c r="G1199" s="65"/>
      <c r="H1199" s="56"/>
      <c r="I1199" s="66"/>
      <c r="J1199" s="67"/>
      <c r="K1199" s="67"/>
      <c r="L1199" s="67"/>
      <c r="M1199" s="29" t="str">
        <f t="shared" si="130"/>
        <v/>
      </c>
      <c r="N1199" s="29" t="str">
        <f t="shared" si="131"/>
        <v/>
      </c>
      <c r="O1199" s="29" t="str">
        <f t="shared" si="126"/>
        <v/>
      </c>
      <c r="P1199" s="61"/>
      <c r="Q1199" s="61"/>
      <c r="R1199" s="61"/>
      <c r="S1199" s="45"/>
      <c r="T1199" s="29" t="str">
        <f t="shared" si="127"/>
        <v/>
      </c>
    </row>
    <row r="1200" spans="1:20">
      <c r="A1200" s="10" t="str">
        <f t="shared" si="132"/>
        <v/>
      </c>
      <c r="B1200" s="63"/>
      <c r="C1200" s="25" t="str">
        <f t="shared" si="128"/>
        <v/>
      </c>
      <c r="D1200" s="25" t="str">
        <f t="shared" si="129"/>
        <v/>
      </c>
      <c r="E1200" s="45"/>
      <c r="F1200" s="28" t="str">
        <f>IFERROR(VLOOKUP(E1200,Category!$D$2:$E$600,2,FALSE),"")</f>
        <v/>
      </c>
      <c r="G1200" s="65"/>
      <c r="H1200" s="56"/>
      <c r="I1200" s="66"/>
      <c r="J1200" s="67"/>
      <c r="K1200" s="67"/>
      <c r="L1200" s="67"/>
      <c r="M1200" s="29" t="str">
        <f t="shared" si="130"/>
        <v/>
      </c>
      <c r="N1200" s="29" t="str">
        <f t="shared" si="131"/>
        <v/>
      </c>
      <c r="O1200" s="29" t="str">
        <f t="shared" si="126"/>
        <v/>
      </c>
      <c r="P1200" s="61"/>
      <c r="Q1200" s="61"/>
      <c r="R1200" s="61"/>
      <c r="S1200" s="45"/>
      <c r="T1200" s="29" t="str">
        <f t="shared" si="127"/>
        <v/>
      </c>
    </row>
    <row r="1201" spans="1:20">
      <c r="A1201" s="10" t="str">
        <f t="shared" si="132"/>
        <v/>
      </c>
      <c r="B1201" s="63"/>
      <c r="C1201" s="25" t="str">
        <f t="shared" si="128"/>
        <v/>
      </c>
      <c r="D1201" s="25" t="str">
        <f t="shared" si="129"/>
        <v/>
      </c>
      <c r="E1201" s="45"/>
      <c r="F1201" s="28" t="str">
        <f>IFERROR(VLOOKUP(E1201,Category!$D$2:$E$600,2,FALSE),"")</f>
        <v/>
      </c>
      <c r="G1201" s="65"/>
      <c r="H1201" s="56"/>
      <c r="I1201" s="66"/>
      <c r="J1201" s="67"/>
      <c r="K1201" s="67"/>
      <c r="L1201" s="67"/>
      <c r="M1201" s="29" t="str">
        <f t="shared" si="130"/>
        <v/>
      </c>
      <c r="N1201" s="29" t="str">
        <f t="shared" si="131"/>
        <v/>
      </c>
      <c r="O1201" s="29" t="str">
        <f t="shared" si="126"/>
        <v/>
      </c>
      <c r="P1201" s="61"/>
      <c r="Q1201" s="61"/>
      <c r="R1201" s="61"/>
      <c r="S1201" s="45"/>
      <c r="T1201" s="29" t="str">
        <f t="shared" si="127"/>
        <v/>
      </c>
    </row>
    <row r="1202" spans="1:20">
      <c r="A1202" s="10" t="str">
        <f t="shared" si="132"/>
        <v/>
      </c>
      <c r="B1202" s="63"/>
      <c r="C1202" s="25" t="str">
        <f t="shared" si="128"/>
        <v/>
      </c>
      <c r="D1202" s="25" t="str">
        <f t="shared" si="129"/>
        <v/>
      </c>
      <c r="E1202" s="45"/>
      <c r="F1202" s="28" t="str">
        <f>IFERROR(VLOOKUP(E1202,Category!$D$2:$E$600,2,FALSE),"")</f>
        <v/>
      </c>
      <c r="G1202" s="65"/>
      <c r="H1202" s="56"/>
      <c r="I1202" s="66"/>
      <c r="J1202" s="67"/>
      <c r="K1202" s="67"/>
      <c r="L1202" s="67"/>
      <c r="M1202" s="29" t="str">
        <f t="shared" si="130"/>
        <v/>
      </c>
      <c r="N1202" s="29" t="str">
        <f t="shared" si="131"/>
        <v/>
      </c>
      <c r="O1202" s="29" t="str">
        <f t="shared" si="126"/>
        <v/>
      </c>
      <c r="P1202" s="61"/>
      <c r="Q1202" s="61"/>
      <c r="R1202" s="61"/>
      <c r="S1202" s="45"/>
      <c r="T1202" s="29" t="str">
        <f t="shared" si="127"/>
        <v/>
      </c>
    </row>
    <row r="1203" spans="1:20">
      <c r="A1203" s="10" t="str">
        <f t="shared" si="132"/>
        <v/>
      </c>
      <c r="B1203" s="63"/>
      <c r="C1203" s="25" t="str">
        <f t="shared" si="128"/>
        <v/>
      </c>
      <c r="D1203" s="25" t="str">
        <f t="shared" si="129"/>
        <v/>
      </c>
      <c r="E1203" s="45"/>
      <c r="F1203" s="28" t="str">
        <f>IFERROR(VLOOKUP(E1203,Category!$D$2:$E$600,2,FALSE),"")</f>
        <v/>
      </c>
      <c r="G1203" s="65"/>
      <c r="H1203" s="56"/>
      <c r="I1203" s="66"/>
      <c r="J1203" s="67"/>
      <c r="K1203" s="67"/>
      <c r="L1203" s="67"/>
      <c r="M1203" s="29" t="str">
        <f t="shared" si="130"/>
        <v/>
      </c>
      <c r="N1203" s="29" t="str">
        <f t="shared" si="131"/>
        <v/>
      </c>
      <c r="O1203" s="29" t="str">
        <f t="shared" si="126"/>
        <v/>
      </c>
      <c r="P1203" s="61"/>
      <c r="Q1203" s="61"/>
      <c r="R1203" s="61"/>
      <c r="S1203" s="45"/>
      <c r="T1203" s="29" t="str">
        <f t="shared" si="127"/>
        <v/>
      </c>
    </row>
    <row r="1204" spans="1:20">
      <c r="A1204" s="10" t="str">
        <f t="shared" si="132"/>
        <v/>
      </c>
      <c r="B1204" s="63"/>
      <c r="C1204" s="25" t="str">
        <f t="shared" si="128"/>
        <v/>
      </c>
      <c r="D1204" s="25" t="str">
        <f t="shared" si="129"/>
        <v/>
      </c>
      <c r="E1204" s="45"/>
      <c r="F1204" s="28" t="str">
        <f>IFERROR(VLOOKUP(E1204,Category!$D$2:$E$600,2,FALSE),"")</f>
        <v/>
      </c>
      <c r="G1204" s="65"/>
      <c r="H1204" s="56"/>
      <c r="I1204" s="66"/>
      <c r="J1204" s="67"/>
      <c r="K1204" s="67"/>
      <c r="L1204" s="67"/>
      <c r="M1204" s="29" t="str">
        <f t="shared" si="130"/>
        <v/>
      </c>
      <c r="N1204" s="29" t="str">
        <f t="shared" si="131"/>
        <v/>
      </c>
      <c r="O1204" s="29" t="str">
        <f t="shared" si="126"/>
        <v/>
      </c>
      <c r="P1204" s="61"/>
      <c r="Q1204" s="61"/>
      <c r="R1204" s="61"/>
      <c r="S1204" s="45"/>
      <c r="T1204" s="29" t="str">
        <f t="shared" si="127"/>
        <v/>
      </c>
    </row>
    <row r="1205" spans="1:20">
      <c r="A1205" s="10" t="str">
        <f t="shared" si="132"/>
        <v/>
      </c>
      <c r="B1205" s="63"/>
      <c r="C1205" s="25" t="str">
        <f t="shared" si="128"/>
        <v/>
      </c>
      <c r="D1205" s="25" t="str">
        <f t="shared" si="129"/>
        <v/>
      </c>
      <c r="E1205" s="45"/>
      <c r="F1205" s="28" t="str">
        <f>IFERROR(VLOOKUP(E1205,Category!$D$2:$E$600,2,FALSE),"")</f>
        <v/>
      </c>
      <c r="G1205" s="65"/>
      <c r="H1205" s="56"/>
      <c r="I1205" s="66"/>
      <c r="J1205" s="67"/>
      <c r="K1205" s="67"/>
      <c r="L1205" s="67"/>
      <c r="M1205" s="29" t="str">
        <f t="shared" si="130"/>
        <v/>
      </c>
      <c r="N1205" s="29" t="str">
        <f t="shared" si="131"/>
        <v/>
      </c>
      <c r="O1205" s="29" t="str">
        <f t="shared" si="126"/>
        <v/>
      </c>
      <c r="P1205" s="61"/>
      <c r="Q1205" s="61"/>
      <c r="R1205" s="61"/>
      <c r="S1205" s="45"/>
      <c r="T1205" s="29" t="str">
        <f t="shared" si="127"/>
        <v/>
      </c>
    </row>
    <row r="1206" spans="1:20">
      <c r="A1206" s="10" t="str">
        <f t="shared" si="132"/>
        <v/>
      </c>
      <c r="B1206" s="63"/>
      <c r="C1206" s="25" t="str">
        <f t="shared" si="128"/>
        <v/>
      </c>
      <c r="D1206" s="25" t="str">
        <f t="shared" si="129"/>
        <v/>
      </c>
      <c r="E1206" s="45"/>
      <c r="F1206" s="28" t="str">
        <f>IFERROR(VLOOKUP(E1206,Category!$D$2:$E$600,2,FALSE),"")</f>
        <v/>
      </c>
      <c r="G1206" s="65"/>
      <c r="H1206" s="56"/>
      <c r="I1206" s="66"/>
      <c r="J1206" s="67"/>
      <c r="K1206" s="67"/>
      <c r="L1206" s="67"/>
      <c r="M1206" s="29" t="str">
        <f t="shared" si="130"/>
        <v/>
      </c>
      <c r="N1206" s="29" t="str">
        <f t="shared" si="131"/>
        <v/>
      </c>
      <c r="O1206" s="29" t="str">
        <f t="shared" si="126"/>
        <v/>
      </c>
      <c r="P1206" s="61"/>
      <c r="Q1206" s="61"/>
      <c r="R1206" s="61"/>
      <c r="S1206" s="45"/>
      <c r="T1206" s="29" t="str">
        <f t="shared" si="127"/>
        <v/>
      </c>
    </row>
    <row r="1207" spans="1:20">
      <c r="A1207" s="10" t="str">
        <f t="shared" si="132"/>
        <v/>
      </c>
      <c r="B1207" s="63"/>
      <c r="C1207" s="25" t="str">
        <f t="shared" si="128"/>
        <v/>
      </c>
      <c r="D1207" s="25" t="str">
        <f t="shared" si="129"/>
        <v/>
      </c>
      <c r="E1207" s="45"/>
      <c r="F1207" s="28" t="str">
        <f>IFERROR(VLOOKUP(E1207,Category!$D$2:$E$600,2,FALSE),"")</f>
        <v/>
      </c>
      <c r="G1207" s="65"/>
      <c r="H1207" s="56"/>
      <c r="I1207" s="66"/>
      <c r="J1207" s="67"/>
      <c r="K1207" s="67"/>
      <c r="L1207" s="67"/>
      <c r="M1207" s="29" t="str">
        <f t="shared" si="130"/>
        <v/>
      </c>
      <c r="N1207" s="29" t="str">
        <f t="shared" si="131"/>
        <v/>
      </c>
      <c r="O1207" s="29" t="str">
        <f t="shared" si="126"/>
        <v/>
      </c>
      <c r="P1207" s="61"/>
      <c r="Q1207" s="61"/>
      <c r="R1207" s="61"/>
      <c r="S1207" s="45"/>
      <c r="T1207" s="29" t="str">
        <f t="shared" si="127"/>
        <v/>
      </c>
    </row>
    <row r="1208" spans="1:20">
      <c r="A1208" s="10" t="str">
        <f t="shared" si="132"/>
        <v/>
      </c>
      <c r="B1208" s="63"/>
      <c r="C1208" s="25" t="str">
        <f t="shared" si="128"/>
        <v/>
      </c>
      <c r="D1208" s="25" t="str">
        <f t="shared" si="129"/>
        <v/>
      </c>
      <c r="E1208" s="45"/>
      <c r="F1208" s="28" t="str">
        <f>IFERROR(VLOOKUP(E1208,Category!$D$2:$E$600,2,FALSE),"")</f>
        <v/>
      </c>
      <c r="G1208" s="65"/>
      <c r="H1208" s="56"/>
      <c r="I1208" s="66"/>
      <c r="J1208" s="67"/>
      <c r="K1208" s="67"/>
      <c r="L1208" s="67"/>
      <c r="M1208" s="29" t="str">
        <f t="shared" si="130"/>
        <v/>
      </c>
      <c r="N1208" s="29" t="str">
        <f t="shared" si="131"/>
        <v/>
      </c>
      <c r="O1208" s="29" t="str">
        <f t="shared" si="126"/>
        <v/>
      </c>
      <c r="P1208" s="61"/>
      <c r="Q1208" s="61"/>
      <c r="R1208" s="61"/>
      <c r="S1208" s="45"/>
      <c r="T1208" s="29" t="str">
        <f t="shared" si="127"/>
        <v/>
      </c>
    </row>
    <row r="1209" spans="1:20">
      <c r="A1209" s="10" t="str">
        <f t="shared" si="132"/>
        <v/>
      </c>
      <c r="B1209" s="63"/>
      <c r="C1209" s="25" t="str">
        <f t="shared" si="128"/>
        <v/>
      </c>
      <c r="D1209" s="25" t="str">
        <f t="shared" si="129"/>
        <v/>
      </c>
      <c r="E1209" s="45"/>
      <c r="F1209" s="28" t="str">
        <f>IFERROR(VLOOKUP(E1209,Category!$D$2:$E$600,2,FALSE),"")</f>
        <v/>
      </c>
      <c r="G1209" s="65"/>
      <c r="H1209" s="56"/>
      <c r="I1209" s="66"/>
      <c r="J1209" s="67"/>
      <c r="K1209" s="67"/>
      <c r="L1209" s="67"/>
      <c r="M1209" s="29" t="str">
        <f t="shared" si="130"/>
        <v/>
      </c>
      <c r="N1209" s="29" t="str">
        <f t="shared" si="131"/>
        <v/>
      </c>
      <c r="O1209" s="29" t="str">
        <f t="shared" si="126"/>
        <v/>
      </c>
      <c r="P1209" s="61"/>
      <c r="Q1209" s="61"/>
      <c r="R1209" s="61"/>
      <c r="S1209" s="45"/>
      <c r="T1209" s="29" t="str">
        <f t="shared" si="127"/>
        <v/>
      </c>
    </row>
    <row r="1210" spans="1:20">
      <c r="A1210" s="10" t="str">
        <f t="shared" si="132"/>
        <v/>
      </c>
      <c r="B1210" s="63"/>
      <c r="C1210" s="25" t="str">
        <f t="shared" si="128"/>
        <v/>
      </c>
      <c r="D1210" s="25" t="str">
        <f t="shared" si="129"/>
        <v/>
      </c>
      <c r="E1210" s="45"/>
      <c r="F1210" s="28" t="str">
        <f>IFERROR(VLOOKUP(E1210,Category!$D$2:$E$600,2,FALSE),"")</f>
        <v/>
      </c>
      <c r="G1210" s="65"/>
      <c r="H1210" s="56"/>
      <c r="I1210" s="66"/>
      <c r="J1210" s="67"/>
      <c r="K1210" s="67"/>
      <c r="L1210" s="67"/>
      <c r="M1210" s="29" t="str">
        <f t="shared" si="130"/>
        <v/>
      </c>
      <c r="N1210" s="29" t="str">
        <f t="shared" si="131"/>
        <v/>
      </c>
      <c r="O1210" s="29" t="str">
        <f t="shared" si="126"/>
        <v/>
      </c>
      <c r="P1210" s="61"/>
      <c r="Q1210" s="61"/>
      <c r="R1210" s="61"/>
      <c r="S1210" s="45"/>
      <c r="T1210" s="29" t="str">
        <f t="shared" si="127"/>
        <v/>
      </c>
    </row>
    <row r="1211" spans="1:20">
      <c r="A1211" s="10" t="str">
        <f t="shared" si="132"/>
        <v/>
      </c>
      <c r="B1211" s="63"/>
      <c r="C1211" s="25" t="str">
        <f t="shared" si="128"/>
        <v/>
      </c>
      <c r="D1211" s="25" t="str">
        <f t="shared" si="129"/>
        <v/>
      </c>
      <c r="E1211" s="45"/>
      <c r="F1211" s="28" t="str">
        <f>IFERROR(VLOOKUP(E1211,Category!$D$2:$E$600,2,FALSE),"")</f>
        <v/>
      </c>
      <c r="G1211" s="65"/>
      <c r="H1211" s="56"/>
      <c r="I1211" s="66"/>
      <c r="J1211" s="67"/>
      <c r="K1211" s="67"/>
      <c r="L1211" s="67"/>
      <c r="M1211" s="29" t="str">
        <f t="shared" si="130"/>
        <v/>
      </c>
      <c r="N1211" s="29" t="str">
        <f t="shared" si="131"/>
        <v/>
      </c>
      <c r="O1211" s="29" t="str">
        <f t="shared" si="126"/>
        <v/>
      </c>
      <c r="P1211" s="61"/>
      <c r="Q1211" s="61"/>
      <c r="R1211" s="61"/>
      <c r="S1211" s="45"/>
      <c r="T1211" s="29" t="str">
        <f t="shared" si="127"/>
        <v/>
      </c>
    </row>
    <row r="1212" spans="1:20">
      <c r="A1212" s="10" t="str">
        <f t="shared" si="132"/>
        <v/>
      </c>
      <c r="B1212" s="63"/>
      <c r="C1212" s="25" t="str">
        <f t="shared" si="128"/>
        <v/>
      </c>
      <c r="D1212" s="25" t="str">
        <f t="shared" si="129"/>
        <v/>
      </c>
      <c r="E1212" s="45"/>
      <c r="F1212" s="28" t="str">
        <f>IFERROR(VLOOKUP(E1212,Category!$D$2:$E$600,2,FALSE),"")</f>
        <v/>
      </c>
      <c r="G1212" s="65"/>
      <c r="H1212" s="56"/>
      <c r="I1212" s="66"/>
      <c r="J1212" s="67"/>
      <c r="K1212" s="67"/>
      <c r="L1212" s="67"/>
      <c r="M1212" s="29" t="str">
        <f t="shared" si="130"/>
        <v/>
      </c>
      <c r="N1212" s="29" t="str">
        <f t="shared" si="131"/>
        <v/>
      </c>
      <c r="O1212" s="29" t="str">
        <f t="shared" si="126"/>
        <v/>
      </c>
      <c r="P1212" s="61"/>
      <c r="Q1212" s="61"/>
      <c r="R1212" s="61"/>
      <c r="S1212" s="45"/>
      <c r="T1212" s="29" t="str">
        <f t="shared" si="127"/>
        <v/>
      </c>
    </row>
    <row r="1213" spans="1:20">
      <c r="A1213" s="10" t="str">
        <f t="shared" si="132"/>
        <v/>
      </c>
      <c r="B1213" s="63"/>
      <c r="C1213" s="25" t="str">
        <f t="shared" si="128"/>
        <v/>
      </c>
      <c r="D1213" s="25" t="str">
        <f t="shared" si="129"/>
        <v/>
      </c>
      <c r="E1213" s="45"/>
      <c r="F1213" s="28" t="str">
        <f>IFERROR(VLOOKUP(E1213,Category!$D$2:$E$600,2,FALSE),"")</f>
        <v/>
      </c>
      <c r="G1213" s="65"/>
      <c r="H1213" s="56"/>
      <c r="I1213" s="66"/>
      <c r="J1213" s="67"/>
      <c r="K1213" s="67"/>
      <c r="L1213" s="67"/>
      <c r="M1213" s="29" t="str">
        <f t="shared" si="130"/>
        <v/>
      </c>
      <c r="N1213" s="29" t="str">
        <f t="shared" si="131"/>
        <v/>
      </c>
      <c r="O1213" s="29" t="str">
        <f t="shared" si="126"/>
        <v/>
      </c>
      <c r="P1213" s="61"/>
      <c r="Q1213" s="61"/>
      <c r="R1213" s="61"/>
      <c r="S1213" s="45"/>
      <c r="T1213" s="29" t="str">
        <f t="shared" si="127"/>
        <v/>
      </c>
    </row>
    <row r="1214" spans="1:20">
      <c r="A1214" s="10" t="str">
        <f t="shared" si="132"/>
        <v/>
      </c>
      <c r="B1214" s="63"/>
      <c r="C1214" s="25" t="str">
        <f t="shared" si="128"/>
        <v/>
      </c>
      <c r="D1214" s="25" t="str">
        <f t="shared" si="129"/>
        <v/>
      </c>
      <c r="E1214" s="45"/>
      <c r="F1214" s="28" t="str">
        <f>IFERROR(VLOOKUP(E1214,Category!$D$2:$E$600,2,FALSE),"")</f>
        <v/>
      </c>
      <c r="G1214" s="65"/>
      <c r="H1214" s="56"/>
      <c r="I1214" s="66"/>
      <c r="J1214" s="67"/>
      <c r="K1214" s="67"/>
      <c r="L1214" s="67"/>
      <c r="M1214" s="29" t="str">
        <f t="shared" si="130"/>
        <v/>
      </c>
      <c r="N1214" s="29" t="str">
        <f t="shared" si="131"/>
        <v/>
      </c>
      <c r="O1214" s="29" t="str">
        <f t="shared" si="126"/>
        <v/>
      </c>
      <c r="P1214" s="61"/>
      <c r="Q1214" s="61"/>
      <c r="R1214" s="61"/>
      <c r="S1214" s="45"/>
      <c r="T1214" s="29" t="str">
        <f t="shared" si="127"/>
        <v/>
      </c>
    </row>
    <row r="1215" spans="1:20">
      <c r="A1215" s="10" t="str">
        <f t="shared" si="132"/>
        <v/>
      </c>
      <c r="B1215" s="63"/>
      <c r="C1215" s="25" t="str">
        <f t="shared" si="128"/>
        <v/>
      </c>
      <c r="D1215" s="25" t="str">
        <f t="shared" si="129"/>
        <v/>
      </c>
      <c r="E1215" s="45"/>
      <c r="F1215" s="28" t="str">
        <f>IFERROR(VLOOKUP(E1215,Category!$D$2:$E$600,2,FALSE),"")</f>
        <v/>
      </c>
      <c r="G1215" s="65"/>
      <c r="H1215" s="56"/>
      <c r="I1215" s="66"/>
      <c r="J1215" s="67"/>
      <c r="K1215" s="67"/>
      <c r="L1215" s="67"/>
      <c r="M1215" s="29" t="str">
        <f t="shared" si="130"/>
        <v/>
      </c>
      <c r="N1215" s="29" t="str">
        <f t="shared" si="131"/>
        <v/>
      </c>
      <c r="O1215" s="29" t="str">
        <f t="shared" si="126"/>
        <v/>
      </c>
      <c r="P1215" s="61"/>
      <c r="Q1215" s="61"/>
      <c r="R1215" s="61"/>
      <c r="S1215" s="45"/>
      <c r="T1215" s="29" t="str">
        <f t="shared" si="127"/>
        <v/>
      </c>
    </row>
    <row r="1216" spans="1:20">
      <c r="A1216" s="10" t="str">
        <f t="shared" si="132"/>
        <v/>
      </c>
      <c r="B1216" s="63"/>
      <c r="C1216" s="25" t="str">
        <f t="shared" si="128"/>
        <v/>
      </c>
      <c r="D1216" s="25" t="str">
        <f t="shared" si="129"/>
        <v/>
      </c>
      <c r="E1216" s="45"/>
      <c r="F1216" s="28" t="str">
        <f>IFERROR(VLOOKUP(E1216,Category!$D$2:$E$600,2,FALSE),"")</f>
        <v/>
      </c>
      <c r="G1216" s="65"/>
      <c r="H1216" s="56"/>
      <c r="I1216" s="66"/>
      <c r="J1216" s="67"/>
      <c r="K1216" s="67"/>
      <c r="L1216" s="67"/>
      <c r="M1216" s="29" t="str">
        <f t="shared" si="130"/>
        <v/>
      </c>
      <c r="N1216" s="29" t="str">
        <f t="shared" si="131"/>
        <v/>
      </c>
      <c r="O1216" s="29" t="str">
        <f t="shared" si="126"/>
        <v/>
      </c>
      <c r="P1216" s="61"/>
      <c r="Q1216" s="61"/>
      <c r="R1216" s="61"/>
      <c r="S1216" s="45"/>
      <c r="T1216" s="29" t="str">
        <f t="shared" si="127"/>
        <v/>
      </c>
    </row>
    <row r="1217" spans="1:20">
      <c r="A1217" s="10" t="str">
        <f t="shared" si="132"/>
        <v/>
      </c>
      <c r="B1217" s="63"/>
      <c r="C1217" s="25" t="str">
        <f t="shared" si="128"/>
        <v/>
      </c>
      <c r="D1217" s="25" t="str">
        <f t="shared" si="129"/>
        <v/>
      </c>
      <c r="E1217" s="45"/>
      <c r="F1217" s="28" t="str">
        <f>IFERROR(VLOOKUP(E1217,Category!$D$2:$E$600,2,FALSE),"")</f>
        <v/>
      </c>
      <c r="G1217" s="65"/>
      <c r="H1217" s="56"/>
      <c r="I1217" s="66"/>
      <c r="J1217" s="67"/>
      <c r="K1217" s="67"/>
      <c r="L1217" s="67"/>
      <c r="M1217" s="29" t="str">
        <f t="shared" si="130"/>
        <v/>
      </c>
      <c r="N1217" s="29" t="str">
        <f t="shared" si="131"/>
        <v/>
      </c>
      <c r="O1217" s="29" t="str">
        <f t="shared" si="126"/>
        <v/>
      </c>
      <c r="P1217" s="61"/>
      <c r="Q1217" s="61"/>
      <c r="R1217" s="61"/>
      <c r="S1217" s="45"/>
      <c r="T1217" s="29" t="str">
        <f t="shared" si="127"/>
        <v/>
      </c>
    </row>
    <row r="1218" spans="1:20">
      <c r="A1218" s="10" t="str">
        <f t="shared" si="132"/>
        <v/>
      </c>
      <c r="B1218" s="63"/>
      <c r="C1218" s="25" t="str">
        <f t="shared" si="128"/>
        <v/>
      </c>
      <c r="D1218" s="25" t="str">
        <f t="shared" si="129"/>
        <v/>
      </c>
      <c r="E1218" s="45"/>
      <c r="F1218" s="28" t="str">
        <f>IFERROR(VLOOKUP(E1218,Category!$D$2:$E$600,2,FALSE),"")</f>
        <v/>
      </c>
      <c r="G1218" s="65"/>
      <c r="H1218" s="56"/>
      <c r="I1218" s="66"/>
      <c r="J1218" s="67"/>
      <c r="K1218" s="67"/>
      <c r="L1218" s="67"/>
      <c r="M1218" s="29" t="str">
        <f t="shared" si="130"/>
        <v/>
      </c>
      <c r="N1218" s="29" t="str">
        <f t="shared" si="131"/>
        <v/>
      </c>
      <c r="O1218" s="29" t="str">
        <f t="shared" ref="O1218:O1281" si="133">IF(H1218*I1218=0,"",H1218*I1218)</f>
        <v/>
      </c>
      <c r="P1218" s="61"/>
      <c r="Q1218" s="61"/>
      <c r="R1218" s="61"/>
      <c r="S1218" s="45"/>
      <c r="T1218" s="29" t="str">
        <f t="shared" ref="T1218:T1281" si="134">IF(R1218="paid",(H1218*I1218)-(G1218*H1218),"")</f>
        <v/>
      </c>
    </row>
    <row r="1219" spans="1:20">
      <c r="A1219" s="10" t="str">
        <f t="shared" si="132"/>
        <v/>
      </c>
      <c r="B1219" s="63"/>
      <c r="C1219" s="25" t="str">
        <f t="shared" ref="C1219:C1282" si="135">IF(B1219=0,"",TEXT(B1219,"mmmm"))</f>
        <v/>
      </c>
      <c r="D1219" s="25" t="str">
        <f t="shared" ref="D1219:D1282" si="136">IF(B1219=0,"",TEXT(B1219,"yyyy"))</f>
        <v/>
      </c>
      <c r="E1219" s="45"/>
      <c r="F1219" s="28" t="str">
        <f>IFERROR(VLOOKUP(E1219,Category!$D$2:$E$600,2,FALSE),"")</f>
        <v/>
      </c>
      <c r="G1219" s="65"/>
      <c r="H1219" s="56"/>
      <c r="I1219" s="66"/>
      <c r="J1219" s="67"/>
      <c r="K1219" s="67"/>
      <c r="L1219" s="67"/>
      <c r="M1219" s="29" t="str">
        <f t="shared" ref="M1219:M1282" si="137">IFERROR(IF(O1219&gt;0,IF(R1219="Paid","",O1219-J1219),""),"")</f>
        <v/>
      </c>
      <c r="N1219" s="29" t="str">
        <f t="shared" ref="N1219:N1282" si="138">IF(J1219&gt;0,IF(R1219="Paid",O1219-J1219,""),"")</f>
        <v/>
      </c>
      <c r="O1219" s="29" t="str">
        <f t="shared" si="133"/>
        <v/>
      </c>
      <c r="P1219" s="61"/>
      <c r="Q1219" s="61"/>
      <c r="R1219" s="61"/>
      <c r="S1219" s="45"/>
      <c r="T1219" s="29" t="str">
        <f t="shared" si="134"/>
        <v/>
      </c>
    </row>
    <row r="1220" spans="1:20">
      <c r="A1220" s="10" t="str">
        <f t="shared" ref="A1220:A1283" si="139">IF(E1220&gt;0,A1219+1,"")</f>
        <v/>
      </c>
      <c r="B1220" s="63"/>
      <c r="C1220" s="25" t="str">
        <f t="shared" si="135"/>
        <v/>
      </c>
      <c r="D1220" s="25" t="str">
        <f t="shared" si="136"/>
        <v/>
      </c>
      <c r="E1220" s="45"/>
      <c r="F1220" s="28" t="str">
        <f>IFERROR(VLOOKUP(E1220,Category!$D$2:$E$600,2,FALSE),"")</f>
        <v/>
      </c>
      <c r="G1220" s="65"/>
      <c r="H1220" s="56"/>
      <c r="I1220" s="66"/>
      <c r="J1220" s="67"/>
      <c r="K1220" s="67"/>
      <c r="L1220" s="67"/>
      <c r="M1220" s="29" t="str">
        <f t="shared" si="137"/>
        <v/>
      </c>
      <c r="N1220" s="29" t="str">
        <f t="shared" si="138"/>
        <v/>
      </c>
      <c r="O1220" s="29" t="str">
        <f t="shared" si="133"/>
        <v/>
      </c>
      <c r="P1220" s="61"/>
      <c r="Q1220" s="61"/>
      <c r="R1220" s="61"/>
      <c r="S1220" s="45"/>
      <c r="T1220" s="29" t="str">
        <f t="shared" si="134"/>
        <v/>
      </c>
    </row>
    <row r="1221" spans="1:20">
      <c r="A1221" s="10" t="str">
        <f t="shared" si="139"/>
        <v/>
      </c>
      <c r="B1221" s="63"/>
      <c r="C1221" s="25" t="str">
        <f t="shared" si="135"/>
        <v/>
      </c>
      <c r="D1221" s="25" t="str">
        <f t="shared" si="136"/>
        <v/>
      </c>
      <c r="E1221" s="45"/>
      <c r="F1221" s="28" t="str">
        <f>IFERROR(VLOOKUP(E1221,Category!$D$2:$E$600,2,FALSE),"")</f>
        <v/>
      </c>
      <c r="G1221" s="65"/>
      <c r="H1221" s="56"/>
      <c r="I1221" s="66"/>
      <c r="J1221" s="67"/>
      <c r="K1221" s="67"/>
      <c r="L1221" s="67"/>
      <c r="M1221" s="29" t="str">
        <f t="shared" si="137"/>
        <v/>
      </c>
      <c r="N1221" s="29" t="str">
        <f t="shared" si="138"/>
        <v/>
      </c>
      <c r="O1221" s="29" t="str">
        <f t="shared" si="133"/>
        <v/>
      </c>
      <c r="P1221" s="61"/>
      <c r="Q1221" s="61"/>
      <c r="R1221" s="61"/>
      <c r="S1221" s="45"/>
      <c r="T1221" s="29" t="str">
        <f t="shared" si="134"/>
        <v/>
      </c>
    </row>
    <row r="1222" spans="1:20">
      <c r="A1222" s="10" t="str">
        <f t="shared" si="139"/>
        <v/>
      </c>
      <c r="B1222" s="63"/>
      <c r="C1222" s="25" t="str">
        <f t="shared" si="135"/>
        <v/>
      </c>
      <c r="D1222" s="25" t="str">
        <f t="shared" si="136"/>
        <v/>
      </c>
      <c r="E1222" s="45"/>
      <c r="F1222" s="28" t="str">
        <f>IFERROR(VLOOKUP(E1222,Category!$D$2:$E$600,2,FALSE),"")</f>
        <v/>
      </c>
      <c r="G1222" s="65"/>
      <c r="H1222" s="56"/>
      <c r="I1222" s="66"/>
      <c r="J1222" s="67"/>
      <c r="K1222" s="67"/>
      <c r="L1222" s="67"/>
      <c r="M1222" s="29" t="str">
        <f t="shared" si="137"/>
        <v/>
      </c>
      <c r="N1222" s="29" t="str">
        <f t="shared" si="138"/>
        <v/>
      </c>
      <c r="O1222" s="29" t="str">
        <f t="shared" si="133"/>
        <v/>
      </c>
      <c r="P1222" s="61"/>
      <c r="Q1222" s="61"/>
      <c r="R1222" s="61"/>
      <c r="S1222" s="45"/>
      <c r="T1222" s="29" t="str">
        <f t="shared" si="134"/>
        <v/>
      </c>
    </row>
    <row r="1223" spans="1:20">
      <c r="A1223" s="10" t="str">
        <f t="shared" si="139"/>
        <v/>
      </c>
      <c r="B1223" s="63"/>
      <c r="C1223" s="25" t="str">
        <f t="shared" si="135"/>
        <v/>
      </c>
      <c r="D1223" s="25" t="str">
        <f t="shared" si="136"/>
        <v/>
      </c>
      <c r="E1223" s="45"/>
      <c r="F1223" s="28" t="str">
        <f>IFERROR(VLOOKUP(E1223,Category!$D$2:$E$600,2,FALSE),"")</f>
        <v/>
      </c>
      <c r="G1223" s="65"/>
      <c r="H1223" s="56"/>
      <c r="I1223" s="66"/>
      <c r="J1223" s="67"/>
      <c r="K1223" s="67"/>
      <c r="L1223" s="67"/>
      <c r="M1223" s="29" t="str">
        <f t="shared" si="137"/>
        <v/>
      </c>
      <c r="N1223" s="29" t="str">
        <f t="shared" si="138"/>
        <v/>
      </c>
      <c r="O1223" s="29" t="str">
        <f t="shared" si="133"/>
        <v/>
      </c>
      <c r="P1223" s="61"/>
      <c r="Q1223" s="61"/>
      <c r="R1223" s="61"/>
      <c r="S1223" s="45"/>
      <c r="T1223" s="29" t="str">
        <f t="shared" si="134"/>
        <v/>
      </c>
    </row>
    <row r="1224" spans="1:20">
      <c r="A1224" s="10" t="str">
        <f t="shared" si="139"/>
        <v/>
      </c>
      <c r="B1224" s="63"/>
      <c r="C1224" s="25" t="str">
        <f t="shared" si="135"/>
        <v/>
      </c>
      <c r="D1224" s="25" t="str">
        <f t="shared" si="136"/>
        <v/>
      </c>
      <c r="E1224" s="45"/>
      <c r="F1224" s="28" t="str">
        <f>IFERROR(VLOOKUP(E1224,Category!$D$2:$E$600,2,FALSE),"")</f>
        <v/>
      </c>
      <c r="G1224" s="65"/>
      <c r="H1224" s="56"/>
      <c r="I1224" s="66"/>
      <c r="J1224" s="67"/>
      <c r="K1224" s="67"/>
      <c r="L1224" s="67"/>
      <c r="M1224" s="29" t="str">
        <f t="shared" si="137"/>
        <v/>
      </c>
      <c r="N1224" s="29" t="str">
        <f t="shared" si="138"/>
        <v/>
      </c>
      <c r="O1224" s="29" t="str">
        <f t="shared" si="133"/>
        <v/>
      </c>
      <c r="P1224" s="61"/>
      <c r="Q1224" s="61"/>
      <c r="R1224" s="61"/>
      <c r="S1224" s="45"/>
      <c r="T1224" s="29" t="str">
        <f t="shared" si="134"/>
        <v/>
      </c>
    </row>
    <row r="1225" spans="1:20">
      <c r="A1225" s="10" t="str">
        <f t="shared" si="139"/>
        <v/>
      </c>
      <c r="B1225" s="63"/>
      <c r="C1225" s="25" t="str">
        <f t="shared" si="135"/>
        <v/>
      </c>
      <c r="D1225" s="25" t="str">
        <f t="shared" si="136"/>
        <v/>
      </c>
      <c r="E1225" s="45"/>
      <c r="F1225" s="28" t="str">
        <f>IFERROR(VLOOKUP(E1225,Category!$D$2:$E$600,2,FALSE),"")</f>
        <v/>
      </c>
      <c r="G1225" s="65"/>
      <c r="H1225" s="56"/>
      <c r="I1225" s="66"/>
      <c r="J1225" s="67"/>
      <c r="K1225" s="67"/>
      <c r="L1225" s="67"/>
      <c r="M1225" s="29" t="str">
        <f t="shared" si="137"/>
        <v/>
      </c>
      <c r="N1225" s="29" t="str">
        <f t="shared" si="138"/>
        <v/>
      </c>
      <c r="O1225" s="29" t="str">
        <f t="shared" si="133"/>
        <v/>
      </c>
      <c r="P1225" s="61"/>
      <c r="Q1225" s="61"/>
      <c r="R1225" s="61"/>
      <c r="S1225" s="45"/>
      <c r="T1225" s="29" t="str">
        <f t="shared" si="134"/>
        <v/>
      </c>
    </row>
    <row r="1226" spans="1:20">
      <c r="A1226" s="10" t="str">
        <f t="shared" si="139"/>
        <v/>
      </c>
      <c r="B1226" s="63"/>
      <c r="C1226" s="25" t="str">
        <f t="shared" si="135"/>
        <v/>
      </c>
      <c r="D1226" s="25" t="str">
        <f t="shared" si="136"/>
        <v/>
      </c>
      <c r="E1226" s="45"/>
      <c r="F1226" s="28" t="str">
        <f>IFERROR(VLOOKUP(E1226,Category!$D$2:$E$600,2,FALSE),"")</f>
        <v/>
      </c>
      <c r="G1226" s="65"/>
      <c r="H1226" s="56"/>
      <c r="I1226" s="66"/>
      <c r="J1226" s="67"/>
      <c r="K1226" s="67"/>
      <c r="L1226" s="67"/>
      <c r="M1226" s="29" t="str">
        <f t="shared" si="137"/>
        <v/>
      </c>
      <c r="N1226" s="29" t="str">
        <f t="shared" si="138"/>
        <v/>
      </c>
      <c r="O1226" s="29" t="str">
        <f t="shared" si="133"/>
        <v/>
      </c>
      <c r="P1226" s="61"/>
      <c r="Q1226" s="61"/>
      <c r="R1226" s="61"/>
      <c r="S1226" s="45"/>
      <c r="T1226" s="29" t="str">
        <f t="shared" si="134"/>
        <v/>
      </c>
    </row>
    <row r="1227" spans="1:20">
      <c r="A1227" s="10" t="str">
        <f t="shared" si="139"/>
        <v/>
      </c>
      <c r="B1227" s="63"/>
      <c r="C1227" s="25" t="str">
        <f t="shared" si="135"/>
        <v/>
      </c>
      <c r="D1227" s="25" t="str">
        <f t="shared" si="136"/>
        <v/>
      </c>
      <c r="E1227" s="45"/>
      <c r="F1227" s="28" t="str">
        <f>IFERROR(VLOOKUP(E1227,Category!$D$2:$E$600,2,FALSE),"")</f>
        <v/>
      </c>
      <c r="G1227" s="65"/>
      <c r="H1227" s="56"/>
      <c r="I1227" s="66"/>
      <c r="J1227" s="67"/>
      <c r="K1227" s="67"/>
      <c r="L1227" s="67"/>
      <c r="M1227" s="29" t="str">
        <f t="shared" si="137"/>
        <v/>
      </c>
      <c r="N1227" s="29" t="str">
        <f t="shared" si="138"/>
        <v/>
      </c>
      <c r="O1227" s="29" t="str">
        <f t="shared" si="133"/>
        <v/>
      </c>
      <c r="P1227" s="61"/>
      <c r="Q1227" s="61"/>
      <c r="R1227" s="61"/>
      <c r="S1227" s="45"/>
      <c r="T1227" s="29" t="str">
        <f t="shared" si="134"/>
        <v/>
      </c>
    </row>
    <row r="1228" spans="1:20">
      <c r="A1228" s="10" t="str">
        <f t="shared" si="139"/>
        <v/>
      </c>
      <c r="B1228" s="63"/>
      <c r="C1228" s="25" t="str">
        <f t="shared" si="135"/>
        <v/>
      </c>
      <c r="D1228" s="25" t="str">
        <f t="shared" si="136"/>
        <v/>
      </c>
      <c r="E1228" s="45"/>
      <c r="F1228" s="28" t="str">
        <f>IFERROR(VLOOKUP(E1228,Category!$D$2:$E$600,2,FALSE),"")</f>
        <v/>
      </c>
      <c r="G1228" s="65"/>
      <c r="H1228" s="56"/>
      <c r="I1228" s="66"/>
      <c r="J1228" s="67"/>
      <c r="K1228" s="67"/>
      <c r="L1228" s="67"/>
      <c r="M1228" s="29" t="str">
        <f t="shared" si="137"/>
        <v/>
      </c>
      <c r="N1228" s="29" t="str">
        <f t="shared" si="138"/>
        <v/>
      </c>
      <c r="O1228" s="29" t="str">
        <f t="shared" si="133"/>
        <v/>
      </c>
      <c r="P1228" s="61"/>
      <c r="Q1228" s="61"/>
      <c r="R1228" s="61"/>
      <c r="S1228" s="45"/>
      <c r="T1228" s="29" t="str">
        <f t="shared" si="134"/>
        <v/>
      </c>
    </row>
    <row r="1229" spans="1:20">
      <c r="A1229" s="10" t="str">
        <f t="shared" si="139"/>
        <v/>
      </c>
      <c r="B1229" s="63"/>
      <c r="C1229" s="25" t="str">
        <f t="shared" si="135"/>
        <v/>
      </c>
      <c r="D1229" s="25" t="str">
        <f t="shared" si="136"/>
        <v/>
      </c>
      <c r="E1229" s="45"/>
      <c r="F1229" s="28" t="str">
        <f>IFERROR(VLOOKUP(E1229,Category!$D$2:$E$600,2,FALSE),"")</f>
        <v/>
      </c>
      <c r="G1229" s="65"/>
      <c r="H1229" s="56"/>
      <c r="I1229" s="66"/>
      <c r="J1229" s="67"/>
      <c r="K1229" s="67"/>
      <c r="L1229" s="67"/>
      <c r="M1229" s="29" t="str">
        <f t="shared" si="137"/>
        <v/>
      </c>
      <c r="N1229" s="29" t="str">
        <f t="shared" si="138"/>
        <v/>
      </c>
      <c r="O1229" s="29" t="str">
        <f t="shared" si="133"/>
        <v/>
      </c>
      <c r="P1229" s="61"/>
      <c r="Q1229" s="61"/>
      <c r="R1229" s="61"/>
      <c r="S1229" s="45"/>
      <c r="T1229" s="29" t="str">
        <f t="shared" si="134"/>
        <v/>
      </c>
    </row>
    <row r="1230" spans="1:20">
      <c r="A1230" s="10" t="str">
        <f t="shared" si="139"/>
        <v/>
      </c>
      <c r="B1230" s="63"/>
      <c r="C1230" s="25" t="str">
        <f t="shared" si="135"/>
        <v/>
      </c>
      <c r="D1230" s="25" t="str">
        <f t="shared" si="136"/>
        <v/>
      </c>
      <c r="E1230" s="45"/>
      <c r="F1230" s="28" t="str">
        <f>IFERROR(VLOOKUP(E1230,Category!$D$2:$E$600,2,FALSE),"")</f>
        <v/>
      </c>
      <c r="G1230" s="65"/>
      <c r="H1230" s="56"/>
      <c r="I1230" s="66"/>
      <c r="J1230" s="67"/>
      <c r="K1230" s="67"/>
      <c r="L1230" s="67"/>
      <c r="M1230" s="29" t="str">
        <f t="shared" si="137"/>
        <v/>
      </c>
      <c r="N1230" s="29" t="str">
        <f t="shared" si="138"/>
        <v/>
      </c>
      <c r="O1230" s="29" t="str">
        <f t="shared" si="133"/>
        <v/>
      </c>
      <c r="P1230" s="61"/>
      <c r="Q1230" s="61"/>
      <c r="R1230" s="61"/>
      <c r="S1230" s="45"/>
      <c r="T1230" s="29" t="str">
        <f t="shared" si="134"/>
        <v/>
      </c>
    </row>
    <row r="1231" spans="1:20">
      <c r="A1231" s="10" t="str">
        <f t="shared" si="139"/>
        <v/>
      </c>
      <c r="B1231" s="63"/>
      <c r="C1231" s="25" t="str">
        <f t="shared" si="135"/>
        <v/>
      </c>
      <c r="D1231" s="25" t="str">
        <f t="shared" si="136"/>
        <v/>
      </c>
      <c r="E1231" s="45"/>
      <c r="F1231" s="28" t="str">
        <f>IFERROR(VLOOKUP(E1231,Category!$D$2:$E$600,2,FALSE),"")</f>
        <v/>
      </c>
      <c r="G1231" s="65"/>
      <c r="H1231" s="56"/>
      <c r="I1231" s="66"/>
      <c r="J1231" s="67"/>
      <c r="K1231" s="67"/>
      <c r="L1231" s="67"/>
      <c r="M1231" s="29" t="str">
        <f t="shared" si="137"/>
        <v/>
      </c>
      <c r="N1231" s="29" t="str">
        <f t="shared" si="138"/>
        <v/>
      </c>
      <c r="O1231" s="29" t="str">
        <f t="shared" si="133"/>
        <v/>
      </c>
      <c r="P1231" s="61"/>
      <c r="Q1231" s="61"/>
      <c r="R1231" s="61"/>
      <c r="S1231" s="45"/>
      <c r="T1231" s="29" t="str">
        <f t="shared" si="134"/>
        <v/>
      </c>
    </row>
    <row r="1232" spans="1:20">
      <c r="A1232" s="10" t="str">
        <f t="shared" si="139"/>
        <v/>
      </c>
      <c r="B1232" s="63"/>
      <c r="C1232" s="25" t="str">
        <f t="shared" si="135"/>
        <v/>
      </c>
      <c r="D1232" s="25" t="str">
        <f t="shared" si="136"/>
        <v/>
      </c>
      <c r="E1232" s="45"/>
      <c r="F1232" s="28" t="str">
        <f>IFERROR(VLOOKUP(E1232,Category!$D$2:$E$600,2,FALSE),"")</f>
        <v/>
      </c>
      <c r="G1232" s="65"/>
      <c r="H1232" s="56"/>
      <c r="I1232" s="66"/>
      <c r="J1232" s="67"/>
      <c r="K1232" s="67"/>
      <c r="L1232" s="67"/>
      <c r="M1232" s="29" t="str">
        <f t="shared" si="137"/>
        <v/>
      </c>
      <c r="N1232" s="29" t="str">
        <f t="shared" si="138"/>
        <v/>
      </c>
      <c r="O1232" s="29" t="str">
        <f t="shared" si="133"/>
        <v/>
      </c>
      <c r="P1232" s="61"/>
      <c r="Q1232" s="61"/>
      <c r="R1232" s="61"/>
      <c r="S1232" s="45"/>
      <c r="T1232" s="29" t="str">
        <f t="shared" si="134"/>
        <v/>
      </c>
    </row>
    <row r="1233" spans="1:20">
      <c r="A1233" s="10" t="str">
        <f t="shared" si="139"/>
        <v/>
      </c>
      <c r="B1233" s="63"/>
      <c r="C1233" s="25" t="str">
        <f t="shared" si="135"/>
        <v/>
      </c>
      <c r="D1233" s="25" t="str">
        <f t="shared" si="136"/>
        <v/>
      </c>
      <c r="E1233" s="45"/>
      <c r="F1233" s="28" t="str">
        <f>IFERROR(VLOOKUP(E1233,Category!$D$2:$E$600,2,FALSE),"")</f>
        <v/>
      </c>
      <c r="G1233" s="65"/>
      <c r="H1233" s="56"/>
      <c r="I1233" s="66"/>
      <c r="J1233" s="67"/>
      <c r="K1233" s="67"/>
      <c r="L1233" s="67"/>
      <c r="M1233" s="29" t="str">
        <f t="shared" si="137"/>
        <v/>
      </c>
      <c r="N1233" s="29" t="str">
        <f t="shared" si="138"/>
        <v/>
      </c>
      <c r="O1233" s="29" t="str">
        <f t="shared" si="133"/>
        <v/>
      </c>
      <c r="P1233" s="61"/>
      <c r="Q1233" s="61"/>
      <c r="R1233" s="61"/>
      <c r="S1233" s="45"/>
      <c r="T1233" s="29" t="str">
        <f t="shared" si="134"/>
        <v/>
      </c>
    </row>
    <row r="1234" spans="1:20">
      <c r="A1234" s="10" t="str">
        <f t="shared" si="139"/>
        <v/>
      </c>
      <c r="B1234" s="63"/>
      <c r="C1234" s="25" t="str">
        <f t="shared" si="135"/>
        <v/>
      </c>
      <c r="D1234" s="25" t="str">
        <f t="shared" si="136"/>
        <v/>
      </c>
      <c r="E1234" s="45"/>
      <c r="F1234" s="28" t="str">
        <f>IFERROR(VLOOKUP(E1234,Category!$D$2:$E$600,2,FALSE),"")</f>
        <v/>
      </c>
      <c r="G1234" s="65"/>
      <c r="H1234" s="56"/>
      <c r="I1234" s="66"/>
      <c r="J1234" s="67"/>
      <c r="K1234" s="67"/>
      <c r="L1234" s="67"/>
      <c r="M1234" s="29" t="str">
        <f t="shared" si="137"/>
        <v/>
      </c>
      <c r="N1234" s="29" t="str">
        <f t="shared" si="138"/>
        <v/>
      </c>
      <c r="O1234" s="29" t="str">
        <f t="shared" si="133"/>
        <v/>
      </c>
      <c r="P1234" s="61"/>
      <c r="Q1234" s="61"/>
      <c r="R1234" s="61"/>
      <c r="S1234" s="45"/>
      <c r="T1234" s="29" t="str">
        <f t="shared" si="134"/>
        <v/>
      </c>
    </row>
    <row r="1235" spans="1:20">
      <c r="A1235" s="10" t="str">
        <f t="shared" si="139"/>
        <v/>
      </c>
      <c r="B1235" s="63"/>
      <c r="C1235" s="25" t="str">
        <f t="shared" si="135"/>
        <v/>
      </c>
      <c r="D1235" s="25" t="str">
        <f t="shared" si="136"/>
        <v/>
      </c>
      <c r="E1235" s="45"/>
      <c r="F1235" s="28" t="str">
        <f>IFERROR(VLOOKUP(E1235,Category!$D$2:$E$600,2,FALSE),"")</f>
        <v/>
      </c>
      <c r="G1235" s="65"/>
      <c r="H1235" s="56"/>
      <c r="I1235" s="66"/>
      <c r="J1235" s="67"/>
      <c r="K1235" s="67"/>
      <c r="L1235" s="67"/>
      <c r="M1235" s="29" t="str">
        <f t="shared" si="137"/>
        <v/>
      </c>
      <c r="N1235" s="29" t="str">
        <f t="shared" si="138"/>
        <v/>
      </c>
      <c r="O1235" s="29" t="str">
        <f t="shared" si="133"/>
        <v/>
      </c>
      <c r="P1235" s="61"/>
      <c r="Q1235" s="61"/>
      <c r="R1235" s="61"/>
      <c r="S1235" s="45"/>
      <c r="T1235" s="29" t="str">
        <f t="shared" si="134"/>
        <v/>
      </c>
    </row>
    <row r="1236" spans="1:20">
      <c r="A1236" s="10" t="str">
        <f t="shared" si="139"/>
        <v/>
      </c>
      <c r="B1236" s="63"/>
      <c r="C1236" s="25" t="str">
        <f t="shared" si="135"/>
        <v/>
      </c>
      <c r="D1236" s="25" t="str">
        <f t="shared" si="136"/>
        <v/>
      </c>
      <c r="E1236" s="45"/>
      <c r="F1236" s="28" t="str">
        <f>IFERROR(VLOOKUP(E1236,Category!$D$2:$E$600,2,FALSE),"")</f>
        <v/>
      </c>
      <c r="G1236" s="65"/>
      <c r="H1236" s="56"/>
      <c r="I1236" s="66"/>
      <c r="J1236" s="67"/>
      <c r="K1236" s="67"/>
      <c r="L1236" s="67"/>
      <c r="M1236" s="29" t="str">
        <f t="shared" si="137"/>
        <v/>
      </c>
      <c r="N1236" s="29" t="str">
        <f t="shared" si="138"/>
        <v/>
      </c>
      <c r="O1236" s="29" t="str">
        <f t="shared" si="133"/>
        <v/>
      </c>
      <c r="P1236" s="61"/>
      <c r="Q1236" s="61"/>
      <c r="R1236" s="61"/>
      <c r="S1236" s="45"/>
      <c r="T1236" s="29" t="str">
        <f t="shared" si="134"/>
        <v/>
      </c>
    </row>
    <row r="1237" spans="1:20">
      <c r="A1237" s="10" t="str">
        <f t="shared" si="139"/>
        <v/>
      </c>
      <c r="B1237" s="63"/>
      <c r="C1237" s="25" t="str">
        <f t="shared" si="135"/>
        <v/>
      </c>
      <c r="D1237" s="25" t="str">
        <f t="shared" si="136"/>
        <v/>
      </c>
      <c r="E1237" s="45"/>
      <c r="F1237" s="28" t="str">
        <f>IFERROR(VLOOKUP(E1237,Category!$D$2:$E$600,2,FALSE),"")</f>
        <v/>
      </c>
      <c r="G1237" s="65"/>
      <c r="H1237" s="56"/>
      <c r="I1237" s="66"/>
      <c r="J1237" s="67"/>
      <c r="K1237" s="67"/>
      <c r="L1237" s="67"/>
      <c r="M1237" s="29" t="str">
        <f t="shared" si="137"/>
        <v/>
      </c>
      <c r="N1237" s="29" t="str">
        <f t="shared" si="138"/>
        <v/>
      </c>
      <c r="O1237" s="29" t="str">
        <f t="shared" si="133"/>
        <v/>
      </c>
      <c r="P1237" s="61"/>
      <c r="Q1237" s="61"/>
      <c r="R1237" s="61"/>
      <c r="S1237" s="45"/>
      <c r="T1237" s="29" t="str">
        <f t="shared" si="134"/>
        <v/>
      </c>
    </row>
    <row r="1238" spans="1:20">
      <c r="A1238" s="10" t="str">
        <f t="shared" si="139"/>
        <v/>
      </c>
      <c r="B1238" s="63"/>
      <c r="C1238" s="25" t="str">
        <f t="shared" si="135"/>
        <v/>
      </c>
      <c r="D1238" s="25" t="str">
        <f t="shared" si="136"/>
        <v/>
      </c>
      <c r="E1238" s="45"/>
      <c r="F1238" s="28" t="str">
        <f>IFERROR(VLOOKUP(E1238,Category!$D$2:$E$600,2,FALSE),"")</f>
        <v/>
      </c>
      <c r="G1238" s="65"/>
      <c r="H1238" s="56"/>
      <c r="I1238" s="66"/>
      <c r="J1238" s="67"/>
      <c r="K1238" s="67"/>
      <c r="L1238" s="67"/>
      <c r="M1238" s="29" t="str">
        <f t="shared" si="137"/>
        <v/>
      </c>
      <c r="N1238" s="29" t="str">
        <f t="shared" si="138"/>
        <v/>
      </c>
      <c r="O1238" s="29" t="str">
        <f t="shared" si="133"/>
        <v/>
      </c>
      <c r="P1238" s="61"/>
      <c r="Q1238" s="61"/>
      <c r="R1238" s="61"/>
      <c r="S1238" s="45"/>
      <c r="T1238" s="29" t="str">
        <f t="shared" si="134"/>
        <v/>
      </c>
    </row>
    <row r="1239" spans="1:20">
      <c r="A1239" s="10" t="str">
        <f t="shared" si="139"/>
        <v/>
      </c>
      <c r="B1239" s="63"/>
      <c r="C1239" s="25" t="str">
        <f t="shared" si="135"/>
        <v/>
      </c>
      <c r="D1239" s="25" t="str">
        <f t="shared" si="136"/>
        <v/>
      </c>
      <c r="E1239" s="45"/>
      <c r="F1239" s="28" t="str">
        <f>IFERROR(VLOOKUP(E1239,Category!$D$2:$E$600,2,FALSE),"")</f>
        <v/>
      </c>
      <c r="G1239" s="65"/>
      <c r="H1239" s="56"/>
      <c r="I1239" s="66"/>
      <c r="J1239" s="67"/>
      <c r="K1239" s="67"/>
      <c r="L1239" s="67"/>
      <c r="M1239" s="29" t="str">
        <f t="shared" si="137"/>
        <v/>
      </c>
      <c r="N1239" s="29" t="str">
        <f t="shared" si="138"/>
        <v/>
      </c>
      <c r="O1239" s="29" t="str">
        <f t="shared" si="133"/>
        <v/>
      </c>
      <c r="P1239" s="61"/>
      <c r="Q1239" s="61"/>
      <c r="R1239" s="61"/>
      <c r="S1239" s="45"/>
      <c r="T1239" s="29" t="str">
        <f t="shared" si="134"/>
        <v/>
      </c>
    </row>
    <row r="1240" spans="1:20">
      <c r="A1240" s="10" t="str">
        <f t="shared" si="139"/>
        <v/>
      </c>
      <c r="B1240" s="63"/>
      <c r="C1240" s="25" t="str">
        <f t="shared" si="135"/>
        <v/>
      </c>
      <c r="D1240" s="25" t="str">
        <f t="shared" si="136"/>
        <v/>
      </c>
      <c r="E1240" s="45"/>
      <c r="F1240" s="28" t="str">
        <f>IFERROR(VLOOKUP(E1240,Category!$D$2:$E$600,2,FALSE),"")</f>
        <v/>
      </c>
      <c r="G1240" s="65"/>
      <c r="H1240" s="56"/>
      <c r="I1240" s="66"/>
      <c r="J1240" s="67"/>
      <c r="K1240" s="67"/>
      <c r="L1240" s="67"/>
      <c r="M1240" s="29" t="str">
        <f t="shared" si="137"/>
        <v/>
      </c>
      <c r="N1240" s="29" t="str">
        <f t="shared" si="138"/>
        <v/>
      </c>
      <c r="O1240" s="29" t="str">
        <f t="shared" si="133"/>
        <v/>
      </c>
      <c r="P1240" s="61"/>
      <c r="Q1240" s="61"/>
      <c r="R1240" s="61"/>
      <c r="S1240" s="45"/>
      <c r="T1240" s="29" t="str">
        <f t="shared" si="134"/>
        <v/>
      </c>
    </row>
    <row r="1241" spans="1:20">
      <c r="A1241" s="10" t="str">
        <f t="shared" si="139"/>
        <v/>
      </c>
      <c r="B1241" s="63"/>
      <c r="C1241" s="25" t="str">
        <f t="shared" si="135"/>
        <v/>
      </c>
      <c r="D1241" s="25" t="str">
        <f t="shared" si="136"/>
        <v/>
      </c>
      <c r="E1241" s="45"/>
      <c r="F1241" s="28" t="str">
        <f>IFERROR(VLOOKUP(E1241,Category!$D$2:$E$600,2,FALSE),"")</f>
        <v/>
      </c>
      <c r="G1241" s="65"/>
      <c r="H1241" s="56"/>
      <c r="I1241" s="66"/>
      <c r="J1241" s="67"/>
      <c r="K1241" s="67"/>
      <c r="L1241" s="67"/>
      <c r="M1241" s="29" t="str">
        <f t="shared" si="137"/>
        <v/>
      </c>
      <c r="N1241" s="29" t="str">
        <f t="shared" si="138"/>
        <v/>
      </c>
      <c r="O1241" s="29" t="str">
        <f t="shared" si="133"/>
        <v/>
      </c>
      <c r="P1241" s="61"/>
      <c r="Q1241" s="61"/>
      <c r="R1241" s="61"/>
      <c r="S1241" s="45"/>
      <c r="T1241" s="29" t="str">
        <f t="shared" si="134"/>
        <v/>
      </c>
    </row>
    <row r="1242" spans="1:20">
      <c r="A1242" s="10" t="str">
        <f t="shared" si="139"/>
        <v/>
      </c>
      <c r="B1242" s="63"/>
      <c r="C1242" s="25" t="str">
        <f t="shared" si="135"/>
        <v/>
      </c>
      <c r="D1242" s="25" t="str">
        <f t="shared" si="136"/>
        <v/>
      </c>
      <c r="E1242" s="45"/>
      <c r="F1242" s="28" t="str">
        <f>IFERROR(VLOOKUP(E1242,Category!$D$2:$E$600,2,FALSE),"")</f>
        <v/>
      </c>
      <c r="G1242" s="65"/>
      <c r="H1242" s="56"/>
      <c r="I1242" s="66"/>
      <c r="J1242" s="67"/>
      <c r="K1242" s="67"/>
      <c r="L1242" s="67"/>
      <c r="M1242" s="29" t="str">
        <f t="shared" si="137"/>
        <v/>
      </c>
      <c r="N1242" s="29" t="str">
        <f t="shared" si="138"/>
        <v/>
      </c>
      <c r="O1242" s="29" t="str">
        <f t="shared" si="133"/>
        <v/>
      </c>
      <c r="P1242" s="61"/>
      <c r="Q1242" s="61"/>
      <c r="R1242" s="61"/>
      <c r="S1242" s="45"/>
      <c r="T1242" s="29" t="str">
        <f t="shared" si="134"/>
        <v/>
      </c>
    </row>
    <row r="1243" spans="1:20">
      <c r="A1243" s="10" t="str">
        <f t="shared" si="139"/>
        <v/>
      </c>
      <c r="B1243" s="63"/>
      <c r="C1243" s="25" t="str">
        <f t="shared" si="135"/>
        <v/>
      </c>
      <c r="D1243" s="25" t="str">
        <f t="shared" si="136"/>
        <v/>
      </c>
      <c r="E1243" s="45"/>
      <c r="F1243" s="28" t="str">
        <f>IFERROR(VLOOKUP(E1243,Category!$D$2:$E$600,2,FALSE),"")</f>
        <v/>
      </c>
      <c r="G1243" s="65"/>
      <c r="H1243" s="56"/>
      <c r="I1243" s="66"/>
      <c r="J1243" s="67"/>
      <c r="K1243" s="67"/>
      <c r="L1243" s="67"/>
      <c r="M1243" s="29" t="str">
        <f t="shared" si="137"/>
        <v/>
      </c>
      <c r="N1243" s="29" t="str">
        <f t="shared" si="138"/>
        <v/>
      </c>
      <c r="O1243" s="29" t="str">
        <f t="shared" si="133"/>
        <v/>
      </c>
      <c r="P1243" s="61"/>
      <c r="Q1243" s="61"/>
      <c r="R1243" s="61"/>
      <c r="S1243" s="45"/>
      <c r="T1243" s="29" t="str">
        <f t="shared" si="134"/>
        <v/>
      </c>
    </row>
    <row r="1244" spans="1:20">
      <c r="A1244" s="10" t="str">
        <f t="shared" si="139"/>
        <v/>
      </c>
      <c r="B1244" s="63"/>
      <c r="C1244" s="25" t="str">
        <f t="shared" si="135"/>
        <v/>
      </c>
      <c r="D1244" s="25" t="str">
        <f t="shared" si="136"/>
        <v/>
      </c>
      <c r="E1244" s="45"/>
      <c r="F1244" s="28" t="str">
        <f>IFERROR(VLOOKUP(E1244,Category!$D$2:$E$600,2,FALSE),"")</f>
        <v/>
      </c>
      <c r="G1244" s="65"/>
      <c r="H1244" s="56"/>
      <c r="I1244" s="66"/>
      <c r="J1244" s="67"/>
      <c r="K1244" s="67"/>
      <c r="L1244" s="67"/>
      <c r="M1244" s="29" t="str">
        <f t="shared" si="137"/>
        <v/>
      </c>
      <c r="N1244" s="29" t="str">
        <f t="shared" si="138"/>
        <v/>
      </c>
      <c r="O1244" s="29" t="str">
        <f t="shared" si="133"/>
        <v/>
      </c>
      <c r="P1244" s="61"/>
      <c r="Q1244" s="61"/>
      <c r="R1244" s="61"/>
      <c r="S1244" s="45"/>
      <c r="T1244" s="29" t="str">
        <f t="shared" si="134"/>
        <v/>
      </c>
    </row>
    <row r="1245" spans="1:20">
      <c r="A1245" s="10" t="str">
        <f t="shared" si="139"/>
        <v/>
      </c>
      <c r="B1245" s="63"/>
      <c r="C1245" s="25" t="str">
        <f t="shared" si="135"/>
        <v/>
      </c>
      <c r="D1245" s="25" t="str">
        <f t="shared" si="136"/>
        <v/>
      </c>
      <c r="E1245" s="45"/>
      <c r="F1245" s="28" t="str">
        <f>IFERROR(VLOOKUP(E1245,Category!$D$2:$E$600,2,FALSE),"")</f>
        <v/>
      </c>
      <c r="G1245" s="65"/>
      <c r="H1245" s="56"/>
      <c r="I1245" s="66"/>
      <c r="J1245" s="67"/>
      <c r="K1245" s="67"/>
      <c r="L1245" s="67"/>
      <c r="M1245" s="29" t="str">
        <f t="shared" si="137"/>
        <v/>
      </c>
      <c r="N1245" s="29" t="str">
        <f t="shared" si="138"/>
        <v/>
      </c>
      <c r="O1245" s="29" t="str">
        <f t="shared" si="133"/>
        <v/>
      </c>
      <c r="P1245" s="61"/>
      <c r="Q1245" s="61"/>
      <c r="R1245" s="61"/>
      <c r="S1245" s="45"/>
      <c r="T1245" s="29" t="str">
        <f t="shared" si="134"/>
        <v/>
      </c>
    </row>
    <row r="1246" spans="1:20">
      <c r="A1246" s="10" t="str">
        <f t="shared" si="139"/>
        <v/>
      </c>
      <c r="B1246" s="63"/>
      <c r="C1246" s="25" t="str">
        <f t="shared" si="135"/>
        <v/>
      </c>
      <c r="D1246" s="25" t="str">
        <f t="shared" si="136"/>
        <v/>
      </c>
      <c r="E1246" s="45"/>
      <c r="F1246" s="28" t="str">
        <f>IFERROR(VLOOKUP(E1246,Category!$D$2:$E$600,2,FALSE),"")</f>
        <v/>
      </c>
      <c r="G1246" s="65"/>
      <c r="H1246" s="56"/>
      <c r="I1246" s="66"/>
      <c r="J1246" s="67"/>
      <c r="K1246" s="67"/>
      <c r="L1246" s="67"/>
      <c r="M1246" s="29" t="str">
        <f t="shared" si="137"/>
        <v/>
      </c>
      <c r="N1246" s="29" t="str">
        <f t="shared" si="138"/>
        <v/>
      </c>
      <c r="O1246" s="29" t="str">
        <f t="shared" si="133"/>
        <v/>
      </c>
      <c r="P1246" s="61"/>
      <c r="Q1246" s="61"/>
      <c r="R1246" s="61"/>
      <c r="S1246" s="45"/>
      <c r="T1246" s="29" t="str">
        <f t="shared" si="134"/>
        <v/>
      </c>
    </row>
    <row r="1247" spans="1:20">
      <c r="A1247" s="10" t="str">
        <f t="shared" si="139"/>
        <v/>
      </c>
      <c r="B1247" s="63"/>
      <c r="C1247" s="25" t="str">
        <f t="shared" si="135"/>
        <v/>
      </c>
      <c r="D1247" s="25" t="str">
        <f t="shared" si="136"/>
        <v/>
      </c>
      <c r="E1247" s="45"/>
      <c r="F1247" s="28" t="str">
        <f>IFERROR(VLOOKUP(E1247,Category!$D$2:$E$600,2,FALSE),"")</f>
        <v/>
      </c>
      <c r="G1247" s="65"/>
      <c r="H1247" s="56"/>
      <c r="I1247" s="66"/>
      <c r="J1247" s="67"/>
      <c r="K1247" s="67"/>
      <c r="L1247" s="67"/>
      <c r="M1247" s="29" t="str">
        <f t="shared" si="137"/>
        <v/>
      </c>
      <c r="N1247" s="29" t="str">
        <f t="shared" si="138"/>
        <v/>
      </c>
      <c r="O1247" s="29" t="str">
        <f t="shared" si="133"/>
        <v/>
      </c>
      <c r="P1247" s="61"/>
      <c r="Q1247" s="61"/>
      <c r="R1247" s="61"/>
      <c r="S1247" s="45"/>
      <c r="T1247" s="29" t="str">
        <f t="shared" si="134"/>
        <v/>
      </c>
    </row>
    <row r="1248" spans="1:20">
      <c r="A1248" s="10" t="str">
        <f t="shared" si="139"/>
        <v/>
      </c>
      <c r="B1248" s="63"/>
      <c r="C1248" s="25" t="str">
        <f t="shared" si="135"/>
        <v/>
      </c>
      <c r="D1248" s="25" t="str">
        <f t="shared" si="136"/>
        <v/>
      </c>
      <c r="E1248" s="45"/>
      <c r="F1248" s="28" t="str">
        <f>IFERROR(VLOOKUP(E1248,Category!$D$2:$E$600,2,FALSE),"")</f>
        <v/>
      </c>
      <c r="G1248" s="65"/>
      <c r="H1248" s="56"/>
      <c r="I1248" s="66"/>
      <c r="J1248" s="67"/>
      <c r="K1248" s="67"/>
      <c r="L1248" s="67"/>
      <c r="M1248" s="29" t="str">
        <f t="shared" si="137"/>
        <v/>
      </c>
      <c r="N1248" s="29" t="str">
        <f t="shared" si="138"/>
        <v/>
      </c>
      <c r="O1248" s="29" t="str">
        <f t="shared" si="133"/>
        <v/>
      </c>
      <c r="P1248" s="61"/>
      <c r="Q1248" s="61"/>
      <c r="R1248" s="61"/>
      <c r="S1248" s="45"/>
      <c r="T1248" s="29" t="str">
        <f t="shared" si="134"/>
        <v/>
      </c>
    </row>
    <row r="1249" spans="1:20">
      <c r="A1249" s="10" t="str">
        <f t="shared" si="139"/>
        <v/>
      </c>
      <c r="B1249" s="63"/>
      <c r="C1249" s="25" t="str">
        <f t="shared" si="135"/>
        <v/>
      </c>
      <c r="D1249" s="25" t="str">
        <f t="shared" si="136"/>
        <v/>
      </c>
      <c r="E1249" s="45"/>
      <c r="F1249" s="28" t="str">
        <f>IFERROR(VLOOKUP(E1249,Category!$D$2:$E$600,2,FALSE),"")</f>
        <v/>
      </c>
      <c r="G1249" s="65"/>
      <c r="H1249" s="56"/>
      <c r="I1249" s="66"/>
      <c r="J1249" s="67"/>
      <c r="K1249" s="67"/>
      <c r="L1249" s="67"/>
      <c r="M1249" s="29" t="str">
        <f t="shared" si="137"/>
        <v/>
      </c>
      <c r="N1249" s="29" t="str">
        <f t="shared" si="138"/>
        <v/>
      </c>
      <c r="O1249" s="29" t="str">
        <f t="shared" si="133"/>
        <v/>
      </c>
      <c r="P1249" s="61"/>
      <c r="Q1249" s="61"/>
      <c r="R1249" s="61"/>
      <c r="S1249" s="45"/>
      <c r="T1249" s="29" t="str">
        <f t="shared" si="134"/>
        <v/>
      </c>
    </row>
    <row r="1250" spans="1:20">
      <c r="A1250" s="10" t="str">
        <f t="shared" si="139"/>
        <v/>
      </c>
      <c r="B1250" s="63"/>
      <c r="C1250" s="25" t="str">
        <f t="shared" si="135"/>
        <v/>
      </c>
      <c r="D1250" s="25" t="str">
        <f t="shared" si="136"/>
        <v/>
      </c>
      <c r="E1250" s="45"/>
      <c r="F1250" s="28" t="str">
        <f>IFERROR(VLOOKUP(E1250,Category!$D$2:$E$600,2,FALSE),"")</f>
        <v/>
      </c>
      <c r="G1250" s="65"/>
      <c r="H1250" s="56"/>
      <c r="I1250" s="66"/>
      <c r="J1250" s="67"/>
      <c r="K1250" s="67"/>
      <c r="L1250" s="67"/>
      <c r="M1250" s="29" t="str">
        <f t="shared" si="137"/>
        <v/>
      </c>
      <c r="N1250" s="29" t="str">
        <f t="shared" si="138"/>
        <v/>
      </c>
      <c r="O1250" s="29" t="str">
        <f t="shared" si="133"/>
        <v/>
      </c>
      <c r="P1250" s="61"/>
      <c r="Q1250" s="61"/>
      <c r="R1250" s="61"/>
      <c r="S1250" s="45"/>
      <c r="T1250" s="29" t="str">
        <f t="shared" si="134"/>
        <v/>
      </c>
    </row>
    <row r="1251" spans="1:20">
      <c r="A1251" s="10" t="str">
        <f t="shared" si="139"/>
        <v/>
      </c>
      <c r="B1251" s="63"/>
      <c r="C1251" s="25" t="str">
        <f t="shared" si="135"/>
        <v/>
      </c>
      <c r="D1251" s="25" t="str">
        <f t="shared" si="136"/>
        <v/>
      </c>
      <c r="E1251" s="45"/>
      <c r="F1251" s="28" t="str">
        <f>IFERROR(VLOOKUP(E1251,Category!$D$2:$E$600,2,FALSE),"")</f>
        <v/>
      </c>
      <c r="G1251" s="65"/>
      <c r="H1251" s="56"/>
      <c r="I1251" s="66"/>
      <c r="J1251" s="67"/>
      <c r="K1251" s="67"/>
      <c r="L1251" s="67"/>
      <c r="M1251" s="29" t="str">
        <f t="shared" si="137"/>
        <v/>
      </c>
      <c r="N1251" s="29" t="str">
        <f t="shared" si="138"/>
        <v/>
      </c>
      <c r="O1251" s="29" t="str">
        <f t="shared" si="133"/>
        <v/>
      </c>
      <c r="P1251" s="61"/>
      <c r="Q1251" s="61"/>
      <c r="R1251" s="61"/>
      <c r="S1251" s="45"/>
      <c r="T1251" s="29" t="str">
        <f t="shared" si="134"/>
        <v/>
      </c>
    </row>
    <row r="1252" spans="1:20">
      <c r="A1252" s="10" t="str">
        <f t="shared" si="139"/>
        <v/>
      </c>
      <c r="B1252" s="63"/>
      <c r="C1252" s="25" t="str">
        <f t="shared" si="135"/>
        <v/>
      </c>
      <c r="D1252" s="25" t="str">
        <f t="shared" si="136"/>
        <v/>
      </c>
      <c r="E1252" s="45"/>
      <c r="F1252" s="28" t="str">
        <f>IFERROR(VLOOKUP(E1252,Category!$D$2:$E$600,2,FALSE),"")</f>
        <v/>
      </c>
      <c r="G1252" s="65"/>
      <c r="H1252" s="56"/>
      <c r="I1252" s="66"/>
      <c r="J1252" s="67"/>
      <c r="K1252" s="67"/>
      <c r="L1252" s="67"/>
      <c r="M1252" s="29" t="str">
        <f t="shared" si="137"/>
        <v/>
      </c>
      <c r="N1252" s="29" t="str">
        <f t="shared" si="138"/>
        <v/>
      </c>
      <c r="O1252" s="29" t="str">
        <f t="shared" si="133"/>
        <v/>
      </c>
      <c r="P1252" s="61"/>
      <c r="Q1252" s="61"/>
      <c r="R1252" s="61"/>
      <c r="S1252" s="45"/>
      <c r="T1252" s="29" t="str">
        <f t="shared" si="134"/>
        <v/>
      </c>
    </row>
    <row r="1253" spans="1:20">
      <c r="A1253" s="10" t="str">
        <f t="shared" si="139"/>
        <v/>
      </c>
      <c r="B1253" s="63"/>
      <c r="C1253" s="25" t="str">
        <f t="shared" si="135"/>
        <v/>
      </c>
      <c r="D1253" s="25" t="str">
        <f t="shared" si="136"/>
        <v/>
      </c>
      <c r="E1253" s="45"/>
      <c r="F1253" s="28" t="str">
        <f>IFERROR(VLOOKUP(E1253,Category!$D$2:$E$600,2,FALSE),"")</f>
        <v/>
      </c>
      <c r="G1253" s="65"/>
      <c r="H1253" s="56"/>
      <c r="I1253" s="66"/>
      <c r="J1253" s="67"/>
      <c r="K1253" s="67"/>
      <c r="L1253" s="67"/>
      <c r="M1253" s="29" t="str">
        <f t="shared" si="137"/>
        <v/>
      </c>
      <c r="N1253" s="29" t="str">
        <f t="shared" si="138"/>
        <v/>
      </c>
      <c r="O1253" s="29" t="str">
        <f t="shared" si="133"/>
        <v/>
      </c>
      <c r="P1253" s="61"/>
      <c r="Q1253" s="61"/>
      <c r="R1253" s="61"/>
      <c r="S1253" s="45"/>
      <c r="T1253" s="29" t="str">
        <f t="shared" si="134"/>
        <v/>
      </c>
    </row>
    <row r="1254" spans="1:20">
      <c r="A1254" s="10" t="str">
        <f t="shared" si="139"/>
        <v/>
      </c>
      <c r="B1254" s="63"/>
      <c r="C1254" s="25" t="str">
        <f t="shared" si="135"/>
        <v/>
      </c>
      <c r="D1254" s="25" t="str">
        <f t="shared" si="136"/>
        <v/>
      </c>
      <c r="E1254" s="45"/>
      <c r="F1254" s="28" t="str">
        <f>IFERROR(VLOOKUP(E1254,Category!$D$2:$E$600,2,FALSE),"")</f>
        <v/>
      </c>
      <c r="G1254" s="65"/>
      <c r="H1254" s="56"/>
      <c r="I1254" s="66"/>
      <c r="J1254" s="67"/>
      <c r="K1254" s="67"/>
      <c r="L1254" s="67"/>
      <c r="M1254" s="29" t="str">
        <f t="shared" si="137"/>
        <v/>
      </c>
      <c r="N1254" s="29" t="str">
        <f t="shared" si="138"/>
        <v/>
      </c>
      <c r="O1254" s="29" t="str">
        <f t="shared" si="133"/>
        <v/>
      </c>
      <c r="P1254" s="61"/>
      <c r="Q1254" s="61"/>
      <c r="R1254" s="61"/>
      <c r="S1254" s="45"/>
      <c r="T1254" s="29" t="str">
        <f t="shared" si="134"/>
        <v/>
      </c>
    </row>
    <row r="1255" spans="1:20">
      <c r="A1255" s="10" t="str">
        <f t="shared" si="139"/>
        <v/>
      </c>
      <c r="B1255" s="63"/>
      <c r="C1255" s="25" t="str">
        <f t="shared" si="135"/>
        <v/>
      </c>
      <c r="D1255" s="25" t="str">
        <f t="shared" si="136"/>
        <v/>
      </c>
      <c r="E1255" s="45"/>
      <c r="F1255" s="28" t="str">
        <f>IFERROR(VLOOKUP(E1255,Category!$D$2:$E$600,2,FALSE),"")</f>
        <v/>
      </c>
      <c r="G1255" s="65"/>
      <c r="H1255" s="56"/>
      <c r="I1255" s="66"/>
      <c r="J1255" s="67"/>
      <c r="K1255" s="67"/>
      <c r="L1255" s="67"/>
      <c r="M1255" s="29" t="str">
        <f t="shared" si="137"/>
        <v/>
      </c>
      <c r="N1255" s="29" t="str">
        <f t="shared" si="138"/>
        <v/>
      </c>
      <c r="O1255" s="29" t="str">
        <f t="shared" si="133"/>
        <v/>
      </c>
      <c r="P1255" s="61"/>
      <c r="Q1255" s="61"/>
      <c r="R1255" s="61"/>
      <c r="S1255" s="45"/>
      <c r="T1255" s="29" t="str">
        <f t="shared" si="134"/>
        <v/>
      </c>
    </row>
    <row r="1256" spans="1:20">
      <c r="A1256" s="10" t="str">
        <f t="shared" si="139"/>
        <v/>
      </c>
      <c r="B1256" s="63"/>
      <c r="C1256" s="25" t="str">
        <f t="shared" si="135"/>
        <v/>
      </c>
      <c r="D1256" s="25" t="str">
        <f t="shared" si="136"/>
        <v/>
      </c>
      <c r="E1256" s="45"/>
      <c r="F1256" s="28" t="str">
        <f>IFERROR(VLOOKUP(E1256,Category!$D$2:$E$600,2,FALSE),"")</f>
        <v/>
      </c>
      <c r="G1256" s="65"/>
      <c r="H1256" s="56"/>
      <c r="I1256" s="66"/>
      <c r="J1256" s="67"/>
      <c r="K1256" s="67"/>
      <c r="L1256" s="67"/>
      <c r="M1256" s="29" t="str">
        <f t="shared" si="137"/>
        <v/>
      </c>
      <c r="N1256" s="29" t="str">
        <f t="shared" si="138"/>
        <v/>
      </c>
      <c r="O1256" s="29" t="str">
        <f t="shared" si="133"/>
        <v/>
      </c>
      <c r="P1256" s="61"/>
      <c r="Q1256" s="61"/>
      <c r="R1256" s="61"/>
      <c r="S1256" s="45"/>
      <c r="T1256" s="29" t="str">
        <f t="shared" si="134"/>
        <v/>
      </c>
    </row>
    <row r="1257" spans="1:20">
      <c r="A1257" s="10" t="str">
        <f t="shared" si="139"/>
        <v/>
      </c>
      <c r="B1257" s="63"/>
      <c r="C1257" s="25" t="str">
        <f t="shared" si="135"/>
        <v/>
      </c>
      <c r="D1257" s="25" t="str">
        <f t="shared" si="136"/>
        <v/>
      </c>
      <c r="E1257" s="45"/>
      <c r="F1257" s="28" t="str">
        <f>IFERROR(VLOOKUP(E1257,Category!$D$2:$E$600,2,FALSE),"")</f>
        <v/>
      </c>
      <c r="G1257" s="65"/>
      <c r="H1257" s="56"/>
      <c r="I1257" s="66"/>
      <c r="J1257" s="67"/>
      <c r="K1257" s="67"/>
      <c r="L1257" s="67"/>
      <c r="M1257" s="29" t="str">
        <f t="shared" si="137"/>
        <v/>
      </c>
      <c r="N1257" s="29" t="str">
        <f t="shared" si="138"/>
        <v/>
      </c>
      <c r="O1257" s="29" t="str">
        <f t="shared" si="133"/>
        <v/>
      </c>
      <c r="P1257" s="61"/>
      <c r="Q1257" s="61"/>
      <c r="R1257" s="61"/>
      <c r="S1257" s="45"/>
      <c r="T1257" s="29" t="str">
        <f t="shared" si="134"/>
        <v/>
      </c>
    </row>
    <row r="1258" spans="1:20">
      <c r="A1258" s="10" t="str">
        <f t="shared" si="139"/>
        <v/>
      </c>
      <c r="B1258" s="63"/>
      <c r="C1258" s="25" t="str">
        <f t="shared" si="135"/>
        <v/>
      </c>
      <c r="D1258" s="25" t="str">
        <f t="shared" si="136"/>
        <v/>
      </c>
      <c r="E1258" s="45"/>
      <c r="F1258" s="28" t="str">
        <f>IFERROR(VLOOKUP(E1258,Category!$D$2:$E$600,2,FALSE),"")</f>
        <v/>
      </c>
      <c r="G1258" s="65"/>
      <c r="H1258" s="56"/>
      <c r="I1258" s="66"/>
      <c r="J1258" s="67"/>
      <c r="K1258" s="67"/>
      <c r="L1258" s="67"/>
      <c r="M1258" s="29" t="str">
        <f t="shared" si="137"/>
        <v/>
      </c>
      <c r="N1258" s="29" t="str">
        <f t="shared" si="138"/>
        <v/>
      </c>
      <c r="O1258" s="29" t="str">
        <f t="shared" si="133"/>
        <v/>
      </c>
      <c r="P1258" s="61"/>
      <c r="Q1258" s="61"/>
      <c r="R1258" s="61"/>
      <c r="S1258" s="45"/>
      <c r="T1258" s="29" t="str">
        <f t="shared" si="134"/>
        <v/>
      </c>
    </row>
    <row r="1259" spans="1:20">
      <c r="A1259" s="10" t="str">
        <f t="shared" si="139"/>
        <v/>
      </c>
      <c r="B1259" s="63"/>
      <c r="C1259" s="25" t="str">
        <f t="shared" si="135"/>
        <v/>
      </c>
      <c r="D1259" s="25" t="str">
        <f t="shared" si="136"/>
        <v/>
      </c>
      <c r="E1259" s="45"/>
      <c r="F1259" s="28" t="str">
        <f>IFERROR(VLOOKUP(E1259,Category!$D$2:$E$600,2,FALSE),"")</f>
        <v/>
      </c>
      <c r="G1259" s="65"/>
      <c r="H1259" s="56"/>
      <c r="I1259" s="66"/>
      <c r="J1259" s="67"/>
      <c r="K1259" s="67"/>
      <c r="L1259" s="67"/>
      <c r="M1259" s="29" t="str">
        <f t="shared" si="137"/>
        <v/>
      </c>
      <c r="N1259" s="29" t="str">
        <f t="shared" si="138"/>
        <v/>
      </c>
      <c r="O1259" s="29" t="str">
        <f t="shared" si="133"/>
        <v/>
      </c>
      <c r="P1259" s="61"/>
      <c r="Q1259" s="61"/>
      <c r="R1259" s="61"/>
      <c r="S1259" s="45"/>
      <c r="T1259" s="29" t="str">
        <f t="shared" si="134"/>
        <v/>
      </c>
    </row>
    <row r="1260" spans="1:20">
      <c r="A1260" s="10" t="str">
        <f t="shared" si="139"/>
        <v/>
      </c>
      <c r="B1260" s="63"/>
      <c r="C1260" s="25" t="str">
        <f t="shared" si="135"/>
        <v/>
      </c>
      <c r="D1260" s="25" t="str">
        <f t="shared" si="136"/>
        <v/>
      </c>
      <c r="E1260" s="45"/>
      <c r="F1260" s="28" t="str">
        <f>IFERROR(VLOOKUP(E1260,Category!$D$2:$E$600,2,FALSE),"")</f>
        <v/>
      </c>
      <c r="G1260" s="65"/>
      <c r="H1260" s="56"/>
      <c r="I1260" s="66"/>
      <c r="J1260" s="67"/>
      <c r="K1260" s="67"/>
      <c r="L1260" s="67"/>
      <c r="M1260" s="29" t="str">
        <f t="shared" si="137"/>
        <v/>
      </c>
      <c r="N1260" s="29" t="str">
        <f t="shared" si="138"/>
        <v/>
      </c>
      <c r="O1260" s="29" t="str">
        <f t="shared" si="133"/>
        <v/>
      </c>
      <c r="P1260" s="61"/>
      <c r="Q1260" s="61"/>
      <c r="R1260" s="61"/>
      <c r="S1260" s="45"/>
      <c r="T1260" s="29" t="str">
        <f t="shared" si="134"/>
        <v/>
      </c>
    </row>
    <row r="1261" spans="1:20">
      <c r="A1261" s="10" t="str">
        <f t="shared" si="139"/>
        <v/>
      </c>
      <c r="B1261" s="63"/>
      <c r="C1261" s="25" t="str">
        <f t="shared" si="135"/>
        <v/>
      </c>
      <c r="D1261" s="25" t="str">
        <f t="shared" si="136"/>
        <v/>
      </c>
      <c r="E1261" s="45"/>
      <c r="F1261" s="28" t="str">
        <f>IFERROR(VLOOKUP(E1261,Category!$D$2:$E$600,2,FALSE),"")</f>
        <v/>
      </c>
      <c r="G1261" s="65"/>
      <c r="H1261" s="56"/>
      <c r="I1261" s="66"/>
      <c r="J1261" s="67"/>
      <c r="K1261" s="67"/>
      <c r="L1261" s="67"/>
      <c r="M1261" s="29" t="str">
        <f t="shared" si="137"/>
        <v/>
      </c>
      <c r="N1261" s="29" t="str">
        <f t="shared" si="138"/>
        <v/>
      </c>
      <c r="O1261" s="29" t="str">
        <f t="shared" si="133"/>
        <v/>
      </c>
      <c r="P1261" s="61"/>
      <c r="Q1261" s="61"/>
      <c r="R1261" s="61"/>
      <c r="S1261" s="45"/>
      <c r="T1261" s="29" t="str">
        <f t="shared" si="134"/>
        <v/>
      </c>
    </row>
    <row r="1262" spans="1:20">
      <c r="A1262" s="10" t="str">
        <f t="shared" si="139"/>
        <v/>
      </c>
      <c r="B1262" s="63"/>
      <c r="C1262" s="25" t="str">
        <f t="shared" si="135"/>
        <v/>
      </c>
      <c r="D1262" s="25" t="str">
        <f t="shared" si="136"/>
        <v/>
      </c>
      <c r="E1262" s="45"/>
      <c r="F1262" s="28" t="str">
        <f>IFERROR(VLOOKUP(E1262,Category!$D$2:$E$600,2,FALSE),"")</f>
        <v/>
      </c>
      <c r="G1262" s="65"/>
      <c r="H1262" s="56"/>
      <c r="I1262" s="66"/>
      <c r="J1262" s="67"/>
      <c r="K1262" s="67"/>
      <c r="L1262" s="67"/>
      <c r="M1262" s="29" t="str">
        <f t="shared" si="137"/>
        <v/>
      </c>
      <c r="N1262" s="29" t="str">
        <f t="shared" si="138"/>
        <v/>
      </c>
      <c r="O1262" s="29" t="str">
        <f t="shared" si="133"/>
        <v/>
      </c>
      <c r="P1262" s="61"/>
      <c r="Q1262" s="61"/>
      <c r="R1262" s="61"/>
      <c r="S1262" s="45"/>
      <c r="T1262" s="29" t="str">
        <f t="shared" si="134"/>
        <v/>
      </c>
    </row>
    <row r="1263" spans="1:20">
      <c r="A1263" s="10" t="str">
        <f t="shared" si="139"/>
        <v/>
      </c>
      <c r="B1263" s="63"/>
      <c r="C1263" s="25" t="str">
        <f t="shared" si="135"/>
        <v/>
      </c>
      <c r="D1263" s="25" t="str">
        <f t="shared" si="136"/>
        <v/>
      </c>
      <c r="E1263" s="45"/>
      <c r="F1263" s="28" t="str">
        <f>IFERROR(VLOOKUP(E1263,Category!$D$2:$E$600,2,FALSE),"")</f>
        <v/>
      </c>
      <c r="G1263" s="65"/>
      <c r="H1263" s="56"/>
      <c r="I1263" s="66"/>
      <c r="J1263" s="67"/>
      <c r="K1263" s="67"/>
      <c r="L1263" s="67"/>
      <c r="M1263" s="29" t="str">
        <f t="shared" si="137"/>
        <v/>
      </c>
      <c r="N1263" s="29" t="str">
        <f t="shared" si="138"/>
        <v/>
      </c>
      <c r="O1263" s="29" t="str">
        <f t="shared" si="133"/>
        <v/>
      </c>
      <c r="P1263" s="61"/>
      <c r="Q1263" s="61"/>
      <c r="R1263" s="61"/>
      <c r="S1263" s="45"/>
      <c r="T1263" s="29" t="str">
        <f t="shared" si="134"/>
        <v/>
      </c>
    </row>
    <row r="1264" spans="1:20">
      <c r="A1264" s="10" t="str">
        <f t="shared" si="139"/>
        <v/>
      </c>
      <c r="B1264" s="63"/>
      <c r="C1264" s="25" t="str">
        <f t="shared" si="135"/>
        <v/>
      </c>
      <c r="D1264" s="25" t="str">
        <f t="shared" si="136"/>
        <v/>
      </c>
      <c r="E1264" s="45"/>
      <c r="F1264" s="28" t="str">
        <f>IFERROR(VLOOKUP(E1264,Category!$D$2:$E$600,2,FALSE),"")</f>
        <v/>
      </c>
      <c r="G1264" s="65"/>
      <c r="H1264" s="56"/>
      <c r="I1264" s="66"/>
      <c r="J1264" s="67"/>
      <c r="K1264" s="67"/>
      <c r="L1264" s="67"/>
      <c r="M1264" s="29" t="str">
        <f t="shared" si="137"/>
        <v/>
      </c>
      <c r="N1264" s="29" t="str">
        <f t="shared" si="138"/>
        <v/>
      </c>
      <c r="O1264" s="29" t="str">
        <f t="shared" si="133"/>
        <v/>
      </c>
      <c r="P1264" s="61"/>
      <c r="Q1264" s="61"/>
      <c r="R1264" s="61"/>
      <c r="S1264" s="45"/>
      <c r="T1264" s="29" t="str">
        <f t="shared" si="134"/>
        <v/>
      </c>
    </row>
    <row r="1265" spans="1:20">
      <c r="A1265" s="10" t="str">
        <f t="shared" si="139"/>
        <v/>
      </c>
      <c r="B1265" s="63"/>
      <c r="C1265" s="25" t="str">
        <f t="shared" si="135"/>
        <v/>
      </c>
      <c r="D1265" s="25" t="str">
        <f t="shared" si="136"/>
        <v/>
      </c>
      <c r="E1265" s="45"/>
      <c r="F1265" s="28" t="str">
        <f>IFERROR(VLOOKUP(E1265,Category!$D$2:$E$600,2,FALSE),"")</f>
        <v/>
      </c>
      <c r="G1265" s="65"/>
      <c r="H1265" s="56"/>
      <c r="I1265" s="66"/>
      <c r="J1265" s="67"/>
      <c r="K1265" s="67"/>
      <c r="L1265" s="67"/>
      <c r="M1265" s="29" t="str">
        <f t="shared" si="137"/>
        <v/>
      </c>
      <c r="N1265" s="29" t="str">
        <f t="shared" si="138"/>
        <v/>
      </c>
      <c r="O1265" s="29" t="str">
        <f t="shared" si="133"/>
        <v/>
      </c>
      <c r="P1265" s="61"/>
      <c r="Q1265" s="61"/>
      <c r="R1265" s="61"/>
      <c r="S1265" s="45"/>
      <c r="T1265" s="29" t="str">
        <f t="shared" si="134"/>
        <v/>
      </c>
    </row>
    <row r="1266" spans="1:20">
      <c r="A1266" s="10" t="str">
        <f t="shared" si="139"/>
        <v/>
      </c>
      <c r="B1266" s="63"/>
      <c r="C1266" s="25" t="str">
        <f t="shared" si="135"/>
        <v/>
      </c>
      <c r="D1266" s="25" t="str">
        <f t="shared" si="136"/>
        <v/>
      </c>
      <c r="E1266" s="45"/>
      <c r="F1266" s="28" t="str">
        <f>IFERROR(VLOOKUP(E1266,Category!$D$2:$E$600,2,FALSE),"")</f>
        <v/>
      </c>
      <c r="G1266" s="65"/>
      <c r="H1266" s="56"/>
      <c r="I1266" s="66"/>
      <c r="J1266" s="67"/>
      <c r="K1266" s="67"/>
      <c r="L1266" s="67"/>
      <c r="M1266" s="29" t="str">
        <f t="shared" si="137"/>
        <v/>
      </c>
      <c r="N1266" s="29" t="str">
        <f t="shared" si="138"/>
        <v/>
      </c>
      <c r="O1266" s="29" t="str">
        <f t="shared" si="133"/>
        <v/>
      </c>
      <c r="P1266" s="61"/>
      <c r="Q1266" s="61"/>
      <c r="R1266" s="61"/>
      <c r="S1266" s="45"/>
      <c r="T1266" s="29" t="str">
        <f t="shared" si="134"/>
        <v/>
      </c>
    </row>
    <row r="1267" spans="1:20">
      <c r="A1267" s="10" t="str">
        <f t="shared" si="139"/>
        <v/>
      </c>
      <c r="B1267" s="63"/>
      <c r="C1267" s="25" t="str">
        <f t="shared" si="135"/>
        <v/>
      </c>
      <c r="D1267" s="25" t="str">
        <f t="shared" si="136"/>
        <v/>
      </c>
      <c r="E1267" s="45"/>
      <c r="F1267" s="28" t="str">
        <f>IFERROR(VLOOKUP(E1267,Category!$D$2:$E$600,2,FALSE),"")</f>
        <v/>
      </c>
      <c r="G1267" s="65"/>
      <c r="H1267" s="56"/>
      <c r="I1267" s="66"/>
      <c r="J1267" s="67"/>
      <c r="K1267" s="67"/>
      <c r="L1267" s="67"/>
      <c r="M1267" s="29" t="str">
        <f t="shared" si="137"/>
        <v/>
      </c>
      <c r="N1267" s="29" t="str">
        <f t="shared" si="138"/>
        <v/>
      </c>
      <c r="O1267" s="29" t="str">
        <f t="shared" si="133"/>
        <v/>
      </c>
      <c r="P1267" s="61"/>
      <c r="Q1267" s="61"/>
      <c r="R1267" s="61"/>
      <c r="S1267" s="45"/>
      <c r="T1267" s="29" t="str">
        <f t="shared" si="134"/>
        <v/>
      </c>
    </row>
    <row r="1268" spans="1:20">
      <c r="A1268" s="10" t="str">
        <f t="shared" si="139"/>
        <v/>
      </c>
      <c r="B1268" s="63"/>
      <c r="C1268" s="25" t="str">
        <f t="shared" si="135"/>
        <v/>
      </c>
      <c r="D1268" s="25" t="str">
        <f t="shared" si="136"/>
        <v/>
      </c>
      <c r="E1268" s="45"/>
      <c r="F1268" s="28" t="str">
        <f>IFERROR(VLOOKUP(E1268,Category!$D$2:$E$600,2,FALSE),"")</f>
        <v/>
      </c>
      <c r="G1268" s="65"/>
      <c r="H1268" s="56"/>
      <c r="I1268" s="66"/>
      <c r="J1268" s="67"/>
      <c r="K1268" s="67"/>
      <c r="L1268" s="67"/>
      <c r="M1268" s="29" t="str">
        <f t="shared" si="137"/>
        <v/>
      </c>
      <c r="N1268" s="29" t="str">
        <f t="shared" si="138"/>
        <v/>
      </c>
      <c r="O1268" s="29" t="str">
        <f t="shared" si="133"/>
        <v/>
      </c>
      <c r="P1268" s="61"/>
      <c r="Q1268" s="61"/>
      <c r="R1268" s="61"/>
      <c r="S1268" s="45"/>
      <c r="T1268" s="29" t="str">
        <f t="shared" si="134"/>
        <v/>
      </c>
    </row>
    <row r="1269" spans="1:20">
      <c r="A1269" s="10" t="str">
        <f t="shared" si="139"/>
        <v/>
      </c>
      <c r="B1269" s="63"/>
      <c r="C1269" s="25" t="str">
        <f t="shared" si="135"/>
        <v/>
      </c>
      <c r="D1269" s="25" t="str">
        <f t="shared" si="136"/>
        <v/>
      </c>
      <c r="E1269" s="45"/>
      <c r="F1269" s="28" t="str">
        <f>IFERROR(VLOOKUP(E1269,Category!$D$2:$E$600,2,FALSE),"")</f>
        <v/>
      </c>
      <c r="G1269" s="65"/>
      <c r="H1269" s="56"/>
      <c r="I1269" s="66"/>
      <c r="J1269" s="67"/>
      <c r="K1269" s="67"/>
      <c r="L1269" s="67"/>
      <c r="M1269" s="29" t="str">
        <f t="shared" si="137"/>
        <v/>
      </c>
      <c r="N1269" s="29" t="str">
        <f t="shared" si="138"/>
        <v/>
      </c>
      <c r="O1269" s="29" t="str">
        <f t="shared" si="133"/>
        <v/>
      </c>
      <c r="P1269" s="61"/>
      <c r="Q1269" s="61"/>
      <c r="R1269" s="61"/>
      <c r="S1269" s="45"/>
      <c r="T1269" s="29" t="str">
        <f t="shared" si="134"/>
        <v/>
      </c>
    </row>
    <row r="1270" spans="1:20">
      <c r="A1270" s="10" t="str">
        <f t="shared" si="139"/>
        <v/>
      </c>
      <c r="B1270" s="63"/>
      <c r="C1270" s="25" t="str">
        <f t="shared" si="135"/>
        <v/>
      </c>
      <c r="D1270" s="25" t="str">
        <f t="shared" si="136"/>
        <v/>
      </c>
      <c r="E1270" s="45"/>
      <c r="F1270" s="28" t="str">
        <f>IFERROR(VLOOKUP(E1270,Category!$D$2:$E$600,2,FALSE),"")</f>
        <v/>
      </c>
      <c r="G1270" s="65"/>
      <c r="H1270" s="56"/>
      <c r="I1270" s="66"/>
      <c r="J1270" s="67"/>
      <c r="K1270" s="67"/>
      <c r="L1270" s="67"/>
      <c r="M1270" s="29" t="str">
        <f t="shared" si="137"/>
        <v/>
      </c>
      <c r="N1270" s="29" t="str">
        <f t="shared" si="138"/>
        <v/>
      </c>
      <c r="O1270" s="29" t="str">
        <f t="shared" si="133"/>
        <v/>
      </c>
      <c r="P1270" s="61"/>
      <c r="Q1270" s="61"/>
      <c r="R1270" s="61"/>
      <c r="S1270" s="45"/>
      <c r="T1270" s="29" t="str">
        <f t="shared" si="134"/>
        <v/>
      </c>
    </row>
    <row r="1271" spans="1:20">
      <c r="A1271" s="10" t="str">
        <f t="shared" si="139"/>
        <v/>
      </c>
      <c r="B1271" s="63"/>
      <c r="C1271" s="25" t="str">
        <f t="shared" si="135"/>
        <v/>
      </c>
      <c r="D1271" s="25" t="str">
        <f t="shared" si="136"/>
        <v/>
      </c>
      <c r="E1271" s="45"/>
      <c r="F1271" s="28" t="str">
        <f>IFERROR(VLOOKUP(E1271,Category!$D$2:$E$600,2,FALSE),"")</f>
        <v/>
      </c>
      <c r="G1271" s="65"/>
      <c r="H1271" s="56"/>
      <c r="I1271" s="66"/>
      <c r="J1271" s="67"/>
      <c r="K1271" s="67"/>
      <c r="L1271" s="67"/>
      <c r="M1271" s="29" t="str">
        <f t="shared" si="137"/>
        <v/>
      </c>
      <c r="N1271" s="29" t="str">
        <f t="shared" si="138"/>
        <v/>
      </c>
      <c r="O1271" s="29" t="str">
        <f t="shared" si="133"/>
        <v/>
      </c>
      <c r="P1271" s="61"/>
      <c r="Q1271" s="61"/>
      <c r="R1271" s="61"/>
      <c r="S1271" s="45"/>
      <c r="T1271" s="29" t="str">
        <f t="shared" si="134"/>
        <v/>
      </c>
    </row>
    <row r="1272" spans="1:20">
      <c r="A1272" s="10" t="str">
        <f t="shared" si="139"/>
        <v/>
      </c>
      <c r="B1272" s="63"/>
      <c r="C1272" s="25" t="str">
        <f t="shared" si="135"/>
        <v/>
      </c>
      <c r="D1272" s="25" t="str">
        <f t="shared" si="136"/>
        <v/>
      </c>
      <c r="E1272" s="45"/>
      <c r="F1272" s="28" t="str">
        <f>IFERROR(VLOOKUP(E1272,Category!$D$2:$E$600,2,FALSE),"")</f>
        <v/>
      </c>
      <c r="G1272" s="65"/>
      <c r="H1272" s="56"/>
      <c r="I1272" s="66"/>
      <c r="J1272" s="67"/>
      <c r="K1272" s="67"/>
      <c r="L1272" s="67"/>
      <c r="M1272" s="29" t="str">
        <f t="shared" si="137"/>
        <v/>
      </c>
      <c r="N1272" s="29" t="str">
        <f t="shared" si="138"/>
        <v/>
      </c>
      <c r="O1272" s="29" t="str">
        <f t="shared" si="133"/>
        <v/>
      </c>
      <c r="P1272" s="61"/>
      <c r="Q1272" s="61"/>
      <c r="R1272" s="61"/>
      <c r="S1272" s="45"/>
      <c r="T1272" s="29" t="str">
        <f t="shared" si="134"/>
        <v/>
      </c>
    </row>
    <row r="1273" spans="1:20">
      <c r="A1273" s="10" t="str">
        <f t="shared" si="139"/>
        <v/>
      </c>
      <c r="B1273" s="63"/>
      <c r="C1273" s="25" t="str">
        <f t="shared" si="135"/>
        <v/>
      </c>
      <c r="D1273" s="25" t="str">
        <f t="shared" si="136"/>
        <v/>
      </c>
      <c r="E1273" s="45"/>
      <c r="F1273" s="28" t="str">
        <f>IFERROR(VLOOKUP(E1273,Category!$D$2:$E$600,2,FALSE),"")</f>
        <v/>
      </c>
      <c r="G1273" s="65"/>
      <c r="H1273" s="56"/>
      <c r="I1273" s="66"/>
      <c r="J1273" s="67"/>
      <c r="K1273" s="67"/>
      <c r="L1273" s="67"/>
      <c r="M1273" s="29" t="str">
        <f t="shared" si="137"/>
        <v/>
      </c>
      <c r="N1273" s="29" t="str">
        <f t="shared" si="138"/>
        <v/>
      </c>
      <c r="O1273" s="29" t="str">
        <f t="shared" si="133"/>
        <v/>
      </c>
      <c r="P1273" s="61"/>
      <c r="Q1273" s="61"/>
      <c r="R1273" s="61"/>
      <c r="S1273" s="45"/>
      <c r="T1273" s="29" t="str">
        <f t="shared" si="134"/>
        <v/>
      </c>
    </row>
    <row r="1274" spans="1:20">
      <c r="A1274" s="10" t="str">
        <f t="shared" si="139"/>
        <v/>
      </c>
      <c r="B1274" s="63"/>
      <c r="C1274" s="25" t="str">
        <f t="shared" si="135"/>
        <v/>
      </c>
      <c r="D1274" s="25" t="str">
        <f t="shared" si="136"/>
        <v/>
      </c>
      <c r="E1274" s="45"/>
      <c r="F1274" s="28" t="str">
        <f>IFERROR(VLOOKUP(E1274,Category!$D$2:$E$600,2,FALSE),"")</f>
        <v/>
      </c>
      <c r="G1274" s="65"/>
      <c r="H1274" s="56"/>
      <c r="I1274" s="66"/>
      <c r="J1274" s="67"/>
      <c r="K1274" s="67"/>
      <c r="L1274" s="67"/>
      <c r="M1274" s="29" t="str">
        <f t="shared" si="137"/>
        <v/>
      </c>
      <c r="N1274" s="29" t="str">
        <f t="shared" si="138"/>
        <v/>
      </c>
      <c r="O1274" s="29" t="str">
        <f t="shared" si="133"/>
        <v/>
      </c>
      <c r="P1274" s="61"/>
      <c r="Q1274" s="61"/>
      <c r="R1274" s="61"/>
      <c r="S1274" s="45"/>
      <c r="T1274" s="29" t="str">
        <f t="shared" si="134"/>
        <v/>
      </c>
    </row>
    <row r="1275" spans="1:20">
      <c r="A1275" s="10" t="str">
        <f t="shared" si="139"/>
        <v/>
      </c>
      <c r="B1275" s="63"/>
      <c r="C1275" s="25" t="str">
        <f t="shared" si="135"/>
        <v/>
      </c>
      <c r="D1275" s="25" t="str">
        <f t="shared" si="136"/>
        <v/>
      </c>
      <c r="E1275" s="45"/>
      <c r="F1275" s="28" t="str">
        <f>IFERROR(VLOOKUP(E1275,Category!$D$2:$E$600,2,FALSE),"")</f>
        <v/>
      </c>
      <c r="G1275" s="65"/>
      <c r="H1275" s="56"/>
      <c r="I1275" s="66"/>
      <c r="J1275" s="67"/>
      <c r="K1275" s="67"/>
      <c r="L1275" s="67"/>
      <c r="M1275" s="29" t="str">
        <f t="shared" si="137"/>
        <v/>
      </c>
      <c r="N1275" s="29" t="str">
        <f t="shared" si="138"/>
        <v/>
      </c>
      <c r="O1275" s="29" t="str">
        <f t="shared" si="133"/>
        <v/>
      </c>
      <c r="P1275" s="61"/>
      <c r="Q1275" s="61"/>
      <c r="R1275" s="61"/>
      <c r="S1275" s="45"/>
      <c r="T1275" s="29" t="str">
        <f t="shared" si="134"/>
        <v/>
      </c>
    </row>
    <row r="1276" spans="1:20">
      <c r="A1276" s="10" t="str">
        <f t="shared" si="139"/>
        <v/>
      </c>
      <c r="B1276" s="63"/>
      <c r="C1276" s="25" t="str">
        <f t="shared" si="135"/>
        <v/>
      </c>
      <c r="D1276" s="25" t="str">
        <f t="shared" si="136"/>
        <v/>
      </c>
      <c r="E1276" s="45"/>
      <c r="F1276" s="28" t="str">
        <f>IFERROR(VLOOKUP(E1276,Category!$D$2:$E$600,2,FALSE),"")</f>
        <v/>
      </c>
      <c r="G1276" s="65"/>
      <c r="H1276" s="56"/>
      <c r="I1276" s="66"/>
      <c r="J1276" s="67"/>
      <c r="K1276" s="67"/>
      <c r="L1276" s="67"/>
      <c r="M1276" s="29" t="str">
        <f t="shared" si="137"/>
        <v/>
      </c>
      <c r="N1276" s="29" t="str">
        <f t="shared" si="138"/>
        <v/>
      </c>
      <c r="O1276" s="29" t="str">
        <f t="shared" si="133"/>
        <v/>
      </c>
      <c r="P1276" s="61"/>
      <c r="Q1276" s="61"/>
      <c r="R1276" s="61"/>
      <c r="S1276" s="45"/>
      <c r="T1276" s="29" t="str">
        <f t="shared" si="134"/>
        <v/>
      </c>
    </row>
    <row r="1277" spans="1:20">
      <c r="A1277" s="10" t="str">
        <f t="shared" si="139"/>
        <v/>
      </c>
      <c r="B1277" s="63"/>
      <c r="C1277" s="25" t="str">
        <f t="shared" si="135"/>
        <v/>
      </c>
      <c r="D1277" s="25" t="str">
        <f t="shared" si="136"/>
        <v/>
      </c>
      <c r="E1277" s="45"/>
      <c r="F1277" s="28" t="str">
        <f>IFERROR(VLOOKUP(E1277,Category!$D$2:$E$600,2,FALSE),"")</f>
        <v/>
      </c>
      <c r="G1277" s="65"/>
      <c r="H1277" s="56"/>
      <c r="I1277" s="66"/>
      <c r="J1277" s="67"/>
      <c r="K1277" s="67"/>
      <c r="L1277" s="67"/>
      <c r="M1277" s="29" t="str">
        <f t="shared" si="137"/>
        <v/>
      </c>
      <c r="N1277" s="29" t="str">
        <f t="shared" si="138"/>
        <v/>
      </c>
      <c r="O1277" s="29" t="str">
        <f t="shared" si="133"/>
        <v/>
      </c>
      <c r="P1277" s="61"/>
      <c r="Q1277" s="61"/>
      <c r="R1277" s="61"/>
      <c r="S1277" s="45"/>
      <c r="T1277" s="29" t="str">
        <f t="shared" si="134"/>
        <v/>
      </c>
    </row>
    <row r="1278" spans="1:20">
      <c r="A1278" s="10" t="str">
        <f t="shared" si="139"/>
        <v/>
      </c>
      <c r="B1278" s="63"/>
      <c r="C1278" s="25" t="str">
        <f t="shared" si="135"/>
        <v/>
      </c>
      <c r="D1278" s="25" t="str">
        <f t="shared" si="136"/>
        <v/>
      </c>
      <c r="E1278" s="45"/>
      <c r="F1278" s="28" t="str">
        <f>IFERROR(VLOOKUP(E1278,Category!$D$2:$E$600,2,FALSE),"")</f>
        <v/>
      </c>
      <c r="G1278" s="65"/>
      <c r="H1278" s="56"/>
      <c r="I1278" s="66"/>
      <c r="J1278" s="67"/>
      <c r="K1278" s="67"/>
      <c r="L1278" s="67"/>
      <c r="M1278" s="29" t="str">
        <f t="shared" si="137"/>
        <v/>
      </c>
      <c r="N1278" s="29" t="str">
        <f t="shared" si="138"/>
        <v/>
      </c>
      <c r="O1278" s="29" t="str">
        <f t="shared" si="133"/>
        <v/>
      </c>
      <c r="P1278" s="61"/>
      <c r="Q1278" s="61"/>
      <c r="R1278" s="61"/>
      <c r="S1278" s="45"/>
      <c r="T1278" s="29" t="str">
        <f t="shared" si="134"/>
        <v/>
      </c>
    </row>
    <row r="1279" spans="1:20">
      <c r="A1279" s="10" t="str">
        <f t="shared" si="139"/>
        <v/>
      </c>
      <c r="B1279" s="63"/>
      <c r="C1279" s="25" t="str">
        <f t="shared" si="135"/>
        <v/>
      </c>
      <c r="D1279" s="25" t="str">
        <f t="shared" si="136"/>
        <v/>
      </c>
      <c r="E1279" s="45"/>
      <c r="F1279" s="28" t="str">
        <f>IFERROR(VLOOKUP(E1279,Category!$D$2:$E$600,2,FALSE),"")</f>
        <v/>
      </c>
      <c r="G1279" s="65"/>
      <c r="H1279" s="56"/>
      <c r="I1279" s="66"/>
      <c r="J1279" s="67"/>
      <c r="K1279" s="67"/>
      <c r="L1279" s="67"/>
      <c r="M1279" s="29" t="str">
        <f t="shared" si="137"/>
        <v/>
      </c>
      <c r="N1279" s="29" t="str">
        <f t="shared" si="138"/>
        <v/>
      </c>
      <c r="O1279" s="29" t="str">
        <f t="shared" si="133"/>
        <v/>
      </c>
      <c r="P1279" s="61"/>
      <c r="Q1279" s="61"/>
      <c r="R1279" s="61"/>
      <c r="S1279" s="45"/>
      <c r="T1279" s="29" t="str">
        <f t="shared" si="134"/>
        <v/>
      </c>
    </row>
    <row r="1280" spans="1:20">
      <c r="A1280" s="10" t="str">
        <f t="shared" si="139"/>
        <v/>
      </c>
      <c r="B1280" s="63"/>
      <c r="C1280" s="25" t="str">
        <f t="shared" si="135"/>
        <v/>
      </c>
      <c r="D1280" s="25" t="str">
        <f t="shared" si="136"/>
        <v/>
      </c>
      <c r="E1280" s="45"/>
      <c r="F1280" s="28" t="str">
        <f>IFERROR(VLOOKUP(E1280,Category!$D$2:$E$600,2,FALSE),"")</f>
        <v/>
      </c>
      <c r="G1280" s="65"/>
      <c r="H1280" s="56"/>
      <c r="I1280" s="66"/>
      <c r="J1280" s="67"/>
      <c r="K1280" s="67"/>
      <c r="L1280" s="67"/>
      <c r="M1280" s="29" t="str">
        <f t="shared" si="137"/>
        <v/>
      </c>
      <c r="N1280" s="29" t="str">
        <f t="shared" si="138"/>
        <v/>
      </c>
      <c r="O1280" s="29" t="str">
        <f t="shared" si="133"/>
        <v/>
      </c>
      <c r="P1280" s="61"/>
      <c r="Q1280" s="61"/>
      <c r="R1280" s="61"/>
      <c r="S1280" s="45"/>
      <c r="T1280" s="29" t="str">
        <f t="shared" si="134"/>
        <v/>
      </c>
    </row>
    <row r="1281" spans="1:20">
      <c r="A1281" s="10" t="str">
        <f t="shared" si="139"/>
        <v/>
      </c>
      <c r="B1281" s="63"/>
      <c r="C1281" s="25" t="str">
        <f t="shared" si="135"/>
        <v/>
      </c>
      <c r="D1281" s="25" t="str">
        <f t="shared" si="136"/>
        <v/>
      </c>
      <c r="E1281" s="45"/>
      <c r="F1281" s="28" t="str">
        <f>IFERROR(VLOOKUP(E1281,Category!$D$2:$E$600,2,FALSE),"")</f>
        <v/>
      </c>
      <c r="G1281" s="65"/>
      <c r="H1281" s="56"/>
      <c r="I1281" s="66"/>
      <c r="J1281" s="67"/>
      <c r="K1281" s="67"/>
      <c r="L1281" s="67"/>
      <c r="M1281" s="29" t="str">
        <f t="shared" si="137"/>
        <v/>
      </c>
      <c r="N1281" s="29" t="str">
        <f t="shared" si="138"/>
        <v/>
      </c>
      <c r="O1281" s="29" t="str">
        <f t="shared" si="133"/>
        <v/>
      </c>
      <c r="P1281" s="61"/>
      <c r="Q1281" s="61"/>
      <c r="R1281" s="61"/>
      <c r="S1281" s="45"/>
      <c r="T1281" s="29" t="str">
        <f t="shared" si="134"/>
        <v/>
      </c>
    </row>
    <row r="1282" spans="1:20">
      <c r="A1282" s="10" t="str">
        <f t="shared" si="139"/>
        <v/>
      </c>
      <c r="B1282" s="63"/>
      <c r="C1282" s="25" t="str">
        <f t="shared" si="135"/>
        <v/>
      </c>
      <c r="D1282" s="25" t="str">
        <f t="shared" si="136"/>
        <v/>
      </c>
      <c r="E1282" s="45"/>
      <c r="F1282" s="28" t="str">
        <f>IFERROR(VLOOKUP(E1282,Category!$D$2:$E$600,2,FALSE),"")</f>
        <v/>
      </c>
      <c r="G1282" s="65"/>
      <c r="H1282" s="56"/>
      <c r="I1282" s="66"/>
      <c r="J1282" s="67"/>
      <c r="K1282" s="67"/>
      <c r="L1282" s="67"/>
      <c r="M1282" s="29" t="str">
        <f t="shared" si="137"/>
        <v/>
      </c>
      <c r="N1282" s="29" t="str">
        <f t="shared" si="138"/>
        <v/>
      </c>
      <c r="O1282" s="29" t="str">
        <f t="shared" ref="O1282:O1345" si="140">IF(H1282*I1282=0,"",H1282*I1282)</f>
        <v/>
      </c>
      <c r="P1282" s="61"/>
      <c r="Q1282" s="61"/>
      <c r="R1282" s="61"/>
      <c r="S1282" s="45"/>
      <c r="T1282" s="29" t="str">
        <f t="shared" ref="T1282:T1345" si="141">IF(R1282="paid",(H1282*I1282)-(G1282*H1282),"")</f>
        <v/>
      </c>
    </row>
    <row r="1283" spans="1:20">
      <c r="A1283" s="10" t="str">
        <f t="shared" si="139"/>
        <v/>
      </c>
      <c r="B1283" s="63"/>
      <c r="C1283" s="25" t="str">
        <f t="shared" ref="C1283:C1346" si="142">IF(B1283=0,"",TEXT(B1283,"mmmm"))</f>
        <v/>
      </c>
      <c r="D1283" s="25" t="str">
        <f t="shared" ref="D1283:D1346" si="143">IF(B1283=0,"",TEXT(B1283,"yyyy"))</f>
        <v/>
      </c>
      <c r="E1283" s="45"/>
      <c r="F1283" s="28" t="str">
        <f>IFERROR(VLOOKUP(E1283,Category!$D$2:$E$600,2,FALSE),"")</f>
        <v/>
      </c>
      <c r="G1283" s="65"/>
      <c r="H1283" s="56"/>
      <c r="I1283" s="66"/>
      <c r="J1283" s="67"/>
      <c r="K1283" s="67"/>
      <c r="L1283" s="67"/>
      <c r="M1283" s="29" t="str">
        <f t="shared" ref="M1283:M1346" si="144">IFERROR(IF(O1283&gt;0,IF(R1283="Paid","",O1283-J1283),""),"")</f>
        <v/>
      </c>
      <c r="N1283" s="29" t="str">
        <f t="shared" ref="N1283:N1346" si="145">IF(J1283&gt;0,IF(R1283="Paid",O1283-J1283,""),"")</f>
        <v/>
      </c>
      <c r="O1283" s="29" t="str">
        <f t="shared" si="140"/>
        <v/>
      </c>
      <c r="P1283" s="61"/>
      <c r="Q1283" s="61"/>
      <c r="R1283" s="61"/>
      <c r="S1283" s="45"/>
      <c r="T1283" s="29" t="str">
        <f t="shared" si="141"/>
        <v/>
      </c>
    </row>
    <row r="1284" spans="1:20">
      <c r="A1284" s="10" t="str">
        <f t="shared" ref="A1284:A1347" si="146">IF(E1284&gt;0,A1283+1,"")</f>
        <v/>
      </c>
      <c r="B1284" s="63"/>
      <c r="C1284" s="25" t="str">
        <f t="shared" si="142"/>
        <v/>
      </c>
      <c r="D1284" s="25" t="str">
        <f t="shared" si="143"/>
        <v/>
      </c>
      <c r="E1284" s="45"/>
      <c r="F1284" s="28" t="str">
        <f>IFERROR(VLOOKUP(E1284,Category!$D$2:$E$600,2,FALSE),"")</f>
        <v/>
      </c>
      <c r="G1284" s="65"/>
      <c r="H1284" s="56"/>
      <c r="I1284" s="66"/>
      <c r="J1284" s="67"/>
      <c r="K1284" s="67"/>
      <c r="L1284" s="67"/>
      <c r="M1284" s="29" t="str">
        <f t="shared" si="144"/>
        <v/>
      </c>
      <c r="N1284" s="29" t="str">
        <f t="shared" si="145"/>
        <v/>
      </c>
      <c r="O1284" s="29" t="str">
        <f t="shared" si="140"/>
        <v/>
      </c>
      <c r="P1284" s="61"/>
      <c r="Q1284" s="61"/>
      <c r="R1284" s="61"/>
      <c r="S1284" s="45"/>
      <c r="T1284" s="29" t="str">
        <f t="shared" si="141"/>
        <v/>
      </c>
    </row>
    <row r="1285" spans="1:20">
      <c r="A1285" s="10" t="str">
        <f t="shared" si="146"/>
        <v/>
      </c>
      <c r="B1285" s="63"/>
      <c r="C1285" s="25" t="str">
        <f t="shared" si="142"/>
        <v/>
      </c>
      <c r="D1285" s="25" t="str">
        <f t="shared" si="143"/>
        <v/>
      </c>
      <c r="E1285" s="45"/>
      <c r="F1285" s="28" t="str">
        <f>IFERROR(VLOOKUP(E1285,Category!$D$2:$E$600,2,FALSE),"")</f>
        <v/>
      </c>
      <c r="G1285" s="65"/>
      <c r="H1285" s="56"/>
      <c r="I1285" s="66"/>
      <c r="J1285" s="67"/>
      <c r="K1285" s="67"/>
      <c r="L1285" s="67"/>
      <c r="M1285" s="29" t="str">
        <f t="shared" si="144"/>
        <v/>
      </c>
      <c r="N1285" s="29" t="str">
        <f t="shared" si="145"/>
        <v/>
      </c>
      <c r="O1285" s="29" t="str">
        <f t="shared" si="140"/>
        <v/>
      </c>
      <c r="P1285" s="61"/>
      <c r="Q1285" s="61"/>
      <c r="R1285" s="61"/>
      <c r="S1285" s="45"/>
      <c r="T1285" s="29" t="str">
        <f t="shared" si="141"/>
        <v/>
      </c>
    </row>
    <row r="1286" spans="1:20">
      <c r="A1286" s="10" t="str">
        <f t="shared" si="146"/>
        <v/>
      </c>
      <c r="B1286" s="63"/>
      <c r="C1286" s="25" t="str">
        <f t="shared" si="142"/>
        <v/>
      </c>
      <c r="D1286" s="25" t="str">
        <f t="shared" si="143"/>
        <v/>
      </c>
      <c r="E1286" s="45"/>
      <c r="F1286" s="28" t="str">
        <f>IFERROR(VLOOKUP(E1286,Category!$D$2:$E$600,2,FALSE),"")</f>
        <v/>
      </c>
      <c r="G1286" s="65"/>
      <c r="H1286" s="56"/>
      <c r="I1286" s="66"/>
      <c r="J1286" s="67"/>
      <c r="K1286" s="67"/>
      <c r="L1286" s="67"/>
      <c r="M1286" s="29" t="str">
        <f t="shared" si="144"/>
        <v/>
      </c>
      <c r="N1286" s="29" t="str">
        <f t="shared" si="145"/>
        <v/>
      </c>
      <c r="O1286" s="29" t="str">
        <f t="shared" si="140"/>
        <v/>
      </c>
      <c r="P1286" s="61"/>
      <c r="Q1286" s="61"/>
      <c r="R1286" s="61"/>
      <c r="S1286" s="45"/>
      <c r="T1286" s="29" t="str">
        <f t="shared" si="141"/>
        <v/>
      </c>
    </row>
    <row r="1287" spans="1:20">
      <c r="A1287" s="10" t="str">
        <f t="shared" si="146"/>
        <v/>
      </c>
      <c r="B1287" s="63"/>
      <c r="C1287" s="25" t="str">
        <f t="shared" si="142"/>
        <v/>
      </c>
      <c r="D1287" s="25" t="str">
        <f t="shared" si="143"/>
        <v/>
      </c>
      <c r="E1287" s="45"/>
      <c r="F1287" s="28" t="str">
        <f>IFERROR(VLOOKUP(E1287,Category!$D$2:$E$600,2,FALSE),"")</f>
        <v/>
      </c>
      <c r="G1287" s="65"/>
      <c r="H1287" s="56"/>
      <c r="I1287" s="66"/>
      <c r="J1287" s="67"/>
      <c r="K1287" s="67"/>
      <c r="L1287" s="67"/>
      <c r="M1287" s="29" t="str">
        <f t="shared" si="144"/>
        <v/>
      </c>
      <c r="N1287" s="29" t="str">
        <f t="shared" si="145"/>
        <v/>
      </c>
      <c r="O1287" s="29" t="str">
        <f t="shared" si="140"/>
        <v/>
      </c>
      <c r="P1287" s="61"/>
      <c r="Q1287" s="61"/>
      <c r="R1287" s="61"/>
      <c r="S1287" s="45"/>
      <c r="T1287" s="29" t="str">
        <f t="shared" si="141"/>
        <v/>
      </c>
    </row>
    <row r="1288" spans="1:20">
      <c r="A1288" s="10" t="str">
        <f t="shared" si="146"/>
        <v/>
      </c>
      <c r="B1288" s="63"/>
      <c r="C1288" s="25" t="str">
        <f t="shared" si="142"/>
        <v/>
      </c>
      <c r="D1288" s="25" t="str">
        <f t="shared" si="143"/>
        <v/>
      </c>
      <c r="E1288" s="45"/>
      <c r="F1288" s="28" t="str">
        <f>IFERROR(VLOOKUP(E1288,Category!$D$2:$E$600,2,FALSE),"")</f>
        <v/>
      </c>
      <c r="G1288" s="65"/>
      <c r="H1288" s="56"/>
      <c r="I1288" s="66"/>
      <c r="J1288" s="67"/>
      <c r="K1288" s="67"/>
      <c r="L1288" s="67"/>
      <c r="M1288" s="29" t="str">
        <f t="shared" si="144"/>
        <v/>
      </c>
      <c r="N1288" s="29" t="str">
        <f t="shared" si="145"/>
        <v/>
      </c>
      <c r="O1288" s="29" t="str">
        <f t="shared" si="140"/>
        <v/>
      </c>
      <c r="P1288" s="61"/>
      <c r="Q1288" s="61"/>
      <c r="R1288" s="61"/>
      <c r="S1288" s="45"/>
      <c r="T1288" s="29" t="str">
        <f t="shared" si="141"/>
        <v/>
      </c>
    </row>
    <row r="1289" spans="1:20">
      <c r="A1289" s="10" t="str">
        <f t="shared" si="146"/>
        <v/>
      </c>
      <c r="B1289" s="63"/>
      <c r="C1289" s="25" t="str">
        <f t="shared" si="142"/>
        <v/>
      </c>
      <c r="D1289" s="25" t="str">
        <f t="shared" si="143"/>
        <v/>
      </c>
      <c r="E1289" s="45"/>
      <c r="F1289" s="28" t="str">
        <f>IFERROR(VLOOKUP(E1289,Category!$D$2:$E$600,2,FALSE),"")</f>
        <v/>
      </c>
      <c r="G1289" s="65"/>
      <c r="H1289" s="56"/>
      <c r="I1289" s="66"/>
      <c r="J1289" s="67"/>
      <c r="K1289" s="67"/>
      <c r="L1289" s="67"/>
      <c r="M1289" s="29" t="str">
        <f t="shared" si="144"/>
        <v/>
      </c>
      <c r="N1289" s="29" t="str">
        <f t="shared" si="145"/>
        <v/>
      </c>
      <c r="O1289" s="29" t="str">
        <f t="shared" si="140"/>
        <v/>
      </c>
      <c r="P1289" s="61"/>
      <c r="Q1289" s="61"/>
      <c r="R1289" s="61"/>
      <c r="S1289" s="45"/>
      <c r="T1289" s="29" t="str">
        <f t="shared" si="141"/>
        <v/>
      </c>
    </row>
    <row r="1290" spans="1:20">
      <c r="A1290" s="10" t="str">
        <f t="shared" si="146"/>
        <v/>
      </c>
      <c r="B1290" s="63"/>
      <c r="C1290" s="25" t="str">
        <f t="shared" si="142"/>
        <v/>
      </c>
      <c r="D1290" s="25" t="str">
        <f t="shared" si="143"/>
        <v/>
      </c>
      <c r="E1290" s="45"/>
      <c r="F1290" s="28" t="str">
        <f>IFERROR(VLOOKUP(E1290,Category!$D$2:$E$600,2,FALSE),"")</f>
        <v/>
      </c>
      <c r="G1290" s="65"/>
      <c r="H1290" s="56"/>
      <c r="I1290" s="66"/>
      <c r="J1290" s="67"/>
      <c r="K1290" s="67"/>
      <c r="L1290" s="67"/>
      <c r="M1290" s="29" t="str">
        <f t="shared" si="144"/>
        <v/>
      </c>
      <c r="N1290" s="29" t="str">
        <f t="shared" si="145"/>
        <v/>
      </c>
      <c r="O1290" s="29" t="str">
        <f t="shared" si="140"/>
        <v/>
      </c>
      <c r="P1290" s="61"/>
      <c r="Q1290" s="61"/>
      <c r="R1290" s="61"/>
      <c r="S1290" s="45"/>
      <c r="T1290" s="29" t="str">
        <f t="shared" si="141"/>
        <v/>
      </c>
    </row>
    <row r="1291" spans="1:20">
      <c r="A1291" s="10" t="str">
        <f t="shared" si="146"/>
        <v/>
      </c>
      <c r="B1291" s="63"/>
      <c r="C1291" s="25" t="str">
        <f t="shared" si="142"/>
        <v/>
      </c>
      <c r="D1291" s="25" t="str">
        <f t="shared" si="143"/>
        <v/>
      </c>
      <c r="E1291" s="45"/>
      <c r="F1291" s="28" t="str">
        <f>IFERROR(VLOOKUP(E1291,Category!$D$2:$E$600,2,FALSE),"")</f>
        <v/>
      </c>
      <c r="G1291" s="65"/>
      <c r="H1291" s="56"/>
      <c r="I1291" s="66"/>
      <c r="J1291" s="67"/>
      <c r="K1291" s="67"/>
      <c r="L1291" s="67"/>
      <c r="M1291" s="29" t="str">
        <f t="shared" si="144"/>
        <v/>
      </c>
      <c r="N1291" s="29" t="str">
        <f t="shared" si="145"/>
        <v/>
      </c>
      <c r="O1291" s="29" t="str">
        <f t="shared" si="140"/>
        <v/>
      </c>
      <c r="P1291" s="61"/>
      <c r="Q1291" s="61"/>
      <c r="R1291" s="61"/>
      <c r="S1291" s="45"/>
      <c r="T1291" s="29" t="str">
        <f t="shared" si="141"/>
        <v/>
      </c>
    </row>
    <row r="1292" spans="1:20">
      <c r="A1292" s="10" t="str">
        <f t="shared" si="146"/>
        <v/>
      </c>
      <c r="B1292" s="63"/>
      <c r="C1292" s="25" t="str">
        <f t="shared" si="142"/>
        <v/>
      </c>
      <c r="D1292" s="25" t="str">
        <f t="shared" si="143"/>
        <v/>
      </c>
      <c r="E1292" s="45"/>
      <c r="F1292" s="28" t="str">
        <f>IFERROR(VLOOKUP(E1292,Category!$D$2:$E$600,2,FALSE),"")</f>
        <v/>
      </c>
      <c r="G1292" s="65"/>
      <c r="H1292" s="56"/>
      <c r="I1292" s="66"/>
      <c r="J1292" s="67"/>
      <c r="K1292" s="67"/>
      <c r="L1292" s="67"/>
      <c r="M1292" s="29" t="str">
        <f t="shared" si="144"/>
        <v/>
      </c>
      <c r="N1292" s="29" t="str">
        <f t="shared" si="145"/>
        <v/>
      </c>
      <c r="O1292" s="29" t="str">
        <f t="shared" si="140"/>
        <v/>
      </c>
      <c r="P1292" s="61"/>
      <c r="Q1292" s="61"/>
      <c r="R1292" s="61"/>
      <c r="S1292" s="45"/>
      <c r="T1292" s="29" t="str">
        <f t="shared" si="141"/>
        <v/>
      </c>
    </row>
    <row r="1293" spans="1:20">
      <c r="A1293" s="10" t="str">
        <f t="shared" si="146"/>
        <v/>
      </c>
      <c r="B1293" s="63"/>
      <c r="C1293" s="25" t="str">
        <f t="shared" si="142"/>
        <v/>
      </c>
      <c r="D1293" s="25" t="str">
        <f t="shared" si="143"/>
        <v/>
      </c>
      <c r="E1293" s="45"/>
      <c r="F1293" s="28" t="str">
        <f>IFERROR(VLOOKUP(E1293,Category!$D$2:$E$600,2,FALSE),"")</f>
        <v/>
      </c>
      <c r="G1293" s="65"/>
      <c r="H1293" s="56"/>
      <c r="I1293" s="66"/>
      <c r="J1293" s="67"/>
      <c r="K1293" s="67"/>
      <c r="L1293" s="67"/>
      <c r="M1293" s="29" t="str">
        <f t="shared" si="144"/>
        <v/>
      </c>
      <c r="N1293" s="29" t="str">
        <f t="shared" si="145"/>
        <v/>
      </c>
      <c r="O1293" s="29" t="str">
        <f t="shared" si="140"/>
        <v/>
      </c>
      <c r="P1293" s="61"/>
      <c r="Q1293" s="61"/>
      <c r="R1293" s="61"/>
      <c r="S1293" s="45"/>
      <c r="T1293" s="29" t="str">
        <f t="shared" si="141"/>
        <v/>
      </c>
    </row>
    <row r="1294" spans="1:20">
      <c r="A1294" s="10" t="str">
        <f t="shared" si="146"/>
        <v/>
      </c>
      <c r="B1294" s="63"/>
      <c r="C1294" s="25" t="str">
        <f t="shared" si="142"/>
        <v/>
      </c>
      <c r="D1294" s="25" t="str">
        <f t="shared" si="143"/>
        <v/>
      </c>
      <c r="E1294" s="45"/>
      <c r="F1294" s="28" t="str">
        <f>IFERROR(VLOOKUP(E1294,Category!$D$2:$E$600,2,FALSE),"")</f>
        <v/>
      </c>
      <c r="G1294" s="65"/>
      <c r="H1294" s="56"/>
      <c r="I1294" s="66"/>
      <c r="J1294" s="67"/>
      <c r="K1294" s="67"/>
      <c r="L1294" s="67"/>
      <c r="M1294" s="29" t="str">
        <f t="shared" si="144"/>
        <v/>
      </c>
      <c r="N1294" s="29" t="str">
        <f t="shared" si="145"/>
        <v/>
      </c>
      <c r="O1294" s="29" t="str">
        <f t="shared" si="140"/>
        <v/>
      </c>
      <c r="P1294" s="61"/>
      <c r="Q1294" s="61"/>
      <c r="R1294" s="61"/>
      <c r="S1294" s="45"/>
      <c r="T1294" s="29" t="str">
        <f t="shared" si="141"/>
        <v/>
      </c>
    </row>
    <row r="1295" spans="1:20">
      <c r="A1295" s="10" t="str">
        <f t="shared" si="146"/>
        <v/>
      </c>
      <c r="B1295" s="63"/>
      <c r="C1295" s="25" t="str">
        <f t="shared" si="142"/>
        <v/>
      </c>
      <c r="D1295" s="25" t="str">
        <f t="shared" si="143"/>
        <v/>
      </c>
      <c r="E1295" s="45"/>
      <c r="F1295" s="28" t="str">
        <f>IFERROR(VLOOKUP(E1295,Category!$D$2:$E$600,2,FALSE),"")</f>
        <v/>
      </c>
      <c r="G1295" s="65"/>
      <c r="H1295" s="56"/>
      <c r="I1295" s="66"/>
      <c r="J1295" s="67"/>
      <c r="K1295" s="67"/>
      <c r="L1295" s="67"/>
      <c r="M1295" s="29" t="str">
        <f t="shared" si="144"/>
        <v/>
      </c>
      <c r="N1295" s="29" t="str">
        <f t="shared" si="145"/>
        <v/>
      </c>
      <c r="O1295" s="29" t="str">
        <f t="shared" si="140"/>
        <v/>
      </c>
      <c r="P1295" s="61"/>
      <c r="Q1295" s="61"/>
      <c r="R1295" s="61"/>
      <c r="S1295" s="45"/>
      <c r="T1295" s="29" t="str">
        <f t="shared" si="141"/>
        <v/>
      </c>
    </row>
    <row r="1296" spans="1:20">
      <c r="A1296" s="10" t="str">
        <f t="shared" si="146"/>
        <v/>
      </c>
      <c r="B1296" s="63"/>
      <c r="C1296" s="25" t="str">
        <f t="shared" si="142"/>
        <v/>
      </c>
      <c r="D1296" s="25" t="str">
        <f t="shared" si="143"/>
        <v/>
      </c>
      <c r="E1296" s="45"/>
      <c r="F1296" s="28" t="str">
        <f>IFERROR(VLOOKUP(E1296,Category!$D$2:$E$600,2,FALSE),"")</f>
        <v/>
      </c>
      <c r="G1296" s="65"/>
      <c r="H1296" s="56"/>
      <c r="I1296" s="66"/>
      <c r="J1296" s="67"/>
      <c r="K1296" s="67"/>
      <c r="L1296" s="67"/>
      <c r="M1296" s="29" t="str">
        <f t="shared" si="144"/>
        <v/>
      </c>
      <c r="N1296" s="29" t="str">
        <f t="shared" si="145"/>
        <v/>
      </c>
      <c r="O1296" s="29" t="str">
        <f t="shared" si="140"/>
        <v/>
      </c>
      <c r="P1296" s="61"/>
      <c r="Q1296" s="61"/>
      <c r="R1296" s="61"/>
      <c r="S1296" s="45"/>
      <c r="T1296" s="29" t="str">
        <f t="shared" si="141"/>
        <v/>
      </c>
    </row>
    <row r="1297" spans="1:20">
      <c r="A1297" s="10" t="str">
        <f t="shared" si="146"/>
        <v/>
      </c>
      <c r="B1297" s="63"/>
      <c r="C1297" s="25" t="str">
        <f t="shared" si="142"/>
        <v/>
      </c>
      <c r="D1297" s="25" t="str">
        <f t="shared" si="143"/>
        <v/>
      </c>
      <c r="E1297" s="45"/>
      <c r="F1297" s="28" t="str">
        <f>IFERROR(VLOOKUP(E1297,Category!$D$2:$E$600,2,FALSE),"")</f>
        <v/>
      </c>
      <c r="G1297" s="65"/>
      <c r="H1297" s="56"/>
      <c r="I1297" s="66"/>
      <c r="J1297" s="67"/>
      <c r="K1297" s="67"/>
      <c r="L1297" s="67"/>
      <c r="M1297" s="29" t="str">
        <f t="shared" si="144"/>
        <v/>
      </c>
      <c r="N1297" s="29" t="str">
        <f t="shared" si="145"/>
        <v/>
      </c>
      <c r="O1297" s="29" t="str">
        <f t="shared" si="140"/>
        <v/>
      </c>
      <c r="P1297" s="61"/>
      <c r="Q1297" s="61"/>
      <c r="R1297" s="61"/>
      <c r="S1297" s="45"/>
      <c r="T1297" s="29" t="str">
        <f t="shared" si="141"/>
        <v/>
      </c>
    </row>
    <row r="1298" spans="1:20">
      <c r="A1298" s="10" t="str">
        <f t="shared" si="146"/>
        <v/>
      </c>
      <c r="B1298" s="63"/>
      <c r="C1298" s="25" t="str">
        <f t="shared" si="142"/>
        <v/>
      </c>
      <c r="D1298" s="25" t="str">
        <f t="shared" si="143"/>
        <v/>
      </c>
      <c r="E1298" s="45"/>
      <c r="F1298" s="28" t="str">
        <f>IFERROR(VLOOKUP(E1298,Category!$D$2:$E$600,2,FALSE),"")</f>
        <v/>
      </c>
      <c r="G1298" s="65"/>
      <c r="H1298" s="56"/>
      <c r="I1298" s="66"/>
      <c r="J1298" s="67"/>
      <c r="K1298" s="67"/>
      <c r="L1298" s="67"/>
      <c r="M1298" s="29" t="str">
        <f t="shared" si="144"/>
        <v/>
      </c>
      <c r="N1298" s="29" t="str">
        <f t="shared" si="145"/>
        <v/>
      </c>
      <c r="O1298" s="29" t="str">
        <f t="shared" si="140"/>
        <v/>
      </c>
      <c r="P1298" s="61"/>
      <c r="Q1298" s="61"/>
      <c r="R1298" s="61"/>
      <c r="S1298" s="45"/>
      <c r="T1298" s="29" t="str">
        <f t="shared" si="141"/>
        <v/>
      </c>
    </row>
    <row r="1299" spans="1:20">
      <c r="A1299" s="10" t="str">
        <f t="shared" si="146"/>
        <v/>
      </c>
      <c r="B1299" s="63"/>
      <c r="C1299" s="25" t="str">
        <f t="shared" si="142"/>
        <v/>
      </c>
      <c r="D1299" s="25" t="str">
        <f t="shared" si="143"/>
        <v/>
      </c>
      <c r="E1299" s="45"/>
      <c r="F1299" s="28" t="str">
        <f>IFERROR(VLOOKUP(E1299,Category!$D$2:$E$600,2,FALSE),"")</f>
        <v/>
      </c>
      <c r="G1299" s="65"/>
      <c r="H1299" s="56"/>
      <c r="I1299" s="66"/>
      <c r="J1299" s="67"/>
      <c r="K1299" s="67"/>
      <c r="L1299" s="67"/>
      <c r="M1299" s="29" t="str">
        <f t="shared" si="144"/>
        <v/>
      </c>
      <c r="N1299" s="29" t="str">
        <f t="shared" si="145"/>
        <v/>
      </c>
      <c r="O1299" s="29" t="str">
        <f t="shared" si="140"/>
        <v/>
      </c>
      <c r="P1299" s="61"/>
      <c r="Q1299" s="61"/>
      <c r="R1299" s="61"/>
      <c r="S1299" s="45"/>
      <c r="T1299" s="29" t="str">
        <f t="shared" si="141"/>
        <v/>
      </c>
    </row>
    <row r="1300" spans="1:20">
      <c r="A1300" s="10" t="str">
        <f t="shared" si="146"/>
        <v/>
      </c>
      <c r="B1300" s="63"/>
      <c r="C1300" s="25" t="str">
        <f t="shared" si="142"/>
        <v/>
      </c>
      <c r="D1300" s="25" t="str">
        <f t="shared" si="143"/>
        <v/>
      </c>
      <c r="E1300" s="45"/>
      <c r="F1300" s="28" t="str">
        <f>IFERROR(VLOOKUP(E1300,Category!$D$2:$E$600,2,FALSE),"")</f>
        <v/>
      </c>
      <c r="G1300" s="65"/>
      <c r="H1300" s="56"/>
      <c r="I1300" s="66"/>
      <c r="J1300" s="67"/>
      <c r="K1300" s="67"/>
      <c r="L1300" s="67"/>
      <c r="M1300" s="29" t="str">
        <f t="shared" si="144"/>
        <v/>
      </c>
      <c r="N1300" s="29" t="str">
        <f t="shared" si="145"/>
        <v/>
      </c>
      <c r="O1300" s="29" t="str">
        <f t="shared" si="140"/>
        <v/>
      </c>
      <c r="P1300" s="61"/>
      <c r="Q1300" s="61"/>
      <c r="R1300" s="61"/>
      <c r="S1300" s="45"/>
      <c r="T1300" s="29" t="str">
        <f t="shared" si="141"/>
        <v/>
      </c>
    </row>
    <row r="1301" spans="1:20">
      <c r="A1301" s="10" t="str">
        <f t="shared" si="146"/>
        <v/>
      </c>
      <c r="B1301" s="63"/>
      <c r="C1301" s="25" t="str">
        <f t="shared" si="142"/>
        <v/>
      </c>
      <c r="D1301" s="25" t="str">
        <f t="shared" si="143"/>
        <v/>
      </c>
      <c r="E1301" s="45"/>
      <c r="F1301" s="28" t="str">
        <f>IFERROR(VLOOKUP(E1301,Category!$D$2:$E$600,2,FALSE),"")</f>
        <v/>
      </c>
      <c r="G1301" s="65"/>
      <c r="H1301" s="56"/>
      <c r="I1301" s="66"/>
      <c r="J1301" s="67"/>
      <c r="K1301" s="67"/>
      <c r="L1301" s="67"/>
      <c r="M1301" s="29" t="str">
        <f t="shared" si="144"/>
        <v/>
      </c>
      <c r="N1301" s="29" t="str">
        <f t="shared" si="145"/>
        <v/>
      </c>
      <c r="O1301" s="29" t="str">
        <f t="shared" si="140"/>
        <v/>
      </c>
      <c r="P1301" s="61"/>
      <c r="Q1301" s="61"/>
      <c r="R1301" s="61"/>
      <c r="S1301" s="45"/>
      <c r="T1301" s="29" t="str">
        <f t="shared" si="141"/>
        <v/>
      </c>
    </row>
    <row r="1302" spans="1:20">
      <c r="A1302" s="10" t="str">
        <f t="shared" si="146"/>
        <v/>
      </c>
      <c r="B1302" s="63"/>
      <c r="C1302" s="25" t="str">
        <f t="shared" si="142"/>
        <v/>
      </c>
      <c r="D1302" s="25" t="str">
        <f t="shared" si="143"/>
        <v/>
      </c>
      <c r="E1302" s="45"/>
      <c r="F1302" s="28" t="str">
        <f>IFERROR(VLOOKUP(E1302,Category!$D$2:$E$600,2,FALSE),"")</f>
        <v/>
      </c>
      <c r="G1302" s="65"/>
      <c r="H1302" s="56"/>
      <c r="I1302" s="66"/>
      <c r="J1302" s="67"/>
      <c r="K1302" s="67"/>
      <c r="L1302" s="67"/>
      <c r="M1302" s="29" t="str">
        <f t="shared" si="144"/>
        <v/>
      </c>
      <c r="N1302" s="29" t="str">
        <f t="shared" si="145"/>
        <v/>
      </c>
      <c r="O1302" s="29" t="str">
        <f t="shared" si="140"/>
        <v/>
      </c>
      <c r="P1302" s="61"/>
      <c r="Q1302" s="61"/>
      <c r="R1302" s="61"/>
      <c r="S1302" s="45"/>
      <c r="T1302" s="29" t="str">
        <f t="shared" si="141"/>
        <v/>
      </c>
    </row>
    <row r="1303" spans="1:20">
      <c r="A1303" s="10" t="str">
        <f t="shared" si="146"/>
        <v/>
      </c>
      <c r="B1303" s="63"/>
      <c r="C1303" s="25" t="str">
        <f t="shared" si="142"/>
        <v/>
      </c>
      <c r="D1303" s="25" t="str">
        <f t="shared" si="143"/>
        <v/>
      </c>
      <c r="E1303" s="45"/>
      <c r="F1303" s="28" t="str">
        <f>IFERROR(VLOOKUP(E1303,Category!$D$2:$E$600,2,FALSE),"")</f>
        <v/>
      </c>
      <c r="G1303" s="65"/>
      <c r="H1303" s="56"/>
      <c r="I1303" s="66"/>
      <c r="J1303" s="67"/>
      <c r="K1303" s="67"/>
      <c r="L1303" s="67"/>
      <c r="M1303" s="29" t="str">
        <f t="shared" si="144"/>
        <v/>
      </c>
      <c r="N1303" s="29" t="str">
        <f t="shared" si="145"/>
        <v/>
      </c>
      <c r="O1303" s="29" t="str">
        <f t="shared" si="140"/>
        <v/>
      </c>
      <c r="P1303" s="61"/>
      <c r="Q1303" s="61"/>
      <c r="R1303" s="61"/>
      <c r="S1303" s="45"/>
      <c r="T1303" s="29" t="str">
        <f t="shared" si="141"/>
        <v/>
      </c>
    </row>
    <row r="1304" spans="1:20">
      <c r="A1304" s="10" t="str">
        <f t="shared" si="146"/>
        <v/>
      </c>
      <c r="B1304" s="63"/>
      <c r="C1304" s="25" t="str">
        <f t="shared" si="142"/>
        <v/>
      </c>
      <c r="D1304" s="25" t="str">
        <f t="shared" si="143"/>
        <v/>
      </c>
      <c r="E1304" s="45"/>
      <c r="F1304" s="28" t="str">
        <f>IFERROR(VLOOKUP(E1304,Category!$D$2:$E$600,2,FALSE),"")</f>
        <v/>
      </c>
      <c r="G1304" s="65"/>
      <c r="H1304" s="56"/>
      <c r="I1304" s="66"/>
      <c r="J1304" s="67"/>
      <c r="K1304" s="67"/>
      <c r="L1304" s="67"/>
      <c r="M1304" s="29" t="str">
        <f t="shared" si="144"/>
        <v/>
      </c>
      <c r="N1304" s="29" t="str">
        <f t="shared" si="145"/>
        <v/>
      </c>
      <c r="O1304" s="29" t="str">
        <f t="shared" si="140"/>
        <v/>
      </c>
      <c r="P1304" s="61"/>
      <c r="Q1304" s="61"/>
      <c r="R1304" s="61"/>
      <c r="S1304" s="45"/>
      <c r="T1304" s="29" t="str">
        <f t="shared" si="141"/>
        <v/>
      </c>
    </row>
    <row r="1305" spans="1:20">
      <c r="A1305" s="10" t="str">
        <f t="shared" si="146"/>
        <v/>
      </c>
      <c r="B1305" s="63"/>
      <c r="C1305" s="25" t="str">
        <f t="shared" si="142"/>
        <v/>
      </c>
      <c r="D1305" s="25" t="str">
        <f t="shared" si="143"/>
        <v/>
      </c>
      <c r="E1305" s="45"/>
      <c r="F1305" s="28" t="str">
        <f>IFERROR(VLOOKUP(E1305,Category!$D$2:$E$600,2,FALSE),"")</f>
        <v/>
      </c>
      <c r="G1305" s="65"/>
      <c r="H1305" s="56"/>
      <c r="I1305" s="66"/>
      <c r="J1305" s="67"/>
      <c r="K1305" s="67"/>
      <c r="L1305" s="67"/>
      <c r="M1305" s="29" t="str">
        <f t="shared" si="144"/>
        <v/>
      </c>
      <c r="N1305" s="29" t="str">
        <f t="shared" si="145"/>
        <v/>
      </c>
      <c r="O1305" s="29" t="str">
        <f t="shared" si="140"/>
        <v/>
      </c>
      <c r="P1305" s="61"/>
      <c r="Q1305" s="61"/>
      <c r="R1305" s="61"/>
      <c r="S1305" s="45"/>
      <c r="T1305" s="29" t="str">
        <f t="shared" si="141"/>
        <v/>
      </c>
    </row>
    <row r="1306" spans="1:20">
      <c r="A1306" s="10" t="str">
        <f t="shared" si="146"/>
        <v/>
      </c>
      <c r="B1306" s="63"/>
      <c r="C1306" s="25" t="str">
        <f t="shared" si="142"/>
        <v/>
      </c>
      <c r="D1306" s="25" t="str">
        <f t="shared" si="143"/>
        <v/>
      </c>
      <c r="E1306" s="45"/>
      <c r="F1306" s="28" t="str">
        <f>IFERROR(VLOOKUP(E1306,Category!$D$2:$E$600,2,FALSE),"")</f>
        <v/>
      </c>
      <c r="G1306" s="65"/>
      <c r="H1306" s="56"/>
      <c r="I1306" s="66"/>
      <c r="J1306" s="67"/>
      <c r="K1306" s="67"/>
      <c r="L1306" s="67"/>
      <c r="M1306" s="29" t="str">
        <f t="shared" si="144"/>
        <v/>
      </c>
      <c r="N1306" s="29" t="str">
        <f t="shared" si="145"/>
        <v/>
      </c>
      <c r="O1306" s="29" t="str">
        <f t="shared" si="140"/>
        <v/>
      </c>
      <c r="P1306" s="61"/>
      <c r="Q1306" s="61"/>
      <c r="R1306" s="61"/>
      <c r="S1306" s="45"/>
      <c r="T1306" s="29" t="str">
        <f t="shared" si="141"/>
        <v/>
      </c>
    </row>
    <row r="1307" spans="1:20">
      <c r="A1307" s="10" t="str">
        <f t="shared" si="146"/>
        <v/>
      </c>
      <c r="B1307" s="63"/>
      <c r="C1307" s="25" t="str">
        <f t="shared" si="142"/>
        <v/>
      </c>
      <c r="D1307" s="25" t="str">
        <f t="shared" si="143"/>
        <v/>
      </c>
      <c r="E1307" s="45"/>
      <c r="F1307" s="28" t="str">
        <f>IFERROR(VLOOKUP(E1307,Category!$D$2:$E$600,2,FALSE),"")</f>
        <v/>
      </c>
      <c r="G1307" s="65"/>
      <c r="H1307" s="56"/>
      <c r="I1307" s="66"/>
      <c r="J1307" s="67"/>
      <c r="K1307" s="67"/>
      <c r="L1307" s="67"/>
      <c r="M1307" s="29" t="str">
        <f t="shared" si="144"/>
        <v/>
      </c>
      <c r="N1307" s="29" t="str">
        <f t="shared" si="145"/>
        <v/>
      </c>
      <c r="O1307" s="29" t="str">
        <f t="shared" si="140"/>
        <v/>
      </c>
      <c r="P1307" s="61"/>
      <c r="Q1307" s="61"/>
      <c r="R1307" s="61"/>
      <c r="S1307" s="45"/>
      <c r="T1307" s="29" t="str">
        <f t="shared" si="141"/>
        <v/>
      </c>
    </row>
    <row r="1308" spans="1:20">
      <c r="A1308" s="10" t="str">
        <f t="shared" si="146"/>
        <v/>
      </c>
      <c r="B1308" s="63"/>
      <c r="C1308" s="25" t="str">
        <f t="shared" si="142"/>
        <v/>
      </c>
      <c r="D1308" s="25" t="str">
        <f t="shared" si="143"/>
        <v/>
      </c>
      <c r="E1308" s="45"/>
      <c r="F1308" s="28" t="str">
        <f>IFERROR(VLOOKUP(E1308,Category!$D$2:$E$600,2,FALSE),"")</f>
        <v/>
      </c>
      <c r="G1308" s="65"/>
      <c r="H1308" s="56"/>
      <c r="I1308" s="66"/>
      <c r="J1308" s="67"/>
      <c r="K1308" s="67"/>
      <c r="L1308" s="67"/>
      <c r="M1308" s="29" t="str">
        <f t="shared" si="144"/>
        <v/>
      </c>
      <c r="N1308" s="29" t="str">
        <f t="shared" si="145"/>
        <v/>
      </c>
      <c r="O1308" s="29" t="str">
        <f t="shared" si="140"/>
        <v/>
      </c>
      <c r="P1308" s="61"/>
      <c r="Q1308" s="61"/>
      <c r="R1308" s="61"/>
      <c r="S1308" s="45"/>
      <c r="T1308" s="29" t="str">
        <f t="shared" si="141"/>
        <v/>
      </c>
    </row>
    <row r="1309" spans="1:20">
      <c r="A1309" s="10" t="str">
        <f t="shared" si="146"/>
        <v/>
      </c>
      <c r="B1309" s="63"/>
      <c r="C1309" s="25" t="str">
        <f t="shared" si="142"/>
        <v/>
      </c>
      <c r="D1309" s="25" t="str">
        <f t="shared" si="143"/>
        <v/>
      </c>
      <c r="E1309" s="45"/>
      <c r="F1309" s="28" t="str">
        <f>IFERROR(VLOOKUP(E1309,Category!$D$2:$E$600,2,FALSE),"")</f>
        <v/>
      </c>
      <c r="G1309" s="65"/>
      <c r="H1309" s="56"/>
      <c r="I1309" s="66"/>
      <c r="J1309" s="67"/>
      <c r="K1309" s="67"/>
      <c r="L1309" s="67"/>
      <c r="M1309" s="29" t="str">
        <f t="shared" si="144"/>
        <v/>
      </c>
      <c r="N1309" s="29" t="str">
        <f t="shared" si="145"/>
        <v/>
      </c>
      <c r="O1309" s="29" t="str">
        <f t="shared" si="140"/>
        <v/>
      </c>
      <c r="P1309" s="61"/>
      <c r="Q1309" s="61"/>
      <c r="R1309" s="61"/>
      <c r="S1309" s="45"/>
      <c r="T1309" s="29" t="str">
        <f t="shared" si="141"/>
        <v/>
      </c>
    </row>
    <row r="1310" spans="1:20">
      <c r="A1310" s="10" t="str">
        <f t="shared" si="146"/>
        <v/>
      </c>
      <c r="B1310" s="63"/>
      <c r="C1310" s="25" t="str">
        <f t="shared" si="142"/>
        <v/>
      </c>
      <c r="D1310" s="25" t="str">
        <f t="shared" si="143"/>
        <v/>
      </c>
      <c r="E1310" s="45"/>
      <c r="F1310" s="28" t="str">
        <f>IFERROR(VLOOKUP(E1310,Category!$D$2:$E$600,2,FALSE),"")</f>
        <v/>
      </c>
      <c r="G1310" s="65"/>
      <c r="H1310" s="56"/>
      <c r="I1310" s="66"/>
      <c r="J1310" s="67"/>
      <c r="K1310" s="67"/>
      <c r="L1310" s="67"/>
      <c r="M1310" s="29" t="str">
        <f t="shared" si="144"/>
        <v/>
      </c>
      <c r="N1310" s="29" t="str">
        <f t="shared" si="145"/>
        <v/>
      </c>
      <c r="O1310" s="29" t="str">
        <f t="shared" si="140"/>
        <v/>
      </c>
      <c r="P1310" s="61"/>
      <c r="Q1310" s="61"/>
      <c r="R1310" s="61"/>
      <c r="S1310" s="45"/>
      <c r="T1310" s="29" t="str">
        <f t="shared" si="141"/>
        <v/>
      </c>
    </row>
    <row r="1311" spans="1:20">
      <c r="A1311" s="10" t="str">
        <f t="shared" si="146"/>
        <v/>
      </c>
      <c r="B1311" s="63"/>
      <c r="C1311" s="25" t="str">
        <f t="shared" si="142"/>
        <v/>
      </c>
      <c r="D1311" s="25" t="str">
        <f t="shared" si="143"/>
        <v/>
      </c>
      <c r="E1311" s="45"/>
      <c r="F1311" s="28" t="str">
        <f>IFERROR(VLOOKUP(E1311,Category!$D$2:$E$600,2,FALSE),"")</f>
        <v/>
      </c>
      <c r="G1311" s="65"/>
      <c r="H1311" s="56"/>
      <c r="I1311" s="66"/>
      <c r="J1311" s="67"/>
      <c r="K1311" s="67"/>
      <c r="L1311" s="67"/>
      <c r="M1311" s="29" t="str">
        <f t="shared" si="144"/>
        <v/>
      </c>
      <c r="N1311" s="29" t="str">
        <f t="shared" si="145"/>
        <v/>
      </c>
      <c r="O1311" s="29" t="str">
        <f t="shared" si="140"/>
        <v/>
      </c>
      <c r="P1311" s="61"/>
      <c r="Q1311" s="61"/>
      <c r="R1311" s="61"/>
      <c r="S1311" s="45"/>
      <c r="T1311" s="29" t="str">
        <f t="shared" si="141"/>
        <v/>
      </c>
    </row>
    <row r="1312" spans="1:20">
      <c r="A1312" s="10" t="str">
        <f t="shared" si="146"/>
        <v/>
      </c>
      <c r="B1312" s="63"/>
      <c r="C1312" s="25" t="str">
        <f t="shared" si="142"/>
        <v/>
      </c>
      <c r="D1312" s="25" t="str">
        <f t="shared" si="143"/>
        <v/>
      </c>
      <c r="E1312" s="45"/>
      <c r="F1312" s="28" t="str">
        <f>IFERROR(VLOOKUP(E1312,Category!$D$2:$E$600,2,FALSE),"")</f>
        <v/>
      </c>
      <c r="G1312" s="65"/>
      <c r="H1312" s="56"/>
      <c r="I1312" s="66"/>
      <c r="J1312" s="67"/>
      <c r="K1312" s="67"/>
      <c r="L1312" s="67"/>
      <c r="M1312" s="29" t="str">
        <f t="shared" si="144"/>
        <v/>
      </c>
      <c r="N1312" s="29" t="str">
        <f t="shared" si="145"/>
        <v/>
      </c>
      <c r="O1312" s="29" t="str">
        <f t="shared" si="140"/>
        <v/>
      </c>
      <c r="P1312" s="61"/>
      <c r="Q1312" s="61"/>
      <c r="R1312" s="61"/>
      <c r="S1312" s="45"/>
      <c r="T1312" s="29" t="str">
        <f t="shared" si="141"/>
        <v/>
      </c>
    </row>
    <row r="1313" spans="1:20">
      <c r="A1313" s="10" t="str">
        <f t="shared" si="146"/>
        <v/>
      </c>
      <c r="B1313" s="63"/>
      <c r="C1313" s="25" t="str">
        <f t="shared" si="142"/>
        <v/>
      </c>
      <c r="D1313" s="25" t="str">
        <f t="shared" si="143"/>
        <v/>
      </c>
      <c r="E1313" s="45"/>
      <c r="F1313" s="28" t="str">
        <f>IFERROR(VLOOKUP(E1313,Category!$D$2:$E$600,2,FALSE),"")</f>
        <v/>
      </c>
      <c r="G1313" s="65"/>
      <c r="H1313" s="56"/>
      <c r="I1313" s="66"/>
      <c r="J1313" s="67"/>
      <c r="K1313" s="67"/>
      <c r="L1313" s="67"/>
      <c r="M1313" s="29" t="str">
        <f t="shared" si="144"/>
        <v/>
      </c>
      <c r="N1313" s="29" t="str">
        <f t="shared" si="145"/>
        <v/>
      </c>
      <c r="O1313" s="29" t="str">
        <f t="shared" si="140"/>
        <v/>
      </c>
      <c r="P1313" s="61"/>
      <c r="Q1313" s="61"/>
      <c r="R1313" s="61"/>
      <c r="S1313" s="45"/>
      <c r="T1313" s="29" t="str">
        <f t="shared" si="141"/>
        <v/>
      </c>
    </row>
    <row r="1314" spans="1:20">
      <c r="A1314" s="10" t="str">
        <f t="shared" si="146"/>
        <v/>
      </c>
      <c r="B1314" s="63"/>
      <c r="C1314" s="25" t="str">
        <f t="shared" si="142"/>
        <v/>
      </c>
      <c r="D1314" s="25" t="str">
        <f t="shared" si="143"/>
        <v/>
      </c>
      <c r="E1314" s="45"/>
      <c r="F1314" s="28" t="str">
        <f>IFERROR(VLOOKUP(E1314,Category!$D$2:$E$600,2,FALSE),"")</f>
        <v/>
      </c>
      <c r="G1314" s="65"/>
      <c r="H1314" s="56"/>
      <c r="I1314" s="66"/>
      <c r="J1314" s="67"/>
      <c r="K1314" s="67"/>
      <c r="L1314" s="67"/>
      <c r="M1314" s="29" t="str">
        <f t="shared" si="144"/>
        <v/>
      </c>
      <c r="N1314" s="29" t="str">
        <f t="shared" si="145"/>
        <v/>
      </c>
      <c r="O1314" s="29" t="str">
        <f t="shared" si="140"/>
        <v/>
      </c>
      <c r="P1314" s="61"/>
      <c r="Q1314" s="61"/>
      <c r="R1314" s="61"/>
      <c r="S1314" s="45"/>
      <c r="T1314" s="29" t="str">
        <f t="shared" si="141"/>
        <v/>
      </c>
    </row>
    <row r="1315" spans="1:20">
      <c r="A1315" s="10" t="str">
        <f t="shared" si="146"/>
        <v/>
      </c>
      <c r="B1315" s="63"/>
      <c r="C1315" s="25" t="str">
        <f t="shared" si="142"/>
        <v/>
      </c>
      <c r="D1315" s="25" t="str">
        <f t="shared" si="143"/>
        <v/>
      </c>
      <c r="E1315" s="45"/>
      <c r="F1315" s="28" t="str">
        <f>IFERROR(VLOOKUP(E1315,Category!$D$2:$E$600,2,FALSE),"")</f>
        <v/>
      </c>
      <c r="G1315" s="65"/>
      <c r="H1315" s="56"/>
      <c r="I1315" s="66"/>
      <c r="J1315" s="67"/>
      <c r="K1315" s="67"/>
      <c r="L1315" s="67"/>
      <c r="M1315" s="29" t="str">
        <f t="shared" si="144"/>
        <v/>
      </c>
      <c r="N1315" s="29" t="str">
        <f t="shared" si="145"/>
        <v/>
      </c>
      <c r="O1315" s="29" t="str">
        <f t="shared" si="140"/>
        <v/>
      </c>
      <c r="P1315" s="61"/>
      <c r="Q1315" s="61"/>
      <c r="R1315" s="61"/>
      <c r="S1315" s="45"/>
      <c r="T1315" s="29" t="str">
        <f t="shared" si="141"/>
        <v/>
      </c>
    </row>
    <row r="1316" spans="1:20">
      <c r="A1316" s="10" t="str">
        <f t="shared" si="146"/>
        <v/>
      </c>
      <c r="B1316" s="63"/>
      <c r="C1316" s="25" t="str">
        <f t="shared" si="142"/>
        <v/>
      </c>
      <c r="D1316" s="25" t="str">
        <f t="shared" si="143"/>
        <v/>
      </c>
      <c r="E1316" s="45"/>
      <c r="F1316" s="28" t="str">
        <f>IFERROR(VLOOKUP(E1316,Category!$D$2:$E$600,2,FALSE),"")</f>
        <v/>
      </c>
      <c r="G1316" s="65"/>
      <c r="H1316" s="56"/>
      <c r="I1316" s="66"/>
      <c r="J1316" s="67"/>
      <c r="K1316" s="67"/>
      <c r="L1316" s="67"/>
      <c r="M1316" s="29" t="str">
        <f t="shared" si="144"/>
        <v/>
      </c>
      <c r="N1316" s="29" t="str">
        <f t="shared" si="145"/>
        <v/>
      </c>
      <c r="O1316" s="29" t="str">
        <f t="shared" si="140"/>
        <v/>
      </c>
      <c r="P1316" s="61"/>
      <c r="Q1316" s="61"/>
      <c r="R1316" s="61"/>
      <c r="S1316" s="45"/>
      <c r="T1316" s="29" t="str">
        <f t="shared" si="141"/>
        <v/>
      </c>
    </row>
    <row r="1317" spans="1:20">
      <c r="A1317" s="10" t="str">
        <f t="shared" si="146"/>
        <v/>
      </c>
      <c r="B1317" s="63"/>
      <c r="C1317" s="25" t="str">
        <f t="shared" si="142"/>
        <v/>
      </c>
      <c r="D1317" s="25" t="str">
        <f t="shared" si="143"/>
        <v/>
      </c>
      <c r="E1317" s="45"/>
      <c r="F1317" s="28" t="str">
        <f>IFERROR(VLOOKUP(E1317,Category!$D$2:$E$600,2,FALSE),"")</f>
        <v/>
      </c>
      <c r="G1317" s="65"/>
      <c r="H1317" s="56"/>
      <c r="I1317" s="66"/>
      <c r="J1317" s="67"/>
      <c r="K1317" s="67"/>
      <c r="L1317" s="67"/>
      <c r="M1317" s="29" t="str">
        <f t="shared" si="144"/>
        <v/>
      </c>
      <c r="N1317" s="29" t="str">
        <f t="shared" si="145"/>
        <v/>
      </c>
      <c r="O1317" s="29" t="str">
        <f t="shared" si="140"/>
        <v/>
      </c>
      <c r="P1317" s="61"/>
      <c r="Q1317" s="61"/>
      <c r="R1317" s="61"/>
      <c r="S1317" s="45"/>
      <c r="T1317" s="29" t="str">
        <f t="shared" si="141"/>
        <v/>
      </c>
    </row>
    <row r="1318" spans="1:20">
      <c r="A1318" s="10" t="str">
        <f t="shared" si="146"/>
        <v/>
      </c>
      <c r="B1318" s="63"/>
      <c r="C1318" s="25" t="str">
        <f t="shared" si="142"/>
        <v/>
      </c>
      <c r="D1318" s="25" t="str">
        <f t="shared" si="143"/>
        <v/>
      </c>
      <c r="E1318" s="45"/>
      <c r="F1318" s="28" t="str">
        <f>IFERROR(VLOOKUP(E1318,Category!$D$2:$E$600,2,FALSE),"")</f>
        <v/>
      </c>
      <c r="G1318" s="65"/>
      <c r="H1318" s="56"/>
      <c r="I1318" s="66"/>
      <c r="J1318" s="67"/>
      <c r="K1318" s="67"/>
      <c r="L1318" s="67"/>
      <c r="M1318" s="29" t="str">
        <f t="shared" si="144"/>
        <v/>
      </c>
      <c r="N1318" s="29" t="str">
        <f t="shared" si="145"/>
        <v/>
      </c>
      <c r="O1318" s="29" t="str">
        <f t="shared" si="140"/>
        <v/>
      </c>
      <c r="P1318" s="61"/>
      <c r="Q1318" s="61"/>
      <c r="R1318" s="61"/>
      <c r="S1318" s="45"/>
      <c r="T1318" s="29" t="str">
        <f t="shared" si="141"/>
        <v/>
      </c>
    </row>
    <row r="1319" spans="1:20">
      <c r="A1319" s="10" t="str">
        <f t="shared" si="146"/>
        <v/>
      </c>
      <c r="B1319" s="63"/>
      <c r="C1319" s="25" t="str">
        <f t="shared" si="142"/>
        <v/>
      </c>
      <c r="D1319" s="25" t="str">
        <f t="shared" si="143"/>
        <v/>
      </c>
      <c r="E1319" s="45"/>
      <c r="F1319" s="28" t="str">
        <f>IFERROR(VLOOKUP(E1319,Category!$D$2:$E$600,2,FALSE),"")</f>
        <v/>
      </c>
      <c r="G1319" s="65"/>
      <c r="H1319" s="56"/>
      <c r="I1319" s="66"/>
      <c r="J1319" s="67"/>
      <c r="K1319" s="67"/>
      <c r="L1319" s="67"/>
      <c r="M1319" s="29" t="str">
        <f t="shared" si="144"/>
        <v/>
      </c>
      <c r="N1319" s="29" t="str">
        <f t="shared" si="145"/>
        <v/>
      </c>
      <c r="O1319" s="29" t="str">
        <f t="shared" si="140"/>
        <v/>
      </c>
      <c r="P1319" s="61"/>
      <c r="Q1319" s="61"/>
      <c r="R1319" s="61"/>
      <c r="S1319" s="45"/>
      <c r="T1319" s="29" t="str">
        <f t="shared" si="141"/>
        <v/>
      </c>
    </row>
    <row r="1320" spans="1:20">
      <c r="A1320" s="10" t="str">
        <f t="shared" si="146"/>
        <v/>
      </c>
      <c r="B1320" s="63"/>
      <c r="C1320" s="25" t="str">
        <f t="shared" si="142"/>
        <v/>
      </c>
      <c r="D1320" s="25" t="str">
        <f t="shared" si="143"/>
        <v/>
      </c>
      <c r="E1320" s="45"/>
      <c r="F1320" s="28" t="str">
        <f>IFERROR(VLOOKUP(E1320,Category!$D$2:$E$600,2,FALSE),"")</f>
        <v/>
      </c>
      <c r="G1320" s="65"/>
      <c r="H1320" s="56"/>
      <c r="I1320" s="66"/>
      <c r="J1320" s="67"/>
      <c r="K1320" s="67"/>
      <c r="L1320" s="67"/>
      <c r="M1320" s="29" t="str">
        <f t="shared" si="144"/>
        <v/>
      </c>
      <c r="N1320" s="29" t="str">
        <f t="shared" si="145"/>
        <v/>
      </c>
      <c r="O1320" s="29" t="str">
        <f t="shared" si="140"/>
        <v/>
      </c>
      <c r="P1320" s="61"/>
      <c r="Q1320" s="61"/>
      <c r="R1320" s="61"/>
      <c r="S1320" s="45"/>
      <c r="T1320" s="29" t="str">
        <f t="shared" si="141"/>
        <v/>
      </c>
    </row>
    <row r="1321" spans="1:20">
      <c r="A1321" s="10" t="str">
        <f t="shared" si="146"/>
        <v/>
      </c>
      <c r="B1321" s="63"/>
      <c r="C1321" s="25" t="str">
        <f t="shared" si="142"/>
        <v/>
      </c>
      <c r="D1321" s="25" t="str">
        <f t="shared" si="143"/>
        <v/>
      </c>
      <c r="E1321" s="45"/>
      <c r="F1321" s="28" t="str">
        <f>IFERROR(VLOOKUP(E1321,Category!$D$2:$E$600,2,FALSE),"")</f>
        <v/>
      </c>
      <c r="G1321" s="65"/>
      <c r="H1321" s="56"/>
      <c r="I1321" s="66"/>
      <c r="J1321" s="67"/>
      <c r="K1321" s="67"/>
      <c r="L1321" s="67"/>
      <c r="M1321" s="29" t="str">
        <f t="shared" si="144"/>
        <v/>
      </c>
      <c r="N1321" s="29" t="str">
        <f t="shared" si="145"/>
        <v/>
      </c>
      <c r="O1321" s="29" t="str">
        <f t="shared" si="140"/>
        <v/>
      </c>
      <c r="P1321" s="61"/>
      <c r="Q1321" s="61"/>
      <c r="R1321" s="61"/>
      <c r="S1321" s="45"/>
      <c r="T1321" s="29" t="str">
        <f t="shared" si="141"/>
        <v/>
      </c>
    </row>
    <row r="1322" spans="1:20">
      <c r="A1322" s="10" t="str">
        <f t="shared" si="146"/>
        <v/>
      </c>
      <c r="B1322" s="63"/>
      <c r="C1322" s="25" t="str">
        <f t="shared" si="142"/>
        <v/>
      </c>
      <c r="D1322" s="25" t="str">
        <f t="shared" si="143"/>
        <v/>
      </c>
      <c r="E1322" s="45"/>
      <c r="F1322" s="28" t="str">
        <f>IFERROR(VLOOKUP(E1322,Category!$D$2:$E$600,2,FALSE),"")</f>
        <v/>
      </c>
      <c r="G1322" s="65"/>
      <c r="H1322" s="56"/>
      <c r="I1322" s="66"/>
      <c r="J1322" s="67"/>
      <c r="K1322" s="67"/>
      <c r="L1322" s="67"/>
      <c r="M1322" s="29" t="str">
        <f t="shared" si="144"/>
        <v/>
      </c>
      <c r="N1322" s="29" t="str">
        <f t="shared" si="145"/>
        <v/>
      </c>
      <c r="O1322" s="29" t="str">
        <f t="shared" si="140"/>
        <v/>
      </c>
      <c r="P1322" s="61"/>
      <c r="Q1322" s="61"/>
      <c r="R1322" s="61"/>
      <c r="S1322" s="45"/>
      <c r="T1322" s="29" t="str">
        <f t="shared" si="141"/>
        <v/>
      </c>
    </row>
    <row r="1323" spans="1:20">
      <c r="A1323" s="10" t="str">
        <f t="shared" si="146"/>
        <v/>
      </c>
      <c r="B1323" s="63"/>
      <c r="C1323" s="25" t="str">
        <f t="shared" si="142"/>
        <v/>
      </c>
      <c r="D1323" s="25" t="str">
        <f t="shared" si="143"/>
        <v/>
      </c>
      <c r="E1323" s="45"/>
      <c r="F1323" s="28" t="str">
        <f>IFERROR(VLOOKUP(E1323,Category!$D$2:$E$600,2,FALSE),"")</f>
        <v/>
      </c>
      <c r="G1323" s="65"/>
      <c r="H1323" s="56"/>
      <c r="I1323" s="66"/>
      <c r="J1323" s="67"/>
      <c r="K1323" s="67"/>
      <c r="L1323" s="67"/>
      <c r="M1323" s="29" t="str">
        <f t="shared" si="144"/>
        <v/>
      </c>
      <c r="N1323" s="29" t="str">
        <f t="shared" si="145"/>
        <v/>
      </c>
      <c r="O1323" s="29" t="str">
        <f t="shared" si="140"/>
        <v/>
      </c>
      <c r="P1323" s="61"/>
      <c r="Q1323" s="61"/>
      <c r="R1323" s="61"/>
      <c r="S1323" s="45"/>
      <c r="T1323" s="29" t="str">
        <f t="shared" si="141"/>
        <v/>
      </c>
    </row>
    <row r="1324" spans="1:20">
      <c r="A1324" s="10" t="str">
        <f t="shared" si="146"/>
        <v/>
      </c>
      <c r="B1324" s="63"/>
      <c r="C1324" s="25" t="str">
        <f t="shared" si="142"/>
        <v/>
      </c>
      <c r="D1324" s="25" t="str">
        <f t="shared" si="143"/>
        <v/>
      </c>
      <c r="E1324" s="45"/>
      <c r="F1324" s="28" t="str">
        <f>IFERROR(VLOOKUP(E1324,Category!$D$2:$E$600,2,FALSE),"")</f>
        <v/>
      </c>
      <c r="G1324" s="65"/>
      <c r="H1324" s="56"/>
      <c r="I1324" s="66"/>
      <c r="J1324" s="67"/>
      <c r="K1324" s="67"/>
      <c r="L1324" s="67"/>
      <c r="M1324" s="29" t="str">
        <f t="shared" si="144"/>
        <v/>
      </c>
      <c r="N1324" s="29" t="str">
        <f t="shared" si="145"/>
        <v/>
      </c>
      <c r="O1324" s="29" t="str">
        <f t="shared" si="140"/>
        <v/>
      </c>
      <c r="P1324" s="61"/>
      <c r="Q1324" s="61"/>
      <c r="R1324" s="61"/>
      <c r="S1324" s="45"/>
      <c r="T1324" s="29" t="str">
        <f t="shared" si="141"/>
        <v/>
      </c>
    </row>
    <row r="1325" spans="1:20">
      <c r="A1325" s="10" t="str">
        <f t="shared" si="146"/>
        <v/>
      </c>
      <c r="B1325" s="63"/>
      <c r="C1325" s="25" t="str">
        <f t="shared" si="142"/>
        <v/>
      </c>
      <c r="D1325" s="25" t="str">
        <f t="shared" si="143"/>
        <v/>
      </c>
      <c r="E1325" s="45"/>
      <c r="F1325" s="28" t="str">
        <f>IFERROR(VLOOKUP(E1325,Category!$D$2:$E$600,2,FALSE),"")</f>
        <v/>
      </c>
      <c r="G1325" s="65"/>
      <c r="H1325" s="56"/>
      <c r="I1325" s="66"/>
      <c r="J1325" s="67"/>
      <c r="K1325" s="67"/>
      <c r="L1325" s="67"/>
      <c r="M1325" s="29" t="str">
        <f t="shared" si="144"/>
        <v/>
      </c>
      <c r="N1325" s="29" t="str">
        <f t="shared" si="145"/>
        <v/>
      </c>
      <c r="O1325" s="29" t="str">
        <f t="shared" si="140"/>
        <v/>
      </c>
      <c r="P1325" s="61"/>
      <c r="Q1325" s="61"/>
      <c r="R1325" s="61"/>
      <c r="S1325" s="45"/>
      <c r="T1325" s="29" t="str">
        <f t="shared" si="141"/>
        <v/>
      </c>
    </row>
    <row r="1326" spans="1:20">
      <c r="A1326" s="10" t="str">
        <f t="shared" si="146"/>
        <v/>
      </c>
      <c r="B1326" s="63"/>
      <c r="C1326" s="25" t="str">
        <f t="shared" si="142"/>
        <v/>
      </c>
      <c r="D1326" s="25" t="str">
        <f t="shared" si="143"/>
        <v/>
      </c>
      <c r="E1326" s="45"/>
      <c r="F1326" s="28" t="str">
        <f>IFERROR(VLOOKUP(E1326,Category!$D$2:$E$600,2,FALSE),"")</f>
        <v/>
      </c>
      <c r="G1326" s="65"/>
      <c r="H1326" s="56"/>
      <c r="I1326" s="66"/>
      <c r="J1326" s="67"/>
      <c r="K1326" s="67"/>
      <c r="L1326" s="67"/>
      <c r="M1326" s="29" t="str">
        <f t="shared" si="144"/>
        <v/>
      </c>
      <c r="N1326" s="29" t="str">
        <f t="shared" si="145"/>
        <v/>
      </c>
      <c r="O1326" s="29" t="str">
        <f t="shared" si="140"/>
        <v/>
      </c>
      <c r="P1326" s="61"/>
      <c r="Q1326" s="61"/>
      <c r="R1326" s="61"/>
      <c r="S1326" s="45"/>
      <c r="T1326" s="29" t="str">
        <f t="shared" si="141"/>
        <v/>
      </c>
    </row>
    <row r="1327" spans="1:20">
      <c r="A1327" s="10" t="str">
        <f t="shared" si="146"/>
        <v/>
      </c>
      <c r="B1327" s="63"/>
      <c r="C1327" s="25" t="str">
        <f t="shared" si="142"/>
        <v/>
      </c>
      <c r="D1327" s="25" t="str">
        <f t="shared" si="143"/>
        <v/>
      </c>
      <c r="E1327" s="45"/>
      <c r="F1327" s="28" t="str">
        <f>IFERROR(VLOOKUP(E1327,Category!$D$2:$E$600,2,FALSE),"")</f>
        <v/>
      </c>
      <c r="G1327" s="65"/>
      <c r="H1327" s="56"/>
      <c r="I1327" s="66"/>
      <c r="J1327" s="67"/>
      <c r="K1327" s="67"/>
      <c r="L1327" s="67"/>
      <c r="M1327" s="29" t="str">
        <f t="shared" si="144"/>
        <v/>
      </c>
      <c r="N1327" s="29" t="str">
        <f t="shared" si="145"/>
        <v/>
      </c>
      <c r="O1327" s="29" t="str">
        <f t="shared" si="140"/>
        <v/>
      </c>
      <c r="P1327" s="61"/>
      <c r="Q1327" s="61"/>
      <c r="R1327" s="61"/>
      <c r="S1327" s="45"/>
      <c r="T1327" s="29" t="str">
        <f t="shared" si="141"/>
        <v/>
      </c>
    </row>
    <row r="1328" spans="1:20">
      <c r="A1328" s="10" t="str">
        <f t="shared" si="146"/>
        <v/>
      </c>
      <c r="B1328" s="63"/>
      <c r="C1328" s="25" t="str">
        <f t="shared" si="142"/>
        <v/>
      </c>
      <c r="D1328" s="25" t="str">
        <f t="shared" si="143"/>
        <v/>
      </c>
      <c r="E1328" s="45"/>
      <c r="F1328" s="28" t="str">
        <f>IFERROR(VLOOKUP(E1328,Category!$D$2:$E$600,2,FALSE),"")</f>
        <v/>
      </c>
      <c r="G1328" s="65"/>
      <c r="H1328" s="56"/>
      <c r="I1328" s="66"/>
      <c r="J1328" s="67"/>
      <c r="K1328" s="67"/>
      <c r="L1328" s="67"/>
      <c r="M1328" s="29" t="str">
        <f t="shared" si="144"/>
        <v/>
      </c>
      <c r="N1328" s="29" t="str">
        <f t="shared" si="145"/>
        <v/>
      </c>
      <c r="O1328" s="29" t="str">
        <f t="shared" si="140"/>
        <v/>
      </c>
      <c r="P1328" s="61"/>
      <c r="Q1328" s="61"/>
      <c r="R1328" s="61"/>
      <c r="S1328" s="45"/>
      <c r="T1328" s="29" t="str">
        <f t="shared" si="141"/>
        <v/>
      </c>
    </row>
    <row r="1329" spans="1:20">
      <c r="A1329" s="10" t="str">
        <f t="shared" si="146"/>
        <v/>
      </c>
      <c r="B1329" s="63"/>
      <c r="C1329" s="25" t="str">
        <f t="shared" si="142"/>
        <v/>
      </c>
      <c r="D1329" s="25" t="str">
        <f t="shared" si="143"/>
        <v/>
      </c>
      <c r="E1329" s="45"/>
      <c r="F1329" s="28" t="str">
        <f>IFERROR(VLOOKUP(E1329,Category!$D$2:$E$600,2,FALSE),"")</f>
        <v/>
      </c>
      <c r="G1329" s="65"/>
      <c r="H1329" s="56"/>
      <c r="I1329" s="66"/>
      <c r="J1329" s="67"/>
      <c r="K1329" s="67"/>
      <c r="L1329" s="67"/>
      <c r="M1329" s="29" t="str">
        <f t="shared" si="144"/>
        <v/>
      </c>
      <c r="N1329" s="29" t="str">
        <f t="shared" si="145"/>
        <v/>
      </c>
      <c r="O1329" s="29" t="str">
        <f t="shared" si="140"/>
        <v/>
      </c>
      <c r="P1329" s="61"/>
      <c r="Q1329" s="61"/>
      <c r="R1329" s="61"/>
      <c r="S1329" s="45"/>
      <c r="T1329" s="29" t="str">
        <f t="shared" si="141"/>
        <v/>
      </c>
    </row>
    <row r="1330" spans="1:20">
      <c r="A1330" s="10" t="str">
        <f t="shared" si="146"/>
        <v/>
      </c>
      <c r="B1330" s="63"/>
      <c r="C1330" s="25" t="str">
        <f t="shared" si="142"/>
        <v/>
      </c>
      <c r="D1330" s="25" t="str">
        <f t="shared" si="143"/>
        <v/>
      </c>
      <c r="E1330" s="45"/>
      <c r="F1330" s="28" t="str">
        <f>IFERROR(VLOOKUP(E1330,Category!$D$2:$E$600,2,FALSE),"")</f>
        <v/>
      </c>
      <c r="G1330" s="65"/>
      <c r="H1330" s="56"/>
      <c r="I1330" s="66"/>
      <c r="J1330" s="67"/>
      <c r="K1330" s="67"/>
      <c r="L1330" s="67"/>
      <c r="M1330" s="29" t="str">
        <f t="shared" si="144"/>
        <v/>
      </c>
      <c r="N1330" s="29" t="str">
        <f t="shared" si="145"/>
        <v/>
      </c>
      <c r="O1330" s="29" t="str">
        <f t="shared" si="140"/>
        <v/>
      </c>
      <c r="P1330" s="61"/>
      <c r="Q1330" s="61"/>
      <c r="R1330" s="61"/>
      <c r="S1330" s="45"/>
      <c r="T1330" s="29" t="str">
        <f t="shared" si="141"/>
        <v/>
      </c>
    </row>
    <row r="1331" spans="1:20">
      <c r="A1331" s="10" t="str">
        <f t="shared" si="146"/>
        <v/>
      </c>
      <c r="B1331" s="63"/>
      <c r="C1331" s="25" t="str">
        <f t="shared" si="142"/>
        <v/>
      </c>
      <c r="D1331" s="25" t="str">
        <f t="shared" si="143"/>
        <v/>
      </c>
      <c r="E1331" s="45"/>
      <c r="F1331" s="28" t="str">
        <f>IFERROR(VLOOKUP(E1331,Category!$D$2:$E$600,2,FALSE),"")</f>
        <v/>
      </c>
      <c r="G1331" s="65"/>
      <c r="H1331" s="56"/>
      <c r="I1331" s="66"/>
      <c r="J1331" s="67"/>
      <c r="K1331" s="67"/>
      <c r="L1331" s="67"/>
      <c r="M1331" s="29" t="str">
        <f t="shared" si="144"/>
        <v/>
      </c>
      <c r="N1331" s="29" t="str">
        <f t="shared" si="145"/>
        <v/>
      </c>
      <c r="O1331" s="29" t="str">
        <f t="shared" si="140"/>
        <v/>
      </c>
      <c r="P1331" s="61"/>
      <c r="Q1331" s="61"/>
      <c r="R1331" s="61"/>
      <c r="S1331" s="45"/>
      <c r="T1331" s="29" t="str">
        <f t="shared" si="141"/>
        <v/>
      </c>
    </row>
    <row r="1332" spans="1:20">
      <c r="A1332" s="10" t="str">
        <f t="shared" si="146"/>
        <v/>
      </c>
      <c r="B1332" s="63"/>
      <c r="C1332" s="25" t="str">
        <f t="shared" si="142"/>
        <v/>
      </c>
      <c r="D1332" s="25" t="str">
        <f t="shared" si="143"/>
        <v/>
      </c>
      <c r="E1332" s="45"/>
      <c r="F1332" s="28" t="str">
        <f>IFERROR(VLOOKUP(E1332,Category!$D$2:$E$600,2,FALSE),"")</f>
        <v/>
      </c>
      <c r="G1332" s="65"/>
      <c r="H1332" s="56"/>
      <c r="I1332" s="66"/>
      <c r="J1332" s="67"/>
      <c r="K1332" s="67"/>
      <c r="L1332" s="67"/>
      <c r="M1332" s="29" t="str">
        <f t="shared" si="144"/>
        <v/>
      </c>
      <c r="N1332" s="29" t="str">
        <f t="shared" si="145"/>
        <v/>
      </c>
      <c r="O1332" s="29" t="str">
        <f t="shared" si="140"/>
        <v/>
      </c>
      <c r="P1332" s="61"/>
      <c r="Q1332" s="61"/>
      <c r="R1332" s="61"/>
      <c r="S1332" s="45"/>
      <c r="T1332" s="29" t="str">
        <f t="shared" si="141"/>
        <v/>
      </c>
    </row>
    <row r="1333" spans="1:20">
      <c r="A1333" s="10" t="str">
        <f t="shared" si="146"/>
        <v/>
      </c>
      <c r="B1333" s="63"/>
      <c r="C1333" s="25" t="str">
        <f t="shared" si="142"/>
        <v/>
      </c>
      <c r="D1333" s="25" t="str">
        <f t="shared" si="143"/>
        <v/>
      </c>
      <c r="E1333" s="45"/>
      <c r="F1333" s="28" t="str">
        <f>IFERROR(VLOOKUP(E1333,Category!$D$2:$E$600,2,FALSE),"")</f>
        <v/>
      </c>
      <c r="G1333" s="65"/>
      <c r="H1333" s="56"/>
      <c r="I1333" s="66"/>
      <c r="J1333" s="67"/>
      <c r="K1333" s="67"/>
      <c r="L1333" s="67"/>
      <c r="M1333" s="29" t="str">
        <f t="shared" si="144"/>
        <v/>
      </c>
      <c r="N1333" s="29" t="str">
        <f t="shared" si="145"/>
        <v/>
      </c>
      <c r="O1333" s="29" t="str">
        <f t="shared" si="140"/>
        <v/>
      </c>
      <c r="P1333" s="61"/>
      <c r="Q1333" s="61"/>
      <c r="R1333" s="61"/>
      <c r="S1333" s="45"/>
      <c r="T1333" s="29" t="str">
        <f t="shared" si="141"/>
        <v/>
      </c>
    </row>
    <row r="1334" spans="1:20">
      <c r="A1334" s="10" t="str">
        <f t="shared" si="146"/>
        <v/>
      </c>
      <c r="B1334" s="63"/>
      <c r="C1334" s="25" t="str">
        <f t="shared" si="142"/>
        <v/>
      </c>
      <c r="D1334" s="25" t="str">
        <f t="shared" si="143"/>
        <v/>
      </c>
      <c r="E1334" s="45"/>
      <c r="F1334" s="28" t="str">
        <f>IFERROR(VLOOKUP(E1334,Category!$D$2:$E$600,2,FALSE),"")</f>
        <v/>
      </c>
      <c r="G1334" s="65"/>
      <c r="H1334" s="56"/>
      <c r="I1334" s="66"/>
      <c r="J1334" s="67"/>
      <c r="K1334" s="67"/>
      <c r="L1334" s="67"/>
      <c r="M1334" s="29" t="str">
        <f t="shared" si="144"/>
        <v/>
      </c>
      <c r="N1334" s="29" t="str">
        <f t="shared" si="145"/>
        <v/>
      </c>
      <c r="O1334" s="29" t="str">
        <f t="shared" si="140"/>
        <v/>
      </c>
      <c r="P1334" s="61"/>
      <c r="Q1334" s="61"/>
      <c r="R1334" s="61"/>
      <c r="S1334" s="45"/>
      <c r="T1334" s="29" t="str">
        <f t="shared" si="141"/>
        <v/>
      </c>
    </row>
    <row r="1335" spans="1:20">
      <c r="A1335" s="10" t="str">
        <f t="shared" si="146"/>
        <v/>
      </c>
      <c r="B1335" s="63"/>
      <c r="C1335" s="25" t="str">
        <f t="shared" si="142"/>
        <v/>
      </c>
      <c r="D1335" s="25" t="str">
        <f t="shared" si="143"/>
        <v/>
      </c>
      <c r="E1335" s="45"/>
      <c r="F1335" s="28" t="str">
        <f>IFERROR(VLOOKUP(E1335,Category!$D$2:$E$600,2,FALSE),"")</f>
        <v/>
      </c>
      <c r="G1335" s="65"/>
      <c r="H1335" s="56"/>
      <c r="I1335" s="66"/>
      <c r="J1335" s="67"/>
      <c r="K1335" s="67"/>
      <c r="L1335" s="67"/>
      <c r="M1335" s="29" t="str">
        <f t="shared" si="144"/>
        <v/>
      </c>
      <c r="N1335" s="29" t="str">
        <f t="shared" si="145"/>
        <v/>
      </c>
      <c r="O1335" s="29" t="str">
        <f t="shared" si="140"/>
        <v/>
      </c>
      <c r="P1335" s="61"/>
      <c r="Q1335" s="61"/>
      <c r="R1335" s="61"/>
      <c r="S1335" s="45"/>
      <c r="T1335" s="29" t="str">
        <f t="shared" si="141"/>
        <v/>
      </c>
    </row>
    <row r="1336" spans="1:20">
      <c r="A1336" s="10" t="str">
        <f t="shared" si="146"/>
        <v/>
      </c>
      <c r="B1336" s="63"/>
      <c r="C1336" s="25" t="str">
        <f t="shared" si="142"/>
        <v/>
      </c>
      <c r="D1336" s="25" t="str">
        <f t="shared" si="143"/>
        <v/>
      </c>
      <c r="E1336" s="45"/>
      <c r="F1336" s="28" t="str">
        <f>IFERROR(VLOOKUP(E1336,Category!$D$2:$E$600,2,FALSE),"")</f>
        <v/>
      </c>
      <c r="G1336" s="65"/>
      <c r="H1336" s="56"/>
      <c r="I1336" s="66"/>
      <c r="J1336" s="67"/>
      <c r="K1336" s="67"/>
      <c r="L1336" s="67"/>
      <c r="M1336" s="29" t="str">
        <f t="shared" si="144"/>
        <v/>
      </c>
      <c r="N1336" s="29" t="str">
        <f t="shared" si="145"/>
        <v/>
      </c>
      <c r="O1336" s="29" t="str">
        <f t="shared" si="140"/>
        <v/>
      </c>
      <c r="P1336" s="61"/>
      <c r="Q1336" s="61"/>
      <c r="R1336" s="61"/>
      <c r="S1336" s="45"/>
      <c r="T1336" s="29" t="str">
        <f t="shared" si="141"/>
        <v/>
      </c>
    </row>
    <row r="1337" spans="1:20">
      <c r="A1337" s="10" t="str">
        <f t="shared" si="146"/>
        <v/>
      </c>
      <c r="B1337" s="63"/>
      <c r="C1337" s="25" t="str">
        <f t="shared" si="142"/>
        <v/>
      </c>
      <c r="D1337" s="25" t="str">
        <f t="shared" si="143"/>
        <v/>
      </c>
      <c r="E1337" s="45"/>
      <c r="F1337" s="28" t="str">
        <f>IFERROR(VLOOKUP(E1337,Category!$D$2:$E$600,2,FALSE),"")</f>
        <v/>
      </c>
      <c r="G1337" s="65"/>
      <c r="H1337" s="56"/>
      <c r="I1337" s="66"/>
      <c r="J1337" s="67"/>
      <c r="K1337" s="67"/>
      <c r="L1337" s="67"/>
      <c r="M1337" s="29" t="str">
        <f t="shared" si="144"/>
        <v/>
      </c>
      <c r="N1337" s="29" t="str">
        <f t="shared" si="145"/>
        <v/>
      </c>
      <c r="O1337" s="29" t="str">
        <f t="shared" si="140"/>
        <v/>
      </c>
      <c r="P1337" s="61"/>
      <c r="Q1337" s="61"/>
      <c r="R1337" s="61"/>
      <c r="S1337" s="45"/>
      <c r="T1337" s="29" t="str">
        <f t="shared" si="141"/>
        <v/>
      </c>
    </row>
    <row r="1338" spans="1:20">
      <c r="A1338" s="10" t="str">
        <f t="shared" si="146"/>
        <v/>
      </c>
      <c r="B1338" s="63"/>
      <c r="C1338" s="25" t="str">
        <f t="shared" si="142"/>
        <v/>
      </c>
      <c r="D1338" s="25" t="str">
        <f t="shared" si="143"/>
        <v/>
      </c>
      <c r="E1338" s="45"/>
      <c r="F1338" s="28" t="str">
        <f>IFERROR(VLOOKUP(E1338,Category!$D$2:$E$600,2,FALSE),"")</f>
        <v/>
      </c>
      <c r="G1338" s="65"/>
      <c r="H1338" s="56"/>
      <c r="I1338" s="66"/>
      <c r="J1338" s="67"/>
      <c r="K1338" s="67"/>
      <c r="L1338" s="67"/>
      <c r="M1338" s="29" t="str">
        <f t="shared" si="144"/>
        <v/>
      </c>
      <c r="N1338" s="29" t="str">
        <f t="shared" si="145"/>
        <v/>
      </c>
      <c r="O1338" s="29" t="str">
        <f t="shared" si="140"/>
        <v/>
      </c>
      <c r="P1338" s="61"/>
      <c r="Q1338" s="61"/>
      <c r="R1338" s="61"/>
      <c r="S1338" s="45"/>
      <c r="T1338" s="29" t="str">
        <f t="shared" si="141"/>
        <v/>
      </c>
    </row>
    <row r="1339" spans="1:20">
      <c r="A1339" s="10" t="str">
        <f t="shared" si="146"/>
        <v/>
      </c>
      <c r="B1339" s="63"/>
      <c r="C1339" s="25" t="str">
        <f t="shared" si="142"/>
        <v/>
      </c>
      <c r="D1339" s="25" t="str">
        <f t="shared" si="143"/>
        <v/>
      </c>
      <c r="E1339" s="45"/>
      <c r="F1339" s="28" t="str">
        <f>IFERROR(VLOOKUP(E1339,Category!$D$2:$E$600,2,FALSE),"")</f>
        <v/>
      </c>
      <c r="G1339" s="65"/>
      <c r="H1339" s="56"/>
      <c r="I1339" s="66"/>
      <c r="J1339" s="67"/>
      <c r="K1339" s="67"/>
      <c r="L1339" s="67"/>
      <c r="M1339" s="29" t="str">
        <f t="shared" si="144"/>
        <v/>
      </c>
      <c r="N1339" s="29" t="str">
        <f t="shared" si="145"/>
        <v/>
      </c>
      <c r="O1339" s="29" t="str">
        <f t="shared" si="140"/>
        <v/>
      </c>
      <c r="P1339" s="61"/>
      <c r="Q1339" s="61"/>
      <c r="R1339" s="61"/>
      <c r="S1339" s="45"/>
      <c r="T1339" s="29" t="str">
        <f t="shared" si="141"/>
        <v/>
      </c>
    </row>
    <row r="1340" spans="1:20">
      <c r="A1340" s="10" t="str">
        <f t="shared" si="146"/>
        <v/>
      </c>
      <c r="B1340" s="63"/>
      <c r="C1340" s="25" t="str">
        <f t="shared" si="142"/>
        <v/>
      </c>
      <c r="D1340" s="25" t="str">
        <f t="shared" si="143"/>
        <v/>
      </c>
      <c r="E1340" s="45"/>
      <c r="F1340" s="28" t="str">
        <f>IFERROR(VLOOKUP(E1340,Category!$D$2:$E$600,2,FALSE),"")</f>
        <v/>
      </c>
      <c r="G1340" s="65"/>
      <c r="H1340" s="56"/>
      <c r="I1340" s="66"/>
      <c r="J1340" s="67"/>
      <c r="K1340" s="67"/>
      <c r="L1340" s="67"/>
      <c r="M1340" s="29" t="str">
        <f t="shared" si="144"/>
        <v/>
      </c>
      <c r="N1340" s="29" t="str">
        <f t="shared" si="145"/>
        <v/>
      </c>
      <c r="O1340" s="29" t="str">
        <f t="shared" si="140"/>
        <v/>
      </c>
      <c r="P1340" s="61"/>
      <c r="Q1340" s="61"/>
      <c r="R1340" s="61"/>
      <c r="S1340" s="45"/>
      <c r="T1340" s="29" t="str">
        <f t="shared" si="141"/>
        <v/>
      </c>
    </row>
    <row r="1341" spans="1:20">
      <c r="A1341" s="10" t="str">
        <f t="shared" si="146"/>
        <v/>
      </c>
      <c r="B1341" s="63"/>
      <c r="C1341" s="25" t="str">
        <f t="shared" si="142"/>
        <v/>
      </c>
      <c r="D1341" s="25" t="str">
        <f t="shared" si="143"/>
        <v/>
      </c>
      <c r="E1341" s="45"/>
      <c r="F1341" s="28" t="str">
        <f>IFERROR(VLOOKUP(E1341,Category!$D$2:$E$600,2,FALSE),"")</f>
        <v/>
      </c>
      <c r="G1341" s="65"/>
      <c r="H1341" s="56"/>
      <c r="I1341" s="66"/>
      <c r="J1341" s="67"/>
      <c r="K1341" s="67"/>
      <c r="L1341" s="67"/>
      <c r="M1341" s="29" t="str">
        <f t="shared" si="144"/>
        <v/>
      </c>
      <c r="N1341" s="29" t="str">
        <f t="shared" si="145"/>
        <v/>
      </c>
      <c r="O1341" s="29" t="str">
        <f t="shared" si="140"/>
        <v/>
      </c>
      <c r="P1341" s="61"/>
      <c r="Q1341" s="61"/>
      <c r="R1341" s="61"/>
      <c r="S1341" s="45"/>
      <c r="T1341" s="29" t="str">
        <f t="shared" si="141"/>
        <v/>
      </c>
    </row>
    <row r="1342" spans="1:20">
      <c r="A1342" s="10" t="str">
        <f t="shared" si="146"/>
        <v/>
      </c>
      <c r="B1342" s="63"/>
      <c r="C1342" s="25" t="str">
        <f t="shared" si="142"/>
        <v/>
      </c>
      <c r="D1342" s="25" t="str">
        <f t="shared" si="143"/>
        <v/>
      </c>
      <c r="E1342" s="45"/>
      <c r="F1342" s="28" t="str">
        <f>IFERROR(VLOOKUP(E1342,Category!$D$2:$E$600,2,FALSE),"")</f>
        <v/>
      </c>
      <c r="G1342" s="65"/>
      <c r="H1342" s="56"/>
      <c r="I1342" s="66"/>
      <c r="J1342" s="67"/>
      <c r="K1342" s="67"/>
      <c r="L1342" s="67"/>
      <c r="M1342" s="29" t="str">
        <f t="shared" si="144"/>
        <v/>
      </c>
      <c r="N1342" s="29" t="str">
        <f t="shared" si="145"/>
        <v/>
      </c>
      <c r="O1342" s="29" t="str">
        <f t="shared" si="140"/>
        <v/>
      </c>
      <c r="P1342" s="61"/>
      <c r="Q1342" s="61"/>
      <c r="R1342" s="61"/>
      <c r="S1342" s="45"/>
      <c r="T1342" s="29" t="str">
        <f t="shared" si="141"/>
        <v/>
      </c>
    </row>
    <row r="1343" spans="1:20">
      <c r="A1343" s="10" t="str">
        <f t="shared" si="146"/>
        <v/>
      </c>
      <c r="B1343" s="63"/>
      <c r="C1343" s="25" t="str">
        <f t="shared" si="142"/>
        <v/>
      </c>
      <c r="D1343" s="25" t="str">
        <f t="shared" si="143"/>
        <v/>
      </c>
      <c r="E1343" s="45"/>
      <c r="F1343" s="28" t="str">
        <f>IFERROR(VLOOKUP(E1343,Category!$D$2:$E$600,2,FALSE),"")</f>
        <v/>
      </c>
      <c r="G1343" s="65"/>
      <c r="H1343" s="56"/>
      <c r="I1343" s="66"/>
      <c r="J1343" s="67"/>
      <c r="K1343" s="67"/>
      <c r="L1343" s="67"/>
      <c r="M1343" s="29" t="str">
        <f t="shared" si="144"/>
        <v/>
      </c>
      <c r="N1343" s="29" t="str">
        <f t="shared" si="145"/>
        <v/>
      </c>
      <c r="O1343" s="29" t="str">
        <f t="shared" si="140"/>
        <v/>
      </c>
      <c r="P1343" s="61"/>
      <c r="Q1343" s="61"/>
      <c r="R1343" s="61"/>
      <c r="S1343" s="45"/>
      <c r="T1343" s="29" t="str">
        <f t="shared" si="141"/>
        <v/>
      </c>
    </row>
    <row r="1344" spans="1:20">
      <c r="A1344" s="10" t="str">
        <f t="shared" si="146"/>
        <v/>
      </c>
      <c r="B1344" s="63"/>
      <c r="C1344" s="25" t="str">
        <f t="shared" si="142"/>
        <v/>
      </c>
      <c r="D1344" s="25" t="str">
        <f t="shared" si="143"/>
        <v/>
      </c>
      <c r="E1344" s="45"/>
      <c r="F1344" s="28" t="str">
        <f>IFERROR(VLOOKUP(E1344,Category!$D$2:$E$600,2,FALSE),"")</f>
        <v/>
      </c>
      <c r="G1344" s="65"/>
      <c r="H1344" s="56"/>
      <c r="I1344" s="66"/>
      <c r="J1344" s="67"/>
      <c r="K1344" s="67"/>
      <c r="L1344" s="67"/>
      <c r="M1344" s="29" t="str">
        <f t="shared" si="144"/>
        <v/>
      </c>
      <c r="N1344" s="29" t="str">
        <f t="shared" si="145"/>
        <v/>
      </c>
      <c r="O1344" s="29" t="str">
        <f t="shared" si="140"/>
        <v/>
      </c>
      <c r="P1344" s="61"/>
      <c r="Q1344" s="61"/>
      <c r="R1344" s="61"/>
      <c r="S1344" s="45"/>
      <c r="T1344" s="29" t="str">
        <f t="shared" si="141"/>
        <v/>
      </c>
    </row>
    <row r="1345" spans="1:20">
      <c r="A1345" s="10" t="str">
        <f t="shared" si="146"/>
        <v/>
      </c>
      <c r="B1345" s="63"/>
      <c r="C1345" s="25" t="str">
        <f t="shared" si="142"/>
        <v/>
      </c>
      <c r="D1345" s="25" t="str">
        <f t="shared" si="143"/>
        <v/>
      </c>
      <c r="E1345" s="45"/>
      <c r="F1345" s="28" t="str">
        <f>IFERROR(VLOOKUP(E1345,Category!$D$2:$E$600,2,FALSE),"")</f>
        <v/>
      </c>
      <c r="G1345" s="65"/>
      <c r="H1345" s="56"/>
      <c r="I1345" s="66"/>
      <c r="J1345" s="67"/>
      <c r="K1345" s="67"/>
      <c r="L1345" s="67"/>
      <c r="M1345" s="29" t="str">
        <f t="shared" si="144"/>
        <v/>
      </c>
      <c r="N1345" s="29" t="str">
        <f t="shared" si="145"/>
        <v/>
      </c>
      <c r="O1345" s="29" t="str">
        <f t="shared" si="140"/>
        <v/>
      </c>
      <c r="P1345" s="61"/>
      <c r="Q1345" s="61"/>
      <c r="R1345" s="61"/>
      <c r="S1345" s="45"/>
      <c r="T1345" s="29" t="str">
        <f t="shared" si="141"/>
        <v/>
      </c>
    </row>
    <row r="1346" spans="1:20">
      <c r="A1346" s="10" t="str">
        <f t="shared" si="146"/>
        <v/>
      </c>
      <c r="B1346" s="63"/>
      <c r="C1346" s="25" t="str">
        <f t="shared" si="142"/>
        <v/>
      </c>
      <c r="D1346" s="25" t="str">
        <f t="shared" si="143"/>
        <v/>
      </c>
      <c r="E1346" s="45"/>
      <c r="F1346" s="28" t="str">
        <f>IFERROR(VLOOKUP(E1346,Category!$D$2:$E$600,2,FALSE),"")</f>
        <v/>
      </c>
      <c r="G1346" s="65"/>
      <c r="H1346" s="56"/>
      <c r="I1346" s="66"/>
      <c r="J1346" s="67"/>
      <c r="K1346" s="67"/>
      <c r="L1346" s="67"/>
      <c r="M1346" s="29" t="str">
        <f t="shared" si="144"/>
        <v/>
      </c>
      <c r="N1346" s="29" t="str">
        <f t="shared" si="145"/>
        <v/>
      </c>
      <c r="O1346" s="29" t="str">
        <f t="shared" ref="O1346:O1409" si="147">IF(H1346*I1346=0,"",H1346*I1346)</f>
        <v/>
      </c>
      <c r="P1346" s="61"/>
      <c r="Q1346" s="61"/>
      <c r="R1346" s="61"/>
      <c r="S1346" s="45"/>
      <c r="T1346" s="29" t="str">
        <f t="shared" ref="T1346:T1409" si="148">IF(R1346="paid",(H1346*I1346)-(G1346*H1346),"")</f>
        <v/>
      </c>
    </row>
    <row r="1347" spans="1:20">
      <c r="A1347" s="10" t="str">
        <f t="shared" si="146"/>
        <v/>
      </c>
      <c r="B1347" s="63"/>
      <c r="C1347" s="25" t="str">
        <f t="shared" ref="C1347:C1410" si="149">IF(B1347=0,"",TEXT(B1347,"mmmm"))</f>
        <v/>
      </c>
      <c r="D1347" s="25" t="str">
        <f t="shared" ref="D1347:D1410" si="150">IF(B1347=0,"",TEXT(B1347,"yyyy"))</f>
        <v/>
      </c>
      <c r="E1347" s="45"/>
      <c r="F1347" s="28" t="str">
        <f>IFERROR(VLOOKUP(E1347,Category!$D$2:$E$600,2,FALSE),"")</f>
        <v/>
      </c>
      <c r="G1347" s="65"/>
      <c r="H1347" s="56"/>
      <c r="I1347" s="66"/>
      <c r="J1347" s="67"/>
      <c r="K1347" s="67"/>
      <c r="L1347" s="67"/>
      <c r="M1347" s="29" t="str">
        <f t="shared" ref="M1347:M1410" si="151">IFERROR(IF(O1347&gt;0,IF(R1347="Paid","",O1347-J1347),""),"")</f>
        <v/>
      </c>
      <c r="N1347" s="29" t="str">
        <f t="shared" ref="N1347:N1410" si="152">IF(J1347&gt;0,IF(R1347="Paid",O1347-J1347,""),"")</f>
        <v/>
      </c>
      <c r="O1347" s="29" t="str">
        <f t="shared" si="147"/>
        <v/>
      </c>
      <c r="P1347" s="61"/>
      <c r="Q1347" s="61"/>
      <c r="R1347" s="61"/>
      <c r="S1347" s="45"/>
      <c r="T1347" s="29" t="str">
        <f t="shared" si="148"/>
        <v/>
      </c>
    </row>
    <row r="1348" spans="1:20">
      <c r="A1348" s="10" t="str">
        <f t="shared" ref="A1348:A1411" si="153">IF(E1348&gt;0,A1347+1,"")</f>
        <v/>
      </c>
      <c r="B1348" s="63"/>
      <c r="C1348" s="25" t="str">
        <f t="shared" si="149"/>
        <v/>
      </c>
      <c r="D1348" s="25" t="str">
        <f t="shared" si="150"/>
        <v/>
      </c>
      <c r="E1348" s="45"/>
      <c r="F1348" s="28" t="str">
        <f>IFERROR(VLOOKUP(E1348,Category!$D$2:$E$600,2,FALSE),"")</f>
        <v/>
      </c>
      <c r="G1348" s="65"/>
      <c r="H1348" s="56"/>
      <c r="I1348" s="66"/>
      <c r="J1348" s="67"/>
      <c r="K1348" s="67"/>
      <c r="L1348" s="67"/>
      <c r="M1348" s="29" t="str">
        <f t="shared" si="151"/>
        <v/>
      </c>
      <c r="N1348" s="29" t="str">
        <f t="shared" si="152"/>
        <v/>
      </c>
      <c r="O1348" s="29" t="str">
        <f t="shared" si="147"/>
        <v/>
      </c>
      <c r="P1348" s="61"/>
      <c r="Q1348" s="61"/>
      <c r="R1348" s="61"/>
      <c r="S1348" s="45"/>
      <c r="T1348" s="29" t="str">
        <f t="shared" si="148"/>
        <v/>
      </c>
    </row>
    <row r="1349" spans="1:20">
      <c r="A1349" s="10" t="str">
        <f t="shared" si="153"/>
        <v/>
      </c>
      <c r="B1349" s="63"/>
      <c r="C1349" s="25" t="str">
        <f t="shared" si="149"/>
        <v/>
      </c>
      <c r="D1349" s="25" t="str">
        <f t="shared" si="150"/>
        <v/>
      </c>
      <c r="E1349" s="45"/>
      <c r="F1349" s="28" t="str">
        <f>IFERROR(VLOOKUP(E1349,Category!$D$2:$E$600,2,FALSE),"")</f>
        <v/>
      </c>
      <c r="G1349" s="65"/>
      <c r="H1349" s="56"/>
      <c r="I1349" s="66"/>
      <c r="J1349" s="67"/>
      <c r="K1349" s="67"/>
      <c r="L1349" s="67"/>
      <c r="M1349" s="29" t="str">
        <f t="shared" si="151"/>
        <v/>
      </c>
      <c r="N1349" s="29" t="str">
        <f t="shared" si="152"/>
        <v/>
      </c>
      <c r="O1349" s="29" t="str">
        <f t="shared" si="147"/>
        <v/>
      </c>
      <c r="P1349" s="61"/>
      <c r="Q1349" s="61"/>
      <c r="R1349" s="61"/>
      <c r="S1349" s="45"/>
      <c r="T1349" s="29" t="str">
        <f t="shared" si="148"/>
        <v/>
      </c>
    </row>
    <row r="1350" spans="1:20">
      <c r="A1350" s="10" t="str">
        <f t="shared" si="153"/>
        <v/>
      </c>
      <c r="B1350" s="63"/>
      <c r="C1350" s="25" t="str">
        <f t="shared" si="149"/>
        <v/>
      </c>
      <c r="D1350" s="25" t="str">
        <f t="shared" si="150"/>
        <v/>
      </c>
      <c r="E1350" s="45"/>
      <c r="F1350" s="28" t="str">
        <f>IFERROR(VLOOKUP(E1350,Category!$D$2:$E$600,2,FALSE),"")</f>
        <v/>
      </c>
      <c r="G1350" s="65"/>
      <c r="H1350" s="56"/>
      <c r="I1350" s="66"/>
      <c r="J1350" s="67"/>
      <c r="K1350" s="67"/>
      <c r="L1350" s="67"/>
      <c r="M1350" s="29" t="str">
        <f t="shared" si="151"/>
        <v/>
      </c>
      <c r="N1350" s="29" t="str">
        <f t="shared" si="152"/>
        <v/>
      </c>
      <c r="O1350" s="29" t="str">
        <f t="shared" si="147"/>
        <v/>
      </c>
      <c r="P1350" s="61"/>
      <c r="Q1350" s="61"/>
      <c r="R1350" s="61"/>
      <c r="S1350" s="45"/>
      <c r="T1350" s="29" t="str">
        <f t="shared" si="148"/>
        <v/>
      </c>
    </row>
    <row r="1351" spans="1:20">
      <c r="A1351" s="10" t="str">
        <f t="shared" si="153"/>
        <v/>
      </c>
      <c r="B1351" s="63"/>
      <c r="C1351" s="25" t="str">
        <f t="shared" si="149"/>
        <v/>
      </c>
      <c r="D1351" s="25" t="str">
        <f t="shared" si="150"/>
        <v/>
      </c>
      <c r="E1351" s="45"/>
      <c r="F1351" s="28" t="str">
        <f>IFERROR(VLOOKUP(E1351,Category!$D$2:$E$600,2,FALSE),"")</f>
        <v/>
      </c>
      <c r="G1351" s="65"/>
      <c r="H1351" s="56"/>
      <c r="I1351" s="66"/>
      <c r="J1351" s="67"/>
      <c r="K1351" s="67"/>
      <c r="L1351" s="67"/>
      <c r="M1351" s="29" t="str">
        <f t="shared" si="151"/>
        <v/>
      </c>
      <c r="N1351" s="29" t="str">
        <f t="shared" si="152"/>
        <v/>
      </c>
      <c r="O1351" s="29" t="str">
        <f t="shared" si="147"/>
        <v/>
      </c>
      <c r="P1351" s="61"/>
      <c r="Q1351" s="61"/>
      <c r="R1351" s="61"/>
      <c r="S1351" s="45"/>
      <c r="T1351" s="29" t="str">
        <f t="shared" si="148"/>
        <v/>
      </c>
    </row>
    <row r="1352" spans="1:20">
      <c r="A1352" s="10" t="str">
        <f t="shared" si="153"/>
        <v/>
      </c>
      <c r="B1352" s="63"/>
      <c r="C1352" s="25" t="str">
        <f t="shared" si="149"/>
        <v/>
      </c>
      <c r="D1352" s="25" t="str">
        <f t="shared" si="150"/>
        <v/>
      </c>
      <c r="E1352" s="45"/>
      <c r="F1352" s="28" t="str">
        <f>IFERROR(VLOOKUP(E1352,Category!$D$2:$E$600,2,FALSE),"")</f>
        <v/>
      </c>
      <c r="G1352" s="65"/>
      <c r="H1352" s="56"/>
      <c r="I1352" s="66"/>
      <c r="J1352" s="67"/>
      <c r="K1352" s="67"/>
      <c r="L1352" s="67"/>
      <c r="M1352" s="29" t="str">
        <f t="shared" si="151"/>
        <v/>
      </c>
      <c r="N1352" s="29" t="str">
        <f t="shared" si="152"/>
        <v/>
      </c>
      <c r="O1352" s="29" t="str">
        <f t="shared" si="147"/>
        <v/>
      </c>
      <c r="P1352" s="61"/>
      <c r="Q1352" s="61"/>
      <c r="R1352" s="61"/>
      <c r="S1352" s="45"/>
      <c r="T1352" s="29" t="str">
        <f t="shared" si="148"/>
        <v/>
      </c>
    </row>
    <row r="1353" spans="1:20">
      <c r="A1353" s="10" t="str">
        <f t="shared" si="153"/>
        <v/>
      </c>
      <c r="B1353" s="63"/>
      <c r="C1353" s="25" t="str">
        <f t="shared" si="149"/>
        <v/>
      </c>
      <c r="D1353" s="25" t="str">
        <f t="shared" si="150"/>
        <v/>
      </c>
      <c r="E1353" s="45"/>
      <c r="F1353" s="28" t="str">
        <f>IFERROR(VLOOKUP(E1353,Category!$D$2:$E$600,2,FALSE),"")</f>
        <v/>
      </c>
      <c r="G1353" s="65"/>
      <c r="H1353" s="56"/>
      <c r="I1353" s="66"/>
      <c r="J1353" s="67"/>
      <c r="K1353" s="67"/>
      <c r="L1353" s="67"/>
      <c r="M1353" s="29" t="str">
        <f t="shared" si="151"/>
        <v/>
      </c>
      <c r="N1353" s="29" t="str">
        <f t="shared" si="152"/>
        <v/>
      </c>
      <c r="O1353" s="29" t="str">
        <f t="shared" si="147"/>
        <v/>
      </c>
      <c r="P1353" s="61"/>
      <c r="Q1353" s="61"/>
      <c r="R1353" s="61"/>
      <c r="S1353" s="45"/>
      <c r="T1353" s="29" t="str">
        <f t="shared" si="148"/>
        <v/>
      </c>
    </row>
    <row r="1354" spans="1:20">
      <c r="A1354" s="10" t="str">
        <f t="shared" si="153"/>
        <v/>
      </c>
      <c r="B1354" s="63"/>
      <c r="C1354" s="25" t="str">
        <f t="shared" si="149"/>
        <v/>
      </c>
      <c r="D1354" s="25" t="str">
        <f t="shared" si="150"/>
        <v/>
      </c>
      <c r="E1354" s="45"/>
      <c r="F1354" s="28" t="str">
        <f>IFERROR(VLOOKUP(E1354,Category!$D$2:$E$600,2,FALSE),"")</f>
        <v/>
      </c>
      <c r="G1354" s="65"/>
      <c r="H1354" s="56"/>
      <c r="I1354" s="66"/>
      <c r="J1354" s="67"/>
      <c r="K1354" s="67"/>
      <c r="L1354" s="67"/>
      <c r="M1354" s="29" t="str">
        <f t="shared" si="151"/>
        <v/>
      </c>
      <c r="N1354" s="29" t="str">
        <f t="shared" si="152"/>
        <v/>
      </c>
      <c r="O1354" s="29" t="str">
        <f t="shared" si="147"/>
        <v/>
      </c>
      <c r="P1354" s="61"/>
      <c r="Q1354" s="61"/>
      <c r="R1354" s="61"/>
      <c r="S1354" s="45"/>
      <c r="T1354" s="29" t="str">
        <f t="shared" si="148"/>
        <v/>
      </c>
    </row>
    <row r="1355" spans="1:20">
      <c r="A1355" s="10" t="str">
        <f t="shared" si="153"/>
        <v/>
      </c>
      <c r="B1355" s="63"/>
      <c r="C1355" s="25" t="str">
        <f t="shared" si="149"/>
        <v/>
      </c>
      <c r="D1355" s="25" t="str">
        <f t="shared" si="150"/>
        <v/>
      </c>
      <c r="E1355" s="45"/>
      <c r="F1355" s="28" t="str">
        <f>IFERROR(VLOOKUP(E1355,Category!$D$2:$E$600,2,FALSE),"")</f>
        <v/>
      </c>
      <c r="G1355" s="65"/>
      <c r="H1355" s="56"/>
      <c r="I1355" s="66"/>
      <c r="J1355" s="67"/>
      <c r="K1355" s="67"/>
      <c r="L1355" s="67"/>
      <c r="M1355" s="29" t="str">
        <f t="shared" si="151"/>
        <v/>
      </c>
      <c r="N1355" s="29" t="str">
        <f t="shared" si="152"/>
        <v/>
      </c>
      <c r="O1355" s="29" t="str">
        <f t="shared" si="147"/>
        <v/>
      </c>
      <c r="P1355" s="61"/>
      <c r="Q1355" s="61"/>
      <c r="R1355" s="61"/>
      <c r="S1355" s="45"/>
      <c r="T1355" s="29" t="str">
        <f t="shared" si="148"/>
        <v/>
      </c>
    </row>
    <row r="1356" spans="1:20">
      <c r="A1356" s="10" t="str">
        <f t="shared" si="153"/>
        <v/>
      </c>
      <c r="B1356" s="63"/>
      <c r="C1356" s="25" t="str">
        <f t="shared" si="149"/>
        <v/>
      </c>
      <c r="D1356" s="25" t="str">
        <f t="shared" si="150"/>
        <v/>
      </c>
      <c r="E1356" s="45"/>
      <c r="F1356" s="28" t="str">
        <f>IFERROR(VLOOKUP(E1356,Category!$D$2:$E$600,2,FALSE),"")</f>
        <v/>
      </c>
      <c r="G1356" s="65"/>
      <c r="H1356" s="56"/>
      <c r="I1356" s="66"/>
      <c r="J1356" s="67"/>
      <c r="K1356" s="67"/>
      <c r="L1356" s="67"/>
      <c r="M1356" s="29" t="str">
        <f t="shared" si="151"/>
        <v/>
      </c>
      <c r="N1356" s="29" t="str">
        <f t="shared" si="152"/>
        <v/>
      </c>
      <c r="O1356" s="29" t="str">
        <f t="shared" si="147"/>
        <v/>
      </c>
      <c r="P1356" s="61"/>
      <c r="Q1356" s="61"/>
      <c r="R1356" s="61"/>
      <c r="S1356" s="45"/>
      <c r="T1356" s="29" t="str">
        <f t="shared" si="148"/>
        <v/>
      </c>
    </row>
    <row r="1357" spans="1:20">
      <c r="A1357" s="10" t="str">
        <f t="shared" si="153"/>
        <v/>
      </c>
      <c r="B1357" s="63"/>
      <c r="C1357" s="25" t="str">
        <f t="shared" si="149"/>
        <v/>
      </c>
      <c r="D1357" s="25" t="str">
        <f t="shared" si="150"/>
        <v/>
      </c>
      <c r="E1357" s="45"/>
      <c r="F1357" s="28" t="str">
        <f>IFERROR(VLOOKUP(E1357,Category!$D$2:$E$600,2,FALSE),"")</f>
        <v/>
      </c>
      <c r="G1357" s="65"/>
      <c r="H1357" s="56"/>
      <c r="I1357" s="66"/>
      <c r="J1357" s="67"/>
      <c r="K1357" s="67"/>
      <c r="L1357" s="67"/>
      <c r="M1357" s="29" t="str">
        <f t="shared" si="151"/>
        <v/>
      </c>
      <c r="N1357" s="29" t="str">
        <f t="shared" si="152"/>
        <v/>
      </c>
      <c r="O1357" s="29" t="str">
        <f t="shared" si="147"/>
        <v/>
      </c>
      <c r="P1357" s="61"/>
      <c r="Q1357" s="61"/>
      <c r="R1357" s="61"/>
      <c r="S1357" s="45"/>
      <c r="T1357" s="29" t="str">
        <f t="shared" si="148"/>
        <v/>
      </c>
    </row>
    <row r="1358" spans="1:20">
      <c r="A1358" s="10" t="str">
        <f t="shared" si="153"/>
        <v/>
      </c>
      <c r="B1358" s="63"/>
      <c r="C1358" s="25" t="str">
        <f t="shared" si="149"/>
        <v/>
      </c>
      <c r="D1358" s="25" t="str">
        <f t="shared" si="150"/>
        <v/>
      </c>
      <c r="E1358" s="45"/>
      <c r="F1358" s="28" t="str">
        <f>IFERROR(VLOOKUP(E1358,Category!$D$2:$E$600,2,FALSE),"")</f>
        <v/>
      </c>
      <c r="G1358" s="65"/>
      <c r="H1358" s="56"/>
      <c r="I1358" s="66"/>
      <c r="J1358" s="67"/>
      <c r="K1358" s="67"/>
      <c r="L1358" s="67"/>
      <c r="M1358" s="29" t="str">
        <f t="shared" si="151"/>
        <v/>
      </c>
      <c r="N1358" s="29" t="str">
        <f t="shared" si="152"/>
        <v/>
      </c>
      <c r="O1358" s="29" t="str">
        <f t="shared" si="147"/>
        <v/>
      </c>
      <c r="P1358" s="61"/>
      <c r="Q1358" s="61"/>
      <c r="R1358" s="61"/>
      <c r="S1358" s="45"/>
      <c r="T1358" s="29" t="str">
        <f t="shared" si="148"/>
        <v/>
      </c>
    </row>
    <row r="1359" spans="1:20">
      <c r="A1359" s="10" t="str">
        <f t="shared" si="153"/>
        <v/>
      </c>
      <c r="B1359" s="63"/>
      <c r="C1359" s="25" t="str">
        <f t="shared" si="149"/>
        <v/>
      </c>
      <c r="D1359" s="25" t="str">
        <f t="shared" si="150"/>
        <v/>
      </c>
      <c r="E1359" s="45"/>
      <c r="F1359" s="28" t="str">
        <f>IFERROR(VLOOKUP(E1359,Category!$D$2:$E$600,2,FALSE),"")</f>
        <v/>
      </c>
      <c r="G1359" s="65"/>
      <c r="H1359" s="56"/>
      <c r="I1359" s="66"/>
      <c r="J1359" s="67"/>
      <c r="K1359" s="67"/>
      <c r="L1359" s="67"/>
      <c r="M1359" s="29" t="str">
        <f t="shared" si="151"/>
        <v/>
      </c>
      <c r="N1359" s="29" t="str">
        <f t="shared" si="152"/>
        <v/>
      </c>
      <c r="O1359" s="29" t="str">
        <f t="shared" si="147"/>
        <v/>
      </c>
      <c r="P1359" s="61"/>
      <c r="Q1359" s="61"/>
      <c r="R1359" s="61"/>
      <c r="S1359" s="45"/>
      <c r="T1359" s="29" t="str">
        <f t="shared" si="148"/>
        <v/>
      </c>
    </row>
    <row r="1360" spans="1:20">
      <c r="A1360" s="10" t="str">
        <f t="shared" si="153"/>
        <v/>
      </c>
      <c r="B1360" s="63"/>
      <c r="C1360" s="25" t="str">
        <f t="shared" si="149"/>
        <v/>
      </c>
      <c r="D1360" s="25" t="str">
        <f t="shared" si="150"/>
        <v/>
      </c>
      <c r="E1360" s="45"/>
      <c r="F1360" s="28" t="str">
        <f>IFERROR(VLOOKUP(E1360,Category!$D$2:$E$600,2,FALSE),"")</f>
        <v/>
      </c>
      <c r="G1360" s="65"/>
      <c r="H1360" s="56"/>
      <c r="I1360" s="66"/>
      <c r="J1360" s="67"/>
      <c r="K1360" s="67"/>
      <c r="L1360" s="67"/>
      <c r="M1360" s="29" t="str">
        <f t="shared" si="151"/>
        <v/>
      </c>
      <c r="N1360" s="29" t="str">
        <f t="shared" si="152"/>
        <v/>
      </c>
      <c r="O1360" s="29" t="str">
        <f t="shared" si="147"/>
        <v/>
      </c>
      <c r="P1360" s="61"/>
      <c r="Q1360" s="61"/>
      <c r="R1360" s="61"/>
      <c r="S1360" s="45"/>
      <c r="T1360" s="29" t="str">
        <f t="shared" si="148"/>
        <v/>
      </c>
    </row>
    <row r="1361" spans="1:20">
      <c r="A1361" s="10" t="str">
        <f t="shared" si="153"/>
        <v/>
      </c>
      <c r="B1361" s="63"/>
      <c r="C1361" s="25" t="str">
        <f t="shared" si="149"/>
        <v/>
      </c>
      <c r="D1361" s="25" t="str">
        <f t="shared" si="150"/>
        <v/>
      </c>
      <c r="E1361" s="45"/>
      <c r="F1361" s="28" t="str">
        <f>IFERROR(VLOOKUP(E1361,Category!$D$2:$E$600,2,FALSE),"")</f>
        <v/>
      </c>
      <c r="G1361" s="65"/>
      <c r="H1361" s="56"/>
      <c r="I1361" s="66"/>
      <c r="J1361" s="67"/>
      <c r="K1361" s="67"/>
      <c r="L1361" s="67"/>
      <c r="M1361" s="29" t="str">
        <f t="shared" si="151"/>
        <v/>
      </c>
      <c r="N1361" s="29" t="str">
        <f t="shared" si="152"/>
        <v/>
      </c>
      <c r="O1361" s="29" t="str">
        <f t="shared" si="147"/>
        <v/>
      </c>
      <c r="P1361" s="61"/>
      <c r="Q1361" s="61"/>
      <c r="R1361" s="61"/>
      <c r="S1361" s="45"/>
      <c r="T1361" s="29" t="str">
        <f t="shared" si="148"/>
        <v/>
      </c>
    </row>
    <row r="1362" spans="1:20">
      <c r="A1362" s="10" t="str">
        <f t="shared" si="153"/>
        <v/>
      </c>
      <c r="B1362" s="63"/>
      <c r="C1362" s="25" t="str">
        <f t="shared" si="149"/>
        <v/>
      </c>
      <c r="D1362" s="25" t="str">
        <f t="shared" si="150"/>
        <v/>
      </c>
      <c r="E1362" s="45"/>
      <c r="F1362" s="28" t="str">
        <f>IFERROR(VLOOKUP(E1362,Category!$D$2:$E$600,2,FALSE),"")</f>
        <v/>
      </c>
      <c r="G1362" s="65"/>
      <c r="H1362" s="56"/>
      <c r="I1362" s="66"/>
      <c r="J1362" s="67"/>
      <c r="K1362" s="67"/>
      <c r="L1362" s="67"/>
      <c r="M1362" s="29" t="str">
        <f t="shared" si="151"/>
        <v/>
      </c>
      <c r="N1362" s="29" t="str">
        <f t="shared" si="152"/>
        <v/>
      </c>
      <c r="O1362" s="29" t="str">
        <f t="shared" si="147"/>
        <v/>
      </c>
      <c r="P1362" s="61"/>
      <c r="Q1362" s="61"/>
      <c r="R1362" s="61"/>
      <c r="S1362" s="45"/>
      <c r="T1362" s="29" t="str">
        <f t="shared" si="148"/>
        <v/>
      </c>
    </row>
    <row r="1363" spans="1:20">
      <c r="A1363" s="10" t="str">
        <f t="shared" si="153"/>
        <v/>
      </c>
      <c r="B1363" s="63"/>
      <c r="C1363" s="25" t="str">
        <f t="shared" si="149"/>
        <v/>
      </c>
      <c r="D1363" s="25" t="str">
        <f t="shared" si="150"/>
        <v/>
      </c>
      <c r="E1363" s="45"/>
      <c r="F1363" s="28" t="str">
        <f>IFERROR(VLOOKUP(E1363,Category!$D$2:$E$600,2,FALSE),"")</f>
        <v/>
      </c>
      <c r="G1363" s="65"/>
      <c r="H1363" s="56"/>
      <c r="I1363" s="66"/>
      <c r="J1363" s="67"/>
      <c r="K1363" s="67"/>
      <c r="L1363" s="67"/>
      <c r="M1363" s="29" t="str">
        <f t="shared" si="151"/>
        <v/>
      </c>
      <c r="N1363" s="29" t="str">
        <f t="shared" si="152"/>
        <v/>
      </c>
      <c r="O1363" s="29" t="str">
        <f t="shared" si="147"/>
        <v/>
      </c>
      <c r="P1363" s="61"/>
      <c r="Q1363" s="61"/>
      <c r="R1363" s="61"/>
      <c r="S1363" s="45"/>
      <c r="T1363" s="29" t="str">
        <f t="shared" si="148"/>
        <v/>
      </c>
    </row>
    <row r="1364" spans="1:20">
      <c r="A1364" s="10" t="str">
        <f t="shared" si="153"/>
        <v/>
      </c>
      <c r="B1364" s="63"/>
      <c r="C1364" s="25" t="str">
        <f t="shared" si="149"/>
        <v/>
      </c>
      <c r="D1364" s="25" t="str">
        <f t="shared" si="150"/>
        <v/>
      </c>
      <c r="E1364" s="45"/>
      <c r="F1364" s="28" t="str">
        <f>IFERROR(VLOOKUP(E1364,Category!$D$2:$E$600,2,FALSE),"")</f>
        <v/>
      </c>
      <c r="G1364" s="65"/>
      <c r="H1364" s="56"/>
      <c r="I1364" s="66"/>
      <c r="J1364" s="67"/>
      <c r="K1364" s="67"/>
      <c r="L1364" s="67"/>
      <c r="M1364" s="29" t="str">
        <f t="shared" si="151"/>
        <v/>
      </c>
      <c r="N1364" s="29" t="str">
        <f t="shared" si="152"/>
        <v/>
      </c>
      <c r="O1364" s="29" t="str">
        <f t="shared" si="147"/>
        <v/>
      </c>
      <c r="P1364" s="61"/>
      <c r="Q1364" s="61"/>
      <c r="R1364" s="61"/>
      <c r="S1364" s="45"/>
      <c r="T1364" s="29" t="str">
        <f t="shared" si="148"/>
        <v/>
      </c>
    </row>
    <row r="1365" spans="1:20">
      <c r="A1365" s="10" t="str">
        <f t="shared" si="153"/>
        <v/>
      </c>
      <c r="B1365" s="63"/>
      <c r="C1365" s="25" t="str">
        <f t="shared" si="149"/>
        <v/>
      </c>
      <c r="D1365" s="25" t="str">
        <f t="shared" si="150"/>
        <v/>
      </c>
      <c r="E1365" s="45"/>
      <c r="F1365" s="28" t="str">
        <f>IFERROR(VLOOKUP(E1365,Category!$D$2:$E$600,2,FALSE),"")</f>
        <v/>
      </c>
      <c r="G1365" s="65"/>
      <c r="H1365" s="56"/>
      <c r="I1365" s="66"/>
      <c r="J1365" s="67"/>
      <c r="K1365" s="67"/>
      <c r="L1365" s="67"/>
      <c r="M1365" s="29" t="str">
        <f t="shared" si="151"/>
        <v/>
      </c>
      <c r="N1365" s="29" t="str">
        <f t="shared" si="152"/>
        <v/>
      </c>
      <c r="O1365" s="29" t="str">
        <f t="shared" si="147"/>
        <v/>
      </c>
      <c r="P1365" s="61"/>
      <c r="Q1365" s="61"/>
      <c r="R1365" s="61"/>
      <c r="S1365" s="45"/>
      <c r="T1365" s="29" t="str">
        <f t="shared" si="148"/>
        <v/>
      </c>
    </row>
    <row r="1366" spans="1:20">
      <c r="A1366" s="10" t="str">
        <f t="shared" si="153"/>
        <v/>
      </c>
      <c r="B1366" s="63"/>
      <c r="C1366" s="25" t="str">
        <f t="shared" si="149"/>
        <v/>
      </c>
      <c r="D1366" s="25" t="str">
        <f t="shared" si="150"/>
        <v/>
      </c>
      <c r="E1366" s="45"/>
      <c r="F1366" s="28" t="str">
        <f>IFERROR(VLOOKUP(E1366,Category!$D$2:$E$600,2,FALSE),"")</f>
        <v/>
      </c>
      <c r="G1366" s="65"/>
      <c r="H1366" s="56"/>
      <c r="I1366" s="66"/>
      <c r="J1366" s="67"/>
      <c r="K1366" s="67"/>
      <c r="L1366" s="67"/>
      <c r="M1366" s="29" t="str">
        <f t="shared" si="151"/>
        <v/>
      </c>
      <c r="N1366" s="29" t="str">
        <f t="shared" si="152"/>
        <v/>
      </c>
      <c r="O1366" s="29" t="str">
        <f t="shared" si="147"/>
        <v/>
      </c>
      <c r="P1366" s="61"/>
      <c r="Q1366" s="61"/>
      <c r="R1366" s="61"/>
      <c r="S1366" s="45"/>
      <c r="T1366" s="29" t="str">
        <f t="shared" si="148"/>
        <v/>
      </c>
    </row>
    <row r="1367" spans="1:20">
      <c r="A1367" s="10" t="str">
        <f t="shared" si="153"/>
        <v/>
      </c>
      <c r="B1367" s="63"/>
      <c r="C1367" s="25" t="str">
        <f t="shared" si="149"/>
        <v/>
      </c>
      <c r="D1367" s="25" t="str">
        <f t="shared" si="150"/>
        <v/>
      </c>
      <c r="E1367" s="45"/>
      <c r="F1367" s="28" t="str">
        <f>IFERROR(VLOOKUP(E1367,Category!$D$2:$E$600,2,FALSE),"")</f>
        <v/>
      </c>
      <c r="G1367" s="65"/>
      <c r="H1367" s="56"/>
      <c r="I1367" s="66"/>
      <c r="J1367" s="67"/>
      <c r="K1367" s="67"/>
      <c r="L1367" s="67"/>
      <c r="M1367" s="29" t="str">
        <f t="shared" si="151"/>
        <v/>
      </c>
      <c r="N1367" s="29" t="str">
        <f t="shared" si="152"/>
        <v/>
      </c>
      <c r="O1367" s="29" t="str">
        <f t="shared" si="147"/>
        <v/>
      </c>
      <c r="P1367" s="61"/>
      <c r="Q1367" s="61"/>
      <c r="R1367" s="61"/>
      <c r="S1367" s="45"/>
      <c r="T1367" s="29" t="str">
        <f t="shared" si="148"/>
        <v/>
      </c>
    </row>
    <row r="1368" spans="1:20">
      <c r="A1368" s="10" t="str">
        <f t="shared" si="153"/>
        <v/>
      </c>
      <c r="B1368" s="63"/>
      <c r="C1368" s="25" t="str">
        <f t="shared" si="149"/>
        <v/>
      </c>
      <c r="D1368" s="25" t="str">
        <f t="shared" si="150"/>
        <v/>
      </c>
      <c r="E1368" s="45"/>
      <c r="F1368" s="28" t="str">
        <f>IFERROR(VLOOKUP(E1368,Category!$D$2:$E$600,2,FALSE),"")</f>
        <v/>
      </c>
      <c r="G1368" s="65"/>
      <c r="H1368" s="56"/>
      <c r="I1368" s="66"/>
      <c r="J1368" s="67"/>
      <c r="K1368" s="67"/>
      <c r="L1368" s="67"/>
      <c r="M1368" s="29" t="str">
        <f t="shared" si="151"/>
        <v/>
      </c>
      <c r="N1368" s="29" t="str">
        <f t="shared" si="152"/>
        <v/>
      </c>
      <c r="O1368" s="29" t="str">
        <f t="shared" si="147"/>
        <v/>
      </c>
      <c r="P1368" s="61"/>
      <c r="Q1368" s="61"/>
      <c r="R1368" s="61"/>
      <c r="S1368" s="45"/>
      <c r="T1368" s="29" t="str">
        <f t="shared" si="148"/>
        <v/>
      </c>
    </row>
    <row r="1369" spans="1:20">
      <c r="A1369" s="10" t="str">
        <f t="shared" si="153"/>
        <v/>
      </c>
      <c r="B1369" s="63"/>
      <c r="C1369" s="25" t="str">
        <f t="shared" si="149"/>
        <v/>
      </c>
      <c r="D1369" s="25" t="str">
        <f t="shared" si="150"/>
        <v/>
      </c>
      <c r="E1369" s="45"/>
      <c r="F1369" s="28" t="str">
        <f>IFERROR(VLOOKUP(E1369,Category!$D$2:$E$600,2,FALSE),"")</f>
        <v/>
      </c>
      <c r="G1369" s="65"/>
      <c r="H1369" s="56"/>
      <c r="I1369" s="66"/>
      <c r="J1369" s="67"/>
      <c r="K1369" s="67"/>
      <c r="L1369" s="67"/>
      <c r="M1369" s="29" t="str">
        <f t="shared" si="151"/>
        <v/>
      </c>
      <c r="N1369" s="29" t="str">
        <f t="shared" si="152"/>
        <v/>
      </c>
      <c r="O1369" s="29" t="str">
        <f t="shared" si="147"/>
        <v/>
      </c>
      <c r="P1369" s="61"/>
      <c r="Q1369" s="61"/>
      <c r="R1369" s="61"/>
      <c r="S1369" s="45"/>
      <c r="T1369" s="29" t="str">
        <f t="shared" si="148"/>
        <v/>
      </c>
    </row>
    <row r="1370" spans="1:20">
      <c r="A1370" s="10" t="str">
        <f t="shared" si="153"/>
        <v/>
      </c>
      <c r="B1370" s="63"/>
      <c r="C1370" s="25" t="str">
        <f t="shared" si="149"/>
        <v/>
      </c>
      <c r="D1370" s="25" t="str">
        <f t="shared" si="150"/>
        <v/>
      </c>
      <c r="E1370" s="45"/>
      <c r="F1370" s="28" t="str">
        <f>IFERROR(VLOOKUP(E1370,Category!$D$2:$E$600,2,FALSE),"")</f>
        <v/>
      </c>
      <c r="G1370" s="65"/>
      <c r="H1370" s="56"/>
      <c r="I1370" s="66"/>
      <c r="J1370" s="67"/>
      <c r="K1370" s="67"/>
      <c r="L1370" s="67"/>
      <c r="M1370" s="29" t="str">
        <f t="shared" si="151"/>
        <v/>
      </c>
      <c r="N1370" s="29" t="str">
        <f t="shared" si="152"/>
        <v/>
      </c>
      <c r="O1370" s="29" t="str">
        <f t="shared" si="147"/>
        <v/>
      </c>
      <c r="P1370" s="61"/>
      <c r="Q1370" s="61"/>
      <c r="R1370" s="61"/>
      <c r="S1370" s="45"/>
      <c r="T1370" s="29" t="str">
        <f t="shared" si="148"/>
        <v/>
      </c>
    </row>
    <row r="1371" spans="1:20">
      <c r="A1371" s="10" t="str">
        <f t="shared" si="153"/>
        <v/>
      </c>
      <c r="B1371" s="63"/>
      <c r="C1371" s="25" t="str">
        <f t="shared" si="149"/>
        <v/>
      </c>
      <c r="D1371" s="25" t="str">
        <f t="shared" si="150"/>
        <v/>
      </c>
      <c r="E1371" s="45"/>
      <c r="F1371" s="28" t="str">
        <f>IFERROR(VLOOKUP(E1371,Category!$D$2:$E$600,2,FALSE),"")</f>
        <v/>
      </c>
      <c r="G1371" s="65"/>
      <c r="H1371" s="56"/>
      <c r="I1371" s="66"/>
      <c r="J1371" s="67"/>
      <c r="K1371" s="67"/>
      <c r="L1371" s="67"/>
      <c r="M1371" s="29" t="str">
        <f t="shared" si="151"/>
        <v/>
      </c>
      <c r="N1371" s="29" t="str">
        <f t="shared" si="152"/>
        <v/>
      </c>
      <c r="O1371" s="29" t="str">
        <f t="shared" si="147"/>
        <v/>
      </c>
      <c r="P1371" s="61"/>
      <c r="Q1371" s="61"/>
      <c r="R1371" s="61"/>
      <c r="S1371" s="45"/>
      <c r="T1371" s="29" t="str">
        <f t="shared" si="148"/>
        <v/>
      </c>
    </row>
    <row r="1372" spans="1:20">
      <c r="A1372" s="10" t="str">
        <f t="shared" si="153"/>
        <v/>
      </c>
      <c r="B1372" s="63"/>
      <c r="C1372" s="25" t="str">
        <f t="shared" si="149"/>
        <v/>
      </c>
      <c r="D1372" s="25" t="str">
        <f t="shared" si="150"/>
        <v/>
      </c>
      <c r="E1372" s="45"/>
      <c r="F1372" s="28" t="str">
        <f>IFERROR(VLOOKUP(E1372,Category!$D$2:$E$600,2,FALSE),"")</f>
        <v/>
      </c>
      <c r="G1372" s="65"/>
      <c r="H1372" s="56"/>
      <c r="I1372" s="66"/>
      <c r="J1372" s="67"/>
      <c r="K1372" s="67"/>
      <c r="L1372" s="67"/>
      <c r="M1372" s="29" t="str">
        <f t="shared" si="151"/>
        <v/>
      </c>
      <c r="N1372" s="29" t="str">
        <f t="shared" si="152"/>
        <v/>
      </c>
      <c r="O1372" s="29" t="str">
        <f t="shared" si="147"/>
        <v/>
      </c>
      <c r="P1372" s="61"/>
      <c r="Q1372" s="61"/>
      <c r="R1372" s="61"/>
      <c r="S1372" s="45"/>
      <c r="T1372" s="29" t="str">
        <f t="shared" si="148"/>
        <v/>
      </c>
    </row>
    <row r="1373" spans="1:20">
      <c r="A1373" s="10" t="str">
        <f t="shared" si="153"/>
        <v/>
      </c>
      <c r="B1373" s="63"/>
      <c r="C1373" s="25" t="str">
        <f t="shared" si="149"/>
        <v/>
      </c>
      <c r="D1373" s="25" t="str">
        <f t="shared" si="150"/>
        <v/>
      </c>
      <c r="E1373" s="45"/>
      <c r="F1373" s="28" t="str">
        <f>IFERROR(VLOOKUP(E1373,Category!$D$2:$E$600,2,FALSE),"")</f>
        <v/>
      </c>
      <c r="G1373" s="65"/>
      <c r="H1373" s="56"/>
      <c r="I1373" s="66"/>
      <c r="J1373" s="67"/>
      <c r="K1373" s="67"/>
      <c r="L1373" s="67"/>
      <c r="M1373" s="29" t="str">
        <f t="shared" si="151"/>
        <v/>
      </c>
      <c r="N1373" s="29" t="str">
        <f t="shared" si="152"/>
        <v/>
      </c>
      <c r="O1373" s="29" t="str">
        <f t="shared" si="147"/>
        <v/>
      </c>
      <c r="P1373" s="61"/>
      <c r="Q1373" s="61"/>
      <c r="R1373" s="61"/>
      <c r="S1373" s="45"/>
      <c r="T1373" s="29" t="str">
        <f t="shared" si="148"/>
        <v/>
      </c>
    </row>
    <row r="1374" spans="1:20">
      <c r="A1374" s="10" t="str">
        <f t="shared" si="153"/>
        <v/>
      </c>
      <c r="B1374" s="63"/>
      <c r="C1374" s="25" t="str">
        <f t="shared" si="149"/>
        <v/>
      </c>
      <c r="D1374" s="25" t="str">
        <f t="shared" si="150"/>
        <v/>
      </c>
      <c r="E1374" s="45"/>
      <c r="F1374" s="28" t="str">
        <f>IFERROR(VLOOKUP(E1374,Category!$D$2:$E$600,2,FALSE),"")</f>
        <v/>
      </c>
      <c r="G1374" s="65"/>
      <c r="H1374" s="56"/>
      <c r="I1374" s="66"/>
      <c r="J1374" s="67"/>
      <c r="K1374" s="67"/>
      <c r="L1374" s="67"/>
      <c r="M1374" s="29" t="str">
        <f t="shared" si="151"/>
        <v/>
      </c>
      <c r="N1374" s="29" t="str">
        <f t="shared" si="152"/>
        <v/>
      </c>
      <c r="O1374" s="29" t="str">
        <f t="shared" si="147"/>
        <v/>
      </c>
      <c r="P1374" s="61"/>
      <c r="Q1374" s="61"/>
      <c r="R1374" s="61"/>
      <c r="S1374" s="45"/>
      <c r="T1374" s="29" t="str">
        <f t="shared" si="148"/>
        <v/>
      </c>
    </row>
    <row r="1375" spans="1:20">
      <c r="A1375" s="10" t="str">
        <f t="shared" si="153"/>
        <v/>
      </c>
      <c r="B1375" s="63"/>
      <c r="C1375" s="25" t="str">
        <f t="shared" si="149"/>
        <v/>
      </c>
      <c r="D1375" s="25" t="str">
        <f t="shared" si="150"/>
        <v/>
      </c>
      <c r="E1375" s="45"/>
      <c r="F1375" s="28" t="str">
        <f>IFERROR(VLOOKUP(E1375,Category!$D$2:$E$600,2,FALSE),"")</f>
        <v/>
      </c>
      <c r="G1375" s="65"/>
      <c r="H1375" s="56"/>
      <c r="I1375" s="66"/>
      <c r="J1375" s="67"/>
      <c r="K1375" s="67"/>
      <c r="L1375" s="67"/>
      <c r="M1375" s="29" t="str">
        <f t="shared" si="151"/>
        <v/>
      </c>
      <c r="N1375" s="29" t="str">
        <f t="shared" si="152"/>
        <v/>
      </c>
      <c r="O1375" s="29" t="str">
        <f t="shared" si="147"/>
        <v/>
      </c>
      <c r="P1375" s="61"/>
      <c r="Q1375" s="61"/>
      <c r="R1375" s="61"/>
      <c r="S1375" s="45"/>
      <c r="T1375" s="29" t="str">
        <f t="shared" si="148"/>
        <v/>
      </c>
    </row>
    <row r="1376" spans="1:20">
      <c r="A1376" s="10" t="str">
        <f t="shared" si="153"/>
        <v/>
      </c>
      <c r="B1376" s="63"/>
      <c r="C1376" s="25" t="str">
        <f t="shared" si="149"/>
        <v/>
      </c>
      <c r="D1376" s="25" t="str">
        <f t="shared" si="150"/>
        <v/>
      </c>
      <c r="E1376" s="45"/>
      <c r="F1376" s="28" t="str">
        <f>IFERROR(VLOOKUP(E1376,Category!$D$2:$E$600,2,FALSE),"")</f>
        <v/>
      </c>
      <c r="G1376" s="65"/>
      <c r="H1376" s="56"/>
      <c r="I1376" s="66"/>
      <c r="J1376" s="67"/>
      <c r="K1376" s="67"/>
      <c r="L1376" s="67"/>
      <c r="M1376" s="29" t="str">
        <f t="shared" si="151"/>
        <v/>
      </c>
      <c r="N1376" s="29" t="str">
        <f t="shared" si="152"/>
        <v/>
      </c>
      <c r="O1376" s="29" t="str">
        <f t="shared" si="147"/>
        <v/>
      </c>
      <c r="P1376" s="61"/>
      <c r="Q1376" s="61"/>
      <c r="R1376" s="61"/>
      <c r="S1376" s="45"/>
      <c r="T1376" s="29" t="str">
        <f t="shared" si="148"/>
        <v/>
      </c>
    </row>
    <row r="1377" spans="1:20">
      <c r="A1377" s="10" t="str">
        <f t="shared" si="153"/>
        <v/>
      </c>
      <c r="B1377" s="63"/>
      <c r="C1377" s="25" t="str">
        <f t="shared" si="149"/>
        <v/>
      </c>
      <c r="D1377" s="25" t="str">
        <f t="shared" si="150"/>
        <v/>
      </c>
      <c r="E1377" s="45"/>
      <c r="F1377" s="28" t="str">
        <f>IFERROR(VLOOKUP(E1377,Category!$D$2:$E$600,2,FALSE),"")</f>
        <v/>
      </c>
      <c r="G1377" s="65"/>
      <c r="H1377" s="56"/>
      <c r="I1377" s="66"/>
      <c r="J1377" s="67"/>
      <c r="K1377" s="67"/>
      <c r="L1377" s="67"/>
      <c r="M1377" s="29" t="str">
        <f t="shared" si="151"/>
        <v/>
      </c>
      <c r="N1377" s="29" t="str">
        <f t="shared" si="152"/>
        <v/>
      </c>
      <c r="O1377" s="29" t="str">
        <f t="shared" si="147"/>
        <v/>
      </c>
      <c r="P1377" s="61"/>
      <c r="Q1377" s="61"/>
      <c r="R1377" s="61"/>
      <c r="S1377" s="45"/>
      <c r="T1377" s="29" t="str">
        <f t="shared" si="148"/>
        <v/>
      </c>
    </row>
    <row r="1378" spans="1:20">
      <c r="A1378" s="10" t="str">
        <f t="shared" si="153"/>
        <v/>
      </c>
      <c r="B1378" s="63"/>
      <c r="C1378" s="25" t="str">
        <f t="shared" si="149"/>
        <v/>
      </c>
      <c r="D1378" s="25" t="str">
        <f t="shared" si="150"/>
        <v/>
      </c>
      <c r="E1378" s="45"/>
      <c r="F1378" s="28" t="str">
        <f>IFERROR(VLOOKUP(E1378,Category!$D$2:$E$600,2,FALSE),"")</f>
        <v/>
      </c>
      <c r="G1378" s="65"/>
      <c r="H1378" s="56"/>
      <c r="I1378" s="66"/>
      <c r="J1378" s="67"/>
      <c r="K1378" s="67"/>
      <c r="L1378" s="67"/>
      <c r="M1378" s="29" t="str">
        <f t="shared" si="151"/>
        <v/>
      </c>
      <c r="N1378" s="29" t="str">
        <f t="shared" si="152"/>
        <v/>
      </c>
      <c r="O1378" s="29" t="str">
        <f t="shared" si="147"/>
        <v/>
      </c>
      <c r="P1378" s="61"/>
      <c r="Q1378" s="61"/>
      <c r="R1378" s="61"/>
      <c r="S1378" s="45"/>
      <c r="T1378" s="29" t="str">
        <f t="shared" si="148"/>
        <v/>
      </c>
    </row>
    <row r="1379" spans="1:20">
      <c r="A1379" s="10" t="str">
        <f t="shared" si="153"/>
        <v/>
      </c>
      <c r="B1379" s="63"/>
      <c r="C1379" s="25" t="str">
        <f t="shared" si="149"/>
        <v/>
      </c>
      <c r="D1379" s="25" t="str">
        <f t="shared" si="150"/>
        <v/>
      </c>
      <c r="E1379" s="45"/>
      <c r="F1379" s="28" t="str">
        <f>IFERROR(VLOOKUP(E1379,Category!$D$2:$E$600,2,FALSE),"")</f>
        <v/>
      </c>
      <c r="G1379" s="65"/>
      <c r="H1379" s="56"/>
      <c r="I1379" s="66"/>
      <c r="J1379" s="67"/>
      <c r="K1379" s="67"/>
      <c r="L1379" s="67"/>
      <c r="M1379" s="29" t="str">
        <f t="shared" si="151"/>
        <v/>
      </c>
      <c r="N1379" s="29" t="str">
        <f t="shared" si="152"/>
        <v/>
      </c>
      <c r="O1379" s="29" t="str">
        <f t="shared" si="147"/>
        <v/>
      </c>
      <c r="P1379" s="61"/>
      <c r="Q1379" s="61"/>
      <c r="R1379" s="61"/>
      <c r="S1379" s="45"/>
      <c r="T1379" s="29" t="str">
        <f t="shared" si="148"/>
        <v/>
      </c>
    </row>
    <row r="1380" spans="1:20">
      <c r="A1380" s="10" t="str">
        <f t="shared" si="153"/>
        <v/>
      </c>
      <c r="B1380" s="63"/>
      <c r="C1380" s="25" t="str">
        <f t="shared" si="149"/>
        <v/>
      </c>
      <c r="D1380" s="25" t="str">
        <f t="shared" si="150"/>
        <v/>
      </c>
      <c r="E1380" s="45"/>
      <c r="F1380" s="28" t="str">
        <f>IFERROR(VLOOKUP(E1380,Category!$D$2:$E$600,2,FALSE),"")</f>
        <v/>
      </c>
      <c r="G1380" s="65"/>
      <c r="H1380" s="56"/>
      <c r="I1380" s="66"/>
      <c r="J1380" s="67"/>
      <c r="K1380" s="67"/>
      <c r="L1380" s="67"/>
      <c r="M1380" s="29" t="str">
        <f t="shared" si="151"/>
        <v/>
      </c>
      <c r="N1380" s="29" t="str">
        <f t="shared" si="152"/>
        <v/>
      </c>
      <c r="O1380" s="29" t="str">
        <f t="shared" si="147"/>
        <v/>
      </c>
      <c r="P1380" s="61"/>
      <c r="Q1380" s="61"/>
      <c r="R1380" s="61"/>
      <c r="S1380" s="45"/>
      <c r="T1380" s="29" t="str">
        <f t="shared" si="148"/>
        <v/>
      </c>
    </row>
    <row r="1381" spans="1:20">
      <c r="A1381" s="10" t="str">
        <f t="shared" si="153"/>
        <v/>
      </c>
      <c r="B1381" s="63"/>
      <c r="C1381" s="25" t="str">
        <f t="shared" si="149"/>
        <v/>
      </c>
      <c r="D1381" s="25" t="str">
        <f t="shared" si="150"/>
        <v/>
      </c>
      <c r="E1381" s="45"/>
      <c r="F1381" s="28" t="str">
        <f>IFERROR(VLOOKUP(E1381,Category!$D$2:$E$600,2,FALSE),"")</f>
        <v/>
      </c>
      <c r="G1381" s="65"/>
      <c r="H1381" s="56"/>
      <c r="I1381" s="66"/>
      <c r="J1381" s="67"/>
      <c r="K1381" s="67"/>
      <c r="L1381" s="67"/>
      <c r="M1381" s="29" t="str">
        <f t="shared" si="151"/>
        <v/>
      </c>
      <c r="N1381" s="29" t="str">
        <f t="shared" si="152"/>
        <v/>
      </c>
      <c r="O1381" s="29" t="str">
        <f t="shared" si="147"/>
        <v/>
      </c>
      <c r="P1381" s="61"/>
      <c r="Q1381" s="61"/>
      <c r="R1381" s="61"/>
      <c r="S1381" s="45"/>
      <c r="T1381" s="29" t="str">
        <f t="shared" si="148"/>
        <v/>
      </c>
    </row>
    <row r="1382" spans="1:20">
      <c r="A1382" s="10" t="str">
        <f t="shared" si="153"/>
        <v/>
      </c>
      <c r="B1382" s="63"/>
      <c r="C1382" s="25" t="str">
        <f t="shared" si="149"/>
        <v/>
      </c>
      <c r="D1382" s="25" t="str">
        <f t="shared" si="150"/>
        <v/>
      </c>
      <c r="E1382" s="45"/>
      <c r="F1382" s="28" t="str">
        <f>IFERROR(VLOOKUP(E1382,Category!$D$2:$E$600,2,FALSE),"")</f>
        <v/>
      </c>
      <c r="G1382" s="65"/>
      <c r="H1382" s="56"/>
      <c r="I1382" s="66"/>
      <c r="J1382" s="67"/>
      <c r="K1382" s="67"/>
      <c r="L1382" s="67"/>
      <c r="M1382" s="29" t="str">
        <f t="shared" si="151"/>
        <v/>
      </c>
      <c r="N1382" s="29" t="str">
        <f t="shared" si="152"/>
        <v/>
      </c>
      <c r="O1382" s="29" t="str">
        <f t="shared" si="147"/>
        <v/>
      </c>
      <c r="P1382" s="61"/>
      <c r="Q1382" s="61"/>
      <c r="R1382" s="61"/>
      <c r="S1382" s="45"/>
      <c r="T1382" s="29" t="str">
        <f t="shared" si="148"/>
        <v/>
      </c>
    </row>
    <row r="1383" spans="1:20">
      <c r="A1383" s="10" t="str">
        <f t="shared" si="153"/>
        <v/>
      </c>
      <c r="B1383" s="63"/>
      <c r="C1383" s="25" t="str">
        <f t="shared" si="149"/>
        <v/>
      </c>
      <c r="D1383" s="25" t="str">
        <f t="shared" si="150"/>
        <v/>
      </c>
      <c r="E1383" s="45"/>
      <c r="F1383" s="28" t="str">
        <f>IFERROR(VLOOKUP(E1383,Category!$D$2:$E$600,2,FALSE),"")</f>
        <v/>
      </c>
      <c r="G1383" s="65"/>
      <c r="H1383" s="56"/>
      <c r="I1383" s="66"/>
      <c r="J1383" s="67"/>
      <c r="K1383" s="67"/>
      <c r="L1383" s="67"/>
      <c r="M1383" s="29" t="str">
        <f t="shared" si="151"/>
        <v/>
      </c>
      <c r="N1383" s="29" t="str">
        <f t="shared" si="152"/>
        <v/>
      </c>
      <c r="O1383" s="29" t="str">
        <f t="shared" si="147"/>
        <v/>
      </c>
      <c r="P1383" s="61"/>
      <c r="Q1383" s="61"/>
      <c r="R1383" s="61"/>
      <c r="S1383" s="45"/>
      <c r="T1383" s="29" t="str">
        <f t="shared" si="148"/>
        <v/>
      </c>
    </row>
    <row r="1384" spans="1:20">
      <c r="A1384" s="10" t="str">
        <f t="shared" si="153"/>
        <v/>
      </c>
      <c r="B1384" s="63"/>
      <c r="C1384" s="25" t="str">
        <f t="shared" si="149"/>
        <v/>
      </c>
      <c r="D1384" s="25" t="str">
        <f t="shared" si="150"/>
        <v/>
      </c>
      <c r="E1384" s="45"/>
      <c r="F1384" s="28" t="str">
        <f>IFERROR(VLOOKUP(E1384,Category!$D$2:$E$600,2,FALSE),"")</f>
        <v/>
      </c>
      <c r="G1384" s="65"/>
      <c r="H1384" s="56"/>
      <c r="I1384" s="66"/>
      <c r="J1384" s="67"/>
      <c r="K1384" s="67"/>
      <c r="L1384" s="67"/>
      <c r="M1384" s="29" t="str">
        <f t="shared" si="151"/>
        <v/>
      </c>
      <c r="N1384" s="29" t="str">
        <f t="shared" si="152"/>
        <v/>
      </c>
      <c r="O1384" s="29" t="str">
        <f t="shared" si="147"/>
        <v/>
      </c>
      <c r="P1384" s="61"/>
      <c r="Q1384" s="61"/>
      <c r="R1384" s="61"/>
      <c r="S1384" s="45"/>
      <c r="T1384" s="29" t="str">
        <f t="shared" si="148"/>
        <v/>
      </c>
    </row>
    <row r="1385" spans="1:20">
      <c r="A1385" s="10" t="str">
        <f t="shared" si="153"/>
        <v/>
      </c>
      <c r="B1385" s="63"/>
      <c r="C1385" s="25" t="str">
        <f t="shared" si="149"/>
        <v/>
      </c>
      <c r="D1385" s="25" t="str">
        <f t="shared" si="150"/>
        <v/>
      </c>
      <c r="E1385" s="45"/>
      <c r="F1385" s="28" t="str">
        <f>IFERROR(VLOOKUP(E1385,Category!$D$2:$E$600,2,FALSE),"")</f>
        <v/>
      </c>
      <c r="G1385" s="65"/>
      <c r="H1385" s="56"/>
      <c r="I1385" s="66"/>
      <c r="J1385" s="67"/>
      <c r="K1385" s="67"/>
      <c r="L1385" s="67"/>
      <c r="M1385" s="29" t="str">
        <f t="shared" si="151"/>
        <v/>
      </c>
      <c r="N1385" s="29" t="str">
        <f t="shared" si="152"/>
        <v/>
      </c>
      <c r="O1385" s="29" t="str">
        <f t="shared" si="147"/>
        <v/>
      </c>
      <c r="P1385" s="61"/>
      <c r="Q1385" s="61"/>
      <c r="R1385" s="61"/>
      <c r="S1385" s="45"/>
      <c r="T1385" s="29" t="str">
        <f t="shared" si="148"/>
        <v/>
      </c>
    </row>
    <row r="1386" spans="1:20">
      <c r="A1386" s="10" t="str">
        <f t="shared" si="153"/>
        <v/>
      </c>
      <c r="B1386" s="63"/>
      <c r="C1386" s="25" t="str">
        <f t="shared" si="149"/>
        <v/>
      </c>
      <c r="D1386" s="25" t="str">
        <f t="shared" si="150"/>
        <v/>
      </c>
      <c r="E1386" s="45"/>
      <c r="F1386" s="28" t="str">
        <f>IFERROR(VLOOKUP(E1386,Category!$D$2:$E$600,2,FALSE),"")</f>
        <v/>
      </c>
      <c r="G1386" s="65"/>
      <c r="H1386" s="56"/>
      <c r="I1386" s="66"/>
      <c r="J1386" s="67"/>
      <c r="K1386" s="67"/>
      <c r="L1386" s="67"/>
      <c r="M1386" s="29" t="str">
        <f t="shared" si="151"/>
        <v/>
      </c>
      <c r="N1386" s="29" t="str">
        <f t="shared" si="152"/>
        <v/>
      </c>
      <c r="O1386" s="29" t="str">
        <f t="shared" si="147"/>
        <v/>
      </c>
      <c r="P1386" s="61"/>
      <c r="Q1386" s="61"/>
      <c r="R1386" s="61"/>
      <c r="S1386" s="45"/>
      <c r="T1386" s="29" t="str">
        <f t="shared" si="148"/>
        <v/>
      </c>
    </row>
    <row r="1387" spans="1:20">
      <c r="A1387" s="10" t="str">
        <f t="shared" si="153"/>
        <v/>
      </c>
      <c r="B1387" s="63"/>
      <c r="C1387" s="25" t="str">
        <f t="shared" si="149"/>
        <v/>
      </c>
      <c r="D1387" s="25" t="str">
        <f t="shared" si="150"/>
        <v/>
      </c>
      <c r="E1387" s="45"/>
      <c r="F1387" s="28" t="str">
        <f>IFERROR(VLOOKUP(E1387,Category!$D$2:$E$600,2,FALSE),"")</f>
        <v/>
      </c>
      <c r="G1387" s="65"/>
      <c r="H1387" s="56"/>
      <c r="I1387" s="66"/>
      <c r="J1387" s="67"/>
      <c r="K1387" s="67"/>
      <c r="L1387" s="67"/>
      <c r="M1387" s="29" t="str">
        <f t="shared" si="151"/>
        <v/>
      </c>
      <c r="N1387" s="29" t="str">
        <f t="shared" si="152"/>
        <v/>
      </c>
      <c r="O1387" s="29" t="str">
        <f t="shared" si="147"/>
        <v/>
      </c>
      <c r="P1387" s="61"/>
      <c r="Q1387" s="61"/>
      <c r="R1387" s="61"/>
      <c r="S1387" s="45"/>
      <c r="T1387" s="29" t="str">
        <f t="shared" si="148"/>
        <v/>
      </c>
    </row>
    <row r="1388" spans="1:20">
      <c r="A1388" s="10" t="str">
        <f t="shared" si="153"/>
        <v/>
      </c>
      <c r="B1388" s="63"/>
      <c r="C1388" s="25" t="str">
        <f t="shared" si="149"/>
        <v/>
      </c>
      <c r="D1388" s="25" t="str">
        <f t="shared" si="150"/>
        <v/>
      </c>
      <c r="E1388" s="45"/>
      <c r="F1388" s="28" t="str">
        <f>IFERROR(VLOOKUP(E1388,Category!$D$2:$E$600,2,FALSE),"")</f>
        <v/>
      </c>
      <c r="G1388" s="65"/>
      <c r="H1388" s="56"/>
      <c r="I1388" s="66"/>
      <c r="J1388" s="67"/>
      <c r="K1388" s="67"/>
      <c r="L1388" s="67"/>
      <c r="M1388" s="29" t="str">
        <f t="shared" si="151"/>
        <v/>
      </c>
      <c r="N1388" s="29" t="str">
        <f t="shared" si="152"/>
        <v/>
      </c>
      <c r="O1388" s="29" t="str">
        <f t="shared" si="147"/>
        <v/>
      </c>
      <c r="P1388" s="61"/>
      <c r="Q1388" s="61"/>
      <c r="R1388" s="61"/>
      <c r="S1388" s="45"/>
      <c r="T1388" s="29" t="str">
        <f t="shared" si="148"/>
        <v/>
      </c>
    </row>
    <row r="1389" spans="1:20">
      <c r="A1389" s="10" t="str">
        <f t="shared" si="153"/>
        <v/>
      </c>
      <c r="B1389" s="63"/>
      <c r="C1389" s="25" t="str">
        <f t="shared" si="149"/>
        <v/>
      </c>
      <c r="D1389" s="25" t="str">
        <f t="shared" si="150"/>
        <v/>
      </c>
      <c r="E1389" s="45"/>
      <c r="F1389" s="28" t="str">
        <f>IFERROR(VLOOKUP(E1389,Category!$D$2:$E$600,2,FALSE),"")</f>
        <v/>
      </c>
      <c r="G1389" s="65"/>
      <c r="H1389" s="56"/>
      <c r="I1389" s="66"/>
      <c r="J1389" s="67"/>
      <c r="K1389" s="67"/>
      <c r="L1389" s="67"/>
      <c r="M1389" s="29" t="str">
        <f t="shared" si="151"/>
        <v/>
      </c>
      <c r="N1389" s="29" t="str">
        <f t="shared" si="152"/>
        <v/>
      </c>
      <c r="O1389" s="29" t="str">
        <f t="shared" si="147"/>
        <v/>
      </c>
      <c r="P1389" s="61"/>
      <c r="Q1389" s="61"/>
      <c r="R1389" s="61"/>
      <c r="S1389" s="45"/>
      <c r="T1389" s="29" t="str">
        <f t="shared" si="148"/>
        <v/>
      </c>
    </row>
    <row r="1390" spans="1:20">
      <c r="A1390" s="10" t="str">
        <f t="shared" si="153"/>
        <v/>
      </c>
      <c r="B1390" s="63"/>
      <c r="C1390" s="25" t="str">
        <f t="shared" si="149"/>
        <v/>
      </c>
      <c r="D1390" s="25" t="str">
        <f t="shared" si="150"/>
        <v/>
      </c>
      <c r="E1390" s="45"/>
      <c r="F1390" s="28" t="str">
        <f>IFERROR(VLOOKUP(E1390,Category!$D$2:$E$600,2,FALSE),"")</f>
        <v/>
      </c>
      <c r="G1390" s="65"/>
      <c r="H1390" s="56"/>
      <c r="I1390" s="66"/>
      <c r="J1390" s="67"/>
      <c r="K1390" s="67"/>
      <c r="L1390" s="67"/>
      <c r="M1390" s="29" t="str">
        <f t="shared" si="151"/>
        <v/>
      </c>
      <c r="N1390" s="29" t="str">
        <f t="shared" si="152"/>
        <v/>
      </c>
      <c r="O1390" s="29" t="str">
        <f t="shared" si="147"/>
        <v/>
      </c>
      <c r="P1390" s="61"/>
      <c r="Q1390" s="61"/>
      <c r="R1390" s="61"/>
      <c r="S1390" s="45"/>
      <c r="T1390" s="29" t="str">
        <f t="shared" si="148"/>
        <v/>
      </c>
    </row>
    <row r="1391" spans="1:20">
      <c r="A1391" s="10" t="str">
        <f t="shared" si="153"/>
        <v/>
      </c>
      <c r="B1391" s="63"/>
      <c r="C1391" s="25" t="str">
        <f t="shared" si="149"/>
        <v/>
      </c>
      <c r="D1391" s="25" t="str">
        <f t="shared" si="150"/>
        <v/>
      </c>
      <c r="E1391" s="45"/>
      <c r="F1391" s="28" t="str">
        <f>IFERROR(VLOOKUP(E1391,Category!$D$2:$E$600,2,FALSE),"")</f>
        <v/>
      </c>
      <c r="G1391" s="65"/>
      <c r="H1391" s="56"/>
      <c r="I1391" s="66"/>
      <c r="J1391" s="67"/>
      <c r="K1391" s="67"/>
      <c r="L1391" s="67"/>
      <c r="M1391" s="29" t="str">
        <f t="shared" si="151"/>
        <v/>
      </c>
      <c r="N1391" s="29" t="str">
        <f t="shared" si="152"/>
        <v/>
      </c>
      <c r="O1391" s="29" t="str">
        <f t="shared" si="147"/>
        <v/>
      </c>
      <c r="P1391" s="61"/>
      <c r="Q1391" s="61"/>
      <c r="R1391" s="61"/>
      <c r="S1391" s="45"/>
      <c r="T1391" s="29" t="str">
        <f t="shared" si="148"/>
        <v/>
      </c>
    </row>
    <row r="1392" spans="1:20">
      <c r="A1392" s="10" t="str">
        <f t="shared" si="153"/>
        <v/>
      </c>
      <c r="B1392" s="63"/>
      <c r="C1392" s="25" t="str">
        <f t="shared" si="149"/>
        <v/>
      </c>
      <c r="D1392" s="25" t="str">
        <f t="shared" si="150"/>
        <v/>
      </c>
      <c r="E1392" s="45"/>
      <c r="F1392" s="28" t="str">
        <f>IFERROR(VLOOKUP(E1392,Category!$D$2:$E$600,2,FALSE),"")</f>
        <v/>
      </c>
      <c r="G1392" s="65"/>
      <c r="H1392" s="56"/>
      <c r="I1392" s="66"/>
      <c r="J1392" s="67"/>
      <c r="K1392" s="67"/>
      <c r="L1392" s="67"/>
      <c r="M1392" s="29" t="str">
        <f t="shared" si="151"/>
        <v/>
      </c>
      <c r="N1392" s="29" t="str">
        <f t="shared" si="152"/>
        <v/>
      </c>
      <c r="O1392" s="29" t="str">
        <f t="shared" si="147"/>
        <v/>
      </c>
      <c r="P1392" s="61"/>
      <c r="Q1392" s="61"/>
      <c r="R1392" s="61"/>
      <c r="S1392" s="45"/>
      <c r="T1392" s="29" t="str">
        <f t="shared" si="148"/>
        <v/>
      </c>
    </row>
    <row r="1393" spans="1:20">
      <c r="A1393" s="10" t="str">
        <f t="shared" si="153"/>
        <v/>
      </c>
      <c r="B1393" s="63"/>
      <c r="C1393" s="25" t="str">
        <f t="shared" si="149"/>
        <v/>
      </c>
      <c r="D1393" s="25" t="str">
        <f t="shared" si="150"/>
        <v/>
      </c>
      <c r="E1393" s="45"/>
      <c r="F1393" s="28" t="str">
        <f>IFERROR(VLOOKUP(E1393,Category!$D$2:$E$600,2,FALSE),"")</f>
        <v/>
      </c>
      <c r="G1393" s="65"/>
      <c r="H1393" s="56"/>
      <c r="I1393" s="66"/>
      <c r="J1393" s="67"/>
      <c r="K1393" s="67"/>
      <c r="L1393" s="67"/>
      <c r="M1393" s="29" t="str">
        <f t="shared" si="151"/>
        <v/>
      </c>
      <c r="N1393" s="29" t="str">
        <f t="shared" si="152"/>
        <v/>
      </c>
      <c r="O1393" s="29" t="str">
        <f t="shared" si="147"/>
        <v/>
      </c>
      <c r="P1393" s="61"/>
      <c r="Q1393" s="61"/>
      <c r="R1393" s="61"/>
      <c r="S1393" s="45"/>
      <c r="T1393" s="29" t="str">
        <f t="shared" si="148"/>
        <v/>
      </c>
    </row>
    <row r="1394" spans="1:20">
      <c r="A1394" s="10" t="str">
        <f t="shared" si="153"/>
        <v/>
      </c>
      <c r="B1394" s="63"/>
      <c r="C1394" s="25" t="str">
        <f t="shared" si="149"/>
        <v/>
      </c>
      <c r="D1394" s="25" t="str">
        <f t="shared" si="150"/>
        <v/>
      </c>
      <c r="E1394" s="45"/>
      <c r="F1394" s="28" t="str">
        <f>IFERROR(VLOOKUP(E1394,Category!$D$2:$E$600,2,FALSE),"")</f>
        <v/>
      </c>
      <c r="G1394" s="65"/>
      <c r="H1394" s="56"/>
      <c r="I1394" s="66"/>
      <c r="J1394" s="67"/>
      <c r="K1394" s="67"/>
      <c r="L1394" s="67"/>
      <c r="M1394" s="29" t="str">
        <f t="shared" si="151"/>
        <v/>
      </c>
      <c r="N1394" s="29" t="str">
        <f t="shared" si="152"/>
        <v/>
      </c>
      <c r="O1394" s="29" t="str">
        <f t="shared" si="147"/>
        <v/>
      </c>
      <c r="P1394" s="61"/>
      <c r="Q1394" s="61"/>
      <c r="R1394" s="61"/>
      <c r="S1394" s="45"/>
      <c r="T1394" s="29" t="str">
        <f t="shared" si="148"/>
        <v/>
      </c>
    </row>
    <row r="1395" spans="1:20">
      <c r="A1395" s="10" t="str">
        <f t="shared" si="153"/>
        <v/>
      </c>
      <c r="B1395" s="63"/>
      <c r="C1395" s="25" t="str">
        <f t="shared" si="149"/>
        <v/>
      </c>
      <c r="D1395" s="25" t="str">
        <f t="shared" si="150"/>
        <v/>
      </c>
      <c r="E1395" s="45"/>
      <c r="F1395" s="28" t="str">
        <f>IFERROR(VLOOKUP(E1395,Category!$D$2:$E$600,2,FALSE),"")</f>
        <v/>
      </c>
      <c r="G1395" s="65"/>
      <c r="H1395" s="56"/>
      <c r="I1395" s="66"/>
      <c r="J1395" s="67"/>
      <c r="K1395" s="67"/>
      <c r="L1395" s="67"/>
      <c r="M1395" s="29" t="str">
        <f t="shared" si="151"/>
        <v/>
      </c>
      <c r="N1395" s="29" t="str">
        <f t="shared" si="152"/>
        <v/>
      </c>
      <c r="O1395" s="29" t="str">
        <f t="shared" si="147"/>
        <v/>
      </c>
      <c r="P1395" s="61"/>
      <c r="Q1395" s="61"/>
      <c r="R1395" s="61"/>
      <c r="S1395" s="45"/>
      <c r="T1395" s="29" t="str">
        <f t="shared" si="148"/>
        <v/>
      </c>
    </row>
    <row r="1396" spans="1:20">
      <c r="A1396" s="10" t="str">
        <f t="shared" si="153"/>
        <v/>
      </c>
      <c r="B1396" s="63"/>
      <c r="C1396" s="25" t="str">
        <f t="shared" si="149"/>
        <v/>
      </c>
      <c r="D1396" s="25" t="str">
        <f t="shared" si="150"/>
        <v/>
      </c>
      <c r="E1396" s="45"/>
      <c r="F1396" s="28" t="str">
        <f>IFERROR(VLOOKUP(E1396,Category!$D$2:$E$600,2,FALSE),"")</f>
        <v/>
      </c>
      <c r="G1396" s="65"/>
      <c r="H1396" s="56"/>
      <c r="I1396" s="66"/>
      <c r="J1396" s="67"/>
      <c r="K1396" s="67"/>
      <c r="L1396" s="67"/>
      <c r="M1396" s="29" t="str">
        <f t="shared" si="151"/>
        <v/>
      </c>
      <c r="N1396" s="29" t="str">
        <f t="shared" si="152"/>
        <v/>
      </c>
      <c r="O1396" s="29" t="str">
        <f t="shared" si="147"/>
        <v/>
      </c>
      <c r="P1396" s="61"/>
      <c r="Q1396" s="61"/>
      <c r="R1396" s="61"/>
      <c r="S1396" s="45"/>
      <c r="T1396" s="29" t="str">
        <f t="shared" si="148"/>
        <v/>
      </c>
    </row>
    <row r="1397" spans="1:20">
      <c r="A1397" s="10" t="str">
        <f t="shared" si="153"/>
        <v/>
      </c>
      <c r="B1397" s="63"/>
      <c r="C1397" s="25" t="str">
        <f t="shared" si="149"/>
        <v/>
      </c>
      <c r="D1397" s="25" t="str">
        <f t="shared" si="150"/>
        <v/>
      </c>
      <c r="E1397" s="45"/>
      <c r="F1397" s="28" t="str">
        <f>IFERROR(VLOOKUP(E1397,Category!$D$2:$E$600,2,FALSE),"")</f>
        <v/>
      </c>
      <c r="G1397" s="65"/>
      <c r="H1397" s="56"/>
      <c r="I1397" s="66"/>
      <c r="J1397" s="67"/>
      <c r="K1397" s="67"/>
      <c r="L1397" s="67"/>
      <c r="M1397" s="29" t="str">
        <f t="shared" si="151"/>
        <v/>
      </c>
      <c r="N1397" s="29" t="str">
        <f t="shared" si="152"/>
        <v/>
      </c>
      <c r="O1397" s="29" t="str">
        <f t="shared" si="147"/>
        <v/>
      </c>
      <c r="P1397" s="61"/>
      <c r="Q1397" s="61"/>
      <c r="R1397" s="61"/>
      <c r="S1397" s="45"/>
      <c r="T1397" s="29" t="str">
        <f t="shared" si="148"/>
        <v/>
      </c>
    </row>
    <row r="1398" spans="1:20">
      <c r="A1398" s="10" t="str">
        <f t="shared" si="153"/>
        <v/>
      </c>
      <c r="B1398" s="63"/>
      <c r="C1398" s="25" t="str">
        <f t="shared" si="149"/>
        <v/>
      </c>
      <c r="D1398" s="25" t="str">
        <f t="shared" si="150"/>
        <v/>
      </c>
      <c r="E1398" s="45"/>
      <c r="F1398" s="28" t="str">
        <f>IFERROR(VLOOKUP(E1398,Category!$D$2:$E$600,2,FALSE),"")</f>
        <v/>
      </c>
      <c r="G1398" s="65"/>
      <c r="H1398" s="56"/>
      <c r="I1398" s="66"/>
      <c r="J1398" s="67"/>
      <c r="K1398" s="67"/>
      <c r="L1398" s="67"/>
      <c r="M1398" s="29" t="str">
        <f t="shared" si="151"/>
        <v/>
      </c>
      <c r="N1398" s="29" t="str">
        <f t="shared" si="152"/>
        <v/>
      </c>
      <c r="O1398" s="29" t="str">
        <f t="shared" si="147"/>
        <v/>
      </c>
      <c r="P1398" s="61"/>
      <c r="Q1398" s="61"/>
      <c r="R1398" s="61"/>
      <c r="S1398" s="45"/>
      <c r="T1398" s="29" t="str">
        <f t="shared" si="148"/>
        <v/>
      </c>
    </row>
    <row r="1399" spans="1:20">
      <c r="A1399" s="10" t="str">
        <f t="shared" si="153"/>
        <v/>
      </c>
      <c r="B1399" s="63"/>
      <c r="C1399" s="25" t="str">
        <f t="shared" si="149"/>
        <v/>
      </c>
      <c r="D1399" s="25" t="str">
        <f t="shared" si="150"/>
        <v/>
      </c>
      <c r="E1399" s="45"/>
      <c r="F1399" s="28" t="str">
        <f>IFERROR(VLOOKUP(E1399,Category!$D$2:$E$600,2,FALSE),"")</f>
        <v/>
      </c>
      <c r="G1399" s="65"/>
      <c r="H1399" s="56"/>
      <c r="I1399" s="66"/>
      <c r="J1399" s="67"/>
      <c r="K1399" s="67"/>
      <c r="L1399" s="67"/>
      <c r="M1399" s="29" t="str">
        <f t="shared" si="151"/>
        <v/>
      </c>
      <c r="N1399" s="29" t="str">
        <f t="shared" si="152"/>
        <v/>
      </c>
      <c r="O1399" s="29" t="str">
        <f t="shared" si="147"/>
        <v/>
      </c>
      <c r="P1399" s="61"/>
      <c r="Q1399" s="61"/>
      <c r="R1399" s="61"/>
      <c r="S1399" s="45"/>
      <c r="T1399" s="29" t="str">
        <f t="shared" si="148"/>
        <v/>
      </c>
    </row>
    <row r="1400" spans="1:20">
      <c r="A1400" s="10" t="str">
        <f t="shared" si="153"/>
        <v/>
      </c>
      <c r="B1400" s="63"/>
      <c r="C1400" s="25" t="str">
        <f t="shared" si="149"/>
        <v/>
      </c>
      <c r="D1400" s="25" t="str">
        <f t="shared" si="150"/>
        <v/>
      </c>
      <c r="E1400" s="45"/>
      <c r="F1400" s="28" t="str">
        <f>IFERROR(VLOOKUP(E1400,Category!$D$2:$E$600,2,FALSE),"")</f>
        <v/>
      </c>
      <c r="G1400" s="65"/>
      <c r="H1400" s="56"/>
      <c r="I1400" s="66"/>
      <c r="J1400" s="67"/>
      <c r="K1400" s="67"/>
      <c r="L1400" s="67"/>
      <c r="M1400" s="29" t="str">
        <f t="shared" si="151"/>
        <v/>
      </c>
      <c r="N1400" s="29" t="str">
        <f t="shared" si="152"/>
        <v/>
      </c>
      <c r="O1400" s="29" t="str">
        <f t="shared" si="147"/>
        <v/>
      </c>
      <c r="P1400" s="61"/>
      <c r="Q1400" s="61"/>
      <c r="R1400" s="61"/>
      <c r="S1400" s="45"/>
      <c r="T1400" s="29" t="str">
        <f t="shared" si="148"/>
        <v/>
      </c>
    </row>
    <row r="1401" spans="1:20">
      <c r="A1401" s="10" t="str">
        <f t="shared" si="153"/>
        <v/>
      </c>
      <c r="B1401" s="63"/>
      <c r="C1401" s="25" t="str">
        <f t="shared" si="149"/>
        <v/>
      </c>
      <c r="D1401" s="25" t="str">
        <f t="shared" si="150"/>
        <v/>
      </c>
      <c r="E1401" s="45"/>
      <c r="F1401" s="28" t="str">
        <f>IFERROR(VLOOKUP(E1401,Category!$D$2:$E$600,2,FALSE),"")</f>
        <v/>
      </c>
      <c r="G1401" s="65"/>
      <c r="H1401" s="56"/>
      <c r="I1401" s="66"/>
      <c r="J1401" s="67"/>
      <c r="K1401" s="67"/>
      <c r="L1401" s="67"/>
      <c r="M1401" s="29" t="str">
        <f t="shared" si="151"/>
        <v/>
      </c>
      <c r="N1401" s="29" t="str">
        <f t="shared" si="152"/>
        <v/>
      </c>
      <c r="O1401" s="29" t="str">
        <f t="shared" si="147"/>
        <v/>
      </c>
      <c r="P1401" s="61"/>
      <c r="Q1401" s="61"/>
      <c r="R1401" s="61"/>
      <c r="S1401" s="45"/>
      <c r="T1401" s="29" t="str">
        <f t="shared" si="148"/>
        <v/>
      </c>
    </row>
    <row r="1402" spans="1:20">
      <c r="A1402" s="10" t="str">
        <f t="shared" si="153"/>
        <v/>
      </c>
      <c r="B1402" s="63"/>
      <c r="C1402" s="25" t="str">
        <f t="shared" si="149"/>
        <v/>
      </c>
      <c r="D1402" s="25" t="str">
        <f t="shared" si="150"/>
        <v/>
      </c>
      <c r="E1402" s="45"/>
      <c r="F1402" s="28" t="str">
        <f>IFERROR(VLOOKUP(E1402,Category!$D$2:$E$600,2,FALSE),"")</f>
        <v/>
      </c>
      <c r="G1402" s="65"/>
      <c r="H1402" s="56"/>
      <c r="I1402" s="66"/>
      <c r="J1402" s="67"/>
      <c r="K1402" s="67"/>
      <c r="L1402" s="67"/>
      <c r="M1402" s="29" t="str">
        <f t="shared" si="151"/>
        <v/>
      </c>
      <c r="N1402" s="29" t="str">
        <f t="shared" si="152"/>
        <v/>
      </c>
      <c r="O1402" s="29" t="str">
        <f t="shared" si="147"/>
        <v/>
      </c>
      <c r="P1402" s="61"/>
      <c r="Q1402" s="61"/>
      <c r="R1402" s="61"/>
      <c r="S1402" s="45"/>
      <c r="T1402" s="29" t="str">
        <f t="shared" si="148"/>
        <v/>
      </c>
    </row>
    <row r="1403" spans="1:20">
      <c r="A1403" s="10" t="str">
        <f t="shared" si="153"/>
        <v/>
      </c>
      <c r="B1403" s="63"/>
      <c r="C1403" s="25" t="str">
        <f t="shared" si="149"/>
        <v/>
      </c>
      <c r="D1403" s="25" t="str">
        <f t="shared" si="150"/>
        <v/>
      </c>
      <c r="E1403" s="45"/>
      <c r="F1403" s="28" t="str">
        <f>IFERROR(VLOOKUP(E1403,Category!$D$2:$E$600,2,FALSE),"")</f>
        <v/>
      </c>
      <c r="G1403" s="65"/>
      <c r="H1403" s="56"/>
      <c r="I1403" s="66"/>
      <c r="J1403" s="67"/>
      <c r="K1403" s="67"/>
      <c r="L1403" s="67"/>
      <c r="M1403" s="29" t="str">
        <f t="shared" si="151"/>
        <v/>
      </c>
      <c r="N1403" s="29" t="str">
        <f t="shared" si="152"/>
        <v/>
      </c>
      <c r="O1403" s="29" t="str">
        <f t="shared" si="147"/>
        <v/>
      </c>
      <c r="P1403" s="61"/>
      <c r="Q1403" s="61"/>
      <c r="R1403" s="61"/>
      <c r="S1403" s="45"/>
      <c r="T1403" s="29" t="str">
        <f t="shared" si="148"/>
        <v/>
      </c>
    </row>
    <row r="1404" spans="1:20">
      <c r="A1404" s="10" t="str">
        <f t="shared" si="153"/>
        <v/>
      </c>
      <c r="B1404" s="63"/>
      <c r="C1404" s="25" t="str">
        <f t="shared" si="149"/>
        <v/>
      </c>
      <c r="D1404" s="25" t="str">
        <f t="shared" si="150"/>
        <v/>
      </c>
      <c r="E1404" s="45"/>
      <c r="F1404" s="28" t="str">
        <f>IFERROR(VLOOKUP(E1404,Category!$D$2:$E$600,2,FALSE),"")</f>
        <v/>
      </c>
      <c r="G1404" s="65"/>
      <c r="H1404" s="56"/>
      <c r="I1404" s="66"/>
      <c r="J1404" s="67"/>
      <c r="K1404" s="67"/>
      <c r="L1404" s="67"/>
      <c r="M1404" s="29" t="str">
        <f t="shared" si="151"/>
        <v/>
      </c>
      <c r="N1404" s="29" t="str">
        <f t="shared" si="152"/>
        <v/>
      </c>
      <c r="O1404" s="29" t="str">
        <f t="shared" si="147"/>
        <v/>
      </c>
      <c r="P1404" s="61"/>
      <c r="Q1404" s="61"/>
      <c r="R1404" s="61"/>
      <c r="S1404" s="45"/>
      <c r="T1404" s="29" t="str">
        <f t="shared" si="148"/>
        <v/>
      </c>
    </row>
    <row r="1405" spans="1:20">
      <c r="A1405" s="10" t="str">
        <f t="shared" si="153"/>
        <v/>
      </c>
      <c r="B1405" s="63"/>
      <c r="C1405" s="25" t="str">
        <f t="shared" si="149"/>
        <v/>
      </c>
      <c r="D1405" s="25" t="str">
        <f t="shared" si="150"/>
        <v/>
      </c>
      <c r="E1405" s="45"/>
      <c r="F1405" s="28" t="str">
        <f>IFERROR(VLOOKUP(E1405,Category!$D$2:$E$600,2,FALSE),"")</f>
        <v/>
      </c>
      <c r="G1405" s="65"/>
      <c r="H1405" s="56"/>
      <c r="I1405" s="66"/>
      <c r="J1405" s="67"/>
      <c r="K1405" s="67"/>
      <c r="L1405" s="67"/>
      <c r="M1405" s="29" t="str">
        <f t="shared" si="151"/>
        <v/>
      </c>
      <c r="N1405" s="29" t="str">
        <f t="shared" si="152"/>
        <v/>
      </c>
      <c r="O1405" s="29" t="str">
        <f t="shared" si="147"/>
        <v/>
      </c>
      <c r="P1405" s="61"/>
      <c r="Q1405" s="61"/>
      <c r="R1405" s="61"/>
      <c r="S1405" s="45"/>
      <c r="T1405" s="29" t="str">
        <f t="shared" si="148"/>
        <v/>
      </c>
    </row>
    <row r="1406" spans="1:20">
      <c r="A1406" s="10" t="str">
        <f t="shared" si="153"/>
        <v/>
      </c>
      <c r="B1406" s="63"/>
      <c r="C1406" s="25" t="str">
        <f t="shared" si="149"/>
        <v/>
      </c>
      <c r="D1406" s="25" t="str">
        <f t="shared" si="150"/>
        <v/>
      </c>
      <c r="E1406" s="45"/>
      <c r="F1406" s="28" t="str">
        <f>IFERROR(VLOOKUP(E1406,Category!$D$2:$E$600,2,FALSE),"")</f>
        <v/>
      </c>
      <c r="G1406" s="65"/>
      <c r="H1406" s="56"/>
      <c r="I1406" s="66"/>
      <c r="J1406" s="67"/>
      <c r="K1406" s="67"/>
      <c r="L1406" s="67"/>
      <c r="M1406" s="29" t="str">
        <f t="shared" si="151"/>
        <v/>
      </c>
      <c r="N1406" s="29" t="str">
        <f t="shared" si="152"/>
        <v/>
      </c>
      <c r="O1406" s="29" t="str">
        <f t="shared" si="147"/>
        <v/>
      </c>
      <c r="P1406" s="61"/>
      <c r="Q1406" s="61"/>
      <c r="R1406" s="61"/>
      <c r="S1406" s="45"/>
      <c r="T1406" s="29" t="str">
        <f t="shared" si="148"/>
        <v/>
      </c>
    </row>
    <row r="1407" spans="1:20">
      <c r="A1407" s="10" t="str">
        <f t="shared" si="153"/>
        <v/>
      </c>
      <c r="B1407" s="63"/>
      <c r="C1407" s="25" t="str">
        <f t="shared" si="149"/>
        <v/>
      </c>
      <c r="D1407" s="25" t="str">
        <f t="shared" si="150"/>
        <v/>
      </c>
      <c r="E1407" s="45"/>
      <c r="F1407" s="28" t="str">
        <f>IFERROR(VLOOKUP(E1407,Category!$D$2:$E$600,2,FALSE),"")</f>
        <v/>
      </c>
      <c r="G1407" s="65"/>
      <c r="H1407" s="56"/>
      <c r="I1407" s="66"/>
      <c r="J1407" s="67"/>
      <c r="K1407" s="67"/>
      <c r="L1407" s="67"/>
      <c r="M1407" s="29" t="str">
        <f t="shared" si="151"/>
        <v/>
      </c>
      <c r="N1407" s="29" t="str">
        <f t="shared" si="152"/>
        <v/>
      </c>
      <c r="O1407" s="29" t="str">
        <f t="shared" si="147"/>
        <v/>
      </c>
      <c r="P1407" s="61"/>
      <c r="Q1407" s="61"/>
      <c r="R1407" s="61"/>
      <c r="S1407" s="45"/>
      <c r="T1407" s="29" t="str">
        <f t="shared" si="148"/>
        <v/>
      </c>
    </row>
    <row r="1408" spans="1:20">
      <c r="A1408" s="10" t="str">
        <f t="shared" si="153"/>
        <v/>
      </c>
      <c r="B1408" s="63"/>
      <c r="C1408" s="25" t="str">
        <f t="shared" si="149"/>
        <v/>
      </c>
      <c r="D1408" s="25" t="str">
        <f t="shared" si="150"/>
        <v/>
      </c>
      <c r="E1408" s="45"/>
      <c r="F1408" s="28" t="str">
        <f>IFERROR(VLOOKUP(E1408,Category!$D$2:$E$600,2,FALSE),"")</f>
        <v/>
      </c>
      <c r="G1408" s="65"/>
      <c r="H1408" s="56"/>
      <c r="I1408" s="66"/>
      <c r="J1408" s="67"/>
      <c r="K1408" s="67"/>
      <c r="L1408" s="67"/>
      <c r="M1408" s="29" t="str">
        <f t="shared" si="151"/>
        <v/>
      </c>
      <c r="N1408" s="29" t="str">
        <f t="shared" si="152"/>
        <v/>
      </c>
      <c r="O1408" s="29" t="str">
        <f t="shared" si="147"/>
        <v/>
      </c>
      <c r="P1408" s="61"/>
      <c r="Q1408" s="61"/>
      <c r="R1408" s="61"/>
      <c r="S1408" s="45"/>
      <c r="T1408" s="29" t="str">
        <f t="shared" si="148"/>
        <v/>
      </c>
    </row>
    <row r="1409" spans="1:20">
      <c r="A1409" s="10" t="str">
        <f t="shared" si="153"/>
        <v/>
      </c>
      <c r="B1409" s="63"/>
      <c r="C1409" s="25" t="str">
        <f t="shared" si="149"/>
        <v/>
      </c>
      <c r="D1409" s="25" t="str">
        <f t="shared" si="150"/>
        <v/>
      </c>
      <c r="E1409" s="45"/>
      <c r="F1409" s="28" t="str">
        <f>IFERROR(VLOOKUP(E1409,Category!$D$2:$E$600,2,FALSE),"")</f>
        <v/>
      </c>
      <c r="G1409" s="65"/>
      <c r="H1409" s="56"/>
      <c r="I1409" s="66"/>
      <c r="J1409" s="67"/>
      <c r="K1409" s="67"/>
      <c r="L1409" s="67"/>
      <c r="M1409" s="29" t="str">
        <f t="shared" si="151"/>
        <v/>
      </c>
      <c r="N1409" s="29" t="str">
        <f t="shared" si="152"/>
        <v/>
      </c>
      <c r="O1409" s="29" t="str">
        <f t="shared" si="147"/>
        <v/>
      </c>
      <c r="P1409" s="61"/>
      <c r="Q1409" s="61"/>
      <c r="R1409" s="61"/>
      <c r="S1409" s="45"/>
      <c r="T1409" s="29" t="str">
        <f t="shared" si="148"/>
        <v/>
      </c>
    </row>
    <row r="1410" spans="1:20">
      <c r="A1410" s="10" t="str">
        <f t="shared" si="153"/>
        <v/>
      </c>
      <c r="B1410" s="63"/>
      <c r="C1410" s="25" t="str">
        <f t="shared" si="149"/>
        <v/>
      </c>
      <c r="D1410" s="25" t="str">
        <f t="shared" si="150"/>
        <v/>
      </c>
      <c r="E1410" s="45"/>
      <c r="F1410" s="28" t="str">
        <f>IFERROR(VLOOKUP(E1410,Category!$D$2:$E$600,2,FALSE),"")</f>
        <v/>
      </c>
      <c r="G1410" s="65"/>
      <c r="H1410" s="56"/>
      <c r="I1410" s="66"/>
      <c r="J1410" s="67"/>
      <c r="K1410" s="67"/>
      <c r="L1410" s="67"/>
      <c r="M1410" s="29" t="str">
        <f t="shared" si="151"/>
        <v/>
      </c>
      <c r="N1410" s="29" t="str">
        <f t="shared" si="152"/>
        <v/>
      </c>
      <c r="O1410" s="29" t="str">
        <f t="shared" ref="O1410:O1473" si="154">IF(H1410*I1410=0,"",H1410*I1410)</f>
        <v/>
      </c>
      <c r="P1410" s="61"/>
      <c r="Q1410" s="61"/>
      <c r="R1410" s="61"/>
      <c r="S1410" s="45"/>
      <c r="T1410" s="29" t="str">
        <f t="shared" ref="T1410:T1473" si="155">IF(R1410="paid",(H1410*I1410)-(G1410*H1410),"")</f>
        <v/>
      </c>
    </row>
    <row r="1411" spans="1:20">
      <c r="A1411" s="10" t="str">
        <f t="shared" si="153"/>
        <v/>
      </c>
      <c r="B1411" s="63"/>
      <c r="C1411" s="25" t="str">
        <f t="shared" ref="C1411:C1474" si="156">IF(B1411=0,"",TEXT(B1411,"mmmm"))</f>
        <v/>
      </c>
      <c r="D1411" s="25" t="str">
        <f t="shared" ref="D1411:D1474" si="157">IF(B1411=0,"",TEXT(B1411,"yyyy"))</f>
        <v/>
      </c>
      <c r="E1411" s="45"/>
      <c r="F1411" s="28" t="str">
        <f>IFERROR(VLOOKUP(E1411,Category!$D$2:$E$600,2,FALSE),"")</f>
        <v/>
      </c>
      <c r="G1411" s="65"/>
      <c r="H1411" s="56"/>
      <c r="I1411" s="66"/>
      <c r="J1411" s="67"/>
      <c r="K1411" s="67"/>
      <c r="L1411" s="67"/>
      <c r="M1411" s="29" t="str">
        <f t="shared" ref="M1411:M1474" si="158">IFERROR(IF(O1411&gt;0,IF(R1411="Paid","",O1411-J1411),""),"")</f>
        <v/>
      </c>
      <c r="N1411" s="29" t="str">
        <f t="shared" ref="N1411:N1474" si="159">IF(J1411&gt;0,IF(R1411="Paid",O1411-J1411,""),"")</f>
        <v/>
      </c>
      <c r="O1411" s="29" t="str">
        <f t="shared" si="154"/>
        <v/>
      </c>
      <c r="P1411" s="61"/>
      <c r="Q1411" s="61"/>
      <c r="R1411" s="61"/>
      <c r="S1411" s="45"/>
      <c r="T1411" s="29" t="str">
        <f t="shared" si="155"/>
        <v/>
      </c>
    </row>
    <row r="1412" spans="1:20">
      <c r="A1412" s="10" t="str">
        <f t="shared" ref="A1412:A1475" si="160">IF(E1412&gt;0,A1411+1,"")</f>
        <v/>
      </c>
      <c r="B1412" s="63"/>
      <c r="C1412" s="25" t="str">
        <f t="shared" si="156"/>
        <v/>
      </c>
      <c r="D1412" s="25" t="str">
        <f t="shared" si="157"/>
        <v/>
      </c>
      <c r="E1412" s="45"/>
      <c r="F1412" s="28" t="str">
        <f>IFERROR(VLOOKUP(E1412,Category!$D$2:$E$600,2,FALSE),"")</f>
        <v/>
      </c>
      <c r="G1412" s="65"/>
      <c r="H1412" s="56"/>
      <c r="I1412" s="66"/>
      <c r="J1412" s="67"/>
      <c r="K1412" s="67"/>
      <c r="L1412" s="67"/>
      <c r="M1412" s="29" t="str">
        <f t="shared" si="158"/>
        <v/>
      </c>
      <c r="N1412" s="29" t="str">
        <f t="shared" si="159"/>
        <v/>
      </c>
      <c r="O1412" s="29" t="str">
        <f t="shared" si="154"/>
        <v/>
      </c>
      <c r="P1412" s="61"/>
      <c r="Q1412" s="61"/>
      <c r="R1412" s="61"/>
      <c r="S1412" s="45"/>
      <c r="T1412" s="29" t="str">
        <f t="shared" si="155"/>
        <v/>
      </c>
    </row>
    <row r="1413" spans="1:20">
      <c r="A1413" s="10" t="str">
        <f t="shared" si="160"/>
        <v/>
      </c>
      <c r="B1413" s="63"/>
      <c r="C1413" s="25" t="str">
        <f t="shared" si="156"/>
        <v/>
      </c>
      <c r="D1413" s="25" t="str">
        <f t="shared" si="157"/>
        <v/>
      </c>
      <c r="E1413" s="45"/>
      <c r="F1413" s="28" t="str">
        <f>IFERROR(VLOOKUP(E1413,Category!$D$2:$E$600,2,FALSE),"")</f>
        <v/>
      </c>
      <c r="G1413" s="65"/>
      <c r="H1413" s="56"/>
      <c r="I1413" s="66"/>
      <c r="J1413" s="67"/>
      <c r="K1413" s="67"/>
      <c r="L1413" s="67"/>
      <c r="M1413" s="29" t="str">
        <f t="shared" si="158"/>
        <v/>
      </c>
      <c r="N1413" s="29" t="str">
        <f t="shared" si="159"/>
        <v/>
      </c>
      <c r="O1413" s="29" t="str">
        <f t="shared" si="154"/>
        <v/>
      </c>
      <c r="P1413" s="61"/>
      <c r="Q1413" s="61"/>
      <c r="R1413" s="61"/>
      <c r="S1413" s="45"/>
      <c r="T1413" s="29" t="str">
        <f t="shared" si="155"/>
        <v/>
      </c>
    </row>
    <row r="1414" spans="1:20">
      <c r="A1414" s="10" t="str">
        <f t="shared" si="160"/>
        <v/>
      </c>
      <c r="B1414" s="63"/>
      <c r="C1414" s="25" t="str">
        <f t="shared" si="156"/>
        <v/>
      </c>
      <c r="D1414" s="25" t="str">
        <f t="shared" si="157"/>
        <v/>
      </c>
      <c r="E1414" s="45"/>
      <c r="F1414" s="28" t="str">
        <f>IFERROR(VLOOKUP(E1414,Category!$D$2:$E$600,2,FALSE),"")</f>
        <v/>
      </c>
      <c r="G1414" s="65"/>
      <c r="H1414" s="56"/>
      <c r="I1414" s="66"/>
      <c r="J1414" s="67"/>
      <c r="K1414" s="67"/>
      <c r="L1414" s="67"/>
      <c r="M1414" s="29" t="str">
        <f t="shared" si="158"/>
        <v/>
      </c>
      <c r="N1414" s="29" t="str">
        <f t="shared" si="159"/>
        <v/>
      </c>
      <c r="O1414" s="29" t="str">
        <f t="shared" si="154"/>
        <v/>
      </c>
      <c r="P1414" s="61"/>
      <c r="Q1414" s="61"/>
      <c r="R1414" s="61"/>
      <c r="S1414" s="45"/>
      <c r="T1414" s="29" t="str">
        <f t="shared" si="155"/>
        <v/>
      </c>
    </row>
    <row r="1415" spans="1:20">
      <c r="A1415" s="10" t="str">
        <f t="shared" si="160"/>
        <v/>
      </c>
      <c r="B1415" s="63"/>
      <c r="C1415" s="25" t="str">
        <f t="shared" si="156"/>
        <v/>
      </c>
      <c r="D1415" s="25" t="str">
        <f t="shared" si="157"/>
        <v/>
      </c>
      <c r="E1415" s="45"/>
      <c r="F1415" s="28" t="str">
        <f>IFERROR(VLOOKUP(E1415,Category!$D$2:$E$600,2,FALSE),"")</f>
        <v/>
      </c>
      <c r="G1415" s="65"/>
      <c r="H1415" s="56"/>
      <c r="I1415" s="66"/>
      <c r="J1415" s="67"/>
      <c r="K1415" s="67"/>
      <c r="L1415" s="67"/>
      <c r="M1415" s="29" t="str">
        <f t="shared" si="158"/>
        <v/>
      </c>
      <c r="N1415" s="29" t="str">
        <f t="shared" si="159"/>
        <v/>
      </c>
      <c r="O1415" s="29" t="str">
        <f t="shared" si="154"/>
        <v/>
      </c>
      <c r="P1415" s="61"/>
      <c r="Q1415" s="61"/>
      <c r="R1415" s="61"/>
      <c r="S1415" s="45"/>
      <c r="T1415" s="29" t="str">
        <f t="shared" si="155"/>
        <v/>
      </c>
    </row>
    <row r="1416" spans="1:20">
      <c r="A1416" s="10" t="str">
        <f t="shared" si="160"/>
        <v/>
      </c>
      <c r="B1416" s="63"/>
      <c r="C1416" s="25" t="str">
        <f t="shared" si="156"/>
        <v/>
      </c>
      <c r="D1416" s="25" t="str">
        <f t="shared" si="157"/>
        <v/>
      </c>
      <c r="E1416" s="45"/>
      <c r="F1416" s="28" t="str">
        <f>IFERROR(VLOOKUP(E1416,Category!$D$2:$E$600,2,FALSE),"")</f>
        <v/>
      </c>
      <c r="G1416" s="65"/>
      <c r="H1416" s="56"/>
      <c r="I1416" s="66"/>
      <c r="J1416" s="67"/>
      <c r="K1416" s="67"/>
      <c r="L1416" s="67"/>
      <c r="M1416" s="29" t="str">
        <f t="shared" si="158"/>
        <v/>
      </c>
      <c r="N1416" s="29" t="str">
        <f t="shared" si="159"/>
        <v/>
      </c>
      <c r="O1416" s="29" t="str">
        <f t="shared" si="154"/>
        <v/>
      </c>
      <c r="P1416" s="61"/>
      <c r="Q1416" s="61"/>
      <c r="R1416" s="61"/>
      <c r="S1416" s="45"/>
      <c r="T1416" s="29" t="str">
        <f t="shared" si="155"/>
        <v/>
      </c>
    </row>
    <row r="1417" spans="1:20">
      <c r="A1417" s="10" t="str">
        <f t="shared" si="160"/>
        <v/>
      </c>
      <c r="B1417" s="63"/>
      <c r="C1417" s="25" t="str">
        <f t="shared" si="156"/>
        <v/>
      </c>
      <c r="D1417" s="25" t="str">
        <f t="shared" si="157"/>
        <v/>
      </c>
      <c r="E1417" s="45"/>
      <c r="F1417" s="28" t="str">
        <f>IFERROR(VLOOKUP(E1417,Category!$D$2:$E$600,2,FALSE),"")</f>
        <v/>
      </c>
      <c r="G1417" s="65"/>
      <c r="H1417" s="56"/>
      <c r="I1417" s="66"/>
      <c r="J1417" s="67"/>
      <c r="K1417" s="67"/>
      <c r="L1417" s="67"/>
      <c r="M1417" s="29" t="str">
        <f t="shared" si="158"/>
        <v/>
      </c>
      <c r="N1417" s="29" t="str">
        <f t="shared" si="159"/>
        <v/>
      </c>
      <c r="O1417" s="29" t="str">
        <f t="shared" si="154"/>
        <v/>
      </c>
      <c r="P1417" s="61"/>
      <c r="Q1417" s="61"/>
      <c r="R1417" s="61"/>
      <c r="S1417" s="45"/>
      <c r="T1417" s="29" t="str">
        <f t="shared" si="155"/>
        <v/>
      </c>
    </row>
    <row r="1418" spans="1:20">
      <c r="A1418" s="10" t="str">
        <f t="shared" si="160"/>
        <v/>
      </c>
      <c r="B1418" s="63"/>
      <c r="C1418" s="25" t="str">
        <f t="shared" si="156"/>
        <v/>
      </c>
      <c r="D1418" s="25" t="str">
        <f t="shared" si="157"/>
        <v/>
      </c>
      <c r="E1418" s="45"/>
      <c r="F1418" s="28" t="str">
        <f>IFERROR(VLOOKUP(E1418,Category!$D$2:$E$600,2,FALSE),"")</f>
        <v/>
      </c>
      <c r="G1418" s="65"/>
      <c r="H1418" s="56"/>
      <c r="I1418" s="66"/>
      <c r="J1418" s="67"/>
      <c r="K1418" s="67"/>
      <c r="L1418" s="67"/>
      <c r="M1418" s="29" t="str">
        <f t="shared" si="158"/>
        <v/>
      </c>
      <c r="N1418" s="29" t="str">
        <f t="shared" si="159"/>
        <v/>
      </c>
      <c r="O1418" s="29" t="str">
        <f t="shared" si="154"/>
        <v/>
      </c>
      <c r="P1418" s="61"/>
      <c r="Q1418" s="61"/>
      <c r="R1418" s="61"/>
      <c r="S1418" s="45"/>
      <c r="T1418" s="29" t="str">
        <f t="shared" si="155"/>
        <v/>
      </c>
    </row>
    <row r="1419" spans="1:20">
      <c r="A1419" s="10" t="str">
        <f t="shared" si="160"/>
        <v/>
      </c>
      <c r="B1419" s="63"/>
      <c r="C1419" s="25" t="str">
        <f t="shared" si="156"/>
        <v/>
      </c>
      <c r="D1419" s="25" t="str">
        <f t="shared" si="157"/>
        <v/>
      </c>
      <c r="E1419" s="45"/>
      <c r="F1419" s="28" t="str">
        <f>IFERROR(VLOOKUP(E1419,Category!$D$2:$E$600,2,FALSE),"")</f>
        <v/>
      </c>
      <c r="G1419" s="65"/>
      <c r="H1419" s="56"/>
      <c r="I1419" s="66"/>
      <c r="J1419" s="67"/>
      <c r="K1419" s="67"/>
      <c r="L1419" s="67"/>
      <c r="M1419" s="29" t="str">
        <f t="shared" si="158"/>
        <v/>
      </c>
      <c r="N1419" s="29" t="str">
        <f t="shared" si="159"/>
        <v/>
      </c>
      <c r="O1419" s="29" t="str">
        <f t="shared" si="154"/>
        <v/>
      </c>
      <c r="P1419" s="61"/>
      <c r="Q1419" s="61"/>
      <c r="R1419" s="61"/>
      <c r="S1419" s="45"/>
      <c r="T1419" s="29" t="str">
        <f t="shared" si="155"/>
        <v/>
      </c>
    </row>
    <row r="1420" spans="1:20">
      <c r="A1420" s="10" t="str">
        <f t="shared" si="160"/>
        <v/>
      </c>
      <c r="B1420" s="63"/>
      <c r="C1420" s="25" t="str">
        <f t="shared" si="156"/>
        <v/>
      </c>
      <c r="D1420" s="25" t="str">
        <f t="shared" si="157"/>
        <v/>
      </c>
      <c r="E1420" s="45"/>
      <c r="F1420" s="28" t="str">
        <f>IFERROR(VLOOKUP(E1420,Category!$D$2:$E$600,2,FALSE),"")</f>
        <v/>
      </c>
      <c r="G1420" s="65"/>
      <c r="H1420" s="56"/>
      <c r="I1420" s="66"/>
      <c r="J1420" s="67"/>
      <c r="K1420" s="67"/>
      <c r="L1420" s="67"/>
      <c r="M1420" s="29" t="str">
        <f t="shared" si="158"/>
        <v/>
      </c>
      <c r="N1420" s="29" t="str">
        <f t="shared" si="159"/>
        <v/>
      </c>
      <c r="O1420" s="29" t="str">
        <f t="shared" si="154"/>
        <v/>
      </c>
      <c r="P1420" s="61"/>
      <c r="Q1420" s="61"/>
      <c r="R1420" s="61"/>
      <c r="S1420" s="45"/>
      <c r="T1420" s="29" t="str">
        <f t="shared" si="155"/>
        <v/>
      </c>
    </row>
    <row r="1421" spans="1:20">
      <c r="A1421" s="10" t="str">
        <f t="shared" si="160"/>
        <v/>
      </c>
      <c r="B1421" s="63"/>
      <c r="C1421" s="25" t="str">
        <f t="shared" si="156"/>
        <v/>
      </c>
      <c r="D1421" s="25" t="str">
        <f t="shared" si="157"/>
        <v/>
      </c>
      <c r="E1421" s="45"/>
      <c r="F1421" s="28" t="str">
        <f>IFERROR(VLOOKUP(E1421,Category!$D$2:$E$600,2,FALSE),"")</f>
        <v/>
      </c>
      <c r="G1421" s="65"/>
      <c r="H1421" s="56"/>
      <c r="I1421" s="66"/>
      <c r="J1421" s="67"/>
      <c r="K1421" s="67"/>
      <c r="L1421" s="67"/>
      <c r="M1421" s="29" t="str">
        <f t="shared" si="158"/>
        <v/>
      </c>
      <c r="N1421" s="29" t="str">
        <f t="shared" si="159"/>
        <v/>
      </c>
      <c r="O1421" s="29" t="str">
        <f t="shared" si="154"/>
        <v/>
      </c>
      <c r="P1421" s="61"/>
      <c r="Q1421" s="61"/>
      <c r="R1421" s="61"/>
      <c r="S1421" s="45"/>
      <c r="T1421" s="29" t="str">
        <f t="shared" si="155"/>
        <v/>
      </c>
    </row>
    <row r="1422" spans="1:20">
      <c r="A1422" s="10" t="str">
        <f t="shared" si="160"/>
        <v/>
      </c>
      <c r="B1422" s="63"/>
      <c r="C1422" s="25" t="str">
        <f t="shared" si="156"/>
        <v/>
      </c>
      <c r="D1422" s="25" t="str">
        <f t="shared" si="157"/>
        <v/>
      </c>
      <c r="E1422" s="45"/>
      <c r="F1422" s="28" t="str">
        <f>IFERROR(VLOOKUP(E1422,Category!$D$2:$E$600,2,FALSE),"")</f>
        <v/>
      </c>
      <c r="G1422" s="65"/>
      <c r="H1422" s="56"/>
      <c r="I1422" s="66"/>
      <c r="J1422" s="67"/>
      <c r="K1422" s="67"/>
      <c r="L1422" s="67"/>
      <c r="M1422" s="29" t="str">
        <f t="shared" si="158"/>
        <v/>
      </c>
      <c r="N1422" s="29" t="str">
        <f t="shared" si="159"/>
        <v/>
      </c>
      <c r="O1422" s="29" t="str">
        <f t="shared" si="154"/>
        <v/>
      </c>
      <c r="P1422" s="61"/>
      <c r="Q1422" s="61"/>
      <c r="R1422" s="61"/>
      <c r="S1422" s="45"/>
      <c r="T1422" s="29" t="str">
        <f t="shared" si="155"/>
        <v/>
      </c>
    </row>
    <row r="1423" spans="1:20">
      <c r="A1423" s="10" t="str">
        <f t="shared" si="160"/>
        <v/>
      </c>
      <c r="B1423" s="63"/>
      <c r="C1423" s="25" t="str">
        <f t="shared" si="156"/>
        <v/>
      </c>
      <c r="D1423" s="25" t="str">
        <f t="shared" si="157"/>
        <v/>
      </c>
      <c r="E1423" s="45"/>
      <c r="F1423" s="28" t="str">
        <f>IFERROR(VLOOKUP(E1423,Category!$D$2:$E$600,2,FALSE),"")</f>
        <v/>
      </c>
      <c r="G1423" s="65"/>
      <c r="H1423" s="56"/>
      <c r="I1423" s="66"/>
      <c r="J1423" s="67"/>
      <c r="K1423" s="67"/>
      <c r="L1423" s="67"/>
      <c r="M1423" s="29" t="str">
        <f t="shared" si="158"/>
        <v/>
      </c>
      <c r="N1423" s="29" t="str">
        <f t="shared" si="159"/>
        <v/>
      </c>
      <c r="O1423" s="29" t="str">
        <f t="shared" si="154"/>
        <v/>
      </c>
      <c r="P1423" s="61"/>
      <c r="Q1423" s="61"/>
      <c r="R1423" s="61"/>
      <c r="S1423" s="45"/>
      <c r="T1423" s="29" t="str">
        <f t="shared" si="155"/>
        <v/>
      </c>
    </row>
    <row r="1424" spans="1:20">
      <c r="A1424" s="10" t="str">
        <f t="shared" si="160"/>
        <v/>
      </c>
      <c r="B1424" s="63"/>
      <c r="C1424" s="25" t="str">
        <f t="shared" si="156"/>
        <v/>
      </c>
      <c r="D1424" s="25" t="str">
        <f t="shared" si="157"/>
        <v/>
      </c>
      <c r="E1424" s="45"/>
      <c r="F1424" s="28" t="str">
        <f>IFERROR(VLOOKUP(E1424,Category!$D$2:$E$600,2,FALSE),"")</f>
        <v/>
      </c>
      <c r="G1424" s="65"/>
      <c r="H1424" s="56"/>
      <c r="I1424" s="66"/>
      <c r="J1424" s="67"/>
      <c r="K1424" s="67"/>
      <c r="L1424" s="67"/>
      <c r="M1424" s="29" t="str">
        <f t="shared" si="158"/>
        <v/>
      </c>
      <c r="N1424" s="29" t="str">
        <f t="shared" si="159"/>
        <v/>
      </c>
      <c r="O1424" s="29" t="str">
        <f t="shared" si="154"/>
        <v/>
      </c>
      <c r="P1424" s="61"/>
      <c r="Q1424" s="61"/>
      <c r="R1424" s="61"/>
      <c r="S1424" s="45"/>
      <c r="T1424" s="29" t="str">
        <f t="shared" si="155"/>
        <v/>
      </c>
    </row>
    <row r="1425" spans="1:20">
      <c r="A1425" s="10" t="str">
        <f t="shared" si="160"/>
        <v/>
      </c>
      <c r="B1425" s="63"/>
      <c r="C1425" s="25" t="str">
        <f t="shared" si="156"/>
        <v/>
      </c>
      <c r="D1425" s="25" t="str">
        <f t="shared" si="157"/>
        <v/>
      </c>
      <c r="E1425" s="45"/>
      <c r="F1425" s="28" t="str">
        <f>IFERROR(VLOOKUP(E1425,Category!$D$2:$E$600,2,FALSE),"")</f>
        <v/>
      </c>
      <c r="G1425" s="65"/>
      <c r="H1425" s="56"/>
      <c r="I1425" s="66"/>
      <c r="J1425" s="67"/>
      <c r="K1425" s="67"/>
      <c r="L1425" s="67"/>
      <c r="M1425" s="29" t="str">
        <f t="shared" si="158"/>
        <v/>
      </c>
      <c r="N1425" s="29" t="str">
        <f t="shared" si="159"/>
        <v/>
      </c>
      <c r="O1425" s="29" t="str">
        <f t="shared" si="154"/>
        <v/>
      </c>
      <c r="P1425" s="61"/>
      <c r="Q1425" s="61"/>
      <c r="R1425" s="61"/>
      <c r="S1425" s="45"/>
      <c r="T1425" s="29" t="str">
        <f t="shared" si="155"/>
        <v/>
      </c>
    </row>
    <row r="1426" spans="1:20">
      <c r="A1426" s="10" t="str">
        <f t="shared" si="160"/>
        <v/>
      </c>
      <c r="B1426" s="63"/>
      <c r="C1426" s="25" t="str">
        <f t="shared" si="156"/>
        <v/>
      </c>
      <c r="D1426" s="25" t="str">
        <f t="shared" si="157"/>
        <v/>
      </c>
      <c r="E1426" s="45"/>
      <c r="F1426" s="28" t="str">
        <f>IFERROR(VLOOKUP(E1426,Category!$D$2:$E$600,2,FALSE),"")</f>
        <v/>
      </c>
      <c r="G1426" s="65"/>
      <c r="H1426" s="56"/>
      <c r="I1426" s="66"/>
      <c r="J1426" s="67"/>
      <c r="K1426" s="67"/>
      <c r="L1426" s="67"/>
      <c r="M1426" s="29" t="str">
        <f t="shared" si="158"/>
        <v/>
      </c>
      <c r="N1426" s="29" t="str">
        <f t="shared" si="159"/>
        <v/>
      </c>
      <c r="O1426" s="29" t="str">
        <f t="shared" si="154"/>
        <v/>
      </c>
      <c r="P1426" s="61"/>
      <c r="Q1426" s="61"/>
      <c r="R1426" s="61"/>
      <c r="S1426" s="45"/>
      <c r="T1426" s="29" t="str">
        <f t="shared" si="155"/>
        <v/>
      </c>
    </row>
    <row r="1427" spans="1:20">
      <c r="A1427" s="10" t="str">
        <f t="shared" si="160"/>
        <v/>
      </c>
      <c r="B1427" s="63"/>
      <c r="C1427" s="25" t="str">
        <f t="shared" si="156"/>
        <v/>
      </c>
      <c r="D1427" s="25" t="str">
        <f t="shared" si="157"/>
        <v/>
      </c>
      <c r="E1427" s="45"/>
      <c r="F1427" s="28" t="str">
        <f>IFERROR(VLOOKUP(E1427,Category!$D$2:$E$600,2,FALSE),"")</f>
        <v/>
      </c>
      <c r="G1427" s="65"/>
      <c r="H1427" s="56"/>
      <c r="I1427" s="66"/>
      <c r="J1427" s="67"/>
      <c r="K1427" s="67"/>
      <c r="L1427" s="67"/>
      <c r="M1427" s="29" t="str">
        <f t="shared" si="158"/>
        <v/>
      </c>
      <c r="N1427" s="29" t="str">
        <f t="shared" si="159"/>
        <v/>
      </c>
      <c r="O1427" s="29" t="str">
        <f t="shared" si="154"/>
        <v/>
      </c>
      <c r="P1427" s="61"/>
      <c r="Q1427" s="61"/>
      <c r="R1427" s="61"/>
      <c r="S1427" s="45"/>
      <c r="T1427" s="29" t="str">
        <f t="shared" si="155"/>
        <v/>
      </c>
    </row>
    <row r="1428" spans="1:20">
      <c r="A1428" s="10" t="str">
        <f t="shared" si="160"/>
        <v/>
      </c>
      <c r="B1428" s="63"/>
      <c r="C1428" s="25" t="str">
        <f t="shared" si="156"/>
        <v/>
      </c>
      <c r="D1428" s="25" t="str">
        <f t="shared" si="157"/>
        <v/>
      </c>
      <c r="E1428" s="45"/>
      <c r="F1428" s="28" t="str">
        <f>IFERROR(VLOOKUP(E1428,Category!$D$2:$E$600,2,FALSE),"")</f>
        <v/>
      </c>
      <c r="G1428" s="65"/>
      <c r="H1428" s="56"/>
      <c r="I1428" s="66"/>
      <c r="J1428" s="67"/>
      <c r="K1428" s="67"/>
      <c r="L1428" s="67"/>
      <c r="M1428" s="29" t="str">
        <f t="shared" si="158"/>
        <v/>
      </c>
      <c r="N1428" s="29" t="str">
        <f t="shared" si="159"/>
        <v/>
      </c>
      <c r="O1428" s="29" t="str">
        <f t="shared" si="154"/>
        <v/>
      </c>
      <c r="P1428" s="61"/>
      <c r="Q1428" s="61"/>
      <c r="R1428" s="61"/>
      <c r="S1428" s="45"/>
      <c r="T1428" s="29" t="str">
        <f t="shared" si="155"/>
        <v/>
      </c>
    </row>
    <row r="1429" spans="1:20">
      <c r="A1429" s="10" t="str">
        <f t="shared" si="160"/>
        <v/>
      </c>
      <c r="B1429" s="63"/>
      <c r="C1429" s="25" t="str">
        <f t="shared" si="156"/>
        <v/>
      </c>
      <c r="D1429" s="25" t="str">
        <f t="shared" si="157"/>
        <v/>
      </c>
      <c r="E1429" s="45"/>
      <c r="F1429" s="28" t="str">
        <f>IFERROR(VLOOKUP(E1429,Category!$D$2:$E$600,2,FALSE),"")</f>
        <v/>
      </c>
      <c r="G1429" s="65"/>
      <c r="H1429" s="56"/>
      <c r="I1429" s="66"/>
      <c r="J1429" s="67"/>
      <c r="K1429" s="67"/>
      <c r="L1429" s="67"/>
      <c r="M1429" s="29" t="str">
        <f t="shared" si="158"/>
        <v/>
      </c>
      <c r="N1429" s="29" t="str">
        <f t="shared" si="159"/>
        <v/>
      </c>
      <c r="O1429" s="29" t="str">
        <f t="shared" si="154"/>
        <v/>
      </c>
      <c r="P1429" s="61"/>
      <c r="Q1429" s="61"/>
      <c r="R1429" s="61"/>
      <c r="S1429" s="45"/>
      <c r="T1429" s="29" t="str">
        <f t="shared" si="155"/>
        <v/>
      </c>
    </row>
    <row r="1430" spans="1:20">
      <c r="A1430" s="10" t="str">
        <f t="shared" si="160"/>
        <v/>
      </c>
      <c r="B1430" s="63"/>
      <c r="C1430" s="25" t="str">
        <f t="shared" si="156"/>
        <v/>
      </c>
      <c r="D1430" s="25" t="str">
        <f t="shared" si="157"/>
        <v/>
      </c>
      <c r="E1430" s="45"/>
      <c r="F1430" s="28" t="str">
        <f>IFERROR(VLOOKUP(E1430,Category!$D$2:$E$600,2,FALSE),"")</f>
        <v/>
      </c>
      <c r="G1430" s="65"/>
      <c r="H1430" s="56"/>
      <c r="I1430" s="66"/>
      <c r="J1430" s="67"/>
      <c r="K1430" s="67"/>
      <c r="L1430" s="67"/>
      <c r="M1430" s="29" t="str">
        <f t="shared" si="158"/>
        <v/>
      </c>
      <c r="N1430" s="29" t="str">
        <f t="shared" si="159"/>
        <v/>
      </c>
      <c r="O1430" s="29" t="str">
        <f t="shared" si="154"/>
        <v/>
      </c>
      <c r="P1430" s="61"/>
      <c r="Q1430" s="61"/>
      <c r="R1430" s="61"/>
      <c r="S1430" s="45"/>
      <c r="T1430" s="29" t="str">
        <f t="shared" si="155"/>
        <v/>
      </c>
    </row>
    <row r="1431" spans="1:20">
      <c r="A1431" s="10" t="str">
        <f t="shared" si="160"/>
        <v/>
      </c>
      <c r="B1431" s="63"/>
      <c r="C1431" s="25" t="str">
        <f t="shared" si="156"/>
        <v/>
      </c>
      <c r="D1431" s="25" t="str">
        <f t="shared" si="157"/>
        <v/>
      </c>
      <c r="E1431" s="45"/>
      <c r="F1431" s="28" t="str">
        <f>IFERROR(VLOOKUP(E1431,Category!$D$2:$E$600,2,FALSE),"")</f>
        <v/>
      </c>
      <c r="G1431" s="65"/>
      <c r="H1431" s="56"/>
      <c r="I1431" s="66"/>
      <c r="J1431" s="67"/>
      <c r="K1431" s="67"/>
      <c r="L1431" s="67"/>
      <c r="M1431" s="29" t="str">
        <f t="shared" si="158"/>
        <v/>
      </c>
      <c r="N1431" s="29" t="str">
        <f t="shared" si="159"/>
        <v/>
      </c>
      <c r="O1431" s="29" t="str">
        <f t="shared" si="154"/>
        <v/>
      </c>
      <c r="P1431" s="61"/>
      <c r="Q1431" s="61"/>
      <c r="R1431" s="61"/>
      <c r="S1431" s="45"/>
      <c r="T1431" s="29" t="str">
        <f t="shared" si="155"/>
        <v/>
      </c>
    </row>
    <row r="1432" spans="1:20">
      <c r="A1432" s="10" t="str">
        <f t="shared" si="160"/>
        <v/>
      </c>
      <c r="B1432" s="63"/>
      <c r="C1432" s="25" t="str">
        <f t="shared" si="156"/>
        <v/>
      </c>
      <c r="D1432" s="25" t="str">
        <f t="shared" si="157"/>
        <v/>
      </c>
      <c r="E1432" s="45"/>
      <c r="F1432" s="28" t="str">
        <f>IFERROR(VLOOKUP(E1432,Category!$D$2:$E$600,2,FALSE),"")</f>
        <v/>
      </c>
      <c r="G1432" s="65"/>
      <c r="H1432" s="56"/>
      <c r="I1432" s="66"/>
      <c r="J1432" s="67"/>
      <c r="K1432" s="67"/>
      <c r="L1432" s="67"/>
      <c r="M1432" s="29" t="str">
        <f t="shared" si="158"/>
        <v/>
      </c>
      <c r="N1432" s="29" t="str">
        <f t="shared" si="159"/>
        <v/>
      </c>
      <c r="O1432" s="29" t="str">
        <f t="shared" si="154"/>
        <v/>
      </c>
      <c r="P1432" s="61"/>
      <c r="Q1432" s="61"/>
      <c r="R1432" s="61"/>
      <c r="S1432" s="45"/>
      <c r="T1432" s="29" t="str">
        <f t="shared" si="155"/>
        <v/>
      </c>
    </row>
    <row r="1433" spans="1:20">
      <c r="A1433" s="10" t="str">
        <f t="shared" si="160"/>
        <v/>
      </c>
      <c r="B1433" s="63"/>
      <c r="C1433" s="25" t="str">
        <f t="shared" si="156"/>
        <v/>
      </c>
      <c r="D1433" s="25" t="str">
        <f t="shared" si="157"/>
        <v/>
      </c>
      <c r="E1433" s="45"/>
      <c r="F1433" s="28" t="str">
        <f>IFERROR(VLOOKUP(E1433,Category!$D$2:$E$600,2,FALSE),"")</f>
        <v/>
      </c>
      <c r="G1433" s="65"/>
      <c r="H1433" s="56"/>
      <c r="I1433" s="66"/>
      <c r="J1433" s="67"/>
      <c r="K1433" s="67"/>
      <c r="L1433" s="67"/>
      <c r="M1433" s="29" t="str">
        <f t="shared" si="158"/>
        <v/>
      </c>
      <c r="N1433" s="29" t="str">
        <f t="shared" si="159"/>
        <v/>
      </c>
      <c r="O1433" s="29" t="str">
        <f t="shared" si="154"/>
        <v/>
      </c>
      <c r="P1433" s="61"/>
      <c r="Q1433" s="61"/>
      <c r="R1433" s="61"/>
      <c r="S1433" s="45"/>
      <c r="T1433" s="29" t="str">
        <f t="shared" si="155"/>
        <v/>
      </c>
    </row>
    <row r="1434" spans="1:20">
      <c r="A1434" s="10" t="str">
        <f t="shared" si="160"/>
        <v/>
      </c>
      <c r="B1434" s="63"/>
      <c r="C1434" s="25" t="str">
        <f t="shared" si="156"/>
        <v/>
      </c>
      <c r="D1434" s="25" t="str">
        <f t="shared" si="157"/>
        <v/>
      </c>
      <c r="E1434" s="45"/>
      <c r="F1434" s="28" t="str">
        <f>IFERROR(VLOOKUP(E1434,Category!$D$2:$E$600,2,FALSE),"")</f>
        <v/>
      </c>
      <c r="G1434" s="65"/>
      <c r="H1434" s="56"/>
      <c r="I1434" s="66"/>
      <c r="J1434" s="67"/>
      <c r="K1434" s="67"/>
      <c r="L1434" s="67"/>
      <c r="M1434" s="29" t="str">
        <f t="shared" si="158"/>
        <v/>
      </c>
      <c r="N1434" s="29" t="str">
        <f t="shared" si="159"/>
        <v/>
      </c>
      <c r="O1434" s="29" t="str">
        <f t="shared" si="154"/>
        <v/>
      </c>
      <c r="P1434" s="61"/>
      <c r="Q1434" s="61"/>
      <c r="R1434" s="61"/>
      <c r="S1434" s="45"/>
      <c r="T1434" s="29" t="str">
        <f t="shared" si="155"/>
        <v/>
      </c>
    </row>
    <row r="1435" spans="1:20">
      <c r="A1435" s="10" t="str">
        <f t="shared" si="160"/>
        <v/>
      </c>
      <c r="B1435" s="63"/>
      <c r="C1435" s="25" t="str">
        <f t="shared" si="156"/>
        <v/>
      </c>
      <c r="D1435" s="25" t="str">
        <f t="shared" si="157"/>
        <v/>
      </c>
      <c r="E1435" s="45"/>
      <c r="F1435" s="28" t="str">
        <f>IFERROR(VLOOKUP(E1435,Category!$D$2:$E$600,2,FALSE),"")</f>
        <v/>
      </c>
      <c r="G1435" s="65"/>
      <c r="H1435" s="56"/>
      <c r="I1435" s="66"/>
      <c r="J1435" s="67"/>
      <c r="K1435" s="67"/>
      <c r="L1435" s="67"/>
      <c r="M1435" s="29" t="str">
        <f t="shared" si="158"/>
        <v/>
      </c>
      <c r="N1435" s="29" t="str">
        <f t="shared" si="159"/>
        <v/>
      </c>
      <c r="O1435" s="29" t="str">
        <f t="shared" si="154"/>
        <v/>
      </c>
      <c r="P1435" s="61"/>
      <c r="Q1435" s="61"/>
      <c r="R1435" s="61"/>
      <c r="S1435" s="45"/>
      <c r="T1435" s="29" t="str">
        <f t="shared" si="155"/>
        <v/>
      </c>
    </row>
    <row r="1436" spans="1:20">
      <c r="A1436" s="10" t="str">
        <f t="shared" si="160"/>
        <v/>
      </c>
      <c r="B1436" s="63"/>
      <c r="C1436" s="25" t="str">
        <f t="shared" si="156"/>
        <v/>
      </c>
      <c r="D1436" s="25" t="str">
        <f t="shared" si="157"/>
        <v/>
      </c>
      <c r="E1436" s="45"/>
      <c r="F1436" s="28" t="str">
        <f>IFERROR(VLOOKUP(E1436,Category!$D$2:$E$600,2,FALSE),"")</f>
        <v/>
      </c>
      <c r="G1436" s="65"/>
      <c r="H1436" s="56"/>
      <c r="I1436" s="66"/>
      <c r="J1436" s="67"/>
      <c r="K1436" s="67"/>
      <c r="L1436" s="67"/>
      <c r="M1436" s="29" t="str">
        <f t="shared" si="158"/>
        <v/>
      </c>
      <c r="N1436" s="29" t="str">
        <f t="shared" si="159"/>
        <v/>
      </c>
      <c r="O1436" s="29" t="str">
        <f t="shared" si="154"/>
        <v/>
      </c>
      <c r="P1436" s="61"/>
      <c r="Q1436" s="61"/>
      <c r="R1436" s="61"/>
      <c r="S1436" s="45"/>
      <c r="T1436" s="29" t="str">
        <f t="shared" si="155"/>
        <v/>
      </c>
    </row>
    <row r="1437" spans="1:20">
      <c r="A1437" s="10" t="str">
        <f t="shared" si="160"/>
        <v/>
      </c>
      <c r="B1437" s="63"/>
      <c r="C1437" s="25" t="str">
        <f t="shared" si="156"/>
        <v/>
      </c>
      <c r="D1437" s="25" t="str">
        <f t="shared" si="157"/>
        <v/>
      </c>
      <c r="E1437" s="45"/>
      <c r="F1437" s="28" t="str">
        <f>IFERROR(VLOOKUP(E1437,Category!$D$2:$E$600,2,FALSE),"")</f>
        <v/>
      </c>
      <c r="G1437" s="65"/>
      <c r="H1437" s="56"/>
      <c r="I1437" s="66"/>
      <c r="J1437" s="67"/>
      <c r="K1437" s="67"/>
      <c r="L1437" s="67"/>
      <c r="M1437" s="29" t="str">
        <f t="shared" si="158"/>
        <v/>
      </c>
      <c r="N1437" s="29" t="str">
        <f t="shared" si="159"/>
        <v/>
      </c>
      <c r="O1437" s="29" t="str">
        <f t="shared" si="154"/>
        <v/>
      </c>
      <c r="P1437" s="61"/>
      <c r="Q1437" s="61"/>
      <c r="R1437" s="61"/>
      <c r="S1437" s="45"/>
      <c r="T1437" s="29" t="str">
        <f t="shared" si="155"/>
        <v/>
      </c>
    </row>
    <row r="1438" spans="1:20">
      <c r="A1438" s="10" t="str">
        <f t="shared" si="160"/>
        <v/>
      </c>
      <c r="B1438" s="63"/>
      <c r="C1438" s="25" t="str">
        <f t="shared" si="156"/>
        <v/>
      </c>
      <c r="D1438" s="25" t="str">
        <f t="shared" si="157"/>
        <v/>
      </c>
      <c r="E1438" s="45"/>
      <c r="F1438" s="28" t="str">
        <f>IFERROR(VLOOKUP(E1438,Category!$D$2:$E$600,2,FALSE),"")</f>
        <v/>
      </c>
      <c r="G1438" s="65"/>
      <c r="H1438" s="56"/>
      <c r="I1438" s="66"/>
      <c r="J1438" s="67"/>
      <c r="K1438" s="67"/>
      <c r="L1438" s="67"/>
      <c r="M1438" s="29" t="str">
        <f t="shared" si="158"/>
        <v/>
      </c>
      <c r="N1438" s="29" t="str">
        <f t="shared" si="159"/>
        <v/>
      </c>
      <c r="O1438" s="29" t="str">
        <f t="shared" si="154"/>
        <v/>
      </c>
      <c r="P1438" s="61"/>
      <c r="Q1438" s="61"/>
      <c r="R1438" s="61"/>
      <c r="S1438" s="45"/>
      <c r="T1438" s="29" t="str">
        <f t="shared" si="155"/>
        <v/>
      </c>
    </row>
    <row r="1439" spans="1:20">
      <c r="A1439" s="10" t="str">
        <f t="shared" si="160"/>
        <v/>
      </c>
      <c r="B1439" s="63"/>
      <c r="C1439" s="25" t="str">
        <f t="shared" si="156"/>
        <v/>
      </c>
      <c r="D1439" s="25" t="str">
        <f t="shared" si="157"/>
        <v/>
      </c>
      <c r="E1439" s="45"/>
      <c r="F1439" s="28" t="str">
        <f>IFERROR(VLOOKUP(E1439,Category!$D$2:$E$600,2,FALSE),"")</f>
        <v/>
      </c>
      <c r="G1439" s="65"/>
      <c r="H1439" s="56"/>
      <c r="I1439" s="66"/>
      <c r="J1439" s="67"/>
      <c r="K1439" s="67"/>
      <c r="L1439" s="67"/>
      <c r="M1439" s="29" t="str">
        <f t="shared" si="158"/>
        <v/>
      </c>
      <c r="N1439" s="29" t="str">
        <f t="shared" si="159"/>
        <v/>
      </c>
      <c r="O1439" s="29" t="str">
        <f t="shared" si="154"/>
        <v/>
      </c>
      <c r="P1439" s="61"/>
      <c r="Q1439" s="61"/>
      <c r="R1439" s="61"/>
      <c r="S1439" s="45"/>
      <c r="T1439" s="29" t="str">
        <f t="shared" si="155"/>
        <v/>
      </c>
    </row>
    <row r="1440" spans="1:20">
      <c r="A1440" s="10" t="str">
        <f t="shared" si="160"/>
        <v/>
      </c>
      <c r="B1440" s="63"/>
      <c r="C1440" s="25" t="str">
        <f t="shared" si="156"/>
        <v/>
      </c>
      <c r="D1440" s="25" t="str">
        <f t="shared" si="157"/>
        <v/>
      </c>
      <c r="E1440" s="45"/>
      <c r="F1440" s="28" t="str">
        <f>IFERROR(VLOOKUP(E1440,Category!$D$2:$E$600,2,FALSE),"")</f>
        <v/>
      </c>
      <c r="G1440" s="65"/>
      <c r="H1440" s="56"/>
      <c r="I1440" s="66"/>
      <c r="J1440" s="67"/>
      <c r="K1440" s="67"/>
      <c r="L1440" s="67"/>
      <c r="M1440" s="29" t="str">
        <f t="shared" si="158"/>
        <v/>
      </c>
      <c r="N1440" s="29" t="str">
        <f t="shared" si="159"/>
        <v/>
      </c>
      <c r="O1440" s="29" t="str">
        <f t="shared" si="154"/>
        <v/>
      </c>
      <c r="P1440" s="61"/>
      <c r="Q1440" s="61"/>
      <c r="R1440" s="61"/>
      <c r="S1440" s="45"/>
      <c r="T1440" s="29" t="str">
        <f t="shared" si="155"/>
        <v/>
      </c>
    </row>
    <row r="1441" spans="1:20">
      <c r="A1441" s="10" t="str">
        <f t="shared" si="160"/>
        <v/>
      </c>
      <c r="B1441" s="63"/>
      <c r="C1441" s="25" t="str">
        <f t="shared" si="156"/>
        <v/>
      </c>
      <c r="D1441" s="25" t="str">
        <f t="shared" si="157"/>
        <v/>
      </c>
      <c r="E1441" s="45"/>
      <c r="F1441" s="28" t="str">
        <f>IFERROR(VLOOKUP(E1441,Category!$D$2:$E$600,2,FALSE),"")</f>
        <v/>
      </c>
      <c r="G1441" s="65"/>
      <c r="H1441" s="56"/>
      <c r="I1441" s="66"/>
      <c r="J1441" s="67"/>
      <c r="K1441" s="67"/>
      <c r="L1441" s="67"/>
      <c r="M1441" s="29" t="str">
        <f t="shared" si="158"/>
        <v/>
      </c>
      <c r="N1441" s="29" t="str">
        <f t="shared" si="159"/>
        <v/>
      </c>
      <c r="O1441" s="29" t="str">
        <f t="shared" si="154"/>
        <v/>
      </c>
      <c r="P1441" s="61"/>
      <c r="Q1441" s="61"/>
      <c r="R1441" s="61"/>
      <c r="S1441" s="45"/>
      <c r="T1441" s="29" t="str">
        <f t="shared" si="155"/>
        <v/>
      </c>
    </row>
    <row r="1442" spans="1:20">
      <c r="A1442" s="10" t="str">
        <f t="shared" si="160"/>
        <v/>
      </c>
      <c r="B1442" s="63"/>
      <c r="C1442" s="25" t="str">
        <f t="shared" si="156"/>
        <v/>
      </c>
      <c r="D1442" s="25" t="str">
        <f t="shared" si="157"/>
        <v/>
      </c>
      <c r="E1442" s="45"/>
      <c r="F1442" s="28" t="str">
        <f>IFERROR(VLOOKUP(E1442,Category!$D$2:$E$600,2,FALSE),"")</f>
        <v/>
      </c>
      <c r="G1442" s="65"/>
      <c r="H1442" s="56"/>
      <c r="I1442" s="66"/>
      <c r="J1442" s="67"/>
      <c r="K1442" s="67"/>
      <c r="L1442" s="67"/>
      <c r="M1442" s="29" t="str">
        <f t="shared" si="158"/>
        <v/>
      </c>
      <c r="N1442" s="29" t="str">
        <f t="shared" si="159"/>
        <v/>
      </c>
      <c r="O1442" s="29" t="str">
        <f t="shared" si="154"/>
        <v/>
      </c>
      <c r="P1442" s="61"/>
      <c r="Q1442" s="61"/>
      <c r="R1442" s="61"/>
      <c r="S1442" s="45"/>
      <c r="T1442" s="29" t="str">
        <f t="shared" si="155"/>
        <v/>
      </c>
    </row>
    <row r="1443" spans="1:20">
      <c r="A1443" s="10" t="str">
        <f t="shared" si="160"/>
        <v/>
      </c>
      <c r="B1443" s="63"/>
      <c r="C1443" s="25" t="str">
        <f t="shared" si="156"/>
        <v/>
      </c>
      <c r="D1443" s="25" t="str">
        <f t="shared" si="157"/>
        <v/>
      </c>
      <c r="E1443" s="45"/>
      <c r="F1443" s="28" t="str">
        <f>IFERROR(VLOOKUP(E1443,Category!$D$2:$E$600,2,FALSE),"")</f>
        <v/>
      </c>
      <c r="G1443" s="65"/>
      <c r="H1443" s="56"/>
      <c r="I1443" s="66"/>
      <c r="J1443" s="67"/>
      <c r="K1443" s="67"/>
      <c r="L1443" s="67"/>
      <c r="M1443" s="29" t="str">
        <f t="shared" si="158"/>
        <v/>
      </c>
      <c r="N1443" s="29" t="str">
        <f t="shared" si="159"/>
        <v/>
      </c>
      <c r="O1443" s="29" t="str">
        <f t="shared" si="154"/>
        <v/>
      </c>
      <c r="P1443" s="61"/>
      <c r="Q1443" s="61"/>
      <c r="R1443" s="61"/>
      <c r="S1443" s="45"/>
      <c r="T1443" s="29" t="str">
        <f t="shared" si="155"/>
        <v/>
      </c>
    </row>
    <row r="1444" spans="1:20">
      <c r="A1444" s="10" t="str">
        <f t="shared" si="160"/>
        <v/>
      </c>
      <c r="B1444" s="63"/>
      <c r="C1444" s="25" t="str">
        <f t="shared" si="156"/>
        <v/>
      </c>
      <c r="D1444" s="25" t="str">
        <f t="shared" si="157"/>
        <v/>
      </c>
      <c r="E1444" s="45"/>
      <c r="F1444" s="28" t="str">
        <f>IFERROR(VLOOKUP(E1444,Category!$D$2:$E$600,2,FALSE),"")</f>
        <v/>
      </c>
      <c r="G1444" s="65"/>
      <c r="H1444" s="56"/>
      <c r="I1444" s="66"/>
      <c r="J1444" s="67"/>
      <c r="K1444" s="67"/>
      <c r="L1444" s="67"/>
      <c r="M1444" s="29" t="str">
        <f t="shared" si="158"/>
        <v/>
      </c>
      <c r="N1444" s="29" t="str">
        <f t="shared" si="159"/>
        <v/>
      </c>
      <c r="O1444" s="29" t="str">
        <f t="shared" si="154"/>
        <v/>
      </c>
      <c r="P1444" s="61"/>
      <c r="Q1444" s="61"/>
      <c r="R1444" s="61"/>
      <c r="S1444" s="45"/>
      <c r="T1444" s="29" t="str">
        <f t="shared" si="155"/>
        <v/>
      </c>
    </row>
    <row r="1445" spans="1:20">
      <c r="A1445" s="10" t="str">
        <f t="shared" si="160"/>
        <v/>
      </c>
      <c r="B1445" s="63"/>
      <c r="C1445" s="25" t="str">
        <f t="shared" si="156"/>
        <v/>
      </c>
      <c r="D1445" s="25" t="str">
        <f t="shared" si="157"/>
        <v/>
      </c>
      <c r="E1445" s="45"/>
      <c r="F1445" s="28" t="str">
        <f>IFERROR(VLOOKUP(E1445,Category!$D$2:$E$600,2,FALSE),"")</f>
        <v/>
      </c>
      <c r="G1445" s="65"/>
      <c r="H1445" s="56"/>
      <c r="I1445" s="66"/>
      <c r="J1445" s="67"/>
      <c r="K1445" s="67"/>
      <c r="L1445" s="67"/>
      <c r="M1445" s="29" t="str">
        <f t="shared" si="158"/>
        <v/>
      </c>
      <c r="N1445" s="29" t="str">
        <f t="shared" si="159"/>
        <v/>
      </c>
      <c r="O1445" s="29" t="str">
        <f t="shared" si="154"/>
        <v/>
      </c>
      <c r="P1445" s="61"/>
      <c r="Q1445" s="61"/>
      <c r="R1445" s="61"/>
      <c r="S1445" s="45"/>
      <c r="T1445" s="29" t="str">
        <f t="shared" si="155"/>
        <v/>
      </c>
    </row>
    <row r="1446" spans="1:20">
      <c r="A1446" s="10" t="str">
        <f t="shared" si="160"/>
        <v/>
      </c>
      <c r="B1446" s="63"/>
      <c r="C1446" s="25" t="str">
        <f t="shared" si="156"/>
        <v/>
      </c>
      <c r="D1446" s="25" t="str">
        <f t="shared" si="157"/>
        <v/>
      </c>
      <c r="E1446" s="45"/>
      <c r="F1446" s="28" t="str">
        <f>IFERROR(VLOOKUP(E1446,Category!$D$2:$E$600,2,FALSE),"")</f>
        <v/>
      </c>
      <c r="G1446" s="65"/>
      <c r="H1446" s="56"/>
      <c r="I1446" s="66"/>
      <c r="J1446" s="67"/>
      <c r="K1446" s="67"/>
      <c r="L1446" s="67"/>
      <c r="M1446" s="29" t="str">
        <f t="shared" si="158"/>
        <v/>
      </c>
      <c r="N1446" s="29" t="str">
        <f t="shared" si="159"/>
        <v/>
      </c>
      <c r="O1446" s="29" t="str">
        <f t="shared" si="154"/>
        <v/>
      </c>
      <c r="P1446" s="61"/>
      <c r="Q1446" s="61"/>
      <c r="R1446" s="61"/>
      <c r="S1446" s="45"/>
      <c r="T1446" s="29" t="str">
        <f t="shared" si="155"/>
        <v/>
      </c>
    </row>
    <row r="1447" spans="1:20">
      <c r="A1447" s="10" t="str">
        <f t="shared" si="160"/>
        <v/>
      </c>
      <c r="B1447" s="63"/>
      <c r="C1447" s="25" t="str">
        <f t="shared" si="156"/>
        <v/>
      </c>
      <c r="D1447" s="25" t="str">
        <f t="shared" si="157"/>
        <v/>
      </c>
      <c r="E1447" s="45"/>
      <c r="F1447" s="28" t="str">
        <f>IFERROR(VLOOKUP(E1447,Category!$D$2:$E$600,2,FALSE),"")</f>
        <v/>
      </c>
      <c r="G1447" s="65"/>
      <c r="H1447" s="56"/>
      <c r="I1447" s="66"/>
      <c r="J1447" s="67"/>
      <c r="K1447" s="67"/>
      <c r="L1447" s="67"/>
      <c r="M1447" s="29" t="str">
        <f t="shared" si="158"/>
        <v/>
      </c>
      <c r="N1447" s="29" t="str">
        <f t="shared" si="159"/>
        <v/>
      </c>
      <c r="O1447" s="29" t="str">
        <f t="shared" si="154"/>
        <v/>
      </c>
      <c r="P1447" s="61"/>
      <c r="Q1447" s="61"/>
      <c r="R1447" s="61"/>
      <c r="S1447" s="45"/>
      <c r="T1447" s="29" t="str">
        <f t="shared" si="155"/>
        <v/>
      </c>
    </row>
    <row r="1448" spans="1:20">
      <c r="A1448" s="10" t="str">
        <f t="shared" si="160"/>
        <v/>
      </c>
      <c r="B1448" s="63"/>
      <c r="C1448" s="25" t="str">
        <f t="shared" si="156"/>
        <v/>
      </c>
      <c r="D1448" s="25" t="str">
        <f t="shared" si="157"/>
        <v/>
      </c>
      <c r="E1448" s="45"/>
      <c r="F1448" s="28" t="str">
        <f>IFERROR(VLOOKUP(E1448,Category!$D$2:$E$600,2,FALSE),"")</f>
        <v/>
      </c>
      <c r="G1448" s="65"/>
      <c r="H1448" s="56"/>
      <c r="I1448" s="66"/>
      <c r="J1448" s="67"/>
      <c r="K1448" s="67"/>
      <c r="L1448" s="67"/>
      <c r="M1448" s="29" t="str">
        <f t="shared" si="158"/>
        <v/>
      </c>
      <c r="N1448" s="29" t="str">
        <f t="shared" si="159"/>
        <v/>
      </c>
      <c r="O1448" s="29" t="str">
        <f t="shared" si="154"/>
        <v/>
      </c>
      <c r="P1448" s="61"/>
      <c r="Q1448" s="61"/>
      <c r="R1448" s="61"/>
      <c r="S1448" s="45"/>
      <c r="T1448" s="29" t="str">
        <f t="shared" si="155"/>
        <v/>
      </c>
    </row>
    <row r="1449" spans="1:20">
      <c r="A1449" s="10" t="str">
        <f t="shared" si="160"/>
        <v/>
      </c>
      <c r="B1449" s="63"/>
      <c r="C1449" s="25" t="str">
        <f t="shared" si="156"/>
        <v/>
      </c>
      <c r="D1449" s="25" t="str">
        <f t="shared" si="157"/>
        <v/>
      </c>
      <c r="E1449" s="45"/>
      <c r="F1449" s="28" t="str">
        <f>IFERROR(VLOOKUP(E1449,Category!$D$2:$E$600,2,FALSE),"")</f>
        <v/>
      </c>
      <c r="G1449" s="65"/>
      <c r="H1449" s="56"/>
      <c r="I1449" s="66"/>
      <c r="J1449" s="67"/>
      <c r="K1449" s="67"/>
      <c r="L1449" s="67"/>
      <c r="M1449" s="29" t="str">
        <f t="shared" si="158"/>
        <v/>
      </c>
      <c r="N1449" s="29" t="str">
        <f t="shared" si="159"/>
        <v/>
      </c>
      <c r="O1449" s="29" t="str">
        <f t="shared" si="154"/>
        <v/>
      </c>
      <c r="P1449" s="61"/>
      <c r="Q1449" s="61"/>
      <c r="R1449" s="61"/>
      <c r="S1449" s="45"/>
      <c r="T1449" s="29" t="str">
        <f t="shared" si="155"/>
        <v/>
      </c>
    </row>
    <row r="1450" spans="1:20">
      <c r="A1450" s="10" t="str">
        <f t="shared" si="160"/>
        <v/>
      </c>
      <c r="B1450" s="63"/>
      <c r="C1450" s="25" t="str">
        <f t="shared" si="156"/>
        <v/>
      </c>
      <c r="D1450" s="25" t="str">
        <f t="shared" si="157"/>
        <v/>
      </c>
      <c r="E1450" s="45"/>
      <c r="F1450" s="28" t="str">
        <f>IFERROR(VLOOKUP(E1450,Category!$D$2:$E$600,2,FALSE),"")</f>
        <v/>
      </c>
      <c r="G1450" s="65"/>
      <c r="H1450" s="56"/>
      <c r="I1450" s="66"/>
      <c r="J1450" s="67"/>
      <c r="K1450" s="67"/>
      <c r="L1450" s="67"/>
      <c r="M1450" s="29" t="str">
        <f t="shared" si="158"/>
        <v/>
      </c>
      <c r="N1450" s="29" t="str">
        <f t="shared" si="159"/>
        <v/>
      </c>
      <c r="O1450" s="29" t="str">
        <f t="shared" si="154"/>
        <v/>
      </c>
      <c r="P1450" s="61"/>
      <c r="Q1450" s="61"/>
      <c r="R1450" s="61"/>
      <c r="S1450" s="45"/>
      <c r="T1450" s="29" t="str">
        <f t="shared" si="155"/>
        <v/>
      </c>
    </row>
    <row r="1451" spans="1:20">
      <c r="A1451" s="10" t="str">
        <f t="shared" si="160"/>
        <v/>
      </c>
      <c r="B1451" s="63"/>
      <c r="C1451" s="25" t="str">
        <f t="shared" si="156"/>
        <v/>
      </c>
      <c r="D1451" s="25" t="str">
        <f t="shared" si="157"/>
        <v/>
      </c>
      <c r="E1451" s="45"/>
      <c r="F1451" s="28" t="str">
        <f>IFERROR(VLOOKUP(E1451,Category!$D$2:$E$600,2,FALSE),"")</f>
        <v/>
      </c>
      <c r="G1451" s="65"/>
      <c r="H1451" s="56"/>
      <c r="I1451" s="66"/>
      <c r="J1451" s="67"/>
      <c r="K1451" s="67"/>
      <c r="L1451" s="67"/>
      <c r="M1451" s="29" t="str">
        <f t="shared" si="158"/>
        <v/>
      </c>
      <c r="N1451" s="29" t="str">
        <f t="shared" si="159"/>
        <v/>
      </c>
      <c r="O1451" s="29" t="str">
        <f t="shared" si="154"/>
        <v/>
      </c>
      <c r="P1451" s="61"/>
      <c r="Q1451" s="61"/>
      <c r="R1451" s="61"/>
      <c r="S1451" s="45"/>
      <c r="T1451" s="29" t="str">
        <f t="shared" si="155"/>
        <v/>
      </c>
    </row>
    <row r="1452" spans="1:20">
      <c r="A1452" s="10" t="str">
        <f t="shared" si="160"/>
        <v/>
      </c>
      <c r="B1452" s="63"/>
      <c r="C1452" s="25" t="str">
        <f t="shared" si="156"/>
        <v/>
      </c>
      <c r="D1452" s="25" t="str">
        <f t="shared" si="157"/>
        <v/>
      </c>
      <c r="E1452" s="45"/>
      <c r="F1452" s="28" t="str">
        <f>IFERROR(VLOOKUP(E1452,Category!$D$2:$E$600,2,FALSE),"")</f>
        <v/>
      </c>
      <c r="G1452" s="65"/>
      <c r="H1452" s="56"/>
      <c r="I1452" s="66"/>
      <c r="J1452" s="67"/>
      <c r="K1452" s="67"/>
      <c r="L1452" s="67"/>
      <c r="M1452" s="29" t="str">
        <f t="shared" si="158"/>
        <v/>
      </c>
      <c r="N1452" s="29" t="str">
        <f t="shared" si="159"/>
        <v/>
      </c>
      <c r="O1452" s="29" t="str">
        <f t="shared" si="154"/>
        <v/>
      </c>
      <c r="P1452" s="61"/>
      <c r="Q1452" s="61"/>
      <c r="R1452" s="61"/>
      <c r="S1452" s="45"/>
      <c r="T1452" s="29" t="str">
        <f t="shared" si="155"/>
        <v/>
      </c>
    </row>
    <row r="1453" spans="1:20">
      <c r="A1453" s="10" t="str">
        <f t="shared" si="160"/>
        <v/>
      </c>
      <c r="B1453" s="63"/>
      <c r="C1453" s="25" t="str">
        <f t="shared" si="156"/>
        <v/>
      </c>
      <c r="D1453" s="25" t="str">
        <f t="shared" si="157"/>
        <v/>
      </c>
      <c r="E1453" s="45"/>
      <c r="F1453" s="28" t="str">
        <f>IFERROR(VLOOKUP(E1453,Category!$D$2:$E$600,2,FALSE),"")</f>
        <v/>
      </c>
      <c r="G1453" s="65"/>
      <c r="H1453" s="56"/>
      <c r="I1453" s="66"/>
      <c r="J1453" s="67"/>
      <c r="K1453" s="67"/>
      <c r="L1453" s="67"/>
      <c r="M1453" s="29" t="str">
        <f t="shared" si="158"/>
        <v/>
      </c>
      <c r="N1453" s="29" t="str">
        <f t="shared" si="159"/>
        <v/>
      </c>
      <c r="O1453" s="29" t="str">
        <f t="shared" si="154"/>
        <v/>
      </c>
      <c r="P1453" s="61"/>
      <c r="Q1453" s="61"/>
      <c r="R1453" s="61"/>
      <c r="S1453" s="45"/>
      <c r="T1453" s="29" t="str">
        <f t="shared" si="155"/>
        <v/>
      </c>
    </row>
    <row r="1454" spans="1:20">
      <c r="A1454" s="10" t="str">
        <f t="shared" si="160"/>
        <v/>
      </c>
      <c r="B1454" s="63"/>
      <c r="C1454" s="25" t="str">
        <f t="shared" si="156"/>
        <v/>
      </c>
      <c r="D1454" s="25" t="str">
        <f t="shared" si="157"/>
        <v/>
      </c>
      <c r="E1454" s="45"/>
      <c r="F1454" s="28" t="str">
        <f>IFERROR(VLOOKUP(E1454,Category!$D$2:$E$600,2,FALSE),"")</f>
        <v/>
      </c>
      <c r="G1454" s="65"/>
      <c r="H1454" s="56"/>
      <c r="I1454" s="66"/>
      <c r="J1454" s="67"/>
      <c r="K1454" s="67"/>
      <c r="L1454" s="67"/>
      <c r="M1454" s="29" t="str">
        <f t="shared" si="158"/>
        <v/>
      </c>
      <c r="N1454" s="29" t="str">
        <f t="shared" si="159"/>
        <v/>
      </c>
      <c r="O1454" s="29" t="str">
        <f t="shared" si="154"/>
        <v/>
      </c>
      <c r="P1454" s="61"/>
      <c r="Q1454" s="61"/>
      <c r="R1454" s="61"/>
      <c r="S1454" s="45"/>
      <c r="T1454" s="29" t="str">
        <f t="shared" si="155"/>
        <v/>
      </c>
    </row>
    <row r="1455" spans="1:20">
      <c r="A1455" s="10" t="str">
        <f t="shared" si="160"/>
        <v/>
      </c>
      <c r="B1455" s="63"/>
      <c r="C1455" s="25" t="str">
        <f t="shared" si="156"/>
        <v/>
      </c>
      <c r="D1455" s="25" t="str">
        <f t="shared" si="157"/>
        <v/>
      </c>
      <c r="E1455" s="45"/>
      <c r="F1455" s="28" t="str">
        <f>IFERROR(VLOOKUP(E1455,Category!$D$2:$E$600,2,FALSE),"")</f>
        <v/>
      </c>
      <c r="G1455" s="65"/>
      <c r="H1455" s="56"/>
      <c r="I1455" s="66"/>
      <c r="J1455" s="67"/>
      <c r="K1455" s="67"/>
      <c r="L1455" s="67"/>
      <c r="M1455" s="29" t="str">
        <f t="shared" si="158"/>
        <v/>
      </c>
      <c r="N1455" s="29" t="str">
        <f t="shared" si="159"/>
        <v/>
      </c>
      <c r="O1455" s="29" t="str">
        <f t="shared" si="154"/>
        <v/>
      </c>
      <c r="P1455" s="61"/>
      <c r="Q1455" s="61"/>
      <c r="R1455" s="61"/>
      <c r="S1455" s="45"/>
      <c r="T1455" s="29" t="str">
        <f t="shared" si="155"/>
        <v/>
      </c>
    </row>
    <row r="1456" spans="1:20">
      <c r="A1456" s="10" t="str">
        <f t="shared" si="160"/>
        <v/>
      </c>
      <c r="B1456" s="63"/>
      <c r="C1456" s="25" t="str">
        <f t="shared" si="156"/>
        <v/>
      </c>
      <c r="D1456" s="25" t="str">
        <f t="shared" si="157"/>
        <v/>
      </c>
      <c r="E1456" s="45"/>
      <c r="F1456" s="28" t="str">
        <f>IFERROR(VLOOKUP(E1456,Category!$D$2:$E$600,2,FALSE),"")</f>
        <v/>
      </c>
      <c r="G1456" s="65"/>
      <c r="H1456" s="56"/>
      <c r="I1456" s="66"/>
      <c r="J1456" s="67"/>
      <c r="K1456" s="67"/>
      <c r="L1456" s="67"/>
      <c r="M1456" s="29" t="str">
        <f t="shared" si="158"/>
        <v/>
      </c>
      <c r="N1456" s="29" t="str">
        <f t="shared" si="159"/>
        <v/>
      </c>
      <c r="O1456" s="29" t="str">
        <f t="shared" si="154"/>
        <v/>
      </c>
      <c r="P1456" s="61"/>
      <c r="Q1456" s="61"/>
      <c r="R1456" s="61"/>
      <c r="S1456" s="45"/>
      <c r="T1456" s="29" t="str">
        <f t="shared" si="155"/>
        <v/>
      </c>
    </row>
    <row r="1457" spans="1:20">
      <c r="A1457" s="10" t="str">
        <f t="shared" si="160"/>
        <v/>
      </c>
      <c r="B1457" s="63"/>
      <c r="C1457" s="25" t="str">
        <f t="shared" si="156"/>
        <v/>
      </c>
      <c r="D1457" s="25" t="str">
        <f t="shared" si="157"/>
        <v/>
      </c>
      <c r="E1457" s="45"/>
      <c r="F1457" s="28" t="str">
        <f>IFERROR(VLOOKUP(E1457,Category!$D$2:$E$600,2,FALSE),"")</f>
        <v/>
      </c>
      <c r="G1457" s="65"/>
      <c r="H1457" s="56"/>
      <c r="I1457" s="66"/>
      <c r="J1457" s="67"/>
      <c r="K1457" s="67"/>
      <c r="L1457" s="67"/>
      <c r="M1457" s="29" t="str">
        <f t="shared" si="158"/>
        <v/>
      </c>
      <c r="N1457" s="29" t="str">
        <f t="shared" si="159"/>
        <v/>
      </c>
      <c r="O1457" s="29" t="str">
        <f t="shared" si="154"/>
        <v/>
      </c>
      <c r="P1457" s="61"/>
      <c r="Q1457" s="61"/>
      <c r="R1457" s="61"/>
      <c r="S1457" s="45"/>
      <c r="T1457" s="29" t="str">
        <f t="shared" si="155"/>
        <v/>
      </c>
    </row>
    <row r="1458" spans="1:20">
      <c r="A1458" s="10" t="str">
        <f t="shared" si="160"/>
        <v/>
      </c>
      <c r="B1458" s="63"/>
      <c r="C1458" s="25" t="str">
        <f t="shared" si="156"/>
        <v/>
      </c>
      <c r="D1458" s="25" t="str">
        <f t="shared" si="157"/>
        <v/>
      </c>
      <c r="E1458" s="45"/>
      <c r="F1458" s="28" t="str">
        <f>IFERROR(VLOOKUP(E1458,Category!$D$2:$E$600,2,FALSE),"")</f>
        <v/>
      </c>
      <c r="G1458" s="65"/>
      <c r="H1458" s="56"/>
      <c r="I1458" s="66"/>
      <c r="J1458" s="67"/>
      <c r="K1458" s="67"/>
      <c r="L1458" s="67"/>
      <c r="M1458" s="29" t="str">
        <f t="shared" si="158"/>
        <v/>
      </c>
      <c r="N1458" s="29" t="str">
        <f t="shared" si="159"/>
        <v/>
      </c>
      <c r="O1458" s="29" t="str">
        <f t="shared" si="154"/>
        <v/>
      </c>
      <c r="P1458" s="61"/>
      <c r="Q1458" s="61"/>
      <c r="R1458" s="61"/>
      <c r="S1458" s="45"/>
      <c r="T1458" s="29" t="str">
        <f t="shared" si="155"/>
        <v/>
      </c>
    </row>
    <row r="1459" spans="1:20">
      <c r="A1459" s="10" t="str">
        <f t="shared" si="160"/>
        <v/>
      </c>
      <c r="B1459" s="63"/>
      <c r="C1459" s="25" t="str">
        <f t="shared" si="156"/>
        <v/>
      </c>
      <c r="D1459" s="25" t="str">
        <f t="shared" si="157"/>
        <v/>
      </c>
      <c r="E1459" s="45"/>
      <c r="F1459" s="28" t="str">
        <f>IFERROR(VLOOKUP(E1459,Category!$D$2:$E$600,2,FALSE),"")</f>
        <v/>
      </c>
      <c r="G1459" s="65"/>
      <c r="H1459" s="56"/>
      <c r="I1459" s="66"/>
      <c r="J1459" s="67"/>
      <c r="K1459" s="67"/>
      <c r="L1459" s="67"/>
      <c r="M1459" s="29" t="str">
        <f t="shared" si="158"/>
        <v/>
      </c>
      <c r="N1459" s="29" t="str">
        <f t="shared" si="159"/>
        <v/>
      </c>
      <c r="O1459" s="29" t="str">
        <f t="shared" si="154"/>
        <v/>
      </c>
      <c r="P1459" s="61"/>
      <c r="Q1459" s="61"/>
      <c r="R1459" s="61"/>
      <c r="S1459" s="45"/>
      <c r="T1459" s="29" t="str">
        <f t="shared" si="155"/>
        <v/>
      </c>
    </row>
    <row r="1460" spans="1:20">
      <c r="A1460" s="10" t="str">
        <f t="shared" si="160"/>
        <v/>
      </c>
      <c r="B1460" s="63"/>
      <c r="C1460" s="25" t="str">
        <f t="shared" si="156"/>
        <v/>
      </c>
      <c r="D1460" s="25" t="str">
        <f t="shared" si="157"/>
        <v/>
      </c>
      <c r="E1460" s="45"/>
      <c r="F1460" s="28" t="str">
        <f>IFERROR(VLOOKUP(E1460,Category!$D$2:$E$600,2,FALSE),"")</f>
        <v/>
      </c>
      <c r="G1460" s="65"/>
      <c r="H1460" s="56"/>
      <c r="I1460" s="66"/>
      <c r="J1460" s="67"/>
      <c r="K1460" s="67"/>
      <c r="L1460" s="67"/>
      <c r="M1460" s="29" t="str">
        <f t="shared" si="158"/>
        <v/>
      </c>
      <c r="N1460" s="29" t="str">
        <f t="shared" si="159"/>
        <v/>
      </c>
      <c r="O1460" s="29" t="str">
        <f t="shared" si="154"/>
        <v/>
      </c>
      <c r="P1460" s="61"/>
      <c r="Q1460" s="61"/>
      <c r="R1460" s="61"/>
      <c r="S1460" s="45"/>
      <c r="T1460" s="29" t="str">
        <f t="shared" si="155"/>
        <v/>
      </c>
    </row>
    <row r="1461" spans="1:20">
      <c r="A1461" s="10" t="str">
        <f t="shared" si="160"/>
        <v/>
      </c>
      <c r="B1461" s="63"/>
      <c r="C1461" s="25" t="str">
        <f t="shared" si="156"/>
        <v/>
      </c>
      <c r="D1461" s="25" t="str">
        <f t="shared" si="157"/>
        <v/>
      </c>
      <c r="E1461" s="45"/>
      <c r="F1461" s="28" t="str">
        <f>IFERROR(VLOOKUP(E1461,Category!$D$2:$E$600,2,FALSE),"")</f>
        <v/>
      </c>
      <c r="G1461" s="65"/>
      <c r="H1461" s="56"/>
      <c r="I1461" s="66"/>
      <c r="J1461" s="67"/>
      <c r="K1461" s="67"/>
      <c r="L1461" s="67"/>
      <c r="M1461" s="29" t="str">
        <f t="shared" si="158"/>
        <v/>
      </c>
      <c r="N1461" s="29" t="str">
        <f t="shared" si="159"/>
        <v/>
      </c>
      <c r="O1461" s="29" t="str">
        <f t="shared" si="154"/>
        <v/>
      </c>
      <c r="P1461" s="61"/>
      <c r="Q1461" s="61"/>
      <c r="R1461" s="61"/>
      <c r="S1461" s="45"/>
      <c r="T1461" s="29" t="str">
        <f t="shared" si="155"/>
        <v/>
      </c>
    </row>
    <row r="1462" spans="1:20">
      <c r="A1462" s="10" t="str">
        <f t="shared" si="160"/>
        <v/>
      </c>
      <c r="B1462" s="63"/>
      <c r="C1462" s="25" t="str">
        <f t="shared" si="156"/>
        <v/>
      </c>
      <c r="D1462" s="25" t="str">
        <f t="shared" si="157"/>
        <v/>
      </c>
      <c r="E1462" s="45"/>
      <c r="F1462" s="28" t="str">
        <f>IFERROR(VLOOKUP(E1462,Category!$D$2:$E$600,2,FALSE),"")</f>
        <v/>
      </c>
      <c r="G1462" s="65"/>
      <c r="H1462" s="56"/>
      <c r="I1462" s="66"/>
      <c r="J1462" s="67"/>
      <c r="K1462" s="67"/>
      <c r="L1462" s="67"/>
      <c r="M1462" s="29" t="str">
        <f t="shared" si="158"/>
        <v/>
      </c>
      <c r="N1462" s="29" t="str">
        <f t="shared" si="159"/>
        <v/>
      </c>
      <c r="O1462" s="29" t="str">
        <f t="shared" si="154"/>
        <v/>
      </c>
      <c r="P1462" s="61"/>
      <c r="Q1462" s="61"/>
      <c r="R1462" s="61"/>
      <c r="S1462" s="45"/>
      <c r="T1462" s="29" t="str">
        <f t="shared" si="155"/>
        <v/>
      </c>
    </row>
    <row r="1463" spans="1:20">
      <c r="A1463" s="10" t="str">
        <f t="shared" si="160"/>
        <v/>
      </c>
      <c r="B1463" s="63"/>
      <c r="C1463" s="25" t="str">
        <f t="shared" si="156"/>
        <v/>
      </c>
      <c r="D1463" s="25" t="str">
        <f t="shared" si="157"/>
        <v/>
      </c>
      <c r="E1463" s="45"/>
      <c r="F1463" s="28" t="str">
        <f>IFERROR(VLOOKUP(E1463,Category!$D$2:$E$600,2,FALSE),"")</f>
        <v/>
      </c>
      <c r="G1463" s="65"/>
      <c r="H1463" s="56"/>
      <c r="I1463" s="66"/>
      <c r="J1463" s="67"/>
      <c r="K1463" s="67"/>
      <c r="L1463" s="67"/>
      <c r="M1463" s="29" t="str">
        <f t="shared" si="158"/>
        <v/>
      </c>
      <c r="N1463" s="29" t="str">
        <f t="shared" si="159"/>
        <v/>
      </c>
      <c r="O1463" s="29" t="str">
        <f t="shared" si="154"/>
        <v/>
      </c>
      <c r="P1463" s="61"/>
      <c r="Q1463" s="61"/>
      <c r="R1463" s="61"/>
      <c r="S1463" s="45"/>
      <c r="T1463" s="29" t="str">
        <f t="shared" si="155"/>
        <v/>
      </c>
    </row>
    <row r="1464" spans="1:20">
      <c r="A1464" s="10" t="str">
        <f t="shared" si="160"/>
        <v/>
      </c>
      <c r="B1464" s="63"/>
      <c r="C1464" s="25" t="str">
        <f t="shared" si="156"/>
        <v/>
      </c>
      <c r="D1464" s="25" t="str">
        <f t="shared" si="157"/>
        <v/>
      </c>
      <c r="E1464" s="45"/>
      <c r="F1464" s="28" t="str">
        <f>IFERROR(VLOOKUP(E1464,Category!$D$2:$E$600,2,FALSE),"")</f>
        <v/>
      </c>
      <c r="G1464" s="65"/>
      <c r="H1464" s="56"/>
      <c r="I1464" s="66"/>
      <c r="J1464" s="67"/>
      <c r="K1464" s="67"/>
      <c r="L1464" s="67"/>
      <c r="M1464" s="29" t="str">
        <f t="shared" si="158"/>
        <v/>
      </c>
      <c r="N1464" s="29" t="str">
        <f t="shared" si="159"/>
        <v/>
      </c>
      <c r="O1464" s="29" t="str">
        <f t="shared" si="154"/>
        <v/>
      </c>
      <c r="P1464" s="61"/>
      <c r="Q1464" s="61"/>
      <c r="R1464" s="61"/>
      <c r="S1464" s="45"/>
      <c r="T1464" s="29" t="str">
        <f t="shared" si="155"/>
        <v/>
      </c>
    </row>
    <row r="1465" spans="1:20">
      <c r="A1465" s="10" t="str">
        <f t="shared" si="160"/>
        <v/>
      </c>
      <c r="B1465" s="63"/>
      <c r="C1465" s="25" t="str">
        <f t="shared" si="156"/>
        <v/>
      </c>
      <c r="D1465" s="25" t="str">
        <f t="shared" si="157"/>
        <v/>
      </c>
      <c r="E1465" s="45"/>
      <c r="F1465" s="28" t="str">
        <f>IFERROR(VLOOKUP(E1465,Category!$D$2:$E$600,2,FALSE),"")</f>
        <v/>
      </c>
      <c r="G1465" s="65"/>
      <c r="H1465" s="56"/>
      <c r="I1465" s="66"/>
      <c r="J1465" s="67"/>
      <c r="K1465" s="67"/>
      <c r="L1465" s="67"/>
      <c r="M1465" s="29" t="str">
        <f t="shared" si="158"/>
        <v/>
      </c>
      <c r="N1465" s="29" t="str">
        <f t="shared" si="159"/>
        <v/>
      </c>
      <c r="O1465" s="29" t="str">
        <f t="shared" si="154"/>
        <v/>
      </c>
      <c r="P1465" s="61"/>
      <c r="Q1465" s="61"/>
      <c r="R1465" s="61"/>
      <c r="S1465" s="45"/>
      <c r="T1465" s="29" t="str">
        <f t="shared" si="155"/>
        <v/>
      </c>
    </row>
    <row r="1466" spans="1:20">
      <c r="A1466" s="10" t="str">
        <f t="shared" si="160"/>
        <v/>
      </c>
      <c r="B1466" s="63"/>
      <c r="C1466" s="25" t="str">
        <f t="shared" si="156"/>
        <v/>
      </c>
      <c r="D1466" s="25" t="str">
        <f t="shared" si="157"/>
        <v/>
      </c>
      <c r="E1466" s="45"/>
      <c r="F1466" s="28" t="str">
        <f>IFERROR(VLOOKUP(E1466,Category!$D$2:$E$600,2,FALSE),"")</f>
        <v/>
      </c>
      <c r="G1466" s="65"/>
      <c r="H1466" s="56"/>
      <c r="I1466" s="66"/>
      <c r="J1466" s="67"/>
      <c r="K1466" s="67"/>
      <c r="L1466" s="67"/>
      <c r="M1466" s="29" t="str">
        <f t="shared" si="158"/>
        <v/>
      </c>
      <c r="N1466" s="29" t="str">
        <f t="shared" si="159"/>
        <v/>
      </c>
      <c r="O1466" s="29" t="str">
        <f t="shared" si="154"/>
        <v/>
      </c>
      <c r="P1466" s="61"/>
      <c r="Q1466" s="61"/>
      <c r="R1466" s="61"/>
      <c r="S1466" s="45"/>
      <c r="T1466" s="29" t="str">
        <f t="shared" si="155"/>
        <v/>
      </c>
    </row>
    <row r="1467" spans="1:20">
      <c r="A1467" s="10" t="str">
        <f t="shared" si="160"/>
        <v/>
      </c>
      <c r="B1467" s="63"/>
      <c r="C1467" s="25" t="str">
        <f t="shared" si="156"/>
        <v/>
      </c>
      <c r="D1467" s="25" t="str">
        <f t="shared" si="157"/>
        <v/>
      </c>
      <c r="E1467" s="45"/>
      <c r="F1467" s="28" t="str">
        <f>IFERROR(VLOOKUP(E1467,Category!$D$2:$E$600,2,FALSE),"")</f>
        <v/>
      </c>
      <c r="G1467" s="65"/>
      <c r="H1467" s="56"/>
      <c r="I1467" s="66"/>
      <c r="J1467" s="67"/>
      <c r="K1467" s="67"/>
      <c r="L1467" s="67"/>
      <c r="M1467" s="29" t="str">
        <f t="shared" si="158"/>
        <v/>
      </c>
      <c r="N1467" s="29" t="str">
        <f t="shared" si="159"/>
        <v/>
      </c>
      <c r="O1467" s="29" t="str">
        <f t="shared" si="154"/>
        <v/>
      </c>
      <c r="P1467" s="61"/>
      <c r="Q1467" s="61"/>
      <c r="R1467" s="61"/>
      <c r="S1467" s="45"/>
      <c r="T1467" s="29" t="str">
        <f t="shared" si="155"/>
        <v/>
      </c>
    </row>
    <row r="1468" spans="1:20">
      <c r="A1468" s="10" t="str">
        <f t="shared" si="160"/>
        <v/>
      </c>
      <c r="B1468" s="63"/>
      <c r="C1468" s="25" t="str">
        <f t="shared" si="156"/>
        <v/>
      </c>
      <c r="D1468" s="25" t="str">
        <f t="shared" si="157"/>
        <v/>
      </c>
      <c r="E1468" s="45"/>
      <c r="F1468" s="28" t="str">
        <f>IFERROR(VLOOKUP(E1468,Category!$D$2:$E$600,2,FALSE),"")</f>
        <v/>
      </c>
      <c r="G1468" s="65"/>
      <c r="H1468" s="56"/>
      <c r="I1468" s="66"/>
      <c r="J1468" s="67"/>
      <c r="K1468" s="67"/>
      <c r="L1468" s="67"/>
      <c r="M1468" s="29" t="str">
        <f t="shared" si="158"/>
        <v/>
      </c>
      <c r="N1468" s="29" t="str">
        <f t="shared" si="159"/>
        <v/>
      </c>
      <c r="O1468" s="29" t="str">
        <f t="shared" si="154"/>
        <v/>
      </c>
      <c r="P1468" s="61"/>
      <c r="Q1468" s="61"/>
      <c r="R1468" s="61"/>
      <c r="S1468" s="45"/>
      <c r="T1468" s="29" t="str">
        <f t="shared" si="155"/>
        <v/>
      </c>
    </row>
    <row r="1469" spans="1:20">
      <c r="A1469" s="10" t="str">
        <f t="shared" si="160"/>
        <v/>
      </c>
      <c r="B1469" s="63"/>
      <c r="C1469" s="25" t="str">
        <f t="shared" si="156"/>
        <v/>
      </c>
      <c r="D1469" s="25" t="str">
        <f t="shared" si="157"/>
        <v/>
      </c>
      <c r="E1469" s="45"/>
      <c r="F1469" s="28" t="str">
        <f>IFERROR(VLOOKUP(E1469,Category!$D$2:$E$600,2,FALSE),"")</f>
        <v/>
      </c>
      <c r="G1469" s="65"/>
      <c r="H1469" s="56"/>
      <c r="I1469" s="66"/>
      <c r="J1469" s="67"/>
      <c r="K1469" s="67"/>
      <c r="L1469" s="67"/>
      <c r="M1469" s="29" t="str">
        <f t="shared" si="158"/>
        <v/>
      </c>
      <c r="N1469" s="29" t="str">
        <f t="shared" si="159"/>
        <v/>
      </c>
      <c r="O1469" s="29" t="str">
        <f t="shared" si="154"/>
        <v/>
      </c>
      <c r="P1469" s="61"/>
      <c r="Q1469" s="61"/>
      <c r="R1469" s="61"/>
      <c r="S1469" s="45"/>
      <c r="T1469" s="29" t="str">
        <f t="shared" si="155"/>
        <v/>
      </c>
    </row>
    <row r="1470" spans="1:20">
      <c r="A1470" s="10" t="str">
        <f t="shared" si="160"/>
        <v/>
      </c>
      <c r="B1470" s="63"/>
      <c r="C1470" s="25" t="str">
        <f t="shared" si="156"/>
        <v/>
      </c>
      <c r="D1470" s="25" t="str">
        <f t="shared" si="157"/>
        <v/>
      </c>
      <c r="E1470" s="45"/>
      <c r="F1470" s="28" t="str">
        <f>IFERROR(VLOOKUP(E1470,Category!$D$2:$E$600,2,FALSE),"")</f>
        <v/>
      </c>
      <c r="G1470" s="65"/>
      <c r="H1470" s="56"/>
      <c r="I1470" s="66"/>
      <c r="J1470" s="67"/>
      <c r="K1470" s="67"/>
      <c r="L1470" s="67"/>
      <c r="M1470" s="29" t="str">
        <f t="shared" si="158"/>
        <v/>
      </c>
      <c r="N1470" s="29" t="str">
        <f t="shared" si="159"/>
        <v/>
      </c>
      <c r="O1470" s="29" t="str">
        <f t="shared" si="154"/>
        <v/>
      </c>
      <c r="P1470" s="61"/>
      <c r="Q1470" s="61"/>
      <c r="R1470" s="61"/>
      <c r="S1470" s="45"/>
      <c r="T1470" s="29" t="str">
        <f t="shared" si="155"/>
        <v/>
      </c>
    </row>
    <row r="1471" spans="1:20">
      <c r="A1471" s="10" t="str">
        <f t="shared" si="160"/>
        <v/>
      </c>
      <c r="B1471" s="63"/>
      <c r="C1471" s="25" t="str">
        <f t="shared" si="156"/>
        <v/>
      </c>
      <c r="D1471" s="25" t="str">
        <f t="shared" si="157"/>
        <v/>
      </c>
      <c r="E1471" s="45"/>
      <c r="F1471" s="28" t="str">
        <f>IFERROR(VLOOKUP(E1471,Category!$D$2:$E$600,2,FALSE),"")</f>
        <v/>
      </c>
      <c r="G1471" s="65"/>
      <c r="H1471" s="56"/>
      <c r="I1471" s="66"/>
      <c r="J1471" s="67"/>
      <c r="K1471" s="67"/>
      <c r="L1471" s="67"/>
      <c r="M1471" s="29" t="str">
        <f t="shared" si="158"/>
        <v/>
      </c>
      <c r="N1471" s="29" t="str">
        <f t="shared" si="159"/>
        <v/>
      </c>
      <c r="O1471" s="29" t="str">
        <f t="shared" si="154"/>
        <v/>
      </c>
      <c r="P1471" s="61"/>
      <c r="Q1471" s="61"/>
      <c r="R1471" s="61"/>
      <c r="S1471" s="45"/>
      <c r="T1471" s="29" t="str">
        <f t="shared" si="155"/>
        <v/>
      </c>
    </row>
    <row r="1472" spans="1:20">
      <c r="A1472" s="10" t="str">
        <f t="shared" si="160"/>
        <v/>
      </c>
      <c r="B1472" s="63"/>
      <c r="C1472" s="25" t="str">
        <f t="shared" si="156"/>
        <v/>
      </c>
      <c r="D1472" s="25" t="str">
        <f t="shared" si="157"/>
        <v/>
      </c>
      <c r="E1472" s="45"/>
      <c r="F1472" s="28" t="str">
        <f>IFERROR(VLOOKUP(E1472,Category!$D$2:$E$600,2,FALSE),"")</f>
        <v/>
      </c>
      <c r="G1472" s="65"/>
      <c r="H1472" s="56"/>
      <c r="I1472" s="66"/>
      <c r="J1472" s="67"/>
      <c r="K1472" s="67"/>
      <c r="L1472" s="67"/>
      <c r="M1472" s="29" t="str">
        <f t="shared" si="158"/>
        <v/>
      </c>
      <c r="N1472" s="29" t="str">
        <f t="shared" si="159"/>
        <v/>
      </c>
      <c r="O1472" s="29" t="str">
        <f t="shared" si="154"/>
        <v/>
      </c>
      <c r="P1472" s="61"/>
      <c r="Q1472" s="61"/>
      <c r="R1472" s="61"/>
      <c r="S1472" s="45"/>
      <c r="T1472" s="29" t="str">
        <f t="shared" si="155"/>
        <v/>
      </c>
    </row>
    <row r="1473" spans="1:20">
      <c r="A1473" s="10" t="str">
        <f t="shared" si="160"/>
        <v/>
      </c>
      <c r="B1473" s="63"/>
      <c r="C1473" s="25" t="str">
        <f t="shared" si="156"/>
        <v/>
      </c>
      <c r="D1473" s="25" t="str">
        <f t="shared" si="157"/>
        <v/>
      </c>
      <c r="E1473" s="45"/>
      <c r="F1473" s="28" t="str">
        <f>IFERROR(VLOOKUP(E1473,Category!$D$2:$E$600,2,FALSE),"")</f>
        <v/>
      </c>
      <c r="G1473" s="65"/>
      <c r="H1473" s="56"/>
      <c r="I1473" s="66"/>
      <c r="J1473" s="67"/>
      <c r="K1473" s="67"/>
      <c r="L1473" s="67"/>
      <c r="M1473" s="29" t="str">
        <f t="shared" si="158"/>
        <v/>
      </c>
      <c r="N1473" s="29" t="str">
        <f t="shared" si="159"/>
        <v/>
      </c>
      <c r="O1473" s="29" t="str">
        <f t="shared" si="154"/>
        <v/>
      </c>
      <c r="P1473" s="61"/>
      <c r="Q1473" s="61"/>
      <c r="R1473" s="61"/>
      <c r="S1473" s="45"/>
      <c r="T1473" s="29" t="str">
        <f t="shared" si="155"/>
        <v/>
      </c>
    </row>
    <row r="1474" spans="1:20">
      <c r="A1474" s="10" t="str">
        <f t="shared" si="160"/>
        <v/>
      </c>
      <c r="B1474" s="63"/>
      <c r="C1474" s="25" t="str">
        <f t="shared" si="156"/>
        <v/>
      </c>
      <c r="D1474" s="25" t="str">
        <f t="shared" si="157"/>
        <v/>
      </c>
      <c r="E1474" s="45"/>
      <c r="F1474" s="28" t="str">
        <f>IFERROR(VLOOKUP(E1474,Category!$D$2:$E$600,2,FALSE),"")</f>
        <v/>
      </c>
      <c r="G1474" s="65"/>
      <c r="H1474" s="56"/>
      <c r="I1474" s="66"/>
      <c r="J1474" s="67"/>
      <c r="K1474" s="67"/>
      <c r="L1474" s="67"/>
      <c r="M1474" s="29" t="str">
        <f t="shared" si="158"/>
        <v/>
      </c>
      <c r="N1474" s="29" t="str">
        <f t="shared" si="159"/>
        <v/>
      </c>
      <c r="O1474" s="29" t="str">
        <f t="shared" ref="O1474:O1496" si="161">IF(H1474*I1474=0,"",H1474*I1474)</f>
        <v/>
      </c>
      <c r="P1474" s="61"/>
      <c r="Q1474" s="61"/>
      <c r="R1474" s="61"/>
      <c r="S1474" s="45"/>
      <c r="T1474" s="29" t="str">
        <f t="shared" ref="T1474:T1496" si="162">IF(R1474="paid",(H1474*I1474)-(G1474*H1474),"")</f>
        <v/>
      </c>
    </row>
    <row r="1475" spans="1:20">
      <c r="A1475" s="10" t="str">
        <f t="shared" si="160"/>
        <v/>
      </c>
      <c r="B1475" s="63"/>
      <c r="C1475" s="25" t="str">
        <f t="shared" ref="C1475:C1496" si="163">IF(B1475=0,"",TEXT(B1475,"mmmm"))</f>
        <v/>
      </c>
      <c r="D1475" s="25" t="str">
        <f t="shared" ref="D1475:D1496" si="164">IF(B1475=0,"",TEXT(B1475,"yyyy"))</f>
        <v/>
      </c>
      <c r="E1475" s="45"/>
      <c r="F1475" s="28" t="str">
        <f>IFERROR(VLOOKUP(E1475,Category!$D$2:$E$600,2,FALSE),"")</f>
        <v/>
      </c>
      <c r="G1475" s="65"/>
      <c r="H1475" s="56"/>
      <c r="I1475" s="66"/>
      <c r="J1475" s="67"/>
      <c r="K1475" s="67"/>
      <c r="L1475" s="67"/>
      <c r="M1475" s="29" t="str">
        <f t="shared" ref="M1475:M1496" si="165">IFERROR(IF(O1475&gt;0,IF(R1475="Paid","",O1475-J1475),""),"")</f>
        <v/>
      </c>
      <c r="N1475" s="29" t="str">
        <f t="shared" ref="N1475:N1496" si="166">IF(J1475&gt;0,IF(R1475="Paid",O1475-J1475,""),"")</f>
        <v/>
      </c>
      <c r="O1475" s="29" t="str">
        <f t="shared" si="161"/>
        <v/>
      </c>
      <c r="P1475" s="61"/>
      <c r="Q1475" s="61"/>
      <c r="R1475" s="61"/>
      <c r="S1475" s="45"/>
      <c r="T1475" s="29" t="str">
        <f t="shared" si="162"/>
        <v/>
      </c>
    </row>
    <row r="1476" spans="1:20">
      <c r="A1476" s="10" t="str">
        <f t="shared" ref="A1476:A1495" si="167">IF(E1476&gt;0,A1475+1,"")</f>
        <v/>
      </c>
      <c r="B1476" s="63"/>
      <c r="C1476" s="25" t="str">
        <f t="shared" si="163"/>
        <v/>
      </c>
      <c r="D1476" s="25" t="str">
        <f t="shared" si="164"/>
        <v/>
      </c>
      <c r="E1476" s="45"/>
      <c r="F1476" s="28" t="str">
        <f>IFERROR(VLOOKUP(E1476,Category!$D$2:$E$600,2,FALSE),"")</f>
        <v/>
      </c>
      <c r="G1476" s="65"/>
      <c r="H1476" s="56"/>
      <c r="I1476" s="66"/>
      <c r="J1476" s="67"/>
      <c r="K1476" s="67"/>
      <c r="L1476" s="67"/>
      <c r="M1476" s="29" t="str">
        <f t="shared" si="165"/>
        <v/>
      </c>
      <c r="N1476" s="29" t="str">
        <f t="shared" si="166"/>
        <v/>
      </c>
      <c r="O1476" s="29" t="str">
        <f t="shared" si="161"/>
        <v/>
      </c>
      <c r="P1476" s="61"/>
      <c r="Q1476" s="61"/>
      <c r="R1476" s="61"/>
      <c r="S1476" s="45"/>
      <c r="T1476" s="29" t="str">
        <f t="shared" si="162"/>
        <v/>
      </c>
    </row>
    <row r="1477" spans="1:20">
      <c r="A1477" s="10" t="str">
        <f t="shared" si="167"/>
        <v/>
      </c>
      <c r="B1477" s="63"/>
      <c r="C1477" s="25" t="str">
        <f t="shared" si="163"/>
        <v/>
      </c>
      <c r="D1477" s="25" t="str">
        <f t="shared" si="164"/>
        <v/>
      </c>
      <c r="E1477" s="45"/>
      <c r="F1477" s="28" t="str">
        <f>IFERROR(VLOOKUP(E1477,Category!$D$2:$E$600,2,FALSE),"")</f>
        <v/>
      </c>
      <c r="G1477" s="65"/>
      <c r="H1477" s="56"/>
      <c r="I1477" s="66"/>
      <c r="J1477" s="67"/>
      <c r="K1477" s="67"/>
      <c r="L1477" s="67"/>
      <c r="M1477" s="29" t="str">
        <f t="shared" si="165"/>
        <v/>
      </c>
      <c r="N1477" s="29" t="str">
        <f t="shared" si="166"/>
        <v/>
      </c>
      <c r="O1477" s="29" t="str">
        <f t="shared" si="161"/>
        <v/>
      </c>
      <c r="P1477" s="61"/>
      <c r="Q1477" s="61"/>
      <c r="R1477" s="61"/>
      <c r="S1477" s="45"/>
      <c r="T1477" s="29" t="str">
        <f t="shared" si="162"/>
        <v/>
      </c>
    </row>
    <row r="1478" spans="1:20">
      <c r="A1478" s="10" t="str">
        <f t="shared" si="167"/>
        <v/>
      </c>
      <c r="B1478" s="63"/>
      <c r="C1478" s="25" t="str">
        <f t="shared" si="163"/>
        <v/>
      </c>
      <c r="D1478" s="25" t="str">
        <f t="shared" si="164"/>
        <v/>
      </c>
      <c r="E1478" s="45"/>
      <c r="F1478" s="28" t="str">
        <f>IFERROR(VLOOKUP(E1478,Category!$D$2:$E$600,2,FALSE),"")</f>
        <v/>
      </c>
      <c r="G1478" s="65"/>
      <c r="H1478" s="56"/>
      <c r="I1478" s="66"/>
      <c r="J1478" s="67"/>
      <c r="K1478" s="67"/>
      <c r="L1478" s="67"/>
      <c r="M1478" s="29" t="str">
        <f t="shared" si="165"/>
        <v/>
      </c>
      <c r="N1478" s="29" t="str">
        <f t="shared" si="166"/>
        <v/>
      </c>
      <c r="O1478" s="29" t="str">
        <f t="shared" si="161"/>
        <v/>
      </c>
      <c r="P1478" s="61"/>
      <c r="Q1478" s="61"/>
      <c r="R1478" s="61"/>
      <c r="S1478" s="45"/>
      <c r="T1478" s="29" t="str">
        <f t="shared" si="162"/>
        <v/>
      </c>
    </row>
    <row r="1479" spans="1:20">
      <c r="A1479" s="10" t="str">
        <f t="shared" si="167"/>
        <v/>
      </c>
      <c r="B1479" s="63"/>
      <c r="C1479" s="25" t="str">
        <f t="shared" si="163"/>
        <v/>
      </c>
      <c r="D1479" s="25" t="str">
        <f t="shared" si="164"/>
        <v/>
      </c>
      <c r="E1479" s="45"/>
      <c r="F1479" s="28" t="str">
        <f>IFERROR(VLOOKUP(E1479,Category!$D$2:$E$600,2,FALSE),"")</f>
        <v/>
      </c>
      <c r="G1479" s="65"/>
      <c r="H1479" s="56"/>
      <c r="I1479" s="66"/>
      <c r="J1479" s="67"/>
      <c r="K1479" s="67"/>
      <c r="L1479" s="67"/>
      <c r="M1479" s="29" t="str">
        <f t="shared" si="165"/>
        <v/>
      </c>
      <c r="N1479" s="29" t="str">
        <f t="shared" si="166"/>
        <v/>
      </c>
      <c r="O1479" s="29" t="str">
        <f t="shared" si="161"/>
        <v/>
      </c>
      <c r="P1479" s="61"/>
      <c r="Q1479" s="61"/>
      <c r="R1479" s="61"/>
      <c r="S1479" s="45"/>
      <c r="T1479" s="29" t="str">
        <f t="shared" si="162"/>
        <v/>
      </c>
    </row>
    <row r="1480" spans="1:20">
      <c r="A1480" s="10" t="str">
        <f t="shared" si="167"/>
        <v/>
      </c>
      <c r="B1480" s="63"/>
      <c r="C1480" s="25" t="str">
        <f t="shared" si="163"/>
        <v/>
      </c>
      <c r="D1480" s="25" t="str">
        <f t="shared" si="164"/>
        <v/>
      </c>
      <c r="E1480" s="45"/>
      <c r="F1480" s="28" t="str">
        <f>IFERROR(VLOOKUP(E1480,Category!$D$2:$E$600,2,FALSE),"")</f>
        <v/>
      </c>
      <c r="G1480" s="65"/>
      <c r="H1480" s="56"/>
      <c r="I1480" s="66"/>
      <c r="J1480" s="67"/>
      <c r="K1480" s="67"/>
      <c r="L1480" s="67"/>
      <c r="M1480" s="29" t="str">
        <f t="shared" si="165"/>
        <v/>
      </c>
      <c r="N1480" s="29" t="str">
        <f t="shared" si="166"/>
        <v/>
      </c>
      <c r="O1480" s="29" t="str">
        <f t="shared" si="161"/>
        <v/>
      </c>
      <c r="P1480" s="61"/>
      <c r="Q1480" s="61"/>
      <c r="R1480" s="61"/>
      <c r="S1480" s="45"/>
      <c r="T1480" s="29" t="str">
        <f t="shared" si="162"/>
        <v/>
      </c>
    </row>
    <row r="1481" spans="1:20">
      <c r="A1481" s="10" t="str">
        <f t="shared" si="167"/>
        <v/>
      </c>
      <c r="B1481" s="63"/>
      <c r="C1481" s="25" t="str">
        <f t="shared" si="163"/>
        <v/>
      </c>
      <c r="D1481" s="25" t="str">
        <f t="shared" si="164"/>
        <v/>
      </c>
      <c r="E1481" s="45"/>
      <c r="F1481" s="28" t="str">
        <f>IFERROR(VLOOKUP(E1481,Category!$D$2:$E$600,2,FALSE),"")</f>
        <v/>
      </c>
      <c r="G1481" s="65"/>
      <c r="H1481" s="56"/>
      <c r="I1481" s="66"/>
      <c r="J1481" s="67"/>
      <c r="K1481" s="67"/>
      <c r="L1481" s="67"/>
      <c r="M1481" s="29" t="str">
        <f t="shared" si="165"/>
        <v/>
      </c>
      <c r="N1481" s="29" t="str">
        <f t="shared" si="166"/>
        <v/>
      </c>
      <c r="O1481" s="29" t="str">
        <f t="shared" si="161"/>
        <v/>
      </c>
      <c r="P1481" s="61"/>
      <c r="Q1481" s="61"/>
      <c r="R1481" s="61"/>
      <c r="S1481" s="45"/>
      <c r="T1481" s="29" t="str">
        <f t="shared" si="162"/>
        <v/>
      </c>
    </row>
    <row r="1482" spans="1:20">
      <c r="A1482" s="10" t="str">
        <f t="shared" si="167"/>
        <v/>
      </c>
      <c r="B1482" s="63"/>
      <c r="C1482" s="25" t="str">
        <f t="shared" si="163"/>
        <v/>
      </c>
      <c r="D1482" s="25" t="str">
        <f t="shared" si="164"/>
        <v/>
      </c>
      <c r="E1482" s="45"/>
      <c r="F1482" s="28" t="str">
        <f>IFERROR(VLOOKUP(E1482,Category!$D$2:$E$600,2,FALSE),"")</f>
        <v/>
      </c>
      <c r="G1482" s="65"/>
      <c r="H1482" s="56"/>
      <c r="I1482" s="66"/>
      <c r="J1482" s="67"/>
      <c r="K1482" s="67"/>
      <c r="L1482" s="67"/>
      <c r="M1482" s="29" t="str">
        <f t="shared" si="165"/>
        <v/>
      </c>
      <c r="N1482" s="29" t="str">
        <f t="shared" si="166"/>
        <v/>
      </c>
      <c r="O1482" s="29" t="str">
        <f t="shared" si="161"/>
        <v/>
      </c>
      <c r="P1482" s="61"/>
      <c r="Q1482" s="61"/>
      <c r="R1482" s="61"/>
      <c r="S1482" s="45"/>
      <c r="T1482" s="29" t="str">
        <f t="shared" si="162"/>
        <v/>
      </c>
    </row>
    <row r="1483" spans="1:20">
      <c r="A1483" s="10" t="str">
        <f t="shared" si="167"/>
        <v/>
      </c>
      <c r="B1483" s="63"/>
      <c r="C1483" s="25" t="str">
        <f t="shared" si="163"/>
        <v/>
      </c>
      <c r="D1483" s="25" t="str">
        <f t="shared" si="164"/>
        <v/>
      </c>
      <c r="E1483" s="45"/>
      <c r="F1483" s="28" t="str">
        <f>IFERROR(VLOOKUP(E1483,Category!$D$2:$E$600,2,FALSE),"")</f>
        <v/>
      </c>
      <c r="G1483" s="65"/>
      <c r="H1483" s="56"/>
      <c r="I1483" s="66"/>
      <c r="J1483" s="67"/>
      <c r="K1483" s="67"/>
      <c r="L1483" s="67"/>
      <c r="M1483" s="29" t="str">
        <f t="shared" si="165"/>
        <v/>
      </c>
      <c r="N1483" s="29" t="str">
        <f t="shared" si="166"/>
        <v/>
      </c>
      <c r="O1483" s="29" t="str">
        <f t="shared" si="161"/>
        <v/>
      </c>
      <c r="P1483" s="61"/>
      <c r="Q1483" s="61"/>
      <c r="R1483" s="61"/>
      <c r="S1483" s="45"/>
      <c r="T1483" s="29" t="str">
        <f t="shared" si="162"/>
        <v/>
      </c>
    </row>
    <row r="1484" spans="1:20">
      <c r="A1484" s="10" t="str">
        <f t="shared" si="167"/>
        <v/>
      </c>
      <c r="B1484" s="63"/>
      <c r="C1484" s="25" t="str">
        <f t="shared" si="163"/>
        <v/>
      </c>
      <c r="D1484" s="25" t="str">
        <f t="shared" si="164"/>
        <v/>
      </c>
      <c r="E1484" s="45"/>
      <c r="F1484" s="28" t="str">
        <f>IFERROR(VLOOKUP(E1484,Category!$D$2:$E$600,2,FALSE),"")</f>
        <v/>
      </c>
      <c r="G1484" s="65"/>
      <c r="H1484" s="56"/>
      <c r="I1484" s="66"/>
      <c r="J1484" s="67"/>
      <c r="K1484" s="67"/>
      <c r="L1484" s="67"/>
      <c r="M1484" s="29" t="str">
        <f t="shared" si="165"/>
        <v/>
      </c>
      <c r="N1484" s="29" t="str">
        <f t="shared" si="166"/>
        <v/>
      </c>
      <c r="O1484" s="29" t="str">
        <f t="shared" si="161"/>
        <v/>
      </c>
      <c r="P1484" s="61"/>
      <c r="Q1484" s="61"/>
      <c r="R1484" s="61"/>
      <c r="S1484" s="45"/>
      <c r="T1484" s="29" t="str">
        <f t="shared" si="162"/>
        <v/>
      </c>
    </row>
    <row r="1485" spans="1:20">
      <c r="A1485" s="10" t="str">
        <f t="shared" si="167"/>
        <v/>
      </c>
      <c r="B1485" s="63"/>
      <c r="C1485" s="25" t="str">
        <f t="shared" si="163"/>
        <v/>
      </c>
      <c r="D1485" s="25" t="str">
        <f t="shared" si="164"/>
        <v/>
      </c>
      <c r="E1485" s="45"/>
      <c r="F1485" s="28" t="str">
        <f>IFERROR(VLOOKUP(E1485,Category!$D$2:$E$600,2,FALSE),"")</f>
        <v/>
      </c>
      <c r="G1485" s="65"/>
      <c r="H1485" s="56"/>
      <c r="I1485" s="66"/>
      <c r="J1485" s="67"/>
      <c r="K1485" s="67"/>
      <c r="L1485" s="67"/>
      <c r="M1485" s="29" t="str">
        <f t="shared" si="165"/>
        <v/>
      </c>
      <c r="N1485" s="29" t="str">
        <f t="shared" si="166"/>
        <v/>
      </c>
      <c r="O1485" s="29" t="str">
        <f t="shared" si="161"/>
        <v/>
      </c>
      <c r="P1485" s="61"/>
      <c r="Q1485" s="61"/>
      <c r="R1485" s="61"/>
      <c r="S1485" s="45"/>
      <c r="T1485" s="29" t="str">
        <f t="shared" si="162"/>
        <v/>
      </c>
    </row>
    <row r="1486" spans="1:20">
      <c r="A1486" s="10" t="str">
        <f t="shared" si="167"/>
        <v/>
      </c>
      <c r="B1486" s="63"/>
      <c r="C1486" s="25" t="str">
        <f t="shared" si="163"/>
        <v/>
      </c>
      <c r="D1486" s="25" t="str">
        <f t="shared" si="164"/>
        <v/>
      </c>
      <c r="E1486" s="45"/>
      <c r="F1486" s="28" t="str">
        <f>IFERROR(VLOOKUP(E1486,Category!$D$2:$E$600,2,FALSE),"")</f>
        <v/>
      </c>
      <c r="G1486" s="65"/>
      <c r="H1486" s="56"/>
      <c r="I1486" s="66"/>
      <c r="J1486" s="67"/>
      <c r="K1486" s="67"/>
      <c r="L1486" s="67"/>
      <c r="M1486" s="29" t="str">
        <f t="shared" si="165"/>
        <v/>
      </c>
      <c r="N1486" s="29" t="str">
        <f t="shared" si="166"/>
        <v/>
      </c>
      <c r="O1486" s="29" t="str">
        <f t="shared" si="161"/>
        <v/>
      </c>
      <c r="P1486" s="61"/>
      <c r="Q1486" s="61"/>
      <c r="R1486" s="61"/>
      <c r="S1486" s="45"/>
      <c r="T1486" s="29" t="str">
        <f t="shared" si="162"/>
        <v/>
      </c>
    </row>
    <row r="1487" spans="1:20">
      <c r="A1487" s="10" t="str">
        <f t="shared" si="167"/>
        <v/>
      </c>
      <c r="B1487" s="63"/>
      <c r="C1487" s="25" t="str">
        <f t="shared" si="163"/>
        <v/>
      </c>
      <c r="D1487" s="25" t="str">
        <f t="shared" si="164"/>
        <v/>
      </c>
      <c r="E1487" s="45"/>
      <c r="F1487" s="28" t="str">
        <f>IFERROR(VLOOKUP(E1487,Category!$D$2:$E$600,2,FALSE),"")</f>
        <v/>
      </c>
      <c r="G1487" s="65"/>
      <c r="H1487" s="56"/>
      <c r="I1487" s="66"/>
      <c r="J1487" s="67"/>
      <c r="K1487" s="67"/>
      <c r="L1487" s="67"/>
      <c r="M1487" s="29" t="str">
        <f t="shared" si="165"/>
        <v/>
      </c>
      <c r="N1487" s="29" t="str">
        <f t="shared" si="166"/>
        <v/>
      </c>
      <c r="O1487" s="29" t="str">
        <f t="shared" si="161"/>
        <v/>
      </c>
      <c r="P1487" s="61"/>
      <c r="Q1487" s="61"/>
      <c r="R1487" s="61"/>
      <c r="S1487" s="45"/>
      <c r="T1487" s="29" t="str">
        <f t="shared" si="162"/>
        <v/>
      </c>
    </row>
    <row r="1488" spans="1:20">
      <c r="A1488" s="10" t="str">
        <f t="shared" si="167"/>
        <v/>
      </c>
      <c r="B1488" s="63"/>
      <c r="C1488" s="25" t="str">
        <f t="shared" si="163"/>
        <v/>
      </c>
      <c r="D1488" s="25" t="str">
        <f t="shared" si="164"/>
        <v/>
      </c>
      <c r="E1488" s="45"/>
      <c r="F1488" s="28" t="str">
        <f>IFERROR(VLOOKUP(E1488,Category!$D$2:$E$600,2,FALSE),"")</f>
        <v/>
      </c>
      <c r="G1488" s="65"/>
      <c r="H1488" s="56"/>
      <c r="I1488" s="66"/>
      <c r="J1488" s="67"/>
      <c r="K1488" s="67"/>
      <c r="L1488" s="67"/>
      <c r="M1488" s="29" t="str">
        <f t="shared" si="165"/>
        <v/>
      </c>
      <c r="N1488" s="29" t="str">
        <f t="shared" si="166"/>
        <v/>
      </c>
      <c r="O1488" s="29" t="str">
        <f t="shared" si="161"/>
        <v/>
      </c>
      <c r="P1488" s="61"/>
      <c r="Q1488" s="61"/>
      <c r="R1488" s="61"/>
      <c r="S1488" s="45"/>
      <c r="T1488" s="29" t="str">
        <f t="shared" si="162"/>
        <v/>
      </c>
    </row>
    <row r="1489" spans="1:20">
      <c r="A1489" s="10" t="str">
        <f t="shared" si="167"/>
        <v/>
      </c>
      <c r="B1489" s="63"/>
      <c r="C1489" s="25" t="str">
        <f t="shared" si="163"/>
        <v/>
      </c>
      <c r="D1489" s="25" t="str">
        <f t="shared" si="164"/>
        <v/>
      </c>
      <c r="E1489" s="45"/>
      <c r="F1489" s="28" t="str">
        <f>IFERROR(VLOOKUP(E1489,Category!$D$2:$E$600,2,FALSE),"")</f>
        <v/>
      </c>
      <c r="G1489" s="65"/>
      <c r="H1489" s="56"/>
      <c r="I1489" s="66"/>
      <c r="J1489" s="67"/>
      <c r="K1489" s="67"/>
      <c r="L1489" s="67"/>
      <c r="M1489" s="29" t="str">
        <f t="shared" si="165"/>
        <v/>
      </c>
      <c r="N1489" s="29" t="str">
        <f t="shared" si="166"/>
        <v/>
      </c>
      <c r="O1489" s="29" t="str">
        <f t="shared" si="161"/>
        <v/>
      </c>
      <c r="P1489" s="61"/>
      <c r="Q1489" s="61"/>
      <c r="R1489" s="61"/>
      <c r="S1489" s="45"/>
      <c r="T1489" s="29" t="str">
        <f t="shared" si="162"/>
        <v/>
      </c>
    </row>
    <row r="1490" spans="1:20">
      <c r="A1490" s="10" t="str">
        <f t="shared" si="167"/>
        <v/>
      </c>
      <c r="B1490" s="63"/>
      <c r="C1490" s="25" t="str">
        <f t="shared" si="163"/>
        <v/>
      </c>
      <c r="D1490" s="25" t="str">
        <f t="shared" si="164"/>
        <v/>
      </c>
      <c r="E1490" s="45"/>
      <c r="F1490" s="28" t="str">
        <f>IFERROR(VLOOKUP(E1490,Category!$D$2:$E$600,2,FALSE),"")</f>
        <v/>
      </c>
      <c r="G1490" s="65"/>
      <c r="H1490" s="56"/>
      <c r="I1490" s="66"/>
      <c r="J1490" s="67"/>
      <c r="K1490" s="67"/>
      <c r="L1490" s="67"/>
      <c r="M1490" s="29" t="str">
        <f t="shared" si="165"/>
        <v/>
      </c>
      <c r="N1490" s="29" t="str">
        <f t="shared" si="166"/>
        <v/>
      </c>
      <c r="O1490" s="29" t="str">
        <f t="shared" si="161"/>
        <v/>
      </c>
      <c r="P1490" s="61"/>
      <c r="Q1490" s="61"/>
      <c r="R1490" s="61"/>
      <c r="S1490" s="45"/>
      <c r="T1490" s="29" t="str">
        <f t="shared" si="162"/>
        <v/>
      </c>
    </row>
    <row r="1491" spans="1:20">
      <c r="A1491" s="10" t="str">
        <f t="shared" si="167"/>
        <v/>
      </c>
      <c r="B1491" s="63"/>
      <c r="C1491" s="25" t="str">
        <f t="shared" si="163"/>
        <v/>
      </c>
      <c r="D1491" s="25" t="str">
        <f t="shared" si="164"/>
        <v/>
      </c>
      <c r="E1491" s="45"/>
      <c r="F1491" s="28" t="str">
        <f>IFERROR(VLOOKUP(E1491,Category!$D$2:$E$600,2,FALSE),"")</f>
        <v/>
      </c>
      <c r="G1491" s="65"/>
      <c r="H1491" s="56"/>
      <c r="I1491" s="66"/>
      <c r="J1491" s="67"/>
      <c r="K1491" s="67"/>
      <c r="L1491" s="67"/>
      <c r="M1491" s="29" t="str">
        <f t="shared" si="165"/>
        <v/>
      </c>
      <c r="N1491" s="29" t="str">
        <f t="shared" si="166"/>
        <v/>
      </c>
      <c r="O1491" s="29" t="str">
        <f t="shared" si="161"/>
        <v/>
      </c>
      <c r="P1491" s="61"/>
      <c r="Q1491" s="61"/>
      <c r="R1491" s="61"/>
      <c r="S1491" s="45"/>
      <c r="T1491" s="29" t="str">
        <f t="shared" si="162"/>
        <v/>
      </c>
    </row>
    <row r="1492" spans="1:20">
      <c r="A1492" s="10" t="str">
        <f t="shared" si="167"/>
        <v/>
      </c>
      <c r="B1492" s="63"/>
      <c r="C1492" s="25" t="str">
        <f t="shared" si="163"/>
        <v/>
      </c>
      <c r="D1492" s="25" t="str">
        <f t="shared" si="164"/>
        <v/>
      </c>
      <c r="E1492" s="45"/>
      <c r="F1492" s="28" t="str">
        <f>IFERROR(VLOOKUP(E1492,Category!$D$2:$E$600,2,FALSE),"")</f>
        <v/>
      </c>
      <c r="G1492" s="65"/>
      <c r="H1492" s="56"/>
      <c r="I1492" s="66"/>
      <c r="J1492" s="67"/>
      <c r="K1492" s="67"/>
      <c r="L1492" s="67"/>
      <c r="M1492" s="29" t="str">
        <f t="shared" si="165"/>
        <v/>
      </c>
      <c r="N1492" s="29" t="str">
        <f t="shared" si="166"/>
        <v/>
      </c>
      <c r="O1492" s="29" t="str">
        <f t="shared" si="161"/>
        <v/>
      </c>
      <c r="P1492" s="61"/>
      <c r="Q1492" s="61"/>
      <c r="R1492" s="61"/>
      <c r="S1492" s="45"/>
      <c r="T1492" s="29" t="str">
        <f t="shared" si="162"/>
        <v/>
      </c>
    </row>
    <row r="1493" spans="1:20">
      <c r="A1493" s="10" t="str">
        <f t="shared" si="167"/>
        <v/>
      </c>
      <c r="B1493" s="63"/>
      <c r="C1493" s="25" t="str">
        <f t="shared" si="163"/>
        <v/>
      </c>
      <c r="D1493" s="25" t="str">
        <f t="shared" si="164"/>
        <v/>
      </c>
      <c r="E1493" s="45"/>
      <c r="F1493" s="28" t="str">
        <f>IFERROR(VLOOKUP(E1493,Category!$D$2:$E$600,2,FALSE),"")</f>
        <v/>
      </c>
      <c r="G1493" s="65"/>
      <c r="H1493" s="56"/>
      <c r="I1493" s="66"/>
      <c r="J1493" s="67"/>
      <c r="K1493" s="67"/>
      <c r="L1493" s="67"/>
      <c r="M1493" s="29" t="str">
        <f t="shared" si="165"/>
        <v/>
      </c>
      <c r="N1493" s="29" t="str">
        <f t="shared" si="166"/>
        <v/>
      </c>
      <c r="O1493" s="29" t="str">
        <f t="shared" si="161"/>
        <v/>
      </c>
      <c r="P1493" s="61"/>
      <c r="Q1493" s="61"/>
      <c r="R1493" s="61"/>
      <c r="S1493" s="45"/>
      <c r="T1493" s="29" t="str">
        <f t="shared" si="162"/>
        <v/>
      </c>
    </row>
    <row r="1494" spans="1:20">
      <c r="A1494" s="10" t="str">
        <f t="shared" si="167"/>
        <v/>
      </c>
      <c r="B1494" s="63"/>
      <c r="C1494" s="25" t="str">
        <f t="shared" si="163"/>
        <v/>
      </c>
      <c r="D1494" s="25" t="str">
        <f t="shared" si="164"/>
        <v/>
      </c>
      <c r="E1494" s="45"/>
      <c r="F1494" s="28" t="str">
        <f>IFERROR(VLOOKUP(E1494,Category!$D$2:$E$600,2,FALSE),"")</f>
        <v/>
      </c>
      <c r="G1494" s="65"/>
      <c r="H1494" s="56"/>
      <c r="I1494" s="66"/>
      <c r="J1494" s="67"/>
      <c r="K1494" s="67"/>
      <c r="L1494" s="67"/>
      <c r="M1494" s="29" t="str">
        <f t="shared" si="165"/>
        <v/>
      </c>
      <c r="N1494" s="29" t="str">
        <f t="shared" si="166"/>
        <v/>
      </c>
      <c r="O1494" s="29" t="str">
        <f t="shared" si="161"/>
        <v/>
      </c>
      <c r="P1494" s="61"/>
      <c r="Q1494" s="61"/>
      <c r="R1494" s="61"/>
      <c r="S1494" s="45"/>
      <c r="T1494" s="29" t="str">
        <f t="shared" si="162"/>
        <v/>
      </c>
    </row>
    <row r="1495" spans="1:20">
      <c r="A1495" s="10" t="str">
        <f t="shared" si="167"/>
        <v/>
      </c>
      <c r="B1495" s="63"/>
      <c r="C1495" s="25" t="str">
        <f t="shared" si="163"/>
        <v/>
      </c>
      <c r="D1495" s="25" t="str">
        <f t="shared" si="164"/>
        <v/>
      </c>
      <c r="E1495" s="45"/>
      <c r="F1495" s="28" t="str">
        <f>IFERROR(VLOOKUP(E1495,Category!$D$2:$E$600,2,FALSE),"")</f>
        <v/>
      </c>
      <c r="G1495" s="65"/>
      <c r="H1495" s="56"/>
      <c r="I1495" s="66"/>
      <c r="J1495" s="67"/>
      <c r="K1495" s="67"/>
      <c r="L1495" s="67"/>
      <c r="M1495" s="29" t="str">
        <f t="shared" si="165"/>
        <v/>
      </c>
      <c r="N1495" s="29" t="str">
        <f t="shared" si="166"/>
        <v/>
      </c>
      <c r="O1495" s="29" t="str">
        <f t="shared" si="161"/>
        <v/>
      </c>
      <c r="P1495" s="61"/>
      <c r="Q1495" s="61"/>
      <c r="R1495" s="61"/>
      <c r="S1495" s="45"/>
      <c r="T1495" s="29" t="str">
        <f t="shared" si="162"/>
        <v/>
      </c>
    </row>
    <row r="1496" spans="1:20">
      <c r="A1496" s="10" t="str">
        <f>IF(E1496&gt;0,A1495+1,"")</f>
        <v/>
      </c>
      <c r="B1496" s="63"/>
      <c r="C1496" s="25" t="str">
        <f t="shared" si="163"/>
        <v/>
      </c>
      <c r="D1496" s="25" t="str">
        <f t="shared" si="164"/>
        <v/>
      </c>
      <c r="E1496" s="45"/>
      <c r="F1496" s="28" t="str">
        <f>IFERROR(VLOOKUP(E1496,Category!$D$2:$E$600,2,FALSE),"")</f>
        <v/>
      </c>
      <c r="G1496" s="65"/>
      <c r="H1496" s="56"/>
      <c r="I1496" s="66"/>
      <c r="J1496" s="67"/>
      <c r="K1496" s="67"/>
      <c r="L1496" s="67"/>
      <c r="M1496" s="29" t="str">
        <f t="shared" si="165"/>
        <v/>
      </c>
      <c r="N1496" s="29" t="str">
        <f t="shared" si="166"/>
        <v/>
      </c>
      <c r="O1496" s="29" t="str">
        <f t="shared" si="161"/>
        <v/>
      </c>
      <c r="P1496" s="61"/>
      <c r="Q1496" s="61"/>
      <c r="R1496" s="61"/>
      <c r="S1496" s="45"/>
      <c r="T1496" s="29" t="str">
        <f t="shared" si="162"/>
        <v/>
      </c>
    </row>
  </sheetData>
  <sheetProtection algorithmName="SHA-512" hashValue="t1rAhcY4tU37BhZHLbYS7ZTFKItl0xnL8yxjDJhzvDUxnOb1DesaT3x9MrmOmHr7r43A0SoMbndl/ejgDDWqtg==" saltValue="GouAn3L05rc2x5xErodQHw==" spinCount="100000" sheet="1" objects="1" scenarios="1" selectLockedCells="1"/>
  <conditionalFormatting sqref="A1:R1">
    <cfRule type="expression" dxfId="14" priority="4">
      <formula>$R1="Pending"</formula>
    </cfRule>
  </conditionalFormatting>
  <conditionalFormatting sqref="A2:S1496">
    <cfRule type="expression" dxfId="13" priority="9">
      <formula>$S2="Dispatched"</formula>
    </cfRule>
  </conditionalFormatting>
  <conditionalFormatting sqref="T1">
    <cfRule type="expression" dxfId="12" priority="1">
      <formula>$R1="Pending"</formula>
    </cfRule>
  </conditionalFormatting>
  <conditionalFormatting sqref="T2:T1496">
    <cfRule type="expression" dxfId="11" priority="2">
      <formula>$S2="Dispatched"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EDFB8A74-C0D7-C244-A2F0-EAF522C73363}">
          <x14:formula1>
            <xm:f>'Product List'!$C$2:$C$596</xm:f>
          </x14:formula1>
          <xm:sqref>E2:E1496</xm:sqref>
        </x14:dataValidation>
        <x14:dataValidation type="list" allowBlank="1" showInputMessage="1" showErrorMessage="1" xr:uid="{67FDEC5D-D122-C04A-B309-3D4DA7962149}">
          <x14:formula1>
            <xm:f>Category!$T$2:$T$3</xm:f>
          </x14:formula1>
          <xm:sqref>Q2:Q1496</xm:sqref>
        </x14:dataValidation>
        <x14:dataValidation type="list" allowBlank="1" showInputMessage="1" showErrorMessage="1" xr:uid="{8131E226-87C7-E349-9982-EABB41BDAF8A}">
          <x14:formula1>
            <xm:f>Category!$H$2:$H$3</xm:f>
          </x14:formula1>
          <xm:sqref>R2:R1496</xm:sqref>
        </x14:dataValidation>
        <x14:dataValidation type="list" allowBlank="1" showInputMessage="1" showErrorMessage="1" xr:uid="{3AAA3370-A50A-6845-9275-06E891E0B1FF}">
          <x14:formula1>
            <xm:f>Category!$U$2</xm:f>
          </x14:formula1>
          <xm:sqref>S2:S1496</xm:sqref>
        </x14:dataValidation>
        <x14:dataValidation type="list" allowBlank="1" showInputMessage="1" showErrorMessage="1" xr:uid="{FDA75941-52E6-A74F-A5CA-B57A77D008A0}">
          <x14:formula1>
            <xm:f>Category!$AA$2:$AA$5</xm:f>
          </x14:formula1>
          <xm:sqref>K2:K1496</xm:sqref>
        </x14:dataValidation>
        <x14:dataValidation type="list" allowBlank="1" showInputMessage="1" showErrorMessage="1" xr:uid="{DD5D31E1-8F3E-7A49-98D5-66F8BAF2CCB7}">
          <x14:formula1>
            <xm:f>Category!$AB$2:$AB$3</xm:f>
          </x14:formula1>
          <xm:sqref>L2:L1496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6F30A-7CBB-104B-9B05-434861C5EB2E}">
  <sheetPr codeName="Sheet6"/>
  <dimension ref="A1:M1496"/>
  <sheetViews>
    <sheetView showGridLines="0" zoomScale="150" workbookViewId="0">
      <selection activeCell="B15" sqref="B15"/>
    </sheetView>
  </sheetViews>
  <sheetFormatPr baseColWidth="10" defaultRowHeight="16"/>
  <cols>
    <col min="1" max="1" width="5.83203125" style="4" bestFit="1" customWidth="1"/>
    <col min="2" max="2" width="10.83203125" style="72" bestFit="1" customWidth="1"/>
    <col min="3" max="3" width="7.1640625" customWidth="1"/>
    <col min="4" max="4" width="6.6640625" customWidth="1"/>
    <col min="5" max="5" width="26.1640625" style="50" bestFit="1" customWidth="1"/>
    <col min="6" max="6" width="14" customWidth="1"/>
    <col min="7" max="7" width="9.33203125" style="50" customWidth="1"/>
    <col min="8" max="8" width="13" style="74" customWidth="1"/>
    <col min="9" max="9" width="12.33203125" style="6" customWidth="1"/>
    <col min="10" max="10" width="15.83203125" style="50" customWidth="1"/>
    <col min="11" max="11" width="29.1640625" style="50" customWidth="1"/>
    <col min="12" max="12" width="8.5" bestFit="1" customWidth="1"/>
    <col min="13" max="13" width="8.33203125" bestFit="1" customWidth="1"/>
  </cols>
  <sheetData>
    <row r="1" spans="1:13" s="2" customFormat="1" ht="37" customHeight="1">
      <c r="A1" s="26" t="s">
        <v>0</v>
      </c>
      <c r="B1" s="70" t="s">
        <v>25</v>
      </c>
      <c r="C1" s="26" t="s">
        <v>17</v>
      </c>
      <c r="D1" s="26" t="s">
        <v>18</v>
      </c>
      <c r="E1" s="70" t="s">
        <v>2</v>
      </c>
      <c r="F1" s="26" t="s">
        <v>1</v>
      </c>
      <c r="G1" s="70" t="s">
        <v>65</v>
      </c>
      <c r="H1" s="70" t="s">
        <v>54</v>
      </c>
      <c r="I1" s="26" t="s">
        <v>66</v>
      </c>
      <c r="J1" s="70" t="s">
        <v>56</v>
      </c>
      <c r="K1" s="70" t="s">
        <v>67</v>
      </c>
      <c r="L1" s="3"/>
      <c r="M1" s="3"/>
    </row>
    <row r="2" spans="1:13">
      <c r="A2" s="17" t="str">
        <f>IF(E2&gt;0,1,"")</f>
        <v/>
      </c>
      <c r="B2" s="53"/>
      <c r="C2" s="11" t="str">
        <f>IF(B2=0,"",TEXT(B2,"mmmm"))</f>
        <v/>
      </c>
      <c r="D2" s="11" t="str">
        <f>IF(B2=0,"",TEXT(B2,"yyyy"))</f>
        <v/>
      </c>
      <c r="E2" s="45"/>
      <c r="F2" s="11" t="str">
        <f>IFERROR(VLOOKUP(E2,Category!$D$2:$E$600,2,FALSE),"")</f>
        <v/>
      </c>
      <c r="G2" s="45"/>
      <c r="H2" s="73"/>
      <c r="I2" s="18" t="str">
        <f>IF(G2*H2=0,"",G2*H2)</f>
        <v/>
      </c>
      <c r="J2" s="45"/>
      <c r="K2" s="45"/>
    </row>
    <row r="3" spans="1:13">
      <c r="A3" s="17" t="str">
        <f>IF(E3&gt;0,A2+1,"")</f>
        <v/>
      </c>
      <c r="B3" s="53"/>
      <c r="C3" s="11" t="str">
        <f t="shared" ref="C3:C66" si="0">IF(B3=0,"",TEXT(B3,"mmmm"))</f>
        <v/>
      </c>
      <c r="D3" s="11" t="str">
        <f t="shared" ref="D3:D66" si="1">IF(B3=0,"",TEXT(B3,"yyyy"))</f>
        <v/>
      </c>
      <c r="E3" s="45"/>
      <c r="F3" s="11" t="str">
        <f>IFERROR(VLOOKUP(E3,Category!$D$2:$E$600,2,FALSE),"")</f>
        <v/>
      </c>
      <c r="G3" s="45"/>
      <c r="H3" s="73"/>
      <c r="I3" s="18" t="str">
        <f t="shared" ref="I3:I66" si="2">IF(G3*H3=0,"",G3*H3)</f>
        <v/>
      </c>
      <c r="J3" s="45"/>
      <c r="K3" s="45"/>
    </row>
    <row r="4" spans="1:13">
      <c r="A4" s="17" t="str">
        <f t="shared" ref="A4:A67" si="3">IF(E4&gt;0,A3+1,"")</f>
        <v/>
      </c>
      <c r="B4" s="53"/>
      <c r="C4" s="11" t="str">
        <f t="shared" si="0"/>
        <v/>
      </c>
      <c r="D4" s="11" t="str">
        <f t="shared" si="1"/>
        <v/>
      </c>
      <c r="E4" s="45"/>
      <c r="F4" s="11" t="str">
        <f>IFERROR(VLOOKUP(E4,Category!$D$2:$E$600,2,FALSE),"")</f>
        <v/>
      </c>
      <c r="G4" s="45"/>
      <c r="H4" s="73"/>
      <c r="I4" s="18" t="str">
        <f t="shared" si="2"/>
        <v/>
      </c>
      <c r="J4" s="45"/>
      <c r="K4" s="45"/>
    </row>
    <row r="5" spans="1:13">
      <c r="A5" s="17" t="str">
        <f t="shared" si="3"/>
        <v/>
      </c>
      <c r="B5" s="53"/>
      <c r="C5" s="11" t="str">
        <f t="shared" si="0"/>
        <v/>
      </c>
      <c r="D5" s="11" t="str">
        <f t="shared" si="1"/>
        <v/>
      </c>
      <c r="E5" s="45"/>
      <c r="F5" s="11" t="str">
        <f>IFERROR(VLOOKUP(E5,Category!$D$2:$E$600,2,FALSE),"")</f>
        <v/>
      </c>
      <c r="G5" s="45"/>
      <c r="H5" s="73"/>
      <c r="I5" s="18" t="str">
        <f t="shared" si="2"/>
        <v/>
      </c>
      <c r="J5" s="45"/>
      <c r="K5" s="45"/>
    </row>
    <row r="6" spans="1:13">
      <c r="A6" s="17" t="str">
        <f t="shared" si="3"/>
        <v/>
      </c>
      <c r="B6" s="53"/>
      <c r="C6" s="11" t="str">
        <f t="shared" si="0"/>
        <v/>
      </c>
      <c r="D6" s="11" t="str">
        <f t="shared" si="1"/>
        <v/>
      </c>
      <c r="E6" s="45"/>
      <c r="F6" s="11" t="str">
        <f>IFERROR(VLOOKUP(E6,Category!$D$2:$E$600,2,FALSE),"")</f>
        <v/>
      </c>
      <c r="G6" s="45"/>
      <c r="H6" s="73"/>
      <c r="I6" s="18" t="str">
        <f t="shared" si="2"/>
        <v/>
      </c>
      <c r="J6" s="45"/>
      <c r="K6" s="45"/>
    </row>
    <row r="7" spans="1:13">
      <c r="A7" s="17" t="str">
        <f t="shared" si="3"/>
        <v/>
      </c>
      <c r="B7" s="53"/>
      <c r="C7" s="11" t="str">
        <f t="shared" si="0"/>
        <v/>
      </c>
      <c r="D7" s="11" t="str">
        <f t="shared" si="1"/>
        <v/>
      </c>
      <c r="E7" s="45"/>
      <c r="F7" s="11" t="str">
        <f>IFERROR(VLOOKUP(E7,Category!$D$2:$E$600,2,FALSE),"")</f>
        <v/>
      </c>
      <c r="G7" s="45"/>
      <c r="H7" s="73"/>
      <c r="I7" s="18" t="str">
        <f t="shared" si="2"/>
        <v/>
      </c>
      <c r="J7" s="45"/>
      <c r="K7" s="45"/>
    </row>
    <row r="8" spans="1:13">
      <c r="A8" s="17" t="str">
        <f t="shared" si="3"/>
        <v/>
      </c>
      <c r="B8" s="53"/>
      <c r="C8" s="11" t="str">
        <f t="shared" si="0"/>
        <v/>
      </c>
      <c r="D8" s="11" t="str">
        <f t="shared" si="1"/>
        <v/>
      </c>
      <c r="E8" s="45"/>
      <c r="F8" s="11" t="str">
        <f>IFERROR(VLOOKUP(E8,Category!$D$2:$E$600,2,FALSE),"")</f>
        <v/>
      </c>
      <c r="G8" s="45"/>
      <c r="H8" s="73"/>
      <c r="I8" s="18" t="str">
        <f t="shared" si="2"/>
        <v/>
      </c>
      <c r="J8" s="45"/>
      <c r="K8" s="45"/>
    </row>
    <row r="9" spans="1:13">
      <c r="A9" s="17" t="str">
        <f t="shared" si="3"/>
        <v/>
      </c>
      <c r="B9" s="53"/>
      <c r="C9" s="11" t="str">
        <f t="shared" si="0"/>
        <v/>
      </c>
      <c r="D9" s="11" t="str">
        <f t="shared" si="1"/>
        <v/>
      </c>
      <c r="E9" s="45"/>
      <c r="F9" s="11" t="str">
        <f>IFERROR(VLOOKUP(E9,Category!$D$2:$E$600,2,FALSE),"")</f>
        <v/>
      </c>
      <c r="G9" s="45"/>
      <c r="H9" s="73"/>
      <c r="I9" s="18" t="str">
        <f t="shared" si="2"/>
        <v/>
      </c>
      <c r="J9" s="45"/>
      <c r="K9" s="45"/>
    </row>
    <row r="10" spans="1:13">
      <c r="A10" s="17" t="str">
        <f t="shared" si="3"/>
        <v/>
      </c>
      <c r="B10" s="53"/>
      <c r="C10" s="11" t="str">
        <f t="shared" si="0"/>
        <v/>
      </c>
      <c r="D10" s="11" t="str">
        <f t="shared" si="1"/>
        <v/>
      </c>
      <c r="E10" s="45"/>
      <c r="F10" s="11" t="str">
        <f>IFERROR(VLOOKUP(E10,Category!$D$2:$E$600,2,FALSE),"")</f>
        <v/>
      </c>
      <c r="G10" s="45"/>
      <c r="H10" s="73"/>
      <c r="I10" s="18" t="str">
        <f t="shared" si="2"/>
        <v/>
      </c>
      <c r="J10" s="45"/>
      <c r="K10" s="45"/>
    </row>
    <row r="11" spans="1:13">
      <c r="A11" s="17" t="str">
        <f t="shared" si="3"/>
        <v/>
      </c>
      <c r="B11" s="53"/>
      <c r="C11" s="11" t="str">
        <f t="shared" si="0"/>
        <v/>
      </c>
      <c r="D11" s="11" t="str">
        <f t="shared" si="1"/>
        <v/>
      </c>
      <c r="E11" s="45"/>
      <c r="F11" s="11" t="str">
        <f>IFERROR(VLOOKUP(E11,Category!$D$2:$E$600,2,FALSE),"")</f>
        <v/>
      </c>
      <c r="G11" s="45"/>
      <c r="H11" s="73"/>
      <c r="I11" s="18" t="str">
        <f t="shared" si="2"/>
        <v/>
      </c>
      <c r="J11" s="45"/>
      <c r="K11" s="45"/>
    </row>
    <row r="12" spans="1:13">
      <c r="A12" s="17" t="str">
        <f t="shared" si="3"/>
        <v/>
      </c>
      <c r="B12" s="53"/>
      <c r="C12" s="11" t="str">
        <f t="shared" si="0"/>
        <v/>
      </c>
      <c r="D12" s="11" t="str">
        <f t="shared" si="1"/>
        <v/>
      </c>
      <c r="E12" s="45"/>
      <c r="F12" s="11" t="str">
        <f>IFERROR(VLOOKUP(E12,Category!$D$2:$E$600,2,FALSE),"")</f>
        <v/>
      </c>
      <c r="G12" s="45"/>
      <c r="H12" s="73"/>
      <c r="I12" s="18" t="str">
        <f t="shared" si="2"/>
        <v/>
      </c>
      <c r="J12" s="45"/>
      <c r="K12" s="45"/>
    </row>
    <row r="13" spans="1:13">
      <c r="A13" s="17" t="str">
        <f t="shared" si="3"/>
        <v/>
      </c>
      <c r="B13" s="53"/>
      <c r="C13" s="11" t="str">
        <f t="shared" si="0"/>
        <v/>
      </c>
      <c r="D13" s="11" t="str">
        <f t="shared" si="1"/>
        <v/>
      </c>
      <c r="E13" s="45"/>
      <c r="F13" s="11" t="str">
        <f>IFERROR(VLOOKUP(E13,Category!$D$2:$E$600,2,FALSE),"")</f>
        <v/>
      </c>
      <c r="G13" s="45"/>
      <c r="H13" s="73"/>
      <c r="I13" s="18" t="str">
        <f t="shared" si="2"/>
        <v/>
      </c>
      <c r="J13" s="45"/>
      <c r="K13" s="45"/>
    </row>
    <row r="14" spans="1:13">
      <c r="A14" s="17" t="str">
        <f t="shared" si="3"/>
        <v/>
      </c>
      <c r="B14" s="53"/>
      <c r="C14" s="11" t="str">
        <f t="shared" si="0"/>
        <v/>
      </c>
      <c r="D14" s="11" t="str">
        <f t="shared" si="1"/>
        <v/>
      </c>
      <c r="E14" s="45"/>
      <c r="F14" s="11" t="str">
        <f>IFERROR(VLOOKUP(E14,Category!$D$2:$E$600,2,FALSE),"")</f>
        <v/>
      </c>
      <c r="G14" s="45"/>
      <c r="H14" s="73"/>
      <c r="I14" s="18" t="str">
        <f t="shared" si="2"/>
        <v/>
      </c>
      <c r="J14" s="45"/>
      <c r="K14" s="45"/>
    </row>
    <row r="15" spans="1:13">
      <c r="A15" s="17" t="str">
        <f t="shared" si="3"/>
        <v/>
      </c>
      <c r="B15" s="53"/>
      <c r="C15" s="11" t="str">
        <f t="shared" si="0"/>
        <v/>
      </c>
      <c r="D15" s="11" t="str">
        <f t="shared" si="1"/>
        <v/>
      </c>
      <c r="E15" s="45"/>
      <c r="F15" s="11" t="str">
        <f>IFERROR(VLOOKUP(E15,Category!$D$2:$E$600,2,FALSE),"")</f>
        <v/>
      </c>
      <c r="G15" s="45"/>
      <c r="H15" s="73"/>
      <c r="I15" s="18" t="str">
        <f t="shared" si="2"/>
        <v/>
      </c>
      <c r="J15" s="45"/>
      <c r="K15" s="45"/>
    </row>
    <row r="16" spans="1:13">
      <c r="A16" s="17" t="str">
        <f t="shared" si="3"/>
        <v/>
      </c>
      <c r="B16" s="53"/>
      <c r="C16" s="11" t="str">
        <f t="shared" si="0"/>
        <v/>
      </c>
      <c r="D16" s="11" t="str">
        <f t="shared" si="1"/>
        <v/>
      </c>
      <c r="E16" s="45"/>
      <c r="F16" s="11" t="str">
        <f>IFERROR(VLOOKUP(E16,Category!$D$2:$E$600,2,FALSE),"")</f>
        <v/>
      </c>
      <c r="G16" s="45"/>
      <c r="H16" s="73"/>
      <c r="I16" s="18" t="str">
        <f t="shared" si="2"/>
        <v/>
      </c>
      <c r="J16" s="45"/>
      <c r="K16" s="45"/>
    </row>
    <row r="17" spans="1:11">
      <c r="A17" s="17" t="str">
        <f t="shared" si="3"/>
        <v/>
      </c>
      <c r="B17" s="53"/>
      <c r="C17" s="11" t="str">
        <f t="shared" si="0"/>
        <v/>
      </c>
      <c r="D17" s="11" t="str">
        <f t="shared" si="1"/>
        <v/>
      </c>
      <c r="E17" s="45"/>
      <c r="F17" s="11" t="str">
        <f>IFERROR(VLOOKUP(E17,Category!$D$2:$E$600,2,FALSE),"")</f>
        <v/>
      </c>
      <c r="G17" s="45"/>
      <c r="H17" s="73"/>
      <c r="I17" s="18" t="str">
        <f t="shared" si="2"/>
        <v/>
      </c>
      <c r="J17" s="45"/>
      <c r="K17" s="45"/>
    </row>
    <row r="18" spans="1:11">
      <c r="A18" s="17" t="str">
        <f t="shared" si="3"/>
        <v/>
      </c>
      <c r="B18" s="53"/>
      <c r="C18" s="11" t="str">
        <f t="shared" si="0"/>
        <v/>
      </c>
      <c r="D18" s="11" t="str">
        <f t="shared" si="1"/>
        <v/>
      </c>
      <c r="E18" s="45"/>
      <c r="F18" s="11" t="str">
        <f>IFERROR(VLOOKUP(E18,Category!$D$2:$E$600,2,FALSE),"")</f>
        <v/>
      </c>
      <c r="G18" s="45"/>
      <c r="H18" s="73"/>
      <c r="I18" s="18" t="str">
        <f t="shared" si="2"/>
        <v/>
      </c>
      <c r="J18" s="45"/>
      <c r="K18" s="45"/>
    </row>
    <row r="19" spans="1:11">
      <c r="A19" s="17" t="str">
        <f t="shared" si="3"/>
        <v/>
      </c>
      <c r="B19" s="53"/>
      <c r="C19" s="11" t="str">
        <f t="shared" si="0"/>
        <v/>
      </c>
      <c r="D19" s="11" t="str">
        <f t="shared" si="1"/>
        <v/>
      </c>
      <c r="E19" s="45"/>
      <c r="F19" s="11" t="str">
        <f>IFERROR(VLOOKUP(E19,Category!$D$2:$E$600,2,FALSE),"")</f>
        <v/>
      </c>
      <c r="G19" s="45"/>
      <c r="H19" s="73"/>
      <c r="I19" s="18" t="str">
        <f t="shared" si="2"/>
        <v/>
      </c>
      <c r="J19" s="45"/>
      <c r="K19" s="45"/>
    </row>
    <row r="20" spans="1:11">
      <c r="A20" s="17" t="str">
        <f t="shared" si="3"/>
        <v/>
      </c>
      <c r="B20" s="53"/>
      <c r="C20" s="11" t="str">
        <f t="shared" si="0"/>
        <v/>
      </c>
      <c r="D20" s="11" t="str">
        <f t="shared" si="1"/>
        <v/>
      </c>
      <c r="E20" s="45"/>
      <c r="F20" s="11" t="str">
        <f>IFERROR(VLOOKUP(E20,Category!$D$2:$E$600,2,FALSE),"")</f>
        <v/>
      </c>
      <c r="G20" s="45"/>
      <c r="H20" s="73"/>
      <c r="I20" s="18" t="str">
        <f t="shared" si="2"/>
        <v/>
      </c>
      <c r="J20" s="45"/>
      <c r="K20" s="45"/>
    </row>
    <row r="21" spans="1:11">
      <c r="A21" s="17" t="str">
        <f t="shared" si="3"/>
        <v/>
      </c>
      <c r="B21" s="53"/>
      <c r="C21" s="11" t="str">
        <f t="shared" si="0"/>
        <v/>
      </c>
      <c r="D21" s="11" t="str">
        <f t="shared" si="1"/>
        <v/>
      </c>
      <c r="E21" s="45"/>
      <c r="F21" s="11" t="str">
        <f>IFERROR(VLOOKUP(E21,Category!$D$2:$E$600,2,FALSE),"")</f>
        <v/>
      </c>
      <c r="G21" s="45"/>
      <c r="H21" s="73"/>
      <c r="I21" s="18" t="str">
        <f t="shared" si="2"/>
        <v/>
      </c>
      <c r="J21" s="45"/>
      <c r="K21" s="45"/>
    </row>
    <row r="22" spans="1:11">
      <c r="A22" s="17" t="str">
        <f t="shared" si="3"/>
        <v/>
      </c>
      <c r="B22" s="53"/>
      <c r="C22" s="11" t="str">
        <f t="shared" si="0"/>
        <v/>
      </c>
      <c r="D22" s="11" t="str">
        <f t="shared" si="1"/>
        <v/>
      </c>
      <c r="E22" s="45"/>
      <c r="F22" s="11" t="str">
        <f>IFERROR(VLOOKUP(E22,Category!$D$2:$E$600,2,FALSE),"")</f>
        <v/>
      </c>
      <c r="G22" s="45"/>
      <c r="H22" s="73"/>
      <c r="I22" s="18" t="str">
        <f t="shared" si="2"/>
        <v/>
      </c>
      <c r="J22" s="45"/>
      <c r="K22" s="45"/>
    </row>
    <row r="23" spans="1:11">
      <c r="A23" s="17" t="str">
        <f t="shared" si="3"/>
        <v/>
      </c>
      <c r="B23" s="53"/>
      <c r="C23" s="11" t="str">
        <f t="shared" si="0"/>
        <v/>
      </c>
      <c r="D23" s="11" t="str">
        <f t="shared" si="1"/>
        <v/>
      </c>
      <c r="E23" s="45"/>
      <c r="F23" s="11" t="str">
        <f>IFERROR(VLOOKUP(E23,Category!$D$2:$E$600,2,FALSE),"")</f>
        <v/>
      </c>
      <c r="G23" s="45"/>
      <c r="H23" s="73"/>
      <c r="I23" s="18" t="str">
        <f t="shared" si="2"/>
        <v/>
      </c>
      <c r="J23" s="45"/>
      <c r="K23" s="45"/>
    </row>
    <row r="24" spans="1:11">
      <c r="A24" s="17" t="str">
        <f t="shared" si="3"/>
        <v/>
      </c>
      <c r="B24" s="53"/>
      <c r="C24" s="11" t="str">
        <f t="shared" si="0"/>
        <v/>
      </c>
      <c r="D24" s="11" t="str">
        <f t="shared" si="1"/>
        <v/>
      </c>
      <c r="E24" s="45"/>
      <c r="F24" s="11" t="str">
        <f>IFERROR(VLOOKUP(E24,Category!$D$2:$E$600,2,FALSE),"")</f>
        <v/>
      </c>
      <c r="G24" s="45"/>
      <c r="H24" s="73"/>
      <c r="I24" s="18" t="str">
        <f t="shared" si="2"/>
        <v/>
      </c>
      <c r="J24" s="45"/>
      <c r="K24" s="45"/>
    </row>
    <row r="25" spans="1:11">
      <c r="A25" s="17" t="str">
        <f t="shared" si="3"/>
        <v/>
      </c>
      <c r="B25" s="53"/>
      <c r="C25" s="11" t="str">
        <f t="shared" si="0"/>
        <v/>
      </c>
      <c r="D25" s="11" t="str">
        <f t="shared" si="1"/>
        <v/>
      </c>
      <c r="E25" s="45"/>
      <c r="F25" s="11" t="str">
        <f>IFERROR(VLOOKUP(E25,Category!$D$2:$E$600,2,FALSE),"")</f>
        <v/>
      </c>
      <c r="G25" s="45"/>
      <c r="H25" s="73"/>
      <c r="I25" s="18" t="str">
        <f t="shared" si="2"/>
        <v/>
      </c>
      <c r="J25" s="45"/>
      <c r="K25" s="45"/>
    </row>
    <row r="26" spans="1:11">
      <c r="A26" s="17" t="str">
        <f t="shared" si="3"/>
        <v/>
      </c>
      <c r="B26" s="53"/>
      <c r="C26" s="11" t="str">
        <f t="shared" si="0"/>
        <v/>
      </c>
      <c r="D26" s="11" t="str">
        <f t="shared" si="1"/>
        <v/>
      </c>
      <c r="E26" s="45"/>
      <c r="F26" s="11" t="str">
        <f>IFERROR(VLOOKUP(E26,Category!$D$2:$E$600,2,FALSE),"")</f>
        <v/>
      </c>
      <c r="G26" s="45"/>
      <c r="H26" s="73"/>
      <c r="I26" s="18" t="str">
        <f t="shared" si="2"/>
        <v/>
      </c>
      <c r="J26" s="45"/>
      <c r="K26" s="45"/>
    </row>
    <row r="27" spans="1:11">
      <c r="A27" s="17" t="str">
        <f t="shared" si="3"/>
        <v/>
      </c>
      <c r="B27" s="53"/>
      <c r="C27" s="11" t="str">
        <f t="shared" si="0"/>
        <v/>
      </c>
      <c r="D27" s="11" t="str">
        <f t="shared" si="1"/>
        <v/>
      </c>
      <c r="E27" s="45"/>
      <c r="F27" s="11" t="str">
        <f>IFERROR(VLOOKUP(E27,Category!$D$2:$E$600,2,FALSE),"")</f>
        <v/>
      </c>
      <c r="G27" s="45"/>
      <c r="H27" s="73"/>
      <c r="I27" s="18" t="str">
        <f t="shared" si="2"/>
        <v/>
      </c>
      <c r="J27" s="45"/>
      <c r="K27" s="45"/>
    </row>
    <row r="28" spans="1:11">
      <c r="A28" s="17" t="str">
        <f t="shared" si="3"/>
        <v/>
      </c>
      <c r="B28" s="53"/>
      <c r="C28" s="11" t="str">
        <f t="shared" si="0"/>
        <v/>
      </c>
      <c r="D28" s="11" t="str">
        <f t="shared" si="1"/>
        <v/>
      </c>
      <c r="E28" s="45"/>
      <c r="F28" s="11" t="str">
        <f>IFERROR(VLOOKUP(E28,Category!$D$2:$E$600,2,FALSE),"")</f>
        <v/>
      </c>
      <c r="G28" s="45"/>
      <c r="H28" s="73"/>
      <c r="I28" s="18" t="str">
        <f t="shared" si="2"/>
        <v/>
      </c>
      <c r="J28" s="45"/>
      <c r="K28" s="45"/>
    </row>
    <row r="29" spans="1:11">
      <c r="A29" s="17" t="str">
        <f t="shared" si="3"/>
        <v/>
      </c>
      <c r="B29" s="53"/>
      <c r="C29" s="11" t="str">
        <f t="shared" si="0"/>
        <v/>
      </c>
      <c r="D29" s="11" t="str">
        <f t="shared" si="1"/>
        <v/>
      </c>
      <c r="E29" s="45"/>
      <c r="F29" s="11" t="str">
        <f>IFERROR(VLOOKUP(E29,Category!$D$2:$E$600,2,FALSE),"")</f>
        <v/>
      </c>
      <c r="G29" s="45"/>
      <c r="H29" s="73"/>
      <c r="I29" s="18" t="str">
        <f t="shared" si="2"/>
        <v/>
      </c>
      <c r="J29" s="45"/>
      <c r="K29" s="45"/>
    </row>
    <row r="30" spans="1:11">
      <c r="A30" s="17" t="str">
        <f t="shared" si="3"/>
        <v/>
      </c>
      <c r="B30" s="53"/>
      <c r="C30" s="11" t="str">
        <f t="shared" si="0"/>
        <v/>
      </c>
      <c r="D30" s="11" t="str">
        <f t="shared" si="1"/>
        <v/>
      </c>
      <c r="E30" s="45"/>
      <c r="F30" s="11" t="str">
        <f>IFERROR(VLOOKUP(E30,Category!$D$2:$E$600,2,FALSE),"")</f>
        <v/>
      </c>
      <c r="G30" s="45"/>
      <c r="H30" s="73"/>
      <c r="I30" s="18" t="str">
        <f t="shared" si="2"/>
        <v/>
      </c>
      <c r="J30" s="45"/>
      <c r="K30" s="45"/>
    </row>
    <row r="31" spans="1:11">
      <c r="A31" s="17" t="str">
        <f t="shared" si="3"/>
        <v/>
      </c>
      <c r="B31" s="53"/>
      <c r="C31" s="11" t="str">
        <f t="shared" si="0"/>
        <v/>
      </c>
      <c r="D31" s="11" t="str">
        <f t="shared" si="1"/>
        <v/>
      </c>
      <c r="E31" s="45"/>
      <c r="F31" s="11" t="str">
        <f>IFERROR(VLOOKUP(E31,Category!$D$2:$E$600,2,FALSE),"")</f>
        <v/>
      </c>
      <c r="G31" s="45"/>
      <c r="H31" s="73"/>
      <c r="I31" s="18" t="str">
        <f t="shared" si="2"/>
        <v/>
      </c>
      <c r="J31" s="45"/>
      <c r="K31" s="45"/>
    </row>
    <row r="32" spans="1:11">
      <c r="A32" s="17" t="str">
        <f t="shared" si="3"/>
        <v/>
      </c>
      <c r="B32" s="53"/>
      <c r="C32" s="11" t="str">
        <f t="shared" si="0"/>
        <v/>
      </c>
      <c r="D32" s="11" t="str">
        <f t="shared" si="1"/>
        <v/>
      </c>
      <c r="E32" s="45"/>
      <c r="F32" s="11" t="str">
        <f>IFERROR(VLOOKUP(E32,Category!$D$2:$E$600,2,FALSE),"")</f>
        <v/>
      </c>
      <c r="G32" s="45"/>
      <c r="H32" s="73"/>
      <c r="I32" s="18" t="str">
        <f t="shared" si="2"/>
        <v/>
      </c>
      <c r="J32" s="45"/>
      <c r="K32" s="45"/>
    </row>
    <row r="33" spans="1:11">
      <c r="A33" s="17" t="str">
        <f t="shared" si="3"/>
        <v/>
      </c>
      <c r="B33" s="53"/>
      <c r="C33" s="11" t="str">
        <f t="shared" si="0"/>
        <v/>
      </c>
      <c r="D33" s="11" t="str">
        <f t="shared" si="1"/>
        <v/>
      </c>
      <c r="E33" s="45"/>
      <c r="F33" s="11" t="str">
        <f>IFERROR(VLOOKUP(E33,Category!$D$2:$E$600,2,FALSE),"")</f>
        <v/>
      </c>
      <c r="G33" s="45"/>
      <c r="H33" s="73"/>
      <c r="I33" s="18" t="str">
        <f t="shared" si="2"/>
        <v/>
      </c>
      <c r="J33" s="45"/>
      <c r="K33" s="45"/>
    </row>
    <row r="34" spans="1:11">
      <c r="A34" s="17" t="str">
        <f t="shared" si="3"/>
        <v/>
      </c>
      <c r="B34" s="53"/>
      <c r="C34" s="11" t="str">
        <f t="shared" si="0"/>
        <v/>
      </c>
      <c r="D34" s="11" t="str">
        <f t="shared" si="1"/>
        <v/>
      </c>
      <c r="E34" s="45"/>
      <c r="F34" s="11" t="str">
        <f>IFERROR(VLOOKUP(E34,Category!$D$2:$E$600,2,FALSE),"")</f>
        <v/>
      </c>
      <c r="G34" s="45"/>
      <c r="H34" s="73"/>
      <c r="I34" s="18" t="str">
        <f t="shared" si="2"/>
        <v/>
      </c>
      <c r="J34" s="45"/>
      <c r="K34" s="45"/>
    </row>
    <row r="35" spans="1:11">
      <c r="A35" s="17" t="str">
        <f t="shared" si="3"/>
        <v/>
      </c>
      <c r="B35" s="53"/>
      <c r="C35" s="11" t="str">
        <f t="shared" si="0"/>
        <v/>
      </c>
      <c r="D35" s="11" t="str">
        <f t="shared" si="1"/>
        <v/>
      </c>
      <c r="E35" s="45"/>
      <c r="F35" s="11" t="str">
        <f>IFERROR(VLOOKUP(E35,Category!$D$2:$E$600,2,FALSE),"")</f>
        <v/>
      </c>
      <c r="G35" s="45"/>
      <c r="H35" s="73"/>
      <c r="I35" s="18" t="str">
        <f t="shared" si="2"/>
        <v/>
      </c>
      <c r="J35" s="45"/>
      <c r="K35" s="45"/>
    </row>
    <row r="36" spans="1:11">
      <c r="A36" s="17" t="str">
        <f t="shared" si="3"/>
        <v/>
      </c>
      <c r="B36" s="53"/>
      <c r="C36" s="11" t="str">
        <f t="shared" si="0"/>
        <v/>
      </c>
      <c r="D36" s="11" t="str">
        <f t="shared" si="1"/>
        <v/>
      </c>
      <c r="E36" s="45"/>
      <c r="F36" s="11" t="str">
        <f>IFERROR(VLOOKUP(E36,Category!$D$2:$E$600,2,FALSE),"")</f>
        <v/>
      </c>
      <c r="G36" s="45"/>
      <c r="H36" s="73"/>
      <c r="I36" s="18" t="str">
        <f t="shared" si="2"/>
        <v/>
      </c>
      <c r="J36" s="45"/>
      <c r="K36" s="45"/>
    </row>
    <row r="37" spans="1:11">
      <c r="A37" s="17" t="str">
        <f t="shared" si="3"/>
        <v/>
      </c>
      <c r="B37" s="53"/>
      <c r="C37" s="11" t="str">
        <f t="shared" si="0"/>
        <v/>
      </c>
      <c r="D37" s="11" t="str">
        <f t="shared" si="1"/>
        <v/>
      </c>
      <c r="E37" s="45"/>
      <c r="F37" s="11" t="str">
        <f>IFERROR(VLOOKUP(E37,Category!$D$2:$E$600,2,FALSE),"")</f>
        <v/>
      </c>
      <c r="G37" s="45"/>
      <c r="H37" s="73"/>
      <c r="I37" s="18" t="str">
        <f t="shared" si="2"/>
        <v/>
      </c>
      <c r="J37" s="45"/>
      <c r="K37" s="45"/>
    </row>
    <row r="38" spans="1:11">
      <c r="A38" s="17" t="str">
        <f t="shared" si="3"/>
        <v/>
      </c>
      <c r="B38" s="53"/>
      <c r="C38" s="11" t="str">
        <f t="shared" si="0"/>
        <v/>
      </c>
      <c r="D38" s="11" t="str">
        <f t="shared" si="1"/>
        <v/>
      </c>
      <c r="E38" s="45"/>
      <c r="F38" s="11" t="str">
        <f>IFERROR(VLOOKUP(E38,Category!$D$2:$E$600,2,FALSE),"")</f>
        <v/>
      </c>
      <c r="G38" s="45"/>
      <c r="H38" s="73"/>
      <c r="I38" s="18" t="str">
        <f t="shared" si="2"/>
        <v/>
      </c>
      <c r="J38" s="45"/>
      <c r="K38" s="45"/>
    </row>
    <row r="39" spans="1:11">
      <c r="A39" s="17" t="str">
        <f t="shared" si="3"/>
        <v/>
      </c>
      <c r="B39" s="53"/>
      <c r="C39" s="11" t="str">
        <f t="shared" si="0"/>
        <v/>
      </c>
      <c r="D39" s="11" t="str">
        <f t="shared" si="1"/>
        <v/>
      </c>
      <c r="E39" s="45"/>
      <c r="F39" s="11" t="str">
        <f>IFERROR(VLOOKUP(E39,Category!$D$2:$E$600,2,FALSE),"")</f>
        <v/>
      </c>
      <c r="G39" s="45"/>
      <c r="H39" s="73"/>
      <c r="I39" s="18" t="str">
        <f t="shared" si="2"/>
        <v/>
      </c>
      <c r="J39" s="45"/>
      <c r="K39" s="45"/>
    </row>
    <row r="40" spans="1:11">
      <c r="A40" s="17" t="str">
        <f t="shared" si="3"/>
        <v/>
      </c>
      <c r="B40" s="53"/>
      <c r="C40" s="11" t="str">
        <f t="shared" si="0"/>
        <v/>
      </c>
      <c r="D40" s="11" t="str">
        <f t="shared" si="1"/>
        <v/>
      </c>
      <c r="E40" s="45"/>
      <c r="F40" s="11" t="str">
        <f>IFERROR(VLOOKUP(E40,Category!$D$2:$E$600,2,FALSE),"")</f>
        <v/>
      </c>
      <c r="G40" s="45"/>
      <c r="H40" s="73"/>
      <c r="I40" s="18" t="str">
        <f t="shared" si="2"/>
        <v/>
      </c>
      <c r="J40" s="45"/>
      <c r="K40" s="45"/>
    </row>
    <row r="41" spans="1:11">
      <c r="A41" s="17" t="str">
        <f t="shared" si="3"/>
        <v/>
      </c>
      <c r="B41" s="53"/>
      <c r="C41" s="11" t="str">
        <f t="shared" si="0"/>
        <v/>
      </c>
      <c r="D41" s="11" t="str">
        <f t="shared" si="1"/>
        <v/>
      </c>
      <c r="E41" s="45"/>
      <c r="F41" s="11" t="str">
        <f>IFERROR(VLOOKUP(E41,Category!$D$2:$E$600,2,FALSE),"")</f>
        <v/>
      </c>
      <c r="G41" s="45"/>
      <c r="H41" s="73"/>
      <c r="I41" s="18" t="str">
        <f t="shared" si="2"/>
        <v/>
      </c>
      <c r="J41" s="45"/>
      <c r="K41" s="45"/>
    </row>
    <row r="42" spans="1:11">
      <c r="A42" s="17" t="str">
        <f t="shared" si="3"/>
        <v/>
      </c>
      <c r="B42" s="53"/>
      <c r="C42" s="11" t="str">
        <f t="shared" si="0"/>
        <v/>
      </c>
      <c r="D42" s="11" t="str">
        <f t="shared" si="1"/>
        <v/>
      </c>
      <c r="E42" s="45"/>
      <c r="F42" s="11" t="str">
        <f>IFERROR(VLOOKUP(E42,Category!$D$2:$E$600,2,FALSE),"")</f>
        <v/>
      </c>
      <c r="G42" s="45"/>
      <c r="H42" s="73"/>
      <c r="I42" s="18" t="str">
        <f t="shared" si="2"/>
        <v/>
      </c>
      <c r="J42" s="45"/>
      <c r="K42" s="45"/>
    </row>
    <row r="43" spans="1:11">
      <c r="A43" s="17" t="str">
        <f t="shared" si="3"/>
        <v/>
      </c>
      <c r="B43" s="53"/>
      <c r="C43" s="11" t="str">
        <f t="shared" si="0"/>
        <v/>
      </c>
      <c r="D43" s="11" t="str">
        <f t="shared" si="1"/>
        <v/>
      </c>
      <c r="E43" s="45"/>
      <c r="F43" s="11" t="str">
        <f>IFERROR(VLOOKUP(E43,Category!$D$2:$E$600,2,FALSE),"")</f>
        <v/>
      </c>
      <c r="G43" s="45"/>
      <c r="H43" s="73"/>
      <c r="I43" s="18" t="str">
        <f t="shared" si="2"/>
        <v/>
      </c>
      <c r="J43" s="45"/>
      <c r="K43" s="45"/>
    </row>
    <row r="44" spans="1:11">
      <c r="A44" s="17" t="str">
        <f t="shared" si="3"/>
        <v/>
      </c>
      <c r="B44" s="53"/>
      <c r="C44" s="11" t="str">
        <f t="shared" si="0"/>
        <v/>
      </c>
      <c r="D44" s="11" t="str">
        <f t="shared" si="1"/>
        <v/>
      </c>
      <c r="E44" s="45"/>
      <c r="F44" s="11" t="str">
        <f>IFERROR(VLOOKUP(E44,Category!$D$2:$E$600,2,FALSE),"")</f>
        <v/>
      </c>
      <c r="G44" s="45"/>
      <c r="H44" s="73"/>
      <c r="I44" s="18" t="str">
        <f t="shared" si="2"/>
        <v/>
      </c>
      <c r="J44" s="45"/>
      <c r="K44" s="45"/>
    </row>
    <row r="45" spans="1:11">
      <c r="A45" s="17" t="str">
        <f t="shared" si="3"/>
        <v/>
      </c>
      <c r="B45" s="53"/>
      <c r="C45" s="11" t="str">
        <f t="shared" si="0"/>
        <v/>
      </c>
      <c r="D45" s="11" t="str">
        <f t="shared" si="1"/>
        <v/>
      </c>
      <c r="E45" s="45"/>
      <c r="F45" s="11" t="str">
        <f>IFERROR(VLOOKUP(E45,Category!$D$2:$E$600,2,FALSE),"")</f>
        <v/>
      </c>
      <c r="G45" s="45"/>
      <c r="H45" s="73"/>
      <c r="I45" s="18" t="str">
        <f t="shared" si="2"/>
        <v/>
      </c>
      <c r="J45" s="45"/>
      <c r="K45" s="45"/>
    </row>
    <row r="46" spans="1:11">
      <c r="A46" s="17" t="str">
        <f t="shared" si="3"/>
        <v/>
      </c>
      <c r="B46" s="53"/>
      <c r="C46" s="11" t="str">
        <f t="shared" si="0"/>
        <v/>
      </c>
      <c r="D46" s="11" t="str">
        <f t="shared" si="1"/>
        <v/>
      </c>
      <c r="E46" s="45"/>
      <c r="F46" s="11" t="str">
        <f>IFERROR(VLOOKUP(E46,Category!$D$2:$E$600,2,FALSE),"")</f>
        <v/>
      </c>
      <c r="G46" s="45"/>
      <c r="H46" s="73"/>
      <c r="I46" s="18" t="str">
        <f t="shared" si="2"/>
        <v/>
      </c>
      <c r="J46" s="45"/>
      <c r="K46" s="45"/>
    </row>
    <row r="47" spans="1:11">
      <c r="A47" s="17" t="str">
        <f t="shared" si="3"/>
        <v/>
      </c>
      <c r="B47" s="53"/>
      <c r="C47" s="11" t="str">
        <f t="shared" si="0"/>
        <v/>
      </c>
      <c r="D47" s="11" t="str">
        <f t="shared" si="1"/>
        <v/>
      </c>
      <c r="E47" s="45"/>
      <c r="F47" s="11" t="str">
        <f>IFERROR(VLOOKUP(E47,Category!$D$2:$E$600,2,FALSE),"")</f>
        <v/>
      </c>
      <c r="G47" s="45"/>
      <c r="H47" s="73"/>
      <c r="I47" s="18" t="str">
        <f t="shared" si="2"/>
        <v/>
      </c>
      <c r="J47" s="45"/>
      <c r="K47" s="45"/>
    </row>
    <row r="48" spans="1:11">
      <c r="A48" s="17" t="str">
        <f t="shared" si="3"/>
        <v/>
      </c>
      <c r="B48" s="53"/>
      <c r="C48" s="11" t="str">
        <f t="shared" si="0"/>
        <v/>
      </c>
      <c r="D48" s="11" t="str">
        <f t="shared" si="1"/>
        <v/>
      </c>
      <c r="E48" s="45"/>
      <c r="F48" s="11" t="str">
        <f>IFERROR(VLOOKUP(E48,Category!$D$2:$E$600,2,FALSE),"")</f>
        <v/>
      </c>
      <c r="G48" s="45"/>
      <c r="H48" s="73"/>
      <c r="I48" s="18" t="str">
        <f t="shared" si="2"/>
        <v/>
      </c>
      <c r="J48" s="45"/>
      <c r="K48" s="45"/>
    </row>
    <row r="49" spans="1:11">
      <c r="A49" s="17" t="str">
        <f t="shared" si="3"/>
        <v/>
      </c>
      <c r="B49" s="53"/>
      <c r="C49" s="11" t="str">
        <f t="shared" si="0"/>
        <v/>
      </c>
      <c r="D49" s="11" t="str">
        <f t="shared" si="1"/>
        <v/>
      </c>
      <c r="E49" s="45"/>
      <c r="F49" s="11" t="str">
        <f>IFERROR(VLOOKUP(E49,Category!$D$2:$E$600,2,FALSE),"")</f>
        <v/>
      </c>
      <c r="G49" s="45"/>
      <c r="H49" s="73"/>
      <c r="I49" s="18" t="str">
        <f t="shared" si="2"/>
        <v/>
      </c>
      <c r="J49" s="45"/>
      <c r="K49" s="45"/>
    </row>
    <row r="50" spans="1:11">
      <c r="A50" s="17" t="str">
        <f t="shared" si="3"/>
        <v/>
      </c>
      <c r="B50" s="53"/>
      <c r="C50" s="11" t="str">
        <f t="shared" si="0"/>
        <v/>
      </c>
      <c r="D50" s="11" t="str">
        <f t="shared" si="1"/>
        <v/>
      </c>
      <c r="E50" s="45"/>
      <c r="F50" s="11" t="str">
        <f>IFERROR(VLOOKUP(E50,Category!$D$2:$E$600,2,FALSE),"")</f>
        <v/>
      </c>
      <c r="G50" s="45"/>
      <c r="H50" s="73"/>
      <c r="I50" s="18" t="str">
        <f t="shared" si="2"/>
        <v/>
      </c>
      <c r="J50" s="45"/>
      <c r="K50" s="45"/>
    </row>
    <row r="51" spans="1:11">
      <c r="A51" s="17" t="str">
        <f t="shared" si="3"/>
        <v/>
      </c>
      <c r="B51" s="53"/>
      <c r="C51" s="11" t="str">
        <f t="shared" si="0"/>
        <v/>
      </c>
      <c r="D51" s="11" t="str">
        <f t="shared" si="1"/>
        <v/>
      </c>
      <c r="E51" s="45"/>
      <c r="F51" s="11" t="str">
        <f>IFERROR(VLOOKUP(E51,Category!$D$2:$E$600,2,FALSE),"")</f>
        <v/>
      </c>
      <c r="G51" s="45"/>
      <c r="H51" s="73"/>
      <c r="I51" s="18" t="str">
        <f t="shared" si="2"/>
        <v/>
      </c>
      <c r="J51" s="45"/>
      <c r="K51" s="45"/>
    </row>
    <row r="52" spans="1:11">
      <c r="A52" s="17" t="str">
        <f t="shared" si="3"/>
        <v/>
      </c>
      <c r="B52" s="53"/>
      <c r="C52" s="11" t="str">
        <f t="shared" si="0"/>
        <v/>
      </c>
      <c r="D52" s="11" t="str">
        <f t="shared" si="1"/>
        <v/>
      </c>
      <c r="E52" s="45"/>
      <c r="F52" s="11" t="str">
        <f>IFERROR(VLOOKUP(E52,Category!$D$2:$E$600,2,FALSE),"")</f>
        <v/>
      </c>
      <c r="G52" s="45"/>
      <c r="H52" s="73"/>
      <c r="I52" s="18" t="str">
        <f t="shared" si="2"/>
        <v/>
      </c>
      <c r="J52" s="45"/>
      <c r="K52" s="45"/>
    </row>
    <row r="53" spans="1:11">
      <c r="A53" s="17" t="str">
        <f t="shared" si="3"/>
        <v/>
      </c>
      <c r="B53" s="53"/>
      <c r="C53" s="11" t="str">
        <f t="shared" si="0"/>
        <v/>
      </c>
      <c r="D53" s="11" t="str">
        <f t="shared" si="1"/>
        <v/>
      </c>
      <c r="E53" s="45"/>
      <c r="F53" s="11" t="str">
        <f>IFERROR(VLOOKUP(E53,Category!$D$2:$E$600,2,FALSE),"")</f>
        <v/>
      </c>
      <c r="G53" s="45"/>
      <c r="H53" s="73"/>
      <c r="I53" s="18" t="str">
        <f t="shared" si="2"/>
        <v/>
      </c>
      <c r="J53" s="45"/>
      <c r="K53" s="45"/>
    </row>
    <row r="54" spans="1:11">
      <c r="A54" s="17" t="str">
        <f t="shared" si="3"/>
        <v/>
      </c>
      <c r="B54" s="53"/>
      <c r="C54" s="11" t="str">
        <f t="shared" si="0"/>
        <v/>
      </c>
      <c r="D54" s="11" t="str">
        <f t="shared" si="1"/>
        <v/>
      </c>
      <c r="E54" s="45"/>
      <c r="F54" s="11" t="str">
        <f>IFERROR(VLOOKUP(E54,Category!$D$2:$E$600,2,FALSE),"")</f>
        <v/>
      </c>
      <c r="G54" s="45"/>
      <c r="H54" s="73"/>
      <c r="I54" s="18" t="str">
        <f t="shared" si="2"/>
        <v/>
      </c>
      <c r="J54" s="45"/>
      <c r="K54" s="45"/>
    </row>
    <row r="55" spans="1:11">
      <c r="A55" s="17" t="str">
        <f t="shared" si="3"/>
        <v/>
      </c>
      <c r="B55" s="53"/>
      <c r="C55" s="11" t="str">
        <f t="shared" si="0"/>
        <v/>
      </c>
      <c r="D55" s="11" t="str">
        <f t="shared" si="1"/>
        <v/>
      </c>
      <c r="E55" s="45"/>
      <c r="F55" s="11" t="str">
        <f>IFERROR(VLOOKUP(E55,Category!$D$2:$E$600,2,FALSE),"")</f>
        <v/>
      </c>
      <c r="G55" s="45"/>
      <c r="H55" s="73"/>
      <c r="I55" s="18" t="str">
        <f t="shared" si="2"/>
        <v/>
      </c>
      <c r="J55" s="45"/>
      <c r="K55" s="45"/>
    </row>
    <row r="56" spans="1:11">
      <c r="A56" s="17" t="str">
        <f t="shared" si="3"/>
        <v/>
      </c>
      <c r="B56" s="53"/>
      <c r="C56" s="11" t="str">
        <f t="shared" si="0"/>
        <v/>
      </c>
      <c r="D56" s="11" t="str">
        <f t="shared" si="1"/>
        <v/>
      </c>
      <c r="E56" s="45"/>
      <c r="F56" s="11" t="str">
        <f>IFERROR(VLOOKUP(E56,Category!$D$2:$E$600,2,FALSE),"")</f>
        <v/>
      </c>
      <c r="G56" s="45"/>
      <c r="H56" s="73"/>
      <c r="I56" s="18" t="str">
        <f t="shared" si="2"/>
        <v/>
      </c>
      <c r="J56" s="45"/>
      <c r="K56" s="45"/>
    </row>
    <row r="57" spans="1:11">
      <c r="A57" s="17" t="str">
        <f t="shared" si="3"/>
        <v/>
      </c>
      <c r="B57" s="53"/>
      <c r="C57" s="11" t="str">
        <f t="shared" si="0"/>
        <v/>
      </c>
      <c r="D57" s="11" t="str">
        <f t="shared" si="1"/>
        <v/>
      </c>
      <c r="E57" s="45"/>
      <c r="F57" s="11" t="str">
        <f>IFERROR(VLOOKUP(E57,Category!$D$2:$E$600,2,FALSE),"")</f>
        <v/>
      </c>
      <c r="G57" s="45"/>
      <c r="H57" s="73"/>
      <c r="I57" s="18" t="str">
        <f t="shared" si="2"/>
        <v/>
      </c>
      <c r="J57" s="45"/>
      <c r="K57" s="45"/>
    </row>
    <row r="58" spans="1:11">
      <c r="A58" s="17" t="str">
        <f t="shared" si="3"/>
        <v/>
      </c>
      <c r="B58" s="53"/>
      <c r="C58" s="11" t="str">
        <f t="shared" si="0"/>
        <v/>
      </c>
      <c r="D58" s="11" t="str">
        <f t="shared" si="1"/>
        <v/>
      </c>
      <c r="E58" s="45"/>
      <c r="F58" s="11" t="str">
        <f>IFERROR(VLOOKUP(E58,Category!$D$2:$E$600,2,FALSE),"")</f>
        <v/>
      </c>
      <c r="G58" s="45"/>
      <c r="H58" s="73"/>
      <c r="I58" s="18" t="str">
        <f t="shared" si="2"/>
        <v/>
      </c>
      <c r="J58" s="45"/>
      <c r="K58" s="45"/>
    </row>
    <row r="59" spans="1:11">
      <c r="A59" s="17" t="str">
        <f t="shared" si="3"/>
        <v/>
      </c>
      <c r="B59" s="53"/>
      <c r="C59" s="11" t="str">
        <f t="shared" si="0"/>
        <v/>
      </c>
      <c r="D59" s="11" t="str">
        <f t="shared" si="1"/>
        <v/>
      </c>
      <c r="E59" s="45"/>
      <c r="F59" s="11" t="str">
        <f>IFERROR(VLOOKUP(E59,Category!$D$2:$E$600,2,FALSE),"")</f>
        <v/>
      </c>
      <c r="G59" s="45"/>
      <c r="H59" s="73"/>
      <c r="I59" s="18" t="str">
        <f t="shared" si="2"/>
        <v/>
      </c>
      <c r="J59" s="45"/>
      <c r="K59" s="45"/>
    </row>
    <row r="60" spans="1:11">
      <c r="A60" s="17" t="str">
        <f t="shared" si="3"/>
        <v/>
      </c>
      <c r="B60" s="53"/>
      <c r="C60" s="11" t="str">
        <f t="shared" si="0"/>
        <v/>
      </c>
      <c r="D60" s="11" t="str">
        <f t="shared" si="1"/>
        <v/>
      </c>
      <c r="E60" s="45"/>
      <c r="F60" s="11" t="str">
        <f>IFERROR(VLOOKUP(E60,Category!$D$2:$E$600,2,FALSE),"")</f>
        <v/>
      </c>
      <c r="G60" s="45"/>
      <c r="H60" s="73"/>
      <c r="I60" s="18" t="str">
        <f t="shared" si="2"/>
        <v/>
      </c>
      <c r="J60" s="45"/>
      <c r="K60" s="45"/>
    </row>
    <row r="61" spans="1:11">
      <c r="A61" s="17" t="str">
        <f t="shared" si="3"/>
        <v/>
      </c>
      <c r="B61" s="53"/>
      <c r="C61" s="11" t="str">
        <f t="shared" si="0"/>
        <v/>
      </c>
      <c r="D61" s="11" t="str">
        <f t="shared" si="1"/>
        <v/>
      </c>
      <c r="E61" s="45"/>
      <c r="F61" s="11" t="str">
        <f>IFERROR(VLOOKUP(E61,Category!$D$2:$E$600,2,FALSE),"")</f>
        <v/>
      </c>
      <c r="G61" s="45"/>
      <c r="H61" s="73"/>
      <c r="I61" s="18" t="str">
        <f t="shared" si="2"/>
        <v/>
      </c>
      <c r="J61" s="45"/>
      <c r="K61" s="45"/>
    </row>
    <row r="62" spans="1:11">
      <c r="A62" s="17" t="str">
        <f t="shared" si="3"/>
        <v/>
      </c>
      <c r="B62" s="53"/>
      <c r="C62" s="11" t="str">
        <f t="shared" si="0"/>
        <v/>
      </c>
      <c r="D62" s="11" t="str">
        <f t="shared" si="1"/>
        <v/>
      </c>
      <c r="E62" s="45"/>
      <c r="F62" s="11" t="str">
        <f>IFERROR(VLOOKUP(E62,Category!$D$2:$E$600,2,FALSE),"")</f>
        <v/>
      </c>
      <c r="G62" s="45"/>
      <c r="H62" s="73"/>
      <c r="I62" s="18" t="str">
        <f t="shared" si="2"/>
        <v/>
      </c>
      <c r="J62" s="45"/>
      <c r="K62" s="45"/>
    </row>
    <row r="63" spans="1:11">
      <c r="A63" s="17" t="str">
        <f t="shared" si="3"/>
        <v/>
      </c>
      <c r="B63" s="53"/>
      <c r="C63" s="11" t="str">
        <f t="shared" si="0"/>
        <v/>
      </c>
      <c r="D63" s="11" t="str">
        <f t="shared" si="1"/>
        <v/>
      </c>
      <c r="E63" s="45"/>
      <c r="F63" s="11" t="str">
        <f>IFERROR(VLOOKUP(E63,Category!$D$2:$E$600,2,FALSE),"")</f>
        <v/>
      </c>
      <c r="G63" s="45"/>
      <c r="H63" s="73"/>
      <c r="I63" s="18" t="str">
        <f t="shared" si="2"/>
        <v/>
      </c>
      <c r="J63" s="45"/>
      <c r="K63" s="45"/>
    </row>
    <row r="64" spans="1:11">
      <c r="A64" s="17" t="str">
        <f t="shared" si="3"/>
        <v/>
      </c>
      <c r="B64" s="53"/>
      <c r="C64" s="11" t="str">
        <f t="shared" si="0"/>
        <v/>
      </c>
      <c r="D64" s="11" t="str">
        <f t="shared" si="1"/>
        <v/>
      </c>
      <c r="E64" s="45"/>
      <c r="F64" s="11" t="str">
        <f>IFERROR(VLOOKUP(E64,Category!$D$2:$E$600,2,FALSE),"")</f>
        <v/>
      </c>
      <c r="G64" s="45"/>
      <c r="H64" s="73"/>
      <c r="I64" s="18" t="str">
        <f t="shared" si="2"/>
        <v/>
      </c>
      <c r="J64" s="45"/>
      <c r="K64" s="45"/>
    </row>
    <row r="65" spans="1:11">
      <c r="A65" s="17" t="str">
        <f t="shared" si="3"/>
        <v/>
      </c>
      <c r="B65" s="53"/>
      <c r="C65" s="11" t="str">
        <f t="shared" si="0"/>
        <v/>
      </c>
      <c r="D65" s="11" t="str">
        <f t="shared" si="1"/>
        <v/>
      </c>
      <c r="E65" s="45"/>
      <c r="F65" s="11" t="str">
        <f>IFERROR(VLOOKUP(E65,Category!$D$2:$E$600,2,FALSE),"")</f>
        <v/>
      </c>
      <c r="G65" s="45"/>
      <c r="H65" s="73"/>
      <c r="I65" s="18" t="str">
        <f t="shared" si="2"/>
        <v/>
      </c>
      <c r="J65" s="45"/>
      <c r="K65" s="45"/>
    </row>
    <row r="66" spans="1:11">
      <c r="A66" s="17" t="str">
        <f t="shared" si="3"/>
        <v/>
      </c>
      <c r="B66" s="53"/>
      <c r="C66" s="11" t="str">
        <f t="shared" si="0"/>
        <v/>
      </c>
      <c r="D66" s="11" t="str">
        <f t="shared" si="1"/>
        <v/>
      </c>
      <c r="E66" s="45"/>
      <c r="F66" s="11" t="str">
        <f>IFERROR(VLOOKUP(E66,Category!$D$2:$E$600,2,FALSE),"")</f>
        <v/>
      </c>
      <c r="G66" s="45"/>
      <c r="H66" s="73"/>
      <c r="I66" s="18" t="str">
        <f t="shared" si="2"/>
        <v/>
      </c>
      <c r="J66" s="45"/>
      <c r="K66" s="45"/>
    </row>
    <row r="67" spans="1:11">
      <c r="A67" s="17" t="str">
        <f t="shared" si="3"/>
        <v/>
      </c>
      <c r="B67" s="53"/>
      <c r="C67" s="11" t="str">
        <f t="shared" ref="C67:C130" si="4">IF(B67=0,"",TEXT(B67,"mmmm"))</f>
        <v/>
      </c>
      <c r="D67" s="11" t="str">
        <f t="shared" ref="D67:D130" si="5">IF(B67=0,"",TEXT(B67,"yyyy"))</f>
        <v/>
      </c>
      <c r="E67" s="45"/>
      <c r="F67" s="11" t="str">
        <f>IFERROR(VLOOKUP(E67,Category!$D$2:$E$600,2,FALSE),"")</f>
        <v/>
      </c>
      <c r="G67" s="45"/>
      <c r="H67" s="73"/>
      <c r="I67" s="18" t="str">
        <f t="shared" ref="I67:I130" si="6">IF(G67*H67=0,"",G67*H67)</f>
        <v/>
      </c>
      <c r="J67" s="45"/>
      <c r="K67" s="45"/>
    </row>
    <row r="68" spans="1:11">
      <c r="A68" s="17" t="str">
        <f t="shared" ref="A68:A131" si="7">IF(E68&gt;0,A67+1,"")</f>
        <v/>
      </c>
      <c r="B68" s="53"/>
      <c r="C68" s="11" t="str">
        <f t="shared" si="4"/>
        <v/>
      </c>
      <c r="D68" s="11" t="str">
        <f t="shared" si="5"/>
        <v/>
      </c>
      <c r="E68" s="45"/>
      <c r="F68" s="11" t="str">
        <f>IFERROR(VLOOKUP(E68,Category!$D$2:$E$600,2,FALSE),"")</f>
        <v/>
      </c>
      <c r="G68" s="45"/>
      <c r="H68" s="73"/>
      <c r="I68" s="18" t="str">
        <f t="shared" si="6"/>
        <v/>
      </c>
      <c r="J68" s="45"/>
      <c r="K68" s="45"/>
    </row>
    <row r="69" spans="1:11">
      <c r="A69" s="17" t="str">
        <f t="shared" si="7"/>
        <v/>
      </c>
      <c r="B69" s="53"/>
      <c r="C69" s="11" t="str">
        <f t="shared" si="4"/>
        <v/>
      </c>
      <c r="D69" s="11" t="str">
        <f t="shared" si="5"/>
        <v/>
      </c>
      <c r="E69" s="45"/>
      <c r="F69" s="11" t="str">
        <f>IFERROR(VLOOKUP(E69,Category!$D$2:$E$600,2,FALSE),"")</f>
        <v/>
      </c>
      <c r="G69" s="45"/>
      <c r="H69" s="73"/>
      <c r="I69" s="18" t="str">
        <f t="shared" si="6"/>
        <v/>
      </c>
      <c r="J69" s="45"/>
      <c r="K69" s="45"/>
    </row>
    <row r="70" spans="1:11">
      <c r="A70" s="17" t="str">
        <f t="shared" si="7"/>
        <v/>
      </c>
      <c r="B70" s="53"/>
      <c r="C70" s="11" t="str">
        <f t="shared" si="4"/>
        <v/>
      </c>
      <c r="D70" s="11" t="str">
        <f t="shared" si="5"/>
        <v/>
      </c>
      <c r="E70" s="45"/>
      <c r="F70" s="11" t="str">
        <f>IFERROR(VLOOKUP(E70,Category!$D$2:$E$600,2,FALSE),"")</f>
        <v/>
      </c>
      <c r="G70" s="45"/>
      <c r="H70" s="73"/>
      <c r="I70" s="18" t="str">
        <f t="shared" si="6"/>
        <v/>
      </c>
      <c r="J70" s="45"/>
      <c r="K70" s="45"/>
    </row>
    <row r="71" spans="1:11">
      <c r="A71" s="17" t="str">
        <f t="shared" si="7"/>
        <v/>
      </c>
      <c r="B71" s="53"/>
      <c r="C71" s="11" t="str">
        <f t="shared" si="4"/>
        <v/>
      </c>
      <c r="D71" s="11" t="str">
        <f t="shared" si="5"/>
        <v/>
      </c>
      <c r="E71" s="45"/>
      <c r="F71" s="11" t="str">
        <f>IFERROR(VLOOKUP(E71,Category!$D$2:$E$600,2,FALSE),"")</f>
        <v/>
      </c>
      <c r="G71" s="45"/>
      <c r="H71" s="73"/>
      <c r="I71" s="18" t="str">
        <f t="shared" si="6"/>
        <v/>
      </c>
      <c r="J71" s="45"/>
      <c r="K71" s="45"/>
    </row>
    <row r="72" spans="1:11">
      <c r="A72" s="17" t="str">
        <f t="shared" si="7"/>
        <v/>
      </c>
      <c r="B72" s="53"/>
      <c r="C72" s="11" t="str">
        <f t="shared" si="4"/>
        <v/>
      </c>
      <c r="D72" s="11" t="str">
        <f t="shared" si="5"/>
        <v/>
      </c>
      <c r="E72" s="45"/>
      <c r="F72" s="11" t="str">
        <f>IFERROR(VLOOKUP(E72,Category!$D$2:$E$600,2,FALSE),"")</f>
        <v/>
      </c>
      <c r="G72" s="45"/>
      <c r="H72" s="73"/>
      <c r="I72" s="18" t="str">
        <f t="shared" si="6"/>
        <v/>
      </c>
      <c r="J72" s="45"/>
      <c r="K72" s="45"/>
    </row>
    <row r="73" spans="1:11">
      <c r="A73" s="17" t="str">
        <f t="shared" si="7"/>
        <v/>
      </c>
      <c r="B73" s="53"/>
      <c r="C73" s="11" t="str">
        <f t="shared" si="4"/>
        <v/>
      </c>
      <c r="D73" s="11" t="str">
        <f t="shared" si="5"/>
        <v/>
      </c>
      <c r="E73" s="45"/>
      <c r="F73" s="11" t="str">
        <f>IFERROR(VLOOKUP(E73,Category!$D$2:$E$600,2,FALSE),"")</f>
        <v/>
      </c>
      <c r="G73" s="45"/>
      <c r="H73" s="73"/>
      <c r="I73" s="18" t="str">
        <f t="shared" si="6"/>
        <v/>
      </c>
      <c r="J73" s="45"/>
      <c r="K73" s="45"/>
    </row>
    <row r="74" spans="1:11">
      <c r="A74" s="17" t="str">
        <f t="shared" si="7"/>
        <v/>
      </c>
      <c r="B74" s="53"/>
      <c r="C74" s="11" t="str">
        <f t="shared" si="4"/>
        <v/>
      </c>
      <c r="D74" s="11" t="str">
        <f t="shared" si="5"/>
        <v/>
      </c>
      <c r="E74" s="45"/>
      <c r="F74" s="11" t="str">
        <f>IFERROR(VLOOKUP(E74,Category!$D$2:$E$600,2,FALSE),"")</f>
        <v/>
      </c>
      <c r="G74" s="45"/>
      <c r="H74" s="73"/>
      <c r="I74" s="18" t="str">
        <f t="shared" si="6"/>
        <v/>
      </c>
      <c r="J74" s="45"/>
      <c r="K74" s="45"/>
    </row>
    <row r="75" spans="1:11">
      <c r="A75" s="17" t="str">
        <f t="shared" si="7"/>
        <v/>
      </c>
      <c r="B75" s="53"/>
      <c r="C75" s="11" t="str">
        <f t="shared" si="4"/>
        <v/>
      </c>
      <c r="D75" s="11" t="str">
        <f t="shared" si="5"/>
        <v/>
      </c>
      <c r="E75" s="45"/>
      <c r="F75" s="11" t="str">
        <f>IFERROR(VLOOKUP(E75,Category!$D$2:$E$600,2,FALSE),"")</f>
        <v/>
      </c>
      <c r="G75" s="45"/>
      <c r="H75" s="73"/>
      <c r="I75" s="18" t="str">
        <f t="shared" si="6"/>
        <v/>
      </c>
      <c r="J75" s="45"/>
      <c r="K75" s="45"/>
    </row>
    <row r="76" spans="1:11">
      <c r="A76" s="17" t="str">
        <f t="shared" si="7"/>
        <v/>
      </c>
      <c r="B76" s="53"/>
      <c r="C76" s="11" t="str">
        <f t="shared" si="4"/>
        <v/>
      </c>
      <c r="D76" s="11" t="str">
        <f t="shared" si="5"/>
        <v/>
      </c>
      <c r="E76" s="45"/>
      <c r="F76" s="11" t="str">
        <f>IFERROR(VLOOKUP(E76,Category!$D$2:$E$600,2,FALSE),"")</f>
        <v/>
      </c>
      <c r="G76" s="45"/>
      <c r="H76" s="73"/>
      <c r="I76" s="18" t="str">
        <f t="shared" si="6"/>
        <v/>
      </c>
      <c r="J76" s="45"/>
      <c r="K76" s="45"/>
    </row>
    <row r="77" spans="1:11">
      <c r="A77" s="17" t="str">
        <f t="shared" si="7"/>
        <v/>
      </c>
      <c r="B77" s="53"/>
      <c r="C77" s="11" t="str">
        <f t="shared" si="4"/>
        <v/>
      </c>
      <c r="D77" s="11" t="str">
        <f t="shared" si="5"/>
        <v/>
      </c>
      <c r="E77" s="45"/>
      <c r="F77" s="11" t="str">
        <f>IFERROR(VLOOKUP(E77,Category!$D$2:$E$600,2,FALSE),"")</f>
        <v/>
      </c>
      <c r="G77" s="45"/>
      <c r="H77" s="73"/>
      <c r="I77" s="18" t="str">
        <f t="shared" si="6"/>
        <v/>
      </c>
      <c r="J77" s="45"/>
      <c r="K77" s="45"/>
    </row>
    <row r="78" spans="1:11">
      <c r="A78" s="17" t="str">
        <f t="shared" si="7"/>
        <v/>
      </c>
      <c r="B78" s="53"/>
      <c r="C78" s="11" t="str">
        <f t="shared" si="4"/>
        <v/>
      </c>
      <c r="D78" s="11" t="str">
        <f t="shared" si="5"/>
        <v/>
      </c>
      <c r="E78" s="45"/>
      <c r="F78" s="11" t="str">
        <f>IFERROR(VLOOKUP(E78,Category!$D$2:$E$600,2,FALSE),"")</f>
        <v/>
      </c>
      <c r="G78" s="45"/>
      <c r="H78" s="73"/>
      <c r="I78" s="18" t="str">
        <f t="shared" si="6"/>
        <v/>
      </c>
      <c r="J78" s="45"/>
      <c r="K78" s="45"/>
    </row>
    <row r="79" spans="1:11">
      <c r="A79" s="17" t="str">
        <f t="shared" si="7"/>
        <v/>
      </c>
      <c r="B79" s="53"/>
      <c r="C79" s="11" t="str">
        <f t="shared" si="4"/>
        <v/>
      </c>
      <c r="D79" s="11" t="str">
        <f t="shared" si="5"/>
        <v/>
      </c>
      <c r="E79" s="45"/>
      <c r="F79" s="11" t="str">
        <f>IFERROR(VLOOKUP(E79,Category!$D$2:$E$600,2,FALSE),"")</f>
        <v/>
      </c>
      <c r="G79" s="45"/>
      <c r="H79" s="73"/>
      <c r="I79" s="18" t="str">
        <f t="shared" si="6"/>
        <v/>
      </c>
      <c r="J79" s="45"/>
      <c r="K79" s="45"/>
    </row>
    <row r="80" spans="1:11">
      <c r="A80" s="17" t="str">
        <f t="shared" si="7"/>
        <v/>
      </c>
      <c r="B80" s="53"/>
      <c r="C80" s="11" t="str">
        <f t="shared" si="4"/>
        <v/>
      </c>
      <c r="D80" s="11" t="str">
        <f t="shared" si="5"/>
        <v/>
      </c>
      <c r="E80" s="45"/>
      <c r="F80" s="11" t="str">
        <f>IFERROR(VLOOKUP(E80,Category!$D$2:$E$600,2,FALSE),"")</f>
        <v/>
      </c>
      <c r="G80" s="45"/>
      <c r="H80" s="73"/>
      <c r="I80" s="18" t="str">
        <f t="shared" si="6"/>
        <v/>
      </c>
      <c r="J80" s="45"/>
      <c r="K80" s="45"/>
    </row>
    <row r="81" spans="1:11">
      <c r="A81" s="17" t="str">
        <f t="shared" si="7"/>
        <v/>
      </c>
      <c r="B81" s="53"/>
      <c r="C81" s="11" t="str">
        <f t="shared" si="4"/>
        <v/>
      </c>
      <c r="D81" s="11" t="str">
        <f t="shared" si="5"/>
        <v/>
      </c>
      <c r="E81" s="45"/>
      <c r="F81" s="11" t="str">
        <f>IFERROR(VLOOKUP(E81,Category!$D$2:$E$600,2,FALSE),"")</f>
        <v/>
      </c>
      <c r="G81" s="45"/>
      <c r="H81" s="73"/>
      <c r="I81" s="18" t="str">
        <f t="shared" si="6"/>
        <v/>
      </c>
      <c r="J81" s="45"/>
      <c r="K81" s="45"/>
    </row>
    <row r="82" spans="1:11">
      <c r="A82" s="17" t="str">
        <f t="shared" si="7"/>
        <v/>
      </c>
      <c r="B82" s="53"/>
      <c r="C82" s="11" t="str">
        <f t="shared" si="4"/>
        <v/>
      </c>
      <c r="D82" s="11" t="str">
        <f t="shared" si="5"/>
        <v/>
      </c>
      <c r="E82" s="45"/>
      <c r="F82" s="11" t="str">
        <f>IFERROR(VLOOKUP(E82,Category!$D$2:$E$600,2,FALSE),"")</f>
        <v/>
      </c>
      <c r="G82" s="45"/>
      <c r="H82" s="73"/>
      <c r="I82" s="18" t="str">
        <f t="shared" si="6"/>
        <v/>
      </c>
      <c r="J82" s="45"/>
      <c r="K82" s="45"/>
    </row>
    <row r="83" spans="1:11">
      <c r="A83" s="17" t="str">
        <f t="shared" si="7"/>
        <v/>
      </c>
      <c r="B83" s="53"/>
      <c r="C83" s="11" t="str">
        <f t="shared" si="4"/>
        <v/>
      </c>
      <c r="D83" s="11" t="str">
        <f t="shared" si="5"/>
        <v/>
      </c>
      <c r="E83" s="45"/>
      <c r="F83" s="11" t="str">
        <f>IFERROR(VLOOKUP(E83,Category!$D$2:$E$600,2,FALSE),"")</f>
        <v/>
      </c>
      <c r="G83" s="45"/>
      <c r="H83" s="73"/>
      <c r="I83" s="18" t="str">
        <f t="shared" si="6"/>
        <v/>
      </c>
      <c r="J83" s="45"/>
      <c r="K83" s="45"/>
    </row>
    <row r="84" spans="1:11">
      <c r="A84" s="17" t="str">
        <f t="shared" si="7"/>
        <v/>
      </c>
      <c r="B84" s="53"/>
      <c r="C84" s="11" t="str">
        <f t="shared" si="4"/>
        <v/>
      </c>
      <c r="D84" s="11" t="str">
        <f t="shared" si="5"/>
        <v/>
      </c>
      <c r="E84" s="45"/>
      <c r="F84" s="11" t="str">
        <f>IFERROR(VLOOKUP(E84,Category!$D$2:$E$600,2,FALSE),"")</f>
        <v/>
      </c>
      <c r="G84" s="45"/>
      <c r="H84" s="73"/>
      <c r="I84" s="18" t="str">
        <f t="shared" si="6"/>
        <v/>
      </c>
      <c r="J84" s="45"/>
      <c r="K84" s="45"/>
    </row>
    <row r="85" spans="1:11">
      <c r="A85" s="17" t="str">
        <f t="shared" si="7"/>
        <v/>
      </c>
      <c r="B85" s="53"/>
      <c r="C85" s="11" t="str">
        <f t="shared" si="4"/>
        <v/>
      </c>
      <c r="D85" s="11" t="str">
        <f t="shared" si="5"/>
        <v/>
      </c>
      <c r="E85" s="45"/>
      <c r="F85" s="11" t="str">
        <f>IFERROR(VLOOKUP(E85,Category!$D$2:$E$600,2,FALSE),"")</f>
        <v/>
      </c>
      <c r="G85" s="45"/>
      <c r="H85" s="73"/>
      <c r="I85" s="18" t="str">
        <f t="shared" si="6"/>
        <v/>
      </c>
      <c r="J85" s="45"/>
      <c r="K85" s="45"/>
    </row>
    <row r="86" spans="1:11">
      <c r="A86" s="17" t="str">
        <f t="shared" si="7"/>
        <v/>
      </c>
      <c r="B86" s="53"/>
      <c r="C86" s="11" t="str">
        <f t="shared" si="4"/>
        <v/>
      </c>
      <c r="D86" s="11" t="str">
        <f t="shared" si="5"/>
        <v/>
      </c>
      <c r="E86" s="45"/>
      <c r="F86" s="11" t="str">
        <f>IFERROR(VLOOKUP(E86,Category!$D$2:$E$600,2,FALSE),"")</f>
        <v/>
      </c>
      <c r="G86" s="45"/>
      <c r="H86" s="73"/>
      <c r="I86" s="18" t="str">
        <f t="shared" si="6"/>
        <v/>
      </c>
      <c r="J86" s="45"/>
      <c r="K86" s="45"/>
    </row>
    <row r="87" spans="1:11">
      <c r="A87" s="17" t="str">
        <f t="shared" si="7"/>
        <v/>
      </c>
      <c r="B87" s="53"/>
      <c r="C87" s="11" t="str">
        <f t="shared" si="4"/>
        <v/>
      </c>
      <c r="D87" s="11" t="str">
        <f t="shared" si="5"/>
        <v/>
      </c>
      <c r="E87" s="45"/>
      <c r="F87" s="11" t="str">
        <f>IFERROR(VLOOKUP(E87,Category!$D$2:$E$600,2,FALSE),"")</f>
        <v/>
      </c>
      <c r="G87" s="45"/>
      <c r="H87" s="73"/>
      <c r="I87" s="18" t="str">
        <f t="shared" si="6"/>
        <v/>
      </c>
      <c r="J87" s="45"/>
      <c r="K87" s="45"/>
    </row>
    <row r="88" spans="1:11">
      <c r="A88" s="17" t="str">
        <f t="shared" si="7"/>
        <v/>
      </c>
      <c r="B88" s="53"/>
      <c r="C88" s="11" t="str">
        <f t="shared" si="4"/>
        <v/>
      </c>
      <c r="D88" s="11" t="str">
        <f t="shared" si="5"/>
        <v/>
      </c>
      <c r="E88" s="45"/>
      <c r="F88" s="11" t="str">
        <f>IFERROR(VLOOKUP(E88,Category!$D$2:$E$600,2,FALSE),"")</f>
        <v/>
      </c>
      <c r="G88" s="45"/>
      <c r="H88" s="73"/>
      <c r="I88" s="18" t="str">
        <f t="shared" si="6"/>
        <v/>
      </c>
      <c r="J88" s="45"/>
      <c r="K88" s="45"/>
    </row>
    <row r="89" spans="1:11">
      <c r="A89" s="17" t="str">
        <f t="shared" si="7"/>
        <v/>
      </c>
      <c r="B89" s="53"/>
      <c r="C89" s="11" t="str">
        <f t="shared" si="4"/>
        <v/>
      </c>
      <c r="D89" s="11" t="str">
        <f t="shared" si="5"/>
        <v/>
      </c>
      <c r="E89" s="45"/>
      <c r="F89" s="11" t="str">
        <f>IFERROR(VLOOKUP(E89,Category!$D$2:$E$600,2,FALSE),"")</f>
        <v/>
      </c>
      <c r="G89" s="45"/>
      <c r="H89" s="73"/>
      <c r="I89" s="18" t="str">
        <f t="shared" si="6"/>
        <v/>
      </c>
      <c r="J89" s="45"/>
      <c r="K89" s="45"/>
    </row>
    <row r="90" spans="1:11">
      <c r="A90" s="17" t="str">
        <f t="shared" si="7"/>
        <v/>
      </c>
      <c r="B90" s="53"/>
      <c r="C90" s="11" t="str">
        <f t="shared" si="4"/>
        <v/>
      </c>
      <c r="D90" s="11" t="str">
        <f t="shared" si="5"/>
        <v/>
      </c>
      <c r="E90" s="45"/>
      <c r="F90" s="11" t="str">
        <f>IFERROR(VLOOKUP(E90,Category!$D$2:$E$600,2,FALSE),"")</f>
        <v/>
      </c>
      <c r="G90" s="45"/>
      <c r="H90" s="73"/>
      <c r="I90" s="18" t="str">
        <f t="shared" si="6"/>
        <v/>
      </c>
      <c r="J90" s="45"/>
      <c r="K90" s="45"/>
    </row>
    <row r="91" spans="1:11">
      <c r="A91" s="17" t="str">
        <f t="shared" si="7"/>
        <v/>
      </c>
      <c r="B91" s="53"/>
      <c r="C91" s="11" t="str">
        <f t="shared" si="4"/>
        <v/>
      </c>
      <c r="D91" s="11" t="str">
        <f t="shared" si="5"/>
        <v/>
      </c>
      <c r="E91" s="45"/>
      <c r="F91" s="11" t="str">
        <f>IFERROR(VLOOKUP(E91,Category!$D$2:$E$600,2,FALSE),"")</f>
        <v/>
      </c>
      <c r="G91" s="45"/>
      <c r="H91" s="73"/>
      <c r="I91" s="18" t="str">
        <f t="shared" si="6"/>
        <v/>
      </c>
      <c r="J91" s="45"/>
      <c r="K91" s="45"/>
    </row>
    <row r="92" spans="1:11">
      <c r="A92" s="17" t="str">
        <f t="shared" si="7"/>
        <v/>
      </c>
      <c r="B92" s="53"/>
      <c r="C92" s="11" t="str">
        <f t="shared" si="4"/>
        <v/>
      </c>
      <c r="D92" s="11" t="str">
        <f t="shared" si="5"/>
        <v/>
      </c>
      <c r="E92" s="45"/>
      <c r="F92" s="11" t="str">
        <f>IFERROR(VLOOKUP(E92,Category!$D$2:$E$600,2,FALSE),"")</f>
        <v/>
      </c>
      <c r="G92" s="45"/>
      <c r="H92" s="73"/>
      <c r="I92" s="18" t="str">
        <f t="shared" si="6"/>
        <v/>
      </c>
      <c r="J92" s="45"/>
      <c r="K92" s="45"/>
    </row>
    <row r="93" spans="1:11">
      <c r="A93" s="17" t="str">
        <f t="shared" si="7"/>
        <v/>
      </c>
      <c r="B93" s="53"/>
      <c r="C93" s="11" t="str">
        <f t="shared" si="4"/>
        <v/>
      </c>
      <c r="D93" s="11" t="str">
        <f t="shared" si="5"/>
        <v/>
      </c>
      <c r="E93" s="45"/>
      <c r="F93" s="11" t="str">
        <f>IFERROR(VLOOKUP(E93,Category!$D$2:$E$600,2,FALSE),"")</f>
        <v/>
      </c>
      <c r="G93" s="45"/>
      <c r="H93" s="73"/>
      <c r="I93" s="18" t="str">
        <f t="shared" si="6"/>
        <v/>
      </c>
      <c r="J93" s="45"/>
      <c r="K93" s="45"/>
    </row>
    <row r="94" spans="1:11">
      <c r="A94" s="17" t="str">
        <f t="shared" si="7"/>
        <v/>
      </c>
      <c r="B94" s="53"/>
      <c r="C94" s="11" t="str">
        <f t="shared" si="4"/>
        <v/>
      </c>
      <c r="D94" s="11" t="str">
        <f t="shared" si="5"/>
        <v/>
      </c>
      <c r="E94" s="45"/>
      <c r="F94" s="11" t="str">
        <f>IFERROR(VLOOKUP(E94,Category!$D$2:$E$600,2,FALSE),"")</f>
        <v/>
      </c>
      <c r="G94" s="45"/>
      <c r="H94" s="73"/>
      <c r="I94" s="18" t="str">
        <f t="shared" si="6"/>
        <v/>
      </c>
      <c r="J94" s="45"/>
      <c r="K94" s="45"/>
    </row>
    <row r="95" spans="1:11">
      <c r="A95" s="17" t="str">
        <f t="shared" si="7"/>
        <v/>
      </c>
      <c r="B95" s="53"/>
      <c r="C95" s="11" t="str">
        <f t="shared" si="4"/>
        <v/>
      </c>
      <c r="D95" s="11" t="str">
        <f t="shared" si="5"/>
        <v/>
      </c>
      <c r="E95" s="45"/>
      <c r="F95" s="11" t="str">
        <f>IFERROR(VLOOKUP(E95,Category!$D$2:$E$600,2,FALSE),"")</f>
        <v/>
      </c>
      <c r="G95" s="45"/>
      <c r="H95" s="73"/>
      <c r="I95" s="18" t="str">
        <f t="shared" si="6"/>
        <v/>
      </c>
      <c r="J95" s="45"/>
      <c r="K95" s="45"/>
    </row>
    <row r="96" spans="1:11">
      <c r="A96" s="17" t="str">
        <f t="shared" si="7"/>
        <v/>
      </c>
      <c r="B96" s="53"/>
      <c r="C96" s="11" t="str">
        <f t="shared" si="4"/>
        <v/>
      </c>
      <c r="D96" s="11" t="str">
        <f t="shared" si="5"/>
        <v/>
      </c>
      <c r="E96" s="45"/>
      <c r="F96" s="11" t="str">
        <f>IFERROR(VLOOKUP(E96,Category!$D$2:$E$600,2,FALSE),"")</f>
        <v/>
      </c>
      <c r="G96" s="45"/>
      <c r="H96" s="73"/>
      <c r="I96" s="18" t="str">
        <f t="shared" si="6"/>
        <v/>
      </c>
      <c r="J96" s="45"/>
      <c r="K96" s="45"/>
    </row>
    <row r="97" spans="1:11">
      <c r="A97" s="17" t="str">
        <f t="shared" si="7"/>
        <v/>
      </c>
      <c r="B97" s="53"/>
      <c r="C97" s="11" t="str">
        <f t="shared" si="4"/>
        <v/>
      </c>
      <c r="D97" s="11" t="str">
        <f t="shared" si="5"/>
        <v/>
      </c>
      <c r="E97" s="45"/>
      <c r="F97" s="11" t="str">
        <f>IFERROR(VLOOKUP(E97,Category!$D$2:$E$600,2,FALSE),"")</f>
        <v/>
      </c>
      <c r="G97" s="45"/>
      <c r="H97" s="73"/>
      <c r="I97" s="18" t="str">
        <f t="shared" si="6"/>
        <v/>
      </c>
      <c r="J97" s="45"/>
      <c r="K97" s="45"/>
    </row>
    <row r="98" spans="1:11">
      <c r="A98" s="17" t="str">
        <f t="shared" si="7"/>
        <v/>
      </c>
      <c r="B98" s="53"/>
      <c r="C98" s="11" t="str">
        <f t="shared" si="4"/>
        <v/>
      </c>
      <c r="D98" s="11" t="str">
        <f t="shared" si="5"/>
        <v/>
      </c>
      <c r="E98" s="45"/>
      <c r="F98" s="11" t="str">
        <f>IFERROR(VLOOKUP(E98,Category!$D$2:$E$600,2,FALSE),"")</f>
        <v/>
      </c>
      <c r="G98" s="45"/>
      <c r="H98" s="73"/>
      <c r="I98" s="18" t="str">
        <f t="shared" si="6"/>
        <v/>
      </c>
      <c r="J98" s="45"/>
      <c r="K98" s="45"/>
    </row>
    <row r="99" spans="1:11">
      <c r="A99" s="17" t="str">
        <f t="shared" si="7"/>
        <v/>
      </c>
      <c r="B99" s="53"/>
      <c r="C99" s="11" t="str">
        <f t="shared" si="4"/>
        <v/>
      </c>
      <c r="D99" s="11" t="str">
        <f t="shared" si="5"/>
        <v/>
      </c>
      <c r="E99" s="45"/>
      <c r="F99" s="11" t="str">
        <f>IFERROR(VLOOKUP(E99,Category!$D$2:$E$600,2,FALSE),"")</f>
        <v/>
      </c>
      <c r="G99" s="45"/>
      <c r="H99" s="73"/>
      <c r="I99" s="18" t="str">
        <f t="shared" si="6"/>
        <v/>
      </c>
      <c r="J99" s="45"/>
      <c r="K99" s="45"/>
    </row>
    <row r="100" spans="1:11">
      <c r="A100" s="17" t="str">
        <f t="shared" si="7"/>
        <v/>
      </c>
      <c r="B100" s="53"/>
      <c r="C100" s="11" t="str">
        <f t="shared" si="4"/>
        <v/>
      </c>
      <c r="D100" s="11" t="str">
        <f t="shared" si="5"/>
        <v/>
      </c>
      <c r="E100" s="45"/>
      <c r="F100" s="11" t="str">
        <f>IFERROR(VLOOKUP(E100,Category!$D$2:$E$600,2,FALSE),"")</f>
        <v/>
      </c>
      <c r="G100" s="45"/>
      <c r="H100" s="73"/>
      <c r="I100" s="18" t="str">
        <f t="shared" si="6"/>
        <v/>
      </c>
      <c r="J100" s="45"/>
      <c r="K100" s="45"/>
    </row>
    <row r="101" spans="1:11">
      <c r="A101" s="17" t="str">
        <f t="shared" si="7"/>
        <v/>
      </c>
      <c r="B101" s="53"/>
      <c r="C101" s="11" t="str">
        <f t="shared" si="4"/>
        <v/>
      </c>
      <c r="D101" s="11" t="str">
        <f t="shared" si="5"/>
        <v/>
      </c>
      <c r="E101" s="45"/>
      <c r="F101" s="11" t="str">
        <f>IFERROR(VLOOKUP(E101,Category!$D$2:$E$600,2,FALSE),"")</f>
        <v/>
      </c>
      <c r="G101" s="45"/>
      <c r="H101" s="73"/>
      <c r="I101" s="18" t="str">
        <f t="shared" si="6"/>
        <v/>
      </c>
      <c r="J101" s="45"/>
      <c r="K101" s="45"/>
    </row>
    <row r="102" spans="1:11">
      <c r="A102" s="17" t="str">
        <f t="shared" si="7"/>
        <v/>
      </c>
      <c r="B102" s="53"/>
      <c r="C102" s="11" t="str">
        <f t="shared" si="4"/>
        <v/>
      </c>
      <c r="D102" s="11" t="str">
        <f t="shared" si="5"/>
        <v/>
      </c>
      <c r="E102" s="45"/>
      <c r="F102" s="11" t="str">
        <f>IFERROR(VLOOKUP(E102,Category!$D$2:$E$600,2,FALSE),"")</f>
        <v/>
      </c>
      <c r="G102" s="45"/>
      <c r="H102" s="73"/>
      <c r="I102" s="18" t="str">
        <f t="shared" si="6"/>
        <v/>
      </c>
      <c r="J102" s="45"/>
      <c r="K102" s="45"/>
    </row>
    <row r="103" spans="1:11">
      <c r="A103" s="17" t="str">
        <f t="shared" si="7"/>
        <v/>
      </c>
      <c r="B103" s="53"/>
      <c r="C103" s="11" t="str">
        <f t="shared" si="4"/>
        <v/>
      </c>
      <c r="D103" s="11" t="str">
        <f t="shared" si="5"/>
        <v/>
      </c>
      <c r="E103" s="45"/>
      <c r="F103" s="11" t="str">
        <f>IFERROR(VLOOKUP(E103,Category!$D$2:$E$600,2,FALSE),"")</f>
        <v/>
      </c>
      <c r="G103" s="45"/>
      <c r="H103" s="73"/>
      <c r="I103" s="18" t="str">
        <f t="shared" si="6"/>
        <v/>
      </c>
      <c r="J103" s="45"/>
      <c r="K103" s="45"/>
    </row>
    <row r="104" spans="1:11">
      <c r="A104" s="17" t="str">
        <f t="shared" si="7"/>
        <v/>
      </c>
      <c r="B104" s="53"/>
      <c r="C104" s="11" t="str">
        <f t="shared" si="4"/>
        <v/>
      </c>
      <c r="D104" s="11" t="str">
        <f t="shared" si="5"/>
        <v/>
      </c>
      <c r="E104" s="45"/>
      <c r="F104" s="11" t="str">
        <f>IFERROR(VLOOKUP(E104,Category!$D$2:$E$600,2,FALSE),"")</f>
        <v/>
      </c>
      <c r="G104" s="45"/>
      <c r="H104" s="73"/>
      <c r="I104" s="18" t="str">
        <f t="shared" si="6"/>
        <v/>
      </c>
      <c r="J104" s="45"/>
      <c r="K104" s="45"/>
    </row>
    <row r="105" spans="1:11">
      <c r="A105" s="17" t="str">
        <f t="shared" si="7"/>
        <v/>
      </c>
      <c r="B105" s="53"/>
      <c r="C105" s="11" t="str">
        <f t="shared" si="4"/>
        <v/>
      </c>
      <c r="D105" s="11" t="str">
        <f t="shared" si="5"/>
        <v/>
      </c>
      <c r="E105" s="45"/>
      <c r="F105" s="11" t="str">
        <f>IFERROR(VLOOKUP(E105,Category!$D$2:$E$600,2,FALSE),"")</f>
        <v/>
      </c>
      <c r="G105" s="45"/>
      <c r="H105" s="73"/>
      <c r="I105" s="18" t="str">
        <f t="shared" si="6"/>
        <v/>
      </c>
      <c r="J105" s="45"/>
      <c r="K105" s="45"/>
    </row>
    <row r="106" spans="1:11">
      <c r="A106" s="17" t="str">
        <f t="shared" si="7"/>
        <v/>
      </c>
      <c r="B106" s="53"/>
      <c r="C106" s="11" t="str">
        <f t="shared" si="4"/>
        <v/>
      </c>
      <c r="D106" s="11" t="str">
        <f t="shared" si="5"/>
        <v/>
      </c>
      <c r="E106" s="45"/>
      <c r="F106" s="11" t="str">
        <f>IFERROR(VLOOKUP(E106,Category!$D$2:$E$600,2,FALSE),"")</f>
        <v/>
      </c>
      <c r="G106" s="45"/>
      <c r="H106" s="73"/>
      <c r="I106" s="18" t="str">
        <f t="shared" si="6"/>
        <v/>
      </c>
      <c r="J106" s="45"/>
      <c r="K106" s="45"/>
    </row>
    <row r="107" spans="1:11">
      <c r="A107" s="17" t="str">
        <f t="shared" si="7"/>
        <v/>
      </c>
      <c r="B107" s="53"/>
      <c r="C107" s="11" t="str">
        <f t="shared" si="4"/>
        <v/>
      </c>
      <c r="D107" s="11" t="str">
        <f t="shared" si="5"/>
        <v/>
      </c>
      <c r="E107" s="45"/>
      <c r="F107" s="11" t="str">
        <f>IFERROR(VLOOKUP(E107,Category!$D$2:$E$600,2,FALSE),"")</f>
        <v/>
      </c>
      <c r="G107" s="45"/>
      <c r="H107" s="73"/>
      <c r="I107" s="18" t="str">
        <f t="shared" si="6"/>
        <v/>
      </c>
      <c r="J107" s="45"/>
      <c r="K107" s="45"/>
    </row>
    <row r="108" spans="1:11">
      <c r="A108" s="17" t="str">
        <f t="shared" si="7"/>
        <v/>
      </c>
      <c r="B108" s="53"/>
      <c r="C108" s="11" t="str">
        <f t="shared" si="4"/>
        <v/>
      </c>
      <c r="D108" s="11" t="str">
        <f t="shared" si="5"/>
        <v/>
      </c>
      <c r="E108" s="45"/>
      <c r="F108" s="11" t="str">
        <f>IFERROR(VLOOKUP(E108,Category!$D$2:$E$600,2,FALSE),"")</f>
        <v/>
      </c>
      <c r="G108" s="45"/>
      <c r="H108" s="73"/>
      <c r="I108" s="18" t="str">
        <f t="shared" si="6"/>
        <v/>
      </c>
      <c r="J108" s="45"/>
      <c r="K108" s="45"/>
    </row>
    <row r="109" spans="1:11">
      <c r="A109" s="17" t="str">
        <f t="shared" si="7"/>
        <v/>
      </c>
      <c r="B109" s="53"/>
      <c r="C109" s="11" t="str">
        <f t="shared" si="4"/>
        <v/>
      </c>
      <c r="D109" s="11" t="str">
        <f t="shared" si="5"/>
        <v/>
      </c>
      <c r="E109" s="45"/>
      <c r="F109" s="11" t="str">
        <f>IFERROR(VLOOKUP(E109,Category!$D$2:$E$600,2,FALSE),"")</f>
        <v/>
      </c>
      <c r="G109" s="45"/>
      <c r="H109" s="73"/>
      <c r="I109" s="18" t="str">
        <f t="shared" si="6"/>
        <v/>
      </c>
      <c r="J109" s="45"/>
      <c r="K109" s="45"/>
    </row>
    <row r="110" spans="1:11">
      <c r="A110" s="17" t="str">
        <f t="shared" si="7"/>
        <v/>
      </c>
      <c r="B110" s="53"/>
      <c r="C110" s="11" t="str">
        <f t="shared" si="4"/>
        <v/>
      </c>
      <c r="D110" s="11" t="str">
        <f t="shared" si="5"/>
        <v/>
      </c>
      <c r="E110" s="45"/>
      <c r="F110" s="11" t="str">
        <f>IFERROR(VLOOKUP(E110,Category!$D$2:$E$600,2,FALSE),"")</f>
        <v/>
      </c>
      <c r="G110" s="45"/>
      <c r="H110" s="73"/>
      <c r="I110" s="18" t="str">
        <f t="shared" si="6"/>
        <v/>
      </c>
      <c r="J110" s="45"/>
      <c r="K110" s="45"/>
    </row>
    <row r="111" spans="1:11">
      <c r="A111" s="17" t="str">
        <f t="shared" si="7"/>
        <v/>
      </c>
      <c r="B111" s="53"/>
      <c r="C111" s="11" t="str">
        <f t="shared" si="4"/>
        <v/>
      </c>
      <c r="D111" s="11" t="str">
        <f t="shared" si="5"/>
        <v/>
      </c>
      <c r="E111" s="45"/>
      <c r="F111" s="11" t="str">
        <f>IFERROR(VLOOKUP(E111,Category!$D$2:$E$600,2,FALSE),"")</f>
        <v/>
      </c>
      <c r="G111" s="45"/>
      <c r="H111" s="73"/>
      <c r="I111" s="18" t="str">
        <f t="shared" si="6"/>
        <v/>
      </c>
      <c r="J111" s="45"/>
      <c r="K111" s="45"/>
    </row>
    <row r="112" spans="1:11">
      <c r="A112" s="17" t="str">
        <f t="shared" si="7"/>
        <v/>
      </c>
      <c r="B112" s="53"/>
      <c r="C112" s="11" t="str">
        <f t="shared" si="4"/>
        <v/>
      </c>
      <c r="D112" s="11" t="str">
        <f t="shared" si="5"/>
        <v/>
      </c>
      <c r="E112" s="45"/>
      <c r="F112" s="11" t="str">
        <f>IFERROR(VLOOKUP(E112,Category!$D$2:$E$600,2,FALSE),"")</f>
        <v/>
      </c>
      <c r="G112" s="45"/>
      <c r="H112" s="73"/>
      <c r="I112" s="18" t="str">
        <f t="shared" si="6"/>
        <v/>
      </c>
      <c r="J112" s="45"/>
      <c r="K112" s="45"/>
    </row>
    <row r="113" spans="1:11">
      <c r="A113" s="17" t="str">
        <f t="shared" si="7"/>
        <v/>
      </c>
      <c r="B113" s="53"/>
      <c r="C113" s="11" t="str">
        <f t="shared" si="4"/>
        <v/>
      </c>
      <c r="D113" s="11" t="str">
        <f t="shared" si="5"/>
        <v/>
      </c>
      <c r="E113" s="45"/>
      <c r="F113" s="11" t="str">
        <f>IFERROR(VLOOKUP(E113,Category!$D$2:$E$600,2,FALSE),"")</f>
        <v/>
      </c>
      <c r="G113" s="45"/>
      <c r="H113" s="73"/>
      <c r="I113" s="18" t="str">
        <f t="shared" si="6"/>
        <v/>
      </c>
      <c r="J113" s="45"/>
      <c r="K113" s="45"/>
    </row>
    <row r="114" spans="1:11">
      <c r="A114" s="17" t="str">
        <f t="shared" si="7"/>
        <v/>
      </c>
      <c r="B114" s="53"/>
      <c r="C114" s="11" t="str">
        <f t="shared" si="4"/>
        <v/>
      </c>
      <c r="D114" s="11" t="str">
        <f t="shared" si="5"/>
        <v/>
      </c>
      <c r="E114" s="45"/>
      <c r="F114" s="11" t="str">
        <f>IFERROR(VLOOKUP(E114,Category!$D$2:$E$600,2,FALSE),"")</f>
        <v/>
      </c>
      <c r="G114" s="45"/>
      <c r="H114" s="73"/>
      <c r="I114" s="18" t="str">
        <f t="shared" si="6"/>
        <v/>
      </c>
      <c r="J114" s="45"/>
      <c r="K114" s="45"/>
    </row>
    <row r="115" spans="1:11">
      <c r="A115" s="17" t="str">
        <f t="shared" si="7"/>
        <v/>
      </c>
      <c r="B115" s="53"/>
      <c r="C115" s="11" t="str">
        <f t="shared" si="4"/>
        <v/>
      </c>
      <c r="D115" s="11" t="str">
        <f t="shared" si="5"/>
        <v/>
      </c>
      <c r="E115" s="45"/>
      <c r="F115" s="11" t="str">
        <f>IFERROR(VLOOKUP(E115,Category!$D$2:$E$600,2,FALSE),"")</f>
        <v/>
      </c>
      <c r="G115" s="45"/>
      <c r="H115" s="73"/>
      <c r="I115" s="18" t="str">
        <f t="shared" si="6"/>
        <v/>
      </c>
      <c r="J115" s="45"/>
      <c r="K115" s="45"/>
    </row>
    <row r="116" spans="1:11">
      <c r="A116" s="17" t="str">
        <f t="shared" si="7"/>
        <v/>
      </c>
      <c r="B116" s="53"/>
      <c r="C116" s="11" t="str">
        <f t="shared" si="4"/>
        <v/>
      </c>
      <c r="D116" s="11" t="str">
        <f t="shared" si="5"/>
        <v/>
      </c>
      <c r="E116" s="45"/>
      <c r="F116" s="11" t="str">
        <f>IFERROR(VLOOKUP(E116,Category!$D$2:$E$600,2,FALSE),"")</f>
        <v/>
      </c>
      <c r="G116" s="45"/>
      <c r="H116" s="73"/>
      <c r="I116" s="18" t="str">
        <f t="shared" si="6"/>
        <v/>
      </c>
      <c r="J116" s="45"/>
      <c r="K116" s="45"/>
    </row>
    <row r="117" spans="1:11">
      <c r="A117" s="17" t="str">
        <f t="shared" si="7"/>
        <v/>
      </c>
      <c r="B117" s="53"/>
      <c r="C117" s="11" t="str">
        <f t="shared" si="4"/>
        <v/>
      </c>
      <c r="D117" s="11" t="str">
        <f t="shared" si="5"/>
        <v/>
      </c>
      <c r="E117" s="45"/>
      <c r="F117" s="11" t="str">
        <f>IFERROR(VLOOKUP(E117,Category!$D$2:$E$600,2,FALSE),"")</f>
        <v/>
      </c>
      <c r="G117" s="45"/>
      <c r="H117" s="73"/>
      <c r="I117" s="18" t="str">
        <f t="shared" si="6"/>
        <v/>
      </c>
      <c r="J117" s="45"/>
      <c r="K117" s="45"/>
    </row>
    <row r="118" spans="1:11">
      <c r="A118" s="17" t="str">
        <f t="shared" si="7"/>
        <v/>
      </c>
      <c r="B118" s="53"/>
      <c r="C118" s="11" t="str">
        <f t="shared" si="4"/>
        <v/>
      </c>
      <c r="D118" s="11" t="str">
        <f t="shared" si="5"/>
        <v/>
      </c>
      <c r="E118" s="45"/>
      <c r="F118" s="11" t="str">
        <f>IFERROR(VLOOKUP(E118,Category!$D$2:$E$600,2,FALSE),"")</f>
        <v/>
      </c>
      <c r="G118" s="45"/>
      <c r="H118" s="73"/>
      <c r="I118" s="18" t="str">
        <f t="shared" si="6"/>
        <v/>
      </c>
      <c r="J118" s="45"/>
      <c r="K118" s="45"/>
    </row>
    <row r="119" spans="1:11">
      <c r="A119" s="17" t="str">
        <f t="shared" si="7"/>
        <v/>
      </c>
      <c r="B119" s="53"/>
      <c r="C119" s="11" t="str">
        <f t="shared" si="4"/>
        <v/>
      </c>
      <c r="D119" s="11" t="str">
        <f t="shared" si="5"/>
        <v/>
      </c>
      <c r="E119" s="45"/>
      <c r="F119" s="11" t="str">
        <f>IFERROR(VLOOKUP(E119,Category!$D$2:$E$600,2,FALSE),"")</f>
        <v/>
      </c>
      <c r="G119" s="45"/>
      <c r="H119" s="73"/>
      <c r="I119" s="18" t="str">
        <f t="shared" si="6"/>
        <v/>
      </c>
      <c r="J119" s="45"/>
      <c r="K119" s="45"/>
    </row>
    <row r="120" spans="1:11">
      <c r="A120" s="17" t="str">
        <f t="shared" si="7"/>
        <v/>
      </c>
      <c r="B120" s="53"/>
      <c r="C120" s="11" t="str">
        <f t="shared" si="4"/>
        <v/>
      </c>
      <c r="D120" s="11" t="str">
        <f t="shared" si="5"/>
        <v/>
      </c>
      <c r="E120" s="45"/>
      <c r="F120" s="11" t="str">
        <f>IFERROR(VLOOKUP(E120,Category!$D$2:$E$600,2,FALSE),"")</f>
        <v/>
      </c>
      <c r="G120" s="45"/>
      <c r="H120" s="73"/>
      <c r="I120" s="18" t="str">
        <f t="shared" si="6"/>
        <v/>
      </c>
      <c r="J120" s="45"/>
      <c r="K120" s="45"/>
    </row>
    <row r="121" spans="1:11">
      <c r="A121" s="17" t="str">
        <f t="shared" si="7"/>
        <v/>
      </c>
      <c r="B121" s="53"/>
      <c r="C121" s="11" t="str">
        <f t="shared" si="4"/>
        <v/>
      </c>
      <c r="D121" s="11" t="str">
        <f t="shared" si="5"/>
        <v/>
      </c>
      <c r="E121" s="45"/>
      <c r="F121" s="11" t="str">
        <f>IFERROR(VLOOKUP(E121,Category!$D$2:$E$600,2,FALSE),"")</f>
        <v/>
      </c>
      <c r="G121" s="45"/>
      <c r="H121" s="73"/>
      <c r="I121" s="18" t="str">
        <f t="shared" si="6"/>
        <v/>
      </c>
      <c r="J121" s="45"/>
      <c r="K121" s="45"/>
    </row>
    <row r="122" spans="1:11">
      <c r="A122" s="17" t="str">
        <f t="shared" si="7"/>
        <v/>
      </c>
      <c r="B122" s="53"/>
      <c r="C122" s="11" t="str">
        <f t="shared" si="4"/>
        <v/>
      </c>
      <c r="D122" s="11" t="str">
        <f t="shared" si="5"/>
        <v/>
      </c>
      <c r="E122" s="45"/>
      <c r="F122" s="11" t="str">
        <f>IFERROR(VLOOKUP(E122,Category!$D$2:$E$600,2,FALSE),"")</f>
        <v/>
      </c>
      <c r="G122" s="45"/>
      <c r="H122" s="73"/>
      <c r="I122" s="18" t="str">
        <f t="shared" si="6"/>
        <v/>
      </c>
      <c r="J122" s="45"/>
      <c r="K122" s="45"/>
    </row>
    <row r="123" spans="1:11">
      <c r="A123" s="17" t="str">
        <f t="shared" si="7"/>
        <v/>
      </c>
      <c r="B123" s="53"/>
      <c r="C123" s="11" t="str">
        <f t="shared" si="4"/>
        <v/>
      </c>
      <c r="D123" s="11" t="str">
        <f t="shared" si="5"/>
        <v/>
      </c>
      <c r="E123" s="45"/>
      <c r="F123" s="11" t="str">
        <f>IFERROR(VLOOKUP(E123,Category!$D$2:$E$600,2,FALSE),"")</f>
        <v/>
      </c>
      <c r="G123" s="45"/>
      <c r="H123" s="73"/>
      <c r="I123" s="18" t="str">
        <f t="shared" si="6"/>
        <v/>
      </c>
      <c r="J123" s="45"/>
      <c r="K123" s="45"/>
    </row>
    <row r="124" spans="1:11">
      <c r="A124" s="17" t="str">
        <f t="shared" si="7"/>
        <v/>
      </c>
      <c r="B124" s="53"/>
      <c r="C124" s="11" t="str">
        <f t="shared" si="4"/>
        <v/>
      </c>
      <c r="D124" s="11" t="str">
        <f t="shared" si="5"/>
        <v/>
      </c>
      <c r="E124" s="45"/>
      <c r="F124" s="11" t="str">
        <f>IFERROR(VLOOKUP(E124,Category!$D$2:$E$600,2,FALSE),"")</f>
        <v/>
      </c>
      <c r="G124" s="45"/>
      <c r="H124" s="73"/>
      <c r="I124" s="18" t="str">
        <f t="shared" si="6"/>
        <v/>
      </c>
      <c r="J124" s="45"/>
      <c r="K124" s="45"/>
    </row>
    <row r="125" spans="1:11">
      <c r="A125" s="17" t="str">
        <f t="shared" si="7"/>
        <v/>
      </c>
      <c r="B125" s="53"/>
      <c r="C125" s="11" t="str">
        <f t="shared" si="4"/>
        <v/>
      </c>
      <c r="D125" s="11" t="str">
        <f t="shared" si="5"/>
        <v/>
      </c>
      <c r="E125" s="45"/>
      <c r="F125" s="11" t="str">
        <f>IFERROR(VLOOKUP(E125,Category!$D$2:$E$600,2,FALSE),"")</f>
        <v/>
      </c>
      <c r="G125" s="45"/>
      <c r="H125" s="73"/>
      <c r="I125" s="18" t="str">
        <f t="shared" si="6"/>
        <v/>
      </c>
      <c r="J125" s="45"/>
      <c r="K125" s="45"/>
    </row>
    <row r="126" spans="1:11">
      <c r="A126" s="17" t="str">
        <f t="shared" si="7"/>
        <v/>
      </c>
      <c r="B126" s="53"/>
      <c r="C126" s="11" t="str">
        <f t="shared" si="4"/>
        <v/>
      </c>
      <c r="D126" s="11" t="str">
        <f t="shared" si="5"/>
        <v/>
      </c>
      <c r="E126" s="45"/>
      <c r="F126" s="11" t="str">
        <f>IFERROR(VLOOKUP(E126,Category!$D$2:$E$600,2,FALSE),"")</f>
        <v/>
      </c>
      <c r="G126" s="45"/>
      <c r="H126" s="73"/>
      <c r="I126" s="18" t="str">
        <f t="shared" si="6"/>
        <v/>
      </c>
      <c r="J126" s="45"/>
      <c r="K126" s="45"/>
    </row>
    <row r="127" spans="1:11">
      <c r="A127" s="17" t="str">
        <f t="shared" si="7"/>
        <v/>
      </c>
      <c r="B127" s="53"/>
      <c r="C127" s="11" t="str">
        <f t="shared" si="4"/>
        <v/>
      </c>
      <c r="D127" s="11" t="str">
        <f t="shared" si="5"/>
        <v/>
      </c>
      <c r="E127" s="45"/>
      <c r="F127" s="11" t="str">
        <f>IFERROR(VLOOKUP(E127,Category!$D$2:$E$600,2,FALSE),"")</f>
        <v/>
      </c>
      <c r="G127" s="45"/>
      <c r="H127" s="73"/>
      <c r="I127" s="18" t="str">
        <f t="shared" si="6"/>
        <v/>
      </c>
      <c r="J127" s="45"/>
      <c r="K127" s="45"/>
    </row>
    <row r="128" spans="1:11">
      <c r="A128" s="17" t="str">
        <f t="shared" si="7"/>
        <v/>
      </c>
      <c r="B128" s="53"/>
      <c r="C128" s="11" t="str">
        <f t="shared" si="4"/>
        <v/>
      </c>
      <c r="D128" s="11" t="str">
        <f t="shared" si="5"/>
        <v/>
      </c>
      <c r="E128" s="45"/>
      <c r="F128" s="11" t="str">
        <f>IFERROR(VLOOKUP(E128,Category!$D$2:$E$600,2,FALSE),"")</f>
        <v/>
      </c>
      <c r="G128" s="45"/>
      <c r="H128" s="73"/>
      <c r="I128" s="18" t="str">
        <f t="shared" si="6"/>
        <v/>
      </c>
      <c r="J128" s="45"/>
      <c r="K128" s="45"/>
    </row>
    <row r="129" spans="1:11">
      <c r="A129" s="17" t="str">
        <f t="shared" si="7"/>
        <v/>
      </c>
      <c r="B129" s="53"/>
      <c r="C129" s="11" t="str">
        <f t="shared" si="4"/>
        <v/>
      </c>
      <c r="D129" s="11" t="str">
        <f t="shared" si="5"/>
        <v/>
      </c>
      <c r="E129" s="45"/>
      <c r="F129" s="11" t="str">
        <f>IFERROR(VLOOKUP(E129,Category!$D$2:$E$600,2,FALSE),"")</f>
        <v/>
      </c>
      <c r="G129" s="45"/>
      <c r="H129" s="73"/>
      <c r="I129" s="18" t="str">
        <f t="shared" si="6"/>
        <v/>
      </c>
      <c r="J129" s="45"/>
      <c r="K129" s="45"/>
    </row>
    <row r="130" spans="1:11">
      <c r="A130" s="17" t="str">
        <f t="shared" si="7"/>
        <v/>
      </c>
      <c r="B130" s="53"/>
      <c r="C130" s="11" t="str">
        <f t="shared" si="4"/>
        <v/>
      </c>
      <c r="D130" s="11" t="str">
        <f t="shared" si="5"/>
        <v/>
      </c>
      <c r="E130" s="45"/>
      <c r="F130" s="11" t="str">
        <f>IFERROR(VLOOKUP(E130,Category!$D$2:$E$600,2,FALSE),"")</f>
        <v/>
      </c>
      <c r="G130" s="45"/>
      <c r="H130" s="73"/>
      <c r="I130" s="18" t="str">
        <f t="shared" si="6"/>
        <v/>
      </c>
      <c r="J130" s="45"/>
      <c r="K130" s="45"/>
    </row>
    <row r="131" spans="1:11">
      <c r="A131" s="17" t="str">
        <f t="shared" si="7"/>
        <v/>
      </c>
      <c r="B131" s="53"/>
      <c r="C131" s="11" t="str">
        <f t="shared" ref="C131:C194" si="8">IF(B131=0,"",TEXT(B131,"mmmm"))</f>
        <v/>
      </c>
      <c r="D131" s="11" t="str">
        <f t="shared" ref="D131:D194" si="9">IF(B131=0,"",TEXT(B131,"yyyy"))</f>
        <v/>
      </c>
      <c r="E131" s="45"/>
      <c r="F131" s="11" t="str">
        <f>IFERROR(VLOOKUP(E131,Category!$D$2:$E$600,2,FALSE),"")</f>
        <v/>
      </c>
      <c r="G131" s="45"/>
      <c r="H131" s="73"/>
      <c r="I131" s="18" t="str">
        <f t="shared" ref="I131:I194" si="10">IF(G131*H131=0,"",G131*H131)</f>
        <v/>
      </c>
      <c r="J131" s="45"/>
      <c r="K131" s="45"/>
    </row>
    <row r="132" spans="1:11">
      <c r="A132" s="17" t="str">
        <f t="shared" ref="A132:A195" si="11">IF(E132&gt;0,A131+1,"")</f>
        <v/>
      </c>
      <c r="B132" s="53"/>
      <c r="C132" s="11" t="str">
        <f t="shared" si="8"/>
        <v/>
      </c>
      <c r="D132" s="11" t="str">
        <f t="shared" si="9"/>
        <v/>
      </c>
      <c r="E132" s="45"/>
      <c r="F132" s="11" t="str">
        <f>IFERROR(VLOOKUP(E132,Category!$D$2:$E$600,2,FALSE),"")</f>
        <v/>
      </c>
      <c r="G132" s="45"/>
      <c r="H132" s="73"/>
      <c r="I132" s="18" t="str">
        <f t="shared" si="10"/>
        <v/>
      </c>
      <c r="J132" s="45"/>
      <c r="K132" s="45"/>
    </row>
    <row r="133" spans="1:11">
      <c r="A133" s="17" t="str">
        <f t="shared" si="11"/>
        <v/>
      </c>
      <c r="B133" s="53"/>
      <c r="C133" s="11" t="str">
        <f t="shared" si="8"/>
        <v/>
      </c>
      <c r="D133" s="11" t="str">
        <f t="shared" si="9"/>
        <v/>
      </c>
      <c r="E133" s="45"/>
      <c r="F133" s="11" t="str">
        <f>IFERROR(VLOOKUP(E133,Category!$D$2:$E$600,2,FALSE),"")</f>
        <v/>
      </c>
      <c r="G133" s="45"/>
      <c r="H133" s="73"/>
      <c r="I133" s="18" t="str">
        <f t="shared" si="10"/>
        <v/>
      </c>
      <c r="J133" s="45"/>
      <c r="K133" s="45"/>
    </row>
    <row r="134" spans="1:11">
      <c r="A134" s="17" t="str">
        <f t="shared" si="11"/>
        <v/>
      </c>
      <c r="B134" s="53"/>
      <c r="C134" s="11" t="str">
        <f t="shared" si="8"/>
        <v/>
      </c>
      <c r="D134" s="11" t="str">
        <f t="shared" si="9"/>
        <v/>
      </c>
      <c r="E134" s="45"/>
      <c r="F134" s="11" t="str">
        <f>IFERROR(VLOOKUP(E134,Category!$D$2:$E$600,2,FALSE),"")</f>
        <v/>
      </c>
      <c r="G134" s="45"/>
      <c r="H134" s="73"/>
      <c r="I134" s="18" t="str">
        <f t="shared" si="10"/>
        <v/>
      </c>
      <c r="J134" s="45"/>
      <c r="K134" s="45"/>
    </row>
    <row r="135" spans="1:11">
      <c r="A135" s="17" t="str">
        <f t="shared" si="11"/>
        <v/>
      </c>
      <c r="B135" s="53"/>
      <c r="C135" s="11" t="str">
        <f t="shared" si="8"/>
        <v/>
      </c>
      <c r="D135" s="11" t="str">
        <f t="shared" si="9"/>
        <v/>
      </c>
      <c r="E135" s="45"/>
      <c r="F135" s="11" t="str">
        <f>IFERROR(VLOOKUP(E135,Category!$D$2:$E$600,2,FALSE),"")</f>
        <v/>
      </c>
      <c r="G135" s="45"/>
      <c r="H135" s="73"/>
      <c r="I135" s="18" t="str">
        <f t="shared" si="10"/>
        <v/>
      </c>
      <c r="J135" s="45"/>
      <c r="K135" s="45"/>
    </row>
    <row r="136" spans="1:11">
      <c r="A136" s="17" t="str">
        <f t="shared" si="11"/>
        <v/>
      </c>
      <c r="B136" s="53"/>
      <c r="C136" s="11" t="str">
        <f t="shared" si="8"/>
        <v/>
      </c>
      <c r="D136" s="11" t="str">
        <f t="shared" si="9"/>
        <v/>
      </c>
      <c r="E136" s="45"/>
      <c r="F136" s="11" t="str">
        <f>IFERROR(VLOOKUP(E136,Category!$D$2:$E$600,2,FALSE),"")</f>
        <v/>
      </c>
      <c r="G136" s="45"/>
      <c r="H136" s="73"/>
      <c r="I136" s="18" t="str">
        <f t="shared" si="10"/>
        <v/>
      </c>
      <c r="J136" s="45"/>
      <c r="K136" s="45"/>
    </row>
    <row r="137" spans="1:11">
      <c r="A137" s="17" t="str">
        <f t="shared" si="11"/>
        <v/>
      </c>
      <c r="B137" s="53"/>
      <c r="C137" s="11" t="str">
        <f t="shared" si="8"/>
        <v/>
      </c>
      <c r="D137" s="11" t="str">
        <f t="shared" si="9"/>
        <v/>
      </c>
      <c r="E137" s="45"/>
      <c r="F137" s="11" t="str">
        <f>IFERROR(VLOOKUP(E137,Category!$D$2:$E$600,2,FALSE),"")</f>
        <v/>
      </c>
      <c r="G137" s="45"/>
      <c r="H137" s="73"/>
      <c r="I137" s="18" t="str">
        <f t="shared" si="10"/>
        <v/>
      </c>
      <c r="J137" s="45"/>
      <c r="K137" s="45"/>
    </row>
    <row r="138" spans="1:11">
      <c r="A138" s="17" t="str">
        <f t="shared" si="11"/>
        <v/>
      </c>
      <c r="B138" s="53"/>
      <c r="C138" s="11" t="str">
        <f t="shared" si="8"/>
        <v/>
      </c>
      <c r="D138" s="11" t="str">
        <f t="shared" si="9"/>
        <v/>
      </c>
      <c r="E138" s="45"/>
      <c r="F138" s="11" t="str">
        <f>IFERROR(VLOOKUP(E138,Category!$D$2:$E$600,2,FALSE),"")</f>
        <v/>
      </c>
      <c r="G138" s="45"/>
      <c r="H138" s="73"/>
      <c r="I138" s="18" t="str">
        <f t="shared" si="10"/>
        <v/>
      </c>
      <c r="J138" s="45"/>
      <c r="K138" s="45"/>
    </row>
    <row r="139" spans="1:11">
      <c r="A139" s="17" t="str">
        <f t="shared" si="11"/>
        <v/>
      </c>
      <c r="B139" s="53"/>
      <c r="C139" s="11" t="str">
        <f t="shared" si="8"/>
        <v/>
      </c>
      <c r="D139" s="11" t="str">
        <f t="shared" si="9"/>
        <v/>
      </c>
      <c r="E139" s="45"/>
      <c r="F139" s="11" t="str">
        <f>IFERROR(VLOOKUP(E139,Category!$D$2:$E$600,2,FALSE),"")</f>
        <v/>
      </c>
      <c r="G139" s="45"/>
      <c r="H139" s="73"/>
      <c r="I139" s="18" t="str">
        <f t="shared" si="10"/>
        <v/>
      </c>
      <c r="J139" s="45"/>
      <c r="K139" s="45"/>
    </row>
    <row r="140" spans="1:11">
      <c r="A140" s="17" t="str">
        <f t="shared" si="11"/>
        <v/>
      </c>
      <c r="B140" s="53"/>
      <c r="C140" s="11" t="str">
        <f t="shared" si="8"/>
        <v/>
      </c>
      <c r="D140" s="11" t="str">
        <f t="shared" si="9"/>
        <v/>
      </c>
      <c r="E140" s="45"/>
      <c r="F140" s="11" t="str">
        <f>IFERROR(VLOOKUP(E140,Category!$D$2:$E$600,2,FALSE),"")</f>
        <v/>
      </c>
      <c r="G140" s="45"/>
      <c r="H140" s="73"/>
      <c r="I140" s="18" t="str">
        <f t="shared" si="10"/>
        <v/>
      </c>
      <c r="J140" s="45"/>
      <c r="K140" s="45"/>
    </row>
    <row r="141" spans="1:11">
      <c r="A141" s="17" t="str">
        <f t="shared" si="11"/>
        <v/>
      </c>
      <c r="B141" s="53"/>
      <c r="C141" s="11" t="str">
        <f t="shared" si="8"/>
        <v/>
      </c>
      <c r="D141" s="11" t="str">
        <f t="shared" si="9"/>
        <v/>
      </c>
      <c r="E141" s="45"/>
      <c r="F141" s="11" t="str">
        <f>IFERROR(VLOOKUP(E141,Category!$D$2:$E$600,2,FALSE),"")</f>
        <v/>
      </c>
      <c r="G141" s="45"/>
      <c r="H141" s="73"/>
      <c r="I141" s="18" t="str">
        <f t="shared" si="10"/>
        <v/>
      </c>
      <c r="J141" s="45"/>
      <c r="K141" s="45"/>
    </row>
    <row r="142" spans="1:11">
      <c r="A142" s="17" t="str">
        <f t="shared" si="11"/>
        <v/>
      </c>
      <c r="B142" s="53"/>
      <c r="C142" s="11" t="str">
        <f t="shared" si="8"/>
        <v/>
      </c>
      <c r="D142" s="11" t="str">
        <f t="shared" si="9"/>
        <v/>
      </c>
      <c r="E142" s="45"/>
      <c r="F142" s="11" t="str">
        <f>IFERROR(VLOOKUP(E142,Category!$D$2:$E$600,2,FALSE),"")</f>
        <v/>
      </c>
      <c r="G142" s="45"/>
      <c r="H142" s="73"/>
      <c r="I142" s="18" t="str">
        <f t="shared" si="10"/>
        <v/>
      </c>
      <c r="J142" s="45"/>
      <c r="K142" s="45"/>
    </row>
    <row r="143" spans="1:11">
      <c r="A143" s="17" t="str">
        <f t="shared" si="11"/>
        <v/>
      </c>
      <c r="B143" s="53"/>
      <c r="C143" s="11" t="str">
        <f t="shared" si="8"/>
        <v/>
      </c>
      <c r="D143" s="11" t="str">
        <f t="shared" si="9"/>
        <v/>
      </c>
      <c r="E143" s="45"/>
      <c r="F143" s="11" t="str">
        <f>IFERROR(VLOOKUP(E143,Category!$D$2:$E$600,2,FALSE),"")</f>
        <v/>
      </c>
      <c r="G143" s="45"/>
      <c r="H143" s="73"/>
      <c r="I143" s="18" t="str">
        <f t="shared" si="10"/>
        <v/>
      </c>
      <c r="J143" s="45"/>
      <c r="K143" s="45"/>
    </row>
    <row r="144" spans="1:11">
      <c r="A144" s="17" t="str">
        <f t="shared" si="11"/>
        <v/>
      </c>
      <c r="B144" s="53"/>
      <c r="C144" s="11" t="str">
        <f t="shared" si="8"/>
        <v/>
      </c>
      <c r="D144" s="11" t="str">
        <f t="shared" si="9"/>
        <v/>
      </c>
      <c r="E144" s="45"/>
      <c r="F144" s="11" t="str">
        <f>IFERROR(VLOOKUP(E144,Category!$D$2:$E$600,2,FALSE),"")</f>
        <v/>
      </c>
      <c r="G144" s="45"/>
      <c r="H144" s="73"/>
      <c r="I144" s="18" t="str">
        <f t="shared" si="10"/>
        <v/>
      </c>
      <c r="J144" s="45"/>
      <c r="K144" s="45"/>
    </row>
    <row r="145" spans="1:11">
      <c r="A145" s="17" t="str">
        <f t="shared" si="11"/>
        <v/>
      </c>
      <c r="B145" s="53"/>
      <c r="C145" s="11" t="str">
        <f t="shared" si="8"/>
        <v/>
      </c>
      <c r="D145" s="11" t="str">
        <f t="shared" si="9"/>
        <v/>
      </c>
      <c r="E145" s="45"/>
      <c r="F145" s="11" t="str">
        <f>IFERROR(VLOOKUP(E145,Category!$D$2:$E$600,2,FALSE),"")</f>
        <v/>
      </c>
      <c r="G145" s="45"/>
      <c r="H145" s="73"/>
      <c r="I145" s="18" t="str">
        <f t="shared" si="10"/>
        <v/>
      </c>
      <c r="J145" s="45"/>
      <c r="K145" s="45"/>
    </row>
    <row r="146" spans="1:11">
      <c r="A146" s="17" t="str">
        <f t="shared" si="11"/>
        <v/>
      </c>
      <c r="B146" s="53"/>
      <c r="C146" s="11" t="str">
        <f t="shared" si="8"/>
        <v/>
      </c>
      <c r="D146" s="11" t="str">
        <f t="shared" si="9"/>
        <v/>
      </c>
      <c r="E146" s="45"/>
      <c r="F146" s="11" t="str">
        <f>IFERROR(VLOOKUP(E146,Category!$D$2:$E$600,2,FALSE),"")</f>
        <v/>
      </c>
      <c r="G146" s="45"/>
      <c r="H146" s="73"/>
      <c r="I146" s="18" t="str">
        <f t="shared" si="10"/>
        <v/>
      </c>
      <c r="J146" s="45"/>
      <c r="K146" s="45"/>
    </row>
    <row r="147" spans="1:11">
      <c r="A147" s="17" t="str">
        <f t="shared" si="11"/>
        <v/>
      </c>
      <c r="B147" s="53"/>
      <c r="C147" s="11" t="str">
        <f t="shared" si="8"/>
        <v/>
      </c>
      <c r="D147" s="11" t="str">
        <f t="shared" si="9"/>
        <v/>
      </c>
      <c r="E147" s="45"/>
      <c r="F147" s="11" t="str">
        <f>IFERROR(VLOOKUP(E147,Category!$D$2:$E$600,2,FALSE),"")</f>
        <v/>
      </c>
      <c r="G147" s="45"/>
      <c r="H147" s="73"/>
      <c r="I147" s="18" t="str">
        <f t="shared" si="10"/>
        <v/>
      </c>
      <c r="J147" s="45"/>
      <c r="K147" s="45"/>
    </row>
    <row r="148" spans="1:11">
      <c r="A148" s="17" t="str">
        <f t="shared" si="11"/>
        <v/>
      </c>
      <c r="B148" s="53"/>
      <c r="C148" s="11" t="str">
        <f t="shared" si="8"/>
        <v/>
      </c>
      <c r="D148" s="11" t="str">
        <f t="shared" si="9"/>
        <v/>
      </c>
      <c r="E148" s="45"/>
      <c r="F148" s="11" t="str">
        <f>IFERROR(VLOOKUP(E148,Category!$D$2:$E$600,2,FALSE),"")</f>
        <v/>
      </c>
      <c r="G148" s="45"/>
      <c r="H148" s="73"/>
      <c r="I148" s="18" t="str">
        <f t="shared" si="10"/>
        <v/>
      </c>
      <c r="J148" s="45"/>
      <c r="K148" s="45"/>
    </row>
    <row r="149" spans="1:11">
      <c r="A149" s="17" t="str">
        <f t="shared" si="11"/>
        <v/>
      </c>
      <c r="B149" s="53"/>
      <c r="C149" s="11" t="str">
        <f t="shared" si="8"/>
        <v/>
      </c>
      <c r="D149" s="11" t="str">
        <f t="shared" si="9"/>
        <v/>
      </c>
      <c r="E149" s="45"/>
      <c r="F149" s="11" t="str">
        <f>IFERROR(VLOOKUP(E149,Category!$D$2:$E$600,2,FALSE),"")</f>
        <v/>
      </c>
      <c r="G149" s="45"/>
      <c r="H149" s="73"/>
      <c r="I149" s="18" t="str">
        <f t="shared" si="10"/>
        <v/>
      </c>
      <c r="J149" s="45"/>
      <c r="K149" s="45"/>
    </row>
    <row r="150" spans="1:11">
      <c r="A150" s="17" t="str">
        <f t="shared" si="11"/>
        <v/>
      </c>
      <c r="B150" s="53"/>
      <c r="C150" s="11" t="str">
        <f t="shared" si="8"/>
        <v/>
      </c>
      <c r="D150" s="11" t="str">
        <f t="shared" si="9"/>
        <v/>
      </c>
      <c r="E150" s="45"/>
      <c r="F150" s="11" t="str">
        <f>IFERROR(VLOOKUP(E150,Category!$D$2:$E$600,2,FALSE),"")</f>
        <v/>
      </c>
      <c r="G150" s="45"/>
      <c r="H150" s="73"/>
      <c r="I150" s="18" t="str">
        <f t="shared" si="10"/>
        <v/>
      </c>
      <c r="J150" s="45"/>
      <c r="K150" s="45"/>
    </row>
    <row r="151" spans="1:11">
      <c r="A151" s="17" t="str">
        <f t="shared" si="11"/>
        <v/>
      </c>
      <c r="B151" s="53"/>
      <c r="C151" s="11" t="str">
        <f t="shared" si="8"/>
        <v/>
      </c>
      <c r="D151" s="11" t="str">
        <f t="shared" si="9"/>
        <v/>
      </c>
      <c r="E151" s="45"/>
      <c r="F151" s="11" t="str">
        <f>IFERROR(VLOOKUP(E151,Category!$D$2:$E$600,2,FALSE),"")</f>
        <v/>
      </c>
      <c r="G151" s="45"/>
      <c r="H151" s="73"/>
      <c r="I151" s="18" t="str">
        <f t="shared" si="10"/>
        <v/>
      </c>
      <c r="J151" s="45"/>
      <c r="K151" s="45"/>
    </row>
    <row r="152" spans="1:11">
      <c r="A152" s="17" t="str">
        <f t="shared" si="11"/>
        <v/>
      </c>
      <c r="B152" s="53"/>
      <c r="C152" s="11" t="str">
        <f t="shared" si="8"/>
        <v/>
      </c>
      <c r="D152" s="11" t="str">
        <f t="shared" si="9"/>
        <v/>
      </c>
      <c r="E152" s="45"/>
      <c r="F152" s="11" t="str">
        <f>IFERROR(VLOOKUP(E152,Category!$D$2:$E$600,2,FALSE),"")</f>
        <v/>
      </c>
      <c r="G152" s="45"/>
      <c r="H152" s="73"/>
      <c r="I152" s="18" t="str">
        <f t="shared" si="10"/>
        <v/>
      </c>
      <c r="J152" s="45"/>
      <c r="K152" s="45"/>
    </row>
    <row r="153" spans="1:11">
      <c r="A153" s="17" t="str">
        <f t="shared" si="11"/>
        <v/>
      </c>
      <c r="B153" s="53"/>
      <c r="C153" s="11" t="str">
        <f t="shared" si="8"/>
        <v/>
      </c>
      <c r="D153" s="11" t="str">
        <f t="shared" si="9"/>
        <v/>
      </c>
      <c r="E153" s="45"/>
      <c r="F153" s="11" t="str">
        <f>IFERROR(VLOOKUP(E153,Category!$D$2:$E$600,2,FALSE),"")</f>
        <v/>
      </c>
      <c r="G153" s="45"/>
      <c r="H153" s="73"/>
      <c r="I153" s="18" t="str">
        <f t="shared" si="10"/>
        <v/>
      </c>
      <c r="J153" s="45"/>
      <c r="K153" s="45"/>
    </row>
    <row r="154" spans="1:11">
      <c r="A154" s="17" t="str">
        <f t="shared" si="11"/>
        <v/>
      </c>
      <c r="B154" s="53"/>
      <c r="C154" s="11" t="str">
        <f t="shared" si="8"/>
        <v/>
      </c>
      <c r="D154" s="11" t="str">
        <f t="shared" si="9"/>
        <v/>
      </c>
      <c r="E154" s="45"/>
      <c r="F154" s="11" t="str">
        <f>IFERROR(VLOOKUP(E154,Category!$D$2:$E$600,2,FALSE),"")</f>
        <v/>
      </c>
      <c r="G154" s="45"/>
      <c r="H154" s="73"/>
      <c r="I154" s="18" t="str">
        <f t="shared" si="10"/>
        <v/>
      </c>
      <c r="J154" s="45"/>
      <c r="K154" s="45"/>
    </row>
    <row r="155" spans="1:11">
      <c r="A155" s="17" t="str">
        <f t="shared" si="11"/>
        <v/>
      </c>
      <c r="B155" s="53"/>
      <c r="C155" s="11" t="str">
        <f t="shared" si="8"/>
        <v/>
      </c>
      <c r="D155" s="11" t="str">
        <f t="shared" si="9"/>
        <v/>
      </c>
      <c r="E155" s="45"/>
      <c r="F155" s="11" t="str">
        <f>IFERROR(VLOOKUP(E155,Category!$D$2:$E$600,2,FALSE),"")</f>
        <v/>
      </c>
      <c r="G155" s="45"/>
      <c r="H155" s="73"/>
      <c r="I155" s="18" t="str">
        <f t="shared" si="10"/>
        <v/>
      </c>
      <c r="J155" s="45"/>
      <c r="K155" s="45"/>
    </row>
    <row r="156" spans="1:11">
      <c r="A156" s="17" t="str">
        <f t="shared" si="11"/>
        <v/>
      </c>
      <c r="B156" s="53"/>
      <c r="C156" s="11" t="str">
        <f t="shared" si="8"/>
        <v/>
      </c>
      <c r="D156" s="11" t="str">
        <f t="shared" si="9"/>
        <v/>
      </c>
      <c r="E156" s="45"/>
      <c r="F156" s="11" t="str">
        <f>IFERROR(VLOOKUP(E156,Category!$D$2:$E$600,2,FALSE),"")</f>
        <v/>
      </c>
      <c r="G156" s="45"/>
      <c r="H156" s="73"/>
      <c r="I156" s="18" t="str">
        <f t="shared" si="10"/>
        <v/>
      </c>
      <c r="J156" s="45"/>
      <c r="K156" s="45"/>
    </row>
    <row r="157" spans="1:11">
      <c r="A157" s="17" t="str">
        <f t="shared" si="11"/>
        <v/>
      </c>
      <c r="B157" s="53"/>
      <c r="C157" s="11" t="str">
        <f t="shared" si="8"/>
        <v/>
      </c>
      <c r="D157" s="11" t="str">
        <f t="shared" si="9"/>
        <v/>
      </c>
      <c r="E157" s="45"/>
      <c r="F157" s="11" t="str">
        <f>IFERROR(VLOOKUP(E157,Category!$D$2:$E$600,2,FALSE),"")</f>
        <v/>
      </c>
      <c r="G157" s="45"/>
      <c r="H157" s="73"/>
      <c r="I157" s="18" t="str">
        <f t="shared" si="10"/>
        <v/>
      </c>
      <c r="J157" s="45"/>
      <c r="K157" s="45"/>
    </row>
    <row r="158" spans="1:11">
      <c r="A158" s="17" t="str">
        <f t="shared" si="11"/>
        <v/>
      </c>
      <c r="B158" s="53"/>
      <c r="C158" s="11" t="str">
        <f t="shared" si="8"/>
        <v/>
      </c>
      <c r="D158" s="11" t="str">
        <f t="shared" si="9"/>
        <v/>
      </c>
      <c r="E158" s="45"/>
      <c r="F158" s="11" t="str">
        <f>IFERROR(VLOOKUP(E158,Category!$D$2:$E$600,2,FALSE),"")</f>
        <v/>
      </c>
      <c r="G158" s="45"/>
      <c r="H158" s="73"/>
      <c r="I158" s="18" t="str">
        <f t="shared" si="10"/>
        <v/>
      </c>
      <c r="J158" s="45"/>
      <c r="K158" s="45"/>
    </row>
    <row r="159" spans="1:11">
      <c r="A159" s="17" t="str">
        <f t="shared" si="11"/>
        <v/>
      </c>
      <c r="B159" s="53"/>
      <c r="C159" s="11" t="str">
        <f t="shared" si="8"/>
        <v/>
      </c>
      <c r="D159" s="11" t="str">
        <f t="shared" si="9"/>
        <v/>
      </c>
      <c r="E159" s="45"/>
      <c r="F159" s="11" t="str">
        <f>IFERROR(VLOOKUP(E159,Category!$D$2:$E$600,2,FALSE),"")</f>
        <v/>
      </c>
      <c r="G159" s="45"/>
      <c r="H159" s="73"/>
      <c r="I159" s="18" t="str">
        <f t="shared" si="10"/>
        <v/>
      </c>
      <c r="J159" s="45"/>
      <c r="K159" s="45"/>
    </row>
    <row r="160" spans="1:11">
      <c r="A160" s="17" t="str">
        <f t="shared" si="11"/>
        <v/>
      </c>
      <c r="B160" s="53"/>
      <c r="C160" s="11" t="str">
        <f t="shared" si="8"/>
        <v/>
      </c>
      <c r="D160" s="11" t="str">
        <f t="shared" si="9"/>
        <v/>
      </c>
      <c r="E160" s="45"/>
      <c r="F160" s="11" t="str">
        <f>IFERROR(VLOOKUP(E160,Category!$D$2:$E$600,2,FALSE),"")</f>
        <v/>
      </c>
      <c r="G160" s="45"/>
      <c r="H160" s="73"/>
      <c r="I160" s="18" t="str">
        <f t="shared" si="10"/>
        <v/>
      </c>
      <c r="J160" s="45"/>
      <c r="K160" s="45"/>
    </row>
    <row r="161" spans="1:11">
      <c r="A161" s="17" t="str">
        <f t="shared" si="11"/>
        <v/>
      </c>
      <c r="B161" s="53"/>
      <c r="C161" s="11" t="str">
        <f t="shared" si="8"/>
        <v/>
      </c>
      <c r="D161" s="11" t="str">
        <f t="shared" si="9"/>
        <v/>
      </c>
      <c r="E161" s="45"/>
      <c r="F161" s="11" t="str">
        <f>IFERROR(VLOOKUP(E161,Category!$D$2:$E$600,2,FALSE),"")</f>
        <v/>
      </c>
      <c r="G161" s="45"/>
      <c r="H161" s="73"/>
      <c r="I161" s="18" t="str">
        <f t="shared" si="10"/>
        <v/>
      </c>
      <c r="J161" s="45"/>
      <c r="K161" s="45"/>
    </row>
    <row r="162" spans="1:11">
      <c r="A162" s="17" t="str">
        <f t="shared" si="11"/>
        <v/>
      </c>
      <c r="B162" s="53"/>
      <c r="C162" s="11" t="str">
        <f t="shared" si="8"/>
        <v/>
      </c>
      <c r="D162" s="11" t="str">
        <f t="shared" si="9"/>
        <v/>
      </c>
      <c r="E162" s="45"/>
      <c r="F162" s="11" t="str">
        <f>IFERROR(VLOOKUP(E162,Category!$D$2:$E$600,2,FALSE),"")</f>
        <v/>
      </c>
      <c r="G162" s="45"/>
      <c r="H162" s="73"/>
      <c r="I162" s="18" t="str">
        <f t="shared" si="10"/>
        <v/>
      </c>
      <c r="J162" s="45"/>
      <c r="K162" s="45"/>
    </row>
    <row r="163" spans="1:11">
      <c r="A163" s="17" t="str">
        <f t="shared" si="11"/>
        <v/>
      </c>
      <c r="B163" s="53"/>
      <c r="C163" s="11" t="str">
        <f t="shared" si="8"/>
        <v/>
      </c>
      <c r="D163" s="11" t="str">
        <f t="shared" si="9"/>
        <v/>
      </c>
      <c r="E163" s="45"/>
      <c r="F163" s="11" t="str">
        <f>IFERROR(VLOOKUP(E163,Category!$D$2:$E$600,2,FALSE),"")</f>
        <v/>
      </c>
      <c r="G163" s="45"/>
      <c r="H163" s="73"/>
      <c r="I163" s="18" t="str">
        <f t="shared" si="10"/>
        <v/>
      </c>
      <c r="J163" s="45"/>
      <c r="K163" s="45"/>
    </row>
    <row r="164" spans="1:11">
      <c r="A164" s="17" t="str">
        <f t="shared" si="11"/>
        <v/>
      </c>
      <c r="B164" s="53"/>
      <c r="C164" s="11" t="str">
        <f t="shared" si="8"/>
        <v/>
      </c>
      <c r="D164" s="11" t="str">
        <f t="shared" si="9"/>
        <v/>
      </c>
      <c r="E164" s="45"/>
      <c r="F164" s="11" t="str">
        <f>IFERROR(VLOOKUP(E164,Category!$D$2:$E$600,2,FALSE),"")</f>
        <v/>
      </c>
      <c r="G164" s="45"/>
      <c r="H164" s="73"/>
      <c r="I164" s="18" t="str">
        <f t="shared" si="10"/>
        <v/>
      </c>
      <c r="J164" s="45"/>
      <c r="K164" s="45"/>
    </row>
    <row r="165" spans="1:11">
      <c r="A165" s="17" t="str">
        <f t="shared" si="11"/>
        <v/>
      </c>
      <c r="B165" s="53"/>
      <c r="C165" s="11" t="str">
        <f t="shared" si="8"/>
        <v/>
      </c>
      <c r="D165" s="11" t="str">
        <f t="shared" si="9"/>
        <v/>
      </c>
      <c r="E165" s="45"/>
      <c r="F165" s="11" t="str">
        <f>IFERROR(VLOOKUP(E165,Category!$D$2:$E$600,2,FALSE),"")</f>
        <v/>
      </c>
      <c r="G165" s="45"/>
      <c r="H165" s="73"/>
      <c r="I165" s="18" t="str">
        <f t="shared" si="10"/>
        <v/>
      </c>
      <c r="J165" s="45"/>
      <c r="K165" s="45"/>
    </row>
    <row r="166" spans="1:11">
      <c r="A166" s="17" t="str">
        <f t="shared" si="11"/>
        <v/>
      </c>
      <c r="B166" s="53"/>
      <c r="C166" s="11" t="str">
        <f t="shared" si="8"/>
        <v/>
      </c>
      <c r="D166" s="11" t="str">
        <f t="shared" si="9"/>
        <v/>
      </c>
      <c r="E166" s="45"/>
      <c r="F166" s="11" t="str">
        <f>IFERROR(VLOOKUP(E166,Category!$D$2:$E$600,2,FALSE),"")</f>
        <v/>
      </c>
      <c r="G166" s="45"/>
      <c r="H166" s="73"/>
      <c r="I166" s="18" t="str">
        <f t="shared" si="10"/>
        <v/>
      </c>
      <c r="J166" s="45"/>
      <c r="K166" s="45"/>
    </row>
    <row r="167" spans="1:11">
      <c r="A167" s="17" t="str">
        <f t="shared" si="11"/>
        <v/>
      </c>
      <c r="B167" s="53"/>
      <c r="C167" s="11" t="str">
        <f t="shared" si="8"/>
        <v/>
      </c>
      <c r="D167" s="11" t="str">
        <f t="shared" si="9"/>
        <v/>
      </c>
      <c r="E167" s="45"/>
      <c r="F167" s="11" t="str">
        <f>IFERROR(VLOOKUP(E167,Category!$D$2:$E$600,2,FALSE),"")</f>
        <v/>
      </c>
      <c r="G167" s="45"/>
      <c r="H167" s="73"/>
      <c r="I167" s="18" t="str">
        <f t="shared" si="10"/>
        <v/>
      </c>
      <c r="J167" s="45"/>
      <c r="K167" s="45"/>
    </row>
    <row r="168" spans="1:11">
      <c r="A168" s="17" t="str">
        <f t="shared" si="11"/>
        <v/>
      </c>
      <c r="B168" s="53"/>
      <c r="C168" s="11" t="str">
        <f t="shared" si="8"/>
        <v/>
      </c>
      <c r="D168" s="11" t="str">
        <f t="shared" si="9"/>
        <v/>
      </c>
      <c r="E168" s="45"/>
      <c r="F168" s="11" t="str">
        <f>IFERROR(VLOOKUP(E168,Category!$D$2:$E$600,2,FALSE),"")</f>
        <v/>
      </c>
      <c r="G168" s="45"/>
      <c r="H168" s="73"/>
      <c r="I168" s="18" t="str">
        <f t="shared" si="10"/>
        <v/>
      </c>
      <c r="J168" s="45"/>
      <c r="K168" s="45"/>
    </row>
    <row r="169" spans="1:11">
      <c r="A169" s="17" t="str">
        <f t="shared" si="11"/>
        <v/>
      </c>
      <c r="B169" s="53"/>
      <c r="C169" s="11" t="str">
        <f t="shared" si="8"/>
        <v/>
      </c>
      <c r="D169" s="11" t="str">
        <f t="shared" si="9"/>
        <v/>
      </c>
      <c r="E169" s="45"/>
      <c r="F169" s="11" t="str">
        <f>IFERROR(VLOOKUP(E169,Category!$D$2:$E$600,2,FALSE),"")</f>
        <v/>
      </c>
      <c r="G169" s="45"/>
      <c r="H169" s="73"/>
      <c r="I169" s="18" t="str">
        <f t="shared" si="10"/>
        <v/>
      </c>
      <c r="J169" s="45"/>
      <c r="K169" s="45"/>
    </row>
    <row r="170" spans="1:11">
      <c r="A170" s="17" t="str">
        <f t="shared" si="11"/>
        <v/>
      </c>
      <c r="B170" s="53"/>
      <c r="C170" s="11" t="str">
        <f t="shared" si="8"/>
        <v/>
      </c>
      <c r="D170" s="11" t="str">
        <f t="shared" si="9"/>
        <v/>
      </c>
      <c r="E170" s="45"/>
      <c r="F170" s="11" t="str">
        <f>IFERROR(VLOOKUP(E170,Category!$D$2:$E$600,2,FALSE),"")</f>
        <v/>
      </c>
      <c r="G170" s="45"/>
      <c r="H170" s="73"/>
      <c r="I170" s="18" t="str">
        <f t="shared" si="10"/>
        <v/>
      </c>
      <c r="J170" s="45"/>
      <c r="K170" s="45"/>
    </row>
    <row r="171" spans="1:11">
      <c r="A171" s="17" t="str">
        <f t="shared" si="11"/>
        <v/>
      </c>
      <c r="B171" s="53"/>
      <c r="C171" s="11" t="str">
        <f t="shared" si="8"/>
        <v/>
      </c>
      <c r="D171" s="11" t="str">
        <f t="shared" si="9"/>
        <v/>
      </c>
      <c r="E171" s="45"/>
      <c r="F171" s="11" t="str">
        <f>IFERROR(VLOOKUP(E171,Category!$D$2:$E$600,2,FALSE),"")</f>
        <v/>
      </c>
      <c r="G171" s="45"/>
      <c r="H171" s="73"/>
      <c r="I171" s="18" t="str">
        <f t="shared" si="10"/>
        <v/>
      </c>
      <c r="J171" s="45"/>
      <c r="K171" s="45"/>
    </row>
    <row r="172" spans="1:11">
      <c r="A172" s="17" t="str">
        <f t="shared" si="11"/>
        <v/>
      </c>
      <c r="B172" s="53"/>
      <c r="C172" s="11" t="str">
        <f t="shared" si="8"/>
        <v/>
      </c>
      <c r="D172" s="11" t="str">
        <f t="shared" si="9"/>
        <v/>
      </c>
      <c r="E172" s="45"/>
      <c r="F172" s="11" t="str">
        <f>IFERROR(VLOOKUP(E172,Category!$D$2:$E$600,2,FALSE),"")</f>
        <v/>
      </c>
      <c r="G172" s="45"/>
      <c r="H172" s="73"/>
      <c r="I172" s="18" t="str">
        <f t="shared" si="10"/>
        <v/>
      </c>
      <c r="J172" s="45"/>
      <c r="K172" s="45"/>
    </row>
    <row r="173" spans="1:11">
      <c r="A173" s="17" t="str">
        <f t="shared" si="11"/>
        <v/>
      </c>
      <c r="B173" s="53"/>
      <c r="C173" s="11" t="str">
        <f t="shared" si="8"/>
        <v/>
      </c>
      <c r="D173" s="11" t="str">
        <f t="shared" si="9"/>
        <v/>
      </c>
      <c r="E173" s="45"/>
      <c r="F173" s="11" t="str">
        <f>IFERROR(VLOOKUP(E173,Category!$D$2:$E$600,2,FALSE),"")</f>
        <v/>
      </c>
      <c r="G173" s="45"/>
      <c r="H173" s="73"/>
      <c r="I173" s="18" t="str">
        <f t="shared" si="10"/>
        <v/>
      </c>
      <c r="J173" s="45"/>
      <c r="K173" s="45"/>
    </row>
    <row r="174" spans="1:11">
      <c r="A174" s="17" t="str">
        <f t="shared" si="11"/>
        <v/>
      </c>
      <c r="B174" s="53"/>
      <c r="C174" s="11" t="str">
        <f t="shared" si="8"/>
        <v/>
      </c>
      <c r="D174" s="11" t="str">
        <f t="shared" si="9"/>
        <v/>
      </c>
      <c r="E174" s="45"/>
      <c r="F174" s="11" t="str">
        <f>IFERROR(VLOOKUP(E174,Category!$D$2:$E$600,2,FALSE),"")</f>
        <v/>
      </c>
      <c r="G174" s="45"/>
      <c r="H174" s="73"/>
      <c r="I174" s="18" t="str">
        <f t="shared" si="10"/>
        <v/>
      </c>
      <c r="J174" s="45"/>
      <c r="K174" s="45"/>
    </row>
    <row r="175" spans="1:11">
      <c r="A175" s="17" t="str">
        <f t="shared" si="11"/>
        <v/>
      </c>
      <c r="B175" s="53"/>
      <c r="C175" s="11" t="str">
        <f t="shared" si="8"/>
        <v/>
      </c>
      <c r="D175" s="11" t="str">
        <f t="shared" si="9"/>
        <v/>
      </c>
      <c r="E175" s="45"/>
      <c r="F175" s="11" t="str">
        <f>IFERROR(VLOOKUP(E175,Category!$D$2:$E$600,2,FALSE),"")</f>
        <v/>
      </c>
      <c r="G175" s="45"/>
      <c r="H175" s="73"/>
      <c r="I175" s="18" t="str">
        <f t="shared" si="10"/>
        <v/>
      </c>
      <c r="J175" s="45"/>
      <c r="K175" s="45"/>
    </row>
    <row r="176" spans="1:11">
      <c r="A176" s="17" t="str">
        <f t="shared" si="11"/>
        <v/>
      </c>
      <c r="B176" s="53"/>
      <c r="C176" s="11" t="str">
        <f t="shared" si="8"/>
        <v/>
      </c>
      <c r="D176" s="11" t="str">
        <f t="shared" si="9"/>
        <v/>
      </c>
      <c r="E176" s="45"/>
      <c r="F176" s="11" t="str">
        <f>IFERROR(VLOOKUP(E176,Category!$D$2:$E$600,2,FALSE),"")</f>
        <v/>
      </c>
      <c r="G176" s="45"/>
      <c r="H176" s="73"/>
      <c r="I176" s="18" t="str">
        <f t="shared" si="10"/>
        <v/>
      </c>
      <c r="J176" s="45"/>
      <c r="K176" s="45"/>
    </row>
    <row r="177" spans="1:11">
      <c r="A177" s="17" t="str">
        <f t="shared" si="11"/>
        <v/>
      </c>
      <c r="B177" s="53"/>
      <c r="C177" s="11" t="str">
        <f t="shared" si="8"/>
        <v/>
      </c>
      <c r="D177" s="11" t="str">
        <f t="shared" si="9"/>
        <v/>
      </c>
      <c r="E177" s="45"/>
      <c r="F177" s="11" t="str">
        <f>IFERROR(VLOOKUP(E177,Category!$D$2:$E$600,2,FALSE),"")</f>
        <v/>
      </c>
      <c r="G177" s="45"/>
      <c r="H177" s="73"/>
      <c r="I177" s="18" t="str">
        <f t="shared" si="10"/>
        <v/>
      </c>
      <c r="J177" s="45"/>
      <c r="K177" s="45"/>
    </row>
    <row r="178" spans="1:11">
      <c r="A178" s="17" t="str">
        <f t="shared" si="11"/>
        <v/>
      </c>
      <c r="B178" s="53"/>
      <c r="C178" s="11" t="str">
        <f t="shared" si="8"/>
        <v/>
      </c>
      <c r="D178" s="11" t="str">
        <f t="shared" si="9"/>
        <v/>
      </c>
      <c r="E178" s="45"/>
      <c r="F178" s="11" t="str">
        <f>IFERROR(VLOOKUP(E178,Category!$D$2:$E$600,2,FALSE),"")</f>
        <v/>
      </c>
      <c r="G178" s="45"/>
      <c r="H178" s="73"/>
      <c r="I178" s="18" t="str">
        <f t="shared" si="10"/>
        <v/>
      </c>
      <c r="J178" s="45"/>
      <c r="K178" s="45"/>
    </row>
    <row r="179" spans="1:11">
      <c r="A179" s="17" t="str">
        <f t="shared" si="11"/>
        <v/>
      </c>
      <c r="B179" s="53"/>
      <c r="C179" s="11" t="str">
        <f t="shared" si="8"/>
        <v/>
      </c>
      <c r="D179" s="11" t="str">
        <f t="shared" si="9"/>
        <v/>
      </c>
      <c r="E179" s="45"/>
      <c r="F179" s="11" t="str">
        <f>IFERROR(VLOOKUP(E179,Category!$D$2:$E$600,2,FALSE),"")</f>
        <v/>
      </c>
      <c r="G179" s="45"/>
      <c r="H179" s="73"/>
      <c r="I179" s="18" t="str">
        <f t="shared" si="10"/>
        <v/>
      </c>
      <c r="J179" s="45"/>
      <c r="K179" s="45"/>
    </row>
    <row r="180" spans="1:11">
      <c r="A180" s="17" t="str">
        <f t="shared" si="11"/>
        <v/>
      </c>
      <c r="B180" s="53"/>
      <c r="C180" s="11" t="str">
        <f t="shared" si="8"/>
        <v/>
      </c>
      <c r="D180" s="11" t="str">
        <f t="shared" si="9"/>
        <v/>
      </c>
      <c r="E180" s="45"/>
      <c r="F180" s="11" t="str">
        <f>IFERROR(VLOOKUP(E180,Category!$D$2:$E$600,2,FALSE),"")</f>
        <v/>
      </c>
      <c r="G180" s="45"/>
      <c r="H180" s="73"/>
      <c r="I180" s="18" t="str">
        <f t="shared" si="10"/>
        <v/>
      </c>
      <c r="J180" s="45"/>
      <c r="K180" s="45"/>
    </row>
    <row r="181" spans="1:11">
      <c r="A181" s="17" t="str">
        <f t="shared" si="11"/>
        <v/>
      </c>
      <c r="B181" s="53"/>
      <c r="C181" s="11" t="str">
        <f t="shared" si="8"/>
        <v/>
      </c>
      <c r="D181" s="11" t="str">
        <f t="shared" si="9"/>
        <v/>
      </c>
      <c r="E181" s="45"/>
      <c r="F181" s="11" t="str">
        <f>IFERROR(VLOOKUP(E181,Category!$D$2:$E$600,2,FALSE),"")</f>
        <v/>
      </c>
      <c r="G181" s="45"/>
      <c r="H181" s="73"/>
      <c r="I181" s="18" t="str">
        <f t="shared" si="10"/>
        <v/>
      </c>
      <c r="J181" s="45"/>
      <c r="K181" s="45"/>
    </row>
    <row r="182" spans="1:11">
      <c r="A182" s="17" t="str">
        <f t="shared" si="11"/>
        <v/>
      </c>
      <c r="B182" s="53"/>
      <c r="C182" s="11" t="str">
        <f t="shared" si="8"/>
        <v/>
      </c>
      <c r="D182" s="11" t="str">
        <f t="shared" si="9"/>
        <v/>
      </c>
      <c r="E182" s="45"/>
      <c r="F182" s="11" t="str">
        <f>IFERROR(VLOOKUP(E182,Category!$D$2:$E$600,2,FALSE),"")</f>
        <v/>
      </c>
      <c r="G182" s="45"/>
      <c r="H182" s="73"/>
      <c r="I182" s="18" t="str">
        <f t="shared" si="10"/>
        <v/>
      </c>
      <c r="J182" s="45"/>
      <c r="K182" s="45"/>
    </row>
    <row r="183" spans="1:11">
      <c r="A183" s="17" t="str">
        <f t="shared" si="11"/>
        <v/>
      </c>
      <c r="B183" s="53"/>
      <c r="C183" s="11" t="str">
        <f t="shared" si="8"/>
        <v/>
      </c>
      <c r="D183" s="11" t="str">
        <f t="shared" si="9"/>
        <v/>
      </c>
      <c r="E183" s="45"/>
      <c r="F183" s="11" t="str">
        <f>IFERROR(VLOOKUP(E183,Category!$D$2:$E$600,2,FALSE),"")</f>
        <v/>
      </c>
      <c r="G183" s="45"/>
      <c r="H183" s="73"/>
      <c r="I183" s="18" t="str">
        <f t="shared" si="10"/>
        <v/>
      </c>
      <c r="J183" s="45"/>
      <c r="K183" s="45"/>
    </row>
    <row r="184" spans="1:11">
      <c r="A184" s="17" t="str">
        <f t="shared" si="11"/>
        <v/>
      </c>
      <c r="B184" s="53"/>
      <c r="C184" s="11" t="str">
        <f t="shared" si="8"/>
        <v/>
      </c>
      <c r="D184" s="11" t="str">
        <f t="shared" si="9"/>
        <v/>
      </c>
      <c r="E184" s="45"/>
      <c r="F184" s="11" t="str">
        <f>IFERROR(VLOOKUP(E184,Category!$D$2:$E$600,2,FALSE),"")</f>
        <v/>
      </c>
      <c r="G184" s="45"/>
      <c r="H184" s="73"/>
      <c r="I184" s="18" t="str">
        <f t="shared" si="10"/>
        <v/>
      </c>
      <c r="J184" s="45"/>
      <c r="K184" s="45"/>
    </row>
    <row r="185" spans="1:11">
      <c r="A185" s="17" t="str">
        <f t="shared" si="11"/>
        <v/>
      </c>
      <c r="B185" s="53"/>
      <c r="C185" s="11" t="str">
        <f t="shared" si="8"/>
        <v/>
      </c>
      <c r="D185" s="11" t="str">
        <f t="shared" si="9"/>
        <v/>
      </c>
      <c r="E185" s="45"/>
      <c r="F185" s="11" t="str">
        <f>IFERROR(VLOOKUP(E185,Category!$D$2:$E$600,2,FALSE),"")</f>
        <v/>
      </c>
      <c r="G185" s="45"/>
      <c r="H185" s="73"/>
      <c r="I185" s="18" t="str">
        <f t="shared" si="10"/>
        <v/>
      </c>
      <c r="J185" s="45"/>
      <c r="K185" s="45"/>
    </row>
    <row r="186" spans="1:11">
      <c r="A186" s="17" t="str">
        <f t="shared" si="11"/>
        <v/>
      </c>
      <c r="B186" s="53"/>
      <c r="C186" s="11" t="str">
        <f t="shared" si="8"/>
        <v/>
      </c>
      <c r="D186" s="11" t="str">
        <f t="shared" si="9"/>
        <v/>
      </c>
      <c r="E186" s="45"/>
      <c r="F186" s="11" t="str">
        <f>IFERROR(VLOOKUP(E186,Category!$D$2:$E$600,2,FALSE),"")</f>
        <v/>
      </c>
      <c r="G186" s="45"/>
      <c r="H186" s="73"/>
      <c r="I186" s="18" t="str">
        <f t="shared" si="10"/>
        <v/>
      </c>
      <c r="J186" s="45"/>
      <c r="K186" s="45"/>
    </row>
    <row r="187" spans="1:11">
      <c r="A187" s="17" t="str">
        <f t="shared" si="11"/>
        <v/>
      </c>
      <c r="B187" s="53"/>
      <c r="C187" s="11" t="str">
        <f t="shared" si="8"/>
        <v/>
      </c>
      <c r="D187" s="11" t="str">
        <f t="shared" si="9"/>
        <v/>
      </c>
      <c r="E187" s="45"/>
      <c r="F187" s="11" t="str">
        <f>IFERROR(VLOOKUP(E187,Category!$D$2:$E$600,2,FALSE),"")</f>
        <v/>
      </c>
      <c r="G187" s="45"/>
      <c r="H187" s="73"/>
      <c r="I187" s="18" t="str">
        <f t="shared" si="10"/>
        <v/>
      </c>
      <c r="J187" s="45"/>
      <c r="K187" s="45"/>
    </row>
    <row r="188" spans="1:11">
      <c r="A188" s="17" t="str">
        <f t="shared" si="11"/>
        <v/>
      </c>
      <c r="B188" s="53"/>
      <c r="C188" s="11" t="str">
        <f t="shared" si="8"/>
        <v/>
      </c>
      <c r="D188" s="11" t="str">
        <f t="shared" si="9"/>
        <v/>
      </c>
      <c r="E188" s="45"/>
      <c r="F188" s="11" t="str">
        <f>IFERROR(VLOOKUP(E188,Category!$D$2:$E$600,2,FALSE),"")</f>
        <v/>
      </c>
      <c r="G188" s="45"/>
      <c r="H188" s="73"/>
      <c r="I188" s="18" t="str">
        <f t="shared" si="10"/>
        <v/>
      </c>
      <c r="J188" s="45"/>
      <c r="K188" s="45"/>
    </row>
    <row r="189" spans="1:11">
      <c r="A189" s="17" t="str">
        <f t="shared" si="11"/>
        <v/>
      </c>
      <c r="B189" s="53"/>
      <c r="C189" s="11" t="str">
        <f t="shared" si="8"/>
        <v/>
      </c>
      <c r="D189" s="11" t="str">
        <f t="shared" si="9"/>
        <v/>
      </c>
      <c r="E189" s="45"/>
      <c r="F189" s="11" t="str">
        <f>IFERROR(VLOOKUP(E189,Category!$D$2:$E$600,2,FALSE),"")</f>
        <v/>
      </c>
      <c r="G189" s="45"/>
      <c r="H189" s="73"/>
      <c r="I189" s="18" t="str">
        <f t="shared" si="10"/>
        <v/>
      </c>
      <c r="J189" s="45"/>
      <c r="K189" s="45"/>
    </row>
    <row r="190" spans="1:11">
      <c r="A190" s="17" t="str">
        <f t="shared" si="11"/>
        <v/>
      </c>
      <c r="B190" s="53"/>
      <c r="C190" s="11" t="str">
        <f t="shared" si="8"/>
        <v/>
      </c>
      <c r="D190" s="11" t="str">
        <f t="shared" si="9"/>
        <v/>
      </c>
      <c r="E190" s="45"/>
      <c r="F190" s="11" t="str">
        <f>IFERROR(VLOOKUP(E190,Category!$D$2:$E$600,2,FALSE),"")</f>
        <v/>
      </c>
      <c r="G190" s="45"/>
      <c r="H190" s="73"/>
      <c r="I190" s="18" t="str">
        <f t="shared" si="10"/>
        <v/>
      </c>
      <c r="J190" s="45"/>
      <c r="K190" s="45"/>
    </row>
    <row r="191" spans="1:11">
      <c r="A191" s="17" t="str">
        <f t="shared" si="11"/>
        <v/>
      </c>
      <c r="B191" s="53"/>
      <c r="C191" s="11" t="str">
        <f t="shared" si="8"/>
        <v/>
      </c>
      <c r="D191" s="11" t="str">
        <f t="shared" si="9"/>
        <v/>
      </c>
      <c r="E191" s="45"/>
      <c r="F191" s="11" t="str">
        <f>IFERROR(VLOOKUP(E191,Category!$D$2:$E$600,2,FALSE),"")</f>
        <v/>
      </c>
      <c r="G191" s="45"/>
      <c r="H191" s="73"/>
      <c r="I191" s="18" t="str">
        <f t="shared" si="10"/>
        <v/>
      </c>
      <c r="J191" s="45"/>
      <c r="K191" s="45"/>
    </row>
    <row r="192" spans="1:11">
      <c r="A192" s="17" t="str">
        <f t="shared" si="11"/>
        <v/>
      </c>
      <c r="B192" s="53"/>
      <c r="C192" s="11" t="str">
        <f t="shared" si="8"/>
        <v/>
      </c>
      <c r="D192" s="11" t="str">
        <f t="shared" si="9"/>
        <v/>
      </c>
      <c r="E192" s="45"/>
      <c r="F192" s="11" t="str">
        <f>IFERROR(VLOOKUP(E192,Category!$D$2:$E$600,2,FALSE),"")</f>
        <v/>
      </c>
      <c r="G192" s="45"/>
      <c r="H192" s="73"/>
      <c r="I192" s="18" t="str">
        <f t="shared" si="10"/>
        <v/>
      </c>
      <c r="J192" s="45"/>
      <c r="K192" s="45"/>
    </row>
    <row r="193" spans="1:11">
      <c r="A193" s="17" t="str">
        <f t="shared" si="11"/>
        <v/>
      </c>
      <c r="B193" s="53"/>
      <c r="C193" s="11" t="str">
        <f t="shared" si="8"/>
        <v/>
      </c>
      <c r="D193" s="11" t="str">
        <f t="shared" si="9"/>
        <v/>
      </c>
      <c r="E193" s="45"/>
      <c r="F193" s="11" t="str">
        <f>IFERROR(VLOOKUP(E193,Category!$D$2:$E$600,2,FALSE),"")</f>
        <v/>
      </c>
      <c r="G193" s="45"/>
      <c r="H193" s="73"/>
      <c r="I193" s="18" t="str">
        <f t="shared" si="10"/>
        <v/>
      </c>
      <c r="J193" s="45"/>
      <c r="K193" s="45"/>
    </row>
    <row r="194" spans="1:11">
      <c r="A194" s="17" t="str">
        <f t="shared" si="11"/>
        <v/>
      </c>
      <c r="B194" s="53"/>
      <c r="C194" s="11" t="str">
        <f t="shared" si="8"/>
        <v/>
      </c>
      <c r="D194" s="11" t="str">
        <f t="shared" si="9"/>
        <v/>
      </c>
      <c r="E194" s="45"/>
      <c r="F194" s="11" t="str">
        <f>IFERROR(VLOOKUP(E194,Category!$D$2:$E$600,2,FALSE),"")</f>
        <v/>
      </c>
      <c r="G194" s="45"/>
      <c r="H194" s="73"/>
      <c r="I194" s="18" t="str">
        <f t="shared" si="10"/>
        <v/>
      </c>
      <c r="J194" s="45"/>
      <c r="K194" s="45"/>
    </row>
    <row r="195" spans="1:11">
      <c r="A195" s="17" t="str">
        <f t="shared" si="11"/>
        <v/>
      </c>
      <c r="B195" s="53"/>
      <c r="C195" s="11" t="str">
        <f t="shared" ref="C195:C258" si="12">IF(B195=0,"",TEXT(B195,"mmmm"))</f>
        <v/>
      </c>
      <c r="D195" s="11" t="str">
        <f t="shared" ref="D195:D258" si="13">IF(B195=0,"",TEXT(B195,"yyyy"))</f>
        <v/>
      </c>
      <c r="E195" s="45"/>
      <c r="F195" s="11" t="str">
        <f>IFERROR(VLOOKUP(E195,Category!$D$2:$E$600,2,FALSE),"")</f>
        <v/>
      </c>
      <c r="G195" s="45"/>
      <c r="H195" s="73"/>
      <c r="I195" s="18" t="str">
        <f t="shared" ref="I195:I258" si="14">IF(G195*H195=0,"",G195*H195)</f>
        <v/>
      </c>
      <c r="J195" s="45"/>
      <c r="K195" s="45"/>
    </row>
    <row r="196" spans="1:11">
      <c r="A196" s="17" t="str">
        <f t="shared" ref="A196:A259" si="15">IF(E196&gt;0,A195+1,"")</f>
        <v/>
      </c>
      <c r="B196" s="53"/>
      <c r="C196" s="11" t="str">
        <f t="shared" si="12"/>
        <v/>
      </c>
      <c r="D196" s="11" t="str">
        <f t="shared" si="13"/>
        <v/>
      </c>
      <c r="E196" s="45"/>
      <c r="F196" s="11" t="str">
        <f>IFERROR(VLOOKUP(E196,Category!$D$2:$E$600,2,FALSE),"")</f>
        <v/>
      </c>
      <c r="G196" s="45"/>
      <c r="H196" s="73"/>
      <c r="I196" s="18" t="str">
        <f t="shared" si="14"/>
        <v/>
      </c>
      <c r="J196" s="45"/>
      <c r="K196" s="45"/>
    </row>
    <row r="197" spans="1:11">
      <c r="A197" s="17" t="str">
        <f t="shared" si="15"/>
        <v/>
      </c>
      <c r="B197" s="53"/>
      <c r="C197" s="11" t="str">
        <f t="shared" si="12"/>
        <v/>
      </c>
      <c r="D197" s="11" t="str">
        <f t="shared" si="13"/>
        <v/>
      </c>
      <c r="E197" s="45"/>
      <c r="F197" s="11" t="str">
        <f>IFERROR(VLOOKUP(E197,Category!$D$2:$E$600,2,FALSE),"")</f>
        <v/>
      </c>
      <c r="G197" s="45"/>
      <c r="H197" s="73"/>
      <c r="I197" s="18" t="str">
        <f t="shared" si="14"/>
        <v/>
      </c>
      <c r="J197" s="45"/>
      <c r="K197" s="45"/>
    </row>
    <row r="198" spans="1:11">
      <c r="A198" s="17" t="str">
        <f t="shared" si="15"/>
        <v/>
      </c>
      <c r="B198" s="53"/>
      <c r="C198" s="11" t="str">
        <f t="shared" si="12"/>
        <v/>
      </c>
      <c r="D198" s="11" t="str">
        <f t="shared" si="13"/>
        <v/>
      </c>
      <c r="E198" s="45"/>
      <c r="F198" s="11" t="str">
        <f>IFERROR(VLOOKUP(E198,Category!$D$2:$E$600,2,FALSE),"")</f>
        <v/>
      </c>
      <c r="G198" s="45"/>
      <c r="H198" s="73"/>
      <c r="I198" s="18" t="str">
        <f t="shared" si="14"/>
        <v/>
      </c>
      <c r="J198" s="45"/>
      <c r="K198" s="45"/>
    </row>
    <row r="199" spans="1:11">
      <c r="A199" s="17" t="str">
        <f t="shared" si="15"/>
        <v/>
      </c>
      <c r="B199" s="53"/>
      <c r="C199" s="11" t="str">
        <f t="shared" si="12"/>
        <v/>
      </c>
      <c r="D199" s="11" t="str">
        <f t="shared" si="13"/>
        <v/>
      </c>
      <c r="E199" s="45"/>
      <c r="F199" s="11" t="str">
        <f>IFERROR(VLOOKUP(E199,Category!$D$2:$E$600,2,FALSE),"")</f>
        <v/>
      </c>
      <c r="G199" s="45"/>
      <c r="H199" s="73"/>
      <c r="I199" s="18" t="str">
        <f t="shared" si="14"/>
        <v/>
      </c>
      <c r="J199" s="45"/>
      <c r="K199" s="45"/>
    </row>
    <row r="200" spans="1:11">
      <c r="A200" s="17" t="str">
        <f t="shared" si="15"/>
        <v/>
      </c>
      <c r="B200" s="53"/>
      <c r="C200" s="11" t="str">
        <f t="shared" si="12"/>
        <v/>
      </c>
      <c r="D200" s="11" t="str">
        <f t="shared" si="13"/>
        <v/>
      </c>
      <c r="E200" s="45"/>
      <c r="F200" s="11" t="str">
        <f>IFERROR(VLOOKUP(E200,Category!$D$2:$E$600,2,FALSE),"")</f>
        <v/>
      </c>
      <c r="G200" s="45"/>
      <c r="H200" s="73"/>
      <c r="I200" s="18" t="str">
        <f t="shared" si="14"/>
        <v/>
      </c>
      <c r="J200" s="45"/>
      <c r="K200" s="45"/>
    </row>
    <row r="201" spans="1:11">
      <c r="A201" s="17" t="str">
        <f t="shared" si="15"/>
        <v/>
      </c>
      <c r="B201" s="53"/>
      <c r="C201" s="11" t="str">
        <f t="shared" si="12"/>
        <v/>
      </c>
      <c r="D201" s="11" t="str">
        <f t="shared" si="13"/>
        <v/>
      </c>
      <c r="E201" s="45"/>
      <c r="F201" s="11" t="str">
        <f>IFERROR(VLOOKUP(E201,Category!$D$2:$E$600,2,FALSE),"")</f>
        <v/>
      </c>
      <c r="G201" s="45"/>
      <c r="H201" s="73"/>
      <c r="I201" s="18" t="str">
        <f t="shared" si="14"/>
        <v/>
      </c>
      <c r="J201" s="45"/>
      <c r="K201" s="45"/>
    </row>
    <row r="202" spans="1:11">
      <c r="A202" s="17" t="str">
        <f t="shared" si="15"/>
        <v/>
      </c>
      <c r="B202" s="53"/>
      <c r="C202" s="11" t="str">
        <f t="shared" si="12"/>
        <v/>
      </c>
      <c r="D202" s="11" t="str">
        <f t="shared" si="13"/>
        <v/>
      </c>
      <c r="E202" s="45"/>
      <c r="F202" s="11" t="str">
        <f>IFERROR(VLOOKUP(E202,Category!$D$2:$E$600,2,FALSE),"")</f>
        <v/>
      </c>
      <c r="G202" s="45"/>
      <c r="H202" s="73"/>
      <c r="I202" s="18" t="str">
        <f t="shared" si="14"/>
        <v/>
      </c>
      <c r="J202" s="45"/>
      <c r="K202" s="45"/>
    </row>
    <row r="203" spans="1:11">
      <c r="A203" s="17" t="str">
        <f t="shared" si="15"/>
        <v/>
      </c>
      <c r="B203" s="53"/>
      <c r="C203" s="11" t="str">
        <f t="shared" si="12"/>
        <v/>
      </c>
      <c r="D203" s="11" t="str">
        <f t="shared" si="13"/>
        <v/>
      </c>
      <c r="E203" s="45"/>
      <c r="F203" s="11" t="str">
        <f>IFERROR(VLOOKUP(E203,Category!$D$2:$E$600,2,FALSE),"")</f>
        <v/>
      </c>
      <c r="G203" s="45"/>
      <c r="H203" s="73"/>
      <c r="I203" s="18" t="str">
        <f t="shared" si="14"/>
        <v/>
      </c>
      <c r="J203" s="45"/>
      <c r="K203" s="45"/>
    </row>
    <row r="204" spans="1:11">
      <c r="A204" s="17" t="str">
        <f t="shared" si="15"/>
        <v/>
      </c>
      <c r="B204" s="53"/>
      <c r="C204" s="11" t="str">
        <f t="shared" si="12"/>
        <v/>
      </c>
      <c r="D204" s="11" t="str">
        <f t="shared" si="13"/>
        <v/>
      </c>
      <c r="E204" s="45"/>
      <c r="F204" s="11" t="str">
        <f>IFERROR(VLOOKUP(E204,Category!$D$2:$E$600,2,FALSE),"")</f>
        <v/>
      </c>
      <c r="G204" s="45"/>
      <c r="H204" s="73"/>
      <c r="I204" s="18" t="str">
        <f t="shared" si="14"/>
        <v/>
      </c>
      <c r="J204" s="45"/>
      <c r="K204" s="45"/>
    </row>
    <row r="205" spans="1:11">
      <c r="A205" s="17" t="str">
        <f t="shared" si="15"/>
        <v/>
      </c>
      <c r="B205" s="53"/>
      <c r="C205" s="11" t="str">
        <f t="shared" si="12"/>
        <v/>
      </c>
      <c r="D205" s="11" t="str">
        <f t="shared" si="13"/>
        <v/>
      </c>
      <c r="E205" s="45"/>
      <c r="F205" s="11" t="str">
        <f>IFERROR(VLOOKUP(E205,Category!$D$2:$E$600,2,FALSE),"")</f>
        <v/>
      </c>
      <c r="G205" s="45"/>
      <c r="H205" s="73"/>
      <c r="I205" s="18" t="str">
        <f t="shared" si="14"/>
        <v/>
      </c>
      <c r="J205" s="45"/>
      <c r="K205" s="45"/>
    </row>
    <row r="206" spans="1:11">
      <c r="A206" s="17" t="str">
        <f t="shared" si="15"/>
        <v/>
      </c>
      <c r="B206" s="53"/>
      <c r="C206" s="11" t="str">
        <f t="shared" si="12"/>
        <v/>
      </c>
      <c r="D206" s="11" t="str">
        <f t="shared" si="13"/>
        <v/>
      </c>
      <c r="E206" s="45"/>
      <c r="F206" s="11" t="str">
        <f>IFERROR(VLOOKUP(E206,Category!$D$2:$E$600,2,FALSE),"")</f>
        <v/>
      </c>
      <c r="G206" s="45"/>
      <c r="H206" s="73"/>
      <c r="I206" s="18" t="str">
        <f t="shared" si="14"/>
        <v/>
      </c>
      <c r="J206" s="45"/>
      <c r="K206" s="45"/>
    </row>
    <row r="207" spans="1:11">
      <c r="A207" s="17" t="str">
        <f t="shared" si="15"/>
        <v/>
      </c>
      <c r="B207" s="53"/>
      <c r="C207" s="11" t="str">
        <f t="shared" si="12"/>
        <v/>
      </c>
      <c r="D207" s="11" t="str">
        <f t="shared" si="13"/>
        <v/>
      </c>
      <c r="E207" s="45"/>
      <c r="F207" s="11" t="str">
        <f>IFERROR(VLOOKUP(E207,Category!$D$2:$E$600,2,FALSE),"")</f>
        <v/>
      </c>
      <c r="G207" s="45"/>
      <c r="H207" s="73"/>
      <c r="I207" s="18" t="str">
        <f t="shared" si="14"/>
        <v/>
      </c>
      <c r="J207" s="45"/>
      <c r="K207" s="45"/>
    </row>
    <row r="208" spans="1:11">
      <c r="A208" s="17" t="str">
        <f t="shared" si="15"/>
        <v/>
      </c>
      <c r="B208" s="53"/>
      <c r="C208" s="11" t="str">
        <f t="shared" si="12"/>
        <v/>
      </c>
      <c r="D208" s="11" t="str">
        <f t="shared" si="13"/>
        <v/>
      </c>
      <c r="E208" s="45"/>
      <c r="F208" s="11" t="str">
        <f>IFERROR(VLOOKUP(E208,Category!$D$2:$E$600,2,FALSE),"")</f>
        <v/>
      </c>
      <c r="G208" s="45"/>
      <c r="H208" s="73"/>
      <c r="I208" s="18" t="str">
        <f t="shared" si="14"/>
        <v/>
      </c>
      <c r="J208" s="45"/>
      <c r="K208" s="45"/>
    </row>
    <row r="209" spans="1:11">
      <c r="A209" s="17" t="str">
        <f t="shared" si="15"/>
        <v/>
      </c>
      <c r="B209" s="53"/>
      <c r="C209" s="11" t="str">
        <f t="shared" si="12"/>
        <v/>
      </c>
      <c r="D209" s="11" t="str">
        <f t="shared" si="13"/>
        <v/>
      </c>
      <c r="E209" s="45"/>
      <c r="F209" s="11" t="str">
        <f>IFERROR(VLOOKUP(E209,Category!$D$2:$E$600,2,FALSE),"")</f>
        <v/>
      </c>
      <c r="G209" s="45"/>
      <c r="H209" s="73"/>
      <c r="I209" s="18" t="str">
        <f t="shared" si="14"/>
        <v/>
      </c>
      <c r="J209" s="45"/>
      <c r="K209" s="45"/>
    </row>
    <row r="210" spans="1:11">
      <c r="A210" s="17" t="str">
        <f t="shared" si="15"/>
        <v/>
      </c>
      <c r="B210" s="53"/>
      <c r="C210" s="11" t="str">
        <f t="shared" si="12"/>
        <v/>
      </c>
      <c r="D210" s="11" t="str">
        <f t="shared" si="13"/>
        <v/>
      </c>
      <c r="E210" s="45"/>
      <c r="F210" s="11" t="str">
        <f>IFERROR(VLOOKUP(E210,Category!$D$2:$E$600,2,FALSE),"")</f>
        <v/>
      </c>
      <c r="G210" s="45"/>
      <c r="H210" s="73"/>
      <c r="I210" s="18" t="str">
        <f t="shared" si="14"/>
        <v/>
      </c>
      <c r="J210" s="45"/>
      <c r="K210" s="45"/>
    </row>
    <row r="211" spans="1:11">
      <c r="A211" s="17" t="str">
        <f t="shared" si="15"/>
        <v/>
      </c>
      <c r="B211" s="53"/>
      <c r="C211" s="11" t="str">
        <f t="shared" si="12"/>
        <v/>
      </c>
      <c r="D211" s="11" t="str">
        <f t="shared" si="13"/>
        <v/>
      </c>
      <c r="E211" s="45"/>
      <c r="F211" s="11" t="str">
        <f>IFERROR(VLOOKUP(E211,Category!$D$2:$E$600,2,FALSE),"")</f>
        <v/>
      </c>
      <c r="G211" s="45"/>
      <c r="H211" s="73"/>
      <c r="I211" s="18" t="str">
        <f t="shared" si="14"/>
        <v/>
      </c>
      <c r="J211" s="45"/>
      <c r="K211" s="45"/>
    </row>
    <row r="212" spans="1:11">
      <c r="A212" s="17" t="str">
        <f t="shared" si="15"/>
        <v/>
      </c>
      <c r="B212" s="53"/>
      <c r="C212" s="11" t="str">
        <f t="shared" si="12"/>
        <v/>
      </c>
      <c r="D212" s="11" t="str">
        <f t="shared" si="13"/>
        <v/>
      </c>
      <c r="E212" s="45"/>
      <c r="F212" s="11" t="str">
        <f>IFERROR(VLOOKUP(E212,Category!$D$2:$E$600,2,FALSE),"")</f>
        <v/>
      </c>
      <c r="G212" s="45"/>
      <c r="H212" s="73"/>
      <c r="I212" s="18" t="str">
        <f t="shared" si="14"/>
        <v/>
      </c>
      <c r="J212" s="45"/>
      <c r="K212" s="45"/>
    </row>
    <row r="213" spans="1:11">
      <c r="A213" s="17" t="str">
        <f t="shared" si="15"/>
        <v/>
      </c>
      <c r="B213" s="53"/>
      <c r="C213" s="11" t="str">
        <f t="shared" si="12"/>
        <v/>
      </c>
      <c r="D213" s="11" t="str">
        <f t="shared" si="13"/>
        <v/>
      </c>
      <c r="E213" s="45"/>
      <c r="F213" s="11" t="str">
        <f>IFERROR(VLOOKUP(E213,Category!$D$2:$E$600,2,FALSE),"")</f>
        <v/>
      </c>
      <c r="G213" s="45"/>
      <c r="H213" s="73"/>
      <c r="I213" s="18" t="str">
        <f t="shared" si="14"/>
        <v/>
      </c>
      <c r="J213" s="45"/>
      <c r="K213" s="45"/>
    </row>
    <row r="214" spans="1:11">
      <c r="A214" s="17" t="str">
        <f t="shared" si="15"/>
        <v/>
      </c>
      <c r="B214" s="53"/>
      <c r="C214" s="11" t="str">
        <f t="shared" si="12"/>
        <v/>
      </c>
      <c r="D214" s="11" t="str">
        <f t="shared" si="13"/>
        <v/>
      </c>
      <c r="E214" s="45"/>
      <c r="F214" s="11" t="str">
        <f>IFERROR(VLOOKUP(E214,Category!$D$2:$E$600,2,FALSE),"")</f>
        <v/>
      </c>
      <c r="G214" s="45"/>
      <c r="H214" s="73"/>
      <c r="I214" s="18" t="str">
        <f t="shared" si="14"/>
        <v/>
      </c>
      <c r="J214" s="45"/>
      <c r="K214" s="45"/>
    </row>
    <row r="215" spans="1:11">
      <c r="A215" s="17" t="str">
        <f t="shared" si="15"/>
        <v/>
      </c>
      <c r="B215" s="53"/>
      <c r="C215" s="11" t="str">
        <f t="shared" si="12"/>
        <v/>
      </c>
      <c r="D215" s="11" t="str">
        <f t="shared" si="13"/>
        <v/>
      </c>
      <c r="E215" s="45"/>
      <c r="F215" s="11" t="str">
        <f>IFERROR(VLOOKUP(E215,Category!$D$2:$E$600,2,FALSE),"")</f>
        <v/>
      </c>
      <c r="G215" s="45"/>
      <c r="H215" s="73"/>
      <c r="I215" s="18" t="str">
        <f t="shared" si="14"/>
        <v/>
      </c>
      <c r="J215" s="45"/>
      <c r="K215" s="45"/>
    </row>
    <row r="216" spans="1:11">
      <c r="A216" s="17" t="str">
        <f t="shared" si="15"/>
        <v/>
      </c>
      <c r="B216" s="53"/>
      <c r="C216" s="11" t="str">
        <f t="shared" si="12"/>
        <v/>
      </c>
      <c r="D216" s="11" t="str">
        <f t="shared" si="13"/>
        <v/>
      </c>
      <c r="E216" s="45"/>
      <c r="F216" s="11" t="str">
        <f>IFERROR(VLOOKUP(E216,Category!$D$2:$E$600,2,FALSE),"")</f>
        <v/>
      </c>
      <c r="G216" s="45"/>
      <c r="H216" s="73"/>
      <c r="I216" s="18" t="str">
        <f t="shared" si="14"/>
        <v/>
      </c>
      <c r="J216" s="45"/>
      <c r="K216" s="45"/>
    </row>
    <row r="217" spans="1:11">
      <c r="A217" s="17" t="str">
        <f t="shared" si="15"/>
        <v/>
      </c>
      <c r="B217" s="53"/>
      <c r="C217" s="11" t="str">
        <f t="shared" si="12"/>
        <v/>
      </c>
      <c r="D217" s="11" t="str">
        <f t="shared" si="13"/>
        <v/>
      </c>
      <c r="E217" s="45"/>
      <c r="F217" s="11" t="str">
        <f>IFERROR(VLOOKUP(E217,Category!$D$2:$E$600,2,FALSE),"")</f>
        <v/>
      </c>
      <c r="G217" s="45"/>
      <c r="H217" s="73"/>
      <c r="I217" s="18" t="str">
        <f t="shared" si="14"/>
        <v/>
      </c>
      <c r="J217" s="45"/>
      <c r="K217" s="45"/>
    </row>
    <row r="218" spans="1:11">
      <c r="A218" s="17" t="str">
        <f t="shared" si="15"/>
        <v/>
      </c>
      <c r="B218" s="53"/>
      <c r="C218" s="11" t="str">
        <f t="shared" si="12"/>
        <v/>
      </c>
      <c r="D218" s="11" t="str">
        <f t="shared" si="13"/>
        <v/>
      </c>
      <c r="E218" s="45"/>
      <c r="F218" s="11" t="str">
        <f>IFERROR(VLOOKUP(E218,Category!$D$2:$E$600,2,FALSE),"")</f>
        <v/>
      </c>
      <c r="G218" s="45"/>
      <c r="H218" s="73"/>
      <c r="I218" s="18" t="str">
        <f t="shared" si="14"/>
        <v/>
      </c>
      <c r="J218" s="45"/>
      <c r="K218" s="45"/>
    </row>
    <row r="219" spans="1:11">
      <c r="A219" s="17" t="str">
        <f t="shared" si="15"/>
        <v/>
      </c>
      <c r="B219" s="53"/>
      <c r="C219" s="11" t="str">
        <f t="shared" si="12"/>
        <v/>
      </c>
      <c r="D219" s="11" t="str">
        <f t="shared" si="13"/>
        <v/>
      </c>
      <c r="E219" s="45"/>
      <c r="F219" s="11" t="str">
        <f>IFERROR(VLOOKUP(E219,Category!$D$2:$E$600,2,FALSE),"")</f>
        <v/>
      </c>
      <c r="G219" s="45"/>
      <c r="H219" s="73"/>
      <c r="I219" s="18" t="str">
        <f t="shared" si="14"/>
        <v/>
      </c>
      <c r="J219" s="45"/>
      <c r="K219" s="45"/>
    </row>
    <row r="220" spans="1:11">
      <c r="A220" s="17" t="str">
        <f t="shared" si="15"/>
        <v/>
      </c>
      <c r="B220" s="53"/>
      <c r="C220" s="11" t="str">
        <f t="shared" si="12"/>
        <v/>
      </c>
      <c r="D220" s="11" t="str">
        <f t="shared" si="13"/>
        <v/>
      </c>
      <c r="E220" s="45"/>
      <c r="F220" s="11" t="str">
        <f>IFERROR(VLOOKUP(E220,Category!$D$2:$E$600,2,FALSE),"")</f>
        <v/>
      </c>
      <c r="G220" s="45"/>
      <c r="H220" s="73"/>
      <c r="I220" s="18" t="str">
        <f t="shared" si="14"/>
        <v/>
      </c>
      <c r="J220" s="45"/>
      <c r="K220" s="45"/>
    </row>
    <row r="221" spans="1:11">
      <c r="A221" s="17" t="str">
        <f t="shared" si="15"/>
        <v/>
      </c>
      <c r="B221" s="53"/>
      <c r="C221" s="11" t="str">
        <f t="shared" si="12"/>
        <v/>
      </c>
      <c r="D221" s="11" t="str">
        <f t="shared" si="13"/>
        <v/>
      </c>
      <c r="E221" s="45"/>
      <c r="F221" s="11" t="str">
        <f>IFERROR(VLOOKUP(E221,Category!$D$2:$E$600,2,FALSE),"")</f>
        <v/>
      </c>
      <c r="G221" s="45"/>
      <c r="H221" s="73"/>
      <c r="I221" s="18" t="str">
        <f t="shared" si="14"/>
        <v/>
      </c>
      <c r="J221" s="45"/>
      <c r="K221" s="45"/>
    </row>
    <row r="222" spans="1:11">
      <c r="A222" s="17" t="str">
        <f t="shared" si="15"/>
        <v/>
      </c>
      <c r="B222" s="53"/>
      <c r="C222" s="11" t="str">
        <f t="shared" si="12"/>
        <v/>
      </c>
      <c r="D222" s="11" t="str">
        <f t="shared" si="13"/>
        <v/>
      </c>
      <c r="E222" s="45"/>
      <c r="F222" s="11" t="str">
        <f>IFERROR(VLOOKUP(E222,Category!$D$2:$E$600,2,FALSE),"")</f>
        <v/>
      </c>
      <c r="G222" s="45"/>
      <c r="H222" s="73"/>
      <c r="I222" s="18" t="str">
        <f t="shared" si="14"/>
        <v/>
      </c>
      <c r="J222" s="45"/>
      <c r="K222" s="45"/>
    </row>
    <row r="223" spans="1:11">
      <c r="A223" s="17" t="str">
        <f t="shared" si="15"/>
        <v/>
      </c>
      <c r="B223" s="53"/>
      <c r="C223" s="11" t="str">
        <f t="shared" si="12"/>
        <v/>
      </c>
      <c r="D223" s="11" t="str">
        <f t="shared" si="13"/>
        <v/>
      </c>
      <c r="E223" s="45"/>
      <c r="F223" s="11" t="str">
        <f>IFERROR(VLOOKUP(E223,Category!$D$2:$E$600,2,FALSE),"")</f>
        <v/>
      </c>
      <c r="G223" s="45"/>
      <c r="H223" s="73"/>
      <c r="I223" s="18" t="str">
        <f t="shared" si="14"/>
        <v/>
      </c>
      <c r="J223" s="45"/>
      <c r="K223" s="45"/>
    </row>
    <row r="224" spans="1:11">
      <c r="A224" s="17" t="str">
        <f t="shared" si="15"/>
        <v/>
      </c>
      <c r="B224" s="53"/>
      <c r="C224" s="11" t="str">
        <f t="shared" si="12"/>
        <v/>
      </c>
      <c r="D224" s="11" t="str">
        <f t="shared" si="13"/>
        <v/>
      </c>
      <c r="E224" s="45"/>
      <c r="F224" s="11" t="str">
        <f>IFERROR(VLOOKUP(E224,Category!$D$2:$E$600,2,FALSE),"")</f>
        <v/>
      </c>
      <c r="G224" s="45"/>
      <c r="H224" s="73"/>
      <c r="I224" s="18" t="str">
        <f t="shared" si="14"/>
        <v/>
      </c>
      <c r="J224" s="45"/>
      <c r="K224" s="45"/>
    </row>
    <row r="225" spans="1:11">
      <c r="A225" s="17" t="str">
        <f t="shared" si="15"/>
        <v/>
      </c>
      <c r="B225" s="53"/>
      <c r="C225" s="11" t="str">
        <f t="shared" si="12"/>
        <v/>
      </c>
      <c r="D225" s="11" t="str">
        <f t="shared" si="13"/>
        <v/>
      </c>
      <c r="E225" s="45"/>
      <c r="F225" s="11" t="str">
        <f>IFERROR(VLOOKUP(E225,Category!$D$2:$E$600,2,FALSE),"")</f>
        <v/>
      </c>
      <c r="G225" s="45"/>
      <c r="H225" s="73"/>
      <c r="I225" s="18" t="str">
        <f t="shared" si="14"/>
        <v/>
      </c>
      <c r="J225" s="45"/>
      <c r="K225" s="45"/>
    </row>
    <row r="226" spans="1:11">
      <c r="A226" s="17" t="str">
        <f t="shared" si="15"/>
        <v/>
      </c>
      <c r="B226" s="53"/>
      <c r="C226" s="11" t="str">
        <f t="shared" si="12"/>
        <v/>
      </c>
      <c r="D226" s="11" t="str">
        <f t="shared" si="13"/>
        <v/>
      </c>
      <c r="E226" s="45"/>
      <c r="F226" s="11" t="str">
        <f>IFERROR(VLOOKUP(E226,Category!$D$2:$E$600,2,FALSE),"")</f>
        <v/>
      </c>
      <c r="G226" s="45"/>
      <c r="H226" s="73"/>
      <c r="I226" s="18" t="str">
        <f t="shared" si="14"/>
        <v/>
      </c>
      <c r="J226" s="45"/>
      <c r="K226" s="45"/>
    </row>
    <row r="227" spans="1:11">
      <c r="A227" s="17" t="str">
        <f t="shared" si="15"/>
        <v/>
      </c>
      <c r="B227" s="53"/>
      <c r="C227" s="11" t="str">
        <f t="shared" si="12"/>
        <v/>
      </c>
      <c r="D227" s="11" t="str">
        <f t="shared" si="13"/>
        <v/>
      </c>
      <c r="E227" s="45"/>
      <c r="F227" s="11" t="str">
        <f>IFERROR(VLOOKUP(E227,Category!$D$2:$E$600,2,FALSE),"")</f>
        <v/>
      </c>
      <c r="G227" s="45"/>
      <c r="H227" s="73"/>
      <c r="I227" s="18" t="str">
        <f t="shared" si="14"/>
        <v/>
      </c>
      <c r="J227" s="45"/>
      <c r="K227" s="45"/>
    </row>
    <row r="228" spans="1:11">
      <c r="A228" s="17" t="str">
        <f t="shared" si="15"/>
        <v/>
      </c>
      <c r="B228" s="53"/>
      <c r="C228" s="11" t="str">
        <f t="shared" si="12"/>
        <v/>
      </c>
      <c r="D228" s="11" t="str">
        <f t="shared" si="13"/>
        <v/>
      </c>
      <c r="E228" s="45"/>
      <c r="F228" s="11" t="str">
        <f>IFERROR(VLOOKUP(E228,Category!$D$2:$E$600,2,FALSE),"")</f>
        <v/>
      </c>
      <c r="G228" s="45"/>
      <c r="H228" s="73"/>
      <c r="I228" s="18" t="str">
        <f t="shared" si="14"/>
        <v/>
      </c>
      <c r="J228" s="45"/>
      <c r="K228" s="45"/>
    </row>
    <row r="229" spans="1:11">
      <c r="A229" s="17" t="str">
        <f t="shared" si="15"/>
        <v/>
      </c>
      <c r="B229" s="53"/>
      <c r="C229" s="11" t="str">
        <f t="shared" si="12"/>
        <v/>
      </c>
      <c r="D229" s="11" t="str">
        <f t="shared" si="13"/>
        <v/>
      </c>
      <c r="E229" s="45"/>
      <c r="F229" s="11" t="str">
        <f>IFERROR(VLOOKUP(E229,Category!$D$2:$E$600,2,FALSE),"")</f>
        <v/>
      </c>
      <c r="G229" s="45"/>
      <c r="H229" s="73"/>
      <c r="I229" s="18" t="str">
        <f t="shared" si="14"/>
        <v/>
      </c>
      <c r="J229" s="45"/>
      <c r="K229" s="45"/>
    </row>
    <row r="230" spans="1:11">
      <c r="A230" s="17" t="str">
        <f t="shared" si="15"/>
        <v/>
      </c>
      <c r="B230" s="53"/>
      <c r="C230" s="11" t="str">
        <f t="shared" si="12"/>
        <v/>
      </c>
      <c r="D230" s="11" t="str">
        <f t="shared" si="13"/>
        <v/>
      </c>
      <c r="E230" s="45"/>
      <c r="F230" s="11" t="str">
        <f>IFERROR(VLOOKUP(E230,Category!$D$2:$E$600,2,FALSE),"")</f>
        <v/>
      </c>
      <c r="G230" s="45"/>
      <c r="H230" s="73"/>
      <c r="I230" s="18" t="str">
        <f t="shared" si="14"/>
        <v/>
      </c>
      <c r="J230" s="45"/>
      <c r="K230" s="45"/>
    </row>
    <row r="231" spans="1:11">
      <c r="A231" s="17" t="str">
        <f t="shared" si="15"/>
        <v/>
      </c>
      <c r="B231" s="53"/>
      <c r="C231" s="11" t="str">
        <f t="shared" si="12"/>
        <v/>
      </c>
      <c r="D231" s="11" t="str">
        <f t="shared" si="13"/>
        <v/>
      </c>
      <c r="E231" s="45"/>
      <c r="F231" s="11" t="str">
        <f>IFERROR(VLOOKUP(E231,Category!$D$2:$E$600,2,FALSE),"")</f>
        <v/>
      </c>
      <c r="G231" s="45"/>
      <c r="H231" s="73"/>
      <c r="I231" s="18" t="str">
        <f t="shared" si="14"/>
        <v/>
      </c>
      <c r="J231" s="45"/>
      <c r="K231" s="45"/>
    </row>
    <row r="232" spans="1:11">
      <c r="A232" s="17" t="str">
        <f t="shared" si="15"/>
        <v/>
      </c>
      <c r="B232" s="53"/>
      <c r="C232" s="11" t="str">
        <f t="shared" si="12"/>
        <v/>
      </c>
      <c r="D232" s="11" t="str">
        <f t="shared" si="13"/>
        <v/>
      </c>
      <c r="E232" s="45"/>
      <c r="F232" s="11" t="str">
        <f>IFERROR(VLOOKUP(E232,Category!$D$2:$E$600,2,FALSE),"")</f>
        <v/>
      </c>
      <c r="G232" s="45"/>
      <c r="H232" s="73"/>
      <c r="I232" s="18" t="str">
        <f t="shared" si="14"/>
        <v/>
      </c>
      <c r="J232" s="45"/>
      <c r="K232" s="45"/>
    </row>
    <row r="233" spans="1:11">
      <c r="A233" s="17" t="str">
        <f t="shared" si="15"/>
        <v/>
      </c>
      <c r="B233" s="53"/>
      <c r="C233" s="11" t="str">
        <f t="shared" si="12"/>
        <v/>
      </c>
      <c r="D233" s="11" t="str">
        <f t="shared" si="13"/>
        <v/>
      </c>
      <c r="E233" s="45"/>
      <c r="F233" s="11" t="str">
        <f>IFERROR(VLOOKUP(E233,Category!$D$2:$E$600,2,FALSE),"")</f>
        <v/>
      </c>
      <c r="G233" s="45"/>
      <c r="H233" s="73"/>
      <c r="I233" s="18" t="str">
        <f t="shared" si="14"/>
        <v/>
      </c>
      <c r="J233" s="45"/>
      <c r="K233" s="45"/>
    </row>
    <row r="234" spans="1:11">
      <c r="A234" s="17" t="str">
        <f t="shared" si="15"/>
        <v/>
      </c>
      <c r="B234" s="53"/>
      <c r="C234" s="11" t="str">
        <f t="shared" si="12"/>
        <v/>
      </c>
      <c r="D234" s="11" t="str">
        <f t="shared" si="13"/>
        <v/>
      </c>
      <c r="E234" s="45"/>
      <c r="F234" s="11" t="str">
        <f>IFERROR(VLOOKUP(E234,Category!$D$2:$E$600,2,FALSE),"")</f>
        <v/>
      </c>
      <c r="G234" s="45"/>
      <c r="H234" s="73"/>
      <c r="I234" s="18" t="str">
        <f t="shared" si="14"/>
        <v/>
      </c>
      <c r="J234" s="45"/>
      <c r="K234" s="45"/>
    </row>
    <row r="235" spans="1:11">
      <c r="A235" s="17" t="str">
        <f t="shared" si="15"/>
        <v/>
      </c>
      <c r="B235" s="53"/>
      <c r="C235" s="11" t="str">
        <f t="shared" si="12"/>
        <v/>
      </c>
      <c r="D235" s="11" t="str">
        <f t="shared" si="13"/>
        <v/>
      </c>
      <c r="E235" s="45"/>
      <c r="F235" s="11" t="str">
        <f>IFERROR(VLOOKUP(E235,Category!$D$2:$E$600,2,FALSE),"")</f>
        <v/>
      </c>
      <c r="G235" s="45"/>
      <c r="H235" s="73"/>
      <c r="I235" s="18" t="str">
        <f t="shared" si="14"/>
        <v/>
      </c>
      <c r="J235" s="45"/>
      <c r="K235" s="45"/>
    </row>
    <row r="236" spans="1:11">
      <c r="A236" s="17" t="str">
        <f t="shared" si="15"/>
        <v/>
      </c>
      <c r="B236" s="53"/>
      <c r="C236" s="11" t="str">
        <f t="shared" si="12"/>
        <v/>
      </c>
      <c r="D236" s="11" t="str">
        <f t="shared" si="13"/>
        <v/>
      </c>
      <c r="E236" s="45"/>
      <c r="F236" s="11" t="str">
        <f>IFERROR(VLOOKUP(E236,Category!$D$2:$E$600,2,FALSE),"")</f>
        <v/>
      </c>
      <c r="G236" s="45"/>
      <c r="H236" s="73"/>
      <c r="I236" s="18" t="str">
        <f t="shared" si="14"/>
        <v/>
      </c>
      <c r="J236" s="45"/>
      <c r="K236" s="45"/>
    </row>
    <row r="237" spans="1:11">
      <c r="A237" s="17" t="str">
        <f t="shared" si="15"/>
        <v/>
      </c>
      <c r="B237" s="53"/>
      <c r="C237" s="11" t="str">
        <f t="shared" si="12"/>
        <v/>
      </c>
      <c r="D237" s="11" t="str">
        <f t="shared" si="13"/>
        <v/>
      </c>
      <c r="E237" s="45"/>
      <c r="F237" s="11" t="str">
        <f>IFERROR(VLOOKUP(E237,Category!$D$2:$E$600,2,FALSE),"")</f>
        <v/>
      </c>
      <c r="G237" s="45"/>
      <c r="H237" s="73"/>
      <c r="I237" s="18" t="str">
        <f t="shared" si="14"/>
        <v/>
      </c>
      <c r="J237" s="45"/>
      <c r="K237" s="45"/>
    </row>
    <row r="238" spans="1:11">
      <c r="A238" s="17" t="str">
        <f t="shared" si="15"/>
        <v/>
      </c>
      <c r="B238" s="53"/>
      <c r="C238" s="11" t="str">
        <f t="shared" si="12"/>
        <v/>
      </c>
      <c r="D238" s="11" t="str">
        <f t="shared" si="13"/>
        <v/>
      </c>
      <c r="E238" s="45"/>
      <c r="F238" s="11" t="str">
        <f>IFERROR(VLOOKUP(E238,Category!$D$2:$E$600,2,FALSE),"")</f>
        <v/>
      </c>
      <c r="G238" s="45"/>
      <c r="H238" s="73"/>
      <c r="I238" s="18" t="str">
        <f t="shared" si="14"/>
        <v/>
      </c>
      <c r="J238" s="45"/>
      <c r="K238" s="45"/>
    </row>
    <row r="239" spans="1:11">
      <c r="A239" s="17" t="str">
        <f t="shared" si="15"/>
        <v/>
      </c>
      <c r="B239" s="53"/>
      <c r="C239" s="11" t="str">
        <f t="shared" si="12"/>
        <v/>
      </c>
      <c r="D239" s="11" t="str">
        <f t="shared" si="13"/>
        <v/>
      </c>
      <c r="E239" s="45"/>
      <c r="F239" s="11" t="str">
        <f>IFERROR(VLOOKUP(E239,Category!$D$2:$E$600,2,FALSE),"")</f>
        <v/>
      </c>
      <c r="G239" s="45"/>
      <c r="H239" s="73"/>
      <c r="I239" s="18" t="str">
        <f t="shared" si="14"/>
        <v/>
      </c>
      <c r="J239" s="45"/>
      <c r="K239" s="45"/>
    </row>
    <row r="240" spans="1:11">
      <c r="A240" s="17" t="str">
        <f t="shared" si="15"/>
        <v/>
      </c>
      <c r="B240" s="53"/>
      <c r="C240" s="11" t="str">
        <f t="shared" si="12"/>
        <v/>
      </c>
      <c r="D240" s="11" t="str">
        <f t="shared" si="13"/>
        <v/>
      </c>
      <c r="E240" s="45"/>
      <c r="F240" s="11" t="str">
        <f>IFERROR(VLOOKUP(E240,Category!$D$2:$E$600,2,FALSE),"")</f>
        <v/>
      </c>
      <c r="G240" s="45"/>
      <c r="H240" s="73"/>
      <c r="I240" s="18" t="str">
        <f t="shared" si="14"/>
        <v/>
      </c>
      <c r="J240" s="45"/>
      <c r="K240" s="45"/>
    </row>
    <row r="241" spans="1:11">
      <c r="A241" s="17" t="str">
        <f t="shared" si="15"/>
        <v/>
      </c>
      <c r="B241" s="53"/>
      <c r="C241" s="11" t="str">
        <f t="shared" si="12"/>
        <v/>
      </c>
      <c r="D241" s="11" t="str">
        <f t="shared" si="13"/>
        <v/>
      </c>
      <c r="E241" s="45"/>
      <c r="F241" s="11" t="str">
        <f>IFERROR(VLOOKUP(E241,Category!$D$2:$E$600,2,FALSE),"")</f>
        <v/>
      </c>
      <c r="G241" s="45"/>
      <c r="H241" s="73"/>
      <c r="I241" s="18" t="str">
        <f t="shared" si="14"/>
        <v/>
      </c>
      <c r="J241" s="45"/>
      <c r="K241" s="45"/>
    </row>
    <row r="242" spans="1:11">
      <c r="A242" s="17" t="str">
        <f t="shared" si="15"/>
        <v/>
      </c>
      <c r="B242" s="53"/>
      <c r="C242" s="11" t="str">
        <f t="shared" si="12"/>
        <v/>
      </c>
      <c r="D242" s="11" t="str">
        <f t="shared" si="13"/>
        <v/>
      </c>
      <c r="E242" s="45"/>
      <c r="F242" s="11" t="str">
        <f>IFERROR(VLOOKUP(E242,Category!$D$2:$E$600,2,FALSE),"")</f>
        <v/>
      </c>
      <c r="G242" s="45"/>
      <c r="H242" s="73"/>
      <c r="I242" s="18" t="str">
        <f t="shared" si="14"/>
        <v/>
      </c>
      <c r="J242" s="45"/>
      <c r="K242" s="45"/>
    </row>
    <row r="243" spans="1:11">
      <c r="A243" s="17" t="str">
        <f t="shared" si="15"/>
        <v/>
      </c>
      <c r="B243" s="53"/>
      <c r="C243" s="11" t="str">
        <f t="shared" si="12"/>
        <v/>
      </c>
      <c r="D243" s="11" t="str">
        <f t="shared" si="13"/>
        <v/>
      </c>
      <c r="E243" s="45"/>
      <c r="F243" s="11" t="str">
        <f>IFERROR(VLOOKUP(E243,Category!$D$2:$E$600,2,FALSE),"")</f>
        <v/>
      </c>
      <c r="G243" s="45"/>
      <c r="H243" s="73"/>
      <c r="I243" s="18" t="str">
        <f t="shared" si="14"/>
        <v/>
      </c>
      <c r="J243" s="45"/>
      <c r="K243" s="45"/>
    </row>
    <row r="244" spans="1:11">
      <c r="A244" s="17" t="str">
        <f t="shared" si="15"/>
        <v/>
      </c>
      <c r="B244" s="53"/>
      <c r="C244" s="11" t="str">
        <f t="shared" si="12"/>
        <v/>
      </c>
      <c r="D244" s="11" t="str">
        <f t="shared" si="13"/>
        <v/>
      </c>
      <c r="E244" s="45"/>
      <c r="F244" s="11" t="str">
        <f>IFERROR(VLOOKUP(E244,Category!$D$2:$E$600,2,FALSE),"")</f>
        <v/>
      </c>
      <c r="G244" s="45"/>
      <c r="H244" s="73"/>
      <c r="I244" s="18" t="str">
        <f t="shared" si="14"/>
        <v/>
      </c>
      <c r="J244" s="45"/>
      <c r="K244" s="45"/>
    </row>
    <row r="245" spans="1:11">
      <c r="A245" s="17" t="str">
        <f t="shared" si="15"/>
        <v/>
      </c>
      <c r="B245" s="53"/>
      <c r="C245" s="11" t="str">
        <f t="shared" si="12"/>
        <v/>
      </c>
      <c r="D245" s="11" t="str">
        <f t="shared" si="13"/>
        <v/>
      </c>
      <c r="E245" s="45"/>
      <c r="F245" s="11" t="str">
        <f>IFERROR(VLOOKUP(E245,Category!$D$2:$E$600,2,FALSE),"")</f>
        <v/>
      </c>
      <c r="G245" s="45"/>
      <c r="H245" s="73"/>
      <c r="I245" s="18" t="str">
        <f t="shared" si="14"/>
        <v/>
      </c>
      <c r="J245" s="45"/>
      <c r="K245" s="45"/>
    </row>
    <row r="246" spans="1:11">
      <c r="A246" s="17" t="str">
        <f t="shared" si="15"/>
        <v/>
      </c>
      <c r="B246" s="53"/>
      <c r="C246" s="11" t="str">
        <f t="shared" si="12"/>
        <v/>
      </c>
      <c r="D246" s="11" t="str">
        <f t="shared" si="13"/>
        <v/>
      </c>
      <c r="E246" s="45"/>
      <c r="F246" s="11" t="str">
        <f>IFERROR(VLOOKUP(E246,Category!$D$2:$E$600,2,FALSE),"")</f>
        <v/>
      </c>
      <c r="G246" s="45"/>
      <c r="H246" s="73"/>
      <c r="I246" s="18" t="str">
        <f t="shared" si="14"/>
        <v/>
      </c>
      <c r="J246" s="45"/>
      <c r="K246" s="45"/>
    </row>
    <row r="247" spans="1:11">
      <c r="A247" s="17" t="str">
        <f t="shared" si="15"/>
        <v/>
      </c>
      <c r="B247" s="53"/>
      <c r="C247" s="11" t="str">
        <f t="shared" si="12"/>
        <v/>
      </c>
      <c r="D247" s="11" t="str">
        <f t="shared" si="13"/>
        <v/>
      </c>
      <c r="E247" s="45"/>
      <c r="F247" s="11" t="str">
        <f>IFERROR(VLOOKUP(E247,Category!$D$2:$E$600,2,FALSE),"")</f>
        <v/>
      </c>
      <c r="G247" s="45"/>
      <c r="H247" s="73"/>
      <c r="I247" s="18" t="str">
        <f t="shared" si="14"/>
        <v/>
      </c>
      <c r="J247" s="45"/>
      <c r="K247" s="45"/>
    </row>
    <row r="248" spans="1:11">
      <c r="A248" s="17" t="str">
        <f t="shared" si="15"/>
        <v/>
      </c>
      <c r="B248" s="53"/>
      <c r="C248" s="11" t="str">
        <f t="shared" si="12"/>
        <v/>
      </c>
      <c r="D248" s="11" t="str">
        <f t="shared" si="13"/>
        <v/>
      </c>
      <c r="E248" s="45"/>
      <c r="F248" s="11" t="str">
        <f>IFERROR(VLOOKUP(E248,Category!$D$2:$E$600,2,FALSE),"")</f>
        <v/>
      </c>
      <c r="G248" s="45"/>
      <c r="H248" s="73"/>
      <c r="I248" s="18" t="str">
        <f t="shared" si="14"/>
        <v/>
      </c>
      <c r="J248" s="45"/>
      <c r="K248" s="45"/>
    </row>
    <row r="249" spans="1:11">
      <c r="A249" s="17" t="str">
        <f t="shared" si="15"/>
        <v/>
      </c>
      <c r="B249" s="53"/>
      <c r="C249" s="11" t="str">
        <f t="shared" si="12"/>
        <v/>
      </c>
      <c r="D249" s="11" t="str">
        <f t="shared" si="13"/>
        <v/>
      </c>
      <c r="E249" s="45"/>
      <c r="F249" s="11" t="str">
        <f>IFERROR(VLOOKUP(E249,Category!$D$2:$E$600,2,FALSE),"")</f>
        <v/>
      </c>
      <c r="G249" s="45"/>
      <c r="H249" s="73"/>
      <c r="I249" s="18" t="str">
        <f t="shared" si="14"/>
        <v/>
      </c>
      <c r="J249" s="45"/>
      <c r="K249" s="45"/>
    </row>
    <row r="250" spans="1:11">
      <c r="A250" s="17" t="str">
        <f t="shared" si="15"/>
        <v/>
      </c>
      <c r="B250" s="53"/>
      <c r="C250" s="11" t="str">
        <f t="shared" si="12"/>
        <v/>
      </c>
      <c r="D250" s="11" t="str">
        <f t="shared" si="13"/>
        <v/>
      </c>
      <c r="E250" s="45"/>
      <c r="F250" s="11" t="str">
        <f>IFERROR(VLOOKUP(E250,Category!$D$2:$E$600,2,FALSE),"")</f>
        <v/>
      </c>
      <c r="G250" s="45"/>
      <c r="H250" s="73"/>
      <c r="I250" s="18" t="str">
        <f t="shared" si="14"/>
        <v/>
      </c>
      <c r="J250" s="45"/>
      <c r="K250" s="45"/>
    </row>
    <row r="251" spans="1:11">
      <c r="A251" s="17" t="str">
        <f t="shared" si="15"/>
        <v/>
      </c>
      <c r="B251" s="53"/>
      <c r="C251" s="11" t="str">
        <f t="shared" si="12"/>
        <v/>
      </c>
      <c r="D251" s="11" t="str">
        <f t="shared" si="13"/>
        <v/>
      </c>
      <c r="E251" s="45"/>
      <c r="F251" s="11" t="str">
        <f>IFERROR(VLOOKUP(E251,Category!$D$2:$E$600,2,FALSE),"")</f>
        <v/>
      </c>
      <c r="G251" s="45"/>
      <c r="H251" s="73"/>
      <c r="I251" s="18" t="str">
        <f t="shared" si="14"/>
        <v/>
      </c>
      <c r="J251" s="45"/>
      <c r="K251" s="45"/>
    </row>
    <row r="252" spans="1:11">
      <c r="A252" s="17" t="str">
        <f t="shared" si="15"/>
        <v/>
      </c>
      <c r="B252" s="53"/>
      <c r="C252" s="11" t="str">
        <f t="shared" si="12"/>
        <v/>
      </c>
      <c r="D252" s="11" t="str">
        <f t="shared" si="13"/>
        <v/>
      </c>
      <c r="E252" s="45"/>
      <c r="F252" s="11" t="str">
        <f>IFERROR(VLOOKUP(E252,Category!$D$2:$E$600,2,FALSE),"")</f>
        <v/>
      </c>
      <c r="G252" s="45"/>
      <c r="H252" s="73"/>
      <c r="I252" s="18" t="str">
        <f t="shared" si="14"/>
        <v/>
      </c>
      <c r="J252" s="45"/>
      <c r="K252" s="45"/>
    </row>
    <row r="253" spans="1:11">
      <c r="A253" s="17" t="str">
        <f t="shared" si="15"/>
        <v/>
      </c>
      <c r="B253" s="53"/>
      <c r="C253" s="11" t="str">
        <f t="shared" si="12"/>
        <v/>
      </c>
      <c r="D253" s="11" t="str">
        <f t="shared" si="13"/>
        <v/>
      </c>
      <c r="E253" s="45"/>
      <c r="F253" s="11" t="str">
        <f>IFERROR(VLOOKUP(E253,Category!$D$2:$E$600,2,FALSE),"")</f>
        <v/>
      </c>
      <c r="G253" s="45"/>
      <c r="H253" s="73"/>
      <c r="I253" s="18" t="str">
        <f t="shared" si="14"/>
        <v/>
      </c>
      <c r="J253" s="45"/>
      <c r="K253" s="45"/>
    </row>
    <row r="254" spans="1:11">
      <c r="A254" s="17" t="str">
        <f t="shared" si="15"/>
        <v/>
      </c>
      <c r="B254" s="53"/>
      <c r="C254" s="11" t="str">
        <f t="shared" si="12"/>
        <v/>
      </c>
      <c r="D254" s="11" t="str">
        <f t="shared" si="13"/>
        <v/>
      </c>
      <c r="E254" s="45"/>
      <c r="F254" s="11" t="str">
        <f>IFERROR(VLOOKUP(E254,Category!$D$2:$E$600,2,FALSE),"")</f>
        <v/>
      </c>
      <c r="G254" s="45"/>
      <c r="H254" s="73"/>
      <c r="I254" s="18" t="str">
        <f t="shared" si="14"/>
        <v/>
      </c>
      <c r="J254" s="45"/>
      <c r="K254" s="45"/>
    </row>
    <row r="255" spans="1:11">
      <c r="A255" s="17" t="str">
        <f t="shared" si="15"/>
        <v/>
      </c>
      <c r="B255" s="53"/>
      <c r="C255" s="11" t="str">
        <f t="shared" si="12"/>
        <v/>
      </c>
      <c r="D255" s="11" t="str">
        <f t="shared" si="13"/>
        <v/>
      </c>
      <c r="E255" s="45"/>
      <c r="F255" s="11" t="str">
        <f>IFERROR(VLOOKUP(E255,Category!$D$2:$E$600,2,FALSE),"")</f>
        <v/>
      </c>
      <c r="G255" s="45"/>
      <c r="H255" s="73"/>
      <c r="I255" s="18" t="str">
        <f t="shared" si="14"/>
        <v/>
      </c>
      <c r="J255" s="45"/>
      <c r="K255" s="45"/>
    </row>
    <row r="256" spans="1:11">
      <c r="A256" s="17" t="str">
        <f t="shared" si="15"/>
        <v/>
      </c>
      <c r="B256" s="53"/>
      <c r="C256" s="11" t="str">
        <f t="shared" si="12"/>
        <v/>
      </c>
      <c r="D256" s="11" t="str">
        <f t="shared" si="13"/>
        <v/>
      </c>
      <c r="E256" s="45"/>
      <c r="F256" s="11" t="str">
        <f>IFERROR(VLOOKUP(E256,Category!$D$2:$E$600,2,FALSE),"")</f>
        <v/>
      </c>
      <c r="G256" s="45"/>
      <c r="H256" s="73"/>
      <c r="I256" s="18" t="str">
        <f t="shared" si="14"/>
        <v/>
      </c>
      <c r="J256" s="45"/>
      <c r="K256" s="45"/>
    </row>
    <row r="257" spans="1:11">
      <c r="A257" s="17" t="str">
        <f t="shared" si="15"/>
        <v/>
      </c>
      <c r="B257" s="53"/>
      <c r="C257" s="11" t="str">
        <f t="shared" si="12"/>
        <v/>
      </c>
      <c r="D257" s="11" t="str">
        <f t="shared" si="13"/>
        <v/>
      </c>
      <c r="E257" s="45"/>
      <c r="F257" s="11" t="str">
        <f>IFERROR(VLOOKUP(E257,Category!$D$2:$E$600,2,FALSE),"")</f>
        <v/>
      </c>
      <c r="G257" s="45"/>
      <c r="H257" s="73"/>
      <c r="I257" s="18" t="str">
        <f t="shared" si="14"/>
        <v/>
      </c>
      <c r="J257" s="45"/>
      <c r="K257" s="45"/>
    </row>
    <row r="258" spans="1:11">
      <c r="A258" s="17" t="str">
        <f t="shared" si="15"/>
        <v/>
      </c>
      <c r="B258" s="53"/>
      <c r="C258" s="11" t="str">
        <f t="shared" si="12"/>
        <v/>
      </c>
      <c r="D258" s="11" t="str">
        <f t="shared" si="13"/>
        <v/>
      </c>
      <c r="E258" s="45"/>
      <c r="F258" s="11" t="str">
        <f>IFERROR(VLOOKUP(E258,Category!$D$2:$E$600,2,FALSE),"")</f>
        <v/>
      </c>
      <c r="G258" s="45"/>
      <c r="H258" s="73"/>
      <c r="I258" s="18" t="str">
        <f t="shared" si="14"/>
        <v/>
      </c>
      <c r="J258" s="45"/>
      <c r="K258" s="45"/>
    </row>
    <row r="259" spans="1:11">
      <c r="A259" s="17" t="str">
        <f t="shared" si="15"/>
        <v/>
      </c>
      <c r="B259" s="53"/>
      <c r="C259" s="11" t="str">
        <f t="shared" ref="C259:C322" si="16">IF(B259=0,"",TEXT(B259,"mmmm"))</f>
        <v/>
      </c>
      <c r="D259" s="11" t="str">
        <f t="shared" ref="D259:D322" si="17">IF(B259=0,"",TEXT(B259,"yyyy"))</f>
        <v/>
      </c>
      <c r="E259" s="45"/>
      <c r="F259" s="11" t="str">
        <f>IFERROR(VLOOKUP(E259,Category!$D$2:$E$600,2,FALSE),"")</f>
        <v/>
      </c>
      <c r="G259" s="45"/>
      <c r="H259" s="73"/>
      <c r="I259" s="18" t="str">
        <f t="shared" ref="I259:I322" si="18">IF(G259*H259=0,"",G259*H259)</f>
        <v/>
      </c>
      <c r="J259" s="45"/>
      <c r="K259" s="45"/>
    </row>
    <row r="260" spans="1:11">
      <c r="A260" s="17" t="str">
        <f t="shared" ref="A260:A323" si="19">IF(E260&gt;0,A259+1,"")</f>
        <v/>
      </c>
      <c r="B260" s="53"/>
      <c r="C260" s="11" t="str">
        <f t="shared" si="16"/>
        <v/>
      </c>
      <c r="D260" s="11" t="str">
        <f t="shared" si="17"/>
        <v/>
      </c>
      <c r="E260" s="45"/>
      <c r="F260" s="11" t="str">
        <f>IFERROR(VLOOKUP(E260,Category!$D$2:$E$600,2,FALSE),"")</f>
        <v/>
      </c>
      <c r="G260" s="45"/>
      <c r="H260" s="73"/>
      <c r="I260" s="18" t="str">
        <f t="shared" si="18"/>
        <v/>
      </c>
      <c r="J260" s="45"/>
      <c r="K260" s="45"/>
    </row>
    <row r="261" spans="1:11">
      <c r="A261" s="17" t="str">
        <f t="shared" si="19"/>
        <v/>
      </c>
      <c r="B261" s="53"/>
      <c r="C261" s="11" t="str">
        <f t="shared" si="16"/>
        <v/>
      </c>
      <c r="D261" s="11" t="str">
        <f t="shared" si="17"/>
        <v/>
      </c>
      <c r="E261" s="45"/>
      <c r="F261" s="11" t="str">
        <f>IFERROR(VLOOKUP(E261,Category!$D$2:$E$600,2,FALSE),"")</f>
        <v/>
      </c>
      <c r="G261" s="45"/>
      <c r="H261" s="73"/>
      <c r="I261" s="18" t="str">
        <f t="shared" si="18"/>
        <v/>
      </c>
      <c r="J261" s="45"/>
      <c r="K261" s="45"/>
    </row>
    <row r="262" spans="1:11">
      <c r="A262" s="17" t="str">
        <f t="shared" si="19"/>
        <v/>
      </c>
      <c r="B262" s="53"/>
      <c r="C262" s="11" t="str">
        <f t="shared" si="16"/>
        <v/>
      </c>
      <c r="D262" s="11" t="str">
        <f t="shared" si="17"/>
        <v/>
      </c>
      <c r="E262" s="45"/>
      <c r="F262" s="11" t="str">
        <f>IFERROR(VLOOKUP(E262,Category!$D$2:$E$600,2,FALSE),"")</f>
        <v/>
      </c>
      <c r="G262" s="45"/>
      <c r="H262" s="73"/>
      <c r="I262" s="18" t="str">
        <f t="shared" si="18"/>
        <v/>
      </c>
      <c r="J262" s="45"/>
      <c r="K262" s="45"/>
    </row>
    <row r="263" spans="1:11">
      <c r="A263" s="17" t="str">
        <f t="shared" si="19"/>
        <v/>
      </c>
      <c r="B263" s="53"/>
      <c r="C263" s="11" t="str">
        <f t="shared" si="16"/>
        <v/>
      </c>
      <c r="D263" s="11" t="str">
        <f t="shared" si="17"/>
        <v/>
      </c>
      <c r="E263" s="45"/>
      <c r="F263" s="11" t="str">
        <f>IFERROR(VLOOKUP(E263,Category!$D$2:$E$600,2,FALSE),"")</f>
        <v/>
      </c>
      <c r="G263" s="45"/>
      <c r="H263" s="73"/>
      <c r="I263" s="18" t="str">
        <f t="shared" si="18"/>
        <v/>
      </c>
      <c r="J263" s="45"/>
      <c r="K263" s="45"/>
    </row>
    <row r="264" spans="1:11">
      <c r="A264" s="17" t="str">
        <f t="shared" si="19"/>
        <v/>
      </c>
      <c r="B264" s="53"/>
      <c r="C264" s="11" t="str">
        <f t="shared" si="16"/>
        <v/>
      </c>
      <c r="D264" s="11" t="str">
        <f t="shared" si="17"/>
        <v/>
      </c>
      <c r="E264" s="45"/>
      <c r="F264" s="11" t="str">
        <f>IFERROR(VLOOKUP(E264,Category!$D$2:$E$600,2,FALSE),"")</f>
        <v/>
      </c>
      <c r="G264" s="45"/>
      <c r="H264" s="73"/>
      <c r="I264" s="18" t="str">
        <f t="shared" si="18"/>
        <v/>
      </c>
      <c r="J264" s="45"/>
      <c r="K264" s="45"/>
    </row>
    <row r="265" spans="1:11">
      <c r="A265" s="17" t="str">
        <f t="shared" si="19"/>
        <v/>
      </c>
      <c r="B265" s="53"/>
      <c r="C265" s="11" t="str">
        <f t="shared" si="16"/>
        <v/>
      </c>
      <c r="D265" s="11" t="str">
        <f t="shared" si="17"/>
        <v/>
      </c>
      <c r="E265" s="45"/>
      <c r="F265" s="11" t="str">
        <f>IFERROR(VLOOKUP(E265,Category!$D$2:$E$600,2,FALSE),"")</f>
        <v/>
      </c>
      <c r="G265" s="45"/>
      <c r="H265" s="73"/>
      <c r="I265" s="18" t="str">
        <f t="shared" si="18"/>
        <v/>
      </c>
      <c r="J265" s="45"/>
      <c r="K265" s="45"/>
    </row>
    <row r="266" spans="1:11">
      <c r="A266" s="17" t="str">
        <f t="shared" si="19"/>
        <v/>
      </c>
      <c r="B266" s="53"/>
      <c r="C266" s="11" t="str">
        <f t="shared" si="16"/>
        <v/>
      </c>
      <c r="D266" s="11" t="str">
        <f t="shared" si="17"/>
        <v/>
      </c>
      <c r="E266" s="45"/>
      <c r="F266" s="11" t="str">
        <f>IFERROR(VLOOKUP(E266,Category!$D$2:$E$600,2,FALSE),"")</f>
        <v/>
      </c>
      <c r="G266" s="45"/>
      <c r="H266" s="73"/>
      <c r="I266" s="18" t="str">
        <f t="shared" si="18"/>
        <v/>
      </c>
      <c r="J266" s="45"/>
      <c r="K266" s="45"/>
    </row>
    <row r="267" spans="1:11">
      <c r="A267" s="17" t="str">
        <f t="shared" si="19"/>
        <v/>
      </c>
      <c r="B267" s="53"/>
      <c r="C267" s="11" t="str">
        <f t="shared" si="16"/>
        <v/>
      </c>
      <c r="D267" s="11" t="str">
        <f t="shared" si="17"/>
        <v/>
      </c>
      <c r="E267" s="45"/>
      <c r="F267" s="11" t="str">
        <f>IFERROR(VLOOKUP(E267,Category!$D$2:$E$600,2,FALSE),"")</f>
        <v/>
      </c>
      <c r="G267" s="45"/>
      <c r="H267" s="73"/>
      <c r="I267" s="18" t="str">
        <f t="shared" si="18"/>
        <v/>
      </c>
      <c r="J267" s="45"/>
      <c r="K267" s="45"/>
    </row>
    <row r="268" spans="1:11">
      <c r="A268" s="17" t="str">
        <f t="shared" si="19"/>
        <v/>
      </c>
      <c r="B268" s="53"/>
      <c r="C268" s="11" t="str">
        <f t="shared" si="16"/>
        <v/>
      </c>
      <c r="D268" s="11" t="str">
        <f t="shared" si="17"/>
        <v/>
      </c>
      <c r="E268" s="45"/>
      <c r="F268" s="11" t="str">
        <f>IFERROR(VLOOKUP(E268,Category!$D$2:$E$600,2,FALSE),"")</f>
        <v/>
      </c>
      <c r="G268" s="45"/>
      <c r="H268" s="73"/>
      <c r="I268" s="18" t="str">
        <f t="shared" si="18"/>
        <v/>
      </c>
      <c r="J268" s="45"/>
      <c r="K268" s="45"/>
    </row>
    <row r="269" spans="1:11">
      <c r="A269" s="17" t="str">
        <f t="shared" si="19"/>
        <v/>
      </c>
      <c r="B269" s="53"/>
      <c r="C269" s="11" t="str">
        <f t="shared" si="16"/>
        <v/>
      </c>
      <c r="D269" s="11" t="str">
        <f t="shared" si="17"/>
        <v/>
      </c>
      <c r="E269" s="45"/>
      <c r="F269" s="11" t="str">
        <f>IFERROR(VLOOKUP(E269,Category!$D$2:$E$600,2,FALSE),"")</f>
        <v/>
      </c>
      <c r="G269" s="45"/>
      <c r="H269" s="73"/>
      <c r="I269" s="18" t="str">
        <f t="shared" si="18"/>
        <v/>
      </c>
      <c r="J269" s="45"/>
      <c r="K269" s="45"/>
    </row>
    <row r="270" spans="1:11">
      <c r="A270" s="17" t="str">
        <f t="shared" si="19"/>
        <v/>
      </c>
      <c r="B270" s="53"/>
      <c r="C270" s="11" t="str">
        <f t="shared" si="16"/>
        <v/>
      </c>
      <c r="D270" s="11" t="str">
        <f t="shared" si="17"/>
        <v/>
      </c>
      <c r="E270" s="45"/>
      <c r="F270" s="11" t="str">
        <f>IFERROR(VLOOKUP(E270,Category!$D$2:$E$600,2,FALSE),"")</f>
        <v/>
      </c>
      <c r="G270" s="45"/>
      <c r="H270" s="73"/>
      <c r="I270" s="18" t="str">
        <f t="shared" si="18"/>
        <v/>
      </c>
      <c r="J270" s="45"/>
      <c r="K270" s="45"/>
    </row>
    <row r="271" spans="1:11">
      <c r="A271" s="17" t="str">
        <f t="shared" si="19"/>
        <v/>
      </c>
      <c r="B271" s="53"/>
      <c r="C271" s="11" t="str">
        <f t="shared" si="16"/>
        <v/>
      </c>
      <c r="D271" s="11" t="str">
        <f t="shared" si="17"/>
        <v/>
      </c>
      <c r="E271" s="45"/>
      <c r="F271" s="11" t="str">
        <f>IFERROR(VLOOKUP(E271,Category!$D$2:$E$600,2,FALSE),"")</f>
        <v/>
      </c>
      <c r="G271" s="45"/>
      <c r="H271" s="73"/>
      <c r="I271" s="18" t="str">
        <f t="shared" si="18"/>
        <v/>
      </c>
      <c r="J271" s="45"/>
      <c r="K271" s="45"/>
    </row>
    <row r="272" spans="1:11">
      <c r="A272" s="17" t="str">
        <f t="shared" si="19"/>
        <v/>
      </c>
      <c r="B272" s="53"/>
      <c r="C272" s="11" t="str">
        <f t="shared" si="16"/>
        <v/>
      </c>
      <c r="D272" s="11" t="str">
        <f t="shared" si="17"/>
        <v/>
      </c>
      <c r="E272" s="45"/>
      <c r="F272" s="11" t="str">
        <f>IFERROR(VLOOKUP(E272,Category!$D$2:$E$600,2,FALSE),"")</f>
        <v/>
      </c>
      <c r="G272" s="45"/>
      <c r="H272" s="73"/>
      <c r="I272" s="18" t="str">
        <f t="shared" si="18"/>
        <v/>
      </c>
      <c r="J272" s="45"/>
      <c r="K272" s="45"/>
    </row>
    <row r="273" spans="1:11">
      <c r="A273" s="17" t="str">
        <f t="shared" si="19"/>
        <v/>
      </c>
      <c r="B273" s="53"/>
      <c r="C273" s="11" t="str">
        <f t="shared" si="16"/>
        <v/>
      </c>
      <c r="D273" s="11" t="str">
        <f t="shared" si="17"/>
        <v/>
      </c>
      <c r="E273" s="45"/>
      <c r="F273" s="11" t="str">
        <f>IFERROR(VLOOKUP(E273,Category!$D$2:$E$600,2,FALSE),"")</f>
        <v/>
      </c>
      <c r="G273" s="45"/>
      <c r="H273" s="73"/>
      <c r="I273" s="18" t="str">
        <f t="shared" si="18"/>
        <v/>
      </c>
      <c r="J273" s="45"/>
      <c r="K273" s="45"/>
    </row>
    <row r="274" spans="1:11">
      <c r="A274" s="17" t="str">
        <f t="shared" si="19"/>
        <v/>
      </c>
      <c r="B274" s="53"/>
      <c r="C274" s="11" t="str">
        <f t="shared" si="16"/>
        <v/>
      </c>
      <c r="D274" s="11" t="str">
        <f t="shared" si="17"/>
        <v/>
      </c>
      <c r="E274" s="45"/>
      <c r="F274" s="11" t="str">
        <f>IFERROR(VLOOKUP(E274,Category!$D$2:$E$600,2,FALSE),"")</f>
        <v/>
      </c>
      <c r="G274" s="45"/>
      <c r="H274" s="73"/>
      <c r="I274" s="18" t="str">
        <f t="shared" si="18"/>
        <v/>
      </c>
      <c r="J274" s="45"/>
      <c r="K274" s="45"/>
    </row>
    <row r="275" spans="1:11">
      <c r="A275" s="17" t="str">
        <f t="shared" si="19"/>
        <v/>
      </c>
      <c r="B275" s="53"/>
      <c r="C275" s="11" t="str">
        <f t="shared" si="16"/>
        <v/>
      </c>
      <c r="D275" s="11" t="str">
        <f t="shared" si="17"/>
        <v/>
      </c>
      <c r="E275" s="45"/>
      <c r="F275" s="11" t="str">
        <f>IFERROR(VLOOKUP(E275,Category!$D$2:$E$600,2,FALSE),"")</f>
        <v/>
      </c>
      <c r="G275" s="45"/>
      <c r="H275" s="73"/>
      <c r="I275" s="18" t="str">
        <f t="shared" si="18"/>
        <v/>
      </c>
      <c r="J275" s="45"/>
      <c r="K275" s="45"/>
    </row>
    <row r="276" spans="1:11">
      <c r="A276" s="17" t="str">
        <f t="shared" si="19"/>
        <v/>
      </c>
      <c r="B276" s="53"/>
      <c r="C276" s="11" t="str">
        <f t="shared" si="16"/>
        <v/>
      </c>
      <c r="D276" s="11" t="str">
        <f t="shared" si="17"/>
        <v/>
      </c>
      <c r="E276" s="45"/>
      <c r="F276" s="11" t="str">
        <f>IFERROR(VLOOKUP(E276,Category!$D$2:$E$600,2,FALSE),"")</f>
        <v/>
      </c>
      <c r="G276" s="45"/>
      <c r="H276" s="73"/>
      <c r="I276" s="18" t="str">
        <f t="shared" si="18"/>
        <v/>
      </c>
      <c r="J276" s="45"/>
      <c r="K276" s="45"/>
    </row>
    <row r="277" spans="1:11">
      <c r="A277" s="17" t="str">
        <f t="shared" si="19"/>
        <v/>
      </c>
      <c r="B277" s="53"/>
      <c r="C277" s="11" t="str">
        <f t="shared" si="16"/>
        <v/>
      </c>
      <c r="D277" s="11" t="str">
        <f t="shared" si="17"/>
        <v/>
      </c>
      <c r="E277" s="45"/>
      <c r="F277" s="11" t="str">
        <f>IFERROR(VLOOKUP(E277,Category!$D$2:$E$600,2,FALSE),"")</f>
        <v/>
      </c>
      <c r="G277" s="45"/>
      <c r="H277" s="73"/>
      <c r="I277" s="18" t="str">
        <f t="shared" si="18"/>
        <v/>
      </c>
      <c r="J277" s="45"/>
      <c r="K277" s="45"/>
    </row>
    <row r="278" spans="1:11">
      <c r="A278" s="17" t="str">
        <f t="shared" si="19"/>
        <v/>
      </c>
      <c r="B278" s="53"/>
      <c r="C278" s="11" t="str">
        <f t="shared" si="16"/>
        <v/>
      </c>
      <c r="D278" s="11" t="str">
        <f t="shared" si="17"/>
        <v/>
      </c>
      <c r="E278" s="45"/>
      <c r="F278" s="11" t="str">
        <f>IFERROR(VLOOKUP(E278,Category!$D$2:$E$600,2,FALSE),"")</f>
        <v/>
      </c>
      <c r="G278" s="45"/>
      <c r="H278" s="73"/>
      <c r="I278" s="18" t="str">
        <f t="shared" si="18"/>
        <v/>
      </c>
      <c r="J278" s="45"/>
      <c r="K278" s="45"/>
    </row>
    <row r="279" spans="1:11">
      <c r="A279" s="17" t="str">
        <f t="shared" si="19"/>
        <v/>
      </c>
      <c r="B279" s="53"/>
      <c r="C279" s="11" t="str">
        <f t="shared" si="16"/>
        <v/>
      </c>
      <c r="D279" s="11" t="str">
        <f t="shared" si="17"/>
        <v/>
      </c>
      <c r="E279" s="45"/>
      <c r="F279" s="11" t="str">
        <f>IFERROR(VLOOKUP(E279,Category!$D$2:$E$600,2,FALSE),"")</f>
        <v/>
      </c>
      <c r="G279" s="45"/>
      <c r="H279" s="73"/>
      <c r="I279" s="18" t="str">
        <f t="shared" si="18"/>
        <v/>
      </c>
      <c r="J279" s="45"/>
      <c r="K279" s="45"/>
    </row>
    <row r="280" spans="1:11">
      <c r="A280" s="17" t="str">
        <f t="shared" si="19"/>
        <v/>
      </c>
      <c r="B280" s="53"/>
      <c r="C280" s="11" t="str">
        <f t="shared" si="16"/>
        <v/>
      </c>
      <c r="D280" s="11" t="str">
        <f t="shared" si="17"/>
        <v/>
      </c>
      <c r="E280" s="45"/>
      <c r="F280" s="11" t="str">
        <f>IFERROR(VLOOKUP(E280,Category!$D$2:$E$600,2,FALSE),"")</f>
        <v/>
      </c>
      <c r="G280" s="45"/>
      <c r="H280" s="73"/>
      <c r="I280" s="18" t="str">
        <f t="shared" si="18"/>
        <v/>
      </c>
      <c r="J280" s="45"/>
      <c r="K280" s="45"/>
    </row>
    <row r="281" spans="1:11">
      <c r="A281" s="17" t="str">
        <f t="shared" si="19"/>
        <v/>
      </c>
      <c r="B281" s="53"/>
      <c r="C281" s="11" t="str">
        <f t="shared" si="16"/>
        <v/>
      </c>
      <c r="D281" s="11" t="str">
        <f t="shared" si="17"/>
        <v/>
      </c>
      <c r="E281" s="45"/>
      <c r="F281" s="11" t="str">
        <f>IFERROR(VLOOKUP(E281,Category!$D$2:$E$600,2,FALSE),"")</f>
        <v/>
      </c>
      <c r="G281" s="45"/>
      <c r="H281" s="73"/>
      <c r="I281" s="18" t="str">
        <f t="shared" si="18"/>
        <v/>
      </c>
      <c r="J281" s="45"/>
      <c r="K281" s="45"/>
    </row>
    <row r="282" spans="1:11">
      <c r="A282" s="17" t="str">
        <f t="shared" si="19"/>
        <v/>
      </c>
      <c r="B282" s="53"/>
      <c r="C282" s="11" t="str">
        <f t="shared" si="16"/>
        <v/>
      </c>
      <c r="D282" s="11" t="str">
        <f t="shared" si="17"/>
        <v/>
      </c>
      <c r="E282" s="45"/>
      <c r="F282" s="11" t="str">
        <f>IFERROR(VLOOKUP(E282,Category!$D$2:$E$600,2,FALSE),"")</f>
        <v/>
      </c>
      <c r="G282" s="45"/>
      <c r="H282" s="73"/>
      <c r="I282" s="18" t="str">
        <f t="shared" si="18"/>
        <v/>
      </c>
      <c r="J282" s="45"/>
      <c r="K282" s="45"/>
    </row>
    <row r="283" spans="1:11">
      <c r="A283" s="17" t="str">
        <f t="shared" si="19"/>
        <v/>
      </c>
      <c r="B283" s="53"/>
      <c r="C283" s="11" t="str">
        <f t="shared" si="16"/>
        <v/>
      </c>
      <c r="D283" s="11" t="str">
        <f t="shared" si="17"/>
        <v/>
      </c>
      <c r="E283" s="45"/>
      <c r="F283" s="11" t="str">
        <f>IFERROR(VLOOKUP(E283,Category!$D$2:$E$600,2,FALSE),"")</f>
        <v/>
      </c>
      <c r="G283" s="45"/>
      <c r="H283" s="73"/>
      <c r="I283" s="18" t="str">
        <f t="shared" si="18"/>
        <v/>
      </c>
      <c r="J283" s="45"/>
      <c r="K283" s="45"/>
    </row>
    <row r="284" spans="1:11">
      <c r="A284" s="17" t="str">
        <f t="shared" si="19"/>
        <v/>
      </c>
      <c r="B284" s="53"/>
      <c r="C284" s="11" t="str">
        <f t="shared" si="16"/>
        <v/>
      </c>
      <c r="D284" s="11" t="str">
        <f t="shared" si="17"/>
        <v/>
      </c>
      <c r="E284" s="45"/>
      <c r="F284" s="11" t="str">
        <f>IFERROR(VLOOKUP(E284,Category!$D$2:$E$600,2,FALSE),"")</f>
        <v/>
      </c>
      <c r="G284" s="45"/>
      <c r="H284" s="73"/>
      <c r="I284" s="18" t="str">
        <f t="shared" si="18"/>
        <v/>
      </c>
      <c r="J284" s="45"/>
      <c r="K284" s="45"/>
    </row>
    <row r="285" spans="1:11">
      <c r="A285" s="17" t="str">
        <f t="shared" si="19"/>
        <v/>
      </c>
      <c r="B285" s="53"/>
      <c r="C285" s="11" t="str">
        <f t="shared" si="16"/>
        <v/>
      </c>
      <c r="D285" s="11" t="str">
        <f t="shared" si="17"/>
        <v/>
      </c>
      <c r="E285" s="45"/>
      <c r="F285" s="11" t="str">
        <f>IFERROR(VLOOKUP(E285,Category!$D$2:$E$600,2,FALSE),"")</f>
        <v/>
      </c>
      <c r="G285" s="45"/>
      <c r="H285" s="73"/>
      <c r="I285" s="18" t="str">
        <f t="shared" si="18"/>
        <v/>
      </c>
      <c r="J285" s="45"/>
      <c r="K285" s="45"/>
    </row>
    <row r="286" spans="1:11">
      <c r="A286" s="17" t="str">
        <f t="shared" si="19"/>
        <v/>
      </c>
      <c r="B286" s="53"/>
      <c r="C286" s="11" t="str">
        <f t="shared" si="16"/>
        <v/>
      </c>
      <c r="D286" s="11" t="str">
        <f t="shared" si="17"/>
        <v/>
      </c>
      <c r="E286" s="45"/>
      <c r="F286" s="11" t="str">
        <f>IFERROR(VLOOKUP(E286,Category!$D$2:$E$600,2,FALSE),"")</f>
        <v/>
      </c>
      <c r="G286" s="45"/>
      <c r="H286" s="73"/>
      <c r="I286" s="18" t="str">
        <f t="shared" si="18"/>
        <v/>
      </c>
      <c r="J286" s="45"/>
      <c r="K286" s="45"/>
    </row>
    <row r="287" spans="1:11">
      <c r="A287" s="17" t="str">
        <f t="shared" si="19"/>
        <v/>
      </c>
      <c r="B287" s="53"/>
      <c r="C287" s="11" t="str">
        <f t="shared" si="16"/>
        <v/>
      </c>
      <c r="D287" s="11" t="str">
        <f t="shared" si="17"/>
        <v/>
      </c>
      <c r="E287" s="45"/>
      <c r="F287" s="11" t="str">
        <f>IFERROR(VLOOKUP(E287,Category!$D$2:$E$600,2,FALSE),"")</f>
        <v/>
      </c>
      <c r="G287" s="45"/>
      <c r="H287" s="73"/>
      <c r="I287" s="18" t="str">
        <f t="shared" si="18"/>
        <v/>
      </c>
      <c r="J287" s="45"/>
      <c r="K287" s="45"/>
    </row>
    <row r="288" spans="1:11">
      <c r="A288" s="17" t="str">
        <f t="shared" si="19"/>
        <v/>
      </c>
      <c r="B288" s="53"/>
      <c r="C288" s="11" t="str">
        <f t="shared" si="16"/>
        <v/>
      </c>
      <c r="D288" s="11" t="str">
        <f t="shared" si="17"/>
        <v/>
      </c>
      <c r="E288" s="45"/>
      <c r="F288" s="11" t="str">
        <f>IFERROR(VLOOKUP(E288,Category!$D$2:$E$600,2,FALSE),"")</f>
        <v/>
      </c>
      <c r="G288" s="45"/>
      <c r="H288" s="73"/>
      <c r="I288" s="18" t="str">
        <f t="shared" si="18"/>
        <v/>
      </c>
      <c r="J288" s="45"/>
      <c r="K288" s="45"/>
    </row>
    <row r="289" spans="1:11">
      <c r="A289" s="17" t="str">
        <f t="shared" si="19"/>
        <v/>
      </c>
      <c r="B289" s="53"/>
      <c r="C289" s="11" t="str">
        <f t="shared" si="16"/>
        <v/>
      </c>
      <c r="D289" s="11" t="str">
        <f t="shared" si="17"/>
        <v/>
      </c>
      <c r="E289" s="45"/>
      <c r="F289" s="11" t="str">
        <f>IFERROR(VLOOKUP(E289,Category!$D$2:$E$600,2,FALSE),"")</f>
        <v/>
      </c>
      <c r="G289" s="45"/>
      <c r="H289" s="73"/>
      <c r="I289" s="18" t="str">
        <f t="shared" si="18"/>
        <v/>
      </c>
      <c r="J289" s="45"/>
      <c r="K289" s="45"/>
    </row>
    <row r="290" spans="1:11">
      <c r="A290" s="17" t="str">
        <f t="shared" si="19"/>
        <v/>
      </c>
      <c r="B290" s="53"/>
      <c r="C290" s="11" t="str">
        <f t="shared" si="16"/>
        <v/>
      </c>
      <c r="D290" s="11" t="str">
        <f t="shared" si="17"/>
        <v/>
      </c>
      <c r="E290" s="45"/>
      <c r="F290" s="11" t="str">
        <f>IFERROR(VLOOKUP(E290,Category!$D$2:$E$600,2,FALSE),"")</f>
        <v/>
      </c>
      <c r="G290" s="45"/>
      <c r="H290" s="73"/>
      <c r="I290" s="18" t="str">
        <f t="shared" si="18"/>
        <v/>
      </c>
      <c r="J290" s="45"/>
      <c r="K290" s="45"/>
    </row>
    <row r="291" spans="1:11">
      <c r="A291" s="17" t="str">
        <f t="shared" si="19"/>
        <v/>
      </c>
      <c r="B291" s="53"/>
      <c r="C291" s="11" t="str">
        <f t="shared" si="16"/>
        <v/>
      </c>
      <c r="D291" s="11" t="str">
        <f t="shared" si="17"/>
        <v/>
      </c>
      <c r="E291" s="45"/>
      <c r="F291" s="11" t="str">
        <f>IFERROR(VLOOKUP(E291,Category!$D$2:$E$600,2,FALSE),"")</f>
        <v/>
      </c>
      <c r="G291" s="45"/>
      <c r="H291" s="73"/>
      <c r="I291" s="18" t="str">
        <f t="shared" si="18"/>
        <v/>
      </c>
      <c r="J291" s="45"/>
      <c r="K291" s="45"/>
    </row>
    <row r="292" spans="1:11">
      <c r="A292" s="17" t="str">
        <f t="shared" si="19"/>
        <v/>
      </c>
      <c r="B292" s="53"/>
      <c r="C292" s="11" t="str">
        <f t="shared" si="16"/>
        <v/>
      </c>
      <c r="D292" s="11" t="str">
        <f t="shared" si="17"/>
        <v/>
      </c>
      <c r="E292" s="45"/>
      <c r="F292" s="11" t="str">
        <f>IFERROR(VLOOKUP(E292,Category!$D$2:$E$600,2,FALSE),"")</f>
        <v/>
      </c>
      <c r="G292" s="45"/>
      <c r="H292" s="73"/>
      <c r="I292" s="18" t="str">
        <f t="shared" si="18"/>
        <v/>
      </c>
      <c r="J292" s="45"/>
      <c r="K292" s="45"/>
    </row>
    <row r="293" spans="1:11">
      <c r="A293" s="17" t="str">
        <f t="shared" si="19"/>
        <v/>
      </c>
      <c r="B293" s="53"/>
      <c r="C293" s="11" t="str">
        <f t="shared" si="16"/>
        <v/>
      </c>
      <c r="D293" s="11" t="str">
        <f t="shared" si="17"/>
        <v/>
      </c>
      <c r="E293" s="45"/>
      <c r="F293" s="11" t="str">
        <f>IFERROR(VLOOKUP(E293,Category!$D$2:$E$600,2,FALSE),"")</f>
        <v/>
      </c>
      <c r="G293" s="45"/>
      <c r="H293" s="73"/>
      <c r="I293" s="18" t="str">
        <f t="shared" si="18"/>
        <v/>
      </c>
      <c r="J293" s="45"/>
      <c r="K293" s="45"/>
    </row>
    <row r="294" spans="1:11">
      <c r="A294" s="17" t="str">
        <f t="shared" si="19"/>
        <v/>
      </c>
      <c r="B294" s="53"/>
      <c r="C294" s="11" t="str">
        <f t="shared" si="16"/>
        <v/>
      </c>
      <c r="D294" s="11" t="str">
        <f t="shared" si="17"/>
        <v/>
      </c>
      <c r="E294" s="45"/>
      <c r="F294" s="11" t="str">
        <f>IFERROR(VLOOKUP(E294,Category!$D$2:$E$600,2,FALSE),"")</f>
        <v/>
      </c>
      <c r="G294" s="45"/>
      <c r="H294" s="73"/>
      <c r="I294" s="18" t="str">
        <f t="shared" si="18"/>
        <v/>
      </c>
      <c r="J294" s="45"/>
      <c r="K294" s="45"/>
    </row>
    <row r="295" spans="1:11">
      <c r="A295" s="17" t="str">
        <f t="shared" si="19"/>
        <v/>
      </c>
      <c r="B295" s="53"/>
      <c r="C295" s="11" t="str">
        <f t="shared" si="16"/>
        <v/>
      </c>
      <c r="D295" s="11" t="str">
        <f t="shared" si="17"/>
        <v/>
      </c>
      <c r="E295" s="45"/>
      <c r="F295" s="11" t="str">
        <f>IFERROR(VLOOKUP(E295,Category!$D$2:$E$600,2,FALSE),"")</f>
        <v/>
      </c>
      <c r="G295" s="45"/>
      <c r="H295" s="73"/>
      <c r="I295" s="18" t="str">
        <f t="shared" si="18"/>
        <v/>
      </c>
      <c r="J295" s="45"/>
      <c r="K295" s="45"/>
    </row>
    <row r="296" spans="1:11">
      <c r="A296" s="17" t="str">
        <f t="shared" si="19"/>
        <v/>
      </c>
      <c r="B296" s="53"/>
      <c r="C296" s="11" t="str">
        <f t="shared" si="16"/>
        <v/>
      </c>
      <c r="D296" s="11" t="str">
        <f t="shared" si="17"/>
        <v/>
      </c>
      <c r="E296" s="45"/>
      <c r="F296" s="11" t="str">
        <f>IFERROR(VLOOKUP(E296,Category!$D$2:$E$600,2,FALSE),"")</f>
        <v/>
      </c>
      <c r="G296" s="45"/>
      <c r="H296" s="73"/>
      <c r="I296" s="18" t="str">
        <f t="shared" si="18"/>
        <v/>
      </c>
      <c r="J296" s="45"/>
      <c r="K296" s="45"/>
    </row>
    <row r="297" spans="1:11">
      <c r="A297" s="17" t="str">
        <f t="shared" si="19"/>
        <v/>
      </c>
      <c r="B297" s="53"/>
      <c r="C297" s="11" t="str">
        <f t="shared" si="16"/>
        <v/>
      </c>
      <c r="D297" s="11" t="str">
        <f t="shared" si="17"/>
        <v/>
      </c>
      <c r="E297" s="45"/>
      <c r="F297" s="11" t="str">
        <f>IFERROR(VLOOKUP(E297,Category!$D$2:$E$600,2,FALSE),"")</f>
        <v/>
      </c>
      <c r="G297" s="45"/>
      <c r="H297" s="73"/>
      <c r="I297" s="18" t="str">
        <f t="shared" si="18"/>
        <v/>
      </c>
      <c r="J297" s="45"/>
      <c r="K297" s="45"/>
    </row>
    <row r="298" spans="1:11">
      <c r="A298" s="17" t="str">
        <f t="shared" si="19"/>
        <v/>
      </c>
      <c r="B298" s="53"/>
      <c r="C298" s="11" t="str">
        <f t="shared" si="16"/>
        <v/>
      </c>
      <c r="D298" s="11" t="str">
        <f t="shared" si="17"/>
        <v/>
      </c>
      <c r="E298" s="45"/>
      <c r="F298" s="11" t="str">
        <f>IFERROR(VLOOKUP(E298,Category!$D$2:$E$600,2,FALSE),"")</f>
        <v/>
      </c>
      <c r="G298" s="45"/>
      <c r="H298" s="73"/>
      <c r="I298" s="18" t="str">
        <f t="shared" si="18"/>
        <v/>
      </c>
      <c r="J298" s="45"/>
      <c r="K298" s="45"/>
    </row>
    <row r="299" spans="1:11">
      <c r="A299" s="17" t="str">
        <f t="shared" si="19"/>
        <v/>
      </c>
      <c r="B299" s="53"/>
      <c r="C299" s="11" t="str">
        <f t="shared" si="16"/>
        <v/>
      </c>
      <c r="D299" s="11" t="str">
        <f t="shared" si="17"/>
        <v/>
      </c>
      <c r="E299" s="45"/>
      <c r="F299" s="11" t="str">
        <f>IFERROR(VLOOKUP(E299,Category!$D$2:$E$600,2,FALSE),"")</f>
        <v/>
      </c>
      <c r="G299" s="45"/>
      <c r="H299" s="73"/>
      <c r="I299" s="18" t="str">
        <f t="shared" si="18"/>
        <v/>
      </c>
      <c r="J299" s="45"/>
      <c r="K299" s="45"/>
    </row>
    <row r="300" spans="1:11">
      <c r="A300" s="17" t="str">
        <f t="shared" si="19"/>
        <v/>
      </c>
      <c r="B300" s="53"/>
      <c r="C300" s="11" t="str">
        <f t="shared" si="16"/>
        <v/>
      </c>
      <c r="D300" s="11" t="str">
        <f t="shared" si="17"/>
        <v/>
      </c>
      <c r="E300" s="45"/>
      <c r="F300" s="11" t="str">
        <f>IFERROR(VLOOKUP(E300,Category!$D$2:$E$600,2,FALSE),"")</f>
        <v/>
      </c>
      <c r="G300" s="45"/>
      <c r="H300" s="73"/>
      <c r="I300" s="18" t="str">
        <f t="shared" si="18"/>
        <v/>
      </c>
      <c r="J300" s="45"/>
      <c r="K300" s="45"/>
    </row>
    <row r="301" spans="1:11">
      <c r="A301" s="17" t="str">
        <f t="shared" si="19"/>
        <v/>
      </c>
      <c r="B301" s="53"/>
      <c r="C301" s="11" t="str">
        <f t="shared" si="16"/>
        <v/>
      </c>
      <c r="D301" s="11" t="str">
        <f t="shared" si="17"/>
        <v/>
      </c>
      <c r="E301" s="45"/>
      <c r="F301" s="11" t="str">
        <f>IFERROR(VLOOKUP(E301,Category!$D$2:$E$600,2,FALSE),"")</f>
        <v/>
      </c>
      <c r="G301" s="45"/>
      <c r="H301" s="73"/>
      <c r="I301" s="18" t="str">
        <f t="shared" si="18"/>
        <v/>
      </c>
      <c r="J301" s="45"/>
      <c r="K301" s="45"/>
    </row>
    <row r="302" spans="1:11">
      <c r="A302" s="17" t="str">
        <f t="shared" si="19"/>
        <v/>
      </c>
      <c r="B302" s="53"/>
      <c r="C302" s="11" t="str">
        <f t="shared" si="16"/>
        <v/>
      </c>
      <c r="D302" s="11" t="str">
        <f t="shared" si="17"/>
        <v/>
      </c>
      <c r="E302" s="45"/>
      <c r="F302" s="11" t="str">
        <f>IFERROR(VLOOKUP(E302,Category!$D$2:$E$600,2,FALSE),"")</f>
        <v/>
      </c>
      <c r="G302" s="45"/>
      <c r="H302" s="73"/>
      <c r="I302" s="18" t="str">
        <f t="shared" si="18"/>
        <v/>
      </c>
      <c r="J302" s="45"/>
      <c r="K302" s="45"/>
    </row>
    <row r="303" spans="1:11">
      <c r="A303" s="17" t="str">
        <f t="shared" si="19"/>
        <v/>
      </c>
      <c r="B303" s="53"/>
      <c r="C303" s="11" t="str">
        <f t="shared" si="16"/>
        <v/>
      </c>
      <c r="D303" s="11" t="str">
        <f t="shared" si="17"/>
        <v/>
      </c>
      <c r="E303" s="45"/>
      <c r="F303" s="11" t="str">
        <f>IFERROR(VLOOKUP(E303,Category!$D$2:$E$600,2,FALSE),"")</f>
        <v/>
      </c>
      <c r="G303" s="45"/>
      <c r="H303" s="73"/>
      <c r="I303" s="18" t="str">
        <f t="shared" si="18"/>
        <v/>
      </c>
      <c r="J303" s="45"/>
      <c r="K303" s="45"/>
    </row>
    <row r="304" spans="1:11">
      <c r="A304" s="17" t="str">
        <f t="shared" si="19"/>
        <v/>
      </c>
      <c r="B304" s="53"/>
      <c r="C304" s="11" t="str">
        <f t="shared" si="16"/>
        <v/>
      </c>
      <c r="D304" s="11" t="str">
        <f t="shared" si="17"/>
        <v/>
      </c>
      <c r="E304" s="45"/>
      <c r="F304" s="11" t="str">
        <f>IFERROR(VLOOKUP(E304,Category!$D$2:$E$600,2,FALSE),"")</f>
        <v/>
      </c>
      <c r="G304" s="45"/>
      <c r="H304" s="73"/>
      <c r="I304" s="18" t="str">
        <f t="shared" si="18"/>
        <v/>
      </c>
      <c r="J304" s="45"/>
      <c r="K304" s="45"/>
    </row>
    <row r="305" spans="1:11">
      <c r="A305" s="17" t="str">
        <f t="shared" si="19"/>
        <v/>
      </c>
      <c r="B305" s="53"/>
      <c r="C305" s="11" t="str">
        <f t="shared" si="16"/>
        <v/>
      </c>
      <c r="D305" s="11" t="str">
        <f t="shared" si="17"/>
        <v/>
      </c>
      <c r="E305" s="45"/>
      <c r="F305" s="11" t="str">
        <f>IFERROR(VLOOKUP(E305,Category!$D$2:$E$600,2,FALSE),"")</f>
        <v/>
      </c>
      <c r="G305" s="45"/>
      <c r="H305" s="73"/>
      <c r="I305" s="18" t="str">
        <f t="shared" si="18"/>
        <v/>
      </c>
      <c r="J305" s="45"/>
      <c r="K305" s="45"/>
    </row>
    <row r="306" spans="1:11">
      <c r="A306" s="17" t="str">
        <f t="shared" si="19"/>
        <v/>
      </c>
      <c r="B306" s="53"/>
      <c r="C306" s="11" t="str">
        <f t="shared" si="16"/>
        <v/>
      </c>
      <c r="D306" s="11" t="str">
        <f t="shared" si="17"/>
        <v/>
      </c>
      <c r="E306" s="45"/>
      <c r="F306" s="11" t="str">
        <f>IFERROR(VLOOKUP(E306,Category!$D$2:$E$600,2,FALSE),"")</f>
        <v/>
      </c>
      <c r="G306" s="45"/>
      <c r="H306" s="73"/>
      <c r="I306" s="18" t="str">
        <f t="shared" si="18"/>
        <v/>
      </c>
      <c r="J306" s="45"/>
      <c r="K306" s="45"/>
    </row>
    <row r="307" spans="1:11">
      <c r="A307" s="17" t="str">
        <f t="shared" si="19"/>
        <v/>
      </c>
      <c r="B307" s="53"/>
      <c r="C307" s="11" t="str">
        <f t="shared" si="16"/>
        <v/>
      </c>
      <c r="D307" s="11" t="str">
        <f t="shared" si="17"/>
        <v/>
      </c>
      <c r="E307" s="45"/>
      <c r="F307" s="11" t="str">
        <f>IFERROR(VLOOKUP(E307,Category!$D$2:$E$600,2,FALSE),"")</f>
        <v/>
      </c>
      <c r="G307" s="45"/>
      <c r="H307" s="73"/>
      <c r="I307" s="18" t="str">
        <f t="shared" si="18"/>
        <v/>
      </c>
      <c r="J307" s="45"/>
      <c r="K307" s="45"/>
    </row>
    <row r="308" spans="1:11">
      <c r="A308" s="17" t="str">
        <f t="shared" si="19"/>
        <v/>
      </c>
      <c r="B308" s="53"/>
      <c r="C308" s="11" t="str">
        <f t="shared" si="16"/>
        <v/>
      </c>
      <c r="D308" s="11" t="str">
        <f t="shared" si="17"/>
        <v/>
      </c>
      <c r="E308" s="45"/>
      <c r="F308" s="11" t="str">
        <f>IFERROR(VLOOKUP(E308,Category!$D$2:$E$600,2,FALSE),"")</f>
        <v/>
      </c>
      <c r="G308" s="45"/>
      <c r="H308" s="73"/>
      <c r="I308" s="18" t="str">
        <f t="shared" si="18"/>
        <v/>
      </c>
      <c r="J308" s="45"/>
      <c r="K308" s="45"/>
    </row>
    <row r="309" spans="1:11">
      <c r="A309" s="17" t="str">
        <f t="shared" si="19"/>
        <v/>
      </c>
      <c r="B309" s="53"/>
      <c r="C309" s="11" t="str">
        <f t="shared" si="16"/>
        <v/>
      </c>
      <c r="D309" s="11" t="str">
        <f t="shared" si="17"/>
        <v/>
      </c>
      <c r="E309" s="45"/>
      <c r="F309" s="11" t="str">
        <f>IFERROR(VLOOKUP(E309,Category!$D$2:$E$600,2,FALSE),"")</f>
        <v/>
      </c>
      <c r="G309" s="45"/>
      <c r="H309" s="73"/>
      <c r="I309" s="18" t="str">
        <f t="shared" si="18"/>
        <v/>
      </c>
      <c r="J309" s="45"/>
      <c r="K309" s="45"/>
    </row>
    <row r="310" spans="1:11">
      <c r="A310" s="17" t="str">
        <f t="shared" si="19"/>
        <v/>
      </c>
      <c r="B310" s="53"/>
      <c r="C310" s="11" t="str">
        <f t="shared" si="16"/>
        <v/>
      </c>
      <c r="D310" s="11" t="str">
        <f t="shared" si="17"/>
        <v/>
      </c>
      <c r="E310" s="45"/>
      <c r="F310" s="11" t="str">
        <f>IFERROR(VLOOKUP(E310,Category!$D$2:$E$600,2,FALSE),"")</f>
        <v/>
      </c>
      <c r="G310" s="45"/>
      <c r="H310" s="73"/>
      <c r="I310" s="18" t="str">
        <f t="shared" si="18"/>
        <v/>
      </c>
      <c r="J310" s="45"/>
      <c r="K310" s="45"/>
    </row>
    <row r="311" spans="1:11">
      <c r="A311" s="17" t="str">
        <f t="shared" si="19"/>
        <v/>
      </c>
      <c r="B311" s="53"/>
      <c r="C311" s="11" t="str">
        <f t="shared" si="16"/>
        <v/>
      </c>
      <c r="D311" s="11" t="str">
        <f t="shared" si="17"/>
        <v/>
      </c>
      <c r="E311" s="45"/>
      <c r="F311" s="11" t="str">
        <f>IFERROR(VLOOKUP(E311,Category!$D$2:$E$600,2,FALSE),"")</f>
        <v/>
      </c>
      <c r="G311" s="45"/>
      <c r="H311" s="73"/>
      <c r="I311" s="18" t="str">
        <f t="shared" si="18"/>
        <v/>
      </c>
      <c r="J311" s="45"/>
      <c r="K311" s="45"/>
    </row>
    <row r="312" spans="1:11">
      <c r="A312" s="17" t="str">
        <f t="shared" si="19"/>
        <v/>
      </c>
      <c r="B312" s="53"/>
      <c r="C312" s="11" t="str">
        <f t="shared" si="16"/>
        <v/>
      </c>
      <c r="D312" s="11" t="str">
        <f t="shared" si="17"/>
        <v/>
      </c>
      <c r="E312" s="45"/>
      <c r="F312" s="11" t="str">
        <f>IFERROR(VLOOKUP(E312,Category!$D$2:$E$600,2,FALSE),"")</f>
        <v/>
      </c>
      <c r="G312" s="45"/>
      <c r="H312" s="73"/>
      <c r="I312" s="18" t="str">
        <f t="shared" si="18"/>
        <v/>
      </c>
      <c r="J312" s="45"/>
      <c r="K312" s="45"/>
    </row>
    <row r="313" spans="1:11">
      <c r="A313" s="17" t="str">
        <f t="shared" si="19"/>
        <v/>
      </c>
      <c r="B313" s="53"/>
      <c r="C313" s="11" t="str">
        <f t="shared" si="16"/>
        <v/>
      </c>
      <c r="D313" s="11" t="str">
        <f t="shared" si="17"/>
        <v/>
      </c>
      <c r="E313" s="45"/>
      <c r="F313" s="11" t="str">
        <f>IFERROR(VLOOKUP(E313,Category!$D$2:$E$600,2,FALSE),"")</f>
        <v/>
      </c>
      <c r="G313" s="45"/>
      <c r="H313" s="73"/>
      <c r="I313" s="18" t="str">
        <f t="shared" si="18"/>
        <v/>
      </c>
      <c r="J313" s="45"/>
      <c r="K313" s="45"/>
    </row>
    <row r="314" spans="1:11">
      <c r="A314" s="17" t="str">
        <f t="shared" si="19"/>
        <v/>
      </c>
      <c r="B314" s="53"/>
      <c r="C314" s="11" t="str">
        <f t="shared" si="16"/>
        <v/>
      </c>
      <c r="D314" s="11" t="str">
        <f t="shared" si="17"/>
        <v/>
      </c>
      <c r="E314" s="45"/>
      <c r="F314" s="11" t="str">
        <f>IFERROR(VLOOKUP(E314,Category!$D$2:$E$600,2,FALSE),"")</f>
        <v/>
      </c>
      <c r="G314" s="45"/>
      <c r="H314" s="73"/>
      <c r="I314" s="18" t="str">
        <f t="shared" si="18"/>
        <v/>
      </c>
      <c r="J314" s="45"/>
      <c r="K314" s="45"/>
    </row>
    <row r="315" spans="1:11">
      <c r="A315" s="17" t="str">
        <f t="shared" si="19"/>
        <v/>
      </c>
      <c r="B315" s="53"/>
      <c r="C315" s="11" t="str">
        <f t="shared" si="16"/>
        <v/>
      </c>
      <c r="D315" s="11" t="str">
        <f t="shared" si="17"/>
        <v/>
      </c>
      <c r="E315" s="45"/>
      <c r="F315" s="11" t="str">
        <f>IFERROR(VLOOKUP(E315,Category!$D$2:$E$600,2,FALSE),"")</f>
        <v/>
      </c>
      <c r="G315" s="45"/>
      <c r="H315" s="73"/>
      <c r="I315" s="18" t="str">
        <f t="shared" si="18"/>
        <v/>
      </c>
      <c r="J315" s="45"/>
      <c r="K315" s="45"/>
    </row>
    <row r="316" spans="1:11">
      <c r="A316" s="17" t="str">
        <f t="shared" si="19"/>
        <v/>
      </c>
      <c r="B316" s="53"/>
      <c r="C316" s="11" t="str">
        <f t="shared" si="16"/>
        <v/>
      </c>
      <c r="D316" s="11" t="str">
        <f t="shared" si="17"/>
        <v/>
      </c>
      <c r="E316" s="45"/>
      <c r="F316" s="11" t="str">
        <f>IFERROR(VLOOKUP(E316,Category!$D$2:$E$600,2,FALSE),"")</f>
        <v/>
      </c>
      <c r="G316" s="45"/>
      <c r="H316" s="73"/>
      <c r="I316" s="18" t="str">
        <f t="shared" si="18"/>
        <v/>
      </c>
      <c r="J316" s="45"/>
      <c r="K316" s="45"/>
    </row>
    <row r="317" spans="1:11">
      <c r="A317" s="17" t="str">
        <f t="shared" si="19"/>
        <v/>
      </c>
      <c r="B317" s="53"/>
      <c r="C317" s="11" t="str">
        <f t="shared" si="16"/>
        <v/>
      </c>
      <c r="D317" s="11" t="str">
        <f t="shared" si="17"/>
        <v/>
      </c>
      <c r="E317" s="45"/>
      <c r="F317" s="11" t="str">
        <f>IFERROR(VLOOKUP(E317,Category!$D$2:$E$600,2,FALSE),"")</f>
        <v/>
      </c>
      <c r="G317" s="45"/>
      <c r="H317" s="73"/>
      <c r="I317" s="18" t="str">
        <f t="shared" si="18"/>
        <v/>
      </c>
      <c r="J317" s="45"/>
      <c r="K317" s="45"/>
    </row>
    <row r="318" spans="1:11">
      <c r="A318" s="17" t="str">
        <f t="shared" si="19"/>
        <v/>
      </c>
      <c r="B318" s="53"/>
      <c r="C318" s="11" t="str">
        <f t="shared" si="16"/>
        <v/>
      </c>
      <c r="D318" s="11" t="str">
        <f t="shared" si="17"/>
        <v/>
      </c>
      <c r="E318" s="45"/>
      <c r="F318" s="11" t="str">
        <f>IFERROR(VLOOKUP(E318,Category!$D$2:$E$600,2,FALSE),"")</f>
        <v/>
      </c>
      <c r="G318" s="45"/>
      <c r="H318" s="73"/>
      <c r="I318" s="18" t="str">
        <f t="shared" si="18"/>
        <v/>
      </c>
      <c r="J318" s="45"/>
      <c r="K318" s="45"/>
    </row>
    <row r="319" spans="1:11">
      <c r="A319" s="17" t="str">
        <f t="shared" si="19"/>
        <v/>
      </c>
      <c r="B319" s="53"/>
      <c r="C319" s="11" t="str">
        <f t="shared" si="16"/>
        <v/>
      </c>
      <c r="D319" s="11" t="str">
        <f t="shared" si="17"/>
        <v/>
      </c>
      <c r="E319" s="45"/>
      <c r="F319" s="11" t="str">
        <f>IFERROR(VLOOKUP(E319,Category!$D$2:$E$600,2,FALSE),"")</f>
        <v/>
      </c>
      <c r="G319" s="45"/>
      <c r="H319" s="73"/>
      <c r="I319" s="18" t="str">
        <f t="shared" si="18"/>
        <v/>
      </c>
      <c r="J319" s="45"/>
      <c r="K319" s="45"/>
    </row>
    <row r="320" spans="1:11">
      <c r="A320" s="17" t="str">
        <f t="shared" si="19"/>
        <v/>
      </c>
      <c r="B320" s="53"/>
      <c r="C320" s="11" t="str">
        <f t="shared" si="16"/>
        <v/>
      </c>
      <c r="D320" s="11" t="str">
        <f t="shared" si="17"/>
        <v/>
      </c>
      <c r="E320" s="45"/>
      <c r="F320" s="11" t="str">
        <f>IFERROR(VLOOKUP(E320,Category!$D$2:$E$600,2,FALSE),"")</f>
        <v/>
      </c>
      <c r="G320" s="45"/>
      <c r="H320" s="73"/>
      <c r="I320" s="18" t="str">
        <f t="shared" si="18"/>
        <v/>
      </c>
      <c r="J320" s="45"/>
      <c r="K320" s="45"/>
    </row>
    <row r="321" spans="1:11">
      <c r="A321" s="17" t="str">
        <f t="shared" si="19"/>
        <v/>
      </c>
      <c r="B321" s="53"/>
      <c r="C321" s="11" t="str">
        <f t="shared" si="16"/>
        <v/>
      </c>
      <c r="D321" s="11" t="str">
        <f t="shared" si="17"/>
        <v/>
      </c>
      <c r="E321" s="45"/>
      <c r="F321" s="11" t="str">
        <f>IFERROR(VLOOKUP(E321,Category!$D$2:$E$600,2,FALSE),"")</f>
        <v/>
      </c>
      <c r="G321" s="45"/>
      <c r="H321" s="73"/>
      <c r="I321" s="18" t="str">
        <f t="shared" si="18"/>
        <v/>
      </c>
      <c r="J321" s="45"/>
      <c r="K321" s="45"/>
    </row>
    <row r="322" spans="1:11">
      <c r="A322" s="17" t="str">
        <f t="shared" si="19"/>
        <v/>
      </c>
      <c r="B322" s="53"/>
      <c r="C322" s="11" t="str">
        <f t="shared" si="16"/>
        <v/>
      </c>
      <c r="D322" s="11" t="str">
        <f t="shared" si="17"/>
        <v/>
      </c>
      <c r="E322" s="45"/>
      <c r="F322" s="11" t="str">
        <f>IFERROR(VLOOKUP(E322,Category!$D$2:$E$600,2,FALSE),"")</f>
        <v/>
      </c>
      <c r="G322" s="45"/>
      <c r="H322" s="73"/>
      <c r="I322" s="18" t="str">
        <f t="shared" si="18"/>
        <v/>
      </c>
      <c r="J322" s="45"/>
      <c r="K322" s="45"/>
    </row>
    <row r="323" spans="1:11">
      <c r="A323" s="17" t="str">
        <f t="shared" si="19"/>
        <v/>
      </c>
      <c r="B323" s="53"/>
      <c r="C323" s="11" t="str">
        <f t="shared" ref="C323:C386" si="20">IF(B323=0,"",TEXT(B323,"mmmm"))</f>
        <v/>
      </c>
      <c r="D323" s="11" t="str">
        <f t="shared" ref="D323:D386" si="21">IF(B323=0,"",TEXT(B323,"yyyy"))</f>
        <v/>
      </c>
      <c r="E323" s="45"/>
      <c r="F323" s="11" t="str">
        <f>IFERROR(VLOOKUP(E323,Category!$D$2:$E$600,2,FALSE),"")</f>
        <v/>
      </c>
      <c r="G323" s="45"/>
      <c r="H323" s="73"/>
      <c r="I323" s="18" t="str">
        <f t="shared" ref="I323:I386" si="22">IF(G323*H323=0,"",G323*H323)</f>
        <v/>
      </c>
      <c r="J323" s="45"/>
      <c r="K323" s="45"/>
    </row>
    <row r="324" spans="1:11">
      <c r="A324" s="17" t="str">
        <f t="shared" ref="A324:A387" si="23">IF(E324&gt;0,A323+1,"")</f>
        <v/>
      </c>
      <c r="B324" s="53"/>
      <c r="C324" s="11" t="str">
        <f t="shared" si="20"/>
        <v/>
      </c>
      <c r="D324" s="11" t="str">
        <f t="shared" si="21"/>
        <v/>
      </c>
      <c r="E324" s="45"/>
      <c r="F324" s="11" t="str">
        <f>IFERROR(VLOOKUP(E324,Category!$D$2:$E$600,2,FALSE),"")</f>
        <v/>
      </c>
      <c r="G324" s="45"/>
      <c r="H324" s="73"/>
      <c r="I324" s="18" t="str">
        <f t="shared" si="22"/>
        <v/>
      </c>
      <c r="J324" s="45"/>
      <c r="K324" s="45"/>
    </row>
    <row r="325" spans="1:11">
      <c r="A325" s="17" t="str">
        <f t="shared" si="23"/>
        <v/>
      </c>
      <c r="B325" s="53"/>
      <c r="C325" s="11" t="str">
        <f t="shared" si="20"/>
        <v/>
      </c>
      <c r="D325" s="11" t="str">
        <f t="shared" si="21"/>
        <v/>
      </c>
      <c r="E325" s="45"/>
      <c r="F325" s="11" t="str">
        <f>IFERROR(VLOOKUP(E325,Category!$D$2:$E$600,2,FALSE),"")</f>
        <v/>
      </c>
      <c r="G325" s="45"/>
      <c r="H325" s="73"/>
      <c r="I325" s="18" t="str">
        <f t="shared" si="22"/>
        <v/>
      </c>
      <c r="J325" s="45"/>
      <c r="K325" s="45"/>
    </row>
    <row r="326" spans="1:11">
      <c r="A326" s="17" t="str">
        <f t="shared" si="23"/>
        <v/>
      </c>
      <c r="B326" s="53"/>
      <c r="C326" s="11" t="str">
        <f t="shared" si="20"/>
        <v/>
      </c>
      <c r="D326" s="11" t="str">
        <f t="shared" si="21"/>
        <v/>
      </c>
      <c r="E326" s="45"/>
      <c r="F326" s="11" t="str">
        <f>IFERROR(VLOOKUP(E326,Category!$D$2:$E$600,2,FALSE),"")</f>
        <v/>
      </c>
      <c r="G326" s="45"/>
      <c r="H326" s="73"/>
      <c r="I326" s="18" t="str">
        <f t="shared" si="22"/>
        <v/>
      </c>
      <c r="J326" s="45"/>
      <c r="K326" s="45"/>
    </row>
    <row r="327" spans="1:11">
      <c r="A327" s="17" t="str">
        <f t="shared" si="23"/>
        <v/>
      </c>
      <c r="B327" s="53"/>
      <c r="C327" s="11" t="str">
        <f t="shared" si="20"/>
        <v/>
      </c>
      <c r="D327" s="11" t="str">
        <f t="shared" si="21"/>
        <v/>
      </c>
      <c r="E327" s="45"/>
      <c r="F327" s="11" t="str">
        <f>IFERROR(VLOOKUP(E327,Category!$D$2:$E$600,2,FALSE),"")</f>
        <v/>
      </c>
      <c r="G327" s="45"/>
      <c r="H327" s="73"/>
      <c r="I327" s="18" t="str">
        <f t="shared" si="22"/>
        <v/>
      </c>
      <c r="J327" s="45"/>
      <c r="K327" s="45"/>
    </row>
    <row r="328" spans="1:11">
      <c r="A328" s="17" t="str">
        <f t="shared" si="23"/>
        <v/>
      </c>
      <c r="B328" s="53"/>
      <c r="C328" s="11" t="str">
        <f t="shared" si="20"/>
        <v/>
      </c>
      <c r="D328" s="11" t="str">
        <f t="shared" si="21"/>
        <v/>
      </c>
      <c r="E328" s="45"/>
      <c r="F328" s="11" t="str">
        <f>IFERROR(VLOOKUP(E328,Category!$D$2:$E$600,2,FALSE),"")</f>
        <v/>
      </c>
      <c r="G328" s="45"/>
      <c r="H328" s="73"/>
      <c r="I328" s="18" t="str">
        <f t="shared" si="22"/>
        <v/>
      </c>
      <c r="J328" s="45"/>
      <c r="K328" s="45"/>
    </row>
    <row r="329" spans="1:11">
      <c r="A329" s="17" t="str">
        <f t="shared" si="23"/>
        <v/>
      </c>
      <c r="B329" s="53"/>
      <c r="C329" s="11" t="str">
        <f t="shared" si="20"/>
        <v/>
      </c>
      <c r="D329" s="11" t="str">
        <f t="shared" si="21"/>
        <v/>
      </c>
      <c r="E329" s="45"/>
      <c r="F329" s="11" t="str">
        <f>IFERROR(VLOOKUP(E329,Category!$D$2:$E$600,2,FALSE),"")</f>
        <v/>
      </c>
      <c r="G329" s="45"/>
      <c r="H329" s="73"/>
      <c r="I329" s="18" t="str">
        <f t="shared" si="22"/>
        <v/>
      </c>
      <c r="J329" s="45"/>
      <c r="K329" s="45"/>
    </row>
    <row r="330" spans="1:11">
      <c r="A330" s="17" t="str">
        <f t="shared" si="23"/>
        <v/>
      </c>
      <c r="B330" s="53"/>
      <c r="C330" s="11" t="str">
        <f t="shared" si="20"/>
        <v/>
      </c>
      <c r="D330" s="11" t="str">
        <f t="shared" si="21"/>
        <v/>
      </c>
      <c r="E330" s="45"/>
      <c r="F330" s="11" t="str">
        <f>IFERROR(VLOOKUP(E330,Category!$D$2:$E$600,2,FALSE),"")</f>
        <v/>
      </c>
      <c r="G330" s="45"/>
      <c r="H330" s="73"/>
      <c r="I330" s="18" t="str">
        <f t="shared" si="22"/>
        <v/>
      </c>
      <c r="J330" s="45"/>
      <c r="K330" s="45"/>
    </row>
    <row r="331" spans="1:11">
      <c r="A331" s="17" t="str">
        <f t="shared" si="23"/>
        <v/>
      </c>
      <c r="B331" s="53"/>
      <c r="C331" s="11" t="str">
        <f t="shared" si="20"/>
        <v/>
      </c>
      <c r="D331" s="11" t="str">
        <f t="shared" si="21"/>
        <v/>
      </c>
      <c r="E331" s="45"/>
      <c r="F331" s="11" t="str">
        <f>IFERROR(VLOOKUP(E331,Category!$D$2:$E$600,2,FALSE),"")</f>
        <v/>
      </c>
      <c r="G331" s="45"/>
      <c r="H331" s="73"/>
      <c r="I331" s="18" t="str">
        <f t="shared" si="22"/>
        <v/>
      </c>
      <c r="J331" s="45"/>
      <c r="K331" s="45"/>
    </row>
    <row r="332" spans="1:11">
      <c r="A332" s="17" t="str">
        <f t="shared" si="23"/>
        <v/>
      </c>
      <c r="B332" s="53"/>
      <c r="C332" s="11" t="str">
        <f t="shared" si="20"/>
        <v/>
      </c>
      <c r="D332" s="11" t="str">
        <f t="shared" si="21"/>
        <v/>
      </c>
      <c r="E332" s="45"/>
      <c r="F332" s="11" t="str">
        <f>IFERROR(VLOOKUP(E332,Category!$D$2:$E$600,2,FALSE),"")</f>
        <v/>
      </c>
      <c r="G332" s="45"/>
      <c r="H332" s="73"/>
      <c r="I332" s="18" t="str">
        <f t="shared" si="22"/>
        <v/>
      </c>
      <c r="J332" s="45"/>
      <c r="K332" s="45"/>
    </row>
    <row r="333" spans="1:11">
      <c r="A333" s="17" t="str">
        <f t="shared" si="23"/>
        <v/>
      </c>
      <c r="B333" s="53"/>
      <c r="C333" s="11" t="str">
        <f t="shared" si="20"/>
        <v/>
      </c>
      <c r="D333" s="11" t="str">
        <f t="shared" si="21"/>
        <v/>
      </c>
      <c r="E333" s="45"/>
      <c r="F333" s="11" t="str">
        <f>IFERROR(VLOOKUP(E333,Category!$D$2:$E$600,2,FALSE),"")</f>
        <v/>
      </c>
      <c r="G333" s="45"/>
      <c r="H333" s="73"/>
      <c r="I333" s="18" t="str">
        <f t="shared" si="22"/>
        <v/>
      </c>
      <c r="J333" s="45"/>
      <c r="K333" s="45"/>
    </row>
    <row r="334" spans="1:11">
      <c r="A334" s="17" t="str">
        <f t="shared" si="23"/>
        <v/>
      </c>
      <c r="B334" s="53"/>
      <c r="C334" s="11" t="str">
        <f t="shared" si="20"/>
        <v/>
      </c>
      <c r="D334" s="11" t="str">
        <f t="shared" si="21"/>
        <v/>
      </c>
      <c r="E334" s="45"/>
      <c r="F334" s="11" t="str">
        <f>IFERROR(VLOOKUP(E334,Category!$D$2:$E$600,2,FALSE),"")</f>
        <v/>
      </c>
      <c r="G334" s="45"/>
      <c r="H334" s="73"/>
      <c r="I334" s="18" t="str">
        <f t="shared" si="22"/>
        <v/>
      </c>
      <c r="J334" s="45"/>
      <c r="K334" s="45"/>
    </row>
    <row r="335" spans="1:11">
      <c r="A335" s="17" t="str">
        <f t="shared" si="23"/>
        <v/>
      </c>
      <c r="B335" s="53"/>
      <c r="C335" s="11" t="str">
        <f t="shared" si="20"/>
        <v/>
      </c>
      <c r="D335" s="11" t="str">
        <f t="shared" si="21"/>
        <v/>
      </c>
      <c r="E335" s="45"/>
      <c r="F335" s="11" t="str">
        <f>IFERROR(VLOOKUP(E335,Category!$D$2:$E$600,2,FALSE),"")</f>
        <v/>
      </c>
      <c r="G335" s="45"/>
      <c r="H335" s="73"/>
      <c r="I335" s="18" t="str">
        <f t="shared" si="22"/>
        <v/>
      </c>
      <c r="J335" s="45"/>
      <c r="K335" s="45"/>
    </row>
    <row r="336" spans="1:11">
      <c r="A336" s="17" t="str">
        <f t="shared" si="23"/>
        <v/>
      </c>
      <c r="B336" s="53"/>
      <c r="C336" s="11" t="str">
        <f t="shared" si="20"/>
        <v/>
      </c>
      <c r="D336" s="11" t="str">
        <f t="shared" si="21"/>
        <v/>
      </c>
      <c r="E336" s="45"/>
      <c r="F336" s="11" t="str">
        <f>IFERROR(VLOOKUP(E336,Category!$D$2:$E$600,2,FALSE),"")</f>
        <v/>
      </c>
      <c r="G336" s="45"/>
      <c r="H336" s="73"/>
      <c r="I336" s="18" t="str">
        <f t="shared" si="22"/>
        <v/>
      </c>
      <c r="J336" s="45"/>
      <c r="K336" s="45"/>
    </row>
    <row r="337" spans="1:11">
      <c r="A337" s="17" t="str">
        <f t="shared" si="23"/>
        <v/>
      </c>
      <c r="B337" s="53"/>
      <c r="C337" s="11" t="str">
        <f t="shared" si="20"/>
        <v/>
      </c>
      <c r="D337" s="11" t="str">
        <f t="shared" si="21"/>
        <v/>
      </c>
      <c r="E337" s="45"/>
      <c r="F337" s="11" t="str">
        <f>IFERROR(VLOOKUP(E337,Category!$D$2:$E$600,2,FALSE),"")</f>
        <v/>
      </c>
      <c r="G337" s="45"/>
      <c r="H337" s="73"/>
      <c r="I337" s="18" t="str">
        <f t="shared" si="22"/>
        <v/>
      </c>
      <c r="J337" s="45"/>
      <c r="K337" s="45"/>
    </row>
    <row r="338" spans="1:11">
      <c r="A338" s="17" t="str">
        <f t="shared" si="23"/>
        <v/>
      </c>
      <c r="B338" s="53"/>
      <c r="C338" s="11" t="str">
        <f t="shared" si="20"/>
        <v/>
      </c>
      <c r="D338" s="11" t="str">
        <f t="shared" si="21"/>
        <v/>
      </c>
      <c r="E338" s="45"/>
      <c r="F338" s="11" t="str">
        <f>IFERROR(VLOOKUP(E338,Category!$D$2:$E$600,2,FALSE),"")</f>
        <v/>
      </c>
      <c r="G338" s="45"/>
      <c r="H338" s="73"/>
      <c r="I338" s="18" t="str">
        <f t="shared" si="22"/>
        <v/>
      </c>
      <c r="J338" s="45"/>
      <c r="K338" s="45"/>
    </row>
    <row r="339" spans="1:11">
      <c r="A339" s="17" t="str">
        <f t="shared" si="23"/>
        <v/>
      </c>
      <c r="B339" s="53"/>
      <c r="C339" s="11" t="str">
        <f t="shared" si="20"/>
        <v/>
      </c>
      <c r="D339" s="11" t="str">
        <f t="shared" si="21"/>
        <v/>
      </c>
      <c r="E339" s="45"/>
      <c r="F339" s="11" t="str">
        <f>IFERROR(VLOOKUP(E339,Category!$D$2:$E$600,2,FALSE),"")</f>
        <v/>
      </c>
      <c r="G339" s="45"/>
      <c r="H339" s="73"/>
      <c r="I339" s="18" t="str">
        <f t="shared" si="22"/>
        <v/>
      </c>
      <c r="J339" s="45"/>
      <c r="K339" s="45"/>
    </row>
    <row r="340" spans="1:11">
      <c r="A340" s="17" t="str">
        <f t="shared" si="23"/>
        <v/>
      </c>
      <c r="B340" s="53"/>
      <c r="C340" s="11" t="str">
        <f t="shared" si="20"/>
        <v/>
      </c>
      <c r="D340" s="11" t="str">
        <f t="shared" si="21"/>
        <v/>
      </c>
      <c r="E340" s="45"/>
      <c r="F340" s="11" t="str">
        <f>IFERROR(VLOOKUP(E340,Category!$D$2:$E$600,2,FALSE),"")</f>
        <v/>
      </c>
      <c r="G340" s="45"/>
      <c r="H340" s="73"/>
      <c r="I340" s="18" t="str">
        <f t="shared" si="22"/>
        <v/>
      </c>
      <c r="J340" s="45"/>
      <c r="K340" s="45"/>
    </row>
    <row r="341" spans="1:11">
      <c r="A341" s="17" t="str">
        <f t="shared" si="23"/>
        <v/>
      </c>
      <c r="B341" s="53"/>
      <c r="C341" s="11" t="str">
        <f t="shared" si="20"/>
        <v/>
      </c>
      <c r="D341" s="11" t="str">
        <f t="shared" si="21"/>
        <v/>
      </c>
      <c r="E341" s="45"/>
      <c r="F341" s="11" t="str">
        <f>IFERROR(VLOOKUP(E341,Category!$D$2:$E$600,2,FALSE),"")</f>
        <v/>
      </c>
      <c r="G341" s="45"/>
      <c r="H341" s="73"/>
      <c r="I341" s="18" t="str">
        <f t="shared" si="22"/>
        <v/>
      </c>
      <c r="J341" s="45"/>
      <c r="K341" s="45"/>
    </row>
    <row r="342" spans="1:11">
      <c r="A342" s="17" t="str">
        <f t="shared" si="23"/>
        <v/>
      </c>
      <c r="B342" s="53"/>
      <c r="C342" s="11" t="str">
        <f t="shared" si="20"/>
        <v/>
      </c>
      <c r="D342" s="11" t="str">
        <f t="shared" si="21"/>
        <v/>
      </c>
      <c r="E342" s="45"/>
      <c r="F342" s="11" t="str">
        <f>IFERROR(VLOOKUP(E342,Category!$D$2:$E$600,2,FALSE),"")</f>
        <v/>
      </c>
      <c r="G342" s="45"/>
      <c r="H342" s="73"/>
      <c r="I342" s="18" t="str">
        <f t="shared" si="22"/>
        <v/>
      </c>
      <c r="J342" s="45"/>
      <c r="K342" s="45"/>
    </row>
    <row r="343" spans="1:11">
      <c r="A343" s="17" t="str">
        <f t="shared" si="23"/>
        <v/>
      </c>
      <c r="B343" s="53"/>
      <c r="C343" s="11" t="str">
        <f t="shared" si="20"/>
        <v/>
      </c>
      <c r="D343" s="11" t="str">
        <f t="shared" si="21"/>
        <v/>
      </c>
      <c r="E343" s="45"/>
      <c r="F343" s="11" t="str">
        <f>IFERROR(VLOOKUP(E343,Category!$D$2:$E$600,2,FALSE),"")</f>
        <v/>
      </c>
      <c r="G343" s="45"/>
      <c r="H343" s="73"/>
      <c r="I343" s="18" t="str">
        <f t="shared" si="22"/>
        <v/>
      </c>
      <c r="J343" s="45"/>
      <c r="K343" s="45"/>
    </row>
    <row r="344" spans="1:11">
      <c r="A344" s="17" t="str">
        <f t="shared" si="23"/>
        <v/>
      </c>
      <c r="B344" s="53"/>
      <c r="C344" s="11" t="str">
        <f t="shared" si="20"/>
        <v/>
      </c>
      <c r="D344" s="11" t="str">
        <f t="shared" si="21"/>
        <v/>
      </c>
      <c r="E344" s="45"/>
      <c r="F344" s="11" t="str">
        <f>IFERROR(VLOOKUP(E344,Category!$D$2:$E$600,2,FALSE),"")</f>
        <v/>
      </c>
      <c r="G344" s="45"/>
      <c r="H344" s="73"/>
      <c r="I344" s="18" t="str">
        <f t="shared" si="22"/>
        <v/>
      </c>
      <c r="J344" s="45"/>
      <c r="K344" s="45"/>
    </row>
    <row r="345" spans="1:11">
      <c r="A345" s="17" t="str">
        <f t="shared" si="23"/>
        <v/>
      </c>
      <c r="B345" s="53"/>
      <c r="C345" s="11" t="str">
        <f t="shared" si="20"/>
        <v/>
      </c>
      <c r="D345" s="11" t="str">
        <f t="shared" si="21"/>
        <v/>
      </c>
      <c r="E345" s="45"/>
      <c r="F345" s="11" t="str">
        <f>IFERROR(VLOOKUP(E345,Category!$D$2:$E$600,2,FALSE),"")</f>
        <v/>
      </c>
      <c r="G345" s="45"/>
      <c r="H345" s="73"/>
      <c r="I345" s="18" t="str">
        <f t="shared" si="22"/>
        <v/>
      </c>
      <c r="J345" s="45"/>
      <c r="K345" s="45"/>
    </row>
    <row r="346" spans="1:11">
      <c r="A346" s="17" t="str">
        <f t="shared" si="23"/>
        <v/>
      </c>
      <c r="B346" s="53"/>
      <c r="C346" s="11" t="str">
        <f t="shared" si="20"/>
        <v/>
      </c>
      <c r="D346" s="11" t="str">
        <f t="shared" si="21"/>
        <v/>
      </c>
      <c r="E346" s="45"/>
      <c r="F346" s="11" t="str">
        <f>IFERROR(VLOOKUP(E346,Category!$D$2:$E$600,2,FALSE),"")</f>
        <v/>
      </c>
      <c r="G346" s="45"/>
      <c r="H346" s="73"/>
      <c r="I346" s="18" t="str">
        <f t="shared" si="22"/>
        <v/>
      </c>
      <c r="J346" s="45"/>
      <c r="K346" s="45"/>
    </row>
    <row r="347" spans="1:11">
      <c r="A347" s="17" t="str">
        <f t="shared" si="23"/>
        <v/>
      </c>
      <c r="B347" s="53"/>
      <c r="C347" s="11" t="str">
        <f t="shared" si="20"/>
        <v/>
      </c>
      <c r="D347" s="11" t="str">
        <f t="shared" si="21"/>
        <v/>
      </c>
      <c r="E347" s="45"/>
      <c r="F347" s="11" t="str">
        <f>IFERROR(VLOOKUP(E347,Category!$D$2:$E$600,2,FALSE),"")</f>
        <v/>
      </c>
      <c r="G347" s="45"/>
      <c r="H347" s="73"/>
      <c r="I347" s="18" t="str">
        <f t="shared" si="22"/>
        <v/>
      </c>
      <c r="J347" s="45"/>
      <c r="K347" s="45"/>
    </row>
    <row r="348" spans="1:11">
      <c r="A348" s="17" t="str">
        <f t="shared" si="23"/>
        <v/>
      </c>
      <c r="B348" s="53"/>
      <c r="C348" s="11" t="str">
        <f t="shared" si="20"/>
        <v/>
      </c>
      <c r="D348" s="11" t="str">
        <f t="shared" si="21"/>
        <v/>
      </c>
      <c r="E348" s="45"/>
      <c r="F348" s="11" t="str">
        <f>IFERROR(VLOOKUP(E348,Category!$D$2:$E$600,2,FALSE),"")</f>
        <v/>
      </c>
      <c r="G348" s="45"/>
      <c r="H348" s="73"/>
      <c r="I348" s="18" t="str">
        <f t="shared" si="22"/>
        <v/>
      </c>
      <c r="J348" s="45"/>
      <c r="K348" s="45"/>
    </row>
    <row r="349" spans="1:11">
      <c r="A349" s="17" t="str">
        <f t="shared" si="23"/>
        <v/>
      </c>
      <c r="B349" s="53"/>
      <c r="C349" s="11" t="str">
        <f t="shared" si="20"/>
        <v/>
      </c>
      <c r="D349" s="11" t="str">
        <f t="shared" si="21"/>
        <v/>
      </c>
      <c r="E349" s="45"/>
      <c r="F349" s="11" t="str">
        <f>IFERROR(VLOOKUP(E349,Category!$D$2:$E$600,2,FALSE),"")</f>
        <v/>
      </c>
      <c r="G349" s="45"/>
      <c r="H349" s="73"/>
      <c r="I349" s="18" t="str">
        <f t="shared" si="22"/>
        <v/>
      </c>
      <c r="J349" s="45"/>
      <c r="K349" s="45"/>
    </row>
    <row r="350" spans="1:11">
      <c r="A350" s="17" t="str">
        <f t="shared" si="23"/>
        <v/>
      </c>
      <c r="B350" s="53"/>
      <c r="C350" s="11" t="str">
        <f t="shared" si="20"/>
        <v/>
      </c>
      <c r="D350" s="11" t="str">
        <f t="shared" si="21"/>
        <v/>
      </c>
      <c r="E350" s="45"/>
      <c r="F350" s="11" t="str">
        <f>IFERROR(VLOOKUP(E350,Category!$D$2:$E$600,2,FALSE),"")</f>
        <v/>
      </c>
      <c r="G350" s="45"/>
      <c r="H350" s="73"/>
      <c r="I350" s="18" t="str">
        <f t="shared" si="22"/>
        <v/>
      </c>
      <c r="J350" s="45"/>
      <c r="K350" s="45"/>
    </row>
    <row r="351" spans="1:11">
      <c r="A351" s="17" t="str">
        <f t="shared" si="23"/>
        <v/>
      </c>
      <c r="B351" s="53"/>
      <c r="C351" s="11" t="str">
        <f t="shared" si="20"/>
        <v/>
      </c>
      <c r="D351" s="11" t="str">
        <f t="shared" si="21"/>
        <v/>
      </c>
      <c r="E351" s="45"/>
      <c r="F351" s="11" t="str">
        <f>IFERROR(VLOOKUP(E351,Category!$D$2:$E$600,2,FALSE),"")</f>
        <v/>
      </c>
      <c r="G351" s="45"/>
      <c r="H351" s="73"/>
      <c r="I351" s="18" t="str">
        <f t="shared" si="22"/>
        <v/>
      </c>
      <c r="J351" s="45"/>
      <c r="K351" s="45"/>
    </row>
    <row r="352" spans="1:11">
      <c r="A352" s="17" t="str">
        <f t="shared" si="23"/>
        <v/>
      </c>
      <c r="B352" s="53"/>
      <c r="C352" s="11" t="str">
        <f t="shared" si="20"/>
        <v/>
      </c>
      <c r="D352" s="11" t="str">
        <f t="shared" si="21"/>
        <v/>
      </c>
      <c r="E352" s="45"/>
      <c r="F352" s="11" t="str">
        <f>IFERROR(VLOOKUP(E352,Category!$D$2:$E$600,2,FALSE),"")</f>
        <v/>
      </c>
      <c r="G352" s="45"/>
      <c r="H352" s="73"/>
      <c r="I352" s="18" t="str">
        <f t="shared" si="22"/>
        <v/>
      </c>
      <c r="J352" s="45"/>
      <c r="K352" s="45"/>
    </row>
    <row r="353" spans="1:11">
      <c r="A353" s="17" t="str">
        <f t="shared" si="23"/>
        <v/>
      </c>
      <c r="B353" s="53"/>
      <c r="C353" s="11" t="str">
        <f t="shared" si="20"/>
        <v/>
      </c>
      <c r="D353" s="11" t="str">
        <f t="shared" si="21"/>
        <v/>
      </c>
      <c r="E353" s="45"/>
      <c r="F353" s="11" t="str">
        <f>IFERROR(VLOOKUP(E353,Category!$D$2:$E$600,2,FALSE),"")</f>
        <v/>
      </c>
      <c r="G353" s="45"/>
      <c r="H353" s="73"/>
      <c r="I353" s="18" t="str">
        <f t="shared" si="22"/>
        <v/>
      </c>
      <c r="J353" s="45"/>
      <c r="K353" s="45"/>
    </row>
    <row r="354" spans="1:11">
      <c r="A354" s="17" t="str">
        <f t="shared" si="23"/>
        <v/>
      </c>
      <c r="B354" s="53"/>
      <c r="C354" s="11" t="str">
        <f t="shared" si="20"/>
        <v/>
      </c>
      <c r="D354" s="11" t="str">
        <f t="shared" si="21"/>
        <v/>
      </c>
      <c r="E354" s="45"/>
      <c r="F354" s="11" t="str">
        <f>IFERROR(VLOOKUP(E354,Category!$D$2:$E$600,2,FALSE),"")</f>
        <v/>
      </c>
      <c r="G354" s="45"/>
      <c r="H354" s="73"/>
      <c r="I354" s="18" t="str">
        <f t="shared" si="22"/>
        <v/>
      </c>
      <c r="J354" s="45"/>
      <c r="K354" s="45"/>
    </row>
    <row r="355" spans="1:11">
      <c r="A355" s="17" t="str">
        <f t="shared" si="23"/>
        <v/>
      </c>
      <c r="B355" s="53"/>
      <c r="C355" s="11" t="str">
        <f t="shared" si="20"/>
        <v/>
      </c>
      <c r="D355" s="11" t="str">
        <f t="shared" si="21"/>
        <v/>
      </c>
      <c r="E355" s="45"/>
      <c r="F355" s="11" t="str">
        <f>IFERROR(VLOOKUP(E355,Category!$D$2:$E$600,2,FALSE),"")</f>
        <v/>
      </c>
      <c r="G355" s="45"/>
      <c r="H355" s="73"/>
      <c r="I355" s="18" t="str">
        <f t="shared" si="22"/>
        <v/>
      </c>
      <c r="J355" s="45"/>
      <c r="K355" s="45"/>
    </row>
    <row r="356" spans="1:11">
      <c r="A356" s="17" t="str">
        <f t="shared" si="23"/>
        <v/>
      </c>
      <c r="B356" s="53"/>
      <c r="C356" s="11" t="str">
        <f t="shared" si="20"/>
        <v/>
      </c>
      <c r="D356" s="11" t="str">
        <f t="shared" si="21"/>
        <v/>
      </c>
      <c r="E356" s="45"/>
      <c r="F356" s="11" t="str">
        <f>IFERROR(VLOOKUP(E356,Category!$D$2:$E$600,2,FALSE),"")</f>
        <v/>
      </c>
      <c r="G356" s="45"/>
      <c r="H356" s="73"/>
      <c r="I356" s="18" t="str">
        <f t="shared" si="22"/>
        <v/>
      </c>
      <c r="J356" s="45"/>
      <c r="K356" s="45"/>
    </row>
    <row r="357" spans="1:11">
      <c r="A357" s="17" t="str">
        <f t="shared" si="23"/>
        <v/>
      </c>
      <c r="B357" s="53"/>
      <c r="C357" s="11" t="str">
        <f t="shared" si="20"/>
        <v/>
      </c>
      <c r="D357" s="11" t="str">
        <f t="shared" si="21"/>
        <v/>
      </c>
      <c r="E357" s="45"/>
      <c r="F357" s="11" t="str">
        <f>IFERROR(VLOOKUP(E357,Category!$D$2:$E$600,2,FALSE),"")</f>
        <v/>
      </c>
      <c r="G357" s="45"/>
      <c r="H357" s="73"/>
      <c r="I357" s="18" t="str">
        <f t="shared" si="22"/>
        <v/>
      </c>
      <c r="J357" s="45"/>
      <c r="K357" s="45"/>
    </row>
    <row r="358" spans="1:11">
      <c r="A358" s="17" t="str">
        <f t="shared" si="23"/>
        <v/>
      </c>
      <c r="B358" s="53"/>
      <c r="C358" s="11" t="str">
        <f t="shared" si="20"/>
        <v/>
      </c>
      <c r="D358" s="11" t="str">
        <f t="shared" si="21"/>
        <v/>
      </c>
      <c r="E358" s="45"/>
      <c r="F358" s="11" t="str">
        <f>IFERROR(VLOOKUP(E358,Category!$D$2:$E$600,2,FALSE),"")</f>
        <v/>
      </c>
      <c r="G358" s="45"/>
      <c r="H358" s="73"/>
      <c r="I358" s="18" t="str">
        <f t="shared" si="22"/>
        <v/>
      </c>
      <c r="J358" s="45"/>
      <c r="K358" s="45"/>
    </row>
    <row r="359" spans="1:11">
      <c r="A359" s="17" t="str">
        <f t="shared" si="23"/>
        <v/>
      </c>
      <c r="B359" s="53"/>
      <c r="C359" s="11" t="str">
        <f t="shared" si="20"/>
        <v/>
      </c>
      <c r="D359" s="11" t="str">
        <f t="shared" si="21"/>
        <v/>
      </c>
      <c r="E359" s="45"/>
      <c r="F359" s="11" t="str">
        <f>IFERROR(VLOOKUP(E359,Category!$D$2:$E$600,2,FALSE),"")</f>
        <v/>
      </c>
      <c r="G359" s="45"/>
      <c r="H359" s="73"/>
      <c r="I359" s="18" t="str">
        <f t="shared" si="22"/>
        <v/>
      </c>
      <c r="J359" s="45"/>
      <c r="K359" s="45"/>
    </row>
    <row r="360" spans="1:11">
      <c r="A360" s="17" t="str">
        <f t="shared" si="23"/>
        <v/>
      </c>
      <c r="B360" s="53"/>
      <c r="C360" s="11" t="str">
        <f t="shared" si="20"/>
        <v/>
      </c>
      <c r="D360" s="11" t="str">
        <f t="shared" si="21"/>
        <v/>
      </c>
      <c r="E360" s="45"/>
      <c r="F360" s="11" t="str">
        <f>IFERROR(VLOOKUP(E360,Category!$D$2:$E$600,2,FALSE),"")</f>
        <v/>
      </c>
      <c r="G360" s="45"/>
      <c r="H360" s="73"/>
      <c r="I360" s="18" t="str">
        <f t="shared" si="22"/>
        <v/>
      </c>
      <c r="J360" s="45"/>
      <c r="K360" s="45"/>
    </row>
    <row r="361" spans="1:11">
      <c r="A361" s="17" t="str">
        <f t="shared" si="23"/>
        <v/>
      </c>
      <c r="B361" s="53"/>
      <c r="C361" s="11" t="str">
        <f t="shared" si="20"/>
        <v/>
      </c>
      <c r="D361" s="11" t="str">
        <f t="shared" si="21"/>
        <v/>
      </c>
      <c r="E361" s="45"/>
      <c r="F361" s="11" t="str">
        <f>IFERROR(VLOOKUP(E361,Category!$D$2:$E$600,2,FALSE),"")</f>
        <v/>
      </c>
      <c r="G361" s="45"/>
      <c r="H361" s="73"/>
      <c r="I361" s="18" t="str">
        <f t="shared" si="22"/>
        <v/>
      </c>
      <c r="J361" s="45"/>
      <c r="K361" s="45"/>
    </row>
    <row r="362" spans="1:11">
      <c r="A362" s="17" t="str">
        <f t="shared" si="23"/>
        <v/>
      </c>
      <c r="B362" s="53"/>
      <c r="C362" s="11" t="str">
        <f t="shared" si="20"/>
        <v/>
      </c>
      <c r="D362" s="11" t="str">
        <f t="shared" si="21"/>
        <v/>
      </c>
      <c r="E362" s="45"/>
      <c r="F362" s="11" t="str">
        <f>IFERROR(VLOOKUP(E362,Category!$D$2:$E$600,2,FALSE),"")</f>
        <v/>
      </c>
      <c r="G362" s="45"/>
      <c r="H362" s="73"/>
      <c r="I362" s="18" t="str">
        <f t="shared" si="22"/>
        <v/>
      </c>
      <c r="J362" s="45"/>
      <c r="K362" s="45"/>
    </row>
    <row r="363" spans="1:11">
      <c r="A363" s="17" t="str">
        <f t="shared" si="23"/>
        <v/>
      </c>
      <c r="B363" s="53"/>
      <c r="C363" s="11" t="str">
        <f t="shared" si="20"/>
        <v/>
      </c>
      <c r="D363" s="11" t="str">
        <f t="shared" si="21"/>
        <v/>
      </c>
      <c r="E363" s="45"/>
      <c r="F363" s="11" t="str">
        <f>IFERROR(VLOOKUP(E363,Category!$D$2:$E$600,2,FALSE),"")</f>
        <v/>
      </c>
      <c r="G363" s="45"/>
      <c r="H363" s="73"/>
      <c r="I363" s="18" t="str">
        <f t="shared" si="22"/>
        <v/>
      </c>
      <c r="J363" s="45"/>
      <c r="K363" s="45"/>
    </row>
    <row r="364" spans="1:11">
      <c r="A364" s="17" t="str">
        <f t="shared" si="23"/>
        <v/>
      </c>
      <c r="B364" s="53"/>
      <c r="C364" s="11" t="str">
        <f t="shared" si="20"/>
        <v/>
      </c>
      <c r="D364" s="11" t="str">
        <f t="shared" si="21"/>
        <v/>
      </c>
      <c r="E364" s="45"/>
      <c r="F364" s="11" t="str">
        <f>IFERROR(VLOOKUP(E364,Category!$D$2:$E$600,2,FALSE),"")</f>
        <v/>
      </c>
      <c r="G364" s="45"/>
      <c r="H364" s="73"/>
      <c r="I364" s="18" t="str">
        <f t="shared" si="22"/>
        <v/>
      </c>
      <c r="J364" s="45"/>
      <c r="K364" s="45"/>
    </row>
    <row r="365" spans="1:11">
      <c r="A365" s="17" t="str">
        <f t="shared" si="23"/>
        <v/>
      </c>
      <c r="B365" s="53"/>
      <c r="C365" s="11" t="str">
        <f t="shared" si="20"/>
        <v/>
      </c>
      <c r="D365" s="11" t="str">
        <f t="shared" si="21"/>
        <v/>
      </c>
      <c r="E365" s="45"/>
      <c r="F365" s="11" t="str">
        <f>IFERROR(VLOOKUP(E365,Category!$D$2:$E$600,2,FALSE),"")</f>
        <v/>
      </c>
      <c r="G365" s="45"/>
      <c r="H365" s="73"/>
      <c r="I365" s="18" t="str">
        <f t="shared" si="22"/>
        <v/>
      </c>
      <c r="J365" s="45"/>
      <c r="K365" s="45"/>
    </row>
    <row r="366" spans="1:11">
      <c r="A366" s="17" t="str">
        <f t="shared" si="23"/>
        <v/>
      </c>
      <c r="B366" s="53"/>
      <c r="C366" s="11" t="str">
        <f t="shared" si="20"/>
        <v/>
      </c>
      <c r="D366" s="11" t="str">
        <f t="shared" si="21"/>
        <v/>
      </c>
      <c r="E366" s="45"/>
      <c r="F366" s="11" t="str">
        <f>IFERROR(VLOOKUP(E366,Category!$D$2:$E$600,2,FALSE),"")</f>
        <v/>
      </c>
      <c r="G366" s="45"/>
      <c r="H366" s="73"/>
      <c r="I366" s="18" t="str">
        <f t="shared" si="22"/>
        <v/>
      </c>
      <c r="J366" s="45"/>
      <c r="K366" s="45"/>
    </row>
    <row r="367" spans="1:11">
      <c r="A367" s="17" t="str">
        <f t="shared" si="23"/>
        <v/>
      </c>
      <c r="B367" s="53"/>
      <c r="C367" s="11" t="str">
        <f t="shared" si="20"/>
        <v/>
      </c>
      <c r="D367" s="11" t="str">
        <f t="shared" si="21"/>
        <v/>
      </c>
      <c r="E367" s="45"/>
      <c r="F367" s="11" t="str">
        <f>IFERROR(VLOOKUP(E367,Category!$D$2:$E$600,2,FALSE),"")</f>
        <v/>
      </c>
      <c r="G367" s="45"/>
      <c r="H367" s="73"/>
      <c r="I367" s="18" t="str">
        <f t="shared" si="22"/>
        <v/>
      </c>
      <c r="J367" s="45"/>
      <c r="K367" s="45"/>
    </row>
    <row r="368" spans="1:11">
      <c r="A368" s="17" t="str">
        <f t="shared" si="23"/>
        <v/>
      </c>
      <c r="B368" s="53"/>
      <c r="C368" s="11" t="str">
        <f t="shared" si="20"/>
        <v/>
      </c>
      <c r="D368" s="11" t="str">
        <f t="shared" si="21"/>
        <v/>
      </c>
      <c r="E368" s="45"/>
      <c r="F368" s="11" t="str">
        <f>IFERROR(VLOOKUP(E368,Category!$D$2:$E$600,2,FALSE),"")</f>
        <v/>
      </c>
      <c r="G368" s="45"/>
      <c r="H368" s="73"/>
      <c r="I368" s="18" t="str">
        <f t="shared" si="22"/>
        <v/>
      </c>
      <c r="J368" s="45"/>
      <c r="K368" s="45"/>
    </row>
    <row r="369" spans="1:11">
      <c r="A369" s="17" t="str">
        <f t="shared" si="23"/>
        <v/>
      </c>
      <c r="B369" s="53"/>
      <c r="C369" s="11" t="str">
        <f t="shared" si="20"/>
        <v/>
      </c>
      <c r="D369" s="11" t="str">
        <f t="shared" si="21"/>
        <v/>
      </c>
      <c r="E369" s="45"/>
      <c r="F369" s="11" t="str">
        <f>IFERROR(VLOOKUP(E369,Category!$D$2:$E$600,2,FALSE),"")</f>
        <v/>
      </c>
      <c r="G369" s="45"/>
      <c r="H369" s="73"/>
      <c r="I369" s="18" t="str">
        <f t="shared" si="22"/>
        <v/>
      </c>
      <c r="J369" s="45"/>
      <c r="K369" s="45"/>
    </row>
    <row r="370" spans="1:11">
      <c r="A370" s="17" t="str">
        <f t="shared" si="23"/>
        <v/>
      </c>
      <c r="B370" s="53"/>
      <c r="C370" s="11" t="str">
        <f t="shared" si="20"/>
        <v/>
      </c>
      <c r="D370" s="11" t="str">
        <f t="shared" si="21"/>
        <v/>
      </c>
      <c r="E370" s="45"/>
      <c r="F370" s="11" t="str">
        <f>IFERROR(VLOOKUP(E370,Category!$D$2:$E$600,2,FALSE),"")</f>
        <v/>
      </c>
      <c r="G370" s="45"/>
      <c r="H370" s="73"/>
      <c r="I370" s="18" t="str">
        <f t="shared" si="22"/>
        <v/>
      </c>
      <c r="J370" s="45"/>
      <c r="K370" s="45"/>
    </row>
    <row r="371" spans="1:11">
      <c r="A371" s="17" t="str">
        <f t="shared" si="23"/>
        <v/>
      </c>
      <c r="B371" s="53"/>
      <c r="C371" s="11" t="str">
        <f t="shared" si="20"/>
        <v/>
      </c>
      <c r="D371" s="11" t="str">
        <f t="shared" si="21"/>
        <v/>
      </c>
      <c r="E371" s="45"/>
      <c r="F371" s="11" t="str">
        <f>IFERROR(VLOOKUP(E371,Category!$D$2:$E$600,2,FALSE),"")</f>
        <v/>
      </c>
      <c r="G371" s="45"/>
      <c r="H371" s="73"/>
      <c r="I371" s="18" t="str">
        <f t="shared" si="22"/>
        <v/>
      </c>
      <c r="J371" s="45"/>
      <c r="K371" s="45"/>
    </row>
    <row r="372" spans="1:11">
      <c r="A372" s="17" t="str">
        <f t="shared" si="23"/>
        <v/>
      </c>
      <c r="B372" s="53"/>
      <c r="C372" s="11" t="str">
        <f t="shared" si="20"/>
        <v/>
      </c>
      <c r="D372" s="11" t="str">
        <f t="shared" si="21"/>
        <v/>
      </c>
      <c r="E372" s="45"/>
      <c r="F372" s="11" t="str">
        <f>IFERROR(VLOOKUP(E372,Category!$D$2:$E$600,2,FALSE),"")</f>
        <v/>
      </c>
      <c r="G372" s="45"/>
      <c r="H372" s="73"/>
      <c r="I372" s="18" t="str">
        <f t="shared" si="22"/>
        <v/>
      </c>
      <c r="J372" s="45"/>
      <c r="K372" s="45"/>
    </row>
    <row r="373" spans="1:11">
      <c r="A373" s="17" t="str">
        <f t="shared" si="23"/>
        <v/>
      </c>
      <c r="B373" s="53"/>
      <c r="C373" s="11" t="str">
        <f t="shared" si="20"/>
        <v/>
      </c>
      <c r="D373" s="11" t="str">
        <f t="shared" si="21"/>
        <v/>
      </c>
      <c r="E373" s="45"/>
      <c r="F373" s="11" t="str">
        <f>IFERROR(VLOOKUP(E373,Category!$D$2:$E$600,2,FALSE),"")</f>
        <v/>
      </c>
      <c r="G373" s="45"/>
      <c r="H373" s="73"/>
      <c r="I373" s="18" t="str">
        <f t="shared" si="22"/>
        <v/>
      </c>
      <c r="J373" s="45"/>
      <c r="K373" s="45"/>
    </row>
    <row r="374" spans="1:11">
      <c r="A374" s="17" t="str">
        <f t="shared" si="23"/>
        <v/>
      </c>
      <c r="B374" s="53"/>
      <c r="C374" s="11" t="str">
        <f t="shared" si="20"/>
        <v/>
      </c>
      <c r="D374" s="11" t="str">
        <f t="shared" si="21"/>
        <v/>
      </c>
      <c r="E374" s="45"/>
      <c r="F374" s="11" t="str">
        <f>IFERROR(VLOOKUP(E374,Category!$D$2:$E$600,2,FALSE),"")</f>
        <v/>
      </c>
      <c r="G374" s="45"/>
      <c r="H374" s="73"/>
      <c r="I374" s="18" t="str">
        <f t="shared" si="22"/>
        <v/>
      </c>
      <c r="J374" s="45"/>
      <c r="K374" s="45"/>
    </row>
    <row r="375" spans="1:11">
      <c r="A375" s="17" t="str">
        <f t="shared" si="23"/>
        <v/>
      </c>
      <c r="B375" s="53"/>
      <c r="C375" s="11" t="str">
        <f t="shared" si="20"/>
        <v/>
      </c>
      <c r="D375" s="11" t="str">
        <f t="shared" si="21"/>
        <v/>
      </c>
      <c r="E375" s="45"/>
      <c r="F375" s="11" t="str">
        <f>IFERROR(VLOOKUP(E375,Category!$D$2:$E$600,2,FALSE),"")</f>
        <v/>
      </c>
      <c r="G375" s="45"/>
      <c r="H375" s="73"/>
      <c r="I375" s="18" t="str">
        <f t="shared" si="22"/>
        <v/>
      </c>
      <c r="J375" s="45"/>
      <c r="K375" s="45"/>
    </row>
    <row r="376" spans="1:11">
      <c r="A376" s="17" t="str">
        <f t="shared" si="23"/>
        <v/>
      </c>
      <c r="B376" s="53"/>
      <c r="C376" s="11" t="str">
        <f t="shared" si="20"/>
        <v/>
      </c>
      <c r="D376" s="11" t="str">
        <f t="shared" si="21"/>
        <v/>
      </c>
      <c r="E376" s="45"/>
      <c r="F376" s="11" t="str">
        <f>IFERROR(VLOOKUP(E376,Category!$D$2:$E$600,2,FALSE),"")</f>
        <v/>
      </c>
      <c r="G376" s="45"/>
      <c r="H376" s="73"/>
      <c r="I376" s="18" t="str">
        <f t="shared" si="22"/>
        <v/>
      </c>
      <c r="J376" s="45"/>
      <c r="K376" s="45"/>
    </row>
    <row r="377" spans="1:11">
      <c r="A377" s="17" t="str">
        <f t="shared" si="23"/>
        <v/>
      </c>
      <c r="B377" s="53"/>
      <c r="C377" s="11" t="str">
        <f t="shared" si="20"/>
        <v/>
      </c>
      <c r="D377" s="11" t="str">
        <f t="shared" si="21"/>
        <v/>
      </c>
      <c r="E377" s="45"/>
      <c r="F377" s="11" t="str">
        <f>IFERROR(VLOOKUP(E377,Category!$D$2:$E$600,2,FALSE),"")</f>
        <v/>
      </c>
      <c r="G377" s="45"/>
      <c r="H377" s="73"/>
      <c r="I377" s="18" t="str">
        <f t="shared" si="22"/>
        <v/>
      </c>
      <c r="J377" s="45"/>
      <c r="K377" s="45"/>
    </row>
    <row r="378" spans="1:11">
      <c r="A378" s="17" t="str">
        <f t="shared" si="23"/>
        <v/>
      </c>
      <c r="B378" s="53"/>
      <c r="C378" s="11" t="str">
        <f t="shared" si="20"/>
        <v/>
      </c>
      <c r="D378" s="11" t="str">
        <f t="shared" si="21"/>
        <v/>
      </c>
      <c r="E378" s="45"/>
      <c r="F378" s="11" t="str">
        <f>IFERROR(VLOOKUP(E378,Category!$D$2:$E$600,2,FALSE),"")</f>
        <v/>
      </c>
      <c r="G378" s="45"/>
      <c r="H378" s="73"/>
      <c r="I378" s="18" t="str">
        <f t="shared" si="22"/>
        <v/>
      </c>
      <c r="J378" s="45"/>
      <c r="K378" s="45"/>
    </row>
    <row r="379" spans="1:11">
      <c r="A379" s="17" t="str">
        <f t="shared" si="23"/>
        <v/>
      </c>
      <c r="B379" s="53"/>
      <c r="C379" s="11" t="str">
        <f t="shared" si="20"/>
        <v/>
      </c>
      <c r="D379" s="11" t="str">
        <f t="shared" si="21"/>
        <v/>
      </c>
      <c r="E379" s="45"/>
      <c r="F379" s="11" t="str">
        <f>IFERROR(VLOOKUP(E379,Category!$D$2:$E$600,2,FALSE),"")</f>
        <v/>
      </c>
      <c r="G379" s="45"/>
      <c r="H379" s="73"/>
      <c r="I379" s="18" t="str">
        <f t="shared" si="22"/>
        <v/>
      </c>
      <c r="J379" s="45"/>
      <c r="K379" s="45"/>
    </row>
    <row r="380" spans="1:11">
      <c r="A380" s="17" t="str">
        <f t="shared" si="23"/>
        <v/>
      </c>
      <c r="B380" s="53"/>
      <c r="C380" s="11" t="str">
        <f t="shared" si="20"/>
        <v/>
      </c>
      <c r="D380" s="11" t="str">
        <f t="shared" si="21"/>
        <v/>
      </c>
      <c r="E380" s="45"/>
      <c r="F380" s="11" t="str">
        <f>IFERROR(VLOOKUP(E380,Category!$D$2:$E$600,2,FALSE),"")</f>
        <v/>
      </c>
      <c r="G380" s="45"/>
      <c r="H380" s="73"/>
      <c r="I380" s="18" t="str">
        <f t="shared" si="22"/>
        <v/>
      </c>
      <c r="J380" s="45"/>
      <c r="K380" s="45"/>
    </row>
    <row r="381" spans="1:11">
      <c r="A381" s="17" t="str">
        <f t="shared" si="23"/>
        <v/>
      </c>
      <c r="B381" s="53"/>
      <c r="C381" s="11" t="str">
        <f t="shared" si="20"/>
        <v/>
      </c>
      <c r="D381" s="11" t="str">
        <f t="shared" si="21"/>
        <v/>
      </c>
      <c r="E381" s="45"/>
      <c r="F381" s="11" t="str">
        <f>IFERROR(VLOOKUP(E381,Category!$D$2:$E$600,2,FALSE),"")</f>
        <v/>
      </c>
      <c r="G381" s="45"/>
      <c r="H381" s="73"/>
      <c r="I381" s="18" t="str">
        <f t="shared" si="22"/>
        <v/>
      </c>
      <c r="J381" s="45"/>
      <c r="K381" s="45"/>
    </row>
    <row r="382" spans="1:11">
      <c r="A382" s="17" t="str">
        <f t="shared" si="23"/>
        <v/>
      </c>
      <c r="B382" s="53"/>
      <c r="C382" s="11" t="str">
        <f t="shared" si="20"/>
        <v/>
      </c>
      <c r="D382" s="11" t="str">
        <f t="shared" si="21"/>
        <v/>
      </c>
      <c r="E382" s="45"/>
      <c r="F382" s="11" t="str">
        <f>IFERROR(VLOOKUP(E382,Category!$D$2:$E$600,2,FALSE),"")</f>
        <v/>
      </c>
      <c r="G382" s="45"/>
      <c r="H382" s="73"/>
      <c r="I382" s="18" t="str">
        <f t="shared" si="22"/>
        <v/>
      </c>
      <c r="J382" s="45"/>
      <c r="K382" s="45"/>
    </row>
    <row r="383" spans="1:11">
      <c r="A383" s="17" t="str">
        <f t="shared" si="23"/>
        <v/>
      </c>
      <c r="B383" s="53"/>
      <c r="C383" s="11" t="str">
        <f t="shared" si="20"/>
        <v/>
      </c>
      <c r="D383" s="11" t="str">
        <f t="shared" si="21"/>
        <v/>
      </c>
      <c r="E383" s="45"/>
      <c r="F383" s="11" t="str">
        <f>IFERROR(VLOOKUP(E383,Category!$D$2:$E$600,2,FALSE),"")</f>
        <v/>
      </c>
      <c r="G383" s="45"/>
      <c r="H383" s="73"/>
      <c r="I383" s="18" t="str">
        <f t="shared" si="22"/>
        <v/>
      </c>
      <c r="J383" s="45"/>
      <c r="K383" s="45"/>
    </row>
    <row r="384" spans="1:11">
      <c r="A384" s="17" t="str">
        <f t="shared" si="23"/>
        <v/>
      </c>
      <c r="B384" s="53"/>
      <c r="C384" s="11" t="str">
        <f t="shared" si="20"/>
        <v/>
      </c>
      <c r="D384" s="11" t="str">
        <f t="shared" si="21"/>
        <v/>
      </c>
      <c r="E384" s="45"/>
      <c r="F384" s="11" t="str">
        <f>IFERROR(VLOOKUP(E384,Category!$D$2:$E$600,2,FALSE),"")</f>
        <v/>
      </c>
      <c r="G384" s="45"/>
      <c r="H384" s="73"/>
      <c r="I384" s="18" t="str">
        <f t="shared" si="22"/>
        <v/>
      </c>
      <c r="J384" s="45"/>
      <c r="K384" s="45"/>
    </row>
    <row r="385" spans="1:11">
      <c r="A385" s="17" t="str">
        <f t="shared" si="23"/>
        <v/>
      </c>
      <c r="B385" s="53"/>
      <c r="C385" s="11" t="str">
        <f t="shared" si="20"/>
        <v/>
      </c>
      <c r="D385" s="11" t="str">
        <f t="shared" si="21"/>
        <v/>
      </c>
      <c r="E385" s="45"/>
      <c r="F385" s="11" t="str">
        <f>IFERROR(VLOOKUP(E385,Category!$D$2:$E$600,2,FALSE),"")</f>
        <v/>
      </c>
      <c r="G385" s="45"/>
      <c r="H385" s="73"/>
      <c r="I385" s="18" t="str">
        <f t="shared" si="22"/>
        <v/>
      </c>
      <c r="J385" s="45"/>
      <c r="K385" s="45"/>
    </row>
    <row r="386" spans="1:11">
      <c r="A386" s="17" t="str">
        <f t="shared" si="23"/>
        <v/>
      </c>
      <c r="B386" s="53"/>
      <c r="C386" s="11" t="str">
        <f t="shared" si="20"/>
        <v/>
      </c>
      <c r="D386" s="11" t="str">
        <f t="shared" si="21"/>
        <v/>
      </c>
      <c r="E386" s="45"/>
      <c r="F386" s="11" t="str">
        <f>IFERROR(VLOOKUP(E386,Category!$D$2:$E$600,2,FALSE),"")</f>
        <v/>
      </c>
      <c r="G386" s="45"/>
      <c r="H386" s="73"/>
      <c r="I386" s="18" t="str">
        <f t="shared" si="22"/>
        <v/>
      </c>
      <c r="J386" s="45"/>
      <c r="K386" s="45"/>
    </row>
    <row r="387" spans="1:11">
      <c r="A387" s="17" t="str">
        <f t="shared" si="23"/>
        <v/>
      </c>
      <c r="B387" s="53"/>
      <c r="C387" s="11" t="str">
        <f t="shared" ref="C387:C450" si="24">IF(B387=0,"",TEXT(B387,"mmmm"))</f>
        <v/>
      </c>
      <c r="D387" s="11" t="str">
        <f t="shared" ref="D387:D450" si="25">IF(B387=0,"",TEXT(B387,"yyyy"))</f>
        <v/>
      </c>
      <c r="E387" s="45"/>
      <c r="F387" s="11" t="str">
        <f>IFERROR(VLOOKUP(E387,Category!$D$2:$E$600,2,FALSE),"")</f>
        <v/>
      </c>
      <c r="G387" s="45"/>
      <c r="H387" s="73"/>
      <c r="I387" s="18" t="str">
        <f t="shared" ref="I387:I450" si="26">IF(G387*H387=0,"",G387*H387)</f>
        <v/>
      </c>
      <c r="J387" s="45"/>
      <c r="K387" s="45"/>
    </row>
    <row r="388" spans="1:11">
      <c r="A388" s="17" t="str">
        <f t="shared" ref="A388:A451" si="27">IF(E388&gt;0,A387+1,"")</f>
        <v/>
      </c>
      <c r="B388" s="53"/>
      <c r="C388" s="11" t="str">
        <f t="shared" si="24"/>
        <v/>
      </c>
      <c r="D388" s="11" t="str">
        <f t="shared" si="25"/>
        <v/>
      </c>
      <c r="E388" s="45"/>
      <c r="F388" s="11" t="str">
        <f>IFERROR(VLOOKUP(E388,Category!$D$2:$E$600,2,FALSE),"")</f>
        <v/>
      </c>
      <c r="G388" s="45"/>
      <c r="H388" s="73"/>
      <c r="I388" s="18" t="str">
        <f t="shared" si="26"/>
        <v/>
      </c>
      <c r="J388" s="45"/>
      <c r="K388" s="45"/>
    </row>
    <row r="389" spans="1:11">
      <c r="A389" s="17" t="str">
        <f t="shared" si="27"/>
        <v/>
      </c>
      <c r="B389" s="53"/>
      <c r="C389" s="11" t="str">
        <f t="shared" si="24"/>
        <v/>
      </c>
      <c r="D389" s="11" t="str">
        <f t="shared" si="25"/>
        <v/>
      </c>
      <c r="E389" s="45"/>
      <c r="F389" s="11" t="str">
        <f>IFERROR(VLOOKUP(E389,Category!$D$2:$E$600,2,FALSE),"")</f>
        <v/>
      </c>
      <c r="G389" s="45"/>
      <c r="H389" s="73"/>
      <c r="I389" s="18" t="str">
        <f t="shared" si="26"/>
        <v/>
      </c>
      <c r="J389" s="45"/>
      <c r="K389" s="45"/>
    </row>
    <row r="390" spans="1:11">
      <c r="A390" s="17" t="str">
        <f t="shared" si="27"/>
        <v/>
      </c>
      <c r="B390" s="53"/>
      <c r="C390" s="11" t="str">
        <f t="shared" si="24"/>
        <v/>
      </c>
      <c r="D390" s="11" t="str">
        <f t="shared" si="25"/>
        <v/>
      </c>
      <c r="E390" s="45"/>
      <c r="F390" s="11" t="str">
        <f>IFERROR(VLOOKUP(E390,Category!$D$2:$E$600,2,FALSE),"")</f>
        <v/>
      </c>
      <c r="G390" s="45"/>
      <c r="H390" s="73"/>
      <c r="I390" s="18" t="str">
        <f t="shared" si="26"/>
        <v/>
      </c>
      <c r="J390" s="45"/>
      <c r="K390" s="45"/>
    </row>
    <row r="391" spans="1:11">
      <c r="A391" s="17" t="str">
        <f t="shared" si="27"/>
        <v/>
      </c>
      <c r="B391" s="53"/>
      <c r="C391" s="11" t="str">
        <f t="shared" si="24"/>
        <v/>
      </c>
      <c r="D391" s="11" t="str">
        <f t="shared" si="25"/>
        <v/>
      </c>
      <c r="E391" s="45"/>
      <c r="F391" s="11" t="str">
        <f>IFERROR(VLOOKUP(E391,Category!$D$2:$E$600,2,FALSE),"")</f>
        <v/>
      </c>
      <c r="G391" s="45"/>
      <c r="H391" s="73"/>
      <c r="I391" s="18" t="str">
        <f t="shared" si="26"/>
        <v/>
      </c>
      <c r="J391" s="45"/>
      <c r="K391" s="45"/>
    </row>
    <row r="392" spans="1:11">
      <c r="A392" s="17" t="str">
        <f t="shared" si="27"/>
        <v/>
      </c>
      <c r="B392" s="53"/>
      <c r="C392" s="11" t="str">
        <f t="shared" si="24"/>
        <v/>
      </c>
      <c r="D392" s="11" t="str">
        <f t="shared" si="25"/>
        <v/>
      </c>
      <c r="E392" s="45"/>
      <c r="F392" s="11" t="str">
        <f>IFERROR(VLOOKUP(E392,Category!$D$2:$E$600,2,FALSE),"")</f>
        <v/>
      </c>
      <c r="G392" s="45"/>
      <c r="H392" s="73"/>
      <c r="I392" s="18" t="str">
        <f t="shared" si="26"/>
        <v/>
      </c>
      <c r="J392" s="45"/>
      <c r="K392" s="45"/>
    </row>
    <row r="393" spans="1:11">
      <c r="A393" s="17" t="str">
        <f t="shared" si="27"/>
        <v/>
      </c>
      <c r="B393" s="53"/>
      <c r="C393" s="11" t="str">
        <f t="shared" si="24"/>
        <v/>
      </c>
      <c r="D393" s="11" t="str">
        <f t="shared" si="25"/>
        <v/>
      </c>
      <c r="E393" s="45"/>
      <c r="F393" s="11" t="str">
        <f>IFERROR(VLOOKUP(E393,Category!$D$2:$E$600,2,FALSE),"")</f>
        <v/>
      </c>
      <c r="G393" s="45"/>
      <c r="H393" s="73"/>
      <c r="I393" s="18" t="str">
        <f t="shared" si="26"/>
        <v/>
      </c>
      <c r="J393" s="45"/>
      <c r="K393" s="45"/>
    </row>
    <row r="394" spans="1:11">
      <c r="A394" s="17" t="str">
        <f t="shared" si="27"/>
        <v/>
      </c>
      <c r="B394" s="53"/>
      <c r="C394" s="11" t="str">
        <f t="shared" si="24"/>
        <v/>
      </c>
      <c r="D394" s="11" t="str">
        <f t="shared" si="25"/>
        <v/>
      </c>
      <c r="E394" s="45"/>
      <c r="F394" s="11" t="str">
        <f>IFERROR(VLOOKUP(E394,Category!$D$2:$E$600,2,FALSE),"")</f>
        <v/>
      </c>
      <c r="G394" s="45"/>
      <c r="H394" s="73"/>
      <c r="I394" s="18" t="str">
        <f t="shared" si="26"/>
        <v/>
      </c>
      <c r="J394" s="45"/>
      <c r="K394" s="45"/>
    </row>
    <row r="395" spans="1:11">
      <c r="A395" s="17" t="str">
        <f t="shared" si="27"/>
        <v/>
      </c>
      <c r="B395" s="53"/>
      <c r="C395" s="11" t="str">
        <f t="shared" si="24"/>
        <v/>
      </c>
      <c r="D395" s="11" t="str">
        <f t="shared" si="25"/>
        <v/>
      </c>
      <c r="E395" s="45"/>
      <c r="F395" s="11" t="str">
        <f>IFERROR(VLOOKUP(E395,Category!$D$2:$E$600,2,FALSE),"")</f>
        <v/>
      </c>
      <c r="G395" s="45"/>
      <c r="H395" s="73"/>
      <c r="I395" s="18" t="str">
        <f t="shared" si="26"/>
        <v/>
      </c>
      <c r="J395" s="45"/>
      <c r="K395" s="45"/>
    </row>
    <row r="396" spans="1:11">
      <c r="A396" s="17" t="str">
        <f t="shared" si="27"/>
        <v/>
      </c>
      <c r="B396" s="53"/>
      <c r="C396" s="11" t="str">
        <f t="shared" si="24"/>
        <v/>
      </c>
      <c r="D396" s="11" t="str">
        <f t="shared" si="25"/>
        <v/>
      </c>
      <c r="E396" s="45"/>
      <c r="F396" s="11" t="str">
        <f>IFERROR(VLOOKUP(E396,Category!$D$2:$E$600,2,FALSE),"")</f>
        <v/>
      </c>
      <c r="G396" s="45"/>
      <c r="H396" s="73"/>
      <c r="I396" s="18" t="str">
        <f t="shared" si="26"/>
        <v/>
      </c>
      <c r="J396" s="45"/>
      <c r="K396" s="45"/>
    </row>
    <row r="397" spans="1:11">
      <c r="A397" s="17" t="str">
        <f t="shared" si="27"/>
        <v/>
      </c>
      <c r="B397" s="53"/>
      <c r="C397" s="11" t="str">
        <f t="shared" si="24"/>
        <v/>
      </c>
      <c r="D397" s="11" t="str">
        <f t="shared" si="25"/>
        <v/>
      </c>
      <c r="E397" s="45"/>
      <c r="F397" s="11" t="str">
        <f>IFERROR(VLOOKUP(E397,Category!$D$2:$E$600,2,FALSE),"")</f>
        <v/>
      </c>
      <c r="G397" s="45"/>
      <c r="H397" s="73"/>
      <c r="I397" s="18" t="str">
        <f t="shared" si="26"/>
        <v/>
      </c>
      <c r="J397" s="45"/>
      <c r="K397" s="45"/>
    </row>
    <row r="398" spans="1:11">
      <c r="A398" s="17" t="str">
        <f t="shared" si="27"/>
        <v/>
      </c>
      <c r="B398" s="53"/>
      <c r="C398" s="11" t="str">
        <f t="shared" si="24"/>
        <v/>
      </c>
      <c r="D398" s="11" t="str">
        <f t="shared" si="25"/>
        <v/>
      </c>
      <c r="E398" s="45"/>
      <c r="F398" s="11" t="str">
        <f>IFERROR(VLOOKUP(E398,Category!$D$2:$E$600,2,FALSE),"")</f>
        <v/>
      </c>
      <c r="G398" s="45"/>
      <c r="H398" s="73"/>
      <c r="I398" s="18" t="str">
        <f t="shared" si="26"/>
        <v/>
      </c>
      <c r="J398" s="45"/>
      <c r="K398" s="45"/>
    </row>
    <row r="399" spans="1:11">
      <c r="A399" s="17" t="str">
        <f t="shared" si="27"/>
        <v/>
      </c>
      <c r="B399" s="53"/>
      <c r="C399" s="11" t="str">
        <f t="shared" si="24"/>
        <v/>
      </c>
      <c r="D399" s="11" t="str">
        <f t="shared" si="25"/>
        <v/>
      </c>
      <c r="E399" s="45"/>
      <c r="F399" s="11" t="str">
        <f>IFERROR(VLOOKUP(E399,Category!$D$2:$E$600,2,FALSE),"")</f>
        <v/>
      </c>
      <c r="G399" s="45"/>
      <c r="H399" s="73"/>
      <c r="I399" s="18" t="str">
        <f t="shared" si="26"/>
        <v/>
      </c>
      <c r="J399" s="45"/>
      <c r="K399" s="45"/>
    </row>
    <row r="400" spans="1:11">
      <c r="A400" s="17" t="str">
        <f t="shared" si="27"/>
        <v/>
      </c>
      <c r="B400" s="53"/>
      <c r="C400" s="11" t="str">
        <f t="shared" si="24"/>
        <v/>
      </c>
      <c r="D400" s="11" t="str">
        <f t="shared" si="25"/>
        <v/>
      </c>
      <c r="E400" s="45"/>
      <c r="F400" s="11" t="str">
        <f>IFERROR(VLOOKUP(E400,Category!$D$2:$E$600,2,FALSE),"")</f>
        <v/>
      </c>
      <c r="G400" s="45"/>
      <c r="H400" s="73"/>
      <c r="I400" s="18" t="str">
        <f t="shared" si="26"/>
        <v/>
      </c>
      <c r="J400" s="45"/>
      <c r="K400" s="45"/>
    </row>
    <row r="401" spans="1:11">
      <c r="A401" s="17" t="str">
        <f t="shared" si="27"/>
        <v/>
      </c>
      <c r="B401" s="53"/>
      <c r="C401" s="11" t="str">
        <f t="shared" si="24"/>
        <v/>
      </c>
      <c r="D401" s="11" t="str">
        <f t="shared" si="25"/>
        <v/>
      </c>
      <c r="E401" s="45"/>
      <c r="F401" s="11" t="str">
        <f>IFERROR(VLOOKUP(E401,Category!$D$2:$E$600,2,FALSE),"")</f>
        <v/>
      </c>
      <c r="G401" s="45"/>
      <c r="H401" s="73"/>
      <c r="I401" s="18" t="str">
        <f t="shared" si="26"/>
        <v/>
      </c>
      <c r="J401" s="45"/>
      <c r="K401" s="45"/>
    </row>
    <row r="402" spans="1:11">
      <c r="A402" s="17" t="str">
        <f t="shared" si="27"/>
        <v/>
      </c>
      <c r="B402" s="53"/>
      <c r="C402" s="11" t="str">
        <f t="shared" si="24"/>
        <v/>
      </c>
      <c r="D402" s="11" t="str">
        <f t="shared" si="25"/>
        <v/>
      </c>
      <c r="E402" s="45"/>
      <c r="F402" s="11" t="str">
        <f>IFERROR(VLOOKUP(E402,Category!$D$2:$E$600,2,FALSE),"")</f>
        <v/>
      </c>
      <c r="G402" s="45"/>
      <c r="H402" s="73"/>
      <c r="I402" s="18" t="str">
        <f t="shared" si="26"/>
        <v/>
      </c>
      <c r="J402" s="45"/>
      <c r="K402" s="45"/>
    </row>
    <row r="403" spans="1:11">
      <c r="A403" s="17" t="str">
        <f t="shared" si="27"/>
        <v/>
      </c>
      <c r="B403" s="53"/>
      <c r="C403" s="11" t="str">
        <f t="shared" si="24"/>
        <v/>
      </c>
      <c r="D403" s="11" t="str">
        <f t="shared" si="25"/>
        <v/>
      </c>
      <c r="E403" s="45"/>
      <c r="F403" s="11" t="str">
        <f>IFERROR(VLOOKUP(E403,Category!$D$2:$E$600,2,FALSE),"")</f>
        <v/>
      </c>
      <c r="G403" s="45"/>
      <c r="H403" s="73"/>
      <c r="I403" s="18" t="str">
        <f t="shared" si="26"/>
        <v/>
      </c>
      <c r="J403" s="45"/>
      <c r="K403" s="45"/>
    </row>
    <row r="404" spans="1:11">
      <c r="A404" s="17" t="str">
        <f t="shared" si="27"/>
        <v/>
      </c>
      <c r="B404" s="53"/>
      <c r="C404" s="11" t="str">
        <f t="shared" si="24"/>
        <v/>
      </c>
      <c r="D404" s="11" t="str">
        <f t="shared" si="25"/>
        <v/>
      </c>
      <c r="E404" s="45"/>
      <c r="F404" s="11" t="str">
        <f>IFERROR(VLOOKUP(E404,Category!$D$2:$E$600,2,FALSE),"")</f>
        <v/>
      </c>
      <c r="G404" s="45"/>
      <c r="H404" s="73"/>
      <c r="I404" s="18" t="str">
        <f t="shared" si="26"/>
        <v/>
      </c>
      <c r="J404" s="45"/>
      <c r="K404" s="45"/>
    </row>
    <row r="405" spans="1:11">
      <c r="A405" s="17" t="str">
        <f t="shared" si="27"/>
        <v/>
      </c>
      <c r="B405" s="53"/>
      <c r="C405" s="11" t="str">
        <f t="shared" si="24"/>
        <v/>
      </c>
      <c r="D405" s="11" t="str">
        <f t="shared" si="25"/>
        <v/>
      </c>
      <c r="E405" s="45"/>
      <c r="F405" s="11" t="str">
        <f>IFERROR(VLOOKUP(E405,Category!$D$2:$E$600,2,FALSE),"")</f>
        <v/>
      </c>
      <c r="G405" s="45"/>
      <c r="H405" s="73"/>
      <c r="I405" s="18" t="str">
        <f t="shared" si="26"/>
        <v/>
      </c>
      <c r="J405" s="45"/>
      <c r="K405" s="45"/>
    </row>
    <row r="406" spans="1:11">
      <c r="A406" s="17" t="str">
        <f t="shared" si="27"/>
        <v/>
      </c>
      <c r="B406" s="53"/>
      <c r="C406" s="11" t="str">
        <f t="shared" si="24"/>
        <v/>
      </c>
      <c r="D406" s="11" t="str">
        <f t="shared" si="25"/>
        <v/>
      </c>
      <c r="E406" s="45"/>
      <c r="F406" s="11" t="str">
        <f>IFERROR(VLOOKUP(E406,Category!$D$2:$E$600,2,FALSE),"")</f>
        <v/>
      </c>
      <c r="G406" s="45"/>
      <c r="H406" s="73"/>
      <c r="I406" s="18" t="str">
        <f t="shared" si="26"/>
        <v/>
      </c>
      <c r="J406" s="45"/>
      <c r="K406" s="45"/>
    </row>
    <row r="407" spans="1:11">
      <c r="A407" s="17" t="str">
        <f t="shared" si="27"/>
        <v/>
      </c>
      <c r="B407" s="53"/>
      <c r="C407" s="11" t="str">
        <f t="shared" si="24"/>
        <v/>
      </c>
      <c r="D407" s="11" t="str">
        <f t="shared" si="25"/>
        <v/>
      </c>
      <c r="E407" s="45"/>
      <c r="F407" s="11" t="str">
        <f>IFERROR(VLOOKUP(E407,Category!$D$2:$E$600,2,FALSE),"")</f>
        <v/>
      </c>
      <c r="G407" s="45"/>
      <c r="H407" s="73"/>
      <c r="I407" s="18" t="str">
        <f t="shared" si="26"/>
        <v/>
      </c>
      <c r="J407" s="45"/>
      <c r="K407" s="45"/>
    </row>
    <row r="408" spans="1:11">
      <c r="A408" s="17" t="str">
        <f t="shared" si="27"/>
        <v/>
      </c>
      <c r="B408" s="53"/>
      <c r="C408" s="11" t="str">
        <f t="shared" si="24"/>
        <v/>
      </c>
      <c r="D408" s="11" t="str">
        <f t="shared" si="25"/>
        <v/>
      </c>
      <c r="E408" s="45"/>
      <c r="F408" s="11" t="str">
        <f>IFERROR(VLOOKUP(E408,Category!$D$2:$E$600,2,FALSE),"")</f>
        <v/>
      </c>
      <c r="G408" s="45"/>
      <c r="H408" s="73"/>
      <c r="I408" s="18" t="str">
        <f t="shared" si="26"/>
        <v/>
      </c>
      <c r="J408" s="45"/>
      <c r="K408" s="45"/>
    </row>
    <row r="409" spans="1:11">
      <c r="A409" s="17" t="str">
        <f t="shared" si="27"/>
        <v/>
      </c>
      <c r="B409" s="53"/>
      <c r="C409" s="11" t="str">
        <f t="shared" si="24"/>
        <v/>
      </c>
      <c r="D409" s="11" t="str">
        <f t="shared" si="25"/>
        <v/>
      </c>
      <c r="E409" s="45"/>
      <c r="F409" s="11" t="str">
        <f>IFERROR(VLOOKUP(E409,Category!$D$2:$E$600,2,FALSE),"")</f>
        <v/>
      </c>
      <c r="G409" s="45"/>
      <c r="H409" s="73"/>
      <c r="I409" s="18" t="str">
        <f t="shared" si="26"/>
        <v/>
      </c>
      <c r="J409" s="45"/>
      <c r="K409" s="45"/>
    </row>
    <row r="410" spans="1:11">
      <c r="A410" s="17" t="str">
        <f t="shared" si="27"/>
        <v/>
      </c>
      <c r="B410" s="53"/>
      <c r="C410" s="11" t="str">
        <f t="shared" si="24"/>
        <v/>
      </c>
      <c r="D410" s="11" t="str">
        <f t="shared" si="25"/>
        <v/>
      </c>
      <c r="E410" s="45"/>
      <c r="F410" s="11" t="str">
        <f>IFERROR(VLOOKUP(E410,Category!$D$2:$E$600,2,FALSE),"")</f>
        <v/>
      </c>
      <c r="G410" s="45"/>
      <c r="H410" s="73"/>
      <c r="I410" s="18" t="str">
        <f t="shared" si="26"/>
        <v/>
      </c>
      <c r="J410" s="45"/>
      <c r="K410" s="45"/>
    </row>
    <row r="411" spans="1:11">
      <c r="A411" s="17" t="str">
        <f t="shared" si="27"/>
        <v/>
      </c>
      <c r="B411" s="53"/>
      <c r="C411" s="11" t="str">
        <f t="shared" si="24"/>
        <v/>
      </c>
      <c r="D411" s="11" t="str">
        <f t="shared" si="25"/>
        <v/>
      </c>
      <c r="E411" s="45"/>
      <c r="F411" s="11" t="str">
        <f>IFERROR(VLOOKUP(E411,Category!$D$2:$E$600,2,FALSE),"")</f>
        <v/>
      </c>
      <c r="G411" s="45"/>
      <c r="H411" s="73"/>
      <c r="I411" s="18" t="str">
        <f t="shared" si="26"/>
        <v/>
      </c>
      <c r="J411" s="45"/>
      <c r="K411" s="45"/>
    </row>
    <row r="412" spans="1:11">
      <c r="A412" s="17" t="str">
        <f t="shared" si="27"/>
        <v/>
      </c>
      <c r="B412" s="53"/>
      <c r="C412" s="11" t="str">
        <f t="shared" si="24"/>
        <v/>
      </c>
      <c r="D412" s="11" t="str">
        <f t="shared" si="25"/>
        <v/>
      </c>
      <c r="E412" s="45"/>
      <c r="F412" s="11" t="str">
        <f>IFERROR(VLOOKUP(E412,Category!$D$2:$E$600,2,FALSE),"")</f>
        <v/>
      </c>
      <c r="G412" s="45"/>
      <c r="H412" s="73"/>
      <c r="I412" s="18" t="str">
        <f t="shared" si="26"/>
        <v/>
      </c>
      <c r="J412" s="45"/>
      <c r="K412" s="45"/>
    </row>
    <row r="413" spans="1:11">
      <c r="A413" s="17" t="str">
        <f t="shared" si="27"/>
        <v/>
      </c>
      <c r="B413" s="53"/>
      <c r="C413" s="11" t="str">
        <f t="shared" si="24"/>
        <v/>
      </c>
      <c r="D413" s="11" t="str">
        <f t="shared" si="25"/>
        <v/>
      </c>
      <c r="E413" s="45"/>
      <c r="F413" s="11" t="str">
        <f>IFERROR(VLOOKUP(E413,Category!$D$2:$E$600,2,FALSE),"")</f>
        <v/>
      </c>
      <c r="G413" s="45"/>
      <c r="H413" s="73"/>
      <c r="I413" s="18" t="str">
        <f t="shared" si="26"/>
        <v/>
      </c>
      <c r="J413" s="45"/>
      <c r="K413" s="45"/>
    </row>
    <row r="414" spans="1:11">
      <c r="A414" s="17" t="str">
        <f t="shared" si="27"/>
        <v/>
      </c>
      <c r="B414" s="53"/>
      <c r="C414" s="11" t="str">
        <f t="shared" si="24"/>
        <v/>
      </c>
      <c r="D414" s="11" t="str">
        <f t="shared" si="25"/>
        <v/>
      </c>
      <c r="E414" s="45"/>
      <c r="F414" s="11" t="str">
        <f>IFERROR(VLOOKUP(E414,Category!$D$2:$E$600,2,FALSE),"")</f>
        <v/>
      </c>
      <c r="G414" s="45"/>
      <c r="H414" s="73"/>
      <c r="I414" s="18" t="str">
        <f t="shared" si="26"/>
        <v/>
      </c>
      <c r="J414" s="45"/>
      <c r="K414" s="45"/>
    </row>
    <row r="415" spans="1:11">
      <c r="A415" s="17" t="str">
        <f t="shared" si="27"/>
        <v/>
      </c>
      <c r="B415" s="53"/>
      <c r="C415" s="11" t="str">
        <f t="shared" si="24"/>
        <v/>
      </c>
      <c r="D415" s="11" t="str">
        <f t="shared" si="25"/>
        <v/>
      </c>
      <c r="E415" s="45"/>
      <c r="F415" s="11" t="str">
        <f>IFERROR(VLOOKUP(E415,Category!$D$2:$E$600,2,FALSE),"")</f>
        <v/>
      </c>
      <c r="G415" s="45"/>
      <c r="H415" s="73"/>
      <c r="I415" s="18" t="str">
        <f t="shared" si="26"/>
        <v/>
      </c>
      <c r="J415" s="45"/>
      <c r="K415" s="45"/>
    </row>
    <row r="416" spans="1:11">
      <c r="A416" s="17" t="str">
        <f t="shared" si="27"/>
        <v/>
      </c>
      <c r="B416" s="53"/>
      <c r="C416" s="11" t="str">
        <f t="shared" si="24"/>
        <v/>
      </c>
      <c r="D416" s="11" t="str">
        <f t="shared" si="25"/>
        <v/>
      </c>
      <c r="E416" s="45"/>
      <c r="F416" s="11" t="str">
        <f>IFERROR(VLOOKUP(E416,Category!$D$2:$E$600,2,FALSE),"")</f>
        <v/>
      </c>
      <c r="G416" s="45"/>
      <c r="H416" s="73"/>
      <c r="I416" s="18" t="str">
        <f t="shared" si="26"/>
        <v/>
      </c>
      <c r="J416" s="45"/>
      <c r="K416" s="45"/>
    </row>
    <row r="417" spans="1:11">
      <c r="A417" s="17" t="str">
        <f t="shared" si="27"/>
        <v/>
      </c>
      <c r="B417" s="53"/>
      <c r="C417" s="11" t="str">
        <f t="shared" si="24"/>
        <v/>
      </c>
      <c r="D417" s="11" t="str">
        <f t="shared" si="25"/>
        <v/>
      </c>
      <c r="E417" s="45"/>
      <c r="F417" s="11" t="str">
        <f>IFERROR(VLOOKUP(E417,Category!$D$2:$E$600,2,FALSE),"")</f>
        <v/>
      </c>
      <c r="G417" s="45"/>
      <c r="H417" s="73"/>
      <c r="I417" s="18" t="str">
        <f t="shared" si="26"/>
        <v/>
      </c>
      <c r="J417" s="45"/>
      <c r="K417" s="45"/>
    </row>
    <row r="418" spans="1:11">
      <c r="A418" s="17" t="str">
        <f t="shared" si="27"/>
        <v/>
      </c>
      <c r="B418" s="53"/>
      <c r="C418" s="11" t="str">
        <f t="shared" si="24"/>
        <v/>
      </c>
      <c r="D418" s="11" t="str">
        <f t="shared" si="25"/>
        <v/>
      </c>
      <c r="E418" s="45"/>
      <c r="F418" s="11" t="str">
        <f>IFERROR(VLOOKUP(E418,Category!$D$2:$E$600,2,FALSE),"")</f>
        <v/>
      </c>
      <c r="G418" s="45"/>
      <c r="H418" s="73"/>
      <c r="I418" s="18" t="str">
        <f t="shared" si="26"/>
        <v/>
      </c>
      <c r="J418" s="45"/>
      <c r="K418" s="45"/>
    </row>
    <row r="419" spans="1:11">
      <c r="A419" s="17" t="str">
        <f t="shared" si="27"/>
        <v/>
      </c>
      <c r="B419" s="53"/>
      <c r="C419" s="11" t="str">
        <f t="shared" si="24"/>
        <v/>
      </c>
      <c r="D419" s="11" t="str">
        <f t="shared" si="25"/>
        <v/>
      </c>
      <c r="E419" s="45"/>
      <c r="F419" s="11" t="str">
        <f>IFERROR(VLOOKUP(E419,Category!$D$2:$E$600,2,FALSE),"")</f>
        <v/>
      </c>
      <c r="G419" s="45"/>
      <c r="H419" s="73"/>
      <c r="I419" s="18" t="str">
        <f t="shared" si="26"/>
        <v/>
      </c>
      <c r="J419" s="45"/>
      <c r="K419" s="45"/>
    </row>
    <row r="420" spans="1:11">
      <c r="A420" s="17" t="str">
        <f t="shared" si="27"/>
        <v/>
      </c>
      <c r="B420" s="53"/>
      <c r="C420" s="11" t="str">
        <f t="shared" si="24"/>
        <v/>
      </c>
      <c r="D420" s="11" t="str">
        <f t="shared" si="25"/>
        <v/>
      </c>
      <c r="E420" s="45"/>
      <c r="F420" s="11" t="str">
        <f>IFERROR(VLOOKUP(E420,Category!$D$2:$E$600,2,FALSE),"")</f>
        <v/>
      </c>
      <c r="G420" s="45"/>
      <c r="H420" s="73"/>
      <c r="I420" s="18" t="str">
        <f t="shared" si="26"/>
        <v/>
      </c>
      <c r="J420" s="45"/>
      <c r="K420" s="45"/>
    </row>
    <row r="421" spans="1:11">
      <c r="A421" s="17" t="str">
        <f t="shared" si="27"/>
        <v/>
      </c>
      <c r="B421" s="53"/>
      <c r="C421" s="11" t="str">
        <f t="shared" si="24"/>
        <v/>
      </c>
      <c r="D421" s="11" t="str">
        <f t="shared" si="25"/>
        <v/>
      </c>
      <c r="E421" s="45"/>
      <c r="F421" s="11" t="str">
        <f>IFERROR(VLOOKUP(E421,Category!$D$2:$E$600,2,FALSE),"")</f>
        <v/>
      </c>
      <c r="G421" s="45"/>
      <c r="H421" s="73"/>
      <c r="I421" s="18" t="str">
        <f t="shared" si="26"/>
        <v/>
      </c>
      <c r="J421" s="45"/>
      <c r="K421" s="45"/>
    </row>
    <row r="422" spans="1:11">
      <c r="A422" s="17" t="str">
        <f t="shared" si="27"/>
        <v/>
      </c>
      <c r="B422" s="53"/>
      <c r="C422" s="11" t="str">
        <f t="shared" si="24"/>
        <v/>
      </c>
      <c r="D422" s="11" t="str">
        <f t="shared" si="25"/>
        <v/>
      </c>
      <c r="E422" s="45"/>
      <c r="F422" s="11" t="str">
        <f>IFERROR(VLOOKUP(E422,Category!$D$2:$E$600,2,FALSE),"")</f>
        <v/>
      </c>
      <c r="G422" s="45"/>
      <c r="H422" s="73"/>
      <c r="I422" s="18" t="str">
        <f t="shared" si="26"/>
        <v/>
      </c>
      <c r="J422" s="45"/>
      <c r="K422" s="45"/>
    </row>
    <row r="423" spans="1:11">
      <c r="A423" s="17" t="str">
        <f t="shared" si="27"/>
        <v/>
      </c>
      <c r="B423" s="53"/>
      <c r="C423" s="11" t="str">
        <f t="shared" si="24"/>
        <v/>
      </c>
      <c r="D423" s="11" t="str">
        <f t="shared" si="25"/>
        <v/>
      </c>
      <c r="E423" s="45"/>
      <c r="F423" s="11" t="str">
        <f>IFERROR(VLOOKUP(E423,Category!$D$2:$E$600,2,FALSE),"")</f>
        <v/>
      </c>
      <c r="G423" s="45"/>
      <c r="H423" s="73"/>
      <c r="I423" s="18" t="str">
        <f t="shared" si="26"/>
        <v/>
      </c>
      <c r="J423" s="45"/>
      <c r="K423" s="45"/>
    </row>
    <row r="424" spans="1:11">
      <c r="A424" s="17" t="str">
        <f t="shared" si="27"/>
        <v/>
      </c>
      <c r="B424" s="53"/>
      <c r="C424" s="11" t="str">
        <f t="shared" si="24"/>
        <v/>
      </c>
      <c r="D424" s="11" t="str">
        <f t="shared" si="25"/>
        <v/>
      </c>
      <c r="E424" s="45"/>
      <c r="F424" s="11" t="str">
        <f>IFERROR(VLOOKUP(E424,Category!$D$2:$E$600,2,FALSE),"")</f>
        <v/>
      </c>
      <c r="G424" s="45"/>
      <c r="H424" s="73"/>
      <c r="I424" s="18" t="str">
        <f t="shared" si="26"/>
        <v/>
      </c>
      <c r="J424" s="45"/>
      <c r="K424" s="45"/>
    </row>
    <row r="425" spans="1:11">
      <c r="A425" s="17" t="str">
        <f t="shared" si="27"/>
        <v/>
      </c>
      <c r="B425" s="53"/>
      <c r="C425" s="11" t="str">
        <f t="shared" si="24"/>
        <v/>
      </c>
      <c r="D425" s="11" t="str">
        <f t="shared" si="25"/>
        <v/>
      </c>
      <c r="E425" s="45"/>
      <c r="F425" s="11" t="str">
        <f>IFERROR(VLOOKUP(E425,Category!$D$2:$E$600,2,FALSE),"")</f>
        <v/>
      </c>
      <c r="G425" s="45"/>
      <c r="H425" s="73"/>
      <c r="I425" s="18" t="str">
        <f t="shared" si="26"/>
        <v/>
      </c>
      <c r="J425" s="45"/>
      <c r="K425" s="45"/>
    </row>
    <row r="426" spans="1:11">
      <c r="A426" s="17" t="str">
        <f t="shared" si="27"/>
        <v/>
      </c>
      <c r="B426" s="53"/>
      <c r="C426" s="11" t="str">
        <f t="shared" si="24"/>
        <v/>
      </c>
      <c r="D426" s="11" t="str">
        <f t="shared" si="25"/>
        <v/>
      </c>
      <c r="E426" s="45"/>
      <c r="F426" s="11" t="str">
        <f>IFERROR(VLOOKUP(E426,Category!$D$2:$E$600,2,FALSE),"")</f>
        <v/>
      </c>
      <c r="G426" s="45"/>
      <c r="H426" s="73"/>
      <c r="I426" s="18" t="str">
        <f t="shared" si="26"/>
        <v/>
      </c>
      <c r="J426" s="45"/>
      <c r="K426" s="45"/>
    </row>
    <row r="427" spans="1:11">
      <c r="A427" s="17" t="str">
        <f t="shared" si="27"/>
        <v/>
      </c>
      <c r="B427" s="53"/>
      <c r="C427" s="11" t="str">
        <f t="shared" si="24"/>
        <v/>
      </c>
      <c r="D427" s="11" t="str">
        <f t="shared" si="25"/>
        <v/>
      </c>
      <c r="E427" s="45"/>
      <c r="F427" s="11" t="str">
        <f>IFERROR(VLOOKUP(E427,Category!$D$2:$E$600,2,FALSE),"")</f>
        <v/>
      </c>
      <c r="G427" s="45"/>
      <c r="H427" s="73"/>
      <c r="I427" s="18" t="str">
        <f t="shared" si="26"/>
        <v/>
      </c>
      <c r="J427" s="45"/>
      <c r="K427" s="45"/>
    </row>
    <row r="428" spans="1:11">
      <c r="A428" s="17" t="str">
        <f t="shared" si="27"/>
        <v/>
      </c>
      <c r="B428" s="53"/>
      <c r="C428" s="11" t="str">
        <f t="shared" si="24"/>
        <v/>
      </c>
      <c r="D428" s="11" t="str">
        <f t="shared" si="25"/>
        <v/>
      </c>
      <c r="E428" s="45"/>
      <c r="F428" s="11" t="str">
        <f>IFERROR(VLOOKUP(E428,Category!$D$2:$E$600,2,FALSE),"")</f>
        <v/>
      </c>
      <c r="G428" s="45"/>
      <c r="H428" s="73"/>
      <c r="I428" s="18" t="str">
        <f t="shared" si="26"/>
        <v/>
      </c>
      <c r="J428" s="45"/>
      <c r="K428" s="45"/>
    </row>
    <row r="429" spans="1:11">
      <c r="A429" s="17" t="str">
        <f t="shared" si="27"/>
        <v/>
      </c>
      <c r="B429" s="53"/>
      <c r="C429" s="11" t="str">
        <f t="shared" si="24"/>
        <v/>
      </c>
      <c r="D429" s="11" t="str">
        <f t="shared" si="25"/>
        <v/>
      </c>
      <c r="E429" s="45"/>
      <c r="F429" s="11" t="str">
        <f>IFERROR(VLOOKUP(E429,Category!$D$2:$E$600,2,FALSE),"")</f>
        <v/>
      </c>
      <c r="G429" s="45"/>
      <c r="H429" s="73"/>
      <c r="I429" s="18" t="str">
        <f t="shared" si="26"/>
        <v/>
      </c>
      <c r="J429" s="45"/>
      <c r="K429" s="45"/>
    </row>
    <row r="430" spans="1:11">
      <c r="A430" s="17" t="str">
        <f t="shared" si="27"/>
        <v/>
      </c>
      <c r="B430" s="53"/>
      <c r="C430" s="11" t="str">
        <f t="shared" si="24"/>
        <v/>
      </c>
      <c r="D430" s="11" t="str">
        <f t="shared" si="25"/>
        <v/>
      </c>
      <c r="E430" s="45"/>
      <c r="F430" s="11" t="str">
        <f>IFERROR(VLOOKUP(E430,Category!$D$2:$E$600,2,FALSE),"")</f>
        <v/>
      </c>
      <c r="G430" s="45"/>
      <c r="H430" s="73"/>
      <c r="I430" s="18" t="str">
        <f t="shared" si="26"/>
        <v/>
      </c>
      <c r="J430" s="45"/>
      <c r="K430" s="45"/>
    </row>
    <row r="431" spans="1:11">
      <c r="A431" s="17" t="str">
        <f t="shared" si="27"/>
        <v/>
      </c>
      <c r="B431" s="53"/>
      <c r="C431" s="11" t="str">
        <f t="shared" si="24"/>
        <v/>
      </c>
      <c r="D431" s="11" t="str">
        <f t="shared" si="25"/>
        <v/>
      </c>
      <c r="E431" s="45"/>
      <c r="F431" s="11" t="str">
        <f>IFERROR(VLOOKUP(E431,Category!$D$2:$E$600,2,FALSE),"")</f>
        <v/>
      </c>
      <c r="G431" s="45"/>
      <c r="H431" s="73"/>
      <c r="I431" s="18" t="str">
        <f t="shared" si="26"/>
        <v/>
      </c>
      <c r="J431" s="45"/>
      <c r="K431" s="45"/>
    </row>
    <row r="432" spans="1:11">
      <c r="A432" s="17" t="str">
        <f t="shared" si="27"/>
        <v/>
      </c>
      <c r="B432" s="53"/>
      <c r="C432" s="11" t="str">
        <f t="shared" si="24"/>
        <v/>
      </c>
      <c r="D432" s="11" t="str">
        <f t="shared" si="25"/>
        <v/>
      </c>
      <c r="E432" s="45"/>
      <c r="F432" s="11" t="str">
        <f>IFERROR(VLOOKUP(E432,Category!$D$2:$E$600,2,FALSE),"")</f>
        <v/>
      </c>
      <c r="G432" s="45"/>
      <c r="H432" s="73"/>
      <c r="I432" s="18" t="str">
        <f t="shared" si="26"/>
        <v/>
      </c>
      <c r="J432" s="45"/>
      <c r="K432" s="45"/>
    </row>
    <row r="433" spans="1:11">
      <c r="A433" s="17" t="str">
        <f t="shared" si="27"/>
        <v/>
      </c>
      <c r="B433" s="53"/>
      <c r="C433" s="11" t="str">
        <f t="shared" si="24"/>
        <v/>
      </c>
      <c r="D433" s="11" t="str">
        <f t="shared" si="25"/>
        <v/>
      </c>
      <c r="E433" s="45"/>
      <c r="F433" s="11" t="str">
        <f>IFERROR(VLOOKUP(E433,Category!$D$2:$E$600,2,FALSE),"")</f>
        <v/>
      </c>
      <c r="G433" s="45"/>
      <c r="H433" s="73"/>
      <c r="I433" s="18" t="str">
        <f t="shared" si="26"/>
        <v/>
      </c>
      <c r="J433" s="45"/>
      <c r="K433" s="45"/>
    </row>
    <row r="434" spans="1:11">
      <c r="A434" s="17" t="str">
        <f t="shared" si="27"/>
        <v/>
      </c>
      <c r="B434" s="53"/>
      <c r="C434" s="11" t="str">
        <f t="shared" si="24"/>
        <v/>
      </c>
      <c r="D434" s="11" t="str">
        <f t="shared" si="25"/>
        <v/>
      </c>
      <c r="E434" s="45"/>
      <c r="F434" s="11" t="str">
        <f>IFERROR(VLOOKUP(E434,Category!$D$2:$E$600,2,FALSE),"")</f>
        <v/>
      </c>
      <c r="G434" s="45"/>
      <c r="H434" s="73"/>
      <c r="I434" s="18" t="str">
        <f t="shared" si="26"/>
        <v/>
      </c>
      <c r="J434" s="45"/>
      <c r="K434" s="45"/>
    </row>
    <row r="435" spans="1:11">
      <c r="A435" s="17" t="str">
        <f t="shared" si="27"/>
        <v/>
      </c>
      <c r="B435" s="53"/>
      <c r="C435" s="11" t="str">
        <f t="shared" si="24"/>
        <v/>
      </c>
      <c r="D435" s="11" t="str">
        <f t="shared" si="25"/>
        <v/>
      </c>
      <c r="E435" s="45"/>
      <c r="F435" s="11" t="str">
        <f>IFERROR(VLOOKUP(E435,Category!$D$2:$E$600,2,FALSE),"")</f>
        <v/>
      </c>
      <c r="G435" s="45"/>
      <c r="H435" s="73"/>
      <c r="I435" s="18" t="str">
        <f t="shared" si="26"/>
        <v/>
      </c>
      <c r="J435" s="45"/>
      <c r="K435" s="45"/>
    </row>
    <row r="436" spans="1:11">
      <c r="A436" s="17" t="str">
        <f t="shared" si="27"/>
        <v/>
      </c>
      <c r="B436" s="53"/>
      <c r="C436" s="11" t="str">
        <f t="shared" si="24"/>
        <v/>
      </c>
      <c r="D436" s="11" t="str">
        <f t="shared" si="25"/>
        <v/>
      </c>
      <c r="E436" s="45"/>
      <c r="F436" s="11" t="str">
        <f>IFERROR(VLOOKUP(E436,Category!$D$2:$E$600,2,FALSE),"")</f>
        <v/>
      </c>
      <c r="G436" s="45"/>
      <c r="H436" s="73"/>
      <c r="I436" s="18" t="str">
        <f t="shared" si="26"/>
        <v/>
      </c>
      <c r="J436" s="45"/>
      <c r="K436" s="45"/>
    </row>
    <row r="437" spans="1:11">
      <c r="A437" s="17" t="str">
        <f t="shared" si="27"/>
        <v/>
      </c>
      <c r="B437" s="53"/>
      <c r="C437" s="11" t="str">
        <f t="shared" si="24"/>
        <v/>
      </c>
      <c r="D437" s="11" t="str">
        <f t="shared" si="25"/>
        <v/>
      </c>
      <c r="E437" s="45"/>
      <c r="F437" s="11" t="str">
        <f>IFERROR(VLOOKUP(E437,Category!$D$2:$E$600,2,FALSE),"")</f>
        <v/>
      </c>
      <c r="G437" s="45"/>
      <c r="H437" s="73"/>
      <c r="I437" s="18" t="str">
        <f t="shared" si="26"/>
        <v/>
      </c>
      <c r="J437" s="45"/>
      <c r="K437" s="45"/>
    </row>
    <row r="438" spans="1:11">
      <c r="A438" s="17" t="str">
        <f t="shared" si="27"/>
        <v/>
      </c>
      <c r="B438" s="53"/>
      <c r="C438" s="11" t="str">
        <f t="shared" si="24"/>
        <v/>
      </c>
      <c r="D438" s="11" t="str">
        <f t="shared" si="25"/>
        <v/>
      </c>
      <c r="E438" s="45"/>
      <c r="F438" s="11" t="str">
        <f>IFERROR(VLOOKUP(E438,Category!$D$2:$E$600,2,FALSE),"")</f>
        <v/>
      </c>
      <c r="G438" s="45"/>
      <c r="H438" s="73"/>
      <c r="I438" s="18" t="str">
        <f t="shared" si="26"/>
        <v/>
      </c>
      <c r="J438" s="45"/>
      <c r="K438" s="45"/>
    </row>
    <row r="439" spans="1:11">
      <c r="A439" s="17" t="str">
        <f t="shared" si="27"/>
        <v/>
      </c>
      <c r="B439" s="53"/>
      <c r="C439" s="11" t="str">
        <f t="shared" si="24"/>
        <v/>
      </c>
      <c r="D439" s="11" t="str">
        <f t="shared" si="25"/>
        <v/>
      </c>
      <c r="E439" s="45"/>
      <c r="F439" s="11" t="str">
        <f>IFERROR(VLOOKUP(E439,Category!$D$2:$E$600,2,FALSE),"")</f>
        <v/>
      </c>
      <c r="G439" s="45"/>
      <c r="H439" s="73"/>
      <c r="I439" s="18" t="str">
        <f t="shared" si="26"/>
        <v/>
      </c>
      <c r="J439" s="45"/>
      <c r="K439" s="45"/>
    </row>
    <row r="440" spans="1:11">
      <c r="A440" s="17" t="str">
        <f t="shared" si="27"/>
        <v/>
      </c>
      <c r="B440" s="53"/>
      <c r="C440" s="11" t="str">
        <f t="shared" si="24"/>
        <v/>
      </c>
      <c r="D440" s="11" t="str">
        <f t="shared" si="25"/>
        <v/>
      </c>
      <c r="E440" s="45"/>
      <c r="F440" s="11" t="str">
        <f>IFERROR(VLOOKUP(E440,Category!$D$2:$E$600,2,FALSE),"")</f>
        <v/>
      </c>
      <c r="G440" s="45"/>
      <c r="H440" s="73"/>
      <c r="I440" s="18" t="str">
        <f t="shared" si="26"/>
        <v/>
      </c>
      <c r="J440" s="45"/>
      <c r="K440" s="45"/>
    </row>
    <row r="441" spans="1:11">
      <c r="A441" s="17" t="str">
        <f t="shared" si="27"/>
        <v/>
      </c>
      <c r="B441" s="53"/>
      <c r="C441" s="11" t="str">
        <f t="shared" si="24"/>
        <v/>
      </c>
      <c r="D441" s="11" t="str">
        <f t="shared" si="25"/>
        <v/>
      </c>
      <c r="E441" s="45"/>
      <c r="F441" s="11" t="str">
        <f>IFERROR(VLOOKUP(E441,Category!$D$2:$E$600,2,FALSE),"")</f>
        <v/>
      </c>
      <c r="G441" s="45"/>
      <c r="H441" s="73"/>
      <c r="I441" s="18" t="str">
        <f t="shared" si="26"/>
        <v/>
      </c>
      <c r="J441" s="45"/>
      <c r="K441" s="45"/>
    </row>
    <row r="442" spans="1:11">
      <c r="A442" s="17" t="str">
        <f t="shared" si="27"/>
        <v/>
      </c>
      <c r="B442" s="53"/>
      <c r="C442" s="11" t="str">
        <f t="shared" si="24"/>
        <v/>
      </c>
      <c r="D442" s="11" t="str">
        <f t="shared" si="25"/>
        <v/>
      </c>
      <c r="E442" s="45"/>
      <c r="F442" s="11" t="str">
        <f>IFERROR(VLOOKUP(E442,Category!$D$2:$E$600,2,FALSE),"")</f>
        <v/>
      </c>
      <c r="G442" s="45"/>
      <c r="H442" s="73"/>
      <c r="I442" s="18" t="str">
        <f t="shared" si="26"/>
        <v/>
      </c>
      <c r="J442" s="45"/>
      <c r="K442" s="45"/>
    </row>
    <row r="443" spans="1:11">
      <c r="A443" s="17" t="str">
        <f t="shared" si="27"/>
        <v/>
      </c>
      <c r="B443" s="53"/>
      <c r="C443" s="11" t="str">
        <f t="shared" si="24"/>
        <v/>
      </c>
      <c r="D443" s="11" t="str">
        <f t="shared" si="25"/>
        <v/>
      </c>
      <c r="E443" s="45"/>
      <c r="F443" s="11" t="str">
        <f>IFERROR(VLOOKUP(E443,Category!$D$2:$E$600,2,FALSE),"")</f>
        <v/>
      </c>
      <c r="G443" s="45"/>
      <c r="H443" s="73"/>
      <c r="I443" s="18" t="str">
        <f t="shared" si="26"/>
        <v/>
      </c>
      <c r="J443" s="45"/>
      <c r="K443" s="45"/>
    </row>
    <row r="444" spans="1:11">
      <c r="A444" s="17" t="str">
        <f t="shared" si="27"/>
        <v/>
      </c>
      <c r="B444" s="53"/>
      <c r="C444" s="11" t="str">
        <f t="shared" si="24"/>
        <v/>
      </c>
      <c r="D444" s="11" t="str">
        <f t="shared" si="25"/>
        <v/>
      </c>
      <c r="E444" s="45"/>
      <c r="F444" s="11" t="str">
        <f>IFERROR(VLOOKUP(E444,Category!$D$2:$E$600,2,FALSE),"")</f>
        <v/>
      </c>
      <c r="G444" s="45"/>
      <c r="H444" s="73"/>
      <c r="I444" s="18" t="str">
        <f t="shared" si="26"/>
        <v/>
      </c>
      <c r="J444" s="45"/>
      <c r="K444" s="45"/>
    </row>
    <row r="445" spans="1:11">
      <c r="A445" s="17" t="str">
        <f t="shared" si="27"/>
        <v/>
      </c>
      <c r="B445" s="53"/>
      <c r="C445" s="11" t="str">
        <f t="shared" si="24"/>
        <v/>
      </c>
      <c r="D445" s="11" t="str">
        <f t="shared" si="25"/>
        <v/>
      </c>
      <c r="E445" s="45"/>
      <c r="F445" s="11" t="str">
        <f>IFERROR(VLOOKUP(E445,Category!$D$2:$E$600,2,FALSE),"")</f>
        <v/>
      </c>
      <c r="G445" s="45"/>
      <c r="H445" s="73"/>
      <c r="I445" s="18" t="str">
        <f t="shared" si="26"/>
        <v/>
      </c>
      <c r="J445" s="45"/>
      <c r="K445" s="45"/>
    </row>
    <row r="446" spans="1:11">
      <c r="A446" s="17" t="str">
        <f t="shared" si="27"/>
        <v/>
      </c>
      <c r="B446" s="53"/>
      <c r="C446" s="11" t="str">
        <f t="shared" si="24"/>
        <v/>
      </c>
      <c r="D446" s="11" t="str">
        <f t="shared" si="25"/>
        <v/>
      </c>
      <c r="E446" s="45"/>
      <c r="F446" s="11" t="str">
        <f>IFERROR(VLOOKUP(E446,Category!$D$2:$E$600,2,FALSE),"")</f>
        <v/>
      </c>
      <c r="G446" s="45"/>
      <c r="H446" s="73"/>
      <c r="I446" s="18" t="str">
        <f t="shared" si="26"/>
        <v/>
      </c>
      <c r="J446" s="45"/>
      <c r="K446" s="45"/>
    </row>
    <row r="447" spans="1:11">
      <c r="A447" s="17" t="str">
        <f t="shared" si="27"/>
        <v/>
      </c>
      <c r="B447" s="53"/>
      <c r="C447" s="11" t="str">
        <f t="shared" si="24"/>
        <v/>
      </c>
      <c r="D447" s="11" t="str">
        <f t="shared" si="25"/>
        <v/>
      </c>
      <c r="E447" s="45"/>
      <c r="F447" s="11" t="str">
        <f>IFERROR(VLOOKUP(E447,Category!$D$2:$E$600,2,FALSE),"")</f>
        <v/>
      </c>
      <c r="G447" s="45"/>
      <c r="H447" s="73"/>
      <c r="I447" s="18" t="str">
        <f t="shared" si="26"/>
        <v/>
      </c>
      <c r="J447" s="45"/>
      <c r="K447" s="45"/>
    </row>
    <row r="448" spans="1:11">
      <c r="A448" s="17" t="str">
        <f t="shared" si="27"/>
        <v/>
      </c>
      <c r="B448" s="53"/>
      <c r="C448" s="11" t="str">
        <f t="shared" si="24"/>
        <v/>
      </c>
      <c r="D448" s="11" t="str">
        <f t="shared" si="25"/>
        <v/>
      </c>
      <c r="E448" s="45"/>
      <c r="F448" s="11" t="str">
        <f>IFERROR(VLOOKUP(E448,Category!$D$2:$E$600,2,FALSE),"")</f>
        <v/>
      </c>
      <c r="G448" s="45"/>
      <c r="H448" s="73"/>
      <c r="I448" s="18" t="str">
        <f t="shared" si="26"/>
        <v/>
      </c>
      <c r="J448" s="45"/>
      <c r="K448" s="45"/>
    </row>
    <row r="449" spans="1:11">
      <c r="A449" s="17" t="str">
        <f t="shared" si="27"/>
        <v/>
      </c>
      <c r="B449" s="53"/>
      <c r="C449" s="11" t="str">
        <f t="shared" si="24"/>
        <v/>
      </c>
      <c r="D449" s="11" t="str">
        <f t="shared" si="25"/>
        <v/>
      </c>
      <c r="E449" s="45"/>
      <c r="F449" s="11" t="str">
        <f>IFERROR(VLOOKUP(E449,Category!$D$2:$E$600,2,FALSE),"")</f>
        <v/>
      </c>
      <c r="G449" s="45"/>
      <c r="H449" s="73"/>
      <c r="I449" s="18" t="str">
        <f t="shared" si="26"/>
        <v/>
      </c>
      <c r="J449" s="45"/>
      <c r="K449" s="45"/>
    </row>
    <row r="450" spans="1:11">
      <c r="A450" s="17" t="str">
        <f t="shared" si="27"/>
        <v/>
      </c>
      <c r="B450" s="53"/>
      <c r="C450" s="11" t="str">
        <f t="shared" si="24"/>
        <v/>
      </c>
      <c r="D450" s="11" t="str">
        <f t="shared" si="25"/>
        <v/>
      </c>
      <c r="E450" s="45"/>
      <c r="F450" s="11" t="str">
        <f>IFERROR(VLOOKUP(E450,Category!$D$2:$E$600,2,FALSE),"")</f>
        <v/>
      </c>
      <c r="G450" s="45"/>
      <c r="H450" s="73"/>
      <c r="I450" s="18" t="str">
        <f t="shared" si="26"/>
        <v/>
      </c>
      <c r="J450" s="45"/>
      <c r="K450" s="45"/>
    </row>
    <row r="451" spans="1:11">
      <c r="A451" s="17" t="str">
        <f t="shared" si="27"/>
        <v/>
      </c>
      <c r="B451" s="53"/>
      <c r="C451" s="11" t="str">
        <f t="shared" ref="C451:C514" si="28">IF(B451=0,"",TEXT(B451,"mmmm"))</f>
        <v/>
      </c>
      <c r="D451" s="11" t="str">
        <f t="shared" ref="D451:D514" si="29">IF(B451=0,"",TEXT(B451,"yyyy"))</f>
        <v/>
      </c>
      <c r="E451" s="45"/>
      <c r="F451" s="11" t="str">
        <f>IFERROR(VLOOKUP(E451,Category!$D$2:$E$600,2,FALSE),"")</f>
        <v/>
      </c>
      <c r="G451" s="45"/>
      <c r="H451" s="73"/>
      <c r="I451" s="18" t="str">
        <f t="shared" ref="I451:I514" si="30">IF(G451*H451=0,"",G451*H451)</f>
        <v/>
      </c>
      <c r="J451" s="45"/>
      <c r="K451" s="45"/>
    </row>
    <row r="452" spans="1:11">
      <c r="A452" s="17" t="str">
        <f t="shared" ref="A452:A515" si="31">IF(E452&gt;0,A451+1,"")</f>
        <v/>
      </c>
      <c r="B452" s="53"/>
      <c r="C452" s="11" t="str">
        <f t="shared" si="28"/>
        <v/>
      </c>
      <c r="D452" s="11" t="str">
        <f t="shared" si="29"/>
        <v/>
      </c>
      <c r="E452" s="45"/>
      <c r="F452" s="11" t="str">
        <f>IFERROR(VLOOKUP(E452,Category!$D$2:$E$600,2,FALSE),"")</f>
        <v/>
      </c>
      <c r="G452" s="45"/>
      <c r="H452" s="73"/>
      <c r="I452" s="18" t="str">
        <f t="shared" si="30"/>
        <v/>
      </c>
      <c r="J452" s="45"/>
      <c r="K452" s="45"/>
    </row>
    <row r="453" spans="1:11">
      <c r="A453" s="17" t="str">
        <f t="shared" si="31"/>
        <v/>
      </c>
      <c r="B453" s="53"/>
      <c r="C453" s="11" t="str">
        <f t="shared" si="28"/>
        <v/>
      </c>
      <c r="D453" s="11" t="str">
        <f t="shared" si="29"/>
        <v/>
      </c>
      <c r="E453" s="45"/>
      <c r="F453" s="11" t="str">
        <f>IFERROR(VLOOKUP(E453,Category!$D$2:$E$600,2,FALSE),"")</f>
        <v/>
      </c>
      <c r="G453" s="45"/>
      <c r="H453" s="73"/>
      <c r="I453" s="18" t="str">
        <f t="shared" si="30"/>
        <v/>
      </c>
      <c r="J453" s="45"/>
      <c r="K453" s="45"/>
    </row>
    <row r="454" spans="1:11">
      <c r="A454" s="17" t="str">
        <f t="shared" si="31"/>
        <v/>
      </c>
      <c r="B454" s="53"/>
      <c r="C454" s="11" t="str">
        <f t="shared" si="28"/>
        <v/>
      </c>
      <c r="D454" s="11" t="str">
        <f t="shared" si="29"/>
        <v/>
      </c>
      <c r="E454" s="45"/>
      <c r="F454" s="11" t="str">
        <f>IFERROR(VLOOKUP(E454,Category!$D$2:$E$600,2,FALSE),"")</f>
        <v/>
      </c>
      <c r="G454" s="45"/>
      <c r="H454" s="73"/>
      <c r="I454" s="18" t="str">
        <f t="shared" si="30"/>
        <v/>
      </c>
      <c r="J454" s="45"/>
      <c r="K454" s="45"/>
    </row>
    <row r="455" spans="1:11">
      <c r="A455" s="17" t="str">
        <f t="shared" si="31"/>
        <v/>
      </c>
      <c r="B455" s="53"/>
      <c r="C455" s="11" t="str">
        <f t="shared" si="28"/>
        <v/>
      </c>
      <c r="D455" s="11" t="str">
        <f t="shared" si="29"/>
        <v/>
      </c>
      <c r="E455" s="45"/>
      <c r="F455" s="11" t="str">
        <f>IFERROR(VLOOKUP(E455,Category!$D$2:$E$600,2,FALSE),"")</f>
        <v/>
      </c>
      <c r="G455" s="45"/>
      <c r="H455" s="73"/>
      <c r="I455" s="18" t="str">
        <f t="shared" si="30"/>
        <v/>
      </c>
      <c r="J455" s="45"/>
      <c r="K455" s="45"/>
    </row>
    <row r="456" spans="1:11">
      <c r="A456" s="17" t="str">
        <f t="shared" si="31"/>
        <v/>
      </c>
      <c r="B456" s="53"/>
      <c r="C456" s="11" t="str">
        <f t="shared" si="28"/>
        <v/>
      </c>
      <c r="D456" s="11" t="str">
        <f t="shared" si="29"/>
        <v/>
      </c>
      <c r="E456" s="45"/>
      <c r="F456" s="11" t="str">
        <f>IFERROR(VLOOKUP(E456,Category!$D$2:$E$600,2,FALSE),"")</f>
        <v/>
      </c>
      <c r="G456" s="45"/>
      <c r="H456" s="73"/>
      <c r="I456" s="18" t="str">
        <f t="shared" si="30"/>
        <v/>
      </c>
      <c r="J456" s="45"/>
      <c r="K456" s="45"/>
    </row>
    <row r="457" spans="1:11">
      <c r="A457" s="17" t="str">
        <f t="shared" si="31"/>
        <v/>
      </c>
      <c r="B457" s="53"/>
      <c r="C457" s="11" t="str">
        <f t="shared" si="28"/>
        <v/>
      </c>
      <c r="D457" s="11" t="str">
        <f t="shared" si="29"/>
        <v/>
      </c>
      <c r="E457" s="45"/>
      <c r="F457" s="11" t="str">
        <f>IFERROR(VLOOKUP(E457,Category!$D$2:$E$600,2,FALSE),"")</f>
        <v/>
      </c>
      <c r="G457" s="45"/>
      <c r="H457" s="73"/>
      <c r="I457" s="18" t="str">
        <f t="shared" si="30"/>
        <v/>
      </c>
      <c r="J457" s="45"/>
      <c r="K457" s="45"/>
    </row>
    <row r="458" spans="1:11">
      <c r="A458" s="17" t="str">
        <f t="shared" si="31"/>
        <v/>
      </c>
      <c r="B458" s="53"/>
      <c r="C458" s="11" t="str">
        <f t="shared" si="28"/>
        <v/>
      </c>
      <c r="D458" s="11" t="str">
        <f t="shared" si="29"/>
        <v/>
      </c>
      <c r="E458" s="45"/>
      <c r="F458" s="11" t="str">
        <f>IFERROR(VLOOKUP(E458,Category!$D$2:$E$600,2,FALSE),"")</f>
        <v/>
      </c>
      <c r="G458" s="45"/>
      <c r="H458" s="73"/>
      <c r="I458" s="18" t="str">
        <f t="shared" si="30"/>
        <v/>
      </c>
      <c r="J458" s="45"/>
      <c r="K458" s="45"/>
    </row>
    <row r="459" spans="1:11">
      <c r="A459" s="17" t="str">
        <f t="shared" si="31"/>
        <v/>
      </c>
      <c r="B459" s="53"/>
      <c r="C459" s="11" t="str">
        <f t="shared" si="28"/>
        <v/>
      </c>
      <c r="D459" s="11" t="str">
        <f t="shared" si="29"/>
        <v/>
      </c>
      <c r="E459" s="45"/>
      <c r="F459" s="11" t="str">
        <f>IFERROR(VLOOKUP(E459,Category!$D$2:$E$600,2,FALSE),"")</f>
        <v/>
      </c>
      <c r="G459" s="45"/>
      <c r="H459" s="73"/>
      <c r="I459" s="18" t="str">
        <f t="shared" si="30"/>
        <v/>
      </c>
      <c r="J459" s="45"/>
      <c r="K459" s="45"/>
    </row>
    <row r="460" spans="1:11">
      <c r="A460" s="17" t="str">
        <f t="shared" si="31"/>
        <v/>
      </c>
      <c r="B460" s="53"/>
      <c r="C460" s="11" t="str">
        <f t="shared" si="28"/>
        <v/>
      </c>
      <c r="D460" s="11" t="str">
        <f t="shared" si="29"/>
        <v/>
      </c>
      <c r="E460" s="45"/>
      <c r="F460" s="11" t="str">
        <f>IFERROR(VLOOKUP(E460,Category!$D$2:$E$600,2,FALSE),"")</f>
        <v/>
      </c>
      <c r="G460" s="45"/>
      <c r="H460" s="73"/>
      <c r="I460" s="18" t="str">
        <f t="shared" si="30"/>
        <v/>
      </c>
      <c r="J460" s="45"/>
      <c r="K460" s="45"/>
    </row>
    <row r="461" spans="1:11">
      <c r="A461" s="17" t="str">
        <f t="shared" si="31"/>
        <v/>
      </c>
      <c r="B461" s="53"/>
      <c r="C461" s="11" t="str">
        <f t="shared" si="28"/>
        <v/>
      </c>
      <c r="D461" s="11" t="str">
        <f t="shared" si="29"/>
        <v/>
      </c>
      <c r="E461" s="45"/>
      <c r="F461" s="11" t="str">
        <f>IFERROR(VLOOKUP(E461,Category!$D$2:$E$600,2,FALSE),"")</f>
        <v/>
      </c>
      <c r="G461" s="45"/>
      <c r="H461" s="73"/>
      <c r="I461" s="18" t="str">
        <f t="shared" si="30"/>
        <v/>
      </c>
      <c r="J461" s="45"/>
      <c r="K461" s="45"/>
    </row>
    <row r="462" spans="1:11">
      <c r="A462" s="17" t="str">
        <f t="shared" si="31"/>
        <v/>
      </c>
      <c r="B462" s="53"/>
      <c r="C462" s="11" t="str">
        <f t="shared" si="28"/>
        <v/>
      </c>
      <c r="D462" s="11" t="str">
        <f t="shared" si="29"/>
        <v/>
      </c>
      <c r="E462" s="45"/>
      <c r="F462" s="11" t="str">
        <f>IFERROR(VLOOKUP(E462,Category!$D$2:$E$600,2,FALSE),"")</f>
        <v/>
      </c>
      <c r="G462" s="45"/>
      <c r="H462" s="73"/>
      <c r="I462" s="18" t="str">
        <f t="shared" si="30"/>
        <v/>
      </c>
      <c r="J462" s="45"/>
      <c r="K462" s="45"/>
    </row>
    <row r="463" spans="1:11">
      <c r="A463" s="17" t="str">
        <f t="shared" si="31"/>
        <v/>
      </c>
      <c r="B463" s="53"/>
      <c r="C463" s="11" t="str">
        <f t="shared" si="28"/>
        <v/>
      </c>
      <c r="D463" s="11" t="str">
        <f t="shared" si="29"/>
        <v/>
      </c>
      <c r="E463" s="45"/>
      <c r="F463" s="11" t="str">
        <f>IFERROR(VLOOKUP(E463,Category!$D$2:$E$600,2,FALSE),"")</f>
        <v/>
      </c>
      <c r="G463" s="45"/>
      <c r="H463" s="73"/>
      <c r="I463" s="18" t="str">
        <f t="shared" si="30"/>
        <v/>
      </c>
      <c r="J463" s="45"/>
      <c r="K463" s="45"/>
    </row>
    <row r="464" spans="1:11">
      <c r="A464" s="17" t="str">
        <f t="shared" si="31"/>
        <v/>
      </c>
      <c r="B464" s="53"/>
      <c r="C464" s="11" t="str">
        <f t="shared" si="28"/>
        <v/>
      </c>
      <c r="D464" s="11" t="str">
        <f t="shared" si="29"/>
        <v/>
      </c>
      <c r="E464" s="45"/>
      <c r="F464" s="11" t="str">
        <f>IFERROR(VLOOKUP(E464,Category!$D$2:$E$600,2,FALSE),"")</f>
        <v/>
      </c>
      <c r="G464" s="45"/>
      <c r="H464" s="73"/>
      <c r="I464" s="18" t="str">
        <f t="shared" si="30"/>
        <v/>
      </c>
      <c r="J464" s="45"/>
      <c r="K464" s="45"/>
    </row>
    <row r="465" spans="1:11">
      <c r="A465" s="17" t="str">
        <f t="shared" si="31"/>
        <v/>
      </c>
      <c r="B465" s="53"/>
      <c r="C465" s="11" t="str">
        <f t="shared" si="28"/>
        <v/>
      </c>
      <c r="D465" s="11" t="str">
        <f t="shared" si="29"/>
        <v/>
      </c>
      <c r="E465" s="45"/>
      <c r="F465" s="11" t="str">
        <f>IFERROR(VLOOKUP(E465,Category!$D$2:$E$600,2,FALSE),"")</f>
        <v/>
      </c>
      <c r="G465" s="45"/>
      <c r="H465" s="73"/>
      <c r="I465" s="18" t="str">
        <f t="shared" si="30"/>
        <v/>
      </c>
      <c r="J465" s="45"/>
      <c r="K465" s="45"/>
    </row>
    <row r="466" spans="1:11">
      <c r="A466" s="17" t="str">
        <f t="shared" si="31"/>
        <v/>
      </c>
      <c r="B466" s="53"/>
      <c r="C466" s="11" t="str">
        <f t="shared" si="28"/>
        <v/>
      </c>
      <c r="D466" s="11" t="str">
        <f t="shared" si="29"/>
        <v/>
      </c>
      <c r="E466" s="45"/>
      <c r="F466" s="11" t="str">
        <f>IFERROR(VLOOKUP(E466,Category!$D$2:$E$600,2,FALSE),"")</f>
        <v/>
      </c>
      <c r="G466" s="45"/>
      <c r="H466" s="73"/>
      <c r="I466" s="18" t="str">
        <f t="shared" si="30"/>
        <v/>
      </c>
      <c r="J466" s="45"/>
      <c r="K466" s="45"/>
    </row>
    <row r="467" spans="1:11">
      <c r="A467" s="17" t="str">
        <f t="shared" si="31"/>
        <v/>
      </c>
      <c r="B467" s="53"/>
      <c r="C467" s="11" t="str">
        <f t="shared" si="28"/>
        <v/>
      </c>
      <c r="D467" s="11" t="str">
        <f t="shared" si="29"/>
        <v/>
      </c>
      <c r="E467" s="45"/>
      <c r="F467" s="11" t="str">
        <f>IFERROR(VLOOKUP(E467,Category!$D$2:$E$600,2,FALSE),"")</f>
        <v/>
      </c>
      <c r="G467" s="45"/>
      <c r="H467" s="73"/>
      <c r="I467" s="18" t="str">
        <f t="shared" si="30"/>
        <v/>
      </c>
      <c r="J467" s="45"/>
      <c r="K467" s="45"/>
    </row>
    <row r="468" spans="1:11">
      <c r="A468" s="17" t="str">
        <f t="shared" si="31"/>
        <v/>
      </c>
      <c r="B468" s="53"/>
      <c r="C468" s="11" t="str">
        <f t="shared" si="28"/>
        <v/>
      </c>
      <c r="D468" s="11" t="str">
        <f t="shared" si="29"/>
        <v/>
      </c>
      <c r="E468" s="45"/>
      <c r="F468" s="11" t="str">
        <f>IFERROR(VLOOKUP(E468,Category!$D$2:$E$600,2,FALSE),"")</f>
        <v/>
      </c>
      <c r="G468" s="45"/>
      <c r="H468" s="73"/>
      <c r="I468" s="18" t="str">
        <f t="shared" si="30"/>
        <v/>
      </c>
      <c r="J468" s="45"/>
      <c r="K468" s="45"/>
    </row>
    <row r="469" spans="1:11">
      <c r="A469" s="17" t="str">
        <f t="shared" si="31"/>
        <v/>
      </c>
      <c r="B469" s="53"/>
      <c r="C469" s="11" t="str">
        <f t="shared" si="28"/>
        <v/>
      </c>
      <c r="D469" s="11" t="str">
        <f t="shared" si="29"/>
        <v/>
      </c>
      <c r="E469" s="45"/>
      <c r="F469" s="11" t="str">
        <f>IFERROR(VLOOKUP(E469,Category!$D$2:$E$600,2,FALSE),"")</f>
        <v/>
      </c>
      <c r="G469" s="45"/>
      <c r="H469" s="73"/>
      <c r="I469" s="18" t="str">
        <f t="shared" si="30"/>
        <v/>
      </c>
      <c r="J469" s="45"/>
      <c r="K469" s="45"/>
    </row>
    <row r="470" spans="1:11">
      <c r="A470" s="17" t="str">
        <f t="shared" si="31"/>
        <v/>
      </c>
      <c r="B470" s="53"/>
      <c r="C470" s="11" t="str">
        <f t="shared" si="28"/>
        <v/>
      </c>
      <c r="D470" s="11" t="str">
        <f t="shared" si="29"/>
        <v/>
      </c>
      <c r="E470" s="45"/>
      <c r="F470" s="11" t="str">
        <f>IFERROR(VLOOKUP(E470,Category!$D$2:$E$600,2,FALSE),"")</f>
        <v/>
      </c>
      <c r="G470" s="45"/>
      <c r="H470" s="73"/>
      <c r="I470" s="18" t="str">
        <f t="shared" si="30"/>
        <v/>
      </c>
      <c r="J470" s="45"/>
      <c r="K470" s="45"/>
    </row>
    <row r="471" spans="1:11">
      <c r="A471" s="17" t="str">
        <f t="shared" si="31"/>
        <v/>
      </c>
      <c r="B471" s="53"/>
      <c r="C471" s="11" t="str">
        <f t="shared" si="28"/>
        <v/>
      </c>
      <c r="D471" s="11" t="str">
        <f t="shared" si="29"/>
        <v/>
      </c>
      <c r="E471" s="45"/>
      <c r="F471" s="11" t="str">
        <f>IFERROR(VLOOKUP(E471,Category!$D$2:$E$600,2,FALSE),"")</f>
        <v/>
      </c>
      <c r="G471" s="45"/>
      <c r="H471" s="73"/>
      <c r="I471" s="18" t="str">
        <f t="shared" si="30"/>
        <v/>
      </c>
      <c r="J471" s="45"/>
      <c r="K471" s="45"/>
    </row>
    <row r="472" spans="1:11">
      <c r="A472" s="17" t="str">
        <f t="shared" si="31"/>
        <v/>
      </c>
      <c r="B472" s="53"/>
      <c r="C472" s="11" t="str">
        <f t="shared" si="28"/>
        <v/>
      </c>
      <c r="D472" s="11" t="str">
        <f t="shared" si="29"/>
        <v/>
      </c>
      <c r="E472" s="45"/>
      <c r="F472" s="11" t="str">
        <f>IFERROR(VLOOKUP(E472,Category!$D$2:$E$600,2,FALSE),"")</f>
        <v/>
      </c>
      <c r="G472" s="45"/>
      <c r="H472" s="73"/>
      <c r="I472" s="18" t="str">
        <f t="shared" si="30"/>
        <v/>
      </c>
      <c r="J472" s="45"/>
      <c r="K472" s="45"/>
    </row>
    <row r="473" spans="1:11">
      <c r="A473" s="17" t="str">
        <f t="shared" si="31"/>
        <v/>
      </c>
      <c r="B473" s="53"/>
      <c r="C473" s="11" t="str">
        <f t="shared" si="28"/>
        <v/>
      </c>
      <c r="D473" s="11" t="str">
        <f t="shared" si="29"/>
        <v/>
      </c>
      <c r="E473" s="45"/>
      <c r="F473" s="11" t="str">
        <f>IFERROR(VLOOKUP(E473,Category!$D$2:$E$600,2,FALSE),"")</f>
        <v/>
      </c>
      <c r="G473" s="45"/>
      <c r="H473" s="73"/>
      <c r="I473" s="18" t="str">
        <f t="shared" si="30"/>
        <v/>
      </c>
      <c r="J473" s="45"/>
      <c r="K473" s="45"/>
    </row>
    <row r="474" spans="1:11">
      <c r="A474" s="17" t="str">
        <f t="shared" si="31"/>
        <v/>
      </c>
      <c r="B474" s="53"/>
      <c r="C474" s="11" t="str">
        <f t="shared" si="28"/>
        <v/>
      </c>
      <c r="D474" s="11" t="str">
        <f t="shared" si="29"/>
        <v/>
      </c>
      <c r="E474" s="45"/>
      <c r="F474" s="11" t="str">
        <f>IFERROR(VLOOKUP(E474,Category!$D$2:$E$600,2,FALSE),"")</f>
        <v/>
      </c>
      <c r="G474" s="45"/>
      <c r="H474" s="73"/>
      <c r="I474" s="18" t="str">
        <f t="shared" si="30"/>
        <v/>
      </c>
      <c r="J474" s="45"/>
      <c r="K474" s="45"/>
    </row>
    <row r="475" spans="1:11">
      <c r="A475" s="17" t="str">
        <f t="shared" si="31"/>
        <v/>
      </c>
      <c r="B475" s="53"/>
      <c r="C475" s="11" t="str">
        <f t="shared" si="28"/>
        <v/>
      </c>
      <c r="D475" s="11" t="str">
        <f t="shared" si="29"/>
        <v/>
      </c>
      <c r="E475" s="45"/>
      <c r="F475" s="11" t="str">
        <f>IFERROR(VLOOKUP(E475,Category!$D$2:$E$600,2,FALSE),"")</f>
        <v/>
      </c>
      <c r="G475" s="45"/>
      <c r="H475" s="73"/>
      <c r="I475" s="18" t="str">
        <f t="shared" si="30"/>
        <v/>
      </c>
      <c r="J475" s="45"/>
      <c r="K475" s="45"/>
    </row>
    <row r="476" spans="1:11">
      <c r="A476" s="17" t="str">
        <f t="shared" si="31"/>
        <v/>
      </c>
      <c r="B476" s="53"/>
      <c r="C476" s="11" t="str">
        <f t="shared" si="28"/>
        <v/>
      </c>
      <c r="D476" s="11" t="str">
        <f t="shared" si="29"/>
        <v/>
      </c>
      <c r="E476" s="45"/>
      <c r="F476" s="11" t="str">
        <f>IFERROR(VLOOKUP(E476,Category!$D$2:$E$600,2,FALSE),"")</f>
        <v/>
      </c>
      <c r="G476" s="45"/>
      <c r="H476" s="73"/>
      <c r="I476" s="18" t="str">
        <f t="shared" si="30"/>
        <v/>
      </c>
      <c r="J476" s="45"/>
      <c r="K476" s="45"/>
    </row>
    <row r="477" spans="1:11">
      <c r="A477" s="17" t="str">
        <f t="shared" si="31"/>
        <v/>
      </c>
      <c r="B477" s="53"/>
      <c r="C477" s="11" t="str">
        <f t="shared" si="28"/>
        <v/>
      </c>
      <c r="D477" s="11" t="str">
        <f t="shared" si="29"/>
        <v/>
      </c>
      <c r="E477" s="45"/>
      <c r="F477" s="11" t="str">
        <f>IFERROR(VLOOKUP(E477,Category!$D$2:$E$600,2,FALSE),"")</f>
        <v/>
      </c>
      <c r="G477" s="45"/>
      <c r="H477" s="73"/>
      <c r="I477" s="18" t="str">
        <f t="shared" si="30"/>
        <v/>
      </c>
      <c r="J477" s="45"/>
      <c r="K477" s="45"/>
    </row>
    <row r="478" spans="1:11">
      <c r="A478" s="17" t="str">
        <f t="shared" si="31"/>
        <v/>
      </c>
      <c r="B478" s="53"/>
      <c r="C478" s="11" t="str">
        <f t="shared" si="28"/>
        <v/>
      </c>
      <c r="D478" s="11" t="str">
        <f t="shared" si="29"/>
        <v/>
      </c>
      <c r="E478" s="45"/>
      <c r="F478" s="11" t="str">
        <f>IFERROR(VLOOKUP(E478,Category!$D$2:$E$600,2,FALSE),"")</f>
        <v/>
      </c>
      <c r="G478" s="45"/>
      <c r="H478" s="73"/>
      <c r="I478" s="18" t="str">
        <f t="shared" si="30"/>
        <v/>
      </c>
      <c r="J478" s="45"/>
      <c r="K478" s="45"/>
    </row>
    <row r="479" spans="1:11">
      <c r="A479" s="17" t="str">
        <f t="shared" si="31"/>
        <v/>
      </c>
      <c r="B479" s="53"/>
      <c r="C479" s="11" t="str">
        <f t="shared" si="28"/>
        <v/>
      </c>
      <c r="D479" s="11" t="str">
        <f t="shared" si="29"/>
        <v/>
      </c>
      <c r="E479" s="45"/>
      <c r="F479" s="11" t="str">
        <f>IFERROR(VLOOKUP(E479,Category!$D$2:$E$600,2,FALSE),"")</f>
        <v/>
      </c>
      <c r="G479" s="45"/>
      <c r="H479" s="73"/>
      <c r="I479" s="18" t="str">
        <f t="shared" si="30"/>
        <v/>
      </c>
      <c r="J479" s="45"/>
      <c r="K479" s="45"/>
    </row>
    <row r="480" spans="1:11">
      <c r="A480" s="17" t="str">
        <f t="shared" si="31"/>
        <v/>
      </c>
      <c r="B480" s="53"/>
      <c r="C480" s="11" t="str">
        <f t="shared" si="28"/>
        <v/>
      </c>
      <c r="D480" s="11" t="str">
        <f t="shared" si="29"/>
        <v/>
      </c>
      <c r="E480" s="45"/>
      <c r="F480" s="11" t="str">
        <f>IFERROR(VLOOKUP(E480,Category!$D$2:$E$600,2,FALSE),"")</f>
        <v/>
      </c>
      <c r="G480" s="45"/>
      <c r="H480" s="73"/>
      <c r="I480" s="18" t="str">
        <f t="shared" si="30"/>
        <v/>
      </c>
      <c r="J480" s="45"/>
      <c r="K480" s="45"/>
    </row>
    <row r="481" spans="1:11">
      <c r="A481" s="17" t="str">
        <f t="shared" si="31"/>
        <v/>
      </c>
      <c r="B481" s="53"/>
      <c r="C481" s="11" t="str">
        <f t="shared" si="28"/>
        <v/>
      </c>
      <c r="D481" s="11" t="str">
        <f t="shared" si="29"/>
        <v/>
      </c>
      <c r="E481" s="45"/>
      <c r="F481" s="11" t="str">
        <f>IFERROR(VLOOKUP(E481,Category!$D$2:$E$600,2,FALSE),"")</f>
        <v/>
      </c>
      <c r="G481" s="45"/>
      <c r="H481" s="73"/>
      <c r="I481" s="18" t="str">
        <f t="shared" si="30"/>
        <v/>
      </c>
      <c r="J481" s="45"/>
      <c r="K481" s="45"/>
    </row>
    <row r="482" spans="1:11">
      <c r="A482" s="17" t="str">
        <f t="shared" si="31"/>
        <v/>
      </c>
      <c r="B482" s="53"/>
      <c r="C482" s="11" t="str">
        <f t="shared" si="28"/>
        <v/>
      </c>
      <c r="D482" s="11" t="str">
        <f t="shared" si="29"/>
        <v/>
      </c>
      <c r="E482" s="45"/>
      <c r="F482" s="11" t="str">
        <f>IFERROR(VLOOKUP(E482,Category!$D$2:$E$600,2,FALSE),"")</f>
        <v/>
      </c>
      <c r="G482" s="45"/>
      <c r="H482" s="73"/>
      <c r="I482" s="18" t="str">
        <f t="shared" si="30"/>
        <v/>
      </c>
      <c r="J482" s="45"/>
      <c r="K482" s="45"/>
    </row>
    <row r="483" spans="1:11">
      <c r="A483" s="17" t="str">
        <f t="shared" si="31"/>
        <v/>
      </c>
      <c r="B483" s="53"/>
      <c r="C483" s="11" t="str">
        <f t="shared" si="28"/>
        <v/>
      </c>
      <c r="D483" s="11" t="str">
        <f t="shared" si="29"/>
        <v/>
      </c>
      <c r="E483" s="45"/>
      <c r="F483" s="11" t="str">
        <f>IFERROR(VLOOKUP(E483,Category!$D$2:$E$600,2,FALSE),"")</f>
        <v/>
      </c>
      <c r="G483" s="45"/>
      <c r="H483" s="73"/>
      <c r="I483" s="18" t="str">
        <f t="shared" si="30"/>
        <v/>
      </c>
      <c r="J483" s="45"/>
      <c r="K483" s="45"/>
    </row>
    <row r="484" spans="1:11">
      <c r="A484" s="17" t="str">
        <f t="shared" si="31"/>
        <v/>
      </c>
      <c r="B484" s="53"/>
      <c r="C484" s="11" t="str">
        <f t="shared" si="28"/>
        <v/>
      </c>
      <c r="D484" s="11" t="str">
        <f t="shared" si="29"/>
        <v/>
      </c>
      <c r="E484" s="45"/>
      <c r="F484" s="11" t="str">
        <f>IFERROR(VLOOKUP(E484,Category!$D$2:$E$600,2,FALSE),"")</f>
        <v/>
      </c>
      <c r="G484" s="45"/>
      <c r="H484" s="73"/>
      <c r="I484" s="18" t="str">
        <f t="shared" si="30"/>
        <v/>
      </c>
      <c r="J484" s="45"/>
      <c r="K484" s="45"/>
    </row>
    <row r="485" spans="1:11">
      <c r="A485" s="17" t="str">
        <f t="shared" si="31"/>
        <v/>
      </c>
      <c r="B485" s="53"/>
      <c r="C485" s="11" t="str">
        <f t="shared" si="28"/>
        <v/>
      </c>
      <c r="D485" s="11" t="str">
        <f t="shared" si="29"/>
        <v/>
      </c>
      <c r="E485" s="45"/>
      <c r="F485" s="11" t="str">
        <f>IFERROR(VLOOKUP(E485,Category!$D$2:$E$600,2,FALSE),"")</f>
        <v/>
      </c>
      <c r="G485" s="45"/>
      <c r="H485" s="73"/>
      <c r="I485" s="18" t="str">
        <f t="shared" si="30"/>
        <v/>
      </c>
      <c r="J485" s="45"/>
      <c r="K485" s="45"/>
    </row>
    <row r="486" spans="1:11">
      <c r="A486" s="17" t="str">
        <f t="shared" si="31"/>
        <v/>
      </c>
      <c r="B486" s="53"/>
      <c r="C486" s="11" t="str">
        <f t="shared" si="28"/>
        <v/>
      </c>
      <c r="D486" s="11" t="str">
        <f t="shared" si="29"/>
        <v/>
      </c>
      <c r="E486" s="45"/>
      <c r="F486" s="11" t="str">
        <f>IFERROR(VLOOKUP(E486,Category!$D$2:$E$600,2,FALSE),"")</f>
        <v/>
      </c>
      <c r="G486" s="45"/>
      <c r="H486" s="73"/>
      <c r="I486" s="18" t="str">
        <f t="shared" si="30"/>
        <v/>
      </c>
      <c r="J486" s="45"/>
      <c r="K486" s="45"/>
    </row>
    <row r="487" spans="1:11">
      <c r="A487" s="17" t="str">
        <f t="shared" si="31"/>
        <v/>
      </c>
      <c r="B487" s="53"/>
      <c r="C487" s="11" t="str">
        <f t="shared" si="28"/>
        <v/>
      </c>
      <c r="D487" s="11" t="str">
        <f t="shared" si="29"/>
        <v/>
      </c>
      <c r="E487" s="45"/>
      <c r="F487" s="11" t="str">
        <f>IFERROR(VLOOKUP(E487,Category!$D$2:$E$600,2,FALSE),"")</f>
        <v/>
      </c>
      <c r="G487" s="45"/>
      <c r="H487" s="73"/>
      <c r="I487" s="18" t="str">
        <f t="shared" si="30"/>
        <v/>
      </c>
      <c r="J487" s="45"/>
      <c r="K487" s="45"/>
    </row>
    <row r="488" spans="1:11">
      <c r="A488" s="17" t="str">
        <f t="shared" si="31"/>
        <v/>
      </c>
      <c r="B488" s="53"/>
      <c r="C488" s="11" t="str">
        <f t="shared" si="28"/>
        <v/>
      </c>
      <c r="D488" s="11" t="str">
        <f t="shared" si="29"/>
        <v/>
      </c>
      <c r="E488" s="45"/>
      <c r="F488" s="11" t="str">
        <f>IFERROR(VLOOKUP(E488,Category!$D$2:$E$600,2,FALSE),"")</f>
        <v/>
      </c>
      <c r="G488" s="45"/>
      <c r="H488" s="73"/>
      <c r="I488" s="18" t="str">
        <f t="shared" si="30"/>
        <v/>
      </c>
      <c r="J488" s="45"/>
      <c r="K488" s="45"/>
    </row>
    <row r="489" spans="1:11">
      <c r="A489" s="17" t="str">
        <f t="shared" si="31"/>
        <v/>
      </c>
      <c r="B489" s="53"/>
      <c r="C489" s="11" t="str">
        <f t="shared" si="28"/>
        <v/>
      </c>
      <c r="D489" s="11" t="str">
        <f t="shared" si="29"/>
        <v/>
      </c>
      <c r="E489" s="45"/>
      <c r="F489" s="11" t="str">
        <f>IFERROR(VLOOKUP(E489,Category!$D$2:$E$600,2,FALSE),"")</f>
        <v/>
      </c>
      <c r="G489" s="45"/>
      <c r="H489" s="73"/>
      <c r="I489" s="18" t="str">
        <f t="shared" si="30"/>
        <v/>
      </c>
      <c r="J489" s="45"/>
      <c r="K489" s="45"/>
    </row>
    <row r="490" spans="1:11">
      <c r="A490" s="17" t="str">
        <f t="shared" si="31"/>
        <v/>
      </c>
      <c r="B490" s="53"/>
      <c r="C490" s="11" t="str">
        <f t="shared" si="28"/>
        <v/>
      </c>
      <c r="D490" s="11" t="str">
        <f t="shared" si="29"/>
        <v/>
      </c>
      <c r="E490" s="45"/>
      <c r="F490" s="11" t="str">
        <f>IFERROR(VLOOKUP(E490,Category!$D$2:$E$600,2,FALSE),"")</f>
        <v/>
      </c>
      <c r="G490" s="45"/>
      <c r="H490" s="73"/>
      <c r="I490" s="18" t="str">
        <f t="shared" si="30"/>
        <v/>
      </c>
      <c r="J490" s="45"/>
      <c r="K490" s="45"/>
    </row>
    <row r="491" spans="1:11">
      <c r="A491" s="17" t="str">
        <f t="shared" si="31"/>
        <v/>
      </c>
      <c r="B491" s="53"/>
      <c r="C491" s="11" t="str">
        <f t="shared" si="28"/>
        <v/>
      </c>
      <c r="D491" s="11" t="str">
        <f t="shared" si="29"/>
        <v/>
      </c>
      <c r="E491" s="45"/>
      <c r="F491" s="11" t="str">
        <f>IFERROR(VLOOKUP(E491,Category!$D$2:$E$600,2,FALSE),"")</f>
        <v/>
      </c>
      <c r="G491" s="45"/>
      <c r="H491" s="73"/>
      <c r="I491" s="18" t="str">
        <f t="shared" si="30"/>
        <v/>
      </c>
      <c r="J491" s="45"/>
      <c r="K491" s="45"/>
    </row>
    <row r="492" spans="1:11">
      <c r="A492" s="17" t="str">
        <f t="shared" si="31"/>
        <v/>
      </c>
      <c r="B492" s="53"/>
      <c r="C492" s="11" t="str">
        <f t="shared" si="28"/>
        <v/>
      </c>
      <c r="D492" s="11" t="str">
        <f t="shared" si="29"/>
        <v/>
      </c>
      <c r="E492" s="45"/>
      <c r="F492" s="11" t="str">
        <f>IFERROR(VLOOKUP(E492,Category!$D$2:$E$600,2,FALSE),"")</f>
        <v/>
      </c>
      <c r="G492" s="45"/>
      <c r="H492" s="73"/>
      <c r="I492" s="18" t="str">
        <f t="shared" si="30"/>
        <v/>
      </c>
      <c r="J492" s="45"/>
      <c r="K492" s="45"/>
    </row>
    <row r="493" spans="1:11">
      <c r="A493" s="17" t="str">
        <f t="shared" si="31"/>
        <v/>
      </c>
      <c r="B493" s="53"/>
      <c r="C493" s="11" t="str">
        <f t="shared" si="28"/>
        <v/>
      </c>
      <c r="D493" s="11" t="str">
        <f t="shared" si="29"/>
        <v/>
      </c>
      <c r="E493" s="45"/>
      <c r="F493" s="11" t="str">
        <f>IFERROR(VLOOKUP(E493,Category!$D$2:$E$600,2,FALSE),"")</f>
        <v/>
      </c>
      <c r="G493" s="45"/>
      <c r="H493" s="73"/>
      <c r="I493" s="18" t="str">
        <f t="shared" si="30"/>
        <v/>
      </c>
      <c r="J493" s="45"/>
      <c r="K493" s="45"/>
    </row>
    <row r="494" spans="1:11">
      <c r="A494" s="17" t="str">
        <f t="shared" si="31"/>
        <v/>
      </c>
      <c r="B494" s="53"/>
      <c r="C494" s="11" t="str">
        <f t="shared" si="28"/>
        <v/>
      </c>
      <c r="D494" s="11" t="str">
        <f t="shared" si="29"/>
        <v/>
      </c>
      <c r="E494" s="45"/>
      <c r="F494" s="11" t="str">
        <f>IFERROR(VLOOKUP(E494,Category!$D$2:$E$600,2,FALSE),"")</f>
        <v/>
      </c>
      <c r="G494" s="45"/>
      <c r="H494" s="73"/>
      <c r="I494" s="18" t="str">
        <f t="shared" si="30"/>
        <v/>
      </c>
      <c r="J494" s="45"/>
      <c r="K494" s="45"/>
    </row>
    <row r="495" spans="1:11">
      <c r="A495" s="17" t="str">
        <f t="shared" si="31"/>
        <v/>
      </c>
      <c r="B495" s="53"/>
      <c r="C495" s="11" t="str">
        <f t="shared" si="28"/>
        <v/>
      </c>
      <c r="D495" s="11" t="str">
        <f t="shared" si="29"/>
        <v/>
      </c>
      <c r="E495" s="45"/>
      <c r="F495" s="11" t="str">
        <f>IFERROR(VLOOKUP(E495,Category!$D$2:$E$600,2,FALSE),"")</f>
        <v/>
      </c>
      <c r="G495" s="45"/>
      <c r="H495" s="73"/>
      <c r="I495" s="18" t="str">
        <f t="shared" si="30"/>
        <v/>
      </c>
      <c r="J495" s="45"/>
      <c r="K495" s="45"/>
    </row>
    <row r="496" spans="1:11">
      <c r="A496" s="17" t="str">
        <f t="shared" si="31"/>
        <v/>
      </c>
      <c r="B496" s="53"/>
      <c r="C496" s="11" t="str">
        <f t="shared" si="28"/>
        <v/>
      </c>
      <c r="D496" s="11" t="str">
        <f t="shared" si="29"/>
        <v/>
      </c>
      <c r="E496" s="45"/>
      <c r="F496" s="11" t="str">
        <f>IFERROR(VLOOKUP(E496,Category!$D$2:$E$600,2,FALSE),"")</f>
        <v/>
      </c>
      <c r="G496" s="45"/>
      <c r="H496" s="73"/>
      <c r="I496" s="18" t="str">
        <f t="shared" si="30"/>
        <v/>
      </c>
      <c r="J496" s="45"/>
      <c r="K496" s="45"/>
    </row>
    <row r="497" spans="1:11">
      <c r="A497" s="17" t="str">
        <f t="shared" si="31"/>
        <v/>
      </c>
      <c r="B497" s="53"/>
      <c r="C497" s="11" t="str">
        <f t="shared" si="28"/>
        <v/>
      </c>
      <c r="D497" s="11" t="str">
        <f t="shared" si="29"/>
        <v/>
      </c>
      <c r="E497" s="45"/>
      <c r="F497" s="11" t="str">
        <f>IFERROR(VLOOKUP(E497,Category!$D$2:$E$600,2,FALSE),"")</f>
        <v/>
      </c>
      <c r="G497" s="45"/>
      <c r="H497" s="73"/>
      <c r="I497" s="18" t="str">
        <f t="shared" si="30"/>
        <v/>
      </c>
      <c r="J497" s="45"/>
      <c r="K497" s="45"/>
    </row>
    <row r="498" spans="1:11">
      <c r="A498" s="17" t="str">
        <f t="shared" si="31"/>
        <v/>
      </c>
      <c r="B498" s="53"/>
      <c r="C498" s="11" t="str">
        <f t="shared" si="28"/>
        <v/>
      </c>
      <c r="D498" s="11" t="str">
        <f t="shared" si="29"/>
        <v/>
      </c>
      <c r="E498" s="45"/>
      <c r="F498" s="11" t="str">
        <f>IFERROR(VLOOKUP(E498,Category!$D$2:$E$600,2,FALSE),"")</f>
        <v/>
      </c>
      <c r="G498" s="45"/>
      <c r="H498" s="73"/>
      <c r="I498" s="18" t="str">
        <f t="shared" si="30"/>
        <v/>
      </c>
      <c r="J498" s="45"/>
      <c r="K498" s="45"/>
    </row>
    <row r="499" spans="1:11">
      <c r="A499" s="17" t="str">
        <f t="shared" si="31"/>
        <v/>
      </c>
      <c r="B499" s="53"/>
      <c r="C499" s="11" t="str">
        <f t="shared" si="28"/>
        <v/>
      </c>
      <c r="D499" s="11" t="str">
        <f t="shared" si="29"/>
        <v/>
      </c>
      <c r="E499" s="45"/>
      <c r="F499" s="11" t="str">
        <f>IFERROR(VLOOKUP(E499,Category!$D$2:$E$600,2,FALSE),"")</f>
        <v/>
      </c>
      <c r="G499" s="45"/>
      <c r="H499" s="73"/>
      <c r="I499" s="18" t="str">
        <f t="shared" si="30"/>
        <v/>
      </c>
      <c r="J499" s="45"/>
      <c r="K499" s="45"/>
    </row>
    <row r="500" spans="1:11">
      <c r="A500" s="17" t="str">
        <f t="shared" si="31"/>
        <v/>
      </c>
      <c r="B500" s="53"/>
      <c r="C500" s="11" t="str">
        <f t="shared" si="28"/>
        <v/>
      </c>
      <c r="D500" s="11" t="str">
        <f t="shared" si="29"/>
        <v/>
      </c>
      <c r="E500" s="45"/>
      <c r="F500" s="11" t="str">
        <f>IFERROR(VLOOKUP(E500,Category!$D$2:$E$600,2,FALSE),"")</f>
        <v/>
      </c>
      <c r="G500" s="45"/>
      <c r="H500" s="73"/>
      <c r="I500" s="18" t="str">
        <f t="shared" si="30"/>
        <v/>
      </c>
      <c r="J500" s="45"/>
      <c r="K500" s="45"/>
    </row>
    <row r="501" spans="1:11">
      <c r="A501" s="17" t="str">
        <f t="shared" si="31"/>
        <v/>
      </c>
      <c r="B501" s="53"/>
      <c r="C501" s="11" t="str">
        <f t="shared" si="28"/>
        <v/>
      </c>
      <c r="D501" s="11" t="str">
        <f t="shared" si="29"/>
        <v/>
      </c>
      <c r="E501" s="45"/>
      <c r="F501" s="11" t="str">
        <f>IFERROR(VLOOKUP(E501,Category!$D$2:$E$600,2,FALSE),"")</f>
        <v/>
      </c>
      <c r="G501" s="45"/>
      <c r="H501" s="73"/>
      <c r="I501" s="18" t="str">
        <f t="shared" si="30"/>
        <v/>
      </c>
      <c r="J501" s="45"/>
      <c r="K501" s="45"/>
    </row>
    <row r="502" spans="1:11">
      <c r="A502" s="17" t="str">
        <f t="shared" si="31"/>
        <v/>
      </c>
      <c r="B502" s="53"/>
      <c r="C502" s="11" t="str">
        <f t="shared" si="28"/>
        <v/>
      </c>
      <c r="D502" s="11" t="str">
        <f t="shared" si="29"/>
        <v/>
      </c>
      <c r="E502" s="45"/>
      <c r="F502" s="11" t="str">
        <f>IFERROR(VLOOKUP(E502,Category!$D$2:$E$600,2,FALSE),"")</f>
        <v/>
      </c>
      <c r="G502" s="45"/>
      <c r="H502" s="73"/>
      <c r="I502" s="18" t="str">
        <f t="shared" si="30"/>
        <v/>
      </c>
      <c r="J502" s="45"/>
      <c r="K502" s="45"/>
    </row>
    <row r="503" spans="1:11">
      <c r="A503" s="17" t="str">
        <f t="shared" si="31"/>
        <v/>
      </c>
      <c r="B503" s="53"/>
      <c r="C503" s="11" t="str">
        <f t="shared" si="28"/>
        <v/>
      </c>
      <c r="D503" s="11" t="str">
        <f t="shared" si="29"/>
        <v/>
      </c>
      <c r="E503" s="45"/>
      <c r="F503" s="11" t="str">
        <f>IFERROR(VLOOKUP(E503,Category!$D$2:$E$600,2,FALSE),"")</f>
        <v/>
      </c>
      <c r="G503" s="45"/>
      <c r="H503" s="73"/>
      <c r="I503" s="18" t="str">
        <f t="shared" si="30"/>
        <v/>
      </c>
      <c r="J503" s="45"/>
      <c r="K503" s="45"/>
    </row>
    <row r="504" spans="1:11">
      <c r="A504" s="17" t="str">
        <f t="shared" si="31"/>
        <v/>
      </c>
      <c r="B504" s="53"/>
      <c r="C504" s="11" t="str">
        <f t="shared" si="28"/>
        <v/>
      </c>
      <c r="D504" s="11" t="str">
        <f t="shared" si="29"/>
        <v/>
      </c>
      <c r="E504" s="45"/>
      <c r="F504" s="11" t="str">
        <f>IFERROR(VLOOKUP(E504,Category!$D$2:$E$600,2,FALSE),"")</f>
        <v/>
      </c>
      <c r="G504" s="45"/>
      <c r="H504" s="73"/>
      <c r="I504" s="18" t="str">
        <f t="shared" si="30"/>
        <v/>
      </c>
      <c r="J504" s="45"/>
      <c r="K504" s="45"/>
    </row>
    <row r="505" spans="1:11">
      <c r="A505" s="17" t="str">
        <f t="shared" si="31"/>
        <v/>
      </c>
      <c r="B505" s="53"/>
      <c r="C505" s="11" t="str">
        <f t="shared" si="28"/>
        <v/>
      </c>
      <c r="D505" s="11" t="str">
        <f t="shared" si="29"/>
        <v/>
      </c>
      <c r="E505" s="45"/>
      <c r="F505" s="11" t="str">
        <f>IFERROR(VLOOKUP(E505,Category!$D$2:$E$600,2,FALSE),"")</f>
        <v/>
      </c>
      <c r="G505" s="45"/>
      <c r="H505" s="73"/>
      <c r="I505" s="18" t="str">
        <f t="shared" si="30"/>
        <v/>
      </c>
      <c r="J505" s="45"/>
      <c r="K505" s="45"/>
    </row>
    <row r="506" spans="1:11">
      <c r="A506" s="17" t="str">
        <f t="shared" si="31"/>
        <v/>
      </c>
      <c r="B506" s="53"/>
      <c r="C506" s="11" t="str">
        <f t="shared" si="28"/>
        <v/>
      </c>
      <c r="D506" s="11" t="str">
        <f t="shared" si="29"/>
        <v/>
      </c>
      <c r="E506" s="45"/>
      <c r="F506" s="11" t="str">
        <f>IFERROR(VLOOKUP(E506,Category!$D$2:$E$600,2,FALSE),"")</f>
        <v/>
      </c>
      <c r="G506" s="45"/>
      <c r="H506" s="73"/>
      <c r="I506" s="18" t="str">
        <f t="shared" si="30"/>
        <v/>
      </c>
      <c r="J506" s="45"/>
      <c r="K506" s="45"/>
    </row>
    <row r="507" spans="1:11">
      <c r="A507" s="17" t="str">
        <f t="shared" si="31"/>
        <v/>
      </c>
      <c r="B507" s="53"/>
      <c r="C507" s="11" t="str">
        <f t="shared" si="28"/>
        <v/>
      </c>
      <c r="D507" s="11" t="str">
        <f t="shared" si="29"/>
        <v/>
      </c>
      <c r="E507" s="45"/>
      <c r="F507" s="11" t="str">
        <f>IFERROR(VLOOKUP(E507,Category!$D$2:$E$600,2,FALSE),"")</f>
        <v/>
      </c>
      <c r="G507" s="45"/>
      <c r="H507" s="73"/>
      <c r="I507" s="18" t="str">
        <f t="shared" si="30"/>
        <v/>
      </c>
      <c r="J507" s="45"/>
      <c r="K507" s="45"/>
    </row>
    <row r="508" spans="1:11">
      <c r="A508" s="17" t="str">
        <f t="shared" si="31"/>
        <v/>
      </c>
      <c r="B508" s="53"/>
      <c r="C508" s="11" t="str">
        <f t="shared" si="28"/>
        <v/>
      </c>
      <c r="D508" s="11" t="str">
        <f t="shared" si="29"/>
        <v/>
      </c>
      <c r="E508" s="45"/>
      <c r="F508" s="11" t="str">
        <f>IFERROR(VLOOKUP(E508,Category!$D$2:$E$600,2,FALSE),"")</f>
        <v/>
      </c>
      <c r="G508" s="45"/>
      <c r="H508" s="73"/>
      <c r="I508" s="18" t="str">
        <f t="shared" si="30"/>
        <v/>
      </c>
      <c r="J508" s="45"/>
      <c r="K508" s="45"/>
    </row>
    <row r="509" spans="1:11">
      <c r="A509" s="17" t="str">
        <f t="shared" si="31"/>
        <v/>
      </c>
      <c r="B509" s="53"/>
      <c r="C509" s="11" t="str">
        <f t="shared" si="28"/>
        <v/>
      </c>
      <c r="D509" s="11" t="str">
        <f t="shared" si="29"/>
        <v/>
      </c>
      <c r="E509" s="45"/>
      <c r="F509" s="11" t="str">
        <f>IFERROR(VLOOKUP(E509,Category!$D$2:$E$600,2,FALSE),"")</f>
        <v/>
      </c>
      <c r="G509" s="45"/>
      <c r="H509" s="73"/>
      <c r="I509" s="18" t="str">
        <f t="shared" si="30"/>
        <v/>
      </c>
      <c r="J509" s="45"/>
      <c r="K509" s="45"/>
    </row>
    <row r="510" spans="1:11">
      <c r="A510" s="17" t="str">
        <f t="shared" si="31"/>
        <v/>
      </c>
      <c r="B510" s="53"/>
      <c r="C510" s="11" t="str">
        <f t="shared" si="28"/>
        <v/>
      </c>
      <c r="D510" s="11" t="str">
        <f t="shared" si="29"/>
        <v/>
      </c>
      <c r="E510" s="45"/>
      <c r="F510" s="11" t="str">
        <f>IFERROR(VLOOKUP(E510,Category!$D$2:$E$600,2,FALSE),"")</f>
        <v/>
      </c>
      <c r="G510" s="45"/>
      <c r="H510" s="73"/>
      <c r="I510" s="18" t="str">
        <f t="shared" si="30"/>
        <v/>
      </c>
      <c r="J510" s="45"/>
      <c r="K510" s="45"/>
    </row>
    <row r="511" spans="1:11">
      <c r="A511" s="17" t="str">
        <f t="shared" si="31"/>
        <v/>
      </c>
      <c r="B511" s="53"/>
      <c r="C511" s="11" t="str">
        <f t="shared" si="28"/>
        <v/>
      </c>
      <c r="D511" s="11" t="str">
        <f t="shared" si="29"/>
        <v/>
      </c>
      <c r="E511" s="45"/>
      <c r="F511" s="11" t="str">
        <f>IFERROR(VLOOKUP(E511,Category!$D$2:$E$600,2,FALSE),"")</f>
        <v/>
      </c>
      <c r="G511" s="45"/>
      <c r="H511" s="73"/>
      <c r="I511" s="18" t="str">
        <f t="shared" si="30"/>
        <v/>
      </c>
      <c r="J511" s="45"/>
      <c r="K511" s="45"/>
    </row>
    <row r="512" spans="1:11">
      <c r="A512" s="17" t="str">
        <f t="shared" si="31"/>
        <v/>
      </c>
      <c r="B512" s="53"/>
      <c r="C512" s="11" t="str">
        <f t="shared" si="28"/>
        <v/>
      </c>
      <c r="D512" s="11" t="str">
        <f t="shared" si="29"/>
        <v/>
      </c>
      <c r="E512" s="45"/>
      <c r="F512" s="11" t="str">
        <f>IFERROR(VLOOKUP(E512,Category!$D$2:$E$600,2,FALSE),"")</f>
        <v/>
      </c>
      <c r="G512" s="45"/>
      <c r="H512" s="73"/>
      <c r="I512" s="18" t="str">
        <f t="shared" si="30"/>
        <v/>
      </c>
      <c r="J512" s="45"/>
      <c r="K512" s="45"/>
    </row>
    <row r="513" spans="1:11">
      <c r="A513" s="17" t="str">
        <f t="shared" si="31"/>
        <v/>
      </c>
      <c r="B513" s="53"/>
      <c r="C513" s="11" t="str">
        <f t="shared" si="28"/>
        <v/>
      </c>
      <c r="D513" s="11" t="str">
        <f t="shared" si="29"/>
        <v/>
      </c>
      <c r="E513" s="45"/>
      <c r="F513" s="11" t="str">
        <f>IFERROR(VLOOKUP(E513,Category!$D$2:$E$600,2,FALSE),"")</f>
        <v/>
      </c>
      <c r="G513" s="45"/>
      <c r="H513" s="73"/>
      <c r="I513" s="18" t="str">
        <f t="shared" si="30"/>
        <v/>
      </c>
      <c r="J513" s="45"/>
      <c r="K513" s="45"/>
    </row>
    <row r="514" spans="1:11">
      <c r="A514" s="17" t="str">
        <f t="shared" si="31"/>
        <v/>
      </c>
      <c r="B514" s="53"/>
      <c r="C514" s="11" t="str">
        <f t="shared" si="28"/>
        <v/>
      </c>
      <c r="D514" s="11" t="str">
        <f t="shared" si="29"/>
        <v/>
      </c>
      <c r="E514" s="45"/>
      <c r="F514" s="11" t="str">
        <f>IFERROR(VLOOKUP(E514,Category!$D$2:$E$600,2,FALSE),"")</f>
        <v/>
      </c>
      <c r="G514" s="45"/>
      <c r="H514" s="73"/>
      <c r="I514" s="18" t="str">
        <f t="shared" si="30"/>
        <v/>
      </c>
      <c r="J514" s="45"/>
      <c r="K514" s="45"/>
    </row>
    <row r="515" spans="1:11">
      <c r="A515" s="17" t="str">
        <f t="shared" si="31"/>
        <v/>
      </c>
      <c r="B515" s="53"/>
      <c r="C515" s="11" t="str">
        <f t="shared" ref="C515:C578" si="32">IF(B515=0,"",TEXT(B515,"mmmm"))</f>
        <v/>
      </c>
      <c r="D515" s="11" t="str">
        <f t="shared" ref="D515:D578" si="33">IF(B515=0,"",TEXT(B515,"yyyy"))</f>
        <v/>
      </c>
      <c r="E515" s="45"/>
      <c r="F515" s="11" t="str">
        <f>IFERROR(VLOOKUP(E515,Category!$D$2:$E$600,2,FALSE),"")</f>
        <v/>
      </c>
      <c r="G515" s="45"/>
      <c r="H515" s="73"/>
      <c r="I515" s="18" t="str">
        <f t="shared" ref="I515:I578" si="34">IF(G515*H515=0,"",G515*H515)</f>
        <v/>
      </c>
      <c r="J515" s="45"/>
      <c r="K515" s="45"/>
    </row>
    <row r="516" spans="1:11">
      <c r="A516" s="17" t="str">
        <f t="shared" ref="A516:A579" si="35">IF(E516&gt;0,A515+1,"")</f>
        <v/>
      </c>
      <c r="B516" s="53"/>
      <c r="C516" s="11" t="str">
        <f t="shared" si="32"/>
        <v/>
      </c>
      <c r="D516" s="11" t="str">
        <f t="shared" si="33"/>
        <v/>
      </c>
      <c r="E516" s="45"/>
      <c r="F516" s="11" t="str">
        <f>IFERROR(VLOOKUP(E516,Category!$D$2:$E$600,2,FALSE),"")</f>
        <v/>
      </c>
      <c r="G516" s="45"/>
      <c r="H516" s="73"/>
      <c r="I516" s="18" t="str">
        <f t="shared" si="34"/>
        <v/>
      </c>
      <c r="J516" s="45"/>
      <c r="K516" s="45"/>
    </row>
    <row r="517" spans="1:11">
      <c r="A517" s="17" t="str">
        <f t="shared" si="35"/>
        <v/>
      </c>
      <c r="B517" s="53"/>
      <c r="C517" s="11" t="str">
        <f t="shared" si="32"/>
        <v/>
      </c>
      <c r="D517" s="11" t="str">
        <f t="shared" si="33"/>
        <v/>
      </c>
      <c r="E517" s="45"/>
      <c r="F517" s="11" t="str">
        <f>IFERROR(VLOOKUP(E517,Category!$D$2:$E$600,2,FALSE),"")</f>
        <v/>
      </c>
      <c r="G517" s="45"/>
      <c r="H517" s="73"/>
      <c r="I517" s="18" t="str">
        <f t="shared" si="34"/>
        <v/>
      </c>
      <c r="J517" s="45"/>
      <c r="K517" s="45"/>
    </row>
    <row r="518" spans="1:11">
      <c r="A518" s="17" t="str">
        <f t="shared" si="35"/>
        <v/>
      </c>
      <c r="B518" s="53"/>
      <c r="C518" s="11" t="str">
        <f t="shared" si="32"/>
        <v/>
      </c>
      <c r="D518" s="11" t="str">
        <f t="shared" si="33"/>
        <v/>
      </c>
      <c r="E518" s="45"/>
      <c r="F518" s="11" t="str">
        <f>IFERROR(VLOOKUP(E518,Category!$D$2:$E$600,2,FALSE),"")</f>
        <v/>
      </c>
      <c r="G518" s="45"/>
      <c r="H518" s="73"/>
      <c r="I518" s="18" t="str">
        <f t="shared" si="34"/>
        <v/>
      </c>
      <c r="J518" s="45"/>
      <c r="K518" s="45"/>
    </row>
    <row r="519" spans="1:11">
      <c r="A519" s="17" t="str">
        <f t="shared" si="35"/>
        <v/>
      </c>
      <c r="B519" s="53"/>
      <c r="C519" s="11" t="str">
        <f t="shared" si="32"/>
        <v/>
      </c>
      <c r="D519" s="11" t="str">
        <f t="shared" si="33"/>
        <v/>
      </c>
      <c r="E519" s="45"/>
      <c r="F519" s="11" t="str">
        <f>IFERROR(VLOOKUP(E519,Category!$D$2:$E$600,2,FALSE),"")</f>
        <v/>
      </c>
      <c r="G519" s="45"/>
      <c r="H519" s="73"/>
      <c r="I519" s="18" t="str">
        <f t="shared" si="34"/>
        <v/>
      </c>
      <c r="J519" s="45"/>
      <c r="K519" s="45"/>
    </row>
    <row r="520" spans="1:11">
      <c r="A520" s="17" t="str">
        <f t="shared" si="35"/>
        <v/>
      </c>
      <c r="B520" s="53"/>
      <c r="C520" s="11" t="str">
        <f t="shared" si="32"/>
        <v/>
      </c>
      <c r="D520" s="11" t="str">
        <f t="shared" si="33"/>
        <v/>
      </c>
      <c r="E520" s="45"/>
      <c r="F520" s="11" t="str">
        <f>IFERROR(VLOOKUP(E520,Category!$D$2:$E$600,2,FALSE),"")</f>
        <v/>
      </c>
      <c r="G520" s="45"/>
      <c r="H520" s="73"/>
      <c r="I520" s="18" t="str">
        <f t="shared" si="34"/>
        <v/>
      </c>
      <c r="J520" s="45"/>
      <c r="K520" s="45"/>
    </row>
    <row r="521" spans="1:11">
      <c r="A521" s="17" t="str">
        <f t="shared" si="35"/>
        <v/>
      </c>
      <c r="B521" s="53"/>
      <c r="C521" s="11" t="str">
        <f t="shared" si="32"/>
        <v/>
      </c>
      <c r="D521" s="11" t="str">
        <f t="shared" si="33"/>
        <v/>
      </c>
      <c r="E521" s="45"/>
      <c r="F521" s="11" t="str">
        <f>IFERROR(VLOOKUP(E521,Category!$D$2:$E$600,2,FALSE),"")</f>
        <v/>
      </c>
      <c r="G521" s="45"/>
      <c r="H521" s="73"/>
      <c r="I521" s="18" t="str">
        <f t="shared" si="34"/>
        <v/>
      </c>
      <c r="J521" s="45"/>
      <c r="K521" s="45"/>
    </row>
    <row r="522" spans="1:11">
      <c r="A522" s="17" t="str">
        <f t="shared" si="35"/>
        <v/>
      </c>
      <c r="B522" s="53"/>
      <c r="C522" s="11" t="str">
        <f t="shared" si="32"/>
        <v/>
      </c>
      <c r="D522" s="11" t="str">
        <f t="shared" si="33"/>
        <v/>
      </c>
      <c r="E522" s="45"/>
      <c r="F522" s="11" t="str">
        <f>IFERROR(VLOOKUP(E522,Category!$D$2:$E$600,2,FALSE),"")</f>
        <v/>
      </c>
      <c r="G522" s="45"/>
      <c r="H522" s="73"/>
      <c r="I522" s="18" t="str">
        <f t="shared" si="34"/>
        <v/>
      </c>
      <c r="J522" s="45"/>
      <c r="K522" s="45"/>
    </row>
    <row r="523" spans="1:11">
      <c r="A523" s="17" t="str">
        <f t="shared" si="35"/>
        <v/>
      </c>
      <c r="B523" s="53"/>
      <c r="C523" s="11" t="str">
        <f t="shared" si="32"/>
        <v/>
      </c>
      <c r="D523" s="11" t="str">
        <f t="shared" si="33"/>
        <v/>
      </c>
      <c r="E523" s="45"/>
      <c r="F523" s="11" t="str">
        <f>IFERROR(VLOOKUP(E523,Category!$D$2:$E$600,2,FALSE),"")</f>
        <v/>
      </c>
      <c r="G523" s="45"/>
      <c r="H523" s="73"/>
      <c r="I523" s="18" t="str">
        <f t="shared" si="34"/>
        <v/>
      </c>
      <c r="J523" s="45"/>
      <c r="K523" s="45"/>
    </row>
    <row r="524" spans="1:11">
      <c r="A524" s="17" t="str">
        <f t="shared" si="35"/>
        <v/>
      </c>
      <c r="B524" s="53"/>
      <c r="C524" s="11" t="str">
        <f t="shared" si="32"/>
        <v/>
      </c>
      <c r="D524" s="11" t="str">
        <f t="shared" si="33"/>
        <v/>
      </c>
      <c r="E524" s="45"/>
      <c r="F524" s="11" t="str">
        <f>IFERROR(VLOOKUP(E524,Category!$D$2:$E$600,2,FALSE),"")</f>
        <v/>
      </c>
      <c r="G524" s="45"/>
      <c r="H524" s="73"/>
      <c r="I524" s="18" t="str">
        <f t="shared" si="34"/>
        <v/>
      </c>
      <c r="J524" s="45"/>
      <c r="K524" s="45"/>
    </row>
    <row r="525" spans="1:11">
      <c r="A525" s="17" t="str">
        <f t="shared" si="35"/>
        <v/>
      </c>
      <c r="B525" s="53"/>
      <c r="C525" s="11" t="str">
        <f t="shared" si="32"/>
        <v/>
      </c>
      <c r="D525" s="11" t="str">
        <f t="shared" si="33"/>
        <v/>
      </c>
      <c r="E525" s="45"/>
      <c r="F525" s="11" t="str">
        <f>IFERROR(VLOOKUP(E525,Category!$D$2:$E$600,2,FALSE),"")</f>
        <v/>
      </c>
      <c r="G525" s="45"/>
      <c r="H525" s="73"/>
      <c r="I525" s="18" t="str">
        <f t="shared" si="34"/>
        <v/>
      </c>
      <c r="J525" s="45"/>
      <c r="K525" s="45"/>
    </row>
    <row r="526" spans="1:11">
      <c r="A526" s="17" t="str">
        <f t="shared" si="35"/>
        <v/>
      </c>
      <c r="B526" s="53"/>
      <c r="C526" s="11" t="str">
        <f t="shared" si="32"/>
        <v/>
      </c>
      <c r="D526" s="11" t="str">
        <f t="shared" si="33"/>
        <v/>
      </c>
      <c r="E526" s="45"/>
      <c r="F526" s="11" t="str">
        <f>IFERROR(VLOOKUP(E526,Category!$D$2:$E$600,2,FALSE),"")</f>
        <v/>
      </c>
      <c r="G526" s="45"/>
      <c r="H526" s="73"/>
      <c r="I526" s="18" t="str">
        <f t="shared" si="34"/>
        <v/>
      </c>
      <c r="J526" s="45"/>
      <c r="K526" s="45"/>
    </row>
    <row r="527" spans="1:11">
      <c r="A527" s="17" t="str">
        <f t="shared" si="35"/>
        <v/>
      </c>
      <c r="B527" s="53"/>
      <c r="C527" s="11" t="str">
        <f t="shared" si="32"/>
        <v/>
      </c>
      <c r="D527" s="11" t="str">
        <f t="shared" si="33"/>
        <v/>
      </c>
      <c r="E527" s="45"/>
      <c r="F527" s="11" t="str">
        <f>IFERROR(VLOOKUP(E527,Category!$D$2:$E$600,2,FALSE),"")</f>
        <v/>
      </c>
      <c r="G527" s="45"/>
      <c r="H527" s="73"/>
      <c r="I527" s="18" t="str">
        <f t="shared" si="34"/>
        <v/>
      </c>
      <c r="J527" s="45"/>
      <c r="K527" s="45"/>
    </row>
    <row r="528" spans="1:11">
      <c r="A528" s="17" t="str">
        <f t="shared" si="35"/>
        <v/>
      </c>
      <c r="B528" s="53"/>
      <c r="C528" s="11" t="str">
        <f t="shared" si="32"/>
        <v/>
      </c>
      <c r="D528" s="11" t="str">
        <f t="shared" si="33"/>
        <v/>
      </c>
      <c r="E528" s="45"/>
      <c r="F528" s="11" t="str">
        <f>IFERROR(VLOOKUP(E528,Category!$D$2:$E$600,2,FALSE),"")</f>
        <v/>
      </c>
      <c r="G528" s="45"/>
      <c r="H528" s="73"/>
      <c r="I528" s="18" t="str">
        <f t="shared" si="34"/>
        <v/>
      </c>
      <c r="J528" s="45"/>
      <c r="K528" s="45"/>
    </row>
    <row r="529" spans="1:11">
      <c r="A529" s="17" t="str">
        <f t="shared" si="35"/>
        <v/>
      </c>
      <c r="B529" s="53"/>
      <c r="C529" s="11" t="str">
        <f t="shared" si="32"/>
        <v/>
      </c>
      <c r="D529" s="11" t="str">
        <f t="shared" si="33"/>
        <v/>
      </c>
      <c r="E529" s="45"/>
      <c r="F529" s="11" t="str">
        <f>IFERROR(VLOOKUP(E529,Category!$D$2:$E$600,2,FALSE),"")</f>
        <v/>
      </c>
      <c r="G529" s="45"/>
      <c r="H529" s="73"/>
      <c r="I529" s="18" t="str">
        <f t="shared" si="34"/>
        <v/>
      </c>
      <c r="J529" s="45"/>
      <c r="K529" s="45"/>
    </row>
    <row r="530" spans="1:11">
      <c r="A530" s="17" t="str">
        <f t="shared" si="35"/>
        <v/>
      </c>
      <c r="B530" s="53"/>
      <c r="C530" s="11" t="str">
        <f t="shared" si="32"/>
        <v/>
      </c>
      <c r="D530" s="11" t="str">
        <f t="shared" si="33"/>
        <v/>
      </c>
      <c r="E530" s="45"/>
      <c r="F530" s="11" t="str">
        <f>IFERROR(VLOOKUP(E530,Category!$D$2:$E$600,2,FALSE),"")</f>
        <v/>
      </c>
      <c r="G530" s="45"/>
      <c r="H530" s="73"/>
      <c r="I530" s="18" t="str">
        <f t="shared" si="34"/>
        <v/>
      </c>
      <c r="J530" s="45"/>
      <c r="K530" s="45"/>
    </row>
    <row r="531" spans="1:11">
      <c r="A531" s="17" t="str">
        <f t="shared" si="35"/>
        <v/>
      </c>
      <c r="B531" s="53"/>
      <c r="C531" s="11" t="str">
        <f t="shared" si="32"/>
        <v/>
      </c>
      <c r="D531" s="11" t="str">
        <f t="shared" si="33"/>
        <v/>
      </c>
      <c r="E531" s="45"/>
      <c r="F531" s="11" t="str">
        <f>IFERROR(VLOOKUP(E531,Category!$D$2:$E$600,2,FALSE),"")</f>
        <v/>
      </c>
      <c r="G531" s="45"/>
      <c r="H531" s="73"/>
      <c r="I531" s="18" t="str">
        <f t="shared" si="34"/>
        <v/>
      </c>
      <c r="J531" s="45"/>
      <c r="K531" s="45"/>
    </row>
    <row r="532" spans="1:11">
      <c r="A532" s="17" t="str">
        <f t="shared" si="35"/>
        <v/>
      </c>
      <c r="B532" s="53"/>
      <c r="C532" s="11" t="str">
        <f t="shared" si="32"/>
        <v/>
      </c>
      <c r="D532" s="11" t="str">
        <f t="shared" si="33"/>
        <v/>
      </c>
      <c r="E532" s="45"/>
      <c r="F532" s="11" t="str">
        <f>IFERROR(VLOOKUP(E532,Category!$D$2:$E$600,2,FALSE),"")</f>
        <v/>
      </c>
      <c r="G532" s="45"/>
      <c r="H532" s="73"/>
      <c r="I532" s="18" t="str">
        <f t="shared" si="34"/>
        <v/>
      </c>
      <c r="J532" s="45"/>
      <c r="K532" s="45"/>
    </row>
    <row r="533" spans="1:11">
      <c r="A533" s="17" t="str">
        <f t="shared" si="35"/>
        <v/>
      </c>
      <c r="B533" s="53"/>
      <c r="C533" s="11" t="str">
        <f t="shared" si="32"/>
        <v/>
      </c>
      <c r="D533" s="11" t="str">
        <f t="shared" si="33"/>
        <v/>
      </c>
      <c r="E533" s="45"/>
      <c r="F533" s="11" t="str">
        <f>IFERROR(VLOOKUP(E533,Category!$D$2:$E$600,2,FALSE),"")</f>
        <v/>
      </c>
      <c r="G533" s="45"/>
      <c r="H533" s="73"/>
      <c r="I533" s="18" t="str">
        <f t="shared" si="34"/>
        <v/>
      </c>
      <c r="J533" s="45"/>
      <c r="K533" s="45"/>
    </row>
    <row r="534" spans="1:11">
      <c r="A534" s="17" t="str">
        <f t="shared" si="35"/>
        <v/>
      </c>
      <c r="B534" s="53"/>
      <c r="C534" s="11" t="str">
        <f t="shared" si="32"/>
        <v/>
      </c>
      <c r="D534" s="11" t="str">
        <f t="shared" si="33"/>
        <v/>
      </c>
      <c r="E534" s="45"/>
      <c r="F534" s="11" t="str">
        <f>IFERROR(VLOOKUP(E534,Category!$D$2:$E$600,2,FALSE),"")</f>
        <v/>
      </c>
      <c r="G534" s="45"/>
      <c r="H534" s="73"/>
      <c r="I534" s="18" t="str">
        <f t="shared" si="34"/>
        <v/>
      </c>
      <c r="J534" s="45"/>
      <c r="K534" s="45"/>
    </row>
    <row r="535" spans="1:11">
      <c r="A535" s="17" t="str">
        <f t="shared" si="35"/>
        <v/>
      </c>
      <c r="B535" s="53"/>
      <c r="C535" s="11" t="str">
        <f t="shared" si="32"/>
        <v/>
      </c>
      <c r="D535" s="11" t="str">
        <f t="shared" si="33"/>
        <v/>
      </c>
      <c r="E535" s="45"/>
      <c r="F535" s="11" t="str">
        <f>IFERROR(VLOOKUP(E535,Category!$D$2:$E$600,2,FALSE),"")</f>
        <v/>
      </c>
      <c r="G535" s="45"/>
      <c r="H535" s="73"/>
      <c r="I535" s="18" t="str">
        <f t="shared" si="34"/>
        <v/>
      </c>
      <c r="J535" s="45"/>
      <c r="K535" s="45"/>
    </row>
    <row r="536" spans="1:11">
      <c r="A536" s="17" t="str">
        <f t="shared" si="35"/>
        <v/>
      </c>
      <c r="B536" s="53"/>
      <c r="C536" s="11" t="str">
        <f t="shared" si="32"/>
        <v/>
      </c>
      <c r="D536" s="11" t="str">
        <f t="shared" si="33"/>
        <v/>
      </c>
      <c r="E536" s="45"/>
      <c r="F536" s="11" t="str">
        <f>IFERROR(VLOOKUP(E536,Category!$D$2:$E$600,2,FALSE),"")</f>
        <v/>
      </c>
      <c r="G536" s="45"/>
      <c r="H536" s="73"/>
      <c r="I536" s="18" t="str">
        <f t="shared" si="34"/>
        <v/>
      </c>
      <c r="J536" s="45"/>
      <c r="K536" s="45"/>
    </row>
    <row r="537" spans="1:11">
      <c r="A537" s="17" t="str">
        <f t="shared" si="35"/>
        <v/>
      </c>
      <c r="B537" s="53"/>
      <c r="C537" s="11" t="str">
        <f t="shared" si="32"/>
        <v/>
      </c>
      <c r="D537" s="11" t="str">
        <f t="shared" si="33"/>
        <v/>
      </c>
      <c r="E537" s="45"/>
      <c r="F537" s="11" t="str">
        <f>IFERROR(VLOOKUP(E537,Category!$D$2:$E$600,2,FALSE),"")</f>
        <v/>
      </c>
      <c r="G537" s="45"/>
      <c r="H537" s="73"/>
      <c r="I537" s="18" t="str">
        <f t="shared" si="34"/>
        <v/>
      </c>
      <c r="J537" s="45"/>
      <c r="K537" s="45"/>
    </row>
    <row r="538" spans="1:11">
      <c r="A538" s="17" t="str">
        <f t="shared" si="35"/>
        <v/>
      </c>
      <c r="B538" s="53"/>
      <c r="C538" s="11" t="str">
        <f t="shared" si="32"/>
        <v/>
      </c>
      <c r="D538" s="11" t="str">
        <f t="shared" si="33"/>
        <v/>
      </c>
      <c r="E538" s="45"/>
      <c r="F538" s="11" t="str">
        <f>IFERROR(VLOOKUP(E538,Category!$D$2:$E$600,2,FALSE),"")</f>
        <v/>
      </c>
      <c r="G538" s="45"/>
      <c r="H538" s="73"/>
      <c r="I538" s="18" t="str">
        <f t="shared" si="34"/>
        <v/>
      </c>
      <c r="J538" s="45"/>
      <c r="K538" s="45"/>
    </row>
    <row r="539" spans="1:11">
      <c r="A539" s="17" t="str">
        <f t="shared" si="35"/>
        <v/>
      </c>
      <c r="B539" s="53"/>
      <c r="C539" s="11" t="str">
        <f t="shared" si="32"/>
        <v/>
      </c>
      <c r="D539" s="11" t="str">
        <f t="shared" si="33"/>
        <v/>
      </c>
      <c r="E539" s="45"/>
      <c r="F539" s="11" t="str">
        <f>IFERROR(VLOOKUP(E539,Category!$D$2:$E$600,2,FALSE),"")</f>
        <v/>
      </c>
      <c r="G539" s="45"/>
      <c r="H539" s="73"/>
      <c r="I539" s="18" t="str">
        <f t="shared" si="34"/>
        <v/>
      </c>
      <c r="J539" s="45"/>
      <c r="K539" s="45"/>
    </row>
    <row r="540" spans="1:11">
      <c r="A540" s="17" t="str">
        <f t="shared" si="35"/>
        <v/>
      </c>
      <c r="B540" s="53"/>
      <c r="C540" s="11" t="str">
        <f t="shared" si="32"/>
        <v/>
      </c>
      <c r="D540" s="11" t="str">
        <f t="shared" si="33"/>
        <v/>
      </c>
      <c r="E540" s="45"/>
      <c r="F540" s="11" t="str">
        <f>IFERROR(VLOOKUP(E540,Category!$D$2:$E$600,2,FALSE),"")</f>
        <v/>
      </c>
      <c r="G540" s="45"/>
      <c r="H540" s="73"/>
      <c r="I540" s="18" t="str">
        <f t="shared" si="34"/>
        <v/>
      </c>
      <c r="J540" s="45"/>
      <c r="K540" s="45"/>
    </row>
    <row r="541" spans="1:11">
      <c r="A541" s="17" t="str">
        <f t="shared" si="35"/>
        <v/>
      </c>
      <c r="B541" s="53"/>
      <c r="C541" s="11" t="str">
        <f t="shared" si="32"/>
        <v/>
      </c>
      <c r="D541" s="11" t="str">
        <f t="shared" si="33"/>
        <v/>
      </c>
      <c r="E541" s="45"/>
      <c r="F541" s="11" t="str">
        <f>IFERROR(VLOOKUP(E541,Category!$D$2:$E$600,2,FALSE),"")</f>
        <v/>
      </c>
      <c r="G541" s="45"/>
      <c r="H541" s="73"/>
      <c r="I541" s="18" t="str">
        <f t="shared" si="34"/>
        <v/>
      </c>
      <c r="J541" s="45"/>
      <c r="K541" s="45"/>
    </row>
    <row r="542" spans="1:11">
      <c r="A542" s="17" t="str">
        <f t="shared" si="35"/>
        <v/>
      </c>
      <c r="B542" s="53"/>
      <c r="C542" s="11" t="str">
        <f t="shared" si="32"/>
        <v/>
      </c>
      <c r="D542" s="11" t="str">
        <f t="shared" si="33"/>
        <v/>
      </c>
      <c r="E542" s="45"/>
      <c r="F542" s="11" t="str">
        <f>IFERROR(VLOOKUP(E542,Category!$D$2:$E$600,2,FALSE),"")</f>
        <v/>
      </c>
      <c r="G542" s="45"/>
      <c r="H542" s="73"/>
      <c r="I542" s="18" t="str">
        <f t="shared" si="34"/>
        <v/>
      </c>
      <c r="J542" s="45"/>
      <c r="K542" s="45"/>
    </row>
    <row r="543" spans="1:11">
      <c r="A543" s="17" t="str">
        <f t="shared" si="35"/>
        <v/>
      </c>
      <c r="B543" s="53"/>
      <c r="C543" s="11" t="str">
        <f t="shared" si="32"/>
        <v/>
      </c>
      <c r="D543" s="11" t="str">
        <f t="shared" si="33"/>
        <v/>
      </c>
      <c r="E543" s="45"/>
      <c r="F543" s="11" t="str">
        <f>IFERROR(VLOOKUP(E543,Category!$D$2:$E$600,2,FALSE),"")</f>
        <v/>
      </c>
      <c r="G543" s="45"/>
      <c r="H543" s="73"/>
      <c r="I543" s="18" t="str">
        <f t="shared" si="34"/>
        <v/>
      </c>
      <c r="J543" s="45"/>
      <c r="K543" s="45"/>
    </row>
    <row r="544" spans="1:11">
      <c r="A544" s="17" t="str">
        <f t="shared" si="35"/>
        <v/>
      </c>
      <c r="B544" s="53"/>
      <c r="C544" s="11" t="str">
        <f t="shared" si="32"/>
        <v/>
      </c>
      <c r="D544" s="11" t="str">
        <f t="shared" si="33"/>
        <v/>
      </c>
      <c r="E544" s="45"/>
      <c r="F544" s="11" t="str">
        <f>IFERROR(VLOOKUP(E544,Category!$D$2:$E$600,2,FALSE),"")</f>
        <v/>
      </c>
      <c r="G544" s="45"/>
      <c r="H544" s="73"/>
      <c r="I544" s="18" t="str">
        <f t="shared" si="34"/>
        <v/>
      </c>
      <c r="J544" s="45"/>
      <c r="K544" s="45"/>
    </row>
    <row r="545" spans="1:11">
      <c r="A545" s="17" t="str">
        <f t="shared" si="35"/>
        <v/>
      </c>
      <c r="B545" s="53"/>
      <c r="C545" s="11" t="str">
        <f t="shared" si="32"/>
        <v/>
      </c>
      <c r="D545" s="11" t="str">
        <f t="shared" si="33"/>
        <v/>
      </c>
      <c r="E545" s="45"/>
      <c r="F545" s="11" t="str">
        <f>IFERROR(VLOOKUP(E545,Category!$D$2:$E$600,2,FALSE),"")</f>
        <v/>
      </c>
      <c r="G545" s="45"/>
      <c r="H545" s="73"/>
      <c r="I545" s="18" t="str">
        <f t="shared" si="34"/>
        <v/>
      </c>
      <c r="J545" s="45"/>
      <c r="K545" s="45"/>
    </row>
    <row r="546" spans="1:11">
      <c r="A546" s="17" t="str">
        <f t="shared" si="35"/>
        <v/>
      </c>
      <c r="B546" s="53"/>
      <c r="C546" s="11" t="str">
        <f t="shared" si="32"/>
        <v/>
      </c>
      <c r="D546" s="11" t="str">
        <f t="shared" si="33"/>
        <v/>
      </c>
      <c r="E546" s="45"/>
      <c r="F546" s="11" t="str">
        <f>IFERROR(VLOOKUP(E546,Category!$D$2:$E$600,2,FALSE),"")</f>
        <v/>
      </c>
      <c r="G546" s="45"/>
      <c r="H546" s="73"/>
      <c r="I546" s="18" t="str">
        <f t="shared" si="34"/>
        <v/>
      </c>
      <c r="J546" s="45"/>
      <c r="K546" s="45"/>
    </row>
    <row r="547" spans="1:11">
      <c r="A547" s="17" t="str">
        <f t="shared" si="35"/>
        <v/>
      </c>
      <c r="B547" s="53"/>
      <c r="C547" s="11" t="str">
        <f t="shared" si="32"/>
        <v/>
      </c>
      <c r="D547" s="11" t="str">
        <f t="shared" si="33"/>
        <v/>
      </c>
      <c r="E547" s="45"/>
      <c r="F547" s="11" t="str">
        <f>IFERROR(VLOOKUP(E547,Category!$D$2:$E$600,2,FALSE),"")</f>
        <v/>
      </c>
      <c r="G547" s="45"/>
      <c r="H547" s="73"/>
      <c r="I547" s="18" t="str">
        <f t="shared" si="34"/>
        <v/>
      </c>
      <c r="J547" s="45"/>
      <c r="K547" s="45"/>
    </row>
    <row r="548" spans="1:11">
      <c r="A548" s="17" t="str">
        <f t="shared" si="35"/>
        <v/>
      </c>
      <c r="B548" s="53"/>
      <c r="C548" s="11" t="str">
        <f t="shared" si="32"/>
        <v/>
      </c>
      <c r="D548" s="11" t="str">
        <f t="shared" si="33"/>
        <v/>
      </c>
      <c r="E548" s="45"/>
      <c r="F548" s="11" t="str">
        <f>IFERROR(VLOOKUP(E548,Category!$D$2:$E$600,2,FALSE),"")</f>
        <v/>
      </c>
      <c r="G548" s="45"/>
      <c r="H548" s="73"/>
      <c r="I548" s="18" t="str">
        <f t="shared" si="34"/>
        <v/>
      </c>
      <c r="J548" s="45"/>
      <c r="K548" s="45"/>
    </row>
    <row r="549" spans="1:11">
      <c r="A549" s="17" t="str">
        <f t="shared" si="35"/>
        <v/>
      </c>
      <c r="B549" s="53"/>
      <c r="C549" s="11" t="str">
        <f t="shared" si="32"/>
        <v/>
      </c>
      <c r="D549" s="11" t="str">
        <f t="shared" si="33"/>
        <v/>
      </c>
      <c r="E549" s="45"/>
      <c r="F549" s="11" t="str">
        <f>IFERROR(VLOOKUP(E549,Category!$D$2:$E$600,2,FALSE),"")</f>
        <v/>
      </c>
      <c r="G549" s="45"/>
      <c r="H549" s="73"/>
      <c r="I549" s="18" t="str">
        <f t="shared" si="34"/>
        <v/>
      </c>
      <c r="J549" s="45"/>
      <c r="K549" s="45"/>
    </row>
    <row r="550" spans="1:11">
      <c r="A550" s="17" t="str">
        <f t="shared" si="35"/>
        <v/>
      </c>
      <c r="B550" s="53"/>
      <c r="C550" s="11" t="str">
        <f t="shared" si="32"/>
        <v/>
      </c>
      <c r="D550" s="11" t="str">
        <f t="shared" si="33"/>
        <v/>
      </c>
      <c r="E550" s="45"/>
      <c r="F550" s="11" t="str">
        <f>IFERROR(VLOOKUP(E550,Category!$D$2:$E$600,2,FALSE),"")</f>
        <v/>
      </c>
      <c r="G550" s="45"/>
      <c r="H550" s="73"/>
      <c r="I550" s="18" t="str">
        <f t="shared" si="34"/>
        <v/>
      </c>
      <c r="J550" s="45"/>
      <c r="K550" s="45"/>
    </row>
    <row r="551" spans="1:11">
      <c r="A551" s="17" t="str">
        <f t="shared" si="35"/>
        <v/>
      </c>
      <c r="B551" s="53"/>
      <c r="C551" s="11" t="str">
        <f t="shared" si="32"/>
        <v/>
      </c>
      <c r="D551" s="11" t="str">
        <f t="shared" si="33"/>
        <v/>
      </c>
      <c r="E551" s="45"/>
      <c r="F551" s="11" t="str">
        <f>IFERROR(VLOOKUP(E551,Category!$D$2:$E$600,2,FALSE),"")</f>
        <v/>
      </c>
      <c r="G551" s="45"/>
      <c r="H551" s="73"/>
      <c r="I551" s="18" t="str">
        <f t="shared" si="34"/>
        <v/>
      </c>
      <c r="J551" s="45"/>
      <c r="K551" s="45"/>
    </row>
    <row r="552" spans="1:11">
      <c r="A552" s="17" t="str">
        <f t="shared" si="35"/>
        <v/>
      </c>
      <c r="B552" s="53"/>
      <c r="C552" s="11" t="str">
        <f t="shared" si="32"/>
        <v/>
      </c>
      <c r="D552" s="11" t="str">
        <f t="shared" si="33"/>
        <v/>
      </c>
      <c r="E552" s="45"/>
      <c r="F552" s="11" t="str">
        <f>IFERROR(VLOOKUP(E552,Category!$D$2:$E$600,2,FALSE),"")</f>
        <v/>
      </c>
      <c r="G552" s="45"/>
      <c r="H552" s="73"/>
      <c r="I552" s="18" t="str">
        <f t="shared" si="34"/>
        <v/>
      </c>
      <c r="J552" s="45"/>
      <c r="K552" s="45"/>
    </row>
    <row r="553" spans="1:11">
      <c r="A553" s="17" t="str">
        <f t="shared" si="35"/>
        <v/>
      </c>
      <c r="B553" s="53"/>
      <c r="C553" s="11" t="str">
        <f t="shared" si="32"/>
        <v/>
      </c>
      <c r="D553" s="11" t="str">
        <f t="shared" si="33"/>
        <v/>
      </c>
      <c r="E553" s="45"/>
      <c r="F553" s="11" t="str">
        <f>IFERROR(VLOOKUP(E553,Category!$D$2:$E$600,2,FALSE),"")</f>
        <v/>
      </c>
      <c r="G553" s="45"/>
      <c r="H553" s="73"/>
      <c r="I553" s="18" t="str">
        <f t="shared" si="34"/>
        <v/>
      </c>
      <c r="J553" s="45"/>
      <c r="K553" s="45"/>
    </row>
    <row r="554" spans="1:11">
      <c r="A554" s="17" t="str">
        <f t="shared" si="35"/>
        <v/>
      </c>
      <c r="B554" s="53"/>
      <c r="C554" s="11" t="str">
        <f t="shared" si="32"/>
        <v/>
      </c>
      <c r="D554" s="11" t="str">
        <f t="shared" si="33"/>
        <v/>
      </c>
      <c r="E554" s="45"/>
      <c r="F554" s="11" t="str">
        <f>IFERROR(VLOOKUP(E554,Category!$D$2:$E$600,2,FALSE),"")</f>
        <v/>
      </c>
      <c r="G554" s="45"/>
      <c r="H554" s="73"/>
      <c r="I554" s="18" t="str">
        <f t="shared" si="34"/>
        <v/>
      </c>
      <c r="J554" s="45"/>
      <c r="K554" s="45"/>
    </row>
    <row r="555" spans="1:11">
      <c r="A555" s="17" t="str">
        <f t="shared" si="35"/>
        <v/>
      </c>
      <c r="B555" s="53"/>
      <c r="C555" s="11" t="str">
        <f t="shared" si="32"/>
        <v/>
      </c>
      <c r="D555" s="11" t="str">
        <f t="shared" si="33"/>
        <v/>
      </c>
      <c r="E555" s="45"/>
      <c r="F555" s="11" t="str">
        <f>IFERROR(VLOOKUP(E555,Category!$D$2:$E$600,2,FALSE),"")</f>
        <v/>
      </c>
      <c r="G555" s="45"/>
      <c r="H555" s="73"/>
      <c r="I555" s="18" t="str">
        <f t="shared" si="34"/>
        <v/>
      </c>
      <c r="J555" s="45"/>
      <c r="K555" s="45"/>
    </row>
    <row r="556" spans="1:11">
      <c r="A556" s="17" t="str">
        <f t="shared" si="35"/>
        <v/>
      </c>
      <c r="B556" s="53"/>
      <c r="C556" s="11" t="str">
        <f t="shared" si="32"/>
        <v/>
      </c>
      <c r="D556" s="11" t="str">
        <f t="shared" si="33"/>
        <v/>
      </c>
      <c r="E556" s="45"/>
      <c r="F556" s="11" t="str">
        <f>IFERROR(VLOOKUP(E556,Category!$D$2:$E$600,2,FALSE),"")</f>
        <v/>
      </c>
      <c r="G556" s="45"/>
      <c r="H556" s="73"/>
      <c r="I556" s="18" t="str">
        <f t="shared" si="34"/>
        <v/>
      </c>
      <c r="J556" s="45"/>
      <c r="K556" s="45"/>
    </row>
    <row r="557" spans="1:11">
      <c r="A557" s="17" t="str">
        <f t="shared" si="35"/>
        <v/>
      </c>
      <c r="B557" s="53"/>
      <c r="C557" s="11" t="str">
        <f t="shared" si="32"/>
        <v/>
      </c>
      <c r="D557" s="11" t="str">
        <f t="shared" si="33"/>
        <v/>
      </c>
      <c r="E557" s="45"/>
      <c r="F557" s="11" t="str">
        <f>IFERROR(VLOOKUP(E557,Category!$D$2:$E$600,2,FALSE),"")</f>
        <v/>
      </c>
      <c r="G557" s="45"/>
      <c r="H557" s="73"/>
      <c r="I557" s="18" t="str">
        <f t="shared" si="34"/>
        <v/>
      </c>
      <c r="J557" s="45"/>
      <c r="K557" s="45"/>
    </row>
    <row r="558" spans="1:11">
      <c r="A558" s="17" t="str">
        <f t="shared" si="35"/>
        <v/>
      </c>
      <c r="B558" s="53"/>
      <c r="C558" s="11" t="str">
        <f t="shared" si="32"/>
        <v/>
      </c>
      <c r="D558" s="11" t="str">
        <f t="shared" si="33"/>
        <v/>
      </c>
      <c r="E558" s="45"/>
      <c r="F558" s="11" t="str">
        <f>IFERROR(VLOOKUP(E558,Category!$D$2:$E$600,2,FALSE),"")</f>
        <v/>
      </c>
      <c r="G558" s="45"/>
      <c r="H558" s="73"/>
      <c r="I558" s="18" t="str">
        <f t="shared" si="34"/>
        <v/>
      </c>
      <c r="J558" s="45"/>
      <c r="K558" s="45"/>
    </row>
    <row r="559" spans="1:11">
      <c r="A559" s="17" t="str">
        <f t="shared" si="35"/>
        <v/>
      </c>
      <c r="B559" s="53"/>
      <c r="C559" s="11" t="str">
        <f t="shared" si="32"/>
        <v/>
      </c>
      <c r="D559" s="11" t="str">
        <f t="shared" si="33"/>
        <v/>
      </c>
      <c r="E559" s="45"/>
      <c r="F559" s="11" t="str">
        <f>IFERROR(VLOOKUP(E559,Category!$D$2:$E$600,2,FALSE),"")</f>
        <v/>
      </c>
      <c r="G559" s="45"/>
      <c r="H559" s="73"/>
      <c r="I559" s="18" t="str">
        <f t="shared" si="34"/>
        <v/>
      </c>
      <c r="J559" s="45"/>
      <c r="K559" s="45"/>
    </row>
    <row r="560" spans="1:11">
      <c r="A560" s="17" t="str">
        <f t="shared" si="35"/>
        <v/>
      </c>
      <c r="B560" s="53"/>
      <c r="C560" s="11" t="str">
        <f t="shared" si="32"/>
        <v/>
      </c>
      <c r="D560" s="11" t="str">
        <f t="shared" si="33"/>
        <v/>
      </c>
      <c r="E560" s="45"/>
      <c r="F560" s="11" t="str">
        <f>IFERROR(VLOOKUP(E560,Category!$D$2:$E$600,2,FALSE),"")</f>
        <v/>
      </c>
      <c r="G560" s="45"/>
      <c r="H560" s="73"/>
      <c r="I560" s="18" t="str">
        <f t="shared" si="34"/>
        <v/>
      </c>
      <c r="J560" s="45"/>
      <c r="K560" s="45"/>
    </row>
    <row r="561" spans="1:11">
      <c r="A561" s="17" t="str">
        <f t="shared" si="35"/>
        <v/>
      </c>
      <c r="B561" s="53"/>
      <c r="C561" s="11" t="str">
        <f t="shared" si="32"/>
        <v/>
      </c>
      <c r="D561" s="11" t="str">
        <f t="shared" si="33"/>
        <v/>
      </c>
      <c r="E561" s="45"/>
      <c r="F561" s="11" t="str">
        <f>IFERROR(VLOOKUP(E561,Category!$D$2:$E$600,2,FALSE),"")</f>
        <v/>
      </c>
      <c r="G561" s="45"/>
      <c r="H561" s="73"/>
      <c r="I561" s="18" t="str">
        <f t="shared" si="34"/>
        <v/>
      </c>
      <c r="J561" s="45"/>
      <c r="K561" s="45"/>
    </row>
    <row r="562" spans="1:11">
      <c r="A562" s="17" t="str">
        <f t="shared" si="35"/>
        <v/>
      </c>
      <c r="B562" s="53"/>
      <c r="C562" s="11" t="str">
        <f t="shared" si="32"/>
        <v/>
      </c>
      <c r="D562" s="11" t="str">
        <f t="shared" si="33"/>
        <v/>
      </c>
      <c r="E562" s="45"/>
      <c r="F562" s="11" t="str">
        <f>IFERROR(VLOOKUP(E562,Category!$D$2:$E$600,2,FALSE),"")</f>
        <v/>
      </c>
      <c r="G562" s="45"/>
      <c r="H562" s="73"/>
      <c r="I562" s="18" t="str">
        <f t="shared" si="34"/>
        <v/>
      </c>
      <c r="J562" s="45"/>
      <c r="K562" s="45"/>
    </row>
    <row r="563" spans="1:11">
      <c r="A563" s="17" t="str">
        <f t="shared" si="35"/>
        <v/>
      </c>
      <c r="B563" s="53"/>
      <c r="C563" s="11" t="str">
        <f t="shared" si="32"/>
        <v/>
      </c>
      <c r="D563" s="11" t="str">
        <f t="shared" si="33"/>
        <v/>
      </c>
      <c r="E563" s="45"/>
      <c r="F563" s="11" t="str">
        <f>IFERROR(VLOOKUP(E563,Category!$D$2:$E$600,2,FALSE),"")</f>
        <v/>
      </c>
      <c r="G563" s="45"/>
      <c r="H563" s="73"/>
      <c r="I563" s="18" t="str">
        <f t="shared" si="34"/>
        <v/>
      </c>
      <c r="J563" s="45"/>
      <c r="K563" s="45"/>
    </row>
    <row r="564" spans="1:11">
      <c r="A564" s="17" t="str">
        <f t="shared" si="35"/>
        <v/>
      </c>
      <c r="B564" s="53"/>
      <c r="C564" s="11" t="str">
        <f t="shared" si="32"/>
        <v/>
      </c>
      <c r="D564" s="11" t="str">
        <f t="shared" si="33"/>
        <v/>
      </c>
      <c r="E564" s="45"/>
      <c r="F564" s="11" t="str">
        <f>IFERROR(VLOOKUP(E564,Category!$D$2:$E$600,2,FALSE),"")</f>
        <v/>
      </c>
      <c r="G564" s="45"/>
      <c r="H564" s="73"/>
      <c r="I564" s="18" t="str">
        <f t="shared" si="34"/>
        <v/>
      </c>
      <c r="J564" s="45"/>
      <c r="K564" s="45"/>
    </row>
    <row r="565" spans="1:11">
      <c r="A565" s="17" t="str">
        <f t="shared" si="35"/>
        <v/>
      </c>
      <c r="B565" s="53"/>
      <c r="C565" s="11" t="str">
        <f t="shared" si="32"/>
        <v/>
      </c>
      <c r="D565" s="11" t="str">
        <f t="shared" si="33"/>
        <v/>
      </c>
      <c r="E565" s="45"/>
      <c r="F565" s="11" t="str">
        <f>IFERROR(VLOOKUP(E565,Category!$D$2:$E$600,2,FALSE),"")</f>
        <v/>
      </c>
      <c r="G565" s="45"/>
      <c r="H565" s="73"/>
      <c r="I565" s="18" t="str">
        <f t="shared" si="34"/>
        <v/>
      </c>
      <c r="J565" s="45"/>
      <c r="K565" s="45"/>
    </row>
    <row r="566" spans="1:11">
      <c r="A566" s="17" t="str">
        <f t="shared" si="35"/>
        <v/>
      </c>
      <c r="B566" s="53"/>
      <c r="C566" s="11" t="str">
        <f t="shared" si="32"/>
        <v/>
      </c>
      <c r="D566" s="11" t="str">
        <f t="shared" si="33"/>
        <v/>
      </c>
      <c r="E566" s="45"/>
      <c r="F566" s="11" t="str">
        <f>IFERROR(VLOOKUP(E566,Category!$D$2:$E$600,2,FALSE),"")</f>
        <v/>
      </c>
      <c r="G566" s="45"/>
      <c r="H566" s="73"/>
      <c r="I566" s="18" t="str">
        <f t="shared" si="34"/>
        <v/>
      </c>
      <c r="J566" s="45"/>
      <c r="K566" s="45"/>
    </row>
    <row r="567" spans="1:11">
      <c r="A567" s="17" t="str">
        <f t="shared" si="35"/>
        <v/>
      </c>
      <c r="B567" s="53"/>
      <c r="C567" s="11" t="str">
        <f t="shared" si="32"/>
        <v/>
      </c>
      <c r="D567" s="11" t="str">
        <f t="shared" si="33"/>
        <v/>
      </c>
      <c r="E567" s="45"/>
      <c r="F567" s="11" t="str">
        <f>IFERROR(VLOOKUP(E567,Category!$D$2:$E$600,2,FALSE),"")</f>
        <v/>
      </c>
      <c r="G567" s="45"/>
      <c r="H567" s="73"/>
      <c r="I567" s="18" t="str">
        <f t="shared" si="34"/>
        <v/>
      </c>
      <c r="J567" s="45"/>
      <c r="K567" s="45"/>
    </row>
    <row r="568" spans="1:11">
      <c r="A568" s="17" t="str">
        <f t="shared" si="35"/>
        <v/>
      </c>
      <c r="B568" s="53"/>
      <c r="C568" s="11" t="str">
        <f t="shared" si="32"/>
        <v/>
      </c>
      <c r="D568" s="11" t="str">
        <f t="shared" si="33"/>
        <v/>
      </c>
      <c r="E568" s="45"/>
      <c r="F568" s="11" t="str">
        <f>IFERROR(VLOOKUP(E568,Category!$D$2:$E$600,2,FALSE),"")</f>
        <v/>
      </c>
      <c r="G568" s="45"/>
      <c r="H568" s="73"/>
      <c r="I568" s="18" t="str">
        <f t="shared" si="34"/>
        <v/>
      </c>
      <c r="J568" s="45"/>
      <c r="K568" s="45"/>
    </row>
    <row r="569" spans="1:11">
      <c r="A569" s="17" t="str">
        <f t="shared" si="35"/>
        <v/>
      </c>
      <c r="B569" s="53"/>
      <c r="C569" s="11" t="str">
        <f t="shared" si="32"/>
        <v/>
      </c>
      <c r="D569" s="11" t="str">
        <f t="shared" si="33"/>
        <v/>
      </c>
      <c r="E569" s="45"/>
      <c r="F569" s="11" t="str">
        <f>IFERROR(VLOOKUP(E569,Category!$D$2:$E$600,2,FALSE),"")</f>
        <v/>
      </c>
      <c r="G569" s="45"/>
      <c r="H569" s="73"/>
      <c r="I569" s="18" t="str">
        <f t="shared" si="34"/>
        <v/>
      </c>
      <c r="J569" s="45"/>
      <c r="K569" s="45"/>
    </row>
    <row r="570" spans="1:11">
      <c r="A570" s="17" t="str">
        <f t="shared" si="35"/>
        <v/>
      </c>
      <c r="B570" s="53"/>
      <c r="C570" s="11" t="str">
        <f t="shared" si="32"/>
        <v/>
      </c>
      <c r="D570" s="11" t="str">
        <f t="shared" si="33"/>
        <v/>
      </c>
      <c r="E570" s="45"/>
      <c r="F570" s="11" t="str">
        <f>IFERROR(VLOOKUP(E570,Category!$D$2:$E$600,2,FALSE),"")</f>
        <v/>
      </c>
      <c r="G570" s="45"/>
      <c r="H570" s="73"/>
      <c r="I570" s="18" t="str">
        <f t="shared" si="34"/>
        <v/>
      </c>
      <c r="J570" s="45"/>
      <c r="K570" s="45"/>
    </row>
    <row r="571" spans="1:11">
      <c r="A571" s="17" t="str">
        <f t="shared" si="35"/>
        <v/>
      </c>
      <c r="B571" s="53"/>
      <c r="C571" s="11" t="str">
        <f t="shared" si="32"/>
        <v/>
      </c>
      <c r="D571" s="11" t="str">
        <f t="shared" si="33"/>
        <v/>
      </c>
      <c r="E571" s="45"/>
      <c r="F571" s="11" t="str">
        <f>IFERROR(VLOOKUP(E571,Category!$D$2:$E$600,2,FALSE),"")</f>
        <v/>
      </c>
      <c r="G571" s="45"/>
      <c r="H571" s="73"/>
      <c r="I571" s="18" t="str">
        <f t="shared" si="34"/>
        <v/>
      </c>
      <c r="J571" s="45"/>
      <c r="K571" s="45"/>
    </row>
    <row r="572" spans="1:11">
      <c r="A572" s="17" t="str">
        <f t="shared" si="35"/>
        <v/>
      </c>
      <c r="B572" s="53"/>
      <c r="C572" s="11" t="str">
        <f t="shared" si="32"/>
        <v/>
      </c>
      <c r="D572" s="11" t="str">
        <f t="shared" si="33"/>
        <v/>
      </c>
      <c r="E572" s="45"/>
      <c r="F572" s="11" t="str">
        <f>IFERROR(VLOOKUP(E572,Category!$D$2:$E$600,2,FALSE),"")</f>
        <v/>
      </c>
      <c r="G572" s="45"/>
      <c r="H572" s="73"/>
      <c r="I572" s="18" t="str">
        <f t="shared" si="34"/>
        <v/>
      </c>
      <c r="J572" s="45"/>
      <c r="K572" s="45"/>
    </row>
    <row r="573" spans="1:11">
      <c r="A573" s="17" t="str">
        <f t="shared" si="35"/>
        <v/>
      </c>
      <c r="B573" s="53"/>
      <c r="C573" s="11" t="str">
        <f t="shared" si="32"/>
        <v/>
      </c>
      <c r="D573" s="11" t="str">
        <f t="shared" si="33"/>
        <v/>
      </c>
      <c r="E573" s="45"/>
      <c r="F573" s="11" t="str">
        <f>IFERROR(VLOOKUP(E573,Category!$D$2:$E$600,2,FALSE),"")</f>
        <v/>
      </c>
      <c r="G573" s="45"/>
      <c r="H573" s="73"/>
      <c r="I573" s="18" t="str">
        <f t="shared" si="34"/>
        <v/>
      </c>
      <c r="J573" s="45"/>
      <c r="K573" s="45"/>
    </row>
    <row r="574" spans="1:11">
      <c r="A574" s="17" t="str">
        <f t="shared" si="35"/>
        <v/>
      </c>
      <c r="B574" s="53"/>
      <c r="C574" s="11" t="str">
        <f t="shared" si="32"/>
        <v/>
      </c>
      <c r="D574" s="11" t="str">
        <f t="shared" si="33"/>
        <v/>
      </c>
      <c r="E574" s="45"/>
      <c r="F574" s="11" t="str">
        <f>IFERROR(VLOOKUP(E574,Category!$D$2:$E$600,2,FALSE),"")</f>
        <v/>
      </c>
      <c r="G574" s="45"/>
      <c r="H574" s="73"/>
      <c r="I574" s="18" t="str">
        <f t="shared" si="34"/>
        <v/>
      </c>
      <c r="J574" s="45"/>
      <c r="K574" s="45"/>
    </row>
    <row r="575" spans="1:11">
      <c r="A575" s="17" t="str">
        <f t="shared" si="35"/>
        <v/>
      </c>
      <c r="B575" s="53"/>
      <c r="C575" s="11" t="str">
        <f t="shared" si="32"/>
        <v/>
      </c>
      <c r="D575" s="11" t="str">
        <f t="shared" si="33"/>
        <v/>
      </c>
      <c r="E575" s="45"/>
      <c r="F575" s="11" t="str">
        <f>IFERROR(VLOOKUP(E575,Category!$D$2:$E$600,2,FALSE),"")</f>
        <v/>
      </c>
      <c r="G575" s="45"/>
      <c r="H575" s="73"/>
      <c r="I575" s="18" t="str">
        <f t="shared" si="34"/>
        <v/>
      </c>
      <c r="J575" s="45"/>
      <c r="K575" s="45"/>
    </row>
    <row r="576" spans="1:11">
      <c r="A576" s="17" t="str">
        <f t="shared" si="35"/>
        <v/>
      </c>
      <c r="B576" s="53"/>
      <c r="C576" s="11" t="str">
        <f t="shared" si="32"/>
        <v/>
      </c>
      <c r="D576" s="11" t="str">
        <f t="shared" si="33"/>
        <v/>
      </c>
      <c r="E576" s="45"/>
      <c r="F576" s="11" t="str">
        <f>IFERROR(VLOOKUP(E576,Category!$D$2:$E$600,2,FALSE),"")</f>
        <v/>
      </c>
      <c r="G576" s="45"/>
      <c r="H576" s="73"/>
      <c r="I576" s="18" t="str">
        <f t="shared" si="34"/>
        <v/>
      </c>
      <c r="J576" s="45"/>
      <c r="K576" s="45"/>
    </row>
    <row r="577" spans="1:11">
      <c r="A577" s="17" t="str">
        <f t="shared" si="35"/>
        <v/>
      </c>
      <c r="B577" s="53"/>
      <c r="C577" s="11" t="str">
        <f t="shared" si="32"/>
        <v/>
      </c>
      <c r="D577" s="11" t="str">
        <f t="shared" si="33"/>
        <v/>
      </c>
      <c r="E577" s="45"/>
      <c r="F577" s="11" t="str">
        <f>IFERROR(VLOOKUP(E577,Category!$D$2:$E$600,2,FALSE),"")</f>
        <v/>
      </c>
      <c r="G577" s="45"/>
      <c r="H577" s="73"/>
      <c r="I577" s="18" t="str">
        <f t="shared" si="34"/>
        <v/>
      </c>
      <c r="J577" s="45"/>
      <c r="K577" s="45"/>
    </row>
    <row r="578" spans="1:11">
      <c r="A578" s="17" t="str">
        <f t="shared" si="35"/>
        <v/>
      </c>
      <c r="B578" s="53"/>
      <c r="C578" s="11" t="str">
        <f t="shared" si="32"/>
        <v/>
      </c>
      <c r="D578" s="11" t="str">
        <f t="shared" si="33"/>
        <v/>
      </c>
      <c r="E578" s="45"/>
      <c r="F578" s="11" t="str">
        <f>IFERROR(VLOOKUP(E578,Category!$D$2:$E$600,2,FALSE),"")</f>
        <v/>
      </c>
      <c r="G578" s="45"/>
      <c r="H578" s="73"/>
      <c r="I578" s="18" t="str">
        <f t="shared" si="34"/>
        <v/>
      </c>
      <c r="J578" s="45"/>
      <c r="K578" s="45"/>
    </row>
    <row r="579" spans="1:11">
      <c r="A579" s="17" t="str">
        <f t="shared" si="35"/>
        <v/>
      </c>
      <c r="B579" s="53"/>
      <c r="C579" s="11" t="str">
        <f t="shared" ref="C579:C642" si="36">IF(B579=0,"",TEXT(B579,"mmmm"))</f>
        <v/>
      </c>
      <c r="D579" s="11" t="str">
        <f t="shared" ref="D579:D642" si="37">IF(B579=0,"",TEXT(B579,"yyyy"))</f>
        <v/>
      </c>
      <c r="E579" s="45"/>
      <c r="F579" s="11" t="str">
        <f>IFERROR(VLOOKUP(E579,Category!$D$2:$E$600,2,FALSE),"")</f>
        <v/>
      </c>
      <c r="G579" s="45"/>
      <c r="H579" s="73"/>
      <c r="I579" s="18" t="str">
        <f t="shared" ref="I579:I642" si="38">IF(G579*H579=0,"",G579*H579)</f>
        <v/>
      </c>
      <c r="J579" s="45"/>
      <c r="K579" s="45"/>
    </row>
    <row r="580" spans="1:11">
      <c r="A580" s="17" t="str">
        <f t="shared" ref="A580:A643" si="39">IF(E580&gt;0,A579+1,"")</f>
        <v/>
      </c>
      <c r="B580" s="53"/>
      <c r="C580" s="11" t="str">
        <f t="shared" si="36"/>
        <v/>
      </c>
      <c r="D580" s="11" t="str">
        <f t="shared" si="37"/>
        <v/>
      </c>
      <c r="E580" s="45"/>
      <c r="F580" s="11" t="str">
        <f>IFERROR(VLOOKUP(E580,Category!$D$2:$E$600,2,FALSE),"")</f>
        <v/>
      </c>
      <c r="G580" s="45"/>
      <c r="H580" s="73"/>
      <c r="I580" s="18" t="str">
        <f t="shared" si="38"/>
        <v/>
      </c>
      <c r="J580" s="45"/>
      <c r="K580" s="45"/>
    </row>
    <row r="581" spans="1:11">
      <c r="A581" s="17" t="str">
        <f t="shared" si="39"/>
        <v/>
      </c>
      <c r="B581" s="53"/>
      <c r="C581" s="11" t="str">
        <f t="shared" si="36"/>
        <v/>
      </c>
      <c r="D581" s="11" t="str">
        <f t="shared" si="37"/>
        <v/>
      </c>
      <c r="E581" s="45"/>
      <c r="F581" s="11" t="str">
        <f>IFERROR(VLOOKUP(E581,Category!$D$2:$E$600,2,FALSE),"")</f>
        <v/>
      </c>
      <c r="G581" s="45"/>
      <c r="H581" s="73"/>
      <c r="I581" s="18" t="str">
        <f t="shared" si="38"/>
        <v/>
      </c>
      <c r="J581" s="45"/>
      <c r="K581" s="45"/>
    </row>
    <row r="582" spans="1:11">
      <c r="A582" s="17" t="str">
        <f t="shared" si="39"/>
        <v/>
      </c>
      <c r="B582" s="53"/>
      <c r="C582" s="11" t="str">
        <f t="shared" si="36"/>
        <v/>
      </c>
      <c r="D582" s="11" t="str">
        <f t="shared" si="37"/>
        <v/>
      </c>
      <c r="E582" s="45"/>
      <c r="F582" s="11" t="str">
        <f>IFERROR(VLOOKUP(E582,Category!$D$2:$E$600,2,FALSE),"")</f>
        <v/>
      </c>
      <c r="G582" s="45"/>
      <c r="H582" s="73"/>
      <c r="I582" s="18" t="str">
        <f t="shared" si="38"/>
        <v/>
      </c>
      <c r="J582" s="45"/>
      <c r="K582" s="45"/>
    </row>
    <row r="583" spans="1:11">
      <c r="A583" s="17" t="str">
        <f t="shared" si="39"/>
        <v/>
      </c>
      <c r="B583" s="53"/>
      <c r="C583" s="11" t="str">
        <f t="shared" si="36"/>
        <v/>
      </c>
      <c r="D583" s="11" t="str">
        <f t="shared" si="37"/>
        <v/>
      </c>
      <c r="E583" s="45"/>
      <c r="F583" s="11" t="str">
        <f>IFERROR(VLOOKUP(E583,Category!$D$2:$E$600,2,FALSE),"")</f>
        <v/>
      </c>
      <c r="G583" s="45"/>
      <c r="H583" s="73"/>
      <c r="I583" s="18" t="str">
        <f t="shared" si="38"/>
        <v/>
      </c>
      <c r="J583" s="45"/>
      <c r="K583" s="45"/>
    </row>
    <row r="584" spans="1:11">
      <c r="A584" s="17" t="str">
        <f t="shared" si="39"/>
        <v/>
      </c>
      <c r="B584" s="53"/>
      <c r="C584" s="11" t="str">
        <f t="shared" si="36"/>
        <v/>
      </c>
      <c r="D584" s="11" t="str">
        <f t="shared" si="37"/>
        <v/>
      </c>
      <c r="E584" s="45"/>
      <c r="F584" s="11" t="str">
        <f>IFERROR(VLOOKUP(E584,Category!$D$2:$E$600,2,FALSE),"")</f>
        <v/>
      </c>
      <c r="G584" s="45"/>
      <c r="H584" s="73"/>
      <c r="I584" s="18" t="str">
        <f t="shared" si="38"/>
        <v/>
      </c>
      <c r="J584" s="45"/>
      <c r="K584" s="45"/>
    </row>
    <row r="585" spans="1:11">
      <c r="A585" s="17" t="str">
        <f t="shared" si="39"/>
        <v/>
      </c>
      <c r="B585" s="53"/>
      <c r="C585" s="11" t="str">
        <f t="shared" si="36"/>
        <v/>
      </c>
      <c r="D585" s="11" t="str">
        <f t="shared" si="37"/>
        <v/>
      </c>
      <c r="E585" s="45"/>
      <c r="F585" s="11" t="str">
        <f>IFERROR(VLOOKUP(E585,Category!$D$2:$E$600,2,FALSE),"")</f>
        <v/>
      </c>
      <c r="G585" s="45"/>
      <c r="H585" s="73"/>
      <c r="I585" s="18" t="str">
        <f t="shared" si="38"/>
        <v/>
      </c>
      <c r="J585" s="45"/>
      <c r="K585" s="45"/>
    </row>
    <row r="586" spans="1:11">
      <c r="A586" s="17" t="str">
        <f t="shared" si="39"/>
        <v/>
      </c>
      <c r="B586" s="53"/>
      <c r="C586" s="11" t="str">
        <f t="shared" si="36"/>
        <v/>
      </c>
      <c r="D586" s="11" t="str">
        <f t="shared" si="37"/>
        <v/>
      </c>
      <c r="E586" s="45"/>
      <c r="F586" s="11" t="str">
        <f>IFERROR(VLOOKUP(E586,Category!$D$2:$E$600,2,FALSE),"")</f>
        <v/>
      </c>
      <c r="G586" s="45"/>
      <c r="H586" s="73"/>
      <c r="I586" s="18" t="str">
        <f t="shared" si="38"/>
        <v/>
      </c>
      <c r="J586" s="45"/>
      <c r="K586" s="45"/>
    </row>
    <row r="587" spans="1:11">
      <c r="A587" s="17" t="str">
        <f t="shared" si="39"/>
        <v/>
      </c>
      <c r="B587" s="53"/>
      <c r="C587" s="11" t="str">
        <f t="shared" si="36"/>
        <v/>
      </c>
      <c r="D587" s="11" t="str">
        <f t="shared" si="37"/>
        <v/>
      </c>
      <c r="E587" s="45"/>
      <c r="F587" s="11" t="str">
        <f>IFERROR(VLOOKUP(E587,Category!$D$2:$E$600,2,FALSE),"")</f>
        <v/>
      </c>
      <c r="G587" s="45"/>
      <c r="H587" s="73"/>
      <c r="I587" s="18" t="str">
        <f t="shared" si="38"/>
        <v/>
      </c>
      <c r="J587" s="45"/>
      <c r="K587" s="45"/>
    </row>
    <row r="588" spans="1:11">
      <c r="A588" s="17" t="str">
        <f t="shared" si="39"/>
        <v/>
      </c>
      <c r="B588" s="53"/>
      <c r="C588" s="11" t="str">
        <f t="shared" si="36"/>
        <v/>
      </c>
      <c r="D588" s="11" t="str">
        <f t="shared" si="37"/>
        <v/>
      </c>
      <c r="E588" s="45"/>
      <c r="F588" s="11" t="str">
        <f>IFERROR(VLOOKUP(E588,Category!$D$2:$E$600,2,FALSE),"")</f>
        <v/>
      </c>
      <c r="G588" s="45"/>
      <c r="H588" s="73"/>
      <c r="I588" s="18" t="str">
        <f t="shared" si="38"/>
        <v/>
      </c>
      <c r="J588" s="45"/>
      <c r="K588" s="45"/>
    </row>
    <row r="589" spans="1:11">
      <c r="A589" s="17" t="str">
        <f t="shared" si="39"/>
        <v/>
      </c>
      <c r="B589" s="53"/>
      <c r="C589" s="11" t="str">
        <f t="shared" si="36"/>
        <v/>
      </c>
      <c r="D589" s="11" t="str">
        <f t="shared" si="37"/>
        <v/>
      </c>
      <c r="E589" s="45"/>
      <c r="F589" s="11" t="str">
        <f>IFERROR(VLOOKUP(E589,Category!$D$2:$E$600,2,FALSE),"")</f>
        <v/>
      </c>
      <c r="G589" s="45"/>
      <c r="H589" s="73"/>
      <c r="I589" s="18" t="str">
        <f t="shared" si="38"/>
        <v/>
      </c>
      <c r="J589" s="45"/>
      <c r="K589" s="45"/>
    </row>
    <row r="590" spans="1:11">
      <c r="A590" s="17" t="str">
        <f t="shared" si="39"/>
        <v/>
      </c>
      <c r="B590" s="53"/>
      <c r="C590" s="11" t="str">
        <f t="shared" si="36"/>
        <v/>
      </c>
      <c r="D590" s="11" t="str">
        <f t="shared" si="37"/>
        <v/>
      </c>
      <c r="E590" s="45"/>
      <c r="F590" s="11" t="str">
        <f>IFERROR(VLOOKUP(E590,Category!$D$2:$E$600,2,FALSE),"")</f>
        <v/>
      </c>
      <c r="G590" s="45"/>
      <c r="H590" s="73"/>
      <c r="I590" s="18" t="str">
        <f t="shared" si="38"/>
        <v/>
      </c>
      <c r="J590" s="45"/>
      <c r="K590" s="45"/>
    </row>
    <row r="591" spans="1:11">
      <c r="A591" s="17" t="str">
        <f t="shared" si="39"/>
        <v/>
      </c>
      <c r="B591" s="53"/>
      <c r="C591" s="11" t="str">
        <f t="shared" si="36"/>
        <v/>
      </c>
      <c r="D591" s="11" t="str">
        <f t="shared" si="37"/>
        <v/>
      </c>
      <c r="E591" s="45"/>
      <c r="F591" s="11" t="str">
        <f>IFERROR(VLOOKUP(E591,Category!$D$2:$E$600,2,FALSE),"")</f>
        <v/>
      </c>
      <c r="G591" s="45"/>
      <c r="H591" s="73"/>
      <c r="I591" s="18" t="str">
        <f t="shared" si="38"/>
        <v/>
      </c>
      <c r="J591" s="45"/>
      <c r="K591" s="45"/>
    </row>
    <row r="592" spans="1:11">
      <c r="A592" s="17" t="str">
        <f t="shared" si="39"/>
        <v/>
      </c>
      <c r="B592" s="53"/>
      <c r="C592" s="11" t="str">
        <f t="shared" si="36"/>
        <v/>
      </c>
      <c r="D592" s="11" t="str">
        <f t="shared" si="37"/>
        <v/>
      </c>
      <c r="E592" s="45"/>
      <c r="F592" s="11" t="str">
        <f>IFERROR(VLOOKUP(E592,Category!$D$2:$E$600,2,FALSE),"")</f>
        <v/>
      </c>
      <c r="G592" s="45"/>
      <c r="H592" s="73"/>
      <c r="I592" s="18" t="str">
        <f t="shared" si="38"/>
        <v/>
      </c>
      <c r="J592" s="45"/>
      <c r="K592" s="45"/>
    </row>
    <row r="593" spans="1:11">
      <c r="A593" s="17" t="str">
        <f t="shared" si="39"/>
        <v/>
      </c>
      <c r="B593" s="53"/>
      <c r="C593" s="11" t="str">
        <f t="shared" si="36"/>
        <v/>
      </c>
      <c r="D593" s="11" t="str">
        <f t="shared" si="37"/>
        <v/>
      </c>
      <c r="E593" s="45"/>
      <c r="F593" s="11" t="str">
        <f>IFERROR(VLOOKUP(E593,Category!$D$2:$E$600,2,FALSE),"")</f>
        <v/>
      </c>
      <c r="G593" s="45"/>
      <c r="H593" s="73"/>
      <c r="I593" s="18" t="str">
        <f t="shared" si="38"/>
        <v/>
      </c>
      <c r="J593" s="45"/>
      <c r="K593" s="45"/>
    </row>
    <row r="594" spans="1:11">
      <c r="A594" s="17" t="str">
        <f t="shared" si="39"/>
        <v/>
      </c>
      <c r="B594" s="53"/>
      <c r="C594" s="11" t="str">
        <f t="shared" si="36"/>
        <v/>
      </c>
      <c r="D594" s="11" t="str">
        <f t="shared" si="37"/>
        <v/>
      </c>
      <c r="E594" s="45"/>
      <c r="F594" s="11" t="str">
        <f>IFERROR(VLOOKUP(E594,Category!$D$2:$E$600,2,FALSE),"")</f>
        <v/>
      </c>
      <c r="G594" s="45"/>
      <c r="H594" s="73"/>
      <c r="I594" s="18" t="str">
        <f t="shared" si="38"/>
        <v/>
      </c>
      <c r="J594" s="45"/>
      <c r="K594" s="45"/>
    </row>
    <row r="595" spans="1:11">
      <c r="A595" s="17" t="str">
        <f t="shared" si="39"/>
        <v/>
      </c>
      <c r="B595" s="53"/>
      <c r="C595" s="11" t="str">
        <f t="shared" si="36"/>
        <v/>
      </c>
      <c r="D595" s="11" t="str">
        <f t="shared" si="37"/>
        <v/>
      </c>
      <c r="E595" s="45"/>
      <c r="F595" s="11" t="str">
        <f>IFERROR(VLOOKUP(E595,Category!$D$2:$E$600,2,FALSE),"")</f>
        <v/>
      </c>
      <c r="G595" s="45"/>
      <c r="H595" s="73"/>
      <c r="I595" s="18" t="str">
        <f t="shared" si="38"/>
        <v/>
      </c>
      <c r="J595" s="45"/>
      <c r="K595" s="45"/>
    </row>
    <row r="596" spans="1:11">
      <c r="A596" s="17" t="str">
        <f t="shared" si="39"/>
        <v/>
      </c>
      <c r="B596" s="53"/>
      <c r="C596" s="11" t="str">
        <f t="shared" si="36"/>
        <v/>
      </c>
      <c r="D596" s="11" t="str">
        <f t="shared" si="37"/>
        <v/>
      </c>
      <c r="E596" s="45"/>
      <c r="F596" s="11" t="str">
        <f>IFERROR(VLOOKUP(E596,Category!$D$2:$E$600,2,FALSE),"")</f>
        <v/>
      </c>
      <c r="G596" s="45"/>
      <c r="H596" s="73"/>
      <c r="I596" s="18" t="str">
        <f t="shared" si="38"/>
        <v/>
      </c>
      <c r="J596" s="45"/>
      <c r="K596" s="45"/>
    </row>
    <row r="597" spans="1:11">
      <c r="A597" s="17" t="str">
        <f t="shared" si="39"/>
        <v/>
      </c>
      <c r="B597" s="53"/>
      <c r="C597" s="11" t="str">
        <f t="shared" si="36"/>
        <v/>
      </c>
      <c r="D597" s="11" t="str">
        <f t="shared" si="37"/>
        <v/>
      </c>
      <c r="E597" s="45"/>
      <c r="F597" s="11" t="str">
        <f>IFERROR(VLOOKUP(E597,Category!$D$2:$E$600,2,FALSE),"")</f>
        <v/>
      </c>
      <c r="G597" s="45"/>
      <c r="H597" s="73"/>
      <c r="I597" s="18" t="str">
        <f t="shared" si="38"/>
        <v/>
      </c>
      <c r="J597" s="45"/>
      <c r="K597" s="45"/>
    </row>
    <row r="598" spans="1:11">
      <c r="A598" s="17" t="str">
        <f t="shared" si="39"/>
        <v/>
      </c>
      <c r="B598" s="53"/>
      <c r="C598" s="11" t="str">
        <f t="shared" si="36"/>
        <v/>
      </c>
      <c r="D598" s="11" t="str">
        <f t="shared" si="37"/>
        <v/>
      </c>
      <c r="E598" s="45"/>
      <c r="F598" s="11" t="str">
        <f>IFERROR(VLOOKUP(E598,Category!$D$2:$E$600,2,FALSE),"")</f>
        <v/>
      </c>
      <c r="G598" s="45"/>
      <c r="H598" s="73"/>
      <c r="I598" s="18" t="str">
        <f t="shared" si="38"/>
        <v/>
      </c>
      <c r="J598" s="45"/>
      <c r="K598" s="45"/>
    </row>
    <row r="599" spans="1:11">
      <c r="A599" s="17" t="str">
        <f t="shared" si="39"/>
        <v/>
      </c>
      <c r="B599" s="53"/>
      <c r="C599" s="11" t="str">
        <f t="shared" si="36"/>
        <v/>
      </c>
      <c r="D599" s="11" t="str">
        <f t="shared" si="37"/>
        <v/>
      </c>
      <c r="E599" s="45"/>
      <c r="F599" s="11" t="str">
        <f>IFERROR(VLOOKUP(E599,Category!$D$2:$E$600,2,FALSE),"")</f>
        <v/>
      </c>
      <c r="G599" s="45"/>
      <c r="H599" s="73"/>
      <c r="I599" s="18" t="str">
        <f t="shared" si="38"/>
        <v/>
      </c>
      <c r="J599" s="45"/>
      <c r="K599" s="45"/>
    </row>
    <row r="600" spans="1:11">
      <c r="A600" s="17" t="str">
        <f t="shared" si="39"/>
        <v/>
      </c>
      <c r="B600" s="53"/>
      <c r="C600" s="11" t="str">
        <f t="shared" si="36"/>
        <v/>
      </c>
      <c r="D600" s="11" t="str">
        <f t="shared" si="37"/>
        <v/>
      </c>
      <c r="E600" s="45"/>
      <c r="F600" s="11" t="str">
        <f>IFERROR(VLOOKUP(E600,Category!$D$2:$E$600,2,FALSE),"")</f>
        <v/>
      </c>
      <c r="G600" s="45"/>
      <c r="H600" s="73"/>
      <c r="I600" s="18" t="str">
        <f t="shared" si="38"/>
        <v/>
      </c>
      <c r="J600" s="45"/>
      <c r="K600" s="45"/>
    </row>
    <row r="601" spans="1:11">
      <c r="A601" s="17" t="str">
        <f t="shared" si="39"/>
        <v/>
      </c>
      <c r="B601" s="53"/>
      <c r="C601" s="11" t="str">
        <f t="shared" si="36"/>
        <v/>
      </c>
      <c r="D601" s="11" t="str">
        <f t="shared" si="37"/>
        <v/>
      </c>
      <c r="E601" s="45"/>
      <c r="F601" s="11" t="str">
        <f>IFERROR(VLOOKUP(E601,Category!$D$2:$E$600,2,FALSE),"")</f>
        <v/>
      </c>
      <c r="G601" s="45"/>
      <c r="H601" s="73"/>
      <c r="I601" s="18" t="str">
        <f t="shared" si="38"/>
        <v/>
      </c>
      <c r="J601" s="45"/>
      <c r="K601" s="45"/>
    </row>
    <row r="602" spans="1:11">
      <c r="A602" s="17" t="str">
        <f t="shared" si="39"/>
        <v/>
      </c>
      <c r="B602" s="53"/>
      <c r="C602" s="11" t="str">
        <f t="shared" si="36"/>
        <v/>
      </c>
      <c r="D602" s="11" t="str">
        <f t="shared" si="37"/>
        <v/>
      </c>
      <c r="E602" s="45"/>
      <c r="F602" s="11" t="str">
        <f>IFERROR(VLOOKUP(E602,Category!$D$2:$E$600,2,FALSE),"")</f>
        <v/>
      </c>
      <c r="G602" s="45"/>
      <c r="H602" s="73"/>
      <c r="I602" s="18" t="str">
        <f t="shared" si="38"/>
        <v/>
      </c>
      <c r="J602" s="45"/>
      <c r="K602" s="45"/>
    </row>
    <row r="603" spans="1:11">
      <c r="A603" s="17" t="str">
        <f t="shared" si="39"/>
        <v/>
      </c>
      <c r="B603" s="53"/>
      <c r="C603" s="11" t="str">
        <f t="shared" si="36"/>
        <v/>
      </c>
      <c r="D603" s="11" t="str">
        <f t="shared" si="37"/>
        <v/>
      </c>
      <c r="E603" s="45"/>
      <c r="F603" s="11" t="str">
        <f>IFERROR(VLOOKUP(E603,Category!$D$2:$E$600,2,FALSE),"")</f>
        <v/>
      </c>
      <c r="G603" s="45"/>
      <c r="H603" s="73"/>
      <c r="I603" s="18" t="str">
        <f t="shared" si="38"/>
        <v/>
      </c>
      <c r="J603" s="45"/>
      <c r="K603" s="45"/>
    </row>
    <row r="604" spans="1:11">
      <c r="A604" s="17" t="str">
        <f t="shared" si="39"/>
        <v/>
      </c>
      <c r="B604" s="53"/>
      <c r="C604" s="11" t="str">
        <f t="shared" si="36"/>
        <v/>
      </c>
      <c r="D604" s="11" t="str">
        <f t="shared" si="37"/>
        <v/>
      </c>
      <c r="E604" s="45"/>
      <c r="F604" s="11" t="str">
        <f>IFERROR(VLOOKUP(E604,Category!$D$2:$E$600,2,FALSE),"")</f>
        <v/>
      </c>
      <c r="G604" s="45"/>
      <c r="H604" s="73"/>
      <c r="I604" s="18" t="str">
        <f t="shared" si="38"/>
        <v/>
      </c>
      <c r="J604" s="45"/>
      <c r="K604" s="45"/>
    </row>
    <row r="605" spans="1:11">
      <c r="A605" s="17" t="str">
        <f t="shared" si="39"/>
        <v/>
      </c>
      <c r="B605" s="53"/>
      <c r="C605" s="11" t="str">
        <f t="shared" si="36"/>
        <v/>
      </c>
      <c r="D605" s="11" t="str">
        <f t="shared" si="37"/>
        <v/>
      </c>
      <c r="E605" s="45"/>
      <c r="F605" s="11" t="str">
        <f>IFERROR(VLOOKUP(E605,Category!$D$2:$E$600,2,FALSE),"")</f>
        <v/>
      </c>
      <c r="G605" s="45"/>
      <c r="H605" s="73"/>
      <c r="I605" s="18" t="str">
        <f t="shared" si="38"/>
        <v/>
      </c>
      <c r="J605" s="45"/>
      <c r="K605" s="45"/>
    </row>
    <row r="606" spans="1:11">
      <c r="A606" s="17" t="str">
        <f t="shared" si="39"/>
        <v/>
      </c>
      <c r="B606" s="53"/>
      <c r="C606" s="11" t="str">
        <f t="shared" si="36"/>
        <v/>
      </c>
      <c r="D606" s="11" t="str">
        <f t="shared" si="37"/>
        <v/>
      </c>
      <c r="E606" s="45"/>
      <c r="F606" s="11" t="str">
        <f>IFERROR(VLOOKUP(E606,Category!$D$2:$E$600,2,FALSE),"")</f>
        <v/>
      </c>
      <c r="G606" s="45"/>
      <c r="H606" s="73"/>
      <c r="I606" s="18" t="str">
        <f t="shared" si="38"/>
        <v/>
      </c>
      <c r="J606" s="45"/>
      <c r="K606" s="45"/>
    </row>
    <row r="607" spans="1:11">
      <c r="A607" s="17" t="str">
        <f t="shared" si="39"/>
        <v/>
      </c>
      <c r="B607" s="53"/>
      <c r="C607" s="11" t="str">
        <f t="shared" si="36"/>
        <v/>
      </c>
      <c r="D607" s="11" t="str">
        <f t="shared" si="37"/>
        <v/>
      </c>
      <c r="E607" s="45"/>
      <c r="F607" s="11" t="str">
        <f>IFERROR(VLOOKUP(E607,Category!$D$2:$E$600,2,FALSE),"")</f>
        <v/>
      </c>
      <c r="G607" s="45"/>
      <c r="H607" s="73"/>
      <c r="I607" s="18" t="str">
        <f t="shared" si="38"/>
        <v/>
      </c>
      <c r="J607" s="45"/>
      <c r="K607" s="45"/>
    </row>
    <row r="608" spans="1:11">
      <c r="A608" s="17" t="str">
        <f t="shared" si="39"/>
        <v/>
      </c>
      <c r="B608" s="53"/>
      <c r="C608" s="11" t="str">
        <f t="shared" si="36"/>
        <v/>
      </c>
      <c r="D608" s="11" t="str">
        <f t="shared" si="37"/>
        <v/>
      </c>
      <c r="E608" s="45"/>
      <c r="F608" s="11" t="str">
        <f>IFERROR(VLOOKUP(E608,Category!$D$2:$E$600,2,FALSE),"")</f>
        <v/>
      </c>
      <c r="G608" s="45"/>
      <c r="H608" s="73"/>
      <c r="I608" s="18" t="str">
        <f t="shared" si="38"/>
        <v/>
      </c>
      <c r="J608" s="45"/>
      <c r="K608" s="45"/>
    </row>
    <row r="609" spans="1:11">
      <c r="A609" s="17" t="str">
        <f t="shared" si="39"/>
        <v/>
      </c>
      <c r="B609" s="53"/>
      <c r="C609" s="11" t="str">
        <f t="shared" si="36"/>
        <v/>
      </c>
      <c r="D609" s="11" t="str">
        <f t="shared" si="37"/>
        <v/>
      </c>
      <c r="E609" s="45"/>
      <c r="F609" s="11" t="str">
        <f>IFERROR(VLOOKUP(E609,Category!$D$2:$E$600,2,FALSE),"")</f>
        <v/>
      </c>
      <c r="G609" s="45"/>
      <c r="H609" s="73"/>
      <c r="I609" s="18" t="str">
        <f t="shared" si="38"/>
        <v/>
      </c>
      <c r="J609" s="45"/>
      <c r="K609" s="45"/>
    </row>
    <row r="610" spans="1:11">
      <c r="A610" s="17" t="str">
        <f t="shared" si="39"/>
        <v/>
      </c>
      <c r="B610" s="53"/>
      <c r="C610" s="11" t="str">
        <f t="shared" si="36"/>
        <v/>
      </c>
      <c r="D610" s="11" t="str">
        <f t="shared" si="37"/>
        <v/>
      </c>
      <c r="E610" s="45"/>
      <c r="F610" s="11" t="str">
        <f>IFERROR(VLOOKUP(E610,Category!$D$2:$E$600,2,FALSE),"")</f>
        <v/>
      </c>
      <c r="G610" s="45"/>
      <c r="H610" s="73"/>
      <c r="I610" s="18" t="str">
        <f t="shared" si="38"/>
        <v/>
      </c>
      <c r="J610" s="45"/>
      <c r="K610" s="45"/>
    </row>
    <row r="611" spans="1:11">
      <c r="A611" s="17" t="str">
        <f t="shared" si="39"/>
        <v/>
      </c>
      <c r="B611" s="53"/>
      <c r="C611" s="11" t="str">
        <f t="shared" si="36"/>
        <v/>
      </c>
      <c r="D611" s="11" t="str">
        <f t="shared" si="37"/>
        <v/>
      </c>
      <c r="E611" s="45"/>
      <c r="F611" s="11" t="str">
        <f>IFERROR(VLOOKUP(E611,Category!$D$2:$E$600,2,FALSE),"")</f>
        <v/>
      </c>
      <c r="G611" s="45"/>
      <c r="H611" s="73"/>
      <c r="I611" s="18" t="str">
        <f t="shared" si="38"/>
        <v/>
      </c>
      <c r="J611" s="45"/>
      <c r="K611" s="45"/>
    </row>
    <row r="612" spans="1:11">
      <c r="A612" s="17" t="str">
        <f t="shared" si="39"/>
        <v/>
      </c>
      <c r="B612" s="53"/>
      <c r="C612" s="11" t="str">
        <f t="shared" si="36"/>
        <v/>
      </c>
      <c r="D612" s="11" t="str">
        <f t="shared" si="37"/>
        <v/>
      </c>
      <c r="E612" s="45"/>
      <c r="F612" s="11" t="str">
        <f>IFERROR(VLOOKUP(E612,Category!$D$2:$E$600,2,FALSE),"")</f>
        <v/>
      </c>
      <c r="G612" s="45"/>
      <c r="H612" s="73"/>
      <c r="I612" s="18" t="str">
        <f t="shared" si="38"/>
        <v/>
      </c>
      <c r="J612" s="45"/>
      <c r="K612" s="45"/>
    </row>
    <row r="613" spans="1:11">
      <c r="A613" s="17" t="str">
        <f t="shared" si="39"/>
        <v/>
      </c>
      <c r="B613" s="53"/>
      <c r="C613" s="11" t="str">
        <f t="shared" si="36"/>
        <v/>
      </c>
      <c r="D613" s="11" t="str">
        <f t="shared" si="37"/>
        <v/>
      </c>
      <c r="E613" s="45"/>
      <c r="F613" s="11" t="str">
        <f>IFERROR(VLOOKUP(E613,Category!$D$2:$E$600,2,FALSE),"")</f>
        <v/>
      </c>
      <c r="G613" s="45"/>
      <c r="H613" s="73"/>
      <c r="I613" s="18" t="str">
        <f t="shared" si="38"/>
        <v/>
      </c>
      <c r="J613" s="45"/>
      <c r="K613" s="45"/>
    </row>
    <row r="614" spans="1:11">
      <c r="A614" s="17" t="str">
        <f t="shared" si="39"/>
        <v/>
      </c>
      <c r="B614" s="53"/>
      <c r="C614" s="11" t="str">
        <f t="shared" si="36"/>
        <v/>
      </c>
      <c r="D614" s="11" t="str">
        <f t="shared" si="37"/>
        <v/>
      </c>
      <c r="E614" s="45"/>
      <c r="F614" s="11" t="str">
        <f>IFERROR(VLOOKUP(E614,Category!$D$2:$E$600,2,FALSE),"")</f>
        <v/>
      </c>
      <c r="G614" s="45"/>
      <c r="H614" s="73"/>
      <c r="I614" s="18" t="str">
        <f t="shared" si="38"/>
        <v/>
      </c>
      <c r="J614" s="45"/>
      <c r="K614" s="45"/>
    </row>
    <row r="615" spans="1:11">
      <c r="A615" s="17" t="str">
        <f t="shared" si="39"/>
        <v/>
      </c>
      <c r="B615" s="53"/>
      <c r="C615" s="11" t="str">
        <f t="shared" si="36"/>
        <v/>
      </c>
      <c r="D615" s="11" t="str">
        <f t="shared" si="37"/>
        <v/>
      </c>
      <c r="E615" s="45"/>
      <c r="F615" s="11" t="str">
        <f>IFERROR(VLOOKUP(E615,Category!$D$2:$E$600,2,FALSE),"")</f>
        <v/>
      </c>
      <c r="G615" s="45"/>
      <c r="H615" s="73"/>
      <c r="I615" s="18" t="str">
        <f t="shared" si="38"/>
        <v/>
      </c>
      <c r="J615" s="45"/>
      <c r="K615" s="45"/>
    </row>
    <row r="616" spans="1:11">
      <c r="A616" s="17" t="str">
        <f t="shared" si="39"/>
        <v/>
      </c>
      <c r="B616" s="53"/>
      <c r="C616" s="11" t="str">
        <f t="shared" si="36"/>
        <v/>
      </c>
      <c r="D616" s="11" t="str">
        <f t="shared" si="37"/>
        <v/>
      </c>
      <c r="E616" s="45"/>
      <c r="F616" s="11" t="str">
        <f>IFERROR(VLOOKUP(E616,Category!$D$2:$E$600,2,FALSE),"")</f>
        <v/>
      </c>
      <c r="G616" s="45"/>
      <c r="H616" s="73"/>
      <c r="I616" s="18" t="str">
        <f t="shared" si="38"/>
        <v/>
      </c>
      <c r="J616" s="45"/>
      <c r="K616" s="45"/>
    </row>
    <row r="617" spans="1:11">
      <c r="A617" s="17" t="str">
        <f t="shared" si="39"/>
        <v/>
      </c>
      <c r="B617" s="53"/>
      <c r="C617" s="11" t="str">
        <f t="shared" si="36"/>
        <v/>
      </c>
      <c r="D617" s="11" t="str">
        <f t="shared" si="37"/>
        <v/>
      </c>
      <c r="E617" s="45"/>
      <c r="F617" s="11" t="str">
        <f>IFERROR(VLOOKUP(E617,Category!$D$2:$E$600,2,FALSE),"")</f>
        <v/>
      </c>
      <c r="G617" s="45"/>
      <c r="H617" s="73"/>
      <c r="I617" s="18" t="str">
        <f t="shared" si="38"/>
        <v/>
      </c>
      <c r="J617" s="45"/>
      <c r="K617" s="45"/>
    </row>
    <row r="618" spans="1:11">
      <c r="A618" s="17" t="str">
        <f t="shared" si="39"/>
        <v/>
      </c>
      <c r="B618" s="53"/>
      <c r="C618" s="11" t="str">
        <f t="shared" si="36"/>
        <v/>
      </c>
      <c r="D618" s="11" t="str">
        <f t="shared" si="37"/>
        <v/>
      </c>
      <c r="E618" s="45"/>
      <c r="F618" s="11" t="str">
        <f>IFERROR(VLOOKUP(E618,Category!$D$2:$E$600,2,FALSE),"")</f>
        <v/>
      </c>
      <c r="G618" s="45"/>
      <c r="H618" s="73"/>
      <c r="I618" s="18" t="str">
        <f t="shared" si="38"/>
        <v/>
      </c>
      <c r="J618" s="45"/>
      <c r="K618" s="45"/>
    </row>
    <row r="619" spans="1:11">
      <c r="A619" s="17" t="str">
        <f t="shared" si="39"/>
        <v/>
      </c>
      <c r="B619" s="53"/>
      <c r="C619" s="11" t="str">
        <f t="shared" si="36"/>
        <v/>
      </c>
      <c r="D619" s="11" t="str">
        <f t="shared" si="37"/>
        <v/>
      </c>
      <c r="E619" s="45"/>
      <c r="F619" s="11" t="str">
        <f>IFERROR(VLOOKUP(E619,Category!$D$2:$E$600,2,FALSE),"")</f>
        <v/>
      </c>
      <c r="G619" s="45"/>
      <c r="H619" s="73"/>
      <c r="I619" s="18" t="str">
        <f t="shared" si="38"/>
        <v/>
      </c>
      <c r="J619" s="45"/>
      <c r="K619" s="45"/>
    </row>
    <row r="620" spans="1:11">
      <c r="A620" s="17" t="str">
        <f t="shared" si="39"/>
        <v/>
      </c>
      <c r="B620" s="53"/>
      <c r="C620" s="11" t="str">
        <f t="shared" si="36"/>
        <v/>
      </c>
      <c r="D620" s="11" t="str">
        <f t="shared" si="37"/>
        <v/>
      </c>
      <c r="E620" s="45"/>
      <c r="F620" s="11" t="str">
        <f>IFERROR(VLOOKUP(E620,Category!$D$2:$E$600,2,FALSE),"")</f>
        <v/>
      </c>
      <c r="G620" s="45"/>
      <c r="H620" s="73"/>
      <c r="I620" s="18" t="str">
        <f t="shared" si="38"/>
        <v/>
      </c>
      <c r="J620" s="45"/>
      <c r="K620" s="45"/>
    </row>
    <row r="621" spans="1:11">
      <c r="A621" s="17" t="str">
        <f t="shared" si="39"/>
        <v/>
      </c>
      <c r="B621" s="53"/>
      <c r="C621" s="11" t="str">
        <f t="shared" si="36"/>
        <v/>
      </c>
      <c r="D621" s="11" t="str">
        <f t="shared" si="37"/>
        <v/>
      </c>
      <c r="E621" s="45"/>
      <c r="F621" s="11" t="str">
        <f>IFERROR(VLOOKUP(E621,Category!$D$2:$E$600,2,FALSE),"")</f>
        <v/>
      </c>
      <c r="G621" s="45"/>
      <c r="H621" s="73"/>
      <c r="I621" s="18" t="str">
        <f t="shared" si="38"/>
        <v/>
      </c>
      <c r="J621" s="45"/>
      <c r="K621" s="45"/>
    </row>
    <row r="622" spans="1:11">
      <c r="A622" s="17" t="str">
        <f t="shared" si="39"/>
        <v/>
      </c>
      <c r="B622" s="53"/>
      <c r="C622" s="11" t="str">
        <f t="shared" si="36"/>
        <v/>
      </c>
      <c r="D622" s="11" t="str">
        <f t="shared" si="37"/>
        <v/>
      </c>
      <c r="E622" s="45"/>
      <c r="F622" s="11" t="str">
        <f>IFERROR(VLOOKUP(E622,Category!$D$2:$E$600,2,FALSE),"")</f>
        <v/>
      </c>
      <c r="G622" s="45"/>
      <c r="H622" s="73"/>
      <c r="I622" s="18" t="str">
        <f t="shared" si="38"/>
        <v/>
      </c>
      <c r="J622" s="45"/>
      <c r="K622" s="45"/>
    </row>
    <row r="623" spans="1:11">
      <c r="A623" s="17" t="str">
        <f t="shared" si="39"/>
        <v/>
      </c>
      <c r="B623" s="53"/>
      <c r="C623" s="11" t="str">
        <f t="shared" si="36"/>
        <v/>
      </c>
      <c r="D623" s="11" t="str">
        <f t="shared" si="37"/>
        <v/>
      </c>
      <c r="E623" s="45"/>
      <c r="F623" s="11" t="str">
        <f>IFERROR(VLOOKUP(E623,Category!$D$2:$E$600,2,FALSE),"")</f>
        <v/>
      </c>
      <c r="G623" s="45"/>
      <c r="H623" s="73"/>
      <c r="I623" s="18" t="str">
        <f t="shared" si="38"/>
        <v/>
      </c>
      <c r="J623" s="45"/>
      <c r="K623" s="45"/>
    </row>
    <row r="624" spans="1:11">
      <c r="A624" s="17" t="str">
        <f t="shared" si="39"/>
        <v/>
      </c>
      <c r="B624" s="53"/>
      <c r="C624" s="11" t="str">
        <f t="shared" si="36"/>
        <v/>
      </c>
      <c r="D624" s="11" t="str">
        <f t="shared" si="37"/>
        <v/>
      </c>
      <c r="E624" s="45"/>
      <c r="F624" s="11" t="str">
        <f>IFERROR(VLOOKUP(E624,Category!$D$2:$E$600,2,FALSE),"")</f>
        <v/>
      </c>
      <c r="G624" s="45"/>
      <c r="H624" s="73"/>
      <c r="I624" s="18" t="str">
        <f t="shared" si="38"/>
        <v/>
      </c>
      <c r="J624" s="45"/>
      <c r="K624" s="45"/>
    </row>
    <row r="625" spans="1:11">
      <c r="A625" s="17" t="str">
        <f t="shared" si="39"/>
        <v/>
      </c>
      <c r="B625" s="53"/>
      <c r="C625" s="11" t="str">
        <f t="shared" si="36"/>
        <v/>
      </c>
      <c r="D625" s="11" t="str">
        <f t="shared" si="37"/>
        <v/>
      </c>
      <c r="E625" s="45"/>
      <c r="F625" s="11" t="str">
        <f>IFERROR(VLOOKUP(E625,Category!$D$2:$E$600,2,FALSE),"")</f>
        <v/>
      </c>
      <c r="G625" s="45"/>
      <c r="H625" s="73"/>
      <c r="I625" s="18" t="str">
        <f t="shared" si="38"/>
        <v/>
      </c>
      <c r="J625" s="45"/>
      <c r="K625" s="45"/>
    </row>
    <row r="626" spans="1:11">
      <c r="A626" s="17" t="str">
        <f t="shared" si="39"/>
        <v/>
      </c>
      <c r="B626" s="53"/>
      <c r="C626" s="11" t="str">
        <f t="shared" si="36"/>
        <v/>
      </c>
      <c r="D626" s="11" t="str">
        <f t="shared" si="37"/>
        <v/>
      </c>
      <c r="E626" s="45"/>
      <c r="F626" s="11" t="str">
        <f>IFERROR(VLOOKUP(E626,Category!$D$2:$E$600,2,FALSE),"")</f>
        <v/>
      </c>
      <c r="G626" s="45"/>
      <c r="H626" s="73"/>
      <c r="I626" s="18" t="str">
        <f t="shared" si="38"/>
        <v/>
      </c>
      <c r="J626" s="45"/>
      <c r="K626" s="45"/>
    </row>
    <row r="627" spans="1:11">
      <c r="A627" s="17" t="str">
        <f t="shared" si="39"/>
        <v/>
      </c>
      <c r="B627" s="53"/>
      <c r="C627" s="11" t="str">
        <f t="shared" si="36"/>
        <v/>
      </c>
      <c r="D627" s="11" t="str">
        <f t="shared" si="37"/>
        <v/>
      </c>
      <c r="E627" s="45"/>
      <c r="F627" s="11" t="str">
        <f>IFERROR(VLOOKUP(E627,Category!$D$2:$E$600,2,FALSE),"")</f>
        <v/>
      </c>
      <c r="G627" s="45"/>
      <c r="H627" s="73"/>
      <c r="I627" s="18" t="str">
        <f t="shared" si="38"/>
        <v/>
      </c>
      <c r="J627" s="45"/>
      <c r="K627" s="45"/>
    </row>
    <row r="628" spans="1:11">
      <c r="A628" s="17" t="str">
        <f t="shared" si="39"/>
        <v/>
      </c>
      <c r="B628" s="53"/>
      <c r="C628" s="11" t="str">
        <f t="shared" si="36"/>
        <v/>
      </c>
      <c r="D628" s="11" t="str">
        <f t="shared" si="37"/>
        <v/>
      </c>
      <c r="E628" s="45"/>
      <c r="F628" s="11" t="str">
        <f>IFERROR(VLOOKUP(E628,Category!$D$2:$E$600,2,FALSE),"")</f>
        <v/>
      </c>
      <c r="G628" s="45"/>
      <c r="H628" s="73"/>
      <c r="I628" s="18" t="str">
        <f t="shared" si="38"/>
        <v/>
      </c>
      <c r="J628" s="45"/>
      <c r="K628" s="45"/>
    </row>
    <row r="629" spans="1:11">
      <c r="A629" s="17" t="str">
        <f t="shared" si="39"/>
        <v/>
      </c>
      <c r="B629" s="53"/>
      <c r="C629" s="11" t="str">
        <f t="shared" si="36"/>
        <v/>
      </c>
      <c r="D629" s="11" t="str">
        <f t="shared" si="37"/>
        <v/>
      </c>
      <c r="E629" s="45"/>
      <c r="F629" s="11" t="str">
        <f>IFERROR(VLOOKUP(E629,Category!$D$2:$E$600,2,FALSE),"")</f>
        <v/>
      </c>
      <c r="G629" s="45"/>
      <c r="H629" s="73"/>
      <c r="I629" s="18" t="str">
        <f t="shared" si="38"/>
        <v/>
      </c>
      <c r="J629" s="45"/>
      <c r="K629" s="45"/>
    </row>
    <row r="630" spans="1:11">
      <c r="A630" s="17" t="str">
        <f t="shared" si="39"/>
        <v/>
      </c>
      <c r="B630" s="53"/>
      <c r="C630" s="11" t="str">
        <f t="shared" si="36"/>
        <v/>
      </c>
      <c r="D630" s="11" t="str">
        <f t="shared" si="37"/>
        <v/>
      </c>
      <c r="E630" s="45"/>
      <c r="F630" s="11" t="str">
        <f>IFERROR(VLOOKUP(E630,Category!$D$2:$E$600,2,FALSE),"")</f>
        <v/>
      </c>
      <c r="G630" s="45"/>
      <c r="H630" s="73"/>
      <c r="I630" s="18" t="str">
        <f t="shared" si="38"/>
        <v/>
      </c>
      <c r="J630" s="45"/>
      <c r="K630" s="45"/>
    </row>
    <row r="631" spans="1:11">
      <c r="A631" s="17" t="str">
        <f t="shared" si="39"/>
        <v/>
      </c>
      <c r="B631" s="53"/>
      <c r="C631" s="11" t="str">
        <f t="shared" si="36"/>
        <v/>
      </c>
      <c r="D631" s="11" t="str">
        <f t="shared" si="37"/>
        <v/>
      </c>
      <c r="E631" s="45"/>
      <c r="F631" s="11" t="str">
        <f>IFERROR(VLOOKUP(E631,Category!$D$2:$E$600,2,FALSE),"")</f>
        <v/>
      </c>
      <c r="G631" s="45"/>
      <c r="H631" s="73"/>
      <c r="I631" s="18" t="str">
        <f t="shared" si="38"/>
        <v/>
      </c>
      <c r="J631" s="45"/>
      <c r="K631" s="45"/>
    </row>
    <row r="632" spans="1:11">
      <c r="A632" s="17" t="str">
        <f t="shared" si="39"/>
        <v/>
      </c>
      <c r="B632" s="53"/>
      <c r="C632" s="11" t="str">
        <f t="shared" si="36"/>
        <v/>
      </c>
      <c r="D632" s="11" t="str">
        <f t="shared" si="37"/>
        <v/>
      </c>
      <c r="E632" s="45"/>
      <c r="F632" s="11" t="str">
        <f>IFERROR(VLOOKUP(E632,Category!$D$2:$E$600,2,FALSE),"")</f>
        <v/>
      </c>
      <c r="G632" s="45"/>
      <c r="H632" s="73"/>
      <c r="I632" s="18" t="str">
        <f t="shared" si="38"/>
        <v/>
      </c>
      <c r="J632" s="45"/>
      <c r="K632" s="45"/>
    </row>
    <row r="633" spans="1:11">
      <c r="A633" s="17" t="str">
        <f t="shared" si="39"/>
        <v/>
      </c>
      <c r="B633" s="53"/>
      <c r="C633" s="11" t="str">
        <f t="shared" si="36"/>
        <v/>
      </c>
      <c r="D633" s="11" t="str">
        <f t="shared" si="37"/>
        <v/>
      </c>
      <c r="E633" s="45"/>
      <c r="F633" s="11" t="str">
        <f>IFERROR(VLOOKUP(E633,Category!$D$2:$E$600,2,FALSE),"")</f>
        <v/>
      </c>
      <c r="G633" s="45"/>
      <c r="H633" s="73"/>
      <c r="I633" s="18" t="str">
        <f t="shared" si="38"/>
        <v/>
      </c>
      <c r="J633" s="45"/>
      <c r="K633" s="45"/>
    </row>
    <row r="634" spans="1:11">
      <c r="A634" s="17" t="str">
        <f t="shared" si="39"/>
        <v/>
      </c>
      <c r="B634" s="53"/>
      <c r="C634" s="11" t="str">
        <f t="shared" si="36"/>
        <v/>
      </c>
      <c r="D634" s="11" t="str">
        <f t="shared" si="37"/>
        <v/>
      </c>
      <c r="E634" s="45"/>
      <c r="F634" s="11" t="str">
        <f>IFERROR(VLOOKUP(E634,Category!$D$2:$E$600,2,FALSE),"")</f>
        <v/>
      </c>
      <c r="G634" s="45"/>
      <c r="H634" s="73"/>
      <c r="I634" s="18" t="str">
        <f t="shared" si="38"/>
        <v/>
      </c>
      <c r="J634" s="45"/>
      <c r="K634" s="45"/>
    </row>
    <row r="635" spans="1:11">
      <c r="A635" s="17" t="str">
        <f t="shared" si="39"/>
        <v/>
      </c>
      <c r="B635" s="53"/>
      <c r="C635" s="11" t="str">
        <f t="shared" si="36"/>
        <v/>
      </c>
      <c r="D635" s="11" t="str">
        <f t="shared" si="37"/>
        <v/>
      </c>
      <c r="E635" s="45"/>
      <c r="F635" s="11" t="str">
        <f>IFERROR(VLOOKUP(E635,Category!$D$2:$E$600,2,FALSE),"")</f>
        <v/>
      </c>
      <c r="G635" s="45"/>
      <c r="H635" s="73"/>
      <c r="I635" s="18" t="str">
        <f t="shared" si="38"/>
        <v/>
      </c>
      <c r="J635" s="45"/>
      <c r="K635" s="45"/>
    </row>
    <row r="636" spans="1:11">
      <c r="A636" s="17" t="str">
        <f t="shared" si="39"/>
        <v/>
      </c>
      <c r="B636" s="53"/>
      <c r="C636" s="11" t="str">
        <f t="shared" si="36"/>
        <v/>
      </c>
      <c r="D636" s="11" t="str">
        <f t="shared" si="37"/>
        <v/>
      </c>
      <c r="E636" s="45"/>
      <c r="F636" s="11" t="str">
        <f>IFERROR(VLOOKUP(E636,Category!$D$2:$E$600,2,FALSE),"")</f>
        <v/>
      </c>
      <c r="G636" s="45"/>
      <c r="H636" s="73"/>
      <c r="I636" s="18" t="str">
        <f t="shared" si="38"/>
        <v/>
      </c>
      <c r="J636" s="45"/>
      <c r="K636" s="45"/>
    </row>
    <row r="637" spans="1:11">
      <c r="A637" s="17" t="str">
        <f t="shared" si="39"/>
        <v/>
      </c>
      <c r="B637" s="53"/>
      <c r="C637" s="11" t="str">
        <f t="shared" si="36"/>
        <v/>
      </c>
      <c r="D637" s="11" t="str">
        <f t="shared" si="37"/>
        <v/>
      </c>
      <c r="E637" s="45"/>
      <c r="F637" s="11" t="str">
        <f>IFERROR(VLOOKUP(E637,Category!$D$2:$E$600,2,FALSE),"")</f>
        <v/>
      </c>
      <c r="G637" s="45"/>
      <c r="H637" s="73"/>
      <c r="I637" s="18" t="str">
        <f t="shared" si="38"/>
        <v/>
      </c>
      <c r="J637" s="45"/>
      <c r="K637" s="45"/>
    </row>
    <row r="638" spans="1:11">
      <c r="A638" s="17" t="str">
        <f t="shared" si="39"/>
        <v/>
      </c>
      <c r="B638" s="53"/>
      <c r="C638" s="11" t="str">
        <f t="shared" si="36"/>
        <v/>
      </c>
      <c r="D638" s="11" t="str">
        <f t="shared" si="37"/>
        <v/>
      </c>
      <c r="E638" s="45"/>
      <c r="F638" s="11" t="str">
        <f>IFERROR(VLOOKUP(E638,Category!$D$2:$E$600,2,FALSE),"")</f>
        <v/>
      </c>
      <c r="G638" s="45"/>
      <c r="H638" s="73"/>
      <c r="I638" s="18" t="str">
        <f t="shared" si="38"/>
        <v/>
      </c>
      <c r="J638" s="45"/>
      <c r="K638" s="45"/>
    </row>
    <row r="639" spans="1:11">
      <c r="A639" s="17" t="str">
        <f t="shared" si="39"/>
        <v/>
      </c>
      <c r="B639" s="53"/>
      <c r="C639" s="11" t="str">
        <f t="shared" si="36"/>
        <v/>
      </c>
      <c r="D639" s="11" t="str">
        <f t="shared" si="37"/>
        <v/>
      </c>
      <c r="E639" s="45"/>
      <c r="F639" s="11" t="str">
        <f>IFERROR(VLOOKUP(E639,Category!$D$2:$E$600,2,FALSE),"")</f>
        <v/>
      </c>
      <c r="G639" s="45"/>
      <c r="H639" s="73"/>
      <c r="I639" s="18" t="str">
        <f t="shared" si="38"/>
        <v/>
      </c>
      <c r="J639" s="45"/>
      <c r="K639" s="45"/>
    </row>
    <row r="640" spans="1:11">
      <c r="A640" s="17" t="str">
        <f t="shared" si="39"/>
        <v/>
      </c>
      <c r="B640" s="53"/>
      <c r="C640" s="11" t="str">
        <f t="shared" si="36"/>
        <v/>
      </c>
      <c r="D640" s="11" t="str">
        <f t="shared" si="37"/>
        <v/>
      </c>
      <c r="E640" s="45"/>
      <c r="F640" s="11" t="str">
        <f>IFERROR(VLOOKUP(E640,Category!$D$2:$E$600,2,FALSE),"")</f>
        <v/>
      </c>
      <c r="G640" s="45"/>
      <c r="H640" s="73"/>
      <c r="I640" s="18" t="str">
        <f t="shared" si="38"/>
        <v/>
      </c>
      <c r="J640" s="45"/>
      <c r="K640" s="45"/>
    </row>
    <row r="641" spans="1:11">
      <c r="A641" s="17" t="str">
        <f t="shared" si="39"/>
        <v/>
      </c>
      <c r="B641" s="53"/>
      <c r="C641" s="11" t="str">
        <f t="shared" si="36"/>
        <v/>
      </c>
      <c r="D641" s="11" t="str">
        <f t="shared" si="37"/>
        <v/>
      </c>
      <c r="E641" s="45"/>
      <c r="F641" s="11" t="str">
        <f>IFERROR(VLOOKUP(E641,Category!$D$2:$E$600,2,FALSE),"")</f>
        <v/>
      </c>
      <c r="G641" s="45"/>
      <c r="H641" s="73"/>
      <c r="I641" s="18" t="str">
        <f t="shared" si="38"/>
        <v/>
      </c>
      <c r="J641" s="45"/>
      <c r="K641" s="45"/>
    </row>
    <row r="642" spans="1:11">
      <c r="A642" s="17" t="str">
        <f t="shared" si="39"/>
        <v/>
      </c>
      <c r="B642" s="53"/>
      <c r="C642" s="11" t="str">
        <f t="shared" si="36"/>
        <v/>
      </c>
      <c r="D642" s="11" t="str">
        <f t="shared" si="37"/>
        <v/>
      </c>
      <c r="E642" s="45"/>
      <c r="F642" s="11" t="str">
        <f>IFERROR(VLOOKUP(E642,Category!$D$2:$E$600,2,FALSE),"")</f>
        <v/>
      </c>
      <c r="G642" s="45"/>
      <c r="H642" s="73"/>
      <c r="I642" s="18" t="str">
        <f t="shared" si="38"/>
        <v/>
      </c>
      <c r="J642" s="45"/>
      <c r="K642" s="45"/>
    </row>
    <row r="643" spans="1:11">
      <c r="A643" s="17" t="str">
        <f t="shared" si="39"/>
        <v/>
      </c>
      <c r="B643" s="53"/>
      <c r="C643" s="11" t="str">
        <f t="shared" ref="C643:C706" si="40">IF(B643=0,"",TEXT(B643,"mmmm"))</f>
        <v/>
      </c>
      <c r="D643" s="11" t="str">
        <f t="shared" ref="D643:D706" si="41">IF(B643=0,"",TEXT(B643,"yyyy"))</f>
        <v/>
      </c>
      <c r="E643" s="45"/>
      <c r="F643" s="11" t="str">
        <f>IFERROR(VLOOKUP(E643,Category!$D$2:$E$600,2,FALSE),"")</f>
        <v/>
      </c>
      <c r="G643" s="45"/>
      <c r="H643" s="73"/>
      <c r="I643" s="18" t="str">
        <f t="shared" ref="I643:I706" si="42">IF(G643*H643=0,"",G643*H643)</f>
        <v/>
      </c>
      <c r="J643" s="45"/>
      <c r="K643" s="45"/>
    </row>
    <row r="644" spans="1:11">
      <c r="A644" s="17" t="str">
        <f t="shared" ref="A644:A707" si="43">IF(E644&gt;0,A643+1,"")</f>
        <v/>
      </c>
      <c r="B644" s="53"/>
      <c r="C644" s="11" t="str">
        <f t="shared" si="40"/>
        <v/>
      </c>
      <c r="D644" s="11" t="str">
        <f t="shared" si="41"/>
        <v/>
      </c>
      <c r="E644" s="45"/>
      <c r="F644" s="11" t="str">
        <f>IFERROR(VLOOKUP(E644,Category!$D$2:$E$600,2,FALSE),"")</f>
        <v/>
      </c>
      <c r="G644" s="45"/>
      <c r="H644" s="73"/>
      <c r="I644" s="18" t="str">
        <f t="shared" si="42"/>
        <v/>
      </c>
      <c r="J644" s="45"/>
      <c r="K644" s="45"/>
    </row>
    <row r="645" spans="1:11">
      <c r="A645" s="17" t="str">
        <f t="shared" si="43"/>
        <v/>
      </c>
      <c r="B645" s="53"/>
      <c r="C645" s="11" t="str">
        <f t="shared" si="40"/>
        <v/>
      </c>
      <c r="D645" s="11" t="str">
        <f t="shared" si="41"/>
        <v/>
      </c>
      <c r="E645" s="45"/>
      <c r="F645" s="11" t="str">
        <f>IFERROR(VLOOKUP(E645,Category!$D$2:$E$600,2,FALSE),"")</f>
        <v/>
      </c>
      <c r="G645" s="45"/>
      <c r="H645" s="73"/>
      <c r="I645" s="18" t="str">
        <f t="shared" si="42"/>
        <v/>
      </c>
      <c r="J645" s="45"/>
      <c r="K645" s="45"/>
    </row>
    <row r="646" spans="1:11">
      <c r="A646" s="17" t="str">
        <f t="shared" si="43"/>
        <v/>
      </c>
      <c r="B646" s="53"/>
      <c r="C646" s="11" t="str">
        <f t="shared" si="40"/>
        <v/>
      </c>
      <c r="D646" s="11" t="str">
        <f t="shared" si="41"/>
        <v/>
      </c>
      <c r="E646" s="45"/>
      <c r="F646" s="11" t="str">
        <f>IFERROR(VLOOKUP(E646,Category!$D$2:$E$600,2,FALSE),"")</f>
        <v/>
      </c>
      <c r="G646" s="45"/>
      <c r="H646" s="73"/>
      <c r="I646" s="18" t="str">
        <f t="shared" si="42"/>
        <v/>
      </c>
      <c r="J646" s="45"/>
      <c r="K646" s="45"/>
    </row>
    <row r="647" spans="1:11">
      <c r="A647" s="17" t="str">
        <f t="shared" si="43"/>
        <v/>
      </c>
      <c r="B647" s="53"/>
      <c r="C647" s="11" t="str">
        <f t="shared" si="40"/>
        <v/>
      </c>
      <c r="D647" s="11" t="str">
        <f t="shared" si="41"/>
        <v/>
      </c>
      <c r="E647" s="45"/>
      <c r="F647" s="11" t="str">
        <f>IFERROR(VLOOKUP(E647,Category!$D$2:$E$600,2,FALSE),"")</f>
        <v/>
      </c>
      <c r="G647" s="45"/>
      <c r="H647" s="73"/>
      <c r="I647" s="18" t="str">
        <f t="shared" si="42"/>
        <v/>
      </c>
      <c r="J647" s="45"/>
      <c r="K647" s="45"/>
    </row>
    <row r="648" spans="1:11">
      <c r="A648" s="17" t="str">
        <f t="shared" si="43"/>
        <v/>
      </c>
      <c r="B648" s="53"/>
      <c r="C648" s="11" t="str">
        <f t="shared" si="40"/>
        <v/>
      </c>
      <c r="D648" s="11" t="str">
        <f t="shared" si="41"/>
        <v/>
      </c>
      <c r="E648" s="45"/>
      <c r="F648" s="11" t="str">
        <f>IFERROR(VLOOKUP(E648,Category!$D$2:$E$600,2,FALSE),"")</f>
        <v/>
      </c>
      <c r="G648" s="45"/>
      <c r="H648" s="73"/>
      <c r="I648" s="18" t="str">
        <f t="shared" si="42"/>
        <v/>
      </c>
      <c r="J648" s="45"/>
      <c r="K648" s="45"/>
    </row>
    <row r="649" spans="1:11">
      <c r="A649" s="17" t="str">
        <f t="shared" si="43"/>
        <v/>
      </c>
      <c r="B649" s="53"/>
      <c r="C649" s="11" t="str">
        <f t="shared" si="40"/>
        <v/>
      </c>
      <c r="D649" s="11" t="str">
        <f t="shared" si="41"/>
        <v/>
      </c>
      <c r="E649" s="45"/>
      <c r="F649" s="11" t="str">
        <f>IFERROR(VLOOKUP(E649,Category!$D$2:$E$600,2,FALSE),"")</f>
        <v/>
      </c>
      <c r="G649" s="45"/>
      <c r="H649" s="73"/>
      <c r="I649" s="18" t="str">
        <f t="shared" si="42"/>
        <v/>
      </c>
      <c r="J649" s="45"/>
      <c r="K649" s="45"/>
    </row>
    <row r="650" spans="1:11">
      <c r="A650" s="17" t="str">
        <f t="shared" si="43"/>
        <v/>
      </c>
      <c r="B650" s="53"/>
      <c r="C650" s="11" t="str">
        <f t="shared" si="40"/>
        <v/>
      </c>
      <c r="D650" s="11" t="str">
        <f t="shared" si="41"/>
        <v/>
      </c>
      <c r="E650" s="45"/>
      <c r="F650" s="11" t="str">
        <f>IFERROR(VLOOKUP(E650,Category!$D$2:$E$600,2,FALSE),"")</f>
        <v/>
      </c>
      <c r="G650" s="45"/>
      <c r="H650" s="73"/>
      <c r="I650" s="18" t="str">
        <f t="shared" si="42"/>
        <v/>
      </c>
      <c r="J650" s="45"/>
      <c r="K650" s="45"/>
    </row>
    <row r="651" spans="1:11">
      <c r="A651" s="17" t="str">
        <f t="shared" si="43"/>
        <v/>
      </c>
      <c r="B651" s="53"/>
      <c r="C651" s="11" t="str">
        <f t="shared" si="40"/>
        <v/>
      </c>
      <c r="D651" s="11" t="str">
        <f t="shared" si="41"/>
        <v/>
      </c>
      <c r="E651" s="45"/>
      <c r="F651" s="11" t="str">
        <f>IFERROR(VLOOKUP(E651,Category!$D$2:$E$600,2,FALSE),"")</f>
        <v/>
      </c>
      <c r="G651" s="45"/>
      <c r="H651" s="73"/>
      <c r="I651" s="18" t="str">
        <f t="shared" si="42"/>
        <v/>
      </c>
      <c r="J651" s="45"/>
      <c r="K651" s="45"/>
    </row>
    <row r="652" spans="1:11">
      <c r="A652" s="17" t="str">
        <f t="shared" si="43"/>
        <v/>
      </c>
      <c r="B652" s="53"/>
      <c r="C652" s="11" t="str">
        <f t="shared" si="40"/>
        <v/>
      </c>
      <c r="D652" s="11" t="str">
        <f t="shared" si="41"/>
        <v/>
      </c>
      <c r="E652" s="45"/>
      <c r="F652" s="11" t="str">
        <f>IFERROR(VLOOKUP(E652,Category!$D$2:$E$600,2,FALSE),"")</f>
        <v/>
      </c>
      <c r="G652" s="45"/>
      <c r="H652" s="73"/>
      <c r="I652" s="18" t="str">
        <f t="shared" si="42"/>
        <v/>
      </c>
      <c r="J652" s="45"/>
      <c r="K652" s="45"/>
    </row>
    <row r="653" spans="1:11">
      <c r="A653" s="17" t="str">
        <f t="shared" si="43"/>
        <v/>
      </c>
      <c r="B653" s="53"/>
      <c r="C653" s="11" t="str">
        <f t="shared" si="40"/>
        <v/>
      </c>
      <c r="D653" s="11" t="str">
        <f t="shared" si="41"/>
        <v/>
      </c>
      <c r="E653" s="45"/>
      <c r="F653" s="11" t="str">
        <f>IFERROR(VLOOKUP(E653,Category!$D$2:$E$600,2,FALSE),"")</f>
        <v/>
      </c>
      <c r="G653" s="45"/>
      <c r="H653" s="73"/>
      <c r="I653" s="18" t="str">
        <f t="shared" si="42"/>
        <v/>
      </c>
      <c r="J653" s="45"/>
      <c r="K653" s="45"/>
    </row>
    <row r="654" spans="1:11">
      <c r="A654" s="17" t="str">
        <f t="shared" si="43"/>
        <v/>
      </c>
      <c r="B654" s="53"/>
      <c r="C654" s="11" t="str">
        <f t="shared" si="40"/>
        <v/>
      </c>
      <c r="D654" s="11" t="str">
        <f t="shared" si="41"/>
        <v/>
      </c>
      <c r="E654" s="45"/>
      <c r="F654" s="11" t="str">
        <f>IFERROR(VLOOKUP(E654,Category!$D$2:$E$600,2,FALSE),"")</f>
        <v/>
      </c>
      <c r="G654" s="45"/>
      <c r="H654" s="73"/>
      <c r="I654" s="18" t="str">
        <f t="shared" si="42"/>
        <v/>
      </c>
      <c r="J654" s="45"/>
      <c r="K654" s="45"/>
    </row>
    <row r="655" spans="1:11">
      <c r="A655" s="17" t="str">
        <f t="shared" si="43"/>
        <v/>
      </c>
      <c r="B655" s="53"/>
      <c r="C655" s="11" t="str">
        <f t="shared" si="40"/>
        <v/>
      </c>
      <c r="D655" s="11" t="str">
        <f t="shared" si="41"/>
        <v/>
      </c>
      <c r="E655" s="45"/>
      <c r="F655" s="11" t="str">
        <f>IFERROR(VLOOKUP(E655,Category!$D$2:$E$600,2,FALSE),"")</f>
        <v/>
      </c>
      <c r="G655" s="45"/>
      <c r="H655" s="73"/>
      <c r="I655" s="18" t="str">
        <f t="shared" si="42"/>
        <v/>
      </c>
      <c r="J655" s="45"/>
      <c r="K655" s="45"/>
    </row>
    <row r="656" spans="1:11">
      <c r="A656" s="17" t="str">
        <f t="shared" si="43"/>
        <v/>
      </c>
      <c r="B656" s="53"/>
      <c r="C656" s="11" t="str">
        <f t="shared" si="40"/>
        <v/>
      </c>
      <c r="D656" s="11" t="str">
        <f t="shared" si="41"/>
        <v/>
      </c>
      <c r="E656" s="45"/>
      <c r="F656" s="11" t="str">
        <f>IFERROR(VLOOKUP(E656,Category!$D$2:$E$600,2,FALSE),"")</f>
        <v/>
      </c>
      <c r="G656" s="45"/>
      <c r="H656" s="73"/>
      <c r="I656" s="18" t="str">
        <f t="shared" si="42"/>
        <v/>
      </c>
      <c r="J656" s="45"/>
      <c r="K656" s="45"/>
    </row>
    <row r="657" spans="1:11">
      <c r="A657" s="17" t="str">
        <f t="shared" si="43"/>
        <v/>
      </c>
      <c r="B657" s="53"/>
      <c r="C657" s="11" t="str">
        <f t="shared" si="40"/>
        <v/>
      </c>
      <c r="D657" s="11" t="str">
        <f t="shared" si="41"/>
        <v/>
      </c>
      <c r="E657" s="45"/>
      <c r="F657" s="11" t="str">
        <f>IFERROR(VLOOKUP(E657,Category!$D$2:$E$600,2,FALSE),"")</f>
        <v/>
      </c>
      <c r="G657" s="45"/>
      <c r="H657" s="73"/>
      <c r="I657" s="18" t="str">
        <f t="shared" si="42"/>
        <v/>
      </c>
      <c r="J657" s="45"/>
      <c r="K657" s="45"/>
    </row>
    <row r="658" spans="1:11">
      <c r="A658" s="17" t="str">
        <f t="shared" si="43"/>
        <v/>
      </c>
      <c r="B658" s="53"/>
      <c r="C658" s="11" t="str">
        <f t="shared" si="40"/>
        <v/>
      </c>
      <c r="D658" s="11" t="str">
        <f t="shared" si="41"/>
        <v/>
      </c>
      <c r="E658" s="45"/>
      <c r="F658" s="11" t="str">
        <f>IFERROR(VLOOKUP(E658,Category!$D$2:$E$600,2,FALSE),"")</f>
        <v/>
      </c>
      <c r="G658" s="45"/>
      <c r="H658" s="73"/>
      <c r="I658" s="18" t="str">
        <f t="shared" si="42"/>
        <v/>
      </c>
      <c r="J658" s="45"/>
      <c r="K658" s="45"/>
    </row>
    <row r="659" spans="1:11">
      <c r="A659" s="17" t="str">
        <f t="shared" si="43"/>
        <v/>
      </c>
      <c r="B659" s="53"/>
      <c r="C659" s="11" t="str">
        <f t="shared" si="40"/>
        <v/>
      </c>
      <c r="D659" s="11" t="str">
        <f t="shared" si="41"/>
        <v/>
      </c>
      <c r="E659" s="45"/>
      <c r="F659" s="11" t="str">
        <f>IFERROR(VLOOKUP(E659,Category!$D$2:$E$600,2,FALSE),"")</f>
        <v/>
      </c>
      <c r="G659" s="45"/>
      <c r="H659" s="73"/>
      <c r="I659" s="18" t="str">
        <f t="shared" si="42"/>
        <v/>
      </c>
      <c r="J659" s="45"/>
      <c r="K659" s="45"/>
    </row>
    <row r="660" spans="1:11">
      <c r="A660" s="17" t="str">
        <f t="shared" si="43"/>
        <v/>
      </c>
      <c r="B660" s="53"/>
      <c r="C660" s="11" t="str">
        <f t="shared" si="40"/>
        <v/>
      </c>
      <c r="D660" s="11" t="str">
        <f t="shared" si="41"/>
        <v/>
      </c>
      <c r="E660" s="45"/>
      <c r="F660" s="11" t="str">
        <f>IFERROR(VLOOKUP(E660,Category!$D$2:$E$600,2,FALSE),"")</f>
        <v/>
      </c>
      <c r="G660" s="45"/>
      <c r="H660" s="73"/>
      <c r="I660" s="18" t="str">
        <f t="shared" si="42"/>
        <v/>
      </c>
      <c r="J660" s="45"/>
      <c r="K660" s="45"/>
    </row>
    <row r="661" spans="1:11">
      <c r="A661" s="17" t="str">
        <f t="shared" si="43"/>
        <v/>
      </c>
      <c r="B661" s="53"/>
      <c r="C661" s="11" t="str">
        <f t="shared" si="40"/>
        <v/>
      </c>
      <c r="D661" s="11" t="str">
        <f t="shared" si="41"/>
        <v/>
      </c>
      <c r="E661" s="45"/>
      <c r="F661" s="11" t="str">
        <f>IFERROR(VLOOKUP(E661,Category!$D$2:$E$600,2,FALSE),"")</f>
        <v/>
      </c>
      <c r="G661" s="45"/>
      <c r="H661" s="73"/>
      <c r="I661" s="18" t="str">
        <f t="shared" si="42"/>
        <v/>
      </c>
      <c r="J661" s="45"/>
      <c r="K661" s="45"/>
    </row>
    <row r="662" spans="1:11">
      <c r="A662" s="17" t="str">
        <f t="shared" si="43"/>
        <v/>
      </c>
      <c r="B662" s="53"/>
      <c r="C662" s="11" t="str">
        <f t="shared" si="40"/>
        <v/>
      </c>
      <c r="D662" s="11" t="str">
        <f t="shared" si="41"/>
        <v/>
      </c>
      <c r="E662" s="45"/>
      <c r="F662" s="11" t="str">
        <f>IFERROR(VLOOKUP(E662,Category!$D$2:$E$600,2,FALSE),"")</f>
        <v/>
      </c>
      <c r="G662" s="45"/>
      <c r="H662" s="73"/>
      <c r="I662" s="18" t="str">
        <f t="shared" si="42"/>
        <v/>
      </c>
      <c r="J662" s="45"/>
      <c r="K662" s="45"/>
    </row>
    <row r="663" spans="1:11">
      <c r="A663" s="17" t="str">
        <f t="shared" si="43"/>
        <v/>
      </c>
      <c r="B663" s="53"/>
      <c r="C663" s="11" t="str">
        <f t="shared" si="40"/>
        <v/>
      </c>
      <c r="D663" s="11" t="str">
        <f t="shared" si="41"/>
        <v/>
      </c>
      <c r="E663" s="45"/>
      <c r="F663" s="11" t="str">
        <f>IFERROR(VLOOKUP(E663,Category!$D$2:$E$600,2,FALSE),"")</f>
        <v/>
      </c>
      <c r="G663" s="45"/>
      <c r="H663" s="73"/>
      <c r="I663" s="18" t="str">
        <f t="shared" si="42"/>
        <v/>
      </c>
      <c r="J663" s="45"/>
      <c r="K663" s="45"/>
    </row>
    <row r="664" spans="1:11">
      <c r="A664" s="17" t="str">
        <f t="shared" si="43"/>
        <v/>
      </c>
      <c r="B664" s="53"/>
      <c r="C664" s="11" t="str">
        <f t="shared" si="40"/>
        <v/>
      </c>
      <c r="D664" s="11" t="str">
        <f t="shared" si="41"/>
        <v/>
      </c>
      <c r="E664" s="45"/>
      <c r="F664" s="11" t="str">
        <f>IFERROR(VLOOKUP(E664,Category!$D$2:$E$600,2,FALSE),"")</f>
        <v/>
      </c>
      <c r="G664" s="45"/>
      <c r="H664" s="73"/>
      <c r="I664" s="18" t="str">
        <f t="shared" si="42"/>
        <v/>
      </c>
      <c r="J664" s="45"/>
      <c r="K664" s="45"/>
    </row>
    <row r="665" spans="1:11">
      <c r="A665" s="17" t="str">
        <f t="shared" si="43"/>
        <v/>
      </c>
      <c r="B665" s="53"/>
      <c r="C665" s="11" t="str">
        <f t="shared" si="40"/>
        <v/>
      </c>
      <c r="D665" s="11" t="str">
        <f t="shared" si="41"/>
        <v/>
      </c>
      <c r="E665" s="45"/>
      <c r="F665" s="11" t="str">
        <f>IFERROR(VLOOKUP(E665,Category!$D$2:$E$600,2,FALSE),"")</f>
        <v/>
      </c>
      <c r="G665" s="45"/>
      <c r="H665" s="73"/>
      <c r="I665" s="18" t="str">
        <f t="shared" si="42"/>
        <v/>
      </c>
      <c r="J665" s="45"/>
      <c r="K665" s="45"/>
    </row>
    <row r="666" spans="1:11">
      <c r="A666" s="17" t="str">
        <f t="shared" si="43"/>
        <v/>
      </c>
      <c r="B666" s="53"/>
      <c r="C666" s="11" t="str">
        <f t="shared" si="40"/>
        <v/>
      </c>
      <c r="D666" s="11" t="str">
        <f t="shared" si="41"/>
        <v/>
      </c>
      <c r="E666" s="45"/>
      <c r="F666" s="11" t="str">
        <f>IFERROR(VLOOKUP(E666,Category!$D$2:$E$600,2,FALSE),"")</f>
        <v/>
      </c>
      <c r="G666" s="45"/>
      <c r="H666" s="73"/>
      <c r="I666" s="18" t="str">
        <f t="shared" si="42"/>
        <v/>
      </c>
      <c r="J666" s="45"/>
      <c r="K666" s="45"/>
    </row>
    <row r="667" spans="1:11">
      <c r="A667" s="17" t="str">
        <f t="shared" si="43"/>
        <v/>
      </c>
      <c r="B667" s="53"/>
      <c r="C667" s="11" t="str">
        <f t="shared" si="40"/>
        <v/>
      </c>
      <c r="D667" s="11" t="str">
        <f t="shared" si="41"/>
        <v/>
      </c>
      <c r="E667" s="45"/>
      <c r="F667" s="11" t="str">
        <f>IFERROR(VLOOKUP(E667,Category!$D$2:$E$600,2,FALSE),"")</f>
        <v/>
      </c>
      <c r="G667" s="45"/>
      <c r="H667" s="73"/>
      <c r="I667" s="18" t="str">
        <f t="shared" si="42"/>
        <v/>
      </c>
      <c r="J667" s="45"/>
      <c r="K667" s="45"/>
    </row>
    <row r="668" spans="1:11">
      <c r="A668" s="17" t="str">
        <f t="shared" si="43"/>
        <v/>
      </c>
      <c r="B668" s="53"/>
      <c r="C668" s="11" t="str">
        <f t="shared" si="40"/>
        <v/>
      </c>
      <c r="D668" s="11" t="str">
        <f t="shared" si="41"/>
        <v/>
      </c>
      <c r="E668" s="45"/>
      <c r="F668" s="11" t="str">
        <f>IFERROR(VLOOKUP(E668,Category!$D$2:$E$600,2,FALSE),"")</f>
        <v/>
      </c>
      <c r="G668" s="45"/>
      <c r="H668" s="73"/>
      <c r="I668" s="18" t="str">
        <f t="shared" si="42"/>
        <v/>
      </c>
      <c r="J668" s="45"/>
      <c r="K668" s="45"/>
    </row>
    <row r="669" spans="1:11">
      <c r="A669" s="17" t="str">
        <f t="shared" si="43"/>
        <v/>
      </c>
      <c r="B669" s="53"/>
      <c r="C669" s="11" t="str">
        <f t="shared" si="40"/>
        <v/>
      </c>
      <c r="D669" s="11" t="str">
        <f t="shared" si="41"/>
        <v/>
      </c>
      <c r="E669" s="45"/>
      <c r="F669" s="11" t="str">
        <f>IFERROR(VLOOKUP(E669,Category!$D$2:$E$600,2,FALSE),"")</f>
        <v/>
      </c>
      <c r="G669" s="45"/>
      <c r="H669" s="73"/>
      <c r="I669" s="18" t="str">
        <f t="shared" si="42"/>
        <v/>
      </c>
      <c r="J669" s="45"/>
      <c r="K669" s="45"/>
    </row>
    <row r="670" spans="1:11">
      <c r="A670" s="17" t="str">
        <f t="shared" si="43"/>
        <v/>
      </c>
      <c r="B670" s="53"/>
      <c r="C670" s="11" t="str">
        <f t="shared" si="40"/>
        <v/>
      </c>
      <c r="D670" s="11" t="str">
        <f t="shared" si="41"/>
        <v/>
      </c>
      <c r="E670" s="45"/>
      <c r="F670" s="11" t="str">
        <f>IFERROR(VLOOKUP(E670,Category!$D$2:$E$600,2,FALSE),"")</f>
        <v/>
      </c>
      <c r="G670" s="45"/>
      <c r="H670" s="73"/>
      <c r="I670" s="18" t="str">
        <f t="shared" si="42"/>
        <v/>
      </c>
      <c r="J670" s="45"/>
      <c r="K670" s="45"/>
    </row>
    <row r="671" spans="1:11">
      <c r="A671" s="17" t="str">
        <f t="shared" si="43"/>
        <v/>
      </c>
      <c r="B671" s="53"/>
      <c r="C671" s="11" t="str">
        <f t="shared" si="40"/>
        <v/>
      </c>
      <c r="D671" s="11" t="str">
        <f t="shared" si="41"/>
        <v/>
      </c>
      <c r="E671" s="45"/>
      <c r="F671" s="11" t="str">
        <f>IFERROR(VLOOKUP(E671,Category!$D$2:$E$600,2,FALSE),"")</f>
        <v/>
      </c>
      <c r="G671" s="45"/>
      <c r="H671" s="73"/>
      <c r="I671" s="18" t="str">
        <f t="shared" si="42"/>
        <v/>
      </c>
      <c r="J671" s="45"/>
      <c r="K671" s="45"/>
    </row>
    <row r="672" spans="1:11">
      <c r="A672" s="17" t="str">
        <f t="shared" si="43"/>
        <v/>
      </c>
      <c r="B672" s="53"/>
      <c r="C672" s="11" t="str">
        <f t="shared" si="40"/>
        <v/>
      </c>
      <c r="D672" s="11" t="str">
        <f t="shared" si="41"/>
        <v/>
      </c>
      <c r="E672" s="45"/>
      <c r="F672" s="11" t="str">
        <f>IFERROR(VLOOKUP(E672,Category!$D$2:$E$600,2,FALSE),"")</f>
        <v/>
      </c>
      <c r="G672" s="45"/>
      <c r="H672" s="73"/>
      <c r="I672" s="18" t="str">
        <f t="shared" si="42"/>
        <v/>
      </c>
      <c r="J672" s="45"/>
      <c r="K672" s="45"/>
    </row>
    <row r="673" spans="1:11">
      <c r="A673" s="17" t="str">
        <f t="shared" si="43"/>
        <v/>
      </c>
      <c r="B673" s="53"/>
      <c r="C673" s="11" t="str">
        <f t="shared" si="40"/>
        <v/>
      </c>
      <c r="D673" s="11" t="str">
        <f t="shared" si="41"/>
        <v/>
      </c>
      <c r="E673" s="45"/>
      <c r="F673" s="11" t="str">
        <f>IFERROR(VLOOKUP(E673,Category!$D$2:$E$600,2,FALSE),"")</f>
        <v/>
      </c>
      <c r="G673" s="45"/>
      <c r="H673" s="73"/>
      <c r="I673" s="18" t="str">
        <f t="shared" si="42"/>
        <v/>
      </c>
      <c r="J673" s="45"/>
      <c r="K673" s="45"/>
    </row>
    <row r="674" spans="1:11">
      <c r="A674" s="17" t="str">
        <f t="shared" si="43"/>
        <v/>
      </c>
      <c r="B674" s="53"/>
      <c r="C674" s="11" t="str">
        <f t="shared" si="40"/>
        <v/>
      </c>
      <c r="D674" s="11" t="str">
        <f t="shared" si="41"/>
        <v/>
      </c>
      <c r="E674" s="45"/>
      <c r="F674" s="11" t="str">
        <f>IFERROR(VLOOKUP(E674,Category!$D$2:$E$600,2,FALSE),"")</f>
        <v/>
      </c>
      <c r="G674" s="45"/>
      <c r="H674" s="73"/>
      <c r="I674" s="18" t="str">
        <f t="shared" si="42"/>
        <v/>
      </c>
      <c r="J674" s="45"/>
      <c r="K674" s="45"/>
    </row>
    <row r="675" spans="1:11">
      <c r="A675" s="17" t="str">
        <f t="shared" si="43"/>
        <v/>
      </c>
      <c r="B675" s="53"/>
      <c r="C675" s="11" t="str">
        <f t="shared" si="40"/>
        <v/>
      </c>
      <c r="D675" s="11" t="str">
        <f t="shared" si="41"/>
        <v/>
      </c>
      <c r="E675" s="45"/>
      <c r="F675" s="11" t="str">
        <f>IFERROR(VLOOKUP(E675,Category!$D$2:$E$600,2,FALSE),"")</f>
        <v/>
      </c>
      <c r="G675" s="45"/>
      <c r="H675" s="73"/>
      <c r="I675" s="18" t="str">
        <f t="shared" si="42"/>
        <v/>
      </c>
      <c r="J675" s="45"/>
      <c r="K675" s="45"/>
    </row>
    <row r="676" spans="1:11">
      <c r="A676" s="17" t="str">
        <f t="shared" si="43"/>
        <v/>
      </c>
      <c r="B676" s="53"/>
      <c r="C676" s="11" t="str">
        <f t="shared" si="40"/>
        <v/>
      </c>
      <c r="D676" s="11" t="str">
        <f t="shared" si="41"/>
        <v/>
      </c>
      <c r="E676" s="45"/>
      <c r="F676" s="11" t="str">
        <f>IFERROR(VLOOKUP(E676,Category!$D$2:$E$600,2,FALSE),"")</f>
        <v/>
      </c>
      <c r="G676" s="45"/>
      <c r="H676" s="73"/>
      <c r="I676" s="18" t="str">
        <f t="shared" si="42"/>
        <v/>
      </c>
      <c r="J676" s="45"/>
      <c r="K676" s="45"/>
    </row>
    <row r="677" spans="1:11">
      <c r="A677" s="17" t="str">
        <f t="shared" si="43"/>
        <v/>
      </c>
      <c r="B677" s="53"/>
      <c r="C677" s="11" t="str">
        <f t="shared" si="40"/>
        <v/>
      </c>
      <c r="D677" s="11" t="str">
        <f t="shared" si="41"/>
        <v/>
      </c>
      <c r="E677" s="45"/>
      <c r="F677" s="11" t="str">
        <f>IFERROR(VLOOKUP(E677,Category!$D$2:$E$600,2,FALSE),"")</f>
        <v/>
      </c>
      <c r="G677" s="45"/>
      <c r="H677" s="73"/>
      <c r="I677" s="18" t="str">
        <f t="shared" si="42"/>
        <v/>
      </c>
      <c r="J677" s="45"/>
      <c r="K677" s="45"/>
    </row>
    <row r="678" spans="1:11">
      <c r="A678" s="17" t="str">
        <f t="shared" si="43"/>
        <v/>
      </c>
      <c r="B678" s="53"/>
      <c r="C678" s="11" t="str">
        <f t="shared" si="40"/>
        <v/>
      </c>
      <c r="D678" s="11" t="str">
        <f t="shared" si="41"/>
        <v/>
      </c>
      <c r="E678" s="45"/>
      <c r="F678" s="11" t="str">
        <f>IFERROR(VLOOKUP(E678,Category!$D$2:$E$600,2,FALSE),"")</f>
        <v/>
      </c>
      <c r="G678" s="45"/>
      <c r="H678" s="73"/>
      <c r="I678" s="18" t="str">
        <f t="shared" si="42"/>
        <v/>
      </c>
      <c r="J678" s="45"/>
      <c r="K678" s="45"/>
    </row>
    <row r="679" spans="1:11">
      <c r="A679" s="17" t="str">
        <f t="shared" si="43"/>
        <v/>
      </c>
      <c r="B679" s="53"/>
      <c r="C679" s="11" t="str">
        <f t="shared" si="40"/>
        <v/>
      </c>
      <c r="D679" s="11" t="str">
        <f t="shared" si="41"/>
        <v/>
      </c>
      <c r="E679" s="45"/>
      <c r="F679" s="11" t="str">
        <f>IFERROR(VLOOKUP(E679,Category!$D$2:$E$600,2,FALSE),"")</f>
        <v/>
      </c>
      <c r="G679" s="45"/>
      <c r="H679" s="73"/>
      <c r="I679" s="18" t="str">
        <f t="shared" si="42"/>
        <v/>
      </c>
      <c r="J679" s="45"/>
      <c r="K679" s="45"/>
    </row>
    <row r="680" spans="1:11">
      <c r="A680" s="17" t="str">
        <f t="shared" si="43"/>
        <v/>
      </c>
      <c r="B680" s="53"/>
      <c r="C680" s="11" t="str">
        <f t="shared" si="40"/>
        <v/>
      </c>
      <c r="D680" s="11" t="str">
        <f t="shared" si="41"/>
        <v/>
      </c>
      <c r="E680" s="45"/>
      <c r="F680" s="11" t="str">
        <f>IFERROR(VLOOKUP(E680,Category!$D$2:$E$600,2,FALSE),"")</f>
        <v/>
      </c>
      <c r="G680" s="45"/>
      <c r="H680" s="73"/>
      <c r="I680" s="18" t="str">
        <f t="shared" si="42"/>
        <v/>
      </c>
      <c r="J680" s="45"/>
      <c r="K680" s="45"/>
    </row>
    <row r="681" spans="1:11">
      <c r="A681" s="17" t="str">
        <f t="shared" si="43"/>
        <v/>
      </c>
      <c r="B681" s="53"/>
      <c r="C681" s="11" t="str">
        <f t="shared" si="40"/>
        <v/>
      </c>
      <c r="D681" s="11" t="str">
        <f t="shared" si="41"/>
        <v/>
      </c>
      <c r="E681" s="45"/>
      <c r="F681" s="11" t="str">
        <f>IFERROR(VLOOKUP(E681,Category!$D$2:$E$600,2,FALSE),"")</f>
        <v/>
      </c>
      <c r="G681" s="45"/>
      <c r="H681" s="73"/>
      <c r="I681" s="18" t="str">
        <f t="shared" si="42"/>
        <v/>
      </c>
      <c r="J681" s="45"/>
      <c r="K681" s="45"/>
    </row>
    <row r="682" spans="1:11">
      <c r="A682" s="17" t="str">
        <f t="shared" si="43"/>
        <v/>
      </c>
      <c r="B682" s="53"/>
      <c r="C682" s="11" t="str">
        <f t="shared" si="40"/>
        <v/>
      </c>
      <c r="D682" s="11" t="str">
        <f t="shared" si="41"/>
        <v/>
      </c>
      <c r="E682" s="45"/>
      <c r="F682" s="11" t="str">
        <f>IFERROR(VLOOKUP(E682,Category!$D$2:$E$600,2,FALSE),"")</f>
        <v/>
      </c>
      <c r="G682" s="45"/>
      <c r="H682" s="73"/>
      <c r="I682" s="18" t="str">
        <f t="shared" si="42"/>
        <v/>
      </c>
      <c r="J682" s="45"/>
      <c r="K682" s="45"/>
    </row>
    <row r="683" spans="1:11">
      <c r="A683" s="17" t="str">
        <f t="shared" si="43"/>
        <v/>
      </c>
      <c r="B683" s="53"/>
      <c r="C683" s="11" t="str">
        <f t="shared" si="40"/>
        <v/>
      </c>
      <c r="D683" s="11" t="str">
        <f t="shared" si="41"/>
        <v/>
      </c>
      <c r="E683" s="45"/>
      <c r="F683" s="11" t="str">
        <f>IFERROR(VLOOKUP(E683,Category!$D$2:$E$600,2,FALSE),"")</f>
        <v/>
      </c>
      <c r="G683" s="45"/>
      <c r="H683" s="73"/>
      <c r="I683" s="18" t="str">
        <f t="shared" si="42"/>
        <v/>
      </c>
      <c r="J683" s="45"/>
      <c r="K683" s="45"/>
    </row>
    <row r="684" spans="1:11">
      <c r="A684" s="17" t="str">
        <f t="shared" si="43"/>
        <v/>
      </c>
      <c r="B684" s="53"/>
      <c r="C684" s="11" t="str">
        <f t="shared" si="40"/>
        <v/>
      </c>
      <c r="D684" s="11" t="str">
        <f t="shared" si="41"/>
        <v/>
      </c>
      <c r="E684" s="45"/>
      <c r="F684" s="11" t="str">
        <f>IFERROR(VLOOKUP(E684,Category!$D$2:$E$600,2,FALSE),"")</f>
        <v/>
      </c>
      <c r="G684" s="45"/>
      <c r="H684" s="73"/>
      <c r="I684" s="18" t="str">
        <f t="shared" si="42"/>
        <v/>
      </c>
      <c r="J684" s="45"/>
      <c r="K684" s="45"/>
    </row>
    <row r="685" spans="1:11">
      <c r="A685" s="17" t="str">
        <f t="shared" si="43"/>
        <v/>
      </c>
      <c r="B685" s="53"/>
      <c r="C685" s="11" t="str">
        <f t="shared" si="40"/>
        <v/>
      </c>
      <c r="D685" s="11" t="str">
        <f t="shared" si="41"/>
        <v/>
      </c>
      <c r="E685" s="45"/>
      <c r="F685" s="11" t="str">
        <f>IFERROR(VLOOKUP(E685,Category!$D$2:$E$600,2,FALSE),"")</f>
        <v/>
      </c>
      <c r="G685" s="45"/>
      <c r="H685" s="73"/>
      <c r="I685" s="18" t="str">
        <f t="shared" si="42"/>
        <v/>
      </c>
      <c r="J685" s="45"/>
      <c r="K685" s="45"/>
    </row>
    <row r="686" spans="1:11">
      <c r="A686" s="17" t="str">
        <f t="shared" si="43"/>
        <v/>
      </c>
      <c r="B686" s="53"/>
      <c r="C686" s="11" t="str">
        <f t="shared" si="40"/>
        <v/>
      </c>
      <c r="D686" s="11" t="str">
        <f t="shared" si="41"/>
        <v/>
      </c>
      <c r="E686" s="45"/>
      <c r="F686" s="11" t="str">
        <f>IFERROR(VLOOKUP(E686,Category!$D$2:$E$600,2,FALSE),"")</f>
        <v/>
      </c>
      <c r="G686" s="45"/>
      <c r="H686" s="73"/>
      <c r="I686" s="18" t="str">
        <f t="shared" si="42"/>
        <v/>
      </c>
      <c r="J686" s="45"/>
      <c r="K686" s="45"/>
    </row>
    <row r="687" spans="1:11">
      <c r="A687" s="17" t="str">
        <f t="shared" si="43"/>
        <v/>
      </c>
      <c r="B687" s="53"/>
      <c r="C687" s="11" t="str">
        <f t="shared" si="40"/>
        <v/>
      </c>
      <c r="D687" s="11" t="str">
        <f t="shared" si="41"/>
        <v/>
      </c>
      <c r="E687" s="45"/>
      <c r="F687" s="11" t="str">
        <f>IFERROR(VLOOKUP(E687,Category!$D$2:$E$600,2,FALSE),"")</f>
        <v/>
      </c>
      <c r="G687" s="45"/>
      <c r="H687" s="73"/>
      <c r="I687" s="18" t="str">
        <f t="shared" si="42"/>
        <v/>
      </c>
      <c r="J687" s="45"/>
      <c r="K687" s="45"/>
    </row>
    <row r="688" spans="1:11">
      <c r="A688" s="17" t="str">
        <f t="shared" si="43"/>
        <v/>
      </c>
      <c r="B688" s="53"/>
      <c r="C688" s="11" t="str">
        <f t="shared" si="40"/>
        <v/>
      </c>
      <c r="D688" s="11" t="str">
        <f t="shared" si="41"/>
        <v/>
      </c>
      <c r="E688" s="45"/>
      <c r="F688" s="11" t="str">
        <f>IFERROR(VLOOKUP(E688,Category!$D$2:$E$600,2,FALSE),"")</f>
        <v/>
      </c>
      <c r="G688" s="45"/>
      <c r="H688" s="73"/>
      <c r="I688" s="18" t="str">
        <f t="shared" si="42"/>
        <v/>
      </c>
      <c r="J688" s="45"/>
      <c r="K688" s="45"/>
    </row>
    <row r="689" spans="1:11">
      <c r="A689" s="17" t="str">
        <f t="shared" si="43"/>
        <v/>
      </c>
      <c r="B689" s="53"/>
      <c r="C689" s="11" t="str">
        <f t="shared" si="40"/>
        <v/>
      </c>
      <c r="D689" s="11" t="str">
        <f t="shared" si="41"/>
        <v/>
      </c>
      <c r="E689" s="45"/>
      <c r="F689" s="11" t="str">
        <f>IFERROR(VLOOKUP(E689,Category!$D$2:$E$600,2,FALSE),"")</f>
        <v/>
      </c>
      <c r="G689" s="45"/>
      <c r="H689" s="73"/>
      <c r="I689" s="18" t="str">
        <f t="shared" si="42"/>
        <v/>
      </c>
      <c r="J689" s="45"/>
      <c r="K689" s="45"/>
    </row>
    <row r="690" spans="1:11">
      <c r="A690" s="17" t="str">
        <f t="shared" si="43"/>
        <v/>
      </c>
      <c r="B690" s="53"/>
      <c r="C690" s="11" t="str">
        <f t="shared" si="40"/>
        <v/>
      </c>
      <c r="D690" s="11" t="str">
        <f t="shared" si="41"/>
        <v/>
      </c>
      <c r="E690" s="45"/>
      <c r="F690" s="11" t="str">
        <f>IFERROR(VLOOKUP(E690,Category!$D$2:$E$600,2,FALSE),"")</f>
        <v/>
      </c>
      <c r="G690" s="45"/>
      <c r="H690" s="73"/>
      <c r="I690" s="18" t="str">
        <f t="shared" si="42"/>
        <v/>
      </c>
      <c r="J690" s="45"/>
      <c r="K690" s="45"/>
    </row>
    <row r="691" spans="1:11">
      <c r="A691" s="17" t="str">
        <f t="shared" si="43"/>
        <v/>
      </c>
      <c r="B691" s="53"/>
      <c r="C691" s="11" t="str">
        <f t="shared" si="40"/>
        <v/>
      </c>
      <c r="D691" s="11" t="str">
        <f t="shared" si="41"/>
        <v/>
      </c>
      <c r="E691" s="45"/>
      <c r="F691" s="11" t="str">
        <f>IFERROR(VLOOKUP(E691,Category!$D$2:$E$600,2,FALSE),"")</f>
        <v/>
      </c>
      <c r="G691" s="45"/>
      <c r="H691" s="73"/>
      <c r="I691" s="18" t="str">
        <f t="shared" si="42"/>
        <v/>
      </c>
      <c r="J691" s="45"/>
      <c r="K691" s="45"/>
    </row>
    <row r="692" spans="1:11">
      <c r="A692" s="17" t="str">
        <f t="shared" si="43"/>
        <v/>
      </c>
      <c r="B692" s="53"/>
      <c r="C692" s="11" t="str">
        <f t="shared" si="40"/>
        <v/>
      </c>
      <c r="D692" s="11" t="str">
        <f t="shared" si="41"/>
        <v/>
      </c>
      <c r="E692" s="45"/>
      <c r="F692" s="11" t="str">
        <f>IFERROR(VLOOKUP(E692,Category!$D$2:$E$600,2,FALSE),"")</f>
        <v/>
      </c>
      <c r="G692" s="45"/>
      <c r="H692" s="73"/>
      <c r="I692" s="18" t="str">
        <f t="shared" si="42"/>
        <v/>
      </c>
      <c r="J692" s="45"/>
      <c r="K692" s="45"/>
    </row>
    <row r="693" spans="1:11">
      <c r="A693" s="17" t="str">
        <f t="shared" si="43"/>
        <v/>
      </c>
      <c r="B693" s="53"/>
      <c r="C693" s="11" t="str">
        <f t="shared" si="40"/>
        <v/>
      </c>
      <c r="D693" s="11" t="str">
        <f t="shared" si="41"/>
        <v/>
      </c>
      <c r="E693" s="45"/>
      <c r="F693" s="11" t="str">
        <f>IFERROR(VLOOKUP(E693,Category!$D$2:$E$600,2,FALSE),"")</f>
        <v/>
      </c>
      <c r="G693" s="45"/>
      <c r="H693" s="73"/>
      <c r="I693" s="18" t="str">
        <f t="shared" si="42"/>
        <v/>
      </c>
      <c r="J693" s="45"/>
      <c r="K693" s="45"/>
    </row>
    <row r="694" spans="1:11">
      <c r="A694" s="17" t="str">
        <f t="shared" si="43"/>
        <v/>
      </c>
      <c r="B694" s="53"/>
      <c r="C694" s="11" t="str">
        <f t="shared" si="40"/>
        <v/>
      </c>
      <c r="D694" s="11" t="str">
        <f t="shared" si="41"/>
        <v/>
      </c>
      <c r="E694" s="45"/>
      <c r="F694" s="11" t="str">
        <f>IFERROR(VLOOKUP(E694,Category!$D$2:$E$600,2,FALSE),"")</f>
        <v/>
      </c>
      <c r="G694" s="45"/>
      <c r="H694" s="73"/>
      <c r="I694" s="18" t="str">
        <f t="shared" si="42"/>
        <v/>
      </c>
      <c r="J694" s="45"/>
      <c r="K694" s="45"/>
    </row>
    <row r="695" spans="1:11">
      <c r="A695" s="17" t="str">
        <f t="shared" si="43"/>
        <v/>
      </c>
      <c r="B695" s="53"/>
      <c r="C695" s="11" t="str">
        <f t="shared" si="40"/>
        <v/>
      </c>
      <c r="D695" s="11" t="str">
        <f t="shared" si="41"/>
        <v/>
      </c>
      <c r="E695" s="45"/>
      <c r="F695" s="11" t="str">
        <f>IFERROR(VLOOKUP(E695,Category!$D$2:$E$600,2,FALSE),"")</f>
        <v/>
      </c>
      <c r="G695" s="45"/>
      <c r="H695" s="73"/>
      <c r="I695" s="18" t="str">
        <f t="shared" si="42"/>
        <v/>
      </c>
      <c r="J695" s="45"/>
      <c r="K695" s="45"/>
    </row>
    <row r="696" spans="1:11">
      <c r="A696" s="17" t="str">
        <f t="shared" si="43"/>
        <v/>
      </c>
      <c r="B696" s="53"/>
      <c r="C696" s="11" t="str">
        <f t="shared" si="40"/>
        <v/>
      </c>
      <c r="D696" s="11" t="str">
        <f t="shared" si="41"/>
        <v/>
      </c>
      <c r="E696" s="45"/>
      <c r="F696" s="11" t="str">
        <f>IFERROR(VLOOKUP(E696,Category!$D$2:$E$600,2,FALSE),"")</f>
        <v/>
      </c>
      <c r="G696" s="45"/>
      <c r="H696" s="73"/>
      <c r="I696" s="18" t="str">
        <f t="shared" si="42"/>
        <v/>
      </c>
      <c r="J696" s="45"/>
      <c r="K696" s="45"/>
    </row>
    <row r="697" spans="1:11">
      <c r="A697" s="17" t="str">
        <f t="shared" si="43"/>
        <v/>
      </c>
      <c r="B697" s="53"/>
      <c r="C697" s="11" t="str">
        <f t="shared" si="40"/>
        <v/>
      </c>
      <c r="D697" s="11" t="str">
        <f t="shared" si="41"/>
        <v/>
      </c>
      <c r="E697" s="45"/>
      <c r="F697" s="11" t="str">
        <f>IFERROR(VLOOKUP(E697,Category!$D$2:$E$600,2,FALSE),"")</f>
        <v/>
      </c>
      <c r="G697" s="45"/>
      <c r="H697" s="73"/>
      <c r="I697" s="18" t="str">
        <f t="shared" si="42"/>
        <v/>
      </c>
      <c r="J697" s="45"/>
      <c r="K697" s="45"/>
    </row>
    <row r="698" spans="1:11">
      <c r="A698" s="17" t="str">
        <f t="shared" si="43"/>
        <v/>
      </c>
      <c r="B698" s="53"/>
      <c r="C698" s="11" t="str">
        <f t="shared" si="40"/>
        <v/>
      </c>
      <c r="D698" s="11" t="str">
        <f t="shared" si="41"/>
        <v/>
      </c>
      <c r="E698" s="45"/>
      <c r="F698" s="11" t="str">
        <f>IFERROR(VLOOKUP(E698,Category!$D$2:$E$600,2,FALSE),"")</f>
        <v/>
      </c>
      <c r="G698" s="45"/>
      <c r="H698" s="73"/>
      <c r="I698" s="18" t="str">
        <f t="shared" si="42"/>
        <v/>
      </c>
      <c r="J698" s="45"/>
      <c r="K698" s="45"/>
    </row>
    <row r="699" spans="1:11">
      <c r="A699" s="17" t="str">
        <f t="shared" si="43"/>
        <v/>
      </c>
      <c r="B699" s="53"/>
      <c r="C699" s="11" t="str">
        <f t="shared" si="40"/>
        <v/>
      </c>
      <c r="D699" s="11" t="str">
        <f t="shared" si="41"/>
        <v/>
      </c>
      <c r="E699" s="45"/>
      <c r="F699" s="11" t="str">
        <f>IFERROR(VLOOKUP(E699,Category!$D$2:$E$600,2,FALSE),"")</f>
        <v/>
      </c>
      <c r="G699" s="45"/>
      <c r="H699" s="73"/>
      <c r="I699" s="18" t="str">
        <f t="shared" si="42"/>
        <v/>
      </c>
      <c r="J699" s="45"/>
      <c r="K699" s="45"/>
    </row>
    <row r="700" spans="1:11">
      <c r="A700" s="17" t="str">
        <f t="shared" si="43"/>
        <v/>
      </c>
      <c r="B700" s="53"/>
      <c r="C700" s="11" t="str">
        <f t="shared" si="40"/>
        <v/>
      </c>
      <c r="D700" s="11" t="str">
        <f t="shared" si="41"/>
        <v/>
      </c>
      <c r="E700" s="45"/>
      <c r="F700" s="11" t="str">
        <f>IFERROR(VLOOKUP(E700,Category!$D$2:$E$600,2,FALSE),"")</f>
        <v/>
      </c>
      <c r="G700" s="45"/>
      <c r="H700" s="73"/>
      <c r="I700" s="18" t="str">
        <f t="shared" si="42"/>
        <v/>
      </c>
      <c r="J700" s="45"/>
      <c r="K700" s="45"/>
    </row>
    <row r="701" spans="1:11">
      <c r="A701" s="17" t="str">
        <f t="shared" si="43"/>
        <v/>
      </c>
      <c r="B701" s="53"/>
      <c r="C701" s="11" t="str">
        <f t="shared" si="40"/>
        <v/>
      </c>
      <c r="D701" s="11" t="str">
        <f t="shared" si="41"/>
        <v/>
      </c>
      <c r="E701" s="45"/>
      <c r="F701" s="11" t="str">
        <f>IFERROR(VLOOKUP(E701,Category!$D$2:$E$600,2,FALSE),"")</f>
        <v/>
      </c>
      <c r="G701" s="45"/>
      <c r="H701" s="73"/>
      <c r="I701" s="18" t="str">
        <f t="shared" si="42"/>
        <v/>
      </c>
      <c r="J701" s="45"/>
      <c r="K701" s="45"/>
    </row>
    <row r="702" spans="1:11">
      <c r="A702" s="17" t="str">
        <f t="shared" si="43"/>
        <v/>
      </c>
      <c r="B702" s="53"/>
      <c r="C702" s="11" t="str">
        <f t="shared" si="40"/>
        <v/>
      </c>
      <c r="D702" s="11" t="str">
        <f t="shared" si="41"/>
        <v/>
      </c>
      <c r="E702" s="45"/>
      <c r="F702" s="11" t="str">
        <f>IFERROR(VLOOKUP(E702,Category!$D$2:$E$600,2,FALSE),"")</f>
        <v/>
      </c>
      <c r="G702" s="45"/>
      <c r="H702" s="73"/>
      <c r="I702" s="18" t="str">
        <f t="shared" si="42"/>
        <v/>
      </c>
      <c r="J702" s="45"/>
      <c r="K702" s="45"/>
    </row>
    <row r="703" spans="1:11">
      <c r="A703" s="17" t="str">
        <f t="shared" si="43"/>
        <v/>
      </c>
      <c r="B703" s="53"/>
      <c r="C703" s="11" t="str">
        <f t="shared" si="40"/>
        <v/>
      </c>
      <c r="D703" s="11" t="str">
        <f t="shared" si="41"/>
        <v/>
      </c>
      <c r="E703" s="45"/>
      <c r="F703" s="11" t="str">
        <f>IFERROR(VLOOKUP(E703,Category!$D$2:$E$600,2,FALSE),"")</f>
        <v/>
      </c>
      <c r="G703" s="45"/>
      <c r="H703" s="73"/>
      <c r="I703" s="18" t="str">
        <f t="shared" si="42"/>
        <v/>
      </c>
      <c r="J703" s="45"/>
      <c r="K703" s="45"/>
    </row>
    <row r="704" spans="1:11">
      <c r="A704" s="17" t="str">
        <f t="shared" si="43"/>
        <v/>
      </c>
      <c r="B704" s="53"/>
      <c r="C704" s="11" t="str">
        <f t="shared" si="40"/>
        <v/>
      </c>
      <c r="D704" s="11" t="str">
        <f t="shared" si="41"/>
        <v/>
      </c>
      <c r="E704" s="45"/>
      <c r="F704" s="11" t="str">
        <f>IFERROR(VLOOKUP(E704,Category!$D$2:$E$600,2,FALSE),"")</f>
        <v/>
      </c>
      <c r="G704" s="45"/>
      <c r="H704" s="73"/>
      <c r="I704" s="18" t="str">
        <f t="shared" si="42"/>
        <v/>
      </c>
      <c r="J704" s="45"/>
      <c r="K704" s="45"/>
    </row>
    <row r="705" spans="1:11">
      <c r="A705" s="17" t="str">
        <f t="shared" si="43"/>
        <v/>
      </c>
      <c r="B705" s="53"/>
      <c r="C705" s="11" t="str">
        <f t="shared" si="40"/>
        <v/>
      </c>
      <c r="D705" s="11" t="str">
        <f t="shared" si="41"/>
        <v/>
      </c>
      <c r="E705" s="45"/>
      <c r="F705" s="11" t="str">
        <f>IFERROR(VLOOKUP(E705,Category!$D$2:$E$600,2,FALSE),"")</f>
        <v/>
      </c>
      <c r="G705" s="45"/>
      <c r="H705" s="73"/>
      <c r="I705" s="18" t="str">
        <f t="shared" si="42"/>
        <v/>
      </c>
      <c r="J705" s="45"/>
      <c r="K705" s="45"/>
    </row>
    <row r="706" spans="1:11">
      <c r="A706" s="17" t="str">
        <f t="shared" si="43"/>
        <v/>
      </c>
      <c r="B706" s="53"/>
      <c r="C706" s="11" t="str">
        <f t="shared" si="40"/>
        <v/>
      </c>
      <c r="D706" s="11" t="str">
        <f t="shared" si="41"/>
        <v/>
      </c>
      <c r="E706" s="45"/>
      <c r="F706" s="11" t="str">
        <f>IFERROR(VLOOKUP(E706,Category!$D$2:$E$600,2,FALSE),"")</f>
        <v/>
      </c>
      <c r="G706" s="45"/>
      <c r="H706" s="73"/>
      <c r="I706" s="18" t="str">
        <f t="shared" si="42"/>
        <v/>
      </c>
      <c r="J706" s="45"/>
      <c r="K706" s="45"/>
    </row>
    <row r="707" spans="1:11">
      <c r="A707" s="17" t="str">
        <f t="shared" si="43"/>
        <v/>
      </c>
      <c r="B707" s="53"/>
      <c r="C707" s="11" t="str">
        <f t="shared" ref="C707:C770" si="44">IF(B707=0,"",TEXT(B707,"mmmm"))</f>
        <v/>
      </c>
      <c r="D707" s="11" t="str">
        <f t="shared" ref="D707:D770" si="45">IF(B707=0,"",TEXT(B707,"yyyy"))</f>
        <v/>
      </c>
      <c r="E707" s="45"/>
      <c r="F707" s="11" t="str">
        <f>IFERROR(VLOOKUP(E707,Category!$D$2:$E$600,2,FALSE),"")</f>
        <v/>
      </c>
      <c r="G707" s="45"/>
      <c r="H707" s="73"/>
      <c r="I707" s="18" t="str">
        <f t="shared" ref="I707:I770" si="46">IF(G707*H707=0,"",G707*H707)</f>
        <v/>
      </c>
      <c r="J707" s="45"/>
      <c r="K707" s="45"/>
    </row>
    <row r="708" spans="1:11">
      <c r="A708" s="17" t="str">
        <f t="shared" ref="A708:A771" si="47">IF(E708&gt;0,A707+1,"")</f>
        <v/>
      </c>
      <c r="B708" s="53"/>
      <c r="C708" s="11" t="str">
        <f t="shared" si="44"/>
        <v/>
      </c>
      <c r="D708" s="11" t="str">
        <f t="shared" si="45"/>
        <v/>
      </c>
      <c r="E708" s="45"/>
      <c r="F708" s="11" t="str">
        <f>IFERROR(VLOOKUP(E708,Category!$D$2:$E$600,2,FALSE),"")</f>
        <v/>
      </c>
      <c r="G708" s="45"/>
      <c r="H708" s="73"/>
      <c r="I708" s="18" t="str">
        <f t="shared" si="46"/>
        <v/>
      </c>
      <c r="J708" s="45"/>
      <c r="K708" s="45"/>
    </row>
    <row r="709" spans="1:11">
      <c r="A709" s="17" t="str">
        <f t="shared" si="47"/>
        <v/>
      </c>
      <c r="B709" s="53"/>
      <c r="C709" s="11" t="str">
        <f t="shared" si="44"/>
        <v/>
      </c>
      <c r="D709" s="11" t="str">
        <f t="shared" si="45"/>
        <v/>
      </c>
      <c r="E709" s="45"/>
      <c r="F709" s="11" t="str">
        <f>IFERROR(VLOOKUP(E709,Category!$D$2:$E$600,2,FALSE),"")</f>
        <v/>
      </c>
      <c r="G709" s="45"/>
      <c r="H709" s="73"/>
      <c r="I709" s="18" t="str">
        <f t="shared" si="46"/>
        <v/>
      </c>
      <c r="J709" s="45"/>
      <c r="K709" s="45"/>
    </row>
    <row r="710" spans="1:11">
      <c r="A710" s="17" t="str">
        <f t="shared" si="47"/>
        <v/>
      </c>
      <c r="B710" s="53"/>
      <c r="C710" s="11" t="str">
        <f t="shared" si="44"/>
        <v/>
      </c>
      <c r="D710" s="11" t="str">
        <f t="shared" si="45"/>
        <v/>
      </c>
      <c r="E710" s="45"/>
      <c r="F710" s="11" t="str">
        <f>IFERROR(VLOOKUP(E710,Category!$D$2:$E$600,2,FALSE),"")</f>
        <v/>
      </c>
      <c r="G710" s="45"/>
      <c r="H710" s="73"/>
      <c r="I710" s="18" t="str">
        <f t="shared" si="46"/>
        <v/>
      </c>
      <c r="J710" s="45"/>
      <c r="K710" s="45"/>
    </row>
    <row r="711" spans="1:11">
      <c r="A711" s="17" t="str">
        <f t="shared" si="47"/>
        <v/>
      </c>
      <c r="B711" s="53"/>
      <c r="C711" s="11" t="str">
        <f t="shared" si="44"/>
        <v/>
      </c>
      <c r="D711" s="11" t="str">
        <f t="shared" si="45"/>
        <v/>
      </c>
      <c r="E711" s="45"/>
      <c r="F711" s="11" t="str">
        <f>IFERROR(VLOOKUP(E711,Category!$D$2:$E$600,2,FALSE),"")</f>
        <v/>
      </c>
      <c r="G711" s="45"/>
      <c r="H711" s="73"/>
      <c r="I711" s="18" t="str">
        <f t="shared" si="46"/>
        <v/>
      </c>
      <c r="J711" s="45"/>
      <c r="K711" s="45"/>
    </row>
    <row r="712" spans="1:11">
      <c r="A712" s="17" t="str">
        <f t="shared" si="47"/>
        <v/>
      </c>
      <c r="B712" s="53"/>
      <c r="C712" s="11" t="str">
        <f t="shared" si="44"/>
        <v/>
      </c>
      <c r="D712" s="11" t="str">
        <f t="shared" si="45"/>
        <v/>
      </c>
      <c r="E712" s="45"/>
      <c r="F712" s="11" t="str">
        <f>IFERROR(VLOOKUP(E712,Category!$D$2:$E$600,2,FALSE),"")</f>
        <v/>
      </c>
      <c r="G712" s="45"/>
      <c r="H712" s="73"/>
      <c r="I712" s="18" t="str">
        <f t="shared" si="46"/>
        <v/>
      </c>
      <c r="J712" s="45"/>
      <c r="K712" s="45"/>
    </row>
    <row r="713" spans="1:11">
      <c r="A713" s="17" t="str">
        <f t="shared" si="47"/>
        <v/>
      </c>
      <c r="B713" s="53"/>
      <c r="C713" s="11" t="str">
        <f t="shared" si="44"/>
        <v/>
      </c>
      <c r="D713" s="11" t="str">
        <f t="shared" si="45"/>
        <v/>
      </c>
      <c r="E713" s="45"/>
      <c r="F713" s="11" t="str">
        <f>IFERROR(VLOOKUP(E713,Category!$D$2:$E$600,2,FALSE),"")</f>
        <v/>
      </c>
      <c r="G713" s="45"/>
      <c r="H713" s="73"/>
      <c r="I713" s="18" t="str">
        <f t="shared" si="46"/>
        <v/>
      </c>
      <c r="J713" s="45"/>
      <c r="K713" s="45"/>
    </row>
    <row r="714" spans="1:11">
      <c r="A714" s="17" t="str">
        <f t="shared" si="47"/>
        <v/>
      </c>
      <c r="B714" s="53"/>
      <c r="C714" s="11" t="str">
        <f t="shared" si="44"/>
        <v/>
      </c>
      <c r="D714" s="11" t="str">
        <f t="shared" si="45"/>
        <v/>
      </c>
      <c r="E714" s="45"/>
      <c r="F714" s="11" t="str">
        <f>IFERROR(VLOOKUP(E714,Category!$D$2:$E$600,2,FALSE),"")</f>
        <v/>
      </c>
      <c r="G714" s="45"/>
      <c r="H714" s="73"/>
      <c r="I714" s="18" t="str">
        <f t="shared" si="46"/>
        <v/>
      </c>
      <c r="J714" s="45"/>
      <c r="K714" s="45"/>
    </row>
    <row r="715" spans="1:11">
      <c r="A715" s="17" t="str">
        <f t="shared" si="47"/>
        <v/>
      </c>
      <c r="B715" s="53"/>
      <c r="C715" s="11" t="str">
        <f t="shared" si="44"/>
        <v/>
      </c>
      <c r="D715" s="11" t="str">
        <f t="shared" si="45"/>
        <v/>
      </c>
      <c r="E715" s="45"/>
      <c r="F715" s="11" t="str">
        <f>IFERROR(VLOOKUP(E715,Category!$D$2:$E$600,2,FALSE),"")</f>
        <v/>
      </c>
      <c r="G715" s="45"/>
      <c r="H715" s="73"/>
      <c r="I715" s="18" t="str">
        <f t="shared" si="46"/>
        <v/>
      </c>
      <c r="J715" s="45"/>
      <c r="K715" s="45"/>
    </row>
    <row r="716" spans="1:11">
      <c r="A716" s="17" t="str">
        <f t="shared" si="47"/>
        <v/>
      </c>
      <c r="B716" s="53"/>
      <c r="C716" s="11" t="str">
        <f t="shared" si="44"/>
        <v/>
      </c>
      <c r="D716" s="11" t="str">
        <f t="shared" si="45"/>
        <v/>
      </c>
      <c r="E716" s="45"/>
      <c r="F716" s="11" t="str">
        <f>IFERROR(VLOOKUP(E716,Category!$D$2:$E$600,2,FALSE),"")</f>
        <v/>
      </c>
      <c r="G716" s="45"/>
      <c r="H716" s="73"/>
      <c r="I716" s="18" t="str">
        <f t="shared" si="46"/>
        <v/>
      </c>
      <c r="J716" s="45"/>
      <c r="K716" s="45"/>
    </row>
    <row r="717" spans="1:11">
      <c r="A717" s="17" t="str">
        <f t="shared" si="47"/>
        <v/>
      </c>
      <c r="B717" s="53"/>
      <c r="C717" s="11" t="str">
        <f t="shared" si="44"/>
        <v/>
      </c>
      <c r="D717" s="11" t="str">
        <f t="shared" si="45"/>
        <v/>
      </c>
      <c r="E717" s="45"/>
      <c r="F717" s="11" t="str">
        <f>IFERROR(VLOOKUP(E717,Category!$D$2:$E$600,2,FALSE),"")</f>
        <v/>
      </c>
      <c r="G717" s="45"/>
      <c r="H717" s="73"/>
      <c r="I717" s="18" t="str">
        <f t="shared" si="46"/>
        <v/>
      </c>
      <c r="J717" s="45"/>
      <c r="K717" s="45"/>
    </row>
    <row r="718" spans="1:11">
      <c r="A718" s="17" t="str">
        <f t="shared" si="47"/>
        <v/>
      </c>
      <c r="B718" s="53"/>
      <c r="C718" s="11" t="str">
        <f t="shared" si="44"/>
        <v/>
      </c>
      <c r="D718" s="11" t="str">
        <f t="shared" si="45"/>
        <v/>
      </c>
      <c r="E718" s="45"/>
      <c r="F718" s="11" t="str">
        <f>IFERROR(VLOOKUP(E718,Category!$D$2:$E$600,2,FALSE),"")</f>
        <v/>
      </c>
      <c r="G718" s="45"/>
      <c r="H718" s="73"/>
      <c r="I718" s="18" t="str">
        <f t="shared" si="46"/>
        <v/>
      </c>
      <c r="J718" s="45"/>
      <c r="K718" s="45"/>
    </row>
    <row r="719" spans="1:11">
      <c r="A719" s="17" t="str">
        <f t="shared" si="47"/>
        <v/>
      </c>
      <c r="B719" s="53"/>
      <c r="C719" s="11" t="str">
        <f t="shared" si="44"/>
        <v/>
      </c>
      <c r="D719" s="11" t="str">
        <f t="shared" si="45"/>
        <v/>
      </c>
      <c r="E719" s="45"/>
      <c r="F719" s="11" t="str">
        <f>IFERROR(VLOOKUP(E719,Category!$D$2:$E$600,2,FALSE),"")</f>
        <v/>
      </c>
      <c r="G719" s="45"/>
      <c r="H719" s="73"/>
      <c r="I719" s="18" t="str">
        <f t="shared" si="46"/>
        <v/>
      </c>
      <c r="J719" s="45"/>
      <c r="K719" s="45"/>
    </row>
    <row r="720" spans="1:11">
      <c r="A720" s="17" t="str">
        <f t="shared" si="47"/>
        <v/>
      </c>
      <c r="B720" s="53"/>
      <c r="C720" s="11" t="str">
        <f t="shared" si="44"/>
        <v/>
      </c>
      <c r="D720" s="11" t="str">
        <f t="shared" si="45"/>
        <v/>
      </c>
      <c r="E720" s="45"/>
      <c r="F720" s="11" t="str">
        <f>IFERROR(VLOOKUP(E720,Category!$D$2:$E$600,2,FALSE),"")</f>
        <v/>
      </c>
      <c r="G720" s="45"/>
      <c r="H720" s="73"/>
      <c r="I720" s="18" t="str">
        <f t="shared" si="46"/>
        <v/>
      </c>
      <c r="J720" s="45"/>
      <c r="K720" s="45"/>
    </row>
    <row r="721" spans="1:11">
      <c r="A721" s="17" t="str">
        <f t="shared" si="47"/>
        <v/>
      </c>
      <c r="B721" s="53"/>
      <c r="C721" s="11" t="str">
        <f t="shared" si="44"/>
        <v/>
      </c>
      <c r="D721" s="11" t="str">
        <f t="shared" si="45"/>
        <v/>
      </c>
      <c r="E721" s="45"/>
      <c r="F721" s="11" t="str">
        <f>IFERROR(VLOOKUP(E721,Category!$D$2:$E$600,2,FALSE),"")</f>
        <v/>
      </c>
      <c r="G721" s="45"/>
      <c r="H721" s="73"/>
      <c r="I721" s="18" t="str">
        <f t="shared" si="46"/>
        <v/>
      </c>
      <c r="J721" s="45"/>
      <c r="K721" s="45"/>
    </row>
    <row r="722" spans="1:11">
      <c r="A722" s="17" t="str">
        <f t="shared" si="47"/>
        <v/>
      </c>
      <c r="B722" s="53"/>
      <c r="C722" s="11" t="str">
        <f t="shared" si="44"/>
        <v/>
      </c>
      <c r="D722" s="11" t="str">
        <f t="shared" si="45"/>
        <v/>
      </c>
      <c r="E722" s="45"/>
      <c r="F722" s="11" t="str">
        <f>IFERROR(VLOOKUP(E722,Category!$D$2:$E$600,2,FALSE),"")</f>
        <v/>
      </c>
      <c r="G722" s="45"/>
      <c r="H722" s="73"/>
      <c r="I722" s="18" t="str">
        <f t="shared" si="46"/>
        <v/>
      </c>
      <c r="J722" s="45"/>
      <c r="K722" s="45"/>
    </row>
    <row r="723" spans="1:11">
      <c r="A723" s="17" t="str">
        <f t="shared" si="47"/>
        <v/>
      </c>
      <c r="B723" s="53"/>
      <c r="C723" s="11" t="str">
        <f t="shared" si="44"/>
        <v/>
      </c>
      <c r="D723" s="11" t="str">
        <f t="shared" si="45"/>
        <v/>
      </c>
      <c r="E723" s="45"/>
      <c r="F723" s="11" t="str">
        <f>IFERROR(VLOOKUP(E723,Category!$D$2:$E$600,2,FALSE),"")</f>
        <v/>
      </c>
      <c r="G723" s="45"/>
      <c r="H723" s="73"/>
      <c r="I723" s="18" t="str">
        <f t="shared" si="46"/>
        <v/>
      </c>
      <c r="J723" s="45"/>
      <c r="K723" s="45"/>
    </row>
    <row r="724" spans="1:11">
      <c r="A724" s="17" t="str">
        <f t="shared" si="47"/>
        <v/>
      </c>
      <c r="B724" s="53"/>
      <c r="C724" s="11" t="str">
        <f t="shared" si="44"/>
        <v/>
      </c>
      <c r="D724" s="11" t="str">
        <f t="shared" si="45"/>
        <v/>
      </c>
      <c r="E724" s="45"/>
      <c r="F724" s="11" t="str">
        <f>IFERROR(VLOOKUP(E724,Category!$D$2:$E$600,2,FALSE),"")</f>
        <v/>
      </c>
      <c r="G724" s="45"/>
      <c r="H724" s="73"/>
      <c r="I724" s="18" t="str">
        <f t="shared" si="46"/>
        <v/>
      </c>
      <c r="J724" s="45"/>
      <c r="K724" s="45"/>
    </row>
    <row r="725" spans="1:11">
      <c r="A725" s="17" t="str">
        <f t="shared" si="47"/>
        <v/>
      </c>
      <c r="B725" s="53"/>
      <c r="C725" s="11" t="str">
        <f t="shared" si="44"/>
        <v/>
      </c>
      <c r="D725" s="11" t="str">
        <f t="shared" si="45"/>
        <v/>
      </c>
      <c r="E725" s="45"/>
      <c r="F725" s="11" t="str">
        <f>IFERROR(VLOOKUP(E725,Category!$D$2:$E$600,2,FALSE),"")</f>
        <v/>
      </c>
      <c r="G725" s="45"/>
      <c r="H725" s="73"/>
      <c r="I725" s="18" t="str">
        <f t="shared" si="46"/>
        <v/>
      </c>
      <c r="J725" s="45"/>
      <c r="K725" s="45"/>
    </row>
    <row r="726" spans="1:11">
      <c r="A726" s="17" t="str">
        <f t="shared" si="47"/>
        <v/>
      </c>
      <c r="B726" s="53"/>
      <c r="C726" s="11" t="str">
        <f t="shared" si="44"/>
        <v/>
      </c>
      <c r="D726" s="11" t="str">
        <f t="shared" si="45"/>
        <v/>
      </c>
      <c r="E726" s="45"/>
      <c r="F726" s="11" t="str">
        <f>IFERROR(VLOOKUP(E726,Category!$D$2:$E$600,2,FALSE),"")</f>
        <v/>
      </c>
      <c r="G726" s="45"/>
      <c r="H726" s="73"/>
      <c r="I726" s="18" t="str">
        <f t="shared" si="46"/>
        <v/>
      </c>
      <c r="J726" s="45"/>
      <c r="K726" s="45"/>
    </row>
    <row r="727" spans="1:11">
      <c r="A727" s="17" t="str">
        <f t="shared" si="47"/>
        <v/>
      </c>
      <c r="B727" s="53"/>
      <c r="C727" s="11" t="str">
        <f t="shared" si="44"/>
        <v/>
      </c>
      <c r="D727" s="11" t="str">
        <f t="shared" si="45"/>
        <v/>
      </c>
      <c r="E727" s="45"/>
      <c r="F727" s="11" t="str">
        <f>IFERROR(VLOOKUP(E727,Category!$D$2:$E$600,2,FALSE),"")</f>
        <v/>
      </c>
      <c r="G727" s="45"/>
      <c r="H727" s="73"/>
      <c r="I727" s="18" t="str">
        <f t="shared" si="46"/>
        <v/>
      </c>
      <c r="J727" s="45"/>
      <c r="K727" s="45"/>
    </row>
    <row r="728" spans="1:11">
      <c r="A728" s="17" t="str">
        <f t="shared" si="47"/>
        <v/>
      </c>
      <c r="B728" s="53"/>
      <c r="C728" s="11" t="str">
        <f t="shared" si="44"/>
        <v/>
      </c>
      <c r="D728" s="11" t="str">
        <f t="shared" si="45"/>
        <v/>
      </c>
      <c r="E728" s="45"/>
      <c r="F728" s="11" t="str">
        <f>IFERROR(VLOOKUP(E728,Category!$D$2:$E$600,2,FALSE),"")</f>
        <v/>
      </c>
      <c r="G728" s="45"/>
      <c r="H728" s="73"/>
      <c r="I728" s="18" t="str">
        <f t="shared" si="46"/>
        <v/>
      </c>
      <c r="J728" s="45"/>
      <c r="K728" s="45"/>
    </row>
    <row r="729" spans="1:11">
      <c r="A729" s="17" t="str">
        <f t="shared" si="47"/>
        <v/>
      </c>
      <c r="B729" s="53"/>
      <c r="C729" s="11" t="str">
        <f t="shared" si="44"/>
        <v/>
      </c>
      <c r="D729" s="11" t="str">
        <f t="shared" si="45"/>
        <v/>
      </c>
      <c r="E729" s="45"/>
      <c r="F729" s="11" t="str">
        <f>IFERROR(VLOOKUP(E729,Category!$D$2:$E$600,2,FALSE),"")</f>
        <v/>
      </c>
      <c r="G729" s="45"/>
      <c r="H729" s="73"/>
      <c r="I729" s="18" t="str">
        <f t="shared" si="46"/>
        <v/>
      </c>
      <c r="J729" s="45"/>
      <c r="K729" s="45"/>
    </row>
    <row r="730" spans="1:11">
      <c r="A730" s="17" t="str">
        <f t="shared" si="47"/>
        <v/>
      </c>
      <c r="B730" s="53"/>
      <c r="C730" s="11" t="str">
        <f t="shared" si="44"/>
        <v/>
      </c>
      <c r="D730" s="11" t="str">
        <f t="shared" si="45"/>
        <v/>
      </c>
      <c r="E730" s="45"/>
      <c r="F730" s="11" t="str">
        <f>IFERROR(VLOOKUP(E730,Category!$D$2:$E$600,2,FALSE),"")</f>
        <v/>
      </c>
      <c r="G730" s="45"/>
      <c r="H730" s="73"/>
      <c r="I730" s="18" t="str">
        <f t="shared" si="46"/>
        <v/>
      </c>
      <c r="J730" s="45"/>
      <c r="K730" s="45"/>
    </row>
    <row r="731" spans="1:11">
      <c r="A731" s="17" t="str">
        <f t="shared" si="47"/>
        <v/>
      </c>
      <c r="B731" s="53"/>
      <c r="C731" s="11" t="str">
        <f t="shared" si="44"/>
        <v/>
      </c>
      <c r="D731" s="11" t="str">
        <f t="shared" si="45"/>
        <v/>
      </c>
      <c r="E731" s="45"/>
      <c r="F731" s="11" t="str">
        <f>IFERROR(VLOOKUP(E731,Category!$D$2:$E$600,2,FALSE),"")</f>
        <v/>
      </c>
      <c r="G731" s="45"/>
      <c r="H731" s="73"/>
      <c r="I731" s="18" t="str">
        <f t="shared" si="46"/>
        <v/>
      </c>
      <c r="J731" s="45"/>
      <c r="K731" s="45"/>
    </row>
    <row r="732" spans="1:11">
      <c r="A732" s="17" t="str">
        <f t="shared" si="47"/>
        <v/>
      </c>
      <c r="B732" s="53"/>
      <c r="C732" s="11" t="str">
        <f t="shared" si="44"/>
        <v/>
      </c>
      <c r="D732" s="11" t="str">
        <f t="shared" si="45"/>
        <v/>
      </c>
      <c r="E732" s="45"/>
      <c r="F732" s="11" t="str">
        <f>IFERROR(VLOOKUP(E732,Category!$D$2:$E$600,2,FALSE),"")</f>
        <v/>
      </c>
      <c r="G732" s="45"/>
      <c r="H732" s="73"/>
      <c r="I732" s="18" t="str">
        <f t="shared" si="46"/>
        <v/>
      </c>
      <c r="J732" s="45"/>
      <c r="K732" s="45"/>
    </row>
    <row r="733" spans="1:11">
      <c r="A733" s="17" t="str">
        <f t="shared" si="47"/>
        <v/>
      </c>
      <c r="B733" s="53"/>
      <c r="C733" s="11" t="str">
        <f t="shared" si="44"/>
        <v/>
      </c>
      <c r="D733" s="11" t="str">
        <f t="shared" si="45"/>
        <v/>
      </c>
      <c r="E733" s="45"/>
      <c r="F733" s="11" t="str">
        <f>IFERROR(VLOOKUP(E733,Category!$D$2:$E$600,2,FALSE),"")</f>
        <v/>
      </c>
      <c r="G733" s="45"/>
      <c r="H733" s="73"/>
      <c r="I733" s="18" t="str">
        <f t="shared" si="46"/>
        <v/>
      </c>
      <c r="J733" s="45"/>
      <c r="K733" s="45"/>
    </row>
    <row r="734" spans="1:11">
      <c r="A734" s="17" t="str">
        <f t="shared" si="47"/>
        <v/>
      </c>
      <c r="B734" s="53"/>
      <c r="C734" s="11" t="str">
        <f t="shared" si="44"/>
        <v/>
      </c>
      <c r="D734" s="11" t="str">
        <f t="shared" si="45"/>
        <v/>
      </c>
      <c r="E734" s="45"/>
      <c r="F734" s="11" t="str">
        <f>IFERROR(VLOOKUP(E734,Category!$D$2:$E$600,2,FALSE),"")</f>
        <v/>
      </c>
      <c r="G734" s="45"/>
      <c r="H734" s="73"/>
      <c r="I734" s="18" t="str">
        <f t="shared" si="46"/>
        <v/>
      </c>
      <c r="J734" s="45"/>
      <c r="K734" s="45"/>
    </row>
    <row r="735" spans="1:11">
      <c r="A735" s="17" t="str">
        <f t="shared" si="47"/>
        <v/>
      </c>
      <c r="B735" s="53"/>
      <c r="C735" s="11" t="str">
        <f t="shared" si="44"/>
        <v/>
      </c>
      <c r="D735" s="11" t="str">
        <f t="shared" si="45"/>
        <v/>
      </c>
      <c r="E735" s="45"/>
      <c r="F735" s="11" t="str">
        <f>IFERROR(VLOOKUP(E735,Category!$D$2:$E$600,2,FALSE),"")</f>
        <v/>
      </c>
      <c r="G735" s="45"/>
      <c r="H735" s="73"/>
      <c r="I735" s="18" t="str">
        <f t="shared" si="46"/>
        <v/>
      </c>
      <c r="J735" s="45"/>
      <c r="K735" s="45"/>
    </row>
    <row r="736" spans="1:11">
      <c r="A736" s="17" t="str">
        <f t="shared" si="47"/>
        <v/>
      </c>
      <c r="B736" s="53"/>
      <c r="C736" s="11" t="str">
        <f t="shared" si="44"/>
        <v/>
      </c>
      <c r="D736" s="11" t="str">
        <f t="shared" si="45"/>
        <v/>
      </c>
      <c r="E736" s="45"/>
      <c r="F736" s="11" t="str">
        <f>IFERROR(VLOOKUP(E736,Category!$D$2:$E$600,2,FALSE),"")</f>
        <v/>
      </c>
      <c r="G736" s="45"/>
      <c r="H736" s="73"/>
      <c r="I736" s="18" t="str">
        <f t="shared" si="46"/>
        <v/>
      </c>
      <c r="J736" s="45"/>
      <c r="K736" s="45"/>
    </row>
    <row r="737" spans="1:11">
      <c r="A737" s="17" t="str">
        <f t="shared" si="47"/>
        <v/>
      </c>
      <c r="B737" s="53"/>
      <c r="C737" s="11" t="str">
        <f t="shared" si="44"/>
        <v/>
      </c>
      <c r="D737" s="11" t="str">
        <f t="shared" si="45"/>
        <v/>
      </c>
      <c r="E737" s="45"/>
      <c r="F737" s="11" t="str">
        <f>IFERROR(VLOOKUP(E737,Category!$D$2:$E$600,2,FALSE),"")</f>
        <v/>
      </c>
      <c r="G737" s="45"/>
      <c r="H737" s="73"/>
      <c r="I737" s="18" t="str">
        <f t="shared" si="46"/>
        <v/>
      </c>
      <c r="J737" s="45"/>
      <c r="K737" s="45"/>
    </row>
    <row r="738" spans="1:11">
      <c r="A738" s="17" t="str">
        <f t="shared" si="47"/>
        <v/>
      </c>
      <c r="B738" s="53"/>
      <c r="C738" s="11" t="str">
        <f t="shared" si="44"/>
        <v/>
      </c>
      <c r="D738" s="11" t="str">
        <f t="shared" si="45"/>
        <v/>
      </c>
      <c r="E738" s="45"/>
      <c r="F738" s="11" t="str">
        <f>IFERROR(VLOOKUP(E738,Category!$D$2:$E$600,2,FALSE),"")</f>
        <v/>
      </c>
      <c r="G738" s="45"/>
      <c r="H738" s="73"/>
      <c r="I738" s="18" t="str">
        <f t="shared" si="46"/>
        <v/>
      </c>
      <c r="J738" s="45"/>
      <c r="K738" s="45"/>
    </row>
    <row r="739" spans="1:11">
      <c r="A739" s="17" t="str">
        <f t="shared" si="47"/>
        <v/>
      </c>
      <c r="B739" s="53"/>
      <c r="C739" s="11" t="str">
        <f t="shared" si="44"/>
        <v/>
      </c>
      <c r="D739" s="11" t="str">
        <f t="shared" si="45"/>
        <v/>
      </c>
      <c r="E739" s="45"/>
      <c r="F739" s="11" t="str">
        <f>IFERROR(VLOOKUP(E739,Category!$D$2:$E$600,2,FALSE),"")</f>
        <v/>
      </c>
      <c r="G739" s="45"/>
      <c r="H739" s="73"/>
      <c r="I739" s="18" t="str">
        <f t="shared" si="46"/>
        <v/>
      </c>
      <c r="J739" s="45"/>
      <c r="K739" s="45"/>
    </row>
    <row r="740" spans="1:11">
      <c r="A740" s="17" t="str">
        <f t="shared" si="47"/>
        <v/>
      </c>
      <c r="B740" s="53"/>
      <c r="C740" s="11" t="str">
        <f t="shared" si="44"/>
        <v/>
      </c>
      <c r="D740" s="11" t="str">
        <f t="shared" si="45"/>
        <v/>
      </c>
      <c r="E740" s="45"/>
      <c r="F740" s="11" t="str">
        <f>IFERROR(VLOOKUP(E740,Category!$D$2:$E$600,2,FALSE),"")</f>
        <v/>
      </c>
      <c r="G740" s="45"/>
      <c r="H740" s="73"/>
      <c r="I740" s="18" t="str">
        <f t="shared" si="46"/>
        <v/>
      </c>
      <c r="J740" s="45"/>
      <c r="K740" s="45"/>
    </row>
    <row r="741" spans="1:11">
      <c r="A741" s="17" t="str">
        <f t="shared" si="47"/>
        <v/>
      </c>
      <c r="B741" s="53"/>
      <c r="C741" s="11" t="str">
        <f t="shared" si="44"/>
        <v/>
      </c>
      <c r="D741" s="11" t="str">
        <f t="shared" si="45"/>
        <v/>
      </c>
      <c r="E741" s="45"/>
      <c r="F741" s="11" t="str">
        <f>IFERROR(VLOOKUP(E741,Category!$D$2:$E$600,2,FALSE),"")</f>
        <v/>
      </c>
      <c r="G741" s="45"/>
      <c r="H741" s="73"/>
      <c r="I741" s="18" t="str">
        <f t="shared" si="46"/>
        <v/>
      </c>
      <c r="J741" s="45"/>
      <c r="K741" s="45"/>
    </row>
    <row r="742" spans="1:11">
      <c r="A742" s="17" t="str">
        <f t="shared" si="47"/>
        <v/>
      </c>
      <c r="B742" s="53"/>
      <c r="C742" s="11" t="str">
        <f t="shared" si="44"/>
        <v/>
      </c>
      <c r="D742" s="11" t="str">
        <f t="shared" si="45"/>
        <v/>
      </c>
      <c r="E742" s="45"/>
      <c r="F742" s="11" t="str">
        <f>IFERROR(VLOOKUP(E742,Category!$D$2:$E$600,2,FALSE),"")</f>
        <v/>
      </c>
      <c r="G742" s="45"/>
      <c r="H742" s="73"/>
      <c r="I742" s="18" t="str">
        <f t="shared" si="46"/>
        <v/>
      </c>
      <c r="J742" s="45"/>
      <c r="K742" s="45"/>
    </row>
    <row r="743" spans="1:11">
      <c r="A743" s="17" t="str">
        <f t="shared" si="47"/>
        <v/>
      </c>
      <c r="B743" s="53"/>
      <c r="C743" s="11" t="str">
        <f t="shared" si="44"/>
        <v/>
      </c>
      <c r="D743" s="11" t="str">
        <f t="shared" si="45"/>
        <v/>
      </c>
      <c r="E743" s="45"/>
      <c r="F743" s="11" t="str">
        <f>IFERROR(VLOOKUP(E743,Category!$D$2:$E$600,2,FALSE),"")</f>
        <v/>
      </c>
      <c r="G743" s="45"/>
      <c r="H743" s="73"/>
      <c r="I743" s="18" t="str">
        <f t="shared" si="46"/>
        <v/>
      </c>
      <c r="J743" s="45"/>
      <c r="K743" s="45"/>
    </row>
    <row r="744" spans="1:11">
      <c r="A744" s="17" t="str">
        <f t="shared" si="47"/>
        <v/>
      </c>
      <c r="B744" s="53"/>
      <c r="C744" s="11" t="str">
        <f t="shared" si="44"/>
        <v/>
      </c>
      <c r="D744" s="11" t="str">
        <f t="shared" si="45"/>
        <v/>
      </c>
      <c r="E744" s="45"/>
      <c r="F744" s="11" t="str">
        <f>IFERROR(VLOOKUP(E744,Category!$D$2:$E$600,2,FALSE),"")</f>
        <v/>
      </c>
      <c r="G744" s="45"/>
      <c r="H744" s="73"/>
      <c r="I744" s="18" t="str">
        <f t="shared" si="46"/>
        <v/>
      </c>
      <c r="J744" s="45"/>
      <c r="K744" s="45"/>
    </row>
    <row r="745" spans="1:11">
      <c r="A745" s="17" t="str">
        <f t="shared" si="47"/>
        <v/>
      </c>
      <c r="B745" s="53"/>
      <c r="C745" s="11" t="str">
        <f t="shared" si="44"/>
        <v/>
      </c>
      <c r="D745" s="11" t="str">
        <f t="shared" si="45"/>
        <v/>
      </c>
      <c r="E745" s="45"/>
      <c r="F745" s="11" t="str">
        <f>IFERROR(VLOOKUP(E745,Category!$D$2:$E$600,2,FALSE),"")</f>
        <v/>
      </c>
      <c r="G745" s="45"/>
      <c r="H745" s="73"/>
      <c r="I745" s="18" t="str">
        <f t="shared" si="46"/>
        <v/>
      </c>
      <c r="J745" s="45"/>
      <c r="K745" s="45"/>
    </row>
    <row r="746" spans="1:11">
      <c r="A746" s="17" t="str">
        <f t="shared" si="47"/>
        <v/>
      </c>
      <c r="B746" s="53"/>
      <c r="C746" s="11" t="str">
        <f t="shared" si="44"/>
        <v/>
      </c>
      <c r="D746" s="11" t="str">
        <f t="shared" si="45"/>
        <v/>
      </c>
      <c r="E746" s="45"/>
      <c r="F746" s="11" t="str">
        <f>IFERROR(VLOOKUP(E746,Category!$D$2:$E$600,2,FALSE),"")</f>
        <v/>
      </c>
      <c r="G746" s="45"/>
      <c r="H746" s="73"/>
      <c r="I746" s="18" t="str">
        <f t="shared" si="46"/>
        <v/>
      </c>
      <c r="J746" s="45"/>
      <c r="K746" s="45"/>
    </row>
    <row r="747" spans="1:11">
      <c r="A747" s="17" t="str">
        <f t="shared" si="47"/>
        <v/>
      </c>
      <c r="B747" s="53"/>
      <c r="C747" s="11" t="str">
        <f t="shared" si="44"/>
        <v/>
      </c>
      <c r="D747" s="11" t="str">
        <f t="shared" si="45"/>
        <v/>
      </c>
      <c r="E747" s="45"/>
      <c r="F747" s="11" t="str">
        <f>IFERROR(VLOOKUP(E747,Category!$D$2:$E$600,2,FALSE),"")</f>
        <v/>
      </c>
      <c r="G747" s="45"/>
      <c r="H747" s="73"/>
      <c r="I747" s="18" t="str">
        <f t="shared" si="46"/>
        <v/>
      </c>
      <c r="J747" s="45"/>
      <c r="K747" s="45"/>
    </row>
    <row r="748" spans="1:11">
      <c r="A748" s="17" t="str">
        <f t="shared" si="47"/>
        <v/>
      </c>
      <c r="B748" s="53"/>
      <c r="C748" s="11" t="str">
        <f t="shared" si="44"/>
        <v/>
      </c>
      <c r="D748" s="11" t="str">
        <f t="shared" si="45"/>
        <v/>
      </c>
      <c r="E748" s="45"/>
      <c r="F748" s="11" t="str">
        <f>IFERROR(VLOOKUP(E748,Category!$D$2:$E$600,2,FALSE),"")</f>
        <v/>
      </c>
      <c r="G748" s="45"/>
      <c r="H748" s="73"/>
      <c r="I748" s="18" t="str">
        <f t="shared" si="46"/>
        <v/>
      </c>
      <c r="J748" s="45"/>
      <c r="K748" s="45"/>
    </row>
    <row r="749" spans="1:11">
      <c r="A749" s="17" t="str">
        <f t="shared" si="47"/>
        <v/>
      </c>
      <c r="B749" s="53"/>
      <c r="C749" s="11" t="str">
        <f t="shared" si="44"/>
        <v/>
      </c>
      <c r="D749" s="11" t="str">
        <f t="shared" si="45"/>
        <v/>
      </c>
      <c r="E749" s="45"/>
      <c r="F749" s="11" t="str">
        <f>IFERROR(VLOOKUP(E749,Category!$D$2:$E$600,2,FALSE),"")</f>
        <v/>
      </c>
      <c r="G749" s="45"/>
      <c r="H749" s="73"/>
      <c r="I749" s="18" t="str">
        <f t="shared" si="46"/>
        <v/>
      </c>
      <c r="J749" s="45"/>
      <c r="K749" s="45"/>
    </row>
    <row r="750" spans="1:11">
      <c r="A750" s="17" t="str">
        <f t="shared" si="47"/>
        <v/>
      </c>
      <c r="B750" s="53"/>
      <c r="C750" s="11" t="str">
        <f t="shared" si="44"/>
        <v/>
      </c>
      <c r="D750" s="11" t="str">
        <f t="shared" si="45"/>
        <v/>
      </c>
      <c r="E750" s="45"/>
      <c r="F750" s="11" t="str">
        <f>IFERROR(VLOOKUP(E750,Category!$D$2:$E$600,2,FALSE),"")</f>
        <v/>
      </c>
      <c r="G750" s="45"/>
      <c r="H750" s="73"/>
      <c r="I750" s="18" t="str">
        <f t="shared" si="46"/>
        <v/>
      </c>
      <c r="J750" s="45"/>
      <c r="K750" s="45"/>
    </row>
    <row r="751" spans="1:11">
      <c r="A751" s="17" t="str">
        <f t="shared" si="47"/>
        <v/>
      </c>
      <c r="B751" s="53"/>
      <c r="C751" s="11" t="str">
        <f t="shared" si="44"/>
        <v/>
      </c>
      <c r="D751" s="11" t="str">
        <f t="shared" si="45"/>
        <v/>
      </c>
      <c r="E751" s="45"/>
      <c r="F751" s="11" t="str">
        <f>IFERROR(VLOOKUP(E751,Category!$D$2:$E$600,2,FALSE),"")</f>
        <v/>
      </c>
      <c r="G751" s="45"/>
      <c r="H751" s="73"/>
      <c r="I751" s="18" t="str">
        <f t="shared" si="46"/>
        <v/>
      </c>
      <c r="J751" s="45"/>
      <c r="K751" s="45"/>
    </row>
    <row r="752" spans="1:11">
      <c r="A752" s="17" t="str">
        <f t="shared" si="47"/>
        <v/>
      </c>
      <c r="B752" s="53"/>
      <c r="C752" s="11" t="str">
        <f t="shared" si="44"/>
        <v/>
      </c>
      <c r="D752" s="11" t="str">
        <f t="shared" si="45"/>
        <v/>
      </c>
      <c r="E752" s="45"/>
      <c r="F752" s="11" t="str">
        <f>IFERROR(VLOOKUP(E752,Category!$D$2:$E$600,2,FALSE),"")</f>
        <v/>
      </c>
      <c r="G752" s="45"/>
      <c r="H752" s="73"/>
      <c r="I752" s="18" t="str">
        <f t="shared" si="46"/>
        <v/>
      </c>
      <c r="J752" s="45"/>
      <c r="K752" s="45"/>
    </row>
    <row r="753" spans="1:11">
      <c r="A753" s="17" t="str">
        <f t="shared" si="47"/>
        <v/>
      </c>
      <c r="B753" s="53"/>
      <c r="C753" s="11" t="str">
        <f t="shared" si="44"/>
        <v/>
      </c>
      <c r="D753" s="11" t="str">
        <f t="shared" si="45"/>
        <v/>
      </c>
      <c r="E753" s="45"/>
      <c r="F753" s="11" t="str">
        <f>IFERROR(VLOOKUP(E753,Category!$D$2:$E$600,2,FALSE),"")</f>
        <v/>
      </c>
      <c r="G753" s="45"/>
      <c r="H753" s="73"/>
      <c r="I753" s="18" t="str">
        <f t="shared" si="46"/>
        <v/>
      </c>
      <c r="J753" s="45"/>
      <c r="K753" s="45"/>
    </row>
    <row r="754" spans="1:11">
      <c r="A754" s="17" t="str">
        <f t="shared" si="47"/>
        <v/>
      </c>
      <c r="B754" s="53"/>
      <c r="C754" s="11" t="str">
        <f t="shared" si="44"/>
        <v/>
      </c>
      <c r="D754" s="11" t="str">
        <f t="shared" si="45"/>
        <v/>
      </c>
      <c r="E754" s="45"/>
      <c r="F754" s="11" t="str">
        <f>IFERROR(VLOOKUP(E754,Category!$D$2:$E$600,2,FALSE),"")</f>
        <v/>
      </c>
      <c r="G754" s="45"/>
      <c r="H754" s="73"/>
      <c r="I754" s="18" t="str">
        <f t="shared" si="46"/>
        <v/>
      </c>
      <c r="J754" s="45"/>
      <c r="K754" s="45"/>
    </row>
    <row r="755" spans="1:11">
      <c r="A755" s="17" t="str">
        <f t="shared" si="47"/>
        <v/>
      </c>
      <c r="B755" s="53"/>
      <c r="C755" s="11" t="str">
        <f t="shared" si="44"/>
        <v/>
      </c>
      <c r="D755" s="11" t="str">
        <f t="shared" si="45"/>
        <v/>
      </c>
      <c r="E755" s="45"/>
      <c r="F755" s="11" t="str">
        <f>IFERROR(VLOOKUP(E755,Category!$D$2:$E$600,2,FALSE),"")</f>
        <v/>
      </c>
      <c r="G755" s="45"/>
      <c r="H755" s="73"/>
      <c r="I755" s="18" t="str">
        <f t="shared" si="46"/>
        <v/>
      </c>
      <c r="J755" s="45"/>
      <c r="K755" s="45"/>
    </row>
    <row r="756" spans="1:11">
      <c r="A756" s="17" t="str">
        <f t="shared" si="47"/>
        <v/>
      </c>
      <c r="B756" s="53"/>
      <c r="C756" s="11" t="str">
        <f t="shared" si="44"/>
        <v/>
      </c>
      <c r="D756" s="11" t="str">
        <f t="shared" si="45"/>
        <v/>
      </c>
      <c r="E756" s="45"/>
      <c r="F756" s="11" t="str">
        <f>IFERROR(VLOOKUP(E756,Category!$D$2:$E$600,2,FALSE),"")</f>
        <v/>
      </c>
      <c r="G756" s="45"/>
      <c r="H756" s="73"/>
      <c r="I756" s="18" t="str">
        <f t="shared" si="46"/>
        <v/>
      </c>
      <c r="J756" s="45"/>
      <c r="K756" s="45"/>
    </row>
    <row r="757" spans="1:11">
      <c r="A757" s="17" t="str">
        <f t="shared" si="47"/>
        <v/>
      </c>
      <c r="B757" s="53"/>
      <c r="C757" s="11" t="str">
        <f t="shared" si="44"/>
        <v/>
      </c>
      <c r="D757" s="11" t="str">
        <f t="shared" si="45"/>
        <v/>
      </c>
      <c r="E757" s="45"/>
      <c r="F757" s="11" t="str">
        <f>IFERROR(VLOOKUP(E757,Category!$D$2:$E$600,2,FALSE),"")</f>
        <v/>
      </c>
      <c r="G757" s="45"/>
      <c r="H757" s="73"/>
      <c r="I757" s="18" t="str">
        <f t="shared" si="46"/>
        <v/>
      </c>
      <c r="J757" s="45"/>
      <c r="K757" s="45"/>
    </row>
    <row r="758" spans="1:11">
      <c r="A758" s="17" t="str">
        <f t="shared" si="47"/>
        <v/>
      </c>
      <c r="B758" s="53"/>
      <c r="C758" s="11" t="str">
        <f t="shared" si="44"/>
        <v/>
      </c>
      <c r="D758" s="11" t="str">
        <f t="shared" si="45"/>
        <v/>
      </c>
      <c r="E758" s="45"/>
      <c r="F758" s="11" t="str">
        <f>IFERROR(VLOOKUP(E758,Category!$D$2:$E$600,2,FALSE),"")</f>
        <v/>
      </c>
      <c r="G758" s="45"/>
      <c r="H758" s="73"/>
      <c r="I758" s="18" t="str">
        <f t="shared" si="46"/>
        <v/>
      </c>
      <c r="J758" s="45"/>
      <c r="K758" s="45"/>
    </row>
    <row r="759" spans="1:11">
      <c r="A759" s="17" t="str">
        <f t="shared" si="47"/>
        <v/>
      </c>
      <c r="B759" s="53"/>
      <c r="C759" s="11" t="str">
        <f t="shared" si="44"/>
        <v/>
      </c>
      <c r="D759" s="11" t="str">
        <f t="shared" si="45"/>
        <v/>
      </c>
      <c r="E759" s="45"/>
      <c r="F759" s="11" t="str">
        <f>IFERROR(VLOOKUP(E759,Category!$D$2:$E$600,2,FALSE),"")</f>
        <v/>
      </c>
      <c r="G759" s="45"/>
      <c r="H759" s="73"/>
      <c r="I759" s="18" t="str">
        <f t="shared" si="46"/>
        <v/>
      </c>
      <c r="J759" s="45"/>
      <c r="K759" s="45"/>
    </row>
    <row r="760" spans="1:11">
      <c r="A760" s="17" t="str">
        <f t="shared" si="47"/>
        <v/>
      </c>
      <c r="B760" s="53"/>
      <c r="C760" s="11" t="str">
        <f t="shared" si="44"/>
        <v/>
      </c>
      <c r="D760" s="11" t="str">
        <f t="shared" si="45"/>
        <v/>
      </c>
      <c r="E760" s="45"/>
      <c r="F760" s="11" t="str">
        <f>IFERROR(VLOOKUP(E760,Category!$D$2:$E$600,2,FALSE),"")</f>
        <v/>
      </c>
      <c r="G760" s="45"/>
      <c r="H760" s="73"/>
      <c r="I760" s="18" t="str">
        <f t="shared" si="46"/>
        <v/>
      </c>
      <c r="J760" s="45"/>
      <c r="K760" s="45"/>
    </row>
    <row r="761" spans="1:11">
      <c r="A761" s="17" t="str">
        <f t="shared" si="47"/>
        <v/>
      </c>
      <c r="B761" s="53"/>
      <c r="C761" s="11" t="str">
        <f t="shared" si="44"/>
        <v/>
      </c>
      <c r="D761" s="11" t="str">
        <f t="shared" si="45"/>
        <v/>
      </c>
      <c r="E761" s="45"/>
      <c r="F761" s="11" t="str">
        <f>IFERROR(VLOOKUP(E761,Category!$D$2:$E$600,2,FALSE),"")</f>
        <v/>
      </c>
      <c r="G761" s="45"/>
      <c r="H761" s="73"/>
      <c r="I761" s="18" t="str">
        <f t="shared" si="46"/>
        <v/>
      </c>
      <c r="J761" s="45"/>
      <c r="K761" s="45"/>
    </row>
    <row r="762" spans="1:11">
      <c r="A762" s="17" t="str">
        <f t="shared" si="47"/>
        <v/>
      </c>
      <c r="B762" s="53"/>
      <c r="C762" s="11" t="str">
        <f t="shared" si="44"/>
        <v/>
      </c>
      <c r="D762" s="11" t="str">
        <f t="shared" si="45"/>
        <v/>
      </c>
      <c r="E762" s="45"/>
      <c r="F762" s="11" t="str">
        <f>IFERROR(VLOOKUP(E762,Category!$D$2:$E$600,2,FALSE),"")</f>
        <v/>
      </c>
      <c r="G762" s="45"/>
      <c r="H762" s="73"/>
      <c r="I762" s="18" t="str">
        <f t="shared" si="46"/>
        <v/>
      </c>
      <c r="J762" s="45"/>
      <c r="K762" s="45"/>
    </row>
    <row r="763" spans="1:11">
      <c r="A763" s="17" t="str">
        <f t="shared" si="47"/>
        <v/>
      </c>
      <c r="B763" s="53"/>
      <c r="C763" s="11" t="str">
        <f t="shared" si="44"/>
        <v/>
      </c>
      <c r="D763" s="11" t="str">
        <f t="shared" si="45"/>
        <v/>
      </c>
      <c r="E763" s="45"/>
      <c r="F763" s="11" t="str">
        <f>IFERROR(VLOOKUP(E763,Category!$D$2:$E$600,2,FALSE),"")</f>
        <v/>
      </c>
      <c r="G763" s="45"/>
      <c r="H763" s="73"/>
      <c r="I763" s="18" t="str">
        <f t="shared" si="46"/>
        <v/>
      </c>
      <c r="J763" s="45"/>
      <c r="K763" s="45"/>
    </row>
    <row r="764" spans="1:11">
      <c r="A764" s="17" t="str">
        <f t="shared" si="47"/>
        <v/>
      </c>
      <c r="B764" s="53"/>
      <c r="C764" s="11" t="str">
        <f t="shared" si="44"/>
        <v/>
      </c>
      <c r="D764" s="11" t="str">
        <f t="shared" si="45"/>
        <v/>
      </c>
      <c r="E764" s="45"/>
      <c r="F764" s="11" t="str">
        <f>IFERROR(VLOOKUP(E764,Category!$D$2:$E$600,2,FALSE),"")</f>
        <v/>
      </c>
      <c r="G764" s="45"/>
      <c r="H764" s="73"/>
      <c r="I764" s="18" t="str">
        <f t="shared" si="46"/>
        <v/>
      </c>
      <c r="J764" s="45"/>
      <c r="K764" s="45"/>
    </row>
    <row r="765" spans="1:11">
      <c r="A765" s="17" t="str">
        <f t="shared" si="47"/>
        <v/>
      </c>
      <c r="B765" s="53"/>
      <c r="C765" s="11" t="str">
        <f t="shared" si="44"/>
        <v/>
      </c>
      <c r="D765" s="11" t="str">
        <f t="shared" si="45"/>
        <v/>
      </c>
      <c r="E765" s="45"/>
      <c r="F765" s="11" t="str">
        <f>IFERROR(VLOOKUP(E765,Category!$D$2:$E$600,2,FALSE),"")</f>
        <v/>
      </c>
      <c r="G765" s="45"/>
      <c r="H765" s="73"/>
      <c r="I765" s="18" t="str">
        <f t="shared" si="46"/>
        <v/>
      </c>
      <c r="J765" s="45"/>
      <c r="K765" s="45"/>
    </row>
    <row r="766" spans="1:11">
      <c r="A766" s="17" t="str">
        <f t="shared" si="47"/>
        <v/>
      </c>
      <c r="B766" s="53"/>
      <c r="C766" s="11" t="str">
        <f t="shared" si="44"/>
        <v/>
      </c>
      <c r="D766" s="11" t="str">
        <f t="shared" si="45"/>
        <v/>
      </c>
      <c r="E766" s="45"/>
      <c r="F766" s="11" t="str">
        <f>IFERROR(VLOOKUP(E766,Category!$D$2:$E$600,2,FALSE),"")</f>
        <v/>
      </c>
      <c r="G766" s="45"/>
      <c r="H766" s="73"/>
      <c r="I766" s="18" t="str">
        <f t="shared" si="46"/>
        <v/>
      </c>
      <c r="J766" s="45"/>
      <c r="K766" s="45"/>
    </row>
    <row r="767" spans="1:11">
      <c r="A767" s="17" t="str">
        <f t="shared" si="47"/>
        <v/>
      </c>
      <c r="B767" s="53"/>
      <c r="C767" s="11" t="str">
        <f t="shared" si="44"/>
        <v/>
      </c>
      <c r="D767" s="11" t="str">
        <f t="shared" si="45"/>
        <v/>
      </c>
      <c r="E767" s="45"/>
      <c r="F767" s="11" t="str">
        <f>IFERROR(VLOOKUP(E767,Category!$D$2:$E$600,2,FALSE),"")</f>
        <v/>
      </c>
      <c r="G767" s="45"/>
      <c r="H767" s="73"/>
      <c r="I767" s="18" t="str">
        <f t="shared" si="46"/>
        <v/>
      </c>
      <c r="J767" s="45"/>
      <c r="K767" s="45"/>
    </row>
    <row r="768" spans="1:11">
      <c r="A768" s="17" t="str">
        <f t="shared" si="47"/>
        <v/>
      </c>
      <c r="B768" s="53"/>
      <c r="C768" s="11" t="str">
        <f t="shared" si="44"/>
        <v/>
      </c>
      <c r="D768" s="11" t="str">
        <f t="shared" si="45"/>
        <v/>
      </c>
      <c r="E768" s="45"/>
      <c r="F768" s="11" t="str">
        <f>IFERROR(VLOOKUP(E768,Category!$D$2:$E$600,2,FALSE),"")</f>
        <v/>
      </c>
      <c r="G768" s="45"/>
      <c r="H768" s="73"/>
      <c r="I768" s="18" t="str">
        <f t="shared" si="46"/>
        <v/>
      </c>
      <c r="J768" s="45"/>
      <c r="K768" s="45"/>
    </row>
    <row r="769" spans="1:11">
      <c r="A769" s="17" t="str">
        <f t="shared" si="47"/>
        <v/>
      </c>
      <c r="B769" s="53"/>
      <c r="C769" s="11" t="str">
        <f t="shared" si="44"/>
        <v/>
      </c>
      <c r="D769" s="11" t="str">
        <f t="shared" si="45"/>
        <v/>
      </c>
      <c r="E769" s="45"/>
      <c r="F769" s="11" t="str">
        <f>IFERROR(VLOOKUP(E769,Category!$D$2:$E$600,2,FALSE),"")</f>
        <v/>
      </c>
      <c r="G769" s="45"/>
      <c r="H769" s="73"/>
      <c r="I769" s="18" t="str">
        <f t="shared" si="46"/>
        <v/>
      </c>
      <c r="J769" s="45"/>
      <c r="K769" s="45"/>
    </row>
    <row r="770" spans="1:11">
      <c r="A770" s="17" t="str">
        <f t="shared" si="47"/>
        <v/>
      </c>
      <c r="B770" s="53"/>
      <c r="C770" s="11" t="str">
        <f t="shared" si="44"/>
        <v/>
      </c>
      <c r="D770" s="11" t="str">
        <f t="shared" si="45"/>
        <v/>
      </c>
      <c r="E770" s="45"/>
      <c r="F770" s="11" t="str">
        <f>IFERROR(VLOOKUP(E770,Category!$D$2:$E$600,2,FALSE),"")</f>
        <v/>
      </c>
      <c r="G770" s="45"/>
      <c r="H770" s="73"/>
      <c r="I770" s="18" t="str">
        <f t="shared" si="46"/>
        <v/>
      </c>
      <c r="J770" s="45"/>
      <c r="K770" s="45"/>
    </row>
    <row r="771" spans="1:11">
      <c r="A771" s="17" t="str">
        <f t="shared" si="47"/>
        <v/>
      </c>
      <c r="B771" s="53"/>
      <c r="C771" s="11" t="str">
        <f t="shared" ref="C771:C834" si="48">IF(B771=0,"",TEXT(B771,"mmmm"))</f>
        <v/>
      </c>
      <c r="D771" s="11" t="str">
        <f t="shared" ref="D771:D834" si="49">IF(B771=0,"",TEXT(B771,"yyyy"))</f>
        <v/>
      </c>
      <c r="E771" s="45"/>
      <c r="F771" s="11" t="str">
        <f>IFERROR(VLOOKUP(E771,Category!$D$2:$E$600,2,FALSE),"")</f>
        <v/>
      </c>
      <c r="G771" s="45"/>
      <c r="H771" s="73"/>
      <c r="I771" s="18" t="str">
        <f t="shared" ref="I771:I834" si="50">IF(G771*H771=0,"",G771*H771)</f>
        <v/>
      </c>
      <c r="J771" s="45"/>
      <c r="K771" s="45"/>
    </row>
    <row r="772" spans="1:11">
      <c r="A772" s="17" t="str">
        <f t="shared" ref="A772:A835" si="51">IF(E772&gt;0,A771+1,"")</f>
        <v/>
      </c>
      <c r="B772" s="53"/>
      <c r="C772" s="11" t="str">
        <f t="shared" si="48"/>
        <v/>
      </c>
      <c r="D772" s="11" t="str">
        <f t="shared" si="49"/>
        <v/>
      </c>
      <c r="E772" s="45"/>
      <c r="F772" s="11" t="str">
        <f>IFERROR(VLOOKUP(E772,Category!$D$2:$E$600,2,FALSE),"")</f>
        <v/>
      </c>
      <c r="G772" s="45"/>
      <c r="H772" s="73"/>
      <c r="I772" s="18" t="str">
        <f t="shared" si="50"/>
        <v/>
      </c>
      <c r="J772" s="45"/>
      <c r="K772" s="45"/>
    </row>
    <row r="773" spans="1:11">
      <c r="A773" s="17" t="str">
        <f t="shared" si="51"/>
        <v/>
      </c>
      <c r="B773" s="53"/>
      <c r="C773" s="11" t="str">
        <f t="shared" si="48"/>
        <v/>
      </c>
      <c r="D773" s="11" t="str">
        <f t="shared" si="49"/>
        <v/>
      </c>
      <c r="E773" s="45"/>
      <c r="F773" s="11" t="str">
        <f>IFERROR(VLOOKUP(E773,Category!$D$2:$E$600,2,FALSE),"")</f>
        <v/>
      </c>
      <c r="G773" s="45"/>
      <c r="H773" s="73"/>
      <c r="I773" s="18" t="str">
        <f t="shared" si="50"/>
        <v/>
      </c>
      <c r="J773" s="45"/>
      <c r="K773" s="45"/>
    </row>
    <row r="774" spans="1:11">
      <c r="A774" s="17" t="str">
        <f t="shared" si="51"/>
        <v/>
      </c>
      <c r="B774" s="53"/>
      <c r="C774" s="11" t="str">
        <f t="shared" si="48"/>
        <v/>
      </c>
      <c r="D774" s="11" t="str">
        <f t="shared" si="49"/>
        <v/>
      </c>
      <c r="E774" s="45"/>
      <c r="F774" s="11" t="str">
        <f>IFERROR(VLOOKUP(E774,Category!$D$2:$E$600,2,FALSE),"")</f>
        <v/>
      </c>
      <c r="G774" s="45"/>
      <c r="H774" s="73"/>
      <c r="I774" s="18" t="str">
        <f t="shared" si="50"/>
        <v/>
      </c>
      <c r="J774" s="45"/>
      <c r="K774" s="45"/>
    </row>
    <row r="775" spans="1:11">
      <c r="A775" s="17" t="str">
        <f t="shared" si="51"/>
        <v/>
      </c>
      <c r="B775" s="53"/>
      <c r="C775" s="11" t="str">
        <f t="shared" si="48"/>
        <v/>
      </c>
      <c r="D775" s="11" t="str">
        <f t="shared" si="49"/>
        <v/>
      </c>
      <c r="E775" s="45"/>
      <c r="F775" s="11" t="str">
        <f>IFERROR(VLOOKUP(E775,Category!$D$2:$E$600,2,FALSE),"")</f>
        <v/>
      </c>
      <c r="G775" s="45"/>
      <c r="H775" s="73"/>
      <c r="I775" s="18" t="str">
        <f t="shared" si="50"/>
        <v/>
      </c>
      <c r="J775" s="45"/>
      <c r="K775" s="45"/>
    </row>
    <row r="776" spans="1:11">
      <c r="A776" s="17" t="str">
        <f t="shared" si="51"/>
        <v/>
      </c>
      <c r="B776" s="53"/>
      <c r="C776" s="11" t="str">
        <f t="shared" si="48"/>
        <v/>
      </c>
      <c r="D776" s="11" t="str">
        <f t="shared" si="49"/>
        <v/>
      </c>
      <c r="E776" s="45"/>
      <c r="F776" s="11" t="str">
        <f>IFERROR(VLOOKUP(E776,Category!$D$2:$E$600,2,FALSE),"")</f>
        <v/>
      </c>
      <c r="G776" s="45"/>
      <c r="H776" s="73"/>
      <c r="I776" s="18" t="str">
        <f t="shared" si="50"/>
        <v/>
      </c>
      <c r="J776" s="45"/>
      <c r="K776" s="45"/>
    </row>
    <row r="777" spans="1:11">
      <c r="A777" s="17" t="str">
        <f t="shared" si="51"/>
        <v/>
      </c>
      <c r="B777" s="53"/>
      <c r="C777" s="11" t="str">
        <f t="shared" si="48"/>
        <v/>
      </c>
      <c r="D777" s="11" t="str">
        <f t="shared" si="49"/>
        <v/>
      </c>
      <c r="E777" s="45"/>
      <c r="F777" s="11" t="str">
        <f>IFERROR(VLOOKUP(E777,Category!$D$2:$E$600,2,FALSE),"")</f>
        <v/>
      </c>
      <c r="G777" s="45"/>
      <c r="H777" s="73"/>
      <c r="I777" s="18" t="str">
        <f t="shared" si="50"/>
        <v/>
      </c>
      <c r="J777" s="45"/>
      <c r="K777" s="45"/>
    </row>
    <row r="778" spans="1:11">
      <c r="A778" s="17" t="str">
        <f t="shared" si="51"/>
        <v/>
      </c>
      <c r="B778" s="53"/>
      <c r="C778" s="11" t="str">
        <f t="shared" si="48"/>
        <v/>
      </c>
      <c r="D778" s="11" t="str">
        <f t="shared" si="49"/>
        <v/>
      </c>
      <c r="E778" s="45"/>
      <c r="F778" s="11" t="str">
        <f>IFERROR(VLOOKUP(E778,Category!$D$2:$E$600,2,FALSE),"")</f>
        <v/>
      </c>
      <c r="G778" s="45"/>
      <c r="H778" s="73"/>
      <c r="I778" s="18" t="str">
        <f t="shared" si="50"/>
        <v/>
      </c>
      <c r="J778" s="45"/>
      <c r="K778" s="45"/>
    </row>
    <row r="779" spans="1:11">
      <c r="A779" s="17" t="str">
        <f t="shared" si="51"/>
        <v/>
      </c>
      <c r="B779" s="53"/>
      <c r="C779" s="11" t="str">
        <f t="shared" si="48"/>
        <v/>
      </c>
      <c r="D779" s="11" t="str">
        <f t="shared" si="49"/>
        <v/>
      </c>
      <c r="E779" s="45"/>
      <c r="F779" s="11" t="str">
        <f>IFERROR(VLOOKUP(E779,Category!$D$2:$E$600,2,FALSE),"")</f>
        <v/>
      </c>
      <c r="G779" s="45"/>
      <c r="H779" s="73"/>
      <c r="I779" s="18" t="str">
        <f t="shared" si="50"/>
        <v/>
      </c>
      <c r="J779" s="45"/>
      <c r="K779" s="45"/>
    </row>
    <row r="780" spans="1:11">
      <c r="A780" s="17" t="str">
        <f t="shared" si="51"/>
        <v/>
      </c>
      <c r="B780" s="53"/>
      <c r="C780" s="11" t="str">
        <f t="shared" si="48"/>
        <v/>
      </c>
      <c r="D780" s="11" t="str">
        <f t="shared" si="49"/>
        <v/>
      </c>
      <c r="E780" s="45"/>
      <c r="F780" s="11" t="str">
        <f>IFERROR(VLOOKUP(E780,Category!$D$2:$E$600,2,FALSE),"")</f>
        <v/>
      </c>
      <c r="G780" s="45"/>
      <c r="H780" s="73"/>
      <c r="I780" s="18" t="str">
        <f t="shared" si="50"/>
        <v/>
      </c>
      <c r="J780" s="45"/>
      <c r="K780" s="45"/>
    </row>
    <row r="781" spans="1:11">
      <c r="A781" s="17" t="str">
        <f t="shared" si="51"/>
        <v/>
      </c>
      <c r="B781" s="53"/>
      <c r="C781" s="11" t="str">
        <f t="shared" si="48"/>
        <v/>
      </c>
      <c r="D781" s="11" t="str">
        <f t="shared" si="49"/>
        <v/>
      </c>
      <c r="E781" s="45"/>
      <c r="F781" s="11" t="str">
        <f>IFERROR(VLOOKUP(E781,Category!$D$2:$E$600,2,FALSE),"")</f>
        <v/>
      </c>
      <c r="G781" s="45"/>
      <c r="H781" s="73"/>
      <c r="I781" s="18" t="str">
        <f t="shared" si="50"/>
        <v/>
      </c>
      <c r="J781" s="45"/>
      <c r="K781" s="45"/>
    </row>
    <row r="782" spans="1:11">
      <c r="A782" s="17" t="str">
        <f t="shared" si="51"/>
        <v/>
      </c>
      <c r="B782" s="53"/>
      <c r="C782" s="11" t="str">
        <f t="shared" si="48"/>
        <v/>
      </c>
      <c r="D782" s="11" t="str">
        <f t="shared" si="49"/>
        <v/>
      </c>
      <c r="E782" s="45"/>
      <c r="F782" s="11" t="str">
        <f>IFERROR(VLOOKUP(E782,Category!$D$2:$E$600,2,FALSE),"")</f>
        <v/>
      </c>
      <c r="G782" s="45"/>
      <c r="H782" s="73"/>
      <c r="I782" s="18" t="str">
        <f t="shared" si="50"/>
        <v/>
      </c>
      <c r="J782" s="45"/>
      <c r="K782" s="45"/>
    </row>
    <row r="783" spans="1:11">
      <c r="A783" s="17" t="str">
        <f t="shared" si="51"/>
        <v/>
      </c>
      <c r="B783" s="53"/>
      <c r="C783" s="11" t="str">
        <f t="shared" si="48"/>
        <v/>
      </c>
      <c r="D783" s="11" t="str">
        <f t="shared" si="49"/>
        <v/>
      </c>
      <c r="E783" s="45"/>
      <c r="F783" s="11" t="str">
        <f>IFERROR(VLOOKUP(E783,Category!$D$2:$E$600,2,FALSE),"")</f>
        <v/>
      </c>
      <c r="G783" s="45"/>
      <c r="H783" s="73"/>
      <c r="I783" s="18" t="str">
        <f t="shared" si="50"/>
        <v/>
      </c>
      <c r="J783" s="45"/>
      <c r="K783" s="45"/>
    </row>
    <row r="784" spans="1:11">
      <c r="A784" s="17" t="str">
        <f t="shared" si="51"/>
        <v/>
      </c>
      <c r="B784" s="53"/>
      <c r="C784" s="11" t="str">
        <f t="shared" si="48"/>
        <v/>
      </c>
      <c r="D784" s="11" t="str">
        <f t="shared" si="49"/>
        <v/>
      </c>
      <c r="E784" s="45"/>
      <c r="F784" s="11" t="str">
        <f>IFERROR(VLOOKUP(E784,Category!$D$2:$E$600,2,FALSE),"")</f>
        <v/>
      </c>
      <c r="G784" s="45"/>
      <c r="H784" s="73"/>
      <c r="I784" s="18" t="str">
        <f t="shared" si="50"/>
        <v/>
      </c>
      <c r="J784" s="45"/>
      <c r="K784" s="45"/>
    </row>
    <row r="785" spans="1:11">
      <c r="A785" s="17" t="str">
        <f t="shared" si="51"/>
        <v/>
      </c>
      <c r="B785" s="53"/>
      <c r="C785" s="11" t="str">
        <f t="shared" si="48"/>
        <v/>
      </c>
      <c r="D785" s="11" t="str">
        <f t="shared" si="49"/>
        <v/>
      </c>
      <c r="E785" s="45"/>
      <c r="F785" s="11" t="str">
        <f>IFERROR(VLOOKUP(E785,Category!$D$2:$E$600,2,FALSE),"")</f>
        <v/>
      </c>
      <c r="G785" s="45"/>
      <c r="H785" s="73"/>
      <c r="I785" s="18" t="str">
        <f t="shared" si="50"/>
        <v/>
      </c>
      <c r="J785" s="45"/>
      <c r="K785" s="45"/>
    </row>
    <row r="786" spans="1:11">
      <c r="A786" s="17" t="str">
        <f t="shared" si="51"/>
        <v/>
      </c>
      <c r="B786" s="53"/>
      <c r="C786" s="11" t="str">
        <f t="shared" si="48"/>
        <v/>
      </c>
      <c r="D786" s="11" t="str">
        <f t="shared" si="49"/>
        <v/>
      </c>
      <c r="E786" s="45"/>
      <c r="F786" s="11" t="str">
        <f>IFERROR(VLOOKUP(E786,Category!$D$2:$E$600,2,FALSE),"")</f>
        <v/>
      </c>
      <c r="G786" s="45"/>
      <c r="H786" s="73"/>
      <c r="I786" s="18" t="str">
        <f t="shared" si="50"/>
        <v/>
      </c>
      <c r="J786" s="45"/>
      <c r="K786" s="45"/>
    </row>
    <row r="787" spans="1:11">
      <c r="A787" s="17" t="str">
        <f t="shared" si="51"/>
        <v/>
      </c>
      <c r="B787" s="53"/>
      <c r="C787" s="11" t="str">
        <f t="shared" si="48"/>
        <v/>
      </c>
      <c r="D787" s="11" t="str">
        <f t="shared" si="49"/>
        <v/>
      </c>
      <c r="E787" s="45"/>
      <c r="F787" s="11" t="str">
        <f>IFERROR(VLOOKUP(E787,Category!$D$2:$E$600,2,FALSE),"")</f>
        <v/>
      </c>
      <c r="G787" s="45"/>
      <c r="H787" s="73"/>
      <c r="I787" s="18" t="str">
        <f t="shared" si="50"/>
        <v/>
      </c>
      <c r="J787" s="45"/>
      <c r="K787" s="45"/>
    </row>
    <row r="788" spans="1:11">
      <c r="A788" s="17" t="str">
        <f t="shared" si="51"/>
        <v/>
      </c>
      <c r="B788" s="53"/>
      <c r="C788" s="11" t="str">
        <f t="shared" si="48"/>
        <v/>
      </c>
      <c r="D788" s="11" t="str">
        <f t="shared" si="49"/>
        <v/>
      </c>
      <c r="E788" s="45"/>
      <c r="F788" s="11" t="str">
        <f>IFERROR(VLOOKUP(E788,Category!$D$2:$E$600,2,FALSE),"")</f>
        <v/>
      </c>
      <c r="G788" s="45"/>
      <c r="H788" s="73"/>
      <c r="I788" s="18" t="str">
        <f t="shared" si="50"/>
        <v/>
      </c>
      <c r="J788" s="45"/>
      <c r="K788" s="45"/>
    </row>
    <row r="789" spans="1:11">
      <c r="A789" s="17" t="str">
        <f t="shared" si="51"/>
        <v/>
      </c>
      <c r="B789" s="53"/>
      <c r="C789" s="11" t="str">
        <f t="shared" si="48"/>
        <v/>
      </c>
      <c r="D789" s="11" t="str">
        <f t="shared" si="49"/>
        <v/>
      </c>
      <c r="E789" s="45"/>
      <c r="F789" s="11" t="str">
        <f>IFERROR(VLOOKUP(E789,Category!$D$2:$E$600,2,FALSE),"")</f>
        <v/>
      </c>
      <c r="G789" s="45"/>
      <c r="H789" s="73"/>
      <c r="I789" s="18" t="str">
        <f t="shared" si="50"/>
        <v/>
      </c>
      <c r="J789" s="45"/>
      <c r="K789" s="45"/>
    </row>
    <row r="790" spans="1:11">
      <c r="A790" s="17" t="str">
        <f t="shared" si="51"/>
        <v/>
      </c>
      <c r="B790" s="53"/>
      <c r="C790" s="11" t="str">
        <f t="shared" si="48"/>
        <v/>
      </c>
      <c r="D790" s="11" t="str">
        <f t="shared" si="49"/>
        <v/>
      </c>
      <c r="E790" s="45"/>
      <c r="F790" s="11" t="str">
        <f>IFERROR(VLOOKUP(E790,Category!$D$2:$E$600,2,FALSE),"")</f>
        <v/>
      </c>
      <c r="G790" s="45"/>
      <c r="H790" s="73"/>
      <c r="I790" s="18" t="str">
        <f t="shared" si="50"/>
        <v/>
      </c>
      <c r="J790" s="45"/>
      <c r="K790" s="45"/>
    </row>
    <row r="791" spans="1:11">
      <c r="A791" s="17" t="str">
        <f t="shared" si="51"/>
        <v/>
      </c>
      <c r="B791" s="53"/>
      <c r="C791" s="11" t="str">
        <f t="shared" si="48"/>
        <v/>
      </c>
      <c r="D791" s="11" t="str">
        <f t="shared" si="49"/>
        <v/>
      </c>
      <c r="E791" s="45"/>
      <c r="F791" s="11" t="str">
        <f>IFERROR(VLOOKUP(E791,Category!$D$2:$E$600,2,FALSE),"")</f>
        <v/>
      </c>
      <c r="G791" s="45"/>
      <c r="H791" s="73"/>
      <c r="I791" s="18" t="str">
        <f t="shared" si="50"/>
        <v/>
      </c>
      <c r="J791" s="45"/>
      <c r="K791" s="45"/>
    </row>
    <row r="792" spans="1:11">
      <c r="A792" s="17" t="str">
        <f t="shared" si="51"/>
        <v/>
      </c>
      <c r="B792" s="53"/>
      <c r="C792" s="11" t="str">
        <f t="shared" si="48"/>
        <v/>
      </c>
      <c r="D792" s="11" t="str">
        <f t="shared" si="49"/>
        <v/>
      </c>
      <c r="E792" s="45"/>
      <c r="F792" s="11" t="str">
        <f>IFERROR(VLOOKUP(E792,Category!$D$2:$E$600,2,FALSE),"")</f>
        <v/>
      </c>
      <c r="G792" s="45"/>
      <c r="H792" s="73"/>
      <c r="I792" s="18" t="str">
        <f t="shared" si="50"/>
        <v/>
      </c>
      <c r="J792" s="45"/>
      <c r="K792" s="45"/>
    </row>
    <row r="793" spans="1:11">
      <c r="A793" s="17" t="str">
        <f t="shared" si="51"/>
        <v/>
      </c>
      <c r="B793" s="53"/>
      <c r="C793" s="11" t="str">
        <f t="shared" si="48"/>
        <v/>
      </c>
      <c r="D793" s="11" t="str">
        <f t="shared" si="49"/>
        <v/>
      </c>
      <c r="E793" s="45"/>
      <c r="F793" s="11" t="str">
        <f>IFERROR(VLOOKUP(E793,Category!$D$2:$E$600,2,FALSE),"")</f>
        <v/>
      </c>
      <c r="G793" s="45"/>
      <c r="H793" s="73"/>
      <c r="I793" s="18" t="str">
        <f t="shared" si="50"/>
        <v/>
      </c>
      <c r="J793" s="45"/>
      <c r="K793" s="45"/>
    </row>
    <row r="794" spans="1:11">
      <c r="A794" s="17" t="str">
        <f t="shared" si="51"/>
        <v/>
      </c>
      <c r="B794" s="53"/>
      <c r="C794" s="11" t="str">
        <f t="shared" si="48"/>
        <v/>
      </c>
      <c r="D794" s="11" t="str">
        <f t="shared" si="49"/>
        <v/>
      </c>
      <c r="E794" s="45"/>
      <c r="F794" s="11" t="str">
        <f>IFERROR(VLOOKUP(E794,Category!$D$2:$E$600,2,FALSE),"")</f>
        <v/>
      </c>
      <c r="G794" s="45"/>
      <c r="H794" s="73"/>
      <c r="I794" s="18" t="str">
        <f t="shared" si="50"/>
        <v/>
      </c>
      <c r="J794" s="45"/>
      <c r="K794" s="45"/>
    </row>
    <row r="795" spans="1:11">
      <c r="A795" s="17" t="str">
        <f t="shared" si="51"/>
        <v/>
      </c>
      <c r="B795" s="53"/>
      <c r="C795" s="11" t="str">
        <f t="shared" si="48"/>
        <v/>
      </c>
      <c r="D795" s="11" t="str">
        <f t="shared" si="49"/>
        <v/>
      </c>
      <c r="E795" s="45"/>
      <c r="F795" s="11" t="str">
        <f>IFERROR(VLOOKUP(E795,Category!$D$2:$E$600,2,FALSE),"")</f>
        <v/>
      </c>
      <c r="G795" s="45"/>
      <c r="H795" s="73"/>
      <c r="I795" s="18" t="str">
        <f t="shared" si="50"/>
        <v/>
      </c>
      <c r="J795" s="45"/>
      <c r="K795" s="45"/>
    </row>
    <row r="796" spans="1:11">
      <c r="A796" s="17" t="str">
        <f t="shared" si="51"/>
        <v/>
      </c>
      <c r="B796" s="53"/>
      <c r="C796" s="11" t="str">
        <f t="shared" si="48"/>
        <v/>
      </c>
      <c r="D796" s="11" t="str">
        <f t="shared" si="49"/>
        <v/>
      </c>
      <c r="E796" s="45"/>
      <c r="F796" s="11" t="str">
        <f>IFERROR(VLOOKUP(E796,Category!$D$2:$E$600,2,FALSE),"")</f>
        <v/>
      </c>
      <c r="G796" s="45"/>
      <c r="H796" s="73"/>
      <c r="I796" s="18" t="str">
        <f t="shared" si="50"/>
        <v/>
      </c>
      <c r="J796" s="45"/>
      <c r="K796" s="45"/>
    </row>
    <row r="797" spans="1:11">
      <c r="A797" s="17" t="str">
        <f t="shared" si="51"/>
        <v/>
      </c>
      <c r="B797" s="53"/>
      <c r="C797" s="11" t="str">
        <f t="shared" si="48"/>
        <v/>
      </c>
      <c r="D797" s="11" t="str">
        <f t="shared" si="49"/>
        <v/>
      </c>
      <c r="E797" s="45"/>
      <c r="F797" s="11" t="str">
        <f>IFERROR(VLOOKUP(E797,Category!$D$2:$E$600,2,FALSE),"")</f>
        <v/>
      </c>
      <c r="G797" s="45"/>
      <c r="H797" s="73"/>
      <c r="I797" s="18" t="str">
        <f t="shared" si="50"/>
        <v/>
      </c>
      <c r="J797" s="45"/>
      <c r="K797" s="45"/>
    </row>
    <row r="798" spans="1:11">
      <c r="A798" s="17" t="str">
        <f t="shared" si="51"/>
        <v/>
      </c>
      <c r="B798" s="53"/>
      <c r="C798" s="11" t="str">
        <f t="shared" si="48"/>
        <v/>
      </c>
      <c r="D798" s="11" t="str">
        <f t="shared" si="49"/>
        <v/>
      </c>
      <c r="E798" s="45"/>
      <c r="F798" s="11" t="str">
        <f>IFERROR(VLOOKUP(E798,Category!$D$2:$E$600,2,FALSE),"")</f>
        <v/>
      </c>
      <c r="G798" s="45"/>
      <c r="H798" s="73"/>
      <c r="I798" s="18" t="str">
        <f t="shared" si="50"/>
        <v/>
      </c>
      <c r="J798" s="45"/>
      <c r="K798" s="45"/>
    </row>
    <row r="799" spans="1:11">
      <c r="A799" s="17" t="str">
        <f t="shared" si="51"/>
        <v/>
      </c>
      <c r="B799" s="53"/>
      <c r="C799" s="11" t="str">
        <f t="shared" si="48"/>
        <v/>
      </c>
      <c r="D799" s="11" t="str">
        <f t="shared" si="49"/>
        <v/>
      </c>
      <c r="E799" s="45"/>
      <c r="F799" s="11" t="str">
        <f>IFERROR(VLOOKUP(E799,Category!$D$2:$E$600,2,FALSE),"")</f>
        <v/>
      </c>
      <c r="G799" s="45"/>
      <c r="H799" s="73"/>
      <c r="I799" s="18" t="str">
        <f t="shared" si="50"/>
        <v/>
      </c>
      <c r="J799" s="45"/>
      <c r="K799" s="45"/>
    </row>
    <row r="800" spans="1:11">
      <c r="A800" s="17" t="str">
        <f t="shared" si="51"/>
        <v/>
      </c>
      <c r="B800" s="53"/>
      <c r="C800" s="11" t="str">
        <f t="shared" si="48"/>
        <v/>
      </c>
      <c r="D800" s="11" t="str">
        <f t="shared" si="49"/>
        <v/>
      </c>
      <c r="E800" s="45"/>
      <c r="F800" s="11" t="str">
        <f>IFERROR(VLOOKUP(E800,Category!$D$2:$E$600,2,FALSE),"")</f>
        <v/>
      </c>
      <c r="G800" s="45"/>
      <c r="H800" s="73"/>
      <c r="I800" s="18" t="str">
        <f t="shared" si="50"/>
        <v/>
      </c>
      <c r="J800" s="45"/>
      <c r="K800" s="45"/>
    </row>
    <row r="801" spans="1:11">
      <c r="A801" s="17" t="str">
        <f t="shared" si="51"/>
        <v/>
      </c>
      <c r="B801" s="53"/>
      <c r="C801" s="11" t="str">
        <f t="shared" si="48"/>
        <v/>
      </c>
      <c r="D801" s="11" t="str">
        <f t="shared" si="49"/>
        <v/>
      </c>
      <c r="E801" s="45"/>
      <c r="F801" s="11" t="str">
        <f>IFERROR(VLOOKUP(E801,Category!$D$2:$E$600,2,FALSE),"")</f>
        <v/>
      </c>
      <c r="G801" s="45"/>
      <c r="H801" s="73"/>
      <c r="I801" s="18" t="str">
        <f t="shared" si="50"/>
        <v/>
      </c>
      <c r="J801" s="45"/>
      <c r="K801" s="45"/>
    </row>
    <row r="802" spans="1:11">
      <c r="A802" s="17" t="str">
        <f t="shared" si="51"/>
        <v/>
      </c>
      <c r="B802" s="53"/>
      <c r="C802" s="11" t="str">
        <f t="shared" si="48"/>
        <v/>
      </c>
      <c r="D802" s="11" t="str">
        <f t="shared" si="49"/>
        <v/>
      </c>
      <c r="E802" s="45"/>
      <c r="F802" s="11" t="str">
        <f>IFERROR(VLOOKUP(E802,Category!$D$2:$E$600,2,FALSE),"")</f>
        <v/>
      </c>
      <c r="G802" s="45"/>
      <c r="H802" s="73"/>
      <c r="I802" s="18" t="str">
        <f t="shared" si="50"/>
        <v/>
      </c>
      <c r="J802" s="45"/>
      <c r="K802" s="45"/>
    </row>
    <row r="803" spans="1:11">
      <c r="A803" s="17" t="str">
        <f t="shared" si="51"/>
        <v/>
      </c>
      <c r="B803" s="53"/>
      <c r="C803" s="11" t="str">
        <f t="shared" si="48"/>
        <v/>
      </c>
      <c r="D803" s="11" t="str">
        <f t="shared" si="49"/>
        <v/>
      </c>
      <c r="E803" s="45"/>
      <c r="F803" s="11" t="str">
        <f>IFERROR(VLOOKUP(E803,Category!$D$2:$E$600,2,FALSE),"")</f>
        <v/>
      </c>
      <c r="G803" s="45"/>
      <c r="H803" s="73"/>
      <c r="I803" s="18" t="str">
        <f t="shared" si="50"/>
        <v/>
      </c>
      <c r="J803" s="45"/>
      <c r="K803" s="45"/>
    </row>
    <row r="804" spans="1:11">
      <c r="A804" s="17" t="str">
        <f t="shared" si="51"/>
        <v/>
      </c>
      <c r="B804" s="53"/>
      <c r="C804" s="11" t="str">
        <f t="shared" si="48"/>
        <v/>
      </c>
      <c r="D804" s="11" t="str">
        <f t="shared" si="49"/>
        <v/>
      </c>
      <c r="E804" s="45"/>
      <c r="F804" s="11" t="str">
        <f>IFERROR(VLOOKUP(E804,Category!$D$2:$E$600,2,FALSE),"")</f>
        <v/>
      </c>
      <c r="G804" s="45"/>
      <c r="H804" s="73"/>
      <c r="I804" s="18" t="str">
        <f t="shared" si="50"/>
        <v/>
      </c>
      <c r="J804" s="45"/>
      <c r="K804" s="45"/>
    </row>
    <row r="805" spans="1:11">
      <c r="A805" s="17" t="str">
        <f t="shared" si="51"/>
        <v/>
      </c>
      <c r="B805" s="53"/>
      <c r="C805" s="11" t="str">
        <f t="shared" si="48"/>
        <v/>
      </c>
      <c r="D805" s="11" t="str">
        <f t="shared" si="49"/>
        <v/>
      </c>
      <c r="E805" s="45"/>
      <c r="F805" s="11" t="str">
        <f>IFERROR(VLOOKUP(E805,Category!$D$2:$E$600,2,FALSE),"")</f>
        <v/>
      </c>
      <c r="G805" s="45"/>
      <c r="H805" s="73"/>
      <c r="I805" s="18" t="str">
        <f t="shared" si="50"/>
        <v/>
      </c>
      <c r="J805" s="45"/>
      <c r="K805" s="45"/>
    </row>
    <row r="806" spans="1:11">
      <c r="A806" s="17" t="str">
        <f t="shared" si="51"/>
        <v/>
      </c>
      <c r="B806" s="53"/>
      <c r="C806" s="11" t="str">
        <f t="shared" si="48"/>
        <v/>
      </c>
      <c r="D806" s="11" t="str">
        <f t="shared" si="49"/>
        <v/>
      </c>
      <c r="E806" s="45"/>
      <c r="F806" s="11" t="str">
        <f>IFERROR(VLOOKUP(E806,Category!$D$2:$E$600,2,FALSE),"")</f>
        <v/>
      </c>
      <c r="G806" s="45"/>
      <c r="H806" s="73"/>
      <c r="I806" s="18" t="str">
        <f t="shared" si="50"/>
        <v/>
      </c>
      <c r="J806" s="45"/>
      <c r="K806" s="45"/>
    </row>
    <row r="807" spans="1:11">
      <c r="A807" s="17" t="str">
        <f t="shared" si="51"/>
        <v/>
      </c>
      <c r="B807" s="53"/>
      <c r="C807" s="11" t="str">
        <f t="shared" si="48"/>
        <v/>
      </c>
      <c r="D807" s="11" t="str">
        <f t="shared" si="49"/>
        <v/>
      </c>
      <c r="E807" s="45"/>
      <c r="F807" s="11" t="str">
        <f>IFERROR(VLOOKUP(E807,Category!$D$2:$E$600,2,FALSE),"")</f>
        <v/>
      </c>
      <c r="G807" s="45"/>
      <c r="H807" s="73"/>
      <c r="I807" s="18" t="str">
        <f t="shared" si="50"/>
        <v/>
      </c>
      <c r="J807" s="45"/>
      <c r="K807" s="45"/>
    </row>
    <row r="808" spans="1:11">
      <c r="A808" s="17" t="str">
        <f t="shared" si="51"/>
        <v/>
      </c>
      <c r="B808" s="53"/>
      <c r="C808" s="11" t="str">
        <f t="shared" si="48"/>
        <v/>
      </c>
      <c r="D808" s="11" t="str">
        <f t="shared" si="49"/>
        <v/>
      </c>
      <c r="E808" s="45"/>
      <c r="F808" s="11" t="str">
        <f>IFERROR(VLOOKUP(E808,Category!$D$2:$E$600,2,FALSE),"")</f>
        <v/>
      </c>
      <c r="G808" s="45"/>
      <c r="H808" s="73"/>
      <c r="I808" s="18" t="str">
        <f t="shared" si="50"/>
        <v/>
      </c>
      <c r="J808" s="45"/>
      <c r="K808" s="45"/>
    </row>
    <row r="809" spans="1:11">
      <c r="A809" s="17" t="str">
        <f t="shared" si="51"/>
        <v/>
      </c>
      <c r="B809" s="53"/>
      <c r="C809" s="11" t="str">
        <f t="shared" si="48"/>
        <v/>
      </c>
      <c r="D809" s="11" t="str">
        <f t="shared" si="49"/>
        <v/>
      </c>
      <c r="E809" s="45"/>
      <c r="F809" s="11" t="str">
        <f>IFERROR(VLOOKUP(E809,Category!$D$2:$E$600,2,FALSE),"")</f>
        <v/>
      </c>
      <c r="G809" s="45"/>
      <c r="H809" s="73"/>
      <c r="I809" s="18" t="str">
        <f t="shared" si="50"/>
        <v/>
      </c>
      <c r="J809" s="45"/>
      <c r="K809" s="45"/>
    </row>
    <row r="810" spans="1:11">
      <c r="A810" s="17" t="str">
        <f t="shared" si="51"/>
        <v/>
      </c>
      <c r="B810" s="53"/>
      <c r="C810" s="11" t="str">
        <f t="shared" si="48"/>
        <v/>
      </c>
      <c r="D810" s="11" t="str">
        <f t="shared" si="49"/>
        <v/>
      </c>
      <c r="E810" s="45"/>
      <c r="F810" s="11" t="str">
        <f>IFERROR(VLOOKUP(E810,Category!$D$2:$E$600,2,FALSE),"")</f>
        <v/>
      </c>
      <c r="G810" s="45"/>
      <c r="H810" s="73"/>
      <c r="I810" s="18" t="str">
        <f t="shared" si="50"/>
        <v/>
      </c>
      <c r="J810" s="45"/>
      <c r="K810" s="45"/>
    </row>
    <row r="811" spans="1:11">
      <c r="A811" s="17" t="str">
        <f t="shared" si="51"/>
        <v/>
      </c>
      <c r="B811" s="53"/>
      <c r="C811" s="11" t="str">
        <f t="shared" si="48"/>
        <v/>
      </c>
      <c r="D811" s="11" t="str">
        <f t="shared" si="49"/>
        <v/>
      </c>
      <c r="E811" s="45"/>
      <c r="F811" s="11" t="str">
        <f>IFERROR(VLOOKUP(E811,Category!$D$2:$E$600,2,FALSE),"")</f>
        <v/>
      </c>
      <c r="G811" s="45"/>
      <c r="H811" s="73"/>
      <c r="I811" s="18" t="str">
        <f t="shared" si="50"/>
        <v/>
      </c>
      <c r="J811" s="45"/>
      <c r="K811" s="45"/>
    </row>
    <row r="812" spans="1:11">
      <c r="A812" s="17" t="str">
        <f t="shared" si="51"/>
        <v/>
      </c>
      <c r="B812" s="53"/>
      <c r="C812" s="11" t="str">
        <f t="shared" si="48"/>
        <v/>
      </c>
      <c r="D812" s="11" t="str">
        <f t="shared" si="49"/>
        <v/>
      </c>
      <c r="E812" s="45"/>
      <c r="F812" s="11" t="str">
        <f>IFERROR(VLOOKUP(E812,Category!$D$2:$E$600,2,FALSE),"")</f>
        <v/>
      </c>
      <c r="G812" s="45"/>
      <c r="H812" s="73"/>
      <c r="I812" s="18" t="str">
        <f t="shared" si="50"/>
        <v/>
      </c>
      <c r="J812" s="45"/>
      <c r="K812" s="45"/>
    </row>
    <row r="813" spans="1:11">
      <c r="A813" s="17" t="str">
        <f t="shared" si="51"/>
        <v/>
      </c>
      <c r="B813" s="53"/>
      <c r="C813" s="11" t="str">
        <f t="shared" si="48"/>
        <v/>
      </c>
      <c r="D813" s="11" t="str">
        <f t="shared" si="49"/>
        <v/>
      </c>
      <c r="E813" s="45"/>
      <c r="F813" s="11" t="str">
        <f>IFERROR(VLOOKUP(E813,Category!$D$2:$E$600,2,FALSE),"")</f>
        <v/>
      </c>
      <c r="G813" s="45"/>
      <c r="H813" s="73"/>
      <c r="I813" s="18" t="str">
        <f t="shared" si="50"/>
        <v/>
      </c>
      <c r="J813" s="45"/>
      <c r="K813" s="45"/>
    </row>
    <row r="814" spans="1:11">
      <c r="A814" s="17" t="str">
        <f t="shared" si="51"/>
        <v/>
      </c>
      <c r="B814" s="53"/>
      <c r="C814" s="11" t="str">
        <f t="shared" si="48"/>
        <v/>
      </c>
      <c r="D814" s="11" t="str">
        <f t="shared" si="49"/>
        <v/>
      </c>
      <c r="E814" s="45"/>
      <c r="F814" s="11" t="str">
        <f>IFERROR(VLOOKUP(E814,Category!$D$2:$E$600,2,FALSE),"")</f>
        <v/>
      </c>
      <c r="G814" s="45"/>
      <c r="H814" s="73"/>
      <c r="I814" s="18" t="str">
        <f t="shared" si="50"/>
        <v/>
      </c>
      <c r="J814" s="45"/>
      <c r="K814" s="45"/>
    </row>
    <row r="815" spans="1:11">
      <c r="A815" s="17" t="str">
        <f t="shared" si="51"/>
        <v/>
      </c>
      <c r="B815" s="53"/>
      <c r="C815" s="11" t="str">
        <f t="shared" si="48"/>
        <v/>
      </c>
      <c r="D815" s="11" t="str">
        <f t="shared" si="49"/>
        <v/>
      </c>
      <c r="E815" s="45"/>
      <c r="F815" s="11" t="str">
        <f>IFERROR(VLOOKUP(E815,Category!$D$2:$E$600,2,FALSE),"")</f>
        <v/>
      </c>
      <c r="G815" s="45"/>
      <c r="H815" s="73"/>
      <c r="I815" s="18" t="str">
        <f t="shared" si="50"/>
        <v/>
      </c>
      <c r="J815" s="45"/>
      <c r="K815" s="45"/>
    </row>
    <row r="816" spans="1:11">
      <c r="A816" s="17" t="str">
        <f t="shared" si="51"/>
        <v/>
      </c>
      <c r="B816" s="53"/>
      <c r="C816" s="11" t="str">
        <f t="shared" si="48"/>
        <v/>
      </c>
      <c r="D816" s="11" t="str">
        <f t="shared" si="49"/>
        <v/>
      </c>
      <c r="E816" s="45"/>
      <c r="F816" s="11" t="str">
        <f>IFERROR(VLOOKUP(E816,Category!$D$2:$E$600,2,FALSE),"")</f>
        <v/>
      </c>
      <c r="G816" s="45"/>
      <c r="H816" s="73"/>
      <c r="I816" s="18" t="str">
        <f t="shared" si="50"/>
        <v/>
      </c>
      <c r="J816" s="45"/>
      <c r="K816" s="45"/>
    </row>
    <row r="817" spans="1:11">
      <c r="A817" s="17" t="str">
        <f t="shared" si="51"/>
        <v/>
      </c>
      <c r="B817" s="53"/>
      <c r="C817" s="11" t="str">
        <f t="shared" si="48"/>
        <v/>
      </c>
      <c r="D817" s="11" t="str">
        <f t="shared" si="49"/>
        <v/>
      </c>
      <c r="E817" s="45"/>
      <c r="F817" s="11" t="str">
        <f>IFERROR(VLOOKUP(E817,Category!$D$2:$E$600,2,FALSE),"")</f>
        <v/>
      </c>
      <c r="G817" s="45"/>
      <c r="H817" s="73"/>
      <c r="I817" s="18" t="str">
        <f t="shared" si="50"/>
        <v/>
      </c>
      <c r="J817" s="45"/>
      <c r="K817" s="45"/>
    </row>
    <row r="818" spans="1:11">
      <c r="A818" s="17" t="str">
        <f t="shared" si="51"/>
        <v/>
      </c>
      <c r="B818" s="53"/>
      <c r="C818" s="11" t="str">
        <f t="shared" si="48"/>
        <v/>
      </c>
      <c r="D818" s="11" t="str">
        <f t="shared" si="49"/>
        <v/>
      </c>
      <c r="E818" s="45"/>
      <c r="F818" s="11" t="str">
        <f>IFERROR(VLOOKUP(E818,Category!$D$2:$E$600,2,FALSE),"")</f>
        <v/>
      </c>
      <c r="G818" s="45"/>
      <c r="H818" s="73"/>
      <c r="I818" s="18" t="str">
        <f t="shared" si="50"/>
        <v/>
      </c>
      <c r="J818" s="45"/>
      <c r="K818" s="45"/>
    </row>
    <row r="819" spans="1:11">
      <c r="A819" s="17" t="str">
        <f t="shared" si="51"/>
        <v/>
      </c>
      <c r="B819" s="53"/>
      <c r="C819" s="11" t="str">
        <f t="shared" si="48"/>
        <v/>
      </c>
      <c r="D819" s="11" t="str">
        <f t="shared" si="49"/>
        <v/>
      </c>
      <c r="E819" s="45"/>
      <c r="F819" s="11" t="str">
        <f>IFERROR(VLOOKUP(E819,Category!$D$2:$E$600,2,FALSE),"")</f>
        <v/>
      </c>
      <c r="G819" s="45"/>
      <c r="H819" s="73"/>
      <c r="I819" s="18" t="str">
        <f t="shared" si="50"/>
        <v/>
      </c>
      <c r="J819" s="45"/>
      <c r="K819" s="45"/>
    </row>
    <row r="820" spans="1:11">
      <c r="A820" s="17" t="str">
        <f t="shared" si="51"/>
        <v/>
      </c>
      <c r="B820" s="53"/>
      <c r="C820" s="11" t="str">
        <f t="shared" si="48"/>
        <v/>
      </c>
      <c r="D820" s="11" t="str">
        <f t="shared" si="49"/>
        <v/>
      </c>
      <c r="E820" s="45"/>
      <c r="F820" s="11" t="str">
        <f>IFERROR(VLOOKUP(E820,Category!$D$2:$E$600,2,FALSE),"")</f>
        <v/>
      </c>
      <c r="G820" s="45"/>
      <c r="H820" s="73"/>
      <c r="I820" s="18" t="str">
        <f t="shared" si="50"/>
        <v/>
      </c>
      <c r="J820" s="45"/>
      <c r="K820" s="45"/>
    </row>
    <row r="821" spans="1:11">
      <c r="A821" s="17" t="str">
        <f t="shared" si="51"/>
        <v/>
      </c>
      <c r="B821" s="53"/>
      <c r="C821" s="11" t="str">
        <f t="shared" si="48"/>
        <v/>
      </c>
      <c r="D821" s="11" t="str">
        <f t="shared" si="49"/>
        <v/>
      </c>
      <c r="E821" s="45"/>
      <c r="F821" s="11" t="str">
        <f>IFERROR(VLOOKUP(E821,Category!$D$2:$E$600,2,FALSE),"")</f>
        <v/>
      </c>
      <c r="G821" s="45"/>
      <c r="H821" s="73"/>
      <c r="I821" s="18" t="str">
        <f t="shared" si="50"/>
        <v/>
      </c>
      <c r="J821" s="45"/>
      <c r="K821" s="45"/>
    </row>
    <row r="822" spans="1:11">
      <c r="A822" s="17" t="str">
        <f t="shared" si="51"/>
        <v/>
      </c>
      <c r="B822" s="53"/>
      <c r="C822" s="11" t="str">
        <f t="shared" si="48"/>
        <v/>
      </c>
      <c r="D822" s="11" t="str">
        <f t="shared" si="49"/>
        <v/>
      </c>
      <c r="E822" s="45"/>
      <c r="F822" s="11" t="str">
        <f>IFERROR(VLOOKUP(E822,Category!$D$2:$E$600,2,FALSE),"")</f>
        <v/>
      </c>
      <c r="G822" s="45"/>
      <c r="H822" s="73"/>
      <c r="I822" s="18" t="str">
        <f t="shared" si="50"/>
        <v/>
      </c>
      <c r="J822" s="45"/>
      <c r="K822" s="45"/>
    </row>
    <row r="823" spans="1:11">
      <c r="A823" s="17" t="str">
        <f t="shared" si="51"/>
        <v/>
      </c>
      <c r="B823" s="53"/>
      <c r="C823" s="11" t="str">
        <f t="shared" si="48"/>
        <v/>
      </c>
      <c r="D823" s="11" t="str">
        <f t="shared" si="49"/>
        <v/>
      </c>
      <c r="E823" s="45"/>
      <c r="F823" s="11" t="str">
        <f>IFERROR(VLOOKUP(E823,Category!$D$2:$E$600,2,FALSE),"")</f>
        <v/>
      </c>
      <c r="G823" s="45"/>
      <c r="H823" s="73"/>
      <c r="I823" s="18" t="str">
        <f t="shared" si="50"/>
        <v/>
      </c>
      <c r="J823" s="45"/>
      <c r="K823" s="45"/>
    </row>
    <row r="824" spans="1:11">
      <c r="A824" s="17" t="str">
        <f t="shared" si="51"/>
        <v/>
      </c>
      <c r="B824" s="53"/>
      <c r="C824" s="11" t="str">
        <f t="shared" si="48"/>
        <v/>
      </c>
      <c r="D824" s="11" t="str">
        <f t="shared" si="49"/>
        <v/>
      </c>
      <c r="E824" s="45"/>
      <c r="F824" s="11" t="str">
        <f>IFERROR(VLOOKUP(E824,Category!$D$2:$E$600,2,FALSE),"")</f>
        <v/>
      </c>
      <c r="G824" s="45"/>
      <c r="H824" s="73"/>
      <c r="I824" s="18" t="str">
        <f t="shared" si="50"/>
        <v/>
      </c>
      <c r="J824" s="45"/>
      <c r="K824" s="45"/>
    </row>
    <row r="825" spans="1:11">
      <c r="A825" s="17" t="str">
        <f t="shared" si="51"/>
        <v/>
      </c>
      <c r="B825" s="53"/>
      <c r="C825" s="11" t="str">
        <f t="shared" si="48"/>
        <v/>
      </c>
      <c r="D825" s="11" t="str">
        <f t="shared" si="49"/>
        <v/>
      </c>
      <c r="E825" s="45"/>
      <c r="F825" s="11" t="str">
        <f>IFERROR(VLOOKUP(E825,Category!$D$2:$E$600,2,FALSE),"")</f>
        <v/>
      </c>
      <c r="G825" s="45"/>
      <c r="H825" s="73"/>
      <c r="I825" s="18" t="str">
        <f t="shared" si="50"/>
        <v/>
      </c>
      <c r="J825" s="45"/>
      <c r="K825" s="45"/>
    </row>
    <row r="826" spans="1:11">
      <c r="A826" s="17" t="str">
        <f t="shared" si="51"/>
        <v/>
      </c>
      <c r="B826" s="53"/>
      <c r="C826" s="11" t="str">
        <f t="shared" si="48"/>
        <v/>
      </c>
      <c r="D826" s="11" t="str">
        <f t="shared" si="49"/>
        <v/>
      </c>
      <c r="E826" s="45"/>
      <c r="F826" s="11" t="str">
        <f>IFERROR(VLOOKUP(E826,Category!$D$2:$E$600,2,FALSE),"")</f>
        <v/>
      </c>
      <c r="G826" s="45"/>
      <c r="H826" s="73"/>
      <c r="I826" s="18" t="str">
        <f t="shared" si="50"/>
        <v/>
      </c>
      <c r="J826" s="45"/>
      <c r="K826" s="45"/>
    </row>
    <row r="827" spans="1:11">
      <c r="A827" s="17" t="str">
        <f t="shared" si="51"/>
        <v/>
      </c>
      <c r="B827" s="53"/>
      <c r="C827" s="11" t="str">
        <f t="shared" si="48"/>
        <v/>
      </c>
      <c r="D827" s="11" t="str">
        <f t="shared" si="49"/>
        <v/>
      </c>
      <c r="E827" s="45"/>
      <c r="F827" s="11" t="str">
        <f>IFERROR(VLOOKUP(E827,Category!$D$2:$E$600,2,FALSE),"")</f>
        <v/>
      </c>
      <c r="G827" s="45"/>
      <c r="H827" s="73"/>
      <c r="I827" s="18" t="str">
        <f t="shared" si="50"/>
        <v/>
      </c>
      <c r="J827" s="45"/>
      <c r="K827" s="45"/>
    </row>
    <row r="828" spans="1:11">
      <c r="A828" s="17" t="str">
        <f t="shared" si="51"/>
        <v/>
      </c>
      <c r="B828" s="53"/>
      <c r="C828" s="11" t="str">
        <f t="shared" si="48"/>
        <v/>
      </c>
      <c r="D828" s="11" t="str">
        <f t="shared" si="49"/>
        <v/>
      </c>
      <c r="E828" s="45"/>
      <c r="F828" s="11" t="str">
        <f>IFERROR(VLOOKUP(E828,Category!$D$2:$E$600,2,FALSE),"")</f>
        <v/>
      </c>
      <c r="G828" s="45"/>
      <c r="H828" s="73"/>
      <c r="I828" s="18" t="str">
        <f t="shared" si="50"/>
        <v/>
      </c>
      <c r="J828" s="45"/>
      <c r="K828" s="45"/>
    </row>
    <row r="829" spans="1:11">
      <c r="A829" s="17" t="str">
        <f t="shared" si="51"/>
        <v/>
      </c>
      <c r="B829" s="53"/>
      <c r="C829" s="11" t="str">
        <f t="shared" si="48"/>
        <v/>
      </c>
      <c r="D829" s="11" t="str">
        <f t="shared" si="49"/>
        <v/>
      </c>
      <c r="E829" s="45"/>
      <c r="F829" s="11" t="str">
        <f>IFERROR(VLOOKUP(E829,Category!$D$2:$E$600,2,FALSE),"")</f>
        <v/>
      </c>
      <c r="G829" s="45"/>
      <c r="H829" s="73"/>
      <c r="I829" s="18" t="str">
        <f t="shared" si="50"/>
        <v/>
      </c>
      <c r="J829" s="45"/>
      <c r="K829" s="45"/>
    </row>
    <row r="830" spans="1:11">
      <c r="A830" s="17" t="str">
        <f t="shared" si="51"/>
        <v/>
      </c>
      <c r="B830" s="53"/>
      <c r="C830" s="11" t="str">
        <f t="shared" si="48"/>
        <v/>
      </c>
      <c r="D830" s="11" t="str">
        <f t="shared" si="49"/>
        <v/>
      </c>
      <c r="E830" s="45"/>
      <c r="F830" s="11" t="str">
        <f>IFERROR(VLOOKUP(E830,Category!$D$2:$E$600,2,FALSE),"")</f>
        <v/>
      </c>
      <c r="G830" s="45"/>
      <c r="H830" s="73"/>
      <c r="I830" s="18" t="str">
        <f t="shared" si="50"/>
        <v/>
      </c>
      <c r="J830" s="45"/>
      <c r="K830" s="45"/>
    </row>
    <row r="831" spans="1:11">
      <c r="A831" s="17" t="str">
        <f t="shared" si="51"/>
        <v/>
      </c>
      <c r="B831" s="53"/>
      <c r="C831" s="11" t="str">
        <f t="shared" si="48"/>
        <v/>
      </c>
      <c r="D831" s="11" t="str">
        <f t="shared" si="49"/>
        <v/>
      </c>
      <c r="E831" s="45"/>
      <c r="F831" s="11" t="str">
        <f>IFERROR(VLOOKUP(E831,Category!$D$2:$E$600,2,FALSE),"")</f>
        <v/>
      </c>
      <c r="G831" s="45"/>
      <c r="H831" s="73"/>
      <c r="I831" s="18" t="str">
        <f t="shared" si="50"/>
        <v/>
      </c>
      <c r="J831" s="45"/>
      <c r="K831" s="45"/>
    </row>
    <row r="832" spans="1:11">
      <c r="A832" s="17" t="str">
        <f t="shared" si="51"/>
        <v/>
      </c>
      <c r="B832" s="53"/>
      <c r="C832" s="11" t="str">
        <f t="shared" si="48"/>
        <v/>
      </c>
      <c r="D832" s="11" t="str">
        <f t="shared" si="49"/>
        <v/>
      </c>
      <c r="E832" s="45"/>
      <c r="F832" s="11" t="str">
        <f>IFERROR(VLOOKUP(E832,Category!$D$2:$E$600,2,FALSE),"")</f>
        <v/>
      </c>
      <c r="G832" s="45"/>
      <c r="H832" s="73"/>
      <c r="I832" s="18" t="str">
        <f t="shared" si="50"/>
        <v/>
      </c>
      <c r="J832" s="45"/>
      <c r="K832" s="45"/>
    </row>
    <row r="833" spans="1:11">
      <c r="A833" s="17" t="str">
        <f t="shared" si="51"/>
        <v/>
      </c>
      <c r="B833" s="53"/>
      <c r="C833" s="11" t="str">
        <f t="shared" si="48"/>
        <v/>
      </c>
      <c r="D833" s="11" t="str">
        <f t="shared" si="49"/>
        <v/>
      </c>
      <c r="E833" s="45"/>
      <c r="F833" s="11" t="str">
        <f>IFERROR(VLOOKUP(E833,Category!$D$2:$E$600,2,FALSE),"")</f>
        <v/>
      </c>
      <c r="G833" s="45"/>
      <c r="H833" s="73"/>
      <c r="I833" s="18" t="str">
        <f t="shared" si="50"/>
        <v/>
      </c>
      <c r="J833" s="45"/>
      <c r="K833" s="45"/>
    </row>
    <row r="834" spans="1:11">
      <c r="A834" s="17" t="str">
        <f t="shared" si="51"/>
        <v/>
      </c>
      <c r="B834" s="53"/>
      <c r="C834" s="11" t="str">
        <f t="shared" si="48"/>
        <v/>
      </c>
      <c r="D834" s="11" t="str">
        <f t="shared" si="49"/>
        <v/>
      </c>
      <c r="E834" s="45"/>
      <c r="F834" s="11" t="str">
        <f>IFERROR(VLOOKUP(E834,Category!$D$2:$E$600,2,FALSE),"")</f>
        <v/>
      </c>
      <c r="G834" s="45"/>
      <c r="H834" s="73"/>
      <c r="I834" s="18" t="str">
        <f t="shared" si="50"/>
        <v/>
      </c>
      <c r="J834" s="45"/>
      <c r="K834" s="45"/>
    </row>
    <row r="835" spans="1:11">
      <c r="A835" s="17" t="str">
        <f t="shared" si="51"/>
        <v/>
      </c>
      <c r="B835" s="53"/>
      <c r="C835" s="11" t="str">
        <f t="shared" ref="C835:C898" si="52">IF(B835=0,"",TEXT(B835,"mmmm"))</f>
        <v/>
      </c>
      <c r="D835" s="11" t="str">
        <f t="shared" ref="D835:D898" si="53">IF(B835=0,"",TEXT(B835,"yyyy"))</f>
        <v/>
      </c>
      <c r="E835" s="45"/>
      <c r="F835" s="11" t="str">
        <f>IFERROR(VLOOKUP(E835,Category!$D$2:$E$600,2,FALSE),"")</f>
        <v/>
      </c>
      <c r="G835" s="45"/>
      <c r="H835" s="73"/>
      <c r="I835" s="18" t="str">
        <f t="shared" ref="I835:I898" si="54">IF(G835*H835=0,"",G835*H835)</f>
        <v/>
      </c>
      <c r="J835" s="45"/>
      <c r="K835" s="45"/>
    </row>
    <row r="836" spans="1:11">
      <c r="A836" s="17" t="str">
        <f t="shared" ref="A836:A899" si="55">IF(E836&gt;0,A835+1,"")</f>
        <v/>
      </c>
      <c r="B836" s="53"/>
      <c r="C836" s="11" t="str">
        <f t="shared" si="52"/>
        <v/>
      </c>
      <c r="D836" s="11" t="str">
        <f t="shared" si="53"/>
        <v/>
      </c>
      <c r="E836" s="45"/>
      <c r="F836" s="11" t="str">
        <f>IFERROR(VLOOKUP(E836,Category!$D$2:$E$600,2,FALSE),"")</f>
        <v/>
      </c>
      <c r="G836" s="45"/>
      <c r="H836" s="73"/>
      <c r="I836" s="18" t="str">
        <f t="shared" si="54"/>
        <v/>
      </c>
      <c r="J836" s="45"/>
      <c r="K836" s="45"/>
    </row>
    <row r="837" spans="1:11">
      <c r="A837" s="17" t="str">
        <f t="shared" si="55"/>
        <v/>
      </c>
      <c r="B837" s="53"/>
      <c r="C837" s="11" t="str">
        <f t="shared" si="52"/>
        <v/>
      </c>
      <c r="D837" s="11" t="str">
        <f t="shared" si="53"/>
        <v/>
      </c>
      <c r="E837" s="45"/>
      <c r="F837" s="11" t="str">
        <f>IFERROR(VLOOKUP(E837,Category!$D$2:$E$600,2,FALSE),"")</f>
        <v/>
      </c>
      <c r="G837" s="45"/>
      <c r="H837" s="73"/>
      <c r="I837" s="18" t="str">
        <f t="shared" si="54"/>
        <v/>
      </c>
      <c r="J837" s="45"/>
      <c r="K837" s="45"/>
    </row>
    <row r="838" spans="1:11">
      <c r="A838" s="17" t="str">
        <f t="shared" si="55"/>
        <v/>
      </c>
      <c r="B838" s="53"/>
      <c r="C838" s="11" t="str">
        <f t="shared" si="52"/>
        <v/>
      </c>
      <c r="D838" s="11" t="str">
        <f t="shared" si="53"/>
        <v/>
      </c>
      <c r="E838" s="45"/>
      <c r="F838" s="11" t="str">
        <f>IFERROR(VLOOKUP(E838,Category!$D$2:$E$600,2,FALSE),"")</f>
        <v/>
      </c>
      <c r="G838" s="45"/>
      <c r="H838" s="73"/>
      <c r="I838" s="18" t="str">
        <f t="shared" si="54"/>
        <v/>
      </c>
      <c r="J838" s="45"/>
      <c r="K838" s="45"/>
    </row>
    <row r="839" spans="1:11">
      <c r="A839" s="17" t="str">
        <f t="shared" si="55"/>
        <v/>
      </c>
      <c r="B839" s="53"/>
      <c r="C839" s="11" t="str">
        <f t="shared" si="52"/>
        <v/>
      </c>
      <c r="D839" s="11" t="str">
        <f t="shared" si="53"/>
        <v/>
      </c>
      <c r="E839" s="45"/>
      <c r="F839" s="11" t="str">
        <f>IFERROR(VLOOKUP(E839,Category!$D$2:$E$600,2,FALSE),"")</f>
        <v/>
      </c>
      <c r="G839" s="45"/>
      <c r="H839" s="73"/>
      <c r="I839" s="18" t="str">
        <f t="shared" si="54"/>
        <v/>
      </c>
      <c r="J839" s="45"/>
      <c r="K839" s="45"/>
    </row>
    <row r="840" spans="1:11">
      <c r="A840" s="17" t="str">
        <f t="shared" si="55"/>
        <v/>
      </c>
      <c r="B840" s="53"/>
      <c r="C840" s="11" t="str">
        <f t="shared" si="52"/>
        <v/>
      </c>
      <c r="D840" s="11" t="str">
        <f t="shared" si="53"/>
        <v/>
      </c>
      <c r="E840" s="45"/>
      <c r="F840" s="11" t="str">
        <f>IFERROR(VLOOKUP(E840,Category!$D$2:$E$600,2,FALSE),"")</f>
        <v/>
      </c>
      <c r="G840" s="45"/>
      <c r="H840" s="73"/>
      <c r="I840" s="18" t="str">
        <f t="shared" si="54"/>
        <v/>
      </c>
      <c r="J840" s="45"/>
      <c r="K840" s="45"/>
    </row>
    <row r="841" spans="1:11">
      <c r="A841" s="17" t="str">
        <f t="shared" si="55"/>
        <v/>
      </c>
      <c r="B841" s="53"/>
      <c r="C841" s="11" t="str">
        <f t="shared" si="52"/>
        <v/>
      </c>
      <c r="D841" s="11" t="str">
        <f t="shared" si="53"/>
        <v/>
      </c>
      <c r="E841" s="45"/>
      <c r="F841" s="11" t="str">
        <f>IFERROR(VLOOKUP(E841,Category!$D$2:$E$600,2,FALSE),"")</f>
        <v/>
      </c>
      <c r="G841" s="45"/>
      <c r="H841" s="73"/>
      <c r="I841" s="18" t="str">
        <f t="shared" si="54"/>
        <v/>
      </c>
      <c r="J841" s="45"/>
      <c r="K841" s="45"/>
    </row>
    <row r="842" spans="1:11">
      <c r="A842" s="17" t="str">
        <f t="shared" si="55"/>
        <v/>
      </c>
      <c r="B842" s="53"/>
      <c r="C842" s="11" t="str">
        <f t="shared" si="52"/>
        <v/>
      </c>
      <c r="D842" s="11" t="str">
        <f t="shared" si="53"/>
        <v/>
      </c>
      <c r="E842" s="45"/>
      <c r="F842" s="11" t="str">
        <f>IFERROR(VLOOKUP(E842,Category!$D$2:$E$600,2,FALSE),"")</f>
        <v/>
      </c>
      <c r="G842" s="45"/>
      <c r="H842" s="73"/>
      <c r="I842" s="18" t="str">
        <f t="shared" si="54"/>
        <v/>
      </c>
      <c r="J842" s="45"/>
      <c r="K842" s="45"/>
    </row>
    <row r="843" spans="1:11">
      <c r="A843" s="17" t="str">
        <f t="shared" si="55"/>
        <v/>
      </c>
      <c r="B843" s="53"/>
      <c r="C843" s="11" t="str">
        <f t="shared" si="52"/>
        <v/>
      </c>
      <c r="D843" s="11" t="str">
        <f t="shared" si="53"/>
        <v/>
      </c>
      <c r="E843" s="45"/>
      <c r="F843" s="11" t="str">
        <f>IFERROR(VLOOKUP(E843,Category!$D$2:$E$600,2,FALSE),"")</f>
        <v/>
      </c>
      <c r="G843" s="45"/>
      <c r="H843" s="73"/>
      <c r="I843" s="18" t="str">
        <f t="shared" si="54"/>
        <v/>
      </c>
      <c r="J843" s="45"/>
      <c r="K843" s="45"/>
    </row>
    <row r="844" spans="1:11">
      <c r="A844" s="17" t="str">
        <f t="shared" si="55"/>
        <v/>
      </c>
      <c r="B844" s="53"/>
      <c r="C844" s="11" t="str">
        <f t="shared" si="52"/>
        <v/>
      </c>
      <c r="D844" s="11" t="str">
        <f t="shared" si="53"/>
        <v/>
      </c>
      <c r="E844" s="45"/>
      <c r="F844" s="11" t="str">
        <f>IFERROR(VLOOKUP(E844,Category!$D$2:$E$600,2,FALSE),"")</f>
        <v/>
      </c>
      <c r="G844" s="45"/>
      <c r="H844" s="73"/>
      <c r="I844" s="18" t="str">
        <f t="shared" si="54"/>
        <v/>
      </c>
      <c r="J844" s="45"/>
      <c r="K844" s="45"/>
    </row>
    <row r="845" spans="1:11">
      <c r="A845" s="17" t="str">
        <f t="shared" si="55"/>
        <v/>
      </c>
      <c r="B845" s="53"/>
      <c r="C845" s="11" t="str">
        <f t="shared" si="52"/>
        <v/>
      </c>
      <c r="D845" s="11" t="str">
        <f t="shared" si="53"/>
        <v/>
      </c>
      <c r="E845" s="45"/>
      <c r="F845" s="11" t="str">
        <f>IFERROR(VLOOKUP(E845,Category!$D$2:$E$600,2,FALSE),"")</f>
        <v/>
      </c>
      <c r="G845" s="45"/>
      <c r="H845" s="73"/>
      <c r="I845" s="18" t="str">
        <f t="shared" si="54"/>
        <v/>
      </c>
      <c r="J845" s="45"/>
      <c r="K845" s="45"/>
    </row>
    <row r="846" spans="1:11">
      <c r="A846" s="17" t="str">
        <f t="shared" si="55"/>
        <v/>
      </c>
      <c r="B846" s="53"/>
      <c r="C846" s="11" t="str">
        <f t="shared" si="52"/>
        <v/>
      </c>
      <c r="D846" s="11" t="str">
        <f t="shared" si="53"/>
        <v/>
      </c>
      <c r="E846" s="45"/>
      <c r="F846" s="11" t="str">
        <f>IFERROR(VLOOKUP(E846,Category!$D$2:$E$600,2,FALSE),"")</f>
        <v/>
      </c>
      <c r="G846" s="45"/>
      <c r="H846" s="73"/>
      <c r="I846" s="18" t="str">
        <f t="shared" si="54"/>
        <v/>
      </c>
      <c r="J846" s="45"/>
      <c r="K846" s="45"/>
    </row>
    <row r="847" spans="1:11">
      <c r="A847" s="17" t="str">
        <f t="shared" si="55"/>
        <v/>
      </c>
      <c r="B847" s="53"/>
      <c r="C847" s="11" t="str">
        <f t="shared" si="52"/>
        <v/>
      </c>
      <c r="D847" s="11" t="str">
        <f t="shared" si="53"/>
        <v/>
      </c>
      <c r="E847" s="45"/>
      <c r="F847" s="11" t="str">
        <f>IFERROR(VLOOKUP(E847,Category!$D$2:$E$600,2,FALSE),"")</f>
        <v/>
      </c>
      <c r="G847" s="45"/>
      <c r="H847" s="73"/>
      <c r="I847" s="18" t="str">
        <f t="shared" si="54"/>
        <v/>
      </c>
      <c r="J847" s="45"/>
      <c r="K847" s="45"/>
    </row>
    <row r="848" spans="1:11">
      <c r="A848" s="17" t="str">
        <f t="shared" si="55"/>
        <v/>
      </c>
      <c r="B848" s="53"/>
      <c r="C848" s="11" t="str">
        <f t="shared" si="52"/>
        <v/>
      </c>
      <c r="D848" s="11" t="str">
        <f t="shared" si="53"/>
        <v/>
      </c>
      <c r="E848" s="45"/>
      <c r="F848" s="11" t="str">
        <f>IFERROR(VLOOKUP(E848,Category!$D$2:$E$600,2,FALSE),"")</f>
        <v/>
      </c>
      <c r="G848" s="45"/>
      <c r="H848" s="73"/>
      <c r="I848" s="18" t="str">
        <f t="shared" si="54"/>
        <v/>
      </c>
      <c r="J848" s="45"/>
      <c r="K848" s="45"/>
    </row>
    <row r="849" spans="1:11">
      <c r="A849" s="17" t="str">
        <f t="shared" si="55"/>
        <v/>
      </c>
      <c r="B849" s="53"/>
      <c r="C849" s="11" t="str">
        <f t="shared" si="52"/>
        <v/>
      </c>
      <c r="D849" s="11" t="str">
        <f t="shared" si="53"/>
        <v/>
      </c>
      <c r="E849" s="45"/>
      <c r="F849" s="11" t="str">
        <f>IFERROR(VLOOKUP(E849,Category!$D$2:$E$600,2,FALSE),"")</f>
        <v/>
      </c>
      <c r="G849" s="45"/>
      <c r="H849" s="73"/>
      <c r="I849" s="18" t="str">
        <f t="shared" si="54"/>
        <v/>
      </c>
      <c r="J849" s="45"/>
      <c r="K849" s="45"/>
    </row>
    <row r="850" spans="1:11">
      <c r="A850" s="17" t="str">
        <f t="shared" si="55"/>
        <v/>
      </c>
      <c r="B850" s="53"/>
      <c r="C850" s="11" t="str">
        <f t="shared" si="52"/>
        <v/>
      </c>
      <c r="D850" s="11" t="str">
        <f t="shared" si="53"/>
        <v/>
      </c>
      <c r="E850" s="45"/>
      <c r="F850" s="11" t="str">
        <f>IFERROR(VLOOKUP(E850,Category!$D$2:$E$600,2,FALSE),"")</f>
        <v/>
      </c>
      <c r="G850" s="45"/>
      <c r="H850" s="73"/>
      <c r="I850" s="18" t="str">
        <f t="shared" si="54"/>
        <v/>
      </c>
      <c r="J850" s="45"/>
      <c r="K850" s="45"/>
    </row>
    <row r="851" spans="1:11">
      <c r="A851" s="17" t="str">
        <f t="shared" si="55"/>
        <v/>
      </c>
      <c r="B851" s="53"/>
      <c r="C851" s="11" t="str">
        <f t="shared" si="52"/>
        <v/>
      </c>
      <c r="D851" s="11" t="str">
        <f t="shared" si="53"/>
        <v/>
      </c>
      <c r="E851" s="45"/>
      <c r="F851" s="11" t="str">
        <f>IFERROR(VLOOKUP(E851,Category!$D$2:$E$600,2,FALSE),"")</f>
        <v/>
      </c>
      <c r="G851" s="45"/>
      <c r="H851" s="73"/>
      <c r="I851" s="18" t="str">
        <f t="shared" si="54"/>
        <v/>
      </c>
      <c r="J851" s="45"/>
      <c r="K851" s="45"/>
    </row>
    <row r="852" spans="1:11">
      <c r="A852" s="17" t="str">
        <f t="shared" si="55"/>
        <v/>
      </c>
      <c r="B852" s="53"/>
      <c r="C852" s="11" t="str">
        <f t="shared" si="52"/>
        <v/>
      </c>
      <c r="D852" s="11" t="str">
        <f t="shared" si="53"/>
        <v/>
      </c>
      <c r="E852" s="45"/>
      <c r="F852" s="11" t="str">
        <f>IFERROR(VLOOKUP(E852,Category!$D$2:$E$600,2,FALSE),"")</f>
        <v/>
      </c>
      <c r="G852" s="45"/>
      <c r="H852" s="73"/>
      <c r="I852" s="18" t="str">
        <f t="shared" si="54"/>
        <v/>
      </c>
      <c r="J852" s="45"/>
      <c r="K852" s="45"/>
    </row>
    <row r="853" spans="1:11">
      <c r="A853" s="17" t="str">
        <f t="shared" si="55"/>
        <v/>
      </c>
      <c r="B853" s="53"/>
      <c r="C853" s="11" t="str">
        <f t="shared" si="52"/>
        <v/>
      </c>
      <c r="D853" s="11" t="str">
        <f t="shared" si="53"/>
        <v/>
      </c>
      <c r="E853" s="45"/>
      <c r="F853" s="11" t="str">
        <f>IFERROR(VLOOKUP(E853,Category!$D$2:$E$600,2,FALSE),"")</f>
        <v/>
      </c>
      <c r="G853" s="45"/>
      <c r="H853" s="73"/>
      <c r="I853" s="18" t="str">
        <f t="shared" si="54"/>
        <v/>
      </c>
      <c r="J853" s="45"/>
      <c r="K853" s="45"/>
    </row>
    <row r="854" spans="1:11">
      <c r="A854" s="17" t="str">
        <f t="shared" si="55"/>
        <v/>
      </c>
      <c r="B854" s="53"/>
      <c r="C854" s="11" t="str">
        <f t="shared" si="52"/>
        <v/>
      </c>
      <c r="D854" s="11" t="str">
        <f t="shared" si="53"/>
        <v/>
      </c>
      <c r="E854" s="45"/>
      <c r="F854" s="11" t="str">
        <f>IFERROR(VLOOKUP(E854,Category!$D$2:$E$600,2,FALSE),"")</f>
        <v/>
      </c>
      <c r="G854" s="45"/>
      <c r="H854" s="73"/>
      <c r="I854" s="18" t="str">
        <f t="shared" si="54"/>
        <v/>
      </c>
      <c r="J854" s="45"/>
      <c r="K854" s="45"/>
    </row>
    <row r="855" spans="1:11">
      <c r="A855" s="17" t="str">
        <f t="shared" si="55"/>
        <v/>
      </c>
      <c r="B855" s="53"/>
      <c r="C855" s="11" t="str">
        <f t="shared" si="52"/>
        <v/>
      </c>
      <c r="D855" s="11" t="str">
        <f t="shared" si="53"/>
        <v/>
      </c>
      <c r="E855" s="45"/>
      <c r="F855" s="11" t="str">
        <f>IFERROR(VLOOKUP(E855,Category!$D$2:$E$600,2,FALSE),"")</f>
        <v/>
      </c>
      <c r="G855" s="45"/>
      <c r="H855" s="73"/>
      <c r="I855" s="18" t="str">
        <f t="shared" si="54"/>
        <v/>
      </c>
      <c r="J855" s="45"/>
      <c r="K855" s="45"/>
    </row>
    <row r="856" spans="1:11">
      <c r="A856" s="17" t="str">
        <f t="shared" si="55"/>
        <v/>
      </c>
      <c r="B856" s="53"/>
      <c r="C856" s="11" t="str">
        <f t="shared" si="52"/>
        <v/>
      </c>
      <c r="D856" s="11" t="str">
        <f t="shared" si="53"/>
        <v/>
      </c>
      <c r="E856" s="45"/>
      <c r="F856" s="11" t="str">
        <f>IFERROR(VLOOKUP(E856,Category!$D$2:$E$600,2,FALSE),"")</f>
        <v/>
      </c>
      <c r="G856" s="45"/>
      <c r="H856" s="73"/>
      <c r="I856" s="18" t="str">
        <f t="shared" si="54"/>
        <v/>
      </c>
      <c r="J856" s="45"/>
      <c r="K856" s="45"/>
    </row>
    <row r="857" spans="1:11">
      <c r="A857" s="17" t="str">
        <f t="shared" si="55"/>
        <v/>
      </c>
      <c r="B857" s="53"/>
      <c r="C857" s="11" t="str">
        <f t="shared" si="52"/>
        <v/>
      </c>
      <c r="D857" s="11" t="str">
        <f t="shared" si="53"/>
        <v/>
      </c>
      <c r="E857" s="45"/>
      <c r="F857" s="11" t="str">
        <f>IFERROR(VLOOKUP(E857,Category!$D$2:$E$600,2,FALSE),"")</f>
        <v/>
      </c>
      <c r="G857" s="45"/>
      <c r="H857" s="73"/>
      <c r="I857" s="18" t="str">
        <f t="shared" si="54"/>
        <v/>
      </c>
      <c r="J857" s="45"/>
      <c r="K857" s="45"/>
    </row>
    <row r="858" spans="1:11">
      <c r="A858" s="17" t="str">
        <f t="shared" si="55"/>
        <v/>
      </c>
      <c r="B858" s="53"/>
      <c r="C858" s="11" t="str">
        <f t="shared" si="52"/>
        <v/>
      </c>
      <c r="D858" s="11" t="str">
        <f t="shared" si="53"/>
        <v/>
      </c>
      <c r="E858" s="45"/>
      <c r="F858" s="11" t="str">
        <f>IFERROR(VLOOKUP(E858,Category!$D$2:$E$600,2,FALSE),"")</f>
        <v/>
      </c>
      <c r="G858" s="45"/>
      <c r="H858" s="73"/>
      <c r="I858" s="18" t="str">
        <f t="shared" si="54"/>
        <v/>
      </c>
      <c r="J858" s="45"/>
      <c r="K858" s="45"/>
    </row>
    <row r="859" spans="1:11">
      <c r="A859" s="17" t="str">
        <f t="shared" si="55"/>
        <v/>
      </c>
      <c r="B859" s="53"/>
      <c r="C859" s="11" t="str">
        <f t="shared" si="52"/>
        <v/>
      </c>
      <c r="D859" s="11" t="str">
        <f t="shared" si="53"/>
        <v/>
      </c>
      <c r="E859" s="45"/>
      <c r="F859" s="11" t="str">
        <f>IFERROR(VLOOKUP(E859,Category!$D$2:$E$600,2,FALSE),"")</f>
        <v/>
      </c>
      <c r="G859" s="45"/>
      <c r="H859" s="73"/>
      <c r="I859" s="18" t="str">
        <f t="shared" si="54"/>
        <v/>
      </c>
      <c r="J859" s="45"/>
      <c r="K859" s="45"/>
    </row>
    <row r="860" spans="1:11">
      <c r="A860" s="17" t="str">
        <f t="shared" si="55"/>
        <v/>
      </c>
      <c r="B860" s="53"/>
      <c r="C860" s="11" t="str">
        <f t="shared" si="52"/>
        <v/>
      </c>
      <c r="D860" s="11" t="str">
        <f t="shared" si="53"/>
        <v/>
      </c>
      <c r="E860" s="45"/>
      <c r="F860" s="11" t="str">
        <f>IFERROR(VLOOKUP(E860,Category!$D$2:$E$600,2,FALSE),"")</f>
        <v/>
      </c>
      <c r="G860" s="45"/>
      <c r="H860" s="73"/>
      <c r="I860" s="18" t="str">
        <f t="shared" si="54"/>
        <v/>
      </c>
      <c r="J860" s="45"/>
      <c r="K860" s="45"/>
    </row>
    <row r="861" spans="1:11">
      <c r="A861" s="17" t="str">
        <f t="shared" si="55"/>
        <v/>
      </c>
      <c r="B861" s="53"/>
      <c r="C861" s="11" t="str">
        <f t="shared" si="52"/>
        <v/>
      </c>
      <c r="D861" s="11" t="str">
        <f t="shared" si="53"/>
        <v/>
      </c>
      <c r="E861" s="45"/>
      <c r="F861" s="11" t="str">
        <f>IFERROR(VLOOKUP(E861,Category!$D$2:$E$600,2,FALSE),"")</f>
        <v/>
      </c>
      <c r="G861" s="45"/>
      <c r="H861" s="73"/>
      <c r="I861" s="18" t="str">
        <f t="shared" si="54"/>
        <v/>
      </c>
      <c r="J861" s="45"/>
      <c r="K861" s="45"/>
    </row>
    <row r="862" spans="1:11">
      <c r="A862" s="17" t="str">
        <f t="shared" si="55"/>
        <v/>
      </c>
      <c r="B862" s="53"/>
      <c r="C862" s="11" t="str">
        <f t="shared" si="52"/>
        <v/>
      </c>
      <c r="D862" s="11" t="str">
        <f t="shared" si="53"/>
        <v/>
      </c>
      <c r="E862" s="45"/>
      <c r="F862" s="11" t="str">
        <f>IFERROR(VLOOKUP(E862,Category!$D$2:$E$600,2,FALSE),"")</f>
        <v/>
      </c>
      <c r="G862" s="45"/>
      <c r="H862" s="73"/>
      <c r="I862" s="18" t="str">
        <f t="shared" si="54"/>
        <v/>
      </c>
      <c r="J862" s="45"/>
      <c r="K862" s="45"/>
    </row>
    <row r="863" spans="1:11">
      <c r="A863" s="17" t="str">
        <f t="shared" si="55"/>
        <v/>
      </c>
      <c r="B863" s="53"/>
      <c r="C863" s="11" t="str">
        <f t="shared" si="52"/>
        <v/>
      </c>
      <c r="D863" s="11" t="str">
        <f t="shared" si="53"/>
        <v/>
      </c>
      <c r="E863" s="45"/>
      <c r="F863" s="11" t="str">
        <f>IFERROR(VLOOKUP(E863,Category!$D$2:$E$600,2,FALSE),"")</f>
        <v/>
      </c>
      <c r="G863" s="45"/>
      <c r="H863" s="73"/>
      <c r="I863" s="18" t="str">
        <f t="shared" si="54"/>
        <v/>
      </c>
      <c r="J863" s="45"/>
      <c r="K863" s="45"/>
    </row>
    <row r="864" spans="1:11">
      <c r="A864" s="17" t="str">
        <f t="shared" si="55"/>
        <v/>
      </c>
      <c r="B864" s="53"/>
      <c r="C864" s="11" t="str">
        <f t="shared" si="52"/>
        <v/>
      </c>
      <c r="D864" s="11" t="str">
        <f t="shared" si="53"/>
        <v/>
      </c>
      <c r="E864" s="45"/>
      <c r="F864" s="11" t="str">
        <f>IFERROR(VLOOKUP(E864,Category!$D$2:$E$600,2,FALSE),"")</f>
        <v/>
      </c>
      <c r="G864" s="45"/>
      <c r="H864" s="73"/>
      <c r="I864" s="18" t="str">
        <f t="shared" si="54"/>
        <v/>
      </c>
      <c r="J864" s="45"/>
      <c r="K864" s="45"/>
    </row>
    <row r="865" spans="1:11">
      <c r="A865" s="17" t="str">
        <f t="shared" si="55"/>
        <v/>
      </c>
      <c r="B865" s="53"/>
      <c r="C865" s="11" t="str">
        <f t="shared" si="52"/>
        <v/>
      </c>
      <c r="D865" s="11" t="str">
        <f t="shared" si="53"/>
        <v/>
      </c>
      <c r="E865" s="45"/>
      <c r="F865" s="11" t="str">
        <f>IFERROR(VLOOKUP(E865,Category!$D$2:$E$600,2,FALSE),"")</f>
        <v/>
      </c>
      <c r="G865" s="45"/>
      <c r="H865" s="73"/>
      <c r="I865" s="18" t="str">
        <f t="shared" si="54"/>
        <v/>
      </c>
      <c r="J865" s="45"/>
      <c r="K865" s="45"/>
    </row>
    <row r="866" spans="1:11">
      <c r="A866" s="17" t="str">
        <f t="shared" si="55"/>
        <v/>
      </c>
      <c r="B866" s="53"/>
      <c r="C866" s="11" t="str">
        <f t="shared" si="52"/>
        <v/>
      </c>
      <c r="D866" s="11" t="str">
        <f t="shared" si="53"/>
        <v/>
      </c>
      <c r="E866" s="45"/>
      <c r="F866" s="11" t="str">
        <f>IFERROR(VLOOKUP(E866,Category!$D$2:$E$600,2,FALSE),"")</f>
        <v/>
      </c>
      <c r="G866" s="45"/>
      <c r="H866" s="73"/>
      <c r="I866" s="18" t="str">
        <f t="shared" si="54"/>
        <v/>
      </c>
      <c r="J866" s="45"/>
      <c r="K866" s="45"/>
    </row>
    <row r="867" spans="1:11">
      <c r="A867" s="17" t="str">
        <f t="shared" si="55"/>
        <v/>
      </c>
      <c r="B867" s="53"/>
      <c r="C867" s="11" t="str">
        <f t="shared" si="52"/>
        <v/>
      </c>
      <c r="D867" s="11" t="str">
        <f t="shared" si="53"/>
        <v/>
      </c>
      <c r="E867" s="45"/>
      <c r="F867" s="11" t="str">
        <f>IFERROR(VLOOKUP(E867,Category!$D$2:$E$600,2,FALSE),"")</f>
        <v/>
      </c>
      <c r="G867" s="45"/>
      <c r="H867" s="73"/>
      <c r="I867" s="18" t="str">
        <f t="shared" si="54"/>
        <v/>
      </c>
      <c r="J867" s="45"/>
      <c r="K867" s="45"/>
    </row>
    <row r="868" spans="1:11">
      <c r="A868" s="17" t="str">
        <f t="shared" si="55"/>
        <v/>
      </c>
      <c r="B868" s="53"/>
      <c r="C868" s="11" t="str">
        <f t="shared" si="52"/>
        <v/>
      </c>
      <c r="D868" s="11" t="str">
        <f t="shared" si="53"/>
        <v/>
      </c>
      <c r="E868" s="45"/>
      <c r="F868" s="11" t="str">
        <f>IFERROR(VLOOKUP(E868,Category!$D$2:$E$600,2,FALSE),"")</f>
        <v/>
      </c>
      <c r="G868" s="45"/>
      <c r="H868" s="73"/>
      <c r="I868" s="18" t="str">
        <f t="shared" si="54"/>
        <v/>
      </c>
      <c r="J868" s="45"/>
      <c r="K868" s="45"/>
    </row>
    <row r="869" spans="1:11">
      <c r="A869" s="17" t="str">
        <f t="shared" si="55"/>
        <v/>
      </c>
      <c r="B869" s="53"/>
      <c r="C869" s="11" t="str">
        <f t="shared" si="52"/>
        <v/>
      </c>
      <c r="D869" s="11" t="str">
        <f t="shared" si="53"/>
        <v/>
      </c>
      <c r="E869" s="45"/>
      <c r="F869" s="11" t="str">
        <f>IFERROR(VLOOKUP(E869,Category!$D$2:$E$600,2,FALSE),"")</f>
        <v/>
      </c>
      <c r="G869" s="45"/>
      <c r="H869" s="73"/>
      <c r="I869" s="18" t="str">
        <f t="shared" si="54"/>
        <v/>
      </c>
      <c r="J869" s="45"/>
      <c r="K869" s="45"/>
    </row>
    <row r="870" spans="1:11">
      <c r="A870" s="17" t="str">
        <f t="shared" si="55"/>
        <v/>
      </c>
      <c r="B870" s="53"/>
      <c r="C870" s="11" t="str">
        <f t="shared" si="52"/>
        <v/>
      </c>
      <c r="D870" s="11" t="str">
        <f t="shared" si="53"/>
        <v/>
      </c>
      <c r="E870" s="45"/>
      <c r="F870" s="11" t="str">
        <f>IFERROR(VLOOKUP(E870,Category!$D$2:$E$600,2,FALSE),"")</f>
        <v/>
      </c>
      <c r="G870" s="45"/>
      <c r="H870" s="73"/>
      <c r="I870" s="18" t="str">
        <f t="shared" si="54"/>
        <v/>
      </c>
      <c r="J870" s="45"/>
      <c r="K870" s="45"/>
    </row>
    <row r="871" spans="1:11">
      <c r="A871" s="17" t="str">
        <f t="shared" si="55"/>
        <v/>
      </c>
      <c r="B871" s="53"/>
      <c r="C871" s="11" t="str">
        <f t="shared" si="52"/>
        <v/>
      </c>
      <c r="D871" s="11" t="str">
        <f t="shared" si="53"/>
        <v/>
      </c>
      <c r="E871" s="45"/>
      <c r="F871" s="11" t="str">
        <f>IFERROR(VLOOKUP(E871,Category!$D$2:$E$600,2,FALSE),"")</f>
        <v/>
      </c>
      <c r="G871" s="45"/>
      <c r="H871" s="73"/>
      <c r="I871" s="18" t="str">
        <f t="shared" si="54"/>
        <v/>
      </c>
      <c r="J871" s="45"/>
      <c r="K871" s="45"/>
    </row>
    <row r="872" spans="1:11">
      <c r="A872" s="17" t="str">
        <f t="shared" si="55"/>
        <v/>
      </c>
      <c r="B872" s="53"/>
      <c r="C872" s="11" t="str">
        <f t="shared" si="52"/>
        <v/>
      </c>
      <c r="D872" s="11" t="str">
        <f t="shared" si="53"/>
        <v/>
      </c>
      <c r="E872" s="45"/>
      <c r="F872" s="11" t="str">
        <f>IFERROR(VLOOKUP(E872,Category!$D$2:$E$600,2,FALSE),"")</f>
        <v/>
      </c>
      <c r="G872" s="45"/>
      <c r="H872" s="73"/>
      <c r="I872" s="18" t="str">
        <f t="shared" si="54"/>
        <v/>
      </c>
      <c r="J872" s="45"/>
      <c r="K872" s="45"/>
    </row>
    <row r="873" spans="1:11">
      <c r="A873" s="17" t="str">
        <f t="shared" si="55"/>
        <v/>
      </c>
      <c r="B873" s="53"/>
      <c r="C873" s="11" t="str">
        <f t="shared" si="52"/>
        <v/>
      </c>
      <c r="D873" s="11" t="str">
        <f t="shared" si="53"/>
        <v/>
      </c>
      <c r="E873" s="45"/>
      <c r="F873" s="11" t="str">
        <f>IFERROR(VLOOKUP(E873,Category!$D$2:$E$600,2,FALSE),"")</f>
        <v/>
      </c>
      <c r="G873" s="45"/>
      <c r="H873" s="73"/>
      <c r="I873" s="18" t="str">
        <f t="shared" si="54"/>
        <v/>
      </c>
      <c r="J873" s="45"/>
      <c r="K873" s="45"/>
    </row>
    <row r="874" spans="1:11">
      <c r="A874" s="17" t="str">
        <f t="shared" si="55"/>
        <v/>
      </c>
      <c r="B874" s="53"/>
      <c r="C874" s="11" t="str">
        <f t="shared" si="52"/>
        <v/>
      </c>
      <c r="D874" s="11" t="str">
        <f t="shared" si="53"/>
        <v/>
      </c>
      <c r="E874" s="45"/>
      <c r="F874" s="11" t="str">
        <f>IFERROR(VLOOKUP(E874,Category!$D$2:$E$600,2,FALSE),"")</f>
        <v/>
      </c>
      <c r="G874" s="45"/>
      <c r="H874" s="73"/>
      <c r="I874" s="18" t="str">
        <f t="shared" si="54"/>
        <v/>
      </c>
      <c r="J874" s="45"/>
      <c r="K874" s="45"/>
    </row>
    <row r="875" spans="1:11">
      <c r="A875" s="17" t="str">
        <f t="shared" si="55"/>
        <v/>
      </c>
      <c r="B875" s="53"/>
      <c r="C875" s="11" t="str">
        <f t="shared" si="52"/>
        <v/>
      </c>
      <c r="D875" s="11" t="str">
        <f t="shared" si="53"/>
        <v/>
      </c>
      <c r="E875" s="45"/>
      <c r="F875" s="11" t="str">
        <f>IFERROR(VLOOKUP(E875,Category!$D$2:$E$600,2,FALSE),"")</f>
        <v/>
      </c>
      <c r="G875" s="45"/>
      <c r="H875" s="73"/>
      <c r="I875" s="18" t="str">
        <f t="shared" si="54"/>
        <v/>
      </c>
      <c r="J875" s="45"/>
      <c r="K875" s="45"/>
    </row>
    <row r="876" spans="1:11">
      <c r="A876" s="17" t="str">
        <f t="shared" si="55"/>
        <v/>
      </c>
      <c r="B876" s="53"/>
      <c r="C876" s="11" t="str">
        <f t="shared" si="52"/>
        <v/>
      </c>
      <c r="D876" s="11" t="str">
        <f t="shared" si="53"/>
        <v/>
      </c>
      <c r="E876" s="45"/>
      <c r="F876" s="11" t="str">
        <f>IFERROR(VLOOKUP(E876,Category!$D$2:$E$600,2,FALSE),"")</f>
        <v/>
      </c>
      <c r="G876" s="45"/>
      <c r="H876" s="73"/>
      <c r="I876" s="18" t="str">
        <f t="shared" si="54"/>
        <v/>
      </c>
      <c r="J876" s="45"/>
      <c r="K876" s="45"/>
    </row>
    <row r="877" spans="1:11">
      <c r="A877" s="17" t="str">
        <f t="shared" si="55"/>
        <v/>
      </c>
      <c r="B877" s="53"/>
      <c r="C877" s="11" t="str">
        <f t="shared" si="52"/>
        <v/>
      </c>
      <c r="D877" s="11" t="str">
        <f t="shared" si="53"/>
        <v/>
      </c>
      <c r="E877" s="45"/>
      <c r="F877" s="11" t="str">
        <f>IFERROR(VLOOKUP(E877,Category!$D$2:$E$600,2,FALSE),"")</f>
        <v/>
      </c>
      <c r="G877" s="45"/>
      <c r="H877" s="73"/>
      <c r="I877" s="18" t="str">
        <f t="shared" si="54"/>
        <v/>
      </c>
      <c r="J877" s="45"/>
      <c r="K877" s="45"/>
    </row>
    <row r="878" spans="1:11">
      <c r="A878" s="17" t="str">
        <f t="shared" si="55"/>
        <v/>
      </c>
      <c r="B878" s="53"/>
      <c r="C878" s="11" t="str">
        <f t="shared" si="52"/>
        <v/>
      </c>
      <c r="D878" s="11" t="str">
        <f t="shared" si="53"/>
        <v/>
      </c>
      <c r="E878" s="45"/>
      <c r="F878" s="11" t="str">
        <f>IFERROR(VLOOKUP(E878,Category!$D$2:$E$600,2,FALSE),"")</f>
        <v/>
      </c>
      <c r="G878" s="45"/>
      <c r="H878" s="73"/>
      <c r="I878" s="18" t="str">
        <f t="shared" si="54"/>
        <v/>
      </c>
      <c r="J878" s="45"/>
      <c r="K878" s="45"/>
    </row>
    <row r="879" spans="1:11">
      <c r="A879" s="17" t="str">
        <f t="shared" si="55"/>
        <v/>
      </c>
      <c r="B879" s="53"/>
      <c r="C879" s="11" t="str">
        <f t="shared" si="52"/>
        <v/>
      </c>
      <c r="D879" s="11" t="str">
        <f t="shared" si="53"/>
        <v/>
      </c>
      <c r="E879" s="45"/>
      <c r="F879" s="11" t="str">
        <f>IFERROR(VLOOKUP(E879,Category!$D$2:$E$600,2,FALSE),"")</f>
        <v/>
      </c>
      <c r="G879" s="45"/>
      <c r="H879" s="73"/>
      <c r="I879" s="18" t="str">
        <f t="shared" si="54"/>
        <v/>
      </c>
      <c r="J879" s="45"/>
      <c r="K879" s="45"/>
    </row>
    <row r="880" spans="1:11">
      <c r="A880" s="17" t="str">
        <f t="shared" si="55"/>
        <v/>
      </c>
      <c r="B880" s="53"/>
      <c r="C880" s="11" t="str">
        <f t="shared" si="52"/>
        <v/>
      </c>
      <c r="D880" s="11" t="str">
        <f t="shared" si="53"/>
        <v/>
      </c>
      <c r="E880" s="45"/>
      <c r="F880" s="11" t="str">
        <f>IFERROR(VLOOKUP(E880,Category!$D$2:$E$600,2,FALSE),"")</f>
        <v/>
      </c>
      <c r="G880" s="45"/>
      <c r="H880" s="73"/>
      <c r="I880" s="18" t="str">
        <f t="shared" si="54"/>
        <v/>
      </c>
      <c r="J880" s="45"/>
      <c r="K880" s="45"/>
    </row>
    <row r="881" spans="1:11">
      <c r="A881" s="17" t="str">
        <f t="shared" si="55"/>
        <v/>
      </c>
      <c r="B881" s="53"/>
      <c r="C881" s="11" t="str">
        <f t="shared" si="52"/>
        <v/>
      </c>
      <c r="D881" s="11" t="str">
        <f t="shared" si="53"/>
        <v/>
      </c>
      <c r="E881" s="45"/>
      <c r="F881" s="11" t="str">
        <f>IFERROR(VLOOKUP(E881,Category!$D$2:$E$600,2,FALSE),"")</f>
        <v/>
      </c>
      <c r="G881" s="45"/>
      <c r="H881" s="73"/>
      <c r="I881" s="18" t="str">
        <f t="shared" si="54"/>
        <v/>
      </c>
      <c r="J881" s="45"/>
      <c r="K881" s="45"/>
    </row>
    <row r="882" spans="1:11">
      <c r="A882" s="17" t="str">
        <f t="shared" si="55"/>
        <v/>
      </c>
      <c r="B882" s="53"/>
      <c r="C882" s="11" t="str">
        <f t="shared" si="52"/>
        <v/>
      </c>
      <c r="D882" s="11" t="str">
        <f t="shared" si="53"/>
        <v/>
      </c>
      <c r="E882" s="45"/>
      <c r="F882" s="11" t="str">
        <f>IFERROR(VLOOKUP(E882,Category!$D$2:$E$600,2,FALSE),"")</f>
        <v/>
      </c>
      <c r="G882" s="45"/>
      <c r="H882" s="73"/>
      <c r="I882" s="18" t="str">
        <f t="shared" si="54"/>
        <v/>
      </c>
      <c r="J882" s="45"/>
      <c r="K882" s="45"/>
    </row>
    <row r="883" spans="1:11">
      <c r="A883" s="17" t="str">
        <f t="shared" si="55"/>
        <v/>
      </c>
      <c r="B883" s="53"/>
      <c r="C883" s="11" t="str">
        <f t="shared" si="52"/>
        <v/>
      </c>
      <c r="D883" s="11" t="str">
        <f t="shared" si="53"/>
        <v/>
      </c>
      <c r="E883" s="45"/>
      <c r="F883" s="11" t="str">
        <f>IFERROR(VLOOKUP(E883,Category!$D$2:$E$600,2,FALSE),"")</f>
        <v/>
      </c>
      <c r="G883" s="45"/>
      <c r="H883" s="73"/>
      <c r="I883" s="18" t="str">
        <f t="shared" si="54"/>
        <v/>
      </c>
      <c r="J883" s="45"/>
      <c r="K883" s="45"/>
    </row>
    <row r="884" spans="1:11">
      <c r="A884" s="17" t="str">
        <f t="shared" si="55"/>
        <v/>
      </c>
      <c r="B884" s="53"/>
      <c r="C884" s="11" t="str">
        <f t="shared" si="52"/>
        <v/>
      </c>
      <c r="D884" s="11" t="str">
        <f t="shared" si="53"/>
        <v/>
      </c>
      <c r="E884" s="45"/>
      <c r="F884" s="11" t="str">
        <f>IFERROR(VLOOKUP(E884,Category!$D$2:$E$600,2,FALSE),"")</f>
        <v/>
      </c>
      <c r="G884" s="45"/>
      <c r="H884" s="73"/>
      <c r="I884" s="18" t="str">
        <f t="shared" si="54"/>
        <v/>
      </c>
      <c r="J884" s="45"/>
      <c r="K884" s="45"/>
    </row>
    <row r="885" spans="1:11">
      <c r="A885" s="17" t="str">
        <f t="shared" si="55"/>
        <v/>
      </c>
      <c r="B885" s="53"/>
      <c r="C885" s="11" t="str">
        <f t="shared" si="52"/>
        <v/>
      </c>
      <c r="D885" s="11" t="str">
        <f t="shared" si="53"/>
        <v/>
      </c>
      <c r="E885" s="45"/>
      <c r="F885" s="11" t="str">
        <f>IFERROR(VLOOKUP(E885,Category!$D$2:$E$600,2,FALSE),"")</f>
        <v/>
      </c>
      <c r="G885" s="45"/>
      <c r="H885" s="73"/>
      <c r="I885" s="18" t="str">
        <f t="shared" si="54"/>
        <v/>
      </c>
      <c r="J885" s="45"/>
      <c r="K885" s="45"/>
    </row>
    <row r="886" spans="1:11">
      <c r="A886" s="17" t="str">
        <f t="shared" si="55"/>
        <v/>
      </c>
      <c r="B886" s="53"/>
      <c r="C886" s="11" t="str">
        <f t="shared" si="52"/>
        <v/>
      </c>
      <c r="D886" s="11" t="str">
        <f t="shared" si="53"/>
        <v/>
      </c>
      <c r="E886" s="45"/>
      <c r="F886" s="11" t="str">
        <f>IFERROR(VLOOKUP(E886,Category!$D$2:$E$600,2,FALSE),"")</f>
        <v/>
      </c>
      <c r="G886" s="45"/>
      <c r="H886" s="73"/>
      <c r="I886" s="18" t="str">
        <f t="shared" si="54"/>
        <v/>
      </c>
      <c r="J886" s="45"/>
      <c r="K886" s="45"/>
    </row>
    <row r="887" spans="1:11">
      <c r="A887" s="17" t="str">
        <f t="shared" si="55"/>
        <v/>
      </c>
      <c r="B887" s="53"/>
      <c r="C887" s="11" t="str">
        <f t="shared" si="52"/>
        <v/>
      </c>
      <c r="D887" s="11" t="str">
        <f t="shared" si="53"/>
        <v/>
      </c>
      <c r="E887" s="45"/>
      <c r="F887" s="11" t="str">
        <f>IFERROR(VLOOKUP(E887,Category!$D$2:$E$600,2,FALSE),"")</f>
        <v/>
      </c>
      <c r="G887" s="45"/>
      <c r="H887" s="73"/>
      <c r="I887" s="18" t="str">
        <f t="shared" si="54"/>
        <v/>
      </c>
      <c r="J887" s="45"/>
      <c r="K887" s="45"/>
    </row>
    <row r="888" spans="1:11">
      <c r="A888" s="17" t="str">
        <f t="shared" si="55"/>
        <v/>
      </c>
      <c r="B888" s="53"/>
      <c r="C888" s="11" t="str">
        <f t="shared" si="52"/>
        <v/>
      </c>
      <c r="D888" s="11" t="str">
        <f t="shared" si="53"/>
        <v/>
      </c>
      <c r="E888" s="45"/>
      <c r="F888" s="11" t="str">
        <f>IFERROR(VLOOKUP(E888,Category!$D$2:$E$600,2,FALSE),"")</f>
        <v/>
      </c>
      <c r="G888" s="45"/>
      <c r="H888" s="73"/>
      <c r="I888" s="18" t="str">
        <f t="shared" si="54"/>
        <v/>
      </c>
      <c r="J888" s="45"/>
      <c r="K888" s="45"/>
    </row>
    <row r="889" spans="1:11">
      <c r="A889" s="17" t="str">
        <f t="shared" si="55"/>
        <v/>
      </c>
      <c r="B889" s="53"/>
      <c r="C889" s="11" t="str">
        <f t="shared" si="52"/>
        <v/>
      </c>
      <c r="D889" s="11" t="str">
        <f t="shared" si="53"/>
        <v/>
      </c>
      <c r="E889" s="45"/>
      <c r="F889" s="11" t="str">
        <f>IFERROR(VLOOKUP(E889,Category!$D$2:$E$600,2,FALSE),"")</f>
        <v/>
      </c>
      <c r="G889" s="45"/>
      <c r="H889" s="73"/>
      <c r="I889" s="18" t="str">
        <f t="shared" si="54"/>
        <v/>
      </c>
      <c r="J889" s="45"/>
      <c r="K889" s="45"/>
    </row>
    <row r="890" spans="1:11">
      <c r="A890" s="17" t="str">
        <f t="shared" si="55"/>
        <v/>
      </c>
      <c r="B890" s="53"/>
      <c r="C890" s="11" t="str">
        <f t="shared" si="52"/>
        <v/>
      </c>
      <c r="D890" s="11" t="str">
        <f t="shared" si="53"/>
        <v/>
      </c>
      <c r="E890" s="45"/>
      <c r="F890" s="11" t="str">
        <f>IFERROR(VLOOKUP(E890,Category!$D$2:$E$600,2,FALSE),"")</f>
        <v/>
      </c>
      <c r="G890" s="45"/>
      <c r="H890" s="73"/>
      <c r="I890" s="18" t="str">
        <f t="shared" si="54"/>
        <v/>
      </c>
      <c r="J890" s="45"/>
      <c r="K890" s="45"/>
    </row>
    <row r="891" spans="1:11">
      <c r="A891" s="17" t="str">
        <f t="shared" si="55"/>
        <v/>
      </c>
      <c r="B891" s="53"/>
      <c r="C891" s="11" t="str">
        <f t="shared" si="52"/>
        <v/>
      </c>
      <c r="D891" s="11" t="str">
        <f t="shared" si="53"/>
        <v/>
      </c>
      <c r="E891" s="45"/>
      <c r="F891" s="11" t="str">
        <f>IFERROR(VLOOKUP(E891,Category!$D$2:$E$600,2,FALSE),"")</f>
        <v/>
      </c>
      <c r="G891" s="45"/>
      <c r="H891" s="73"/>
      <c r="I891" s="18" t="str">
        <f t="shared" si="54"/>
        <v/>
      </c>
      <c r="J891" s="45"/>
      <c r="K891" s="45"/>
    </row>
    <row r="892" spans="1:11">
      <c r="A892" s="17" t="str">
        <f t="shared" si="55"/>
        <v/>
      </c>
      <c r="B892" s="53"/>
      <c r="C892" s="11" t="str">
        <f t="shared" si="52"/>
        <v/>
      </c>
      <c r="D892" s="11" t="str">
        <f t="shared" si="53"/>
        <v/>
      </c>
      <c r="E892" s="45"/>
      <c r="F892" s="11" t="str">
        <f>IFERROR(VLOOKUP(E892,Category!$D$2:$E$600,2,FALSE),"")</f>
        <v/>
      </c>
      <c r="G892" s="45"/>
      <c r="H892" s="73"/>
      <c r="I892" s="18" t="str">
        <f t="shared" si="54"/>
        <v/>
      </c>
      <c r="J892" s="45"/>
      <c r="K892" s="45"/>
    </row>
    <row r="893" spans="1:11">
      <c r="A893" s="17" t="str">
        <f t="shared" si="55"/>
        <v/>
      </c>
      <c r="B893" s="53"/>
      <c r="C893" s="11" t="str">
        <f t="shared" si="52"/>
        <v/>
      </c>
      <c r="D893" s="11" t="str">
        <f t="shared" si="53"/>
        <v/>
      </c>
      <c r="E893" s="45"/>
      <c r="F893" s="11" t="str">
        <f>IFERROR(VLOOKUP(E893,Category!$D$2:$E$600,2,FALSE),"")</f>
        <v/>
      </c>
      <c r="G893" s="45"/>
      <c r="H893" s="73"/>
      <c r="I893" s="18" t="str">
        <f t="shared" si="54"/>
        <v/>
      </c>
      <c r="J893" s="45"/>
      <c r="K893" s="45"/>
    </row>
    <row r="894" spans="1:11">
      <c r="A894" s="17" t="str">
        <f t="shared" si="55"/>
        <v/>
      </c>
      <c r="B894" s="53"/>
      <c r="C894" s="11" t="str">
        <f t="shared" si="52"/>
        <v/>
      </c>
      <c r="D894" s="11" t="str">
        <f t="shared" si="53"/>
        <v/>
      </c>
      <c r="E894" s="45"/>
      <c r="F894" s="11" t="str">
        <f>IFERROR(VLOOKUP(E894,Category!$D$2:$E$600,2,FALSE),"")</f>
        <v/>
      </c>
      <c r="G894" s="45"/>
      <c r="H894" s="73"/>
      <c r="I894" s="18" t="str">
        <f t="shared" si="54"/>
        <v/>
      </c>
      <c r="J894" s="45"/>
      <c r="K894" s="45"/>
    </row>
    <row r="895" spans="1:11">
      <c r="A895" s="17" t="str">
        <f t="shared" si="55"/>
        <v/>
      </c>
      <c r="B895" s="53"/>
      <c r="C895" s="11" t="str">
        <f t="shared" si="52"/>
        <v/>
      </c>
      <c r="D895" s="11" t="str">
        <f t="shared" si="53"/>
        <v/>
      </c>
      <c r="E895" s="45"/>
      <c r="F895" s="11" t="str">
        <f>IFERROR(VLOOKUP(E895,Category!$D$2:$E$600,2,FALSE),"")</f>
        <v/>
      </c>
      <c r="G895" s="45"/>
      <c r="H895" s="73"/>
      <c r="I895" s="18" t="str">
        <f t="shared" si="54"/>
        <v/>
      </c>
      <c r="J895" s="45"/>
      <c r="K895" s="45"/>
    </row>
    <row r="896" spans="1:11">
      <c r="A896" s="17" t="str">
        <f t="shared" si="55"/>
        <v/>
      </c>
      <c r="B896" s="53"/>
      <c r="C896" s="11" t="str">
        <f t="shared" si="52"/>
        <v/>
      </c>
      <c r="D896" s="11" t="str">
        <f t="shared" si="53"/>
        <v/>
      </c>
      <c r="E896" s="45"/>
      <c r="F896" s="11" t="str">
        <f>IFERROR(VLOOKUP(E896,Category!$D$2:$E$600,2,FALSE),"")</f>
        <v/>
      </c>
      <c r="G896" s="45"/>
      <c r="H896" s="73"/>
      <c r="I896" s="18" t="str">
        <f t="shared" si="54"/>
        <v/>
      </c>
      <c r="J896" s="45"/>
      <c r="K896" s="45"/>
    </row>
    <row r="897" spans="1:11">
      <c r="A897" s="17" t="str">
        <f t="shared" si="55"/>
        <v/>
      </c>
      <c r="B897" s="53"/>
      <c r="C897" s="11" t="str">
        <f t="shared" si="52"/>
        <v/>
      </c>
      <c r="D897" s="11" t="str">
        <f t="shared" si="53"/>
        <v/>
      </c>
      <c r="E897" s="45"/>
      <c r="F897" s="11" t="str">
        <f>IFERROR(VLOOKUP(E897,Category!$D$2:$E$600,2,FALSE),"")</f>
        <v/>
      </c>
      <c r="G897" s="45"/>
      <c r="H897" s="73"/>
      <c r="I897" s="18" t="str">
        <f t="shared" si="54"/>
        <v/>
      </c>
      <c r="J897" s="45"/>
      <c r="K897" s="45"/>
    </row>
    <row r="898" spans="1:11">
      <c r="A898" s="17" t="str">
        <f t="shared" si="55"/>
        <v/>
      </c>
      <c r="B898" s="53"/>
      <c r="C898" s="11" t="str">
        <f t="shared" si="52"/>
        <v/>
      </c>
      <c r="D898" s="11" t="str">
        <f t="shared" si="53"/>
        <v/>
      </c>
      <c r="E898" s="45"/>
      <c r="F898" s="11" t="str">
        <f>IFERROR(VLOOKUP(E898,Category!$D$2:$E$600,2,FALSE),"")</f>
        <v/>
      </c>
      <c r="G898" s="45"/>
      <c r="H898" s="73"/>
      <c r="I898" s="18" t="str">
        <f t="shared" si="54"/>
        <v/>
      </c>
      <c r="J898" s="45"/>
      <c r="K898" s="45"/>
    </row>
    <row r="899" spans="1:11">
      <c r="A899" s="17" t="str">
        <f t="shared" si="55"/>
        <v/>
      </c>
      <c r="B899" s="53"/>
      <c r="C899" s="11" t="str">
        <f t="shared" ref="C899:C962" si="56">IF(B899=0,"",TEXT(B899,"mmmm"))</f>
        <v/>
      </c>
      <c r="D899" s="11" t="str">
        <f t="shared" ref="D899:D962" si="57">IF(B899=0,"",TEXT(B899,"yyyy"))</f>
        <v/>
      </c>
      <c r="E899" s="45"/>
      <c r="F899" s="11" t="str">
        <f>IFERROR(VLOOKUP(E899,Category!$D$2:$E$600,2,FALSE),"")</f>
        <v/>
      </c>
      <c r="G899" s="45"/>
      <c r="H899" s="73"/>
      <c r="I899" s="18" t="str">
        <f t="shared" ref="I899:I962" si="58">IF(G899*H899=0,"",G899*H899)</f>
        <v/>
      </c>
      <c r="J899" s="45"/>
      <c r="K899" s="45"/>
    </row>
    <row r="900" spans="1:11">
      <c r="A900" s="17" t="str">
        <f t="shared" ref="A900:A963" si="59">IF(E900&gt;0,A899+1,"")</f>
        <v/>
      </c>
      <c r="B900" s="53"/>
      <c r="C900" s="11" t="str">
        <f t="shared" si="56"/>
        <v/>
      </c>
      <c r="D900" s="11" t="str">
        <f t="shared" si="57"/>
        <v/>
      </c>
      <c r="E900" s="45"/>
      <c r="F900" s="11" t="str">
        <f>IFERROR(VLOOKUP(E900,Category!$D$2:$E$600,2,FALSE),"")</f>
        <v/>
      </c>
      <c r="G900" s="45"/>
      <c r="H900" s="73"/>
      <c r="I900" s="18" t="str">
        <f t="shared" si="58"/>
        <v/>
      </c>
      <c r="J900" s="45"/>
      <c r="K900" s="45"/>
    </row>
    <row r="901" spans="1:11">
      <c r="A901" s="17" t="str">
        <f t="shared" si="59"/>
        <v/>
      </c>
      <c r="B901" s="53"/>
      <c r="C901" s="11" t="str">
        <f t="shared" si="56"/>
        <v/>
      </c>
      <c r="D901" s="11" t="str">
        <f t="shared" si="57"/>
        <v/>
      </c>
      <c r="E901" s="45"/>
      <c r="F901" s="11" t="str">
        <f>IFERROR(VLOOKUP(E901,Category!$D$2:$E$600,2,FALSE),"")</f>
        <v/>
      </c>
      <c r="G901" s="45"/>
      <c r="H901" s="73"/>
      <c r="I901" s="18" t="str">
        <f t="shared" si="58"/>
        <v/>
      </c>
      <c r="J901" s="45"/>
      <c r="K901" s="45"/>
    </row>
    <row r="902" spans="1:11">
      <c r="A902" s="17" t="str">
        <f t="shared" si="59"/>
        <v/>
      </c>
      <c r="B902" s="53"/>
      <c r="C902" s="11" t="str">
        <f t="shared" si="56"/>
        <v/>
      </c>
      <c r="D902" s="11" t="str">
        <f t="shared" si="57"/>
        <v/>
      </c>
      <c r="E902" s="45"/>
      <c r="F902" s="11" t="str">
        <f>IFERROR(VLOOKUP(E902,Category!$D$2:$E$600,2,FALSE),"")</f>
        <v/>
      </c>
      <c r="G902" s="45"/>
      <c r="H902" s="73"/>
      <c r="I902" s="18" t="str">
        <f t="shared" si="58"/>
        <v/>
      </c>
      <c r="J902" s="45"/>
      <c r="K902" s="45"/>
    </row>
    <row r="903" spans="1:11">
      <c r="A903" s="17" t="str">
        <f t="shared" si="59"/>
        <v/>
      </c>
      <c r="B903" s="53"/>
      <c r="C903" s="11" t="str">
        <f t="shared" si="56"/>
        <v/>
      </c>
      <c r="D903" s="11" t="str">
        <f t="shared" si="57"/>
        <v/>
      </c>
      <c r="E903" s="45"/>
      <c r="F903" s="11" t="str">
        <f>IFERROR(VLOOKUP(E903,Category!$D$2:$E$600,2,FALSE),"")</f>
        <v/>
      </c>
      <c r="G903" s="45"/>
      <c r="H903" s="73"/>
      <c r="I903" s="18" t="str">
        <f t="shared" si="58"/>
        <v/>
      </c>
      <c r="J903" s="45"/>
      <c r="K903" s="45"/>
    </row>
    <row r="904" spans="1:11">
      <c r="A904" s="17" t="str">
        <f t="shared" si="59"/>
        <v/>
      </c>
      <c r="B904" s="53"/>
      <c r="C904" s="11" t="str">
        <f t="shared" si="56"/>
        <v/>
      </c>
      <c r="D904" s="11" t="str">
        <f t="shared" si="57"/>
        <v/>
      </c>
      <c r="E904" s="45"/>
      <c r="F904" s="11" t="str">
        <f>IFERROR(VLOOKUP(E904,Category!$D$2:$E$600,2,FALSE),"")</f>
        <v/>
      </c>
      <c r="G904" s="45"/>
      <c r="H904" s="73"/>
      <c r="I904" s="18" t="str">
        <f t="shared" si="58"/>
        <v/>
      </c>
      <c r="J904" s="45"/>
      <c r="K904" s="45"/>
    </row>
    <row r="905" spans="1:11">
      <c r="A905" s="17" t="str">
        <f t="shared" si="59"/>
        <v/>
      </c>
      <c r="B905" s="53"/>
      <c r="C905" s="11" t="str">
        <f t="shared" si="56"/>
        <v/>
      </c>
      <c r="D905" s="11" t="str">
        <f t="shared" si="57"/>
        <v/>
      </c>
      <c r="E905" s="45"/>
      <c r="F905" s="11" t="str">
        <f>IFERROR(VLOOKUP(E905,Category!$D$2:$E$600,2,FALSE),"")</f>
        <v/>
      </c>
      <c r="G905" s="45"/>
      <c r="H905" s="73"/>
      <c r="I905" s="18" t="str">
        <f t="shared" si="58"/>
        <v/>
      </c>
      <c r="J905" s="45"/>
      <c r="K905" s="45"/>
    </row>
    <row r="906" spans="1:11">
      <c r="A906" s="17" t="str">
        <f t="shared" si="59"/>
        <v/>
      </c>
      <c r="B906" s="53"/>
      <c r="C906" s="11" t="str">
        <f t="shared" si="56"/>
        <v/>
      </c>
      <c r="D906" s="11" t="str">
        <f t="shared" si="57"/>
        <v/>
      </c>
      <c r="E906" s="45"/>
      <c r="F906" s="11" t="str">
        <f>IFERROR(VLOOKUP(E906,Category!$D$2:$E$600,2,FALSE),"")</f>
        <v/>
      </c>
      <c r="G906" s="45"/>
      <c r="H906" s="73"/>
      <c r="I906" s="18" t="str">
        <f t="shared" si="58"/>
        <v/>
      </c>
      <c r="J906" s="45"/>
      <c r="K906" s="45"/>
    </row>
    <row r="907" spans="1:11">
      <c r="A907" s="17" t="str">
        <f t="shared" si="59"/>
        <v/>
      </c>
      <c r="B907" s="53"/>
      <c r="C907" s="11" t="str">
        <f t="shared" si="56"/>
        <v/>
      </c>
      <c r="D907" s="11" t="str">
        <f t="shared" si="57"/>
        <v/>
      </c>
      <c r="E907" s="45"/>
      <c r="F907" s="11" t="str">
        <f>IFERROR(VLOOKUP(E907,Category!$D$2:$E$600,2,FALSE),"")</f>
        <v/>
      </c>
      <c r="G907" s="45"/>
      <c r="H907" s="73"/>
      <c r="I907" s="18" t="str">
        <f t="shared" si="58"/>
        <v/>
      </c>
      <c r="J907" s="45"/>
      <c r="K907" s="45"/>
    </row>
    <row r="908" spans="1:11">
      <c r="A908" s="17" t="str">
        <f t="shared" si="59"/>
        <v/>
      </c>
      <c r="B908" s="53"/>
      <c r="C908" s="11" t="str">
        <f t="shared" si="56"/>
        <v/>
      </c>
      <c r="D908" s="11" t="str">
        <f t="shared" si="57"/>
        <v/>
      </c>
      <c r="E908" s="45"/>
      <c r="F908" s="11" t="str">
        <f>IFERROR(VLOOKUP(E908,Category!$D$2:$E$600,2,FALSE),"")</f>
        <v/>
      </c>
      <c r="G908" s="45"/>
      <c r="H908" s="73"/>
      <c r="I908" s="18" t="str">
        <f t="shared" si="58"/>
        <v/>
      </c>
      <c r="J908" s="45"/>
      <c r="K908" s="45"/>
    </row>
    <row r="909" spans="1:11">
      <c r="A909" s="17" t="str">
        <f t="shared" si="59"/>
        <v/>
      </c>
      <c r="B909" s="53"/>
      <c r="C909" s="11" t="str">
        <f t="shared" si="56"/>
        <v/>
      </c>
      <c r="D909" s="11" t="str">
        <f t="shared" si="57"/>
        <v/>
      </c>
      <c r="E909" s="45"/>
      <c r="F909" s="11" t="str">
        <f>IFERROR(VLOOKUP(E909,Category!$D$2:$E$600,2,FALSE),"")</f>
        <v/>
      </c>
      <c r="G909" s="45"/>
      <c r="H909" s="73"/>
      <c r="I909" s="18" t="str">
        <f t="shared" si="58"/>
        <v/>
      </c>
      <c r="J909" s="45"/>
      <c r="K909" s="45"/>
    </row>
    <row r="910" spans="1:11">
      <c r="A910" s="17" t="str">
        <f t="shared" si="59"/>
        <v/>
      </c>
      <c r="B910" s="53"/>
      <c r="C910" s="11" t="str">
        <f t="shared" si="56"/>
        <v/>
      </c>
      <c r="D910" s="11" t="str">
        <f t="shared" si="57"/>
        <v/>
      </c>
      <c r="E910" s="45"/>
      <c r="F910" s="11" t="str">
        <f>IFERROR(VLOOKUP(E910,Category!$D$2:$E$600,2,FALSE),"")</f>
        <v/>
      </c>
      <c r="G910" s="45"/>
      <c r="H910" s="73"/>
      <c r="I910" s="18" t="str">
        <f t="shared" si="58"/>
        <v/>
      </c>
      <c r="J910" s="45"/>
      <c r="K910" s="45"/>
    </row>
    <row r="911" spans="1:11">
      <c r="A911" s="17" t="str">
        <f t="shared" si="59"/>
        <v/>
      </c>
      <c r="B911" s="53"/>
      <c r="C911" s="11" t="str">
        <f t="shared" si="56"/>
        <v/>
      </c>
      <c r="D911" s="11" t="str">
        <f t="shared" si="57"/>
        <v/>
      </c>
      <c r="E911" s="45"/>
      <c r="F911" s="11" t="str">
        <f>IFERROR(VLOOKUP(E911,Category!$D$2:$E$600,2,FALSE),"")</f>
        <v/>
      </c>
      <c r="G911" s="45"/>
      <c r="H911" s="73"/>
      <c r="I911" s="18" t="str">
        <f t="shared" si="58"/>
        <v/>
      </c>
      <c r="J911" s="45"/>
      <c r="K911" s="45"/>
    </row>
    <row r="912" spans="1:11">
      <c r="A912" s="17" t="str">
        <f t="shared" si="59"/>
        <v/>
      </c>
      <c r="B912" s="53"/>
      <c r="C912" s="11" t="str">
        <f t="shared" si="56"/>
        <v/>
      </c>
      <c r="D912" s="11" t="str">
        <f t="shared" si="57"/>
        <v/>
      </c>
      <c r="E912" s="45"/>
      <c r="F912" s="11" t="str">
        <f>IFERROR(VLOOKUP(E912,Category!$D$2:$E$600,2,FALSE),"")</f>
        <v/>
      </c>
      <c r="G912" s="45"/>
      <c r="H912" s="73"/>
      <c r="I912" s="18" t="str">
        <f t="shared" si="58"/>
        <v/>
      </c>
      <c r="J912" s="45"/>
      <c r="K912" s="45"/>
    </row>
    <row r="913" spans="1:11">
      <c r="A913" s="17" t="str">
        <f t="shared" si="59"/>
        <v/>
      </c>
      <c r="B913" s="53"/>
      <c r="C913" s="11" t="str">
        <f t="shared" si="56"/>
        <v/>
      </c>
      <c r="D913" s="11" t="str">
        <f t="shared" si="57"/>
        <v/>
      </c>
      <c r="E913" s="45"/>
      <c r="F913" s="11" t="str">
        <f>IFERROR(VLOOKUP(E913,Category!$D$2:$E$600,2,FALSE),"")</f>
        <v/>
      </c>
      <c r="G913" s="45"/>
      <c r="H913" s="73"/>
      <c r="I913" s="18" t="str">
        <f t="shared" si="58"/>
        <v/>
      </c>
      <c r="J913" s="45"/>
      <c r="K913" s="45"/>
    </row>
    <row r="914" spans="1:11">
      <c r="A914" s="17" t="str">
        <f t="shared" si="59"/>
        <v/>
      </c>
      <c r="B914" s="53"/>
      <c r="C914" s="11" t="str">
        <f t="shared" si="56"/>
        <v/>
      </c>
      <c r="D914" s="11" t="str">
        <f t="shared" si="57"/>
        <v/>
      </c>
      <c r="E914" s="45"/>
      <c r="F914" s="11" t="str">
        <f>IFERROR(VLOOKUP(E914,Category!$D$2:$E$600,2,FALSE),"")</f>
        <v/>
      </c>
      <c r="G914" s="45"/>
      <c r="H914" s="73"/>
      <c r="I914" s="18" t="str">
        <f t="shared" si="58"/>
        <v/>
      </c>
      <c r="J914" s="45"/>
      <c r="K914" s="45"/>
    </row>
    <row r="915" spans="1:11">
      <c r="A915" s="17" t="str">
        <f t="shared" si="59"/>
        <v/>
      </c>
      <c r="B915" s="53"/>
      <c r="C915" s="11" t="str">
        <f t="shared" si="56"/>
        <v/>
      </c>
      <c r="D915" s="11" t="str">
        <f t="shared" si="57"/>
        <v/>
      </c>
      <c r="E915" s="45"/>
      <c r="F915" s="11" t="str">
        <f>IFERROR(VLOOKUP(E915,Category!$D$2:$E$600,2,FALSE),"")</f>
        <v/>
      </c>
      <c r="G915" s="45"/>
      <c r="H915" s="73"/>
      <c r="I915" s="18" t="str">
        <f t="shared" si="58"/>
        <v/>
      </c>
      <c r="J915" s="45"/>
      <c r="K915" s="45"/>
    </row>
    <row r="916" spans="1:11">
      <c r="A916" s="17" t="str">
        <f t="shared" si="59"/>
        <v/>
      </c>
      <c r="B916" s="53"/>
      <c r="C916" s="11" t="str">
        <f t="shared" si="56"/>
        <v/>
      </c>
      <c r="D916" s="11" t="str">
        <f t="shared" si="57"/>
        <v/>
      </c>
      <c r="E916" s="45"/>
      <c r="F916" s="11" t="str">
        <f>IFERROR(VLOOKUP(E916,Category!$D$2:$E$600,2,FALSE),"")</f>
        <v/>
      </c>
      <c r="G916" s="45"/>
      <c r="H916" s="73"/>
      <c r="I916" s="18" t="str">
        <f t="shared" si="58"/>
        <v/>
      </c>
      <c r="J916" s="45"/>
      <c r="K916" s="45"/>
    </row>
    <row r="917" spans="1:11">
      <c r="A917" s="17" t="str">
        <f t="shared" si="59"/>
        <v/>
      </c>
      <c r="B917" s="53"/>
      <c r="C917" s="11" t="str">
        <f t="shared" si="56"/>
        <v/>
      </c>
      <c r="D917" s="11" t="str">
        <f t="shared" si="57"/>
        <v/>
      </c>
      <c r="E917" s="45"/>
      <c r="F917" s="11" t="str">
        <f>IFERROR(VLOOKUP(E917,Category!$D$2:$E$600,2,FALSE),"")</f>
        <v/>
      </c>
      <c r="G917" s="45"/>
      <c r="H917" s="73"/>
      <c r="I917" s="18" t="str">
        <f t="shared" si="58"/>
        <v/>
      </c>
      <c r="J917" s="45"/>
      <c r="K917" s="45"/>
    </row>
    <row r="918" spans="1:11">
      <c r="A918" s="17" t="str">
        <f t="shared" si="59"/>
        <v/>
      </c>
      <c r="B918" s="53"/>
      <c r="C918" s="11" t="str">
        <f t="shared" si="56"/>
        <v/>
      </c>
      <c r="D918" s="11" t="str">
        <f t="shared" si="57"/>
        <v/>
      </c>
      <c r="E918" s="45"/>
      <c r="F918" s="11" t="str">
        <f>IFERROR(VLOOKUP(E918,Category!$D$2:$E$600,2,FALSE),"")</f>
        <v/>
      </c>
      <c r="G918" s="45"/>
      <c r="H918" s="73"/>
      <c r="I918" s="18" t="str">
        <f t="shared" si="58"/>
        <v/>
      </c>
      <c r="J918" s="45"/>
      <c r="K918" s="45"/>
    </row>
    <row r="919" spans="1:11">
      <c r="A919" s="17" t="str">
        <f t="shared" si="59"/>
        <v/>
      </c>
      <c r="B919" s="53"/>
      <c r="C919" s="11" t="str">
        <f t="shared" si="56"/>
        <v/>
      </c>
      <c r="D919" s="11" t="str">
        <f t="shared" si="57"/>
        <v/>
      </c>
      <c r="E919" s="45"/>
      <c r="F919" s="11" t="str">
        <f>IFERROR(VLOOKUP(E919,Category!$D$2:$E$600,2,FALSE),"")</f>
        <v/>
      </c>
      <c r="G919" s="45"/>
      <c r="H919" s="73"/>
      <c r="I919" s="18" t="str">
        <f t="shared" si="58"/>
        <v/>
      </c>
      <c r="J919" s="45"/>
      <c r="K919" s="45"/>
    </row>
    <row r="920" spans="1:11">
      <c r="A920" s="17" t="str">
        <f t="shared" si="59"/>
        <v/>
      </c>
      <c r="B920" s="53"/>
      <c r="C920" s="11" t="str">
        <f t="shared" si="56"/>
        <v/>
      </c>
      <c r="D920" s="11" t="str">
        <f t="shared" si="57"/>
        <v/>
      </c>
      <c r="E920" s="45"/>
      <c r="F920" s="11" t="str">
        <f>IFERROR(VLOOKUP(E920,Category!$D$2:$E$600,2,FALSE),"")</f>
        <v/>
      </c>
      <c r="G920" s="45"/>
      <c r="H920" s="73"/>
      <c r="I920" s="18" t="str">
        <f t="shared" si="58"/>
        <v/>
      </c>
      <c r="J920" s="45"/>
      <c r="K920" s="45"/>
    </row>
    <row r="921" spans="1:11">
      <c r="A921" s="17" t="str">
        <f t="shared" si="59"/>
        <v/>
      </c>
      <c r="B921" s="53"/>
      <c r="C921" s="11" t="str">
        <f t="shared" si="56"/>
        <v/>
      </c>
      <c r="D921" s="11" t="str">
        <f t="shared" si="57"/>
        <v/>
      </c>
      <c r="E921" s="45"/>
      <c r="F921" s="11" t="str">
        <f>IFERROR(VLOOKUP(E921,Category!$D$2:$E$600,2,FALSE),"")</f>
        <v/>
      </c>
      <c r="G921" s="45"/>
      <c r="H921" s="73"/>
      <c r="I921" s="18" t="str">
        <f t="shared" si="58"/>
        <v/>
      </c>
      <c r="J921" s="45"/>
      <c r="K921" s="45"/>
    </row>
    <row r="922" spans="1:11">
      <c r="A922" s="17" t="str">
        <f t="shared" si="59"/>
        <v/>
      </c>
      <c r="B922" s="53"/>
      <c r="C922" s="11" t="str">
        <f t="shared" si="56"/>
        <v/>
      </c>
      <c r="D922" s="11" t="str">
        <f t="shared" si="57"/>
        <v/>
      </c>
      <c r="E922" s="45"/>
      <c r="F922" s="11" t="str">
        <f>IFERROR(VLOOKUP(E922,Category!$D$2:$E$600,2,FALSE),"")</f>
        <v/>
      </c>
      <c r="G922" s="45"/>
      <c r="H922" s="73"/>
      <c r="I922" s="18" t="str">
        <f t="shared" si="58"/>
        <v/>
      </c>
      <c r="J922" s="45"/>
      <c r="K922" s="45"/>
    </row>
    <row r="923" spans="1:11">
      <c r="A923" s="17" t="str">
        <f t="shared" si="59"/>
        <v/>
      </c>
      <c r="B923" s="53"/>
      <c r="C923" s="11" t="str">
        <f t="shared" si="56"/>
        <v/>
      </c>
      <c r="D923" s="11" t="str">
        <f t="shared" si="57"/>
        <v/>
      </c>
      <c r="E923" s="45"/>
      <c r="F923" s="11" t="str">
        <f>IFERROR(VLOOKUP(E923,Category!$D$2:$E$600,2,FALSE),"")</f>
        <v/>
      </c>
      <c r="G923" s="45"/>
      <c r="H923" s="73"/>
      <c r="I923" s="18" t="str">
        <f t="shared" si="58"/>
        <v/>
      </c>
      <c r="J923" s="45"/>
      <c r="K923" s="45"/>
    </row>
    <row r="924" spans="1:11">
      <c r="A924" s="17" t="str">
        <f t="shared" si="59"/>
        <v/>
      </c>
      <c r="B924" s="53"/>
      <c r="C924" s="11" t="str">
        <f t="shared" si="56"/>
        <v/>
      </c>
      <c r="D924" s="11" t="str">
        <f t="shared" si="57"/>
        <v/>
      </c>
      <c r="E924" s="45"/>
      <c r="F924" s="11" t="str">
        <f>IFERROR(VLOOKUP(E924,Category!$D$2:$E$600,2,FALSE),"")</f>
        <v/>
      </c>
      <c r="G924" s="45"/>
      <c r="H924" s="73"/>
      <c r="I924" s="18" t="str">
        <f t="shared" si="58"/>
        <v/>
      </c>
      <c r="J924" s="45"/>
      <c r="K924" s="45"/>
    </row>
    <row r="925" spans="1:11">
      <c r="A925" s="17" t="str">
        <f t="shared" si="59"/>
        <v/>
      </c>
      <c r="B925" s="53"/>
      <c r="C925" s="11" t="str">
        <f t="shared" si="56"/>
        <v/>
      </c>
      <c r="D925" s="11" t="str">
        <f t="shared" si="57"/>
        <v/>
      </c>
      <c r="E925" s="45"/>
      <c r="F925" s="11" t="str">
        <f>IFERROR(VLOOKUP(E925,Category!$D$2:$E$600,2,FALSE),"")</f>
        <v/>
      </c>
      <c r="G925" s="45"/>
      <c r="H925" s="73"/>
      <c r="I925" s="18" t="str">
        <f t="shared" si="58"/>
        <v/>
      </c>
      <c r="J925" s="45"/>
      <c r="K925" s="45"/>
    </row>
    <row r="926" spans="1:11">
      <c r="A926" s="17" t="str">
        <f t="shared" si="59"/>
        <v/>
      </c>
      <c r="B926" s="53"/>
      <c r="C926" s="11" t="str">
        <f t="shared" si="56"/>
        <v/>
      </c>
      <c r="D926" s="11" t="str">
        <f t="shared" si="57"/>
        <v/>
      </c>
      <c r="E926" s="45"/>
      <c r="F926" s="11" t="str">
        <f>IFERROR(VLOOKUP(E926,Category!$D$2:$E$600,2,FALSE),"")</f>
        <v/>
      </c>
      <c r="G926" s="45"/>
      <c r="H926" s="73"/>
      <c r="I926" s="18" t="str">
        <f t="shared" si="58"/>
        <v/>
      </c>
      <c r="J926" s="45"/>
      <c r="K926" s="45"/>
    </row>
    <row r="927" spans="1:11">
      <c r="A927" s="17" t="str">
        <f t="shared" si="59"/>
        <v/>
      </c>
      <c r="B927" s="53"/>
      <c r="C927" s="11" t="str">
        <f t="shared" si="56"/>
        <v/>
      </c>
      <c r="D927" s="11" t="str">
        <f t="shared" si="57"/>
        <v/>
      </c>
      <c r="E927" s="45"/>
      <c r="F927" s="11" t="str">
        <f>IFERROR(VLOOKUP(E927,Category!$D$2:$E$600,2,FALSE),"")</f>
        <v/>
      </c>
      <c r="G927" s="45"/>
      <c r="H927" s="73"/>
      <c r="I927" s="18" t="str">
        <f t="shared" si="58"/>
        <v/>
      </c>
      <c r="J927" s="45"/>
      <c r="K927" s="45"/>
    </row>
    <row r="928" spans="1:11">
      <c r="A928" s="17" t="str">
        <f t="shared" si="59"/>
        <v/>
      </c>
      <c r="B928" s="53"/>
      <c r="C928" s="11" t="str">
        <f t="shared" si="56"/>
        <v/>
      </c>
      <c r="D928" s="11" t="str">
        <f t="shared" si="57"/>
        <v/>
      </c>
      <c r="E928" s="45"/>
      <c r="F928" s="11" t="str">
        <f>IFERROR(VLOOKUP(E928,Category!$D$2:$E$600,2,FALSE),"")</f>
        <v/>
      </c>
      <c r="G928" s="45"/>
      <c r="H928" s="73"/>
      <c r="I928" s="18" t="str">
        <f t="shared" si="58"/>
        <v/>
      </c>
      <c r="J928" s="45"/>
      <c r="K928" s="45"/>
    </row>
    <row r="929" spans="1:11">
      <c r="A929" s="17" t="str">
        <f t="shared" si="59"/>
        <v/>
      </c>
      <c r="B929" s="53"/>
      <c r="C929" s="11" t="str">
        <f t="shared" si="56"/>
        <v/>
      </c>
      <c r="D929" s="11" t="str">
        <f t="shared" si="57"/>
        <v/>
      </c>
      <c r="E929" s="45"/>
      <c r="F929" s="11" t="str">
        <f>IFERROR(VLOOKUP(E929,Category!$D$2:$E$600,2,FALSE),"")</f>
        <v/>
      </c>
      <c r="G929" s="45"/>
      <c r="H929" s="73"/>
      <c r="I929" s="18" t="str">
        <f t="shared" si="58"/>
        <v/>
      </c>
      <c r="J929" s="45"/>
      <c r="K929" s="45"/>
    </row>
    <row r="930" spans="1:11">
      <c r="A930" s="17" t="str">
        <f t="shared" si="59"/>
        <v/>
      </c>
      <c r="B930" s="53"/>
      <c r="C930" s="11" t="str">
        <f t="shared" si="56"/>
        <v/>
      </c>
      <c r="D930" s="11" t="str">
        <f t="shared" si="57"/>
        <v/>
      </c>
      <c r="E930" s="45"/>
      <c r="F930" s="11" t="str">
        <f>IFERROR(VLOOKUP(E930,Category!$D$2:$E$600,2,FALSE),"")</f>
        <v/>
      </c>
      <c r="G930" s="45"/>
      <c r="H930" s="73"/>
      <c r="I930" s="18" t="str">
        <f t="shared" si="58"/>
        <v/>
      </c>
      <c r="J930" s="45"/>
      <c r="K930" s="45"/>
    </row>
    <row r="931" spans="1:11">
      <c r="A931" s="17" t="str">
        <f t="shared" si="59"/>
        <v/>
      </c>
      <c r="B931" s="53"/>
      <c r="C931" s="11" t="str">
        <f t="shared" si="56"/>
        <v/>
      </c>
      <c r="D931" s="11" t="str">
        <f t="shared" si="57"/>
        <v/>
      </c>
      <c r="E931" s="45"/>
      <c r="F931" s="11" t="str">
        <f>IFERROR(VLOOKUP(E931,Category!$D$2:$E$600,2,FALSE),"")</f>
        <v/>
      </c>
      <c r="G931" s="45"/>
      <c r="H931" s="73"/>
      <c r="I931" s="18" t="str">
        <f t="shared" si="58"/>
        <v/>
      </c>
      <c r="J931" s="45"/>
      <c r="K931" s="45"/>
    </row>
    <row r="932" spans="1:11">
      <c r="A932" s="17" t="str">
        <f t="shared" si="59"/>
        <v/>
      </c>
      <c r="B932" s="53"/>
      <c r="C932" s="11" t="str">
        <f t="shared" si="56"/>
        <v/>
      </c>
      <c r="D932" s="11" t="str">
        <f t="shared" si="57"/>
        <v/>
      </c>
      <c r="E932" s="45"/>
      <c r="F932" s="11" t="str">
        <f>IFERROR(VLOOKUP(E932,Category!$D$2:$E$600,2,FALSE),"")</f>
        <v/>
      </c>
      <c r="G932" s="45"/>
      <c r="H932" s="73"/>
      <c r="I932" s="18" t="str">
        <f t="shared" si="58"/>
        <v/>
      </c>
      <c r="J932" s="45"/>
      <c r="K932" s="45"/>
    </row>
    <row r="933" spans="1:11">
      <c r="A933" s="17" t="str">
        <f t="shared" si="59"/>
        <v/>
      </c>
      <c r="B933" s="53"/>
      <c r="C933" s="11" t="str">
        <f t="shared" si="56"/>
        <v/>
      </c>
      <c r="D933" s="11" t="str">
        <f t="shared" si="57"/>
        <v/>
      </c>
      <c r="E933" s="45"/>
      <c r="F933" s="11" t="str">
        <f>IFERROR(VLOOKUP(E933,Category!$D$2:$E$600,2,FALSE),"")</f>
        <v/>
      </c>
      <c r="G933" s="45"/>
      <c r="H933" s="73"/>
      <c r="I933" s="18" t="str">
        <f t="shared" si="58"/>
        <v/>
      </c>
      <c r="J933" s="45"/>
      <c r="K933" s="45"/>
    </row>
    <row r="934" spans="1:11">
      <c r="A934" s="17" t="str">
        <f t="shared" si="59"/>
        <v/>
      </c>
      <c r="B934" s="53"/>
      <c r="C934" s="11" t="str">
        <f t="shared" si="56"/>
        <v/>
      </c>
      <c r="D934" s="11" t="str">
        <f t="shared" si="57"/>
        <v/>
      </c>
      <c r="E934" s="45"/>
      <c r="F934" s="11" t="str">
        <f>IFERROR(VLOOKUP(E934,Category!$D$2:$E$600,2,FALSE),"")</f>
        <v/>
      </c>
      <c r="G934" s="45"/>
      <c r="H934" s="73"/>
      <c r="I934" s="18" t="str">
        <f t="shared" si="58"/>
        <v/>
      </c>
      <c r="J934" s="45"/>
      <c r="K934" s="45"/>
    </row>
    <row r="935" spans="1:11">
      <c r="A935" s="17" t="str">
        <f t="shared" si="59"/>
        <v/>
      </c>
      <c r="B935" s="53"/>
      <c r="C935" s="11" t="str">
        <f t="shared" si="56"/>
        <v/>
      </c>
      <c r="D935" s="11" t="str">
        <f t="shared" si="57"/>
        <v/>
      </c>
      <c r="E935" s="45"/>
      <c r="F935" s="11" t="str">
        <f>IFERROR(VLOOKUP(E935,Category!$D$2:$E$600,2,FALSE),"")</f>
        <v/>
      </c>
      <c r="G935" s="45"/>
      <c r="H935" s="73"/>
      <c r="I935" s="18" t="str">
        <f t="shared" si="58"/>
        <v/>
      </c>
      <c r="J935" s="45"/>
      <c r="K935" s="45"/>
    </row>
    <row r="936" spans="1:11">
      <c r="A936" s="17" t="str">
        <f t="shared" si="59"/>
        <v/>
      </c>
      <c r="B936" s="53"/>
      <c r="C936" s="11" t="str">
        <f t="shared" si="56"/>
        <v/>
      </c>
      <c r="D936" s="11" t="str">
        <f t="shared" si="57"/>
        <v/>
      </c>
      <c r="E936" s="45"/>
      <c r="F936" s="11" t="str">
        <f>IFERROR(VLOOKUP(E936,Category!$D$2:$E$600,2,FALSE),"")</f>
        <v/>
      </c>
      <c r="G936" s="45"/>
      <c r="H936" s="73"/>
      <c r="I936" s="18" t="str">
        <f t="shared" si="58"/>
        <v/>
      </c>
      <c r="J936" s="45"/>
      <c r="K936" s="45"/>
    </row>
    <row r="937" spans="1:11">
      <c r="A937" s="17" t="str">
        <f t="shared" si="59"/>
        <v/>
      </c>
      <c r="B937" s="53"/>
      <c r="C937" s="11" t="str">
        <f t="shared" si="56"/>
        <v/>
      </c>
      <c r="D937" s="11" t="str">
        <f t="shared" si="57"/>
        <v/>
      </c>
      <c r="E937" s="45"/>
      <c r="F937" s="11" t="str">
        <f>IFERROR(VLOOKUP(E937,Category!$D$2:$E$600,2,FALSE),"")</f>
        <v/>
      </c>
      <c r="G937" s="45"/>
      <c r="H937" s="73"/>
      <c r="I937" s="18" t="str">
        <f t="shared" si="58"/>
        <v/>
      </c>
      <c r="J937" s="45"/>
      <c r="K937" s="45"/>
    </row>
    <row r="938" spans="1:11">
      <c r="A938" s="17" t="str">
        <f t="shared" si="59"/>
        <v/>
      </c>
      <c r="B938" s="53"/>
      <c r="C938" s="11" t="str">
        <f t="shared" si="56"/>
        <v/>
      </c>
      <c r="D938" s="11" t="str">
        <f t="shared" si="57"/>
        <v/>
      </c>
      <c r="E938" s="45"/>
      <c r="F938" s="11" t="str">
        <f>IFERROR(VLOOKUP(E938,Category!$D$2:$E$600,2,FALSE),"")</f>
        <v/>
      </c>
      <c r="G938" s="45"/>
      <c r="H938" s="73"/>
      <c r="I938" s="18" t="str">
        <f t="shared" si="58"/>
        <v/>
      </c>
      <c r="J938" s="45"/>
      <c r="K938" s="45"/>
    </row>
    <row r="939" spans="1:11">
      <c r="A939" s="17" t="str">
        <f t="shared" si="59"/>
        <v/>
      </c>
      <c r="B939" s="53"/>
      <c r="C939" s="11" t="str">
        <f t="shared" si="56"/>
        <v/>
      </c>
      <c r="D939" s="11" t="str">
        <f t="shared" si="57"/>
        <v/>
      </c>
      <c r="E939" s="45"/>
      <c r="F939" s="11" t="str">
        <f>IFERROR(VLOOKUP(E939,Category!$D$2:$E$600,2,FALSE),"")</f>
        <v/>
      </c>
      <c r="G939" s="45"/>
      <c r="H939" s="73"/>
      <c r="I939" s="18" t="str">
        <f t="shared" si="58"/>
        <v/>
      </c>
      <c r="J939" s="45"/>
      <c r="K939" s="45"/>
    </row>
    <row r="940" spans="1:11">
      <c r="A940" s="17" t="str">
        <f t="shared" si="59"/>
        <v/>
      </c>
      <c r="B940" s="53"/>
      <c r="C940" s="11" t="str">
        <f t="shared" si="56"/>
        <v/>
      </c>
      <c r="D940" s="11" t="str">
        <f t="shared" si="57"/>
        <v/>
      </c>
      <c r="E940" s="45"/>
      <c r="F940" s="11" t="str">
        <f>IFERROR(VLOOKUP(E940,Category!$D$2:$E$600,2,FALSE),"")</f>
        <v/>
      </c>
      <c r="G940" s="45"/>
      <c r="H940" s="73"/>
      <c r="I940" s="18" t="str">
        <f t="shared" si="58"/>
        <v/>
      </c>
      <c r="J940" s="45"/>
      <c r="K940" s="45"/>
    </row>
    <row r="941" spans="1:11">
      <c r="A941" s="17" t="str">
        <f t="shared" si="59"/>
        <v/>
      </c>
      <c r="B941" s="53"/>
      <c r="C941" s="11" t="str">
        <f t="shared" si="56"/>
        <v/>
      </c>
      <c r="D941" s="11" t="str">
        <f t="shared" si="57"/>
        <v/>
      </c>
      <c r="E941" s="45"/>
      <c r="F941" s="11" t="str">
        <f>IFERROR(VLOOKUP(E941,Category!$D$2:$E$600,2,FALSE),"")</f>
        <v/>
      </c>
      <c r="G941" s="45"/>
      <c r="H941" s="73"/>
      <c r="I941" s="18" t="str">
        <f t="shared" si="58"/>
        <v/>
      </c>
      <c r="J941" s="45"/>
      <c r="K941" s="45"/>
    </row>
    <row r="942" spans="1:11">
      <c r="A942" s="17" t="str">
        <f t="shared" si="59"/>
        <v/>
      </c>
      <c r="B942" s="53"/>
      <c r="C942" s="11" t="str">
        <f t="shared" si="56"/>
        <v/>
      </c>
      <c r="D942" s="11" t="str">
        <f t="shared" si="57"/>
        <v/>
      </c>
      <c r="E942" s="45"/>
      <c r="F942" s="11" t="str">
        <f>IFERROR(VLOOKUP(E942,Category!$D$2:$E$600,2,FALSE),"")</f>
        <v/>
      </c>
      <c r="G942" s="45"/>
      <c r="H942" s="73"/>
      <c r="I942" s="18" t="str">
        <f t="shared" si="58"/>
        <v/>
      </c>
      <c r="J942" s="45"/>
      <c r="K942" s="45"/>
    </row>
    <row r="943" spans="1:11">
      <c r="A943" s="17" t="str">
        <f t="shared" si="59"/>
        <v/>
      </c>
      <c r="B943" s="53"/>
      <c r="C943" s="11" t="str">
        <f t="shared" si="56"/>
        <v/>
      </c>
      <c r="D943" s="11" t="str">
        <f t="shared" si="57"/>
        <v/>
      </c>
      <c r="E943" s="45"/>
      <c r="F943" s="11" t="str">
        <f>IFERROR(VLOOKUP(E943,Category!$D$2:$E$600,2,FALSE),"")</f>
        <v/>
      </c>
      <c r="G943" s="45"/>
      <c r="H943" s="73"/>
      <c r="I943" s="18" t="str">
        <f t="shared" si="58"/>
        <v/>
      </c>
      <c r="J943" s="45"/>
      <c r="K943" s="45"/>
    </row>
    <row r="944" spans="1:11">
      <c r="A944" s="17" t="str">
        <f t="shared" si="59"/>
        <v/>
      </c>
      <c r="B944" s="53"/>
      <c r="C944" s="11" t="str">
        <f t="shared" si="56"/>
        <v/>
      </c>
      <c r="D944" s="11" t="str">
        <f t="shared" si="57"/>
        <v/>
      </c>
      <c r="E944" s="45"/>
      <c r="F944" s="11" t="str">
        <f>IFERROR(VLOOKUP(E944,Category!$D$2:$E$600,2,FALSE),"")</f>
        <v/>
      </c>
      <c r="G944" s="45"/>
      <c r="H944" s="73"/>
      <c r="I944" s="18" t="str">
        <f t="shared" si="58"/>
        <v/>
      </c>
      <c r="J944" s="45"/>
      <c r="K944" s="45"/>
    </row>
    <row r="945" spans="1:11">
      <c r="A945" s="17" t="str">
        <f t="shared" si="59"/>
        <v/>
      </c>
      <c r="B945" s="53"/>
      <c r="C945" s="11" t="str">
        <f t="shared" si="56"/>
        <v/>
      </c>
      <c r="D945" s="11" t="str">
        <f t="shared" si="57"/>
        <v/>
      </c>
      <c r="E945" s="45"/>
      <c r="F945" s="11" t="str">
        <f>IFERROR(VLOOKUP(E945,Category!$D$2:$E$600,2,FALSE),"")</f>
        <v/>
      </c>
      <c r="G945" s="45"/>
      <c r="H945" s="73"/>
      <c r="I945" s="18" t="str">
        <f t="shared" si="58"/>
        <v/>
      </c>
      <c r="J945" s="45"/>
      <c r="K945" s="45"/>
    </row>
    <row r="946" spans="1:11">
      <c r="A946" s="17" t="str">
        <f t="shared" si="59"/>
        <v/>
      </c>
      <c r="B946" s="53"/>
      <c r="C946" s="11" t="str">
        <f t="shared" si="56"/>
        <v/>
      </c>
      <c r="D946" s="11" t="str">
        <f t="shared" si="57"/>
        <v/>
      </c>
      <c r="E946" s="45"/>
      <c r="F946" s="11" t="str">
        <f>IFERROR(VLOOKUP(E946,Category!$D$2:$E$600,2,FALSE),"")</f>
        <v/>
      </c>
      <c r="G946" s="45"/>
      <c r="H946" s="73"/>
      <c r="I946" s="18" t="str">
        <f t="shared" si="58"/>
        <v/>
      </c>
      <c r="J946" s="45"/>
      <c r="K946" s="45"/>
    </row>
    <row r="947" spans="1:11">
      <c r="A947" s="17" t="str">
        <f t="shared" si="59"/>
        <v/>
      </c>
      <c r="B947" s="53"/>
      <c r="C947" s="11" t="str">
        <f t="shared" si="56"/>
        <v/>
      </c>
      <c r="D947" s="11" t="str">
        <f t="shared" si="57"/>
        <v/>
      </c>
      <c r="E947" s="45"/>
      <c r="F947" s="11" t="str">
        <f>IFERROR(VLOOKUP(E947,Category!$D$2:$E$600,2,FALSE),"")</f>
        <v/>
      </c>
      <c r="G947" s="45"/>
      <c r="H947" s="73"/>
      <c r="I947" s="18" t="str">
        <f t="shared" si="58"/>
        <v/>
      </c>
      <c r="J947" s="45"/>
      <c r="K947" s="45"/>
    </row>
    <row r="948" spans="1:11">
      <c r="A948" s="17" t="str">
        <f t="shared" si="59"/>
        <v/>
      </c>
      <c r="B948" s="53"/>
      <c r="C948" s="11" t="str">
        <f t="shared" si="56"/>
        <v/>
      </c>
      <c r="D948" s="11" t="str">
        <f t="shared" si="57"/>
        <v/>
      </c>
      <c r="E948" s="45"/>
      <c r="F948" s="11" t="str">
        <f>IFERROR(VLOOKUP(E948,Category!$D$2:$E$600,2,FALSE),"")</f>
        <v/>
      </c>
      <c r="G948" s="45"/>
      <c r="H948" s="73"/>
      <c r="I948" s="18" t="str">
        <f t="shared" si="58"/>
        <v/>
      </c>
      <c r="J948" s="45"/>
      <c r="K948" s="45"/>
    </row>
    <row r="949" spans="1:11">
      <c r="A949" s="17" t="str">
        <f t="shared" si="59"/>
        <v/>
      </c>
      <c r="B949" s="53"/>
      <c r="C949" s="11" t="str">
        <f t="shared" si="56"/>
        <v/>
      </c>
      <c r="D949" s="11" t="str">
        <f t="shared" si="57"/>
        <v/>
      </c>
      <c r="E949" s="45"/>
      <c r="F949" s="11" t="str">
        <f>IFERROR(VLOOKUP(E949,Category!$D$2:$E$600,2,FALSE),"")</f>
        <v/>
      </c>
      <c r="G949" s="45"/>
      <c r="H949" s="73"/>
      <c r="I949" s="18" t="str">
        <f t="shared" si="58"/>
        <v/>
      </c>
      <c r="J949" s="45"/>
      <c r="K949" s="45"/>
    </row>
    <row r="950" spans="1:11">
      <c r="A950" s="17" t="str">
        <f t="shared" si="59"/>
        <v/>
      </c>
      <c r="B950" s="53"/>
      <c r="C950" s="11" t="str">
        <f t="shared" si="56"/>
        <v/>
      </c>
      <c r="D950" s="11" t="str">
        <f t="shared" si="57"/>
        <v/>
      </c>
      <c r="E950" s="45"/>
      <c r="F950" s="11" t="str">
        <f>IFERROR(VLOOKUP(E950,Category!$D$2:$E$600,2,FALSE),"")</f>
        <v/>
      </c>
      <c r="G950" s="45"/>
      <c r="H950" s="73"/>
      <c r="I950" s="18" t="str">
        <f t="shared" si="58"/>
        <v/>
      </c>
      <c r="J950" s="45"/>
      <c r="K950" s="45"/>
    </row>
    <row r="951" spans="1:11">
      <c r="A951" s="17" t="str">
        <f t="shared" si="59"/>
        <v/>
      </c>
      <c r="B951" s="53"/>
      <c r="C951" s="11" t="str">
        <f t="shared" si="56"/>
        <v/>
      </c>
      <c r="D951" s="11" t="str">
        <f t="shared" si="57"/>
        <v/>
      </c>
      <c r="E951" s="45"/>
      <c r="F951" s="11" t="str">
        <f>IFERROR(VLOOKUP(E951,Category!$D$2:$E$600,2,FALSE),"")</f>
        <v/>
      </c>
      <c r="G951" s="45"/>
      <c r="H951" s="73"/>
      <c r="I951" s="18" t="str">
        <f t="shared" si="58"/>
        <v/>
      </c>
      <c r="J951" s="45"/>
      <c r="K951" s="45"/>
    </row>
    <row r="952" spans="1:11">
      <c r="A952" s="17" t="str">
        <f t="shared" si="59"/>
        <v/>
      </c>
      <c r="B952" s="53"/>
      <c r="C952" s="11" t="str">
        <f t="shared" si="56"/>
        <v/>
      </c>
      <c r="D952" s="11" t="str">
        <f t="shared" si="57"/>
        <v/>
      </c>
      <c r="E952" s="45"/>
      <c r="F952" s="11" t="str">
        <f>IFERROR(VLOOKUP(E952,Category!$D$2:$E$600,2,FALSE),"")</f>
        <v/>
      </c>
      <c r="G952" s="45"/>
      <c r="H952" s="73"/>
      <c r="I952" s="18" t="str">
        <f t="shared" si="58"/>
        <v/>
      </c>
      <c r="J952" s="45"/>
      <c r="K952" s="45"/>
    </row>
    <row r="953" spans="1:11">
      <c r="A953" s="17" t="str">
        <f t="shared" si="59"/>
        <v/>
      </c>
      <c r="B953" s="53"/>
      <c r="C953" s="11" t="str">
        <f t="shared" si="56"/>
        <v/>
      </c>
      <c r="D953" s="11" t="str">
        <f t="shared" si="57"/>
        <v/>
      </c>
      <c r="E953" s="45"/>
      <c r="F953" s="11" t="str">
        <f>IFERROR(VLOOKUP(E953,Category!$D$2:$E$600,2,FALSE),"")</f>
        <v/>
      </c>
      <c r="G953" s="45"/>
      <c r="H953" s="73"/>
      <c r="I953" s="18" t="str">
        <f t="shared" si="58"/>
        <v/>
      </c>
      <c r="J953" s="45"/>
      <c r="K953" s="45"/>
    </row>
    <row r="954" spans="1:11">
      <c r="A954" s="17" t="str">
        <f t="shared" si="59"/>
        <v/>
      </c>
      <c r="B954" s="53"/>
      <c r="C954" s="11" t="str">
        <f t="shared" si="56"/>
        <v/>
      </c>
      <c r="D954" s="11" t="str">
        <f t="shared" si="57"/>
        <v/>
      </c>
      <c r="E954" s="45"/>
      <c r="F954" s="11" t="str">
        <f>IFERROR(VLOOKUP(E954,Category!$D$2:$E$600,2,FALSE),"")</f>
        <v/>
      </c>
      <c r="G954" s="45"/>
      <c r="H954" s="73"/>
      <c r="I954" s="18" t="str">
        <f t="shared" si="58"/>
        <v/>
      </c>
      <c r="J954" s="45"/>
      <c r="K954" s="45"/>
    </row>
    <row r="955" spans="1:11">
      <c r="A955" s="17" t="str">
        <f t="shared" si="59"/>
        <v/>
      </c>
      <c r="B955" s="53"/>
      <c r="C955" s="11" t="str">
        <f t="shared" si="56"/>
        <v/>
      </c>
      <c r="D955" s="11" t="str">
        <f t="shared" si="57"/>
        <v/>
      </c>
      <c r="E955" s="45"/>
      <c r="F955" s="11" t="str">
        <f>IFERROR(VLOOKUP(E955,Category!$D$2:$E$600,2,FALSE),"")</f>
        <v/>
      </c>
      <c r="G955" s="45"/>
      <c r="H955" s="73"/>
      <c r="I955" s="18" t="str">
        <f t="shared" si="58"/>
        <v/>
      </c>
      <c r="J955" s="45"/>
      <c r="K955" s="45"/>
    </row>
    <row r="956" spans="1:11">
      <c r="A956" s="17" t="str">
        <f t="shared" si="59"/>
        <v/>
      </c>
      <c r="B956" s="53"/>
      <c r="C956" s="11" t="str">
        <f t="shared" si="56"/>
        <v/>
      </c>
      <c r="D956" s="11" t="str">
        <f t="shared" si="57"/>
        <v/>
      </c>
      <c r="E956" s="45"/>
      <c r="F956" s="11" t="str">
        <f>IFERROR(VLOOKUP(E956,Category!$D$2:$E$600,2,FALSE),"")</f>
        <v/>
      </c>
      <c r="G956" s="45"/>
      <c r="H956" s="73"/>
      <c r="I956" s="18" t="str">
        <f t="shared" si="58"/>
        <v/>
      </c>
      <c r="J956" s="45"/>
      <c r="K956" s="45"/>
    </row>
    <row r="957" spans="1:11">
      <c r="A957" s="17" t="str">
        <f t="shared" si="59"/>
        <v/>
      </c>
      <c r="B957" s="53"/>
      <c r="C957" s="11" t="str">
        <f t="shared" si="56"/>
        <v/>
      </c>
      <c r="D957" s="11" t="str">
        <f t="shared" si="57"/>
        <v/>
      </c>
      <c r="E957" s="45"/>
      <c r="F957" s="11" t="str">
        <f>IFERROR(VLOOKUP(E957,Category!$D$2:$E$600,2,FALSE),"")</f>
        <v/>
      </c>
      <c r="G957" s="45"/>
      <c r="H957" s="73"/>
      <c r="I957" s="18" t="str">
        <f t="shared" si="58"/>
        <v/>
      </c>
      <c r="J957" s="45"/>
      <c r="K957" s="45"/>
    </row>
    <row r="958" spans="1:11">
      <c r="A958" s="17" t="str">
        <f t="shared" si="59"/>
        <v/>
      </c>
      <c r="B958" s="53"/>
      <c r="C958" s="11" t="str">
        <f t="shared" si="56"/>
        <v/>
      </c>
      <c r="D958" s="11" t="str">
        <f t="shared" si="57"/>
        <v/>
      </c>
      <c r="E958" s="45"/>
      <c r="F958" s="11" t="str">
        <f>IFERROR(VLOOKUP(E958,Category!$D$2:$E$600,2,FALSE),"")</f>
        <v/>
      </c>
      <c r="G958" s="45"/>
      <c r="H958" s="73"/>
      <c r="I958" s="18" t="str">
        <f t="shared" si="58"/>
        <v/>
      </c>
      <c r="J958" s="45"/>
      <c r="K958" s="45"/>
    </row>
    <row r="959" spans="1:11">
      <c r="A959" s="17" t="str">
        <f t="shared" si="59"/>
        <v/>
      </c>
      <c r="B959" s="53"/>
      <c r="C959" s="11" t="str">
        <f t="shared" si="56"/>
        <v/>
      </c>
      <c r="D959" s="11" t="str">
        <f t="shared" si="57"/>
        <v/>
      </c>
      <c r="E959" s="45"/>
      <c r="F959" s="11" t="str">
        <f>IFERROR(VLOOKUP(E959,Category!$D$2:$E$600,2,FALSE),"")</f>
        <v/>
      </c>
      <c r="G959" s="45"/>
      <c r="H959" s="73"/>
      <c r="I959" s="18" t="str">
        <f t="shared" si="58"/>
        <v/>
      </c>
      <c r="J959" s="45"/>
      <c r="K959" s="45"/>
    </row>
    <row r="960" spans="1:11">
      <c r="A960" s="17" t="str">
        <f t="shared" si="59"/>
        <v/>
      </c>
      <c r="B960" s="53"/>
      <c r="C960" s="11" t="str">
        <f t="shared" si="56"/>
        <v/>
      </c>
      <c r="D960" s="11" t="str">
        <f t="shared" si="57"/>
        <v/>
      </c>
      <c r="E960" s="45"/>
      <c r="F960" s="11" t="str">
        <f>IFERROR(VLOOKUP(E960,Category!$D$2:$E$600,2,FALSE),"")</f>
        <v/>
      </c>
      <c r="G960" s="45"/>
      <c r="H960" s="73"/>
      <c r="I960" s="18" t="str">
        <f t="shared" si="58"/>
        <v/>
      </c>
      <c r="J960" s="45"/>
      <c r="K960" s="45"/>
    </row>
    <row r="961" spans="1:11">
      <c r="A961" s="17" t="str">
        <f t="shared" si="59"/>
        <v/>
      </c>
      <c r="B961" s="53"/>
      <c r="C961" s="11" t="str">
        <f t="shared" si="56"/>
        <v/>
      </c>
      <c r="D961" s="11" t="str">
        <f t="shared" si="57"/>
        <v/>
      </c>
      <c r="E961" s="45"/>
      <c r="F961" s="11" t="str">
        <f>IFERROR(VLOOKUP(E961,Category!$D$2:$E$600,2,FALSE),"")</f>
        <v/>
      </c>
      <c r="G961" s="45"/>
      <c r="H961" s="73"/>
      <c r="I961" s="18" t="str">
        <f t="shared" si="58"/>
        <v/>
      </c>
      <c r="J961" s="45"/>
      <c r="K961" s="45"/>
    </row>
    <row r="962" spans="1:11">
      <c r="A962" s="17" t="str">
        <f t="shared" si="59"/>
        <v/>
      </c>
      <c r="B962" s="53"/>
      <c r="C962" s="11" t="str">
        <f t="shared" si="56"/>
        <v/>
      </c>
      <c r="D962" s="11" t="str">
        <f t="shared" si="57"/>
        <v/>
      </c>
      <c r="E962" s="45"/>
      <c r="F962" s="11" t="str">
        <f>IFERROR(VLOOKUP(E962,Category!$D$2:$E$600,2,FALSE),"")</f>
        <v/>
      </c>
      <c r="G962" s="45"/>
      <c r="H962" s="73"/>
      <c r="I962" s="18" t="str">
        <f t="shared" si="58"/>
        <v/>
      </c>
      <c r="J962" s="45"/>
      <c r="K962" s="45"/>
    </row>
    <row r="963" spans="1:11">
      <c r="A963" s="17" t="str">
        <f t="shared" si="59"/>
        <v/>
      </c>
      <c r="B963" s="53"/>
      <c r="C963" s="11" t="str">
        <f t="shared" ref="C963:C1026" si="60">IF(B963=0,"",TEXT(B963,"mmmm"))</f>
        <v/>
      </c>
      <c r="D963" s="11" t="str">
        <f t="shared" ref="D963:D1026" si="61">IF(B963=0,"",TEXT(B963,"yyyy"))</f>
        <v/>
      </c>
      <c r="E963" s="45"/>
      <c r="F963" s="11" t="str">
        <f>IFERROR(VLOOKUP(E963,Category!$D$2:$E$600,2,FALSE),"")</f>
        <v/>
      </c>
      <c r="G963" s="45"/>
      <c r="H963" s="73"/>
      <c r="I963" s="18" t="str">
        <f t="shared" ref="I963:I1026" si="62">IF(G963*H963=0,"",G963*H963)</f>
        <v/>
      </c>
      <c r="J963" s="45"/>
      <c r="K963" s="45"/>
    </row>
    <row r="964" spans="1:11">
      <c r="A964" s="17" t="str">
        <f t="shared" ref="A964:A1027" si="63">IF(E964&gt;0,A963+1,"")</f>
        <v/>
      </c>
      <c r="B964" s="53"/>
      <c r="C964" s="11" t="str">
        <f t="shared" si="60"/>
        <v/>
      </c>
      <c r="D964" s="11" t="str">
        <f t="shared" si="61"/>
        <v/>
      </c>
      <c r="E964" s="45"/>
      <c r="F964" s="11" t="str">
        <f>IFERROR(VLOOKUP(E964,Category!$D$2:$E$600,2,FALSE),"")</f>
        <v/>
      </c>
      <c r="G964" s="45"/>
      <c r="H964" s="73"/>
      <c r="I964" s="18" t="str">
        <f t="shared" si="62"/>
        <v/>
      </c>
      <c r="J964" s="45"/>
      <c r="K964" s="45"/>
    </row>
    <row r="965" spans="1:11">
      <c r="A965" s="17" t="str">
        <f t="shared" si="63"/>
        <v/>
      </c>
      <c r="B965" s="53"/>
      <c r="C965" s="11" t="str">
        <f t="shared" si="60"/>
        <v/>
      </c>
      <c r="D965" s="11" t="str">
        <f t="shared" si="61"/>
        <v/>
      </c>
      <c r="E965" s="45"/>
      <c r="F965" s="11" t="str">
        <f>IFERROR(VLOOKUP(E965,Category!$D$2:$E$600,2,FALSE),"")</f>
        <v/>
      </c>
      <c r="G965" s="45"/>
      <c r="H965" s="73"/>
      <c r="I965" s="18" t="str">
        <f t="shared" si="62"/>
        <v/>
      </c>
      <c r="J965" s="45"/>
      <c r="K965" s="45"/>
    </row>
    <row r="966" spans="1:11">
      <c r="A966" s="17" t="str">
        <f t="shared" si="63"/>
        <v/>
      </c>
      <c r="B966" s="53"/>
      <c r="C966" s="11" t="str">
        <f t="shared" si="60"/>
        <v/>
      </c>
      <c r="D966" s="11" t="str">
        <f t="shared" si="61"/>
        <v/>
      </c>
      <c r="E966" s="45"/>
      <c r="F966" s="11" t="str">
        <f>IFERROR(VLOOKUP(E966,Category!$D$2:$E$600,2,FALSE),"")</f>
        <v/>
      </c>
      <c r="G966" s="45"/>
      <c r="H966" s="73"/>
      <c r="I966" s="18" t="str">
        <f t="shared" si="62"/>
        <v/>
      </c>
      <c r="J966" s="45"/>
      <c r="K966" s="45"/>
    </row>
    <row r="967" spans="1:11">
      <c r="A967" s="17" t="str">
        <f t="shared" si="63"/>
        <v/>
      </c>
      <c r="B967" s="53"/>
      <c r="C967" s="11" t="str">
        <f t="shared" si="60"/>
        <v/>
      </c>
      <c r="D967" s="11" t="str">
        <f t="shared" si="61"/>
        <v/>
      </c>
      <c r="E967" s="45"/>
      <c r="F967" s="11" t="str">
        <f>IFERROR(VLOOKUP(E967,Category!$D$2:$E$600,2,FALSE),"")</f>
        <v/>
      </c>
      <c r="G967" s="45"/>
      <c r="H967" s="73"/>
      <c r="I967" s="18" t="str">
        <f t="shared" si="62"/>
        <v/>
      </c>
      <c r="J967" s="45"/>
      <c r="K967" s="45"/>
    </row>
    <row r="968" spans="1:11">
      <c r="A968" s="17" t="str">
        <f t="shared" si="63"/>
        <v/>
      </c>
      <c r="B968" s="53"/>
      <c r="C968" s="11" t="str">
        <f t="shared" si="60"/>
        <v/>
      </c>
      <c r="D968" s="11" t="str">
        <f t="shared" si="61"/>
        <v/>
      </c>
      <c r="E968" s="45"/>
      <c r="F968" s="11" t="str">
        <f>IFERROR(VLOOKUP(E968,Category!$D$2:$E$600,2,FALSE),"")</f>
        <v/>
      </c>
      <c r="G968" s="45"/>
      <c r="H968" s="73"/>
      <c r="I968" s="18" t="str">
        <f t="shared" si="62"/>
        <v/>
      </c>
      <c r="J968" s="45"/>
      <c r="K968" s="45"/>
    </row>
    <row r="969" spans="1:11">
      <c r="A969" s="17" t="str">
        <f t="shared" si="63"/>
        <v/>
      </c>
      <c r="B969" s="53"/>
      <c r="C969" s="11" t="str">
        <f t="shared" si="60"/>
        <v/>
      </c>
      <c r="D969" s="11" t="str">
        <f t="shared" si="61"/>
        <v/>
      </c>
      <c r="E969" s="45"/>
      <c r="F969" s="11" t="str">
        <f>IFERROR(VLOOKUP(E969,Category!$D$2:$E$600,2,FALSE),"")</f>
        <v/>
      </c>
      <c r="G969" s="45"/>
      <c r="H969" s="73"/>
      <c r="I969" s="18" t="str">
        <f t="shared" si="62"/>
        <v/>
      </c>
      <c r="J969" s="45"/>
      <c r="K969" s="45"/>
    </row>
    <row r="970" spans="1:11">
      <c r="A970" s="17" t="str">
        <f t="shared" si="63"/>
        <v/>
      </c>
      <c r="B970" s="53"/>
      <c r="C970" s="11" t="str">
        <f t="shared" si="60"/>
        <v/>
      </c>
      <c r="D970" s="11" t="str">
        <f t="shared" si="61"/>
        <v/>
      </c>
      <c r="E970" s="45"/>
      <c r="F970" s="11" t="str">
        <f>IFERROR(VLOOKUP(E970,Category!$D$2:$E$600,2,FALSE),"")</f>
        <v/>
      </c>
      <c r="G970" s="45"/>
      <c r="H970" s="73"/>
      <c r="I970" s="18" t="str">
        <f t="shared" si="62"/>
        <v/>
      </c>
      <c r="J970" s="45"/>
      <c r="K970" s="45"/>
    </row>
    <row r="971" spans="1:11">
      <c r="A971" s="17" t="str">
        <f t="shared" si="63"/>
        <v/>
      </c>
      <c r="B971" s="53"/>
      <c r="C971" s="11" t="str">
        <f t="shared" si="60"/>
        <v/>
      </c>
      <c r="D971" s="11" t="str">
        <f t="shared" si="61"/>
        <v/>
      </c>
      <c r="E971" s="45"/>
      <c r="F971" s="11" t="str">
        <f>IFERROR(VLOOKUP(E971,Category!$D$2:$E$600,2,FALSE),"")</f>
        <v/>
      </c>
      <c r="G971" s="45"/>
      <c r="H971" s="73"/>
      <c r="I971" s="18" t="str">
        <f t="shared" si="62"/>
        <v/>
      </c>
      <c r="J971" s="45"/>
      <c r="K971" s="45"/>
    </row>
    <row r="972" spans="1:11">
      <c r="A972" s="17" t="str">
        <f t="shared" si="63"/>
        <v/>
      </c>
      <c r="B972" s="53"/>
      <c r="C972" s="11" t="str">
        <f t="shared" si="60"/>
        <v/>
      </c>
      <c r="D972" s="11" t="str">
        <f t="shared" si="61"/>
        <v/>
      </c>
      <c r="E972" s="45"/>
      <c r="F972" s="11" t="str">
        <f>IFERROR(VLOOKUP(E972,Category!$D$2:$E$600,2,FALSE),"")</f>
        <v/>
      </c>
      <c r="G972" s="45"/>
      <c r="H972" s="73"/>
      <c r="I972" s="18" t="str">
        <f t="shared" si="62"/>
        <v/>
      </c>
      <c r="J972" s="45"/>
      <c r="K972" s="45"/>
    </row>
    <row r="973" spans="1:11">
      <c r="A973" s="17" t="str">
        <f t="shared" si="63"/>
        <v/>
      </c>
      <c r="B973" s="53"/>
      <c r="C973" s="11" t="str">
        <f t="shared" si="60"/>
        <v/>
      </c>
      <c r="D973" s="11" t="str">
        <f t="shared" si="61"/>
        <v/>
      </c>
      <c r="E973" s="45"/>
      <c r="F973" s="11" t="str">
        <f>IFERROR(VLOOKUP(E973,Category!$D$2:$E$600,2,FALSE),"")</f>
        <v/>
      </c>
      <c r="G973" s="45"/>
      <c r="H973" s="73"/>
      <c r="I973" s="18" t="str">
        <f t="shared" si="62"/>
        <v/>
      </c>
      <c r="J973" s="45"/>
      <c r="K973" s="45"/>
    </row>
    <row r="974" spans="1:11">
      <c r="A974" s="17" t="str">
        <f t="shared" si="63"/>
        <v/>
      </c>
      <c r="B974" s="53"/>
      <c r="C974" s="11" t="str">
        <f t="shared" si="60"/>
        <v/>
      </c>
      <c r="D974" s="11" t="str">
        <f t="shared" si="61"/>
        <v/>
      </c>
      <c r="E974" s="45"/>
      <c r="F974" s="11" t="str">
        <f>IFERROR(VLOOKUP(E974,Category!$D$2:$E$600,2,FALSE),"")</f>
        <v/>
      </c>
      <c r="G974" s="45"/>
      <c r="H974" s="73"/>
      <c r="I974" s="18" t="str">
        <f t="shared" si="62"/>
        <v/>
      </c>
      <c r="J974" s="45"/>
      <c r="K974" s="45"/>
    </row>
    <row r="975" spans="1:11">
      <c r="A975" s="17" t="str">
        <f t="shared" si="63"/>
        <v/>
      </c>
      <c r="B975" s="53"/>
      <c r="C975" s="11" t="str">
        <f t="shared" si="60"/>
        <v/>
      </c>
      <c r="D975" s="11" t="str">
        <f t="shared" si="61"/>
        <v/>
      </c>
      <c r="E975" s="45"/>
      <c r="F975" s="11" t="str">
        <f>IFERROR(VLOOKUP(E975,Category!$D$2:$E$600,2,FALSE),"")</f>
        <v/>
      </c>
      <c r="G975" s="45"/>
      <c r="H975" s="73"/>
      <c r="I975" s="18" t="str">
        <f t="shared" si="62"/>
        <v/>
      </c>
      <c r="J975" s="45"/>
      <c r="K975" s="45"/>
    </row>
    <row r="976" spans="1:11">
      <c r="A976" s="17" t="str">
        <f t="shared" si="63"/>
        <v/>
      </c>
      <c r="B976" s="53"/>
      <c r="C976" s="11" t="str">
        <f t="shared" si="60"/>
        <v/>
      </c>
      <c r="D976" s="11" t="str">
        <f t="shared" si="61"/>
        <v/>
      </c>
      <c r="E976" s="45"/>
      <c r="F976" s="11" t="str">
        <f>IFERROR(VLOOKUP(E976,Category!$D$2:$E$600,2,FALSE),"")</f>
        <v/>
      </c>
      <c r="G976" s="45"/>
      <c r="H976" s="73"/>
      <c r="I976" s="18" t="str">
        <f t="shared" si="62"/>
        <v/>
      </c>
      <c r="J976" s="45"/>
      <c r="K976" s="45"/>
    </row>
    <row r="977" spans="1:11">
      <c r="A977" s="17" t="str">
        <f t="shared" si="63"/>
        <v/>
      </c>
      <c r="B977" s="53"/>
      <c r="C977" s="11" t="str">
        <f t="shared" si="60"/>
        <v/>
      </c>
      <c r="D977" s="11" t="str">
        <f t="shared" si="61"/>
        <v/>
      </c>
      <c r="E977" s="45"/>
      <c r="F977" s="11" t="str">
        <f>IFERROR(VLOOKUP(E977,Category!$D$2:$E$600,2,FALSE),"")</f>
        <v/>
      </c>
      <c r="G977" s="45"/>
      <c r="H977" s="73"/>
      <c r="I977" s="18" t="str">
        <f t="shared" si="62"/>
        <v/>
      </c>
      <c r="J977" s="45"/>
      <c r="K977" s="45"/>
    </row>
    <row r="978" spans="1:11">
      <c r="A978" s="17" t="str">
        <f t="shared" si="63"/>
        <v/>
      </c>
      <c r="B978" s="53"/>
      <c r="C978" s="11" t="str">
        <f t="shared" si="60"/>
        <v/>
      </c>
      <c r="D978" s="11" t="str">
        <f t="shared" si="61"/>
        <v/>
      </c>
      <c r="E978" s="45"/>
      <c r="F978" s="11" t="str">
        <f>IFERROR(VLOOKUP(E978,Category!$D$2:$E$600,2,FALSE),"")</f>
        <v/>
      </c>
      <c r="G978" s="45"/>
      <c r="H978" s="73"/>
      <c r="I978" s="18" t="str">
        <f t="shared" si="62"/>
        <v/>
      </c>
      <c r="J978" s="45"/>
      <c r="K978" s="45"/>
    </row>
    <row r="979" spans="1:11">
      <c r="A979" s="17" t="str">
        <f t="shared" si="63"/>
        <v/>
      </c>
      <c r="B979" s="53"/>
      <c r="C979" s="11" t="str">
        <f t="shared" si="60"/>
        <v/>
      </c>
      <c r="D979" s="11" t="str">
        <f t="shared" si="61"/>
        <v/>
      </c>
      <c r="E979" s="45"/>
      <c r="F979" s="11" t="str">
        <f>IFERROR(VLOOKUP(E979,Category!$D$2:$E$600,2,FALSE),"")</f>
        <v/>
      </c>
      <c r="G979" s="45"/>
      <c r="H979" s="73"/>
      <c r="I979" s="18" t="str">
        <f t="shared" si="62"/>
        <v/>
      </c>
      <c r="J979" s="45"/>
      <c r="K979" s="45"/>
    </row>
    <row r="980" spans="1:11">
      <c r="A980" s="17" t="str">
        <f t="shared" si="63"/>
        <v/>
      </c>
      <c r="B980" s="53"/>
      <c r="C980" s="11" t="str">
        <f t="shared" si="60"/>
        <v/>
      </c>
      <c r="D980" s="11" t="str">
        <f t="shared" si="61"/>
        <v/>
      </c>
      <c r="E980" s="45"/>
      <c r="F980" s="11" t="str">
        <f>IFERROR(VLOOKUP(E980,Category!$D$2:$E$600,2,FALSE),"")</f>
        <v/>
      </c>
      <c r="G980" s="45"/>
      <c r="H980" s="73"/>
      <c r="I980" s="18" t="str">
        <f t="shared" si="62"/>
        <v/>
      </c>
      <c r="J980" s="45"/>
      <c r="K980" s="45"/>
    </row>
    <row r="981" spans="1:11">
      <c r="A981" s="17" t="str">
        <f t="shared" si="63"/>
        <v/>
      </c>
      <c r="B981" s="53"/>
      <c r="C981" s="11" t="str">
        <f t="shared" si="60"/>
        <v/>
      </c>
      <c r="D981" s="11" t="str">
        <f t="shared" si="61"/>
        <v/>
      </c>
      <c r="E981" s="45"/>
      <c r="F981" s="11" t="str">
        <f>IFERROR(VLOOKUP(E981,Category!$D$2:$E$600,2,FALSE),"")</f>
        <v/>
      </c>
      <c r="G981" s="45"/>
      <c r="H981" s="73"/>
      <c r="I981" s="18" t="str">
        <f t="shared" si="62"/>
        <v/>
      </c>
      <c r="J981" s="45"/>
      <c r="K981" s="45"/>
    </row>
    <row r="982" spans="1:11">
      <c r="A982" s="17" t="str">
        <f t="shared" si="63"/>
        <v/>
      </c>
      <c r="B982" s="53"/>
      <c r="C982" s="11" t="str">
        <f t="shared" si="60"/>
        <v/>
      </c>
      <c r="D982" s="11" t="str">
        <f t="shared" si="61"/>
        <v/>
      </c>
      <c r="E982" s="45"/>
      <c r="F982" s="11" t="str">
        <f>IFERROR(VLOOKUP(E982,Category!$D$2:$E$600,2,FALSE),"")</f>
        <v/>
      </c>
      <c r="G982" s="45"/>
      <c r="H982" s="73"/>
      <c r="I982" s="18" t="str">
        <f t="shared" si="62"/>
        <v/>
      </c>
      <c r="J982" s="45"/>
      <c r="K982" s="45"/>
    </row>
    <row r="983" spans="1:11">
      <c r="A983" s="17" t="str">
        <f t="shared" si="63"/>
        <v/>
      </c>
      <c r="B983" s="53"/>
      <c r="C983" s="11" t="str">
        <f t="shared" si="60"/>
        <v/>
      </c>
      <c r="D983" s="11" t="str">
        <f t="shared" si="61"/>
        <v/>
      </c>
      <c r="E983" s="45"/>
      <c r="F983" s="11" t="str">
        <f>IFERROR(VLOOKUP(E983,Category!$D$2:$E$600,2,FALSE),"")</f>
        <v/>
      </c>
      <c r="G983" s="45"/>
      <c r="H983" s="73"/>
      <c r="I983" s="18" t="str">
        <f t="shared" si="62"/>
        <v/>
      </c>
      <c r="J983" s="45"/>
      <c r="K983" s="45"/>
    </row>
    <row r="984" spans="1:11">
      <c r="A984" s="17" t="str">
        <f t="shared" si="63"/>
        <v/>
      </c>
      <c r="B984" s="53"/>
      <c r="C984" s="11" t="str">
        <f t="shared" si="60"/>
        <v/>
      </c>
      <c r="D984" s="11" t="str">
        <f t="shared" si="61"/>
        <v/>
      </c>
      <c r="E984" s="45"/>
      <c r="F984" s="11" t="str">
        <f>IFERROR(VLOOKUP(E984,Category!$D$2:$E$600,2,FALSE),"")</f>
        <v/>
      </c>
      <c r="G984" s="45"/>
      <c r="H984" s="73"/>
      <c r="I984" s="18" t="str">
        <f t="shared" si="62"/>
        <v/>
      </c>
      <c r="J984" s="45"/>
      <c r="K984" s="45"/>
    </row>
    <row r="985" spans="1:11">
      <c r="A985" s="17" t="str">
        <f t="shared" si="63"/>
        <v/>
      </c>
      <c r="B985" s="53"/>
      <c r="C985" s="11" t="str">
        <f t="shared" si="60"/>
        <v/>
      </c>
      <c r="D985" s="11" t="str">
        <f t="shared" si="61"/>
        <v/>
      </c>
      <c r="E985" s="45"/>
      <c r="F985" s="11" t="str">
        <f>IFERROR(VLOOKUP(E985,Category!$D$2:$E$600,2,FALSE),"")</f>
        <v/>
      </c>
      <c r="G985" s="45"/>
      <c r="H985" s="73"/>
      <c r="I985" s="18" t="str">
        <f t="shared" si="62"/>
        <v/>
      </c>
      <c r="J985" s="45"/>
      <c r="K985" s="45"/>
    </row>
    <row r="986" spans="1:11">
      <c r="A986" s="17" t="str">
        <f t="shared" si="63"/>
        <v/>
      </c>
      <c r="B986" s="53"/>
      <c r="C986" s="11" t="str">
        <f t="shared" si="60"/>
        <v/>
      </c>
      <c r="D986" s="11" t="str">
        <f t="shared" si="61"/>
        <v/>
      </c>
      <c r="E986" s="45"/>
      <c r="F986" s="11" t="str">
        <f>IFERROR(VLOOKUP(E986,Category!$D$2:$E$600,2,FALSE),"")</f>
        <v/>
      </c>
      <c r="G986" s="45"/>
      <c r="H986" s="73"/>
      <c r="I986" s="18" t="str">
        <f t="shared" si="62"/>
        <v/>
      </c>
      <c r="J986" s="45"/>
      <c r="K986" s="45"/>
    </row>
    <row r="987" spans="1:11">
      <c r="A987" s="17" t="str">
        <f t="shared" si="63"/>
        <v/>
      </c>
      <c r="B987" s="53"/>
      <c r="C987" s="11" t="str">
        <f t="shared" si="60"/>
        <v/>
      </c>
      <c r="D987" s="11" t="str">
        <f t="shared" si="61"/>
        <v/>
      </c>
      <c r="E987" s="45"/>
      <c r="F987" s="11" t="str">
        <f>IFERROR(VLOOKUP(E987,Category!$D$2:$E$600,2,FALSE),"")</f>
        <v/>
      </c>
      <c r="G987" s="45"/>
      <c r="H987" s="73"/>
      <c r="I987" s="18" t="str">
        <f t="shared" si="62"/>
        <v/>
      </c>
      <c r="J987" s="45"/>
      <c r="K987" s="45"/>
    </row>
    <row r="988" spans="1:11">
      <c r="A988" s="17" t="str">
        <f t="shared" si="63"/>
        <v/>
      </c>
      <c r="B988" s="53"/>
      <c r="C988" s="11" t="str">
        <f t="shared" si="60"/>
        <v/>
      </c>
      <c r="D988" s="11" t="str">
        <f t="shared" si="61"/>
        <v/>
      </c>
      <c r="E988" s="45"/>
      <c r="F988" s="11" t="str">
        <f>IFERROR(VLOOKUP(E988,Category!$D$2:$E$600,2,FALSE),"")</f>
        <v/>
      </c>
      <c r="G988" s="45"/>
      <c r="H988" s="73"/>
      <c r="I988" s="18" t="str">
        <f t="shared" si="62"/>
        <v/>
      </c>
      <c r="J988" s="45"/>
      <c r="K988" s="45"/>
    </row>
    <row r="989" spans="1:11">
      <c r="A989" s="17" t="str">
        <f t="shared" si="63"/>
        <v/>
      </c>
      <c r="B989" s="53"/>
      <c r="C989" s="11" t="str">
        <f t="shared" si="60"/>
        <v/>
      </c>
      <c r="D989" s="11" t="str">
        <f t="shared" si="61"/>
        <v/>
      </c>
      <c r="E989" s="45"/>
      <c r="F989" s="11" t="str">
        <f>IFERROR(VLOOKUP(E989,Category!$D$2:$E$600,2,FALSE),"")</f>
        <v/>
      </c>
      <c r="G989" s="45"/>
      <c r="H989" s="73"/>
      <c r="I989" s="18" t="str">
        <f t="shared" si="62"/>
        <v/>
      </c>
      <c r="J989" s="45"/>
      <c r="K989" s="45"/>
    </row>
    <row r="990" spans="1:11">
      <c r="A990" s="17" t="str">
        <f t="shared" si="63"/>
        <v/>
      </c>
      <c r="B990" s="53"/>
      <c r="C990" s="11" t="str">
        <f t="shared" si="60"/>
        <v/>
      </c>
      <c r="D990" s="11" t="str">
        <f t="shared" si="61"/>
        <v/>
      </c>
      <c r="E990" s="45"/>
      <c r="F990" s="11" t="str">
        <f>IFERROR(VLOOKUP(E990,Category!$D$2:$E$600,2,FALSE),"")</f>
        <v/>
      </c>
      <c r="G990" s="45"/>
      <c r="H990" s="73"/>
      <c r="I990" s="18" t="str">
        <f t="shared" si="62"/>
        <v/>
      </c>
      <c r="J990" s="45"/>
      <c r="K990" s="45"/>
    </row>
    <row r="991" spans="1:11">
      <c r="A991" s="17" t="str">
        <f t="shared" si="63"/>
        <v/>
      </c>
      <c r="B991" s="53"/>
      <c r="C991" s="11" t="str">
        <f t="shared" si="60"/>
        <v/>
      </c>
      <c r="D991" s="11" t="str">
        <f t="shared" si="61"/>
        <v/>
      </c>
      <c r="E991" s="45"/>
      <c r="F991" s="11" t="str">
        <f>IFERROR(VLOOKUP(E991,Category!$D$2:$E$600,2,FALSE),"")</f>
        <v/>
      </c>
      <c r="G991" s="45"/>
      <c r="H991" s="73"/>
      <c r="I991" s="18" t="str">
        <f t="shared" si="62"/>
        <v/>
      </c>
      <c r="J991" s="45"/>
      <c r="K991" s="45"/>
    </row>
    <row r="992" spans="1:11">
      <c r="A992" s="17" t="str">
        <f t="shared" si="63"/>
        <v/>
      </c>
      <c r="B992" s="53"/>
      <c r="C992" s="11" t="str">
        <f t="shared" si="60"/>
        <v/>
      </c>
      <c r="D992" s="11" t="str">
        <f t="shared" si="61"/>
        <v/>
      </c>
      <c r="E992" s="45"/>
      <c r="F992" s="11" t="str">
        <f>IFERROR(VLOOKUP(E992,Category!$D$2:$E$600,2,FALSE),"")</f>
        <v/>
      </c>
      <c r="G992" s="45"/>
      <c r="H992" s="73"/>
      <c r="I992" s="18" t="str">
        <f t="shared" si="62"/>
        <v/>
      </c>
      <c r="J992" s="45"/>
      <c r="K992" s="45"/>
    </row>
    <row r="993" spans="1:11">
      <c r="A993" s="17" t="str">
        <f t="shared" si="63"/>
        <v/>
      </c>
      <c r="B993" s="53"/>
      <c r="C993" s="11" t="str">
        <f t="shared" si="60"/>
        <v/>
      </c>
      <c r="D993" s="11" t="str">
        <f t="shared" si="61"/>
        <v/>
      </c>
      <c r="E993" s="45"/>
      <c r="F993" s="11" t="str">
        <f>IFERROR(VLOOKUP(E993,Category!$D$2:$E$600,2,FALSE),"")</f>
        <v/>
      </c>
      <c r="G993" s="45"/>
      <c r="H993" s="73"/>
      <c r="I993" s="18" t="str">
        <f t="shared" si="62"/>
        <v/>
      </c>
      <c r="J993" s="45"/>
      <c r="K993" s="45"/>
    </row>
    <row r="994" spans="1:11">
      <c r="A994" s="17" t="str">
        <f t="shared" si="63"/>
        <v/>
      </c>
      <c r="B994" s="53"/>
      <c r="C994" s="11" t="str">
        <f t="shared" si="60"/>
        <v/>
      </c>
      <c r="D994" s="11" t="str">
        <f t="shared" si="61"/>
        <v/>
      </c>
      <c r="E994" s="45"/>
      <c r="F994" s="11" t="str">
        <f>IFERROR(VLOOKUP(E994,Category!$D$2:$E$600,2,FALSE),"")</f>
        <v/>
      </c>
      <c r="G994" s="45"/>
      <c r="H994" s="73"/>
      <c r="I994" s="18" t="str">
        <f t="shared" si="62"/>
        <v/>
      </c>
      <c r="J994" s="45"/>
      <c r="K994" s="45"/>
    </row>
    <row r="995" spans="1:11">
      <c r="A995" s="17" t="str">
        <f t="shared" si="63"/>
        <v/>
      </c>
      <c r="B995" s="53"/>
      <c r="C995" s="11" t="str">
        <f t="shared" si="60"/>
        <v/>
      </c>
      <c r="D995" s="11" t="str">
        <f t="shared" si="61"/>
        <v/>
      </c>
      <c r="E995" s="45"/>
      <c r="F995" s="11" t="str">
        <f>IFERROR(VLOOKUP(E995,Category!$D$2:$E$600,2,FALSE),"")</f>
        <v/>
      </c>
      <c r="G995" s="45"/>
      <c r="H995" s="73"/>
      <c r="I995" s="18" t="str">
        <f t="shared" si="62"/>
        <v/>
      </c>
      <c r="J995" s="45"/>
      <c r="K995" s="45"/>
    </row>
    <row r="996" spans="1:11">
      <c r="A996" s="17" t="str">
        <f t="shared" si="63"/>
        <v/>
      </c>
      <c r="B996" s="53"/>
      <c r="C996" s="11" t="str">
        <f t="shared" si="60"/>
        <v/>
      </c>
      <c r="D996" s="11" t="str">
        <f t="shared" si="61"/>
        <v/>
      </c>
      <c r="E996" s="45"/>
      <c r="F996" s="11" t="str">
        <f>IFERROR(VLOOKUP(E996,Category!$D$2:$E$600,2,FALSE),"")</f>
        <v/>
      </c>
      <c r="G996" s="45"/>
      <c r="H996" s="73"/>
      <c r="I996" s="18" t="str">
        <f t="shared" si="62"/>
        <v/>
      </c>
      <c r="J996" s="45"/>
      <c r="K996" s="45"/>
    </row>
    <row r="997" spans="1:11">
      <c r="A997" s="17" t="str">
        <f t="shared" si="63"/>
        <v/>
      </c>
      <c r="B997" s="53"/>
      <c r="C997" s="11" t="str">
        <f t="shared" si="60"/>
        <v/>
      </c>
      <c r="D997" s="11" t="str">
        <f t="shared" si="61"/>
        <v/>
      </c>
      <c r="E997" s="45"/>
      <c r="F997" s="11" t="str">
        <f>IFERROR(VLOOKUP(E997,Category!$D$2:$E$600,2,FALSE),"")</f>
        <v/>
      </c>
      <c r="G997" s="45"/>
      <c r="H997" s="73"/>
      <c r="I997" s="18" t="str">
        <f t="shared" si="62"/>
        <v/>
      </c>
      <c r="J997" s="45"/>
      <c r="K997" s="45"/>
    </row>
    <row r="998" spans="1:11">
      <c r="A998" s="17" t="str">
        <f t="shared" si="63"/>
        <v/>
      </c>
      <c r="B998" s="53"/>
      <c r="C998" s="11" t="str">
        <f t="shared" si="60"/>
        <v/>
      </c>
      <c r="D998" s="11" t="str">
        <f t="shared" si="61"/>
        <v/>
      </c>
      <c r="E998" s="45"/>
      <c r="F998" s="11" t="str">
        <f>IFERROR(VLOOKUP(E998,Category!$D$2:$E$600,2,FALSE),"")</f>
        <v/>
      </c>
      <c r="G998" s="45"/>
      <c r="H998" s="73"/>
      <c r="I998" s="18" t="str">
        <f t="shared" si="62"/>
        <v/>
      </c>
      <c r="J998" s="45"/>
      <c r="K998" s="45"/>
    </row>
    <row r="999" spans="1:11">
      <c r="A999" s="17" t="str">
        <f t="shared" si="63"/>
        <v/>
      </c>
      <c r="B999" s="53"/>
      <c r="C999" s="11" t="str">
        <f t="shared" si="60"/>
        <v/>
      </c>
      <c r="D999" s="11" t="str">
        <f t="shared" si="61"/>
        <v/>
      </c>
      <c r="E999" s="45"/>
      <c r="F999" s="11" t="str">
        <f>IFERROR(VLOOKUP(E999,Category!$D$2:$E$600,2,FALSE),"")</f>
        <v/>
      </c>
      <c r="G999" s="45"/>
      <c r="H999" s="73"/>
      <c r="I999" s="18" t="str">
        <f t="shared" si="62"/>
        <v/>
      </c>
      <c r="J999" s="45"/>
      <c r="K999" s="45"/>
    </row>
    <row r="1000" spans="1:11">
      <c r="A1000" s="17" t="str">
        <f t="shared" si="63"/>
        <v/>
      </c>
      <c r="B1000" s="53"/>
      <c r="C1000" s="11" t="str">
        <f t="shared" si="60"/>
        <v/>
      </c>
      <c r="D1000" s="11" t="str">
        <f t="shared" si="61"/>
        <v/>
      </c>
      <c r="E1000" s="45"/>
      <c r="F1000" s="11" t="str">
        <f>IFERROR(VLOOKUP(E1000,Category!$D$2:$E$600,2,FALSE),"")</f>
        <v/>
      </c>
      <c r="G1000" s="45"/>
      <c r="H1000" s="73"/>
      <c r="I1000" s="18" t="str">
        <f t="shared" si="62"/>
        <v/>
      </c>
      <c r="J1000" s="45"/>
      <c r="K1000" s="45"/>
    </row>
    <row r="1001" spans="1:11">
      <c r="A1001" s="17" t="str">
        <f t="shared" si="63"/>
        <v/>
      </c>
      <c r="B1001" s="53"/>
      <c r="C1001" s="11" t="str">
        <f t="shared" si="60"/>
        <v/>
      </c>
      <c r="D1001" s="11" t="str">
        <f t="shared" si="61"/>
        <v/>
      </c>
      <c r="E1001" s="45"/>
      <c r="F1001" s="11" t="str">
        <f>IFERROR(VLOOKUP(E1001,Category!$D$2:$E$600,2,FALSE),"")</f>
        <v/>
      </c>
      <c r="G1001" s="45"/>
      <c r="H1001" s="73"/>
      <c r="I1001" s="18" t="str">
        <f t="shared" si="62"/>
        <v/>
      </c>
      <c r="J1001" s="45"/>
      <c r="K1001" s="45"/>
    </row>
    <row r="1002" spans="1:11">
      <c r="A1002" s="17" t="str">
        <f t="shared" si="63"/>
        <v/>
      </c>
      <c r="B1002" s="53"/>
      <c r="C1002" s="11" t="str">
        <f t="shared" si="60"/>
        <v/>
      </c>
      <c r="D1002" s="11" t="str">
        <f t="shared" si="61"/>
        <v/>
      </c>
      <c r="E1002" s="45"/>
      <c r="F1002" s="11" t="str">
        <f>IFERROR(VLOOKUP(E1002,Category!$D$2:$E$600,2,FALSE),"")</f>
        <v/>
      </c>
      <c r="G1002" s="45"/>
      <c r="H1002" s="73"/>
      <c r="I1002" s="18" t="str">
        <f t="shared" si="62"/>
        <v/>
      </c>
      <c r="J1002" s="45"/>
      <c r="K1002" s="45"/>
    </row>
    <row r="1003" spans="1:11">
      <c r="A1003" s="17" t="str">
        <f t="shared" si="63"/>
        <v/>
      </c>
      <c r="B1003" s="53"/>
      <c r="C1003" s="11" t="str">
        <f t="shared" si="60"/>
        <v/>
      </c>
      <c r="D1003" s="11" t="str">
        <f t="shared" si="61"/>
        <v/>
      </c>
      <c r="E1003" s="45"/>
      <c r="F1003" s="11" t="str">
        <f>IFERROR(VLOOKUP(E1003,Category!$D$2:$E$600,2,FALSE),"")</f>
        <v/>
      </c>
      <c r="G1003" s="45"/>
      <c r="H1003" s="73"/>
      <c r="I1003" s="18" t="str">
        <f t="shared" si="62"/>
        <v/>
      </c>
      <c r="J1003" s="45"/>
      <c r="K1003" s="45"/>
    </row>
    <row r="1004" spans="1:11">
      <c r="A1004" s="17" t="str">
        <f t="shared" si="63"/>
        <v/>
      </c>
      <c r="B1004" s="53"/>
      <c r="C1004" s="11" t="str">
        <f t="shared" si="60"/>
        <v/>
      </c>
      <c r="D1004" s="11" t="str">
        <f t="shared" si="61"/>
        <v/>
      </c>
      <c r="E1004" s="45"/>
      <c r="F1004" s="11" t="str">
        <f>IFERROR(VLOOKUP(E1004,Category!$D$2:$E$600,2,FALSE),"")</f>
        <v/>
      </c>
      <c r="G1004" s="45"/>
      <c r="H1004" s="73"/>
      <c r="I1004" s="18" t="str">
        <f t="shared" si="62"/>
        <v/>
      </c>
      <c r="J1004" s="45"/>
      <c r="K1004" s="45"/>
    </row>
    <row r="1005" spans="1:11">
      <c r="A1005" s="17" t="str">
        <f t="shared" si="63"/>
        <v/>
      </c>
      <c r="B1005" s="53"/>
      <c r="C1005" s="11" t="str">
        <f t="shared" si="60"/>
        <v/>
      </c>
      <c r="D1005" s="11" t="str">
        <f t="shared" si="61"/>
        <v/>
      </c>
      <c r="E1005" s="45"/>
      <c r="F1005" s="11" t="str">
        <f>IFERROR(VLOOKUP(E1005,Category!$D$2:$E$600,2,FALSE),"")</f>
        <v/>
      </c>
      <c r="G1005" s="45"/>
      <c r="H1005" s="73"/>
      <c r="I1005" s="18" t="str">
        <f t="shared" si="62"/>
        <v/>
      </c>
      <c r="J1005" s="45"/>
      <c r="K1005" s="45"/>
    </row>
    <row r="1006" spans="1:11">
      <c r="A1006" s="17" t="str">
        <f t="shared" si="63"/>
        <v/>
      </c>
      <c r="B1006" s="53"/>
      <c r="C1006" s="11" t="str">
        <f t="shared" si="60"/>
        <v/>
      </c>
      <c r="D1006" s="11" t="str">
        <f t="shared" si="61"/>
        <v/>
      </c>
      <c r="E1006" s="45"/>
      <c r="F1006" s="11" t="str">
        <f>IFERROR(VLOOKUP(E1006,Category!$D$2:$E$600,2,FALSE),"")</f>
        <v/>
      </c>
      <c r="G1006" s="45"/>
      <c r="H1006" s="73"/>
      <c r="I1006" s="18" t="str">
        <f t="shared" si="62"/>
        <v/>
      </c>
      <c r="J1006" s="45"/>
      <c r="K1006" s="45"/>
    </row>
    <row r="1007" spans="1:11">
      <c r="A1007" s="17" t="str">
        <f t="shared" si="63"/>
        <v/>
      </c>
      <c r="B1007" s="53"/>
      <c r="C1007" s="11" t="str">
        <f t="shared" si="60"/>
        <v/>
      </c>
      <c r="D1007" s="11" t="str">
        <f t="shared" si="61"/>
        <v/>
      </c>
      <c r="E1007" s="45"/>
      <c r="F1007" s="11" t="str">
        <f>IFERROR(VLOOKUP(E1007,Category!$D$2:$E$600,2,FALSE),"")</f>
        <v/>
      </c>
      <c r="G1007" s="45"/>
      <c r="H1007" s="73"/>
      <c r="I1007" s="18" t="str">
        <f t="shared" si="62"/>
        <v/>
      </c>
      <c r="J1007" s="45"/>
      <c r="K1007" s="45"/>
    </row>
    <row r="1008" spans="1:11">
      <c r="A1008" s="17" t="str">
        <f t="shared" si="63"/>
        <v/>
      </c>
      <c r="B1008" s="53"/>
      <c r="C1008" s="11" t="str">
        <f t="shared" si="60"/>
        <v/>
      </c>
      <c r="D1008" s="11" t="str">
        <f t="shared" si="61"/>
        <v/>
      </c>
      <c r="E1008" s="45"/>
      <c r="F1008" s="11" t="str">
        <f>IFERROR(VLOOKUP(E1008,Category!$D$2:$E$600,2,FALSE),"")</f>
        <v/>
      </c>
      <c r="G1008" s="45"/>
      <c r="H1008" s="73"/>
      <c r="I1008" s="18" t="str">
        <f t="shared" si="62"/>
        <v/>
      </c>
      <c r="J1008" s="45"/>
      <c r="K1008" s="45"/>
    </row>
    <row r="1009" spans="1:11">
      <c r="A1009" s="17" t="str">
        <f t="shared" si="63"/>
        <v/>
      </c>
      <c r="B1009" s="53"/>
      <c r="C1009" s="11" t="str">
        <f t="shared" si="60"/>
        <v/>
      </c>
      <c r="D1009" s="11" t="str">
        <f t="shared" si="61"/>
        <v/>
      </c>
      <c r="E1009" s="45"/>
      <c r="F1009" s="11" t="str">
        <f>IFERROR(VLOOKUP(E1009,Category!$D$2:$E$600,2,FALSE),"")</f>
        <v/>
      </c>
      <c r="G1009" s="45"/>
      <c r="H1009" s="73"/>
      <c r="I1009" s="18" t="str">
        <f t="shared" si="62"/>
        <v/>
      </c>
      <c r="J1009" s="45"/>
      <c r="K1009" s="45"/>
    </row>
    <row r="1010" spans="1:11">
      <c r="A1010" s="17" t="str">
        <f t="shared" si="63"/>
        <v/>
      </c>
      <c r="B1010" s="53"/>
      <c r="C1010" s="11" t="str">
        <f t="shared" si="60"/>
        <v/>
      </c>
      <c r="D1010" s="11" t="str">
        <f t="shared" si="61"/>
        <v/>
      </c>
      <c r="E1010" s="45"/>
      <c r="F1010" s="11" t="str">
        <f>IFERROR(VLOOKUP(E1010,Category!$D$2:$E$600,2,FALSE),"")</f>
        <v/>
      </c>
      <c r="G1010" s="45"/>
      <c r="H1010" s="73"/>
      <c r="I1010" s="18" t="str">
        <f t="shared" si="62"/>
        <v/>
      </c>
      <c r="J1010" s="45"/>
      <c r="K1010" s="45"/>
    </row>
    <row r="1011" spans="1:11">
      <c r="A1011" s="17" t="str">
        <f t="shared" si="63"/>
        <v/>
      </c>
      <c r="B1011" s="53"/>
      <c r="C1011" s="11" t="str">
        <f t="shared" si="60"/>
        <v/>
      </c>
      <c r="D1011" s="11" t="str">
        <f t="shared" si="61"/>
        <v/>
      </c>
      <c r="E1011" s="45"/>
      <c r="F1011" s="11" t="str">
        <f>IFERROR(VLOOKUP(E1011,Category!$D$2:$E$600,2,FALSE),"")</f>
        <v/>
      </c>
      <c r="G1011" s="45"/>
      <c r="H1011" s="73"/>
      <c r="I1011" s="18" t="str">
        <f t="shared" si="62"/>
        <v/>
      </c>
      <c r="J1011" s="45"/>
      <c r="K1011" s="45"/>
    </row>
    <row r="1012" spans="1:11">
      <c r="A1012" s="17" t="str">
        <f t="shared" si="63"/>
        <v/>
      </c>
      <c r="B1012" s="53"/>
      <c r="C1012" s="11" t="str">
        <f t="shared" si="60"/>
        <v/>
      </c>
      <c r="D1012" s="11" t="str">
        <f t="shared" si="61"/>
        <v/>
      </c>
      <c r="E1012" s="45"/>
      <c r="F1012" s="11" t="str">
        <f>IFERROR(VLOOKUP(E1012,Category!$D$2:$E$600,2,FALSE),"")</f>
        <v/>
      </c>
      <c r="G1012" s="45"/>
      <c r="H1012" s="73"/>
      <c r="I1012" s="18" t="str">
        <f t="shared" si="62"/>
        <v/>
      </c>
      <c r="J1012" s="45"/>
      <c r="K1012" s="45"/>
    </row>
    <row r="1013" spans="1:11">
      <c r="A1013" s="17" t="str">
        <f t="shared" si="63"/>
        <v/>
      </c>
      <c r="B1013" s="53"/>
      <c r="C1013" s="11" t="str">
        <f t="shared" si="60"/>
        <v/>
      </c>
      <c r="D1013" s="11" t="str">
        <f t="shared" si="61"/>
        <v/>
      </c>
      <c r="E1013" s="45"/>
      <c r="F1013" s="11" t="str">
        <f>IFERROR(VLOOKUP(E1013,Category!$D$2:$E$600,2,FALSE),"")</f>
        <v/>
      </c>
      <c r="G1013" s="45"/>
      <c r="H1013" s="73"/>
      <c r="I1013" s="18" t="str">
        <f t="shared" si="62"/>
        <v/>
      </c>
      <c r="J1013" s="45"/>
      <c r="K1013" s="45"/>
    </row>
    <row r="1014" spans="1:11">
      <c r="A1014" s="17" t="str">
        <f t="shared" si="63"/>
        <v/>
      </c>
      <c r="B1014" s="53"/>
      <c r="C1014" s="11" t="str">
        <f t="shared" si="60"/>
        <v/>
      </c>
      <c r="D1014" s="11" t="str">
        <f t="shared" si="61"/>
        <v/>
      </c>
      <c r="E1014" s="45"/>
      <c r="F1014" s="11" t="str">
        <f>IFERROR(VLOOKUP(E1014,Category!$D$2:$E$600,2,FALSE),"")</f>
        <v/>
      </c>
      <c r="G1014" s="45"/>
      <c r="H1014" s="73"/>
      <c r="I1014" s="18" t="str">
        <f t="shared" si="62"/>
        <v/>
      </c>
      <c r="J1014" s="45"/>
      <c r="K1014" s="45"/>
    </row>
    <row r="1015" spans="1:11">
      <c r="A1015" s="17" t="str">
        <f t="shared" si="63"/>
        <v/>
      </c>
      <c r="B1015" s="53"/>
      <c r="C1015" s="11" t="str">
        <f t="shared" si="60"/>
        <v/>
      </c>
      <c r="D1015" s="11" t="str">
        <f t="shared" si="61"/>
        <v/>
      </c>
      <c r="E1015" s="45"/>
      <c r="F1015" s="11" t="str">
        <f>IFERROR(VLOOKUP(E1015,Category!$D$2:$E$600,2,FALSE),"")</f>
        <v/>
      </c>
      <c r="G1015" s="45"/>
      <c r="H1015" s="73"/>
      <c r="I1015" s="18" t="str">
        <f t="shared" si="62"/>
        <v/>
      </c>
      <c r="J1015" s="45"/>
      <c r="K1015" s="45"/>
    </row>
    <row r="1016" spans="1:11">
      <c r="A1016" s="17" t="str">
        <f t="shared" si="63"/>
        <v/>
      </c>
      <c r="B1016" s="53"/>
      <c r="C1016" s="11" t="str">
        <f t="shared" si="60"/>
        <v/>
      </c>
      <c r="D1016" s="11" t="str">
        <f t="shared" si="61"/>
        <v/>
      </c>
      <c r="E1016" s="45"/>
      <c r="F1016" s="11" t="str">
        <f>IFERROR(VLOOKUP(E1016,Category!$D$2:$E$600,2,FALSE),"")</f>
        <v/>
      </c>
      <c r="G1016" s="45"/>
      <c r="H1016" s="73"/>
      <c r="I1016" s="18" t="str">
        <f t="shared" si="62"/>
        <v/>
      </c>
      <c r="J1016" s="45"/>
      <c r="K1016" s="45"/>
    </row>
    <row r="1017" spans="1:11">
      <c r="A1017" s="17" t="str">
        <f t="shared" si="63"/>
        <v/>
      </c>
      <c r="B1017" s="53"/>
      <c r="C1017" s="11" t="str">
        <f t="shared" si="60"/>
        <v/>
      </c>
      <c r="D1017" s="11" t="str">
        <f t="shared" si="61"/>
        <v/>
      </c>
      <c r="E1017" s="45"/>
      <c r="F1017" s="11" t="str">
        <f>IFERROR(VLOOKUP(E1017,Category!$D$2:$E$600,2,FALSE),"")</f>
        <v/>
      </c>
      <c r="G1017" s="45"/>
      <c r="H1017" s="73"/>
      <c r="I1017" s="18" t="str">
        <f t="shared" si="62"/>
        <v/>
      </c>
      <c r="J1017" s="45"/>
      <c r="K1017" s="45"/>
    </row>
    <row r="1018" spans="1:11">
      <c r="A1018" s="17" t="str">
        <f t="shared" si="63"/>
        <v/>
      </c>
      <c r="B1018" s="53"/>
      <c r="C1018" s="11" t="str">
        <f t="shared" si="60"/>
        <v/>
      </c>
      <c r="D1018" s="11" t="str">
        <f t="shared" si="61"/>
        <v/>
      </c>
      <c r="E1018" s="45"/>
      <c r="F1018" s="11" t="str">
        <f>IFERROR(VLOOKUP(E1018,Category!$D$2:$E$600,2,FALSE),"")</f>
        <v/>
      </c>
      <c r="G1018" s="45"/>
      <c r="H1018" s="73"/>
      <c r="I1018" s="18" t="str">
        <f t="shared" si="62"/>
        <v/>
      </c>
      <c r="J1018" s="45"/>
      <c r="K1018" s="45"/>
    </row>
    <row r="1019" spans="1:11">
      <c r="A1019" s="17" t="str">
        <f t="shared" si="63"/>
        <v/>
      </c>
      <c r="B1019" s="53"/>
      <c r="C1019" s="11" t="str">
        <f t="shared" si="60"/>
        <v/>
      </c>
      <c r="D1019" s="11" t="str">
        <f t="shared" si="61"/>
        <v/>
      </c>
      <c r="E1019" s="45"/>
      <c r="F1019" s="11" t="str">
        <f>IFERROR(VLOOKUP(E1019,Category!$D$2:$E$600,2,FALSE),"")</f>
        <v/>
      </c>
      <c r="G1019" s="45"/>
      <c r="H1019" s="73"/>
      <c r="I1019" s="18" t="str">
        <f t="shared" si="62"/>
        <v/>
      </c>
      <c r="J1019" s="45"/>
      <c r="K1019" s="45"/>
    </row>
    <row r="1020" spans="1:11">
      <c r="A1020" s="17" t="str">
        <f t="shared" si="63"/>
        <v/>
      </c>
      <c r="B1020" s="53"/>
      <c r="C1020" s="11" t="str">
        <f t="shared" si="60"/>
        <v/>
      </c>
      <c r="D1020" s="11" t="str">
        <f t="shared" si="61"/>
        <v/>
      </c>
      <c r="E1020" s="45"/>
      <c r="F1020" s="11" t="str">
        <f>IFERROR(VLOOKUP(E1020,Category!$D$2:$E$600,2,FALSE),"")</f>
        <v/>
      </c>
      <c r="G1020" s="45"/>
      <c r="H1020" s="73"/>
      <c r="I1020" s="18" t="str">
        <f t="shared" si="62"/>
        <v/>
      </c>
      <c r="J1020" s="45"/>
      <c r="K1020" s="45"/>
    </row>
    <row r="1021" spans="1:11">
      <c r="A1021" s="17" t="str">
        <f t="shared" si="63"/>
        <v/>
      </c>
      <c r="B1021" s="53"/>
      <c r="C1021" s="11" t="str">
        <f t="shared" si="60"/>
        <v/>
      </c>
      <c r="D1021" s="11" t="str">
        <f t="shared" si="61"/>
        <v/>
      </c>
      <c r="E1021" s="45"/>
      <c r="F1021" s="11" t="str">
        <f>IFERROR(VLOOKUP(E1021,Category!$D$2:$E$600,2,FALSE),"")</f>
        <v/>
      </c>
      <c r="G1021" s="45"/>
      <c r="H1021" s="73"/>
      <c r="I1021" s="18" t="str">
        <f t="shared" si="62"/>
        <v/>
      </c>
      <c r="J1021" s="45"/>
      <c r="K1021" s="45"/>
    </row>
    <row r="1022" spans="1:11">
      <c r="A1022" s="17" t="str">
        <f t="shared" si="63"/>
        <v/>
      </c>
      <c r="B1022" s="53"/>
      <c r="C1022" s="11" t="str">
        <f t="shared" si="60"/>
        <v/>
      </c>
      <c r="D1022" s="11" t="str">
        <f t="shared" si="61"/>
        <v/>
      </c>
      <c r="E1022" s="45"/>
      <c r="F1022" s="11" t="str">
        <f>IFERROR(VLOOKUP(E1022,Category!$D$2:$E$600,2,FALSE),"")</f>
        <v/>
      </c>
      <c r="G1022" s="45"/>
      <c r="H1022" s="73"/>
      <c r="I1022" s="18" t="str">
        <f t="shared" si="62"/>
        <v/>
      </c>
      <c r="J1022" s="45"/>
      <c r="K1022" s="45"/>
    </row>
    <row r="1023" spans="1:11">
      <c r="A1023" s="17" t="str">
        <f t="shared" si="63"/>
        <v/>
      </c>
      <c r="B1023" s="53"/>
      <c r="C1023" s="11" t="str">
        <f t="shared" si="60"/>
        <v/>
      </c>
      <c r="D1023" s="11" t="str">
        <f t="shared" si="61"/>
        <v/>
      </c>
      <c r="E1023" s="45"/>
      <c r="F1023" s="11" t="str">
        <f>IFERROR(VLOOKUP(E1023,Category!$D$2:$E$600,2,FALSE),"")</f>
        <v/>
      </c>
      <c r="G1023" s="45"/>
      <c r="H1023" s="73"/>
      <c r="I1023" s="18" t="str">
        <f t="shared" si="62"/>
        <v/>
      </c>
      <c r="J1023" s="45"/>
      <c r="K1023" s="45"/>
    </row>
    <row r="1024" spans="1:11">
      <c r="A1024" s="17" t="str">
        <f t="shared" si="63"/>
        <v/>
      </c>
      <c r="B1024" s="53"/>
      <c r="C1024" s="11" t="str">
        <f t="shared" si="60"/>
        <v/>
      </c>
      <c r="D1024" s="11" t="str">
        <f t="shared" si="61"/>
        <v/>
      </c>
      <c r="E1024" s="45"/>
      <c r="F1024" s="11" t="str">
        <f>IFERROR(VLOOKUP(E1024,Category!$D$2:$E$600,2,FALSE),"")</f>
        <v/>
      </c>
      <c r="G1024" s="45"/>
      <c r="H1024" s="73"/>
      <c r="I1024" s="18" t="str">
        <f t="shared" si="62"/>
        <v/>
      </c>
      <c r="J1024" s="45"/>
      <c r="K1024" s="45"/>
    </row>
    <row r="1025" spans="1:11">
      <c r="A1025" s="17" t="str">
        <f t="shared" si="63"/>
        <v/>
      </c>
      <c r="B1025" s="53"/>
      <c r="C1025" s="11" t="str">
        <f t="shared" si="60"/>
        <v/>
      </c>
      <c r="D1025" s="11" t="str">
        <f t="shared" si="61"/>
        <v/>
      </c>
      <c r="E1025" s="45"/>
      <c r="F1025" s="11" t="str">
        <f>IFERROR(VLOOKUP(E1025,Category!$D$2:$E$600,2,FALSE),"")</f>
        <v/>
      </c>
      <c r="G1025" s="45"/>
      <c r="H1025" s="73"/>
      <c r="I1025" s="18" t="str">
        <f t="shared" si="62"/>
        <v/>
      </c>
      <c r="J1025" s="45"/>
      <c r="K1025" s="45"/>
    </row>
    <row r="1026" spans="1:11">
      <c r="A1026" s="17" t="str">
        <f t="shared" si="63"/>
        <v/>
      </c>
      <c r="B1026" s="53"/>
      <c r="C1026" s="11" t="str">
        <f t="shared" si="60"/>
        <v/>
      </c>
      <c r="D1026" s="11" t="str">
        <f t="shared" si="61"/>
        <v/>
      </c>
      <c r="E1026" s="45"/>
      <c r="F1026" s="11" t="str">
        <f>IFERROR(VLOOKUP(E1026,Category!$D$2:$E$600,2,FALSE),"")</f>
        <v/>
      </c>
      <c r="G1026" s="45"/>
      <c r="H1026" s="73"/>
      <c r="I1026" s="18" t="str">
        <f t="shared" si="62"/>
        <v/>
      </c>
      <c r="J1026" s="45"/>
      <c r="K1026" s="45"/>
    </row>
    <row r="1027" spans="1:11">
      <c r="A1027" s="17" t="str">
        <f t="shared" si="63"/>
        <v/>
      </c>
      <c r="B1027" s="53"/>
      <c r="C1027" s="11" t="str">
        <f t="shared" ref="C1027:C1090" si="64">IF(B1027=0,"",TEXT(B1027,"mmmm"))</f>
        <v/>
      </c>
      <c r="D1027" s="11" t="str">
        <f t="shared" ref="D1027:D1090" si="65">IF(B1027=0,"",TEXT(B1027,"yyyy"))</f>
        <v/>
      </c>
      <c r="E1027" s="45"/>
      <c r="F1027" s="11" t="str">
        <f>IFERROR(VLOOKUP(E1027,Category!$D$2:$E$600,2,FALSE),"")</f>
        <v/>
      </c>
      <c r="G1027" s="45"/>
      <c r="H1027" s="73"/>
      <c r="I1027" s="18" t="str">
        <f t="shared" ref="I1027:I1090" si="66">IF(G1027*H1027=0,"",G1027*H1027)</f>
        <v/>
      </c>
      <c r="J1027" s="45"/>
      <c r="K1027" s="45"/>
    </row>
    <row r="1028" spans="1:11">
      <c r="A1028" s="17" t="str">
        <f t="shared" ref="A1028:A1091" si="67">IF(E1028&gt;0,A1027+1,"")</f>
        <v/>
      </c>
      <c r="B1028" s="53"/>
      <c r="C1028" s="11" t="str">
        <f t="shared" si="64"/>
        <v/>
      </c>
      <c r="D1028" s="11" t="str">
        <f t="shared" si="65"/>
        <v/>
      </c>
      <c r="E1028" s="45"/>
      <c r="F1028" s="11" t="str">
        <f>IFERROR(VLOOKUP(E1028,Category!$D$2:$E$600,2,FALSE),"")</f>
        <v/>
      </c>
      <c r="G1028" s="45"/>
      <c r="H1028" s="73"/>
      <c r="I1028" s="18" t="str">
        <f t="shared" si="66"/>
        <v/>
      </c>
      <c r="J1028" s="45"/>
      <c r="K1028" s="45"/>
    </row>
    <row r="1029" spans="1:11">
      <c r="A1029" s="17" t="str">
        <f t="shared" si="67"/>
        <v/>
      </c>
      <c r="B1029" s="53"/>
      <c r="C1029" s="11" t="str">
        <f t="shared" si="64"/>
        <v/>
      </c>
      <c r="D1029" s="11" t="str">
        <f t="shared" si="65"/>
        <v/>
      </c>
      <c r="E1029" s="45"/>
      <c r="F1029" s="11" t="str">
        <f>IFERROR(VLOOKUP(E1029,Category!$D$2:$E$600,2,FALSE),"")</f>
        <v/>
      </c>
      <c r="G1029" s="45"/>
      <c r="H1029" s="73"/>
      <c r="I1029" s="18" t="str">
        <f t="shared" si="66"/>
        <v/>
      </c>
      <c r="J1029" s="45"/>
      <c r="K1029" s="45"/>
    </row>
    <row r="1030" spans="1:11">
      <c r="A1030" s="17" t="str">
        <f t="shared" si="67"/>
        <v/>
      </c>
      <c r="B1030" s="53"/>
      <c r="C1030" s="11" t="str">
        <f t="shared" si="64"/>
        <v/>
      </c>
      <c r="D1030" s="11" t="str">
        <f t="shared" si="65"/>
        <v/>
      </c>
      <c r="E1030" s="45"/>
      <c r="F1030" s="11" t="str">
        <f>IFERROR(VLOOKUP(E1030,Category!$D$2:$E$600,2,FALSE),"")</f>
        <v/>
      </c>
      <c r="G1030" s="45"/>
      <c r="H1030" s="73"/>
      <c r="I1030" s="18" t="str">
        <f t="shared" si="66"/>
        <v/>
      </c>
      <c r="J1030" s="45"/>
      <c r="K1030" s="45"/>
    </row>
    <row r="1031" spans="1:11">
      <c r="A1031" s="17" t="str">
        <f t="shared" si="67"/>
        <v/>
      </c>
      <c r="B1031" s="53"/>
      <c r="C1031" s="11" t="str">
        <f t="shared" si="64"/>
        <v/>
      </c>
      <c r="D1031" s="11" t="str">
        <f t="shared" si="65"/>
        <v/>
      </c>
      <c r="E1031" s="45"/>
      <c r="F1031" s="11" t="str">
        <f>IFERROR(VLOOKUP(E1031,Category!$D$2:$E$600,2,FALSE),"")</f>
        <v/>
      </c>
      <c r="G1031" s="45"/>
      <c r="H1031" s="73"/>
      <c r="I1031" s="18" t="str">
        <f t="shared" si="66"/>
        <v/>
      </c>
      <c r="J1031" s="45"/>
      <c r="K1031" s="45"/>
    </row>
    <row r="1032" spans="1:11">
      <c r="A1032" s="17" t="str">
        <f t="shared" si="67"/>
        <v/>
      </c>
      <c r="B1032" s="53"/>
      <c r="C1032" s="11" t="str">
        <f t="shared" si="64"/>
        <v/>
      </c>
      <c r="D1032" s="11" t="str">
        <f t="shared" si="65"/>
        <v/>
      </c>
      <c r="E1032" s="45"/>
      <c r="F1032" s="11" t="str">
        <f>IFERROR(VLOOKUP(E1032,Category!$D$2:$E$600,2,FALSE),"")</f>
        <v/>
      </c>
      <c r="G1032" s="45"/>
      <c r="H1032" s="73"/>
      <c r="I1032" s="18" t="str">
        <f t="shared" si="66"/>
        <v/>
      </c>
      <c r="J1032" s="45"/>
      <c r="K1032" s="45"/>
    </row>
    <row r="1033" spans="1:11">
      <c r="A1033" s="17" t="str">
        <f t="shared" si="67"/>
        <v/>
      </c>
      <c r="B1033" s="53"/>
      <c r="C1033" s="11" t="str">
        <f t="shared" si="64"/>
        <v/>
      </c>
      <c r="D1033" s="11" t="str">
        <f t="shared" si="65"/>
        <v/>
      </c>
      <c r="E1033" s="45"/>
      <c r="F1033" s="11" t="str">
        <f>IFERROR(VLOOKUP(E1033,Category!$D$2:$E$600,2,FALSE),"")</f>
        <v/>
      </c>
      <c r="G1033" s="45"/>
      <c r="H1033" s="73"/>
      <c r="I1033" s="18" t="str">
        <f t="shared" si="66"/>
        <v/>
      </c>
      <c r="J1033" s="45"/>
      <c r="K1033" s="45"/>
    </row>
    <row r="1034" spans="1:11">
      <c r="A1034" s="17" t="str">
        <f t="shared" si="67"/>
        <v/>
      </c>
      <c r="B1034" s="53"/>
      <c r="C1034" s="11" t="str">
        <f t="shared" si="64"/>
        <v/>
      </c>
      <c r="D1034" s="11" t="str">
        <f t="shared" si="65"/>
        <v/>
      </c>
      <c r="E1034" s="45"/>
      <c r="F1034" s="11" t="str">
        <f>IFERROR(VLOOKUP(E1034,Category!$D$2:$E$600,2,FALSE),"")</f>
        <v/>
      </c>
      <c r="G1034" s="45"/>
      <c r="H1034" s="73"/>
      <c r="I1034" s="18" t="str">
        <f t="shared" si="66"/>
        <v/>
      </c>
      <c r="J1034" s="45"/>
      <c r="K1034" s="45"/>
    </row>
    <row r="1035" spans="1:11">
      <c r="A1035" s="17" t="str">
        <f t="shared" si="67"/>
        <v/>
      </c>
      <c r="B1035" s="53"/>
      <c r="C1035" s="11" t="str">
        <f t="shared" si="64"/>
        <v/>
      </c>
      <c r="D1035" s="11" t="str">
        <f t="shared" si="65"/>
        <v/>
      </c>
      <c r="E1035" s="45"/>
      <c r="F1035" s="11" t="str">
        <f>IFERROR(VLOOKUP(E1035,Category!$D$2:$E$600,2,FALSE),"")</f>
        <v/>
      </c>
      <c r="G1035" s="45"/>
      <c r="H1035" s="73"/>
      <c r="I1035" s="18" t="str">
        <f t="shared" si="66"/>
        <v/>
      </c>
      <c r="J1035" s="45"/>
      <c r="K1035" s="45"/>
    </row>
    <row r="1036" spans="1:11">
      <c r="A1036" s="17" t="str">
        <f t="shared" si="67"/>
        <v/>
      </c>
      <c r="B1036" s="53"/>
      <c r="C1036" s="11" t="str">
        <f t="shared" si="64"/>
        <v/>
      </c>
      <c r="D1036" s="11" t="str">
        <f t="shared" si="65"/>
        <v/>
      </c>
      <c r="E1036" s="45"/>
      <c r="F1036" s="11" t="str">
        <f>IFERROR(VLOOKUP(E1036,Category!$D$2:$E$600,2,FALSE),"")</f>
        <v/>
      </c>
      <c r="G1036" s="45"/>
      <c r="H1036" s="73"/>
      <c r="I1036" s="18" t="str">
        <f t="shared" si="66"/>
        <v/>
      </c>
      <c r="J1036" s="45"/>
      <c r="K1036" s="45"/>
    </row>
    <row r="1037" spans="1:11">
      <c r="A1037" s="17" t="str">
        <f t="shared" si="67"/>
        <v/>
      </c>
      <c r="B1037" s="53"/>
      <c r="C1037" s="11" t="str">
        <f t="shared" si="64"/>
        <v/>
      </c>
      <c r="D1037" s="11" t="str">
        <f t="shared" si="65"/>
        <v/>
      </c>
      <c r="E1037" s="45"/>
      <c r="F1037" s="11" t="str">
        <f>IFERROR(VLOOKUP(E1037,Category!$D$2:$E$600,2,FALSE),"")</f>
        <v/>
      </c>
      <c r="G1037" s="45"/>
      <c r="H1037" s="73"/>
      <c r="I1037" s="18" t="str">
        <f t="shared" si="66"/>
        <v/>
      </c>
      <c r="J1037" s="45"/>
      <c r="K1037" s="45"/>
    </row>
    <row r="1038" spans="1:11">
      <c r="A1038" s="17" t="str">
        <f t="shared" si="67"/>
        <v/>
      </c>
      <c r="B1038" s="53"/>
      <c r="C1038" s="11" t="str">
        <f t="shared" si="64"/>
        <v/>
      </c>
      <c r="D1038" s="11" t="str">
        <f t="shared" si="65"/>
        <v/>
      </c>
      <c r="E1038" s="45"/>
      <c r="F1038" s="11" t="str">
        <f>IFERROR(VLOOKUP(E1038,Category!$D$2:$E$600,2,FALSE),"")</f>
        <v/>
      </c>
      <c r="G1038" s="45"/>
      <c r="H1038" s="73"/>
      <c r="I1038" s="18" t="str">
        <f t="shared" si="66"/>
        <v/>
      </c>
      <c r="J1038" s="45"/>
      <c r="K1038" s="45"/>
    </row>
    <row r="1039" spans="1:11">
      <c r="A1039" s="17" t="str">
        <f t="shared" si="67"/>
        <v/>
      </c>
      <c r="B1039" s="53"/>
      <c r="C1039" s="11" t="str">
        <f t="shared" si="64"/>
        <v/>
      </c>
      <c r="D1039" s="11" t="str">
        <f t="shared" si="65"/>
        <v/>
      </c>
      <c r="E1039" s="45"/>
      <c r="F1039" s="11" t="str">
        <f>IFERROR(VLOOKUP(E1039,Category!$D$2:$E$600,2,FALSE),"")</f>
        <v/>
      </c>
      <c r="G1039" s="45"/>
      <c r="H1039" s="73"/>
      <c r="I1039" s="18" t="str">
        <f t="shared" si="66"/>
        <v/>
      </c>
      <c r="J1039" s="45"/>
      <c r="K1039" s="45"/>
    </row>
    <row r="1040" spans="1:11">
      <c r="A1040" s="17" t="str">
        <f t="shared" si="67"/>
        <v/>
      </c>
      <c r="B1040" s="53"/>
      <c r="C1040" s="11" t="str">
        <f t="shared" si="64"/>
        <v/>
      </c>
      <c r="D1040" s="11" t="str">
        <f t="shared" si="65"/>
        <v/>
      </c>
      <c r="E1040" s="45"/>
      <c r="F1040" s="11" t="str">
        <f>IFERROR(VLOOKUP(E1040,Category!$D$2:$E$600,2,FALSE),"")</f>
        <v/>
      </c>
      <c r="G1040" s="45"/>
      <c r="H1040" s="73"/>
      <c r="I1040" s="18" t="str">
        <f t="shared" si="66"/>
        <v/>
      </c>
      <c r="J1040" s="45"/>
      <c r="K1040" s="45"/>
    </row>
    <row r="1041" spans="1:11">
      <c r="A1041" s="17" t="str">
        <f t="shared" si="67"/>
        <v/>
      </c>
      <c r="B1041" s="53"/>
      <c r="C1041" s="11" t="str">
        <f t="shared" si="64"/>
        <v/>
      </c>
      <c r="D1041" s="11" t="str">
        <f t="shared" si="65"/>
        <v/>
      </c>
      <c r="E1041" s="45"/>
      <c r="F1041" s="11" t="str">
        <f>IFERROR(VLOOKUP(E1041,Category!$D$2:$E$600,2,FALSE),"")</f>
        <v/>
      </c>
      <c r="G1041" s="45"/>
      <c r="H1041" s="73"/>
      <c r="I1041" s="18" t="str">
        <f t="shared" si="66"/>
        <v/>
      </c>
      <c r="J1041" s="45"/>
      <c r="K1041" s="45"/>
    </row>
    <row r="1042" spans="1:11">
      <c r="A1042" s="17" t="str">
        <f t="shared" si="67"/>
        <v/>
      </c>
      <c r="B1042" s="53"/>
      <c r="C1042" s="11" t="str">
        <f t="shared" si="64"/>
        <v/>
      </c>
      <c r="D1042" s="11" t="str">
        <f t="shared" si="65"/>
        <v/>
      </c>
      <c r="E1042" s="45"/>
      <c r="F1042" s="11" t="str">
        <f>IFERROR(VLOOKUP(E1042,Category!$D$2:$E$600,2,FALSE),"")</f>
        <v/>
      </c>
      <c r="G1042" s="45"/>
      <c r="H1042" s="73"/>
      <c r="I1042" s="18" t="str">
        <f t="shared" si="66"/>
        <v/>
      </c>
      <c r="J1042" s="45"/>
      <c r="K1042" s="45"/>
    </row>
    <row r="1043" spans="1:11">
      <c r="A1043" s="17" t="str">
        <f t="shared" si="67"/>
        <v/>
      </c>
      <c r="B1043" s="53"/>
      <c r="C1043" s="11" t="str">
        <f t="shared" si="64"/>
        <v/>
      </c>
      <c r="D1043" s="11" t="str">
        <f t="shared" si="65"/>
        <v/>
      </c>
      <c r="E1043" s="45"/>
      <c r="F1043" s="11" t="str">
        <f>IFERROR(VLOOKUP(E1043,Category!$D$2:$E$600,2,FALSE),"")</f>
        <v/>
      </c>
      <c r="G1043" s="45"/>
      <c r="H1043" s="73"/>
      <c r="I1043" s="18" t="str">
        <f t="shared" si="66"/>
        <v/>
      </c>
      <c r="J1043" s="45"/>
      <c r="K1043" s="45"/>
    </row>
    <row r="1044" spans="1:11">
      <c r="A1044" s="17" t="str">
        <f t="shared" si="67"/>
        <v/>
      </c>
      <c r="B1044" s="53"/>
      <c r="C1044" s="11" t="str">
        <f t="shared" si="64"/>
        <v/>
      </c>
      <c r="D1044" s="11" t="str">
        <f t="shared" si="65"/>
        <v/>
      </c>
      <c r="E1044" s="45"/>
      <c r="F1044" s="11" t="str">
        <f>IFERROR(VLOOKUP(E1044,Category!$D$2:$E$600,2,FALSE),"")</f>
        <v/>
      </c>
      <c r="G1044" s="45"/>
      <c r="H1044" s="73"/>
      <c r="I1044" s="18" t="str">
        <f t="shared" si="66"/>
        <v/>
      </c>
      <c r="J1044" s="45"/>
      <c r="K1044" s="45"/>
    </row>
    <row r="1045" spans="1:11">
      <c r="A1045" s="17" t="str">
        <f t="shared" si="67"/>
        <v/>
      </c>
      <c r="B1045" s="53"/>
      <c r="C1045" s="11" t="str">
        <f t="shared" si="64"/>
        <v/>
      </c>
      <c r="D1045" s="11" t="str">
        <f t="shared" si="65"/>
        <v/>
      </c>
      <c r="E1045" s="45"/>
      <c r="F1045" s="11" t="str">
        <f>IFERROR(VLOOKUP(E1045,Category!$D$2:$E$600,2,FALSE),"")</f>
        <v/>
      </c>
      <c r="G1045" s="45"/>
      <c r="H1045" s="73"/>
      <c r="I1045" s="18" t="str">
        <f t="shared" si="66"/>
        <v/>
      </c>
      <c r="J1045" s="45"/>
      <c r="K1045" s="45"/>
    </row>
    <row r="1046" spans="1:11">
      <c r="A1046" s="17" t="str">
        <f t="shared" si="67"/>
        <v/>
      </c>
      <c r="B1046" s="53"/>
      <c r="C1046" s="11" t="str">
        <f t="shared" si="64"/>
        <v/>
      </c>
      <c r="D1046" s="11" t="str">
        <f t="shared" si="65"/>
        <v/>
      </c>
      <c r="E1046" s="45"/>
      <c r="F1046" s="11" t="str">
        <f>IFERROR(VLOOKUP(E1046,Category!$D$2:$E$600,2,FALSE),"")</f>
        <v/>
      </c>
      <c r="G1046" s="45"/>
      <c r="H1046" s="73"/>
      <c r="I1046" s="18" t="str">
        <f t="shared" si="66"/>
        <v/>
      </c>
      <c r="J1046" s="45"/>
      <c r="K1046" s="45"/>
    </row>
    <row r="1047" spans="1:11">
      <c r="A1047" s="17" t="str">
        <f t="shared" si="67"/>
        <v/>
      </c>
      <c r="B1047" s="53"/>
      <c r="C1047" s="11" t="str">
        <f t="shared" si="64"/>
        <v/>
      </c>
      <c r="D1047" s="11" t="str">
        <f t="shared" si="65"/>
        <v/>
      </c>
      <c r="E1047" s="45"/>
      <c r="F1047" s="11" t="str">
        <f>IFERROR(VLOOKUP(E1047,Category!$D$2:$E$600,2,FALSE),"")</f>
        <v/>
      </c>
      <c r="G1047" s="45"/>
      <c r="H1047" s="73"/>
      <c r="I1047" s="18" t="str">
        <f t="shared" si="66"/>
        <v/>
      </c>
      <c r="J1047" s="45"/>
      <c r="K1047" s="45"/>
    </row>
    <row r="1048" spans="1:11">
      <c r="A1048" s="17" t="str">
        <f t="shared" si="67"/>
        <v/>
      </c>
      <c r="B1048" s="53"/>
      <c r="C1048" s="11" t="str">
        <f t="shared" si="64"/>
        <v/>
      </c>
      <c r="D1048" s="11" t="str">
        <f t="shared" si="65"/>
        <v/>
      </c>
      <c r="E1048" s="45"/>
      <c r="F1048" s="11" t="str">
        <f>IFERROR(VLOOKUP(E1048,Category!$D$2:$E$600,2,FALSE),"")</f>
        <v/>
      </c>
      <c r="G1048" s="45"/>
      <c r="H1048" s="73"/>
      <c r="I1048" s="18" t="str">
        <f t="shared" si="66"/>
        <v/>
      </c>
      <c r="J1048" s="45"/>
      <c r="K1048" s="45"/>
    </row>
    <row r="1049" spans="1:11">
      <c r="A1049" s="17" t="str">
        <f t="shared" si="67"/>
        <v/>
      </c>
      <c r="B1049" s="53"/>
      <c r="C1049" s="11" t="str">
        <f t="shared" si="64"/>
        <v/>
      </c>
      <c r="D1049" s="11" t="str">
        <f t="shared" si="65"/>
        <v/>
      </c>
      <c r="E1049" s="45"/>
      <c r="F1049" s="11" t="str">
        <f>IFERROR(VLOOKUP(E1049,Category!$D$2:$E$600,2,FALSE),"")</f>
        <v/>
      </c>
      <c r="G1049" s="45"/>
      <c r="H1049" s="73"/>
      <c r="I1049" s="18" t="str">
        <f t="shared" si="66"/>
        <v/>
      </c>
      <c r="J1049" s="45"/>
      <c r="K1049" s="45"/>
    </row>
    <row r="1050" spans="1:11">
      <c r="A1050" s="17" t="str">
        <f t="shared" si="67"/>
        <v/>
      </c>
      <c r="B1050" s="53"/>
      <c r="C1050" s="11" t="str">
        <f t="shared" si="64"/>
        <v/>
      </c>
      <c r="D1050" s="11" t="str">
        <f t="shared" si="65"/>
        <v/>
      </c>
      <c r="E1050" s="45"/>
      <c r="F1050" s="11" t="str">
        <f>IFERROR(VLOOKUP(E1050,Category!$D$2:$E$600,2,FALSE),"")</f>
        <v/>
      </c>
      <c r="G1050" s="45"/>
      <c r="H1050" s="73"/>
      <c r="I1050" s="18" t="str">
        <f t="shared" si="66"/>
        <v/>
      </c>
      <c r="J1050" s="45"/>
      <c r="K1050" s="45"/>
    </row>
    <row r="1051" spans="1:11">
      <c r="A1051" s="17" t="str">
        <f t="shared" si="67"/>
        <v/>
      </c>
      <c r="B1051" s="53"/>
      <c r="C1051" s="11" t="str">
        <f t="shared" si="64"/>
        <v/>
      </c>
      <c r="D1051" s="11" t="str">
        <f t="shared" si="65"/>
        <v/>
      </c>
      <c r="E1051" s="45"/>
      <c r="F1051" s="11" t="str">
        <f>IFERROR(VLOOKUP(E1051,Category!$D$2:$E$600,2,FALSE),"")</f>
        <v/>
      </c>
      <c r="G1051" s="45"/>
      <c r="H1051" s="73"/>
      <c r="I1051" s="18" t="str">
        <f t="shared" si="66"/>
        <v/>
      </c>
      <c r="J1051" s="45"/>
      <c r="K1051" s="45"/>
    </row>
    <row r="1052" spans="1:11">
      <c r="A1052" s="17" t="str">
        <f t="shared" si="67"/>
        <v/>
      </c>
      <c r="B1052" s="53"/>
      <c r="C1052" s="11" t="str">
        <f t="shared" si="64"/>
        <v/>
      </c>
      <c r="D1052" s="11" t="str">
        <f t="shared" si="65"/>
        <v/>
      </c>
      <c r="E1052" s="45"/>
      <c r="F1052" s="11" t="str">
        <f>IFERROR(VLOOKUP(E1052,Category!$D$2:$E$600,2,FALSE),"")</f>
        <v/>
      </c>
      <c r="G1052" s="45"/>
      <c r="H1052" s="73"/>
      <c r="I1052" s="18" t="str">
        <f t="shared" si="66"/>
        <v/>
      </c>
      <c r="J1052" s="45"/>
      <c r="K1052" s="45"/>
    </row>
    <row r="1053" spans="1:11">
      <c r="A1053" s="17" t="str">
        <f t="shared" si="67"/>
        <v/>
      </c>
      <c r="B1053" s="53"/>
      <c r="C1053" s="11" t="str">
        <f t="shared" si="64"/>
        <v/>
      </c>
      <c r="D1053" s="11" t="str">
        <f t="shared" si="65"/>
        <v/>
      </c>
      <c r="E1053" s="45"/>
      <c r="F1053" s="11" t="str">
        <f>IFERROR(VLOOKUP(E1053,Category!$D$2:$E$600,2,FALSE),"")</f>
        <v/>
      </c>
      <c r="G1053" s="45"/>
      <c r="H1053" s="73"/>
      <c r="I1053" s="18" t="str">
        <f t="shared" si="66"/>
        <v/>
      </c>
      <c r="J1053" s="45"/>
      <c r="K1053" s="45"/>
    </row>
    <row r="1054" spans="1:11">
      <c r="A1054" s="17" t="str">
        <f t="shared" si="67"/>
        <v/>
      </c>
      <c r="B1054" s="53"/>
      <c r="C1054" s="11" t="str">
        <f t="shared" si="64"/>
        <v/>
      </c>
      <c r="D1054" s="11" t="str">
        <f t="shared" si="65"/>
        <v/>
      </c>
      <c r="E1054" s="45"/>
      <c r="F1054" s="11" t="str">
        <f>IFERROR(VLOOKUP(E1054,Category!$D$2:$E$600,2,FALSE),"")</f>
        <v/>
      </c>
      <c r="G1054" s="45"/>
      <c r="H1054" s="73"/>
      <c r="I1054" s="18" t="str">
        <f t="shared" si="66"/>
        <v/>
      </c>
      <c r="J1054" s="45"/>
      <c r="K1054" s="45"/>
    </row>
    <row r="1055" spans="1:11">
      <c r="A1055" s="17" t="str">
        <f t="shared" si="67"/>
        <v/>
      </c>
      <c r="B1055" s="53"/>
      <c r="C1055" s="11" t="str">
        <f t="shared" si="64"/>
        <v/>
      </c>
      <c r="D1055" s="11" t="str">
        <f t="shared" si="65"/>
        <v/>
      </c>
      <c r="E1055" s="45"/>
      <c r="F1055" s="11" t="str">
        <f>IFERROR(VLOOKUP(E1055,Category!$D$2:$E$600,2,FALSE),"")</f>
        <v/>
      </c>
      <c r="G1055" s="45"/>
      <c r="H1055" s="73"/>
      <c r="I1055" s="18" t="str">
        <f t="shared" si="66"/>
        <v/>
      </c>
      <c r="J1055" s="45"/>
      <c r="K1055" s="45"/>
    </row>
    <row r="1056" spans="1:11">
      <c r="A1056" s="17" t="str">
        <f t="shared" si="67"/>
        <v/>
      </c>
      <c r="B1056" s="53"/>
      <c r="C1056" s="11" t="str">
        <f t="shared" si="64"/>
        <v/>
      </c>
      <c r="D1056" s="11" t="str">
        <f t="shared" si="65"/>
        <v/>
      </c>
      <c r="E1056" s="45"/>
      <c r="F1056" s="11" t="str">
        <f>IFERROR(VLOOKUP(E1056,Category!$D$2:$E$600,2,FALSE),"")</f>
        <v/>
      </c>
      <c r="G1056" s="45"/>
      <c r="H1056" s="73"/>
      <c r="I1056" s="18" t="str">
        <f t="shared" si="66"/>
        <v/>
      </c>
      <c r="J1056" s="45"/>
      <c r="K1056" s="45"/>
    </row>
    <row r="1057" spans="1:11">
      <c r="A1057" s="17" t="str">
        <f t="shared" si="67"/>
        <v/>
      </c>
      <c r="B1057" s="53"/>
      <c r="C1057" s="11" t="str">
        <f t="shared" si="64"/>
        <v/>
      </c>
      <c r="D1057" s="11" t="str">
        <f t="shared" si="65"/>
        <v/>
      </c>
      <c r="E1057" s="45"/>
      <c r="F1057" s="11" t="str">
        <f>IFERROR(VLOOKUP(E1057,Category!$D$2:$E$600,2,FALSE),"")</f>
        <v/>
      </c>
      <c r="G1057" s="45"/>
      <c r="H1057" s="73"/>
      <c r="I1057" s="18" t="str">
        <f t="shared" si="66"/>
        <v/>
      </c>
      <c r="J1057" s="45"/>
      <c r="K1057" s="45"/>
    </row>
    <row r="1058" spans="1:11">
      <c r="A1058" s="17" t="str">
        <f t="shared" si="67"/>
        <v/>
      </c>
      <c r="B1058" s="53"/>
      <c r="C1058" s="11" t="str">
        <f t="shared" si="64"/>
        <v/>
      </c>
      <c r="D1058" s="11" t="str">
        <f t="shared" si="65"/>
        <v/>
      </c>
      <c r="E1058" s="45"/>
      <c r="F1058" s="11" t="str">
        <f>IFERROR(VLOOKUP(E1058,Category!$D$2:$E$600,2,FALSE),"")</f>
        <v/>
      </c>
      <c r="G1058" s="45"/>
      <c r="H1058" s="73"/>
      <c r="I1058" s="18" t="str">
        <f t="shared" si="66"/>
        <v/>
      </c>
      <c r="J1058" s="45"/>
      <c r="K1058" s="45"/>
    </row>
    <row r="1059" spans="1:11">
      <c r="A1059" s="17" t="str">
        <f t="shared" si="67"/>
        <v/>
      </c>
      <c r="B1059" s="53"/>
      <c r="C1059" s="11" t="str">
        <f t="shared" si="64"/>
        <v/>
      </c>
      <c r="D1059" s="11" t="str">
        <f t="shared" si="65"/>
        <v/>
      </c>
      <c r="E1059" s="45"/>
      <c r="F1059" s="11" t="str">
        <f>IFERROR(VLOOKUP(E1059,Category!$D$2:$E$600,2,FALSE),"")</f>
        <v/>
      </c>
      <c r="G1059" s="45"/>
      <c r="H1059" s="73"/>
      <c r="I1059" s="18" t="str">
        <f t="shared" si="66"/>
        <v/>
      </c>
      <c r="J1059" s="45"/>
      <c r="K1059" s="45"/>
    </row>
    <row r="1060" spans="1:11">
      <c r="A1060" s="17" t="str">
        <f t="shared" si="67"/>
        <v/>
      </c>
      <c r="B1060" s="53"/>
      <c r="C1060" s="11" t="str">
        <f t="shared" si="64"/>
        <v/>
      </c>
      <c r="D1060" s="11" t="str">
        <f t="shared" si="65"/>
        <v/>
      </c>
      <c r="E1060" s="45"/>
      <c r="F1060" s="11" t="str">
        <f>IFERROR(VLOOKUP(E1060,Category!$D$2:$E$600,2,FALSE),"")</f>
        <v/>
      </c>
      <c r="G1060" s="45"/>
      <c r="H1060" s="73"/>
      <c r="I1060" s="18" t="str">
        <f t="shared" si="66"/>
        <v/>
      </c>
      <c r="J1060" s="45"/>
      <c r="K1060" s="45"/>
    </row>
    <row r="1061" spans="1:11">
      <c r="A1061" s="17" t="str">
        <f t="shared" si="67"/>
        <v/>
      </c>
      <c r="B1061" s="53"/>
      <c r="C1061" s="11" t="str">
        <f t="shared" si="64"/>
        <v/>
      </c>
      <c r="D1061" s="11" t="str">
        <f t="shared" si="65"/>
        <v/>
      </c>
      <c r="E1061" s="45"/>
      <c r="F1061" s="11" t="str">
        <f>IFERROR(VLOOKUP(E1061,Category!$D$2:$E$600,2,FALSE),"")</f>
        <v/>
      </c>
      <c r="G1061" s="45"/>
      <c r="H1061" s="73"/>
      <c r="I1061" s="18" t="str">
        <f t="shared" si="66"/>
        <v/>
      </c>
      <c r="J1061" s="45"/>
      <c r="K1061" s="45"/>
    </row>
    <row r="1062" spans="1:11">
      <c r="A1062" s="17" t="str">
        <f t="shared" si="67"/>
        <v/>
      </c>
      <c r="B1062" s="53"/>
      <c r="C1062" s="11" t="str">
        <f t="shared" si="64"/>
        <v/>
      </c>
      <c r="D1062" s="11" t="str">
        <f t="shared" si="65"/>
        <v/>
      </c>
      <c r="E1062" s="45"/>
      <c r="F1062" s="11" t="str">
        <f>IFERROR(VLOOKUP(E1062,Category!$D$2:$E$600,2,FALSE),"")</f>
        <v/>
      </c>
      <c r="G1062" s="45"/>
      <c r="H1062" s="73"/>
      <c r="I1062" s="18" t="str">
        <f t="shared" si="66"/>
        <v/>
      </c>
      <c r="J1062" s="45"/>
      <c r="K1062" s="45"/>
    </row>
    <row r="1063" spans="1:11">
      <c r="A1063" s="17" t="str">
        <f t="shared" si="67"/>
        <v/>
      </c>
      <c r="B1063" s="53"/>
      <c r="C1063" s="11" t="str">
        <f t="shared" si="64"/>
        <v/>
      </c>
      <c r="D1063" s="11" t="str">
        <f t="shared" si="65"/>
        <v/>
      </c>
      <c r="E1063" s="45"/>
      <c r="F1063" s="11" t="str">
        <f>IFERROR(VLOOKUP(E1063,Category!$D$2:$E$600,2,FALSE),"")</f>
        <v/>
      </c>
      <c r="G1063" s="45"/>
      <c r="H1063" s="73"/>
      <c r="I1063" s="18" t="str">
        <f t="shared" si="66"/>
        <v/>
      </c>
      <c r="J1063" s="45"/>
      <c r="K1063" s="45"/>
    </row>
    <row r="1064" spans="1:11">
      <c r="A1064" s="17" t="str">
        <f t="shared" si="67"/>
        <v/>
      </c>
      <c r="B1064" s="53"/>
      <c r="C1064" s="11" t="str">
        <f t="shared" si="64"/>
        <v/>
      </c>
      <c r="D1064" s="11" t="str">
        <f t="shared" si="65"/>
        <v/>
      </c>
      <c r="E1064" s="45"/>
      <c r="F1064" s="11" t="str">
        <f>IFERROR(VLOOKUP(E1064,Category!$D$2:$E$600,2,FALSE),"")</f>
        <v/>
      </c>
      <c r="G1064" s="45"/>
      <c r="H1064" s="73"/>
      <c r="I1064" s="18" t="str">
        <f t="shared" si="66"/>
        <v/>
      </c>
      <c r="J1064" s="45"/>
      <c r="K1064" s="45"/>
    </row>
    <row r="1065" spans="1:11">
      <c r="A1065" s="17" t="str">
        <f t="shared" si="67"/>
        <v/>
      </c>
      <c r="B1065" s="53"/>
      <c r="C1065" s="11" t="str">
        <f t="shared" si="64"/>
        <v/>
      </c>
      <c r="D1065" s="11" t="str">
        <f t="shared" si="65"/>
        <v/>
      </c>
      <c r="E1065" s="45"/>
      <c r="F1065" s="11" t="str">
        <f>IFERROR(VLOOKUP(E1065,Category!$D$2:$E$600,2,FALSE),"")</f>
        <v/>
      </c>
      <c r="G1065" s="45"/>
      <c r="H1065" s="73"/>
      <c r="I1065" s="18" t="str">
        <f t="shared" si="66"/>
        <v/>
      </c>
      <c r="J1065" s="45"/>
      <c r="K1065" s="45"/>
    </row>
    <row r="1066" spans="1:11">
      <c r="A1066" s="17" t="str">
        <f t="shared" si="67"/>
        <v/>
      </c>
      <c r="B1066" s="53"/>
      <c r="C1066" s="11" t="str">
        <f t="shared" si="64"/>
        <v/>
      </c>
      <c r="D1066" s="11" t="str">
        <f t="shared" si="65"/>
        <v/>
      </c>
      <c r="E1066" s="45"/>
      <c r="F1066" s="11" t="str">
        <f>IFERROR(VLOOKUP(E1066,Category!$D$2:$E$600,2,FALSE),"")</f>
        <v/>
      </c>
      <c r="G1066" s="45"/>
      <c r="H1066" s="73"/>
      <c r="I1066" s="18" t="str">
        <f t="shared" si="66"/>
        <v/>
      </c>
      <c r="J1066" s="45"/>
      <c r="K1066" s="45"/>
    </row>
    <row r="1067" spans="1:11">
      <c r="A1067" s="17" t="str">
        <f t="shared" si="67"/>
        <v/>
      </c>
      <c r="B1067" s="53"/>
      <c r="C1067" s="11" t="str">
        <f t="shared" si="64"/>
        <v/>
      </c>
      <c r="D1067" s="11" t="str">
        <f t="shared" si="65"/>
        <v/>
      </c>
      <c r="E1067" s="45"/>
      <c r="F1067" s="11" t="str">
        <f>IFERROR(VLOOKUP(E1067,Category!$D$2:$E$600,2,FALSE),"")</f>
        <v/>
      </c>
      <c r="G1067" s="45"/>
      <c r="H1067" s="73"/>
      <c r="I1067" s="18" t="str">
        <f t="shared" si="66"/>
        <v/>
      </c>
      <c r="J1067" s="45"/>
      <c r="K1067" s="45"/>
    </row>
    <row r="1068" spans="1:11">
      <c r="A1068" s="17" t="str">
        <f t="shared" si="67"/>
        <v/>
      </c>
      <c r="B1068" s="53"/>
      <c r="C1068" s="11" t="str">
        <f t="shared" si="64"/>
        <v/>
      </c>
      <c r="D1068" s="11" t="str">
        <f t="shared" si="65"/>
        <v/>
      </c>
      <c r="E1068" s="45"/>
      <c r="F1068" s="11" t="str">
        <f>IFERROR(VLOOKUP(E1068,Category!$D$2:$E$600,2,FALSE),"")</f>
        <v/>
      </c>
      <c r="G1068" s="45"/>
      <c r="H1068" s="73"/>
      <c r="I1068" s="18" t="str">
        <f t="shared" si="66"/>
        <v/>
      </c>
      <c r="J1068" s="45"/>
      <c r="K1068" s="45"/>
    </row>
    <row r="1069" spans="1:11">
      <c r="A1069" s="17" t="str">
        <f t="shared" si="67"/>
        <v/>
      </c>
      <c r="B1069" s="53"/>
      <c r="C1069" s="11" t="str">
        <f t="shared" si="64"/>
        <v/>
      </c>
      <c r="D1069" s="11" t="str">
        <f t="shared" si="65"/>
        <v/>
      </c>
      <c r="E1069" s="45"/>
      <c r="F1069" s="11" t="str">
        <f>IFERROR(VLOOKUP(E1069,Category!$D$2:$E$600,2,FALSE),"")</f>
        <v/>
      </c>
      <c r="G1069" s="45"/>
      <c r="H1069" s="73"/>
      <c r="I1069" s="18" t="str">
        <f t="shared" si="66"/>
        <v/>
      </c>
      <c r="J1069" s="45"/>
      <c r="K1069" s="45"/>
    </row>
    <row r="1070" spans="1:11">
      <c r="A1070" s="17" t="str">
        <f t="shared" si="67"/>
        <v/>
      </c>
      <c r="B1070" s="53"/>
      <c r="C1070" s="11" t="str">
        <f t="shared" si="64"/>
        <v/>
      </c>
      <c r="D1070" s="11" t="str">
        <f t="shared" si="65"/>
        <v/>
      </c>
      <c r="E1070" s="45"/>
      <c r="F1070" s="11" t="str">
        <f>IFERROR(VLOOKUP(E1070,Category!$D$2:$E$600,2,FALSE),"")</f>
        <v/>
      </c>
      <c r="G1070" s="45"/>
      <c r="H1070" s="73"/>
      <c r="I1070" s="18" t="str">
        <f t="shared" si="66"/>
        <v/>
      </c>
      <c r="J1070" s="45"/>
      <c r="K1070" s="45"/>
    </row>
    <row r="1071" spans="1:11">
      <c r="A1071" s="17" t="str">
        <f t="shared" si="67"/>
        <v/>
      </c>
      <c r="B1071" s="53"/>
      <c r="C1071" s="11" t="str">
        <f t="shared" si="64"/>
        <v/>
      </c>
      <c r="D1071" s="11" t="str">
        <f t="shared" si="65"/>
        <v/>
      </c>
      <c r="E1071" s="45"/>
      <c r="F1071" s="11" t="str">
        <f>IFERROR(VLOOKUP(E1071,Category!$D$2:$E$600,2,FALSE),"")</f>
        <v/>
      </c>
      <c r="G1071" s="45"/>
      <c r="H1071" s="73"/>
      <c r="I1071" s="18" t="str">
        <f t="shared" si="66"/>
        <v/>
      </c>
      <c r="J1071" s="45"/>
      <c r="K1071" s="45"/>
    </row>
    <row r="1072" spans="1:11">
      <c r="A1072" s="17" t="str">
        <f t="shared" si="67"/>
        <v/>
      </c>
      <c r="B1072" s="53"/>
      <c r="C1072" s="11" t="str">
        <f t="shared" si="64"/>
        <v/>
      </c>
      <c r="D1072" s="11" t="str">
        <f t="shared" si="65"/>
        <v/>
      </c>
      <c r="E1072" s="45"/>
      <c r="F1072" s="11" t="str">
        <f>IFERROR(VLOOKUP(E1072,Category!$D$2:$E$600,2,FALSE),"")</f>
        <v/>
      </c>
      <c r="G1072" s="45"/>
      <c r="H1072" s="73"/>
      <c r="I1072" s="18" t="str">
        <f t="shared" si="66"/>
        <v/>
      </c>
      <c r="J1072" s="45"/>
      <c r="K1072" s="45"/>
    </row>
    <row r="1073" spans="1:11">
      <c r="A1073" s="17" t="str">
        <f t="shared" si="67"/>
        <v/>
      </c>
      <c r="B1073" s="53"/>
      <c r="C1073" s="11" t="str">
        <f t="shared" si="64"/>
        <v/>
      </c>
      <c r="D1073" s="11" t="str">
        <f t="shared" si="65"/>
        <v/>
      </c>
      <c r="E1073" s="45"/>
      <c r="F1073" s="11" t="str">
        <f>IFERROR(VLOOKUP(E1073,Category!$D$2:$E$600,2,FALSE),"")</f>
        <v/>
      </c>
      <c r="G1073" s="45"/>
      <c r="H1073" s="73"/>
      <c r="I1073" s="18" t="str">
        <f t="shared" si="66"/>
        <v/>
      </c>
      <c r="J1073" s="45"/>
      <c r="K1073" s="45"/>
    </row>
    <row r="1074" spans="1:11">
      <c r="A1074" s="17" t="str">
        <f t="shared" si="67"/>
        <v/>
      </c>
      <c r="B1074" s="53"/>
      <c r="C1074" s="11" t="str">
        <f t="shared" si="64"/>
        <v/>
      </c>
      <c r="D1074" s="11" t="str">
        <f t="shared" si="65"/>
        <v/>
      </c>
      <c r="E1074" s="45"/>
      <c r="F1074" s="11" t="str">
        <f>IFERROR(VLOOKUP(E1074,Category!$D$2:$E$600,2,FALSE),"")</f>
        <v/>
      </c>
      <c r="G1074" s="45"/>
      <c r="H1074" s="73"/>
      <c r="I1074" s="18" t="str">
        <f t="shared" si="66"/>
        <v/>
      </c>
      <c r="J1074" s="45"/>
      <c r="K1074" s="45"/>
    </row>
    <row r="1075" spans="1:11">
      <c r="A1075" s="17" t="str">
        <f t="shared" si="67"/>
        <v/>
      </c>
      <c r="B1075" s="53"/>
      <c r="C1075" s="11" t="str">
        <f t="shared" si="64"/>
        <v/>
      </c>
      <c r="D1075" s="11" t="str">
        <f t="shared" si="65"/>
        <v/>
      </c>
      <c r="E1075" s="45"/>
      <c r="F1075" s="11" t="str">
        <f>IFERROR(VLOOKUP(E1075,Category!$D$2:$E$600,2,FALSE),"")</f>
        <v/>
      </c>
      <c r="G1075" s="45"/>
      <c r="H1075" s="73"/>
      <c r="I1075" s="18" t="str">
        <f t="shared" si="66"/>
        <v/>
      </c>
      <c r="J1075" s="45"/>
      <c r="K1075" s="45"/>
    </row>
    <row r="1076" spans="1:11">
      <c r="A1076" s="17" t="str">
        <f t="shared" si="67"/>
        <v/>
      </c>
      <c r="B1076" s="53"/>
      <c r="C1076" s="11" t="str">
        <f t="shared" si="64"/>
        <v/>
      </c>
      <c r="D1076" s="11" t="str">
        <f t="shared" si="65"/>
        <v/>
      </c>
      <c r="E1076" s="45"/>
      <c r="F1076" s="11" t="str">
        <f>IFERROR(VLOOKUP(E1076,Category!$D$2:$E$600,2,FALSE),"")</f>
        <v/>
      </c>
      <c r="G1076" s="45"/>
      <c r="H1076" s="73"/>
      <c r="I1076" s="18" t="str">
        <f t="shared" si="66"/>
        <v/>
      </c>
      <c r="J1076" s="45"/>
      <c r="K1076" s="45"/>
    </row>
    <row r="1077" spans="1:11">
      <c r="A1077" s="17" t="str">
        <f t="shared" si="67"/>
        <v/>
      </c>
      <c r="B1077" s="53"/>
      <c r="C1077" s="11" t="str">
        <f t="shared" si="64"/>
        <v/>
      </c>
      <c r="D1077" s="11" t="str">
        <f t="shared" si="65"/>
        <v/>
      </c>
      <c r="E1077" s="45"/>
      <c r="F1077" s="11" t="str">
        <f>IFERROR(VLOOKUP(E1077,Category!$D$2:$E$600,2,FALSE),"")</f>
        <v/>
      </c>
      <c r="G1077" s="45"/>
      <c r="H1077" s="73"/>
      <c r="I1077" s="18" t="str">
        <f t="shared" si="66"/>
        <v/>
      </c>
      <c r="J1077" s="45"/>
      <c r="K1077" s="45"/>
    </row>
    <row r="1078" spans="1:11">
      <c r="A1078" s="17" t="str">
        <f t="shared" si="67"/>
        <v/>
      </c>
      <c r="B1078" s="53"/>
      <c r="C1078" s="11" t="str">
        <f t="shared" si="64"/>
        <v/>
      </c>
      <c r="D1078" s="11" t="str">
        <f t="shared" si="65"/>
        <v/>
      </c>
      <c r="E1078" s="45"/>
      <c r="F1078" s="11" t="str">
        <f>IFERROR(VLOOKUP(E1078,Category!$D$2:$E$600,2,FALSE),"")</f>
        <v/>
      </c>
      <c r="G1078" s="45"/>
      <c r="H1078" s="73"/>
      <c r="I1078" s="18" t="str">
        <f t="shared" si="66"/>
        <v/>
      </c>
      <c r="J1078" s="45"/>
      <c r="K1078" s="45"/>
    </row>
    <row r="1079" spans="1:11">
      <c r="A1079" s="17" t="str">
        <f t="shared" si="67"/>
        <v/>
      </c>
      <c r="B1079" s="53"/>
      <c r="C1079" s="11" t="str">
        <f t="shared" si="64"/>
        <v/>
      </c>
      <c r="D1079" s="11" t="str">
        <f t="shared" si="65"/>
        <v/>
      </c>
      <c r="E1079" s="45"/>
      <c r="F1079" s="11" t="str">
        <f>IFERROR(VLOOKUP(E1079,Category!$D$2:$E$600,2,FALSE),"")</f>
        <v/>
      </c>
      <c r="G1079" s="45"/>
      <c r="H1079" s="73"/>
      <c r="I1079" s="18" t="str">
        <f t="shared" si="66"/>
        <v/>
      </c>
      <c r="J1079" s="45"/>
      <c r="K1079" s="45"/>
    </row>
    <row r="1080" spans="1:11">
      <c r="A1080" s="17" t="str">
        <f t="shared" si="67"/>
        <v/>
      </c>
      <c r="B1080" s="53"/>
      <c r="C1080" s="11" t="str">
        <f t="shared" si="64"/>
        <v/>
      </c>
      <c r="D1080" s="11" t="str">
        <f t="shared" si="65"/>
        <v/>
      </c>
      <c r="E1080" s="45"/>
      <c r="F1080" s="11" t="str">
        <f>IFERROR(VLOOKUP(E1080,Category!$D$2:$E$600,2,FALSE),"")</f>
        <v/>
      </c>
      <c r="G1080" s="45"/>
      <c r="H1080" s="73"/>
      <c r="I1080" s="18" t="str">
        <f t="shared" si="66"/>
        <v/>
      </c>
      <c r="J1080" s="45"/>
      <c r="K1080" s="45"/>
    </row>
    <row r="1081" spans="1:11">
      <c r="A1081" s="17" t="str">
        <f t="shared" si="67"/>
        <v/>
      </c>
      <c r="B1081" s="53"/>
      <c r="C1081" s="11" t="str">
        <f t="shared" si="64"/>
        <v/>
      </c>
      <c r="D1081" s="11" t="str">
        <f t="shared" si="65"/>
        <v/>
      </c>
      <c r="E1081" s="45"/>
      <c r="F1081" s="11" t="str">
        <f>IFERROR(VLOOKUP(E1081,Category!$D$2:$E$600,2,FALSE),"")</f>
        <v/>
      </c>
      <c r="G1081" s="45"/>
      <c r="H1081" s="73"/>
      <c r="I1081" s="18" t="str">
        <f t="shared" si="66"/>
        <v/>
      </c>
      <c r="J1081" s="45"/>
      <c r="K1081" s="45"/>
    </row>
    <row r="1082" spans="1:11">
      <c r="A1082" s="17" t="str">
        <f t="shared" si="67"/>
        <v/>
      </c>
      <c r="B1082" s="53"/>
      <c r="C1082" s="11" t="str">
        <f t="shared" si="64"/>
        <v/>
      </c>
      <c r="D1082" s="11" t="str">
        <f t="shared" si="65"/>
        <v/>
      </c>
      <c r="E1082" s="45"/>
      <c r="F1082" s="11" t="str">
        <f>IFERROR(VLOOKUP(E1082,Category!$D$2:$E$600,2,FALSE),"")</f>
        <v/>
      </c>
      <c r="G1082" s="45"/>
      <c r="H1082" s="73"/>
      <c r="I1082" s="18" t="str">
        <f t="shared" si="66"/>
        <v/>
      </c>
      <c r="J1082" s="45"/>
      <c r="K1082" s="45"/>
    </row>
    <row r="1083" spans="1:11">
      <c r="A1083" s="17" t="str">
        <f t="shared" si="67"/>
        <v/>
      </c>
      <c r="B1083" s="53"/>
      <c r="C1083" s="11" t="str">
        <f t="shared" si="64"/>
        <v/>
      </c>
      <c r="D1083" s="11" t="str">
        <f t="shared" si="65"/>
        <v/>
      </c>
      <c r="E1083" s="45"/>
      <c r="F1083" s="11" t="str">
        <f>IFERROR(VLOOKUP(E1083,Category!$D$2:$E$600,2,FALSE),"")</f>
        <v/>
      </c>
      <c r="G1083" s="45"/>
      <c r="H1083" s="73"/>
      <c r="I1083" s="18" t="str">
        <f t="shared" si="66"/>
        <v/>
      </c>
      <c r="J1083" s="45"/>
      <c r="K1083" s="45"/>
    </row>
    <row r="1084" spans="1:11">
      <c r="A1084" s="17" t="str">
        <f t="shared" si="67"/>
        <v/>
      </c>
      <c r="B1084" s="53"/>
      <c r="C1084" s="11" t="str">
        <f t="shared" si="64"/>
        <v/>
      </c>
      <c r="D1084" s="11" t="str">
        <f t="shared" si="65"/>
        <v/>
      </c>
      <c r="E1084" s="45"/>
      <c r="F1084" s="11" t="str">
        <f>IFERROR(VLOOKUP(E1084,Category!$D$2:$E$600,2,FALSE),"")</f>
        <v/>
      </c>
      <c r="G1084" s="45"/>
      <c r="H1084" s="73"/>
      <c r="I1084" s="18" t="str">
        <f t="shared" si="66"/>
        <v/>
      </c>
      <c r="J1084" s="45"/>
      <c r="K1084" s="45"/>
    </row>
    <row r="1085" spans="1:11">
      <c r="A1085" s="17" t="str">
        <f t="shared" si="67"/>
        <v/>
      </c>
      <c r="B1085" s="53"/>
      <c r="C1085" s="11" t="str">
        <f t="shared" si="64"/>
        <v/>
      </c>
      <c r="D1085" s="11" t="str">
        <f t="shared" si="65"/>
        <v/>
      </c>
      <c r="E1085" s="45"/>
      <c r="F1085" s="11" t="str">
        <f>IFERROR(VLOOKUP(E1085,Category!$D$2:$E$600,2,FALSE),"")</f>
        <v/>
      </c>
      <c r="G1085" s="45"/>
      <c r="H1085" s="73"/>
      <c r="I1085" s="18" t="str">
        <f t="shared" si="66"/>
        <v/>
      </c>
      <c r="J1085" s="45"/>
      <c r="K1085" s="45"/>
    </row>
    <row r="1086" spans="1:11">
      <c r="A1086" s="17" t="str">
        <f t="shared" si="67"/>
        <v/>
      </c>
      <c r="B1086" s="53"/>
      <c r="C1086" s="11" t="str">
        <f t="shared" si="64"/>
        <v/>
      </c>
      <c r="D1086" s="11" t="str">
        <f t="shared" si="65"/>
        <v/>
      </c>
      <c r="E1086" s="45"/>
      <c r="F1086" s="11" t="str">
        <f>IFERROR(VLOOKUP(E1086,Category!$D$2:$E$600,2,FALSE),"")</f>
        <v/>
      </c>
      <c r="G1086" s="45"/>
      <c r="H1086" s="73"/>
      <c r="I1086" s="18" t="str">
        <f t="shared" si="66"/>
        <v/>
      </c>
      <c r="J1086" s="45"/>
      <c r="K1086" s="45"/>
    </row>
    <row r="1087" spans="1:11">
      <c r="A1087" s="17" t="str">
        <f t="shared" si="67"/>
        <v/>
      </c>
      <c r="B1087" s="53"/>
      <c r="C1087" s="11" t="str">
        <f t="shared" si="64"/>
        <v/>
      </c>
      <c r="D1087" s="11" t="str">
        <f t="shared" si="65"/>
        <v/>
      </c>
      <c r="E1087" s="45"/>
      <c r="F1087" s="11" t="str">
        <f>IFERROR(VLOOKUP(E1087,Category!$D$2:$E$600,2,FALSE),"")</f>
        <v/>
      </c>
      <c r="G1087" s="45"/>
      <c r="H1087" s="73"/>
      <c r="I1087" s="18" t="str">
        <f t="shared" si="66"/>
        <v/>
      </c>
      <c r="J1087" s="45"/>
      <c r="K1087" s="45"/>
    </row>
    <row r="1088" spans="1:11">
      <c r="A1088" s="17" t="str">
        <f t="shared" si="67"/>
        <v/>
      </c>
      <c r="B1088" s="53"/>
      <c r="C1088" s="11" t="str">
        <f t="shared" si="64"/>
        <v/>
      </c>
      <c r="D1088" s="11" t="str">
        <f t="shared" si="65"/>
        <v/>
      </c>
      <c r="E1088" s="45"/>
      <c r="F1088" s="11" t="str">
        <f>IFERROR(VLOOKUP(E1088,Category!$D$2:$E$600,2,FALSE),"")</f>
        <v/>
      </c>
      <c r="G1088" s="45"/>
      <c r="H1088" s="73"/>
      <c r="I1088" s="18" t="str">
        <f t="shared" si="66"/>
        <v/>
      </c>
      <c r="J1088" s="45"/>
      <c r="K1088" s="45"/>
    </row>
    <row r="1089" spans="1:11">
      <c r="A1089" s="17" t="str">
        <f t="shared" si="67"/>
        <v/>
      </c>
      <c r="B1089" s="53"/>
      <c r="C1089" s="11" t="str">
        <f t="shared" si="64"/>
        <v/>
      </c>
      <c r="D1089" s="11" t="str">
        <f t="shared" si="65"/>
        <v/>
      </c>
      <c r="E1089" s="45"/>
      <c r="F1089" s="11" t="str">
        <f>IFERROR(VLOOKUP(E1089,Category!$D$2:$E$600,2,FALSE),"")</f>
        <v/>
      </c>
      <c r="G1089" s="45"/>
      <c r="H1089" s="73"/>
      <c r="I1089" s="18" t="str">
        <f t="shared" si="66"/>
        <v/>
      </c>
      <c r="J1089" s="45"/>
      <c r="K1089" s="45"/>
    </row>
    <row r="1090" spans="1:11">
      <c r="A1090" s="17" t="str">
        <f t="shared" si="67"/>
        <v/>
      </c>
      <c r="B1090" s="53"/>
      <c r="C1090" s="11" t="str">
        <f t="shared" si="64"/>
        <v/>
      </c>
      <c r="D1090" s="11" t="str">
        <f t="shared" si="65"/>
        <v/>
      </c>
      <c r="E1090" s="45"/>
      <c r="F1090" s="11" t="str">
        <f>IFERROR(VLOOKUP(E1090,Category!$D$2:$E$600,2,FALSE),"")</f>
        <v/>
      </c>
      <c r="G1090" s="45"/>
      <c r="H1090" s="73"/>
      <c r="I1090" s="18" t="str">
        <f t="shared" si="66"/>
        <v/>
      </c>
      <c r="J1090" s="45"/>
      <c r="K1090" s="45"/>
    </row>
    <row r="1091" spans="1:11">
      <c r="A1091" s="17" t="str">
        <f t="shared" si="67"/>
        <v/>
      </c>
      <c r="B1091" s="53"/>
      <c r="C1091" s="11" t="str">
        <f t="shared" ref="C1091:C1154" si="68">IF(B1091=0,"",TEXT(B1091,"mmmm"))</f>
        <v/>
      </c>
      <c r="D1091" s="11" t="str">
        <f t="shared" ref="D1091:D1154" si="69">IF(B1091=0,"",TEXT(B1091,"yyyy"))</f>
        <v/>
      </c>
      <c r="E1091" s="45"/>
      <c r="F1091" s="11" t="str">
        <f>IFERROR(VLOOKUP(E1091,Category!$D$2:$E$600,2,FALSE),"")</f>
        <v/>
      </c>
      <c r="G1091" s="45"/>
      <c r="H1091" s="73"/>
      <c r="I1091" s="18" t="str">
        <f t="shared" ref="I1091:I1154" si="70">IF(G1091*H1091=0,"",G1091*H1091)</f>
        <v/>
      </c>
      <c r="J1091" s="45"/>
      <c r="K1091" s="45"/>
    </row>
    <row r="1092" spans="1:11">
      <c r="A1092" s="17" t="str">
        <f t="shared" ref="A1092:A1155" si="71">IF(E1092&gt;0,A1091+1,"")</f>
        <v/>
      </c>
      <c r="B1092" s="53"/>
      <c r="C1092" s="11" t="str">
        <f t="shared" si="68"/>
        <v/>
      </c>
      <c r="D1092" s="11" t="str">
        <f t="shared" si="69"/>
        <v/>
      </c>
      <c r="E1092" s="45"/>
      <c r="F1092" s="11" t="str">
        <f>IFERROR(VLOOKUP(E1092,Category!$D$2:$E$600,2,FALSE),"")</f>
        <v/>
      </c>
      <c r="G1092" s="45"/>
      <c r="H1092" s="73"/>
      <c r="I1092" s="18" t="str">
        <f t="shared" si="70"/>
        <v/>
      </c>
      <c r="J1092" s="45"/>
      <c r="K1092" s="45"/>
    </row>
    <row r="1093" spans="1:11">
      <c r="A1093" s="17" t="str">
        <f t="shared" si="71"/>
        <v/>
      </c>
      <c r="B1093" s="53"/>
      <c r="C1093" s="11" t="str">
        <f t="shared" si="68"/>
        <v/>
      </c>
      <c r="D1093" s="11" t="str">
        <f t="shared" si="69"/>
        <v/>
      </c>
      <c r="E1093" s="45"/>
      <c r="F1093" s="11" t="str">
        <f>IFERROR(VLOOKUP(E1093,Category!$D$2:$E$600,2,FALSE),"")</f>
        <v/>
      </c>
      <c r="G1093" s="45"/>
      <c r="H1093" s="73"/>
      <c r="I1093" s="18" t="str">
        <f t="shared" si="70"/>
        <v/>
      </c>
      <c r="J1093" s="45"/>
      <c r="K1093" s="45"/>
    </row>
    <row r="1094" spans="1:11">
      <c r="A1094" s="17" t="str">
        <f t="shared" si="71"/>
        <v/>
      </c>
      <c r="B1094" s="53"/>
      <c r="C1094" s="11" t="str">
        <f t="shared" si="68"/>
        <v/>
      </c>
      <c r="D1094" s="11" t="str">
        <f t="shared" si="69"/>
        <v/>
      </c>
      <c r="E1094" s="45"/>
      <c r="F1094" s="11" t="str">
        <f>IFERROR(VLOOKUP(E1094,Category!$D$2:$E$600,2,FALSE),"")</f>
        <v/>
      </c>
      <c r="G1094" s="45"/>
      <c r="H1094" s="73"/>
      <c r="I1094" s="18" t="str">
        <f t="shared" si="70"/>
        <v/>
      </c>
      <c r="J1094" s="45"/>
      <c r="K1094" s="45"/>
    </row>
    <row r="1095" spans="1:11">
      <c r="A1095" s="17" t="str">
        <f t="shared" si="71"/>
        <v/>
      </c>
      <c r="B1095" s="53"/>
      <c r="C1095" s="11" t="str">
        <f t="shared" si="68"/>
        <v/>
      </c>
      <c r="D1095" s="11" t="str">
        <f t="shared" si="69"/>
        <v/>
      </c>
      <c r="E1095" s="45"/>
      <c r="F1095" s="11" t="str">
        <f>IFERROR(VLOOKUP(E1095,Category!$D$2:$E$600,2,FALSE),"")</f>
        <v/>
      </c>
      <c r="G1095" s="45"/>
      <c r="H1095" s="73"/>
      <c r="I1095" s="18" t="str">
        <f t="shared" si="70"/>
        <v/>
      </c>
      <c r="J1095" s="45"/>
      <c r="K1095" s="45"/>
    </row>
    <row r="1096" spans="1:11">
      <c r="A1096" s="17" t="str">
        <f t="shared" si="71"/>
        <v/>
      </c>
      <c r="B1096" s="53"/>
      <c r="C1096" s="11" t="str">
        <f t="shared" si="68"/>
        <v/>
      </c>
      <c r="D1096" s="11" t="str">
        <f t="shared" si="69"/>
        <v/>
      </c>
      <c r="E1096" s="45"/>
      <c r="F1096" s="11" t="str">
        <f>IFERROR(VLOOKUP(E1096,Category!$D$2:$E$600,2,FALSE),"")</f>
        <v/>
      </c>
      <c r="G1096" s="45"/>
      <c r="H1096" s="73"/>
      <c r="I1096" s="18" t="str">
        <f t="shared" si="70"/>
        <v/>
      </c>
      <c r="J1096" s="45"/>
      <c r="K1096" s="45"/>
    </row>
    <row r="1097" spans="1:11">
      <c r="A1097" s="17" t="str">
        <f t="shared" si="71"/>
        <v/>
      </c>
      <c r="B1097" s="53"/>
      <c r="C1097" s="11" t="str">
        <f t="shared" si="68"/>
        <v/>
      </c>
      <c r="D1097" s="11" t="str">
        <f t="shared" si="69"/>
        <v/>
      </c>
      <c r="E1097" s="45"/>
      <c r="F1097" s="11" t="str">
        <f>IFERROR(VLOOKUP(E1097,Category!$D$2:$E$600,2,FALSE),"")</f>
        <v/>
      </c>
      <c r="G1097" s="45"/>
      <c r="H1097" s="73"/>
      <c r="I1097" s="18" t="str">
        <f t="shared" si="70"/>
        <v/>
      </c>
      <c r="J1097" s="45"/>
      <c r="K1097" s="45"/>
    </row>
    <row r="1098" spans="1:11">
      <c r="A1098" s="17" t="str">
        <f t="shared" si="71"/>
        <v/>
      </c>
      <c r="B1098" s="53"/>
      <c r="C1098" s="11" t="str">
        <f t="shared" si="68"/>
        <v/>
      </c>
      <c r="D1098" s="11" t="str">
        <f t="shared" si="69"/>
        <v/>
      </c>
      <c r="E1098" s="45"/>
      <c r="F1098" s="11" t="str">
        <f>IFERROR(VLOOKUP(E1098,Category!$D$2:$E$600,2,FALSE),"")</f>
        <v/>
      </c>
      <c r="G1098" s="45"/>
      <c r="H1098" s="73"/>
      <c r="I1098" s="18" t="str">
        <f t="shared" si="70"/>
        <v/>
      </c>
      <c r="J1098" s="45"/>
      <c r="K1098" s="45"/>
    </row>
    <row r="1099" spans="1:11">
      <c r="A1099" s="17" t="str">
        <f t="shared" si="71"/>
        <v/>
      </c>
      <c r="B1099" s="53"/>
      <c r="C1099" s="11" t="str">
        <f t="shared" si="68"/>
        <v/>
      </c>
      <c r="D1099" s="11" t="str">
        <f t="shared" si="69"/>
        <v/>
      </c>
      <c r="E1099" s="45"/>
      <c r="F1099" s="11" t="str">
        <f>IFERROR(VLOOKUP(E1099,Category!$D$2:$E$600,2,FALSE),"")</f>
        <v/>
      </c>
      <c r="G1099" s="45"/>
      <c r="H1099" s="73"/>
      <c r="I1099" s="18" t="str">
        <f t="shared" si="70"/>
        <v/>
      </c>
      <c r="J1099" s="45"/>
      <c r="K1099" s="45"/>
    </row>
    <row r="1100" spans="1:11">
      <c r="A1100" s="17" t="str">
        <f t="shared" si="71"/>
        <v/>
      </c>
      <c r="B1100" s="53"/>
      <c r="C1100" s="11" t="str">
        <f t="shared" si="68"/>
        <v/>
      </c>
      <c r="D1100" s="11" t="str">
        <f t="shared" si="69"/>
        <v/>
      </c>
      <c r="E1100" s="45"/>
      <c r="F1100" s="11" t="str">
        <f>IFERROR(VLOOKUP(E1100,Category!$D$2:$E$600,2,FALSE),"")</f>
        <v/>
      </c>
      <c r="G1100" s="45"/>
      <c r="H1100" s="73"/>
      <c r="I1100" s="18" t="str">
        <f t="shared" si="70"/>
        <v/>
      </c>
      <c r="J1100" s="45"/>
      <c r="K1100" s="45"/>
    </row>
    <row r="1101" spans="1:11">
      <c r="A1101" s="17" t="str">
        <f t="shared" si="71"/>
        <v/>
      </c>
      <c r="B1101" s="53"/>
      <c r="C1101" s="11" t="str">
        <f t="shared" si="68"/>
        <v/>
      </c>
      <c r="D1101" s="11" t="str">
        <f t="shared" si="69"/>
        <v/>
      </c>
      <c r="E1101" s="45"/>
      <c r="F1101" s="11" t="str">
        <f>IFERROR(VLOOKUP(E1101,Category!$D$2:$E$600,2,FALSE),"")</f>
        <v/>
      </c>
      <c r="G1101" s="45"/>
      <c r="H1101" s="73"/>
      <c r="I1101" s="18" t="str">
        <f t="shared" si="70"/>
        <v/>
      </c>
      <c r="J1101" s="45"/>
      <c r="K1101" s="45"/>
    </row>
    <row r="1102" spans="1:11">
      <c r="A1102" s="17" t="str">
        <f t="shared" si="71"/>
        <v/>
      </c>
      <c r="B1102" s="53"/>
      <c r="C1102" s="11" t="str">
        <f t="shared" si="68"/>
        <v/>
      </c>
      <c r="D1102" s="11" t="str">
        <f t="shared" si="69"/>
        <v/>
      </c>
      <c r="E1102" s="45"/>
      <c r="F1102" s="11" t="str">
        <f>IFERROR(VLOOKUP(E1102,Category!$D$2:$E$600,2,FALSE),"")</f>
        <v/>
      </c>
      <c r="G1102" s="45"/>
      <c r="H1102" s="73"/>
      <c r="I1102" s="18" t="str">
        <f t="shared" si="70"/>
        <v/>
      </c>
      <c r="J1102" s="45"/>
      <c r="K1102" s="45"/>
    </row>
    <row r="1103" spans="1:11">
      <c r="A1103" s="17" t="str">
        <f t="shared" si="71"/>
        <v/>
      </c>
      <c r="B1103" s="53"/>
      <c r="C1103" s="11" t="str">
        <f t="shared" si="68"/>
        <v/>
      </c>
      <c r="D1103" s="11" t="str">
        <f t="shared" si="69"/>
        <v/>
      </c>
      <c r="E1103" s="45"/>
      <c r="F1103" s="11" t="str">
        <f>IFERROR(VLOOKUP(E1103,Category!$D$2:$E$600,2,FALSE),"")</f>
        <v/>
      </c>
      <c r="G1103" s="45"/>
      <c r="H1103" s="73"/>
      <c r="I1103" s="18" t="str">
        <f t="shared" si="70"/>
        <v/>
      </c>
      <c r="J1103" s="45"/>
      <c r="K1103" s="45"/>
    </row>
    <row r="1104" spans="1:11">
      <c r="A1104" s="17" t="str">
        <f t="shared" si="71"/>
        <v/>
      </c>
      <c r="B1104" s="53"/>
      <c r="C1104" s="11" t="str">
        <f t="shared" si="68"/>
        <v/>
      </c>
      <c r="D1104" s="11" t="str">
        <f t="shared" si="69"/>
        <v/>
      </c>
      <c r="E1104" s="45"/>
      <c r="F1104" s="11" t="str">
        <f>IFERROR(VLOOKUP(E1104,Category!$D$2:$E$600,2,FALSE),"")</f>
        <v/>
      </c>
      <c r="G1104" s="45"/>
      <c r="H1104" s="73"/>
      <c r="I1104" s="18" t="str">
        <f t="shared" si="70"/>
        <v/>
      </c>
      <c r="J1104" s="45"/>
      <c r="K1104" s="45"/>
    </row>
    <row r="1105" spans="1:11">
      <c r="A1105" s="17" t="str">
        <f t="shared" si="71"/>
        <v/>
      </c>
      <c r="B1105" s="53"/>
      <c r="C1105" s="11" t="str">
        <f t="shared" si="68"/>
        <v/>
      </c>
      <c r="D1105" s="11" t="str">
        <f t="shared" si="69"/>
        <v/>
      </c>
      <c r="E1105" s="45"/>
      <c r="F1105" s="11" t="str">
        <f>IFERROR(VLOOKUP(E1105,Category!$D$2:$E$600,2,FALSE),"")</f>
        <v/>
      </c>
      <c r="G1105" s="45"/>
      <c r="H1105" s="73"/>
      <c r="I1105" s="18" t="str">
        <f t="shared" si="70"/>
        <v/>
      </c>
      <c r="J1105" s="45"/>
      <c r="K1105" s="45"/>
    </row>
    <row r="1106" spans="1:11">
      <c r="A1106" s="17" t="str">
        <f t="shared" si="71"/>
        <v/>
      </c>
      <c r="B1106" s="53"/>
      <c r="C1106" s="11" t="str">
        <f t="shared" si="68"/>
        <v/>
      </c>
      <c r="D1106" s="11" t="str">
        <f t="shared" si="69"/>
        <v/>
      </c>
      <c r="E1106" s="45"/>
      <c r="F1106" s="11" t="str">
        <f>IFERROR(VLOOKUP(E1106,Category!$D$2:$E$600,2,FALSE),"")</f>
        <v/>
      </c>
      <c r="G1106" s="45"/>
      <c r="H1106" s="73"/>
      <c r="I1106" s="18" t="str">
        <f t="shared" si="70"/>
        <v/>
      </c>
      <c r="J1106" s="45"/>
      <c r="K1106" s="45"/>
    </row>
    <row r="1107" spans="1:11">
      <c r="A1107" s="17" t="str">
        <f t="shared" si="71"/>
        <v/>
      </c>
      <c r="B1107" s="53"/>
      <c r="C1107" s="11" t="str">
        <f t="shared" si="68"/>
        <v/>
      </c>
      <c r="D1107" s="11" t="str">
        <f t="shared" si="69"/>
        <v/>
      </c>
      <c r="E1107" s="45"/>
      <c r="F1107" s="11" t="str">
        <f>IFERROR(VLOOKUP(E1107,Category!$D$2:$E$600,2,FALSE),"")</f>
        <v/>
      </c>
      <c r="G1107" s="45"/>
      <c r="H1107" s="73"/>
      <c r="I1107" s="18" t="str">
        <f t="shared" si="70"/>
        <v/>
      </c>
      <c r="J1107" s="45"/>
      <c r="K1107" s="45"/>
    </row>
    <row r="1108" spans="1:11">
      <c r="A1108" s="17" t="str">
        <f t="shared" si="71"/>
        <v/>
      </c>
      <c r="B1108" s="53"/>
      <c r="C1108" s="11" t="str">
        <f t="shared" si="68"/>
        <v/>
      </c>
      <c r="D1108" s="11" t="str">
        <f t="shared" si="69"/>
        <v/>
      </c>
      <c r="E1108" s="45"/>
      <c r="F1108" s="11" t="str">
        <f>IFERROR(VLOOKUP(E1108,Category!$D$2:$E$600,2,FALSE),"")</f>
        <v/>
      </c>
      <c r="G1108" s="45"/>
      <c r="H1108" s="73"/>
      <c r="I1108" s="18" t="str">
        <f t="shared" si="70"/>
        <v/>
      </c>
      <c r="J1108" s="45"/>
      <c r="K1108" s="45"/>
    </row>
    <row r="1109" spans="1:11">
      <c r="A1109" s="17" t="str">
        <f t="shared" si="71"/>
        <v/>
      </c>
      <c r="B1109" s="53"/>
      <c r="C1109" s="11" t="str">
        <f t="shared" si="68"/>
        <v/>
      </c>
      <c r="D1109" s="11" t="str">
        <f t="shared" si="69"/>
        <v/>
      </c>
      <c r="E1109" s="45"/>
      <c r="F1109" s="11" t="str">
        <f>IFERROR(VLOOKUP(E1109,Category!$D$2:$E$600,2,FALSE),"")</f>
        <v/>
      </c>
      <c r="G1109" s="45"/>
      <c r="H1109" s="73"/>
      <c r="I1109" s="18" t="str">
        <f t="shared" si="70"/>
        <v/>
      </c>
      <c r="J1109" s="45"/>
      <c r="K1109" s="45"/>
    </row>
    <row r="1110" spans="1:11">
      <c r="A1110" s="17" t="str">
        <f t="shared" si="71"/>
        <v/>
      </c>
      <c r="B1110" s="53"/>
      <c r="C1110" s="11" t="str">
        <f t="shared" si="68"/>
        <v/>
      </c>
      <c r="D1110" s="11" t="str">
        <f t="shared" si="69"/>
        <v/>
      </c>
      <c r="E1110" s="45"/>
      <c r="F1110" s="11" t="str">
        <f>IFERROR(VLOOKUP(E1110,Category!$D$2:$E$600,2,FALSE),"")</f>
        <v/>
      </c>
      <c r="G1110" s="45"/>
      <c r="H1110" s="73"/>
      <c r="I1110" s="18" t="str">
        <f t="shared" si="70"/>
        <v/>
      </c>
      <c r="J1110" s="45"/>
      <c r="K1110" s="45"/>
    </row>
    <row r="1111" spans="1:11">
      <c r="A1111" s="17" t="str">
        <f t="shared" si="71"/>
        <v/>
      </c>
      <c r="B1111" s="53"/>
      <c r="C1111" s="11" t="str">
        <f t="shared" si="68"/>
        <v/>
      </c>
      <c r="D1111" s="11" t="str">
        <f t="shared" si="69"/>
        <v/>
      </c>
      <c r="E1111" s="45"/>
      <c r="F1111" s="11" t="str">
        <f>IFERROR(VLOOKUP(E1111,Category!$D$2:$E$600,2,FALSE),"")</f>
        <v/>
      </c>
      <c r="G1111" s="45"/>
      <c r="H1111" s="73"/>
      <c r="I1111" s="18" t="str">
        <f t="shared" si="70"/>
        <v/>
      </c>
      <c r="J1111" s="45"/>
      <c r="K1111" s="45"/>
    </row>
    <row r="1112" spans="1:11">
      <c r="A1112" s="17" t="str">
        <f t="shared" si="71"/>
        <v/>
      </c>
      <c r="B1112" s="53"/>
      <c r="C1112" s="11" t="str">
        <f t="shared" si="68"/>
        <v/>
      </c>
      <c r="D1112" s="11" t="str">
        <f t="shared" si="69"/>
        <v/>
      </c>
      <c r="E1112" s="45"/>
      <c r="F1112" s="11" t="str">
        <f>IFERROR(VLOOKUP(E1112,Category!$D$2:$E$600,2,FALSE),"")</f>
        <v/>
      </c>
      <c r="G1112" s="45"/>
      <c r="H1112" s="73"/>
      <c r="I1112" s="18" t="str">
        <f t="shared" si="70"/>
        <v/>
      </c>
      <c r="J1112" s="45"/>
      <c r="K1112" s="45"/>
    </row>
    <row r="1113" spans="1:11">
      <c r="A1113" s="17" t="str">
        <f t="shared" si="71"/>
        <v/>
      </c>
      <c r="B1113" s="53"/>
      <c r="C1113" s="11" t="str">
        <f t="shared" si="68"/>
        <v/>
      </c>
      <c r="D1113" s="11" t="str">
        <f t="shared" si="69"/>
        <v/>
      </c>
      <c r="E1113" s="45"/>
      <c r="F1113" s="11" t="str">
        <f>IFERROR(VLOOKUP(E1113,Category!$D$2:$E$600,2,FALSE),"")</f>
        <v/>
      </c>
      <c r="G1113" s="45"/>
      <c r="H1113" s="73"/>
      <c r="I1113" s="18" t="str">
        <f t="shared" si="70"/>
        <v/>
      </c>
      <c r="J1113" s="45"/>
      <c r="K1113" s="45"/>
    </row>
    <row r="1114" spans="1:11">
      <c r="A1114" s="17" t="str">
        <f t="shared" si="71"/>
        <v/>
      </c>
      <c r="B1114" s="53"/>
      <c r="C1114" s="11" t="str">
        <f t="shared" si="68"/>
        <v/>
      </c>
      <c r="D1114" s="11" t="str">
        <f t="shared" si="69"/>
        <v/>
      </c>
      <c r="E1114" s="45"/>
      <c r="F1114" s="11" t="str">
        <f>IFERROR(VLOOKUP(E1114,Category!$D$2:$E$600,2,FALSE),"")</f>
        <v/>
      </c>
      <c r="G1114" s="45"/>
      <c r="H1114" s="73"/>
      <c r="I1114" s="18" t="str">
        <f t="shared" si="70"/>
        <v/>
      </c>
      <c r="J1114" s="45"/>
      <c r="K1114" s="45"/>
    </row>
    <row r="1115" spans="1:11">
      <c r="A1115" s="17" t="str">
        <f t="shared" si="71"/>
        <v/>
      </c>
      <c r="B1115" s="53"/>
      <c r="C1115" s="11" t="str">
        <f t="shared" si="68"/>
        <v/>
      </c>
      <c r="D1115" s="11" t="str">
        <f t="shared" si="69"/>
        <v/>
      </c>
      <c r="E1115" s="45"/>
      <c r="F1115" s="11" t="str">
        <f>IFERROR(VLOOKUP(E1115,Category!$D$2:$E$600,2,FALSE),"")</f>
        <v/>
      </c>
      <c r="G1115" s="45"/>
      <c r="H1115" s="73"/>
      <c r="I1115" s="18" t="str">
        <f t="shared" si="70"/>
        <v/>
      </c>
      <c r="J1115" s="45"/>
      <c r="K1115" s="45"/>
    </row>
    <row r="1116" spans="1:11">
      <c r="A1116" s="17" t="str">
        <f t="shared" si="71"/>
        <v/>
      </c>
      <c r="B1116" s="53"/>
      <c r="C1116" s="11" t="str">
        <f t="shared" si="68"/>
        <v/>
      </c>
      <c r="D1116" s="11" t="str">
        <f t="shared" si="69"/>
        <v/>
      </c>
      <c r="E1116" s="45"/>
      <c r="F1116" s="11" t="str">
        <f>IFERROR(VLOOKUP(E1116,Category!$D$2:$E$600,2,FALSE),"")</f>
        <v/>
      </c>
      <c r="G1116" s="45"/>
      <c r="H1116" s="73"/>
      <c r="I1116" s="18" t="str">
        <f t="shared" si="70"/>
        <v/>
      </c>
      <c r="J1116" s="45"/>
      <c r="K1116" s="45"/>
    </row>
    <row r="1117" spans="1:11">
      <c r="A1117" s="17" t="str">
        <f t="shared" si="71"/>
        <v/>
      </c>
      <c r="B1117" s="53"/>
      <c r="C1117" s="11" t="str">
        <f t="shared" si="68"/>
        <v/>
      </c>
      <c r="D1117" s="11" t="str">
        <f t="shared" si="69"/>
        <v/>
      </c>
      <c r="E1117" s="45"/>
      <c r="F1117" s="11" t="str">
        <f>IFERROR(VLOOKUP(E1117,Category!$D$2:$E$600,2,FALSE),"")</f>
        <v/>
      </c>
      <c r="G1117" s="45"/>
      <c r="H1117" s="73"/>
      <c r="I1117" s="18" t="str">
        <f t="shared" si="70"/>
        <v/>
      </c>
      <c r="J1117" s="45"/>
      <c r="K1117" s="45"/>
    </row>
    <row r="1118" spans="1:11">
      <c r="A1118" s="17" t="str">
        <f t="shared" si="71"/>
        <v/>
      </c>
      <c r="B1118" s="53"/>
      <c r="C1118" s="11" t="str">
        <f t="shared" si="68"/>
        <v/>
      </c>
      <c r="D1118" s="11" t="str">
        <f t="shared" si="69"/>
        <v/>
      </c>
      <c r="E1118" s="45"/>
      <c r="F1118" s="11" t="str">
        <f>IFERROR(VLOOKUP(E1118,Category!$D$2:$E$600,2,FALSE),"")</f>
        <v/>
      </c>
      <c r="G1118" s="45"/>
      <c r="H1118" s="73"/>
      <c r="I1118" s="18" t="str">
        <f t="shared" si="70"/>
        <v/>
      </c>
      <c r="J1118" s="45"/>
      <c r="K1118" s="45"/>
    </row>
    <row r="1119" spans="1:11">
      <c r="A1119" s="17" t="str">
        <f t="shared" si="71"/>
        <v/>
      </c>
      <c r="B1119" s="53"/>
      <c r="C1119" s="11" t="str">
        <f t="shared" si="68"/>
        <v/>
      </c>
      <c r="D1119" s="11" t="str">
        <f t="shared" si="69"/>
        <v/>
      </c>
      <c r="E1119" s="45"/>
      <c r="F1119" s="11" t="str">
        <f>IFERROR(VLOOKUP(E1119,Category!$D$2:$E$600,2,FALSE),"")</f>
        <v/>
      </c>
      <c r="G1119" s="45"/>
      <c r="H1119" s="73"/>
      <c r="I1119" s="18" t="str">
        <f t="shared" si="70"/>
        <v/>
      </c>
      <c r="J1119" s="45"/>
      <c r="K1119" s="45"/>
    </row>
    <row r="1120" spans="1:11">
      <c r="A1120" s="17" t="str">
        <f t="shared" si="71"/>
        <v/>
      </c>
      <c r="B1120" s="53"/>
      <c r="C1120" s="11" t="str">
        <f t="shared" si="68"/>
        <v/>
      </c>
      <c r="D1120" s="11" t="str">
        <f t="shared" si="69"/>
        <v/>
      </c>
      <c r="E1120" s="45"/>
      <c r="F1120" s="11" t="str">
        <f>IFERROR(VLOOKUP(E1120,Category!$D$2:$E$600,2,FALSE),"")</f>
        <v/>
      </c>
      <c r="G1120" s="45"/>
      <c r="H1120" s="73"/>
      <c r="I1120" s="18" t="str">
        <f t="shared" si="70"/>
        <v/>
      </c>
      <c r="J1120" s="45"/>
      <c r="K1120" s="45"/>
    </row>
    <row r="1121" spans="1:11">
      <c r="A1121" s="17" t="str">
        <f t="shared" si="71"/>
        <v/>
      </c>
      <c r="B1121" s="53"/>
      <c r="C1121" s="11" t="str">
        <f t="shared" si="68"/>
        <v/>
      </c>
      <c r="D1121" s="11" t="str">
        <f t="shared" si="69"/>
        <v/>
      </c>
      <c r="E1121" s="45"/>
      <c r="F1121" s="11" t="str">
        <f>IFERROR(VLOOKUP(E1121,Category!$D$2:$E$600,2,FALSE),"")</f>
        <v/>
      </c>
      <c r="G1121" s="45"/>
      <c r="H1121" s="73"/>
      <c r="I1121" s="18" t="str">
        <f t="shared" si="70"/>
        <v/>
      </c>
      <c r="J1121" s="45"/>
      <c r="K1121" s="45"/>
    </row>
    <row r="1122" spans="1:11">
      <c r="A1122" s="17" t="str">
        <f t="shared" si="71"/>
        <v/>
      </c>
      <c r="B1122" s="53"/>
      <c r="C1122" s="11" t="str">
        <f t="shared" si="68"/>
        <v/>
      </c>
      <c r="D1122" s="11" t="str">
        <f t="shared" si="69"/>
        <v/>
      </c>
      <c r="E1122" s="45"/>
      <c r="F1122" s="11" t="str">
        <f>IFERROR(VLOOKUP(E1122,Category!$D$2:$E$600,2,FALSE),"")</f>
        <v/>
      </c>
      <c r="G1122" s="45"/>
      <c r="H1122" s="73"/>
      <c r="I1122" s="18" t="str">
        <f t="shared" si="70"/>
        <v/>
      </c>
      <c r="J1122" s="45"/>
      <c r="K1122" s="45"/>
    </row>
    <row r="1123" spans="1:11">
      <c r="A1123" s="17" t="str">
        <f t="shared" si="71"/>
        <v/>
      </c>
      <c r="B1123" s="53"/>
      <c r="C1123" s="11" t="str">
        <f t="shared" si="68"/>
        <v/>
      </c>
      <c r="D1123" s="11" t="str">
        <f t="shared" si="69"/>
        <v/>
      </c>
      <c r="E1123" s="45"/>
      <c r="F1123" s="11" t="str">
        <f>IFERROR(VLOOKUP(E1123,Category!$D$2:$E$600,2,FALSE),"")</f>
        <v/>
      </c>
      <c r="G1123" s="45"/>
      <c r="H1123" s="73"/>
      <c r="I1123" s="18" t="str">
        <f t="shared" si="70"/>
        <v/>
      </c>
      <c r="J1123" s="45"/>
      <c r="K1123" s="45"/>
    </row>
    <row r="1124" spans="1:11">
      <c r="A1124" s="17" t="str">
        <f t="shared" si="71"/>
        <v/>
      </c>
      <c r="B1124" s="53"/>
      <c r="C1124" s="11" t="str">
        <f t="shared" si="68"/>
        <v/>
      </c>
      <c r="D1124" s="11" t="str">
        <f t="shared" si="69"/>
        <v/>
      </c>
      <c r="E1124" s="45"/>
      <c r="F1124" s="11" t="str">
        <f>IFERROR(VLOOKUP(E1124,Category!$D$2:$E$600,2,FALSE),"")</f>
        <v/>
      </c>
      <c r="G1124" s="45"/>
      <c r="H1124" s="73"/>
      <c r="I1124" s="18" t="str">
        <f t="shared" si="70"/>
        <v/>
      </c>
      <c r="J1124" s="45"/>
      <c r="K1124" s="45"/>
    </row>
    <row r="1125" spans="1:11">
      <c r="A1125" s="17" t="str">
        <f t="shared" si="71"/>
        <v/>
      </c>
      <c r="B1125" s="53"/>
      <c r="C1125" s="11" t="str">
        <f t="shared" si="68"/>
        <v/>
      </c>
      <c r="D1125" s="11" t="str">
        <f t="shared" si="69"/>
        <v/>
      </c>
      <c r="E1125" s="45"/>
      <c r="F1125" s="11" t="str">
        <f>IFERROR(VLOOKUP(E1125,Category!$D$2:$E$600,2,FALSE),"")</f>
        <v/>
      </c>
      <c r="G1125" s="45"/>
      <c r="H1125" s="73"/>
      <c r="I1125" s="18" t="str">
        <f t="shared" si="70"/>
        <v/>
      </c>
      <c r="J1125" s="45"/>
      <c r="K1125" s="45"/>
    </row>
    <row r="1126" spans="1:11">
      <c r="A1126" s="17" t="str">
        <f t="shared" si="71"/>
        <v/>
      </c>
      <c r="B1126" s="53"/>
      <c r="C1126" s="11" t="str">
        <f t="shared" si="68"/>
        <v/>
      </c>
      <c r="D1126" s="11" t="str">
        <f t="shared" si="69"/>
        <v/>
      </c>
      <c r="E1126" s="45"/>
      <c r="F1126" s="11" t="str">
        <f>IFERROR(VLOOKUP(E1126,Category!$D$2:$E$600,2,FALSE),"")</f>
        <v/>
      </c>
      <c r="G1126" s="45"/>
      <c r="H1126" s="73"/>
      <c r="I1126" s="18" t="str">
        <f t="shared" si="70"/>
        <v/>
      </c>
      <c r="J1126" s="45"/>
      <c r="K1126" s="45"/>
    </row>
    <row r="1127" spans="1:11">
      <c r="A1127" s="17" t="str">
        <f t="shared" si="71"/>
        <v/>
      </c>
      <c r="B1127" s="53"/>
      <c r="C1127" s="11" t="str">
        <f t="shared" si="68"/>
        <v/>
      </c>
      <c r="D1127" s="11" t="str">
        <f t="shared" si="69"/>
        <v/>
      </c>
      <c r="E1127" s="45"/>
      <c r="F1127" s="11" t="str">
        <f>IFERROR(VLOOKUP(E1127,Category!$D$2:$E$600,2,FALSE),"")</f>
        <v/>
      </c>
      <c r="G1127" s="45"/>
      <c r="H1127" s="73"/>
      <c r="I1127" s="18" t="str">
        <f t="shared" si="70"/>
        <v/>
      </c>
      <c r="J1127" s="45"/>
      <c r="K1127" s="45"/>
    </row>
    <row r="1128" spans="1:11">
      <c r="A1128" s="17" t="str">
        <f t="shared" si="71"/>
        <v/>
      </c>
      <c r="B1128" s="53"/>
      <c r="C1128" s="11" t="str">
        <f t="shared" si="68"/>
        <v/>
      </c>
      <c r="D1128" s="11" t="str">
        <f t="shared" si="69"/>
        <v/>
      </c>
      <c r="E1128" s="45"/>
      <c r="F1128" s="11" t="str">
        <f>IFERROR(VLOOKUP(E1128,Category!$D$2:$E$600,2,FALSE),"")</f>
        <v/>
      </c>
      <c r="G1128" s="45"/>
      <c r="H1128" s="73"/>
      <c r="I1128" s="18" t="str">
        <f t="shared" si="70"/>
        <v/>
      </c>
      <c r="J1128" s="45"/>
      <c r="K1128" s="45"/>
    </row>
    <row r="1129" spans="1:11">
      <c r="A1129" s="17" t="str">
        <f t="shared" si="71"/>
        <v/>
      </c>
      <c r="B1129" s="53"/>
      <c r="C1129" s="11" t="str">
        <f t="shared" si="68"/>
        <v/>
      </c>
      <c r="D1129" s="11" t="str">
        <f t="shared" si="69"/>
        <v/>
      </c>
      <c r="E1129" s="45"/>
      <c r="F1129" s="11" t="str">
        <f>IFERROR(VLOOKUP(E1129,Category!$D$2:$E$600,2,FALSE),"")</f>
        <v/>
      </c>
      <c r="G1129" s="45"/>
      <c r="H1129" s="73"/>
      <c r="I1129" s="18" t="str">
        <f t="shared" si="70"/>
        <v/>
      </c>
      <c r="J1129" s="45"/>
      <c r="K1129" s="45"/>
    </row>
    <row r="1130" spans="1:11">
      <c r="A1130" s="17" t="str">
        <f t="shared" si="71"/>
        <v/>
      </c>
      <c r="B1130" s="53"/>
      <c r="C1130" s="11" t="str">
        <f t="shared" si="68"/>
        <v/>
      </c>
      <c r="D1130" s="11" t="str">
        <f t="shared" si="69"/>
        <v/>
      </c>
      <c r="E1130" s="45"/>
      <c r="F1130" s="11" t="str">
        <f>IFERROR(VLOOKUP(E1130,Category!$D$2:$E$600,2,FALSE),"")</f>
        <v/>
      </c>
      <c r="G1130" s="45"/>
      <c r="H1130" s="73"/>
      <c r="I1130" s="18" t="str">
        <f t="shared" si="70"/>
        <v/>
      </c>
      <c r="J1130" s="45"/>
      <c r="K1130" s="45"/>
    </row>
    <row r="1131" spans="1:11">
      <c r="A1131" s="17" t="str">
        <f t="shared" si="71"/>
        <v/>
      </c>
      <c r="B1131" s="53"/>
      <c r="C1131" s="11" t="str">
        <f t="shared" si="68"/>
        <v/>
      </c>
      <c r="D1131" s="11" t="str">
        <f t="shared" si="69"/>
        <v/>
      </c>
      <c r="E1131" s="45"/>
      <c r="F1131" s="11" t="str">
        <f>IFERROR(VLOOKUP(E1131,Category!$D$2:$E$600,2,FALSE),"")</f>
        <v/>
      </c>
      <c r="G1131" s="45"/>
      <c r="H1131" s="73"/>
      <c r="I1131" s="18" t="str">
        <f t="shared" si="70"/>
        <v/>
      </c>
      <c r="J1131" s="45"/>
      <c r="K1131" s="45"/>
    </row>
    <row r="1132" spans="1:11">
      <c r="A1132" s="17" t="str">
        <f t="shared" si="71"/>
        <v/>
      </c>
      <c r="B1132" s="53"/>
      <c r="C1132" s="11" t="str">
        <f t="shared" si="68"/>
        <v/>
      </c>
      <c r="D1132" s="11" t="str">
        <f t="shared" si="69"/>
        <v/>
      </c>
      <c r="E1132" s="45"/>
      <c r="F1132" s="11" t="str">
        <f>IFERROR(VLOOKUP(E1132,Category!$D$2:$E$600,2,FALSE),"")</f>
        <v/>
      </c>
      <c r="G1132" s="45"/>
      <c r="H1132" s="73"/>
      <c r="I1132" s="18" t="str">
        <f t="shared" si="70"/>
        <v/>
      </c>
      <c r="J1132" s="45"/>
      <c r="K1132" s="45"/>
    </row>
    <row r="1133" spans="1:11">
      <c r="A1133" s="17" t="str">
        <f t="shared" si="71"/>
        <v/>
      </c>
      <c r="B1133" s="53"/>
      <c r="C1133" s="11" t="str">
        <f t="shared" si="68"/>
        <v/>
      </c>
      <c r="D1133" s="11" t="str">
        <f t="shared" si="69"/>
        <v/>
      </c>
      <c r="E1133" s="45"/>
      <c r="F1133" s="11" t="str">
        <f>IFERROR(VLOOKUP(E1133,Category!$D$2:$E$600,2,FALSE),"")</f>
        <v/>
      </c>
      <c r="G1133" s="45"/>
      <c r="H1133" s="73"/>
      <c r="I1133" s="18" t="str">
        <f t="shared" si="70"/>
        <v/>
      </c>
      <c r="J1133" s="45"/>
      <c r="K1133" s="45"/>
    </row>
    <row r="1134" spans="1:11">
      <c r="A1134" s="17" t="str">
        <f t="shared" si="71"/>
        <v/>
      </c>
      <c r="B1134" s="53"/>
      <c r="C1134" s="11" t="str">
        <f t="shared" si="68"/>
        <v/>
      </c>
      <c r="D1134" s="11" t="str">
        <f t="shared" si="69"/>
        <v/>
      </c>
      <c r="E1134" s="45"/>
      <c r="F1134" s="11" t="str">
        <f>IFERROR(VLOOKUP(E1134,Category!$D$2:$E$600,2,FALSE),"")</f>
        <v/>
      </c>
      <c r="G1134" s="45"/>
      <c r="H1134" s="73"/>
      <c r="I1134" s="18" t="str">
        <f t="shared" si="70"/>
        <v/>
      </c>
      <c r="J1134" s="45"/>
      <c r="K1134" s="45"/>
    </row>
    <row r="1135" spans="1:11">
      <c r="A1135" s="17" t="str">
        <f t="shared" si="71"/>
        <v/>
      </c>
      <c r="B1135" s="53"/>
      <c r="C1135" s="11" t="str">
        <f t="shared" si="68"/>
        <v/>
      </c>
      <c r="D1135" s="11" t="str">
        <f t="shared" si="69"/>
        <v/>
      </c>
      <c r="E1135" s="45"/>
      <c r="F1135" s="11" t="str">
        <f>IFERROR(VLOOKUP(E1135,Category!$D$2:$E$600,2,FALSE),"")</f>
        <v/>
      </c>
      <c r="G1135" s="45"/>
      <c r="H1135" s="73"/>
      <c r="I1135" s="18" t="str">
        <f t="shared" si="70"/>
        <v/>
      </c>
      <c r="J1135" s="45"/>
      <c r="K1135" s="45"/>
    </row>
    <row r="1136" spans="1:11">
      <c r="A1136" s="17" t="str">
        <f t="shared" si="71"/>
        <v/>
      </c>
      <c r="B1136" s="53"/>
      <c r="C1136" s="11" t="str">
        <f t="shared" si="68"/>
        <v/>
      </c>
      <c r="D1136" s="11" t="str">
        <f t="shared" si="69"/>
        <v/>
      </c>
      <c r="E1136" s="45"/>
      <c r="F1136" s="11" t="str">
        <f>IFERROR(VLOOKUP(E1136,Category!$D$2:$E$600,2,FALSE),"")</f>
        <v/>
      </c>
      <c r="G1136" s="45"/>
      <c r="H1136" s="73"/>
      <c r="I1136" s="18" t="str">
        <f t="shared" si="70"/>
        <v/>
      </c>
      <c r="J1136" s="45"/>
      <c r="K1136" s="45"/>
    </row>
    <row r="1137" spans="1:11">
      <c r="A1137" s="17" t="str">
        <f t="shared" si="71"/>
        <v/>
      </c>
      <c r="B1137" s="53"/>
      <c r="C1137" s="11" t="str">
        <f t="shared" si="68"/>
        <v/>
      </c>
      <c r="D1137" s="11" t="str">
        <f t="shared" si="69"/>
        <v/>
      </c>
      <c r="E1137" s="45"/>
      <c r="F1137" s="11" t="str">
        <f>IFERROR(VLOOKUP(E1137,Category!$D$2:$E$600,2,FALSE),"")</f>
        <v/>
      </c>
      <c r="G1137" s="45"/>
      <c r="H1137" s="73"/>
      <c r="I1137" s="18" t="str">
        <f t="shared" si="70"/>
        <v/>
      </c>
      <c r="J1137" s="45"/>
      <c r="K1137" s="45"/>
    </row>
    <row r="1138" spans="1:11">
      <c r="A1138" s="17" t="str">
        <f t="shared" si="71"/>
        <v/>
      </c>
      <c r="B1138" s="53"/>
      <c r="C1138" s="11" t="str">
        <f t="shared" si="68"/>
        <v/>
      </c>
      <c r="D1138" s="11" t="str">
        <f t="shared" si="69"/>
        <v/>
      </c>
      <c r="E1138" s="45"/>
      <c r="F1138" s="11" t="str">
        <f>IFERROR(VLOOKUP(E1138,Category!$D$2:$E$600,2,FALSE),"")</f>
        <v/>
      </c>
      <c r="G1138" s="45"/>
      <c r="H1138" s="73"/>
      <c r="I1138" s="18" t="str">
        <f t="shared" si="70"/>
        <v/>
      </c>
      <c r="J1138" s="45"/>
      <c r="K1138" s="45"/>
    </row>
    <row r="1139" spans="1:11">
      <c r="A1139" s="17" t="str">
        <f t="shared" si="71"/>
        <v/>
      </c>
      <c r="B1139" s="53"/>
      <c r="C1139" s="11" t="str">
        <f t="shared" si="68"/>
        <v/>
      </c>
      <c r="D1139" s="11" t="str">
        <f t="shared" si="69"/>
        <v/>
      </c>
      <c r="E1139" s="45"/>
      <c r="F1139" s="11" t="str">
        <f>IFERROR(VLOOKUP(E1139,Category!$D$2:$E$600,2,FALSE),"")</f>
        <v/>
      </c>
      <c r="G1139" s="45"/>
      <c r="H1139" s="73"/>
      <c r="I1139" s="18" t="str">
        <f t="shared" si="70"/>
        <v/>
      </c>
      <c r="J1139" s="45"/>
      <c r="K1139" s="45"/>
    </row>
    <row r="1140" spans="1:11">
      <c r="A1140" s="17" t="str">
        <f t="shared" si="71"/>
        <v/>
      </c>
      <c r="B1140" s="53"/>
      <c r="C1140" s="11" t="str">
        <f t="shared" si="68"/>
        <v/>
      </c>
      <c r="D1140" s="11" t="str">
        <f t="shared" si="69"/>
        <v/>
      </c>
      <c r="E1140" s="45"/>
      <c r="F1140" s="11" t="str">
        <f>IFERROR(VLOOKUP(E1140,Category!$D$2:$E$600,2,FALSE),"")</f>
        <v/>
      </c>
      <c r="G1140" s="45"/>
      <c r="H1140" s="73"/>
      <c r="I1140" s="18" t="str">
        <f t="shared" si="70"/>
        <v/>
      </c>
      <c r="J1140" s="45"/>
      <c r="K1140" s="45"/>
    </row>
    <row r="1141" spans="1:11">
      <c r="A1141" s="17" t="str">
        <f t="shared" si="71"/>
        <v/>
      </c>
      <c r="B1141" s="53"/>
      <c r="C1141" s="11" t="str">
        <f t="shared" si="68"/>
        <v/>
      </c>
      <c r="D1141" s="11" t="str">
        <f t="shared" si="69"/>
        <v/>
      </c>
      <c r="E1141" s="45"/>
      <c r="F1141" s="11" t="str">
        <f>IFERROR(VLOOKUP(E1141,Category!$D$2:$E$600,2,FALSE),"")</f>
        <v/>
      </c>
      <c r="G1141" s="45"/>
      <c r="H1141" s="73"/>
      <c r="I1141" s="18" t="str">
        <f t="shared" si="70"/>
        <v/>
      </c>
      <c r="J1141" s="45"/>
      <c r="K1141" s="45"/>
    </row>
    <row r="1142" spans="1:11">
      <c r="A1142" s="17" t="str">
        <f t="shared" si="71"/>
        <v/>
      </c>
      <c r="B1142" s="53"/>
      <c r="C1142" s="11" t="str">
        <f t="shared" si="68"/>
        <v/>
      </c>
      <c r="D1142" s="11" t="str">
        <f t="shared" si="69"/>
        <v/>
      </c>
      <c r="E1142" s="45"/>
      <c r="F1142" s="11" t="str">
        <f>IFERROR(VLOOKUP(E1142,Category!$D$2:$E$600,2,FALSE),"")</f>
        <v/>
      </c>
      <c r="G1142" s="45"/>
      <c r="H1142" s="73"/>
      <c r="I1142" s="18" t="str">
        <f t="shared" si="70"/>
        <v/>
      </c>
      <c r="J1142" s="45"/>
      <c r="K1142" s="45"/>
    </row>
    <row r="1143" spans="1:11">
      <c r="A1143" s="17" t="str">
        <f t="shared" si="71"/>
        <v/>
      </c>
      <c r="B1143" s="53"/>
      <c r="C1143" s="11" t="str">
        <f t="shared" si="68"/>
        <v/>
      </c>
      <c r="D1143" s="11" t="str">
        <f t="shared" si="69"/>
        <v/>
      </c>
      <c r="E1143" s="45"/>
      <c r="F1143" s="11" t="str">
        <f>IFERROR(VLOOKUP(E1143,Category!$D$2:$E$600,2,FALSE),"")</f>
        <v/>
      </c>
      <c r="G1143" s="45"/>
      <c r="H1143" s="73"/>
      <c r="I1143" s="18" t="str">
        <f t="shared" si="70"/>
        <v/>
      </c>
      <c r="J1143" s="45"/>
      <c r="K1143" s="45"/>
    </row>
    <row r="1144" spans="1:11">
      <c r="A1144" s="17" t="str">
        <f t="shared" si="71"/>
        <v/>
      </c>
      <c r="B1144" s="53"/>
      <c r="C1144" s="11" t="str">
        <f t="shared" si="68"/>
        <v/>
      </c>
      <c r="D1144" s="11" t="str">
        <f t="shared" si="69"/>
        <v/>
      </c>
      <c r="E1144" s="45"/>
      <c r="F1144" s="11" t="str">
        <f>IFERROR(VLOOKUP(E1144,Category!$D$2:$E$600,2,FALSE),"")</f>
        <v/>
      </c>
      <c r="G1144" s="45"/>
      <c r="H1144" s="73"/>
      <c r="I1144" s="18" t="str">
        <f t="shared" si="70"/>
        <v/>
      </c>
      <c r="J1144" s="45"/>
      <c r="K1144" s="45"/>
    </row>
    <row r="1145" spans="1:11">
      <c r="A1145" s="17" t="str">
        <f t="shared" si="71"/>
        <v/>
      </c>
      <c r="B1145" s="53"/>
      <c r="C1145" s="11" t="str">
        <f t="shared" si="68"/>
        <v/>
      </c>
      <c r="D1145" s="11" t="str">
        <f t="shared" si="69"/>
        <v/>
      </c>
      <c r="E1145" s="45"/>
      <c r="F1145" s="11" t="str">
        <f>IFERROR(VLOOKUP(E1145,Category!$D$2:$E$600,2,FALSE),"")</f>
        <v/>
      </c>
      <c r="G1145" s="45"/>
      <c r="H1145" s="73"/>
      <c r="I1145" s="18" t="str">
        <f t="shared" si="70"/>
        <v/>
      </c>
      <c r="J1145" s="45"/>
      <c r="K1145" s="45"/>
    </row>
    <row r="1146" spans="1:11">
      <c r="A1146" s="17" t="str">
        <f t="shared" si="71"/>
        <v/>
      </c>
      <c r="B1146" s="53"/>
      <c r="C1146" s="11" t="str">
        <f t="shared" si="68"/>
        <v/>
      </c>
      <c r="D1146" s="11" t="str">
        <f t="shared" si="69"/>
        <v/>
      </c>
      <c r="E1146" s="45"/>
      <c r="F1146" s="11" t="str">
        <f>IFERROR(VLOOKUP(E1146,Category!$D$2:$E$600,2,FALSE),"")</f>
        <v/>
      </c>
      <c r="G1146" s="45"/>
      <c r="H1146" s="73"/>
      <c r="I1146" s="18" t="str">
        <f t="shared" si="70"/>
        <v/>
      </c>
      <c r="J1146" s="45"/>
      <c r="K1146" s="45"/>
    </row>
    <row r="1147" spans="1:11">
      <c r="A1147" s="17" t="str">
        <f t="shared" si="71"/>
        <v/>
      </c>
      <c r="B1147" s="53"/>
      <c r="C1147" s="11" t="str">
        <f t="shared" si="68"/>
        <v/>
      </c>
      <c r="D1147" s="11" t="str">
        <f t="shared" si="69"/>
        <v/>
      </c>
      <c r="E1147" s="45"/>
      <c r="F1147" s="11" t="str">
        <f>IFERROR(VLOOKUP(E1147,Category!$D$2:$E$600,2,FALSE),"")</f>
        <v/>
      </c>
      <c r="G1147" s="45"/>
      <c r="H1147" s="73"/>
      <c r="I1147" s="18" t="str">
        <f t="shared" si="70"/>
        <v/>
      </c>
      <c r="J1147" s="45"/>
      <c r="K1147" s="45"/>
    </row>
    <row r="1148" spans="1:11">
      <c r="A1148" s="17" t="str">
        <f t="shared" si="71"/>
        <v/>
      </c>
      <c r="B1148" s="53"/>
      <c r="C1148" s="11" t="str">
        <f t="shared" si="68"/>
        <v/>
      </c>
      <c r="D1148" s="11" t="str">
        <f t="shared" si="69"/>
        <v/>
      </c>
      <c r="E1148" s="45"/>
      <c r="F1148" s="11" t="str">
        <f>IFERROR(VLOOKUP(E1148,Category!$D$2:$E$600,2,FALSE),"")</f>
        <v/>
      </c>
      <c r="G1148" s="45"/>
      <c r="H1148" s="73"/>
      <c r="I1148" s="18" t="str">
        <f t="shared" si="70"/>
        <v/>
      </c>
      <c r="J1148" s="45"/>
      <c r="K1148" s="45"/>
    </row>
    <row r="1149" spans="1:11">
      <c r="A1149" s="17" t="str">
        <f t="shared" si="71"/>
        <v/>
      </c>
      <c r="B1149" s="53"/>
      <c r="C1149" s="11" t="str">
        <f t="shared" si="68"/>
        <v/>
      </c>
      <c r="D1149" s="11" t="str">
        <f t="shared" si="69"/>
        <v/>
      </c>
      <c r="E1149" s="45"/>
      <c r="F1149" s="11" t="str">
        <f>IFERROR(VLOOKUP(E1149,Category!$D$2:$E$600,2,FALSE),"")</f>
        <v/>
      </c>
      <c r="G1149" s="45"/>
      <c r="H1149" s="73"/>
      <c r="I1149" s="18" t="str">
        <f t="shared" si="70"/>
        <v/>
      </c>
      <c r="J1149" s="45"/>
      <c r="K1149" s="45"/>
    </row>
    <row r="1150" spans="1:11">
      <c r="A1150" s="17" t="str">
        <f t="shared" si="71"/>
        <v/>
      </c>
      <c r="B1150" s="53"/>
      <c r="C1150" s="11" t="str">
        <f t="shared" si="68"/>
        <v/>
      </c>
      <c r="D1150" s="11" t="str">
        <f t="shared" si="69"/>
        <v/>
      </c>
      <c r="E1150" s="45"/>
      <c r="F1150" s="11" t="str">
        <f>IFERROR(VLOOKUP(E1150,Category!$D$2:$E$600,2,FALSE),"")</f>
        <v/>
      </c>
      <c r="G1150" s="45"/>
      <c r="H1150" s="73"/>
      <c r="I1150" s="18" t="str">
        <f t="shared" si="70"/>
        <v/>
      </c>
      <c r="J1150" s="45"/>
      <c r="K1150" s="45"/>
    </row>
    <row r="1151" spans="1:11">
      <c r="A1151" s="17" t="str">
        <f t="shared" si="71"/>
        <v/>
      </c>
      <c r="B1151" s="53"/>
      <c r="C1151" s="11" t="str">
        <f t="shared" si="68"/>
        <v/>
      </c>
      <c r="D1151" s="11" t="str">
        <f t="shared" si="69"/>
        <v/>
      </c>
      <c r="E1151" s="45"/>
      <c r="F1151" s="11" t="str">
        <f>IFERROR(VLOOKUP(E1151,Category!$D$2:$E$600,2,FALSE),"")</f>
        <v/>
      </c>
      <c r="G1151" s="45"/>
      <c r="H1151" s="73"/>
      <c r="I1151" s="18" t="str">
        <f t="shared" si="70"/>
        <v/>
      </c>
      <c r="J1151" s="45"/>
      <c r="K1151" s="45"/>
    </row>
    <row r="1152" spans="1:11">
      <c r="A1152" s="17" t="str">
        <f t="shared" si="71"/>
        <v/>
      </c>
      <c r="B1152" s="53"/>
      <c r="C1152" s="11" t="str">
        <f t="shared" si="68"/>
        <v/>
      </c>
      <c r="D1152" s="11" t="str">
        <f t="shared" si="69"/>
        <v/>
      </c>
      <c r="E1152" s="45"/>
      <c r="F1152" s="11" t="str">
        <f>IFERROR(VLOOKUP(E1152,Category!$D$2:$E$600,2,FALSE),"")</f>
        <v/>
      </c>
      <c r="G1152" s="45"/>
      <c r="H1152" s="73"/>
      <c r="I1152" s="18" t="str">
        <f t="shared" si="70"/>
        <v/>
      </c>
      <c r="J1152" s="45"/>
      <c r="K1152" s="45"/>
    </row>
    <row r="1153" spans="1:11">
      <c r="A1153" s="17" t="str">
        <f t="shared" si="71"/>
        <v/>
      </c>
      <c r="B1153" s="53"/>
      <c r="C1153" s="11" t="str">
        <f t="shared" si="68"/>
        <v/>
      </c>
      <c r="D1153" s="11" t="str">
        <f t="shared" si="69"/>
        <v/>
      </c>
      <c r="E1153" s="45"/>
      <c r="F1153" s="11" t="str">
        <f>IFERROR(VLOOKUP(E1153,Category!$D$2:$E$600,2,FALSE),"")</f>
        <v/>
      </c>
      <c r="G1153" s="45"/>
      <c r="H1153" s="73"/>
      <c r="I1153" s="18" t="str">
        <f t="shared" si="70"/>
        <v/>
      </c>
      <c r="J1153" s="45"/>
      <c r="K1153" s="45"/>
    </row>
    <row r="1154" spans="1:11">
      <c r="A1154" s="17" t="str">
        <f t="shared" si="71"/>
        <v/>
      </c>
      <c r="B1154" s="53"/>
      <c r="C1154" s="11" t="str">
        <f t="shared" si="68"/>
        <v/>
      </c>
      <c r="D1154" s="11" t="str">
        <f t="shared" si="69"/>
        <v/>
      </c>
      <c r="E1154" s="45"/>
      <c r="F1154" s="11" t="str">
        <f>IFERROR(VLOOKUP(E1154,Category!$D$2:$E$600,2,FALSE),"")</f>
        <v/>
      </c>
      <c r="G1154" s="45"/>
      <c r="H1154" s="73"/>
      <c r="I1154" s="18" t="str">
        <f t="shared" si="70"/>
        <v/>
      </c>
      <c r="J1154" s="45"/>
      <c r="K1154" s="45"/>
    </row>
    <row r="1155" spans="1:11">
      <c r="A1155" s="17" t="str">
        <f t="shared" si="71"/>
        <v/>
      </c>
      <c r="B1155" s="53"/>
      <c r="C1155" s="11" t="str">
        <f t="shared" ref="C1155:C1218" si="72">IF(B1155=0,"",TEXT(B1155,"mmmm"))</f>
        <v/>
      </c>
      <c r="D1155" s="11" t="str">
        <f t="shared" ref="D1155:D1218" si="73">IF(B1155=0,"",TEXT(B1155,"yyyy"))</f>
        <v/>
      </c>
      <c r="E1155" s="45"/>
      <c r="F1155" s="11" t="str">
        <f>IFERROR(VLOOKUP(E1155,Category!$D$2:$E$600,2,FALSE),"")</f>
        <v/>
      </c>
      <c r="G1155" s="45"/>
      <c r="H1155" s="73"/>
      <c r="I1155" s="18" t="str">
        <f t="shared" ref="I1155:I1218" si="74">IF(G1155*H1155=0,"",G1155*H1155)</f>
        <v/>
      </c>
      <c r="J1155" s="45"/>
      <c r="K1155" s="45"/>
    </row>
    <row r="1156" spans="1:11">
      <c r="A1156" s="17" t="str">
        <f t="shared" ref="A1156:A1219" si="75">IF(E1156&gt;0,A1155+1,"")</f>
        <v/>
      </c>
      <c r="B1156" s="53"/>
      <c r="C1156" s="11" t="str">
        <f t="shared" si="72"/>
        <v/>
      </c>
      <c r="D1156" s="11" t="str">
        <f t="shared" si="73"/>
        <v/>
      </c>
      <c r="E1156" s="45"/>
      <c r="F1156" s="11" t="str">
        <f>IFERROR(VLOOKUP(E1156,Category!$D$2:$E$600,2,FALSE),"")</f>
        <v/>
      </c>
      <c r="G1156" s="45"/>
      <c r="H1156" s="73"/>
      <c r="I1156" s="18" t="str">
        <f t="shared" si="74"/>
        <v/>
      </c>
      <c r="J1156" s="45"/>
      <c r="K1156" s="45"/>
    </row>
    <row r="1157" spans="1:11">
      <c r="A1157" s="17" t="str">
        <f t="shared" si="75"/>
        <v/>
      </c>
      <c r="B1157" s="53"/>
      <c r="C1157" s="11" t="str">
        <f t="shared" si="72"/>
        <v/>
      </c>
      <c r="D1157" s="11" t="str">
        <f t="shared" si="73"/>
        <v/>
      </c>
      <c r="E1157" s="45"/>
      <c r="F1157" s="11" t="str">
        <f>IFERROR(VLOOKUP(E1157,Category!$D$2:$E$600,2,FALSE),"")</f>
        <v/>
      </c>
      <c r="G1157" s="45"/>
      <c r="H1157" s="73"/>
      <c r="I1157" s="18" t="str">
        <f t="shared" si="74"/>
        <v/>
      </c>
      <c r="J1157" s="45"/>
      <c r="K1157" s="45"/>
    </row>
    <row r="1158" spans="1:11">
      <c r="A1158" s="17" t="str">
        <f t="shared" si="75"/>
        <v/>
      </c>
      <c r="B1158" s="53"/>
      <c r="C1158" s="11" t="str">
        <f t="shared" si="72"/>
        <v/>
      </c>
      <c r="D1158" s="11" t="str">
        <f t="shared" si="73"/>
        <v/>
      </c>
      <c r="E1158" s="45"/>
      <c r="F1158" s="11" t="str">
        <f>IFERROR(VLOOKUP(E1158,Category!$D$2:$E$600,2,FALSE),"")</f>
        <v/>
      </c>
      <c r="G1158" s="45"/>
      <c r="H1158" s="73"/>
      <c r="I1158" s="18" t="str">
        <f t="shared" si="74"/>
        <v/>
      </c>
      <c r="J1158" s="45"/>
      <c r="K1158" s="45"/>
    </row>
    <row r="1159" spans="1:11">
      <c r="A1159" s="17" t="str">
        <f t="shared" si="75"/>
        <v/>
      </c>
      <c r="B1159" s="53"/>
      <c r="C1159" s="11" t="str">
        <f t="shared" si="72"/>
        <v/>
      </c>
      <c r="D1159" s="11" t="str">
        <f t="shared" si="73"/>
        <v/>
      </c>
      <c r="E1159" s="45"/>
      <c r="F1159" s="11" t="str">
        <f>IFERROR(VLOOKUP(E1159,Category!$D$2:$E$600,2,FALSE),"")</f>
        <v/>
      </c>
      <c r="G1159" s="45"/>
      <c r="H1159" s="73"/>
      <c r="I1159" s="18" t="str">
        <f t="shared" si="74"/>
        <v/>
      </c>
      <c r="J1159" s="45"/>
      <c r="K1159" s="45"/>
    </row>
    <row r="1160" spans="1:11">
      <c r="A1160" s="17" t="str">
        <f t="shared" si="75"/>
        <v/>
      </c>
      <c r="B1160" s="53"/>
      <c r="C1160" s="11" t="str">
        <f t="shared" si="72"/>
        <v/>
      </c>
      <c r="D1160" s="11" t="str">
        <f t="shared" si="73"/>
        <v/>
      </c>
      <c r="E1160" s="45"/>
      <c r="F1160" s="11" t="str">
        <f>IFERROR(VLOOKUP(E1160,Category!$D$2:$E$600,2,FALSE),"")</f>
        <v/>
      </c>
      <c r="G1160" s="45"/>
      <c r="H1160" s="73"/>
      <c r="I1160" s="18" t="str">
        <f t="shared" si="74"/>
        <v/>
      </c>
      <c r="J1160" s="45"/>
      <c r="K1160" s="45"/>
    </row>
    <row r="1161" spans="1:11">
      <c r="A1161" s="17" t="str">
        <f t="shared" si="75"/>
        <v/>
      </c>
      <c r="B1161" s="53"/>
      <c r="C1161" s="11" t="str">
        <f t="shared" si="72"/>
        <v/>
      </c>
      <c r="D1161" s="11" t="str">
        <f t="shared" si="73"/>
        <v/>
      </c>
      <c r="E1161" s="45"/>
      <c r="F1161" s="11" t="str">
        <f>IFERROR(VLOOKUP(E1161,Category!$D$2:$E$600,2,FALSE),"")</f>
        <v/>
      </c>
      <c r="G1161" s="45"/>
      <c r="H1161" s="73"/>
      <c r="I1161" s="18" t="str">
        <f t="shared" si="74"/>
        <v/>
      </c>
      <c r="J1161" s="45"/>
      <c r="K1161" s="45"/>
    </row>
    <row r="1162" spans="1:11">
      <c r="A1162" s="17" t="str">
        <f t="shared" si="75"/>
        <v/>
      </c>
      <c r="B1162" s="53"/>
      <c r="C1162" s="11" t="str">
        <f t="shared" si="72"/>
        <v/>
      </c>
      <c r="D1162" s="11" t="str">
        <f t="shared" si="73"/>
        <v/>
      </c>
      <c r="E1162" s="45"/>
      <c r="F1162" s="11" t="str">
        <f>IFERROR(VLOOKUP(E1162,Category!$D$2:$E$600,2,FALSE),"")</f>
        <v/>
      </c>
      <c r="G1162" s="45"/>
      <c r="H1162" s="73"/>
      <c r="I1162" s="18" t="str">
        <f t="shared" si="74"/>
        <v/>
      </c>
      <c r="J1162" s="45"/>
      <c r="K1162" s="45"/>
    </row>
    <row r="1163" spans="1:11">
      <c r="A1163" s="17" t="str">
        <f t="shared" si="75"/>
        <v/>
      </c>
      <c r="B1163" s="53"/>
      <c r="C1163" s="11" t="str">
        <f t="shared" si="72"/>
        <v/>
      </c>
      <c r="D1163" s="11" t="str">
        <f t="shared" si="73"/>
        <v/>
      </c>
      <c r="E1163" s="45"/>
      <c r="F1163" s="11" t="str">
        <f>IFERROR(VLOOKUP(E1163,Category!$D$2:$E$600,2,FALSE),"")</f>
        <v/>
      </c>
      <c r="G1163" s="45"/>
      <c r="H1163" s="73"/>
      <c r="I1163" s="18" t="str">
        <f t="shared" si="74"/>
        <v/>
      </c>
      <c r="J1163" s="45"/>
      <c r="K1163" s="45"/>
    </row>
    <row r="1164" spans="1:11">
      <c r="A1164" s="17" t="str">
        <f t="shared" si="75"/>
        <v/>
      </c>
      <c r="B1164" s="53"/>
      <c r="C1164" s="11" t="str">
        <f t="shared" si="72"/>
        <v/>
      </c>
      <c r="D1164" s="11" t="str">
        <f t="shared" si="73"/>
        <v/>
      </c>
      <c r="E1164" s="45"/>
      <c r="F1164" s="11" t="str">
        <f>IFERROR(VLOOKUP(E1164,Category!$D$2:$E$600,2,FALSE),"")</f>
        <v/>
      </c>
      <c r="G1164" s="45"/>
      <c r="H1164" s="73"/>
      <c r="I1164" s="18" t="str">
        <f t="shared" si="74"/>
        <v/>
      </c>
      <c r="J1164" s="45"/>
      <c r="K1164" s="45"/>
    </row>
    <row r="1165" spans="1:11">
      <c r="A1165" s="17" t="str">
        <f t="shared" si="75"/>
        <v/>
      </c>
      <c r="B1165" s="53"/>
      <c r="C1165" s="11" t="str">
        <f t="shared" si="72"/>
        <v/>
      </c>
      <c r="D1165" s="11" t="str">
        <f t="shared" si="73"/>
        <v/>
      </c>
      <c r="E1165" s="45"/>
      <c r="F1165" s="11" t="str">
        <f>IFERROR(VLOOKUP(E1165,Category!$D$2:$E$600,2,FALSE),"")</f>
        <v/>
      </c>
      <c r="G1165" s="45"/>
      <c r="H1165" s="73"/>
      <c r="I1165" s="18" t="str">
        <f t="shared" si="74"/>
        <v/>
      </c>
      <c r="J1165" s="45"/>
      <c r="K1165" s="45"/>
    </row>
    <row r="1166" spans="1:11">
      <c r="A1166" s="17" t="str">
        <f t="shared" si="75"/>
        <v/>
      </c>
      <c r="B1166" s="53"/>
      <c r="C1166" s="11" t="str">
        <f t="shared" si="72"/>
        <v/>
      </c>
      <c r="D1166" s="11" t="str">
        <f t="shared" si="73"/>
        <v/>
      </c>
      <c r="E1166" s="45"/>
      <c r="F1166" s="11" t="str">
        <f>IFERROR(VLOOKUP(E1166,Category!$D$2:$E$600,2,FALSE),"")</f>
        <v/>
      </c>
      <c r="G1166" s="45"/>
      <c r="H1166" s="73"/>
      <c r="I1166" s="18" t="str">
        <f t="shared" si="74"/>
        <v/>
      </c>
      <c r="J1166" s="45"/>
      <c r="K1166" s="45"/>
    </row>
    <row r="1167" spans="1:11">
      <c r="A1167" s="17" t="str">
        <f t="shared" si="75"/>
        <v/>
      </c>
      <c r="B1167" s="53"/>
      <c r="C1167" s="11" t="str">
        <f t="shared" si="72"/>
        <v/>
      </c>
      <c r="D1167" s="11" t="str">
        <f t="shared" si="73"/>
        <v/>
      </c>
      <c r="E1167" s="45"/>
      <c r="F1167" s="11" t="str">
        <f>IFERROR(VLOOKUP(E1167,Category!$D$2:$E$600,2,FALSE),"")</f>
        <v/>
      </c>
      <c r="G1167" s="45"/>
      <c r="H1167" s="73"/>
      <c r="I1167" s="18" t="str">
        <f t="shared" si="74"/>
        <v/>
      </c>
      <c r="J1167" s="45"/>
      <c r="K1167" s="45"/>
    </row>
    <row r="1168" spans="1:11">
      <c r="A1168" s="17" t="str">
        <f t="shared" si="75"/>
        <v/>
      </c>
      <c r="B1168" s="53"/>
      <c r="C1168" s="11" t="str">
        <f t="shared" si="72"/>
        <v/>
      </c>
      <c r="D1168" s="11" t="str">
        <f t="shared" si="73"/>
        <v/>
      </c>
      <c r="E1168" s="45"/>
      <c r="F1168" s="11" t="str">
        <f>IFERROR(VLOOKUP(E1168,Category!$D$2:$E$600,2,FALSE),"")</f>
        <v/>
      </c>
      <c r="G1168" s="45"/>
      <c r="H1168" s="73"/>
      <c r="I1168" s="18" t="str">
        <f t="shared" si="74"/>
        <v/>
      </c>
      <c r="J1168" s="45"/>
      <c r="K1168" s="45"/>
    </row>
    <row r="1169" spans="1:11">
      <c r="A1169" s="17" t="str">
        <f t="shared" si="75"/>
        <v/>
      </c>
      <c r="B1169" s="53"/>
      <c r="C1169" s="11" t="str">
        <f t="shared" si="72"/>
        <v/>
      </c>
      <c r="D1169" s="11" t="str">
        <f t="shared" si="73"/>
        <v/>
      </c>
      <c r="E1169" s="45"/>
      <c r="F1169" s="11" t="str">
        <f>IFERROR(VLOOKUP(E1169,Category!$D$2:$E$600,2,FALSE),"")</f>
        <v/>
      </c>
      <c r="G1169" s="45"/>
      <c r="H1169" s="73"/>
      <c r="I1169" s="18" t="str">
        <f t="shared" si="74"/>
        <v/>
      </c>
      <c r="J1169" s="45"/>
      <c r="K1169" s="45"/>
    </row>
    <row r="1170" spans="1:11">
      <c r="A1170" s="17" t="str">
        <f t="shared" si="75"/>
        <v/>
      </c>
      <c r="B1170" s="53"/>
      <c r="C1170" s="11" t="str">
        <f t="shared" si="72"/>
        <v/>
      </c>
      <c r="D1170" s="11" t="str">
        <f t="shared" si="73"/>
        <v/>
      </c>
      <c r="E1170" s="45"/>
      <c r="F1170" s="11" t="str">
        <f>IFERROR(VLOOKUP(E1170,Category!$D$2:$E$600,2,FALSE),"")</f>
        <v/>
      </c>
      <c r="G1170" s="45"/>
      <c r="H1170" s="73"/>
      <c r="I1170" s="18" t="str">
        <f t="shared" si="74"/>
        <v/>
      </c>
      <c r="J1170" s="45"/>
      <c r="K1170" s="45"/>
    </row>
    <row r="1171" spans="1:11">
      <c r="A1171" s="17" t="str">
        <f t="shared" si="75"/>
        <v/>
      </c>
      <c r="B1171" s="53"/>
      <c r="C1171" s="11" t="str">
        <f t="shared" si="72"/>
        <v/>
      </c>
      <c r="D1171" s="11" t="str">
        <f t="shared" si="73"/>
        <v/>
      </c>
      <c r="E1171" s="45"/>
      <c r="F1171" s="11" t="str">
        <f>IFERROR(VLOOKUP(E1171,Category!$D$2:$E$600,2,FALSE),"")</f>
        <v/>
      </c>
      <c r="G1171" s="45"/>
      <c r="H1171" s="73"/>
      <c r="I1171" s="18" t="str">
        <f t="shared" si="74"/>
        <v/>
      </c>
      <c r="J1171" s="45"/>
      <c r="K1171" s="45"/>
    </row>
    <row r="1172" spans="1:11">
      <c r="A1172" s="17" t="str">
        <f t="shared" si="75"/>
        <v/>
      </c>
      <c r="B1172" s="53"/>
      <c r="C1172" s="11" t="str">
        <f t="shared" si="72"/>
        <v/>
      </c>
      <c r="D1172" s="11" t="str">
        <f t="shared" si="73"/>
        <v/>
      </c>
      <c r="E1172" s="45"/>
      <c r="F1172" s="11" t="str">
        <f>IFERROR(VLOOKUP(E1172,Category!$D$2:$E$600,2,FALSE),"")</f>
        <v/>
      </c>
      <c r="G1172" s="45"/>
      <c r="H1172" s="73"/>
      <c r="I1172" s="18" t="str">
        <f t="shared" si="74"/>
        <v/>
      </c>
      <c r="J1172" s="45"/>
      <c r="K1172" s="45"/>
    </row>
    <row r="1173" spans="1:11">
      <c r="A1173" s="17" t="str">
        <f t="shared" si="75"/>
        <v/>
      </c>
      <c r="B1173" s="53"/>
      <c r="C1173" s="11" t="str">
        <f t="shared" si="72"/>
        <v/>
      </c>
      <c r="D1173" s="11" t="str">
        <f t="shared" si="73"/>
        <v/>
      </c>
      <c r="E1173" s="45"/>
      <c r="F1173" s="11" t="str">
        <f>IFERROR(VLOOKUP(E1173,Category!$D$2:$E$600,2,FALSE),"")</f>
        <v/>
      </c>
      <c r="G1173" s="45"/>
      <c r="H1173" s="73"/>
      <c r="I1173" s="18" t="str">
        <f t="shared" si="74"/>
        <v/>
      </c>
      <c r="J1173" s="45"/>
      <c r="K1173" s="45"/>
    </row>
    <row r="1174" spans="1:11">
      <c r="A1174" s="17" t="str">
        <f t="shared" si="75"/>
        <v/>
      </c>
      <c r="B1174" s="53"/>
      <c r="C1174" s="11" t="str">
        <f t="shared" si="72"/>
        <v/>
      </c>
      <c r="D1174" s="11" t="str">
        <f t="shared" si="73"/>
        <v/>
      </c>
      <c r="E1174" s="45"/>
      <c r="F1174" s="11" t="str">
        <f>IFERROR(VLOOKUP(E1174,Category!$D$2:$E$600,2,FALSE),"")</f>
        <v/>
      </c>
      <c r="G1174" s="45"/>
      <c r="H1174" s="73"/>
      <c r="I1174" s="18" t="str">
        <f t="shared" si="74"/>
        <v/>
      </c>
      <c r="J1174" s="45"/>
      <c r="K1174" s="45"/>
    </row>
    <row r="1175" spans="1:11">
      <c r="A1175" s="17" t="str">
        <f t="shared" si="75"/>
        <v/>
      </c>
      <c r="B1175" s="53"/>
      <c r="C1175" s="11" t="str">
        <f t="shared" si="72"/>
        <v/>
      </c>
      <c r="D1175" s="11" t="str">
        <f t="shared" si="73"/>
        <v/>
      </c>
      <c r="E1175" s="45"/>
      <c r="F1175" s="11" t="str">
        <f>IFERROR(VLOOKUP(E1175,Category!$D$2:$E$600,2,FALSE),"")</f>
        <v/>
      </c>
      <c r="G1175" s="45"/>
      <c r="H1175" s="73"/>
      <c r="I1175" s="18" t="str">
        <f t="shared" si="74"/>
        <v/>
      </c>
      <c r="J1175" s="45"/>
      <c r="K1175" s="45"/>
    </row>
    <row r="1176" spans="1:11">
      <c r="A1176" s="17" t="str">
        <f t="shared" si="75"/>
        <v/>
      </c>
      <c r="B1176" s="53"/>
      <c r="C1176" s="11" t="str">
        <f t="shared" si="72"/>
        <v/>
      </c>
      <c r="D1176" s="11" t="str">
        <f t="shared" si="73"/>
        <v/>
      </c>
      <c r="E1176" s="45"/>
      <c r="F1176" s="11" t="str">
        <f>IFERROR(VLOOKUP(E1176,Category!$D$2:$E$600,2,FALSE),"")</f>
        <v/>
      </c>
      <c r="G1176" s="45"/>
      <c r="H1176" s="73"/>
      <c r="I1176" s="18" t="str">
        <f t="shared" si="74"/>
        <v/>
      </c>
      <c r="J1176" s="45"/>
      <c r="K1176" s="45"/>
    </row>
    <row r="1177" spans="1:11">
      <c r="A1177" s="17" t="str">
        <f t="shared" si="75"/>
        <v/>
      </c>
      <c r="B1177" s="53"/>
      <c r="C1177" s="11" t="str">
        <f t="shared" si="72"/>
        <v/>
      </c>
      <c r="D1177" s="11" t="str">
        <f t="shared" si="73"/>
        <v/>
      </c>
      <c r="E1177" s="45"/>
      <c r="F1177" s="11" t="str">
        <f>IFERROR(VLOOKUP(E1177,Category!$D$2:$E$600,2,FALSE),"")</f>
        <v/>
      </c>
      <c r="G1177" s="45"/>
      <c r="H1177" s="73"/>
      <c r="I1177" s="18" t="str">
        <f t="shared" si="74"/>
        <v/>
      </c>
      <c r="J1177" s="45"/>
      <c r="K1177" s="45"/>
    </row>
    <row r="1178" spans="1:11">
      <c r="A1178" s="17" t="str">
        <f t="shared" si="75"/>
        <v/>
      </c>
      <c r="B1178" s="53"/>
      <c r="C1178" s="11" t="str">
        <f t="shared" si="72"/>
        <v/>
      </c>
      <c r="D1178" s="11" t="str">
        <f t="shared" si="73"/>
        <v/>
      </c>
      <c r="E1178" s="45"/>
      <c r="F1178" s="11" t="str">
        <f>IFERROR(VLOOKUP(E1178,Category!$D$2:$E$600,2,FALSE),"")</f>
        <v/>
      </c>
      <c r="G1178" s="45"/>
      <c r="H1178" s="73"/>
      <c r="I1178" s="18" t="str">
        <f t="shared" si="74"/>
        <v/>
      </c>
      <c r="J1178" s="45"/>
      <c r="K1178" s="45"/>
    </row>
    <row r="1179" spans="1:11">
      <c r="A1179" s="17" t="str">
        <f t="shared" si="75"/>
        <v/>
      </c>
      <c r="B1179" s="53"/>
      <c r="C1179" s="11" t="str">
        <f t="shared" si="72"/>
        <v/>
      </c>
      <c r="D1179" s="11" t="str">
        <f t="shared" si="73"/>
        <v/>
      </c>
      <c r="E1179" s="45"/>
      <c r="F1179" s="11" t="str">
        <f>IFERROR(VLOOKUP(E1179,Category!$D$2:$E$600,2,FALSE),"")</f>
        <v/>
      </c>
      <c r="G1179" s="45"/>
      <c r="H1179" s="73"/>
      <c r="I1179" s="18" t="str">
        <f t="shared" si="74"/>
        <v/>
      </c>
      <c r="J1179" s="45"/>
      <c r="K1179" s="45"/>
    </row>
    <row r="1180" spans="1:11">
      <c r="A1180" s="17" t="str">
        <f t="shared" si="75"/>
        <v/>
      </c>
      <c r="B1180" s="53"/>
      <c r="C1180" s="11" t="str">
        <f t="shared" si="72"/>
        <v/>
      </c>
      <c r="D1180" s="11" t="str">
        <f t="shared" si="73"/>
        <v/>
      </c>
      <c r="E1180" s="45"/>
      <c r="F1180" s="11" t="str">
        <f>IFERROR(VLOOKUP(E1180,Category!$D$2:$E$600,2,FALSE),"")</f>
        <v/>
      </c>
      <c r="G1180" s="45"/>
      <c r="H1180" s="73"/>
      <c r="I1180" s="18" t="str">
        <f t="shared" si="74"/>
        <v/>
      </c>
      <c r="J1180" s="45"/>
      <c r="K1180" s="45"/>
    </row>
    <row r="1181" spans="1:11">
      <c r="A1181" s="17" t="str">
        <f t="shared" si="75"/>
        <v/>
      </c>
      <c r="B1181" s="53"/>
      <c r="C1181" s="11" t="str">
        <f t="shared" si="72"/>
        <v/>
      </c>
      <c r="D1181" s="11" t="str">
        <f t="shared" si="73"/>
        <v/>
      </c>
      <c r="E1181" s="45"/>
      <c r="F1181" s="11" t="str">
        <f>IFERROR(VLOOKUP(E1181,Category!$D$2:$E$600,2,FALSE),"")</f>
        <v/>
      </c>
      <c r="G1181" s="45"/>
      <c r="H1181" s="73"/>
      <c r="I1181" s="18" t="str">
        <f t="shared" si="74"/>
        <v/>
      </c>
      <c r="J1181" s="45"/>
      <c r="K1181" s="45"/>
    </row>
    <row r="1182" spans="1:11">
      <c r="A1182" s="17" t="str">
        <f t="shared" si="75"/>
        <v/>
      </c>
      <c r="B1182" s="53"/>
      <c r="C1182" s="11" t="str">
        <f t="shared" si="72"/>
        <v/>
      </c>
      <c r="D1182" s="11" t="str">
        <f t="shared" si="73"/>
        <v/>
      </c>
      <c r="E1182" s="45"/>
      <c r="F1182" s="11" t="str">
        <f>IFERROR(VLOOKUP(E1182,Category!$D$2:$E$600,2,FALSE),"")</f>
        <v/>
      </c>
      <c r="G1182" s="45"/>
      <c r="H1182" s="73"/>
      <c r="I1182" s="18" t="str">
        <f t="shared" si="74"/>
        <v/>
      </c>
      <c r="J1182" s="45"/>
      <c r="K1182" s="45"/>
    </row>
    <row r="1183" spans="1:11">
      <c r="A1183" s="17" t="str">
        <f t="shared" si="75"/>
        <v/>
      </c>
      <c r="B1183" s="53"/>
      <c r="C1183" s="11" t="str">
        <f t="shared" si="72"/>
        <v/>
      </c>
      <c r="D1183" s="11" t="str">
        <f t="shared" si="73"/>
        <v/>
      </c>
      <c r="E1183" s="45"/>
      <c r="F1183" s="11" t="str">
        <f>IFERROR(VLOOKUP(E1183,Category!$D$2:$E$600,2,FALSE),"")</f>
        <v/>
      </c>
      <c r="G1183" s="45"/>
      <c r="H1183" s="73"/>
      <c r="I1183" s="18" t="str">
        <f t="shared" si="74"/>
        <v/>
      </c>
      <c r="J1183" s="45"/>
      <c r="K1183" s="45"/>
    </row>
    <row r="1184" spans="1:11">
      <c r="A1184" s="17" t="str">
        <f t="shared" si="75"/>
        <v/>
      </c>
      <c r="B1184" s="53"/>
      <c r="C1184" s="11" t="str">
        <f t="shared" si="72"/>
        <v/>
      </c>
      <c r="D1184" s="11" t="str">
        <f t="shared" si="73"/>
        <v/>
      </c>
      <c r="E1184" s="45"/>
      <c r="F1184" s="11" t="str">
        <f>IFERROR(VLOOKUP(E1184,Category!$D$2:$E$600,2,FALSE),"")</f>
        <v/>
      </c>
      <c r="G1184" s="45"/>
      <c r="H1184" s="73"/>
      <c r="I1184" s="18" t="str">
        <f t="shared" si="74"/>
        <v/>
      </c>
      <c r="J1184" s="45"/>
      <c r="K1184" s="45"/>
    </row>
    <row r="1185" spans="1:11">
      <c r="A1185" s="17" t="str">
        <f t="shared" si="75"/>
        <v/>
      </c>
      <c r="B1185" s="53"/>
      <c r="C1185" s="11" t="str">
        <f t="shared" si="72"/>
        <v/>
      </c>
      <c r="D1185" s="11" t="str">
        <f t="shared" si="73"/>
        <v/>
      </c>
      <c r="E1185" s="45"/>
      <c r="F1185" s="11" t="str">
        <f>IFERROR(VLOOKUP(E1185,Category!$D$2:$E$600,2,FALSE),"")</f>
        <v/>
      </c>
      <c r="G1185" s="45"/>
      <c r="H1185" s="73"/>
      <c r="I1185" s="18" t="str">
        <f t="shared" si="74"/>
        <v/>
      </c>
      <c r="J1185" s="45"/>
      <c r="K1185" s="45"/>
    </row>
    <row r="1186" spans="1:11">
      <c r="A1186" s="17" t="str">
        <f t="shared" si="75"/>
        <v/>
      </c>
      <c r="B1186" s="53"/>
      <c r="C1186" s="11" t="str">
        <f t="shared" si="72"/>
        <v/>
      </c>
      <c r="D1186" s="11" t="str">
        <f t="shared" si="73"/>
        <v/>
      </c>
      <c r="E1186" s="45"/>
      <c r="F1186" s="11" t="str">
        <f>IFERROR(VLOOKUP(E1186,Category!$D$2:$E$600,2,FALSE),"")</f>
        <v/>
      </c>
      <c r="G1186" s="45"/>
      <c r="H1186" s="73"/>
      <c r="I1186" s="18" t="str">
        <f t="shared" si="74"/>
        <v/>
      </c>
      <c r="J1186" s="45"/>
      <c r="K1186" s="45"/>
    </row>
    <row r="1187" spans="1:11">
      <c r="A1187" s="17" t="str">
        <f t="shared" si="75"/>
        <v/>
      </c>
      <c r="B1187" s="53"/>
      <c r="C1187" s="11" t="str">
        <f t="shared" si="72"/>
        <v/>
      </c>
      <c r="D1187" s="11" t="str">
        <f t="shared" si="73"/>
        <v/>
      </c>
      <c r="E1187" s="45"/>
      <c r="F1187" s="11" t="str">
        <f>IFERROR(VLOOKUP(E1187,Category!$D$2:$E$600,2,FALSE),"")</f>
        <v/>
      </c>
      <c r="G1187" s="45"/>
      <c r="H1187" s="73"/>
      <c r="I1187" s="18" t="str">
        <f t="shared" si="74"/>
        <v/>
      </c>
      <c r="J1187" s="45"/>
      <c r="K1187" s="45"/>
    </row>
    <row r="1188" spans="1:11">
      <c r="A1188" s="17" t="str">
        <f t="shared" si="75"/>
        <v/>
      </c>
      <c r="B1188" s="53"/>
      <c r="C1188" s="11" t="str">
        <f t="shared" si="72"/>
        <v/>
      </c>
      <c r="D1188" s="11" t="str">
        <f t="shared" si="73"/>
        <v/>
      </c>
      <c r="E1188" s="45"/>
      <c r="F1188" s="11" t="str">
        <f>IFERROR(VLOOKUP(E1188,Category!$D$2:$E$600,2,FALSE),"")</f>
        <v/>
      </c>
      <c r="G1188" s="45"/>
      <c r="H1188" s="73"/>
      <c r="I1188" s="18" t="str">
        <f t="shared" si="74"/>
        <v/>
      </c>
      <c r="J1188" s="45"/>
      <c r="K1188" s="45"/>
    </row>
    <row r="1189" spans="1:11">
      <c r="A1189" s="17" t="str">
        <f t="shared" si="75"/>
        <v/>
      </c>
      <c r="B1189" s="53"/>
      <c r="C1189" s="11" t="str">
        <f t="shared" si="72"/>
        <v/>
      </c>
      <c r="D1189" s="11" t="str">
        <f t="shared" si="73"/>
        <v/>
      </c>
      <c r="E1189" s="45"/>
      <c r="F1189" s="11" t="str">
        <f>IFERROR(VLOOKUP(E1189,Category!$D$2:$E$600,2,FALSE),"")</f>
        <v/>
      </c>
      <c r="G1189" s="45"/>
      <c r="H1189" s="73"/>
      <c r="I1189" s="18" t="str">
        <f t="shared" si="74"/>
        <v/>
      </c>
      <c r="J1189" s="45"/>
      <c r="K1189" s="45"/>
    </row>
    <row r="1190" spans="1:11">
      <c r="A1190" s="17" t="str">
        <f t="shared" si="75"/>
        <v/>
      </c>
      <c r="B1190" s="53"/>
      <c r="C1190" s="11" t="str">
        <f t="shared" si="72"/>
        <v/>
      </c>
      <c r="D1190" s="11" t="str">
        <f t="shared" si="73"/>
        <v/>
      </c>
      <c r="E1190" s="45"/>
      <c r="F1190" s="11" t="str">
        <f>IFERROR(VLOOKUP(E1190,Category!$D$2:$E$600,2,FALSE),"")</f>
        <v/>
      </c>
      <c r="G1190" s="45"/>
      <c r="H1190" s="73"/>
      <c r="I1190" s="18" t="str">
        <f t="shared" si="74"/>
        <v/>
      </c>
      <c r="J1190" s="45"/>
      <c r="K1190" s="45"/>
    </row>
    <row r="1191" spans="1:11">
      <c r="A1191" s="17" t="str">
        <f t="shared" si="75"/>
        <v/>
      </c>
      <c r="B1191" s="53"/>
      <c r="C1191" s="11" t="str">
        <f t="shared" si="72"/>
        <v/>
      </c>
      <c r="D1191" s="11" t="str">
        <f t="shared" si="73"/>
        <v/>
      </c>
      <c r="E1191" s="45"/>
      <c r="F1191" s="11" t="str">
        <f>IFERROR(VLOOKUP(E1191,Category!$D$2:$E$600,2,FALSE),"")</f>
        <v/>
      </c>
      <c r="G1191" s="45"/>
      <c r="H1191" s="73"/>
      <c r="I1191" s="18" t="str">
        <f t="shared" si="74"/>
        <v/>
      </c>
      <c r="J1191" s="45"/>
      <c r="K1191" s="45"/>
    </row>
    <row r="1192" spans="1:11">
      <c r="A1192" s="17" t="str">
        <f t="shared" si="75"/>
        <v/>
      </c>
      <c r="B1192" s="53"/>
      <c r="C1192" s="11" t="str">
        <f t="shared" si="72"/>
        <v/>
      </c>
      <c r="D1192" s="11" t="str">
        <f t="shared" si="73"/>
        <v/>
      </c>
      <c r="E1192" s="45"/>
      <c r="F1192" s="11" t="str">
        <f>IFERROR(VLOOKUP(E1192,Category!$D$2:$E$600,2,FALSE),"")</f>
        <v/>
      </c>
      <c r="G1192" s="45"/>
      <c r="H1192" s="73"/>
      <c r="I1192" s="18" t="str">
        <f t="shared" si="74"/>
        <v/>
      </c>
      <c r="J1192" s="45"/>
      <c r="K1192" s="45"/>
    </row>
    <row r="1193" spans="1:11">
      <c r="A1193" s="17" t="str">
        <f t="shared" si="75"/>
        <v/>
      </c>
      <c r="B1193" s="53"/>
      <c r="C1193" s="11" t="str">
        <f t="shared" si="72"/>
        <v/>
      </c>
      <c r="D1193" s="11" t="str">
        <f t="shared" si="73"/>
        <v/>
      </c>
      <c r="E1193" s="45"/>
      <c r="F1193" s="11" t="str">
        <f>IFERROR(VLOOKUP(E1193,Category!$D$2:$E$600,2,FALSE),"")</f>
        <v/>
      </c>
      <c r="G1193" s="45"/>
      <c r="H1193" s="73"/>
      <c r="I1193" s="18" t="str">
        <f t="shared" si="74"/>
        <v/>
      </c>
      <c r="J1193" s="45"/>
      <c r="K1193" s="45"/>
    </row>
    <row r="1194" spans="1:11">
      <c r="A1194" s="17" t="str">
        <f t="shared" si="75"/>
        <v/>
      </c>
      <c r="B1194" s="53"/>
      <c r="C1194" s="11" t="str">
        <f t="shared" si="72"/>
        <v/>
      </c>
      <c r="D1194" s="11" t="str">
        <f t="shared" si="73"/>
        <v/>
      </c>
      <c r="E1194" s="45"/>
      <c r="F1194" s="11" t="str">
        <f>IFERROR(VLOOKUP(E1194,Category!$D$2:$E$600,2,FALSE),"")</f>
        <v/>
      </c>
      <c r="G1194" s="45"/>
      <c r="H1194" s="73"/>
      <c r="I1194" s="18" t="str">
        <f t="shared" si="74"/>
        <v/>
      </c>
      <c r="J1194" s="45"/>
      <c r="K1194" s="45"/>
    </row>
    <row r="1195" spans="1:11">
      <c r="A1195" s="17" t="str">
        <f t="shared" si="75"/>
        <v/>
      </c>
      <c r="B1195" s="53"/>
      <c r="C1195" s="11" t="str">
        <f t="shared" si="72"/>
        <v/>
      </c>
      <c r="D1195" s="11" t="str">
        <f t="shared" si="73"/>
        <v/>
      </c>
      <c r="E1195" s="45"/>
      <c r="F1195" s="11" t="str">
        <f>IFERROR(VLOOKUP(E1195,Category!$D$2:$E$600,2,FALSE),"")</f>
        <v/>
      </c>
      <c r="G1195" s="45"/>
      <c r="H1195" s="73"/>
      <c r="I1195" s="18" t="str">
        <f t="shared" si="74"/>
        <v/>
      </c>
      <c r="J1195" s="45"/>
      <c r="K1195" s="45"/>
    </row>
    <row r="1196" spans="1:11">
      <c r="A1196" s="17" t="str">
        <f t="shared" si="75"/>
        <v/>
      </c>
      <c r="B1196" s="53"/>
      <c r="C1196" s="11" t="str">
        <f t="shared" si="72"/>
        <v/>
      </c>
      <c r="D1196" s="11" t="str">
        <f t="shared" si="73"/>
        <v/>
      </c>
      <c r="E1196" s="45"/>
      <c r="F1196" s="11" t="str">
        <f>IFERROR(VLOOKUP(E1196,Category!$D$2:$E$600,2,FALSE),"")</f>
        <v/>
      </c>
      <c r="G1196" s="45"/>
      <c r="H1196" s="73"/>
      <c r="I1196" s="18" t="str">
        <f t="shared" si="74"/>
        <v/>
      </c>
      <c r="J1196" s="45"/>
      <c r="K1196" s="45"/>
    </row>
    <row r="1197" spans="1:11">
      <c r="A1197" s="17" t="str">
        <f t="shared" si="75"/>
        <v/>
      </c>
      <c r="B1197" s="53"/>
      <c r="C1197" s="11" t="str">
        <f t="shared" si="72"/>
        <v/>
      </c>
      <c r="D1197" s="11" t="str">
        <f t="shared" si="73"/>
        <v/>
      </c>
      <c r="E1197" s="45"/>
      <c r="F1197" s="11" t="str">
        <f>IFERROR(VLOOKUP(E1197,Category!$D$2:$E$600,2,FALSE),"")</f>
        <v/>
      </c>
      <c r="G1197" s="45"/>
      <c r="H1197" s="73"/>
      <c r="I1197" s="18" t="str">
        <f t="shared" si="74"/>
        <v/>
      </c>
      <c r="J1197" s="45"/>
      <c r="K1197" s="45"/>
    </row>
    <row r="1198" spans="1:11">
      <c r="A1198" s="17" t="str">
        <f t="shared" si="75"/>
        <v/>
      </c>
      <c r="B1198" s="53"/>
      <c r="C1198" s="11" t="str">
        <f t="shared" si="72"/>
        <v/>
      </c>
      <c r="D1198" s="11" t="str">
        <f t="shared" si="73"/>
        <v/>
      </c>
      <c r="E1198" s="45"/>
      <c r="F1198" s="11" t="str">
        <f>IFERROR(VLOOKUP(E1198,Category!$D$2:$E$600,2,FALSE),"")</f>
        <v/>
      </c>
      <c r="G1198" s="45"/>
      <c r="H1198" s="73"/>
      <c r="I1198" s="18" t="str">
        <f t="shared" si="74"/>
        <v/>
      </c>
      <c r="J1198" s="45"/>
      <c r="K1198" s="45"/>
    </row>
    <row r="1199" spans="1:11">
      <c r="A1199" s="17" t="str">
        <f t="shared" si="75"/>
        <v/>
      </c>
      <c r="B1199" s="53"/>
      <c r="C1199" s="11" t="str">
        <f t="shared" si="72"/>
        <v/>
      </c>
      <c r="D1199" s="11" t="str">
        <f t="shared" si="73"/>
        <v/>
      </c>
      <c r="E1199" s="45"/>
      <c r="F1199" s="11" t="str">
        <f>IFERROR(VLOOKUP(E1199,Category!$D$2:$E$600,2,FALSE),"")</f>
        <v/>
      </c>
      <c r="G1199" s="45"/>
      <c r="H1199" s="73"/>
      <c r="I1199" s="18" t="str">
        <f t="shared" si="74"/>
        <v/>
      </c>
      <c r="J1199" s="45"/>
      <c r="K1199" s="45"/>
    </row>
    <row r="1200" spans="1:11">
      <c r="A1200" s="17" t="str">
        <f t="shared" si="75"/>
        <v/>
      </c>
      <c r="B1200" s="53"/>
      <c r="C1200" s="11" t="str">
        <f t="shared" si="72"/>
        <v/>
      </c>
      <c r="D1200" s="11" t="str">
        <f t="shared" si="73"/>
        <v/>
      </c>
      <c r="E1200" s="45"/>
      <c r="F1200" s="11" t="str">
        <f>IFERROR(VLOOKUP(E1200,Category!$D$2:$E$600,2,FALSE),"")</f>
        <v/>
      </c>
      <c r="G1200" s="45"/>
      <c r="H1200" s="73"/>
      <c r="I1200" s="18" t="str">
        <f t="shared" si="74"/>
        <v/>
      </c>
      <c r="J1200" s="45"/>
      <c r="K1200" s="45"/>
    </row>
    <row r="1201" spans="1:11">
      <c r="A1201" s="17" t="str">
        <f t="shared" si="75"/>
        <v/>
      </c>
      <c r="B1201" s="53"/>
      <c r="C1201" s="11" t="str">
        <f t="shared" si="72"/>
        <v/>
      </c>
      <c r="D1201" s="11" t="str">
        <f t="shared" si="73"/>
        <v/>
      </c>
      <c r="E1201" s="45"/>
      <c r="F1201" s="11" t="str">
        <f>IFERROR(VLOOKUP(E1201,Category!$D$2:$E$600,2,FALSE),"")</f>
        <v/>
      </c>
      <c r="G1201" s="45"/>
      <c r="H1201" s="73"/>
      <c r="I1201" s="18" t="str">
        <f t="shared" si="74"/>
        <v/>
      </c>
      <c r="J1201" s="45"/>
      <c r="K1201" s="45"/>
    </row>
    <row r="1202" spans="1:11">
      <c r="A1202" s="17" t="str">
        <f t="shared" si="75"/>
        <v/>
      </c>
      <c r="B1202" s="53"/>
      <c r="C1202" s="11" t="str">
        <f t="shared" si="72"/>
        <v/>
      </c>
      <c r="D1202" s="11" t="str">
        <f t="shared" si="73"/>
        <v/>
      </c>
      <c r="E1202" s="45"/>
      <c r="F1202" s="11" t="str">
        <f>IFERROR(VLOOKUP(E1202,Category!$D$2:$E$600,2,FALSE),"")</f>
        <v/>
      </c>
      <c r="G1202" s="45"/>
      <c r="H1202" s="73"/>
      <c r="I1202" s="18" t="str">
        <f t="shared" si="74"/>
        <v/>
      </c>
      <c r="J1202" s="45"/>
      <c r="K1202" s="45"/>
    </row>
    <row r="1203" spans="1:11">
      <c r="A1203" s="17" t="str">
        <f t="shared" si="75"/>
        <v/>
      </c>
      <c r="B1203" s="53"/>
      <c r="C1203" s="11" t="str">
        <f t="shared" si="72"/>
        <v/>
      </c>
      <c r="D1203" s="11" t="str">
        <f t="shared" si="73"/>
        <v/>
      </c>
      <c r="E1203" s="45"/>
      <c r="F1203" s="11" t="str">
        <f>IFERROR(VLOOKUP(E1203,Category!$D$2:$E$600,2,FALSE),"")</f>
        <v/>
      </c>
      <c r="G1203" s="45"/>
      <c r="H1203" s="73"/>
      <c r="I1203" s="18" t="str">
        <f t="shared" si="74"/>
        <v/>
      </c>
      <c r="J1203" s="45"/>
      <c r="K1203" s="45"/>
    </row>
    <row r="1204" spans="1:11">
      <c r="A1204" s="17" t="str">
        <f t="shared" si="75"/>
        <v/>
      </c>
      <c r="B1204" s="53"/>
      <c r="C1204" s="11" t="str">
        <f t="shared" si="72"/>
        <v/>
      </c>
      <c r="D1204" s="11" t="str">
        <f t="shared" si="73"/>
        <v/>
      </c>
      <c r="E1204" s="45"/>
      <c r="F1204" s="11" t="str">
        <f>IFERROR(VLOOKUP(E1204,Category!$D$2:$E$600,2,FALSE),"")</f>
        <v/>
      </c>
      <c r="G1204" s="45"/>
      <c r="H1204" s="73"/>
      <c r="I1204" s="18" t="str">
        <f t="shared" si="74"/>
        <v/>
      </c>
      <c r="J1204" s="45"/>
      <c r="K1204" s="45"/>
    </row>
    <row r="1205" spans="1:11">
      <c r="A1205" s="17" t="str">
        <f t="shared" si="75"/>
        <v/>
      </c>
      <c r="B1205" s="53"/>
      <c r="C1205" s="11" t="str">
        <f t="shared" si="72"/>
        <v/>
      </c>
      <c r="D1205" s="11" t="str">
        <f t="shared" si="73"/>
        <v/>
      </c>
      <c r="E1205" s="45"/>
      <c r="F1205" s="11" t="str">
        <f>IFERROR(VLOOKUP(E1205,Category!$D$2:$E$600,2,FALSE),"")</f>
        <v/>
      </c>
      <c r="G1205" s="45"/>
      <c r="H1205" s="73"/>
      <c r="I1205" s="18" t="str">
        <f t="shared" si="74"/>
        <v/>
      </c>
      <c r="J1205" s="45"/>
      <c r="K1205" s="45"/>
    </row>
    <row r="1206" spans="1:11">
      <c r="A1206" s="17" t="str">
        <f t="shared" si="75"/>
        <v/>
      </c>
      <c r="B1206" s="53"/>
      <c r="C1206" s="11" t="str">
        <f t="shared" si="72"/>
        <v/>
      </c>
      <c r="D1206" s="11" t="str">
        <f t="shared" si="73"/>
        <v/>
      </c>
      <c r="E1206" s="45"/>
      <c r="F1206" s="11" t="str">
        <f>IFERROR(VLOOKUP(E1206,Category!$D$2:$E$600,2,FALSE),"")</f>
        <v/>
      </c>
      <c r="G1206" s="45"/>
      <c r="H1206" s="73"/>
      <c r="I1206" s="18" t="str">
        <f t="shared" si="74"/>
        <v/>
      </c>
      <c r="J1206" s="45"/>
      <c r="K1206" s="45"/>
    </row>
    <row r="1207" spans="1:11">
      <c r="A1207" s="17" t="str">
        <f t="shared" si="75"/>
        <v/>
      </c>
      <c r="B1207" s="53"/>
      <c r="C1207" s="11" t="str">
        <f t="shared" si="72"/>
        <v/>
      </c>
      <c r="D1207" s="11" t="str">
        <f t="shared" si="73"/>
        <v/>
      </c>
      <c r="E1207" s="45"/>
      <c r="F1207" s="11" t="str">
        <f>IFERROR(VLOOKUP(E1207,Category!$D$2:$E$600,2,FALSE),"")</f>
        <v/>
      </c>
      <c r="G1207" s="45"/>
      <c r="H1207" s="73"/>
      <c r="I1207" s="18" t="str">
        <f t="shared" si="74"/>
        <v/>
      </c>
      <c r="J1207" s="45"/>
      <c r="K1207" s="45"/>
    </row>
    <row r="1208" spans="1:11">
      <c r="A1208" s="17" t="str">
        <f t="shared" si="75"/>
        <v/>
      </c>
      <c r="B1208" s="53"/>
      <c r="C1208" s="11" t="str">
        <f t="shared" si="72"/>
        <v/>
      </c>
      <c r="D1208" s="11" t="str">
        <f t="shared" si="73"/>
        <v/>
      </c>
      <c r="E1208" s="45"/>
      <c r="F1208" s="11" t="str">
        <f>IFERROR(VLOOKUP(E1208,Category!$D$2:$E$600,2,FALSE),"")</f>
        <v/>
      </c>
      <c r="G1208" s="45"/>
      <c r="H1208" s="73"/>
      <c r="I1208" s="18" t="str">
        <f t="shared" si="74"/>
        <v/>
      </c>
      <c r="J1208" s="45"/>
      <c r="K1208" s="45"/>
    </row>
    <row r="1209" spans="1:11">
      <c r="A1209" s="17" t="str">
        <f t="shared" si="75"/>
        <v/>
      </c>
      <c r="B1209" s="53"/>
      <c r="C1209" s="11" t="str">
        <f t="shared" si="72"/>
        <v/>
      </c>
      <c r="D1209" s="11" t="str">
        <f t="shared" si="73"/>
        <v/>
      </c>
      <c r="E1209" s="45"/>
      <c r="F1209" s="11" t="str">
        <f>IFERROR(VLOOKUP(E1209,Category!$D$2:$E$600,2,FALSE),"")</f>
        <v/>
      </c>
      <c r="G1209" s="45"/>
      <c r="H1209" s="73"/>
      <c r="I1209" s="18" t="str">
        <f t="shared" si="74"/>
        <v/>
      </c>
      <c r="J1209" s="45"/>
      <c r="K1209" s="45"/>
    </row>
    <row r="1210" spans="1:11">
      <c r="A1210" s="17" t="str">
        <f t="shared" si="75"/>
        <v/>
      </c>
      <c r="B1210" s="53"/>
      <c r="C1210" s="11" t="str">
        <f t="shared" si="72"/>
        <v/>
      </c>
      <c r="D1210" s="11" t="str">
        <f t="shared" si="73"/>
        <v/>
      </c>
      <c r="E1210" s="45"/>
      <c r="F1210" s="11" t="str">
        <f>IFERROR(VLOOKUP(E1210,Category!$D$2:$E$600,2,FALSE),"")</f>
        <v/>
      </c>
      <c r="G1210" s="45"/>
      <c r="H1210" s="73"/>
      <c r="I1210" s="18" t="str">
        <f t="shared" si="74"/>
        <v/>
      </c>
      <c r="J1210" s="45"/>
      <c r="K1210" s="45"/>
    </row>
    <row r="1211" spans="1:11">
      <c r="A1211" s="17" t="str">
        <f t="shared" si="75"/>
        <v/>
      </c>
      <c r="B1211" s="53"/>
      <c r="C1211" s="11" t="str">
        <f t="shared" si="72"/>
        <v/>
      </c>
      <c r="D1211" s="11" t="str">
        <f t="shared" si="73"/>
        <v/>
      </c>
      <c r="E1211" s="45"/>
      <c r="F1211" s="11" t="str">
        <f>IFERROR(VLOOKUP(E1211,Category!$D$2:$E$600,2,FALSE),"")</f>
        <v/>
      </c>
      <c r="G1211" s="45"/>
      <c r="H1211" s="73"/>
      <c r="I1211" s="18" t="str">
        <f t="shared" si="74"/>
        <v/>
      </c>
      <c r="J1211" s="45"/>
      <c r="K1211" s="45"/>
    </row>
    <row r="1212" spans="1:11">
      <c r="A1212" s="17" t="str">
        <f t="shared" si="75"/>
        <v/>
      </c>
      <c r="B1212" s="53"/>
      <c r="C1212" s="11" t="str">
        <f t="shared" si="72"/>
        <v/>
      </c>
      <c r="D1212" s="11" t="str">
        <f t="shared" si="73"/>
        <v/>
      </c>
      <c r="E1212" s="45"/>
      <c r="F1212" s="11" t="str">
        <f>IFERROR(VLOOKUP(E1212,Category!$D$2:$E$600,2,FALSE),"")</f>
        <v/>
      </c>
      <c r="G1212" s="45"/>
      <c r="H1212" s="73"/>
      <c r="I1212" s="18" t="str">
        <f t="shared" si="74"/>
        <v/>
      </c>
      <c r="J1212" s="45"/>
      <c r="K1212" s="45"/>
    </row>
    <row r="1213" spans="1:11">
      <c r="A1213" s="17" t="str">
        <f t="shared" si="75"/>
        <v/>
      </c>
      <c r="B1213" s="53"/>
      <c r="C1213" s="11" t="str">
        <f t="shared" si="72"/>
        <v/>
      </c>
      <c r="D1213" s="11" t="str">
        <f t="shared" si="73"/>
        <v/>
      </c>
      <c r="E1213" s="45"/>
      <c r="F1213" s="11" t="str">
        <f>IFERROR(VLOOKUP(E1213,Category!$D$2:$E$600,2,FALSE),"")</f>
        <v/>
      </c>
      <c r="G1213" s="45"/>
      <c r="H1213" s="73"/>
      <c r="I1213" s="18" t="str">
        <f t="shared" si="74"/>
        <v/>
      </c>
      <c r="J1213" s="45"/>
      <c r="K1213" s="45"/>
    </row>
    <row r="1214" spans="1:11">
      <c r="A1214" s="17" t="str">
        <f t="shared" si="75"/>
        <v/>
      </c>
      <c r="B1214" s="53"/>
      <c r="C1214" s="11" t="str">
        <f t="shared" si="72"/>
        <v/>
      </c>
      <c r="D1214" s="11" t="str">
        <f t="shared" si="73"/>
        <v/>
      </c>
      <c r="E1214" s="45"/>
      <c r="F1214" s="11" t="str">
        <f>IFERROR(VLOOKUP(E1214,Category!$D$2:$E$600,2,FALSE),"")</f>
        <v/>
      </c>
      <c r="G1214" s="45"/>
      <c r="H1214" s="73"/>
      <c r="I1214" s="18" t="str">
        <f t="shared" si="74"/>
        <v/>
      </c>
      <c r="J1214" s="45"/>
      <c r="K1214" s="45"/>
    </row>
    <row r="1215" spans="1:11">
      <c r="A1215" s="17" t="str">
        <f t="shared" si="75"/>
        <v/>
      </c>
      <c r="B1215" s="53"/>
      <c r="C1215" s="11" t="str">
        <f t="shared" si="72"/>
        <v/>
      </c>
      <c r="D1215" s="11" t="str">
        <f t="shared" si="73"/>
        <v/>
      </c>
      <c r="E1215" s="45"/>
      <c r="F1215" s="11" t="str">
        <f>IFERROR(VLOOKUP(E1215,Category!$D$2:$E$600,2,FALSE),"")</f>
        <v/>
      </c>
      <c r="G1215" s="45"/>
      <c r="H1215" s="73"/>
      <c r="I1215" s="18" t="str">
        <f t="shared" si="74"/>
        <v/>
      </c>
      <c r="J1215" s="45"/>
      <c r="K1215" s="45"/>
    </row>
    <row r="1216" spans="1:11">
      <c r="A1216" s="17" t="str">
        <f t="shared" si="75"/>
        <v/>
      </c>
      <c r="B1216" s="53"/>
      <c r="C1216" s="11" t="str">
        <f t="shared" si="72"/>
        <v/>
      </c>
      <c r="D1216" s="11" t="str">
        <f t="shared" si="73"/>
        <v/>
      </c>
      <c r="E1216" s="45"/>
      <c r="F1216" s="11" t="str">
        <f>IFERROR(VLOOKUP(E1216,Category!$D$2:$E$600,2,FALSE),"")</f>
        <v/>
      </c>
      <c r="G1216" s="45"/>
      <c r="H1216" s="73"/>
      <c r="I1216" s="18" t="str">
        <f t="shared" si="74"/>
        <v/>
      </c>
      <c r="J1216" s="45"/>
      <c r="K1216" s="45"/>
    </row>
    <row r="1217" spans="1:11">
      <c r="A1217" s="17" t="str">
        <f t="shared" si="75"/>
        <v/>
      </c>
      <c r="B1217" s="53"/>
      <c r="C1217" s="11" t="str">
        <f t="shared" si="72"/>
        <v/>
      </c>
      <c r="D1217" s="11" t="str">
        <f t="shared" si="73"/>
        <v/>
      </c>
      <c r="E1217" s="45"/>
      <c r="F1217" s="11" t="str">
        <f>IFERROR(VLOOKUP(E1217,Category!$D$2:$E$600,2,FALSE),"")</f>
        <v/>
      </c>
      <c r="G1217" s="45"/>
      <c r="H1217" s="73"/>
      <c r="I1217" s="18" t="str">
        <f t="shared" si="74"/>
        <v/>
      </c>
      <c r="J1217" s="45"/>
      <c r="K1217" s="45"/>
    </row>
    <row r="1218" spans="1:11">
      <c r="A1218" s="17" t="str">
        <f t="shared" si="75"/>
        <v/>
      </c>
      <c r="B1218" s="53"/>
      <c r="C1218" s="11" t="str">
        <f t="shared" si="72"/>
        <v/>
      </c>
      <c r="D1218" s="11" t="str">
        <f t="shared" si="73"/>
        <v/>
      </c>
      <c r="E1218" s="45"/>
      <c r="F1218" s="11" t="str">
        <f>IFERROR(VLOOKUP(E1218,Category!$D$2:$E$600,2,FALSE),"")</f>
        <v/>
      </c>
      <c r="G1218" s="45"/>
      <c r="H1218" s="73"/>
      <c r="I1218" s="18" t="str">
        <f t="shared" si="74"/>
        <v/>
      </c>
      <c r="J1218" s="45"/>
      <c r="K1218" s="45"/>
    </row>
    <row r="1219" spans="1:11">
      <c r="A1219" s="17" t="str">
        <f t="shared" si="75"/>
        <v/>
      </c>
      <c r="B1219" s="53"/>
      <c r="C1219" s="11" t="str">
        <f t="shared" ref="C1219:C1282" si="76">IF(B1219=0,"",TEXT(B1219,"mmmm"))</f>
        <v/>
      </c>
      <c r="D1219" s="11" t="str">
        <f t="shared" ref="D1219:D1282" si="77">IF(B1219=0,"",TEXT(B1219,"yyyy"))</f>
        <v/>
      </c>
      <c r="E1219" s="45"/>
      <c r="F1219" s="11" t="str">
        <f>IFERROR(VLOOKUP(E1219,Category!$D$2:$E$600,2,FALSE),"")</f>
        <v/>
      </c>
      <c r="G1219" s="45"/>
      <c r="H1219" s="73"/>
      <c r="I1219" s="18" t="str">
        <f t="shared" ref="I1219:I1282" si="78">IF(G1219*H1219=0,"",G1219*H1219)</f>
        <v/>
      </c>
      <c r="J1219" s="45"/>
      <c r="K1219" s="45"/>
    </row>
    <row r="1220" spans="1:11">
      <c r="A1220" s="17" t="str">
        <f t="shared" ref="A1220:A1283" si="79">IF(E1220&gt;0,A1219+1,"")</f>
        <v/>
      </c>
      <c r="B1220" s="53"/>
      <c r="C1220" s="11" t="str">
        <f t="shared" si="76"/>
        <v/>
      </c>
      <c r="D1220" s="11" t="str">
        <f t="shared" si="77"/>
        <v/>
      </c>
      <c r="E1220" s="45"/>
      <c r="F1220" s="11" t="str">
        <f>IFERROR(VLOOKUP(E1220,Category!$D$2:$E$600,2,FALSE),"")</f>
        <v/>
      </c>
      <c r="G1220" s="45"/>
      <c r="H1220" s="73"/>
      <c r="I1220" s="18" t="str">
        <f t="shared" si="78"/>
        <v/>
      </c>
      <c r="J1220" s="45"/>
      <c r="K1220" s="45"/>
    </row>
    <row r="1221" spans="1:11">
      <c r="A1221" s="17" t="str">
        <f t="shared" si="79"/>
        <v/>
      </c>
      <c r="B1221" s="53"/>
      <c r="C1221" s="11" t="str">
        <f t="shared" si="76"/>
        <v/>
      </c>
      <c r="D1221" s="11" t="str">
        <f t="shared" si="77"/>
        <v/>
      </c>
      <c r="E1221" s="45"/>
      <c r="F1221" s="11" t="str">
        <f>IFERROR(VLOOKUP(E1221,Category!$D$2:$E$600,2,FALSE),"")</f>
        <v/>
      </c>
      <c r="G1221" s="45"/>
      <c r="H1221" s="73"/>
      <c r="I1221" s="18" t="str">
        <f t="shared" si="78"/>
        <v/>
      </c>
      <c r="J1221" s="45"/>
      <c r="K1221" s="45"/>
    </row>
    <row r="1222" spans="1:11">
      <c r="A1222" s="17" t="str">
        <f t="shared" si="79"/>
        <v/>
      </c>
      <c r="B1222" s="53"/>
      <c r="C1222" s="11" t="str">
        <f t="shared" si="76"/>
        <v/>
      </c>
      <c r="D1222" s="11" t="str">
        <f t="shared" si="77"/>
        <v/>
      </c>
      <c r="E1222" s="45"/>
      <c r="F1222" s="11" t="str">
        <f>IFERROR(VLOOKUP(E1222,Category!$D$2:$E$600,2,FALSE),"")</f>
        <v/>
      </c>
      <c r="G1222" s="45"/>
      <c r="H1222" s="73"/>
      <c r="I1222" s="18" t="str">
        <f t="shared" si="78"/>
        <v/>
      </c>
      <c r="J1222" s="45"/>
      <c r="K1222" s="45"/>
    </row>
    <row r="1223" spans="1:11">
      <c r="A1223" s="17" t="str">
        <f t="shared" si="79"/>
        <v/>
      </c>
      <c r="B1223" s="53"/>
      <c r="C1223" s="11" t="str">
        <f t="shared" si="76"/>
        <v/>
      </c>
      <c r="D1223" s="11" t="str">
        <f t="shared" si="77"/>
        <v/>
      </c>
      <c r="E1223" s="45"/>
      <c r="F1223" s="11" t="str">
        <f>IFERROR(VLOOKUP(E1223,Category!$D$2:$E$600,2,FALSE),"")</f>
        <v/>
      </c>
      <c r="G1223" s="45"/>
      <c r="H1223" s="73"/>
      <c r="I1223" s="18" t="str">
        <f t="shared" si="78"/>
        <v/>
      </c>
      <c r="J1223" s="45"/>
      <c r="K1223" s="45"/>
    </row>
    <row r="1224" spans="1:11">
      <c r="A1224" s="17" t="str">
        <f t="shared" si="79"/>
        <v/>
      </c>
      <c r="B1224" s="53"/>
      <c r="C1224" s="11" t="str">
        <f t="shared" si="76"/>
        <v/>
      </c>
      <c r="D1224" s="11" t="str">
        <f t="shared" si="77"/>
        <v/>
      </c>
      <c r="E1224" s="45"/>
      <c r="F1224" s="11" t="str">
        <f>IFERROR(VLOOKUP(E1224,Category!$D$2:$E$600,2,FALSE),"")</f>
        <v/>
      </c>
      <c r="G1224" s="45"/>
      <c r="H1224" s="73"/>
      <c r="I1224" s="18" t="str">
        <f t="shared" si="78"/>
        <v/>
      </c>
      <c r="J1224" s="45"/>
      <c r="K1224" s="45"/>
    </row>
    <row r="1225" spans="1:11">
      <c r="A1225" s="17" t="str">
        <f t="shared" si="79"/>
        <v/>
      </c>
      <c r="B1225" s="53"/>
      <c r="C1225" s="11" t="str">
        <f t="shared" si="76"/>
        <v/>
      </c>
      <c r="D1225" s="11" t="str">
        <f t="shared" si="77"/>
        <v/>
      </c>
      <c r="E1225" s="45"/>
      <c r="F1225" s="11" t="str">
        <f>IFERROR(VLOOKUP(E1225,Category!$D$2:$E$600,2,FALSE),"")</f>
        <v/>
      </c>
      <c r="G1225" s="45"/>
      <c r="H1225" s="73"/>
      <c r="I1225" s="18" t="str">
        <f t="shared" si="78"/>
        <v/>
      </c>
      <c r="J1225" s="45"/>
      <c r="K1225" s="45"/>
    </row>
    <row r="1226" spans="1:11">
      <c r="A1226" s="17" t="str">
        <f t="shared" si="79"/>
        <v/>
      </c>
      <c r="B1226" s="53"/>
      <c r="C1226" s="11" t="str">
        <f t="shared" si="76"/>
        <v/>
      </c>
      <c r="D1226" s="11" t="str">
        <f t="shared" si="77"/>
        <v/>
      </c>
      <c r="E1226" s="45"/>
      <c r="F1226" s="11" t="str">
        <f>IFERROR(VLOOKUP(E1226,Category!$D$2:$E$600,2,FALSE),"")</f>
        <v/>
      </c>
      <c r="G1226" s="45"/>
      <c r="H1226" s="73"/>
      <c r="I1226" s="18" t="str">
        <f t="shared" si="78"/>
        <v/>
      </c>
      <c r="J1226" s="45"/>
      <c r="K1226" s="45"/>
    </row>
    <row r="1227" spans="1:11">
      <c r="A1227" s="17" t="str">
        <f t="shared" si="79"/>
        <v/>
      </c>
      <c r="B1227" s="53"/>
      <c r="C1227" s="11" t="str">
        <f t="shared" si="76"/>
        <v/>
      </c>
      <c r="D1227" s="11" t="str">
        <f t="shared" si="77"/>
        <v/>
      </c>
      <c r="E1227" s="45"/>
      <c r="F1227" s="11" t="str">
        <f>IFERROR(VLOOKUP(E1227,Category!$D$2:$E$600,2,FALSE),"")</f>
        <v/>
      </c>
      <c r="G1227" s="45"/>
      <c r="H1227" s="73"/>
      <c r="I1227" s="18" t="str">
        <f t="shared" si="78"/>
        <v/>
      </c>
      <c r="J1227" s="45"/>
      <c r="K1227" s="45"/>
    </row>
    <row r="1228" spans="1:11">
      <c r="A1228" s="17" t="str">
        <f t="shared" si="79"/>
        <v/>
      </c>
      <c r="B1228" s="53"/>
      <c r="C1228" s="11" t="str">
        <f t="shared" si="76"/>
        <v/>
      </c>
      <c r="D1228" s="11" t="str">
        <f t="shared" si="77"/>
        <v/>
      </c>
      <c r="E1228" s="45"/>
      <c r="F1228" s="11" t="str">
        <f>IFERROR(VLOOKUP(E1228,Category!$D$2:$E$600,2,FALSE),"")</f>
        <v/>
      </c>
      <c r="G1228" s="45"/>
      <c r="H1228" s="73"/>
      <c r="I1228" s="18" t="str">
        <f t="shared" si="78"/>
        <v/>
      </c>
      <c r="J1228" s="45"/>
      <c r="K1228" s="45"/>
    </row>
    <row r="1229" spans="1:11">
      <c r="A1229" s="17" t="str">
        <f t="shared" si="79"/>
        <v/>
      </c>
      <c r="B1229" s="53"/>
      <c r="C1229" s="11" t="str">
        <f t="shared" si="76"/>
        <v/>
      </c>
      <c r="D1229" s="11" t="str">
        <f t="shared" si="77"/>
        <v/>
      </c>
      <c r="E1229" s="45"/>
      <c r="F1229" s="11" t="str">
        <f>IFERROR(VLOOKUP(E1229,Category!$D$2:$E$600,2,FALSE),"")</f>
        <v/>
      </c>
      <c r="G1229" s="45"/>
      <c r="H1229" s="73"/>
      <c r="I1229" s="18" t="str">
        <f t="shared" si="78"/>
        <v/>
      </c>
      <c r="J1229" s="45"/>
      <c r="K1229" s="45"/>
    </row>
    <row r="1230" spans="1:11">
      <c r="A1230" s="17" t="str">
        <f t="shared" si="79"/>
        <v/>
      </c>
      <c r="B1230" s="53"/>
      <c r="C1230" s="11" t="str">
        <f t="shared" si="76"/>
        <v/>
      </c>
      <c r="D1230" s="11" t="str">
        <f t="shared" si="77"/>
        <v/>
      </c>
      <c r="E1230" s="45"/>
      <c r="F1230" s="11" t="str">
        <f>IFERROR(VLOOKUP(E1230,Category!$D$2:$E$600,2,FALSE),"")</f>
        <v/>
      </c>
      <c r="G1230" s="45"/>
      <c r="H1230" s="73"/>
      <c r="I1230" s="18" t="str">
        <f t="shared" si="78"/>
        <v/>
      </c>
      <c r="J1230" s="45"/>
      <c r="K1230" s="45"/>
    </row>
    <row r="1231" spans="1:11">
      <c r="A1231" s="17" t="str">
        <f t="shared" si="79"/>
        <v/>
      </c>
      <c r="B1231" s="53"/>
      <c r="C1231" s="11" t="str">
        <f t="shared" si="76"/>
        <v/>
      </c>
      <c r="D1231" s="11" t="str">
        <f t="shared" si="77"/>
        <v/>
      </c>
      <c r="E1231" s="45"/>
      <c r="F1231" s="11" t="str">
        <f>IFERROR(VLOOKUP(E1231,Category!$D$2:$E$600,2,FALSE),"")</f>
        <v/>
      </c>
      <c r="G1231" s="45"/>
      <c r="H1231" s="73"/>
      <c r="I1231" s="18" t="str">
        <f t="shared" si="78"/>
        <v/>
      </c>
      <c r="J1231" s="45"/>
      <c r="K1231" s="45"/>
    </row>
    <row r="1232" spans="1:11">
      <c r="A1232" s="17" t="str">
        <f t="shared" si="79"/>
        <v/>
      </c>
      <c r="B1232" s="53"/>
      <c r="C1232" s="11" t="str">
        <f t="shared" si="76"/>
        <v/>
      </c>
      <c r="D1232" s="11" t="str">
        <f t="shared" si="77"/>
        <v/>
      </c>
      <c r="E1232" s="45"/>
      <c r="F1232" s="11" t="str">
        <f>IFERROR(VLOOKUP(E1232,Category!$D$2:$E$600,2,FALSE),"")</f>
        <v/>
      </c>
      <c r="G1232" s="45"/>
      <c r="H1232" s="73"/>
      <c r="I1232" s="18" t="str">
        <f t="shared" si="78"/>
        <v/>
      </c>
      <c r="J1232" s="45"/>
      <c r="K1232" s="45"/>
    </row>
    <row r="1233" spans="1:11">
      <c r="A1233" s="17" t="str">
        <f t="shared" si="79"/>
        <v/>
      </c>
      <c r="B1233" s="53"/>
      <c r="C1233" s="11" t="str">
        <f t="shared" si="76"/>
        <v/>
      </c>
      <c r="D1233" s="11" t="str">
        <f t="shared" si="77"/>
        <v/>
      </c>
      <c r="E1233" s="45"/>
      <c r="F1233" s="11" t="str">
        <f>IFERROR(VLOOKUP(E1233,Category!$D$2:$E$600,2,FALSE),"")</f>
        <v/>
      </c>
      <c r="G1233" s="45"/>
      <c r="H1233" s="73"/>
      <c r="I1233" s="18" t="str">
        <f t="shared" si="78"/>
        <v/>
      </c>
      <c r="J1233" s="45"/>
      <c r="K1233" s="45"/>
    </row>
    <row r="1234" spans="1:11">
      <c r="A1234" s="17" t="str">
        <f t="shared" si="79"/>
        <v/>
      </c>
      <c r="B1234" s="53"/>
      <c r="C1234" s="11" t="str">
        <f t="shared" si="76"/>
        <v/>
      </c>
      <c r="D1234" s="11" t="str">
        <f t="shared" si="77"/>
        <v/>
      </c>
      <c r="E1234" s="45"/>
      <c r="F1234" s="11" t="str">
        <f>IFERROR(VLOOKUP(E1234,Category!$D$2:$E$600,2,FALSE),"")</f>
        <v/>
      </c>
      <c r="G1234" s="45"/>
      <c r="H1234" s="73"/>
      <c r="I1234" s="18" t="str">
        <f t="shared" si="78"/>
        <v/>
      </c>
      <c r="J1234" s="45"/>
      <c r="K1234" s="45"/>
    </row>
    <row r="1235" spans="1:11">
      <c r="A1235" s="17" t="str">
        <f t="shared" si="79"/>
        <v/>
      </c>
      <c r="B1235" s="53"/>
      <c r="C1235" s="11" t="str">
        <f t="shared" si="76"/>
        <v/>
      </c>
      <c r="D1235" s="11" t="str">
        <f t="shared" si="77"/>
        <v/>
      </c>
      <c r="E1235" s="45"/>
      <c r="F1235" s="11" t="str">
        <f>IFERROR(VLOOKUP(E1235,Category!$D$2:$E$600,2,FALSE),"")</f>
        <v/>
      </c>
      <c r="G1235" s="45"/>
      <c r="H1235" s="73"/>
      <c r="I1235" s="18" t="str">
        <f t="shared" si="78"/>
        <v/>
      </c>
      <c r="J1235" s="45"/>
      <c r="K1235" s="45"/>
    </row>
    <row r="1236" spans="1:11">
      <c r="A1236" s="17" t="str">
        <f t="shared" si="79"/>
        <v/>
      </c>
      <c r="B1236" s="53"/>
      <c r="C1236" s="11" t="str">
        <f t="shared" si="76"/>
        <v/>
      </c>
      <c r="D1236" s="11" t="str">
        <f t="shared" si="77"/>
        <v/>
      </c>
      <c r="E1236" s="45"/>
      <c r="F1236" s="11" t="str">
        <f>IFERROR(VLOOKUP(E1236,Category!$D$2:$E$600,2,FALSE),"")</f>
        <v/>
      </c>
      <c r="G1236" s="45"/>
      <c r="H1236" s="73"/>
      <c r="I1236" s="18" t="str">
        <f t="shared" si="78"/>
        <v/>
      </c>
      <c r="J1236" s="45"/>
      <c r="K1236" s="45"/>
    </row>
    <row r="1237" spans="1:11">
      <c r="A1237" s="17" t="str">
        <f t="shared" si="79"/>
        <v/>
      </c>
      <c r="B1237" s="53"/>
      <c r="C1237" s="11" t="str">
        <f t="shared" si="76"/>
        <v/>
      </c>
      <c r="D1237" s="11" t="str">
        <f t="shared" si="77"/>
        <v/>
      </c>
      <c r="E1237" s="45"/>
      <c r="F1237" s="11" t="str">
        <f>IFERROR(VLOOKUP(E1237,Category!$D$2:$E$600,2,FALSE),"")</f>
        <v/>
      </c>
      <c r="G1237" s="45"/>
      <c r="H1237" s="73"/>
      <c r="I1237" s="18" t="str">
        <f t="shared" si="78"/>
        <v/>
      </c>
      <c r="J1237" s="45"/>
      <c r="K1237" s="45"/>
    </row>
    <row r="1238" spans="1:11">
      <c r="A1238" s="17" t="str">
        <f t="shared" si="79"/>
        <v/>
      </c>
      <c r="B1238" s="53"/>
      <c r="C1238" s="11" t="str">
        <f t="shared" si="76"/>
        <v/>
      </c>
      <c r="D1238" s="11" t="str">
        <f t="shared" si="77"/>
        <v/>
      </c>
      <c r="E1238" s="45"/>
      <c r="F1238" s="11" t="str">
        <f>IFERROR(VLOOKUP(E1238,Category!$D$2:$E$600,2,FALSE),"")</f>
        <v/>
      </c>
      <c r="G1238" s="45"/>
      <c r="H1238" s="73"/>
      <c r="I1238" s="18" t="str">
        <f t="shared" si="78"/>
        <v/>
      </c>
      <c r="J1238" s="45"/>
      <c r="K1238" s="45"/>
    </row>
    <row r="1239" spans="1:11">
      <c r="A1239" s="17" t="str">
        <f t="shared" si="79"/>
        <v/>
      </c>
      <c r="B1239" s="53"/>
      <c r="C1239" s="11" t="str">
        <f t="shared" si="76"/>
        <v/>
      </c>
      <c r="D1239" s="11" t="str">
        <f t="shared" si="77"/>
        <v/>
      </c>
      <c r="E1239" s="45"/>
      <c r="F1239" s="11" t="str">
        <f>IFERROR(VLOOKUP(E1239,Category!$D$2:$E$600,2,FALSE),"")</f>
        <v/>
      </c>
      <c r="G1239" s="45"/>
      <c r="H1239" s="73"/>
      <c r="I1239" s="18" t="str">
        <f t="shared" si="78"/>
        <v/>
      </c>
      <c r="J1239" s="45"/>
      <c r="K1239" s="45"/>
    </row>
    <row r="1240" spans="1:11">
      <c r="A1240" s="17" t="str">
        <f t="shared" si="79"/>
        <v/>
      </c>
      <c r="B1240" s="53"/>
      <c r="C1240" s="11" t="str">
        <f t="shared" si="76"/>
        <v/>
      </c>
      <c r="D1240" s="11" t="str">
        <f t="shared" si="77"/>
        <v/>
      </c>
      <c r="E1240" s="45"/>
      <c r="F1240" s="11" t="str">
        <f>IFERROR(VLOOKUP(E1240,Category!$D$2:$E$600,2,FALSE),"")</f>
        <v/>
      </c>
      <c r="G1240" s="45"/>
      <c r="H1240" s="73"/>
      <c r="I1240" s="18" t="str">
        <f t="shared" si="78"/>
        <v/>
      </c>
      <c r="J1240" s="45"/>
      <c r="K1240" s="45"/>
    </row>
    <row r="1241" spans="1:11">
      <c r="A1241" s="17" t="str">
        <f t="shared" si="79"/>
        <v/>
      </c>
      <c r="B1241" s="53"/>
      <c r="C1241" s="11" t="str">
        <f t="shared" si="76"/>
        <v/>
      </c>
      <c r="D1241" s="11" t="str">
        <f t="shared" si="77"/>
        <v/>
      </c>
      <c r="E1241" s="45"/>
      <c r="F1241" s="11" t="str">
        <f>IFERROR(VLOOKUP(E1241,Category!$D$2:$E$600,2,FALSE),"")</f>
        <v/>
      </c>
      <c r="G1241" s="45"/>
      <c r="H1241" s="73"/>
      <c r="I1241" s="18" t="str">
        <f t="shared" si="78"/>
        <v/>
      </c>
      <c r="J1241" s="45"/>
      <c r="K1241" s="45"/>
    </row>
    <row r="1242" spans="1:11">
      <c r="A1242" s="17" t="str">
        <f t="shared" si="79"/>
        <v/>
      </c>
      <c r="B1242" s="53"/>
      <c r="C1242" s="11" t="str">
        <f t="shared" si="76"/>
        <v/>
      </c>
      <c r="D1242" s="11" t="str">
        <f t="shared" si="77"/>
        <v/>
      </c>
      <c r="E1242" s="45"/>
      <c r="F1242" s="11" t="str">
        <f>IFERROR(VLOOKUP(E1242,Category!$D$2:$E$600,2,FALSE),"")</f>
        <v/>
      </c>
      <c r="G1242" s="45"/>
      <c r="H1242" s="73"/>
      <c r="I1242" s="18" t="str">
        <f t="shared" si="78"/>
        <v/>
      </c>
      <c r="J1242" s="45"/>
      <c r="K1242" s="45"/>
    </row>
    <row r="1243" spans="1:11">
      <c r="A1243" s="17" t="str">
        <f t="shared" si="79"/>
        <v/>
      </c>
      <c r="B1243" s="53"/>
      <c r="C1243" s="11" t="str">
        <f t="shared" si="76"/>
        <v/>
      </c>
      <c r="D1243" s="11" t="str">
        <f t="shared" si="77"/>
        <v/>
      </c>
      <c r="E1243" s="45"/>
      <c r="F1243" s="11" t="str">
        <f>IFERROR(VLOOKUP(E1243,Category!$D$2:$E$600,2,FALSE),"")</f>
        <v/>
      </c>
      <c r="G1243" s="45"/>
      <c r="H1243" s="73"/>
      <c r="I1243" s="18" t="str">
        <f t="shared" si="78"/>
        <v/>
      </c>
      <c r="J1243" s="45"/>
      <c r="K1243" s="45"/>
    </row>
    <row r="1244" spans="1:11">
      <c r="A1244" s="17" t="str">
        <f t="shared" si="79"/>
        <v/>
      </c>
      <c r="B1244" s="53"/>
      <c r="C1244" s="11" t="str">
        <f t="shared" si="76"/>
        <v/>
      </c>
      <c r="D1244" s="11" t="str">
        <f t="shared" si="77"/>
        <v/>
      </c>
      <c r="E1244" s="45"/>
      <c r="F1244" s="11" t="str">
        <f>IFERROR(VLOOKUP(E1244,Category!$D$2:$E$600,2,FALSE),"")</f>
        <v/>
      </c>
      <c r="G1244" s="45"/>
      <c r="H1244" s="73"/>
      <c r="I1244" s="18" t="str">
        <f t="shared" si="78"/>
        <v/>
      </c>
      <c r="J1244" s="45"/>
      <c r="K1244" s="45"/>
    </row>
    <row r="1245" spans="1:11">
      <c r="A1245" s="17" t="str">
        <f t="shared" si="79"/>
        <v/>
      </c>
      <c r="B1245" s="53"/>
      <c r="C1245" s="11" t="str">
        <f t="shared" si="76"/>
        <v/>
      </c>
      <c r="D1245" s="11" t="str">
        <f t="shared" si="77"/>
        <v/>
      </c>
      <c r="E1245" s="45"/>
      <c r="F1245" s="11" t="str">
        <f>IFERROR(VLOOKUP(E1245,Category!$D$2:$E$600,2,FALSE),"")</f>
        <v/>
      </c>
      <c r="G1245" s="45"/>
      <c r="H1245" s="73"/>
      <c r="I1245" s="18" t="str">
        <f t="shared" si="78"/>
        <v/>
      </c>
      <c r="J1245" s="45"/>
      <c r="K1245" s="45"/>
    </row>
    <row r="1246" spans="1:11">
      <c r="A1246" s="17" t="str">
        <f t="shared" si="79"/>
        <v/>
      </c>
      <c r="B1246" s="53"/>
      <c r="C1246" s="11" t="str">
        <f t="shared" si="76"/>
        <v/>
      </c>
      <c r="D1246" s="11" t="str">
        <f t="shared" si="77"/>
        <v/>
      </c>
      <c r="E1246" s="45"/>
      <c r="F1246" s="11" t="str">
        <f>IFERROR(VLOOKUP(E1246,Category!$D$2:$E$600,2,FALSE),"")</f>
        <v/>
      </c>
      <c r="G1246" s="45"/>
      <c r="H1246" s="73"/>
      <c r="I1246" s="18" t="str">
        <f t="shared" si="78"/>
        <v/>
      </c>
      <c r="J1246" s="45"/>
      <c r="K1246" s="45"/>
    </row>
    <row r="1247" spans="1:11">
      <c r="A1247" s="17" t="str">
        <f t="shared" si="79"/>
        <v/>
      </c>
      <c r="B1247" s="53"/>
      <c r="C1247" s="11" t="str">
        <f t="shared" si="76"/>
        <v/>
      </c>
      <c r="D1247" s="11" t="str">
        <f t="shared" si="77"/>
        <v/>
      </c>
      <c r="E1247" s="45"/>
      <c r="F1247" s="11" t="str">
        <f>IFERROR(VLOOKUP(E1247,Category!$D$2:$E$600,2,FALSE),"")</f>
        <v/>
      </c>
      <c r="G1247" s="45"/>
      <c r="H1247" s="73"/>
      <c r="I1247" s="18" t="str">
        <f t="shared" si="78"/>
        <v/>
      </c>
      <c r="J1247" s="45"/>
      <c r="K1247" s="45"/>
    </row>
    <row r="1248" spans="1:11">
      <c r="A1248" s="17" t="str">
        <f t="shared" si="79"/>
        <v/>
      </c>
      <c r="B1248" s="53"/>
      <c r="C1248" s="11" t="str">
        <f t="shared" si="76"/>
        <v/>
      </c>
      <c r="D1248" s="11" t="str">
        <f t="shared" si="77"/>
        <v/>
      </c>
      <c r="E1248" s="45"/>
      <c r="F1248" s="11" t="str">
        <f>IFERROR(VLOOKUP(E1248,Category!$D$2:$E$600,2,FALSE),"")</f>
        <v/>
      </c>
      <c r="G1248" s="45"/>
      <c r="H1248" s="73"/>
      <c r="I1248" s="18" t="str">
        <f t="shared" si="78"/>
        <v/>
      </c>
      <c r="J1248" s="45"/>
      <c r="K1248" s="45"/>
    </row>
    <row r="1249" spans="1:11">
      <c r="A1249" s="17" t="str">
        <f t="shared" si="79"/>
        <v/>
      </c>
      <c r="B1249" s="53"/>
      <c r="C1249" s="11" t="str">
        <f t="shared" si="76"/>
        <v/>
      </c>
      <c r="D1249" s="11" t="str">
        <f t="shared" si="77"/>
        <v/>
      </c>
      <c r="E1249" s="45"/>
      <c r="F1249" s="11" t="str">
        <f>IFERROR(VLOOKUP(E1249,Category!$D$2:$E$600,2,FALSE),"")</f>
        <v/>
      </c>
      <c r="G1249" s="45"/>
      <c r="H1249" s="73"/>
      <c r="I1249" s="18" t="str">
        <f t="shared" si="78"/>
        <v/>
      </c>
      <c r="J1249" s="45"/>
      <c r="K1249" s="45"/>
    </row>
    <row r="1250" spans="1:11">
      <c r="A1250" s="17" t="str">
        <f t="shared" si="79"/>
        <v/>
      </c>
      <c r="B1250" s="53"/>
      <c r="C1250" s="11" t="str">
        <f t="shared" si="76"/>
        <v/>
      </c>
      <c r="D1250" s="11" t="str">
        <f t="shared" si="77"/>
        <v/>
      </c>
      <c r="E1250" s="45"/>
      <c r="F1250" s="11" t="str">
        <f>IFERROR(VLOOKUP(E1250,Category!$D$2:$E$600,2,FALSE),"")</f>
        <v/>
      </c>
      <c r="G1250" s="45"/>
      <c r="H1250" s="73"/>
      <c r="I1250" s="18" t="str">
        <f t="shared" si="78"/>
        <v/>
      </c>
      <c r="J1250" s="45"/>
      <c r="K1250" s="45"/>
    </row>
    <row r="1251" spans="1:11">
      <c r="A1251" s="17" t="str">
        <f t="shared" si="79"/>
        <v/>
      </c>
      <c r="B1251" s="53"/>
      <c r="C1251" s="11" t="str">
        <f t="shared" si="76"/>
        <v/>
      </c>
      <c r="D1251" s="11" t="str">
        <f t="shared" si="77"/>
        <v/>
      </c>
      <c r="E1251" s="45"/>
      <c r="F1251" s="11" t="str">
        <f>IFERROR(VLOOKUP(E1251,Category!$D$2:$E$600,2,FALSE),"")</f>
        <v/>
      </c>
      <c r="G1251" s="45"/>
      <c r="H1251" s="73"/>
      <c r="I1251" s="18" t="str">
        <f t="shared" si="78"/>
        <v/>
      </c>
      <c r="J1251" s="45"/>
      <c r="K1251" s="45"/>
    </row>
    <row r="1252" spans="1:11">
      <c r="A1252" s="17" t="str">
        <f t="shared" si="79"/>
        <v/>
      </c>
      <c r="B1252" s="53"/>
      <c r="C1252" s="11" t="str">
        <f t="shared" si="76"/>
        <v/>
      </c>
      <c r="D1252" s="11" t="str">
        <f t="shared" si="77"/>
        <v/>
      </c>
      <c r="E1252" s="45"/>
      <c r="F1252" s="11" t="str">
        <f>IFERROR(VLOOKUP(E1252,Category!$D$2:$E$600,2,FALSE),"")</f>
        <v/>
      </c>
      <c r="G1252" s="45"/>
      <c r="H1252" s="73"/>
      <c r="I1252" s="18" t="str">
        <f t="shared" si="78"/>
        <v/>
      </c>
      <c r="J1252" s="45"/>
      <c r="K1252" s="45"/>
    </row>
    <row r="1253" spans="1:11">
      <c r="A1253" s="17" t="str">
        <f t="shared" si="79"/>
        <v/>
      </c>
      <c r="B1253" s="53"/>
      <c r="C1253" s="11" t="str">
        <f t="shared" si="76"/>
        <v/>
      </c>
      <c r="D1253" s="11" t="str">
        <f t="shared" si="77"/>
        <v/>
      </c>
      <c r="E1253" s="45"/>
      <c r="F1253" s="11" t="str">
        <f>IFERROR(VLOOKUP(E1253,Category!$D$2:$E$600,2,FALSE),"")</f>
        <v/>
      </c>
      <c r="G1253" s="45"/>
      <c r="H1253" s="73"/>
      <c r="I1253" s="18" t="str">
        <f t="shared" si="78"/>
        <v/>
      </c>
      <c r="J1253" s="45"/>
      <c r="K1253" s="45"/>
    </row>
    <row r="1254" spans="1:11">
      <c r="A1254" s="17" t="str">
        <f t="shared" si="79"/>
        <v/>
      </c>
      <c r="B1254" s="53"/>
      <c r="C1254" s="11" t="str">
        <f t="shared" si="76"/>
        <v/>
      </c>
      <c r="D1254" s="11" t="str">
        <f t="shared" si="77"/>
        <v/>
      </c>
      <c r="E1254" s="45"/>
      <c r="F1254" s="11" t="str">
        <f>IFERROR(VLOOKUP(E1254,Category!$D$2:$E$600,2,FALSE),"")</f>
        <v/>
      </c>
      <c r="G1254" s="45"/>
      <c r="H1254" s="73"/>
      <c r="I1254" s="18" t="str">
        <f t="shared" si="78"/>
        <v/>
      </c>
      <c r="J1254" s="45"/>
      <c r="K1254" s="45"/>
    </row>
    <row r="1255" spans="1:11">
      <c r="A1255" s="17" t="str">
        <f t="shared" si="79"/>
        <v/>
      </c>
      <c r="B1255" s="53"/>
      <c r="C1255" s="11" t="str">
        <f t="shared" si="76"/>
        <v/>
      </c>
      <c r="D1255" s="11" t="str">
        <f t="shared" si="77"/>
        <v/>
      </c>
      <c r="E1255" s="45"/>
      <c r="F1255" s="11" t="str">
        <f>IFERROR(VLOOKUP(E1255,Category!$D$2:$E$600,2,FALSE),"")</f>
        <v/>
      </c>
      <c r="G1255" s="45"/>
      <c r="H1255" s="73"/>
      <c r="I1255" s="18" t="str">
        <f t="shared" si="78"/>
        <v/>
      </c>
      <c r="J1255" s="45"/>
      <c r="K1255" s="45"/>
    </row>
    <row r="1256" spans="1:11">
      <c r="A1256" s="17" t="str">
        <f t="shared" si="79"/>
        <v/>
      </c>
      <c r="B1256" s="53"/>
      <c r="C1256" s="11" t="str">
        <f t="shared" si="76"/>
        <v/>
      </c>
      <c r="D1256" s="11" t="str">
        <f t="shared" si="77"/>
        <v/>
      </c>
      <c r="E1256" s="45"/>
      <c r="F1256" s="11" t="str">
        <f>IFERROR(VLOOKUP(E1256,Category!$D$2:$E$600,2,FALSE),"")</f>
        <v/>
      </c>
      <c r="G1256" s="45"/>
      <c r="H1256" s="73"/>
      <c r="I1256" s="18" t="str">
        <f t="shared" si="78"/>
        <v/>
      </c>
      <c r="J1256" s="45"/>
      <c r="K1256" s="45"/>
    </row>
    <row r="1257" spans="1:11">
      <c r="A1257" s="17" t="str">
        <f t="shared" si="79"/>
        <v/>
      </c>
      <c r="B1257" s="53"/>
      <c r="C1257" s="11" t="str">
        <f t="shared" si="76"/>
        <v/>
      </c>
      <c r="D1257" s="11" t="str">
        <f t="shared" si="77"/>
        <v/>
      </c>
      <c r="E1257" s="45"/>
      <c r="F1257" s="11" t="str">
        <f>IFERROR(VLOOKUP(E1257,Category!$D$2:$E$600,2,FALSE),"")</f>
        <v/>
      </c>
      <c r="G1257" s="45"/>
      <c r="H1257" s="73"/>
      <c r="I1257" s="18" t="str">
        <f t="shared" si="78"/>
        <v/>
      </c>
      <c r="J1257" s="45"/>
      <c r="K1257" s="45"/>
    </row>
    <row r="1258" spans="1:11">
      <c r="A1258" s="17" t="str">
        <f t="shared" si="79"/>
        <v/>
      </c>
      <c r="B1258" s="53"/>
      <c r="C1258" s="11" t="str">
        <f t="shared" si="76"/>
        <v/>
      </c>
      <c r="D1258" s="11" t="str">
        <f t="shared" si="77"/>
        <v/>
      </c>
      <c r="E1258" s="45"/>
      <c r="F1258" s="11" t="str">
        <f>IFERROR(VLOOKUP(E1258,Category!$D$2:$E$600,2,FALSE),"")</f>
        <v/>
      </c>
      <c r="G1258" s="45"/>
      <c r="H1258" s="73"/>
      <c r="I1258" s="18" t="str">
        <f t="shared" si="78"/>
        <v/>
      </c>
      <c r="J1258" s="45"/>
      <c r="K1258" s="45"/>
    </row>
    <row r="1259" spans="1:11">
      <c r="A1259" s="17" t="str">
        <f t="shared" si="79"/>
        <v/>
      </c>
      <c r="B1259" s="53"/>
      <c r="C1259" s="11" t="str">
        <f t="shared" si="76"/>
        <v/>
      </c>
      <c r="D1259" s="11" t="str">
        <f t="shared" si="77"/>
        <v/>
      </c>
      <c r="E1259" s="45"/>
      <c r="F1259" s="11" t="str">
        <f>IFERROR(VLOOKUP(E1259,Category!$D$2:$E$600,2,FALSE),"")</f>
        <v/>
      </c>
      <c r="G1259" s="45"/>
      <c r="H1259" s="73"/>
      <c r="I1259" s="18" t="str">
        <f t="shared" si="78"/>
        <v/>
      </c>
      <c r="J1259" s="45"/>
      <c r="K1259" s="45"/>
    </row>
    <row r="1260" spans="1:11">
      <c r="A1260" s="17" t="str">
        <f t="shared" si="79"/>
        <v/>
      </c>
      <c r="B1260" s="53"/>
      <c r="C1260" s="11" t="str">
        <f t="shared" si="76"/>
        <v/>
      </c>
      <c r="D1260" s="11" t="str">
        <f t="shared" si="77"/>
        <v/>
      </c>
      <c r="E1260" s="45"/>
      <c r="F1260" s="11" t="str">
        <f>IFERROR(VLOOKUP(E1260,Category!$D$2:$E$600,2,FALSE),"")</f>
        <v/>
      </c>
      <c r="G1260" s="45"/>
      <c r="H1260" s="73"/>
      <c r="I1260" s="18" t="str">
        <f t="shared" si="78"/>
        <v/>
      </c>
      <c r="J1260" s="45"/>
      <c r="K1260" s="45"/>
    </row>
    <row r="1261" spans="1:11">
      <c r="A1261" s="17" t="str">
        <f t="shared" si="79"/>
        <v/>
      </c>
      <c r="B1261" s="53"/>
      <c r="C1261" s="11" t="str">
        <f t="shared" si="76"/>
        <v/>
      </c>
      <c r="D1261" s="11" t="str">
        <f t="shared" si="77"/>
        <v/>
      </c>
      <c r="E1261" s="45"/>
      <c r="F1261" s="11" t="str">
        <f>IFERROR(VLOOKUP(E1261,Category!$D$2:$E$600,2,FALSE),"")</f>
        <v/>
      </c>
      <c r="G1261" s="45"/>
      <c r="H1261" s="73"/>
      <c r="I1261" s="18" t="str">
        <f t="shared" si="78"/>
        <v/>
      </c>
      <c r="J1261" s="45"/>
      <c r="K1261" s="45"/>
    </row>
    <row r="1262" spans="1:11">
      <c r="A1262" s="17" t="str">
        <f t="shared" si="79"/>
        <v/>
      </c>
      <c r="B1262" s="53"/>
      <c r="C1262" s="11" t="str">
        <f t="shared" si="76"/>
        <v/>
      </c>
      <c r="D1262" s="11" t="str">
        <f t="shared" si="77"/>
        <v/>
      </c>
      <c r="E1262" s="45"/>
      <c r="F1262" s="11" t="str">
        <f>IFERROR(VLOOKUP(E1262,Category!$D$2:$E$600,2,FALSE),"")</f>
        <v/>
      </c>
      <c r="G1262" s="45"/>
      <c r="H1262" s="73"/>
      <c r="I1262" s="18" t="str">
        <f t="shared" si="78"/>
        <v/>
      </c>
      <c r="J1262" s="45"/>
      <c r="K1262" s="45"/>
    </row>
    <row r="1263" spans="1:11">
      <c r="A1263" s="17" t="str">
        <f t="shared" si="79"/>
        <v/>
      </c>
      <c r="B1263" s="53"/>
      <c r="C1263" s="11" t="str">
        <f t="shared" si="76"/>
        <v/>
      </c>
      <c r="D1263" s="11" t="str">
        <f t="shared" si="77"/>
        <v/>
      </c>
      <c r="E1263" s="45"/>
      <c r="F1263" s="11" t="str">
        <f>IFERROR(VLOOKUP(E1263,Category!$D$2:$E$600,2,FALSE),"")</f>
        <v/>
      </c>
      <c r="G1263" s="45"/>
      <c r="H1263" s="73"/>
      <c r="I1263" s="18" t="str">
        <f t="shared" si="78"/>
        <v/>
      </c>
      <c r="J1263" s="45"/>
      <c r="K1263" s="45"/>
    </row>
    <row r="1264" spans="1:11">
      <c r="A1264" s="17" t="str">
        <f t="shared" si="79"/>
        <v/>
      </c>
      <c r="B1264" s="53"/>
      <c r="C1264" s="11" t="str">
        <f t="shared" si="76"/>
        <v/>
      </c>
      <c r="D1264" s="11" t="str">
        <f t="shared" si="77"/>
        <v/>
      </c>
      <c r="E1264" s="45"/>
      <c r="F1264" s="11" t="str">
        <f>IFERROR(VLOOKUP(E1264,Category!$D$2:$E$600,2,FALSE),"")</f>
        <v/>
      </c>
      <c r="G1264" s="45"/>
      <c r="H1264" s="73"/>
      <c r="I1264" s="18" t="str">
        <f t="shared" si="78"/>
        <v/>
      </c>
      <c r="J1264" s="45"/>
      <c r="K1264" s="45"/>
    </row>
    <row r="1265" spans="1:11">
      <c r="A1265" s="17" t="str">
        <f t="shared" si="79"/>
        <v/>
      </c>
      <c r="B1265" s="53"/>
      <c r="C1265" s="11" t="str">
        <f t="shared" si="76"/>
        <v/>
      </c>
      <c r="D1265" s="11" t="str">
        <f t="shared" si="77"/>
        <v/>
      </c>
      <c r="E1265" s="45"/>
      <c r="F1265" s="11" t="str">
        <f>IFERROR(VLOOKUP(E1265,Category!$D$2:$E$600,2,FALSE),"")</f>
        <v/>
      </c>
      <c r="G1265" s="45"/>
      <c r="H1265" s="73"/>
      <c r="I1265" s="18" t="str">
        <f t="shared" si="78"/>
        <v/>
      </c>
      <c r="J1265" s="45"/>
      <c r="K1265" s="45"/>
    </row>
    <row r="1266" spans="1:11">
      <c r="A1266" s="17" t="str">
        <f t="shared" si="79"/>
        <v/>
      </c>
      <c r="B1266" s="53"/>
      <c r="C1266" s="11" t="str">
        <f t="shared" si="76"/>
        <v/>
      </c>
      <c r="D1266" s="11" t="str">
        <f t="shared" si="77"/>
        <v/>
      </c>
      <c r="E1266" s="45"/>
      <c r="F1266" s="11" t="str">
        <f>IFERROR(VLOOKUP(E1266,Category!$D$2:$E$600,2,FALSE),"")</f>
        <v/>
      </c>
      <c r="G1266" s="45"/>
      <c r="H1266" s="73"/>
      <c r="I1266" s="18" t="str">
        <f t="shared" si="78"/>
        <v/>
      </c>
      <c r="J1266" s="45"/>
      <c r="K1266" s="45"/>
    </row>
    <row r="1267" spans="1:11">
      <c r="A1267" s="17" t="str">
        <f t="shared" si="79"/>
        <v/>
      </c>
      <c r="B1267" s="53"/>
      <c r="C1267" s="11" t="str">
        <f t="shared" si="76"/>
        <v/>
      </c>
      <c r="D1267" s="11" t="str">
        <f t="shared" si="77"/>
        <v/>
      </c>
      <c r="E1267" s="45"/>
      <c r="F1267" s="11" t="str">
        <f>IFERROR(VLOOKUP(E1267,Category!$D$2:$E$600,2,FALSE),"")</f>
        <v/>
      </c>
      <c r="G1267" s="45"/>
      <c r="H1267" s="73"/>
      <c r="I1267" s="18" t="str">
        <f t="shared" si="78"/>
        <v/>
      </c>
      <c r="J1267" s="45"/>
      <c r="K1267" s="45"/>
    </row>
    <row r="1268" spans="1:11">
      <c r="A1268" s="17" t="str">
        <f t="shared" si="79"/>
        <v/>
      </c>
      <c r="B1268" s="53"/>
      <c r="C1268" s="11" t="str">
        <f t="shared" si="76"/>
        <v/>
      </c>
      <c r="D1268" s="11" t="str">
        <f t="shared" si="77"/>
        <v/>
      </c>
      <c r="E1268" s="45"/>
      <c r="F1268" s="11" t="str">
        <f>IFERROR(VLOOKUP(E1268,Category!$D$2:$E$600,2,FALSE),"")</f>
        <v/>
      </c>
      <c r="G1268" s="45"/>
      <c r="H1268" s="73"/>
      <c r="I1268" s="18" t="str">
        <f t="shared" si="78"/>
        <v/>
      </c>
      <c r="J1268" s="45"/>
      <c r="K1268" s="45"/>
    </row>
    <row r="1269" spans="1:11">
      <c r="A1269" s="17" t="str">
        <f t="shared" si="79"/>
        <v/>
      </c>
      <c r="B1269" s="53"/>
      <c r="C1269" s="11" t="str">
        <f t="shared" si="76"/>
        <v/>
      </c>
      <c r="D1269" s="11" t="str">
        <f t="shared" si="77"/>
        <v/>
      </c>
      <c r="E1269" s="45"/>
      <c r="F1269" s="11" t="str">
        <f>IFERROR(VLOOKUP(E1269,Category!$D$2:$E$600,2,FALSE),"")</f>
        <v/>
      </c>
      <c r="G1269" s="45"/>
      <c r="H1269" s="73"/>
      <c r="I1269" s="18" t="str">
        <f t="shared" si="78"/>
        <v/>
      </c>
      <c r="J1269" s="45"/>
      <c r="K1269" s="45"/>
    </row>
    <row r="1270" spans="1:11">
      <c r="A1270" s="17" t="str">
        <f t="shared" si="79"/>
        <v/>
      </c>
      <c r="B1270" s="53"/>
      <c r="C1270" s="11" t="str">
        <f t="shared" si="76"/>
        <v/>
      </c>
      <c r="D1270" s="11" t="str">
        <f t="shared" si="77"/>
        <v/>
      </c>
      <c r="E1270" s="45"/>
      <c r="F1270" s="11" t="str">
        <f>IFERROR(VLOOKUP(E1270,Category!$D$2:$E$600,2,FALSE),"")</f>
        <v/>
      </c>
      <c r="G1270" s="45"/>
      <c r="H1270" s="73"/>
      <c r="I1270" s="18" t="str">
        <f t="shared" si="78"/>
        <v/>
      </c>
      <c r="J1270" s="45"/>
      <c r="K1270" s="45"/>
    </row>
    <row r="1271" spans="1:11">
      <c r="A1271" s="17" t="str">
        <f t="shared" si="79"/>
        <v/>
      </c>
      <c r="B1271" s="53"/>
      <c r="C1271" s="11" t="str">
        <f t="shared" si="76"/>
        <v/>
      </c>
      <c r="D1271" s="11" t="str">
        <f t="shared" si="77"/>
        <v/>
      </c>
      <c r="E1271" s="45"/>
      <c r="F1271" s="11" t="str">
        <f>IFERROR(VLOOKUP(E1271,Category!$D$2:$E$600,2,FALSE),"")</f>
        <v/>
      </c>
      <c r="G1271" s="45"/>
      <c r="H1271" s="73"/>
      <c r="I1271" s="18" t="str">
        <f t="shared" si="78"/>
        <v/>
      </c>
      <c r="J1271" s="45"/>
      <c r="K1271" s="45"/>
    </row>
    <row r="1272" spans="1:11">
      <c r="A1272" s="17" t="str">
        <f t="shared" si="79"/>
        <v/>
      </c>
      <c r="B1272" s="53"/>
      <c r="C1272" s="11" t="str">
        <f t="shared" si="76"/>
        <v/>
      </c>
      <c r="D1272" s="11" t="str">
        <f t="shared" si="77"/>
        <v/>
      </c>
      <c r="E1272" s="45"/>
      <c r="F1272" s="11" t="str">
        <f>IFERROR(VLOOKUP(E1272,Category!$D$2:$E$600,2,FALSE),"")</f>
        <v/>
      </c>
      <c r="G1272" s="45"/>
      <c r="H1272" s="73"/>
      <c r="I1272" s="18" t="str">
        <f t="shared" si="78"/>
        <v/>
      </c>
      <c r="J1272" s="45"/>
      <c r="K1272" s="45"/>
    </row>
    <row r="1273" spans="1:11">
      <c r="A1273" s="17" t="str">
        <f t="shared" si="79"/>
        <v/>
      </c>
      <c r="B1273" s="53"/>
      <c r="C1273" s="11" t="str">
        <f t="shared" si="76"/>
        <v/>
      </c>
      <c r="D1273" s="11" t="str">
        <f t="shared" si="77"/>
        <v/>
      </c>
      <c r="E1273" s="45"/>
      <c r="F1273" s="11" t="str">
        <f>IFERROR(VLOOKUP(E1273,Category!$D$2:$E$600,2,FALSE),"")</f>
        <v/>
      </c>
      <c r="G1273" s="45"/>
      <c r="H1273" s="73"/>
      <c r="I1273" s="18" t="str">
        <f t="shared" si="78"/>
        <v/>
      </c>
      <c r="J1273" s="45"/>
      <c r="K1273" s="45"/>
    </row>
    <row r="1274" spans="1:11">
      <c r="A1274" s="17" t="str">
        <f t="shared" si="79"/>
        <v/>
      </c>
      <c r="B1274" s="53"/>
      <c r="C1274" s="11" t="str">
        <f t="shared" si="76"/>
        <v/>
      </c>
      <c r="D1274" s="11" t="str">
        <f t="shared" si="77"/>
        <v/>
      </c>
      <c r="E1274" s="45"/>
      <c r="F1274" s="11" t="str">
        <f>IFERROR(VLOOKUP(E1274,Category!$D$2:$E$600,2,FALSE),"")</f>
        <v/>
      </c>
      <c r="G1274" s="45"/>
      <c r="H1274" s="73"/>
      <c r="I1274" s="18" t="str">
        <f t="shared" si="78"/>
        <v/>
      </c>
      <c r="J1274" s="45"/>
      <c r="K1274" s="45"/>
    </row>
    <row r="1275" spans="1:11">
      <c r="A1275" s="17" t="str">
        <f t="shared" si="79"/>
        <v/>
      </c>
      <c r="B1275" s="53"/>
      <c r="C1275" s="11" t="str">
        <f t="shared" si="76"/>
        <v/>
      </c>
      <c r="D1275" s="11" t="str">
        <f t="shared" si="77"/>
        <v/>
      </c>
      <c r="E1275" s="45"/>
      <c r="F1275" s="11" t="str">
        <f>IFERROR(VLOOKUP(E1275,Category!$D$2:$E$600,2,FALSE),"")</f>
        <v/>
      </c>
      <c r="G1275" s="45"/>
      <c r="H1275" s="73"/>
      <c r="I1275" s="18" t="str">
        <f t="shared" si="78"/>
        <v/>
      </c>
      <c r="J1275" s="45"/>
      <c r="K1275" s="45"/>
    </row>
    <row r="1276" spans="1:11">
      <c r="A1276" s="17" t="str">
        <f t="shared" si="79"/>
        <v/>
      </c>
      <c r="B1276" s="53"/>
      <c r="C1276" s="11" t="str">
        <f t="shared" si="76"/>
        <v/>
      </c>
      <c r="D1276" s="11" t="str">
        <f t="shared" si="77"/>
        <v/>
      </c>
      <c r="E1276" s="45"/>
      <c r="F1276" s="11" t="str">
        <f>IFERROR(VLOOKUP(E1276,Category!$D$2:$E$600,2,FALSE),"")</f>
        <v/>
      </c>
      <c r="G1276" s="45"/>
      <c r="H1276" s="73"/>
      <c r="I1276" s="18" t="str">
        <f t="shared" si="78"/>
        <v/>
      </c>
      <c r="J1276" s="45"/>
      <c r="K1276" s="45"/>
    </row>
    <row r="1277" spans="1:11">
      <c r="A1277" s="17" t="str">
        <f t="shared" si="79"/>
        <v/>
      </c>
      <c r="B1277" s="53"/>
      <c r="C1277" s="11" t="str">
        <f t="shared" si="76"/>
        <v/>
      </c>
      <c r="D1277" s="11" t="str">
        <f t="shared" si="77"/>
        <v/>
      </c>
      <c r="E1277" s="45"/>
      <c r="F1277" s="11" t="str">
        <f>IFERROR(VLOOKUP(E1277,Category!$D$2:$E$600,2,FALSE),"")</f>
        <v/>
      </c>
      <c r="G1277" s="45"/>
      <c r="H1277" s="73"/>
      <c r="I1277" s="18" t="str">
        <f t="shared" si="78"/>
        <v/>
      </c>
      <c r="J1277" s="45"/>
      <c r="K1277" s="45"/>
    </row>
    <row r="1278" spans="1:11">
      <c r="A1278" s="17" t="str">
        <f t="shared" si="79"/>
        <v/>
      </c>
      <c r="B1278" s="53"/>
      <c r="C1278" s="11" t="str">
        <f t="shared" si="76"/>
        <v/>
      </c>
      <c r="D1278" s="11" t="str">
        <f t="shared" si="77"/>
        <v/>
      </c>
      <c r="E1278" s="45"/>
      <c r="F1278" s="11" t="str">
        <f>IFERROR(VLOOKUP(E1278,Category!$D$2:$E$600,2,FALSE),"")</f>
        <v/>
      </c>
      <c r="G1278" s="45"/>
      <c r="H1278" s="73"/>
      <c r="I1278" s="18" t="str">
        <f t="shared" si="78"/>
        <v/>
      </c>
      <c r="J1278" s="45"/>
      <c r="K1278" s="45"/>
    </row>
    <row r="1279" spans="1:11">
      <c r="A1279" s="17" t="str">
        <f t="shared" si="79"/>
        <v/>
      </c>
      <c r="B1279" s="53"/>
      <c r="C1279" s="11" t="str">
        <f t="shared" si="76"/>
        <v/>
      </c>
      <c r="D1279" s="11" t="str">
        <f t="shared" si="77"/>
        <v/>
      </c>
      <c r="E1279" s="45"/>
      <c r="F1279" s="11" t="str">
        <f>IFERROR(VLOOKUP(E1279,Category!$D$2:$E$600,2,FALSE),"")</f>
        <v/>
      </c>
      <c r="G1279" s="45"/>
      <c r="H1279" s="73"/>
      <c r="I1279" s="18" t="str">
        <f t="shared" si="78"/>
        <v/>
      </c>
      <c r="J1279" s="45"/>
      <c r="K1279" s="45"/>
    </row>
    <row r="1280" spans="1:11">
      <c r="A1280" s="17" t="str">
        <f t="shared" si="79"/>
        <v/>
      </c>
      <c r="B1280" s="53"/>
      <c r="C1280" s="11" t="str">
        <f t="shared" si="76"/>
        <v/>
      </c>
      <c r="D1280" s="11" t="str">
        <f t="shared" si="77"/>
        <v/>
      </c>
      <c r="E1280" s="45"/>
      <c r="F1280" s="11" t="str">
        <f>IFERROR(VLOOKUP(E1280,Category!$D$2:$E$600,2,FALSE),"")</f>
        <v/>
      </c>
      <c r="G1280" s="45"/>
      <c r="H1280" s="73"/>
      <c r="I1280" s="18" t="str">
        <f t="shared" si="78"/>
        <v/>
      </c>
      <c r="J1280" s="45"/>
      <c r="K1280" s="45"/>
    </row>
    <row r="1281" spans="1:11">
      <c r="A1281" s="17" t="str">
        <f t="shared" si="79"/>
        <v/>
      </c>
      <c r="B1281" s="53"/>
      <c r="C1281" s="11" t="str">
        <f t="shared" si="76"/>
        <v/>
      </c>
      <c r="D1281" s="11" t="str">
        <f t="shared" si="77"/>
        <v/>
      </c>
      <c r="E1281" s="45"/>
      <c r="F1281" s="11" t="str">
        <f>IFERROR(VLOOKUP(E1281,Category!$D$2:$E$600,2,FALSE),"")</f>
        <v/>
      </c>
      <c r="G1281" s="45"/>
      <c r="H1281" s="73"/>
      <c r="I1281" s="18" t="str">
        <f t="shared" si="78"/>
        <v/>
      </c>
      <c r="J1281" s="45"/>
      <c r="K1281" s="45"/>
    </row>
    <row r="1282" spans="1:11">
      <c r="A1282" s="17" t="str">
        <f t="shared" si="79"/>
        <v/>
      </c>
      <c r="B1282" s="53"/>
      <c r="C1282" s="11" t="str">
        <f t="shared" si="76"/>
        <v/>
      </c>
      <c r="D1282" s="11" t="str">
        <f t="shared" si="77"/>
        <v/>
      </c>
      <c r="E1282" s="45"/>
      <c r="F1282" s="11" t="str">
        <f>IFERROR(VLOOKUP(E1282,Category!$D$2:$E$600,2,FALSE),"")</f>
        <v/>
      </c>
      <c r="G1282" s="45"/>
      <c r="H1282" s="73"/>
      <c r="I1282" s="18" t="str">
        <f t="shared" si="78"/>
        <v/>
      </c>
      <c r="J1282" s="45"/>
      <c r="K1282" s="45"/>
    </row>
    <row r="1283" spans="1:11">
      <c r="A1283" s="17" t="str">
        <f t="shared" si="79"/>
        <v/>
      </c>
      <c r="B1283" s="53"/>
      <c r="C1283" s="11" t="str">
        <f t="shared" ref="C1283:C1346" si="80">IF(B1283=0,"",TEXT(B1283,"mmmm"))</f>
        <v/>
      </c>
      <c r="D1283" s="11" t="str">
        <f t="shared" ref="D1283:D1346" si="81">IF(B1283=0,"",TEXT(B1283,"yyyy"))</f>
        <v/>
      </c>
      <c r="E1283" s="45"/>
      <c r="F1283" s="11" t="str">
        <f>IFERROR(VLOOKUP(E1283,Category!$D$2:$E$600,2,FALSE),"")</f>
        <v/>
      </c>
      <c r="G1283" s="45"/>
      <c r="H1283" s="73"/>
      <c r="I1283" s="18" t="str">
        <f t="shared" ref="I1283:I1346" si="82">IF(G1283*H1283=0,"",G1283*H1283)</f>
        <v/>
      </c>
      <c r="J1283" s="45"/>
      <c r="K1283" s="45"/>
    </row>
    <row r="1284" spans="1:11">
      <c r="A1284" s="17" t="str">
        <f t="shared" ref="A1284:A1347" si="83">IF(E1284&gt;0,A1283+1,"")</f>
        <v/>
      </c>
      <c r="B1284" s="53"/>
      <c r="C1284" s="11" t="str">
        <f t="shared" si="80"/>
        <v/>
      </c>
      <c r="D1284" s="11" t="str">
        <f t="shared" si="81"/>
        <v/>
      </c>
      <c r="E1284" s="45"/>
      <c r="F1284" s="11" t="str">
        <f>IFERROR(VLOOKUP(E1284,Category!$D$2:$E$600,2,FALSE),"")</f>
        <v/>
      </c>
      <c r="G1284" s="45"/>
      <c r="H1284" s="73"/>
      <c r="I1284" s="18" t="str">
        <f t="shared" si="82"/>
        <v/>
      </c>
      <c r="J1284" s="45"/>
      <c r="K1284" s="45"/>
    </row>
    <row r="1285" spans="1:11">
      <c r="A1285" s="17" t="str">
        <f t="shared" si="83"/>
        <v/>
      </c>
      <c r="B1285" s="53"/>
      <c r="C1285" s="11" t="str">
        <f t="shared" si="80"/>
        <v/>
      </c>
      <c r="D1285" s="11" t="str">
        <f t="shared" si="81"/>
        <v/>
      </c>
      <c r="E1285" s="45"/>
      <c r="F1285" s="11" t="str">
        <f>IFERROR(VLOOKUP(E1285,Category!$D$2:$E$600,2,FALSE),"")</f>
        <v/>
      </c>
      <c r="G1285" s="45"/>
      <c r="H1285" s="73"/>
      <c r="I1285" s="18" t="str">
        <f t="shared" si="82"/>
        <v/>
      </c>
      <c r="J1285" s="45"/>
      <c r="K1285" s="45"/>
    </row>
    <row r="1286" spans="1:11">
      <c r="A1286" s="17" t="str">
        <f t="shared" si="83"/>
        <v/>
      </c>
      <c r="B1286" s="53"/>
      <c r="C1286" s="11" t="str">
        <f t="shared" si="80"/>
        <v/>
      </c>
      <c r="D1286" s="11" t="str">
        <f t="shared" si="81"/>
        <v/>
      </c>
      <c r="E1286" s="45"/>
      <c r="F1286" s="11" t="str">
        <f>IFERROR(VLOOKUP(E1286,Category!$D$2:$E$600,2,FALSE),"")</f>
        <v/>
      </c>
      <c r="G1286" s="45"/>
      <c r="H1286" s="73"/>
      <c r="I1286" s="18" t="str">
        <f t="shared" si="82"/>
        <v/>
      </c>
      <c r="J1286" s="45"/>
      <c r="K1286" s="45"/>
    </row>
    <row r="1287" spans="1:11">
      <c r="A1287" s="17" t="str">
        <f t="shared" si="83"/>
        <v/>
      </c>
      <c r="B1287" s="53"/>
      <c r="C1287" s="11" t="str">
        <f t="shared" si="80"/>
        <v/>
      </c>
      <c r="D1287" s="11" t="str">
        <f t="shared" si="81"/>
        <v/>
      </c>
      <c r="E1287" s="45"/>
      <c r="F1287" s="11" t="str">
        <f>IFERROR(VLOOKUP(E1287,Category!$D$2:$E$600,2,FALSE),"")</f>
        <v/>
      </c>
      <c r="G1287" s="45"/>
      <c r="H1287" s="73"/>
      <c r="I1287" s="18" t="str">
        <f t="shared" si="82"/>
        <v/>
      </c>
      <c r="J1287" s="45"/>
      <c r="K1287" s="45"/>
    </row>
    <row r="1288" spans="1:11">
      <c r="A1288" s="17" t="str">
        <f t="shared" si="83"/>
        <v/>
      </c>
      <c r="B1288" s="53"/>
      <c r="C1288" s="11" t="str">
        <f t="shared" si="80"/>
        <v/>
      </c>
      <c r="D1288" s="11" t="str">
        <f t="shared" si="81"/>
        <v/>
      </c>
      <c r="E1288" s="45"/>
      <c r="F1288" s="11" t="str">
        <f>IFERROR(VLOOKUP(E1288,Category!$D$2:$E$600,2,FALSE),"")</f>
        <v/>
      </c>
      <c r="G1288" s="45"/>
      <c r="H1288" s="73"/>
      <c r="I1288" s="18" t="str">
        <f t="shared" si="82"/>
        <v/>
      </c>
      <c r="J1288" s="45"/>
      <c r="K1288" s="45"/>
    </row>
    <row r="1289" spans="1:11">
      <c r="A1289" s="17" t="str">
        <f t="shared" si="83"/>
        <v/>
      </c>
      <c r="B1289" s="53"/>
      <c r="C1289" s="11" t="str">
        <f t="shared" si="80"/>
        <v/>
      </c>
      <c r="D1289" s="11" t="str">
        <f t="shared" si="81"/>
        <v/>
      </c>
      <c r="E1289" s="45"/>
      <c r="F1289" s="11" t="str">
        <f>IFERROR(VLOOKUP(E1289,Category!$D$2:$E$600,2,FALSE),"")</f>
        <v/>
      </c>
      <c r="G1289" s="45"/>
      <c r="H1289" s="73"/>
      <c r="I1289" s="18" t="str">
        <f t="shared" si="82"/>
        <v/>
      </c>
      <c r="J1289" s="45"/>
      <c r="K1289" s="45"/>
    </row>
    <row r="1290" spans="1:11">
      <c r="A1290" s="17" t="str">
        <f t="shared" si="83"/>
        <v/>
      </c>
      <c r="B1290" s="53"/>
      <c r="C1290" s="11" t="str">
        <f t="shared" si="80"/>
        <v/>
      </c>
      <c r="D1290" s="11" t="str">
        <f t="shared" si="81"/>
        <v/>
      </c>
      <c r="E1290" s="45"/>
      <c r="F1290" s="11" t="str">
        <f>IFERROR(VLOOKUP(E1290,Category!$D$2:$E$600,2,FALSE),"")</f>
        <v/>
      </c>
      <c r="G1290" s="45"/>
      <c r="H1290" s="73"/>
      <c r="I1290" s="18" t="str">
        <f t="shared" si="82"/>
        <v/>
      </c>
      <c r="J1290" s="45"/>
      <c r="K1290" s="45"/>
    </row>
    <row r="1291" spans="1:11">
      <c r="A1291" s="17" t="str">
        <f t="shared" si="83"/>
        <v/>
      </c>
      <c r="B1291" s="53"/>
      <c r="C1291" s="11" t="str">
        <f t="shared" si="80"/>
        <v/>
      </c>
      <c r="D1291" s="11" t="str">
        <f t="shared" si="81"/>
        <v/>
      </c>
      <c r="E1291" s="45"/>
      <c r="F1291" s="11" t="str">
        <f>IFERROR(VLOOKUP(E1291,Category!$D$2:$E$600,2,FALSE),"")</f>
        <v/>
      </c>
      <c r="G1291" s="45"/>
      <c r="H1291" s="73"/>
      <c r="I1291" s="18" t="str">
        <f t="shared" si="82"/>
        <v/>
      </c>
      <c r="J1291" s="45"/>
      <c r="K1291" s="45"/>
    </row>
    <row r="1292" spans="1:11">
      <c r="A1292" s="17" t="str">
        <f t="shared" si="83"/>
        <v/>
      </c>
      <c r="B1292" s="53"/>
      <c r="C1292" s="11" t="str">
        <f t="shared" si="80"/>
        <v/>
      </c>
      <c r="D1292" s="11" t="str">
        <f t="shared" si="81"/>
        <v/>
      </c>
      <c r="E1292" s="45"/>
      <c r="F1292" s="11" t="str">
        <f>IFERROR(VLOOKUP(E1292,Category!$D$2:$E$600,2,FALSE),"")</f>
        <v/>
      </c>
      <c r="G1292" s="45"/>
      <c r="H1292" s="73"/>
      <c r="I1292" s="18" t="str">
        <f t="shared" si="82"/>
        <v/>
      </c>
      <c r="J1292" s="45"/>
      <c r="K1292" s="45"/>
    </row>
    <row r="1293" spans="1:11">
      <c r="A1293" s="17" t="str">
        <f t="shared" si="83"/>
        <v/>
      </c>
      <c r="B1293" s="53"/>
      <c r="C1293" s="11" t="str">
        <f t="shared" si="80"/>
        <v/>
      </c>
      <c r="D1293" s="11" t="str">
        <f t="shared" si="81"/>
        <v/>
      </c>
      <c r="E1293" s="45"/>
      <c r="F1293" s="11" t="str">
        <f>IFERROR(VLOOKUP(E1293,Category!$D$2:$E$600,2,FALSE),"")</f>
        <v/>
      </c>
      <c r="G1293" s="45"/>
      <c r="H1293" s="73"/>
      <c r="I1293" s="18" t="str">
        <f t="shared" si="82"/>
        <v/>
      </c>
      <c r="J1293" s="45"/>
      <c r="K1293" s="45"/>
    </row>
    <row r="1294" spans="1:11">
      <c r="A1294" s="17" t="str">
        <f t="shared" si="83"/>
        <v/>
      </c>
      <c r="B1294" s="53"/>
      <c r="C1294" s="11" t="str">
        <f t="shared" si="80"/>
        <v/>
      </c>
      <c r="D1294" s="11" t="str">
        <f t="shared" si="81"/>
        <v/>
      </c>
      <c r="E1294" s="45"/>
      <c r="F1294" s="11" t="str">
        <f>IFERROR(VLOOKUP(E1294,Category!$D$2:$E$600,2,FALSE),"")</f>
        <v/>
      </c>
      <c r="G1294" s="45"/>
      <c r="H1294" s="73"/>
      <c r="I1294" s="18" t="str">
        <f t="shared" si="82"/>
        <v/>
      </c>
      <c r="J1294" s="45"/>
      <c r="K1294" s="45"/>
    </row>
    <row r="1295" spans="1:11">
      <c r="A1295" s="17" t="str">
        <f t="shared" si="83"/>
        <v/>
      </c>
      <c r="B1295" s="53"/>
      <c r="C1295" s="11" t="str">
        <f t="shared" si="80"/>
        <v/>
      </c>
      <c r="D1295" s="11" t="str">
        <f t="shared" si="81"/>
        <v/>
      </c>
      <c r="E1295" s="45"/>
      <c r="F1295" s="11" t="str">
        <f>IFERROR(VLOOKUP(E1295,Category!$D$2:$E$600,2,FALSE),"")</f>
        <v/>
      </c>
      <c r="G1295" s="45"/>
      <c r="H1295" s="73"/>
      <c r="I1295" s="18" t="str">
        <f t="shared" si="82"/>
        <v/>
      </c>
      <c r="J1295" s="45"/>
      <c r="K1295" s="45"/>
    </row>
    <row r="1296" spans="1:11">
      <c r="A1296" s="17" t="str">
        <f t="shared" si="83"/>
        <v/>
      </c>
      <c r="B1296" s="53"/>
      <c r="C1296" s="11" t="str">
        <f t="shared" si="80"/>
        <v/>
      </c>
      <c r="D1296" s="11" t="str">
        <f t="shared" si="81"/>
        <v/>
      </c>
      <c r="E1296" s="45"/>
      <c r="F1296" s="11" t="str">
        <f>IFERROR(VLOOKUP(E1296,Category!$D$2:$E$600,2,FALSE),"")</f>
        <v/>
      </c>
      <c r="G1296" s="45"/>
      <c r="H1296" s="73"/>
      <c r="I1296" s="18" t="str">
        <f t="shared" si="82"/>
        <v/>
      </c>
      <c r="J1296" s="45"/>
      <c r="K1296" s="45"/>
    </row>
    <row r="1297" spans="1:11">
      <c r="A1297" s="17" t="str">
        <f t="shared" si="83"/>
        <v/>
      </c>
      <c r="B1297" s="53"/>
      <c r="C1297" s="11" t="str">
        <f t="shared" si="80"/>
        <v/>
      </c>
      <c r="D1297" s="11" t="str">
        <f t="shared" si="81"/>
        <v/>
      </c>
      <c r="E1297" s="45"/>
      <c r="F1297" s="11" t="str">
        <f>IFERROR(VLOOKUP(E1297,Category!$D$2:$E$600,2,FALSE),"")</f>
        <v/>
      </c>
      <c r="G1297" s="45"/>
      <c r="H1297" s="73"/>
      <c r="I1297" s="18" t="str">
        <f t="shared" si="82"/>
        <v/>
      </c>
      <c r="J1297" s="45"/>
      <c r="K1297" s="45"/>
    </row>
    <row r="1298" spans="1:11">
      <c r="A1298" s="17" t="str">
        <f t="shared" si="83"/>
        <v/>
      </c>
      <c r="B1298" s="53"/>
      <c r="C1298" s="11" t="str">
        <f t="shared" si="80"/>
        <v/>
      </c>
      <c r="D1298" s="11" t="str">
        <f t="shared" si="81"/>
        <v/>
      </c>
      <c r="E1298" s="45"/>
      <c r="F1298" s="11" t="str">
        <f>IFERROR(VLOOKUP(E1298,Category!$D$2:$E$600,2,FALSE),"")</f>
        <v/>
      </c>
      <c r="G1298" s="45"/>
      <c r="H1298" s="73"/>
      <c r="I1298" s="18" t="str">
        <f t="shared" si="82"/>
        <v/>
      </c>
      <c r="J1298" s="45"/>
      <c r="K1298" s="45"/>
    </row>
    <row r="1299" spans="1:11">
      <c r="A1299" s="17" t="str">
        <f t="shared" si="83"/>
        <v/>
      </c>
      <c r="B1299" s="53"/>
      <c r="C1299" s="11" t="str">
        <f t="shared" si="80"/>
        <v/>
      </c>
      <c r="D1299" s="11" t="str">
        <f t="shared" si="81"/>
        <v/>
      </c>
      <c r="E1299" s="45"/>
      <c r="F1299" s="11" t="str">
        <f>IFERROR(VLOOKUP(E1299,Category!$D$2:$E$600,2,FALSE),"")</f>
        <v/>
      </c>
      <c r="G1299" s="45"/>
      <c r="H1299" s="73"/>
      <c r="I1299" s="18" t="str">
        <f t="shared" si="82"/>
        <v/>
      </c>
      <c r="J1299" s="45"/>
      <c r="K1299" s="45"/>
    </row>
    <row r="1300" spans="1:11">
      <c r="A1300" s="17" t="str">
        <f t="shared" si="83"/>
        <v/>
      </c>
      <c r="B1300" s="53"/>
      <c r="C1300" s="11" t="str">
        <f t="shared" si="80"/>
        <v/>
      </c>
      <c r="D1300" s="11" t="str">
        <f t="shared" si="81"/>
        <v/>
      </c>
      <c r="E1300" s="45"/>
      <c r="F1300" s="11" t="str">
        <f>IFERROR(VLOOKUP(E1300,Category!$D$2:$E$600,2,FALSE),"")</f>
        <v/>
      </c>
      <c r="G1300" s="45"/>
      <c r="H1300" s="73"/>
      <c r="I1300" s="18" t="str">
        <f t="shared" si="82"/>
        <v/>
      </c>
      <c r="J1300" s="45"/>
      <c r="K1300" s="45"/>
    </row>
    <row r="1301" spans="1:11">
      <c r="A1301" s="17" t="str">
        <f t="shared" si="83"/>
        <v/>
      </c>
      <c r="B1301" s="53"/>
      <c r="C1301" s="11" t="str">
        <f t="shared" si="80"/>
        <v/>
      </c>
      <c r="D1301" s="11" t="str">
        <f t="shared" si="81"/>
        <v/>
      </c>
      <c r="E1301" s="45"/>
      <c r="F1301" s="11" t="str">
        <f>IFERROR(VLOOKUP(E1301,Category!$D$2:$E$600,2,FALSE),"")</f>
        <v/>
      </c>
      <c r="G1301" s="45"/>
      <c r="H1301" s="73"/>
      <c r="I1301" s="18" t="str">
        <f t="shared" si="82"/>
        <v/>
      </c>
      <c r="J1301" s="45"/>
      <c r="K1301" s="45"/>
    </row>
    <row r="1302" spans="1:11">
      <c r="A1302" s="17" t="str">
        <f t="shared" si="83"/>
        <v/>
      </c>
      <c r="B1302" s="53"/>
      <c r="C1302" s="11" t="str">
        <f t="shared" si="80"/>
        <v/>
      </c>
      <c r="D1302" s="11" t="str">
        <f t="shared" si="81"/>
        <v/>
      </c>
      <c r="E1302" s="45"/>
      <c r="F1302" s="11" t="str">
        <f>IFERROR(VLOOKUP(E1302,Category!$D$2:$E$600,2,FALSE),"")</f>
        <v/>
      </c>
      <c r="G1302" s="45"/>
      <c r="H1302" s="73"/>
      <c r="I1302" s="18" t="str">
        <f t="shared" si="82"/>
        <v/>
      </c>
      <c r="J1302" s="45"/>
      <c r="K1302" s="45"/>
    </row>
    <row r="1303" spans="1:11">
      <c r="A1303" s="17" t="str">
        <f t="shared" si="83"/>
        <v/>
      </c>
      <c r="B1303" s="53"/>
      <c r="C1303" s="11" t="str">
        <f t="shared" si="80"/>
        <v/>
      </c>
      <c r="D1303" s="11" t="str">
        <f t="shared" si="81"/>
        <v/>
      </c>
      <c r="E1303" s="45"/>
      <c r="F1303" s="11" t="str">
        <f>IFERROR(VLOOKUP(E1303,Category!$D$2:$E$600,2,FALSE),"")</f>
        <v/>
      </c>
      <c r="G1303" s="45"/>
      <c r="H1303" s="73"/>
      <c r="I1303" s="18" t="str">
        <f t="shared" si="82"/>
        <v/>
      </c>
      <c r="J1303" s="45"/>
      <c r="K1303" s="45"/>
    </row>
    <row r="1304" spans="1:11">
      <c r="A1304" s="17" t="str">
        <f t="shared" si="83"/>
        <v/>
      </c>
      <c r="B1304" s="53"/>
      <c r="C1304" s="11" t="str">
        <f t="shared" si="80"/>
        <v/>
      </c>
      <c r="D1304" s="11" t="str">
        <f t="shared" si="81"/>
        <v/>
      </c>
      <c r="E1304" s="45"/>
      <c r="F1304" s="11" t="str">
        <f>IFERROR(VLOOKUP(E1304,Category!$D$2:$E$600,2,FALSE),"")</f>
        <v/>
      </c>
      <c r="G1304" s="45"/>
      <c r="H1304" s="73"/>
      <c r="I1304" s="18" t="str">
        <f t="shared" si="82"/>
        <v/>
      </c>
      <c r="J1304" s="45"/>
      <c r="K1304" s="45"/>
    </row>
    <row r="1305" spans="1:11">
      <c r="A1305" s="17" t="str">
        <f t="shared" si="83"/>
        <v/>
      </c>
      <c r="B1305" s="53"/>
      <c r="C1305" s="11" t="str">
        <f t="shared" si="80"/>
        <v/>
      </c>
      <c r="D1305" s="11" t="str">
        <f t="shared" si="81"/>
        <v/>
      </c>
      <c r="E1305" s="45"/>
      <c r="F1305" s="11" t="str">
        <f>IFERROR(VLOOKUP(E1305,Category!$D$2:$E$600,2,FALSE),"")</f>
        <v/>
      </c>
      <c r="G1305" s="45"/>
      <c r="H1305" s="73"/>
      <c r="I1305" s="18" t="str">
        <f t="shared" si="82"/>
        <v/>
      </c>
      <c r="J1305" s="45"/>
      <c r="K1305" s="45"/>
    </row>
    <row r="1306" spans="1:11">
      <c r="A1306" s="17" t="str">
        <f t="shared" si="83"/>
        <v/>
      </c>
      <c r="B1306" s="53"/>
      <c r="C1306" s="11" t="str">
        <f t="shared" si="80"/>
        <v/>
      </c>
      <c r="D1306" s="11" t="str">
        <f t="shared" si="81"/>
        <v/>
      </c>
      <c r="E1306" s="45"/>
      <c r="F1306" s="11" t="str">
        <f>IFERROR(VLOOKUP(E1306,Category!$D$2:$E$600,2,FALSE),"")</f>
        <v/>
      </c>
      <c r="G1306" s="45"/>
      <c r="H1306" s="73"/>
      <c r="I1306" s="18" t="str">
        <f t="shared" si="82"/>
        <v/>
      </c>
      <c r="J1306" s="45"/>
      <c r="K1306" s="45"/>
    </row>
    <row r="1307" spans="1:11">
      <c r="A1307" s="17" t="str">
        <f t="shared" si="83"/>
        <v/>
      </c>
      <c r="B1307" s="53"/>
      <c r="C1307" s="11" t="str">
        <f t="shared" si="80"/>
        <v/>
      </c>
      <c r="D1307" s="11" t="str">
        <f t="shared" si="81"/>
        <v/>
      </c>
      <c r="E1307" s="45"/>
      <c r="F1307" s="11" t="str">
        <f>IFERROR(VLOOKUP(E1307,Category!$D$2:$E$600,2,FALSE),"")</f>
        <v/>
      </c>
      <c r="G1307" s="45"/>
      <c r="H1307" s="73"/>
      <c r="I1307" s="18" t="str">
        <f t="shared" si="82"/>
        <v/>
      </c>
      <c r="J1307" s="45"/>
      <c r="K1307" s="45"/>
    </row>
    <row r="1308" spans="1:11">
      <c r="A1308" s="17" t="str">
        <f t="shared" si="83"/>
        <v/>
      </c>
      <c r="B1308" s="53"/>
      <c r="C1308" s="11" t="str">
        <f t="shared" si="80"/>
        <v/>
      </c>
      <c r="D1308" s="11" t="str">
        <f t="shared" si="81"/>
        <v/>
      </c>
      <c r="E1308" s="45"/>
      <c r="F1308" s="11" t="str">
        <f>IFERROR(VLOOKUP(E1308,Category!$D$2:$E$600,2,FALSE),"")</f>
        <v/>
      </c>
      <c r="G1308" s="45"/>
      <c r="H1308" s="73"/>
      <c r="I1308" s="18" t="str">
        <f t="shared" si="82"/>
        <v/>
      </c>
      <c r="J1308" s="45"/>
      <c r="K1308" s="45"/>
    </row>
    <row r="1309" spans="1:11">
      <c r="A1309" s="17" t="str">
        <f t="shared" si="83"/>
        <v/>
      </c>
      <c r="B1309" s="53"/>
      <c r="C1309" s="11" t="str">
        <f t="shared" si="80"/>
        <v/>
      </c>
      <c r="D1309" s="11" t="str">
        <f t="shared" si="81"/>
        <v/>
      </c>
      <c r="E1309" s="45"/>
      <c r="F1309" s="11" t="str">
        <f>IFERROR(VLOOKUP(E1309,Category!$D$2:$E$600,2,FALSE),"")</f>
        <v/>
      </c>
      <c r="G1309" s="45"/>
      <c r="H1309" s="73"/>
      <c r="I1309" s="18" t="str">
        <f t="shared" si="82"/>
        <v/>
      </c>
      <c r="J1309" s="45"/>
      <c r="K1309" s="45"/>
    </row>
    <row r="1310" spans="1:11">
      <c r="A1310" s="17" t="str">
        <f t="shared" si="83"/>
        <v/>
      </c>
      <c r="B1310" s="53"/>
      <c r="C1310" s="11" t="str">
        <f t="shared" si="80"/>
        <v/>
      </c>
      <c r="D1310" s="11" t="str">
        <f t="shared" si="81"/>
        <v/>
      </c>
      <c r="E1310" s="45"/>
      <c r="F1310" s="11" t="str">
        <f>IFERROR(VLOOKUP(E1310,Category!$D$2:$E$600,2,FALSE),"")</f>
        <v/>
      </c>
      <c r="G1310" s="45"/>
      <c r="H1310" s="73"/>
      <c r="I1310" s="18" t="str">
        <f t="shared" si="82"/>
        <v/>
      </c>
      <c r="J1310" s="45"/>
      <c r="K1310" s="45"/>
    </row>
    <row r="1311" spans="1:11">
      <c r="A1311" s="17" t="str">
        <f t="shared" si="83"/>
        <v/>
      </c>
      <c r="B1311" s="53"/>
      <c r="C1311" s="11" t="str">
        <f t="shared" si="80"/>
        <v/>
      </c>
      <c r="D1311" s="11" t="str">
        <f t="shared" si="81"/>
        <v/>
      </c>
      <c r="E1311" s="45"/>
      <c r="F1311" s="11" t="str">
        <f>IFERROR(VLOOKUP(E1311,Category!$D$2:$E$600,2,FALSE),"")</f>
        <v/>
      </c>
      <c r="G1311" s="45"/>
      <c r="H1311" s="73"/>
      <c r="I1311" s="18" t="str">
        <f t="shared" si="82"/>
        <v/>
      </c>
      <c r="J1311" s="45"/>
      <c r="K1311" s="45"/>
    </row>
    <row r="1312" spans="1:11">
      <c r="A1312" s="17" t="str">
        <f t="shared" si="83"/>
        <v/>
      </c>
      <c r="B1312" s="53"/>
      <c r="C1312" s="11" t="str">
        <f t="shared" si="80"/>
        <v/>
      </c>
      <c r="D1312" s="11" t="str">
        <f t="shared" si="81"/>
        <v/>
      </c>
      <c r="E1312" s="45"/>
      <c r="F1312" s="11" t="str">
        <f>IFERROR(VLOOKUP(E1312,Category!$D$2:$E$600,2,FALSE),"")</f>
        <v/>
      </c>
      <c r="G1312" s="45"/>
      <c r="H1312" s="73"/>
      <c r="I1312" s="18" t="str">
        <f t="shared" si="82"/>
        <v/>
      </c>
      <c r="J1312" s="45"/>
      <c r="K1312" s="45"/>
    </row>
    <row r="1313" spans="1:11">
      <c r="A1313" s="17" t="str">
        <f t="shared" si="83"/>
        <v/>
      </c>
      <c r="B1313" s="53"/>
      <c r="C1313" s="11" t="str">
        <f t="shared" si="80"/>
        <v/>
      </c>
      <c r="D1313" s="11" t="str">
        <f t="shared" si="81"/>
        <v/>
      </c>
      <c r="E1313" s="45"/>
      <c r="F1313" s="11" t="str">
        <f>IFERROR(VLOOKUP(E1313,Category!$D$2:$E$600,2,FALSE),"")</f>
        <v/>
      </c>
      <c r="G1313" s="45"/>
      <c r="H1313" s="73"/>
      <c r="I1313" s="18" t="str">
        <f t="shared" si="82"/>
        <v/>
      </c>
      <c r="J1313" s="45"/>
      <c r="K1313" s="45"/>
    </row>
    <row r="1314" spans="1:11">
      <c r="A1314" s="17" t="str">
        <f t="shared" si="83"/>
        <v/>
      </c>
      <c r="B1314" s="53"/>
      <c r="C1314" s="11" t="str">
        <f t="shared" si="80"/>
        <v/>
      </c>
      <c r="D1314" s="11" t="str">
        <f t="shared" si="81"/>
        <v/>
      </c>
      <c r="E1314" s="45"/>
      <c r="F1314" s="11" t="str">
        <f>IFERROR(VLOOKUP(E1314,Category!$D$2:$E$600,2,FALSE),"")</f>
        <v/>
      </c>
      <c r="G1314" s="45"/>
      <c r="H1314" s="73"/>
      <c r="I1314" s="18" t="str">
        <f t="shared" si="82"/>
        <v/>
      </c>
      <c r="J1314" s="45"/>
      <c r="K1314" s="45"/>
    </row>
    <row r="1315" spans="1:11">
      <c r="A1315" s="17" t="str">
        <f t="shared" si="83"/>
        <v/>
      </c>
      <c r="B1315" s="53"/>
      <c r="C1315" s="11" t="str">
        <f t="shared" si="80"/>
        <v/>
      </c>
      <c r="D1315" s="11" t="str">
        <f t="shared" si="81"/>
        <v/>
      </c>
      <c r="E1315" s="45"/>
      <c r="F1315" s="11" t="str">
        <f>IFERROR(VLOOKUP(E1315,Category!$D$2:$E$600,2,FALSE),"")</f>
        <v/>
      </c>
      <c r="G1315" s="45"/>
      <c r="H1315" s="73"/>
      <c r="I1315" s="18" t="str">
        <f t="shared" si="82"/>
        <v/>
      </c>
      <c r="J1315" s="45"/>
      <c r="K1315" s="45"/>
    </row>
    <row r="1316" spans="1:11">
      <c r="A1316" s="17" t="str">
        <f t="shared" si="83"/>
        <v/>
      </c>
      <c r="B1316" s="53"/>
      <c r="C1316" s="11" t="str">
        <f t="shared" si="80"/>
        <v/>
      </c>
      <c r="D1316" s="11" t="str">
        <f t="shared" si="81"/>
        <v/>
      </c>
      <c r="E1316" s="45"/>
      <c r="F1316" s="11" t="str">
        <f>IFERROR(VLOOKUP(E1316,Category!$D$2:$E$600,2,FALSE),"")</f>
        <v/>
      </c>
      <c r="G1316" s="45"/>
      <c r="H1316" s="73"/>
      <c r="I1316" s="18" t="str">
        <f t="shared" si="82"/>
        <v/>
      </c>
      <c r="J1316" s="45"/>
      <c r="K1316" s="45"/>
    </row>
    <row r="1317" spans="1:11">
      <c r="A1317" s="17" t="str">
        <f t="shared" si="83"/>
        <v/>
      </c>
      <c r="B1317" s="53"/>
      <c r="C1317" s="11" t="str">
        <f t="shared" si="80"/>
        <v/>
      </c>
      <c r="D1317" s="11" t="str">
        <f t="shared" si="81"/>
        <v/>
      </c>
      <c r="E1317" s="45"/>
      <c r="F1317" s="11" t="str">
        <f>IFERROR(VLOOKUP(E1317,Category!$D$2:$E$600,2,FALSE),"")</f>
        <v/>
      </c>
      <c r="G1317" s="45"/>
      <c r="H1317" s="73"/>
      <c r="I1317" s="18" t="str">
        <f t="shared" si="82"/>
        <v/>
      </c>
      <c r="J1317" s="45"/>
      <c r="K1317" s="45"/>
    </row>
    <row r="1318" spans="1:11">
      <c r="A1318" s="17" t="str">
        <f t="shared" si="83"/>
        <v/>
      </c>
      <c r="B1318" s="53"/>
      <c r="C1318" s="11" t="str">
        <f t="shared" si="80"/>
        <v/>
      </c>
      <c r="D1318" s="11" t="str">
        <f t="shared" si="81"/>
        <v/>
      </c>
      <c r="E1318" s="45"/>
      <c r="F1318" s="11" t="str">
        <f>IFERROR(VLOOKUP(E1318,Category!$D$2:$E$600,2,FALSE),"")</f>
        <v/>
      </c>
      <c r="G1318" s="45"/>
      <c r="H1318" s="73"/>
      <c r="I1318" s="18" t="str">
        <f t="shared" si="82"/>
        <v/>
      </c>
      <c r="J1318" s="45"/>
      <c r="K1318" s="45"/>
    </row>
    <row r="1319" spans="1:11">
      <c r="A1319" s="17" t="str">
        <f t="shared" si="83"/>
        <v/>
      </c>
      <c r="B1319" s="53"/>
      <c r="C1319" s="11" t="str">
        <f t="shared" si="80"/>
        <v/>
      </c>
      <c r="D1319" s="11" t="str">
        <f t="shared" si="81"/>
        <v/>
      </c>
      <c r="E1319" s="45"/>
      <c r="F1319" s="11" t="str">
        <f>IFERROR(VLOOKUP(E1319,Category!$D$2:$E$600,2,FALSE),"")</f>
        <v/>
      </c>
      <c r="G1319" s="45"/>
      <c r="H1319" s="73"/>
      <c r="I1319" s="18" t="str">
        <f t="shared" si="82"/>
        <v/>
      </c>
      <c r="J1319" s="45"/>
      <c r="K1319" s="45"/>
    </row>
    <row r="1320" spans="1:11">
      <c r="A1320" s="17" t="str">
        <f t="shared" si="83"/>
        <v/>
      </c>
      <c r="B1320" s="53"/>
      <c r="C1320" s="11" t="str">
        <f t="shared" si="80"/>
        <v/>
      </c>
      <c r="D1320" s="11" t="str">
        <f t="shared" si="81"/>
        <v/>
      </c>
      <c r="E1320" s="45"/>
      <c r="F1320" s="11" t="str">
        <f>IFERROR(VLOOKUP(E1320,Category!$D$2:$E$600,2,FALSE),"")</f>
        <v/>
      </c>
      <c r="G1320" s="45"/>
      <c r="H1320" s="73"/>
      <c r="I1320" s="18" t="str">
        <f t="shared" si="82"/>
        <v/>
      </c>
      <c r="J1320" s="45"/>
      <c r="K1320" s="45"/>
    </row>
    <row r="1321" spans="1:11">
      <c r="A1321" s="17" t="str">
        <f t="shared" si="83"/>
        <v/>
      </c>
      <c r="B1321" s="53"/>
      <c r="C1321" s="11" t="str">
        <f t="shared" si="80"/>
        <v/>
      </c>
      <c r="D1321" s="11" t="str">
        <f t="shared" si="81"/>
        <v/>
      </c>
      <c r="E1321" s="45"/>
      <c r="F1321" s="11" t="str">
        <f>IFERROR(VLOOKUP(E1321,Category!$D$2:$E$600,2,FALSE),"")</f>
        <v/>
      </c>
      <c r="G1321" s="45"/>
      <c r="H1321" s="73"/>
      <c r="I1321" s="18" t="str">
        <f t="shared" si="82"/>
        <v/>
      </c>
      <c r="J1321" s="45"/>
      <c r="K1321" s="45"/>
    </row>
    <row r="1322" spans="1:11">
      <c r="A1322" s="17" t="str">
        <f t="shared" si="83"/>
        <v/>
      </c>
      <c r="B1322" s="53"/>
      <c r="C1322" s="11" t="str">
        <f t="shared" si="80"/>
        <v/>
      </c>
      <c r="D1322" s="11" t="str">
        <f t="shared" si="81"/>
        <v/>
      </c>
      <c r="E1322" s="45"/>
      <c r="F1322" s="11" t="str">
        <f>IFERROR(VLOOKUP(E1322,Category!$D$2:$E$600,2,FALSE),"")</f>
        <v/>
      </c>
      <c r="G1322" s="45"/>
      <c r="H1322" s="73"/>
      <c r="I1322" s="18" t="str">
        <f t="shared" si="82"/>
        <v/>
      </c>
      <c r="J1322" s="45"/>
      <c r="K1322" s="45"/>
    </row>
    <row r="1323" spans="1:11">
      <c r="A1323" s="17" t="str">
        <f t="shared" si="83"/>
        <v/>
      </c>
      <c r="B1323" s="53"/>
      <c r="C1323" s="11" t="str">
        <f t="shared" si="80"/>
        <v/>
      </c>
      <c r="D1323" s="11" t="str">
        <f t="shared" si="81"/>
        <v/>
      </c>
      <c r="E1323" s="45"/>
      <c r="F1323" s="11" t="str">
        <f>IFERROR(VLOOKUP(E1323,Category!$D$2:$E$600,2,FALSE),"")</f>
        <v/>
      </c>
      <c r="G1323" s="45"/>
      <c r="H1323" s="73"/>
      <c r="I1323" s="18" t="str">
        <f t="shared" si="82"/>
        <v/>
      </c>
      <c r="J1323" s="45"/>
      <c r="K1323" s="45"/>
    </row>
    <row r="1324" spans="1:11">
      <c r="A1324" s="17" t="str">
        <f t="shared" si="83"/>
        <v/>
      </c>
      <c r="B1324" s="53"/>
      <c r="C1324" s="11" t="str">
        <f t="shared" si="80"/>
        <v/>
      </c>
      <c r="D1324" s="11" t="str">
        <f t="shared" si="81"/>
        <v/>
      </c>
      <c r="E1324" s="45"/>
      <c r="F1324" s="11" t="str">
        <f>IFERROR(VLOOKUP(E1324,Category!$D$2:$E$600,2,FALSE),"")</f>
        <v/>
      </c>
      <c r="G1324" s="45"/>
      <c r="H1324" s="73"/>
      <c r="I1324" s="18" t="str">
        <f t="shared" si="82"/>
        <v/>
      </c>
      <c r="J1324" s="45"/>
      <c r="K1324" s="45"/>
    </row>
    <row r="1325" spans="1:11">
      <c r="A1325" s="17" t="str">
        <f t="shared" si="83"/>
        <v/>
      </c>
      <c r="B1325" s="53"/>
      <c r="C1325" s="11" t="str">
        <f t="shared" si="80"/>
        <v/>
      </c>
      <c r="D1325" s="11" t="str">
        <f t="shared" si="81"/>
        <v/>
      </c>
      <c r="E1325" s="45"/>
      <c r="F1325" s="11" t="str">
        <f>IFERROR(VLOOKUP(E1325,Category!$D$2:$E$600,2,FALSE),"")</f>
        <v/>
      </c>
      <c r="G1325" s="45"/>
      <c r="H1325" s="73"/>
      <c r="I1325" s="18" t="str">
        <f t="shared" si="82"/>
        <v/>
      </c>
      <c r="J1325" s="45"/>
      <c r="K1325" s="45"/>
    </row>
    <row r="1326" spans="1:11">
      <c r="A1326" s="17" t="str">
        <f t="shared" si="83"/>
        <v/>
      </c>
      <c r="B1326" s="53"/>
      <c r="C1326" s="11" t="str">
        <f t="shared" si="80"/>
        <v/>
      </c>
      <c r="D1326" s="11" t="str">
        <f t="shared" si="81"/>
        <v/>
      </c>
      <c r="E1326" s="45"/>
      <c r="F1326" s="11" t="str">
        <f>IFERROR(VLOOKUP(E1326,Category!$D$2:$E$600,2,FALSE),"")</f>
        <v/>
      </c>
      <c r="G1326" s="45"/>
      <c r="H1326" s="73"/>
      <c r="I1326" s="18" t="str">
        <f t="shared" si="82"/>
        <v/>
      </c>
      <c r="J1326" s="45"/>
      <c r="K1326" s="45"/>
    </row>
    <row r="1327" spans="1:11">
      <c r="A1327" s="17" t="str">
        <f t="shared" si="83"/>
        <v/>
      </c>
      <c r="B1327" s="53"/>
      <c r="C1327" s="11" t="str">
        <f t="shared" si="80"/>
        <v/>
      </c>
      <c r="D1327" s="11" t="str">
        <f t="shared" si="81"/>
        <v/>
      </c>
      <c r="E1327" s="45"/>
      <c r="F1327" s="11" t="str">
        <f>IFERROR(VLOOKUP(E1327,Category!$D$2:$E$600,2,FALSE),"")</f>
        <v/>
      </c>
      <c r="G1327" s="45"/>
      <c r="H1327" s="73"/>
      <c r="I1327" s="18" t="str">
        <f t="shared" si="82"/>
        <v/>
      </c>
      <c r="J1327" s="45"/>
      <c r="K1327" s="45"/>
    </row>
    <row r="1328" spans="1:11">
      <c r="A1328" s="17" t="str">
        <f t="shared" si="83"/>
        <v/>
      </c>
      <c r="B1328" s="53"/>
      <c r="C1328" s="11" t="str">
        <f t="shared" si="80"/>
        <v/>
      </c>
      <c r="D1328" s="11" t="str">
        <f t="shared" si="81"/>
        <v/>
      </c>
      <c r="E1328" s="45"/>
      <c r="F1328" s="11" t="str">
        <f>IFERROR(VLOOKUP(E1328,Category!$D$2:$E$600,2,FALSE),"")</f>
        <v/>
      </c>
      <c r="G1328" s="45"/>
      <c r="H1328" s="73"/>
      <c r="I1328" s="18" t="str">
        <f t="shared" si="82"/>
        <v/>
      </c>
      <c r="J1328" s="45"/>
      <c r="K1328" s="45"/>
    </row>
    <row r="1329" spans="1:11">
      <c r="A1329" s="17" t="str">
        <f t="shared" si="83"/>
        <v/>
      </c>
      <c r="B1329" s="53"/>
      <c r="C1329" s="11" t="str">
        <f t="shared" si="80"/>
        <v/>
      </c>
      <c r="D1329" s="11" t="str">
        <f t="shared" si="81"/>
        <v/>
      </c>
      <c r="E1329" s="45"/>
      <c r="F1329" s="11" t="str">
        <f>IFERROR(VLOOKUP(E1329,Category!$D$2:$E$600,2,FALSE),"")</f>
        <v/>
      </c>
      <c r="G1329" s="45"/>
      <c r="H1329" s="73"/>
      <c r="I1329" s="18" t="str">
        <f t="shared" si="82"/>
        <v/>
      </c>
      <c r="J1329" s="45"/>
      <c r="K1329" s="45"/>
    </row>
    <row r="1330" spans="1:11">
      <c r="A1330" s="17" t="str">
        <f t="shared" si="83"/>
        <v/>
      </c>
      <c r="B1330" s="53"/>
      <c r="C1330" s="11" t="str">
        <f t="shared" si="80"/>
        <v/>
      </c>
      <c r="D1330" s="11" t="str">
        <f t="shared" si="81"/>
        <v/>
      </c>
      <c r="E1330" s="45"/>
      <c r="F1330" s="11" t="str">
        <f>IFERROR(VLOOKUP(E1330,Category!$D$2:$E$600,2,FALSE),"")</f>
        <v/>
      </c>
      <c r="G1330" s="45"/>
      <c r="H1330" s="73"/>
      <c r="I1330" s="18" t="str">
        <f t="shared" si="82"/>
        <v/>
      </c>
      <c r="J1330" s="45"/>
      <c r="K1330" s="45"/>
    </row>
    <row r="1331" spans="1:11">
      <c r="A1331" s="17" t="str">
        <f t="shared" si="83"/>
        <v/>
      </c>
      <c r="B1331" s="53"/>
      <c r="C1331" s="11" t="str">
        <f t="shared" si="80"/>
        <v/>
      </c>
      <c r="D1331" s="11" t="str">
        <f t="shared" si="81"/>
        <v/>
      </c>
      <c r="E1331" s="45"/>
      <c r="F1331" s="11" t="str">
        <f>IFERROR(VLOOKUP(E1331,Category!$D$2:$E$600,2,FALSE),"")</f>
        <v/>
      </c>
      <c r="G1331" s="45"/>
      <c r="H1331" s="73"/>
      <c r="I1331" s="18" t="str">
        <f t="shared" si="82"/>
        <v/>
      </c>
      <c r="J1331" s="45"/>
      <c r="K1331" s="45"/>
    </row>
    <row r="1332" spans="1:11">
      <c r="A1332" s="17" t="str">
        <f t="shared" si="83"/>
        <v/>
      </c>
      <c r="B1332" s="53"/>
      <c r="C1332" s="11" t="str">
        <f t="shared" si="80"/>
        <v/>
      </c>
      <c r="D1332" s="11" t="str">
        <f t="shared" si="81"/>
        <v/>
      </c>
      <c r="E1332" s="45"/>
      <c r="F1332" s="11" t="str">
        <f>IFERROR(VLOOKUP(E1332,Category!$D$2:$E$600,2,FALSE),"")</f>
        <v/>
      </c>
      <c r="G1332" s="45"/>
      <c r="H1332" s="73"/>
      <c r="I1332" s="18" t="str">
        <f t="shared" si="82"/>
        <v/>
      </c>
      <c r="J1332" s="45"/>
      <c r="K1332" s="45"/>
    </row>
    <row r="1333" spans="1:11">
      <c r="A1333" s="17" t="str">
        <f t="shared" si="83"/>
        <v/>
      </c>
      <c r="B1333" s="53"/>
      <c r="C1333" s="11" t="str">
        <f t="shared" si="80"/>
        <v/>
      </c>
      <c r="D1333" s="11" t="str">
        <f t="shared" si="81"/>
        <v/>
      </c>
      <c r="E1333" s="45"/>
      <c r="F1333" s="11" t="str">
        <f>IFERROR(VLOOKUP(E1333,Category!$D$2:$E$600,2,FALSE),"")</f>
        <v/>
      </c>
      <c r="G1333" s="45"/>
      <c r="H1333" s="73"/>
      <c r="I1333" s="18" t="str">
        <f t="shared" si="82"/>
        <v/>
      </c>
      <c r="J1333" s="45"/>
      <c r="K1333" s="45"/>
    </row>
    <row r="1334" spans="1:11">
      <c r="A1334" s="17" t="str">
        <f t="shared" si="83"/>
        <v/>
      </c>
      <c r="B1334" s="53"/>
      <c r="C1334" s="11" t="str">
        <f t="shared" si="80"/>
        <v/>
      </c>
      <c r="D1334" s="11" t="str">
        <f t="shared" si="81"/>
        <v/>
      </c>
      <c r="E1334" s="45"/>
      <c r="F1334" s="11" t="str">
        <f>IFERROR(VLOOKUP(E1334,Category!$D$2:$E$600,2,FALSE),"")</f>
        <v/>
      </c>
      <c r="G1334" s="45"/>
      <c r="H1334" s="73"/>
      <c r="I1334" s="18" t="str">
        <f t="shared" si="82"/>
        <v/>
      </c>
      <c r="J1334" s="45"/>
      <c r="K1334" s="45"/>
    </row>
    <row r="1335" spans="1:11">
      <c r="A1335" s="17" t="str">
        <f t="shared" si="83"/>
        <v/>
      </c>
      <c r="B1335" s="53"/>
      <c r="C1335" s="11" t="str">
        <f t="shared" si="80"/>
        <v/>
      </c>
      <c r="D1335" s="11" t="str">
        <f t="shared" si="81"/>
        <v/>
      </c>
      <c r="E1335" s="45"/>
      <c r="F1335" s="11" t="str">
        <f>IFERROR(VLOOKUP(E1335,Category!$D$2:$E$600,2,FALSE),"")</f>
        <v/>
      </c>
      <c r="G1335" s="45"/>
      <c r="H1335" s="73"/>
      <c r="I1335" s="18" t="str">
        <f t="shared" si="82"/>
        <v/>
      </c>
      <c r="J1335" s="45"/>
      <c r="K1335" s="45"/>
    </row>
    <row r="1336" spans="1:11">
      <c r="A1336" s="17" t="str">
        <f t="shared" si="83"/>
        <v/>
      </c>
      <c r="B1336" s="53"/>
      <c r="C1336" s="11" t="str">
        <f t="shared" si="80"/>
        <v/>
      </c>
      <c r="D1336" s="11" t="str">
        <f t="shared" si="81"/>
        <v/>
      </c>
      <c r="E1336" s="45"/>
      <c r="F1336" s="11" t="str">
        <f>IFERROR(VLOOKUP(E1336,Category!$D$2:$E$600,2,FALSE),"")</f>
        <v/>
      </c>
      <c r="G1336" s="45"/>
      <c r="H1336" s="73"/>
      <c r="I1336" s="18" t="str">
        <f t="shared" si="82"/>
        <v/>
      </c>
      <c r="J1336" s="45"/>
      <c r="K1336" s="45"/>
    </row>
    <row r="1337" spans="1:11">
      <c r="A1337" s="17" t="str">
        <f t="shared" si="83"/>
        <v/>
      </c>
      <c r="B1337" s="53"/>
      <c r="C1337" s="11" t="str">
        <f t="shared" si="80"/>
        <v/>
      </c>
      <c r="D1337" s="11" t="str">
        <f t="shared" si="81"/>
        <v/>
      </c>
      <c r="E1337" s="45"/>
      <c r="F1337" s="11" t="str">
        <f>IFERROR(VLOOKUP(E1337,Category!$D$2:$E$600,2,FALSE),"")</f>
        <v/>
      </c>
      <c r="G1337" s="45"/>
      <c r="H1337" s="73"/>
      <c r="I1337" s="18" t="str">
        <f t="shared" si="82"/>
        <v/>
      </c>
      <c r="J1337" s="45"/>
      <c r="K1337" s="45"/>
    </row>
    <row r="1338" spans="1:11">
      <c r="A1338" s="17" t="str">
        <f t="shared" si="83"/>
        <v/>
      </c>
      <c r="B1338" s="53"/>
      <c r="C1338" s="11" t="str">
        <f t="shared" si="80"/>
        <v/>
      </c>
      <c r="D1338" s="11" t="str">
        <f t="shared" si="81"/>
        <v/>
      </c>
      <c r="E1338" s="45"/>
      <c r="F1338" s="11" t="str">
        <f>IFERROR(VLOOKUP(E1338,Category!$D$2:$E$600,2,FALSE),"")</f>
        <v/>
      </c>
      <c r="G1338" s="45"/>
      <c r="H1338" s="73"/>
      <c r="I1338" s="18" t="str">
        <f t="shared" si="82"/>
        <v/>
      </c>
      <c r="J1338" s="45"/>
      <c r="K1338" s="45"/>
    </row>
    <row r="1339" spans="1:11">
      <c r="A1339" s="17" t="str">
        <f t="shared" si="83"/>
        <v/>
      </c>
      <c r="B1339" s="53"/>
      <c r="C1339" s="11" t="str">
        <f t="shared" si="80"/>
        <v/>
      </c>
      <c r="D1339" s="11" t="str">
        <f t="shared" si="81"/>
        <v/>
      </c>
      <c r="E1339" s="45"/>
      <c r="F1339" s="11" t="str">
        <f>IFERROR(VLOOKUP(E1339,Category!$D$2:$E$600,2,FALSE),"")</f>
        <v/>
      </c>
      <c r="G1339" s="45"/>
      <c r="H1339" s="73"/>
      <c r="I1339" s="18" t="str">
        <f t="shared" si="82"/>
        <v/>
      </c>
      <c r="J1339" s="45"/>
      <c r="K1339" s="45"/>
    </row>
    <row r="1340" spans="1:11">
      <c r="A1340" s="17" t="str">
        <f t="shared" si="83"/>
        <v/>
      </c>
      <c r="B1340" s="53"/>
      <c r="C1340" s="11" t="str">
        <f t="shared" si="80"/>
        <v/>
      </c>
      <c r="D1340" s="11" t="str">
        <f t="shared" si="81"/>
        <v/>
      </c>
      <c r="E1340" s="45"/>
      <c r="F1340" s="11" t="str">
        <f>IFERROR(VLOOKUP(E1340,Category!$D$2:$E$600,2,FALSE),"")</f>
        <v/>
      </c>
      <c r="G1340" s="45"/>
      <c r="H1340" s="73"/>
      <c r="I1340" s="18" t="str">
        <f t="shared" si="82"/>
        <v/>
      </c>
      <c r="J1340" s="45"/>
      <c r="K1340" s="45"/>
    </row>
    <row r="1341" spans="1:11">
      <c r="A1341" s="17" t="str">
        <f t="shared" si="83"/>
        <v/>
      </c>
      <c r="B1341" s="53"/>
      <c r="C1341" s="11" t="str">
        <f t="shared" si="80"/>
        <v/>
      </c>
      <c r="D1341" s="11" t="str">
        <f t="shared" si="81"/>
        <v/>
      </c>
      <c r="E1341" s="45"/>
      <c r="F1341" s="11" t="str">
        <f>IFERROR(VLOOKUP(E1341,Category!$D$2:$E$600,2,FALSE),"")</f>
        <v/>
      </c>
      <c r="G1341" s="45"/>
      <c r="H1341" s="73"/>
      <c r="I1341" s="18" t="str">
        <f t="shared" si="82"/>
        <v/>
      </c>
      <c r="J1341" s="45"/>
      <c r="K1341" s="45"/>
    </row>
    <row r="1342" spans="1:11">
      <c r="A1342" s="17" t="str">
        <f t="shared" si="83"/>
        <v/>
      </c>
      <c r="B1342" s="53"/>
      <c r="C1342" s="11" t="str">
        <f t="shared" si="80"/>
        <v/>
      </c>
      <c r="D1342" s="11" t="str">
        <f t="shared" si="81"/>
        <v/>
      </c>
      <c r="E1342" s="45"/>
      <c r="F1342" s="11" t="str">
        <f>IFERROR(VLOOKUP(E1342,Category!$D$2:$E$600,2,FALSE),"")</f>
        <v/>
      </c>
      <c r="G1342" s="45"/>
      <c r="H1342" s="73"/>
      <c r="I1342" s="18" t="str">
        <f t="shared" si="82"/>
        <v/>
      </c>
      <c r="J1342" s="45"/>
      <c r="K1342" s="45"/>
    </row>
    <row r="1343" spans="1:11">
      <c r="A1343" s="17" t="str">
        <f t="shared" si="83"/>
        <v/>
      </c>
      <c r="B1343" s="53"/>
      <c r="C1343" s="11" t="str">
        <f t="shared" si="80"/>
        <v/>
      </c>
      <c r="D1343" s="11" t="str">
        <f t="shared" si="81"/>
        <v/>
      </c>
      <c r="E1343" s="45"/>
      <c r="F1343" s="11" t="str">
        <f>IFERROR(VLOOKUP(E1343,Category!$D$2:$E$600,2,FALSE),"")</f>
        <v/>
      </c>
      <c r="G1343" s="45"/>
      <c r="H1343" s="73"/>
      <c r="I1343" s="18" t="str">
        <f t="shared" si="82"/>
        <v/>
      </c>
      <c r="J1343" s="45"/>
      <c r="K1343" s="45"/>
    </row>
    <row r="1344" spans="1:11">
      <c r="A1344" s="17" t="str">
        <f t="shared" si="83"/>
        <v/>
      </c>
      <c r="B1344" s="53"/>
      <c r="C1344" s="11" t="str">
        <f t="shared" si="80"/>
        <v/>
      </c>
      <c r="D1344" s="11" t="str">
        <f t="shared" si="81"/>
        <v/>
      </c>
      <c r="E1344" s="45"/>
      <c r="F1344" s="11" t="str">
        <f>IFERROR(VLOOKUP(E1344,Category!$D$2:$E$600,2,FALSE),"")</f>
        <v/>
      </c>
      <c r="G1344" s="45"/>
      <c r="H1344" s="73"/>
      <c r="I1344" s="18" t="str">
        <f t="shared" si="82"/>
        <v/>
      </c>
      <c r="J1344" s="45"/>
      <c r="K1344" s="45"/>
    </row>
    <row r="1345" spans="1:11">
      <c r="A1345" s="17" t="str">
        <f t="shared" si="83"/>
        <v/>
      </c>
      <c r="B1345" s="53"/>
      <c r="C1345" s="11" t="str">
        <f t="shared" si="80"/>
        <v/>
      </c>
      <c r="D1345" s="11" t="str">
        <f t="shared" si="81"/>
        <v/>
      </c>
      <c r="E1345" s="45"/>
      <c r="F1345" s="11" t="str">
        <f>IFERROR(VLOOKUP(E1345,Category!$D$2:$E$600,2,FALSE),"")</f>
        <v/>
      </c>
      <c r="G1345" s="45"/>
      <c r="H1345" s="73"/>
      <c r="I1345" s="18" t="str">
        <f t="shared" si="82"/>
        <v/>
      </c>
      <c r="J1345" s="45"/>
      <c r="K1345" s="45"/>
    </row>
    <row r="1346" spans="1:11">
      <c r="A1346" s="17" t="str">
        <f t="shared" si="83"/>
        <v/>
      </c>
      <c r="B1346" s="53"/>
      <c r="C1346" s="11" t="str">
        <f t="shared" si="80"/>
        <v/>
      </c>
      <c r="D1346" s="11" t="str">
        <f t="shared" si="81"/>
        <v/>
      </c>
      <c r="E1346" s="45"/>
      <c r="F1346" s="11" t="str">
        <f>IFERROR(VLOOKUP(E1346,Category!$D$2:$E$600,2,FALSE),"")</f>
        <v/>
      </c>
      <c r="G1346" s="45"/>
      <c r="H1346" s="73"/>
      <c r="I1346" s="18" t="str">
        <f t="shared" si="82"/>
        <v/>
      </c>
      <c r="J1346" s="45"/>
      <c r="K1346" s="45"/>
    </row>
    <row r="1347" spans="1:11">
      <c r="A1347" s="17" t="str">
        <f t="shared" si="83"/>
        <v/>
      </c>
      <c r="B1347" s="53"/>
      <c r="C1347" s="11" t="str">
        <f t="shared" ref="C1347:C1410" si="84">IF(B1347=0,"",TEXT(B1347,"mmmm"))</f>
        <v/>
      </c>
      <c r="D1347" s="11" t="str">
        <f t="shared" ref="D1347:D1410" si="85">IF(B1347=0,"",TEXT(B1347,"yyyy"))</f>
        <v/>
      </c>
      <c r="E1347" s="45"/>
      <c r="F1347" s="11" t="str">
        <f>IFERROR(VLOOKUP(E1347,Category!$D$2:$E$600,2,FALSE),"")</f>
        <v/>
      </c>
      <c r="G1347" s="45"/>
      <c r="H1347" s="73"/>
      <c r="I1347" s="18" t="str">
        <f t="shared" ref="I1347:I1410" si="86">IF(G1347*H1347=0,"",G1347*H1347)</f>
        <v/>
      </c>
      <c r="J1347" s="45"/>
      <c r="K1347" s="45"/>
    </row>
    <row r="1348" spans="1:11">
      <c r="A1348" s="17" t="str">
        <f t="shared" ref="A1348:A1411" si="87">IF(E1348&gt;0,A1347+1,"")</f>
        <v/>
      </c>
      <c r="B1348" s="53"/>
      <c r="C1348" s="11" t="str">
        <f t="shared" si="84"/>
        <v/>
      </c>
      <c r="D1348" s="11" t="str">
        <f t="shared" si="85"/>
        <v/>
      </c>
      <c r="E1348" s="45"/>
      <c r="F1348" s="11" t="str">
        <f>IFERROR(VLOOKUP(E1348,Category!$D$2:$E$600,2,FALSE),"")</f>
        <v/>
      </c>
      <c r="G1348" s="45"/>
      <c r="H1348" s="73"/>
      <c r="I1348" s="18" t="str">
        <f t="shared" si="86"/>
        <v/>
      </c>
      <c r="J1348" s="45"/>
      <c r="K1348" s="45"/>
    </row>
    <row r="1349" spans="1:11">
      <c r="A1349" s="17" t="str">
        <f t="shared" si="87"/>
        <v/>
      </c>
      <c r="B1349" s="53"/>
      <c r="C1349" s="11" t="str">
        <f t="shared" si="84"/>
        <v/>
      </c>
      <c r="D1349" s="11" t="str">
        <f t="shared" si="85"/>
        <v/>
      </c>
      <c r="E1349" s="45"/>
      <c r="F1349" s="11" t="str">
        <f>IFERROR(VLOOKUP(E1349,Category!$D$2:$E$600,2,FALSE),"")</f>
        <v/>
      </c>
      <c r="G1349" s="45"/>
      <c r="H1349" s="73"/>
      <c r="I1349" s="18" t="str">
        <f t="shared" si="86"/>
        <v/>
      </c>
      <c r="J1349" s="45"/>
      <c r="K1349" s="45"/>
    </row>
    <row r="1350" spans="1:11">
      <c r="A1350" s="17" t="str">
        <f t="shared" si="87"/>
        <v/>
      </c>
      <c r="B1350" s="53"/>
      <c r="C1350" s="11" t="str">
        <f t="shared" si="84"/>
        <v/>
      </c>
      <c r="D1350" s="11" t="str">
        <f t="shared" si="85"/>
        <v/>
      </c>
      <c r="E1350" s="45"/>
      <c r="F1350" s="11" t="str">
        <f>IFERROR(VLOOKUP(E1350,Category!$D$2:$E$600,2,FALSE),"")</f>
        <v/>
      </c>
      <c r="G1350" s="45"/>
      <c r="H1350" s="73"/>
      <c r="I1350" s="18" t="str">
        <f t="shared" si="86"/>
        <v/>
      </c>
      <c r="J1350" s="45"/>
      <c r="K1350" s="45"/>
    </row>
    <row r="1351" spans="1:11">
      <c r="A1351" s="17" t="str">
        <f t="shared" si="87"/>
        <v/>
      </c>
      <c r="B1351" s="53"/>
      <c r="C1351" s="11" t="str">
        <f t="shared" si="84"/>
        <v/>
      </c>
      <c r="D1351" s="11" t="str">
        <f t="shared" si="85"/>
        <v/>
      </c>
      <c r="E1351" s="45"/>
      <c r="F1351" s="11" t="str">
        <f>IFERROR(VLOOKUP(E1351,Category!$D$2:$E$600,2,FALSE),"")</f>
        <v/>
      </c>
      <c r="G1351" s="45"/>
      <c r="H1351" s="73"/>
      <c r="I1351" s="18" t="str">
        <f t="shared" si="86"/>
        <v/>
      </c>
      <c r="J1351" s="45"/>
      <c r="K1351" s="45"/>
    </row>
    <row r="1352" spans="1:11">
      <c r="A1352" s="17" t="str">
        <f t="shared" si="87"/>
        <v/>
      </c>
      <c r="B1352" s="53"/>
      <c r="C1352" s="11" t="str">
        <f t="shared" si="84"/>
        <v/>
      </c>
      <c r="D1352" s="11" t="str">
        <f t="shared" si="85"/>
        <v/>
      </c>
      <c r="E1352" s="45"/>
      <c r="F1352" s="11" t="str">
        <f>IFERROR(VLOOKUP(E1352,Category!$D$2:$E$600,2,FALSE),"")</f>
        <v/>
      </c>
      <c r="G1352" s="45"/>
      <c r="H1352" s="73"/>
      <c r="I1352" s="18" t="str">
        <f t="shared" si="86"/>
        <v/>
      </c>
      <c r="J1352" s="45"/>
      <c r="K1352" s="45"/>
    </row>
    <row r="1353" spans="1:11">
      <c r="A1353" s="17" t="str">
        <f t="shared" si="87"/>
        <v/>
      </c>
      <c r="B1353" s="53"/>
      <c r="C1353" s="11" t="str">
        <f t="shared" si="84"/>
        <v/>
      </c>
      <c r="D1353" s="11" t="str">
        <f t="shared" si="85"/>
        <v/>
      </c>
      <c r="E1353" s="45"/>
      <c r="F1353" s="11" t="str">
        <f>IFERROR(VLOOKUP(E1353,Category!$D$2:$E$600,2,FALSE),"")</f>
        <v/>
      </c>
      <c r="G1353" s="45"/>
      <c r="H1353" s="73"/>
      <c r="I1353" s="18" t="str">
        <f t="shared" si="86"/>
        <v/>
      </c>
      <c r="J1353" s="45"/>
      <c r="K1353" s="45"/>
    </row>
    <row r="1354" spans="1:11">
      <c r="A1354" s="17" t="str">
        <f t="shared" si="87"/>
        <v/>
      </c>
      <c r="B1354" s="53"/>
      <c r="C1354" s="11" t="str">
        <f t="shared" si="84"/>
        <v/>
      </c>
      <c r="D1354" s="11" t="str">
        <f t="shared" si="85"/>
        <v/>
      </c>
      <c r="E1354" s="45"/>
      <c r="F1354" s="11" t="str">
        <f>IFERROR(VLOOKUP(E1354,Category!$D$2:$E$600,2,FALSE),"")</f>
        <v/>
      </c>
      <c r="G1354" s="45"/>
      <c r="H1354" s="73"/>
      <c r="I1354" s="18" t="str">
        <f t="shared" si="86"/>
        <v/>
      </c>
      <c r="J1354" s="45"/>
      <c r="K1354" s="45"/>
    </row>
    <row r="1355" spans="1:11">
      <c r="A1355" s="17" t="str">
        <f t="shared" si="87"/>
        <v/>
      </c>
      <c r="B1355" s="53"/>
      <c r="C1355" s="11" t="str">
        <f t="shared" si="84"/>
        <v/>
      </c>
      <c r="D1355" s="11" t="str">
        <f t="shared" si="85"/>
        <v/>
      </c>
      <c r="E1355" s="45"/>
      <c r="F1355" s="11" t="str">
        <f>IFERROR(VLOOKUP(E1355,Category!$D$2:$E$600,2,FALSE),"")</f>
        <v/>
      </c>
      <c r="G1355" s="45"/>
      <c r="H1355" s="73"/>
      <c r="I1355" s="18" t="str">
        <f t="shared" si="86"/>
        <v/>
      </c>
      <c r="J1355" s="45"/>
      <c r="K1355" s="45"/>
    </row>
    <row r="1356" spans="1:11">
      <c r="A1356" s="17" t="str">
        <f t="shared" si="87"/>
        <v/>
      </c>
      <c r="B1356" s="53"/>
      <c r="C1356" s="11" t="str">
        <f t="shared" si="84"/>
        <v/>
      </c>
      <c r="D1356" s="11" t="str">
        <f t="shared" si="85"/>
        <v/>
      </c>
      <c r="E1356" s="45"/>
      <c r="F1356" s="11" t="str">
        <f>IFERROR(VLOOKUP(E1356,Category!$D$2:$E$600,2,FALSE),"")</f>
        <v/>
      </c>
      <c r="G1356" s="45"/>
      <c r="H1356" s="73"/>
      <c r="I1356" s="18" t="str">
        <f t="shared" si="86"/>
        <v/>
      </c>
      <c r="J1356" s="45"/>
      <c r="K1356" s="45"/>
    </row>
    <row r="1357" spans="1:11">
      <c r="A1357" s="17" t="str">
        <f t="shared" si="87"/>
        <v/>
      </c>
      <c r="B1357" s="53"/>
      <c r="C1357" s="11" t="str">
        <f t="shared" si="84"/>
        <v/>
      </c>
      <c r="D1357" s="11" t="str">
        <f t="shared" si="85"/>
        <v/>
      </c>
      <c r="E1357" s="45"/>
      <c r="F1357" s="11" t="str">
        <f>IFERROR(VLOOKUP(E1357,Category!$D$2:$E$600,2,FALSE),"")</f>
        <v/>
      </c>
      <c r="G1357" s="45"/>
      <c r="H1357" s="73"/>
      <c r="I1357" s="18" t="str">
        <f t="shared" si="86"/>
        <v/>
      </c>
      <c r="J1357" s="45"/>
      <c r="K1357" s="45"/>
    </row>
    <row r="1358" spans="1:11">
      <c r="A1358" s="17" t="str">
        <f t="shared" si="87"/>
        <v/>
      </c>
      <c r="B1358" s="53"/>
      <c r="C1358" s="11" t="str">
        <f t="shared" si="84"/>
        <v/>
      </c>
      <c r="D1358" s="11" t="str">
        <f t="shared" si="85"/>
        <v/>
      </c>
      <c r="E1358" s="45"/>
      <c r="F1358" s="11" t="str">
        <f>IFERROR(VLOOKUP(E1358,Category!$D$2:$E$600,2,FALSE),"")</f>
        <v/>
      </c>
      <c r="G1358" s="45"/>
      <c r="H1358" s="73"/>
      <c r="I1358" s="18" t="str">
        <f t="shared" si="86"/>
        <v/>
      </c>
      <c r="J1358" s="45"/>
      <c r="K1358" s="45"/>
    </row>
    <row r="1359" spans="1:11">
      <c r="A1359" s="17" t="str">
        <f t="shared" si="87"/>
        <v/>
      </c>
      <c r="B1359" s="53"/>
      <c r="C1359" s="11" t="str">
        <f t="shared" si="84"/>
        <v/>
      </c>
      <c r="D1359" s="11" t="str">
        <f t="shared" si="85"/>
        <v/>
      </c>
      <c r="E1359" s="45"/>
      <c r="F1359" s="11" t="str">
        <f>IFERROR(VLOOKUP(E1359,Category!$D$2:$E$600,2,FALSE),"")</f>
        <v/>
      </c>
      <c r="G1359" s="45"/>
      <c r="H1359" s="73"/>
      <c r="I1359" s="18" t="str">
        <f t="shared" si="86"/>
        <v/>
      </c>
      <c r="J1359" s="45"/>
      <c r="K1359" s="45"/>
    </row>
    <row r="1360" spans="1:11">
      <c r="A1360" s="17" t="str">
        <f t="shared" si="87"/>
        <v/>
      </c>
      <c r="B1360" s="53"/>
      <c r="C1360" s="11" t="str">
        <f t="shared" si="84"/>
        <v/>
      </c>
      <c r="D1360" s="11" t="str">
        <f t="shared" si="85"/>
        <v/>
      </c>
      <c r="E1360" s="45"/>
      <c r="F1360" s="11" t="str">
        <f>IFERROR(VLOOKUP(E1360,Category!$D$2:$E$600,2,FALSE),"")</f>
        <v/>
      </c>
      <c r="G1360" s="45"/>
      <c r="H1360" s="73"/>
      <c r="I1360" s="18" t="str">
        <f t="shared" si="86"/>
        <v/>
      </c>
      <c r="J1360" s="45"/>
      <c r="K1360" s="45"/>
    </row>
    <row r="1361" spans="1:11">
      <c r="A1361" s="17" t="str">
        <f t="shared" si="87"/>
        <v/>
      </c>
      <c r="B1361" s="53"/>
      <c r="C1361" s="11" t="str">
        <f t="shared" si="84"/>
        <v/>
      </c>
      <c r="D1361" s="11" t="str">
        <f t="shared" si="85"/>
        <v/>
      </c>
      <c r="E1361" s="45"/>
      <c r="F1361" s="11" t="str">
        <f>IFERROR(VLOOKUP(E1361,Category!$D$2:$E$600,2,FALSE),"")</f>
        <v/>
      </c>
      <c r="G1361" s="45"/>
      <c r="H1361" s="73"/>
      <c r="I1361" s="18" t="str">
        <f t="shared" si="86"/>
        <v/>
      </c>
      <c r="J1361" s="45"/>
      <c r="K1361" s="45"/>
    </row>
    <row r="1362" spans="1:11">
      <c r="A1362" s="17" t="str">
        <f t="shared" si="87"/>
        <v/>
      </c>
      <c r="B1362" s="53"/>
      <c r="C1362" s="11" t="str">
        <f t="shared" si="84"/>
        <v/>
      </c>
      <c r="D1362" s="11" t="str">
        <f t="shared" si="85"/>
        <v/>
      </c>
      <c r="E1362" s="45"/>
      <c r="F1362" s="11" t="str">
        <f>IFERROR(VLOOKUP(E1362,Category!$D$2:$E$600,2,FALSE),"")</f>
        <v/>
      </c>
      <c r="G1362" s="45"/>
      <c r="H1362" s="73"/>
      <c r="I1362" s="18" t="str">
        <f t="shared" si="86"/>
        <v/>
      </c>
      <c r="J1362" s="45"/>
      <c r="K1362" s="45"/>
    </row>
    <row r="1363" spans="1:11">
      <c r="A1363" s="17" t="str">
        <f t="shared" si="87"/>
        <v/>
      </c>
      <c r="B1363" s="53"/>
      <c r="C1363" s="11" t="str">
        <f t="shared" si="84"/>
        <v/>
      </c>
      <c r="D1363" s="11" t="str">
        <f t="shared" si="85"/>
        <v/>
      </c>
      <c r="E1363" s="45"/>
      <c r="F1363" s="11" t="str">
        <f>IFERROR(VLOOKUP(E1363,Category!$D$2:$E$600,2,FALSE),"")</f>
        <v/>
      </c>
      <c r="G1363" s="45"/>
      <c r="H1363" s="73"/>
      <c r="I1363" s="18" t="str">
        <f t="shared" si="86"/>
        <v/>
      </c>
      <c r="J1363" s="45"/>
      <c r="K1363" s="45"/>
    </row>
    <row r="1364" spans="1:11">
      <c r="A1364" s="17" t="str">
        <f t="shared" si="87"/>
        <v/>
      </c>
      <c r="B1364" s="53"/>
      <c r="C1364" s="11" t="str">
        <f t="shared" si="84"/>
        <v/>
      </c>
      <c r="D1364" s="11" t="str">
        <f t="shared" si="85"/>
        <v/>
      </c>
      <c r="E1364" s="45"/>
      <c r="F1364" s="11" t="str">
        <f>IFERROR(VLOOKUP(E1364,Category!$D$2:$E$600,2,FALSE),"")</f>
        <v/>
      </c>
      <c r="G1364" s="45"/>
      <c r="H1364" s="73"/>
      <c r="I1364" s="18" t="str">
        <f t="shared" si="86"/>
        <v/>
      </c>
      <c r="J1364" s="45"/>
      <c r="K1364" s="45"/>
    </row>
    <row r="1365" spans="1:11">
      <c r="A1365" s="17" t="str">
        <f t="shared" si="87"/>
        <v/>
      </c>
      <c r="B1365" s="53"/>
      <c r="C1365" s="11" t="str">
        <f t="shared" si="84"/>
        <v/>
      </c>
      <c r="D1365" s="11" t="str">
        <f t="shared" si="85"/>
        <v/>
      </c>
      <c r="E1365" s="45"/>
      <c r="F1365" s="11" t="str">
        <f>IFERROR(VLOOKUP(E1365,Category!$D$2:$E$600,2,FALSE),"")</f>
        <v/>
      </c>
      <c r="G1365" s="45"/>
      <c r="H1365" s="73"/>
      <c r="I1365" s="18" t="str">
        <f t="shared" si="86"/>
        <v/>
      </c>
      <c r="J1365" s="45"/>
      <c r="K1365" s="45"/>
    </row>
    <row r="1366" spans="1:11">
      <c r="A1366" s="17" t="str">
        <f t="shared" si="87"/>
        <v/>
      </c>
      <c r="B1366" s="53"/>
      <c r="C1366" s="11" t="str">
        <f t="shared" si="84"/>
        <v/>
      </c>
      <c r="D1366" s="11" t="str">
        <f t="shared" si="85"/>
        <v/>
      </c>
      <c r="E1366" s="45"/>
      <c r="F1366" s="11" t="str">
        <f>IFERROR(VLOOKUP(E1366,Category!$D$2:$E$600,2,FALSE),"")</f>
        <v/>
      </c>
      <c r="G1366" s="45"/>
      <c r="H1366" s="73"/>
      <c r="I1366" s="18" t="str">
        <f t="shared" si="86"/>
        <v/>
      </c>
      <c r="J1366" s="45"/>
      <c r="K1366" s="45"/>
    </row>
    <row r="1367" spans="1:11">
      <c r="A1367" s="17" t="str">
        <f t="shared" si="87"/>
        <v/>
      </c>
      <c r="B1367" s="53"/>
      <c r="C1367" s="11" t="str">
        <f t="shared" si="84"/>
        <v/>
      </c>
      <c r="D1367" s="11" t="str">
        <f t="shared" si="85"/>
        <v/>
      </c>
      <c r="E1367" s="45"/>
      <c r="F1367" s="11" t="str">
        <f>IFERROR(VLOOKUP(E1367,Category!$D$2:$E$600,2,FALSE),"")</f>
        <v/>
      </c>
      <c r="G1367" s="45"/>
      <c r="H1367" s="73"/>
      <c r="I1367" s="18" t="str">
        <f t="shared" si="86"/>
        <v/>
      </c>
      <c r="J1367" s="45"/>
      <c r="K1367" s="45"/>
    </row>
    <row r="1368" spans="1:11">
      <c r="A1368" s="17" t="str">
        <f t="shared" si="87"/>
        <v/>
      </c>
      <c r="B1368" s="53"/>
      <c r="C1368" s="11" t="str">
        <f t="shared" si="84"/>
        <v/>
      </c>
      <c r="D1368" s="11" t="str">
        <f t="shared" si="85"/>
        <v/>
      </c>
      <c r="E1368" s="45"/>
      <c r="F1368" s="11" t="str">
        <f>IFERROR(VLOOKUP(E1368,Category!$D$2:$E$600,2,FALSE),"")</f>
        <v/>
      </c>
      <c r="G1368" s="45"/>
      <c r="H1368" s="73"/>
      <c r="I1368" s="18" t="str">
        <f t="shared" si="86"/>
        <v/>
      </c>
      <c r="J1368" s="45"/>
      <c r="K1368" s="45"/>
    </row>
    <row r="1369" spans="1:11">
      <c r="A1369" s="17" t="str">
        <f t="shared" si="87"/>
        <v/>
      </c>
      <c r="B1369" s="53"/>
      <c r="C1369" s="11" t="str">
        <f t="shared" si="84"/>
        <v/>
      </c>
      <c r="D1369" s="11" t="str">
        <f t="shared" si="85"/>
        <v/>
      </c>
      <c r="E1369" s="45"/>
      <c r="F1369" s="11" t="str">
        <f>IFERROR(VLOOKUP(E1369,Category!$D$2:$E$600,2,FALSE),"")</f>
        <v/>
      </c>
      <c r="G1369" s="45"/>
      <c r="H1369" s="73"/>
      <c r="I1369" s="18" t="str">
        <f t="shared" si="86"/>
        <v/>
      </c>
      <c r="J1369" s="45"/>
      <c r="K1369" s="45"/>
    </row>
    <row r="1370" spans="1:11">
      <c r="A1370" s="17" t="str">
        <f t="shared" si="87"/>
        <v/>
      </c>
      <c r="B1370" s="53"/>
      <c r="C1370" s="11" t="str">
        <f t="shared" si="84"/>
        <v/>
      </c>
      <c r="D1370" s="11" t="str">
        <f t="shared" si="85"/>
        <v/>
      </c>
      <c r="E1370" s="45"/>
      <c r="F1370" s="11" t="str">
        <f>IFERROR(VLOOKUP(E1370,Category!$D$2:$E$600,2,FALSE),"")</f>
        <v/>
      </c>
      <c r="G1370" s="45"/>
      <c r="H1370" s="73"/>
      <c r="I1370" s="18" t="str">
        <f t="shared" si="86"/>
        <v/>
      </c>
      <c r="J1370" s="45"/>
      <c r="K1370" s="45"/>
    </row>
    <row r="1371" spans="1:11">
      <c r="A1371" s="17" t="str">
        <f t="shared" si="87"/>
        <v/>
      </c>
      <c r="B1371" s="53"/>
      <c r="C1371" s="11" t="str">
        <f t="shared" si="84"/>
        <v/>
      </c>
      <c r="D1371" s="11" t="str">
        <f t="shared" si="85"/>
        <v/>
      </c>
      <c r="E1371" s="45"/>
      <c r="F1371" s="11" t="str">
        <f>IFERROR(VLOOKUP(E1371,Category!$D$2:$E$600,2,FALSE),"")</f>
        <v/>
      </c>
      <c r="G1371" s="45"/>
      <c r="H1371" s="73"/>
      <c r="I1371" s="18" t="str">
        <f t="shared" si="86"/>
        <v/>
      </c>
      <c r="J1371" s="45"/>
      <c r="K1371" s="45"/>
    </row>
    <row r="1372" spans="1:11">
      <c r="A1372" s="17" t="str">
        <f t="shared" si="87"/>
        <v/>
      </c>
      <c r="B1372" s="53"/>
      <c r="C1372" s="11" t="str">
        <f t="shared" si="84"/>
        <v/>
      </c>
      <c r="D1372" s="11" t="str">
        <f t="shared" si="85"/>
        <v/>
      </c>
      <c r="E1372" s="45"/>
      <c r="F1372" s="11" t="str">
        <f>IFERROR(VLOOKUP(E1372,Category!$D$2:$E$600,2,FALSE),"")</f>
        <v/>
      </c>
      <c r="G1372" s="45"/>
      <c r="H1372" s="73"/>
      <c r="I1372" s="18" t="str">
        <f t="shared" si="86"/>
        <v/>
      </c>
      <c r="J1372" s="45"/>
      <c r="K1372" s="45"/>
    </row>
    <row r="1373" spans="1:11">
      <c r="A1373" s="17" t="str">
        <f t="shared" si="87"/>
        <v/>
      </c>
      <c r="B1373" s="53"/>
      <c r="C1373" s="11" t="str">
        <f t="shared" si="84"/>
        <v/>
      </c>
      <c r="D1373" s="11" t="str">
        <f t="shared" si="85"/>
        <v/>
      </c>
      <c r="E1373" s="45"/>
      <c r="F1373" s="11" t="str">
        <f>IFERROR(VLOOKUP(E1373,Category!$D$2:$E$600,2,FALSE),"")</f>
        <v/>
      </c>
      <c r="G1373" s="45"/>
      <c r="H1373" s="73"/>
      <c r="I1373" s="18" t="str">
        <f t="shared" si="86"/>
        <v/>
      </c>
      <c r="J1373" s="45"/>
      <c r="K1373" s="45"/>
    </row>
    <row r="1374" spans="1:11">
      <c r="A1374" s="17" t="str">
        <f t="shared" si="87"/>
        <v/>
      </c>
      <c r="B1374" s="53"/>
      <c r="C1374" s="11" t="str">
        <f t="shared" si="84"/>
        <v/>
      </c>
      <c r="D1374" s="11" t="str">
        <f t="shared" si="85"/>
        <v/>
      </c>
      <c r="E1374" s="45"/>
      <c r="F1374" s="11" t="str">
        <f>IFERROR(VLOOKUP(E1374,Category!$D$2:$E$600,2,FALSE),"")</f>
        <v/>
      </c>
      <c r="G1374" s="45"/>
      <c r="H1374" s="73"/>
      <c r="I1374" s="18" t="str">
        <f t="shared" si="86"/>
        <v/>
      </c>
      <c r="J1374" s="45"/>
      <c r="K1374" s="45"/>
    </row>
    <row r="1375" spans="1:11">
      <c r="A1375" s="17" t="str">
        <f t="shared" si="87"/>
        <v/>
      </c>
      <c r="B1375" s="53"/>
      <c r="C1375" s="11" t="str">
        <f t="shared" si="84"/>
        <v/>
      </c>
      <c r="D1375" s="11" t="str">
        <f t="shared" si="85"/>
        <v/>
      </c>
      <c r="E1375" s="45"/>
      <c r="F1375" s="11" t="str">
        <f>IFERROR(VLOOKUP(E1375,Category!$D$2:$E$600,2,FALSE),"")</f>
        <v/>
      </c>
      <c r="G1375" s="45"/>
      <c r="H1375" s="73"/>
      <c r="I1375" s="18" t="str">
        <f t="shared" si="86"/>
        <v/>
      </c>
      <c r="J1375" s="45"/>
      <c r="K1375" s="45"/>
    </row>
    <row r="1376" spans="1:11">
      <c r="A1376" s="17" t="str">
        <f t="shared" si="87"/>
        <v/>
      </c>
      <c r="B1376" s="53"/>
      <c r="C1376" s="11" t="str">
        <f t="shared" si="84"/>
        <v/>
      </c>
      <c r="D1376" s="11" t="str">
        <f t="shared" si="85"/>
        <v/>
      </c>
      <c r="E1376" s="45"/>
      <c r="F1376" s="11" t="str">
        <f>IFERROR(VLOOKUP(E1376,Category!$D$2:$E$600,2,FALSE),"")</f>
        <v/>
      </c>
      <c r="G1376" s="45"/>
      <c r="H1376" s="73"/>
      <c r="I1376" s="18" t="str">
        <f t="shared" si="86"/>
        <v/>
      </c>
      <c r="J1376" s="45"/>
      <c r="K1376" s="45"/>
    </row>
    <row r="1377" spans="1:11">
      <c r="A1377" s="17" t="str">
        <f t="shared" si="87"/>
        <v/>
      </c>
      <c r="B1377" s="53"/>
      <c r="C1377" s="11" t="str">
        <f t="shared" si="84"/>
        <v/>
      </c>
      <c r="D1377" s="11" t="str">
        <f t="shared" si="85"/>
        <v/>
      </c>
      <c r="E1377" s="45"/>
      <c r="F1377" s="11" t="str">
        <f>IFERROR(VLOOKUP(E1377,Category!$D$2:$E$600,2,FALSE),"")</f>
        <v/>
      </c>
      <c r="G1377" s="45"/>
      <c r="H1377" s="73"/>
      <c r="I1377" s="18" t="str">
        <f t="shared" si="86"/>
        <v/>
      </c>
      <c r="J1377" s="45"/>
      <c r="K1377" s="45"/>
    </row>
    <row r="1378" spans="1:11">
      <c r="A1378" s="17" t="str">
        <f t="shared" si="87"/>
        <v/>
      </c>
      <c r="B1378" s="53"/>
      <c r="C1378" s="11" t="str">
        <f t="shared" si="84"/>
        <v/>
      </c>
      <c r="D1378" s="11" t="str">
        <f t="shared" si="85"/>
        <v/>
      </c>
      <c r="E1378" s="45"/>
      <c r="F1378" s="11" t="str">
        <f>IFERROR(VLOOKUP(E1378,Category!$D$2:$E$600,2,FALSE),"")</f>
        <v/>
      </c>
      <c r="G1378" s="45"/>
      <c r="H1378" s="73"/>
      <c r="I1378" s="18" t="str">
        <f t="shared" si="86"/>
        <v/>
      </c>
      <c r="J1378" s="45"/>
      <c r="K1378" s="45"/>
    </row>
    <row r="1379" spans="1:11">
      <c r="A1379" s="17" t="str">
        <f t="shared" si="87"/>
        <v/>
      </c>
      <c r="B1379" s="53"/>
      <c r="C1379" s="11" t="str">
        <f t="shared" si="84"/>
        <v/>
      </c>
      <c r="D1379" s="11" t="str">
        <f t="shared" si="85"/>
        <v/>
      </c>
      <c r="E1379" s="45"/>
      <c r="F1379" s="11" t="str">
        <f>IFERROR(VLOOKUP(E1379,Category!$D$2:$E$600,2,FALSE),"")</f>
        <v/>
      </c>
      <c r="G1379" s="45"/>
      <c r="H1379" s="73"/>
      <c r="I1379" s="18" t="str">
        <f t="shared" si="86"/>
        <v/>
      </c>
      <c r="J1379" s="45"/>
      <c r="K1379" s="45"/>
    </row>
    <row r="1380" spans="1:11">
      <c r="A1380" s="17" t="str">
        <f t="shared" si="87"/>
        <v/>
      </c>
      <c r="B1380" s="53"/>
      <c r="C1380" s="11" t="str">
        <f t="shared" si="84"/>
        <v/>
      </c>
      <c r="D1380" s="11" t="str">
        <f t="shared" si="85"/>
        <v/>
      </c>
      <c r="E1380" s="45"/>
      <c r="F1380" s="11" t="str">
        <f>IFERROR(VLOOKUP(E1380,Category!$D$2:$E$600,2,FALSE),"")</f>
        <v/>
      </c>
      <c r="G1380" s="45"/>
      <c r="H1380" s="73"/>
      <c r="I1380" s="18" t="str">
        <f t="shared" si="86"/>
        <v/>
      </c>
      <c r="J1380" s="45"/>
      <c r="K1380" s="45"/>
    </row>
    <row r="1381" spans="1:11">
      <c r="A1381" s="17" t="str">
        <f t="shared" si="87"/>
        <v/>
      </c>
      <c r="B1381" s="53"/>
      <c r="C1381" s="11" t="str">
        <f t="shared" si="84"/>
        <v/>
      </c>
      <c r="D1381" s="11" t="str">
        <f t="shared" si="85"/>
        <v/>
      </c>
      <c r="E1381" s="45"/>
      <c r="F1381" s="11" t="str">
        <f>IFERROR(VLOOKUP(E1381,Category!$D$2:$E$600,2,FALSE),"")</f>
        <v/>
      </c>
      <c r="G1381" s="45"/>
      <c r="H1381" s="73"/>
      <c r="I1381" s="18" t="str">
        <f t="shared" si="86"/>
        <v/>
      </c>
      <c r="J1381" s="45"/>
      <c r="K1381" s="45"/>
    </row>
    <row r="1382" spans="1:11">
      <c r="A1382" s="17" t="str">
        <f t="shared" si="87"/>
        <v/>
      </c>
      <c r="B1382" s="53"/>
      <c r="C1382" s="11" t="str">
        <f t="shared" si="84"/>
        <v/>
      </c>
      <c r="D1382" s="11" t="str">
        <f t="shared" si="85"/>
        <v/>
      </c>
      <c r="E1382" s="45"/>
      <c r="F1382" s="11" t="str">
        <f>IFERROR(VLOOKUP(E1382,Category!$D$2:$E$600,2,FALSE),"")</f>
        <v/>
      </c>
      <c r="G1382" s="45"/>
      <c r="H1382" s="73"/>
      <c r="I1382" s="18" t="str">
        <f t="shared" si="86"/>
        <v/>
      </c>
      <c r="J1382" s="45"/>
      <c r="K1382" s="45"/>
    </row>
    <row r="1383" spans="1:11">
      <c r="A1383" s="17" t="str">
        <f t="shared" si="87"/>
        <v/>
      </c>
      <c r="B1383" s="53"/>
      <c r="C1383" s="11" t="str">
        <f t="shared" si="84"/>
        <v/>
      </c>
      <c r="D1383" s="11" t="str">
        <f t="shared" si="85"/>
        <v/>
      </c>
      <c r="E1383" s="45"/>
      <c r="F1383" s="11" t="str">
        <f>IFERROR(VLOOKUP(E1383,Category!$D$2:$E$600,2,FALSE),"")</f>
        <v/>
      </c>
      <c r="G1383" s="45"/>
      <c r="H1383" s="73"/>
      <c r="I1383" s="18" t="str">
        <f t="shared" si="86"/>
        <v/>
      </c>
      <c r="J1383" s="45"/>
      <c r="K1383" s="45"/>
    </row>
    <row r="1384" spans="1:11">
      <c r="A1384" s="17" t="str">
        <f t="shared" si="87"/>
        <v/>
      </c>
      <c r="B1384" s="53"/>
      <c r="C1384" s="11" t="str">
        <f t="shared" si="84"/>
        <v/>
      </c>
      <c r="D1384" s="11" t="str">
        <f t="shared" si="85"/>
        <v/>
      </c>
      <c r="E1384" s="45"/>
      <c r="F1384" s="11" t="str">
        <f>IFERROR(VLOOKUP(E1384,Category!$D$2:$E$600,2,FALSE),"")</f>
        <v/>
      </c>
      <c r="G1384" s="45"/>
      <c r="H1384" s="73"/>
      <c r="I1384" s="18" t="str">
        <f t="shared" si="86"/>
        <v/>
      </c>
      <c r="J1384" s="45"/>
      <c r="K1384" s="45"/>
    </row>
    <row r="1385" spans="1:11">
      <c r="A1385" s="17" t="str">
        <f t="shared" si="87"/>
        <v/>
      </c>
      <c r="B1385" s="53"/>
      <c r="C1385" s="11" t="str">
        <f t="shared" si="84"/>
        <v/>
      </c>
      <c r="D1385" s="11" t="str">
        <f t="shared" si="85"/>
        <v/>
      </c>
      <c r="E1385" s="45"/>
      <c r="F1385" s="11" t="str">
        <f>IFERROR(VLOOKUP(E1385,Category!$D$2:$E$600,2,FALSE),"")</f>
        <v/>
      </c>
      <c r="G1385" s="45"/>
      <c r="H1385" s="73"/>
      <c r="I1385" s="18" t="str">
        <f t="shared" si="86"/>
        <v/>
      </c>
      <c r="J1385" s="45"/>
      <c r="K1385" s="45"/>
    </row>
    <row r="1386" spans="1:11">
      <c r="A1386" s="17" t="str">
        <f t="shared" si="87"/>
        <v/>
      </c>
      <c r="B1386" s="53"/>
      <c r="C1386" s="11" t="str">
        <f t="shared" si="84"/>
        <v/>
      </c>
      <c r="D1386" s="11" t="str">
        <f t="shared" si="85"/>
        <v/>
      </c>
      <c r="E1386" s="45"/>
      <c r="F1386" s="11" t="str">
        <f>IFERROR(VLOOKUP(E1386,Category!$D$2:$E$600,2,FALSE),"")</f>
        <v/>
      </c>
      <c r="G1386" s="45"/>
      <c r="H1386" s="73"/>
      <c r="I1386" s="18" t="str">
        <f t="shared" si="86"/>
        <v/>
      </c>
      <c r="J1386" s="45"/>
      <c r="K1386" s="45"/>
    </row>
    <row r="1387" spans="1:11">
      <c r="A1387" s="17" t="str">
        <f t="shared" si="87"/>
        <v/>
      </c>
      <c r="B1387" s="53"/>
      <c r="C1387" s="11" t="str">
        <f t="shared" si="84"/>
        <v/>
      </c>
      <c r="D1387" s="11" t="str">
        <f t="shared" si="85"/>
        <v/>
      </c>
      <c r="E1387" s="45"/>
      <c r="F1387" s="11" t="str">
        <f>IFERROR(VLOOKUP(E1387,Category!$D$2:$E$600,2,FALSE),"")</f>
        <v/>
      </c>
      <c r="G1387" s="45"/>
      <c r="H1387" s="73"/>
      <c r="I1387" s="18" t="str">
        <f t="shared" si="86"/>
        <v/>
      </c>
      <c r="J1387" s="45"/>
      <c r="K1387" s="45"/>
    </row>
    <row r="1388" spans="1:11">
      <c r="A1388" s="17" t="str">
        <f t="shared" si="87"/>
        <v/>
      </c>
      <c r="B1388" s="53"/>
      <c r="C1388" s="11" t="str">
        <f t="shared" si="84"/>
        <v/>
      </c>
      <c r="D1388" s="11" t="str">
        <f t="shared" si="85"/>
        <v/>
      </c>
      <c r="E1388" s="45"/>
      <c r="F1388" s="11" t="str">
        <f>IFERROR(VLOOKUP(E1388,Category!$D$2:$E$600,2,FALSE),"")</f>
        <v/>
      </c>
      <c r="G1388" s="45"/>
      <c r="H1388" s="73"/>
      <c r="I1388" s="18" t="str">
        <f t="shared" si="86"/>
        <v/>
      </c>
      <c r="J1388" s="45"/>
      <c r="K1388" s="45"/>
    </row>
    <row r="1389" spans="1:11">
      <c r="A1389" s="17" t="str">
        <f t="shared" si="87"/>
        <v/>
      </c>
      <c r="B1389" s="53"/>
      <c r="C1389" s="11" t="str">
        <f t="shared" si="84"/>
        <v/>
      </c>
      <c r="D1389" s="11" t="str">
        <f t="shared" si="85"/>
        <v/>
      </c>
      <c r="E1389" s="45"/>
      <c r="F1389" s="11" t="str">
        <f>IFERROR(VLOOKUP(E1389,Category!$D$2:$E$600,2,FALSE),"")</f>
        <v/>
      </c>
      <c r="G1389" s="45"/>
      <c r="H1389" s="73"/>
      <c r="I1389" s="18" t="str">
        <f t="shared" si="86"/>
        <v/>
      </c>
      <c r="J1389" s="45"/>
      <c r="K1389" s="45"/>
    </row>
    <row r="1390" spans="1:11">
      <c r="A1390" s="17" t="str">
        <f t="shared" si="87"/>
        <v/>
      </c>
      <c r="B1390" s="53"/>
      <c r="C1390" s="11" t="str">
        <f t="shared" si="84"/>
        <v/>
      </c>
      <c r="D1390" s="11" t="str">
        <f t="shared" si="85"/>
        <v/>
      </c>
      <c r="E1390" s="45"/>
      <c r="F1390" s="11" t="str">
        <f>IFERROR(VLOOKUP(E1390,Category!$D$2:$E$600,2,FALSE),"")</f>
        <v/>
      </c>
      <c r="G1390" s="45"/>
      <c r="H1390" s="73"/>
      <c r="I1390" s="18" t="str">
        <f t="shared" si="86"/>
        <v/>
      </c>
      <c r="J1390" s="45"/>
      <c r="K1390" s="45"/>
    </row>
    <row r="1391" spans="1:11">
      <c r="A1391" s="17" t="str">
        <f t="shared" si="87"/>
        <v/>
      </c>
      <c r="B1391" s="53"/>
      <c r="C1391" s="11" t="str">
        <f t="shared" si="84"/>
        <v/>
      </c>
      <c r="D1391" s="11" t="str">
        <f t="shared" si="85"/>
        <v/>
      </c>
      <c r="E1391" s="45"/>
      <c r="F1391" s="11" t="str">
        <f>IFERROR(VLOOKUP(E1391,Category!$D$2:$E$600,2,FALSE),"")</f>
        <v/>
      </c>
      <c r="G1391" s="45"/>
      <c r="H1391" s="73"/>
      <c r="I1391" s="18" t="str">
        <f t="shared" si="86"/>
        <v/>
      </c>
      <c r="J1391" s="45"/>
      <c r="K1391" s="45"/>
    </row>
    <row r="1392" spans="1:11">
      <c r="A1392" s="17" t="str">
        <f t="shared" si="87"/>
        <v/>
      </c>
      <c r="B1392" s="53"/>
      <c r="C1392" s="11" t="str">
        <f t="shared" si="84"/>
        <v/>
      </c>
      <c r="D1392" s="11" t="str">
        <f t="shared" si="85"/>
        <v/>
      </c>
      <c r="E1392" s="45"/>
      <c r="F1392" s="11" t="str">
        <f>IFERROR(VLOOKUP(E1392,Category!$D$2:$E$600,2,FALSE),"")</f>
        <v/>
      </c>
      <c r="G1392" s="45"/>
      <c r="H1392" s="73"/>
      <c r="I1392" s="18" t="str">
        <f t="shared" si="86"/>
        <v/>
      </c>
      <c r="J1392" s="45"/>
      <c r="K1392" s="45"/>
    </row>
    <row r="1393" spans="1:11">
      <c r="A1393" s="17" t="str">
        <f t="shared" si="87"/>
        <v/>
      </c>
      <c r="B1393" s="53"/>
      <c r="C1393" s="11" t="str">
        <f t="shared" si="84"/>
        <v/>
      </c>
      <c r="D1393" s="11" t="str">
        <f t="shared" si="85"/>
        <v/>
      </c>
      <c r="E1393" s="45"/>
      <c r="F1393" s="11" t="str">
        <f>IFERROR(VLOOKUP(E1393,Category!$D$2:$E$600,2,FALSE),"")</f>
        <v/>
      </c>
      <c r="G1393" s="45"/>
      <c r="H1393" s="73"/>
      <c r="I1393" s="18" t="str">
        <f t="shared" si="86"/>
        <v/>
      </c>
      <c r="J1393" s="45"/>
      <c r="K1393" s="45"/>
    </row>
    <row r="1394" spans="1:11">
      <c r="A1394" s="17" t="str">
        <f t="shared" si="87"/>
        <v/>
      </c>
      <c r="B1394" s="53"/>
      <c r="C1394" s="11" t="str">
        <f t="shared" si="84"/>
        <v/>
      </c>
      <c r="D1394" s="11" t="str">
        <f t="shared" si="85"/>
        <v/>
      </c>
      <c r="E1394" s="45"/>
      <c r="F1394" s="11" t="str">
        <f>IFERROR(VLOOKUP(E1394,Category!$D$2:$E$600,2,FALSE),"")</f>
        <v/>
      </c>
      <c r="G1394" s="45"/>
      <c r="H1394" s="73"/>
      <c r="I1394" s="18" t="str">
        <f t="shared" si="86"/>
        <v/>
      </c>
      <c r="J1394" s="45"/>
      <c r="K1394" s="45"/>
    </row>
    <row r="1395" spans="1:11">
      <c r="A1395" s="17" t="str">
        <f t="shared" si="87"/>
        <v/>
      </c>
      <c r="B1395" s="53"/>
      <c r="C1395" s="11" t="str">
        <f t="shared" si="84"/>
        <v/>
      </c>
      <c r="D1395" s="11" t="str">
        <f t="shared" si="85"/>
        <v/>
      </c>
      <c r="E1395" s="45"/>
      <c r="F1395" s="11" t="str">
        <f>IFERROR(VLOOKUP(E1395,Category!$D$2:$E$600,2,FALSE),"")</f>
        <v/>
      </c>
      <c r="G1395" s="45"/>
      <c r="H1395" s="73"/>
      <c r="I1395" s="18" t="str">
        <f t="shared" si="86"/>
        <v/>
      </c>
      <c r="J1395" s="45"/>
      <c r="K1395" s="45"/>
    </row>
    <row r="1396" spans="1:11">
      <c r="A1396" s="17" t="str">
        <f t="shared" si="87"/>
        <v/>
      </c>
      <c r="B1396" s="53"/>
      <c r="C1396" s="11" t="str">
        <f t="shared" si="84"/>
        <v/>
      </c>
      <c r="D1396" s="11" t="str">
        <f t="shared" si="85"/>
        <v/>
      </c>
      <c r="E1396" s="45"/>
      <c r="F1396" s="11" t="str">
        <f>IFERROR(VLOOKUP(E1396,Category!$D$2:$E$600,2,FALSE),"")</f>
        <v/>
      </c>
      <c r="G1396" s="45"/>
      <c r="H1396" s="73"/>
      <c r="I1396" s="18" t="str">
        <f t="shared" si="86"/>
        <v/>
      </c>
      <c r="J1396" s="45"/>
      <c r="K1396" s="45"/>
    </row>
    <row r="1397" spans="1:11">
      <c r="A1397" s="17" t="str">
        <f t="shared" si="87"/>
        <v/>
      </c>
      <c r="B1397" s="53"/>
      <c r="C1397" s="11" t="str">
        <f t="shared" si="84"/>
        <v/>
      </c>
      <c r="D1397" s="11" t="str">
        <f t="shared" si="85"/>
        <v/>
      </c>
      <c r="E1397" s="45"/>
      <c r="F1397" s="11" t="str">
        <f>IFERROR(VLOOKUP(E1397,Category!$D$2:$E$600,2,FALSE),"")</f>
        <v/>
      </c>
      <c r="G1397" s="45"/>
      <c r="H1397" s="73"/>
      <c r="I1397" s="18" t="str">
        <f t="shared" si="86"/>
        <v/>
      </c>
      <c r="J1397" s="45"/>
      <c r="K1397" s="45"/>
    </row>
    <row r="1398" spans="1:11">
      <c r="A1398" s="17" t="str">
        <f t="shared" si="87"/>
        <v/>
      </c>
      <c r="B1398" s="53"/>
      <c r="C1398" s="11" t="str">
        <f t="shared" si="84"/>
        <v/>
      </c>
      <c r="D1398" s="11" t="str">
        <f t="shared" si="85"/>
        <v/>
      </c>
      <c r="E1398" s="45"/>
      <c r="F1398" s="11" t="str">
        <f>IFERROR(VLOOKUP(E1398,Category!$D$2:$E$600,2,FALSE),"")</f>
        <v/>
      </c>
      <c r="G1398" s="45"/>
      <c r="H1398" s="73"/>
      <c r="I1398" s="18" t="str">
        <f t="shared" si="86"/>
        <v/>
      </c>
      <c r="J1398" s="45"/>
      <c r="K1398" s="45"/>
    </row>
    <row r="1399" spans="1:11">
      <c r="A1399" s="17" t="str">
        <f t="shared" si="87"/>
        <v/>
      </c>
      <c r="B1399" s="53"/>
      <c r="C1399" s="11" t="str">
        <f t="shared" si="84"/>
        <v/>
      </c>
      <c r="D1399" s="11" t="str">
        <f t="shared" si="85"/>
        <v/>
      </c>
      <c r="E1399" s="45"/>
      <c r="F1399" s="11" t="str">
        <f>IFERROR(VLOOKUP(E1399,Category!$D$2:$E$600,2,FALSE),"")</f>
        <v/>
      </c>
      <c r="G1399" s="45"/>
      <c r="H1399" s="73"/>
      <c r="I1399" s="18" t="str">
        <f t="shared" si="86"/>
        <v/>
      </c>
      <c r="J1399" s="45"/>
      <c r="K1399" s="45"/>
    </row>
    <row r="1400" spans="1:11">
      <c r="A1400" s="17" t="str">
        <f t="shared" si="87"/>
        <v/>
      </c>
      <c r="B1400" s="53"/>
      <c r="C1400" s="11" t="str">
        <f t="shared" si="84"/>
        <v/>
      </c>
      <c r="D1400" s="11" t="str">
        <f t="shared" si="85"/>
        <v/>
      </c>
      <c r="E1400" s="45"/>
      <c r="F1400" s="11" t="str">
        <f>IFERROR(VLOOKUP(E1400,Category!$D$2:$E$600,2,FALSE),"")</f>
        <v/>
      </c>
      <c r="G1400" s="45"/>
      <c r="H1400" s="73"/>
      <c r="I1400" s="18" t="str">
        <f t="shared" si="86"/>
        <v/>
      </c>
      <c r="J1400" s="45"/>
      <c r="K1400" s="45"/>
    </row>
    <row r="1401" spans="1:11">
      <c r="A1401" s="17" t="str">
        <f t="shared" si="87"/>
        <v/>
      </c>
      <c r="B1401" s="53"/>
      <c r="C1401" s="11" t="str">
        <f t="shared" si="84"/>
        <v/>
      </c>
      <c r="D1401" s="11" t="str">
        <f t="shared" si="85"/>
        <v/>
      </c>
      <c r="E1401" s="45"/>
      <c r="F1401" s="11" t="str">
        <f>IFERROR(VLOOKUP(E1401,Category!$D$2:$E$600,2,FALSE),"")</f>
        <v/>
      </c>
      <c r="G1401" s="45"/>
      <c r="H1401" s="73"/>
      <c r="I1401" s="18" t="str">
        <f t="shared" si="86"/>
        <v/>
      </c>
      <c r="J1401" s="45"/>
      <c r="K1401" s="45"/>
    </row>
    <row r="1402" spans="1:11">
      <c r="A1402" s="17" t="str">
        <f t="shared" si="87"/>
        <v/>
      </c>
      <c r="B1402" s="53"/>
      <c r="C1402" s="11" t="str">
        <f t="shared" si="84"/>
        <v/>
      </c>
      <c r="D1402" s="11" t="str">
        <f t="shared" si="85"/>
        <v/>
      </c>
      <c r="E1402" s="45"/>
      <c r="F1402" s="11" t="str">
        <f>IFERROR(VLOOKUP(E1402,Category!$D$2:$E$600,2,FALSE),"")</f>
        <v/>
      </c>
      <c r="G1402" s="45"/>
      <c r="H1402" s="73"/>
      <c r="I1402" s="18" t="str">
        <f t="shared" si="86"/>
        <v/>
      </c>
      <c r="J1402" s="45"/>
      <c r="K1402" s="45"/>
    </row>
    <row r="1403" spans="1:11">
      <c r="A1403" s="17" t="str">
        <f t="shared" si="87"/>
        <v/>
      </c>
      <c r="B1403" s="53"/>
      <c r="C1403" s="11" t="str">
        <f t="shared" si="84"/>
        <v/>
      </c>
      <c r="D1403" s="11" t="str">
        <f t="shared" si="85"/>
        <v/>
      </c>
      <c r="E1403" s="45"/>
      <c r="F1403" s="11" t="str">
        <f>IFERROR(VLOOKUP(E1403,Category!$D$2:$E$600,2,FALSE),"")</f>
        <v/>
      </c>
      <c r="G1403" s="45"/>
      <c r="H1403" s="73"/>
      <c r="I1403" s="18" t="str">
        <f t="shared" si="86"/>
        <v/>
      </c>
      <c r="J1403" s="45"/>
      <c r="K1403" s="45"/>
    </row>
    <row r="1404" spans="1:11">
      <c r="A1404" s="17" t="str">
        <f t="shared" si="87"/>
        <v/>
      </c>
      <c r="B1404" s="53"/>
      <c r="C1404" s="11" t="str">
        <f t="shared" si="84"/>
        <v/>
      </c>
      <c r="D1404" s="11" t="str">
        <f t="shared" si="85"/>
        <v/>
      </c>
      <c r="E1404" s="45"/>
      <c r="F1404" s="11" t="str">
        <f>IFERROR(VLOOKUP(E1404,Category!$D$2:$E$600,2,FALSE),"")</f>
        <v/>
      </c>
      <c r="G1404" s="45"/>
      <c r="H1404" s="73"/>
      <c r="I1404" s="18" t="str">
        <f t="shared" si="86"/>
        <v/>
      </c>
      <c r="J1404" s="45"/>
      <c r="K1404" s="45"/>
    </row>
    <row r="1405" spans="1:11">
      <c r="A1405" s="17" t="str">
        <f t="shared" si="87"/>
        <v/>
      </c>
      <c r="B1405" s="53"/>
      <c r="C1405" s="11" t="str">
        <f t="shared" si="84"/>
        <v/>
      </c>
      <c r="D1405" s="11" t="str">
        <f t="shared" si="85"/>
        <v/>
      </c>
      <c r="E1405" s="45"/>
      <c r="F1405" s="11" t="str">
        <f>IFERROR(VLOOKUP(E1405,Category!$D$2:$E$600,2,FALSE),"")</f>
        <v/>
      </c>
      <c r="G1405" s="45"/>
      <c r="H1405" s="73"/>
      <c r="I1405" s="18" t="str">
        <f t="shared" si="86"/>
        <v/>
      </c>
      <c r="J1405" s="45"/>
      <c r="K1405" s="45"/>
    </row>
    <row r="1406" spans="1:11">
      <c r="A1406" s="17" t="str">
        <f t="shared" si="87"/>
        <v/>
      </c>
      <c r="B1406" s="53"/>
      <c r="C1406" s="11" t="str">
        <f t="shared" si="84"/>
        <v/>
      </c>
      <c r="D1406" s="11" t="str">
        <f t="shared" si="85"/>
        <v/>
      </c>
      <c r="E1406" s="45"/>
      <c r="F1406" s="11" t="str">
        <f>IFERROR(VLOOKUP(E1406,Category!$D$2:$E$600,2,FALSE),"")</f>
        <v/>
      </c>
      <c r="G1406" s="45"/>
      <c r="H1406" s="73"/>
      <c r="I1406" s="18" t="str">
        <f t="shared" si="86"/>
        <v/>
      </c>
      <c r="J1406" s="45"/>
      <c r="K1406" s="45"/>
    </row>
    <row r="1407" spans="1:11">
      <c r="A1407" s="17" t="str">
        <f t="shared" si="87"/>
        <v/>
      </c>
      <c r="B1407" s="53"/>
      <c r="C1407" s="11" t="str">
        <f t="shared" si="84"/>
        <v/>
      </c>
      <c r="D1407" s="11" t="str">
        <f t="shared" si="85"/>
        <v/>
      </c>
      <c r="E1407" s="45"/>
      <c r="F1407" s="11" t="str">
        <f>IFERROR(VLOOKUP(E1407,Category!$D$2:$E$600,2,FALSE),"")</f>
        <v/>
      </c>
      <c r="G1407" s="45"/>
      <c r="H1407" s="73"/>
      <c r="I1407" s="18" t="str">
        <f t="shared" si="86"/>
        <v/>
      </c>
      <c r="J1407" s="45"/>
      <c r="K1407" s="45"/>
    </row>
    <row r="1408" spans="1:11">
      <c r="A1408" s="17" t="str">
        <f t="shared" si="87"/>
        <v/>
      </c>
      <c r="B1408" s="53"/>
      <c r="C1408" s="11" t="str">
        <f t="shared" si="84"/>
        <v/>
      </c>
      <c r="D1408" s="11" t="str">
        <f t="shared" si="85"/>
        <v/>
      </c>
      <c r="E1408" s="45"/>
      <c r="F1408" s="11" t="str">
        <f>IFERROR(VLOOKUP(E1408,Category!$D$2:$E$600,2,FALSE),"")</f>
        <v/>
      </c>
      <c r="G1408" s="45"/>
      <c r="H1408" s="73"/>
      <c r="I1408" s="18" t="str">
        <f t="shared" si="86"/>
        <v/>
      </c>
      <c r="J1408" s="45"/>
      <c r="K1408" s="45"/>
    </row>
    <row r="1409" spans="1:11">
      <c r="A1409" s="17" t="str">
        <f t="shared" si="87"/>
        <v/>
      </c>
      <c r="B1409" s="53"/>
      <c r="C1409" s="11" t="str">
        <f t="shared" si="84"/>
        <v/>
      </c>
      <c r="D1409" s="11" t="str">
        <f t="shared" si="85"/>
        <v/>
      </c>
      <c r="E1409" s="45"/>
      <c r="F1409" s="11" t="str">
        <f>IFERROR(VLOOKUP(E1409,Category!$D$2:$E$600,2,FALSE),"")</f>
        <v/>
      </c>
      <c r="G1409" s="45"/>
      <c r="H1409" s="73"/>
      <c r="I1409" s="18" t="str">
        <f t="shared" si="86"/>
        <v/>
      </c>
      <c r="J1409" s="45"/>
      <c r="K1409" s="45"/>
    </row>
    <row r="1410" spans="1:11">
      <c r="A1410" s="17" t="str">
        <f t="shared" si="87"/>
        <v/>
      </c>
      <c r="B1410" s="53"/>
      <c r="C1410" s="11" t="str">
        <f t="shared" si="84"/>
        <v/>
      </c>
      <c r="D1410" s="11" t="str">
        <f t="shared" si="85"/>
        <v/>
      </c>
      <c r="E1410" s="45"/>
      <c r="F1410" s="11" t="str">
        <f>IFERROR(VLOOKUP(E1410,Category!$D$2:$E$600,2,FALSE),"")</f>
        <v/>
      </c>
      <c r="G1410" s="45"/>
      <c r="H1410" s="73"/>
      <c r="I1410" s="18" t="str">
        <f t="shared" si="86"/>
        <v/>
      </c>
      <c r="J1410" s="45"/>
      <c r="K1410" s="45"/>
    </row>
    <row r="1411" spans="1:11">
      <c r="A1411" s="17" t="str">
        <f t="shared" si="87"/>
        <v/>
      </c>
      <c r="B1411" s="53"/>
      <c r="C1411" s="11" t="str">
        <f t="shared" ref="C1411:C1474" si="88">IF(B1411=0,"",TEXT(B1411,"mmmm"))</f>
        <v/>
      </c>
      <c r="D1411" s="11" t="str">
        <f t="shared" ref="D1411:D1474" si="89">IF(B1411=0,"",TEXT(B1411,"yyyy"))</f>
        <v/>
      </c>
      <c r="E1411" s="45"/>
      <c r="F1411" s="11" t="str">
        <f>IFERROR(VLOOKUP(E1411,Category!$D$2:$E$600,2,FALSE),"")</f>
        <v/>
      </c>
      <c r="G1411" s="45"/>
      <c r="H1411" s="73"/>
      <c r="I1411" s="18" t="str">
        <f t="shared" ref="I1411:I1474" si="90">IF(G1411*H1411=0,"",G1411*H1411)</f>
        <v/>
      </c>
      <c r="J1411" s="45"/>
      <c r="K1411" s="45"/>
    </row>
    <row r="1412" spans="1:11">
      <c r="A1412" s="17" t="str">
        <f t="shared" ref="A1412:A1475" si="91">IF(E1412&gt;0,A1411+1,"")</f>
        <v/>
      </c>
      <c r="B1412" s="53"/>
      <c r="C1412" s="11" t="str">
        <f t="shared" si="88"/>
        <v/>
      </c>
      <c r="D1412" s="11" t="str">
        <f t="shared" si="89"/>
        <v/>
      </c>
      <c r="E1412" s="45"/>
      <c r="F1412" s="11" t="str">
        <f>IFERROR(VLOOKUP(E1412,Category!$D$2:$E$600,2,FALSE),"")</f>
        <v/>
      </c>
      <c r="G1412" s="45"/>
      <c r="H1412" s="73"/>
      <c r="I1412" s="18" t="str">
        <f t="shared" si="90"/>
        <v/>
      </c>
      <c r="J1412" s="45"/>
      <c r="K1412" s="45"/>
    </row>
    <row r="1413" spans="1:11">
      <c r="A1413" s="17" t="str">
        <f t="shared" si="91"/>
        <v/>
      </c>
      <c r="B1413" s="53"/>
      <c r="C1413" s="11" t="str">
        <f t="shared" si="88"/>
        <v/>
      </c>
      <c r="D1413" s="11" t="str">
        <f t="shared" si="89"/>
        <v/>
      </c>
      <c r="E1413" s="45"/>
      <c r="F1413" s="11" t="str">
        <f>IFERROR(VLOOKUP(E1413,Category!$D$2:$E$600,2,FALSE),"")</f>
        <v/>
      </c>
      <c r="G1413" s="45"/>
      <c r="H1413" s="73"/>
      <c r="I1413" s="18" t="str">
        <f t="shared" si="90"/>
        <v/>
      </c>
      <c r="J1413" s="45"/>
      <c r="K1413" s="45"/>
    </row>
    <row r="1414" spans="1:11">
      <c r="A1414" s="17" t="str">
        <f t="shared" si="91"/>
        <v/>
      </c>
      <c r="B1414" s="53"/>
      <c r="C1414" s="11" t="str">
        <f t="shared" si="88"/>
        <v/>
      </c>
      <c r="D1414" s="11" t="str">
        <f t="shared" si="89"/>
        <v/>
      </c>
      <c r="E1414" s="45"/>
      <c r="F1414" s="11" t="str">
        <f>IFERROR(VLOOKUP(E1414,Category!$D$2:$E$600,2,FALSE),"")</f>
        <v/>
      </c>
      <c r="G1414" s="45"/>
      <c r="H1414" s="73"/>
      <c r="I1414" s="18" t="str">
        <f t="shared" si="90"/>
        <v/>
      </c>
      <c r="J1414" s="45"/>
      <c r="K1414" s="45"/>
    </row>
    <row r="1415" spans="1:11">
      <c r="A1415" s="17" t="str">
        <f t="shared" si="91"/>
        <v/>
      </c>
      <c r="B1415" s="53"/>
      <c r="C1415" s="11" t="str">
        <f t="shared" si="88"/>
        <v/>
      </c>
      <c r="D1415" s="11" t="str">
        <f t="shared" si="89"/>
        <v/>
      </c>
      <c r="E1415" s="45"/>
      <c r="F1415" s="11" t="str">
        <f>IFERROR(VLOOKUP(E1415,Category!$D$2:$E$600,2,FALSE),"")</f>
        <v/>
      </c>
      <c r="G1415" s="45"/>
      <c r="H1415" s="73"/>
      <c r="I1415" s="18" t="str">
        <f t="shared" si="90"/>
        <v/>
      </c>
      <c r="J1415" s="45"/>
      <c r="K1415" s="45"/>
    </row>
    <row r="1416" spans="1:11">
      <c r="A1416" s="17" t="str">
        <f t="shared" si="91"/>
        <v/>
      </c>
      <c r="B1416" s="53"/>
      <c r="C1416" s="11" t="str">
        <f t="shared" si="88"/>
        <v/>
      </c>
      <c r="D1416" s="11" t="str">
        <f t="shared" si="89"/>
        <v/>
      </c>
      <c r="E1416" s="45"/>
      <c r="F1416" s="11" t="str">
        <f>IFERROR(VLOOKUP(E1416,Category!$D$2:$E$600,2,FALSE),"")</f>
        <v/>
      </c>
      <c r="G1416" s="45"/>
      <c r="H1416" s="73"/>
      <c r="I1416" s="18" t="str">
        <f t="shared" si="90"/>
        <v/>
      </c>
      <c r="J1416" s="45"/>
      <c r="K1416" s="45"/>
    </row>
    <row r="1417" spans="1:11">
      <c r="A1417" s="17" t="str">
        <f t="shared" si="91"/>
        <v/>
      </c>
      <c r="B1417" s="53"/>
      <c r="C1417" s="11" t="str">
        <f t="shared" si="88"/>
        <v/>
      </c>
      <c r="D1417" s="11" t="str">
        <f t="shared" si="89"/>
        <v/>
      </c>
      <c r="E1417" s="45"/>
      <c r="F1417" s="11" t="str">
        <f>IFERROR(VLOOKUP(E1417,Category!$D$2:$E$600,2,FALSE),"")</f>
        <v/>
      </c>
      <c r="G1417" s="45"/>
      <c r="H1417" s="73"/>
      <c r="I1417" s="18" t="str">
        <f t="shared" si="90"/>
        <v/>
      </c>
      <c r="J1417" s="45"/>
      <c r="K1417" s="45"/>
    </row>
    <row r="1418" spans="1:11">
      <c r="A1418" s="17" t="str">
        <f t="shared" si="91"/>
        <v/>
      </c>
      <c r="B1418" s="53"/>
      <c r="C1418" s="11" t="str">
        <f t="shared" si="88"/>
        <v/>
      </c>
      <c r="D1418" s="11" t="str">
        <f t="shared" si="89"/>
        <v/>
      </c>
      <c r="E1418" s="45"/>
      <c r="F1418" s="11" t="str">
        <f>IFERROR(VLOOKUP(E1418,Category!$D$2:$E$600,2,FALSE),"")</f>
        <v/>
      </c>
      <c r="G1418" s="45"/>
      <c r="H1418" s="73"/>
      <c r="I1418" s="18" t="str">
        <f t="shared" si="90"/>
        <v/>
      </c>
      <c r="J1418" s="45"/>
      <c r="K1418" s="45"/>
    </row>
    <row r="1419" spans="1:11">
      <c r="A1419" s="17" t="str">
        <f t="shared" si="91"/>
        <v/>
      </c>
      <c r="B1419" s="53"/>
      <c r="C1419" s="11" t="str">
        <f t="shared" si="88"/>
        <v/>
      </c>
      <c r="D1419" s="11" t="str">
        <f t="shared" si="89"/>
        <v/>
      </c>
      <c r="E1419" s="45"/>
      <c r="F1419" s="11" t="str">
        <f>IFERROR(VLOOKUP(E1419,Category!$D$2:$E$600,2,FALSE),"")</f>
        <v/>
      </c>
      <c r="G1419" s="45"/>
      <c r="H1419" s="73"/>
      <c r="I1419" s="18" t="str">
        <f t="shared" si="90"/>
        <v/>
      </c>
      <c r="J1419" s="45"/>
      <c r="K1419" s="45"/>
    </row>
    <row r="1420" spans="1:11">
      <c r="A1420" s="17" t="str">
        <f t="shared" si="91"/>
        <v/>
      </c>
      <c r="B1420" s="53"/>
      <c r="C1420" s="11" t="str">
        <f t="shared" si="88"/>
        <v/>
      </c>
      <c r="D1420" s="11" t="str">
        <f t="shared" si="89"/>
        <v/>
      </c>
      <c r="E1420" s="45"/>
      <c r="F1420" s="11" t="str">
        <f>IFERROR(VLOOKUP(E1420,Category!$D$2:$E$600,2,FALSE),"")</f>
        <v/>
      </c>
      <c r="G1420" s="45"/>
      <c r="H1420" s="73"/>
      <c r="I1420" s="18" t="str">
        <f t="shared" si="90"/>
        <v/>
      </c>
      <c r="J1420" s="45"/>
      <c r="K1420" s="45"/>
    </row>
    <row r="1421" spans="1:11">
      <c r="A1421" s="17" t="str">
        <f t="shared" si="91"/>
        <v/>
      </c>
      <c r="B1421" s="53"/>
      <c r="C1421" s="11" t="str">
        <f t="shared" si="88"/>
        <v/>
      </c>
      <c r="D1421" s="11" t="str">
        <f t="shared" si="89"/>
        <v/>
      </c>
      <c r="E1421" s="45"/>
      <c r="F1421" s="11" t="str">
        <f>IFERROR(VLOOKUP(E1421,Category!$D$2:$E$600,2,FALSE),"")</f>
        <v/>
      </c>
      <c r="G1421" s="45"/>
      <c r="H1421" s="73"/>
      <c r="I1421" s="18" t="str">
        <f t="shared" si="90"/>
        <v/>
      </c>
      <c r="J1421" s="45"/>
      <c r="K1421" s="45"/>
    </row>
    <row r="1422" spans="1:11">
      <c r="A1422" s="17" t="str">
        <f t="shared" si="91"/>
        <v/>
      </c>
      <c r="B1422" s="53"/>
      <c r="C1422" s="11" t="str">
        <f t="shared" si="88"/>
        <v/>
      </c>
      <c r="D1422" s="11" t="str">
        <f t="shared" si="89"/>
        <v/>
      </c>
      <c r="E1422" s="45"/>
      <c r="F1422" s="11" t="str">
        <f>IFERROR(VLOOKUP(E1422,Category!$D$2:$E$600,2,FALSE),"")</f>
        <v/>
      </c>
      <c r="G1422" s="45"/>
      <c r="H1422" s="73"/>
      <c r="I1422" s="18" t="str">
        <f t="shared" si="90"/>
        <v/>
      </c>
      <c r="J1422" s="45"/>
      <c r="K1422" s="45"/>
    </row>
    <row r="1423" spans="1:11">
      <c r="A1423" s="17" t="str">
        <f t="shared" si="91"/>
        <v/>
      </c>
      <c r="B1423" s="53"/>
      <c r="C1423" s="11" t="str">
        <f t="shared" si="88"/>
        <v/>
      </c>
      <c r="D1423" s="11" t="str">
        <f t="shared" si="89"/>
        <v/>
      </c>
      <c r="E1423" s="45"/>
      <c r="F1423" s="11" t="str">
        <f>IFERROR(VLOOKUP(E1423,Category!$D$2:$E$600,2,FALSE),"")</f>
        <v/>
      </c>
      <c r="G1423" s="45"/>
      <c r="H1423" s="73"/>
      <c r="I1423" s="18" t="str">
        <f t="shared" si="90"/>
        <v/>
      </c>
      <c r="J1423" s="45"/>
      <c r="K1423" s="45"/>
    </row>
    <row r="1424" spans="1:11">
      <c r="A1424" s="17" t="str">
        <f t="shared" si="91"/>
        <v/>
      </c>
      <c r="B1424" s="53"/>
      <c r="C1424" s="11" t="str">
        <f t="shared" si="88"/>
        <v/>
      </c>
      <c r="D1424" s="11" t="str">
        <f t="shared" si="89"/>
        <v/>
      </c>
      <c r="E1424" s="45"/>
      <c r="F1424" s="11" t="str">
        <f>IFERROR(VLOOKUP(E1424,Category!$D$2:$E$600,2,FALSE),"")</f>
        <v/>
      </c>
      <c r="G1424" s="45"/>
      <c r="H1424" s="73"/>
      <c r="I1424" s="18" t="str">
        <f t="shared" si="90"/>
        <v/>
      </c>
      <c r="J1424" s="45"/>
      <c r="K1424" s="45"/>
    </row>
    <row r="1425" spans="1:11">
      <c r="A1425" s="17" t="str">
        <f t="shared" si="91"/>
        <v/>
      </c>
      <c r="B1425" s="53"/>
      <c r="C1425" s="11" t="str">
        <f t="shared" si="88"/>
        <v/>
      </c>
      <c r="D1425" s="11" t="str">
        <f t="shared" si="89"/>
        <v/>
      </c>
      <c r="E1425" s="45"/>
      <c r="F1425" s="11" t="str">
        <f>IFERROR(VLOOKUP(E1425,Category!$D$2:$E$600,2,FALSE),"")</f>
        <v/>
      </c>
      <c r="G1425" s="45"/>
      <c r="H1425" s="73"/>
      <c r="I1425" s="18" t="str">
        <f t="shared" si="90"/>
        <v/>
      </c>
      <c r="J1425" s="45"/>
      <c r="K1425" s="45"/>
    </row>
    <row r="1426" spans="1:11">
      <c r="A1426" s="17" t="str">
        <f t="shared" si="91"/>
        <v/>
      </c>
      <c r="B1426" s="53"/>
      <c r="C1426" s="11" t="str">
        <f t="shared" si="88"/>
        <v/>
      </c>
      <c r="D1426" s="11" t="str">
        <f t="shared" si="89"/>
        <v/>
      </c>
      <c r="E1426" s="45"/>
      <c r="F1426" s="11" t="str">
        <f>IFERROR(VLOOKUP(E1426,Category!$D$2:$E$600,2,FALSE),"")</f>
        <v/>
      </c>
      <c r="G1426" s="45"/>
      <c r="H1426" s="73"/>
      <c r="I1426" s="18" t="str">
        <f t="shared" si="90"/>
        <v/>
      </c>
      <c r="J1426" s="45"/>
      <c r="K1426" s="45"/>
    </row>
    <row r="1427" spans="1:11">
      <c r="A1427" s="17" t="str">
        <f t="shared" si="91"/>
        <v/>
      </c>
      <c r="B1427" s="53"/>
      <c r="C1427" s="11" t="str">
        <f t="shared" si="88"/>
        <v/>
      </c>
      <c r="D1427" s="11" t="str">
        <f t="shared" si="89"/>
        <v/>
      </c>
      <c r="E1427" s="45"/>
      <c r="F1427" s="11" t="str">
        <f>IFERROR(VLOOKUP(E1427,Category!$D$2:$E$600,2,FALSE),"")</f>
        <v/>
      </c>
      <c r="G1427" s="45"/>
      <c r="H1427" s="73"/>
      <c r="I1427" s="18" t="str">
        <f t="shared" si="90"/>
        <v/>
      </c>
      <c r="J1427" s="45"/>
      <c r="K1427" s="45"/>
    </row>
    <row r="1428" spans="1:11">
      <c r="A1428" s="17" t="str">
        <f t="shared" si="91"/>
        <v/>
      </c>
      <c r="B1428" s="53"/>
      <c r="C1428" s="11" t="str">
        <f t="shared" si="88"/>
        <v/>
      </c>
      <c r="D1428" s="11" t="str">
        <f t="shared" si="89"/>
        <v/>
      </c>
      <c r="E1428" s="45"/>
      <c r="F1428" s="11" t="str">
        <f>IFERROR(VLOOKUP(E1428,Category!$D$2:$E$600,2,FALSE),"")</f>
        <v/>
      </c>
      <c r="G1428" s="45"/>
      <c r="H1428" s="73"/>
      <c r="I1428" s="18" t="str">
        <f t="shared" si="90"/>
        <v/>
      </c>
      <c r="J1428" s="45"/>
      <c r="K1428" s="45"/>
    </row>
    <row r="1429" spans="1:11">
      <c r="A1429" s="17" t="str">
        <f t="shared" si="91"/>
        <v/>
      </c>
      <c r="B1429" s="53"/>
      <c r="C1429" s="11" t="str">
        <f t="shared" si="88"/>
        <v/>
      </c>
      <c r="D1429" s="11" t="str">
        <f t="shared" si="89"/>
        <v/>
      </c>
      <c r="E1429" s="45"/>
      <c r="F1429" s="11" t="str">
        <f>IFERROR(VLOOKUP(E1429,Category!$D$2:$E$600,2,FALSE),"")</f>
        <v/>
      </c>
      <c r="G1429" s="45"/>
      <c r="H1429" s="73"/>
      <c r="I1429" s="18" t="str">
        <f t="shared" si="90"/>
        <v/>
      </c>
      <c r="J1429" s="45"/>
      <c r="K1429" s="45"/>
    </row>
    <row r="1430" spans="1:11">
      <c r="A1430" s="17" t="str">
        <f t="shared" si="91"/>
        <v/>
      </c>
      <c r="B1430" s="53"/>
      <c r="C1430" s="11" t="str">
        <f t="shared" si="88"/>
        <v/>
      </c>
      <c r="D1430" s="11" t="str">
        <f t="shared" si="89"/>
        <v/>
      </c>
      <c r="E1430" s="45"/>
      <c r="F1430" s="11" t="str">
        <f>IFERROR(VLOOKUP(E1430,Category!$D$2:$E$600,2,FALSE),"")</f>
        <v/>
      </c>
      <c r="G1430" s="45"/>
      <c r="H1430" s="73"/>
      <c r="I1430" s="18" t="str">
        <f t="shared" si="90"/>
        <v/>
      </c>
      <c r="J1430" s="45"/>
      <c r="K1430" s="45"/>
    </row>
    <row r="1431" spans="1:11">
      <c r="A1431" s="17" t="str">
        <f t="shared" si="91"/>
        <v/>
      </c>
      <c r="B1431" s="53"/>
      <c r="C1431" s="11" t="str">
        <f t="shared" si="88"/>
        <v/>
      </c>
      <c r="D1431" s="11" t="str">
        <f t="shared" si="89"/>
        <v/>
      </c>
      <c r="E1431" s="45"/>
      <c r="F1431" s="11" t="str">
        <f>IFERROR(VLOOKUP(E1431,Category!$D$2:$E$600,2,FALSE),"")</f>
        <v/>
      </c>
      <c r="G1431" s="45"/>
      <c r="H1431" s="73"/>
      <c r="I1431" s="18" t="str">
        <f t="shared" si="90"/>
        <v/>
      </c>
      <c r="J1431" s="45"/>
      <c r="K1431" s="45"/>
    </row>
    <row r="1432" spans="1:11">
      <c r="A1432" s="17" t="str">
        <f t="shared" si="91"/>
        <v/>
      </c>
      <c r="B1432" s="53"/>
      <c r="C1432" s="11" t="str">
        <f t="shared" si="88"/>
        <v/>
      </c>
      <c r="D1432" s="11" t="str">
        <f t="shared" si="89"/>
        <v/>
      </c>
      <c r="E1432" s="45"/>
      <c r="F1432" s="11" t="str">
        <f>IFERROR(VLOOKUP(E1432,Category!$D$2:$E$600,2,FALSE),"")</f>
        <v/>
      </c>
      <c r="G1432" s="45"/>
      <c r="H1432" s="73"/>
      <c r="I1432" s="18" t="str">
        <f t="shared" si="90"/>
        <v/>
      </c>
      <c r="J1432" s="45"/>
      <c r="K1432" s="45"/>
    </row>
    <row r="1433" spans="1:11">
      <c r="A1433" s="17" t="str">
        <f t="shared" si="91"/>
        <v/>
      </c>
      <c r="B1433" s="53"/>
      <c r="C1433" s="11" t="str">
        <f t="shared" si="88"/>
        <v/>
      </c>
      <c r="D1433" s="11" t="str">
        <f t="shared" si="89"/>
        <v/>
      </c>
      <c r="E1433" s="45"/>
      <c r="F1433" s="11" t="str">
        <f>IFERROR(VLOOKUP(E1433,Category!$D$2:$E$600,2,FALSE),"")</f>
        <v/>
      </c>
      <c r="G1433" s="45"/>
      <c r="H1433" s="73"/>
      <c r="I1433" s="18" t="str">
        <f t="shared" si="90"/>
        <v/>
      </c>
      <c r="J1433" s="45"/>
      <c r="K1433" s="45"/>
    </row>
    <row r="1434" spans="1:11">
      <c r="A1434" s="17" t="str">
        <f t="shared" si="91"/>
        <v/>
      </c>
      <c r="B1434" s="53"/>
      <c r="C1434" s="11" t="str">
        <f t="shared" si="88"/>
        <v/>
      </c>
      <c r="D1434" s="11" t="str">
        <f t="shared" si="89"/>
        <v/>
      </c>
      <c r="E1434" s="45"/>
      <c r="F1434" s="11" t="str">
        <f>IFERROR(VLOOKUP(E1434,Category!$D$2:$E$600,2,FALSE),"")</f>
        <v/>
      </c>
      <c r="G1434" s="45"/>
      <c r="H1434" s="73"/>
      <c r="I1434" s="18" t="str">
        <f t="shared" si="90"/>
        <v/>
      </c>
      <c r="J1434" s="45"/>
      <c r="K1434" s="45"/>
    </row>
    <row r="1435" spans="1:11">
      <c r="A1435" s="17" t="str">
        <f t="shared" si="91"/>
        <v/>
      </c>
      <c r="B1435" s="53"/>
      <c r="C1435" s="11" t="str">
        <f t="shared" si="88"/>
        <v/>
      </c>
      <c r="D1435" s="11" t="str">
        <f t="shared" si="89"/>
        <v/>
      </c>
      <c r="E1435" s="45"/>
      <c r="F1435" s="11" t="str">
        <f>IFERROR(VLOOKUP(E1435,Category!$D$2:$E$600,2,FALSE),"")</f>
        <v/>
      </c>
      <c r="G1435" s="45"/>
      <c r="H1435" s="73"/>
      <c r="I1435" s="18" t="str">
        <f t="shared" si="90"/>
        <v/>
      </c>
      <c r="J1435" s="45"/>
      <c r="K1435" s="45"/>
    </row>
    <row r="1436" spans="1:11">
      <c r="A1436" s="17" t="str">
        <f t="shared" si="91"/>
        <v/>
      </c>
      <c r="B1436" s="53"/>
      <c r="C1436" s="11" t="str">
        <f t="shared" si="88"/>
        <v/>
      </c>
      <c r="D1436" s="11" t="str">
        <f t="shared" si="89"/>
        <v/>
      </c>
      <c r="E1436" s="45"/>
      <c r="F1436" s="11" t="str">
        <f>IFERROR(VLOOKUP(E1436,Category!$D$2:$E$600,2,FALSE),"")</f>
        <v/>
      </c>
      <c r="G1436" s="45"/>
      <c r="H1436" s="73"/>
      <c r="I1436" s="18" t="str">
        <f t="shared" si="90"/>
        <v/>
      </c>
      <c r="J1436" s="45"/>
      <c r="K1436" s="45"/>
    </row>
    <row r="1437" spans="1:11">
      <c r="A1437" s="17" t="str">
        <f t="shared" si="91"/>
        <v/>
      </c>
      <c r="B1437" s="53"/>
      <c r="C1437" s="11" t="str">
        <f t="shared" si="88"/>
        <v/>
      </c>
      <c r="D1437" s="11" t="str">
        <f t="shared" si="89"/>
        <v/>
      </c>
      <c r="E1437" s="45"/>
      <c r="F1437" s="11" t="str">
        <f>IFERROR(VLOOKUP(E1437,Category!$D$2:$E$600,2,FALSE),"")</f>
        <v/>
      </c>
      <c r="G1437" s="45"/>
      <c r="H1437" s="73"/>
      <c r="I1437" s="18" t="str">
        <f t="shared" si="90"/>
        <v/>
      </c>
      <c r="J1437" s="45"/>
      <c r="K1437" s="45"/>
    </row>
    <row r="1438" spans="1:11">
      <c r="A1438" s="17" t="str">
        <f t="shared" si="91"/>
        <v/>
      </c>
      <c r="B1438" s="53"/>
      <c r="C1438" s="11" t="str">
        <f t="shared" si="88"/>
        <v/>
      </c>
      <c r="D1438" s="11" t="str">
        <f t="shared" si="89"/>
        <v/>
      </c>
      <c r="E1438" s="45"/>
      <c r="F1438" s="11" t="str">
        <f>IFERROR(VLOOKUP(E1438,Category!$D$2:$E$600,2,FALSE),"")</f>
        <v/>
      </c>
      <c r="G1438" s="45"/>
      <c r="H1438" s="73"/>
      <c r="I1438" s="18" t="str">
        <f t="shared" si="90"/>
        <v/>
      </c>
      <c r="J1438" s="45"/>
      <c r="K1438" s="45"/>
    </row>
    <row r="1439" spans="1:11">
      <c r="A1439" s="17" t="str">
        <f t="shared" si="91"/>
        <v/>
      </c>
      <c r="B1439" s="53"/>
      <c r="C1439" s="11" t="str">
        <f t="shared" si="88"/>
        <v/>
      </c>
      <c r="D1439" s="11" t="str">
        <f t="shared" si="89"/>
        <v/>
      </c>
      <c r="E1439" s="45"/>
      <c r="F1439" s="11" t="str">
        <f>IFERROR(VLOOKUP(E1439,Category!$D$2:$E$600,2,FALSE),"")</f>
        <v/>
      </c>
      <c r="G1439" s="45"/>
      <c r="H1439" s="73"/>
      <c r="I1439" s="18" t="str">
        <f t="shared" si="90"/>
        <v/>
      </c>
      <c r="J1439" s="45"/>
      <c r="K1439" s="45"/>
    </row>
    <row r="1440" spans="1:11">
      <c r="A1440" s="17" t="str">
        <f t="shared" si="91"/>
        <v/>
      </c>
      <c r="B1440" s="53"/>
      <c r="C1440" s="11" t="str">
        <f t="shared" si="88"/>
        <v/>
      </c>
      <c r="D1440" s="11" t="str">
        <f t="shared" si="89"/>
        <v/>
      </c>
      <c r="E1440" s="45"/>
      <c r="F1440" s="11" t="str">
        <f>IFERROR(VLOOKUP(E1440,Category!$D$2:$E$600,2,FALSE),"")</f>
        <v/>
      </c>
      <c r="G1440" s="45"/>
      <c r="H1440" s="73"/>
      <c r="I1440" s="18" t="str">
        <f t="shared" si="90"/>
        <v/>
      </c>
      <c r="J1440" s="45"/>
      <c r="K1440" s="45"/>
    </row>
    <row r="1441" spans="1:11">
      <c r="A1441" s="17" t="str">
        <f t="shared" si="91"/>
        <v/>
      </c>
      <c r="B1441" s="53"/>
      <c r="C1441" s="11" t="str">
        <f t="shared" si="88"/>
        <v/>
      </c>
      <c r="D1441" s="11" t="str">
        <f t="shared" si="89"/>
        <v/>
      </c>
      <c r="E1441" s="45"/>
      <c r="F1441" s="11" t="str">
        <f>IFERROR(VLOOKUP(E1441,Category!$D$2:$E$600,2,FALSE),"")</f>
        <v/>
      </c>
      <c r="G1441" s="45"/>
      <c r="H1441" s="73"/>
      <c r="I1441" s="18" t="str">
        <f t="shared" si="90"/>
        <v/>
      </c>
      <c r="J1441" s="45"/>
      <c r="K1441" s="45"/>
    </row>
    <row r="1442" spans="1:11">
      <c r="A1442" s="17" t="str">
        <f t="shared" si="91"/>
        <v/>
      </c>
      <c r="B1442" s="53"/>
      <c r="C1442" s="11" t="str">
        <f t="shared" si="88"/>
        <v/>
      </c>
      <c r="D1442" s="11" t="str">
        <f t="shared" si="89"/>
        <v/>
      </c>
      <c r="E1442" s="45"/>
      <c r="F1442" s="11" t="str">
        <f>IFERROR(VLOOKUP(E1442,Category!$D$2:$E$600,2,FALSE),"")</f>
        <v/>
      </c>
      <c r="G1442" s="45"/>
      <c r="H1442" s="73"/>
      <c r="I1442" s="18" t="str">
        <f t="shared" si="90"/>
        <v/>
      </c>
      <c r="J1442" s="45"/>
      <c r="K1442" s="45"/>
    </row>
    <row r="1443" spans="1:11">
      <c r="A1443" s="17" t="str">
        <f t="shared" si="91"/>
        <v/>
      </c>
      <c r="B1443" s="53"/>
      <c r="C1443" s="11" t="str">
        <f t="shared" si="88"/>
        <v/>
      </c>
      <c r="D1443" s="11" t="str">
        <f t="shared" si="89"/>
        <v/>
      </c>
      <c r="E1443" s="45"/>
      <c r="F1443" s="11" t="str">
        <f>IFERROR(VLOOKUP(E1443,Category!$D$2:$E$600,2,FALSE),"")</f>
        <v/>
      </c>
      <c r="G1443" s="45"/>
      <c r="H1443" s="73"/>
      <c r="I1443" s="18" t="str">
        <f t="shared" si="90"/>
        <v/>
      </c>
      <c r="J1443" s="45"/>
      <c r="K1443" s="45"/>
    </row>
    <row r="1444" spans="1:11">
      <c r="A1444" s="17" t="str">
        <f t="shared" si="91"/>
        <v/>
      </c>
      <c r="B1444" s="53"/>
      <c r="C1444" s="11" t="str">
        <f t="shared" si="88"/>
        <v/>
      </c>
      <c r="D1444" s="11" t="str">
        <f t="shared" si="89"/>
        <v/>
      </c>
      <c r="E1444" s="45"/>
      <c r="F1444" s="11" t="str">
        <f>IFERROR(VLOOKUP(E1444,Category!$D$2:$E$600,2,FALSE),"")</f>
        <v/>
      </c>
      <c r="G1444" s="45"/>
      <c r="H1444" s="73"/>
      <c r="I1444" s="18" t="str">
        <f t="shared" si="90"/>
        <v/>
      </c>
      <c r="J1444" s="45"/>
      <c r="K1444" s="45"/>
    </row>
    <row r="1445" spans="1:11">
      <c r="A1445" s="17" t="str">
        <f t="shared" si="91"/>
        <v/>
      </c>
      <c r="B1445" s="53"/>
      <c r="C1445" s="11" t="str">
        <f t="shared" si="88"/>
        <v/>
      </c>
      <c r="D1445" s="11" t="str">
        <f t="shared" si="89"/>
        <v/>
      </c>
      <c r="E1445" s="45"/>
      <c r="F1445" s="11" t="str">
        <f>IFERROR(VLOOKUP(E1445,Category!$D$2:$E$600,2,FALSE),"")</f>
        <v/>
      </c>
      <c r="G1445" s="45"/>
      <c r="H1445" s="73"/>
      <c r="I1445" s="18" t="str">
        <f t="shared" si="90"/>
        <v/>
      </c>
      <c r="J1445" s="45"/>
      <c r="K1445" s="45"/>
    </row>
    <row r="1446" spans="1:11">
      <c r="A1446" s="17" t="str">
        <f t="shared" si="91"/>
        <v/>
      </c>
      <c r="B1446" s="53"/>
      <c r="C1446" s="11" t="str">
        <f t="shared" si="88"/>
        <v/>
      </c>
      <c r="D1446" s="11" t="str">
        <f t="shared" si="89"/>
        <v/>
      </c>
      <c r="E1446" s="45"/>
      <c r="F1446" s="11" t="str">
        <f>IFERROR(VLOOKUP(E1446,Category!$D$2:$E$600,2,FALSE),"")</f>
        <v/>
      </c>
      <c r="G1446" s="45"/>
      <c r="H1446" s="73"/>
      <c r="I1446" s="18" t="str">
        <f t="shared" si="90"/>
        <v/>
      </c>
      <c r="J1446" s="45"/>
      <c r="K1446" s="45"/>
    </row>
    <row r="1447" spans="1:11">
      <c r="A1447" s="17" t="str">
        <f t="shared" si="91"/>
        <v/>
      </c>
      <c r="B1447" s="53"/>
      <c r="C1447" s="11" t="str">
        <f t="shared" si="88"/>
        <v/>
      </c>
      <c r="D1447" s="11" t="str">
        <f t="shared" si="89"/>
        <v/>
      </c>
      <c r="E1447" s="45"/>
      <c r="F1447" s="11" t="str">
        <f>IFERROR(VLOOKUP(E1447,Category!$D$2:$E$600,2,FALSE),"")</f>
        <v/>
      </c>
      <c r="G1447" s="45"/>
      <c r="H1447" s="73"/>
      <c r="I1447" s="18" t="str">
        <f t="shared" si="90"/>
        <v/>
      </c>
      <c r="J1447" s="45"/>
      <c r="K1447" s="45"/>
    </row>
    <row r="1448" spans="1:11">
      <c r="A1448" s="17" t="str">
        <f t="shared" si="91"/>
        <v/>
      </c>
      <c r="B1448" s="53"/>
      <c r="C1448" s="11" t="str">
        <f t="shared" si="88"/>
        <v/>
      </c>
      <c r="D1448" s="11" t="str">
        <f t="shared" si="89"/>
        <v/>
      </c>
      <c r="E1448" s="45"/>
      <c r="F1448" s="11" t="str">
        <f>IFERROR(VLOOKUP(E1448,Category!$D$2:$E$600,2,FALSE),"")</f>
        <v/>
      </c>
      <c r="G1448" s="45"/>
      <c r="H1448" s="73"/>
      <c r="I1448" s="18" t="str">
        <f t="shared" si="90"/>
        <v/>
      </c>
      <c r="J1448" s="45"/>
      <c r="K1448" s="45"/>
    </row>
    <row r="1449" spans="1:11">
      <c r="A1449" s="17" t="str">
        <f t="shared" si="91"/>
        <v/>
      </c>
      <c r="B1449" s="53"/>
      <c r="C1449" s="11" t="str">
        <f t="shared" si="88"/>
        <v/>
      </c>
      <c r="D1449" s="11" t="str">
        <f t="shared" si="89"/>
        <v/>
      </c>
      <c r="E1449" s="45"/>
      <c r="F1449" s="11" t="str">
        <f>IFERROR(VLOOKUP(E1449,Category!$D$2:$E$600,2,FALSE),"")</f>
        <v/>
      </c>
      <c r="G1449" s="45"/>
      <c r="H1449" s="73"/>
      <c r="I1449" s="18" t="str">
        <f t="shared" si="90"/>
        <v/>
      </c>
      <c r="J1449" s="45"/>
      <c r="K1449" s="45"/>
    </row>
    <row r="1450" spans="1:11">
      <c r="A1450" s="17" t="str">
        <f t="shared" si="91"/>
        <v/>
      </c>
      <c r="B1450" s="53"/>
      <c r="C1450" s="11" t="str">
        <f t="shared" si="88"/>
        <v/>
      </c>
      <c r="D1450" s="11" t="str">
        <f t="shared" si="89"/>
        <v/>
      </c>
      <c r="E1450" s="45"/>
      <c r="F1450" s="11" t="str">
        <f>IFERROR(VLOOKUP(E1450,Category!$D$2:$E$600,2,FALSE),"")</f>
        <v/>
      </c>
      <c r="G1450" s="45"/>
      <c r="H1450" s="73"/>
      <c r="I1450" s="18" t="str">
        <f t="shared" si="90"/>
        <v/>
      </c>
      <c r="J1450" s="45"/>
      <c r="K1450" s="45"/>
    </row>
    <row r="1451" spans="1:11">
      <c r="A1451" s="17" t="str">
        <f t="shared" si="91"/>
        <v/>
      </c>
      <c r="B1451" s="53"/>
      <c r="C1451" s="11" t="str">
        <f t="shared" si="88"/>
        <v/>
      </c>
      <c r="D1451" s="11" t="str">
        <f t="shared" si="89"/>
        <v/>
      </c>
      <c r="E1451" s="45"/>
      <c r="F1451" s="11" t="str">
        <f>IFERROR(VLOOKUP(E1451,Category!$D$2:$E$600,2,FALSE),"")</f>
        <v/>
      </c>
      <c r="G1451" s="45"/>
      <c r="H1451" s="73"/>
      <c r="I1451" s="18" t="str">
        <f t="shared" si="90"/>
        <v/>
      </c>
      <c r="J1451" s="45"/>
      <c r="K1451" s="45"/>
    </row>
    <row r="1452" spans="1:11">
      <c r="A1452" s="17" t="str">
        <f t="shared" si="91"/>
        <v/>
      </c>
      <c r="B1452" s="53"/>
      <c r="C1452" s="11" t="str">
        <f t="shared" si="88"/>
        <v/>
      </c>
      <c r="D1452" s="11" t="str">
        <f t="shared" si="89"/>
        <v/>
      </c>
      <c r="E1452" s="45"/>
      <c r="F1452" s="11" t="str">
        <f>IFERROR(VLOOKUP(E1452,Category!$D$2:$E$600,2,FALSE),"")</f>
        <v/>
      </c>
      <c r="G1452" s="45"/>
      <c r="H1452" s="73"/>
      <c r="I1452" s="18" t="str">
        <f t="shared" si="90"/>
        <v/>
      </c>
      <c r="J1452" s="45"/>
      <c r="K1452" s="45"/>
    </row>
    <row r="1453" spans="1:11">
      <c r="A1453" s="17" t="str">
        <f t="shared" si="91"/>
        <v/>
      </c>
      <c r="B1453" s="53"/>
      <c r="C1453" s="11" t="str">
        <f t="shared" si="88"/>
        <v/>
      </c>
      <c r="D1453" s="11" t="str">
        <f t="shared" si="89"/>
        <v/>
      </c>
      <c r="E1453" s="45"/>
      <c r="F1453" s="11" t="str">
        <f>IFERROR(VLOOKUP(E1453,Category!$D$2:$E$600,2,FALSE),"")</f>
        <v/>
      </c>
      <c r="G1453" s="45"/>
      <c r="H1453" s="73"/>
      <c r="I1453" s="18" t="str">
        <f t="shared" si="90"/>
        <v/>
      </c>
      <c r="J1453" s="45"/>
      <c r="K1453" s="45"/>
    </row>
    <row r="1454" spans="1:11">
      <c r="A1454" s="17" t="str">
        <f t="shared" si="91"/>
        <v/>
      </c>
      <c r="B1454" s="53"/>
      <c r="C1454" s="11" t="str">
        <f t="shared" si="88"/>
        <v/>
      </c>
      <c r="D1454" s="11" t="str">
        <f t="shared" si="89"/>
        <v/>
      </c>
      <c r="E1454" s="45"/>
      <c r="F1454" s="11" t="str">
        <f>IFERROR(VLOOKUP(E1454,Category!$D$2:$E$600,2,FALSE),"")</f>
        <v/>
      </c>
      <c r="G1454" s="45"/>
      <c r="H1454" s="73"/>
      <c r="I1454" s="18" t="str">
        <f t="shared" si="90"/>
        <v/>
      </c>
      <c r="J1454" s="45"/>
      <c r="K1454" s="45"/>
    </row>
    <row r="1455" spans="1:11">
      <c r="A1455" s="17" t="str">
        <f t="shared" si="91"/>
        <v/>
      </c>
      <c r="B1455" s="53"/>
      <c r="C1455" s="11" t="str">
        <f t="shared" si="88"/>
        <v/>
      </c>
      <c r="D1455" s="11" t="str">
        <f t="shared" si="89"/>
        <v/>
      </c>
      <c r="E1455" s="45"/>
      <c r="F1455" s="11" t="str">
        <f>IFERROR(VLOOKUP(E1455,Category!$D$2:$E$600,2,FALSE),"")</f>
        <v/>
      </c>
      <c r="G1455" s="45"/>
      <c r="H1455" s="73"/>
      <c r="I1455" s="18" t="str">
        <f t="shared" si="90"/>
        <v/>
      </c>
      <c r="J1455" s="45"/>
      <c r="K1455" s="45"/>
    </row>
    <row r="1456" spans="1:11">
      <c r="A1456" s="17" t="str">
        <f t="shared" si="91"/>
        <v/>
      </c>
      <c r="B1456" s="53"/>
      <c r="C1456" s="11" t="str">
        <f t="shared" si="88"/>
        <v/>
      </c>
      <c r="D1456" s="11" t="str">
        <f t="shared" si="89"/>
        <v/>
      </c>
      <c r="E1456" s="45"/>
      <c r="F1456" s="11" t="str">
        <f>IFERROR(VLOOKUP(E1456,Category!$D$2:$E$600,2,FALSE),"")</f>
        <v/>
      </c>
      <c r="G1456" s="45"/>
      <c r="H1456" s="73"/>
      <c r="I1456" s="18" t="str">
        <f t="shared" si="90"/>
        <v/>
      </c>
      <c r="J1456" s="45"/>
      <c r="K1456" s="45"/>
    </row>
    <row r="1457" spans="1:11">
      <c r="A1457" s="17" t="str">
        <f t="shared" si="91"/>
        <v/>
      </c>
      <c r="B1457" s="53"/>
      <c r="C1457" s="11" t="str">
        <f t="shared" si="88"/>
        <v/>
      </c>
      <c r="D1457" s="11" t="str">
        <f t="shared" si="89"/>
        <v/>
      </c>
      <c r="E1457" s="45"/>
      <c r="F1457" s="11" t="str">
        <f>IFERROR(VLOOKUP(E1457,Category!$D$2:$E$600,2,FALSE),"")</f>
        <v/>
      </c>
      <c r="G1457" s="45"/>
      <c r="H1457" s="73"/>
      <c r="I1457" s="18" t="str">
        <f t="shared" si="90"/>
        <v/>
      </c>
      <c r="J1457" s="45"/>
      <c r="K1457" s="45"/>
    </row>
    <row r="1458" spans="1:11">
      <c r="A1458" s="17" t="str">
        <f t="shared" si="91"/>
        <v/>
      </c>
      <c r="B1458" s="53"/>
      <c r="C1458" s="11" t="str">
        <f t="shared" si="88"/>
        <v/>
      </c>
      <c r="D1458" s="11" t="str">
        <f t="shared" si="89"/>
        <v/>
      </c>
      <c r="E1458" s="45"/>
      <c r="F1458" s="11" t="str">
        <f>IFERROR(VLOOKUP(E1458,Category!$D$2:$E$600,2,FALSE),"")</f>
        <v/>
      </c>
      <c r="G1458" s="45"/>
      <c r="H1458" s="73"/>
      <c r="I1458" s="18" t="str">
        <f t="shared" si="90"/>
        <v/>
      </c>
      <c r="J1458" s="45"/>
      <c r="K1458" s="45"/>
    </row>
    <row r="1459" spans="1:11">
      <c r="A1459" s="17" t="str">
        <f t="shared" si="91"/>
        <v/>
      </c>
      <c r="B1459" s="53"/>
      <c r="C1459" s="11" t="str">
        <f t="shared" si="88"/>
        <v/>
      </c>
      <c r="D1459" s="11" t="str">
        <f t="shared" si="89"/>
        <v/>
      </c>
      <c r="E1459" s="45"/>
      <c r="F1459" s="11" t="str">
        <f>IFERROR(VLOOKUP(E1459,Category!$D$2:$E$600,2,FALSE),"")</f>
        <v/>
      </c>
      <c r="G1459" s="45"/>
      <c r="H1459" s="73"/>
      <c r="I1459" s="18" t="str">
        <f t="shared" si="90"/>
        <v/>
      </c>
      <c r="J1459" s="45"/>
      <c r="K1459" s="45"/>
    </row>
    <row r="1460" spans="1:11">
      <c r="A1460" s="17" t="str">
        <f t="shared" si="91"/>
        <v/>
      </c>
      <c r="B1460" s="53"/>
      <c r="C1460" s="11" t="str">
        <f t="shared" si="88"/>
        <v/>
      </c>
      <c r="D1460" s="11" t="str">
        <f t="shared" si="89"/>
        <v/>
      </c>
      <c r="E1460" s="45"/>
      <c r="F1460" s="11" t="str">
        <f>IFERROR(VLOOKUP(E1460,Category!$D$2:$E$600,2,FALSE),"")</f>
        <v/>
      </c>
      <c r="G1460" s="45"/>
      <c r="H1460" s="73"/>
      <c r="I1460" s="18" t="str">
        <f t="shared" si="90"/>
        <v/>
      </c>
      <c r="J1460" s="45"/>
      <c r="K1460" s="45"/>
    </row>
    <row r="1461" spans="1:11">
      <c r="A1461" s="17" t="str">
        <f t="shared" si="91"/>
        <v/>
      </c>
      <c r="B1461" s="53"/>
      <c r="C1461" s="11" t="str">
        <f t="shared" si="88"/>
        <v/>
      </c>
      <c r="D1461" s="11" t="str">
        <f t="shared" si="89"/>
        <v/>
      </c>
      <c r="E1461" s="45"/>
      <c r="F1461" s="11" t="str">
        <f>IFERROR(VLOOKUP(E1461,Category!$D$2:$E$600,2,FALSE),"")</f>
        <v/>
      </c>
      <c r="G1461" s="45"/>
      <c r="H1461" s="73"/>
      <c r="I1461" s="18" t="str">
        <f t="shared" si="90"/>
        <v/>
      </c>
      <c r="J1461" s="45"/>
      <c r="K1461" s="45"/>
    </row>
    <row r="1462" spans="1:11">
      <c r="A1462" s="17" t="str">
        <f t="shared" si="91"/>
        <v/>
      </c>
      <c r="B1462" s="53"/>
      <c r="C1462" s="11" t="str">
        <f t="shared" si="88"/>
        <v/>
      </c>
      <c r="D1462" s="11" t="str">
        <f t="shared" si="89"/>
        <v/>
      </c>
      <c r="E1462" s="45"/>
      <c r="F1462" s="11" t="str">
        <f>IFERROR(VLOOKUP(E1462,Category!$D$2:$E$600,2,FALSE),"")</f>
        <v/>
      </c>
      <c r="G1462" s="45"/>
      <c r="H1462" s="73"/>
      <c r="I1462" s="18" t="str">
        <f t="shared" si="90"/>
        <v/>
      </c>
      <c r="J1462" s="45"/>
      <c r="K1462" s="45"/>
    </row>
    <row r="1463" spans="1:11">
      <c r="A1463" s="17" t="str">
        <f t="shared" si="91"/>
        <v/>
      </c>
      <c r="B1463" s="53"/>
      <c r="C1463" s="11" t="str">
        <f t="shared" si="88"/>
        <v/>
      </c>
      <c r="D1463" s="11" t="str">
        <f t="shared" si="89"/>
        <v/>
      </c>
      <c r="E1463" s="45"/>
      <c r="F1463" s="11" t="str">
        <f>IFERROR(VLOOKUP(E1463,Category!$D$2:$E$600,2,FALSE),"")</f>
        <v/>
      </c>
      <c r="G1463" s="45"/>
      <c r="H1463" s="73"/>
      <c r="I1463" s="18" t="str">
        <f t="shared" si="90"/>
        <v/>
      </c>
      <c r="J1463" s="45"/>
      <c r="K1463" s="45"/>
    </row>
    <row r="1464" spans="1:11">
      <c r="A1464" s="17" t="str">
        <f t="shared" si="91"/>
        <v/>
      </c>
      <c r="B1464" s="53"/>
      <c r="C1464" s="11" t="str">
        <f t="shared" si="88"/>
        <v/>
      </c>
      <c r="D1464" s="11" t="str">
        <f t="shared" si="89"/>
        <v/>
      </c>
      <c r="E1464" s="45"/>
      <c r="F1464" s="11" t="str">
        <f>IFERROR(VLOOKUP(E1464,Category!$D$2:$E$600,2,FALSE),"")</f>
        <v/>
      </c>
      <c r="G1464" s="45"/>
      <c r="H1464" s="73"/>
      <c r="I1464" s="18" t="str">
        <f t="shared" si="90"/>
        <v/>
      </c>
      <c r="J1464" s="45"/>
      <c r="K1464" s="45"/>
    </row>
    <row r="1465" spans="1:11">
      <c r="A1465" s="17" t="str">
        <f t="shared" si="91"/>
        <v/>
      </c>
      <c r="B1465" s="53"/>
      <c r="C1465" s="11" t="str">
        <f t="shared" si="88"/>
        <v/>
      </c>
      <c r="D1465" s="11" t="str">
        <f t="shared" si="89"/>
        <v/>
      </c>
      <c r="E1465" s="45"/>
      <c r="F1465" s="11" t="str">
        <f>IFERROR(VLOOKUP(E1465,Category!$D$2:$E$600,2,FALSE),"")</f>
        <v/>
      </c>
      <c r="G1465" s="45"/>
      <c r="H1465" s="73"/>
      <c r="I1465" s="18" t="str">
        <f t="shared" si="90"/>
        <v/>
      </c>
      <c r="J1465" s="45"/>
      <c r="K1465" s="45"/>
    </row>
    <row r="1466" spans="1:11">
      <c r="A1466" s="17" t="str">
        <f t="shared" si="91"/>
        <v/>
      </c>
      <c r="B1466" s="53"/>
      <c r="C1466" s="11" t="str">
        <f t="shared" si="88"/>
        <v/>
      </c>
      <c r="D1466" s="11" t="str">
        <f t="shared" si="89"/>
        <v/>
      </c>
      <c r="E1466" s="45"/>
      <c r="F1466" s="11" t="str">
        <f>IFERROR(VLOOKUP(E1466,Category!$D$2:$E$600,2,FALSE),"")</f>
        <v/>
      </c>
      <c r="G1466" s="45"/>
      <c r="H1466" s="73"/>
      <c r="I1466" s="18" t="str">
        <f t="shared" si="90"/>
        <v/>
      </c>
      <c r="J1466" s="45"/>
      <c r="K1466" s="45"/>
    </row>
    <row r="1467" spans="1:11">
      <c r="A1467" s="17" t="str">
        <f t="shared" si="91"/>
        <v/>
      </c>
      <c r="B1467" s="53"/>
      <c r="C1467" s="11" t="str">
        <f t="shared" si="88"/>
        <v/>
      </c>
      <c r="D1467" s="11" t="str">
        <f t="shared" si="89"/>
        <v/>
      </c>
      <c r="E1467" s="45"/>
      <c r="F1467" s="11" t="str">
        <f>IFERROR(VLOOKUP(E1467,Category!$D$2:$E$600,2,FALSE),"")</f>
        <v/>
      </c>
      <c r="G1467" s="45"/>
      <c r="H1467" s="73"/>
      <c r="I1467" s="18" t="str">
        <f t="shared" si="90"/>
        <v/>
      </c>
      <c r="J1467" s="45"/>
      <c r="K1467" s="45"/>
    </row>
    <row r="1468" spans="1:11">
      <c r="A1468" s="17" t="str">
        <f t="shared" si="91"/>
        <v/>
      </c>
      <c r="B1468" s="53"/>
      <c r="C1468" s="11" t="str">
        <f t="shared" si="88"/>
        <v/>
      </c>
      <c r="D1468" s="11" t="str">
        <f t="shared" si="89"/>
        <v/>
      </c>
      <c r="E1468" s="45"/>
      <c r="F1468" s="11" t="str">
        <f>IFERROR(VLOOKUP(E1468,Category!$D$2:$E$600,2,FALSE),"")</f>
        <v/>
      </c>
      <c r="G1468" s="45"/>
      <c r="H1468" s="73"/>
      <c r="I1468" s="18" t="str">
        <f t="shared" si="90"/>
        <v/>
      </c>
      <c r="J1468" s="45"/>
      <c r="K1468" s="45"/>
    </row>
    <row r="1469" spans="1:11">
      <c r="A1469" s="17" t="str">
        <f t="shared" si="91"/>
        <v/>
      </c>
      <c r="B1469" s="53"/>
      <c r="C1469" s="11" t="str">
        <f t="shared" si="88"/>
        <v/>
      </c>
      <c r="D1469" s="11" t="str">
        <f t="shared" si="89"/>
        <v/>
      </c>
      <c r="E1469" s="45"/>
      <c r="F1469" s="11" t="str">
        <f>IFERROR(VLOOKUP(E1469,Category!$D$2:$E$600,2,FALSE),"")</f>
        <v/>
      </c>
      <c r="G1469" s="45"/>
      <c r="H1469" s="73"/>
      <c r="I1469" s="18" t="str">
        <f t="shared" si="90"/>
        <v/>
      </c>
      <c r="J1469" s="45"/>
      <c r="K1469" s="45"/>
    </row>
    <row r="1470" spans="1:11">
      <c r="A1470" s="17" t="str">
        <f t="shared" si="91"/>
        <v/>
      </c>
      <c r="B1470" s="53"/>
      <c r="C1470" s="11" t="str">
        <f t="shared" si="88"/>
        <v/>
      </c>
      <c r="D1470" s="11" t="str">
        <f t="shared" si="89"/>
        <v/>
      </c>
      <c r="E1470" s="45"/>
      <c r="F1470" s="11" t="str">
        <f>IFERROR(VLOOKUP(E1470,Category!$D$2:$E$600,2,FALSE),"")</f>
        <v/>
      </c>
      <c r="G1470" s="45"/>
      <c r="H1470" s="73"/>
      <c r="I1470" s="18" t="str">
        <f t="shared" si="90"/>
        <v/>
      </c>
      <c r="J1470" s="45"/>
      <c r="K1470" s="45"/>
    </row>
    <row r="1471" spans="1:11">
      <c r="A1471" s="17" t="str">
        <f t="shared" si="91"/>
        <v/>
      </c>
      <c r="B1471" s="53"/>
      <c r="C1471" s="11" t="str">
        <f t="shared" si="88"/>
        <v/>
      </c>
      <c r="D1471" s="11" t="str">
        <f t="shared" si="89"/>
        <v/>
      </c>
      <c r="E1471" s="45"/>
      <c r="F1471" s="11" t="str">
        <f>IFERROR(VLOOKUP(E1471,Category!$D$2:$E$600,2,FALSE),"")</f>
        <v/>
      </c>
      <c r="G1471" s="45"/>
      <c r="H1471" s="73"/>
      <c r="I1471" s="18" t="str">
        <f t="shared" si="90"/>
        <v/>
      </c>
      <c r="J1471" s="45"/>
      <c r="K1471" s="45"/>
    </row>
    <row r="1472" spans="1:11">
      <c r="A1472" s="17" t="str">
        <f t="shared" si="91"/>
        <v/>
      </c>
      <c r="B1472" s="53"/>
      <c r="C1472" s="11" t="str">
        <f t="shared" si="88"/>
        <v/>
      </c>
      <c r="D1472" s="11" t="str">
        <f t="shared" si="89"/>
        <v/>
      </c>
      <c r="E1472" s="45"/>
      <c r="F1472" s="11" t="str">
        <f>IFERROR(VLOOKUP(E1472,Category!$D$2:$E$600,2,FALSE),"")</f>
        <v/>
      </c>
      <c r="G1472" s="45"/>
      <c r="H1472" s="73"/>
      <c r="I1472" s="18" t="str">
        <f t="shared" si="90"/>
        <v/>
      </c>
      <c r="J1472" s="45"/>
      <c r="K1472" s="45"/>
    </row>
    <row r="1473" spans="1:11">
      <c r="A1473" s="17" t="str">
        <f t="shared" si="91"/>
        <v/>
      </c>
      <c r="B1473" s="53"/>
      <c r="C1473" s="11" t="str">
        <f t="shared" si="88"/>
        <v/>
      </c>
      <c r="D1473" s="11" t="str">
        <f t="shared" si="89"/>
        <v/>
      </c>
      <c r="E1473" s="45"/>
      <c r="F1473" s="11" t="str">
        <f>IFERROR(VLOOKUP(E1473,Category!$D$2:$E$600,2,FALSE),"")</f>
        <v/>
      </c>
      <c r="G1473" s="45"/>
      <c r="H1473" s="73"/>
      <c r="I1473" s="18" t="str">
        <f t="shared" si="90"/>
        <v/>
      </c>
      <c r="J1473" s="45"/>
      <c r="K1473" s="45"/>
    </row>
    <row r="1474" spans="1:11">
      <c r="A1474" s="17" t="str">
        <f t="shared" si="91"/>
        <v/>
      </c>
      <c r="B1474" s="53"/>
      <c r="C1474" s="11" t="str">
        <f t="shared" si="88"/>
        <v/>
      </c>
      <c r="D1474" s="11" t="str">
        <f t="shared" si="89"/>
        <v/>
      </c>
      <c r="E1474" s="45"/>
      <c r="F1474" s="11" t="str">
        <f>IFERROR(VLOOKUP(E1474,Category!$D$2:$E$600,2,FALSE),"")</f>
        <v/>
      </c>
      <c r="G1474" s="45"/>
      <c r="H1474" s="73"/>
      <c r="I1474" s="18" t="str">
        <f t="shared" si="90"/>
        <v/>
      </c>
      <c r="J1474" s="45"/>
      <c r="K1474" s="45"/>
    </row>
    <row r="1475" spans="1:11">
      <c r="A1475" s="17" t="str">
        <f t="shared" si="91"/>
        <v/>
      </c>
      <c r="B1475" s="53"/>
      <c r="C1475" s="11" t="str">
        <f t="shared" ref="C1475:C1496" si="92">IF(B1475=0,"",TEXT(B1475,"mmmm"))</f>
        <v/>
      </c>
      <c r="D1475" s="11" t="str">
        <f t="shared" ref="D1475:D1496" si="93">IF(B1475=0,"",TEXT(B1475,"yyyy"))</f>
        <v/>
      </c>
      <c r="E1475" s="45"/>
      <c r="F1475" s="11" t="str">
        <f>IFERROR(VLOOKUP(E1475,Category!$D$2:$E$600,2,FALSE),"")</f>
        <v/>
      </c>
      <c r="G1475" s="45"/>
      <c r="H1475" s="73"/>
      <c r="I1475" s="18" t="str">
        <f t="shared" ref="I1475:I1496" si="94">IF(G1475*H1475=0,"",G1475*H1475)</f>
        <v/>
      </c>
      <c r="J1475" s="45"/>
      <c r="K1475" s="45"/>
    </row>
    <row r="1476" spans="1:11">
      <c r="A1476" s="17" t="str">
        <f t="shared" ref="A1476:A1496" si="95">IF(E1476&gt;0,A1475+1,"")</f>
        <v/>
      </c>
      <c r="B1476" s="53"/>
      <c r="C1476" s="11" t="str">
        <f t="shared" si="92"/>
        <v/>
      </c>
      <c r="D1476" s="11" t="str">
        <f t="shared" si="93"/>
        <v/>
      </c>
      <c r="E1476" s="45"/>
      <c r="F1476" s="11" t="str">
        <f>IFERROR(VLOOKUP(E1476,Category!$D$2:$E$600,2,FALSE),"")</f>
        <v/>
      </c>
      <c r="G1476" s="45"/>
      <c r="H1476" s="73"/>
      <c r="I1476" s="18" t="str">
        <f t="shared" si="94"/>
        <v/>
      </c>
      <c r="J1476" s="45"/>
      <c r="K1476" s="45"/>
    </row>
    <row r="1477" spans="1:11">
      <c r="A1477" s="17" t="str">
        <f t="shared" si="95"/>
        <v/>
      </c>
      <c r="B1477" s="53"/>
      <c r="C1477" s="11" t="str">
        <f t="shared" si="92"/>
        <v/>
      </c>
      <c r="D1477" s="11" t="str">
        <f t="shared" si="93"/>
        <v/>
      </c>
      <c r="E1477" s="45"/>
      <c r="F1477" s="11" t="str">
        <f>IFERROR(VLOOKUP(E1477,Category!$D$2:$E$600,2,FALSE),"")</f>
        <v/>
      </c>
      <c r="G1477" s="45"/>
      <c r="H1477" s="73"/>
      <c r="I1477" s="18" t="str">
        <f t="shared" si="94"/>
        <v/>
      </c>
      <c r="J1477" s="45"/>
      <c r="K1477" s="45"/>
    </row>
    <row r="1478" spans="1:11">
      <c r="A1478" s="17" t="str">
        <f t="shared" si="95"/>
        <v/>
      </c>
      <c r="B1478" s="53"/>
      <c r="C1478" s="11" t="str">
        <f t="shared" si="92"/>
        <v/>
      </c>
      <c r="D1478" s="11" t="str">
        <f t="shared" si="93"/>
        <v/>
      </c>
      <c r="E1478" s="45"/>
      <c r="F1478" s="11" t="str">
        <f>IFERROR(VLOOKUP(E1478,Category!$D$2:$E$600,2,FALSE),"")</f>
        <v/>
      </c>
      <c r="G1478" s="45"/>
      <c r="H1478" s="73"/>
      <c r="I1478" s="18" t="str">
        <f t="shared" si="94"/>
        <v/>
      </c>
      <c r="J1478" s="45"/>
      <c r="K1478" s="45"/>
    </row>
    <row r="1479" spans="1:11">
      <c r="A1479" s="17" t="str">
        <f t="shared" si="95"/>
        <v/>
      </c>
      <c r="B1479" s="53"/>
      <c r="C1479" s="11" t="str">
        <f t="shared" si="92"/>
        <v/>
      </c>
      <c r="D1479" s="11" t="str">
        <f t="shared" si="93"/>
        <v/>
      </c>
      <c r="E1479" s="45"/>
      <c r="F1479" s="11" t="str">
        <f>IFERROR(VLOOKUP(E1479,Category!$D$2:$E$600,2,FALSE),"")</f>
        <v/>
      </c>
      <c r="G1479" s="45"/>
      <c r="H1479" s="73"/>
      <c r="I1479" s="18" t="str">
        <f t="shared" si="94"/>
        <v/>
      </c>
      <c r="J1479" s="45"/>
      <c r="K1479" s="45"/>
    </row>
    <row r="1480" spans="1:11">
      <c r="A1480" s="17" t="str">
        <f t="shared" si="95"/>
        <v/>
      </c>
      <c r="B1480" s="53"/>
      <c r="C1480" s="11" t="str">
        <f t="shared" si="92"/>
        <v/>
      </c>
      <c r="D1480" s="11" t="str">
        <f t="shared" si="93"/>
        <v/>
      </c>
      <c r="E1480" s="45"/>
      <c r="F1480" s="11" t="str">
        <f>IFERROR(VLOOKUP(E1480,Category!$D$2:$E$600,2,FALSE),"")</f>
        <v/>
      </c>
      <c r="G1480" s="45"/>
      <c r="H1480" s="73"/>
      <c r="I1480" s="18" t="str">
        <f t="shared" si="94"/>
        <v/>
      </c>
      <c r="J1480" s="45"/>
      <c r="K1480" s="45"/>
    </row>
    <row r="1481" spans="1:11">
      <c r="A1481" s="17" t="str">
        <f t="shared" si="95"/>
        <v/>
      </c>
      <c r="B1481" s="53"/>
      <c r="C1481" s="11" t="str">
        <f t="shared" si="92"/>
        <v/>
      </c>
      <c r="D1481" s="11" t="str">
        <f t="shared" si="93"/>
        <v/>
      </c>
      <c r="E1481" s="45"/>
      <c r="F1481" s="11" t="str">
        <f>IFERROR(VLOOKUP(E1481,Category!$D$2:$E$600,2,FALSE),"")</f>
        <v/>
      </c>
      <c r="G1481" s="45"/>
      <c r="H1481" s="73"/>
      <c r="I1481" s="18" t="str">
        <f t="shared" si="94"/>
        <v/>
      </c>
      <c r="J1481" s="45"/>
      <c r="K1481" s="45"/>
    </row>
    <row r="1482" spans="1:11">
      <c r="A1482" s="17" t="str">
        <f t="shared" si="95"/>
        <v/>
      </c>
      <c r="B1482" s="53"/>
      <c r="C1482" s="11" t="str">
        <f t="shared" si="92"/>
        <v/>
      </c>
      <c r="D1482" s="11" t="str">
        <f t="shared" si="93"/>
        <v/>
      </c>
      <c r="E1482" s="45"/>
      <c r="F1482" s="11" t="str">
        <f>IFERROR(VLOOKUP(E1482,Category!$D$2:$E$600,2,FALSE),"")</f>
        <v/>
      </c>
      <c r="G1482" s="45"/>
      <c r="H1482" s="73"/>
      <c r="I1482" s="18" t="str">
        <f t="shared" si="94"/>
        <v/>
      </c>
      <c r="J1482" s="45"/>
      <c r="K1482" s="45"/>
    </row>
    <row r="1483" spans="1:11">
      <c r="A1483" s="17" t="str">
        <f t="shared" si="95"/>
        <v/>
      </c>
      <c r="B1483" s="53"/>
      <c r="C1483" s="11" t="str">
        <f t="shared" si="92"/>
        <v/>
      </c>
      <c r="D1483" s="11" t="str">
        <f t="shared" si="93"/>
        <v/>
      </c>
      <c r="E1483" s="45"/>
      <c r="F1483" s="11" t="str">
        <f>IFERROR(VLOOKUP(E1483,Category!$D$2:$E$600,2,FALSE),"")</f>
        <v/>
      </c>
      <c r="G1483" s="45"/>
      <c r="H1483" s="73"/>
      <c r="I1483" s="18" t="str">
        <f t="shared" si="94"/>
        <v/>
      </c>
      <c r="J1483" s="45"/>
      <c r="K1483" s="45"/>
    </row>
    <row r="1484" spans="1:11">
      <c r="A1484" s="17" t="str">
        <f t="shared" si="95"/>
        <v/>
      </c>
      <c r="B1484" s="53"/>
      <c r="C1484" s="11" t="str">
        <f t="shared" si="92"/>
        <v/>
      </c>
      <c r="D1484" s="11" t="str">
        <f t="shared" si="93"/>
        <v/>
      </c>
      <c r="E1484" s="45"/>
      <c r="F1484" s="11" t="str">
        <f>IFERROR(VLOOKUP(E1484,Category!$D$2:$E$600,2,FALSE),"")</f>
        <v/>
      </c>
      <c r="G1484" s="45"/>
      <c r="H1484" s="73"/>
      <c r="I1484" s="18" t="str">
        <f t="shared" si="94"/>
        <v/>
      </c>
      <c r="J1484" s="45"/>
      <c r="K1484" s="45"/>
    </row>
    <row r="1485" spans="1:11">
      <c r="A1485" s="17" t="str">
        <f t="shared" si="95"/>
        <v/>
      </c>
      <c r="B1485" s="53"/>
      <c r="C1485" s="11" t="str">
        <f t="shared" si="92"/>
        <v/>
      </c>
      <c r="D1485" s="11" t="str">
        <f t="shared" si="93"/>
        <v/>
      </c>
      <c r="E1485" s="45"/>
      <c r="F1485" s="11" t="str">
        <f>IFERROR(VLOOKUP(E1485,Category!$D$2:$E$600,2,FALSE),"")</f>
        <v/>
      </c>
      <c r="G1485" s="45"/>
      <c r="H1485" s="73"/>
      <c r="I1485" s="18" t="str">
        <f t="shared" si="94"/>
        <v/>
      </c>
      <c r="J1485" s="45"/>
      <c r="K1485" s="45"/>
    </row>
    <row r="1486" spans="1:11">
      <c r="A1486" s="17" t="str">
        <f t="shared" si="95"/>
        <v/>
      </c>
      <c r="B1486" s="53"/>
      <c r="C1486" s="11" t="str">
        <f t="shared" si="92"/>
        <v/>
      </c>
      <c r="D1486" s="11" t="str">
        <f t="shared" si="93"/>
        <v/>
      </c>
      <c r="E1486" s="45"/>
      <c r="F1486" s="11" t="str">
        <f>IFERROR(VLOOKUP(E1486,Category!$D$2:$E$600,2,FALSE),"")</f>
        <v/>
      </c>
      <c r="G1486" s="45"/>
      <c r="H1486" s="73"/>
      <c r="I1486" s="18" t="str">
        <f t="shared" si="94"/>
        <v/>
      </c>
      <c r="J1486" s="45"/>
      <c r="K1486" s="45"/>
    </row>
    <row r="1487" spans="1:11">
      <c r="A1487" s="17" t="str">
        <f t="shared" si="95"/>
        <v/>
      </c>
      <c r="B1487" s="53"/>
      <c r="C1487" s="11" t="str">
        <f t="shared" si="92"/>
        <v/>
      </c>
      <c r="D1487" s="11" t="str">
        <f t="shared" si="93"/>
        <v/>
      </c>
      <c r="E1487" s="45"/>
      <c r="F1487" s="11" t="str">
        <f>IFERROR(VLOOKUP(E1487,Category!$D$2:$E$600,2,FALSE),"")</f>
        <v/>
      </c>
      <c r="G1487" s="45"/>
      <c r="H1487" s="73"/>
      <c r="I1487" s="18" t="str">
        <f t="shared" si="94"/>
        <v/>
      </c>
      <c r="J1487" s="45"/>
      <c r="K1487" s="45"/>
    </row>
    <row r="1488" spans="1:11">
      <c r="A1488" s="17" t="str">
        <f t="shared" si="95"/>
        <v/>
      </c>
      <c r="B1488" s="53"/>
      <c r="C1488" s="11" t="str">
        <f t="shared" si="92"/>
        <v/>
      </c>
      <c r="D1488" s="11" t="str">
        <f t="shared" si="93"/>
        <v/>
      </c>
      <c r="E1488" s="45"/>
      <c r="F1488" s="11" t="str">
        <f>IFERROR(VLOOKUP(E1488,Category!$D$2:$E$600,2,FALSE),"")</f>
        <v/>
      </c>
      <c r="G1488" s="45"/>
      <c r="H1488" s="73"/>
      <c r="I1488" s="18" t="str">
        <f t="shared" si="94"/>
        <v/>
      </c>
      <c r="J1488" s="45"/>
      <c r="K1488" s="45"/>
    </row>
    <row r="1489" spans="1:11">
      <c r="A1489" s="17" t="str">
        <f t="shared" si="95"/>
        <v/>
      </c>
      <c r="B1489" s="53"/>
      <c r="C1489" s="11" t="str">
        <f t="shared" si="92"/>
        <v/>
      </c>
      <c r="D1489" s="11" t="str">
        <f t="shared" si="93"/>
        <v/>
      </c>
      <c r="E1489" s="45"/>
      <c r="F1489" s="11" t="str">
        <f>IFERROR(VLOOKUP(E1489,Category!$D$2:$E$600,2,FALSE),"")</f>
        <v/>
      </c>
      <c r="G1489" s="45"/>
      <c r="H1489" s="73"/>
      <c r="I1489" s="18" t="str">
        <f t="shared" si="94"/>
        <v/>
      </c>
      <c r="J1489" s="45"/>
      <c r="K1489" s="45"/>
    </row>
    <row r="1490" spans="1:11">
      <c r="A1490" s="17" t="str">
        <f t="shared" si="95"/>
        <v/>
      </c>
      <c r="B1490" s="53"/>
      <c r="C1490" s="11" t="str">
        <f t="shared" si="92"/>
        <v/>
      </c>
      <c r="D1490" s="11" t="str">
        <f t="shared" si="93"/>
        <v/>
      </c>
      <c r="E1490" s="45"/>
      <c r="F1490" s="11" t="str">
        <f>IFERROR(VLOOKUP(E1490,Category!$D$2:$E$600,2,FALSE),"")</f>
        <v/>
      </c>
      <c r="G1490" s="45"/>
      <c r="H1490" s="73"/>
      <c r="I1490" s="18" t="str">
        <f t="shared" si="94"/>
        <v/>
      </c>
      <c r="J1490" s="45"/>
      <c r="K1490" s="45"/>
    </row>
    <row r="1491" spans="1:11">
      <c r="A1491" s="17" t="str">
        <f t="shared" si="95"/>
        <v/>
      </c>
      <c r="B1491" s="53"/>
      <c r="C1491" s="11" t="str">
        <f t="shared" si="92"/>
        <v/>
      </c>
      <c r="D1491" s="11" t="str">
        <f t="shared" si="93"/>
        <v/>
      </c>
      <c r="E1491" s="45"/>
      <c r="F1491" s="11" t="str">
        <f>IFERROR(VLOOKUP(E1491,Category!$D$2:$E$600,2,FALSE),"")</f>
        <v/>
      </c>
      <c r="G1491" s="45"/>
      <c r="H1491" s="73"/>
      <c r="I1491" s="18" t="str">
        <f t="shared" si="94"/>
        <v/>
      </c>
      <c r="J1491" s="45"/>
      <c r="K1491" s="45"/>
    </row>
    <row r="1492" spans="1:11">
      <c r="A1492" s="17" t="str">
        <f t="shared" si="95"/>
        <v/>
      </c>
      <c r="B1492" s="53"/>
      <c r="C1492" s="11" t="str">
        <f t="shared" si="92"/>
        <v/>
      </c>
      <c r="D1492" s="11" t="str">
        <f t="shared" si="93"/>
        <v/>
      </c>
      <c r="E1492" s="45"/>
      <c r="F1492" s="11" t="str">
        <f>IFERROR(VLOOKUP(E1492,Category!$D$2:$E$600,2,FALSE),"")</f>
        <v/>
      </c>
      <c r="G1492" s="45"/>
      <c r="H1492" s="73"/>
      <c r="I1492" s="18" t="str">
        <f t="shared" si="94"/>
        <v/>
      </c>
      <c r="J1492" s="45"/>
      <c r="K1492" s="45"/>
    </row>
    <row r="1493" spans="1:11">
      <c r="A1493" s="17" t="str">
        <f t="shared" si="95"/>
        <v/>
      </c>
      <c r="B1493" s="53"/>
      <c r="C1493" s="11" t="str">
        <f t="shared" si="92"/>
        <v/>
      </c>
      <c r="D1493" s="11" t="str">
        <f t="shared" si="93"/>
        <v/>
      </c>
      <c r="E1493" s="45"/>
      <c r="F1493" s="11" t="str">
        <f>IFERROR(VLOOKUP(E1493,Category!$D$2:$E$600,2,FALSE),"")</f>
        <v/>
      </c>
      <c r="G1493" s="45"/>
      <c r="H1493" s="73"/>
      <c r="I1493" s="18" t="str">
        <f t="shared" si="94"/>
        <v/>
      </c>
      <c r="J1493" s="45"/>
      <c r="K1493" s="45"/>
    </row>
    <row r="1494" spans="1:11">
      <c r="A1494" s="17" t="str">
        <f t="shared" si="95"/>
        <v/>
      </c>
      <c r="B1494" s="53"/>
      <c r="C1494" s="11" t="str">
        <f t="shared" si="92"/>
        <v/>
      </c>
      <c r="D1494" s="11" t="str">
        <f t="shared" si="93"/>
        <v/>
      </c>
      <c r="E1494" s="45"/>
      <c r="F1494" s="11" t="str">
        <f>IFERROR(VLOOKUP(E1494,Category!$D$2:$E$600,2,FALSE),"")</f>
        <v/>
      </c>
      <c r="G1494" s="45"/>
      <c r="H1494" s="73"/>
      <c r="I1494" s="18" t="str">
        <f t="shared" si="94"/>
        <v/>
      </c>
      <c r="J1494" s="45"/>
      <c r="K1494" s="45"/>
    </row>
    <row r="1495" spans="1:11">
      <c r="A1495" s="17" t="str">
        <f t="shared" si="95"/>
        <v/>
      </c>
      <c r="B1495" s="53"/>
      <c r="C1495" s="11" t="str">
        <f t="shared" si="92"/>
        <v/>
      </c>
      <c r="D1495" s="11" t="str">
        <f t="shared" si="93"/>
        <v/>
      </c>
      <c r="E1495" s="45"/>
      <c r="F1495" s="11" t="str">
        <f>IFERROR(VLOOKUP(E1495,Category!$D$2:$E$600,2,FALSE),"")</f>
        <v/>
      </c>
      <c r="G1495" s="45"/>
      <c r="H1495" s="73"/>
      <c r="I1495" s="18" t="str">
        <f t="shared" si="94"/>
        <v/>
      </c>
      <c r="J1495" s="45"/>
      <c r="K1495" s="45"/>
    </row>
    <row r="1496" spans="1:11">
      <c r="A1496" s="17" t="str">
        <f t="shared" si="95"/>
        <v/>
      </c>
      <c r="B1496" s="53"/>
      <c r="C1496" s="11" t="str">
        <f t="shared" si="92"/>
        <v/>
      </c>
      <c r="D1496" s="11" t="str">
        <f t="shared" si="93"/>
        <v/>
      </c>
      <c r="E1496" s="45"/>
      <c r="F1496" s="11" t="str">
        <f>IFERROR(VLOOKUP(E1496,Category!$D$2:$E$600,2,FALSE),"")</f>
        <v/>
      </c>
      <c r="G1496" s="45"/>
      <c r="H1496" s="73"/>
      <c r="I1496" s="18" t="str">
        <f t="shared" si="94"/>
        <v/>
      </c>
      <c r="J1496" s="45"/>
      <c r="K1496" s="45"/>
    </row>
  </sheetData>
  <sheetProtection algorithmName="SHA-512" hashValue="EtYoC6ma8p+LuZxOgH/t/NNxCkTHDonqN4LmV29HiuDiak6u1zdYVZM+GFdMUWdtF5CRrRsAOLmAMuJsz7RI+w==" saltValue="9SsBfuyiW1y7wrnFdwY0bQ==" spinCount="100000" sheet="1" objects="1" scenarios="1" selectLockedCells="1"/>
  <conditionalFormatting sqref="A1:L1">
    <cfRule type="expression" dxfId="10" priority="5">
      <formula>$L1="Pending"</formula>
    </cfRule>
  </conditionalFormatting>
  <conditionalFormatting sqref="A2:A1496">
    <cfRule type="expression" dxfId="9" priority="4">
      <formula>$M2="Dispatched"</formula>
    </cfRule>
  </conditionalFormatting>
  <conditionalFormatting sqref="C2:D1496">
    <cfRule type="expression" dxfId="8" priority="3">
      <formula>$M2="Dispatched"</formula>
    </cfRule>
  </conditionalFormatting>
  <conditionalFormatting sqref="F2:F1496">
    <cfRule type="expression" dxfId="7" priority="2">
      <formula>$M2="Dispatched"</formula>
    </cfRule>
  </conditionalFormatting>
  <conditionalFormatting sqref="I2:I1496">
    <cfRule type="expression" dxfId="6" priority="1">
      <formula>$M2="Dispatched"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2D6624C-F9AF-014E-B53C-4ADE38807FE4}">
          <x14:formula1>
            <xm:f>'Product List'!$C$2:$C$596</xm:f>
          </x14:formula1>
          <xm:sqref>E2:E1496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39FCA-B3FE-BB40-9C12-7806F1172B9C}">
  <sheetPr codeName="Sheet7"/>
  <dimension ref="A1:M1496"/>
  <sheetViews>
    <sheetView showGridLines="0" zoomScale="162" workbookViewId="0">
      <selection activeCell="K4" sqref="K4"/>
    </sheetView>
  </sheetViews>
  <sheetFormatPr baseColWidth="10" defaultRowHeight="16"/>
  <cols>
    <col min="1" max="1" width="5.83203125" style="1" bestFit="1" customWidth="1"/>
    <col min="2" max="2" width="10" style="50" bestFit="1" customWidth="1"/>
    <col min="3" max="3" width="6.5" bestFit="1" customWidth="1"/>
    <col min="4" max="4" width="5.1640625" bestFit="1" customWidth="1"/>
    <col min="5" max="5" width="26.1640625" style="50" bestFit="1" customWidth="1"/>
    <col min="7" max="7" width="10.83203125" style="50"/>
    <col min="8" max="8" width="13.5" style="74" customWidth="1"/>
    <col min="9" max="9" width="15.1640625" style="6" customWidth="1"/>
    <col min="10" max="10" width="15.5" style="50" customWidth="1"/>
    <col min="11" max="11" width="22.33203125" style="50" customWidth="1"/>
  </cols>
  <sheetData>
    <row r="1" spans="1:13" s="2" customFormat="1" ht="37" customHeight="1">
      <c r="A1" s="24" t="s">
        <v>0</v>
      </c>
      <c r="B1" s="62" t="s">
        <v>25</v>
      </c>
      <c r="C1" s="24" t="s">
        <v>17</v>
      </c>
      <c r="D1" s="24" t="s">
        <v>18</v>
      </c>
      <c r="E1" s="62" t="s">
        <v>2</v>
      </c>
      <c r="F1" s="24" t="s">
        <v>1</v>
      </c>
      <c r="G1" s="62" t="s">
        <v>65</v>
      </c>
      <c r="H1" s="62" t="s">
        <v>72</v>
      </c>
      <c r="I1" s="24" t="s">
        <v>73</v>
      </c>
      <c r="J1" s="62" t="s">
        <v>74</v>
      </c>
      <c r="K1" s="62" t="s">
        <v>67</v>
      </c>
      <c r="L1" s="3"/>
      <c r="M1" s="3"/>
    </row>
    <row r="2" spans="1:13">
      <c r="A2" s="10" t="str">
        <f>IF(E2&gt;0,1,"")</f>
        <v/>
      </c>
      <c r="B2" s="53"/>
      <c r="C2" s="11" t="str">
        <f>IF(B2=0,"",TEXT(B2,"mmmm"))</f>
        <v/>
      </c>
      <c r="D2" s="11" t="str">
        <f>IF(B2=0,"",TEXT(B2,"yyyy"))</f>
        <v/>
      </c>
      <c r="E2" s="45"/>
      <c r="F2" s="11" t="str">
        <f>IFERROR(VLOOKUP(E2,Category!$D$2:$E$600,2,FALSE),"")</f>
        <v/>
      </c>
      <c r="G2" s="45"/>
      <c r="H2" s="73"/>
      <c r="I2" s="18" t="str">
        <f>IF(G2*H2=0,"",G2*H2)</f>
        <v/>
      </c>
      <c r="J2" s="45"/>
      <c r="K2" s="45"/>
    </row>
    <row r="3" spans="1:13">
      <c r="A3" s="10" t="str">
        <f>IF(E3&gt;0,A2+1,"")</f>
        <v/>
      </c>
      <c r="B3" s="53"/>
      <c r="C3" s="11" t="str">
        <f t="shared" ref="C3:C66" si="0">IF(B3=0,"",TEXT(B3,"mmmm"))</f>
        <v/>
      </c>
      <c r="D3" s="11" t="str">
        <f t="shared" ref="D3:D66" si="1">IF(B3=0,"",TEXT(B3,"yyyy"))</f>
        <v/>
      </c>
      <c r="E3" s="45"/>
      <c r="F3" s="11" t="str">
        <f>IFERROR(VLOOKUP(E3,Category!$D$2:$E$600,2,FALSE),"")</f>
        <v/>
      </c>
      <c r="G3" s="45"/>
      <c r="H3" s="73"/>
      <c r="I3" s="18" t="str">
        <f t="shared" ref="I3:I66" si="2">IF(G3*H3=0,"",G3*H3)</f>
        <v/>
      </c>
      <c r="J3" s="45"/>
      <c r="K3" s="45"/>
    </row>
    <row r="4" spans="1:13">
      <c r="A4" s="10" t="str">
        <f t="shared" ref="A4:A67" si="3">IF(E4&gt;0,A3+1,"")</f>
        <v/>
      </c>
      <c r="B4" s="45"/>
      <c r="C4" s="11" t="str">
        <f t="shared" si="0"/>
        <v/>
      </c>
      <c r="D4" s="11" t="str">
        <f t="shared" si="1"/>
        <v/>
      </c>
      <c r="E4" s="45"/>
      <c r="F4" s="11" t="str">
        <f>IFERROR(VLOOKUP(E4,Category!$D$2:$E$600,2,FALSE),"")</f>
        <v/>
      </c>
      <c r="G4" s="45"/>
      <c r="H4" s="73"/>
      <c r="I4" s="18" t="str">
        <f t="shared" si="2"/>
        <v/>
      </c>
      <c r="J4" s="45"/>
      <c r="K4" s="45"/>
    </row>
    <row r="5" spans="1:13">
      <c r="A5" s="10" t="str">
        <f t="shared" si="3"/>
        <v/>
      </c>
      <c r="B5" s="45"/>
      <c r="C5" s="11" t="str">
        <f t="shared" si="0"/>
        <v/>
      </c>
      <c r="D5" s="11" t="str">
        <f t="shared" si="1"/>
        <v/>
      </c>
      <c r="E5" s="45"/>
      <c r="F5" s="11" t="str">
        <f>IFERROR(VLOOKUP(E5,Category!$D$2:$E$600,2,FALSE),"")</f>
        <v/>
      </c>
      <c r="G5" s="45"/>
      <c r="H5" s="73"/>
      <c r="I5" s="18" t="str">
        <f t="shared" si="2"/>
        <v/>
      </c>
      <c r="J5" s="45"/>
      <c r="K5" s="45"/>
    </row>
    <row r="6" spans="1:13">
      <c r="A6" s="10" t="str">
        <f t="shared" si="3"/>
        <v/>
      </c>
      <c r="B6" s="45"/>
      <c r="C6" s="11" t="str">
        <f t="shared" si="0"/>
        <v/>
      </c>
      <c r="D6" s="11" t="str">
        <f t="shared" si="1"/>
        <v/>
      </c>
      <c r="E6" s="45"/>
      <c r="F6" s="11" t="str">
        <f>IFERROR(VLOOKUP(E6,Category!$D$2:$E$600,2,FALSE),"")</f>
        <v/>
      </c>
      <c r="G6" s="45"/>
      <c r="H6" s="73"/>
      <c r="I6" s="18" t="str">
        <f t="shared" si="2"/>
        <v/>
      </c>
      <c r="J6" s="45"/>
      <c r="K6" s="45"/>
    </row>
    <row r="7" spans="1:13">
      <c r="A7" s="10" t="str">
        <f t="shared" si="3"/>
        <v/>
      </c>
      <c r="B7" s="45"/>
      <c r="C7" s="11" t="str">
        <f t="shared" si="0"/>
        <v/>
      </c>
      <c r="D7" s="11" t="str">
        <f t="shared" si="1"/>
        <v/>
      </c>
      <c r="E7" s="45"/>
      <c r="F7" s="11" t="str">
        <f>IFERROR(VLOOKUP(E7,Category!$D$2:$E$600,2,FALSE),"")</f>
        <v/>
      </c>
      <c r="G7" s="45"/>
      <c r="H7" s="73"/>
      <c r="I7" s="18" t="str">
        <f t="shared" si="2"/>
        <v/>
      </c>
      <c r="J7" s="45"/>
      <c r="K7" s="45"/>
    </row>
    <row r="8" spans="1:13">
      <c r="A8" s="10" t="str">
        <f t="shared" si="3"/>
        <v/>
      </c>
      <c r="B8" s="45"/>
      <c r="C8" s="11" t="str">
        <f t="shared" si="0"/>
        <v/>
      </c>
      <c r="D8" s="11" t="str">
        <f t="shared" si="1"/>
        <v/>
      </c>
      <c r="E8" s="45"/>
      <c r="F8" s="11" t="str">
        <f>IFERROR(VLOOKUP(E8,Category!$D$2:$E$600,2,FALSE),"")</f>
        <v/>
      </c>
      <c r="G8" s="45"/>
      <c r="H8" s="73"/>
      <c r="I8" s="18" t="str">
        <f t="shared" si="2"/>
        <v/>
      </c>
      <c r="J8" s="45"/>
      <c r="K8" s="45"/>
    </row>
    <row r="9" spans="1:13">
      <c r="A9" s="10" t="str">
        <f t="shared" si="3"/>
        <v/>
      </c>
      <c r="B9" s="45"/>
      <c r="C9" s="11" t="str">
        <f t="shared" si="0"/>
        <v/>
      </c>
      <c r="D9" s="11" t="str">
        <f t="shared" si="1"/>
        <v/>
      </c>
      <c r="E9" s="45"/>
      <c r="F9" s="11" t="str">
        <f>IFERROR(VLOOKUP(E9,Category!$D$2:$E$600,2,FALSE),"")</f>
        <v/>
      </c>
      <c r="G9" s="45"/>
      <c r="H9" s="73"/>
      <c r="I9" s="18" t="str">
        <f t="shared" si="2"/>
        <v/>
      </c>
      <c r="J9" s="45"/>
      <c r="K9" s="45"/>
    </row>
    <row r="10" spans="1:13">
      <c r="A10" s="10" t="str">
        <f t="shared" si="3"/>
        <v/>
      </c>
      <c r="B10" s="45"/>
      <c r="C10" s="11" t="str">
        <f t="shared" si="0"/>
        <v/>
      </c>
      <c r="D10" s="11" t="str">
        <f t="shared" si="1"/>
        <v/>
      </c>
      <c r="E10" s="45"/>
      <c r="F10" s="11" t="str">
        <f>IFERROR(VLOOKUP(E10,Category!$D$2:$E$600,2,FALSE),"")</f>
        <v/>
      </c>
      <c r="G10" s="45"/>
      <c r="H10" s="73"/>
      <c r="I10" s="18" t="str">
        <f t="shared" si="2"/>
        <v/>
      </c>
      <c r="J10" s="45"/>
      <c r="K10" s="45"/>
    </row>
    <row r="11" spans="1:13">
      <c r="A11" s="10" t="str">
        <f t="shared" si="3"/>
        <v/>
      </c>
      <c r="B11" s="45"/>
      <c r="C11" s="11" t="str">
        <f t="shared" si="0"/>
        <v/>
      </c>
      <c r="D11" s="11" t="str">
        <f t="shared" si="1"/>
        <v/>
      </c>
      <c r="E11" s="45"/>
      <c r="F11" s="11" t="str">
        <f>IFERROR(VLOOKUP(E11,Category!$D$2:$E$600,2,FALSE),"")</f>
        <v/>
      </c>
      <c r="G11" s="45"/>
      <c r="H11" s="73"/>
      <c r="I11" s="18" t="str">
        <f t="shared" si="2"/>
        <v/>
      </c>
      <c r="J11" s="45"/>
      <c r="K11" s="45"/>
    </row>
    <row r="12" spans="1:13">
      <c r="A12" s="10" t="str">
        <f t="shared" si="3"/>
        <v/>
      </c>
      <c r="B12" s="45"/>
      <c r="C12" s="11" t="str">
        <f t="shared" si="0"/>
        <v/>
      </c>
      <c r="D12" s="11" t="str">
        <f t="shared" si="1"/>
        <v/>
      </c>
      <c r="E12" s="45"/>
      <c r="F12" s="11" t="str">
        <f>IFERROR(VLOOKUP(E12,Category!$D$2:$E$600,2,FALSE),"")</f>
        <v/>
      </c>
      <c r="G12" s="45"/>
      <c r="H12" s="73"/>
      <c r="I12" s="18" t="str">
        <f t="shared" si="2"/>
        <v/>
      </c>
      <c r="J12" s="45"/>
      <c r="K12" s="45"/>
    </row>
    <row r="13" spans="1:13">
      <c r="A13" s="10" t="str">
        <f t="shared" si="3"/>
        <v/>
      </c>
      <c r="B13" s="45"/>
      <c r="C13" s="11" t="str">
        <f t="shared" si="0"/>
        <v/>
      </c>
      <c r="D13" s="11" t="str">
        <f t="shared" si="1"/>
        <v/>
      </c>
      <c r="E13" s="45"/>
      <c r="F13" s="11" t="str">
        <f>IFERROR(VLOOKUP(E13,Category!$D$2:$E$600,2,FALSE),"")</f>
        <v/>
      </c>
      <c r="G13" s="45"/>
      <c r="H13" s="73"/>
      <c r="I13" s="18" t="str">
        <f t="shared" si="2"/>
        <v/>
      </c>
      <c r="J13" s="45"/>
      <c r="K13" s="45"/>
    </row>
    <row r="14" spans="1:13">
      <c r="A14" s="10" t="str">
        <f t="shared" si="3"/>
        <v/>
      </c>
      <c r="B14" s="45"/>
      <c r="C14" s="11" t="str">
        <f t="shared" si="0"/>
        <v/>
      </c>
      <c r="D14" s="11" t="str">
        <f t="shared" si="1"/>
        <v/>
      </c>
      <c r="E14" s="45"/>
      <c r="F14" s="11" t="str">
        <f>IFERROR(VLOOKUP(E14,Category!$D$2:$E$600,2,FALSE),"")</f>
        <v/>
      </c>
      <c r="G14" s="45"/>
      <c r="H14" s="73"/>
      <c r="I14" s="18" t="str">
        <f t="shared" si="2"/>
        <v/>
      </c>
      <c r="J14" s="45"/>
      <c r="K14" s="45"/>
    </row>
    <row r="15" spans="1:13">
      <c r="A15" s="10" t="str">
        <f t="shared" si="3"/>
        <v/>
      </c>
      <c r="B15" s="45"/>
      <c r="C15" s="11" t="str">
        <f t="shared" si="0"/>
        <v/>
      </c>
      <c r="D15" s="11" t="str">
        <f t="shared" si="1"/>
        <v/>
      </c>
      <c r="E15" s="45"/>
      <c r="F15" s="11" t="str">
        <f>IFERROR(VLOOKUP(E15,Category!$D$2:$E$600,2,FALSE),"")</f>
        <v/>
      </c>
      <c r="G15" s="45"/>
      <c r="H15" s="73"/>
      <c r="I15" s="18" t="str">
        <f t="shared" si="2"/>
        <v/>
      </c>
      <c r="J15" s="45"/>
      <c r="K15" s="45"/>
    </row>
    <row r="16" spans="1:13">
      <c r="A16" s="10" t="str">
        <f t="shared" si="3"/>
        <v/>
      </c>
      <c r="B16" s="45"/>
      <c r="C16" s="11" t="str">
        <f t="shared" si="0"/>
        <v/>
      </c>
      <c r="D16" s="11" t="str">
        <f t="shared" si="1"/>
        <v/>
      </c>
      <c r="E16" s="45"/>
      <c r="F16" s="11" t="str">
        <f>IFERROR(VLOOKUP(E16,Category!$D$2:$E$600,2,FALSE),"")</f>
        <v/>
      </c>
      <c r="G16" s="45"/>
      <c r="H16" s="73"/>
      <c r="I16" s="18" t="str">
        <f t="shared" si="2"/>
        <v/>
      </c>
      <c r="J16" s="45"/>
      <c r="K16" s="45"/>
    </row>
    <row r="17" spans="1:11">
      <c r="A17" s="10" t="str">
        <f t="shared" si="3"/>
        <v/>
      </c>
      <c r="B17" s="45"/>
      <c r="C17" s="11" t="str">
        <f t="shared" si="0"/>
        <v/>
      </c>
      <c r="D17" s="11" t="str">
        <f t="shared" si="1"/>
        <v/>
      </c>
      <c r="E17" s="45"/>
      <c r="F17" s="11" t="str">
        <f>IFERROR(VLOOKUP(E17,Category!$D$2:$E$600,2,FALSE),"")</f>
        <v/>
      </c>
      <c r="G17" s="45"/>
      <c r="H17" s="73"/>
      <c r="I17" s="18" t="str">
        <f t="shared" si="2"/>
        <v/>
      </c>
      <c r="J17" s="45"/>
      <c r="K17" s="45"/>
    </row>
    <row r="18" spans="1:11">
      <c r="A18" s="10" t="str">
        <f t="shared" si="3"/>
        <v/>
      </c>
      <c r="B18" s="45"/>
      <c r="C18" s="11" t="str">
        <f t="shared" si="0"/>
        <v/>
      </c>
      <c r="D18" s="11" t="str">
        <f t="shared" si="1"/>
        <v/>
      </c>
      <c r="E18" s="45"/>
      <c r="F18" s="11" t="str">
        <f>IFERROR(VLOOKUP(E18,Category!$D$2:$E$600,2,FALSE),"")</f>
        <v/>
      </c>
      <c r="G18" s="45"/>
      <c r="H18" s="73"/>
      <c r="I18" s="18" t="str">
        <f t="shared" si="2"/>
        <v/>
      </c>
      <c r="J18" s="45"/>
      <c r="K18" s="45"/>
    </row>
    <row r="19" spans="1:11">
      <c r="A19" s="10" t="str">
        <f t="shared" si="3"/>
        <v/>
      </c>
      <c r="B19" s="45"/>
      <c r="C19" s="11" t="str">
        <f t="shared" si="0"/>
        <v/>
      </c>
      <c r="D19" s="11" t="str">
        <f t="shared" si="1"/>
        <v/>
      </c>
      <c r="E19" s="45"/>
      <c r="F19" s="11" t="str">
        <f>IFERROR(VLOOKUP(E19,Category!$D$2:$E$600,2,FALSE),"")</f>
        <v/>
      </c>
      <c r="G19" s="45"/>
      <c r="H19" s="73"/>
      <c r="I19" s="18" t="str">
        <f t="shared" si="2"/>
        <v/>
      </c>
      <c r="J19" s="45"/>
      <c r="K19" s="45"/>
    </row>
    <row r="20" spans="1:11">
      <c r="A20" s="10" t="str">
        <f t="shared" si="3"/>
        <v/>
      </c>
      <c r="B20" s="45"/>
      <c r="C20" s="11" t="str">
        <f t="shared" si="0"/>
        <v/>
      </c>
      <c r="D20" s="11" t="str">
        <f t="shared" si="1"/>
        <v/>
      </c>
      <c r="E20" s="45"/>
      <c r="F20" s="11" t="str">
        <f>IFERROR(VLOOKUP(E20,Category!$D$2:$E$600,2,FALSE),"")</f>
        <v/>
      </c>
      <c r="G20" s="45"/>
      <c r="H20" s="73"/>
      <c r="I20" s="18" t="str">
        <f t="shared" si="2"/>
        <v/>
      </c>
      <c r="J20" s="45"/>
      <c r="K20" s="45"/>
    </row>
    <row r="21" spans="1:11">
      <c r="A21" s="10" t="str">
        <f t="shared" si="3"/>
        <v/>
      </c>
      <c r="B21" s="45"/>
      <c r="C21" s="11" t="str">
        <f t="shared" si="0"/>
        <v/>
      </c>
      <c r="D21" s="11" t="str">
        <f t="shared" si="1"/>
        <v/>
      </c>
      <c r="E21" s="45"/>
      <c r="F21" s="11" t="str">
        <f>IFERROR(VLOOKUP(E21,Category!$D$2:$E$600,2,FALSE),"")</f>
        <v/>
      </c>
      <c r="G21" s="45"/>
      <c r="H21" s="73"/>
      <c r="I21" s="18" t="str">
        <f t="shared" si="2"/>
        <v/>
      </c>
      <c r="J21" s="45"/>
      <c r="K21" s="45"/>
    </row>
    <row r="22" spans="1:11">
      <c r="A22" s="10" t="str">
        <f t="shared" si="3"/>
        <v/>
      </c>
      <c r="B22" s="45"/>
      <c r="C22" s="11" t="str">
        <f t="shared" si="0"/>
        <v/>
      </c>
      <c r="D22" s="11" t="str">
        <f t="shared" si="1"/>
        <v/>
      </c>
      <c r="E22" s="45"/>
      <c r="F22" s="11" t="str">
        <f>IFERROR(VLOOKUP(E22,Category!$D$2:$E$600,2,FALSE),"")</f>
        <v/>
      </c>
      <c r="G22" s="45"/>
      <c r="H22" s="73"/>
      <c r="I22" s="18" t="str">
        <f t="shared" si="2"/>
        <v/>
      </c>
      <c r="J22" s="45"/>
      <c r="K22" s="45"/>
    </row>
    <row r="23" spans="1:11">
      <c r="A23" s="10" t="str">
        <f t="shared" si="3"/>
        <v/>
      </c>
      <c r="B23" s="45"/>
      <c r="C23" s="11" t="str">
        <f t="shared" si="0"/>
        <v/>
      </c>
      <c r="D23" s="11" t="str">
        <f t="shared" si="1"/>
        <v/>
      </c>
      <c r="E23" s="45"/>
      <c r="F23" s="11" t="str">
        <f>IFERROR(VLOOKUP(E23,Category!$D$2:$E$600,2,FALSE),"")</f>
        <v/>
      </c>
      <c r="G23" s="45"/>
      <c r="H23" s="73"/>
      <c r="I23" s="18" t="str">
        <f t="shared" si="2"/>
        <v/>
      </c>
      <c r="J23" s="45"/>
      <c r="K23" s="45"/>
    </row>
    <row r="24" spans="1:11">
      <c r="A24" s="10" t="str">
        <f t="shared" si="3"/>
        <v/>
      </c>
      <c r="B24" s="45"/>
      <c r="C24" s="11" t="str">
        <f t="shared" si="0"/>
        <v/>
      </c>
      <c r="D24" s="11" t="str">
        <f t="shared" si="1"/>
        <v/>
      </c>
      <c r="E24" s="45"/>
      <c r="F24" s="11" t="str">
        <f>IFERROR(VLOOKUP(E24,Category!$D$2:$E$600,2,FALSE),"")</f>
        <v/>
      </c>
      <c r="G24" s="45"/>
      <c r="H24" s="73"/>
      <c r="I24" s="18" t="str">
        <f t="shared" si="2"/>
        <v/>
      </c>
      <c r="J24" s="45"/>
      <c r="K24" s="45"/>
    </row>
    <row r="25" spans="1:11">
      <c r="A25" s="10" t="str">
        <f t="shared" si="3"/>
        <v/>
      </c>
      <c r="B25" s="45"/>
      <c r="C25" s="11" t="str">
        <f t="shared" si="0"/>
        <v/>
      </c>
      <c r="D25" s="11" t="str">
        <f t="shared" si="1"/>
        <v/>
      </c>
      <c r="E25" s="45"/>
      <c r="F25" s="11" t="str">
        <f>IFERROR(VLOOKUP(E25,Category!$D$2:$E$600,2,FALSE),"")</f>
        <v/>
      </c>
      <c r="G25" s="45"/>
      <c r="H25" s="73"/>
      <c r="I25" s="18" t="str">
        <f t="shared" si="2"/>
        <v/>
      </c>
      <c r="J25" s="45"/>
      <c r="K25" s="45"/>
    </row>
    <row r="26" spans="1:11">
      <c r="A26" s="10" t="str">
        <f t="shared" si="3"/>
        <v/>
      </c>
      <c r="B26" s="45"/>
      <c r="C26" s="11" t="str">
        <f t="shared" si="0"/>
        <v/>
      </c>
      <c r="D26" s="11" t="str">
        <f t="shared" si="1"/>
        <v/>
      </c>
      <c r="E26" s="45"/>
      <c r="F26" s="11" t="str">
        <f>IFERROR(VLOOKUP(E26,Category!$D$2:$E$600,2,FALSE),"")</f>
        <v/>
      </c>
      <c r="G26" s="45"/>
      <c r="H26" s="73"/>
      <c r="I26" s="18" t="str">
        <f t="shared" si="2"/>
        <v/>
      </c>
      <c r="J26" s="45"/>
      <c r="K26" s="45"/>
    </row>
    <row r="27" spans="1:11">
      <c r="A27" s="10" t="str">
        <f t="shared" si="3"/>
        <v/>
      </c>
      <c r="B27" s="45"/>
      <c r="C27" s="11" t="str">
        <f t="shared" si="0"/>
        <v/>
      </c>
      <c r="D27" s="11" t="str">
        <f t="shared" si="1"/>
        <v/>
      </c>
      <c r="E27" s="45"/>
      <c r="F27" s="11" t="str">
        <f>IFERROR(VLOOKUP(E27,Category!$D$2:$E$600,2,FALSE),"")</f>
        <v/>
      </c>
      <c r="G27" s="45"/>
      <c r="H27" s="73"/>
      <c r="I27" s="18" t="str">
        <f t="shared" si="2"/>
        <v/>
      </c>
      <c r="J27" s="45"/>
      <c r="K27" s="45"/>
    </row>
    <row r="28" spans="1:11">
      <c r="A28" s="10" t="str">
        <f t="shared" si="3"/>
        <v/>
      </c>
      <c r="B28" s="45"/>
      <c r="C28" s="11" t="str">
        <f t="shared" si="0"/>
        <v/>
      </c>
      <c r="D28" s="11" t="str">
        <f t="shared" si="1"/>
        <v/>
      </c>
      <c r="E28" s="45"/>
      <c r="F28" s="11" t="str">
        <f>IFERROR(VLOOKUP(E28,Category!$D$2:$E$600,2,FALSE),"")</f>
        <v/>
      </c>
      <c r="G28" s="45"/>
      <c r="H28" s="73"/>
      <c r="I28" s="18" t="str">
        <f t="shared" si="2"/>
        <v/>
      </c>
      <c r="J28" s="45"/>
      <c r="K28" s="45"/>
    </row>
    <row r="29" spans="1:11">
      <c r="A29" s="10" t="str">
        <f t="shared" si="3"/>
        <v/>
      </c>
      <c r="B29" s="45"/>
      <c r="C29" s="11" t="str">
        <f t="shared" si="0"/>
        <v/>
      </c>
      <c r="D29" s="11" t="str">
        <f t="shared" si="1"/>
        <v/>
      </c>
      <c r="E29" s="45"/>
      <c r="F29" s="11" t="str">
        <f>IFERROR(VLOOKUP(E29,Category!$D$2:$E$600,2,FALSE),"")</f>
        <v/>
      </c>
      <c r="G29" s="45"/>
      <c r="H29" s="73"/>
      <c r="I29" s="18" t="str">
        <f t="shared" si="2"/>
        <v/>
      </c>
      <c r="J29" s="45"/>
      <c r="K29" s="45"/>
    </row>
    <row r="30" spans="1:11">
      <c r="A30" s="10" t="str">
        <f t="shared" si="3"/>
        <v/>
      </c>
      <c r="B30" s="45"/>
      <c r="C30" s="11" t="str">
        <f t="shared" si="0"/>
        <v/>
      </c>
      <c r="D30" s="11" t="str">
        <f t="shared" si="1"/>
        <v/>
      </c>
      <c r="E30" s="45"/>
      <c r="F30" s="11" t="str">
        <f>IFERROR(VLOOKUP(E30,Category!$D$2:$E$600,2,FALSE),"")</f>
        <v/>
      </c>
      <c r="G30" s="45"/>
      <c r="H30" s="73"/>
      <c r="I30" s="18" t="str">
        <f t="shared" si="2"/>
        <v/>
      </c>
      <c r="J30" s="45"/>
      <c r="K30" s="45"/>
    </row>
    <row r="31" spans="1:11">
      <c r="A31" s="10" t="str">
        <f t="shared" si="3"/>
        <v/>
      </c>
      <c r="B31" s="45"/>
      <c r="C31" s="11" t="str">
        <f t="shared" si="0"/>
        <v/>
      </c>
      <c r="D31" s="11" t="str">
        <f t="shared" si="1"/>
        <v/>
      </c>
      <c r="E31" s="45"/>
      <c r="F31" s="11" t="str">
        <f>IFERROR(VLOOKUP(E31,Category!$D$2:$E$600,2,FALSE),"")</f>
        <v/>
      </c>
      <c r="G31" s="45"/>
      <c r="H31" s="73"/>
      <c r="I31" s="18" t="str">
        <f t="shared" si="2"/>
        <v/>
      </c>
      <c r="J31" s="45"/>
      <c r="K31" s="45"/>
    </row>
    <row r="32" spans="1:11">
      <c r="A32" s="10" t="str">
        <f t="shared" si="3"/>
        <v/>
      </c>
      <c r="B32" s="45"/>
      <c r="C32" s="11" t="str">
        <f t="shared" si="0"/>
        <v/>
      </c>
      <c r="D32" s="11" t="str">
        <f t="shared" si="1"/>
        <v/>
      </c>
      <c r="E32" s="45"/>
      <c r="F32" s="11" t="str">
        <f>IFERROR(VLOOKUP(E32,Category!$D$2:$E$600,2,FALSE),"")</f>
        <v/>
      </c>
      <c r="G32" s="45"/>
      <c r="H32" s="73"/>
      <c r="I32" s="18" t="str">
        <f t="shared" si="2"/>
        <v/>
      </c>
      <c r="J32" s="45"/>
      <c r="K32" s="45"/>
    </row>
    <row r="33" spans="1:11">
      <c r="A33" s="10" t="str">
        <f t="shared" si="3"/>
        <v/>
      </c>
      <c r="B33" s="45"/>
      <c r="C33" s="11" t="str">
        <f t="shared" si="0"/>
        <v/>
      </c>
      <c r="D33" s="11" t="str">
        <f t="shared" si="1"/>
        <v/>
      </c>
      <c r="E33" s="45"/>
      <c r="F33" s="11" t="str">
        <f>IFERROR(VLOOKUP(E33,Category!$D$2:$E$600,2,FALSE),"")</f>
        <v/>
      </c>
      <c r="G33" s="45"/>
      <c r="H33" s="73"/>
      <c r="I33" s="18" t="str">
        <f t="shared" si="2"/>
        <v/>
      </c>
      <c r="J33" s="45"/>
      <c r="K33" s="45"/>
    </row>
    <row r="34" spans="1:11">
      <c r="A34" s="10" t="str">
        <f t="shared" si="3"/>
        <v/>
      </c>
      <c r="B34" s="45"/>
      <c r="C34" s="11" t="str">
        <f t="shared" si="0"/>
        <v/>
      </c>
      <c r="D34" s="11" t="str">
        <f t="shared" si="1"/>
        <v/>
      </c>
      <c r="E34" s="45"/>
      <c r="F34" s="11" t="str">
        <f>IFERROR(VLOOKUP(E34,Category!$D$2:$E$600,2,FALSE),"")</f>
        <v/>
      </c>
      <c r="G34" s="45"/>
      <c r="H34" s="73"/>
      <c r="I34" s="18" t="str">
        <f t="shared" si="2"/>
        <v/>
      </c>
      <c r="J34" s="45"/>
      <c r="K34" s="45"/>
    </row>
    <row r="35" spans="1:11">
      <c r="A35" s="10" t="str">
        <f t="shared" si="3"/>
        <v/>
      </c>
      <c r="B35" s="45"/>
      <c r="C35" s="11" t="str">
        <f t="shared" si="0"/>
        <v/>
      </c>
      <c r="D35" s="11" t="str">
        <f t="shared" si="1"/>
        <v/>
      </c>
      <c r="E35" s="45"/>
      <c r="F35" s="11" t="str">
        <f>IFERROR(VLOOKUP(E35,Category!$D$2:$E$600,2,FALSE),"")</f>
        <v/>
      </c>
      <c r="G35" s="45"/>
      <c r="H35" s="73"/>
      <c r="I35" s="18" t="str">
        <f t="shared" si="2"/>
        <v/>
      </c>
      <c r="J35" s="45"/>
      <c r="K35" s="45"/>
    </row>
    <row r="36" spans="1:11">
      <c r="A36" s="10" t="str">
        <f t="shared" si="3"/>
        <v/>
      </c>
      <c r="B36" s="45"/>
      <c r="C36" s="11" t="str">
        <f t="shared" si="0"/>
        <v/>
      </c>
      <c r="D36" s="11" t="str">
        <f t="shared" si="1"/>
        <v/>
      </c>
      <c r="E36" s="45"/>
      <c r="F36" s="11" t="str">
        <f>IFERROR(VLOOKUP(E36,Category!$D$2:$E$600,2,FALSE),"")</f>
        <v/>
      </c>
      <c r="G36" s="45"/>
      <c r="H36" s="73"/>
      <c r="I36" s="18" t="str">
        <f t="shared" si="2"/>
        <v/>
      </c>
      <c r="J36" s="45"/>
      <c r="K36" s="45"/>
    </row>
    <row r="37" spans="1:11">
      <c r="A37" s="10" t="str">
        <f t="shared" si="3"/>
        <v/>
      </c>
      <c r="B37" s="45"/>
      <c r="C37" s="11" t="str">
        <f t="shared" si="0"/>
        <v/>
      </c>
      <c r="D37" s="11" t="str">
        <f t="shared" si="1"/>
        <v/>
      </c>
      <c r="E37" s="45"/>
      <c r="F37" s="11" t="str">
        <f>IFERROR(VLOOKUP(E37,Category!$D$2:$E$600,2,FALSE),"")</f>
        <v/>
      </c>
      <c r="G37" s="45"/>
      <c r="H37" s="73"/>
      <c r="I37" s="18" t="str">
        <f t="shared" si="2"/>
        <v/>
      </c>
      <c r="J37" s="45"/>
      <c r="K37" s="45"/>
    </row>
    <row r="38" spans="1:11">
      <c r="A38" s="10" t="str">
        <f t="shared" si="3"/>
        <v/>
      </c>
      <c r="B38" s="45"/>
      <c r="C38" s="11" t="str">
        <f t="shared" si="0"/>
        <v/>
      </c>
      <c r="D38" s="11" t="str">
        <f t="shared" si="1"/>
        <v/>
      </c>
      <c r="E38" s="45"/>
      <c r="F38" s="11" t="str">
        <f>IFERROR(VLOOKUP(E38,Category!$D$2:$E$600,2,FALSE),"")</f>
        <v/>
      </c>
      <c r="G38" s="45"/>
      <c r="H38" s="73"/>
      <c r="I38" s="18" t="str">
        <f t="shared" si="2"/>
        <v/>
      </c>
      <c r="J38" s="45"/>
      <c r="K38" s="45"/>
    </row>
    <row r="39" spans="1:11">
      <c r="A39" s="10" t="str">
        <f t="shared" si="3"/>
        <v/>
      </c>
      <c r="B39" s="45"/>
      <c r="C39" s="11" t="str">
        <f t="shared" si="0"/>
        <v/>
      </c>
      <c r="D39" s="11" t="str">
        <f t="shared" si="1"/>
        <v/>
      </c>
      <c r="E39" s="45"/>
      <c r="F39" s="11" t="str">
        <f>IFERROR(VLOOKUP(E39,Category!$D$2:$E$600,2,FALSE),"")</f>
        <v/>
      </c>
      <c r="G39" s="45"/>
      <c r="H39" s="73"/>
      <c r="I39" s="18" t="str">
        <f t="shared" si="2"/>
        <v/>
      </c>
      <c r="J39" s="45"/>
      <c r="K39" s="45"/>
    </row>
    <row r="40" spans="1:11">
      <c r="A40" s="10" t="str">
        <f t="shared" si="3"/>
        <v/>
      </c>
      <c r="B40" s="45"/>
      <c r="C40" s="11" t="str">
        <f t="shared" si="0"/>
        <v/>
      </c>
      <c r="D40" s="11" t="str">
        <f t="shared" si="1"/>
        <v/>
      </c>
      <c r="E40" s="45"/>
      <c r="F40" s="11" t="str">
        <f>IFERROR(VLOOKUP(E40,Category!$D$2:$E$600,2,FALSE),"")</f>
        <v/>
      </c>
      <c r="G40" s="45"/>
      <c r="H40" s="73"/>
      <c r="I40" s="18" t="str">
        <f t="shared" si="2"/>
        <v/>
      </c>
      <c r="J40" s="45"/>
      <c r="K40" s="45"/>
    </row>
    <row r="41" spans="1:11">
      <c r="A41" s="10" t="str">
        <f t="shared" si="3"/>
        <v/>
      </c>
      <c r="B41" s="45"/>
      <c r="C41" s="11" t="str">
        <f t="shared" si="0"/>
        <v/>
      </c>
      <c r="D41" s="11" t="str">
        <f t="shared" si="1"/>
        <v/>
      </c>
      <c r="E41" s="45"/>
      <c r="F41" s="11" t="str">
        <f>IFERROR(VLOOKUP(E41,Category!$D$2:$E$600,2,FALSE),"")</f>
        <v/>
      </c>
      <c r="G41" s="45"/>
      <c r="H41" s="73"/>
      <c r="I41" s="18" t="str">
        <f t="shared" si="2"/>
        <v/>
      </c>
      <c r="J41" s="45"/>
      <c r="K41" s="45"/>
    </row>
    <row r="42" spans="1:11">
      <c r="A42" s="10" t="str">
        <f t="shared" si="3"/>
        <v/>
      </c>
      <c r="B42" s="45"/>
      <c r="C42" s="11" t="str">
        <f t="shared" si="0"/>
        <v/>
      </c>
      <c r="D42" s="11" t="str">
        <f t="shared" si="1"/>
        <v/>
      </c>
      <c r="E42" s="45"/>
      <c r="F42" s="11" t="str">
        <f>IFERROR(VLOOKUP(E42,Category!$D$2:$E$600,2,FALSE),"")</f>
        <v/>
      </c>
      <c r="G42" s="45"/>
      <c r="H42" s="73"/>
      <c r="I42" s="18" t="str">
        <f t="shared" si="2"/>
        <v/>
      </c>
      <c r="J42" s="45"/>
      <c r="K42" s="45"/>
    </row>
    <row r="43" spans="1:11">
      <c r="A43" s="10" t="str">
        <f t="shared" si="3"/>
        <v/>
      </c>
      <c r="B43" s="45"/>
      <c r="C43" s="11" t="str">
        <f t="shared" si="0"/>
        <v/>
      </c>
      <c r="D43" s="11" t="str">
        <f t="shared" si="1"/>
        <v/>
      </c>
      <c r="E43" s="45"/>
      <c r="F43" s="11" t="str">
        <f>IFERROR(VLOOKUP(E43,Category!$D$2:$E$600,2,FALSE),"")</f>
        <v/>
      </c>
      <c r="G43" s="45"/>
      <c r="H43" s="73"/>
      <c r="I43" s="18" t="str">
        <f t="shared" si="2"/>
        <v/>
      </c>
      <c r="J43" s="45"/>
      <c r="K43" s="45"/>
    </row>
    <row r="44" spans="1:11">
      <c r="A44" s="10" t="str">
        <f t="shared" si="3"/>
        <v/>
      </c>
      <c r="B44" s="45"/>
      <c r="C44" s="11" t="str">
        <f t="shared" si="0"/>
        <v/>
      </c>
      <c r="D44" s="11" t="str">
        <f t="shared" si="1"/>
        <v/>
      </c>
      <c r="E44" s="45"/>
      <c r="F44" s="11" t="str">
        <f>IFERROR(VLOOKUP(E44,Category!$D$2:$E$600,2,FALSE),"")</f>
        <v/>
      </c>
      <c r="G44" s="45"/>
      <c r="H44" s="73"/>
      <c r="I44" s="18" t="str">
        <f t="shared" si="2"/>
        <v/>
      </c>
      <c r="J44" s="45"/>
      <c r="K44" s="45"/>
    </row>
    <row r="45" spans="1:11">
      <c r="A45" s="10" t="str">
        <f t="shared" si="3"/>
        <v/>
      </c>
      <c r="B45" s="45"/>
      <c r="C45" s="11" t="str">
        <f t="shared" si="0"/>
        <v/>
      </c>
      <c r="D45" s="11" t="str">
        <f t="shared" si="1"/>
        <v/>
      </c>
      <c r="E45" s="45"/>
      <c r="F45" s="11" t="str">
        <f>IFERROR(VLOOKUP(E45,Category!$D$2:$E$600,2,FALSE),"")</f>
        <v/>
      </c>
      <c r="G45" s="45"/>
      <c r="H45" s="73"/>
      <c r="I45" s="18" t="str">
        <f t="shared" si="2"/>
        <v/>
      </c>
      <c r="J45" s="45"/>
      <c r="K45" s="45"/>
    </row>
    <row r="46" spans="1:11">
      <c r="A46" s="10" t="str">
        <f t="shared" si="3"/>
        <v/>
      </c>
      <c r="B46" s="45"/>
      <c r="C46" s="11" t="str">
        <f t="shared" si="0"/>
        <v/>
      </c>
      <c r="D46" s="11" t="str">
        <f t="shared" si="1"/>
        <v/>
      </c>
      <c r="E46" s="45"/>
      <c r="F46" s="11" t="str">
        <f>IFERROR(VLOOKUP(E46,Category!$D$2:$E$600,2,FALSE),"")</f>
        <v/>
      </c>
      <c r="G46" s="45"/>
      <c r="H46" s="73"/>
      <c r="I46" s="18" t="str">
        <f t="shared" si="2"/>
        <v/>
      </c>
      <c r="J46" s="45"/>
      <c r="K46" s="45"/>
    </row>
    <row r="47" spans="1:11">
      <c r="A47" s="10" t="str">
        <f t="shared" si="3"/>
        <v/>
      </c>
      <c r="B47" s="45"/>
      <c r="C47" s="11" t="str">
        <f t="shared" si="0"/>
        <v/>
      </c>
      <c r="D47" s="11" t="str">
        <f t="shared" si="1"/>
        <v/>
      </c>
      <c r="E47" s="45"/>
      <c r="F47" s="11" t="str">
        <f>IFERROR(VLOOKUP(E47,Category!$D$2:$E$600,2,FALSE),"")</f>
        <v/>
      </c>
      <c r="G47" s="45"/>
      <c r="H47" s="73"/>
      <c r="I47" s="18" t="str">
        <f t="shared" si="2"/>
        <v/>
      </c>
      <c r="J47" s="45"/>
      <c r="K47" s="45"/>
    </row>
    <row r="48" spans="1:11">
      <c r="A48" s="10" t="str">
        <f t="shared" si="3"/>
        <v/>
      </c>
      <c r="B48" s="45"/>
      <c r="C48" s="11" t="str">
        <f t="shared" si="0"/>
        <v/>
      </c>
      <c r="D48" s="11" t="str">
        <f t="shared" si="1"/>
        <v/>
      </c>
      <c r="E48" s="45"/>
      <c r="F48" s="11" t="str">
        <f>IFERROR(VLOOKUP(E48,Category!$D$2:$E$600,2,FALSE),"")</f>
        <v/>
      </c>
      <c r="G48" s="45"/>
      <c r="H48" s="73"/>
      <c r="I48" s="18" t="str">
        <f t="shared" si="2"/>
        <v/>
      </c>
      <c r="J48" s="45"/>
      <c r="K48" s="45"/>
    </row>
    <row r="49" spans="1:11">
      <c r="A49" s="10" t="str">
        <f t="shared" si="3"/>
        <v/>
      </c>
      <c r="B49" s="45"/>
      <c r="C49" s="11" t="str">
        <f t="shared" si="0"/>
        <v/>
      </c>
      <c r="D49" s="11" t="str">
        <f t="shared" si="1"/>
        <v/>
      </c>
      <c r="E49" s="45"/>
      <c r="F49" s="11" t="str">
        <f>IFERROR(VLOOKUP(E49,Category!$D$2:$E$600,2,FALSE),"")</f>
        <v/>
      </c>
      <c r="G49" s="45"/>
      <c r="H49" s="73"/>
      <c r="I49" s="18" t="str">
        <f t="shared" si="2"/>
        <v/>
      </c>
      <c r="J49" s="45"/>
      <c r="K49" s="45"/>
    </row>
    <row r="50" spans="1:11">
      <c r="A50" s="10" t="str">
        <f t="shared" si="3"/>
        <v/>
      </c>
      <c r="B50" s="45"/>
      <c r="C50" s="11" t="str">
        <f t="shared" si="0"/>
        <v/>
      </c>
      <c r="D50" s="11" t="str">
        <f t="shared" si="1"/>
        <v/>
      </c>
      <c r="E50" s="45"/>
      <c r="F50" s="11" t="str">
        <f>IFERROR(VLOOKUP(E50,Category!$D$2:$E$600,2,FALSE),"")</f>
        <v/>
      </c>
      <c r="G50" s="45"/>
      <c r="H50" s="73"/>
      <c r="I50" s="18" t="str">
        <f t="shared" si="2"/>
        <v/>
      </c>
      <c r="J50" s="45"/>
      <c r="K50" s="45"/>
    </row>
    <row r="51" spans="1:11">
      <c r="A51" s="10" t="str">
        <f t="shared" si="3"/>
        <v/>
      </c>
      <c r="B51" s="45"/>
      <c r="C51" s="11" t="str">
        <f t="shared" si="0"/>
        <v/>
      </c>
      <c r="D51" s="11" t="str">
        <f t="shared" si="1"/>
        <v/>
      </c>
      <c r="E51" s="45"/>
      <c r="F51" s="11" t="str">
        <f>IFERROR(VLOOKUP(E51,Category!$D$2:$E$600,2,FALSE),"")</f>
        <v/>
      </c>
      <c r="G51" s="45"/>
      <c r="H51" s="73"/>
      <c r="I51" s="18" t="str">
        <f t="shared" si="2"/>
        <v/>
      </c>
      <c r="J51" s="45"/>
      <c r="K51" s="45"/>
    </row>
    <row r="52" spans="1:11">
      <c r="A52" s="10" t="str">
        <f t="shared" si="3"/>
        <v/>
      </c>
      <c r="B52" s="45"/>
      <c r="C52" s="11" t="str">
        <f t="shared" si="0"/>
        <v/>
      </c>
      <c r="D52" s="11" t="str">
        <f t="shared" si="1"/>
        <v/>
      </c>
      <c r="E52" s="45"/>
      <c r="F52" s="11" t="str">
        <f>IFERROR(VLOOKUP(E52,Category!$D$2:$E$600,2,FALSE),"")</f>
        <v/>
      </c>
      <c r="G52" s="45"/>
      <c r="H52" s="73"/>
      <c r="I52" s="18" t="str">
        <f t="shared" si="2"/>
        <v/>
      </c>
      <c r="J52" s="45"/>
      <c r="K52" s="45"/>
    </row>
    <row r="53" spans="1:11">
      <c r="A53" s="10" t="str">
        <f t="shared" si="3"/>
        <v/>
      </c>
      <c r="B53" s="45"/>
      <c r="C53" s="11" t="str">
        <f t="shared" si="0"/>
        <v/>
      </c>
      <c r="D53" s="11" t="str">
        <f t="shared" si="1"/>
        <v/>
      </c>
      <c r="E53" s="45"/>
      <c r="F53" s="11" t="str">
        <f>IFERROR(VLOOKUP(E53,Category!$D$2:$E$600,2,FALSE),"")</f>
        <v/>
      </c>
      <c r="G53" s="45"/>
      <c r="H53" s="73"/>
      <c r="I53" s="18" t="str">
        <f t="shared" si="2"/>
        <v/>
      </c>
      <c r="J53" s="45"/>
      <c r="K53" s="45"/>
    </row>
    <row r="54" spans="1:11">
      <c r="A54" s="10" t="str">
        <f t="shared" si="3"/>
        <v/>
      </c>
      <c r="B54" s="45"/>
      <c r="C54" s="11" t="str">
        <f t="shared" si="0"/>
        <v/>
      </c>
      <c r="D54" s="11" t="str">
        <f t="shared" si="1"/>
        <v/>
      </c>
      <c r="E54" s="45"/>
      <c r="F54" s="11" t="str">
        <f>IFERROR(VLOOKUP(E54,Category!$D$2:$E$600,2,FALSE),"")</f>
        <v/>
      </c>
      <c r="G54" s="45"/>
      <c r="H54" s="73"/>
      <c r="I54" s="18" t="str">
        <f t="shared" si="2"/>
        <v/>
      </c>
      <c r="J54" s="45"/>
      <c r="K54" s="45"/>
    </row>
    <row r="55" spans="1:11">
      <c r="A55" s="10" t="str">
        <f t="shared" si="3"/>
        <v/>
      </c>
      <c r="B55" s="45"/>
      <c r="C55" s="11" t="str">
        <f t="shared" si="0"/>
        <v/>
      </c>
      <c r="D55" s="11" t="str">
        <f t="shared" si="1"/>
        <v/>
      </c>
      <c r="E55" s="45"/>
      <c r="F55" s="11" t="str">
        <f>IFERROR(VLOOKUP(E55,Category!$D$2:$E$600,2,FALSE),"")</f>
        <v/>
      </c>
      <c r="G55" s="45"/>
      <c r="H55" s="73"/>
      <c r="I55" s="18" t="str">
        <f t="shared" si="2"/>
        <v/>
      </c>
      <c r="J55" s="45"/>
      <c r="K55" s="45"/>
    </row>
    <row r="56" spans="1:11">
      <c r="A56" s="10" t="str">
        <f t="shared" si="3"/>
        <v/>
      </c>
      <c r="B56" s="45"/>
      <c r="C56" s="11" t="str">
        <f t="shared" si="0"/>
        <v/>
      </c>
      <c r="D56" s="11" t="str">
        <f t="shared" si="1"/>
        <v/>
      </c>
      <c r="E56" s="45"/>
      <c r="F56" s="11" t="str">
        <f>IFERROR(VLOOKUP(E56,Category!$D$2:$E$600,2,FALSE),"")</f>
        <v/>
      </c>
      <c r="G56" s="45"/>
      <c r="H56" s="73"/>
      <c r="I56" s="18" t="str">
        <f t="shared" si="2"/>
        <v/>
      </c>
      <c r="J56" s="45"/>
      <c r="K56" s="45"/>
    </row>
    <row r="57" spans="1:11">
      <c r="A57" s="10" t="str">
        <f t="shared" si="3"/>
        <v/>
      </c>
      <c r="B57" s="45"/>
      <c r="C57" s="11" t="str">
        <f t="shared" si="0"/>
        <v/>
      </c>
      <c r="D57" s="11" t="str">
        <f t="shared" si="1"/>
        <v/>
      </c>
      <c r="E57" s="45"/>
      <c r="F57" s="11" t="str">
        <f>IFERROR(VLOOKUP(E57,Category!$D$2:$E$600,2,FALSE),"")</f>
        <v/>
      </c>
      <c r="G57" s="45"/>
      <c r="H57" s="73"/>
      <c r="I57" s="18" t="str">
        <f t="shared" si="2"/>
        <v/>
      </c>
      <c r="J57" s="45"/>
      <c r="K57" s="45"/>
    </row>
    <row r="58" spans="1:11">
      <c r="A58" s="10" t="str">
        <f t="shared" si="3"/>
        <v/>
      </c>
      <c r="B58" s="45"/>
      <c r="C58" s="11" t="str">
        <f t="shared" si="0"/>
        <v/>
      </c>
      <c r="D58" s="11" t="str">
        <f t="shared" si="1"/>
        <v/>
      </c>
      <c r="E58" s="45"/>
      <c r="F58" s="11" t="str">
        <f>IFERROR(VLOOKUP(E58,Category!$D$2:$E$600,2,FALSE),"")</f>
        <v/>
      </c>
      <c r="G58" s="45"/>
      <c r="H58" s="73"/>
      <c r="I58" s="18" t="str">
        <f t="shared" si="2"/>
        <v/>
      </c>
      <c r="J58" s="45"/>
      <c r="K58" s="45"/>
    </row>
    <row r="59" spans="1:11">
      <c r="A59" s="10" t="str">
        <f t="shared" si="3"/>
        <v/>
      </c>
      <c r="B59" s="45"/>
      <c r="C59" s="11" t="str">
        <f t="shared" si="0"/>
        <v/>
      </c>
      <c r="D59" s="11" t="str">
        <f t="shared" si="1"/>
        <v/>
      </c>
      <c r="E59" s="45"/>
      <c r="F59" s="11" t="str">
        <f>IFERROR(VLOOKUP(E59,Category!$D$2:$E$600,2,FALSE),"")</f>
        <v/>
      </c>
      <c r="G59" s="45"/>
      <c r="H59" s="73"/>
      <c r="I59" s="18" t="str">
        <f t="shared" si="2"/>
        <v/>
      </c>
      <c r="J59" s="45"/>
      <c r="K59" s="45"/>
    </row>
    <row r="60" spans="1:11">
      <c r="A60" s="10" t="str">
        <f t="shared" si="3"/>
        <v/>
      </c>
      <c r="B60" s="45"/>
      <c r="C60" s="11" t="str">
        <f t="shared" si="0"/>
        <v/>
      </c>
      <c r="D60" s="11" t="str">
        <f t="shared" si="1"/>
        <v/>
      </c>
      <c r="E60" s="45"/>
      <c r="F60" s="11" t="str">
        <f>IFERROR(VLOOKUP(E60,Category!$D$2:$E$600,2,FALSE),"")</f>
        <v/>
      </c>
      <c r="G60" s="45"/>
      <c r="H60" s="73"/>
      <c r="I60" s="18" t="str">
        <f t="shared" si="2"/>
        <v/>
      </c>
      <c r="J60" s="45"/>
      <c r="K60" s="45"/>
    </row>
    <row r="61" spans="1:11">
      <c r="A61" s="10" t="str">
        <f t="shared" si="3"/>
        <v/>
      </c>
      <c r="B61" s="45"/>
      <c r="C61" s="11" t="str">
        <f t="shared" si="0"/>
        <v/>
      </c>
      <c r="D61" s="11" t="str">
        <f t="shared" si="1"/>
        <v/>
      </c>
      <c r="E61" s="45"/>
      <c r="F61" s="11" t="str">
        <f>IFERROR(VLOOKUP(E61,Category!$D$2:$E$600,2,FALSE),"")</f>
        <v/>
      </c>
      <c r="G61" s="45"/>
      <c r="H61" s="73"/>
      <c r="I61" s="18" t="str">
        <f t="shared" si="2"/>
        <v/>
      </c>
      <c r="J61" s="45"/>
      <c r="K61" s="45"/>
    </row>
    <row r="62" spans="1:11">
      <c r="A62" s="10" t="str">
        <f t="shared" si="3"/>
        <v/>
      </c>
      <c r="B62" s="45"/>
      <c r="C62" s="11" t="str">
        <f t="shared" si="0"/>
        <v/>
      </c>
      <c r="D62" s="11" t="str">
        <f t="shared" si="1"/>
        <v/>
      </c>
      <c r="E62" s="45"/>
      <c r="F62" s="11" t="str">
        <f>IFERROR(VLOOKUP(E62,Category!$D$2:$E$600,2,FALSE),"")</f>
        <v/>
      </c>
      <c r="G62" s="45"/>
      <c r="H62" s="73"/>
      <c r="I62" s="18" t="str">
        <f t="shared" si="2"/>
        <v/>
      </c>
      <c r="J62" s="45"/>
      <c r="K62" s="45"/>
    </row>
    <row r="63" spans="1:11">
      <c r="A63" s="10" t="str">
        <f t="shared" si="3"/>
        <v/>
      </c>
      <c r="B63" s="45"/>
      <c r="C63" s="11" t="str">
        <f t="shared" si="0"/>
        <v/>
      </c>
      <c r="D63" s="11" t="str">
        <f t="shared" si="1"/>
        <v/>
      </c>
      <c r="E63" s="45"/>
      <c r="F63" s="11" t="str">
        <f>IFERROR(VLOOKUP(E63,Category!$D$2:$E$600,2,FALSE),"")</f>
        <v/>
      </c>
      <c r="G63" s="45"/>
      <c r="H63" s="73"/>
      <c r="I63" s="18" t="str">
        <f t="shared" si="2"/>
        <v/>
      </c>
      <c r="J63" s="45"/>
      <c r="K63" s="45"/>
    </row>
    <row r="64" spans="1:11">
      <c r="A64" s="10" t="str">
        <f t="shared" si="3"/>
        <v/>
      </c>
      <c r="B64" s="45"/>
      <c r="C64" s="11" t="str">
        <f t="shared" si="0"/>
        <v/>
      </c>
      <c r="D64" s="11" t="str">
        <f t="shared" si="1"/>
        <v/>
      </c>
      <c r="E64" s="45"/>
      <c r="F64" s="11" t="str">
        <f>IFERROR(VLOOKUP(E64,Category!$D$2:$E$600,2,FALSE),"")</f>
        <v/>
      </c>
      <c r="G64" s="45"/>
      <c r="H64" s="73"/>
      <c r="I64" s="18" t="str">
        <f t="shared" si="2"/>
        <v/>
      </c>
      <c r="J64" s="45"/>
      <c r="K64" s="45"/>
    </row>
    <row r="65" spans="1:11">
      <c r="A65" s="10" t="str">
        <f t="shared" si="3"/>
        <v/>
      </c>
      <c r="B65" s="45"/>
      <c r="C65" s="11" t="str">
        <f t="shared" si="0"/>
        <v/>
      </c>
      <c r="D65" s="11" t="str">
        <f t="shared" si="1"/>
        <v/>
      </c>
      <c r="E65" s="45"/>
      <c r="F65" s="11" t="str">
        <f>IFERROR(VLOOKUP(E65,Category!$D$2:$E$600,2,FALSE),"")</f>
        <v/>
      </c>
      <c r="G65" s="45"/>
      <c r="H65" s="73"/>
      <c r="I65" s="18" t="str">
        <f t="shared" si="2"/>
        <v/>
      </c>
      <c r="J65" s="45"/>
      <c r="K65" s="45"/>
    </row>
    <row r="66" spans="1:11">
      <c r="A66" s="10" t="str">
        <f t="shared" si="3"/>
        <v/>
      </c>
      <c r="B66" s="45"/>
      <c r="C66" s="11" t="str">
        <f t="shared" si="0"/>
        <v/>
      </c>
      <c r="D66" s="11" t="str">
        <f t="shared" si="1"/>
        <v/>
      </c>
      <c r="E66" s="45"/>
      <c r="F66" s="11" t="str">
        <f>IFERROR(VLOOKUP(E66,Category!$D$2:$E$600,2,FALSE),"")</f>
        <v/>
      </c>
      <c r="G66" s="45"/>
      <c r="H66" s="73"/>
      <c r="I66" s="18" t="str">
        <f t="shared" si="2"/>
        <v/>
      </c>
      <c r="J66" s="45"/>
      <c r="K66" s="45"/>
    </row>
    <row r="67" spans="1:11">
      <c r="A67" s="10" t="str">
        <f t="shared" si="3"/>
        <v/>
      </c>
      <c r="B67" s="45"/>
      <c r="C67" s="11" t="str">
        <f t="shared" ref="C67:C130" si="4">IF(B67=0,"",TEXT(B67,"mmmm"))</f>
        <v/>
      </c>
      <c r="D67" s="11" t="str">
        <f t="shared" ref="D67:D130" si="5">IF(B67=0,"",TEXT(B67,"yyyy"))</f>
        <v/>
      </c>
      <c r="E67" s="45"/>
      <c r="F67" s="11" t="str">
        <f>IFERROR(VLOOKUP(E67,Category!$D$2:$E$600,2,FALSE),"")</f>
        <v/>
      </c>
      <c r="G67" s="45"/>
      <c r="H67" s="73"/>
      <c r="I67" s="18" t="str">
        <f t="shared" ref="I67:I130" si="6">IF(G67*H67=0,"",G67*H67)</f>
        <v/>
      </c>
      <c r="J67" s="45"/>
      <c r="K67" s="45"/>
    </row>
    <row r="68" spans="1:11">
      <c r="A68" s="10" t="str">
        <f t="shared" ref="A68:A131" si="7">IF(E68&gt;0,A67+1,"")</f>
        <v/>
      </c>
      <c r="B68" s="45"/>
      <c r="C68" s="11" t="str">
        <f t="shared" si="4"/>
        <v/>
      </c>
      <c r="D68" s="11" t="str">
        <f t="shared" si="5"/>
        <v/>
      </c>
      <c r="E68" s="45"/>
      <c r="F68" s="11" t="str">
        <f>IFERROR(VLOOKUP(E68,Category!$D$2:$E$600,2,FALSE),"")</f>
        <v/>
      </c>
      <c r="G68" s="45"/>
      <c r="H68" s="73"/>
      <c r="I68" s="18" t="str">
        <f t="shared" si="6"/>
        <v/>
      </c>
      <c r="J68" s="45"/>
      <c r="K68" s="45"/>
    </row>
    <row r="69" spans="1:11">
      <c r="A69" s="10" t="str">
        <f t="shared" si="7"/>
        <v/>
      </c>
      <c r="B69" s="45"/>
      <c r="C69" s="11" t="str">
        <f t="shared" si="4"/>
        <v/>
      </c>
      <c r="D69" s="11" t="str">
        <f t="shared" si="5"/>
        <v/>
      </c>
      <c r="E69" s="45"/>
      <c r="F69" s="11" t="str">
        <f>IFERROR(VLOOKUP(E69,Category!$D$2:$E$600,2,FALSE),"")</f>
        <v/>
      </c>
      <c r="G69" s="45"/>
      <c r="H69" s="73"/>
      <c r="I69" s="18" t="str">
        <f t="shared" si="6"/>
        <v/>
      </c>
      <c r="J69" s="45"/>
      <c r="K69" s="45"/>
    </row>
    <row r="70" spans="1:11">
      <c r="A70" s="10" t="str">
        <f t="shared" si="7"/>
        <v/>
      </c>
      <c r="B70" s="45"/>
      <c r="C70" s="11" t="str">
        <f t="shared" si="4"/>
        <v/>
      </c>
      <c r="D70" s="11" t="str">
        <f t="shared" si="5"/>
        <v/>
      </c>
      <c r="E70" s="45"/>
      <c r="F70" s="11" t="str">
        <f>IFERROR(VLOOKUP(E70,Category!$D$2:$E$600,2,FALSE),"")</f>
        <v/>
      </c>
      <c r="G70" s="45"/>
      <c r="H70" s="73"/>
      <c r="I70" s="18" t="str">
        <f t="shared" si="6"/>
        <v/>
      </c>
      <c r="J70" s="45"/>
      <c r="K70" s="45"/>
    </row>
    <row r="71" spans="1:11">
      <c r="A71" s="10" t="str">
        <f t="shared" si="7"/>
        <v/>
      </c>
      <c r="B71" s="45"/>
      <c r="C71" s="11" t="str">
        <f t="shared" si="4"/>
        <v/>
      </c>
      <c r="D71" s="11" t="str">
        <f t="shared" si="5"/>
        <v/>
      </c>
      <c r="E71" s="45"/>
      <c r="F71" s="11" t="str">
        <f>IFERROR(VLOOKUP(E71,Category!$D$2:$E$600,2,FALSE),"")</f>
        <v/>
      </c>
      <c r="G71" s="45"/>
      <c r="H71" s="73"/>
      <c r="I71" s="18" t="str">
        <f t="shared" si="6"/>
        <v/>
      </c>
      <c r="J71" s="45"/>
      <c r="K71" s="45"/>
    </row>
    <row r="72" spans="1:11">
      <c r="A72" s="10" t="str">
        <f t="shared" si="7"/>
        <v/>
      </c>
      <c r="B72" s="45"/>
      <c r="C72" s="11" t="str">
        <f t="shared" si="4"/>
        <v/>
      </c>
      <c r="D72" s="11" t="str">
        <f t="shared" si="5"/>
        <v/>
      </c>
      <c r="E72" s="45"/>
      <c r="F72" s="11" t="str">
        <f>IFERROR(VLOOKUP(E72,Category!$D$2:$E$600,2,FALSE),"")</f>
        <v/>
      </c>
      <c r="G72" s="45"/>
      <c r="H72" s="73"/>
      <c r="I72" s="18" t="str">
        <f t="shared" si="6"/>
        <v/>
      </c>
      <c r="J72" s="45"/>
      <c r="K72" s="45"/>
    </row>
    <row r="73" spans="1:11">
      <c r="A73" s="10" t="str">
        <f t="shared" si="7"/>
        <v/>
      </c>
      <c r="B73" s="45"/>
      <c r="C73" s="11" t="str">
        <f t="shared" si="4"/>
        <v/>
      </c>
      <c r="D73" s="11" t="str">
        <f t="shared" si="5"/>
        <v/>
      </c>
      <c r="E73" s="45"/>
      <c r="F73" s="11" t="str">
        <f>IFERROR(VLOOKUP(E73,Category!$D$2:$E$600,2,FALSE),"")</f>
        <v/>
      </c>
      <c r="G73" s="45"/>
      <c r="H73" s="73"/>
      <c r="I73" s="18" t="str">
        <f t="shared" si="6"/>
        <v/>
      </c>
      <c r="J73" s="45"/>
      <c r="K73" s="45"/>
    </row>
    <row r="74" spans="1:11">
      <c r="A74" s="10" t="str">
        <f t="shared" si="7"/>
        <v/>
      </c>
      <c r="B74" s="45"/>
      <c r="C74" s="11" t="str">
        <f t="shared" si="4"/>
        <v/>
      </c>
      <c r="D74" s="11" t="str">
        <f t="shared" si="5"/>
        <v/>
      </c>
      <c r="E74" s="45"/>
      <c r="F74" s="11" t="str">
        <f>IFERROR(VLOOKUP(E74,Category!$D$2:$E$600,2,FALSE),"")</f>
        <v/>
      </c>
      <c r="G74" s="45"/>
      <c r="H74" s="73"/>
      <c r="I74" s="18" t="str">
        <f t="shared" si="6"/>
        <v/>
      </c>
      <c r="J74" s="45"/>
      <c r="K74" s="45"/>
    </row>
    <row r="75" spans="1:11">
      <c r="A75" s="10" t="str">
        <f t="shared" si="7"/>
        <v/>
      </c>
      <c r="B75" s="45"/>
      <c r="C75" s="11" t="str">
        <f t="shared" si="4"/>
        <v/>
      </c>
      <c r="D75" s="11" t="str">
        <f t="shared" si="5"/>
        <v/>
      </c>
      <c r="E75" s="45"/>
      <c r="F75" s="11" t="str">
        <f>IFERROR(VLOOKUP(E75,Category!$D$2:$E$600,2,FALSE),"")</f>
        <v/>
      </c>
      <c r="G75" s="45"/>
      <c r="H75" s="73"/>
      <c r="I75" s="18" t="str">
        <f t="shared" si="6"/>
        <v/>
      </c>
      <c r="J75" s="45"/>
      <c r="K75" s="45"/>
    </row>
    <row r="76" spans="1:11">
      <c r="A76" s="10" t="str">
        <f t="shared" si="7"/>
        <v/>
      </c>
      <c r="B76" s="45"/>
      <c r="C76" s="11" t="str">
        <f t="shared" si="4"/>
        <v/>
      </c>
      <c r="D76" s="11" t="str">
        <f t="shared" si="5"/>
        <v/>
      </c>
      <c r="E76" s="45"/>
      <c r="F76" s="11" t="str">
        <f>IFERROR(VLOOKUP(E76,Category!$D$2:$E$600,2,FALSE),"")</f>
        <v/>
      </c>
      <c r="G76" s="45"/>
      <c r="H76" s="73"/>
      <c r="I76" s="18" t="str">
        <f t="shared" si="6"/>
        <v/>
      </c>
      <c r="J76" s="45"/>
      <c r="K76" s="45"/>
    </row>
    <row r="77" spans="1:11">
      <c r="A77" s="10" t="str">
        <f t="shared" si="7"/>
        <v/>
      </c>
      <c r="B77" s="45"/>
      <c r="C77" s="11" t="str">
        <f t="shared" si="4"/>
        <v/>
      </c>
      <c r="D77" s="11" t="str">
        <f t="shared" si="5"/>
        <v/>
      </c>
      <c r="E77" s="45"/>
      <c r="F77" s="11" t="str">
        <f>IFERROR(VLOOKUP(E77,Category!$D$2:$E$600,2,FALSE),"")</f>
        <v/>
      </c>
      <c r="G77" s="45"/>
      <c r="H77" s="73"/>
      <c r="I77" s="18" t="str">
        <f t="shared" si="6"/>
        <v/>
      </c>
      <c r="J77" s="45"/>
      <c r="K77" s="45"/>
    </row>
    <row r="78" spans="1:11">
      <c r="A78" s="10" t="str">
        <f t="shared" si="7"/>
        <v/>
      </c>
      <c r="B78" s="45"/>
      <c r="C78" s="11" t="str">
        <f t="shared" si="4"/>
        <v/>
      </c>
      <c r="D78" s="11" t="str">
        <f t="shared" si="5"/>
        <v/>
      </c>
      <c r="E78" s="45"/>
      <c r="F78" s="11" t="str">
        <f>IFERROR(VLOOKUP(E78,Category!$D$2:$E$600,2,FALSE),"")</f>
        <v/>
      </c>
      <c r="G78" s="45"/>
      <c r="H78" s="73"/>
      <c r="I78" s="18" t="str">
        <f t="shared" si="6"/>
        <v/>
      </c>
      <c r="J78" s="45"/>
      <c r="K78" s="45"/>
    </row>
    <row r="79" spans="1:11">
      <c r="A79" s="10" t="str">
        <f t="shared" si="7"/>
        <v/>
      </c>
      <c r="B79" s="45"/>
      <c r="C79" s="11" t="str">
        <f t="shared" si="4"/>
        <v/>
      </c>
      <c r="D79" s="11" t="str">
        <f t="shared" si="5"/>
        <v/>
      </c>
      <c r="E79" s="45"/>
      <c r="F79" s="11" t="str">
        <f>IFERROR(VLOOKUP(E79,Category!$D$2:$E$600,2,FALSE),"")</f>
        <v/>
      </c>
      <c r="G79" s="45"/>
      <c r="H79" s="73"/>
      <c r="I79" s="18" t="str">
        <f t="shared" si="6"/>
        <v/>
      </c>
      <c r="J79" s="45"/>
      <c r="K79" s="45"/>
    </row>
    <row r="80" spans="1:11">
      <c r="A80" s="10" t="str">
        <f t="shared" si="7"/>
        <v/>
      </c>
      <c r="B80" s="45"/>
      <c r="C80" s="11" t="str">
        <f t="shared" si="4"/>
        <v/>
      </c>
      <c r="D80" s="11" t="str">
        <f t="shared" si="5"/>
        <v/>
      </c>
      <c r="E80" s="45"/>
      <c r="F80" s="11" t="str">
        <f>IFERROR(VLOOKUP(E80,Category!$D$2:$E$600,2,FALSE),"")</f>
        <v/>
      </c>
      <c r="G80" s="45"/>
      <c r="H80" s="73"/>
      <c r="I80" s="18" t="str">
        <f t="shared" si="6"/>
        <v/>
      </c>
      <c r="J80" s="45"/>
      <c r="K80" s="45"/>
    </row>
    <row r="81" spans="1:11">
      <c r="A81" s="10" t="str">
        <f t="shared" si="7"/>
        <v/>
      </c>
      <c r="B81" s="45"/>
      <c r="C81" s="11" t="str">
        <f t="shared" si="4"/>
        <v/>
      </c>
      <c r="D81" s="11" t="str">
        <f t="shared" si="5"/>
        <v/>
      </c>
      <c r="E81" s="45"/>
      <c r="F81" s="11" t="str">
        <f>IFERROR(VLOOKUP(E81,Category!$D$2:$E$600,2,FALSE),"")</f>
        <v/>
      </c>
      <c r="G81" s="45"/>
      <c r="H81" s="73"/>
      <c r="I81" s="18" t="str">
        <f t="shared" si="6"/>
        <v/>
      </c>
      <c r="J81" s="45"/>
      <c r="K81" s="45"/>
    </row>
    <row r="82" spans="1:11">
      <c r="A82" s="10" t="str">
        <f t="shared" si="7"/>
        <v/>
      </c>
      <c r="B82" s="45"/>
      <c r="C82" s="11" t="str">
        <f t="shared" si="4"/>
        <v/>
      </c>
      <c r="D82" s="11" t="str">
        <f t="shared" si="5"/>
        <v/>
      </c>
      <c r="E82" s="45"/>
      <c r="F82" s="11" t="str">
        <f>IFERROR(VLOOKUP(E82,Category!$D$2:$E$600,2,FALSE),"")</f>
        <v/>
      </c>
      <c r="G82" s="45"/>
      <c r="H82" s="73"/>
      <c r="I82" s="18" t="str">
        <f t="shared" si="6"/>
        <v/>
      </c>
      <c r="J82" s="45"/>
      <c r="K82" s="45"/>
    </row>
    <row r="83" spans="1:11">
      <c r="A83" s="10" t="str">
        <f t="shared" si="7"/>
        <v/>
      </c>
      <c r="B83" s="45"/>
      <c r="C83" s="11" t="str">
        <f t="shared" si="4"/>
        <v/>
      </c>
      <c r="D83" s="11" t="str">
        <f t="shared" si="5"/>
        <v/>
      </c>
      <c r="E83" s="45"/>
      <c r="F83" s="11" t="str">
        <f>IFERROR(VLOOKUP(E83,Category!$D$2:$E$600,2,FALSE),"")</f>
        <v/>
      </c>
      <c r="G83" s="45"/>
      <c r="H83" s="73"/>
      <c r="I83" s="18" t="str">
        <f t="shared" si="6"/>
        <v/>
      </c>
      <c r="J83" s="45"/>
      <c r="K83" s="45"/>
    </row>
    <row r="84" spans="1:11">
      <c r="A84" s="10" t="str">
        <f t="shared" si="7"/>
        <v/>
      </c>
      <c r="B84" s="45"/>
      <c r="C84" s="11" t="str">
        <f t="shared" si="4"/>
        <v/>
      </c>
      <c r="D84" s="11" t="str">
        <f t="shared" si="5"/>
        <v/>
      </c>
      <c r="E84" s="45"/>
      <c r="F84" s="11" t="str">
        <f>IFERROR(VLOOKUP(E84,Category!$D$2:$E$600,2,FALSE),"")</f>
        <v/>
      </c>
      <c r="G84" s="45"/>
      <c r="H84" s="73"/>
      <c r="I84" s="18" t="str">
        <f t="shared" si="6"/>
        <v/>
      </c>
      <c r="J84" s="45"/>
      <c r="K84" s="45"/>
    </row>
    <row r="85" spans="1:11">
      <c r="A85" s="10" t="str">
        <f t="shared" si="7"/>
        <v/>
      </c>
      <c r="B85" s="45"/>
      <c r="C85" s="11" t="str">
        <f t="shared" si="4"/>
        <v/>
      </c>
      <c r="D85" s="11" t="str">
        <f t="shared" si="5"/>
        <v/>
      </c>
      <c r="E85" s="45"/>
      <c r="F85" s="11" t="str">
        <f>IFERROR(VLOOKUP(E85,Category!$D$2:$E$600,2,FALSE),"")</f>
        <v/>
      </c>
      <c r="G85" s="45"/>
      <c r="H85" s="73"/>
      <c r="I85" s="18" t="str">
        <f t="shared" si="6"/>
        <v/>
      </c>
      <c r="J85" s="45"/>
      <c r="K85" s="45"/>
    </row>
    <row r="86" spans="1:11">
      <c r="A86" s="10" t="str">
        <f t="shared" si="7"/>
        <v/>
      </c>
      <c r="B86" s="45"/>
      <c r="C86" s="11" t="str">
        <f t="shared" si="4"/>
        <v/>
      </c>
      <c r="D86" s="11" t="str">
        <f t="shared" si="5"/>
        <v/>
      </c>
      <c r="E86" s="45"/>
      <c r="F86" s="11" t="str">
        <f>IFERROR(VLOOKUP(E86,Category!$D$2:$E$600,2,FALSE),"")</f>
        <v/>
      </c>
      <c r="G86" s="45"/>
      <c r="H86" s="73"/>
      <c r="I86" s="18" t="str">
        <f t="shared" si="6"/>
        <v/>
      </c>
      <c r="J86" s="45"/>
      <c r="K86" s="45"/>
    </row>
    <row r="87" spans="1:11">
      <c r="A87" s="10" t="str">
        <f t="shared" si="7"/>
        <v/>
      </c>
      <c r="B87" s="45"/>
      <c r="C87" s="11" t="str">
        <f t="shared" si="4"/>
        <v/>
      </c>
      <c r="D87" s="11" t="str">
        <f t="shared" si="5"/>
        <v/>
      </c>
      <c r="E87" s="45"/>
      <c r="F87" s="11" t="str">
        <f>IFERROR(VLOOKUP(E87,Category!$D$2:$E$600,2,FALSE),"")</f>
        <v/>
      </c>
      <c r="G87" s="45"/>
      <c r="H87" s="73"/>
      <c r="I87" s="18" t="str">
        <f t="shared" si="6"/>
        <v/>
      </c>
      <c r="J87" s="45"/>
      <c r="K87" s="45"/>
    </row>
    <row r="88" spans="1:11">
      <c r="A88" s="10" t="str">
        <f t="shared" si="7"/>
        <v/>
      </c>
      <c r="B88" s="45"/>
      <c r="C88" s="11" t="str">
        <f t="shared" si="4"/>
        <v/>
      </c>
      <c r="D88" s="11" t="str">
        <f t="shared" si="5"/>
        <v/>
      </c>
      <c r="E88" s="45"/>
      <c r="F88" s="11" t="str">
        <f>IFERROR(VLOOKUP(E88,Category!$D$2:$E$600,2,FALSE),"")</f>
        <v/>
      </c>
      <c r="G88" s="45"/>
      <c r="H88" s="73"/>
      <c r="I88" s="18" t="str">
        <f t="shared" si="6"/>
        <v/>
      </c>
      <c r="J88" s="45"/>
      <c r="K88" s="45"/>
    </row>
    <row r="89" spans="1:11">
      <c r="A89" s="10" t="str">
        <f t="shared" si="7"/>
        <v/>
      </c>
      <c r="B89" s="45"/>
      <c r="C89" s="11" t="str">
        <f t="shared" si="4"/>
        <v/>
      </c>
      <c r="D89" s="11" t="str">
        <f t="shared" si="5"/>
        <v/>
      </c>
      <c r="E89" s="45"/>
      <c r="F89" s="11" t="str">
        <f>IFERROR(VLOOKUP(E89,Category!$D$2:$E$600,2,FALSE),"")</f>
        <v/>
      </c>
      <c r="G89" s="45"/>
      <c r="H89" s="73"/>
      <c r="I89" s="18" t="str">
        <f t="shared" si="6"/>
        <v/>
      </c>
      <c r="J89" s="45"/>
      <c r="K89" s="45"/>
    </row>
    <row r="90" spans="1:11">
      <c r="A90" s="10" t="str">
        <f t="shared" si="7"/>
        <v/>
      </c>
      <c r="B90" s="45"/>
      <c r="C90" s="11" t="str">
        <f t="shared" si="4"/>
        <v/>
      </c>
      <c r="D90" s="11" t="str">
        <f t="shared" si="5"/>
        <v/>
      </c>
      <c r="E90" s="45"/>
      <c r="F90" s="11" t="str">
        <f>IFERROR(VLOOKUP(E90,Category!$D$2:$E$600,2,FALSE),"")</f>
        <v/>
      </c>
      <c r="G90" s="45"/>
      <c r="H90" s="73"/>
      <c r="I90" s="18" t="str">
        <f t="shared" si="6"/>
        <v/>
      </c>
      <c r="J90" s="45"/>
      <c r="K90" s="45"/>
    </row>
    <row r="91" spans="1:11">
      <c r="A91" s="10" t="str">
        <f t="shared" si="7"/>
        <v/>
      </c>
      <c r="B91" s="45"/>
      <c r="C91" s="11" t="str">
        <f t="shared" si="4"/>
        <v/>
      </c>
      <c r="D91" s="11" t="str">
        <f t="shared" si="5"/>
        <v/>
      </c>
      <c r="E91" s="45"/>
      <c r="F91" s="11" t="str">
        <f>IFERROR(VLOOKUP(E91,Category!$D$2:$E$600,2,FALSE),"")</f>
        <v/>
      </c>
      <c r="G91" s="45"/>
      <c r="H91" s="73"/>
      <c r="I91" s="18" t="str">
        <f t="shared" si="6"/>
        <v/>
      </c>
      <c r="J91" s="45"/>
      <c r="K91" s="45"/>
    </row>
    <row r="92" spans="1:11">
      <c r="A92" s="10" t="str">
        <f t="shared" si="7"/>
        <v/>
      </c>
      <c r="B92" s="45"/>
      <c r="C92" s="11" t="str">
        <f t="shared" si="4"/>
        <v/>
      </c>
      <c r="D92" s="11" t="str">
        <f t="shared" si="5"/>
        <v/>
      </c>
      <c r="E92" s="45"/>
      <c r="F92" s="11" t="str">
        <f>IFERROR(VLOOKUP(E92,Category!$D$2:$E$600,2,FALSE),"")</f>
        <v/>
      </c>
      <c r="G92" s="45"/>
      <c r="H92" s="73"/>
      <c r="I92" s="18" t="str">
        <f t="shared" si="6"/>
        <v/>
      </c>
      <c r="J92" s="45"/>
      <c r="K92" s="45"/>
    </row>
    <row r="93" spans="1:11">
      <c r="A93" s="10" t="str">
        <f t="shared" si="7"/>
        <v/>
      </c>
      <c r="B93" s="45"/>
      <c r="C93" s="11" t="str">
        <f t="shared" si="4"/>
        <v/>
      </c>
      <c r="D93" s="11" t="str">
        <f t="shared" si="5"/>
        <v/>
      </c>
      <c r="E93" s="45"/>
      <c r="F93" s="11" t="str">
        <f>IFERROR(VLOOKUP(E93,Category!$D$2:$E$600,2,FALSE),"")</f>
        <v/>
      </c>
      <c r="G93" s="45"/>
      <c r="H93" s="73"/>
      <c r="I93" s="18" t="str">
        <f t="shared" si="6"/>
        <v/>
      </c>
      <c r="J93" s="45"/>
      <c r="K93" s="45"/>
    </row>
    <row r="94" spans="1:11">
      <c r="A94" s="10" t="str">
        <f t="shared" si="7"/>
        <v/>
      </c>
      <c r="B94" s="45"/>
      <c r="C94" s="11" t="str">
        <f t="shared" si="4"/>
        <v/>
      </c>
      <c r="D94" s="11" t="str">
        <f t="shared" si="5"/>
        <v/>
      </c>
      <c r="E94" s="45"/>
      <c r="F94" s="11" t="str">
        <f>IFERROR(VLOOKUP(E94,Category!$D$2:$E$600,2,FALSE),"")</f>
        <v/>
      </c>
      <c r="G94" s="45"/>
      <c r="H94" s="73"/>
      <c r="I94" s="18" t="str">
        <f t="shared" si="6"/>
        <v/>
      </c>
      <c r="J94" s="45"/>
      <c r="K94" s="45"/>
    </row>
    <row r="95" spans="1:11">
      <c r="A95" s="10" t="str">
        <f t="shared" si="7"/>
        <v/>
      </c>
      <c r="B95" s="45"/>
      <c r="C95" s="11" t="str">
        <f t="shared" si="4"/>
        <v/>
      </c>
      <c r="D95" s="11" t="str">
        <f t="shared" si="5"/>
        <v/>
      </c>
      <c r="E95" s="45"/>
      <c r="F95" s="11" t="str">
        <f>IFERROR(VLOOKUP(E95,Category!$D$2:$E$600,2,FALSE),"")</f>
        <v/>
      </c>
      <c r="G95" s="45"/>
      <c r="H95" s="73"/>
      <c r="I95" s="18" t="str">
        <f t="shared" si="6"/>
        <v/>
      </c>
      <c r="J95" s="45"/>
      <c r="K95" s="45"/>
    </row>
    <row r="96" spans="1:11">
      <c r="A96" s="10" t="str">
        <f t="shared" si="7"/>
        <v/>
      </c>
      <c r="B96" s="45"/>
      <c r="C96" s="11" t="str">
        <f t="shared" si="4"/>
        <v/>
      </c>
      <c r="D96" s="11" t="str">
        <f t="shared" si="5"/>
        <v/>
      </c>
      <c r="E96" s="45"/>
      <c r="F96" s="11" t="str">
        <f>IFERROR(VLOOKUP(E96,Category!$D$2:$E$600,2,FALSE),"")</f>
        <v/>
      </c>
      <c r="G96" s="45"/>
      <c r="H96" s="73"/>
      <c r="I96" s="18" t="str">
        <f t="shared" si="6"/>
        <v/>
      </c>
      <c r="J96" s="45"/>
      <c r="K96" s="45"/>
    </row>
    <row r="97" spans="1:11">
      <c r="A97" s="10" t="str">
        <f t="shared" si="7"/>
        <v/>
      </c>
      <c r="B97" s="45"/>
      <c r="C97" s="11" t="str">
        <f t="shared" si="4"/>
        <v/>
      </c>
      <c r="D97" s="11" t="str">
        <f t="shared" si="5"/>
        <v/>
      </c>
      <c r="E97" s="45"/>
      <c r="F97" s="11" t="str">
        <f>IFERROR(VLOOKUP(E97,Category!$D$2:$E$600,2,FALSE),"")</f>
        <v/>
      </c>
      <c r="G97" s="45"/>
      <c r="H97" s="73"/>
      <c r="I97" s="18" t="str">
        <f t="shared" si="6"/>
        <v/>
      </c>
      <c r="J97" s="45"/>
      <c r="K97" s="45"/>
    </row>
    <row r="98" spans="1:11">
      <c r="A98" s="10" t="str">
        <f t="shared" si="7"/>
        <v/>
      </c>
      <c r="B98" s="45"/>
      <c r="C98" s="11" t="str">
        <f t="shared" si="4"/>
        <v/>
      </c>
      <c r="D98" s="11" t="str">
        <f t="shared" si="5"/>
        <v/>
      </c>
      <c r="E98" s="45"/>
      <c r="F98" s="11" t="str">
        <f>IFERROR(VLOOKUP(E98,Category!$D$2:$E$600,2,FALSE),"")</f>
        <v/>
      </c>
      <c r="G98" s="45"/>
      <c r="H98" s="73"/>
      <c r="I98" s="18" t="str">
        <f t="shared" si="6"/>
        <v/>
      </c>
      <c r="J98" s="45"/>
      <c r="K98" s="45"/>
    </row>
    <row r="99" spans="1:11">
      <c r="A99" s="10" t="str">
        <f t="shared" si="7"/>
        <v/>
      </c>
      <c r="B99" s="45"/>
      <c r="C99" s="11" t="str">
        <f t="shared" si="4"/>
        <v/>
      </c>
      <c r="D99" s="11" t="str">
        <f t="shared" si="5"/>
        <v/>
      </c>
      <c r="E99" s="45"/>
      <c r="F99" s="11" t="str">
        <f>IFERROR(VLOOKUP(E99,Category!$D$2:$E$600,2,FALSE),"")</f>
        <v/>
      </c>
      <c r="G99" s="45"/>
      <c r="H99" s="73"/>
      <c r="I99" s="18" t="str">
        <f t="shared" si="6"/>
        <v/>
      </c>
      <c r="J99" s="45"/>
      <c r="K99" s="45"/>
    </row>
    <row r="100" spans="1:11">
      <c r="A100" s="10" t="str">
        <f t="shared" si="7"/>
        <v/>
      </c>
      <c r="B100" s="45"/>
      <c r="C100" s="11" t="str">
        <f t="shared" si="4"/>
        <v/>
      </c>
      <c r="D100" s="11" t="str">
        <f t="shared" si="5"/>
        <v/>
      </c>
      <c r="E100" s="45"/>
      <c r="F100" s="11" t="str">
        <f>IFERROR(VLOOKUP(E100,Category!$D$2:$E$600,2,FALSE),"")</f>
        <v/>
      </c>
      <c r="G100" s="45"/>
      <c r="H100" s="73"/>
      <c r="I100" s="18" t="str">
        <f t="shared" si="6"/>
        <v/>
      </c>
      <c r="J100" s="45"/>
      <c r="K100" s="45"/>
    </row>
    <row r="101" spans="1:11">
      <c r="A101" s="10" t="str">
        <f t="shared" si="7"/>
        <v/>
      </c>
      <c r="B101" s="45"/>
      <c r="C101" s="11" t="str">
        <f t="shared" si="4"/>
        <v/>
      </c>
      <c r="D101" s="11" t="str">
        <f t="shared" si="5"/>
        <v/>
      </c>
      <c r="E101" s="45"/>
      <c r="F101" s="11" t="str">
        <f>IFERROR(VLOOKUP(E101,Category!$D$2:$E$600,2,FALSE),"")</f>
        <v/>
      </c>
      <c r="G101" s="45"/>
      <c r="H101" s="73"/>
      <c r="I101" s="18" t="str">
        <f t="shared" si="6"/>
        <v/>
      </c>
      <c r="J101" s="45"/>
      <c r="K101" s="45"/>
    </row>
    <row r="102" spans="1:11">
      <c r="A102" s="10" t="str">
        <f t="shared" si="7"/>
        <v/>
      </c>
      <c r="B102" s="45"/>
      <c r="C102" s="11" t="str">
        <f t="shared" si="4"/>
        <v/>
      </c>
      <c r="D102" s="11" t="str">
        <f t="shared" si="5"/>
        <v/>
      </c>
      <c r="E102" s="45"/>
      <c r="F102" s="11" t="str">
        <f>IFERROR(VLOOKUP(E102,Category!$D$2:$E$600,2,FALSE),"")</f>
        <v/>
      </c>
      <c r="G102" s="45"/>
      <c r="H102" s="73"/>
      <c r="I102" s="18" t="str">
        <f t="shared" si="6"/>
        <v/>
      </c>
      <c r="J102" s="45"/>
      <c r="K102" s="45"/>
    </row>
    <row r="103" spans="1:11">
      <c r="A103" s="10" t="str">
        <f t="shared" si="7"/>
        <v/>
      </c>
      <c r="B103" s="45"/>
      <c r="C103" s="11" t="str">
        <f t="shared" si="4"/>
        <v/>
      </c>
      <c r="D103" s="11" t="str">
        <f t="shared" si="5"/>
        <v/>
      </c>
      <c r="E103" s="45"/>
      <c r="F103" s="11" t="str">
        <f>IFERROR(VLOOKUP(E103,Category!$D$2:$E$600,2,FALSE),"")</f>
        <v/>
      </c>
      <c r="G103" s="45"/>
      <c r="H103" s="73"/>
      <c r="I103" s="18" t="str">
        <f t="shared" si="6"/>
        <v/>
      </c>
      <c r="J103" s="45"/>
      <c r="K103" s="45"/>
    </row>
    <row r="104" spans="1:11">
      <c r="A104" s="10" t="str">
        <f t="shared" si="7"/>
        <v/>
      </c>
      <c r="B104" s="45"/>
      <c r="C104" s="11" t="str">
        <f t="shared" si="4"/>
        <v/>
      </c>
      <c r="D104" s="11" t="str">
        <f t="shared" si="5"/>
        <v/>
      </c>
      <c r="E104" s="45"/>
      <c r="F104" s="11" t="str">
        <f>IFERROR(VLOOKUP(E104,Category!$D$2:$E$600,2,FALSE),"")</f>
        <v/>
      </c>
      <c r="G104" s="45"/>
      <c r="H104" s="73"/>
      <c r="I104" s="18" t="str">
        <f t="shared" si="6"/>
        <v/>
      </c>
      <c r="J104" s="45"/>
      <c r="K104" s="45"/>
    </row>
    <row r="105" spans="1:11">
      <c r="A105" s="10" t="str">
        <f t="shared" si="7"/>
        <v/>
      </c>
      <c r="B105" s="45"/>
      <c r="C105" s="11" t="str">
        <f t="shared" si="4"/>
        <v/>
      </c>
      <c r="D105" s="11" t="str">
        <f t="shared" si="5"/>
        <v/>
      </c>
      <c r="E105" s="45"/>
      <c r="F105" s="11" t="str">
        <f>IFERROR(VLOOKUP(E105,Category!$D$2:$E$600,2,FALSE),"")</f>
        <v/>
      </c>
      <c r="G105" s="45"/>
      <c r="H105" s="73"/>
      <c r="I105" s="18" t="str">
        <f t="shared" si="6"/>
        <v/>
      </c>
      <c r="J105" s="45"/>
      <c r="K105" s="45"/>
    </row>
    <row r="106" spans="1:11">
      <c r="A106" s="10" t="str">
        <f t="shared" si="7"/>
        <v/>
      </c>
      <c r="B106" s="45"/>
      <c r="C106" s="11" t="str">
        <f t="shared" si="4"/>
        <v/>
      </c>
      <c r="D106" s="11" t="str">
        <f t="shared" si="5"/>
        <v/>
      </c>
      <c r="E106" s="45"/>
      <c r="F106" s="11" t="str">
        <f>IFERROR(VLOOKUP(E106,Category!$D$2:$E$600,2,FALSE),"")</f>
        <v/>
      </c>
      <c r="G106" s="45"/>
      <c r="H106" s="73"/>
      <c r="I106" s="18" t="str">
        <f t="shared" si="6"/>
        <v/>
      </c>
      <c r="J106" s="45"/>
      <c r="K106" s="45"/>
    </row>
    <row r="107" spans="1:11">
      <c r="A107" s="10" t="str">
        <f t="shared" si="7"/>
        <v/>
      </c>
      <c r="B107" s="45"/>
      <c r="C107" s="11" t="str">
        <f t="shared" si="4"/>
        <v/>
      </c>
      <c r="D107" s="11" t="str">
        <f t="shared" si="5"/>
        <v/>
      </c>
      <c r="E107" s="45"/>
      <c r="F107" s="11" t="str">
        <f>IFERROR(VLOOKUP(E107,Category!$D$2:$E$600,2,FALSE),"")</f>
        <v/>
      </c>
      <c r="G107" s="45"/>
      <c r="H107" s="73"/>
      <c r="I107" s="18" t="str">
        <f t="shared" si="6"/>
        <v/>
      </c>
      <c r="J107" s="45"/>
      <c r="K107" s="45"/>
    </row>
    <row r="108" spans="1:11">
      <c r="A108" s="10" t="str">
        <f t="shared" si="7"/>
        <v/>
      </c>
      <c r="B108" s="45"/>
      <c r="C108" s="11" t="str">
        <f t="shared" si="4"/>
        <v/>
      </c>
      <c r="D108" s="11" t="str">
        <f t="shared" si="5"/>
        <v/>
      </c>
      <c r="E108" s="45"/>
      <c r="F108" s="11" t="str">
        <f>IFERROR(VLOOKUP(E108,Category!$D$2:$E$600,2,FALSE),"")</f>
        <v/>
      </c>
      <c r="G108" s="45"/>
      <c r="H108" s="73"/>
      <c r="I108" s="18" t="str">
        <f t="shared" si="6"/>
        <v/>
      </c>
      <c r="J108" s="45"/>
      <c r="K108" s="45"/>
    </row>
    <row r="109" spans="1:11">
      <c r="A109" s="10" t="str">
        <f t="shared" si="7"/>
        <v/>
      </c>
      <c r="B109" s="45"/>
      <c r="C109" s="11" t="str">
        <f t="shared" si="4"/>
        <v/>
      </c>
      <c r="D109" s="11" t="str">
        <f t="shared" si="5"/>
        <v/>
      </c>
      <c r="E109" s="45"/>
      <c r="F109" s="11" t="str">
        <f>IFERROR(VLOOKUP(E109,Category!$D$2:$E$600,2,FALSE),"")</f>
        <v/>
      </c>
      <c r="G109" s="45"/>
      <c r="H109" s="73"/>
      <c r="I109" s="18" t="str">
        <f t="shared" si="6"/>
        <v/>
      </c>
      <c r="J109" s="45"/>
      <c r="K109" s="45"/>
    </row>
    <row r="110" spans="1:11">
      <c r="A110" s="10" t="str">
        <f t="shared" si="7"/>
        <v/>
      </c>
      <c r="B110" s="45"/>
      <c r="C110" s="11" t="str">
        <f t="shared" si="4"/>
        <v/>
      </c>
      <c r="D110" s="11" t="str">
        <f t="shared" si="5"/>
        <v/>
      </c>
      <c r="E110" s="45"/>
      <c r="F110" s="11" t="str">
        <f>IFERROR(VLOOKUP(E110,Category!$D$2:$E$600,2,FALSE),"")</f>
        <v/>
      </c>
      <c r="G110" s="45"/>
      <c r="H110" s="73"/>
      <c r="I110" s="18" t="str">
        <f t="shared" si="6"/>
        <v/>
      </c>
      <c r="J110" s="45"/>
      <c r="K110" s="45"/>
    </row>
    <row r="111" spans="1:11">
      <c r="A111" s="10" t="str">
        <f t="shared" si="7"/>
        <v/>
      </c>
      <c r="B111" s="45"/>
      <c r="C111" s="11" t="str">
        <f t="shared" si="4"/>
        <v/>
      </c>
      <c r="D111" s="11" t="str">
        <f t="shared" si="5"/>
        <v/>
      </c>
      <c r="E111" s="45"/>
      <c r="F111" s="11" t="str">
        <f>IFERROR(VLOOKUP(E111,Category!$D$2:$E$600,2,FALSE),"")</f>
        <v/>
      </c>
      <c r="G111" s="45"/>
      <c r="H111" s="73"/>
      <c r="I111" s="18" t="str">
        <f t="shared" si="6"/>
        <v/>
      </c>
      <c r="J111" s="45"/>
      <c r="K111" s="45"/>
    </row>
    <row r="112" spans="1:11">
      <c r="A112" s="10" t="str">
        <f t="shared" si="7"/>
        <v/>
      </c>
      <c r="B112" s="45"/>
      <c r="C112" s="11" t="str">
        <f t="shared" si="4"/>
        <v/>
      </c>
      <c r="D112" s="11" t="str">
        <f t="shared" si="5"/>
        <v/>
      </c>
      <c r="E112" s="45"/>
      <c r="F112" s="11" t="str">
        <f>IFERROR(VLOOKUP(E112,Category!$D$2:$E$600,2,FALSE),"")</f>
        <v/>
      </c>
      <c r="G112" s="45"/>
      <c r="H112" s="73"/>
      <c r="I112" s="18" t="str">
        <f t="shared" si="6"/>
        <v/>
      </c>
      <c r="J112" s="45"/>
      <c r="K112" s="45"/>
    </row>
    <row r="113" spans="1:11">
      <c r="A113" s="10" t="str">
        <f t="shared" si="7"/>
        <v/>
      </c>
      <c r="B113" s="45"/>
      <c r="C113" s="11" t="str">
        <f t="shared" si="4"/>
        <v/>
      </c>
      <c r="D113" s="11" t="str">
        <f t="shared" si="5"/>
        <v/>
      </c>
      <c r="E113" s="45"/>
      <c r="F113" s="11" t="str">
        <f>IFERROR(VLOOKUP(E113,Category!$D$2:$E$600,2,FALSE),"")</f>
        <v/>
      </c>
      <c r="G113" s="45"/>
      <c r="H113" s="73"/>
      <c r="I113" s="18" t="str">
        <f t="shared" si="6"/>
        <v/>
      </c>
      <c r="J113" s="45"/>
      <c r="K113" s="45"/>
    </row>
    <row r="114" spans="1:11">
      <c r="A114" s="10" t="str">
        <f t="shared" si="7"/>
        <v/>
      </c>
      <c r="B114" s="45"/>
      <c r="C114" s="11" t="str">
        <f t="shared" si="4"/>
        <v/>
      </c>
      <c r="D114" s="11" t="str">
        <f t="shared" si="5"/>
        <v/>
      </c>
      <c r="E114" s="45"/>
      <c r="F114" s="11" t="str">
        <f>IFERROR(VLOOKUP(E114,Category!$D$2:$E$600,2,FALSE),"")</f>
        <v/>
      </c>
      <c r="G114" s="45"/>
      <c r="H114" s="73"/>
      <c r="I114" s="18" t="str">
        <f t="shared" si="6"/>
        <v/>
      </c>
      <c r="J114" s="45"/>
      <c r="K114" s="45"/>
    </row>
    <row r="115" spans="1:11">
      <c r="A115" s="10" t="str">
        <f t="shared" si="7"/>
        <v/>
      </c>
      <c r="B115" s="45"/>
      <c r="C115" s="11" t="str">
        <f t="shared" si="4"/>
        <v/>
      </c>
      <c r="D115" s="11" t="str">
        <f t="shared" si="5"/>
        <v/>
      </c>
      <c r="E115" s="45"/>
      <c r="F115" s="11" t="str">
        <f>IFERROR(VLOOKUP(E115,Category!$D$2:$E$600,2,FALSE),"")</f>
        <v/>
      </c>
      <c r="G115" s="45"/>
      <c r="H115" s="73"/>
      <c r="I115" s="18" t="str">
        <f t="shared" si="6"/>
        <v/>
      </c>
      <c r="J115" s="45"/>
      <c r="K115" s="45"/>
    </row>
    <row r="116" spans="1:11">
      <c r="A116" s="10" t="str">
        <f t="shared" si="7"/>
        <v/>
      </c>
      <c r="B116" s="45"/>
      <c r="C116" s="11" t="str">
        <f t="shared" si="4"/>
        <v/>
      </c>
      <c r="D116" s="11" t="str">
        <f t="shared" si="5"/>
        <v/>
      </c>
      <c r="E116" s="45"/>
      <c r="F116" s="11" t="str">
        <f>IFERROR(VLOOKUP(E116,Category!$D$2:$E$600,2,FALSE),"")</f>
        <v/>
      </c>
      <c r="G116" s="45"/>
      <c r="H116" s="73"/>
      <c r="I116" s="18" t="str">
        <f t="shared" si="6"/>
        <v/>
      </c>
      <c r="J116" s="45"/>
      <c r="K116" s="45"/>
    </row>
    <row r="117" spans="1:11">
      <c r="A117" s="10" t="str">
        <f t="shared" si="7"/>
        <v/>
      </c>
      <c r="B117" s="45"/>
      <c r="C117" s="11" t="str">
        <f t="shared" si="4"/>
        <v/>
      </c>
      <c r="D117" s="11" t="str">
        <f t="shared" si="5"/>
        <v/>
      </c>
      <c r="E117" s="45"/>
      <c r="F117" s="11" t="str">
        <f>IFERROR(VLOOKUP(E117,Category!$D$2:$E$600,2,FALSE),"")</f>
        <v/>
      </c>
      <c r="G117" s="45"/>
      <c r="H117" s="73"/>
      <c r="I117" s="18" t="str">
        <f t="shared" si="6"/>
        <v/>
      </c>
      <c r="J117" s="45"/>
      <c r="K117" s="45"/>
    </row>
    <row r="118" spans="1:11">
      <c r="A118" s="10" t="str">
        <f t="shared" si="7"/>
        <v/>
      </c>
      <c r="B118" s="45"/>
      <c r="C118" s="11" t="str">
        <f t="shared" si="4"/>
        <v/>
      </c>
      <c r="D118" s="11" t="str">
        <f t="shared" si="5"/>
        <v/>
      </c>
      <c r="E118" s="45"/>
      <c r="F118" s="11" t="str">
        <f>IFERROR(VLOOKUP(E118,Category!$D$2:$E$600,2,FALSE),"")</f>
        <v/>
      </c>
      <c r="G118" s="45"/>
      <c r="H118" s="73"/>
      <c r="I118" s="18" t="str">
        <f t="shared" si="6"/>
        <v/>
      </c>
      <c r="J118" s="45"/>
      <c r="K118" s="45"/>
    </row>
    <row r="119" spans="1:11">
      <c r="A119" s="10" t="str">
        <f t="shared" si="7"/>
        <v/>
      </c>
      <c r="B119" s="45"/>
      <c r="C119" s="11" t="str">
        <f t="shared" si="4"/>
        <v/>
      </c>
      <c r="D119" s="11" t="str">
        <f t="shared" si="5"/>
        <v/>
      </c>
      <c r="E119" s="45"/>
      <c r="F119" s="11" t="str">
        <f>IFERROR(VLOOKUP(E119,Category!$D$2:$E$600,2,FALSE),"")</f>
        <v/>
      </c>
      <c r="G119" s="45"/>
      <c r="H119" s="73"/>
      <c r="I119" s="18" t="str">
        <f t="shared" si="6"/>
        <v/>
      </c>
      <c r="J119" s="45"/>
      <c r="K119" s="45"/>
    </row>
    <row r="120" spans="1:11">
      <c r="A120" s="10" t="str">
        <f t="shared" si="7"/>
        <v/>
      </c>
      <c r="B120" s="45"/>
      <c r="C120" s="11" t="str">
        <f t="shared" si="4"/>
        <v/>
      </c>
      <c r="D120" s="11" t="str">
        <f t="shared" si="5"/>
        <v/>
      </c>
      <c r="E120" s="45"/>
      <c r="F120" s="11" t="str">
        <f>IFERROR(VLOOKUP(E120,Category!$D$2:$E$600,2,FALSE),"")</f>
        <v/>
      </c>
      <c r="G120" s="45"/>
      <c r="H120" s="73"/>
      <c r="I120" s="18" t="str">
        <f t="shared" si="6"/>
        <v/>
      </c>
      <c r="J120" s="45"/>
      <c r="K120" s="45"/>
    </row>
    <row r="121" spans="1:11">
      <c r="A121" s="10" t="str">
        <f t="shared" si="7"/>
        <v/>
      </c>
      <c r="B121" s="45"/>
      <c r="C121" s="11" t="str">
        <f t="shared" si="4"/>
        <v/>
      </c>
      <c r="D121" s="11" t="str">
        <f t="shared" si="5"/>
        <v/>
      </c>
      <c r="E121" s="45"/>
      <c r="F121" s="11" t="str">
        <f>IFERROR(VLOOKUP(E121,Category!$D$2:$E$600,2,FALSE),"")</f>
        <v/>
      </c>
      <c r="G121" s="45"/>
      <c r="H121" s="73"/>
      <c r="I121" s="18" t="str">
        <f t="shared" si="6"/>
        <v/>
      </c>
      <c r="J121" s="45"/>
      <c r="K121" s="45"/>
    </row>
    <row r="122" spans="1:11">
      <c r="A122" s="10" t="str">
        <f t="shared" si="7"/>
        <v/>
      </c>
      <c r="B122" s="45"/>
      <c r="C122" s="11" t="str">
        <f t="shared" si="4"/>
        <v/>
      </c>
      <c r="D122" s="11" t="str">
        <f t="shared" si="5"/>
        <v/>
      </c>
      <c r="E122" s="45"/>
      <c r="F122" s="11" t="str">
        <f>IFERROR(VLOOKUP(E122,Category!$D$2:$E$600,2,FALSE),"")</f>
        <v/>
      </c>
      <c r="G122" s="45"/>
      <c r="H122" s="73"/>
      <c r="I122" s="18" t="str">
        <f t="shared" si="6"/>
        <v/>
      </c>
      <c r="J122" s="45"/>
      <c r="K122" s="45"/>
    </row>
    <row r="123" spans="1:11">
      <c r="A123" s="10" t="str">
        <f t="shared" si="7"/>
        <v/>
      </c>
      <c r="B123" s="45"/>
      <c r="C123" s="11" t="str">
        <f t="shared" si="4"/>
        <v/>
      </c>
      <c r="D123" s="11" t="str">
        <f t="shared" si="5"/>
        <v/>
      </c>
      <c r="E123" s="45"/>
      <c r="F123" s="11" t="str">
        <f>IFERROR(VLOOKUP(E123,Category!$D$2:$E$600,2,FALSE),"")</f>
        <v/>
      </c>
      <c r="G123" s="45"/>
      <c r="H123" s="73"/>
      <c r="I123" s="18" t="str">
        <f t="shared" si="6"/>
        <v/>
      </c>
      <c r="J123" s="45"/>
      <c r="K123" s="45"/>
    </row>
    <row r="124" spans="1:11">
      <c r="A124" s="10" t="str">
        <f t="shared" si="7"/>
        <v/>
      </c>
      <c r="B124" s="45"/>
      <c r="C124" s="11" t="str">
        <f t="shared" si="4"/>
        <v/>
      </c>
      <c r="D124" s="11" t="str">
        <f t="shared" si="5"/>
        <v/>
      </c>
      <c r="E124" s="45"/>
      <c r="F124" s="11" t="str">
        <f>IFERROR(VLOOKUP(E124,Category!$D$2:$E$600,2,FALSE),"")</f>
        <v/>
      </c>
      <c r="G124" s="45"/>
      <c r="H124" s="73"/>
      <c r="I124" s="18" t="str">
        <f t="shared" si="6"/>
        <v/>
      </c>
      <c r="J124" s="45"/>
      <c r="K124" s="45"/>
    </row>
    <row r="125" spans="1:11">
      <c r="A125" s="10" t="str">
        <f t="shared" si="7"/>
        <v/>
      </c>
      <c r="B125" s="45"/>
      <c r="C125" s="11" t="str">
        <f t="shared" si="4"/>
        <v/>
      </c>
      <c r="D125" s="11" t="str">
        <f t="shared" si="5"/>
        <v/>
      </c>
      <c r="E125" s="45"/>
      <c r="F125" s="11" t="str">
        <f>IFERROR(VLOOKUP(E125,Category!$D$2:$E$600,2,FALSE),"")</f>
        <v/>
      </c>
      <c r="G125" s="45"/>
      <c r="H125" s="73"/>
      <c r="I125" s="18" t="str">
        <f t="shared" si="6"/>
        <v/>
      </c>
      <c r="J125" s="45"/>
      <c r="K125" s="45"/>
    </row>
    <row r="126" spans="1:11">
      <c r="A126" s="10" t="str">
        <f t="shared" si="7"/>
        <v/>
      </c>
      <c r="B126" s="45"/>
      <c r="C126" s="11" t="str">
        <f t="shared" si="4"/>
        <v/>
      </c>
      <c r="D126" s="11" t="str">
        <f t="shared" si="5"/>
        <v/>
      </c>
      <c r="E126" s="45"/>
      <c r="F126" s="11" t="str">
        <f>IFERROR(VLOOKUP(E126,Category!$D$2:$E$600,2,FALSE),"")</f>
        <v/>
      </c>
      <c r="G126" s="45"/>
      <c r="H126" s="73"/>
      <c r="I126" s="18" t="str">
        <f t="shared" si="6"/>
        <v/>
      </c>
      <c r="J126" s="45"/>
      <c r="K126" s="45"/>
    </row>
    <row r="127" spans="1:11">
      <c r="A127" s="10" t="str">
        <f t="shared" si="7"/>
        <v/>
      </c>
      <c r="B127" s="45"/>
      <c r="C127" s="11" t="str">
        <f t="shared" si="4"/>
        <v/>
      </c>
      <c r="D127" s="11" t="str">
        <f t="shared" si="5"/>
        <v/>
      </c>
      <c r="E127" s="45"/>
      <c r="F127" s="11" t="str">
        <f>IFERROR(VLOOKUP(E127,Category!$D$2:$E$600,2,FALSE),"")</f>
        <v/>
      </c>
      <c r="G127" s="45"/>
      <c r="H127" s="73"/>
      <c r="I127" s="18" t="str">
        <f t="shared" si="6"/>
        <v/>
      </c>
      <c r="J127" s="45"/>
      <c r="K127" s="45"/>
    </row>
    <row r="128" spans="1:11">
      <c r="A128" s="10" t="str">
        <f t="shared" si="7"/>
        <v/>
      </c>
      <c r="B128" s="45"/>
      <c r="C128" s="11" t="str">
        <f t="shared" si="4"/>
        <v/>
      </c>
      <c r="D128" s="11" t="str">
        <f t="shared" si="5"/>
        <v/>
      </c>
      <c r="E128" s="45"/>
      <c r="F128" s="11" t="str">
        <f>IFERROR(VLOOKUP(E128,Category!$D$2:$E$600,2,FALSE),"")</f>
        <v/>
      </c>
      <c r="G128" s="45"/>
      <c r="H128" s="73"/>
      <c r="I128" s="18" t="str">
        <f t="shared" si="6"/>
        <v/>
      </c>
      <c r="J128" s="45"/>
      <c r="K128" s="45"/>
    </row>
    <row r="129" spans="1:11">
      <c r="A129" s="10" t="str">
        <f t="shared" si="7"/>
        <v/>
      </c>
      <c r="B129" s="45"/>
      <c r="C129" s="11" t="str">
        <f t="shared" si="4"/>
        <v/>
      </c>
      <c r="D129" s="11" t="str">
        <f t="shared" si="5"/>
        <v/>
      </c>
      <c r="E129" s="45"/>
      <c r="F129" s="11" t="str">
        <f>IFERROR(VLOOKUP(E129,Category!$D$2:$E$600,2,FALSE),"")</f>
        <v/>
      </c>
      <c r="G129" s="45"/>
      <c r="H129" s="73"/>
      <c r="I129" s="18" t="str">
        <f t="shared" si="6"/>
        <v/>
      </c>
      <c r="J129" s="45"/>
      <c r="K129" s="45"/>
    </row>
    <row r="130" spans="1:11">
      <c r="A130" s="10" t="str">
        <f t="shared" si="7"/>
        <v/>
      </c>
      <c r="B130" s="45"/>
      <c r="C130" s="11" t="str">
        <f t="shared" si="4"/>
        <v/>
      </c>
      <c r="D130" s="11" t="str">
        <f t="shared" si="5"/>
        <v/>
      </c>
      <c r="E130" s="45"/>
      <c r="F130" s="11" t="str">
        <f>IFERROR(VLOOKUP(E130,Category!$D$2:$E$600,2,FALSE),"")</f>
        <v/>
      </c>
      <c r="G130" s="45"/>
      <c r="H130" s="73"/>
      <c r="I130" s="18" t="str">
        <f t="shared" si="6"/>
        <v/>
      </c>
      <c r="J130" s="45"/>
      <c r="K130" s="45"/>
    </row>
    <row r="131" spans="1:11">
      <c r="A131" s="10" t="str">
        <f t="shared" si="7"/>
        <v/>
      </c>
      <c r="B131" s="45"/>
      <c r="C131" s="11" t="str">
        <f t="shared" ref="C131:C194" si="8">IF(B131=0,"",TEXT(B131,"mmmm"))</f>
        <v/>
      </c>
      <c r="D131" s="11" t="str">
        <f t="shared" ref="D131:D194" si="9">IF(B131=0,"",TEXT(B131,"yyyy"))</f>
        <v/>
      </c>
      <c r="E131" s="45"/>
      <c r="F131" s="11" t="str">
        <f>IFERROR(VLOOKUP(E131,Category!$D$2:$E$600,2,FALSE),"")</f>
        <v/>
      </c>
      <c r="G131" s="45"/>
      <c r="H131" s="73"/>
      <c r="I131" s="18" t="str">
        <f t="shared" ref="I131:I194" si="10">IF(G131*H131=0,"",G131*H131)</f>
        <v/>
      </c>
      <c r="J131" s="45"/>
      <c r="K131" s="45"/>
    </row>
    <row r="132" spans="1:11">
      <c r="A132" s="10" t="str">
        <f t="shared" ref="A132:A195" si="11">IF(E132&gt;0,A131+1,"")</f>
        <v/>
      </c>
      <c r="B132" s="45"/>
      <c r="C132" s="11" t="str">
        <f t="shared" si="8"/>
        <v/>
      </c>
      <c r="D132" s="11" t="str">
        <f t="shared" si="9"/>
        <v/>
      </c>
      <c r="E132" s="45"/>
      <c r="F132" s="11" t="str">
        <f>IFERROR(VLOOKUP(E132,Category!$D$2:$E$600,2,FALSE),"")</f>
        <v/>
      </c>
      <c r="G132" s="45"/>
      <c r="H132" s="73"/>
      <c r="I132" s="18" t="str">
        <f t="shared" si="10"/>
        <v/>
      </c>
      <c r="J132" s="45"/>
      <c r="K132" s="45"/>
    </row>
    <row r="133" spans="1:11">
      <c r="A133" s="10" t="str">
        <f t="shared" si="11"/>
        <v/>
      </c>
      <c r="B133" s="45"/>
      <c r="C133" s="11" t="str">
        <f t="shared" si="8"/>
        <v/>
      </c>
      <c r="D133" s="11" t="str">
        <f t="shared" si="9"/>
        <v/>
      </c>
      <c r="E133" s="45"/>
      <c r="F133" s="11" t="str">
        <f>IFERROR(VLOOKUP(E133,Category!$D$2:$E$600,2,FALSE),"")</f>
        <v/>
      </c>
      <c r="G133" s="45"/>
      <c r="H133" s="73"/>
      <c r="I133" s="18" t="str">
        <f t="shared" si="10"/>
        <v/>
      </c>
      <c r="J133" s="45"/>
      <c r="K133" s="45"/>
    </row>
    <row r="134" spans="1:11">
      <c r="A134" s="10" t="str">
        <f t="shared" si="11"/>
        <v/>
      </c>
      <c r="B134" s="45"/>
      <c r="C134" s="11" t="str">
        <f t="shared" si="8"/>
        <v/>
      </c>
      <c r="D134" s="11" t="str">
        <f t="shared" si="9"/>
        <v/>
      </c>
      <c r="E134" s="45"/>
      <c r="F134" s="11" t="str">
        <f>IFERROR(VLOOKUP(E134,Category!$D$2:$E$600,2,FALSE),"")</f>
        <v/>
      </c>
      <c r="G134" s="45"/>
      <c r="H134" s="73"/>
      <c r="I134" s="18" t="str">
        <f t="shared" si="10"/>
        <v/>
      </c>
      <c r="J134" s="45"/>
      <c r="K134" s="45"/>
    </row>
    <row r="135" spans="1:11">
      <c r="A135" s="10" t="str">
        <f t="shared" si="11"/>
        <v/>
      </c>
      <c r="B135" s="45"/>
      <c r="C135" s="11" t="str">
        <f t="shared" si="8"/>
        <v/>
      </c>
      <c r="D135" s="11" t="str">
        <f t="shared" si="9"/>
        <v/>
      </c>
      <c r="E135" s="45"/>
      <c r="F135" s="11" t="str">
        <f>IFERROR(VLOOKUP(E135,Category!$D$2:$E$600,2,FALSE),"")</f>
        <v/>
      </c>
      <c r="G135" s="45"/>
      <c r="H135" s="73"/>
      <c r="I135" s="18" t="str">
        <f t="shared" si="10"/>
        <v/>
      </c>
      <c r="J135" s="45"/>
      <c r="K135" s="45"/>
    </row>
    <row r="136" spans="1:11">
      <c r="A136" s="10" t="str">
        <f t="shared" si="11"/>
        <v/>
      </c>
      <c r="B136" s="45"/>
      <c r="C136" s="11" t="str">
        <f t="shared" si="8"/>
        <v/>
      </c>
      <c r="D136" s="11" t="str">
        <f t="shared" si="9"/>
        <v/>
      </c>
      <c r="E136" s="45"/>
      <c r="F136" s="11" t="str">
        <f>IFERROR(VLOOKUP(E136,Category!$D$2:$E$600,2,FALSE),"")</f>
        <v/>
      </c>
      <c r="G136" s="45"/>
      <c r="H136" s="73"/>
      <c r="I136" s="18" t="str">
        <f t="shared" si="10"/>
        <v/>
      </c>
      <c r="J136" s="45"/>
      <c r="K136" s="45"/>
    </row>
    <row r="137" spans="1:11">
      <c r="A137" s="10" t="str">
        <f t="shared" si="11"/>
        <v/>
      </c>
      <c r="B137" s="45"/>
      <c r="C137" s="11" t="str">
        <f t="shared" si="8"/>
        <v/>
      </c>
      <c r="D137" s="11" t="str">
        <f t="shared" si="9"/>
        <v/>
      </c>
      <c r="E137" s="45"/>
      <c r="F137" s="11" t="str">
        <f>IFERROR(VLOOKUP(E137,Category!$D$2:$E$600,2,FALSE),"")</f>
        <v/>
      </c>
      <c r="G137" s="45"/>
      <c r="H137" s="73"/>
      <c r="I137" s="18" t="str">
        <f t="shared" si="10"/>
        <v/>
      </c>
      <c r="J137" s="45"/>
      <c r="K137" s="45"/>
    </row>
    <row r="138" spans="1:11">
      <c r="A138" s="10" t="str">
        <f t="shared" si="11"/>
        <v/>
      </c>
      <c r="B138" s="45"/>
      <c r="C138" s="11" t="str">
        <f t="shared" si="8"/>
        <v/>
      </c>
      <c r="D138" s="11" t="str">
        <f t="shared" si="9"/>
        <v/>
      </c>
      <c r="E138" s="45"/>
      <c r="F138" s="11" t="str">
        <f>IFERROR(VLOOKUP(E138,Category!$D$2:$E$600,2,FALSE),"")</f>
        <v/>
      </c>
      <c r="G138" s="45"/>
      <c r="H138" s="73"/>
      <c r="I138" s="18" t="str">
        <f t="shared" si="10"/>
        <v/>
      </c>
      <c r="J138" s="45"/>
      <c r="K138" s="45"/>
    </row>
    <row r="139" spans="1:11">
      <c r="A139" s="10" t="str">
        <f t="shared" si="11"/>
        <v/>
      </c>
      <c r="B139" s="45"/>
      <c r="C139" s="11" t="str">
        <f t="shared" si="8"/>
        <v/>
      </c>
      <c r="D139" s="11" t="str">
        <f t="shared" si="9"/>
        <v/>
      </c>
      <c r="E139" s="45"/>
      <c r="F139" s="11" t="str">
        <f>IFERROR(VLOOKUP(E139,Category!$D$2:$E$600,2,FALSE),"")</f>
        <v/>
      </c>
      <c r="G139" s="45"/>
      <c r="H139" s="73"/>
      <c r="I139" s="18" t="str">
        <f t="shared" si="10"/>
        <v/>
      </c>
      <c r="J139" s="45"/>
      <c r="K139" s="45"/>
    </row>
    <row r="140" spans="1:11">
      <c r="A140" s="10" t="str">
        <f t="shared" si="11"/>
        <v/>
      </c>
      <c r="B140" s="45"/>
      <c r="C140" s="11" t="str">
        <f t="shared" si="8"/>
        <v/>
      </c>
      <c r="D140" s="11" t="str">
        <f t="shared" si="9"/>
        <v/>
      </c>
      <c r="E140" s="45"/>
      <c r="F140" s="11" t="str">
        <f>IFERROR(VLOOKUP(E140,Category!$D$2:$E$600,2,FALSE),"")</f>
        <v/>
      </c>
      <c r="G140" s="45"/>
      <c r="H140" s="73"/>
      <c r="I140" s="18" t="str">
        <f t="shared" si="10"/>
        <v/>
      </c>
      <c r="J140" s="45"/>
      <c r="K140" s="45"/>
    </row>
    <row r="141" spans="1:11">
      <c r="A141" s="10" t="str">
        <f t="shared" si="11"/>
        <v/>
      </c>
      <c r="B141" s="45"/>
      <c r="C141" s="11" t="str">
        <f t="shared" si="8"/>
        <v/>
      </c>
      <c r="D141" s="11" t="str">
        <f t="shared" si="9"/>
        <v/>
      </c>
      <c r="E141" s="45"/>
      <c r="F141" s="11" t="str">
        <f>IFERROR(VLOOKUP(E141,Category!$D$2:$E$600,2,FALSE),"")</f>
        <v/>
      </c>
      <c r="G141" s="45"/>
      <c r="H141" s="73"/>
      <c r="I141" s="18" t="str">
        <f t="shared" si="10"/>
        <v/>
      </c>
      <c r="J141" s="45"/>
      <c r="K141" s="45"/>
    </row>
    <row r="142" spans="1:11">
      <c r="A142" s="10" t="str">
        <f t="shared" si="11"/>
        <v/>
      </c>
      <c r="B142" s="45"/>
      <c r="C142" s="11" t="str">
        <f t="shared" si="8"/>
        <v/>
      </c>
      <c r="D142" s="11" t="str">
        <f t="shared" si="9"/>
        <v/>
      </c>
      <c r="E142" s="45"/>
      <c r="F142" s="11" t="str">
        <f>IFERROR(VLOOKUP(E142,Category!$D$2:$E$600,2,FALSE),"")</f>
        <v/>
      </c>
      <c r="G142" s="45"/>
      <c r="H142" s="73"/>
      <c r="I142" s="18" t="str">
        <f t="shared" si="10"/>
        <v/>
      </c>
      <c r="J142" s="45"/>
      <c r="K142" s="45"/>
    </row>
    <row r="143" spans="1:11">
      <c r="A143" s="10" t="str">
        <f t="shared" si="11"/>
        <v/>
      </c>
      <c r="B143" s="45"/>
      <c r="C143" s="11" t="str">
        <f t="shared" si="8"/>
        <v/>
      </c>
      <c r="D143" s="11" t="str">
        <f t="shared" si="9"/>
        <v/>
      </c>
      <c r="E143" s="45"/>
      <c r="F143" s="11" t="str">
        <f>IFERROR(VLOOKUP(E143,Category!$D$2:$E$600,2,FALSE),"")</f>
        <v/>
      </c>
      <c r="G143" s="45"/>
      <c r="H143" s="73"/>
      <c r="I143" s="18" t="str">
        <f t="shared" si="10"/>
        <v/>
      </c>
      <c r="J143" s="45"/>
      <c r="K143" s="45"/>
    </row>
    <row r="144" spans="1:11">
      <c r="A144" s="10" t="str">
        <f t="shared" si="11"/>
        <v/>
      </c>
      <c r="B144" s="45"/>
      <c r="C144" s="11" t="str">
        <f t="shared" si="8"/>
        <v/>
      </c>
      <c r="D144" s="11" t="str">
        <f t="shared" si="9"/>
        <v/>
      </c>
      <c r="E144" s="45"/>
      <c r="F144" s="11" t="str">
        <f>IFERROR(VLOOKUP(E144,Category!$D$2:$E$600,2,FALSE),"")</f>
        <v/>
      </c>
      <c r="G144" s="45"/>
      <c r="H144" s="73"/>
      <c r="I144" s="18" t="str">
        <f t="shared" si="10"/>
        <v/>
      </c>
      <c r="J144" s="45"/>
      <c r="K144" s="45"/>
    </row>
    <row r="145" spans="1:11">
      <c r="A145" s="10" t="str">
        <f t="shared" si="11"/>
        <v/>
      </c>
      <c r="B145" s="45"/>
      <c r="C145" s="11" t="str">
        <f t="shared" si="8"/>
        <v/>
      </c>
      <c r="D145" s="11" t="str">
        <f t="shared" si="9"/>
        <v/>
      </c>
      <c r="E145" s="45"/>
      <c r="F145" s="11" t="str">
        <f>IFERROR(VLOOKUP(E145,Category!$D$2:$E$600,2,FALSE),"")</f>
        <v/>
      </c>
      <c r="G145" s="45"/>
      <c r="H145" s="73"/>
      <c r="I145" s="18" t="str">
        <f t="shared" si="10"/>
        <v/>
      </c>
      <c r="J145" s="45"/>
      <c r="K145" s="45"/>
    </row>
    <row r="146" spans="1:11">
      <c r="A146" s="10" t="str">
        <f t="shared" si="11"/>
        <v/>
      </c>
      <c r="B146" s="45"/>
      <c r="C146" s="11" t="str">
        <f t="shared" si="8"/>
        <v/>
      </c>
      <c r="D146" s="11" t="str">
        <f t="shared" si="9"/>
        <v/>
      </c>
      <c r="E146" s="45"/>
      <c r="F146" s="11" t="str">
        <f>IFERROR(VLOOKUP(E146,Category!$D$2:$E$600,2,FALSE),"")</f>
        <v/>
      </c>
      <c r="G146" s="45"/>
      <c r="H146" s="73"/>
      <c r="I146" s="18" t="str">
        <f t="shared" si="10"/>
        <v/>
      </c>
      <c r="J146" s="45"/>
      <c r="K146" s="45"/>
    </row>
    <row r="147" spans="1:11">
      <c r="A147" s="10" t="str">
        <f t="shared" si="11"/>
        <v/>
      </c>
      <c r="B147" s="45"/>
      <c r="C147" s="11" t="str">
        <f t="shared" si="8"/>
        <v/>
      </c>
      <c r="D147" s="11" t="str">
        <f t="shared" si="9"/>
        <v/>
      </c>
      <c r="E147" s="45"/>
      <c r="F147" s="11" t="str">
        <f>IFERROR(VLOOKUP(E147,Category!$D$2:$E$600,2,FALSE),"")</f>
        <v/>
      </c>
      <c r="G147" s="45"/>
      <c r="H147" s="73"/>
      <c r="I147" s="18" t="str">
        <f t="shared" si="10"/>
        <v/>
      </c>
      <c r="J147" s="45"/>
      <c r="K147" s="45"/>
    </row>
    <row r="148" spans="1:11">
      <c r="A148" s="10" t="str">
        <f t="shared" si="11"/>
        <v/>
      </c>
      <c r="B148" s="45"/>
      <c r="C148" s="11" t="str">
        <f t="shared" si="8"/>
        <v/>
      </c>
      <c r="D148" s="11" t="str">
        <f t="shared" si="9"/>
        <v/>
      </c>
      <c r="E148" s="45"/>
      <c r="F148" s="11" t="str">
        <f>IFERROR(VLOOKUP(E148,Category!$D$2:$E$600,2,FALSE),"")</f>
        <v/>
      </c>
      <c r="G148" s="45"/>
      <c r="H148" s="73"/>
      <c r="I148" s="18" t="str">
        <f t="shared" si="10"/>
        <v/>
      </c>
      <c r="J148" s="45"/>
      <c r="K148" s="45"/>
    </row>
    <row r="149" spans="1:11">
      <c r="A149" s="10" t="str">
        <f t="shared" si="11"/>
        <v/>
      </c>
      <c r="B149" s="45"/>
      <c r="C149" s="11" t="str">
        <f t="shared" si="8"/>
        <v/>
      </c>
      <c r="D149" s="11" t="str">
        <f t="shared" si="9"/>
        <v/>
      </c>
      <c r="E149" s="45"/>
      <c r="F149" s="11" t="str">
        <f>IFERROR(VLOOKUP(E149,Category!$D$2:$E$600,2,FALSE),"")</f>
        <v/>
      </c>
      <c r="G149" s="45"/>
      <c r="H149" s="73"/>
      <c r="I149" s="18" t="str">
        <f t="shared" si="10"/>
        <v/>
      </c>
      <c r="J149" s="45"/>
      <c r="K149" s="45"/>
    </row>
    <row r="150" spans="1:11">
      <c r="A150" s="10" t="str">
        <f t="shared" si="11"/>
        <v/>
      </c>
      <c r="B150" s="45"/>
      <c r="C150" s="11" t="str">
        <f t="shared" si="8"/>
        <v/>
      </c>
      <c r="D150" s="11" t="str">
        <f t="shared" si="9"/>
        <v/>
      </c>
      <c r="E150" s="45"/>
      <c r="F150" s="11" t="str">
        <f>IFERROR(VLOOKUP(E150,Category!$D$2:$E$600,2,FALSE),"")</f>
        <v/>
      </c>
      <c r="G150" s="45"/>
      <c r="H150" s="73"/>
      <c r="I150" s="18" t="str">
        <f t="shared" si="10"/>
        <v/>
      </c>
      <c r="J150" s="45"/>
      <c r="K150" s="45"/>
    </row>
    <row r="151" spans="1:11">
      <c r="A151" s="10" t="str">
        <f t="shared" si="11"/>
        <v/>
      </c>
      <c r="B151" s="45"/>
      <c r="C151" s="11" t="str">
        <f t="shared" si="8"/>
        <v/>
      </c>
      <c r="D151" s="11" t="str">
        <f t="shared" si="9"/>
        <v/>
      </c>
      <c r="E151" s="45"/>
      <c r="F151" s="11" t="str">
        <f>IFERROR(VLOOKUP(E151,Category!$D$2:$E$600,2,FALSE),"")</f>
        <v/>
      </c>
      <c r="G151" s="45"/>
      <c r="H151" s="73"/>
      <c r="I151" s="18" t="str">
        <f t="shared" si="10"/>
        <v/>
      </c>
      <c r="J151" s="45"/>
      <c r="K151" s="45"/>
    </row>
    <row r="152" spans="1:11">
      <c r="A152" s="10" t="str">
        <f t="shared" si="11"/>
        <v/>
      </c>
      <c r="B152" s="45"/>
      <c r="C152" s="11" t="str">
        <f t="shared" si="8"/>
        <v/>
      </c>
      <c r="D152" s="11" t="str">
        <f t="shared" si="9"/>
        <v/>
      </c>
      <c r="E152" s="45"/>
      <c r="F152" s="11" t="str">
        <f>IFERROR(VLOOKUP(E152,Category!$D$2:$E$600,2,FALSE),"")</f>
        <v/>
      </c>
      <c r="G152" s="45"/>
      <c r="H152" s="73"/>
      <c r="I152" s="18" t="str">
        <f t="shared" si="10"/>
        <v/>
      </c>
      <c r="J152" s="45"/>
      <c r="K152" s="45"/>
    </row>
    <row r="153" spans="1:11">
      <c r="A153" s="10" t="str">
        <f t="shared" si="11"/>
        <v/>
      </c>
      <c r="B153" s="45"/>
      <c r="C153" s="11" t="str">
        <f t="shared" si="8"/>
        <v/>
      </c>
      <c r="D153" s="11" t="str">
        <f t="shared" si="9"/>
        <v/>
      </c>
      <c r="E153" s="45"/>
      <c r="F153" s="11" t="str">
        <f>IFERROR(VLOOKUP(E153,Category!$D$2:$E$600,2,FALSE),"")</f>
        <v/>
      </c>
      <c r="G153" s="45"/>
      <c r="H153" s="73"/>
      <c r="I153" s="18" t="str">
        <f t="shared" si="10"/>
        <v/>
      </c>
      <c r="J153" s="45"/>
      <c r="K153" s="45"/>
    </row>
    <row r="154" spans="1:11">
      <c r="A154" s="10" t="str">
        <f t="shared" si="11"/>
        <v/>
      </c>
      <c r="B154" s="45"/>
      <c r="C154" s="11" t="str">
        <f t="shared" si="8"/>
        <v/>
      </c>
      <c r="D154" s="11" t="str">
        <f t="shared" si="9"/>
        <v/>
      </c>
      <c r="E154" s="45"/>
      <c r="F154" s="11" t="str">
        <f>IFERROR(VLOOKUP(E154,Category!$D$2:$E$600,2,FALSE),"")</f>
        <v/>
      </c>
      <c r="G154" s="45"/>
      <c r="H154" s="73"/>
      <c r="I154" s="18" t="str">
        <f t="shared" si="10"/>
        <v/>
      </c>
      <c r="J154" s="45"/>
      <c r="K154" s="45"/>
    </row>
    <row r="155" spans="1:11">
      <c r="A155" s="10" t="str">
        <f t="shared" si="11"/>
        <v/>
      </c>
      <c r="B155" s="45"/>
      <c r="C155" s="11" t="str">
        <f t="shared" si="8"/>
        <v/>
      </c>
      <c r="D155" s="11" t="str">
        <f t="shared" si="9"/>
        <v/>
      </c>
      <c r="E155" s="45"/>
      <c r="F155" s="11" t="str">
        <f>IFERROR(VLOOKUP(E155,Category!$D$2:$E$600,2,FALSE),"")</f>
        <v/>
      </c>
      <c r="G155" s="45"/>
      <c r="H155" s="73"/>
      <c r="I155" s="18" t="str">
        <f t="shared" si="10"/>
        <v/>
      </c>
      <c r="J155" s="45"/>
      <c r="K155" s="45"/>
    </row>
    <row r="156" spans="1:11">
      <c r="A156" s="10" t="str">
        <f t="shared" si="11"/>
        <v/>
      </c>
      <c r="B156" s="45"/>
      <c r="C156" s="11" t="str">
        <f t="shared" si="8"/>
        <v/>
      </c>
      <c r="D156" s="11" t="str">
        <f t="shared" si="9"/>
        <v/>
      </c>
      <c r="E156" s="45"/>
      <c r="F156" s="11" t="str">
        <f>IFERROR(VLOOKUP(E156,Category!$D$2:$E$600,2,FALSE),"")</f>
        <v/>
      </c>
      <c r="G156" s="45"/>
      <c r="H156" s="73"/>
      <c r="I156" s="18" t="str">
        <f t="shared" si="10"/>
        <v/>
      </c>
      <c r="J156" s="45"/>
      <c r="K156" s="45"/>
    </row>
    <row r="157" spans="1:11">
      <c r="A157" s="10" t="str">
        <f t="shared" si="11"/>
        <v/>
      </c>
      <c r="B157" s="45"/>
      <c r="C157" s="11" t="str">
        <f t="shared" si="8"/>
        <v/>
      </c>
      <c r="D157" s="11" t="str">
        <f t="shared" si="9"/>
        <v/>
      </c>
      <c r="E157" s="45"/>
      <c r="F157" s="11" t="str">
        <f>IFERROR(VLOOKUP(E157,Category!$D$2:$E$600,2,FALSE),"")</f>
        <v/>
      </c>
      <c r="G157" s="45"/>
      <c r="H157" s="73"/>
      <c r="I157" s="18" t="str">
        <f t="shared" si="10"/>
        <v/>
      </c>
      <c r="J157" s="45"/>
      <c r="K157" s="45"/>
    </row>
    <row r="158" spans="1:11">
      <c r="A158" s="10" t="str">
        <f t="shared" si="11"/>
        <v/>
      </c>
      <c r="B158" s="45"/>
      <c r="C158" s="11" t="str">
        <f t="shared" si="8"/>
        <v/>
      </c>
      <c r="D158" s="11" t="str">
        <f t="shared" si="9"/>
        <v/>
      </c>
      <c r="E158" s="45"/>
      <c r="F158" s="11" t="str">
        <f>IFERROR(VLOOKUP(E158,Category!$D$2:$E$600,2,FALSE),"")</f>
        <v/>
      </c>
      <c r="G158" s="45"/>
      <c r="H158" s="73"/>
      <c r="I158" s="18" t="str">
        <f t="shared" si="10"/>
        <v/>
      </c>
      <c r="J158" s="45"/>
      <c r="K158" s="45"/>
    </row>
    <row r="159" spans="1:11">
      <c r="A159" s="10" t="str">
        <f t="shared" si="11"/>
        <v/>
      </c>
      <c r="B159" s="45"/>
      <c r="C159" s="11" t="str">
        <f t="shared" si="8"/>
        <v/>
      </c>
      <c r="D159" s="11" t="str">
        <f t="shared" si="9"/>
        <v/>
      </c>
      <c r="E159" s="45"/>
      <c r="F159" s="11" t="str">
        <f>IFERROR(VLOOKUP(E159,Category!$D$2:$E$600,2,FALSE),"")</f>
        <v/>
      </c>
      <c r="G159" s="45"/>
      <c r="H159" s="73"/>
      <c r="I159" s="18" t="str">
        <f t="shared" si="10"/>
        <v/>
      </c>
      <c r="J159" s="45"/>
      <c r="K159" s="45"/>
    </row>
    <row r="160" spans="1:11">
      <c r="A160" s="10" t="str">
        <f t="shared" si="11"/>
        <v/>
      </c>
      <c r="B160" s="45"/>
      <c r="C160" s="11" t="str">
        <f t="shared" si="8"/>
        <v/>
      </c>
      <c r="D160" s="11" t="str">
        <f t="shared" si="9"/>
        <v/>
      </c>
      <c r="E160" s="45"/>
      <c r="F160" s="11" t="str">
        <f>IFERROR(VLOOKUP(E160,Category!$D$2:$E$600,2,FALSE),"")</f>
        <v/>
      </c>
      <c r="G160" s="45"/>
      <c r="H160" s="73"/>
      <c r="I160" s="18" t="str">
        <f t="shared" si="10"/>
        <v/>
      </c>
      <c r="J160" s="45"/>
      <c r="K160" s="45"/>
    </row>
    <row r="161" spans="1:11">
      <c r="A161" s="10" t="str">
        <f t="shared" si="11"/>
        <v/>
      </c>
      <c r="B161" s="45"/>
      <c r="C161" s="11" t="str">
        <f t="shared" si="8"/>
        <v/>
      </c>
      <c r="D161" s="11" t="str">
        <f t="shared" si="9"/>
        <v/>
      </c>
      <c r="E161" s="45"/>
      <c r="F161" s="11" t="str">
        <f>IFERROR(VLOOKUP(E161,Category!$D$2:$E$600,2,FALSE),"")</f>
        <v/>
      </c>
      <c r="G161" s="45"/>
      <c r="H161" s="73"/>
      <c r="I161" s="18" t="str">
        <f t="shared" si="10"/>
        <v/>
      </c>
      <c r="J161" s="45"/>
      <c r="K161" s="45"/>
    </row>
    <row r="162" spans="1:11">
      <c r="A162" s="10" t="str">
        <f t="shared" si="11"/>
        <v/>
      </c>
      <c r="B162" s="45"/>
      <c r="C162" s="11" t="str">
        <f t="shared" si="8"/>
        <v/>
      </c>
      <c r="D162" s="11" t="str">
        <f t="shared" si="9"/>
        <v/>
      </c>
      <c r="E162" s="45"/>
      <c r="F162" s="11" t="str">
        <f>IFERROR(VLOOKUP(E162,Category!$D$2:$E$600,2,FALSE),"")</f>
        <v/>
      </c>
      <c r="G162" s="45"/>
      <c r="H162" s="73"/>
      <c r="I162" s="18" t="str">
        <f t="shared" si="10"/>
        <v/>
      </c>
      <c r="J162" s="45"/>
      <c r="K162" s="45"/>
    </row>
    <row r="163" spans="1:11">
      <c r="A163" s="10" t="str">
        <f t="shared" si="11"/>
        <v/>
      </c>
      <c r="B163" s="45"/>
      <c r="C163" s="11" t="str">
        <f t="shared" si="8"/>
        <v/>
      </c>
      <c r="D163" s="11" t="str">
        <f t="shared" si="9"/>
        <v/>
      </c>
      <c r="E163" s="45"/>
      <c r="F163" s="11" t="str">
        <f>IFERROR(VLOOKUP(E163,Category!$D$2:$E$600,2,FALSE),"")</f>
        <v/>
      </c>
      <c r="G163" s="45"/>
      <c r="H163" s="73"/>
      <c r="I163" s="18" t="str">
        <f t="shared" si="10"/>
        <v/>
      </c>
      <c r="J163" s="45"/>
      <c r="K163" s="45"/>
    </row>
    <row r="164" spans="1:11">
      <c r="A164" s="10" t="str">
        <f t="shared" si="11"/>
        <v/>
      </c>
      <c r="B164" s="45"/>
      <c r="C164" s="11" t="str">
        <f t="shared" si="8"/>
        <v/>
      </c>
      <c r="D164" s="11" t="str">
        <f t="shared" si="9"/>
        <v/>
      </c>
      <c r="E164" s="45"/>
      <c r="F164" s="11" t="str">
        <f>IFERROR(VLOOKUP(E164,Category!$D$2:$E$600,2,FALSE),"")</f>
        <v/>
      </c>
      <c r="G164" s="45"/>
      <c r="H164" s="73"/>
      <c r="I164" s="18" t="str">
        <f t="shared" si="10"/>
        <v/>
      </c>
      <c r="J164" s="45"/>
      <c r="K164" s="45"/>
    </row>
    <row r="165" spans="1:11">
      <c r="A165" s="10" t="str">
        <f t="shared" si="11"/>
        <v/>
      </c>
      <c r="B165" s="45"/>
      <c r="C165" s="11" t="str">
        <f t="shared" si="8"/>
        <v/>
      </c>
      <c r="D165" s="11" t="str">
        <f t="shared" si="9"/>
        <v/>
      </c>
      <c r="E165" s="45"/>
      <c r="F165" s="11" t="str">
        <f>IFERROR(VLOOKUP(E165,Category!$D$2:$E$600,2,FALSE),"")</f>
        <v/>
      </c>
      <c r="G165" s="45"/>
      <c r="H165" s="73"/>
      <c r="I165" s="18" t="str">
        <f t="shared" si="10"/>
        <v/>
      </c>
      <c r="J165" s="45"/>
      <c r="K165" s="45"/>
    </row>
    <row r="166" spans="1:11">
      <c r="A166" s="10" t="str">
        <f t="shared" si="11"/>
        <v/>
      </c>
      <c r="B166" s="45"/>
      <c r="C166" s="11" t="str">
        <f t="shared" si="8"/>
        <v/>
      </c>
      <c r="D166" s="11" t="str">
        <f t="shared" si="9"/>
        <v/>
      </c>
      <c r="E166" s="45"/>
      <c r="F166" s="11" t="str">
        <f>IFERROR(VLOOKUP(E166,Category!$D$2:$E$600,2,FALSE),"")</f>
        <v/>
      </c>
      <c r="G166" s="45"/>
      <c r="H166" s="73"/>
      <c r="I166" s="18" t="str">
        <f t="shared" si="10"/>
        <v/>
      </c>
      <c r="J166" s="45"/>
      <c r="K166" s="45"/>
    </row>
    <row r="167" spans="1:11">
      <c r="A167" s="10" t="str">
        <f t="shared" si="11"/>
        <v/>
      </c>
      <c r="B167" s="45"/>
      <c r="C167" s="11" t="str">
        <f t="shared" si="8"/>
        <v/>
      </c>
      <c r="D167" s="11" t="str">
        <f t="shared" si="9"/>
        <v/>
      </c>
      <c r="E167" s="45"/>
      <c r="F167" s="11" t="str">
        <f>IFERROR(VLOOKUP(E167,Category!$D$2:$E$600,2,FALSE),"")</f>
        <v/>
      </c>
      <c r="G167" s="45"/>
      <c r="H167" s="73"/>
      <c r="I167" s="18" t="str">
        <f t="shared" si="10"/>
        <v/>
      </c>
      <c r="J167" s="45"/>
      <c r="K167" s="45"/>
    </row>
    <row r="168" spans="1:11">
      <c r="A168" s="10" t="str">
        <f t="shared" si="11"/>
        <v/>
      </c>
      <c r="B168" s="45"/>
      <c r="C168" s="11" t="str">
        <f t="shared" si="8"/>
        <v/>
      </c>
      <c r="D168" s="11" t="str">
        <f t="shared" si="9"/>
        <v/>
      </c>
      <c r="E168" s="45"/>
      <c r="F168" s="11" t="str">
        <f>IFERROR(VLOOKUP(E168,Category!$D$2:$E$600,2,FALSE),"")</f>
        <v/>
      </c>
      <c r="G168" s="45"/>
      <c r="H168" s="73"/>
      <c r="I168" s="18" t="str">
        <f t="shared" si="10"/>
        <v/>
      </c>
      <c r="J168" s="45"/>
      <c r="K168" s="45"/>
    </row>
    <row r="169" spans="1:11">
      <c r="A169" s="10" t="str">
        <f t="shared" si="11"/>
        <v/>
      </c>
      <c r="B169" s="45"/>
      <c r="C169" s="11" t="str">
        <f t="shared" si="8"/>
        <v/>
      </c>
      <c r="D169" s="11" t="str">
        <f t="shared" si="9"/>
        <v/>
      </c>
      <c r="E169" s="45"/>
      <c r="F169" s="11" t="str">
        <f>IFERROR(VLOOKUP(E169,Category!$D$2:$E$600,2,FALSE),"")</f>
        <v/>
      </c>
      <c r="G169" s="45"/>
      <c r="H169" s="73"/>
      <c r="I169" s="18" t="str">
        <f t="shared" si="10"/>
        <v/>
      </c>
      <c r="J169" s="45"/>
      <c r="K169" s="45"/>
    </row>
    <row r="170" spans="1:11">
      <c r="A170" s="10" t="str">
        <f t="shared" si="11"/>
        <v/>
      </c>
      <c r="B170" s="45"/>
      <c r="C170" s="11" t="str">
        <f t="shared" si="8"/>
        <v/>
      </c>
      <c r="D170" s="11" t="str">
        <f t="shared" si="9"/>
        <v/>
      </c>
      <c r="E170" s="45"/>
      <c r="F170" s="11" t="str">
        <f>IFERROR(VLOOKUP(E170,Category!$D$2:$E$600,2,FALSE),"")</f>
        <v/>
      </c>
      <c r="G170" s="45"/>
      <c r="H170" s="73"/>
      <c r="I170" s="18" t="str">
        <f t="shared" si="10"/>
        <v/>
      </c>
      <c r="J170" s="45"/>
      <c r="K170" s="45"/>
    </row>
    <row r="171" spans="1:11">
      <c r="A171" s="10" t="str">
        <f t="shared" si="11"/>
        <v/>
      </c>
      <c r="B171" s="45"/>
      <c r="C171" s="11" t="str">
        <f t="shared" si="8"/>
        <v/>
      </c>
      <c r="D171" s="11" t="str">
        <f t="shared" si="9"/>
        <v/>
      </c>
      <c r="E171" s="45"/>
      <c r="F171" s="11" t="str">
        <f>IFERROR(VLOOKUP(E171,Category!$D$2:$E$600,2,FALSE),"")</f>
        <v/>
      </c>
      <c r="G171" s="45"/>
      <c r="H171" s="73"/>
      <c r="I171" s="18" t="str">
        <f t="shared" si="10"/>
        <v/>
      </c>
      <c r="J171" s="45"/>
      <c r="K171" s="45"/>
    </row>
    <row r="172" spans="1:11">
      <c r="A172" s="10" t="str">
        <f t="shared" si="11"/>
        <v/>
      </c>
      <c r="B172" s="45"/>
      <c r="C172" s="11" t="str">
        <f t="shared" si="8"/>
        <v/>
      </c>
      <c r="D172" s="11" t="str">
        <f t="shared" si="9"/>
        <v/>
      </c>
      <c r="E172" s="45"/>
      <c r="F172" s="11" t="str">
        <f>IFERROR(VLOOKUP(E172,Category!$D$2:$E$600,2,FALSE),"")</f>
        <v/>
      </c>
      <c r="G172" s="45"/>
      <c r="H172" s="73"/>
      <c r="I172" s="18" t="str">
        <f t="shared" si="10"/>
        <v/>
      </c>
      <c r="J172" s="45"/>
      <c r="K172" s="45"/>
    </row>
    <row r="173" spans="1:11">
      <c r="A173" s="10" t="str">
        <f t="shared" si="11"/>
        <v/>
      </c>
      <c r="B173" s="45"/>
      <c r="C173" s="11" t="str">
        <f t="shared" si="8"/>
        <v/>
      </c>
      <c r="D173" s="11" t="str">
        <f t="shared" si="9"/>
        <v/>
      </c>
      <c r="E173" s="45"/>
      <c r="F173" s="11" t="str">
        <f>IFERROR(VLOOKUP(E173,Category!$D$2:$E$600,2,FALSE),"")</f>
        <v/>
      </c>
      <c r="G173" s="45"/>
      <c r="H173" s="73"/>
      <c r="I173" s="18" t="str">
        <f t="shared" si="10"/>
        <v/>
      </c>
      <c r="J173" s="45"/>
      <c r="K173" s="45"/>
    </row>
    <row r="174" spans="1:11">
      <c r="A174" s="10" t="str">
        <f t="shared" si="11"/>
        <v/>
      </c>
      <c r="B174" s="45"/>
      <c r="C174" s="11" t="str">
        <f t="shared" si="8"/>
        <v/>
      </c>
      <c r="D174" s="11" t="str">
        <f t="shared" si="9"/>
        <v/>
      </c>
      <c r="E174" s="45"/>
      <c r="F174" s="11" t="str">
        <f>IFERROR(VLOOKUP(E174,Category!$D$2:$E$600,2,FALSE),"")</f>
        <v/>
      </c>
      <c r="G174" s="45"/>
      <c r="H174" s="73"/>
      <c r="I174" s="18" t="str">
        <f t="shared" si="10"/>
        <v/>
      </c>
      <c r="J174" s="45"/>
      <c r="K174" s="45"/>
    </row>
    <row r="175" spans="1:11">
      <c r="A175" s="10" t="str">
        <f t="shared" si="11"/>
        <v/>
      </c>
      <c r="B175" s="45"/>
      <c r="C175" s="11" t="str">
        <f t="shared" si="8"/>
        <v/>
      </c>
      <c r="D175" s="11" t="str">
        <f t="shared" si="9"/>
        <v/>
      </c>
      <c r="E175" s="45"/>
      <c r="F175" s="11" t="str">
        <f>IFERROR(VLOOKUP(E175,Category!$D$2:$E$600,2,FALSE),"")</f>
        <v/>
      </c>
      <c r="G175" s="45"/>
      <c r="H175" s="73"/>
      <c r="I175" s="18" t="str">
        <f t="shared" si="10"/>
        <v/>
      </c>
      <c r="J175" s="45"/>
      <c r="K175" s="45"/>
    </row>
    <row r="176" spans="1:11">
      <c r="A176" s="10" t="str">
        <f t="shared" si="11"/>
        <v/>
      </c>
      <c r="B176" s="45"/>
      <c r="C176" s="11" t="str">
        <f t="shared" si="8"/>
        <v/>
      </c>
      <c r="D176" s="11" t="str">
        <f t="shared" si="9"/>
        <v/>
      </c>
      <c r="E176" s="45"/>
      <c r="F176" s="11" t="str">
        <f>IFERROR(VLOOKUP(E176,Category!$D$2:$E$600,2,FALSE),"")</f>
        <v/>
      </c>
      <c r="G176" s="45"/>
      <c r="H176" s="73"/>
      <c r="I176" s="18" t="str">
        <f t="shared" si="10"/>
        <v/>
      </c>
      <c r="J176" s="45"/>
      <c r="K176" s="45"/>
    </row>
    <row r="177" spans="1:11">
      <c r="A177" s="10" t="str">
        <f t="shared" si="11"/>
        <v/>
      </c>
      <c r="B177" s="45"/>
      <c r="C177" s="11" t="str">
        <f t="shared" si="8"/>
        <v/>
      </c>
      <c r="D177" s="11" t="str">
        <f t="shared" si="9"/>
        <v/>
      </c>
      <c r="E177" s="45"/>
      <c r="F177" s="11" t="str">
        <f>IFERROR(VLOOKUP(E177,Category!$D$2:$E$600,2,FALSE),"")</f>
        <v/>
      </c>
      <c r="G177" s="45"/>
      <c r="H177" s="73"/>
      <c r="I177" s="18" t="str">
        <f t="shared" si="10"/>
        <v/>
      </c>
      <c r="J177" s="45"/>
      <c r="K177" s="45"/>
    </row>
    <row r="178" spans="1:11">
      <c r="A178" s="10" t="str">
        <f t="shared" si="11"/>
        <v/>
      </c>
      <c r="B178" s="45"/>
      <c r="C178" s="11" t="str">
        <f t="shared" si="8"/>
        <v/>
      </c>
      <c r="D178" s="11" t="str">
        <f t="shared" si="9"/>
        <v/>
      </c>
      <c r="E178" s="45"/>
      <c r="F178" s="11" t="str">
        <f>IFERROR(VLOOKUP(E178,Category!$D$2:$E$600,2,FALSE),"")</f>
        <v/>
      </c>
      <c r="G178" s="45"/>
      <c r="H178" s="73"/>
      <c r="I178" s="18" t="str">
        <f t="shared" si="10"/>
        <v/>
      </c>
      <c r="J178" s="45"/>
      <c r="K178" s="45"/>
    </row>
    <row r="179" spans="1:11">
      <c r="A179" s="10" t="str">
        <f t="shared" si="11"/>
        <v/>
      </c>
      <c r="B179" s="45"/>
      <c r="C179" s="11" t="str">
        <f t="shared" si="8"/>
        <v/>
      </c>
      <c r="D179" s="11" t="str">
        <f t="shared" si="9"/>
        <v/>
      </c>
      <c r="E179" s="45"/>
      <c r="F179" s="11" t="str">
        <f>IFERROR(VLOOKUP(E179,Category!$D$2:$E$600,2,FALSE),"")</f>
        <v/>
      </c>
      <c r="G179" s="45"/>
      <c r="H179" s="73"/>
      <c r="I179" s="18" t="str">
        <f t="shared" si="10"/>
        <v/>
      </c>
      <c r="J179" s="45"/>
      <c r="K179" s="45"/>
    </row>
    <row r="180" spans="1:11">
      <c r="A180" s="10" t="str">
        <f t="shared" si="11"/>
        <v/>
      </c>
      <c r="B180" s="45"/>
      <c r="C180" s="11" t="str">
        <f t="shared" si="8"/>
        <v/>
      </c>
      <c r="D180" s="11" t="str">
        <f t="shared" si="9"/>
        <v/>
      </c>
      <c r="E180" s="45"/>
      <c r="F180" s="11" t="str">
        <f>IFERROR(VLOOKUP(E180,Category!$D$2:$E$600,2,FALSE),"")</f>
        <v/>
      </c>
      <c r="G180" s="45"/>
      <c r="H180" s="73"/>
      <c r="I180" s="18" t="str">
        <f t="shared" si="10"/>
        <v/>
      </c>
      <c r="J180" s="45"/>
      <c r="K180" s="45"/>
    </row>
    <row r="181" spans="1:11">
      <c r="A181" s="10" t="str">
        <f t="shared" si="11"/>
        <v/>
      </c>
      <c r="B181" s="45"/>
      <c r="C181" s="11" t="str">
        <f t="shared" si="8"/>
        <v/>
      </c>
      <c r="D181" s="11" t="str">
        <f t="shared" si="9"/>
        <v/>
      </c>
      <c r="E181" s="45"/>
      <c r="F181" s="11" t="str">
        <f>IFERROR(VLOOKUP(E181,Category!$D$2:$E$600,2,FALSE),"")</f>
        <v/>
      </c>
      <c r="G181" s="45"/>
      <c r="H181" s="73"/>
      <c r="I181" s="18" t="str">
        <f t="shared" si="10"/>
        <v/>
      </c>
      <c r="J181" s="45"/>
      <c r="K181" s="45"/>
    </row>
    <row r="182" spans="1:11">
      <c r="A182" s="10" t="str">
        <f t="shared" si="11"/>
        <v/>
      </c>
      <c r="B182" s="45"/>
      <c r="C182" s="11" t="str">
        <f t="shared" si="8"/>
        <v/>
      </c>
      <c r="D182" s="11" t="str">
        <f t="shared" si="9"/>
        <v/>
      </c>
      <c r="E182" s="45"/>
      <c r="F182" s="11" t="str">
        <f>IFERROR(VLOOKUP(E182,Category!$D$2:$E$600,2,FALSE),"")</f>
        <v/>
      </c>
      <c r="G182" s="45"/>
      <c r="H182" s="73"/>
      <c r="I182" s="18" t="str">
        <f t="shared" si="10"/>
        <v/>
      </c>
      <c r="J182" s="45"/>
      <c r="K182" s="45"/>
    </row>
    <row r="183" spans="1:11">
      <c r="A183" s="10" t="str">
        <f t="shared" si="11"/>
        <v/>
      </c>
      <c r="B183" s="45"/>
      <c r="C183" s="11" t="str">
        <f t="shared" si="8"/>
        <v/>
      </c>
      <c r="D183" s="11" t="str">
        <f t="shared" si="9"/>
        <v/>
      </c>
      <c r="E183" s="45"/>
      <c r="F183" s="11" t="str">
        <f>IFERROR(VLOOKUP(E183,Category!$D$2:$E$600,2,FALSE),"")</f>
        <v/>
      </c>
      <c r="G183" s="45"/>
      <c r="H183" s="73"/>
      <c r="I183" s="18" t="str">
        <f t="shared" si="10"/>
        <v/>
      </c>
      <c r="J183" s="45"/>
      <c r="K183" s="45"/>
    </row>
    <row r="184" spans="1:11">
      <c r="A184" s="10" t="str">
        <f t="shared" si="11"/>
        <v/>
      </c>
      <c r="B184" s="45"/>
      <c r="C184" s="11" t="str">
        <f t="shared" si="8"/>
        <v/>
      </c>
      <c r="D184" s="11" t="str">
        <f t="shared" si="9"/>
        <v/>
      </c>
      <c r="E184" s="45"/>
      <c r="F184" s="11" t="str">
        <f>IFERROR(VLOOKUP(E184,Category!$D$2:$E$600,2,FALSE),"")</f>
        <v/>
      </c>
      <c r="G184" s="45"/>
      <c r="H184" s="73"/>
      <c r="I184" s="18" t="str">
        <f t="shared" si="10"/>
        <v/>
      </c>
      <c r="J184" s="45"/>
      <c r="K184" s="45"/>
    </row>
    <row r="185" spans="1:11">
      <c r="A185" s="10" t="str">
        <f t="shared" si="11"/>
        <v/>
      </c>
      <c r="B185" s="45"/>
      <c r="C185" s="11" t="str">
        <f t="shared" si="8"/>
        <v/>
      </c>
      <c r="D185" s="11" t="str">
        <f t="shared" si="9"/>
        <v/>
      </c>
      <c r="E185" s="45"/>
      <c r="F185" s="11" t="str">
        <f>IFERROR(VLOOKUP(E185,Category!$D$2:$E$600,2,FALSE),"")</f>
        <v/>
      </c>
      <c r="G185" s="45"/>
      <c r="H185" s="73"/>
      <c r="I185" s="18" t="str">
        <f t="shared" si="10"/>
        <v/>
      </c>
      <c r="J185" s="45"/>
      <c r="K185" s="45"/>
    </row>
    <row r="186" spans="1:11">
      <c r="A186" s="10" t="str">
        <f t="shared" si="11"/>
        <v/>
      </c>
      <c r="B186" s="45"/>
      <c r="C186" s="11" t="str">
        <f t="shared" si="8"/>
        <v/>
      </c>
      <c r="D186" s="11" t="str">
        <f t="shared" si="9"/>
        <v/>
      </c>
      <c r="E186" s="45"/>
      <c r="F186" s="11" t="str">
        <f>IFERROR(VLOOKUP(E186,Category!$D$2:$E$600,2,FALSE),"")</f>
        <v/>
      </c>
      <c r="G186" s="45"/>
      <c r="H186" s="73"/>
      <c r="I186" s="18" t="str">
        <f t="shared" si="10"/>
        <v/>
      </c>
      <c r="J186" s="45"/>
      <c r="K186" s="45"/>
    </row>
    <row r="187" spans="1:11">
      <c r="A187" s="10" t="str">
        <f t="shared" si="11"/>
        <v/>
      </c>
      <c r="B187" s="45"/>
      <c r="C187" s="11" t="str">
        <f t="shared" si="8"/>
        <v/>
      </c>
      <c r="D187" s="11" t="str">
        <f t="shared" si="9"/>
        <v/>
      </c>
      <c r="E187" s="45"/>
      <c r="F187" s="11" t="str">
        <f>IFERROR(VLOOKUP(E187,Category!$D$2:$E$600,2,FALSE),"")</f>
        <v/>
      </c>
      <c r="G187" s="45"/>
      <c r="H187" s="73"/>
      <c r="I187" s="18" t="str">
        <f t="shared" si="10"/>
        <v/>
      </c>
      <c r="J187" s="45"/>
      <c r="K187" s="45"/>
    </row>
    <row r="188" spans="1:11">
      <c r="A188" s="10" t="str">
        <f t="shared" si="11"/>
        <v/>
      </c>
      <c r="B188" s="45"/>
      <c r="C188" s="11" t="str">
        <f t="shared" si="8"/>
        <v/>
      </c>
      <c r="D188" s="11" t="str">
        <f t="shared" si="9"/>
        <v/>
      </c>
      <c r="E188" s="45"/>
      <c r="F188" s="11" t="str">
        <f>IFERROR(VLOOKUP(E188,Category!$D$2:$E$600,2,FALSE),"")</f>
        <v/>
      </c>
      <c r="G188" s="45"/>
      <c r="H188" s="73"/>
      <c r="I188" s="18" t="str">
        <f t="shared" si="10"/>
        <v/>
      </c>
      <c r="J188" s="45"/>
      <c r="K188" s="45"/>
    </row>
    <row r="189" spans="1:11">
      <c r="A189" s="10" t="str">
        <f t="shared" si="11"/>
        <v/>
      </c>
      <c r="B189" s="45"/>
      <c r="C189" s="11" t="str">
        <f t="shared" si="8"/>
        <v/>
      </c>
      <c r="D189" s="11" t="str">
        <f t="shared" si="9"/>
        <v/>
      </c>
      <c r="E189" s="45"/>
      <c r="F189" s="11" t="str">
        <f>IFERROR(VLOOKUP(E189,Category!$D$2:$E$600,2,FALSE),"")</f>
        <v/>
      </c>
      <c r="G189" s="45"/>
      <c r="H189" s="73"/>
      <c r="I189" s="18" t="str">
        <f t="shared" si="10"/>
        <v/>
      </c>
      <c r="J189" s="45"/>
      <c r="K189" s="45"/>
    </row>
    <row r="190" spans="1:11">
      <c r="A190" s="10" t="str">
        <f t="shared" si="11"/>
        <v/>
      </c>
      <c r="B190" s="45"/>
      <c r="C190" s="11" t="str">
        <f t="shared" si="8"/>
        <v/>
      </c>
      <c r="D190" s="11" t="str">
        <f t="shared" si="9"/>
        <v/>
      </c>
      <c r="E190" s="45"/>
      <c r="F190" s="11" t="str">
        <f>IFERROR(VLOOKUP(E190,Category!$D$2:$E$600,2,FALSE),"")</f>
        <v/>
      </c>
      <c r="G190" s="45"/>
      <c r="H190" s="73"/>
      <c r="I190" s="18" t="str">
        <f t="shared" si="10"/>
        <v/>
      </c>
      <c r="J190" s="45"/>
      <c r="K190" s="45"/>
    </row>
    <row r="191" spans="1:11">
      <c r="A191" s="10" t="str">
        <f t="shared" si="11"/>
        <v/>
      </c>
      <c r="B191" s="45"/>
      <c r="C191" s="11" t="str">
        <f t="shared" si="8"/>
        <v/>
      </c>
      <c r="D191" s="11" t="str">
        <f t="shared" si="9"/>
        <v/>
      </c>
      <c r="E191" s="45"/>
      <c r="F191" s="11" t="str">
        <f>IFERROR(VLOOKUP(E191,Category!$D$2:$E$600,2,FALSE),"")</f>
        <v/>
      </c>
      <c r="G191" s="45"/>
      <c r="H191" s="73"/>
      <c r="I191" s="18" t="str">
        <f t="shared" si="10"/>
        <v/>
      </c>
      <c r="J191" s="45"/>
      <c r="K191" s="45"/>
    </row>
    <row r="192" spans="1:11">
      <c r="A192" s="10" t="str">
        <f t="shared" si="11"/>
        <v/>
      </c>
      <c r="B192" s="45"/>
      <c r="C192" s="11" t="str">
        <f t="shared" si="8"/>
        <v/>
      </c>
      <c r="D192" s="11" t="str">
        <f t="shared" si="9"/>
        <v/>
      </c>
      <c r="E192" s="45"/>
      <c r="F192" s="11" t="str">
        <f>IFERROR(VLOOKUP(E192,Category!$D$2:$E$600,2,FALSE),"")</f>
        <v/>
      </c>
      <c r="G192" s="45"/>
      <c r="H192" s="73"/>
      <c r="I192" s="18" t="str">
        <f t="shared" si="10"/>
        <v/>
      </c>
      <c r="J192" s="45"/>
      <c r="K192" s="45"/>
    </row>
    <row r="193" spans="1:11">
      <c r="A193" s="10" t="str">
        <f t="shared" si="11"/>
        <v/>
      </c>
      <c r="B193" s="45"/>
      <c r="C193" s="11" t="str">
        <f t="shared" si="8"/>
        <v/>
      </c>
      <c r="D193" s="11" t="str">
        <f t="shared" si="9"/>
        <v/>
      </c>
      <c r="E193" s="45"/>
      <c r="F193" s="11" t="str">
        <f>IFERROR(VLOOKUP(E193,Category!$D$2:$E$600,2,FALSE),"")</f>
        <v/>
      </c>
      <c r="G193" s="45"/>
      <c r="H193" s="73"/>
      <c r="I193" s="18" t="str">
        <f t="shared" si="10"/>
        <v/>
      </c>
      <c r="J193" s="45"/>
      <c r="K193" s="45"/>
    </row>
    <row r="194" spans="1:11">
      <c r="A194" s="10" t="str">
        <f t="shared" si="11"/>
        <v/>
      </c>
      <c r="B194" s="45"/>
      <c r="C194" s="11" t="str">
        <f t="shared" si="8"/>
        <v/>
      </c>
      <c r="D194" s="11" t="str">
        <f t="shared" si="9"/>
        <v/>
      </c>
      <c r="E194" s="45"/>
      <c r="F194" s="11" t="str">
        <f>IFERROR(VLOOKUP(E194,Category!$D$2:$E$600,2,FALSE),"")</f>
        <v/>
      </c>
      <c r="G194" s="45"/>
      <c r="H194" s="73"/>
      <c r="I194" s="18" t="str">
        <f t="shared" si="10"/>
        <v/>
      </c>
      <c r="J194" s="45"/>
      <c r="K194" s="45"/>
    </row>
    <row r="195" spans="1:11">
      <c r="A195" s="10" t="str">
        <f t="shared" si="11"/>
        <v/>
      </c>
      <c r="B195" s="45"/>
      <c r="C195" s="11" t="str">
        <f t="shared" ref="C195:C258" si="12">IF(B195=0,"",TEXT(B195,"mmmm"))</f>
        <v/>
      </c>
      <c r="D195" s="11" t="str">
        <f t="shared" ref="D195:D258" si="13">IF(B195=0,"",TEXT(B195,"yyyy"))</f>
        <v/>
      </c>
      <c r="E195" s="45"/>
      <c r="F195" s="11" t="str">
        <f>IFERROR(VLOOKUP(E195,Category!$D$2:$E$600,2,FALSE),"")</f>
        <v/>
      </c>
      <c r="G195" s="45"/>
      <c r="H195" s="73"/>
      <c r="I195" s="18" t="str">
        <f t="shared" ref="I195:I258" si="14">IF(G195*H195=0,"",G195*H195)</f>
        <v/>
      </c>
      <c r="J195" s="45"/>
      <c r="K195" s="45"/>
    </row>
    <row r="196" spans="1:11">
      <c r="A196" s="10" t="str">
        <f t="shared" ref="A196:A259" si="15">IF(E196&gt;0,A195+1,"")</f>
        <v/>
      </c>
      <c r="B196" s="45"/>
      <c r="C196" s="11" t="str">
        <f t="shared" si="12"/>
        <v/>
      </c>
      <c r="D196" s="11" t="str">
        <f t="shared" si="13"/>
        <v/>
      </c>
      <c r="E196" s="45"/>
      <c r="F196" s="11" t="str">
        <f>IFERROR(VLOOKUP(E196,Category!$D$2:$E$600,2,FALSE),"")</f>
        <v/>
      </c>
      <c r="G196" s="45"/>
      <c r="H196" s="73"/>
      <c r="I196" s="18" t="str">
        <f t="shared" si="14"/>
        <v/>
      </c>
      <c r="J196" s="45"/>
      <c r="K196" s="45"/>
    </row>
    <row r="197" spans="1:11">
      <c r="A197" s="10" t="str">
        <f t="shared" si="15"/>
        <v/>
      </c>
      <c r="B197" s="45"/>
      <c r="C197" s="11" t="str">
        <f t="shared" si="12"/>
        <v/>
      </c>
      <c r="D197" s="11" t="str">
        <f t="shared" si="13"/>
        <v/>
      </c>
      <c r="E197" s="45"/>
      <c r="F197" s="11" t="str">
        <f>IFERROR(VLOOKUP(E197,Category!$D$2:$E$600,2,FALSE),"")</f>
        <v/>
      </c>
      <c r="G197" s="45"/>
      <c r="H197" s="73"/>
      <c r="I197" s="18" t="str">
        <f t="shared" si="14"/>
        <v/>
      </c>
      <c r="J197" s="45"/>
      <c r="K197" s="45"/>
    </row>
    <row r="198" spans="1:11">
      <c r="A198" s="10" t="str">
        <f t="shared" si="15"/>
        <v/>
      </c>
      <c r="B198" s="45"/>
      <c r="C198" s="11" t="str">
        <f t="shared" si="12"/>
        <v/>
      </c>
      <c r="D198" s="11" t="str">
        <f t="shared" si="13"/>
        <v/>
      </c>
      <c r="E198" s="45"/>
      <c r="F198" s="11" t="str">
        <f>IFERROR(VLOOKUP(E198,Category!$D$2:$E$600,2,FALSE),"")</f>
        <v/>
      </c>
      <c r="G198" s="45"/>
      <c r="H198" s="73"/>
      <c r="I198" s="18" t="str">
        <f t="shared" si="14"/>
        <v/>
      </c>
      <c r="J198" s="45"/>
      <c r="K198" s="45"/>
    </row>
    <row r="199" spans="1:11">
      <c r="A199" s="10" t="str">
        <f t="shared" si="15"/>
        <v/>
      </c>
      <c r="B199" s="45"/>
      <c r="C199" s="11" t="str">
        <f t="shared" si="12"/>
        <v/>
      </c>
      <c r="D199" s="11" t="str">
        <f t="shared" si="13"/>
        <v/>
      </c>
      <c r="E199" s="45"/>
      <c r="F199" s="11" t="str">
        <f>IFERROR(VLOOKUP(E199,Category!$D$2:$E$600,2,FALSE),"")</f>
        <v/>
      </c>
      <c r="G199" s="45"/>
      <c r="H199" s="73"/>
      <c r="I199" s="18" t="str">
        <f t="shared" si="14"/>
        <v/>
      </c>
      <c r="J199" s="45"/>
      <c r="K199" s="45"/>
    </row>
    <row r="200" spans="1:11">
      <c r="A200" s="10" t="str">
        <f t="shared" si="15"/>
        <v/>
      </c>
      <c r="B200" s="45"/>
      <c r="C200" s="11" t="str">
        <f t="shared" si="12"/>
        <v/>
      </c>
      <c r="D200" s="11" t="str">
        <f t="shared" si="13"/>
        <v/>
      </c>
      <c r="E200" s="45"/>
      <c r="F200" s="11" t="str">
        <f>IFERROR(VLOOKUP(E200,Category!$D$2:$E$600,2,FALSE),"")</f>
        <v/>
      </c>
      <c r="G200" s="45"/>
      <c r="H200" s="73"/>
      <c r="I200" s="18" t="str">
        <f t="shared" si="14"/>
        <v/>
      </c>
      <c r="J200" s="45"/>
      <c r="K200" s="45"/>
    </row>
    <row r="201" spans="1:11">
      <c r="A201" s="10" t="str">
        <f t="shared" si="15"/>
        <v/>
      </c>
      <c r="B201" s="45"/>
      <c r="C201" s="11" t="str">
        <f t="shared" si="12"/>
        <v/>
      </c>
      <c r="D201" s="11" t="str">
        <f t="shared" si="13"/>
        <v/>
      </c>
      <c r="E201" s="45"/>
      <c r="F201" s="11" t="str">
        <f>IFERROR(VLOOKUP(E201,Category!$D$2:$E$600,2,FALSE),"")</f>
        <v/>
      </c>
      <c r="G201" s="45"/>
      <c r="H201" s="73"/>
      <c r="I201" s="18" t="str">
        <f t="shared" si="14"/>
        <v/>
      </c>
      <c r="J201" s="45"/>
      <c r="K201" s="45"/>
    </row>
    <row r="202" spans="1:11">
      <c r="A202" s="10" t="str">
        <f t="shared" si="15"/>
        <v/>
      </c>
      <c r="B202" s="45"/>
      <c r="C202" s="11" t="str">
        <f t="shared" si="12"/>
        <v/>
      </c>
      <c r="D202" s="11" t="str">
        <f t="shared" si="13"/>
        <v/>
      </c>
      <c r="E202" s="45"/>
      <c r="F202" s="11" t="str">
        <f>IFERROR(VLOOKUP(E202,Category!$D$2:$E$600,2,FALSE),"")</f>
        <v/>
      </c>
      <c r="G202" s="45"/>
      <c r="H202" s="73"/>
      <c r="I202" s="18" t="str">
        <f t="shared" si="14"/>
        <v/>
      </c>
      <c r="J202" s="45"/>
      <c r="K202" s="45"/>
    </row>
    <row r="203" spans="1:11">
      <c r="A203" s="10" t="str">
        <f t="shared" si="15"/>
        <v/>
      </c>
      <c r="B203" s="45"/>
      <c r="C203" s="11" t="str">
        <f t="shared" si="12"/>
        <v/>
      </c>
      <c r="D203" s="11" t="str">
        <f t="shared" si="13"/>
        <v/>
      </c>
      <c r="E203" s="45"/>
      <c r="F203" s="11" t="str">
        <f>IFERROR(VLOOKUP(E203,Category!$D$2:$E$600,2,FALSE),"")</f>
        <v/>
      </c>
      <c r="G203" s="45"/>
      <c r="H203" s="73"/>
      <c r="I203" s="18" t="str">
        <f t="shared" si="14"/>
        <v/>
      </c>
      <c r="J203" s="45"/>
      <c r="K203" s="45"/>
    </row>
    <row r="204" spans="1:11">
      <c r="A204" s="10" t="str">
        <f t="shared" si="15"/>
        <v/>
      </c>
      <c r="B204" s="45"/>
      <c r="C204" s="11" t="str">
        <f t="shared" si="12"/>
        <v/>
      </c>
      <c r="D204" s="11" t="str">
        <f t="shared" si="13"/>
        <v/>
      </c>
      <c r="E204" s="45"/>
      <c r="F204" s="11" t="str">
        <f>IFERROR(VLOOKUP(E204,Category!$D$2:$E$600,2,FALSE),"")</f>
        <v/>
      </c>
      <c r="G204" s="45"/>
      <c r="H204" s="73"/>
      <c r="I204" s="18" t="str">
        <f t="shared" si="14"/>
        <v/>
      </c>
      <c r="J204" s="45"/>
      <c r="K204" s="45"/>
    </row>
    <row r="205" spans="1:11">
      <c r="A205" s="10" t="str">
        <f t="shared" si="15"/>
        <v/>
      </c>
      <c r="B205" s="45"/>
      <c r="C205" s="11" t="str">
        <f t="shared" si="12"/>
        <v/>
      </c>
      <c r="D205" s="11" t="str">
        <f t="shared" si="13"/>
        <v/>
      </c>
      <c r="E205" s="45"/>
      <c r="F205" s="11" t="str">
        <f>IFERROR(VLOOKUP(E205,Category!$D$2:$E$600,2,FALSE),"")</f>
        <v/>
      </c>
      <c r="G205" s="45"/>
      <c r="H205" s="73"/>
      <c r="I205" s="18" t="str">
        <f t="shared" si="14"/>
        <v/>
      </c>
      <c r="J205" s="45"/>
      <c r="K205" s="45"/>
    </row>
    <row r="206" spans="1:11">
      <c r="A206" s="10" t="str">
        <f t="shared" si="15"/>
        <v/>
      </c>
      <c r="B206" s="45"/>
      <c r="C206" s="11" t="str">
        <f t="shared" si="12"/>
        <v/>
      </c>
      <c r="D206" s="11" t="str">
        <f t="shared" si="13"/>
        <v/>
      </c>
      <c r="E206" s="45"/>
      <c r="F206" s="11" t="str">
        <f>IFERROR(VLOOKUP(E206,Category!$D$2:$E$600,2,FALSE),"")</f>
        <v/>
      </c>
      <c r="G206" s="45"/>
      <c r="H206" s="73"/>
      <c r="I206" s="18" t="str">
        <f t="shared" si="14"/>
        <v/>
      </c>
      <c r="J206" s="45"/>
      <c r="K206" s="45"/>
    </row>
    <row r="207" spans="1:11">
      <c r="A207" s="10" t="str">
        <f t="shared" si="15"/>
        <v/>
      </c>
      <c r="B207" s="45"/>
      <c r="C207" s="11" t="str">
        <f t="shared" si="12"/>
        <v/>
      </c>
      <c r="D207" s="11" t="str">
        <f t="shared" si="13"/>
        <v/>
      </c>
      <c r="E207" s="45"/>
      <c r="F207" s="11" t="str">
        <f>IFERROR(VLOOKUP(E207,Category!$D$2:$E$600,2,FALSE),"")</f>
        <v/>
      </c>
      <c r="G207" s="45"/>
      <c r="H207" s="73"/>
      <c r="I207" s="18" t="str">
        <f t="shared" si="14"/>
        <v/>
      </c>
      <c r="J207" s="45"/>
      <c r="K207" s="45"/>
    </row>
    <row r="208" spans="1:11">
      <c r="A208" s="10" t="str">
        <f t="shared" si="15"/>
        <v/>
      </c>
      <c r="B208" s="45"/>
      <c r="C208" s="11" t="str">
        <f t="shared" si="12"/>
        <v/>
      </c>
      <c r="D208" s="11" t="str">
        <f t="shared" si="13"/>
        <v/>
      </c>
      <c r="E208" s="45"/>
      <c r="F208" s="11" t="str">
        <f>IFERROR(VLOOKUP(E208,Category!$D$2:$E$600,2,FALSE),"")</f>
        <v/>
      </c>
      <c r="G208" s="45"/>
      <c r="H208" s="73"/>
      <c r="I208" s="18" t="str">
        <f t="shared" si="14"/>
        <v/>
      </c>
      <c r="J208" s="45"/>
      <c r="K208" s="45"/>
    </row>
    <row r="209" spans="1:11">
      <c r="A209" s="10" t="str">
        <f t="shared" si="15"/>
        <v/>
      </c>
      <c r="B209" s="45"/>
      <c r="C209" s="11" t="str">
        <f t="shared" si="12"/>
        <v/>
      </c>
      <c r="D209" s="11" t="str">
        <f t="shared" si="13"/>
        <v/>
      </c>
      <c r="E209" s="45"/>
      <c r="F209" s="11" t="str">
        <f>IFERROR(VLOOKUP(E209,Category!$D$2:$E$600,2,FALSE),"")</f>
        <v/>
      </c>
      <c r="G209" s="45"/>
      <c r="H209" s="73"/>
      <c r="I209" s="18" t="str">
        <f t="shared" si="14"/>
        <v/>
      </c>
      <c r="J209" s="45"/>
      <c r="K209" s="45"/>
    </row>
    <row r="210" spans="1:11">
      <c r="A210" s="10" t="str">
        <f t="shared" si="15"/>
        <v/>
      </c>
      <c r="B210" s="45"/>
      <c r="C210" s="11" t="str">
        <f t="shared" si="12"/>
        <v/>
      </c>
      <c r="D210" s="11" t="str">
        <f t="shared" si="13"/>
        <v/>
      </c>
      <c r="E210" s="45"/>
      <c r="F210" s="11" t="str">
        <f>IFERROR(VLOOKUP(E210,Category!$D$2:$E$600,2,FALSE),"")</f>
        <v/>
      </c>
      <c r="G210" s="45"/>
      <c r="H210" s="73"/>
      <c r="I210" s="18" t="str">
        <f t="shared" si="14"/>
        <v/>
      </c>
      <c r="J210" s="45"/>
      <c r="K210" s="45"/>
    </row>
    <row r="211" spans="1:11">
      <c r="A211" s="10" t="str">
        <f t="shared" si="15"/>
        <v/>
      </c>
      <c r="B211" s="45"/>
      <c r="C211" s="11" t="str">
        <f t="shared" si="12"/>
        <v/>
      </c>
      <c r="D211" s="11" t="str">
        <f t="shared" si="13"/>
        <v/>
      </c>
      <c r="E211" s="45"/>
      <c r="F211" s="11" t="str">
        <f>IFERROR(VLOOKUP(E211,Category!$D$2:$E$600,2,FALSE),"")</f>
        <v/>
      </c>
      <c r="G211" s="45"/>
      <c r="H211" s="73"/>
      <c r="I211" s="18" t="str">
        <f t="shared" si="14"/>
        <v/>
      </c>
      <c r="J211" s="45"/>
      <c r="K211" s="45"/>
    </row>
    <row r="212" spans="1:11">
      <c r="A212" s="10" t="str">
        <f t="shared" si="15"/>
        <v/>
      </c>
      <c r="B212" s="45"/>
      <c r="C212" s="11" t="str">
        <f t="shared" si="12"/>
        <v/>
      </c>
      <c r="D212" s="11" t="str">
        <f t="shared" si="13"/>
        <v/>
      </c>
      <c r="E212" s="45"/>
      <c r="F212" s="11" t="str">
        <f>IFERROR(VLOOKUP(E212,Category!$D$2:$E$600,2,FALSE),"")</f>
        <v/>
      </c>
      <c r="G212" s="45"/>
      <c r="H212" s="73"/>
      <c r="I212" s="18" t="str">
        <f t="shared" si="14"/>
        <v/>
      </c>
      <c r="J212" s="45"/>
      <c r="K212" s="45"/>
    </row>
    <row r="213" spans="1:11">
      <c r="A213" s="10" t="str">
        <f t="shared" si="15"/>
        <v/>
      </c>
      <c r="B213" s="45"/>
      <c r="C213" s="11" t="str">
        <f t="shared" si="12"/>
        <v/>
      </c>
      <c r="D213" s="11" t="str">
        <f t="shared" si="13"/>
        <v/>
      </c>
      <c r="E213" s="45"/>
      <c r="F213" s="11" t="str">
        <f>IFERROR(VLOOKUP(E213,Category!$D$2:$E$600,2,FALSE),"")</f>
        <v/>
      </c>
      <c r="G213" s="45"/>
      <c r="H213" s="73"/>
      <c r="I213" s="18" t="str">
        <f t="shared" si="14"/>
        <v/>
      </c>
      <c r="J213" s="45"/>
      <c r="K213" s="45"/>
    </row>
    <row r="214" spans="1:11">
      <c r="A214" s="10" t="str">
        <f t="shared" si="15"/>
        <v/>
      </c>
      <c r="B214" s="45"/>
      <c r="C214" s="11" t="str">
        <f t="shared" si="12"/>
        <v/>
      </c>
      <c r="D214" s="11" t="str">
        <f t="shared" si="13"/>
        <v/>
      </c>
      <c r="E214" s="45"/>
      <c r="F214" s="11" t="str">
        <f>IFERROR(VLOOKUP(E214,Category!$D$2:$E$600,2,FALSE),"")</f>
        <v/>
      </c>
      <c r="G214" s="45"/>
      <c r="H214" s="73"/>
      <c r="I214" s="18" t="str">
        <f t="shared" si="14"/>
        <v/>
      </c>
      <c r="J214" s="45"/>
      <c r="K214" s="45"/>
    </row>
    <row r="215" spans="1:11">
      <c r="A215" s="10" t="str">
        <f t="shared" si="15"/>
        <v/>
      </c>
      <c r="B215" s="45"/>
      <c r="C215" s="11" t="str">
        <f t="shared" si="12"/>
        <v/>
      </c>
      <c r="D215" s="11" t="str">
        <f t="shared" si="13"/>
        <v/>
      </c>
      <c r="E215" s="45"/>
      <c r="F215" s="11" t="str">
        <f>IFERROR(VLOOKUP(E215,Category!$D$2:$E$600,2,FALSE),"")</f>
        <v/>
      </c>
      <c r="G215" s="45"/>
      <c r="H215" s="73"/>
      <c r="I215" s="18" t="str">
        <f t="shared" si="14"/>
        <v/>
      </c>
      <c r="J215" s="45"/>
      <c r="K215" s="45"/>
    </row>
    <row r="216" spans="1:11">
      <c r="A216" s="10" t="str">
        <f t="shared" si="15"/>
        <v/>
      </c>
      <c r="B216" s="45"/>
      <c r="C216" s="11" t="str">
        <f t="shared" si="12"/>
        <v/>
      </c>
      <c r="D216" s="11" t="str">
        <f t="shared" si="13"/>
        <v/>
      </c>
      <c r="E216" s="45"/>
      <c r="F216" s="11" t="str">
        <f>IFERROR(VLOOKUP(E216,Category!$D$2:$E$600,2,FALSE),"")</f>
        <v/>
      </c>
      <c r="G216" s="45"/>
      <c r="H216" s="73"/>
      <c r="I216" s="18" t="str">
        <f t="shared" si="14"/>
        <v/>
      </c>
      <c r="J216" s="45"/>
      <c r="K216" s="45"/>
    </row>
    <row r="217" spans="1:11">
      <c r="A217" s="10" t="str">
        <f t="shared" si="15"/>
        <v/>
      </c>
      <c r="B217" s="45"/>
      <c r="C217" s="11" t="str">
        <f t="shared" si="12"/>
        <v/>
      </c>
      <c r="D217" s="11" t="str">
        <f t="shared" si="13"/>
        <v/>
      </c>
      <c r="E217" s="45"/>
      <c r="F217" s="11" t="str">
        <f>IFERROR(VLOOKUP(E217,Category!$D$2:$E$600,2,FALSE),"")</f>
        <v/>
      </c>
      <c r="G217" s="45"/>
      <c r="H217" s="73"/>
      <c r="I217" s="18" t="str">
        <f t="shared" si="14"/>
        <v/>
      </c>
      <c r="J217" s="45"/>
      <c r="K217" s="45"/>
    </row>
    <row r="218" spans="1:11">
      <c r="A218" s="10" t="str">
        <f t="shared" si="15"/>
        <v/>
      </c>
      <c r="B218" s="45"/>
      <c r="C218" s="11" t="str">
        <f t="shared" si="12"/>
        <v/>
      </c>
      <c r="D218" s="11" t="str">
        <f t="shared" si="13"/>
        <v/>
      </c>
      <c r="E218" s="45"/>
      <c r="F218" s="11" t="str">
        <f>IFERROR(VLOOKUP(E218,Category!$D$2:$E$600,2,FALSE),"")</f>
        <v/>
      </c>
      <c r="G218" s="45"/>
      <c r="H218" s="73"/>
      <c r="I218" s="18" t="str">
        <f t="shared" si="14"/>
        <v/>
      </c>
      <c r="J218" s="45"/>
      <c r="K218" s="45"/>
    </row>
    <row r="219" spans="1:11">
      <c r="A219" s="10" t="str">
        <f t="shared" si="15"/>
        <v/>
      </c>
      <c r="B219" s="45"/>
      <c r="C219" s="11" t="str">
        <f t="shared" si="12"/>
        <v/>
      </c>
      <c r="D219" s="11" t="str">
        <f t="shared" si="13"/>
        <v/>
      </c>
      <c r="E219" s="45"/>
      <c r="F219" s="11" t="str">
        <f>IFERROR(VLOOKUP(E219,Category!$D$2:$E$600,2,FALSE),"")</f>
        <v/>
      </c>
      <c r="G219" s="45"/>
      <c r="H219" s="73"/>
      <c r="I219" s="18" t="str">
        <f t="shared" si="14"/>
        <v/>
      </c>
      <c r="J219" s="45"/>
      <c r="K219" s="45"/>
    </row>
    <row r="220" spans="1:11">
      <c r="A220" s="10" t="str">
        <f t="shared" si="15"/>
        <v/>
      </c>
      <c r="B220" s="45"/>
      <c r="C220" s="11" t="str">
        <f t="shared" si="12"/>
        <v/>
      </c>
      <c r="D220" s="11" t="str">
        <f t="shared" si="13"/>
        <v/>
      </c>
      <c r="E220" s="45"/>
      <c r="F220" s="11" t="str">
        <f>IFERROR(VLOOKUP(E220,Category!$D$2:$E$600,2,FALSE),"")</f>
        <v/>
      </c>
      <c r="G220" s="45"/>
      <c r="H220" s="73"/>
      <c r="I220" s="18" t="str">
        <f t="shared" si="14"/>
        <v/>
      </c>
      <c r="J220" s="45"/>
      <c r="K220" s="45"/>
    </row>
    <row r="221" spans="1:11">
      <c r="A221" s="10" t="str">
        <f t="shared" si="15"/>
        <v/>
      </c>
      <c r="B221" s="45"/>
      <c r="C221" s="11" t="str">
        <f t="shared" si="12"/>
        <v/>
      </c>
      <c r="D221" s="11" t="str">
        <f t="shared" si="13"/>
        <v/>
      </c>
      <c r="E221" s="45"/>
      <c r="F221" s="11" t="str">
        <f>IFERROR(VLOOKUP(E221,Category!$D$2:$E$600,2,FALSE),"")</f>
        <v/>
      </c>
      <c r="G221" s="45"/>
      <c r="H221" s="73"/>
      <c r="I221" s="18" t="str">
        <f t="shared" si="14"/>
        <v/>
      </c>
      <c r="J221" s="45"/>
      <c r="K221" s="45"/>
    </row>
    <row r="222" spans="1:11">
      <c r="A222" s="10" t="str">
        <f t="shared" si="15"/>
        <v/>
      </c>
      <c r="B222" s="45"/>
      <c r="C222" s="11" t="str">
        <f t="shared" si="12"/>
        <v/>
      </c>
      <c r="D222" s="11" t="str">
        <f t="shared" si="13"/>
        <v/>
      </c>
      <c r="E222" s="45"/>
      <c r="F222" s="11" t="str">
        <f>IFERROR(VLOOKUP(E222,Category!$D$2:$E$600,2,FALSE),"")</f>
        <v/>
      </c>
      <c r="G222" s="45"/>
      <c r="H222" s="73"/>
      <c r="I222" s="18" t="str">
        <f t="shared" si="14"/>
        <v/>
      </c>
      <c r="J222" s="45"/>
      <c r="K222" s="45"/>
    </row>
    <row r="223" spans="1:11">
      <c r="A223" s="10" t="str">
        <f t="shared" si="15"/>
        <v/>
      </c>
      <c r="B223" s="45"/>
      <c r="C223" s="11" t="str">
        <f t="shared" si="12"/>
        <v/>
      </c>
      <c r="D223" s="11" t="str">
        <f t="shared" si="13"/>
        <v/>
      </c>
      <c r="E223" s="45"/>
      <c r="F223" s="11" t="str">
        <f>IFERROR(VLOOKUP(E223,Category!$D$2:$E$600,2,FALSE),"")</f>
        <v/>
      </c>
      <c r="G223" s="45"/>
      <c r="H223" s="73"/>
      <c r="I223" s="18" t="str">
        <f t="shared" si="14"/>
        <v/>
      </c>
      <c r="J223" s="45"/>
      <c r="K223" s="45"/>
    </row>
    <row r="224" spans="1:11">
      <c r="A224" s="10" t="str">
        <f t="shared" si="15"/>
        <v/>
      </c>
      <c r="B224" s="45"/>
      <c r="C224" s="11" t="str">
        <f t="shared" si="12"/>
        <v/>
      </c>
      <c r="D224" s="11" t="str">
        <f t="shared" si="13"/>
        <v/>
      </c>
      <c r="E224" s="45"/>
      <c r="F224" s="11" t="str">
        <f>IFERROR(VLOOKUP(E224,Category!$D$2:$E$600,2,FALSE),"")</f>
        <v/>
      </c>
      <c r="G224" s="45"/>
      <c r="H224" s="73"/>
      <c r="I224" s="18" t="str">
        <f t="shared" si="14"/>
        <v/>
      </c>
      <c r="J224" s="45"/>
      <c r="K224" s="45"/>
    </row>
    <row r="225" spans="1:11">
      <c r="A225" s="10" t="str">
        <f t="shared" si="15"/>
        <v/>
      </c>
      <c r="B225" s="45"/>
      <c r="C225" s="11" t="str">
        <f t="shared" si="12"/>
        <v/>
      </c>
      <c r="D225" s="11" t="str">
        <f t="shared" si="13"/>
        <v/>
      </c>
      <c r="E225" s="45"/>
      <c r="F225" s="11" t="str">
        <f>IFERROR(VLOOKUP(E225,Category!$D$2:$E$600,2,FALSE),"")</f>
        <v/>
      </c>
      <c r="G225" s="45"/>
      <c r="H225" s="73"/>
      <c r="I225" s="18" t="str">
        <f t="shared" si="14"/>
        <v/>
      </c>
      <c r="J225" s="45"/>
      <c r="K225" s="45"/>
    </row>
    <row r="226" spans="1:11">
      <c r="A226" s="10" t="str">
        <f t="shared" si="15"/>
        <v/>
      </c>
      <c r="B226" s="45"/>
      <c r="C226" s="11" t="str">
        <f t="shared" si="12"/>
        <v/>
      </c>
      <c r="D226" s="11" t="str">
        <f t="shared" si="13"/>
        <v/>
      </c>
      <c r="E226" s="45"/>
      <c r="F226" s="11" t="str">
        <f>IFERROR(VLOOKUP(E226,Category!$D$2:$E$600,2,FALSE),"")</f>
        <v/>
      </c>
      <c r="G226" s="45"/>
      <c r="H226" s="73"/>
      <c r="I226" s="18" t="str">
        <f t="shared" si="14"/>
        <v/>
      </c>
      <c r="J226" s="45"/>
      <c r="K226" s="45"/>
    </row>
    <row r="227" spans="1:11">
      <c r="A227" s="10" t="str">
        <f t="shared" si="15"/>
        <v/>
      </c>
      <c r="B227" s="45"/>
      <c r="C227" s="11" t="str">
        <f t="shared" si="12"/>
        <v/>
      </c>
      <c r="D227" s="11" t="str">
        <f t="shared" si="13"/>
        <v/>
      </c>
      <c r="E227" s="45"/>
      <c r="F227" s="11" t="str">
        <f>IFERROR(VLOOKUP(E227,Category!$D$2:$E$600,2,FALSE),"")</f>
        <v/>
      </c>
      <c r="G227" s="45"/>
      <c r="H227" s="73"/>
      <c r="I227" s="18" t="str">
        <f t="shared" si="14"/>
        <v/>
      </c>
      <c r="J227" s="45"/>
      <c r="K227" s="45"/>
    </row>
    <row r="228" spans="1:11">
      <c r="A228" s="10" t="str">
        <f t="shared" si="15"/>
        <v/>
      </c>
      <c r="B228" s="45"/>
      <c r="C228" s="11" t="str">
        <f t="shared" si="12"/>
        <v/>
      </c>
      <c r="D228" s="11" t="str">
        <f t="shared" si="13"/>
        <v/>
      </c>
      <c r="E228" s="45"/>
      <c r="F228" s="11" t="str">
        <f>IFERROR(VLOOKUP(E228,Category!$D$2:$E$600,2,FALSE),"")</f>
        <v/>
      </c>
      <c r="G228" s="45"/>
      <c r="H228" s="73"/>
      <c r="I228" s="18" t="str">
        <f t="shared" si="14"/>
        <v/>
      </c>
      <c r="J228" s="45"/>
      <c r="K228" s="45"/>
    </row>
    <row r="229" spans="1:11">
      <c r="A229" s="10" t="str">
        <f t="shared" si="15"/>
        <v/>
      </c>
      <c r="B229" s="45"/>
      <c r="C229" s="11" t="str">
        <f t="shared" si="12"/>
        <v/>
      </c>
      <c r="D229" s="11" t="str">
        <f t="shared" si="13"/>
        <v/>
      </c>
      <c r="E229" s="45"/>
      <c r="F229" s="11" t="str">
        <f>IFERROR(VLOOKUP(E229,Category!$D$2:$E$600,2,FALSE),"")</f>
        <v/>
      </c>
      <c r="G229" s="45"/>
      <c r="H229" s="73"/>
      <c r="I229" s="18" t="str">
        <f t="shared" si="14"/>
        <v/>
      </c>
      <c r="J229" s="45"/>
      <c r="K229" s="45"/>
    </row>
    <row r="230" spans="1:11">
      <c r="A230" s="10" t="str">
        <f t="shared" si="15"/>
        <v/>
      </c>
      <c r="B230" s="45"/>
      <c r="C230" s="11" t="str">
        <f t="shared" si="12"/>
        <v/>
      </c>
      <c r="D230" s="11" t="str">
        <f t="shared" si="13"/>
        <v/>
      </c>
      <c r="E230" s="45"/>
      <c r="F230" s="11" t="str">
        <f>IFERROR(VLOOKUP(E230,Category!$D$2:$E$600,2,FALSE),"")</f>
        <v/>
      </c>
      <c r="G230" s="45"/>
      <c r="H230" s="73"/>
      <c r="I230" s="18" t="str">
        <f t="shared" si="14"/>
        <v/>
      </c>
      <c r="J230" s="45"/>
      <c r="K230" s="45"/>
    </row>
    <row r="231" spans="1:11">
      <c r="A231" s="10" t="str">
        <f t="shared" si="15"/>
        <v/>
      </c>
      <c r="B231" s="45"/>
      <c r="C231" s="11" t="str">
        <f t="shared" si="12"/>
        <v/>
      </c>
      <c r="D231" s="11" t="str">
        <f t="shared" si="13"/>
        <v/>
      </c>
      <c r="E231" s="45"/>
      <c r="F231" s="11" t="str">
        <f>IFERROR(VLOOKUP(E231,Category!$D$2:$E$600,2,FALSE),"")</f>
        <v/>
      </c>
      <c r="G231" s="45"/>
      <c r="H231" s="73"/>
      <c r="I231" s="18" t="str">
        <f t="shared" si="14"/>
        <v/>
      </c>
      <c r="J231" s="45"/>
      <c r="K231" s="45"/>
    </row>
    <row r="232" spans="1:11">
      <c r="A232" s="10" t="str">
        <f t="shared" si="15"/>
        <v/>
      </c>
      <c r="B232" s="45"/>
      <c r="C232" s="11" t="str">
        <f t="shared" si="12"/>
        <v/>
      </c>
      <c r="D232" s="11" t="str">
        <f t="shared" si="13"/>
        <v/>
      </c>
      <c r="E232" s="45"/>
      <c r="F232" s="11" t="str">
        <f>IFERROR(VLOOKUP(E232,Category!$D$2:$E$600,2,FALSE),"")</f>
        <v/>
      </c>
      <c r="G232" s="45"/>
      <c r="H232" s="73"/>
      <c r="I232" s="18" t="str">
        <f t="shared" si="14"/>
        <v/>
      </c>
      <c r="J232" s="45"/>
      <c r="K232" s="45"/>
    </row>
    <row r="233" spans="1:11">
      <c r="A233" s="10" t="str">
        <f t="shared" si="15"/>
        <v/>
      </c>
      <c r="B233" s="45"/>
      <c r="C233" s="11" t="str">
        <f t="shared" si="12"/>
        <v/>
      </c>
      <c r="D233" s="11" t="str">
        <f t="shared" si="13"/>
        <v/>
      </c>
      <c r="E233" s="45"/>
      <c r="F233" s="11" t="str">
        <f>IFERROR(VLOOKUP(E233,Category!$D$2:$E$600,2,FALSE),"")</f>
        <v/>
      </c>
      <c r="G233" s="45"/>
      <c r="H233" s="73"/>
      <c r="I233" s="18" t="str">
        <f t="shared" si="14"/>
        <v/>
      </c>
      <c r="J233" s="45"/>
      <c r="K233" s="45"/>
    </row>
    <row r="234" spans="1:11">
      <c r="A234" s="10" t="str">
        <f t="shared" si="15"/>
        <v/>
      </c>
      <c r="B234" s="45"/>
      <c r="C234" s="11" t="str">
        <f t="shared" si="12"/>
        <v/>
      </c>
      <c r="D234" s="11" t="str">
        <f t="shared" si="13"/>
        <v/>
      </c>
      <c r="E234" s="45"/>
      <c r="F234" s="11" t="str">
        <f>IFERROR(VLOOKUP(E234,Category!$D$2:$E$600,2,FALSE),"")</f>
        <v/>
      </c>
      <c r="G234" s="45"/>
      <c r="H234" s="73"/>
      <c r="I234" s="18" t="str">
        <f t="shared" si="14"/>
        <v/>
      </c>
      <c r="J234" s="45"/>
      <c r="K234" s="45"/>
    </row>
    <row r="235" spans="1:11">
      <c r="A235" s="10" t="str">
        <f t="shared" si="15"/>
        <v/>
      </c>
      <c r="B235" s="45"/>
      <c r="C235" s="11" t="str">
        <f t="shared" si="12"/>
        <v/>
      </c>
      <c r="D235" s="11" t="str">
        <f t="shared" si="13"/>
        <v/>
      </c>
      <c r="E235" s="45"/>
      <c r="F235" s="11" t="str">
        <f>IFERROR(VLOOKUP(E235,Category!$D$2:$E$600,2,FALSE),"")</f>
        <v/>
      </c>
      <c r="G235" s="45"/>
      <c r="H235" s="73"/>
      <c r="I235" s="18" t="str">
        <f t="shared" si="14"/>
        <v/>
      </c>
      <c r="J235" s="45"/>
      <c r="K235" s="45"/>
    </row>
    <row r="236" spans="1:11">
      <c r="A236" s="10" t="str">
        <f t="shared" si="15"/>
        <v/>
      </c>
      <c r="B236" s="45"/>
      <c r="C236" s="11" t="str">
        <f t="shared" si="12"/>
        <v/>
      </c>
      <c r="D236" s="11" t="str">
        <f t="shared" si="13"/>
        <v/>
      </c>
      <c r="E236" s="45"/>
      <c r="F236" s="11" t="str">
        <f>IFERROR(VLOOKUP(E236,Category!$D$2:$E$600,2,FALSE),"")</f>
        <v/>
      </c>
      <c r="G236" s="45"/>
      <c r="H236" s="73"/>
      <c r="I236" s="18" t="str">
        <f t="shared" si="14"/>
        <v/>
      </c>
      <c r="J236" s="45"/>
      <c r="K236" s="45"/>
    </row>
    <row r="237" spans="1:11">
      <c r="A237" s="10" t="str">
        <f t="shared" si="15"/>
        <v/>
      </c>
      <c r="B237" s="45"/>
      <c r="C237" s="11" t="str">
        <f t="shared" si="12"/>
        <v/>
      </c>
      <c r="D237" s="11" t="str">
        <f t="shared" si="13"/>
        <v/>
      </c>
      <c r="E237" s="45"/>
      <c r="F237" s="11" t="str">
        <f>IFERROR(VLOOKUP(E237,Category!$D$2:$E$600,2,FALSE),"")</f>
        <v/>
      </c>
      <c r="G237" s="45"/>
      <c r="H237" s="73"/>
      <c r="I237" s="18" t="str">
        <f t="shared" si="14"/>
        <v/>
      </c>
      <c r="J237" s="45"/>
      <c r="K237" s="45"/>
    </row>
    <row r="238" spans="1:11">
      <c r="A238" s="10" t="str">
        <f t="shared" si="15"/>
        <v/>
      </c>
      <c r="B238" s="45"/>
      <c r="C238" s="11" t="str">
        <f t="shared" si="12"/>
        <v/>
      </c>
      <c r="D238" s="11" t="str">
        <f t="shared" si="13"/>
        <v/>
      </c>
      <c r="E238" s="45"/>
      <c r="F238" s="11" t="str">
        <f>IFERROR(VLOOKUP(E238,Category!$D$2:$E$600,2,FALSE),"")</f>
        <v/>
      </c>
      <c r="G238" s="45"/>
      <c r="H238" s="73"/>
      <c r="I238" s="18" t="str">
        <f t="shared" si="14"/>
        <v/>
      </c>
      <c r="J238" s="45"/>
      <c r="K238" s="45"/>
    </row>
    <row r="239" spans="1:11">
      <c r="A239" s="10" t="str">
        <f t="shared" si="15"/>
        <v/>
      </c>
      <c r="B239" s="45"/>
      <c r="C239" s="11" t="str">
        <f t="shared" si="12"/>
        <v/>
      </c>
      <c r="D239" s="11" t="str">
        <f t="shared" si="13"/>
        <v/>
      </c>
      <c r="E239" s="45"/>
      <c r="F239" s="11" t="str">
        <f>IFERROR(VLOOKUP(E239,Category!$D$2:$E$600,2,FALSE),"")</f>
        <v/>
      </c>
      <c r="G239" s="45"/>
      <c r="H239" s="73"/>
      <c r="I239" s="18" t="str">
        <f t="shared" si="14"/>
        <v/>
      </c>
      <c r="J239" s="45"/>
      <c r="K239" s="45"/>
    </row>
    <row r="240" spans="1:11">
      <c r="A240" s="10" t="str">
        <f t="shared" si="15"/>
        <v/>
      </c>
      <c r="B240" s="45"/>
      <c r="C240" s="11" t="str">
        <f t="shared" si="12"/>
        <v/>
      </c>
      <c r="D240" s="11" t="str">
        <f t="shared" si="13"/>
        <v/>
      </c>
      <c r="E240" s="45"/>
      <c r="F240" s="11" t="str">
        <f>IFERROR(VLOOKUP(E240,Category!$D$2:$E$600,2,FALSE),"")</f>
        <v/>
      </c>
      <c r="G240" s="45"/>
      <c r="H240" s="73"/>
      <c r="I240" s="18" t="str">
        <f t="shared" si="14"/>
        <v/>
      </c>
      <c r="J240" s="45"/>
      <c r="K240" s="45"/>
    </row>
    <row r="241" spans="1:11">
      <c r="A241" s="10" t="str">
        <f t="shared" si="15"/>
        <v/>
      </c>
      <c r="B241" s="45"/>
      <c r="C241" s="11" t="str">
        <f t="shared" si="12"/>
        <v/>
      </c>
      <c r="D241" s="11" t="str">
        <f t="shared" si="13"/>
        <v/>
      </c>
      <c r="E241" s="45"/>
      <c r="F241" s="11" t="str">
        <f>IFERROR(VLOOKUP(E241,Category!$D$2:$E$600,2,FALSE),"")</f>
        <v/>
      </c>
      <c r="G241" s="45"/>
      <c r="H241" s="73"/>
      <c r="I241" s="18" t="str">
        <f t="shared" si="14"/>
        <v/>
      </c>
      <c r="J241" s="45"/>
      <c r="K241" s="45"/>
    </row>
    <row r="242" spans="1:11">
      <c r="A242" s="10" t="str">
        <f t="shared" si="15"/>
        <v/>
      </c>
      <c r="B242" s="45"/>
      <c r="C242" s="11" t="str">
        <f t="shared" si="12"/>
        <v/>
      </c>
      <c r="D242" s="11" t="str">
        <f t="shared" si="13"/>
        <v/>
      </c>
      <c r="E242" s="45"/>
      <c r="F242" s="11" t="str">
        <f>IFERROR(VLOOKUP(E242,Category!$D$2:$E$600,2,FALSE),"")</f>
        <v/>
      </c>
      <c r="G242" s="45"/>
      <c r="H242" s="73"/>
      <c r="I242" s="18" t="str">
        <f t="shared" si="14"/>
        <v/>
      </c>
      <c r="J242" s="45"/>
      <c r="K242" s="45"/>
    </row>
    <row r="243" spans="1:11">
      <c r="A243" s="10" t="str">
        <f t="shared" si="15"/>
        <v/>
      </c>
      <c r="B243" s="45"/>
      <c r="C243" s="11" t="str">
        <f t="shared" si="12"/>
        <v/>
      </c>
      <c r="D243" s="11" t="str">
        <f t="shared" si="13"/>
        <v/>
      </c>
      <c r="E243" s="45"/>
      <c r="F243" s="11" t="str">
        <f>IFERROR(VLOOKUP(E243,Category!$D$2:$E$600,2,FALSE),"")</f>
        <v/>
      </c>
      <c r="G243" s="45"/>
      <c r="H243" s="73"/>
      <c r="I243" s="18" t="str">
        <f t="shared" si="14"/>
        <v/>
      </c>
      <c r="J243" s="45"/>
      <c r="K243" s="45"/>
    </row>
    <row r="244" spans="1:11">
      <c r="A244" s="10" t="str">
        <f t="shared" si="15"/>
        <v/>
      </c>
      <c r="B244" s="45"/>
      <c r="C244" s="11" t="str">
        <f t="shared" si="12"/>
        <v/>
      </c>
      <c r="D244" s="11" t="str">
        <f t="shared" si="13"/>
        <v/>
      </c>
      <c r="E244" s="45"/>
      <c r="F244" s="11" t="str">
        <f>IFERROR(VLOOKUP(E244,Category!$D$2:$E$600,2,FALSE),"")</f>
        <v/>
      </c>
      <c r="G244" s="45"/>
      <c r="H244" s="73"/>
      <c r="I244" s="18" t="str">
        <f t="shared" si="14"/>
        <v/>
      </c>
      <c r="J244" s="45"/>
      <c r="K244" s="45"/>
    </row>
    <row r="245" spans="1:11">
      <c r="A245" s="10" t="str">
        <f t="shared" si="15"/>
        <v/>
      </c>
      <c r="B245" s="45"/>
      <c r="C245" s="11" t="str">
        <f t="shared" si="12"/>
        <v/>
      </c>
      <c r="D245" s="11" t="str">
        <f t="shared" si="13"/>
        <v/>
      </c>
      <c r="E245" s="45"/>
      <c r="F245" s="11" t="str">
        <f>IFERROR(VLOOKUP(E245,Category!$D$2:$E$600,2,FALSE),"")</f>
        <v/>
      </c>
      <c r="G245" s="45"/>
      <c r="H245" s="73"/>
      <c r="I245" s="18" t="str">
        <f t="shared" si="14"/>
        <v/>
      </c>
      <c r="J245" s="45"/>
      <c r="K245" s="45"/>
    </row>
    <row r="246" spans="1:11">
      <c r="A246" s="10" t="str">
        <f t="shared" si="15"/>
        <v/>
      </c>
      <c r="B246" s="45"/>
      <c r="C246" s="11" t="str">
        <f t="shared" si="12"/>
        <v/>
      </c>
      <c r="D246" s="11" t="str">
        <f t="shared" si="13"/>
        <v/>
      </c>
      <c r="E246" s="45"/>
      <c r="F246" s="11" t="str">
        <f>IFERROR(VLOOKUP(E246,Category!$D$2:$E$600,2,FALSE),"")</f>
        <v/>
      </c>
      <c r="G246" s="45"/>
      <c r="H246" s="73"/>
      <c r="I246" s="18" t="str">
        <f t="shared" si="14"/>
        <v/>
      </c>
      <c r="J246" s="45"/>
      <c r="K246" s="45"/>
    </row>
    <row r="247" spans="1:11">
      <c r="A247" s="10" t="str">
        <f t="shared" si="15"/>
        <v/>
      </c>
      <c r="B247" s="45"/>
      <c r="C247" s="11" t="str">
        <f t="shared" si="12"/>
        <v/>
      </c>
      <c r="D247" s="11" t="str">
        <f t="shared" si="13"/>
        <v/>
      </c>
      <c r="E247" s="45"/>
      <c r="F247" s="11" t="str">
        <f>IFERROR(VLOOKUP(E247,Category!$D$2:$E$600,2,FALSE),"")</f>
        <v/>
      </c>
      <c r="G247" s="45"/>
      <c r="H247" s="73"/>
      <c r="I247" s="18" t="str">
        <f t="shared" si="14"/>
        <v/>
      </c>
      <c r="J247" s="45"/>
      <c r="K247" s="45"/>
    </row>
    <row r="248" spans="1:11">
      <c r="A248" s="10" t="str">
        <f t="shared" si="15"/>
        <v/>
      </c>
      <c r="B248" s="45"/>
      <c r="C248" s="11" t="str">
        <f t="shared" si="12"/>
        <v/>
      </c>
      <c r="D248" s="11" t="str">
        <f t="shared" si="13"/>
        <v/>
      </c>
      <c r="E248" s="45"/>
      <c r="F248" s="11" t="str">
        <f>IFERROR(VLOOKUP(E248,Category!$D$2:$E$600,2,FALSE),"")</f>
        <v/>
      </c>
      <c r="G248" s="45"/>
      <c r="H248" s="73"/>
      <c r="I248" s="18" t="str">
        <f t="shared" si="14"/>
        <v/>
      </c>
      <c r="J248" s="45"/>
      <c r="K248" s="45"/>
    </row>
    <row r="249" spans="1:11">
      <c r="A249" s="10" t="str">
        <f t="shared" si="15"/>
        <v/>
      </c>
      <c r="B249" s="45"/>
      <c r="C249" s="11" t="str">
        <f t="shared" si="12"/>
        <v/>
      </c>
      <c r="D249" s="11" t="str">
        <f t="shared" si="13"/>
        <v/>
      </c>
      <c r="E249" s="45"/>
      <c r="F249" s="11" t="str">
        <f>IFERROR(VLOOKUP(E249,Category!$D$2:$E$600,2,FALSE),"")</f>
        <v/>
      </c>
      <c r="G249" s="45"/>
      <c r="H249" s="73"/>
      <c r="I249" s="18" t="str">
        <f t="shared" si="14"/>
        <v/>
      </c>
      <c r="J249" s="45"/>
      <c r="K249" s="45"/>
    </row>
    <row r="250" spans="1:11">
      <c r="A250" s="10" t="str">
        <f t="shared" si="15"/>
        <v/>
      </c>
      <c r="B250" s="45"/>
      <c r="C250" s="11" t="str">
        <f t="shared" si="12"/>
        <v/>
      </c>
      <c r="D250" s="11" t="str">
        <f t="shared" si="13"/>
        <v/>
      </c>
      <c r="E250" s="45"/>
      <c r="F250" s="11" t="str">
        <f>IFERROR(VLOOKUP(E250,Category!$D$2:$E$600,2,FALSE),"")</f>
        <v/>
      </c>
      <c r="G250" s="45"/>
      <c r="H250" s="73"/>
      <c r="I250" s="18" t="str">
        <f t="shared" si="14"/>
        <v/>
      </c>
      <c r="J250" s="45"/>
      <c r="K250" s="45"/>
    </row>
    <row r="251" spans="1:11">
      <c r="A251" s="10" t="str">
        <f t="shared" si="15"/>
        <v/>
      </c>
      <c r="B251" s="45"/>
      <c r="C251" s="11" t="str">
        <f t="shared" si="12"/>
        <v/>
      </c>
      <c r="D251" s="11" t="str">
        <f t="shared" si="13"/>
        <v/>
      </c>
      <c r="E251" s="45"/>
      <c r="F251" s="11" t="str">
        <f>IFERROR(VLOOKUP(E251,Category!$D$2:$E$600,2,FALSE),"")</f>
        <v/>
      </c>
      <c r="G251" s="45"/>
      <c r="H251" s="73"/>
      <c r="I251" s="18" t="str">
        <f t="shared" si="14"/>
        <v/>
      </c>
      <c r="J251" s="45"/>
      <c r="K251" s="45"/>
    </row>
    <row r="252" spans="1:11">
      <c r="A252" s="10" t="str">
        <f t="shared" si="15"/>
        <v/>
      </c>
      <c r="B252" s="45"/>
      <c r="C252" s="11" t="str">
        <f t="shared" si="12"/>
        <v/>
      </c>
      <c r="D252" s="11" t="str">
        <f t="shared" si="13"/>
        <v/>
      </c>
      <c r="E252" s="45"/>
      <c r="F252" s="11" t="str">
        <f>IFERROR(VLOOKUP(E252,Category!$D$2:$E$600,2,FALSE),"")</f>
        <v/>
      </c>
      <c r="G252" s="45"/>
      <c r="H252" s="73"/>
      <c r="I252" s="18" t="str">
        <f t="shared" si="14"/>
        <v/>
      </c>
      <c r="J252" s="45"/>
      <c r="K252" s="45"/>
    </row>
    <row r="253" spans="1:11">
      <c r="A253" s="10" t="str">
        <f t="shared" si="15"/>
        <v/>
      </c>
      <c r="B253" s="45"/>
      <c r="C253" s="11" t="str">
        <f t="shared" si="12"/>
        <v/>
      </c>
      <c r="D253" s="11" t="str">
        <f t="shared" si="13"/>
        <v/>
      </c>
      <c r="E253" s="45"/>
      <c r="F253" s="11" t="str">
        <f>IFERROR(VLOOKUP(E253,Category!$D$2:$E$600,2,FALSE),"")</f>
        <v/>
      </c>
      <c r="G253" s="45"/>
      <c r="H253" s="73"/>
      <c r="I253" s="18" t="str">
        <f t="shared" si="14"/>
        <v/>
      </c>
      <c r="J253" s="45"/>
      <c r="K253" s="45"/>
    </row>
    <row r="254" spans="1:11">
      <c r="A254" s="10" t="str">
        <f t="shared" si="15"/>
        <v/>
      </c>
      <c r="B254" s="45"/>
      <c r="C254" s="11" t="str">
        <f t="shared" si="12"/>
        <v/>
      </c>
      <c r="D254" s="11" t="str">
        <f t="shared" si="13"/>
        <v/>
      </c>
      <c r="E254" s="45"/>
      <c r="F254" s="11" t="str">
        <f>IFERROR(VLOOKUP(E254,Category!$D$2:$E$600,2,FALSE),"")</f>
        <v/>
      </c>
      <c r="G254" s="45"/>
      <c r="H254" s="73"/>
      <c r="I254" s="18" t="str">
        <f t="shared" si="14"/>
        <v/>
      </c>
      <c r="J254" s="45"/>
      <c r="K254" s="45"/>
    </row>
    <row r="255" spans="1:11">
      <c r="A255" s="10" t="str">
        <f t="shared" si="15"/>
        <v/>
      </c>
      <c r="B255" s="45"/>
      <c r="C255" s="11" t="str">
        <f t="shared" si="12"/>
        <v/>
      </c>
      <c r="D255" s="11" t="str">
        <f t="shared" si="13"/>
        <v/>
      </c>
      <c r="E255" s="45"/>
      <c r="F255" s="11" t="str">
        <f>IFERROR(VLOOKUP(E255,Category!$D$2:$E$600,2,FALSE),"")</f>
        <v/>
      </c>
      <c r="G255" s="45"/>
      <c r="H255" s="73"/>
      <c r="I255" s="18" t="str">
        <f t="shared" si="14"/>
        <v/>
      </c>
      <c r="J255" s="45"/>
      <c r="K255" s="45"/>
    </row>
    <row r="256" spans="1:11">
      <c r="A256" s="10" t="str">
        <f t="shared" si="15"/>
        <v/>
      </c>
      <c r="B256" s="45"/>
      <c r="C256" s="11" t="str">
        <f t="shared" si="12"/>
        <v/>
      </c>
      <c r="D256" s="11" t="str">
        <f t="shared" si="13"/>
        <v/>
      </c>
      <c r="E256" s="45"/>
      <c r="F256" s="11" t="str">
        <f>IFERROR(VLOOKUP(E256,Category!$D$2:$E$600,2,FALSE),"")</f>
        <v/>
      </c>
      <c r="G256" s="45"/>
      <c r="H256" s="73"/>
      <c r="I256" s="18" t="str">
        <f t="shared" si="14"/>
        <v/>
      </c>
      <c r="J256" s="45"/>
      <c r="K256" s="45"/>
    </row>
    <row r="257" spans="1:11">
      <c r="A257" s="10" t="str">
        <f t="shared" si="15"/>
        <v/>
      </c>
      <c r="B257" s="45"/>
      <c r="C257" s="11" t="str">
        <f t="shared" si="12"/>
        <v/>
      </c>
      <c r="D257" s="11" t="str">
        <f t="shared" si="13"/>
        <v/>
      </c>
      <c r="E257" s="45"/>
      <c r="F257" s="11" t="str">
        <f>IFERROR(VLOOKUP(E257,Category!$D$2:$E$600,2,FALSE),"")</f>
        <v/>
      </c>
      <c r="G257" s="45"/>
      <c r="H257" s="73"/>
      <c r="I257" s="18" t="str">
        <f t="shared" si="14"/>
        <v/>
      </c>
      <c r="J257" s="45"/>
      <c r="K257" s="45"/>
    </row>
    <row r="258" spans="1:11">
      <c r="A258" s="10" t="str">
        <f t="shared" si="15"/>
        <v/>
      </c>
      <c r="B258" s="45"/>
      <c r="C258" s="11" t="str">
        <f t="shared" si="12"/>
        <v/>
      </c>
      <c r="D258" s="11" t="str">
        <f t="shared" si="13"/>
        <v/>
      </c>
      <c r="E258" s="45"/>
      <c r="F258" s="11" t="str">
        <f>IFERROR(VLOOKUP(E258,Category!$D$2:$E$600,2,FALSE),"")</f>
        <v/>
      </c>
      <c r="G258" s="45"/>
      <c r="H258" s="73"/>
      <c r="I258" s="18" t="str">
        <f t="shared" si="14"/>
        <v/>
      </c>
      <c r="J258" s="45"/>
      <c r="K258" s="45"/>
    </row>
    <row r="259" spans="1:11">
      <c r="A259" s="10" t="str">
        <f t="shared" si="15"/>
        <v/>
      </c>
      <c r="B259" s="45"/>
      <c r="C259" s="11" t="str">
        <f t="shared" ref="C259:C322" si="16">IF(B259=0,"",TEXT(B259,"mmmm"))</f>
        <v/>
      </c>
      <c r="D259" s="11" t="str">
        <f t="shared" ref="D259:D322" si="17">IF(B259=0,"",TEXT(B259,"yyyy"))</f>
        <v/>
      </c>
      <c r="E259" s="45"/>
      <c r="F259" s="11" t="str">
        <f>IFERROR(VLOOKUP(E259,Category!$D$2:$E$600,2,FALSE),"")</f>
        <v/>
      </c>
      <c r="G259" s="45"/>
      <c r="H259" s="73"/>
      <c r="I259" s="18" t="str">
        <f t="shared" ref="I259:I322" si="18">IF(G259*H259=0,"",G259*H259)</f>
        <v/>
      </c>
      <c r="J259" s="45"/>
      <c r="K259" s="45"/>
    </row>
    <row r="260" spans="1:11">
      <c r="A260" s="10" t="str">
        <f t="shared" ref="A260:A323" si="19">IF(E260&gt;0,A259+1,"")</f>
        <v/>
      </c>
      <c r="B260" s="45"/>
      <c r="C260" s="11" t="str">
        <f t="shared" si="16"/>
        <v/>
      </c>
      <c r="D260" s="11" t="str">
        <f t="shared" si="17"/>
        <v/>
      </c>
      <c r="E260" s="45"/>
      <c r="F260" s="11" t="str">
        <f>IFERROR(VLOOKUP(E260,Category!$D$2:$E$600,2,FALSE),"")</f>
        <v/>
      </c>
      <c r="G260" s="45"/>
      <c r="H260" s="73"/>
      <c r="I260" s="18" t="str">
        <f t="shared" si="18"/>
        <v/>
      </c>
      <c r="J260" s="45"/>
      <c r="K260" s="45"/>
    </row>
    <row r="261" spans="1:11">
      <c r="A261" s="10" t="str">
        <f t="shared" si="19"/>
        <v/>
      </c>
      <c r="B261" s="45"/>
      <c r="C261" s="11" t="str">
        <f t="shared" si="16"/>
        <v/>
      </c>
      <c r="D261" s="11" t="str">
        <f t="shared" si="17"/>
        <v/>
      </c>
      <c r="E261" s="45"/>
      <c r="F261" s="11" t="str">
        <f>IFERROR(VLOOKUP(E261,Category!$D$2:$E$600,2,FALSE),"")</f>
        <v/>
      </c>
      <c r="G261" s="45"/>
      <c r="H261" s="73"/>
      <c r="I261" s="18" t="str">
        <f t="shared" si="18"/>
        <v/>
      </c>
      <c r="J261" s="45"/>
      <c r="K261" s="45"/>
    </row>
    <row r="262" spans="1:11">
      <c r="A262" s="10" t="str">
        <f t="shared" si="19"/>
        <v/>
      </c>
      <c r="B262" s="45"/>
      <c r="C262" s="11" t="str">
        <f t="shared" si="16"/>
        <v/>
      </c>
      <c r="D262" s="11" t="str">
        <f t="shared" si="17"/>
        <v/>
      </c>
      <c r="E262" s="45"/>
      <c r="F262" s="11" t="str">
        <f>IFERROR(VLOOKUP(E262,Category!$D$2:$E$600,2,FALSE),"")</f>
        <v/>
      </c>
      <c r="G262" s="45"/>
      <c r="H262" s="73"/>
      <c r="I262" s="18" t="str">
        <f t="shared" si="18"/>
        <v/>
      </c>
      <c r="J262" s="45"/>
      <c r="K262" s="45"/>
    </row>
    <row r="263" spans="1:11">
      <c r="A263" s="10" t="str">
        <f t="shared" si="19"/>
        <v/>
      </c>
      <c r="B263" s="45"/>
      <c r="C263" s="11" t="str">
        <f t="shared" si="16"/>
        <v/>
      </c>
      <c r="D263" s="11" t="str">
        <f t="shared" si="17"/>
        <v/>
      </c>
      <c r="E263" s="45"/>
      <c r="F263" s="11" t="str">
        <f>IFERROR(VLOOKUP(E263,Category!$D$2:$E$600,2,FALSE),"")</f>
        <v/>
      </c>
      <c r="G263" s="45"/>
      <c r="H263" s="73"/>
      <c r="I263" s="18" t="str">
        <f t="shared" si="18"/>
        <v/>
      </c>
      <c r="J263" s="45"/>
      <c r="K263" s="45"/>
    </row>
    <row r="264" spans="1:11">
      <c r="A264" s="10" t="str">
        <f t="shared" si="19"/>
        <v/>
      </c>
      <c r="B264" s="45"/>
      <c r="C264" s="11" t="str">
        <f t="shared" si="16"/>
        <v/>
      </c>
      <c r="D264" s="11" t="str">
        <f t="shared" si="17"/>
        <v/>
      </c>
      <c r="E264" s="45"/>
      <c r="F264" s="11" t="str">
        <f>IFERROR(VLOOKUP(E264,Category!$D$2:$E$600,2,FALSE),"")</f>
        <v/>
      </c>
      <c r="G264" s="45"/>
      <c r="H264" s="73"/>
      <c r="I264" s="18" t="str">
        <f t="shared" si="18"/>
        <v/>
      </c>
      <c r="J264" s="45"/>
      <c r="K264" s="45"/>
    </row>
    <row r="265" spans="1:11">
      <c r="A265" s="10" t="str">
        <f t="shared" si="19"/>
        <v/>
      </c>
      <c r="B265" s="45"/>
      <c r="C265" s="11" t="str">
        <f t="shared" si="16"/>
        <v/>
      </c>
      <c r="D265" s="11" t="str">
        <f t="shared" si="17"/>
        <v/>
      </c>
      <c r="E265" s="45"/>
      <c r="F265" s="11" t="str">
        <f>IFERROR(VLOOKUP(E265,Category!$D$2:$E$600,2,FALSE),"")</f>
        <v/>
      </c>
      <c r="G265" s="45"/>
      <c r="H265" s="73"/>
      <c r="I265" s="18" t="str">
        <f t="shared" si="18"/>
        <v/>
      </c>
      <c r="J265" s="45"/>
      <c r="K265" s="45"/>
    </row>
    <row r="266" spans="1:11">
      <c r="A266" s="10" t="str">
        <f t="shared" si="19"/>
        <v/>
      </c>
      <c r="B266" s="45"/>
      <c r="C266" s="11" t="str">
        <f t="shared" si="16"/>
        <v/>
      </c>
      <c r="D266" s="11" t="str">
        <f t="shared" si="17"/>
        <v/>
      </c>
      <c r="E266" s="45"/>
      <c r="F266" s="11" t="str">
        <f>IFERROR(VLOOKUP(E266,Category!$D$2:$E$600,2,FALSE),"")</f>
        <v/>
      </c>
      <c r="G266" s="45"/>
      <c r="H266" s="73"/>
      <c r="I266" s="18" t="str">
        <f t="shared" si="18"/>
        <v/>
      </c>
      <c r="J266" s="45"/>
      <c r="K266" s="45"/>
    </row>
    <row r="267" spans="1:11">
      <c r="A267" s="10" t="str">
        <f t="shared" si="19"/>
        <v/>
      </c>
      <c r="B267" s="45"/>
      <c r="C267" s="11" t="str">
        <f t="shared" si="16"/>
        <v/>
      </c>
      <c r="D267" s="11" t="str">
        <f t="shared" si="17"/>
        <v/>
      </c>
      <c r="E267" s="45"/>
      <c r="F267" s="11" t="str">
        <f>IFERROR(VLOOKUP(E267,Category!$D$2:$E$600,2,FALSE),"")</f>
        <v/>
      </c>
      <c r="G267" s="45"/>
      <c r="H267" s="73"/>
      <c r="I267" s="18" t="str">
        <f t="shared" si="18"/>
        <v/>
      </c>
      <c r="J267" s="45"/>
      <c r="K267" s="45"/>
    </row>
    <row r="268" spans="1:11">
      <c r="A268" s="10" t="str">
        <f t="shared" si="19"/>
        <v/>
      </c>
      <c r="B268" s="45"/>
      <c r="C268" s="11" t="str">
        <f t="shared" si="16"/>
        <v/>
      </c>
      <c r="D268" s="11" t="str">
        <f t="shared" si="17"/>
        <v/>
      </c>
      <c r="E268" s="45"/>
      <c r="F268" s="11" t="str">
        <f>IFERROR(VLOOKUP(E268,Category!$D$2:$E$600,2,FALSE),"")</f>
        <v/>
      </c>
      <c r="G268" s="45"/>
      <c r="H268" s="73"/>
      <c r="I268" s="18" t="str">
        <f t="shared" si="18"/>
        <v/>
      </c>
      <c r="J268" s="45"/>
      <c r="K268" s="45"/>
    </row>
    <row r="269" spans="1:11">
      <c r="A269" s="10" t="str">
        <f t="shared" si="19"/>
        <v/>
      </c>
      <c r="B269" s="45"/>
      <c r="C269" s="11" t="str">
        <f t="shared" si="16"/>
        <v/>
      </c>
      <c r="D269" s="11" t="str">
        <f t="shared" si="17"/>
        <v/>
      </c>
      <c r="E269" s="45"/>
      <c r="F269" s="11" t="str">
        <f>IFERROR(VLOOKUP(E269,Category!$D$2:$E$600,2,FALSE),"")</f>
        <v/>
      </c>
      <c r="G269" s="45"/>
      <c r="H269" s="73"/>
      <c r="I269" s="18" t="str">
        <f t="shared" si="18"/>
        <v/>
      </c>
      <c r="J269" s="45"/>
      <c r="K269" s="45"/>
    </row>
    <row r="270" spans="1:11">
      <c r="A270" s="10" t="str">
        <f t="shared" si="19"/>
        <v/>
      </c>
      <c r="B270" s="45"/>
      <c r="C270" s="11" t="str">
        <f t="shared" si="16"/>
        <v/>
      </c>
      <c r="D270" s="11" t="str">
        <f t="shared" si="17"/>
        <v/>
      </c>
      <c r="E270" s="45"/>
      <c r="F270" s="11" t="str">
        <f>IFERROR(VLOOKUP(E270,Category!$D$2:$E$600,2,FALSE),"")</f>
        <v/>
      </c>
      <c r="G270" s="45"/>
      <c r="H270" s="73"/>
      <c r="I270" s="18" t="str">
        <f t="shared" si="18"/>
        <v/>
      </c>
      <c r="J270" s="45"/>
      <c r="K270" s="45"/>
    </row>
    <row r="271" spans="1:11">
      <c r="A271" s="10" t="str">
        <f t="shared" si="19"/>
        <v/>
      </c>
      <c r="B271" s="45"/>
      <c r="C271" s="11" t="str">
        <f t="shared" si="16"/>
        <v/>
      </c>
      <c r="D271" s="11" t="str">
        <f t="shared" si="17"/>
        <v/>
      </c>
      <c r="E271" s="45"/>
      <c r="F271" s="11" t="str">
        <f>IFERROR(VLOOKUP(E271,Category!$D$2:$E$600,2,FALSE),"")</f>
        <v/>
      </c>
      <c r="G271" s="45"/>
      <c r="H271" s="73"/>
      <c r="I271" s="18" t="str">
        <f t="shared" si="18"/>
        <v/>
      </c>
      <c r="J271" s="45"/>
      <c r="K271" s="45"/>
    </row>
    <row r="272" spans="1:11">
      <c r="A272" s="10" t="str">
        <f t="shared" si="19"/>
        <v/>
      </c>
      <c r="B272" s="45"/>
      <c r="C272" s="11" t="str">
        <f t="shared" si="16"/>
        <v/>
      </c>
      <c r="D272" s="11" t="str">
        <f t="shared" si="17"/>
        <v/>
      </c>
      <c r="E272" s="45"/>
      <c r="F272" s="11" t="str">
        <f>IFERROR(VLOOKUP(E272,Category!$D$2:$E$600,2,FALSE),"")</f>
        <v/>
      </c>
      <c r="G272" s="45"/>
      <c r="H272" s="73"/>
      <c r="I272" s="18" t="str">
        <f t="shared" si="18"/>
        <v/>
      </c>
      <c r="J272" s="45"/>
      <c r="K272" s="45"/>
    </row>
    <row r="273" spans="1:11">
      <c r="A273" s="10" t="str">
        <f t="shared" si="19"/>
        <v/>
      </c>
      <c r="B273" s="45"/>
      <c r="C273" s="11" t="str">
        <f t="shared" si="16"/>
        <v/>
      </c>
      <c r="D273" s="11" t="str">
        <f t="shared" si="17"/>
        <v/>
      </c>
      <c r="E273" s="45"/>
      <c r="F273" s="11" t="str">
        <f>IFERROR(VLOOKUP(E273,Category!$D$2:$E$600,2,FALSE),"")</f>
        <v/>
      </c>
      <c r="G273" s="45"/>
      <c r="H273" s="73"/>
      <c r="I273" s="18" t="str">
        <f t="shared" si="18"/>
        <v/>
      </c>
      <c r="J273" s="45"/>
      <c r="K273" s="45"/>
    </row>
    <row r="274" spans="1:11">
      <c r="A274" s="10" t="str">
        <f t="shared" si="19"/>
        <v/>
      </c>
      <c r="B274" s="45"/>
      <c r="C274" s="11" t="str">
        <f t="shared" si="16"/>
        <v/>
      </c>
      <c r="D274" s="11" t="str">
        <f t="shared" si="17"/>
        <v/>
      </c>
      <c r="E274" s="45"/>
      <c r="F274" s="11" t="str">
        <f>IFERROR(VLOOKUP(E274,Category!$D$2:$E$600,2,FALSE),"")</f>
        <v/>
      </c>
      <c r="G274" s="45"/>
      <c r="H274" s="73"/>
      <c r="I274" s="18" t="str">
        <f t="shared" si="18"/>
        <v/>
      </c>
      <c r="J274" s="45"/>
      <c r="K274" s="45"/>
    </row>
    <row r="275" spans="1:11">
      <c r="A275" s="10" t="str">
        <f t="shared" si="19"/>
        <v/>
      </c>
      <c r="B275" s="45"/>
      <c r="C275" s="11" t="str">
        <f t="shared" si="16"/>
        <v/>
      </c>
      <c r="D275" s="11" t="str">
        <f t="shared" si="17"/>
        <v/>
      </c>
      <c r="E275" s="45"/>
      <c r="F275" s="11" t="str">
        <f>IFERROR(VLOOKUP(E275,Category!$D$2:$E$600,2,FALSE),"")</f>
        <v/>
      </c>
      <c r="G275" s="45"/>
      <c r="H275" s="73"/>
      <c r="I275" s="18" t="str">
        <f t="shared" si="18"/>
        <v/>
      </c>
      <c r="J275" s="45"/>
      <c r="K275" s="45"/>
    </row>
    <row r="276" spans="1:11">
      <c r="A276" s="10" t="str">
        <f t="shared" si="19"/>
        <v/>
      </c>
      <c r="B276" s="45"/>
      <c r="C276" s="11" t="str">
        <f t="shared" si="16"/>
        <v/>
      </c>
      <c r="D276" s="11" t="str">
        <f t="shared" si="17"/>
        <v/>
      </c>
      <c r="E276" s="45"/>
      <c r="F276" s="11" t="str">
        <f>IFERROR(VLOOKUP(E276,Category!$D$2:$E$600,2,FALSE),"")</f>
        <v/>
      </c>
      <c r="G276" s="45"/>
      <c r="H276" s="73"/>
      <c r="I276" s="18" t="str">
        <f t="shared" si="18"/>
        <v/>
      </c>
      <c r="J276" s="45"/>
      <c r="K276" s="45"/>
    </row>
    <row r="277" spans="1:11">
      <c r="A277" s="10" t="str">
        <f t="shared" si="19"/>
        <v/>
      </c>
      <c r="B277" s="45"/>
      <c r="C277" s="11" t="str">
        <f t="shared" si="16"/>
        <v/>
      </c>
      <c r="D277" s="11" t="str">
        <f t="shared" si="17"/>
        <v/>
      </c>
      <c r="E277" s="45"/>
      <c r="F277" s="11" t="str">
        <f>IFERROR(VLOOKUP(E277,Category!$D$2:$E$600,2,FALSE),"")</f>
        <v/>
      </c>
      <c r="G277" s="45"/>
      <c r="H277" s="73"/>
      <c r="I277" s="18" t="str">
        <f t="shared" si="18"/>
        <v/>
      </c>
      <c r="J277" s="45"/>
      <c r="K277" s="45"/>
    </row>
    <row r="278" spans="1:11">
      <c r="A278" s="10" t="str">
        <f t="shared" si="19"/>
        <v/>
      </c>
      <c r="B278" s="45"/>
      <c r="C278" s="11" t="str">
        <f t="shared" si="16"/>
        <v/>
      </c>
      <c r="D278" s="11" t="str">
        <f t="shared" si="17"/>
        <v/>
      </c>
      <c r="E278" s="45"/>
      <c r="F278" s="11" t="str">
        <f>IFERROR(VLOOKUP(E278,Category!$D$2:$E$600,2,FALSE),"")</f>
        <v/>
      </c>
      <c r="G278" s="45"/>
      <c r="H278" s="73"/>
      <c r="I278" s="18" t="str">
        <f t="shared" si="18"/>
        <v/>
      </c>
      <c r="J278" s="45"/>
      <c r="K278" s="45"/>
    </row>
    <row r="279" spans="1:11">
      <c r="A279" s="10" t="str">
        <f t="shared" si="19"/>
        <v/>
      </c>
      <c r="B279" s="45"/>
      <c r="C279" s="11" t="str">
        <f t="shared" si="16"/>
        <v/>
      </c>
      <c r="D279" s="11" t="str">
        <f t="shared" si="17"/>
        <v/>
      </c>
      <c r="E279" s="45"/>
      <c r="F279" s="11" t="str">
        <f>IFERROR(VLOOKUP(E279,Category!$D$2:$E$600,2,FALSE),"")</f>
        <v/>
      </c>
      <c r="G279" s="45"/>
      <c r="H279" s="73"/>
      <c r="I279" s="18" t="str">
        <f t="shared" si="18"/>
        <v/>
      </c>
      <c r="J279" s="45"/>
      <c r="K279" s="45"/>
    </row>
    <row r="280" spans="1:11">
      <c r="A280" s="10" t="str">
        <f t="shared" si="19"/>
        <v/>
      </c>
      <c r="B280" s="45"/>
      <c r="C280" s="11" t="str">
        <f t="shared" si="16"/>
        <v/>
      </c>
      <c r="D280" s="11" t="str">
        <f t="shared" si="17"/>
        <v/>
      </c>
      <c r="E280" s="45"/>
      <c r="F280" s="11" t="str">
        <f>IFERROR(VLOOKUP(E280,Category!$D$2:$E$600,2,FALSE),"")</f>
        <v/>
      </c>
      <c r="G280" s="45"/>
      <c r="H280" s="73"/>
      <c r="I280" s="18" t="str">
        <f t="shared" si="18"/>
        <v/>
      </c>
      <c r="J280" s="45"/>
      <c r="K280" s="45"/>
    </row>
    <row r="281" spans="1:11">
      <c r="A281" s="10" t="str">
        <f t="shared" si="19"/>
        <v/>
      </c>
      <c r="B281" s="45"/>
      <c r="C281" s="11" t="str">
        <f t="shared" si="16"/>
        <v/>
      </c>
      <c r="D281" s="11" t="str">
        <f t="shared" si="17"/>
        <v/>
      </c>
      <c r="E281" s="45"/>
      <c r="F281" s="11" t="str">
        <f>IFERROR(VLOOKUP(E281,Category!$D$2:$E$600,2,FALSE),"")</f>
        <v/>
      </c>
      <c r="G281" s="45"/>
      <c r="H281" s="73"/>
      <c r="I281" s="18" t="str">
        <f t="shared" si="18"/>
        <v/>
      </c>
      <c r="J281" s="45"/>
      <c r="K281" s="45"/>
    </row>
    <row r="282" spans="1:11">
      <c r="A282" s="10" t="str">
        <f t="shared" si="19"/>
        <v/>
      </c>
      <c r="B282" s="45"/>
      <c r="C282" s="11" t="str">
        <f t="shared" si="16"/>
        <v/>
      </c>
      <c r="D282" s="11" t="str">
        <f t="shared" si="17"/>
        <v/>
      </c>
      <c r="E282" s="45"/>
      <c r="F282" s="11" t="str">
        <f>IFERROR(VLOOKUP(E282,Category!$D$2:$E$600,2,FALSE),"")</f>
        <v/>
      </c>
      <c r="G282" s="45"/>
      <c r="H282" s="73"/>
      <c r="I282" s="18" t="str">
        <f t="shared" si="18"/>
        <v/>
      </c>
      <c r="J282" s="45"/>
      <c r="K282" s="45"/>
    </row>
    <row r="283" spans="1:11">
      <c r="A283" s="10" t="str">
        <f t="shared" si="19"/>
        <v/>
      </c>
      <c r="B283" s="45"/>
      <c r="C283" s="11" t="str">
        <f t="shared" si="16"/>
        <v/>
      </c>
      <c r="D283" s="11" t="str">
        <f t="shared" si="17"/>
        <v/>
      </c>
      <c r="E283" s="45"/>
      <c r="F283" s="11" t="str">
        <f>IFERROR(VLOOKUP(E283,Category!$D$2:$E$600,2,FALSE),"")</f>
        <v/>
      </c>
      <c r="G283" s="45"/>
      <c r="H283" s="73"/>
      <c r="I283" s="18" t="str">
        <f t="shared" si="18"/>
        <v/>
      </c>
      <c r="J283" s="45"/>
      <c r="K283" s="45"/>
    </row>
    <row r="284" spans="1:11">
      <c r="A284" s="10" t="str">
        <f t="shared" si="19"/>
        <v/>
      </c>
      <c r="B284" s="45"/>
      <c r="C284" s="11" t="str">
        <f t="shared" si="16"/>
        <v/>
      </c>
      <c r="D284" s="11" t="str">
        <f t="shared" si="17"/>
        <v/>
      </c>
      <c r="E284" s="45"/>
      <c r="F284" s="11" t="str">
        <f>IFERROR(VLOOKUP(E284,Category!$D$2:$E$600,2,FALSE),"")</f>
        <v/>
      </c>
      <c r="G284" s="45"/>
      <c r="H284" s="73"/>
      <c r="I284" s="18" t="str">
        <f t="shared" si="18"/>
        <v/>
      </c>
      <c r="J284" s="45"/>
      <c r="K284" s="45"/>
    </row>
    <row r="285" spans="1:11">
      <c r="A285" s="10" t="str">
        <f t="shared" si="19"/>
        <v/>
      </c>
      <c r="B285" s="45"/>
      <c r="C285" s="11" t="str">
        <f t="shared" si="16"/>
        <v/>
      </c>
      <c r="D285" s="11" t="str">
        <f t="shared" si="17"/>
        <v/>
      </c>
      <c r="E285" s="45"/>
      <c r="F285" s="11" t="str">
        <f>IFERROR(VLOOKUP(E285,Category!$D$2:$E$600,2,FALSE),"")</f>
        <v/>
      </c>
      <c r="G285" s="45"/>
      <c r="H285" s="73"/>
      <c r="I285" s="18" t="str">
        <f t="shared" si="18"/>
        <v/>
      </c>
      <c r="J285" s="45"/>
      <c r="K285" s="45"/>
    </row>
    <row r="286" spans="1:11">
      <c r="A286" s="10" t="str">
        <f t="shared" si="19"/>
        <v/>
      </c>
      <c r="B286" s="45"/>
      <c r="C286" s="11" t="str">
        <f t="shared" si="16"/>
        <v/>
      </c>
      <c r="D286" s="11" t="str">
        <f t="shared" si="17"/>
        <v/>
      </c>
      <c r="E286" s="45"/>
      <c r="F286" s="11" t="str">
        <f>IFERROR(VLOOKUP(E286,Category!$D$2:$E$600,2,FALSE),"")</f>
        <v/>
      </c>
      <c r="G286" s="45"/>
      <c r="H286" s="73"/>
      <c r="I286" s="18" t="str">
        <f t="shared" si="18"/>
        <v/>
      </c>
      <c r="J286" s="45"/>
      <c r="K286" s="45"/>
    </row>
    <row r="287" spans="1:11">
      <c r="A287" s="10" t="str">
        <f t="shared" si="19"/>
        <v/>
      </c>
      <c r="B287" s="45"/>
      <c r="C287" s="11" t="str">
        <f t="shared" si="16"/>
        <v/>
      </c>
      <c r="D287" s="11" t="str">
        <f t="shared" si="17"/>
        <v/>
      </c>
      <c r="E287" s="45"/>
      <c r="F287" s="11" t="str">
        <f>IFERROR(VLOOKUP(E287,Category!$D$2:$E$600,2,FALSE),"")</f>
        <v/>
      </c>
      <c r="G287" s="45"/>
      <c r="H287" s="73"/>
      <c r="I287" s="18" t="str">
        <f t="shared" si="18"/>
        <v/>
      </c>
      <c r="J287" s="45"/>
      <c r="K287" s="45"/>
    </row>
    <row r="288" spans="1:11">
      <c r="A288" s="10" t="str">
        <f t="shared" si="19"/>
        <v/>
      </c>
      <c r="B288" s="45"/>
      <c r="C288" s="11" t="str">
        <f t="shared" si="16"/>
        <v/>
      </c>
      <c r="D288" s="11" t="str">
        <f t="shared" si="17"/>
        <v/>
      </c>
      <c r="E288" s="45"/>
      <c r="F288" s="11" t="str">
        <f>IFERROR(VLOOKUP(E288,Category!$D$2:$E$600,2,FALSE),"")</f>
        <v/>
      </c>
      <c r="G288" s="45"/>
      <c r="H288" s="73"/>
      <c r="I288" s="18" t="str">
        <f t="shared" si="18"/>
        <v/>
      </c>
      <c r="J288" s="45"/>
      <c r="K288" s="45"/>
    </row>
    <row r="289" spans="1:11">
      <c r="A289" s="10" t="str">
        <f t="shared" si="19"/>
        <v/>
      </c>
      <c r="B289" s="45"/>
      <c r="C289" s="11" t="str">
        <f t="shared" si="16"/>
        <v/>
      </c>
      <c r="D289" s="11" t="str">
        <f t="shared" si="17"/>
        <v/>
      </c>
      <c r="E289" s="45"/>
      <c r="F289" s="11" t="str">
        <f>IFERROR(VLOOKUP(E289,Category!$D$2:$E$600,2,FALSE),"")</f>
        <v/>
      </c>
      <c r="G289" s="45"/>
      <c r="H289" s="73"/>
      <c r="I289" s="18" t="str">
        <f t="shared" si="18"/>
        <v/>
      </c>
      <c r="J289" s="45"/>
      <c r="K289" s="45"/>
    </row>
    <row r="290" spans="1:11">
      <c r="A290" s="10" t="str">
        <f t="shared" si="19"/>
        <v/>
      </c>
      <c r="B290" s="45"/>
      <c r="C290" s="11" t="str">
        <f t="shared" si="16"/>
        <v/>
      </c>
      <c r="D290" s="11" t="str">
        <f t="shared" si="17"/>
        <v/>
      </c>
      <c r="E290" s="45"/>
      <c r="F290" s="11" t="str">
        <f>IFERROR(VLOOKUP(E290,Category!$D$2:$E$600,2,FALSE),"")</f>
        <v/>
      </c>
      <c r="G290" s="45"/>
      <c r="H290" s="73"/>
      <c r="I290" s="18" t="str">
        <f t="shared" si="18"/>
        <v/>
      </c>
      <c r="J290" s="45"/>
      <c r="K290" s="45"/>
    </row>
    <row r="291" spans="1:11">
      <c r="A291" s="10" t="str">
        <f t="shared" si="19"/>
        <v/>
      </c>
      <c r="B291" s="45"/>
      <c r="C291" s="11" t="str">
        <f t="shared" si="16"/>
        <v/>
      </c>
      <c r="D291" s="11" t="str">
        <f t="shared" si="17"/>
        <v/>
      </c>
      <c r="E291" s="45"/>
      <c r="F291" s="11" t="str">
        <f>IFERROR(VLOOKUP(E291,Category!$D$2:$E$600,2,FALSE),"")</f>
        <v/>
      </c>
      <c r="G291" s="45"/>
      <c r="H291" s="73"/>
      <c r="I291" s="18" t="str">
        <f t="shared" si="18"/>
        <v/>
      </c>
      <c r="J291" s="45"/>
      <c r="K291" s="45"/>
    </row>
    <row r="292" spans="1:11">
      <c r="A292" s="10" t="str">
        <f t="shared" si="19"/>
        <v/>
      </c>
      <c r="B292" s="45"/>
      <c r="C292" s="11" t="str">
        <f t="shared" si="16"/>
        <v/>
      </c>
      <c r="D292" s="11" t="str">
        <f t="shared" si="17"/>
        <v/>
      </c>
      <c r="E292" s="45"/>
      <c r="F292" s="11" t="str">
        <f>IFERROR(VLOOKUP(E292,Category!$D$2:$E$600,2,FALSE),"")</f>
        <v/>
      </c>
      <c r="G292" s="45"/>
      <c r="H292" s="73"/>
      <c r="I292" s="18" t="str">
        <f t="shared" si="18"/>
        <v/>
      </c>
      <c r="J292" s="45"/>
      <c r="K292" s="45"/>
    </row>
    <row r="293" spans="1:11">
      <c r="A293" s="10" t="str">
        <f t="shared" si="19"/>
        <v/>
      </c>
      <c r="B293" s="45"/>
      <c r="C293" s="11" t="str">
        <f t="shared" si="16"/>
        <v/>
      </c>
      <c r="D293" s="11" t="str">
        <f t="shared" si="17"/>
        <v/>
      </c>
      <c r="E293" s="45"/>
      <c r="F293" s="11" t="str">
        <f>IFERROR(VLOOKUP(E293,Category!$D$2:$E$600,2,FALSE),"")</f>
        <v/>
      </c>
      <c r="G293" s="45"/>
      <c r="H293" s="73"/>
      <c r="I293" s="18" t="str">
        <f t="shared" si="18"/>
        <v/>
      </c>
      <c r="J293" s="45"/>
      <c r="K293" s="45"/>
    </row>
    <row r="294" spans="1:11">
      <c r="A294" s="10" t="str">
        <f t="shared" si="19"/>
        <v/>
      </c>
      <c r="B294" s="45"/>
      <c r="C294" s="11" t="str">
        <f t="shared" si="16"/>
        <v/>
      </c>
      <c r="D294" s="11" t="str">
        <f t="shared" si="17"/>
        <v/>
      </c>
      <c r="E294" s="45"/>
      <c r="F294" s="11" t="str">
        <f>IFERROR(VLOOKUP(E294,Category!$D$2:$E$600,2,FALSE),"")</f>
        <v/>
      </c>
      <c r="G294" s="45"/>
      <c r="H294" s="73"/>
      <c r="I294" s="18" t="str">
        <f t="shared" si="18"/>
        <v/>
      </c>
      <c r="J294" s="45"/>
      <c r="K294" s="45"/>
    </row>
    <row r="295" spans="1:11">
      <c r="A295" s="10" t="str">
        <f t="shared" si="19"/>
        <v/>
      </c>
      <c r="B295" s="45"/>
      <c r="C295" s="11" t="str">
        <f t="shared" si="16"/>
        <v/>
      </c>
      <c r="D295" s="11" t="str">
        <f t="shared" si="17"/>
        <v/>
      </c>
      <c r="E295" s="45"/>
      <c r="F295" s="11" t="str">
        <f>IFERROR(VLOOKUP(E295,Category!$D$2:$E$600,2,FALSE),"")</f>
        <v/>
      </c>
      <c r="G295" s="45"/>
      <c r="H295" s="73"/>
      <c r="I295" s="18" t="str">
        <f t="shared" si="18"/>
        <v/>
      </c>
      <c r="J295" s="45"/>
      <c r="K295" s="45"/>
    </row>
    <row r="296" spans="1:11">
      <c r="A296" s="10" t="str">
        <f t="shared" si="19"/>
        <v/>
      </c>
      <c r="B296" s="45"/>
      <c r="C296" s="11" t="str">
        <f t="shared" si="16"/>
        <v/>
      </c>
      <c r="D296" s="11" t="str">
        <f t="shared" si="17"/>
        <v/>
      </c>
      <c r="E296" s="45"/>
      <c r="F296" s="11" t="str">
        <f>IFERROR(VLOOKUP(E296,Category!$D$2:$E$600,2,FALSE),"")</f>
        <v/>
      </c>
      <c r="G296" s="45"/>
      <c r="H296" s="73"/>
      <c r="I296" s="18" t="str">
        <f t="shared" si="18"/>
        <v/>
      </c>
      <c r="J296" s="45"/>
      <c r="K296" s="45"/>
    </row>
    <row r="297" spans="1:11">
      <c r="A297" s="10" t="str">
        <f t="shared" si="19"/>
        <v/>
      </c>
      <c r="B297" s="45"/>
      <c r="C297" s="11" t="str">
        <f t="shared" si="16"/>
        <v/>
      </c>
      <c r="D297" s="11" t="str">
        <f t="shared" si="17"/>
        <v/>
      </c>
      <c r="E297" s="45"/>
      <c r="F297" s="11" t="str">
        <f>IFERROR(VLOOKUP(E297,Category!$D$2:$E$600,2,FALSE),"")</f>
        <v/>
      </c>
      <c r="G297" s="45"/>
      <c r="H297" s="73"/>
      <c r="I297" s="18" t="str">
        <f t="shared" si="18"/>
        <v/>
      </c>
      <c r="J297" s="45"/>
      <c r="K297" s="45"/>
    </row>
    <row r="298" spans="1:11">
      <c r="A298" s="10" t="str">
        <f t="shared" si="19"/>
        <v/>
      </c>
      <c r="B298" s="45"/>
      <c r="C298" s="11" t="str">
        <f t="shared" si="16"/>
        <v/>
      </c>
      <c r="D298" s="11" t="str">
        <f t="shared" si="17"/>
        <v/>
      </c>
      <c r="E298" s="45"/>
      <c r="F298" s="11" t="str">
        <f>IFERROR(VLOOKUP(E298,Category!$D$2:$E$600,2,FALSE),"")</f>
        <v/>
      </c>
      <c r="G298" s="45"/>
      <c r="H298" s="73"/>
      <c r="I298" s="18" t="str">
        <f t="shared" si="18"/>
        <v/>
      </c>
      <c r="J298" s="45"/>
      <c r="K298" s="45"/>
    </row>
    <row r="299" spans="1:11">
      <c r="A299" s="10" t="str">
        <f t="shared" si="19"/>
        <v/>
      </c>
      <c r="B299" s="45"/>
      <c r="C299" s="11" t="str">
        <f t="shared" si="16"/>
        <v/>
      </c>
      <c r="D299" s="11" t="str">
        <f t="shared" si="17"/>
        <v/>
      </c>
      <c r="E299" s="45"/>
      <c r="F299" s="11" t="str">
        <f>IFERROR(VLOOKUP(E299,Category!$D$2:$E$600,2,FALSE),"")</f>
        <v/>
      </c>
      <c r="G299" s="45"/>
      <c r="H299" s="73"/>
      <c r="I299" s="18" t="str">
        <f t="shared" si="18"/>
        <v/>
      </c>
      <c r="J299" s="45"/>
      <c r="K299" s="45"/>
    </row>
    <row r="300" spans="1:11">
      <c r="A300" s="10" t="str">
        <f t="shared" si="19"/>
        <v/>
      </c>
      <c r="B300" s="45"/>
      <c r="C300" s="11" t="str">
        <f t="shared" si="16"/>
        <v/>
      </c>
      <c r="D300" s="11" t="str">
        <f t="shared" si="17"/>
        <v/>
      </c>
      <c r="E300" s="45"/>
      <c r="F300" s="11" t="str">
        <f>IFERROR(VLOOKUP(E300,Category!$D$2:$E$600,2,FALSE),"")</f>
        <v/>
      </c>
      <c r="G300" s="45"/>
      <c r="H300" s="73"/>
      <c r="I300" s="18" t="str">
        <f t="shared" si="18"/>
        <v/>
      </c>
      <c r="J300" s="45"/>
      <c r="K300" s="45"/>
    </row>
    <row r="301" spans="1:11">
      <c r="A301" s="10" t="str">
        <f t="shared" si="19"/>
        <v/>
      </c>
      <c r="B301" s="45"/>
      <c r="C301" s="11" t="str">
        <f t="shared" si="16"/>
        <v/>
      </c>
      <c r="D301" s="11" t="str">
        <f t="shared" si="17"/>
        <v/>
      </c>
      <c r="E301" s="45"/>
      <c r="F301" s="11" t="str">
        <f>IFERROR(VLOOKUP(E301,Category!$D$2:$E$600,2,FALSE),"")</f>
        <v/>
      </c>
      <c r="G301" s="45"/>
      <c r="H301" s="73"/>
      <c r="I301" s="18" t="str">
        <f t="shared" si="18"/>
        <v/>
      </c>
      <c r="J301" s="45"/>
      <c r="K301" s="45"/>
    </row>
    <row r="302" spans="1:11">
      <c r="A302" s="10" t="str">
        <f t="shared" si="19"/>
        <v/>
      </c>
      <c r="B302" s="45"/>
      <c r="C302" s="11" t="str">
        <f t="shared" si="16"/>
        <v/>
      </c>
      <c r="D302" s="11" t="str">
        <f t="shared" si="17"/>
        <v/>
      </c>
      <c r="E302" s="45"/>
      <c r="F302" s="11" t="str">
        <f>IFERROR(VLOOKUP(E302,Category!$D$2:$E$600,2,FALSE),"")</f>
        <v/>
      </c>
      <c r="G302" s="45"/>
      <c r="H302" s="73"/>
      <c r="I302" s="18" t="str">
        <f t="shared" si="18"/>
        <v/>
      </c>
      <c r="J302" s="45"/>
      <c r="K302" s="45"/>
    </row>
    <row r="303" spans="1:11">
      <c r="A303" s="10" t="str">
        <f t="shared" si="19"/>
        <v/>
      </c>
      <c r="B303" s="45"/>
      <c r="C303" s="11" t="str">
        <f t="shared" si="16"/>
        <v/>
      </c>
      <c r="D303" s="11" t="str">
        <f t="shared" si="17"/>
        <v/>
      </c>
      <c r="E303" s="45"/>
      <c r="F303" s="11" t="str">
        <f>IFERROR(VLOOKUP(E303,Category!$D$2:$E$600,2,FALSE),"")</f>
        <v/>
      </c>
      <c r="G303" s="45"/>
      <c r="H303" s="73"/>
      <c r="I303" s="18" t="str">
        <f t="shared" si="18"/>
        <v/>
      </c>
      <c r="J303" s="45"/>
      <c r="K303" s="45"/>
    </row>
    <row r="304" spans="1:11">
      <c r="A304" s="10" t="str">
        <f t="shared" si="19"/>
        <v/>
      </c>
      <c r="B304" s="45"/>
      <c r="C304" s="11" t="str">
        <f t="shared" si="16"/>
        <v/>
      </c>
      <c r="D304" s="11" t="str">
        <f t="shared" si="17"/>
        <v/>
      </c>
      <c r="E304" s="45"/>
      <c r="F304" s="11" t="str">
        <f>IFERROR(VLOOKUP(E304,Category!$D$2:$E$600,2,FALSE),"")</f>
        <v/>
      </c>
      <c r="G304" s="45"/>
      <c r="H304" s="73"/>
      <c r="I304" s="18" t="str">
        <f t="shared" si="18"/>
        <v/>
      </c>
      <c r="J304" s="45"/>
      <c r="K304" s="45"/>
    </row>
    <row r="305" spans="1:11">
      <c r="A305" s="10" t="str">
        <f t="shared" si="19"/>
        <v/>
      </c>
      <c r="B305" s="45"/>
      <c r="C305" s="11" t="str">
        <f t="shared" si="16"/>
        <v/>
      </c>
      <c r="D305" s="11" t="str">
        <f t="shared" si="17"/>
        <v/>
      </c>
      <c r="E305" s="45"/>
      <c r="F305" s="11" t="str">
        <f>IFERROR(VLOOKUP(E305,Category!$D$2:$E$600,2,FALSE),"")</f>
        <v/>
      </c>
      <c r="G305" s="45"/>
      <c r="H305" s="73"/>
      <c r="I305" s="18" t="str">
        <f t="shared" si="18"/>
        <v/>
      </c>
      <c r="J305" s="45"/>
      <c r="K305" s="45"/>
    </row>
    <row r="306" spans="1:11">
      <c r="A306" s="10" t="str">
        <f t="shared" si="19"/>
        <v/>
      </c>
      <c r="B306" s="45"/>
      <c r="C306" s="11" t="str">
        <f t="shared" si="16"/>
        <v/>
      </c>
      <c r="D306" s="11" t="str">
        <f t="shared" si="17"/>
        <v/>
      </c>
      <c r="E306" s="45"/>
      <c r="F306" s="11" t="str">
        <f>IFERROR(VLOOKUP(E306,Category!$D$2:$E$600,2,FALSE),"")</f>
        <v/>
      </c>
      <c r="G306" s="45"/>
      <c r="H306" s="73"/>
      <c r="I306" s="18" t="str">
        <f t="shared" si="18"/>
        <v/>
      </c>
      <c r="J306" s="45"/>
      <c r="K306" s="45"/>
    </row>
    <row r="307" spans="1:11">
      <c r="A307" s="10" t="str">
        <f t="shared" si="19"/>
        <v/>
      </c>
      <c r="B307" s="45"/>
      <c r="C307" s="11" t="str">
        <f t="shared" si="16"/>
        <v/>
      </c>
      <c r="D307" s="11" t="str">
        <f t="shared" si="17"/>
        <v/>
      </c>
      <c r="E307" s="45"/>
      <c r="F307" s="11" t="str">
        <f>IFERROR(VLOOKUP(E307,Category!$D$2:$E$600,2,FALSE),"")</f>
        <v/>
      </c>
      <c r="G307" s="45"/>
      <c r="H307" s="73"/>
      <c r="I307" s="18" t="str">
        <f t="shared" si="18"/>
        <v/>
      </c>
      <c r="J307" s="45"/>
      <c r="K307" s="45"/>
    </row>
    <row r="308" spans="1:11">
      <c r="A308" s="10" t="str">
        <f t="shared" si="19"/>
        <v/>
      </c>
      <c r="B308" s="45"/>
      <c r="C308" s="11" t="str">
        <f t="shared" si="16"/>
        <v/>
      </c>
      <c r="D308" s="11" t="str">
        <f t="shared" si="17"/>
        <v/>
      </c>
      <c r="E308" s="45"/>
      <c r="F308" s="11" t="str">
        <f>IFERROR(VLOOKUP(E308,Category!$D$2:$E$600,2,FALSE),"")</f>
        <v/>
      </c>
      <c r="G308" s="45"/>
      <c r="H308" s="73"/>
      <c r="I308" s="18" t="str">
        <f t="shared" si="18"/>
        <v/>
      </c>
      <c r="J308" s="45"/>
      <c r="K308" s="45"/>
    </row>
    <row r="309" spans="1:11">
      <c r="A309" s="10" t="str">
        <f t="shared" si="19"/>
        <v/>
      </c>
      <c r="B309" s="45"/>
      <c r="C309" s="11" t="str">
        <f t="shared" si="16"/>
        <v/>
      </c>
      <c r="D309" s="11" t="str">
        <f t="shared" si="17"/>
        <v/>
      </c>
      <c r="E309" s="45"/>
      <c r="F309" s="11" t="str">
        <f>IFERROR(VLOOKUP(E309,Category!$D$2:$E$600,2,FALSE),"")</f>
        <v/>
      </c>
      <c r="G309" s="45"/>
      <c r="H309" s="73"/>
      <c r="I309" s="18" t="str">
        <f t="shared" si="18"/>
        <v/>
      </c>
      <c r="J309" s="45"/>
      <c r="K309" s="45"/>
    </row>
    <row r="310" spans="1:11">
      <c r="A310" s="10" t="str">
        <f t="shared" si="19"/>
        <v/>
      </c>
      <c r="B310" s="45"/>
      <c r="C310" s="11" t="str">
        <f t="shared" si="16"/>
        <v/>
      </c>
      <c r="D310" s="11" t="str">
        <f t="shared" si="17"/>
        <v/>
      </c>
      <c r="E310" s="45"/>
      <c r="F310" s="11" t="str">
        <f>IFERROR(VLOOKUP(E310,Category!$D$2:$E$600,2,FALSE),"")</f>
        <v/>
      </c>
      <c r="G310" s="45"/>
      <c r="H310" s="73"/>
      <c r="I310" s="18" t="str">
        <f t="shared" si="18"/>
        <v/>
      </c>
      <c r="J310" s="45"/>
      <c r="K310" s="45"/>
    </row>
    <row r="311" spans="1:11">
      <c r="A311" s="10" t="str">
        <f t="shared" si="19"/>
        <v/>
      </c>
      <c r="B311" s="45"/>
      <c r="C311" s="11" t="str">
        <f t="shared" si="16"/>
        <v/>
      </c>
      <c r="D311" s="11" t="str">
        <f t="shared" si="17"/>
        <v/>
      </c>
      <c r="E311" s="45"/>
      <c r="F311" s="11" t="str">
        <f>IFERROR(VLOOKUP(E311,Category!$D$2:$E$600,2,FALSE),"")</f>
        <v/>
      </c>
      <c r="G311" s="45"/>
      <c r="H311" s="73"/>
      <c r="I311" s="18" t="str">
        <f t="shared" si="18"/>
        <v/>
      </c>
      <c r="J311" s="45"/>
      <c r="K311" s="45"/>
    </row>
    <row r="312" spans="1:11">
      <c r="A312" s="10" t="str">
        <f t="shared" si="19"/>
        <v/>
      </c>
      <c r="B312" s="45"/>
      <c r="C312" s="11" t="str">
        <f t="shared" si="16"/>
        <v/>
      </c>
      <c r="D312" s="11" t="str">
        <f t="shared" si="17"/>
        <v/>
      </c>
      <c r="E312" s="45"/>
      <c r="F312" s="11" t="str">
        <f>IFERROR(VLOOKUP(E312,Category!$D$2:$E$600,2,FALSE),"")</f>
        <v/>
      </c>
      <c r="G312" s="45"/>
      <c r="H312" s="73"/>
      <c r="I312" s="18" t="str">
        <f t="shared" si="18"/>
        <v/>
      </c>
      <c r="J312" s="45"/>
      <c r="K312" s="45"/>
    </row>
    <row r="313" spans="1:11">
      <c r="A313" s="10" t="str">
        <f t="shared" si="19"/>
        <v/>
      </c>
      <c r="B313" s="45"/>
      <c r="C313" s="11" t="str">
        <f t="shared" si="16"/>
        <v/>
      </c>
      <c r="D313" s="11" t="str">
        <f t="shared" si="17"/>
        <v/>
      </c>
      <c r="E313" s="45"/>
      <c r="F313" s="11" t="str">
        <f>IFERROR(VLOOKUP(E313,Category!$D$2:$E$600,2,FALSE),"")</f>
        <v/>
      </c>
      <c r="G313" s="45"/>
      <c r="H313" s="73"/>
      <c r="I313" s="18" t="str">
        <f t="shared" si="18"/>
        <v/>
      </c>
      <c r="J313" s="45"/>
      <c r="K313" s="45"/>
    </row>
    <row r="314" spans="1:11">
      <c r="A314" s="10" t="str">
        <f t="shared" si="19"/>
        <v/>
      </c>
      <c r="B314" s="45"/>
      <c r="C314" s="11" t="str">
        <f t="shared" si="16"/>
        <v/>
      </c>
      <c r="D314" s="11" t="str">
        <f t="shared" si="17"/>
        <v/>
      </c>
      <c r="E314" s="45"/>
      <c r="F314" s="11" t="str">
        <f>IFERROR(VLOOKUP(E314,Category!$D$2:$E$600,2,FALSE),"")</f>
        <v/>
      </c>
      <c r="G314" s="45"/>
      <c r="H314" s="73"/>
      <c r="I314" s="18" t="str">
        <f t="shared" si="18"/>
        <v/>
      </c>
      <c r="J314" s="45"/>
      <c r="K314" s="45"/>
    </row>
    <row r="315" spans="1:11">
      <c r="A315" s="10" t="str">
        <f t="shared" si="19"/>
        <v/>
      </c>
      <c r="B315" s="45"/>
      <c r="C315" s="11" t="str">
        <f t="shared" si="16"/>
        <v/>
      </c>
      <c r="D315" s="11" t="str">
        <f t="shared" si="17"/>
        <v/>
      </c>
      <c r="E315" s="45"/>
      <c r="F315" s="11" t="str">
        <f>IFERROR(VLOOKUP(E315,Category!$D$2:$E$600,2,FALSE),"")</f>
        <v/>
      </c>
      <c r="G315" s="45"/>
      <c r="H315" s="73"/>
      <c r="I315" s="18" t="str">
        <f t="shared" si="18"/>
        <v/>
      </c>
      <c r="J315" s="45"/>
      <c r="K315" s="45"/>
    </row>
    <row r="316" spans="1:11">
      <c r="A316" s="10" t="str">
        <f t="shared" si="19"/>
        <v/>
      </c>
      <c r="B316" s="45"/>
      <c r="C316" s="11" t="str">
        <f t="shared" si="16"/>
        <v/>
      </c>
      <c r="D316" s="11" t="str">
        <f t="shared" si="17"/>
        <v/>
      </c>
      <c r="E316" s="45"/>
      <c r="F316" s="11" t="str">
        <f>IFERROR(VLOOKUP(E316,Category!$D$2:$E$600,2,FALSE),"")</f>
        <v/>
      </c>
      <c r="G316" s="45"/>
      <c r="H316" s="73"/>
      <c r="I316" s="18" t="str">
        <f t="shared" si="18"/>
        <v/>
      </c>
      <c r="J316" s="45"/>
      <c r="K316" s="45"/>
    </row>
    <row r="317" spans="1:11">
      <c r="A317" s="10" t="str">
        <f t="shared" si="19"/>
        <v/>
      </c>
      <c r="B317" s="45"/>
      <c r="C317" s="11" t="str">
        <f t="shared" si="16"/>
        <v/>
      </c>
      <c r="D317" s="11" t="str">
        <f t="shared" si="17"/>
        <v/>
      </c>
      <c r="E317" s="45"/>
      <c r="F317" s="11" t="str">
        <f>IFERROR(VLOOKUP(E317,Category!$D$2:$E$600,2,FALSE),"")</f>
        <v/>
      </c>
      <c r="G317" s="45"/>
      <c r="H317" s="73"/>
      <c r="I317" s="18" t="str">
        <f t="shared" si="18"/>
        <v/>
      </c>
      <c r="J317" s="45"/>
      <c r="K317" s="45"/>
    </row>
    <row r="318" spans="1:11">
      <c r="A318" s="10" t="str">
        <f t="shared" si="19"/>
        <v/>
      </c>
      <c r="B318" s="45"/>
      <c r="C318" s="11" t="str">
        <f t="shared" si="16"/>
        <v/>
      </c>
      <c r="D318" s="11" t="str">
        <f t="shared" si="17"/>
        <v/>
      </c>
      <c r="E318" s="45"/>
      <c r="F318" s="11" t="str">
        <f>IFERROR(VLOOKUP(E318,Category!$D$2:$E$600,2,FALSE),"")</f>
        <v/>
      </c>
      <c r="G318" s="45"/>
      <c r="H318" s="73"/>
      <c r="I318" s="18" t="str">
        <f t="shared" si="18"/>
        <v/>
      </c>
      <c r="J318" s="45"/>
      <c r="K318" s="45"/>
    </row>
    <row r="319" spans="1:11">
      <c r="A319" s="10" t="str">
        <f t="shared" si="19"/>
        <v/>
      </c>
      <c r="B319" s="45"/>
      <c r="C319" s="11" t="str">
        <f t="shared" si="16"/>
        <v/>
      </c>
      <c r="D319" s="11" t="str">
        <f t="shared" si="17"/>
        <v/>
      </c>
      <c r="E319" s="45"/>
      <c r="F319" s="11" t="str">
        <f>IFERROR(VLOOKUP(E319,Category!$D$2:$E$600,2,FALSE),"")</f>
        <v/>
      </c>
      <c r="G319" s="45"/>
      <c r="H319" s="73"/>
      <c r="I319" s="18" t="str">
        <f t="shared" si="18"/>
        <v/>
      </c>
      <c r="J319" s="45"/>
      <c r="K319" s="45"/>
    </row>
    <row r="320" spans="1:11">
      <c r="A320" s="10" t="str">
        <f t="shared" si="19"/>
        <v/>
      </c>
      <c r="B320" s="45"/>
      <c r="C320" s="11" t="str">
        <f t="shared" si="16"/>
        <v/>
      </c>
      <c r="D320" s="11" t="str">
        <f t="shared" si="17"/>
        <v/>
      </c>
      <c r="E320" s="45"/>
      <c r="F320" s="11" t="str">
        <f>IFERROR(VLOOKUP(E320,Category!$D$2:$E$600,2,FALSE),"")</f>
        <v/>
      </c>
      <c r="G320" s="45"/>
      <c r="H320" s="73"/>
      <c r="I320" s="18" t="str">
        <f t="shared" si="18"/>
        <v/>
      </c>
      <c r="J320" s="45"/>
      <c r="K320" s="45"/>
    </row>
    <row r="321" spans="1:11">
      <c r="A321" s="10" t="str">
        <f t="shared" si="19"/>
        <v/>
      </c>
      <c r="B321" s="45"/>
      <c r="C321" s="11" t="str">
        <f t="shared" si="16"/>
        <v/>
      </c>
      <c r="D321" s="11" t="str">
        <f t="shared" si="17"/>
        <v/>
      </c>
      <c r="E321" s="45"/>
      <c r="F321" s="11" t="str">
        <f>IFERROR(VLOOKUP(E321,Category!$D$2:$E$600,2,FALSE),"")</f>
        <v/>
      </c>
      <c r="G321" s="45"/>
      <c r="H321" s="73"/>
      <c r="I321" s="18" t="str">
        <f t="shared" si="18"/>
        <v/>
      </c>
      <c r="J321" s="45"/>
      <c r="K321" s="45"/>
    </row>
    <row r="322" spans="1:11">
      <c r="A322" s="10" t="str">
        <f t="shared" si="19"/>
        <v/>
      </c>
      <c r="B322" s="45"/>
      <c r="C322" s="11" t="str">
        <f t="shared" si="16"/>
        <v/>
      </c>
      <c r="D322" s="11" t="str">
        <f t="shared" si="17"/>
        <v/>
      </c>
      <c r="E322" s="45"/>
      <c r="F322" s="11" t="str">
        <f>IFERROR(VLOOKUP(E322,Category!$D$2:$E$600,2,FALSE),"")</f>
        <v/>
      </c>
      <c r="G322" s="45"/>
      <c r="H322" s="73"/>
      <c r="I322" s="18" t="str">
        <f t="shared" si="18"/>
        <v/>
      </c>
      <c r="J322" s="45"/>
      <c r="K322" s="45"/>
    </row>
    <row r="323" spans="1:11">
      <c r="A323" s="10" t="str">
        <f t="shared" si="19"/>
        <v/>
      </c>
      <c r="B323" s="45"/>
      <c r="C323" s="11" t="str">
        <f t="shared" ref="C323:C386" si="20">IF(B323=0,"",TEXT(B323,"mmmm"))</f>
        <v/>
      </c>
      <c r="D323" s="11" t="str">
        <f t="shared" ref="D323:D386" si="21">IF(B323=0,"",TEXT(B323,"yyyy"))</f>
        <v/>
      </c>
      <c r="E323" s="45"/>
      <c r="F323" s="11" t="str">
        <f>IFERROR(VLOOKUP(E323,Category!$D$2:$E$600,2,FALSE),"")</f>
        <v/>
      </c>
      <c r="G323" s="45"/>
      <c r="H323" s="73"/>
      <c r="I323" s="18" t="str">
        <f t="shared" ref="I323:I386" si="22">IF(G323*H323=0,"",G323*H323)</f>
        <v/>
      </c>
      <c r="J323" s="45"/>
      <c r="K323" s="45"/>
    </row>
    <row r="324" spans="1:11">
      <c r="A324" s="10" t="str">
        <f t="shared" ref="A324:A387" si="23">IF(E324&gt;0,A323+1,"")</f>
        <v/>
      </c>
      <c r="B324" s="45"/>
      <c r="C324" s="11" t="str">
        <f t="shared" si="20"/>
        <v/>
      </c>
      <c r="D324" s="11" t="str">
        <f t="shared" si="21"/>
        <v/>
      </c>
      <c r="E324" s="45"/>
      <c r="F324" s="11" t="str">
        <f>IFERROR(VLOOKUP(E324,Category!$D$2:$E$600,2,FALSE),"")</f>
        <v/>
      </c>
      <c r="G324" s="45"/>
      <c r="H324" s="73"/>
      <c r="I324" s="18" t="str">
        <f t="shared" si="22"/>
        <v/>
      </c>
      <c r="J324" s="45"/>
      <c r="K324" s="45"/>
    </row>
    <row r="325" spans="1:11">
      <c r="A325" s="10" t="str">
        <f t="shared" si="23"/>
        <v/>
      </c>
      <c r="B325" s="45"/>
      <c r="C325" s="11" t="str">
        <f t="shared" si="20"/>
        <v/>
      </c>
      <c r="D325" s="11" t="str">
        <f t="shared" si="21"/>
        <v/>
      </c>
      <c r="E325" s="45"/>
      <c r="F325" s="11" t="str">
        <f>IFERROR(VLOOKUP(E325,Category!$D$2:$E$600,2,FALSE),"")</f>
        <v/>
      </c>
      <c r="G325" s="45"/>
      <c r="H325" s="73"/>
      <c r="I325" s="18" t="str">
        <f t="shared" si="22"/>
        <v/>
      </c>
      <c r="J325" s="45"/>
      <c r="K325" s="45"/>
    </row>
    <row r="326" spans="1:11">
      <c r="A326" s="10" t="str">
        <f t="shared" si="23"/>
        <v/>
      </c>
      <c r="B326" s="45"/>
      <c r="C326" s="11" t="str">
        <f t="shared" si="20"/>
        <v/>
      </c>
      <c r="D326" s="11" t="str">
        <f t="shared" si="21"/>
        <v/>
      </c>
      <c r="E326" s="45"/>
      <c r="F326" s="11" t="str">
        <f>IFERROR(VLOOKUP(E326,Category!$D$2:$E$600,2,FALSE),"")</f>
        <v/>
      </c>
      <c r="G326" s="45"/>
      <c r="H326" s="73"/>
      <c r="I326" s="18" t="str">
        <f t="shared" si="22"/>
        <v/>
      </c>
      <c r="J326" s="45"/>
      <c r="K326" s="45"/>
    </row>
    <row r="327" spans="1:11">
      <c r="A327" s="10" t="str">
        <f t="shared" si="23"/>
        <v/>
      </c>
      <c r="B327" s="45"/>
      <c r="C327" s="11" t="str">
        <f t="shared" si="20"/>
        <v/>
      </c>
      <c r="D327" s="11" t="str">
        <f t="shared" si="21"/>
        <v/>
      </c>
      <c r="E327" s="45"/>
      <c r="F327" s="11" t="str">
        <f>IFERROR(VLOOKUP(E327,Category!$D$2:$E$600,2,FALSE),"")</f>
        <v/>
      </c>
      <c r="G327" s="45"/>
      <c r="H327" s="73"/>
      <c r="I327" s="18" t="str">
        <f t="shared" si="22"/>
        <v/>
      </c>
      <c r="J327" s="45"/>
      <c r="K327" s="45"/>
    </row>
    <row r="328" spans="1:11">
      <c r="A328" s="10" t="str">
        <f t="shared" si="23"/>
        <v/>
      </c>
      <c r="B328" s="45"/>
      <c r="C328" s="11" t="str">
        <f t="shared" si="20"/>
        <v/>
      </c>
      <c r="D328" s="11" t="str">
        <f t="shared" si="21"/>
        <v/>
      </c>
      <c r="E328" s="45"/>
      <c r="F328" s="11" t="str">
        <f>IFERROR(VLOOKUP(E328,Category!$D$2:$E$600,2,FALSE),"")</f>
        <v/>
      </c>
      <c r="G328" s="45"/>
      <c r="H328" s="73"/>
      <c r="I328" s="18" t="str">
        <f t="shared" si="22"/>
        <v/>
      </c>
      <c r="J328" s="45"/>
      <c r="K328" s="45"/>
    </row>
    <row r="329" spans="1:11">
      <c r="A329" s="10" t="str">
        <f t="shared" si="23"/>
        <v/>
      </c>
      <c r="B329" s="45"/>
      <c r="C329" s="11" t="str">
        <f t="shared" si="20"/>
        <v/>
      </c>
      <c r="D329" s="11" t="str">
        <f t="shared" si="21"/>
        <v/>
      </c>
      <c r="E329" s="45"/>
      <c r="F329" s="11" t="str">
        <f>IFERROR(VLOOKUP(E329,Category!$D$2:$E$600,2,FALSE),"")</f>
        <v/>
      </c>
      <c r="G329" s="45"/>
      <c r="H329" s="73"/>
      <c r="I329" s="18" t="str">
        <f t="shared" si="22"/>
        <v/>
      </c>
      <c r="J329" s="45"/>
      <c r="K329" s="45"/>
    </row>
    <row r="330" spans="1:11">
      <c r="A330" s="10" t="str">
        <f t="shared" si="23"/>
        <v/>
      </c>
      <c r="B330" s="45"/>
      <c r="C330" s="11" t="str">
        <f t="shared" si="20"/>
        <v/>
      </c>
      <c r="D330" s="11" t="str">
        <f t="shared" si="21"/>
        <v/>
      </c>
      <c r="E330" s="45"/>
      <c r="F330" s="11" t="str">
        <f>IFERROR(VLOOKUP(E330,Category!$D$2:$E$600,2,FALSE),"")</f>
        <v/>
      </c>
      <c r="G330" s="45"/>
      <c r="H330" s="73"/>
      <c r="I330" s="18" t="str">
        <f t="shared" si="22"/>
        <v/>
      </c>
      <c r="J330" s="45"/>
      <c r="K330" s="45"/>
    </row>
    <row r="331" spans="1:11">
      <c r="A331" s="10" t="str">
        <f t="shared" si="23"/>
        <v/>
      </c>
      <c r="B331" s="45"/>
      <c r="C331" s="11" t="str">
        <f t="shared" si="20"/>
        <v/>
      </c>
      <c r="D331" s="11" t="str">
        <f t="shared" si="21"/>
        <v/>
      </c>
      <c r="E331" s="45"/>
      <c r="F331" s="11" t="str">
        <f>IFERROR(VLOOKUP(E331,Category!$D$2:$E$600,2,FALSE),"")</f>
        <v/>
      </c>
      <c r="G331" s="45"/>
      <c r="H331" s="73"/>
      <c r="I331" s="18" t="str">
        <f t="shared" si="22"/>
        <v/>
      </c>
      <c r="J331" s="45"/>
      <c r="K331" s="45"/>
    </row>
    <row r="332" spans="1:11">
      <c r="A332" s="10" t="str">
        <f t="shared" si="23"/>
        <v/>
      </c>
      <c r="B332" s="45"/>
      <c r="C332" s="11" t="str">
        <f t="shared" si="20"/>
        <v/>
      </c>
      <c r="D332" s="11" t="str">
        <f t="shared" si="21"/>
        <v/>
      </c>
      <c r="E332" s="45"/>
      <c r="F332" s="11" t="str">
        <f>IFERROR(VLOOKUP(E332,Category!$D$2:$E$600,2,FALSE),"")</f>
        <v/>
      </c>
      <c r="G332" s="45"/>
      <c r="H332" s="73"/>
      <c r="I332" s="18" t="str">
        <f t="shared" si="22"/>
        <v/>
      </c>
      <c r="J332" s="45"/>
      <c r="K332" s="45"/>
    </row>
    <row r="333" spans="1:11">
      <c r="A333" s="10" t="str">
        <f t="shared" si="23"/>
        <v/>
      </c>
      <c r="B333" s="45"/>
      <c r="C333" s="11" t="str">
        <f t="shared" si="20"/>
        <v/>
      </c>
      <c r="D333" s="11" t="str">
        <f t="shared" si="21"/>
        <v/>
      </c>
      <c r="E333" s="45"/>
      <c r="F333" s="11" t="str">
        <f>IFERROR(VLOOKUP(E333,Category!$D$2:$E$600,2,FALSE),"")</f>
        <v/>
      </c>
      <c r="G333" s="45"/>
      <c r="H333" s="73"/>
      <c r="I333" s="18" t="str">
        <f t="shared" si="22"/>
        <v/>
      </c>
      <c r="J333" s="45"/>
      <c r="K333" s="45"/>
    </row>
    <row r="334" spans="1:11">
      <c r="A334" s="10" t="str">
        <f t="shared" si="23"/>
        <v/>
      </c>
      <c r="B334" s="45"/>
      <c r="C334" s="11" t="str">
        <f t="shared" si="20"/>
        <v/>
      </c>
      <c r="D334" s="11" t="str">
        <f t="shared" si="21"/>
        <v/>
      </c>
      <c r="E334" s="45"/>
      <c r="F334" s="11" t="str">
        <f>IFERROR(VLOOKUP(E334,Category!$D$2:$E$600,2,FALSE),"")</f>
        <v/>
      </c>
      <c r="G334" s="45"/>
      <c r="H334" s="73"/>
      <c r="I334" s="18" t="str">
        <f t="shared" si="22"/>
        <v/>
      </c>
      <c r="J334" s="45"/>
      <c r="K334" s="45"/>
    </row>
    <row r="335" spans="1:11">
      <c r="A335" s="10" t="str">
        <f t="shared" si="23"/>
        <v/>
      </c>
      <c r="B335" s="45"/>
      <c r="C335" s="11" t="str">
        <f t="shared" si="20"/>
        <v/>
      </c>
      <c r="D335" s="11" t="str">
        <f t="shared" si="21"/>
        <v/>
      </c>
      <c r="E335" s="45"/>
      <c r="F335" s="11" t="str">
        <f>IFERROR(VLOOKUP(E335,Category!$D$2:$E$600,2,FALSE),"")</f>
        <v/>
      </c>
      <c r="G335" s="45"/>
      <c r="H335" s="73"/>
      <c r="I335" s="18" t="str">
        <f t="shared" si="22"/>
        <v/>
      </c>
      <c r="J335" s="45"/>
      <c r="K335" s="45"/>
    </row>
    <row r="336" spans="1:11">
      <c r="A336" s="10" t="str">
        <f t="shared" si="23"/>
        <v/>
      </c>
      <c r="B336" s="45"/>
      <c r="C336" s="11" t="str">
        <f t="shared" si="20"/>
        <v/>
      </c>
      <c r="D336" s="11" t="str">
        <f t="shared" si="21"/>
        <v/>
      </c>
      <c r="E336" s="45"/>
      <c r="F336" s="11" t="str">
        <f>IFERROR(VLOOKUP(E336,Category!$D$2:$E$600,2,FALSE),"")</f>
        <v/>
      </c>
      <c r="G336" s="45"/>
      <c r="H336" s="73"/>
      <c r="I336" s="18" t="str">
        <f t="shared" si="22"/>
        <v/>
      </c>
      <c r="J336" s="45"/>
      <c r="K336" s="45"/>
    </row>
    <row r="337" spans="1:11">
      <c r="A337" s="10" t="str">
        <f t="shared" si="23"/>
        <v/>
      </c>
      <c r="B337" s="45"/>
      <c r="C337" s="11" t="str">
        <f t="shared" si="20"/>
        <v/>
      </c>
      <c r="D337" s="11" t="str">
        <f t="shared" si="21"/>
        <v/>
      </c>
      <c r="E337" s="45"/>
      <c r="F337" s="11" t="str">
        <f>IFERROR(VLOOKUP(E337,Category!$D$2:$E$600,2,FALSE),"")</f>
        <v/>
      </c>
      <c r="G337" s="45"/>
      <c r="H337" s="73"/>
      <c r="I337" s="18" t="str">
        <f t="shared" si="22"/>
        <v/>
      </c>
      <c r="J337" s="45"/>
      <c r="K337" s="45"/>
    </row>
    <row r="338" spans="1:11">
      <c r="A338" s="10" t="str">
        <f t="shared" si="23"/>
        <v/>
      </c>
      <c r="B338" s="45"/>
      <c r="C338" s="11" t="str">
        <f t="shared" si="20"/>
        <v/>
      </c>
      <c r="D338" s="11" t="str">
        <f t="shared" si="21"/>
        <v/>
      </c>
      <c r="E338" s="45"/>
      <c r="F338" s="11" t="str">
        <f>IFERROR(VLOOKUP(E338,Category!$D$2:$E$600,2,FALSE),"")</f>
        <v/>
      </c>
      <c r="G338" s="45"/>
      <c r="H338" s="73"/>
      <c r="I338" s="18" t="str">
        <f t="shared" si="22"/>
        <v/>
      </c>
      <c r="J338" s="45"/>
      <c r="K338" s="45"/>
    </row>
    <row r="339" spans="1:11">
      <c r="A339" s="10" t="str">
        <f t="shared" si="23"/>
        <v/>
      </c>
      <c r="B339" s="45"/>
      <c r="C339" s="11" t="str">
        <f t="shared" si="20"/>
        <v/>
      </c>
      <c r="D339" s="11" t="str">
        <f t="shared" si="21"/>
        <v/>
      </c>
      <c r="E339" s="45"/>
      <c r="F339" s="11" t="str">
        <f>IFERROR(VLOOKUP(E339,Category!$D$2:$E$600,2,FALSE),"")</f>
        <v/>
      </c>
      <c r="G339" s="45"/>
      <c r="H339" s="73"/>
      <c r="I339" s="18" t="str">
        <f t="shared" si="22"/>
        <v/>
      </c>
      <c r="J339" s="45"/>
      <c r="K339" s="45"/>
    </row>
    <row r="340" spans="1:11">
      <c r="A340" s="10" t="str">
        <f t="shared" si="23"/>
        <v/>
      </c>
      <c r="B340" s="45"/>
      <c r="C340" s="11" t="str">
        <f t="shared" si="20"/>
        <v/>
      </c>
      <c r="D340" s="11" t="str">
        <f t="shared" si="21"/>
        <v/>
      </c>
      <c r="E340" s="45"/>
      <c r="F340" s="11" t="str">
        <f>IFERROR(VLOOKUP(E340,Category!$D$2:$E$600,2,FALSE),"")</f>
        <v/>
      </c>
      <c r="G340" s="45"/>
      <c r="H340" s="73"/>
      <c r="I340" s="18" t="str">
        <f t="shared" si="22"/>
        <v/>
      </c>
      <c r="J340" s="45"/>
      <c r="K340" s="45"/>
    </row>
    <row r="341" spans="1:11">
      <c r="A341" s="10" t="str">
        <f t="shared" si="23"/>
        <v/>
      </c>
      <c r="B341" s="45"/>
      <c r="C341" s="11" t="str">
        <f t="shared" si="20"/>
        <v/>
      </c>
      <c r="D341" s="11" t="str">
        <f t="shared" si="21"/>
        <v/>
      </c>
      <c r="E341" s="45"/>
      <c r="F341" s="11" t="str">
        <f>IFERROR(VLOOKUP(E341,Category!$D$2:$E$600,2,FALSE),"")</f>
        <v/>
      </c>
      <c r="G341" s="45"/>
      <c r="H341" s="73"/>
      <c r="I341" s="18" t="str">
        <f t="shared" si="22"/>
        <v/>
      </c>
      <c r="J341" s="45"/>
      <c r="K341" s="45"/>
    </row>
    <row r="342" spans="1:11">
      <c r="A342" s="10" t="str">
        <f t="shared" si="23"/>
        <v/>
      </c>
      <c r="B342" s="45"/>
      <c r="C342" s="11" t="str">
        <f t="shared" si="20"/>
        <v/>
      </c>
      <c r="D342" s="11" t="str">
        <f t="shared" si="21"/>
        <v/>
      </c>
      <c r="E342" s="45"/>
      <c r="F342" s="11" t="str">
        <f>IFERROR(VLOOKUP(E342,Category!$D$2:$E$600,2,FALSE),"")</f>
        <v/>
      </c>
      <c r="G342" s="45"/>
      <c r="H342" s="73"/>
      <c r="I342" s="18" t="str">
        <f t="shared" si="22"/>
        <v/>
      </c>
      <c r="J342" s="45"/>
      <c r="K342" s="45"/>
    </row>
    <row r="343" spans="1:11">
      <c r="A343" s="10" t="str">
        <f t="shared" si="23"/>
        <v/>
      </c>
      <c r="B343" s="45"/>
      <c r="C343" s="11" t="str">
        <f t="shared" si="20"/>
        <v/>
      </c>
      <c r="D343" s="11" t="str">
        <f t="shared" si="21"/>
        <v/>
      </c>
      <c r="E343" s="45"/>
      <c r="F343" s="11" t="str">
        <f>IFERROR(VLOOKUP(E343,Category!$D$2:$E$600,2,FALSE),"")</f>
        <v/>
      </c>
      <c r="G343" s="45"/>
      <c r="H343" s="73"/>
      <c r="I343" s="18" t="str">
        <f t="shared" si="22"/>
        <v/>
      </c>
      <c r="J343" s="45"/>
      <c r="K343" s="45"/>
    </row>
    <row r="344" spans="1:11">
      <c r="A344" s="10" t="str">
        <f t="shared" si="23"/>
        <v/>
      </c>
      <c r="B344" s="45"/>
      <c r="C344" s="11" t="str">
        <f t="shared" si="20"/>
        <v/>
      </c>
      <c r="D344" s="11" t="str">
        <f t="shared" si="21"/>
        <v/>
      </c>
      <c r="E344" s="45"/>
      <c r="F344" s="11" t="str">
        <f>IFERROR(VLOOKUP(E344,Category!$D$2:$E$600,2,FALSE),"")</f>
        <v/>
      </c>
      <c r="G344" s="45"/>
      <c r="H344" s="73"/>
      <c r="I344" s="18" t="str">
        <f t="shared" si="22"/>
        <v/>
      </c>
      <c r="J344" s="45"/>
      <c r="K344" s="45"/>
    </row>
    <row r="345" spans="1:11">
      <c r="A345" s="10" t="str">
        <f t="shared" si="23"/>
        <v/>
      </c>
      <c r="B345" s="45"/>
      <c r="C345" s="11" t="str">
        <f t="shared" si="20"/>
        <v/>
      </c>
      <c r="D345" s="11" t="str">
        <f t="shared" si="21"/>
        <v/>
      </c>
      <c r="E345" s="45"/>
      <c r="F345" s="11" t="str">
        <f>IFERROR(VLOOKUP(E345,Category!$D$2:$E$600,2,FALSE),"")</f>
        <v/>
      </c>
      <c r="G345" s="45"/>
      <c r="H345" s="73"/>
      <c r="I345" s="18" t="str">
        <f t="shared" si="22"/>
        <v/>
      </c>
      <c r="J345" s="45"/>
      <c r="K345" s="45"/>
    </row>
    <row r="346" spans="1:11">
      <c r="A346" s="10" t="str">
        <f t="shared" si="23"/>
        <v/>
      </c>
      <c r="B346" s="45"/>
      <c r="C346" s="11" t="str">
        <f t="shared" si="20"/>
        <v/>
      </c>
      <c r="D346" s="11" t="str">
        <f t="shared" si="21"/>
        <v/>
      </c>
      <c r="E346" s="45"/>
      <c r="F346" s="11" t="str">
        <f>IFERROR(VLOOKUP(E346,Category!$D$2:$E$600,2,FALSE),"")</f>
        <v/>
      </c>
      <c r="G346" s="45"/>
      <c r="H346" s="73"/>
      <c r="I346" s="18" t="str">
        <f t="shared" si="22"/>
        <v/>
      </c>
      <c r="J346" s="45"/>
      <c r="K346" s="45"/>
    </row>
    <row r="347" spans="1:11">
      <c r="A347" s="10" t="str">
        <f t="shared" si="23"/>
        <v/>
      </c>
      <c r="B347" s="45"/>
      <c r="C347" s="11" t="str">
        <f t="shared" si="20"/>
        <v/>
      </c>
      <c r="D347" s="11" t="str">
        <f t="shared" si="21"/>
        <v/>
      </c>
      <c r="E347" s="45"/>
      <c r="F347" s="11" t="str">
        <f>IFERROR(VLOOKUP(E347,Category!$D$2:$E$600,2,FALSE),"")</f>
        <v/>
      </c>
      <c r="G347" s="45"/>
      <c r="H347" s="73"/>
      <c r="I347" s="18" t="str">
        <f t="shared" si="22"/>
        <v/>
      </c>
      <c r="J347" s="45"/>
      <c r="K347" s="45"/>
    </row>
    <row r="348" spans="1:11">
      <c r="A348" s="10" t="str">
        <f t="shared" si="23"/>
        <v/>
      </c>
      <c r="B348" s="45"/>
      <c r="C348" s="11" t="str">
        <f t="shared" si="20"/>
        <v/>
      </c>
      <c r="D348" s="11" t="str">
        <f t="shared" si="21"/>
        <v/>
      </c>
      <c r="E348" s="45"/>
      <c r="F348" s="11" t="str">
        <f>IFERROR(VLOOKUP(E348,Category!$D$2:$E$600,2,FALSE),"")</f>
        <v/>
      </c>
      <c r="G348" s="45"/>
      <c r="H348" s="73"/>
      <c r="I348" s="18" t="str">
        <f t="shared" si="22"/>
        <v/>
      </c>
      <c r="J348" s="45"/>
      <c r="K348" s="45"/>
    </row>
    <row r="349" spans="1:11">
      <c r="A349" s="10" t="str">
        <f t="shared" si="23"/>
        <v/>
      </c>
      <c r="B349" s="45"/>
      <c r="C349" s="11" t="str">
        <f t="shared" si="20"/>
        <v/>
      </c>
      <c r="D349" s="11" t="str">
        <f t="shared" si="21"/>
        <v/>
      </c>
      <c r="E349" s="45"/>
      <c r="F349" s="11" t="str">
        <f>IFERROR(VLOOKUP(E349,Category!$D$2:$E$600,2,FALSE),"")</f>
        <v/>
      </c>
      <c r="G349" s="45"/>
      <c r="H349" s="73"/>
      <c r="I349" s="18" t="str">
        <f t="shared" si="22"/>
        <v/>
      </c>
      <c r="J349" s="45"/>
      <c r="K349" s="45"/>
    </row>
    <row r="350" spans="1:11">
      <c r="A350" s="10" t="str">
        <f t="shared" si="23"/>
        <v/>
      </c>
      <c r="B350" s="45"/>
      <c r="C350" s="11" t="str">
        <f t="shared" si="20"/>
        <v/>
      </c>
      <c r="D350" s="11" t="str">
        <f t="shared" si="21"/>
        <v/>
      </c>
      <c r="E350" s="45"/>
      <c r="F350" s="11" t="str">
        <f>IFERROR(VLOOKUP(E350,Category!$D$2:$E$600,2,FALSE),"")</f>
        <v/>
      </c>
      <c r="G350" s="45"/>
      <c r="H350" s="73"/>
      <c r="I350" s="18" t="str">
        <f t="shared" si="22"/>
        <v/>
      </c>
      <c r="J350" s="45"/>
      <c r="K350" s="45"/>
    </row>
    <row r="351" spans="1:11">
      <c r="A351" s="10" t="str">
        <f t="shared" si="23"/>
        <v/>
      </c>
      <c r="B351" s="45"/>
      <c r="C351" s="11" t="str">
        <f t="shared" si="20"/>
        <v/>
      </c>
      <c r="D351" s="11" t="str">
        <f t="shared" si="21"/>
        <v/>
      </c>
      <c r="E351" s="45"/>
      <c r="F351" s="11" t="str">
        <f>IFERROR(VLOOKUP(E351,Category!$D$2:$E$600,2,FALSE),"")</f>
        <v/>
      </c>
      <c r="G351" s="45"/>
      <c r="H351" s="73"/>
      <c r="I351" s="18" t="str">
        <f t="shared" si="22"/>
        <v/>
      </c>
      <c r="J351" s="45"/>
      <c r="K351" s="45"/>
    </row>
    <row r="352" spans="1:11">
      <c r="A352" s="10" t="str">
        <f t="shared" si="23"/>
        <v/>
      </c>
      <c r="B352" s="45"/>
      <c r="C352" s="11" t="str">
        <f t="shared" si="20"/>
        <v/>
      </c>
      <c r="D352" s="11" t="str">
        <f t="shared" si="21"/>
        <v/>
      </c>
      <c r="E352" s="45"/>
      <c r="F352" s="11" t="str">
        <f>IFERROR(VLOOKUP(E352,Category!$D$2:$E$600,2,FALSE),"")</f>
        <v/>
      </c>
      <c r="G352" s="45"/>
      <c r="H352" s="73"/>
      <c r="I352" s="18" t="str">
        <f t="shared" si="22"/>
        <v/>
      </c>
      <c r="J352" s="45"/>
      <c r="K352" s="45"/>
    </row>
    <row r="353" spans="1:11">
      <c r="A353" s="10" t="str">
        <f t="shared" si="23"/>
        <v/>
      </c>
      <c r="B353" s="45"/>
      <c r="C353" s="11" t="str">
        <f t="shared" si="20"/>
        <v/>
      </c>
      <c r="D353" s="11" t="str">
        <f t="shared" si="21"/>
        <v/>
      </c>
      <c r="E353" s="45"/>
      <c r="F353" s="11" t="str">
        <f>IFERROR(VLOOKUP(E353,Category!$D$2:$E$600,2,FALSE),"")</f>
        <v/>
      </c>
      <c r="G353" s="45"/>
      <c r="H353" s="73"/>
      <c r="I353" s="18" t="str">
        <f t="shared" si="22"/>
        <v/>
      </c>
      <c r="J353" s="45"/>
      <c r="K353" s="45"/>
    </row>
    <row r="354" spans="1:11">
      <c r="A354" s="10" t="str">
        <f t="shared" si="23"/>
        <v/>
      </c>
      <c r="B354" s="45"/>
      <c r="C354" s="11" t="str">
        <f t="shared" si="20"/>
        <v/>
      </c>
      <c r="D354" s="11" t="str">
        <f t="shared" si="21"/>
        <v/>
      </c>
      <c r="E354" s="45"/>
      <c r="F354" s="11" t="str">
        <f>IFERROR(VLOOKUP(E354,Category!$D$2:$E$600,2,FALSE),"")</f>
        <v/>
      </c>
      <c r="G354" s="45"/>
      <c r="H354" s="73"/>
      <c r="I354" s="18" t="str">
        <f t="shared" si="22"/>
        <v/>
      </c>
      <c r="J354" s="45"/>
      <c r="K354" s="45"/>
    </row>
    <row r="355" spans="1:11">
      <c r="A355" s="10" t="str">
        <f t="shared" si="23"/>
        <v/>
      </c>
      <c r="B355" s="45"/>
      <c r="C355" s="11" t="str">
        <f t="shared" si="20"/>
        <v/>
      </c>
      <c r="D355" s="11" t="str">
        <f t="shared" si="21"/>
        <v/>
      </c>
      <c r="E355" s="45"/>
      <c r="F355" s="11" t="str">
        <f>IFERROR(VLOOKUP(E355,Category!$D$2:$E$600,2,FALSE),"")</f>
        <v/>
      </c>
      <c r="G355" s="45"/>
      <c r="H355" s="73"/>
      <c r="I355" s="18" t="str">
        <f t="shared" si="22"/>
        <v/>
      </c>
      <c r="J355" s="45"/>
      <c r="K355" s="45"/>
    </row>
    <row r="356" spans="1:11">
      <c r="A356" s="10" t="str">
        <f t="shared" si="23"/>
        <v/>
      </c>
      <c r="B356" s="45"/>
      <c r="C356" s="11" t="str">
        <f t="shared" si="20"/>
        <v/>
      </c>
      <c r="D356" s="11" t="str">
        <f t="shared" si="21"/>
        <v/>
      </c>
      <c r="E356" s="45"/>
      <c r="F356" s="11" t="str">
        <f>IFERROR(VLOOKUP(E356,Category!$D$2:$E$600,2,FALSE),"")</f>
        <v/>
      </c>
      <c r="G356" s="45"/>
      <c r="H356" s="73"/>
      <c r="I356" s="18" t="str">
        <f t="shared" si="22"/>
        <v/>
      </c>
      <c r="J356" s="45"/>
      <c r="K356" s="45"/>
    </row>
    <row r="357" spans="1:11">
      <c r="A357" s="10" t="str">
        <f t="shared" si="23"/>
        <v/>
      </c>
      <c r="B357" s="45"/>
      <c r="C357" s="11" t="str">
        <f t="shared" si="20"/>
        <v/>
      </c>
      <c r="D357" s="11" t="str">
        <f t="shared" si="21"/>
        <v/>
      </c>
      <c r="E357" s="45"/>
      <c r="F357" s="11" t="str">
        <f>IFERROR(VLOOKUP(E357,Category!$D$2:$E$600,2,FALSE),"")</f>
        <v/>
      </c>
      <c r="G357" s="45"/>
      <c r="H357" s="73"/>
      <c r="I357" s="18" t="str">
        <f t="shared" si="22"/>
        <v/>
      </c>
      <c r="J357" s="45"/>
      <c r="K357" s="45"/>
    </row>
    <row r="358" spans="1:11">
      <c r="A358" s="10" t="str">
        <f t="shared" si="23"/>
        <v/>
      </c>
      <c r="B358" s="45"/>
      <c r="C358" s="11" t="str">
        <f t="shared" si="20"/>
        <v/>
      </c>
      <c r="D358" s="11" t="str">
        <f t="shared" si="21"/>
        <v/>
      </c>
      <c r="E358" s="45"/>
      <c r="F358" s="11" t="str">
        <f>IFERROR(VLOOKUP(E358,Category!$D$2:$E$600,2,FALSE),"")</f>
        <v/>
      </c>
      <c r="G358" s="45"/>
      <c r="H358" s="73"/>
      <c r="I358" s="18" t="str">
        <f t="shared" si="22"/>
        <v/>
      </c>
      <c r="J358" s="45"/>
      <c r="K358" s="45"/>
    </row>
    <row r="359" spans="1:11">
      <c r="A359" s="10" t="str">
        <f t="shared" si="23"/>
        <v/>
      </c>
      <c r="B359" s="45"/>
      <c r="C359" s="11" t="str">
        <f t="shared" si="20"/>
        <v/>
      </c>
      <c r="D359" s="11" t="str">
        <f t="shared" si="21"/>
        <v/>
      </c>
      <c r="E359" s="45"/>
      <c r="F359" s="11" t="str">
        <f>IFERROR(VLOOKUP(E359,Category!$D$2:$E$600,2,FALSE),"")</f>
        <v/>
      </c>
      <c r="G359" s="45"/>
      <c r="H359" s="73"/>
      <c r="I359" s="18" t="str">
        <f t="shared" si="22"/>
        <v/>
      </c>
      <c r="J359" s="45"/>
      <c r="K359" s="45"/>
    </row>
    <row r="360" spans="1:11">
      <c r="A360" s="10" t="str">
        <f t="shared" si="23"/>
        <v/>
      </c>
      <c r="B360" s="45"/>
      <c r="C360" s="11" t="str">
        <f t="shared" si="20"/>
        <v/>
      </c>
      <c r="D360" s="11" t="str">
        <f t="shared" si="21"/>
        <v/>
      </c>
      <c r="E360" s="45"/>
      <c r="F360" s="11" t="str">
        <f>IFERROR(VLOOKUP(E360,Category!$D$2:$E$600,2,FALSE),"")</f>
        <v/>
      </c>
      <c r="G360" s="45"/>
      <c r="H360" s="73"/>
      <c r="I360" s="18" t="str">
        <f t="shared" si="22"/>
        <v/>
      </c>
      <c r="J360" s="45"/>
      <c r="K360" s="45"/>
    </row>
    <row r="361" spans="1:11">
      <c r="A361" s="10" t="str">
        <f t="shared" si="23"/>
        <v/>
      </c>
      <c r="B361" s="45"/>
      <c r="C361" s="11" t="str">
        <f t="shared" si="20"/>
        <v/>
      </c>
      <c r="D361" s="11" t="str">
        <f t="shared" si="21"/>
        <v/>
      </c>
      <c r="E361" s="45"/>
      <c r="F361" s="11" t="str">
        <f>IFERROR(VLOOKUP(E361,Category!$D$2:$E$600,2,FALSE),"")</f>
        <v/>
      </c>
      <c r="G361" s="45"/>
      <c r="H361" s="73"/>
      <c r="I361" s="18" t="str">
        <f t="shared" si="22"/>
        <v/>
      </c>
      <c r="J361" s="45"/>
      <c r="K361" s="45"/>
    </row>
    <row r="362" spans="1:11">
      <c r="A362" s="10" t="str">
        <f t="shared" si="23"/>
        <v/>
      </c>
      <c r="B362" s="45"/>
      <c r="C362" s="11" t="str">
        <f t="shared" si="20"/>
        <v/>
      </c>
      <c r="D362" s="11" t="str">
        <f t="shared" si="21"/>
        <v/>
      </c>
      <c r="E362" s="45"/>
      <c r="F362" s="11" t="str">
        <f>IFERROR(VLOOKUP(E362,Category!$D$2:$E$600,2,FALSE),"")</f>
        <v/>
      </c>
      <c r="G362" s="45"/>
      <c r="H362" s="73"/>
      <c r="I362" s="18" t="str">
        <f t="shared" si="22"/>
        <v/>
      </c>
      <c r="J362" s="45"/>
      <c r="K362" s="45"/>
    </row>
    <row r="363" spans="1:11">
      <c r="A363" s="10" t="str">
        <f t="shared" si="23"/>
        <v/>
      </c>
      <c r="B363" s="45"/>
      <c r="C363" s="11" t="str">
        <f t="shared" si="20"/>
        <v/>
      </c>
      <c r="D363" s="11" t="str">
        <f t="shared" si="21"/>
        <v/>
      </c>
      <c r="E363" s="45"/>
      <c r="F363" s="11" t="str">
        <f>IFERROR(VLOOKUP(E363,Category!$D$2:$E$600,2,FALSE),"")</f>
        <v/>
      </c>
      <c r="G363" s="45"/>
      <c r="H363" s="73"/>
      <c r="I363" s="18" t="str">
        <f t="shared" si="22"/>
        <v/>
      </c>
      <c r="J363" s="45"/>
      <c r="K363" s="45"/>
    </row>
    <row r="364" spans="1:11">
      <c r="A364" s="10" t="str">
        <f t="shared" si="23"/>
        <v/>
      </c>
      <c r="B364" s="45"/>
      <c r="C364" s="11" t="str">
        <f t="shared" si="20"/>
        <v/>
      </c>
      <c r="D364" s="11" t="str">
        <f t="shared" si="21"/>
        <v/>
      </c>
      <c r="E364" s="45"/>
      <c r="F364" s="11" t="str">
        <f>IFERROR(VLOOKUP(E364,Category!$D$2:$E$600,2,FALSE),"")</f>
        <v/>
      </c>
      <c r="G364" s="45"/>
      <c r="H364" s="73"/>
      <c r="I364" s="18" t="str">
        <f t="shared" si="22"/>
        <v/>
      </c>
      <c r="J364" s="45"/>
      <c r="K364" s="45"/>
    </row>
    <row r="365" spans="1:11">
      <c r="A365" s="10" t="str">
        <f t="shared" si="23"/>
        <v/>
      </c>
      <c r="B365" s="45"/>
      <c r="C365" s="11" t="str">
        <f t="shared" si="20"/>
        <v/>
      </c>
      <c r="D365" s="11" t="str">
        <f t="shared" si="21"/>
        <v/>
      </c>
      <c r="E365" s="45"/>
      <c r="F365" s="11" t="str">
        <f>IFERROR(VLOOKUP(E365,Category!$D$2:$E$600,2,FALSE),"")</f>
        <v/>
      </c>
      <c r="G365" s="45"/>
      <c r="H365" s="73"/>
      <c r="I365" s="18" t="str">
        <f t="shared" si="22"/>
        <v/>
      </c>
      <c r="J365" s="45"/>
      <c r="K365" s="45"/>
    </row>
    <row r="366" spans="1:11">
      <c r="A366" s="10" t="str">
        <f t="shared" si="23"/>
        <v/>
      </c>
      <c r="B366" s="45"/>
      <c r="C366" s="11" t="str">
        <f t="shared" si="20"/>
        <v/>
      </c>
      <c r="D366" s="11" t="str">
        <f t="shared" si="21"/>
        <v/>
      </c>
      <c r="E366" s="45"/>
      <c r="F366" s="11" t="str">
        <f>IFERROR(VLOOKUP(E366,Category!$D$2:$E$600,2,FALSE),"")</f>
        <v/>
      </c>
      <c r="G366" s="45"/>
      <c r="H366" s="73"/>
      <c r="I366" s="18" t="str">
        <f t="shared" si="22"/>
        <v/>
      </c>
      <c r="J366" s="45"/>
      <c r="K366" s="45"/>
    </row>
    <row r="367" spans="1:11">
      <c r="A367" s="10" t="str">
        <f t="shared" si="23"/>
        <v/>
      </c>
      <c r="B367" s="45"/>
      <c r="C367" s="11" t="str">
        <f t="shared" si="20"/>
        <v/>
      </c>
      <c r="D367" s="11" t="str">
        <f t="shared" si="21"/>
        <v/>
      </c>
      <c r="E367" s="45"/>
      <c r="F367" s="11" t="str">
        <f>IFERROR(VLOOKUP(E367,Category!$D$2:$E$600,2,FALSE),"")</f>
        <v/>
      </c>
      <c r="G367" s="45"/>
      <c r="H367" s="73"/>
      <c r="I367" s="18" t="str">
        <f t="shared" si="22"/>
        <v/>
      </c>
      <c r="J367" s="45"/>
      <c r="K367" s="45"/>
    </row>
    <row r="368" spans="1:11">
      <c r="A368" s="10" t="str">
        <f t="shared" si="23"/>
        <v/>
      </c>
      <c r="B368" s="45"/>
      <c r="C368" s="11" t="str">
        <f t="shared" si="20"/>
        <v/>
      </c>
      <c r="D368" s="11" t="str">
        <f t="shared" si="21"/>
        <v/>
      </c>
      <c r="E368" s="45"/>
      <c r="F368" s="11" t="str">
        <f>IFERROR(VLOOKUP(E368,Category!$D$2:$E$600,2,FALSE),"")</f>
        <v/>
      </c>
      <c r="G368" s="45"/>
      <c r="H368" s="73"/>
      <c r="I368" s="18" t="str">
        <f t="shared" si="22"/>
        <v/>
      </c>
      <c r="J368" s="45"/>
      <c r="K368" s="45"/>
    </row>
    <row r="369" spans="1:11">
      <c r="A369" s="10" t="str">
        <f t="shared" si="23"/>
        <v/>
      </c>
      <c r="B369" s="45"/>
      <c r="C369" s="11" t="str">
        <f t="shared" si="20"/>
        <v/>
      </c>
      <c r="D369" s="11" t="str">
        <f t="shared" si="21"/>
        <v/>
      </c>
      <c r="E369" s="45"/>
      <c r="F369" s="11" t="str">
        <f>IFERROR(VLOOKUP(E369,Category!$D$2:$E$600,2,FALSE),"")</f>
        <v/>
      </c>
      <c r="G369" s="45"/>
      <c r="H369" s="73"/>
      <c r="I369" s="18" t="str">
        <f t="shared" si="22"/>
        <v/>
      </c>
      <c r="J369" s="45"/>
      <c r="K369" s="45"/>
    </row>
    <row r="370" spans="1:11">
      <c r="A370" s="10" t="str">
        <f t="shared" si="23"/>
        <v/>
      </c>
      <c r="B370" s="45"/>
      <c r="C370" s="11" t="str">
        <f t="shared" si="20"/>
        <v/>
      </c>
      <c r="D370" s="11" t="str">
        <f t="shared" si="21"/>
        <v/>
      </c>
      <c r="E370" s="45"/>
      <c r="F370" s="11" t="str">
        <f>IFERROR(VLOOKUP(E370,Category!$D$2:$E$600,2,FALSE),"")</f>
        <v/>
      </c>
      <c r="G370" s="45"/>
      <c r="H370" s="73"/>
      <c r="I370" s="18" t="str">
        <f t="shared" si="22"/>
        <v/>
      </c>
      <c r="J370" s="45"/>
      <c r="K370" s="45"/>
    </row>
    <row r="371" spans="1:11">
      <c r="A371" s="10" t="str">
        <f t="shared" si="23"/>
        <v/>
      </c>
      <c r="B371" s="45"/>
      <c r="C371" s="11" t="str">
        <f t="shared" si="20"/>
        <v/>
      </c>
      <c r="D371" s="11" t="str">
        <f t="shared" si="21"/>
        <v/>
      </c>
      <c r="E371" s="45"/>
      <c r="F371" s="11" t="str">
        <f>IFERROR(VLOOKUP(E371,Category!$D$2:$E$600,2,FALSE),"")</f>
        <v/>
      </c>
      <c r="G371" s="45"/>
      <c r="H371" s="73"/>
      <c r="I371" s="18" t="str">
        <f t="shared" si="22"/>
        <v/>
      </c>
      <c r="J371" s="45"/>
      <c r="K371" s="45"/>
    </row>
    <row r="372" spans="1:11">
      <c r="A372" s="10" t="str">
        <f t="shared" si="23"/>
        <v/>
      </c>
      <c r="B372" s="45"/>
      <c r="C372" s="11" t="str">
        <f t="shared" si="20"/>
        <v/>
      </c>
      <c r="D372" s="11" t="str">
        <f t="shared" si="21"/>
        <v/>
      </c>
      <c r="E372" s="45"/>
      <c r="F372" s="11" t="str">
        <f>IFERROR(VLOOKUP(E372,Category!$D$2:$E$600,2,FALSE),"")</f>
        <v/>
      </c>
      <c r="G372" s="45"/>
      <c r="H372" s="73"/>
      <c r="I372" s="18" t="str">
        <f t="shared" si="22"/>
        <v/>
      </c>
      <c r="J372" s="45"/>
      <c r="K372" s="45"/>
    </row>
    <row r="373" spans="1:11">
      <c r="A373" s="10" t="str">
        <f t="shared" si="23"/>
        <v/>
      </c>
      <c r="B373" s="45"/>
      <c r="C373" s="11" t="str">
        <f t="shared" si="20"/>
        <v/>
      </c>
      <c r="D373" s="11" t="str">
        <f t="shared" si="21"/>
        <v/>
      </c>
      <c r="E373" s="45"/>
      <c r="F373" s="11" t="str">
        <f>IFERROR(VLOOKUP(E373,Category!$D$2:$E$600,2,FALSE),"")</f>
        <v/>
      </c>
      <c r="G373" s="45"/>
      <c r="H373" s="73"/>
      <c r="I373" s="18" t="str">
        <f t="shared" si="22"/>
        <v/>
      </c>
      <c r="J373" s="45"/>
      <c r="K373" s="45"/>
    </row>
    <row r="374" spans="1:11">
      <c r="A374" s="10" t="str">
        <f t="shared" si="23"/>
        <v/>
      </c>
      <c r="B374" s="45"/>
      <c r="C374" s="11" t="str">
        <f t="shared" si="20"/>
        <v/>
      </c>
      <c r="D374" s="11" t="str">
        <f t="shared" si="21"/>
        <v/>
      </c>
      <c r="E374" s="45"/>
      <c r="F374" s="11" t="str">
        <f>IFERROR(VLOOKUP(E374,Category!$D$2:$E$600,2,FALSE),"")</f>
        <v/>
      </c>
      <c r="G374" s="45"/>
      <c r="H374" s="73"/>
      <c r="I374" s="18" t="str">
        <f t="shared" si="22"/>
        <v/>
      </c>
      <c r="J374" s="45"/>
      <c r="K374" s="45"/>
    </row>
    <row r="375" spans="1:11">
      <c r="A375" s="10" t="str">
        <f t="shared" si="23"/>
        <v/>
      </c>
      <c r="B375" s="45"/>
      <c r="C375" s="11" t="str">
        <f t="shared" si="20"/>
        <v/>
      </c>
      <c r="D375" s="11" t="str">
        <f t="shared" si="21"/>
        <v/>
      </c>
      <c r="E375" s="45"/>
      <c r="F375" s="11" t="str">
        <f>IFERROR(VLOOKUP(E375,Category!$D$2:$E$600,2,FALSE),"")</f>
        <v/>
      </c>
      <c r="G375" s="45"/>
      <c r="H375" s="73"/>
      <c r="I375" s="18" t="str">
        <f t="shared" si="22"/>
        <v/>
      </c>
      <c r="J375" s="45"/>
      <c r="K375" s="45"/>
    </row>
    <row r="376" spans="1:11">
      <c r="A376" s="10" t="str">
        <f t="shared" si="23"/>
        <v/>
      </c>
      <c r="B376" s="45"/>
      <c r="C376" s="11" t="str">
        <f t="shared" si="20"/>
        <v/>
      </c>
      <c r="D376" s="11" t="str">
        <f t="shared" si="21"/>
        <v/>
      </c>
      <c r="E376" s="45"/>
      <c r="F376" s="11" t="str">
        <f>IFERROR(VLOOKUP(E376,Category!$D$2:$E$600,2,FALSE),"")</f>
        <v/>
      </c>
      <c r="G376" s="45"/>
      <c r="H376" s="73"/>
      <c r="I376" s="18" t="str">
        <f t="shared" si="22"/>
        <v/>
      </c>
      <c r="J376" s="45"/>
      <c r="K376" s="45"/>
    </row>
    <row r="377" spans="1:11">
      <c r="A377" s="10" t="str">
        <f t="shared" si="23"/>
        <v/>
      </c>
      <c r="B377" s="45"/>
      <c r="C377" s="11" t="str">
        <f t="shared" si="20"/>
        <v/>
      </c>
      <c r="D377" s="11" t="str">
        <f t="shared" si="21"/>
        <v/>
      </c>
      <c r="E377" s="45"/>
      <c r="F377" s="11" t="str">
        <f>IFERROR(VLOOKUP(E377,Category!$D$2:$E$600,2,FALSE),"")</f>
        <v/>
      </c>
      <c r="G377" s="45"/>
      <c r="H377" s="73"/>
      <c r="I377" s="18" t="str">
        <f t="shared" si="22"/>
        <v/>
      </c>
      <c r="J377" s="45"/>
      <c r="K377" s="45"/>
    </row>
    <row r="378" spans="1:11">
      <c r="A378" s="10" t="str">
        <f t="shared" si="23"/>
        <v/>
      </c>
      <c r="B378" s="45"/>
      <c r="C378" s="11" t="str">
        <f t="shared" si="20"/>
        <v/>
      </c>
      <c r="D378" s="11" t="str">
        <f t="shared" si="21"/>
        <v/>
      </c>
      <c r="E378" s="45"/>
      <c r="F378" s="11" t="str">
        <f>IFERROR(VLOOKUP(E378,Category!$D$2:$E$600,2,FALSE),"")</f>
        <v/>
      </c>
      <c r="G378" s="45"/>
      <c r="H378" s="73"/>
      <c r="I378" s="18" t="str">
        <f t="shared" si="22"/>
        <v/>
      </c>
      <c r="J378" s="45"/>
      <c r="K378" s="45"/>
    </row>
    <row r="379" spans="1:11">
      <c r="A379" s="10" t="str">
        <f t="shared" si="23"/>
        <v/>
      </c>
      <c r="B379" s="45"/>
      <c r="C379" s="11" t="str">
        <f t="shared" si="20"/>
        <v/>
      </c>
      <c r="D379" s="11" t="str">
        <f t="shared" si="21"/>
        <v/>
      </c>
      <c r="E379" s="45"/>
      <c r="F379" s="11" t="str">
        <f>IFERROR(VLOOKUP(E379,Category!$D$2:$E$600,2,FALSE),"")</f>
        <v/>
      </c>
      <c r="G379" s="45"/>
      <c r="H379" s="73"/>
      <c r="I379" s="18" t="str">
        <f t="shared" si="22"/>
        <v/>
      </c>
      <c r="J379" s="45"/>
      <c r="K379" s="45"/>
    </row>
    <row r="380" spans="1:11">
      <c r="A380" s="10" t="str">
        <f t="shared" si="23"/>
        <v/>
      </c>
      <c r="B380" s="45"/>
      <c r="C380" s="11" t="str">
        <f t="shared" si="20"/>
        <v/>
      </c>
      <c r="D380" s="11" t="str">
        <f t="shared" si="21"/>
        <v/>
      </c>
      <c r="E380" s="45"/>
      <c r="F380" s="11" t="str">
        <f>IFERROR(VLOOKUP(E380,Category!$D$2:$E$600,2,FALSE),"")</f>
        <v/>
      </c>
      <c r="G380" s="45"/>
      <c r="H380" s="73"/>
      <c r="I380" s="18" t="str">
        <f t="shared" si="22"/>
        <v/>
      </c>
      <c r="J380" s="45"/>
      <c r="K380" s="45"/>
    </row>
    <row r="381" spans="1:11">
      <c r="A381" s="10" t="str">
        <f t="shared" si="23"/>
        <v/>
      </c>
      <c r="B381" s="45"/>
      <c r="C381" s="11" t="str">
        <f t="shared" si="20"/>
        <v/>
      </c>
      <c r="D381" s="11" t="str">
        <f t="shared" si="21"/>
        <v/>
      </c>
      <c r="E381" s="45"/>
      <c r="F381" s="11" t="str">
        <f>IFERROR(VLOOKUP(E381,Category!$D$2:$E$600,2,FALSE),"")</f>
        <v/>
      </c>
      <c r="G381" s="45"/>
      <c r="H381" s="73"/>
      <c r="I381" s="18" t="str">
        <f t="shared" si="22"/>
        <v/>
      </c>
      <c r="J381" s="45"/>
      <c r="K381" s="45"/>
    </row>
    <row r="382" spans="1:11">
      <c r="A382" s="10" t="str">
        <f t="shared" si="23"/>
        <v/>
      </c>
      <c r="B382" s="45"/>
      <c r="C382" s="11" t="str">
        <f t="shared" si="20"/>
        <v/>
      </c>
      <c r="D382" s="11" t="str">
        <f t="shared" si="21"/>
        <v/>
      </c>
      <c r="E382" s="45"/>
      <c r="F382" s="11" t="str">
        <f>IFERROR(VLOOKUP(E382,Category!$D$2:$E$600,2,FALSE),"")</f>
        <v/>
      </c>
      <c r="G382" s="45"/>
      <c r="H382" s="73"/>
      <c r="I382" s="18" t="str">
        <f t="shared" si="22"/>
        <v/>
      </c>
      <c r="J382" s="45"/>
      <c r="K382" s="45"/>
    </row>
    <row r="383" spans="1:11">
      <c r="A383" s="10" t="str">
        <f t="shared" si="23"/>
        <v/>
      </c>
      <c r="B383" s="45"/>
      <c r="C383" s="11" t="str">
        <f t="shared" si="20"/>
        <v/>
      </c>
      <c r="D383" s="11" t="str">
        <f t="shared" si="21"/>
        <v/>
      </c>
      <c r="E383" s="45"/>
      <c r="F383" s="11" t="str">
        <f>IFERROR(VLOOKUP(E383,Category!$D$2:$E$600,2,FALSE),"")</f>
        <v/>
      </c>
      <c r="G383" s="45"/>
      <c r="H383" s="73"/>
      <c r="I383" s="18" t="str">
        <f t="shared" si="22"/>
        <v/>
      </c>
      <c r="J383" s="45"/>
      <c r="K383" s="45"/>
    </row>
    <row r="384" spans="1:11">
      <c r="A384" s="10" t="str">
        <f t="shared" si="23"/>
        <v/>
      </c>
      <c r="B384" s="45"/>
      <c r="C384" s="11" t="str">
        <f t="shared" si="20"/>
        <v/>
      </c>
      <c r="D384" s="11" t="str">
        <f t="shared" si="21"/>
        <v/>
      </c>
      <c r="E384" s="45"/>
      <c r="F384" s="11" t="str">
        <f>IFERROR(VLOOKUP(E384,Category!$D$2:$E$600,2,FALSE),"")</f>
        <v/>
      </c>
      <c r="G384" s="45"/>
      <c r="H384" s="73"/>
      <c r="I384" s="18" t="str">
        <f t="shared" si="22"/>
        <v/>
      </c>
      <c r="J384" s="45"/>
      <c r="K384" s="45"/>
    </row>
    <row r="385" spans="1:11">
      <c r="A385" s="10" t="str">
        <f t="shared" si="23"/>
        <v/>
      </c>
      <c r="B385" s="45"/>
      <c r="C385" s="11" t="str">
        <f t="shared" si="20"/>
        <v/>
      </c>
      <c r="D385" s="11" t="str">
        <f t="shared" si="21"/>
        <v/>
      </c>
      <c r="E385" s="45"/>
      <c r="F385" s="11" t="str">
        <f>IFERROR(VLOOKUP(E385,Category!$D$2:$E$600,2,FALSE),"")</f>
        <v/>
      </c>
      <c r="G385" s="45"/>
      <c r="H385" s="73"/>
      <c r="I385" s="18" t="str">
        <f t="shared" si="22"/>
        <v/>
      </c>
      <c r="J385" s="45"/>
      <c r="K385" s="45"/>
    </row>
    <row r="386" spans="1:11">
      <c r="A386" s="10" t="str">
        <f t="shared" si="23"/>
        <v/>
      </c>
      <c r="B386" s="45"/>
      <c r="C386" s="11" t="str">
        <f t="shared" si="20"/>
        <v/>
      </c>
      <c r="D386" s="11" t="str">
        <f t="shared" si="21"/>
        <v/>
      </c>
      <c r="E386" s="45"/>
      <c r="F386" s="11" t="str">
        <f>IFERROR(VLOOKUP(E386,Category!$D$2:$E$600,2,FALSE),"")</f>
        <v/>
      </c>
      <c r="G386" s="45"/>
      <c r="H386" s="73"/>
      <c r="I386" s="18" t="str">
        <f t="shared" si="22"/>
        <v/>
      </c>
      <c r="J386" s="45"/>
      <c r="K386" s="45"/>
    </row>
    <row r="387" spans="1:11">
      <c r="A387" s="10" t="str">
        <f t="shared" si="23"/>
        <v/>
      </c>
      <c r="B387" s="45"/>
      <c r="C387" s="11" t="str">
        <f t="shared" ref="C387:C450" si="24">IF(B387=0,"",TEXT(B387,"mmmm"))</f>
        <v/>
      </c>
      <c r="D387" s="11" t="str">
        <f t="shared" ref="D387:D450" si="25">IF(B387=0,"",TEXT(B387,"yyyy"))</f>
        <v/>
      </c>
      <c r="E387" s="45"/>
      <c r="F387" s="11" t="str">
        <f>IFERROR(VLOOKUP(E387,Category!$D$2:$E$600,2,FALSE),"")</f>
        <v/>
      </c>
      <c r="G387" s="45"/>
      <c r="H387" s="73"/>
      <c r="I387" s="18" t="str">
        <f t="shared" ref="I387:I450" si="26">IF(G387*H387=0,"",G387*H387)</f>
        <v/>
      </c>
      <c r="J387" s="45"/>
      <c r="K387" s="45"/>
    </row>
    <row r="388" spans="1:11">
      <c r="A388" s="10" t="str">
        <f t="shared" ref="A388:A451" si="27">IF(E388&gt;0,A387+1,"")</f>
        <v/>
      </c>
      <c r="B388" s="45"/>
      <c r="C388" s="11" t="str">
        <f t="shared" si="24"/>
        <v/>
      </c>
      <c r="D388" s="11" t="str">
        <f t="shared" si="25"/>
        <v/>
      </c>
      <c r="E388" s="45"/>
      <c r="F388" s="11" t="str">
        <f>IFERROR(VLOOKUP(E388,Category!$D$2:$E$600,2,FALSE),"")</f>
        <v/>
      </c>
      <c r="G388" s="45"/>
      <c r="H388" s="73"/>
      <c r="I388" s="18" t="str">
        <f t="shared" si="26"/>
        <v/>
      </c>
      <c r="J388" s="45"/>
      <c r="K388" s="45"/>
    </row>
    <row r="389" spans="1:11">
      <c r="A389" s="10" t="str">
        <f t="shared" si="27"/>
        <v/>
      </c>
      <c r="B389" s="45"/>
      <c r="C389" s="11" t="str">
        <f t="shared" si="24"/>
        <v/>
      </c>
      <c r="D389" s="11" t="str">
        <f t="shared" si="25"/>
        <v/>
      </c>
      <c r="E389" s="45"/>
      <c r="F389" s="11" t="str">
        <f>IFERROR(VLOOKUP(E389,Category!$D$2:$E$600,2,FALSE),"")</f>
        <v/>
      </c>
      <c r="G389" s="45"/>
      <c r="H389" s="73"/>
      <c r="I389" s="18" t="str">
        <f t="shared" si="26"/>
        <v/>
      </c>
      <c r="J389" s="45"/>
      <c r="K389" s="45"/>
    </row>
    <row r="390" spans="1:11">
      <c r="A390" s="10" t="str">
        <f t="shared" si="27"/>
        <v/>
      </c>
      <c r="B390" s="45"/>
      <c r="C390" s="11" t="str">
        <f t="shared" si="24"/>
        <v/>
      </c>
      <c r="D390" s="11" t="str">
        <f t="shared" si="25"/>
        <v/>
      </c>
      <c r="E390" s="45"/>
      <c r="F390" s="11" t="str">
        <f>IFERROR(VLOOKUP(E390,Category!$D$2:$E$600,2,FALSE),"")</f>
        <v/>
      </c>
      <c r="G390" s="45"/>
      <c r="H390" s="73"/>
      <c r="I390" s="18" t="str">
        <f t="shared" si="26"/>
        <v/>
      </c>
      <c r="J390" s="45"/>
      <c r="K390" s="45"/>
    </row>
    <row r="391" spans="1:11">
      <c r="A391" s="10" t="str">
        <f t="shared" si="27"/>
        <v/>
      </c>
      <c r="B391" s="45"/>
      <c r="C391" s="11" t="str">
        <f t="shared" si="24"/>
        <v/>
      </c>
      <c r="D391" s="11" t="str">
        <f t="shared" si="25"/>
        <v/>
      </c>
      <c r="E391" s="45"/>
      <c r="F391" s="11" t="str">
        <f>IFERROR(VLOOKUP(E391,Category!$D$2:$E$600,2,FALSE),"")</f>
        <v/>
      </c>
      <c r="G391" s="45"/>
      <c r="H391" s="73"/>
      <c r="I391" s="18" t="str">
        <f t="shared" si="26"/>
        <v/>
      </c>
      <c r="J391" s="45"/>
      <c r="K391" s="45"/>
    </row>
    <row r="392" spans="1:11">
      <c r="A392" s="10" t="str">
        <f t="shared" si="27"/>
        <v/>
      </c>
      <c r="B392" s="45"/>
      <c r="C392" s="11" t="str">
        <f t="shared" si="24"/>
        <v/>
      </c>
      <c r="D392" s="11" t="str">
        <f t="shared" si="25"/>
        <v/>
      </c>
      <c r="E392" s="45"/>
      <c r="F392" s="11" t="str">
        <f>IFERROR(VLOOKUP(E392,Category!$D$2:$E$600,2,FALSE),"")</f>
        <v/>
      </c>
      <c r="G392" s="45"/>
      <c r="H392" s="73"/>
      <c r="I392" s="18" t="str">
        <f t="shared" si="26"/>
        <v/>
      </c>
      <c r="J392" s="45"/>
      <c r="K392" s="45"/>
    </row>
    <row r="393" spans="1:11">
      <c r="A393" s="10" t="str">
        <f t="shared" si="27"/>
        <v/>
      </c>
      <c r="B393" s="45"/>
      <c r="C393" s="11" t="str">
        <f t="shared" si="24"/>
        <v/>
      </c>
      <c r="D393" s="11" t="str">
        <f t="shared" si="25"/>
        <v/>
      </c>
      <c r="E393" s="45"/>
      <c r="F393" s="11" t="str">
        <f>IFERROR(VLOOKUP(E393,Category!$D$2:$E$600,2,FALSE),"")</f>
        <v/>
      </c>
      <c r="G393" s="45"/>
      <c r="H393" s="73"/>
      <c r="I393" s="18" t="str">
        <f t="shared" si="26"/>
        <v/>
      </c>
      <c r="J393" s="45"/>
      <c r="K393" s="45"/>
    </row>
    <row r="394" spans="1:11">
      <c r="A394" s="10" t="str">
        <f t="shared" si="27"/>
        <v/>
      </c>
      <c r="B394" s="45"/>
      <c r="C394" s="11" t="str">
        <f t="shared" si="24"/>
        <v/>
      </c>
      <c r="D394" s="11" t="str">
        <f t="shared" si="25"/>
        <v/>
      </c>
      <c r="E394" s="45"/>
      <c r="F394" s="11" t="str">
        <f>IFERROR(VLOOKUP(E394,Category!$D$2:$E$600,2,FALSE),"")</f>
        <v/>
      </c>
      <c r="G394" s="45"/>
      <c r="H394" s="73"/>
      <c r="I394" s="18" t="str">
        <f t="shared" si="26"/>
        <v/>
      </c>
      <c r="J394" s="45"/>
      <c r="K394" s="45"/>
    </row>
    <row r="395" spans="1:11">
      <c r="A395" s="10" t="str">
        <f t="shared" si="27"/>
        <v/>
      </c>
      <c r="B395" s="45"/>
      <c r="C395" s="11" t="str">
        <f t="shared" si="24"/>
        <v/>
      </c>
      <c r="D395" s="11" t="str">
        <f t="shared" si="25"/>
        <v/>
      </c>
      <c r="E395" s="45"/>
      <c r="F395" s="11" t="str">
        <f>IFERROR(VLOOKUP(E395,Category!$D$2:$E$600,2,FALSE),"")</f>
        <v/>
      </c>
      <c r="G395" s="45"/>
      <c r="H395" s="73"/>
      <c r="I395" s="18" t="str">
        <f t="shared" si="26"/>
        <v/>
      </c>
      <c r="J395" s="45"/>
      <c r="K395" s="45"/>
    </row>
    <row r="396" spans="1:11">
      <c r="A396" s="10" t="str">
        <f t="shared" si="27"/>
        <v/>
      </c>
      <c r="B396" s="45"/>
      <c r="C396" s="11" t="str">
        <f t="shared" si="24"/>
        <v/>
      </c>
      <c r="D396" s="11" t="str">
        <f t="shared" si="25"/>
        <v/>
      </c>
      <c r="E396" s="45"/>
      <c r="F396" s="11" t="str">
        <f>IFERROR(VLOOKUP(E396,Category!$D$2:$E$600,2,FALSE),"")</f>
        <v/>
      </c>
      <c r="G396" s="45"/>
      <c r="H396" s="73"/>
      <c r="I396" s="18" t="str">
        <f t="shared" si="26"/>
        <v/>
      </c>
      <c r="J396" s="45"/>
      <c r="K396" s="45"/>
    </row>
    <row r="397" spans="1:11">
      <c r="A397" s="10" t="str">
        <f t="shared" si="27"/>
        <v/>
      </c>
      <c r="B397" s="45"/>
      <c r="C397" s="11" t="str">
        <f t="shared" si="24"/>
        <v/>
      </c>
      <c r="D397" s="11" t="str">
        <f t="shared" si="25"/>
        <v/>
      </c>
      <c r="E397" s="45"/>
      <c r="F397" s="11" t="str">
        <f>IFERROR(VLOOKUP(E397,Category!$D$2:$E$600,2,FALSE),"")</f>
        <v/>
      </c>
      <c r="G397" s="45"/>
      <c r="H397" s="73"/>
      <c r="I397" s="18" t="str">
        <f t="shared" si="26"/>
        <v/>
      </c>
      <c r="J397" s="45"/>
      <c r="K397" s="45"/>
    </row>
    <row r="398" spans="1:11">
      <c r="A398" s="10" t="str">
        <f t="shared" si="27"/>
        <v/>
      </c>
      <c r="B398" s="45"/>
      <c r="C398" s="11" t="str">
        <f t="shared" si="24"/>
        <v/>
      </c>
      <c r="D398" s="11" t="str">
        <f t="shared" si="25"/>
        <v/>
      </c>
      <c r="E398" s="45"/>
      <c r="F398" s="11" t="str">
        <f>IFERROR(VLOOKUP(E398,Category!$D$2:$E$600,2,FALSE),"")</f>
        <v/>
      </c>
      <c r="G398" s="45"/>
      <c r="H398" s="73"/>
      <c r="I398" s="18" t="str">
        <f t="shared" si="26"/>
        <v/>
      </c>
      <c r="J398" s="45"/>
      <c r="K398" s="45"/>
    </row>
    <row r="399" spans="1:11">
      <c r="A399" s="10" t="str">
        <f t="shared" si="27"/>
        <v/>
      </c>
      <c r="B399" s="45"/>
      <c r="C399" s="11" t="str">
        <f t="shared" si="24"/>
        <v/>
      </c>
      <c r="D399" s="11" t="str">
        <f t="shared" si="25"/>
        <v/>
      </c>
      <c r="E399" s="45"/>
      <c r="F399" s="11" t="str">
        <f>IFERROR(VLOOKUP(E399,Category!$D$2:$E$600,2,FALSE),"")</f>
        <v/>
      </c>
      <c r="G399" s="45"/>
      <c r="H399" s="73"/>
      <c r="I399" s="18" t="str">
        <f t="shared" si="26"/>
        <v/>
      </c>
      <c r="J399" s="45"/>
      <c r="K399" s="45"/>
    </row>
    <row r="400" spans="1:11">
      <c r="A400" s="10" t="str">
        <f t="shared" si="27"/>
        <v/>
      </c>
      <c r="B400" s="45"/>
      <c r="C400" s="11" t="str">
        <f t="shared" si="24"/>
        <v/>
      </c>
      <c r="D400" s="11" t="str">
        <f t="shared" si="25"/>
        <v/>
      </c>
      <c r="E400" s="45"/>
      <c r="F400" s="11" t="str">
        <f>IFERROR(VLOOKUP(E400,Category!$D$2:$E$600,2,FALSE),"")</f>
        <v/>
      </c>
      <c r="G400" s="45"/>
      <c r="H400" s="73"/>
      <c r="I400" s="18" t="str">
        <f t="shared" si="26"/>
        <v/>
      </c>
      <c r="J400" s="45"/>
      <c r="K400" s="45"/>
    </row>
    <row r="401" spans="1:11">
      <c r="A401" s="10" t="str">
        <f t="shared" si="27"/>
        <v/>
      </c>
      <c r="B401" s="45"/>
      <c r="C401" s="11" t="str">
        <f t="shared" si="24"/>
        <v/>
      </c>
      <c r="D401" s="11" t="str">
        <f t="shared" si="25"/>
        <v/>
      </c>
      <c r="E401" s="45"/>
      <c r="F401" s="11" t="str">
        <f>IFERROR(VLOOKUP(E401,Category!$D$2:$E$600,2,FALSE),"")</f>
        <v/>
      </c>
      <c r="G401" s="45"/>
      <c r="H401" s="73"/>
      <c r="I401" s="18" t="str">
        <f t="shared" si="26"/>
        <v/>
      </c>
      <c r="J401" s="45"/>
      <c r="K401" s="45"/>
    </row>
    <row r="402" spans="1:11">
      <c r="A402" s="10" t="str">
        <f t="shared" si="27"/>
        <v/>
      </c>
      <c r="B402" s="45"/>
      <c r="C402" s="11" t="str">
        <f t="shared" si="24"/>
        <v/>
      </c>
      <c r="D402" s="11" t="str">
        <f t="shared" si="25"/>
        <v/>
      </c>
      <c r="E402" s="45"/>
      <c r="F402" s="11" t="str">
        <f>IFERROR(VLOOKUP(E402,Category!$D$2:$E$600,2,FALSE),"")</f>
        <v/>
      </c>
      <c r="G402" s="45"/>
      <c r="H402" s="73"/>
      <c r="I402" s="18" t="str">
        <f t="shared" si="26"/>
        <v/>
      </c>
      <c r="J402" s="45"/>
      <c r="K402" s="45"/>
    </row>
    <row r="403" spans="1:11">
      <c r="A403" s="10" t="str">
        <f t="shared" si="27"/>
        <v/>
      </c>
      <c r="B403" s="45"/>
      <c r="C403" s="11" t="str">
        <f t="shared" si="24"/>
        <v/>
      </c>
      <c r="D403" s="11" t="str">
        <f t="shared" si="25"/>
        <v/>
      </c>
      <c r="E403" s="45"/>
      <c r="F403" s="11" t="str">
        <f>IFERROR(VLOOKUP(E403,Category!$D$2:$E$600,2,FALSE),"")</f>
        <v/>
      </c>
      <c r="G403" s="45"/>
      <c r="H403" s="73"/>
      <c r="I403" s="18" t="str">
        <f t="shared" si="26"/>
        <v/>
      </c>
      <c r="J403" s="45"/>
      <c r="K403" s="45"/>
    </row>
    <row r="404" spans="1:11">
      <c r="A404" s="10" t="str">
        <f t="shared" si="27"/>
        <v/>
      </c>
      <c r="B404" s="45"/>
      <c r="C404" s="11" t="str">
        <f t="shared" si="24"/>
        <v/>
      </c>
      <c r="D404" s="11" t="str">
        <f t="shared" si="25"/>
        <v/>
      </c>
      <c r="E404" s="45"/>
      <c r="F404" s="11" t="str">
        <f>IFERROR(VLOOKUP(E404,Category!$D$2:$E$600,2,FALSE),"")</f>
        <v/>
      </c>
      <c r="G404" s="45"/>
      <c r="H404" s="73"/>
      <c r="I404" s="18" t="str">
        <f t="shared" si="26"/>
        <v/>
      </c>
      <c r="J404" s="45"/>
      <c r="K404" s="45"/>
    </row>
    <row r="405" spans="1:11">
      <c r="A405" s="10" t="str">
        <f t="shared" si="27"/>
        <v/>
      </c>
      <c r="B405" s="45"/>
      <c r="C405" s="11" t="str">
        <f t="shared" si="24"/>
        <v/>
      </c>
      <c r="D405" s="11" t="str">
        <f t="shared" si="25"/>
        <v/>
      </c>
      <c r="E405" s="45"/>
      <c r="F405" s="11" t="str">
        <f>IFERROR(VLOOKUP(E405,Category!$D$2:$E$600,2,FALSE),"")</f>
        <v/>
      </c>
      <c r="G405" s="45"/>
      <c r="H405" s="73"/>
      <c r="I405" s="18" t="str">
        <f t="shared" si="26"/>
        <v/>
      </c>
      <c r="J405" s="45"/>
      <c r="K405" s="45"/>
    </row>
    <row r="406" spans="1:11">
      <c r="A406" s="10" t="str">
        <f t="shared" si="27"/>
        <v/>
      </c>
      <c r="B406" s="45"/>
      <c r="C406" s="11" t="str">
        <f t="shared" si="24"/>
        <v/>
      </c>
      <c r="D406" s="11" t="str">
        <f t="shared" si="25"/>
        <v/>
      </c>
      <c r="E406" s="45"/>
      <c r="F406" s="11" t="str">
        <f>IFERROR(VLOOKUP(E406,Category!$D$2:$E$600,2,FALSE),"")</f>
        <v/>
      </c>
      <c r="G406" s="45"/>
      <c r="H406" s="73"/>
      <c r="I406" s="18" t="str">
        <f t="shared" si="26"/>
        <v/>
      </c>
      <c r="J406" s="45"/>
      <c r="K406" s="45"/>
    </row>
    <row r="407" spans="1:11">
      <c r="A407" s="10" t="str">
        <f t="shared" si="27"/>
        <v/>
      </c>
      <c r="B407" s="45"/>
      <c r="C407" s="11" t="str">
        <f t="shared" si="24"/>
        <v/>
      </c>
      <c r="D407" s="11" t="str">
        <f t="shared" si="25"/>
        <v/>
      </c>
      <c r="E407" s="45"/>
      <c r="F407" s="11" t="str">
        <f>IFERROR(VLOOKUP(E407,Category!$D$2:$E$600,2,FALSE),"")</f>
        <v/>
      </c>
      <c r="G407" s="45"/>
      <c r="H407" s="73"/>
      <c r="I407" s="18" t="str">
        <f t="shared" si="26"/>
        <v/>
      </c>
      <c r="J407" s="45"/>
      <c r="K407" s="45"/>
    </row>
    <row r="408" spans="1:11">
      <c r="A408" s="10" t="str">
        <f t="shared" si="27"/>
        <v/>
      </c>
      <c r="B408" s="45"/>
      <c r="C408" s="11" t="str">
        <f t="shared" si="24"/>
        <v/>
      </c>
      <c r="D408" s="11" t="str">
        <f t="shared" si="25"/>
        <v/>
      </c>
      <c r="E408" s="45"/>
      <c r="F408" s="11" t="str">
        <f>IFERROR(VLOOKUP(E408,Category!$D$2:$E$600,2,FALSE),"")</f>
        <v/>
      </c>
      <c r="G408" s="45"/>
      <c r="H408" s="73"/>
      <c r="I408" s="18" t="str">
        <f t="shared" si="26"/>
        <v/>
      </c>
      <c r="J408" s="45"/>
      <c r="K408" s="45"/>
    </row>
    <row r="409" spans="1:11">
      <c r="A409" s="10" t="str">
        <f t="shared" si="27"/>
        <v/>
      </c>
      <c r="B409" s="45"/>
      <c r="C409" s="11" t="str">
        <f t="shared" si="24"/>
        <v/>
      </c>
      <c r="D409" s="11" t="str">
        <f t="shared" si="25"/>
        <v/>
      </c>
      <c r="E409" s="45"/>
      <c r="F409" s="11" t="str">
        <f>IFERROR(VLOOKUP(E409,Category!$D$2:$E$600,2,FALSE),"")</f>
        <v/>
      </c>
      <c r="G409" s="45"/>
      <c r="H409" s="73"/>
      <c r="I409" s="18" t="str">
        <f t="shared" si="26"/>
        <v/>
      </c>
      <c r="J409" s="45"/>
      <c r="K409" s="45"/>
    </row>
    <row r="410" spans="1:11">
      <c r="A410" s="10" t="str">
        <f t="shared" si="27"/>
        <v/>
      </c>
      <c r="B410" s="45"/>
      <c r="C410" s="11" t="str">
        <f t="shared" si="24"/>
        <v/>
      </c>
      <c r="D410" s="11" t="str">
        <f t="shared" si="25"/>
        <v/>
      </c>
      <c r="E410" s="45"/>
      <c r="F410" s="11" t="str">
        <f>IFERROR(VLOOKUP(E410,Category!$D$2:$E$600,2,FALSE),"")</f>
        <v/>
      </c>
      <c r="G410" s="45"/>
      <c r="H410" s="73"/>
      <c r="I410" s="18" t="str">
        <f t="shared" si="26"/>
        <v/>
      </c>
      <c r="J410" s="45"/>
      <c r="K410" s="45"/>
    </row>
    <row r="411" spans="1:11">
      <c r="A411" s="10" t="str">
        <f t="shared" si="27"/>
        <v/>
      </c>
      <c r="B411" s="45"/>
      <c r="C411" s="11" t="str">
        <f t="shared" si="24"/>
        <v/>
      </c>
      <c r="D411" s="11" t="str">
        <f t="shared" si="25"/>
        <v/>
      </c>
      <c r="E411" s="45"/>
      <c r="F411" s="11" t="str">
        <f>IFERROR(VLOOKUP(E411,Category!$D$2:$E$600,2,FALSE),"")</f>
        <v/>
      </c>
      <c r="G411" s="45"/>
      <c r="H411" s="73"/>
      <c r="I411" s="18" t="str">
        <f t="shared" si="26"/>
        <v/>
      </c>
      <c r="J411" s="45"/>
      <c r="K411" s="45"/>
    </row>
    <row r="412" spans="1:11">
      <c r="A412" s="10" t="str">
        <f t="shared" si="27"/>
        <v/>
      </c>
      <c r="B412" s="45"/>
      <c r="C412" s="11" t="str">
        <f t="shared" si="24"/>
        <v/>
      </c>
      <c r="D412" s="11" t="str">
        <f t="shared" si="25"/>
        <v/>
      </c>
      <c r="E412" s="45"/>
      <c r="F412" s="11" t="str">
        <f>IFERROR(VLOOKUP(E412,Category!$D$2:$E$600,2,FALSE),"")</f>
        <v/>
      </c>
      <c r="G412" s="45"/>
      <c r="H412" s="73"/>
      <c r="I412" s="18" t="str">
        <f t="shared" si="26"/>
        <v/>
      </c>
      <c r="J412" s="45"/>
      <c r="K412" s="45"/>
    </row>
    <row r="413" spans="1:11">
      <c r="A413" s="10" t="str">
        <f t="shared" si="27"/>
        <v/>
      </c>
      <c r="B413" s="45"/>
      <c r="C413" s="11" t="str">
        <f t="shared" si="24"/>
        <v/>
      </c>
      <c r="D413" s="11" t="str">
        <f t="shared" si="25"/>
        <v/>
      </c>
      <c r="E413" s="45"/>
      <c r="F413" s="11" t="str">
        <f>IFERROR(VLOOKUP(E413,Category!$D$2:$E$600,2,FALSE),"")</f>
        <v/>
      </c>
      <c r="G413" s="45"/>
      <c r="H413" s="73"/>
      <c r="I413" s="18" t="str">
        <f t="shared" si="26"/>
        <v/>
      </c>
      <c r="J413" s="45"/>
      <c r="K413" s="45"/>
    </row>
    <row r="414" spans="1:11">
      <c r="A414" s="10" t="str">
        <f t="shared" si="27"/>
        <v/>
      </c>
      <c r="B414" s="45"/>
      <c r="C414" s="11" t="str">
        <f t="shared" si="24"/>
        <v/>
      </c>
      <c r="D414" s="11" t="str">
        <f t="shared" si="25"/>
        <v/>
      </c>
      <c r="E414" s="45"/>
      <c r="F414" s="11" t="str">
        <f>IFERROR(VLOOKUP(E414,Category!$D$2:$E$600,2,FALSE),"")</f>
        <v/>
      </c>
      <c r="G414" s="45"/>
      <c r="H414" s="73"/>
      <c r="I414" s="18" t="str">
        <f t="shared" si="26"/>
        <v/>
      </c>
      <c r="J414" s="45"/>
      <c r="K414" s="45"/>
    </row>
    <row r="415" spans="1:11">
      <c r="A415" s="10" t="str">
        <f t="shared" si="27"/>
        <v/>
      </c>
      <c r="B415" s="45"/>
      <c r="C415" s="11" t="str">
        <f t="shared" si="24"/>
        <v/>
      </c>
      <c r="D415" s="11" t="str">
        <f t="shared" si="25"/>
        <v/>
      </c>
      <c r="E415" s="45"/>
      <c r="F415" s="11" t="str">
        <f>IFERROR(VLOOKUP(E415,Category!$D$2:$E$600,2,FALSE),"")</f>
        <v/>
      </c>
      <c r="G415" s="45"/>
      <c r="H415" s="73"/>
      <c r="I415" s="18" t="str">
        <f t="shared" si="26"/>
        <v/>
      </c>
      <c r="J415" s="45"/>
      <c r="K415" s="45"/>
    </row>
    <row r="416" spans="1:11">
      <c r="A416" s="10" t="str">
        <f t="shared" si="27"/>
        <v/>
      </c>
      <c r="B416" s="45"/>
      <c r="C416" s="11" t="str">
        <f t="shared" si="24"/>
        <v/>
      </c>
      <c r="D416" s="11" t="str">
        <f t="shared" si="25"/>
        <v/>
      </c>
      <c r="E416" s="45"/>
      <c r="F416" s="11" t="str">
        <f>IFERROR(VLOOKUP(E416,Category!$D$2:$E$600,2,FALSE),"")</f>
        <v/>
      </c>
      <c r="G416" s="45"/>
      <c r="H416" s="73"/>
      <c r="I416" s="18" t="str">
        <f t="shared" si="26"/>
        <v/>
      </c>
      <c r="J416" s="45"/>
      <c r="K416" s="45"/>
    </row>
    <row r="417" spans="1:11">
      <c r="A417" s="10" t="str">
        <f t="shared" si="27"/>
        <v/>
      </c>
      <c r="B417" s="45"/>
      <c r="C417" s="11" t="str">
        <f t="shared" si="24"/>
        <v/>
      </c>
      <c r="D417" s="11" t="str">
        <f t="shared" si="25"/>
        <v/>
      </c>
      <c r="E417" s="45"/>
      <c r="F417" s="11" t="str">
        <f>IFERROR(VLOOKUP(E417,Category!$D$2:$E$600,2,FALSE),"")</f>
        <v/>
      </c>
      <c r="G417" s="45"/>
      <c r="H417" s="73"/>
      <c r="I417" s="18" t="str">
        <f t="shared" si="26"/>
        <v/>
      </c>
      <c r="J417" s="45"/>
      <c r="K417" s="45"/>
    </row>
    <row r="418" spans="1:11">
      <c r="A418" s="10" t="str">
        <f t="shared" si="27"/>
        <v/>
      </c>
      <c r="B418" s="45"/>
      <c r="C418" s="11" t="str">
        <f t="shared" si="24"/>
        <v/>
      </c>
      <c r="D418" s="11" t="str">
        <f t="shared" si="25"/>
        <v/>
      </c>
      <c r="E418" s="45"/>
      <c r="F418" s="11" t="str">
        <f>IFERROR(VLOOKUP(E418,Category!$D$2:$E$600,2,FALSE),"")</f>
        <v/>
      </c>
      <c r="G418" s="45"/>
      <c r="H418" s="73"/>
      <c r="I418" s="18" t="str">
        <f t="shared" si="26"/>
        <v/>
      </c>
      <c r="J418" s="45"/>
      <c r="K418" s="45"/>
    </row>
    <row r="419" spans="1:11">
      <c r="A419" s="10" t="str">
        <f t="shared" si="27"/>
        <v/>
      </c>
      <c r="B419" s="45"/>
      <c r="C419" s="11" t="str">
        <f t="shared" si="24"/>
        <v/>
      </c>
      <c r="D419" s="11" t="str">
        <f t="shared" si="25"/>
        <v/>
      </c>
      <c r="E419" s="45"/>
      <c r="F419" s="11" t="str">
        <f>IFERROR(VLOOKUP(E419,Category!$D$2:$E$600,2,FALSE),"")</f>
        <v/>
      </c>
      <c r="G419" s="45"/>
      <c r="H419" s="73"/>
      <c r="I419" s="18" t="str">
        <f t="shared" si="26"/>
        <v/>
      </c>
      <c r="J419" s="45"/>
      <c r="K419" s="45"/>
    </row>
    <row r="420" spans="1:11">
      <c r="A420" s="10" t="str">
        <f t="shared" si="27"/>
        <v/>
      </c>
      <c r="B420" s="45"/>
      <c r="C420" s="11" t="str">
        <f t="shared" si="24"/>
        <v/>
      </c>
      <c r="D420" s="11" t="str">
        <f t="shared" si="25"/>
        <v/>
      </c>
      <c r="E420" s="45"/>
      <c r="F420" s="11" t="str">
        <f>IFERROR(VLOOKUP(E420,Category!$D$2:$E$600,2,FALSE),"")</f>
        <v/>
      </c>
      <c r="G420" s="45"/>
      <c r="H420" s="73"/>
      <c r="I420" s="18" t="str">
        <f t="shared" si="26"/>
        <v/>
      </c>
      <c r="J420" s="45"/>
      <c r="K420" s="45"/>
    </row>
    <row r="421" spans="1:11">
      <c r="A421" s="10" t="str">
        <f t="shared" si="27"/>
        <v/>
      </c>
      <c r="B421" s="45"/>
      <c r="C421" s="11" t="str">
        <f t="shared" si="24"/>
        <v/>
      </c>
      <c r="D421" s="11" t="str">
        <f t="shared" si="25"/>
        <v/>
      </c>
      <c r="E421" s="45"/>
      <c r="F421" s="11" t="str">
        <f>IFERROR(VLOOKUP(E421,Category!$D$2:$E$600,2,FALSE),"")</f>
        <v/>
      </c>
      <c r="G421" s="45"/>
      <c r="H421" s="73"/>
      <c r="I421" s="18" t="str">
        <f t="shared" si="26"/>
        <v/>
      </c>
      <c r="J421" s="45"/>
      <c r="K421" s="45"/>
    </row>
    <row r="422" spans="1:11">
      <c r="A422" s="10" t="str">
        <f t="shared" si="27"/>
        <v/>
      </c>
      <c r="B422" s="45"/>
      <c r="C422" s="11" t="str">
        <f t="shared" si="24"/>
        <v/>
      </c>
      <c r="D422" s="11" t="str">
        <f t="shared" si="25"/>
        <v/>
      </c>
      <c r="E422" s="45"/>
      <c r="F422" s="11" t="str">
        <f>IFERROR(VLOOKUP(E422,Category!$D$2:$E$600,2,FALSE),"")</f>
        <v/>
      </c>
      <c r="G422" s="45"/>
      <c r="H422" s="73"/>
      <c r="I422" s="18" t="str">
        <f t="shared" si="26"/>
        <v/>
      </c>
      <c r="J422" s="45"/>
      <c r="K422" s="45"/>
    </row>
    <row r="423" spans="1:11">
      <c r="A423" s="10" t="str">
        <f t="shared" si="27"/>
        <v/>
      </c>
      <c r="B423" s="45"/>
      <c r="C423" s="11" t="str">
        <f t="shared" si="24"/>
        <v/>
      </c>
      <c r="D423" s="11" t="str">
        <f t="shared" si="25"/>
        <v/>
      </c>
      <c r="E423" s="45"/>
      <c r="F423" s="11" t="str">
        <f>IFERROR(VLOOKUP(E423,Category!$D$2:$E$600,2,FALSE),"")</f>
        <v/>
      </c>
      <c r="G423" s="45"/>
      <c r="H423" s="73"/>
      <c r="I423" s="18" t="str">
        <f t="shared" si="26"/>
        <v/>
      </c>
      <c r="J423" s="45"/>
      <c r="K423" s="45"/>
    </row>
    <row r="424" spans="1:11">
      <c r="A424" s="10" t="str">
        <f t="shared" si="27"/>
        <v/>
      </c>
      <c r="B424" s="45"/>
      <c r="C424" s="11" t="str">
        <f t="shared" si="24"/>
        <v/>
      </c>
      <c r="D424" s="11" t="str">
        <f t="shared" si="25"/>
        <v/>
      </c>
      <c r="E424" s="45"/>
      <c r="F424" s="11" t="str">
        <f>IFERROR(VLOOKUP(E424,Category!$D$2:$E$600,2,FALSE),"")</f>
        <v/>
      </c>
      <c r="G424" s="45"/>
      <c r="H424" s="73"/>
      <c r="I424" s="18" t="str">
        <f t="shared" si="26"/>
        <v/>
      </c>
      <c r="J424" s="45"/>
      <c r="K424" s="45"/>
    </row>
    <row r="425" spans="1:11">
      <c r="A425" s="10" t="str">
        <f t="shared" si="27"/>
        <v/>
      </c>
      <c r="B425" s="45"/>
      <c r="C425" s="11" t="str">
        <f t="shared" si="24"/>
        <v/>
      </c>
      <c r="D425" s="11" t="str">
        <f t="shared" si="25"/>
        <v/>
      </c>
      <c r="E425" s="45"/>
      <c r="F425" s="11" t="str">
        <f>IFERROR(VLOOKUP(E425,Category!$D$2:$E$600,2,FALSE),"")</f>
        <v/>
      </c>
      <c r="G425" s="45"/>
      <c r="H425" s="73"/>
      <c r="I425" s="18" t="str">
        <f t="shared" si="26"/>
        <v/>
      </c>
      <c r="J425" s="45"/>
      <c r="K425" s="45"/>
    </row>
    <row r="426" spans="1:11">
      <c r="A426" s="10" t="str">
        <f t="shared" si="27"/>
        <v/>
      </c>
      <c r="B426" s="45"/>
      <c r="C426" s="11" t="str">
        <f t="shared" si="24"/>
        <v/>
      </c>
      <c r="D426" s="11" t="str">
        <f t="shared" si="25"/>
        <v/>
      </c>
      <c r="E426" s="45"/>
      <c r="F426" s="11" t="str">
        <f>IFERROR(VLOOKUP(E426,Category!$D$2:$E$600,2,FALSE),"")</f>
        <v/>
      </c>
      <c r="G426" s="45"/>
      <c r="H426" s="73"/>
      <c r="I426" s="18" t="str">
        <f t="shared" si="26"/>
        <v/>
      </c>
      <c r="J426" s="45"/>
      <c r="K426" s="45"/>
    </row>
    <row r="427" spans="1:11">
      <c r="A427" s="10" t="str">
        <f t="shared" si="27"/>
        <v/>
      </c>
      <c r="B427" s="45"/>
      <c r="C427" s="11" t="str">
        <f t="shared" si="24"/>
        <v/>
      </c>
      <c r="D427" s="11" t="str">
        <f t="shared" si="25"/>
        <v/>
      </c>
      <c r="E427" s="45"/>
      <c r="F427" s="11" t="str">
        <f>IFERROR(VLOOKUP(E427,Category!$D$2:$E$600,2,FALSE),"")</f>
        <v/>
      </c>
      <c r="G427" s="45"/>
      <c r="H427" s="73"/>
      <c r="I427" s="18" t="str">
        <f t="shared" si="26"/>
        <v/>
      </c>
      <c r="J427" s="45"/>
      <c r="K427" s="45"/>
    </row>
    <row r="428" spans="1:11">
      <c r="A428" s="10" t="str">
        <f t="shared" si="27"/>
        <v/>
      </c>
      <c r="B428" s="45"/>
      <c r="C428" s="11" t="str">
        <f t="shared" si="24"/>
        <v/>
      </c>
      <c r="D428" s="11" t="str">
        <f t="shared" si="25"/>
        <v/>
      </c>
      <c r="E428" s="45"/>
      <c r="F428" s="11" t="str">
        <f>IFERROR(VLOOKUP(E428,Category!$D$2:$E$600,2,FALSE),"")</f>
        <v/>
      </c>
      <c r="G428" s="45"/>
      <c r="H428" s="73"/>
      <c r="I428" s="18" t="str">
        <f t="shared" si="26"/>
        <v/>
      </c>
      <c r="J428" s="45"/>
      <c r="K428" s="45"/>
    </row>
    <row r="429" spans="1:11">
      <c r="A429" s="10" t="str">
        <f t="shared" si="27"/>
        <v/>
      </c>
      <c r="B429" s="45"/>
      <c r="C429" s="11" t="str">
        <f t="shared" si="24"/>
        <v/>
      </c>
      <c r="D429" s="11" t="str">
        <f t="shared" si="25"/>
        <v/>
      </c>
      <c r="E429" s="45"/>
      <c r="F429" s="11" t="str">
        <f>IFERROR(VLOOKUP(E429,Category!$D$2:$E$600,2,FALSE),"")</f>
        <v/>
      </c>
      <c r="G429" s="45"/>
      <c r="H429" s="73"/>
      <c r="I429" s="18" t="str">
        <f t="shared" si="26"/>
        <v/>
      </c>
      <c r="J429" s="45"/>
      <c r="K429" s="45"/>
    </row>
    <row r="430" spans="1:11">
      <c r="A430" s="10" t="str">
        <f t="shared" si="27"/>
        <v/>
      </c>
      <c r="B430" s="45"/>
      <c r="C430" s="11" t="str">
        <f t="shared" si="24"/>
        <v/>
      </c>
      <c r="D430" s="11" t="str">
        <f t="shared" si="25"/>
        <v/>
      </c>
      <c r="E430" s="45"/>
      <c r="F430" s="11" t="str">
        <f>IFERROR(VLOOKUP(E430,Category!$D$2:$E$600,2,FALSE),"")</f>
        <v/>
      </c>
      <c r="G430" s="45"/>
      <c r="H430" s="73"/>
      <c r="I430" s="18" t="str">
        <f t="shared" si="26"/>
        <v/>
      </c>
      <c r="J430" s="45"/>
      <c r="K430" s="45"/>
    </row>
    <row r="431" spans="1:11">
      <c r="A431" s="10" t="str">
        <f t="shared" si="27"/>
        <v/>
      </c>
      <c r="B431" s="45"/>
      <c r="C431" s="11" t="str">
        <f t="shared" si="24"/>
        <v/>
      </c>
      <c r="D431" s="11" t="str">
        <f t="shared" si="25"/>
        <v/>
      </c>
      <c r="E431" s="45"/>
      <c r="F431" s="11" t="str">
        <f>IFERROR(VLOOKUP(E431,Category!$D$2:$E$600,2,FALSE),"")</f>
        <v/>
      </c>
      <c r="G431" s="45"/>
      <c r="H431" s="73"/>
      <c r="I431" s="18" t="str">
        <f t="shared" si="26"/>
        <v/>
      </c>
      <c r="J431" s="45"/>
      <c r="K431" s="45"/>
    </row>
    <row r="432" spans="1:11">
      <c r="A432" s="10" t="str">
        <f t="shared" si="27"/>
        <v/>
      </c>
      <c r="B432" s="45"/>
      <c r="C432" s="11" t="str">
        <f t="shared" si="24"/>
        <v/>
      </c>
      <c r="D432" s="11" t="str">
        <f t="shared" si="25"/>
        <v/>
      </c>
      <c r="E432" s="45"/>
      <c r="F432" s="11" t="str">
        <f>IFERROR(VLOOKUP(E432,Category!$D$2:$E$600,2,FALSE),"")</f>
        <v/>
      </c>
      <c r="G432" s="45"/>
      <c r="H432" s="73"/>
      <c r="I432" s="18" t="str">
        <f t="shared" si="26"/>
        <v/>
      </c>
      <c r="J432" s="45"/>
      <c r="K432" s="45"/>
    </row>
    <row r="433" spans="1:11">
      <c r="A433" s="10" t="str">
        <f t="shared" si="27"/>
        <v/>
      </c>
      <c r="B433" s="45"/>
      <c r="C433" s="11" t="str">
        <f t="shared" si="24"/>
        <v/>
      </c>
      <c r="D433" s="11" t="str">
        <f t="shared" si="25"/>
        <v/>
      </c>
      <c r="E433" s="45"/>
      <c r="F433" s="11" t="str">
        <f>IFERROR(VLOOKUP(E433,Category!$D$2:$E$600,2,FALSE),"")</f>
        <v/>
      </c>
      <c r="G433" s="45"/>
      <c r="H433" s="73"/>
      <c r="I433" s="18" t="str">
        <f t="shared" si="26"/>
        <v/>
      </c>
      <c r="J433" s="45"/>
      <c r="K433" s="45"/>
    </row>
    <row r="434" spans="1:11">
      <c r="A434" s="10" t="str">
        <f t="shared" si="27"/>
        <v/>
      </c>
      <c r="B434" s="45"/>
      <c r="C434" s="11" t="str">
        <f t="shared" si="24"/>
        <v/>
      </c>
      <c r="D434" s="11" t="str">
        <f t="shared" si="25"/>
        <v/>
      </c>
      <c r="E434" s="45"/>
      <c r="F434" s="11" t="str">
        <f>IFERROR(VLOOKUP(E434,Category!$D$2:$E$600,2,FALSE),"")</f>
        <v/>
      </c>
      <c r="G434" s="45"/>
      <c r="H434" s="73"/>
      <c r="I434" s="18" t="str">
        <f t="shared" si="26"/>
        <v/>
      </c>
      <c r="J434" s="45"/>
      <c r="K434" s="45"/>
    </row>
    <row r="435" spans="1:11">
      <c r="A435" s="10" t="str">
        <f t="shared" si="27"/>
        <v/>
      </c>
      <c r="B435" s="45"/>
      <c r="C435" s="11" t="str">
        <f t="shared" si="24"/>
        <v/>
      </c>
      <c r="D435" s="11" t="str">
        <f t="shared" si="25"/>
        <v/>
      </c>
      <c r="E435" s="45"/>
      <c r="F435" s="11" t="str">
        <f>IFERROR(VLOOKUP(E435,Category!$D$2:$E$600,2,FALSE),"")</f>
        <v/>
      </c>
      <c r="G435" s="45"/>
      <c r="H435" s="73"/>
      <c r="I435" s="18" t="str">
        <f t="shared" si="26"/>
        <v/>
      </c>
      <c r="J435" s="45"/>
      <c r="K435" s="45"/>
    </row>
    <row r="436" spans="1:11">
      <c r="A436" s="10" t="str">
        <f t="shared" si="27"/>
        <v/>
      </c>
      <c r="B436" s="45"/>
      <c r="C436" s="11" t="str">
        <f t="shared" si="24"/>
        <v/>
      </c>
      <c r="D436" s="11" t="str">
        <f t="shared" si="25"/>
        <v/>
      </c>
      <c r="E436" s="45"/>
      <c r="F436" s="11" t="str">
        <f>IFERROR(VLOOKUP(E436,Category!$D$2:$E$600,2,FALSE),"")</f>
        <v/>
      </c>
      <c r="G436" s="45"/>
      <c r="H436" s="73"/>
      <c r="I436" s="18" t="str">
        <f t="shared" si="26"/>
        <v/>
      </c>
      <c r="J436" s="45"/>
      <c r="K436" s="45"/>
    </row>
    <row r="437" spans="1:11">
      <c r="A437" s="10" t="str">
        <f t="shared" si="27"/>
        <v/>
      </c>
      <c r="B437" s="45"/>
      <c r="C437" s="11" t="str">
        <f t="shared" si="24"/>
        <v/>
      </c>
      <c r="D437" s="11" t="str">
        <f t="shared" si="25"/>
        <v/>
      </c>
      <c r="E437" s="45"/>
      <c r="F437" s="11" t="str">
        <f>IFERROR(VLOOKUP(E437,Category!$D$2:$E$600,2,FALSE),"")</f>
        <v/>
      </c>
      <c r="G437" s="45"/>
      <c r="H437" s="73"/>
      <c r="I437" s="18" t="str">
        <f t="shared" si="26"/>
        <v/>
      </c>
      <c r="J437" s="45"/>
      <c r="K437" s="45"/>
    </row>
    <row r="438" spans="1:11">
      <c r="A438" s="10" t="str">
        <f t="shared" si="27"/>
        <v/>
      </c>
      <c r="B438" s="45"/>
      <c r="C438" s="11" t="str">
        <f t="shared" si="24"/>
        <v/>
      </c>
      <c r="D438" s="11" t="str">
        <f t="shared" si="25"/>
        <v/>
      </c>
      <c r="E438" s="45"/>
      <c r="F438" s="11" t="str">
        <f>IFERROR(VLOOKUP(E438,Category!$D$2:$E$600,2,FALSE),"")</f>
        <v/>
      </c>
      <c r="G438" s="45"/>
      <c r="H438" s="73"/>
      <c r="I438" s="18" t="str">
        <f t="shared" si="26"/>
        <v/>
      </c>
      <c r="J438" s="45"/>
      <c r="K438" s="45"/>
    </row>
    <row r="439" spans="1:11">
      <c r="A439" s="10" t="str">
        <f t="shared" si="27"/>
        <v/>
      </c>
      <c r="B439" s="45"/>
      <c r="C439" s="11" t="str">
        <f t="shared" si="24"/>
        <v/>
      </c>
      <c r="D439" s="11" t="str">
        <f t="shared" si="25"/>
        <v/>
      </c>
      <c r="E439" s="45"/>
      <c r="F439" s="11" t="str">
        <f>IFERROR(VLOOKUP(E439,Category!$D$2:$E$600,2,FALSE),"")</f>
        <v/>
      </c>
      <c r="G439" s="45"/>
      <c r="H439" s="73"/>
      <c r="I439" s="18" t="str">
        <f t="shared" si="26"/>
        <v/>
      </c>
      <c r="J439" s="45"/>
      <c r="K439" s="45"/>
    </row>
    <row r="440" spans="1:11">
      <c r="A440" s="10" t="str">
        <f t="shared" si="27"/>
        <v/>
      </c>
      <c r="B440" s="45"/>
      <c r="C440" s="11" t="str">
        <f t="shared" si="24"/>
        <v/>
      </c>
      <c r="D440" s="11" t="str">
        <f t="shared" si="25"/>
        <v/>
      </c>
      <c r="E440" s="45"/>
      <c r="F440" s="11" t="str">
        <f>IFERROR(VLOOKUP(E440,Category!$D$2:$E$600,2,FALSE),"")</f>
        <v/>
      </c>
      <c r="G440" s="45"/>
      <c r="H440" s="73"/>
      <c r="I440" s="18" t="str">
        <f t="shared" si="26"/>
        <v/>
      </c>
      <c r="J440" s="45"/>
      <c r="K440" s="45"/>
    </row>
    <row r="441" spans="1:11">
      <c r="A441" s="10" t="str">
        <f t="shared" si="27"/>
        <v/>
      </c>
      <c r="B441" s="45"/>
      <c r="C441" s="11" t="str">
        <f t="shared" si="24"/>
        <v/>
      </c>
      <c r="D441" s="11" t="str">
        <f t="shared" si="25"/>
        <v/>
      </c>
      <c r="E441" s="45"/>
      <c r="F441" s="11" t="str">
        <f>IFERROR(VLOOKUP(E441,Category!$D$2:$E$600,2,FALSE),"")</f>
        <v/>
      </c>
      <c r="G441" s="45"/>
      <c r="H441" s="73"/>
      <c r="I441" s="18" t="str">
        <f t="shared" si="26"/>
        <v/>
      </c>
      <c r="J441" s="45"/>
      <c r="K441" s="45"/>
    </row>
    <row r="442" spans="1:11">
      <c r="A442" s="10" t="str">
        <f t="shared" si="27"/>
        <v/>
      </c>
      <c r="B442" s="45"/>
      <c r="C442" s="11" t="str">
        <f t="shared" si="24"/>
        <v/>
      </c>
      <c r="D442" s="11" t="str">
        <f t="shared" si="25"/>
        <v/>
      </c>
      <c r="E442" s="45"/>
      <c r="F442" s="11" t="str">
        <f>IFERROR(VLOOKUP(E442,Category!$D$2:$E$600,2,FALSE),"")</f>
        <v/>
      </c>
      <c r="G442" s="45"/>
      <c r="H442" s="73"/>
      <c r="I442" s="18" t="str">
        <f t="shared" si="26"/>
        <v/>
      </c>
      <c r="J442" s="45"/>
      <c r="K442" s="45"/>
    </row>
    <row r="443" spans="1:11">
      <c r="A443" s="10" t="str">
        <f t="shared" si="27"/>
        <v/>
      </c>
      <c r="B443" s="45"/>
      <c r="C443" s="11" t="str">
        <f t="shared" si="24"/>
        <v/>
      </c>
      <c r="D443" s="11" t="str">
        <f t="shared" si="25"/>
        <v/>
      </c>
      <c r="E443" s="45"/>
      <c r="F443" s="11" t="str">
        <f>IFERROR(VLOOKUP(E443,Category!$D$2:$E$600,2,FALSE),"")</f>
        <v/>
      </c>
      <c r="G443" s="45"/>
      <c r="H443" s="73"/>
      <c r="I443" s="18" t="str">
        <f t="shared" si="26"/>
        <v/>
      </c>
      <c r="J443" s="45"/>
      <c r="K443" s="45"/>
    </row>
    <row r="444" spans="1:11">
      <c r="A444" s="10" t="str">
        <f t="shared" si="27"/>
        <v/>
      </c>
      <c r="B444" s="45"/>
      <c r="C444" s="11" t="str">
        <f t="shared" si="24"/>
        <v/>
      </c>
      <c r="D444" s="11" t="str">
        <f t="shared" si="25"/>
        <v/>
      </c>
      <c r="E444" s="45"/>
      <c r="F444" s="11" t="str">
        <f>IFERROR(VLOOKUP(E444,Category!$D$2:$E$600,2,FALSE),"")</f>
        <v/>
      </c>
      <c r="G444" s="45"/>
      <c r="H444" s="73"/>
      <c r="I444" s="18" t="str">
        <f t="shared" si="26"/>
        <v/>
      </c>
      <c r="J444" s="45"/>
      <c r="K444" s="45"/>
    </row>
    <row r="445" spans="1:11">
      <c r="A445" s="10" t="str">
        <f t="shared" si="27"/>
        <v/>
      </c>
      <c r="B445" s="45"/>
      <c r="C445" s="11" t="str">
        <f t="shared" si="24"/>
        <v/>
      </c>
      <c r="D445" s="11" t="str">
        <f t="shared" si="25"/>
        <v/>
      </c>
      <c r="E445" s="45"/>
      <c r="F445" s="11" t="str">
        <f>IFERROR(VLOOKUP(E445,Category!$D$2:$E$600,2,FALSE),"")</f>
        <v/>
      </c>
      <c r="G445" s="45"/>
      <c r="H445" s="73"/>
      <c r="I445" s="18" t="str">
        <f t="shared" si="26"/>
        <v/>
      </c>
      <c r="J445" s="45"/>
      <c r="K445" s="45"/>
    </row>
    <row r="446" spans="1:11">
      <c r="A446" s="10" t="str">
        <f t="shared" si="27"/>
        <v/>
      </c>
      <c r="B446" s="45"/>
      <c r="C446" s="11" t="str">
        <f t="shared" si="24"/>
        <v/>
      </c>
      <c r="D446" s="11" t="str">
        <f t="shared" si="25"/>
        <v/>
      </c>
      <c r="E446" s="45"/>
      <c r="F446" s="11" t="str">
        <f>IFERROR(VLOOKUP(E446,Category!$D$2:$E$600,2,FALSE),"")</f>
        <v/>
      </c>
      <c r="G446" s="45"/>
      <c r="H446" s="73"/>
      <c r="I446" s="18" t="str">
        <f t="shared" si="26"/>
        <v/>
      </c>
      <c r="J446" s="45"/>
      <c r="K446" s="45"/>
    </row>
    <row r="447" spans="1:11">
      <c r="A447" s="10" t="str">
        <f t="shared" si="27"/>
        <v/>
      </c>
      <c r="B447" s="45"/>
      <c r="C447" s="11" t="str">
        <f t="shared" si="24"/>
        <v/>
      </c>
      <c r="D447" s="11" t="str">
        <f t="shared" si="25"/>
        <v/>
      </c>
      <c r="E447" s="45"/>
      <c r="F447" s="11" t="str">
        <f>IFERROR(VLOOKUP(E447,Category!$D$2:$E$600,2,FALSE),"")</f>
        <v/>
      </c>
      <c r="G447" s="45"/>
      <c r="H447" s="73"/>
      <c r="I447" s="18" t="str">
        <f t="shared" si="26"/>
        <v/>
      </c>
      <c r="J447" s="45"/>
      <c r="K447" s="45"/>
    </row>
    <row r="448" spans="1:11">
      <c r="A448" s="10" t="str">
        <f t="shared" si="27"/>
        <v/>
      </c>
      <c r="B448" s="45"/>
      <c r="C448" s="11" t="str">
        <f t="shared" si="24"/>
        <v/>
      </c>
      <c r="D448" s="11" t="str">
        <f t="shared" si="25"/>
        <v/>
      </c>
      <c r="E448" s="45"/>
      <c r="F448" s="11" t="str">
        <f>IFERROR(VLOOKUP(E448,Category!$D$2:$E$600,2,FALSE),"")</f>
        <v/>
      </c>
      <c r="G448" s="45"/>
      <c r="H448" s="73"/>
      <c r="I448" s="18" t="str">
        <f t="shared" si="26"/>
        <v/>
      </c>
      <c r="J448" s="45"/>
      <c r="K448" s="45"/>
    </row>
    <row r="449" spans="1:11">
      <c r="A449" s="10" t="str">
        <f t="shared" si="27"/>
        <v/>
      </c>
      <c r="B449" s="45"/>
      <c r="C449" s="11" t="str">
        <f t="shared" si="24"/>
        <v/>
      </c>
      <c r="D449" s="11" t="str">
        <f t="shared" si="25"/>
        <v/>
      </c>
      <c r="E449" s="45"/>
      <c r="F449" s="11" t="str">
        <f>IFERROR(VLOOKUP(E449,Category!$D$2:$E$600,2,FALSE),"")</f>
        <v/>
      </c>
      <c r="G449" s="45"/>
      <c r="H449" s="73"/>
      <c r="I449" s="18" t="str">
        <f t="shared" si="26"/>
        <v/>
      </c>
      <c r="J449" s="45"/>
      <c r="K449" s="45"/>
    </row>
    <row r="450" spans="1:11">
      <c r="A450" s="10" t="str">
        <f t="shared" si="27"/>
        <v/>
      </c>
      <c r="B450" s="45"/>
      <c r="C450" s="11" t="str">
        <f t="shared" si="24"/>
        <v/>
      </c>
      <c r="D450" s="11" t="str">
        <f t="shared" si="25"/>
        <v/>
      </c>
      <c r="E450" s="45"/>
      <c r="F450" s="11" t="str">
        <f>IFERROR(VLOOKUP(E450,Category!$D$2:$E$600,2,FALSE),"")</f>
        <v/>
      </c>
      <c r="G450" s="45"/>
      <c r="H450" s="73"/>
      <c r="I450" s="18" t="str">
        <f t="shared" si="26"/>
        <v/>
      </c>
      <c r="J450" s="45"/>
      <c r="K450" s="45"/>
    </row>
    <row r="451" spans="1:11">
      <c r="A451" s="10" t="str">
        <f t="shared" si="27"/>
        <v/>
      </c>
      <c r="B451" s="45"/>
      <c r="C451" s="11" t="str">
        <f t="shared" ref="C451:C514" si="28">IF(B451=0,"",TEXT(B451,"mmmm"))</f>
        <v/>
      </c>
      <c r="D451" s="11" t="str">
        <f t="shared" ref="D451:D514" si="29">IF(B451=0,"",TEXT(B451,"yyyy"))</f>
        <v/>
      </c>
      <c r="E451" s="45"/>
      <c r="F451" s="11" t="str">
        <f>IFERROR(VLOOKUP(E451,Category!$D$2:$E$600,2,FALSE),"")</f>
        <v/>
      </c>
      <c r="G451" s="45"/>
      <c r="H451" s="73"/>
      <c r="I451" s="18" t="str">
        <f t="shared" ref="I451:I514" si="30">IF(G451*H451=0,"",G451*H451)</f>
        <v/>
      </c>
      <c r="J451" s="45"/>
      <c r="K451" s="45"/>
    </row>
    <row r="452" spans="1:11">
      <c r="A452" s="10" t="str">
        <f t="shared" ref="A452:A515" si="31">IF(E452&gt;0,A451+1,"")</f>
        <v/>
      </c>
      <c r="B452" s="45"/>
      <c r="C452" s="11" t="str">
        <f t="shared" si="28"/>
        <v/>
      </c>
      <c r="D452" s="11" t="str">
        <f t="shared" si="29"/>
        <v/>
      </c>
      <c r="E452" s="45"/>
      <c r="F452" s="11" t="str">
        <f>IFERROR(VLOOKUP(E452,Category!$D$2:$E$600,2,FALSE),"")</f>
        <v/>
      </c>
      <c r="G452" s="45"/>
      <c r="H452" s="73"/>
      <c r="I452" s="18" t="str">
        <f t="shared" si="30"/>
        <v/>
      </c>
      <c r="J452" s="45"/>
      <c r="K452" s="45"/>
    </row>
    <row r="453" spans="1:11">
      <c r="A453" s="10" t="str">
        <f t="shared" si="31"/>
        <v/>
      </c>
      <c r="B453" s="45"/>
      <c r="C453" s="11" t="str">
        <f t="shared" si="28"/>
        <v/>
      </c>
      <c r="D453" s="11" t="str">
        <f t="shared" si="29"/>
        <v/>
      </c>
      <c r="E453" s="45"/>
      <c r="F453" s="11" t="str">
        <f>IFERROR(VLOOKUP(E453,Category!$D$2:$E$600,2,FALSE),"")</f>
        <v/>
      </c>
      <c r="G453" s="45"/>
      <c r="H453" s="73"/>
      <c r="I453" s="18" t="str">
        <f t="shared" si="30"/>
        <v/>
      </c>
      <c r="J453" s="45"/>
      <c r="K453" s="45"/>
    </row>
    <row r="454" spans="1:11">
      <c r="A454" s="10" t="str">
        <f t="shared" si="31"/>
        <v/>
      </c>
      <c r="B454" s="45"/>
      <c r="C454" s="11" t="str">
        <f t="shared" si="28"/>
        <v/>
      </c>
      <c r="D454" s="11" t="str">
        <f t="shared" si="29"/>
        <v/>
      </c>
      <c r="E454" s="45"/>
      <c r="F454" s="11" t="str">
        <f>IFERROR(VLOOKUP(E454,Category!$D$2:$E$600,2,FALSE),"")</f>
        <v/>
      </c>
      <c r="G454" s="45"/>
      <c r="H454" s="73"/>
      <c r="I454" s="18" t="str">
        <f t="shared" si="30"/>
        <v/>
      </c>
      <c r="J454" s="45"/>
      <c r="K454" s="45"/>
    </row>
    <row r="455" spans="1:11">
      <c r="A455" s="10" t="str">
        <f t="shared" si="31"/>
        <v/>
      </c>
      <c r="B455" s="45"/>
      <c r="C455" s="11" t="str">
        <f t="shared" si="28"/>
        <v/>
      </c>
      <c r="D455" s="11" t="str">
        <f t="shared" si="29"/>
        <v/>
      </c>
      <c r="E455" s="45"/>
      <c r="F455" s="11" t="str">
        <f>IFERROR(VLOOKUP(E455,Category!$D$2:$E$600,2,FALSE),"")</f>
        <v/>
      </c>
      <c r="G455" s="45"/>
      <c r="H455" s="73"/>
      <c r="I455" s="18" t="str">
        <f t="shared" si="30"/>
        <v/>
      </c>
      <c r="J455" s="45"/>
      <c r="K455" s="45"/>
    </row>
    <row r="456" spans="1:11">
      <c r="A456" s="10" t="str">
        <f t="shared" si="31"/>
        <v/>
      </c>
      <c r="B456" s="45"/>
      <c r="C456" s="11" t="str">
        <f t="shared" si="28"/>
        <v/>
      </c>
      <c r="D456" s="11" t="str">
        <f t="shared" si="29"/>
        <v/>
      </c>
      <c r="E456" s="45"/>
      <c r="F456" s="11" t="str">
        <f>IFERROR(VLOOKUP(E456,Category!$D$2:$E$600,2,FALSE),"")</f>
        <v/>
      </c>
      <c r="G456" s="45"/>
      <c r="H456" s="73"/>
      <c r="I456" s="18" t="str">
        <f t="shared" si="30"/>
        <v/>
      </c>
      <c r="J456" s="45"/>
      <c r="K456" s="45"/>
    </row>
    <row r="457" spans="1:11">
      <c r="A457" s="10" t="str">
        <f t="shared" si="31"/>
        <v/>
      </c>
      <c r="B457" s="45"/>
      <c r="C457" s="11" t="str">
        <f t="shared" si="28"/>
        <v/>
      </c>
      <c r="D457" s="11" t="str">
        <f t="shared" si="29"/>
        <v/>
      </c>
      <c r="E457" s="45"/>
      <c r="F457" s="11" t="str">
        <f>IFERROR(VLOOKUP(E457,Category!$D$2:$E$600,2,FALSE),"")</f>
        <v/>
      </c>
      <c r="G457" s="45"/>
      <c r="H457" s="73"/>
      <c r="I457" s="18" t="str">
        <f t="shared" si="30"/>
        <v/>
      </c>
      <c r="J457" s="45"/>
      <c r="K457" s="45"/>
    </row>
    <row r="458" spans="1:11">
      <c r="A458" s="10" t="str">
        <f t="shared" si="31"/>
        <v/>
      </c>
      <c r="B458" s="45"/>
      <c r="C458" s="11" t="str">
        <f t="shared" si="28"/>
        <v/>
      </c>
      <c r="D458" s="11" t="str">
        <f t="shared" si="29"/>
        <v/>
      </c>
      <c r="E458" s="45"/>
      <c r="F458" s="11" t="str">
        <f>IFERROR(VLOOKUP(E458,Category!$D$2:$E$600,2,FALSE),"")</f>
        <v/>
      </c>
      <c r="G458" s="45"/>
      <c r="H458" s="73"/>
      <c r="I458" s="18" t="str">
        <f t="shared" si="30"/>
        <v/>
      </c>
      <c r="J458" s="45"/>
      <c r="K458" s="45"/>
    </row>
    <row r="459" spans="1:11">
      <c r="A459" s="10" t="str">
        <f t="shared" si="31"/>
        <v/>
      </c>
      <c r="B459" s="45"/>
      <c r="C459" s="11" t="str">
        <f t="shared" si="28"/>
        <v/>
      </c>
      <c r="D459" s="11" t="str">
        <f t="shared" si="29"/>
        <v/>
      </c>
      <c r="E459" s="45"/>
      <c r="F459" s="11" t="str">
        <f>IFERROR(VLOOKUP(E459,Category!$D$2:$E$600,2,FALSE),"")</f>
        <v/>
      </c>
      <c r="G459" s="45"/>
      <c r="H459" s="73"/>
      <c r="I459" s="18" t="str">
        <f t="shared" si="30"/>
        <v/>
      </c>
      <c r="J459" s="45"/>
      <c r="K459" s="45"/>
    </row>
    <row r="460" spans="1:11">
      <c r="A460" s="10" t="str">
        <f t="shared" si="31"/>
        <v/>
      </c>
      <c r="B460" s="45"/>
      <c r="C460" s="11" t="str">
        <f t="shared" si="28"/>
        <v/>
      </c>
      <c r="D460" s="11" t="str">
        <f t="shared" si="29"/>
        <v/>
      </c>
      <c r="E460" s="45"/>
      <c r="F460" s="11" t="str">
        <f>IFERROR(VLOOKUP(E460,Category!$D$2:$E$600,2,FALSE),"")</f>
        <v/>
      </c>
      <c r="G460" s="45"/>
      <c r="H460" s="73"/>
      <c r="I460" s="18" t="str">
        <f t="shared" si="30"/>
        <v/>
      </c>
      <c r="J460" s="45"/>
      <c r="K460" s="45"/>
    </row>
    <row r="461" spans="1:11">
      <c r="A461" s="10" t="str">
        <f t="shared" si="31"/>
        <v/>
      </c>
      <c r="B461" s="45"/>
      <c r="C461" s="11" t="str">
        <f t="shared" si="28"/>
        <v/>
      </c>
      <c r="D461" s="11" t="str">
        <f t="shared" si="29"/>
        <v/>
      </c>
      <c r="E461" s="45"/>
      <c r="F461" s="11" t="str">
        <f>IFERROR(VLOOKUP(E461,Category!$D$2:$E$600,2,FALSE),"")</f>
        <v/>
      </c>
      <c r="G461" s="45"/>
      <c r="H461" s="73"/>
      <c r="I461" s="18" t="str">
        <f t="shared" si="30"/>
        <v/>
      </c>
      <c r="J461" s="45"/>
      <c r="K461" s="45"/>
    </row>
    <row r="462" spans="1:11">
      <c r="A462" s="10" t="str">
        <f t="shared" si="31"/>
        <v/>
      </c>
      <c r="B462" s="45"/>
      <c r="C462" s="11" t="str">
        <f t="shared" si="28"/>
        <v/>
      </c>
      <c r="D462" s="11" t="str">
        <f t="shared" si="29"/>
        <v/>
      </c>
      <c r="E462" s="45"/>
      <c r="F462" s="11" t="str">
        <f>IFERROR(VLOOKUP(E462,Category!$D$2:$E$600,2,FALSE),"")</f>
        <v/>
      </c>
      <c r="G462" s="45"/>
      <c r="H462" s="73"/>
      <c r="I462" s="18" t="str">
        <f t="shared" si="30"/>
        <v/>
      </c>
      <c r="J462" s="45"/>
      <c r="K462" s="45"/>
    </row>
    <row r="463" spans="1:11">
      <c r="A463" s="10" t="str">
        <f t="shared" si="31"/>
        <v/>
      </c>
      <c r="B463" s="45"/>
      <c r="C463" s="11" t="str">
        <f t="shared" si="28"/>
        <v/>
      </c>
      <c r="D463" s="11" t="str">
        <f t="shared" si="29"/>
        <v/>
      </c>
      <c r="E463" s="45"/>
      <c r="F463" s="11" t="str">
        <f>IFERROR(VLOOKUP(E463,Category!$D$2:$E$600,2,FALSE),"")</f>
        <v/>
      </c>
      <c r="G463" s="45"/>
      <c r="H463" s="73"/>
      <c r="I463" s="18" t="str">
        <f t="shared" si="30"/>
        <v/>
      </c>
      <c r="J463" s="45"/>
      <c r="K463" s="45"/>
    </row>
    <row r="464" spans="1:11">
      <c r="A464" s="10" t="str">
        <f t="shared" si="31"/>
        <v/>
      </c>
      <c r="B464" s="45"/>
      <c r="C464" s="11" t="str">
        <f t="shared" si="28"/>
        <v/>
      </c>
      <c r="D464" s="11" t="str">
        <f t="shared" si="29"/>
        <v/>
      </c>
      <c r="E464" s="45"/>
      <c r="F464" s="11" t="str">
        <f>IFERROR(VLOOKUP(E464,Category!$D$2:$E$600,2,FALSE),"")</f>
        <v/>
      </c>
      <c r="G464" s="45"/>
      <c r="H464" s="73"/>
      <c r="I464" s="18" t="str">
        <f t="shared" si="30"/>
        <v/>
      </c>
      <c r="J464" s="45"/>
      <c r="K464" s="45"/>
    </row>
    <row r="465" spans="1:11">
      <c r="A465" s="10" t="str">
        <f t="shared" si="31"/>
        <v/>
      </c>
      <c r="B465" s="45"/>
      <c r="C465" s="11" t="str">
        <f t="shared" si="28"/>
        <v/>
      </c>
      <c r="D465" s="11" t="str">
        <f t="shared" si="29"/>
        <v/>
      </c>
      <c r="E465" s="45"/>
      <c r="F465" s="11" t="str">
        <f>IFERROR(VLOOKUP(E465,Category!$D$2:$E$600,2,FALSE),"")</f>
        <v/>
      </c>
      <c r="G465" s="45"/>
      <c r="H465" s="73"/>
      <c r="I465" s="18" t="str">
        <f t="shared" si="30"/>
        <v/>
      </c>
      <c r="J465" s="45"/>
      <c r="K465" s="45"/>
    </row>
    <row r="466" spans="1:11">
      <c r="A466" s="10" t="str">
        <f t="shared" si="31"/>
        <v/>
      </c>
      <c r="B466" s="45"/>
      <c r="C466" s="11" t="str">
        <f t="shared" si="28"/>
        <v/>
      </c>
      <c r="D466" s="11" t="str">
        <f t="shared" si="29"/>
        <v/>
      </c>
      <c r="E466" s="45"/>
      <c r="F466" s="11" t="str">
        <f>IFERROR(VLOOKUP(E466,Category!$D$2:$E$600,2,FALSE),"")</f>
        <v/>
      </c>
      <c r="G466" s="45"/>
      <c r="H466" s="73"/>
      <c r="I466" s="18" t="str">
        <f t="shared" si="30"/>
        <v/>
      </c>
      <c r="J466" s="45"/>
      <c r="K466" s="45"/>
    </row>
    <row r="467" spans="1:11">
      <c r="A467" s="10" t="str">
        <f t="shared" si="31"/>
        <v/>
      </c>
      <c r="B467" s="45"/>
      <c r="C467" s="11" t="str">
        <f t="shared" si="28"/>
        <v/>
      </c>
      <c r="D467" s="11" t="str">
        <f t="shared" si="29"/>
        <v/>
      </c>
      <c r="E467" s="45"/>
      <c r="F467" s="11" t="str">
        <f>IFERROR(VLOOKUP(E467,Category!$D$2:$E$600,2,FALSE),"")</f>
        <v/>
      </c>
      <c r="G467" s="45"/>
      <c r="H467" s="73"/>
      <c r="I467" s="18" t="str">
        <f t="shared" si="30"/>
        <v/>
      </c>
      <c r="J467" s="45"/>
      <c r="K467" s="45"/>
    </row>
    <row r="468" spans="1:11">
      <c r="A468" s="10" t="str">
        <f t="shared" si="31"/>
        <v/>
      </c>
      <c r="B468" s="45"/>
      <c r="C468" s="11" t="str">
        <f t="shared" si="28"/>
        <v/>
      </c>
      <c r="D468" s="11" t="str">
        <f t="shared" si="29"/>
        <v/>
      </c>
      <c r="E468" s="45"/>
      <c r="F468" s="11" t="str">
        <f>IFERROR(VLOOKUP(E468,Category!$D$2:$E$600,2,FALSE),"")</f>
        <v/>
      </c>
      <c r="G468" s="45"/>
      <c r="H468" s="73"/>
      <c r="I468" s="18" t="str">
        <f t="shared" si="30"/>
        <v/>
      </c>
      <c r="J468" s="45"/>
      <c r="K468" s="45"/>
    </row>
    <row r="469" spans="1:11">
      <c r="A469" s="10" t="str">
        <f t="shared" si="31"/>
        <v/>
      </c>
      <c r="B469" s="45"/>
      <c r="C469" s="11" t="str">
        <f t="shared" si="28"/>
        <v/>
      </c>
      <c r="D469" s="11" t="str">
        <f t="shared" si="29"/>
        <v/>
      </c>
      <c r="E469" s="45"/>
      <c r="F469" s="11" t="str">
        <f>IFERROR(VLOOKUP(E469,Category!$D$2:$E$600,2,FALSE),"")</f>
        <v/>
      </c>
      <c r="G469" s="45"/>
      <c r="H469" s="73"/>
      <c r="I469" s="18" t="str">
        <f t="shared" si="30"/>
        <v/>
      </c>
      <c r="J469" s="45"/>
      <c r="K469" s="45"/>
    </row>
    <row r="470" spans="1:11">
      <c r="A470" s="10" t="str">
        <f t="shared" si="31"/>
        <v/>
      </c>
      <c r="B470" s="45"/>
      <c r="C470" s="11" t="str">
        <f t="shared" si="28"/>
        <v/>
      </c>
      <c r="D470" s="11" t="str">
        <f t="shared" si="29"/>
        <v/>
      </c>
      <c r="E470" s="45"/>
      <c r="F470" s="11" t="str">
        <f>IFERROR(VLOOKUP(E470,Category!$D$2:$E$600,2,FALSE),"")</f>
        <v/>
      </c>
      <c r="G470" s="45"/>
      <c r="H470" s="73"/>
      <c r="I470" s="18" t="str">
        <f t="shared" si="30"/>
        <v/>
      </c>
      <c r="J470" s="45"/>
      <c r="K470" s="45"/>
    </row>
    <row r="471" spans="1:11">
      <c r="A471" s="10" t="str">
        <f t="shared" si="31"/>
        <v/>
      </c>
      <c r="B471" s="45"/>
      <c r="C471" s="11" t="str">
        <f t="shared" si="28"/>
        <v/>
      </c>
      <c r="D471" s="11" t="str">
        <f t="shared" si="29"/>
        <v/>
      </c>
      <c r="E471" s="45"/>
      <c r="F471" s="11" t="str">
        <f>IFERROR(VLOOKUP(E471,Category!$D$2:$E$600,2,FALSE),"")</f>
        <v/>
      </c>
      <c r="G471" s="45"/>
      <c r="H471" s="73"/>
      <c r="I471" s="18" t="str">
        <f t="shared" si="30"/>
        <v/>
      </c>
      <c r="J471" s="45"/>
      <c r="K471" s="45"/>
    </row>
    <row r="472" spans="1:11">
      <c r="A472" s="10" t="str">
        <f t="shared" si="31"/>
        <v/>
      </c>
      <c r="B472" s="45"/>
      <c r="C472" s="11" t="str">
        <f t="shared" si="28"/>
        <v/>
      </c>
      <c r="D472" s="11" t="str">
        <f t="shared" si="29"/>
        <v/>
      </c>
      <c r="E472" s="45"/>
      <c r="F472" s="11" t="str">
        <f>IFERROR(VLOOKUP(E472,Category!$D$2:$E$600,2,FALSE),"")</f>
        <v/>
      </c>
      <c r="G472" s="45"/>
      <c r="H472" s="73"/>
      <c r="I472" s="18" t="str">
        <f t="shared" si="30"/>
        <v/>
      </c>
      <c r="J472" s="45"/>
      <c r="K472" s="45"/>
    </row>
    <row r="473" spans="1:11">
      <c r="A473" s="10" t="str">
        <f t="shared" si="31"/>
        <v/>
      </c>
      <c r="B473" s="45"/>
      <c r="C473" s="11" t="str">
        <f t="shared" si="28"/>
        <v/>
      </c>
      <c r="D473" s="11" t="str">
        <f t="shared" si="29"/>
        <v/>
      </c>
      <c r="E473" s="45"/>
      <c r="F473" s="11" t="str">
        <f>IFERROR(VLOOKUP(E473,Category!$D$2:$E$600,2,FALSE),"")</f>
        <v/>
      </c>
      <c r="G473" s="45"/>
      <c r="H473" s="73"/>
      <c r="I473" s="18" t="str">
        <f t="shared" si="30"/>
        <v/>
      </c>
      <c r="J473" s="45"/>
      <c r="K473" s="45"/>
    </row>
    <row r="474" spans="1:11">
      <c r="A474" s="10" t="str">
        <f t="shared" si="31"/>
        <v/>
      </c>
      <c r="B474" s="45"/>
      <c r="C474" s="11" t="str">
        <f t="shared" si="28"/>
        <v/>
      </c>
      <c r="D474" s="11" t="str">
        <f t="shared" si="29"/>
        <v/>
      </c>
      <c r="E474" s="45"/>
      <c r="F474" s="11" t="str">
        <f>IFERROR(VLOOKUP(E474,Category!$D$2:$E$600,2,FALSE),"")</f>
        <v/>
      </c>
      <c r="G474" s="45"/>
      <c r="H474" s="73"/>
      <c r="I474" s="18" t="str">
        <f t="shared" si="30"/>
        <v/>
      </c>
      <c r="J474" s="45"/>
      <c r="K474" s="45"/>
    </row>
    <row r="475" spans="1:11">
      <c r="A475" s="10" t="str">
        <f t="shared" si="31"/>
        <v/>
      </c>
      <c r="B475" s="45"/>
      <c r="C475" s="11" t="str">
        <f t="shared" si="28"/>
        <v/>
      </c>
      <c r="D475" s="11" t="str">
        <f t="shared" si="29"/>
        <v/>
      </c>
      <c r="E475" s="45"/>
      <c r="F475" s="11" t="str">
        <f>IFERROR(VLOOKUP(E475,Category!$D$2:$E$600,2,FALSE),"")</f>
        <v/>
      </c>
      <c r="G475" s="45"/>
      <c r="H475" s="73"/>
      <c r="I475" s="18" t="str">
        <f t="shared" si="30"/>
        <v/>
      </c>
      <c r="J475" s="45"/>
      <c r="K475" s="45"/>
    </row>
    <row r="476" spans="1:11">
      <c r="A476" s="10" t="str">
        <f t="shared" si="31"/>
        <v/>
      </c>
      <c r="B476" s="45"/>
      <c r="C476" s="11" t="str">
        <f t="shared" si="28"/>
        <v/>
      </c>
      <c r="D476" s="11" t="str">
        <f t="shared" si="29"/>
        <v/>
      </c>
      <c r="E476" s="45"/>
      <c r="F476" s="11" t="str">
        <f>IFERROR(VLOOKUP(E476,Category!$D$2:$E$600,2,FALSE),"")</f>
        <v/>
      </c>
      <c r="G476" s="45"/>
      <c r="H476" s="73"/>
      <c r="I476" s="18" t="str">
        <f t="shared" si="30"/>
        <v/>
      </c>
      <c r="J476" s="45"/>
      <c r="K476" s="45"/>
    </row>
    <row r="477" spans="1:11">
      <c r="A477" s="10" t="str">
        <f t="shared" si="31"/>
        <v/>
      </c>
      <c r="B477" s="45"/>
      <c r="C477" s="11" t="str">
        <f t="shared" si="28"/>
        <v/>
      </c>
      <c r="D477" s="11" t="str">
        <f t="shared" si="29"/>
        <v/>
      </c>
      <c r="E477" s="45"/>
      <c r="F477" s="11" t="str">
        <f>IFERROR(VLOOKUP(E477,Category!$D$2:$E$600,2,FALSE),"")</f>
        <v/>
      </c>
      <c r="G477" s="45"/>
      <c r="H477" s="73"/>
      <c r="I477" s="18" t="str">
        <f t="shared" si="30"/>
        <v/>
      </c>
      <c r="J477" s="45"/>
      <c r="K477" s="45"/>
    </row>
    <row r="478" spans="1:11">
      <c r="A478" s="10" t="str">
        <f t="shared" si="31"/>
        <v/>
      </c>
      <c r="B478" s="45"/>
      <c r="C478" s="11" t="str">
        <f t="shared" si="28"/>
        <v/>
      </c>
      <c r="D478" s="11" t="str">
        <f t="shared" si="29"/>
        <v/>
      </c>
      <c r="E478" s="45"/>
      <c r="F478" s="11" t="str">
        <f>IFERROR(VLOOKUP(E478,Category!$D$2:$E$600,2,FALSE),"")</f>
        <v/>
      </c>
      <c r="G478" s="45"/>
      <c r="H478" s="73"/>
      <c r="I478" s="18" t="str">
        <f t="shared" si="30"/>
        <v/>
      </c>
      <c r="J478" s="45"/>
      <c r="K478" s="45"/>
    </row>
    <row r="479" spans="1:11">
      <c r="A479" s="10" t="str">
        <f t="shared" si="31"/>
        <v/>
      </c>
      <c r="B479" s="45"/>
      <c r="C479" s="11" t="str">
        <f t="shared" si="28"/>
        <v/>
      </c>
      <c r="D479" s="11" t="str">
        <f t="shared" si="29"/>
        <v/>
      </c>
      <c r="E479" s="45"/>
      <c r="F479" s="11" t="str">
        <f>IFERROR(VLOOKUP(E479,Category!$D$2:$E$600,2,FALSE),"")</f>
        <v/>
      </c>
      <c r="G479" s="45"/>
      <c r="H479" s="73"/>
      <c r="I479" s="18" t="str">
        <f t="shared" si="30"/>
        <v/>
      </c>
      <c r="J479" s="45"/>
      <c r="K479" s="45"/>
    </row>
    <row r="480" spans="1:11">
      <c r="A480" s="10" t="str">
        <f t="shared" si="31"/>
        <v/>
      </c>
      <c r="B480" s="45"/>
      <c r="C480" s="11" t="str">
        <f t="shared" si="28"/>
        <v/>
      </c>
      <c r="D480" s="11" t="str">
        <f t="shared" si="29"/>
        <v/>
      </c>
      <c r="E480" s="45"/>
      <c r="F480" s="11" t="str">
        <f>IFERROR(VLOOKUP(E480,Category!$D$2:$E$600,2,FALSE),"")</f>
        <v/>
      </c>
      <c r="G480" s="45"/>
      <c r="H480" s="73"/>
      <c r="I480" s="18" t="str">
        <f t="shared" si="30"/>
        <v/>
      </c>
      <c r="J480" s="45"/>
      <c r="K480" s="45"/>
    </row>
    <row r="481" spans="1:11">
      <c r="A481" s="10" t="str">
        <f t="shared" si="31"/>
        <v/>
      </c>
      <c r="B481" s="45"/>
      <c r="C481" s="11" t="str">
        <f t="shared" si="28"/>
        <v/>
      </c>
      <c r="D481" s="11" t="str">
        <f t="shared" si="29"/>
        <v/>
      </c>
      <c r="E481" s="45"/>
      <c r="F481" s="11" t="str">
        <f>IFERROR(VLOOKUP(E481,Category!$D$2:$E$600,2,FALSE),"")</f>
        <v/>
      </c>
      <c r="G481" s="45"/>
      <c r="H481" s="73"/>
      <c r="I481" s="18" t="str">
        <f t="shared" si="30"/>
        <v/>
      </c>
      <c r="J481" s="45"/>
      <c r="K481" s="45"/>
    </row>
    <row r="482" spans="1:11">
      <c r="A482" s="10" t="str">
        <f t="shared" si="31"/>
        <v/>
      </c>
      <c r="B482" s="45"/>
      <c r="C482" s="11" t="str">
        <f t="shared" si="28"/>
        <v/>
      </c>
      <c r="D482" s="11" t="str">
        <f t="shared" si="29"/>
        <v/>
      </c>
      <c r="E482" s="45"/>
      <c r="F482" s="11" t="str">
        <f>IFERROR(VLOOKUP(E482,Category!$D$2:$E$600,2,FALSE),"")</f>
        <v/>
      </c>
      <c r="G482" s="45"/>
      <c r="H482" s="73"/>
      <c r="I482" s="18" t="str">
        <f t="shared" si="30"/>
        <v/>
      </c>
      <c r="J482" s="45"/>
      <c r="K482" s="45"/>
    </row>
    <row r="483" spans="1:11">
      <c r="A483" s="10" t="str">
        <f t="shared" si="31"/>
        <v/>
      </c>
      <c r="B483" s="45"/>
      <c r="C483" s="11" t="str">
        <f t="shared" si="28"/>
        <v/>
      </c>
      <c r="D483" s="11" t="str">
        <f t="shared" si="29"/>
        <v/>
      </c>
      <c r="E483" s="45"/>
      <c r="F483" s="11" t="str">
        <f>IFERROR(VLOOKUP(E483,Category!$D$2:$E$600,2,FALSE),"")</f>
        <v/>
      </c>
      <c r="G483" s="45"/>
      <c r="H483" s="73"/>
      <c r="I483" s="18" t="str">
        <f t="shared" si="30"/>
        <v/>
      </c>
      <c r="J483" s="45"/>
      <c r="K483" s="45"/>
    </row>
    <row r="484" spans="1:11">
      <c r="A484" s="10" t="str">
        <f t="shared" si="31"/>
        <v/>
      </c>
      <c r="B484" s="45"/>
      <c r="C484" s="11" t="str">
        <f t="shared" si="28"/>
        <v/>
      </c>
      <c r="D484" s="11" t="str">
        <f t="shared" si="29"/>
        <v/>
      </c>
      <c r="E484" s="45"/>
      <c r="F484" s="11" t="str">
        <f>IFERROR(VLOOKUP(E484,Category!$D$2:$E$600,2,FALSE),"")</f>
        <v/>
      </c>
      <c r="G484" s="45"/>
      <c r="H484" s="73"/>
      <c r="I484" s="18" t="str">
        <f t="shared" si="30"/>
        <v/>
      </c>
      <c r="J484" s="45"/>
      <c r="K484" s="45"/>
    </row>
    <row r="485" spans="1:11">
      <c r="A485" s="10" t="str">
        <f t="shared" si="31"/>
        <v/>
      </c>
      <c r="B485" s="45"/>
      <c r="C485" s="11" t="str">
        <f t="shared" si="28"/>
        <v/>
      </c>
      <c r="D485" s="11" t="str">
        <f t="shared" si="29"/>
        <v/>
      </c>
      <c r="E485" s="45"/>
      <c r="F485" s="11" t="str">
        <f>IFERROR(VLOOKUP(E485,Category!$D$2:$E$600,2,FALSE),"")</f>
        <v/>
      </c>
      <c r="G485" s="45"/>
      <c r="H485" s="73"/>
      <c r="I485" s="18" t="str">
        <f t="shared" si="30"/>
        <v/>
      </c>
      <c r="J485" s="45"/>
      <c r="K485" s="45"/>
    </row>
    <row r="486" spans="1:11">
      <c r="A486" s="10" t="str">
        <f t="shared" si="31"/>
        <v/>
      </c>
      <c r="B486" s="45"/>
      <c r="C486" s="11" t="str">
        <f t="shared" si="28"/>
        <v/>
      </c>
      <c r="D486" s="11" t="str">
        <f t="shared" si="29"/>
        <v/>
      </c>
      <c r="E486" s="45"/>
      <c r="F486" s="11" t="str">
        <f>IFERROR(VLOOKUP(E486,Category!$D$2:$E$600,2,FALSE),"")</f>
        <v/>
      </c>
      <c r="G486" s="45"/>
      <c r="H486" s="73"/>
      <c r="I486" s="18" t="str">
        <f t="shared" si="30"/>
        <v/>
      </c>
      <c r="J486" s="45"/>
      <c r="K486" s="45"/>
    </row>
    <row r="487" spans="1:11">
      <c r="A487" s="10" t="str">
        <f t="shared" si="31"/>
        <v/>
      </c>
      <c r="B487" s="45"/>
      <c r="C487" s="11" t="str">
        <f t="shared" si="28"/>
        <v/>
      </c>
      <c r="D487" s="11" t="str">
        <f t="shared" si="29"/>
        <v/>
      </c>
      <c r="E487" s="45"/>
      <c r="F487" s="11" t="str">
        <f>IFERROR(VLOOKUP(E487,Category!$D$2:$E$600,2,FALSE),"")</f>
        <v/>
      </c>
      <c r="G487" s="45"/>
      <c r="H487" s="73"/>
      <c r="I487" s="18" t="str">
        <f t="shared" si="30"/>
        <v/>
      </c>
      <c r="J487" s="45"/>
      <c r="K487" s="45"/>
    </row>
    <row r="488" spans="1:11">
      <c r="A488" s="10" t="str">
        <f t="shared" si="31"/>
        <v/>
      </c>
      <c r="B488" s="45"/>
      <c r="C488" s="11" t="str">
        <f t="shared" si="28"/>
        <v/>
      </c>
      <c r="D488" s="11" t="str">
        <f t="shared" si="29"/>
        <v/>
      </c>
      <c r="E488" s="45"/>
      <c r="F488" s="11" t="str">
        <f>IFERROR(VLOOKUP(E488,Category!$D$2:$E$600,2,FALSE),"")</f>
        <v/>
      </c>
      <c r="G488" s="45"/>
      <c r="H488" s="73"/>
      <c r="I488" s="18" t="str">
        <f t="shared" si="30"/>
        <v/>
      </c>
      <c r="J488" s="45"/>
      <c r="K488" s="45"/>
    </row>
    <row r="489" spans="1:11">
      <c r="A489" s="10" t="str">
        <f t="shared" si="31"/>
        <v/>
      </c>
      <c r="B489" s="45"/>
      <c r="C489" s="11" t="str">
        <f t="shared" si="28"/>
        <v/>
      </c>
      <c r="D489" s="11" t="str">
        <f t="shared" si="29"/>
        <v/>
      </c>
      <c r="E489" s="45"/>
      <c r="F489" s="11" t="str">
        <f>IFERROR(VLOOKUP(E489,Category!$D$2:$E$600,2,FALSE),"")</f>
        <v/>
      </c>
      <c r="G489" s="45"/>
      <c r="H489" s="73"/>
      <c r="I489" s="18" t="str">
        <f t="shared" si="30"/>
        <v/>
      </c>
      <c r="J489" s="45"/>
      <c r="K489" s="45"/>
    </row>
    <row r="490" spans="1:11">
      <c r="A490" s="10" t="str">
        <f t="shared" si="31"/>
        <v/>
      </c>
      <c r="B490" s="45"/>
      <c r="C490" s="11" t="str">
        <f t="shared" si="28"/>
        <v/>
      </c>
      <c r="D490" s="11" t="str">
        <f t="shared" si="29"/>
        <v/>
      </c>
      <c r="E490" s="45"/>
      <c r="F490" s="11" t="str">
        <f>IFERROR(VLOOKUP(E490,Category!$D$2:$E$600,2,FALSE),"")</f>
        <v/>
      </c>
      <c r="G490" s="45"/>
      <c r="H490" s="73"/>
      <c r="I490" s="18" t="str">
        <f t="shared" si="30"/>
        <v/>
      </c>
      <c r="J490" s="45"/>
      <c r="K490" s="45"/>
    </row>
    <row r="491" spans="1:11">
      <c r="A491" s="10" t="str">
        <f t="shared" si="31"/>
        <v/>
      </c>
      <c r="B491" s="45"/>
      <c r="C491" s="11" t="str">
        <f t="shared" si="28"/>
        <v/>
      </c>
      <c r="D491" s="11" t="str">
        <f t="shared" si="29"/>
        <v/>
      </c>
      <c r="E491" s="45"/>
      <c r="F491" s="11" t="str">
        <f>IFERROR(VLOOKUP(E491,Category!$D$2:$E$600,2,FALSE),"")</f>
        <v/>
      </c>
      <c r="G491" s="45"/>
      <c r="H491" s="73"/>
      <c r="I491" s="18" t="str">
        <f t="shared" si="30"/>
        <v/>
      </c>
      <c r="J491" s="45"/>
      <c r="K491" s="45"/>
    </row>
    <row r="492" spans="1:11">
      <c r="A492" s="10" t="str">
        <f t="shared" si="31"/>
        <v/>
      </c>
      <c r="B492" s="45"/>
      <c r="C492" s="11" t="str">
        <f t="shared" si="28"/>
        <v/>
      </c>
      <c r="D492" s="11" t="str">
        <f t="shared" si="29"/>
        <v/>
      </c>
      <c r="E492" s="45"/>
      <c r="F492" s="11" t="str">
        <f>IFERROR(VLOOKUP(E492,Category!$D$2:$E$600,2,FALSE),"")</f>
        <v/>
      </c>
      <c r="G492" s="45"/>
      <c r="H492" s="73"/>
      <c r="I492" s="18" t="str">
        <f t="shared" si="30"/>
        <v/>
      </c>
      <c r="J492" s="45"/>
      <c r="K492" s="45"/>
    </row>
    <row r="493" spans="1:11">
      <c r="A493" s="10" t="str">
        <f t="shared" si="31"/>
        <v/>
      </c>
      <c r="B493" s="45"/>
      <c r="C493" s="11" t="str">
        <f t="shared" si="28"/>
        <v/>
      </c>
      <c r="D493" s="11" t="str">
        <f t="shared" si="29"/>
        <v/>
      </c>
      <c r="E493" s="45"/>
      <c r="F493" s="11" t="str">
        <f>IFERROR(VLOOKUP(E493,Category!$D$2:$E$600,2,FALSE),"")</f>
        <v/>
      </c>
      <c r="G493" s="45"/>
      <c r="H493" s="73"/>
      <c r="I493" s="18" t="str">
        <f t="shared" si="30"/>
        <v/>
      </c>
      <c r="J493" s="45"/>
      <c r="K493" s="45"/>
    </row>
    <row r="494" spans="1:11">
      <c r="A494" s="10" t="str">
        <f t="shared" si="31"/>
        <v/>
      </c>
      <c r="B494" s="45"/>
      <c r="C494" s="11" t="str">
        <f t="shared" si="28"/>
        <v/>
      </c>
      <c r="D494" s="11" t="str">
        <f t="shared" si="29"/>
        <v/>
      </c>
      <c r="E494" s="45"/>
      <c r="F494" s="11" t="str">
        <f>IFERROR(VLOOKUP(E494,Category!$D$2:$E$600,2,FALSE),"")</f>
        <v/>
      </c>
      <c r="G494" s="45"/>
      <c r="H494" s="73"/>
      <c r="I494" s="18" t="str">
        <f t="shared" si="30"/>
        <v/>
      </c>
      <c r="J494" s="45"/>
      <c r="K494" s="45"/>
    </row>
    <row r="495" spans="1:11">
      <c r="A495" s="10" t="str">
        <f t="shared" si="31"/>
        <v/>
      </c>
      <c r="B495" s="45"/>
      <c r="C495" s="11" t="str">
        <f t="shared" si="28"/>
        <v/>
      </c>
      <c r="D495" s="11" t="str">
        <f t="shared" si="29"/>
        <v/>
      </c>
      <c r="E495" s="45"/>
      <c r="F495" s="11" t="str">
        <f>IFERROR(VLOOKUP(E495,Category!$D$2:$E$600,2,FALSE),"")</f>
        <v/>
      </c>
      <c r="G495" s="45"/>
      <c r="H495" s="73"/>
      <c r="I495" s="18" t="str">
        <f t="shared" si="30"/>
        <v/>
      </c>
      <c r="J495" s="45"/>
      <c r="K495" s="45"/>
    </row>
    <row r="496" spans="1:11">
      <c r="A496" s="10" t="str">
        <f t="shared" si="31"/>
        <v/>
      </c>
      <c r="B496" s="45"/>
      <c r="C496" s="11" t="str">
        <f t="shared" si="28"/>
        <v/>
      </c>
      <c r="D496" s="11" t="str">
        <f t="shared" si="29"/>
        <v/>
      </c>
      <c r="E496" s="45"/>
      <c r="F496" s="11" t="str">
        <f>IFERROR(VLOOKUP(E496,Category!$D$2:$E$600,2,FALSE),"")</f>
        <v/>
      </c>
      <c r="G496" s="45"/>
      <c r="H496" s="73"/>
      <c r="I496" s="18" t="str">
        <f t="shared" si="30"/>
        <v/>
      </c>
      <c r="J496" s="45"/>
      <c r="K496" s="45"/>
    </row>
    <row r="497" spans="1:11">
      <c r="A497" s="10" t="str">
        <f t="shared" si="31"/>
        <v/>
      </c>
      <c r="B497" s="45"/>
      <c r="C497" s="11" t="str">
        <f t="shared" si="28"/>
        <v/>
      </c>
      <c r="D497" s="11" t="str">
        <f t="shared" si="29"/>
        <v/>
      </c>
      <c r="E497" s="45"/>
      <c r="F497" s="11" t="str">
        <f>IFERROR(VLOOKUP(E497,Category!$D$2:$E$600,2,FALSE),"")</f>
        <v/>
      </c>
      <c r="G497" s="45"/>
      <c r="H497" s="73"/>
      <c r="I497" s="18" t="str">
        <f t="shared" si="30"/>
        <v/>
      </c>
      <c r="J497" s="45"/>
      <c r="K497" s="45"/>
    </row>
    <row r="498" spans="1:11">
      <c r="A498" s="10" t="str">
        <f t="shared" si="31"/>
        <v/>
      </c>
      <c r="B498" s="45"/>
      <c r="C498" s="11" t="str">
        <f t="shared" si="28"/>
        <v/>
      </c>
      <c r="D498" s="11" t="str">
        <f t="shared" si="29"/>
        <v/>
      </c>
      <c r="E498" s="45"/>
      <c r="F498" s="11" t="str">
        <f>IFERROR(VLOOKUP(E498,Category!$D$2:$E$600,2,FALSE),"")</f>
        <v/>
      </c>
      <c r="G498" s="45"/>
      <c r="H498" s="73"/>
      <c r="I498" s="18" t="str">
        <f t="shared" si="30"/>
        <v/>
      </c>
      <c r="J498" s="45"/>
      <c r="K498" s="45"/>
    </row>
    <row r="499" spans="1:11">
      <c r="A499" s="10" t="str">
        <f t="shared" si="31"/>
        <v/>
      </c>
      <c r="B499" s="45"/>
      <c r="C499" s="11" t="str">
        <f t="shared" si="28"/>
        <v/>
      </c>
      <c r="D499" s="11" t="str">
        <f t="shared" si="29"/>
        <v/>
      </c>
      <c r="E499" s="45"/>
      <c r="F499" s="11" t="str">
        <f>IFERROR(VLOOKUP(E499,Category!$D$2:$E$600,2,FALSE),"")</f>
        <v/>
      </c>
      <c r="G499" s="45"/>
      <c r="H499" s="73"/>
      <c r="I499" s="18" t="str">
        <f t="shared" si="30"/>
        <v/>
      </c>
      <c r="J499" s="45"/>
      <c r="K499" s="45"/>
    </row>
    <row r="500" spans="1:11">
      <c r="A500" s="10" t="str">
        <f t="shared" si="31"/>
        <v/>
      </c>
      <c r="B500" s="45"/>
      <c r="C500" s="11" t="str">
        <f t="shared" si="28"/>
        <v/>
      </c>
      <c r="D500" s="11" t="str">
        <f t="shared" si="29"/>
        <v/>
      </c>
      <c r="E500" s="45"/>
      <c r="F500" s="11" t="str">
        <f>IFERROR(VLOOKUP(E500,Category!$D$2:$E$600,2,FALSE),"")</f>
        <v/>
      </c>
      <c r="G500" s="45"/>
      <c r="H500" s="73"/>
      <c r="I500" s="18" t="str">
        <f t="shared" si="30"/>
        <v/>
      </c>
      <c r="J500" s="45"/>
      <c r="K500" s="45"/>
    </row>
    <row r="501" spans="1:11">
      <c r="A501" s="10" t="str">
        <f t="shared" si="31"/>
        <v/>
      </c>
      <c r="B501" s="45"/>
      <c r="C501" s="11" t="str">
        <f t="shared" si="28"/>
        <v/>
      </c>
      <c r="D501" s="11" t="str">
        <f t="shared" si="29"/>
        <v/>
      </c>
      <c r="E501" s="45"/>
      <c r="F501" s="11" t="str">
        <f>IFERROR(VLOOKUP(E501,Category!$D$2:$E$600,2,FALSE),"")</f>
        <v/>
      </c>
      <c r="G501" s="45"/>
      <c r="H501" s="73"/>
      <c r="I501" s="18" t="str">
        <f t="shared" si="30"/>
        <v/>
      </c>
      <c r="J501" s="45"/>
      <c r="K501" s="45"/>
    </row>
    <row r="502" spans="1:11">
      <c r="A502" s="10" t="str">
        <f t="shared" si="31"/>
        <v/>
      </c>
      <c r="B502" s="45"/>
      <c r="C502" s="11" t="str">
        <f t="shared" si="28"/>
        <v/>
      </c>
      <c r="D502" s="11" t="str">
        <f t="shared" si="29"/>
        <v/>
      </c>
      <c r="E502" s="45"/>
      <c r="F502" s="11" t="str">
        <f>IFERROR(VLOOKUP(E502,Category!$D$2:$E$600,2,FALSE),"")</f>
        <v/>
      </c>
      <c r="G502" s="45"/>
      <c r="H502" s="73"/>
      <c r="I502" s="18" t="str">
        <f t="shared" si="30"/>
        <v/>
      </c>
      <c r="J502" s="45"/>
      <c r="K502" s="45"/>
    </row>
    <row r="503" spans="1:11">
      <c r="A503" s="10" t="str">
        <f t="shared" si="31"/>
        <v/>
      </c>
      <c r="B503" s="45"/>
      <c r="C503" s="11" t="str">
        <f t="shared" si="28"/>
        <v/>
      </c>
      <c r="D503" s="11" t="str">
        <f t="shared" si="29"/>
        <v/>
      </c>
      <c r="E503" s="45"/>
      <c r="F503" s="11" t="str">
        <f>IFERROR(VLOOKUP(E503,Category!$D$2:$E$600,2,FALSE),"")</f>
        <v/>
      </c>
      <c r="G503" s="45"/>
      <c r="H503" s="73"/>
      <c r="I503" s="18" t="str">
        <f t="shared" si="30"/>
        <v/>
      </c>
      <c r="J503" s="45"/>
      <c r="K503" s="45"/>
    </row>
    <row r="504" spans="1:11">
      <c r="A504" s="10" t="str">
        <f t="shared" si="31"/>
        <v/>
      </c>
      <c r="B504" s="45"/>
      <c r="C504" s="11" t="str">
        <f t="shared" si="28"/>
        <v/>
      </c>
      <c r="D504" s="11" t="str">
        <f t="shared" si="29"/>
        <v/>
      </c>
      <c r="E504" s="45"/>
      <c r="F504" s="11" t="str">
        <f>IFERROR(VLOOKUP(E504,Category!$D$2:$E$600,2,FALSE),"")</f>
        <v/>
      </c>
      <c r="G504" s="45"/>
      <c r="H504" s="73"/>
      <c r="I504" s="18" t="str">
        <f t="shared" si="30"/>
        <v/>
      </c>
      <c r="J504" s="45"/>
      <c r="K504" s="45"/>
    </row>
    <row r="505" spans="1:11">
      <c r="A505" s="10" t="str">
        <f t="shared" si="31"/>
        <v/>
      </c>
      <c r="B505" s="45"/>
      <c r="C505" s="11" t="str">
        <f t="shared" si="28"/>
        <v/>
      </c>
      <c r="D505" s="11" t="str">
        <f t="shared" si="29"/>
        <v/>
      </c>
      <c r="E505" s="45"/>
      <c r="F505" s="11" t="str">
        <f>IFERROR(VLOOKUP(E505,Category!$D$2:$E$600,2,FALSE),"")</f>
        <v/>
      </c>
      <c r="G505" s="45"/>
      <c r="H505" s="73"/>
      <c r="I505" s="18" t="str">
        <f t="shared" si="30"/>
        <v/>
      </c>
      <c r="J505" s="45"/>
      <c r="K505" s="45"/>
    </row>
    <row r="506" spans="1:11">
      <c r="A506" s="10" t="str">
        <f t="shared" si="31"/>
        <v/>
      </c>
      <c r="B506" s="45"/>
      <c r="C506" s="11" t="str">
        <f t="shared" si="28"/>
        <v/>
      </c>
      <c r="D506" s="11" t="str">
        <f t="shared" si="29"/>
        <v/>
      </c>
      <c r="E506" s="45"/>
      <c r="F506" s="11" t="str">
        <f>IFERROR(VLOOKUP(E506,Category!$D$2:$E$600,2,FALSE),"")</f>
        <v/>
      </c>
      <c r="G506" s="45"/>
      <c r="H506" s="73"/>
      <c r="I506" s="18" t="str">
        <f t="shared" si="30"/>
        <v/>
      </c>
      <c r="J506" s="45"/>
      <c r="K506" s="45"/>
    </row>
    <row r="507" spans="1:11">
      <c r="A507" s="10" t="str">
        <f t="shared" si="31"/>
        <v/>
      </c>
      <c r="B507" s="45"/>
      <c r="C507" s="11" t="str">
        <f t="shared" si="28"/>
        <v/>
      </c>
      <c r="D507" s="11" t="str">
        <f t="shared" si="29"/>
        <v/>
      </c>
      <c r="E507" s="45"/>
      <c r="F507" s="11" t="str">
        <f>IFERROR(VLOOKUP(E507,Category!$D$2:$E$600,2,FALSE),"")</f>
        <v/>
      </c>
      <c r="G507" s="45"/>
      <c r="H507" s="73"/>
      <c r="I507" s="18" t="str">
        <f t="shared" si="30"/>
        <v/>
      </c>
      <c r="J507" s="45"/>
      <c r="K507" s="45"/>
    </row>
    <row r="508" spans="1:11">
      <c r="A508" s="10" t="str">
        <f t="shared" si="31"/>
        <v/>
      </c>
      <c r="B508" s="45"/>
      <c r="C508" s="11" t="str">
        <f t="shared" si="28"/>
        <v/>
      </c>
      <c r="D508" s="11" t="str">
        <f t="shared" si="29"/>
        <v/>
      </c>
      <c r="E508" s="45"/>
      <c r="F508" s="11" t="str">
        <f>IFERROR(VLOOKUP(E508,Category!$D$2:$E$600,2,FALSE),"")</f>
        <v/>
      </c>
      <c r="G508" s="45"/>
      <c r="H508" s="73"/>
      <c r="I508" s="18" t="str">
        <f t="shared" si="30"/>
        <v/>
      </c>
      <c r="J508" s="45"/>
      <c r="K508" s="45"/>
    </row>
    <row r="509" spans="1:11">
      <c r="A509" s="10" t="str">
        <f t="shared" si="31"/>
        <v/>
      </c>
      <c r="B509" s="45"/>
      <c r="C509" s="11" t="str">
        <f t="shared" si="28"/>
        <v/>
      </c>
      <c r="D509" s="11" t="str">
        <f t="shared" si="29"/>
        <v/>
      </c>
      <c r="E509" s="45"/>
      <c r="F509" s="11" t="str">
        <f>IFERROR(VLOOKUP(E509,Category!$D$2:$E$600,2,FALSE),"")</f>
        <v/>
      </c>
      <c r="G509" s="45"/>
      <c r="H509" s="73"/>
      <c r="I509" s="18" t="str">
        <f t="shared" si="30"/>
        <v/>
      </c>
      <c r="J509" s="45"/>
      <c r="K509" s="45"/>
    </row>
    <row r="510" spans="1:11">
      <c r="A510" s="10" t="str">
        <f t="shared" si="31"/>
        <v/>
      </c>
      <c r="B510" s="45"/>
      <c r="C510" s="11" t="str">
        <f t="shared" si="28"/>
        <v/>
      </c>
      <c r="D510" s="11" t="str">
        <f t="shared" si="29"/>
        <v/>
      </c>
      <c r="E510" s="45"/>
      <c r="F510" s="11" t="str">
        <f>IFERROR(VLOOKUP(E510,Category!$D$2:$E$600,2,FALSE),"")</f>
        <v/>
      </c>
      <c r="G510" s="45"/>
      <c r="H510" s="73"/>
      <c r="I510" s="18" t="str">
        <f t="shared" si="30"/>
        <v/>
      </c>
      <c r="J510" s="45"/>
      <c r="K510" s="45"/>
    </row>
    <row r="511" spans="1:11">
      <c r="A511" s="10" t="str">
        <f t="shared" si="31"/>
        <v/>
      </c>
      <c r="B511" s="45"/>
      <c r="C511" s="11" t="str">
        <f t="shared" si="28"/>
        <v/>
      </c>
      <c r="D511" s="11" t="str">
        <f t="shared" si="29"/>
        <v/>
      </c>
      <c r="E511" s="45"/>
      <c r="F511" s="11" t="str">
        <f>IFERROR(VLOOKUP(E511,Category!$D$2:$E$600,2,FALSE),"")</f>
        <v/>
      </c>
      <c r="G511" s="45"/>
      <c r="H511" s="73"/>
      <c r="I511" s="18" t="str">
        <f t="shared" si="30"/>
        <v/>
      </c>
      <c r="J511" s="45"/>
      <c r="K511" s="45"/>
    </row>
    <row r="512" spans="1:11">
      <c r="A512" s="10" t="str">
        <f t="shared" si="31"/>
        <v/>
      </c>
      <c r="B512" s="45"/>
      <c r="C512" s="11" t="str">
        <f t="shared" si="28"/>
        <v/>
      </c>
      <c r="D512" s="11" t="str">
        <f t="shared" si="29"/>
        <v/>
      </c>
      <c r="E512" s="45"/>
      <c r="F512" s="11" t="str">
        <f>IFERROR(VLOOKUP(E512,Category!$D$2:$E$600,2,FALSE),"")</f>
        <v/>
      </c>
      <c r="G512" s="45"/>
      <c r="H512" s="73"/>
      <c r="I512" s="18" t="str">
        <f t="shared" si="30"/>
        <v/>
      </c>
      <c r="J512" s="45"/>
      <c r="K512" s="45"/>
    </row>
    <row r="513" spans="1:11">
      <c r="A513" s="10" t="str">
        <f t="shared" si="31"/>
        <v/>
      </c>
      <c r="B513" s="45"/>
      <c r="C513" s="11" t="str">
        <f t="shared" si="28"/>
        <v/>
      </c>
      <c r="D513" s="11" t="str">
        <f t="shared" si="29"/>
        <v/>
      </c>
      <c r="E513" s="45"/>
      <c r="F513" s="11" t="str">
        <f>IFERROR(VLOOKUP(E513,Category!$D$2:$E$600,2,FALSE),"")</f>
        <v/>
      </c>
      <c r="G513" s="45"/>
      <c r="H513" s="73"/>
      <c r="I513" s="18" t="str">
        <f t="shared" si="30"/>
        <v/>
      </c>
      <c r="J513" s="45"/>
      <c r="K513" s="45"/>
    </row>
    <row r="514" spans="1:11">
      <c r="A514" s="10" t="str">
        <f t="shared" si="31"/>
        <v/>
      </c>
      <c r="B514" s="45"/>
      <c r="C514" s="11" t="str">
        <f t="shared" si="28"/>
        <v/>
      </c>
      <c r="D514" s="11" t="str">
        <f t="shared" si="29"/>
        <v/>
      </c>
      <c r="E514" s="45"/>
      <c r="F514" s="11" t="str">
        <f>IFERROR(VLOOKUP(E514,Category!$D$2:$E$600,2,FALSE),"")</f>
        <v/>
      </c>
      <c r="G514" s="45"/>
      <c r="H514" s="73"/>
      <c r="I514" s="18" t="str">
        <f t="shared" si="30"/>
        <v/>
      </c>
      <c r="J514" s="45"/>
      <c r="K514" s="45"/>
    </row>
    <row r="515" spans="1:11">
      <c r="A515" s="10" t="str">
        <f t="shared" si="31"/>
        <v/>
      </c>
      <c r="B515" s="45"/>
      <c r="C515" s="11" t="str">
        <f t="shared" ref="C515:C578" si="32">IF(B515=0,"",TEXT(B515,"mmmm"))</f>
        <v/>
      </c>
      <c r="D515" s="11" t="str">
        <f t="shared" ref="D515:D578" si="33">IF(B515=0,"",TEXT(B515,"yyyy"))</f>
        <v/>
      </c>
      <c r="E515" s="45"/>
      <c r="F515" s="11" t="str">
        <f>IFERROR(VLOOKUP(E515,Category!$D$2:$E$600,2,FALSE),"")</f>
        <v/>
      </c>
      <c r="G515" s="45"/>
      <c r="H515" s="73"/>
      <c r="I515" s="18" t="str">
        <f t="shared" ref="I515:I578" si="34">IF(G515*H515=0,"",G515*H515)</f>
        <v/>
      </c>
      <c r="J515" s="45"/>
      <c r="K515" s="45"/>
    </row>
    <row r="516" spans="1:11">
      <c r="A516" s="10" t="str">
        <f t="shared" ref="A516:A579" si="35">IF(E516&gt;0,A515+1,"")</f>
        <v/>
      </c>
      <c r="B516" s="45"/>
      <c r="C516" s="11" t="str">
        <f t="shared" si="32"/>
        <v/>
      </c>
      <c r="D516" s="11" t="str">
        <f t="shared" si="33"/>
        <v/>
      </c>
      <c r="E516" s="45"/>
      <c r="F516" s="11" t="str">
        <f>IFERROR(VLOOKUP(E516,Category!$D$2:$E$600,2,FALSE),"")</f>
        <v/>
      </c>
      <c r="G516" s="45"/>
      <c r="H516" s="73"/>
      <c r="I516" s="18" t="str">
        <f t="shared" si="34"/>
        <v/>
      </c>
      <c r="J516" s="45"/>
      <c r="K516" s="45"/>
    </row>
    <row r="517" spans="1:11">
      <c r="A517" s="10" t="str">
        <f t="shared" si="35"/>
        <v/>
      </c>
      <c r="B517" s="45"/>
      <c r="C517" s="11" t="str">
        <f t="shared" si="32"/>
        <v/>
      </c>
      <c r="D517" s="11" t="str">
        <f t="shared" si="33"/>
        <v/>
      </c>
      <c r="E517" s="45"/>
      <c r="F517" s="11" t="str">
        <f>IFERROR(VLOOKUP(E517,Category!$D$2:$E$600,2,FALSE),"")</f>
        <v/>
      </c>
      <c r="G517" s="45"/>
      <c r="H517" s="73"/>
      <c r="I517" s="18" t="str">
        <f t="shared" si="34"/>
        <v/>
      </c>
      <c r="J517" s="45"/>
      <c r="K517" s="45"/>
    </row>
    <row r="518" spans="1:11">
      <c r="A518" s="10" t="str">
        <f t="shared" si="35"/>
        <v/>
      </c>
      <c r="B518" s="45"/>
      <c r="C518" s="11" t="str">
        <f t="shared" si="32"/>
        <v/>
      </c>
      <c r="D518" s="11" t="str">
        <f t="shared" si="33"/>
        <v/>
      </c>
      <c r="E518" s="45"/>
      <c r="F518" s="11" t="str">
        <f>IFERROR(VLOOKUP(E518,Category!$D$2:$E$600,2,FALSE),"")</f>
        <v/>
      </c>
      <c r="G518" s="45"/>
      <c r="H518" s="73"/>
      <c r="I518" s="18" t="str">
        <f t="shared" si="34"/>
        <v/>
      </c>
      <c r="J518" s="45"/>
      <c r="K518" s="45"/>
    </row>
    <row r="519" spans="1:11">
      <c r="A519" s="10" t="str">
        <f t="shared" si="35"/>
        <v/>
      </c>
      <c r="B519" s="45"/>
      <c r="C519" s="11" t="str">
        <f t="shared" si="32"/>
        <v/>
      </c>
      <c r="D519" s="11" t="str">
        <f t="shared" si="33"/>
        <v/>
      </c>
      <c r="E519" s="45"/>
      <c r="F519" s="11" t="str">
        <f>IFERROR(VLOOKUP(E519,Category!$D$2:$E$600,2,FALSE),"")</f>
        <v/>
      </c>
      <c r="G519" s="45"/>
      <c r="H519" s="73"/>
      <c r="I519" s="18" t="str">
        <f t="shared" si="34"/>
        <v/>
      </c>
      <c r="J519" s="45"/>
      <c r="K519" s="45"/>
    </row>
    <row r="520" spans="1:11">
      <c r="A520" s="10" t="str">
        <f t="shared" si="35"/>
        <v/>
      </c>
      <c r="B520" s="45"/>
      <c r="C520" s="11" t="str">
        <f t="shared" si="32"/>
        <v/>
      </c>
      <c r="D520" s="11" t="str">
        <f t="shared" si="33"/>
        <v/>
      </c>
      <c r="E520" s="45"/>
      <c r="F520" s="11" t="str">
        <f>IFERROR(VLOOKUP(E520,Category!$D$2:$E$600,2,FALSE),"")</f>
        <v/>
      </c>
      <c r="G520" s="45"/>
      <c r="H520" s="73"/>
      <c r="I520" s="18" t="str">
        <f t="shared" si="34"/>
        <v/>
      </c>
      <c r="J520" s="45"/>
      <c r="K520" s="45"/>
    </row>
    <row r="521" spans="1:11">
      <c r="A521" s="10" t="str">
        <f t="shared" si="35"/>
        <v/>
      </c>
      <c r="B521" s="45"/>
      <c r="C521" s="11" t="str">
        <f t="shared" si="32"/>
        <v/>
      </c>
      <c r="D521" s="11" t="str">
        <f t="shared" si="33"/>
        <v/>
      </c>
      <c r="E521" s="45"/>
      <c r="F521" s="11" t="str">
        <f>IFERROR(VLOOKUP(E521,Category!$D$2:$E$600,2,FALSE),"")</f>
        <v/>
      </c>
      <c r="G521" s="45"/>
      <c r="H521" s="73"/>
      <c r="I521" s="18" t="str">
        <f t="shared" si="34"/>
        <v/>
      </c>
      <c r="J521" s="45"/>
      <c r="K521" s="45"/>
    </row>
    <row r="522" spans="1:11">
      <c r="A522" s="10" t="str">
        <f t="shared" si="35"/>
        <v/>
      </c>
      <c r="B522" s="45"/>
      <c r="C522" s="11" t="str">
        <f t="shared" si="32"/>
        <v/>
      </c>
      <c r="D522" s="11" t="str">
        <f t="shared" si="33"/>
        <v/>
      </c>
      <c r="E522" s="45"/>
      <c r="F522" s="11" t="str">
        <f>IFERROR(VLOOKUP(E522,Category!$D$2:$E$600,2,FALSE),"")</f>
        <v/>
      </c>
      <c r="G522" s="45"/>
      <c r="H522" s="73"/>
      <c r="I522" s="18" t="str">
        <f t="shared" si="34"/>
        <v/>
      </c>
      <c r="J522" s="45"/>
      <c r="K522" s="45"/>
    </row>
    <row r="523" spans="1:11">
      <c r="A523" s="10" t="str">
        <f t="shared" si="35"/>
        <v/>
      </c>
      <c r="B523" s="45"/>
      <c r="C523" s="11" t="str">
        <f t="shared" si="32"/>
        <v/>
      </c>
      <c r="D523" s="11" t="str">
        <f t="shared" si="33"/>
        <v/>
      </c>
      <c r="E523" s="45"/>
      <c r="F523" s="11" t="str">
        <f>IFERROR(VLOOKUP(E523,Category!$D$2:$E$600,2,FALSE),"")</f>
        <v/>
      </c>
      <c r="G523" s="45"/>
      <c r="H523" s="73"/>
      <c r="I523" s="18" t="str">
        <f t="shared" si="34"/>
        <v/>
      </c>
      <c r="J523" s="45"/>
      <c r="K523" s="45"/>
    </row>
    <row r="524" spans="1:11">
      <c r="A524" s="10" t="str">
        <f t="shared" si="35"/>
        <v/>
      </c>
      <c r="B524" s="45"/>
      <c r="C524" s="11" t="str">
        <f t="shared" si="32"/>
        <v/>
      </c>
      <c r="D524" s="11" t="str">
        <f t="shared" si="33"/>
        <v/>
      </c>
      <c r="E524" s="45"/>
      <c r="F524" s="11" t="str">
        <f>IFERROR(VLOOKUP(E524,Category!$D$2:$E$600,2,FALSE),"")</f>
        <v/>
      </c>
      <c r="G524" s="45"/>
      <c r="H524" s="73"/>
      <c r="I524" s="18" t="str">
        <f t="shared" si="34"/>
        <v/>
      </c>
      <c r="J524" s="45"/>
      <c r="K524" s="45"/>
    </row>
    <row r="525" spans="1:11">
      <c r="A525" s="10" t="str">
        <f t="shared" si="35"/>
        <v/>
      </c>
      <c r="B525" s="45"/>
      <c r="C525" s="11" t="str">
        <f t="shared" si="32"/>
        <v/>
      </c>
      <c r="D525" s="11" t="str">
        <f t="shared" si="33"/>
        <v/>
      </c>
      <c r="E525" s="45"/>
      <c r="F525" s="11" t="str">
        <f>IFERROR(VLOOKUP(E525,Category!$D$2:$E$600,2,FALSE),"")</f>
        <v/>
      </c>
      <c r="G525" s="45"/>
      <c r="H525" s="73"/>
      <c r="I525" s="18" t="str">
        <f t="shared" si="34"/>
        <v/>
      </c>
      <c r="J525" s="45"/>
      <c r="K525" s="45"/>
    </row>
    <row r="526" spans="1:11">
      <c r="A526" s="10" t="str">
        <f t="shared" si="35"/>
        <v/>
      </c>
      <c r="B526" s="45"/>
      <c r="C526" s="11" t="str">
        <f t="shared" si="32"/>
        <v/>
      </c>
      <c r="D526" s="11" t="str">
        <f t="shared" si="33"/>
        <v/>
      </c>
      <c r="E526" s="45"/>
      <c r="F526" s="11" t="str">
        <f>IFERROR(VLOOKUP(E526,Category!$D$2:$E$600,2,FALSE),"")</f>
        <v/>
      </c>
      <c r="G526" s="45"/>
      <c r="H526" s="73"/>
      <c r="I526" s="18" t="str">
        <f t="shared" si="34"/>
        <v/>
      </c>
      <c r="J526" s="45"/>
      <c r="K526" s="45"/>
    </row>
    <row r="527" spans="1:11">
      <c r="A527" s="10" t="str">
        <f t="shared" si="35"/>
        <v/>
      </c>
      <c r="B527" s="45"/>
      <c r="C527" s="11" t="str">
        <f t="shared" si="32"/>
        <v/>
      </c>
      <c r="D527" s="11" t="str">
        <f t="shared" si="33"/>
        <v/>
      </c>
      <c r="E527" s="45"/>
      <c r="F527" s="11" t="str">
        <f>IFERROR(VLOOKUP(E527,Category!$D$2:$E$600,2,FALSE),"")</f>
        <v/>
      </c>
      <c r="G527" s="45"/>
      <c r="H527" s="73"/>
      <c r="I527" s="18" t="str">
        <f t="shared" si="34"/>
        <v/>
      </c>
      <c r="J527" s="45"/>
      <c r="K527" s="45"/>
    </row>
    <row r="528" spans="1:11">
      <c r="A528" s="10" t="str">
        <f t="shared" si="35"/>
        <v/>
      </c>
      <c r="B528" s="45"/>
      <c r="C528" s="11" t="str">
        <f t="shared" si="32"/>
        <v/>
      </c>
      <c r="D528" s="11" t="str">
        <f t="shared" si="33"/>
        <v/>
      </c>
      <c r="E528" s="45"/>
      <c r="F528" s="11" t="str">
        <f>IFERROR(VLOOKUP(E528,Category!$D$2:$E$600,2,FALSE),"")</f>
        <v/>
      </c>
      <c r="G528" s="45"/>
      <c r="H528" s="73"/>
      <c r="I528" s="18" t="str">
        <f t="shared" si="34"/>
        <v/>
      </c>
      <c r="J528" s="45"/>
      <c r="K528" s="45"/>
    </row>
    <row r="529" spans="1:11">
      <c r="A529" s="10" t="str">
        <f t="shared" si="35"/>
        <v/>
      </c>
      <c r="B529" s="45"/>
      <c r="C529" s="11" t="str">
        <f t="shared" si="32"/>
        <v/>
      </c>
      <c r="D529" s="11" t="str">
        <f t="shared" si="33"/>
        <v/>
      </c>
      <c r="E529" s="45"/>
      <c r="F529" s="11" t="str">
        <f>IFERROR(VLOOKUP(E529,Category!$D$2:$E$600,2,FALSE),"")</f>
        <v/>
      </c>
      <c r="G529" s="45"/>
      <c r="H529" s="73"/>
      <c r="I529" s="18" t="str">
        <f t="shared" si="34"/>
        <v/>
      </c>
      <c r="J529" s="45"/>
      <c r="K529" s="45"/>
    </row>
    <row r="530" spans="1:11">
      <c r="A530" s="10" t="str">
        <f t="shared" si="35"/>
        <v/>
      </c>
      <c r="B530" s="45"/>
      <c r="C530" s="11" t="str">
        <f t="shared" si="32"/>
        <v/>
      </c>
      <c r="D530" s="11" t="str">
        <f t="shared" si="33"/>
        <v/>
      </c>
      <c r="E530" s="45"/>
      <c r="F530" s="11" t="str">
        <f>IFERROR(VLOOKUP(E530,Category!$D$2:$E$600,2,FALSE),"")</f>
        <v/>
      </c>
      <c r="G530" s="45"/>
      <c r="H530" s="73"/>
      <c r="I530" s="18" t="str">
        <f t="shared" si="34"/>
        <v/>
      </c>
      <c r="J530" s="45"/>
      <c r="K530" s="45"/>
    </row>
    <row r="531" spans="1:11">
      <c r="A531" s="10" t="str">
        <f t="shared" si="35"/>
        <v/>
      </c>
      <c r="B531" s="45"/>
      <c r="C531" s="11" t="str">
        <f t="shared" si="32"/>
        <v/>
      </c>
      <c r="D531" s="11" t="str">
        <f t="shared" si="33"/>
        <v/>
      </c>
      <c r="E531" s="45"/>
      <c r="F531" s="11" t="str">
        <f>IFERROR(VLOOKUP(E531,Category!$D$2:$E$600,2,FALSE),"")</f>
        <v/>
      </c>
      <c r="G531" s="45"/>
      <c r="H531" s="73"/>
      <c r="I531" s="18" t="str">
        <f t="shared" si="34"/>
        <v/>
      </c>
      <c r="J531" s="45"/>
      <c r="K531" s="45"/>
    </row>
    <row r="532" spans="1:11">
      <c r="A532" s="10" t="str">
        <f t="shared" si="35"/>
        <v/>
      </c>
      <c r="B532" s="45"/>
      <c r="C532" s="11" t="str">
        <f t="shared" si="32"/>
        <v/>
      </c>
      <c r="D532" s="11" t="str">
        <f t="shared" si="33"/>
        <v/>
      </c>
      <c r="E532" s="45"/>
      <c r="F532" s="11" t="str">
        <f>IFERROR(VLOOKUP(E532,Category!$D$2:$E$600,2,FALSE),"")</f>
        <v/>
      </c>
      <c r="G532" s="45"/>
      <c r="H532" s="73"/>
      <c r="I532" s="18" t="str">
        <f t="shared" si="34"/>
        <v/>
      </c>
      <c r="J532" s="45"/>
      <c r="K532" s="45"/>
    </row>
    <row r="533" spans="1:11">
      <c r="A533" s="10" t="str">
        <f t="shared" si="35"/>
        <v/>
      </c>
      <c r="B533" s="45"/>
      <c r="C533" s="11" t="str">
        <f t="shared" si="32"/>
        <v/>
      </c>
      <c r="D533" s="11" t="str">
        <f t="shared" si="33"/>
        <v/>
      </c>
      <c r="E533" s="45"/>
      <c r="F533" s="11" t="str">
        <f>IFERROR(VLOOKUP(E533,Category!$D$2:$E$600,2,FALSE),"")</f>
        <v/>
      </c>
      <c r="G533" s="45"/>
      <c r="H533" s="73"/>
      <c r="I533" s="18" t="str">
        <f t="shared" si="34"/>
        <v/>
      </c>
      <c r="J533" s="45"/>
      <c r="K533" s="45"/>
    </row>
    <row r="534" spans="1:11">
      <c r="A534" s="10" t="str">
        <f t="shared" si="35"/>
        <v/>
      </c>
      <c r="B534" s="45"/>
      <c r="C534" s="11" t="str">
        <f t="shared" si="32"/>
        <v/>
      </c>
      <c r="D534" s="11" t="str">
        <f t="shared" si="33"/>
        <v/>
      </c>
      <c r="E534" s="45"/>
      <c r="F534" s="11" t="str">
        <f>IFERROR(VLOOKUP(E534,Category!$D$2:$E$600,2,FALSE),"")</f>
        <v/>
      </c>
      <c r="G534" s="45"/>
      <c r="H534" s="73"/>
      <c r="I534" s="18" t="str">
        <f t="shared" si="34"/>
        <v/>
      </c>
      <c r="J534" s="45"/>
      <c r="K534" s="45"/>
    </row>
    <row r="535" spans="1:11">
      <c r="A535" s="10" t="str">
        <f t="shared" si="35"/>
        <v/>
      </c>
      <c r="B535" s="45"/>
      <c r="C535" s="11" t="str">
        <f t="shared" si="32"/>
        <v/>
      </c>
      <c r="D535" s="11" t="str">
        <f t="shared" si="33"/>
        <v/>
      </c>
      <c r="E535" s="45"/>
      <c r="F535" s="11" t="str">
        <f>IFERROR(VLOOKUP(E535,Category!$D$2:$E$600,2,FALSE),"")</f>
        <v/>
      </c>
      <c r="G535" s="45"/>
      <c r="H535" s="73"/>
      <c r="I535" s="18" t="str">
        <f t="shared" si="34"/>
        <v/>
      </c>
      <c r="J535" s="45"/>
      <c r="K535" s="45"/>
    </row>
    <row r="536" spans="1:11">
      <c r="A536" s="10" t="str">
        <f t="shared" si="35"/>
        <v/>
      </c>
      <c r="B536" s="45"/>
      <c r="C536" s="11" t="str">
        <f t="shared" si="32"/>
        <v/>
      </c>
      <c r="D536" s="11" t="str">
        <f t="shared" si="33"/>
        <v/>
      </c>
      <c r="E536" s="45"/>
      <c r="F536" s="11" t="str">
        <f>IFERROR(VLOOKUP(E536,Category!$D$2:$E$600,2,FALSE),"")</f>
        <v/>
      </c>
      <c r="G536" s="45"/>
      <c r="H536" s="73"/>
      <c r="I536" s="18" t="str">
        <f t="shared" si="34"/>
        <v/>
      </c>
      <c r="J536" s="45"/>
      <c r="K536" s="45"/>
    </row>
    <row r="537" spans="1:11">
      <c r="A537" s="10" t="str">
        <f t="shared" si="35"/>
        <v/>
      </c>
      <c r="B537" s="45"/>
      <c r="C537" s="11" t="str">
        <f t="shared" si="32"/>
        <v/>
      </c>
      <c r="D537" s="11" t="str">
        <f t="shared" si="33"/>
        <v/>
      </c>
      <c r="E537" s="45"/>
      <c r="F537" s="11" t="str">
        <f>IFERROR(VLOOKUP(E537,Category!$D$2:$E$600,2,FALSE),"")</f>
        <v/>
      </c>
      <c r="G537" s="45"/>
      <c r="H537" s="73"/>
      <c r="I537" s="18" t="str">
        <f t="shared" si="34"/>
        <v/>
      </c>
      <c r="J537" s="45"/>
      <c r="K537" s="45"/>
    </row>
    <row r="538" spans="1:11">
      <c r="A538" s="10" t="str">
        <f t="shared" si="35"/>
        <v/>
      </c>
      <c r="B538" s="45"/>
      <c r="C538" s="11" t="str">
        <f t="shared" si="32"/>
        <v/>
      </c>
      <c r="D538" s="11" t="str">
        <f t="shared" si="33"/>
        <v/>
      </c>
      <c r="E538" s="45"/>
      <c r="F538" s="11" t="str">
        <f>IFERROR(VLOOKUP(E538,Category!$D$2:$E$600,2,FALSE),"")</f>
        <v/>
      </c>
      <c r="G538" s="45"/>
      <c r="H538" s="73"/>
      <c r="I538" s="18" t="str">
        <f t="shared" si="34"/>
        <v/>
      </c>
      <c r="J538" s="45"/>
      <c r="K538" s="45"/>
    </row>
    <row r="539" spans="1:11">
      <c r="A539" s="10" t="str">
        <f t="shared" si="35"/>
        <v/>
      </c>
      <c r="B539" s="45"/>
      <c r="C539" s="11" t="str">
        <f t="shared" si="32"/>
        <v/>
      </c>
      <c r="D539" s="11" t="str">
        <f t="shared" si="33"/>
        <v/>
      </c>
      <c r="E539" s="45"/>
      <c r="F539" s="11" t="str">
        <f>IFERROR(VLOOKUP(E539,Category!$D$2:$E$600,2,FALSE),"")</f>
        <v/>
      </c>
      <c r="G539" s="45"/>
      <c r="H539" s="73"/>
      <c r="I539" s="18" t="str">
        <f t="shared" si="34"/>
        <v/>
      </c>
      <c r="J539" s="45"/>
      <c r="K539" s="45"/>
    </row>
    <row r="540" spans="1:11">
      <c r="A540" s="10" t="str">
        <f t="shared" si="35"/>
        <v/>
      </c>
      <c r="B540" s="45"/>
      <c r="C540" s="11" t="str">
        <f t="shared" si="32"/>
        <v/>
      </c>
      <c r="D540" s="11" t="str">
        <f t="shared" si="33"/>
        <v/>
      </c>
      <c r="E540" s="45"/>
      <c r="F540" s="11" t="str">
        <f>IFERROR(VLOOKUP(E540,Category!$D$2:$E$600,2,FALSE),"")</f>
        <v/>
      </c>
      <c r="G540" s="45"/>
      <c r="H540" s="73"/>
      <c r="I540" s="18" t="str">
        <f t="shared" si="34"/>
        <v/>
      </c>
      <c r="J540" s="45"/>
      <c r="K540" s="45"/>
    </row>
    <row r="541" spans="1:11">
      <c r="A541" s="10" t="str">
        <f t="shared" si="35"/>
        <v/>
      </c>
      <c r="B541" s="45"/>
      <c r="C541" s="11" t="str">
        <f t="shared" si="32"/>
        <v/>
      </c>
      <c r="D541" s="11" t="str">
        <f t="shared" si="33"/>
        <v/>
      </c>
      <c r="E541" s="45"/>
      <c r="F541" s="11" t="str">
        <f>IFERROR(VLOOKUP(E541,Category!$D$2:$E$600,2,FALSE),"")</f>
        <v/>
      </c>
      <c r="G541" s="45"/>
      <c r="H541" s="73"/>
      <c r="I541" s="18" t="str">
        <f t="shared" si="34"/>
        <v/>
      </c>
      <c r="J541" s="45"/>
      <c r="K541" s="45"/>
    </row>
    <row r="542" spans="1:11">
      <c r="A542" s="10" t="str">
        <f t="shared" si="35"/>
        <v/>
      </c>
      <c r="B542" s="45"/>
      <c r="C542" s="11" t="str">
        <f t="shared" si="32"/>
        <v/>
      </c>
      <c r="D542" s="11" t="str">
        <f t="shared" si="33"/>
        <v/>
      </c>
      <c r="E542" s="45"/>
      <c r="F542" s="11" t="str">
        <f>IFERROR(VLOOKUP(E542,Category!$D$2:$E$600,2,FALSE),"")</f>
        <v/>
      </c>
      <c r="G542" s="45"/>
      <c r="H542" s="73"/>
      <c r="I542" s="18" t="str">
        <f t="shared" si="34"/>
        <v/>
      </c>
      <c r="J542" s="45"/>
      <c r="K542" s="45"/>
    </row>
    <row r="543" spans="1:11">
      <c r="A543" s="10" t="str">
        <f t="shared" si="35"/>
        <v/>
      </c>
      <c r="B543" s="45"/>
      <c r="C543" s="11" t="str">
        <f t="shared" si="32"/>
        <v/>
      </c>
      <c r="D543" s="11" t="str">
        <f t="shared" si="33"/>
        <v/>
      </c>
      <c r="E543" s="45"/>
      <c r="F543" s="11" t="str">
        <f>IFERROR(VLOOKUP(E543,Category!$D$2:$E$600,2,FALSE),"")</f>
        <v/>
      </c>
      <c r="G543" s="45"/>
      <c r="H543" s="73"/>
      <c r="I543" s="18" t="str">
        <f t="shared" si="34"/>
        <v/>
      </c>
      <c r="J543" s="45"/>
      <c r="K543" s="45"/>
    </row>
    <row r="544" spans="1:11">
      <c r="A544" s="10" t="str">
        <f t="shared" si="35"/>
        <v/>
      </c>
      <c r="B544" s="45"/>
      <c r="C544" s="11" t="str">
        <f t="shared" si="32"/>
        <v/>
      </c>
      <c r="D544" s="11" t="str">
        <f t="shared" si="33"/>
        <v/>
      </c>
      <c r="E544" s="45"/>
      <c r="F544" s="11" t="str">
        <f>IFERROR(VLOOKUP(E544,Category!$D$2:$E$600,2,FALSE),"")</f>
        <v/>
      </c>
      <c r="G544" s="45"/>
      <c r="H544" s="73"/>
      <c r="I544" s="18" t="str">
        <f t="shared" si="34"/>
        <v/>
      </c>
      <c r="J544" s="45"/>
      <c r="K544" s="45"/>
    </row>
    <row r="545" spans="1:11">
      <c r="A545" s="10" t="str">
        <f t="shared" si="35"/>
        <v/>
      </c>
      <c r="B545" s="45"/>
      <c r="C545" s="11" t="str">
        <f t="shared" si="32"/>
        <v/>
      </c>
      <c r="D545" s="11" t="str">
        <f t="shared" si="33"/>
        <v/>
      </c>
      <c r="E545" s="45"/>
      <c r="F545" s="11" t="str">
        <f>IFERROR(VLOOKUP(E545,Category!$D$2:$E$600,2,FALSE),"")</f>
        <v/>
      </c>
      <c r="G545" s="45"/>
      <c r="H545" s="73"/>
      <c r="I545" s="18" t="str">
        <f t="shared" si="34"/>
        <v/>
      </c>
      <c r="J545" s="45"/>
      <c r="K545" s="45"/>
    </row>
    <row r="546" spans="1:11">
      <c r="A546" s="10" t="str">
        <f t="shared" si="35"/>
        <v/>
      </c>
      <c r="B546" s="45"/>
      <c r="C546" s="11" t="str">
        <f t="shared" si="32"/>
        <v/>
      </c>
      <c r="D546" s="11" t="str">
        <f t="shared" si="33"/>
        <v/>
      </c>
      <c r="E546" s="45"/>
      <c r="F546" s="11" t="str">
        <f>IFERROR(VLOOKUP(E546,Category!$D$2:$E$600,2,FALSE),"")</f>
        <v/>
      </c>
      <c r="G546" s="45"/>
      <c r="H546" s="73"/>
      <c r="I546" s="18" t="str">
        <f t="shared" si="34"/>
        <v/>
      </c>
      <c r="J546" s="45"/>
      <c r="K546" s="45"/>
    </row>
    <row r="547" spans="1:11">
      <c r="A547" s="10" t="str">
        <f t="shared" si="35"/>
        <v/>
      </c>
      <c r="B547" s="45"/>
      <c r="C547" s="11" t="str">
        <f t="shared" si="32"/>
        <v/>
      </c>
      <c r="D547" s="11" t="str">
        <f t="shared" si="33"/>
        <v/>
      </c>
      <c r="E547" s="45"/>
      <c r="F547" s="11" t="str">
        <f>IFERROR(VLOOKUP(E547,Category!$D$2:$E$600,2,FALSE),"")</f>
        <v/>
      </c>
      <c r="G547" s="45"/>
      <c r="H547" s="73"/>
      <c r="I547" s="18" t="str">
        <f t="shared" si="34"/>
        <v/>
      </c>
      <c r="J547" s="45"/>
      <c r="K547" s="45"/>
    </row>
    <row r="548" spans="1:11">
      <c r="A548" s="10" t="str">
        <f t="shared" si="35"/>
        <v/>
      </c>
      <c r="B548" s="45"/>
      <c r="C548" s="11" t="str">
        <f t="shared" si="32"/>
        <v/>
      </c>
      <c r="D548" s="11" t="str">
        <f t="shared" si="33"/>
        <v/>
      </c>
      <c r="E548" s="45"/>
      <c r="F548" s="11" t="str">
        <f>IFERROR(VLOOKUP(E548,Category!$D$2:$E$600,2,FALSE),"")</f>
        <v/>
      </c>
      <c r="G548" s="45"/>
      <c r="H548" s="73"/>
      <c r="I548" s="18" t="str">
        <f t="shared" si="34"/>
        <v/>
      </c>
      <c r="J548" s="45"/>
      <c r="K548" s="45"/>
    </row>
    <row r="549" spans="1:11">
      <c r="A549" s="10" t="str">
        <f t="shared" si="35"/>
        <v/>
      </c>
      <c r="B549" s="45"/>
      <c r="C549" s="11" t="str">
        <f t="shared" si="32"/>
        <v/>
      </c>
      <c r="D549" s="11" t="str">
        <f t="shared" si="33"/>
        <v/>
      </c>
      <c r="E549" s="45"/>
      <c r="F549" s="11" t="str">
        <f>IFERROR(VLOOKUP(E549,Category!$D$2:$E$600,2,FALSE),"")</f>
        <v/>
      </c>
      <c r="G549" s="45"/>
      <c r="H549" s="73"/>
      <c r="I549" s="18" t="str">
        <f t="shared" si="34"/>
        <v/>
      </c>
      <c r="J549" s="45"/>
      <c r="K549" s="45"/>
    </row>
    <row r="550" spans="1:11">
      <c r="A550" s="10" t="str">
        <f t="shared" si="35"/>
        <v/>
      </c>
      <c r="B550" s="45"/>
      <c r="C550" s="11" t="str">
        <f t="shared" si="32"/>
        <v/>
      </c>
      <c r="D550" s="11" t="str">
        <f t="shared" si="33"/>
        <v/>
      </c>
      <c r="E550" s="45"/>
      <c r="F550" s="11" t="str">
        <f>IFERROR(VLOOKUP(E550,Category!$D$2:$E$600,2,FALSE),"")</f>
        <v/>
      </c>
      <c r="G550" s="45"/>
      <c r="H550" s="73"/>
      <c r="I550" s="18" t="str">
        <f t="shared" si="34"/>
        <v/>
      </c>
      <c r="J550" s="45"/>
      <c r="K550" s="45"/>
    </row>
    <row r="551" spans="1:11">
      <c r="A551" s="10" t="str">
        <f t="shared" si="35"/>
        <v/>
      </c>
      <c r="B551" s="45"/>
      <c r="C551" s="11" t="str">
        <f t="shared" si="32"/>
        <v/>
      </c>
      <c r="D551" s="11" t="str">
        <f t="shared" si="33"/>
        <v/>
      </c>
      <c r="E551" s="45"/>
      <c r="F551" s="11" t="str">
        <f>IFERROR(VLOOKUP(E551,Category!$D$2:$E$600,2,FALSE),"")</f>
        <v/>
      </c>
      <c r="G551" s="45"/>
      <c r="H551" s="73"/>
      <c r="I551" s="18" t="str">
        <f t="shared" si="34"/>
        <v/>
      </c>
      <c r="J551" s="45"/>
      <c r="K551" s="45"/>
    </row>
    <row r="552" spans="1:11">
      <c r="A552" s="10" t="str">
        <f t="shared" si="35"/>
        <v/>
      </c>
      <c r="B552" s="45"/>
      <c r="C552" s="11" t="str">
        <f t="shared" si="32"/>
        <v/>
      </c>
      <c r="D552" s="11" t="str">
        <f t="shared" si="33"/>
        <v/>
      </c>
      <c r="E552" s="45"/>
      <c r="F552" s="11" t="str">
        <f>IFERROR(VLOOKUP(E552,Category!$D$2:$E$600,2,FALSE),"")</f>
        <v/>
      </c>
      <c r="G552" s="45"/>
      <c r="H552" s="73"/>
      <c r="I552" s="18" t="str">
        <f t="shared" si="34"/>
        <v/>
      </c>
      <c r="J552" s="45"/>
      <c r="K552" s="45"/>
    </row>
    <row r="553" spans="1:11">
      <c r="A553" s="10" t="str">
        <f t="shared" si="35"/>
        <v/>
      </c>
      <c r="B553" s="45"/>
      <c r="C553" s="11" t="str">
        <f t="shared" si="32"/>
        <v/>
      </c>
      <c r="D553" s="11" t="str">
        <f t="shared" si="33"/>
        <v/>
      </c>
      <c r="E553" s="45"/>
      <c r="F553" s="11" t="str">
        <f>IFERROR(VLOOKUP(E553,Category!$D$2:$E$600,2,FALSE),"")</f>
        <v/>
      </c>
      <c r="G553" s="45"/>
      <c r="H553" s="73"/>
      <c r="I553" s="18" t="str">
        <f t="shared" si="34"/>
        <v/>
      </c>
      <c r="J553" s="45"/>
      <c r="K553" s="45"/>
    </row>
    <row r="554" spans="1:11">
      <c r="A554" s="10" t="str">
        <f t="shared" si="35"/>
        <v/>
      </c>
      <c r="B554" s="45"/>
      <c r="C554" s="11" t="str">
        <f t="shared" si="32"/>
        <v/>
      </c>
      <c r="D554" s="11" t="str">
        <f t="shared" si="33"/>
        <v/>
      </c>
      <c r="E554" s="45"/>
      <c r="F554" s="11" t="str">
        <f>IFERROR(VLOOKUP(E554,Category!$D$2:$E$600,2,FALSE),"")</f>
        <v/>
      </c>
      <c r="G554" s="45"/>
      <c r="H554" s="73"/>
      <c r="I554" s="18" t="str">
        <f t="shared" si="34"/>
        <v/>
      </c>
      <c r="J554" s="45"/>
      <c r="K554" s="45"/>
    </row>
    <row r="555" spans="1:11">
      <c r="A555" s="10" t="str">
        <f t="shared" si="35"/>
        <v/>
      </c>
      <c r="B555" s="45"/>
      <c r="C555" s="11" t="str">
        <f t="shared" si="32"/>
        <v/>
      </c>
      <c r="D555" s="11" t="str">
        <f t="shared" si="33"/>
        <v/>
      </c>
      <c r="E555" s="45"/>
      <c r="F555" s="11" t="str">
        <f>IFERROR(VLOOKUP(E555,Category!$D$2:$E$600,2,FALSE),"")</f>
        <v/>
      </c>
      <c r="G555" s="45"/>
      <c r="H555" s="73"/>
      <c r="I555" s="18" t="str">
        <f t="shared" si="34"/>
        <v/>
      </c>
      <c r="J555" s="45"/>
      <c r="K555" s="45"/>
    </row>
    <row r="556" spans="1:11">
      <c r="A556" s="10" t="str">
        <f t="shared" si="35"/>
        <v/>
      </c>
      <c r="B556" s="45"/>
      <c r="C556" s="11" t="str">
        <f t="shared" si="32"/>
        <v/>
      </c>
      <c r="D556" s="11" t="str">
        <f t="shared" si="33"/>
        <v/>
      </c>
      <c r="E556" s="45"/>
      <c r="F556" s="11" t="str">
        <f>IFERROR(VLOOKUP(E556,Category!$D$2:$E$600,2,FALSE),"")</f>
        <v/>
      </c>
      <c r="G556" s="45"/>
      <c r="H556" s="73"/>
      <c r="I556" s="18" t="str">
        <f t="shared" si="34"/>
        <v/>
      </c>
      <c r="J556" s="45"/>
      <c r="K556" s="45"/>
    </row>
    <row r="557" spans="1:11">
      <c r="A557" s="10" t="str">
        <f t="shared" si="35"/>
        <v/>
      </c>
      <c r="B557" s="45"/>
      <c r="C557" s="11" t="str">
        <f t="shared" si="32"/>
        <v/>
      </c>
      <c r="D557" s="11" t="str">
        <f t="shared" si="33"/>
        <v/>
      </c>
      <c r="E557" s="45"/>
      <c r="F557" s="11" t="str">
        <f>IFERROR(VLOOKUP(E557,Category!$D$2:$E$600,2,FALSE),"")</f>
        <v/>
      </c>
      <c r="G557" s="45"/>
      <c r="H557" s="73"/>
      <c r="I557" s="18" t="str">
        <f t="shared" si="34"/>
        <v/>
      </c>
      <c r="J557" s="45"/>
      <c r="K557" s="45"/>
    </row>
    <row r="558" spans="1:11">
      <c r="A558" s="10" t="str">
        <f t="shared" si="35"/>
        <v/>
      </c>
      <c r="B558" s="45"/>
      <c r="C558" s="11" t="str">
        <f t="shared" si="32"/>
        <v/>
      </c>
      <c r="D558" s="11" t="str">
        <f t="shared" si="33"/>
        <v/>
      </c>
      <c r="E558" s="45"/>
      <c r="F558" s="11" t="str">
        <f>IFERROR(VLOOKUP(E558,Category!$D$2:$E$600,2,FALSE),"")</f>
        <v/>
      </c>
      <c r="G558" s="45"/>
      <c r="H558" s="73"/>
      <c r="I558" s="18" t="str">
        <f t="shared" si="34"/>
        <v/>
      </c>
      <c r="J558" s="45"/>
      <c r="K558" s="45"/>
    </row>
    <row r="559" spans="1:11">
      <c r="A559" s="10" t="str">
        <f t="shared" si="35"/>
        <v/>
      </c>
      <c r="B559" s="45"/>
      <c r="C559" s="11" t="str">
        <f t="shared" si="32"/>
        <v/>
      </c>
      <c r="D559" s="11" t="str">
        <f t="shared" si="33"/>
        <v/>
      </c>
      <c r="E559" s="45"/>
      <c r="F559" s="11" t="str">
        <f>IFERROR(VLOOKUP(E559,Category!$D$2:$E$600,2,FALSE),"")</f>
        <v/>
      </c>
      <c r="G559" s="45"/>
      <c r="H559" s="73"/>
      <c r="I559" s="18" t="str">
        <f t="shared" si="34"/>
        <v/>
      </c>
      <c r="J559" s="45"/>
      <c r="K559" s="45"/>
    </row>
    <row r="560" spans="1:11">
      <c r="A560" s="10" t="str">
        <f t="shared" si="35"/>
        <v/>
      </c>
      <c r="B560" s="45"/>
      <c r="C560" s="11" t="str">
        <f t="shared" si="32"/>
        <v/>
      </c>
      <c r="D560" s="11" t="str">
        <f t="shared" si="33"/>
        <v/>
      </c>
      <c r="E560" s="45"/>
      <c r="F560" s="11" t="str">
        <f>IFERROR(VLOOKUP(E560,Category!$D$2:$E$600,2,FALSE),"")</f>
        <v/>
      </c>
      <c r="G560" s="45"/>
      <c r="H560" s="73"/>
      <c r="I560" s="18" t="str">
        <f t="shared" si="34"/>
        <v/>
      </c>
      <c r="J560" s="45"/>
      <c r="K560" s="45"/>
    </row>
    <row r="561" spans="1:11">
      <c r="A561" s="10" t="str">
        <f t="shared" si="35"/>
        <v/>
      </c>
      <c r="B561" s="45"/>
      <c r="C561" s="11" t="str">
        <f t="shared" si="32"/>
        <v/>
      </c>
      <c r="D561" s="11" t="str">
        <f t="shared" si="33"/>
        <v/>
      </c>
      <c r="E561" s="45"/>
      <c r="F561" s="11" t="str">
        <f>IFERROR(VLOOKUP(E561,Category!$D$2:$E$600,2,FALSE),"")</f>
        <v/>
      </c>
      <c r="G561" s="45"/>
      <c r="H561" s="73"/>
      <c r="I561" s="18" t="str">
        <f t="shared" si="34"/>
        <v/>
      </c>
      <c r="J561" s="45"/>
      <c r="K561" s="45"/>
    </row>
    <row r="562" spans="1:11">
      <c r="A562" s="10" t="str">
        <f t="shared" si="35"/>
        <v/>
      </c>
      <c r="B562" s="45"/>
      <c r="C562" s="11" t="str">
        <f t="shared" si="32"/>
        <v/>
      </c>
      <c r="D562" s="11" t="str">
        <f t="shared" si="33"/>
        <v/>
      </c>
      <c r="E562" s="45"/>
      <c r="F562" s="11" t="str">
        <f>IFERROR(VLOOKUP(E562,Category!$D$2:$E$600,2,FALSE),"")</f>
        <v/>
      </c>
      <c r="G562" s="45"/>
      <c r="H562" s="73"/>
      <c r="I562" s="18" t="str">
        <f t="shared" si="34"/>
        <v/>
      </c>
      <c r="J562" s="45"/>
      <c r="K562" s="45"/>
    </row>
    <row r="563" spans="1:11">
      <c r="A563" s="10" t="str">
        <f t="shared" si="35"/>
        <v/>
      </c>
      <c r="B563" s="45"/>
      <c r="C563" s="11" t="str">
        <f t="shared" si="32"/>
        <v/>
      </c>
      <c r="D563" s="11" t="str">
        <f t="shared" si="33"/>
        <v/>
      </c>
      <c r="E563" s="45"/>
      <c r="F563" s="11" t="str">
        <f>IFERROR(VLOOKUP(E563,Category!$D$2:$E$600,2,FALSE),"")</f>
        <v/>
      </c>
      <c r="G563" s="45"/>
      <c r="H563" s="73"/>
      <c r="I563" s="18" t="str">
        <f t="shared" si="34"/>
        <v/>
      </c>
      <c r="J563" s="45"/>
      <c r="K563" s="45"/>
    </row>
    <row r="564" spans="1:11">
      <c r="A564" s="10" t="str">
        <f t="shared" si="35"/>
        <v/>
      </c>
      <c r="B564" s="45"/>
      <c r="C564" s="11" t="str">
        <f t="shared" si="32"/>
        <v/>
      </c>
      <c r="D564" s="11" t="str">
        <f t="shared" si="33"/>
        <v/>
      </c>
      <c r="E564" s="45"/>
      <c r="F564" s="11" t="str">
        <f>IFERROR(VLOOKUP(E564,Category!$D$2:$E$600,2,FALSE),"")</f>
        <v/>
      </c>
      <c r="G564" s="45"/>
      <c r="H564" s="73"/>
      <c r="I564" s="18" t="str">
        <f t="shared" si="34"/>
        <v/>
      </c>
      <c r="J564" s="45"/>
      <c r="K564" s="45"/>
    </row>
    <row r="565" spans="1:11">
      <c r="A565" s="10" t="str">
        <f t="shared" si="35"/>
        <v/>
      </c>
      <c r="B565" s="45"/>
      <c r="C565" s="11" t="str">
        <f t="shared" si="32"/>
        <v/>
      </c>
      <c r="D565" s="11" t="str">
        <f t="shared" si="33"/>
        <v/>
      </c>
      <c r="E565" s="45"/>
      <c r="F565" s="11" t="str">
        <f>IFERROR(VLOOKUP(E565,Category!$D$2:$E$600,2,FALSE),"")</f>
        <v/>
      </c>
      <c r="G565" s="45"/>
      <c r="H565" s="73"/>
      <c r="I565" s="18" t="str">
        <f t="shared" si="34"/>
        <v/>
      </c>
      <c r="J565" s="45"/>
      <c r="K565" s="45"/>
    </row>
    <row r="566" spans="1:11">
      <c r="A566" s="10" t="str">
        <f t="shared" si="35"/>
        <v/>
      </c>
      <c r="B566" s="45"/>
      <c r="C566" s="11" t="str">
        <f t="shared" si="32"/>
        <v/>
      </c>
      <c r="D566" s="11" t="str">
        <f t="shared" si="33"/>
        <v/>
      </c>
      <c r="E566" s="45"/>
      <c r="F566" s="11" t="str">
        <f>IFERROR(VLOOKUP(E566,Category!$D$2:$E$600,2,FALSE),"")</f>
        <v/>
      </c>
      <c r="G566" s="45"/>
      <c r="H566" s="73"/>
      <c r="I566" s="18" t="str">
        <f t="shared" si="34"/>
        <v/>
      </c>
      <c r="J566" s="45"/>
      <c r="K566" s="45"/>
    </row>
    <row r="567" spans="1:11">
      <c r="A567" s="10" t="str">
        <f t="shared" si="35"/>
        <v/>
      </c>
      <c r="B567" s="45"/>
      <c r="C567" s="11" t="str">
        <f t="shared" si="32"/>
        <v/>
      </c>
      <c r="D567" s="11" t="str">
        <f t="shared" si="33"/>
        <v/>
      </c>
      <c r="E567" s="45"/>
      <c r="F567" s="11" t="str">
        <f>IFERROR(VLOOKUP(E567,Category!$D$2:$E$600,2,FALSE),"")</f>
        <v/>
      </c>
      <c r="G567" s="45"/>
      <c r="H567" s="73"/>
      <c r="I567" s="18" t="str">
        <f t="shared" si="34"/>
        <v/>
      </c>
      <c r="J567" s="45"/>
      <c r="K567" s="45"/>
    </row>
    <row r="568" spans="1:11">
      <c r="A568" s="10" t="str">
        <f t="shared" si="35"/>
        <v/>
      </c>
      <c r="B568" s="45"/>
      <c r="C568" s="11" t="str">
        <f t="shared" si="32"/>
        <v/>
      </c>
      <c r="D568" s="11" t="str">
        <f t="shared" si="33"/>
        <v/>
      </c>
      <c r="E568" s="45"/>
      <c r="F568" s="11" t="str">
        <f>IFERROR(VLOOKUP(E568,Category!$D$2:$E$600,2,FALSE),"")</f>
        <v/>
      </c>
      <c r="G568" s="45"/>
      <c r="H568" s="73"/>
      <c r="I568" s="18" t="str">
        <f t="shared" si="34"/>
        <v/>
      </c>
      <c r="J568" s="45"/>
      <c r="K568" s="45"/>
    </row>
    <row r="569" spans="1:11">
      <c r="A569" s="10" t="str">
        <f t="shared" si="35"/>
        <v/>
      </c>
      <c r="B569" s="45"/>
      <c r="C569" s="11" t="str">
        <f t="shared" si="32"/>
        <v/>
      </c>
      <c r="D569" s="11" t="str">
        <f t="shared" si="33"/>
        <v/>
      </c>
      <c r="E569" s="45"/>
      <c r="F569" s="11" t="str">
        <f>IFERROR(VLOOKUP(E569,Category!$D$2:$E$600,2,FALSE),"")</f>
        <v/>
      </c>
      <c r="G569" s="45"/>
      <c r="H569" s="73"/>
      <c r="I569" s="18" t="str">
        <f t="shared" si="34"/>
        <v/>
      </c>
      <c r="J569" s="45"/>
      <c r="K569" s="45"/>
    </row>
    <row r="570" spans="1:11">
      <c r="A570" s="10" t="str">
        <f t="shared" si="35"/>
        <v/>
      </c>
      <c r="B570" s="45"/>
      <c r="C570" s="11" t="str">
        <f t="shared" si="32"/>
        <v/>
      </c>
      <c r="D570" s="11" t="str">
        <f t="shared" si="33"/>
        <v/>
      </c>
      <c r="E570" s="45"/>
      <c r="F570" s="11" t="str">
        <f>IFERROR(VLOOKUP(E570,Category!$D$2:$E$600,2,FALSE),"")</f>
        <v/>
      </c>
      <c r="G570" s="45"/>
      <c r="H570" s="73"/>
      <c r="I570" s="18" t="str">
        <f t="shared" si="34"/>
        <v/>
      </c>
      <c r="J570" s="45"/>
      <c r="K570" s="45"/>
    </row>
    <row r="571" spans="1:11">
      <c r="A571" s="10" t="str">
        <f t="shared" si="35"/>
        <v/>
      </c>
      <c r="B571" s="45"/>
      <c r="C571" s="11" t="str">
        <f t="shared" si="32"/>
        <v/>
      </c>
      <c r="D571" s="11" t="str">
        <f t="shared" si="33"/>
        <v/>
      </c>
      <c r="E571" s="45"/>
      <c r="F571" s="11" t="str">
        <f>IFERROR(VLOOKUP(E571,Category!$D$2:$E$600,2,FALSE),"")</f>
        <v/>
      </c>
      <c r="G571" s="45"/>
      <c r="H571" s="73"/>
      <c r="I571" s="18" t="str">
        <f t="shared" si="34"/>
        <v/>
      </c>
      <c r="J571" s="45"/>
      <c r="K571" s="45"/>
    </row>
    <row r="572" spans="1:11">
      <c r="A572" s="10" t="str">
        <f t="shared" si="35"/>
        <v/>
      </c>
      <c r="B572" s="45"/>
      <c r="C572" s="11" t="str">
        <f t="shared" si="32"/>
        <v/>
      </c>
      <c r="D572" s="11" t="str">
        <f t="shared" si="33"/>
        <v/>
      </c>
      <c r="E572" s="45"/>
      <c r="F572" s="11" t="str">
        <f>IFERROR(VLOOKUP(E572,Category!$D$2:$E$600,2,FALSE),"")</f>
        <v/>
      </c>
      <c r="G572" s="45"/>
      <c r="H572" s="73"/>
      <c r="I572" s="18" t="str">
        <f t="shared" si="34"/>
        <v/>
      </c>
      <c r="J572" s="45"/>
      <c r="K572" s="45"/>
    </row>
    <row r="573" spans="1:11">
      <c r="A573" s="10" t="str">
        <f t="shared" si="35"/>
        <v/>
      </c>
      <c r="B573" s="45"/>
      <c r="C573" s="11" t="str">
        <f t="shared" si="32"/>
        <v/>
      </c>
      <c r="D573" s="11" t="str">
        <f t="shared" si="33"/>
        <v/>
      </c>
      <c r="E573" s="45"/>
      <c r="F573" s="11" t="str">
        <f>IFERROR(VLOOKUP(E573,Category!$D$2:$E$600,2,FALSE),"")</f>
        <v/>
      </c>
      <c r="G573" s="45"/>
      <c r="H573" s="73"/>
      <c r="I573" s="18" t="str">
        <f t="shared" si="34"/>
        <v/>
      </c>
      <c r="J573" s="45"/>
      <c r="K573" s="45"/>
    </row>
    <row r="574" spans="1:11">
      <c r="A574" s="10" t="str">
        <f t="shared" si="35"/>
        <v/>
      </c>
      <c r="B574" s="45"/>
      <c r="C574" s="11" t="str">
        <f t="shared" si="32"/>
        <v/>
      </c>
      <c r="D574" s="11" t="str">
        <f t="shared" si="33"/>
        <v/>
      </c>
      <c r="E574" s="45"/>
      <c r="F574" s="11" t="str">
        <f>IFERROR(VLOOKUP(E574,Category!$D$2:$E$600,2,FALSE),"")</f>
        <v/>
      </c>
      <c r="G574" s="45"/>
      <c r="H574" s="73"/>
      <c r="I574" s="18" t="str">
        <f t="shared" si="34"/>
        <v/>
      </c>
      <c r="J574" s="45"/>
      <c r="K574" s="45"/>
    </row>
    <row r="575" spans="1:11">
      <c r="A575" s="10" t="str">
        <f t="shared" si="35"/>
        <v/>
      </c>
      <c r="B575" s="45"/>
      <c r="C575" s="11" t="str">
        <f t="shared" si="32"/>
        <v/>
      </c>
      <c r="D575" s="11" t="str">
        <f t="shared" si="33"/>
        <v/>
      </c>
      <c r="E575" s="45"/>
      <c r="F575" s="11" t="str">
        <f>IFERROR(VLOOKUP(E575,Category!$D$2:$E$600,2,FALSE),"")</f>
        <v/>
      </c>
      <c r="G575" s="45"/>
      <c r="H575" s="73"/>
      <c r="I575" s="18" t="str">
        <f t="shared" si="34"/>
        <v/>
      </c>
      <c r="J575" s="45"/>
      <c r="K575" s="45"/>
    </row>
    <row r="576" spans="1:11">
      <c r="A576" s="10" t="str">
        <f t="shared" si="35"/>
        <v/>
      </c>
      <c r="B576" s="45"/>
      <c r="C576" s="11" t="str">
        <f t="shared" si="32"/>
        <v/>
      </c>
      <c r="D576" s="11" t="str">
        <f t="shared" si="33"/>
        <v/>
      </c>
      <c r="E576" s="45"/>
      <c r="F576" s="11" t="str">
        <f>IFERROR(VLOOKUP(E576,Category!$D$2:$E$600,2,FALSE),"")</f>
        <v/>
      </c>
      <c r="G576" s="45"/>
      <c r="H576" s="73"/>
      <c r="I576" s="18" t="str">
        <f t="shared" si="34"/>
        <v/>
      </c>
      <c r="J576" s="45"/>
      <c r="K576" s="45"/>
    </row>
    <row r="577" spans="1:11">
      <c r="A577" s="10" t="str">
        <f t="shared" si="35"/>
        <v/>
      </c>
      <c r="B577" s="45"/>
      <c r="C577" s="11" t="str">
        <f t="shared" si="32"/>
        <v/>
      </c>
      <c r="D577" s="11" t="str">
        <f t="shared" si="33"/>
        <v/>
      </c>
      <c r="E577" s="45"/>
      <c r="F577" s="11" t="str">
        <f>IFERROR(VLOOKUP(E577,Category!$D$2:$E$600,2,FALSE),"")</f>
        <v/>
      </c>
      <c r="G577" s="45"/>
      <c r="H577" s="73"/>
      <c r="I577" s="18" t="str">
        <f t="shared" si="34"/>
        <v/>
      </c>
      <c r="J577" s="45"/>
      <c r="K577" s="45"/>
    </row>
    <row r="578" spans="1:11">
      <c r="A578" s="10" t="str">
        <f t="shared" si="35"/>
        <v/>
      </c>
      <c r="B578" s="45"/>
      <c r="C578" s="11" t="str">
        <f t="shared" si="32"/>
        <v/>
      </c>
      <c r="D578" s="11" t="str">
        <f t="shared" si="33"/>
        <v/>
      </c>
      <c r="E578" s="45"/>
      <c r="F578" s="11" t="str">
        <f>IFERROR(VLOOKUP(E578,Category!$D$2:$E$600,2,FALSE),"")</f>
        <v/>
      </c>
      <c r="G578" s="45"/>
      <c r="H578" s="73"/>
      <c r="I578" s="18" t="str">
        <f t="shared" si="34"/>
        <v/>
      </c>
      <c r="J578" s="45"/>
      <c r="K578" s="45"/>
    </row>
    <row r="579" spans="1:11">
      <c r="A579" s="10" t="str">
        <f t="shared" si="35"/>
        <v/>
      </c>
      <c r="B579" s="45"/>
      <c r="C579" s="11" t="str">
        <f t="shared" ref="C579:C642" si="36">IF(B579=0,"",TEXT(B579,"mmmm"))</f>
        <v/>
      </c>
      <c r="D579" s="11" t="str">
        <f t="shared" ref="D579:D642" si="37">IF(B579=0,"",TEXT(B579,"yyyy"))</f>
        <v/>
      </c>
      <c r="E579" s="45"/>
      <c r="F579" s="11" t="str">
        <f>IFERROR(VLOOKUP(E579,Category!$D$2:$E$600,2,FALSE),"")</f>
        <v/>
      </c>
      <c r="G579" s="45"/>
      <c r="H579" s="73"/>
      <c r="I579" s="18" t="str">
        <f t="shared" ref="I579:I642" si="38">IF(G579*H579=0,"",G579*H579)</f>
        <v/>
      </c>
      <c r="J579" s="45"/>
      <c r="K579" s="45"/>
    </row>
    <row r="580" spans="1:11">
      <c r="A580" s="10" t="str">
        <f t="shared" ref="A580:A643" si="39">IF(E580&gt;0,A579+1,"")</f>
        <v/>
      </c>
      <c r="B580" s="45"/>
      <c r="C580" s="11" t="str">
        <f t="shared" si="36"/>
        <v/>
      </c>
      <c r="D580" s="11" t="str">
        <f t="shared" si="37"/>
        <v/>
      </c>
      <c r="E580" s="45"/>
      <c r="F580" s="11" t="str">
        <f>IFERROR(VLOOKUP(E580,Category!$D$2:$E$600,2,FALSE),"")</f>
        <v/>
      </c>
      <c r="G580" s="45"/>
      <c r="H580" s="73"/>
      <c r="I580" s="18" t="str">
        <f t="shared" si="38"/>
        <v/>
      </c>
      <c r="J580" s="45"/>
      <c r="K580" s="45"/>
    </row>
    <row r="581" spans="1:11">
      <c r="A581" s="10" t="str">
        <f t="shared" si="39"/>
        <v/>
      </c>
      <c r="B581" s="45"/>
      <c r="C581" s="11" t="str">
        <f t="shared" si="36"/>
        <v/>
      </c>
      <c r="D581" s="11" t="str">
        <f t="shared" si="37"/>
        <v/>
      </c>
      <c r="E581" s="45"/>
      <c r="F581" s="11" t="str">
        <f>IFERROR(VLOOKUP(E581,Category!$D$2:$E$600,2,FALSE),"")</f>
        <v/>
      </c>
      <c r="G581" s="45"/>
      <c r="H581" s="73"/>
      <c r="I581" s="18" t="str">
        <f t="shared" si="38"/>
        <v/>
      </c>
      <c r="J581" s="45"/>
      <c r="K581" s="45"/>
    </row>
    <row r="582" spans="1:11">
      <c r="A582" s="10" t="str">
        <f t="shared" si="39"/>
        <v/>
      </c>
      <c r="B582" s="45"/>
      <c r="C582" s="11" t="str">
        <f t="shared" si="36"/>
        <v/>
      </c>
      <c r="D582" s="11" t="str">
        <f t="shared" si="37"/>
        <v/>
      </c>
      <c r="E582" s="45"/>
      <c r="F582" s="11" t="str">
        <f>IFERROR(VLOOKUP(E582,Category!$D$2:$E$600,2,FALSE),"")</f>
        <v/>
      </c>
      <c r="G582" s="45"/>
      <c r="H582" s="73"/>
      <c r="I582" s="18" t="str">
        <f t="shared" si="38"/>
        <v/>
      </c>
      <c r="J582" s="45"/>
      <c r="K582" s="45"/>
    </row>
    <row r="583" spans="1:11">
      <c r="A583" s="10" t="str">
        <f t="shared" si="39"/>
        <v/>
      </c>
      <c r="B583" s="45"/>
      <c r="C583" s="11" t="str">
        <f t="shared" si="36"/>
        <v/>
      </c>
      <c r="D583" s="11" t="str">
        <f t="shared" si="37"/>
        <v/>
      </c>
      <c r="E583" s="45"/>
      <c r="F583" s="11" t="str">
        <f>IFERROR(VLOOKUP(E583,Category!$D$2:$E$600,2,FALSE),"")</f>
        <v/>
      </c>
      <c r="G583" s="45"/>
      <c r="H583" s="73"/>
      <c r="I583" s="18" t="str">
        <f t="shared" si="38"/>
        <v/>
      </c>
      <c r="J583" s="45"/>
      <c r="K583" s="45"/>
    </row>
    <row r="584" spans="1:11">
      <c r="A584" s="10" t="str">
        <f t="shared" si="39"/>
        <v/>
      </c>
      <c r="B584" s="45"/>
      <c r="C584" s="11" t="str">
        <f t="shared" si="36"/>
        <v/>
      </c>
      <c r="D584" s="11" t="str">
        <f t="shared" si="37"/>
        <v/>
      </c>
      <c r="E584" s="45"/>
      <c r="F584" s="11" t="str">
        <f>IFERROR(VLOOKUP(E584,Category!$D$2:$E$600,2,FALSE),"")</f>
        <v/>
      </c>
      <c r="G584" s="45"/>
      <c r="H584" s="73"/>
      <c r="I584" s="18" t="str">
        <f t="shared" si="38"/>
        <v/>
      </c>
      <c r="J584" s="45"/>
      <c r="K584" s="45"/>
    </row>
    <row r="585" spans="1:11">
      <c r="A585" s="10" t="str">
        <f t="shared" si="39"/>
        <v/>
      </c>
      <c r="B585" s="45"/>
      <c r="C585" s="11" t="str">
        <f t="shared" si="36"/>
        <v/>
      </c>
      <c r="D585" s="11" t="str">
        <f t="shared" si="37"/>
        <v/>
      </c>
      <c r="E585" s="45"/>
      <c r="F585" s="11" t="str">
        <f>IFERROR(VLOOKUP(E585,Category!$D$2:$E$600,2,FALSE),"")</f>
        <v/>
      </c>
      <c r="G585" s="45"/>
      <c r="H585" s="73"/>
      <c r="I585" s="18" t="str">
        <f t="shared" si="38"/>
        <v/>
      </c>
      <c r="J585" s="45"/>
      <c r="K585" s="45"/>
    </row>
    <row r="586" spans="1:11">
      <c r="A586" s="10" t="str">
        <f t="shared" si="39"/>
        <v/>
      </c>
      <c r="B586" s="45"/>
      <c r="C586" s="11" t="str">
        <f t="shared" si="36"/>
        <v/>
      </c>
      <c r="D586" s="11" t="str">
        <f t="shared" si="37"/>
        <v/>
      </c>
      <c r="E586" s="45"/>
      <c r="F586" s="11" t="str">
        <f>IFERROR(VLOOKUP(E586,Category!$D$2:$E$600,2,FALSE),"")</f>
        <v/>
      </c>
      <c r="G586" s="45"/>
      <c r="H586" s="73"/>
      <c r="I586" s="18" t="str">
        <f t="shared" si="38"/>
        <v/>
      </c>
      <c r="J586" s="45"/>
      <c r="K586" s="45"/>
    </row>
    <row r="587" spans="1:11">
      <c r="A587" s="10" t="str">
        <f t="shared" si="39"/>
        <v/>
      </c>
      <c r="B587" s="45"/>
      <c r="C587" s="11" t="str">
        <f t="shared" si="36"/>
        <v/>
      </c>
      <c r="D587" s="11" t="str">
        <f t="shared" si="37"/>
        <v/>
      </c>
      <c r="E587" s="45"/>
      <c r="F587" s="11" t="str">
        <f>IFERROR(VLOOKUP(E587,Category!$D$2:$E$600,2,FALSE),"")</f>
        <v/>
      </c>
      <c r="G587" s="45"/>
      <c r="H587" s="73"/>
      <c r="I587" s="18" t="str">
        <f t="shared" si="38"/>
        <v/>
      </c>
      <c r="J587" s="45"/>
      <c r="K587" s="45"/>
    </row>
    <row r="588" spans="1:11">
      <c r="A588" s="10" t="str">
        <f t="shared" si="39"/>
        <v/>
      </c>
      <c r="B588" s="45"/>
      <c r="C588" s="11" t="str">
        <f t="shared" si="36"/>
        <v/>
      </c>
      <c r="D588" s="11" t="str">
        <f t="shared" si="37"/>
        <v/>
      </c>
      <c r="E588" s="45"/>
      <c r="F588" s="11" t="str">
        <f>IFERROR(VLOOKUP(E588,Category!$D$2:$E$600,2,FALSE),"")</f>
        <v/>
      </c>
      <c r="G588" s="45"/>
      <c r="H588" s="73"/>
      <c r="I588" s="18" t="str">
        <f t="shared" si="38"/>
        <v/>
      </c>
      <c r="J588" s="45"/>
      <c r="K588" s="45"/>
    </row>
    <row r="589" spans="1:11">
      <c r="A589" s="10" t="str">
        <f t="shared" si="39"/>
        <v/>
      </c>
      <c r="B589" s="45"/>
      <c r="C589" s="11" t="str">
        <f t="shared" si="36"/>
        <v/>
      </c>
      <c r="D589" s="11" t="str">
        <f t="shared" si="37"/>
        <v/>
      </c>
      <c r="E589" s="45"/>
      <c r="F589" s="11" t="str">
        <f>IFERROR(VLOOKUP(E589,Category!$D$2:$E$600,2,FALSE),"")</f>
        <v/>
      </c>
      <c r="G589" s="45"/>
      <c r="H589" s="73"/>
      <c r="I589" s="18" t="str">
        <f t="shared" si="38"/>
        <v/>
      </c>
      <c r="J589" s="45"/>
      <c r="K589" s="45"/>
    </row>
    <row r="590" spans="1:11">
      <c r="A590" s="10" t="str">
        <f t="shared" si="39"/>
        <v/>
      </c>
      <c r="B590" s="45"/>
      <c r="C590" s="11" t="str">
        <f t="shared" si="36"/>
        <v/>
      </c>
      <c r="D590" s="11" t="str">
        <f t="shared" si="37"/>
        <v/>
      </c>
      <c r="E590" s="45"/>
      <c r="F590" s="11" t="str">
        <f>IFERROR(VLOOKUP(E590,Category!$D$2:$E$600,2,FALSE),"")</f>
        <v/>
      </c>
      <c r="G590" s="45"/>
      <c r="H590" s="73"/>
      <c r="I590" s="18" t="str">
        <f t="shared" si="38"/>
        <v/>
      </c>
      <c r="J590" s="45"/>
      <c r="K590" s="45"/>
    </row>
    <row r="591" spans="1:11">
      <c r="A591" s="10" t="str">
        <f t="shared" si="39"/>
        <v/>
      </c>
      <c r="B591" s="45"/>
      <c r="C591" s="11" t="str">
        <f t="shared" si="36"/>
        <v/>
      </c>
      <c r="D591" s="11" t="str">
        <f t="shared" si="37"/>
        <v/>
      </c>
      <c r="E591" s="45"/>
      <c r="F591" s="11" t="str">
        <f>IFERROR(VLOOKUP(E591,Category!$D$2:$E$600,2,FALSE),"")</f>
        <v/>
      </c>
      <c r="G591" s="45"/>
      <c r="H591" s="73"/>
      <c r="I591" s="18" t="str">
        <f t="shared" si="38"/>
        <v/>
      </c>
      <c r="J591" s="45"/>
      <c r="K591" s="45"/>
    </row>
    <row r="592" spans="1:11">
      <c r="A592" s="10" t="str">
        <f t="shared" si="39"/>
        <v/>
      </c>
      <c r="B592" s="45"/>
      <c r="C592" s="11" t="str">
        <f t="shared" si="36"/>
        <v/>
      </c>
      <c r="D592" s="11" t="str">
        <f t="shared" si="37"/>
        <v/>
      </c>
      <c r="E592" s="45"/>
      <c r="F592" s="11" t="str">
        <f>IFERROR(VLOOKUP(E592,Category!$D$2:$E$600,2,FALSE),"")</f>
        <v/>
      </c>
      <c r="G592" s="45"/>
      <c r="H592" s="73"/>
      <c r="I592" s="18" t="str">
        <f t="shared" si="38"/>
        <v/>
      </c>
      <c r="J592" s="45"/>
      <c r="K592" s="45"/>
    </row>
    <row r="593" spans="1:11">
      <c r="A593" s="10" t="str">
        <f t="shared" si="39"/>
        <v/>
      </c>
      <c r="B593" s="45"/>
      <c r="C593" s="11" t="str">
        <f t="shared" si="36"/>
        <v/>
      </c>
      <c r="D593" s="11" t="str">
        <f t="shared" si="37"/>
        <v/>
      </c>
      <c r="E593" s="45"/>
      <c r="F593" s="11" t="str">
        <f>IFERROR(VLOOKUP(E593,Category!$D$2:$E$600,2,FALSE),"")</f>
        <v/>
      </c>
      <c r="G593" s="45"/>
      <c r="H593" s="73"/>
      <c r="I593" s="18" t="str">
        <f t="shared" si="38"/>
        <v/>
      </c>
      <c r="J593" s="45"/>
      <c r="K593" s="45"/>
    </row>
    <row r="594" spans="1:11">
      <c r="A594" s="10" t="str">
        <f t="shared" si="39"/>
        <v/>
      </c>
      <c r="B594" s="45"/>
      <c r="C594" s="11" t="str">
        <f t="shared" si="36"/>
        <v/>
      </c>
      <c r="D594" s="11" t="str">
        <f t="shared" si="37"/>
        <v/>
      </c>
      <c r="E594" s="45"/>
      <c r="F594" s="11" t="str">
        <f>IFERROR(VLOOKUP(E594,Category!$D$2:$E$600,2,FALSE),"")</f>
        <v/>
      </c>
      <c r="G594" s="45"/>
      <c r="H594" s="73"/>
      <c r="I594" s="18" t="str">
        <f t="shared" si="38"/>
        <v/>
      </c>
      <c r="J594" s="45"/>
      <c r="K594" s="45"/>
    </row>
    <row r="595" spans="1:11">
      <c r="A595" s="10" t="str">
        <f t="shared" si="39"/>
        <v/>
      </c>
      <c r="B595" s="45"/>
      <c r="C595" s="11" t="str">
        <f t="shared" si="36"/>
        <v/>
      </c>
      <c r="D595" s="11" t="str">
        <f t="shared" si="37"/>
        <v/>
      </c>
      <c r="E595" s="45"/>
      <c r="F595" s="11" t="str">
        <f>IFERROR(VLOOKUP(E595,Category!$D$2:$E$600,2,FALSE),"")</f>
        <v/>
      </c>
      <c r="G595" s="45"/>
      <c r="H595" s="73"/>
      <c r="I595" s="18" t="str">
        <f t="shared" si="38"/>
        <v/>
      </c>
      <c r="J595" s="45"/>
      <c r="K595" s="45"/>
    </row>
    <row r="596" spans="1:11">
      <c r="A596" s="10" t="str">
        <f t="shared" si="39"/>
        <v/>
      </c>
      <c r="B596" s="45"/>
      <c r="C596" s="11" t="str">
        <f t="shared" si="36"/>
        <v/>
      </c>
      <c r="D596" s="11" t="str">
        <f t="shared" si="37"/>
        <v/>
      </c>
      <c r="E596" s="45"/>
      <c r="F596" s="11" t="str">
        <f>IFERROR(VLOOKUP(E596,Category!$D$2:$E$600,2,FALSE),"")</f>
        <v/>
      </c>
      <c r="G596" s="45"/>
      <c r="H596" s="73"/>
      <c r="I596" s="18" t="str">
        <f t="shared" si="38"/>
        <v/>
      </c>
      <c r="J596" s="45"/>
      <c r="K596" s="45"/>
    </row>
    <row r="597" spans="1:11">
      <c r="A597" s="10" t="str">
        <f t="shared" si="39"/>
        <v/>
      </c>
      <c r="B597" s="45"/>
      <c r="C597" s="11" t="str">
        <f t="shared" si="36"/>
        <v/>
      </c>
      <c r="D597" s="11" t="str">
        <f t="shared" si="37"/>
        <v/>
      </c>
      <c r="E597" s="45"/>
      <c r="F597" s="11" t="str">
        <f>IFERROR(VLOOKUP(E597,Category!$D$2:$E$600,2,FALSE),"")</f>
        <v/>
      </c>
      <c r="G597" s="45"/>
      <c r="H597" s="73"/>
      <c r="I597" s="18" t="str">
        <f t="shared" si="38"/>
        <v/>
      </c>
      <c r="J597" s="45"/>
      <c r="K597" s="45"/>
    </row>
    <row r="598" spans="1:11">
      <c r="A598" s="10" t="str">
        <f t="shared" si="39"/>
        <v/>
      </c>
      <c r="B598" s="45"/>
      <c r="C598" s="11" t="str">
        <f t="shared" si="36"/>
        <v/>
      </c>
      <c r="D598" s="11" t="str">
        <f t="shared" si="37"/>
        <v/>
      </c>
      <c r="E598" s="45"/>
      <c r="F598" s="11" t="str">
        <f>IFERROR(VLOOKUP(E598,Category!$D$2:$E$600,2,FALSE),"")</f>
        <v/>
      </c>
      <c r="G598" s="45"/>
      <c r="H598" s="73"/>
      <c r="I598" s="18" t="str">
        <f t="shared" si="38"/>
        <v/>
      </c>
      <c r="J598" s="45"/>
      <c r="K598" s="45"/>
    </row>
    <row r="599" spans="1:11">
      <c r="A599" s="10" t="str">
        <f t="shared" si="39"/>
        <v/>
      </c>
      <c r="B599" s="45"/>
      <c r="C599" s="11" t="str">
        <f t="shared" si="36"/>
        <v/>
      </c>
      <c r="D599" s="11" t="str">
        <f t="shared" si="37"/>
        <v/>
      </c>
      <c r="E599" s="45"/>
      <c r="F599" s="11" t="str">
        <f>IFERROR(VLOOKUP(E599,Category!$D$2:$E$600,2,FALSE),"")</f>
        <v/>
      </c>
      <c r="G599" s="45"/>
      <c r="H599" s="73"/>
      <c r="I599" s="18" t="str">
        <f t="shared" si="38"/>
        <v/>
      </c>
      <c r="J599" s="45"/>
      <c r="K599" s="45"/>
    </row>
    <row r="600" spans="1:11">
      <c r="A600" s="10" t="str">
        <f t="shared" si="39"/>
        <v/>
      </c>
      <c r="B600" s="45"/>
      <c r="C600" s="11" t="str">
        <f t="shared" si="36"/>
        <v/>
      </c>
      <c r="D600" s="11" t="str">
        <f t="shared" si="37"/>
        <v/>
      </c>
      <c r="E600" s="45"/>
      <c r="F600" s="11" t="str">
        <f>IFERROR(VLOOKUP(E600,Category!$D$2:$E$600,2,FALSE),"")</f>
        <v/>
      </c>
      <c r="G600" s="45"/>
      <c r="H600" s="73"/>
      <c r="I600" s="18" t="str">
        <f t="shared" si="38"/>
        <v/>
      </c>
      <c r="J600" s="45"/>
      <c r="K600" s="45"/>
    </row>
    <row r="601" spans="1:11">
      <c r="A601" s="10" t="str">
        <f t="shared" si="39"/>
        <v/>
      </c>
      <c r="B601" s="45"/>
      <c r="C601" s="11" t="str">
        <f t="shared" si="36"/>
        <v/>
      </c>
      <c r="D601" s="11" t="str">
        <f t="shared" si="37"/>
        <v/>
      </c>
      <c r="E601" s="45"/>
      <c r="F601" s="11" t="str">
        <f>IFERROR(VLOOKUP(E601,Category!$D$2:$E$600,2,FALSE),"")</f>
        <v/>
      </c>
      <c r="G601" s="45"/>
      <c r="H601" s="73"/>
      <c r="I601" s="18" t="str">
        <f t="shared" si="38"/>
        <v/>
      </c>
      <c r="J601" s="45"/>
      <c r="K601" s="45"/>
    </row>
    <row r="602" spans="1:11">
      <c r="A602" s="10" t="str">
        <f t="shared" si="39"/>
        <v/>
      </c>
      <c r="B602" s="45"/>
      <c r="C602" s="11" t="str">
        <f t="shared" si="36"/>
        <v/>
      </c>
      <c r="D602" s="11" t="str">
        <f t="shared" si="37"/>
        <v/>
      </c>
      <c r="E602" s="45"/>
      <c r="F602" s="11" t="str">
        <f>IFERROR(VLOOKUP(E602,Category!$D$2:$E$600,2,FALSE),"")</f>
        <v/>
      </c>
      <c r="G602" s="45"/>
      <c r="H602" s="73"/>
      <c r="I602" s="18" t="str">
        <f t="shared" si="38"/>
        <v/>
      </c>
      <c r="J602" s="45"/>
      <c r="K602" s="45"/>
    </row>
    <row r="603" spans="1:11">
      <c r="A603" s="10" t="str">
        <f t="shared" si="39"/>
        <v/>
      </c>
      <c r="B603" s="45"/>
      <c r="C603" s="11" t="str">
        <f t="shared" si="36"/>
        <v/>
      </c>
      <c r="D603" s="11" t="str">
        <f t="shared" si="37"/>
        <v/>
      </c>
      <c r="E603" s="45"/>
      <c r="F603" s="11" t="str">
        <f>IFERROR(VLOOKUP(E603,Category!$D$2:$E$600,2,FALSE),"")</f>
        <v/>
      </c>
      <c r="G603" s="45"/>
      <c r="H603" s="73"/>
      <c r="I603" s="18" t="str">
        <f t="shared" si="38"/>
        <v/>
      </c>
      <c r="J603" s="45"/>
      <c r="K603" s="45"/>
    </row>
    <row r="604" spans="1:11">
      <c r="A604" s="10" t="str">
        <f t="shared" si="39"/>
        <v/>
      </c>
      <c r="B604" s="45"/>
      <c r="C604" s="11" t="str">
        <f t="shared" si="36"/>
        <v/>
      </c>
      <c r="D604" s="11" t="str">
        <f t="shared" si="37"/>
        <v/>
      </c>
      <c r="E604" s="45"/>
      <c r="F604" s="11" t="str">
        <f>IFERROR(VLOOKUP(E604,Category!$D$2:$E$600,2,FALSE),"")</f>
        <v/>
      </c>
      <c r="G604" s="45"/>
      <c r="H604" s="73"/>
      <c r="I604" s="18" t="str">
        <f t="shared" si="38"/>
        <v/>
      </c>
      <c r="J604" s="45"/>
      <c r="K604" s="45"/>
    </row>
    <row r="605" spans="1:11">
      <c r="A605" s="10" t="str">
        <f t="shared" si="39"/>
        <v/>
      </c>
      <c r="B605" s="45"/>
      <c r="C605" s="11" t="str">
        <f t="shared" si="36"/>
        <v/>
      </c>
      <c r="D605" s="11" t="str">
        <f t="shared" si="37"/>
        <v/>
      </c>
      <c r="E605" s="45"/>
      <c r="F605" s="11" t="str">
        <f>IFERROR(VLOOKUP(E605,Category!$D$2:$E$600,2,FALSE),"")</f>
        <v/>
      </c>
      <c r="G605" s="45"/>
      <c r="H605" s="73"/>
      <c r="I605" s="18" t="str">
        <f t="shared" si="38"/>
        <v/>
      </c>
      <c r="J605" s="45"/>
      <c r="K605" s="45"/>
    </row>
    <row r="606" spans="1:11">
      <c r="A606" s="10" t="str">
        <f t="shared" si="39"/>
        <v/>
      </c>
      <c r="B606" s="45"/>
      <c r="C606" s="11" t="str">
        <f t="shared" si="36"/>
        <v/>
      </c>
      <c r="D606" s="11" t="str">
        <f t="shared" si="37"/>
        <v/>
      </c>
      <c r="E606" s="45"/>
      <c r="F606" s="11" t="str">
        <f>IFERROR(VLOOKUP(E606,Category!$D$2:$E$600,2,FALSE),"")</f>
        <v/>
      </c>
      <c r="G606" s="45"/>
      <c r="H606" s="73"/>
      <c r="I606" s="18" t="str">
        <f t="shared" si="38"/>
        <v/>
      </c>
      <c r="J606" s="45"/>
      <c r="K606" s="45"/>
    </row>
    <row r="607" spans="1:11">
      <c r="A607" s="10" t="str">
        <f t="shared" si="39"/>
        <v/>
      </c>
      <c r="B607" s="45"/>
      <c r="C607" s="11" t="str">
        <f t="shared" si="36"/>
        <v/>
      </c>
      <c r="D607" s="11" t="str">
        <f t="shared" si="37"/>
        <v/>
      </c>
      <c r="E607" s="45"/>
      <c r="F607" s="11" t="str">
        <f>IFERROR(VLOOKUP(E607,Category!$D$2:$E$600,2,FALSE),"")</f>
        <v/>
      </c>
      <c r="G607" s="45"/>
      <c r="H607" s="73"/>
      <c r="I607" s="18" t="str">
        <f t="shared" si="38"/>
        <v/>
      </c>
      <c r="J607" s="45"/>
      <c r="K607" s="45"/>
    </row>
    <row r="608" spans="1:11">
      <c r="A608" s="10" t="str">
        <f t="shared" si="39"/>
        <v/>
      </c>
      <c r="B608" s="45"/>
      <c r="C608" s="11" t="str">
        <f t="shared" si="36"/>
        <v/>
      </c>
      <c r="D608" s="11" t="str">
        <f t="shared" si="37"/>
        <v/>
      </c>
      <c r="E608" s="45"/>
      <c r="F608" s="11" t="str">
        <f>IFERROR(VLOOKUP(E608,Category!$D$2:$E$600,2,FALSE),"")</f>
        <v/>
      </c>
      <c r="G608" s="45"/>
      <c r="H608" s="73"/>
      <c r="I608" s="18" t="str">
        <f t="shared" si="38"/>
        <v/>
      </c>
      <c r="J608" s="45"/>
      <c r="K608" s="45"/>
    </row>
    <row r="609" spans="1:11">
      <c r="A609" s="10" t="str">
        <f t="shared" si="39"/>
        <v/>
      </c>
      <c r="B609" s="45"/>
      <c r="C609" s="11" t="str">
        <f t="shared" si="36"/>
        <v/>
      </c>
      <c r="D609" s="11" t="str">
        <f t="shared" si="37"/>
        <v/>
      </c>
      <c r="E609" s="45"/>
      <c r="F609" s="11" t="str">
        <f>IFERROR(VLOOKUP(E609,Category!$D$2:$E$600,2,FALSE),"")</f>
        <v/>
      </c>
      <c r="G609" s="45"/>
      <c r="H609" s="73"/>
      <c r="I609" s="18" t="str">
        <f t="shared" si="38"/>
        <v/>
      </c>
      <c r="J609" s="45"/>
      <c r="K609" s="45"/>
    </row>
    <row r="610" spans="1:11">
      <c r="A610" s="10" t="str">
        <f t="shared" si="39"/>
        <v/>
      </c>
      <c r="B610" s="45"/>
      <c r="C610" s="11" t="str">
        <f t="shared" si="36"/>
        <v/>
      </c>
      <c r="D610" s="11" t="str">
        <f t="shared" si="37"/>
        <v/>
      </c>
      <c r="E610" s="45"/>
      <c r="F610" s="11" t="str">
        <f>IFERROR(VLOOKUP(E610,Category!$D$2:$E$600,2,FALSE),"")</f>
        <v/>
      </c>
      <c r="G610" s="45"/>
      <c r="H610" s="73"/>
      <c r="I610" s="18" t="str">
        <f t="shared" si="38"/>
        <v/>
      </c>
      <c r="J610" s="45"/>
      <c r="K610" s="45"/>
    </row>
    <row r="611" spans="1:11">
      <c r="A611" s="10" t="str">
        <f t="shared" si="39"/>
        <v/>
      </c>
      <c r="B611" s="45"/>
      <c r="C611" s="11" t="str">
        <f t="shared" si="36"/>
        <v/>
      </c>
      <c r="D611" s="11" t="str">
        <f t="shared" si="37"/>
        <v/>
      </c>
      <c r="E611" s="45"/>
      <c r="F611" s="11" t="str">
        <f>IFERROR(VLOOKUP(E611,Category!$D$2:$E$600,2,FALSE),"")</f>
        <v/>
      </c>
      <c r="G611" s="45"/>
      <c r="H611" s="73"/>
      <c r="I611" s="18" t="str">
        <f t="shared" si="38"/>
        <v/>
      </c>
      <c r="J611" s="45"/>
      <c r="K611" s="45"/>
    </row>
    <row r="612" spans="1:11">
      <c r="A612" s="10" t="str">
        <f t="shared" si="39"/>
        <v/>
      </c>
      <c r="B612" s="45"/>
      <c r="C612" s="11" t="str">
        <f t="shared" si="36"/>
        <v/>
      </c>
      <c r="D612" s="11" t="str">
        <f t="shared" si="37"/>
        <v/>
      </c>
      <c r="E612" s="45"/>
      <c r="F612" s="11" t="str">
        <f>IFERROR(VLOOKUP(E612,Category!$D$2:$E$600,2,FALSE),"")</f>
        <v/>
      </c>
      <c r="G612" s="45"/>
      <c r="H612" s="73"/>
      <c r="I612" s="18" t="str">
        <f t="shared" si="38"/>
        <v/>
      </c>
      <c r="J612" s="45"/>
      <c r="K612" s="45"/>
    </row>
    <row r="613" spans="1:11">
      <c r="A613" s="10" t="str">
        <f t="shared" si="39"/>
        <v/>
      </c>
      <c r="B613" s="45"/>
      <c r="C613" s="11" t="str">
        <f t="shared" si="36"/>
        <v/>
      </c>
      <c r="D613" s="11" t="str">
        <f t="shared" si="37"/>
        <v/>
      </c>
      <c r="E613" s="45"/>
      <c r="F613" s="11" t="str">
        <f>IFERROR(VLOOKUP(E613,Category!$D$2:$E$600,2,FALSE),"")</f>
        <v/>
      </c>
      <c r="G613" s="45"/>
      <c r="H613" s="73"/>
      <c r="I613" s="18" t="str">
        <f t="shared" si="38"/>
        <v/>
      </c>
      <c r="J613" s="45"/>
      <c r="K613" s="45"/>
    </row>
    <row r="614" spans="1:11">
      <c r="A614" s="10" t="str">
        <f t="shared" si="39"/>
        <v/>
      </c>
      <c r="B614" s="45"/>
      <c r="C614" s="11" t="str">
        <f t="shared" si="36"/>
        <v/>
      </c>
      <c r="D614" s="11" t="str">
        <f t="shared" si="37"/>
        <v/>
      </c>
      <c r="E614" s="45"/>
      <c r="F614" s="11" t="str">
        <f>IFERROR(VLOOKUP(E614,Category!$D$2:$E$600,2,FALSE),"")</f>
        <v/>
      </c>
      <c r="G614" s="45"/>
      <c r="H614" s="73"/>
      <c r="I614" s="18" t="str">
        <f t="shared" si="38"/>
        <v/>
      </c>
      <c r="J614" s="45"/>
      <c r="K614" s="45"/>
    </row>
    <row r="615" spans="1:11">
      <c r="A615" s="10" t="str">
        <f t="shared" si="39"/>
        <v/>
      </c>
      <c r="B615" s="45"/>
      <c r="C615" s="11" t="str">
        <f t="shared" si="36"/>
        <v/>
      </c>
      <c r="D615" s="11" t="str">
        <f t="shared" si="37"/>
        <v/>
      </c>
      <c r="E615" s="45"/>
      <c r="F615" s="11" t="str">
        <f>IFERROR(VLOOKUP(E615,Category!$D$2:$E$600,2,FALSE),"")</f>
        <v/>
      </c>
      <c r="G615" s="45"/>
      <c r="H615" s="73"/>
      <c r="I615" s="18" t="str">
        <f t="shared" si="38"/>
        <v/>
      </c>
      <c r="J615" s="45"/>
      <c r="K615" s="45"/>
    </row>
    <row r="616" spans="1:11">
      <c r="A616" s="10" t="str">
        <f t="shared" si="39"/>
        <v/>
      </c>
      <c r="B616" s="45"/>
      <c r="C616" s="11" t="str">
        <f t="shared" si="36"/>
        <v/>
      </c>
      <c r="D616" s="11" t="str">
        <f t="shared" si="37"/>
        <v/>
      </c>
      <c r="E616" s="45"/>
      <c r="F616" s="11" t="str">
        <f>IFERROR(VLOOKUP(E616,Category!$D$2:$E$600,2,FALSE),"")</f>
        <v/>
      </c>
      <c r="G616" s="45"/>
      <c r="H616" s="73"/>
      <c r="I616" s="18" t="str">
        <f t="shared" si="38"/>
        <v/>
      </c>
      <c r="J616" s="45"/>
      <c r="K616" s="45"/>
    </row>
    <row r="617" spans="1:11">
      <c r="A617" s="10" t="str">
        <f t="shared" si="39"/>
        <v/>
      </c>
      <c r="B617" s="45"/>
      <c r="C617" s="11" t="str">
        <f t="shared" si="36"/>
        <v/>
      </c>
      <c r="D617" s="11" t="str">
        <f t="shared" si="37"/>
        <v/>
      </c>
      <c r="E617" s="45"/>
      <c r="F617" s="11" t="str">
        <f>IFERROR(VLOOKUP(E617,Category!$D$2:$E$600,2,FALSE),"")</f>
        <v/>
      </c>
      <c r="G617" s="45"/>
      <c r="H617" s="73"/>
      <c r="I617" s="18" t="str">
        <f t="shared" si="38"/>
        <v/>
      </c>
      <c r="J617" s="45"/>
      <c r="K617" s="45"/>
    </row>
    <row r="618" spans="1:11">
      <c r="A618" s="10" t="str">
        <f t="shared" si="39"/>
        <v/>
      </c>
      <c r="B618" s="45"/>
      <c r="C618" s="11" t="str">
        <f t="shared" si="36"/>
        <v/>
      </c>
      <c r="D618" s="11" t="str">
        <f t="shared" si="37"/>
        <v/>
      </c>
      <c r="E618" s="45"/>
      <c r="F618" s="11" t="str">
        <f>IFERROR(VLOOKUP(E618,Category!$D$2:$E$600,2,FALSE),"")</f>
        <v/>
      </c>
      <c r="G618" s="45"/>
      <c r="H618" s="73"/>
      <c r="I618" s="18" t="str">
        <f t="shared" si="38"/>
        <v/>
      </c>
      <c r="J618" s="45"/>
      <c r="K618" s="45"/>
    </row>
    <row r="619" spans="1:11">
      <c r="A619" s="10" t="str">
        <f t="shared" si="39"/>
        <v/>
      </c>
      <c r="B619" s="45"/>
      <c r="C619" s="11" t="str">
        <f t="shared" si="36"/>
        <v/>
      </c>
      <c r="D619" s="11" t="str">
        <f t="shared" si="37"/>
        <v/>
      </c>
      <c r="E619" s="45"/>
      <c r="F619" s="11" t="str">
        <f>IFERROR(VLOOKUP(E619,Category!$D$2:$E$600,2,FALSE),"")</f>
        <v/>
      </c>
      <c r="G619" s="45"/>
      <c r="H619" s="73"/>
      <c r="I619" s="18" t="str">
        <f t="shared" si="38"/>
        <v/>
      </c>
      <c r="J619" s="45"/>
      <c r="K619" s="45"/>
    </row>
    <row r="620" spans="1:11">
      <c r="A620" s="10" t="str">
        <f t="shared" si="39"/>
        <v/>
      </c>
      <c r="B620" s="45"/>
      <c r="C620" s="11" t="str">
        <f t="shared" si="36"/>
        <v/>
      </c>
      <c r="D620" s="11" t="str">
        <f t="shared" si="37"/>
        <v/>
      </c>
      <c r="E620" s="45"/>
      <c r="F620" s="11" t="str">
        <f>IFERROR(VLOOKUP(E620,Category!$D$2:$E$600,2,FALSE),"")</f>
        <v/>
      </c>
      <c r="G620" s="45"/>
      <c r="H620" s="73"/>
      <c r="I620" s="18" t="str">
        <f t="shared" si="38"/>
        <v/>
      </c>
      <c r="J620" s="45"/>
      <c r="K620" s="45"/>
    </row>
    <row r="621" spans="1:11">
      <c r="A621" s="10" t="str">
        <f t="shared" si="39"/>
        <v/>
      </c>
      <c r="B621" s="45"/>
      <c r="C621" s="11" t="str">
        <f t="shared" si="36"/>
        <v/>
      </c>
      <c r="D621" s="11" t="str">
        <f t="shared" si="37"/>
        <v/>
      </c>
      <c r="E621" s="45"/>
      <c r="F621" s="11" t="str">
        <f>IFERROR(VLOOKUP(E621,Category!$D$2:$E$600,2,FALSE),"")</f>
        <v/>
      </c>
      <c r="G621" s="45"/>
      <c r="H621" s="73"/>
      <c r="I621" s="18" t="str">
        <f t="shared" si="38"/>
        <v/>
      </c>
      <c r="J621" s="45"/>
      <c r="K621" s="45"/>
    </row>
    <row r="622" spans="1:11">
      <c r="A622" s="10" t="str">
        <f t="shared" si="39"/>
        <v/>
      </c>
      <c r="B622" s="45"/>
      <c r="C622" s="11" t="str">
        <f t="shared" si="36"/>
        <v/>
      </c>
      <c r="D622" s="11" t="str">
        <f t="shared" si="37"/>
        <v/>
      </c>
      <c r="E622" s="45"/>
      <c r="F622" s="11" t="str">
        <f>IFERROR(VLOOKUP(E622,Category!$D$2:$E$600,2,FALSE),"")</f>
        <v/>
      </c>
      <c r="G622" s="45"/>
      <c r="H622" s="73"/>
      <c r="I622" s="18" t="str">
        <f t="shared" si="38"/>
        <v/>
      </c>
      <c r="J622" s="45"/>
      <c r="K622" s="45"/>
    </row>
    <row r="623" spans="1:11">
      <c r="A623" s="10" t="str">
        <f t="shared" si="39"/>
        <v/>
      </c>
      <c r="B623" s="45"/>
      <c r="C623" s="11" t="str">
        <f t="shared" si="36"/>
        <v/>
      </c>
      <c r="D623" s="11" t="str">
        <f t="shared" si="37"/>
        <v/>
      </c>
      <c r="E623" s="45"/>
      <c r="F623" s="11" t="str">
        <f>IFERROR(VLOOKUP(E623,Category!$D$2:$E$600,2,FALSE),"")</f>
        <v/>
      </c>
      <c r="G623" s="45"/>
      <c r="H623" s="73"/>
      <c r="I623" s="18" t="str">
        <f t="shared" si="38"/>
        <v/>
      </c>
      <c r="J623" s="45"/>
      <c r="K623" s="45"/>
    </row>
    <row r="624" spans="1:11">
      <c r="A624" s="10" t="str">
        <f t="shared" si="39"/>
        <v/>
      </c>
      <c r="B624" s="45"/>
      <c r="C624" s="11" t="str">
        <f t="shared" si="36"/>
        <v/>
      </c>
      <c r="D624" s="11" t="str">
        <f t="shared" si="37"/>
        <v/>
      </c>
      <c r="E624" s="45"/>
      <c r="F624" s="11" t="str">
        <f>IFERROR(VLOOKUP(E624,Category!$D$2:$E$600,2,FALSE),"")</f>
        <v/>
      </c>
      <c r="G624" s="45"/>
      <c r="H624" s="73"/>
      <c r="I624" s="18" t="str">
        <f t="shared" si="38"/>
        <v/>
      </c>
      <c r="J624" s="45"/>
      <c r="K624" s="45"/>
    </row>
    <row r="625" spans="1:11">
      <c r="A625" s="10" t="str">
        <f t="shared" si="39"/>
        <v/>
      </c>
      <c r="B625" s="45"/>
      <c r="C625" s="11" t="str">
        <f t="shared" si="36"/>
        <v/>
      </c>
      <c r="D625" s="11" t="str">
        <f t="shared" si="37"/>
        <v/>
      </c>
      <c r="E625" s="45"/>
      <c r="F625" s="11" t="str">
        <f>IFERROR(VLOOKUP(E625,Category!$D$2:$E$600,2,FALSE),"")</f>
        <v/>
      </c>
      <c r="G625" s="45"/>
      <c r="H625" s="73"/>
      <c r="I625" s="18" t="str">
        <f t="shared" si="38"/>
        <v/>
      </c>
      <c r="J625" s="45"/>
      <c r="K625" s="45"/>
    </row>
    <row r="626" spans="1:11">
      <c r="A626" s="10" t="str">
        <f t="shared" si="39"/>
        <v/>
      </c>
      <c r="B626" s="45"/>
      <c r="C626" s="11" t="str">
        <f t="shared" si="36"/>
        <v/>
      </c>
      <c r="D626" s="11" t="str">
        <f t="shared" si="37"/>
        <v/>
      </c>
      <c r="E626" s="45"/>
      <c r="F626" s="11" t="str">
        <f>IFERROR(VLOOKUP(E626,Category!$D$2:$E$600,2,FALSE),"")</f>
        <v/>
      </c>
      <c r="G626" s="45"/>
      <c r="H626" s="73"/>
      <c r="I626" s="18" t="str">
        <f t="shared" si="38"/>
        <v/>
      </c>
      <c r="J626" s="45"/>
      <c r="K626" s="45"/>
    </row>
    <row r="627" spans="1:11">
      <c r="A627" s="10" t="str">
        <f t="shared" si="39"/>
        <v/>
      </c>
      <c r="B627" s="45"/>
      <c r="C627" s="11" t="str">
        <f t="shared" si="36"/>
        <v/>
      </c>
      <c r="D627" s="11" t="str">
        <f t="shared" si="37"/>
        <v/>
      </c>
      <c r="E627" s="45"/>
      <c r="F627" s="11" t="str">
        <f>IFERROR(VLOOKUP(E627,Category!$D$2:$E$600,2,FALSE),"")</f>
        <v/>
      </c>
      <c r="G627" s="45"/>
      <c r="H627" s="73"/>
      <c r="I627" s="18" t="str">
        <f t="shared" si="38"/>
        <v/>
      </c>
      <c r="J627" s="45"/>
      <c r="K627" s="45"/>
    </row>
    <row r="628" spans="1:11">
      <c r="A628" s="10" t="str">
        <f t="shared" si="39"/>
        <v/>
      </c>
      <c r="B628" s="45"/>
      <c r="C628" s="11" t="str">
        <f t="shared" si="36"/>
        <v/>
      </c>
      <c r="D628" s="11" t="str">
        <f t="shared" si="37"/>
        <v/>
      </c>
      <c r="E628" s="45"/>
      <c r="F628" s="11" t="str">
        <f>IFERROR(VLOOKUP(E628,Category!$D$2:$E$600,2,FALSE),"")</f>
        <v/>
      </c>
      <c r="G628" s="45"/>
      <c r="H628" s="73"/>
      <c r="I628" s="18" t="str">
        <f t="shared" si="38"/>
        <v/>
      </c>
      <c r="J628" s="45"/>
      <c r="K628" s="45"/>
    </row>
    <row r="629" spans="1:11">
      <c r="A629" s="10" t="str">
        <f t="shared" si="39"/>
        <v/>
      </c>
      <c r="B629" s="45"/>
      <c r="C629" s="11" t="str">
        <f t="shared" si="36"/>
        <v/>
      </c>
      <c r="D629" s="11" t="str">
        <f t="shared" si="37"/>
        <v/>
      </c>
      <c r="E629" s="45"/>
      <c r="F629" s="11" t="str">
        <f>IFERROR(VLOOKUP(E629,Category!$D$2:$E$600,2,FALSE),"")</f>
        <v/>
      </c>
      <c r="G629" s="45"/>
      <c r="H629" s="73"/>
      <c r="I629" s="18" t="str">
        <f t="shared" si="38"/>
        <v/>
      </c>
      <c r="J629" s="45"/>
      <c r="K629" s="45"/>
    </row>
    <row r="630" spans="1:11">
      <c r="A630" s="10" t="str">
        <f t="shared" si="39"/>
        <v/>
      </c>
      <c r="B630" s="45"/>
      <c r="C630" s="11" t="str">
        <f t="shared" si="36"/>
        <v/>
      </c>
      <c r="D630" s="11" t="str">
        <f t="shared" si="37"/>
        <v/>
      </c>
      <c r="E630" s="45"/>
      <c r="F630" s="11" t="str">
        <f>IFERROR(VLOOKUP(E630,Category!$D$2:$E$600,2,FALSE),"")</f>
        <v/>
      </c>
      <c r="G630" s="45"/>
      <c r="H630" s="73"/>
      <c r="I630" s="18" t="str">
        <f t="shared" si="38"/>
        <v/>
      </c>
      <c r="J630" s="45"/>
      <c r="K630" s="45"/>
    </row>
    <row r="631" spans="1:11">
      <c r="A631" s="10" t="str">
        <f t="shared" si="39"/>
        <v/>
      </c>
      <c r="B631" s="45"/>
      <c r="C631" s="11" t="str">
        <f t="shared" si="36"/>
        <v/>
      </c>
      <c r="D631" s="11" t="str">
        <f t="shared" si="37"/>
        <v/>
      </c>
      <c r="E631" s="45"/>
      <c r="F631" s="11" t="str">
        <f>IFERROR(VLOOKUP(E631,Category!$D$2:$E$600,2,FALSE),"")</f>
        <v/>
      </c>
      <c r="G631" s="45"/>
      <c r="H631" s="73"/>
      <c r="I631" s="18" t="str">
        <f t="shared" si="38"/>
        <v/>
      </c>
      <c r="J631" s="45"/>
      <c r="K631" s="45"/>
    </row>
    <row r="632" spans="1:11">
      <c r="A632" s="10" t="str">
        <f t="shared" si="39"/>
        <v/>
      </c>
      <c r="B632" s="45"/>
      <c r="C632" s="11" t="str">
        <f t="shared" si="36"/>
        <v/>
      </c>
      <c r="D632" s="11" t="str">
        <f t="shared" si="37"/>
        <v/>
      </c>
      <c r="E632" s="45"/>
      <c r="F632" s="11" t="str">
        <f>IFERROR(VLOOKUP(E632,Category!$D$2:$E$600,2,FALSE),"")</f>
        <v/>
      </c>
      <c r="G632" s="45"/>
      <c r="H632" s="73"/>
      <c r="I632" s="18" t="str">
        <f t="shared" si="38"/>
        <v/>
      </c>
      <c r="J632" s="45"/>
      <c r="K632" s="45"/>
    </row>
    <row r="633" spans="1:11">
      <c r="A633" s="10" t="str">
        <f t="shared" si="39"/>
        <v/>
      </c>
      <c r="B633" s="45"/>
      <c r="C633" s="11" t="str">
        <f t="shared" si="36"/>
        <v/>
      </c>
      <c r="D633" s="11" t="str">
        <f t="shared" si="37"/>
        <v/>
      </c>
      <c r="E633" s="45"/>
      <c r="F633" s="11" t="str">
        <f>IFERROR(VLOOKUP(E633,Category!$D$2:$E$600,2,FALSE),"")</f>
        <v/>
      </c>
      <c r="G633" s="45"/>
      <c r="H633" s="73"/>
      <c r="I633" s="18" t="str">
        <f t="shared" si="38"/>
        <v/>
      </c>
      <c r="J633" s="45"/>
      <c r="K633" s="45"/>
    </row>
    <row r="634" spans="1:11">
      <c r="A634" s="10" t="str">
        <f t="shared" si="39"/>
        <v/>
      </c>
      <c r="B634" s="45"/>
      <c r="C634" s="11" t="str">
        <f t="shared" si="36"/>
        <v/>
      </c>
      <c r="D634" s="11" t="str">
        <f t="shared" si="37"/>
        <v/>
      </c>
      <c r="E634" s="45"/>
      <c r="F634" s="11" t="str">
        <f>IFERROR(VLOOKUP(E634,Category!$D$2:$E$600,2,FALSE),"")</f>
        <v/>
      </c>
      <c r="G634" s="45"/>
      <c r="H634" s="73"/>
      <c r="I634" s="18" t="str">
        <f t="shared" si="38"/>
        <v/>
      </c>
      <c r="J634" s="45"/>
      <c r="K634" s="45"/>
    </row>
    <row r="635" spans="1:11">
      <c r="A635" s="10" t="str">
        <f t="shared" si="39"/>
        <v/>
      </c>
      <c r="B635" s="45"/>
      <c r="C635" s="11" t="str">
        <f t="shared" si="36"/>
        <v/>
      </c>
      <c r="D635" s="11" t="str">
        <f t="shared" si="37"/>
        <v/>
      </c>
      <c r="E635" s="45"/>
      <c r="F635" s="11" t="str">
        <f>IFERROR(VLOOKUP(E635,Category!$D$2:$E$600,2,FALSE),"")</f>
        <v/>
      </c>
      <c r="G635" s="45"/>
      <c r="H635" s="73"/>
      <c r="I635" s="18" t="str">
        <f t="shared" si="38"/>
        <v/>
      </c>
      <c r="J635" s="45"/>
      <c r="K635" s="45"/>
    </row>
    <row r="636" spans="1:11">
      <c r="A636" s="10" t="str">
        <f t="shared" si="39"/>
        <v/>
      </c>
      <c r="B636" s="45"/>
      <c r="C636" s="11" t="str">
        <f t="shared" si="36"/>
        <v/>
      </c>
      <c r="D636" s="11" t="str">
        <f t="shared" si="37"/>
        <v/>
      </c>
      <c r="E636" s="45"/>
      <c r="F636" s="11" t="str">
        <f>IFERROR(VLOOKUP(E636,Category!$D$2:$E$600,2,FALSE),"")</f>
        <v/>
      </c>
      <c r="G636" s="45"/>
      <c r="H636" s="73"/>
      <c r="I636" s="18" t="str">
        <f t="shared" si="38"/>
        <v/>
      </c>
      <c r="J636" s="45"/>
      <c r="K636" s="45"/>
    </row>
    <row r="637" spans="1:11">
      <c r="A637" s="10" t="str">
        <f t="shared" si="39"/>
        <v/>
      </c>
      <c r="B637" s="45"/>
      <c r="C637" s="11" t="str">
        <f t="shared" si="36"/>
        <v/>
      </c>
      <c r="D637" s="11" t="str">
        <f t="shared" si="37"/>
        <v/>
      </c>
      <c r="E637" s="45"/>
      <c r="F637" s="11" t="str">
        <f>IFERROR(VLOOKUP(E637,Category!$D$2:$E$600,2,FALSE),"")</f>
        <v/>
      </c>
      <c r="G637" s="45"/>
      <c r="H637" s="73"/>
      <c r="I637" s="18" t="str">
        <f t="shared" si="38"/>
        <v/>
      </c>
      <c r="J637" s="45"/>
      <c r="K637" s="45"/>
    </row>
    <row r="638" spans="1:11">
      <c r="A638" s="10" t="str">
        <f t="shared" si="39"/>
        <v/>
      </c>
      <c r="B638" s="45"/>
      <c r="C638" s="11" t="str">
        <f t="shared" si="36"/>
        <v/>
      </c>
      <c r="D638" s="11" t="str">
        <f t="shared" si="37"/>
        <v/>
      </c>
      <c r="E638" s="45"/>
      <c r="F638" s="11" t="str">
        <f>IFERROR(VLOOKUP(E638,Category!$D$2:$E$600,2,FALSE),"")</f>
        <v/>
      </c>
      <c r="G638" s="45"/>
      <c r="H638" s="73"/>
      <c r="I638" s="18" t="str">
        <f t="shared" si="38"/>
        <v/>
      </c>
      <c r="J638" s="45"/>
      <c r="K638" s="45"/>
    </row>
    <row r="639" spans="1:11">
      <c r="A639" s="10" t="str">
        <f t="shared" si="39"/>
        <v/>
      </c>
      <c r="B639" s="45"/>
      <c r="C639" s="11" t="str">
        <f t="shared" si="36"/>
        <v/>
      </c>
      <c r="D639" s="11" t="str">
        <f t="shared" si="37"/>
        <v/>
      </c>
      <c r="E639" s="45"/>
      <c r="F639" s="11" t="str">
        <f>IFERROR(VLOOKUP(E639,Category!$D$2:$E$600,2,FALSE),"")</f>
        <v/>
      </c>
      <c r="G639" s="45"/>
      <c r="H639" s="73"/>
      <c r="I639" s="18" t="str">
        <f t="shared" si="38"/>
        <v/>
      </c>
      <c r="J639" s="45"/>
      <c r="K639" s="45"/>
    </row>
    <row r="640" spans="1:11">
      <c r="A640" s="10" t="str">
        <f t="shared" si="39"/>
        <v/>
      </c>
      <c r="B640" s="45"/>
      <c r="C640" s="11" t="str">
        <f t="shared" si="36"/>
        <v/>
      </c>
      <c r="D640" s="11" t="str">
        <f t="shared" si="37"/>
        <v/>
      </c>
      <c r="E640" s="45"/>
      <c r="F640" s="11" t="str">
        <f>IFERROR(VLOOKUP(E640,Category!$D$2:$E$600,2,FALSE),"")</f>
        <v/>
      </c>
      <c r="G640" s="45"/>
      <c r="H640" s="73"/>
      <c r="I640" s="18" t="str">
        <f t="shared" si="38"/>
        <v/>
      </c>
      <c r="J640" s="45"/>
      <c r="K640" s="45"/>
    </row>
    <row r="641" spans="1:11">
      <c r="A641" s="10" t="str">
        <f t="shared" si="39"/>
        <v/>
      </c>
      <c r="B641" s="45"/>
      <c r="C641" s="11" t="str">
        <f t="shared" si="36"/>
        <v/>
      </c>
      <c r="D641" s="11" t="str">
        <f t="shared" si="37"/>
        <v/>
      </c>
      <c r="E641" s="45"/>
      <c r="F641" s="11" t="str">
        <f>IFERROR(VLOOKUP(E641,Category!$D$2:$E$600,2,FALSE),"")</f>
        <v/>
      </c>
      <c r="G641" s="45"/>
      <c r="H641" s="73"/>
      <c r="I641" s="18" t="str">
        <f t="shared" si="38"/>
        <v/>
      </c>
      <c r="J641" s="45"/>
      <c r="K641" s="45"/>
    </row>
    <row r="642" spans="1:11">
      <c r="A642" s="10" t="str">
        <f t="shared" si="39"/>
        <v/>
      </c>
      <c r="B642" s="45"/>
      <c r="C642" s="11" t="str">
        <f t="shared" si="36"/>
        <v/>
      </c>
      <c r="D642" s="11" t="str">
        <f t="shared" si="37"/>
        <v/>
      </c>
      <c r="E642" s="45"/>
      <c r="F642" s="11" t="str">
        <f>IFERROR(VLOOKUP(E642,Category!$D$2:$E$600,2,FALSE),"")</f>
        <v/>
      </c>
      <c r="G642" s="45"/>
      <c r="H642" s="73"/>
      <c r="I642" s="18" t="str">
        <f t="shared" si="38"/>
        <v/>
      </c>
      <c r="J642" s="45"/>
      <c r="K642" s="45"/>
    </row>
    <row r="643" spans="1:11">
      <c r="A643" s="10" t="str">
        <f t="shared" si="39"/>
        <v/>
      </c>
      <c r="B643" s="45"/>
      <c r="C643" s="11" t="str">
        <f t="shared" ref="C643:C706" si="40">IF(B643=0,"",TEXT(B643,"mmmm"))</f>
        <v/>
      </c>
      <c r="D643" s="11" t="str">
        <f t="shared" ref="D643:D706" si="41">IF(B643=0,"",TEXT(B643,"yyyy"))</f>
        <v/>
      </c>
      <c r="E643" s="45"/>
      <c r="F643" s="11" t="str">
        <f>IFERROR(VLOOKUP(E643,Category!$D$2:$E$600,2,FALSE),"")</f>
        <v/>
      </c>
      <c r="G643" s="45"/>
      <c r="H643" s="73"/>
      <c r="I643" s="18" t="str">
        <f t="shared" ref="I643:I706" si="42">IF(G643*H643=0,"",G643*H643)</f>
        <v/>
      </c>
      <c r="J643" s="45"/>
      <c r="K643" s="45"/>
    </row>
    <row r="644" spans="1:11">
      <c r="A644" s="10" t="str">
        <f t="shared" ref="A644:A707" si="43">IF(E644&gt;0,A643+1,"")</f>
        <v/>
      </c>
      <c r="B644" s="45"/>
      <c r="C644" s="11" t="str">
        <f t="shared" si="40"/>
        <v/>
      </c>
      <c r="D644" s="11" t="str">
        <f t="shared" si="41"/>
        <v/>
      </c>
      <c r="E644" s="45"/>
      <c r="F644" s="11" t="str">
        <f>IFERROR(VLOOKUP(E644,Category!$D$2:$E$600,2,FALSE),"")</f>
        <v/>
      </c>
      <c r="G644" s="45"/>
      <c r="H644" s="73"/>
      <c r="I644" s="18" t="str">
        <f t="shared" si="42"/>
        <v/>
      </c>
      <c r="J644" s="45"/>
      <c r="K644" s="45"/>
    </row>
    <row r="645" spans="1:11">
      <c r="A645" s="10" t="str">
        <f t="shared" si="43"/>
        <v/>
      </c>
      <c r="B645" s="45"/>
      <c r="C645" s="11" t="str">
        <f t="shared" si="40"/>
        <v/>
      </c>
      <c r="D645" s="11" t="str">
        <f t="shared" si="41"/>
        <v/>
      </c>
      <c r="E645" s="45"/>
      <c r="F645" s="11" t="str">
        <f>IFERROR(VLOOKUP(E645,Category!$D$2:$E$600,2,FALSE),"")</f>
        <v/>
      </c>
      <c r="G645" s="45"/>
      <c r="H645" s="73"/>
      <c r="I645" s="18" t="str">
        <f t="shared" si="42"/>
        <v/>
      </c>
      <c r="J645" s="45"/>
      <c r="K645" s="45"/>
    </row>
    <row r="646" spans="1:11">
      <c r="A646" s="10" t="str">
        <f t="shared" si="43"/>
        <v/>
      </c>
      <c r="B646" s="45"/>
      <c r="C646" s="11" t="str">
        <f t="shared" si="40"/>
        <v/>
      </c>
      <c r="D646" s="11" t="str">
        <f t="shared" si="41"/>
        <v/>
      </c>
      <c r="E646" s="45"/>
      <c r="F646" s="11" t="str">
        <f>IFERROR(VLOOKUP(E646,Category!$D$2:$E$600,2,FALSE),"")</f>
        <v/>
      </c>
      <c r="G646" s="45"/>
      <c r="H646" s="73"/>
      <c r="I646" s="18" t="str">
        <f t="shared" si="42"/>
        <v/>
      </c>
      <c r="J646" s="45"/>
      <c r="K646" s="45"/>
    </row>
    <row r="647" spans="1:11">
      <c r="A647" s="10" t="str">
        <f t="shared" si="43"/>
        <v/>
      </c>
      <c r="B647" s="45"/>
      <c r="C647" s="11" t="str">
        <f t="shared" si="40"/>
        <v/>
      </c>
      <c r="D647" s="11" t="str">
        <f t="shared" si="41"/>
        <v/>
      </c>
      <c r="E647" s="45"/>
      <c r="F647" s="11" t="str">
        <f>IFERROR(VLOOKUP(E647,Category!$D$2:$E$600,2,FALSE),"")</f>
        <v/>
      </c>
      <c r="G647" s="45"/>
      <c r="H647" s="73"/>
      <c r="I647" s="18" t="str">
        <f t="shared" si="42"/>
        <v/>
      </c>
      <c r="J647" s="45"/>
      <c r="K647" s="45"/>
    </row>
    <row r="648" spans="1:11">
      <c r="A648" s="10" t="str">
        <f t="shared" si="43"/>
        <v/>
      </c>
      <c r="B648" s="45"/>
      <c r="C648" s="11" t="str">
        <f t="shared" si="40"/>
        <v/>
      </c>
      <c r="D648" s="11" t="str">
        <f t="shared" si="41"/>
        <v/>
      </c>
      <c r="E648" s="45"/>
      <c r="F648" s="11" t="str">
        <f>IFERROR(VLOOKUP(E648,Category!$D$2:$E$600,2,FALSE),"")</f>
        <v/>
      </c>
      <c r="G648" s="45"/>
      <c r="H648" s="73"/>
      <c r="I648" s="18" t="str">
        <f t="shared" si="42"/>
        <v/>
      </c>
      <c r="J648" s="45"/>
      <c r="K648" s="45"/>
    </row>
    <row r="649" spans="1:11">
      <c r="A649" s="10" t="str">
        <f t="shared" si="43"/>
        <v/>
      </c>
      <c r="B649" s="45"/>
      <c r="C649" s="11" t="str">
        <f t="shared" si="40"/>
        <v/>
      </c>
      <c r="D649" s="11" t="str">
        <f t="shared" si="41"/>
        <v/>
      </c>
      <c r="E649" s="45"/>
      <c r="F649" s="11" t="str">
        <f>IFERROR(VLOOKUP(E649,Category!$D$2:$E$600,2,FALSE),"")</f>
        <v/>
      </c>
      <c r="G649" s="45"/>
      <c r="H649" s="73"/>
      <c r="I649" s="18" t="str">
        <f t="shared" si="42"/>
        <v/>
      </c>
      <c r="J649" s="45"/>
      <c r="K649" s="45"/>
    </row>
    <row r="650" spans="1:11">
      <c r="A650" s="10" t="str">
        <f t="shared" si="43"/>
        <v/>
      </c>
      <c r="B650" s="45"/>
      <c r="C650" s="11" t="str">
        <f t="shared" si="40"/>
        <v/>
      </c>
      <c r="D650" s="11" t="str">
        <f t="shared" si="41"/>
        <v/>
      </c>
      <c r="E650" s="45"/>
      <c r="F650" s="11" t="str">
        <f>IFERROR(VLOOKUP(E650,Category!$D$2:$E$600,2,FALSE),"")</f>
        <v/>
      </c>
      <c r="G650" s="45"/>
      <c r="H650" s="73"/>
      <c r="I650" s="18" t="str">
        <f t="shared" si="42"/>
        <v/>
      </c>
      <c r="J650" s="45"/>
      <c r="K650" s="45"/>
    </row>
    <row r="651" spans="1:11">
      <c r="A651" s="10" t="str">
        <f t="shared" si="43"/>
        <v/>
      </c>
      <c r="B651" s="45"/>
      <c r="C651" s="11" t="str">
        <f t="shared" si="40"/>
        <v/>
      </c>
      <c r="D651" s="11" t="str">
        <f t="shared" si="41"/>
        <v/>
      </c>
      <c r="E651" s="45"/>
      <c r="F651" s="11" t="str">
        <f>IFERROR(VLOOKUP(E651,Category!$D$2:$E$600,2,FALSE),"")</f>
        <v/>
      </c>
      <c r="G651" s="45"/>
      <c r="H651" s="73"/>
      <c r="I651" s="18" t="str">
        <f t="shared" si="42"/>
        <v/>
      </c>
      <c r="J651" s="45"/>
      <c r="K651" s="45"/>
    </row>
    <row r="652" spans="1:11">
      <c r="A652" s="10" t="str">
        <f t="shared" si="43"/>
        <v/>
      </c>
      <c r="B652" s="45"/>
      <c r="C652" s="11" t="str">
        <f t="shared" si="40"/>
        <v/>
      </c>
      <c r="D652" s="11" t="str">
        <f t="shared" si="41"/>
        <v/>
      </c>
      <c r="E652" s="45"/>
      <c r="F652" s="11" t="str">
        <f>IFERROR(VLOOKUP(E652,Category!$D$2:$E$600,2,FALSE),"")</f>
        <v/>
      </c>
      <c r="G652" s="45"/>
      <c r="H652" s="73"/>
      <c r="I652" s="18" t="str">
        <f t="shared" si="42"/>
        <v/>
      </c>
      <c r="J652" s="45"/>
      <c r="K652" s="45"/>
    </row>
    <row r="653" spans="1:11">
      <c r="A653" s="10" t="str">
        <f t="shared" si="43"/>
        <v/>
      </c>
      <c r="B653" s="45"/>
      <c r="C653" s="11" t="str">
        <f t="shared" si="40"/>
        <v/>
      </c>
      <c r="D653" s="11" t="str">
        <f t="shared" si="41"/>
        <v/>
      </c>
      <c r="E653" s="45"/>
      <c r="F653" s="11" t="str">
        <f>IFERROR(VLOOKUP(E653,Category!$D$2:$E$600,2,FALSE),"")</f>
        <v/>
      </c>
      <c r="G653" s="45"/>
      <c r="H653" s="73"/>
      <c r="I653" s="18" t="str">
        <f t="shared" si="42"/>
        <v/>
      </c>
      <c r="J653" s="45"/>
      <c r="K653" s="45"/>
    </row>
    <row r="654" spans="1:11">
      <c r="A654" s="10" t="str">
        <f t="shared" si="43"/>
        <v/>
      </c>
      <c r="B654" s="45"/>
      <c r="C654" s="11" t="str">
        <f t="shared" si="40"/>
        <v/>
      </c>
      <c r="D654" s="11" t="str">
        <f t="shared" si="41"/>
        <v/>
      </c>
      <c r="E654" s="45"/>
      <c r="F654" s="11" t="str">
        <f>IFERROR(VLOOKUP(E654,Category!$D$2:$E$600,2,FALSE),"")</f>
        <v/>
      </c>
      <c r="G654" s="45"/>
      <c r="H654" s="73"/>
      <c r="I654" s="18" t="str">
        <f t="shared" si="42"/>
        <v/>
      </c>
      <c r="J654" s="45"/>
      <c r="K654" s="45"/>
    </row>
    <row r="655" spans="1:11">
      <c r="A655" s="10" t="str">
        <f t="shared" si="43"/>
        <v/>
      </c>
      <c r="B655" s="45"/>
      <c r="C655" s="11" t="str">
        <f t="shared" si="40"/>
        <v/>
      </c>
      <c r="D655" s="11" t="str">
        <f t="shared" si="41"/>
        <v/>
      </c>
      <c r="E655" s="45"/>
      <c r="F655" s="11" t="str">
        <f>IFERROR(VLOOKUP(E655,Category!$D$2:$E$600,2,FALSE),"")</f>
        <v/>
      </c>
      <c r="G655" s="45"/>
      <c r="H655" s="73"/>
      <c r="I655" s="18" t="str">
        <f t="shared" si="42"/>
        <v/>
      </c>
      <c r="J655" s="45"/>
      <c r="K655" s="45"/>
    </row>
    <row r="656" spans="1:11">
      <c r="A656" s="10" t="str">
        <f t="shared" si="43"/>
        <v/>
      </c>
      <c r="B656" s="45"/>
      <c r="C656" s="11" t="str">
        <f t="shared" si="40"/>
        <v/>
      </c>
      <c r="D656" s="11" t="str">
        <f t="shared" si="41"/>
        <v/>
      </c>
      <c r="E656" s="45"/>
      <c r="F656" s="11" t="str">
        <f>IFERROR(VLOOKUP(E656,Category!$D$2:$E$600,2,FALSE),"")</f>
        <v/>
      </c>
      <c r="G656" s="45"/>
      <c r="H656" s="73"/>
      <c r="I656" s="18" t="str">
        <f t="shared" si="42"/>
        <v/>
      </c>
      <c r="J656" s="45"/>
      <c r="K656" s="45"/>
    </row>
    <row r="657" spans="1:11">
      <c r="A657" s="10" t="str">
        <f t="shared" si="43"/>
        <v/>
      </c>
      <c r="B657" s="45"/>
      <c r="C657" s="11" t="str">
        <f t="shared" si="40"/>
        <v/>
      </c>
      <c r="D657" s="11" t="str">
        <f t="shared" si="41"/>
        <v/>
      </c>
      <c r="E657" s="45"/>
      <c r="F657" s="11" t="str">
        <f>IFERROR(VLOOKUP(E657,Category!$D$2:$E$600,2,FALSE),"")</f>
        <v/>
      </c>
      <c r="G657" s="45"/>
      <c r="H657" s="73"/>
      <c r="I657" s="18" t="str">
        <f t="shared" si="42"/>
        <v/>
      </c>
      <c r="J657" s="45"/>
      <c r="K657" s="45"/>
    </row>
    <row r="658" spans="1:11">
      <c r="A658" s="10" t="str">
        <f t="shared" si="43"/>
        <v/>
      </c>
      <c r="B658" s="45"/>
      <c r="C658" s="11" t="str">
        <f t="shared" si="40"/>
        <v/>
      </c>
      <c r="D658" s="11" t="str">
        <f t="shared" si="41"/>
        <v/>
      </c>
      <c r="E658" s="45"/>
      <c r="F658" s="11" t="str">
        <f>IFERROR(VLOOKUP(E658,Category!$D$2:$E$600,2,FALSE),"")</f>
        <v/>
      </c>
      <c r="G658" s="45"/>
      <c r="H658" s="73"/>
      <c r="I658" s="18" t="str">
        <f t="shared" si="42"/>
        <v/>
      </c>
      <c r="J658" s="45"/>
      <c r="K658" s="45"/>
    </row>
    <row r="659" spans="1:11">
      <c r="A659" s="10" t="str">
        <f t="shared" si="43"/>
        <v/>
      </c>
      <c r="B659" s="45"/>
      <c r="C659" s="11" t="str">
        <f t="shared" si="40"/>
        <v/>
      </c>
      <c r="D659" s="11" t="str">
        <f t="shared" si="41"/>
        <v/>
      </c>
      <c r="E659" s="45"/>
      <c r="F659" s="11" t="str">
        <f>IFERROR(VLOOKUP(E659,Category!$D$2:$E$600,2,FALSE),"")</f>
        <v/>
      </c>
      <c r="G659" s="45"/>
      <c r="H659" s="73"/>
      <c r="I659" s="18" t="str">
        <f t="shared" si="42"/>
        <v/>
      </c>
      <c r="J659" s="45"/>
      <c r="K659" s="45"/>
    </row>
    <row r="660" spans="1:11">
      <c r="A660" s="10" t="str">
        <f t="shared" si="43"/>
        <v/>
      </c>
      <c r="B660" s="45"/>
      <c r="C660" s="11" t="str">
        <f t="shared" si="40"/>
        <v/>
      </c>
      <c r="D660" s="11" t="str">
        <f t="shared" si="41"/>
        <v/>
      </c>
      <c r="E660" s="45"/>
      <c r="F660" s="11" t="str">
        <f>IFERROR(VLOOKUP(E660,Category!$D$2:$E$600,2,FALSE),"")</f>
        <v/>
      </c>
      <c r="G660" s="45"/>
      <c r="H660" s="73"/>
      <c r="I660" s="18" t="str">
        <f t="shared" si="42"/>
        <v/>
      </c>
      <c r="J660" s="45"/>
      <c r="K660" s="45"/>
    </row>
    <row r="661" spans="1:11">
      <c r="A661" s="10" t="str">
        <f t="shared" si="43"/>
        <v/>
      </c>
      <c r="B661" s="45"/>
      <c r="C661" s="11" t="str">
        <f t="shared" si="40"/>
        <v/>
      </c>
      <c r="D661" s="11" t="str">
        <f t="shared" si="41"/>
        <v/>
      </c>
      <c r="E661" s="45"/>
      <c r="F661" s="11" t="str">
        <f>IFERROR(VLOOKUP(E661,Category!$D$2:$E$600,2,FALSE),"")</f>
        <v/>
      </c>
      <c r="G661" s="45"/>
      <c r="H661" s="73"/>
      <c r="I661" s="18" t="str">
        <f t="shared" si="42"/>
        <v/>
      </c>
      <c r="J661" s="45"/>
      <c r="K661" s="45"/>
    </row>
    <row r="662" spans="1:11">
      <c r="A662" s="10" t="str">
        <f t="shared" si="43"/>
        <v/>
      </c>
      <c r="B662" s="45"/>
      <c r="C662" s="11" t="str">
        <f t="shared" si="40"/>
        <v/>
      </c>
      <c r="D662" s="11" t="str">
        <f t="shared" si="41"/>
        <v/>
      </c>
      <c r="E662" s="45"/>
      <c r="F662" s="11" t="str">
        <f>IFERROR(VLOOKUP(E662,Category!$D$2:$E$600,2,FALSE),"")</f>
        <v/>
      </c>
      <c r="G662" s="45"/>
      <c r="H662" s="73"/>
      <c r="I662" s="18" t="str">
        <f t="shared" si="42"/>
        <v/>
      </c>
      <c r="J662" s="45"/>
      <c r="K662" s="45"/>
    </row>
    <row r="663" spans="1:11">
      <c r="A663" s="10" t="str">
        <f t="shared" si="43"/>
        <v/>
      </c>
      <c r="B663" s="45"/>
      <c r="C663" s="11" t="str">
        <f t="shared" si="40"/>
        <v/>
      </c>
      <c r="D663" s="11" t="str">
        <f t="shared" si="41"/>
        <v/>
      </c>
      <c r="E663" s="45"/>
      <c r="F663" s="11" t="str">
        <f>IFERROR(VLOOKUP(E663,Category!$D$2:$E$600,2,FALSE),"")</f>
        <v/>
      </c>
      <c r="G663" s="45"/>
      <c r="H663" s="73"/>
      <c r="I663" s="18" t="str">
        <f t="shared" si="42"/>
        <v/>
      </c>
      <c r="J663" s="45"/>
      <c r="K663" s="45"/>
    </row>
    <row r="664" spans="1:11">
      <c r="A664" s="10" t="str">
        <f t="shared" si="43"/>
        <v/>
      </c>
      <c r="B664" s="45"/>
      <c r="C664" s="11" t="str">
        <f t="shared" si="40"/>
        <v/>
      </c>
      <c r="D664" s="11" t="str">
        <f t="shared" si="41"/>
        <v/>
      </c>
      <c r="E664" s="45"/>
      <c r="F664" s="11" t="str">
        <f>IFERROR(VLOOKUP(E664,Category!$D$2:$E$600,2,FALSE),"")</f>
        <v/>
      </c>
      <c r="G664" s="45"/>
      <c r="H664" s="73"/>
      <c r="I664" s="18" t="str">
        <f t="shared" si="42"/>
        <v/>
      </c>
      <c r="J664" s="45"/>
      <c r="K664" s="45"/>
    </row>
    <row r="665" spans="1:11">
      <c r="A665" s="10" t="str">
        <f t="shared" si="43"/>
        <v/>
      </c>
      <c r="B665" s="45"/>
      <c r="C665" s="11" t="str">
        <f t="shared" si="40"/>
        <v/>
      </c>
      <c r="D665" s="11" t="str">
        <f t="shared" si="41"/>
        <v/>
      </c>
      <c r="E665" s="45"/>
      <c r="F665" s="11" t="str">
        <f>IFERROR(VLOOKUP(E665,Category!$D$2:$E$600,2,FALSE),"")</f>
        <v/>
      </c>
      <c r="G665" s="45"/>
      <c r="H665" s="73"/>
      <c r="I665" s="18" t="str">
        <f t="shared" si="42"/>
        <v/>
      </c>
      <c r="J665" s="45"/>
      <c r="K665" s="45"/>
    </row>
    <row r="666" spans="1:11">
      <c r="A666" s="10" t="str">
        <f t="shared" si="43"/>
        <v/>
      </c>
      <c r="B666" s="45"/>
      <c r="C666" s="11" t="str">
        <f t="shared" si="40"/>
        <v/>
      </c>
      <c r="D666" s="11" t="str">
        <f t="shared" si="41"/>
        <v/>
      </c>
      <c r="E666" s="45"/>
      <c r="F666" s="11" t="str">
        <f>IFERROR(VLOOKUP(E666,Category!$D$2:$E$600,2,FALSE),"")</f>
        <v/>
      </c>
      <c r="G666" s="45"/>
      <c r="H666" s="73"/>
      <c r="I666" s="18" t="str">
        <f t="shared" si="42"/>
        <v/>
      </c>
      <c r="J666" s="45"/>
      <c r="K666" s="45"/>
    </row>
    <row r="667" spans="1:11">
      <c r="A667" s="10" t="str">
        <f t="shared" si="43"/>
        <v/>
      </c>
      <c r="B667" s="45"/>
      <c r="C667" s="11" t="str">
        <f t="shared" si="40"/>
        <v/>
      </c>
      <c r="D667" s="11" t="str">
        <f t="shared" si="41"/>
        <v/>
      </c>
      <c r="E667" s="45"/>
      <c r="F667" s="11" t="str">
        <f>IFERROR(VLOOKUP(E667,Category!$D$2:$E$600,2,FALSE),"")</f>
        <v/>
      </c>
      <c r="G667" s="45"/>
      <c r="H667" s="73"/>
      <c r="I667" s="18" t="str">
        <f t="shared" si="42"/>
        <v/>
      </c>
      <c r="J667" s="45"/>
      <c r="K667" s="45"/>
    </row>
    <row r="668" spans="1:11">
      <c r="A668" s="10" t="str">
        <f t="shared" si="43"/>
        <v/>
      </c>
      <c r="B668" s="45"/>
      <c r="C668" s="11" t="str">
        <f t="shared" si="40"/>
        <v/>
      </c>
      <c r="D668" s="11" t="str">
        <f t="shared" si="41"/>
        <v/>
      </c>
      <c r="E668" s="45"/>
      <c r="F668" s="11" t="str">
        <f>IFERROR(VLOOKUP(E668,Category!$D$2:$E$600,2,FALSE),"")</f>
        <v/>
      </c>
      <c r="G668" s="45"/>
      <c r="H668" s="73"/>
      <c r="I668" s="18" t="str">
        <f t="shared" si="42"/>
        <v/>
      </c>
      <c r="J668" s="45"/>
      <c r="K668" s="45"/>
    </row>
    <row r="669" spans="1:11">
      <c r="A669" s="10" t="str">
        <f t="shared" si="43"/>
        <v/>
      </c>
      <c r="B669" s="45"/>
      <c r="C669" s="11" t="str">
        <f t="shared" si="40"/>
        <v/>
      </c>
      <c r="D669" s="11" t="str">
        <f t="shared" si="41"/>
        <v/>
      </c>
      <c r="E669" s="45"/>
      <c r="F669" s="11" t="str">
        <f>IFERROR(VLOOKUP(E669,Category!$D$2:$E$600,2,FALSE),"")</f>
        <v/>
      </c>
      <c r="G669" s="45"/>
      <c r="H669" s="73"/>
      <c r="I669" s="18" t="str">
        <f t="shared" si="42"/>
        <v/>
      </c>
      <c r="J669" s="45"/>
      <c r="K669" s="45"/>
    </row>
    <row r="670" spans="1:11">
      <c r="A670" s="10" t="str">
        <f t="shared" si="43"/>
        <v/>
      </c>
      <c r="B670" s="45"/>
      <c r="C670" s="11" t="str">
        <f t="shared" si="40"/>
        <v/>
      </c>
      <c r="D670" s="11" t="str">
        <f t="shared" si="41"/>
        <v/>
      </c>
      <c r="E670" s="45"/>
      <c r="F670" s="11" t="str">
        <f>IFERROR(VLOOKUP(E670,Category!$D$2:$E$600,2,FALSE),"")</f>
        <v/>
      </c>
      <c r="G670" s="45"/>
      <c r="H670" s="73"/>
      <c r="I670" s="18" t="str">
        <f t="shared" si="42"/>
        <v/>
      </c>
      <c r="J670" s="45"/>
      <c r="K670" s="45"/>
    </row>
    <row r="671" spans="1:11">
      <c r="A671" s="10" t="str">
        <f t="shared" si="43"/>
        <v/>
      </c>
      <c r="B671" s="45"/>
      <c r="C671" s="11" t="str">
        <f t="shared" si="40"/>
        <v/>
      </c>
      <c r="D671" s="11" t="str">
        <f t="shared" si="41"/>
        <v/>
      </c>
      <c r="E671" s="45"/>
      <c r="F671" s="11" t="str">
        <f>IFERROR(VLOOKUP(E671,Category!$D$2:$E$600,2,FALSE),"")</f>
        <v/>
      </c>
      <c r="G671" s="45"/>
      <c r="H671" s="73"/>
      <c r="I671" s="18" t="str">
        <f t="shared" si="42"/>
        <v/>
      </c>
      <c r="J671" s="45"/>
      <c r="K671" s="45"/>
    </row>
    <row r="672" spans="1:11">
      <c r="A672" s="10" t="str">
        <f t="shared" si="43"/>
        <v/>
      </c>
      <c r="B672" s="45"/>
      <c r="C672" s="11" t="str">
        <f t="shared" si="40"/>
        <v/>
      </c>
      <c r="D672" s="11" t="str">
        <f t="shared" si="41"/>
        <v/>
      </c>
      <c r="E672" s="45"/>
      <c r="F672" s="11" t="str">
        <f>IFERROR(VLOOKUP(E672,Category!$D$2:$E$600,2,FALSE),"")</f>
        <v/>
      </c>
      <c r="G672" s="45"/>
      <c r="H672" s="73"/>
      <c r="I672" s="18" t="str">
        <f t="shared" si="42"/>
        <v/>
      </c>
      <c r="J672" s="45"/>
      <c r="K672" s="45"/>
    </row>
    <row r="673" spans="1:11">
      <c r="A673" s="10" t="str">
        <f t="shared" si="43"/>
        <v/>
      </c>
      <c r="B673" s="45"/>
      <c r="C673" s="11" t="str">
        <f t="shared" si="40"/>
        <v/>
      </c>
      <c r="D673" s="11" t="str">
        <f t="shared" si="41"/>
        <v/>
      </c>
      <c r="E673" s="45"/>
      <c r="F673" s="11" t="str">
        <f>IFERROR(VLOOKUP(E673,Category!$D$2:$E$600,2,FALSE),"")</f>
        <v/>
      </c>
      <c r="G673" s="45"/>
      <c r="H673" s="73"/>
      <c r="I673" s="18" t="str">
        <f t="shared" si="42"/>
        <v/>
      </c>
      <c r="J673" s="45"/>
      <c r="K673" s="45"/>
    </row>
    <row r="674" spans="1:11">
      <c r="A674" s="10" t="str">
        <f t="shared" si="43"/>
        <v/>
      </c>
      <c r="B674" s="45"/>
      <c r="C674" s="11" t="str">
        <f t="shared" si="40"/>
        <v/>
      </c>
      <c r="D674" s="11" t="str">
        <f t="shared" si="41"/>
        <v/>
      </c>
      <c r="E674" s="45"/>
      <c r="F674" s="11" t="str">
        <f>IFERROR(VLOOKUP(E674,Category!$D$2:$E$600,2,FALSE),"")</f>
        <v/>
      </c>
      <c r="G674" s="45"/>
      <c r="H674" s="73"/>
      <c r="I674" s="18" t="str">
        <f t="shared" si="42"/>
        <v/>
      </c>
      <c r="J674" s="45"/>
      <c r="K674" s="45"/>
    </row>
    <row r="675" spans="1:11">
      <c r="A675" s="10" t="str">
        <f t="shared" si="43"/>
        <v/>
      </c>
      <c r="B675" s="45"/>
      <c r="C675" s="11" t="str">
        <f t="shared" si="40"/>
        <v/>
      </c>
      <c r="D675" s="11" t="str">
        <f t="shared" si="41"/>
        <v/>
      </c>
      <c r="E675" s="45"/>
      <c r="F675" s="11" t="str">
        <f>IFERROR(VLOOKUP(E675,Category!$D$2:$E$600,2,FALSE),"")</f>
        <v/>
      </c>
      <c r="G675" s="45"/>
      <c r="H675" s="73"/>
      <c r="I675" s="18" t="str">
        <f t="shared" si="42"/>
        <v/>
      </c>
      <c r="J675" s="45"/>
      <c r="K675" s="45"/>
    </row>
    <row r="676" spans="1:11">
      <c r="A676" s="10" t="str">
        <f t="shared" si="43"/>
        <v/>
      </c>
      <c r="B676" s="45"/>
      <c r="C676" s="11" t="str">
        <f t="shared" si="40"/>
        <v/>
      </c>
      <c r="D676" s="11" t="str">
        <f t="shared" si="41"/>
        <v/>
      </c>
      <c r="E676" s="45"/>
      <c r="F676" s="11" t="str">
        <f>IFERROR(VLOOKUP(E676,Category!$D$2:$E$600,2,FALSE),"")</f>
        <v/>
      </c>
      <c r="G676" s="45"/>
      <c r="H676" s="73"/>
      <c r="I676" s="18" t="str">
        <f t="shared" si="42"/>
        <v/>
      </c>
      <c r="J676" s="45"/>
      <c r="K676" s="45"/>
    </row>
    <row r="677" spans="1:11">
      <c r="A677" s="10" t="str">
        <f t="shared" si="43"/>
        <v/>
      </c>
      <c r="B677" s="45"/>
      <c r="C677" s="11" t="str">
        <f t="shared" si="40"/>
        <v/>
      </c>
      <c r="D677" s="11" t="str">
        <f t="shared" si="41"/>
        <v/>
      </c>
      <c r="E677" s="45"/>
      <c r="F677" s="11" t="str">
        <f>IFERROR(VLOOKUP(E677,Category!$D$2:$E$600,2,FALSE),"")</f>
        <v/>
      </c>
      <c r="G677" s="45"/>
      <c r="H677" s="73"/>
      <c r="I677" s="18" t="str">
        <f t="shared" si="42"/>
        <v/>
      </c>
      <c r="J677" s="45"/>
      <c r="K677" s="45"/>
    </row>
    <row r="678" spans="1:11">
      <c r="A678" s="10" t="str">
        <f t="shared" si="43"/>
        <v/>
      </c>
      <c r="B678" s="45"/>
      <c r="C678" s="11" t="str">
        <f t="shared" si="40"/>
        <v/>
      </c>
      <c r="D678" s="11" t="str">
        <f t="shared" si="41"/>
        <v/>
      </c>
      <c r="E678" s="45"/>
      <c r="F678" s="11" t="str">
        <f>IFERROR(VLOOKUP(E678,Category!$D$2:$E$600,2,FALSE),"")</f>
        <v/>
      </c>
      <c r="G678" s="45"/>
      <c r="H678" s="73"/>
      <c r="I678" s="18" t="str">
        <f t="shared" si="42"/>
        <v/>
      </c>
      <c r="J678" s="45"/>
      <c r="K678" s="45"/>
    </row>
    <row r="679" spans="1:11">
      <c r="A679" s="10" t="str">
        <f t="shared" si="43"/>
        <v/>
      </c>
      <c r="B679" s="45"/>
      <c r="C679" s="11" t="str">
        <f t="shared" si="40"/>
        <v/>
      </c>
      <c r="D679" s="11" t="str">
        <f t="shared" si="41"/>
        <v/>
      </c>
      <c r="E679" s="45"/>
      <c r="F679" s="11" t="str">
        <f>IFERROR(VLOOKUP(E679,Category!$D$2:$E$600,2,FALSE),"")</f>
        <v/>
      </c>
      <c r="G679" s="45"/>
      <c r="H679" s="73"/>
      <c r="I679" s="18" t="str">
        <f t="shared" si="42"/>
        <v/>
      </c>
      <c r="J679" s="45"/>
      <c r="K679" s="45"/>
    </row>
    <row r="680" spans="1:11">
      <c r="A680" s="10" t="str">
        <f t="shared" si="43"/>
        <v/>
      </c>
      <c r="B680" s="45"/>
      <c r="C680" s="11" t="str">
        <f t="shared" si="40"/>
        <v/>
      </c>
      <c r="D680" s="11" t="str">
        <f t="shared" si="41"/>
        <v/>
      </c>
      <c r="E680" s="45"/>
      <c r="F680" s="11" t="str">
        <f>IFERROR(VLOOKUP(E680,Category!$D$2:$E$600,2,FALSE),"")</f>
        <v/>
      </c>
      <c r="G680" s="45"/>
      <c r="H680" s="73"/>
      <c r="I680" s="18" t="str">
        <f t="shared" si="42"/>
        <v/>
      </c>
      <c r="J680" s="45"/>
      <c r="K680" s="45"/>
    </row>
    <row r="681" spans="1:11">
      <c r="A681" s="10" t="str">
        <f t="shared" si="43"/>
        <v/>
      </c>
      <c r="B681" s="45"/>
      <c r="C681" s="11" t="str">
        <f t="shared" si="40"/>
        <v/>
      </c>
      <c r="D681" s="11" t="str">
        <f t="shared" si="41"/>
        <v/>
      </c>
      <c r="E681" s="45"/>
      <c r="F681" s="11" t="str">
        <f>IFERROR(VLOOKUP(E681,Category!$D$2:$E$600,2,FALSE),"")</f>
        <v/>
      </c>
      <c r="G681" s="45"/>
      <c r="H681" s="73"/>
      <c r="I681" s="18" t="str">
        <f t="shared" si="42"/>
        <v/>
      </c>
      <c r="J681" s="45"/>
      <c r="K681" s="45"/>
    </row>
    <row r="682" spans="1:11">
      <c r="A682" s="10" t="str">
        <f t="shared" si="43"/>
        <v/>
      </c>
      <c r="B682" s="45"/>
      <c r="C682" s="11" t="str">
        <f t="shared" si="40"/>
        <v/>
      </c>
      <c r="D682" s="11" t="str">
        <f t="shared" si="41"/>
        <v/>
      </c>
      <c r="E682" s="45"/>
      <c r="F682" s="11" t="str">
        <f>IFERROR(VLOOKUP(E682,Category!$D$2:$E$600,2,FALSE),"")</f>
        <v/>
      </c>
      <c r="G682" s="45"/>
      <c r="H682" s="73"/>
      <c r="I682" s="18" t="str">
        <f t="shared" si="42"/>
        <v/>
      </c>
      <c r="J682" s="45"/>
      <c r="K682" s="45"/>
    </row>
    <row r="683" spans="1:11">
      <c r="A683" s="10" t="str">
        <f t="shared" si="43"/>
        <v/>
      </c>
      <c r="B683" s="45"/>
      <c r="C683" s="11" t="str">
        <f t="shared" si="40"/>
        <v/>
      </c>
      <c r="D683" s="11" t="str">
        <f t="shared" si="41"/>
        <v/>
      </c>
      <c r="E683" s="45"/>
      <c r="F683" s="11" t="str">
        <f>IFERROR(VLOOKUP(E683,Category!$D$2:$E$600,2,FALSE),"")</f>
        <v/>
      </c>
      <c r="G683" s="45"/>
      <c r="H683" s="73"/>
      <c r="I683" s="18" t="str">
        <f t="shared" si="42"/>
        <v/>
      </c>
      <c r="J683" s="45"/>
      <c r="K683" s="45"/>
    </row>
    <row r="684" spans="1:11">
      <c r="A684" s="10" t="str">
        <f t="shared" si="43"/>
        <v/>
      </c>
      <c r="B684" s="45"/>
      <c r="C684" s="11" t="str">
        <f t="shared" si="40"/>
        <v/>
      </c>
      <c r="D684" s="11" t="str">
        <f t="shared" si="41"/>
        <v/>
      </c>
      <c r="E684" s="45"/>
      <c r="F684" s="11" t="str">
        <f>IFERROR(VLOOKUP(E684,Category!$D$2:$E$600,2,FALSE),"")</f>
        <v/>
      </c>
      <c r="G684" s="45"/>
      <c r="H684" s="73"/>
      <c r="I684" s="18" t="str">
        <f t="shared" si="42"/>
        <v/>
      </c>
      <c r="J684" s="45"/>
      <c r="K684" s="45"/>
    </row>
    <row r="685" spans="1:11">
      <c r="A685" s="10" t="str">
        <f t="shared" si="43"/>
        <v/>
      </c>
      <c r="B685" s="45"/>
      <c r="C685" s="11" t="str">
        <f t="shared" si="40"/>
        <v/>
      </c>
      <c r="D685" s="11" t="str">
        <f t="shared" si="41"/>
        <v/>
      </c>
      <c r="E685" s="45"/>
      <c r="F685" s="11" t="str">
        <f>IFERROR(VLOOKUP(E685,Category!$D$2:$E$600,2,FALSE),"")</f>
        <v/>
      </c>
      <c r="G685" s="45"/>
      <c r="H685" s="73"/>
      <c r="I685" s="18" t="str">
        <f t="shared" si="42"/>
        <v/>
      </c>
      <c r="J685" s="45"/>
      <c r="K685" s="45"/>
    </row>
    <row r="686" spans="1:11">
      <c r="A686" s="10" t="str">
        <f t="shared" si="43"/>
        <v/>
      </c>
      <c r="B686" s="45"/>
      <c r="C686" s="11" t="str">
        <f t="shared" si="40"/>
        <v/>
      </c>
      <c r="D686" s="11" t="str">
        <f t="shared" si="41"/>
        <v/>
      </c>
      <c r="E686" s="45"/>
      <c r="F686" s="11" t="str">
        <f>IFERROR(VLOOKUP(E686,Category!$D$2:$E$600,2,FALSE),"")</f>
        <v/>
      </c>
      <c r="G686" s="45"/>
      <c r="H686" s="73"/>
      <c r="I686" s="18" t="str">
        <f t="shared" si="42"/>
        <v/>
      </c>
      <c r="J686" s="45"/>
      <c r="K686" s="45"/>
    </row>
    <row r="687" spans="1:11">
      <c r="A687" s="10" t="str">
        <f t="shared" si="43"/>
        <v/>
      </c>
      <c r="B687" s="45"/>
      <c r="C687" s="11" t="str">
        <f t="shared" si="40"/>
        <v/>
      </c>
      <c r="D687" s="11" t="str">
        <f t="shared" si="41"/>
        <v/>
      </c>
      <c r="E687" s="45"/>
      <c r="F687" s="11" t="str">
        <f>IFERROR(VLOOKUP(E687,Category!$D$2:$E$600,2,FALSE),"")</f>
        <v/>
      </c>
      <c r="G687" s="45"/>
      <c r="H687" s="73"/>
      <c r="I687" s="18" t="str">
        <f t="shared" si="42"/>
        <v/>
      </c>
      <c r="J687" s="45"/>
      <c r="K687" s="45"/>
    </row>
    <row r="688" spans="1:11">
      <c r="A688" s="10" t="str">
        <f t="shared" si="43"/>
        <v/>
      </c>
      <c r="B688" s="45"/>
      <c r="C688" s="11" t="str">
        <f t="shared" si="40"/>
        <v/>
      </c>
      <c r="D688" s="11" t="str">
        <f t="shared" si="41"/>
        <v/>
      </c>
      <c r="E688" s="45"/>
      <c r="F688" s="11" t="str">
        <f>IFERROR(VLOOKUP(E688,Category!$D$2:$E$600,2,FALSE),"")</f>
        <v/>
      </c>
      <c r="G688" s="45"/>
      <c r="H688" s="73"/>
      <c r="I688" s="18" t="str">
        <f t="shared" si="42"/>
        <v/>
      </c>
      <c r="J688" s="45"/>
      <c r="K688" s="45"/>
    </row>
    <row r="689" spans="1:11">
      <c r="A689" s="10" t="str">
        <f t="shared" si="43"/>
        <v/>
      </c>
      <c r="B689" s="45"/>
      <c r="C689" s="11" t="str">
        <f t="shared" si="40"/>
        <v/>
      </c>
      <c r="D689" s="11" t="str">
        <f t="shared" si="41"/>
        <v/>
      </c>
      <c r="E689" s="45"/>
      <c r="F689" s="11" t="str">
        <f>IFERROR(VLOOKUP(E689,Category!$D$2:$E$600,2,FALSE),"")</f>
        <v/>
      </c>
      <c r="G689" s="45"/>
      <c r="H689" s="73"/>
      <c r="I689" s="18" t="str">
        <f t="shared" si="42"/>
        <v/>
      </c>
      <c r="J689" s="45"/>
      <c r="K689" s="45"/>
    </row>
    <row r="690" spans="1:11">
      <c r="A690" s="10" t="str">
        <f t="shared" si="43"/>
        <v/>
      </c>
      <c r="B690" s="45"/>
      <c r="C690" s="11" t="str">
        <f t="shared" si="40"/>
        <v/>
      </c>
      <c r="D690" s="11" t="str">
        <f t="shared" si="41"/>
        <v/>
      </c>
      <c r="E690" s="45"/>
      <c r="F690" s="11" t="str">
        <f>IFERROR(VLOOKUP(E690,Category!$D$2:$E$600,2,FALSE),"")</f>
        <v/>
      </c>
      <c r="G690" s="45"/>
      <c r="H690" s="73"/>
      <c r="I690" s="18" t="str">
        <f t="shared" si="42"/>
        <v/>
      </c>
      <c r="J690" s="45"/>
      <c r="K690" s="45"/>
    </row>
    <row r="691" spans="1:11">
      <c r="A691" s="10" t="str">
        <f t="shared" si="43"/>
        <v/>
      </c>
      <c r="B691" s="45"/>
      <c r="C691" s="11" t="str">
        <f t="shared" si="40"/>
        <v/>
      </c>
      <c r="D691" s="11" t="str">
        <f t="shared" si="41"/>
        <v/>
      </c>
      <c r="E691" s="45"/>
      <c r="F691" s="11" t="str">
        <f>IFERROR(VLOOKUP(E691,Category!$D$2:$E$600,2,FALSE),"")</f>
        <v/>
      </c>
      <c r="G691" s="45"/>
      <c r="H691" s="73"/>
      <c r="I691" s="18" t="str">
        <f t="shared" si="42"/>
        <v/>
      </c>
      <c r="J691" s="45"/>
      <c r="K691" s="45"/>
    </row>
    <row r="692" spans="1:11">
      <c r="A692" s="10" t="str">
        <f t="shared" si="43"/>
        <v/>
      </c>
      <c r="B692" s="45"/>
      <c r="C692" s="11" t="str">
        <f t="shared" si="40"/>
        <v/>
      </c>
      <c r="D692" s="11" t="str">
        <f t="shared" si="41"/>
        <v/>
      </c>
      <c r="E692" s="45"/>
      <c r="F692" s="11" t="str">
        <f>IFERROR(VLOOKUP(E692,Category!$D$2:$E$600,2,FALSE),"")</f>
        <v/>
      </c>
      <c r="G692" s="45"/>
      <c r="H692" s="73"/>
      <c r="I692" s="18" t="str">
        <f t="shared" si="42"/>
        <v/>
      </c>
      <c r="J692" s="45"/>
      <c r="K692" s="45"/>
    </row>
    <row r="693" spans="1:11">
      <c r="A693" s="10" t="str">
        <f t="shared" si="43"/>
        <v/>
      </c>
      <c r="B693" s="45"/>
      <c r="C693" s="11" t="str">
        <f t="shared" si="40"/>
        <v/>
      </c>
      <c r="D693" s="11" t="str">
        <f t="shared" si="41"/>
        <v/>
      </c>
      <c r="E693" s="45"/>
      <c r="F693" s="11" t="str">
        <f>IFERROR(VLOOKUP(E693,Category!$D$2:$E$600,2,FALSE),"")</f>
        <v/>
      </c>
      <c r="G693" s="45"/>
      <c r="H693" s="73"/>
      <c r="I693" s="18" t="str">
        <f t="shared" si="42"/>
        <v/>
      </c>
      <c r="J693" s="45"/>
      <c r="K693" s="45"/>
    </row>
    <row r="694" spans="1:11">
      <c r="A694" s="10" t="str">
        <f t="shared" si="43"/>
        <v/>
      </c>
      <c r="B694" s="45"/>
      <c r="C694" s="11" t="str">
        <f t="shared" si="40"/>
        <v/>
      </c>
      <c r="D694" s="11" t="str">
        <f t="shared" si="41"/>
        <v/>
      </c>
      <c r="E694" s="45"/>
      <c r="F694" s="11" t="str">
        <f>IFERROR(VLOOKUP(E694,Category!$D$2:$E$600,2,FALSE),"")</f>
        <v/>
      </c>
      <c r="G694" s="45"/>
      <c r="H694" s="73"/>
      <c r="I694" s="18" t="str">
        <f t="shared" si="42"/>
        <v/>
      </c>
      <c r="J694" s="45"/>
      <c r="K694" s="45"/>
    </row>
    <row r="695" spans="1:11">
      <c r="A695" s="10" t="str">
        <f t="shared" si="43"/>
        <v/>
      </c>
      <c r="B695" s="45"/>
      <c r="C695" s="11" t="str">
        <f t="shared" si="40"/>
        <v/>
      </c>
      <c r="D695" s="11" t="str">
        <f t="shared" si="41"/>
        <v/>
      </c>
      <c r="E695" s="45"/>
      <c r="F695" s="11" t="str">
        <f>IFERROR(VLOOKUP(E695,Category!$D$2:$E$600,2,FALSE),"")</f>
        <v/>
      </c>
      <c r="G695" s="45"/>
      <c r="H695" s="73"/>
      <c r="I695" s="18" t="str">
        <f t="shared" si="42"/>
        <v/>
      </c>
      <c r="J695" s="45"/>
      <c r="K695" s="45"/>
    </row>
    <row r="696" spans="1:11">
      <c r="A696" s="10" t="str">
        <f t="shared" si="43"/>
        <v/>
      </c>
      <c r="B696" s="45"/>
      <c r="C696" s="11" t="str">
        <f t="shared" si="40"/>
        <v/>
      </c>
      <c r="D696" s="11" t="str">
        <f t="shared" si="41"/>
        <v/>
      </c>
      <c r="E696" s="45"/>
      <c r="F696" s="11" t="str">
        <f>IFERROR(VLOOKUP(E696,Category!$D$2:$E$600,2,FALSE),"")</f>
        <v/>
      </c>
      <c r="G696" s="45"/>
      <c r="H696" s="73"/>
      <c r="I696" s="18" t="str">
        <f t="shared" si="42"/>
        <v/>
      </c>
      <c r="J696" s="45"/>
      <c r="K696" s="45"/>
    </row>
    <row r="697" spans="1:11">
      <c r="A697" s="10" t="str">
        <f t="shared" si="43"/>
        <v/>
      </c>
      <c r="B697" s="45"/>
      <c r="C697" s="11" t="str">
        <f t="shared" si="40"/>
        <v/>
      </c>
      <c r="D697" s="11" t="str">
        <f t="shared" si="41"/>
        <v/>
      </c>
      <c r="E697" s="45"/>
      <c r="F697" s="11" t="str">
        <f>IFERROR(VLOOKUP(E697,Category!$D$2:$E$600,2,FALSE),"")</f>
        <v/>
      </c>
      <c r="G697" s="45"/>
      <c r="H697" s="73"/>
      <c r="I697" s="18" t="str">
        <f t="shared" si="42"/>
        <v/>
      </c>
      <c r="J697" s="45"/>
      <c r="K697" s="45"/>
    </row>
    <row r="698" spans="1:11">
      <c r="A698" s="10" t="str">
        <f t="shared" si="43"/>
        <v/>
      </c>
      <c r="B698" s="45"/>
      <c r="C698" s="11" t="str">
        <f t="shared" si="40"/>
        <v/>
      </c>
      <c r="D698" s="11" t="str">
        <f t="shared" si="41"/>
        <v/>
      </c>
      <c r="E698" s="45"/>
      <c r="F698" s="11" t="str">
        <f>IFERROR(VLOOKUP(E698,Category!$D$2:$E$600,2,FALSE),"")</f>
        <v/>
      </c>
      <c r="G698" s="45"/>
      <c r="H698" s="73"/>
      <c r="I698" s="18" t="str">
        <f t="shared" si="42"/>
        <v/>
      </c>
      <c r="J698" s="45"/>
      <c r="K698" s="45"/>
    </row>
    <row r="699" spans="1:11">
      <c r="A699" s="10" t="str">
        <f t="shared" si="43"/>
        <v/>
      </c>
      <c r="B699" s="45"/>
      <c r="C699" s="11" t="str">
        <f t="shared" si="40"/>
        <v/>
      </c>
      <c r="D699" s="11" t="str">
        <f t="shared" si="41"/>
        <v/>
      </c>
      <c r="E699" s="45"/>
      <c r="F699" s="11" t="str">
        <f>IFERROR(VLOOKUP(E699,Category!$D$2:$E$600,2,FALSE),"")</f>
        <v/>
      </c>
      <c r="G699" s="45"/>
      <c r="H699" s="73"/>
      <c r="I699" s="18" t="str">
        <f t="shared" si="42"/>
        <v/>
      </c>
      <c r="J699" s="45"/>
      <c r="K699" s="45"/>
    </row>
    <row r="700" spans="1:11">
      <c r="A700" s="10" t="str">
        <f t="shared" si="43"/>
        <v/>
      </c>
      <c r="B700" s="45"/>
      <c r="C700" s="11" t="str">
        <f t="shared" si="40"/>
        <v/>
      </c>
      <c r="D700" s="11" t="str">
        <f t="shared" si="41"/>
        <v/>
      </c>
      <c r="E700" s="45"/>
      <c r="F700" s="11" t="str">
        <f>IFERROR(VLOOKUP(E700,Category!$D$2:$E$600,2,FALSE),"")</f>
        <v/>
      </c>
      <c r="G700" s="45"/>
      <c r="H700" s="73"/>
      <c r="I700" s="18" t="str">
        <f t="shared" si="42"/>
        <v/>
      </c>
      <c r="J700" s="45"/>
      <c r="K700" s="45"/>
    </row>
    <row r="701" spans="1:11">
      <c r="A701" s="10" t="str">
        <f t="shared" si="43"/>
        <v/>
      </c>
      <c r="B701" s="45"/>
      <c r="C701" s="11" t="str">
        <f t="shared" si="40"/>
        <v/>
      </c>
      <c r="D701" s="11" t="str">
        <f t="shared" si="41"/>
        <v/>
      </c>
      <c r="E701" s="45"/>
      <c r="F701" s="11" t="str">
        <f>IFERROR(VLOOKUP(E701,Category!$D$2:$E$600,2,FALSE),"")</f>
        <v/>
      </c>
      <c r="G701" s="45"/>
      <c r="H701" s="73"/>
      <c r="I701" s="18" t="str">
        <f t="shared" si="42"/>
        <v/>
      </c>
      <c r="J701" s="45"/>
      <c r="K701" s="45"/>
    </row>
    <row r="702" spans="1:11">
      <c r="A702" s="10" t="str">
        <f t="shared" si="43"/>
        <v/>
      </c>
      <c r="B702" s="45"/>
      <c r="C702" s="11" t="str">
        <f t="shared" si="40"/>
        <v/>
      </c>
      <c r="D702" s="11" t="str">
        <f t="shared" si="41"/>
        <v/>
      </c>
      <c r="E702" s="45"/>
      <c r="F702" s="11" t="str">
        <f>IFERROR(VLOOKUP(E702,Category!$D$2:$E$600,2,FALSE),"")</f>
        <v/>
      </c>
      <c r="G702" s="45"/>
      <c r="H702" s="73"/>
      <c r="I702" s="18" t="str">
        <f t="shared" si="42"/>
        <v/>
      </c>
      <c r="J702" s="45"/>
      <c r="K702" s="45"/>
    </row>
    <row r="703" spans="1:11">
      <c r="A703" s="10" t="str">
        <f t="shared" si="43"/>
        <v/>
      </c>
      <c r="B703" s="45"/>
      <c r="C703" s="11" t="str">
        <f t="shared" si="40"/>
        <v/>
      </c>
      <c r="D703" s="11" t="str">
        <f t="shared" si="41"/>
        <v/>
      </c>
      <c r="E703" s="45"/>
      <c r="F703" s="11" t="str">
        <f>IFERROR(VLOOKUP(E703,Category!$D$2:$E$600,2,FALSE),"")</f>
        <v/>
      </c>
      <c r="G703" s="45"/>
      <c r="H703" s="73"/>
      <c r="I703" s="18" t="str">
        <f t="shared" si="42"/>
        <v/>
      </c>
      <c r="J703" s="45"/>
      <c r="K703" s="45"/>
    </row>
    <row r="704" spans="1:11">
      <c r="A704" s="10" t="str">
        <f t="shared" si="43"/>
        <v/>
      </c>
      <c r="B704" s="45"/>
      <c r="C704" s="11" t="str">
        <f t="shared" si="40"/>
        <v/>
      </c>
      <c r="D704" s="11" t="str">
        <f t="shared" si="41"/>
        <v/>
      </c>
      <c r="E704" s="45"/>
      <c r="F704" s="11" t="str">
        <f>IFERROR(VLOOKUP(E704,Category!$D$2:$E$600,2,FALSE),"")</f>
        <v/>
      </c>
      <c r="G704" s="45"/>
      <c r="H704" s="73"/>
      <c r="I704" s="18" t="str">
        <f t="shared" si="42"/>
        <v/>
      </c>
      <c r="J704" s="45"/>
      <c r="K704" s="45"/>
    </row>
    <row r="705" spans="1:11">
      <c r="A705" s="10" t="str">
        <f t="shared" si="43"/>
        <v/>
      </c>
      <c r="B705" s="45"/>
      <c r="C705" s="11" t="str">
        <f t="shared" si="40"/>
        <v/>
      </c>
      <c r="D705" s="11" t="str">
        <f t="shared" si="41"/>
        <v/>
      </c>
      <c r="E705" s="45"/>
      <c r="F705" s="11" t="str">
        <f>IFERROR(VLOOKUP(E705,Category!$D$2:$E$600,2,FALSE),"")</f>
        <v/>
      </c>
      <c r="G705" s="45"/>
      <c r="H705" s="73"/>
      <c r="I705" s="18" t="str">
        <f t="shared" si="42"/>
        <v/>
      </c>
      <c r="J705" s="45"/>
      <c r="K705" s="45"/>
    </row>
    <row r="706" spans="1:11">
      <c r="A706" s="10" t="str">
        <f t="shared" si="43"/>
        <v/>
      </c>
      <c r="B706" s="45"/>
      <c r="C706" s="11" t="str">
        <f t="shared" si="40"/>
        <v/>
      </c>
      <c r="D706" s="11" t="str">
        <f t="shared" si="41"/>
        <v/>
      </c>
      <c r="E706" s="45"/>
      <c r="F706" s="11" t="str">
        <f>IFERROR(VLOOKUP(E706,Category!$D$2:$E$600,2,FALSE),"")</f>
        <v/>
      </c>
      <c r="G706" s="45"/>
      <c r="H706" s="73"/>
      <c r="I706" s="18" t="str">
        <f t="shared" si="42"/>
        <v/>
      </c>
      <c r="J706" s="45"/>
      <c r="K706" s="45"/>
    </row>
    <row r="707" spans="1:11">
      <c r="A707" s="10" t="str">
        <f t="shared" si="43"/>
        <v/>
      </c>
      <c r="B707" s="45"/>
      <c r="C707" s="11" t="str">
        <f t="shared" ref="C707:C770" si="44">IF(B707=0,"",TEXT(B707,"mmmm"))</f>
        <v/>
      </c>
      <c r="D707" s="11" t="str">
        <f t="shared" ref="D707:D770" si="45">IF(B707=0,"",TEXT(B707,"yyyy"))</f>
        <v/>
      </c>
      <c r="E707" s="45"/>
      <c r="F707" s="11" t="str">
        <f>IFERROR(VLOOKUP(E707,Category!$D$2:$E$600,2,FALSE),"")</f>
        <v/>
      </c>
      <c r="G707" s="45"/>
      <c r="H707" s="73"/>
      <c r="I707" s="18" t="str">
        <f t="shared" ref="I707:I770" si="46">IF(G707*H707=0,"",G707*H707)</f>
        <v/>
      </c>
      <c r="J707" s="45"/>
      <c r="K707" s="45"/>
    </row>
    <row r="708" spans="1:11">
      <c r="A708" s="10" t="str">
        <f t="shared" ref="A708:A771" si="47">IF(E708&gt;0,A707+1,"")</f>
        <v/>
      </c>
      <c r="B708" s="45"/>
      <c r="C708" s="11" t="str">
        <f t="shared" si="44"/>
        <v/>
      </c>
      <c r="D708" s="11" t="str">
        <f t="shared" si="45"/>
        <v/>
      </c>
      <c r="E708" s="45"/>
      <c r="F708" s="11" t="str">
        <f>IFERROR(VLOOKUP(E708,Category!$D$2:$E$600,2,FALSE),"")</f>
        <v/>
      </c>
      <c r="G708" s="45"/>
      <c r="H708" s="73"/>
      <c r="I708" s="18" t="str">
        <f t="shared" si="46"/>
        <v/>
      </c>
      <c r="J708" s="45"/>
      <c r="K708" s="45"/>
    </row>
    <row r="709" spans="1:11">
      <c r="A709" s="10" t="str">
        <f t="shared" si="47"/>
        <v/>
      </c>
      <c r="B709" s="45"/>
      <c r="C709" s="11" t="str">
        <f t="shared" si="44"/>
        <v/>
      </c>
      <c r="D709" s="11" t="str">
        <f t="shared" si="45"/>
        <v/>
      </c>
      <c r="E709" s="45"/>
      <c r="F709" s="11" t="str">
        <f>IFERROR(VLOOKUP(E709,Category!$D$2:$E$600,2,FALSE),"")</f>
        <v/>
      </c>
      <c r="G709" s="45"/>
      <c r="H709" s="73"/>
      <c r="I709" s="18" t="str">
        <f t="shared" si="46"/>
        <v/>
      </c>
      <c r="J709" s="45"/>
      <c r="K709" s="45"/>
    </row>
    <row r="710" spans="1:11">
      <c r="A710" s="10" t="str">
        <f t="shared" si="47"/>
        <v/>
      </c>
      <c r="B710" s="45"/>
      <c r="C710" s="11" t="str">
        <f t="shared" si="44"/>
        <v/>
      </c>
      <c r="D710" s="11" t="str">
        <f t="shared" si="45"/>
        <v/>
      </c>
      <c r="E710" s="45"/>
      <c r="F710" s="11" t="str">
        <f>IFERROR(VLOOKUP(E710,Category!$D$2:$E$600,2,FALSE),"")</f>
        <v/>
      </c>
      <c r="G710" s="45"/>
      <c r="H710" s="73"/>
      <c r="I710" s="18" t="str">
        <f t="shared" si="46"/>
        <v/>
      </c>
      <c r="J710" s="45"/>
      <c r="K710" s="45"/>
    </row>
    <row r="711" spans="1:11">
      <c r="A711" s="10" t="str">
        <f t="shared" si="47"/>
        <v/>
      </c>
      <c r="B711" s="45"/>
      <c r="C711" s="11" t="str">
        <f t="shared" si="44"/>
        <v/>
      </c>
      <c r="D711" s="11" t="str">
        <f t="shared" si="45"/>
        <v/>
      </c>
      <c r="E711" s="45"/>
      <c r="F711" s="11" t="str">
        <f>IFERROR(VLOOKUP(E711,Category!$D$2:$E$600,2,FALSE),"")</f>
        <v/>
      </c>
      <c r="G711" s="45"/>
      <c r="H711" s="73"/>
      <c r="I711" s="18" t="str">
        <f t="shared" si="46"/>
        <v/>
      </c>
      <c r="J711" s="45"/>
      <c r="K711" s="45"/>
    </row>
    <row r="712" spans="1:11">
      <c r="A712" s="10" t="str">
        <f t="shared" si="47"/>
        <v/>
      </c>
      <c r="B712" s="45"/>
      <c r="C712" s="11" t="str">
        <f t="shared" si="44"/>
        <v/>
      </c>
      <c r="D712" s="11" t="str">
        <f t="shared" si="45"/>
        <v/>
      </c>
      <c r="E712" s="45"/>
      <c r="F712" s="11" t="str">
        <f>IFERROR(VLOOKUP(E712,Category!$D$2:$E$600,2,FALSE),"")</f>
        <v/>
      </c>
      <c r="G712" s="45"/>
      <c r="H712" s="73"/>
      <c r="I712" s="18" t="str">
        <f t="shared" si="46"/>
        <v/>
      </c>
      <c r="J712" s="45"/>
      <c r="K712" s="45"/>
    </row>
    <row r="713" spans="1:11">
      <c r="A713" s="10" t="str">
        <f t="shared" si="47"/>
        <v/>
      </c>
      <c r="B713" s="45"/>
      <c r="C713" s="11" t="str">
        <f t="shared" si="44"/>
        <v/>
      </c>
      <c r="D713" s="11" t="str">
        <f t="shared" si="45"/>
        <v/>
      </c>
      <c r="E713" s="45"/>
      <c r="F713" s="11" t="str">
        <f>IFERROR(VLOOKUP(E713,Category!$D$2:$E$600,2,FALSE),"")</f>
        <v/>
      </c>
      <c r="G713" s="45"/>
      <c r="H713" s="73"/>
      <c r="I713" s="18" t="str">
        <f t="shared" si="46"/>
        <v/>
      </c>
      <c r="J713" s="45"/>
      <c r="K713" s="45"/>
    </row>
    <row r="714" spans="1:11">
      <c r="A714" s="10" t="str">
        <f t="shared" si="47"/>
        <v/>
      </c>
      <c r="B714" s="45"/>
      <c r="C714" s="11" t="str">
        <f t="shared" si="44"/>
        <v/>
      </c>
      <c r="D714" s="11" t="str">
        <f t="shared" si="45"/>
        <v/>
      </c>
      <c r="E714" s="45"/>
      <c r="F714" s="11" t="str">
        <f>IFERROR(VLOOKUP(E714,Category!$D$2:$E$600,2,FALSE),"")</f>
        <v/>
      </c>
      <c r="G714" s="45"/>
      <c r="H714" s="73"/>
      <c r="I714" s="18" t="str">
        <f t="shared" si="46"/>
        <v/>
      </c>
      <c r="J714" s="45"/>
      <c r="K714" s="45"/>
    </row>
    <row r="715" spans="1:11">
      <c r="A715" s="10" t="str">
        <f t="shared" si="47"/>
        <v/>
      </c>
      <c r="B715" s="45"/>
      <c r="C715" s="11" t="str">
        <f t="shared" si="44"/>
        <v/>
      </c>
      <c r="D715" s="11" t="str">
        <f t="shared" si="45"/>
        <v/>
      </c>
      <c r="E715" s="45"/>
      <c r="F715" s="11" t="str">
        <f>IFERROR(VLOOKUP(E715,Category!$D$2:$E$600,2,FALSE),"")</f>
        <v/>
      </c>
      <c r="G715" s="45"/>
      <c r="H715" s="73"/>
      <c r="I715" s="18" t="str">
        <f t="shared" si="46"/>
        <v/>
      </c>
      <c r="J715" s="45"/>
      <c r="K715" s="45"/>
    </row>
    <row r="716" spans="1:11">
      <c r="A716" s="10" t="str">
        <f t="shared" si="47"/>
        <v/>
      </c>
      <c r="B716" s="45"/>
      <c r="C716" s="11" t="str">
        <f t="shared" si="44"/>
        <v/>
      </c>
      <c r="D716" s="11" t="str">
        <f t="shared" si="45"/>
        <v/>
      </c>
      <c r="E716" s="45"/>
      <c r="F716" s="11" t="str">
        <f>IFERROR(VLOOKUP(E716,Category!$D$2:$E$600,2,FALSE),"")</f>
        <v/>
      </c>
      <c r="G716" s="45"/>
      <c r="H716" s="73"/>
      <c r="I716" s="18" t="str">
        <f t="shared" si="46"/>
        <v/>
      </c>
      <c r="J716" s="45"/>
      <c r="K716" s="45"/>
    </row>
    <row r="717" spans="1:11">
      <c r="A717" s="10" t="str">
        <f t="shared" si="47"/>
        <v/>
      </c>
      <c r="B717" s="45"/>
      <c r="C717" s="11" t="str">
        <f t="shared" si="44"/>
        <v/>
      </c>
      <c r="D717" s="11" t="str">
        <f t="shared" si="45"/>
        <v/>
      </c>
      <c r="E717" s="45"/>
      <c r="F717" s="11" t="str">
        <f>IFERROR(VLOOKUP(E717,Category!$D$2:$E$600,2,FALSE),"")</f>
        <v/>
      </c>
      <c r="G717" s="45"/>
      <c r="H717" s="73"/>
      <c r="I717" s="18" t="str">
        <f t="shared" si="46"/>
        <v/>
      </c>
      <c r="J717" s="45"/>
      <c r="K717" s="45"/>
    </row>
    <row r="718" spans="1:11">
      <c r="A718" s="10" t="str">
        <f t="shared" si="47"/>
        <v/>
      </c>
      <c r="B718" s="45"/>
      <c r="C718" s="11" t="str">
        <f t="shared" si="44"/>
        <v/>
      </c>
      <c r="D718" s="11" t="str">
        <f t="shared" si="45"/>
        <v/>
      </c>
      <c r="E718" s="45"/>
      <c r="F718" s="11" t="str">
        <f>IFERROR(VLOOKUP(E718,Category!$D$2:$E$600,2,FALSE),"")</f>
        <v/>
      </c>
      <c r="G718" s="45"/>
      <c r="H718" s="73"/>
      <c r="I718" s="18" t="str">
        <f t="shared" si="46"/>
        <v/>
      </c>
      <c r="J718" s="45"/>
      <c r="K718" s="45"/>
    </row>
    <row r="719" spans="1:11">
      <c r="A719" s="10" t="str">
        <f t="shared" si="47"/>
        <v/>
      </c>
      <c r="B719" s="45"/>
      <c r="C719" s="11" t="str">
        <f t="shared" si="44"/>
        <v/>
      </c>
      <c r="D719" s="11" t="str">
        <f t="shared" si="45"/>
        <v/>
      </c>
      <c r="E719" s="45"/>
      <c r="F719" s="11" t="str">
        <f>IFERROR(VLOOKUP(E719,Category!$D$2:$E$600,2,FALSE),"")</f>
        <v/>
      </c>
      <c r="G719" s="45"/>
      <c r="H719" s="73"/>
      <c r="I719" s="18" t="str">
        <f t="shared" si="46"/>
        <v/>
      </c>
      <c r="J719" s="45"/>
      <c r="K719" s="45"/>
    </row>
    <row r="720" spans="1:11">
      <c r="A720" s="10" t="str">
        <f t="shared" si="47"/>
        <v/>
      </c>
      <c r="B720" s="45"/>
      <c r="C720" s="11" t="str">
        <f t="shared" si="44"/>
        <v/>
      </c>
      <c r="D720" s="11" t="str">
        <f t="shared" si="45"/>
        <v/>
      </c>
      <c r="E720" s="45"/>
      <c r="F720" s="11" t="str">
        <f>IFERROR(VLOOKUP(E720,Category!$D$2:$E$600,2,FALSE),"")</f>
        <v/>
      </c>
      <c r="G720" s="45"/>
      <c r="H720" s="73"/>
      <c r="I720" s="18" t="str">
        <f t="shared" si="46"/>
        <v/>
      </c>
      <c r="J720" s="45"/>
      <c r="K720" s="45"/>
    </row>
    <row r="721" spans="1:11">
      <c r="A721" s="10" t="str">
        <f t="shared" si="47"/>
        <v/>
      </c>
      <c r="B721" s="45"/>
      <c r="C721" s="11" t="str">
        <f t="shared" si="44"/>
        <v/>
      </c>
      <c r="D721" s="11" t="str">
        <f t="shared" si="45"/>
        <v/>
      </c>
      <c r="E721" s="45"/>
      <c r="F721" s="11" t="str">
        <f>IFERROR(VLOOKUP(E721,Category!$D$2:$E$600,2,FALSE),"")</f>
        <v/>
      </c>
      <c r="G721" s="45"/>
      <c r="H721" s="73"/>
      <c r="I721" s="18" t="str">
        <f t="shared" si="46"/>
        <v/>
      </c>
      <c r="J721" s="45"/>
      <c r="K721" s="45"/>
    </row>
    <row r="722" spans="1:11">
      <c r="A722" s="10" t="str">
        <f t="shared" si="47"/>
        <v/>
      </c>
      <c r="B722" s="45"/>
      <c r="C722" s="11" t="str">
        <f t="shared" si="44"/>
        <v/>
      </c>
      <c r="D722" s="11" t="str">
        <f t="shared" si="45"/>
        <v/>
      </c>
      <c r="E722" s="45"/>
      <c r="F722" s="11" t="str">
        <f>IFERROR(VLOOKUP(E722,Category!$D$2:$E$600,2,FALSE),"")</f>
        <v/>
      </c>
      <c r="G722" s="45"/>
      <c r="H722" s="73"/>
      <c r="I722" s="18" t="str">
        <f t="shared" si="46"/>
        <v/>
      </c>
      <c r="J722" s="45"/>
      <c r="K722" s="45"/>
    </row>
    <row r="723" spans="1:11">
      <c r="A723" s="10" t="str">
        <f t="shared" si="47"/>
        <v/>
      </c>
      <c r="B723" s="45"/>
      <c r="C723" s="11" t="str">
        <f t="shared" si="44"/>
        <v/>
      </c>
      <c r="D723" s="11" t="str">
        <f t="shared" si="45"/>
        <v/>
      </c>
      <c r="E723" s="45"/>
      <c r="F723" s="11" t="str">
        <f>IFERROR(VLOOKUP(E723,Category!$D$2:$E$600,2,FALSE),"")</f>
        <v/>
      </c>
      <c r="G723" s="45"/>
      <c r="H723" s="73"/>
      <c r="I723" s="18" t="str">
        <f t="shared" si="46"/>
        <v/>
      </c>
      <c r="J723" s="45"/>
      <c r="K723" s="45"/>
    </row>
    <row r="724" spans="1:11">
      <c r="A724" s="10" t="str">
        <f t="shared" si="47"/>
        <v/>
      </c>
      <c r="B724" s="45"/>
      <c r="C724" s="11" t="str">
        <f t="shared" si="44"/>
        <v/>
      </c>
      <c r="D724" s="11" t="str">
        <f t="shared" si="45"/>
        <v/>
      </c>
      <c r="E724" s="45"/>
      <c r="F724" s="11" t="str">
        <f>IFERROR(VLOOKUP(E724,Category!$D$2:$E$600,2,FALSE),"")</f>
        <v/>
      </c>
      <c r="G724" s="45"/>
      <c r="H724" s="73"/>
      <c r="I724" s="18" t="str">
        <f t="shared" si="46"/>
        <v/>
      </c>
      <c r="J724" s="45"/>
      <c r="K724" s="45"/>
    </row>
    <row r="725" spans="1:11">
      <c r="A725" s="10" t="str">
        <f t="shared" si="47"/>
        <v/>
      </c>
      <c r="B725" s="45"/>
      <c r="C725" s="11" t="str">
        <f t="shared" si="44"/>
        <v/>
      </c>
      <c r="D725" s="11" t="str">
        <f t="shared" si="45"/>
        <v/>
      </c>
      <c r="E725" s="45"/>
      <c r="F725" s="11" t="str">
        <f>IFERROR(VLOOKUP(E725,Category!$D$2:$E$600,2,FALSE),"")</f>
        <v/>
      </c>
      <c r="G725" s="45"/>
      <c r="H725" s="73"/>
      <c r="I725" s="18" t="str">
        <f t="shared" si="46"/>
        <v/>
      </c>
      <c r="J725" s="45"/>
      <c r="K725" s="45"/>
    </row>
    <row r="726" spans="1:11">
      <c r="A726" s="10" t="str">
        <f t="shared" si="47"/>
        <v/>
      </c>
      <c r="B726" s="45"/>
      <c r="C726" s="11" t="str">
        <f t="shared" si="44"/>
        <v/>
      </c>
      <c r="D726" s="11" t="str">
        <f t="shared" si="45"/>
        <v/>
      </c>
      <c r="E726" s="45"/>
      <c r="F726" s="11" t="str">
        <f>IFERROR(VLOOKUP(E726,Category!$D$2:$E$600,2,FALSE),"")</f>
        <v/>
      </c>
      <c r="G726" s="45"/>
      <c r="H726" s="73"/>
      <c r="I726" s="18" t="str">
        <f t="shared" si="46"/>
        <v/>
      </c>
      <c r="J726" s="45"/>
      <c r="K726" s="45"/>
    </row>
    <row r="727" spans="1:11">
      <c r="A727" s="10" t="str">
        <f t="shared" si="47"/>
        <v/>
      </c>
      <c r="B727" s="45"/>
      <c r="C727" s="11" t="str">
        <f t="shared" si="44"/>
        <v/>
      </c>
      <c r="D727" s="11" t="str">
        <f t="shared" si="45"/>
        <v/>
      </c>
      <c r="E727" s="45"/>
      <c r="F727" s="11" t="str">
        <f>IFERROR(VLOOKUP(E727,Category!$D$2:$E$600,2,FALSE),"")</f>
        <v/>
      </c>
      <c r="G727" s="45"/>
      <c r="H727" s="73"/>
      <c r="I727" s="18" t="str">
        <f t="shared" si="46"/>
        <v/>
      </c>
      <c r="J727" s="45"/>
      <c r="K727" s="45"/>
    </row>
    <row r="728" spans="1:11">
      <c r="A728" s="10" t="str">
        <f t="shared" si="47"/>
        <v/>
      </c>
      <c r="B728" s="45"/>
      <c r="C728" s="11" t="str">
        <f t="shared" si="44"/>
        <v/>
      </c>
      <c r="D728" s="11" t="str">
        <f t="shared" si="45"/>
        <v/>
      </c>
      <c r="E728" s="45"/>
      <c r="F728" s="11" t="str">
        <f>IFERROR(VLOOKUP(E728,Category!$D$2:$E$600,2,FALSE),"")</f>
        <v/>
      </c>
      <c r="G728" s="45"/>
      <c r="H728" s="73"/>
      <c r="I728" s="18" t="str">
        <f t="shared" si="46"/>
        <v/>
      </c>
      <c r="J728" s="45"/>
      <c r="K728" s="45"/>
    </row>
    <row r="729" spans="1:11">
      <c r="A729" s="10" t="str">
        <f t="shared" si="47"/>
        <v/>
      </c>
      <c r="B729" s="45"/>
      <c r="C729" s="11" t="str">
        <f t="shared" si="44"/>
        <v/>
      </c>
      <c r="D729" s="11" t="str">
        <f t="shared" si="45"/>
        <v/>
      </c>
      <c r="E729" s="45"/>
      <c r="F729" s="11" t="str">
        <f>IFERROR(VLOOKUP(E729,Category!$D$2:$E$600,2,FALSE),"")</f>
        <v/>
      </c>
      <c r="G729" s="45"/>
      <c r="H729" s="73"/>
      <c r="I729" s="18" t="str">
        <f t="shared" si="46"/>
        <v/>
      </c>
      <c r="J729" s="45"/>
      <c r="K729" s="45"/>
    </row>
    <row r="730" spans="1:11">
      <c r="A730" s="10" t="str">
        <f t="shared" si="47"/>
        <v/>
      </c>
      <c r="B730" s="45"/>
      <c r="C730" s="11" t="str">
        <f t="shared" si="44"/>
        <v/>
      </c>
      <c r="D730" s="11" t="str">
        <f t="shared" si="45"/>
        <v/>
      </c>
      <c r="E730" s="45"/>
      <c r="F730" s="11" t="str">
        <f>IFERROR(VLOOKUP(E730,Category!$D$2:$E$600,2,FALSE),"")</f>
        <v/>
      </c>
      <c r="G730" s="45"/>
      <c r="H730" s="73"/>
      <c r="I730" s="18" t="str">
        <f t="shared" si="46"/>
        <v/>
      </c>
      <c r="J730" s="45"/>
      <c r="K730" s="45"/>
    </row>
    <row r="731" spans="1:11">
      <c r="A731" s="10" t="str">
        <f t="shared" si="47"/>
        <v/>
      </c>
      <c r="B731" s="45"/>
      <c r="C731" s="11" t="str">
        <f t="shared" si="44"/>
        <v/>
      </c>
      <c r="D731" s="11" t="str">
        <f t="shared" si="45"/>
        <v/>
      </c>
      <c r="E731" s="45"/>
      <c r="F731" s="11" t="str">
        <f>IFERROR(VLOOKUP(E731,Category!$D$2:$E$600,2,FALSE),"")</f>
        <v/>
      </c>
      <c r="G731" s="45"/>
      <c r="H731" s="73"/>
      <c r="I731" s="18" t="str">
        <f t="shared" si="46"/>
        <v/>
      </c>
      <c r="J731" s="45"/>
      <c r="K731" s="45"/>
    </row>
    <row r="732" spans="1:11">
      <c r="A732" s="10" t="str">
        <f t="shared" si="47"/>
        <v/>
      </c>
      <c r="B732" s="45"/>
      <c r="C732" s="11" t="str">
        <f t="shared" si="44"/>
        <v/>
      </c>
      <c r="D732" s="11" t="str">
        <f t="shared" si="45"/>
        <v/>
      </c>
      <c r="E732" s="45"/>
      <c r="F732" s="11" t="str">
        <f>IFERROR(VLOOKUP(E732,Category!$D$2:$E$600,2,FALSE),"")</f>
        <v/>
      </c>
      <c r="G732" s="45"/>
      <c r="H732" s="73"/>
      <c r="I732" s="18" t="str">
        <f t="shared" si="46"/>
        <v/>
      </c>
      <c r="J732" s="45"/>
      <c r="K732" s="45"/>
    </row>
    <row r="733" spans="1:11">
      <c r="A733" s="10" t="str">
        <f t="shared" si="47"/>
        <v/>
      </c>
      <c r="B733" s="45"/>
      <c r="C733" s="11" t="str">
        <f t="shared" si="44"/>
        <v/>
      </c>
      <c r="D733" s="11" t="str">
        <f t="shared" si="45"/>
        <v/>
      </c>
      <c r="E733" s="45"/>
      <c r="F733" s="11" t="str">
        <f>IFERROR(VLOOKUP(E733,Category!$D$2:$E$600,2,FALSE),"")</f>
        <v/>
      </c>
      <c r="G733" s="45"/>
      <c r="H733" s="73"/>
      <c r="I733" s="18" t="str">
        <f t="shared" si="46"/>
        <v/>
      </c>
      <c r="J733" s="45"/>
      <c r="K733" s="45"/>
    </row>
    <row r="734" spans="1:11">
      <c r="A734" s="10" t="str">
        <f t="shared" si="47"/>
        <v/>
      </c>
      <c r="B734" s="45"/>
      <c r="C734" s="11" t="str">
        <f t="shared" si="44"/>
        <v/>
      </c>
      <c r="D734" s="11" t="str">
        <f t="shared" si="45"/>
        <v/>
      </c>
      <c r="E734" s="45"/>
      <c r="F734" s="11" t="str">
        <f>IFERROR(VLOOKUP(E734,Category!$D$2:$E$600,2,FALSE),"")</f>
        <v/>
      </c>
      <c r="G734" s="45"/>
      <c r="H734" s="73"/>
      <c r="I734" s="18" t="str">
        <f t="shared" si="46"/>
        <v/>
      </c>
      <c r="J734" s="45"/>
      <c r="K734" s="45"/>
    </row>
    <row r="735" spans="1:11">
      <c r="A735" s="10" t="str">
        <f t="shared" si="47"/>
        <v/>
      </c>
      <c r="B735" s="45"/>
      <c r="C735" s="11" t="str">
        <f t="shared" si="44"/>
        <v/>
      </c>
      <c r="D735" s="11" t="str">
        <f t="shared" si="45"/>
        <v/>
      </c>
      <c r="E735" s="45"/>
      <c r="F735" s="11" t="str">
        <f>IFERROR(VLOOKUP(E735,Category!$D$2:$E$600,2,FALSE),"")</f>
        <v/>
      </c>
      <c r="G735" s="45"/>
      <c r="H735" s="73"/>
      <c r="I735" s="18" t="str">
        <f t="shared" si="46"/>
        <v/>
      </c>
      <c r="J735" s="45"/>
      <c r="K735" s="45"/>
    </row>
    <row r="736" spans="1:11">
      <c r="A736" s="10" t="str">
        <f t="shared" si="47"/>
        <v/>
      </c>
      <c r="B736" s="45"/>
      <c r="C736" s="11" t="str">
        <f t="shared" si="44"/>
        <v/>
      </c>
      <c r="D736" s="11" t="str">
        <f t="shared" si="45"/>
        <v/>
      </c>
      <c r="E736" s="45"/>
      <c r="F736" s="11" t="str">
        <f>IFERROR(VLOOKUP(E736,Category!$D$2:$E$600,2,FALSE),"")</f>
        <v/>
      </c>
      <c r="G736" s="45"/>
      <c r="H736" s="73"/>
      <c r="I736" s="18" t="str">
        <f t="shared" si="46"/>
        <v/>
      </c>
      <c r="J736" s="45"/>
      <c r="K736" s="45"/>
    </row>
    <row r="737" spans="1:11">
      <c r="A737" s="10" t="str">
        <f t="shared" si="47"/>
        <v/>
      </c>
      <c r="B737" s="45"/>
      <c r="C737" s="11" t="str">
        <f t="shared" si="44"/>
        <v/>
      </c>
      <c r="D737" s="11" t="str">
        <f t="shared" si="45"/>
        <v/>
      </c>
      <c r="E737" s="45"/>
      <c r="F737" s="11" t="str">
        <f>IFERROR(VLOOKUP(E737,Category!$D$2:$E$600,2,FALSE),"")</f>
        <v/>
      </c>
      <c r="G737" s="45"/>
      <c r="H737" s="73"/>
      <c r="I737" s="18" t="str">
        <f t="shared" si="46"/>
        <v/>
      </c>
      <c r="J737" s="45"/>
      <c r="K737" s="45"/>
    </row>
    <row r="738" spans="1:11">
      <c r="A738" s="10" t="str">
        <f t="shared" si="47"/>
        <v/>
      </c>
      <c r="B738" s="45"/>
      <c r="C738" s="11" t="str">
        <f t="shared" si="44"/>
        <v/>
      </c>
      <c r="D738" s="11" t="str">
        <f t="shared" si="45"/>
        <v/>
      </c>
      <c r="E738" s="45"/>
      <c r="F738" s="11" t="str">
        <f>IFERROR(VLOOKUP(E738,Category!$D$2:$E$600,2,FALSE),"")</f>
        <v/>
      </c>
      <c r="G738" s="45"/>
      <c r="H738" s="73"/>
      <c r="I738" s="18" t="str">
        <f t="shared" si="46"/>
        <v/>
      </c>
      <c r="J738" s="45"/>
      <c r="K738" s="45"/>
    </row>
    <row r="739" spans="1:11">
      <c r="A739" s="10" t="str">
        <f t="shared" si="47"/>
        <v/>
      </c>
      <c r="B739" s="45"/>
      <c r="C739" s="11" t="str">
        <f t="shared" si="44"/>
        <v/>
      </c>
      <c r="D739" s="11" t="str">
        <f t="shared" si="45"/>
        <v/>
      </c>
      <c r="E739" s="45"/>
      <c r="F739" s="11" t="str">
        <f>IFERROR(VLOOKUP(E739,Category!$D$2:$E$600,2,FALSE),"")</f>
        <v/>
      </c>
      <c r="G739" s="45"/>
      <c r="H739" s="73"/>
      <c r="I739" s="18" t="str">
        <f t="shared" si="46"/>
        <v/>
      </c>
      <c r="J739" s="45"/>
      <c r="K739" s="45"/>
    </row>
    <row r="740" spans="1:11">
      <c r="A740" s="10" t="str">
        <f t="shared" si="47"/>
        <v/>
      </c>
      <c r="B740" s="45"/>
      <c r="C740" s="11" t="str">
        <f t="shared" si="44"/>
        <v/>
      </c>
      <c r="D740" s="11" t="str">
        <f t="shared" si="45"/>
        <v/>
      </c>
      <c r="E740" s="45"/>
      <c r="F740" s="11" t="str">
        <f>IFERROR(VLOOKUP(E740,Category!$D$2:$E$600,2,FALSE),"")</f>
        <v/>
      </c>
      <c r="G740" s="45"/>
      <c r="H740" s="73"/>
      <c r="I740" s="18" t="str">
        <f t="shared" si="46"/>
        <v/>
      </c>
      <c r="J740" s="45"/>
      <c r="K740" s="45"/>
    </row>
    <row r="741" spans="1:11">
      <c r="A741" s="10" t="str">
        <f t="shared" si="47"/>
        <v/>
      </c>
      <c r="B741" s="45"/>
      <c r="C741" s="11" t="str">
        <f t="shared" si="44"/>
        <v/>
      </c>
      <c r="D741" s="11" t="str">
        <f t="shared" si="45"/>
        <v/>
      </c>
      <c r="E741" s="45"/>
      <c r="F741" s="11" t="str">
        <f>IFERROR(VLOOKUP(E741,Category!$D$2:$E$600,2,FALSE),"")</f>
        <v/>
      </c>
      <c r="G741" s="45"/>
      <c r="H741" s="73"/>
      <c r="I741" s="18" t="str">
        <f t="shared" si="46"/>
        <v/>
      </c>
      <c r="J741" s="45"/>
      <c r="K741" s="45"/>
    </row>
    <row r="742" spans="1:11">
      <c r="A742" s="10" t="str">
        <f t="shared" si="47"/>
        <v/>
      </c>
      <c r="B742" s="45"/>
      <c r="C742" s="11" t="str">
        <f t="shared" si="44"/>
        <v/>
      </c>
      <c r="D742" s="11" t="str">
        <f t="shared" si="45"/>
        <v/>
      </c>
      <c r="E742" s="45"/>
      <c r="F742" s="11" t="str">
        <f>IFERROR(VLOOKUP(E742,Category!$D$2:$E$600,2,FALSE),"")</f>
        <v/>
      </c>
      <c r="G742" s="45"/>
      <c r="H742" s="73"/>
      <c r="I742" s="18" t="str">
        <f t="shared" si="46"/>
        <v/>
      </c>
      <c r="J742" s="45"/>
      <c r="K742" s="45"/>
    </row>
    <row r="743" spans="1:11">
      <c r="A743" s="10" t="str">
        <f t="shared" si="47"/>
        <v/>
      </c>
      <c r="B743" s="45"/>
      <c r="C743" s="11" t="str">
        <f t="shared" si="44"/>
        <v/>
      </c>
      <c r="D743" s="11" t="str">
        <f t="shared" si="45"/>
        <v/>
      </c>
      <c r="E743" s="45"/>
      <c r="F743" s="11" t="str">
        <f>IFERROR(VLOOKUP(E743,Category!$D$2:$E$600,2,FALSE),"")</f>
        <v/>
      </c>
      <c r="G743" s="45"/>
      <c r="H743" s="73"/>
      <c r="I743" s="18" t="str">
        <f t="shared" si="46"/>
        <v/>
      </c>
      <c r="J743" s="45"/>
      <c r="K743" s="45"/>
    </row>
    <row r="744" spans="1:11">
      <c r="A744" s="10" t="str">
        <f t="shared" si="47"/>
        <v/>
      </c>
      <c r="B744" s="45"/>
      <c r="C744" s="11" t="str">
        <f t="shared" si="44"/>
        <v/>
      </c>
      <c r="D744" s="11" t="str">
        <f t="shared" si="45"/>
        <v/>
      </c>
      <c r="E744" s="45"/>
      <c r="F744" s="11" t="str">
        <f>IFERROR(VLOOKUP(E744,Category!$D$2:$E$600,2,FALSE),"")</f>
        <v/>
      </c>
      <c r="G744" s="45"/>
      <c r="H744" s="73"/>
      <c r="I744" s="18" t="str">
        <f t="shared" si="46"/>
        <v/>
      </c>
      <c r="J744" s="45"/>
      <c r="K744" s="45"/>
    </row>
    <row r="745" spans="1:11">
      <c r="A745" s="10" t="str">
        <f t="shared" si="47"/>
        <v/>
      </c>
      <c r="B745" s="45"/>
      <c r="C745" s="11" t="str">
        <f t="shared" si="44"/>
        <v/>
      </c>
      <c r="D745" s="11" t="str">
        <f t="shared" si="45"/>
        <v/>
      </c>
      <c r="E745" s="45"/>
      <c r="F745" s="11" t="str">
        <f>IFERROR(VLOOKUP(E745,Category!$D$2:$E$600,2,FALSE),"")</f>
        <v/>
      </c>
      <c r="G745" s="45"/>
      <c r="H745" s="73"/>
      <c r="I745" s="18" t="str">
        <f t="shared" si="46"/>
        <v/>
      </c>
      <c r="J745" s="45"/>
      <c r="K745" s="45"/>
    </row>
    <row r="746" spans="1:11">
      <c r="A746" s="10" t="str">
        <f t="shared" si="47"/>
        <v/>
      </c>
      <c r="B746" s="45"/>
      <c r="C746" s="11" t="str">
        <f t="shared" si="44"/>
        <v/>
      </c>
      <c r="D746" s="11" t="str">
        <f t="shared" si="45"/>
        <v/>
      </c>
      <c r="E746" s="45"/>
      <c r="F746" s="11" t="str">
        <f>IFERROR(VLOOKUP(E746,Category!$D$2:$E$600,2,FALSE),"")</f>
        <v/>
      </c>
      <c r="G746" s="45"/>
      <c r="H746" s="73"/>
      <c r="I746" s="18" t="str">
        <f t="shared" si="46"/>
        <v/>
      </c>
      <c r="J746" s="45"/>
      <c r="K746" s="45"/>
    </row>
    <row r="747" spans="1:11">
      <c r="A747" s="10" t="str">
        <f t="shared" si="47"/>
        <v/>
      </c>
      <c r="B747" s="45"/>
      <c r="C747" s="11" t="str">
        <f t="shared" si="44"/>
        <v/>
      </c>
      <c r="D747" s="11" t="str">
        <f t="shared" si="45"/>
        <v/>
      </c>
      <c r="E747" s="45"/>
      <c r="F747" s="11" t="str">
        <f>IFERROR(VLOOKUP(E747,Category!$D$2:$E$600,2,FALSE),"")</f>
        <v/>
      </c>
      <c r="G747" s="45"/>
      <c r="H747" s="73"/>
      <c r="I747" s="18" t="str">
        <f t="shared" si="46"/>
        <v/>
      </c>
      <c r="J747" s="45"/>
      <c r="K747" s="45"/>
    </row>
    <row r="748" spans="1:11">
      <c r="A748" s="10" t="str">
        <f t="shared" si="47"/>
        <v/>
      </c>
      <c r="B748" s="45"/>
      <c r="C748" s="11" t="str">
        <f t="shared" si="44"/>
        <v/>
      </c>
      <c r="D748" s="11" t="str">
        <f t="shared" si="45"/>
        <v/>
      </c>
      <c r="E748" s="45"/>
      <c r="F748" s="11" t="str">
        <f>IFERROR(VLOOKUP(E748,Category!$D$2:$E$600,2,FALSE),"")</f>
        <v/>
      </c>
      <c r="G748" s="45"/>
      <c r="H748" s="73"/>
      <c r="I748" s="18" t="str">
        <f t="shared" si="46"/>
        <v/>
      </c>
      <c r="J748" s="45"/>
      <c r="K748" s="45"/>
    </row>
    <row r="749" spans="1:11">
      <c r="A749" s="10" t="str">
        <f t="shared" si="47"/>
        <v/>
      </c>
      <c r="B749" s="45"/>
      <c r="C749" s="11" t="str">
        <f t="shared" si="44"/>
        <v/>
      </c>
      <c r="D749" s="11" t="str">
        <f t="shared" si="45"/>
        <v/>
      </c>
      <c r="E749" s="45"/>
      <c r="F749" s="11" t="str">
        <f>IFERROR(VLOOKUP(E749,Category!$D$2:$E$600,2,FALSE),"")</f>
        <v/>
      </c>
      <c r="G749" s="45"/>
      <c r="H749" s="73"/>
      <c r="I749" s="18" t="str">
        <f t="shared" si="46"/>
        <v/>
      </c>
      <c r="J749" s="45"/>
      <c r="K749" s="45"/>
    </row>
    <row r="750" spans="1:11">
      <c r="A750" s="10" t="str">
        <f t="shared" si="47"/>
        <v/>
      </c>
      <c r="B750" s="45"/>
      <c r="C750" s="11" t="str">
        <f t="shared" si="44"/>
        <v/>
      </c>
      <c r="D750" s="11" t="str">
        <f t="shared" si="45"/>
        <v/>
      </c>
      <c r="E750" s="45"/>
      <c r="F750" s="11" t="str">
        <f>IFERROR(VLOOKUP(E750,Category!$D$2:$E$600,2,FALSE),"")</f>
        <v/>
      </c>
      <c r="G750" s="45"/>
      <c r="H750" s="73"/>
      <c r="I750" s="18" t="str">
        <f t="shared" si="46"/>
        <v/>
      </c>
      <c r="J750" s="45"/>
      <c r="K750" s="45"/>
    </row>
    <row r="751" spans="1:11">
      <c r="A751" s="10" t="str">
        <f t="shared" si="47"/>
        <v/>
      </c>
      <c r="B751" s="45"/>
      <c r="C751" s="11" t="str">
        <f t="shared" si="44"/>
        <v/>
      </c>
      <c r="D751" s="11" t="str">
        <f t="shared" si="45"/>
        <v/>
      </c>
      <c r="E751" s="45"/>
      <c r="F751" s="11" t="str">
        <f>IFERROR(VLOOKUP(E751,Category!$D$2:$E$600,2,FALSE),"")</f>
        <v/>
      </c>
      <c r="G751" s="45"/>
      <c r="H751" s="73"/>
      <c r="I751" s="18" t="str">
        <f t="shared" si="46"/>
        <v/>
      </c>
      <c r="J751" s="45"/>
      <c r="K751" s="45"/>
    </row>
    <row r="752" spans="1:11">
      <c r="A752" s="10" t="str">
        <f t="shared" si="47"/>
        <v/>
      </c>
      <c r="B752" s="45"/>
      <c r="C752" s="11" t="str">
        <f t="shared" si="44"/>
        <v/>
      </c>
      <c r="D752" s="11" t="str">
        <f t="shared" si="45"/>
        <v/>
      </c>
      <c r="E752" s="45"/>
      <c r="F752" s="11" t="str">
        <f>IFERROR(VLOOKUP(E752,Category!$D$2:$E$600,2,FALSE),"")</f>
        <v/>
      </c>
      <c r="G752" s="45"/>
      <c r="H752" s="73"/>
      <c r="I752" s="18" t="str">
        <f t="shared" si="46"/>
        <v/>
      </c>
      <c r="J752" s="45"/>
      <c r="K752" s="45"/>
    </row>
    <row r="753" spans="1:11">
      <c r="A753" s="10" t="str">
        <f t="shared" si="47"/>
        <v/>
      </c>
      <c r="B753" s="45"/>
      <c r="C753" s="11" t="str">
        <f t="shared" si="44"/>
        <v/>
      </c>
      <c r="D753" s="11" t="str">
        <f t="shared" si="45"/>
        <v/>
      </c>
      <c r="E753" s="45"/>
      <c r="F753" s="11" t="str">
        <f>IFERROR(VLOOKUP(E753,Category!$D$2:$E$600,2,FALSE),"")</f>
        <v/>
      </c>
      <c r="G753" s="45"/>
      <c r="H753" s="73"/>
      <c r="I753" s="18" t="str">
        <f t="shared" si="46"/>
        <v/>
      </c>
      <c r="J753" s="45"/>
      <c r="K753" s="45"/>
    </row>
    <row r="754" spans="1:11">
      <c r="A754" s="10" t="str">
        <f t="shared" si="47"/>
        <v/>
      </c>
      <c r="B754" s="45"/>
      <c r="C754" s="11" t="str">
        <f t="shared" si="44"/>
        <v/>
      </c>
      <c r="D754" s="11" t="str">
        <f t="shared" si="45"/>
        <v/>
      </c>
      <c r="E754" s="45"/>
      <c r="F754" s="11" t="str">
        <f>IFERROR(VLOOKUP(E754,Category!$D$2:$E$600,2,FALSE),"")</f>
        <v/>
      </c>
      <c r="G754" s="45"/>
      <c r="H754" s="73"/>
      <c r="I754" s="18" t="str">
        <f t="shared" si="46"/>
        <v/>
      </c>
      <c r="J754" s="45"/>
      <c r="K754" s="45"/>
    </row>
    <row r="755" spans="1:11">
      <c r="A755" s="10" t="str">
        <f t="shared" si="47"/>
        <v/>
      </c>
      <c r="B755" s="45"/>
      <c r="C755" s="11" t="str">
        <f t="shared" si="44"/>
        <v/>
      </c>
      <c r="D755" s="11" t="str">
        <f t="shared" si="45"/>
        <v/>
      </c>
      <c r="E755" s="45"/>
      <c r="F755" s="11" t="str">
        <f>IFERROR(VLOOKUP(E755,Category!$D$2:$E$600,2,FALSE),"")</f>
        <v/>
      </c>
      <c r="G755" s="45"/>
      <c r="H755" s="73"/>
      <c r="I755" s="18" t="str">
        <f t="shared" si="46"/>
        <v/>
      </c>
      <c r="J755" s="45"/>
      <c r="K755" s="45"/>
    </row>
    <row r="756" spans="1:11">
      <c r="A756" s="10" t="str">
        <f t="shared" si="47"/>
        <v/>
      </c>
      <c r="B756" s="45"/>
      <c r="C756" s="11" t="str">
        <f t="shared" si="44"/>
        <v/>
      </c>
      <c r="D756" s="11" t="str">
        <f t="shared" si="45"/>
        <v/>
      </c>
      <c r="E756" s="45"/>
      <c r="F756" s="11" t="str">
        <f>IFERROR(VLOOKUP(E756,Category!$D$2:$E$600,2,FALSE),"")</f>
        <v/>
      </c>
      <c r="G756" s="45"/>
      <c r="H756" s="73"/>
      <c r="I756" s="18" t="str">
        <f t="shared" si="46"/>
        <v/>
      </c>
      <c r="J756" s="45"/>
      <c r="K756" s="45"/>
    </row>
    <row r="757" spans="1:11">
      <c r="A757" s="10" t="str">
        <f t="shared" si="47"/>
        <v/>
      </c>
      <c r="B757" s="45"/>
      <c r="C757" s="11" t="str">
        <f t="shared" si="44"/>
        <v/>
      </c>
      <c r="D757" s="11" t="str">
        <f t="shared" si="45"/>
        <v/>
      </c>
      <c r="E757" s="45"/>
      <c r="F757" s="11" t="str">
        <f>IFERROR(VLOOKUP(E757,Category!$D$2:$E$600,2,FALSE),"")</f>
        <v/>
      </c>
      <c r="G757" s="45"/>
      <c r="H757" s="73"/>
      <c r="I757" s="18" t="str">
        <f t="shared" si="46"/>
        <v/>
      </c>
      <c r="J757" s="45"/>
      <c r="K757" s="45"/>
    </row>
    <row r="758" spans="1:11">
      <c r="A758" s="10" t="str">
        <f t="shared" si="47"/>
        <v/>
      </c>
      <c r="B758" s="45"/>
      <c r="C758" s="11" t="str">
        <f t="shared" si="44"/>
        <v/>
      </c>
      <c r="D758" s="11" t="str">
        <f t="shared" si="45"/>
        <v/>
      </c>
      <c r="E758" s="45"/>
      <c r="F758" s="11" t="str">
        <f>IFERROR(VLOOKUP(E758,Category!$D$2:$E$600,2,FALSE),"")</f>
        <v/>
      </c>
      <c r="G758" s="45"/>
      <c r="H758" s="73"/>
      <c r="I758" s="18" t="str">
        <f t="shared" si="46"/>
        <v/>
      </c>
      <c r="J758" s="45"/>
      <c r="K758" s="45"/>
    </row>
    <row r="759" spans="1:11">
      <c r="A759" s="10" t="str">
        <f t="shared" si="47"/>
        <v/>
      </c>
      <c r="B759" s="45"/>
      <c r="C759" s="11" t="str">
        <f t="shared" si="44"/>
        <v/>
      </c>
      <c r="D759" s="11" t="str">
        <f t="shared" si="45"/>
        <v/>
      </c>
      <c r="E759" s="45"/>
      <c r="F759" s="11" t="str">
        <f>IFERROR(VLOOKUP(E759,Category!$D$2:$E$600,2,FALSE),"")</f>
        <v/>
      </c>
      <c r="G759" s="45"/>
      <c r="H759" s="73"/>
      <c r="I759" s="18" t="str">
        <f t="shared" si="46"/>
        <v/>
      </c>
      <c r="J759" s="45"/>
      <c r="K759" s="45"/>
    </row>
    <row r="760" spans="1:11">
      <c r="A760" s="10" t="str">
        <f t="shared" si="47"/>
        <v/>
      </c>
      <c r="B760" s="45"/>
      <c r="C760" s="11" t="str">
        <f t="shared" si="44"/>
        <v/>
      </c>
      <c r="D760" s="11" t="str">
        <f t="shared" si="45"/>
        <v/>
      </c>
      <c r="E760" s="45"/>
      <c r="F760" s="11" t="str">
        <f>IFERROR(VLOOKUP(E760,Category!$D$2:$E$600,2,FALSE),"")</f>
        <v/>
      </c>
      <c r="G760" s="45"/>
      <c r="H760" s="73"/>
      <c r="I760" s="18" t="str">
        <f t="shared" si="46"/>
        <v/>
      </c>
      <c r="J760" s="45"/>
      <c r="K760" s="45"/>
    </row>
    <row r="761" spans="1:11">
      <c r="A761" s="10" t="str">
        <f t="shared" si="47"/>
        <v/>
      </c>
      <c r="B761" s="45"/>
      <c r="C761" s="11" t="str">
        <f t="shared" si="44"/>
        <v/>
      </c>
      <c r="D761" s="11" t="str">
        <f t="shared" si="45"/>
        <v/>
      </c>
      <c r="E761" s="45"/>
      <c r="F761" s="11" t="str">
        <f>IFERROR(VLOOKUP(E761,Category!$D$2:$E$600,2,FALSE),"")</f>
        <v/>
      </c>
      <c r="G761" s="45"/>
      <c r="H761" s="73"/>
      <c r="I761" s="18" t="str">
        <f t="shared" si="46"/>
        <v/>
      </c>
      <c r="J761" s="45"/>
      <c r="K761" s="45"/>
    </row>
    <row r="762" spans="1:11">
      <c r="A762" s="10" t="str">
        <f t="shared" si="47"/>
        <v/>
      </c>
      <c r="B762" s="45"/>
      <c r="C762" s="11" t="str">
        <f t="shared" si="44"/>
        <v/>
      </c>
      <c r="D762" s="11" t="str">
        <f t="shared" si="45"/>
        <v/>
      </c>
      <c r="E762" s="45"/>
      <c r="F762" s="11" t="str">
        <f>IFERROR(VLOOKUP(E762,Category!$D$2:$E$600,2,FALSE),"")</f>
        <v/>
      </c>
      <c r="G762" s="45"/>
      <c r="H762" s="73"/>
      <c r="I762" s="18" t="str">
        <f t="shared" si="46"/>
        <v/>
      </c>
      <c r="J762" s="45"/>
      <c r="K762" s="45"/>
    </row>
    <row r="763" spans="1:11">
      <c r="A763" s="10" t="str">
        <f t="shared" si="47"/>
        <v/>
      </c>
      <c r="B763" s="45"/>
      <c r="C763" s="11" t="str">
        <f t="shared" si="44"/>
        <v/>
      </c>
      <c r="D763" s="11" t="str">
        <f t="shared" si="45"/>
        <v/>
      </c>
      <c r="E763" s="45"/>
      <c r="F763" s="11" t="str">
        <f>IFERROR(VLOOKUP(E763,Category!$D$2:$E$600,2,FALSE),"")</f>
        <v/>
      </c>
      <c r="G763" s="45"/>
      <c r="H763" s="73"/>
      <c r="I763" s="18" t="str">
        <f t="shared" si="46"/>
        <v/>
      </c>
      <c r="J763" s="45"/>
      <c r="K763" s="45"/>
    </row>
    <row r="764" spans="1:11">
      <c r="A764" s="10" t="str">
        <f t="shared" si="47"/>
        <v/>
      </c>
      <c r="B764" s="45"/>
      <c r="C764" s="11" t="str">
        <f t="shared" si="44"/>
        <v/>
      </c>
      <c r="D764" s="11" t="str">
        <f t="shared" si="45"/>
        <v/>
      </c>
      <c r="E764" s="45"/>
      <c r="F764" s="11" t="str">
        <f>IFERROR(VLOOKUP(E764,Category!$D$2:$E$600,2,FALSE),"")</f>
        <v/>
      </c>
      <c r="G764" s="45"/>
      <c r="H764" s="73"/>
      <c r="I764" s="18" t="str">
        <f t="shared" si="46"/>
        <v/>
      </c>
      <c r="J764" s="45"/>
      <c r="K764" s="45"/>
    </row>
    <row r="765" spans="1:11">
      <c r="A765" s="10" t="str">
        <f t="shared" si="47"/>
        <v/>
      </c>
      <c r="B765" s="45"/>
      <c r="C765" s="11" t="str">
        <f t="shared" si="44"/>
        <v/>
      </c>
      <c r="D765" s="11" t="str">
        <f t="shared" si="45"/>
        <v/>
      </c>
      <c r="E765" s="45"/>
      <c r="F765" s="11" t="str">
        <f>IFERROR(VLOOKUP(E765,Category!$D$2:$E$600,2,FALSE),"")</f>
        <v/>
      </c>
      <c r="G765" s="45"/>
      <c r="H765" s="73"/>
      <c r="I765" s="18" t="str">
        <f t="shared" si="46"/>
        <v/>
      </c>
      <c r="J765" s="45"/>
      <c r="K765" s="45"/>
    </row>
    <row r="766" spans="1:11">
      <c r="A766" s="10" t="str">
        <f t="shared" si="47"/>
        <v/>
      </c>
      <c r="B766" s="45"/>
      <c r="C766" s="11" t="str">
        <f t="shared" si="44"/>
        <v/>
      </c>
      <c r="D766" s="11" t="str">
        <f t="shared" si="45"/>
        <v/>
      </c>
      <c r="E766" s="45"/>
      <c r="F766" s="11" t="str">
        <f>IFERROR(VLOOKUP(E766,Category!$D$2:$E$600,2,FALSE),"")</f>
        <v/>
      </c>
      <c r="G766" s="45"/>
      <c r="H766" s="73"/>
      <c r="I766" s="18" t="str">
        <f t="shared" si="46"/>
        <v/>
      </c>
      <c r="J766" s="45"/>
      <c r="K766" s="45"/>
    </row>
    <row r="767" spans="1:11">
      <c r="A767" s="10" t="str">
        <f t="shared" si="47"/>
        <v/>
      </c>
      <c r="B767" s="45"/>
      <c r="C767" s="11" t="str">
        <f t="shared" si="44"/>
        <v/>
      </c>
      <c r="D767" s="11" t="str">
        <f t="shared" si="45"/>
        <v/>
      </c>
      <c r="E767" s="45"/>
      <c r="F767" s="11" t="str">
        <f>IFERROR(VLOOKUP(E767,Category!$D$2:$E$600,2,FALSE),"")</f>
        <v/>
      </c>
      <c r="G767" s="45"/>
      <c r="H767" s="73"/>
      <c r="I767" s="18" t="str">
        <f t="shared" si="46"/>
        <v/>
      </c>
      <c r="J767" s="45"/>
      <c r="K767" s="45"/>
    </row>
    <row r="768" spans="1:11">
      <c r="A768" s="10" t="str">
        <f t="shared" si="47"/>
        <v/>
      </c>
      <c r="B768" s="45"/>
      <c r="C768" s="11" t="str">
        <f t="shared" si="44"/>
        <v/>
      </c>
      <c r="D768" s="11" t="str">
        <f t="shared" si="45"/>
        <v/>
      </c>
      <c r="E768" s="45"/>
      <c r="F768" s="11" t="str">
        <f>IFERROR(VLOOKUP(E768,Category!$D$2:$E$600,2,FALSE),"")</f>
        <v/>
      </c>
      <c r="G768" s="45"/>
      <c r="H768" s="73"/>
      <c r="I768" s="18" t="str">
        <f t="shared" si="46"/>
        <v/>
      </c>
      <c r="J768" s="45"/>
      <c r="K768" s="45"/>
    </row>
    <row r="769" spans="1:11">
      <c r="A769" s="10" t="str">
        <f t="shared" si="47"/>
        <v/>
      </c>
      <c r="B769" s="45"/>
      <c r="C769" s="11" t="str">
        <f t="shared" si="44"/>
        <v/>
      </c>
      <c r="D769" s="11" t="str">
        <f t="shared" si="45"/>
        <v/>
      </c>
      <c r="E769" s="45"/>
      <c r="F769" s="11" t="str">
        <f>IFERROR(VLOOKUP(E769,Category!$D$2:$E$600,2,FALSE),"")</f>
        <v/>
      </c>
      <c r="G769" s="45"/>
      <c r="H769" s="73"/>
      <c r="I769" s="18" t="str">
        <f t="shared" si="46"/>
        <v/>
      </c>
      <c r="J769" s="45"/>
      <c r="K769" s="45"/>
    </row>
    <row r="770" spans="1:11">
      <c r="A770" s="10" t="str">
        <f t="shared" si="47"/>
        <v/>
      </c>
      <c r="B770" s="45"/>
      <c r="C770" s="11" t="str">
        <f t="shared" si="44"/>
        <v/>
      </c>
      <c r="D770" s="11" t="str">
        <f t="shared" si="45"/>
        <v/>
      </c>
      <c r="E770" s="45"/>
      <c r="F770" s="11" t="str">
        <f>IFERROR(VLOOKUP(E770,Category!$D$2:$E$600,2,FALSE),"")</f>
        <v/>
      </c>
      <c r="G770" s="45"/>
      <c r="H770" s="73"/>
      <c r="I770" s="18" t="str">
        <f t="shared" si="46"/>
        <v/>
      </c>
      <c r="J770" s="45"/>
      <c r="K770" s="45"/>
    </row>
    <row r="771" spans="1:11">
      <c r="A771" s="10" t="str">
        <f t="shared" si="47"/>
        <v/>
      </c>
      <c r="B771" s="45"/>
      <c r="C771" s="11" t="str">
        <f t="shared" ref="C771:C834" si="48">IF(B771=0,"",TEXT(B771,"mmmm"))</f>
        <v/>
      </c>
      <c r="D771" s="11" t="str">
        <f t="shared" ref="D771:D834" si="49">IF(B771=0,"",TEXT(B771,"yyyy"))</f>
        <v/>
      </c>
      <c r="E771" s="45"/>
      <c r="F771" s="11" t="str">
        <f>IFERROR(VLOOKUP(E771,Category!$D$2:$E$600,2,FALSE),"")</f>
        <v/>
      </c>
      <c r="G771" s="45"/>
      <c r="H771" s="73"/>
      <c r="I771" s="18" t="str">
        <f t="shared" ref="I771:I834" si="50">IF(G771*H771=0,"",G771*H771)</f>
        <v/>
      </c>
      <c r="J771" s="45"/>
      <c r="K771" s="45"/>
    </row>
    <row r="772" spans="1:11">
      <c r="A772" s="10" t="str">
        <f t="shared" ref="A772:A835" si="51">IF(E772&gt;0,A771+1,"")</f>
        <v/>
      </c>
      <c r="B772" s="45"/>
      <c r="C772" s="11" t="str">
        <f t="shared" si="48"/>
        <v/>
      </c>
      <c r="D772" s="11" t="str">
        <f t="shared" si="49"/>
        <v/>
      </c>
      <c r="E772" s="45"/>
      <c r="F772" s="11" t="str">
        <f>IFERROR(VLOOKUP(E772,Category!$D$2:$E$600,2,FALSE),"")</f>
        <v/>
      </c>
      <c r="G772" s="45"/>
      <c r="H772" s="73"/>
      <c r="I772" s="18" t="str">
        <f t="shared" si="50"/>
        <v/>
      </c>
      <c r="J772" s="45"/>
      <c r="K772" s="45"/>
    </row>
    <row r="773" spans="1:11">
      <c r="A773" s="10" t="str">
        <f t="shared" si="51"/>
        <v/>
      </c>
      <c r="B773" s="45"/>
      <c r="C773" s="11" t="str">
        <f t="shared" si="48"/>
        <v/>
      </c>
      <c r="D773" s="11" t="str">
        <f t="shared" si="49"/>
        <v/>
      </c>
      <c r="E773" s="45"/>
      <c r="F773" s="11" t="str">
        <f>IFERROR(VLOOKUP(E773,Category!$D$2:$E$600,2,FALSE),"")</f>
        <v/>
      </c>
      <c r="G773" s="45"/>
      <c r="H773" s="73"/>
      <c r="I773" s="18" t="str">
        <f t="shared" si="50"/>
        <v/>
      </c>
      <c r="J773" s="45"/>
      <c r="K773" s="45"/>
    </row>
    <row r="774" spans="1:11">
      <c r="A774" s="10" t="str">
        <f t="shared" si="51"/>
        <v/>
      </c>
      <c r="B774" s="45"/>
      <c r="C774" s="11" t="str">
        <f t="shared" si="48"/>
        <v/>
      </c>
      <c r="D774" s="11" t="str">
        <f t="shared" si="49"/>
        <v/>
      </c>
      <c r="E774" s="45"/>
      <c r="F774" s="11" t="str">
        <f>IFERROR(VLOOKUP(E774,Category!$D$2:$E$600,2,FALSE),"")</f>
        <v/>
      </c>
      <c r="G774" s="45"/>
      <c r="H774" s="73"/>
      <c r="I774" s="18" t="str">
        <f t="shared" si="50"/>
        <v/>
      </c>
      <c r="J774" s="45"/>
      <c r="K774" s="45"/>
    </row>
    <row r="775" spans="1:11">
      <c r="A775" s="10" t="str">
        <f t="shared" si="51"/>
        <v/>
      </c>
      <c r="B775" s="45"/>
      <c r="C775" s="11" t="str">
        <f t="shared" si="48"/>
        <v/>
      </c>
      <c r="D775" s="11" t="str">
        <f t="shared" si="49"/>
        <v/>
      </c>
      <c r="E775" s="45"/>
      <c r="F775" s="11" t="str">
        <f>IFERROR(VLOOKUP(E775,Category!$D$2:$E$600,2,FALSE),"")</f>
        <v/>
      </c>
      <c r="G775" s="45"/>
      <c r="H775" s="73"/>
      <c r="I775" s="18" t="str">
        <f t="shared" si="50"/>
        <v/>
      </c>
      <c r="J775" s="45"/>
      <c r="K775" s="45"/>
    </row>
    <row r="776" spans="1:11">
      <c r="A776" s="10" t="str">
        <f t="shared" si="51"/>
        <v/>
      </c>
      <c r="B776" s="45"/>
      <c r="C776" s="11" t="str">
        <f t="shared" si="48"/>
        <v/>
      </c>
      <c r="D776" s="11" t="str">
        <f t="shared" si="49"/>
        <v/>
      </c>
      <c r="E776" s="45"/>
      <c r="F776" s="11" t="str">
        <f>IFERROR(VLOOKUP(E776,Category!$D$2:$E$600,2,FALSE),"")</f>
        <v/>
      </c>
      <c r="G776" s="45"/>
      <c r="H776" s="73"/>
      <c r="I776" s="18" t="str">
        <f t="shared" si="50"/>
        <v/>
      </c>
      <c r="J776" s="45"/>
      <c r="K776" s="45"/>
    </row>
    <row r="777" spans="1:11">
      <c r="A777" s="10" t="str">
        <f t="shared" si="51"/>
        <v/>
      </c>
      <c r="B777" s="45"/>
      <c r="C777" s="11" t="str">
        <f t="shared" si="48"/>
        <v/>
      </c>
      <c r="D777" s="11" t="str">
        <f t="shared" si="49"/>
        <v/>
      </c>
      <c r="E777" s="45"/>
      <c r="F777" s="11" t="str">
        <f>IFERROR(VLOOKUP(E777,Category!$D$2:$E$600,2,FALSE),"")</f>
        <v/>
      </c>
      <c r="G777" s="45"/>
      <c r="H777" s="73"/>
      <c r="I777" s="18" t="str">
        <f t="shared" si="50"/>
        <v/>
      </c>
      <c r="J777" s="45"/>
      <c r="K777" s="45"/>
    </row>
    <row r="778" spans="1:11">
      <c r="A778" s="10" t="str">
        <f t="shared" si="51"/>
        <v/>
      </c>
      <c r="B778" s="45"/>
      <c r="C778" s="11" t="str">
        <f t="shared" si="48"/>
        <v/>
      </c>
      <c r="D778" s="11" t="str">
        <f t="shared" si="49"/>
        <v/>
      </c>
      <c r="E778" s="45"/>
      <c r="F778" s="11" t="str">
        <f>IFERROR(VLOOKUP(E778,Category!$D$2:$E$600,2,FALSE),"")</f>
        <v/>
      </c>
      <c r="G778" s="45"/>
      <c r="H778" s="73"/>
      <c r="I778" s="18" t="str">
        <f t="shared" si="50"/>
        <v/>
      </c>
      <c r="J778" s="45"/>
      <c r="K778" s="45"/>
    </row>
    <row r="779" spans="1:11">
      <c r="A779" s="10" t="str">
        <f t="shared" si="51"/>
        <v/>
      </c>
      <c r="B779" s="45"/>
      <c r="C779" s="11" t="str">
        <f t="shared" si="48"/>
        <v/>
      </c>
      <c r="D779" s="11" t="str">
        <f t="shared" si="49"/>
        <v/>
      </c>
      <c r="E779" s="45"/>
      <c r="F779" s="11" t="str">
        <f>IFERROR(VLOOKUP(E779,Category!$D$2:$E$600,2,FALSE),"")</f>
        <v/>
      </c>
      <c r="G779" s="45"/>
      <c r="H779" s="73"/>
      <c r="I779" s="18" t="str">
        <f t="shared" si="50"/>
        <v/>
      </c>
      <c r="J779" s="45"/>
      <c r="K779" s="45"/>
    </row>
    <row r="780" spans="1:11">
      <c r="A780" s="10" t="str">
        <f t="shared" si="51"/>
        <v/>
      </c>
      <c r="B780" s="45"/>
      <c r="C780" s="11" t="str">
        <f t="shared" si="48"/>
        <v/>
      </c>
      <c r="D780" s="11" t="str">
        <f t="shared" si="49"/>
        <v/>
      </c>
      <c r="E780" s="45"/>
      <c r="F780" s="11" t="str">
        <f>IFERROR(VLOOKUP(E780,Category!$D$2:$E$600,2,FALSE),"")</f>
        <v/>
      </c>
      <c r="G780" s="45"/>
      <c r="H780" s="73"/>
      <c r="I780" s="18" t="str">
        <f t="shared" si="50"/>
        <v/>
      </c>
      <c r="J780" s="45"/>
      <c r="K780" s="45"/>
    </row>
    <row r="781" spans="1:11">
      <c r="A781" s="10" t="str">
        <f t="shared" si="51"/>
        <v/>
      </c>
      <c r="B781" s="45"/>
      <c r="C781" s="11" t="str">
        <f t="shared" si="48"/>
        <v/>
      </c>
      <c r="D781" s="11" t="str">
        <f t="shared" si="49"/>
        <v/>
      </c>
      <c r="E781" s="45"/>
      <c r="F781" s="11" t="str">
        <f>IFERROR(VLOOKUP(E781,Category!$D$2:$E$600,2,FALSE),"")</f>
        <v/>
      </c>
      <c r="G781" s="45"/>
      <c r="H781" s="73"/>
      <c r="I781" s="18" t="str">
        <f t="shared" si="50"/>
        <v/>
      </c>
      <c r="J781" s="45"/>
      <c r="K781" s="45"/>
    </row>
    <row r="782" spans="1:11">
      <c r="A782" s="10" t="str">
        <f t="shared" si="51"/>
        <v/>
      </c>
      <c r="B782" s="45"/>
      <c r="C782" s="11" t="str">
        <f t="shared" si="48"/>
        <v/>
      </c>
      <c r="D782" s="11" t="str">
        <f t="shared" si="49"/>
        <v/>
      </c>
      <c r="E782" s="45"/>
      <c r="F782" s="11" t="str">
        <f>IFERROR(VLOOKUP(E782,Category!$D$2:$E$600,2,FALSE),"")</f>
        <v/>
      </c>
      <c r="G782" s="45"/>
      <c r="H782" s="73"/>
      <c r="I782" s="18" t="str">
        <f t="shared" si="50"/>
        <v/>
      </c>
      <c r="J782" s="45"/>
      <c r="K782" s="45"/>
    </row>
    <row r="783" spans="1:11">
      <c r="A783" s="10" t="str">
        <f t="shared" si="51"/>
        <v/>
      </c>
      <c r="B783" s="45"/>
      <c r="C783" s="11" t="str">
        <f t="shared" si="48"/>
        <v/>
      </c>
      <c r="D783" s="11" t="str">
        <f t="shared" si="49"/>
        <v/>
      </c>
      <c r="E783" s="45"/>
      <c r="F783" s="11" t="str">
        <f>IFERROR(VLOOKUP(E783,Category!$D$2:$E$600,2,FALSE),"")</f>
        <v/>
      </c>
      <c r="G783" s="45"/>
      <c r="H783" s="73"/>
      <c r="I783" s="18" t="str">
        <f t="shared" si="50"/>
        <v/>
      </c>
      <c r="J783" s="45"/>
      <c r="K783" s="45"/>
    </row>
    <row r="784" spans="1:11">
      <c r="A784" s="10" t="str">
        <f t="shared" si="51"/>
        <v/>
      </c>
      <c r="B784" s="45"/>
      <c r="C784" s="11" t="str">
        <f t="shared" si="48"/>
        <v/>
      </c>
      <c r="D784" s="11" t="str">
        <f t="shared" si="49"/>
        <v/>
      </c>
      <c r="E784" s="45"/>
      <c r="F784" s="11" t="str">
        <f>IFERROR(VLOOKUP(E784,Category!$D$2:$E$600,2,FALSE),"")</f>
        <v/>
      </c>
      <c r="G784" s="45"/>
      <c r="H784" s="73"/>
      <c r="I784" s="18" t="str">
        <f t="shared" si="50"/>
        <v/>
      </c>
      <c r="J784" s="45"/>
      <c r="K784" s="45"/>
    </row>
    <row r="785" spans="1:11">
      <c r="A785" s="10" t="str">
        <f t="shared" si="51"/>
        <v/>
      </c>
      <c r="B785" s="45"/>
      <c r="C785" s="11" t="str">
        <f t="shared" si="48"/>
        <v/>
      </c>
      <c r="D785" s="11" t="str">
        <f t="shared" si="49"/>
        <v/>
      </c>
      <c r="E785" s="45"/>
      <c r="F785" s="11" t="str">
        <f>IFERROR(VLOOKUP(E785,Category!$D$2:$E$600,2,FALSE),"")</f>
        <v/>
      </c>
      <c r="G785" s="45"/>
      <c r="H785" s="73"/>
      <c r="I785" s="18" t="str">
        <f t="shared" si="50"/>
        <v/>
      </c>
      <c r="J785" s="45"/>
      <c r="K785" s="45"/>
    </row>
    <row r="786" spans="1:11">
      <c r="A786" s="10" t="str">
        <f t="shared" si="51"/>
        <v/>
      </c>
      <c r="B786" s="45"/>
      <c r="C786" s="11" t="str">
        <f t="shared" si="48"/>
        <v/>
      </c>
      <c r="D786" s="11" t="str">
        <f t="shared" si="49"/>
        <v/>
      </c>
      <c r="E786" s="45"/>
      <c r="F786" s="11" t="str">
        <f>IFERROR(VLOOKUP(E786,Category!$D$2:$E$600,2,FALSE),"")</f>
        <v/>
      </c>
      <c r="G786" s="45"/>
      <c r="H786" s="73"/>
      <c r="I786" s="18" t="str">
        <f t="shared" si="50"/>
        <v/>
      </c>
      <c r="J786" s="45"/>
      <c r="K786" s="45"/>
    </row>
    <row r="787" spans="1:11">
      <c r="A787" s="10" t="str">
        <f t="shared" si="51"/>
        <v/>
      </c>
      <c r="B787" s="45"/>
      <c r="C787" s="11" t="str">
        <f t="shared" si="48"/>
        <v/>
      </c>
      <c r="D787" s="11" t="str">
        <f t="shared" si="49"/>
        <v/>
      </c>
      <c r="E787" s="45"/>
      <c r="F787" s="11" t="str">
        <f>IFERROR(VLOOKUP(E787,Category!$D$2:$E$600,2,FALSE),"")</f>
        <v/>
      </c>
      <c r="G787" s="45"/>
      <c r="H787" s="73"/>
      <c r="I787" s="18" t="str">
        <f t="shared" si="50"/>
        <v/>
      </c>
      <c r="J787" s="45"/>
      <c r="K787" s="45"/>
    </row>
    <row r="788" spans="1:11">
      <c r="A788" s="10" t="str">
        <f t="shared" si="51"/>
        <v/>
      </c>
      <c r="B788" s="45"/>
      <c r="C788" s="11" t="str">
        <f t="shared" si="48"/>
        <v/>
      </c>
      <c r="D788" s="11" t="str">
        <f t="shared" si="49"/>
        <v/>
      </c>
      <c r="E788" s="45"/>
      <c r="F788" s="11" t="str">
        <f>IFERROR(VLOOKUP(E788,Category!$D$2:$E$600,2,FALSE),"")</f>
        <v/>
      </c>
      <c r="G788" s="45"/>
      <c r="H788" s="73"/>
      <c r="I788" s="18" t="str">
        <f t="shared" si="50"/>
        <v/>
      </c>
      <c r="J788" s="45"/>
      <c r="K788" s="45"/>
    </row>
    <row r="789" spans="1:11">
      <c r="A789" s="10" t="str">
        <f t="shared" si="51"/>
        <v/>
      </c>
      <c r="B789" s="45"/>
      <c r="C789" s="11" t="str">
        <f t="shared" si="48"/>
        <v/>
      </c>
      <c r="D789" s="11" t="str">
        <f t="shared" si="49"/>
        <v/>
      </c>
      <c r="E789" s="45"/>
      <c r="F789" s="11" t="str">
        <f>IFERROR(VLOOKUP(E789,Category!$D$2:$E$600,2,FALSE),"")</f>
        <v/>
      </c>
      <c r="G789" s="45"/>
      <c r="H789" s="73"/>
      <c r="I789" s="18" t="str">
        <f t="shared" si="50"/>
        <v/>
      </c>
      <c r="J789" s="45"/>
      <c r="K789" s="45"/>
    </row>
    <row r="790" spans="1:11">
      <c r="A790" s="10" t="str">
        <f t="shared" si="51"/>
        <v/>
      </c>
      <c r="B790" s="45"/>
      <c r="C790" s="11" t="str">
        <f t="shared" si="48"/>
        <v/>
      </c>
      <c r="D790" s="11" t="str">
        <f t="shared" si="49"/>
        <v/>
      </c>
      <c r="E790" s="45"/>
      <c r="F790" s="11" t="str">
        <f>IFERROR(VLOOKUP(E790,Category!$D$2:$E$600,2,FALSE),"")</f>
        <v/>
      </c>
      <c r="G790" s="45"/>
      <c r="H790" s="73"/>
      <c r="I790" s="18" t="str">
        <f t="shared" si="50"/>
        <v/>
      </c>
      <c r="J790" s="45"/>
      <c r="K790" s="45"/>
    </row>
    <row r="791" spans="1:11">
      <c r="A791" s="10" t="str">
        <f t="shared" si="51"/>
        <v/>
      </c>
      <c r="B791" s="45"/>
      <c r="C791" s="11" t="str">
        <f t="shared" si="48"/>
        <v/>
      </c>
      <c r="D791" s="11" t="str">
        <f t="shared" si="49"/>
        <v/>
      </c>
      <c r="E791" s="45"/>
      <c r="F791" s="11" t="str">
        <f>IFERROR(VLOOKUP(E791,Category!$D$2:$E$600,2,FALSE),"")</f>
        <v/>
      </c>
      <c r="G791" s="45"/>
      <c r="H791" s="73"/>
      <c r="I791" s="18" t="str">
        <f t="shared" si="50"/>
        <v/>
      </c>
      <c r="J791" s="45"/>
      <c r="K791" s="45"/>
    </row>
    <row r="792" spans="1:11">
      <c r="A792" s="10" t="str">
        <f t="shared" si="51"/>
        <v/>
      </c>
      <c r="B792" s="45"/>
      <c r="C792" s="11" t="str">
        <f t="shared" si="48"/>
        <v/>
      </c>
      <c r="D792" s="11" t="str">
        <f t="shared" si="49"/>
        <v/>
      </c>
      <c r="E792" s="45"/>
      <c r="F792" s="11" t="str">
        <f>IFERROR(VLOOKUP(E792,Category!$D$2:$E$600,2,FALSE),"")</f>
        <v/>
      </c>
      <c r="G792" s="45"/>
      <c r="H792" s="73"/>
      <c r="I792" s="18" t="str">
        <f t="shared" si="50"/>
        <v/>
      </c>
      <c r="J792" s="45"/>
      <c r="K792" s="45"/>
    </row>
    <row r="793" spans="1:11">
      <c r="A793" s="10" t="str">
        <f t="shared" si="51"/>
        <v/>
      </c>
      <c r="B793" s="45"/>
      <c r="C793" s="11" t="str">
        <f t="shared" si="48"/>
        <v/>
      </c>
      <c r="D793" s="11" t="str">
        <f t="shared" si="49"/>
        <v/>
      </c>
      <c r="E793" s="45"/>
      <c r="F793" s="11" t="str">
        <f>IFERROR(VLOOKUP(E793,Category!$D$2:$E$600,2,FALSE),"")</f>
        <v/>
      </c>
      <c r="G793" s="45"/>
      <c r="H793" s="73"/>
      <c r="I793" s="18" t="str">
        <f t="shared" si="50"/>
        <v/>
      </c>
      <c r="J793" s="45"/>
      <c r="K793" s="45"/>
    </row>
    <row r="794" spans="1:11">
      <c r="A794" s="10" t="str">
        <f t="shared" si="51"/>
        <v/>
      </c>
      <c r="B794" s="45"/>
      <c r="C794" s="11" t="str">
        <f t="shared" si="48"/>
        <v/>
      </c>
      <c r="D794" s="11" t="str">
        <f t="shared" si="49"/>
        <v/>
      </c>
      <c r="E794" s="45"/>
      <c r="F794" s="11" t="str">
        <f>IFERROR(VLOOKUP(E794,Category!$D$2:$E$600,2,FALSE),"")</f>
        <v/>
      </c>
      <c r="G794" s="45"/>
      <c r="H794" s="73"/>
      <c r="I794" s="18" t="str">
        <f t="shared" si="50"/>
        <v/>
      </c>
      <c r="J794" s="45"/>
      <c r="K794" s="45"/>
    </row>
    <row r="795" spans="1:11">
      <c r="A795" s="10" t="str">
        <f t="shared" si="51"/>
        <v/>
      </c>
      <c r="B795" s="45"/>
      <c r="C795" s="11" t="str">
        <f t="shared" si="48"/>
        <v/>
      </c>
      <c r="D795" s="11" t="str">
        <f t="shared" si="49"/>
        <v/>
      </c>
      <c r="E795" s="45"/>
      <c r="F795" s="11" t="str">
        <f>IFERROR(VLOOKUP(E795,Category!$D$2:$E$600,2,FALSE),"")</f>
        <v/>
      </c>
      <c r="G795" s="45"/>
      <c r="H795" s="73"/>
      <c r="I795" s="18" t="str">
        <f t="shared" si="50"/>
        <v/>
      </c>
      <c r="J795" s="45"/>
      <c r="K795" s="45"/>
    </row>
    <row r="796" spans="1:11">
      <c r="A796" s="10" t="str">
        <f t="shared" si="51"/>
        <v/>
      </c>
      <c r="B796" s="45"/>
      <c r="C796" s="11" t="str">
        <f t="shared" si="48"/>
        <v/>
      </c>
      <c r="D796" s="11" t="str">
        <f t="shared" si="49"/>
        <v/>
      </c>
      <c r="E796" s="45"/>
      <c r="F796" s="11" t="str">
        <f>IFERROR(VLOOKUP(E796,Category!$D$2:$E$600,2,FALSE),"")</f>
        <v/>
      </c>
      <c r="G796" s="45"/>
      <c r="H796" s="73"/>
      <c r="I796" s="18" t="str">
        <f t="shared" si="50"/>
        <v/>
      </c>
      <c r="J796" s="45"/>
      <c r="K796" s="45"/>
    </row>
    <row r="797" spans="1:11">
      <c r="A797" s="10" t="str">
        <f t="shared" si="51"/>
        <v/>
      </c>
      <c r="B797" s="45"/>
      <c r="C797" s="11" t="str">
        <f t="shared" si="48"/>
        <v/>
      </c>
      <c r="D797" s="11" t="str">
        <f t="shared" si="49"/>
        <v/>
      </c>
      <c r="E797" s="45"/>
      <c r="F797" s="11" t="str">
        <f>IFERROR(VLOOKUP(E797,Category!$D$2:$E$600,2,FALSE),"")</f>
        <v/>
      </c>
      <c r="G797" s="45"/>
      <c r="H797" s="73"/>
      <c r="I797" s="18" t="str">
        <f t="shared" si="50"/>
        <v/>
      </c>
      <c r="J797" s="45"/>
      <c r="K797" s="45"/>
    </row>
    <row r="798" spans="1:11">
      <c r="A798" s="10" t="str">
        <f t="shared" si="51"/>
        <v/>
      </c>
      <c r="B798" s="45"/>
      <c r="C798" s="11" t="str">
        <f t="shared" si="48"/>
        <v/>
      </c>
      <c r="D798" s="11" t="str">
        <f t="shared" si="49"/>
        <v/>
      </c>
      <c r="E798" s="45"/>
      <c r="F798" s="11" t="str">
        <f>IFERROR(VLOOKUP(E798,Category!$D$2:$E$600,2,FALSE),"")</f>
        <v/>
      </c>
      <c r="G798" s="45"/>
      <c r="H798" s="73"/>
      <c r="I798" s="18" t="str">
        <f t="shared" si="50"/>
        <v/>
      </c>
      <c r="J798" s="45"/>
      <c r="K798" s="45"/>
    </row>
    <row r="799" spans="1:11">
      <c r="A799" s="10" t="str">
        <f t="shared" si="51"/>
        <v/>
      </c>
      <c r="B799" s="45"/>
      <c r="C799" s="11" t="str">
        <f t="shared" si="48"/>
        <v/>
      </c>
      <c r="D799" s="11" t="str">
        <f t="shared" si="49"/>
        <v/>
      </c>
      <c r="E799" s="45"/>
      <c r="F799" s="11" t="str">
        <f>IFERROR(VLOOKUP(E799,Category!$D$2:$E$600,2,FALSE),"")</f>
        <v/>
      </c>
      <c r="G799" s="45"/>
      <c r="H799" s="73"/>
      <c r="I799" s="18" t="str">
        <f t="shared" si="50"/>
        <v/>
      </c>
      <c r="J799" s="45"/>
      <c r="K799" s="45"/>
    </row>
    <row r="800" spans="1:11">
      <c r="A800" s="10" t="str">
        <f t="shared" si="51"/>
        <v/>
      </c>
      <c r="B800" s="45"/>
      <c r="C800" s="11" t="str">
        <f t="shared" si="48"/>
        <v/>
      </c>
      <c r="D800" s="11" t="str">
        <f t="shared" si="49"/>
        <v/>
      </c>
      <c r="E800" s="45"/>
      <c r="F800" s="11" t="str">
        <f>IFERROR(VLOOKUP(E800,Category!$D$2:$E$600,2,FALSE),"")</f>
        <v/>
      </c>
      <c r="G800" s="45"/>
      <c r="H800" s="73"/>
      <c r="I800" s="18" t="str">
        <f t="shared" si="50"/>
        <v/>
      </c>
      <c r="J800" s="45"/>
      <c r="K800" s="45"/>
    </row>
    <row r="801" spans="1:11">
      <c r="A801" s="10" t="str">
        <f t="shared" si="51"/>
        <v/>
      </c>
      <c r="B801" s="45"/>
      <c r="C801" s="11" t="str">
        <f t="shared" si="48"/>
        <v/>
      </c>
      <c r="D801" s="11" t="str">
        <f t="shared" si="49"/>
        <v/>
      </c>
      <c r="E801" s="45"/>
      <c r="F801" s="11" t="str">
        <f>IFERROR(VLOOKUP(E801,Category!$D$2:$E$600,2,FALSE),"")</f>
        <v/>
      </c>
      <c r="G801" s="45"/>
      <c r="H801" s="73"/>
      <c r="I801" s="18" t="str">
        <f t="shared" si="50"/>
        <v/>
      </c>
      <c r="J801" s="45"/>
      <c r="K801" s="45"/>
    </row>
    <row r="802" spans="1:11">
      <c r="A802" s="10" t="str">
        <f t="shared" si="51"/>
        <v/>
      </c>
      <c r="B802" s="45"/>
      <c r="C802" s="11" t="str">
        <f t="shared" si="48"/>
        <v/>
      </c>
      <c r="D802" s="11" t="str">
        <f t="shared" si="49"/>
        <v/>
      </c>
      <c r="E802" s="45"/>
      <c r="F802" s="11" t="str">
        <f>IFERROR(VLOOKUP(E802,Category!$D$2:$E$600,2,FALSE),"")</f>
        <v/>
      </c>
      <c r="G802" s="45"/>
      <c r="H802" s="73"/>
      <c r="I802" s="18" t="str">
        <f t="shared" si="50"/>
        <v/>
      </c>
      <c r="J802" s="45"/>
      <c r="K802" s="45"/>
    </row>
    <row r="803" spans="1:11">
      <c r="A803" s="10" t="str">
        <f t="shared" si="51"/>
        <v/>
      </c>
      <c r="B803" s="45"/>
      <c r="C803" s="11" t="str">
        <f t="shared" si="48"/>
        <v/>
      </c>
      <c r="D803" s="11" t="str">
        <f t="shared" si="49"/>
        <v/>
      </c>
      <c r="E803" s="45"/>
      <c r="F803" s="11" t="str">
        <f>IFERROR(VLOOKUP(E803,Category!$D$2:$E$600,2,FALSE),"")</f>
        <v/>
      </c>
      <c r="G803" s="45"/>
      <c r="H803" s="73"/>
      <c r="I803" s="18" t="str">
        <f t="shared" si="50"/>
        <v/>
      </c>
      <c r="J803" s="45"/>
      <c r="K803" s="45"/>
    </row>
    <row r="804" spans="1:11">
      <c r="A804" s="10" t="str">
        <f t="shared" si="51"/>
        <v/>
      </c>
      <c r="B804" s="45"/>
      <c r="C804" s="11" t="str">
        <f t="shared" si="48"/>
        <v/>
      </c>
      <c r="D804" s="11" t="str">
        <f t="shared" si="49"/>
        <v/>
      </c>
      <c r="E804" s="45"/>
      <c r="F804" s="11" t="str">
        <f>IFERROR(VLOOKUP(E804,Category!$D$2:$E$600,2,FALSE),"")</f>
        <v/>
      </c>
      <c r="G804" s="45"/>
      <c r="H804" s="73"/>
      <c r="I804" s="18" t="str">
        <f t="shared" si="50"/>
        <v/>
      </c>
      <c r="J804" s="45"/>
      <c r="K804" s="45"/>
    </row>
    <row r="805" spans="1:11">
      <c r="A805" s="10" t="str">
        <f t="shared" si="51"/>
        <v/>
      </c>
      <c r="B805" s="45"/>
      <c r="C805" s="11" t="str">
        <f t="shared" si="48"/>
        <v/>
      </c>
      <c r="D805" s="11" t="str">
        <f t="shared" si="49"/>
        <v/>
      </c>
      <c r="E805" s="45"/>
      <c r="F805" s="11" t="str">
        <f>IFERROR(VLOOKUP(E805,Category!$D$2:$E$600,2,FALSE),"")</f>
        <v/>
      </c>
      <c r="G805" s="45"/>
      <c r="H805" s="73"/>
      <c r="I805" s="18" t="str">
        <f t="shared" si="50"/>
        <v/>
      </c>
      <c r="J805" s="45"/>
      <c r="K805" s="45"/>
    </row>
    <row r="806" spans="1:11">
      <c r="A806" s="10" t="str">
        <f t="shared" si="51"/>
        <v/>
      </c>
      <c r="B806" s="45"/>
      <c r="C806" s="11" t="str">
        <f t="shared" si="48"/>
        <v/>
      </c>
      <c r="D806" s="11" t="str">
        <f t="shared" si="49"/>
        <v/>
      </c>
      <c r="E806" s="45"/>
      <c r="F806" s="11" t="str">
        <f>IFERROR(VLOOKUP(E806,Category!$D$2:$E$600,2,FALSE),"")</f>
        <v/>
      </c>
      <c r="G806" s="45"/>
      <c r="H806" s="73"/>
      <c r="I806" s="18" t="str">
        <f t="shared" si="50"/>
        <v/>
      </c>
      <c r="J806" s="45"/>
      <c r="K806" s="45"/>
    </row>
    <row r="807" spans="1:11">
      <c r="A807" s="10" t="str">
        <f t="shared" si="51"/>
        <v/>
      </c>
      <c r="B807" s="45"/>
      <c r="C807" s="11" t="str">
        <f t="shared" si="48"/>
        <v/>
      </c>
      <c r="D807" s="11" t="str">
        <f t="shared" si="49"/>
        <v/>
      </c>
      <c r="E807" s="45"/>
      <c r="F807" s="11" t="str">
        <f>IFERROR(VLOOKUP(E807,Category!$D$2:$E$600,2,FALSE),"")</f>
        <v/>
      </c>
      <c r="G807" s="45"/>
      <c r="H807" s="73"/>
      <c r="I807" s="18" t="str">
        <f t="shared" si="50"/>
        <v/>
      </c>
      <c r="J807" s="45"/>
      <c r="K807" s="45"/>
    </row>
    <row r="808" spans="1:11">
      <c r="A808" s="10" t="str">
        <f t="shared" si="51"/>
        <v/>
      </c>
      <c r="B808" s="45"/>
      <c r="C808" s="11" t="str">
        <f t="shared" si="48"/>
        <v/>
      </c>
      <c r="D808" s="11" t="str">
        <f t="shared" si="49"/>
        <v/>
      </c>
      <c r="E808" s="45"/>
      <c r="F808" s="11" t="str">
        <f>IFERROR(VLOOKUP(E808,Category!$D$2:$E$600,2,FALSE),"")</f>
        <v/>
      </c>
      <c r="G808" s="45"/>
      <c r="H808" s="73"/>
      <c r="I808" s="18" t="str">
        <f t="shared" si="50"/>
        <v/>
      </c>
      <c r="J808" s="45"/>
      <c r="K808" s="45"/>
    </row>
    <row r="809" spans="1:11">
      <c r="A809" s="10" t="str">
        <f t="shared" si="51"/>
        <v/>
      </c>
      <c r="B809" s="45"/>
      <c r="C809" s="11" t="str">
        <f t="shared" si="48"/>
        <v/>
      </c>
      <c r="D809" s="11" t="str">
        <f t="shared" si="49"/>
        <v/>
      </c>
      <c r="E809" s="45"/>
      <c r="F809" s="11" t="str">
        <f>IFERROR(VLOOKUP(E809,Category!$D$2:$E$600,2,FALSE),"")</f>
        <v/>
      </c>
      <c r="G809" s="45"/>
      <c r="H809" s="73"/>
      <c r="I809" s="18" t="str">
        <f t="shared" si="50"/>
        <v/>
      </c>
      <c r="J809" s="45"/>
      <c r="K809" s="45"/>
    </row>
    <row r="810" spans="1:11">
      <c r="A810" s="10" t="str">
        <f t="shared" si="51"/>
        <v/>
      </c>
      <c r="B810" s="45"/>
      <c r="C810" s="11" t="str">
        <f t="shared" si="48"/>
        <v/>
      </c>
      <c r="D810" s="11" t="str">
        <f t="shared" si="49"/>
        <v/>
      </c>
      <c r="E810" s="45"/>
      <c r="F810" s="11" t="str">
        <f>IFERROR(VLOOKUP(E810,Category!$D$2:$E$600,2,FALSE),"")</f>
        <v/>
      </c>
      <c r="G810" s="45"/>
      <c r="H810" s="73"/>
      <c r="I810" s="18" t="str">
        <f t="shared" si="50"/>
        <v/>
      </c>
      <c r="J810" s="45"/>
      <c r="K810" s="45"/>
    </row>
    <row r="811" spans="1:11">
      <c r="A811" s="10" t="str">
        <f t="shared" si="51"/>
        <v/>
      </c>
      <c r="B811" s="45"/>
      <c r="C811" s="11" t="str">
        <f t="shared" si="48"/>
        <v/>
      </c>
      <c r="D811" s="11" t="str">
        <f t="shared" si="49"/>
        <v/>
      </c>
      <c r="E811" s="45"/>
      <c r="F811" s="11" t="str">
        <f>IFERROR(VLOOKUP(E811,Category!$D$2:$E$600,2,FALSE),"")</f>
        <v/>
      </c>
      <c r="G811" s="45"/>
      <c r="H811" s="73"/>
      <c r="I811" s="18" t="str">
        <f t="shared" si="50"/>
        <v/>
      </c>
      <c r="J811" s="45"/>
      <c r="K811" s="45"/>
    </row>
    <row r="812" spans="1:11">
      <c r="A812" s="10" t="str">
        <f t="shared" si="51"/>
        <v/>
      </c>
      <c r="B812" s="45"/>
      <c r="C812" s="11" t="str">
        <f t="shared" si="48"/>
        <v/>
      </c>
      <c r="D812" s="11" t="str">
        <f t="shared" si="49"/>
        <v/>
      </c>
      <c r="E812" s="45"/>
      <c r="F812" s="11" t="str">
        <f>IFERROR(VLOOKUP(E812,Category!$D$2:$E$600,2,FALSE),"")</f>
        <v/>
      </c>
      <c r="G812" s="45"/>
      <c r="H812" s="73"/>
      <c r="I812" s="18" t="str">
        <f t="shared" si="50"/>
        <v/>
      </c>
      <c r="J812" s="45"/>
      <c r="K812" s="45"/>
    </row>
    <row r="813" spans="1:11">
      <c r="A813" s="10" t="str">
        <f t="shared" si="51"/>
        <v/>
      </c>
      <c r="B813" s="45"/>
      <c r="C813" s="11" t="str">
        <f t="shared" si="48"/>
        <v/>
      </c>
      <c r="D813" s="11" t="str">
        <f t="shared" si="49"/>
        <v/>
      </c>
      <c r="E813" s="45"/>
      <c r="F813" s="11" t="str">
        <f>IFERROR(VLOOKUP(E813,Category!$D$2:$E$600,2,FALSE),"")</f>
        <v/>
      </c>
      <c r="G813" s="45"/>
      <c r="H813" s="73"/>
      <c r="I813" s="18" t="str">
        <f t="shared" si="50"/>
        <v/>
      </c>
      <c r="J813" s="45"/>
      <c r="K813" s="45"/>
    </row>
    <row r="814" spans="1:11">
      <c r="A814" s="10" t="str">
        <f t="shared" si="51"/>
        <v/>
      </c>
      <c r="B814" s="45"/>
      <c r="C814" s="11" t="str">
        <f t="shared" si="48"/>
        <v/>
      </c>
      <c r="D814" s="11" t="str">
        <f t="shared" si="49"/>
        <v/>
      </c>
      <c r="E814" s="45"/>
      <c r="F814" s="11" t="str">
        <f>IFERROR(VLOOKUP(E814,Category!$D$2:$E$600,2,FALSE),"")</f>
        <v/>
      </c>
      <c r="G814" s="45"/>
      <c r="H814" s="73"/>
      <c r="I814" s="18" t="str">
        <f t="shared" si="50"/>
        <v/>
      </c>
      <c r="J814" s="45"/>
      <c r="K814" s="45"/>
    </row>
    <row r="815" spans="1:11">
      <c r="A815" s="10" t="str">
        <f t="shared" si="51"/>
        <v/>
      </c>
      <c r="B815" s="45"/>
      <c r="C815" s="11" t="str">
        <f t="shared" si="48"/>
        <v/>
      </c>
      <c r="D815" s="11" t="str">
        <f t="shared" si="49"/>
        <v/>
      </c>
      <c r="E815" s="45"/>
      <c r="F815" s="11" t="str">
        <f>IFERROR(VLOOKUP(E815,Category!$D$2:$E$600,2,FALSE),"")</f>
        <v/>
      </c>
      <c r="G815" s="45"/>
      <c r="H815" s="73"/>
      <c r="I815" s="18" t="str">
        <f t="shared" si="50"/>
        <v/>
      </c>
      <c r="J815" s="45"/>
      <c r="K815" s="45"/>
    </row>
    <row r="816" spans="1:11">
      <c r="A816" s="10" t="str">
        <f t="shared" si="51"/>
        <v/>
      </c>
      <c r="B816" s="45"/>
      <c r="C816" s="11" t="str">
        <f t="shared" si="48"/>
        <v/>
      </c>
      <c r="D816" s="11" t="str">
        <f t="shared" si="49"/>
        <v/>
      </c>
      <c r="E816" s="45"/>
      <c r="F816" s="11" t="str">
        <f>IFERROR(VLOOKUP(E816,Category!$D$2:$E$600,2,FALSE),"")</f>
        <v/>
      </c>
      <c r="G816" s="45"/>
      <c r="H816" s="73"/>
      <c r="I816" s="18" t="str">
        <f t="shared" si="50"/>
        <v/>
      </c>
      <c r="J816" s="45"/>
      <c r="K816" s="45"/>
    </row>
    <row r="817" spans="1:11">
      <c r="A817" s="10" t="str">
        <f t="shared" si="51"/>
        <v/>
      </c>
      <c r="B817" s="45"/>
      <c r="C817" s="11" t="str">
        <f t="shared" si="48"/>
        <v/>
      </c>
      <c r="D817" s="11" t="str">
        <f t="shared" si="49"/>
        <v/>
      </c>
      <c r="E817" s="45"/>
      <c r="F817" s="11" t="str">
        <f>IFERROR(VLOOKUP(E817,Category!$D$2:$E$600,2,FALSE),"")</f>
        <v/>
      </c>
      <c r="G817" s="45"/>
      <c r="H817" s="73"/>
      <c r="I817" s="18" t="str">
        <f t="shared" si="50"/>
        <v/>
      </c>
      <c r="J817" s="45"/>
      <c r="K817" s="45"/>
    </row>
    <row r="818" spans="1:11">
      <c r="A818" s="10" t="str">
        <f t="shared" si="51"/>
        <v/>
      </c>
      <c r="B818" s="45"/>
      <c r="C818" s="11" t="str">
        <f t="shared" si="48"/>
        <v/>
      </c>
      <c r="D818" s="11" t="str">
        <f t="shared" si="49"/>
        <v/>
      </c>
      <c r="E818" s="45"/>
      <c r="F818" s="11" t="str">
        <f>IFERROR(VLOOKUP(E818,Category!$D$2:$E$600,2,FALSE),"")</f>
        <v/>
      </c>
      <c r="G818" s="45"/>
      <c r="H818" s="73"/>
      <c r="I818" s="18" t="str">
        <f t="shared" si="50"/>
        <v/>
      </c>
      <c r="J818" s="45"/>
      <c r="K818" s="45"/>
    </row>
    <row r="819" spans="1:11">
      <c r="A819" s="10" t="str">
        <f t="shared" si="51"/>
        <v/>
      </c>
      <c r="B819" s="45"/>
      <c r="C819" s="11" t="str">
        <f t="shared" si="48"/>
        <v/>
      </c>
      <c r="D819" s="11" t="str">
        <f t="shared" si="49"/>
        <v/>
      </c>
      <c r="E819" s="45"/>
      <c r="F819" s="11" t="str">
        <f>IFERROR(VLOOKUP(E819,Category!$D$2:$E$600,2,FALSE),"")</f>
        <v/>
      </c>
      <c r="G819" s="45"/>
      <c r="H819" s="73"/>
      <c r="I819" s="18" t="str">
        <f t="shared" si="50"/>
        <v/>
      </c>
      <c r="J819" s="45"/>
      <c r="K819" s="45"/>
    </row>
    <row r="820" spans="1:11">
      <c r="A820" s="10" t="str">
        <f t="shared" si="51"/>
        <v/>
      </c>
      <c r="B820" s="45"/>
      <c r="C820" s="11" t="str">
        <f t="shared" si="48"/>
        <v/>
      </c>
      <c r="D820" s="11" t="str">
        <f t="shared" si="49"/>
        <v/>
      </c>
      <c r="E820" s="45"/>
      <c r="F820" s="11" t="str">
        <f>IFERROR(VLOOKUP(E820,Category!$D$2:$E$600,2,FALSE),"")</f>
        <v/>
      </c>
      <c r="G820" s="45"/>
      <c r="H820" s="73"/>
      <c r="I820" s="18" t="str">
        <f t="shared" si="50"/>
        <v/>
      </c>
      <c r="J820" s="45"/>
      <c r="K820" s="45"/>
    </row>
    <row r="821" spans="1:11">
      <c r="A821" s="10" t="str">
        <f t="shared" si="51"/>
        <v/>
      </c>
      <c r="B821" s="45"/>
      <c r="C821" s="11" t="str">
        <f t="shared" si="48"/>
        <v/>
      </c>
      <c r="D821" s="11" t="str">
        <f t="shared" si="49"/>
        <v/>
      </c>
      <c r="E821" s="45"/>
      <c r="F821" s="11" t="str">
        <f>IFERROR(VLOOKUP(E821,Category!$D$2:$E$600,2,FALSE),"")</f>
        <v/>
      </c>
      <c r="G821" s="45"/>
      <c r="H821" s="73"/>
      <c r="I821" s="18" t="str">
        <f t="shared" si="50"/>
        <v/>
      </c>
      <c r="J821" s="45"/>
      <c r="K821" s="45"/>
    </row>
    <row r="822" spans="1:11">
      <c r="A822" s="10" t="str">
        <f t="shared" si="51"/>
        <v/>
      </c>
      <c r="B822" s="45"/>
      <c r="C822" s="11" t="str">
        <f t="shared" si="48"/>
        <v/>
      </c>
      <c r="D822" s="11" t="str">
        <f t="shared" si="49"/>
        <v/>
      </c>
      <c r="E822" s="45"/>
      <c r="F822" s="11" t="str">
        <f>IFERROR(VLOOKUP(E822,Category!$D$2:$E$600,2,FALSE),"")</f>
        <v/>
      </c>
      <c r="G822" s="45"/>
      <c r="H822" s="73"/>
      <c r="I822" s="18" t="str">
        <f t="shared" si="50"/>
        <v/>
      </c>
      <c r="J822" s="45"/>
      <c r="K822" s="45"/>
    </row>
    <row r="823" spans="1:11">
      <c r="A823" s="10" t="str">
        <f t="shared" si="51"/>
        <v/>
      </c>
      <c r="B823" s="45"/>
      <c r="C823" s="11" t="str">
        <f t="shared" si="48"/>
        <v/>
      </c>
      <c r="D823" s="11" t="str">
        <f t="shared" si="49"/>
        <v/>
      </c>
      <c r="E823" s="45"/>
      <c r="F823" s="11" t="str">
        <f>IFERROR(VLOOKUP(E823,Category!$D$2:$E$600,2,FALSE),"")</f>
        <v/>
      </c>
      <c r="G823" s="45"/>
      <c r="H823" s="73"/>
      <c r="I823" s="18" t="str">
        <f t="shared" si="50"/>
        <v/>
      </c>
      <c r="J823" s="45"/>
      <c r="K823" s="45"/>
    </row>
    <row r="824" spans="1:11">
      <c r="A824" s="10" t="str">
        <f t="shared" si="51"/>
        <v/>
      </c>
      <c r="B824" s="45"/>
      <c r="C824" s="11" t="str">
        <f t="shared" si="48"/>
        <v/>
      </c>
      <c r="D824" s="11" t="str">
        <f t="shared" si="49"/>
        <v/>
      </c>
      <c r="E824" s="45"/>
      <c r="F824" s="11" t="str">
        <f>IFERROR(VLOOKUP(E824,Category!$D$2:$E$600,2,FALSE),"")</f>
        <v/>
      </c>
      <c r="G824" s="45"/>
      <c r="H824" s="73"/>
      <c r="I824" s="18" t="str">
        <f t="shared" si="50"/>
        <v/>
      </c>
      <c r="J824" s="45"/>
      <c r="K824" s="45"/>
    </row>
    <row r="825" spans="1:11">
      <c r="A825" s="10" t="str">
        <f t="shared" si="51"/>
        <v/>
      </c>
      <c r="B825" s="45"/>
      <c r="C825" s="11" t="str">
        <f t="shared" si="48"/>
        <v/>
      </c>
      <c r="D825" s="11" t="str">
        <f t="shared" si="49"/>
        <v/>
      </c>
      <c r="E825" s="45"/>
      <c r="F825" s="11" t="str">
        <f>IFERROR(VLOOKUP(E825,Category!$D$2:$E$600,2,FALSE),"")</f>
        <v/>
      </c>
      <c r="G825" s="45"/>
      <c r="H825" s="73"/>
      <c r="I825" s="18" t="str">
        <f t="shared" si="50"/>
        <v/>
      </c>
      <c r="J825" s="45"/>
      <c r="K825" s="45"/>
    </row>
    <row r="826" spans="1:11">
      <c r="A826" s="10" t="str">
        <f t="shared" si="51"/>
        <v/>
      </c>
      <c r="B826" s="45"/>
      <c r="C826" s="11" t="str">
        <f t="shared" si="48"/>
        <v/>
      </c>
      <c r="D826" s="11" t="str">
        <f t="shared" si="49"/>
        <v/>
      </c>
      <c r="E826" s="45"/>
      <c r="F826" s="11" t="str">
        <f>IFERROR(VLOOKUP(E826,Category!$D$2:$E$600,2,FALSE),"")</f>
        <v/>
      </c>
      <c r="G826" s="45"/>
      <c r="H826" s="73"/>
      <c r="I826" s="18" t="str">
        <f t="shared" si="50"/>
        <v/>
      </c>
      <c r="J826" s="45"/>
      <c r="K826" s="45"/>
    </row>
    <row r="827" spans="1:11">
      <c r="A827" s="10" t="str">
        <f t="shared" si="51"/>
        <v/>
      </c>
      <c r="B827" s="45"/>
      <c r="C827" s="11" t="str">
        <f t="shared" si="48"/>
        <v/>
      </c>
      <c r="D827" s="11" t="str">
        <f t="shared" si="49"/>
        <v/>
      </c>
      <c r="E827" s="45"/>
      <c r="F827" s="11" t="str">
        <f>IFERROR(VLOOKUP(E827,Category!$D$2:$E$600,2,FALSE),"")</f>
        <v/>
      </c>
      <c r="G827" s="45"/>
      <c r="H827" s="73"/>
      <c r="I827" s="18" t="str">
        <f t="shared" si="50"/>
        <v/>
      </c>
      <c r="J827" s="45"/>
      <c r="K827" s="45"/>
    </row>
    <row r="828" spans="1:11">
      <c r="A828" s="10" t="str">
        <f t="shared" si="51"/>
        <v/>
      </c>
      <c r="B828" s="45"/>
      <c r="C828" s="11" t="str">
        <f t="shared" si="48"/>
        <v/>
      </c>
      <c r="D828" s="11" t="str">
        <f t="shared" si="49"/>
        <v/>
      </c>
      <c r="E828" s="45"/>
      <c r="F828" s="11" t="str">
        <f>IFERROR(VLOOKUP(E828,Category!$D$2:$E$600,2,FALSE),"")</f>
        <v/>
      </c>
      <c r="G828" s="45"/>
      <c r="H828" s="73"/>
      <c r="I828" s="18" t="str">
        <f t="shared" si="50"/>
        <v/>
      </c>
      <c r="J828" s="45"/>
      <c r="K828" s="45"/>
    </row>
    <row r="829" spans="1:11">
      <c r="A829" s="10" t="str">
        <f t="shared" si="51"/>
        <v/>
      </c>
      <c r="B829" s="45"/>
      <c r="C829" s="11" t="str">
        <f t="shared" si="48"/>
        <v/>
      </c>
      <c r="D829" s="11" t="str">
        <f t="shared" si="49"/>
        <v/>
      </c>
      <c r="E829" s="45"/>
      <c r="F829" s="11" t="str">
        <f>IFERROR(VLOOKUP(E829,Category!$D$2:$E$600,2,FALSE),"")</f>
        <v/>
      </c>
      <c r="G829" s="45"/>
      <c r="H829" s="73"/>
      <c r="I829" s="18" t="str">
        <f t="shared" si="50"/>
        <v/>
      </c>
      <c r="J829" s="45"/>
      <c r="K829" s="45"/>
    </row>
    <row r="830" spans="1:11">
      <c r="A830" s="10" t="str">
        <f t="shared" si="51"/>
        <v/>
      </c>
      <c r="B830" s="45"/>
      <c r="C830" s="11" t="str">
        <f t="shared" si="48"/>
        <v/>
      </c>
      <c r="D830" s="11" t="str">
        <f t="shared" si="49"/>
        <v/>
      </c>
      <c r="E830" s="45"/>
      <c r="F830" s="11" t="str">
        <f>IFERROR(VLOOKUP(E830,Category!$D$2:$E$600,2,FALSE),"")</f>
        <v/>
      </c>
      <c r="G830" s="45"/>
      <c r="H830" s="73"/>
      <c r="I830" s="18" t="str">
        <f t="shared" si="50"/>
        <v/>
      </c>
      <c r="J830" s="45"/>
      <c r="K830" s="45"/>
    </row>
    <row r="831" spans="1:11">
      <c r="A831" s="10" t="str">
        <f t="shared" si="51"/>
        <v/>
      </c>
      <c r="B831" s="45"/>
      <c r="C831" s="11" t="str">
        <f t="shared" si="48"/>
        <v/>
      </c>
      <c r="D831" s="11" t="str">
        <f t="shared" si="49"/>
        <v/>
      </c>
      <c r="E831" s="45"/>
      <c r="F831" s="11" t="str">
        <f>IFERROR(VLOOKUP(E831,Category!$D$2:$E$600,2,FALSE),"")</f>
        <v/>
      </c>
      <c r="G831" s="45"/>
      <c r="H831" s="73"/>
      <c r="I831" s="18" t="str">
        <f t="shared" si="50"/>
        <v/>
      </c>
      <c r="J831" s="45"/>
      <c r="K831" s="45"/>
    </row>
    <row r="832" spans="1:11">
      <c r="A832" s="10" t="str">
        <f t="shared" si="51"/>
        <v/>
      </c>
      <c r="B832" s="45"/>
      <c r="C832" s="11" t="str">
        <f t="shared" si="48"/>
        <v/>
      </c>
      <c r="D832" s="11" t="str">
        <f t="shared" si="49"/>
        <v/>
      </c>
      <c r="E832" s="45"/>
      <c r="F832" s="11" t="str">
        <f>IFERROR(VLOOKUP(E832,Category!$D$2:$E$600,2,FALSE),"")</f>
        <v/>
      </c>
      <c r="G832" s="45"/>
      <c r="H832" s="73"/>
      <c r="I832" s="18" t="str">
        <f t="shared" si="50"/>
        <v/>
      </c>
      <c r="J832" s="45"/>
      <c r="K832" s="45"/>
    </row>
    <row r="833" spans="1:11">
      <c r="A833" s="10" t="str">
        <f t="shared" si="51"/>
        <v/>
      </c>
      <c r="B833" s="45"/>
      <c r="C833" s="11" t="str">
        <f t="shared" si="48"/>
        <v/>
      </c>
      <c r="D833" s="11" t="str">
        <f t="shared" si="49"/>
        <v/>
      </c>
      <c r="E833" s="45"/>
      <c r="F833" s="11" t="str">
        <f>IFERROR(VLOOKUP(E833,Category!$D$2:$E$600,2,FALSE),"")</f>
        <v/>
      </c>
      <c r="G833" s="45"/>
      <c r="H833" s="73"/>
      <c r="I833" s="18" t="str">
        <f t="shared" si="50"/>
        <v/>
      </c>
      <c r="J833" s="45"/>
      <c r="K833" s="45"/>
    </row>
    <row r="834" spans="1:11">
      <c r="A834" s="10" t="str">
        <f t="shared" si="51"/>
        <v/>
      </c>
      <c r="B834" s="45"/>
      <c r="C834" s="11" t="str">
        <f t="shared" si="48"/>
        <v/>
      </c>
      <c r="D834" s="11" t="str">
        <f t="shared" si="49"/>
        <v/>
      </c>
      <c r="E834" s="45"/>
      <c r="F834" s="11" t="str">
        <f>IFERROR(VLOOKUP(E834,Category!$D$2:$E$600,2,FALSE),"")</f>
        <v/>
      </c>
      <c r="G834" s="45"/>
      <c r="H834" s="73"/>
      <c r="I834" s="18" t="str">
        <f t="shared" si="50"/>
        <v/>
      </c>
      <c r="J834" s="45"/>
      <c r="K834" s="45"/>
    </row>
    <row r="835" spans="1:11">
      <c r="A835" s="10" t="str">
        <f t="shared" si="51"/>
        <v/>
      </c>
      <c r="B835" s="45"/>
      <c r="C835" s="11" t="str">
        <f t="shared" ref="C835:C898" si="52">IF(B835=0,"",TEXT(B835,"mmmm"))</f>
        <v/>
      </c>
      <c r="D835" s="11" t="str">
        <f t="shared" ref="D835:D898" si="53">IF(B835=0,"",TEXT(B835,"yyyy"))</f>
        <v/>
      </c>
      <c r="E835" s="45"/>
      <c r="F835" s="11" t="str">
        <f>IFERROR(VLOOKUP(E835,Category!$D$2:$E$600,2,FALSE),"")</f>
        <v/>
      </c>
      <c r="G835" s="45"/>
      <c r="H835" s="73"/>
      <c r="I835" s="18" t="str">
        <f t="shared" ref="I835:I898" si="54">IF(G835*H835=0,"",G835*H835)</f>
        <v/>
      </c>
      <c r="J835" s="45"/>
      <c r="K835" s="45"/>
    </row>
    <row r="836" spans="1:11">
      <c r="A836" s="10" t="str">
        <f t="shared" ref="A836:A899" si="55">IF(E836&gt;0,A835+1,"")</f>
        <v/>
      </c>
      <c r="B836" s="45"/>
      <c r="C836" s="11" t="str">
        <f t="shared" si="52"/>
        <v/>
      </c>
      <c r="D836" s="11" t="str">
        <f t="shared" si="53"/>
        <v/>
      </c>
      <c r="E836" s="45"/>
      <c r="F836" s="11" t="str">
        <f>IFERROR(VLOOKUP(E836,Category!$D$2:$E$600,2,FALSE),"")</f>
        <v/>
      </c>
      <c r="G836" s="45"/>
      <c r="H836" s="73"/>
      <c r="I836" s="18" t="str">
        <f t="shared" si="54"/>
        <v/>
      </c>
      <c r="J836" s="45"/>
      <c r="K836" s="45"/>
    </row>
    <row r="837" spans="1:11">
      <c r="A837" s="10" t="str">
        <f t="shared" si="55"/>
        <v/>
      </c>
      <c r="B837" s="45"/>
      <c r="C837" s="11" t="str">
        <f t="shared" si="52"/>
        <v/>
      </c>
      <c r="D837" s="11" t="str">
        <f t="shared" si="53"/>
        <v/>
      </c>
      <c r="E837" s="45"/>
      <c r="F837" s="11" t="str">
        <f>IFERROR(VLOOKUP(E837,Category!$D$2:$E$600,2,FALSE),"")</f>
        <v/>
      </c>
      <c r="G837" s="45"/>
      <c r="H837" s="73"/>
      <c r="I837" s="18" t="str">
        <f t="shared" si="54"/>
        <v/>
      </c>
      <c r="J837" s="45"/>
      <c r="K837" s="45"/>
    </row>
    <row r="838" spans="1:11">
      <c r="A838" s="10" t="str">
        <f t="shared" si="55"/>
        <v/>
      </c>
      <c r="B838" s="45"/>
      <c r="C838" s="11" t="str">
        <f t="shared" si="52"/>
        <v/>
      </c>
      <c r="D838" s="11" t="str">
        <f t="shared" si="53"/>
        <v/>
      </c>
      <c r="E838" s="45"/>
      <c r="F838" s="11" t="str">
        <f>IFERROR(VLOOKUP(E838,Category!$D$2:$E$600,2,FALSE),"")</f>
        <v/>
      </c>
      <c r="G838" s="45"/>
      <c r="H838" s="73"/>
      <c r="I838" s="18" t="str">
        <f t="shared" si="54"/>
        <v/>
      </c>
      <c r="J838" s="45"/>
      <c r="K838" s="45"/>
    </row>
    <row r="839" spans="1:11">
      <c r="A839" s="10" t="str">
        <f t="shared" si="55"/>
        <v/>
      </c>
      <c r="B839" s="45"/>
      <c r="C839" s="11" t="str">
        <f t="shared" si="52"/>
        <v/>
      </c>
      <c r="D839" s="11" t="str">
        <f t="shared" si="53"/>
        <v/>
      </c>
      <c r="E839" s="45"/>
      <c r="F839" s="11" t="str">
        <f>IFERROR(VLOOKUP(E839,Category!$D$2:$E$600,2,FALSE),"")</f>
        <v/>
      </c>
      <c r="G839" s="45"/>
      <c r="H839" s="73"/>
      <c r="I839" s="18" t="str">
        <f t="shared" si="54"/>
        <v/>
      </c>
      <c r="J839" s="45"/>
      <c r="K839" s="45"/>
    </row>
    <row r="840" spans="1:11">
      <c r="A840" s="10" t="str">
        <f t="shared" si="55"/>
        <v/>
      </c>
      <c r="B840" s="45"/>
      <c r="C840" s="11" t="str">
        <f t="shared" si="52"/>
        <v/>
      </c>
      <c r="D840" s="11" t="str">
        <f t="shared" si="53"/>
        <v/>
      </c>
      <c r="E840" s="45"/>
      <c r="F840" s="11" t="str">
        <f>IFERROR(VLOOKUP(E840,Category!$D$2:$E$600,2,FALSE),"")</f>
        <v/>
      </c>
      <c r="G840" s="45"/>
      <c r="H840" s="73"/>
      <c r="I840" s="18" t="str">
        <f t="shared" si="54"/>
        <v/>
      </c>
      <c r="J840" s="45"/>
      <c r="K840" s="45"/>
    </row>
    <row r="841" spans="1:11">
      <c r="A841" s="10" t="str">
        <f t="shared" si="55"/>
        <v/>
      </c>
      <c r="B841" s="45"/>
      <c r="C841" s="11" t="str">
        <f t="shared" si="52"/>
        <v/>
      </c>
      <c r="D841" s="11" t="str">
        <f t="shared" si="53"/>
        <v/>
      </c>
      <c r="E841" s="45"/>
      <c r="F841" s="11" t="str">
        <f>IFERROR(VLOOKUP(E841,Category!$D$2:$E$600,2,FALSE),"")</f>
        <v/>
      </c>
      <c r="G841" s="45"/>
      <c r="H841" s="73"/>
      <c r="I841" s="18" t="str">
        <f t="shared" si="54"/>
        <v/>
      </c>
      <c r="J841" s="45"/>
      <c r="K841" s="45"/>
    </row>
    <row r="842" spans="1:11">
      <c r="A842" s="10" t="str">
        <f t="shared" si="55"/>
        <v/>
      </c>
      <c r="B842" s="45"/>
      <c r="C842" s="11" t="str">
        <f t="shared" si="52"/>
        <v/>
      </c>
      <c r="D842" s="11" t="str">
        <f t="shared" si="53"/>
        <v/>
      </c>
      <c r="E842" s="45"/>
      <c r="F842" s="11" t="str">
        <f>IFERROR(VLOOKUP(E842,Category!$D$2:$E$600,2,FALSE),"")</f>
        <v/>
      </c>
      <c r="G842" s="45"/>
      <c r="H842" s="73"/>
      <c r="I842" s="18" t="str">
        <f t="shared" si="54"/>
        <v/>
      </c>
      <c r="J842" s="45"/>
      <c r="K842" s="45"/>
    </row>
    <row r="843" spans="1:11">
      <c r="A843" s="10" t="str">
        <f t="shared" si="55"/>
        <v/>
      </c>
      <c r="B843" s="45"/>
      <c r="C843" s="11" t="str">
        <f t="shared" si="52"/>
        <v/>
      </c>
      <c r="D843" s="11" t="str">
        <f t="shared" si="53"/>
        <v/>
      </c>
      <c r="E843" s="45"/>
      <c r="F843" s="11" t="str">
        <f>IFERROR(VLOOKUP(E843,Category!$D$2:$E$600,2,FALSE),"")</f>
        <v/>
      </c>
      <c r="G843" s="45"/>
      <c r="H843" s="73"/>
      <c r="I843" s="18" t="str">
        <f t="shared" si="54"/>
        <v/>
      </c>
      <c r="J843" s="45"/>
      <c r="K843" s="45"/>
    </row>
    <row r="844" spans="1:11">
      <c r="A844" s="10" t="str">
        <f t="shared" si="55"/>
        <v/>
      </c>
      <c r="B844" s="45"/>
      <c r="C844" s="11" t="str">
        <f t="shared" si="52"/>
        <v/>
      </c>
      <c r="D844" s="11" t="str">
        <f t="shared" si="53"/>
        <v/>
      </c>
      <c r="E844" s="45"/>
      <c r="F844" s="11" t="str">
        <f>IFERROR(VLOOKUP(E844,Category!$D$2:$E$600,2,FALSE),"")</f>
        <v/>
      </c>
      <c r="G844" s="45"/>
      <c r="H844" s="73"/>
      <c r="I844" s="18" t="str">
        <f t="shared" si="54"/>
        <v/>
      </c>
      <c r="J844" s="45"/>
      <c r="K844" s="45"/>
    </row>
    <row r="845" spans="1:11">
      <c r="A845" s="10" t="str">
        <f t="shared" si="55"/>
        <v/>
      </c>
      <c r="B845" s="45"/>
      <c r="C845" s="11" t="str">
        <f t="shared" si="52"/>
        <v/>
      </c>
      <c r="D845" s="11" t="str">
        <f t="shared" si="53"/>
        <v/>
      </c>
      <c r="E845" s="45"/>
      <c r="F845" s="11" t="str">
        <f>IFERROR(VLOOKUP(E845,Category!$D$2:$E$600,2,FALSE),"")</f>
        <v/>
      </c>
      <c r="G845" s="45"/>
      <c r="H845" s="73"/>
      <c r="I845" s="18" t="str">
        <f t="shared" si="54"/>
        <v/>
      </c>
      <c r="J845" s="45"/>
      <c r="K845" s="45"/>
    </row>
    <row r="846" spans="1:11">
      <c r="A846" s="10" t="str">
        <f t="shared" si="55"/>
        <v/>
      </c>
      <c r="B846" s="45"/>
      <c r="C846" s="11" t="str">
        <f t="shared" si="52"/>
        <v/>
      </c>
      <c r="D846" s="11" t="str">
        <f t="shared" si="53"/>
        <v/>
      </c>
      <c r="E846" s="45"/>
      <c r="F846" s="11" t="str">
        <f>IFERROR(VLOOKUP(E846,Category!$D$2:$E$600,2,FALSE),"")</f>
        <v/>
      </c>
      <c r="G846" s="45"/>
      <c r="H846" s="73"/>
      <c r="I846" s="18" t="str">
        <f t="shared" si="54"/>
        <v/>
      </c>
      <c r="J846" s="45"/>
      <c r="K846" s="45"/>
    </row>
    <row r="847" spans="1:11">
      <c r="A847" s="10" t="str">
        <f t="shared" si="55"/>
        <v/>
      </c>
      <c r="B847" s="45"/>
      <c r="C847" s="11" t="str">
        <f t="shared" si="52"/>
        <v/>
      </c>
      <c r="D847" s="11" t="str">
        <f t="shared" si="53"/>
        <v/>
      </c>
      <c r="E847" s="45"/>
      <c r="F847" s="11" t="str">
        <f>IFERROR(VLOOKUP(E847,Category!$D$2:$E$600,2,FALSE),"")</f>
        <v/>
      </c>
      <c r="G847" s="45"/>
      <c r="H847" s="73"/>
      <c r="I847" s="18" t="str">
        <f t="shared" si="54"/>
        <v/>
      </c>
      <c r="J847" s="45"/>
      <c r="K847" s="45"/>
    </row>
    <row r="848" spans="1:11">
      <c r="A848" s="10" t="str">
        <f t="shared" si="55"/>
        <v/>
      </c>
      <c r="B848" s="45"/>
      <c r="C848" s="11" t="str">
        <f t="shared" si="52"/>
        <v/>
      </c>
      <c r="D848" s="11" t="str">
        <f t="shared" si="53"/>
        <v/>
      </c>
      <c r="E848" s="45"/>
      <c r="F848" s="11" t="str">
        <f>IFERROR(VLOOKUP(E848,Category!$D$2:$E$600,2,FALSE),"")</f>
        <v/>
      </c>
      <c r="G848" s="45"/>
      <c r="H848" s="73"/>
      <c r="I848" s="18" t="str">
        <f t="shared" si="54"/>
        <v/>
      </c>
      <c r="J848" s="45"/>
      <c r="K848" s="45"/>
    </row>
    <row r="849" spans="1:11">
      <c r="A849" s="10" t="str">
        <f t="shared" si="55"/>
        <v/>
      </c>
      <c r="B849" s="45"/>
      <c r="C849" s="11" t="str">
        <f t="shared" si="52"/>
        <v/>
      </c>
      <c r="D849" s="11" t="str">
        <f t="shared" si="53"/>
        <v/>
      </c>
      <c r="E849" s="45"/>
      <c r="F849" s="11" t="str">
        <f>IFERROR(VLOOKUP(E849,Category!$D$2:$E$600,2,FALSE),"")</f>
        <v/>
      </c>
      <c r="G849" s="45"/>
      <c r="H849" s="73"/>
      <c r="I849" s="18" t="str">
        <f t="shared" si="54"/>
        <v/>
      </c>
      <c r="J849" s="45"/>
      <c r="K849" s="45"/>
    </row>
    <row r="850" spans="1:11">
      <c r="A850" s="10" t="str">
        <f t="shared" si="55"/>
        <v/>
      </c>
      <c r="B850" s="45"/>
      <c r="C850" s="11" t="str">
        <f t="shared" si="52"/>
        <v/>
      </c>
      <c r="D850" s="11" t="str">
        <f t="shared" si="53"/>
        <v/>
      </c>
      <c r="E850" s="45"/>
      <c r="F850" s="11" t="str">
        <f>IFERROR(VLOOKUP(E850,Category!$D$2:$E$600,2,FALSE),"")</f>
        <v/>
      </c>
      <c r="G850" s="45"/>
      <c r="H850" s="73"/>
      <c r="I850" s="18" t="str">
        <f t="shared" si="54"/>
        <v/>
      </c>
      <c r="J850" s="45"/>
      <c r="K850" s="45"/>
    </row>
    <row r="851" spans="1:11">
      <c r="A851" s="10" t="str">
        <f t="shared" si="55"/>
        <v/>
      </c>
      <c r="B851" s="45"/>
      <c r="C851" s="11" t="str">
        <f t="shared" si="52"/>
        <v/>
      </c>
      <c r="D851" s="11" t="str">
        <f t="shared" si="53"/>
        <v/>
      </c>
      <c r="E851" s="45"/>
      <c r="F851" s="11" t="str">
        <f>IFERROR(VLOOKUP(E851,Category!$D$2:$E$600,2,FALSE),"")</f>
        <v/>
      </c>
      <c r="G851" s="45"/>
      <c r="H851" s="73"/>
      <c r="I851" s="18" t="str">
        <f t="shared" si="54"/>
        <v/>
      </c>
      <c r="J851" s="45"/>
      <c r="K851" s="45"/>
    </row>
    <row r="852" spans="1:11">
      <c r="A852" s="10" t="str">
        <f t="shared" si="55"/>
        <v/>
      </c>
      <c r="B852" s="45"/>
      <c r="C852" s="11" t="str">
        <f t="shared" si="52"/>
        <v/>
      </c>
      <c r="D852" s="11" t="str">
        <f t="shared" si="53"/>
        <v/>
      </c>
      <c r="E852" s="45"/>
      <c r="F852" s="11" t="str">
        <f>IFERROR(VLOOKUP(E852,Category!$D$2:$E$600,2,FALSE),"")</f>
        <v/>
      </c>
      <c r="G852" s="45"/>
      <c r="H852" s="73"/>
      <c r="I852" s="18" t="str">
        <f t="shared" si="54"/>
        <v/>
      </c>
      <c r="J852" s="45"/>
      <c r="K852" s="45"/>
    </row>
    <row r="853" spans="1:11">
      <c r="A853" s="10" t="str">
        <f t="shared" si="55"/>
        <v/>
      </c>
      <c r="B853" s="45"/>
      <c r="C853" s="11" t="str">
        <f t="shared" si="52"/>
        <v/>
      </c>
      <c r="D853" s="11" t="str">
        <f t="shared" si="53"/>
        <v/>
      </c>
      <c r="E853" s="45"/>
      <c r="F853" s="11" t="str">
        <f>IFERROR(VLOOKUP(E853,Category!$D$2:$E$600,2,FALSE),"")</f>
        <v/>
      </c>
      <c r="G853" s="45"/>
      <c r="H853" s="73"/>
      <c r="I853" s="18" t="str">
        <f t="shared" si="54"/>
        <v/>
      </c>
      <c r="J853" s="45"/>
      <c r="K853" s="45"/>
    </row>
    <row r="854" spans="1:11">
      <c r="A854" s="10" t="str">
        <f t="shared" si="55"/>
        <v/>
      </c>
      <c r="B854" s="45"/>
      <c r="C854" s="11" t="str">
        <f t="shared" si="52"/>
        <v/>
      </c>
      <c r="D854" s="11" t="str">
        <f t="shared" si="53"/>
        <v/>
      </c>
      <c r="E854" s="45"/>
      <c r="F854" s="11" t="str">
        <f>IFERROR(VLOOKUP(E854,Category!$D$2:$E$600,2,FALSE),"")</f>
        <v/>
      </c>
      <c r="G854" s="45"/>
      <c r="H854" s="73"/>
      <c r="I854" s="18" t="str">
        <f t="shared" si="54"/>
        <v/>
      </c>
      <c r="J854" s="45"/>
      <c r="K854" s="45"/>
    </row>
    <row r="855" spans="1:11">
      <c r="A855" s="10" t="str">
        <f t="shared" si="55"/>
        <v/>
      </c>
      <c r="B855" s="45"/>
      <c r="C855" s="11" t="str">
        <f t="shared" si="52"/>
        <v/>
      </c>
      <c r="D855" s="11" t="str">
        <f t="shared" si="53"/>
        <v/>
      </c>
      <c r="E855" s="45"/>
      <c r="F855" s="11" t="str">
        <f>IFERROR(VLOOKUP(E855,Category!$D$2:$E$600,2,FALSE),"")</f>
        <v/>
      </c>
      <c r="G855" s="45"/>
      <c r="H855" s="73"/>
      <c r="I855" s="18" t="str">
        <f t="shared" si="54"/>
        <v/>
      </c>
      <c r="J855" s="45"/>
      <c r="K855" s="45"/>
    </row>
    <row r="856" spans="1:11">
      <c r="A856" s="10" t="str">
        <f t="shared" si="55"/>
        <v/>
      </c>
      <c r="B856" s="45"/>
      <c r="C856" s="11" t="str">
        <f t="shared" si="52"/>
        <v/>
      </c>
      <c r="D856" s="11" t="str">
        <f t="shared" si="53"/>
        <v/>
      </c>
      <c r="E856" s="45"/>
      <c r="F856" s="11" t="str">
        <f>IFERROR(VLOOKUP(E856,Category!$D$2:$E$600,2,FALSE),"")</f>
        <v/>
      </c>
      <c r="G856" s="45"/>
      <c r="H856" s="73"/>
      <c r="I856" s="18" t="str">
        <f t="shared" si="54"/>
        <v/>
      </c>
      <c r="J856" s="45"/>
      <c r="K856" s="45"/>
    </row>
    <row r="857" spans="1:11">
      <c r="A857" s="10" t="str">
        <f t="shared" si="55"/>
        <v/>
      </c>
      <c r="B857" s="45"/>
      <c r="C857" s="11" t="str">
        <f t="shared" si="52"/>
        <v/>
      </c>
      <c r="D857" s="11" t="str">
        <f t="shared" si="53"/>
        <v/>
      </c>
      <c r="E857" s="45"/>
      <c r="F857" s="11" t="str">
        <f>IFERROR(VLOOKUP(E857,Category!$D$2:$E$600,2,FALSE),"")</f>
        <v/>
      </c>
      <c r="G857" s="45"/>
      <c r="H857" s="73"/>
      <c r="I857" s="18" t="str">
        <f t="shared" si="54"/>
        <v/>
      </c>
      <c r="J857" s="45"/>
      <c r="K857" s="45"/>
    </row>
    <row r="858" spans="1:11">
      <c r="A858" s="10" t="str">
        <f t="shared" si="55"/>
        <v/>
      </c>
      <c r="B858" s="45"/>
      <c r="C858" s="11" t="str">
        <f t="shared" si="52"/>
        <v/>
      </c>
      <c r="D858" s="11" t="str">
        <f t="shared" si="53"/>
        <v/>
      </c>
      <c r="E858" s="45"/>
      <c r="F858" s="11" t="str">
        <f>IFERROR(VLOOKUP(E858,Category!$D$2:$E$600,2,FALSE),"")</f>
        <v/>
      </c>
      <c r="G858" s="45"/>
      <c r="H858" s="73"/>
      <c r="I858" s="18" t="str">
        <f t="shared" si="54"/>
        <v/>
      </c>
      <c r="J858" s="45"/>
      <c r="K858" s="45"/>
    </row>
    <row r="859" spans="1:11">
      <c r="A859" s="10" t="str">
        <f t="shared" si="55"/>
        <v/>
      </c>
      <c r="B859" s="45"/>
      <c r="C859" s="11" t="str">
        <f t="shared" si="52"/>
        <v/>
      </c>
      <c r="D859" s="11" t="str">
        <f t="shared" si="53"/>
        <v/>
      </c>
      <c r="E859" s="45"/>
      <c r="F859" s="11" t="str">
        <f>IFERROR(VLOOKUP(E859,Category!$D$2:$E$600,2,FALSE),"")</f>
        <v/>
      </c>
      <c r="G859" s="45"/>
      <c r="H859" s="73"/>
      <c r="I859" s="18" t="str">
        <f t="shared" si="54"/>
        <v/>
      </c>
      <c r="J859" s="45"/>
      <c r="K859" s="45"/>
    </row>
    <row r="860" spans="1:11">
      <c r="A860" s="10" t="str">
        <f t="shared" si="55"/>
        <v/>
      </c>
      <c r="B860" s="45"/>
      <c r="C860" s="11" t="str">
        <f t="shared" si="52"/>
        <v/>
      </c>
      <c r="D860" s="11" t="str">
        <f t="shared" si="53"/>
        <v/>
      </c>
      <c r="E860" s="45"/>
      <c r="F860" s="11" t="str">
        <f>IFERROR(VLOOKUP(E860,Category!$D$2:$E$600,2,FALSE),"")</f>
        <v/>
      </c>
      <c r="G860" s="45"/>
      <c r="H860" s="73"/>
      <c r="I860" s="18" t="str">
        <f t="shared" si="54"/>
        <v/>
      </c>
      <c r="J860" s="45"/>
      <c r="K860" s="45"/>
    </row>
    <row r="861" spans="1:11">
      <c r="A861" s="10" t="str">
        <f t="shared" si="55"/>
        <v/>
      </c>
      <c r="B861" s="45"/>
      <c r="C861" s="11" t="str">
        <f t="shared" si="52"/>
        <v/>
      </c>
      <c r="D861" s="11" t="str">
        <f t="shared" si="53"/>
        <v/>
      </c>
      <c r="E861" s="45"/>
      <c r="F861" s="11" t="str">
        <f>IFERROR(VLOOKUP(E861,Category!$D$2:$E$600,2,FALSE),"")</f>
        <v/>
      </c>
      <c r="G861" s="45"/>
      <c r="H861" s="73"/>
      <c r="I861" s="18" t="str">
        <f t="shared" si="54"/>
        <v/>
      </c>
      <c r="J861" s="45"/>
      <c r="K861" s="45"/>
    </row>
    <row r="862" spans="1:11">
      <c r="A862" s="10" t="str">
        <f t="shared" si="55"/>
        <v/>
      </c>
      <c r="B862" s="45"/>
      <c r="C862" s="11" t="str">
        <f t="shared" si="52"/>
        <v/>
      </c>
      <c r="D862" s="11" t="str">
        <f t="shared" si="53"/>
        <v/>
      </c>
      <c r="E862" s="45"/>
      <c r="F862" s="11" t="str">
        <f>IFERROR(VLOOKUP(E862,Category!$D$2:$E$600,2,FALSE),"")</f>
        <v/>
      </c>
      <c r="G862" s="45"/>
      <c r="H862" s="73"/>
      <c r="I862" s="18" t="str">
        <f t="shared" si="54"/>
        <v/>
      </c>
      <c r="J862" s="45"/>
      <c r="K862" s="45"/>
    </row>
    <row r="863" spans="1:11">
      <c r="A863" s="10" t="str">
        <f t="shared" si="55"/>
        <v/>
      </c>
      <c r="B863" s="45"/>
      <c r="C863" s="11" t="str">
        <f t="shared" si="52"/>
        <v/>
      </c>
      <c r="D863" s="11" t="str">
        <f t="shared" si="53"/>
        <v/>
      </c>
      <c r="E863" s="45"/>
      <c r="F863" s="11" t="str">
        <f>IFERROR(VLOOKUP(E863,Category!$D$2:$E$600,2,FALSE),"")</f>
        <v/>
      </c>
      <c r="G863" s="45"/>
      <c r="H863" s="73"/>
      <c r="I863" s="18" t="str">
        <f t="shared" si="54"/>
        <v/>
      </c>
      <c r="J863" s="45"/>
      <c r="K863" s="45"/>
    </row>
    <row r="864" spans="1:11">
      <c r="A864" s="10" t="str">
        <f t="shared" si="55"/>
        <v/>
      </c>
      <c r="B864" s="45"/>
      <c r="C864" s="11" t="str">
        <f t="shared" si="52"/>
        <v/>
      </c>
      <c r="D864" s="11" t="str">
        <f t="shared" si="53"/>
        <v/>
      </c>
      <c r="E864" s="45"/>
      <c r="F864" s="11" t="str">
        <f>IFERROR(VLOOKUP(E864,Category!$D$2:$E$600,2,FALSE),"")</f>
        <v/>
      </c>
      <c r="G864" s="45"/>
      <c r="H864" s="73"/>
      <c r="I864" s="18" t="str">
        <f t="shared" si="54"/>
        <v/>
      </c>
      <c r="J864" s="45"/>
      <c r="K864" s="45"/>
    </row>
    <row r="865" spans="1:11">
      <c r="A865" s="10" t="str">
        <f t="shared" si="55"/>
        <v/>
      </c>
      <c r="B865" s="45"/>
      <c r="C865" s="11" t="str">
        <f t="shared" si="52"/>
        <v/>
      </c>
      <c r="D865" s="11" t="str">
        <f t="shared" si="53"/>
        <v/>
      </c>
      <c r="E865" s="45"/>
      <c r="F865" s="11" t="str">
        <f>IFERROR(VLOOKUP(E865,Category!$D$2:$E$600,2,FALSE),"")</f>
        <v/>
      </c>
      <c r="G865" s="45"/>
      <c r="H865" s="73"/>
      <c r="I865" s="18" t="str">
        <f t="shared" si="54"/>
        <v/>
      </c>
      <c r="J865" s="45"/>
      <c r="K865" s="45"/>
    </row>
    <row r="866" spans="1:11">
      <c r="A866" s="10" t="str">
        <f t="shared" si="55"/>
        <v/>
      </c>
      <c r="B866" s="45"/>
      <c r="C866" s="11" t="str">
        <f t="shared" si="52"/>
        <v/>
      </c>
      <c r="D866" s="11" t="str">
        <f t="shared" si="53"/>
        <v/>
      </c>
      <c r="E866" s="45"/>
      <c r="F866" s="11" t="str">
        <f>IFERROR(VLOOKUP(E866,Category!$D$2:$E$600,2,FALSE),"")</f>
        <v/>
      </c>
      <c r="G866" s="45"/>
      <c r="H866" s="73"/>
      <c r="I866" s="18" t="str">
        <f t="shared" si="54"/>
        <v/>
      </c>
      <c r="J866" s="45"/>
      <c r="K866" s="45"/>
    </row>
    <row r="867" spans="1:11">
      <c r="A867" s="10" t="str">
        <f t="shared" si="55"/>
        <v/>
      </c>
      <c r="B867" s="45"/>
      <c r="C867" s="11" t="str">
        <f t="shared" si="52"/>
        <v/>
      </c>
      <c r="D867" s="11" t="str">
        <f t="shared" si="53"/>
        <v/>
      </c>
      <c r="E867" s="45"/>
      <c r="F867" s="11" t="str">
        <f>IFERROR(VLOOKUP(E867,Category!$D$2:$E$600,2,FALSE),"")</f>
        <v/>
      </c>
      <c r="G867" s="45"/>
      <c r="H867" s="73"/>
      <c r="I867" s="18" t="str">
        <f t="shared" si="54"/>
        <v/>
      </c>
      <c r="J867" s="45"/>
      <c r="K867" s="45"/>
    </row>
    <row r="868" spans="1:11">
      <c r="A868" s="10" t="str">
        <f t="shared" si="55"/>
        <v/>
      </c>
      <c r="B868" s="45"/>
      <c r="C868" s="11" t="str">
        <f t="shared" si="52"/>
        <v/>
      </c>
      <c r="D868" s="11" t="str">
        <f t="shared" si="53"/>
        <v/>
      </c>
      <c r="E868" s="45"/>
      <c r="F868" s="11" t="str">
        <f>IFERROR(VLOOKUP(E868,Category!$D$2:$E$600,2,FALSE),"")</f>
        <v/>
      </c>
      <c r="G868" s="45"/>
      <c r="H868" s="73"/>
      <c r="I868" s="18" t="str">
        <f t="shared" si="54"/>
        <v/>
      </c>
      <c r="J868" s="45"/>
      <c r="K868" s="45"/>
    </row>
    <row r="869" spans="1:11">
      <c r="A869" s="10" t="str">
        <f t="shared" si="55"/>
        <v/>
      </c>
      <c r="B869" s="45"/>
      <c r="C869" s="11" t="str">
        <f t="shared" si="52"/>
        <v/>
      </c>
      <c r="D869" s="11" t="str">
        <f t="shared" si="53"/>
        <v/>
      </c>
      <c r="E869" s="45"/>
      <c r="F869" s="11" t="str">
        <f>IFERROR(VLOOKUP(E869,Category!$D$2:$E$600,2,FALSE),"")</f>
        <v/>
      </c>
      <c r="G869" s="45"/>
      <c r="H869" s="73"/>
      <c r="I869" s="18" t="str">
        <f t="shared" si="54"/>
        <v/>
      </c>
      <c r="J869" s="45"/>
      <c r="K869" s="45"/>
    </row>
    <row r="870" spans="1:11">
      <c r="A870" s="10" t="str">
        <f t="shared" si="55"/>
        <v/>
      </c>
      <c r="B870" s="45"/>
      <c r="C870" s="11" t="str">
        <f t="shared" si="52"/>
        <v/>
      </c>
      <c r="D870" s="11" t="str">
        <f t="shared" si="53"/>
        <v/>
      </c>
      <c r="E870" s="45"/>
      <c r="F870" s="11" t="str">
        <f>IFERROR(VLOOKUP(E870,Category!$D$2:$E$600,2,FALSE),"")</f>
        <v/>
      </c>
      <c r="G870" s="45"/>
      <c r="H870" s="73"/>
      <c r="I870" s="18" t="str">
        <f t="shared" si="54"/>
        <v/>
      </c>
      <c r="J870" s="45"/>
      <c r="K870" s="45"/>
    </row>
    <row r="871" spans="1:11">
      <c r="A871" s="10" t="str">
        <f t="shared" si="55"/>
        <v/>
      </c>
      <c r="B871" s="45"/>
      <c r="C871" s="11" t="str">
        <f t="shared" si="52"/>
        <v/>
      </c>
      <c r="D871" s="11" t="str">
        <f t="shared" si="53"/>
        <v/>
      </c>
      <c r="E871" s="45"/>
      <c r="F871" s="11" t="str">
        <f>IFERROR(VLOOKUP(E871,Category!$D$2:$E$600,2,FALSE),"")</f>
        <v/>
      </c>
      <c r="G871" s="45"/>
      <c r="H871" s="73"/>
      <c r="I871" s="18" t="str">
        <f t="shared" si="54"/>
        <v/>
      </c>
      <c r="J871" s="45"/>
      <c r="K871" s="45"/>
    </row>
    <row r="872" spans="1:11">
      <c r="A872" s="10" t="str">
        <f t="shared" si="55"/>
        <v/>
      </c>
      <c r="B872" s="45"/>
      <c r="C872" s="11" t="str">
        <f t="shared" si="52"/>
        <v/>
      </c>
      <c r="D872" s="11" t="str">
        <f t="shared" si="53"/>
        <v/>
      </c>
      <c r="E872" s="45"/>
      <c r="F872" s="11" t="str">
        <f>IFERROR(VLOOKUP(E872,Category!$D$2:$E$600,2,FALSE),"")</f>
        <v/>
      </c>
      <c r="G872" s="45"/>
      <c r="H872" s="73"/>
      <c r="I872" s="18" t="str">
        <f t="shared" si="54"/>
        <v/>
      </c>
      <c r="J872" s="45"/>
      <c r="K872" s="45"/>
    </row>
    <row r="873" spans="1:11">
      <c r="A873" s="10" t="str">
        <f t="shared" si="55"/>
        <v/>
      </c>
      <c r="B873" s="45"/>
      <c r="C873" s="11" t="str">
        <f t="shared" si="52"/>
        <v/>
      </c>
      <c r="D873" s="11" t="str">
        <f t="shared" si="53"/>
        <v/>
      </c>
      <c r="E873" s="45"/>
      <c r="F873" s="11" t="str">
        <f>IFERROR(VLOOKUP(E873,Category!$D$2:$E$600,2,FALSE),"")</f>
        <v/>
      </c>
      <c r="G873" s="45"/>
      <c r="H873" s="73"/>
      <c r="I873" s="18" t="str">
        <f t="shared" si="54"/>
        <v/>
      </c>
      <c r="J873" s="45"/>
      <c r="K873" s="45"/>
    </row>
    <row r="874" spans="1:11">
      <c r="A874" s="10" t="str">
        <f t="shared" si="55"/>
        <v/>
      </c>
      <c r="B874" s="45"/>
      <c r="C874" s="11" t="str">
        <f t="shared" si="52"/>
        <v/>
      </c>
      <c r="D874" s="11" t="str">
        <f t="shared" si="53"/>
        <v/>
      </c>
      <c r="E874" s="45"/>
      <c r="F874" s="11" t="str">
        <f>IFERROR(VLOOKUP(E874,Category!$D$2:$E$600,2,FALSE),"")</f>
        <v/>
      </c>
      <c r="G874" s="45"/>
      <c r="H874" s="73"/>
      <c r="I874" s="18" t="str">
        <f t="shared" si="54"/>
        <v/>
      </c>
      <c r="J874" s="45"/>
      <c r="K874" s="45"/>
    </row>
    <row r="875" spans="1:11">
      <c r="A875" s="10" t="str">
        <f t="shared" si="55"/>
        <v/>
      </c>
      <c r="B875" s="45"/>
      <c r="C875" s="11" t="str">
        <f t="shared" si="52"/>
        <v/>
      </c>
      <c r="D875" s="11" t="str">
        <f t="shared" si="53"/>
        <v/>
      </c>
      <c r="E875" s="45"/>
      <c r="F875" s="11" t="str">
        <f>IFERROR(VLOOKUP(E875,Category!$D$2:$E$600,2,FALSE),"")</f>
        <v/>
      </c>
      <c r="G875" s="45"/>
      <c r="H875" s="73"/>
      <c r="I875" s="18" t="str">
        <f t="shared" si="54"/>
        <v/>
      </c>
      <c r="J875" s="45"/>
      <c r="K875" s="45"/>
    </row>
    <row r="876" spans="1:11">
      <c r="A876" s="10" t="str">
        <f t="shared" si="55"/>
        <v/>
      </c>
      <c r="B876" s="45"/>
      <c r="C876" s="11" t="str">
        <f t="shared" si="52"/>
        <v/>
      </c>
      <c r="D876" s="11" t="str">
        <f t="shared" si="53"/>
        <v/>
      </c>
      <c r="E876" s="45"/>
      <c r="F876" s="11" t="str">
        <f>IFERROR(VLOOKUP(E876,Category!$D$2:$E$600,2,FALSE),"")</f>
        <v/>
      </c>
      <c r="G876" s="45"/>
      <c r="H876" s="73"/>
      <c r="I876" s="18" t="str">
        <f t="shared" si="54"/>
        <v/>
      </c>
      <c r="J876" s="45"/>
      <c r="K876" s="45"/>
    </row>
    <row r="877" spans="1:11">
      <c r="A877" s="10" t="str">
        <f t="shared" si="55"/>
        <v/>
      </c>
      <c r="B877" s="45"/>
      <c r="C877" s="11" t="str">
        <f t="shared" si="52"/>
        <v/>
      </c>
      <c r="D877" s="11" t="str">
        <f t="shared" si="53"/>
        <v/>
      </c>
      <c r="E877" s="45"/>
      <c r="F877" s="11" t="str">
        <f>IFERROR(VLOOKUP(E877,Category!$D$2:$E$600,2,FALSE),"")</f>
        <v/>
      </c>
      <c r="G877" s="45"/>
      <c r="H877" s="73"/>
      <c r="I877" s="18" t="str">
        <f t="shared" si="54"/>
        <v/>
      </c>
      <c r="J877" s="45"/>
      <c r="K877" s="45"/>
    </row>
    <row r="878" spans="1:11">
      <c r="A878" s="10" t="str">
        <f t="shared" si="55"/>
        <v/>
      </c>
      <c r="B878" s="45"/>
      <c r="C878" s="11" t="str">
        <f t="shared" si="52"/>
        <v/>
      </c>
      <c r="D878" s="11" t="str">
        <f t="shared" si="53"/>
        <v/>
      </c>
      <c r="E878" s="45"/>
      <c r="F878" s="11" t="str">
        <f>IFERROR(VLOOKUP(E878,Category!$D$2:$E$600,2,FALSE),"")</f>
        <v/>
      </c>
      <c r="G878" s="45"/>
      <c r="H878" s="73"/>
      <c r="I878" s="18" t="str">
        <f t="shared" si="54"/>
        <v/>
      </c>
      <c r="J878" s="45"/>
      <c r="K878" s="45"/>
    </row>
    <row r="879" spans="1:11">
      <c r="A879" s="10" t="str">
        <f t="shared" si="55"/>
        <v/>
      </c>
      <c r="B879" s="45"/>
      <c r="C879" s="11" t="str">
        <f t="shared" si="52"/>
        <v/>
      </c>
      <c r="D879" s="11" t="str">
        <f t="shared" si="53"/>
        <v/>
      </c>
      <c r="E879" s="45"/>
      <c r="F879" s="11" t="str">
        <f>IFERROR(VLOOKUP(E879,Category!$D$2:$E$600,2,FALSE),"")</f>
        <v/>
      </c>
      <c r="G879" s="45"/>
      <c r="H879" s="73"/>
      <c r="I879" s="18" t="str">
        <f t="shared" si="54"/>
        <v/>
      </c>
      <c r="J879" s="45"/>
      <c r="K879" s="45"/>
    </row>
    <row r="880" spans="1:11">
      <c r="A880" s="10" t="str">
        <f t="shared" si="55"/>
        <v/>
      </c>
      <c r="B880" s="45"/>
      <c r="C880" s="11" t="str">
        <f t="shared" si="52"/>
        <v/>
      </c>
      <c r="D880" s="11" t="str">
        <f t="shared" si="53"/>
        <v/>
      </c>
      <c r="E880" s="45"/>
      <c r="F880" s="11" t="str">
        <f>IFERROR(VLOOKUP(E880,Category!$D$2:$E$600,2,FALSE),"")</f>
        <v/>
      </c>
      <c r="G880" s="45"/>
      <c r="H880" s="73"/>
      <c r="I880" s="18" t="str">
        <f t="shared" si="54"/>
        <v/>
      </c>
      <c r="J880" s="45"/>
      <c r="K880" s="45"/>
    </row>
    <row r="881" spans="1:11">
      <c r="A881" s="10" t="str">
        <f t="shared" si="55"/>
        <v/>
      </c>
      <c r="B881" s="45"/>
      <c r="C881" s="11" t="str">
        <f t="shared" si="52"/>
        <v/>
      </c>
      <c r="D881" s="11" t="str">
        <f t="shared" si="53"/>
        <v/>
      </c>
      <c r="E881" s="45"/>
      <c r="F881" s="11" t="str">
        <f>IFERROR(VLOOKUP(E881,Category!$D$2:$E$600,2,FALSE),"")</f>
        <v/>
      </c>
      <c r="G881" s="45"/>
      <c r="H881" s="73"/>
      <c r="I881" s="18" t="str">
        <f t="shared" si="54"/>
        <v/>
      </c>
      <c r="J881" s="45"/>
      <c r="K881" s="45"/>
    </row>
    <row r="882" spans="1:11">
      <c r="A882" s="10" t="str">
        <f t="shared" si="55"/>
        <v/>
      </c>
      <c r="B882" s="45"/>
      <c r="C882" s="11" t="str">
        <f t="shared" si="52"/>
        <v/>
      </c>
      <c r="D882" s="11" t="str">
        <f t="shared" si="53"/>
        <v/>
      </c>
      <c r="E882" s="45"/>
      <c r="F882" s="11" t="str">
        <f>IFERROR(VLOOKUP(E882,Category!$D$2:$E$600,2,FALSE),"")</f>
        <v/>
      </c>
      <c r="G882" s="45"/>
      <c r="H882" s="73"/>
      <c r="I882" s="18" t="str">
        <f t="shared" si="54"/>
        <v/>
      </c>
      <c r="J882" s="45"/>
      <c r="K882" s="45"/>
    </row>
    <row r="883" spans="1:11">
      <c r="A883" s="10" t="str">
        <f t="shared" si="55"/>
        <v/>
      </c>
      <c r="B883" s="45"/>
      <c r="C883" s="11" t="str">
        <f t="shared" si="52"/>
        <v/>
      </c>
      <c r="D883" s="11" t="str">
        <f t="shared" si="53"/>
        <v/>
      </c>
      <c r="E883" s="45"/>
      <c r="F883" s="11" t="str">
        <f>IFERROR(VLOOKUP(E883,Category!$D$2:$E$600,2,FALSE),"")</f>
        <v/>
      </c>
      <c r="G883" s="45"/>
      <c r="H883" s="73"/>
      <c r="I883" s="18" t="str">
        <f t="shared" si="54"/>
        <v/>
      </c>
      <c r="J883" s="45"/>
      <c r="K883" s="45"/>
    </row>
    <row r="884" spans="1:11">
      <c r="A884" s="10" t="str">
        <f t="shared" si="55"/>
        <v/>
      </c>
      <c r="B884" s="45"/>
      <c r="C884" s="11" t="str">
        <f t="shared" si="52"/>
        <v/>
      </c>
      <c r="D884" s="11" t="str">
        <f t="shared" si="53"/>
        <v/>
      </c>
      <c r="E884" s="45"/>
      <c r="F884" s="11" t="str">
        <f>IFERROR(VLOOKUP(E884,Category!$D$2:$E$600,2,FALSE),"")</f>
        <v/>
      </c>
      <c r="G884" s="45"/>
      <c r="H884" s="73"/>
      <c r="I884" s="18" t="str">
        <f t="shared" si="54"/>
        <v/>
      </c>
      <c r="J884" s="45"/>
      <c r="K884" s="45"/>
    </row>
    <row r="885" spans="1:11">
      <c r="A885" s="10" t="str">
        <f t="shared" si="55"/>
        <v/>
      </c>
      <c r="B885" s="45"/>
      <c r="C885" s="11" t="str">
        <f t="shared" si="52"/>
        <v/>
      </c>
      <c r="D885" s="11" t="str">
        <f t="shared" si="53"/>
        <v/>
      </c>
      <c r="E885" s="45"/>
      <c r="F885" s="11" t="str">
        <f>IFERROR(VLOOKUP(E885,Category!$D$2:$E$600,2,FALSE),"")</f>
        <v/>
      </c>
      <c r="G885" s="45"/>
      <c r="H885" s="73"/>
      <c r="I885" s="18" t="str">
        <f t="shared" si="54"/>
        <v/>
      </c>
      <c r="J885" s="45"/>
      <c r="K885" s="45"/>
    </row>
    <row r="886" spans="1:11">
      <c r="A886" s="10" t="str">
        <f t="shared" si="55"/>
        <v/>
      </c>
      <c r="B886" s="45"/>
      <c r="C886" s="11" t="str">
        <f t="shared" si="52"/>
        <v/>
      </c>
      <c r="D886" s="11" t="str">
        <f t="shared" si="53"/>
        <v/>
      </c>
      <c r="E886" s="45"/>
      <c r="F886" s="11" t="str">
        <f>IFERROR(VLOOKUP(E886,Category!$D$2:$E$600,2,FALSE),"")</f>
        <v/>
      </c>
      <c r="G886" s="45"/>
      <c r="H886" s="73"/>
      <c r="I886" s="18" t="str">
        <f t="shared" si="54"/>
        <v/>
      </c>
      <c r="J886" s="45"/>
      <c r="K886" s="45"/>
    </row>
    <row r="887" spans="1:11">
      <c r="A887" s="10" t="str">
        <f t="shared" si="55"/>
        <v/>
      </c>
      <c r="B887" s="45"/>
      <c r="C887" s="11" t="str">
        <f t="shared" si="52"/>
        <v/>
      </c>
      <c r="D887" s="11" t="str">
        <f t="shared" si="53"/>
        <v/>
      </c>
      <c r="E887" s="45"/>
      <c r="F887" s="11" t="str">
        <f>IFERROR(VLOOKUP(E887,Category!$D$2:$E$600,2,FALSE),"")</f>
        <v/>
      </c>
      <c r="G887" s="45"/>
      <c r="H887" s="73"/>
      <c r="I887" s="18" t="str">
        <f t="shared" si="54"/>
        <v/>
      </c>
      <c r="J887" s="45"/>
      <c r="K887" s="45"/>
    </row>
    <row r="888" spans="1:11">
      <c r="A888" s="10" t="str">
        <f t="shared" si="55"/>
        <v/>
      </c>
      <c r="B888" s="45"/>
      <c r="C888" s="11" t="str">
        <f t="shared" si="52"/>
        <v/>
      </c>
      <c r="D888" s="11" t="str">
        <f t="shared" si="53"/>
        <v/>
      </c>
      <c r="E888" s="45"/>
      <c r="F888" s="11" t="str">
        <f>IFERROR(VLOOKUP(E888,Category!$D$2:$E$600,2,FALSE),"")</f>
        <v/>
      </c>
      <c r="G888" s="45"/>
      <c r="H888" s="73"/>
      <c r="I888" s="18" t="str">
        <f t="shared" si="54"/>
        <v/>
      </c>
      <c r="J888" s="45"/>
      <c r="K888" s="45"/>
    </row>
    <row r="889" spans="1:11">
      <c r="A889" s="10" t="str">
        <f t="shared" si="55"/>
        <v/>
      </c>
      <c r="B889" s="45"/>
      <c r="C889" s="11" t="str">
        <f t="shared" si="52"/>
        <v/>
      </c>
      <c r="D889" s="11" t="str">
        <f t="shared" si="53"/>
        <v/>
      </c>
      <c r="E889" s="45"/>
      <c r="F889" s="11" t="str">
        <f>IFERROR(VLOOKUP(E889,Category!$D$2:$E$600,2,FALSE),"")</f>
        <v/>
      </c>
      <c r="G889" s="45"/>
      <c r="H889" s="73"/>
      <c r="I889" s="18" t="str">
        <f t="shared" si="54"/>
        <v/>
      </c>
      <c r="J889" s="45"/>
      <c r="K889" s="45"/>
    </row>
    <row r="890" spans="1:11">
      <c r="A890" s="10" t="str">
        <f t="shared" si="55"/>
        <v/>
      </c>
      <c r="B890" s="45"/>
      <c r="C890" s="11" t="str">
        <f t="shared" si="52"/>
        <v/>
      </c>
      <c r="D890" s="11" t="str">
        <f t="shared" si="53"/>
        <v/>
      </c>
      <c r="E890" s="45"/>
      <c r="F890" s="11" t="str">
        <f>IFERROR(VLOOKUP(E890,Category!$D$2:$E$600,2,FALSE),"")</f>
        <v/>
      </c>
      <c r="G890" s="45"/>
      <c r="H890" s="73"/>
      <c r="I890" s="18" t="str">
        <f t="shared" si="54"/>
        <v/>
      </c>
      <c r="J890" s="45"/>
      <c r="K890" s="45"/>
    </row>
    <row r="891" spans="1:11">
      <c r="A891" s="10" t="str">
        <f t="shared" si="55"/>
        <v/>
      </c>
      <c r="B891" s="45"/>
      <c r="C891" s="11" t="str">
        <f t="shared" si="52"/>
        <v/>
      </c>
      <c r="D891" s="11" t="str">
        <f t="shared" si="53"/>
        <v/>
      </c>
      <c r="E891" s="45"/>
      <c r="F891" s="11" t="str">
        <f>IFERROR(VLOOKUP(E891,Category!$D$2:$E$600,2,FALSE),"")</f>
        <v/>
      </c>
      <c r="G891" s="45"/>
      <c r="H891" s="73"/>
      <c r="I891" s="18" t="str">
        <f t="shared" si="54"/>
        <v/>
      </c>
      <c r="J891" s="45"/>
      <c r="K891" s="45"/>
    </row>
    <row r="892" spans="1:11">
      <c r="A892" s="10" t="str">
        <f t="shared" si="55"/>
        <v/>
      </c>
      <c r="B892" s="45"/>
      <c r="C892" s="11" t="str">
        <f t="shared" si="52"/>
        <v/>
      </c>
      <c r="D892" s="11" t="str">
        <f t="shared" si="53"/>
        <v/>
      </c>
      <c r="E892" s="45"/>
      <c r="F892" s="11" t="str">
        <f>IFERROR(VLOOKUP(E892,Category!$D$2:$E$600,2,FALSE),"")</f>
        <v/>
      </c>
      <c r="G892" s="45"/>
      <c r="H892" s="73"/>
      <c r="I892" s="18" t="str">
        <f t="shared" si="54"/>
        <v/>
      </c>
      <c r="J892" s="45"/>
      <c r="K892" s="45"/>
    </row>
    <row r="893" spans="1:11">
      <c r="A893" s="10" t="str">
        <f t="shared" si="55"/>
        <v/>
      </c>
      <c r="B893" s="45"/>
      <c r="C893" s="11" t="str">
        <f t="shared" si="52"/>
        <v/>
      </c>
      <c r="D893" s="11" t="str">
        <f t="shared" si="53"/>
        <v/>
      </c>
      <c r="E893" s="45"/>
      <c r="F893" s="11" t="str">
        <f>IFERROR(VLOOKUP(E893,Category!$D$2:$E$600,2,FALSE),"")</f>
        <v/>
      </c>
      <c r="G893" s="45"/>
      <c r="H893" s="73"/>
      <c r="I893" s="18" t="str">
        <f t="shared" si="54"/>
        <v/>
      </c>
      <c r="J893" s="45"/>
      <c r="K893" s="45"/>
    </row>
    <row r="894" spans="1:11">
      <c r="A894" s="10" t="str">
        <f t="shared" si="55"/>
        <v/>
      </c>
      <c r="B894" s="45"/>
      <c r="C894" s="11" t="str">
        <f t="shared" si="52"/>
        <v/>
      </c>
      <c r="D894" s="11" t="str">
        <f t="shared" si="53"/>
        <v/>
      </c>
      <c r="E894" s="45"/>
      <c r="F894" s="11" t="str">
        <f>IFERROR(VLOOKUP(E894,Category!$D$2:$E$600,2,FALSE),"")</f>
        <v/>
      </c>
      <c r="G894" s="45"/>
      <c r="H894" s="73"/>
      <c r="I894" s="18" t="str">
        <f t="shared" si="54"/>
        <v/>
      </c>
      <c r="J894" s="45"/>
      <c r="K894" s="45"/>
    </row>
    <row r="895" spans="1:11">
      <c r="A895" s="10" t="str">
        <f t="shared" si="55"/>
        <v/>
      </c>
      <c r="B895" s="45"/>
      <c r="C895" s="11" t="str">
        <f t="shared" si="52"/>
        <v/>
      </c>
      <c r="D895" s="11" t="str">
        <f t="shared" si="53"/>
        <v/>
      </c>
      <c r="E895" s="45"/>
      <c r="F895" s="11" t="str">
        <f>IFERROR(VLOOKUP(E895,Category!$D$2:$E$600,2,FALSE),"")</f>
        <v/>
      </c>
      <c r="G895" s="45"/>
      <c r="H895" s="73"/>
      <c r="I895" s="18" t="str">
        <f t="shared" si="54"/>
        <v/>
      </c>
      <c r="J895" s="45"/>
      <c r="K895" s="45"/>
    </row>
    <row r="896" spans="1:11">
      <c r="A896" s="10" t="str">
        <f t="shared" si="55"/>
        <v/>
      </c>
      <c r="B896" s="45"/>
      <c r="C896" s="11" t="str">
        <f t="shared" si="52"/>
        <v/>
      </c>
      <c r="D896" s="11" t="str">
        <f t="shared" si="53"/>
        <v/>
      </c>
      <c r="E896" s="45"/>
      <c r="F896" s="11" t="str">
        <f>IFERROR(VLOOKUP(E896,Category!$D$2:$E$600,2,FALSE),"")</f>
        <v/>
      </c>
      <c r="G896" s="45"/>
      <c r="H896" s="73"/>
      <c r="I896" s="18" t="str">
        <f t="shared" si="54"/>
        <v/>
      </c>
      <c r="J896" s="45"/>
      <c r="K896" s="45"/>
    </row>
    <row r="897" spans="1:11">
      <c r="A897" s="10" t="str">
        <f t="shared" si="55"/>
        <v/>
      </c>
      <c r="B897" s="45"/>
      <c r="C897" s="11" t="str">
        <f t="shared" si="52"/>
        <v/>
      </c>
      <c r="D897" s="11" t="str">
        <f t="shared" si="53"/>
        <v/>
      </c>
      <c r="E897" s="45"/>
      <c r="F897" s="11" t="str">
        <f>IFERROR(VLOOKUP(E897,Category!$D$2:$E$600,2,FALSE),"")</f>
        <v/>
      </c>
      <c r="G897" s="45"/>
      <c r="H897" s="73"/>
      <c r="I897" s="18" t="str">
        <f t="shared" si="54"/>
        <v/>
      </c>
      <c r="J897" s="45"/>
      <c r="K897" s="45"/>
    </row>
    <row r="898" spans="1:11">
      <c r="A898" s="10" t="str">
        <f t="shared" si="55"/>
        <v/>
      </c>
      <c r="B898" s="45"/>
      <c r="C898" s="11" t="str">
        <f t="shared" si="52"/>
        <v/>
      </c>
      <c r="D898" s="11" t="str">
        <f t="shared" si="53"/>
        <v/>
      </c>
      <c r="E898" s="45"/>
      <c r="F898" s="11" t="str">
        <f>IFERROR(VLOOKUP(E898,Category!$D$2:$E$600,2,FALSE),"")</f>
        <v/>
      </c>
      <c r="G898" s="45"/>
      <c r="H898" s="73"/>
      <c r="I898" s="18" t="str">
        <f t="shared" si="54"/>
        <v/>
      </c>
      <c r="J898" s="45"/>
      <c r="K898" s="45"/>
    </row>
    <row r="899" spans="1:11">
      <c r="A899" s="10" t="str">
        <f t="shared" si="55"/>
        <v/>
      </c>
      <c r="B899" s="45"/>
      <c r="C899" s="11" t="str">
        <f t="shared" ref="C899:C962" si="56">IF(B899=0,"",TEXT(B899,"mmmm"))</f>
        <v/>
      </c>
      <c r="D899" s="11" t="str">
        <f t="shared" ref="D899:D962" si="57">IF(B899=0,"",TEXT(B899,"yyyy"))</f>
        <v/>
      </c>
      <c r="E899" s="45"/>
      <c r="F899" s="11" t="str">
        <f>IFERROR(VLOOKUP(E899,Category!$D$2:$E$600,2,FALSE),"")</f>
        <v/>
      </c>
      <c r="G899" s="45"/>
      <c r="H899" s="73"/>
      <c r="I899" s="18" t="str">
        <f t="shared" ref="I899:I962" si="58">IF(G899*H899=0,"",G899*H899)</f>
        <v/>
      </c>
      <c r="J899" s="45"/>
      <c r="K899" s="45"/>
    </row>
    <row r="900" spans="1:11">
      <c r="A900" s="10" t="str">
        <f t="shared" ref="A900:A963" si="59">IF(E900&gt;0,A899+1,"")</f>
        <v/>
      </c>
      <c r="B900" s="45"/>
      <c r="C900" s="11" t="str">
        <f t="shared" si="56"/>
        <v/>
      </c>
      <c r="D900" s="11" t="str">
        <f t="shared" si="57"/>
        <v/>
      </c>
      <c r="E900" s="45"/>
      <c r="F900" s="11" t="str">
        <f>IFERROR(VLOOKUP(E900,Category!$D$2:$E$600,2,FALSE),"")</f>
        <v/>
      </c>
      <c r="G900" s="45"/>
      <c r="H900" s="73"/>
      <c r="I900" s="18" t="str">
        <f t="shared" si="58"/>
        <v/>
      </c>
      <c r="J900" s="45"/>
      <c r="K900" s="45"/>
    </row>
    <row r="901" spans="1:11">
      <c r="A901" s="10" t="str">
        <f t="shared" si="59"/>
        <v/>
      </c>
      <c r="B901" s="45"/>
      <c r="C901" s="11" t="str">
        <f t="shared" si="56"/>
        <v/>
      </c>
      <c r="D901" s="11" t="str">
        <f t="shared" si="57"/>
        <v/>
      </c>
      <c r="E901" s="45"/>
      <c r="F901" s="11" t="str">
        <f>IFERROR(VLOOKUP(E901,Category!$D$2:$E$600,2,FALSE),"")</f>
        <v/>
      </c>
      <c r="G901" s="45"/>
      <c r="H901" s="73"/>
      <c r="I901" s="18" t="str">
        <f t="shared" si="58"/>
        <v/>
      </c>
      <c r="J901" s="45"/>
      <c r="K901" s="45"/>
    </row>
    <row r="902" spans="1:11">
      <c r="A902" s="10" t="str">
        <f t="shared" si="59"/>
        <v/>
      </c>
      <c r="B902" s="45"/>
      <c r="C902" s="11" t="str">
        <f t="shared" si="56"/>
        <v/>
      </c>
      <c r="D902" s="11" t="str">
        <f t="shared" si="57"/>
        <v/>
      </c>
      <c r="E902" s="45"/>
      <c r="F902" s="11" t="str">
        <f>IFERROR(VLOOKUP(E902,Category!$D$2:$E$600,2,FALSE),"")</f>
        <v/>
      </c>
      <c r="G902" s="45"/>
      <c r="H902" s="73"/>
      <c r="I902" s="18" t="str">
        <f t="shared" si="58"/>
        <v/>
      </c>
      <c r="J902" s="45"/>
      <c r="K902" s="45"/>
    </row>
    <row r="903" spans="1:11">
      <c r="A903" s="10" t="str">
        <f t="shared" si="59"/>
        <v/>
      </c>
      <c r="B903" s="45"/>
      <c r="C903" s="11" t="str">
        <f t="shared" si="56"/>
        <v/>
      </c>
      <c r="D903" s="11" t="str">
        <f t="shared" si="57"/>
        <v/>
      </c>
      <c r="E903" s="45"/>
      <c r="F903" s="11" t="str">
        <f>IFERROR(VLOOKUP(E903,Category!$D$2:$E$600,2,FALSE),"")</f>
        <v/>
      </c>
      <c r="G903" s="45"/>
      <c r="H903" s="73"/>
      <c r="I903" s="18" t="str">
        <f t="shared" si="58"/>
        <v/>
      </c>
      <c r="J903" s="45"/>
      <c r="K903" s="45"/>
    </row>
    <row r="904" spans="1:11">
      <c r="A904" s="10" t="str">
        <f t="shared" si="59"/>
        <v/>
      </c>
      <c r="B904" s="45"/>
      <c r="C904" s="11" t="str">
        <f t="shared" si="56"/>
        <v/>
      </c>
      <c r="D904" s="11" t="str">
        <f t="shared" si="57"/>
        <v/>
      </c>
      <c r="E904" s="45"/>
      <c r="F904" s="11" t="str">
        <f>IFERROR(VLOOKUP(E904,Category!$D$2:$E$600,2,FALSE),"")</f>
        <v/>
      </c>
      <c r="G904" s="45"/>
      <c r="H904" s="73"/>
      <c r="I904" s="18" t="str">
        <f t="shared" si="58"/>
        <v/>
      </c>
      <c r="J904" s="45"/>
      <c r="K904" s="45"/>
    </row>
    <row r="905" spans="1:11">
      <c r="A905" s="10" t="str">
        <f t="shared" si="59"/>
        <v/>
      </c>
      <c r="B905" s="45"/>
      <c r="C905" s="11" t="str">
        <f t="shared" si="56"/>
        <v/>
      </c>
      <c r="D905" s="11" t="str">
        <f t="shared" si="57"/>
        <v/>
      </c>
      <c r="E905" s="45"/>
      <c r="F905" s="11" t="str">
        <f>IFERROR(VLOOKUP(E905,Category!$D$2:$E$600,2,FALSE),"")</f>
        <v/>
      </c>
      <c r="G905" s="45"/>
      <c r="H905" s="73"/>
      <c r="I905" s="18" t="str">
        <f t="shared" si="58"/>
        <v/>
      </c>
      <c r="J905" s="45"/>
      <c r="K905" s="45"/>
    </row>
    <row r="906" spans="1:11">
      <c r="A906" s="10" t="str">
        <f t="shared" si="59"/>
        <v/>
      </c>
      <c r="B906" s="45"/>
      <c r="C906" s="11" t="str">
        <f t="shared" si="56"/>
        <v/>
      </c>
      <c r="D906" s="11" t="str">
        <f t="shared" si="57"/>
        <v/>
      </c>
      <c r="E906" s="45"/>
      <c r="F906" s="11" t="str">
        <f>IFERROR(VLOOKUP(E906,Category!$D$2:$E$600,2,FALSE),"")</f>
        <v/>
      </c>
      <c r="G906" s="45"/>
      <c r="H906" s="73"/>
      <c r="I906" s="18" t="str">
        <f t="shared" si="58"/>
        <v/>
      </c>
      <c r="J906" s="45"/>
      <c r="K906" s="45"/>
    </row>
    <row r="907" spans="1:11">
      <c r="A907" s="10" t="str">
        <f t="shared" si="59"/>
        <v/>
      </c>
      <c r="B907" s="45"/>
      <c r="C907" s="11" t="str">
        <f t="shared" si="56"/>
        <v/>
      </c>
      <c r="D907" s="11" t="str">
        <f t="shared" si="57"/>
        <v/>
      </c>
      <c r="E907" s="45"/>
      <c r="F907" s="11" t="str">
        <f>IFERROR(VLOOKUP(E907,Category!$D$2:$E$600,2,FALSE),"")</f>
        <v/>
      </c>
      <c r="G907" s="45"/>
      <c r="H907" s="73"/>
      <c r="I907" s="18" t="str">
        <f t="shared" si="58"/>
        <v/>
      </c>
      <c r="J907" s="45"/>
      <c r="K907" s="45"/>
    </row>
    <row r="908" spans="1:11">
      <c r="A908" s="10" t="str">
        <f t="shared" si="59"/>
        <v/>
      </c>
      <c r="B908" s="45"/>
      <c r="C908" s="11" t="str">
        <f t="shared" si="56"/>
        <v/>
      </c>
      <c r="D908" s="11" t="str">
        <f t="shared" si="57"/>
        <v/>
      </c>
      <c r="E908" s="45"/>
      <c r="F908" s="11" t="str">
        <f>IFERROR(VLOOKUP(E908,Category!$D$2:$E$600,2,FALSE),"")</f>
        <v/>
      </c>
      <c r="G908" s="45"/>
      <c r="H908" s="73"/>
      <c r="I908" s="18" t="str">
        <f t="shared" si="58"/>
        <v/>
      </c>
      <c r="J908" s="45"/>
      <c r="K908" s="45"/>
    </row>
    <row r="909" spans="1:11">
      <c r="A909" s="10" t="str">
        <f t="shared" si="59"/>
        <v/>
      </c>
      <c r="B909" s="45"/>
      <c r="C909" s="11" t="str">
        <f t="shared" si="56"/>
        <v/>
      </c>
      <c r="D909" s="11" t="str">
        <f t="shared" si="57"/>
        <v/>
      </c>
      <c r="E909" s="45"/>
      <c r="F909" s="11" t="str">
        <f>IFERROR(VLOOKUP(E909,Category!$D$2:$E$600,2,FALSE),"")</f>
        <v/>
      </c>
      <c r="G909" s="45"/>
      <c r="H909" s="73"/>
      <c r="I909" s="18" t="str">
        <f t="shared" si="58"/>
        <v/>
      </c>
      <c r="J909" s="45"/>
      <c r="K909" s="45"/>
    </row>
    <row r="910" spans="1:11">
      <c r="A910" s="10" t="str">
        <f t="shared" si="59"/>
        <v/>
      </c>
      <c r="B910" s="45"/>
      <c r="C910" s="11" t="str">
        <f t="shared" si="56"/>
        <v/>
      </c>
      <c r="D910" s="11" t="str">
        <f t="shared" si="57"/>
        <v/>
      </c>
      <c r="E910" s="45"/>
      <c r="F910" s="11" t="str">
        <f>IFERROR(VLOOKUP(E910,Category!$D$2:$E$600,2,FALSE),"")</f>
        <v/>
      </c>
      <c r="G910" s="45"/>
      <c r="H910" s="73"/>
      <c r="I910" s="18" t="str">
        <f t="shared" si="58"/>
        <v/>
      </c>
      <c r="J910" s="45"/>
      <c r="K910" s="45"/>
    </row>
    <row r="911" spans="1:11">
      <c r="A911" s="10" t="str">
        <f t="shared" si="59"/>
        <v/>
      </c>
      <c r="B911" s="45"/>
      <c r="C911" s="11" t="str">
        <f t="shared" si="56"/>
        <v/>
      </c>
      <c r="D911" s="11" t="str">
        <f t="shared" si="57"/>
        <v/>
      </c>
      <c r="E911" s="45"/>
      <c r="F911" s="11" t="str">
        <f>IFERROR(VLOOKUP(E911,Category!$D$2:$E$600,2,FALSE),"")</f>
        <v/>
      </c>
      <c r="G911" s="45"/>
      <c r="H911" s="73"/>
      <c r="I911" s="18" t="str">
        <f t="shared" si="58"/>
        <v/>
      </c>
      <c r="J911" s="45"/>
      <c r="K911" s="45"/>
    </row>
    <row r="912" spans="1:11">
      <c r="A912" s="10" t="str">
        <f t="shared" si="59"/>
        <v/>
      </c>
      <c r="B912" s="45"/>
      <c r="C912" s="11" t="str">
        <f t="shared" si="56"/>
        <v/>
      </c>
      <c r="D912" s="11" t="str">
        <f t="shared" si="57"/>
        <v/>
      </c>
      <c r="E912" s="45"/>
      <c r="F912" s="11" t="str">
        <f>IFERROR(VLOOKUP(E912,Category!$D$2:$E$600,2,FALSE),"")</f>
        <v/>
      </c>
      <c r="G912" s="45"/>
      <c r="H912" s="73"/>
      <c r="I912" s="18" t="str">
        <f t="shared" si="58"/>
        <v/>
      </c>
      <c r="J912" s="45"/>
      <c r="K912" s="45"/>
    </row>
    <row r="913" spans="1:11">
      <c r="A913" s="10" t="str">
        <f t="shared" si="59"/>
        <v/>
      </c>
      <c r="B913" s="45"/>
      <c r="C913" s="11" t="str">
        <f t="shared" si="56"/>
        <v/>
      </c>
      <c r="D913" s="11" t="str">
        <f t="shared" si="57"/>
        <v/>
      </c>
      <c r="E913" s="45"/>
      <c r="F913" s="11" t="str">
        <f>IFERROR(VLOOKUP(E913,Category!$D$2:$E$600,2,FALSE),"")</f>
        <v/>
      </c>
      <c r="G913" s="45"/>
      <c r="H913" s="73"/>
      <c r="I913" s="18" t="str">
        <f t="shared" si="58"/>
        <v/>
      </c>
      <c r="J913" s="45"/>
      <c r="K913" s="45"/>
    </row>
    <row r="914" spans="1:11">
      <c r="A914" s="10" t="str">
        <f t="shared" si="59"/>
        <v/>
      </c>
      <c r="B914" s="45"/>
      <c r="C914" s="11" t="str">
        <f t="shared" si="56"/>
        <v/>
      </c>
      <c r="D914" s="11" t="str">
        <f t="shared" si="57"/>
        <v/>
      </c>
      <c r="E914" s="45"/>
      <c r="F914" s="11" t="str">
        <f>IFERROR(VLOOKUP(E914,Category!$D$2:$E$600,2,FALSE),"")</f>
        <v/>
      </c>
      <c r="G914" s="45"/>
      <c r="H914" s="73"/>
      <c r="I914" s="18" t="str">
        <f t="shared" si="58"/>
        <v/>
      </c>
      <c r="J914" s="45"/>
      <c r="K914" s="45"/>
    </row>
    <row r="915" spans="1:11">
      <c r="A915" s="10" t="str">
        <f t="shared" si="59"/>
        <v/>
      </c>
      <c r="B915" s="45"/>
      <c r="C915" s="11" t="str">
        <f t="shared" si="56"/>
        <v/>
      </c>
      <c r="D915" s="11" t="str">
        <f t="shared" si="57"/>
        <v/>
      </c>
      <c r="E915" s="45"/>
      <c r="F915" s="11" t="str">
        <f>IFERROR(VLOOKUP(E915,Category!$D$2:$E$600,2,FALSE),"")</f>
        <v/>
      </c>
      <c r="G915" s="45"/>
      <c r="H915" s="73"/>
      <c r="I915" s="18" t="str">
        <f t="shared" si="58"/>
        <v/>
      </c>
      <c r="J915" s="45"/>
      <c r="K915" s="45"/>
    </row>
    <row r="916" spans="1:11">
      <c r="A916" s="10" t="str">
        <f t="shared" si="59"/>
        <v/>
      </c>
      <c r="B916" s="45"/>
      <c r="C916" s="11" t="str">
        <f t="shared" si="56"/>
        <v/>
      </c>
      <c r="D916" s="11" t="str">
        <f t="shared" si="57"/>
        <v/>
      </c>
      <c r="E916" s="45"/>
      <c r="F916" s="11" t="str">
        <f>IFERROR(VLOOKUP(E916,Category!$D$2:$E$600,2,FALSE),"")</f>
        <v/>
      </c>
      <c r="G916" s="45"/>
      <c r="H916" s="73"/>
      <c r="I916" s="18" t="str">
        <f t="shared" si="58"/>
        <v/>
      </c>
      <c r="J916" s="45"/>
      <c r="K916" s="45"/>
    </row>
    <row r="917" spans="1:11">
      <c r="A917" s="10" t="str">
        <f t="shared" si="59"/>
        <v/>
      </c>
      <c r="B917" s="45"/>
      <c r="C917" s="11" t="str">
        <f t="shared" si="56"/>
        <v/>
      </c>
      <c r="D917" s="11" t="str">
        <f t="shared" si="57"/>
        <v/>
      </c>
      <c r="E917" s="45"/>
      <c r="F917" s="11" t="str">
        <f>IFERROR(VLOOKUP(E917,Category!$D$2:$E$600,2,FALSE),"")</f>
        <v/>
      </c>
      <c r="G917" s="45"/>
      <c r="H917" s="73"/>
      <c r="I917" s="18" t="str">
        <f t="shared" si="58"/>
        <v/>
      </c>
      <c r="J917" s="45"/>
      <c r="K917" s="45"/>
    </row>
    <row r="918" spans="1:11">
      <c r="A918" s="10" t="str">
        <f t="shared" si="59"/>
        <v/>
      </c>
      <c r="B918" s="45"/>
      <c r="C918" s="11" t="str">
        <f t="shared" si="56"/>
        <v/>
      </c>
      <c r="D918" s="11" t="str">
        <f t="shared" si="57"/>
        <v/>
      </c>
      <c r="E918" s="45"/>
      <c r="F918" s="11" t="str">
        <f>IFERROR(VLOOKUP(E918,Category!$D$2:$E$600,2,FALSE),"")</f>
        <v/>
      </c>
      <c r="G918" s="45"/>
      <c r="H918" s="73"/>
      <c r="I918" s="18" t="str">
        <f t="shared" si="58"/>
        <v/>
      </c>
      <c r="J918" s="45"/>
      <c r="K918" s="45"/>
    </row>
    <row r="919" spans="1:11">
      <c r="A919" s="10" t="str">
        <f t="shared" si="59"/>
        <v/>
      </c>
      <c r="B919" s="45"/>
      <c r="C919" s="11" t="str">
        <f t="shared" si="56"/>
        <v/>
      </c>
      <c r="D919" s="11" t="str">
        <f t="shared" si="57"/>
        <v/>
      </c>
      <c r="E919" s="45"/>
      <c r="F919" s="11" t="str">
        <f>IFERROR(VLOOKUP(E919,Category!$D$2:$E$600,2,FALSE),"")</f>
        <v/>
      </c>
      <c r="G919" s="45"/>
      <c r="H919" s="73"/>
      <c r="I919" s="18" t="str">
        <f t="shared" si="58"/>
        <v/>
      </c>
      <c r="J919" s="45"/>
      <c r="K919" s="45"/>
    </row>
    <row r="920" spans="1:11">
      <c r="A920" s="10" t="str">
        <f t="shared" si="59"/>
        <v/>
      </c>
      <c r="B920" s="45"/>
      <c r="C920" s="11" t="str">
        <f t="shared" si="56"/>
        <v/>
      </c>
      <c r="D920" s="11" t="str">
        <f t="shared" si="57"/>
        <v/>
      </c>
      <c r="E920" s="45"/>
      <c r="F920" s="11" t="str">
        <f>IFERROR(VLOOKUP(E920,Category!$D$2:$E$600,2,FALSE),"")</f>
        <v/>
      </c>
      <c r="G920" s="45"/>
      <c r="H920" s="73"/>
      <c r="I920" s="18" t="str">
        <f t="shared" si="58"/>
        <v/>
      </c>
      <c r="J920" s="45"/>
      <c r="K920" s="45"/>
    </row>
    <row r="921" spans="1:11">
      <c r="A921" s="10" t="str">
        <f t="shared" si="59"/>
        <v/>
      </c>
      <c r="B921" s="45"/>
      <c r="C921" s="11" t="str">
        <f t="shared" si="56"/>
        <v/>
      </c>
      <c r="D921" s="11" t="str">
        <f t="shared" si="57"/>
        <v/>
      </c>
      <c r="E921" s="45"/>
      <c r="F921" s="11" t="str">
        <f>IFERROR(VLOOKUP(E921,Category!$D$2:$E$600,2,FALSE),"")</f>
        <v/>
      </c>
      <c r="G921" s="45"/>
      <c r="H921" s="73"/>
      <c r="I921" s="18" t="str">
        <f t="shared" si="58"/>
        <v/>
      </c>
      <c r="J921" s="45"/>
      <c r="K921" s="45"/>
    </row>
    <row r="922" spans="1:11">
      <c r="A922" s="10" t="str">
        <f t="shared" si="59"/>
        <v/>
      </c>
      <c r="B922" s="45"/>
      <c r="C922" s="11" t="str">
        <f t="shared" si="56"/>
        <v/>
      </c>
      <c r="D922" s="11" t="str">
        <f t="shared" si="57"/>
        <v/>
      </c>
      <c r="E922" s="45"/>
      <c r="F922" s="11" t="str">
        <f>IFERROR(VLOOKUP(E922,Category!$D$2:$E$600,2,FALSE),"")</f>
        <v/>
      </c>
      <c r="G922" s="45"/>
      <c r="H922" s="73"/>
      <c r="I922" s="18" t="str">
        <f t="shared" si="58"/>
        <v/>
      </c>
      <c r="J922" s="45"/>
      <c r="K922" s="45"/>
    </row>
    <row r="923" spans="1:11">
      <c r="A923" s="10" t="str">
        <f t="shared" si="59"/>
        <v/>
      </c>
      <c r="B923" s="45"/>
      <c r="C923" s="11" t="str">
        <f t="shared" si="56"/>
        <v/>
      </c>
      <c r="D923" s="11" t="str">
        <f t="shared" si="57"/>
        <v/>
      </c>
      <c r="E923" s="45"/>
      <c r="F923" s="11" t="str">
        <f>IFERROR(VLOOKUP(E923,Category!$D$2:$E$600,2,FALSE),"")</f>
        <v/>
      </c>
      <c r="G923" s="45"/>
      <c r="H923" s="73"/>
      <c r="I923" s="18" t="str">
        <f t="shared" si="58"/>
        <v/>
      </c>
      <c r="J923" s="45"/>
      <c r="K923" s="45"/>
    </row>
    <row r="924" spans="1:11">
      <c r="A924" s="10" t="str">
        <f t="shared" si="59"/>
        <v/>
      </c>
      <c r="B924" s="45"/>
      <c r="C924" s="11" t="str">
        <f t="shared" si="56"/>
        <v/>
      </c>
      <c r="D924" s="11" t="str">
        <f t="shared" si="57"/>
        <v/>
      </c>
      <c r="E924" s="45"/>
      <c r="F924" s="11" t="str">
        <f>IFERROR(VLOOKUP(E924,Category!$D$2:$E$600,2,FALSE),"")</f>
        <v/>
      </c>
      <c r="G924" s="45"/>
      <c r="H924" s="73"/>
      <c r="I924" s="18" t="str">
        <f t="shared" si="58"/>
        <v/>
      </c>
      <c r="J924" s="45"/>
      <c r="K924" s="45"/>
    </row>
    <row r="925" spans="1:11">
      <c r="A925" s="10" t="str">
        <f t="shared" si="59"/>
        <v/>
      </c>
      <c r="B925" s="45"/>
      <c r="C925" s="11" t="str">
        <f t="shared" si="56"/>
        <v/>
      </c>
      <c r="D925" s="11" t="str">
        <f t="shared" si="57"/>
        <v/>
      </c>
      <c r="E925" s="45"/>
      <c r="F925" s="11" t="str">
        <f>IFERROR(VLOOKUP(E925,Category!$D$2:$E$600,2,FALSE),"")</f>
        <v/>
      </c>
      <c r="G925" s="45"/>
      <c r="H925" s="73"/>
      <c r="I925" s="18" t="str">
        <f t="shared" si="58"/>
        <v/>
      </c>
      <c r="J925" s="45"/>
      <c r="K925" s="45"/>
    </row>
    <row r="926" spans="1:11">
      <c r="A926" s="10" t="str">
        <f t="shared" si="59"/>
        <v/>
      </c>
      <c r="B926" s="45"/>
      <c r="C926" s="11" t="str">
        <f t="shared" si="56"/>
        <v/>
      </c>
      <c r="D926" s="11" t="str">
        <f t="shared" si="57"/>
        <v/>
      </c>
      <c r="E926" s="45"/>
      <c r="F926" s="11" t="str">
        <f>IFERROR(VLOOKUP(E926,Category!$D$2:$E$600,2,FALSE),"")</f>
        <v/>
      </c>
      <c r="G926" s="45"/>
      <c r="H926" s="73"/>
      <c r="I926" s="18" t="str">
        <f t="shared" si="58"/>
        <v/>
      </c>
      <c r="J926" s="45"/>
      <c r="K926" s="45"/>
    </row>
    <row r="927" spans="1:11">
      <c r="A927" s="10" t="str">
        <f t="shared" si="59"/>
        <v/>
      </c>
      <c r="B927" s="45"/>
      <c r="C927" s="11" t="str">
        <f t="shared" si="56"/>
        <v/>
      </c>
      <c r="D927" s="11" t="str">
        <f t="shared" si="57"/>
        <v/>
      </c>
      <c r="E927" s="45"/>
      <c r="F927" s="11" t="str">
        <f>IFERROR(VLOOKUP(E927,Category!$D$2:$E$600,2,FALSE),"")</f>
        <v/>
      </c>
      <c r="G927" s="45"/>
      <c r="H927" s="73"/>
      <c r="I927" s="18" t="str">
        <f t="shared" si="58"/>
        <v/>
      </c>
      <c r="J927" s="45"/>
      <c r="K927" s="45"/>
    </row>
    <row r="928" spans="1:11">
      <c r="A928" s="10" t="str">
        <f t="shared" si="59"/>
        <v/>
      </c>
      <c r="B928" s="45"/>
      <c r="C928" s="11" t="str">
        <f t="shared" si="56"/>
        <v/>
      </c>
      <c r="D928" s="11" t="str">
        <f t="shared" si="57"/>
        <v/>
      </c>
      <c r="E928" s="45"/>
      <c r="F928" s="11" t="str">
        <f>IFERROR(VLOOKUP(E928,Category!$D$2:$E$600,2,FALSE),"")</f>
        <v/>
      </c>
      <c r="G928" s="45"/>
      <c r="H928" s="73"/>
      <c r="I928" s="18" t="str">
        <f t="shared" si="58"/>
        <v/>
      </c>
      <c r="J928" s="45"/>
      <c r="K928" s="45"/>
    </row>
    <row r="929" spans="1:11">
      <c r="A929" s="10" t="str">
        <f t="shared" si="59"/>
        <v/>
      </c>
      <c r="B929" s="45"/>
      <c r="C929" s="11" t="str">
        <f t="shared" si="56"/>
        <v/>
      </c>
      <c r="D929" s="11" t="str">
        <f t="shared" si="57"/>
        <v/>
      </c>
      <c r="E929" s="45"/>
      <c r="F929" s="11" t="str">
        <f>IFERROR(VLOOKUP(E929,Category!$D$2:$E$600,2,FALSE),"")</f>
        <v/>
      </c>
      <c r="G929" s="45"/>
      <c r="H929" s="73"/>
      <c r="I929" s="18" t="str">
        <f t="shared" si="58"/>
        <v/>
      </c>
      <c r="J929" s="45"/>
      <c r="K929" s="45"/>
    </row>
    <row r="930" spans="1:11">
      <c r="A930" s="10" t="str">
        <f t="shared" si="59"/>
        <v/>
      </c>
      <c r="B930" s="45"/>
      <c r="C930" s="11" t="str">
        <f t="shared" si="56"/>
        <v/>
      </c>
      <c r="D930" s="11" t="str">
        <f t="shared" si="57"/>
        <v/>
      </c>
      <c r="E930" s="45"/>
      <c r="F930" s="11" t="str">
        <f>IFERROR(VLOOKUP(E930,Category!$D$2:$E$600,2,FALSE),"")</f>
        <v/>
      </c>
      <c r="G930" s="45"/>
      <c r="H930" s="73"/>
      <c r="I930" s="18" t="str">
        <f t="shared" si="58"/>
        <v/>
      </c>
      <c r="J930" s="45"/>
      <c r="K930" s="45"/>
    </row>
    <row r="931" spans="1:11">
      <c r="A931" s="10" t="str">
        <f t="shared" si="59"/>
        <v/>
      </c>
      <c r="B931" s="45"/>
      <c r="C931" s="11" t="str">
        <f t="shared" si="56"/>
        <v/>
      </c>
      <c r="D931" s="11" t="str">
        <f t="shared" si="57"/>
        <v/>
      </c>
      <c r="E931" s="45"/>
      <c r="F931" s="11" t="str">
        <f>IFERROR(VLOOKUP(E931,Category!$D$2:$E$600,2,FALSE),"")</f>
        <v/>
      </c>
      <c r="G931" s="45"/>
      <c r="H931" s="73"/>
      <c r="I931" s="18" t="str">
        <f t="shared" si="58"/>
        <v/>
      </c>
      <c r="J931" s="45"/>
      <c r="K931" s="45"/>
    </row>
    <row r="932" spans="1:11">
      <c r="A932" s="10" t="str">
        <f t="shared" si="59"/>
        <v/>
      </c>
      <c r="B932" s="45"/>
      <c r="C932" s="11" t="str">
        <f t="shared" si="56"/>
        <v/>
      </c>
      <c r="D932" s="11" t="str">
        <f t="shared" si="57"/>
        <v/>
      </c>
      <c r="E932" s="45"/>
      <c r="F932" s="11" t="str">
        <f>IFERROR(VLOOKUP(E932,Category!$D$2:$E$600,2,FALSE),"")</f>
        <v/>
      </c>
      <c r="G932" s="45"/>
      <c r="H932" s="73"/>
      <c r="I932" s="18" t="str">
        <f t="shared" si="58"/>
        <v/>
      </c>
      <c r="J932" s="45"/>
      <c r="K932" s="45"/>
    </row>
    <row r="933" spans="1:11">
      <c r="A933" s="10" t="str">
        <f t="shared" si="59"/>
        <v/>
      </c>
      <c r="B933" s="45"/>
      <c r="C933" s="11" t="str">
        <f t="shared" si="56"/>
        <v/>
      </c>
      <c r="D933" s="11" t="str">
        <f t="shared" si="57"/>
        <v/>
      </c>
      <c r="E933" s="45"/>
      <c r="F933" s="11" t="str">
        <f>IFERROR(VLOOKUP(E933,Category!$D$2:$E$600,2,FALSE),"")</f>
        <v/>
      </c>
      <c r="G933" s="45"/>
      <c r="H933" s="73"/>
      <c r="I933" s="18" t="str">
        <f t="shared" si="58"/>
        <v/>
      </c>
      <c r="J933" s="45"/>
      <c r="K933" s="45"/>
    </row>
    <row r="934" spans="1:11">
      <c r="A934" s="10" t="str">
        <f t="shared" si="59"/>
        <v/>
      </c>
      <c r="B934" s="45"/>
      <c r="C934" s="11" t="str">
        <f t="shared" si="56"/>
        <v/>
      </c>
      <c r="D934" s="11" t="str">
        <f t="shared" si="57"/>
        <v/>
      </c>
      <c r="E934" s="45"/>
      <c r="F934" s="11" t="str">
        <f>IFERROR(VLOOKUP(E934,Category!$D$2:$E$600,2,FALSE),"")</f>
        <v/>
      </c>
      <c r="G934" s="45"/>
      <c r="H934" s="73"/>
      <c r="I934" s="18" t="str">
        <f t="shared" si="58"/>
        <v/>
      </c>
      <c r="J934" s="45"/>
      <c r="K934" s="45"/>
    </row>
    <row r="935" spans="1:11">
      <c r="A935" s="10" t="str">
        <f t="shared" si="59"/>
        <v/>
      </c>
      <c r="B935" s="45"/>
      <c r="C935" s="11" t="str">
        <f t="shared" si="56"/>
        <v/>
      </c>
      <c r="D935" s="11" t="str">
        <f t="shared" si="57"/>
        <v/>
      </c>
      <c r="E935" s="45"/>
      <c r="F935" s="11" t="str">
        <f>IFERROR(VLOOKUP(E935,Category!$D$2:$E$600,2,FALSE),"")</f>
        <v/>
      </c>
      <c r="G935" s="45"/>
      <c r="H935" s="73"/>
      <c r="I935" s="18" t="str">
        <f t="shared" si="58"/>
        <v/>
      </c>
      <c r="J935" s="45"/>
      <c r="K935" s="45"/>
    </row>
    <row r="936" spans="1:11">
      <c r="A936" s="10" t="str">
        <f t="shared" si="59"/>
        <v/>
      </c>
      <c r="B936" s="45"/>
      <c r="C936" s="11" t="str">
        <f t="shared" si="56"/>
        <v/>
      </c>
      <c r="D936" s="11" t="str">
        <f t="shared" si="57"/>
        <v/>
      </c>
      <c r="E936" s="45"/>
      <c r="F936" s="11" t="str">
        <f>IFERROR(VLOOKUP(E936,Category!$D$2:$E$600,2,FALSE),"")</f>
        <v/>
      </c>
      <c r="G936" s="45"/>
      <c r="H936" s="73"/>
      <c r="I936" s="18" t="str">
        <f t="shared" si="58"/>
        <v/>
      </c>
      <c r="J936" s="45"/>
      <c r="K936" s="45"/>
    </row>
    <row r="937" spans="1:11">
      <c r="A937" s="10" t="str">
        <f t="shared" si="59"/>
        <v/>
      </c>
      <c r="B937" s="45"/>
      <c r="C937" s="11" t="str">
        <f t="shared" si="56"/>
        <v/>
      </c>
      <c r="D937" s="11" t="str">
        <f t="shared" si="57"/>
        <v/>
      </c>
      <c r="E937" s="45"/>
      <c r="F937" s="11" t="str">
        <f>IFERROR(VLOOKUP(E937,Category!$D$2:$E$600,2,FALSE),"")</f>
        <v/>
      </c>
      <c r="G937" s="45"/>
      <c r="H937" s="73"/>
      <c r="I937" s="18" t="str">
        <f t="shared" si="58"/>
        <v/>
      </c>
      <c r="J937" s="45"/>
      <c r="K937" s="45"/>
    </row>
    <row r="938" spans="1:11">
      <c r="A938" s="10" t="str">
        <f t="shared" si="59"/>
        <v/>
      </c>
      <c r="B938" s="45"/>
      <c r="C938" s="11" t="str">
        <f t="shared" si="56"/>
        <v/>
      </c>
      <c r="D938" s="11" t="str">
        <f t="shared" si="57"/>
        <v/>
      </c>
      <c r="E938" s="45"/>
      <c r="F938" s="11" t="str">
        <f>IFERROR(VLOOKUP(E938,Category!$D$2:$E$600,2,FALSE),"")</f>
        <v/>
      </c>
      <c r="G938" s="45"/>
      <c r="H938" s="73"/>
      <c r="I938" s="18" t="str">
        <f t="shared" si="58"/>
        <v/>
      </c>
      <c r="J938" s="45"/>
      <c r="K938" s="45"/>
    </row>
    <row r="939" spans="1:11">
      <c r="A939" s="10" t="str">
        <f t="shared" si="59"/>
        <v/>
      </c>
      <c r="B939" s="45"/>
      <c r="C939" s="11" t="str">
        <f t="shared" si="56"/>
        <v/>
      </c>
      <c r="D939" s="11" t="str">
        <f t="shared" si="57"/>
        <v/>
      </c>
      <c r="E939" s="45"/>
      <c r="F939" s="11" t="str">
        <f>IFERROR(VLOOKUP(E939,Category!$D$2:$E$600,2,FALSE),"")</f>
        <v/>
      </c>
      <c r="G939" s="45"/>
      <c r="H939" s="73"/>
      <c r="I939" s="18" t="str">
        <f t="shared" si="58"/>
        <v/>
      </c>
      <c r="J939" s="45"/>
      <c r="K939" s="45"/>
    </row>
    <row r="940" spans="1:11">
      <c r="A940" s="10" t="str">
        <f t="shared" si="59"/>
        <v/>
      </c>
      <c r="B940" s="45"/>
      <c r="C940" s="11" t="str">
        <f t="shared" si="56"/>
        <v/>
      </c>
      <c r="D940" s="11" t="str">
        <f t="shared" si="57"/>
        <v/>
      </c>
      <c r="E940" s="45"/>
      <c r="F940" s="11" t="str">
        <f>IFERROR(VLOOKUP(E940,Category!$D$2:$E$600,2,FALSE),"")</f>
        <v/>
      </c>
      <c r="G940" s="45"/>
      <c r="H940" s="73"/>
      <c r="I940" s="18" t="str">
        <f t="shared" si="58"/>
        <v/>
      </c>
      <c r="J940" s="45"/>
      <c r="K940" s="45"/>
    </row>
    <row r="941" spans="1:11">
      <c r="A941" s="10" t="str">
        <f t="shared" si="59"/>
        <v/>
      </c>
      <c r="B941" s="45"/>
      <c r="C941" s="11" t="str">
        <f t="shared" si="56"/>
        <v/>
      </c>
      <c r="D941" s="11" t="str">
        <f t="shared" si="57"/>
        <v/>
      </c>
      <c r="E941" s="45"/>
      <c r="F941" s="11" t="str">
        <f>IFERROR(VLOOKUP(E941,Category!$D$2:$E$600,2,FALSE),"")</f>
        <v/>
      </c>
      <c r="G941" s="45"/>
      <c r="H941" s="73"/>
      <c r="I941" s="18" t="str">
        <f t="shared" si="58"/>
        <v/>
      </c>
      <c r="J941" s="45"/>
      <c r="K941" s="45"/>
    </row>
    <row r="942" spans="1:11">
      <c r="A942" s="10" t="str">
        <f t="shared" si="59"/>
        <v/>
      </c>
      <c r="B942" s="45"/>
      <c r="C942" s="11" t="str">
        <f t="shared" si="56"/>
        <v/>
      </c>
      <c r="D942" s="11" t="str">
        <f t="shared" si="57"/>
        <v/>
      </c>
      <c r="E942" s="45"/>
      <c r="F942" s="11" t="str">
        <f>IFERROR(VLOOKUP(E942,Category!$D$2:$E$600,2,FALSE),"")</f>
        <v/>
      </c>
      <c r="G942" s="45"/>
      <c r="H942" s="73"/>
      <c r="I942" s="18" t="str">
        <f t="shared" si="58"/>
        <v/>
      </c>
      <c r="J942" s="45"/>
      <c r="K942" s="45"/>
    </row>
    <row r="943" spans="1:11">
      <c r="A943" s="10" t="str">
        <f t="shared" si="59"/>
        <v/>
      </c>
      <c r="B943" s="45"/>
      <c r="C943" s="11" t="str">
        <f t="shared" si="56"/>
        <v/>
      </c>
      <c r="D943" s="11" t="str">
        <f t="shared" si="57"/>
        <v/>
      </c>
      <c r="E943" s="45"/>
      <c r="F943" s="11" t="str">
        <f>IFERROR(VLOOKUP(E943,Category!$D$2:$E$600,2,FALSE),"")</f>
        <v/>
      </c>
      <c r="G943" s="45"/>
      <c r="H943" s="73"/>
      <c r="I943" s="18" t="str">
        <f t="shared" si="58"/>
        <v/>
      </c>
      <c r="J943" s="45"/>
      <c r="K943" s="45"/>
    </row>
    <row r="944" spans="1:11">
      <c r="A944" s="10" t="str">
        <f t="shared" si="59"/>
        <v/>
      </c>
      <c r="B944" s="45"/>
      <c r="C944" s="11" t="str">
        <f t="shared" si="56"/>
        <v/>
      </c>
      <c r="D944" s="11" t="str">
        <f t="shared" si="57"/>
        <v/>
      </c>
      <c r="E944" s="45"/>
      <c r="F944" s="11" t="str">
        <f>IFERROR(VLOOKUP(E944,Category!$D$2:$E$600,2,FALSE),"")</f>
        <v/>
      </c>
      <c r="G944" s="45"/>
      <c r="H944" s="73"/>
      <c r="I944" s="18" t="str">
        <f t="shared" si="58"/>
        <v/>
      </c>
      <c r="J944" s="45"/>
      <c r="K944" s="45"/>
    </row>
    <row r="945" spans="1:11">
      <c r="A945" s="10" t="str">
        <f t="shared" si="59"/>
        <v/>
      </c>
      <c r="B945" s="45"/>
      <c r="C945" s="11" t="str">
        <f t="shared" si="56"/>
        <v/>
      </c>
      <c r="D945" s="11" t="str">
        <f t="shared" si="57"/>
        <v/>
      </c>
      <c r="E945" s="45"/>
      <c r="F945" s="11" t="str">
        <f>IFERROR(VLOOKUP(E945,Category!$D$2:$E$600,2,FALSE),"")</f>
        <v/>
      </c>
      <c r="G945" s="45"/>
      <c r="H945" s="73"/>
      <c r="I945" s="18" t="str">
        <f t="shared" si="58"/>
        <v/>
      </c>
      <c r="J945" s="45"/>
      <c r="K945" s="45"/>
    </row>
    <row r="946" spans="1:11">
      <c r="A946" s="10" t="str">
        <f t="shared" si="59"/>
        <v/>
      </c>
      <c r="B946" s="45"/>
      <c r="C946" s="11" t="str">
        <f t="shared" si="56"/>
        <v/>
      </c>
      <c r="D946" s="11" t="str">
        <f t="shared" si="57"/>
        <v/>
      </c>
      <c r="E946" s="45"/>
      <c r="F946" s="11" t="str">
        <f>IFERROR(VLOOKUP(E946,Category!$D$2:$E$600,2,FALSE),"")</f>
        <v/>
      </c>
      <c r="G946" s="45"/>
      <c r="H946" s="73"/>
      <c r="I946" s="18" t="str">
        <f t="shared" si="58"/>
        <v/>
      </c>
      <c r="J946" s="45"/>
      <c r="K946" s="45"/>
    </row>
    <row r="947" spans="1:11">
      <c r="A947" s="10" t="str">
        <f t="shared" si="59"/>
        <v/>
      </c>
      <c r="B947" s="45"/>
      <c r="C947" s="11" t="str">
        <f t="shared" si="56"/>
        <v/>
      </c>
      <c r="D947" s="11" t="str">
        <f t="shared" si="57"/>
        <v/>
      </c>
      <c r="E947" s="45"/>
      <c r="F947" s="11" t="str">
        <f>IFERROR(VLOOKUP(E947,Category!$D$2:$E$600,2,FALSE),"")</f>
        <v/>
      </c>
      <c r="G947" s="45"/>
      <c r="H947" s="73"/>
      <c r="I947" s="18" t="str">
        <f t="shared" si="58"/>
        <v/>
      </c>
      <c r="J947" s="45"/>
      <c r="K947" s="45"/>
    </row>
    <row r="948" spans="1:11">
      <c r="A948" s="10" t="str">
        <f t="shared" si="59"/>
        <v/>
      </c>
      <c r="B948" s="45"/>
      <c r="C948" s="11" t="str">
        <f t="shared" si="56"/>
        <v/>
      </c>
      <c r="D948" s="11" t="str">
        <f t="shared" si="57"/>
        <v/>
      </c>
      <c r="E948" s="45"/>
      <c r="F948" s="11" t="str">
        <f>IFERROR(VLOOKUP(E948,Category!$D$2:$E$600,2,FALSE),"")</f>
        <v/>
      </c>
      <c r="G948" s="45"/>
      <c r="H948" s="73"/>
      <c r="I948" s="18" t="str">
        <f t="shared" si="58"/>
        <v/>
      </c>
      <c r="J948" s="45"/>
      <c r="K948" s="45"/>
    </row>
    <row r="949" spans="1:11">
      <c r="A949" s="10" t="str">
        <f t="shared" si="59"/>
        <v/>
      </c>
      <c r="B949" s="45"/>
      <c r="C949" s="11" t="str">
        <f t="shared" si="56"/>
        <v/>
      </c>
      <c r="D949" s="11" t="str">
        <f t="shared" si="57"/>
        <v/>
      </c>
      <c r="E949" s="45"/>
      <c r="F949" s="11" t="str">
        <f>IFERROR(VLOOKUP(E949,Category!$D$2:$E$600,2,FALSE),"")</f>
        <v/>
      </c>
      <c r="G949" s="45"/>
      <c r="H949" s="73"/>
      <c r="I949" s="18" t="str">
        <f t="shared" si="58"/>
        <v/>
      </c>
      <c r="J949" s="45"/>
      <c r="K949" s="45"/>
    </row>
    <row r="950" spans="1:11">
      <c r="A950" s="10" t="str">
        <f t="shared" si="59"/>
        <v/>
      </c>
      <c r="B950" s="45"/>
      <c r="C950" s="11" t="str">
        <f t="shared" si="56"/>
        <v/>
      </c>
      <c r="D950" s="11" t="str">
        <f t="shared" si="57"/>
        <v/>
      </c>
      <c r="E950" s="45"/>
      <c r="F950" s="11" t="str">
        <f>IFERROR(VLOOKUP(E950,Category!$D$2:$E$600,2,FALSE),"")</f>
        <v/>
      </c>
      <c r="G950" s="45"/>
      <c r="H950" s="73"/>
      <c r="I950" s="18" t="str">
        <f t="shared" si="58"/>
        <v/>
      </c>
      <c r="J950" s="45"/>
      <c r="K950" s="45"/>
    </row>
    <row r="951" spans="1:11">
      <c r="A951" s="10" t="str">
        <f t="shared" si="59"/>
        <v/>
      </c>
      <c r="B951" s="45"/>
      <c r="C951" s="11" t="str">
        <f t="shared" si="56"/>
        <v/>
      </c>
      <c r="D951" s="11" t="str">
        <f t="shared" si="57"/>
        <v/>
      </c>
      <c r="E951" s="45"/>
      <c r="F951" s="11" t="str">
        <f>IFERROR(VLOOKUP(E951,Category!$D$2:$E$600,2,FALSE),"")</f>
        <v/>
      </c>
      <c r="G951" s="45"/>
      <c r="H951" s="73"/>
      <c r="I951" s="18" t="str">
        <f t="shared" si="58"/>
        <v/>
      </c>
      <c r="J951" s="45"/>
      <c r="K951" s="45"/>
    </row>
    <row r="952" spans="1:11">
      <c r="A952" s="10" t="str">
        <f t="shared" si="59"/>
        <v/>
      </c>
      <c r="B952" s="45"/>
      <c r="C952" s="11" t="str">
        <f t="shared" si="56"/>
        <v/>
      </c>
      <c r="D952" s="11" t="str">
        <f t="shared" si="57"/>
        <v/>
      </c>
      <c r="E952" s="45"/>
      <c r="F952" s="11" t="str">
        <f>IFERROR(VLOOKUP(E952,Category!$D$2:$E$600,2,FALSE),"")</f>
        <v/>
      </c>
      <c r="G952" s="45"/>
      <c r="H952" s="73"/>
      <c r="I952" s="18" t="str">
        <f t="shared" si="58"/>
        <v/>
      </c>
      <c r="J952" s="45"/>
      <c r="K952" s="45"/>
    </row>
    <row r="953" spans="1:11">
      <c r="A953" s="10" t="str">
        <f t="shared" si="59"/>
        <v/>
      </c>
      <c r="B953" s="45"/>
      <c r="C953" s="11" t="str">
        <f t="shared" si="56"/>
        <v/>
      </c>
      <c r="D953" s="11" t="str">
        <f t="shared" si="57"/>
        <v/>
      </c>
      <c r="E953" s="45"/>
      <c r="F953" s="11" t="str">
        <f>IFERROR(VLOOKUP(E953,Category!$D$2:$E$600,2,FALSE),"")</f>
        <v/>
      </c>
      <c r="G953" s="45"/>
      <c r="H953" s="73"/>
      <c r="I953" s="18" t="str">
        <f t="shared" si="58"/>
        <v/>
      </c>
      <c r="J953" s="45"/>
      <c r="K953" s="45"/>
    </row>
    <row r="954" spans="1:11">
      <c r="A954" s="10" t="str">
        <f t="shared" si="59"/>
        <v/>
      </c>
      <c r="B954" s="45"/>
      <c r="C954" s="11" t="str">
        <f t="shared" si="56"/>
        <v/>
      </c>
      <c r="D954" s="11" t="str">
        <f t="shared" si="57"/>
        <v/>
      </c>
      <c r="E954" s="45"/>
      <c r="F954" s="11" t="str">
        <f>IFERROR(VLOOKUP(E954,Category!$D$2:$E$600,2,FALSE),"")</f>
        <v/>
      </c>
      <c r="G954" s="45"/>
      <c r="H954" s="73"/>
      <c r="I954" s="18" t="str">
        <f t="shared" si="58"/>
        <v/>
      </c>
      <c r="J954" s="45"/>
      <c r="K954" s="45"/>
    </row>
    <row r="955" spans="1:11">
      <c r="A955" s="10" t="str">
        <f t="shared" si="59"/>
        <v/>
      </c>
      <c r="B955" s="45"/>
      <c r="C955" s="11" t="str">
        <f t="shared" si="56"/>
        <v/>
      </c>
      <c r="D955" s="11" t="str">
        <f t="shared" si="57"/>
        <v/>
      </c>
      <c r="E955" s="45"/>
      <c r="F955" s="11" t="str">
        <f>IFERROR(VLOOKUP(E955,Category!$D$2:$E$600,2,FALSE),"")</f>
        <v/>
      </c>
      <c r="G955" s="45"/>
      <c r="H955" s="73"/>
      <c r="I955" s="18" t="str">
        <f t="shared" si="58"/>
        <v/>
      </c>
      <c r="J955" s="45"/>
      <c r="K955" s="45"/>
    </row>
    <row r="956" spans="1:11">
      <c r="A956" s="10" t="str">
        <f t="shared" si="59"/>
        <v/>
      </c>
      <c r="B956" s="45"/>
      <c r="C956" s="11" t="str">
        <f t="shared" si="56"/>
        <v/>
      </c>
      <c r="D956" s="11" t="str">
        <f t="shared" si="57"/>
        <v/>
      </c>
      <c r="E956" s="45"/>
      <c r="F956" s="11" t="str">
        <f>IFERROR(VLOOKUP(E956,Category!$D$2:$E$600,2,FALSE),"")</f>
        <v/>
      </c>
      <c r="G956" s="45"/>
      <c r="H956" s="73"/>
      <c r="I956" s="18" t="str">
        <f t="shared" si="58"/>
        <v/>
      </c>
      <c r="J956" s="45"/>
      <c r="K956" s="45"/>
    </row>
    <row r="957" spans="1:11">
      <c r="A957" s="10" t="str">
        <f t="shared" si="59"/>
        <v/>
      </c>
      <c r="B957" s="45"/>
      <c r="C957" s="11" t="str">
        <f t="shared" si="56"/>
        <v/>
      </c>
      <c r="D957" s="11" t="str">
        <f t="shared" si="57"/>
        <v/>
      </c>
      <c r="E957" s="45"/>
      <c r="F957" s="11" t="str">
        <f>IFERROR(VLOOKUP(E957,Category!$D$2:$E$600,2,FALSE),"")</f>
        <v/>
      </c>
      <c r="G957" s="45"/>
      <c r="H957" s="73"/>
      <c r="I957" s="18" t="str">
        <f t="shared" si="58"/>
        <v/>
      </c>
      <c r="J957" s="45"/>
      <c r="K957" s="45"/>
    </row>
    <row r="958" spans="1:11">
      <c r="A958" s="10" t="str">
        <f t="shared" si="59"/>
        <v/>
      </c>
      <c r="B958" s="45"/>
      <c r="C958" s="11" t="str">
        <f t="shared" si="56"/>
        <v/>
      </c>
      <c r="D958" s="11" t="str">
        <f t="shared" si="57"/>
        <v/>
      </c>
      <c r="E958" s="45"/>
      <c r="F958" s="11" t="str">
        <f>IFERROR(VLOOKUP(E958,Category!$D$2:$E$600,2,FALSE),"")</f>
        <v/>
      </c>
      <c r="G958" s="45"/>
      <c r="H958" s="73"/>
      <c r="I958" s="18" t="str">
        <f t="shared" si="58"/>
        <v/>
      </c>
      <c r="J958" s="45"/>
      <c r="K958" s="45"/>
    </row>
    <row r="959" spans="1:11">
      <c r="A959" s="10" t="str">
        <f t="shared" si="59"/>
        <v/>
      </c>
      <c r="B959" s="45"/>
      <c r="C959" s="11" t="str">
        <f t="shared" si="56"/>
        <v/>
      </c>
      <c r="D959" s="11" t="str">
        <f t="shared" si="57"/>
        <v/>
      </c>
      <c r="E959" s="45"/>
      <c r="F959" s="11" t="str">
        <f>IFERROR(VLOOKUP(E959,Category!$D$2:$E$600,2,FALSE),"")</f>
        <v/>
      </c>
      <c r="G959" s="45"/>
      <c r="H959" s="73"/>
      <c r="I959" s="18" t="str">
        <f t="shared" si="58"/>
        <v/>
      </c>
      <c r="J959" s="45"/>
      <c r="K959" s="45"/>
    </row>
    <row r="960" spans="1:11">
      <c r="A960" s="10" t="str">
        <f t="shared" si="59"/>
        <v/>
      </c>
      <c r="B960" s="45"/>
      <c r="C960" s="11" t="str">
        <f t="shared" si="56"/>
        <v/>
      </c>
      <c r="D960" s="11" t="str">
        <f t="shared" si="57"/>
        <v/>
      </c>
      <c r="E960" s="45"/>
      <c r="F960" s="11" t="str">
        <f>IFERROR(VLOOKUP(E960,Category!$D$2:$E$600,2,FALSE),"")</f>
        <v/>
      </c>
      <c r="G960" s="45"/>
      <c r="H960" s="73"/>
      <c r="I960" s="18" t="str">
        <f t="shared" si="58"/>
        <v/>
      </c>
      <c r="J960" s="45"/>
      <c r="K960" s="45"/>
    </row>
    <row r="961" spans="1:11">
      <c r="A961" s="10" t="str">
        <f t="shared" si="59"/>
        <v/>
      </c>
      <c r="B961" s="45"/>
      <c r="C961" s="11" t="str">
        <f t="shared" si="56"/>
        <v/>
      </c>
      <c r="D961" s="11" t="str">
        <f t="shared" si="57"/>
        <v/>
      </c>
      <c r="E961" s="45"/>
      <c r="F961" s="11" t="str">
        <f>IFERROR(VLOOKUP(E961,Category!$D$2:$E$600,2,FALSE),"")</f>
        <v/>
      </c>
      <c r="G961" s="45"/>
      <c r="H961" s="73"/>
      <c r="I961" s="18" t="str">
        <f t="shared" si="58"/>
        <v/>
      </c>
      <c r="J961" s="45"/>
      <c r="K961" s="45"/>
    </row>
    <row r="962" spans="1:11">
      <c r="A962" s="10" t="str">
        <f t="shared" si="59"/>
        <v/>
      </c>
      <c r="B962" s="45"/>
      <c r="C962" s="11" t="str">
        <f t="shared" si="56"/>
        <v/>
      </c>
      <c r="D962" s="11" t="str">
        <f t="shared" si="57"/>
        <v/>
      </c>
      <c r="E962" s="45"/>
      <c r="F962" s="11" t="str">
        <f>IFERROR(VLOOKUP(E962,Category!$D$2:$E$600,2,FALSE),"")</f>
        <v/>
      </c>
      <c r="G962" s="45"/>
      <c r="H962" s="73"/>
      <c r="I962" s="18" t="str">
        <f t="shared" si="58"/>
        <v/>
      </c>
      <c r="J962" s="45"/>
      <c r="K962" s="45"/>
    </row>
    <row r="963" spans="1:11">
      <c r="A963" s="10" t="str">
        <f t="shared" si="59"/>
        <v/>
      </c>
      <c r="B963" s="45"/>
      <c r="C963" s="11" t="str">
        <f t="shared" ref="C963:C1026" si="60">IF(B963=0,"",TEXT(B963,"mmmm"))</f>
        <v/>
      </c>
      <c r="D963" s="11" t="str">
        <f t="shared" ref="D963:D1026" si="61">IF(B963=0,"",TEXT(B963,"yyyy"))</f>
        <v/>
      </c>
      <c r="E963" s="45"/>
      <c r="F963" s="11" t="str">
        <f>IFERROR(VLOOKUP(E963,Category!$D$2:$E$600,2,FALSE),"")</f>
        <v/>
      </c>
      <c r="G963" s="45"/>
      <c r="H963" s="73"/>
      <c r="I963" s="18" t="str">
        <f t="shared" ref="I963:I1026" si="62">IF(G963*H963=0,"",G963*H963)</f>
        <v/>
      </c>
      <c r="J963" s="45"/>
      <c r="K963" s="45"/>
    </row>
    <row r="964" spans="1:11">
      <c r="A964" s="10" t="str">
        <f t="shared" ref="A964:A1027" si="63">IF(E964&gt;0,A963+1,"")</f>
        <v/>
      </c>
      <c r="B964" s="45"/>
      <c r="C964" s="11" t="str">
        <f t="shared" si="60"/>
        <v/>
      </c>
      <c r="D964" s="11" t="str">
        <f t="shared" si="61"/>
        <v/>
      </c>
      <c r="E964" s="45"/>
      <c r="F964" s="11" t="str">
        <f>IFERROR(VLOOKUP(E964,Category!$D$2:$E$600,2,FALSE),"")</f>
        <v/>
      </c>
      <c r="G964" s="45"/>
      <c r="H964" s="73"/>
      <c r="I964" s="18" t="str">
        <f t="shared" si="62"/>
        <v/>
      </c>
      <c r="J964" s="45"/>
      <c r="K964" s="45"/>
    </row>
    <row r="965" spans="1:11">
      <c r="A965" s="10" t="str">
        <f t="shared" si="63"/>
        <v/>
      </c>
      <c r="B965" s="45"/>
      <c r="C965" s="11" t="str">
        <f t="shared" si="60"/>
        <v/>
      </c>
      <c r="D965" s="11" t="str">
        <f t="shared" si="61"/>
        <v/>
      </c>
      <c r="E965" s="45"/>
      <c r="F965" s="11" t="str">
        <f>IFERROR(VLOOKUP(E965,Category!$D$2:$E$600,2,FALSE),"")</f>
        <v/>
      </c>
      <c r="G965" s="45"/>
      <c r="H965" s="73"/>
      <c r="I965" s="18" t="str">
        <f t="shared" si="62"/>
        <v/>
      </c>
      <c r="J965" s="45"/>
      <c r="K965" s="45"/>
    </row>
    <row r="966" spans="1:11">
      <c r="A966" s="10" t="str">
        <f t="shared" si="63"/>
        <v/>
      </c>
      <c r="B966" s="45"/>
      <c r="C966" s="11" t="str">
        <f t="shared" si="60"/>
        <v/>
      </c>
      <c r="D966" s="11" t="str">
        <f t="shared" si="61"/>
        <v/>
      </c>
      <c r="E966" s="45"/>
      <c r="F966" s="11" t="str">
        <f>IFERROR(VLOOKUP(E966,Category!$D$2:$E$600,2,FALSE),"")</f>
        <v/>
      </c>
      <c r="G966" s="45"/>
      <c r="H966" s="73"/>
      <c r="I966" s="18" t="str">
        <f t="shared" si="62"/>
        <v/>
      </c>
      <c r="J966" s="45"/>
      <c r="K966" s="45"/>
    </row>
    <row r="967" spans="1:11">
      <c r="A967" s="10" t="str">
        <f t="shared" si="63"/>
        <v/>
      </c>
      <c r="B967" s="45"/>
      <c r="C967" s="11" t="str">
        <f t="shared" si="60"/>
        <v/>
      </c>
      <c r="D967" s="11" t="str">
        <f t="shared" si="61"/>
        <v/>
      </c>
      <c r="E967" s="45"/>
      <c r="F967" s="11" t="str">
        <f>IFERROR(VLOOKUP(E967,Category!$D$2:$E$600,2,FALSE),"")</f>
        <v/>
      </c>
      <c r="G967" s="45"/>
      <c r="H967" s="73"/>
      <c r="I967" s="18" t="str">
        <f t="shared" si="62"/>
        <v/>
      </c>
      <c r="J967" s="45"/>
      <c r="K967" s="45"/>
    </row>
    <row r="968" spans="1:11">
      <c r="A968" s="10" t="str">
        <f t="shared" si="63"/>
        <v/>
      </c>
      <c r="B968" s="45"/>
      <c r="C968" s="11" t="str">
        <f t="shared" si="60"/>
        <v/>
      </c>
      <c r="D968" s="11" t="str">
        <f t="shared" si="61"/>
        <v/>
      </c>
      <c r="E968" s="45"/>
      <c r="F968" s="11" t="str">
        <f>IFERROR(VLOOKUP(E968,Category!$D$2:$E$600,2,FALSE),"")</f>
        <v/>
      </c>
      <c r="G968" s="45"/>
      <c r="H968" s="73"/>
      <c r="I968" s="18" t="str">
        <f t="shared" si="62"/>
        <v/>
      </c>
      <c r="J968" s="45"/>
      <c r="K968" s="45"/>
    </row>
    <row r="969" spans="1:11">
      <c r="A969" s="10" t="str">
        <f t="shared" si="63"/>
        <v/>
      </c>
      <c r="B969" s="45"/>
      <c r="C969" s="11" t="str">
        <f t="shared" si="60"/>
        <v/>
      </c>
      <c r="D969" s="11" t="str">
        <f t="shared" si="61"/>
        <v/>
      </c>
      <c r="E969" s="45"/>
      <c r="F969" s="11" t="str">
        <f>IFERROR(VLOOKUP(E969,Category!$D$2:$E$600,2,FALSE),"")</f>
        <v/>
      </c>
      <c r="G969" s="45"/>
      <c r="H969" s="73"/>
      <c r="I969" s="18" t="str">
        <f t="shared" si="62"/>
        <v/>
      </c>
      <c r="J969" s="45"/>
      <c r="K969" s="45"/>
    </row>
    <row r="970" spans="1:11">
      <c r="A970" s="10" t="str">
        <f t="shared" si="63"/>
        <v/>
      </c>
      <c r="B970" s="45"/>
      <c r="C970" s="11" t="str">
        <f t="shared" si="60"/>
        <v/>
      </c>
      <c r="D970" s="11" t="str">
        <f t="shared" si="61"/>
        <v/>
      </c>
      <c r="E970" s="45"/>
      <c r="F970" s="11" t="str">
        <f>IFERROR(VLOOKUP(E970,Category!$D$2:$E$600,2,FALSE),"")</f>
        <v/>
      </c>
      <c r="G970" s="45"/>
      <c r="H970" s="73"/>
      <c r="I970" s="18" t="str">
        <f t="shared" si="62"/>
        <v/>
      </c>
      <c r="J970" s="45"/>
      <c r="K970" s="45"/>
    </row>
    <row r="971" spans="1:11">
      <c r="A971" s="10" t="str">
        <f t="shared" si="63"/>
        <v/>
      </c>
      <c r="B971" s="45"/>
      <c r="C971" s="11" t="str">
        <f t="shared" si="60"/>
        <v/>
      </c>
      <c r="D971" s="11" t="str">
        <f t="shared" si="61"/>
        <v/>
      </c>
      <c r="E971" s="45"/>
      <c r="F971" s="11" t="str">
        <f>IFERROR(VLOOKUP(E971,Category!$D$2:$E$600,2,FALSE),"")</f>
        <v/>
      </c>
      <c r="G971" s="45"/>
      <c r="H971" s="73"/>
      <c r="I971" s="18" t="str">
        <f t="shared" si="62"/>
        <v/>
      </c>
      <c r="J971" s="45"/>
      <c r="K971" s="45"/>
    </row>
    <row r="972" spans="1:11">
      <c r="A972" s="10" t="str">
        <f t="shared" si="63"/>
        <v/>
      </c>
      <c r="B972" s="45"/>
      <c r="C972" s="11" t="str">
        <f t="shared" si="60"/>
        <v/>
      </c>
      <c r="D972" s="11" t="str">
        <f t="shared" si="61"/>
        <v/>
      </c>
      <c r="E972" s="45"/>
      <c r="F972" s="11" t="str">
        <f>IFERROR(VLOOKUP(E972,Category!$D$2:$E$600,2,FALSE),"")</f>
        <v/>
      </c>
      <c r="G972" s="45"/>
      <c r="H972" s="73"/>
      <c r="I972" s="18" t="str">
        <f t="shared" si="62"/>
        <v/>
      </c>
      <c r="J972" s="45"/>
      <c r="K972" s="45"/>
    </row>
    <row r="973" spans="1:11">
      <c r="A973" s="10" t="str">
        <f t="shared" si="63"/>
        <v/>
      </c>
      <c r="B973" s="45"/>
      <c r="C973" s="11" t="str">
        <f t="shared" si="60"/>
        <v/>
      </c>
      <c r="D973" s="11" t="str">
        <f t="shared" si="61"/>
        <v/>
      </c>
      <c r="E973" s="45"/>
      <c r="F973" s="11" t="str">
        <f>IFERROR(VLOOKUP(E973,Category!$D$2:$E$600,2,FALSE),"")</f>
        <v/>
      </c>
      <c r="G973" s="45"/>
      <c r="H973" s="73"/>
      <c r="I973" s="18" t="str">
        <f t="shared" si="62"/>
        <v/>
      </c>
      <c r="J973" s="45"/>
      <c r="K973" s="45"/>
    </row>
    <row r="974" spans="1:11">
      <c r="A974" s="10" t="str">
        <f t="shared" si="63"/>
        <v/>
      </c>
      <c r="B974" s="45"/>
      <c r="C974" s="11" t="str">
        <f t="shared" si="60"/>
        <v/>
      </c>
      <c r="D974" s="11" t="str">
        <f t="shared" si="61"/>
        <v/>
      </c>
      <c r="E974" s="45"/>
      <c r="F974" s="11" t="str">
        <f>IFERROR(VLOOKUP(E974,Category!$D$2:$E$600,2,FALSE),"")</f>
        <v/>
      </c>
      <c r="G974" s="45"/>
      <c r="H974" s="73"/>
      <c r="I974" s="18" t="str">
        <f t="shared" si="62"/>
        <v/>
      </c>
      <c r="J974" s="45"/>
      <c r="K974" s="45"/>
    </row>
    <row r="975" spans="1:11">
      <c r="A975" s="10" t="str">
        <f t="shared" si="63"/>
        <v/>
      </c>
      <c r="B975" s="45"/>
      <c r="C975" s="11" t="str">
        <f t="shared" si="60"/>
        <v/>
      </c>
      <c r="D975" s="11" t="str">
        <f t="shared" si="61"/>
        <v/>
      </c>
      <c r="E975" s="45"/>
      <c r="F975" s="11" t="str">
        <f>IFERROR(VLOOKUP(E975,Category!$D$2:$E$600,2,FALSE),"")</f>
        <v/>
      </c>
      <c r="G975" s="45"/>
      <c r="H975" s="73"/>
      <c r="I975" s="18" t="str">
        <f t="shared" si="62"/>
        <v/>
      </c>
      <c r="J975" s="45"/>
      <c r="K975" s="45"/>
    </row>
    <row r="976" spans="1:11">
      <c r="A976" s="10" t="str">
        <f t="shared" si="63"/>
        <v/>
      </c>
      <c r="B976" s="45"/>
      <c r="C976" s="11" t="str">
        <f t="shared" si="60"/>
        <v/>
      </c>
      <c r="D976" s="11" t="str">
        <f t="shared" si="61"/>
        <v/>
      </c>
      <c r="E976" s="45"/>
      <c r="F976" s="11" t="str">
        <f>IFERROR(VLOOKUP(E976,Category!$D$2:$E$600,2,FALSE),"")</f>
        <v/>
      </c>
      <c r="G976" s="45"/>
      <c r="H976" s="73"/>
      <c r="I976" s="18" t="str">
        <f t="shared" si="62"/>
        <v/>
      </c>
      <c r="J976" s="45"/>
      <c r="K976" s="45"/>
    </row>
    <row r="977" spans="1:11">
      <c r="A977" s="10" t="str">
        <f t="shared" si="63"/>
        <v/>
      </c>
      <c r="B977" s="45"/>
      <c r="C977" s="11" t="str">
        <f t="shared" si="60"/>
        <v/>
      </c>
      <c r="D977" s="11" t="str">
        <f t="shared" si="61"/>
        <v/>
      </c>
      <c r="E977" s="45"/>
      <c r="F977" s="11" t="str">
        <f>IFERROR(VLOOKUP(E977,Category!$D$2:$E$600,2,FALSE),"")</f>
        <v/>
      </c>
      <c r="G977" s="45"/>
      <c r="H977" s="73"/>
      <c r="I977" s="18" t="str">
        <f t="shared" si="62"/>
        <v/>
      </c>
      <c r="J977" s="45"/>
      <c r="K977" s="45"/>
    </row>
    <row r="978" spans="1:11">
      <c r="A978" s="10" t="str">
        <f t="shared" si="63"/>
        <v/>
      </c>
      <c r="B978" s="45"/>
      <c r="C978" s="11" t="str">
        <f t="shared" si="60"/>
        <v/>
      </c>
      <c r="D978" s="11" t="str">
        <f t="shared" si="61"/>
        <v/>
      </c>
      <c r="E978" s="45"/>
      <c r="F978" s="11" t="str">
        <f>IFERROR(VLOOKUP(E978,Category!$D$2:$E$600,2,FALSE),"")</f>
        <v/>
      </c>
      <c r="G978" s="45"/>
      <c r="H978" s="73"/>
      <c r="I978" s="18" t="str">
        <f t="shared" si="62"/>
        <v/>
      </c>
      <c r="J978" s="45"/>
      <c r="K978" s="45"/>
    </row>
    <row r="979" spans="1:11">
      <c r="A979" s="10" t="str">
        <f t="shared" si="63"/>
        <v/>
      </c>
      <c r="B979" s="45"/>
      <c r="C979" s="11" t="str">
        <f t="shared" si="60"/>
        <v/>
      </c>
      <c r="D979" s="11" t="str">
        <f t="shared" si="61"/>
        <v/>
      </c>
      <c r="E979" s="45"/>
      <c r="F979" s="11" t="str">
        <f>IFERROR(VLOOKUP(E979,Category!$D$2:$E$600,2,FALSE),"")</f>
        <v/>
      </c>
      <c r="G979" s="45"/>
      <c r="H979" s="73"/>
      <c r="I979" s="18" t="str">
        <f t="shared" si="62"/>
        <v/>
      </c>
      <c r="J979" s="45"/>
      <c r="K979" s="45"/>
    </row>
    <row r="980" spans="1:11">
      <c r="A980" s="10" t="str">
        <f t="shared" si="63"/>
        <v/>
      </c>
      <c r="B980" s="45"/>
      <c r="C980" s="11" t="str">
        <f t="shared" si="60"/>
        <v/>
      </c>
      <c r="D980" s="11" t="str">
        <f t="shared" si="61"/>
        <v/>
      </c>
      <c r="E980" s="45"/>
      <c r="F980" s="11" t="str">
        <f>IFERROR(VLOOKUP(E980,Category!$D$2:$E$600,2,FALSE),"")</f>
        <v/>
      </c>
      <c r="G980" s="45"/>
      <c r="H980" s="73"/>
      <c r="I980" s="18" t="str">
        <f t="shared" si="62"/>
        <v/>
      </c>
      <c r="J980" s="45"/>
      <c r="K980" s="45"/>
    </row>
    <row r="981" spans="1:11">
      <c r="A981" s="10" t="str">
        <f t="shared" si="63"/>
        <v/>
      </c>
      <c r="B981" s="45"/>
      <c r="C981" s="11" t="str">
        <f t="shared" si="60"/>
        <v/>
      </c>
      <c r="D981" s="11" t="str">
        <f t="shared" si="61"/>
        <v/>
      </c>
      <c r="E981" s="45"/>
      <c r="F981" s="11" t="str">
        <f>IFERROR(VLOOKUP(E981,Category!$D$2:$E$600,2,FALSE),"")</f>
        <v/>
      </c>
      <c r="G981" s="45"/>
      <c r="H981" s="73"/>
      <c r="I981" s="18" t="str">
        <f t="shared" si="62"/>
        <v/>
      </c>
      <c r="J981" s="45"/>
      <c r="K981" s="45"/>
    </row>
    <row r="982" spans="1:11">
      <c r="A982" s="10" t="str">
        <f t="shared" si="63"/>
        <v/>
      </c>
      <c r="B982" s="45"/>
      <c r="C982" s="11" t="str">
        <f t="shared" si="60"/>
        <v/>
      </c>
      <c r="D982" s="11" t="str">
        <f t="shared" si="61"/>
        <v/>
      </c>
      <c r="E982" s="45"/>
      <c r="F982" s="11" t="str">
        <f>IFERROR(VLOOKUP(E982,Category!$D$2:$E$600,2,FALSE),"")</f>
        <v/>
      </c>
      <c r="G982" s="45"/>
      <c r="H982" s="73"/>
      <c r="I982" s="18" t="str">
        <f t="shared" si="62"/>
        <v/>
      </c>
      <c r="J982" s="45"/>
      <c r="K982" s="45"/>
    </row>
    <row r="983" spans="1:11">
      <c r="A983" s="10" t="str">
        <f t="shared" si="63"/>
        <v/>
      </c>
      <c r="B983" s="45"/>
      <c r="C983" s="11" t="str">
        <f t="shared" si="60"/>
        <v/>
      </c>
      <c r="D983" s="11" t="str">
        <f t="shared" si="61"/>
        <v/>
      </c>
      <c r="E983" s="45"/>
      <c r="F983" s="11" t="str">
        <f>IFERROR(VLOOKUP(E983,Category!$D$2:$E$600,2,FALSE),"")</f>
        <v/>
      </c>
      <c r="G983" s="45"/>
      <c r="H983" s="73"/>
      <c r="I983" s="18" t="str">
        <f t="shared" si="62"/>
        <v/>
      </c>
      <c r="J983" s="45"/>
      <c r="K983" s="45"/>
    </row>
    <row r="984" spans="1:11">
      <c r="A984" s="10" t="str">
        <f t="shared" si="63"/>
        <v/>
      </c>
      <c r="B984" s="45"/>
      <c r="C984" s="11" t="str">
        <f t="shared" si="60"/>
        <v/>
      </c>
      <c r="D984" s="11" t="str">
        <f t="shared" si="61"/>
        <v/>
      </c>
      <c r="E984" s="45"/>
      <c r="F984" s="11" t="str">
        <f>IFERROR(VLOOKUP(E984,Category!$D$2:$E$600,2,FALSE),"")</f>
        <v/>
      </c>
      <c r="G984" s="45"/>
      <c r="H984" s="73"/>
      <c r="I984" s="18" t="str">
        <f t="shared" si="62"/>
        <v/>
      </c>
      <c r="J984" s="45"/>
      <c r="K984" s="45"/>
    </row>
    <row r="985" spans="1:11">
      <c r="A985" s="10" t="str">
        <f t="shared" si="63"/>
        <v/>
      </c>
      <c r="B985" s="45"/>
      <c r="C985" s="11" t="str">
        <f t="shared" si="60"/>
        <v/>
      </c>
      <c r="D985" s="11" t="str">
        <f t="shared" si="61"/>
        <v/>
      </c>
      <c r="E985" s="45"/>
      <c r="F985" s="11" t="str">
        <f>IFERROR(VLOOKUP(E985,Category!$D$2:$E$600,2,FALSE),"")</f>
        <v/>
      </c>
      <c r="G985" s="45"/>
      <c r="H985" s="73"/>
      <c r="I985" s="18" t="str">
        <f t="shared" si="62"/>
        <v/>
      </c>
      <c r="J985" s="45"/>
      <c r="K985" s="45"/>
    </row>
    <row r="986" spans="1:11">
      <c r="A986" s="10" t="str">
        <f t="shared" si="63"/>
        <v/>
      </c>
      <c r="B986" s="45"/>
      <c r="C986" s="11" t="str">
        <f t="shared" si="60"/>
        <v/>
      </c>
      <c r="D986" s="11" t="str">
        <f t="shared" si="61"/>
        <v/>
      </c>
      <c r="E986" s="45"/>
      <c r="F986" s="11" t="str">
        <f>IFERROR(VLOOKUP(E986,Category!$D$2:$E$600,2,FALSE),"")</f>
        <v/>
      </c>
      <c r="G986" s="45"/>
      <c r="H986" s="73"/>
      <c r="I986" s="18" t="str">
        <f t="shared" si="62"/>
        <v/>
      </c>
      <c r="J986" s="45"/>
      <c r="K986" s="45"/>
    </row>
    <row r="987" spans="1:11">
      <c r="A987" s="10" t="str">
        <f t="shared" si="63"/>
        <v/>
      </c>
      <c r="B987" s="45"/>
      <c r="C987" s="11" t="str">
        <f t="shared" si="60"/>
        <v/>
      </c>
      <c r="D987" s="11" t="str">
        <f t="shared" si="61"/>
        <v/>
      </c>
      <c r="E987" s="45"/>
      <c r="F987" s="11" t="str">
        <f>IFERROR(VLOOKUP(E987,Category!$D$2:$E$600,2,FALSE),"")</f>
        <v/>
      </c>
      <c r="G987" s="45"/>
      <c r="H987" s="73"/>
      <c r="I987" s="18" t="str">
        <f t="shared" si="62"/>
        <v/>
      </c>
      <c r="J987" s="45"/>
      <c r="K987" s="45"/>
    </row>
    <row r="988" spans="1:11">
      <c r="A988" s="10" t="str">
        <f t="shared" si="63"/>
        <v/>
      </c>
      <c r="B988" s="45"/>
      <c r="C988" s="11" t="str">
        <f t="shared" si="60"/>
        <v/>
      </c>
      <c r="D988" s="11" t="str">
        <f t="shared" si="61"/>
        <v/>
      </c>
      <c r="E988" s="45"/>
      <c r="F988" s="11" t="str">
        <f>IFERROR(VLOOKUP(E988,Category!$D$2:$E$600,2,FALSE),"")</f>
        <v/>
      </c>
      <c r="G988" s="45"/>
      <c r="H988" s="73"/>
      <c r="I988" s="18" t="str">
        <f t="shared" si="62"/>
        <v/>
      </c>
      <c r="J988" s="45"/>
      <c r="K988" s="45"/>
    </row>
    <row r="989" spans="1:11">
      <c r="A989" s="10" t="str">
        <f t="shared" si="63"/>
        <v/>
      </c>
      <c r="B989" s="45"/>
      <c r="C989" s="11" t="str">
        <f t="shared" si="60"/>
        <v/>
      </c>
      <c r="D989" s="11" t="str">
        <f t="shared" si="61"/>
        <v/>
      </c>
      <c r="E989" s="45"/>
      <c r="F989" s="11" t="str">
        <f>IFERROR(VLOOKUP(E989,Category!$D$2:$E$600,2,FALSE),"")</f>
        <v/>
      </c>
      <c r="G989" s="45"/>
      <c r="H989" s="73"/>
      <c r="I989" s="18" t="str">
        <f t="shared" si="62"/>
        <v/>
      </c>
      <c r="J989" s="45"/>
      <c r="K989" s="45"/>
    </row>
    <row r="990" spans="1:11">
      <c r="A990" s="10" t="str">
        <f t="shared" si="63"/>
        <v/>
      </c>
      <c r="B990" s="45"/>
      <c r="C990" s="11" t="str">
        <f t="shared" si="60"/>
        <v/>
      </c>
      <c r="D990" s="11" t="str">
        <f t="shared" si="61"/>
        <v/>
      </c>
      <c r="E990" s="45"/>
      <c r="F990" s="11" t="str">
        <f>IFERROR(VLOOKUP(E990,Category!$D$2:$E$600,2,FALSE),"")</f>
        <v/>
      </c>
      <c r="G990" s="45"/>
      <c r="H990" s="73"/>
      <c r="I990" s="18" t="str">
        <f t="shared" si="62"/>
        <v/>
      </c>
      <c r="J990" s="45"/>
      <c r="K990" s="45"/>
    </row>
    <row r="991" spans="1:11">
      <c r="A991" s="10" t="str">
        <f t="shared" si="63"/>
        <v/>
      </c>
      <c r="B991" s="45"/>
      <c r="C991" s="11" t="str">
        <f t="shared" si="60"/>
        <v/>
      </c>
      <c r="D991" s="11" t="str">
        <f t="shared" si="61"/>
        <v/>
      </c>
      <c r="E991" s="45"/>
      <c r="F991" s="11" t="str">
        <f>IFERROR(VLOOKUP(E991,Category!$D$2:$E$600,2,FALSE),"")</f>
        <v/>
      </c>
      <c r="G991" s="45"/>
      <c r="H991" s="73"/>
      <c r="I991" s="18" t="str">
        <f t="shared" si="62"/>
        <v/>
      </c>
      <c r="J991" s="45"/>
      <c r="K991" s="45"/>
    </row>
    <row r="992" spans="1:11">
      <c r="A992" s="10" t="str">
        <f t="shared" si="63"/>
        <v/>
      </c>
      <c r="B992" s="45"/>
      <c r="C992" s="11" t="str">
        <f t="shared" si="60"/>
        <v/>
      </c>
      <c r="D992" s="11" t="str">
        <f t="shared" si="61"/>
        <v/>
      </c>
      <c r="E992" s="45"/>
      <c r="F992" s="11" t="str">
        <f>IFERROR(VLOOKUP(E992,Category!$D$2:$E$600,2,FALSE),"")</f>
        <v/>
      </c>
      <c r="G992" s="45"/>
      <c r="H992" s="73"/>
      <c r="I992" s="18" t="str">
        <f t="shared" si="62"/>
        <v/>
      </c>
      <c r="J992" s="45"/>
      <c r="K992" s="45"/>
    </row>
    <row r="993" spans="1:11">
      <c r="A993" s="10" t="str">
        <f t="shared" si="63"/>
        <v/>
      </c>
      <c r="B993" s="45"/>
      <c r="C993" s="11" t="str">
        <f t="shared" si="60"/>
        <v/>
      </c>
      <c r="D993" s="11" t="str">
        <f t="shared" si="61"/>
        <v/>
      </c>
      <c r="E993" s="45"/>
      <c r="F993" s="11" t="str">
        <f>IFERROR(VLOOKUP(E993,Category!$D$2:$E$600,2,FALSE),"")</f>
        <v/>
      </c>
      <c r="G993" s="45"/>
      <c r="H993" s="73"/>
      <c r="I993" s="18" t="str">
        <f t="shared" si="62"/>
        <v/>
      </c>
      <c r="J993" s="45"/>
      <c r="K993" s="45"/>
    </row>
    <row r="994" spans="1:11">
      <c r="A994" s="10" t="str">
        <f t="shared" si="63"/>
        <v/>
      </c>
      <c r="B994" s="45"/>
      <c r="C994" s="11" t="str">
        <f t="shared" si="60"/>
        <v/>
      </c>
      <c r="D994" s="11" t="str">
        <f t="shared" si="61"/>
        <v/>
      </c>
      <c r="E994" s="45"/>
      <c r="F994" s="11" t="str">
        <f>IFERROR(VLOOKUP(E994,Category!$D$2:$E$600,2,FALSE),"")</f>
        <v/>
      </c>
      <c r="G994" s="45"/>
      <c r="H994" s="73"/>
      <c r="I994" s="18" t="str">
        <f t="shared" si="62"/>
        <v/>
      </c>
      <c r="J994" s="45"/>
      <c r="K994" s="45"/>
    </row>
    <row r="995" spans="1:11">
      <c r="A995" s="10" t="str">
        <f t="shared" si="63"/>
        <v/>
      </c>
      <c r="B995" s="45"/>
      <c r="C995" s="11" t="str">
        <f t="shared" si="60"/>
        <v/>
      </c>
      <c r="D995" s="11" t="str">
        <f t="shared" si="61"/>
        <v/>
      </c>
      <c r="E995" s="45"/>
      <c r="F995" s="11" t="str">
        <f>IFERROR(VLOOKUP(E995,Category!$D$2:$E$600,2,FALSE),"")</f>
        <v/>
      </c>
      <c r="G995" s="45"/>
      <c r="H995" s="73"/>
      <c r="I995" s="18" t="str">
        <f t="shared" si="62"/>
        <v/>
      </c>
      <c r="J995" s="45"/>
      <c r="K995" s="45"/>
    </row>
    <row r="996" spans="1:11">
      <c r="A996" s="10" t="str">
        <f t="shared" si="63"/>
        <v/>
      </c>
      <c r="B996" s="45"/>
      <c r="C996" s="11" t="str">
        <f t="shared" si="60"/>
        <v/>
      </c>
      <c r="D996" s="11" t="str">
        <f t="shared" si="61"/>
        <v/>
      </c>
      <c r="E996" s="45"/>
      <c r="F996" s="11" t="str">
        <f>IFERROR(VLOOKUP(E996,Category!$D$2:$E$600,2,FALSE),"")</f>
        <v/>
      </c>
      <c r="G996" s="45"/>
      <c r="H996" s="73"/>
      <c r="I996" s="18" t="str">
        <f t="shared" si="62"/>
        <v/>
      </c>
      <c r="J996" s="45"/>
      <c r="K996" s="45"/>
    </row>
    <row r="997" spans="1:11">
      <c r="A997" s="10" t="str">
        <f t="shared" si="63"/>
        <v/>
      </c>
      <c r="B997" s="45"/>
      <c r="C997" s="11" t="str">
        <f t="shared" si="60"/>
        <v/>
      </c>
      <c r="D997" s="11" t="str">
        <f t="shared" si="61"/>
        <v/>
      </c>
      <c r="E997" s="45"/>
      <c r="F997" s="11" t="str">
        <f>IFERROR(VLOOKUP(E997,Category!$D$2:$E$600,2,FALSE),"")</f>
        <v/>
      </c>
      <c r="G997" s="45"/>
      <c r="H997" s="73"/>
      <c r="I997" s="18" t="str">
        <f t="shared" si="62"/>
        <v/>
      </c>
      <c r="J997" s="45"/>
      <c r="K997" s="45"/>
    </row>
    <row r="998" spans="1:11">
      <c r="A998" s="10" t="str">
        <f t="shared" si="63"/>
        <v/>
      </c>
      <c r="B998" s="45"/>
      <c r="C998" s="11" t="str">
        <f t="shared" si="60"/>
        <v/>
      </c>
      <c r="D998" s="11" t="str">
        <f t="shared" si="61"/>
        <v/>
      </c>
      <c r="E998" s="45"/>
      <c r="F998" s="11" t="str">
        <f>IFERROR(VLOOKUP(E998,Category!$D$2:$E$600,2,FALSE),"")</f>
        <v/>
      </c>
      <c r="G998" s="45"/>
      <c r="H998" s="73"/>
      <c r="I998" s="18" t="str">
        <f t="shared" si="62"/>
        <v/>
      </c>
      <c r="J998" s="45"/>
      <c r="K998" s="45"/>
    </row>
    <row r="999" spans="1:11">
      <c r="A999" s="10" t="str">
        <f t="shared" si="63"/>
        <v/>
      </c>
      <c r="B999" s="45"/>
      <c r="C999" s="11" t="str">
        <f t="shared" si="60"/>
        <v/>
      </c>
      <c r="D999" s="11" t="str">
        <f t="shared" si="61"/>
        <v/>
      </c>
      <c r="E999" s="45"/>
      <c r="F999" s="11" t="str">
        <f>IFERROR(VLOOKUP(E999,Category!$D$2:$E$600,2,FALSE),"")</f>
        <v/>
      </c>
      <c r="G999" s="45"/>
      <c r="H999" s="73"/>
      <c r="I999" s="18" t="str">
        <f t="shared" si="62"/>
        <v/>
      </c>
      <c r="J999" s="45"/>
      <c r="K999" s="45"/>
    </row>
    <row r="1000" spans="1:11">
      <c r="A1000" s="10" t="str">
        <f t="shared" si="63"/>
        <v/>
      </c>
      <c r="B1000" s="45"/>
      <c r="C1000" s="11" t="str">
        <f t="shared" si="60"/>
        <v/>
      </c>
      <c r="D1000" s="11" t="str">
        <f t="shared" si="61"/>
        <v/>
      </c>
      <c r="E1000" s="45"/>
      <c r="F1000" s="11" t="str">
        <f>IFERROR(VLOOKUP(E1000,Category!$D$2:$E$600,2,FALSE),"")</f>
        <v/>
      </c>
      <c r="G1000" s="45"/>
      <c r="H1000" s="73"/>
      <c r="I1000" s="18" t="str">
        <f t="shared" si="62"/>
        <v/>
      </c>
      <c r="J1000" s="45"/>
      <c r="K1000" s="45"/>
    </row>
    <row r="1001" spans="1:11">
      <c r="A1001" s="10" t="str">
        <f t="shared" si="63"/>
        <v/>
      </c>
      <c r="B1001" s="45"/>
      <c r="C1001" s="11" t="str">
        <f t="shared" si="60"/>
        <v/>
      </c>
      <c r="D1001" s="11" t="str">
        <f t="shared" si="61"/>
        <v/>
      </c>
      <c r="E1001" s="45"/>
      <c r="F1001" s="11" t="str">
        <f>IFERROR(VLOOKUP(E1001,Category!$D$2:$E$600,2,FALSE),"")</f>
        <v/>
      </c>
      <c r="G1001" s="45"/>
      <c r="H1001" s="73"/>
      <c r="I1001" s="18" t="str">
        <f t="shared" si="62"/>
        <v/>
      </c>
      <c r="J1001" s="45"/>
      <c r="K1001" s="45"/>
    </row>
    <row r="1002" spans="1:11">
      <c r="A1002" s="10" t="str">
        <f t="shared" si="63"/>
        <v/>
      </c>
      <c r="B1002" s="45"/>
      <c r="C1002" s="11" t="str">
        <f t="shared" si="60"/>
        <v/>
      </c>
      <c r="D1002" s="11" t="str">
        <f t="shared" si="61"/>
        <v/>
      </c>
      <c r="E1002" s="45"/>
      <c r="F1002" s="11" t="str">
        <f>IFERROR(VLOOKUP(E1002,Category!$D$2:$E$600,2,FALSE),"")</f>
        <v/>
      </c>
      <c r="G1002" s="45"/>
      <c r="H1002" s="73"/>
      <c r="I1002" s="18" t="str">
        <f t="shared" si="62"/>
        <v/>
      </c>
      <c r="J1002" s="45"/>
      <c r="K1002" s="45"/>
    </row>
    <row r="1003" spans="1:11">
      <c r="A1003" s="10" t="str">
        <f t="shared" si="63"/>
        <v/>
      </c>
      <c r="B1003" s="45"/>
      <c r="C1003" s="11" t="str">
        <f t="shared" si="60"/>
        <v/>
      </c>
      <c r="D1003" s="11" t="str">
        <f t="shared" si="61"/>
        <v/>
      </c>
      <c r="E1003" s="45"/>
      <c r="F1003" s="11" t="str">
        <f>IFERROR(VLOOKUP(E1003,Category!$D$2:$E$600,2,FALSE),"")</f>
        <v/>
      </c>
      <c r="G1003" s="45"/>
      <c r="H1003" s="73"/>
      <c r="I1003" s="18" t="str">
        <f t="shared" si="62"/>
        <v/>
      </c>
      <c r="J1003" s="45"/>
      <c r="K1003" s="45"/>
    </row>
    <row r="1004" spans="1:11">
      <c r="A1004" s="10" t="str">
        <f t="shared" si="63"/>
        <v/>
      </c>
      <c r="B1004" s="45"/>
      <c r="C1004" s="11" t="str">
        <f t="shared" si="60"/>
        <v/>
      </c>
      <c r="D1004" s="11" t="str">
        <f t="shared" si="61"/>
        <v/>
      </c>
      <c r="E1004" s="45"/>
      <c r="F1004" s="11" t="str">
        <f>IFERROR(VLOOKUP(E1004,Category!$D$2:$E$600,2,FALSE),"")</f>
        <v/>
      </c>
      <c r="G1004" s="45"/>
      <c r="H1004" s="73"/>
      <c r="I1004" s="18" t="str">
        <f t="shared" si="62"/>
        <v/>
      </c>
      <c r="J1004" s="45"/>
      <c r="K1004" s="45"/>
    </row>
    <row r="1005" spans="1:11">
      <c r="A1005" s="10" t="str">
        <f t="shared" si="63"/>
        <v/>
      </c>
      <c r="B1005" s="45"/>
      <c r="C1005" s="11" t="str">
        <f t="shared" si="60"/>
        <v/>
      </c>
      <c r="D1005" s="11" t="str">
        <f t="shared" si="61"/>
        <v/>
      </c>
      <c r="E1005" s="45"/>
      <c r="F1005" s="11" t="str">
        <f>IFERROR(VLOOKUP(E1005,Category!$D$2:$E$600,2,FALSE),"")</f>
        <v/>
      </c>
      <c r="G1005" s="45"/>
      <c r="H1005" s="73"/>
      <c r="I1005" s="18" t="str">
        <f t="shared" si="62"/>
        <v/>
      </c>
      <c r="J1005" s="45"/>
      <c r="K1005" s="45"/>
    </row>
    <row r="1006" spans="1:11">
      <c r="A1006" s="10" t="str">
        <f t="shared" si="63"/>
        <v/>
      </c>
      <c r="B1006" s="45"/>
      <c r="C1006" s="11" t="str">
        <f t="shared" si="60"/>
        <v/>
      </c>
      <c r="D1006" s="11" t="str">
        <f t="shared" si="61"/>
        <v/>
      </c>
      <c r="E1006" s="45"/>
      <c r="F1006" s="11" t="str">
        <f>IFERROR(VLOOKUP(E1006,Category!$D$2:$E$600,2,FALSE),"")</f>
        <v/>
      </c>
      <c r="G1006" s="45"/>
      <c r="H1006" s="73"/>
      <c r="I1006" s="18" t="str">
        <f t="shared" si="62"/>
        <v/>
      </c>
      <c r="J1006" s="45"/>
      <c r="K1006" s="45"/>
    </row>
    <row r="1007" spans="1:11">
      <c r="A1007" s="10" t="str">
        <f t="shared" si="63"/>
        <v/>
      </c>
      <c r="B1007" s="45"/>
      <c r="C1007" s="11" t="str">
        <f t="shared" si="60"/>
        <v/>
      </c>
      <c r="D1007" s="11" t="str">
        <f t="shared" si="61"/>
        <v/>
      </c>
      <c r="E1007" s="45"/>
      <c r="F1007" s="11" t="str">
        <f>IFERROR(VLOOKUP(E1007,Category!$D$2:$E$600,2,FALSE),"")</f>
        <v/>
      </c>
      <c r="G1007" s="45"/>
      <c r="H1007" s="73"/>
      <c r="I1007" s="18" t="str">
        <f t="shared" si="62"/>
        <v/>
      </c>
      <c r="J1007" s="45"/>
      <c r="K1007" s="45"/>
    </row>
    <row r="1008" spans="1:11">
      <c r="A1008" s="10" t="str">
        <f t="shared" si="63"/>
        <v/>
      </c>
      <c r="B1008" s="45"/>
      <c r="C1008" s="11" t="str">
        <f t="shared" si="60"/>
        <v/>
      </c>
      <c r="D1008" s="11" t="str">
        <f t="shared" si="61"/>
        <v/>
      </c>
      <c r="E1008" s="45"/>
      <c r="F1008" s="11" t="str">
        <f>IFERROR(VLOOKUP(E1008,Category!$D$2:$E$600,2,FALSE),"")</f>
        <v/>
      </c>
      <c r="G1008" s="45"/>
      <c r="H1008" s="73"/>
      <c r="I1008" s="18" t="str">
        <f t="shared" si="62"/>
        <v/>
      </c>
      <c r="J1008" s="45"/>
      <c r="K1008" s="45"/>
    </row>
    <row r="1009" spans="1:11">
      <c r="A1009" s="10" t="str">
        <f t="shared" si="63"/>
        <v/>
      </c>
      <c r="B1009" s="45"/>
      <c r="C1009" s="11" t="str">
        <f t="shared" si="60"/>
        <v/>
      </c>
      <c r="D1009" s="11" t="str">
        <f t="shared" si="61"/>
        <v/>
      </c>
      <c r="E1009" s="45"/>
      <c r="F1009" s="11" t="str">
        <f>IFERROR(VLOOKUP(E1009,Category!$D$2:$E$600,2,FALSE),"")</f>
        <v/>
      </c>
      <c r="G1009" s="45"/>
      <c r="H1009" s="73"/>
      <c r="I1009" s="18" t="str">
        <f t="shared" si="62"/>
        <v/>
      </c>
      <c r="J1009" s="45"/>
      <c r="K1009" s="45"/>
    </row>
    <row r="1010" spans="1:11">
      <c r="A1010" s="10" t="str">
        <f t="shared" si="63"/>
        <v/>
      </c>
      <c r="B1010" s="45"/>
      <c r="C1010" s="11" t="str">
        <f t="shared" si="60"/>
        <v/>
      </c>
      <c r="D1010" s="11" t="str">
        <f t="shared" si="61"/>
        <v/>
      </c>
      <c r="E1010" s="45"/>
      <c r="F1010" s="11" t="str">
        <f>IFERROR(VLOOKUP(E1010,Category!$D$2:$E$600,2,FALSE),"")</f>
        <v/>
      </c>
      <c r="G1010" s="45"/>
      <c r="H1010" s="73"/>
      <c r="I1010" s="18" t="str">
        <f t="shared" si="62"/>
        <v/>
      </c>
      <c r="J1010" s="45"/>
      <c r="K1010" s="45"/>
    </row>
    <row r="1011" spans="1:11">
      <c r="A1011" s="10" t="str">
        <f t="shared" si="63"/>
        <v/>
      </c>
      <c r="B1011" s="45"/>
      <c r="C1011" s="11" t="str">
        <f t="shared" si="60"/>
        <v/>
      </c>
      <c r="D1011" s="11" t="str">
        <f t="shared" si="61"/>
        <v/>
      </c>
      <c r="E1011" s="45"/>
      <c r="F1011" s="11" t="str">
        <f>IFERROR(VLOOKUP(E1011,Category!$D$2:$E$600,2,FALSE),"")</f>
        <v/>
      </c>
      <c r="G1011" s="45"/>
      <c r="H1011" s="73"/>
      <c r="I1011" s="18" t="str">
        <f t="shared" si="62"/>
        <v/>
      </c>
      <c r="J1011" s="45"/>
      <c r="K1011" s="45"/>
    </row>
    <row r="1012" spans="1:11">
      <c r="A1012" s="10" t="str">
        <f t="shared" si="63"/>
        <v/>
      </c>
      <c r="B1012" s="45"/>
      <c r="C1012" s="11" t="str">
        <f t="shared" si="60"/>
        <v/>
      </c>
      <c r="D1012" s="11" t="str">
        <f t="shared" si="61"/>
        <v/>
      </c>
      <c r="E1012" s="45"/>
      <c r="F1012" s="11" t="str">
        <f>IFERROR(VLOOKUP(E1012,Category!$D$2:$E$600,2,FALSE),"")</f>
        <v/>
      </c>
      <c r="G1012" s="45"/>
      <c r="H1012" s="73"/>
      <c r="I1012" s="18" t="str">
        <f t="shared" si="62"/>
        <v/>
      </c>
      <c r="J1012" s="45"/>
      <c r="K1012" s="45"/>
    </row>
    <row r="1013" spans="1:11">
      <c r="A1013" s="10" t="str">
        <f t="shared" si="63"/>
        <v/>
      </c>
      <c r="B1013" s="45"/>
      <c r="C1013" s="11" t="str">
        <f t="shared" si="60"/>
        <v/>
      </c>
      <c r="D1013" s="11" t="str">
        <f t="shared" si="61"/>
        <v/>
      </c>
      <c r="E1013" s="45"/>
      <c r="F1013" s="11" t="str">
        <f>IFERROR(VLOOKUP(E1013,Category!$D$2:$E$600,2,FALSE),"")</f>
        <v/>
      </c>
      <c r="G1013" s="45"/>
      <c r="H1013" s="73"/>
      <c r="I1013" s="18" t="str">
        <f t="shared" si="62"/>
        <v/>
      </c>
      <c r="J1013" s="45"/>
      <c r="K1013" s="45"/>
    </row>
    <row r="1014" spans="1:11">
      <c r="A1014" s="10" t="str">
        <f t="shared" si="63"/>
        <v/>
      </c>
      <c r="B1014" s="45"/>
      <c r="C1014" s="11" t="str">
        <f t="shared" si="60"/>
        <v/>
      </c>
      <c r="D1014" s="11" t="str">
        <f t="shared" si="61"/>
        <v/>
      </c>
      <c r="E1014" s="45"/>
      <c r="F1014" s="11" t="str">
        <f>IFERROR(VLOOKUP(E1014,Category!$D$2:$E$600,2,FALSE),"")</f>
        <v/>
      </c>
      <c r="G1014" s="45"/>
      <c r="H1014" s="73"/>
      <c r="I1014" s="18" t="str">
        <f t="shared" si="62"/>
        <v/>
      </c>
      <c r="J1014" s="45"/>
      <c r="K1014" s="45"/>
    </row>
    <row r="1015" spans="1:11">
      <c r="A1015" s="10" t="str">
        <f t="shared" si="63"/>
        <v/>
      </c>
      <c r="B1015" s="45"/>
      <c r="C1015" s="11" t="str">
        <f t="shared" si="60"/>
        <v/>
      </c>
      <c r="D1015" s="11" t="str">
        <f t="shared" si="61"/>
        <v/>
      </c>
      <c r="E1015" s="45"/>
      <c r="F1015" s="11" t="str">
        <f>IFERROR(VLOOKUP(E1015,Category!$D$2:$E$600,2,FALSE),"")</f>
        <v/>
      </c>
      <c r="G1015" s="45"/>
      <c r="H1015" s="73"/>
      <c r="I1015" s="18" t="str">
        <f t="shared" si="62"/>
        <v/>
      </c>
      <c r="J1015" s="45"/>
      <c r="K1015" s="45"/>
    </row>
    <row r="1016" spans="1:11">
      <c r="A1016" s="10" t="str">
        <f t="shared" si="63"/>
        <v/>
      </c>
      <c r="B1016" s="45"/>
      <c r="C1016" s="11" t="str">
        <f t="shared" si="60"/>
        <v/>
      </c>
      <c r="D1016" s="11" t="str">
        <f t="shared" si="61"/>
        <v/>
      </c>
      <c r="E1016" s="45"/>
      <c r="F1016" s="11" t="str">
        <f>IFERROR(VLOOKUP(E1016,Category!$D$2:$E$600,2,FALSE),"")</f>
        <v/>
      </c>
      <c r="G1016" s="45"/>
      <c r="H1016" s="73"/>
      <c r="I1016" s="18" t="str">
        <f t="shared" si="62"/>
        <v/>
      </c>
      <c r="J1016" s="45"/>
      <c r="K1016" s="45"/>
    </row>
    <row r="1017" spans="1:11">
      <c r="A1017" s="10" t="str">
        <f t="shared" si="63"/>
        <v/>
      </c>
      <c r="B1017" s="45"/>
      <c r="C1017" s="11" t="str">
        <f t="shared" si="60"/>
        <v/>
      </c>
      <c r="D1017" s="11" t="str">
        <f t="shared" si="61"/>
        <v/>
      </c>
      <c r="E1017" s="45"/>
      <c r="F1017" s="11" t="str">
        <f>IFERROR(VLOOKUP(E1017,Category!$D$2:$E$600,2,FALSE),"")</f>
        <v/>
      </c>
      <c r="G1017" s="45"/>
      <c r="H1017" s="73"/>
      <c r="I1017" s="18" t="str">
        <f t="shared" si="62"/>
        <v/>
      </c>
      <c r="J1017" s="45"/>
      <c r="K1017" s="45"/>
    </row>
    <row r="1018" spans="1:11">
      <c r="A1018" s="10" t="str">
        <f t="shared" si="63"/>
        <v/>
      </c>
      <c r="B1018" s="45"/>
      <c r="C1018" s="11" t="str">
        <f t="shared" si="60"/>
        <v/>
      </c>
      <c r="D1018" s="11" t="str">
        <f t="shared" si="61"/>
        <v/>
      </c>
      <c r="E1018" s="45"/>
      <c r="F1018" s="11" t="str">
        <f>IFERROR(VLOOKUP(E1018,Category!$D$2:$E$600,2,FALSE),"")</f>
        <v/>
      </c>
      <c r="G1018" s="45"/>
      <c r="H1018" s="73"/>
      <c r="I1018" s="18" t="str">
        <f t="shared" si="62"/>
        <v/>
      </c>
      <c r="J1018" s="45"/>
      <c r="K1018" s="45"/>
    </row>
    <row r="1019" spans="1:11">
      <c r="A1019" s="10" t="str">
        <f t="shared" si="63"/>
        <v/>
      </c>
      <c r="B1019" s="45"/>
      <c r="C1019" s="11" t="str">
        <f t="shared" si="60"/>
        <v/>
      </c>
      <c r="D1019" s="11" t="str">
        <f t="shared" si="61"/>
        <v/>
      </c>
      <c r="E1019" s="45"/>
      <c r="F1019" s="11" t="str">
        <f>IFERROR(VLOOKUP(E1019,Category!$D$2:$E$600,2,FALSE),"")</f>
        <v/>
      </c>
      <c r="G1019" s="45"/>
      <c r="H1019" s="73"/>
      <c r="I1019" s="18" t="str">
        <f t="shared" si="62"/>
        <v/>
      </c>
      <c r="J1019" s="45"/>
      <c r="K1019" s="45"/>
    </row>
    <row r="1020" spans="1:11">
      <c r="A1020" s="10" t="str">
        <f t="shared" si="63"/>
        <v/>
      </c>
      <c r="B1020" s="45"/>
      <c r="C1020" s="11" t="str">
        <f t="shared" si="60"/>
        <v/>
      </c>
      <c r="D1020" s="11" t="str">
        <f t="shared" si="61"/>
        <v/>
      </c>
      <c r="E1020" s="45"/>
      <c r="F1020" s="11" t="str">
        <f>IFERROR(VLOOKUP(E1020,Category!$D$2:$E$600,2,FALSE),"")</f>
        <v/>
      </c>
      <c r="G1020" s="45"/>
      <c r="H1020" s="73"/>
      <c r="I1020" s="18" t="str">
        <f t="shared" si="62"/>
        <v/>
      </c>
      <c r="J1020" s="45"/>
      <c r="K1020" s="45"/>
    </row>
    <row r="1021" spans="1:11">
      <c r="A1021" s="10" t="str">
        <f t="shared" si="63"/>
        <v/>
      </c>
      <c r="B1021" s="45"/>
      <c r="C1021" s="11" t="str">
        <f t="shared" si="60"/>
        <v/>
      </c>
      <c r="D1021" s="11" t="str">
        <f t="shared" si="61"/>
        <v/>
      </c>
      <c r="E1021" s="45"/>
      <c r="F1021" s="11" t="str">
        <f>IFERROR(VLOOKUP(E1021,Category!$D$2:$E$600,2,FALSE),"")</f>
        <v/>
      </c>
      <c r="G1021" s="45"/>
      <c r="H1021" s="73"/>
      <c r="I1021" s="18" t="str">
        <f t="shared" si="62"/>
        <v/>
      </c>
      <c r="J1021" s="45"/>
      <c r="K1021" s="45"/>
    </row>
    <row r="1022" spans="1:11">
      <c r="A1022" s="10" t="str">
        <f t="shared" si="63"/>
        <v/>
      </c>
      <c r="B1022" s="45"/>
      <c r="C1022" s="11" t="str">
        <f t="shared" si="60"/>
        <v/>
      </c>
      <c r="D1022" s="11" t="str">
        <f t="shared" si="61"/>
        <v/>
      </c>
      <c r="E1022" s="45"/>
      <c r="F1022" s="11" t="str">
        <f>IFERROR(VLOOKUP(E1022,Category!$D$2:$E$600,2,FALSE),"")</f>
        <v/>
      </c>
      <c r="G1022" s="45"/>
      <c r="H1022" s="73"/>
      <c r="I1022" s="18" t="str">
        <f t="shared" si="62"/>
        <v/>
      </c>
      <c r="J1022" s="45"/>
      <c r="K1022" s="45"/>
    </row>
    <row r="1023" spans="1:11">
      <c r="A1023" s="10" t="str">
        <f t="shared" si="63"/>
        <v/>
      </c>
      <c r="B1023" s="45"/>
      <c r="C1023" s="11" t="str">
        <f t="shared" si="60"/>
        <v/>
      </c>
      <c r="D1023" s="11" t="str">
        <f t="shared" si="61"/>
        <v/>
      </c>
      <c r="E1023" s="45"/>
      <c r="F1023" s="11" t="str">
        <f>IFERROR(VLOOKUP(E1023,Category!$D$2:$E$600,2,FALSE),"")</f>
        <v/>
      </c>
      <c r="G1023" s="45"/>
      <c r="H1023" s="73"/>
      <c r="I1023" s="18" t="str">
        <f t="shared" si="62"/>
        <v/>
      </c>
      <c r="J1023" s="45"/>
      <c r="K1023" s="45"/>
    </row>
    <row r="1024" spans="1:11">
      <c r="A1024" s="10" t="str">
        <f t="shared" si="63"/>
        <v/>
      </c>
      <c r="B1024" s="45"/>
      <c r="C1024" s="11" t="str">
        <f t="shared" si="60"/>
        <v/>
      </c>
      <c r="D1024" s="11" t="str">
        <f t="shared" si="61"/>
        <v/>
      </c>
      <c r="E1024" s="45"/>
      <c r="F1024" s="11" t="str">
        <f>IFERROR(VLOOKUP(E1024,Category!$D$2:$E$600,2,FALSE),"")</f>
        <v/>
      </c>
      <c r="G1024" s="45"/>
      <c r="H1024" s="73"/>
      <c r="I1024" s="18" t="str">
        <f t="shared" si="62"/>
        <v/>
      </c>
      <c r="J1024" s="45"/>
      <c r="K1024" s="45"/>
    </row>
    <row r="1025" spans="1:11">
      <c r="A1025" s="10" t="str">
        <f t="shared" si="63"/>
        <v/>
      </c>
      <c r="B1025" s="45"/>
      <c r="C1025" s="11" t="str">
        <f t="shared" si="60"/>
        <v/>
      </c>
      <c r="D1025" s="11" t="str">
        <f t="shared" si="61"/>
        <v/>
      </c>
      <c r="E1025" s="45"/>
      <c r="F1025" s="11" t="str">
        <f>IFERROR(VLOOKUP(E1025,Category!$D$2:$E$600,2,FALSE),"")</f>
        <v/>
      </c>
      <c r="G1025" s="45"/>
      <c r="H1025" s="73"/>
      <c r="I1025" s="18" t="str">
        <f t="shared" si="62"/>
        <v/>
      </c>
      <c r="J1025" s="45"/>
      <c r="K1025" s="45"/>
    </row>
    <row r="1026" spans="1:11">
      <c r="A1026" s="10" t="str">
        <f t="shared" si="63"/>
        <v/>
      </c>
      <c r="B1026" s="45"/>
      <c r="C1026" s="11" t="str">
        <f t="shared" si="60"/>
        <v/>
      </c>
      <c r="D1026" s="11" t="str">
        <f t="shared" si="61"/>
        <v/>
      </c>
      <c r="E1026" s="45"/>
      <c r="F1026" s="11" t="str">
        <f>IFERROR(VLOOKUP(E1026,Category!$D$2:$E$600,2,FALSE),"")</f>
        <v/>
      </c>
      <c r="G1026" s="45"/>
      <c r="H1026" s="73"/>
      <c r="I1026" s="18" t="str">
        <f t="shared" si="62"/>
        <v/>
      </c>
      <c r="J1026" s="45"/>
      <c r="K1026" s="45"/>
    </row>
    <row r="1027" spans="1:11">
      <c r="A1027" s="10" t="str">
        <f t="shared" si="63"/>
        <v/>
      </c>
      <c r="B1027" s="45"/>
      <c r="C1027" s="11" t="str">
        <f t="shared" ref="C1027:C1090" si="64">IF(B1027=0,"",TEXT(B1027,"mmmm"))</f>
        <v/>
      </c>
      <c r="D1027" s="11" t="str">
        <f t="shared" ref="D1027:D1090" si="65">IF(B1027=0,"",TEXT(B1027,"yyyy"))</f>
        <v/>
      </c>
      <c r="E1027" s="45"/>
      <c r="F1027" s="11" t="str">
        <f>IFERROR(VLOOKUP(E1027,Category!$D$2:$E$600,2,FALSE),"")</f>
        <v/>
      </c>
      <c r="G1027" s="45"/>
      <c r="H1027" s="73"/>
      <c r="I1027" s="18" t="str">
        <f t="shared" ref="I1027:I1090" si="66">IF(G1027*H1027=0,"",G1027*H1027)</f>
        <v/>
      </c>
      <c r="J1027" s="45"/>
      <c r="K1027" s="45"/>
    </row>
    <row r="1028" spans="1:11">
      <c r="A1028" s="10" t="str">
        <f t="shared" ref="A1028:A1091" si="67">IF(E1028&gt;0,A1027+1,"")</f>
        <v/>
      </c>
      <c r="B1028" s="45"/>
      <c r="C1028" s="11" t="str">
        <f t="shared" si="64"/>
        <v/>
      </c>
      <c r="D1028" s="11" t="str">
        <f t="shared" si="65"/>
        <v/>
      </c>
      <c r="E1028" s="45"/>
      <c r="F1028" s="11" t="str">
        <f>IFERROR(VLOOKUP(E1028,Category!$D$2:$E$600,2,FALSE),"")</f>
        <v/>
      </c>
      <c r="G1028" s="45"/>
      <c r="H1028" s="73"/>
      <c r="I1028" s="18" t="str">
        <f t="shared" si="66"/>
        <v/>
      </c>
      <c r="J1028" s="45"/>
      <c r="K1028" s="45"/>
    </row>
    <row r="1029" spans="1:11">
      <c r="A1029" s="10" t="str">
        <f t="shared" si="67"/>
        <v/>
      </c>
      <c r="B1029" s="45"/>
      <c r="C1029" s="11" t="str">
        <f t="shared" si="64"/>
        <v/>
      </c>
      <c r="D1029" s="11" t="str">
        <f t="shared" si="65"/>
        <v/>
      </c>
      <c r="E1029" s="45"/>
      <c r="F1029" s="11" t="str">
        <f>IFERROR(VLOOKUP(E1029,Category!$D$2:$E$600,2,FALSE),"")</f>
        <v/>
      </c>
      <c r="G1029" s="45"/>
      <c r="H1029" s="73"/>
      <c r="I1029" s="18" t="str">
        <f t="shared" si="66"/>
        <v/>
      </c>
      <c r="J1029" s="45"/>
      <c r="K1029" s="45"/>
    </row>
    <row r="1030" spans="1:11">
      <c r="A1030" s="10" t="str">
        <f t="shared" si="67"/>
        <v/>
      </c>
      <c r="B1030" s="45"/>
      <c r="C1030" s="11" t="str">
        <f t="shared" si="64"/>
        <v/>
      </c>
      <c r="D1030" s="11" t="str">
        <f t="shared" si="65"/>
        <v/>
      </c>
      <c r="E1030" s="45"/>
      <c r="F1030" s="11" t="str">
        <f>IFERROR(VLOOKUP(E1030,Category!$D$2:$E$600,2,FALSE),"")</f>
        <v/>
      </c>
      <c r="G1030" s="45"/>
      <c r="H1030" s="73"/>
      <c r="I1030" s="18" t="str">
        <f t="shared" si="66"/>
        <v/>
      </c>
      <c r="J1030" s="45"/>
      <c r="K1030" s="45"/>
    </row>
    <row r="1031" spans="1:11">
      <c r="A1031" s="10" t="str">
        <f t="shared" si="67"/>
        <v/>
      </c>
      <c r="B1031" s="45"/>
      <c r="C1031" s="11" t="str">
        <f t="shared" si="64"/>
        <v/>
      </c>
      <c r="D1031" s="11" t="str">
        <f t="shared" si="65"/>
        <v/>
      </c>
      <c r="E1031" s="45"/>
      <c r="F1031" s="11" t="str">
        <f>IFERROR(VLOOKUP(E1031,Category!$D$2:$E$600,2,FALSE),"")</f>
        <v/>
      </c>
      <c r="G1031" s="45"/>
      <c r="H1031" s="73"/>
      <c r="I1031" s="18" t="str">
        <f t="shared" si="66"/>
        <v/>
      </c>
      <c r="J1031" s="45"/>
      <c r="K1031" s="45"/>
    </row>
    <row r="1032" spans="1:11">
      <c r="A1032" s="10" t="str">
        <f t="shared" si="67"/>
        <v/>
      </c>
      <c r="B1032" s="45"/>
      <c r="C1032" s="11" t="str">
        <f t="shared" si="64"/>
        <v/>
      </c>
      <c r="D1032" s="11" t="str">
        <f t="shared" si="65"/>
        <v/>
      </c>
      <c r="E1032" s="45"/>
      <c r="F1032" s="11" t="str">
        <f>IFERROR(VLOOKUP(E1032,Category!$D$2:$E$600,2,FALSE),"")</f>
        <v/>
      </c>
      <c r="G1032" s="45"/>
      <c r="H1032" s="73"/>
      <c r="I1032" s="18" t="str">
        <f t="shared" si="66"/>
        <v/>
      </c>
      <c r="J1032" s="45"/>
      <c r="K1032" s="45"/>
    </row>
    <row r="1033" spans="1:11">
      <c r="A1033" s="10" t="str">
        <f t="shared" si="67"/>
        <v/>
      </c>
      <c r="B1033" s="45"/>
      <c r="C1033" s="11" t="str">
        <f t="shared" si="64"/>
        <v/>
      </c>
      <c r="D1033" s="11" t="str">
        <f t="shared" si="65"/>
        <v/>
      </c>
      <c r="E1033" s="45"/>
      <c r="F1033" s="11" t="str">
        <f>IFERROR(VLOOKUP(E1033,Category!$D$2:$E$600,2,FALSE),"")</f>
        <v/>
      </c>
      <c r="G1033" s="45"/>
      <c r="H1033" s="73"/>
      <c r="I1033" s="18" t="str">
        <f t="shared" si="66"/>
        <v/>
      </c>
      <c r="J1033" s="45"/>
      <c r="K1033" s="45"/>
    </row>
    <row r="1034" spans="1:11">
      <c r="A1034" s="10" t="str">
        <f t="shared" si="67"/>
        <v/>
      </c>
      <c r="B1034" s="45"/>
      <c r="C1034" s="11" t="str">
        <f t="shared" si="64"/>
        <v/>
      </c>
      <c r="D1034" s="11" t="str">
        <f t="shared" si="65"/>
        <v/>
      </c>
      <c r="E1034" s="45"/>
      <c r="F1034" s="11" t="str">
        <f>IFERROR(VLOOKUP(E1034,Category!$D$2:$E$600,2,FALSE),"")</f>
        <v/>
      </c>
      <c r="G1034" s="45"/>
      <c r="H1034" s="73"/>
      <c r="I1034" s="18" t="str">
        <f t="shared" si="66"/>
        <v/>
      </c>
      <c r="J1034" s="45"/>
      <c r="K1034" s="45"/>
    </row>
    <row r="1035" spans="1:11">
      <c r="A1035" s="10" t="str">
        <f t="shared" si="67"/>
        <v/>
      </c>
      <c r="B1035" s="45"/>
      <c r="C1035" s="11" t="str">
        <f t="shared" si="64"/>
        <v/>
      </c>
      <c r="D1035" s="11" t="str">
        <f t="shared" si="65"/>
        <v/>
      </c>
      <c r="E1035" s="45"/>
      <c r="F1035" s="11" t="str">
        <f>IFERROR(VLOOKUP(E1035,Category!$D$2:$E$600,2,FALSE),"")</f>
        <v/>
      </c>
      <c r="G1035" s="45"/>
      <c r="H1035" s="73"/>
      <c r="I1035" s="18" t="str">
        <f t="shared" si="66"/>
        <v/>
      </c>
      <c r="J1035" s="45"/>
      <c r="K1035" s="45"/>
    </row>
    <row r="1036" spans="1:11">
      <c r="A1036" s="10" t="str">
        <f t="shared" si="67"/>
        <v/>
      </c>
      <c r="B1036" s="45"/>
      <c r="C1036" s="11" t="str">
        <f t="shared" si="64"/>
        <v/>
      </c>
      <c r="D1036" s="11" t="str">
        <f t="shared" si="65"/>
        <v/>
      </c>
      <c r="E1036" s="45"/>
      <c r="F1036" s="11" t="str">
        <f>IFERROR(VLOOKUP(E1036,Category!$D$2:$E$600,2,FALSE),"")</f>
        <v/>
      </c>
      <c r="G1036" s="45"/>
      <c r="H1036" s="73"/>
      <c r="I1036" s="18" t="str">
        <f t="shared" si="66"/>
        <v/>
      </c>
      <c r="J1036" s="45"/>
      <c r="K1036" s="45"/>
    </row>
    <row r="1037" spans="1:11">
      <c r="A1037" s="10" t="str">
        <f t="shared" si="67"/>
        <v/>
      </c>
      <c r="B1037" s="45"/>
      <c r="C1037" s="11" t="str">
        <f t="shared" si="64"/>
        <v/>
      </c>
      <c r="D1037" s="11" t="str">
        <f t="shared" si="65"/>
        <v/>
      </c>
      <c r="E1037" s="45"/>
      <c r="F1037" s="11" t="str">
        <f>IFERROR(VLOOKUP(E1037,Category!$D$2:$E$600,2,FALSE),"")</f>
        <v/>
      </c>
      <c r="G1037" s="45"/>
      <c r="H1037" s="73"/>
      <c r="I1037" s="18" t="str">
        <f t="shared" si="66"/>
        <v/>
      </c>
      <c r="J1037" s="45"/>
      <c r="K1037" s="45"/>
    </row>
    <row r="1038" spans="1:11">
      <c r="A1038" s="10" t="str">
        <f t="shared" si="67"/>
        <v/>
      </c>
      <c r="B1038" s="45"/>
      <c r="C1038" s="11" t="str">
        <f t="shared" si="64"/>
        <v/>
      </c>
      <c r="D1038" s="11" t="str">
        <f t="shared" si="65"/>
        <v/>
      </c>
      <c r="E1038" s="45"/>
      <c r="F1038" s="11" t="str">
        <f>IFERROR(VLOOKUP(E1038,Category!$D$2:$E$600,2,FALSE),"")</f>
        <v/>
      </c>
      <c r="G1038" s="45"/>
      <c r="H1038" s="73"/>
      <c r="I1038" s="18" t="str">
        <f t="shared" si="66"/>
        <v/>
      </c>
      <c r="J1038" s="45"/>
      <c r="K1038" s="45"/>
    </row>
    <row r="1039" spans="1:11">
      <c r="A1039" s="10" t="str">
        <f t="shared" si="67"/>
        <v/>
      </c>
      <c r="B1039" s="45"/>
      <c r="C1039" s="11" t="str">
        <f t="shared" si="64"/>
        <v/>
      </c>
      <c r="D1039" s="11" t="str">
        <f t="shared" si="65"/>
        <v/>
      </c>
      <c r="E1039" s="45"/>
      <c r="F1039" s="11" t="str">
        <f>IFERROR(VLOOKUP(E1039,Category!$D$2:$E$600,2,FALSE),"")</f>
        <v/>
      </c>
      <c r="G1039" s="45"/>
      <c r="H1039" s="73"/>
      <c r="I1039" s="18" t="str">
        <f t="shared" si="66"/>
        <v/>
      </c>
      <c r="J1039" s="45"/>
      <c r="K1039" s="45"/>
    </row>
    <row r="1040" spans="1:11">
      <c r="A1040" s="10" t="str">
        <f t="shared" si="67"/>
        <v/>
      </c>
      <c r="B1040" s="45"/>
      <c r="C1040" s="11" t="str">
        <f t="shared" si="64"/>
        <v/>
      </c>
      <c r="D1040" s="11" t="str">
        <f t="shared" si="65"/>
        <v/>
      </c>
      <c r="E1040" s="45"/>
      <c r="F1040" s="11" t="str">
        <f>IFERROR(VLOOKUP(E1040,Category!$D$2:$E$600,2,FALSE),"")</f>
        <v/>
      </c>
      <c r="G1040" s="45"/>
      <c r="H1040" s="73"/>
      <c r="I1040" s="18" t="str">
        <f t="shared" si="66"/>
        <v/>
      </c>
      <c r="J1040" s="45"/>
      <c r="K1040" s="45"/>
    </row>
    <row r="1041" spans="1:11">
      <c r="A1041" s="10" t="str">
        <f t="shared" si="67"/>
        <v/>
      </c>
      <c r="B1041" s="45"/>
      <c r="C1041" s="11" t="str">
        <f t="shared" si="64"/>
        <v/>
      </c>
      <c r="D1041" s="11" t="str">
        <f t="shared" si="65"/>
        <v/>
      </c>
      <c r="E1041" s="45"/>
      <c r="F1041" s="11" t="str">
        <f>IFERROR(VLOOKUP(E1041,Category!$D$2:$E$600,2,FALSE),"")</f>
        <v/>
      </c>
      <c r="G1041" s="45"/>
      <c r="H1041" s="73"/>
      <c r="I1041" s="18" t="str">
        <f t="shared" si="66"/>
        <v/>
      </c>
      <c r="J1041" s="45"/>
      <c r="K1041" s="45"/>
    </row>
    <row r="1042" spans="1:11">
      <c r="A1042" s="10" t="str">
        <f t="shared" si="67"/>
        <v/>
      </c>
      <c r="B1042" s="45"/>
      <c r="C1042" s="11" t="str">
        <f t="shared" si="64"/>
        <v/>
      </c>
      <c r="D1042" s="11" t="str">
        <f t="shared" si="65"/>
        <v/>
      </c>
      <c r="E1042" s="45"/>
      <c r="F1042" s="11" t="str">
        <f>IFERROR(VLOOKUP(E1042,Category!$D$2:$E$600,2,FALSE),"")</f>
        <v/>
      </c>
      <c r="G1042" s="45"/>
      <c r="H1042" s="73"/>
      <c r="I1042" s="18" t="str">
        <f t="shared" si="66"/>
        <v/>
      </c>
      <c r="J1042" s="45"/>
      <c r="K1042" s="45"/>
    </row>
    <row r="1043" spans="1:11">
      <c r="A1043" s="10" t="str">
        <f t="shared" si="67"/>
        <v/>
      </c>
      <c r="B1043" s="45"/>
      <c r="C1043" s="11" t="str">
        <f t="shared" si="64"/>
        <v/>
      </c>
      <c r="D1043" s="11" t="str">
        <f t="shared" si="65"/>
        <v/>
      </c>
      <c r="E1043" s="45"/>
      <c r="F1043" s="11" t="str">
        <f>IFERROR(VLOOKUP(E1043,Category!$D$2:$E$600,2,FALSE),"")</f>
        <v/>
      </c>
      <c r="G1043" s="45"/>
      <c r="H1043" s="73"/>
      <c r="I1043" s="18" t="str">
        <f t="shared" si="66"/>
        <v/>
      </c>
      <c r="J1043" s="45"/>
      <c r="K1043" s="45"/>
    </row>
    <row r="1044" spans="1:11">
      <c r="A1044" s="10" t="str">
        <f t="shared" si="67"/>
        <v/>
      </c>
      <c r="B1044" s="45"/>
      <c r="C1044" s="11" t="str">
        <f t="shared" si="64"/>
        <v/>
      </c>
      <c r="D1044" s="11" t="str">
        <f t="shared" si="65"/>
        <v/>
      </c>
      <c r="E1044" s="45"/>
      <c r="F1044" s="11" t="str">
        <f>IFERROR(VLOOKUP(E1044,Category!$D$2:$E$600,2,FALSE),"")</f>
        <v/>
      </c>
      <c r="G1044" s="45"/>
      <c r="H1044" s="73"/>
      <c r="I1044" s="18" t="str">
        <f t="shared" si="66"/>
        <v/>
      </c>
      <c r="J1044" s="45"/>
      <c r="K1044" s="45"/>
    </row>
    <row r="1045" spans="1:11">
      <c r="A1045" s="10" t="str">
        <f t="shared" si="67"/>
        <v/>
      </c>
      <c r="B1045" s="45"/>
      <c r="C1045" s="11" t="str">
        <f t="shared" si="64"/>
        <v/>
      </c>
      <c r="D1045" s="11" t="str">
        <f t="shared" si="65"/>
        <v/>
      </c>
      <c r="E1045" s="45"/>
      <c r="F1045" s="11" t="str">
        <f>IFERROR(VLOOKUP(E1045,Category!$D$2:$E$600,2,FALSE),"")</f>
        <v/>
      </c>
      <c r="G1045" s="45"/>
      <c r="H1045" s="73"/>
      <c r="I1045" s="18" t="str">
        <f t="shared" si="66"/>
        <v/>
      </c>
      <c r="J1045" s="45"/>
      <c r="K1045" s="45"/>
    </row>
    <row r="1046" spans="1:11">
      <c r="A1046" s="10" t="str">
        <f t="shared" si="67"/>
        <v/>
      </c>
      <c r="B1046" s="45"/>
      <c r="C1046" s="11" t="str">
        <f t="shared" si="64"/>
        <v/>
      </c>
      <c r="D1046" s="11" t="str">
        <f t="shared" si="65"/>
        <v/>
      </c>
      <c r="E1046" s="45"/>
      <c r="F1046" s="11" t="str">
        <f>IFERROR(VLOOKUP(E1046,Category!$D$2:$E$600,2,FALSE),"")</f>
        <v/>
      </c>
      <c r="G1046" s="45"/>
      <c r="H1046" s="73"/>
      <c r="I1046" s="18" t="str">
        <f t="shared" si="66"/>
        <v/>
      </c>
      <c r="J1046" s="45"/>
      <c r="K1046" s="45"/>
    </row>
    <row r="1047" spans="1:11">
      <c r="A1047" s="10" t="str">
        <f t="shared" si="67"/>
        <v/>
      </c>
      <c r="B1047" s="45"/>
      <c r="C1047" s="11" t="str">
        <f t="shared" si="64"/>
        <v/>
      </c>
      <c r="D1047" s="11" t="str">
        <f t="shared" si="65"/>
        <v/>
      </c>
      <c r="E1047" s="45"/>
      <c r="F1047" s="11" t="str">
        <f>IFERROR(VLOOKUP(E1047,Category!$D$2:$E$600,2,FALSE),"")</f>
        <v/>
      </c>
      <c r="G1047" s="45"/>
      <c r="H1047" s="73"/>
      <c r="I1047" s="18" t="str">
        <f t="shared" si="66"/>
        <v/>
      </c>
      <c r="J1047" s="45"/>
      <c r="K1047" s="45"/>
    </row>
    <row r="1048" spans="1:11">
      <c r="A1048" s="10" t="str">
        <f t="shared" si="67"/>
        <v/>
      </c>
      <c r="B1048" s="45"/>
      <c r="C1048" s="11" t="str">
        <f t="shared" si="64"/>
        <v/>
      </c>
      <c r="D1048" s="11" t="str">
        <f t="shared" si="65"/>
        <v/>
      </c>
      <c r="E1048" s="45"/>
      <c r="F1048" s="11" t="str">
        <f>IFERROR(VLOOKUP(E1048,Category!$D$2:$E$600,2,FALSE),"")</f>
        <v/>
      </c>
      <c r="G1048" s="45"/>
      <c r="H1048" s="73"/>
      <c r="I1048" s="18" t="str">
        <f t="shared" si="66"/>
        <v/>
      </c>
      <c r="J1048" s="45"/>
      <c r="K1048" s="45"/>
    </row>
    <row r="1049" spans="1:11">
      <c r="A1049" s="10" t="str">
        <f t="shared" si="67"/>
        <v/>
      </c>
      <c r="B1049" s="45"/>
      <c r="C1049" s="11" t="str">
        <f t="shared" si="64"/>
        <v/>
      </c>
      <c r="D1049" s="11" t="str">
        <f t="shared" si="65"/>
        <v/>
      </c>
      <c r="E1049" s="45"/>
      <c r="F1049" s="11" t="str">
        <f>IFERROR(VLOOKUP(E1049,Category!$D$2:$E$600,2,FALSE),"")</f>
        <v/>
      </c>
      <c r="G1049" s="45"/>
      <c r="H1049" s="73"/>
      <c r="I1049" s="18" t="str">
        <f t="shared" si="66"/>
        <v/>
      </c>
      <c r="J1049" s="45"/>
      <c r="K1049" s="45"/>
    </row>
    <row r="1050" spans="1:11">
      <c r="A1050" s="10" t="str">
        <f t="shared" si="67"/>
        <v/>
      </c>
      <c r="B1050" s="45"/>
      <c r="C1050" s="11" t="str">
        <f t="shared" si="64"/>
        <v/>
      </c>
      <c r="D1050" s="11" t="str">
        <f t="shared" si="65"/>
        <v/>
      </c>
      <c r="E1050" s="45"/>
      <c r="F1050" s="11" t="str">
        <f>IFERROR(VLOOKUP(E1050,Category!$D$2:$E$600,2,FALSE),"")</f>
        <v/>
      </c>
      <c r="G1050" s="45"/>
      <c r="H1050" s="73"/>
      <c r="I1050" s="18" t="str">
        <f t="shared" si="66"/>
        <v/>
      </c>
      <c r="J1050" s="45"/>
      <c r="K1050" s="45"/>
    </row>
    <row r="1051" spans="1:11">
      <c r="A1051" s="10" t="str">
        <f t="shared" si="67"/>
        <v/>
      </c>
      <c r="B1051" s="45"/>
      <c r="C1051" s="11" t="str">
        <f t="shared" si="64"/>
        <v/>
      </c>
      <c r="D1051" s="11" t="str">
        <f t="shared" si="65"/>
        <v/>
      </c>
      <c r="E1051" s="45"/>
      <c r="F1051" s="11" t="str">
        <f>IFERROR(VLOOKUP(E1051,Category!$D$2:$E$600,2,FALSE),"")</f>
        <v/>
      </c>
      <c r="G1051" s="45"/>
      <c r="H1051" s="73"/>
      <c r="I1051" s="18" t="str">
        <f t="shared" si="66"/>
        <v/>
      </c>
      <c r="J1051" s="45"/>
      <c r="K1051" s="45"/>
    </row>
    <row r="1052" spans="1:11">
      <c r="A1052" s="10" t="str">
        <f t="shared" si="67"/>
        <v/>
      </c>
      <c r="B1052" s="45"/>
      <c r="C1052" s="11" t="str">
        <f t="shared" si="64"/>
        <v/>
      </c>
      <c r="D1052" s="11" t="str">
        <f t="shared" si="65"/>
        <v/>
      </c>
      <c r="E1052" s="45"/>
      <c r="F1052" s="11" t="str">
        <f>IFERROR(VLOOKUP(E1052,Category!$D$2:$E$600,2,FALSE),"")</f>
        <v/>
      </c>
      <c r="G1052" s="45"/>
      <c r="H1052" s="73"/>
      <c r="I1052" s="18" t="str">
        <f t="shared" si="66"/>
        <v/>
      </c>
      <c r="J1052" s="45"/>
      <c r="K1052" s="45"/>
    </row>
    <row r="1053" spans="1:11">
      <c r="A1053" s="10" t="str">
        <f t="shared" si="67"/>
        <v/>
      </c>
      <c r="B1053" s="45"/>
      <c r="C1053" s="11" t="str">
        <f t="shared" si="64"/>
        <v/>
      </c>
      <c r="D1053" s="11" t="str">
        <f t="shared" si="65"/>
        <v/>
      </c>
      <c r="E1053" s="45"/>
      <c r="F1053" s="11" t="str">
        <f>IFERROR(VLOOKUP(E1053,Category!$D$2:$E$600,2,FALSE),"")</f>
        <v/>
      </c>
      <c r="G1053" s="45"/>
      <c r="H1053" s="73"/>
      <c r="I1053" s="18" t="str">
        <f t="shared" si="66"/>
        <v/>
      </c>
      <c r="J1053" s="45"/>
      <c r="K1053" s="45"/>
    </row>
    <row r="1054" spans="1:11">
      <c r="A1054" s="10" t="str">
        <f t="shared" si="67"/>
        <v/>
      </c>
      <c r="B1054" s="45"/>
      <c r="C1054" s="11" t="str">
        <f t="shared" si="64"/>
        <v/>
      </c>
      <c r="D1054" s="11" t="str">
        <f t="shared" si="65"/>
        <v/>
      </c>
      <c r="E1054" s="45"/>
      <c r="F1054" s="11" t="str">
        <f>IFERROR(VLOOKUP(E1054,Category!$D$2:$E$600,2,FALSE),"")</f>
        <v/>
      </c>
      <c r="G1054" s="45"/>
      <c r="H1054" s="73"/>
      <c r="I1054" s="18" t="str">
        <f t="shared" si="66"/>
        <v/>
      </c>
      <c r="J1054" s="45"/>
      <c r="K1054" s="45"/>
    </row>
    <row r="1055" spans="1:11">
      <c r="A1055" s="10" t="str">
        <f t="shared" si="67"/>
        <v/>
      </c>
      <c r="B1055" s="45"/>
      <c r="C1055" s="11" t="str">
        <f t="shared" si="64"/>
        <v/>
      </c>
      <c r="D1055" s="11" t="str">
        <f t="shared" si="65"/>
        <v/>
      </c>
      <c r="E1055" s="45"/>
      <c r="F1055" s="11" t="str">
        <f>IFERROR(VLOOKUP(E1055,Category!$D$2:$E$600,2,FALSE),"")</f>
        <v/>
      </c>
      <c r="G1055" s="45"/>
      <c r="H1055" s="73"/>
      <c r="I1055" s="18" t="str">
        <f t="shared" si="66"/>
        <v/>
      </c>
      <c r="J1055" s="45"/>
      <c r="K1055" s="45"/>
    </row>
    <row r="1056" spans="1:11">
      <c r="A1056" s="10" t="str">
        <f t="shared" si="67"/>
        <v/>
      </c>
      <c r="B1056" s="45"/>
      <c r="C1056" s="11" t="str">
        <f t="shared" si="64"/>
        <v/>
      </c>
      <c r="D1056" s="11" t="str">
        <f t="shared" si="65"/>
        <v/>
      </c>
      <c r="E1056" s="45"/>
      <c r="F1056" s="11" t="str">
        <f>IFERROR(VLOOKUP(E1056,Category!$D$2:$E$600,2,FALSE),"")</f>
        <v/>
      </c>
      <c r="G1056" s="45"/>
      <c r="H1056" s="73"/>
      <c r="I1056" s="18" t="str">
        <f t="shared" si="66"/>
        <v/>
      </c>
      <c r="J1056" s="45"/>
      <c r="K1056" s="45"/>
    </row>
    <row r="1057" spans="1:11">
      <c r="A1057" s="10" t="str">
        <f t="shared" si="67"/>
        <v/>
      </c>
      <c r="B1057" s="45"/>
      <c r="C1057" s="11" t="str">
        <f t="shared" si="64"/>
        <v/>
      </c>
      <c r="D1057" s="11" t="str">
        <f t="shared" si="65"/>
        <v/>
      </c>
      <c r="E1057" s="45"/>
      <c r="F1057" s="11" t="str">
        <f>IFERROR(VLOOKUP(E1057,Category!$D$2:$E$600,2,FALSE),"")</f>
        <v/>
      </c>
      <c r="G1057" s="45"/>
      <c r="H1057" s="73"/>
      <c r="I1057" s="18" t="str">
        <f t="shared" si="66"/>
        <v/>
      </c>
      <c r="J1057" s="45"/>
      <c r="K1057" s="45"/>
    </row>
    <row r="1058" spans="1:11">
      <c r="A1058" s="10" t="str">
        <f t="shared" si="67"/>
        <v/>
      </c>
      <c r="B1058" s="45"/>
      <c r="C1058" s="11" t="str">
        <f t="shared" si="64"/>
        <v/>
      </c>
      <c r="D1058" s="11" t="str">
        <f t="shared" si="65"/>
        <v/>
      </c>
      <c r="E1058" s="45"/>
      <c r="F1058" s="11" t="str">
        <f>IFERROR(VLOOKUP(E1058,Category!$D$2:$E$600,2,FALSE),"")</f>
        <v/>
      </c>
      <c r="G1058" s="45"/>
      <c r="H1058" s="73"/>
      <c r="I1058" s="18" t="str">
        <f t="shared" si="66"/>
        <v/>
      </c>
      <c r="J1058" s="45"/>
      <c r="K1058" s="45"/>
    </row>
    <row r="1059" spans="1:11">
      <c r="A1059" s="10" t="str">
        <f t="shared" si="67"/>
        <v/>
      </c>
      <c r="B1059" s="45"/>
      <c r="C1059" s="11" t="str">
        <f t="shared" si="64"/>
        <v/>
      </c>
      <c r="D1059" s="11" t="str">
        <f t="shared" si="65"/>
        <v/>
      </c>
      <c r="E1059" s="45"/>
      <c r="F1059" s="11" t="str">
        <f>IFERROR(VLOOKUP(E1059,Category!$D$2:$E$600,2,FALSE),"")</f>
        <v/>
      </c>
      <c r="G1059" s="45"/>
      <c r="H1059" s="73"/>
      <c r="I1059" s="18" t="str">
        <f t="shared" si="66"/>
        <v/>
      </c>
      <c r="J1059" s="45"/>
      <c r="K1059" s="45"/>
    </row>
    <row r="1060" spans="1:11">
      <c r="A1060" s="10" t="str">
        <f t="shared" si="67"/>
        <v/>
      </c>
      <c r="B1060" s="45"/>
      <c r="C1060" s="11" t="str">
        <f t="shared" si="64"/>
        <v/>
      </c>
      <c r="D1060" s="11" t="str">
        <f t="shared" si="65"/>
        <v/>
      </c>
      <c r="E1060" s="45"/>
      <c r="F1060" s="11" t="str">
        <f>IFERROR(VLOOKUP(E1060,Category!$D$2:$E$600,2,FALSE),"")</f>
        <v/>
      </c>
      <c r="G1060" s="45"/>
      <c r="H1060" s="73"/>
      <c r="I1060" s="18" t="str">
        <f t="shared" si="66"/>
        <v/>
      </c>
      <c r="J1060" s="45"/>
      <c r="K1060" s="45"/>
    </row>
    <row r="1061" spans="1:11">
      <c r="A1061" s="10" t="str">
        <f t="shared" si="67"/>
        <v/>
      </c>
      <c r="B1061" s="45"/>
      <c r="C1061" s="11" t="str">
        <f t="shared" si="64"/>
        <v/>
      </c>
      <c r="D1061" s="11" t="str">
        <f t="shared" si="65"/>
        <v/>
      </c>
      <c r="E1061" s="45"/>
      <c r="F1061" s="11" t="str">
        <f>IFERROR(VLOOKUP(E1061,Category!$D$2:$E$600,2,FALSE),"")</f>
        <v/>
      </c>
      <c r="G1061" s="45"/>
      <c r="H1061" s="73"/>
      <c r="I1061" s="18" t="str">
        <f t="shared" si="66"/>
        <v/>
      </c>
      <c r="J1061" s="45"/>
      <c r="K1061" s="45"/>
    </row>
    <row r="1062" spans="1:11">
      <c r="A1062" s="10" t="str">
        <f t="shared" si="67"/>
        <v/>
      </c>
      <c r="B1062" s="45"/>
      <c r="C1062" s="11" t="str">
        <f t="shared" si="64"/>
        <v/>
      </c>
      <c r="D1062" s="11" t="str">
        <f t="shared" si="65"/>
        <v/>
      </c>
      <c r="E1062" s="45"/>
      <c r="F1062" s="11" t="str">
        <f>IFERROR(VLOOKUP(E1062,Category!$D$2:$E$600,2,FALSE),"")</f>
        <v/>
      </c>
      <c r="G1062" s="45"/>
      <c r="H1062" s="73"/>
      <c r="I1062" s="18" t="str">
        <f t="shared" si="66"/>
        <v/>
      </c>
      <c r="J1062" s="45"/>
      <c r="K1062" s="45"/>
    </row>
    <row r="1063" spans="1:11">
      <c r="A1063" s="10" t="str">
        <f t="shared" si="67"/>
        <v/>
      </c>
      <c r="B1063" s="45"/>
      <c r="C1063" s="11" t="str">
        <f t="shared" si="64"/>
        <v/>
      </c>
      <c r="D1063" s="11" t="str">
        <f t="shared" si="65"/>
        <v/>
      </c>
      <c r="E1063" s="45"/>
      <c r="F1063" s="11" t="str">
        <f>IFERROR(VLOOKUP(E1063,Category!$D$2:$E$600,2,FALSE),"")</f>
        <v/>
      </c>
      <c r="G1063" s="45"/>
      <c r="H1063" s="73"/>
      <c r="I1063" s="18" t="str">
        <f t="shared" si="66"/>
        <v/>
      </c>
      <c r="J1063" s="45"/>
      <c r="K1063" s="45"/>
    </row>
    <row r="1064" spans="1:11">
      <c r="A1064" s="10" t="str">
        <f t="shared" si="67"/>
        <v/>
      </c>
      <c r="B1064" s="45"/>
      <c r="C1064" s="11" t="str">
        <f t="shared" si="64"/>
        <v/>
      </c>
      <c r="D1064" s="11" t="str">
        <f t="shared" si="65"/>
        <v/>
      </c>
      <c r="E1064" s="45"/>
      <c r="F1064" s="11" t="str">
        <f>IFERROR(VLOOKUP(E1064,Category!$D$2:$E$600,2,FALSE),"")</f>
        <v/>
      </c>
      <c r="G1064" s="45"/>
      <c r="H1064" s="73"/>
      <c r="I1064" s="18" t="str">
        <f t="shared" si="66"/>
        <v/>
      </c>
      <c r="J1064" s="45"/>
      <c r="K1064" s="45"/>
    </row>
    <row r="1065" spans="1:11">
      <c r="A1065" s="10" t="str">
        <f t="shared" si="67"/>
        <v/>
      </c>
      <c r="B1065" s="45"/>
      <c r="C1065" s="11" t="str">
        <f t="shared" si="64"/>
        <v/>
      </c>
      <c r="D1065" s="11" t="str">
        <f t="shared" si="65"/>
        <v/>
      </c>
      <c r="E1065" s="45"/>
      <c r="F1065" s="11" t="str">
        <f>IFERROR(VLOOKUP(E1065,Category!$D$2:$E$600,2,FALSE),"")</f>
        <v/>
      </c>
      <c r="G1065" s="45"/>
      <c r="H1065" s="73"/>
      <c r="I1065" s="18" t="str">
        <f t="shared" si="66"/>
        <v/>
      </c>
      <c r="J1065" s="45"/>
      <c r="K1065" s="45"/>
    </row>
    <row r="1066" spans="1:11">
      <c r="A1066" s="10" t="str">
        <f t="shared" si="67"/>
        <v/>
      </c>
      <c r="B1066" s="45"/>
      <c r="C1066" s="11" t="str">
        <f t="shared" si="64"/>
        <v/>
      </c>
      <c r="D1066" s="11" t="str">
        <f t="shared" si="65"/>
        <v/>
      </c>
      <c r="E1066" s="45"/>
      <c r="F1066" s="11" t="str">
        <f>IFERROR(VLOOKUP(E1066,Category!$D$2:$E$600,2,FALSE),"")</f>
        <v/>
      </c>
      <c r="G1066" s="45"/>
      <c r="H1066" s="73"/>
      <c r="I1066" s="18" t="str">
        <f t="shared" si="66"/>
        <v/>
      </c>
      <c r="J1066" s="45"/>
      <c r="K1066" s="45"/>
    </row>
    <row r="1067" spans="1:11">
      <c r="A1067" s="10" t="str">
        <f t="shared" si="67"/>
        <v/>
      </c>
      <c r="B1067" s="45"/>
      <c r="C1067" s="11" t="str">
        <f t="shared" si="64"/>
        <v/>
      </c>
      <c r="D1067" s="11" t="str">
        <f t="shared" si="65"/>
        <v/>
      </c>
      <c r="E1067" s="45"/>
      <c r="F1067" s="11" t="str">
        <f>IFERROR(VLOOKUP(E1067,Category!$D$2:$E$600,2,FALSE),"")</f>
        <v/>
      </c>
      <c r="G1067" s="45"/>
      <c r="H1067" s="73"/>
      <c r="I1067" s="18" t="str">
        <f t="shared" si="66"/>
        <v/>
      </c>
      <c r="J1067" s="45"/>
      <c r="K1067" s="45"/>
    </row>
    <row r="1068" spans="1:11">
      <c r="A1068" s="10" t="str">
        <f t="shared" si="67"/>
        <v/>
      </c>
      <c r="B1068" s="45"/>
      <c r="C1068" s="11" t="str">
        <f t="shared" si="64"/>
        <v/>
      </c>
      <c r="D1068" s="11" t="str">
        <f t="shared" si="65"/>
        <v/>
      </c>
      <c r="E1068" s="45"/>
      <c r="F1068" s="11" t="str">
        <f>IFERROR(VLOOKUP(E1068,Category!$D$2:$E$600,2,FALSE),"")</f>
        <v/>
      </c>
      <c r="G1068" s="45"/>
      <c r="H1068" s="73"/>
      <c r="I1068" s="18" t="str">
        <f t="shared" si="66"/>
        <v/>
      </c>
      <c r="J1068" s="45"/>
      <c r="K1068" s="45"/>
    </row>
    <row r="1069" spans="1:11">
      <c r="A1069" s="10" t="str">
        <f t="shared" si="67"/>
        <v/>
      </c>
      <c r="B1069" s="45"/>
      <c r="C1069" s="11" t="str">
        <f t="shared" si="64"/>
        <v/>
      </c>
      <c r="D1069" s="11" t="str">
        <f t="shared" si="65"/>
        <v/>
      </c>
      <c r="E1069" s="45"/>
      <c r="F1069" s="11" t="str">
        <f>IFERROR(VLOOKUP(E1069,Category!$D$2:$E$600,2,FALSE),"")</f>
        <v/>
      </c>
      <c r="G1069" s="45"/>
      <c r="H1069" s="73"/>
      <c r="I1069" s="18" t="str">
        <f t="shared" si="66"/>
        <v/>
      </c>
      <c r="J1069" s="45"/>
      <c r="K1069" s="45"/>
    </row>
    <row r="1070" spans="1:11">
      <c r="A1070" s="10" t="str">
        <f t="shared" si="67"/>
        <v/>
      </c>
      <c r="B1070" s="45"/>
      <c r="C1070" s="11" t="str">
        <f t="shared" si="64"/>
        <v/>
      </c>
      <c r="D1070" s="11" t="str">
        <f t="shared" si="65"/>
        <v/>
      </c>
      <c r="E1070" s="45"/>
      <c r="F1070" s="11" t="str">
        <f>IFERROR(VLOOKUP(E1070,Category!$D$2:$E$600,2,FALSE),"")</f>
        <v/>
      </c>
      <c r="G1070" s="45"/>
      <c r="H1070" s="73"/>
      <c r="I1070" s="18" t="str">
        <f t="shared" si="66"/>
        <v/>
      </c>
      <c r="J1070" s="45"/>
      <c r="K1070" s="45"/>
    </row>
    <row r="1071" spans="1:11">
      <c r="A1071" s="10" t="str">
        <f t="shared" si="67"/>
        <v/>
      </c>
      <c r="B1071" s="45"/>
      <c r="C1071" s="11" t="str">
        <f t="shared" si="64"/>
        <v/>
      </c>
      <c r="D1071" s="11" t="str">
        <f t="shared" si="65"/>
        <v/>
      </c>
      <c r="E1071" s="45"/>
      <c r="F1071" s="11" t="str">
        <f>IFERROR(VLOOKUP(E1071,Category!$D$2:$E$600,2,FALSE),"")</f>
        <v/>
      </c>
      <c r="G1071" s="45"/>
      <c r="H1071" s="73"/>
      <c r="I1071" s="18" t="str">
        <f t="shared" si="66"/>
        <v/>
      </c>
      <c r="J1071" s="45"/>
      <c r="K1071" s="45"/>
    </row>
    <row r="1072" spans="1:11">
      <c r="A1072" s="10" t="str">
        <f t="shared" si="67"/>
        <v/>
      </c>
      <c r="B1072" s="45"/>
      <c r="C1072" s="11" t="str">
        <f t="shared" si="64"/>
        <v/>
      </c>
      <c r="D1072" s="11" t="str">
        <f t="shared" si="65"/>
        <v/>
      </c>
      <c r="E1072" s="45"/>
      <c r="F1072" s="11" t="str">
        <f>IFERROR(VLOOKUP(E1072,Category!$D$2:$E$600,2,FALSE),"")</f>
        <v/>
      </c>
      <c r="G1072" s="45"/>
      <c r="H1072" s="73"/>
      <c r="I1072" s="18" t="str">
        <f t="shared" si="66"/>
        <v/>
      </c>
      <c r="J1072" s="45"/>
      <c r="K1072" s="45"/>
    </row>
    <row r="1073" spans="1:11">
      <c r="A1073" s="10" t="str">
        <f t="shared" si="67"/>
        <v/>
      </c>
      <c r="B1073" s="45"/>
      <c r="C1073" s="11" t="str">
        <f t="shared" si="64"/>
        <v/>
      </c>
      <c r="D1073" s="11" t="str">
        <f t="shared" si="65"/>
        <v/>
      </c>
      <c r="E1073" s="45"/>
      <c r="F1073" s="11" t="str">
        <f>IFERROR(VLOOKUP(E1073,Category!$D$2:$E$600,2,FALSE),"")</f>
        <v/>
      </c>
      <c r="G1073" s="45"/>
      <c r="H1073" s="73"/>
      <c r="I1073" s="18" t="str">
        <f t="shared" si="66"/>
        <v/>
      </c>
      <c r="J1073" s="45"/>
      <c r="K1073" s="45"/>
    </row>
    <row r="1074" spans="1:11">
      <c r="A1074" s="10" t="str">
        <f t="shared" si="67"/>
        <v/>
      </c>
      <c r="B1074" s="45"/>
      <c r="C1074" s="11" t="str">
        <f t="shared" si="64"/>
        <v/>
      </c>
      <c r="D1074" s="11" t="str">
        <f t="shared" si="65"/>
        <v/>
      </c>
      <c r="E1074" s="45"/>
      <c r="F1074" s="11" t="str">
        <f>IFERROR(VLOOKUP(E1074,Category!$D$2:$E$600,2,FALSE),"")</f>
        <v/>
      </c>
      <c r="G1074" s="45"/>
      <c r="H1074" s="73"/>
      <c r="I1074" s="18" t="str">
        <f t="shared" si="66"/>
        <v/>
      </c>
      <c r="J1074" s="45"/>
      <c r="K1074" s="45"/>
    </row>
    <row r="1075" spans="1:11">
      <c r="A1075" s="10" t="str">
        <f t="shared" si="67"/>
        <v/>
      </c>
      <c r="B1075" s="45"/>
      <c r="C1075" s="11" t="str">
        <f t="shared" si="64"/>
        <v/>
      </c>
      <c r="D1075" s="11" t="str">
        <f t="shared" si="65"/>
        <v/>
      </c>
      <c r="E1075" s="45"/>
      <c r="F1075" s="11" t="str">
        <f>IFERROR(VLOOKUP(E1075,Category!$D$2:$E$600,2,FALSE),"")</f>
        <v/>
      </c>
      <c r="G1075" s="45"/>
      <c r="H1075" s="73"/>
      <c r="I1075" s="18" t="str">
        <f t="shared" si="66"/>
        <v/>
      </c>
      <c r="J1075" s="45"/>
      <c r="K1075" s="45"/>
    </row>
    <row r="1076" spans="1:11">
      <c r="A1076" s="10" t="str">
        <f t="shared" si="67"/>
        <v/>
      </c>
      <c r="B1076" s="45"/>
      <c r="C1076" s="11" t="str">
        <f t="shared" si="64"/>
        <v/>
      </c>
      <c r="D1076" s="11" t="str">
        <f t="shared" si="65"/>
        <v/>
      </c>
      <c r="E1076" s="45"/>
      <c r="F1076" s="11" t="str">
        <f>IFERROR(VLOOKUP(E1076,Category!$D$2:$E$600,2,FALSE),"")</f>
        <v/>
      </c>
      <c r="G1076" s="45"/>
      <c r="H1076" s="73"/>
      <c r="I1076" s="18" t="str">
        <f t="shared" si="66"/>
        <v/>
      </c>
      <c r="J1076" s="45"/>
      <c r="K1076" s="45"/>
    </row>
    <row r="1077" spans="1:11">
      <c r="A1077" s="10" t="str">
        <f t="shared" si="67"/>
        <v/>
      </c>
      <c r="B1077" s="45"/>
      <c r="C1077" s="11" t="str">
        <f t="shared" si="64"/>
        <v/>
      </c>
      <c r="D1077" s="11" t="str">
        <f t="shared" si="65"/>
        <v/>
      </c>
      <c r="E1077" s="45"/>
      <c r="F1077" s="11" t="str">
        <f>IFERROR(VLOOKUP(E1077,Category!$D$2:$E$600,2,FALSE),"")</f>
        <v/>
      </c>
      <c r="G1077" s="45"/>
      <c r="H1077" s="73"/>
      <c r="I1077" s="18" t="str">
        <f t="shared" si="66"/>
        <v/>
      </c>
      <c r="J1077" s="45"/>
      <c r="K1077" s="45"/>
    </row>
    <row r="1078" spans="1:11">
      <c r="A1078" s="10" t="str">
        <f t="shared" si="67"/>
        <v/>
      </c>
      <c r="B1078" s="45"/>
      <c r="C1078" s="11" t="str">
        <f t="shared" si="64"/>
        <v/>
      </c>
      <c r="D1078" s="11" t="str">
        <f t="shared" si="65"/>
        <v/>
      </c>
      <c r="E1078" s="45"/>
      <c r="F1078" s="11" t="str">
        <f>IFERROR(VLOOKUP(E1078,Category!$D$2:$E$600,2,FALSE),"")</f>
        <v/>
      </c>
      <c r="G1078" s="45"/>
      <c r="H1078" s="73"/>
      <c r="I1078" s="18" t="str">
        <f t="shared" si="66"/>
        <v/>
      </c>
      <c r="J1078" s="45"/>
      <c r="K1078" s="45"/>
    </row>
    <row r="1079" spans="1:11">
      <c r="A1079" s="10" t="str">
        <f t="shared" si="67"/>
        <v/>
      </c>
      <c r="B1079" s="45"/>
      <c r="C1079" s="11" t="str">
        <f t="shared" si="64"/>
        <v/>
      </c>
      <c r="D1079" s="11" t="str">
        <f t="shared" si="65"/>
        <v/>
      </c>
      <c r="E1079" s="45"/>
      <c r="F1079" s="11" t="str">
        <f>IFERROR(VLOOKUP(E1079,Category!$D$2:$E$600,2,FALSE),"")</f>
        <v/>
      </c>
      <c r="G1079" s="45"/>
      <c r="H1079" s="73"/>
      <c r="I1079" s="18" t="str">
        <f t="shared" si="66"/>
        <v/>
      </c>
      <c r="J1079" s="45"/>
      <c r="K1079" s="45"/>
    </row>
    <row r="1080" spans="1:11">
      <c r="A1080" s="10" t="str">
        <f t="shared" si="67"/>
        <v/>
      </c>
      <c r="B1080" s="45"/>
      <c r="C1080" s="11" t="str">
        <f t="shared" si="64"/>
        <v/>
      </c>
      <c r="D1080" s="11" t="str">
        <f t="shared" si="65"/>
        <v/>
      </c>
      <c r="E1080" s="45"/>
      <c r="F1080" s="11" t="str">
        <f>IFERROR(VLOOKUP(E1080,Category!$D$2:$E$600,2,FALSE),"")</f>
        <v/>
      </c>
      <c r="G1080" s="45"/>
      <c r="H1080" s="73"/>
      <c r="I1080" s="18" t="str">
        <f t="shared" si="66"/>
        <v/>
      </c>
      <c r="J1080" s="45"/>
      <c r="K1080" s="45"/>
    </row>
    <row r="1081" spans="1:11">
      <c r="A1081" s="10" t="str">
        <f t="shared" si="67"/>
        <v/>
      </c>
      <c r="B1081" s="45"/>
      <c r="C1081" s="11" t="str">
        <f t="shared" si="64"/>
        <v/>
      </c>
      <c r="D1081" s="11" t="str">
        <f t="shared" si="65"/>
        <v/>
      </c>
      <c r="E1081" s="45"/>
      <c r="F1081" s="11" t="str">
        <f>IFERROR(VLOOKUP(E1081,Category!$D$2:$E$600,2,FALSE),"")</f>
        <v/>
      </c>
      <c r="G1081" s="45"/>
      <c r="H1081" s="73"/>
      <c r="I1081" s="18" t="str">
        <f t="shared" si="66"/>
        <v/>
      </c>
      <c r="J1081" s="45"/>
      <c r="K1081" s="45"/>
    </row>
    <row r="1082" spans="1:11">
      <c r="A1082" s="10" t="str">
        <f t="shared" si="67"/>
        <v/>
      </c>
      <c r="B1082" s="45"/>
      <c r="C1082" s="11" t="str">
        <f t="shared" si="64"/>
        <v/>
      </c>
      <c r="D1082" s="11" t="str">
        <f t="shared" si="65"/>
        <v/>
      </c>
      <c r="E1082" s="45"/>
      <c r="F1082" s="11" t="str">
        <f>IFERROR(VLOOKUP(E1082,Category!$D$2:$E$600,2,FALSE),"")</f>
        <v/>
      </c>
      <c r="G1082" s="45"/>
      <c r="H1082" s="73"/>
      <c r="I1082" s="18" t="str">
        <f t="shared" si="66"/>
        <v/>
      </c>
      <c r="J1082" s="45"/>
      <c r="K1082" s="45"/>
    </row>
    <row r="1083" spans="1:11">
      <c r="A1083" s="10" t="str">
        <f t="shared" si="67"/>
        <v/>
      </c>
      <c r="B1083" s="45"/>
      <c r="C1083" s="11" t="str">
        <f t="shared" si="64"/>
        <v/>
      </c>
      <c r="D1083" s="11" t="str">
        <f t="shared" si="65"/>
        <v/>
      </c>
      <c r="E1083" s="45"/>
      <c r="F1083" s="11" t="str">
        <f>IFERROR(VLOOKUP(E1083,Category!$D$2:$E$600,2,FALSE),"")</f>
        <v/>
      </c>
      <c r="G1083" s="45"/>
      <c r="H1083" s="73"/>
      <c r="I1083" s="18" t="str">
        <f t="shared" si="66"/>
        <v/>
      </c>
      <c r="J1083" s="45"/>
      <c r="K1083" s="45"/>
    </row>
    <row r="1084" spans="1:11">
      <c r="A1084" s="10" t="str">
        <f t="shared" si="67"/>
        <v/>
      </c>
      <c r="B1084" s="45"/>
      <c r="C1084" s="11" t="str">
        <f t="shared" si="64"/>
        <v/>
      </c>
      <c r="D1084" s="11" t="str">
        <f t="shared" si="65"/>
        <v/>
      </c>
      <c r="E1084" s="45"/>
      <c r="F1084" s="11" t="str">
        <f>IFERROR(VLOOKUP(E1084,Category!$D$2:$E$600,2,FALSE),"")</f>
        <v/>
      </c>
      <c r="G1084" s="45"/>
      <c r="H1084" s="73"/>
      <c r="I1084" s="18" t="str">
        <f t="shared" si="66"/>
        <v/>
      </c>
      <c r="J1084" s="45"/>
      <c r="K1084" s="45"/>
    </row>
    <row r="1085" spans="1:11">
      <c r="A1085" s="10" t="str">
        <f t="shared" si="67"/>
        <v/>
      </c>
      <c r="B1085" s="45"/>
      <c r="C1085" s="11" t="str">
        <f t="shared" si="64"/>
        <v/>
      </c>
      <c r="D1085" s="11" t="str">
        <f t="shared" si="65"/>
        <v/>
      </c>
      <c r="E1085" s="45"/>
      <c r="F1085" s="11" t="str">
        <f>IFERROR(VLOOKUP(E1085,Category!$D$2:$E$600,2,FALSE),"")</f>
        <v/>
      </c>
      <c r="G1085" s="45"/>
      <c r="H1085" s="73"/>
      <c r="I1085" s="18" t="str">
        <f t="shared" si="66"/>
        <v/>
      </c>
      <c r="J1085" s="45"/>
      <c r="K1085" s="45"/>
    </row>
    <row r="1086" spans="1:11">
      <c r="A1086" s="10" t="str">
        <f t="shared" si="67"/>
        <v/>
      </c>
      <c r="B1086" s="45"/>
      <c r="C1086" s="11" t="str">
        <f t="shared" si="64"/>
        <v/>
      </c>
      <c r="D1086" s="11" t="str">
        <f t="shared" si="65"/>
        <v/>
      </c>
      <c r="E1086" s="45"/>
      <c r="F1086" s="11" t="str">
        <f>IFERROR(VLOOKUP(E1086,Category!$D$2:$E$600,2,FALSE),"")</f>
        <v/>
      </c>
      <c r="G1086" s="45"/>
      <c r="H1086" s="73"/>
      <c r="I1086" s="18" t="str">
        <f t="shared" si="66"/>
        <v/>
      </c>
      <c r="J1086" s="45"/>
      <c r="K1086" s="45"/>
    </row>
    <row r="1087" spans="1:11">
      <c r="A1087" s="10" t="str">
        <f t="shared" si="67"/>
        <v/>
      </c>
      <c r="B1087" s="45"/>
      <c r="C1087" s="11" t="str">
        <f t="shared" si="64"/>
        <v/>
      </c>
      <c r="D1087" s="11" t="str">
        <f t="shared" si="65"/>
        <v/>
      </c>
      <c r="E1087" s="45"/>
      <c r="F1087" s="11" t="str">
        <f>IFERROR(VLOOKUP(E1087,Category!$D$2:$E$600,2,FALSE),"")</f>
        <v/>
      </c>
      <c r="G1087" s="45"/>
      <c r="H1087" s="73"/>
      <c r="I1087" s="18" t="str">
        <f t="shared" si="66"/>
        <v/>
      </c>
      <c r="J1087" s="45"/>
      <c r="K1087" s="45"/>
    </row>
    <row r="1088" spans="1:11">
      <c r="A1088" s="10" t="str">
        <f t="shared" si="67"/>
        <v/>
      </c>
      <c r="B1088" s="45"/>
      <c r="C1088" s="11" t="str">
        <f t="shared" si="64"/>
        <v/>
      </c>
      <c r="D1088" s="11" t="str">
        <f t="shared" si="65"/>
        <v/>
      </c>
      <c r="E1088" s="45"/>
      <c r="F1088" s="11" t="str">
        <f>IFERROR(VLOOKUP(E1088,Category!$D$2:$E$600,2,FALSE),"")</f>
        <v/>
      </c>
      <c r="G1088" s="45"/>
      <c r="H1088" s="73"/>
      <c r="I1088" s="18" t="str">
        <f t="shared" si="66"/>
        <v/>
      </c>
      <c r="J1088" s="45"/>
      <c r="K1088" s="45"/>
    </row>
    <row r="1089" spans="1:11">
      <c r="A1089" s="10" t="str">
        <f t="shared" si="67"/>
        <v/>
      </c>
      <c r="B1089" s="45"/>
      <c r="C1089" s="11" t="str">
        <f t="shared" si="64"/>
        <v/>
      </c>
      <c r="D1089" s="11" t="str">
        <f t="shared" si="65"/>
        <v/>
      </c>
      <c r="E1089" s="45"/>
      <c r="F1089" s="11" t="str">
        <f>IFERROR(VLOOKUP(E1089,Category!$D$2:$E$600,2,FALSE),"")</f>
        <v/>
      </c>
      <c r="G1089" s="45"/>
      <c r="H1089" s="73"/>
      <c r="I1089" s="18" t="str">
        <f t="shared" si="66"/>
        <v/>
      </c>
      <c r="J1089" s="45"/>
      <c r="K1089" s="45"/>
    </row>
    <row r="1090" spans="1:11">
      <c r="A1090" s="10" t="str">
        <f t="shared" si="67"/>
        <v/>
      </c>
      <c r="B1090" s="45"/>
      <c r="C1090" s="11" t="str">
        <f t="shared" si="64"/>
        <v/>
      </c>
      <c r="D1090" s="11" t="str">
        <f t="shared" si="65"/>
        <v/>
      </c>
      <c r="E1090" s="45"/>
      <c r="F1090" s="11" t="str">
        <f>IFERROR(VLOOKUP(E1090,Category!$D$2:$E$600,2,FALSE),"")</f>
        <v/>
      </c>
      <c r="G1090" s="45"/>
      <c r="H1090" s="73"/>
      <c r="I1090" s="18" t="str">
        <f t="shared" si="66"/>
        <v/>
      </c>
      <c r="J1090" s="45"/>
      <c r="K1090" s="45"/>
    </row>
    <row r="1091" spans="1:11">
      <c r="A1091" s="10" t="str">
        <f t="shared" si="67"/>
        <v/>
      </c>
      <c r="B1091" s="45"/>
      <c r="C1091" s="11" t="str">
        <f t="shared" ref="C1091:C1154" si="68">IF(B1091=0,"",TEXT(B1091,"mmmm"))</f>
        <v/>
      </c>
      <c r="D1091" s="11" t="str">
        <f t="shared" ref="D1091:D1154" si="69">IF(B1091=0,"",TEXT(B1091,"yyyy"))</f>
        <v/>
      </c>
      <c r="E1091" s="45"/>
      <c r="F1091" s="11" t="str">
        <f>IFERROR(VLOOKUP(E1091,Category!$D$2:$E$600,2,FALSE),"")</f>
        <v/>
      </c>
      <c r="G1091" s="45"/>
      <c r="H1091" s="73"/>
      <c r="I1091" s="18" t="str">
        <f t="shared" ref="I1091:I1154" si="70">IF(G1091*H1091=0,"",G1091*H1091)</f>
        <v/>
      </c>
      <c r="J1091" s="45"/>
      <c r="K1091" s="45"/>
    </row>
    <row r="1092" spans="1:11">
      <c r="A1092" s="10" t="str">
        <f t="shared" ref="A1092:A1155" si="71">IF(E1092&gt;0,A1091+1,"")</f>
        <v/>
      </c>
      <c r="B1092" s="45"/>
      <c r="C1092" s="11" t="str">
        <f t="shared" si="68"/>
        <v/>
      </c>
      <c r="D1092" s="11" t="str">
        <f t="shared" si="69"/>
        <v/>
      </c>
      <c r="E1092" s="45"/>
      <c r="F1092" s="11" t="str">
        <f>IFERROR(VLOOKUP(E1092,Category!$D$2:$E$600,2,FALSE),"")</f>
        <v/>
      </c>
      <c r="G1092" s="45"/>
      <c r="H1092" s="73"/>
      <c r="I1092" s="18" t="str">
        <f t="shared" si="70"/>
        <v/>
      </c>
      <c r="J1092" s="45"/>
      <c r="K1092" s="45"/>
    </row>
    <row r="1093" spans="1:11">
      <c r="A1093" s="10" t="str">
        <f t="shared" si="71"/>
        <v/>
      </c>
      <c r="B1093" s="45"/>
      <c r="C1093" s="11" t="str">
        <f t="shared" si="68"/>
        <v/>
      </c>
      <c r="D1093" s="11" t="str">
        <f t="shared" si="69"/>
        <v/>
      </c>
      <c r="E1093" s="45"/>
      <c r="F1093" s="11" t="str">
        <f>IFERROR(VLOOKUP(E1093,Category!$D$2:$E$600,2,FALSE),"")</f>
        <v/>
      </c>
      <c r="G1093" s="45"/>
      <c r="H1093" s="73"/>
      <c r="I1093" s="18" t="str">
        <f t="shared" si="70"/>
        <v/>
      </c>
      <c r="J1093" s="45"/>
      <c r="K1093" s="45"/>
    </row>
    <row r="1094" spans="1:11">
      <c r="A1094" s="10" t="str">
        <f t="shared" si="71"/>
        <v/>
      </c>
      <c r="B1094" s="45"/>
      <c r="C1094" s="11" t="str">
        <f t="shared" si="68"/>
        <v/>
      </c>
      <c r="D1094" s="11" t="str">
        <f t="shared" si="69"/>
        <v/>
      </c>
      <c r="E1094" s="45"/>
      <c r="F1094" s="11" t="str">
        <f>IFERROR(VLOOKUP(E1094,Category!$D$2:$E$600,2,FALSE),"")</f>
        <v/>
      </c>
      <c r="G1094" s="45"/>
      <c r="H1094" s="73"/>
      <c r="I1094" s="18" t="str">
        <f t="shared" si="70"/>
        <v/>
      </c>
      <c r="J1094" s="45"/>
      <c r="K1094" s="45"/>
    </row>
    <row r="1095" spans="1:11">
      <c r="A1095" s="10" t="str">
        <f t="shared" si="71"/>
        <v/>
      </c>
      <c r="B1095" s="45"/>
      <c r="C1095" s="11" t="str">
        <f t="shared" si="68"/>
        <v/>
      </c>
      <c r="D1095" s="11" t="str">
        <f t="shared" si="69"/>
        <v/>
      </c>
      <c r="E1095" s="45"/>
      <c r="F1095" s="11" t="str">
        <f>IFERROR(VLOOKUP(E1095,Category!$D$2:$E$600,2,FALSE),"")</f>
        <v/>
      </c>
      <c r="G1095" s="45"/>
      <c r="H1095" s="73"/>
      <c r="I1095" s="18" t="str">
        <f t="shared" si="70"/>
        <v/>
      </c>
      <c r="J1095" s="45"/>
      <c r="K1095" s="45"/>
    </row>
    <row r="1096" spans="1:11">
      <c r="A1096" s="10" t="str">
        <f t="shared" si="71"/>
        <v/>
      </c>
      <c r="B1096" s="45"/>
      <c r="C1096" s="11" t="str">
        <f t="shared" si="68"/>
        <v/>
      </c>
      <c r="D1096" s="11" t="str">
        <f t="shared" si="69"/>
        <v/>
      </c>
      <c r="E1096" s="45"/>
      <c r="F1096" s="11" t="str">
        <f>IFERROR(VLOOKUP(E1096,Category!$D$2:$E$600,2,FALSE),"")</f>
        <v/>
      </c>
      <c r="G1096" s="45"/>
      <c r="H1096" s="73"/>
      <c r="I1096" s="18" t="str">
        <f t="shared" si="70"/>
        <v/>
      </c>
      <c r="J1096" s="45"/>
      <c r="K1096" s="45"/>
    </row>
    <row r="1097" spans="1:11">
      <c r="A1097" s="10" t="str">
        <f t="shared" si="71"/>
        <v/>
      </c>
      <c r="B1097" s="45"/>
      <c r="C1097" s="11" t="str">
        <f t="shared" si="68"/>
        <v/>
      </c>
      <c r="D1097" s="11" t="str">
        <f t="shared" si="69"/>
        <v/>
      </c>
      <c r="E1097" s="45"/>
      <c r="F1097" s="11" t="str">
        <f>IFERROR(VLOOKUP(E1097,Category!$D$2:$E$600,2,FALSE),"")</f>
        <v/>
      </c>
      <c r="G1097" s="45"/>
      <c r="H1097" s="73"/>
      <c r="I1097" s="18" t="str">
        <f t="shared" si="70"/>
        <v/>
      </c>
      <c r="J1097" s="45"/>
      <c r="K1097" s="45"/>
    </row>
    <row r="1098" spans="1:11">
      <c r="A1098" s="10" t="str">
        <f t="shared" si="71"/>
        <v/>
      </c>
      <c r="B1098" s="45"/>
      <c r="C1098" s="11" t="str">
        <f t="shared" si="68"/>
        <v/>
      </c>
      <c r="D1098" s="11" t="str">
        <f t="shared" si="69"/>
        <v/>
      </c>
      <c r="E1098" s="45"/>
      <c r="F1098" s="11" t="str">
        <f>IFERROR(VLOOKUP(E1098,Category!$D$2:$E$600,2,FALSE),"")</f>
        <v/>
      </c>
      <c r="G1098" s="45"/>
      <c r="H1098" s="73"/>
      <c r="I1098" s="18" t="str">
        <f t="shared" si="70"/>
        <v/>
      </c>
      <c r="J1098" s="45"/>
      <c r="K1098" s="45"/>
    </row>
    <row r="1099" spans="1:11">
      <c r="A1099" s="10" t="str">
        <f t="shared" si="71"/>
        <v/>
      </c>
      <c r="B1099" s="45"/>
      <c r="C1099" s="11" t="str">
        <f t="shared" si="68"/>
        <v/>
      </c>
      <c r="D1099" s="11" t="str">
        <f t="shared" si="69"/>
        <v/>
      </c>
      <c r="E1099" s="45"/>
      <c r="F1099" s="11" t="str">
        <f>IFERROR(VLOOKUP(E1099,Category!$D$2:$E$600,2,FALSE),"")</f>
        <v/>
      </c>
      <c r="G1099" s="45"/>
      <c r="H1099" s="73"/>
      <c r="I1099" s="18" t="str">
        <f t="shared" si="70"/>
        <v/>
      </c>
      <c r="J1099" s="45"/>
      <c r="K1099" s="45"/>
    </row>
    <row r="1100" spans="1:11">
      <c r="A1100" s="10" t="str">
        <f t="shared" si="71"/>
        <v/>
      </c>
      <c r="B1100" s="45"/>
      <c r="C1100" s="11" t="str">
        <f t="shared" si="68"/>
        <v/>
      </c>
      <c r="D1100" s="11" t="str">
        <f t="shared" si="69"/>
        <v/>
      </c>
      <c r="E1100" s="45"/>
      <c r="F1100" s="11" t="str">
        <f>IFERROR(VLOOKUP(E1100,Category!$D$2:$E$600,2,FALSE),"")</f>
        <v/>
      </c>
      <c r="G1100" s="45"/>
      <c r="H1100" s="73"/>
      <c r="I1100" s="18" t="str">
        <f t="shared" si="70"/>
        <v/>
      </c>
      <c r="J1100" s="45"/>
      <c r="K1100" s="45"/>
    </row>
    <row r="1101" spans="1:11">
      <c r="A1101" s="10" t="str">
        <f t="shared" si="71"/>
        <v/>
      </c>
      <c r="B1101" s="45"/>
      <c r="C1101" s="11" t="str">
        <f t="shared" si="68"/>
        <v/>
      </c>
      <c r="D1101" s="11" t="str">
        <f t="shared" si="69"/>
        <v/>
      </c>
      <c r="E1101" s="45"/>
      <c r="F1101" s="11" t="str">
        <f>IFERROR(VLOOKUP(E1101,Category!$D$2:$E$600,2,FALSE),"")</f>
        <v/>
      </c>
      <c r="G1101" s="45"/>
      <c r="H1101" s="73"/>
      <c r="I1101" s="18" t="str">
        <f t="shared" si="70"/>
        <v/>
      </c>
      <c r="J1101" s="45"/>
      <c r="K1101" s="45"/>
    </row>
    <row r="1102" spans="1:11">
      <c r="A1102" s="10" t="str">
        <f t="shared" si="71"/>
        <v/>
      </c>
      <c r="B1102" s="45"/>
      <c r="C1102" s="11" t="str">
        <f t="shared" si="68"/>
        <v/>
      </c>
      <c r="D1102" s="11" t="str">
        <f t="shared" si="69"/>
        <v/>
      </c>
      <c r="E1102" s="45"/>
      <c r="F1102" s="11" t="str">
        <f>IFERROR(VLOOKUP(E1102,Category!$D$2:$E$600,2,FALSE),"")</f>
        <v/>
      </c>
      <c r="G1102" s="45"/>
      <c r="H1102" s="73"/>
      <c r="I1102" s="18" t="str">
        <f t="shared" si="70"/>
        <v/>
      </c>
      <c r="J1102" s="45"/>
      <c r="K1102" s="45"/>
    </row>
    <row r="1103" spans="1:11">
      <c r="A1103" s="10" t="str">
        <f t="shared" si="71"/>
        <v/>
      </c>
      <c r="B1103" s="45"/>
      <c r="C1103" s="11" t="str">
        <f t="shared" si="68"/>
        <v/>
      </c>
      <c r="D1103" s="11" t="str">
        <f t="shared" si="69"/>
        <v/>
      </c>
      <c r="E1103" s="45"/>
      <c r="F1103" s="11" t="str">
        <f>IFERROR(VLOOKUP(E1103,Category!$D$2:$E$600,2,FALSE),"")</f>
        <v/>
      </c>
      <c r="G1103" s="45"/>
      <c r="H1103" s="73"/>
      <c r="I1103" s="18" t="str">
        <f t="shared" si="70"/>
        <v/>
      </c>
      <c r="J1103" s="45"/>
      <c r="K1103" s="45"/>
    </row>
    <row r="1104" spans="1:11">
      <c r="A1104" s="10" t="str">
        <f t="shared" si="71"/>
        <v/>
      </c>
      <c r="B1104" s="45"/>
      <c r="C1104" s="11" t="str">
        <f t="shared" si="68"/>
        <v/>
      </c>
      <c r="D1104" s="11" t="str">
        <f t="shared" si="69"/>
        <v/>
      </c>
      <c r="E1104" s="45"/>
      <c r="F1104" s="11" t="str">
        <f>IFERROR(VLOOKUP(E1104,Category!$D$2:$E$600,2,FALSE),"")</f>
        <v/>
      </c>
      <c r="G1104" s="45"/>
      <c r="H1104" s="73"/>
      <c r="I1104" s="18" t="str">
        <f t="shared" si="70"/>
        <v/>
      </c>
      <c r="J1104" s="45"/>
      <c r="K1104" s="45"/>
    </row>
    <row r="1105" spans="1:11">
      <c r="A1105" s="10" t="str">
        <f t="shared" si="71"/>
        <v/>
      </c>
      <c r="B1105" s="45"/>
      <c r="C1105" s="11" t="str">
        <f t="shared" si="68"/>
        <v/>
      </c>
      <c r="D1105" s="11" t="str">
        <f t="shared" si="69"/>
        <v/>
      </c>
      <c r="E1105" s="45"/>
      <c r="F1105" s="11" t="str">
        <f>IFERROR(VLOOKUP(E1105,Category!$D$2:$E$600,2,FALSE),"")</f>
        <v/>
      </c>
      <c r="G1105" s="45"/>
      <c r="H1105" s="73"/>
      <c r="I1105" s="18" t="str">
        <f t="shared" si="70"/>
        <v/>
      </c>
      <c r="J1105" s="45"/>
      <c r="K1105" s="45"/>
    </row>
    <row r="1106" spans="1:11">
      <c r="A1106" s="10" t="str">
        <f t="shared" si="71"/>
        <v/>
      </c>
      <c r="B1106" s="45"/>
      <c r="C1106" s="11" t="str">
        <f t="shared" si="68"/>
        <v/>
      </c>
      <c r="D1106" s="11" t="str">
        <f t="shared" si="69"/>
        <v/>
      </c>
      <c r="E1106" s="45"/>
      <c r="F1106" s="11" t="str">
        <f>IFERROR(VLOOKUP(E1106,Category!$D$2:$E$600,2,FALSE),"")</f>
        <v/>
      </c>
      <c r="G1106" s="45"/>
      <c r="H1106" s="73"/>
      <c r="I1106" s="18" t="str">
        <f t="shared" si="70"/>
        <v/>
      </c>
      <c r="J1106" s="45"/>
      <c r="K1106" s="45"/>
    </row>
    <row r="1107" spans="1:11">
      <c r="A1107" s="10" t="str">
        <f t="shared" si="71"/>
        <v/>
      </c>
      <c r="B1107" s="45"/>
      <c r="C1107" s="11" t="str">
        <f t="shared" si="68"/>
        <v/>
      </c>
      <c r="D1107" s="11" t="str">
        <f t="shared" si="69"/>
        <v/>
      </c>
      <c r="E1107" s="45"/>
      <c r="F1107" s="11" t="str">
        <f>IFERROR(VLOOKUP(E1107,Category!$D$2:$E$600,2,FALSE),"")</f>
        <v/>
      </c>
      <c r="G1107" s="45"/>
      <c r="H1107" s="73"/>
      <c r="I1107" s="18" t="str">
        <f t="shared" si="70"/>
        <v/>
      </c>
      <c r="J1107" s="45"/>
      <c r="K1107" s="45"/>
    </row>
    <row r="1108" spans="1:11">
      <c r="A1108" s="10" t="str">
        <f t="shared" si="71"/>
        <v/>
      </c>
      <c r="B1108" s="45"/>
      <c r="C1108" s="11" t="str">
        <f t="shared" si="68"/>
        <v/>
      </c>
      <c r="D1108" s="11" t="str">
        <f t="shared" si="69"/>
        <v/>
      </c>
      <c r="E1108" s="45"/>
      <c r="F1108" s="11" t="str">
        <f>IFERROR(VLOOKUP(E1108,Category!$D$2:$E$600,2,FALSE),"")</f>
        <v/>
      </c>
      <c r="G1108" s="45"/>
      <c r="H1108" s="73"/>
      <c r="I1108" s="18" t="str">
        <f t="shared" si="70"/>
        <v/>
      </c>
      <c r="J1108" s="45"/>
      <c r="K1108" s="45"/>
    </row>
    <row r="1109" spans="1:11">
      <c r="A1109" s="10" t="str">
        <f t="shared" si="71"/>
        <v/>
      </c>
      <c r="B1109" s="45"/>
      <c r="C1109" s="11" t="str">
        <f t="shared" si="68"/>
        <v/>
      </c>
      <c r="D1109" s="11" t="str">
        <f t="shared" si="69"/>
        <v/>
      </c>
      <c r="E1109" s="45"/>
      <c r="F1109" s="11" t="str">
        <f>IFERROR(VLOOKUP(E1109,Category!$D$2:$E$600,2,FALSE),"")</f>
        <v/>
      </c>
      <c r="G1109" s="45"/>
      <c r="H1109" s="73"/>
      <c r="I1109" s="18" t="str">
        <f t="shared" si="70"/>
        <v/>
      </c>
      <c r="J1109" s="45"/>
      <c r="K1109" s="45"/>
    </row>
    <row r="1110" spans="1:11">
      <c r="A1110" s="10" t="str">
        <f t="shared" si="71"/>
        <v/>
      </c>
      <c r="B1110" s="45"/>
      <c r="C1110" s="11" t="str">
        <f t="shared" si="68"/>
        <v/>
      </c>
      <c r="D1110" s="11" t="str">
        <f t="shared" si="69"/>
        <v/>
      </c>
      <c r="E1110" s="45"/>
      <c r="F1110" s="11" t="str">
        <f>IFERROR(VLOOKUP(E1110,Category!$D$2:$E$600,2,FALSE),"")</f>
        <v/>
      </c>
      <c r="G1110" s="45"/>
      <c r="H1110" s="73"/>
      <c r="I1110" s="18" t="str">
        <f t="shared" si="70"/>
        <v/>
      </c>
      <c r="J1110" s="45"/>
      <c r="K1110" s="45"/>
    </row>
    <row r="1111" spans="1:11">
      <c r="A1111" s="10" t="str">
        <f t="shared" si="71"/>
        <v/>
      </c>
      <c r="B1111" s="45"/>
      <c r="C1111" s="11" t="str">
        <f t="shared" si="68"/>
        <v/>
      </c>
      <c r="D1111" s="11" t="str">
        <f t="shared" si="69"/>
        <v/>
      </c>
      <c r="E1111" s="45"/>
      <c r="F1111" s="11" t="str">
        <f>IFERROR(VLOOKUP(E1111,Category!$D$2:$E$600,2,FALSE),"")</f>
        <v/>
      </c>
      <c r="G1111" s="45"/>
      <c r="H1111" s="73"/>
      <c r="I1111" s="18" t="str">
        <f t="shared" si="70"/>
        <v/>
      </c>
      <c r="J1111" s="45"/>
      <c r="K1111" s="45"/>
    </row>
    <row r="1112" spans="1:11">
      <c r="A1112" s="10" t="str">
        <f t="shared" si="71"/>
        <v/>
      </c>
      <c r="B1112" s="45"/>
      <c r="C1112" s="11" t="str">
        <f t="shared" si="68"/>
        <v/>
      </c>
      <c r="D1112" s="11" t="str">
        <f t="shared" si="69"/>
        <v/>
      </c>
      <c r="E1112" s="45"/>
      <c r="F1112" s="11" t="str">
        <f>IFERROR(VLOOKUP(E1112,Category!$D$2:$E$600,2,FALSE),"")</f>
        <v/>
      </c>
      <c r="G1112" s="45"/>
      <c r="H1112" s="73"/>
      <c r="I1112" s="18" t="str">
        <f t="shared" si="70"/>
        <v/>
      </c>
      <c r="J1112" s="45"/>
      <c r="K1112" s="45"/>
    </row>
    <row r="1113" spans="1:11">
      <c r="A1113" s="10" t="str">
        <f t="shared" si="71"/>
        <v/>
      </c>
      <c r="B1113" s="45"/>
      <c r="C1113" s="11" t="str">
        <f t="shared" si="68"/>
        <v/>
      </c>
      <c r="D1113" s="11" t="str">
        <f t="shared" si="69"/>
        <v/>
      </c>
      <c r="E1113" s="45"/>
      <c r="F1113" s="11" t="str">
        <f>IFERROR(VLOOKUP(E1113,Category!$D$2:$E$600,2,FALSE),"")</f>
        <v/>
      </c>
      <c r="G1113" s="45"/>
      <c r="H1113" s="73"/>
      <c r="I1113" s="18" t="str">
        <f t="shared" si="70"/>
        <v/>
      </c>
      <c r="J1113" s="45"/>
      <c r="K1113" s="45"/>
    </row>
    <row r="1114" spans="1:11">
      <c r="A1114" s="10" t="str">
        <f t="shared" si="71"/>
        <v/>
      </c>
      <c r="B1114" s="45"/>
      <c r="C1114" s="11" t="str">
        <f t="shared" si="68"/>
        <v/>
      </c>
      <c r="D1114" s="11" t="str">
        <f t="shared" si="69"/>
        <v/>
      </c>
      <c r="E1114" s="45"/>
      <c r="F1114" s="11" t="str">
        <f>IFERROR(VLOOKUP(E1114,Category!$D$2:$E$600,2,FALSE),"")</f>
        <v/>
      </c>
      <c r="G1114" s="45"/>
      <c r="H1114" s="73"/>
      <c r="I1114" s="18" t="str">
        <f t="shared" si="70"/>
        <v/>
      </c>
      <c r="J1114" s="45"/>
      <c r="K1114" s="45"/>
    </row>
    <row r="1115" spans="1:11">
      <c r="A1115" s="10" t="str">
        <f t="shared" si="71"/>
        <v/>
      </c>
      <c r="B1115" s="45"/>
      <c r="C1115" s="11" t="str">
        <f t="shared" si="68"/>
        <v/>
      </c>
      <c r="D1115" s="11" t="str">
        <f t="shared" si="69"/>
        <v/>
      </c>
      <c r="E1115" s="45"/>
      <c r="F1115" s="11" t="str">
        <f>IFERROR(VLOOKUP(E1115,Category!$D$2:$E$600,2,FALSE),"")</f>
        <v/>
      </c>
      <c r="G1115" s="45"/>
      <c r="H1115" s="73"/>
      <c r="I1115" s="18" t="str">
        <f t="shared" si="70"/>
        <v/>
      </c>
      <c r="J1115" s="45"/>
      <c r="K1115" s="45"/>
    </row>
    <row r="1116" spans="1:11">
      <c r="A1116" s="10" t="str">
        <f t="shared" si="71"/>
        <v/>
      </c>
      <c r="B1116" s="45"/>
      <c r="C1116" s="11" t="str">
        <f t="shared" si="68"/>
        <v/>
      </c>
      <c r="D1116" s="11" t="str">
        <f t="shared" si="69"/>
        <v/>
      </c>
      <c r="E1116" s="45"/>
      <c r="F1116" s="11" t="str">
        <f>IFERROR(VLOOKUP(E1116,Category!$D$2:$E$600,2,FALSE),"")</f>
        <v/>
      </c>
      <c r="G1116" s="45"/>
      <c r="H1116" s="73"/>
      <c r="I1116" s="18" t="str">
        <f t="shared" si="70"/>
        <v/>
      </c>
      <c r="J1116" s="45"/>
      <c r="K1116" s="45"/>
    </row>
    <row r="1117" spans="1:11">
      <c r="A1117" s="10" t="str">
        <f t="shared" si="71"/>
        <v/>
      </c>
      <c r="B1117" s="45"/>
      <c r="C1117" s="11" t="str">
        <f t="shared" si="68"/>
        <v/>
      </c>
      <c r="D1117" s="11" t="str">
        <f t="shared" si="69"/>
        <v/>
      </c>
      <c r="E1117" s="45"/>
      <c r="F1117" s="11" t="str">
        <f>IFERROR(VLOOKUP(E1117,Category!$D$2:$E$600,2,FALSE),"")</f>
        <v/>
      </c>
      <c r="G1117" s="45"/>
      <c r="H1117" s="73"/>
      <c r="I1117" s="18" t="str">
        <f t="shared" si="70"/>
        <v/>
      </c>
      <c r="J1117" s="45"/>
      <c r="K1117" s="45"/>
    </row>
    <row r="1118" spans="1:11">
      <c r="A1118" s="10" t="str">
        <f t="shared" si="71"/>
        <v/>
      </c>
      <c r="B1118" s="45"/>
      <c r="C1118" s="11" t="str">
        <f t="shared" si="68"/>
        <v/>
      </c>
      <c r="D1118" s="11" t="str">
        <f t="shared" si="69"/>
        <v/>
      </c>
      <c r="E1118" s="45"/>
      <c r="F1118" s="11" t="str">
        <f>IFERROR(VLOOKUP(E1118,Category!$D$2:$E$600,2,FALSE),"")</f>
        <v/>
      </c>
      <c r="G1118" s="45"/>
      <c r="H1118" s="73"/>
      <c r="I1118" s="18" t="str">
        <f t="shared" si="70"/>
        <v/>
      </c>
      <c r="J1118" s="45"/>
      <c r="K1118" s="45"/>
    </row>
    <row r="1119" spans="1:11">
      <c r="A1119" s="10" t="str">
        <f t="shared" si="71"/>
        <v/>
      </c>
      <c r="B1119" s="45"/>
      <c r="C1119" s="11" t="str">
        <f t="shared" si="68"/>
        <v/>
      </c>
      <c r="D1119" s="11" t="str">
        <f t="shared" si="69"/>
        <v/>
      </c>
      <c r="E1119" s="45"/>
      <c r="F1119" s="11" t="str">
        <f>IFERROR(VLOOKUP(E1119,Category!$D$2:$E$600,2,FALSE),"")</f>
        <v/>
      </c>
      <c r="G1119" s="45"/>
      <c r="H1119" s="73"/>
      <c r="I1119" s="18" t="str">
        <f t="shared" si="70"/>
        <v/>
      </c>
      <c r="J1119" s="45"/>
      <c r="K1119" s="45"/>
    </row>
    <row r="1120" spans="1:11">
      <c r="A1120" s="10" t="str">
        <f t="shared" si="71"/>
        <v/>
      </c>
      <c r="B1120" s="45"/>
      <c r="C1120" s="11" t="str">
        <f t="shared" si="68"/>
        <v/>
      </c>
      <c r="D1120" s="11" t="str">
        <f t="shared" si="69"/>
        <v/>
      </c>
      <c r="E1120" s="45"/>
      <c r="F1120" s="11" t="str">
        <f>IFERROR(VLOOKUP(E1120,Category!$D$2:$E$600,2,FALSE),"")</f>
        <v/>
      </c>
      <c r="G1120" s="45"/>
      <c r="H1120" s="73"/>
      <c r="I1120" s="18" t="str">
        <f t="shared" si="70"/>
        <v/>
      </c>
      <c r="J1120" s="45"/>
      <c r="K1120" s="45"/>
    </row>
    <row r="1121" spans="1:11">
      <c r="A1121" s="10" t="str">
        <f t="shared" si="71"/>
        <v/>
      </c>
      <c r="B1121" s="45"/>
      <c r="C1121" s="11" t="str">
        <f t="shared" si="68"/>
        <v/>
      </c>
      <c r="D1121" s="11" t="str">
        <f t="shared" si="69"/>
        <v/>
      </c>
      <c r="E1121" s="45"/>
      <c r="F1121" s="11" t="str">
        <f>IFERROR(VLOOKUP(E1121,Category!$D$2:$E$600,2,FALSE),"")</f>
        <v/>
      </c>
      <c r="G1121" s="45"/>
      <c r="H1121" s="73"/>
      <c r="I1121" s="18" t="str">
        <f t="shared" si="70"/>
        <v/>
      </c>
      <c r="J1121" s="45"/>
      <c r="K1121" s="45"/>
    </row>
    <row r="1122" spans="1:11">
      <c r="A1122" s="10" t="str">
        <f t="shared" si="71"/>
        <v/>
      </c>
      <c r="B1122" s="45"/>
      <c r="C1122" s="11" t="str">
        <f t="shared" si="68"/>
        <v/>
      </c>
      <c r="D1122" s="11" t="str">
        <f t="shared" si="69"/>
        <v/>
      </c>
      <c r="E1122" s="45"/>
      <c r="F1122" s="11" t="str">
        <f>IFERROR(VLOOKUP(E1122,Category!$D$2:$E$600,2,FALSE),"")</f>
        <v/>
      </c>
      <c r="G1122" s="45"/>
      <c r="H1122" s="73"/>
      <c r="I1122" s="18" t="str">
        <f t="shared" si="70"/>
        <v/>
      </c>
      <c r="J1122" s="45"/>
      <c r="K1122" s="45"/>
    </row>
    <row r="1123" spans="1:11">
      <c r="A1123" s="10" t="str">
        <f t="shared" si="71"/>
        <v/>
      </c>
      <c r="B1123" s="45"/>
      <c r="C1123" s="11" t="str">
        <f t="shared" si="68"/>
        <v/>
      </c>
      <c r="D1123" s="11" t="str">
        <f t="shared" si="69"/>
        <v/>
      </c>
      <c r="E1123" s="45"/>
      <c r="F1123" s="11" t="str">
        <f>IFERROR(VLOOKUP(E1123,Category!$D$2:$E$600,2,FALSE),"")</f>
        <v/>
      </c>
      <c r="G1123" s="45"/>
      <c r="H1123" s="73"/>
      <c r="I1123" s="18" t="str">
        <f t="shared" si="70"/>
        <v/>
      </c>
      <c r="J1123" s="45"/>
      <c r="K1123" s="45"/>
    </row>
    <row r="1124" spans="1:11">
      <c r="A1124" s="10" t="str">
        <f t="shared" si="71"/>
        <v/>
      </c>
      <c r="B1124" s="45"/>
      <c r="C1124" s="11" t="str">
        <f t="shared" si="68"/>
        <v/>
      </c>
      <c r="D1124" s="11" t="str">
        <f t="shared" si="69"/>
        <v/>
      </c>
      <c r="E1124" s="45"/>
      <c r="F1124" s="11" t="str">
        <f>IFERROR(VLOOKUP(E1124,Category!$D$2:$E$600,2,FALSE),"")</f>
        <v/>
      </c>
      <c r="G1124" s="45"/>
      <c r="H1124" s="73"/>
      <c r="I1124" s="18" t="str">
        <f t="shared" si="70"/>
        <v/>
      </c>
      <c r="J1124" s="45"/>
      <c r="K1124" s="45"/>
    </row>
    <row r="1125" spans="1:11">
      <c r="A1125" s="10" t="str">
        <f t="shared" si="71"/>
        <v/>
      </c>
      <c r="B1125" s="45"/>
      <c r="C1125" s="11" t="str">
        <f t="shared" si="68"/>
        <v/>
      </c>
      <c r="D1125" s="11" t="str">
        <f t="shared" si="69"/>
        <v/>
      </c>
      <c r="E1125" s="45"/>
      <c r="F1125" s="11" t="str">
        <f>IFERROR(VLOOKUP(E1125,Category!$D$2:$E$600,2,FALSE),"")</f>
        <v/>
      </c>
      <c r="G1125" s="45"/>
      <c r="H1125" s="73"/>
      <c r="I1125" s="18" t="str">
        <f t="shared" si="70"/>
        <v/>
      </c>
      <c r="J1125" s="45"/>
      <c r="K1125" s="45"/>
    </row>
    <row r="1126" spans="1:11">
      <c r="A1126" s="10" t="str">
        <f t="shared" si="71"/>
        <v/>
      </c>
      <c r="B1126" s="45"/>
      <c r="C1126" s="11" t="str">
        <f t="shared" si="68"/>
        <v/>
      </c>
      <c r="D1126" s="11" t="str">
        <f t="shared" si="69"/>
        <v/>
      </c>
      <c r="E1126" s="45"/>
      <c r="F1126" s="11" t="str">
        <f>IFERROR(VLOOKUP(E1126,Category!$D$2:$E$600,2,FALSE),"")</f>
        <v/>
      </c>
      <c r="G1126" s="45"/>
      <c r="H1126" s="73"/>
      <c r="I1126" s="18" t="str">
        <f t="shared" si="70"/>
        <v/>
      </c>
      <c r="J1126" s="45"/>
      <c r="K1126" s="45"/>
    </row>
    <row r="1127" spans="1:11">
      <c r="A1127" s="10" t="str">
        <f t="shared" si="71"/>
        <v/>
      </c>
      <c r="B1127" s="45"/>
      <c r="C1127" s="11" t="str">
        <f t="shared" si="68"/>
        <v/>
      </c>
      <c r="D1127" s="11" t="str">
        <f t="shared" si="69"/>
        <v/>
      </c>
      <c r="E1127" s="45"/>
      <c r="F1127" s="11" t="str">
        <f>IFERROR(VLOOKUP(E1127,Category!$D$2:$E$600,2,FALSE),"")</f>
        <v/>
      </c>
      <c r="G1127" s="45"/>
      <c r="H1127" s="73"/>
      <c r="I1127" s="18" t="str">
        <f t="shared" si="70"/>
        <v/>
      </c>
      <c r="J1127" s="45"/>
      <c r="K1127" s="45"/>
    </row>
    <row r="1128" spans="1:11">
      <c r="A1128" s="10" t="str">
        <f t="shared" si="71"/>
        <v/>
      </c>
      <c r="B1128" s="45"/>
      <c r="C1128" s="11" t="str">
        <f t="shared" si="68"/>
        <v/>
      </c>
      <c r="D1128" s="11" t="str">
        <f t="shared" si="69"/>
        <v/>
      </c>
      <c r="E1128" s="45"/>
      <c r="F1128" s="11" t="str">
        <f>IFERROR(VLOOKUP(E1128,Category!$D$2:$E$600,2,FALSE),"")</f>
        <v/>
      </c>
      <c r="G1128" s="45"/>
      <c r="H1128" s="73"/>
      <c r="I1128" s="18" t="str">
        <f t="shared" si="70"/>
        <v/>
      </c>
      <c r="J1128" s="45"/>
      <c r="K1128" s="45"/>
    </row>
    <row r="1129" spans="1:11">
      <c r="A1129" s="10" t="str">
        <f t="shared" si="71"/>
        <v/>
      </c>
      <c r="B1129" s="45"/>
      <c r="C1129" s="11" t="str">
        <f t="shared" si="68"/>
        <v/>
      </c>
      <c r="D1129" s="11" t="str">
        <f t="shared" si="69"/>
        <v/>
      </c>
      <c r="E1129" s="45"/>
      <c r="F1129" s="11" t="str">
        <f>IFERROR(VLOOKUP(E1129,Category!$D$2:$E$600,2,FALSE),"")</f>
        <v/>
      </c>
      <c r="G1129" s="45"/>
      <c r="H1129" s="73"/>
      <c r="I1129" s="18" t="str">
        <f t="shared" si="70"/>
        <v/>
      </c>
      <c r="J1129" s="45"/>
      <c r="K1129" s="45"/>
    </row>
    <row r="1130" spans="1:11">
      <c r="A1130" s="10" t="str">
        <f t="shared" si="71"/>
        <v/>
      </c>
      <c r="B1130" s="45"/>
      <c r="C1130" s="11" t="str">
        <f t="shared" si="68"/>
        <v/>
      </c>
      <c r="D1130" s="11" t="str">
        <f t="shared" si="69"/>
        <v/>
      </c>
      <c r="E1130" s="45"/>
      <c r="F1130" s="11" t="str">
        <f>IFERROR(VLOOKUP(E1130,Category!$D$2:$E$600,2,FALSE),"")</f>
        <v/>
      </c>
      <c r="G1130" s="45"/>
      <c r="H1130" s="73"/>
      <c r="I1130" s="18" t="str">
        <f t="shared" si="70"/>
        <v/>
      </c>
      <c r="J1130" s="45"/>
      <c r="K1130" s="45"/>
    </row>
    <row r="1131" spans="1:11">
      <c r="A1131" s="10" t="str">
        <f t="shared" si="71"/>
        <v/>
      </c>
      <c r="B1131" s="45"/>
      <c r="C1131" s="11" t="str">
        <f t="shared" si="68"/>
        <v/>
      </c>
      <c r="D1131" s="11" t="str">
        <f t="shared" si="69"/>
        <v/>
      </c>
      <c r="E1131" s="45"/>
      <c r="F1131" s="11" t="str">
        <f>IFERROR(VLOOKUP(E1131,Category!$D$2:$E$600,2,FALSE),"")</f>
        <v/>
      </c>
      <c r="G1131" s="45"/>
      <c r="H1131" s="73"/>
      <c r="I1131" s="18" t="str">
        <f t="shared" si="70"/>
        <v/>
      </c>
      <c r="J1131" s="45"/>
      <c r="K1131" s="45"/>
    </row>
    <row r="1132" spans="1:11">
      <c r="A1132" s="10" t="str">
        <f t="shared" si="71"/>
        <v/>
      </c>
      <c r="B1132" s="45"/>
      <c r="C1132" s="11" t="str">
        <f t="shared" si="68"/>
        <v/>
      </c>
      <c r="D1132" s="11" t="str">
        <f t="shared" si="69"/>
        <v/>
      </c>
      <c r="E1132" s="45"/>
      <c r="F1132" s="11" t="str">
        <f>IFERROR(VLOOKUP(E1132,Category!$D$2:$E$600,2,FALSE),"")</f>
        <v/>
      </c>
      <c r="G1132" s="45"/>
      <c r="H1132" s="73"/>
      <c r="I1132" s="18" t="str">
        <f t="shared" si="70"/>
        <v/>
      </c>
      <c r="J1132" s="45"/>
      <c r="K1132" s="45"/>
    </row>
    <row r="1133" spans="1:11">
      <c r="A1133" s="10" t="str">
        <f t="shared" si="71"/>
        <v/>
      </c>
      <c r="B1133" s="45"/>
      <c r="C1133" s="11" t="str">
        <f t="shared" si="68"/>
        <v/>
      </c>
      <c r="D1133" s="11" t="str">
        <f t="shared" si="69"/>
        <v/>
      </c>
      <c r="E1133" s="45"/>
      <c r="F1133" s="11" t="str">
        <f>IFERROR(VLOOKUP(E1133,Category!$D$2:$E$600,2,FALSE),"")</f>
        <v/>
      </c>
      <c r="G1133" s="45"/>
      <c r="H1133" s="73"/>
      <c r="I1133" s="18" t="str">
        <f t="shared" si="70"/>
        <v/>
      </c>
      <c r="J1133" s="45"/>
      <c r="K1133" s="45"/>
    </row>
    <row r="1134" spans="1:11">
      <c r="A1134" s="10" t="str">
        <f t="shared" si="71"/>
        <v/>
      </c>
      <c r="B1134" s="45"/>
      <c r="C1134" s="11" t="str">
        <f t="shared" si="68"/>
        <v/>
      </c>
      <c r="D1134" s="11" t="str">
        <f t="shared" si="69"/>
        <v/>
      </c>
      <c r="E1134" s="45"/>
      <c r="F1134" s="11" t="str">
        <f>IFERROR(VLOOKUP(E1134,Category!$D$2:$E$600,2,FALSE),"")</f>
        <v/>
      </c>
      <c r="G1134" s="45"/>
      <c r="H1134" s="73"/>
      <c r="I1134" s="18" t="str">
        <f t="shared" si="70"/>
        <v/>
      </c>
      <c r="J1134" s="45"/>
      <c r="K1134" s="45"/>
    </row>
    <row r="1135" spans="1:11">
      <c r="A1135" s="10" t="str">
        <f t="shared" si="71"/>
        <v/>
      </c>
      <c r="B1135" s="45"/>
      <c r="C1135" s="11" t="str">
        <f t="shared" si="68"/>
        <v/>
      </c>
      <c r="D1135" s="11" t="str">
        <f t="shared" si="69"/>
        <v/>
      </c>
      <c r="E1135" s="45"/>
      <c r="F1135" s="11" t="str">
        <f>IFERROR(VLOOKUP(E1135,Category!$D$2:$E$600,2,FALSE),"")</f>
        <v/>
      </c>
      <c r="G1135" s="45"/>
      <c r="H1135" s="73"/>
      <c r="I1135" s="18" t="str">
        <f t="shared" si="70"/>
        <v/>
      </c>
      <c r="J1135" s="45"/>
      <c r="K1135" s="45"/>
    </row>
    <row r="1136" spans="1:11">
      <c r="A1136" s="10" t="str">
        <f t="shared" si="71"/>
        <v/>
      </c>
      <c r="B1136" s="45"/>
      <c r="C1136" s="11" t="str">
        <f t="shared" si="68"/>
        <v/>
      </c>
      <c r="D1136" s="11" t="str">
        <f t="shared" si="69"/>
        <v/>
      </c>
      <c r="E1136" s="45"/>
      <c r="F1136" s="11" t="str">
        <f>IFERROR(VLOOKUP(E1136,Category!$D$2:$E$600,2,FALSE),"")</f>
        <v/>
      </c>
      <c r="G1136" s="45"/>
      <c r="H1136" s="73"/>
      <c r="I1136" s="18" t="str">
        <f t="shared" si="70"/>
        <v/>
      </c>
      <c r="J1136" s="45"/>
      <c r="K1136" s="45"/>
    </row>
    <row r="1137" spans="1:11">
      <c r="A1137" s="10" t="str">
        <f t="shared" si="71"/>
        <v/>
      </c>
      <c r="B1137" s="45"/>
      <c r="C1137" s="11" t="str">
        <f t="shared" si="68"/>
        <v/>
      </c>
      <c r="D1137" s="11" t="str">
        <f t="shared" si="69"/>
        <v/>
      </c>
      <c r="E1137" s="45"/>
      <c r="F1137" s="11" t="str">
        <f>IFERROR(VLOOKUP(E1137,Category!$D$2:$E$600,2,FALSE),"")</f>
        <v/>
      </c>
      <c r="G1137" s="45"/>
      <c r="H1137" s="73"/>
      <c r="I1137" s="18" t="str">
        <f t="shared" si="70"/>
        <v/>
      </c>
      <c r="J1137" s="45"/>
      <c r="K1137" s="45"/>
    </row>
    <row r="1138" spans="1:11">
      <c r="A1138" s="10" t="str">
        <f t="shared" si="71"/>
        <v/>
      </c>
      <c r="B1138" s="45"/>
      <c r="C1138" s="11" t="str">
        <f t="shared" si="68"/>
        <v/>
      </c>
      <c r="D1138" s="11" t="str">
        <f t="shared" si="69"/>
        <v/>
      </c>
      <c r="E1138" s="45"/>
      <c r="F1138" s="11" t="str">
        <f>IFERROR(VLOOKUP(E1138,Category!$D$2:$E$600,2,FALSE),"")</f>
        <v/>
      </c>
      <c r="G1138" s="45"/>
      <c r="H1138" s="73"/>
      <c r="I1138" s="18" t="str">
        <f t="shared" si="70"/>
        <v/>
      </c>
      <c r="J1138" s="45"/>
      <c r="K1138" s="45"/>
    </row>
    <row r="1139" spans="1:11">
      <c r="A1139" s="10" t="str">
        <f t="shared" si="71"/>
        <v/>
      </c>
      <c r="B1139" s="45"/>
      <c r="C1139" s="11" t="str">
        <f t="shared" si="68"/>
        <v/>
      </c>
      <c r="D1139" s="11" t="str">
        <f t="shared" si="69"/>
        <v/>
      </c>
      <c r="E1139" s="45"/>
      <c r="F1139" s="11" t="str">
        <f>IFERROR(VLOOKUP(E1139,Category!$D$2:$E$600,2,FALSE),"")</f>
        <v/>
      </c>
      <c r="G1139" s="45"/>
      <c r="H1139" s="73"/>
      <c r="I1139" s="18" t="str">
        <f t="shared" si="70"/>
        <v/>
      </c>
      <c r="J1139" s="45"/>
      <c r="K1139" s="45"/>
    </row>
    <row r="1140" spans="1:11">
      <c r="A1140" s="10" t="str">
        <f t="shared" si="71"/>
        <v/>
      </c>
      <c r="B1140" s="45"/>
      <c r="C1140" s="11" t="str">
        <f t="shared" si="68"/>
        <v/>
      </c>
      <c r="D1140" s="11" t="str">
        <f t="shared" si="69"/>
        <v/>
      </c>
      <c r="E1140" s="45"/>
      <c r="F1140" s="11" t="str">
        <f>IFERROR(VLOOKUP(E1140,Category!$D$2:$E$600,2,FALSE),"")</f>
        <v/>
      </c>
      <c r="G1140" s="45"/>
      <c r="H1140" s="73"/>
      <c r="I1140" s="18" t="str">
        <f t="shared" si="70"/>
        <v/>
      </c>
      <c r="J1140" s="45"/>
      <c r="K1140" s="45"/>
    </row>
    <row r="1141" spans="1:11">
      <c r="A1141" s="10" t="str">
        <f t="shared" si="71"/>
        <v/>
      </c>
      <c r="B1141" s="45"/>
      <c r="C1141" s="11" t="str">
        <f t="shared" si="68"/>
        <v/>
      </c>
      <c r="D1141" s="11" t="str">
        <f t="shared" si="69"/>
        <v/>
      </c>
      <c r="E1141" s="45"/>
      <c r="F1141" s="11" t="str">
        <f>IFERROR(VLOOKUP(E1141,Category!$D$2:$E$600,2,FALSE),"")</f>
        <v/>
      </c>
      <c r="G1141" s="45"/>
      <c r="H1141" s="73"/>
      <c r="I1141" s="18" t="str">
        <f t="shared" si="70"/>
        <v/>
      </c>
      <c r="J1141" s="45"/>
      <c r="K1141" s="45"/>
    </row>
    <row r="1142" spans="1:11">
      <c r="A1142" s="10" t="str">
        <f t="shared" si="71"/>
        <v/>
      </c>
      <c r="B1142" s="45"/>
      <c r="C1142" s="11" t="str">
        <f t="shared" si="68"/>
        <v/>
      </c>
      <c r="D1142" s="11" t="str">
        <f t="shared" si="69"/>
        <v/>
      </c>
      <c r="E1142" s="45"/>
      <c r="F1142" s="11" t="str">
        <f>IFERROR(VLOOKUP(E1142,Category!$D$2:$E$600,2,FALSE),"")</f>
        <v/>
      </c>
      <c r="G1142" s="45"/>
      <c r="H1142" s="73"/>
      <c r="I1142" s="18" t="str">
        <f t="shared" si="70"/>
        <v/>
      </c>
      <c r="J1142" s="45"/>
      <c r="K1142" s="45"/>
    </row>
    <row r="1143" spans="1:11">
      <c r="A1143" s="10" t="str">
        <f t="shared" si="71"/>
        <v/>
      </c>
      <c r="B1143" s="45"/>
      <c r="C1143" s="11" t="str">
        <f t="shared" si="68"/>
        <v/>
      </c>
      <c r="D1143" s="11" t="str">
        <f t="shared" si="69"/>
        <v/>
      </c>
      <c r="E1143" s="45"/>
      <c r="F1143" s="11" t="str">
        <f>IFERROR(VLOOKUP(E1143,Category!$D$2:$E$600,2,FALSE),"")</f>
        <v/>
      </c>
      <c r="G1143" s="45"/>
      <c r="H1143" s="73"/>
      <c r="I1143" s="18" t="str">
        <f t="shared" si="70"/>
        <v/>
      </c>
      <c r="J1143" s="45"/>
      <c r="K1143" s="45"/>
    </row>
    <row r="1144" spans="1:11">
      <c r="A1144" s="10" t="str">
        <f t="shared" si="71"/>
        <v/>
      </c>
      <c r="B1144" s="45"/>
      <c r="C1144" s="11" t="str">
        <f t="shared" si="68"/>
        <v/>
      </c>
      <c r="D1144" s="11" t="str">
        <f t="shared" si="69"/>
        <v/>
      </c>
      <c r="E1144" s="45"/>
      <c r="F1144" s="11" t="str">
        <f>IFERROR(VLOOKUP(E1144,Category!$D$2:$E$600,2,FALSE),"")</f>
        <v/>
      </c>
      <c r="G1144" s="45"/>
      <c r="H1144" s="73"/>
      <c r="I1144" s="18" t="str">
        <f t="shared" si="70"/>
        <v/>
      </c>
      <c r="J1144" s="45"/>
      <c r="K1144" s="45"/>
    </row>
    <row r="1145" spans="1:11">
      <c r="A1145" s="10" t="str">
        <f t="shared" si="71"/>
        <v/>
      </c>
      <c r="B1145" s="45"/>
      <c r="C1145" s="11" t="str">
        <f t="shared" si="68"/>
        <v/>
      </c>
      <c r="D1145" s="11" t="str">
        <f t="shared" si="69"/>
        <v/>
      </c>
      <c r="E1145" s="45"/>
      <c r="F1145" s="11" t="str">
        <f>IFERROR(VLOOKUP(E1145,Category!$D$2:$E$600,2,FALSE),"")</f>
        <v/>
      </c>
      <c r="G1145" s="45"/>
      <c r="H1145" s="73"/>
      <c r="I1145" s="18" t="str">
        <f t="shared" si="70"/>
        <v/>
      </c>
      <c r="J1145" s="45"/>
      <c r="K1145" s="45"/>
    </row>
    <row r="1146" spans="1:11">
      <c r="A1146" s="10" t="str">
        <f t="shared" si="71"/>
        <v/>
      </c>
      <c r="B1146" s="45"/>
      <c r="C1146" s="11" t="str">
        <f t="shared" si="68"/>
        <v/>
      </c>
      <c r="D1146" s="11" t="str">
        <f t="shared" si="69"/>
        <v/>
      </c>
      <c r="E1146" s="45"/>
      <c r="F1146" s="11" t="str">
        <f>IFERROR(VLOOKUP(E1146,Category!$D$2:$E$600,2,FALSE),"")</f>
        <v/>
      </c>
      <c r="G1146" s="45"/>
      <c r="H1146" s="73"/>
      <c r="I1146" s="18" t="str">
        <f t="shared" si="70"/>
        <v/>
      </c>
      <c r="J1146" s="45"/>
      <c r="K1146" s="45"/>
    </row>
    <row r="1147" spans="1:11">
      <c r="A1147" s="10" t="str">
        <f t="shared" si="71"/>
        <v/>
      </c>
      <c r="B1147" s="45"/>
      <c r="C1147" s="11" t="str">
        <f t="shared" si="68"/>
        <v/>
      </c>
      <c r="D1147" s="11" t="str">
        <f t="shared" si="69"/>
        <v/>
      </c>
      <c r="E1147" s="45"/>
      <c r="F1147" s="11" t="str">
        <f>IFERROR(VLOOKUP(E1147,Category!$D$2:$E$600,2,FALSE),"")</f>
        <v/>
      </c>
      <c r="G1147" s="45"/>
      <c r="H1147" s="73"/>
      <c r="I1147" s="18" t="str">
        <f t="shared" si="70"/>
        <v/>
      </c>
      <c r="J1147" s="45"/>
      <c r="K1147" s="45"/>
    </row>
    <row r="1148" spans="1:11">
      <c r="A1148" s="10" t="str">
        <f t="shared" si="71"/>
        <v/>
      </c>
      <c r="B1148" s="45"/>
      <c r="C1148" s="11" t="str">
        <f t="shared" si="68"/>
        <v/>
      </c>
      <c r="D1148" s="11" t="str">
        <f t="shared" si="69"/>
        <v/>
      </c>
      <c r="E1148" s="45"/>
      <c r="F1148" s="11" t="str">
        <f>IFERROR(VLOOKUP(E1148,Category!$D$2:$E$600,2,FALSE),"")</f>
        <v/>
      </c>
      <c r="G1148" s="45"/>
      <c r="H1148" s="73"/>
      <c r="I1148" s="18" t="str">
        <f t="shared" si="70"/>
        <v/>
      </c>
      <c r="J1148" s="45"/>
      <c r="K1148" s="45"/>
    </row>
    <row r="1149" spans="1:11">
      <c r="A1149" s="10" t="str">
        <f t="shared" si="71"/>
        <v/>
      </c>
      <c r="B1149" s="45"/>
      <c r="C1149" s="11" t="str">
        <f t="shared" si="68"/>
        <v/>
      </c>
      <c r="D1149" s="11" t="str">
        <f t="shared" si="69"/>
        <v/>
      </c>
      <c r="E1149" s="45"/>
      <c r="F1149" s="11" t="str">
        <f>IFERROR(VLOOKUP(E1149,Category!$D$2:$E$600,2,FALSE),"")</f>
        <v/>
      </c>
      <c r="G1149" s="45"/>
      <c r="H1149" s="73"/>
      <c r="I1149" s="18" t="str">
        <f t="shared" si="70"/>
        <v/>
      </c>
      <c r="J1149" s="45"/>
      <c r="K1149" s="45"/>
    </row>
    <row r="1150" spans="1:11">
      <c r="A1150" s="10" t="str">
        <f t="shared" si="71"/>
        <v/>
      </c>
      <c r="B1150" s="45"/>
      <c r="C1150" s="11" t="str">
        <f t="shared" si="68"/>
        <v/>
      </c>
      <c r="D1150" s="11" t="str">
        <f t="shared" si="69"/>
        <v/>
      </c>
      <c r="E1150" s="45"/>
      <c r="F1150" s="11" t="str">
        <f>IFERROR(VLOOKUP(E1150,Category!$D$2:$E$600,2,FALSE),"")</f>
        <v/>
      </c>
      <c r="G1150" s="45"/>
      <c r="H1150" s="73"/>
      <c r="I1150" s="18" t="str">
        <f t="shared" si="70"/>
        <v/>
      </c>
      <c r="J1150" s="45"/>
      <c r="K1150" s="45"/>
    </row>
    <row r="1151" spans="1:11">
      <c r="A1151" s="10" t="str">
        <f t="shared" si="71"/>
        <v/>
      </c>
      <c r="B1151" s="45"/>
      <c r="C1151" s="11" t="str">
        <f t="shared" si="68"/>
        <v/>
      </c>
      <c r="D1151" s="11" t="str">
        <f t="shared" si="69"/>
        <v/>
      </c>
      <c r="E1151" s="45"/>
      <c r="F1151" s="11" t="str">
        <f>IFERROR(VLOOKUP(E1151,Category!$D$2:$E$600,2,FALSE),"")</f>
        <v/>
      </c>
      <c r="G1151" s="45"/>
      <c r="H1151" s="73"/>
      <c r="I1151" s="18" t="str">
        <f t="shared" si="70"/>
        <v/>
      </c>
      <c r="J1151" s="45"/>
      <c r="K1151" s="45"/>
    </row>
    <row r="1152" spans="1:11">
      <c r="A1152" s="10" t="str">
        <f t="shared" si="71"/>
        <v/>
      </c>
      <c r="B1152" s="45"/>
      <c r="C1152" s="11" t="str">
        <f t="shared" si="68"/>
        <v/>
      </c>
      <c r="D1152" s="11" t="str">
        <f t="shared" si="69"/>
        <v/>
      </c>
      <c r="E1152" s="45"/>
      <c r="F1152" s="11" t="str">
        <f>IFERROR(VLOOKUP(E1152,Category!$D$2:$E$600,2,FALSE),"")</f>
        <v/>
      </c>
      <c r="G1152" s="45"/>
      <c r="H1152" s="73"/>
      <c r="I1152" s="18" t="str">
        <f t="shared" si="70"/>
        <v/>
      </c>
      <c r="J1152" s="45"/>
      <c r="K1152" s="45"/>
    </row>
    <row r="1153" spans="1:11">
      <c r="A1153" s="10" t="str">
        <f t="shared" si="71"/>
        <v/>
      </c>
      <c r="B1153" s="45"/>
      <c r="C1153" s="11" t="str">
        <f t="shared" si="68"/>
        <v/>
      </c>
      <c r="D1153" s="11" t="str">
        <f t="shared" si="69"/>
        <v/>
      </c>
      <c r="E1153" s="45"/>
      <c r="F1153" s="11" t="str">
        <f>IFERROR(VLOOKUP(E1153,Category!$D$2:$E$600,2,FALSE),"")</f>
        <v/>
      </c>
      <c r="G1153" s="45"/>
      <c r="H1153" s="73"/>
      <c r="I1153" s="18" t="str">
        <f t="shared" si="70"/>
        <v/>
      </c>
      <c r="J1153" s="45"/>
      <c r="K1153" s="45"/>
    </row>
    <row r="1154" spans="1:11">
      <c r="A1154" s="10" t="str">
        <f t="shared" si="71"/>
        <v/>
      </c>
      <c r="B1154" s="45"/>
      <c r="C1154" s="11" t="str">
        <f t="shared" si="68"/>
        <v/>
      </c>
      <c r="D1154" s="11" t="str">
        <f t="shared" si="69"/>
        <v/>
      </c>
      <c r="E1154" s="45"/>
      <c r="F1154" s="11" t="str">
        <f>IFERROR(VLOOKUP(E1154,Category!$D$2:$E$600,2,FALSE),"")</f>
        <v/>
      </c>
      <c r="G1154" s="45"/>
      <c r="H1154" s="73"/>
      <c r="I1154" s="18" t="str">
        <f t="shared" si="70"/>
        <v/>
      </c>
      <c r="J1154" s="45"/>
      <c r="K1154" s="45"/>
    </row>
    <row r="1155" spans="1:11">
      <c r="A1155" s="10" t="str">
        <f t="shared" si="71"/>
        <v/>
      </c>
      <c r="B1155" s="45"/>
      <c r="C1155" s="11" t="str">
        <f t="shared" ref="C1155:C1218" si="72">IF(B1155=0,"",TEXT(B1155,"mmmm"))</f>
        <v/>
      </c>
      <c r="D1155" s="11" t="str">
        <f t="shared" ref="D1155:D1218" si="73">IF(B1155=0,"",TEXT(B1155,"yyyy"))</f>
        <v/>
      </c>
      <c r="E1155" s="45"/>
      <c r="F1155" s="11" t="str">
        <f>IFERROR(VLOOKUP(E1155,Category!$D$2:$E$600,2,FALSE),"")</f>
        <v/>
      </c>
      <c r="G1155" s="45"/>
      <c r="H1155" s="73"/>
      <c r="I1155" s="18" t="str">
        <f t="shared" ref="I1155:I1218" si="74">IF(G1155*H1155=0,"",G1155*H1155)</f>
        <v/>
      </c>
      <c r="J1155" s="45"/>
      <c r="K1155" s="45"/>
    </row>
    <row r="1156" spans="1:11">
      <c r="A1156" s="10" t="str">
        <f t="shared" ref="A1156:A1219" si="75">IF(E1156&gt;0,A1155+1,"")</f>
        <v/>
      </c>
      <c r="B1156" s="45"/>
      <c r="C1156" s="11" t="str">
        <f t="shared" si="72"/>
        <v/>
      </c>
      <c r="D1156" s="11" t="str">
        <f t="shared" si="73"/>
        <v/>
      </c>
      <c r="E1156" s="45"/>
      <c r="F1156" s="11" t="str">
        <f>IFERROR(VLOOKUP(E1156,Category!$D$2:$E$600,2,FALSE),"")</f>
        <v/>
      </c>
      <c r="G1156" s="45"/>
      <c r="H1156" s="73"/>
      <c r="I1156" s="18" t="str">
        <f t="shared" si="74"/>
        <v/>
      </c>
      <c r="J1156" s="45"/>
      <c r="K1156" s="45"/>
    </row>
    <row r="1157" spans="1:11">
      <c r="A1157" s="10" t="str">
        <f t="shared" si="75"/>
        <v/>
      </c>
      <c r="B1157" s="45"/>
      <c r="C1157" s="11" t="str">
        <f t="shared" si="72"/>
        <v/>
      </c>
      <c r="D1157" s="11" t="str">
        <f t="shared" si="73"/>
        <v/>
      </c>
      <c r="E1157" s="45"/>
      <c r="F1157" s="11" t="str">
        <f>IFERROR(VLOOKUP(E1157,Category!$D$2:$E$600,2,FALSE),"")</f>
        <v/>
      </c>
      <c r="G1157" s="45"/>
      <c r="H1157" s="73"/>
      <c r="I1157" s="18" t="str">
        <f t="shared" si="74"/>
        <v/>
      </c>
      <c r="J1157" s="45"/>
      <c r="K1157" s="45"/>
    </row>
    <row r="1158" spans="1:11">
      <c r="A1158" s="10" t="str">
        <f t="shared" si="75"/>
        <v/>
      </c>
      <c r="B1158" s="45"/>
      <c r="C1158" s="11" t="str">
        <f t="shared" si="72"/>
        <v/>
      </c>
      <c r="D1158" s="11" t="str">
        <f t="shared" si="73"/>
        <v/>
      </c>
      <c r="E1158" s="45"/>
      <c r="F1158" s="11" t="str">
        <f>IFERROR(VLOOKUP(E1158,Category!$D$2:$E$600,2,FALSE),"")</f>
        <v/>
      </c>
      <c r="G1158" s="45"/>
      <c r="H1158" s="73"/>
      <c r="I1158" s="18" t="str">
        <f t="shared" si="74"/>
        <v/>
      </c>
      <c r="J1158" s="45"/>
      <c r="K1158" s="45"/>
    </row>
    <row r="1159" spans="1:11">
      <c r="A1159" s="10" t="str">
        <f t="shared" si="75"/>
        <v/>
      </c>
      <c r="B1159" s="45"/>
      <c r="C1159" s="11" t="str">
        <f t="shared" si="72"/>
        <v/>
      </c>
      <c r="D1159" s="11" t="str">
        <f t="shared" si="73"/>
        <v/>
      </c>
      <c r="E1159" s="45"/>
      <c r="F1159" s="11" t="str">
        <f>IFERROR(VLOOKUP(E1159,Category!$D$2:$E$600,2,FALSE),"")</f>
        <v/>
      </c>
      <c r="G1159" s="45"/>
      <c r="H1159" s="73"/>
      <c r="I1159" s="18" t="str">
        <f t="shared" si="74"/>
        <v/>
      </c>
      <c r="J1159" s="45"/>
      <c r="K1159" s="45"/>
    </row>
    <row r="1160" spans="1:11">
      <c r="A1160" s="10" t="str">
        <f t="shared" si="75"/>
        <v/>
      </c>
      <c r="B1160" s="45"/>
      <c r="C1160" s="11" t="str">
        <f t="shared" si="72"/>
        <v/>
      </c>
      <c r="D1160" s="11" t="str">
        <f t="shared" si="73"/>
        <v/>
      </c>
      <c r="E1160" s="45"/>
      <c r="F1160" s="11" t="str">
        <f>IFERROR(VLOOKUP(E1160,Category!$D$2:$E$600,2,FALSE),"")</f>
        <v/>
      </c>
      <c r="G1160" s="45"/>
      <c r="H1160" s="73"/>
      <c r="I1160" s="18" t="str">
        <f t="shared" si="74"/>
        <v/>
      </c>
      <c r="J1160" s="45"/>
      <c r="K1160" s="45"/>
    </row>
    <row r="1161" spans="1:11">
      <c r="A1161" s="10" t="str">
        <f t="shared" si="75"/>
        <v/>
      </c>
      <c r="B1161" s="45"/>
      <c r="C1161" s="11" t="str">
        <f t="shared" si="72"/>
        <v/>
      </c>
      <c r="D1161" s="11" t="str">
        <f t="shared" si="73"/>
        <v/>
      </c>
      <c r="E1161" s="45"/>
      <c r="F1161" s="11" t="str">
        <f>IFERROR(VLOOKUP(E1161,Category!$D$2:$E$600,2,FALSE),"")</f>
        <v/>
      </c>
      <c r="G1161" s="45"/>
      <c r="H1161" s="73"/>
      <c r="I1161" s="18" t="str">
        <f t="shared" si="74"/>
        <v/>
      </c>
      <c r="J1161" s="45"/>
      <c r="K1161" s="45"/>
    </row>
    <row r="1162" spans="1:11">
      <c r="A1162" s="10" t="str">
        <f t="shared" si="75"/>
        <v/>
      </c>
      <c r="B1162" s="45"/>
      <c r="C1162" s="11" t="str">
        <f t="shared" si="72"/>
        <v/>
      </c>
      <c r="D1162" s="11" t="str">
        <f t="shared" si="73"/>
        <v/>
      </c>
      <c r="E1162" s="45"/>
      <c r="F1162" s="11" t="str">
        <f>IFERROR(VLOOKUP(E1162,Category!$D$2:$E$600,2,FALSE),"")</f>
        <v/>
      </c>
      <c r="G1162" s="45"/>
      <c r="H1162" s="73"/>
      <c r="I1162" s="18" t="str">
        <f t="shared" si="74"/>
        <v/>
      </c>
      <c r="J1162" s="45"/>
      <c r="K1162" s="45"/>
    </row>
    <row r="1163" spans="1:11">
      <c r="A1163" s="10" t="str">
        <f t="shared" si="75"/>
        <v/>
      </c>
      <c r="B1163" s="45"/>
      <c r="C1163" s="11" t="str">
        <f t="shared" si="72"/>
        <v/>
      </c>
      <c r="D1163" s="11" t="str">
        <f t="shared" si="73"/>
        <v/>
      </c>
      <c r="E1163" s="45"/>
      <c r="F1163" s="11" t="str">
        <f>IFERROR(VLOOKUP(E1163,Category!$D$2:$E$600,2,FALSE),"")</f>
        <v/>
      </c>
      <c r="G1163" s="45"/>
      <c r="H1163" s="73"/>
      <c r="I1163" s="18" t="str">
        <f t="shared" si="74"/>
        <v/>
      </c>
      <c r="J1163" s="45"/>
      <c r="K1163" s="45"/>
    </row>
    <row r="1164" spans="1:11">
      <c r="A1164" s="10" t="str">
        <f t="shared" si="75"/>
        <v/>
      </c>
      <c r="B1164" s="45"/>
      <c r="C1164" s="11" t="str">
        <f t="shared" si="72"/>
        <v/>
      </c>
      <c r="D1164" s="11" t="str">
        <f t="shared" si="73"/>
        <v/>
      </c>
      <c r="E1164" s="45"/>
      <c r="F1164" s="11" t="str">
        <f>IFERROR(VLOOKUP(E1164,Category!$D$2:$E$600,2,FALSE),"")</f>
        <v/>
      </c>
      <c r="G1164" s="45"/>
      <c r="H1164" s="73"/>
      <c r="I1164" s="18" t="str">
        <f t="shared" si="74"/>
        <v/>
      </c>
      <c r="J1164" s="45"/>
      <c r="K1164" s="45"/>
    </row>
    <row r="1165" spans="1:11">
      <c r="A1165" s="10" t="str">
        <f t="shared" si="75"/>
        <v/>
      </c>
      <c r="B1165" s="45"/>
      <c r="C1165" s="11" t="str">
        <f t="shared" si="72"/>
        <v/>
      </c>
      <c r="D1165" s="11" t="str">
        <f t="shared" si="73"/>
        <v/>
      </c>
      <c r="E1165" s="45"/>
      <c r="F1165" s="11" t="str">
        <f>IFERROR(VLOOKUP(E1165,Category!$D$2:$E$600,2,FALSE),"")</f>
        <v/>
      </c>
      <c r="G1165" s="45"/>
      <c r="H1165" s="73"/>
      <c r="I1165" s="18" t="str">
        <f t="shared" si="74"/>
        <v/>
      </c>
      <c r="J1165" s="45"/>
      <c r="K1165" s="45"/>
    </row>
    <row r="1166" spans="1:11">
      <c r="A1166" s="10" t="str">
        <f t="shared" si="75"/>
        <v/>
      </c>
      <c r="B1166" s="45"/>
      <c r="C1166" s="11" t="str">
        <f t="shared" si="72"/>
        <v/>
      </c>
      <c r="D1166" s="11" t="str">
        <f t="shared" si="73"/>
        <v/>
      </c>
      <c r="E1166" s="45"/>
      <c r="F1166" s="11" t="str">
        <f>IFERROR(VLOOKUP(E1166,Category!$D$2:$E$600,2,FALSE),"")</f>
        <v/>
      </c>
      <c r="G1166" s="45"/>
      <c r="H1166" s="73"/>
      <c r="I1166" s="18" t="str">
        <f t="shared" si="74"/>
        <v/>
      </c>
      <c r="J1166" s="45"/>
      <c r="K1166" s="45"/>
    </row>
    <row r="1167" spans="1:11">
      <c r="A1167" s="10" t="str">
        <f t="shared" si="75"/>
        <v/>
      </c>
      <c r="B1167" s="45"/>
      <c r="C1167" s="11" t="str">
        <f t="shared" si="72"/>
        <v/>
      </c>
      <c r="D1167" s="11" t="str">
        <f t="shared" si="73"/>
        <v/>
      </c>
      <c r="E1167" s="45"/>
      <c r="F1167" s="11" t="str">
        <f>IFERROR(VLOOKUP(E1167,Category!$D$2:$E$600,2,FALSE),"")</f>
        <v/>
      </c>
      <c r="G1167" s="45"/>
      <c r="H1167" s="73"/>
      <c r="I1167" s="18" t="str">
        <f t="shared" si="74"/>
        <v/>
      </c>
      <c r="J1167" s="45"/>
      <c r="K1167" s="45"/>
    </row>
    <row r="1168" spans="1:11">
      <c r="A1168" s="10" t="str">
        <f t="shared" si="75"/>
        <v/>
      </c>
      <c r="B1168" s="45"/>
      <c r="C1168" s="11" t="str">
        <f t="shared" si="72"/>
        <v/>
      </c>
      <c r="D1168" s="11" t="str">
        <f t="shared" si="73"/>
        <v/>
      </c>
      <c r="E1168" s="45"/>
      <c r="F1168" s="11" t="str">
        <f>IFERROR(VLOOKUP(E1168,Category!$D$2:$E$600,2,FALSE),"")</f>
        <v/>
      </c>
      <c r="G1168" s="45"/>
      <c r="H1168" s="73"/>
      <c r="I1168" s="18" t="str">
        <f t="shared" si="74"/>
        <v/>
      </c>
      <c r="J1168" s="45"/>
      <c r="K1168" s="45"/>
    </row>
    <row r="1169" spans="1:11">
      <c r="A1169" s="10" t="str">
        <f t="shared" si="75"/>
        <v/>
      </c>
      <c r="B1169" s="45"/>
      <c r="C1169" s="11" t="str">
        <f t="shared" si="72"/>
        <v/>
      </c>
      <c r="D1169" s="11" t="str">
        <f t="shared" si="73"/>
        <v/>
      </c>
      <c r="E1169" s="45"/>
      <c r="F1169" s="11" t="str">
        <f>IFERROR(VLOOKUP(E1169,Category!$D$2:$E$600,2,FALSE),"")</f>
        <v/>
      </c>
      <c r="G1169" s="45"/>
      <c r="H1169" s="73"/>
      <c r="I1169" s="18" t="str">
        <f t="shared" si="74"/>
        <v/>
      </c>
      <c r="J1169" s="45"/>
      <c r="K1169" s="45"/>
    </row>
    <row r="1170" spans="1:11">
      <c r="A1170" s="10" t="str">
        <f t="shared" si="75"/>
        <v/>
      </c>
      <c r="B1170" s="45"/>
      <c r="C1170" s="11" t="str">
        <f t="shared" si="72"/>
        <v/>
      </c>
      <c r="D1170" s="11" t="str">
        <f t="shared" si="73"/>
        <v/>
      </c>
      <c r="E1170" s="45"/>
      <c r="F1170" s="11" t="str">
        <f>IFERROR(VLOOKUP(E1170,Category!$D$2:$E$600,2,FALSE),"")</f>
        <v/>
      </c>
      <c r="G1170" s="45"/>
      <c r="H1170" s="73"/>
      <c r="I1170" s="18" t="str">
        <f t="shared" si="74"/>
        <v/>
      </c>
      <c r="J1170" s="45"/>
      <c r="K1170" s="45"/>
    </row>
    <row r="1171" spans="1:11">
      <c r="A1171" s="10" t="str">
        <f t="shared" si="75"/>
        <v/>
      </c>
      <c r="B1171" s="45"/>
      <c r="C1171" s="11" t="str">
        <f t="shared" si="72"/>
        <v/>
      </c>
      <c r="D1171" s="11" t="str">
        <f t="shared" si="73"/>
        <v/>
      </c>
      <c r="E1171" s="45"/>
      <c r="F1171" s="11" t="str">
        <f>IFERROR(VLOOKUP(E1171,Category!$D$2:$E$600,2,FALSE),"")</f>
        <v/>
      </c>
      <c r="G1171" s="45"/>
      <c r="H1171" s="73"/>
      <c r="I1171" s="18" t="str">
        <f t="shared" si="74"/>
        <v/>
      </c>
      <c r="J1171" s="45"/>
      <c r="K1171" s="45"/>
    </row>
    <row r="1172" spans="1:11">
      <c r="A1172" s="10" t="str">
        <f t="shared" si="75"/>
        <v/>
      </c>
      <c r="B1172" s="45"/>
      <c r="C1172" s="11" t="str">
        <f t="shared" si="72"/>
        <v/>
      </c>
      <c r="D1172" s="11" t="str">
        <f t="shared" si="73"/>
        <v/>
      </c>
      <c r="E1172" s="45"/>
      <c r="F1172" s="11" t="str">
        <f>IFERROR(VLOOKUP(E1172,Category!$D$2:$E$600,2,FALSE),"")</f>
        <v/>
      </c>
      <c r="G1172" s="45"/>
      <c r="H1172" s="73"/>
      <c r="I1172" s="18" t="str">
        <f t="shared" si="74"/>
        <v/>
      </c>
      <c r="J1172" s="45"/>
      <c r="K1172" s="45"/>
    </row>
    <row r="1173" spans="1:11">
      <c r="A1173" s="10" t="str">
        <f t="shared" si="75"/>
        <v/>
      </c>
      <c r="B1173" s="45"/>
      <c r="C1173" s="11" t="str">
        <f t="shared" si="72"/>
        <v/>
      </c>
      <c r="D1173" s="11" t="str">
        <f t="shared" si="73"/>
        <v/>
      </c>
      <c r="E1173" s="45"/>
      <c r="F1173" s="11" t="str">
        <f>IFERROR(VLOOKUP(E1173,Category!$D$2:$E$600,2,FALSE),"")</f>
        <v/>
      </c>
      <c r="G1173" s="45"/>
      <c r="H1173" s="73"/>
      <c r="I1173" s="18" t="str">
        <f t="shared" si="74"/>
        <v/>
      </c>
      <c r="J1173" s="45"/>
      <c r="K1173" s="45"/>
    </row>
    <row r="1174" spans="1:11">
      <c r="A1174" s="10" t="str">
        <f t="shared" si="75"/>
        <v/>
      </c>
      <c r="B1174" s="45"/>
      <c r="C1174" s="11" t="str">
        <f t="shared" si="72"/>
        <v/>
      </c>
      <c r="D1174" s="11" t="str">
        <f t="shared" si="73"/>
        <v/>
      </c>
      <c r="E1174" s="45"/>
      <c r="F1174" s="11" t="str">
        <f>IFERROR(VLOOKUP(E1174,Category!$D$2:$E$600,2,FALSE),"")</f>
        <v/>
      </c>
      <c r="G1174" s="45"/>
      <c r="H1174" s="73"/>
      <c r="I1174" s="18" t="str">
        <f t="shared" si="74"/>
        <v/>
      </c>
      <c r="J1174" s="45"/>
      <c r="K1174" s="45"/>
    </row>
    <row r="1175" spans="1:11">
      <c r="A1175" s="10" t="str">
        <f t="shared" si="75"/>
        <v/>
      </c>
      <c r="B1175" s="45"/>
      <c r="C1175" s="11" t="str">
        <f t="shared" si="72"/>
        <v/>
      </c>
      <c r="D1175" s="11" t="str">
        <f t="shared" si="73"/>
        <v/>
      </c>
      <c r="E1175" s="45"/>
      <c r="F1175" s="11" t="str">
        <f>IFERROR(VLOOKUP(E1175,Category!$D$2:$E$600,2,FALSE),"")</f>
        <v/>
      </c>
      <c r="G1175" s="45"/>
      <c r="H1175" s="73"/>
      <c r="I1175" s="18" t="str">
        <f t="shared" si="74"/>
        <v/>
      </c>
      <c r="J1175" s="45"/>
      <c r="K1175" s="45"/>
    </row>
    <row r="1176" spans="1:11">
      <c r="A1176" s="10" t="str">
        <f t="shared" si="75"/>
        <v/>
      </c>
      <c r="B1176" s="45"/>
      <c r="C1176" s="11" t="str">
        <f t="shared" si="72"/>
        <v/>
      </c>
      <c r="D1176" s="11" t="str">
        <f t="shared" si="73"/>
        <v/>
      </c>
      <c r="E1176" s="45"/>
      <c r="F1176" s="11" t="str">
        <f>IFERROR(VLOOKUP(E1176,Category!$D$2:$E$600,2,FALSE),"")</f>
        <v/>
      </c>
      <c r="G1176" s="45"/>
      <c r="H1176" s="73"/>
      <c r="I1176" s="18" t="str">
        <f t="shared" si="74"/>
        <v/>
      </c>
      <c r="J1176" s="45"/>
      <c r="K1176" s="45"/>
    </row>
    <row r="1177" spans="1:11">
      <c r="A1177" s="10" t="str">
        <f t="shared" si="75"/>
        <v/>
      </c>
      <c r="B1177" s="45"/>
      <c r="C1177" s="11" t="str">
        <f t="shared" si="72"/>
        <v/>
      </c>
      <c r="D1177" s="11" t="str">
        <f t="shared" si="73"/>
        <v/>
      </c>
      <c r="E1177" s="45"/>
      <c r="F1177" s="11" t="str">
        <f>IFERROR(VLOOKUP(E1177,Category!$D$2:$E$600,2,FALSE),"")</f>
        <v/>
      </c>
      <c r="G1177" s="45"/>
      <c r="H1177" s="73"/>
      <c r="I1177" s="18" t="str">
        <f t="shared" si="74"/>
        <v/>
      </c>
      <c r="J1177" s="45"/>
      <c r="K1177" s="45"/>
    </row>
    <row r="1178" spans="1:11">
      <c r="A1178" s="10" t="str">
        <f t="shared" si="75"/>
        <v/>
      </c>
      <c r="B1178" s="45"/>
      <c r="C1178" s="11" t="str">
        <f t="shared" si="72"/>
        <v/>
      </c>
      <c r="D1178" s="11" t="str">
        <f t="shared" si="73"/>
        <v/>
      </c>
      <c r="E1178" s="45"/>
      <c r="F1178" s="11" t="str">
        <f>IFERROR(VLOOKUP(E1178,Category!$D$2:$E$600,2,FALSE),"")</f>
        <v/>
      </c>
      <c r="G1178" s="45"/>
      <c r="H1178" s="73"/>
      <c r="I1178" s="18" t="str">
        <f t="shared" si="74"/>
        <v/>
      </c>
      <c r="J1178" s="45"/>
      <c r="K1178" s="45"/>
    </row>
    <row r="1179" spans="1:11">
      <c r="A1179" s="10" t="str">
        <f t="shared" si="75"/>
        <v/>
      </c>
      <c r="B1179" s="45"/>
      <c r="C1179" s="11" t="str">
        <f t="shared" si="72"/>
        <v/>
      </c>
      <c r="D1179" s="11" t="str">
        <f t="shared" si="73"/>
        <v/>
      </c>
      <c r="E1179" s="45"/>
      <c r="F1179" s="11" t="str">
        <f>IFERROR(VLOOKUP(E1179,Category!$D$2:$E$600,2,FALSE),"")</f>
        <v/>
      </c>
      <c r="G1179" s="45"/>
      <c r="H1179" s="73"/>
      <c r="I1179" s="18" t="str">
        <f t="shared" si="74"/>
        <v/>
      </c>
      <c r="J1179" s="45"/>
      <c r="K1179" s="45"/>
    </row>
    <row r="1180" spans="1:11">
      <c r="A1180" s="10" t="str">
        <f t="shared" si="75"/>
        <v/>
      </c>
      <c r="B1180" s="45"/>
      <c r="C1180" s="11" t="str">
        <f t="shared" si="72"/>
        <v/>
      </c>
      <c r="D1180" s="11" t="str">
        <f t="shared" si="73"/>
        <v/>
      </c>
      <c r="E1180" s="45"/>
      <c r="F1180" s="11" t="str">
        <f>IFERROR(VLOOKUP(E1180,Category!$D$2:$E$600,2,FALSE),"")</f>
        <v/>
      </c>
      <c r="G1180" s="45"/>
      <c r="H1180" s="73"/>
      <c r="I1180" s="18" t="str">
        <f t="shared" si="74"/>
        <v/>
      </c>
      <c r="J1180" s="45"/>
      <c r="K1180" s="45"/>
    </row>
    <row r="1181" spans="1:11">
      <c r="A1181" s="10" t="str">
        <f t="shared" si="75"/>
        <v/>
      </c>
      <c r="B1181" s="45"/>
      <c r="C1181" s="11" t="str">
        <f t="shared" si="72"/>
        <v/>
      </c>
      <c r="D1181" s="11" t="str">
        <f t="shared" si="73"/>
        <v/>
      </c>
      <c r="E1181" s="45"/>
      <c r="F1181" s="11" t="str">
        <f>IFERROR(VLOOKUP(E1181,Category!$D$2:$E$600,2,FALSE),"")</f>
        <v/>
      </c>
      <c r="G1181" s="45"/>
      <c r="H1181" s="73"/>
      <c r="I1181" s="18" t="str">
        <f t="shared" si="74"/>
        <v/>
      </c>
      <c r="J1181" s="45"/>
      <c r="K1181" s="45"/>
    </row>
    <row r="1182" spans="1:11">
      <c r="A1182" s="10" t="str">
        <f t="shared" si="75"/>
        <v/>
      </c>
      <c r="B1182" s="45"/>
      <c r="C1182" s="11" t="str">
        <f t="shared" si="72"/>
        <v/>
      </c>
      <c r="D1182" s="11" t="str">
        <f t="shared" si="73"/>
        <v/>
      </c>
      <c r="E1182" s="45"/>
      <c r="F1182" s="11" t="str">
        <f>IFERROR(VLOOKUP(E1182,Category!$D$2:$E$600,2,FALSE),"")</f>
        <v/>
      </c>
      <c r="G1182" s="45"/>
      <c r="H1182" s="73"/>
      <c r="I1182" s="18" t="str">
        <f t="shared" si="74"/>
        <v/>
      </c>
      <c r="J1182" s="45"/>
      <c r="K1182" s="45"/>
    </row>
    <row r="1183" spans="1:11">
      <c r="A1183" s="10" t="str">
        <f t="shared" si="75"/>
        <v/>
      </c>
      <c r="B1183" s="45"/>
      <c r="C1183" s="11" t="str">
        <f t="shared" si="72"/>
        <v/>
      </c>
      <c r="D1183" s="11" t="str">
        <f t="shared" si="73"/>
        <v/>
      </c>
      <c r="E1183" s="45"/>
      <c r="F1183" s="11" t="str">
        <f>IFERROR(VLOOKUP(E1183,Category!$D$2:$E$600,2,FALSE),"")</f>
        <v/>
      </c>
      <c r="G1183" s="45"/>
      <c r="H1183" s="73"/>
      <c r="I1183" s="18" t="str">
        <f t="shared" si="74"/>
        <v/>
      </c>
      <c r="J1183" s="45"/>
      <c r="K1183" s="45"/>
    </row>
    <row r="1184" spans="1:11">
      <c r="A1184" s="10" t="str">
        <f t="shared" si="75"/>
        <v/>
      </c>
      <c r="B1184" s="45"/>
      <c r="C1184" s="11" t="str">
        <f t="shared" si="72"/>
        <v/>
      </c>
      <c r="D1184" s="11" t="str">
        <f t="shared" si="73"/>
        <v/>
      </c>
      <c r="E1184" s="45"/>
      <c r="F1184" s="11" t="str">
        <f>IFERROR(VLOOKUP(E1184,Category!$D$2:$E$600,2,FALSE),"")</f>
        <v/>
      </c>
      <c r="G1184" s="45"/>
      <c r="H1184" s="73"/>
      <c r="I1184" s="18" t="str">
        <f t="shared" si="74"/>
        <v/>
      </c>
      <c r="J1184" s="45"/>
      <c r="K1184" s="45"/>
    </row>
    <row r="1185" spans="1:11">
      <c r="A1185" s="10" t="str">
        <f t="shared" si="75"/>
        <v/>
      </c>
      <c r="B1185" s="45"/>
      <c r="C1185" s="11" t="str">
        <f t="shared" si="72"/>
        <v/>
      </c>
      <c r="D1185" s="11" t="str">
        <f t="shared" si="73"/>
        <v/>
      </c>
      <c r="E1185" s="45"/>
      <c r="F1185" s="11" t="str">
        <f>IFERROR(VLOOKUP(E1185,Category!$D$2:$E$600,2,FALSE),"")</f>
        <v/>
      </c>
      <c r="G1185" s="45"/>
      <c r="H1185" s="73"/>
      <c r="I1185" s="18" t="str">
        <f t="shared" si="74"/>
        <v/>
      </c>
      <c r="J1185" s="45"/>
      <c r="K1185" s="45"/>
    </row>
    <row r="1186" spans="1:11">
      <c r="A1186" s="10" t="str">
        <f t="shared" si="75"/>
        <v/>
      </c>
      <c r="B1186" s="45"/>
      <c r="C1186" s="11" t="str">
        <f t="shared" si="72"/>
        <v/>
      </c>
      <c r="D1186" s="11" t="str">
        <f t="shared" si="73"/>
        <v/>
      </c>
      <c r="E1186" s="45"/>
      <c r="F1186" s="11" t="str">
        <f>IFERROR(VLOOKUP(E1186,Category!$D$2:$E$600,2,FALSE),"")</f>
        <v/>
      </c>
      <c r="G1186" s="45"/>
      <c r="H1186" s="73"/>
      <c r="I1186" s="18" t="str">
        <f t="shared" si="74"/>
        <v/>
      </c>
      <c r="J1186" s="45"/>
      <c r="K1186" s="45"/>
    </row>
    <row r="1187" spans="1:11">
      <c r="A1187" s="10" t="str">
        <f t="shared" si="75"/>
        <v/>
      </c>
      <c r="B1187" s="45"/>
      <c r="C1187" s="11" t="str">
        <f t="shared" si="72"/>
        <v/>
      </c>
      <c r="D1187" s="11" t="str">
        <f t="shared" si="73"/>
        <v/>
      </c>
      <c r="E1187" s="45"/>
      <c r="F1187" s="11" t="str">
        <f>IFERROR(VLOOKUP(E1187,Category!$D$2:$E$600,2,FALSE),"")</f>
        <v/>
      </c>
      <c r="G1187" s="45"/>
      <c r="H1187" s="73"/>
      <c r="I1187" s="18" t="str">
        <f t="shared" si="74"/>
        <v/>
      </c>
      <c r="J1187" s="45"/>
      <c r="K1187" s="45"/>
    </row>
    <row r="1188" spans="1:11">
      <c r="A1188" s="10" t="str">
        <f t="shared" si="75"/>
        <v/>
      </c>
      <c r="B1188" s="45"/>
      <c r="C1188" s="11" t="str">
        <f t="shared" si="72"/>
        <v/>
      </c>
      <c r="D1188" s="11" t="str">
        <f t="shared" si="73"/>
        <v/>
      </c>
      <c r="E1188" s="45"/>
      <c r="F1188" s="11" t="str">
        <f>IFERROR(VLOOKUP(E1188,Category!$D$2:$E$600,2,FALSE),"")</f>
        <v/>
      </c>
      <c r="G1188" s="45"/>
      <c r="H1188" s="73"/>
      <c r="I1188" s="18" t="str">
        <f t="shared" si="74"/>
        <v/>
      </c>
      <c r="J1188" s="45"/>
      <c r="K1188" s="45"/>
    </row>
    <row r="1189" spans="1:11">
      <c r="A1189" s="10" t="str">
        <f t="shared" si="75"/>
        <v/>
      </c>
      <c r="B1189" s="45"/>
      <c r="C1189" s="11" t="str">
        <f t="shared" si="72"/>
        <v/>
      </c>
      <c r="D1189" s="11" t="str">
        <f t="shared" si="73"/>
        <v/>
      </c>
      <c r="E1189" s="45"/>
      <c r="F1189" s="11" t="str">
        <f>IFERROR(VLOOKUP(E1189,Category!$D$2:$E$600,2,FALSE),"")</f>
        <v/>
      </c>
      <c r="G1189" s="45"/>
      <c r="H1189" s="73"/>
      <c r="I1189" s="18" t="str">
        <f t="shared" si="74"/>
        <v/>
      </c>
      <c r="J1189" s="45"/>
      <c r="K1189" s="45"/>
    </row>
    <row r="1190" spans="1:11">
      <c r="A1190" s="10" t="str">
        <f t="shared" si="75"/>
        <v/>
      </c>
      <c r="B1190" s="45"/>
      <c r="C1190" s="11" t="str">
        <f t="shared" si="72"/>
        <v/>
      </c>
      <c r="D1190" s="11" t="str">
        <f t="shared" si="73"/>
        <v/>
      </c>
      <c r="E1190" s="45"/>
      <c r="F1190" s="11" t="str">
        <f>IFERROR(VLOOKUP(E1190,Category!$D$2:$E$600,2,FALSE),"")</f>
        <v/>
      </c>
      <c r="G1190" s="45"/>
      <c r="H1190" s="73"/>
      <c r="I1190" s="18" t="str">
        <f t="shared" si="74"/>
        <v/>
      </c>
      <c r="J1190" s="45"/>
      <c r="K1190" s="45"/>
    </row>
    <row r="1191" spans="1:11">
      <c r="A1191" s="10" t="str">
        <f t="shared" si="75"/>
        <v/>
      </c>
      <c r="B1191" s="45"/>
      <c r="C1191" s="11" t="str">
        <f t="shared" si="72"/>
        <v/>
      </c>
      <c r="D1191" s="11" t="str">
        <f t="shared" si="73"/>
        <v/>
      </c>
      <c r="E1191" s="45"/>
      <c r="F1191" s="11" t="str">
        <f>IFERROR(VLOOKUP(E1191,Category!$D$2:$E$600,2,FALSE),"")</f>
        <v/>
      </c>
      <c r="G1191" s="45"/>
      <c r="H1191" s="73"/>
      <c r="I1191" s="18" t="str">
        <f t="shared" si="74"/>
        <v/>
      </c>
      <c r="J1191" s="45"/>
      <c r="K1191" s="45"/>
    </row>
    <row r="1192" spans="1:11">
      <c r="A1192" s="10" t="str">
        <f t="shared" si="75"/>
        <v/>
      </c>
      <c r="B1192" s="45"/>
      <c r="C1192" s="11" t="str">
        <f t="shared" si="72"/>
        <v/>
      </c>
      <c r="D1192" s="11" t="str">
        <f t="shared" si="73"/>
        <v/>
      </c>
      <c r="E1192" s="45"/>
      <c r="F1192" s="11" t="str">
        <f>IFERROR(VLOOKUP(E1192,Category!$D$2:$E$600,2,FALSE),"")</f>
        <v/>
      </c>
      <c r="G1192" s="45"/>
      <c r="H1192" s="73"/>
      <c r="I1192" s="18" t="str">
        <f t="shared" si="74"/>
        <v/>
      </c>
      <c r="J1192" s="45"/>
      <c r="K1192" s="45"/>
    </row>
    <row r="1193" spans="1:11">
      <c r="A1193" s="10" t="str">
        <f t="shared" si="75"/>
        <v/>
      </c>
      <c r="B1193" s="45"/>
      <c r="C1193" s="11" t="str">
        <f t="shared" si="72"/>
        <v/>
      </c>
      <c r="D1193" s="11" t="str">
        <f t="shared" si="73"/>
        <v/>
      </c>
      <c r="E1193" s="45"/>
      <c r="F1193" s="11" t="str">
        <f>IFERROR(VLOOKUP(E1193,Category!$D$2:$E$600,2,FALSE),"")</f>
        <v/>
      </c>
      <c r="G1193" s="45"/>
      <c r="H1193" s="73"/>
      <c r="I1193" s="18" t="str">
        <f t="shared" si="74"/>
        <v/>
      </c>
      <c r="J1193" s="45"/>
      <c r="K1193" s="45"/>
    </row>
    <row r="1194" spans="1:11">
      <c r="A1194" s="10" t="str">
        <f t="shared" si="75"/>
        <v/>
      </c>
      <c r="B1194" s="45"/>
      <c r="C1194" s="11" t="str">
        <f t="shared" si="72"/>
        <v/>
      </c>
      <c r="D1194" s="11" t="str">
        <f t="shared" si="73"/>
        <v/>
      </c>
      <c r="E1194" s="45"/>
      <c r="F1194" s="11" t="str">
        <f>IFERROR(VLOOKUP(E1194,Category!$D$2:$E$600,2,FALSE),"")</f>
        <v/>
      </c>
      <c r="G1194" s="45"/>
      <c r="H1194" s="73"/>
      <c r="I1194" s="18" t="str">
        <f t="shared" si="74"/>
        <v/>
      </c>
      <c r="J1194" s="45"/>
      <c r="K1194" s="45"/>
    </row>
    <row r="1195" spans="1:11">
      <c r="A1195" s="10" t="str">
        <f t="shared" si="75"/>
        <v/>
      </c>
      <c r="B1195" s="45"/>
      <c r="C1195" s="11" t="str">
        <f t="shared" si="72"/>
        <v/>
      </c>
      <c r="D1195" s="11" t="str">
        <f t="shared" si="73"/>
        <v/>
      </c>
      <c r="E1195" s="45"/>
      <c r="F1195" s="11" t="str">
        <f>IFERROR(VLOOKUP(E1195,Category!$D$2:$E$600,2,FALSE),"")</f>
        <v/>
      </c>
      <c r="G1195" s="45"/>
      <c r="H1195" s="73"/>
      <c r="I1195" s="18" t="str">
        <f t="shared" si="74"/>
        <v/>
      </c>
      <c r="J1195" s="45"/>
      <c r="K1195" s="45"/>
    </row>
    <row r="1196" spans="1:11">
      <c r="A1196" s="10" t="str">
        <f t="shared" si="75"/>
        <v/>
      </c>
      <c r="B1196" s="45"/>
      <c r="C1196" s="11" t="str">
        <f t="shared" si="72"/>
        <v/>
      </c>
      <c r="D1196" s="11" t="str">
        <f t="shared" si="73"/>
        <v/>
      </c>
      <c r="E1196" s="45"/>
      <c r="F1196" s="11" t="str">
        <f>IFERROR(VLOOKUP(E1196,Category!$D$2:$E$600,2,FALSE),"")</f>
        <v/>
      </c>
      <c r="G1196" s="45"/>
      <c r="H1196" s="73"/>
      <c r="I1196" s="18" t="str">
        <f t="shared" si="74"/>
        <v/>
      </c>
      <c r="J1196" s="45"/>
      <c r="K1196" s="45"/>
    </row>
    <row r="1197" spans="1:11">
      <c r="A1197" s="10" t="str">
        <f t="shared" si="75"/>
        <v/>
      </c>
      <c r="B1197" s="45"/>
      <c r="C1197" s="11" t="str">
        <f t="shared" si="72"/>
        <v/>
      </c>
      <c r="D1197" s="11" t="str">
        <f t="shared" si="73"/>
        <v/>
      </c>
      <c r="E1197" s="45"/>
      <c r="F1197" s="11" t="str">
        <f>IFERROR(VLOOKUP(E1197,Category!$D$2:$E$600,2,FALSE),"")</f>
        <v/>
      </c>
      <c r="G1197" s="45"/>
      <c r="H1197" s="73"/>
      <c r="I1197" s="18" t="str">
        <f t="shared" si="74"/>
        <v/>
      </c>
      <c r="J1197" s="45"/>
      <c r="K1197" s="45"/>
    </row>
    <row r="1198" spans="1:11">
      <c r="A1198" s="10" t="str">
        <f t="shared" si="75"/>
        <v/>
      </c>
      <c r="B1198" s="45"/>
      <c r="C1198" s="11" t="str">
        <f t="shared" si="72"/>
        <v/>
      </c>
      <c r="D1198" s="11" t="str">
        <f t="shared" si="73"/>
        <v/>
      </c>
      <c r="E1198" s="45"/>
      <c r="F1198" s="11" t="str">
        <f>IFERROR(VLOOKUP(E1198,Category!$D$2:$E$600,2,FALSE),"")</f>
        <v/>
      </c>
      <c r="G1198" s="45"/>
      <c r="H1198" s="73"/>
      <c r="I1198" s="18" t="str">
        <f t="shared" si="74"/>
        <v/>
      </c>
      <c r="J1198" s="45"/>
      <c r="K1198" s="45"/>
    </row>
    <row r="1199" spans="1:11">
      <c r="A1199" s="10" t="str">
        <f t="shared" si="75"/>
        <v/>
      </c>
      <c r="B1199" s="45"/>
      <c r="C1199" s="11" t="str">
        <f t="shared" si="72"/>
        <v/>
      </c>
      <c r="D1199" s="11" t="str">
        <f t="shared" si="73"/>
        <v/>
      </c>
      <c r="E1199" s="45"/>
      <c r="F1199" s="11" t="str">
        <f>IFERROR(VLOOKUP(E1199,Category!$D$2:$E$600,2,FALSE),"")</f>
        <v/>
      </c>
      <c r="G1199" s="45"/>
      <c r="H1199" s="73"/>
      <c r="I1199" s="18" t="str">
        <f t="shared" si="74"/>
        <v/>
      </c>
      <c r="J1199" s="45"/>
      <c r="K1199" s="45"/>
    </row>
    <row r="1200" spans="1:11">
      <c r="A1200" s="10" t="str">
        <f t="shared" si="75"/>
        <v/>
      </c>
      <c r="B1200" s="45"/>
      <c r="C1200" s="11" t="str">
        <f t="shared" si="72"/>
        <v/>
      </c>
      <c r="D1200" s="11" t="str">
        <f t="shared" si="73"/>
        <v/>
      </c>
      <c r="E1200" s="45"/>
      <c r="F1200" s="11" t="str">
        <f>IFERROR(VLOOKUP(E1200,Category!$D$2:$E$600,2,FALSE),"")</f>
        <v/>
      </c>
      <c r="G1200" s="45"/>
      <c r="H1200" s="73"/>
      <c r="I1200" s="18" t="str">
        <f t="shared" si="74"/>
        <v/>
      </c>
      <c r="J1200" s="45"/>
      <c r="K1200" s="45"/>
    </row>
    <row r="1201" spans="1:11">
      <c r="A1201" s="10" t="str">
        <f t="shared" si="75"/>
        <v/>
      </c>
      <c r="B1201" s="45"/>
      <c r="C1201" s="11" t="str">
        <f t="shared" si="72"/>
        <v/>
      </c>
      <c r="D1201" s="11" t="str">
        <f t="shared" si="73"/>
        <v/>
      </c>
      <c r="E1201" s="45"/>
      <c r="F1201" s="11" t="str">
        <f>IFERROR(VLOOKUP(E1201,Category!$D$2:$E$600,2,FALSE),"")</f>
        <v/>
      </c>
      <c r="G1201" s="45"/>
      <c r="H1201" s="73"/>
      <c r="I1201" s="18" t="str">
        <f t="shared" si="74"/>
        <v/>
      </c>
      <c r="J1201" s="45"/>
      <c r="K1201" s="45"/>
    </row>
    <row r="1202" spans="1:11">
      <c r="A1202" s="10" t="str">
        <f t="shared" si="75"/>
        <v/>
      </c>
      <c r="B1202" s="45"/>
      <c r="C1202" s="11" t="str">
        <f t="shared" si="72"/>
        <v/>
      </c>
      <c r="D1202" s="11" t="str">
        <f t="shared" si="73"/>
        <v/>
      </c>
      <c r="E1202" s="45"/>
      <c r="F1202" s="11" t="str">
        <f>IFERROR(VLOOKUP(E1202,Category!$D$2:$E$600,2,FALSE),"")</f>
        <v/>
      </c>
      <c r="G1202" s="45"/>
      <c r="H1202" s="73"/>
      <c r="I1202" s="18" t="str">
        <f t="shared" si="74"/>
        <v/>
      </c>
      <c r="J1202" s="45"/>
      <c r="K1202" s="45"/>
    </row>
    <row r="1203" spans="1:11">
      <c r="A1203" s="10" t="str">
        <f t="shared" si="75"/>
        <v/>
      </c>
      <c r="B1203" s="45"/>
      <c r="C1203" s="11" t="str">
        <f t="shared" si="72"/>
        <v/>
      </c>
      <c r="D1203" s="11" t="str">
        <f t="shared" si="73"/>
        <v/>
      </c>
      <c r="E1203" s="45"/>
      <c r="F1203" s="11" t="str">
        <f>IFERROR(VLOOKUP(E1203,Category!$D$2:$E$600,2,FALSE),"")</f>
        <v/>
      </c>
      <c r="G1203" s="45"/>
      <c r="H1203" s="73"/>
      <c r="I1203" s="18" t="str">
        <f t="shared" si="74"/>
        <v/>
      </c>
      <c r="J1203" s="45"/>
      <c r="K1203" s="45"/>
    </row>
    <row r="1204" spans="1:11">
      <c r="A1204" s="10" t="str">
        <f t="shared" si="75"/>
        <v/>
      </c>
      <c r="B1204" s="45"/>
      <c r="C1204" s="11" t="str">
        <f t="shared" si="72"/>
        <v/>
      </c>
      <c r="D1204" s="11" t="str">
        <f t="shared" si="73"/>
        <v/>
      </c>
      <c r="E1204" s="45"/>
      <c r="F1204" s="11" t="str">
        <f>IFERROR(VLOOKUP(E1204,Category!$D$2:$E$600,2,FALSE),"")</f>
        <v/>
      </c>
      <c r="G1204" s="45"/>
      <c r="H1204" s="73"/>
      <c r="I1204" s="18" t="str">
        <f t="shared" si="74"/>
        <v/>
      </c>
      <c r="J1204" s="45"/>
      <c r="K1204" s="45"/>
    </row>
    <row r="1205" spans="1:11">
      <c r="A1205" s="10" t="str">
        <f t="shared" si="75"/>
        <v/>
      </c>
      <c r="B1205" s="45"/>
      <c r="C1205" s="11" t="str">
        <f t="shared" si="72"/>
        <v/>
      </c>
      <c r="D1205" s="11" t="str">
        <f t="shared" si="73"/>
        <v/>
      </c>
      <c r="E1205" s="45"/>
      <c r="F1205" s="11" t="str">
        <f>IFERROR(VLOOKUP(E1205,Category!$D$2:$E$600,2,FALSE),"")</f>
        <v/>
      </c>
      <c r="G1205" s="45"/>
      <c r="H1205" s="73"/>
      <c r="I1205" s="18" t="str">
        <f t="shared" si="74"/>
        <v/>
      </c>
      <c r="J1205" s="45"/>
      <c r="K1205" s="45"/>
    </row>
    <row r="1206" spans="1:11">
      <c r="A1206" s="10" t="str">
        <f t="shared" si="75"/>
        <v/>
      </c>
      <c r="B1206" s="45"/>
      <c r="C1206" s="11" t="str">
        <f t="shared" si="72"/>
        <v/>
      </c>
      <c r="D1206" s="11" t="str">
        <f t="shared" si="73"/>
        <v/>
      </c>
      <c r="E1206" s="45"/>
      <c r="F1206" s="11" t="str">
        <f>IFERROR(VLOOKUP(E1206,Category!$D$2:$E$600,2,FALSE),"")</f>
        <v/>
      </c>
      <c r="G1206" s="45"/>
      <c r="H1206" s="73"/>
      <c r="I1206" s="18" t="str">
        <f t="shared" si="74"/>
        <v/>
      </c>
      <c r="J1206" s="45"/>
      <c r="K1206" s="45"/>
    </row>
    <row r="1207" spans="1:11">
      <c r="A1207" s="10" t="str">
        <f t="shared" si="75"/>
        <v/>
      </c>
      <c r="B1207" s="45"/>
      <c r="C1207" s="11" t="str">
        <f t="shared" si="72"/>
        <v/>
      </c>
      <c r="D1207" s="11" t="str">
        <f t="shared" si="73"/>
        <v/>
      </c>
      <c r="E1207" s="45"/>
      <c r="F1207" s="11" t="str">
        <f>IFERROR(VLOOKUP(E1207,Category!$D$2:$E$600,2,FALSE),"")</f>
        <v/>
      </c>
      <c r="G1207" s="45"/>
      <c r="H1207" s="73"/>
      <c r="I1207" s="18" t="str">
        <f t="shared" si="74"/>
        <v/>
      </c>
      <c r="J1207" s="45"/>
      <c r="K1207" s="45"/>
    </row>
    <row r="1208" spans="1:11">
      <c r="A1208" s="10" t="str">
        <f t="shared" si="75"/>
        <v/>
      </c>
      <c r="B1208" s="45"/>
      <c r="C1208" s="11" t="str">
        <f t="shared" si="72"/>
        <v/>
      </c>
      <c r="D1208" s="11" t="str">
        <f t="shared" si="73"/>
        <v/>
      </c>
      <c r="E1208" s="45"/>
      <c r="F1208" s="11" t="str">
        <f>IFERROR(VLOOKUP(E1208,Category!$D$2:$E$600,2,FALSE),"")</f>
        <v/>
      </c>
      <c r="G1208" s="45"/>
      <c r="H1208" s="73"/>
      <c r="I1208" s="18" t="str">
        <f t="shared" si="74"/>
        <v/>
      </c>
      <c r="J1208" s="45"/>
      <c r="K1208" s="45"/>
    </row>
    <row r="1209" spans="1:11">
      <c r="A1209" s="10" t="str">
        <f t="shared" si="75"/>
        <v/>
      </c>
      <c r="B1209" s="45"/>
      <c r="C1209" s="11" t="str">
        <f t="shared" si="72"/>
        <v/>
      </c>
      <c r="D1209" s="11" t="str">
        <f t="shared" si="73"/>
        <v/>
      </c>
      <c r="E1209" s="45"/>
      <c r="F1209" s="11" t="str">
        <f>IFERROR(VLOOKUP(E1209,Category!$D$2:$E$600,2,FALSE),"")</f>
        <v/>
      </c>
      <c r="G1209" s="45"/>
      <c r="H1209" s="73"/>
      <c r="I1209" s="18" t="str">
        <f t="shared" si="74"/>
        <v/>
      </c>
      <c r="J1209" s="45"/>
      <c r="K1209" s="45"/>
    </row>
    <row r="1210" spans="1:11">
      <c r="A1210" s="10" t="str">
        <f t="shared" si="75"/>
        <v/>
      </c>
      <c r="B1210" s="45"/>
      <c r="C1210" s="11" t="str">
        <f t="shared" si="72"/>
        <v/>
      </c>
      <c r="D1210" s="11" t="str">
        <f t="shared" si="73"/>
        <v/>
      </c>
      <c r="E1210" s="45"/>
      <c r="F1210" s="11" t="str">
        <f>IFERROR(VLOOKUP(E1210,Category!$D$2:$E$600,2,FALSE),"")</f>
        <v/>
      </c>
      <c r="G1210" s="45"/>
      <c r="H1210" s="73"/>
      <c r="I1210" s="18" t="str">
        <f t="shared" si="74"/>
        <v/>
      </c>
      <c r="J1210" s="45"/>
      <c r="K1210" s="45"/>
    </row>
    <row r="1211" spans="1:11">
      <c r="A1211" s="10" t="str">
        <f t="shared" si="75"/>
        <v/>
      </c>
      <c r="B1211" s="45"/>
      <c r="C1211" s="11" t="str">
        <f t="shared" si="72"/>
        <v/>
      </c>
      <c r="D1211" s="11" t="str">
        <f t="shared" si="73"/>
        <v/>
      </c>
      <c r="E1211" s="45"/>
      <c r="F1211" s="11" t="str">
        <f>IFERROR(VLOOKUP(E1211,Category!$D$2:$E$600,2,FALSE),"")</f>
        <v/>
      </c>
      <c r="G1211" s="45"/>
      <c r="H1211" s="73"/>
      <c r="I1211" s="18" t="str">
        <f t="shared" si="74"/>
        <v/>
      </c>
      <c r="J1211" s="45"/>
      <c r="K1211" s="45"/>
    </row>
    <row r="1212" spans="1:11">
      <c r="A1212" s="10" t="str">
        <f t="shared" si="75"/>
        <v/>
      </c>
      <c r="B1212" s="45"/>
      <c r="C1212" s="11" t="str">
        <f t="shared" si="72"/>
        <v/>
      </c>
      <c r="D1212" s="11" t="str">
        <f t="shared" si="73"/>
        <v/>
      </c>
      <c r="E1212" s="45"/>
      <c r="F1212" s="11" t="str">
        <f>IFERROR(VLOOKUP(E1212,Category!$D$2:$E$600,2,FALSE),"")</f>
        <v/>
      </c>
      <c r="G1212" s="45"/>
      <c r="H1212" s="73"/>
      <c r="I1212" s="18" t="str">
        <f t="shared" si="74"/>
        <v/>
      </c>
      <c r="J1212" s="45"/>
      <c r="K1212" s="45"/>
    </row>
    <row r="1213" spans="1:11">
      <c r="A1213" s="10" t="str">
        <f t="shared" si="75"/>
        <v/>
      </c>
      <c r="B1213" s="45"/>
      <c r="C1213" s="11" t="str">
        <f t="shared" si="72"/>
        <v/>
      </c>
      <c r="D1213" s="11" t="str">
        <f t="shared" si="73"/>
        <v/>
      </c>
      <c r="E1213" s="45"/>
      <c r="F1213" s="11" t="str">
        <f>IFERROR(VLOOKUP(E1213,Category!$D$2:$E$600,2,FALSE),"")</f>
        <v/>
      </c>
      <c r="G1213" s="45"/>
      <c r="H1213" s="73"/>
      <c r="I1213" s="18" t="str">
        <f t="shared" si="74"/>
        <v/>
      </c>
      <c r="J1213" s="45"/>
      <c r="K1213" s="45"/>
    </row>
    <row r="1214" spans="1:11">
      <c r="A1214" s="10" t="str">
        <f t="shared" si="75"/>
        <v/>
      </c>
      <c r="B1214" s="45"/>
      <c r="C1214" s="11" t="str">
        <f t="shared" si="72"/>
        <v/>
      </c>
      <c r="D1214" s="11" t="str">
        <f t="shared" si="73"/>
        <v/>
      </c>
      <c r="E1214" s="45"/>
      <c r="F1214" s="11" t="str">
        <f>IFERROR(VLOOKUP(E1214,Category!$D$2:$E$600,2,FALSE),"")</f>
        <v/>
      </c>
      <c r="G1214" s="45"/>
      <c r="H1214" s="73"/>
      <c r="I1214" s="18" t="str">
        <f t="shared" si="74"/>
        <v/>
      </c>
      <c r="J1214" s="45"/>
      <c r="K1214" s="45"/>
    </row>
    <row r="1215" spans="1:11">
      <c r="A1215" s="10" t="str">
        <f t="shared" si="75"/>
        <v/>
      </c>
      <c r="B1215" s="45"/>
      <c r="C1215" s="11" t="str">
        <f t="shared" si="72"/>
        <v/>
      </c>
      <c r="D1215" s="11" t="str">
        <f t="shared" si="73"/>
        <v/>
      </c>
      <c r="E1215" s="45"/>
      <c r="F1215" s="11" t="str">
        <f>IFERROR(VLOOKUP(E1215,Category!$D$2:$E$600,2,FALSE),"")</f>
        <v/>
      </c>
      <c r="G1215" s="45"/>
      <c r="H1215" s="73"/>
      <c r="I1215" s="18" t="str">
        <f t="shared" si="74"/>
        <v/>
      </c>
      <c r="J1215" s="45"/>
      <c r="K1215" s="45"/>
    </row>
    <row r="1216" spans="1:11">
      <c r="A1216" s="10" t="str">
        <f t="shared" si="75"/>
        <v/>
      </c>
      <c r="B1216" s="45"/>
      <c r="C1216" s="11" t="str">
        <f t="shared" si="72"/>
        <v/>
      </c>
      <c r="D1216" s="11" t="str">
        <f t="shared" si="73"/>
        <v/>
      </c>
      <c r="E1216" s="45"/>
      <c r="F1216" s="11" t="str">
        <f>IFERROR(VLOOKUP(E1216,Category!$D$2:$E$600,2,FALSE),"")</f>
        <v/>
      </c>
      <c r="G1216" s="45"/>
      <c r="H1216" s="73"/>
      <c r="I1216" s="18" t="str">
        <f t="shared" si="74"/>
        <v/>
      </c>
      <c r="J1216" s="45"/>
      <c r="K1216" s="45"/>
    </row>
    <row r="1217" spans="1:11">
      <c r="A1217" s="10" t="str">
        <f t="shared" si="75"/>
        <v/>
      </c>
      <c r="B1217" s="45"/>
      <c r="C1217" s="11" t="str">
        <f t="shared" si="72"/>
        <v/>
      </c>
      <c r="D1217" s="11" t="str">
        <f t="shared" si="73"/>
        <v/>
      </c>
      <c r="E1217" s="45"/>
      <c r="F1217" s="11" t="str">
        <f>IFERROR(VLOOKUP(E1217,Category!$D$2:$E$600,2,FALSE),"")</f>
        <v/>
      </c>
      <c r="G1217" s="45"/>
      <c r="H1217" s="73"/>
      <c r="I1217" s="18" t="str">
        <f t="shared" si="74"/>
        <v/>
      </c>
      <c r="J1217" s="45"/>
      <c r="K1217" s="45"/>
    </row>
    <row r="1218" spans="1:11">
      <c r="A1218" s="10" t="str">
        <f t="shared" si="75"/>
        <v/>
      </c>
      <c r="B1218" s="45"/>
      <c r="C1218" s="11" t="str">
        <f t="shared" si="72"/>
        <v/>
      </c>
      <c r="D1218" s="11" t="str">
        <f t="shared" si="73"/>
        <v/>
      </c>
      <c r="E1218" s="45"/>
      <c r="F1218" s="11" t="str">
        <f>IFERROR(VLOOKUP(E1218,Category!$D$2:$E$600,2,FALSE),"")</f>
        <v/>
      </c>
      <c r="G1218" s="45"/>
      <c r="H1218" s="73"/>
      <c r="I1218" s="18" t="str">
        <f t="shared" si="74"/>
        <v/>
      </c>
      <c r="J1218" s="45"/>
      <c r="K1218" s="45"/>
    </row>
    <row r="1219" spans="1:11">
      <c r="A1219" s="10" t="str">
        <f t="shared" si="75"/>
        <v/>
      </c>
      <c r="B1219" s="45"/>
      <c r="C1219" s="11" t="str">
        <f t="shared" ref="C1219:C1282" si="76">IF(B1219=0,"",TEXT(B1219,"mmmm"))</f>
        <v/>
      </c>
      <c r="D1219" s="11" t="str">
        <f t="shared" ref="D1219:D1282" si="77">IF(B1219=0,"",TEXT(B1219,"yyyy"))</f>
        <v/>
      </c>
      <c r="E1219" s="45"/>
      <c r="F1219" s="11" t="str">
        <f>IFERROR(VLOOKUP(E1219,Category!$D$2:$E$600,2,FALSE),"")</f>
        <v/>
      </c>
      <c r="G1219" s="45"/>
      <c r="H1219" s="73"/>
      <c r="I1219" s="18" t="str">
        <f t="shared" ref="I1219:I1282" si="78">IF(G1219*H1219=0,"",G1219*H1219)</f>
        <v/>
      </c>
      <c r="J1219" s="45"/>
      <c r="K1219" s="45"/>
    </row>
    <row r="1220" spans="1:11">
      <c r="A1220" s="10" t="str">
        <f t="shared" ref="A1220:A1283" si="79">IF(E1220&gt;0,A1219+1,"")</f>
        <v/>
      </c>
      <c r="B1220" s="45"/>
      <c r="C1220" s="11" t="str">
        <f t="shared" si="76"/>
        <v/>
      </c>
      <c r="D1220" s="11" t="str">
        <f t="shared" si="77"/>
        <v/>
      </c>
      <c r="E1220" s="45"/>
      <c r="F1220" s="11" t="str">
        <f>IFERROR(VLOOKUP(E1220,Category!$D$2:$E$600,2,FALSE),"")</f>
        <v/>
      </c>
      <c r="G1220" s="45"/>
      <c r="H1220" s="73"/>
      <c r="I1220" s="18" t="str">
        <f t="shared" si="78"/>
        <v/>
      </c>
      <c r="J1220" s="45"/>
      <c r="K1220" s="45"/>
    </row>
    <row r="1221" spans="1:11">
      <c r="A1221" s="10" t="str">
        <f t="shared" si="79"/>
        <v/>
      </c>
      <c r="B1221" s="45"/>
      <c r="C1221" s="11" t="str">
        <f t="shared" si="76"/>
        <v/>
      </c>
      <c r="D1221" s="11" t="str">
        <f t="shared" si="77"/>
        <v/>
      </c>
      <c r="E1221" s="45"/>
      <c r="F1221" s="11" t="str">
        <f>IFERROR(VLOOKUP(E1221,Category!$D$2:$E$600,2,FALSE),"")</f>
        <v/>
      </c>
      <c r="G1221" s="45"/>
      <c r="H1221" s="73"/>
      <c r="I1221" s="18" t="str">
        <f t="shared" si="78"/>
        <v/>
      </c>
      <c r="J1221" s="45"/>
      <c r="K1221" s="45"/>
    </row>
    <row r="1222" spans="1:11">
      <c r="A1222" s="10" t="str">
        <f t="shared" si="79"/>
        <v/>
      </c>
      <c r="B1222" s="45"/>
      <c r="C1222" s="11" t="str">
        <f t="shared" si="76"/>
        <v/>
      </c>
      <c r="D1222" s="11" t="str">
        <f t="shared" si="77"/>
        <v/>
      </c>
      <c r="E1222" s="45"/>
      <c r="F1222" s="11" t="str">
        <f>IFERROR(VLOOKUP(E1222,Category!$D$2:$E$600,2,FALSE),"")</f>
        <v/>
      </c>
      <c r="G1222" s="45"/>
      <c r="H1222" s="73"/>
      <c r="I1222" s="18" t="str">
        <f t="shared" si="78"/>
        <v/>
      </c>
      <c r="J1222" s="45"/>
      <c r="K1222" s="45"/>
    </row>
    <row r="1223" spans="1:11">
      <c r="A1223" s="10" t="str">
        <f t="shared" si="79"/>
        <v/>
      </c>
      <c r="B1223" s="45"/>
      <c r="C1223" s="11" t="str">
        <f t="shared" si="76"/>
        <v/>
      </c>
      <c r="D1223" s="11" t="str">
        <f t="shared" si="77"/>
        <v/>
      </c>
      <c r="E1223" s="45"/>
      <c r="F1223" s="11" t="str">
        <f>IFERROR(VLOOKUP(E1223,Category!$D$2:$E$600,2,FALSE),"")</f>
        <v/>
      </c>
      <c r="G1223" s="45"/>
      <c r="H1223" s="73"/>
      <c r="I1223" s="18" t="str">
        <f t="shared" si="78"/>
        <v/>
      </c>
      <c r="J1223" s="45"/>
      <c r="K1223" s="45"/>
    </row>
    <row r="1224" spans="1:11">
      <c r="A1224" s="10" t="str">
        <f t="shared" si="79"/>
        <v/>
      </c>
      <c r="B1224" s="45"/>
      <c r="C1224" s="11" t="str">
        <f t="shared" si="76"/>
        <v/>
      </c>
      <c r="D1224" s="11" t="str">
        <f t="shared" si="77"/>
        <v/>
      </c>
      <c r="E1224" s="45"/>
      <c r="F1224" s="11" t="str">
        <f>IFERROR(VLOOKUP(E1224,Category!$D$2:$E$600,2,FALSE),"")</f>
        <v/>
      </c>
      <c r="G1224" s="45"/>
      <c r="H1224" s="73"/>
      <c r="I1224" s="18" t="str">
        <f t="shared" si="78"/>
        <v/>
      </c>
      <c r="J1224" s="45"/>
      <c r="K1224" s="45"/>
    </row>
    <row r="1225" spans="1:11">
      <c r="A1225" s="10" t="str">
        <f t="shared" si="79"/>
        <v/>
      </c>
      <c r="B1225" s="45"/>
      <c r="C1225" s="11" t="str">
        <f t="shared" si="76"/>
        <v/>
      </c>
      <c r="D1225" s="11" t="str">
        <f t="shared" si="77"/>
        <v/>
      </c>
      <c r="E1225" s="45"/>
      <c r="F1225" s="11" t="str">
        <f>IFERROR(VLOOKUP(E1225,Category!$D$2:$E$600,2,FALSE),"")</f>
        <v/>
      </c>
      <c r="G1225" s="45"/>
      <c r="H1225" s="73"/>
      <c r="I1225" s="18" t="str">
        <f t="shared" si="78"/>
        <v/>
      </c>
      <c r="J1225" s="45"/>
      <c r="K1225" s="45"/>
    </row>
    <row r="1226" spans="1:11">
      <c r="A1226" s="10" t="str">
        <f t="shared" si="79"/>
        <v/>
      </c>
      <c r="B1226" s="45"/>
      <c r="C1226" s="11" t="str">
        <f t="shared" si="76"/>
        <v/>
      </c>
      <c r="D1226" s="11" t="str">
        <f t="shared" si="77"/>
        <v/>
      </c>
      <c r="E1226" s="45"/>
      <c r="F1226" s="11" t="str">
        <f>IFERROR(VLOOKUP(E1226,Category!$D$2:$E$600,2,FALSE),"")</f>
        <v/>
      </c>
      <c r="G1226" s="45"/>
      <c r="H1226" s="73"/>
      <c r="I1226" s="18" t="str">
        <f t="shared" si="78"/>
        <v/>
      </c>
      <c r="J1226" s="45"/>
      <c r="K1226" s="45"/>
    </row>
    <row r="1227" spans="1:11">
      <c r="A1227" s="10" t="str">
        <f t="shared" si="79"/>
        <v/>
      </c>
      <c r="B1227" s="45"/>
      <c r="C1227" s="11" t="str">
        <f t="shared" si="76"/>
        <v/>
      </c>
      <c r="D1227" s="11" t="str">
        <f t="shared" si="77"/>
        <v/>
      </c>
      <c r="E1227" s="45"/>
      <c r="F1227" s="11" t="str">
        <f>IFERROR(VLOOKUP(E1227,Category!$D$2:$E$600,2,FALSE),"")</f>
        <v/>
      </c>
      <c r="G1227" s="45"/>
      <c r="H1227" s="73"/>
      <c r="I1227" s="18" t="str">
        <f t="shared" si="78"/>
        <v/>
      </c>
      <c r="J1227" s="45"/>
      <c r="K1227" s="45"/>
    </row>
    <row r="1228" spans="1:11">
      <c r="A1228" s="10" t="str">
        <f t="shared" si="79"/>
        <v/>
      </c>
      <c r="B1228" s="45"/>
      <c r="C1228" s="11" t="str">
        <f t="shared" si="76"/>
        <v/>
      </c>
      <c r="D1228" s="11" t="str">
        <f t="shared" si="77"/>
        <v/>
      </c>
      <c r="E1228" s="45"/>
      <c r="F1228" s="11" t="str">
        <f>IFERROR(VLOOKUP(E1228,Category!$D$2:$E$600,2,FALSE),"")</f>
        <v/>
      </c>
      <c r="G1228" s="45"/>
      <c r="H1228" s="73"/>
      <c r="I1228" s="18" t="str">
        <f t="shared" si="78"/>
        <v/>
      </c>
      <c r="J1228" s="45"/>
      <c r="K1228" s="45"/>
    </row>
    <row r="1229" spans="1:11">
      <c r="A1229" s="10" t="str">
        <f t="shared" si="79"/>
        <v/>
      </c>
      <c r="B1229" s="45"/>
      <c r="C1229" s="11" t="str">
        <f t="shared" si="76"/>
        <v/>
      </c>
      <c r="D1229" s="11" t="str">
        <f t="shared" si="77"/>
        <v/>
      </c>
      <c r="E1229" s="45"/>
      <c r="F1229" s="11" t="str">
        <f>IFERROR(VLOOKUP(E1229,Category!$D$2:$E$600,2,FALSE),"")</f>
        <v/>
      </c>
      <c r="G1229" s="45"/>
      <c r="H1229" s="73"/>
      <c r="I1229" s="18" t="str">
        <f t="shared" si="78"/>
        <v/>
      </c>
      <c r="J1229" s="45"/>
      <c r="K1229" s="45"/>
    </row>
    <row r="1230" spans="1:11">
      <c r="A1230" s="10" t="str">
        <f t="shared" si="79"/>
        <v/>
      </c>
      <c r="B1230" s="45"/>
      <c r="C1230" s="11" t="str">
        <f t="shared" si="76"/>
        <v/>
      </c>
      <c r="D1230" s="11" t="str">
        <f t="shared" si="77"/>
        <v/>
      </c>
      <c r="E1230" s="45"/>
      <c r="F1230" s="11" t="str">
        <f>IFERROR(VLOOKUP(E1230,Category!$D$2:$E$600,2,FALSE),"")</f>
        <v/>
      </c>
      <c r="G1230" s="45"/>
      <c r="H1230" s="73"/>
      <c r="I1230" s="18" t="str">
        <f t="shared" si="78"/>
        <v/>
      </c>
      <c r="J1230" s="45"/>
      <c r="K1230" s="45"/>
    </row>
    <row r="1231" spans="1:11">
      <c r="A1231" s="10" t="str">
        <f t="shared" si="79"/>
        <v/>
      </c>
      <c r="B1231" s="45"/>
      <c r="C1231" s="11" t="str">
        <f t="shared" si="76"/>
        <v/>
      </c>
      <c r="D1231" s="11" t="str">
        <f t="shared" si="77"/>
        <v/>
      </c>
      <c r="E1231" s="45"/>
      <c r="F1231" s="11" t="str">
        <f>IFERROR(VLOOKUP(E1231,Category!$D$2:$E$600,2,FALSE),"")</f>
        <v/>
      </c>
      <c r="G1231" s="45"/>
      <c r="H1231" s="73"/>
      <c r="I1231" s="18" t="str">
        <f t="shared" si="78"/>
        <v/>
      </c>
      <c r="J1231" s="45"/>
      <c r="K1231" s="45"/>
    </row>
    <row r="1232" spans="1:11">
      <c r="A1232" s="10" t="str">
        <f t="shared" si="79"/>
        <v/>
      </c>
      <c r="B1232" s="45"/>
      <c r="C1232" s="11" t="str">
        <f t="shared" si="76"/>
        <v/>
      </c>
      <c r="D1232" s="11" t="str">
        <f t="shared" si="77"/>
        <v/>
      </c>
      <c r="E1232" s="45"/>
      <c r="F1232" s="11" t="str">
        <f>IFERROR(VLOOKUP(E1232,Category!$D$2:$E$600,2,FALSE),"")</f>
        <v/>
      </c>
      <c r="G1232" s="45"/>
      <c r="H1232" s="73"/>
      <c r="I1232" s="18" t="str">
        <f t="shared" si="78"/>
        <v/>
      </c>
      <c r="J1232" s="45"/>
      <c r="K1232" s="45"/>
    </row>
    <row r="1233" spans="1:11">
      <c r="A1233" s="10" t="str">
        <f t="shared" si="79"/>
        <v/>
      </c>
      <c r="B1233" s="45"/>
      <c r="C1233" s="11" t="str">
        <f t="shared" si="76"/>
        <v/>
      </c>
      <c r="D1233" s="11" t="str">
        <f t="shared" si="77"/>
        <v/>
      </c>
      <c r="E1233" s="45"/>
      <c r="F1233" s="11" t="str">
        <f>IFERROR(VLOOKUP(E1233,Category!$D$2:$E$600,2,FALSE),"")</f>
        <v/>
      </c>
      <c r="G1233" s="45"/>
      <c r="H1233" s="73"/>
      <c r="I1233" s="18" t="str">
        <f t="shared" si="78"/>
        <v/>
      </c>
      <c r="J1233" s="45"/>
      <c r="K1233" s="45"/>
    </row>
    <row r="1234" spans="1:11">
      <c r="A1234" s="10" t="str">
        <f t="shared" si="79"/>
        <v/>
      </c>
      <c r="B1234" s="45"/>
      <c r="C1234" s="11" t="str">
        <f t="shared" si="76"/>
        <v/>
      </c>
      <c r="D1234" s="11" t="str">
        <f t="shared" si="77"/>
        <v/>
      </c>
      <c r="E1234" s="45"/>
      <c r="F1234" s="11" t="str">
        <f>IFERROR(VLOOKUP(E1234,Category!$D$2:$E$600,2,FALSE),"")</f>
        <v/>
      </c>
      <c r="G1234" s="45"/>
      <c r="H1234" s="73"/>
      <c r="I1234" s="18" t="str">
        <f t="shared" si="78"/>
        <v/>
      </c>
      <c r="J1234" s="45"/>
      <c r="K1234" s="45"/>
    </row>
    <row r="1235" spans="1:11">
      <c r="A1235" s="10" t="str">
        <f t="shared" si="79"/>
        <v/>
      </c>
      <c r="B1235" s="45"/>
      <c r="C1235" s="11" t="str">
        <f t="shared" si="76"/>
        <v/>
      </c>
      <c r="D1235" s="11" t="str">
        <f t="shared" si="77"/>
        <v/>
      </c>
      <c r="E1235" s="45"/>
      <c r="F1235" s="11" t="str">
        <f>IFERROR(VLOOKUP(E1235,Category!$D$2:$E$600,2,FALSE),"")</f>
        <v/>
      </c>
      <c r="G1235" s="45"/>
      <c r="H1235" s="73"/>
      <c r="I1235" s="18" t="str">
        <f t="shared" si="78"/>
        <v/>
      </c>
      <c r="J1235" s="45"/>
      <c r="K1235" s="45"/>
    </row>
    <row r="1236" spans="1:11">
      <c r="A1236" s="10" t="str">
        <f t="shared" si="79"/>
        <v/>
      </c>
      <c r="B1236" s="45"/>
      <c r="C1236" s="11" t="str">
        <f t="shared" si="76"/>
        <v/>
      </c>
      <c r="D1236" s="11" t="str">
        <f t="shared" si="77"/>
        <v/>
      </c>
      <c r="E1236" s="45"/>
      <c r="F1236" s="11" t="str">
        <f>IFERROR(VLOOKUP(E1236,Category!$D$2:$E$600,2,FALSE),"")</f>
        <v/>
      </c>
      <c r="G1236" s="45"/>
      <c r="H1236" s="73"/>
      <c r="I1236" s="18" t="str">
        <f t="shared" si="78"/>
        <v/>
      </c>
      <c r="J1236" s="45"/>
      <c r="K1236" s="45"/>
    </row>
    <row r="1237" spans="1:11">
      <c r="A1237" s="10" t="str">
        <f t="shared" si="79"/>
        <v/>
      </c>
      <c r="B1237" s="45"/>
      <c r="C1237" s="11" t="str">
        <f t="shared" si="76"/>
        <v/>
      </c>
      <c r="D1237" s="11" t="str">
        <f t="shared" si="77"/>
        <v/>
      </c>
      <c r="E1237" s="45"/>
      <c r="F1237" s="11" t="str">
        <f>IFERROR(VLOOKUP(E1237,Category!$D$2:$E$600,2,FALSE),"")</f>
        <v/>
      </c>
      <c r="G1237" s="45"/>
      <c r="H1237" s="73"/>
      <c r="I1237" s="18" t="str">
        <f t="shared" si="78"/>
        <v/>
      </c>
      <c r="J1237" s="45"/>
      <c r="K1237" s="45"/>
    </row>
    <row r="1238" spans="1:11">
      <c r="A1238" s="10" t="str">
        <f t="shared" si="79"/>
        <v/>
      </c>
      <c r="B1238" s="45"/>
      <c r="C1238" s="11" t="str">
        <f t="shared" si="76"/>
        <v/>
      </c>
      <c r="D1238" s="11" t="str">
        <f t="shared" si="77"/>
        <v/>
      </c>
      <c r="E1238" s="45"/>
      <c r="F1238" s="11" t="str">
        <f>IFERROR(VLOOKUP(E1238,Category!$D$2:$E$600,2,FALSE),"")</f>
        <v/>
      </c>
      <c r="G1238" s="45"/>
      <c r="H1238" s="73"/>
      <c r="I1238" s="18" t="str">
        <f t="shared" si="78"/>
        <v/>
      </c>
      <c r="J1238" s="45"/>
      <c r="K1238" s="45"/>
    </row>
    <row r="1239" spans="1:11">
      <c r="A1239" s="10" t="str">
        <f t="shared" si="79"/>
        <v/>
      </c>
      <c r="B1239" s="45"/>
      <c r="C1239" s="11" t="str">
        <f t="shared" si="76"/>
        <v/>
      </c>
      <c r="D1239" s="11" t="str">
        <f t="shared" si="77"/>
        <v/>
      </c>
      <c r="E1239" s="45"/>
      <c r="F1239" s="11" t="str">
        <f>IFERROR(VLOOKUP(E1239,Category!$D$2:$E$600,2,FALSE),"")</f>
        <v/>
      </c>
      <c r="G1239" s="45"/>
      <c r="H1239" s="73"/>
      <c r="I1239" s="18" t="str">
        <f t="shared" si="78"/>
        <v/>
      </c>
      <c r="J1239" s="45"/>
      <c r="K1239" s="45"/>
    </row>
    <row r="1240" spans="1:11">
      <c r="A1240" s="10" t="str">
        <f t="shared" si="79"/>
        <v/>
      </c>
      <c r="B1240" s="45"/>
      <c r="C1240" s="11" t="str">
        <f t="shared" si="76"/>
        <v/>
      </c>
      <c r="D1240" s="11" t="str">
        <f t="shared" si="77"/>
        <v/>
      </c>
      <c r="E1240" s="45"/>
      <c r="F1240" s="11" t="str">
        <f>IFERROR(VLOOKUP(E1240,Category!$D$2:$E$600,2,FALSE),"")</f>
        <v/>
      </c>
      <c r="G1240" s="45"/>
      <c r="H1240" s="73"/>
      <c r="I1240" s="18" t="str">
        <f t="shared" si="78"/>
        <v/>
      </c>
      <c r="J1240" s="45"/>
      <c r="K1240" s="45"/>
    </row>
    <row r="1241" spans="1:11">
      <c r="A1241" s="10" t="str">
        <f t="shared" si="79"/>
        <v/>
      </c>
      <c r="B1241" s="45"/>
      <c r="C1241" s="11" t="str">
        <f t="shared" si="76"/>
        <v/>
      </c>
      <c r="D1241" s="11" t="str">
        <f t="shared" si="77"/>
        <v/>
      </c>
      <c r="E1241" s="45"/>
      <c r="F1241" s="11" t="str">
        <f>IFERROR(VLOOKUP(E1241,Category!$D$2:$E$600,2,FALSE),"")</f>
        <v/>
      </c>
      <c r="G1241" s="45"/>
      <c r="H1241" s="73"/>
      <c r="I1241" s="18" t="str">
        <f t="shared" si="78"/>
        <v/>
      </c>
      <c r="J1241" s="45"/>
      <c r="K1241" s="45"/>
    </row>
    <row r="1242" spans="1:11">
      <c r="A1242" s="10" t="str">
        <f t="shared" si="79"/>
        <v/>
      </c>
      <c r="B1242" s="45"/>
      <c r="C1242" s="11" t="str">
        <f t="shared" si="76"/>
        <v/>
      </c>
      <c r="D1242" s="11" t="str">
        <f t="shared" si="77"/>
        <v/>
      </c>
      <c r="E1242" s="45"/>
      <c r="F1242" s="11" t="str">
        <f>IFERROR(VLOOKUP(E1242,Category!$D$2:$E$600,2,FALSE),"")</f>
        <v/>
      </c>
      <c r="G1242" s="45"/>
      <c r="H1242" s="73"/>
      <c r="I1242" s="18" t="str">
        <f t="shared" si="78"/>
        <v/>
      </c>
      <c r="J1242" s="45"/>
      <c r="K1242" s="45"/>
    </row>
    <row r="1243" spans="1:11">
      <c r="A1243" s="10" t="str">
        <f t="shared" si="79"/>
        <v/>
      </c>
      <c r="B1243" s="45"/>
      <c r="C1243" s="11" t="str">
        <f t="shared" si="76"/>
        <v/>
      </c>
      <c r="D1243" s="11" t="str">
        <f t="shared" si="77"/>
        <v/>
      </c>
      <c r="E1243" s="45"/>
      <c r="F1243" s="11" t="str">
        <f>IFERROR(VLOOKUP(E1243,Category!$D$2:$E$600,2,FALSE),"")</f>
        <v/>
      </c>
      <c r="G1243" s="45"/>
      <c r="H1243" s="73"/>
      <c r="I1243" s="18" t="str">
        <f t="shared" si="78"/>
        <v/>
      </c>
      <c r="J1243" s="45"/>
      <c r="K1243" s="45"/>
    </row>
    <row r="1244" spans="1:11">
      <c r="A1244" s="10" t="str">
        <f t="shared" si="79"/>
        <v/>
      </c>
      <c r="B1244" s="45"/>
      <c r="C1244" s="11" t="str">
        <f t="shared" si="76"/>
        <v/>
      </c>
      <c r="D1244" s="11" t="str">
        <f t="shared" si="77"/>
        <v/>
      </c>
      <c r="E1244" s="45"/>
      <c r="F1244" s="11" t="str">
        <f>IFERROR(VLOOKUP(E1244,Category!$D$2:$E$600,2,FALSE),"")</f>
        <v/>
      </c>
      <c r="G1244" s="45"/>
      <c r="H1244" s="73"/>
      <c r="I1244" s="18" t="str">
        <f t="shared" si="78"/>
        <v/>
      </c>
      <c r="J1244" s="45"/>
      <c r="K1244" s="45"/>
    </row>
    <row r="1245" spans="1:11">
      <c r="A1245" s="10" t="str">
        <f t="shared" si="79"/>
        <v/>
      </c>
      <c r="B1245" s="45"/>
      <c r="C1245" s="11" t="str">
        <f t="shared" si="76"/>
        <v/>
      </c>
      <c r="D1245" s="11" t="str">
        <f t="shared" si="77"/>
        <v/>
      </c>
      <c r="E1245" s="45"/>
      <c r="F1245" s="11" t="str">
        <f>IFERROR(VLOOKUP(E1245,Category!$D$2:$E$600,2,FALSE),"")</f>
        <v/>
      </c>
      <c r="G1245" s="45"/>
      <c r="H1245" s="73"/>
      <c r="I1245" s="18" t="str">
        <f t="shared" si="78"/>
        <v/>
      </c>
      <c r="J1245" s="45"/>
      <c r="K1245" s="45"/>
    </row>
    <row r="1246" spans="1:11">
      <c r="A1246" s="10" t="str">
        <f t="shared" si="79"/>
        <v/>
      </c>
      <c r="B1246" s="45"/>
      <c r="C1246" s="11" t="str">
        <f t="shared" si="76"/>
        <v/>
      </c>
      <c r="D1246" s="11" t="str">
        <f t="shared" si="77"/>
        <v/>
      </c>
      <c r="E1246" s="45"/>
      <c r="F1246" s="11" t="str">
        <f>IFERROR(VLOOKUP(E1246,Category!$D$2:$E$600,2,FALSE),"")</f>
        <v/>
      </c>
      <c r="G1246" s="45"/>
      <c r="H1246" s="73"/>
      <c r="I1246" s="18" t="str">
        <f t="shared" si="78"/>
        <v/>
      </c>
      <c r="J1246" s="45"/>
      <c r="K1246" s="45"/>
    </row>
    <row r="1247" spans="1:11">
      <c r="A1247" s="10" t="str">
        <f t="shared" si="79"/>
        <v/>
      </c>
      <c r="B1247" s="45"/>
      <c r="C1247" s="11" t="str">
        <f t="shared" si="76"/>
        <v/>
      </c>
      <c r="D1247" s="11" t="str">
        <f t="shared" si="77"/>
        <v/>
      </c>
      <c r="E1247" s="45"/>
      <c r="F1247" s="11" t="str">
        <f>IFERROR(VLOOKUP(E1247,Category!$D$2:$E$600,2,FALSE),"")</f>
        <v/>
      </c>
      <c r="G1247" s="45"/>
      <c r="H1247" s="73"/>
      <c r="I1247" s="18" t="str">
        <f t="shared" si="78"/>
        <v/>
      </c>
      <c r="J1247" s="45"/>
      <c r="K1247" s="45"/>
    </row>
    <row r="1248" spans="1:11">
      <c r="A1248" s="10" t="str">
        <f t="shared" si="79"/>
        <v/>
      </c>
      <c r="B1248" s="45"/>
      <c r="C1248" s="11" t="str">
        <f t="shared" si="76"/>
        <v/>
      </c>
      <c r="D1248" s="11" t="str">
        <f t="shared" si="77"/>
        <v/>
      </c>
      <c r="E1248" s="45"/>
      <c r="F1248" s="11" t="str">
        <f>IFERROR(VLOOKUP(E1248,Category!$D$2:$E$600,2,FALSE),"")</f>
        <v/>
      </c>
      <c r="G1248" s="45"/>
      <c r="H1248" s="73"/>
      <c r="I1248" s="18" t="str">
        <f t="shared" si="78"/>
        <v/>
      </c>
      <c r="J1248" s="45"/>
      <c r="K1248" s="45"/>
    </row>
    <row r="1249" spans="1:11">
      <c r="A1249" s="10" t="str">
        <f t="shared" si="79"/>
        <v/>
      </c>
      <c r="B1249" s="45"/>
      <c r="C1249" s="11" t="str">
        <f t="shared" si="76"/>
        <v/>
      </c>
      <c r="D1249" s="11" t="str">
        <f t="shared" si="77"/>
        <v/>
      </c>
      <c r="E1249" s="45"/>
      <c r="F1249" s="11" t="str">
        <f>IFERROR(VLOOKUP(E1249,Category!$D$2:$E$600,2,FALSE),"")</f>
        <v/>
      </c>
      <c r="G1249" s="45"/>
      <c r="H1249" s="73"/>
      <c r="I1249" s="18" t="str">
        <f t="shared" si="78"/>
        <v/>
      </c>
      <c r="J1249" s="45"/>
      <c r="K1249" s="45"/>
    </row>
    <row r="1250" spans="1:11">
      <c r="A1250" s="10" t="str">
        <f t="shared" si="79"/>
        <v/>
      </c>
      <c r="B1250" s="45"/>
      <c r="C1250" s="11" t="str">
        <f t="shared" si="76"/>
        <v/>
      </c>
      <c r="D1250" s="11" t="str">
        <f t="shared" si="77"/>
        <v/>
      </c>
      <c r="E1250" s="45"/>
      <c r="F1250" s="11" t="str">
        <f>IFERROR(VLOOKUP(E1250,Category!$D$2:$E$600,2,FALSE),"")</f>
        <v/>
      </c>
      <c r="G1250" s="45"/>
      <c r="H1250" s="73"/>
      <c r="I1250" s="18" t="str">
        <f t="shared" si="78"/>
        <v/>
      </c>
      <c r="J1250" s="45"/>
      <c r="K1250" s="45"/>
    </row>
    <row r="1251" spans="1:11">
      <c r="A1251" s="10" t="str">
        <f t="shared" si="79"/>
        <v/>
      </c>
      <c r="B1251" s="45"/>
      <c r="C1251" s="11" t="str">
        <f t="shared" si="76"/>
        <v/>
      </c>
      <c r="D1251" s="11" t="str">
        <f t="shared" si="77"/>
        <v/>
      </c>
      <c r="E1251" s="45"/>
      <c r="F1251" s="11" t="str">
        <f>IFERROR(VLOOKUP(E1251,Category!$D$2:$E$600,2,FALSE),"")</f>
        <v/>
      </c>
      <c r="G1251" s="45"/>
      <c r="H1251" s="73"/>
      <c r="I1251" s="18" t="str">
        <f t="shared" si="78"/>
        <v/>
      </c>
      <c r="J1251" s="45"/>
      <c r="K1251" s="45"/>
    </row>
    <row r="1252" spans="1:11">
      <c r="A1252" s="10" t="str">
        <f t="shared" si="79"/>
        <v/>
      </c>
      <c r="B1252" s="45"/>
      <c r="C1252" s="11" t="str">
        <f t="shared" si="76"/>
        <v/>
      </c>
      <c r="D1252" s="11" t="str">
        <f t="shared" si="77"/>
        <v/>
      </c>
      <c r="E1252" s="45"/>
      <c r="F1252" s="11" t="str">
        <f>IFERROR(VLOOKUP(E1252,Category!$D$2:$E$600,2,FALSE),"")</f>
        <v/>
      </c>
      <c r="G1252" s="45"/>
      <c r="H1252" s="73"/>
      <c r="I1252" s="18" t="str">
        <f t="shared" si="78"/>
        <v/>
      </c>
      <c r="J1252" s="45"/>
      <c r="K1252" s="45"/>
    </row>
    <row r="1253" spans="1:11">
      <c r="A1253" s="10" t="str">
        <f t="shared" si="79"/>
        <v/>
      </c>
      <c r="B1253" s="45"/>
      <c r="C1253" s="11" t="str">
        <f t="shared" si="76"/>
        <v/>
      </c>
      <c r="D1253" s="11" t="str">
        <f t="shared" si="77"/>
        <v/>
      </c>
      <c r="E1253" s="45"/>
      <c r="F1253" s="11" t="str">
        <f>IFERROR(VLOOKUP(E1253,Category!$D$2:$E$600,2,FALSE),"")</f>
        <v/>
      </c>
      <c r="G1253" s="45"/>
      <c r="H1253" s="73"/>
      <c r="I1253" s="18" t="str">
        <f t="shared" si="78"/>
        <v/>
      </c>
      <c r="J1253" s="45"/>
      <c r="K1253" s="45"/>
    </row>
    <row r="1254" spans="1:11">
      <c r="A1254" s="10" t="str">
        <f t="shared" si="79"/>
        <v/>
      </c>
      <c r="B1254" s="45"/>
      <c r="C1254" s="11" t="str">
        <f t="shared" si="76"/>
        <v/>
      </c>
      <c r="D1254" s="11" t="str">
        <f t="shared" si="77"/>
        <v/>
      </c>
      <c r="E1254" s="45"/>
      <c r="F1254" s="11" t="str">
        <f>IFERROR(VLOOKUP(E1254,Category!$D$2:$E$600,2,FALSE),"")</f>
        <v/>
      </c>
      <c r="G1254" s="45"/>
      <c r="H1254" s="73"/>
      <c r="I1254" s="18" t="str">
        <f t="shared" si="78"/>
        <v/>
      </c>
      <c r="J1254" s="45"/>
      <c r="K1254" s="45"/>
    </row>
    <row r="1255" spans="1:11">
      <c r="A1255" s="10" t="str">
        <f t="shared" si="79"/>
        <v/>
      </c>
      <c r="B1255" s="45"/>
      <c r="C1255" s="11" t="str">
        <f t="shared" si="76"/>
        <v/>
      </c>
      <c r="D1255" s="11" t="str">
        <f t="shared" si="77"/>
        <v/>
      </c>
      <c r="E1255" s="45"/>
      <c r="F1255" s="11" t="str">
        <f>IFERROR(VLOOKUP(E1255,Category!$D$2:$E$600,2,FALSE),"")</f>
        <v/>
      </c>
      <c r="G1255" s="45"/>
      <c r="H1255" s="73"/>
      <c r="I1255" s="18" t="str">
        <f t="shared" si="78"/>
        <v/>
      </c>
      <c r="J1255" s="45"/>
      <c r="K1255" s="45"/>
    </row>
    <row r="1256" spans="1:11">
      <c r="A1256" s="10" t="str">
        <f t="shared" si="79"/>
        <v/>
      </c>
      <c r="B1256" s="45"/>
      <c r="C1256" s="11" t="str">
        <f t="shared" si="76"/>
        <v/>
      </c>
      <c r="D1256" s="11" t="str">
        <f t="shared" si="77"/>
        <v/>
      </c>
      <c r="E1256" s="45"/>
      <c r="F1256" s="11" t="str">
        <f>IFERROR(VLOOKUP(E1256,Category!$D$2:$E$600,2,FALSE),"")</f>
        <v/>
      </c>
      <c r="G1256" s="45"/>
      <c r="H1256" s="73"/>
      <c r="I1256" s="18" t="str">
        <f t="shared" si="78"/>
        <v/>
      </c>
      <c r="J1256" s="45"/>
      <c r="K1256" s="45"/>
    </row>
    <row r="1257" spans="1:11">
      <c r="A1257" s="10" t="str">
        <f t="shared" si="79"/>
        <v/>
      </c>
      <c r="B1257" s="45"/>
      <c r="C1257" s="11" t="str">
        <f t="shared" si="76"/>
        <v/>
      </c>
      <c r="D1257" s="11" t="str">
        <f t="shared" si="77"/>
        <v/>
      </c>
      <c r="E1257" s="45"/>
      <c r="F1257" s="11" t="str">
        <f>IFERROR(VLOOKUP(E1257,Category!$D$2:$E$600,2,FALSE),"")</f>
        <v/>
      </c>
      <c r="G1257" s="45"/>
      <c r="H1257" s="73"/>
      <c r="I1257" s="18" t="str">
        <f t="shared" si="78"/>
        <v/>
      </c>
      <c r="J1257" s="45"/>
      <c r="K1257" s="45"/>
    </row>
    <row r="1258" spans="1:11">
      <c r="A1258" s="10" t="str">
        <f t="shared" si="79"/>
        <v/>
      </c>
      <c r="B1258" s="45"/>
      <c r="C1258" s="11" t="str">
        <f t="shared" si="76"/>
        <v/>
      </c>
      <c r="D1258" s="11" t="str">
        <f t="shared" si="77"/>
        <v/>
      </c>
      <c r="E1258" s="45"/>
      <c r="F1258" s="11" t="str">
        <f>IFERROR(VLOOKUP(E1258,Category!$D$2:$E$600,2,FALSE),"")</f>
        <v/>
      </c>
      <c r="G1258" s="45"/>
      <c r="H1258" s="73"/>
      <c r="I1258" s="18" t="str">
        <f t="shared" si="78"/>
        <v/>
      </c>
      <c r="J1258" s="45"/>
      <c r="K1258" s="45"/>
    </row>
    <row r="1259" spans="1:11">
      <c r="A1259" s="10" t="str">
        <f t="shared" si="79"/>
        <v/>
      </c>
      <c r="B1259" s="45"/>
      <c r="C1259" s="11" t="str">
        <f t="shared" si="76"/>
        <v/>
      </c>
      <c r="D1259" s="11" t="str">
        <f t="shared" si="77"/>
        <v/>
      </c>
      <c r="E1259" s="45"/>
      <c r="F1259" s="11" t="str">
        <f>IFERROR(VLOOKUP(E1259,Category!$D$2:$E$600,2,FALSE),"")</f>
        <v/>
      </c>
      <c r="G1259" s="45"/>
      <c r="H1259" s="73"/>
      <c r="I1259" s="18" t="str">
        <f t="shared" si="78"/>
        <v/>
      </c>
      <c r="J1259" s="45"/>
      <c r="K1259" s="45"/>
    </row>
    <row r="1260" spans="1:11">
      <c r="A1260" s="10" t="str">
        <f t="shared" si="79"/>
        <v/>
      </c>
      <c r="B1260" s="45"/>
      <c r="C1260" s="11" t="str">
        <f t="shared" si="76"/>
        <v/>
      </c>
      <c r="D1260" s="11" t="str">
        <f t="shared" si="77"/>
        <v/>
      </c>
      <c r="E1260" s="45"/>
      <c r="F1260" s="11" t="str">
        <f>IFERROR(VLOOKUP(E1260,Category!$D$2:$E$600,2,FALSE),"")</f>
        <v/>
      </c>
      <c r="G1260" s="45"/>
      <c r="H1260" s="73"/>
      <c r="I1260" s="18" t="str">
        <f t="shared" si="78"/>
        <v/>
      </c>
      <c r="J1260" s="45"/>
      <c r="K1260" s="45"/>
    </row>
    <row r="1261" spans="1:11">
      <c r="A1261" s="10" t="str">
        <f t="shared" si="79"/>
        <v/>
      </c>
      <c r="B1261" s="45"/>
      <c r="C1261" s="11" t="str">
        <f t="shared" si="76"/>
        <v/>
      </c>
      <c r="D1261" s="11" t="str">
        <f t="shared" si="77"/>
        <v/>
      </c>
      <c r="E1261" s="45"/>
      <c r="F1261" s="11" t="str">
        <f>IFERROR(VLOOKUP(E1261,Category!$D$2:$E$600,2,FALSE),"")</f>
        <v/>
      </c>
      <c r="G1261" s="45"/>
      <c r="H1261" s="73"/>
      <c r="I1261" s="18" t="str">
        <f t="shared" si="78"/>
        <v/>
      </c>
      <c r="J1261" s="45"/>
      <c r="K1261" s="45"/>
    </row>
    <row r="1262" spans="1:11">
      <c r="A1262" s="10" t="str">
        <f t="shared" si="79"/>
        <v/>
      </c>
      <c r="B1262" s="45"/>
      <c r="C1262" s="11" t="str">
        <f t="shared" si="76"/>
        <v/>
      </c>
      <c r="D1262" s="11" t="str">
        <f t="shared" si="77"/>
        <v/>
      </c>
      <c r="E1262" s="45"/>
      <c r="F1262" s="11" t="str">
        <f>IFERROR(VLOOKUP(E1262,Category!$D$2:$E$600,2,FALSE),"")</f>
        <v/>
      </c>
      <c r="G1262" s="45"/>
      <c r="H1262" s="73"/>
      <c r="I1262" s="18" t="str">
        <f t="shared" si="78"/>
        <v/>
      </c>
      <c r="J1262" s="45"/>
      <c r="K1262" s="45"/>
    </row>
    <row r="1263" spans="1:11">
      <c r="A1263" s="10" t="str">
        <f t="shared" si="79"/>
        <v/>
      </c>
      <c r="B1263" s="45"/>
      <c r="C1263" s="11" t="str">
        <f t="shared" si="76"/>
        <v/>
      </c>
      <c r="D1263" s="11" t="str">
        <f t="shared" si="77"/>
        <v/>
      </c>
      <c r="E1263" s="45"/>
      <c r="F1263" s="11" t="str">
        <f>IFERROR(VLOOKUP(E1263,Category!$D$2:$E$600,2,FALSE),"")</f>
        <v/>
      </c>
      <c r="G1263" s="45"/>
      <c r="H1263" s="73"/>
      <c r="I1263" s="18" t="str">
        <f t="shared" si="78"/>
        <v/>
      </c>
      <c r="J1263" s="45"/>
      <c r="K1263" s="45"/>
    </row>
    <row r="1264" spans="1:11">
      <c r="A1264" s="10" t="str">
        <f t="shared" si="79"/>
        <v/>
      </c>
      <c r="B1264" s="45"/>
      <c r="C1264" s="11" t="str">
        <f t="shared" si="76"/>
        <v/>
      </c>
      <c r="D1264" s="11" t="str">
        <f t="shared" si="77"/>
        <v/>
      </c>
      <c r="E1264" s="45"/>
      <c r="F1264" s="11" t="str">
        <f>IFERROR(VLOOKUP(E1264,Category!$D$2:$E$600,2,FALSE),"")</f>
        <v/>
      </c>
      <c r="G1264" s="45"/>
      <c r="H1264" s="73"/>
      <c r="I1264" s="18" t="str">
        <f t="shared" si="78"/>
        <v/>
      </c>
      <c r="J1264" s="45"/>
      <c r="K1264" s="45"/>
    </row>
    <row r="1265" spans="1:11">
      <c r="A1265" s="10" t="str">
        <f t="shared" si="79"/>
        <v/>
      </c>
      <c r="B1265" s="45"/>
      <c r="C1265" s="11" t="str">
        <f t="shared" si="76"/>
        <v/>
      </c>
      <c r="D1265" s="11" t="str">
        <f t="shared" si="77"/>
        <v/>
      </c>
      <c r="E1265" s="45"/>
      <c r="F1265" s="11" t="str">
        <f>IFERROR(VLOOKUP(E1265,Category!$D$2:$E$600,2,FALSE),"")</f>
        <v/>
      </c>
      <c r="G1265" s="45"/>
      <c r="H1265" s="73"/>
      <c r="I1265" s="18" t="str">
        <f t="shared" si="78"/>
        <v/>
      </c>
      <c r="J1265" s="45"/>
      <c r="K1265" s="45"/>
    </row>
    <row r="1266" spans="1:11">
      <c r="A1266" s="10" t="str">
        <f t="shared" si="79"/>
        <v/>
      </c>
      <c r="B1266" s="45"/>
      <c r="C1266" s="11" t="str">
        <f t="shared" si="76"/>
        <v/>
      </c>
      <c r="D1266" s="11" t="str">
        <f t="shared" si="77"/>
        <v/>
      </c>
      <c r="E1266" s="45"/>
      <c r="F1266" s="11" t="str">
        <f>IFERROR(VLOOKUP(E1266,Category!$D$2:$E$600,2,FALSE),"")</f>
        <v/>
      </c>
      <c r="G1266" s="45"/>
      <c r="H1266" s="73"/>
      <c r="I1266" s="18" t="str">
        <f t="shared" si="78"/>
        <v/>
      </c>
      <c r="J1266" s="45"/>
      <c r="K1266" s="45"/>
    </row>
    <row r="1267" spans="1:11">
      <c r="A1267" s="10" t="str">
        <f t="shared" si="79"/>
        <v/>
      </c>
      <c r="B1267" s="45"/>
      <c r="C1267" s="11" t="str">
        <f t="shared" si="76"/>
        <v/>
      </c>
      <c r="D1267" s="11" t="str">
        <f t="shared" si="77"/>
        <v/>
      </c>
      <c r="E1267" s="45"/>
      <c r="F1267" s="11" t="str">
        <f>IFERROR(VLOOKUP(E1267,Category!$D$2:$E$600,2,FALSE),"")</f>
        <v/>
      </c>
      <c r="G1267" s="45"/>
      <c r="H1267" s="73"/>
      <c r="I1267" s="18" t="str">
        <f t="shared" si="78"/>
        <v/>
      </c>
      <c r="J1267" s="45"/>
      <c r="K1267" s="45"/>
    </row>
    <row r="1268" spans="1:11">
      <c r="A1268" s="10" t="str">
        <f t="shared" si="79"/>
        <v/>
      </c>
      <c r="B1268" s="45"/>
      <c r="C1268" s="11" t="str">
        <f t="shared" si="76"/>
        <v/>
      </c>
      <c r="D1268" s="11" t="str">
        <f t="shared" si="77"/>
        <v/>
      </c>
      <c r="E1268" s="45"/>
      <c r="F1268" s="11" t="str">
        <f>IFERROR(VLOOKUP(E1268,Category!$D$2:$E$600,2,FALSE),"")</f>
        <v/>
      </c>
      <c r="G1268" s="45"/>
      <c r="H1268" s="73"/>
      <c r="I1268" s="18" t="str">
        <f t="shared" si="78"/>
        <v/>
      </c>
      <c r="J1268" s="45"/>
      <c r="K1268" s="45"/>
    </row>
    <row r="1269" spans="1:11">
      <c r="A1269" s="10" t="str">
        <f t="shared" si="79"/>
        <v/>
      </c>
      <c r="B1269" s="45"/>
      <c r="C1269" s="11" t="str">
        <f t="shared" si="76"/>
        <v/>
      </c>
      <c r="D1269" s="11" t="str">
        <f t="shared" si="77"/>
        <v/>
      </c>
      <c r="E1269" s="45"/>
      <c r="F1269" s="11" t="str">
        <f>IFERROR(VLOOKUP(E1269,Category!$D$2:$E$600,2,FALSE),"")</f>
        <v/>
      </c>
      <c r="G1269" s="45"/>
      <c r="H1269" s="73"/>
      <c r="I1269" s="18" t="str">
        <f t="shared" si="78"/>
        <v/>
      </c>
      <c r="J1269" s="45"/>
      <c r="K1269" s="45"/>
    </row>
    <row r="1270" spans="1:11">
      <c r="A1270" s="10" t="str">
        <f t="shared" si="79"/>
        <v/>
      </c>
      <c r="B1270" s="45"/>
      <c r="C1270" s="11" t="str">
        <f t="shared" si="76"/>
        <v/>
      </c>
      <c r="D1270" s="11" t="str">
        <f t="shared" si="77"/>
        <v/>
      </c>
      <c r="E1270" s="45"/>
      <c r="F1270" s="11" t="str">
        <f>IFERROR(VLOOKUP(E1270,Category!$D$2:$E$600,2,FALSE),"")</f>
        <v/>
      </c>
      <c r="G1270" s="45"/>
      <c r="H1270" s="73"/>
      <c r="I1270" s="18" t="str">
        <f t="shared" si="78"/>
        <v/>
      </c>
      <c r="J1270" s="45"/>
      <c r="K1270" s="45"/>
    </row>
    <row r="1271" spans="1:11">
      <c r="A1271" s="10" t="str">
        <f t="shared" si="79"/>
        <v/>
      </c>
      <c r="B1271" s="45"/>
      <c r="C1271" s="11" t="str">
        <f t="shared" si="76"/>
        <v/>
      </c>
      <c r="D1271" s="11" t="str">
        <f t="shared" si="77"/>
        <v/>
      </c>
      <c r="E1271" s="45"/>
      <c r="F1271" s="11" t="str">
        <f>IFERROR(VLOOKUP(E1271,Category!$D$2:$E$600,2,FALSE),"")</f>
        <v/>
      </c>
      <c r="G1271" s="45"/>
      <c r="H1271" s="73"/>
      <c r="I1271" s="18" t="str">
        <f t="shared" si="78"/>
        <v/>
      </c>
      <c r="J1271" s="45"/>
      <c r="K1271" s="45"/>
    </row>
    <row r="1272" spans="1:11">
      <c r="A1272" s="10" t="str">
        <f t="shared" si="79"/>
        <v/>
      </c>
      <c r="B1272" s="45"/>
      <c r="C1272" s="11" t="str">
        <f t="shared" si="76"/>
        <v/>
      </c>
      <c r="D1272" s="11" t="str">
        <f t="shared" si="77"/>
        <v/>
      </c>
      <c r="E1272" s="45"/>
      <c r="F1272" s="11" t="str">
        <f>IFERROR(VLOOKUP(E1272,Category!$D$2:$E$600,2,FALSE),"")</f>
        <v/>
      </c>
      <c r="G1272" s="45"/>
      <c r="H1272" s="73"/>
      <c r="I1272" s="18" t="str">
        <f t="shared" si="78"/>
        <v/>
      </c>
      <c r="J1272" s="45"/>
      <c r="K1272" s="45"/>
    </row>
    <row r="1273" spans="1:11">
      <c r="A1273" s="10" t="str">
        <f t="shared" si="79"/>
        <v/>
      </c>
      <c r="B1273" s="45"/>
      <c r="C1273" s="11" t="str">
        <f t="shared" si="76"/>
        <v/>
      </c>
      <c r="D1273" s="11" t="str">
        <f t="shared" si="77"/>
        <v/>
      </c>
      <c r="E1273" s="45"/>
      <c r="F1273" s="11" t="str">
        <f>IFERROR(VLOOKUP(E1273,Category!$D$2:$E$600,2,FALSE),"")</f>
        <v/>
      </c>
      <c r="G1273" s="45"/>
      <c r="H1273" s="73"/>
      <c r="I1273" s="18" t="str">
        <f t="shared" si="78"/>
        <v/>
      </c>
      <c r="J1273" s="45"/>
      <c r="K1273" s="45"/>
    </row>
    <row r="1274" spans="1:11">
      <c r="A1274" s="10" t="str">
        <f t="shared" si="79"/>
        <v/>
      </c>
      <c r="B1274" s="45"/>
      <c r="C1274" s="11" t="str">
        <f t="shared" si="76"/>
        <v/>
      </c>
      <c r="D1274" s="11" t="str">
        <f t="shared" si="77"/>
        <v/>
      </c>
      <c r="E1274" s="45"/>
      <c r="F1274" s="11" t="str">
        <f>IFERROR(VLOOKUP(E1274,Category!$D$2:$E$600,2,FALSE),"")</f>
        <v/>
      </c>
      <c r="G1274" s="45"/>
      <c r="H1274" s="73"/>
      <c r="I1274" s="18" t="str">
        <f t="shared" si="78"/>
        <v/>
      </c>
      <c r="J1274" s="45"/>
      <c r="K1274" s="45"/>
    </row>
    <row r="1275" spans="1:11">
      <c r="A1275" s="10" t="str">
        <f t="shared" si="79"/>
        <v/>
      </c>
      <c r="B1275" s="45"/>
      <c r="C1275" s="11" t="str">
        <f t="shared" si="76"/>
        <v/>
      </c>
      <c r="D1275" s="11" t="str">
        <f t="shared" si="77"/>
        <v/>
      </c>
      <c r="E1275" s="45"/>
      <c r="F1275" s="11" t="str">
        <f>IFERROR(VLOOKUP(E1275,Category!$D$2:$E$600,2,FALSE),"")</f>
        <v/>
      </c>
      <c r="G1275" s="45"/>
      <c r="H1275" s="73"/>
      <c r="I1275" s="18" t="str">
        <f t="shared" si="78"/>
        <v/>
      </c>
      <c r="J1275" s="45"/>
      <c r="K1275" s="45"/>
    </row>
    <row r="1276" spans="1:11">
      <c r="A1276" s="10" t="str">
        <f t="shared" si="79"/>
        <v/>
      </c>
      <c r="B1276" s="45"/>
      <c r="C1276" s="11" t="str">
        <f t="shared" si="76"/>
        <v/>
      </c>
      <c r="D1276" s="11" t="str">
        <f t="shared" si="77"/>
        <v/>
      </c>
      <c r="E1276" s="45"/>
      <c r="F1276" s="11" t="str">
        <f>IFERROR(VLOOKUP(E1276,Category!$D$2:$E$600,2,FALSE),"")</f>
        <v/>
      </c>
      <c r="G1276" s="45"/>
      <c r="H1276" s="73"/>
      <c r="I1276" s="18" t="str">
        <f t="shared" si="78"/>
        <v/>
      </c>
      <c r="J1276" s="45"/>
      <c r="K1276" s="45"/>
    </row>
    <row r="1277" spans="1:11">
      <c r="A1277" s="10" t="str">
        <f t="shared" si="79"/>
        <v/>
      </c>
      <c r="B1277" s="45"/>
      <c r="C1277" s="11" t="str">
        <f t="shared" si="76"/>
        <v/>
      </c>
      <c r="D1277" s="11" t="str">
        <f t="shared" si="77"/>
        <v/>
      </c>
      <c r="E1277" s="45"/>
      <c r="F1277" s="11" t="str">
        <f>IFERROR(VLOOKUP(E1277,Category!$D$2:$E$600,2,FALSE),"")</f>
        <v/>
      </c>
      <c r="G1277" s="45"/>
      <c r="H1277" s="73"/>
      <c r="I1277" s="18" t="str">
        <f t="shared" si="78"/>
        <v/>
      </c>
      <c r="J1277" s="45"/>
      <c r="K1277" s="45"/>
    </row>
    <row r="1278" spans="1:11">
      <c r="A1278" s="10" t="str">
        <f t="shared" si="79"/>
        <v/>
      </c>
      <c r="B1278" s="45"/>
      <c r="C1278" s="11" t="str">
        <f t="shared" si="76"/>
        <v/>
      </c>
      <c r="D1278" s="11" t="str">
        <f t="shared" si="77"/>
        <v/>
      </c>
      <c r="E1278" s="45"/>
      <c r="F1278" s="11" t="str">
        <f>IFERROR(VLOOKUP(E1278,Category!$D$2:$E$600,2,FALSE),"")</f>
        <v/>
      </c>
      <c r="G1278" s="45"/>
      <c r="H1278" s="73"/>
      <c r="I1278" s="18" t="str">
        <f t="shared" si="78"/>
        <v/>
      </c>
      <c r="J1278" s="45"/>
      <c r="K1278" s="45"/>
    </row>
    <row r="1279" spans="1:11">
      <c r="A1279" s="10" t="str">
        <f t="shared" si="79"/>
        <v/>
      </c>
      <c r="B1279" s="45"/>
      <c r="C1279" s="11" t="str">
        <f t="shared" si="76"/>
        <v/>
      </c>
      <c r="D1279" s="11" t="str">
        <f t="shared" si="77"/>
        <v/>
      </c>
      <c r="E1279" s="45"/>
      <c r="F1279" s="11" t="str">
        <f>IFERROR(VLOOKUP(E1279,Category!$D$2:$E$600,2,FALSE),"")</f>
        <v/>
      </c>
      <c r="G1279" s="45"/>
      <c r="H1279" s="73"/>
      <c r="I1279" s="18" t="str">
        <f t="shared" si="78"/>
        <v/>
      </c>
      <c r="J1279" s="45"/>
      <c r="K1279" s="45"/>
    </row>
    <row r="1280" spans="1:11">
      <c r="A1280" s="10" t="str">
        <f t="shared" si="79"/>
        <v/>
      </c>
      <c r="B1280" s="45"/>
      <c r="C1280" s="11" t="str">
        <f t="shared" si="76"/>
        <v/>
      </c>
      <c r="D1280" s="11" t="str">
        <f t="shared" si="77"/>
        <v/>
      </c>
      <c r="E1280" s="45"/>
      <c r="F1280" s="11" t="str">
        <f>IFERROR(VLOOKUP(E1280,Category!$D$2:$E$600,2,FALSE),"")</f>
        <v/>
      </c>
      <c r="G1280" s="45"/>
      <c r="H1280" s="73"/>
      <c r="I1280" s="18" t="str">
        <f t="shared" si="78"/>
        <v/>
      </c>
      <c r="J1280" s="45"/>
      <c r="K1280" s="45"/>
    </row>
    <row r="1281" spans="1:11">
      <c r="A1281" s="10" t="str">
        <f t="shared" si="79"/>
        <v/>
      </c>
      <c r="B1281" s="45"/>
      <c r="C1281" s="11" t="str">
        <f t="shared" si="76"/>
        <v/>
      </c>
      <c r="D1281" s="11" t="str">
        <f t="shared" si="77"/>
        <v/>
      </c>
      <c r="E1281" s="45"/>
      <c r="F1281" s="11" t="str">
        <f>IFERROR(VLOOKUP(E1281,Category!$D$2:$E$600,2,FALSE),"")</f>
        <v/>
      </c>
      <c r="G1281" s="45"/>
      <c r="H1281" s="73"/>
      <c r="I1281" s="18" t="str">
        <f t="shared" si="78"/>
        <v/>
      </c>
      <c r="J1281" s="45"/>
      <c r="K1281" s="45"/>
    </row>
    <row r="1282" spans="1:11">
      <c r="A1282" s="10" t="str">
        <f t="shared" si="79"/>
        <v/>
      </c>
      <c r="B1282" s="45"/>
      <c r="C1282" s="11" t="str">
        <f t="shared" si="76"/>
        <v/>
      </c>
      <c r="D1282" s="11" t="str">
        <f t="shared" si="77"/>
        <v/>
      </c>
      <c r="E1282" s="45"/>
      <c r="F1282" s="11" t="str">
        <f>IFERROR(VLOOKUP(E1282,Category!$D$2:$E$600,2,FALSE),"")</f>
        <v/>
      </c>
      <c r="G1282" s="45"/>
      <c r="H1282" s="73"/>
      <c r="I1282" s="18" t="str">
        <f t="shared" si="78"/>
        <v/>
      </c>
      <c r="J1282" s="45"/>
      <c r="K1282" s="45"/>
    </row>
    <row r="1283" spans="1:11">
      <c r="A1283" s="10" t="str">
        <f t="shared" si="79"/>
        <v/>
      </c>
      <c r="B1283" s="45"/>
      <c r="C1283" s="11" t="str">
        <f t="shared" ref="C1283:C1346" si="80">IF(B1283=0,"",TEXT(B1283,"mmmm"))</f>
        <v/>
      </c>
      <c r="D1283" s="11" t="str">
        <f t="shared" ref="D1283:D1346" si="81">IF(B1283=0,"",TEXT(B1283,"yyyy"))</f>
        <v/>
      </c>
      <c r="E1283" s="45"/>
      <c r="F1283" s="11" t="str">
        <f>IFERROR(VLOOKUP(E1283,Category!$D$2:$E$600,2,FALSE),"")</f>
        <v/>
      </c>
      <c r="G1283" s="45"/>
      <c r="H1283" s="73"/>
      <c r="I1283" s="18" t="str">
        <f t="shared" ref="I1283:I1346" si="82">IF(G1283*H1283=0,"",G1283*H1283)</f>
        <v/>
      </c>
      <c r="J1283" s="45"/>
      <c r="K1283" s="45"/>
    </row>
    <row r="1284" spans="1:11">
      <c r="A1284" s="10" t="str">
        <f t="shared" ref="A1284:A1347" si="83">IF(E1284&gt;0,A1283+1,"")</f>
        <v/>
      </c>
      <c r="B1284" s="45"/>
      <c r="C1284" s="11" t="str">
        <f t="shared" si="80"/>
        <v/>
      </c>
      <c r="D1284" s="11" t="str">
        <f t="shared" si="81"/>
        <v/>
      </c>
      <c r="E1284" s="45"/>
      <c r="F1284" s="11" t="str">
        <f>IFERROR(VLOOKUP(E1284,Category!$D$2:$E$600,2,FALSE),"")</f>
        <v/>
      </c>
      <c r="G1284" s="45"/>
      <c r="H1284" s="73"/>
      <c r="I1284" s="18" t="str">
        <f t="shared" si="82"/>
        <v/>
      </c>
      <c r="J1284" s="45"/>
      <c r="K1284" s="45"/>
    </row>
    <row r="1285" spans="1:11">
      <c r="A1285" s="10" t="str">
        <f t="shared" si="83"/>
        <v/>
      </c>
      <c r="B1285" s="45"/>
      <c r="C1285" s="11" t="str">
        <f t="shared" si="80"/>
        <v/>
      </c>
      <c r="D1285" s="11" t="str">
        <f t="shared" si="81"/>
        <v/>
      </c>
      <c r="E1285" s="45"/>
      <c r="F1285" s="11" t="str">
        <f>IFERROR(VLOOKUP(E1285,Category!$D$2:$E$600,2,FALSE),"")</f>
        <v/>
      </c>
      <c r="G1285" s="45"/>
      <c r="H1285" s="73"/>
      <c r="I1285" s="18" t="str">
        <f t="shared" si="82"/>
        <v/>
      </c>
      <c r="J1285" s="45"/>
      <c r="K1285" s="45"/>
    </row>
    <row r="1286" spans="1:11">
      <c r="A1286" s="10" t="str">
        <f t="shared" si="83"/>
        <v/>
      </c>
      <c r="B1286" s="45"/>
      <c r="C1286" s="11" t="str">
        <f t="shared" si="80"/>
        <v/>
      </c>
      <c r="D1286" s="11" t="str">
        <f t="shared" si="81"/>
        <v/>
      </c>
      <c r="E1286" s="45"/>
      <c r="F1286" s="11" t="str">
        <f>IFERROR(VLOOKUP(E1286,Category!$D$2:$E$600,2,FALSE),"")</f>
        <v/>
      </c>
      <c r="G1286" s="45"/>
      <c r="H1286" s="73"/>
      <c r="I1286" s="18" t="str">
        <f t="shared" si="82"/>
        <v/>
      </c>
      <c r="J1286" s="45"/>
      <c r="K1286" s="45"/>
    </row>
    <row r="1287" spans="1:11">
      <c r="A1287" s="10" t="str">
        <f t="shared" si="83"/>
        <v/>
      </c>
      <c r="B1287" s="45"/>
      <c r="C1287" s="11" t="str">
        <f t="shared" si="80"/>
        <v/>
      </c>
      <c r="D1287" s="11" t="str">
        <f t="shared" si="81"/>
        <v/>
      </c>
      <c r="E1287" s="45"/>
      <c r="F1287" s="11" t="str">
        <f>IFERROR(VLOOKUP(E1287,Category!$D$2:$E$600,2,FALSE),"")</f>
        <v/>
      </c>
      <c r="G1287" s="45"/>
      <c r="H1287" s="73"/>
      <c r="I1287" s="18" t="str">
        <f t="shared" si="82"/>
        <v/>
      </c>
      <c r="J1287" s="45"/>
      <c r="K1287" s="45"/>
    </row>
    <row r="1288" spans="1:11">
      <c r="A1288" s="10" t="str">
        <f t="shared" si="83"/>
        <v/>
      </c>
      <c r="B1288" s="45"/>
      <c r="C1288" s="11" t="str">
        <f t="shared" si="80"/>
        <v/>
      </c>
      <c r="D1288" s="11" t="str">
        <f t="shared" si="81"/>
        <v/>
      </c>
      <c r="E1288" s="45"/>
      <c r="F1288" s="11" t="str">
        <f>IFERROR(VLOOKUP(E1288,Category!$D$2:$E$600,2,FALSE),"")</f>
        <v/>
      </c>
      <c r="G1288" s="45"/>
      <c r="H1288" s="73"/>
      <c r="I1288" s="18" t="str">
        <f t="shared" si="82"/>
        <v/>
      </c>
      <c r="J1288" s="45"/>
      <c r="K1288" s="45"/>
    </row>
    <row r="1289" spans="1:11">
      <c r="A1289" s="10" t="str">
        <f t="shared" si="83"/>
        <v/>
      </c>
      <c r="B1289" s="45"/>
      <c r="C1289" s="11" t="str">
        <f t="shared" si="80"/>
        <v/>
      </c>
      <c r="D1289" s="11" t="str">
        <f t="shared" si="81"/>
        <v/>
      </c>
      <c r="E1289" s="45"/>
      <c r="F1289" s="11" t="str">
        <f>IFERROR(VLOOKUP(E1289,Category!$D$2:$E$600,2,FALSE),"")</f>
        <v/>
      </c>
      <c r="G1289" s="45"/>
      <c r="H1289" s="73"/>
      <c r="I1289" s="18" t="str">
        <f t="shared" si="82"/>
        <v/>
      </c>
      <c r="J1289" s="45"/>
      <c r="K1289" s="45"/>
    </row>
    <row r="1290" spans="1:11">
      <c r="A1290" s="10" t="str">
        <f t="shared" si="83"/>
        <v/>
      </c>
      <c r="B1290" s="45"/>
      <c r="C1290" s="11" t="str">
        <f t="shared" si="80"/>
        <v/>
      </c>
      <c r="D1290" s="11" t="str">
        <f t="shared" si="81"/>
        <v/>
      </c>
      <c r="E1290" s="45"/>
      <c r="F1290" s="11" t="str">
        <f>IFERROR(VLOOKUP(E1290,Category!$D$2:$E$600,2,FALSE),"")</f>
        <v/>
      </c>
      <c r="G1290" s="45"/>
      <c r="H1290" s="73"/>
      <c r="I1290" s="18" t="str">
        <f t="shared" si="82"/>
        <v/>
      </c>
      <c r="J1290" s="45"/>
      <c r="K1290" s="45"/>
    </row>
    <row r="1291" spans="1:11">
      <c r="A1291" s="10" t="str">
        <f t="shared" si="83"/>
        <v/>
      </c>
      <c r="B1291" s="45"/>
      <c r="C1291" s="11" t="str">
        <f t="shared" si="80"/>
        <v/>
      </c>
      <c r="D1291" s="11" t="str">
        <f t="shared" si="81"/>
        <v/>
      </c>
      <c r="E1291" s="45"/>
      <c r="F1291" s="11" t="str">
        <f>IFERROR(VLOOKUP(E1291,Category!$D$2:$E$600,2,FALSE),"")</f>
        <v/>
      </c>
      <c r="G1291" s="45"/>
      <c r="H1291" s="73"/>
      <c r="I1291" s="18" t="str">
        <f t="shared" si="82"/>
        <v/>
      </c>
      <c r="J1291" s="45"/>
      <c r="K1291" s="45"/>
    </row>
    <row r="1292" spans="1:11">
      <c r="A1292" s="10" t="str">
        <f t="shared" si="83"/>
        <v/>
      </c>
      <c r="B1292" s="45"/>
      <c r="C1292" s="11" t="str">
        <f t="shared" si="80"/>
        <v/>
      </c>
      <c r="D1292" s="11" t="str">
        <f t="shared" si="81"/>
        <v/>
      </c>
      <c r="E1292" s="45"/>
      <c r="F1292" s="11" t="str">
        <f>IFERROR(VLOOKUP(E1292,Category!$D$2:$E$600,2,FALSE),"")</f>
        <v/>
      </c>
      <c r="G1292" s="45"/>
      <c r="H1292" s="73"/>
      <c r="I1292" s="18" t="str">
        <f t="shared" si="82"/>
        <v/>
      </c>
      <c r="J1292" s="45"/>
      <c r="K1292" s="45"/>
    </row>
    <row r="1293" spans="1:11">
      <c r="A1293" s="10" t="str">
        <f t="shared" si="83"/>
        <v/>
      </c>
      <c r="B1293" s="45"/>
      <c r="C1293" s="11" t="str">
        <f t="shared" si="80"/>
        <v/>
      </c>
      <c r="D1293" s="11" t="str">
        <f t="shared" si="81"/>
        <v/>
      </c>
      <c r="E1293" s="45"/>
      <c r="F1293" s="11" t="str">
        <f>IFERROR(VLOOKUP(E1293,Category!$D$2:$E$600,2,FALSE),"")</f>
        <v/>
      </c>
      <c r="G1293" s="45"/>
      <c r="H1293" s="73"/>
      <c r="I1293" s="18" t="str">
        <f t="shared" si="82"/>
        <v/>
      </c>
      <c r="J1293" s="45"/>
      <c r="K1293" s="45"/>
    </row>
    <row r="1294" spans="1:11">
      <c r="A1294" s="10" t="str">
        <f t="shared" si="83"/>
        <v/>
      </c>
      <c r="B1294" s="45"/>
      <c r="C1294" s="11" t="str">
        <f t="shared" si="80"/>
        <v/>
      </c>
      <c r="D1294" s="11" t="str">
        <f t="shared" si="81"/>
        <v/>
      </c>
      <c r="E1294" s="45"/>
      <c r="F1294" s="11" t="str">
        <f>IFERROR(VLOOKUP(E1294,Category!$D$2:$E$600,2,FALSE),"")</f>
        <v/>
      </c>
      <c r="G1294" s="45"/>
      <c r="H1294" s="73"/>
      <c r="I1294" s="18" t="str">
        <f t="shared" si="82"/>
        <v/>
      </c>
      <c r="J1294" s="45"/>
      <c r="K1294" s="45"/>
    </row>
    <row r="1295" spans="1:11">
      <c r="A1295" s="10" t="str">
        <f t="shared" si="83"/>
        <v/>
      </c>
      <c r="B1295" s="45"/>
      <c r="C1295" s="11" t="str">
        <f t="shared" si="80"/>
        <v/>
      </c>
      <c r="D1295" s="11" t="str">
        <f t="shared" si="81"/>
        <v/>
      </c>
      <c r="E1295" s="45"/>
      <c r="F1295" s="11" t="str">
        <f>IFERROR(VLOOKUP(E1295,Category!$D$2:$E$600,2,FALSE),"")</f>
        <v/>
      </c>
      <c r="G1295" s="45"/>
      <c r="H1295" s="73"/>
      <c r="I1295" s="18" t="str">
        <f t="shared" si="82"/>
        <v/>
      </c>
      <c r="J1295" s="45"/>
      <c r="K1295" s="45"/>
    </row>
    <row r="1296" spans="1:11">
      <c r="A1296" s="10" t="str">
        <f t="shared" si="83"/>
        <v/>
      </c>
      <c r="B1296" s="45"/>
      <c r="C1296" s="11" t="str">
        <f t="shared" si="80"/>
        <v/>
      </c>
      <c r="D1296" s="11" t="str">
        <f t="shared" si="81"/>
        <v/>
      </c>
      <c r="E1296" s="45"/>
      <c r="F1296" s="11" t="str">
        <f>IFERROR(VLOOKUP(E1296,Category!$D$2:$E$600,2,FALSE),"")</f>
        <v/>
      </c>
      <c r="G1296" s="45"/>
      <c r="H1296" s="73"/>
      <c r="I1296" s="18" t="str">
        <f t="shared" si="82"/>
        <v/>
      </c>
      <c r="J1296" s="45"/>
      <c r="K1296" s="45"/>
    </row>
    <row r="1297" spans="1:11">
      <c r="A1297" s="10" t="str">
        <f t="shared" si="83"/>
        <v/>
      </c>
      <c r="B1297" s="45"/>
      <c r="C1297" s="11" t="str">
        <f t="shared" si="80"/>
        <v/>
      </c>
      <c r="D1297" s="11" t="str">
        <f t="shared" si="81"/>
        <v/>
      </c>
      <c r="E1297" s="45"/>
      <c r="F1297" s="11" t="str">
        <f>IFERROR(VLOOKUP(E1297,Category!$D$2:$E$600,2,FALSE),"")</f>
        <v/>
      </c>
      <c r="G1297" s="45"/>
      <c r="H1297" s="73"/>
      <c r="I1297" s="18" t="str">
        <f t="shared" si="82"/>
        <v/>
      </c>
      <c r="J1297" s="45"/>
      <c r="K1297" s="45"/>
    </row>
    <row r="1298" spans="1:11">
      <c r="A1298" s="10" t="str">
        <f t="shared" si="83"/>
        <v/>
      </c>
      <c r="B1298" s="45"/>
      <c r="C1298" s="11" t="str">
        <f t="shared" si="80"/>
        <v/>
      </c>
      <c r="D1298" s="11" t="str">
        <f t="shared" si="81"/>
        <v/>
      </c>
      <c r="E1298" s="45"/>
      <c r="F1298" s="11" t="str">
        <f>IFERROR(VLOOKUP(E1298,Category!$D$2:$E$600,2,FALSE),"")</f>
        <v/>
      </c>
      <c r="G1298" s="45"/>
      <c r="H1298" s="73"/>
      <c r="I1298" s="18" t="str">
        <f t="shared" si="82"/>
        <v/>
      </c>
      <c r="J1298" s="45"/>
      <c r="K1298" s="45"/>
    </row>
    <row r="1299" spans="1:11">
      <c r="A1299" s="10" t="str">
        <f t="shared" si="83"/>
        <v/>
      </c>
      <c r="B1299" s="45"/>
      <c r="C1299" s="11" t="str">
        <f t="shared" si="80"/>
        <v/>
      </c>
      <c r="D1299" s="11" t="str">
        <f t="shared" si="81"/>
        <v/>
      </c>
      <c r="E1299" s="45"/>
      <c r="F1299" s="11" t="str">
        <f>IFERROR(VLOOKUP(E1299,Category!$D$2:$E$600,2,FALSE),"")</f>
        <v/>
      </c>
      <c r="G1299" s="45"/>
      <c r="H1299" s="73"/>
      <c r="I1299" s="18" t="str">
        <f t="shared" si="82"/>
        <v/>
      </c>
      <c r="J1299" s="45"/>
      <c r="K1299" s="45"/>
    </row>
    <row r="1300" spans="1:11">
      <c r="A1300" s="10" t="str">
        <f t="shared" si="83"/>
        <v/>
      </c>
      <c r="B1300" s="45"/>
      <c r="C1300" s="11" t="str">
        <f t="shared" si="80"/>
        <v/>
      </c>
      <c r="D1300" s="11" t="str">
        <f t="shared" si="81"/>
        <v/>
      </c>
      <c r="E1300" s="45"/>
      <c r="F1300" s="11" t="str">
        <f>IFERROR(VLOOKUP(E1300,Category!$D$2:$E$600,2,FALSE),"")</f>
        <v/>
      </c>
      <c r="G1300" s="45"/>
      <c r="H1300" s="73"/>
      <c r="I1300" s="18" t="str">
        <f t="shared" si="82"/>
        <v/>
      </c>
      <c r="J1300" s="45"/>
      <c r="K1300" s="45"/>
    </row>
    <row r="1301" spans="1:11">
      <c r="A1301" s="10" t="str">
        <f t="shared" si="83"/>
        <v/>
      </c>
      <c r="B1301" s="45"/>
      <c r="C1301" s="11" t="str">
        <f t="shared" si="80"/>
        <v/>
      </c>
      <c r="D1301" s="11" t="str">
        <f t="shared" si="81"/>
        <v/>
      </c>
      <c r="E1301" s="45"/>
      <c r="F1301" s="11" t="str">
        <f>IFERROR(VLOOKUP(E1301,Category!$D$2:$E$600,2,FALSE),"")</f>
        <v/>
      </c>
      <c r="G1301" s="45"/>
      <c r="H1301" s="73"/>
      <c r="I1301" s="18" t="str">
        <f t="shared" si="82"/>
        <v/>
      </c>
      <c r="J1301" s="45"/>
      <c r="K1301" s="45"/>
    </row>
    <row r="1302" spans="1:11">
      <c r="A1302" s="10" t="str">
        <f t="shared" si="83"/>
        <v/>
      </c>
      <c r="B1302" s="45"/>
      <c r="C1302" s="11" t="str">
        <f t="shared" si="80"/>
        <v/>
      </c>
      <c r="D1302" s="11" t="str">
        <f t="shared" si="81"/>
        <v/>
      </c>
      <c r="E1302" s="45"/>
      <c r="F1302" s="11" t="str">
        <f>IFERROR(VLOOKUP(E1302,Category!$D$2:$E$600,2,FALSE),"")</f>
        <v/>
      </c>
      <c r="G1302" s="45"/>
      <c r="H1302" s="73"/>
      <c r="I1302" s="18" t="str">
        <f t="shared" si="82"/>
        <v/>
      </c>
      <c r="J1302" s="45"/>
      <c r="K1302" s="45"/>
    </row>
    <row r="1303" spans="1:11">
      <c r="A1303" s="10" t="str">
        <f t="shared" si="83"/>
        <v/>
      </c>
      <c r="B1303" s="45"/>
      <c r="C1303" s="11" t="str">
        <f t="shared" si="80"/>
        <v/>
      </c>
      <c r="D1303" s="11" t="str">
        <f t="shared" si="81"/>
        <v/>
      </c>
      <c r="E1303" s="45"/>
      <c r="F1303" s="11" t="str">
        <f>IFERROR(VLOOKUP(E1303,Category!$D$2:$E$600,2,FALSE),"")</f>
        <v/>
      </c>
      <c r="G1303" s="45"/>
      <c r="H1303" s="73"/>
      <c r="I1303" s="18" t="str">
        <f t="shared" si="82"/>
        <v/>
      </c>
      <c r="J1303" s="45"/>
      <c r="K1303" s="45"/>
    </row>
    <row r="1304" spans="1:11">
      <c r="A1304" s="10" t="str">
        <f t="shared" si="83"/>
        <v/>
      </c>
      <c r="B1304" s="45"/>
      <c r="C1304" s="11" t="str">
        <f t="shared" si="80"/>
        <v/>
      </c>
      <c r="D1304" s="11" t="str">
        <f t="shared" si="81"/>
        <v/>
      </c>
      <c r="E1304" s="45"/>
      <c r="F1304" s="11" t="str">
        <f>IFERROR(VLOOKUP(E1304,Category!$D$2:$E$600,2,FALSE),"")</f>
        <v/>
      </c>
      <c r="G1304" s="45"/>
      <c r="H1304" s="73"/>
      <c r="I1304" s="18" t="str">
        <f t="shared" si="82"/>
        <v/>
      </c>
      <c r="J1304" s="45"/>
      <c r="K1304" s="45"/>
    </row>
    <row r="1305" spans="1:11">
      <c r="A1305" s="10" t="str">
        <f t="shared" si="83"/>
        <v/>
      </c>
      <c r="B1305" s="45"/>
      <c r="C1305" s="11" t="str">
        <f t="shared" si="80"/>
        <v/>
      </c>
      <c r="D1305" s="11" t="str">
        <f t="shared" si="81"/>
        <v/>
      </c>
      <c r="E1305" s="45"/>
      <c r="F1305" s="11" t="str">
        <f>IFERROR(VLOOKUP(E1305,Category!$D$2:$E$600,2,FALSE),"")</f>
        <v/>
      </c>
      <c r="G1305" s="45"/>
      <c r="H1305" s="73"/>
      <c r="I1305" s="18" t="str">
        <f t="shared" si="82"/>
        <v/>
      </c>
      <c r="J1305" s="45"/>
      <c r="K1305" s="45"/>
    </row>
    <row r="1306" spans="1:11">
      <c r="A1306" s="10" t="str">
        <f t="shared" si="83"/>
        <v/>
      </c>
      <c r="B1306" s="45"/>
      <c r="C1306" s="11" t="str">
        <f t="shared" si="80"/>
        <v/>
      </c>
      <c r="D1306" s="11" t="str">
        <f t="shared" si="81"/>
        <v/>
      </c>
      <c r="E1306" s="45"/>
      <c r="F1306" s="11" t="str">
        <f>IFERROR(VLOOKUP(E1306,Category!$D$2:$E$600,2,FALSE),"")</f>
        <v/>
      </c>
      <c r="G1306" s="45"/>
      <c r="H1306" s="73"/>
      <c r="I1306" s="18" t="str">
        <f t="shared" si="82"/>
        <v/>
      </c>
      <c r="J1306" s="45"/>
      <c r="K1306" s="45"/>
    </row>
    <row r="1307" spans="1:11">
      <c r="A1307" s="10" t="str">
        <f t="shared" si="83"/>
        <v/>
      </c>
      <c r="B1307" s="45"/>
      <c r="C1307" s="11" t="str">
        <f t="shared" si="80"/>
        <v/>
      </c>
      <c r="D1307" s="11" t="str">
        <f t="shared" si="81"/>
        <v/>
      </c>
      <c r="E1307" s="45"/>
      <c r="F1307" s="11" t="str">
        <f>IFERROR(VLOOKUP(E1307,Category!$D$2:$E$600,2,FALSE),"")</f>
        <v/>
      </c>
      <c r="G1307" s="45"/>
      <c r="H1307" s="73"/>
      <c r="I1307" s="18" t="str">
        <f t="shared" si="82"/>
        <v/>
      </c>
      <c r="J1307" s="45"/>
      <c r="K1307" s="45"/>
    </row>
    <row r="1308" spans="1:11">
      <c r="A1308" s="10" t="str">
        <f t="shared" si="83"/>
        <v/>
      </c>
      <c r="B1308" s="45"/>
      <c r="C1308" s="11" t="str">
        <f t="shared" si="80"/>
        <v/>
      </c>
      <c r="D1308" s="11" t="str">
        <f t="shared" si="81"/>
        <v/>
      </c>
      <c r="E1308" s="45"/>
      <c r="F1308" s="11" t="str">
        <f>IFERROR(VLOOKUP(E1308,Category!$D$2:$E$600,2,FALSE),"")</f>
        <v/>
      </c>
      <c r="G1308" s="45"/>
      <c r="H1308" s="73"/>
      <c r="I1308" s="18" t="str">
        <f t="shared" si="82"/>
        <v/>
      </c>
      <c r="J1308" s="45"/>
      <c r="K1308" s="45"/>
    </row>
    <row r="1309" spans="1:11">
      <c r="A1309" s="10" t="str">
        <f t="shared" si="83"/>
        <v/>
      </c>
      <c r="B1309" s="45"/>
      <c r="C1309" s="11" t="str">
        <f t="shared" si="80"/>
        <v/>
      </c>
      <c r="D1309" s="11" t="str">
        <f t="shared" si="81"/>
        <v/>
      </c>
      <c r="E1309" s="45"/>
      <c r="F1309" s="11" t="str">
        <f>IFERROR(VLOOKUP(E1309,Category!$D$2:$E$600,2,FALSE),"")</f>
        <v/>
      </c>
      <c r="G1309" s="45"/>
      <c r="H1309" s="73"/>
      <c r="I1309" s="18" t="str">
        <f t="shared" si="82"/>
        <v/>
      </c>
      <c r="J1309" s="45"/>
      <c r="K1309" s="45"/>
    </row>
    <row r="1310" spans="1:11">
      <c r="A1310" s="10" t="str">
        <f t="shared" si="83"/>
        <v/>
      </c>
      <c r="B1310" s="45"/>
      <c r="C1310" s="11" t="str">
        <f t="shared" si="80"/>
        <v/>
      </c>
      <c r="D1310" s="11" t="str">
        <f t="shared" si="81"/>
        <v/>
      </c>
      <c r="E1310" s="45"/>
      <c r="F1310" s="11" t="str">
        <f>IFERROR(VLOOKUP(E1310,Category!$D$2:$E$600,2,FALSE),"")</f>
        <v/>
      </c>
      <c r="G1310" s="45"/>
      <c r="H1310" s="73"/>
      <c r="I1310" s="18" t="str">
        <f t="shared" si="82"/>
        <v/>
      </c>
      <c r="J1310" s="45"/>
      <c r="K1310" s="45"/>
    </row>
    <row r="1311" spans="1:11">
      <c r="A1311" s="10" t="str">
        <f t="shared" si="83"/>
        <v/>
      </c>
      <c r="B1311" s="45"/>
      <c r="C1311" s="11" t="str">
        <f t="shared" si="80"/>
        <v/>
      </c>
      <c r="D1311" s="11" t="str">
        <f t="shared" si="81"/>
        <v/>
      </c>
      <c r="E1311" s="45"/>
      <c r="F1311" s="11" t="str">
        <f>IFERROR(VLOOKUP(E1311,Category!$D$2:$E$600,2,FALSE),"")</f>
        <v/>
      </c>
      <c r="G1311" s="45"/>
      <c r="H1311" s="73"/>
      <c r="I1311" s="18" t="str">
        <f t="shared" si="82"/>
        <v/>
      </c>
      <c r="J1311" s="45"/>
      <c r="K1311" s="45"/>
    </row>
    <row r="1312" spans="1:11">
      <c r="A1312" s="10" t="str">
        <f t="shared" si="83"/>
        <v/>
      </c>
      <c r="B1312" s="45"/>
      <c r="C1312" s="11" t="str">
        <f t="shared" si="80"/>
        <v/>
      </c>
      <c r="D1312" s="11" t="str">
        <f t="shared" si="81"/>
        <v/>
      </c>
      <c r="E1312" s="45"/>
      <c r="F1312" s="11" t="str">
        <f>IFERROR(VLOOKUP(E1312,Category!$D$2:$E$600,2,FALSE),"")</f>
        <v/>
      </c>
      <c r="G1312" s="45"/>
      <c r="H1312" s="73"/>
      <c r="I1312" s="18" t="str">
        <f t="shared" si="82"/>
        <v/>
      </c>
      <c r="J1312" s="45"/>
      <c r="K1312" s="45"/>
    </row>
    <row r="1313" spans="1:11">
      <c r="A1313" s="10" t="str">
        <f t="shared" si="83"/>
        <v/>
      </c>
      <c r="B1313" s="45"/>
      <c r="C1313" s="11" t="str">
        <f t="shared" si="80"/>
        <v/>
      </c>
      <c r="D1313" s="11" t="str">
        <f t="shared" si="81"/>
        <v/>
      </c>
      <c r="E1313" s="45"/>
      <c r="F1313" s="11" t="str">
        <f>IFERROR(VLOOKUP(E1313,Category!$D$2:$E$600,2,FALSE),"")</f>
        <v/>
      </c>
      <c r="G1313" s="45"/>
      <c r="H1313" s="73"/>
      <c r="I1313" s="18" t="str">
        <f t="shared" si="82"/>
        <v/>
      </c>
      <c r="J1313" s="45"/>
      <c r="K1313" s="45"/>
    </row>
    <row r="1314" spans="1:11">
      <c r="A1314" s="10" t="str">
        <f t="shared" si="83"/>
        <v/>
      </c>
      <c r="B1314" s="45"/>
      <c r="C1314" s="11" t="str">
        <f t="shared" si="80"/>
        <v/>
      </c>
      <c r="D1314" s="11" t="str">
        <f t="shared" si="81"/>
        <v/>
      </c>
      <c r="E1314" s="45"/>
      <c r="F1314" s="11" t="str">
        <f>IFERROR(VLOOKUP(E1314,Category!$D$2:$E$600,2,FALSE),"")</f>
        <v/>
      </c>
      <c r="G1314" s="45"/>
      <c r="H1314" s="73"/>
      <c r="I1314" s="18" t="str">
        <f t="shared" si="82"/>
        <v/>
      </c>
      <c r="J1314" s="45"/>
      <c r="K1314" s="45"/>
    </row>
    <row r="1315" spans="1:11">
      <c r="A1315" s="10" t="str">
        <f t="shared" si="83"/>
        <v/>
      </c>
      <c r="B1315" s="45"/>
      <c r="C1315" s="11" t="str">
        <f t="shared" si="80"/>
        <v/>
      </c>
      <c r="D1315" s="11" t="str">
        <f t="shared" si="81"/>
        <v/>
      </c>
      <c r="E1315" s="45"/>
      <c r="F1315" s="11" t="str">
        <f>IFERROR(VLOOKUP(E1315,Category!$D$2:$E$600,2,FALSE),"")</f>
        <v/>
      </c>
      <c r="G1315" s="45"/>
      <c r="H1315" s="73"/>
      <c r="I1315" s="18" t="str">
        <f t="shared" si="82"/>
        <v/>
      </c>
      <c r="J1315" s="45"/>
      <c r="K1315" s="45"/>
    </row>
    <row r="1316" spans="1:11">
      <c r="A1316" s="10" t="str">
        <f t="shared" si="83"/>
        <v/>
      </c>
      <c r="B1316" s="45"/>
      <c r="C1316" s="11" t="str">
        <f t="shared" si="80"/>
        <v/>
      </c>
      <c r="D1316" s="11" t="str">
        <f t="shared" si="81"/>
        <v/>
      </c>
      <c r="E1316" s="45"/>
      <c r="F1316" s="11" t="str">
        <f>IFERROR(VLOOKUP(E1316,Category!$D$2:$E$600,2,FALSE),"")</f>
        <v/>
      </c>
      <c r="G1316" s="45"/>
      <c r="H1316" s="73"/>
      <c r="I1316" s="18" t="str">
        <f t="shared" si="82"/>
        <v/>
      </c>
      <c r="J1316" s="45"/>
      <c r="K1316" s="45"/>
    </row>
    <row r="1317" spans="1:11">
      <c r="A1317" s="10" t="str">
        <f t="shared" si="83"/>
        <v/>
      </c>
      <c r="B1317" s="45"/>
      <c r="C1317" s="11" t="str">
        <f t="shared" si="80"/>
        <v/>
      </c>
      <c r="D1317" s="11" t="str">
        <f t="shared" si="81"/>
        <v/>
      </c>
      <c r="E1317" s="45"/>
      <c r="F1317" s="11" t="str">
        <f>IFERROR(VLOOKUP(E1317,Category!$D$2:$E$600,2,FALSE),"")</f>
        <v/>
      </c>
      <c r="G1317" s="45"/>
      <c r="H1317" s="73"/>
      <c r="I1317" s="18" t="str">
        <f t="shared" si="82"/>
        <v/>
      </c>
      <c r="J1317" s="45"/>
      <c r="K1317" s="45"/>
    </row>
    <row r="1318" spans="1:11">
      <c r="A1318" s="10" t="str">
        <f t="shared" si="83"/>
        <v/>
      </c>
      <c r="B1318" s="45"/>
      <c r="C1318" s="11" t="str">
        <f t="shared" si="80"/>
        <v/>
      </c>
      <c r="D1318" s="11" t="str">
        <f t="shared" si="81"/>
        <v/>
      </c>
      <c r="E1318" s="45"/>
      <c r="F1318" s="11" t="str">
        <f>IFERROR(VLOOKUP(E1318,Category!$D$2:$E$600,2,FALSE),"")</f>
        <v/>
      </c>
      <c r="G1318" s="45"/>
      <c r="H1318" s="73"/>
      <c r="I1318" s="18" t="str">
        <f t="shared" si="82"/>
        <v/>
      </c>
      <c r="J1318" s="45"/>
      <c r="K1318" s="45"/>
    </row>
    <row r="1319" spans="1:11">
      <c r="A1319" s="10" t="str">
        <f t="shared" si="83"/>
        <v/>
      </c>
      <c r="B1319" s="45"/>
      <c r="C1319" s="11" t="str">
        <f t="shared" si="80"/>
        <v/>
      </c>
      <c r="D1319" s="11" t="str">
        <f t="shared" si="81"/>
        <v/>
      </c>
      <c r="E1319" s="45"/>
      <c r="F1319" s="11" t="str">
        <f>IFERROR(VLOOKUP(E1319,Category!$D$2:$E$600,2,FALSE),"")</f>
        <v/>
      </c>
      <c r="G1319" s="45"/>
      <c r="H1319" s="73"/>
      <c r="I1319" s="18" t="str">
        <f t="shared" si="82"/>
        <v/>
      </c>
      <c r="J1319" s="45"/>
      <c r="K1319" s="45"/>
    </row>
    <row r="1320" spans="1:11">
      <c r="A1320" s="10" t="str">
        <f t="shared" si="83"/>
        <v/>
      </c>
      <c r="B1320" s="45"/>
      <c r="C1320" s="11" t="str">
        <f t="shared" si="80"/>
        <v/>
      </c>
      <c r="D1320" s="11" t="str">
        <f t="shared" si="81"/>
        <v/>
      </c>
      <c r="E1320" s="45"/>
      <c r="F1320" s="11" t="str">
        <f>IFERROR(VLOOKUP(E1320,Category!$D$2:$E$600,2,FALSE),"")</f>
        <v/>
      </c>
      <c r="G1320" s="45"/>
      <c r="H1320" s="73"/>
      <c r="I1320" s="18" t="str">
        <f t="shared" si="82"/>
        <v/>
      </c>
      <c r="J1320" s="45"/>
      <c r="K1320" s="45"/>
    </row>
    <row r="1321" spans="1:11">
      <c r="A1321" s="10" t="str">
        <f t="shared" si="83"/>
        <v/>
      </c>
      <c r="B1321" s="45"/>
      <c r="C1321" s="11" t="str">
        <f t="shared" si="80"/>
        <v/>
      </c>
      <c r="D1321" s="11" t="str">
        <f t="shared" si="81"/>
        <v/>
      </c>
      <c r="E1321" s="45"/>
      <c r="F1321" s="11" t="str">
        <f>IFERROR(VLOOKUP(E1321,Category!$D$2:$E$600,2,FALSE),"")</f>
        <v/>
      </c>
      <c r="G1321" s="45"/>
      <c r="H1321" s="73"/>
      <c r="I1321" s="18" t="str">
        <f t="shared" si="82"/>
        <v/>
      </c>
      <c r="J1321" s="45"/>
      <c r="K1321" s="45"/>
    </row>
    <row r="1322" spans="1:11">
      <c r="A1322" s="10" t="str">
        <f t="shared" si="83"/>
        <v/>
      </c>
      <c r="B1322" s="45"/>
      <c r="C1322" s="11" t="str">
        <f t="shared" si="80"/>
        <v/>
      </c>
      <c r="D1322" s="11" t="str">
        <f t="shared" si="81"/>
        <v/>
      </c>
      <c r="E1322" s="45"/>
      <c r="F1322" s="11" t="str">
        <f>IFERROR(VLOOKUP(E1322,Category!$D$2:$E$600,2,FALSE),"")</f>
        <v/>
      </c>
      <c r="G1322" s="45"/>
      <c r="H1322" s="73"/>
      <c r="I1322" s="18" t="str">
        <f t="shared" si="82"/>
        <v/>
      </c>
      <c r="J1322" s="45"/>
      <c r="K1322" s="45"/>
    </row>
    <row r="1323" spans="1:11">
      <c r="A1323" s="10" t="str">
        <f t="shared" si="83"/>
        <v/>
      </c>
      <c r="B1323" s="45"/>
      <c r="C1323" s="11" t="str">
        <f t="shared" si="80"/>
        <v/>
      </c>
      <c r="D1323" s="11" t="str">
        <f t="shared" si="81"/>
        <v/>
      </c>
      <c r="E1323" s="45"/>
      <c r="F1323" s="11" t="str">
        <f>IFERROR(VLOOKUP(E1323,Category!$D$2:$E$600,2,FALSE),"")</f>
        <v/>
      </c>
      <c r="G1323" s="45"/>
      <c r="H1323" s="73"/>
      <c r="I1323" s="18" t="str">
        <f t="shared" si="82"/>
        <v/>
      </c>
      <c r="J1323" s="45"/>
      <c r="K1323" s="45"/>
    </row>
    <row r="1324" spans="1:11">
      <c r="A1324" s="10" t="str">
        <f t="shared" si="83"/>
        <v/>
      </c>
      <c r="B1324" s="45"/>
      <c r="C1324" s="11" t="str">
        <f t="shared" si="80"/>
        <v/>
      </c>
      <c r="D1324" s="11" t="str">
        <f t="shared" si="81"/>
        <v/>
      </c>
      <c r="E1324" s="45"/>
      <c r="F1324" s="11" t="str">
        <f>IFERROR(VLOOKUP(E1324,Category!$D$2:$E$600,2,FALSE),"")</f>
        <v/>
      </c>
      <c r="G1324" s="45"/>
      <c r="H1324" s="73"/>
      <c r="I1324" s="18" t="str">
        <f t="shared" si="82"/>
        <v/>
      </c>
      <c r="J1324" s="45"/>
      <c r="K1324" s="45"/>
    </row>
    <row r="1325" spans="1:11">
      <c r="A1325" s="10" t="str">
        <f t="shared" si="83"/>
        <v/>
      </c>
      <c r="B1325" s="45"/>
      <c r="C1325" s="11" t="str">
        <f t="shared" si="80"/>
        <v/>
      </c>
      <c r="D1325" s="11" t="str">
        <f t="shared" si="81"/>
        <v/>
      </c>
      <c r="E1325" s="45"/>
      <c r="F1325" s="11" t="str">
        <f>IFERROR(VLOOKUP(E1325,Category!$D$2:$E$600,2,FALSE),"")</f>
        <v/>
      </c>
      <c r="G1325" s="45"/>
      <c r="H1325" s="73"/>
      <c r="I1325" s="18" t="str">
        <f t="shared" si="82"/>
        <v/>
      </c>
      <c r="J1325" s="45"/>
      <c r="K1325" s="45"/>
    </row>
    <row r="1326" spans="1:11">
      <c r="A1326" s="10" t="str">
        <f t="shared" si="83"/>
        <v/>
      </c>
      <c r="B1326" s="45"/>
      <c r="C1326" s="11" t="str">
        <f t="shared" si="80"/>
        <v/>
      </c>
      <c r="D1326" s="11" t="str">
        <f t="shared" si="81"/>
        <v/>
      </c>
      <c r="E1326" s="45"/>
      <c r="F1326" s="11" t="str">
        <f>IFERROR(VLOOKUP(E1326,Category!$D$2:$E$600,2,FALSE),"")</f>
        <v/>
      </c>
      <c r="G1326" s="45"/>
      <c r="H1326" s="73"/>
      <c r="I1326" s="18" t="str">
        <f t="shared" si="82"/>
        <v/>
      </c>
      <c r="J1326" s="45"/>
      <c r="K1326" s="45"/>
    </row>
    <row r="1327" spans="1:11">
      <c r="A1327" s="10" t="str">
        <f t="shared" si="83"/>
        <v/>
      </c>
      <c r="B1327" s="45"/>
      <c r="C1327" s="11" t="str">
        <f t="shared" si="80"/>
        <v/>
      </c>
      <c r="D1327" s="11" t="str">
        <f t="shared" si="81"/>
        <v/>
      </c>
      <c r="E1327" s="45"/>
      <c r="F1327" s="11" t="str">
        <f>IFERROR(VLOOKUP(E1327,Category!$D$2:$E$600,2,FALSE),"")</f>
        <v/>
      </c>
      <c r="G1327" s="45"/>
      <c r="H1327" s="73"/>
      <c r="I1327" s="18" t="str">
        <f t="shared" si="82"/>
        <v/>
      </c>
      <c r="J1327" s="45"/>
      <c r="K1327" s="45"/>
    </row>
    <row r="1328" spans="1:11">
      <c r="A1328" s="10" t="str">
        <f t="shared" si="83"/>
        <v/>
      </c>
      <c r="B1328" s="45"/>
      <c r="C1328" s="11" t="str">
        <f t="shared" si="80"/>
        <v/>
      </c>
      <c r="D1328" s="11" t="str">
        <f t="shared" si="81"/>
        <v/>
      </c>
      <c r="E1328" s="45"/>
      <c r="F1328" s="11" t="str">
        <f>IFERROR(VLOOKUP(E1328,Category!$D$2:$E$600,2,FALSE),"")</f>
        <v/>
      </c>
      <c r="G1328" s="45"/>
      <c r="H1328" s="73"/>
      <c r="I1328" s="18" t="str">
        <f t="shared" si="82"/>
        <v/>
      </c>
      <c r="J1328" s="45"/>
      <c r="K1328" s="45"/>
    </row>
    <row r="1329" spans="1:11">
      <c r="A1329" s="10" t="str">
        <f t="shared" si="83"/>
        <v/>
      </c>
      <c r="B1329" s="45"/>
      <c r="C1329" s="11" t="str">
        <f t="shared" si="80"/>
        <v/>
      </c>
      <c r="D1329" s="11" t="str">
        <f t="shared" si="81"/>
        <v/>
      </c>
      <c r="E1329" s="45"/>
      <c r="F1329" s="11" t="str">
        <f>IFERROR(VLOOKUP(E1329,Category!$D$2:$E$600,2,FALSE),"")</f>
        <v/>
      </c>
      <c r="G1329" s="45"/>
      <c r="H1329" s="73"/>
      <c r="I1329" s="18" t="str">
        <f t="shared" si="82"/>
        <v/>
      </c>
      <c r="J1329" s="45"/>
      <c r="K1329" s="45"/>
    </row>
    <row r="1330" spans="1:11">
      <c r="A1330" s="10" t="str">
        <f t="shared" si="83"/>
        <v/>
      </c>
      <c r="B1330" s="45"/>
      <c r="C1330" s="11" t="str">
        <f t="shared" si="80"/>
        <v/>
      </c>
      <c r="D1330" s="11" t="str">
        <f t="shared" si="81"/>
        <v/>
      </c>
      <c r="E1330" s="45"/>
      <c r="F1330" s="11" t="str">
        <f>IFERROR(VLOOKUP(E1330,Category!$D$2:$E$600,2,FALSE),"")</f>
        <v/>
      </c>
      <c r="G1330" s="45"/>
      <c r="H1330" s="73"/>
      <c r="I1330" s="18" t="str">
        <f t="shared" si="82"/>
        <v/>
      </c>
      <c r="J1330" s="45"/>
      <c r="K1330" s="45"/>
    </row>
    <row r="1331" spans="1:11">
      <c r="A1331" s="10" t="str">
        <f t="shared" si="83"/>
        <v/>
      </c>
      <c r="B1331" s="45"/>
      <c r="C1331" s="11" t="str">
        <f t="shared" si="80"/>
        <v/>
      </c>
      <c r="D1331" s="11" t="str">
        <f t="shared" si="81"/>
        <v/>
      </c>
      <c r="E1331" s="45"/>
      <c r="F1331" s="11" t="str">
        <f>IFERROR(VLOOKUP(E1331,Category!$D$2:$E$600,2,FALSE),"")</f>
        <v/>
      </c>
      <c r="G1331" s="45"/>
      <c r="H1331" s="73"/>
      <c r="I1331" s="18" t="str">
        <f t="shared" si="82"/>
        <v/>
      </c>
      <c r="J1331" s="45"/>
      <c r="K1331" s="45"/>
    </row>
    <row r="1332" spans="1:11">
      <c r="A1332" s="10" t="str">
        <f t="shared" si="83"/>
        <v/>
      </c>
      <c r="B1332" s="45"/>
      <c r="C1332" s="11" t="str">
        <f t="shared" si="80"/>
        <v/>
      </c>
      <c r="D1332" s="11" t="str">
        <f t="shared" si="81"/>
        <v/>
      </c>
      <c r="E1332" s="45"/>
      <c r="F1332" s="11" t="str">
        <f>IFERROR(VLOOKUP(E1332,Category!$D$2:$E$600,2,FALSE),"")</f>
        <v/>
      </c>
      <c r="G1332" s="45"/>
      <c r="H1332" s="73"/>
      <c r="I1332" s="18" t="str">
        <f t="shared" si="82"/>
        <v/>
      </c>
      <c r="J1332" s="45"/>
      <c r="K1332" s="45"/>
    </row>
    <row r="1333" spans="1:11">
      <c r="A1333" s="10" t="str">
        <f t="shared" si="83"/>
        <v/>
      </c>
      <c r="B1333" s="45"/>
      <c r="C1333" s="11" t="str">
        <f t="shared" si="80"/>
        <v/>
      </c>
      <c r="D1333" s="11" t="str">
        <f t="shared" si="81"/>
        <v/>
      </c>
      <c r="E1333" s="45"/>
      <c r="F1333" s="11" t="str">
        <f>IFERROR(VLOOKUP(E1333,Category!$D$2:$E$600,2,FALSE),"")</f>
        <v/>
      </c>
      <c r="G1333" s="45"/>
      <c r="H1333" s="73"/>
      <c r="I1333" s="18" t="str">
        <f t="shared" si="82"/>
        <v/>
      </c>
      <c r="J1333" s="45"/>
      <c r="K1333" s="45"/>
    </row>
    <row r="1334" spans="1:11">
      <c r="A1334" s="10" t="str">
        <f t="shared" si="83"/>
        <v/>
      </c>
      <c r="B1334" s="45"/>
      <c r="C1334" s="11" t="str">
        <f t="shared" si="80"/>
        <v/>
      </c>
      <c r="D1334" s="11" t="str">
        <f t="shared" si="81"/>
        <v/>
      </c>
      <c r="E1334" s="45"/>
      <c r="F1334" s="11" t="str">
        <f>IFERROR(VLOOKUP(E1334,Category!$D$2:$E$600,2,FALSE),"")</f>
        <v/>
      </c>
      <c r="G1334" s="45"/>
      <c r="H1334" s="73"/>
      <c r="I1334" s="18" t="str">
        <f t="shared" si="82"/>
        <v/>
      </c>
      <c r="J1334" s="45"/>
      <c r="K1334" s="45"/>
    </row>
    <row r="1335" spans="1:11">
      <c r="A1335" s="10" t="str">
        <f t="shared" si="83"/>
        <v/>
      </c>
      <c r="B1335" s="45"/>
      <c r="C1335" s="11" t="str">
        <f t="shared" si="80"/>
        <v/>
      </c>
      <c r="D1335" s="11" t="str">
        <f t="shared" si="81"/>
        <v/>
      </c>
      <c r="E1335" s="45"/>
      <c r="F1335" s="11" t="str">
        <f>IFERROR(VLOOKUP(E1335,Category!$D$2:$E$600,2,FALSE),"")</f>
        <v/>
      </c>
      <c r="G1335" s="45"/>
      <c r="H1335" s="73"/>
      <c r="I1335" s="18" t="str">
        <f t="shared" si="82"/>
        <v/>
      </c>
      <c r="J1335" s="45"/>
      <c r="K1335" s="45"/>
    </row>
    <row r="1336" spans="1:11">
      <c r="A1336" s="10" t="str">
        <f t="shared" si="83"/>
        <v/>
      </c>
      <c r="B1336" s="45"/>
      <c r="C1336" s="11" t="str">
        <f t="shared" si="80"/>
        <v/>
      </c>
      <c r="D1336" s="11" t="str">
        <f t="shared" si="81"/>
        <v/>
      </c>
      <c r="E1336" s="45"/>
      <c r="F1336" s="11" t="str">
        <f>IFERROR(VLOOKUP(E1336,Category!$D$2:$E$600,2,FALSE),"")</f>
        <v/>
      </c>
      <c r="G1336" s="45"/>
      <c r="H1336" s="73"/>
      <c r="I1336" s="18" t="str">
        <f t="shared" si="82"/>
        <v/>
      </c>
      <c r="J1336" s="45"/>
      <c r="K1336" s="45"/>
    </row>
    <row r="1337" spans="1:11">
      <c r="A1337" s="10" t="str">
        <f t="shared" si="83"/>
        <v/>
      </c>
      <c r="B1337" s="45"/>
      <c r="C1337" s="11" t="str">
        <f t="shared" si="80"/>
        <v/>
      </c>
      <c r="D1337" s="11" t="str">
        <f t="shared" si="81"/>
        <v/>
      </c>
      <c r="E1337" s="45"/>
      <c r="F1337" s="11" t="str">
        <f>IFERROR(VLOOKUP(E1337,Category!$D$2:$E$600,2,FALSE),"")</f>
        <v/>
      </c>
      <c r="G1337" s="45"/>
      <c r="H1337" s="73"/>
      <c r="I1337" s="18" t="str">
        <f t="shared" si="82"/>
        <v/>
      </c>
      <c r="J1337" s="45"/>
      <c r="K1337" s="45"/>
    </row>
    <row r="1338" spans="1:11">
      <c r="A1338" s="10" t="str">
        <f t="shared" si="83"/>
        <v/>
      </c>
      <c r="B1338" s="45"/>
      <c r="C1338" s="11" t="str">
        <f t="shared" si="80"/>
        <v/>
      </c>
      <c r="D1338" s="11" t="str">
        <f t="shared" si="81"/>
        <v/>
      </c>
      <c r="E1338" s="45"/>
      <c r="F1338" s="11" t="str">
        <f>IFERROR(VLOOKUP(E1338,Category!$D$2:$E$600,2,FALSE),"")</f>
        <v/>
      </c>
      <c r="G1338" s="45"/>
      <c r="H1338" s="73"/>
      <c r="I1338" s="18" t="str">
        <f t="shared" si="82"/>
        <v/>
      </c>
      <c r="J1338" s="45"/>
      <c r="K1338" s="45"/>
    </row>
    <row r="1339" spans="1:11">
      <c r="A1339" s="10" t="str">
        <f t="shared" si="83"/>
        <v/>
      </c>
      <c r="B1339" s="45"/>
      <c r="C1339" s="11" t="str">
        <f t="shared" si="80"/>
        <v/>
      </c>
      <c r="D1339" s="11" t="str">
        <f t="shared" si="81"/>
        <v/>
      </c>
      <c r="E1339" s="45"/>
      <c r="F1339" s="11" t="str">
        <f>IFERROR(VLOOKUP(E1339,Category!$D$2:$E$600,2,FALSE),"")</f>
        <v/>
      </c>
      <c r="G1339" s="45"/>
      <c r="H1339" s="73"/>
      <c r="I1339" s="18" t="str">
        <f t="shared" si="82"/>
        <v/>
      </c>
      <c r="J1339" s="45"/>
      <c r="K1339" s="45"/>
    </row>
    <row r="1340" spans="1:11">
      <c r="A1340" s="10" t="str">
        <f t="shared" si="83"/>
        <v/>
      </c>
      <c r="B1340" s="45"/>
      <c r="C1340" s="11" t="str">
        <f t="shared" si="80"/>
        <v/>
      </c>
      <c r="D1340" s="11" t="str">
        <f t="shared" si="81"/>
        <v/>
      </c>
      <c r="E1340" s="45"/>
      <c r="F1340" s="11" t="str">
        <f>IFERROR(VLOOKUP(E1340,Category!$D$2:$E$600,2,FALSE),"")</f>
        <v/>
      </c>
      <c r="G1340" s="45"/>
      <c r="H1340" s="73"/>
      <c r="I1340" s="18" t="str">
        <f t="shared" si="82"/>
        <v/>
      </c>
      <c r="J1340" s="45"/>
      <c r="K1340" s="45"/>
    </row>
    <row r="1341" spans="1:11">
      <c r="A1341" s="10" t="str">
        <f t="shared" si="83"/>
        <v/>
      </c>
      <c r="B1341" s="45"/>
      <c r="C1341" s="11" t="str">
        <f t="shared" si="80"/>
        <v/>
      </c>
      <c r="D1341" s="11" t="str">
        <f t="shared" si="81"/>
        <v/>
      </c>
      <c r="E1341" s="45"/>
      <c r="F1341" s="11" t="str">
        <f>IFERROR(VLOOKUP(E1341,Category!$D$2:$E$600,2,FALSE),"")</f>
        <v/>
      </c>
      <c r="G1341" s="45"/>
      <c r="H1341" s="73"/>
      <c r="I1341" s="18" t="str">
        <f t="shared" si="82"/>
        <v/>
      </c>
      <c r="J1341" s="45"/>
      <c r="K1341" s="45"/>
    </row>
    <row r="1342" spans="1:11">
      <c r="A1342" s="10" t="str">
        <f t="shared" si="83"/>
        <v/>
      </c>
      <c r="B1342" s="45"/>
      <c r="C1342" s="11" t="str">
        <f t="shared" si="80"/>
        <v/>
      </c>
      <c r="D1342" s="11" t="str">
        <f t="shared" si="81"/>
        <v/>
      </c>
      <c r="E1342" s="45"/>
      <c r="F1342" s="11" t="str">
        <f>IFERROR(VLOOKUP(E1342,Category!$D$2:$E$600,2,FALSE),"")</f>
        <v/>
      </c>
      <c r="G1342" s="45"/>
      <c r="H1342" s="73"/>
      <c r="I1342" s="18" t="str">
        <f t="shared" si="82"/>
        <v/>
      </c>
      <c r="J1342" s="45"/>
      <c r="K1342" s="45"/>
    </row>
    <row r="1343" spans="1:11">
      <c r="A1343" s="10" t="str">
        <f t="shared" si="83"/>
        <v/>
      </c>
      <c r="B1343" s="45"/>
      <c r="C1343" s="11" t="str">
        <f t="shared" si="80"/>
        <v/>
      </c>
      <c r="D1343" s="11" t="str">
        <f t="shared" si="81"/>
        <v/>
      </c>
      <c r="E1343" s="45"/>
      <c r="F1343" s="11" t="str">
        <f>IFERROR(VLOOKUP(E1343,Category!$D$2:$E$600,2,FALSE),"")</f>
        <v/>
      </c>
      <c r="G1343" s="45"/>
      <c r="H1343" s="73"/>
      <c r="I1343" s="18" t="str">
        <f t="shared" si="82"/>
        <v/>
      </c>
      <c r="J1343" s="45"/>
      <c r="K1343" s="45"/>
    </row>
    <row r="1344" spans="1:11">
      <c r="A1344" s="10" t="str">
        <f t="shared" si="83"/>
        <v/>
      </c>
      <c r="B1344" s="45"/>
      <c r="C1344" s="11" t="str">
        <f t="shared" si="80"/>
        <v/>
      </c>
      <c r="D1344" s="11" t="str">
        <f t="shared" si="81"/>
        <v/>
      </c>
      <c r="E1344" s="45"/>
      <c r="F1344" s="11" t="str">
        <f>IFERROR(VLOOKUP(E1344,Category!$D$2:$E$600,2,FALSE),"")</f>
        <v/>
      </c>
      <c r="G1344" s="45"/>
      <c r="H1344" s="73"/>
      <c r="I1344" s="18" t="str">
        <f t="shared" si="82"/>
        <v/>
      </c>
      <c r="J1344" s="45"/>
      <c r="K1344" s="45"/>
    </row>
    <row r="1345" spans="1:11">
      <c r="A1345" s="10" t="str">
        <f t="shared" si="83"/>
        <v/>
      </c>
      <c r="B1345" s="45"/>
      <c r="C1345" s="11" t="str">
        <f t="shared" si="80"/>
        <v/>
      </c>
      <c r="D1345" s="11" t="str">
        <f t="shared" si="81"/>
        <v/>
      </c>
      <c r="E1345" s="45"/>
      <c r="F1345" s="11" t="str">
        <f>IFERROR(VLOOKUP(E1345,Category!$D$2:$E$600,2,FALSE),"")</f>
        <v/>
      </c>
      <c r="G1345" s="45"/>
      <c r="H1345" s="73"/>
      <c r="I1345" s="18" t="str">
        <f t="shared" si="82"/>
        <v/>
      </c>
      <c r="J1345" s="45"/>
      <c r="K1345" s="45"/>
    </row>
    <row r="1346" spans="1:11">
      <c r="A1346" s="10" t="str">
        <f t="shared" si="83"/>
        <v/>
      </c>
      <c r="B1346" s="45"/>
      <c r="C1346" s="11" t="str">
        <f t="shared" si="80"/>
        <v/>
      </c>
      <c r="D1346" s="11" t="str">
        <f t="shared" si="81"/>
        <v/>
      </c>
      <c r="E1346" s="45"/>
      <c r="F1346" s="11" t="str">
        <f>IFERROR(VLOOKUP(E1346,Category!$D$2:$E$600,2,FALSE),"")</f>
        <v/>
      </c>
      <c r="G1346" s="45"/>
      <c r="H1346" s="73"/>
      <c r="I1346" s="18" t="str">
        <f t="shared" si="82"/>
        <v/>
      </c>
      <c r="J1346" s="45"/>
      <c r="K1346" s="45"/>
    </row>
    <row r="1347" spans="1:11">
      <c r="A1347" s="10" t="str">
        <f t="shared" si="83"/>
        <v/>
      </c>
      <c r="B1347" s="45"/>
      <c r="C1347" s="11" t="str">
        <f t="shared" ref="C1347:C1410" si="84">IF(B1347=0,"",TEXT(B1347,"mmmm"))</f>
        <v/>
      </c>
      <c r="D1347" s="11" t="str">
        <f t="shared" ref="D1347:D1410" si="85">IF(B1347=0,"",TEXT(B1347,"yyyy"))</f>
        <v/>
      </c>
      <c r="E1347" s="45"/>
      <c r="F1347" s="11" t="str">
        <f>IFERROR(VLOOKUP(E1347,Category!$D$2:$E$600,2,FALSE),"")</f>
        <v/>
      </c>
      <c r="G1347" s="45"/>
      <c r="H1347" s="73"/>
      <c r="I1347" s="18" t="str">
        <f t="shared" ref="I1347:I1410" si="86">IF(G1347*H1347=0,"",G1347*H1347)</f>
        <v/>
      </c>
      <c r="J1347" s="45"/>
      <c r="K1347" s="45"/>
    </row>
    <row r="1348" spans="1:11">
      <c r="A1348" s="10" t="str">
        <f t="shared" ref="A1348:A1411" si="87">IF(E1348&gt;0,A1347+1,"")</f>
        <v/>
      </c>
      <c r="B1348" s="45"/>
      <c r="C1348" s="11" t="str">
        <f t="shared" si="84"/>
        <v/>
      </c>
      <c r="D1348" s="11" t="str">
        <f t="shared" si="85"/>
        <v/>
      </c>
      <c r="E1348" s="45"/>
      <c r="F1348" s="11" t="str">
        <f>IFERROR(VLOOKUP(E1348,Category!$D$2:$E$600,2,FALSE),"")</f>
        <v/>
      </c>
      <c r="G1348" s="45"/>
      <c r="H1348" s="73"/>
      <c r="I1348" s="18" t="str">
        <f t="shared" si="86"/>
        <v/>
      </c>
      <c r="J1348" s="45"/>
      <c r="K1348" s="45"/>
    </row>
    <row r="1349" spans="1:11">
      <c r="A1349" s="10" t="str">
        <f t="shared" si="87"/>
        <v/>
      </c>
      <c r="B1349" s="45"/>
      <c r="C1349" s="11" t="str">
        <f t="shared" si="84"/>
        <v/>
      </c>
      <c r="D1349" s="11" t="str">
        <f t="shared" si="85"/>
        <v/>
      </c>
      <c r="E1349" s="45"/>
      <c r="F1349" s="11" t="str">
        <f>IFERROR(VLOOKUP(E1349,Category!$D$2:$E$600,2,FALSE),"")</f>
        <v/>
      </c>
      <c r="G1349" s="45"/>
      <c r="H1349" s="73"/>
      <c r="I1349" s="18" t="str">
        <f t="shared" si="86"/>
        <v/>
      </c>
      <c r="J1349" s="45"/>
      <c r="K1349" s="45"/>
    </row>
    <row r="1350" spans="1:11">
      <c r="A1350" s="10" t="str">
        <f t="shared" si="87"/>
        <v/>
      </c>
      <c r="B1350" s="45"/>
      <c r="C1350" s="11" t="str">
        <f t="shared" si="84"/>
        <v/>
      </c>
      <c r="D1350" s="11" t="str">
        <f t="shared" si="85"/>
        <v/>
      </c>
      <c r="E1350" s="45"/>
      <c r="F1350" s="11" t="str">
        <f>IFERROR(VLOOKUP(E1350,Category!$D$2:$E$600,2,FALSE),"")</f>
        <v/>
      </c>
      <c r="G1350" s="45"/>
      <c r="H1350" s="73"/>
      <c r="I1350" s="18" t="str">
        <f t="shared" si="86"/>
        <v/>
      </c>
      <c r="J1350" s="45"/>
      <c r="K1350" s="45"/>
    </row>
    <row r="1351" spans="1:11">
      <c r="A1351" s="10" t="str">
        <f t="shared" si="87"/>
        <v/>
      </c>
      <c r="B1351" s="45"/>
      <c r="C1351" s="11" t="str">
        <f t="shared" si="84"/>
        <v/>
      </c>
      <c r="D1351" s="11" t="str">
        <f t="shared" si="85"/>
        <v/>
      </c>
      <c r="E1351" s="45"/>
      <c r="F1351" s="11" t="str">
        <f>IFERROR(VLOOKUP(E1351,Category!$D$2:$E$600,2,FALSE),"")</f>
        <v/>
      </c>
      <c r="G1351" s="45"/>
      <c r="H1351" s="73"/>
      <c r="I1351" s="18" t="str">
        <f t="shared" si="86"/>
        <v/>
      </c>
      <c r="J1351" s="45"/>
      <c r="K1351" s="45"/>
    </row>
    <row r="1352" spans="1:11">
      <c r="A1352" s="10" t="str">
        <f t="shared" si="87"/>
        <v/>
      </c>
      <c r="B1352" s="45"/>
      <c r="C1352" s="11" t="str">
        <f t="shared" si="84"/>
        <v/>
      </c>
      <c r="D1352" s="11" t="str">
        <f t="shared" si="85"/>
        <v/>
      </c>
      <c r="E1352" s="45"/>
      <c r="F1352" s="11" t="str">
        <f>IFERROR(VLOOKUP(E1352,Category!$D$2:$E$600,2,FALSE),"")</f>
        <v/>
      </c>
      <c r="G1352" s="45"/>
      <c r="H1352" s="73"/>
      <c r="I1352" s="18" t="str">
        <f t="shared" si="86"/>
        <v/>
      </c>
      <c r="J1352" s="45"/>
      <c r="K1352" s="45"/>
    </row>
    <row r="1353" spans="1:11">
      <c r="A1353" s="10" t="str">
        <f t="shared" si="87"/>
        <v/>
      </c>
      <c r="B1353" s="45"/>
      <c r="C1353" s="11" t="str">
        <f t="shared" si="84"/>
        <v/>
      </c>
      <c r="D1353" s="11" t="str">
        <f t="shared" si="85"/>
        <v/>
      </c>
      <c r="E1353" s="45"/>
      <c r="F1353" s="11" t="str">
        <f>IFERROR(VLOOKUP(E1353,Category!$D$2:$E$600,2,FALSE),"")</f>
        <v/>
      </c>
      <c r="G1353" s="45"/>
      <c r="H1353" s="73"/>
      <c r="I1353" s="18" t="str">
        <f t="shared" si="86"/>
        <v/>
      </c>
      <c r="J1353" s="45"/>
      <c r="K1353" s="45"/>
    </row>
    <row r="1354" spans="1:11">
      <c r="A1354" s="10" t="str">
        <f t="shared" si="87"/>
        <v/>
      </c>
      <c r="B1354" s="45"/>
      <c r="C1354" s="11" t="str">
        <f t="shared" si="84"/>
        <v/>
      </c>
      <c r="D1354" s="11" t="str">
        <f t="shared" si="85"/>
        <v/>
      </c>
      <c r="E1354" s="45"/>
      <c r="F1354" s="11" t="str">
        <f>IFERROR(VLOOKUP(E1354,Category!$D$2:$E$600,2,FALSE),"")</f>
        <v/>
      </c>
      <c r="G1354" s="45"/>
      <c r="H1354" s="73"/>
      <c r="I1354" s="18" t="str">
        <f t="shared" si="86"/>
        <v/>
      </c>
      <c r="J1354" s="45"/>
      <c r="K1354" s="45"/>
    </row>
    <row r="1355" spans="1:11">
      <c r="A1355" s="10" t="str">
        <f t="shared" si="87"/>
        <v/>
      </c>
      <c r="B1355" s="45"/>
      <c r="C1355" s="11" t="str">
        <f t="shared" si="84"/>
        <v/>
      </c>
      <c r="D1355" s="11" t="str">
        <f t="shared" si="85"/>
        <v/>
      </c>
      <c r="E1355" s="45"/>
      <c r="F1355" s="11" t="str">
        <f>IFERROR(VLOOKUP(E1355,Category!$D$2:$E$600,2,FALSE),"")</f>
        <v/>
      </c>
      <c r="G1355" s="45"/>
      <c r="H1355" s="73"/>
      <c r="I1355" s="18" t="str">
        <f t="shared" si="86"/>
        <v/>
      </c>
      <c r="J1355" s="45"/>
      <c r="K1355" s="45"/>
    </row>
    <row r="1356" spans="1:11">
      <c r="A1356" s="10" t="str">
        <f t="shared" si="87"/>
        <v/>
      </c>
      <c r="B1356" s="45"/>
      <c r="C1356" s="11" t="str">
        <f t="shared" si="84"/>
        <v/>
      </c>
      <c r="D1356" s="11" t="str">
        <f t="shared" si="85"/>
        <v/>
      </c>
      <c r="E1356" s="45"/>
      <c r="F1356" s="11" t="str">
        <f>IFERROR(VLOOKUP(E1356,Category!$D$2:$E$600,2,FALSE),"")</f>
        <v/>
      </c>
      <c r="G1356" s="45"/>
      <c r="H1356" s="73"/>
      <c r="I1356" s="18" t="str">
        <f t="shared" si="86"/>
        <v/>
      </c>
      <c r="J1356" s="45"/>
      <c r="K1356" s="45"/>
    </row>
    <row r="1357" spans="1:11">
      <c r="A1357" s="10" t="str">
        <f t="shared" si="87"/>
        <v/>
      </c>
      <c r="B1357" s="45"/>
      <c r="C1357" s="11" t="str">
        <f t="shared" si="84"/>
        <v/>
      </c>
      <c r="D1357" s="11" t="str">
        <f t="shared" si="85"/>
        <v/>
      </c>
      <c r="E1357" s="45"/>
      <c r="F1357" s="11" t="str">
        <f>IFERROR(VLOOKUP(E1357,Category!$D$2:$E$600,2,FALSE),"")</f>
        <v/>
      </c>
      <c r="G1357" s="45"/>
      <c r="H1357" s="73"/>
      <c r="I1357" s="18" t="str">
        <f t="shared" si="86"/>
        <v/>
      </c>
      <c r="J1357" s="45"/>
      <c r="K1357" s="45"/>
    </row>
    <row r="1358" spans="1:11">
      <c r="A1358" s="10" t="str">
        <f t="shared" si="87"/>
        <v/>
      </c>
      <c r="B1358" s="45"/>
      <c r="C1358" s="11" t="str">
        <f t="shared" si="84"/>
        <v/>
      </c>
      <c r="D1358" s="11" t="str">
        <f t="shared" si="85"/>
        <v/>
      </c>
      <c r="E1358" s="45"/>
      <c r="F1358" s="11" t="str">
        <f>IFERROR(VLOOKUP(E1358,Category!$D$2:$E$600,2,FALSE),"")</f>
        <v/>
      </c>
      <c r="G1358" s="45"/>
      <c r="H1358" s="73"/>
      <c r="I1358" s="18" t="str">
        <f t="shared" si="86"/>
        <v/>
      </c>
      <c r="J1358" s="45"/>
      <c r="K1358" s="45"/>
    </row>
    <row r="1359" spans="1:11">
      <c r="A1359" s="10" t="str">
        <f t="shared" si="87"/>
        <v/>
      </c>
      <c r="B1359" s="45"/>
      <c r="C1359" s="11" t="str">
        <f t="shared" si="84"/>
        <v/>
      </c>
      <c r="D1359" s="11" t="str">
        <f t="shared" si="85"/>
        <v/>
      </c>
      <c r="E1359" s="45"/>
      <c r="F1359" s="11" t="str">
        <f>IFERROR(VLOOKUP(E1359,Category!$D$2:$E$600,2,FALSE),"")</f>
        <v/>
      </c>
      <c r="G1359" s="45"/>
      <c r="H1359" s="73"/>
      <c r="I1359" s="18" t="str">
        <f t="shared" si="86"/>
        <v/>
      </c>
      <c r="J1359" s="45"/>
      <c r="K1359" s="45"/>
    </row>
    <row r="1360" spans="1:11">
      <c r="A1360" s="10" t="str">
        <f t="shared" si="87"/>
        <v/>
      </c>
      <c r="B1360" s="45"/>
      <c r="C1360" s="11" t="str">
        <f t="shared" si="84"/>
        <v/>
      </c>
      <c r="D1360" s="11" t="str">
        <f t="shared" si="85"/>
        <v/>
      </c>
      <c r="E1360" s="45"/>
      <c r="F1360" s="11" t="str">
        <f>IFERROR(VLOOKUP(E1360,Category!$D$2:$E$600,2,FALSE),"")</f>
        <v/>
      </c>
      <c r="G1360" s="45"/>
      <c r="H1360" s="73"/>
      <c r="I1360" s="18" t="str">
        <f t="shared" si="86"/>
        <v/>
      </c>
      <c r="J1360" s="45"/>
      <c r="K1360" s="45"/>
    </row>
    <row r="1361" spans="1:11">
      <c r="A1361" s="10" t="str">
        <f t="shared" si="87"/>
        <v/>
      </c>
      <c r="B1361" s="45"/>
      <c r="C1361" s="11" t="str">
        <f t="shared" si="84"/>
        <v/>
      </c>
      <c r="D1361" s="11" t="str">
        <f t="shared" si="85"/>
        <v/>
      </c>
      <c r="E1361" s="45"/>
      <c r="F1361" s="11" t="str">
        <f>IFERROR(VLOOKUP(E1361,Category!$D$2:$E$600,2,FALSE),"")</f>
        <v/>
      </c>
      <c r="G1361" s="45"/>
      <c r="H1361" s="73"/>
      <c r="I1361" s="18" t="str">
        <f t="shared" si="86"/>
        <v/>
      </c>
      <c r="J1361" s="45"/>
      <c r="K1361" s="45"/>
    </row>
    <row r="1362" spans="1:11">
      <c r="A1362" s="10" t="str">
        <f t="shared" si="87"/>
        <v/>
      </c>
      <c r="B1362" s="45"/>
      <c r="C1362" s="11" t="str">
        <f t="shared" si="84"/>
        <v/>
      </c>
      <c r="D1362" s="11" t="str">
        <f t="shared" si="85"/>
        <v/>
      </c>
      <c r="E1362" s="45"/>
      <c r="F1362" s="11" t="str">
        <f>IFERROR(VLOOKUP(E1362,Category!$D$2:$E$600,2,FALSE),"")</f>
        <v/>
      </c>
      <c r="G1362" s="45"/>
      <c r="H1362" s="73"/>
      <c r="I1362" s="18" t="str">
        <f t="shared" si="86"/>
        <v/>
      </c>
      <c r="J1362" s="45"/>
      <c r="K1362" s="45"/>
    </row>
    <row r="1363" spans="1:11">
      <c r="A1363" s="10" t="str">
        <f t="shared" si="87"/>
        <v/>
      </c>
      <c r="B1363" s="45"/>
      <c r="C1363" s="11" t="str">
        <f t="shared" si="84"/>
        <v/>
      </c>
      <c r="D1363" s="11" t="str">
        <f t="shared" si="85"/>
        <v/>
      </c>
      <c r="E1363" s="45"/>
      <c r="F1363" s="11" t="str">
        <f>IFERROR(VLOOKUP(E1363,Category!$D$2:$E$600,2,FALSE),"")</f>
        <v/>
      </c>
      <c r="G1363" s="45"/>
      <c r="H1363" s="73"/>
      <c r="I1363" s="18" t="str">
        <f t="shared" si="86"/>
        <v/>
      </c>
      <c r="J1363" s="45"/>
      <c r="K1363" s="45"/>
    </row>
    <row r="1364" spans="1:11">
      <c r="A1364" s="10" t="str">
        <f t="shared" si="87"/>
        <v/>
      </c>
      <c r="B1364" s="45"/>
      <c r="C1364" s="11" t="str">
        <f t="shared" si="84"/>
        <v/>
      </c>
      <c r="D1364" s="11" t="str">
        <f t="shared" si="85"/>
        <v/>
      </c>
      <c r="E1364" s="45"/>
      <c r="F1364" s="11" t="str">
        <f>IFERROR(VLOOKUP(E1364,Category!$D$2:$E$600,2,FALSE),"")</f>
        <v/>
      </c>
      <c r="G1364" s="45"/>
      <c r="H1364" s="73"/>
      <c r="I1364" s="18" t="str">
        <f t="shared" si="86"/>
        <v/>
      </c>
      <c r="J1364" s="45"/>
      <c r="K1364" s="45"/>
    </row>
    <row r="1365" spans="1:11">
      <c r="A1365" s="10" t="str">
        <f t="shared" si="87"/>
        <v/>
      </c>
      <c r="B1365" s="45"/>
      <c r="C1365" s="11" t="str">
        <f t="shared" si="84"/>
        <v/>
      </c>
      <c r="D1365" s="11" t="str">
        <f t="shared" si="85"/>
        <v/>
      </c>
      <c r="E1365" s="45"/>
      <c r="F1365" s="11" t="str">
        <f>IFERROR(VLOOKUP(E1365,Category!$D$2:$E$600,2,FALSE),"")</f>
        <v/>
      </c>
      <c r="G1365" s="45"/>
      <c r="H1365" s="73"/>
      <c r="I1365" s="18" t="str">
        <f t="shared" si="86"/>
        <v/>
      </c>
      <c r="J1365" s="45"/>
      <c r="K1365" s="45"/>
    </row>
    <row r="1366" spans="1:11">
      <c r="A1366" s="10" t="str">
        <f t="shared" si="87"/>
        <v/>
      </c>
      <c r="B1366" s="45"/>
      <c r="C1366" s="11" t="str">
        <f t="shared" si="84"/>
        <v/>
      </c>
      <c r="D1366" s="11" t="str">
        <f t="shared" si="85"/>
        <v/>
      </c>
      <c r="E1366" s="45"/>
      <c r="F1366" s="11" t="str">
        <f>IFERROR(VLOOKUP(E1366,Category!$D$2:$E$600,2,FALSE),"")</f>
        <v/>
      </c>
      <c r="G1366" s="45"/>
      <c r="H1366" s="73"/>
      <c r="I1366" s="18" t="str">
        <f t="shared" si="86"/>
        <v/>
      </c>
      <c r="J1366" s="45"/>
      <c r="K1366" s="45"/>
    </row>
    <row r="1367" spans="1:11">
      <c r="A1367" s="10" t="str">
        <f t="shared" si="87"/>
        <v/>
      </c>
      <c r="B1367" s="45"/>
      <c r="C1367" s="11" t="str">
        <f t="shared" si="84"/>
        <v/>
      </c>
      <c r="D1367" s="11" t="str">
        <f t="shared" si="85"/>
        <v/>
      </c>
      <c r="E1367" s="45"/>
      <c r="F1367" s="11" t="str">
        <f>IFERROR(VLOOKUP(E1367,Category!$D$2:$E$600,2,FALSE),"")</f>
        <v/>
      </c>
      <c r="G1367" s="45"/>
      <c r="H1367" s="73"/>
      <c r="I1367" s="18" t="str">
        <f t="shared" si="86"/>
        <v/>
      </c>
      <c r="J1367" s="45"/>
      <c r="K1367" s="45"/>
    </row>
    <row r="1368" spans="1:11">
      <c r="A1368" s="10" t="str">
        <f t="shared" si="87"/>
        <v/>
      </c>
      <c r="B1368" s="45"/>
      <c r="C1368" s="11" t="str">
        <f t="shared" si="84"/>
        <v/>
      </c>
      <c r="D1368" s="11" t="str">
        <f t="shared" si="85"/>
        <v/>
      </c>
      <c r="E1368" s="45"/>
      <c r="F1368" s="11" t="str">
        <f>IFERROR(VLOOKUP(E1368,Category!$D$2:$E$600,2,FALSE),"")</f>
        <v/>
      </c>
      <c r="G1368" s="45"/>
      <c r="H1368" s="73"/>
      <c r="I1368" s="18" t="str">
        <f t="shared" si="86"/>
        <v/>
      </c>
      <c r="J1368" s="45"/>
      <c r="K1368" s="45"/>
    </row>
    <row r="1369" spans="1:11">
      <c r="A1369" s="10" t="str">
        <f t="shared" si="87"/>
        <v/>
      </c>
      <c r="B1369" s="45"/>
      <c r="C1369" s="11" t="str">
        <f t="shared" si="84"/>
        <v/>
      </c>
      <c r="D1369" s="11" t="str">
        <f t="shared" si="85"/>
        <v/>
      </c>
      <c r="E1369" s="45"/>
      <c r="F1369" s="11" t="str">
        <f>IFERROR(VLOOKUP(E1369,Category!$D$2:$E$600,2,FALSE),"")</f>
        <v/>
      </c>
      <c r="G1369" s="45"/>
      <c r="H1369" s="73"/>
      <c r="I1369" s="18" t="str">
        <f t="shared" si="86"/>
        <v/>
      </c>
      <c r="J1369" s="45"/>
      <c r="K1369" s="45"/>
    </row>
    <row r="1370" spans="1:11">
      <c r="A1370" s="10" t="str">
        <f t="shared" si="87"/>
        <v/>
      </c>
      <c r="B1370" s="45"/>
      <c r="C1370" s="11" t="str">
        <f t="shared" si="84"/>
        <v/>
      </c>
      <c r="D1370" s="11" t="str">
        <f t="shared" si="85"/>
        <v/>
      </c>
      <c r="E1370" s="45"/>
      <c r="F1370" s="11" t="str">
        <f>IFERROR(VLOOKUP(E1370,Category!$D$2:$E$600,2,FALSE),"")</f>
        <v/>
      </c>
      <c r="G1370" s="45"/>
      <c r="H1370" s="73"/>
      <c r="I1370" s="18" t="str">
        <f t="shared" si="86"/>
        <v/>
      </c>
      <c r="J1370" s="45"/>
      <c r="K1370" s="45"/>
    </row>
    <row r="1371" spans="1:11">
      <c r="A1371" s="10" t="str">
        <f t="shared" si="87"/>
        <v/>
      </c>
      <c r="B1371" s="45"/>
      <c r="C1371" s="11" t="str">
        <f t="shared" si="84"/>
        <v/>
      </c>
      <c r="D1371" s="11" t="str">
        <f t="shared" si="85"/>
        <v/>
      </c>
      <c r="E1371" s="45"/>
      <c r="F1371" s="11" t="str">
        <f>IFERROR(VLOOKUP(E1371,Category!$D$2:$E$600,2,FALSE),"")</f>
        <v/>
      </c>
      <c r="G1371" s="45"/>
      <c r="H1371" s="73"/>
      <c r="I1371" s="18" t="str">
        <f t="shared" si="86"/>
        <v/>
      </c>
      <c r="J1371" s="45"/>
      <c r="K1371" s="45"/>
    </row>
    <row r="1372" spans="1:11">
      <c r="A1372" s="10" t="str">
        <f t="shared" si="87"/>
        <v/>
      </c>
      <c r="B1372" s="45"/>
      <c r="C1372" s="11" t="str">
        <f t="shared" si="84"/>
        <v/>
      </c>
      <c r="D1372" s="11" t="str">
        <f t="shared" si="85"/>
        <v/>
      </c>
      <c r="E1372" s="45"/>
      <c r="F1372" s="11" t="str">
        <f>IFERROR(VLOOKUP(E1372,Category!$D$2:$E$600,2,FALSE),"")</f>
        <v/>
      </c>
      <c r="G1372" s="45"/>
      <c r="H1372" s="73"/>
      <c r="I1372" s="18" t="str">
        <f t="shared" si="86"/>
        <v/>
      </c>
      <c r="J1372" s="45"/>
      <c r="K1372" s="45"/>
    </row>
    <row r="1373" spans="1:11">
      <c r="A1373" s="10" t="str">
        <f t="shared" si="87"/>
        <v/>
      </c>
      <c r="B1373" s="45"/>
      <c r="C1373" s="11" t="str">
        <f t="shared" si="84"/>
        <v/>
      </c>
      <c r="D1373" s="11" t="str">
        <f t="shared" si="85"/>
        <v/>
      </c>
      <c r="E1373" s="45"/>
      <c r="F1373" s="11" t="str">
        <f>IFERROR(VLOOKUP(E1373,Category!$D$2:$E$600,2,FALSE),"")</f>
        <v/>
      </c>
      <c r="G1373" s="45"/>
      <c r="H1373" s="73"/>
      <c r="I1373" s="18" t="str">
        <f t="shared" si="86"/>
        <v/>
      </c>
      <c r="J1373" s="45"/>
      <c r="K1373" s="45"/>
    </row>
    <row r="1374" spans="1:11">
      <c r="A1374" s="10" t="str">
        <f t="shared" si="87"/>
        <v/>
      </c>
      <c r="B1374" s="45"/>
      <c r="C1374" s="11" t="str">
        <f t="shared" si="84"/>
        <v/>
      </c>
      <c r="D1374" s="11" t="str">
        <f t="shared" si="85"/>
        <v/>
      </c>
      <c r="E1374" s="45"/>
      <c r="F1374" s="11" t="str">
        <f>IFERROR(VLOOKUP(E1374,Category!$D$2:$E$600,2,FALSE),"")</f>
        <v/>
      </c>
      <c r="G1374" s="45"/>
      <c r="H1374" s="73"/>
      <c r="I1374" s="18" t="str">
        <f t="shared" si="86"/>
        <v/>
      </c>
      <c r="J1374" s="45"/>
      <c r="K1374" s="45"/>
    </row>
    <row r="1375" spans="1:11">
      <c r="A1375" s="10" t="str">
        <f t="shared" si="87"/>
        <v/>
      </c>
      <c r="B1375" s="45"/>
      <c r="C1375" s="11" t="str">
        <f t="shared" si="84"/>
        <v/>
      </c>
      <c r="D1375" s="11" t="str">
        <f t="shared" si="85"/>
        <v/>
      </c>
      <c r="E1375" s="45"/>
      <c r="F1375" s="11" t="str">
        <f>IFERROR(VLOOKUP(E1375,Category!$D$2:$E$600,2,FALSE),"")</f>
        <v/>
      </c>
      <c r="G1375" s="45"/>
      <c r="H1375" s="73"/>
      <c r="I1375" s="18" t="str">
        <f t="shared" si="86"/>
        <v/>
      </c>
      <c r="J1375" s="45"/>
      <c r="K1375" s="45"/>
    </row>
    <row r="1376" spans="1:11">
      <c r="A1376" s="10" t="str">
        <f t="shared" si="87"/>
        <v/>
      </c>
      <c r="B1376" s="45"/>
      <c r="C1376" s="11" t="str">
        <f t="shared" si="84"/>
        <v/>
      </c>
      <c r="D1376" s="11" t="str">
        <f t="shared" si="85"/>
        <v/>
      </c>
      <c r="E1376" s="45"/>
      <c r="F1376" s="11" t="str">
        <f>IFERROR(VLOOKUP(E1376,Category!$D$2:$E$600,2,FALSE),"")</f>
        <v/>
      </c>
      <c r="G1376" s="45"/>
      <c r="H1376" s="73"/>
      <c r="I1376" s="18" t="str">
        <f t="shared" si="86"/>
        <v/>
      </c>
      <c r="J1376" s="45"/>
      <c r="K1376" s="45"/>
    </row>
    <row r="1377" spans="1:11">
      <c r="A1377" s="10" t="str">
        <f t="shared" si="87"/>
        <v/>
      </c>
      <c r="B1377" s="45"/>
      <c r="C1377" s="11" t="str">
        <f t="shared" si="84"/>
        <v/>
      </c>
      <c r="D1377" s="11" t="str">
        <f t="shared" si="85"/>
        <v/>
      </c>
      <c r="E1377" s="45"/>
      <c r="F1377" s="11" t="str">
        <f>IFERROR(VLOOKUP(E1377,Category!$D$2:$E$600,2,FALSE),"")</f>
        <v/>
      </c>
      <c r="G1377" s="45"/>
      <c r="H1377" s="73"/>
      <c r="I1377" s="18" t="str">
        <f t="shared" si="86"/>
        <v/>
      </c>
      <c r="J1377" s="45"/>
      <c r="K1377" s="45"/>
    </row>
    <row r="1378" spans="1:11">
      <c r="A1378" s="10" t="str">
        <f t="shared" si="87"/>
        <v/>
      </c>
      <c r="B1378" s="45"/>
      <c r="C1378" s="11" t="str">
        <f t="shared" si="84"/>
        <v/>
      </c>
      <c r="D1378" s="11" t="str">
        <f t="shared" si="85"/>
        <v/>
      </c>
      <c r="E1378" s="45"/>
      <c r="F1378" s="11" t="str">
        <f>IFERROR(VLOOKUP(E1378,Category!$D$2:$E$600,2,FALSE),"")</f>
        <v/>
      </c>
      <c r="G1378" s="45"/>
      <c r="H1378" s="73"/>
      <c r="I1378" s="18" t="str">
        <f t="shared" si="86"/>
        <v/>
      </c>
      <c r="J1378" s="45"/>
      <c r="K1378" s="45"/>
    </row>
    <row r="1379" spans="1:11">
      <c r="A1379" s="10" t="str">
        <f t="shared" si="87"/>
        <v/>
      </c>
      <c r="B1379" s="45"/>
      <c r="C1379" s="11" t="str">
        <f t="shared" si="84"/>
        <v/>
      </c>
      <c r="D1379" s="11" t="str">
        <f t="shared" si="85"/>
        <v/>
      </c>
      <c r="E1379" s="45"/>
      <c r="F1379" s="11" t="str">
        <f>IFERROR(VLOOKUP(E1379,Category!$D$2:$E$600,2,FALSE),"")</f>
        <v/>
      </c>
      <c r="G1379" s="45"/>
      <c r="H1379" s="73"/>
      <c r="I1379" s="18" t="str">
        <f t="shared" si="86"/>
        <v/>
      </c>
      <c r="J1379" s="45"/>
      <c r="K1379" s="45"/>
    </row>
    <row r="1380" spans="1:11">
      <c r="A1380" s="10" t="str">
        <f t="shared" si="87"/>
        <v/>
      </c>
      <c r="B1380" s="45"/>
      <c r="C1380" s="11" t="str">
        <f t="shared" si="84"/>
        <v/>
      </c>
      <c r="D1380" s="11" t="str">
        <f t="shared" si="85"/>
        <v/>
      </c>
      <c r="E1380" s="45"/>
      <c r="F1380" s="11" t="str">
        <f>IFERROR(VLOOKUP(E1380,Category!$D$2:$E$600,2,FALSE),"")</f>
        <v/>
      </c>
      <c r="G1380" s="45"/>
      <c r="H1380" s="73"/>
      <c r="I1380" s="18" t="str">
        <f t="shared" si="86"/>
        <v/>
      </c>
      <c r="J1380" s="45"/>
      <c r="K1380" s="45"/>
    </row>
    <row r="1381" spans="1:11">
      <c r="A1381" s="10" t="str">
        <f t="shared" si="87"/>
        <v/>
      </c>
      <c r="B1381" s="45"/>
      <c r="C1381" s="11" t="str">
        <f t="shared" si="84"/>
        <v/>
      </c>
      <c r="D1381" s="11" t="str">
        <f t="shared" si="85"/>
        <v/>
      </c>
      <c r="E1381" s="45"/>
      <c r="F1381" s="11" t="str">
        <f>IFERROR(VLOOKUP(E1381,Category!$D$2:$E$600,2,FALSE),"")</f>
        <v/>
      </c>
      <c r="G1381" s="45"/>
      <c r="H1381" s="73"/>
      <c r="I1381" s="18" t="str">
        <f t="shared" si="86"/>
        <v/>
      </c>
      <c r="J1381" s="45"/>
      <c r="K1381" s="45"/>
    </row>
    <row r="1382" spans="1:11">
      <c r="A1382" s="10" t="str">
        <f t="shared" si="87"/>
        <v/>
      </c>
      <c r="B1382" s="45"/>
      <c r="C1382" s="11" t="str">
        <f t="shared" si="84"/>
        <v/>
      </c>
      <c r="D1382" s="11" t="str">
        <f t="shared" si="85"/>
        <v/>
      </c>
      <c r="E1382" s="45"/>
      <c r="F1382" s="11" t="str">
        <f>IFERROR(VLOOKUP(E1382,Category!$D$2:$E$600,2,FALSE),"")</f>
        <v/>
      </c>
      <c r="G1382" s="45"/>
      <c r="H1382" s="73"/>
      <c r="I1382" s="18" t="str">
        <f t="shared" si="86"/>
        <v/>
      </c>
      <c r="J1382" s="45"/>
      <c r="K1382" s="45"/>
    </row>
    <row r="1383" spans="1:11">
      <c r="A1383" s="10" t="str">
        <f t="shared" si="87"/>
        <v/>
      </c>
      <c r="B1383" s="45"/>
      <c r="C1383" s="11" t="str">
        <f t="shared" si="84"/>
        <v/>
      </c>
      <c r="D1383" s="11" t="str">
        <f t="shared" si="85"/>
        <v/>
      </c>
      <c r="E1383" s="45"/>
      <c r="F1383" s="11" t="str">
        <f>IFERROR(VLOOKUP(E1383,Category!$D$2:$E$600,2,FALSE),"")</f>
        <v/>
      </c>
      <c r="G1383" s="45"/>
      <c r="H1383" s="73"/>
      <c r="I1383" s="18" t="str">
        <f t="shared" si="86"/>
        <v/>
      </c>
      <c r="J1383" s="45"/>
      <c r="K1383" s="45"/>
    </row>
    <row r="1384" spans="1:11">
      <c r="A1384" s="10" t="str">
        <f t="shared" si="87"/>
        <v/>
      </c>
      <c r="B1384" s="45"/>
      <c r="C1384" s="11" t="str">
        <f t="shared" si="84"/>
        <v/>
      </c>
      <c r="D1384" s="11" t="str">
        <f t="shared" si="85"/>
        <v/>
      </c>
      <c r="E1384" s="45"/>
      <c r="F1384" s="11" t="str">
        <f>IFERROR(VLOOKUP(E1384,Category!$D$2:$E$600,2,FALSE),"")</f>
        <v/>
      </c>
      <c r="G1384" s="45"/>
      <c r="H1384" s="73"/>
      <c r="I1384" s="18" t="str">
        <f t="shared" si="86"/>
        <v/>
      </c>
      <c r="J1384" s="45"/>
      <c r="K1384" s="45"/>
    </row>
    <row r="1385" spans="1:11">
      <c r="A1385" s="10" t="str">
        <f t="shared" si="87"/>
        <v/>
      </c>
      <c r="B1385" s="45"/>
      <c r="C1385" s="11" t="str">
        <f t="shared" si="84"/>
        <v/>
      </c>
      <c r="D1385" s="11" t="str">
        <f t="shared" si="85"/>
        <v/>
      </c>
      <c r="E1385" s="45"/>
      <c r="F1385" s="11" t="str">
        <f>IFERROR(VLOOKUP(E1385,Category!$D$2:$E$600,2,FALSE),"")</f>
        <v/>
      </c>
      <c r="G1385" s="45"/>
      <c r="H1385" s="73"/>
      <c r="I1385" s="18" t="str">
        <f t="shared" si="86"/>
        <v/>
      </c>
      <c r="J1385" s="45"/>
      <c r="K1385" s="45"/>
    </row>
    <row r="1386" spans="1:11">
      <c r="A1386" s="10" t="str">
        <f t="shared" si="87"/>
        <v/>
      </c>
      <c r="B1386" s="45"/>
      <c r="C1386" s="11" t="str">
        <f t="shared" si="84"/>
        <v/>
      </c>
      <c r="D1386" s="11" t="str">
        <f t="shared" si="85"/>
        <v/>
      </c>
      <c r="E1386" s="45"/>
      <c r="F1386" s="11" t="str">
        <f>IFERROR(VLOOKUP(E1386,Category!$D$2:$E$600,2,FALSE),"")</f>
        <v/>
      </c>
      <c r="G1386" s="45"/>
      <c r="H1386" s="73"/>
      <c r="I1386" s="18" t="str">
        <f t="shared" si="86"/>
        <v/>
      </c>
      <c r="J1386" s="45"/>
      <c r="K1386" s="45"/>
    </row>
    <row r="1387" spans="1:11">
      <c r="A1387" s="10" t="str">
        <f t="shared" si="87"/>
        <v/>
      </c>
      <c r="B1387" s="45"/>
      <c r="C1387" s="11" t="str">
        <f t="shared" si="84"/>
        <v/>
      </c>
      <c r="D1387" s="11" t="str">
        <f t="shared" si="85"/>
        <v/>
      </c>
      <c r="E1387" s="45"/>
      <c r="F1387" s="11" t="str">
        <f>IFERROR(VLOOKUP(E1387,Category!$D$2:$E$600,2,FALSE),"")</f>
        <v/>
      </c>
      <c r="G1387" s="45"/>
      <c r="H1387" s="73"/>
      <c r="I1387" s="18" t="str">
        <f t="shared" si="86"/>
        <v/>
      </c>
      <c r="J1387" s="45"/>
      <c r="K1387" s="45"/>
    </row>
    <row r="1388" spans="1:11">
      <c r="A1388" s="10" t="str">
        <f t="shared" si="87"/>
        <v/>
      </c>
      <c r="B1388" s="45"/>
      <c r="C1388" s="11" t="str">
        <f t="shared" si="84"/>
        <v/>
      </c>
      <c r="D1388" s="11" t="str">
        <f t="shared" si="85"/>
        <v/>
      </c>
      <c r="E1388" s="45"/>
      <c r="F1388" s="11" t="str">
        <f>IFERROR(VLOOKUP(E1388,Category!$D$2:$E$600,2,FALSE),"")</f>
        <v/>
      </c>
      <c r="G1388" s="45"/>
      <c r="H1388" s="73"/>
      <c r="I1388" s="18" t="str">
        <f t="shared" si="86"/>
        <v/>
      </c>
      <c r="J1388" s="45"/>
      <c r="K1388" s="45"/>
    </row>
    <row r="1389" spans="1:11">
      <c r="A1389" s="10" t="str">
        <f t="shared" si="87"/>
        <v/>
      </c>
      <c r="B1389" s="45"/>
      <c r="C1389" s="11" t="str">
        <f t="shared" si="84"/>
        <v/>
      </c>
      <c r="D1389" s="11" t="str">
        <f t="shared" si="85"/>
        <v/>
      </c>
      <c r="E1389" s="45"/>
      <c r="F1389" s="11" t="str">
        <f>IFERROR(VLOOKUP(E1389,Category!$D$2:$E$600,2,FALSE),"")</f>
        <v/>
      </c>
      <c r="G1389" s="45"/>
      <c r="H1389" s="73"/>
      <c r="I1389" s="18" t="str">
        <f t="shared" si="86"/>
        <v/>
      </c>
      <c r="J1389" s="45"/>
      <c r="K1389" s="45"/>
    </row>
    <row r="1390" spans="1:11">
      <c r="A1390" s="10" t="str">
        <f t="shared" si="87"/>
        <v/>
      </c>
      <c r="B1390" s="45"/>
      <c r="C1390" s="11" t="str">
        <f t="shared" si="84"/>
        <v/>
      </c>
      <c r="D1390" s="11" t="str">
        <f t="shared" si="85"/>
        <v/>
      </c>
      <c r="E1390" s="45"/>
      <c r="F1390" s="11" t="str">
        <f>IFERROR(VLOOKUP(E1390,Category!$D$2:$E$600,2,FALSE),"")</f>
        <v/>
      </c>
      <c r="G1390" s="45"/>
      <c r="H1390" s="73"/>
      <c r="I1390" s="18" t="str">
        <f t="shared" si="86"/>
        <v/>
      </c>
      <c r="J1390" s="45"/>
      <c r="K1390" s="45"/>
    </row>
    <row r="1391" spans="1:11">
      <c r="A1391" s="10" t="str">
        <f t="shared" si="87"/>
        <v/>
      </c>
      <c r="B1391" s="45"/>
      <c r="C1391" s="11" t="str">
        <f t="shared" si="84"/>
        <v/>
      </c>
      <c r="D1391" s="11" t="str">
        <f t="shared" si="85"/>
        <v/>
      </c>
      <c r="E1391" s="45"/>
      <c r="F1391" s="11" t="str">
        <f>IFERROR(VLOOKUP(E1391,Category!$D$2:$E$600,2,FALSE),"")</f>
        <v/>
      </c>
      <c r="G1391" s="45"/>
      <c r="H1391" s="73"/>
      <c r="I1391" s="18" t="str">
        <f t="shared" si="86"/>
        <v/>
      </c>
      <c r="J1391" s="45"/>
      <c r="K1391" s="45"/>
    </row>
    <row r="1392" spans="1:11">
      <c r="A1392" s="10" t="str">
        <f t="shared" si="87"/>
        <v/>
      </c>
      <c r="B1392" s="45"/>
      <c r="C1392" s="11" t="str">
        <f t="shared" si="84"/>
        <v/>
      </c>
      <c r="D1392" s="11" t="str">
        <f t="shared" si="85"/>
        <v/>
      </c>
      <c r="E1392" s="45"/>
      <c r="F1392" s="11" t="str">
        <f>IFERROR(VLOOKUP(E1392,Category!$D$2:$E$600,2,FALSE),"")</f>
        <v/>
      </c>
      <c r="G1392" s="45"/>
      <c r="H1392" s="73"/>
      <c r="I1392" s="18" t="str">
        <f t="shared" si="86"/>
        <v/>
      </c>
      <c r="J1392" s="45"/>
      <c r="K1392" s="45"/>
    </row>
    <row r="1393" spans="1:11">
      <c r="A1393" s="10" t="str">
        <f t="shared" si="87"/>
        <v/>
      </c>
      <c r="B1393" s="45"/>
      <c r="C1393" s="11" t="str">
        <f t="shared" si="84"/>
        <v/>
      </c>
      <c r="D1393" s="11" t="str">
        <f t="shared" si="85"/>
        <v/>
      </c>
      <c r="E1393" s="45"/>
      <c r="F1393" s="11" t="str">
        <f>IFERROR(VLOOKUP(E1393,Category!$D$2:$E$600,2,FALSE),"")</f>
        <v/>
      </c>
      <c r="G1393" s="45"/>
      <c r="H1393" s="73"/>
      <c r="I1393" s="18" t="str">
        <f t="shared" si="86"/>
        <v/>
      </c>
      <c r="J1393" s="45"/>
      <c r="K1393" s="45"/>
    </row>
    <row r="1394" spans="1:11">
      <c r="A1394" s="10" t="str">
        <f t="shared" si="87"/>
        <v/>
      </c>
      <c r="B1394" s="45"/>
      <c r="C1394" s="11" t="str">
        <f t="shared" si="84"/>
        <v/>
      </c>
      <c r="D1394" s="11" t="str">
        <f t="shared" si="85"/>
        <v/>
      </c>
      <c r="E1394" s="45"/>
      <c r="F1394" s="11" t="str">
        <f>IFERROR(VLOOKUP(E1394,Category!$D$2:$E$600,2,FALSE),"")</f>
        <v/>
      </c>
      <c r="G1394" s="45"/>
      <c r="H1394" s="73"/>
      <c r="I1394" s="18" t="str">
        <f t="shared" si="86"/>
        <v/>
      </c>
      <c r="J1394" s="45"/>
      <c r="K1394" s="45"/>
    </row>
    <row r="1395" spans="1:11">
      <c r="A1395" s="10" t="str">
        <f t="shared" si="87"/>
        <v/>
      </c>
      <c r="B1395" s="45"/>
      <c r="C1395" s="11" t="str">
        <f t="shared" si="84"/>
        <v/>
      </c>
      <c r="D1395" s="11" t="str">
        <f t="shared" si="85"/>
        <v/>
      </c>
      <c r="E1395" s="45"/>
      <c r="F1395" s="11" t="str">
        <f>IFERROR(VLOOKUP(E1395,Category!$D$2:$E$600,2,FALSE),"")</f>
        <v/>
      </c>
      <c r="G1395" s="45"/>
      <c r="H1395" s="73"/>
      <c r="I1395" s="18" t="str">
        <f t="shared" si="86"/>
        <v/>
      </c>
      <c r="J1395" s="45"/>
      <c r="K1395" s="45"/>
    </row>
    <row r="1396" spans="1:11">
      <c r="A1396" s="10" t="str">
        <f t="shared" si="87"/>
        <v/>
      </c>
      <c r="B1396" s="45"/>
      <c r="C1396" s="11" t="str">
        <f t="shared" si="84"/>
        <v/>
      </c>
      <c r="D1396" s="11" t="str">
        <f t="shared" si="85"/>
        <v/>
      </c>
      <c r="E1396" s="45"/>
      <c r="F1396" s="11" t="str">
        <f>IFERROR(VLOOKUP(E1396,Category!$D$2:$E$600,2,FALSE),"")</f>
        <v/>
      </c>
      <c r="G1396" s="45"/>
      <c r="H1396" s="73"/>
      <c r="I1396" s="18" t="str">
        <f t="shared" si="86"/>
        <v/>
      </c>
      <c r="J1396" s="45"/>
      <c r="K1396" s="45"/>
    </row>
    <row r="1397" spans="1:11">
      <c r="A1397" s="10" t="str">
        <f t="shared" si="87"/>
        <v/>
      </c>
      <c r="B1397" s="45"/>
      <c r="C1397" s="11" t="str">
        <f t="shared" si="84"/>
        <v/>
      </c>
      <c r="D1397" s="11" t="str">
        <f t="shared" si="85"/>
        <v/>
      </c>
      <c r="E1397" s="45"/>
      <c r="F1397" s="11" t="str">
        <f>IFERROR(VLOOKUP(E1397,Category!$D$2:$E$600,2,FALSE),"")</f>
        <v/>
      </c>
      <c r="G1397" s="45"/>
      <c r="H1397" s="73"/>
      <c r="I1397" s="18" t="str">
        <f t="shared" si="86"/>
        <v/>
      </c>
      <c r="J1397" s="45"/>
      <c r="K1397" s="45"/>
    </row>
    <row r="1398" spans="1:11">
      <c r="A1398" s="10" t="str">
        <f t="shared" si="87"/>
        <v/>
      </c>
      <c r="B1398" s="45"/>
      <c r="C1398" s="11" t="str">
        <f t="shared" si="84"/>
        <v/>
      </c>
      <c r="D1398" s="11" t="str">
        <f t="shared" si="85"/>
        <v/>
      </c>
      <c r="E1398" s="45"/>
      <c r="F1398" s="11" t="str">
        <f>IFERROR(VLOOKUP(E1398,Category!$D$2:$E$600,2,FALSE),"")</f>
        <v/>
      </c>
      <c r="G1398" s="45"/>
      <c r="H1398" s="73"/>
      <c r="I1398" s="18" t="str">
        <f t="shared" si="86"/>
        <v/>
      </c>
      <c r="J1398" s="45"/>
      <c r="K1398" s="45"/>
    </row>
    <row r="1399" spans="1:11">
      <c r="A1399" s="10" t="str">
        <f t="shared" si="87"/>
        <v/>
      </c>
      <c r="B1399" s="45"/>
      <c r="C1399" s="11" t="str">
        <f t="shared" si="84"/>
        <v/>
      </c>
      <c r="D1399" s="11" t="str">
        <f t="shared" si="85"/>
        <v/>
      </c>
      <c r="E1399" s="45"/>
      <c r="F1399" s="11" t="str">
        <f>IFERROR(VLOOKUP(E1399,Category!$D$2:$E$600,2,FALSE),"")</f>
        <v/>
      </c>
      <c r="G1399" s="45"/>
      <c r="H1399" s="73"/>
      <c r="I1399" s="18" t="str">
        <f t="shared" si="86"/>
        <v/>
      </c>
      <c r="J1399" s="45"/>
      <c r="K1399" s="45"/>
    </row>
    <row r="1400" spans="1:11">
      <c r="A1400" s="10" t="str">
        <f t="shared" si="87"/>
        <v/>
      </c>
      <c r="B1400" s="45"/>
      <c r="C1400" s="11" t="str">
        <f t="shared" si="84"/>
        <v/>
      </c>
      <c r="D1400" s="11" t="str">
        <f t="shared" si="85"/>
        <v/>
      </c>
      <c r="E1400" s="45"/>
      <c r="F1400" s="11" t="str">
        <f>IFERROR(VLOOKUP(E1400,Category!$D$2:$E$600,2,FALSE),"")</f>
        <v/>
      </c>
      <c r="G1400" s="45"/>
      <c r="H1400" s="73"/>
      <c r="I1400" s="18" t="str">
        <f t="shared" si="86"/>
        <v/>
      </c>
      <c r="J1400" s="45"/>
      <c r="K1400" s="45"/>
    </row>
    <row r="1401" spans="1:11">
      <c r="A1401" s="10" t="str">
        <f t="shared" si="87"/>
        <v/>
      </c>
      <c r="B1401" s="45"/>
      <c r="C1401" s="11" t="str">
        <f t="shared" si="84"/>
        <v/>
      </c>
      <c r="D1401" s="11" t="str">
        <f t="shared" si="85"/>
        <v/>
      </c>
      <c r="E1401" s="45"/>
      <c r="F1401" s="11" t="str">
        <f>IFERROR(VLOOKUP(E1401,Category!$D$2:$E$600,2,FALSE),"")</f>
        <v/>
      </c>
      <c r="G1401" s="45"/>
      <c r="H1401" s="73"/>
      <c r="I1401" s="18" t="str">
        <f t="shared" si="86"/>
        <v/>
      </c>
      <c r="J1401" s="45"/>
      <c r="K1401" s="45"/>
    </row>
    <row r="1402" spans="1:11">
      <c r="A1402" s="10" t="str">
        <f t="shared" si="87"/>
        <v/>
      </c>
      <c r="B1402" s="45"/>
      <c r="C1402" s="11" t="str">
        <f t="shared" si="84"/>
        <v/>
      </c>
      <c r="D1402" s="11" t="str">
        <f t="shared" si="85"/>
        <v/>
      </c>
      <c r="E1402" s="45"/>
      <c r="F1402" s="11" t="str">
        <f>IFERROR(VLOOKUP(E1402,Category!$D$2:$E$600,2,FALSE),"")</f>
        <v/>
      </c>
      <c r="G1402" s="45"/>
      <c r="H1402" s="73"/>
      <c r="I1402" s="18" t="str">
        <f t="shared" si="86"/>
        <v/>
      </c>
      <c r="J1402" s="45"/>
      <c r="K1402" s="45"/>
    </row>
    <row r="1403" spans="1:11">
      <c r="A1403" s="10" t="str">
        <f t="shared" si="87"/>
        <v/>
      </c>
      <c r="B1403" s="45"/>
      <c r="C1403" s="11" t="str">
        <f t="shared" si="84"/>
        <v/>
      </c>
      <c r="D1403" s="11" t="str">
        <f t="shared" si="85"/>
        <v/>
      </c>
      <c r="E1403" s="45"/>
      <c r="F1403" s="11" t="str">
        <f>IFERROR(VLOOKUP(E1403,Category!$D$2:$E$600,2,FALSE),"")</f>
        <v/>
      </c>
      <c r="G1403" s="45"/>
      <c r="H1403" s="73"/>
      <c r="I1403" s="18" t="str">
        <f t="shared" si="86"/>
        <v/>
      </c>
      <c r="J1403" s="45"/>
      <c r="K1403" s="45"/>
    </row>
    <row r="1404" spans="1:11">
      <c r="A1404" s="10" t="str">
        <f t="shared" si="87"/>
        <v/>
      </c>
      <c r="B1404" s="45"/>
      <c r="C1404" s="11" t="str">
        <f t="shared" si="84"/>
        <v/>
      </c>
      <c r="D1404" s="11" t="str">
        <f t="shared" si="85"/>
        <v/>
      </c>
      <c r="E1404" s="45"/>
      <c r="F1404" s="11" t="str">
        <f>IFERROR(VLOOKUP(E1404,Category!$D$2:$E$600,2,FALSE),"")</f>
        <v/>
      </c>
      <c r="G1404" s="45"/>
      <c r="H1404" s="73"/>
      <c r="I1404" s="18" t="str">
        <f t="shared" si="86"/>
        <v/>
      </c>
      <c r="J1404" s="45"/>
      <c r="K1404" s="45"/>
    </row>
    <row r="1405" spans="1:11">
      <c r="A1405" s="10" t="str">
        <f t="shared" si="87"/>
        <v/>
      </c>
      <c r="B1405" s="45"/>
      <c r="C1405" s="11" t="str">
        <f t="shared" si="84"/>
        <v/>
      </c>
      <c r="D1405" s="11" t="str">
        <f t="shared" si="85"/>
        <v/>
      </c>
      <c r="E1405" s="45"/>
      <c r="F1405" s="11" t="str">
        <f>IFERROR(VLOOKUP(E1405,Category!$D$2:$E$600,2,FALSE),"")</f>
        <v/>
      </c>
      <c r="G1405" s="45"/>
      <c r="H1405" s="73"/>
      <c r="I1405" s="18" t="str">
        <f t="shared" si="86"/>
        <v/>
      </c>
      <c r="J1405" s="45"/>
      <c r="K1405" s="45"/>
    </row>
    <row r="1406" spans="1:11">
      <c r="A1406" s="10" t="str">
        <f t="shared" si="87"/>
        <v/>
      </c>
      <c r="B1406" s="45"/>
      <c r="C1406" s="11" t="str">
        <f t="shared" si="84"/>
        <v/>
      </c>
      <c r="D1406" s="11" t="str">
        <f t="shared" si="85"/>
        <v/>
      </c>
      <c r="E1406" s="45"/>
      <c r="F1406" s="11" t="str">
        <f>IFERROR(VLOOKUP(E1406,Category!$D$2:$E$600,2,FALSE),"")</f>
        <v/>
      </c>
      <c r="G1406" s="45"/>
      <c r="H1406" s="73"/>
      <c r="I1406" s="18" t="str">
        <f t="shared" si="86"/>
        <v/>
      </c>
      <c r="J1406" s="45"/>
      <c r="K1406" s="45"/>
    </row>
    <row r="1407" spans="1:11">
      <c r="A1407" s="10" t="str">
        <f t="shared" si="87"/>
        <v/>
      </c>
      <c r="B1407" s="45"/>
      <c r="C1407" s="11" t="str">
        <f t="shared" si="84"/>
        <v/>
      </c>
      <c r="D1407" s="11" t="str">
        <f t="shared" si="85"/>
        <v/>
      </c>
      <c r="E1407" s="45"/>
      <c r="F1407" s="11" t="str">
        <f>IFERROR(VLOOKUP(E1407,Category!$D$2:$E$600,2,FALSE),"")</f>
        <v/>
      </c>
      <c r="G1407" s="45"/>
      <c r="H1407" s="73"/>
      <c r="I1407" s="18" t="str">
        <f t="shared" si="86"/>
        <v/>
      </c>
      <c r="J1407" s="45"/>
      <c r="K1407" s="45"/>
    </row>
    <row r="1408" spans="1:11">
      <c r="A1408" s="10" t="str">
        <f t="shared" si="87"/>
        <v/>
      </c>
      <c r="B1408" s="45"/>
      <c r="C1408" s="11" t="str">
        <f t="shared" si="84"/>
        <v/>
      </c>
      <c r="D1408" s="11" t="str">
        <f t="shared" si="85"/>
        <v/>
      </c>
      <c r="E1408" s="45"/>
      <c r="F1408" s="11" t="str">
        <f>IFERROR(VLOOKUP(E1408,Category!$D$2:$E$600,2,FALSE),"")</f>
        <v/>
      </c>
      <c r="G1408" s="45"/>
      <c r="H1408" s="73"/>
      <c r="I1408" s="18" t="str">
        <f t="shared" si="86"/>
        <v/>
      </c>
      <c r="J1408" s="45"/>
      <c r="K1408" s="45"/>
    </row>
    <row r="1409" spans="1:11">
      <c r="A1409" s="10" t="str">
        <f t="shared" si="87"/>
        <v/>
      </c>
      <c r="B1409" s="45"/>
      <c r="C1409" s="11" t="str">
        <f t="shared" si="84"/>
        <v/>
      </c>
      <c r="D1409" s="11" t="str">
        <f t="shared" si="85"/>
        <v/>
      </c>
      <c r="E1409" s="45"/>
      <c r="F1409" s="11" t="str">
        <f>IFERROR(VLOOKUP(E1409,Category!$D$2:$E$600,2,FALSE),"")</f>
        <v/>
      </c>
      <c r="G1409" s="45"/>
      <c r="H1409" s="73"/>
      <c r="I1409" s="18" t="str">
        <f t="shared" si="86"/>
        <v/>
      </c>
      <c r="J1409" s="45"/>
      <c r="K1409" s="45"/>
    </row>
    <row r="1410" spans="1:11">
      <c r="A1410" s="10" t="str">
        <f t="shared" si="87"/>
        <v/>
      </c>
      <c r="B1410" s="45"/>
      <c r="C1410" s="11" t="str">
        <f t="shared" si="84"/>
        <v/>
      </c>
      <c r="D1410" s="11" t="str">
        <f t="shared" si="85"/>
        <v/>
      </c>
      <c r="E1410" s="45"/>
      <c r="F1410" s="11" t="str">
        <f>IFERROR(VLOOKUP(E1410,Category!$D$2:$E$600,2,FALSE),"")</f>
        <v/>
      </c>
      <c r="G1410" s="45"/>
      <c r="H1410" s="73"/>
      <c r="I1410" s="18" t="str">
        <f t="shared" si="86"/>
        <v/>
      </c>
      <c r="J1410" s="45"/>
      <c r="K1410" s="45"/>
    </row>
    <row r="1411" spans="1:11">
      <c r="A1411" s="10" t="str">
        <f t="shared" si="87"/>
        <v/>
      </c>
      <c r="B1411" s="45"/>
      <c r="C1411" s="11" t="str">
        <f t="shared" ref="C1411:C1474" si="88">IF(B1411=0,"",TEXT(B1411,"mmmm"))</f>
        <v/>
      </c>
      <c r="D1411" s="11" t="str">
        <f t="shared" ref="D1411:D1474" si="89">IF(B1411=0,"",TEXT(B1411,"yyyy"))</f>
        <v/>
      </c>
      <c r="E1411" s="45"/>
      <c r="F1411" s="11" t="str">
        <f>IFERROR(VLOOKUP(E1411,Category!$D$2:$E$600,2,FALSE),"")</f>
        <v/>
      </c>
      <c r="G1411" s="45"/>
      <c r="H1411" s="73"/>
      <c r="I1411" s="18" t="str">
        <f t="shared" ref="I1411:I1474" si="90">IF(G1411*H1411=0,"",G1411*H1411)</f>
        <v/>
      </c>
      <c r="J1411" s="45"/>
      <c r="K1411" s="45"/>
    </row>
    <row r="1412" spans="1:11">
      <c r="A1412" s="10" t="str">
        <f t="shared" ref="A1412:A1475" si="91">IF(E1412&gt;0,A1411+1,"")</f>
        <v/>
      </c>
      <c r="B1412" s="45"/>
      <c r="C1412" s="11" t="str">
        <f t="shared" si="88"/>
        <v/>
      </c>
      <c r="D1412" s="11" t="str">
        <f t="shared" si="89"/>
        <v/>
      </c>
      <c r="E1412" s="45"/>
      <c r="F1412" s="11" t="str">
        <f>IFERROR(VLOOKUP(E1412,Category!$D$2:$E$600,2,FALSE),"")</f>
        <v/>
      </c>
      <c r="G1412" s="45"/>
      <c r="H1412" s="73"/>
      <c r="I1412" s="18" t="str">
        <f t="shared" si="90"/>
        <v/>
      </c>
      <c r="J1412" s="45"/>
      <c r="K1412" s="45"/>
    </row>
    <row r="1413" spans="1:11">
      <c r="A1413" s="10" t="str">
        <f t="shared" si="91"/>
        <v/>
      </c>
      <c r="B1413" s="45"/>
      <c r="C1413" s="11" t="str">
        <f t="shared" si="88"/>
        <v/>
      </c>
      <c r="D1413" s="11" t="str">
        <f t="shared" si="89"/>
        <v/>
      </c>
      <c r="E1413" s="45"/>
      <c r="F1413" s="11" t="str">
        <f>IFERROR(VLOOKUP(E1413,Category!$D$2:$E$600,2,FALSE),"")</f>
        <v/>
      </c>
      <c r="G1413" s="45"/>
      <c r="H1413" s="73"/>
      <c r="I1413" s="18" t="str">
        <f t="shared" si="90"/>
        <v/>
      </c>
      <c r="J1413" s="45"/>
      <c r="K1413" s="45"/>
    </row>
    <row r="1414" spans="1:11">
      <c r="A1414" s="10" t="str">
        <f t="shared" si="91"/>
        <v/>
      </c>
      <c r="B1414" s="45"/>
      <c r="C1414" s="11" t="str">
        <f t="shared" si="88"/>
        <v/>
      </c>
      <c r="D1414" s="11" t="str">
        <f t="shared" si="89"/>
        <v/>
      </c>
      <c r="E1414" s="45"/>
      <c r="F1414" s="11" t="str">
        <f>IFERROR(VLOOKUP(E1414,Category!$D$2:$E$600,2,FALSE),"")</f>
        <v/>
      </c>
      <c r="G1414" s="45"/>
      <c r="H1414" s="73"/>
      <c r="I1414" s="18" t="str">
        <f t="shared" si="90"/>
        <v/>
      </c>
      <c r="J1414" s="45"/>
      <c r="K1414" s="45"/>
    </row>
    <row r="1415" spans="1:11">
      <c r="A1415" s="10" t="str">
        <f t="shared" si="91"/>
        <v/>
      </c>
      <c r="B1415" s="45"/>
      <c r="C1415" s="11" t="str">
        <f t="shared" si="88"/>
        <v/>
      </c>
      <c r="D1415" s="11" t="str">
        <f t="shared" si="89"/>
        <v/>
      </c>
      <c r="E1415" s="45"/>
      <c r="F1415" s="11" t="str">
        <f>IFERROR(VLOOKUP(E1415,Category!$D$2:$E$600,2,FALSE),"")</f>
        <v/>
      </c>
      <c r="G1415" s="45"/>
      <c r="H1415" s="73"/>
      <c r="I1415" s="18" t="str">
        <f t="shared" si="90"/>
        <v/>
      </c>
      <c r="J1415" s="45"/>
      <c r="K1415" s="45"/>
    </row>
    <row r="1416" spans="1:11">
      <c r="A1416" s="10" t="str">
        <f t="shared" si="91"/>
        <v/>
      </c>
      <c r="B1416" s="45"/>
      <c r="C1416" s="11" t="str">
        <f t="shared" si="88"/>
        <v/>
      </c>
      <c r="D1416" s="11" t="str">
        <f t="shared" si="89"/>
        <v/>
      </c>
      <c r="E1416" s="45"/>
      <c r="F1416" s="11" t="str">
        <f>IFERROR(VLOOKUP(E1416,Category!$D$2:$E$600,2,FALSE),"")</f>
        <v/>
      </c>
      <c r="G1416" s="45"/>
      <c r="H1416" s="73"/>
      <c r="I1416" s="18" t="str">
        <f t="shared" si="90"/>
        <v/>
      </c>
      <c r="J1416" s="45"/>
      <c r="K1416" s="45"/>
    </row>
    <row r="1417" spans="1:11">
      <c r="A1417" s="10" t="str">
        <f t="shared" si="91"/>
        <v/>
      </c>
      <c r="B1417" s="45"/>
      <c r="C1417" s="11" t="str">
        <f t="shared" si="88"/>
        <v/>
      </c>
      <c r="D1417" s="11" t="str">
        <f t="shared" si="89"/>
        <v/>
      </c>
      <c r="E1417" s="45"/>
      <c r="F1417" s="11" t="str">
        <f>IFERROR(VLOOKUP(E1417,Category!$D$2:$E$600,2,FALSE),"")</f>
        <v/>
      </c>
      <c r="G1417" s="45"/>
      <c r="H1417" s="73"/>
      <c r="I1417" s="18" t="str">
        <f t="shared" si="90"/>
        <v/>
      </c>
      <c r="J1417" s="45"/>
      <c r="K1417" s="45"/>
    </row>
    <row r="1418" spans="1:11">
      <c r="A1418" s="10" t="str">
        <f t="shared" si="91"/>
        <v/>
      </c>
      <c r="B1418" s="45"/>
      <c r="C1418" s="11" t="str">
        <f t="shared" si="88"/>
        <v/>
      </c>
      <c r="D1418" s="11" t="str">
        <f t="shared" si="89"/>
        <v/>
      </c>
      <c r="E1418" s="45"/>
      <c r="F1418" s="11" t="str">
        <f>IFERROR(VLOOKUP(E1418,Category!$D$2:$E$600,2,FALSE),"")</f>
        <v/>
      </c>
      <c r="G1418" s="45"/>
      <c r="H1418" s="73"/>
      <c r="I1418" s="18" t="str">
        <f t="shared" si="90"/>
        <v/>
      </c>
      <c r="J1418" s="45"/>
      <c r="K1418" s="45"/>
    </row>
    <row r="1419" spans="1:11">
      <c r="A1419" s="10" t="str">
        <f t="shared" si="91"/>
        <v/>
      </c>
      <c r="B1419" s="45"/>
      <c r="C1419" s="11" t="str">
        <f t="shared" si="88"/>
        <v/>
      </c>
      <c r="D1419" s="11" t="str">
        <f t="shared" si="89"/>
        <v/>
      </c>
      <c r="E1419" s="45"/>
      <c r="F1419" s="11" t="str">
        <f>IFERROR(VLOOKUP(E1419,Category!$D$2:$E$600,2,FALSE),"")</f>
        <v/>
      </c>
      <c r="G1419" s="45"/>
      <c r="H1419" s="73"/>
      <c r="I1419" s="18" t="str">
        <f t="shared" si="90"/>
        <v/>
      </c>
      <c r="J1419" s="45"/>
      <c r="K1419" s="45"/>
    </row>
    <row r="1420" spans="1:11">
      <c r="A1420" s="10" t="str">
        <f t="shared" si="91"/>
        <v/>
      </c>
      <c r="B1420" s="45"/>
      <c r="C1420" s="11" t="str">
        <f t="shared" si="88"/>
        <v/>
      </c>
      <c r="D1420" s="11" t="str">
        <f t="shared" si="89"/>
        <v/>
      </c>
      <c r="E1420" s="45"/>
      <c r="F1420" s="11" t="str">
        <f>IFERROR(VLOOKUP(E1420,Category!$D$2:$E$600,2,FALSE),"")</f>
        <v/>
      </c>
      <c r="G1420" s="45"/>
      <c r="H1420" s="73"/>
      <c r="I1420" s="18" t="str">
        <f t="shared" si="90"/>
        <v/>
      </c>
      <c r="J1420" s="45"/>
      <c r="K1420" s="45"/>
    </row>
    <row r="1421" spans="1:11">
      <c r="A1421" s="10" t="str">
        <f t="shared" si="91"/>
        <v/>
      </c>
      <c r="B1421" s="45"/>
      <c r="C1421" s="11" t="str">
        <f t="shared" si="88"/>
        <v/>
      </c>
      <c r="D1421" s="11" t="str">
        <f t="shared" si="89"/>
        <v/>
      </c>
      <c r="E1421" s="45"/>
      <c r="F1421" s="11" t="str">
        <f>IFERROR(VLOOKUP(E1421,Category!$D$2:$E$600,2,FALSE),"")</f>
        <v/>
      </c>
      <c r="G1421" s="45"/>
      <c r="H1421" s="73"/>
      <c r="I1421" s="18" t="str">
        <f t="shared" si="90"/>
        <v/>
      </c>
      <c r="J1421" s="45"/>
      <c r="K1421" s="45"/>
    </row>
    <row r="1422" spans="1:11">
      <c r="A1422" s="10" t="str">
        <f t="shared" si="91"/>
        <v/>
      </c>
      <c r="B1422" s="45"/>
      <c r="C1422" s="11" t="str">
        <f t="shared" si="88"/>
        <v/>
      </c>
      <c r="D1422" s="11" t="str">
        <f t="shared" si="89"/>
        <v/>
      </c>
      <c r="E1422" s="45"/>
      <c r="F1422" s="11" t="str">
        <f>IFERROR(VLOOKUP(E1422,Category!$D$2:$E$600,2,FALSE),"")</f>
        <v/>
      </c>
      <c r="G1422" s="45"/>
      <c r="H1422" s="73"/>
      <c r="I1422" s="18" t="str">
        <f t="shared" si="90"/>
        <v/>
      </c>
      <c r="J1422" s="45"/>
      <c r="K1422" s="45"/>
    </row>
    <row r="1423" spans="1:11">
      <c r="A1423" s="10" t="str">
        <f t="shared" si="91"/>
        <v/>
      </c>
      <c r="B1423" s="45"/>
      <c r="C1423" s="11" t="str">
        <f t="shared" si="88"/>
        <v/>
      </c>
      <c r="D1423" s="11" t="str">
        <f t="shared" si="89"/>
        <v/>
      </c>
      <c r="E1423" s="45"/>
      <c r="F1423" s="11" t="str">
        <f>IFERROR(VLOOKUP(E1423,Category!$D$2:$E$600,2,FALSE),"")</f>
        <v/>
      </c>
      <c r="G1423" s="45"/>
      <c r="H1423" s="73"/>
      <c r="I1423" s="18" t="str">
        <f t="shared" si="90"/>
        <v/>
      </c>
      <c r="J1423" s="45"/>
      <c r="K1423" s="45"/>
    </row>
    <row r="1424" spans="1:11">
      <c r="A1424" s="10" t="str">
        <f t="shared" si="91"/>
        <v/>
      </c>
      <c r="B1424" s="45"/>
      <c r="C1424" s="11" t="str">
        <f t="shared" si="88"/>
        <v/>
      </c>
      <c r="D1424" s="11" t="str">
        <f t="shared" si="89"/>
        <v/>
      </c>
      <c r="E1424" s="45"/>
      <c r="F1424" s="11" t="str">
        <f>IFERROR(VLOOKUP(E1424,Category!$D$2:$E$600,2,FALSE),"")</f>
        <v/>
      </c>
      <c r="G1424" s="45"/>
      <c r="H1424" s="73"/>
      <c r="I1424" s="18" t="str">
        <f t="shared" si="90"/>
        <v/>
      </c>
      <c r="J1424" s="45"/>
      <c r="K1424" s="45"/>
    </row>
    <row r="1425" spans="1:11">
      <c r="A1425" s="10" t="str">
        <f t="shared" si="91"/>
        <v/>
      </c>
      <c r="B1425" s="45"/>
      <c r="C1425" s="11" t="str">
        <f t="shared" si="88"/>
        <v/>
      </c>
      <c r="D1425" s="11" t="str">
        <f t="shared" si="89"/>
        <v/>
      </c>
      <c r="E1425" s="45"/>
      <c r="F1425" s="11" t="str">
        <f>IFERROR(VLOOKUP(E1425,Category!$D$2:$E$600,2,FALSE),"")</f>
        <v/>
      </c>
      <c r="G1425" s="45"/>
      <c r="H1425" s="73"/>
      <c r="I1425" s="18" t="str">
        <f t="shared" si="90"/>
        <v/>
      </c>
      <c r="J1425" s="45"/>
      <c r="K1425" s="45"/>
    </row>
    <row r="1426" spans="1:11">
      <c r="A1426" s="10" t="str">
        <f t="shared" si="91"/>
        <v/>
      </c>
      <c r="B1426" s="45"/>
      <c r="C1426" s="11" t="str">
        <f t="shared" si="88"/>
        <v/>
      </c>
      <c r="D1426" s="11" t="str">
        <f t="shared" si="89"/>
        <v/>
      </c>
      <c r="E1426" s="45"/>
      <c r="F1426" s="11" t="str">
        <f>IFERROR(VLOOKUP(E1426,Category!$D$2:$E$600,2,FALSE),"")</f>
        <v/>
      </c>
      <c r="G1426" s="45"/>
      <c r="H1426" s="73"/>
      <c r="I1426" s="18" t="str">
        <f t="shared" si="90"/>
        <v/>
      </c>
      <c r="J1426" s="45"/>
      <c r="K1426" s="45"/>
    </row>
    <row r="1427" spans="1:11">
      <c r="A1427" s="10" t="str">
        <f t="shared" si="91"/>
        <v/>
      </c>
      <c r="B1427" s="45"/>
      <c r="C1427" s="11" t="str">
        <f t="shared" si="88"/>
        <v/>
      </c>
      <c r="D1427" s="11" t="str">
        <f t="shared" si="89"/>
        <v/>
      </c>
      <c r="E1427" s="45"/>
      <c r="F1427" s="11" t="str">
        <f>IFERROR(VLOOKUP(E1427,Category!$D$2:$E$600,2,FALSE),"")</f>
        <v/>
      </c>
      <c r="G1427" s="45"/>
      <c r="H1427" s="73"/>
      <c r="I1427" s="18" t="str">
        <f t="shared" si="90"/>
        <v/>
      </c>
      <c r="J1427" s="45"/>
      <c r="K1427" s="45"/>
    </row>
    <row r="1428" spans="1:11">
      <c r="A1428" s="10" t="str">
        <f t="shared" si="91"/>
        <v/>
      </c>
      <c r="B1428" s="45"/>
      <c r="C1428" s="11" t="str">
        <f t="shared" si="88"/>
        <v/>
      </c>
      <c r="D1428" s="11" t="str">
        <f t="shared" si="89"/>
        <v/>
      </c>
      <c r="E1428" s="45"/>
      <c r="F1428" s="11" t="str">
        <f>IFERROR(VLOOKUP(E1428,Category!$D$2:$E$600,2,FALSE),"")</f>
        <v/>
      </c>
      <c r="G1428" s="45"/>
      <c r="H1428" s="73"/>
      <c r="I1428" s="18" t="str">
        <f t="shared" si="90"/>
        <v/>
      </c>
      <c r="J1428" s="45"/>
      <c r="K1428" s="45"/>
    </row>
    <row r="1429" spans="1:11">
      <c r="A1429" s="10" t="str">
        <f t="shared" si="91"/>
        <v/>
      </c>
      <c r="B1429" s="45"/>
      <c r="C1429" s="11" t="str">
        <f t="shared" si="88"/>
        <v/>
      </c>
      <c r="D1429" s="11" t="str">
        <f t="shared" si="89"/>
        <v/>
      </c>
      <c r="E1429" s="45"/>
      <c r="F1429" s="11" t="str">
        <f>IFERROR(VLOOKUP(E1429,Category!$D$2:$E$600,2,FALSE),"")</f>
        <v/>
      </c>
      <c r="G1429" s="45"/>
      <c r="H1429" s="73"/>
      <c r="I1429" s="18" t="str">
        <f t="shared" si="90"/>
        <v/>
      </c>
      <c r="J1429" s="45"/>
      <c r="K1429" s="45"/>
    </row>
    <row r="1430" spans="1:11">
      <c r="A1430" s="10" t="str">
        <f t="shared" si="91"/>
        <v/>
      </c>
      <c r="B1430" s="45"/>
      <c r="C1430" s="11" t="str">
        <f t="shared" si="88"/>
        <v/>
      </c>
      <c r="D1430" s="11" t="str">
        <f t="shared" si="89"/>
        <v/>
      </c>
      <c r="E1430" s="45"/>
      <c r="F1430" s="11" t="str">
        <f>IFERROR(VLOOKUP(E1430,Category!$D$2:$E$600,2,FALSE),"")</f>
        <v/>
      </c>
      <c r="G1430" s="45"/>
      <c r="H1430" s="73"/>
      <c r="I1430" s="18" t="str">
        <f t="shared" si="90"/>
        <v/>
      </c>
      <c r="J1430" s="45"/>
      <c r="K1430" s="45"/>
    </row>
    <row r="1431" spans="1:11">
      <c r="A1431" s="10" t="str">
        <f t="shared" si="91"/>
        <v/>
      </c>
      <c r="B1431" s="45"/>
      <c r="C1431" s="11" t="str">
        <f t="shared" si="88"/>
        <v/>
      </c>
      <c r="D1431" s="11" t="str">
        <f t="shared" si="89"/>
        <v/>
      </c>
      <c r="E1431" s="45"/>
      <c r="F1431" s="11" t="str">
        <f>IFERROR(VLOOKUP(E1431,Category!$D$2:$E$600,2,FALSE),"")</f>
        <v/>
      </c>
      <c r="G1431" s="45"/>
      <c r="H1431" s="73"/>
      <c r="I1431" s="18" t="str">
        <f t="shared" si="90"/>
        <v/>
      </c>
      <c r="J1431" s="45"/>
      <c r="K1431" s="45"/>
    </row>
    <row r="1432" spans="1:11">
      <c r="A1432" s="10" t="str">
        <f t="shared" si="91"/>
        <v/>
      </c>
      <c r="B1432" s="45"/>
      <c r="C1432" s="11" t="str">
        <f t="shared" si="88"/>
        <v/>
      </c>
      <c r="D1432" s="11" t="str">
        <f t="shared" si="89"/>
        <v/>
      </c>
      <c r="E1432" s="45"/>
      <c r="F1432" s="11" t="str">
        <f>IFERROR(VLOOKUP(E1432,Category!$D$2:$E$600,2,FALSE),"")</f>
        <v/>
      </c>
      <c r="G1432" s="45"/>
      <c r="H1432" s="73"/>
      <c r="I1432" s="18" t="str">
        <f t="shared" si="90"/>
        <v/>
      </c>
      <c r="J1432" s="45"/>
      <c r="K1432" s="45"/>
    </row>
    <row r="1433" spans="1:11">
      <c r="A1433" s="10" t="str">
        <f t="shared" si="91"/>
        <v/>
      </c>
      <c r="B1433" s="45"/>
      <c r="C1433" s="11" t="str">
        <f t="shared" si="88"/>
        <v/>
      </c>
      <c r="D1433" s="11" t="str">
        <f t="shared" si="89"/>
        <v/>
      </c>
      <c r="E1433" s="45"/>
      <c r="F1433" s="11" t="str">
        <f>IFERROR(VLOOKUP(E1433,Category!$D$2:$E$600,2,FALSE),"")</f>
        <v/>
      </c>
      <c r="G1433" s="45"/>
      <c r="H1433" s="73"/>
      <c r="I1433" s="18" t="str">
        <f t="shared" si="90"/>
        <v/>
      </c>
      <c r="J1433" s="45"/>
      <c r="K1433" s="45"/>
    </row>
    <row r="1434" spans="1:11">
      <c r="A1434" s="10" t="str">
        <f t="shared" si="91"/>
        <v/>
      </c>
      <c r="B1434" s="45"/>
      <c r="C1434" s="11" t="str">
        <f t="shared" si="88"/>
        <v/>
      </c>
      <c r="D1434" s="11" t="str">
        <f t="shared" si="89"/>
        <v/>
      </c>
      <c r="E1434" s="45"/>
      <c r="F1434" s="11" t="str">
        <f>IFERROR(VLOOKUP(E1434,Category!$D$2:$E$600,2,FALSE),"")</f>
        <v/>
      </c>
      <c r="G1434" s="45"/>
      <c r="H1434" s="73"/>
      <c r="I1434" s="18" t="str">
        <f t="shared" si="90"/>
        <v/>
      </c>
      <c r="J1434" s="45"/>
      <c r="K1434" s="45"/>
    </row>
    <row r="1435" spans="1:11">
      <c r="A1435" s="10" t="str">
        <f t="shared" si="91"/>
        <v/>
      </c>
      <c r="B1435" s="45"/>
      <c r="C1435" s="11" t="str">
        <f t="shared" si="88"/>
        <v/>
      </c>
      <c r="D1435" s="11" t="str">
        <f t="shared" si="89"/>
        <v/>
      </c>
      <c r="E1435" s="45"/>
      <c r="F1435" s="11" t="str">
        <f>IFERROR(VLOOKUP(E1435,Category!$D$2:$E$600,2,FALSE),"")</f>
        <v/>
      </c>
      <c r="G1435" s="45"/>
      <c r="H1435" s="73"/>
      <c r="I1435" s="18" t="str">
        <f t="shared" si="90"/>
        <v/>
      </c>
      <c r="J1435" s="45"/>
      <c r="K1435" s="45"/>
    </row>
    <row r="1436" spans="1:11">
      <c r="A1436" s="10" t="str">
        <f t="shared" si="91"/>
        <v/>
      </c>
      <c r="B1436" s="45"/>
      <c r="C1436" s="11" t="str">
        <f t="shared" si="88"/>
        <v/>
      </c>
      <c r="D1436" s="11" t="str">
        <f t="shared" si="89"/>
        <v/>
      </c>
      <c r="E1436" s="45"/>
      <c r="F1436" s="11" t="str">
        <f>IFERROR(VLOOKUP(E1436,Category!$D$2:$E$600,2,FALSE),"")</f>
        <v/>
      </c>
      <c r="G1436" s="45"/>
      <c r="H1436" s="73"/>
      <c r="I1436" s="18" t="str">
        <f t="shared" si="90"/>
        <v/>
      </c>
      <c r="J1436" s="45"/>
      <c r="K1436" s="45"/>
    </row>
    <row r="1437" spans="1:11">
      <c r="A1437" s="10" t="str">
        <f t="shared" si="91"/>
        <v/>
      </c>
      <c r="B1437" s="45"/>
      <c r="C1437" s="11" t="str">
        <f t="shared" si="88"/>
        <v/>
      </c>
      <c r="D1437" s="11" t="str">
        <f t="shared" si="89"/>
        <v/>
      </c>
      <c r="E1437" s="45"/>
      <c r="F1437" s="11" t="str">
        <f>IFERROR(VLOOKUP(E1437,Category!$D$2:$E$600,2,FALSE),"")</f>
        <v/>
      </c>
      <c r="G1437" s="45"/>
      <c r="H1437" s="73"/>
      <c r="I1437" s="18" t="str">
        <f t="shared" si="90"/>
        <v/>
      </c>
      <c r="J1437" s="45"/>
      <c r="K1437" s="45"/>
    </row>
    <row r="1438" spans="1:11">
      <c r="A1438" s="10" t="str">
        <f t="shared" si="91"/>
        <v/>
      </c>
      <c r="B1438" s="45"/>
      <c r="C1438" s="11" t="str">
        <f t="shared" si="88"/>
        <v/>
      </c>
      <c r="D1438" s="11" t="str">
        <f t="shared" si="89"/>
        <v/>
      </c>
      <c r="E1438" s="45"/>
      <c r="F1438" s="11" t="str">
        <f>IFERROR(VLOOKUP(E1438,Category!$D$2:$E$600,2,FALSE),"")</f>
        <v/>
      </c>
      <c r="G1438" s="45"/>
      <c r="H1438" s="73"/>
      <c r="I1438" s="18" t="str">
        <f t="shared" si="90"/>
        <v/>
      </c>
      <c r="J1438" s="45"/>
      <c r="K1438" s="45"/>
    </row>
    <row r="1439" spans="1:11">
      <c r="A1439" s="10" t="str">
        <f t="shared" si="91"/>
        <v/>
      </c>
      <c r="B1439" s="45"/>
      <c r="C1439" s="11" t="str">
        <f t="shared" si="88"/>
        <v/>
      </c>
      <c r="D1439" s="11" t="str">
        <f t="shared" si="89"/>
        <v/>
      </c>
      <c r="E1439" s="45"/>
      <c r="F1439" s="11" t="str">
        <f>IFERROR(VLOOKUP(E1439,Category!$D$2:$E$600,2,FALSE),"")</f>
        <v/>
      </c>
      <c r="G1439" s="45"/>
      <c r="H1439" s="73"/>
      <c r="I1439" s="18" t="str">
        <f t="shared" si="90"/>
        <v/>
      </c>
      <c r="J1439" s="45"/>
      <c r="K1439" s="45"/>
    </row>
    <row r="1440" spans="1:11">
      <c r="A1440" s="10" t="str">
        <f t="shared" si="91"/>
        <v/>
      </c>
      <c r="B1440" s="45"/>
      <c r="C1440" s="11" t="str">
        <f t="shared" si="88"/>
        <v/>
      </c>
      <c r="D1440" s="11" t="str">
        <f t="shared" si="89"/>
        <v/>
      </c>
      <c r="E1440" s="45"/>
      <c r="F1440" s="11" t="str">
        <f>IFERROR(VLOOKUP(E1440,Category!$D$2:$E$600,2,FALSE),"")</f>
        <v/>
      </c>
      <c r="G1440" s="45"/>
      <c r="H1440" s="73"/>
      <c r="I1440" s="18" t="str">
        <f t="shared" si="90"/>
        <v/>
      </c>
      <c r="J1440" s="45"/>
      <c r="K1440" s="45"/>
    </row>
    <row r="1441" spans="1:11">
      <c r="A1441" s="10" t="str">
        <f t="shared" si="91"/>
        <v/>
      </c>
      <c r="B1441" s="45"/>
      <c r="C1441" s="11" t="str">
        <f t="shared" si="88"/>
        <v/>
      </c>
      <c r="D1441" s="11" t="str">
        <f t="shared" si="89"/>
        <v/>
      </c>
      <c r="E1441" s="45"/>
      <c r="F1441" s="11" t="str">
        <f>IFERROR(VLOOKUP(E1441,Category!$D$2:$E$600,2,FALSE),"")</f>
        <v/>
      </c>
      <c r="G1441" s="45"/>
      <c r="H1441" s="73"/>
      <c r="I1441" s="18" t="str">
        <f t="shared" si="90"/>
        <v/>
      </c>
      <c r="J1441" s="45"/>
      <c r="K1441" s="45"/>
    </row>
    <row r="1442" spans="1:11">
      <c r="A1442" s="10" t="str">
        <f t="shared" si="91"/>
        <v/>
      </c>
      <c r="B1442" s="45"/>
      <c r="C1442" s="11" t="str">
        <f t="shared" si="88"/>
        <v/>
      </c>
      <c r="D1442" s="11" t="str">
        <f t="shared" si="89"/>
        <v/>
      </c>
      <c r="E1442" s="45"/>
      <c r="F1442" s="11" t="str">
        <f>IFERROR(VLOOKUP(E1442,Category!$D$2:$E$600,2,FALSE),"")</f>
        <v/>
      </c>
      <c r="G1442" s="45"/>
      <c r="H1442" s="73"/>
      <c r="I1442" s="18" t="str">
        <f t="shared" si="90"/>
        <v/>
      </c>
      <c r="J1442" s="45"/>
      <c r="K1442" s="45"/>
    </row>
    <row r="1443" spans="1:11">
      <c r="A1443" s="10" t="str">
        <f t="shared" si="91"/>
        <v/>
      </c>
      <c r="B1443" s="45"/>
      <c r="C1443" s="11" t="str">
        <f t="shared" si="88"/>
        <v/>
      </c>
      <c r="D1443" s="11" t="str">
        <f t="shared" si="89"/>
        <v/>
      </c>
      <c r="E1443" s="45"/>
      <c r="F1443" s="11" t="str">
        <f>IFERROR(VLOOKUP(E1443,Category!$D$2:$E$600,2,FALSE),"")</f>
        <v/>
      </c>
      <c r="G1443" s="45"/>
      <c r="H1443" s="73"/>
      <c r="I1443" s="18" t="str">
        <f t="shared" si="90"/>
        <v/>
      </c>
      <c r="J1443" s="45"/>
      <c r="K1443" s="45"/>
    </row>
    <row r="1444" spans="1:11">
      <c r="A1444" s="10" t="str">
        <f t="shared" si="91"/>
        <v/>
      </c>
      <c r="B1444" s="45"/>
      <c r="C1444" s="11" t="str">
        <f t="shared" si="88"/>
        <v/>
      </c>
      <c r="D1444" s="11" t="str">
        <f t="shared" si="89"/>
        <v/>
      </c>
      <c r="E1444" s="45"/>
      <c r="F1444" s="11" t="str">
        <f>IFERROR(VLOOKUP(E1444,Category!$D$2:$E$600,2,FALSE),"")</f>
        <v/>
      </c>
      <c r="G1444" s="45"/>
      <c r="H1444" s="73"/>
      <c r="I1444" s="18" t="str">
        <f t="shared" si="90"/>
        <v/>
      </c>
      <c r="J1444" s="45"/>
      <c r="K1444" s="45"/>
    </row>
    <row r="1445" spans="1:11">
      <c r="A1445" s="10" t="str">
        <f t="shared" si="91"/>
        <v/>
      </c>
      <c r="B1445" s="45"/>
      <c r="C1445" s="11" t="str">
        <f t="shared" si="88"/>
        <v/>
      </c>
      <c r="D1445" s="11" t="str">
        <f t="shared" si="89"/>
        <v/>
      </c>
      <c r="E1445" s="45"/>
      <c r="F1445" s="11" t="str">
        <f>IFERROR(VLOOKUP(E1445,Category!$D$2:$E$600,2,FALSE),"")</f>
        <v/>
      </c>
      <c r="G1445" s="45"/>
      <c r="H1445" s="73"/>
      <c r="I1445" s="18" t="str">
        <f t="shared" si="90"/>
        <v/>
      </c>
      <c r="J1445" s="45"/>
      <c r="K1445" s="45"/>
    </row>
    <row r="1446" spans="1:11">
      <c r="A1446" s="10" t="str">
        <f t="shared" si="91"/>
        <v/>
      </c>
      <c r="B1446" s="45"/>
      <c r="C1446" s="11" t="str">
        <f t="shared" si="88"/>
        <v/>
      </c>
      <c r="D1446" s="11" t="str">
        <f t="shared" si="89"/>
        <v/>
      </c>
      <c r="E1446" s="45"/>
      <c r="F1446" s="11" t="str">
        <f>IFERROR(VLOOKUP(E1446,Category!$D$2:$E$600,2,FALSE),"")</f>
        <v/>
      </c>
      <c r="G1446" s="45"/>
      <c r="H1446" s="73"/>
      <c r="I1446" s="18" t="str">
        <f t="shared" si="90"/>
        <v/>
      </c>
      <c r="J1446" s="45"/>
      <c r="K1446" s="45"/>
    </row>
    <row r="1447" spans="1:11">
      <c r="A1447" s="10" t="str">
        <f t="shared" si="91"/>
        <v/>
      </c>
      <c r="B1447" s="45"/>
      <c r="C1447" s="11" t="str">
        <f t="shared" si="88"/>
        <v/>
      </c>
      <c r="D1447" s="11" t="str">
        <f t="shared" si="89"/>
        <v/>
      </c>
      <c r="E1447" s="45"/>
      <c r="F1447" s="11" t="str">
        <f>IFERROR(VLOOKUP(E1447,Category!$D$2:$E$600,2,FALSE),"")</f>
        <v/>
      </c>
      <c r="G1447" s="45"/>
      <c r="H1447" s="73"/>
      <c r="I1447" s="18" t="str">
        <f t="shared" si="90"/>
        <v/>
      </c>
      <c r="J1447" s="45"/>
      <c r="K1447" s="45"/>
    </row>
    <row r="1448" spans="1:11">
      <c r="A1448" s="10" t="str">
        <f t="shared" si="91"/>
        <v/>
      </c>
      <c r="B1448" s="45"/>
      <c r="C1448" s="11" t="str">
        <f t="shared" si="88"/>
        <v/>
      </c>
      <c r="D1448" s="11" t="str">
        <f t="shared" si="89"/>
        <v/>
      </c>
      <c r="E1448" s="45"/>
      <c r="F1448" s="11" t="str">
        <f>IFERROR(VLOOKUP(E1448,Category!$D$2:$E$600,2,FALSE),"")</f>
        <v/>
      </c>
      <c r="G1448" s="45"/>
      <c r="H1448" s="73"/>
      <c r="I1448" s="18" t="str">
        <f t="shared" si="90"/>
        <v/>
      </c>
      <c r="J1448" s="45"/>
      <c r="K1448" s="45"/>
    </row>
    <row r="1449" spans="1:11">
      <c r="A1449" s="10" t="str">
        <f t="shared" si="91"/>
        <v/>
      </c>
      <c r="B1449" s="45"/>
      <c r="C1449" s="11" t="str">
        <f t="shared" si="88"/>
        <v/>
      </c>
      <c r="D1449" s="11" t="str">
        <f t="shared" si="89"/>
        <v/>
      </c>
      <c r="E1449" s="45"/>
      <c r="F1449" s="11" t="str">
        <f>IFERROR(VLOOKUP(E1449,Category!$D$2:$E$600,2,FALSE),"")</f>
        <v/>
      </c>
      <c r="G1449" s="45"/>
      <c r="H1449" s="73"/>
      <c r="I1449" s="18" t="str">
        <f t="shared" si="90"/>
        <v/>
      </c>
      <c r="J1449" s="45"/>
      <c r="K1449" s="45"/>
    </row>
    <row r="1450" spans="1:11">
      <c r="A1450" s="10" t="str">
        <f t="shared" si="91"/>
        <v/>
      </c>
      <c r="B1450" s="45"/>
      <c r="C1450" s="11" t="str">
        <f t="shared" si="88"/>
        <v/>
      </c>
      <c r="D1450" s="11" t="str">
        <f t="shared" si="89"/>
        <v/>
      </c>
      <c r="E1450" s="45"/>
      <c r="F1450" s="11" t="str">
        <f>IFERROR(VLOOKUP(E1450,Category!$D$2:$E$600,2,FALSE),"")</f>
        <v/>
      </c>
      <c r="G1450" s="45"/>
      <c r="H1450" s="73"/>
      <c r="I1450" s="18" t="str">
        <f t="shared" si="90"/>
        <v/>
      </c>
      <c r="J1450" s="45"/>
      <c r="K1450" s="45"/>
    </row>
    <row r="1451" spans="1:11">
      <c r="A1451" s="10" t="str">
        <f t="shared" si="91"/>
        <v/>
      </c>
      <c r="B1451" s="45"/>
      <c r="C1451" s="11" t="str">
        <f t="shared" si="88"/>
        <v/>
      </c>
      <c r="D1451" s="11" t="str">
        <f t="shared" si="89"/>
        <v/>
      </c>
      <c r="E1451" s="45"/>
      <c r="F1451" s="11" t="str">
        <f>IFERROR(VLOOKUP(E1451,Category!$D$2:$E$600,2,FALSE),"")</f>
        <v/>
      </c>
      <c r="G1451" s="45"/>
      <c r="H1451" s="73"/>
      <c r="I1451" s="18" t="str">
        <f t="shared" si="90"/>
        <v/>
      </c>
      <c r="J1451" s="45"/>
      <c r="K1451" s="45"/>
    </row>
    <row r="1452" spans="1:11">
      <c r="A1452" s="10" t="str">
        <f t="shared" si="91"/>
        <v/>
      </c>
      <c r="B1452" s="45"/>
      <c r="C1452" s="11" t="str">
        <f t="shared" si="88"/>
        <v/>
      </c>
      <c r="D1452" s="11" t="str">
        <f t="shared" si="89"/>
        <v/>
      </c>
      <c r="E1452" s="45"/>
      <c r="F1452" s="11" t="str">
        <f>IFERROR(VLOOKUP(E1452,Category!$D$2:$E$600,2,FALSE),"")</f>
        <v/>
      </c>
      <c r="G1452" s="45"/>
      <c r="H1452" s="73"/>
      <c r="I1452" s="18" t="str">
        <f t="shared" si="90"/>
        <v/>
      </c>
      <c r="J1452" s="45"/>
      <c r="K1452" s="45"/>
    </row>
    <row r="1453" spans="1:11">
      <c r="A1453" s="10" t="str">
        <f t="shared" si="91"/>
        <v/>
      </c>
      <c r="B1453" s="45"/>
      <c r="C1453" s="11" t="str">
        <f t="shared" si="88"/>
        <v/>
      </c>
      <c r="D1453" s="11" t="str">
        <f t="shared" si="89"/>
        <v/>
      </c>
      <c r="E1453" s="45"/>
      <c r="F1453" s="11" t="str">
        <f>IFERROR(VLOOKUP(E1453,Category!$D$2:$E$600,2,FALSE),"")</f>
        <v/>
      </c>
      <c r="G1453" s="45"/>
      <c r="H1453" s="73"/>
      <c r="I1453" s="18" t="str">
        <f t="shared" si="90"/>
        <v/>
      </c>
      <c r="J1453" s="45"/>
      <c r="K1453" s="45"/>
    </row>
    <row r="1454" spans="1:11">
      <c r="A1454" s="10" t="str">
        <f t="shared" si="91"/>
        <v/>
      </c>
      <c r="B1454" s="45"/>
      <c r="C1454" s="11" t="str">
        <f t="shared" si="88"/>
        <v/>
      </c>
      <c r="D1454" s="11" t="str">
        <f t="shared" si="89"/>
        <v/>
      </c>
      <c r="E1454" s="45"/>
      <c r="F1454" s="11" t="str">
        <f>IFERROR(VLOOKUP(E1454,Category!$D$2:$E$600,2,FALSE),"")</f>
        <v/>
      </c>
      <c r="G1454" s="45"/>
      <c r="H1454" s="73"/>
      <c r="I1454" s="18" t="str">
        <f t="shared" si="90"/>
        <v/>
      </c>
      <c r="J1454" s="45"/>
      <c r="K1454" s="45"/>
    </row>
    <row r="1455" spans="1:11">
      <c r="A1455" s="10" t="str">
        <f t="shared" si="91"/>
        <v/>
      </c>
      <c r="B1455" s="45"/>
      <c r="C1455" s="11" t="str">
        <f t="shared" si="88"/>
        <v/>
      </c>
      <c r="D1455" s="11" t="str">
        <f t="shared" si="89"/>
        <v/>
      </c>
      <c r="E1455" s="45"/>
      <c r="F1455" s="11" t="str">
        <f>IFERROR(VLOOKUP(E1455,Category!$D$2:$E$600,2,FALSE),"")</f>
        <v/>
      </c>
      <c r="G1455" s="45"/>
      <c r="H1455" s="73"/>
      <c r="I1455" s="18" t="str">
        <f t="shared" si="90"/>
        <v/>
      </c>
      <c r="J1455" s="45"/>
      <c r="K1455" s="45"/>
    </row>
    <row r="1456" spans="1:11">
      <c r="A1456" s="10" t="str">
        <f t="shared" si="91"/>
        <v/>
      </c>
      <c r="B1456" s="45"/>
      <c r="C1456" s="11" t="str">
        <f t="shared" si="88"/>
        <v/>
      </c>
      <c r="D1456" s="11" t="str">
        <f t="shared" si="89"/>
        <v/>
      </c>
      <c r="E1456" s="45"/>
      <c r="F1456" s="11" t="str">
        <f>IFERROR(VLOOKUP(E1456,Category!$D$2:$E$600,2,FALSE),"")</f>
        <v/>
      </c>
      <c r="G1456" s="45"/>
      <c r="H1456" s="73"/>
      <c r="I1456" s="18" t="str">
        <f t="shared" si="90"/>
        <v/>
      </c>
      <c r="J1456" s="45"/>
      <c r="K1456" s="45"/>
    </row>
    <row r="1457" spans="1:11">
      <c r="A1457" s="10" t="str">
        <f t="shared" si="91"/>
        <v/>
      </c>
      <c r="B1457" s="45"/>
      <c r="C1457" s="11" t="str">
        <f t="shared" si="88"/>
        <v/>
      </c>
      <c r="D1457" s="11" t="str">
        <f t="shared" si="89"/>
        <v/>
      </c>
      <c r="E1457" s="45"/>
      <c r="F1457" s="11" t="str">
        <f>IFERROR(VLOOKUP(E1457,Category!$D$2:$E$600,2,FALSE),"")</f>
        <v/>
      </c>
      <c r="G1457" s="45"/>
      <c r="H1457" s="73"/>
      <c r="I1457" s="18" t="str">
        <f t="shared" si="90"/>
        <v/>
      </c>
      <c r="J1457" s="45"/>
      <c r="K1457" s="45"/>
    </row>
    <row r="1458" spans="1:11">
      <c r="A1458" s="10" t="str">
        <f t="shared" si="91"/>
        <v/>
      </c>
      <c r="B1458" s="45"/>
      <c r="C1458" s="11" t="str">
        <f t="shared" si="88"/>
        <v/>
      </c>
      <c r="D1458" s="11" t="str">
        <f t="shared" si="89"/>
        <v/>
      </c>
      <c r="E1458" s="45"/>
      <c r="F1458" s="11" t="str">
        <f>IFERROR(VLOOKUP(E1458,Category!$D$2:$E$600,2,FALSE),"")</f>
        <v/>
      </c>
      <c r="G1458" s="45"/>
      <c r="H1458" s="73"/>
      <c r="I1458" s="18" t="str">
        <f t="shared" si="90"/>
        <v/>
      </c>
      <c r="J1458" s="45"/>
      <c r="K1458" s="45"/>
    </row>
    <row r="1459" spans="1:11">
      <c r="A1459" s="10" t="str">
        <f t="shared" si="91"/>
        <v/>
      </c>
      <c r="B1459" s="45"/>
      <c r="C1459" s="11" t="str">
        <f t="shared" si="88"/>
        <v/>
      </c>
      <c r="D1459" s="11" t="str">
        <f t="shared" si="89"/>
        <v/>
      </c>
      <c r="E1459" s="45"/>
      <c r="F1459" s="11" t="str">
        <f>IFERROR(VLOOKUP(E1459,Category!$D$2:$E$600,2,FALSE),"")</f>
        <v/>
      </c>
      <c r="G1459" s="45"/>
      <c r="H1459" s="73"/>
      <c r="I1459" s="18" t="str">
        <f t="shared" si="90"/>
        <v/>
      </c>
      <c r="J1459" s="45"/>
      <c r="K1459" s="45"/>
    </row>
    <row r="1460" spans="1:11">
      <c r="A1460" s="10" t="str">
        <f t="shared" si="91"/>
        <v/>
      </c>
      <c r="B1460" s="45"/>
      <c r="C1460" s="11" t="str">
        <f t="shared" si="88"/>
        <v/>
      </c>
      <c r="D1460" s="11" t="str">
        <f t="shared" si="89"/>
        <v/>
      </c>
      <c r="E1460" s="45"/>
      <c r="F1460" s="11" t="str">
        <f>IFERROR(VLOOKUP(E1460,Category!$D$2:$E$600,2,FALSE),"")</f>
        <v/>
      </c>
      <c r="G1460" s="45"/>
      <c r="H1460" s="73"/>
      <c r="I1460" s="18" t="str">
        <f t="shared" si="90"/>
        <v/>
      </c>
      <c r="J1460" s="45"/>
      <c r="K1460" s="45"/>
    </row>
    <row r="1461" spans="1:11">
      <c r="A1461" s="10" t="str">
        <f t="shared" si="91"/>
        <v/>
      </c>
      <c r="B1461" s="45"/>
      <c r="C1461" s="11" t="str">
        <f t="shared" si="88"/>
        <v/>
      </c>
      <c r="D1461" s="11" t="str">
        <f t="shared" si="89"/>
        <v/>
      </c>
      <c r="E1461" s="45"/>
      <c r="F1461" s="11" t="str">
        <f>IFERROR(VLOOKUP(E1461,Category!$D$2:$E$600,2,FALSE),"")</f>
        <v/>
      </c>
      <c r="G1461" s="45"/>
      <c r="H1461" s="73"/>
      <c r="I1461" s="18" t="str">
        <f t="shared" si="90"/>
        <v/>
      </c>
      <c r="J1461" s="45"/>
      <c r="K1461" s="45"/>
    </row>
    <row r="1462" spans="1:11">
      <c r="A1462" s="10" t="str">
        <f t="shared" si="91"/>
        <v/>
      </c>
      <c r="B1462" s="45"/>
      <c r="C1462" s="11" t="str">
        <f t="shared" si="88"/>
        <v/>
      </c>
      <c r="D1462" s="11" t="str">
        <f t="shared" si="89"/>
        <v/>
      </c>
      <c r="E1462" s="45"/>
      <c r="F1462" s="11" t="str">
        <f>IFERROR(VLOOKUP(E1462,Category!$D$2:$E$600,2,FALSE),"")</f>
        <v/>
      </c>
      <c r="G1462" s="45"/>
      <c r="H1462" s="73"/>
      <c r="I1462" s="18" t="str">
        <f t="shared" si="90"/>
        <v/>
      </c>
      <c r="J1462" s="45"/>
      <c r="K1462" s="45"/>
    </row>
    <row r="1463" spans="1:11">
      <c r="A1463" s="10" t="str">
        <f t="shared" si="91"/>
        <v/>
      </c>
      <c r="B1463" s="45"/>
      <c r="C1463" s="11" t="str">
        <f t="shared" si="88"/>
        <v/>
      </c>
      <c r="D1463" s="11" t="str">
        <f t="shared" si="89"/>
        <v/>
      </c>
      <c r="E1463" s="45"/>
      <c r="F1463" s="11" t="str">
        <f>IFERROR(VLOOKUP(E1463,Category!$D$2:$E$600,2,FALSE),"")</f>
        <v/>
      </c>
      <c r="G1463" s="45"/>
      <c r="H1463" s="73"/>
      <c r="I1463" s="18" t="str">
        <f t="shared" si="90"/>
        <v/>
      </c>
      <c r="J1463" s="45"/>
      <c r="K1463" s="45"/>
    </row>
    <row r="1464" spans="1:11">
      <c r="A1464" s="10" t="str">
        <f t="shared" si="91"/>
        <v/>
      </c>
      <c r="B1464" s="45"/>
      <c r="C1464" s="11" t="str">
        <f t="shared" si="88"/>
        <v/>
      </c>
      <c r="D1464" s="11" t="str">
        <f t="shared" si="89"/>
        <v/>
      </c>
      <c r="E1464" s="45"/>
      <c r="F1464" s="11" t="str">
        <f>IFERROR(VLOOKUP(E1464,Category!$D$2:$E$600,2,FALSE),"")</f>
        <v/>
      </c>
      <c r="G1464" s="45"/>
      <c r="H1464" s="73"/>
      <c r="I1464" s="18" t="str">
        <f t="shared" si="90"/>
        <v/>
      </c>
      <c r="J1464" s="45"/>
      <c r="K1464" s="45"/>
    </row>
    <row r="1465" spans="1:11">
      <c r="A1465" s="10" t="str">
        <f t="shared" si="91"/>
        <v/>
      </c>
      <c r="B1465" s="45"/>
      <c r="C1465" s="11" t="str">
        <f t="shared" si="88"/>
        <v/>
      </c>
      <c r="D1465" s="11" t="str">
        <f t="shared" si="89"/>
        <v/>
      </c>
      <c r="E1465" s="45"/>
      <c r="F1465" s="11" t="str">
        <f>IFERROR(VLOOKUP(E1465,Category!$D$2:$E$600,2,FALSE),"")</f>
        <v/>
      </c>
      <c r="G1465" s="45"/>
      <c r="H1465" s="73"/>
      <c r="I1465" s="18" t="str">
        <f t="shared" si="90"/>
        <v/>
      </c>
      <c r="J1465" s="45"/>
      <c r="K1465" s="45"/>
    </row>
    <row r="1466" spans="1:11">
      <c r="A1466" s="10" t="str">
        <f t="shared" si="91"/>
        <v/>
      </c>
      <c r="B1466" s="45"/>
      <c r="C1466" s="11" t="str">
        <f t="shared" si="88"/>
        <v/>
      </c>
      <c r="D1466" s="11" t="str">
        <f t="shared" si="89"/>
        <v/>
      </c>
      <c r="E1466" s="45"/>
      <c r="F1466" s="11" t="str">
        <f>IFERROR(VLOOKUP(E1466,Category!$D$2:$E$600,2,FALSE),"")</f>
        <v/>
      </c>
      <c r="G1466" s="45"/>
      <c r="H1466" s="73"/>
      <c r="I1466" s="18" t="str">
        <f t="shared" si="90"/>
        <v/>
      </c>
      <c r="J1466" s="45"/>
      <c r="K1466" s="45"/>
    </row>
    <row r="1467" spans="1:11">
      <c r="A1467" s="10" t="str">
        <f t="shared" si="91"/>
        <v/>
      </c>
      <c r="B1467" s="45"/>
      <c r="C1467" s="11" t="str">
        <f t="shared" si="88"/>
        <v/>
      </c>
      <c r="D1467" s="11" t="str">
        <f t="shared" si="89"/>
        <v/>
      </c>
      <c r="E1467" s="45"/>
      <c r="F1467" s="11" t="str">
        <f>IFERROR(VLOOKUP(E1467,Category!$D$2:$E$600,2,FALSE),"")</f>
        <v/>
      </c>
      <c r="G1467" s="45"/>
      <c r="H1467" s="73"/>
      <c r="I1467" s="18" t="str">
        <f t="shared" si="90"/>
        <v/>
      </c>
      <c r="J1467" s="45"/>
      <c r="K1467" s="45"/>
    </row>
    <row r="1468" spans="1:11">
      <c r="A1468" s="10" t="str">
        <f t="shared" si="91"/>
        <v/>
      </c>
      <c r="B1468" s="45"/>
      <c r="C1468" s="11" t="str">
        <f t="shared" si="88"/>
        <v/>
      </c>
      <c r="D1468" s="11" t="str">
        <f t="shared" si="89"/>
        <v/>
      </c>
      <c r="E1468" s="45"/>
      <c r="F1468" s="11" t="str">
        <f>IFERROR(VLOOKUP(E1468,Category!$D$2:$E$600,2,FALSE),"")</f>
        <v/>
      </c>
      <c r="G1468" s="45"/>
      <c r="H1468" s="73"/>
      <c r="I1468" s="18" t="str">
        <f t="shared" si="90"/>
        <v/>
      </c>
      <c r="J1468" s="45"/>
      <c r="K1468" s="45"/>
    </row>
    <row r="1469" spans="1:11">
      <c r="A1469" s="10" t="str">
        <f t="shared" si="91"/>
        <v/>
      </c>
      <c r="B1469" s="45"/>
      <c r="C1469" s="11" t="str">
        <f t="shared" si="88"/>
        <v/>
      </c>
      <c r="D1469" s="11" t="str">
        <f t="shared" si="89"/>
        <v/>
      </c>
      <c r="E1469" s="45"/>
      <c r="F1469" s="11" t="str">
        <f>IFERROR(VLOOKUP(E1469,Category!$D$2:$E$600,2,FALSE),"")</f>
        <v/>
      </c>
      <c r="G1469" s="45"/>
      <c r="H1469" s="73"/>
      <c r="I1469" s="18" t="str">
        <f t="shared" si="90"/>
        <v/>
      </c>
      <c r="J1469" s="45"/>
      <c r="K1469" s="45"/>
    </row>
    <row r="1470" spans="1:11">
      <c r="A1470" s="10" t="str">
        <f t="shared" si="91"/>
        <v/>
      </c>
      <c r="B1470" s="45"/>
      <c r="C1470" s="11" t="str">
        <f t="shared" si="88"/>
        <v/>
      </c>
      <c r="D1470" s="11" t="str">
        <f t="shared" si="89"/>
        <v/>
      </c>
      <c r="E1470" s="45"/>
      <c r="F1470" s="11" t="str">
        <f>IFERROR(VLOOKUP(E1470,Category!$D$2:$E$600,2,FALSE),"")</f>
        <v/>
      </c>
      <c r="G1470" s="45"/>
      <c r="H1470" s="73"/>
      <c r="I1470" s="18" t="str">
        <f t="shared" si="90"/>
        <v/>
      </c>
      <c r="J1470" s="45"/>
      <c r="K1470" s="45"/>
    </row>
    <row r="1471" spans="1:11">
      <c r="A1471" s="10" t="str">
        <f t="shared" si="91"/>
        <v/>
      </c>
      <c r="B1471" s="45"/>
      <c r="C1471" s="11" t="str">
        <f t="shared" si="88"/>
        <v/>
      </c>
      <c r="D1471" s="11" t="str">
        <f t="shared" si="89"/>
        <v/>
      </c>
      <c r="E1471" s="45"/>
      <c r="F1471" s="11" t="str">
        <f>IFERROR(VLOOKUP(E1471,Category!$D$2:$E$600,2,FALSE),"")</f>
        <v/>
      </c>
      <c r="G1471" s="45"/>
      <c r="H1471" s="73"/>
      <c r="I1471" s="18" t="str">
        <f t="shared" si="90"/>
        <v/>
      </c>
      <c r="J1471" s="45"/>
      <c r="K1471" s="45"/>
    </row>
    <row r="1472" spans="1:11">
      <c r="A1472" s="10" t="str">
        <f t="shared" si="91"/>
        <v/>
      </c>
      <c r="B1472" s="45"/>
      <c r="C1472" s="11" t="str">
        <f t="shared" si="88"/>
        <v/>
      </c>
      <c r="D1472" s="11" t="str">
        <f t="shared" si="89"/>
        <v/>
      </c>
      <c r="E1472" s="45"/>
      <c r="F1472" s="11" t="str">
        <f>IFERROR(VLOOKUP(E1472,Category!$D$2:$E$600,2,FALSE),"")</f>
        <v/>
      </c>
      <c r="G1472" s="45"/>
      <c r="H1472" s="73"/>
      <c r="I1472" s="18" t="str">
        <f t="shared" si="90"/>
        <v/>
      </c>
      <c r="J1472" s="45"/>
      <c r="K1472" s="45"/>
    </row>
    <row r="1473" spans="1:11">
      <c r="A1473" s="10" t="str">
        <f t="shared" si="91"/>
        <v/>
      </c>
      <c r="B1473" s="45"/>
      <c r="C1473" s="11" t="str">
        <f t="shared" si="88"/>
        <v/>
      </c>
      <c r="D1473" s="11" t="str">
        <f t="shared" si="89"/>
        <v/>
      </c>
      <c r="E1473" s="45"/>
      <c r="F1473" s="11" t="str">
        <f>IFERROR(VLOOKUP(E1473,Category!$D$2:$E$600,2,FALSE),"")</f>
        <v/>
      </c>
      <c r="G1473" s="45"/>
      <c r="H1473" s="73"/>
      <c r="I1473" s="18" t="str">
        <f t="shared" si="90"/>
        <v/>
      </c>
      <c r="J1473" s="45"/>
      <c r="K1473" s="45"/>
    </row>
    <row r="1474" spans="1:11">
      <c r="A1474" s="10" t="str">
        <f t="shared" si="91"/>
        <v/>
      </c>
      <c r="B1474" s="45"/>
      <c r="C1474" s="11" t="str">
        <f t="shared" si="88"/>
        <v/>
      </c>
      <c r="D1474" s="11" t="str">
        <f t="shared" si="89"/>
        <v/>
      </c>
      <c r="E1474" s="45"/>
      <c r="F1474" s="11" t="str">
        <f>IFERROR(VLOOKUP(E1474,Category!$D$2:$E$600,2,FALSE),"")</f>
        <v/>
      </c>
      <c r="G1474" s="45"/>
      <c r="H1474" s="73"/>
      <c r="I1474" s="18" t="str">
        <f t="shared" si="90"/>
        <v/>
      </c>
      <c r="J1474" s="45"/>
      <c r="K1474" s="45"/>
    </row>
    <row r="1475" spans="1:11">
      <c r="A1475" s="10" t="str">
        <f t="shared" si="91"/>
        <v/>
      </c>
      <c r="B1475" s="45"/>
      <c r="C1475" s="11" t="str">
        <f t="shared" ref="C1475:C1496" si="92">IF(B1475=0,"",TEXT(B1475,"mmmm"))</f>
        <v/>
      </c>
      <c r="D1475" s="11" t="str">
        <f t="shared" ref="D1475:D1496" si="93">IF(B1475=0,"",TEXT(B1475,"yyyy"))</f>
        <v/>
      </c>
      <c r="E1475" s="45"/>
      <c r="F1475" s="11" t="str">
        <f>IFERROR(VLOOKUP(E1475,Category!$D$2:$E$600,2,FALSE),"")</f>
        <v/>
      </c>
      <c r="G1475" s="45"/>
      <c r="H1475" s="73"/>
      <c r="I1475" s="18" t="str">
        <f t="shared" ref="I1475:I1496" si="94">IF(G1475*H1475=0,"",G1475*H1475)</f>
        <v/>
      </c>
      <c r="J1475" s="45"/>
      <c r="K1475" s="45"/>
    </row>
    <row r="1476" spans="1:11">
      <c r="A1476" s="10" t="str">
        <f t="shared" ref="A1476:A1496" si="95">IF(E1476&gt;0,A1475+1,"")</f>
        <v/>
      </c>
      <c r="B1476" s="45"/>
      <c r="C1476" s="11" t="str">
        <f t="shared" si="92"/>
        <v/>
      </c>
      <c r="D1476" s="11" t="str">
        <f t="shared" si="93"/>
        <v/>
      </c>
      <c r="E1476" s="45"/>
      <c r="F1476" s="11" t="str">
        <f>IFERROR(VLOOKUP(E1476,Category!$D$2:$E$600,2,FALSE),"")</f>
        <v/>
      </c>
      <c r="G1476" s="45"/>
      <c r="H1476" s="73"/>
      <c r="I1476" s="18" t="str">
        <f t="shared" si="94"/>
        <v/>
      </c>
      <c r="J1476" s="45"/>
      <c r="K1476" s="45"/>
    </row>
    <row r="1477" spans="1:11">
      <c r="A1477" s="10" t="str">
        <f t="shared" si="95"/>
        <v/>
      </c>
      <c r="B1477" s="45"/>
      <c r="C1477" s="11" t="str">
        <f t="shared" si="92"/>
        <v/>
      </c>
      <c r="D1477" s="11" t="str">
        <f t="shared" si="93"/>
        <v/>
      </c>
      <c r="E1477" s="45"/>
      <c r="F1477" s="11" t="str">
        <f>IFERROR(VLOOKUP(E1477,Category!$D$2:$E$600,2,FALSE),"")</f>
        <v/>
      </c>
      <c r="G1477" s="45"/>
      <c r="H1477" s="73"/>
      <c r="I1477" s="18" t="str">
        <f t="shared" si="94"/>
        <v/>
      </c>
      <c r="J1477" s="45"/>
      <c r="K1477" s="45"/>
    </row>
    <row r="1478" spans="1:11">
      <c r="A1478" s="10" t="str">
        <f t="shared" si="95"/>
        <v/>
      </c>
      <c r="B1478" s="45"/>
      <c r="C1478" s="11" t="str">
        <f t="shared" si="92"/>
        <v/>
      </c>
      <c r="D1478" s="11" t="str">
        <f t="shared" si="93"/>
        <v/>
      </c>
      <c r="E1478" s="45"/>
      <c r="F1478" s="11" t="str">
        <f>IFERROR(VLOOKUP(E1478,Category!$D$2:$E$600,2,FALSE),"")</f>
        <v/>
      </c>
      <c r="G1478" s="45"/>
      <c r="H1478" s="73"/>
      <c r="I1478" s="18" t="str">
        <f t="shared" si="94"/>
        <v/>
      </c>
      <c r="J1478" s="45"/>
      <c r="K1478" s="45"/>
    </row>
    <row r="1479" spans="1:11">
      <c r="A1479" s="10" t="str">
        <f t="shared" si="95"/>
        <v/>
      </c>
      <c r="B1479" s="45"/>
      <c r="C1479" s="11" t="str">
        <f t="shared" si="92"/>
        <v/>
      </c>
      <c r="D1479" s="11" t="str">
        <f t="shared" si="93"/>
        <v/>
      </c>
      <c r="E1479" s="45"/>
      <c r="F1479" s="11" t="str">
        <f>IFERROR(VLOOKUP(E1479,Category!$D$2:$E$600,2,FALSE),"")</f>
        <v/>
      </c>
      <c r="G1479" s="45"/>
      <c r="H1479" s="73"/>
      <c r="I1479" s="18" t="str">
        <f t="shared" si="94"/>
        <v/>
      </c>
      <c r="J1479" s="45"/>
      <c r="K1479" s="45"/>
    </row>
    <row r="1480" spans="1:11">
      <c r="A1480" s="10" t="str">
        <f t="shared" si="95"/>
        <v/>
      </c>
      <c r="B1480" s="45"/>
      <c r="C1480" s="11" t="str">
        <f t="shared" si="92"/>
        <v/>
      </c>
      <c r="D1480" s="11" t="str">
        <f t="shared" si="93"/>
        <v/>
      </c>
      <c r="E1480" s="45"/>
      <c r="F1480" s="11" t="str">
        <f>IFERROR(VLOOKUP(E1480,Category!$D$2:$E$600,2,FALSE),"")</f>
        <v/>
      </c>
      <c r="G1480" s="45"/>
      <c r="H1480" s="73"/>
      <c r="I1480" s="18" t="str">
        <f t="shared" si="94"/>
        <v/>
      </c>
      <c r="J1480" s="45"/>
      <c r="K1480" s="45"/>
    </row>
    <row r="1481" spans="1:11">
      <c r="A1481" s="10" t="str">
        <f t="shared" si="95"/>
        <v/>
      </c>
      <c r="B1481" s="45"/>
      <c r="C1481" s="11" t="str">
        <f t="shared" si="92"/>
        <v/>
      </c>
      <c r="D1481" s="11" t="str">
        <f t="shared" si="93"/>
        <v/>
      </c>
      <c r="E1481" s="45"/>
      <c r="F1481" s="11" t="str">
        <f>IFERROR(VLOOKUP(E1481,Category!$D$2:$E$600,2,FALSE),"")</f>
        <v/>
      </c>
      <c r="G1481" s="45"/>
      <c r="H1481" s="73"/>
      <c r="I1481" s="18" t="str">
        <f t="shared" si="94"/>
        <v/>
      </c>
      <c r="J1481" s="45"/>
      <c r="K1481" s="45"/>
    </row>
    <row r="1482" spans="1:11">
      <c r="A1482" s="10" t="str">
        <f t="shared" si="95"/>
        <v/>
      </c>
      <c r="B1482" s="45"/>
      <c r="C1482" s="11" t="str">
        <f t="shared" si="92"/>
        <v/>
      </c>
      <c r="D1482" s="11" t="str">
        <f t="shared" si="93"/>
        <v/>
      </c>
      <c r="E1482" s="45"/>
      <c r="F1482" s="11" t="str">
        <f>IFERROR(VLOOKUP(E1482,Category!$D$2:$E$600,2,FALSE),"")</f>
        <v/>
      </c>
      <c r="G1482" s="45"/>
      <c r="H1482" s="73"/>
      <c r="I1482" s="18" t="str">
        <f t="shared" si="94"/>
        <v/>
      </c>
      <c r="J1482" s="45"/>
      <c r="K1482" s="45"/>
    </row>
    <row r="1483" spans="1:11">
      <c r="A1483" s="10" t="str">
        <f t="shared" si="95"/>
        <v/>
      </c>
      <c r="B1483" s="45"/>
      <c r="C1483" s="11" t="str">
        <f t="shared" si="92"/>
        <v/>
      </c>
      <c r="D1483" s="11" t="str">
        <f t="shared" si="93"/>
        <v/>
      </c>
      <c r="E1483" s="45"/>
      <c r="F1483" s="11" t="str">
        <f>IFERROR(VLOOKUP(E1483,Category!$D$2:$E$600,2,FALSE),"")</f>
        <v/>
      </c>
      <c r="G1483" s="45"/>
      <c r="H1483" s="73"/>
      <c r="I1483" s="18" t="str">
        <f t="shared" si="94"/>
        <v/>
      </c>
      <c r="J1483" s="45"/>
      <c r="K1483" s="45"/>
    </row>
    <row r="1484" spans="1:11">
      <c r="A1484" s="10" t="str">
        <f t="shared" si="95"/>
        <v/>
      </c>
      <c r="B1484" s="45"/>
      <c r="C1484" s="11" t="str">
        <f t="shared" si="92"/>
        <v/>
      </c>
      <c r="D1484" s="11" t="str">
        <f t="shared" si="93"/>
        <v/>
      </c>
      <c r="E1484" s="45"/>
      <c r="F1484" s="11" t="str">
        <f>IFERROR(VLOOKUP(E1484,Category!$D$2:$E$600,2,FALSE),"")</f>
        <v/>
      </c>
      <c r="G1484" s="45"/>
      <c r="H1484" s="73"/>
      <c r="I1484" s="18" t="str">
        <f t="shared" si="94"/>
        <v/>
      </c>
      <c r="J1484" s="45"/>
      <c r="K1484" s="45"/>
    </row>
    <row r="1485" spans="1:11">
      <c r="A1485" s="10" t="str">
        <f t="shared" si="95"/>
        <v/>
      </c>
      <c r="B1485" s="45"/>
      <c r="C1485" s="11" t="str">
        <f t="shared" si="92"/>
        <v/>
      </c>
      <c r="D1485" s="11" t="str">
        <f t="shared" si="93"/>
        <v/>
      </c>
      <c r="E1485" s="45"/>
      <c r="F1485" s="11" t="str">
        <f>IFERROR(VLOOKUP(E1485,Category!$D$2:$E$600,2,FALSE),"")</f>
        <v/>
      </c>
      <c r="G1485" s="45"/>
      <c r="H1485" s="73"/>
      <c r="I1485" s="18" t="str">
        <f t="shared" si="94"/>
        <v/>
      </c>
      <c r="J1485" s="45"/>
      <c r="K1485" s="45"/>
    </row>
    <row r="1486" spans="1:11">
      <c r="A1486" s="10" t="str">
        <f t="shared" si="95"/>
        <v/>
      </c>
      <c r="B1486" s="45"/>
      <c r="C1486" s="11" t="str">
        <f t="shared" si="92"/>
        <v/>
      </c>
      <c r="D1486" s="11" t="str">
        <f t="shared" si="93"/>
        <v/>
      </c>
      <c r="E1486" s="45"/>
      <c r="F1486" s="11" t="str">
        <f>IFERROR(VLOOKUP(E1486,Category!$D$2:$E$600,2,FALSE),"")</f>
        <v/>
      </c>
      <c r="G1486" s="45"/>
      <c r="H1486" s="73"/>
      <c r="I1486" s="18" t="str">
        <f t="shared" si="94"/>
        <v/>
      </c>
      <c r="J1486" s="45"/>
      <c r="K1486" s="45"/>
    </row>
    <row r="1487" spans="1:11">
      <c r="A1487" s="10" t="str">
        <f t="shared" si="95"/>
        <v/>
      </c>
      <c r="B1487" s="45"/>
      <c r="C1487" s="11" t="str">
        <f t="shared" si="92"/>
        <v/>
      </c>
      <c r="D1487" s="11" t="str">
        <f t="shared" si="93"/>
        <v/>
      </c>
      <c r="E1487" s="45"/>
      <c r="F1487" s="11" t="str">
        <f>IFERROR(VLOOKUP(E1487,Category!$D$2:$E$600,2,FALSE),"")</f>
        <v/>
      </c>
      <c r="G1487" s="45"/>
      <c r="H1487" s="73"/>
      <c r="I1487" s="18" t="str">
        <f t="shared" si="94"/>
        <v/>
      </c>
      <c r="J1487" s="45"/>
      <c r="K1487" s="45"/>
    </row>
    <row r="1488" spans="1:11">
      <c r="A1488" s="10" t="str">
        <f t="shared" si="95"/>
        <v/>
      </c>
      <c r="B1488" s="45"/>
      <c r="C1488" s="11" t="str">
        <f t="shared" si="92"/>
        <v/>
      </c>
      <c r="D1488" s="11" t="str">
        <f t="shared" si="93"/>
        <v/>
      </c>
      <c r="E1488" s="45"/>
      <c r="F1488" s="11" t="str">
        <f>IFERROR(VLOOKUP(E1488,Category!$D$2:$E$600,2,FALSE),"")</f>
        <v/>
      </c>
      <c r="G1488" s="45"/>
      <c r="H1488" s="73"/>
      <c r="I1488" s="18" t="str">
        <f t="shared" si="94"/>
        <v/>
      </c>
      <c r="J1488" s="45"/>
      <c r="K1488" s="45"/>
    </row>
    <row r="1489" spans="1:11">
      <c r="A1489" s="10" t="str">
        <f t="shared" si="95"/>
        <v/>
      </c>
      <c r="B1489" s="45"/>
      <c r="C1489" s="11" t="str">
        <f t="shared" si="92"/>
        <v/>
      </c>
      <c r="D1489" s="11" t="str">
        <f t="shared" si="93"/>
        <v/>
      </c>
      <c r="E1489" s="45"/>
      <c r="F1489" s="11" t="str">
        <f>IFERROR(VLOOKUP(E1489,Category!$D$2:$E$600,2,FALSE),"")</f>
        <v/>
      </c>
      <c r="G1489" s="45"/>
      <c r="H1489" s="73"/>
      <c r="I1489" s="18" t="str">
        <f t="shared" si="94"/>
        <v/>
      </c>
      <c r="J1489" s="45"/>
      <c r="K1489" s="45"/>
    </row>
    <row r="1490" spans="1:11">
      <c r="A1490" s="10" t="str">
        <f t="shared" si="95"/>
        <v/>
      </c>
      <c r="B1490" s="45"/>
      <c r="C1490" s="11" t="str">
        <f t="shared" si="92"/>
        <v/>
      </c>
      <c r="D1490" s="11" t="str">
        <f t="shared" si="93"/>
        <v/>
      </c>
      <c r="E1490" s="45"/>
      <c r="F1490" s="11" t="str">
        <f>IFERROR(VLOOKUP(E1490,Category!$D$2:$E$600,2,FALSE),"")</f>
        <v/>
      </c>
      <c r="G1490" s="45"/>
      <c r="H1490" s="73"/>
      <c r="I1490" s="18" t="str">
        <f t="shared" si="94"/>
        <v/>
      </c>
      <c r="J1490" s="45"/>
      <c r="K1490" s="45"/>
    </row>
    <row r="1491" spans="1:11">
      <c r="A1491" s="10" t="str">
        <f t="shared" si="95"/>
        <v/>
      </c>
      <c r="B1491" s="45"/>
      <c r="C1491" s="11" t="str">
        <f t="shared" si="92"/>
        <v/>
      </c>
      <c r="D1491" s="11" t="str">
        <f t="shared" si="93"/>
        <v/>
      </c>
      <c r="E1491" s="45"/>
      <c r="F1491" s="11" t="str">
        <f>IFERROR(VLOOKUP(E1491,Category!$D$2:$E$600,2,FALSE),"")</f>
        <v/>
      </c>
      <c r="G1491" s="45"/>
      <c r="H1491" s="73"/>
      <c r="I1491" s="18" t="str">
        <f t="shared" si="94"/>
        <v/>
      </c>
      <c r="J1491" s="45"/>
      <c r="K1491" s="45"/>
    </row>
    <row r="1492" spans="1:11">
      <c r="A1492" s="10" t="str">
        <f t="shared" si="95"/>
        <v/>
      </c>
      <c r="B1492" s="45"/>
      <c r="C1492" s="11" t="str">
        <f t="shared" si="92"/>
        <v/>
      </c>
      <c r="D1492" s="11" t="str">
        <f t="shared" si="93"/>
        <v/>
      </c>
      <c r="E1492" s="45"/>
      <c r="F1492" s="11" t="str">
        <f>IFERROR(VLOOKUP(E1492,Category!$D$2:$E$600,2,FALSE),"")</f>
        <v/>
      </c>
      <c r="G1492" s="45"/>
      <c r="H1492" s="73"/>
      <c r="I1492" s="18" t="str">
        <f t="shared" si="94"/>
        <v/>
      </c>
      <c r="J1492" s="45"/>
      <c r="K1492" s="45"/>
    </row>
    <row r="1493" spans="1:11">
      <c r="A1493" s="10" t="str">
        <f t="shared" si="95"/>
        <v/>
      </c>
      <c r="B1493" s="45"/>
      <c r="C1493" s="11" t="str">
        <f t="shared" si="92"/>
        <v/>
      </c>
      <c r="D1493" s="11" t="str">
        <f t="shared" si="93"/>
        <v/>
      </c>
      <c r="E1493" s="45"/>
      <c r="F1493" s="11" t="str">
        <f>IFERROR(VLOOKUP(E1493,Category!$D$2:$E$600,2,FALSE),"")</f>
        <v/>
      </c>
      <c r="G1493" s="45"/>
      <c r="H1493" s="73"/>
      <c r="I1493" s="18" t="str">
        <f t="shared" si="94"/>
        <v/>
      </c>
      <c r="J1493" s="45"/>
      <c r="K1493" s="45"/>
    </row>
    <row r="1494" spans="1:11">
      <c r="A1494" s="10" t="str">
        <f t="shared" si="95"/>
        <v/>
      </c>
      <c r="B1494" s="45"/>
      <c r="C1494" s="11" t="str">
        <f t="shared" si="92"/>
        <v/>
      </c>
      <c r="D1494" s="11" t="str">
        <f t="shared" si="93"/>
        <v/>
      </c>
      <c r="E1494" s="45"/>
      <c r="F1494" s="11" t="str">
        <f>IFERROR(VLOOKUP(E1494,Category!$D$2:$E$600,2,FALSE),"")</f>
        <v/>
      </c>
      <c r="G1494" s="45"/>
      <c r="H1494" s="73"/>
      <c r="I1494" s="18" t="str">
        <f t="shared" si="94"/>
        <v/>
      </c>
      <c r="J1494" s="45"/>
      <c r="K1494" s="45"/>
    </row>
    <row r="1495" spans="1:11">
      <c r="A1495" s="10" t="str">
        <f t="shared" si="95"/>
        <v/>
      </c>
      <c r="B1495" s="45"/>
      <c r="C1495" s="11" t="str">
        <f t="shared" si="92"/>
        <v/>
      </c>
      <c r="D1495" s="11" t="str">
        <f t="shared" si="93"/>
        <v/>
      </c>
      <c r="E1495" s="45"/>
      <c r="F1495" s="11" t="str">
        <f>IFERROR(VLOOKUP(E1495,Category!$D$2:$E$600,2,FALSE),"")</f>
        <v/>
      </c>
      <c r="G1495" s="45"/>
      <c r="H1495" s="73"/>
      <c r="I1495" s="18" t="str">
        <f t="shared" si="94"/>
        <v/>
      </c>
      <c r="J1495" s="45"/>
      <c r="K1495" s="45"/>
    </row>
    <row r="1496" spans="1:11">
      <c r="A1496" s="10" t="str">
        <f t="shared" si="95"/>
        <v/>
      </c>
      <c r="B1496" s="45"/>
      <c r="C1496" s="11" t="str">
        <f t="shared" si="92"/>
        <v/>
      </c>
      <c r="D1496" s="11" t="str">
        <f t="shared" si="93"/>
        <v/>
      </c>
      <c r="E1496" s="45"/>
      <c r="F1496" s="11" t="str">
        <f>IFERROR(VLOOKUP(E1496,Category!$D$2:$E$600,2,FALSE),"")</f>
        <v/>
      </c>
      <c r="G1496" s="45"/>
      <c r="H1496" s="73"/>
      <c r="I1496" s="18" t="str">
        <f t="shared" si="94"/>
        <v/>
      </c>
      <c r="J1496" s="45"/>
      <c r="K1496" s="45"/>
    </row>
  </sheetData>
  <sheetProtection algorithmName="SHA-512" hashValue="u8Yqlllgx2Ltn2O2sXPqpLv8dIRXvq1saUh3Sx9qkAee6TfuS45bK6YzkyD4h6wqRNrWfQVmuQcRlryg8Oxaew==" saltValue="CYM9T7KAxyh35MYooDBKjA==" spinCount="100000" sheet="1" objects="1" scenarios="1" selectLockedCells="1"/>
  <conditionalFormatting sqref="A1:L1">
    <cfRule type="expression" dxfId="5" priority="6">
      <formula>$L1="Pending"</formula>
    </cfRule>
  </conditionalFormatting>
  <conditionalFormatting sqref="A2">
    <cfRule type="expression" dxfId="4" priority="5">
      <formula>$M2="Dispatched"</formula>
    </cfRule>
  </conditionalFormatting>
  <conditionalFormatting sqref="C2:D1496">
    <cfRule type="expression" dxfId="3" priority="4">
      <formula>$M2="Dispatched"</formula>
    </cfRule>
  </conditionalFormatting>
  <conditionalFormatting sqref="F2:F1496">
    <cfRule type="expression" dxfId="2" priority="3">
      <formula>$M2="Dispatched"</formula>
    </cfRule>
  </conditionalFormatting>
  <conditionalFormatting sqref="I2:I1496">
    <cfRule type="expression" dxfId="1" priority="2">
      <formula>$M2="Dispatched"</formula>
    </cfRule>
  </conditionalFormatting>
  <conditionalFormatting sqref="A3:A1496">
    <cfRule type="expression" dxfId="0" priority="1">
      <formula>$M3="Dispatched"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70E1A6F-BF25-9C4E-8A1F-6ADC0EC4396E}">
          <x14:formula1>
            <xm:f>'Product List'!$C$2:$C$596</xm:f>
          </x14:formula1>
          <xm:sqref>E2:E1496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E2FDC-3C53-4347-BFFB-520EBA17AB1D}">
  <sheetPr codeName="Sheet4"/>
  <dimension ref="A1:M1348"/>
  <sheetViews>
    <sheetView showGridLines="0" zoomScale="190" zoomScaleNormal="190" workbookViewId="0">
      <selection activeCell="H18" sqref="H18"/>
    </sheetView>
  </sheetViews>
  <sheetFormatPr baseColWidth="10" defaultRowHeight="16"/>
  <cols>
    <col min="1" max="1" width="4.33203125" style="1" bestFit="1" customWidth="1"/>
    <col min="2" max="2" width="9.83203125" style="72" bestFit="1" customWidth="1"/>
    <col min="3" max="3" width="9.6640625" style="27" customWidth="1"/>
    <col min="4" max="4" width="5.1640625" style="27" bestFit="1" customWidth="1"/>
    <col min="5" max="5" width="14.1640625" style="78" bestFit="1" customWidth="1"/>
    <col min="6" max="6" width="24.6640625" style="50" customWidth="1"/>
    <col min="7" max="7" width="8" style="57" customWidth="1"/>
    <col min="8" max="8" width="11.6640625" style="84" customWidth="1"/>
    <col min="9" max="9" width="9.33203125" style="33" customWidth="1"/>
    <col min="10" max="10" width="10.1640625" bestFit="1" customWidth="1"/>
  </cols>
  <sheetData>
    <row r="1" spans="1:13" s="4" customFormat="1" ht="17" thickBot="1">
      <c r="A1" s="32" t="s">
        <v>29</v>
      </c>
      <c r="B1" s="75" t="s">
        <v>25</v>
      </c>
      <c r="C1" s="19" t="s">
        <v>26</v>
      </c>
      <c r="D1" s="19" t="s">
        <v>18</v>
      </c>
      <c r="E1" s="76" t="s">
        <v>3</v>
      </c>
      <c r="F1" s="79" t="s">
        <v>27</v>
      </c>
      <c r="G1" s="80" t="s">
        <v>28</v>
      </c>
      <c r="H1" s="81" t="s">
        <v>30</v>
      </c>
      <c r="I1" s="20" t="s">
        <v>14</v>
      </c>
      <c r="J1" s="36" t="s">
        <v>98</v>
      </c>
      <c r="K1" s="37">
        <f>Category!R12</f>
        <v>0</v>
      </c>
    </row>
    <row r="2" spans="1:13">
      <c r="A2" s="12">
        <f>IF(E2&gt;0,1,"")</f>
        <v>1</v>
      </c>
      <c r="B2" s="52">
        <v>46245</v>
      </c>
      <c r="C2" s="31" t="str">
        <f>IF(B2=0,"",TEXT(B2,"mmmm"))</f>
        <v>August</v>
      </c>
      <c r="D2" s="31" t="str">
        <f>IF(B2=0,"",TEXT(B2,"yyyy"))</f>
        <v>2026</v>
      </c>
      <c r="E2" s="77" t="s">
        <v>31</v>
      </c>
      <c r="F2" s="54" t="s">
        <v>115</v>
      </c>
      <c r="G2" s="55">
        <v>1</v>
      </c>
      <c r="H2" s="82">
        <v>13000</v>
      </c>
      <c r="I2" s="34">
        <f>IF(G2*H2=0,"",G2*H2)</f>
        <v>13000</v>
      </c>
    </row>
    <row r="3" spans="1:13">
      <c r="A3" s="10" t="str">
        <f>IF(E3&gt;0,A2+1,"")</f>
        <v/>
      </c>
      <c r="B3" s="52"/>
      <c r="C3" s="28" t="str">
        <f t="shared" ref="C3:C65" si="0">IF(B3=0,"",TEXT(B3,"mmmm"))</f>
        <v/>
      </c>
      <c r="D3" s="28" t="str">
        <f t="shared" ref="D3:D65" si="1">IF(B3=0,"",TEXT(B3,"yyyy"))</f>
        <v/>
      </c>
      <c r="E3" s="77"/>
      <c r="F3" s="54"/>
      <c r="G3" s="56"/>
      <c r="H3" s="83"/>
      <c r="I3" s="35" t="str">
        <f t="shared" ref="I3:I65" si="2">IF(G3*H3=0,"",G3*H3)</f>
        <v/>
      </c>
    </row>
    <row r="4" spans="1:13">
      <c r="A4" s="10" t="str">
        <f t="shared" ref="A4:A67" si="3">IF(E4&gt;0,A3+1,"")</f>
        <v/>
      </c>
      <c r="B4" s="53"/>
      <c r="C4" s="28" t="str">
        <f t="shared" si="0"/>
        <v/>
      </c>
      <c r="D4" s="28" t="str">
        <f t="shared" si="1"/>
        <v/>
      </c>
      <c r="E4" s="77"/>
      <c r="F4" s="45"/>
      <c r="G4" s="56"/>
      <c r="H4" s="83"/>
      <c r="I4" s="35" t="str">
        <f t="shared" si="2"/>
        <v/>
      </c>
    </row>
    <row r="5" spans="1:13">
      <c r="A5" s="10" t="str">
        <f t="shared" si="3"/>
        <v/>
      </c>
      <c r="B5" s="53"/>
      <c r="C5" s="28" t="str">
        <f t="shared" si="0"/>
        <v/>
      </c>
      <c r="D5" s="28" t="str">
        <f t="shared" si="1"/>
        <v/>
      </c>
      <c r="E5" s="77"/>
      <c r="F5" s="54"/>
      <c r="G5" s="56"/>
      <c r="H5" s="82"/>
      <c r="I5" s="35" t="str">
        <f t="shared" si="2"/>
        <v/>
      </c>
      <c r="J5" s="6"/>
    </row>
    <row r="6" spans="1:13">
      <c r="A6" s="10" t="str">
        <f t="shared" si="3"/>
        <v/>
      </c>
      <c r="B6" s="53"/>
      <c r="C6" s="28" t="str">
        <f t="shared" si="0"/>
        <v/>
      </c>
      <c r="D6" s="28" t="str">
        <f t="shared" si="1"/>
        <v/>
      </c>
      <c r="E6" s="77"/>
      <c r="F6" s="45"/>
      <c r="G6" s="56"/>
      <c r="H6" s="83"/>
      <c r="I6" s="35" t="str">
        <f t="shared" si="2"/>
        <v/>
      </c>
      <c r="J6" s="6"/>
    </row>
    <row r="7" spans="1:13">
      <c r="A7" s="10" t="str">
        <f t="shared" si="3"/>
        <v/>
      </c>
      <c r="B7" s="53"/>
      <c r="C7" s="28" t="str">
        <f t="shared" si="0"/>
        <v/>
      </c>
      <c r="D7" s="28" t="str">
        <f t="shared" si="1"/>
        <v/>
      </c>
      <c r="E7" s="77"/>
      <c r="F7" s="45"/>
      <c r="G7" s="56"/>
      <c r="H7" s="83"/>
      <c r="I7" s="35" t="str">
        <f t="shared" si="2"/>
        <v/>
      </c>
      <c r="J7" s="6"/>
    </row>
    <row r="8" spans="1:13">
      <c r="A8" s="10" t="str">
        <f t="shared" si="3"/>
        <v/>
      </c>
      <c r="B8" s="53"/>
      <c r="C8" s="28" t="str">
        <f t="shared" si="0"/>
        <v/>
      </c>
      <c r="D8" s="28" t="str">
        <f t="shared" si="1"/>
        <v/>
      </c>
      <c r="E8" s="77"/>
      <c r="F8" s="54"/>
      <c r="G8" s="56"/>
      <c r="H8" s="83"/>
      <c r="I8" s="35" t="str">
        <f t="shared" si="2"/>
        <v/>
      </c>
    </row>
    <row r="9" spans="1:13">
      <c r="A9" s="10" t="str">
        <f t="shared" si="3"/>
        <v/>
      </c>
      <c r="B9" s="53"/>
      <c r="C9" s="28" t="str">
        <f t="shared" si="0"/>
        <v/>
      </c>
      <c r="D9" s="28" t="str">
        <f t="shared" si="1"/>
        <v/>
      </c>
      <c r="E9" s="77"/>
      <c r="F9" s="54"/>
      <c r="G9" s="56"/>
      <c r="H9" s="83"/>
      <c r="I9" s="35" t="str">
        <f t="shared" si="2"/>
        <v/>
      </c>
    </row>
    <row r="10" spans="1:13">
      <c r="A10" s="10" t="str">
        <f t="shared" si="3"/>
        <v/>
      </c>
      <c r="B10" s="53"/>
      <c r="C10" s="28" t="str">
        <f t="shared" si="0"/>
        <v/>
      </c>
      <c r="D10" s="28" t="str">
        <f t="shared" si="1"/>
        <v/>
      </c>
      <c r="E10" s="77"/>
      <c r="F10" s="54"/>
      <c r="G10" s="56"/>
      <c r="H10" s="83"/>
      <c r="I10" s="35" t="str">
        <f t="shared" si="2"/>
        <v/>
      </c>
    </row>
    <row r="11" spans="1:13">
      <c r="A11" s="10" t="str">
        <f t="shared" si="3"/>
        <v/>
      </c>
      <c r="B11" s="53"/>
      <c r="C11" s="28" t="str">
        <f t="shared" si="0"/>
        <v/>
      </c>
      <c r="D11" s="28" t="str">
        <f t="shared" si="1"/>
        <v/>
      </c>
      <c r="E11" s="77"/>
      <c r="F11" s="45"/>
      <c r="G11" s="56"/>
      <c r="H11" s="83"/>
      <c r="I11" s="35" t="str">
        <f t="shared" si="2"/>
        <v/>
      </c>
    </row>
    <row r="12" spans="1:13">
      <c r="A12" s="10" t="str">
        <f t="shared" si="3"/>
        <v/>
      </c>
      <c r="B12" s="53"/>
      <c r="C12" s="28" t="str">
        <f t="shared" si="0"/>
        <v/>
      </c>
      <c r="D12" s="28" t="str">
        <f t="shared" si="1"/>
        <v/>
      </c>
      <c r="E12" s="77"/>
      <c r="F12" s="45"/>
      <c r="G12" s="56"/>
      <c r="H12" s="83"/>
      <c r="I12" s="35" t="str">
        <f t="shared" si="2"/>
        <v/>
      </c>
      <c r="M12" t="s">
        <v>97</v>
      </c>
    </row>
    <row r="13" spans="1:13">
      <c r="A13" s="10" t="str">
        <f t="shared" si="3"/>
        <v/>
      </c>
      <c r="B13" s="53"/>
      <c r="C13" s="28" t="str">
        <f t="shared" si="0"/>
        <v/>
      </c>
      <c r="D13" s="28" t="str">
        <f t="shared" si="1"/>
        <v/>
      </c>
      <c r="E13" s="77"/>
      <c r="F13" s="45"/>
      <c r="G13" s="56"/>
      <c r="H13" s="83"/>
      <c r="I13" s="35" t="str">
        <f t="shared" si="2"/>
        <v/>
      </c>
    </row>
    <row r="14" spans="1:13">
      <c r="A14" s="10" t="str">
        <f t="shared" si="3"/>
        <v/>
      </c>
      <c r="B14" s="53"/>
      <c r="C14" s="28" t="str">
        <f t="shared" si="0"/>
        <v/>
      </c>
      <c r="D14" s="28" t="str">
        <f t="shared" si="1"/>
        <v/>
      </c>
      <c r="E14" s="77"/>
      <c r="F14" s="45"/>
      <c r="G14" s="56"/>
      <c r="H14" s="83"/>
      <c r="I14" s="35" t="str">
        <f t="shared" si="2"/>
        <v/>
      </c>
    </row>
    <row r="15" spans="1:13">
      <c r="A15" s="10" t="str">
        <f t="shared" si="3"/>
        <v/>
      </c>
      <c r="B15" s="53"/>
      <c r="C15" s="28" t="str">
        <f t="shared" si="0"/>
        <v/>
      </c>
      <c r="D15" s="28" t="str">
        <f t="shared" si="1"/>
        <v/>
      </c>
      <c r="E15" s="77"/>
      <c r="F15" s="45"/>
      <c r="G15" s="56"/>
      <c r="H15" s="83"/>
      <c r="I15" s="35" t="str">
        <f t="shared" si="2"/>
        <v/>
      </c>
    </row>
    <row r="16" spans="1:13">
      <c r="A16" s="10" t="str">
        <f t="shared" si="3"/>
        <v/>
      </c>
      <c r="B16" s="53"/>
      <c r="C16" s="28" t="str">
        <f t="shared" si="0"/>
        <v/>
      </c>
      <c r="D16" s="28" t="str">
        <f t="shared" si="1"/>
        <v/>
      </c>
      <c r="E16" s="77"/>
      <c r="F16" s="45"/>
      <c r="G16" s="56"/>
      <c r="H16" s="83"/>
      <c r="I16" s="35" t="str">
        <f t="shared" si="2"/>
        <v/>
      </c>
    </row>
    <row r="17" spans="1:9">
      <c r="A17" s="10" t="str">
        <f t="shared" si="3"/>
        <v/>
      </c>
      <c r="B17" s="53"/>
      <c r="C17" s="28" t="str">
        <f t="shared" si="0"/>
        <v/>
      </c>
      <c r="D17" s="28" t="str">
        <f t="shared" si="1"/>
        <v/>
      </c>
      <c r="E17" s="77"/>
      <c r="F17" s="45"/>
      <c r="G17" s="56"/>
      <c r="H17" s="83"/>
      <c r="I17" s="35" t="str">
        <f t="shared" si="2"/>
        <v/>
      </c>
    </row>
    <row r="18" spans="1:9">
      <c r="A18" s="10" t="str">
        <f t="shared" si="3"/>
        <v/>
      </c>
      <c r="B18" s="53"/>
      <c r="C18" s="28" t="str">
        <f t="shared" si="0"/>
        <v/>
      </c>
      <c r="D18" s="28" t="str">
        <f t="shared" si="1"/>
        <v/>
      </c>
      <c r="E18" s="77"/>
      <c r="F18" s="45"/>
      <c r="G18" s="56"/>
      <c r="H18" s="83"/>
      <c r="I18" s="35" t="str">
        <f t="shared" si="2"/>
        <v/>
      </c>
    </row>
    <row r="19" spans="1:9">
      <c r="A19" s="10" t="str">
        <f t="shared" si="3"/>
        <v/>
      </c>
      <c r="B19" s="53"/>
      <c r="C19" s="28" t="str">
        <f t="shared" si="0"/>
        <v/>
      </c>
      <c r="D19" s="28" t="str">
        <f t="shared" si="1"/>
        <v/>
      </c>
      <c r="E19" s="77"/>
      <c r="F19" s="45"/>
      <c r="G19" s="56"/>
      <c r="H19" s="83"/>
      <c r="I19" s="35" t="str">
        <f t="shared" si="2"/>
        <v/>
      </c>
    </row>
    <row r="20" spans="1:9">
      <c r="A20" s="10" t="str">
        <f t="shared" si="3"/>
        <v/>
      </c>
      <c r="B20" s="53"/>
      <c r="C20" s="28" t="str">
        <f t="shared" si="0"/>
        <v/>
      </c>
      <c r="D20" s="28" t="str">
        <f t="shared" si="1"/>
        <v/>
      </c>
      <c r="E20" s="77"/>
      <c r="F20" s="45"/>
      <c r="G20" s="56"/>
      <c r="H20" s="83"/>
      <c r="I20" s="35" t="str">
        <f t="shared" si="2"/>
        <v/>
      </c>
    </row>
    <row r="21" spans="1:9">
      <c r="A21" s="10" t="str">
        <f t="shared" si="3"/>
        <v/>
      </c>
      <c r="B21" s="53"/>
      <c r="C21" s="28" t="str">
        <f t="shared" si="0"/>
        <v/>
      </c>
      <c r="D21" s="28" t="str">
        <f t="shared" si="1"/>
        <v/>
      </c>
      <c r="E21" s="77"/>
      <c r="F21" s="45"/>
      <c r="G21" s="56"/>
      <c r="H21" s="83"/>
      <c r="I21" s="35" t="str">
        <f t="shared" si="2"/>
        <v/>
      </c>
    </row>
    <row r="22" spans="1:9">
      <c r="A22" s="10" t="str">
        <f t="shared" si="3"/>
        <v/>
      </c>
      <c r="B22" s="53"/>
      <c r="C22" s="28" t="str">
        <f t="shared" si="0"/>
        <v/>
      </c>
      <c r="D22" s="28" t="str">
        <f t="shared" si="1"/>
        <v/>
      </c>
      <c r="E22" s="77"/>
      <c r="F22" s="45"/>
      <c r="G22" s="56"/>
      <c r="H22" s="83"/>
      <c r="I22" s="35" t="str">
        <f t="shared" si="2"/>
        <v/>
      </c>
    </row>
    <row r="23" spans="1:9">
      <c r="A23" s="10" t="str">
        <f t="shared" si="3"/>
        <v/>
      </c>
      <c r="B23" s="53"/>
      <c r="C23" s="28" t="str">
        <f t="shared" si="0"/>
        <v/>
      </c>
      <c r="D23" s="28" t="str">
        <f t="shared" si="1"/>
        <v/>
      </c>
      <c r="E23" s="77"/>
      <c r="F23" s="45"/>
      <c r="G23" s="56"/>
      <c r="H23" s="83"/>
      <c r="I23" s="35" t="str">
        <f t="shared" si="2"/>
        <v/>
      </c>
    </row>
    <row r="24" spans="1:9">
      <c r="A24" s="10" t="str">
        <f t="shared" si="3"/>
        <v/>
      </c>
      <c r="B24" s="53"/>
      <c r="C24" s="28" t="str">
        <f t="shared" si="0"/>
        <v/>
      </c>
      <c r="D24" s="28" t="str">
        <f t="shared" si="1"/>
        <v/>
      </c>
      <c r="E24" s="77"/>
      <c r="F24" s="45"/>
      <c r="G24" s="56"/>
      <c r="H24" s="83"/>
      <c r="I24" s="35" t="str">
        <f t="shared" si="2"/>
        <v/>
      </c>
    </row>
    <row r="25" spans="1:9">
      <c r="A25" s="10" t="str">
        <f t="shared" si="3"/>
        <v/>
      </c>
      <c r="B25" s="53"/>
      <c r="C25" s="28" t="str">
        <f t="shared" si="0"/>
        <v/>
      </c>
      <c r="D25" s="28" t="str">
        <f t="shared" si="1"/>
        <v/>
      </c>
      <c r="E25" s="77"/>
      <c r="F25" s="45"/>
      <c r="G25" s="56"/>
      <c r="H25" s="83"/>
      <c r="I25" s="35" t="str">
        <f t="shared" si="2"/>
        <v/>
      </c>
    </row>
    <row r="26" spans="1:9">
      <c r="A26" s="10" t="str">
        <f t="shared" si="3"/>
        <v/>
      </c>
      <c r="B26" s="53"/>
      <c r="C26" s="28" t="str">
        <f t="shared" si="0"/>
        <v/>
      </c>
      <c r="D26" s="28" t="str">
        <f t="shared" si="1"/>
        <v/>
      </c>
      <c r="E26" s="77"/>
      <c r="F26" s="45"/>
      <c r="G26" s="56"/>
      <c r="H26" s="83"/>
      <c r="I26" s="35" t="str">
        <f t="shared" si="2"/>
        <v/>
      </c>
    </row>
    <row r="27" spans="1:9">
      <c r="A27" s="10" t="str">
        <f t="shared" si="3"/>
        <v/>
      </c>
      <c r="B27" s="53"/>
      <c r="C27" s="28" t="str">
        <f t="shared" si="0"/>
        <v/>
      </c>
      <c r="D27" s="28" t="str">
        <f t="shared" si="1"/>
        <v/>
      </c>
      <c r="E27" s="77"/>
      <c r="F27" s="45"/>
      <c r="G27" s="56"/>
      <c r="H27" s="83"/>
      <c r="I27" s="35" t="str">
        <f t="shared" si="2"/>
        <v/>
      </c>
    </row>
    <row r="28" spans="1:9">
      <c r="A28" s="10" t="str">
        <f t="shared" si="3"/>
        <v/>
      </c>
      <c r="B28" s="53"/>
      <c r="C28" s="28" t="str">
        <f t="shared" si="0"/>
        <v/>
      </c>
      <c r="D28" s="28" t="str">
        <f t="shared" si="1"/>
        <v/>
      </c>
      <c r="E28" s="77"/>
      <c r="F28" s="45"/>
      <c r="G28" s="56"/>
      <c r="H28" s="83"/>
      <c r="I28" s="35" t="str">
        <f t="shared" si="2"/>
        <v/>
      </c>
    </row>
    <row r="29" spans="1:9">
      <c r="A29" s="10" t="str">
        <f t="shared" si="3"/>
        <v/>
      </c>
      <c r="B29" s="53"/>
      <c r="C29" s="28" t="str">
        <f t="shared" si="0"/>
        <v/>
      </c>
      <c r="D29" s="28" t="str">
        <f t="shared" si="1"/>
        <v/>
      </c>
      <c r="E29" s="77"/>
      <c r="F29" s="45"/>
      <c r="G29" s="56"/>
      <c r="H29" s="83"/>
      <c r="I29" s="35" t="str">
        <f t="shared" si="2"/>
        <v/>
      </c>
    </row>
    <row r="30" spans="1:9">
      <c r="A30" s="10" t="str">
        <f t="shared" si="3"/>
        <v/>
      </c>
      <c r="B30" s="53"/>
      <c r="C30" s="28" t="str">
        <f t="shared" si="0"/>
        <v/>
      </c>
      <c r="D30" s="28" t="str">
        <f t="shared" si="1"/>
        <v/>
      </c>
      <c r="E30" s="77"/>
      <c r="F30" s="45"/>
      <c r="G30" s="56"/>
      <c r="H30" s="83"/>
      <c r="I30" s="35" t="str">
        <f t="shared" si="2"/>
        <v/>
      </c>
    </row>
    <row r="31" spans="1:9">
      <c r="A31" s="10" t="str">
        <f t="shared" si="3"/>
        <v/>
      </c>
      <c r="B31" s="53"/>
      <c r="C31" s="28" t="str">
        <f t="shared" si="0"/>
        <v/>
      </c>
      <c r="D31" s="28" t="str">
        <f t="shared" si="1"/>
        <v/>
      </c>
      <c r="E31" s="77"/>
      <c r="F31" s="45"/>
      <c r="G31" s="56"/>
      <c r="H31" s="83"/>
      <c r="I31" s="35" t="str">
        <f t="shared" si="2"/>
        <v/>
      </c>
    </row>
    <row r="32" spans="1:9">
      <c r="A32" s="10" t="str">
        <f t="shared" si="3"/>
        <v/>
      </c>
      <c r="B32" s="53"/>
      <c r="C32" s="28" t="str">
        <f t="shared" si="0"/>
        <v/>
      </c>
      <c r="D32" s="28" t="str">
        <f t="shared" si="1"/>
        <v/>
      </c>
      <c r="E32" s="77"/>
      <c r="F32" s="45"/>
      <c r="G32" s="56"/>
      <c r="H32" s="83"/>
      <c r="I32" s="35" t="str">
        <f t="shared" si="2"/>
        <v/>
      </c>
    </row>
    <row r="33" spans="1:9">
      <c r="A33" s="10" t="str">
        <f t="shared" si="3"/>
        <v/>
      </c>
      <c r="B33" s="53"/>
      <c r="C33" s="28" t="str">
        <f t="shared" si="0"/>
        <v/>
      </c>
      <c r="D33" s="28" t="str">
        <f t="shared" si="1"/>
        <v/>
      </c>
      <c r="E33" s="77"/>
      <c r="F33" s="45"/>
      <c r="G33" s="56"/>
      <c r="H33" s="83"/>
      <c r="I33" s="35" t="str">
        <f t="shared" si="2"/>
        <v/>
      </c>
    </row>
    <row r="34" spans="1:9">
      <c r="A34" s="10" t="str">
        <f t="shared" si="3"/>
        <v/>
      </c>
      <c r="B34" s="53"/>
      <c r="C34" s="28" t="str">
        <f t="shared" si="0"/>
        <v/>
      </c>
      <c r="D34" s="28" t="str">
        <f t="shared" si="1"/>
        <v/>
      </c>
      <c r="E34" s="77"/>
      <c r="F34" s="45"/>
      <c r="G34" s="56"/>
      <c r="H34" s="83"/>
      <c r="I34" s="35" t="str">
        <f t="shared" si="2"/>
        <v/>
      </c>
    </row>
    <row r="35" spans="1:9">
      <c r="A35" s="10" t="str">
        <f t="shared" si="3"/>
        <v/>
      </c>
      <c r="B35" s="53"/>
      <c r="C35" s="28" t="str">
        <f t="shared" si="0"/>
        <v/>
      </c>
      <c r="D35" s="28" t="str">
        <f t="shared" si="1"/>
        <v/>
      </c>
      <c r="E35" s="77"/>
      <c r="F35" s="45"/>
      <c r="G35" s="56"/>
      <c r="H35" s="83"/>
      <c r="I35" s="35" t="str">
        <f t="shared" si="2"/>
        <v/>
      </c>
    </row>
    <row r="36" spans="1:9">
      <c r="A36" s="10" t="str">
        <f t="shared" si="3"/>
        <v/>
      </c>
      <c r="B36" s="53"/>
      <c r="C36" s="28" t="str">
        <f t="shared" si="0"/>
        <v/>
      </c>
      <c r="D36" s="28" t="str">
        <f t="shared" si="1"/>
        <v/>
      </c>
      <c r="E36" s="77"/>
      <c r="F36" s="45"/>
      <c r="G36" s="56"/>
      <c r="H36" s="83"/>
      <c r="I36" s="35" t="str">
        <f t="shared" si="2"/>
        <v/>
      </c>
    </row>
    <row r="37" spans="1:9">
      <c r="A37" s="10" t="str">
        <f t="shared" si="3"/>
        <v/>
      </c>
      <c r="B37" s="53"/>
      <c r="C37" s="28" t="str">
        <f t="shared" si="0"/>
        <v/>
      </c>
      <c r="D37" s="28" t="str">
        <f t="shared" si="1"/>
        <v/>
      </c>
      <c r="E37" s="77"/>
      <c r="F37" s="45"/>
      <c r="G37" s="56"/>
      <c r="H37" s="83"/>
      <c r="I37" s="35" t="str">
        <f t="shared" si="2"/>
        <v/>
      </c>
    </row>
    <row r="38" spans="1:9">
      <c r="A38" s="10" t="str">
        <f t="shared" si="3"/>
        <v/>
      </c>
      <c r="B38" s="53"/>
      <c r="C38" s="28" t="str">
        <f t="shared" si="0"/>
        <v/>
      </c>
      <c r="D38" s="28" t="str">
        <f t="shared" si="1"/>
        <v/>
      </c>
      <c r="E38" s="77"/>
      <c r="F38" s="45"/>
      <c r="G38" s="56"/>
      <c r="H38" s="83"/>
      <c r="I38" s="35" t="str">
        <f t="shared" si="2"/>
        <v/>
      </c>
    </row>
    <row r="39" spans="1:9">
      <c r="A39" s="10" t="str">
        <f t="shared" si="3"/>
        <v/>
      </c>
      <c r="B39" s="53"/>
      <c r="C39" s="28" t="str">
        <f t="shared" si="0"/>
        <v/>
      </c>
      <c r="D39" s="28" t="str">
        <f t="shared" si="1"/>
        <v/>
      </c>
      <c r="E39" s="77"/>
      <c r="F39" s="45"/>
      <c r="G39" s="56"/>
      <c r="H39" s="83"/>
      <c r="I39" s="35" t="str">
        <f t="shared" si="2"/>
        <v/>
      </c>
    </row>
    <row r="40" spans="1:9">
      <c r="A40" s="10" t="str">
        <f t="shared" si="3"/>
        <v/>
      </c>
      <c r="B40" s="53"/>
      <c r="C40" s="28" t="str">
        <f t="shared" si="0"/>
        <v/>
      </c>
      <c r="D40" s="28" t="str">
        <f t="shared" si="1"/>
        <v/>
      </c>
      <c r="E40" s="77"/>
      <c r="F40" s="45"/>
      <c r="G40" s="56"/>
      <c r="H40" s="83"/>
      <c r="I40" s="35" t="str">
        <f t="shared" si="2"/>
        <v/>
      </c>
    </row>
    <row r="41" spans="1:9">
      <c r="A41" s="10" t="str">
        <f t="shared" si="3"/>
        <v/>
      </c>
      <c r="B41" s="53"/>
      <c r="C41" s="28" t="str">
        <f t="shared" si="0"/>
        <v/>
      </c>
      <c r="D41" s="28" t="str">
        <f t="shared" si="1"/>
        <v/>
      </c>
      <c r="E41" s="77"/>
      <c r="F41" s="45"/>
      <c r="G41" s="56"/>
      <c r="H41" s="83"/>
      <c r="I41" s="35" t="str">
        <f t="shared" si="2"/>
        <v/>
      </c>
    </row>
    <row r="42" spans="1:9">
      <c r="A42" s="10" t="str">
        <f t="shared" si="3"/>
        <v/>
      </c>
      <c r="B42" s="53"/>
      <c r="C42" s="28" t="str">
        <f t="shared" si="0"/>
        <v/>
      </c>
      <c r="D42" s="28" t="str">
        <f t="shared" si="1"/>
        <v/>
      </c>
      <c r="E42" s="77"/>
      <c r="F42" s="45"/>
      <c r="G42" s="56"/>
      <c r="H42" s="83"/>
      <c r="I42" s="35" t="str">
        <f t="shared" si="2"/>
        <v/>
      </c>
    </row>
    <row r="43" spans="1:9">
      <c r="A43" s="10" t="str">
        <f t="shared" si="3"/>
        <v/>
      </c>
      <c r="B43" s="53"/>
      <c r="C43" s="28" t="str">
        <f t="shared" si="0"/>
        <v/>
      </c>
      <c r="D43" s="28" t="str">
        <f t="shared" si="1"/>
        <v/>
      </c>
      <c r="E43" s="77"/>
      <c r="F43" s="45"/>
      <c r="G43" s="56"/>
      <c r="H43" s="83"/>
      <c r="I43" s="35" t="str">
        <f t="shared" si="2"/>
        <v/>
      </c>
    </row>
    <row r="44" spans="1:9">
      <c r="A44" s="10" t="str">
        <f t="shared" si="3"/>
        <v/>
      </c>
      <c r="B44" s="53"/>
      <c r="C44" s="28" t="str">
        <f t="shared" si="0"/>
        <v/>
      </c>
      <c r="D44" s="28" t="str">
        <f t="shared" si="1"/>
        <v/>
      </c>
      <c r="E44" s="77"/>
      <c r="F44" s="45"/>
      <c r="G44" s="56"/>
      <c r="H44" s="83"/>
      <c r="I44" s="35" t="str">
        <f t="shared" si="2"/>
        <v/>
      </c>
    </row>
    <row r="45" spans="1:9">
      <c r="A45" s="10" t="str">
        <f t="shared" si="3"/>
        <v/>
      </c>
      <c r="B45" s="53"/>
      <c r="C45" s="28" t="str">
        <f t="shared" si="0"/>
        <v/>
      </c>
      <c r="D45" s="28" t="str">
        <f t="shared" si="1"/>
        <v/>
      </c>
      <c r="E45" s="77"/>
      <c r="F45" s="45"/>
      <c r="G45" s="56"/>
      <c r="H45" s="83"/>
      <c r="I45" s="35" t="str">
        <f t="shared" si="2"/>
        <v/>
      </c>
    </row>
    <row r="46" spans="1:9">
      <c r="A46" s="10" t="str">
        <f t="shared" si="3"/>
        <v/>
      </c>
      <c r="B46" s="53"/>
      <c r="C46" s="28" t="str">
        <f t="shared" si="0"/>
        <v/>
      </c>
      <c r="D46" s="28" t="str">
        <f t="shared" si="1"/>
        <v/>
      </c>
      <c r="E46" s="77"/>
      <c r="F46" s="45"/>
      <c r="G46" s="56"/>
      <c r="H46" s="83"/>
      <c r="I46" s="35" t="str">
        <f t="shared" si="2"/>
        <v/>
      </c>
    </row>
    <row r="47" spans="1:9">
      <c r="A47" s="10" t="str">
        <f t="shared" si="3"/>
        <v/>
      </c>
      <c r="B47" s="53"/>
      <c r="C47" s="28" t="str">
        <f t="shared" si="0"/>
        <v/>
      </c>
      <c r="D47" s="28" t="str">
        <f t="shared" si="1"/>
        <v/>
      </c>
      <c r="E47" s="77"/>
      <c r="F47" s="45"/>
      <c r="G47" s="56"/>
      <c r="H47" s="83"/>
      <c r="I47" s="35" t="str">
        <f t="shared" si="2"/>
        <v/>
      </c>
    </row>
    <row r="48" spans="1:9">
      <c r="A48" s="10" t="str">
        <f t="shared" si="3"/>
        <v/>
      </c>
      <c r="B48" s="53"/>
      <c r="C48" s="28" t="str">
        <f t="shared" si="0"/>
        <v/>
      </c>
      <c r="D48" s="28" t="str">
        <f t="shared" si="1"/>
        <v/>
      </c>
      <c r="E48" s="77"/>
      <c r="F48" s="45"/>
      <c r="G48" s="56"/>
      <c r="H48" s="83"/>
      <c r="I48" s="35" t="str">
        <f t="shared" si="2"/>
        <v/>
      </c>
    </row>
    <row r="49" spans="1:9">
      <c r="A49" s="10" t="str">
        <f t="shared" si="3"/>
        <v/>
      </c>
      <c r="B49" s="53"/>
      <c r="C49" s="28" t="str">
        <f t="shared" si="0"/>
        <v/>
      </c>
      <c r="D49" s="28" t="str">
        <f t="shared" si="1"/>
        <v/>
      </c>
      <c r="E49" s="77"/>
      <c r="F49" s="45"/>
      <c r="G49" s="56"/>
      <c r="H49" s="83"/>
      <c r="I49" s="35" t="str">
        <f t="shared" si="2"/>
        <v/>
      </c>
    </row>
    <row r="50" spans="1:9">
      <c r="A50" s="10" t="str">
        <f t="shared" si="3"/>
        <v/>
      </c>
      <c r="B50" s="53"/>
      <c r="C50" s="28" t="str">
        <f t="shared" si="0"/>
        <v/>
      </c>
      <c r="D50" s="28" t="str">
        <f t="shared" si="1"/>
        <v/>
      </c>
      <c r="E50" s="77"/>
      <c r="F50" s="45"/>
      <c r="G50" s="56"/>
      <c r="H50" s="83"/>
      <c r="I50" s="35" t="str">
        <f t="shared" si="2"/>
        <v/>
      </c>
    </row>
    <row r="51" spans="1:9">
      <c r="A51" s="10" t="str">
        <f t="shared" si="3"/>
        <v/>
      </c>
      <c r="B51" s="53"/>
      <c r="C51" s="28" t="str">
        <f t="shared" si="0"/>
        <v/>
      </c>
      <c r="D51" s="28" t="str">
        <f t="shared" si="1"/>
        <v/>
      </c>
      <c r="E51" s="77"/>
      <c r="F51" s="45"/>
      <c r="G51" s="56"/>
      <c r="H51" s="83"/>
      <c r="I51" s="35" t="str">
        <f t="shared" si="2"/>
        <v/>
      </c>
    </row>
    <row r="52" spans="1:9">
      <c r="A52" s="10" t="str">
        <f t="shared" si="3"/>
        <v/>
      </c>
      <c r="B52" s="53"/>
      <c r="C52" s="28" t="str">
        <f t="shared" si="0"/>
        <v/>
      </c>
      <c r="D52" s="28" t="str">
        <f t="shared" si="1"/>
        <v/>
      </c>
      <c r="E52" s="77"/>
      <c r="F52" s="45"/>
      <c r="G52" s="56"/>
      <c r="H52" s="83"/>
      <c r="I52" s="35" t="str">
        <f t="shared" si="2"/>
        <v/>
      </c>
    </row>
    <row r="53" spans="1:9">
      <c r="A53" s="10" t="str">
        <f t="shared" si="3"/>
        <v/>
      </c>
      <c r="B53" s="53"/>
      <c r="C53" s="28" t="str">
        <f t="shared" si="0"/>
        <v/>
      </c>
      <c r="D53" s="28" t="str">
        <f t="shared" si="1"/>
        <v/>
      </c>
      <c r="E53" s="77"/>
      <c r="F53" s="45"/>
      <c r="G53" s="56"/>
      <c r="H53" s="83"/>
      <c r="I53" s="35" t="str">
        <f t="shared" si="2"/>
        <v/>
      </c>
    </row>
    <row r="54" spans="1:9">
      <c r="A54" s="10" t="str">
        <f t="shared" si="3"/>
        <v/>
      </c>
      <c r="B54" s="53"/>
      <c r="C54" s="28" t="str">
        <f t="shared" si="0"/>
        <v/>
      </c>
      <c r="D54" s="28" t="str">
        <f t="shared" si="1"/>
        <v/>
      </c>
      <c r="E54" s="77"/>
      <c r="F54" s="45"/>
      <c r="G54" s="56"/>
      <c r="H54" s="83"/>
      <c r="I54" s="35" t="str">
        <f t="shared" si="2"/>
        <v/>
      </c>
    </row>
    <row r="55" spans="1:9">
      <c r="A55" s="10" t="str">
        <f t="shared" si="3"/>
        <v/>
      </c>
      <c r="B55" s="53"/>
      <c r="C55" s="28" t="str">
        <f t="shared" si="0"/>
        <v/>
      </c>
      <c r="D55" s="28" t="str">
        <f t="shared" si="1"/>
        <v/>
      </c>
      <c r="E55" s="77"/>
      <c r="F55" s="45"/>
      <c r="G55" s="56"/>
      <c r="H55" s="83"/>
      <c r="I55" s="35" t="str">
        <f t="shared" si="2"/>
        <v/>
      </c>
    </row>
    <row r="56" spans="1:9">
      <c r="A56" s="10" t="str">
        <f t="shared" si="3"/>
        <v/>
      </c>
      <c r="B56" s="53"/>
      <c r="C56" s="28" t="str">
        <f t="shared" si="0"/>
        <v/>
      </c>
      <c r="D56" s="28" t="str">
        <f t="shared" si="1"/>
        <v/>
      </c>
      <c r="E56" s="77"/>
      <c r="F56" s="45"/>
      <c r="G56" s="56"/>
      <c r="H56" s="83"/>
      <c r="I56" s="35" t="str">
        <f t="shared" si="2"/>
        <v/>
      </c>
    </row>
    <row r="57" spans="1:9">
      <c r="A57" s="10" t="str">
        <f t="shared" si="3"/>
        <v/>
      </c>
      <c r="B57" s="53"/>
      <c r="C57" s="28" t="str">
        <f t="shared" si="0"/>
        <v/>
      </c>
      <c r="D57" s="28" t="str">
        <f t="shared" si="1"/>
        <v/>
      </c>
      <c r="E57" s="77"/>
      <c r="F57" s="45"/>
      <c r="G57" s="56"/>
      <c r="H57" s="83"/>
      <c r="I57" s="35" t="str">
        <f t="shared" si="2"/>
        <v/>
      </c>
    </row>
    <row r="58" spans="1:9">
      <c r="A58" s="10" t="str">
        <f t="shared" si="3"/>
        <v/>
      </c>
      <c r="B58" s="53"/>
      <c r="C58" s="28" t="str">
        <f t="shared" si="0"/>
        <v/>
      </c>
      <c r="D58" s="28" t="str">
        <f t="shared" si="1"/>
        <v/>
      </c>
      <c r="E58" s="77"/>
      <c r="F58" s="45"/>
      <c r="G58" s="56"/>
      <c r="H58" s="83"/>
      <c r="I58" s="35" t="str">
        <f t="shared" si="2"/>
        <v/>
      </c>
    </row>
    <row r="59" spans="1:9">
      <c r="A59" s="10" t="str">
        <f t="shared" si="3"/>
        <v/>
      </c>
      <c r="B59" s="53"/>
      <c r="C59" s="28" t="str">
        <f t="shared" si="0"/>
        <v/>
      </c>
      <c r="D59" s="28" t="str">
        <f t="shared" si="1"/>
        <v/>
      </c>
      <c r="E59" s="77"/>
      <c r="F59" s="45"/>
      <c r="G59" s="56"/>
      <c r="H59" s="83"/>
      <c r="I59" s="35" t="str">
        <f t="shared" si="2"/>
        <v/>
      </c>
    </row>
    <row r="60" spans="1:9">
      <c r="A60" s="10" t="str">
        <f t="shared" si="3"/>
        <v/>
      </c>
      <c r="B60" s="53"/>
      <c r="C60" s="28" t="str">
        <f t="shared" si="0"/>
        <v/>
      </c>
      <c r="D60" s="28" t="str">
        <f t="shared" si="1"/>
        <v/>
      </c>
      <c r="E60" s="77"/>
      <c r="F60" s="45"/>
      <c r="G60" s="56"/>
      <c r="H60" s="83"/>
      <c r="I60" s="35" t="str">
        <f t="shared" si="2"/>
        <v/>
      </c>
    </row>
    <row r="61" spans="1:9">
      <c r="A61" s="10" t="str">
        <f t="shared" si="3"/>
        <v/>
      </c>
      <c r="B61" s="53"/>
      <c r="C61" s="28" t="str">
        <f t="shared" si="0"/>
        <v/>
      </c>
      <c r="D61" s="28" t="str">
        <f t="shared" si="1"/>
        <v/>
      </c>
      <c r="E61" s="77"/>
      <c r="F61" s="45"/>
      <c r="G61" s="56"/>
      <c r="H61" s="83"/>
      <c r="I61" s="35" t="str">
        <f t="shared" si="2"/>
        <v/>
      </c>
    </row>
    <row r="62" spans="1:9">
      <c r="A62" s="10" t="str">
        <f t="shared" si="3"/>
        <v/>
      </c>
      <c r="B62" s="53"/>
      <c r="C62" s="28" t="str">
        <f t="shared" si="0"/>
        <v/>
      </c>
      <c r="D62" s="28" t="str">
        <f t="shared" si="1"/>
        <v/>
      </c>
      <c r="E62" s="77"/>
      <c r="F62" s="45"/>
      <c r="G62" s="56"/>
      <c r="H62" s="83"/>
      <c r="I62" s="35" t="str">
        <f t="shared" si="2"/>
        <v/>
      </c>
    </row>
    <row r="63" spans="1:9">
      <c r="A63" s="10" t="str">
        <f t="shared" si="3"/>
        <v/>
      </c>
      <c r="B63" s="53"/>
      <c r="C63" s="28" t="str">
        <f t="shared" si="0"/>
        <v/>
      </c>
      <c r="D63" s="28" t="str">
        <f t="shared" si="1"/>
        <v/>
      </c>
      <c r="E63" s="77"/>
      <c r="F63" s="45"/>
      <c r="G63" s="56"/>
      <c r="H63" s="83"/>
      <c r="I63" s="35" t="str">
        <f t="shared" si="2"/>
        <v/>
      </c>
    </row>
    <row r="64" spans="1:9">
      <c r="A64" s="10" t="str">
        <f t="shared" si="3"/>
        <v/>
      </c>
      <c r="B64" s="53"/>
      <c r="C64" s="28" t="str">
        <f t="shared" si="0"/>
        <v/>
      </c>
      <c r="D64" s="28" t="str">
        <f t="shared" si="1"/>
        <v/>
      </c>
      <c r="E64" s="77"/>
      <c r="F64" s="45"/>
      <c r="G64" s="56"/>
      <c r="H64" s="83"/>
      <c r="I64" s="35" t="str">
        <f t="shared" si="2"/>
        <v/>
      </c>
    </row>
    <row r="65" spans="1:9">
      <c r="A65" s="10" t="str">
        <f t="shared" si="3"/>
        <v/>
      </c>
      <c r="B65" s="53"/>
      <c r="C65" s="28" t="str">
        <f t="shared" si="0"/>
        <v/>
      </c>
      <c r="D65" s="28" t="str">
        <f t="shared" si="1"/>
        <v/>
      </c>
      <c r="E65" s="77"/>
      <c r="F65" s="45"/>
      <c r="G65" s="56"/>
      <c r="H65" s="83"/>
      <c r="I65" s="35" t="str">
        <f t="shared" si="2"/>
        <v/>
      </c>
    </row>
    <row r="66" spans="1:9">
      <c r="A66" s="10" t="str">
        <f t="shared" si="3"/>
        <v/>
      </c>
      <c r="B66" s="53"/>
      <c r="C66" s="28" t="str">
        <f t="shared" ref="C66:C129" si="4">IF(B66=0,"",TEXT(B66,"mmmm"))</f>
        <v/>
      </c>
      <c r="D66" s="28" t="str">
        <f t="shared" ref="D66:D129" si="5">IF(B66=0,"",TEXT(B66,"yyyy"))</f>
        <v/>
      </c>
      <c r="E66" s="77"/>
      <c r="F66" s="45"/>
      <c r="G66" s="56"/>
      <c r="H66" s="83"/>
      <c r="I66" s="35" t="str">
        <f t="shared" ref="I66:I129" si="6">IF(G66*H66=0,"",G66*H66)</f>
        <v/>
      </c>
    </row>
    <row r="67" spans="1:9">
      <c r="A67" s="10" t="str">
        <f t="shared" si="3"/>
        <v/>
      </c>
      <c r="B67" s="53"/>
      <c r="C67" s="28" t="str">
        <f t="shared" si="4"/>
        <v/>
      </c>
      <c r="D67" s="28" t="str">
        <f t="shared" si="5"/>
        <v/>
      </c>
      <c r="E67" s="77"/>
      <c r="F67" s="45"/>
      <c r="G67" s="56"/>
      <c r="H67" s="83"/>
      <c r="I67" s="35" t="str">
        <f t="shared" si="6"/>
        <v/>
      </c>
    </row>
    <row r="68" spans="1:9">
      <c r="A68" s="10" t="str">
        <f t="shared" ref="A68:A131" si="7">IF(E68&gt;0,A67+1,"")</f>
        <v/>
      </c>
      <c r="B68" s="53"/>
      <c r="C68" s="28" t="str">
        <f t="shared" si="4"/>
        <v/>
      </c>
      <c r="D68" s="28" t="str">
        <f t="shared" si="5"/>
        <v/>
      </c>
      <c r="E68" s="77"/>
      <c r="F68" s="45"/>
      <c r="G68" s="56"/>
      <c r="H68" s="83"/>
      <c r="I68" s="35" t="str">
        <f t="shared" si="6"/>
        <v/>
      </c>
    </row>
    <row r="69" spans="1:9">
      <c r="A69" s="10" t="str">
        <f t="shared" si="7"/>
        <v/>
      </c>
      <c r="B69" s="53"/>
      <c r="C69" s="28" t="str">
        <f t="shared" si="4"/>
        <v/>
      </c>
      <c r="D69" s="28" t="str">
        <f t="shared" si="5"/>
        <v/>
      </c>
      <c r="E69" s="77"/>
      <c r="F69" s="45"/>
      <c r="G69" s="56"/>
      <c r="H69" s="83"/>
      <c r="I69" s="35" t="str">
        <f t="shared" si="6"/>
        <v/>
      </c>
    </row>
    <row r="70" spans="1:9">
      <c r="A70" s="10" t="str">
        <f t="shared" si="7"/>
        <v/>
      </c>
      <c r="B70" s="53"/>
      <c r="C70" s="28" t="str">
        <f t="shared" si="4"/>
        <v/>
      </c>
      <c r="D70" s="28" t="str">
        <f t="shared" si="5"/>
        <v/>
      </c>
      <c r="E70" s="77"/>
      <c r="F70" s="45"/>
      <c r="G70" s="56"/>
      <c r="H70" s="83"/>
      <c r="I70" s="35" t="str">
        <f t="shared" si="6"/>
        <v/>
      </c>
    </row>
    <row r="71" spans="1:9">
      <c r="A71" s="10" t="str">
        <f t="shared" si="7"/>
        <v/>
      </c>
      <c r="B71" s="53"/>
      <c r="C71" s="28" t="str">
        <f t="shared" si="4"/>
        <v/>
      </c>
      <c r="D71" s="28" t="str">
        <f t="shared" si="5"/>
        <v/>
      </c>
      <c r="E71" s="77"/>
      <c r="F71" s="45"/>
      <c r="G71" s="56"/>
      <c r="H71" s="83"/>
      <c r="I71" s="35" t="str">
        <f t="shared" si="6"/>
        <v/>
      </c>
    </row>
    <row r="72" spans="1:9">
      <c r="A72" s="10" t="str">
        <f t="shared" si="7"/>
        <v/>
      </c>
      <c r="B72" s="53"/>
      <c r="C72" s="28" t="str">
        <f t="shared" si="4"/>
        <v/>
      </c>
      <c r="D72" s="28" t="str">
        <f t="shared" si="5"/>
        <v/>
      </c>
      <c r="E72" s="77"/>
      <c r="F72" s="45"/>
      <c r="G72" s="56"/>
      <c r="H72" s="83"/>
      <c r="I72" s="35" t="str">
        <f t="shared" si="6"/>
        <v/>
      </c>
    </row>
    <row r="73" spans="1:9">
      <c r="A73" s="10" t="str">
        <f t="shared" si="7"/>
        <v/>
      </c>
      <c r="B73" s="53"/>
      <c r="C73" s="28" t="str">
        <f t="shared" si="4"/>
        <v/>
      </c>
      <c r="D73" s="28" t="str">
        <f t="shared" si="5"/>
        <v/>
      </c>
      <c r="E73" s="77"/>
      <c r="F73" s="45"/>
      <c r="G73" s="56"/>
      <c r="H73" s="83"/>
      <c r="I73" s="35" t="str">
        <f t="shared" si="6"/>
        <v/>
      </c>
    </row>
    <row r="74" spans="1:9">
      <c r="A74" s="10" t="str">
        <f t="shared" si="7"/>
        <v/>
      </c>
      <c r="B74" s="53"/>
      <c r="C74" s="28" t="str">
        <f t="shared" si="4"/>
        <v/>
      </c>
      <c r="D74" s="28" t="str">
        <f t="shared" si="5"/>
        <v/>
      </c>
      <c r="E74" s="77"/>
      <c r="F74" s="45"/>
      <c r="G74" s="56"/>
      <c r="H74" s="83"/>
      <c r="I74" s="35" t="str">
        <f t="shared" si="6"/>
        <v/>
      </c>
    </row>
    <row r="75" spans="1:9">
      <c r="A75" s="10" t="str">
        <f t="shared" si="7"/>
        <v/>
      </c>
      <c r="B75" s="53"/>
      <c r="C75" s="28" t="str">
        <f t="shared" si="4"/>
        <v/>
      </c>
      <c r="D75" s="28" t="str">
        <f t="shared" si="5"/>
        <v/>
      </c>
      <c r="E75" s="77"/>
      <c r="F75" s="45"/>
      <c r="G75" s="56"/>
      <c r="H75" s="83"/>
      <c r="I75" s="35" t="str">
        <f t="shared" si="6"/>
        <v/>
      </c>
    </row>
    <row r="76" spans="1:9">
      <c r="A76" s="10" t="str">
        <f t="shared" si="7"/>
        <v/>
      </c>
      <c r="B76" s="53"/>
      <c r="C76" s="28" t="str">
        <f t="shared" si="4"/>
        <v/>
      </c>
      <c r="D76" s="28" t="str">
        <f t="shared" si="5"/>
        <v/>
      </c>
      <c r="E76" s="77"/>
      <c r="F76" s="45"/>
      <c r="G76" s="56"/>
      <c r="H76" s="83"/>
      <c r="I76" s="35" t="str">
        <f t="shared" si="6"/>
        <v/>
      </c>
    </row>
    <row r="77" spans="1:9">
      <c r="A77" s="10" t="str">
        <f t="shared" si="7"/>
        <v/>
      </c>
      <c r="B77" s="53"/>
      <c r="C77" s="28" t="str">
        <f t="shared" si="4"/>
        <v/>
      </c>
      <c r="D77" s="28" t="str">
        <f t="shared" si="5"/>
        <v/>
      </c>
      <c r="E77" s="77"/>
      <c r="F77" s="45"/>
      <c r="G77" s="56"/>
      <c r="H77" s="83"/>
      <c r="I77" s="35" t="str">
        <f t="shared" si="6"/>
        <v/>
      </c>
    </row>
    <row r="78" spans="1:9">
      <c r="A78" s="10" t="str">
        <f t="shared" si="7"/>
        <v/>
      </c>
      <c r="B78" s="53"/>
      <c r="C78" s="28" t="str">
        <f t="shared" si="4"/>
        <v/>
      </c>
      <c r="D78" s="28" t="str">
        <f t="shared" si="5"/>
        <v/>
      </c>
      <c r="E78" s="77"/>
      <c r="F78" s="45"/>
      <c r="G78" s="56"/>
      <c r="H78" s="83"/>
      <c r="I78" s="35" t="str">
        <f t="shared" si="6"/>
        <v/>
      </c>
    </row>
    <row r="79" spans="1:9">
      <c r="A79" s="10" t="str">
        <f t="shared" si="7"/>
        <v/>
      </c>
      <c r="B79" s="53"/>
      <c r="C79" s="28" t="str">
        <f t="shared" si="4"/>
        <v/>
      </c>
      <c r="D79" s="28" t="str">
        <f t="shared" si="5"/>
        <v/>
      </c>
      <c r="E79" s="77"/>
      <c r="F79" s="45"/>
      <c r="G79" s="56"/>
      <c r="H79" s="83"/>
      <c r="I79" s="35" t="str">
        <f t="shared" si="6"/>
        <v/>
      </c>
    </row>
    <row r="80" spans="1:9">
      <c r="A80" s="10" t="str">
        <f t="shared" si="7"/>
        <v/>
      </c>
      <c r="B80" s="53"/>
      <c r="C80" s="28" t="str">
        <f t="shared" si="4"/>
        <v/>
      </c>
      <c r="D80" s="28" t="str">
        <f t="shared" si="5"/>
        <v/>
      </c>
      <c r="E80" s="77"/>
      <c r="F80" s="45"/>
      <c r="G80" s="56"/>
      <c r="H80" s="83"/>
      <c r="I80" s="35" t="str">
        <f t="shared" si="6"/>
        <v/>
      </c>
    </row>
    <row r="81" spans="1:9">
      <c r="A81" s="10" t="str">
        <f t="shared" si="7"/>
        <v/>
      </c>
      <c r="B81" s="53"/>
      <c r="C81" s="28" t="str">
        <f t="shared" si="4"/>
        <v/>
      </c>
      <c r="D81" s="28" t="str">
        <f t="shared" si="5"/>
        <v/>
      </c>
      <c r="E81" s="77"/>
      <c r="F81" s="45"/>
      <c r="G81" s="56"/>
      <c r="H81" s="83"/>
      <c r="I81" s="35" t="str">
        <f t="shared" si="6"/>
        <v/>
      </c>
    </row>
    <row r="82" spans="1:9">
      <c r="A82" s="10" t="str">
        <f t="shared" si="7"/>
        <v/>
      </c>
      <c r="B82" s="53"/>
      <c r="C82" s="28" t="str">
        <f t="shared" si="4"/>
        <v/>
      </c>
      <c r="D82" s="28" t="str">
        <f t="shared" si="5"/>
        <v/>
      </c>
      <c r="E82" s="77"/>
      <c r="F82" s="45"/>
      <c r="G82" s="56"/>
      <c r="H82" s="83"/>
      <c r="I82" s="35" t="str">
        <f t="shared" si="6"/>
        <v/>
      </c>
    </row>
    <row r="83" spans="1:9">
      <c r="A83" s="10" t="str">
        <f t="shared" si="7"/>
        <v/>
      </c>
      <c r="B83" s="53"/>
      <c r="C83" s="28" t="str">
        <f t="shared" si="4"/>
        <v/>
      </c>
      <c r="D83" s="28" t="str">
        <f t="shared" si="5"/>
        <v/>
      </c>
      <c r="E83" s="77"/>
      <c r="F83" s="45"/>
      <c r="G83" s="56"/>
      <c r="H83" s="83"/>
      <c r="I83" s="35" t="str">
        <f t="shared" si="6"/>
        <v/>
      </c>
    </row>
    <row r="84" spans="1:9">
      <c r="A84" s="10" t="str">
        <f t="shared" si="7"/>
        <v/>
      </c>
      <c r="B84" s="53"/>
      <c r="C84" s="28" t="str">
        <f t="shared" si="4"/>
        <v/>
      </c>
      <c r="D84" s="28" t="str">
        <f t="shared" si="5"/>
        <v/>
      </c>
      <c r="E84" s="77"/>
      <c r="F84" s="45"/>
      <c r="G84" s="56"/>
      <c r="H84" s="83"/>
      <c r="I84" s="35" t="str">
        <f t="shared" si="6"/>
        <v/>
      </c>
    </row>
    <row r="85" spans="1:9">
      <c r="A85" s="10" t="str">
        <f t="shared" si="7"/>
        <v/>
      </c>
      <c r="B85" s="53"/>
      <c r="C85" s="28" t="str">
        <f t="shared" si="4"/>
        <v/>
      </c>
      <c r="D85" s="28" t="str">
        <f t="shared" si="5"/>
        <v/>
      </c>
      <c r="E85" s="77"/>
      <c r="F85" s="45"/>
      <c r="G85" s="56"/>
      <c r="H85" s="83"/>
      <c r="I85" s="35" t="str">
        <f t="shared" si="6"/>
        <v/>
      </c>
    </row>
    <row r="86" spans="1:9">
      <c r="A86" s="10" t="str">
        <f t="shared" si="7"/>
        <v/>
      </c>
      <c r="B86" s="53"/>
      <c r="C86" s="28" t="str">
        <f t="shared" si="4"/>
        <v/>
      </c>
      <c r="D86" s="28" t="str">
        <f t="shared" si="5"/>
        <v/>
      </c>
      <c r="E86" s="77"/>
      <c r="F86" s="45"/>
      <c r="G86" s="56"/>
      <c r="H86" s="83"/>
      <c r="I86" s="35" t="str">
        <f t="shared" si="6"/>
        <v/>
      </c>
    </row>
    <row r="87" spans="1:9">
      <c r="A87" s="10" t="str">
        <f t="shared" si="7"/>
        <v/>
      </c>
      <c r="B87" s="53"/>
      <c r="C87" s="28" t="str">
        <f t="shared" si="4"/>
        <v/>
      </c>
      <c r="D87" s="28" t="str">
        <f t="shared" si="5"/>
        <v/>
      </c>
      <c r="E87" s="77"/>
      <c r="F87" s="45"/>
      <c r="G87" s="56"/>
      <c r="H87" s="83"/>
      <c r="I87" s="35" t="str">
        <f t="shared" si="6"/>
        <v/>
      </c>
    </row>
    <row r="88" spans="1:9">
      <c r="A88" s="10" t="str">
        <f t="shared" si="7"/>
        <v/>
      </c>
      <c r="B88" s="53"/>
      <c r="C88" s="28" t="str">
        <f t="shared" si="4"/>
        <v/>
      </c>
      <c r="D88" s="28" t="str">
        <f t="shared" si="5"/>
        <v/>
      </c>
      <c r="E88" s="77"/>
      <c r="F88" s="45"/>
      <c r="G88" s="56"/>
      <c r="H88" s="83"/>
      <c r="I88" s="35" t="str">
        <f t="shared" si="6"/>
        <v/>
      </c>
    </row>
    <row r="89" spans="1:9">
      <c r="A89" s="10" t="str">
        <f t="shared" si="7"/>
        <v/>
      </c>
      <c r="B89" s="53"/>
      <c r="C89" s="28" t="str">
        <f t="shared" si="4"/>
        <v/>
      </c>
      <c r="D89" s="28" t="str">
        <f t="shared" si="5"/>
        <v/>
      </c>
      <c r="E89" s="77"/>
      <c r="F89" s="45"/>
      <c r="G89" s="56"/>
      <c r="H89" s="83"/>
      <c r="I89" s="35" t="str">
        <f t="shared" si="6"/>
        <v/>
      </c>
    </row>
    <row r="90" spans="1:9">
      <c r="A90" s="10" t="str">
        <f t="shared" si="7"/>
        <v/>
      </c>
      <c r="B90" s="53"/>
      <c r="C90" s="28" t="str">
        <f t="shared" si="4"/>
        <v/>
      </c>
      <c r="D90" s="28" t="str">
        <f t="shared" si="5"/>
        <v/>
      </c>
      <c r="E90" s="77"/>
      <c r="F90" s="45"/>
      <c r="G90" s="56"/>
      <c r="H90" s="83"/>
      <c r="I90" s="35" t="str">
        <f t="shared" si="6"/>
        <v/>
      </c>
    </row>
    <row r="91" spans="1:9">
      <c r="A91" s="10" t="str">
        <f t="shared" si="7"/>
        <v/>
      </c>
      <c r="B91" s="53"/>
      <c r="C91" s="28" t="str">
        <f t="shared" si="4"/>
        <v/>
      </c>
      <c r="D91" s="28" t="str">
        <f t="shared" si="5"/>
        <v/>
      </c>
      <c r="E91" s="77"/>
      <c r="F91" s="45"/>
      <c r="G91" s="56"/>
      <c r="H91" s="83"/>
      <c r="I91" s="35" t="str">
        <f t="shared" si="6"/>
        <v/>
      </c>
    </row>
    <row r="92" spans="1:9">
      <c r="A92" s="10" t="str">
        <f t="shared" si="7"/>
        <v/>
      </c>
      <c r="B92" s="53"/>
      <c r="C92" s="28" t="str">
        <f t="shared" si="4"/>
        <v/>
      </c>
      <c r="D92" s="28" t="str">
        <f t="shared" si="5"/>
        <v/>
      </c>
      <c r="E92" s="77"/>
      <c r="F92" s="45"/>
      <c r="G92" s="56"/>
      <c r="H92" s="83"/>
      <c r="I92" s="35" t="str">
        <f t="shared" si="6"/>
        <v/>
      </c>
    </row>
    <row r="93" spans="1:9">
      <c r="A93" s="10" t="str">
        <f t="shared" si="7"/>
        <v/>
      </c>
      <c r="B93" s="53"/>
      <c r="C93" s="28" t="str">
        <f t="shared" si="4"/>
        <v/>
      </c>
      <c r="D93" s="28" t="str">
        <f t="shared" si="5"/>
        <v/>
      </c>
      <c r="E93" s="77"/>
      <c r="F93" s="45"/>
      <c r="G93" s="56"/>
      <c r="H93" s="83"/>
      <c r="I93" s="35" t="str">
        <f t="shared" si="6"/>
        <v/>
      </c>
    </row>
    <row r="94" spans="1:9">
      <c r="A94" s="10" t="str">
        <f t="shared" si="7"/>
        <v/>
      </c>
      <c r="B94" s="53"/>
      <c r="C94" s="28" t="str">
        <f t="shared" si="4"/>
        <v/>
      </c>
      <c r="D94" s="28" t="str">
        <f t="shared" si="5"/>
        <v/>
      </c>
      <c r="E94" s="77"/>
      <c r="F94" s="45"/>
      <c r="G94" s="56"/>
      <c r="H94" s="83"/>
      <c r="I94" s="35" t="str">
        <f t="shared" si="6"/>
        <v/>
      </c>
    </row>
    <row r="95" spans="1:9">
      <c r="A95" s="10" t="str">
        <f t="shared" si="7"/>
        <v/>
      </c>
      <c r="B95" s="53"/>
      <c r="C95" s="28" t="str">
        <f t="shared" si="4"/>
        <v/>
      </c>
      <c r="D95" s="28" t="str">
        <f t="shared" si="5"/>
        <v/>
      </c>
      <c r="E95" s="77"/>
      <c r="F95" s="45"/>
      <c r="G95" s="56"/>
      <c r="H95" s="83"/>
      <c r="I95" s="35" t="str">
        <f t="shared" si="6"/>
        <v/>
      </c>
    </row>
    <row r="96" spans="1:9">
      <c r="A96" s="10" t="str">
        <f t="shared" si="7"/>
        <v/>
      </c>
      <c r="B96" s="53"/>
      <c r="C96" s="28" t="str">
        <f t="shared" si="4"/>
        <v/>
      </c>
      <c r="D96" s="28" t="str">
        <f t="shared" si="5"/>
        <v/>
      </c>
      <c r="E96" s="77"/>
      <c r="F96" s="45"/>
      <c r="G96" s="56"/>
      <c r="H96" s="83"/>
      <c r="I96" s="35" t="str">
        <f t="shared" si="6"/>
        <v/>
      </c>
    </row>
    <row r="97" spans="1:9">
      <c r="A97" s="10" t="str">
        <f t="shared" si="7"/>
        <v/>
      </c>
      <c r="B97" s="53"/>
      <c r="C97" s="28" t="str">
        <f t="shared" si="4"/>
        <v/>
      </c>
      <c r="D97" s="28" t="str">
        <f t="shared" si="5"/>
        <v/>
      </c>
      <c r="E97" s="77"/>
      <c r="F97" s="45"/>
      <c r="G97" s="56"/>
      <c r="H97" s="83"/>
      <c r="I97" s="35" t="str">
        <f t="shared" si="6"/>
        <v/>
      </c>
    </row>
    <row r="98" spans="1:9">
      <c r="A98" s="10" t="str">
        <f t="shared" si="7"/>
        <v/>
      </c>
      <c r="B98" s="53"/>
      <c r="C98" s="28" t="str">
        <f t="shared" si="4"/>
        <v/>
      </c>
      <c r="D98" s="28" t="str">
        <f t="shared" si="5"/>
        <v/>
      </c>
      <c r="E98" s="77"/>
      <c r="F98" s="45"/>
      <c r="G98" s="56"/>
      <c r="H98" s="83"/>
      <c r="I98" s="35" t="str">
        <f t="shared" si="6"/>
        <v/>
      </c>
    </row>
    <row r="99" spans="1:9">
      <c r="A99" s="10" t="str">
        <f t="shared" si="7"/>
        <v/>
      </c>
      <c r="B99" s="53"/>
      <c r="C99" s="28" t="str">
        <f t="shared" si="4"/>
        <v/>
      </c>
      <c r="D99" s="28" t="str">
        <f t="shared" si="5"/>
        <v/>
      </c>
      <c r="E99" s="77"/>
      <c r="F99" s="45"/>
      <c r="G99" s="56"/>
      <c r="H99" s="83"/>
      <c r="I99" s="35" t="str">
        <f t="shared" si="6"/>
        <v/>
      </c>
    </row>
    <row r="100" spans="1:9">
      <c r="A100" s="10" t="str">
        <f t="shared" si="7"/>
        <v/>
      </c>
      <c r="B100" s="53"/>
      <c r="C100" s="28" t="str">
        <f t="shared" si="4"/>
        <v/>
      </c>
      <c r="D100" s="28" t="str">
        <f t="shared" si="5"/>
        <v/>
      </c>
      <c r="E100" s="77"/>
      <c r="F100" s="45"/>
      <c r="G100" s="56"/>
      <c r="H100" s="83"/>
      <c r="I100" s="35" t="str">
        <f t="shared" si="6"/>
        <v/>
      </c>
    </row>
    <row r="101" spans="1:9">
      <c r="A101" s="10" t="str">
        <f t="shared" si="7"/>
        <v/>
      </c>
      <c r="B101" s="53"/>
      <c r="C101" s="28" t="str">
        <f t="shared" si="4"/>
        <v/>
      </c>
      <c r="D101" s="28" t="str">
        <f t="shared" si="5"/>
        <v/>
      </c>
      <c r="E101" s="77"/>
      <c r="F101" s="45"/>
      <c r="G101" s="56"/>
      <c r="H101" s="83"/>
      <c r="I101" s="35" t="str">
        <f t="shared" si="6"/>
        <v/>
      </c>
    </row>
    <row r="102" spans="1:9">
      <c r="A102" s="10" t="str">
        <f t="shared" si="7"/>
        <v/>
      </c>
      <c r="B102" s="53"/>
      <c r="C102" s="28" t="str">
        <f t="shared" si="4"/>
        <v/>
      </c>
      <c r="D102" s="28" t="str">
        <f t="shared" si="5"/>
        <v/>
      </c>
      <c r="E102" s="77"/>
      <c r="F102" s="45"/>
      <c r="G102" s="56"/>
      <c r="H102" s="83"/>
      <c r="I102" s="35" t="str">
        <f t="shared" si="6"/>
        <v/>
      </c>
    </row>
    <row r="103" spans="1:9">
      <c r="A103" s="10" t="str">
        <f t="shared" si="7"/>
        <v/>
      </c>
      <c r="B103" s="53"/>
      <c r="C103" s="28" t="str">
        <f t="shared" si="4"/>
        <v/>
      </c>
      <c r="D103" s="28" t="str">
        <f t="shared" si="5"/>
        <v/>
      </c>
      <c r="E103" s="77"/>
      <c r="F103" s="45"/>
      <c r="G103" s="56"/>
      <c r="H103" s="83"/>
      <c r="I103" s="35" t="str">
        <f t="shared" si="6"/>
        <v/>
      </c>
    </row>
    <row r="104" spans="1:9">
      <c r="A104" s="10" t="str">
        <f t="shared" si="7"/>
        <v/>
      </c>
      <c r="B104" s="53"/>
      <c r="C104" s="28" t="str">
        <f t="shared" si="4"/>
        <v/>
      </c>
      <c r="D104" s="28" t="str">
        <f t="shared" si="5"/>
        <v/>
      </c>
      <c r="E104" s="77"/>
      <c r="F104" s="45"/>
      <c r="G104" s="56"/>
      <c r="H104" s="83"/>
      <c r="I104" s="35" t="str">
        <f t="shared" si="6"/>
        <v/>
      </c>
    </row>
    <row r="105" spans="1:9">
      <c r="A105" s="10" t="str">
        <f t="shared" si="7"/>
        <v/>
      </c>
      <c r="B105" s="53"/>
      <c r="C105" s="28" t="str">
        <f t="shared" si="4"/>
        <v/>
      </c>
      <c r="D105" s="28" t="str">
        <f t="shared" si="5"/>
        <v/>
      </c>
      <c r="E105" s="77"/>
      <c r="F105" s="45"/>
      <c r="G105" s="56"/>
      <c r="H105" s="83"/>
      <c r="I105" s="35" t="str">
        <f t="shared" si="6"/>
        <v/>
      </c>
    </row>
    <row r="106" spans="1:9">
      <c r="A106" s="10" t="str">
        <f t="shared" si="7"/>
        <v/>
      </c>
      <c r="B106" s="53"/>
      <c r="C106" s="28" t="str">
        <f t="shared" si="4"/>
        <v/>
      </c>
      <c r="D106" s="28" t="str">
        <f t="shared" si="5"/>
        <v/>
      </c>
      <c r="E106" s="77"/>
      <c r="F106" s="45"/>
      <c r="G106" s="56"/>
      <c r="H106" s="83"/>
      <c r="I106" s="35" t="str">
        <f t="shared" si="6"/>
        <v/>
      </c>
    </row>
    <row r="107" spans="1:9">
      <c r="A107" s="10" t="str">
        <f t="shared" si="7"/>
        <v/>
      </c>
      <c r="B107" s="53"/>
      <c r="C107" s="28" t="str">
        <f t="shared" si="4"/>
        <v/>
      </c>
      <c r="D107" s="28" t="str">
        <f t="shared" si="5"/>
        <v/>
      </c>
      <c r="E107" s="77"/>
      <c r="F107" s="45"/>
      <c r="G107" s="56"/>
      <c r="H107" s="83"/>
      <c r="I107" s="35" t="str">
        <f t="shared" si="6"/>
        <v/>
      </c>
    </row>
    <row r="108" spans="1:9">
      <c r="A108" s="10" t="str">
        <f t="shared" si="7"/>
        <v/>
      </c>
      <c r="B108" s="53"/>
      <c r="C108" s="28" t="str">
        <f t="shared" si="4"/>
        <v/>
      </c>
      <c r="D108" s="28" t="str">
        <f t="shared" si="5"/>
        <v/>
      </c>
      <c r="E108" s="77"/>
      <c r="F108" s="45"/>
      <c r="G108" s="56"/>
      <c r="H108" s="83"/>
      <c r="I108" s="35" t="str">
        <f t="shared" si="6"/>
        <v/>
      </c>
    </row>
    <row r="109" spans="1:9">
      <c r="A109" s="10" t="str">
        <f t="shared" si="7"/>
        <v/>
      </c>
      <c r="B109" s="53"/>
      <c r="C109" s="28" t="str">
        <f t="shared" si="4"/>
        <v/>
      </c>
      <c r="D109" s="28" t="str">
        <f t="shared" si="5"/>
        <v/>
      </c>
      <c r="E109" s="77"/>
      <c r="F109" s="45"/>
      <c r="G109" s="56"/>
      <c r="H109" s="83"/>
      <c r="I109" s="35" t="str">
        <f t="shared" si="6"/>
        <v/>
      </c>
    </row>
    <row r="110" spans="1:9">
      <c r="A110" s="10" t="str">
        <f t="shared" si="7"/>
        <v/>
      </c>
      <c r="B110" s="53"/>
      <c r="C110" s="28" t="str">
        <f t="shared" si="4"/>
        <v/>
      </c>
      <c r="D110" s="28" t="str">
        <f t="shared" si="5"/>
        <v/>
      </c>
      <c r="E110" s="77"/>
      <c r="F110" s="45"/>
      <c r="G110" s="56"/>
      <c r="H110" s="83"/>
      <c r="I110" s="35" t="str">
        <f t="shared" si="6"/>
        <v/>
      </c>
    </row>
    <row r="111" spans="1:9">
      <c r="A111" s="10" t="str">
        <f t="shared" si="7"/>
        <v/>
      </c>
      <c r="B111" s="53"/>
      <c r="C111" s="28" t="str">
        <f t="shared" si="4"/>
        <v/>
      </c>
      <c r="D111" s="28" t="str">
        <f t="shared" si="5"/>
        <v/>
      </c>
      <c r="E111" s="77"/>
      <c r="F111" s="45"/>
      <c r="G111" s="56"/>
      <c r="H111" s="83"/>
      <c r="I111" s="35" t="str">
        <f t="shared" si="6"/>
        <v/>
      </c>
    </row>
    <row r="112" spans="1:9">
      <c r="A112" s="10" t="str">
        <f t="shared" si="7"/>
        <v/>
      </c>
      <c r="B112" s="53"/>
      <c r="C112" s="28" t="str">
        <f t="shared" si="4"/>
        <v/>
      </c>
      <c r="D112" s="28" t="str">
        <f t="shared" si="5"/>
        <v/>
      </c>
      <c r="E112" s="77"/>
      <c r="F112" s="45"/>
      <c r="G112" s="56"/>
      <c r="H112" s="83"/>
      <c r="I112" s="35" t="str">
        <f t="shared" si="6"/>
        <v/>
      </c>
    </row>
    <row r="113" spans="1:9">
      <c r="A113" s="10" t="str">
        <f t="shared" si="7"/>
        <v/>
      </c>
      <c r="B113" s="53"/>
      <c r="C113" s="28" t="str">
        <f t="shared" si="4"/>
        <v/>
      </c>
      <c r="D113" s="28" t="str">
        <f t="shared" si="5"/>
        <v/>
      </c>
      <c r="E113" s="77"/>
      <c r="F113" s="45"/>
      <c r="G113" s="56"/>
      <c r="H113" s="83"/>
      <c r="I113" s="35" t="str">
        <f t="shared" si="6"/>
        <v/>
      </c>
    </row>
    <row r="114" spans="1:9">
      <c r="A114" s="10" t="str">
        <f t="shared" si="7"/>
        <v/>
      </c>
      <c r="B114" s="53"/>
      <c r="C114" s="28" t="str">
        <f t="shared" si="4"/>
        <v/>
      </c>
      <c r="D114" s="28" t="str">
        <f t="shared" si="5"/>
        <v/>
      </c>
      <c r="E114" s="77"/>
      <c r="F114" s="45"/>
      <c r="G114" s="56"/>
      <c r="H114" s="83"/>
      <c r="I114" s="35" t="str">
        <f t="shared" si="6"/>
        <v/>
      </c>
    </row>
    <row r="115" spans="1:9">
      <c r="A115" s="10" t="str">
        <f t="shared" si="7"/>
        <v/>
      </c>
      <c r="B115" s="53"/>
      <c r="C115" s="28" t="str">
        <f t="shared" si="4"/>
        <v/>
      </c>
      <c r="D115" s="28" t="str">
        <f t="shared" si="5"/>
        <v/>
      </c>
      <c r="E115" s="77"/>
      <c r="F115" s="45"/>
      <c r="G115" s="56"/>
      <c r="H115" s="83"/>
      <c r="I115" s="35" t="str">
        <f t="shared" si="6"/>
        <v/>
      </c>
    </row>
    <row r="116" spans="1:9">
      <c r="A116" s="10" t="str">
        <f t="shared" si="7"/>
        <v/>
      </c>
      <c r="B116" s="53"/>
      <c r="C116" s="28" t="str">
        <f t="shared" si="4"/>
        <v/>
      </c>
      <c r="D116" s="28" t="str">
        <f t="shared" si="5"/>
        <v/>
      </c>
      <c r="E116" s="77"/>
      <c r="F116" s="45"/>
      <c r="G116" s="56"/>
      <c r="H116" s="83"/>
      <c r="I116" s="35" t="str">
        <f t="shared" si="6"/>
        <v/>
      </c>
    </row>
    <row r="117" spans="1:9">
      <c r="A117" s="10" t="str">
        <f t="shared" si="7"/>
        <v/>
      </c>
      <c r="B117" s="53"/>
      <c r="C117" s="28" t="str">
        <f t="shared" si="4"/>
        <v/>
      </c>
      <c r="D117" s="28" t="str">
        <f t="shared" si="5"/>
        <v/>
      </c>
      <c r="E117" s="77"/>
      <c r="F117" s="45"/>
      <c r="G117" s="56"/>
      <c r="H117" s="83"/>
      <c r="I117" s="35" t="str">
        <f t="shared" si="6"/>
        <v/>
      </c>
    </row>
    <row r="118" spans="1:9">
      <c r="A118" s="10" t="str">
        <f t="shared" si="7"/>
        <v/>
      </c>
      <c r="B118" s="53"/>
      <c r="C118" s="28" t="str">
        <f t="shared" si="4"/>
        <v/>
      </c>
      <c r="D118" s="28" t="str">
        <f t="shared" si="5"/>
        <v/>
      </c>
      <c r="E118" s="77"/>
      <c r="F118" s="45"/>
      <c r="G118" s="56"/>
      <c r="H118" s="83"/>
      <c r="I118" s="35" t="str">
        <f t="shared" si="6"/>
        <v/>
      </c>
    </row>
    <row r="119" spans="1:9">
      <c r="A119" s="10" t="str">
        <f t="shared" si="7"/>
        <v/>
      </c>
      <c r="B119" s="53"/>
      <c r="C119" s="28" t="str">
        <f t="shared" si="4"/>
        <v/>
      </c>
      <c r="D119" s="28" t="str">
        <f t="shared" si="5"/>
        <v/>
      </c>
      <c r="E119" s="77"/>
      <c r="F119" s="45"/>
      <c r="G119" s="56"/>
      <c r="H119" s="83"/>
      <c r="I119" s="35" t="str">
        <f t="shared" si="6"/>
        <v/>
      </c>
    </row>
    <row r="120" spans="1:9">
      <c r="A120" s="10" t="str">
        <f t="shared" si="7"/>
        <v/>
      </c>
      <c r="B120" s="53"/>
      <c r="C120" s="28" t="str">
        <f t="shared" si="4"/>
        <v/>
      </c>
      <c r="D120" s="28" t="str">
        <f t="shared" si="5"/>
        <v/>
      </c>
      <c r="E120" s="77"/>
      <c r="F120" s="45"/>
      <c r="G120" s="56"/>
      <c r="H120" s="83"/>
      <c r="I120" s="35" t="str">
        <f t="shared" si="6"/>
        <v/>
      </c>
    </row>
    <row r="121" spans="1:9">
      <c r="A121" s="10" t="str">
        <f t="shared" si="7"/>
        <v/>
      </c>
      <c r="B121" s="53"/>
      <c r="C121" s="28" t="str">
        <f t="shared" si="4"/>
        <v/>
      </c>
      <c r="D121" s="28" t="str">
        <f t="shared" si="5"/>
        <v/>
      </c>
      <c r="E121" s="77"/>
      <c r="F121" s="45"/>
      <c r="G121" s="56"/>
      <c r="H121" s="83"/>
      <c r="I121" s="35" t="str">
        <f t="shared" si="6"/>
        <v/>
      </c>
    </row>
    <row r="122" spans="1:9">
      <c r="A122" s="10" t="str">
        <f t="shared" si="7"/>
        <v/>
      </c>
      <c r="B122" s="53"/>
      <c r="C122" s="28" t="str">
        <f t="shared" si="4"/>
        <v/>
      </c>
      <c r="D122" s="28" t="str">
        <f t="shared" si="5"/>
        <v/>
      </c>
      <c r="E122" s="77"/>
      <c r="F122" s="45"/>
      <c r="G122" s="56"/>
      <c r="H122" s="83"/>
      <c r="I122" s="35" t="str">
        <f t="shared" si="6"/>
        <v/>
      </c>
    </row>
    <row r="123" spans="1:9">
      <c r="A123" s="10" t="str">
        <f t="shared" si="7"/>
        <v/>
      </c>
      <c r="B123" s="53"/>
      <c r="C123" s="28" t="str">
        <f t="shared" si="4"/>
        <v/>
      </c>
      <c r="D123" s="28" t="str">
        <f t="shared" si="5"/>
        <v/>
      </c>
      <c r="E123" s="77"/>
      <c r="F123" s="45"/>
      <c r="G123" s="56"/>
      <c r="H123" s="83"/>
      <c r="I123" s="35" t="str">
        <f t="shared" si="6"/>
        <v/>
      </c>
    </row>
    <row r="124" spans="1:9">
      <c r="A124" s="10" t="str">
        <f t="shared" si="7"/>
        <v/>
      </c>
      <c r="B124" s="53"/>
      <c r="C124" s="28" t="str">
        <f t="shared" si="4"/>
        <v/>
      </c>
      <c r="D124" s="28" t="str">
        <f t="shared" si="5"/>
        <v/>
      </c>
      <c r="E124" s="77"/>
      <c r="F124" s="45"/>
      <c r="G124" s="56"/>
      <c r="H124" s="83"/>
      <c r="I124" s="35" t="str">
        <f t="shared" si="6"/>
        <v/>
      </c>
    </row>
    <row r="125" spans="1:9">
      <c r="A125" s="10" t="str">
        <f t="shared" si="7"/>
        <v/>
      </c>
      <c r="B125" s="53"/>
      <c r="C125" s="28" t="str">
        <f t="shared" si="4"/>
        <v/>
      </c>
      <c r="D125" s="28" t="str">
        <f t="shared" si="5"/>
        <v/>
      </c>
      <c r="E125" s="77"/>
      <c r="F125" s="45"/>
      <c r="G125" s="56"/>
      <c r="H125" s="83"/>
      <c r="I125" s="35" t="str">
        <f t="shared" si="6"/>
        <v/>
      </c>
    </row>
    <row r="126" spans="1:9">
      <c r="A126" s="10" t="str">
        <f t="shared" si="7"/>
        <v/>
      </c>
      <c r="B126" s="53"/>
      <c r="C126" s="28" t="str">
        <f t="shared" si="4"/>
        <v/>
      </c>
      <c r="D126" s="28" t="str">
        <f t="shared" si="5"/>
        <v/>
      </c>
      <c r="E126" s="77"/>
      <c r="F126" s="45"/>
      <c r="G126" s="56"/>
      <c r="H126" s="83"/>
      <c r="I126" s="35" t="str">
        <f t="shared" si="6"/>
        <v/>
      </c>
    </row>
    <row r="127" spans="1:9">
      <c r="A127" s="10" t="str">
        <f t="shared" si="7"/>
        <v/>
      </c>
      <c r="B127" s="53"/>
      <c r="C127" s="28" t="str">
        <f t="shared" si="4"/>
        <v/>
      </c>
      <c r="D127" s="28" t="str">
        <f t="shared" si="5"/>
        <v/>
      </c>
      <c r="E127" s="77"/>
      <c r="F127" s="45"/>
      <c r="G127" s="56"/>
      <c r="H127" s="83"/>
      <c r="I127" s="35" t="str">
        <f t="shared" si="6"/>
        <v/>
      </c>
    </row>
    <row r="128" spans="1:9">
      <c r="A128" s="10" t="str">
        <f t="shared" si="7"/>
        <v/>
      </c>
      <c r="B128" s="53"/>
      <c r="C128" s="28" t="str">
        <f t="shared" si="4"/>
        <v/>
      </c>
      <c r="D128" s="28" t="str">
        <f t="shared" si="5"/>
        <v/>
      </c>
      <c r="E128" s="77"/>
      <c r="F128" s="45"/>
      <c r="G128" s="56"/>
      <c r="H128" s="83"/>
      <c r="I128" s="35" t="str">
        <f t="shared" si="6"/>
        <v/>
      </c>
    </row>
    <row r="129" spans="1:9">
      <c r="A129" s="10" t="str">
        <f t="shared" si="7"/>
        <v/>
      </c>
      <c r="B129" s="53"/>
      <c r="C129" s="28" t="str">
        <f t="shared" si="4"/>
        <v/>
      </c>
      <c r="D129" s="28" t="str">
        <f t="shared" si="5"/>
        <v/>
      </c>
      <c r="E129" s="77"/>
      <c r="F129" s="45"/>
      <c r="G129" s="56"/>
      <c r="H129" s="83"/>
      <c r="I129" s="35" t="str">
        <f t="shared" si="6"/>
        <v/>
      </c>
    </row>
    <row r="130" spans="1:9">
      <c r="A130" s="10" t="str">
        <f t="shared" si="7"/>
        <v/>
      </c>
      <c r="B130" s="53"/>
      <c r="C130" s="28" t="str">
        <f t="shared" ref="C130:C193" si="8">IF(B130=0,"",TEXT(B130,"mmmm"))</f>
        <v/>
      </c>
      <c r="D130" s="28" t="str">
        <f t="shared" ref="D130:D193" si="9">IF(B130=0,"",TEXT(B130,"yyyy"))</f>
        <v/>
      </c>
      <c r="E130" s="77"/>
      <c r="F130" s="45"/>
      <c r="G130" s="56"/>
      <c r="H130" s="83"/>
      <c r="I130" s="35" t="str">
        <f t="shared" ref="I130:I193" si="10">IF(G130*H130=0,"",G130*H130)</f>
        <v/>
      </c>
    </row>
    <row r="131" spans="1:9">
      <c r="A131" s="10" t="str">
        <f t="shared" si="7"/>
        <v/>
      </c>
      <c r="B131" s="53"/>
      <c r="C131" s="28" t="str">
        <f t="shared" si="8"/>
        <v/>
      </c>
      <c r="D131" s="28" t="str">
        <f t="shared" si="9"/>
        <v/>
      </c>
      <c r="E131" s="77"/>
      <c r="F131" s="45"/>
      <c r="G131" s="56"/>
      <c r="H131" s="83"/>
      <c r="I131" s="35" t="str">
        <f t="shared" si="10"/>
        <v/>
      </c>
    </row>
    <row r="132" spans="1:9">
      <c r="A132" s="10" t="str">
        <f t="shared" ref="A132:A195" si="11">IF(E132&gt;0,A131+1,"")</f>
        <v/>
      </c>
      <c r="B132" s="53"/>
      <c r="C132" s="28" t="str">
        <f t="shared" si="8"/>
        <v/>
      </c>
      <c r="D132" s="28" t="str">
        <f t="shared" si="9"/>
        <v/>
      </c>
      <c r="E132" s="77"/>
      <c r="F132" s="45"/>
      <c r="G132" s="56"/>
      <c r="H132" s="83"/>
      <c r="I132" s="35" t="str">
        <f t="shared" si="10"/>
        <v/>
      </c>
    </row>
    <row r="133" spans="1:9">
      <c r="A133" s="10" t="str">
        <f t="shared" si="11"/>
        <v/>
      </c>
      <c r="B133" s="53"/>
      <c r="C133" s="28" t="str">
        <f t="shared" si="8"/>
        <v/>
      </c>
      <c r="D133" s="28" t="str">
        <f t="shared" si="9"/>
        <v/>
      </c>
      <c r="E133" s="77"/>
      <c r="F133" s="45"/>
      <c r="G133" s="56"/>
      <c r="H133" s="83"/>
      <c r="I133" s="35" t="str">
        <f t="shared" si="10"/>
        <v/>
      </c>
    </row>
    <row r="134" spans="1:9">
      <c r="A134" s="10" t="str">
        <f t="shared" si="11"/>
        <v/>
      </c>
      <c r="B134" s="53"/>
      <c r="C134" s="28" t="str">
        <f t="shared" si="8"/>
        <v/>
      </c>
      <c r="D134" s="28" t="str">
        <f t="shared" si="9"/>
        <v/>
      </c>
      <c r="E134" s="77"/>
      <c r="F134" s="45"/>
      <c r="G134" s="56"/>
      <c r="H134" s="83"/>
      <c r="I134" s="35" t="str">
        <f t="shared" si="10"/>
        <v/>
      </c>
    </row>
    <row r="135" spans="1:9">
      <c r="A135" s="10" t="str">
        <f t="shared" si="11"/>
        <v/>
      </c>
      <c r="B135" s="53"/>
      <c r="C135" s="28" t="str">
        <f t="shared" si="8"/>
        <v/>
      </c>
      <c r="D135" s="28" t="str">
        <f t="shared" si="9"/>
        <v/>
      </c>
      <c r="E135" s="77"/>
      <c r="F135" s="45"/>
      <c r="G135" s="56"/>
      <c r="H135" s="83"/>
      <c r="I135" s="35" t="str">
        <f t="shared" si="10"/>
        <v/>
      </c>
    </row>
    <row r="136" spans="1:9">
      <c r="A136" s="10" t="str">
        <f t="shared" si="11"/>
        <v/>
      </c>
      <c r="B136" s="53"/>
      <c r="C136" s="28" t="str">
        <f t="shared" si="8"/>
        <v/>
      </c>
      <c r="D136" s="28" t="str">
        <f t="shared" si="9"/>
        <v/>
      </c>
      <c r="E136" s="77"/>
      <c r="F136" s="45"/>
      <c r="G136" s="56"/>
      <c r="H136" s="83"/>
      <c r="I136" s="35" t="str">
        <f t="shared" si="10"/>
        <v/>
      </c>
    </row>
    <row r="137" spans="1:9">
      <c r="A137" s="10" t="str">
        <f t="shared" si="11"/>
        <v/>
      </c>
      <c r="B137" s="53"/>
      <c r="C137" s="28" t="str">
        <f t="shared" si="8"/>
        <v/>
      </c>
      <c r="D137" s="28" t="str">
        <f t="shared" si="9"/>
        <v/>
      </c>
      <c r="E137" s="77"/>
      <c r="F137" s="45"/>
      <c r="G137" s="56"/>
      <c r="H137" s="83"/>
      <c r="I137" s="35" t="str">
        <f t="shared" si="10"/>
        <v/>
      </c>
    </row>
    <row r="138" spans="1:9">
      <c r="A138" s="10" t="str">
        <f t="shared" si="11"/>
        <v/>
      </c>
      <c r="B138" s="53"/>
      <c r="C138" s="28" t="str">
        <f t="shared" si="8"/>
        <v/>
      </c>
      <c r="D138" s="28" t="str">
        <f t="shared" si="9"/>
        <v/>
      </c>
      <c r="E138" s="77"/>
      <c r="F138" s="45"/>
      <c r="G138" s="56"/>
      <c r="H138" s="83"/>
      <c r="I138" s="35" t="str">
        <f t="shared" si="10"/>
        <v/>
      </c>
    </row>
    <row r="139" spans="1:9">
      <c r="A139" s="10" t="str">
        <f t="shared" si="11"/>
        <v/>
      </c>
      <c r="B139" s="53"/>
      <c r="C139" s="28" t="str">
        <f t="shared" si="8"/>
        <v/>
      </c>
      <c r="D139" s="28" t="str">
        <f t="shared" si="9"/>
        <v/>
      </c>
      <c r="E139" s="77"/>
      <c r="F139" s="45"/>
      <c r="G139" s="56"/>
      <c r="H139" s="83"/>
      <c r="I139" s="35" t="str">
        <f t="shared" si="10"/>
        <v/>
      </c>
    </row>
    <row r="140" spans="1:9">
      <c r="A140" s="10" t="str">
        <f t="shared" si="11"/>
        <v/>
      </c>
      <c r="B140" s="53"/>
      <c r="C140" s="28" t="str">
        <f t="shared" si="8"/>
        <v/>
      </c>
      <c r="D140" s="28" t="str">
        <f t="shared" si="9"/>
        <v/>
      </c>
      <c r="E140" s="77"/>
      <c r="F140" s="45"/>
      <c r="G140" s="56"/>
      <c r="H140" s="83"/>
      <c r="I140" s="35" t="str">
        <f t="shared" si="10"/>
        <v/>
      </c>
    </row>
    <row r="141" spans="1:9">
      <c r="A141" s="10" t="str">
        <f t="shared" si="11"/>
        <v/>
      </c>
      <c r="B141" s="53"/>
      <c r="C141" s="28" t="str">
        <f t="shared" si="8"/>
        <v/>
      </c>
      <c r="D141" s="28" t="str">
        <f t="shared" si="9"/>
        <v/>
      </c>
      <c r="E141" s="77"/>
      <c r="F141" s="45"/>
      <c r="G141" s="56"/>
      <c r="H141" s="83"/>
      <c r="I141" s="35" t="str">
        <f t="shared" si="10"/>
        <v/>
      </c>
    </row>
    <row r="142" spans="1:9">
      <c r="A142" s="10" t="str">
        <f t="shared" si="11"/>
        <v/>
      </c>
      <c r="B142" s="53"/>
      <c r="C142" s="28" t="str">
        <f t="shared" si="8"/>
        <v/>
      </c>
      <c r="D142" s="28" t="str">
        <f t="shared" si="9"/>
        <v/>
      </c>
      <c r="E142" s="77"/>
      <c r="F142" s="45"/>
      <c r="G142" s="56"/>
      <c r="H142" s="83"/>
      <c r="I142" s="35" t="str">
        <f t="shared" si="10"/>
        <v/>
      </c>
    </row>
    <row r="143" spans="1:9">
      <c r="A143" s="10" t="str">
        <f t="shared" si="11"/>
        <v/>
      </c>
      <c r="B143" s="53"/>
      <c r="C143" s="28" t="str">
        <f t="shared" si="8"/>
        <v/>
      </c>
      <c r="D143" s="28" t="str">
        <f t="shared" si="9"/>
        <v/>
      </c>
      <c r="E143" s="77"/>
      <c r="F143" s="45"/>
      <c r="G143" s="56"/>
      <c r="H143" s="83"/>
      <c r="I143" s="35" t="str">
        <f t="shared" si="10"/>
        <v/>
      </c>
    </row>
    <row r="144" spans="1:9">
      <c r="A144" s="10" t="str">
        <f t="shared" si="11"/>
        <v/>
      </c>
      <c r="B144" s="53"/>
      <c r="C144" s="28" t="str">
        <f t="shared" si="8"/>
        <v/>
      </c>
      <c r="D144" s="28" t="str">
        <f t="shared" si="9"/>
        <v/>
      </c>
      <c r="E144" s="77"/>
      <c r="F144" s="45"/>
      <c r="G144" s="56"/>
      <c r="H144" s="83"/>
      <c r="I144" s="35" t="str">
        <f t="shared" si="10"/>
        <v/>
      </c>
    </row>
    <row r="145" spans="1:9">
      <c r="A145" s="10" t="str">
        <f t="shared" si="11"/>
        <v/>
      </c>
      <c r="B145" s="53"/>
      <c r="C145" s="28" t="str">
        <f t="shared" si="8"/>
        <v/>
      </c>
      <c r="D145" s="28" t="str">
        <f t="shared" si="9"/>
        <v/>
      </c>
      <c r="E145" s="77"/>
      <c r="F145" s="45"/>
      <c r="G145" s="56"/>
      <c r="H145" s="83"/>
      <c r="I145" s="35" t="str">
        <f t="shared" si="10"/>
        <v/>
      </c>
    </row>
    <row r="146" spans="1:9">
      <c r="A146" s="10" t="str">
        <f t="shared" si="11"/>
        <v/>
      </c>
      <c r="B146" s="53"/>
      <c r="C146" s="28" t="str">
        <f t="shared" si="8"/>
        <v/>
      </c>
      <c r="D146" s="28" t="str">
        <f t="shared" si="9"/>
        <v/>
      </c>
      <c r="E146" s="77"/>
      <c r="F146" s="45"/>
      <c r="G146" s="56"/>
      <c r="H146" s="83"/>
      <c r="I146" s="35" t="str">
        <f t="shared" si="10"/>
        <v/>
      </c>
    </row>
    <row r="147" spans="1:9">
      <c r="A147" s="10" t="str">
        <f t="shared" si="11"/>
        <v/>
      </c>
      <c r="B147" s="53"/>
      <c r="C147" s="28" t="str">
        <f t="shared" si="8"/>
        <v/>
      </c>
      <c r="D147" s="28" t="str">
        <f t="shared" si="9"/>
        <v/>
      </c>
      <c r="E147" s="77"/>
      <c r="F147" s="45"/>
      <c r="G147" s="56"/>
      <c r="H147" s="83"/>
      <c r="I147" s="35" t="str">
        <f t="shared" si="10"/>
        <v/>
      </c>
    </row>
    <row r="148" spans="1:9">
      <c r="A148" s="10" t="str">
        <f t="shared" si="11"/>
        <v/>
      </c>
      <c r="B148" s="53"/>
      <c r="C148" s="28" t="str">
        <f t="shared" si="8"/>
        <v/>
      </c>
      <c r="D148" s="28" t="str">
        <f t="shared" si="9"/>
        <v/>
      </c>
      <c r="E148" s="77"/>
      <c r="F148" s="45"/>
      <c r="G148" s="56"/>
      <c r="H148" s="83"/>
      <c r="I148" s="35" t="str">
        <f t="shared" si="10"/>
        <v/>
      </c>
    </row>
    <row r="149" spans="1:9">
      <c r="A149" s="10" t="str">
        <f t="shared" si="11"/>
        <v/>
      </c>
      <c r="B149" s="53"/>
      <c r="C149" s="28" t="str">
        <f t="shared" si="8"/>
        <v/>
      </c>
      <c r="D149" s="28" t="str">
        <f t="shared" si="9"/>
        <v/>
      </c>
      <c r="E149" s="77"/>
      <c r="F149" s="45"/>
      <c r="G149" s="56"/>
      <c r="H149" s="83"/>
      <c r="I149" s="35" t="str">
        <f t="shared" si="10"/>
        <v/>
      </c>
    </row>
    <row r="150" spans="1:9">
      <c r="A150" s="10" t="str">
        <f t="shared" si="11"/>
        <v/>
      </c>
      <c r="B150" s="53"/>
      <c r="C150" s="28" t="str">
        <f t="shared" si="8"/>
        <v/>
      </c>
      <c r="D150" s="28" t="str">
        <f t="shared" si="9"/>
        <v/>
      </c>
      <c r="E150" s="77"/>
      <c r="F150" s="45"/>
      <c r="G150" s="56"/>
      <c r="H150" s="83"/>
      <c r="I150" s="35" t="str">
        <f t="shared" si="10"/>
        <v/>
      </c>
    </row>
    <row r="151" spans="1:9">
      <c r="A151" s="10" t="str">
        <f t="shared" si="11"/>
        <v/>
      </c>
      <c r="B151" s="53"/>
      <c r="C151" s="28" t="str">
        <f t="shared" si="8"/>
        <v/>
      </c>
      <c r="D151" s="28" t="str">
        <f t="shared" si="9"/>
        <v/>
      </c>
      <c r="E151" s="77"/>
      <c r="F151" s="45"/>
      <c r="G151" s="56"/>
      <c r="H151" s="83"/>
      <c r="I151" s="35" t="str">
        <f t="shared" si="10"/>
        <v/>
      </c>
    </row>
    <row r="152" spans="1:9">
      <c r="A152" s="10" t="str">
        <f t="shared" si="11"/>
        <v/>
      </c>
      <c r="B152" s="53"/>
      <c r="C152" s="28" t="str">
        <f t="shared" si="8"/>
        <v/>
      </c>
      <c r="D152" s="28" t="str">
        <f t="shared" si="9"/>
        <v/>
      </c>
      <c r="E152" s="77"/>
      <c r="F152" s="45"/>
      <c r="G152" s="56"/>
      <c r="H152" s="83"/>
      <c r="I152" s="35" t="str">
        <f t="shared" si="10"/>
        <v/>
      </c>
    </row>
    <row r="153" spans="1:9">
      <c r="A153" s="10" t="str">
        <f t="shared" si="11"/>
        <v/>
      </c>
      <c r="B153" s="53"/>
      <c r="C153" s="28" t="str">
        <f t="shared" si="8"/>
        <v/>
      </c>
      <c r="D153" s="28" t="str">
        <f t="shared" si="9"/>
        <v/>
      </c>
      <c r="E153" s="77"/>
      <c r="F153" s="45"/>
      <c r="G153" s="56"/>
      <c r="H153" s="83"/>
      <c r="I153" s="35" t="str">
        <f t="shared" si="10"/>
        <v/>
      </c>
    </row>
    <row r="154" spans="1:9">
      <c r="A154" s="10" t="str">
        <f t="shared" si="11"/>
        <v/>
      </c>
      <c r="B154" s="53"/>
      <c r="C154" s="28" t="str">
        <f t="shared" si="8"/>
        <v/>
      </c>
      <c r="D154" s="28" t="str">
        <f t="shared" si="9"/>
        <v/>
      </c>
      <c r="E154" s="77"/>
      <c r="F154" s="45"/>
      <c r="G154" s="56"/>
      <c r="H154" s="83"/>
      <c r="I154" s="35" t="str">
        <f t="shared" si="10"/>
        <v/>
      </c>
    </row>
    <row r="155" spans="1:9">
      <c r="A155" s="10" t="str">
        <f t="shared" si="11"/>
        <v/>
      </c>
      <c r="B155" s="53"/>
      <c r="C155" s="28" t="str">
        <f t="shared" si="8"/>
        <v/>
      </c>
      <c r="D155" s="28" t="str">
        <f t="shared" si="9"/>
        <v/>
      </c>
      <c r="E155" s="77"/>
      <c r="F155" s="45"/>
      <c r="G155" s="56"/>
      <c r="H155" s="83"/>
      <c r="I155" s="35" t="str">
        <f t="shared" si="10"/>
        <v/>
      </c>
    </row>
    <row r="156" spans="1:9">
      <c r="A156" s="10" t="str">
        <f t="shared" si="11"/>
        <v/>
      </c>
      <c r="B156" s="53"/>
      <c r="C156" s="28" t="str">
        <f t="shared" si="8"/>
        <v/>
      </c>
      <c r="D156" s="28" t="str">
        <f t="shared" si="9"/>
        <v/>
      </c>
      <c r="E156" s="77"/>
      <c r="F156" s="45"/>
      <c r="G156" s="56"/>
      <c r="H156" s="83"/>
      <c r="I156" s="35" t="str">
        <f t="shared" si="10"/>
        <v/>
      </c>
    </row>
    <row r="157" spans="1:9">
      <c r="A157" s="10" t="str">
        <f t="shared" si="11"/>
        <v/>
      </c>
      <c r="B157" s="53"/>
      <c r="C157" s="28" t="str">
        <f t="shared" si="8"/>
        <v/>
      </c>
      <c r="D157" s="28" t="str">
        <f t="shared" si="9"/>
        <v/>
      </c>
      <c r="E157" s="77"/>
      <c r="F157" s="45"/>
      <c r="G157" s="56"/>
      <c r="H157" s="83"/>
      <c r="I157" s="35" t="str">
        <f t="shared" si="10"/>
        <v/>
      </c>
    </row>
    <row r="158" spans="1:9">
      <c r="A158" s="10" t="str">
        <f t="shared" si="11"/>
        <v/>
      </c>
      <c r="B158" s="53"/>
      <c r="C158" s="28" t="str">
        <f t="shared" si="8"/>
        <v/>
      </c>
      <c r="D158" s="28" t="str">
        <f t="shared" si="9"/>
        <v/>
      </c>
      <c r="E158" s="77"/>
      <c r="F158" s="45"/>
      <c r="G158" s="56"/>
      <c r="H158" s="83"/>
      <c r="I158" s="35" t="str">
        <f t="shared" si="10"/>
        <v/>
      </c>
    </row>
    <row r="159" spans="1:9">
      <c r="A159" s="10" t="str">
        <f t="shared" si="11"/>
        <v/>
      </c>
      <c r="B159" s="53"/>
      <c r="C159" s="28" t="str">
        <f t="shared" si="8"/>
        <v/>
      </c>
      <c r="D159" s="28" t="str">
        <f t="shared" si="9"/>
        <v/>
      </c>
      <c r="E159" s="77"/>
      <c r="F159" s="45"/>
      <c r="G159" s="56"/>
      <c r="H159" s="83"/>
      <c r="I159" s="35" t="str">
        <f t="shared" si="10"/>
        <v/>
      </c>
    </row>
    <row r="160" spans="1:9">
      <c r="A160" s="10" t="str">
        <f t="shared" si="11"/>
        <v/>
      </c>
      <c r="B160" s="53"/>
      <c r="C160" s="28" t="str">
        <f t="shared" si="8"/>
        <v/>
      </c>
      <c r="D160" s="28" t="str">
        <f t="shared" si="9"/>
        <v/>
      </c>
      <c r="E160" s="77"/>
      <c r="F160" s="45"/>
      <c r="G160" s="56"/>
      <c r="H160" s="83"/>
      <c r="I160" s="35" t="str">
        <f t="shared" si="10"/>
        <v/>
      </c>
    </row>
    <row r="161" spans="1:9">
      <c r="A161" s="10" t="str">
        <f t="shared" si="11"/>
        <v/>
      </c>
      <c r="B161" s="53"/>
      <c r="C161" s="28" t="str">
        <f t="shared" si="8"/>
        <v/>
      </c>
      <c r="D161" s="28" t="str">
        <f t="shared" si="9"/>
        <v/>
      </c>
      <c r="E161" s="77"/>
      <c r="F161" s="45"/>
      <c r="G161" s="56"/>
      <c r="H161" s="83"/>
      <c r="I161" s="35" t="str">
        <f t="shared" si="10"/>
        <v/>
      </c>
    </row>
    <row r="162" spans="1:9">
      <c r="A162" s="10" t="str">
        <f t="shared" si="11"/>
        <v/>
      </c>
      <c r="B162" s="53"/>
      <c r="C162" s="28" t="str">
        <f t="shared" si="8"/>
        <v/>
      </c>
      <c r="D162" s="28" t="str">
        <f t="shared" si="9"/>
        <v/>
      </c>
      <c r="E162" s="77"/>
      <c r="F162" s="45"/>
      <c r="G162" s="56"/>
      <c r="H162" s="83"/>
      <c r="I162" s="35" t="str">
        <f t="shared" si="10"/>
        <v/>
      </c>
    </row>
    <row r="163" spans="1:9">
      <c r="A163" s="10" t="str">
        <f t="shared" si="11"/>
        <v/>
      </c>
      <c r="B163" s="53"/>
      <c r="C163" s="28" t="str">
        <f t="shared" si="8"/>
        <v/>
      </c>
      <c r="D163" s="28" t="str">
        <f t="shared" si="9"/>
        <v/>
      </c>
      <c r="E163" s="77"/>
      <c r="F163" s="45"/>
      <c r="G163" s="56"/>
      <c r="H163" s="83"/>
      <c r="I163" s="35" t="str">
        <f t="shared" si="10"/>
        <v/>
      </c>
    </row>
    <row r="164" spans="1:9">
      <c r="A164" s="10" t="str">
        <f t="shared" si="11"/>
        <v/>
      </c>
      <c r="B164" s="53"/>
      <c r="C164" s="28" t="str">
        <f t="shared" si="8"/>
        <v/>
      </c>
      <c r="D164" s="28" t="str">
        <f t="shared" si="9"/>
        <v/>
      </c>
      <c r="E164" s="77"/>
      <c r="F164" s="45"/>
      <c r="G164" s="56"/>
      <c r="H164" s="83"/>
      <c r="I164" s="35" t="str">
        <f t="shared" si="10"/>
        <v/>
      </c>
    </row>
    <row r="165" spans="1:9">
      <c r="A165" s="10" t="str">
        <f t="shared" si="11"/>
        <v/>
      </c>
      <c r="B165" s="53"/>
      <c r="C165" s="28" t="str">
        <f t="shared" si="8"/>
        <v/>
      </c>
      <c r="D165" s="28" t="str">
        <f t="shared" si="9"/>
        <v/>
      </c>
      <c r="E165" s="77"/>
      <c r="F165" s="45"/>
      <c r="G165" s="56"/>
      <c r="H165" s="83"/>
      <c r="I165" s="35" t="str">
        <f t="shared" si="10"/>
        <v/>
      </c>
    </row>
    <row r="166" spans="1:9">
      <c r="A166" s="10" t="str">
        <f t="shared" si="11"/>
        <v/>
      </c>
      <c r="B166" s="53"/>
      <c r="C166" s="28" t="str">
        <f t="shared" si="8"/>
        <v/>
      </c>
      <c r="D166" s="28" t="str">
        <f t="shared" si="9"/>
        <v/>
      </c>
      <c r="E166" s="77"/>
      <c r="F166" s="45"/>
      <c r="G166" s="56"/>
      <c r="H166" s="83"/>
      <c r="I166" s="35" t="str">
        <f t="shared" si="10"/>
        <v/>
      </c>
    </row>
    <row r="167" spans="1:9">
      <c r="A167" s="10" t="str">
        <f t="shared" si="11"/>
        <v/>
      </c>
      <c r="B167" s="53"/>
      <c r="C167" s="28" t="str">
        <f t="shared" si="8"/>
        <v/>
      </c>
      <c r="D167" s="28" t="str">
        <f t="shared" si="9"/>
        <v/>
      </c>
      <c r="E167" s="77"/>
      <c r="F167" s="45"/>
      <c r="G167" s="56"/>
      <c r="H167" s="83"/>
      <c r="I167" s="35" t="str">
        <f t="shared" si="10"/>
        <v/>
      </c>
    </row>
    <row r="168" spans="1:9">
      <c r="A168" s="10" t="str">
        <f t="shared" si="11"/>
        <v/>
      </c>
      <c r="B168" s="53"/>
      <c r="C168" s="28" t="str">
        <f t="shared" si="8"/>
        <v/>
      </c>
      <c r="D168" s="28" t="str">
        <f t="shared" si="9"/>
        <v/>
      </c>
      <c r="E168" s="77"/>
      <c r="F168" s="45"/>
      <c r="G168" s="56"/>
      <c r="H168" s="83"/>
      <c r="I168" s="35" t="str">
        <f t="shared" si="10"/>
        <v/>
      </c>
    </row>
    <row r="169" spans="1:9">
      <c r="A169" s="10" t="str">
        <f t="shared" si="11"/>
        <v/>
      </c>
      <c r="B169" s="53"/>
      <c r="C169" s="28" t="str">
        <f t="shared" si="8"/>
        <v/>
      </c>
      <c r="D169" s="28" t="str">
        <f t="shared" si="9"/>
        <v/>
      </c>
      <c r="E169" s="77"/>
      <c r="F169" s="45"/>
      <c r="G169" s="56"/>
      <c r="H169" s="83"/>
      <c r="I169" s="35" t="str">
        <f t="shared" si="10"/>
        <v/>
      </c>
    </row>
    <row r="170" spans="1:9">
      <c r="A170" s="10" t="str">
        <f t="shared" si="11"/>
        <v/>
      </c>
      <c r="B170" s="53"/>
      <c r="C170" s="28" t="str">
        <f t="shared" si="8"/>
        <v/>
      </c>
      <c r="D170" s="28" t="str">
        <f t="shared" si="9"/>
        <v/>
      </c>
      <c r="E170" s="77"/>
      <c r="F170" s="45"/>
      <c r="G170" s="56"/>
      <c r="H170" s="83"/>
      <c r="I170" s="35" t="str">
        <f t="shared" si="10"/>
        <v/>
      </c>
    </row>
    <row r="171" spans="1:9">
      <c r="A171" s="10" t="str">
        <f t="shared" si="11"/>
        <v/>
      </c>
      <c r="B171" s="53"/>
      <c r="C171" s="28" t="str">
        <f t="shared" si="8"/>
        <v/>
      </c>
      <c r="D171" s="28" t="str">
        <f t="shared" si="9"/>
        <v/>
      </c>
      <c r="E171" s="77"/>
      <c r="F171" s="45"/>
      <c r="G171" s="56"/>
      <c r="H171" s="83"/>
      <c r="I171" s="35" t="str">
        <f t="shared" si="10"/>
        <v/>
      </c>
    </row>
    <row r="172" spans="1:9">
      <c r="A172" s="10" t="str">
        <f t="shared" si="11"/>
        <v/>
      </c>
      <c r="B172" s="53"/>
      <c r="C172" s="28" t="str">
        <f t="shared" si="8"/>
        <v/>
      </c>
      <c r="D172" s="28" t="str">
        <f t="shared" si="9"/>
        <v/>
      </c>
      <c r="E172" s="77"/>
      <c r="F172" s="45"/>
      <c r="G172" s="56"/>
      <c r="H172" s="83"/>
      <c r="I172" s="35" t="str">
        <f t="shared" si="10"/>
        <v/>
      </c>
    </row>
    <row r="173" spans="1:9">
      <c r="A173" s="10" t="str">
        <f t="shared" si="11"/>
        <v/>
      </c>
      <c r="B173" s="53"/>
      <c r="C173" s="28" t="str">
        <f t="shared" si="8"/>
        <v/>
      </c>
      <c r="D173" s="28" t="str">
        <f t="shared" si="9"/>
        <v/>
      </c>
      <c r="E173" s="77"/>
      <c r="F173" s="45"/>
      <c r="G173" s="56"/>
      <c r="H173" s="83"/>
      <c r="I173" s="35" t="str">
        <f t="shared" si="10"/>
        <v/>
      </c>
    </row>
    <row r="174" spans="1:9">
      <c r="A174" s="10" t="str">
        <f t="shared" si="11"/>
        <v/>
      </c>
      <c r="B174" s="53"/>
      <c r="C174" s="28" t="str">
        <f t="shared" si="8"/>
        <v/>
      </c>
      <c r="D174" s="28" t="str">
        <f t="shared" si="9"/>
        <v/>
      </c>
      <c r="E174" s="77"/>
      <c r="F174" s="45"/>
      <c r="G174" s="56"/>
      <c r="H174" s="83"/>
      <c r="I174" s="35" t="str">
        <f t="shared" si="10"/>
        <v/>
      </c>
    </row>
    <row r="175" spans="1:9">
      <c r="A175" s="10" t="str">
        <f t="shared" si="11"/>
        <v/>
      </c>
      <c r="B175" s="53"/>
      <c r="C175" s="28" t="str">
        <f t="shared" si="8"/>
        <v/>
      </c>
      <c r="D175" s="28" t="str">
        <f t="shared" si="9"/>
        <v/>
      </c>
      <c r="E175" s="77"/>
      <c r="F175" s="45"/>
      <c r="G175" s="56"/>
      <c r="H175" s="83"/>
      <c r="I175" s="35" t="str">
        <f t="shared" si="10"/>
        <v/>
      </c>
    </row>
    <row r="176" spans="1:9">
      <c r="A176" s="10" t="str">
        <f t="shared" si="11"/>
        <v/>
      </c>
      <c r="B176" s="53"/>
      <c r="C176" s="28" t="str">
        <f t="shared" si="8"/>
        <v/>
      </c>
      <c r="D176" s="28" t="str">
        <f t="shared" si="9"/>
        <v/>
      </c>
      <c r="E176" s="77"/>
      <c r="F176" s="45"/>
      <c r="G176" s="56"/>
      <c r="H176" s="83"/>
      <c r="I176" s="35" t="str">
        <f t="shared" si="10"/>
        <v/>
      </c>
    </row>
    <row r="177" spans="1:9">
      <c r="A177" s="10" t="str">
        <f t="shared" si="11"/>
        <v/>
      </c>
      <c r="B177" s="53"/>
      <c r="C177" s="28" t="str">
        <f t="shared" si="8"/>
        <v/>
      </c>
      <c r="D177" s="28" t="str">
        <f t="shared" si="9"/>
        <v/>
      </c>
      <c r="E177" s="77"/>
      <c r="F177" s="45"/>
      <c r="G177" s="56"/>
      <c r="H177" s="83"/>
      <c r="I177" s="35" t="str">
        <f t="shared" si="10"/>
        <v/>
      </c>
    </row>
    <row r="178" spans="1:9">
      <c r="A178" s="10" t="str">
        <f t="shared" si="11"/>
        <v/>
      </c>
      <c r="B178" s="53"/>
      <c r="C178" s="28" t="str">
        <f t="shared" si="8"/>
        <v/>
      </c>
      <c r="D178" s="28" t="str">
        <f t="shared" si="9"/>
        <v/>
      </c>
      <c r="E178" s="77"/>
      <c r="F178" s="45"/>
      <c r="G178" s="56"/>
      <c r="H178" s="83"/>
      <c r="I178" s="35" t="str">
        <f t="shared" si="10"/>
        <v/>
      </c>
    </row>
    <row r="179" spans="1:9">
      <c r="A179" s="10" t="str">
        <f t="shared" si="11"/>
        <v/>
      </c>
      <c r="B179" s="53"/>
      <c r="C179" s="28" t="str">
        <f t="shared" si="8"/>
        <v/>
      </c>
      <c r="D179" s="28" t="str">
        <f t="shared" si="9"/>
        <v/>
      </c>
      <c r="E179" s="77"/>
      <c r="F179" s="45"/>
      <c r="G179" s="56"/>
      <c r="H179" s="83"/>
      <c r="I179" s="35" t="str">
        <f t="shared" si="10"/>
        <v/>
      </c>
    </row>
    <row r="180" spans="1:9">
      <c r="A180" s="10" t="str">
        <f t="shared" si="11"/>
        <v/>
      </c>
      <c r="B180" s="53"/>
      <c r="C180" s="28" t="str">
        <f t="shared" si="8"/>
        <v/>
      </c>
      <c r="D180" s="28" t="str">
        <f t="shared" si="9"/>
        <v/>
      </c>
      <c r="E180" s="77"/>
      <c r="F180" s="45"/>
      <c r="G180" s="56"/>
      <c r="H180" s="83"/>
      <c r="I180" s="35" t="str">
        <f t="shared" si="10"/>
        <v/>
      </c>
    </row>
    <row r="181" spans="1:9">
      <c r="A181" s="10" t="str">
        <f t="shared" si="11"/>
        <v/>
      </c>
      <c r="B181" s="53"/>
      <c r="C181" s="28" t="str">
        <f t="shared" si="8"/>
        <v/>
      </c>
      <c r="D181" s="28" t="str">
        <f t="shared" si="9"/>
        <v/>
      </c>
      <c r="E181" s="77"/>
      <c r="F181" s="45"/>
      <c r="G181" s="56"/>
      <c r="H181" s="83"/>
      <c r="I181" s="35" t="str">
        <f t="shared" si="10"/>
        <v/>
      </c>
    </row>
    <row r="182" spans="1:9">
      <c r="A182" s="10" t="str">
        <f t="shared" si="11"/>
        <v/>
      </c>
      <c r="B182" s="53"/>
      <c r="C182" s="28" t="str">
        <f t="shared" si="8"/>
        <v/>
      </c>
      <c r="D182" s="28" t="str">
        <f t="shared" si="9"/>
        <v/>
      </c>
      <c r="E182" s="77"/>
      <c r="F182" s="45"/>
      <c r="G182" s="56"/>
      <c r="H182" s="83"/>
      <c r="I182" s="35" t="str">
        <f t="shared" si="10"/>
        <v/>
      </c>
    </row>
    <row r="183" spans="1:9">
      <c r="A183" s="10" t="str">
        <f t="shared" si="11"/>
        <v/>
      </c>
      <c r="B183" s="53"/>
      <c r="C183" s="28" t="str">
        <f t="shared" si="8"/>
        <v/>
      </c>
      <c r="D183" s="28" t="str">
        <f t="shared" si="9"/>
        <v/>
      </c>
      <c r="E183" s="77"/>
      <c r="F183" s="45"/>
      <c r="G183" s="56"/>
      <c r="H183" s="83"/>
      <c r="I183" s="35" t="str">
        <f t="shared" si="10"/>
        <v/>
      </c>
    </row>
    <row r="184" spans="1:9">
      <c r="A184" s="10" t="str">
        <f t="shared" si="11"/>
        <v/>
      </c>
      <c r="B184" s="53"/>
      <c r="C184" s="28" t="str">
        <f t="shared" si="8"/>
        <v/>
      </c>
      <c r="D184" s="28" t="str">
        <f t="shared" si="9"/>
        <v/>
      </c>
      <c r="E184" s="77"/>
      <c r="F184" s="45"/>
      <c r="G184" s="56"/>
      <c r="H184" s="83"/>
      <c r="I184" s="35" t="str">
        <f t="shared" si="10"/>
        <v/>
      </c>
    </row>
    <row r="185" spans="1:9">
      <c r="A185" s="10" t="str">
        <f t="shared" si="11"/>
        <v/>
      </c>
      <c r="B185" s="53"/>
      <c r="C185" s="28" t="str">
        <f t="shared" si="8"/>
        <v/>
      </c>
      <c r="D185" s="28" t="str">
        <f t="shared" si="9"/>
        <v/>
      </c>
      <c r="E185" s="77"/>
      <c r="F185" s="45"/>
      <c r="G185" s="56"/>
      <c r="H185" s="83"/>
      <c r="I185" s="35" t="str">
        <f t="shared" si="10"/>
        <v/>
      </c>
    </row>
    <row r="186" spans="1:9">
      <c r="A186" s="10" t="str">
        <f t="shared" si="11"/>
        <v/>
      </c>
      <c r="B186" s="53"/>
      <c r="C186" s="28" t="str">
        <f t="shared" si="8"/>
        <v/>
      </c>
      <c r="D186" s="28" t="str">
        <f t="shared" si="9"/>
        <v/>
      </c>
      <c r="E186" s="77"/>
      <c r="F186" s="45"/>
      <c r="G186" s="56"/>
      <c r="H186" s="83"/>
      <c r="I186" s="35" t="str">
        <f t="shared" si="10"/>
        <v/>
      </c>
    </row>
    <row r="187" spans="1:9">
      <c r="A187" s="10" t="str">
        <f t="shared" si="11"/>
        <v/>
      </c>
      <c r="B187" s="53"/>
      <c r="C187" s="28" t="str">
        <f t="shared" si="8"/>
        <v/>
      </c>
      <c r="D187" s="28" t="str">
        <f t="shared" si="9"/>
        <v/>
      </c>
      <c r="E187" s="77"/>
      <c r="F187" s="45"/>
      <c r="G187" s="56"/>
      <c r="H187" s="83"/>
      <c r="I187" s="35" t="str">
        <f t="shared" si="10"/>
        <v/>
      </c>
    </row>
    <row r="188" spans="1:9">
      <c r="A188" s="10" t="str">
        <f t="shared" si="11"/>
        <v/>
      </c>
      <c r="B188" s="53"/>
      <c r="C188" s="28" t="str">
        <f t="shared" si="8"/>
        <v/>
      </c>
      <c r="D188" s="28" t="str">
        <f t="shared" si="9"/>
        <v/>
      </c>
      <c r="E188" s="77"/>
      <c r="F188" s="45"/>
      <c r="G188" s="56"/>
      <c r="H188" s="83"/>
      <c r="I188" s="35" t="str">
        <f t="shared" si="10"/>
        <v/>
      </c>
    </row>
    <row r="189" spans="1:9">
      <c r="A189" s="10" t="str">
        <f t="shared" si="11"/>
        <v/>
      </c>
      <c r="B189" s="53"/>
      <c r="C189" s="28" t="str">
        <f t="shared" si="8"/>
        <v/>
      </c>
      <c r="D189" s="28" t="str">
        <f t="shared" si="9"/>
        <v/>
      </c>
      <c r="E189" s="77"/>
      <c r="F189" s="45"/>
      <c r="G189" s="56"/>
      <c r="H189" s="83"/>
      <c r="I189" s="35" t="str">
        <f t="shared" si="10"/>
        <v/>
      </c>
    </row>
    <row r="190" spans="1:9">
      <c r="A190" s="10" t="str">
        <f t="shared" si="11"/>
        <v/>
      </c>
      <c r="B190" s="53"/>
      <c r="C190" s="28" t="str">
        <f t="shared" si="8"/>
        <v/>
      </c>
      <c r="D190" s="28" t="str">
        <f t="shared" si="9"/>
        <v/>
      </c>
      <c r="E190" s="77"/>
      <c r="F190" s="45"/>
      <c r="G190" s="56"/>
      <c r="H190" s="83"/>
      <c r="I190" s="35" t="str">
        <f t="shared" si="10"/>
        <v/>
      </c>
    </row>
    <row r="191" spans="1:9">
      <c r="A191" s="10" t="str">
        <f t="shared" si="11"/>
        <v/>
      </c>
      <c r="B191" s="53"/>
      <c r="C191" s="28" t="str">
        <f t="shared" si="8"/>
        <v/>
      </c>
      <c r="D191" s="28" t="str">
        <f t="shared" si="9"/>
        <v/>
      </c>
      <c r="E191" s="77"/>
      <c r="F191" s="45"/>
      <c r="G191" s="56"/>
      <c r="H191" s="83"/>
      <c r="I191" s="35" t="str">
        <f t="shared" si="10"/>
        <v/>
      </c>
    </row>
    <row r="192" spans="1:9">
      <c r="A192" s="10" t="str">
        <f t="shared" si="11"/>
        <v/>
      </c>
      <c r="B192" s="53"/>
      <c r="C192" s="28" t="str">
        <f t="shared" si="8"/>
        <v/>
      </c>
      <c r="D192" s="28" t="str">
        <f t="shared" si="9"/>
        <v/>
      </c>
      <c r="E192" s="77"/>
      <c r="F192" s="45"/>
      <c r="G192" s="56"/>
      <c r="H192" s="83"/>
      <c r="I192" s="35" t="str">
        <f t="shared" si="10"/>
        <v/>
      </c>
    </row>
    <row r="193" spans="1:9">
      <c r="A193" s="10" t="str">
        <f t="shared" si="11"/>
        <v/>
      </c>
      <c r="B193" s="53"/>
      <c r="C193" s="28" t="str">
        <f t="shared" si="8"/>
        <v/>
      </c>
      <c r="D193" s="28" t="str">
        <f t="shared" si="9"/>
        <v/>
      </c>
      <c r="E193" s="77"/>
      <c r="F193" s="45"/>
      <c r="G193" s="56"/>
      <c r="H193" s="83"/>
      <c r="I193" s="35" t="str">
        <f t="shared" si="10"/>
        <v/>
      </c>
    </row>
    <row r="194" spans="1:9">
      <c r="A194" s="10" t="str">
        <f t="shared" si="11"/>
        <v/>
      </c>
      <c r="B194" s="53"/>
      <c r="C194" s="28" t="str">
        <f t="shared" ref="C194:C257" si="12">IF(B194=0,"",TEXT(B194,"mmmm"))</f>
        <v/>
      </c>
      <c r="D194" s="28" t="str">
        <f t="shared" ref="D194:D257" si="13">IF(B194=0,"",TEXT(B194,"yyyy"))</f>
        <v/>
      </c>
      <c r="E194" s="77"/>
      <c r="F194" s="45"/>
      <c r="G194" s="56"/>
      <c r="H194" s="83"/>
      <c r="I194" s="35" t="str">
        <f t="shared" ref="I194:I257" si="14">IF(G194*H194=0,"",G194*H194)</f>
        <v/>
      </c>
    </row>
    <row r="195" spans="1:9">
      <c r="A195" s="10" t="str">
        <f t="shared" si="11"/>
        <v/>
      </c>
      <c r="B195" s="53"/>
      <c r="C195" s="28" t="str">
        <f t="shared" si="12"/>
        <v/>
      </c>
      <c r="D195" s="28" t="str">
        <f t="shared" si="13"/>
        <v/>
      </c>
      <c r="E195" s="77"/>
      <c r="F195" s="45"/>
      <c r="G195" s="56"/>
      <c r="H195" s="83"/>
      <c r="I195" s="35" t="str">
        <f t="shared" si="14"/>
        <v/>
      </c>
    </row>
    <row r="196" spans="1:9">
      <c r="A196" s="10" t="str">
        <f t="shared" ref="A196:A259" si="15">IF(E196&gt;0,A195+1,"")</f>
        <v/>
      </c>
      <c r="B196" s="53"/>
      <c r="C196" s="28" t="str">
        <f t="shared" si="12"/>
        <v/>
      </c>
      <c r="D196" s="28" t="str">
        <f t="shared" si="13"/>
        <v/>
      </c>
      <c r="E196" s="77"/>
      <c r="F196" s="45"/>
      <c r="G196" s="56"/>
      <c r="H196" s="83"/>
      <c r="I196" s="35" t="str">
        <f t="shared" si="14"/>
        <v/>
      </c>
    </row>
    <row r="197" spans="1:9">
      <c r="A197" s="10" t="str">
        <f t="shared" si="15"/>
        <v/>
      </c>
      <c r="B197" s="53"/>
      <c r="C197" s="28" t="str">
        <f t="shared" si="12"/>
        <v/>
      </c>
      <c r="D197" s="28" t="str">
        <f t="shared" si="13"/>
        <v/>
      </c>
      <c r="E197" s="77"/>
      <c r="F197" s="45"/>
      <c r="G197" s="56"/>
      <c r="H197" s="83"/>
      <c r="I197" s="35" t="str">
        <f t="shared" si="14"/>
        <v/>
      </c>
    </row>
    <row r="198" spans="1:9">
      <c r="A198" s="10" t="str">
        <f t="shared" si="15"/>
        <v/>
      </c>
      <c r="B198" s="53"/>
      <c r="C198" s="28" t="str">
        <f t="shared" si="12"/>
        <v/>
      </c>
      <c r="D198" s="28" t="str">
        <f t="shared" si="13"/>
        <v/>
      </c>
      <c r="E198" s="77"/>
      <c r="F198" s="45"/>
      <c r="G198" s="56"/>
      <c r="H198" s="83"/>
      <c r="I198" s="35" t="str">
        <f t="shared" si="14"/>
        <v/>
      </c>
    </row>
    <row r="199" spans="1:9">
      <c r="A199" s="10" t="str">
        <f t="shared" si="15"/>
        <v/>
      </c>
      <c r="B199" s="53"/>
      <c r="C199" s="28" t="str">
        <f t="shared" si="12"/>
        <v/>
      </c>
      <c r="D199" s="28" t="str">
        <f t="shared" si="13"/>
        <v/>
      </c>
      <c r="E199" s="77"/>
      <c r="F199" s="45"/>
      <c r="G199" s="56"/>
      <c r="H199" s="83"/>
      <c r="I199" s="35" t="str">
        <f t="shared" si="14"/>
        <v/>
      </c>
    </row>
    <row r="200" spans="1:9">
      <c r="A200" s="10" t="str">
        <f t="shared" si="15"/>
        <v/>
      </c>
      <c r="B200" s="53"/>
      <c r="C200" s="28" t="str">
        <f t="shared" si="12"/>
        <v/>
      </c>
      <c r="D200" s="28" t="str">
        <f t="shared" si="13"/>
        <v/>
      </c>
      <c r="E200" s="77"/>
      <c r="F200" s="45"/>
      <c r="G200" s="56"/>
      <c r="H200" s="83"/>
      <c r="I200" s="35" t="str">
        <f t="shared" si="14"/>
        <v/>
      </c>
    </row>
    <row r="201" spans="1:9">
      <c r="A201" s="10" t="str">
        <f t="shared" si="15"/>
        <v/>
      </c>
      <c r="B201" s="53"/>
      <c r="C201" s="28" t="str">
        <f t="shared" si="12"/>
        <v/>
      </c>
      <c r="D201" s="28" t="str">
        <f t="shared" si="13"/>
        <v/>
      </c>
      <c r="E201" s="77"/>
      <c r="F201" s="45"/>
      <c r="G201" s="56"/>
      <c r="H201" s="83"/>
      <c r="I201" s="35" t="str">
        <f t="shared" si="14"/>
        <v/>
      </c>
    </row>
    <row r="202" spans="1:9">
      <c r="A202" s="10" t="str">
        <f t="shared" si="15"/>
        <v/>
      </c>
      <c r="B202" s="53"/>
      <c r="C202" s="28" t="str">
        <f t="shared" si="12"/>
        <v/>
      </c>
      <c r="D202" s="28" t="str">
        <f t="shared" si="13"/>
        <v/>
      </c>
      <c r="E202" s="77"/>
      <c r="F202" s="45"/>
      <c r="G202" s="56"/>
      <c r="H202" s="83"/>
      <c r="I202" s="35" t="str">
        <f t="shared" si="14"/>
        <v/>
      </c>
    </row>
    <row r="203" spans="1:9">
      <c r="A203" s="10" t="str">
        <f t="shared" si="15"/>
        <v/>
      </c>
      <c r="B203" s="53"/>
      <c r="C203" s="28" t="str">
        <f t="shared" si="12"/>
        <v/>
      </c>
      <c r="D203" s="28" t="str">
        <f t="shared" si="13"/>
        <v/>
      </c>
      <c r="E203" s="77"/>
      <c r="F203" s="45"/>
      <c r="G203" s="56"/>
      <c r="H203" s="83"/>
      <c r="I203" s="35" t="str">
        <f t="shared" si="14"/>
        <v/>
      </c>
    </row>
    <row r="204" spans="1:9">
      <c r="A204" s="10" t="str">
        <f t="shared" si="15"/>
        <v/>
      </c>
      <c r="B204" s="53"/>
      <c r="C204" s="28" t="str">
        <f t="shared" si="12"/>
        <v/>
      </c>
      <c r="D204" s="28" t="str">
        <f t="shared" si="13"/>
        <v/>
      </c>
      <c r="E204" s="77"/>
      <c r="F204" s="45"/>
      <c r="G204" s="56"/>
      <c r="H204" s="83"/>
      <c r="I204" s="35" t="str">
        <f t="shared" si="14"/>
        <v/>
      </c>
    </row>
    <row r="205" spans="1:9">
      <c r="A205" s="10" t="str">
        <f t="shared" si="15"/>
        <v/>
      </c>
      <c r="B205" s="53"/>
      <c r="C205" s="28" t="str">
        <f t="shared" si="12"/>
        <v/>
      </c>
      <c r="D205" s="28" t="str">
        <f t="shared" si="13"/>
        <v/>
      </c>
      <c r="E205" s="77"/>
      <c r="F205" s="45"/>
      <c r="G205" s="56"/>
      <c r="H205" s="83"/>
      <c r="I205" s="35" t="str">
        <f t="shared" si="14"/>
        <v/>
      </c>
    </row>
    <row r="206" spans="1:9">
      <c r="A206" s="10" t="str">
        <f t="shared" si="15"/>
        <v/>
      </c>
      <c r="B206" s="53"/>
      <c r="C206" s="28" t="str">
        <f t="shared" si="12"/>
        <v/>
      </c>
      <c r="D206" s="28" t="str">
        <f t="shared" si="13"/>
        <v/>
      </c>
      <c r="E206" s="77"/>
      <c r="F206" s="45"/>
      <c r="G206" s="56"/>
      <c r="H206" s="83"/>
      <c r="I206" s="35" t="str">
        <f t="shared" si="14"/>
        <v/>
      </c>
    </row>
    <row r="207" spans="1:9">
      <c r="A207" s="10" t="str">
        <f t="shared" si="15"/>
        <v/>
      </c>
      <c r="B207" s="53"/>
      <c r="C207" s="28" t="str">
        <f t="shared" si="12"/>
        <v/>
      </c>
      <c r="D207" s="28" t="str">
        <f t="shared" si="13"/>
        <v/>
      </c>
      <c r="E207" s="77"/>
      <c r="F207" s="45"/>
      <c r="G207" s="56"/>
      <c r="H207" s="83"/>
      <c r="I207" s="35" t="str">
        <f t="shared" si="14"/>
        <v/>
      </c>
    </row>
    <row r="208" spans="1:9">
      <c r="A208" s="10" t="str">
        <f t="shared" si="15"/>
        <v/>
      </c>
      <c r="B208" s="53"/>
      <c r="C208" s="28" t="str">
        <f t="shared" si="12"/>
        <v/>
      </c>
      <c r="D208" s="28" t="str">
        <f t="shared" si="13"/>
        <v/>
      </c>
      <c r="E208" s="77"/>
      <c r="F208" s="45"/>
      <c r="G208" s="56"/>
      <c r="H208" s="83"/>
      <c r="I208" s="35" t="str">
        <f t="shared" si="14"/>
        <v/>
      </c>
    </row>
    <row r="209" spans="1:9">
      <c r="A209" s="10" t="str">
        <f t="shared" si="15"/>
        <v/>
      </c>
      <c r="B209" s="53"/>
      <c r="C209" s="28" t="str">
        <f t="shared" si="12"/>
        <v/>
      </c>
      <c r="D209" s="28" t="str">
        <f t="shared" si="13"/>
        <v/>
      </c>
      <c r="E209" s="77"/>
      <c r="F209" s="45"/>
      <c r="G209" s="56"/>
      <c r="H209" s="83"/>
      <c r="I209" s="35" t="str">
        <f t="shared" si="14"/>
        <v/>
      </c>
    </row>
    <row r="210" spans="1:9">
      <c r="A210" s="10" t="str">
        <f t="shared" si="15"/>
        <v/>
      </c>
      <c r="B210" s="53"/>
      <c r="C210" s="28" t="str">
        <f t="shared" si="12"/>
        <v/>
      </c>
      <c r="D210" s="28" t="str">
        <f t="shared" si="13"/>
        <v/>
      </c>
      <c r="E210" s="77"/>
      <c r="F210" s="45"/>
      <c r="G210" s="56"/>
      <c r="H210" s="83"/>
      <c r="I210" s="35" t="str">
        <f t="shared" si="14"/>
        <v/>
      </c>
    </row>
    <row r="211" spans="1:9">
      <c r="A211" s="10" t="str">
        <f t="shared" si="15"/>
        <v/>
      </c>
      <c r="B211" s="53"/>
      <c r="C211" s="28" t="str">
        <f t="shared" si="12"/>
        <v/>
      </c>
      <c r="D211" s="28" t="str">
        <f t="shared" si="13"/>
        <v/>
      </c>
      <c r="E211" s="77"/>
      <c r="F211" s="45"/>
      <c r="G211" s="56"/>
      <c r="H211" s="83"/>
      <c r="I211" s="35" t="str">
        <f t="shared" si="14"/>
        <v/>
      </c>
    </row>
    <row r="212" spans="1:9">
      <c r="A212" s="10" t="str">
        <f t="shared" si="15"/>
        <v/>
      </c>
      <c r="B212" s="53"/>
      <c r="C212" s="28" t="str">
        <f t="shared" si="12"/>
        <v/>
      </c>
      <c r="D212" s="28" t="str">
        <f t="shared" si="13"/>
        <v/>
      </c>
      <c r="E212" s="77"/>
      <c r="F212" s="45"/>
      <c r="G212" s="56"/>
      <c r="H212" s="83"/>
      <c r="I212" s="35" t="str">
        <f t="shared" si="14"/>
        <v/>
      </c>
    </row>
    <row r="213" spans="1:9">
      <c r="A213" s="10" t="str">
        <f t="shared" si="15"/>
        <v/>
      </c>
      <c r="B213" s="53"/>
      <c r="C213" s="28" t="str">
        <f t="shared" si="12"/>
        <v/>
      </c>
      <c r="D213" s="28" t="str">
        <f t="shared" si="13"/>
        <v/>
      </c>
      <c r="E213" s="77"/>
      <c r="F213" s="45"/>
      <c r="G213" s="56"/>
      <c r="H213" s="83"/>
      <c r="I213" s="35" t="str">
        <f t="shared" si="14"/>
        <v/>
      </c>
    </row>
    <row r="214" spans="1:9">
      <c r="A214" s="10" t="str">
        <f t="shared" si="15"/>
        <v/>
      </c>
      <c r="B214" s="53"/>
      <c r="C214" s="28" t="str">
        <f t="shared" si="12"/>
        <v/>
      </c>
      <c r="D214" s="28" t="str">
        <f t="shared" si="13"/>
        <v/>
      </c>
      <c r="E214" s="77"/>
      <c r="F214" s="45"/>
      <c r="G214" s="56"/>
      <c r="H214" s="83"/>
      <c r="I214" s="35" t="str">
        <f t="shared" si="14"/>
        <v/>
      </c>
    </row>
    <row r="215" spans="1:9">
      <c r="A215" s="10" t="str">
        <f t="shared" si="15"/>
        <v/>
      </c>
      <c r="B215" s="53"/>
      <c r="C215" s="28" t="str">
        <f t="shared" si="12"/>
        <v/>
      </c>
      <c r="D215" s="28" t="str">
        <f t="shared" si="13"/>
        <v/>
      </c>
      <c r="E215" s="77"/>
      <c r="F215" s="45"/>
      <c r="G215" s="56"/>
      <c r="H215" s="83"/>
      <c r="I215" s="35" t="str">
        <f t="shared" si="14"/>
        <v/>
      </c>
    </row>
    <row r="216" spans="1:9">
      <c r="A216" s="10" t="str">
        <f t="shared" si="15"/>
        <v/>
      </c>
      <c r="B216" s="53"/>
      <c r="C216" s="28" t="str">
        <f t="shared" si="12"/>
        <v/>
      </c>
      <c r="D216" s="28" t="str">
        <f t="shared" si="13"/>
        <v/>
      </c>
      <c r="E216" s="77"/>
      <c r="F216" s="45"/>
      <c r="G216" s="56"/>
      <c r="H216" s="83"/>
      <c r="I216" s="35" t="str">
        <f t="shared" si="14"/>
        <v/>
      </c>
    </row>
    <row r="217" spans="1:9">
      <c r="A217" s="10" t="str">
        <f t="shared" si="15"/>
        <v/>
      </c>
      <c r="B217" s="53"/>
      <c r="C217" s="28" t="str">
        <f t="shared" si="12"/>
        <v/>
      </c>
      <c r="D217" s="28" t="str">
        <f t="shared" si="13"/>
        <v/>
      </c>
      <c r="E217" s="77"/>
      <c r="F217" s="45"/>
      <c r="G217" s="56"/>
      <c r="H217" s="83"/>
      <c r="I217" s="35" t="str">
        <f t="shared" si="14"/>
        <v/>
      </c>
    </row>
    <row r="218" spans="1:9">
      <c r="A218" s="10" t="str">
        <f t="shared" si="15"/>
        <v/>
      </c>
      <c r="B218" s="53"/>
      <c r="C218" s="28" t="str">
        <f t="shared" si="12"/>
        <v/>
      </c>
      <c r="D218" s="28" t="str">
        <f t="shared" si="13"/>
        <v/>
      </c>
      <c r="E218" s="77"/>
      <c r="F218" s="45"/>
      <c r="G218" s="56"/>
      <c r="H218" s="83"/>
      <c r="I218" s="35" t="str">
        <f t="shared" si="14"/>
        <v/>
      </c>
    </row>
    <row r="219" spans="1:9">
      <c r="A219" s="10" t="str">
        <f t="shared" si="15"/>
        <v/>
      </c>
      <c r="B219" s="53"/>
      <c r="C219" s="28" t="str">
        <f t="shared" si="12"/>
        <v/>
      </c>
      <c r="D219" s="28" t="str">
        <f t="shared" si="13"/>
        <v/>
      </c>
      <c r="E219" s="77"/>
      <c r="F219" s="45"/>
      <c r="G219" s="56"/>
      <c r="H219" s="83"/>
      <c r="I219" s="35" t="str">
        <f t="shared" si="14"/>
        <v/>
      </c>
    </row>
    <row r="220" spans="1:9">
      <c r="A220" s="10" t="str">
        <f t="shared" si="15"/>
        <v/>
      </c>
      <c r="B220" s="53"/>
      <c r="C220" s="28" t="str">
        <f t="shared" si="12"/>
        <v/>
      </c>
      <c r="D220" s="28" t="str">
        <f t="shared" si="13"/>
        <v/>
      </c>
      <c r="E220" s="77"/>
      <c r="F220" s="45"/>
      <c r="G220" s="56"/>
      <c r="H220" s="83"/>
      <c r="I220" s="35" t="str">
        <f t="shared" si="14"/>
        <v/>
      </c>
    </row>
    <row r="221" spans="1:9">
      <c r="A221" s="10" t="str">
        <f t="shared" si="15"/>
        <v/>
      </c>
      <c r="B221" s="53"/>
      <c r="C221" s="28" t="str">
        <f t="shared" si="12"/>
        <v/>
      </c>
      <c r="D221" s="28" t="str">
        <f t="shared" si="13"/>
        <v/>
      </c>
      <c r="E221" s="77"/>
      <c r="F221" s="45"/>
      <c r="G221" s="56"/>
      <c r="H221" s="83"/>
      <c r="I221" s="35" t="str">
        <f t="shared" si="14"/>
        <v/>
      </c>
    </row>
    <row r="222" spans="1:9">
      <c r="A222" s="10" t="str">
        <f t="shared" si="15"/>
        <v/>
      </c>
      <c r="B222" s="53"/>
      <c r="C222" s="28" t="str">
        <f t="shared" si="12"/>
        <v/>
      </c>
      <c r="D222" s="28" t="str">
        <f t="shared" si="13"/>
        <v/>
      </c>
      <c r="E222" s="77"/>
      <c r="F222" s="45"/>
      <c r="G222" s="56"/>
      <c r="H222" s="83"/>
      <c r="I222" s="35" t="str">
        <f t="shared" si="14"/>
        <v/>
      </c>
    </row>
    <row r="223" spans="1:9">
      <c r="A223" s="10" t="str">
        <f t="shared" si="15"/>
        <v/>
      </c>
      <c r="B223" s="53"/>
      <c r="C223" s="28" t="str">
        <f t="shared" si="12"/>
        <v/>
      </c>
      <c r="D223" s="28" t="str">
        <f t="shared" si="13"/>
        <v/>
      </c>
      <c r="E223" s="77"/>
      <c r="F223" s="45"/>
      <c r="G223" s="56"/>
      <c r="H223" s="83"/>
      <c r="I223" s="35" t="str">
        <f t="shared" si="14"/>
        <v/>
      </c>
    </row>
    <row r="224" spans="1:9">
      <c r="A224" s="10" t="str">
        <f t="shared" si="15"/>
        <v/>
      </c>
      <c r="B224" s="53"/>
      <c r="C224" s="28" t="str">
        <f t="shared" si="12"/>
        <v/>
      </c>
      <c r="D224" s="28" t="str">
        <f t="shared" si="13"/>
        <v/>
      </c>
      <c r="E224" s="77"/>
      <c r="F224" s="45"/>
      <c r="G224" s="56"/>
      <c r="H224" s="83"/>
      <c r="I224" s="35" t="str">
        <f t="shared" si="14"/>
        <v/>
      </c>
    </row>
    <row r="225" spans="1:9">
      <c r="A225" s="10" t="str">
        <f t="shared" si="15"/>
        <v/>
      </c>
      <c r="B225" s="53"/>
      <c r="C225" s="28" t="str">
        <f t="shared" si="12"/>
        <v/>
      </c>
      <c r="D225" s="28" t="str">
        <f t="shared" si="13"/>
        <v/>
      </c>
      <c r="E225" s="77"/>
      <c r="F225" s="45"/>
      <c r="G225" s="56"/>
      <c r="H225" s="83"/>
      <c r="I225" s="35" t="str">
        <f t="shared" si="14"/>
        <v/>
      </c>
    </row>
    <row r="226" spans="1:9">
      <c r="A226" s="10" t="str">
        <f t="shared" si="15"/>
        <v/>
      </c>
      <c r="B226" s="53"/>
      <c r="C226" s="28" t="str">
        <f t="shared" si="12"/>
        <v/>
      </c>
      <c r="D226" s="28" t="str">
        <f t="shared" si="13"/>
        <v/>
      </c>
      <c r="E226" s="77"/>
      <c r="F226" s="45"/>
      <c r="G226" s="56"/>
      <c r="H226" s="83"/>
      <c r="I226" s="35" t="str">
        <f t="shared" si="14"/>
        <v/>
      </c>
    </row>
    <row r="227" spans="1:9">
      <c r="A227" s="10" t="str">
        <f t="shared" si="15"/>
        <v/>
      </c>
      <c r="B227" s="53"/>
      <c r="C227" s="28" t="str">
        <f t="shared" si="12"/>
        <v/>
      </c>
      <c r="D227" s="28" t="str">
        <f t="shared" si="13"/>
        <v/>
      </c>
      <c r="E227" s="77"/>
      <c r="F227" s="45"/>
      <c r="G227" s="56"/>
      <c r="H227" s="83"/>
      <c r="I227" s="35" t="str">
        <f t="shared" si="14"/>
        <v/>
      </c>
    </row>
    <row r="228" spans="1:9">
      <c r="A228" s="10" t="str">
        <f t="shared" si="15"/>
        <v/>
      </c>
      <c r="B228" s="53"/>
      <c r="C228" s="28" t="str">
        <f t="shared" si="12"/>
        <v/>
      </c>
      <c r="D228" s="28" t="str">
        <f t="shared" si="13"/>
        <v/>
      </c>
      <c r="E228" s="77"/>
      <c r="F228" s="45"/>
      <c r="G228" s="56"/>
      <c r="H228" s="83"/>
      <c r="I228" s="35" t="str">
        <f t="shared" si="14"/>
        <v/>
      </c>
    </row>
    <row r="229" spans="1:9">
      <c r="A229" s="10" t="str">
        <f t="shared" si="15"/>
        <v/>
      </c>
      <c r="B229" s="53"/>
      <c r="C229" s="28" t="str">
        <f t="shared" si="12"/>
        <v/>
      </c>
      <c r="D229" s="28" t="str">
        <f t="shared" si="13"/>
        <v/>
      </c>
      <c r="E229" s="77"/>
      <c r="F229" s="45"/>
      <c r="G229" s="56"/>
      <c r="H229" s="83"/>
      <c r="I229" s="35" t="str">
        <f t="shared" si="14"/>
        <v/>
      </c>
    </row>
    <row r="230" spans="1:9">
      <c r="A230" s="10" t="str">
        <f t="shared" si="15"/>
        <v/>
      </c>
      <c r="B230" s="53"/>
      <c r="C230" s="28" t="str">
        <f t="shared" si="12"/>
        <v/>
      </c>
      <c r="D230" s="28" t="str">
        <f t="shared" si="13"/>
        <v/>
      </c>
      <c r="E230" s="77"/>
      <c r="F230" s="45"/>
      <c r="G230" s="56"/>
      <c r="H230" s="83"/>
      <c r="I230" s="35" t="str">
        <f t="shared" si="14"/>
        <v/>
      </c>
    </row>
    <row r="231" spans="1:9">
      <c r="A231" s="10" t="str">
        <f t="shared" si="15"/>
        <v/>
      </c>
      <c r="B231" s="53"/>
      <c r="C231" s="28" t="str">
        <f t="shared" si="12"/>
        <v/>
      </c>
      <c r="D231" s="28" t="str">
        <f t="shared" si="13"/>
        <v/>
      </c>
      <c r="E231" s="77"/>
      <c r="F231" s="45"/>
      <c r="G231" s="56"/>
      <c r="H231" s="83"/>
      <c r="I231" s="35" t="str">
        <f t="shared" si="14"/>
        <v/>
      </c>
    </row>
    <row r="232" spans="1:9">
      <c r="A232" s="10" t="str">
        <f t="shared" si="15"/>
        <v/>
      </c>
      <c r="B232" s="53"/>
      <c r="C232" s="28" t="str">
        <f t="shared" si="12"/>
        <v/>
      </c>
      <c r="D232" s="28" t="str">
        <f t="shared" si="13"/>
        <v/>
      </c>
      <c r="E232" s="77"/>
      <c r="F232" s="45"/>
      <c r="G232" s="56"/>
      <c r="H232" s="83"/>
      <c r="I232" s="35" t="str">
        <f t="shared" si="14"/>
        <v/>
      </c>
    </row>
    <row r="233" spans="1:9">
      <c r="A233" s="10" t="str">
        <f t="shared" si="15"/>
        <v/>
      </c>
      <c r="B233" s="53"/>
      <c r="C233" s="28" t="str">
        <f t="shared" si="12"/>
        <v/>
      </c>
      <c r="D233" s="28" t="str">
        <f t="shared" si="13"/>
        <v/>
      </c>
      <c r="E233" s="77"/>
      <c r="F233" s="45"/>
      <c r="G233" s="56"/>
      <c r="H233" s="83"/>
      <c r="I233" s="35" t="str">
        <f t="shared" si="14"/>
        <v/>
      </c>
    </row>
    <row r="234" spans="1:9">
      <c r="A234" s="10" t="str">
        <f t="shared" si="15"/>
        <v/>
      </c>
      <c r="B234" s="53"/>
      <c r="C234" s="28" t="str">
        <f t="shared" si="12"/>
        <v/>
      </c>
      <c r="D234" s="28" t="str">
        <f t="shared" si="13"/>
        <v/>
      </c>
      <c r="E234" s="77"/>
      <c r="F234" s="45"/>
      <c r="G234" s="56"/>
      <c r="H234" s="83"/>
      <c r="I234" s="35" t="str">
        <f t="shared" si="14"/>
        <v/>
      </c>
    </row>
    <row r="235" spans="1:9">
      <c r="A235" s="10" t="str">
        <f t="shared" si="15"/>
        <v/>
      </c>
      <c r="B235" s="53"/>
      <c r="C235" s="28" t="str">
        <f t="shared" si="12"/>
        <v/>
      </c>
      <c r="D235" s="28" t="str">
        <f t="shared" si="13"/>
        <v/>
      </c>
      <c r="E235" s="77"/>
      <c r="F235" s="45"/>
      <c r="G235" s="56"/>
      <c r="H235" s="83"/>
      <c r="I235" s="35" t="str">
        <f t="shared" si="14"/>
        <v/>
      </c>
    </row>
    <row r="236" spans="1:9">
      <c r="A236" s="10" t="str">
        <f t="shared" si="15"/>
        <v/>
      </c>
      <c r="B236" s="53"/>
      <c r="C236" s="28" t="str">
        <f t="shared" si="12"/>
        <v/>
      </c>
      <c r="D236" s="28" t="str">
        <f t="shared" si="13"/>
        <v/>
      </c>
      <c r="E236" s="77"/>
      <c r="F236" s="45"/>
      <c r="G236" s="56"/>
      <c r="H236" s="83"/>
      <c r="I236" s="35" t="str">
        <f t="shared" si="14"/>
        <v/>
      </c>
    </row>
    <row r="237" spans="1:9">
      <c r="A237" s="10" t="str">
        <f t="shared" si="15"/>
        <v/>
      </c>
      <c r="B237" s="53"/>
      <c r="C237" s="28" t="str">
        <f t="shared" si="12"/>
        <v/>
      </c>
      <c r="D237" s="28" t="str">
        <f t="shared" si="13"/>
        <v/>
      </c>
      <c r="E237" s="77"/>
      <c r="F237" s="45"/>
      <c r="G237" s="56"/>
      <c r="H237" s="83"/>
      <c r="I237" s="35" t="str">
        <f t="shared" si="14"/>
        <v/>
      </c>
    </row>
    <row r="238" spans="1:9">
      <c r="A238" s="10" t="str">
        <f t="shared" si="15"/>
        <v/>
      </c>
      <c r="B238" s="53"/>
      <c r="C238" s="28" t="str">
        <f t="shared" si="12"/>
        <v/>
      </c>
      <c r="D238" s="28" t="str">
        <f t="shared" si="13"/>
        <v/>
      </c>
      <c r="E238" s="77"/>
      <c r="F238" s="45"/>
      <c r="G238" s="56"/>
      <c r="H238" s="83"/>
      <c r="I238" s="35" t="str">
        <f t="shared" si="14"/>
        <v/>
      </c>
    </row>
    <row r="239" spans="1:9">
      <c r="A239" s="10" t="str">
        <f t="shared" si="15"/>
        <v/>
      </c>
      <c r="B239" s="53"/>
      <c r="C239" s="28" t="str">
        <f t="shared" si="12"/>
        <v/>
      </c>
      <c r="D239" s="28" t="str">
        <f t="shared" si="13"/>
        <v/>
      </c>
      <c r="E239" s="77"/>
      <c r="F239" s="45"/>
      <c r="G239" s="56"/>
      <c r="H239" s="83"/>
      <c r="I239" s="35" t="str">
        <f t="shared" si="14"/>
        <v/>
      </c>
    </row>
    <row r="240" spans="1:9">
      <c r="A240" s="10" t="str">
        <f t="shared" si="15"/>
        <v/>
      </c>
      <c r="B240" s="53"/>
      <c r="C240" s="28" t="str">
        <f t="shared" si="12"/>
        <v/>
      </c>
      <c r="D240" s="28" t="str">
        <f t="shared" si="13"/>
        <v/>
      </c>
      <c r="E240" s="77"/>
      <c r="F240" s="45"/>
      <c r="G240" s="56"/>
      <c r="H240" s="83"/>
      <c r="I240" s="35" t="str">
        <f t="shared" si="14"/>
        <v/>
      </c>
    </row>
    <row r="241" spans="1:9">
      <c r="A241" s="10" t="str">
        <f t="shared" si="15"/>
        <v/>
      </c>
      <c r="B241" s="53"/>
      <c r="C241" s="28" t="str">
        <f t="shared" si="12"/>
        <v/>
      </c>
      <c r="D241" s="28" t="str">
        <f t="shared" si="13"/>
        <v/>
      </c>
      <c r="E241" s="77"/>
      <c r="F241" s="45"/>
      <c r="G241" s="56"/>
      <c r="H241" s="83"/>
      <c r="I241" s="35" t="str">
        <f t="shared" si="14"/>
        <v/>
      </c>
    </row>
    <row r="242" spans="1:9">
      <c r="A242" s="10" t="str">
        <f t="shared" si="15"/>
        <v/>
      </c>
      <c r="B242" s="53"/>
      <c r="C242" s="28" t="str">
        <f t="shared" si="12"/>
        <v/>
      </c>
      <c r="D242" s="28" t="str">
        <f t="shared" si="13"/>
        <v/>
      </c>
      <c r="E242" s="77"/>
      <c r="F242" s="45"/>
      <c r="G242" s="56"/>
      <c r="H242" s="83"/>
      <c r="I242" s="35" t="str">
        <f t="shared" si="14"/>
        <v/>
      </c>
    </row>
    <row r="243" spans="1:9">
      <c r="A243" s="10" t="str">
        <f t="shared" si="15"/>
        <v/>
      </c>
      <c r="B243" s="53"/>
      <c r="C243" s="28" t="str">
        <f t="shared" si="12"/>
        <v/>
      </c>
      <c r="D243" s="28" t="str">
        <f t="shared" si="13"/>
        <v/>
      </c>
      <c r="E243" s="77"/>
      <c r="F243" s="45"/>
      <c r="G243" s="56"/>
      <c r="H243" s="83"/>
      <c r="I243" s="35" t="str">
        <f t="shared" si="14"/>
        <v/>
      </c>
    </row>
    <row r="244" spans="1:9">
      <c r="A244" s="10" t="str">
        <f t="shared" si="15"/>
        <v/>
      </c>
      <c r="B244" s="53"/>
      <c r="C244" s="28" t="str">
        <f t="shared" si="12"/>
        <v/>
      </c>
      <c r="D244" s="28" t="str">
        <f t="shared" si="13"/>
        <v/>
      </c>
      <c r="E244" s="77"/>
      <c r="F244" s="45"/>
      <c r="G244" s="56"/>
      <c r="H244" s="83"/>
      <c r="I244" s="35" t="str">
        <f t="shared" si="14"/>
        <v/>
      </c>
    </row>
    <row r="245" spans="1:9">
      <c r="A245" s="10" t="str">
        <f t="shared" si="15"/>
        <v/>
      </c>
      <c r="B245" s="53"/>
      <c r="C245" s="28" t="str">
        <f t="shared" si="12"/>
        <v/>
      </c>
      <c r="D245" s="28" t="str">
        <f t="shared" si="13"/>
        <v/>
      </c>
      <c r="E245" s="77"/>
      <c r="F245" s="45"/>
      <c r="G245" s="56"/>
      <c r="H245" s="83"/>
      <c r="I245" s="35" t="str">
        <f t="shared" si="14"/>
        <v/>
      </c>
    </row>
    <row r="246" spans="1:9">
      <c r="A246" s="10" t="str">
        <f t="shared" si="15"/>
        <v/>
      </c>
      <c r="B246" s="53"/>
      <c r="C246" s="28" t="str">
        <f t="shared" si="12"/>
        <v/>
      </c>
      <c r="D246" s="28" t="str">
        <f t="shared" si="13"/>
        <v/>
      </c>
      <c r="E246" s="77"/>
      <c r="F246" s="45"/>
      <c r="G246" s="56"/>
      <c r="H246" s="83"/>
      <c r="I246" s="35" t="str">
        <f t="shared" si="14"/>
        <v/>
      </c>
    </row>
    <row r="247" spans="1:9">
      <c r="A247" s="10" t="str">
        <f t="shared" si="15"/>
        <v/>
      </c>
      <c r="B247" s="53"/>
      <c r="C247" s="28" t="str">
        <f t="shared" si="12"/>
        <v/>
      </c>
      <c r="D247" s="28" t="str">
        <f t="shared" si="13"/>
        <v/>
      </c>
      <c r="E247" s="77"/>
      <c r="F247" s="45"/>
      <c r="G247" s="56"/>
      <c r="H247" s="83"/>
      <c r="I247" s="35" t="str">
        <f t="shared" si="14"/>
        <v/>
      </c>
    </row>
    <row r="248" spans="1:9">
      <c r="A248" s="10" t="str">
        <f t="shared" si="15"/>
        <v/>
      </c>
      <c r="B248" s="53"/>
      <c r="C248" s="28" t="str">
        <f t="shared" si="12"/>
        <v/>
      </c>
      <c r="D248" s="28" t="str">
        <f t="shared" si="13"/>
        <v/>
      </c>
      <c r="E248" s="77"/>
      <c r="F248" s="45"/>
      <c r="G248" s="56"/>
      <c r="H248" s="83"/>
      <c r="I248" s="35" t="str">
        <f t="shared" si="14"/>
        <v/>
      </c>
    </row>
    <row r="249" spans="1:9">
      <c r="A249" s="10" t="str">
        <f t="shared" si="15"/>
        <v/>
      </c>
      <c r="B249" s="53"/>
      <c r="C249" s="28" t="str">
        <f t="shared" si="12"/>
        <v/>
      </c>
      <c r="D249" s="28" t="str">
        <f t="shared" si="13"/>
        <v/>
      </c>
      <c r="E249" s="77"/>
      <c r="F249" s="45"/>
      <c r="G249" s="56"/>
      <c r="H249" s="83"/>
      <c r="I249" s="35" t="str">
        <f t="shared" si="14"/>
        <v/>
      </c>
    </row>
    <row r="250" spans="1:9">
      <c r="A250" s="10" t="str">
        <f t="shared" si="15"/>
        <v/>
      </c>
      <c r="B250" s="53"/>
      <c r="C250" s="28" t="str">
        <f t="shared" si="12"/>
        <v/>
      </c>
      <c r="D250" s="28" t="str">
        <f t="shared" si="13"/>
        <v/>
      </c>
      <c r="E250" s="77"/>
      <c r="F250" s="45"/>
      <c r="G250" s="56"/>
      <c r="H250" s="83"/>
      <c r="I250" s="35" t="str">
        <f t="shared" si="14"/>
        <v/>
      </c>
    </row>
    <row r="251" spans="1:9">
      <c r="A251" s="10" t="str">
        <f t="shared" si="15"/>
        <v/>
      </c>
      <c r="B251" s="53"/>
      <c r="C251" s="28" t="str">
        <f t="shared" si="12"/>
        <v/>
      </c>
      <c r="D251" s="28" t="str">
        <f t="shared" si="13"/>
        <v/>
      </c>
      <c r="E251" s="77"/>
      <c r="F251" s="45"/>
      <c r="G251" s="56"/>
      <c r="H251" s="83"/>
      <c r="I251" s="35" t="str">
        <f t="shared" si="14"/>
        <v/>
      </c>
    </row>
    <row r="252" spans="1:9">
      <c r="A252" s="10" t="str">
        <f t="shared" si="15"/>
        <v/>
      </c>
      <c r="B252" s="53"/>
      <c r="C252" s="28" t="str">
        <f t="shared" si="12"/>
        <v/>
      </c>
      <c r="D252" s="28" t="str">
        <f t="shared" si="13"/>
        <v/>
      </c>
      <c r="E252" s="77"/>
      <c r="F252" s="45"/>
      <c r="G252" s="56"/>
      <c r="H252" s="83"/>
      <c r="I252" s="35" t="str">
        <f t="shared" si="14"/>
        <v/>
      </c>
    </row>
    <row r="253" spans="1:9">
      <c r="A253" s="10" t="str">
        <f t="shared" si="15"/>
        <v/>
      </c>
      <c r="B253" s="53"/>
      <c r="C253" s="28" t="str">
        <f t="shared" si="12"/>
        <v/>
      </c>
      <c r="D253" s="28" t="str">
        <f t="shared" si="13"/>
        <v/>
      </c>
      <c r="E253" s="77"/>
      <c r="F253" s="45"/>
      <c r="G253" s="56"/>
      <c r="H253" s="83"/>
      <c r="I253" s="35" t="str">
        <f t="shared" si="14"/>
        <v/>
      </c>
    </row>
    <row r="254" spans="1:9">
      <c r="A254" s="10" t="str">
        <f t="shared" si="15"/>
        <v/>
      </c>
      <c r="B254" s="53"/>
      <c r="C254" s="28" t="str">
        <f t="shared" si="12"/>
        <v/>
      </c>
      <c r="D254" s="28" t="str">
        <f t="shared" si="13"/>
        <v/>
      </c>
      <c r="E254" s="77"/>
      <c r="F254" s="45"/>
      <c r="G254" s="56"/>
      <c r="H254" s="83"/>
      <c r="I254" s="35" t="str">
        <f t="shared" si="14"/>
        <v/>
      </c>
    </row>
    <row r="255" spans="1:9">
      <c r="A255" s="10" t="str">
        <f t="shared" si="15"/>
        <v/>
      </c>
      <c r="B255" s="53"/>
      <c r="C255" s="28" t="str">
        <f t="shared" si="12"/>
        <v/>
      </c>
      <c r="D255" s="28" t="str">
        <f t="shared" si="13"/>
        <v/>
      </c>
      <c r="E255" s="77"/>
      <c r="F255" s="45"/>
      <c r="G255" s="56"/>
      <c r="H255" s="83"/>
      <c r="I255" s="35" t="str">
        <f t="shared" si="14"/>
        <v/>
      </c>
    </row>
    <row r="256" spans="1:9">
      <c r="A256" s="10" t="str">
        <f t="shared" si="15"/>
        <v/>
      </c>
      <c r="B256" s="53"/>
      <c r="C256" s="28" t="str">
        <f t="shared" si="12"/>
        <v/>
      </c>
      <c r="D256" s="28" t="str">
        <f t="shared" si="13"/>
        <v/>
      </c>
      <c r="E256" s="77"/>
      <c r="F256" s="45"/>
      <c r="G256" s="56"/>
      <c r="H256" s="83"/>
      <c r="I256" s="35" t="str">
        <f t="shared" si="14"/>
        <v/>
      </c>
    </row>
    <row r="257" spans="1:9">
      <c r="A257" s="10" t="str">
        <f t="shared" si="15"/>
        <v/>
      </c>
      <c r="B257" s="53"/>
      <c r="C257" s="28" t="str">
        <f t="shared" si="12"/>
        <v/>
      </c>
      <c r="D257" s="28" t="str">
        <f t="shared" si="13"/>
        <v/>
      </c>
      <c r="E257" s="77"/>
      <c r="F257" s="45"/>
      <c r="G257" s="56"/>
      <c r="H257" s="83"/>
      <c r="I257" s="35" t="str">
        <f t="shared" si="14"/>
        <v/>
      </c>
    </row>
    <row r="258" spans="1:9">
      <c r="A258" s="10" t="str">
        <f t="shared" si="15"/>
        <v/>
      </c>
      <c r="B258" s="53"/>
      <c r="C258" s="28" t="str">
        <f t="shared" ref="C258:C321" si="16">IF(B258=0,"",TEXT(B258,"mmmm"))</f>
        <v/>
      </c>
      <c r="D258" s="28" t="str">
        <f t="shared" ref="D258:D321" si="17">IF(B258=0,"",TEXT(B258,"yyyy"))</f>
        <v/>
      </c>
      <c r="E258" s="77"/>
      <c r="F258" s="45"/>
      <c r="G258" s="56"/>
      <c r="H258" s="83"/>
      <c r="I258" s="35" t="str">
        <f t="shared" ref="I258:I321" si="18">IF(G258*H258=0,"",G258*H258)</f>
        <v/>
      </c>
    </row>
    <row r="259" spans="1:9">
      <c r="A259" s="10" t="str">
        <f t="shared" si="15"/>
        <v/>
      </c>
      <c r="B259" s="53"/>
      <c r="C259" s="28" t="str">
        <f t="shared" si="16"/>
        <v/>
      </c>
      <c r="D259" s="28" t="str">
        <f t="shared" si="17"/>
        <v/>
      </c>
      <c r="E259" s="77"/>
      <c r="F259" s="45"/>
      <c r="G259" s="56"/>
      <c r="H259" s="83"/>
      <c r="I259" s="35" t="str">
        <f t="shared" si="18"/>
        <v/>
      </c>
    </row>
    <row r="260" spans="1:9">
      <c r="A260" s="10" t="str">
        <f t="shared" ref="A260:A323" si="19">IF(E260&gt;0,A259+1,"")</f>
        <v/>
      </c>
      <c r="B260" s="53"/>
      <c r="C260" s="28" t="str">
        <f t="shared" si="16"/>
        <v/>
      </c>
      <c r="D260" s="28" t="str">
        <f t="shared" si="17"/>
        <v/>
      </c>
      <c r="E260" s="77"/>
      <c r="F260" s="45"/>
      <c r="G260" s="56"/>
      <c r="H260" s="83"/>
      <c r="I260" s="35" t="str">
        <f t="shared" si="18"/>
        <v/>
      </c>
    </row>
    <row r="261" spans="1:9">
      <c r="A261" s="10" t="str">
        <f t="shared" si="19"/>
        <v/>
      </c>
      <c r="B261" s="53"/>
      <c r="C261" s="28" t="str">
        <f t="shared" si="16"/>
        <v/>
      </c>
      <c r="D261" s="28" t="str">
        <f t="shared" si="17"/>
        <v/>
      </c>
      <c r="E261" s="77"/>
      <c r="F261" s="45"/>
      <c r="G261" s="56"/>
      <c r="H261" s="83"/>
      <c r="I261" s="35" t="str">
        <f t="shared" si="18"/>
        <v/>
      </c>
    </row>
    <row r="262" spans="1:9">
      <c r="A262" s="10" t="str">
        <f t="shared" si="19"/>
        <v/>
      </c>
      <c r="B262" s="53"/>
      <c r="C262" s="28" t="str">
        <f t="shared" si="16"/>
        <v/>
      </c>
      <c r="D262" s="28" t="str">
        <f t="shared" si="17"/>
        <v/>
      </c>
      <c r="E262" s="77"/>
      <c r="F262" s="45"/>
      <c r="G262" s="56"/>
      <c r="H262" s="83"/>
      <c r="I262" s="35" t="str">
        <f t="shared" si="18"/>
        <v/>
      </c>
    </row>
    <row r="263" spans="1:9">
      <c r="A263" s="10" t="str">
        <f t="shared" si="19"/>
        <v/>
      </c>
      <c r="B263" s="53"/>
      <c r="C263" s="28" t="str">
        <f t="shared" si="16"/>
        <v/>
      </c>
      <c r="D263" s="28" t="str">
        <f t="shared" si="17"/>
        <v/>
      </c>
      <c r="E263" s="77"/>
      <c r="F263" s="45"/>
      <c r="G263" s="56"/>
      <c r="H263" s="83"/>
      <c r="I263" s="35" t="str">
        <f t="shared" si="18"/>
        <v/>
      </c>
    </row>
    <row r="264" spans="1:9">
      <c r="A264" s="10" t="str">
        <f t="shared" si="19"/>
        <v/>
      </c>
      <c r="B264" s="53"/>
      <c r="C264" s="28" t="str">
        <f t="shared" si="16"/>
        <v/>
      </c>
      <c r="D264" s="28" t="str">
        <f t="shared" si="17"/>
        <v/>
      </c>
      <c r="E264" s="77"/>
      <c r="F264" s="45"/>
      <c r="G264" s="56"/>
      <c r="H264" s="83"/>
      <c r="I264" s="35" t="str">
        <f t="shared" si="18"/>
        <v/>
      </c>
    </row>
    <row r="265" spans="1:9">
      <c r="A265" s="10" t="str">
        <f t="shared" si="19"/>
        <v/>
      </c>
      <c r="B265" s="53"/>
      <c r="C265" s="28" t="str">
        <f t="shared" si="16"/>
        <v/>
      </c>
      <c r="D265" s="28" t="str">
        <f t="shared" si="17"/>
        <v/>
      </c>
      <c r="E265" s="77"/>
      <c r="F265" s="45"/>
      <c r="G265" s="56"/>
      <c r="H265" s="83"/>
      <c r="I265" s="35" t="str">
        <f t="shared" si="18"/>
        <v/>
      </c>
    </row>
    <row r="266" spans="1:9">
      <c r="A266" s="10" t="str">
        <f t="shared" si="19"/>
        <v/>
      </c>
      <c r="B266" s="53"/>
      <c r="C266" s="28" t="str">
        <f t="shared" si="16"/>
        <v/>
      </c>
      <c r="D266" s="28" t="str">
        <f t="shared" si="17"/>
        <v/>
      </c>
      <c r="E266" s="77"/>
      <c r="F266" s="45"/>
      <c r="G266" s="56"/>
      <c r="H266" s="83"/>
      <c r="I266" s="35" t="str">
        <f t="shared" si="18"/>
        <v/>
      </c>
    </row>
    <row r="267" spans="1:9">
      <c r="A267" s="10" t="str">
        <f t="shared" si="19"/>
        <v/>
      </c>
      <c r="B267" s="53"/>
      <c r="C267" s="28" t="str">
        <f t="shared" si="16"/>
        <v/>
      </c>
      <c r="D267" s="28" t="str">
        <f t="shared" si="17"/>
        <v/>
      </c>
      <c r="E267" s="77"/>
      <c r="F267" s="45"/>
      <c r="G267" s="56"/>
      <c r="H267" s="83"/>
      <c r="I267" s="35" t="str">
        <f t="shared" si="18"/>
        <v/>
      </c>
    </row>
    <row r="268" spans="1:9">
      <c r="A268" s="10" t="str">
        <f t="shared" si="19"/>
        <v/>
      </c>
      <c r="B268" s="53"/>
      <c r="C268" s="28" t="str">
        <f t="shared" si="16"/>
        <v/>
      </c>
      <c r="D268" s="28" t="str">
        <f t="shared" si="17"/>
        <v/>
      </c>
      <c r="E268" s="77"/>
      <c r="F268" s="45"/>
      <c r="G268" s="56"/>
      <c r="H268" s="83"/>
      <c r="I268" s="35" t="str">
        <f t="shared" si="18"/>
        <v/>
      </c>
    </row>
    <row r="269" spans="1:9">
      <c r="A269" s="10" t="str">
        <f t="shared" si="19"/>
        <v/>
      </c>
      <c r="B269" s="53"/>
      <c r="C269" s="28" t="str">
        <f t="shared" si="16"/>
        <v/>
      </c>
      <c r="D269" s="28" t="str">
        <f t="shared" si="17"/>
        <v/>
      </c>
      <c r="E269" s="77"/>
      <c r="F269" s="45"/>
      <c r="G269" s="56"/>
      <c r="H269" s="83"/>
      <c r="I269" s="35" t="str">
        <f t="shared" si="18"/>
        <v/>
      </c>
    </row>
    <row r="270" spans="1:9">
      <c r="A270" s="10" t="str">
        <f t="shared" si="19"/>
        <v/>
      </c>
      <c r="B270" s="53"/>
      <c r="C270" s="28" t="str">
        <f t="shared" si="16"/>
        <v/>
      </c>
      <c r="D270" s="28" t="str">
        <f t="shared" si="17"/>
        <v/>
      </c>
      <c r="E270" s="77"/>
      <c r="F270" s="45"/>
      <c r="G270" s="56"/>
      <c r="H270" s="83"/>
      <c r="I270" s="35" t="str">
        <f t="shared" si="18"/>
        <v/>
      </c>
    </row>
    <row r="271" spans="1:9">
      <c r="A271" s="10" t="str">
        <f t="shared" si="19"/>
        <v/>
      </c>
      <c r="B271" s="53"/>
      <c r="C271" s="28" t="str">
        <f t="shared" si="16"/>
        <v/>
      </c>
      <c r="D271" s="28" t="str">
        <f t="shared" si="17"/>
        <v/>
      </c>
      <c r="E271" s="77"/>
      <c r="F271" s="45"/>
      <c r="G271" s="56"/>
      <c r="H271" s="83"/>
      <c r="I271" s="35" t="str">
        <f t="shared" si="18"/>
        <v/>
      </c>
    </row>
    <row r="272" spans="1:9">
      <c r="A272" s="10" t="str">
        <f t="shared" si="19"/>
        <v/>
      </c>
      <c r="B272" s="53"/>
      <c r="C272" s="28" t="str">
        <f t="shared" si="16"/>
        <v/>
      </c>
      <c r="D272" s="28" t="str">
        <f t="shared" si="17"/>
        <v/>
      </c>
      <c r="E272" s="77"/>
      <c r="F272" s="45"/>
      <c r="G272" s="56"/>
      <c r="H272" s="83"/>
      <c r="I272" s="35" t="str">
        <f t="shared" si="18"/>
        <v/>
      </c>
    </row>
    <row r="273" spans="1:9">
      <c r="A273" s="10" t="str">
        <f t="shared" si="19"/>
        <v/>
      </c>
      <c r="B273" s="53"/>
      <c r="C273" s="28" t="str">
        <f t="shared" si="16"/>
        <v/>
      </c>
      <c r="D273" s="28" t="str">
        <f t="shared" si="17"/>
        <v/>
      </c>
      <c r="E273" s="77"/>
      <c r="F273" s="45"/>
      <c r="G273" s="56"/>
      <c r="H273" s="83"/>
      <c r="I273" s="35" t="str">
        <f t="shared" si="18"/>
        <v/>
      </c>
    </row>
    <row r="274" spans="1:9">
      <c r="A274" s="10" t="str">
        <f t="shared" si="19"/>
        <v/>
      </c>
      <c r="B274" s="53"/>
      <c r="C274" s="28" t="str">
        <f t="shared" si="16"/>
        <v/>
      </c>
      <c r="D274" s="28" t="str">
        <f t="shared" si="17"/>
        <v/>
      </c>
      <c r="E274" s="77"/>
      <c r="F274" s="45"/>
      <c r="G274" s="56"/>
      <c r="H274" s="83"/>
      <c r="I274" s="35" t="str">
        <f t="shared" si="18"/>
        <v/>
      </c>
    </row>
    <row r="275" spans="1:9">
      <c r="A275" s="10" t="str">
        <f t="shared" si="19"/>
        <v/>
      </c>
      <c r="B275" s="53"/>
      <c r="C275" s="28" t="str">
        <f t="shared" si="16"/>
        <v/>
      </c>
      <c r="D275" s="28" t="str">
        <f t="shared" si="17"/>
        <v/>
      </c>
      <c r="E275" s="77"/>
      <c r="F275" s="45"/>
      <c r="G275" s="56"/>
      <c r="H275" s="83"/>
      <c r="I275" s="35" t="str">
        <f t="shared" si="18"/>
        <v/>
      </c>
    </row>
    <row r="276" spans="1:9">
      <c r="A276" s="10" t="str">
        <f t="shared" si="19"/>
        <v/>
      </c>
      <c r="B276" s="53"/>
      <c r="C276" s="28" t="str">
        <f t="shared" si="16"/>
        <v/>
      </c>
      <c r="D276" s="28" t="str">
        <f t="shared" si="17"/>
        <v/>
      </c>
      <c r="E276" s="77"/>
      <c r="F276" s="45"/>
      <c r="G276" s="56"/>
      <c r="H276" s="83"/>
      <c r="I276" s="35" t="str">
        <f t="shared" si="18"/>
        <v/>
      </c>
    </row>
    <row r="277" spans="1:9">
      <c r="A277" s="10" t="str">
        <f t="shared" si="19"/>
        <v/>
      </c>
      <c r="B277" s="53"/>
      <c r="C277" s="28" t="str">
        <f t="shared" si="16"/>
        <v/>
      </c>
      <c r="D277" s="28" t="str">
        <f t="shared" si="17"/>
        <v/>
      </c>
      <c r="E277" s="77"/>
      <c r="F277" s="45"/>
      <c r="G277" s="56"/>
      <c r="H277" s="83"/>
      <c r="I277" s="35" t="str">
        <f t="shared" si="18"/>
        <v/>
      </c>
    </row>
    <row r="278" spans="1:9">
      <c r="A278" s="10" t="str">
        <f t="shared" si="19"/>
        <v/>
      </c>
      <c r="B278" s="53"/>
      <c r="C278" s="28" t="str">
        <f t="shared" si="16"/>
        <v/>
      </c>
      <c r="D278" s="28" t="str">
        <f t="shared" si="17"/>
        <v/>
      </c>
      <c r="E278" s="77"/>
      <c r="F278" s="45"/>
      <c r="G278" s="56"/>
      <c r="H278" s="83"/>
      <c r="I278" s="35" t="str">
        <f t="shared" si="18"/>
        <v/>
      </c>
    </row>
    <row r="279" spans="1:9">
      <c r="A279" s="10" t="str">
        <f t="shared" si="19"/>
        <v/>
      </c>
      <c r="B279" s="53"/>
      <c r="C279" s="28" t="str">
        <f t="shared" si="16"/>
        <v/>
      </c>
      <c r="D279" s="28" t="str">
        <f t="shared" si="17"/>
        <v/>
      </c>
      <c r="E279" s="77"/>
      <c r="F279" s="45"/>
      <c r="G279" s="56"/>
      <c r="H279" s="83"/>
      <c r="I279" s="35" t="str">
        <f t="shared" si="18"/>
        <v/>
      </c>
    </row>
    <row r="280" spans="1:9">
      <c r="A280" s="10" t="str">
        <f t="shared" si="19"/>
        <v/>
      </c>
      <c r="B280" s="53"/>
      <c r="C280" s="28" t="str">
        <f t="shared" si="16"/>
        <v/>
      </c>
      <c r="D280" s="28" t="str">
        <f t="shared" si="17"/>
        <v/>
      </c>
      <c r="E280" s="77"/>
      <c r="F280" s="45"/>
      <c r="G280" s="56"/>
      <c r="H280" s="83"/>
      <c r="I280" s="35" t="str">
        <f t="shared" si="18"/>
        <v/>
      </c>
    </row>
    <row r="281" spans="1:9">
      <c r="A281" s="10" t="str">
        <f t="shared" si="19"/>
        <v/>
      </c>
      <c r="B281" s="53"/>
      <c r="C281" s="28" t="str">
        <f t="shared" si="16"/>
        <v/>
      </c>
      <c r="D281" s="28" t="str">
        <f t="shared" si="17"/>
        <v/>
      </c>
      <c r="E281" s="77"/>
      <c r="F281" s="45"/>
      <c r="G281" s="56"/>
      <c r="H281" s="83"/>
      <c r="I281" s="35" t="str">
        <f t="shared" si="18"/>
        <v/>
      </c>
    </row>
    <row r="282" spans="1:9">
      <c r="A282" s="10" t="str">
        <f t="shared" si="19"/>
        <v/>
      </c>
      <c r="B282" s="53"/>
      <c r="C282" s="28" t="str">
        <f t="shared" si="16"/>
        <v/>
      </c>
      <c r="D282" s="28" t="str">
        <f t="shared" si="17"/>
        <v/>
      </c>
      <c r="E282" s="77"/>
      <c r="F282" s="45"/>
      <c r="G282" s="56"/>
      <c r="H282" s="83"/>
      <c r="I282" s="35" t="str">
        <f t="shared" si="18"/>
        <v/>
      </c>
    </row>
    <row r="283" spans="1:9">
      <c r="A283" s="10" t="str">
        <f t="shared" si="19"/>
        <v/>
      </c>
      <c r="B283" s="53"/>
      <c r="C283" s="28" t="str">
        <f t="shared" si="16"/>
        <v/>
      </c>
      <c r="D283" s="28" t="str">
        <f t="shared" si="17"/>
        <v/>
      </c>
      <c r="E283" s="77"/>
      <c r="F283" s="45"/>
      <c r="G283" s="56"/>
      <c r="H283" s="83"/>
      <c r="I283" s="35" t="str">
        <f t="shared" si="18"/>
        <v/>
      </c>
    </row>
    <row r="284" spans="1:9">
      <c r="A284" s="10" t="str">
        <f t="shared" si="19"/>
        <v/>
      </c>
      <c r="B284" s="53"/>
      <c r="C284" s="28" t="str">
        <f t="shared" si="16"/>
        <v/>
      </c>
      <c r="D284" s="28" t="str">
        <f t="shared" si="17"/>
        <v/>
      </c>
      <c r="E284" s="77"/>
      <c r="F284" s="45"/>
      <c r="G284" s="56"/>
      <c r="H284" s="83"/>
      <c r="I284" s="35" t="str">
        <f t="shared" si="18"/>
        <v/>
      </c>
    </row>
    <row r="285" spans="1:9">
      <c r="A285" s="10" t="str">
        <f t="shared" si="19"/>
        <v/>
      </c>
      <c r="B285" s="53"/>
      <c r="C285" s="28" t="str">
        <f t="shared" si="16"/>
        <v/>
      </c>
      <c r="D285" s="28" t="str">
        <f t="shared" si="17"/>
        <v/>
      </c>
      <c r="E285" s="77"/>
      <c r="F285" s="45"/>
      <c r="G285" s="56"/>
      <c r="H285" s="83"/>
      <c r="I285" s="35" t="str">
        <f t="shared" si="18"/>
        <v/>
      </c>
    </row>
    <row r="286" spans="1:9">
      <c r="A286" s="10" t="str">
        <f t="shared" si="19"/>
        <v/>
      </c>
      <c r="B286" s="53"/>
      <c r="C286" s="28" t="str">
        <f t="shared" si="16"/>
        <v/>
      </c>
      <c r="D286" s="28" t="str">
        <f t="shared" si="17"/>
        <v/>
      </c>
      <c r="E286" s="77"/>
      <c r="F286" s="45"/>
      <c r="G286" s="56"/>
      <c r="H286" s="83"/>
      <c r="I286" s="35" t="str">
        <f t="shared" si="18"/>
        <v/>
      </c>
    </row>
    <row r="287" spans="1:9">
      <c r="A287" s="10" t="str">
        <f t="shared" si="19"/>
        <v/>
      </c>
      <c r="B287" s="53"/>
      <c r="C287" s="28" t="str">
        <f t="shared" si="16"/>
        <v/>
      </c>
      <c r="D287" s="28" t="str">
        <f t="shared" si="17"/>
        <v/>
      </c>
      <c r="E287" s="77"/>
      <c r="F287" s="45"/>
      <c r="G287" s="56"/>
      <c r="H287" s="83"/>
      <c r="I287" s="35" t="str">
        <f t="shared" si="18"/>
        <v/>
      </c>
    </row>
    <row r="288" spans="1:9">
      <c r="A288" s="10" t="str">
        <f t="shared" si="19"/>
        <v/>
      </c>
      <c r="B288" s="53"/>
      <c r="C288" s="28" t="str">
        <f t="shared" si="16"/>
        <v/>
      </c>
      <c r="D288" s="28" t="str">
        <f t="shared" si="17"/>
        <v/>
      </c>
      <c r="E288" s="77"/>
      <c r="F288" s="45"/>
      <c r="G288" s="56"/>
      <c r="H288" s="83"/>
      <c r="I288" s="35" t="str">
        <f t="shared" si="18"/>
        <v/>
      </c>
    </row>
    <row r="289" spans="1:9">
      <c r="A289" s="10" t="str">
        <f t="shared" si="19"/>
        <v/>
      </c>
      <c r="B289" s="53"/>
      <c r="C289" s="28" t="str">
        <f t="shared" si="16"/>
        <v/>
      </c>
      <c r="D289" s="28" t="str">
        <f t="shared" si="17"/>
        <v/>
      </c>
      <c r="E289" s="77"/>
      <c r="F289" s="45"/>
      <c r="G289" s="56"/>
      <c r="H289" s="83"/>
      <c r="I289" s="35" t="str">
        <f t="shared" si="18"/>
        <v/>
      </c>
    </row>
    <row r="290" spans="1:9">
      <c r="A290" s="10" t="str">
        <f t="shared" si="19"/>
        <v/>
      </c>
      <c r="B290" s="53"/>
      <c r="C290" s="28" t="str">
        <f t="shared" si="16"/>
        <v/>
      </c>
      <c r="D290" s="28" t="str">
        <f t="shared" si="17"/>
        <v/>
      </c>
      <c r="E290" s="77"/>
      <c r="F290" s="45"/>
      <c r="G290" s="56"/>
      <c r="H290" s="83"/>
      <c r="I290" s="35" t="str">
        <f t="shared" si="18"/>
        <v/>
      </c>
    </row>
    <row r="291" spans="1:9">
      <c r="A291" s="10" t="str">
        <f t="shared" si="19"/>
        <v/>
      </c>
      <c r="B291" s="53"/>
      <c r="C291" s="28" t="str">
        <f t="shared" si="16"/>
        <v/>
      </c>
      <c r="D291" s="28" t="str">
        <f t="shared" si="17"/>
        <v/>
      </c>
      <c r="E291" s="77"/>
      <c r="F291" s="45"/>
      <c r="G291" s="56"/>
      <c r="H291" s="83"/>
      <c r="I291" s="35" t="str">
        <f t="shared" si="18"/>
        <v/>
      </c>
    </row>
    <row r="292" spans="1:9">
      <c r="A292" s="10" t="str">
        <f t="shared" si="19"/>
        <v/>
      </c>
      <c r="B292" s="53"/>
      <c r="C292" s="28" t="str">
        <f t="shared" si="16"/>
        <v/>
      </c>
      <c r="D292" s="28" t="str">
        <f t="shared" si="17"/>
        <v/>
      </c>
      <c r="E292" s="77"/>
      <c r="F292" s="45"/>
      <c r="G292" s="56"/>
      <c r="H292" s="83"/>
      <c r="I292" s="35" t="str">
        <f t="shared" si="18"/>
        <v/>
      </c>
    </row>
    <row r="293" spans="1:9">
      <c r="A293" s="10" t="str">
        <f t="shared" si="19"/>
        <v/>
      </c>
      <c r="B293" s="53"/>
      <c r="C293" s="28" t="str">
        <f t="shared" si="16"/>
        <v/>
      </c>
      <c r="D293" s="28" t="str">
        <f t="shared" si="17"/>
        <v/>
      </c>
      <c r="E293" s="77"/>
      <c r="F293" s="45"/>
      <c r="G293" s="56"/>
      <c r="H293" s="83"/>
      <c r="I293" s="35" t="str">
        <f t="shared" si="18"/>
        <v/>
      </c>
    </row>
    <row r="294" spans="1:9">
      <c r="A294" s="10" t="str">
        <f t="shared" si="19"/>
        <v/>
      </c>
      <c r="B294" s="53"/>
      <c r="C294" s="28" t="str">
        <f t="shared" si="16"/>
        <v/>
      </c>
      <c r="D294" s="28" t="str">
        <f t="shared" si="17"/>
        <v/>
      </c>
      <c r="E294" s="77"/>
      <c r="F294" s="45"/>
      <c r="G294" s="56"/>
      <c r="H294" s="83"/>
      <c r="I294" s="35" t="str">
        <f t="shared" si="18"/>
        <v/>
      </c>
    </row>
    <row r="295" spans="1:9">
      <c r="A295" s="10" t="str">
        <f t="shared" si="19"/>
        <v/>
      </c>
      <c r="B295" s="53"/>
      <c r="C295" s="28" t="str">
        <f t="shared" si="16"/>
        <v/>
      </c>
      <c r="D295" s="28" t="str">
        <f t="shared" si="17"/>
        <v/>
      </c>
      <c r="E295" s="77"/>
      <c r="F295" s="45"/>
      <c r="G295" s="56"/>
      <c r="H295" s="83"/>
      <c r="I295" s="35" t="str">
        <f t="shared" si="18"/>
        <v/>
      </c>
    </row>
    <row r="296" spans="1:9">
      <c r="A296" s="10" t="str">
        <f t="shared" si="19"/>
        <v/>
      </c>
      <c r="B296" s="53"/>
      <c r="C296" s="28" t="str">
        <f t="shared" si="16"/>
        <v/>
      </c>
      <c r="D296" s="28" t="str">
        <f t="shared" si="17"/>
        <v/>
      </c>
      <c r="E296" s="77"/>
      <c r="F296" s="45"/>
      <c r="G296" s="56"/>
      <c r="H296" s="83"/>
      <c r="I296" s="35" t="str">
        <f t="shared" si="18"/>
        <v/>
      </c>
    </row>
    <row r="297" spans="1:9">
      <c r="A297" s="10" t="str">
        <f t="shared" si="19"/>
        <v/>
      </c>
      <c r="B297" s="53"/>
      <c r="C297" s="28" t="str">
        <f t="shared" si="16"/>
        <v/>
      </c>
      <c r="D297" s="28" t="str">
        <f t="shared" si="17"/>
        <v/>
      </c>
      <c r="E297" s="77"/>
      <c r="F297" s="45"/>
      <c r="G297" s="56"/>
      <c r="H297" s="83"/>
      <c r="I297" s="35" t="str">
        <f t="shared" si="18"/>
        <v/>
      </c>
    </row>
    <row r="298" spans="1:9">
      <c r="A298" s="10" t="str">
        <f t="shared" si="19"/>
        <v/>
      </c>
      <c r="B298" s="53"/>
      <c r="C298" s="28" t="str">
        <f t="shared" si="16"/>
        <v/>
      </c>
      <c r="D298" s="28" t="str">
        <f t="shared" si="17"/>
        <v/>
      </c>
      <c r="E298" s="77"/>
      <c r="F298" s="45"/>
      <c r="G298" s="56"/>
      <c r="H298" s="83"/>
      <c r="I298" s="35" t="str">
        <f t="shared" si="18"/>
        <v/>
      </c>
    </row>
    <row r="299" spans="1:9">
      <c r="A299" s="10" t="str">
        <f t="shared" si="19"/>
        <v/>
      </c>
      <c r="B299" s="53"/>
      <c r="C299" s="28" t="str">
        <f t="shared" si="16"/>
        <v/>
      </c>
      <c r="D299" s="28" t="str">
        <f t="shared" si="17"/>
        <v/>
      </c>
      <c r="E299" s="77"/>
      <c r="F299" s="45"/>
      <c r="G299" s="56"/>
      <c r="H299" s="83"/>
      <c r="I299" s="35" t="str">
        <f t="shared" si="18"/>
        <v/>
      </c>
    </row>
    <row r="300" spans="1:9">
      <c r="A300" s="10" t="str">
        <f t="shared" si="19"/>
        <v/>
      </c>
      <c r="B300" s="53"/>
      <c r="C300" s="28" t="str">
        <f t="shared" si="16"/>
        <v/>
      </c>
      <c r="D300" s="28" t="str">
        <f t="shared" si="17"/>
        <v/>
      </c>
      <c r="E300" s="77"/>
      <c r="F300" s="45"/>
      <c r="G300" s="56"/>
      <c r="H300" s="83"/>
      <c r="I300" s="35" t="str">
        <f t="shared" si="18"/>
        <v/>
      </c>
    </row>
    <row r="301" spans="1:9">
      <c r="A301" s="10" t="str">
        <f t="shared" si="19"/>
        <v/>
      </c>
      <c r="B301" s="53"/>
      <c r="C301" s="28" t="str">
        <f t="shared" si="16"/>
        <v/>
      </c>
      <c r="D301" s="28" t="str">
        <f t="shared" si="17"/>
        <v/>
      </c>
      <c r="E301" s="77"/>
      <c r="F301" s="45"/>
      <c r="G301" s="56"/>
      <c r="H301" s="83"/>
      <c r="I301" s="35" t="str">
        <f t="shared" si="18"/>
        <v/>
      </c>
    </row>
    <row r="302" spans="1:9">
      <c r="A302" s="10" t="str">
        <f t="shared" si="19"/>
        <v/>
      </c>
      <c r="B302" s="53"/>
      <c r="C302" s="28" t="str">
        <f t="shared" si="16"/>
        <v/>
      </c>
      <c r="D302" s="28" t="str">
        <f t="shared" si="17"/>
        <v/>
      </c>
      <c r="E302" s="77"/>
      <c r="F302" s="45"/>
      <c r="G302" s="56"/>
      <c r="H302" s="83"/>
      <c r="I302" s="35" t="str">
        <f t="shared" si="18"/>
        <v/>
      </c>
    </row>
    <row r="303" spans="1:9">
      <c r="A303" s="10" t="str">
        <f t="shared" si="19"/>
        <v/>
      </c>
      <c r="B303" s="53"/>
      <c r="C303" s="28" t="str">
        <f t="shared" si="16"/>
        <v/>
      </c>
      <c r="D303" s="28" t="str">
        <f t="shared" si="17"/>
        <v/>
      </c>
      <c r="E303" s="77"/>
      <c r="F303" s="45"/>
      <c r="G303" s="56"/>
      <c r="H303" s="83"/>
      <c r="I303" s="35" t="str">
        <f t="shared" si="18"/>
        <v/>
      </c>
    </row>
    <row r="304" spans="1:9">
      <c r="A304" s="10" t="str">
        <f t="shared" si="19"/>
        <v/>
      </c>
      <c r="B304" s="53"/>
      <c r="C304" s="28" t="str">
        <f t="shared" si="16"/>
        <v/>
      </c>
      <c r="D304" s="28" t="str">
        <f t="shared" si="17"/>
        <v/>
      </c>
      <c r="E304" s="77"/>
      <c r="F304" s="45"/>
      <c r="G304" s="56"/>
      <c r="H304" s="83"/>
      <c r="I304" s="35" t="str">
        <f t="shared" si="18"/>
        <v/>
      </c>
    </row>
    <row r="305" spans="1:9">
      <c r="A305" s="10" t="str">
        <f t="shared" si="19"/>
        <v/>
      </c>
      <c r="B305" s="53"/>
      <c r="C305" s="28" t="str">
        <f t="shared" si="16"/>
        <v/>
      </c>
      <c r="D305" s="28" t="str">
        <f t="shared" si="17"/>
        <v/>
      </c>
      <c r="E305" s="77"/>
      <c r="F305" s="45"/>
      <c r="G305" s="56"/>
      <c r="H305" s="83"/>
      <c r="I305" s="35" t="str">
        <f t="shared" si="18"/>
        <v/>
      </c>
    </row>
    <row r="306" spans="1:9">
      <c r="A306" s="10" t="str">
        <f t="shared" si="19"/>
        <v/>
      </c>
      <c r="B306" s="53"/>
      <c r="C306" s="28" t="str">
        <f t="shared" si="16"/>
        <v/>
      </c>
      <c r="D306" s="28" t="str">
        <f t="shared" si="17"/>
        <v/>
      </c>
      <c r="E306" s="77"/>
      <c r="F306" s="45"/>
      <c r="G306" s="56"/>
      <c r="H306" s="83"/>
      <c r="I306" s="35" t="str">
        <f t="shared" si="18"/>
        <v/>
      </c>
    </row>
    <row r="307" spans="1:9">
      <c r="A307" s="10" t="str">
        <f t="shared" si="19"/>
        <v/>
      </c>
      <c r="B307" s="53"/>
      <c r="C307" s="28" t="str">
        <f t="shared" si="16"/>
        <v/>
      </c>
      <c r="D307" s="28" t="str">
        <f t="shared" si="17"/>
        <v/>
      </c>
      <c r="E307" s="77"/>
      <c r="F307" s="45"/>
      <c r="G307" s="56"/>
      <c r="H307" s="83"/>
      <c r="I307" s="35" t="str">
        <f t="shared" si="18"/>
        <v/>
      </c>
    </row>
    <row r="308" spans="1:9">
      <c r="A308" s="10" t="str">
        <f t="shared" si="19"/>
        <v/>
      </c>
      <c r="B308" s="53"/>
      <c r="C308" s="28" t="str">
        <f t="shared" si="16"/>
        <v/>
      </c>
      <c r="D308" s="28" t="str">
        <f t="shared" si="17"/>
        <v/>
      </c>
      <c r="E308" s="77"/>
      <c r="F308" s="45"/>
      <c r="G308" s="56"/>
      <c r="H308" s="83"/>
      <c r="I308" s="35" t="str">
        <f t="shared" si="18"/>
        <v/>
      </c>
    </row>
    <row r="309" spans="1:9">
      <c r="A309" s="10" t="str">
        <f t="shared" si="19"/>
        <v/>
      </c>
      <c r="B309" s="53"/>
      <c r="C309" s="28" t="str">
        <f t="shared" si="16"/>
        <v/>
      </c>
      <c r="D309" s="28" t="str">
        <f t="shared" si="17"/>
        <v/>
      </c>
      <c r="E309" s="77"/>
      <c r="F309" s="45"/>
      <c r="G309" s="56"/>
      <c r="H309" s="83"/>
      <c r="I309" s="35" t="str">
        <f t="shared" si="18"/>
        <v/>
      </c>
    </row>
    <row r="310" spans="1:9">
      <c r="A310" s="10" t="str">
        <f t="shared" si="19"/>
        <v/>
      </c>
      <c r="B310" s="53"/>
      <c r="C310" s="28" t="str">
        <f t="shared" si="16"/>
        <v/>
      </c>
      <c r="D310" s="28" t="str">
        <f t="shared" si="17"/>
        <v/>
      </c>
      <c r="E310" s="77"/>
      <c r="F310" s="45"/>
      <c r="G310" s="56"/>
      <c r="H310" s="83"/>
      <c r="I310" s="35" t="str">
        <f t="shared" si="18"/>
        <v/>
      </c>
    </row>
    <row r="311" spans="1:9">
      <c r="A311" s="10" t="str">
        <f t="shared" si="19"/>
        <v/>
      </c>
      <c r="B311" s="53"/>
      <c r="C311" s="28" t="str">
        <f t="shared" si="16"/>
        <v/>
      </c>
      <c r="D311" s="28" t="str">
        <f t="shared" si="17"/>
        <v/>
      </c>
      <c r="E311" s="77"/>
      <c r="F311" s="45"/>
      <c r="G311" s="56"/>
      <c r="H311" s="83"/>
      <c r="I311" s="35" t="str">
        <f t="shared" si="18"/>
        <v/>
      </c>
    </row>
    <row r="312" spans="1:9">
      <c r="A312" s="10" t="str">
        <f t="shared" si="19"/>
        <v/>
      </c>
      <c r="B312" s="53"/>
      <c r="C312" s="28" t="str">
        <f t="shared" si="16"/>
        <v/>
      </c>
      <c r="D312" s="28" t="str">
        <f t="shared" si="17"/>
        <v/>
      </c>
      <c r="E312" s="77"/>
      <c r="F312" s="45"/>
      <c r="G312" s="56"/>
      <c r="H312" s="83"/>
      <c r="I312" s="35" t="str">
        <f t="shared" si="18"/>
        <v/>
      </c>
    </row>
    <row r="313" spans="1:9">
      <c r="A313" s="10" t="str">
        <f t="shared" si="19"/>
        <v/>
      </c>
      <c r="B313" s="53"/>
      <c r="C313" s="28" t="str">
        <f t="shared" si="16"/>
        <v/>
      </c>
      <c r="D313" s="28" t="str">
        <f t="shared" si="17"/>
        <v/>
      </c>
      <c r="E313" s="77"/>
      <c r="F313" s="45"/>
      <c r="G313" s="56"/>
      <c r="H313" s="83"/>
      <c r="I313" s="35" t="str">
        <f t="shared" si="18"/>
        <v/>
      </c>
    </row>
    <row r="314" spans="1:9">
      <c r="A314" s="10" t="str">
        <f t="shared" si="19"/>
        <v/>
      </c>
      <c r="B314" s="53"/>
      <c r="C314" s="28" t="str">
        <f t="shared" si="16"/>
        <v/>
      </c>
      <c r="D314" s="28" t="str">
        <f t="shared" si="17"/>
        <v/>
      </c>
      <c r="E314" s="77"/>
      <c r="F314" s="45"/>
      <c r="G314" s="56"/>
      <c r="H314" s="83"/>
      <c r="I314" s="35" t="str">
        <f t="shared" si="18"/>
        <v/>
      </c>
    </row>
    <row r="315" spans="1:9">
      <c r="A315" s="10" t="str">
        <f t="shared" si="19"/>
        <v/>
      </c>
      <c r="B315" s="53"/>
      <c r="C315" s="28" t="str">
        <f t="shared" si="16"/>
        <v/>
      </c>
      <c r="D315" s="28" t="str">
        <f t="shared" si="17"/>
        <v/>
      </c>
      <c r="E315" s="77"/>
      <c r="F315" s="45"/>
      <c r="G315" s="56"/>
      <c r="H315" s="83"/>
      <c r="I315" s="35" t="str">
        <f t="shared" si="18"/>
        <v/>
      </c>
    </row>
    <row r="316" spans="1:9">
      <c r="A316" s="10" t="str">
        <f t="shared" si="19"/>
        <v/>
      </c>
      <c r="B316" s="53"/>
      <c r="C316" s="28" t="str">
        <f t="shared" si="16"/>
        <v/>
      </c>
      <c r="D316" s="28" t="str">
        <f t="shared" si="17"/>
        <v/>
      </c>
      <c r="E316" s="77"/>
      <c r="F316" s="45"/>
      <c r="G316" s="56"/>
      <c r="H316" s="83"/>
      <c r="I316" s="35" t="str">
        <f t="shared" si="18"/>
        <v/>
      </c>
    </row>
    <row r="317" spans="1:9">
      <c r="A317" s="10" t="str">
        <f t="shared" si="19"/>
        <v/>
      </c>
      <c r="B317" s="53"/>
      <c r="C317" s="28" t="str">
        <f t="shared" si="16"/>
        <v/>
      </c>
      <c r="D317" s="28" t="str">
        <f t="shared" si="17"/>
        <v/>
      </c>
      <c r="E317" s="77"/>
      <c r="F317" s="45"/>
      <c r="G317" s="56"/>
      <c r="H317" s="83"/>
      <c r="I317" s="35" t="str">
        <f t="shared" si="18"/>
        <v/>
      </c>
    </row>
    <row r="318" spans="1:9">
      <c r="A318" s="10" t="str">
        <f t="shared" si="19"/>
        <v/>
      </c>
      <c r="B318" s="53"/>
      <c r="C318" s="28" t="str">
        <f t="shared" si="16"/>
        <v/>
      </c>
      <c r="D318" s="28" t="str">
        <f t="shared" si="17"/>
        <v/>
      </c>
      <c r="E318" s="77"/>
      <c r="F318" s="45"/>
      <c r="G318" s="56"/>
      <c r="H318" s="83"/>
      <c r="I318" s="35" t="str">
        <f t="shared" si="18"/>
        <v/>
      </c>
    </row>
    <row r="319" spans="1:9">
      <c r="A319" s="10" t="str">
        <f t="shared" si="19"/>
        <v/>
      </c>
      <c r="B319" s="53"/>
      <c r="C319" s="28" t="str">
        <f t="shared" si="16"/>
        <v/>
      </c>
      <c r="D319" s="28" t="str">
        <f t="shared" si="17"/>
        <v/>
      </c>
      <c r="E319" s="77"/>
      <c r="F319" s="45"/>
      <c r="G319" s="56"/>
      <c r="H319" s="83"/>
      <c r="I319" s="35" t="str">
        <f t="shared" si="18"/>
        <v/>
      </c>
    </row>
    <row r="320" spans="1:9">
      <c r="A320" s="10" t="str">
        <f t="shared" si="19"/>
        <v/>
      </c>
      <c r="B320" s="53"/>
      <c r="C320" s="28" t="str">
        <f t="shared" si="16"/>
        <v/>
      </c>
      <c r="D320" s="28" t="str">
        <f t="shared" si="17"/>
        <v/>
      </c>
      <c r="E320" s="77"/>
      <c r="F320" s="45"/>
      <c r="G320" s="56"/>
      <c r="H320" s="83"/>
      <c r="I320" s="35" t="str">
        <f t="shared" si="18"/>
        <v/>
      </c>
    </row>
    <row r="321" spans="1:9">
      <c r="A321" s="10" t="str">
        <f t="shared" si="19"/>
        <v/>
      </c>
      <c r="B321" s="53"/>
      <c r="C321" s="28" t="str">
        <f t="shared" si="16"/>
        <v/>
      </c>
      <c r="D321" s="28" t="str">
        <f t="shared" si="17"/>
        <v/>
      </c>
      <c r="E321" s="77"/>
      <c r="F321" s="45"/>
      <c r="G321" s="56"/>
      <c r="H321" s="83"/>
      <c r="I321" s="35" t="str">
        <f t="shared" si="18"/>
        <v/>
      </c>
    </row>
    <row r="322" spans="1:9">
      <c r="A322" s="10" t="str">
        <f t="shared" si="19"/>
        <v/>
      </c>
      <c r="B322" s="53"/>
      <c r="C322" s="28" t="str">
        <f t="shared" ref="C322:C385" si="20">IF(B322=0,"",TEXT(B322,"mmmm"))</f>
        <v/>
      </c>
      <c r="D322" s="28" t="str">
        <f t="shared" ref="D322:D385" si="21">IF(B322=0,"",TEXT(B322,"yyyy"))</f>
        <v/>
      </c>
      <c r="E322" s="77"/>
      <c r="F322" s="45"/>
      <c r="G322" s="56"/>
      <c r="H322" s="83"/>
      <c r="I322" s="35" t="str">
        <f t="shared" ref="I322:I385" si="22">IF(G322*H322=0,"",G322*H322)</f>
        <v/>
      </c>
    </row>
    <row r="323" spans="1:9">
      <c r="A323" s="10" t="str">
        <f t="shared" si="19"/>
        <v/>
      </c>
      <c r="B323" s="53"/>
      <c r="C323" s="28" t="str">
        <f t="shared" si="20"/>
        <v/>
      </c>
      <c r="D323" s="28" t="str">
        <f t="shared" si="21"/>
        <v/>
      </c>
      <c r="E323" s="77"/>
      <c r="F323" s="45"/>
      <c r="G323" s="56"/>
      <c r="H323" s="83"/>
      <c r="I323" s="35" t="str">
        <f t="shared" si="22"/>
        <v/>
      </c>
    </row>
    <row r="324" spans="1:9">
      <c r="A324" s="10" t="str">
        <f t="shared" ref="A324:A387" si="23">IF(E324&gt;0,A323+1,"")</f>
        <v/>
      </c>
      <c r="B324" s="53"/>
      <c r="C324" s="28" t="str">
        <f t="shared" si="20"/>
        <v/>
      </c>
      <c r="D324" s="28" t="str">
        <f t="shared" si="21"/>
        <v/>
      </c>
      <c r="E324" s="77"/>
      <c r="F324" s="45"/>
      <c r="G324" s="56"/>
      <c r="H324" s="83"/>
      <c r="I324" s="35" t="str">
        <f t="shared" si="22"/>
        <v/>
      </c>
    </row>
    <row r="325" spans="1:9">
      <c r="A325" s="10" t="str">
        <f t="shared" si="23"/>
        <v/>
      </c>
      <c r="B325" s="53"/>
      <c r="C325" s="28" t="str">
        <f t="shared" si="20"/>
        <v/>
      </c>
      <c r="D325" s="28" t="str">
        <f t="shared" si="21"/>
        <v/>
      </c>
      <c r="E325" s="77"/>
      <c r="F325" s="45"/>
      <c r="G325" s="56"/>
      <c r="H325" s="83"/>
      <c r="I325" s="35" t="str">
        <f t="shared" si="22"/>
        <v/>
      </c>
    </row>
    <row r="326" spans="1:9">
      <c r="A326" s="10" t="str">
        <f t="shared" si="23"/>
        <v/>
      </c>
      <c r="B326" s="53"/>
      <c r="C326" s="28" t="str">
        <f t="shared" si="20"/>
        <v/>
      </c>
      <c r="D326" s="28" t="str">
        <f t="shared" si="21"/>
        <v/>
      </c>
      <c r="E326" s="77"/>
      <c r="F326" s="45"/>
      <c r="G326" s="56"/>
      <c r="H326" s="83"/>
      <c r="I326" s="35" t="str">
        <f t="shared" si="22"/>
        <v/>
      </c>
    </row>
    <row r="327" spans="1:9">
      <c r="A327" s="10" t="str">
        <f t="shared" si="23"/>
        <v/>
      </c>
      <c r="B327" s="53"/>
      <c r="C327" s="28" t="str">
        <f t="shared" si="20"/>
        <v/>
      </c>
      <c r="D327" s="28" t="str">
        <f t="shared" si="21"/>
        <v/>
      </c>
      <c r="E327" s="77"/>
      <c r="F327" s="45"/>
      <c r="G327" s="56"/>
      <c r="H327" s="83"/>
      <c r="I327" s="35" t="str">
        <f t="shared" si="22"/>
        <v/>
      </c>
    </row>
    <row r="328" spans="1:9">
      <c r="A328" s="10" t="str">
        <f t="shared" si="23"/>
        <v/>
      </c>
      <c r="B328" s="53"/>
      <c r="C328" s="28" t="str">
        <f t="shared" si="20"/>
        <v/>
      </c>
      <c r="D328" s="28" t="str">
        <f t="shared" si="21"/>
        <v/>
      </c>
      <c r="E328" s="77"/>
      <c r="F328" s="45"/>
      <c r="G328" s="56"/>
      <c r="H328" s="83"/>
      <c r="I328" s="35" t="str">
        <f t="shared" si="22"/>
        <v/>
      </c>
    </row>
    <row r="329" spans="1:9">
      <c r="A329" s="10" t="str">
        <f t="shared" si="23"/>
        <v/>
      </c>
      <c r="B329" s="53"/>
      <c r="C329" s="28" t="str">
        <f t="shared" si="20"/>
        <v/>
      </c>
      <c r="D329" s="28" t="str">
        <f t="shared" si="21"/>
        <v/>
      </c>
      <c r="E329" s="77"/>
      <c r="F329" s="45"/>
      <c r="G329" s="56"/>
      <c r="H329" s="83"/>
      <c r="I329" s="35" t="str">
        <f t="shared" si="22"/>
        <v/>
      </c>
    </row>
    <row r="330" spans="1:9">
      <c r="A330" s="10" t="str">
        <f t="shared" si="23"/>
        <v/>
      </c>
      <c r="B330" s="53"/>
      <c r="C330" s="28" t="str">
        <f t="shared" si="20"/>
        <v/>
      </c>
      <c r="D330" s="28" t="str">
        <f t="shared" si="21"/>
        <v/>
      </c>
      <c r="E330" s="77"/>
      <c r="F330" s="45"/>
      <c r="G330" s="56"/>
      <c r="H330" s="83"/>
      <c r="I330" s="35" t="str">
        <f t="shared" si="22"/>
        <v/>
      </c>
    </row>
    <row r="331" spans="1:9">
      <c r="A331" s="10" t="str">
        <f t="shared" si="23"/>
        <v/>
      </c>
      <c r="B331" s="53"/>
      <c r="C331" s="28" t="str">
        <f t="shared" si="20"/>
        <v/>
      </c>
      <c r="D331" s="28" t="str">
        <f t="shared" si="21"/>
        <v/>
      </c>
      <c r="E331" s="77"/>
      <c r="F331" s="45"/>
      <c r="G331" s="56"/>
      <c r="H331" s="83"/>
      <c r="I331" s="35" t="str">
        <f t="shared" si="22"/>
        <v/>
      </c>
    </row>
    <row r="332" spans="1:9">
      <c r="A332" s="10" t="str">
        <f t="shared" si="23"/>
        <v/>
      </c>
      <c r="B332" s="53"/>
      <c r="C332" s="28" t="str">
        <f t="shared" si="20"/>
        <v/>
      </c>
      <c r="D332" s="28" t="str">
        <f t="shared" si="21"/>
        <v/>
      </c>
      <c r="E332" s="77"/>
      <c r="F332" s="45"/>
      <c r="G332" s="56"/>
      <c r="H332" s="83"/>
      <c r="I332" s="35" t="str">
        <f t="shared" si="22"/>
        <v/>
      </c>
    </row>
    <row r="333" spans="1:9">
      <c r="A333" s="10" t="str">
        <f t="shared" si="23"/>
        <v/>
      </c>
      <c r="B333" s="53"/>
      <c r="C333" s="28" t="str">
        <f t="shared" si="20"/>
        <v/>
      </c>
      <c r="D333" s="28" t="str">
        <f t="shared" si="21"/>
        <v/>
      </c>
      <c r="E333" s="77"/>
      <c r="F333" s="45"/>
      <c r="G333" s="56"/>
      <c r="H333" s="83"/>
      <c r="I333" s="35" t="str">
        <f t="shared" si="22"/>
        <v/>
      </c>
    </row>
    <row r="334" spans="1:9">
      <c r="A334" s="10" t="str">
        <f t="shared" si="23"/>
        <v/>
      </c>
      <c r="B334" s="53"/>
      <c r="C334" s="28" t="str">
        <f t="shared" si="20"/>
        <v/>
      </c>
      <c r="D334" s="28" t="str">
        <f t="shared" si="21"/>
        <v/>
      </c>
      <c r="E334" s="77"/>
      <c r="F334" s="45"/>
      <c r="G334" s="56"/>
      <c r="H334" s="83"/>
      <c r="I334" s="35" t="str">
        <f t="shared" si="22"/>
        <v/>
      </c>
    </row>
    <row r="335" spans="1:9">
      <c r="A335" s="10" t="str">
        <f t="shared" si="23"/>
        <v/>
      </c>
      <c r="B335" s="53"/>
      <c r="C335" s="28" t="str">
        <f t="shared" si="20"/>
        <v/>
      </c>
      <c r="D335" s="28" t="str">
        <f t="shared" si="21"/>
        <v/>
      </c>
      <c r="E335" s="77"/>
      <c r="F335" s="45"/>
      <c r="G335" s="56"/>
      <c r="H335" s="83"/>
      <c r="I335" s="35" t="str">
        <f t="shared" si="22"/>
        <v/>
      </c>
    </row>
    <row r="336" spans="1:9">
      <c r="A336" s="10" t="str">
        <f t="shared" si="23"/>
        <v/>
      </c>
      <c r="B336" s="53"/>
      <c r="C336" s="28" t="str">
        <f t="shared" si="20"/>
        <v/>
      </c>
      <c r="D336" s="28" t="str">
        <f t="shared" si="21"/>
        <v/>
      </c>
      <c r="E336" s="77"/>
      <c r="F336" s="45"/>
      <c r="G336" s="56"/>
      <c r="H336" s="83"/>
      <c r="I336" s="35" t="str">
        <f t="shared" si="22"/>
        <v/>
      </c>
    </row>
    <row r="337" spans="1:9">
      <c r="A337" s="10" t="str">
        <f t="shared" si="23"/>
        <v/>
      </c>
      <c r="B337" s="53"/>
      <c r="C337" s="28" t="str">
        <f t="shared" si="20"/>
        <v/>
      </c>
      <c r="D337" s="28" t="str">
        <f t="shared" si="21"/>
        <v/>
      </c>
      <c r="E337" s="77"/>
      <c r="F337" s="45"/>
      <c r="G337" s="56"/>
      <c r="H337" s="83"/>
      <c r="I337" s="35" t="str">
        <f t="shared" si="22"/>
        <v/>
      </c>
    </row>
    <row r="338" spans="1:9">
      <c r="A338" s="10" t="str">
        <f t="shared" si="23"/>
        <v/>
      </c>
      <c r="B338" s="53"/>
      <c r="C338" s="28" t="str">
        <f t="shared" si="20"/>
        <v/>
      </c>
      <c r="D338" s="28" t="str">
        <f t="shared" si="21"/>
        <v/>
      </c>
      <c r="E338" s="77"/>
      <c r="F338" s="45"/>
      <c r="G338" s="56"/>
      <c r="H338" s="83"/>
      <c r="I338" s="35" t="str">
        <f t="shared" si="22"/>
        <v/>
      </c>
    </row>
    <row r="339" spans="1:9">
      <c r="A339" s="10" t="str">
        <f t="shared" si="23"/>
        <v/>
      </c>
      <c r="B339" s="53"/>
      <c r="C339" s="28" t="str">
        <f t="shared" si="20"/>
        <v/>
      </c>
      <c r="D339" s="28" t="str">
        <f t="shared" si="21"/>
        <v/>
      </c>
      <c r="E339" s="77"/>
      <c r="F339" s="45"/>
      <c r="G339" s="56"/>
      <c r="H339" s="83"/>
      <c r="I339" s="35" t="str">
        <f t="shared" si="22"/>
        <v/>
      </c>
    </row>
    <row r="340" spans="1:9">
      <c r="A340" s="10" t="str">
        <f t="shared" si="23"/>
        <v/>
      </c>
      <c r="B340" s="53"/>
      <c r="C340" s="28" t="str">
        <f t="shared" si="20"/>
        <v/>
      </c>
      <c r="D340" s="28" t="str">
        <f t="shared" si="21"/>
        <v/>
      </c>
      <c r="E340" s="77"/>
      <c r="F340" s="45"/>
      <c r="G340" s="56"/>
      <c r="H340" s="83"/>
      <c r="I340" s="35" t="str">
        <f t="shared" si="22"/>
        <v/>
      </c>
    </row>
    <row r="341" spans="1:9">
      <c r="A341" s="10" t="str">
        <f t="shared" si="23"/>
        <v/>
      </c>
      <c r="B341" s="53"/>
      <c r="C341" s="28" t="str">
        <f t="shared" si="20"/>
        <v/>
      </c>
      <c r="D341" s="28" t="str">
        <f t="shared" si="21"/>
        <v/>
      </c>
      <c r="E341" s="77"/>
      <c r="F341" s="45"/>
      <c r="G341" s="56"/>
      <c r="H341" s="83"/>
      <c r="I341" s="35" t="str">
        <f t="shared" si="22"/>
        <v/>
      </c>
    </row>
    <row r="342" spans="1:9">
      <c r="A342" s="10" t="str">
        <f t="shared" si="23"/>
        <v/>
      </c>
      <c r="B342" s="53"/>
      <c r="C342" s="28" t="str">
        <f t="shared" si="20"/>
        <v/>
      </c>
      <c r="D342" s="28" t="str">
        <f t="shared" si="21"/>
        <v/>
      </c>
      <c r="E342" s="77"/>
      <c r="F342" s="45"/>
      <c r="G342" s="56"/>
      <c r="H342" s="83"/>
      <c r="I342" s="35" t="str">
        <f t="shared" si="22"/>
        <v/>
      </c>
    </row>
    <row r="343" spans="1:9">
      <c r="A343" s="10" t="str">
        <f t="shared" si="23"/>
        <v/>
      </c>
      <c r="B343" s="53"/>
      <c r="C343" s="28" t="str">
        <f t="shared" si="20"/>
        <v/>
      </c>
      <c r="D343" s="28" t="str">
        <f t="shared" si="21"/>
        <v/>
      </c>
      <c r="E343" s="77"/>
      <c r="F343" s="45"/>
      <c r="G343" s="56"/>
      <c r="H343" s="83"/>
      <c r="I343" s="35" t="str">
        <f t="shared" si="22"/>
        <v/>
      </c>
    </row>
    <row r="344" spans="1:9">
      <c r="A344" s="10" t="str">
        <f t="shared" si="23"/>
        <v/>
      </c>
      <c r="B344" s="53"/>
      <c r="C344" s="28" t="str">
        <f t="shared" si="20"/>
        <v/>
      </c>
      <c r="D344" s="28" t="str">
        <f t="shared" si="21"/>
        <v/>
      </c>
      <c r="E344" s="77"/>
      <c r="F344" s="45"/>
      <c r="G344" s="56"/>
      <c r="H344" s="83"/>
      <c r="I344" s="35" t="str">
        <f t="shared" si="22"/>
        <v/>
      </c>
    </row>
    <row r="345" spans="1:9">
      <c r="A345" s="10" t="str">
        <f t="shared" si="23"/>
        <v/>
      </c>
      <c r="B345" s="53"/>
      <c r="C345" s="28" t="str">
        <f t="shared" si="20"/>
        <v/>
      </c>
      <c r="D345" s="28" t="str">
        <f t="shared" si="21"/>
        <v/>
      </c>
      <c r="E345" s="77"/>
      <c r="F345" s="45"/>
      <c r="G345" s="56"/>
      <c r="H345" s="83"/>
      <c r="I345" s="35" t="str">
        <f t="shared" si="22"/>
        <v/>
      </c>
    </row>
    <row r="346" spans="1:9">
      <c r="A346" s="10" t="str">
        <f t="shared" si="23"/>
        <v/>
      </c>
      <c r="B346" s="53"/>
      <c r="C346" s="28" t="str">
        <f t="shared" si="20"/>
        <v/>
      </c>
      <c r="D346" s="28" t="str">
        <f t="shared" si="21"/>
        <v/>
      </c>
      <c r="E346" s="77"/>
      <c r="F346" s="45"/>
      <c r="G346" s="56"/>
      <c r="H346" s="83"/>
      <c r="I346" s="35" t="str">
        <f t="shared" si="22"/>
        <v/>
      </c>
    </row>
    <row r="347" spans="1:9">
      <c r="A347" s="10" t="str">
        <f t="shared" si="23"/>
        <v/>
      </c>
      <c r="B347" s="53"/>
      <c r="C347" s="28" t="str">
        <f t="shared" si="20"/>
        <v/>
      </c>
      <c r="D347" s="28" t="str">
        <f t="shared" si="21"/>
        <v/>
      </c>
      <c r="E347" s="77"/>
      <c r="F347" s="45"/>
      <c r="G347" s="56"/>
      <c r="H347" s="83"/>
      <c r="I347" s="35" t="str">
        <f t="shared" si="22"/>
        <v/>
      </c>
    </row>
    <row r="348" spans="1:9">
      <c r="A348" s="10" t="str">
        <f t="shared" si="23"/>
        <v/>
      </c>
      <c r="B348" s="53"/>
      <c r="C348" s="28" t="str">
        <f t="shared" si="20"/>
        <v/>
      </c>
      <c r="D348" s="28" t="str">
        <f t="shared" si="21"/>
        <v/>
      </c>
      <c r="E348" s="77"/>
      <c r="F348" s="45"/>
      <c r="G348" s="56"/>
      <c r="H348" s="83"/>
      <c r="I348" s="35" t="str">
        <f t="shared" si="22"/>
        <v/>
      </c>
    </row>
    <row r="349" spans="1:9">
      <c r="A349" s="10" t="str">
        <f t="shared" si="23"/>
        <v/>
      </c>
      <c r="B349" s="53"/>
      <c r="C349" s="28" t="str">
        <f t="shared" si="20"/>
        <v/>
      </c>
      <c r="D349" s="28" t="str">
        <f t="shared" si="21"/>
        <v/>
      </c>
      <c r="E349" s="77"/>
      <c r="F349" s="45"/>
      <c r="G349" s="56"/>
      <c r="H349" s="83"/>
      <c r="I349" s="35" t="str">
        <f t="shared" si="22"/>
        <v/>
      </c>
    </row>
    <row r="350" spans="1:9">
      <c r="A350" s="10" t="str">
        <f t="shared" si="23"/>
        <v/>
      </c>
      <c r="B350" s="53"/>
      <c r="C350" s="28" t="str">
        <f t="shared" si="20"/>
        <v/>
      </c>
      <c r="D350" s="28" t="str">
        <f t="shared" si="21"/>
        <v/>
      </c>
      <c r="E350" s="77"/>
      <c r="F350" s="45"/>
      <c r="G350" s="56"/>
      <c r="H350" s="83"/>
      <c r="I350" s="35" t="str">
        <f t="shared" si="22"/>
        <v/>
      </c>
    </row>
    <row r="351" spans="1:9">
      <c r="A351" s="10" t="str">
        <f t="shared" si="23"/>
        <v/>
      </c>
      <c r="B351" s="53"/>
      <c r="C351" s="28" t="str">
        <f t="shared" si="20"/>
        <v/>
      </c>
      <c r="D351" s="28" t="str">
        <f t="shared" si="21"/>
        <v/>
      </c>
      <c r="E351" s="77"/>
      <c r="F351" s="45"/>
      <c r="G351" s="56"/>
      <c r="H351" s="83"/>
      <c r="I351" s="35" t="str">
        <f t="shared" si="22"/>
        <v/>
      </c>
    </row>
    <row r="352" spans="1:9">
      <c r="A352" s="10" t="str">
        <f t="shared" si="23"/>
        <v/>
      </c>
      <c r="B352" s="53"/>
      <c r="C352" s="28" t="str">
        <f t="shared" si="20"/>
        <v/>
      </c>
      <c r="D352" s="28" t="str">
        <f t="shared" si="21"/>
        <v/>
      </c>
      <c r="E352" s="77"/>
      <c r="F352" s="45"/>
      <c r="G352" s="56"/>
      <c r="H352" s="83"/>
      <c r="I352" s="35" t="str">
        <f t="shared" si="22"/>
        <v/>
      </c>
    </row>
    <row r="353" spans="1:9">
      <c r="A353" s="10" t="str">
        <f t="shared" si="23"/>
        <v/>
      </c>
      <c r="B353" s="53"/>
      <c r="C353" s="28" t="str">
        <f t="shared" si="20"/>
        <v/>
      </c>
      <c r="D353" s="28" t="str">
        <f t="shared" si="21"/>
        <v/>
      </c>
      <c r="E353" s="77"/>
      <c r="F353" s="45"/>
      <c r="G353" s="56"/>
      <c r="H353" s="83"/>
      <c r="I353" s="35" t="str">
        <f t="shared" si="22"/>
        <v/>
      </c>
    </row>
    <row r="354" spans="1:9">
      <c r="A354" s="10" t="str">
        <f t="shared" si="23"/>
        <v/>
      </c>
      <c r="B354" s="53"/>
      <c r="C354" s="28" t="str">
        <f t="shared" si="20"/>
        <v/>
      </c>
      <c r="D354" s="28" t="str">
        <f t="shared" si="21"/>
        <v/>
      </c>
      <c r="E354" s="77"/>
      <c r="F354" s="45"/>
      <c r="G354" s="56"/>
      <c r="H354" s="83"/>
      <c r="I354" s="35" t="str">
        <f t="shared" si="22"/>
        <v/>
      </c>
    </row>
    <row r="355" spans="1:9">
      <c r="A355" s="10" t="str">
        <f t="shared" si="23"/>
        <v/>
      </c>
      <c r="B355" s="53"/>
      <c r="C355" s="28" t="str">
        <f t="shared" si="20"/>
        <v/>
      </c>
      <c r="D355" s="28" t="str">
        <f t="shared" si="21"/>
        <v/>
      </c>
      <c r="E355" s="77"/>
      <c r="F355" s="45"/>
      <c r="G355" s="56"/>
      <c r="H355" s="83"/>
      <c r="I355" s="35" t="str">
        <f t="shared" si="22"/>
        <v/>
      </c>
    </row>
    <row r="356" spans="1:9">
      <c r="A356" s="10" t="str">
        <f t="shared" si="23"/>
        <v/>
      </c>
      <c r="B356" s="53"/>
      <c r="C356" s="28" t="str">
        <f t="shared" si="20"/>
        <v/>
      </c>
      <c r="D356" s="28" t="str">
        <f t="shared" si="21"/>
        <v/>
      </c>
      <c r="E356" s="77"/>
      <c r="F356" s="45"/>
      <c r="G356" s="56"/>
      <c r="H356" s="83"/>
      <c r="I356" s="35" t="str">
        <f t="shared" si="22"/>
        <v/>
      </c>
    </row>
    <row r="357" spans="1:9">
      <c r="A357" s="10" t="str">
        <f t="shared" si="23"/>
        <v/>
      </c>
      <c r="B357" s="53"/>
      <c r="C357" s="28" t="str">
        <f t="shared" si="20"/>
        <v/>
      </c>
      <c r="D357" s="28" t="str">
        <f t="shared" si="21"/>
        <v/>
      </c>
      <c r="E357" s="77"/>
      <c r="F357" s="45"/>
      <c r="G357" s="56"/>
      <c r="H357" s="83"/>
      <c r="I357" s="35" t="str">
        <f t="shared" si="22"/>
        <v/>
      </c>
    </row>
    <row r="358" spans="1:9">
      <c r="A358" s="10" t="str">
        <f t="shared" si="23"/>
        <v/>
      </c>
      <c r="B358" s="53"/>
      <c r="C358" s="28" t="str">
        <f t="shared" si="20"/>
        <v/>
      </c>
      <c r="D358" s="28" t="str">
        <f t="shared" si="21"/>
        <v/>
      </c>
      <c r="E358" s="77"/>
      <c r="F358" s="45"/>
      <c r="G358" s="56"/>
      <c r="H358" s="83"/>
      <c r="I358" s="35" t="str">
        <f t="shared" si="22"/>
        <v/>
      </c>
    </row>
    <row r="359" spans="1:9">
      <c r="A359" s="10" t="str">
        <f t="shared" si="23"/>
        <v/>
      </c>
      <c r="B359" s="53"/>
      <c r="C359" s="28" t="str">
        <f t="shared" si="20"/>
        <v/>
      </c>
      <c r="D359" s="28" t="str">
        <f t="shared" si="21"/>
        <v/>
      </c>
      <c r="E359" s="77"/>
      <c r="F359" s="45"/>
      <c r="G359" s="56"/>
      <c r="H359" s="83"/>
      <c r="I359" s="35" t="str">
        <f t="shared" si="22"/>
        <v/>
      </c>
    </row>
    <row r="360" spans="1:9">
      <c r="A360" s="10" t="str">
        <f t="shared" si="23"/>
        <v/>
      </c>
      <c r="B360" s="53"/>
      <c r="C360" s="28" t="str">
        <f t="shared" si="20"/>
        <v/>
      </c>
      <c r="D360" s="28" t="str">
        <f t="shared" si="21"/>
        <v/>
      </c>
      <c r="E360" s="77"/>
      <c r="F360" s="45"/>
      <c r="G360" s="56"/>
      <c r="H360" s="83"/>
      <c r="I360" s="35" t="str">
        <f t="shared" si="22"/>
        <v/>
      </c>
    </row>
    <row r="361" spans="1:9">
      <c r="A361" s="10" t="str">
        <f t="shared" si="23"/>
        <v/>
      </c>
      <c r="B361" s="53"/>
      <c r="C361" s="28" t="str">
        <f t="shared" si="20"/>
        <v/>
      </c>
      <c r="D361" s="28" t="str">
        <f t="shared" si="21"/>
        <v/>
      </c>
      <c r="E361" s="77"/>
      <c r="F361" s="45"/>
      <c r="G361" s="56"/>
      <c r="H361" s="83"/>
      <c r="I361" s="35" t="str">
        <f t="shared" si="22"/>
        <v/>
      </c>
    </row>
    <row r="362" spans="1:9">
      <c r="A362" s="10" t="str">
        <f t="shared" si="23"/>
        <v/>
      </c>
      <c r="B362" s="53"/>
      <c r="C362" s="28" t="str">
        <f t="shared" si="20"/>
        <v/>
      </c>
      <c r="D362" s="28" t="str">
        <f t="shared" si="21"/>
        <v/>
      </c>
      <c r="E362" s="77"/>
      <c r="F362" s="45"/>
      <c r="G362" s="56"/>
      <c r="H362" s="83"/>
      <c r="I362" s="35" t="str">
        <f t="shared" si="22"/>
        <v/>
      </c>
    </row>
    <row r="363" spans="1:9">
      <c r="A363" s="10" t="str">
        <f t="shared" si="23"/>
        <v/>
      </c>
      <c r="B363" s="53"/>
      <c r="C363" s="28" t="str">
        <f t="shared" si="20"/>
        <v/>
      </c>
      <c r="D363" s="28" t="str">
        <f t="shared" si="21"/>
        <v/>
      </c>
      <c r="E363" s="77"/>
      <c r="F363" s="45"/>
      <c r="G363" s="56"/>
      <c r="H363" s="83"/>
      <c r="I363" s="35" t="str">
        <f t="shared" si="22"/>
        <v/>
      </c>
    </row>
    <row r="364" spans="1:9">
      <c r="A364" s="10" t="str">
        <f t="shared" si="23"/>
        <v/>
      </c>
      <c r="B364" s="53"/>
      <c r="C364" s="28" t="str">
        <f t="shared" si="20"/>
        <v/>
      </c>
      <c r="D364" s="28" t="str">
        <f t="shared" si="21"/>
        <v/>
      </c>
      <c r="E364" s="77"/>
      <c r="F364" s="45"/>
      <c r="G364" s="56"/>
      <c r="H364" s="83"/>
      <c r="I364" s="35" t="str">
        <f t="shared" si="22"/>
        <v/>
      </c>
    </row>
    <row r="365" spans="1:9">
      <c r="A365" s="10" t="str">
        <f t="shared" si="23"/>
        <v/>
      </c>
      <c r="B365" s="53"/>
      <c r="C365" s="28" t="str">
        <f t="shared" si="20"/>
        <v/>
      </c>
      <c r="D365" s="28" t="str">
        <f t="shared" si="21"/>
        <v/>
      </c>
      <c r="E365" s="77"/>
      <c r="F365" s="45"/>
      <c r="G365" s="56"/>
      <c r="H365" s="83"/>
      <c r="I365" s="35" t="str">
        <f t="shared" si="22"/>
        <v/>
      </c>
    </row>
    <row r="366" spans="1:9">
      <c r="A366" s="10" t="str">
        <f t="shared" si="23"/>
        <v/>
      </c>
      <c r="B366" s="53"/>
      <c r="C366" s="28" t="str">
        <f t="shared" si="20"/>
        <v/>
      </c>
      <c r="D366" s="28" t="str">
        <f t="shared" si="21"/>
        <v/>
      </c>
      <c r="E366" s="77"/>
      <c r="F366" s="45"/>
      <c r="G366" s="56"/>
      <c r="H366" s="83"/>
      <c r="I366" s="35" t="str">
        <f t="shared" si="22"/>
        <v/>
      </c>
    </row>
    <row r="367" spans="1:9">
      <c r="A367" s="10" t="str">
        <f t="shared" si="23"/>
        <v/>
      </c>
      <c r="B367" s="53"/>
      <c r="C367" s="28" t="str">
        <f t="shared" si="20"/>
        <v/>
      </c>
      <c r="D367" s="28" t="str">
        <f t="shared" si="21"/>
        <v/>
      </c>
      <c r="E367" s="77"/>
      <c r="F367" s="45"/>
      <c r="G367" s="56"/>
      <c r="H367" s="83"/>
      <c r="I367" s="35" t="str">
        <f t="shared" si="22"/>
        <v/>
      </c>
    </row>
    <row r="368" spans="1:9">
      <c r="A368" s="10" t="str">
        <f t="shared" si="23"/>
        <v/>
      </c>
      <c r="B368" s="53"/>
      <c r="C368" s="28" t="str">
        <f t="shared" si="20"/>
        <v/>
      </c>
      <c r="D368" s="28" t="str">
        <f t="shared" si="21"/>
        <v/>
      </c>
      <c r="E368" s="77"/>
      <c r="F368" s="45"/>
      <c r="G368" s="56"/>
      <c r="H368" s="83"/>
      <c r="I368" s="35" t="str">
        <f t="shared" si="22"/>
        <v/>
      </c>
    </row>
    <row r="369" spans="1:9">
      <c r="A369" s="10" t="str">
        <f t="shared" si="23"/>
        <v/>
      </c>
      <c r="B369" s="53"/>
      <c r="C369" s="28" t="str">
        <f t="shared" si="20"/>
        <v/>
      </c>
      <c r="D369" s="28" t="str">
        <f t="shared" si="21"/>
        <v/>
      </c>
      <c r="E369" s="77"/>
      <c r="F369" s="45"/>
      <c r="G369" s="56"/>
      <c r="H369" s="83"/>
      <c r="I369" s="35" t="str">
        <f t="shared" si="22"/>
        <v/>
      </c>
    </row>
    <row r="370" spans="1:9">
      <c r="A370" s="10" t="str">
        <f t="shared" si="23"/>
        <v/>
      </c>
      <c r="B370" s="53"/>
      <c r="C370" s="28" t="str">
        <f t="shared" si="20"/>
        <v/>
      </c>
      <c r="D370" s="28" t="str">
        <f t="shared" si="21"/>
        <v/>
      </c>
      <c r="E370" s="77"/>
      <c r="F370" s="45"/>
      <c r="G370" s="56"/>
      <c r="H370" s="83"/>
      <c r="I370" s="35" t="str">
        <f t="shared" si="22"/>
        <v/>
      </c>
    </row>
    <row r="371" spans="1:9">
      <c r="A371" s="10" t="str">
        <f t="shared" si="23"/>
        <v/>
      </c>
      <c r="B371" s="53"/>
      <c r="C371" s="28" t="str">
        <f t="shared" si="20"/>
        <v/>
      </c>
      <c r="D371" s="28" t="str">
        <f t="shared" si="21"/>
        <v/>
      </c>
      <c r="E371" s="77"/>
      <c r="F371" s="45"/>
      <c r="G371" s="56"/>
      <c r="H371" s="83"/>
      <c r="I371" s="35" t="str">
        <f t="shared" si="22"/>
        <v/>
      </c>
    </row>
    <row r="372" spans="1:9">
      <c r="A372" s="10" t="str">
        <f t="shared" si="23"/>
        <v/>
      </c>
      <c r="B372" s="53"/>
      <c r="C372" s="28" t="str">
        <f t="shared" si="20"/>
        <v/>
      </c>
      <c r="D372" s="28" t="str">
        <f t="shared" si="21"/>
        <v/>
      </c>
      <c r="E372" s="77"/>
      <c r="F372" s="45"/>
      <c r="G372" s="56"/>
      <c r="H372" s="83"/>
      <c r="I372" s="35" t="str">
        <f t="shared" si="22"/>
        <v/>
      </c>
    </row>
    <row r="373" spans="1:9">
      <c r="A373" s="10" t="str">
        <f t="shared" si="23"/>
        <v/>
      </c>
      <c r="B373" s="53"/>
      <c r="C373" s="28" t="str">
        <f t="shared" si="20"/>
        <v/>
      </c>
      <c r="D373" s="28" t="str">
        <f t="shared" si="21"/>
        <v/>
      </c>
      <c r="E373" s="77"/>
      <c r="F373" s="45"/>
      <c r="G373" s="56"/>
      <c r="H373" s="83"/>
      <c r="I373" s="35" t="str">
        <f t="shared" si="22"/>
        <v/>
      </c>
    </row>
    <row r="374" spans="1:9">
      <c r="A374" s="10" t="str">
        <f t="shared" si="23"/>
        <v/>
      </c>
      <c r="B374" s="53"/>
      <c r="C374" s="28" t="str">
        <f t="shared" si="20"/>
        <v/>
      </c>
      <c r="D374" s="28" t="str">
        <f t="shared" si="21"/>
        <v/>
      </c>
      <c r="E374" s="77"/>
      <c r="F374" s="45"/>
      <c r="G374" s="56"/>
      <c r="H374" s="83"/>
      <c r="I374" s="35" t="str">
        <f t="shared" si="22"/>
        <v/>
      </c>
    </row>
    <row r="375" spans="1:9">
      <c r="A375" s="10" t="str">
        <f t="shared" si="23"/>
        <v/>
      </c>
      <c r="B375" s="53"/>
      <c r="C375" s="28" t="str">
        <f t="shared" si="20"/>
        <v/>
      </c>
      <c r="D375" s="28" t="str">
        <f t="shared" si="21"/>
        <v/>
      </c>
      <c r="E375" s="77"/>
      <c r="F375" s="45"/>
      <c r="G375" s="56"/>
      <c r="H375" s="83"/>
      <c r="I375" s="35" t="str">
        <f t="shared" si="22"/>
        <v/>
      </c>
    </row>
    <row r="376" spans="1:9">
      <c r="A376" s="10" t="str">
        <f t="shared" si="23"/>
        <v/>
      </c>
      <c r="B376" s="53"/>
      <c r="C376" s="28" t="str">
        <f t="shared" si="20"/>
        <v/>
      </c>
      <c r="D376" s="28" t="str">
        <f t="shared" si="21"/>
        <v/>
      </c>
      <c r="E376" s="77"/>
      <c r="F376" s="45"/>
      <c r="G376" s="56"/>
      <c r="H376" s="83"/>
      <c r="I376" s="35" t="str">
        <f t="shared" si="22"/>
        <v/>
      </c>
    </row>
    <row r="377" spans="1:9">
      <c r="A377" s="10" t="str">
        <f t="shared" si="23"/>
        <v/>
      </c>
      <c r="B377" s="53"/>
      <c r="C377" s="28" t="str">
        <f t="shared" si="20"/>
        <v/>
      </c>
      <c r="D377" s="28" t="str">
        <f t="shared" si="21"/>
        <v/>
      </c>
      <c r="E377" s="77"/>
      <c r="F377" s="45"/>
      <c r="G377" s="56"/>
      <c r="H377" s="83"/>
      <c r="I377" s="35" t="str">
        <f t="shared" si="22"/>
        <v/>
      </c>
    </row>
    <row r="378" spans="1:9">
      <c r="A378" s="10" t="str">
        <f t="shared" si="23"/>
        <v/>
      </c>
      <c r="B378" s="53"/>
      <c r="C378" s="28" t="str">
        <f t="shared" si="20"/>
        <v/>
      </c>
      <c r="D378" s="28" t="str">
        <f t="shared" si="21"/>
        <v/>
      </c>
      <c r="E378" s="77"/>
      <c r="F378" s="45"/>
      <c r="G378" s="56"/>
      <c r="H378" s="83"/>
      <c r="I378" s="35" t="str">
        <f t="shared" si="22"/>
        <v/>
      </c>
    </row>
    <row r="379" spans="1:9">
      <c r="A379" s="10" t="str">
        <f t="shared" si="23"/>
        <v/>
      </c>
      <c r="B379" s="53"/>
      <c r="C379" s="28" t="str">
        <f t="shared" si="20"/>
        <v/>
      </c>
      <c r="D379" s="28" t="str">
        <f t="shared" si="21"/>
        <v/>
      </c>
      <c r="E379" s="77"/>
      <c r="F379" s="45"/>
      <c r="G379" s="56"/>
      <c r="H379" s="83"/>
      <c r="I379" s="35" t="str">
        <f t="shared" si="22"/>
        <v/>
      </c>
    </row>
    <row r="380" spans="1:9">
      <c r="A380" s="10" t="str">
        <f t="shared" si="23"/>
        <v/>
      </c>
      <c r="B380" s="53"/>
      <c r="C380" s="28" t="str">
        <f t="shared" si="20"/>
        <v/>
      </c>
      <c r="D380" s="28" t="str">
        <f t="shared" si="21"/>
        <v/>
      </c>
      <c r="E380" s="77"/>
      <c r="F380" s="45"/>
      <c r="G380" s="56"/>
      <c r="H380" s="83"/>
      <c r="I380" s="35" t="str">
        <f t="shared" si="22"/>
        <v/>
      </c>
    </row>
    <row r="381" spans="1:9">
      <c r="A381" s="10" t="str">
        <f t="shared" si="23"/>
        <v/>
      </c>
      <c r="B381" s="53"/>
      <c r="C381" s="28" t="str">
        <f t="shared" si="20"/>
        <v/>
      </c>
      <c r="D381" s="28" t="str">
        <f t="shared" si="21"/>
        <v/>
      </c>
      <c r="E381" s="77"/>
      <c r="F381" s="45"/>
      <c r="G381" s="56"/>
      <c r="H381" s="83"/>
      <c r="I381" s="35" t="str">
        <f t="shared" si="22"/>
        <v/>
      </c>
    </row>
    <row r="382" spans="1:9">
      <c r="A382" s="10" t="str">
        <f t="shared" si="23"/>
        <v/>
      </c>
      <c r="B382" s="53"/>
      <c r="C382" s="28" t="str">
        <f t="shared" si="20"/>
        <v/>
      </c>
      <c r="D382" s="28" t="str">
        <f t="shared" si="21"/>
        <v/>
      </c>
      <c r="E382" s="77"/>
      <c r="F382" s="45"/>
      <c r="G382" s="56"/>
      <c r="H382" s="83"/>
      <c r="I382" s="35" t="str">
        <f t="shared" si="22"/>
        <v/>
      </c>
    </row>
    <row r="383" spans="1:9">
      <c r="A383" s="10" t="str">
        <f t="shared" si="23"/>
        <v/>
      </c>
      <c r="B383" s="53"/>
      <c r="C383" s="28" t="str">
        <f t="shared" si="20"/>
        <v/>
      </c>
      <c r="D383" s="28" t="str">
        <f t="shared" si="21"/>
        <v/>
      </c>
      <c r="E383" s="77"/>
      <c r="F383" s="45"/>
      <c r="G383" s="56"/>
      <c r="H383" s="83"/>
      <c r="I383" s="35" t="str">
        <f t="shared" si="22"/>
        <v/>
      </c>
    </row>
    <row r="384" spans="1:9">
      <c r="A384" s="10" t="str">
        <f t="shared" si="23"/>
        <v/>
      </c>
      <c r="B384" s="53"/>
      <c r="C384" s="28" t="str">
        <f t="shared" si="20"/>
        <v/>
      </c>
      <c r="D384" s="28" t="str">
        <f t="shared" si="21"/>
        <v/>
      </c>
      <c r="E384" s="77"/>
      <c r="F384" s="45"/>
      <c r="G384" s="56"/>
      <c r="H384" s="83"/>
      <c r="I384" s="35" t="str">
        <f t="shared" si="22"/>
        <v/>
      </c>
    </row>
    <row r="385" spans="1:9">
      <c r="A385" s="10" t="str">
        <f t="shared" si="23"/>
        <v/>
      </c>
      <c r="B385" s="53"/>
      <c r="C385" s="28" t="str">
        <f t="shared" si="20"/>
        <v/>
      </c>
      <c r="D385" s="28" t="str">
        <f t="shared" si="21"/>
        <v/>
      </c>
      <c r="E385" s="77"/>
      <c r="F385" s="45"/>
      <c r="G385" s="56"/>
      <c r="H385" s="83"/>
      <c r="I385" s="35" t="str">
        <f t="shared" si="22"/>
        <v/>
      </c>
    </row>
    <row r="386" spans="1:9">
      <c r="A386" s="10" t="str">
        <f t="shared" si="23"/>
        <v/>
      </c>
      <c r="B386" s="53"/>
      <c r="C386" s="28" t="str">
        <f t="shared" ref="C386:C449" si="24">IF(B386=0,"",TEXT(B386,"mmmm"))</f>
        <v/>
      </c>
      <c r="D386" s="28" t="str">
        <f t="shared" ref="D386:D449" si="25">IF(B386=0,"",TEXT(B386,"yyyy"))</f>
        <v/>
      </c>
      <c r="E386" s="77"/>
      <c r="F386" s="45"/>
      <c r="G386" s="56"/>
      <c r="H386" s="83"/>
      <c r="I386" s="35" t="str">
        <f t="shared" ref="I386:I449" si="26">IF(G386*H386=0,"",G386*H386)</f>
        <v/>
      </c>
    </row>
    <row r="387" spans="1:9">
      <c r="A387" s="10" t="str">
        <f t="shared" si="23"/>
        <v/>
      </c>
      <c r="B387" s="53"/>
      <c r="C387" s="28" t="str">
        <f t="shared" si="24"/>
        <v/>
      </c>
      <c r="D387" s="28" t="str">
        <f t="shared" si="25"/>
        <v/>
      </c>
      <c r="E387" s="77"/>
      <c r="F387" s="45"/>
      <c r="G387" s="56"/>
      <c r="H387" s="83"/>
      <c r="I387" s="35" t="str">
        <f t="shared" si="26"/>
        <v/>
      </c>
    </row>
    <row r="388" spans="1:9">
      <c r="A388" s="10" t="str">
        <f t="shared" ref="A388:A451" si="27">IF(E388&gt;0,A387+1,"")</f>
        <v/>
      </c>
      <c r="B388" s="53"/>
      <c r="C388" s="28" t="str">
        <f t="shared" si="24"/>
        <v/>
      </c>
      <c r="D388" s="28" t="str">
        <f t="shared" si="25"/>
        <v/>
      </c>
      <c r="E388" s="77"/>
      <c r="F388" s="45"/>
      <c r="G388" s="56"/>
      <c r="H388" s="83"/>
      <c r="I388" s="35" t="str">
        <f t="shared" si="26"/>
        <v/>
      </c>
    </row>
    <row r="389" spans="1:9">
      <c r="A389" s="10" t="str">
        <f t="shared" si="27"/>
        <v/>
      </c>
      <c r="B389" s="53"/>
      <c r="C389" s="28" t="str">
        <f t="shared" si="24"/>
        <v/>
      </c>
      <c r="D389" s="28" t="str">
        <f t="shared" si="25"/>
        <v/>
      </c>
      <c r="E389" s="77"/>
      <c r="F389" s="45"/>
      <c r="G389" s="56"/>
      <c r="H389" s="83"/>
      <c r="I389" s="35" t="str">
        <f t="shared" si="26"/>
        <v/>
      </c>
    </row>
    <row r="390" spans="1:9">
      <c r="A390" s="10" t="str">
        <f t="shared" si="27"/>
        <v/>
      </c>
      <c r="B390" s="53"/>
      <c r="C390" s="28" t="str">
        <f t="shared" si="24"/>
        <v/>
      </c>
      <c r="D390" s="28" t="str">
        <f t="shared" si="25"/>
        <v/>
      </c>
      <c r="E390" s="77"/>
      <c r="F390" s="45"/>
      <c r="G390" s="56"/>
      <c r="H390" s="83"/>
      <c r="I390" s="35" t="str">
        <f t="shared" si="26"/>
        <v/>
      </c>
    </row>
    <row r="391" spans="1:9">
      <c r="A391" s="10" t="str">
        <f t="shared" si="27"/>
        <v/>
      </c>
      <c r="B391" s="53"/>
      <c r="C391" s="28" t="str">
        <f t="shared" si="24"/>
        <v/>
      </c>
      <c r="D391" s="28" t="str">
        <f t="shared" si="25"/>
        <v/>
      </c>
      <c r="E391" s="77"/>
      <c r="F391" s="45"/>
      <c r="G391" s="56"/>
      <c r="H391" s="83"/>
      <c r="I391" s="35" t="str">
        <f t="shared" si="26"/>
        <v/>
      </c>
    </row>
    <row r="392" spans="1:9">
      <c r="A392" s="10" t="str">
        <f t="shared" si="27"/>
        <v/>
      </c>
      <c r="B392" s="53"/>
      <c r="C392" s="28" t="str">
        <f t="shared" si="24"/>
        <v/>
      </c>
      <c r="D392" s="28" t="str">
        <f t="shared" si="25"/>
        <v/>
      </c>
      <c r="E392" s="77"/>
      <c r="F392" s="45"/>
      <c r="G392" s="56"/>
      <c r="H392" s="83"/>
      <c r="I392" s="35" t="str">
        <f t="shared" si="26"/>
        <v/>
      </c>
    </row>
    <row r="393" spans="1:9">
      <c r="A393" s="10" t="str">
        <f t="shared" si="27"/>
        <v/>
      </c>
      <c r="B393" s="53"/>
      <c r="C393" s="28" t="str">
        <f t="shared" si="24"/>
        <v/>
      </c>
      <c r="D393" s="28" t="str">
        <f t="shared" si="25"/>
        <v/>
      </c>
      <c r="E393" s="77"/>
      <c r="F393" s="45"/>
      <c r="G393" s="56"/>
      <c r="H393" s="83"/>
      <c r="I393" s="35" t="str">
        <f t="shared" si="26"/>
        <v/>
      </c>
    </row>
    <row r="394" spans="1:9">
      <c r="A394" s="10" t="str">
        <f t="shared" si="27"/>
        <v/>
      </c>
      <c r="B394" s="53"/>
      <c r="C394" s="28" t="str">
        <f t="shared" si="24"/>
        <v/>
      </c>
      <c r="D394" s="28" t="str">
        <f t="shared" si="25"/>
        <v/>
      </c>
      <c r="E394" s="77"/>
      <c r="F394" s="45"/>
      <c r="G394" s="56"/>
      <c r="H394" s="83"/>
      <c r="I394" s="35" t="str">
        <f t="shared" si="26"/>
        <v/>
      </c>
    </row>
    <row r="395" spans="1:9">
      <c r="A395" s="10" t="str">
        <f t="shared" si="27"/>
        <v/>
      </c>
      <c r="B395" s="53"/>
      <c r="C395" s="28" t="str">
        <f t="shared" si="24"/>
        <v/>
      </c>
      <c r="D395" s="28" t="str">
        <f t="shared" si="25"/>
        <v/>
      </c>
      <c r="E395" s="77"/>
      <c r="F395" s="45"/>
      <c r="G395" s="56"/>
      <c r="H395" s="83"/>
      <c r="I395" s="35" t="str">
        <f t="shared" si="26"/>
        <v/>
      </c>
    </row>
    <row r="396" spans="1:9">
      <c r="A396" s="10" t="str">
        <f t="shared" si="27"/>
        <v/>
      </c>
      <c r="B396" s="53"/>
      <c r="C396" s="28" t="str">
        <f t="shared" si="24"/>
        <v/>
      </c>
      <c r="D396" s="28" t="str">
        <f t="shared" si="25"/>
        <v/>
      </c>
      <c r="E396" s="77"/>
      <c r="F396" s="45"/>
      <c r="G396" s="56"/>
      <c r="H396" s="83"/>
      <c r="I396" s="35" t="str">
        <f t="shared" si="26"/>
        <v/>
      </c>
    </row>
    <row r="397" spans="1:9">
      <c r="A397" s="10" t="str">
        <f t="shared" si="27"/>
        <v/>
      </c>
      <c r="B397" s="53"/>
      <c r="C397" s="28" t="str">
        <f t="shared" si="24"/>
        <v/>
      </c>
      <c r="D397" s="28" t="str">
        <f t="shared" si="25"/>
        <v/>
      </c>
      <c r="E397" s="77"/>
      <c r="F397" s="45"/>
      <c r="G397" s="56"/>
      <c r="H397" s="83"/>
      <c r="I397" s="35" t="str">
        <f t="shared" si="26"/>
        <v/>
      </c>
    </row>
    <row r="398" spans="1:9">
      <c r="A398" s="10" t="str">
        <f t="shared" si="27"/>
        <v/>
      </c>
      <c r="B398" s="53"/>
      <c r="C398" s="28" t="str">
        <f t="shared" si="24"/>
        <v/>
      </c>
      <c r="D398" s="28" t="str">
        <f t="shared" si="25"/>
        <v/>
      </c>
      <c r="E398" s="77"/>
      <c r="F398" s="45"/>
      <c r="G398" s="56"/>
      <c r="H398" s="83"/>
      <c r="I398" s="35" t="str">
        <f t="shared" si="26"/>
        <v/>
      </c>
    </row>
    <row r="399" spans="1:9">
      <c r="A399" s="10" t="str">
        <f t="shared" si="27"/>
        <v/>
      </c>
      <c r="B399" s="53"/>
      <c r="C399" s="28" t="str">
        <f t="shared" si="24"/>
        <v/>
      </c>
      <c r="D399" s="28" t="str">
        <f t="shared" si="25"/>
        <v/>
      </c>
      <c r="E399" s="77"/>
      <c r="F399" s="45"/>
      <c r="G399" s="56"/>
      <c r="H399" s="83"/>
      <c r="I399" s="35" t="str">
        <f t="shared" si="26"/>
        <v/>
      </c>
    </row>
    <row r="400" spans="1:9">
      <c r="A400" s="10" t="str">
        <f t="shared" si="27"/>
        <v/>
      </c>
      <c r="B400" s="53"/>
      <c r="C400" s="28" t="str">
        <f t="shared" si="24"/>
        <v/>
      </c>
      <c r="D400" s="28" t="str">
        <f t="shared" si="25"/>
        <v/>
      </c>
      <c r="E400" s="77"/>
      <c r="F400" s="45"/>
      <c r="G400" s="56"/>
      <c r="H400" s="83"/>
      <c r="I400" s="35" t="str">
        <f t="shared" si="26"/>
        <v/>
      </c>
    </row>
    <row r="401" spans="1:9">
      <c r="A401" s="10" t="str">
        <f t="shared" si="27"/>
        <v/>
      </c>
      <c r="B401" s="53"/>
      <c r="C401" s="28" t="str">
        <f t="shared" si="24"/>
        <v/>
      </c>
      <c r="D401" s="28" t="str">
        <f t="shared" si="25"/>
        <v/>
      </c>
      <c r="E401" s="77"/>
      <c r="F401" s="45"/>
      <c r="G401" s="56"/>
      <c r="H401" s="83"/>
      <c r="I401" s="35" t="str">
        <f t="shared" si="26"/>
        <v/>
      </c>
    </row>
    <row r="402" spans="1:9">
      <c r="A402" s="10" t="str">
        <f t="shared" si="27"/>
        <v/>
      </c>
      <c r="B402" s="53"/>
      <c r="C402" s="28" t="str">
        <f t="shared" si="24"/>
        <v/>
      </c>
      <c r="D402" s="28" t="str">
        <f t="shared" si="25"/>
        <v/>
      </c>
      <c r="E402" s="77"/>
      <c r="F402" s="45"/>
      <c r="G402" s="56"/>
      <c r="H402" s="83"/>
      <c r="I402" s="35" t="str">
        <f t="shared" si="26"/>
        <v/>
      </c>
    </row>
    <row r="403" spans="1:9">
      <c r="A403" s="10" t="str">
        <f t="shared" si="27"/>
        <v/>
      </c>
      <c r="B403" s="53"/>
      <c r="C403" s="28" t="str">
        <f t="shared" si="24"/>
        <v/>
      </c>
      <c r="D403" s="28" t="str">
        <f t="shared" si="25"/>
        <v/>
      </c>
      <c r="E403" s="77"/>
      <c r="F403" s="45"/>
      <c r="G403" s="56"/>
      <c r="H403" s="83"/>
      <c r="I403" s="35" t="str">
        <f t="shared" si="26"/>
        <v/>
      </c>
    </row>
    <row r="404" spans="1:9">
      <c r="A404" s="10" t="str">
        <f t="shared" si="27"/>
        <v/>
      </c>
      <c r="B404" s="53"/>
      <c r="C404" s="28" t="str">
        <f t="shared" si="24"/>
        <v/>
      </c>
      <c r="D404" s="28" t="str">
        <f t="shared" si="25"/>
        <v/>
      </c>
      <c r="E404" s="77"/>
      <c r="F404" s="45"/>
      <c r="G404" s="56"/>
      <c r="H404" s="83"/>
      <c r="I404" s="35" t="str">
        <f t="shared" si="26"/>
        <v/>
      </c>
    </row>
    <row r="405" spans="1:9">
      <c r="A405" s="10" t="str">
        <f t="shared" si="27"/>
        <v/>
      </c>
      <c r="B405" s="53"/>
      <c r="C405" s="28" t="str">
        <f t="shared" si="24"/>
        <v/>
      </c>
      <c r="D405" s="28" t="str">
        <f t="shared" si="25"/>
        <v/>
      </c>
      <c r="E405" s="77"/>
      <c r="F405" s="45"/>
      <c r="G405" s="56"/>
      <c r="H405" s="83"/>
      <c r="I405" s="35" t="str">
        <f t="shared" si="26"/>
        <v/>
      </c>
    </row>
    <row r="406" spans="1:9">
      <c r="A406" s="10" t="str">
        <f t="shared" si="27"/>
        <v/>
      </c>
      <c r="B406" s="53"/>
      <c r="C406" s="28" t="str">
        <f t="shared" si="24"/>
        <v/>
      </c>
      <c r="D406" s="28" t="str">
        <f t="shared" si="25"/>
        <v/>
      </c>
      <c r="E406" s="77"/>
      <c r="F406" s="45"/>
      <c r="G406" s="56"/>
      <c r="H406" s="83"/>
      <c r="I406" s="35" t="str">
        <f t="shared" si="26"/>
        <v/>
      </c>
    </row>
    <row r="407" spans="1:9">
      <c r="A407" s="10" t="str">
        <f t="shared" si="27"/>
        <v/>
      </c>
      <c r="B407" s="53"/>
      <c r="C407" s="28" t="str">
        <f t="shared" si="24"/>
        <v/>
      </c>
      <c r="D407" s="28" t="str">
        <f t="shared" si="25"/>
        <v/>
      </c>
      <c r="E407" s="77"/>
      <c r="F407" s="45"/>
      <c r="G407" s="56"/>
      <c r="H407" s="83"/>
      <c r="I407" s="35" t="str">
        <f t="shared" si="26"/>
        <v/>
      </c>
    </row>
    <row r="408" spans="1:9">
      <c r="A408" s="10" t="str">
        <f t="shared" si="27"/>
        <v/>
      </c>
      <c r="B408" s="53"/>
      <c r="C408" s="28" t="str">
        <f t="shared" si="24"/>
        <v/>
      </c>
      <c r="D408" s="28" t="str">
        <f t="shared" si="25"/>
        <v/>
      </c>
      <c r="E408" s="77"/>
      <c r="F408" s="45"/>
      <c r="G408" s="56"/>
      <c r="H408" s="83"/>
      <c r="I408" s="35" t="str">
        <f t="shared" si="26"/>
        <v/>
      </c>
    </row>
    <row r="409" spans="1:9">
      <c r="A409" s="10" t="str">
        <f t="shared" si="27"/>
        <v/>
      </c>
      <c r="B409" s="53"/>
      <c r="C409" s="28" t="str">
        <f t="shared" si="24"/>
        <v/>
      </c>
      <c r="D409" s="28" t="str">
        <f t="shared" si="25"/>
        <v/>
      </c>
      <c r="E409" s="77"/>
      <c r="F409" s="45"/>
      <c r="G409" s="56"/>
      <c r="H409" s="83"/>
      <c r="I409" s="35" t="str">
        <f t="shared" si="26"/>
        <v/>
      </c>
    </row>
    <row r="410" spans="1:9">
      <c r="A410" s="10" t="str">
        <f t="shared" si="27"/>
        <v/>
      </c>
      <c r="B410" s="53"/>
      <c r="C410" s="28" t="str">
        <f t="shared" si="24"/>
        <v/>
      </c>
      <c r="D410" s="28" t="str">
        <f t="shared" si="25"/>
        <v/>
      </c>
      <c r="E410" s="77"/>
      <c r="F410" s="45"/>
      <c r="G410" s="56"/>
      <c r="H410" s="83"/>
      <c r="I410" s="35" t="str">
        <f t="shared" si="26"/>
        <v/>
      </c>
    </row>
    <row r="411" spans="1:9">
      <c r="A411" s="10" t="str">
        <f t="shared" si="27"/>
        <v/>
      </c>
      <c r="B411" s="53"/>
      <c r="C411" s="28" t="str">
        <f t="shared" si="24"/>
        <v/>
      </c>
      <c r="D411" s="28" t="str">
        <f t="shared" si="25"/>
        <v/>
      </c>
      <c r="E411" s="77"/>
      <c r="F411" s="45"/>
      <c r="G411" s="56"/>
      <c r="H411" s="83"/>
      <c r="I411" s="35" t="str">
        <f t="shared" si="26"/>
        <v/>
      </c>
    </row>
    <row r="412" spans="1:9">
      <c r="A412" s="10" t="str">
        <f t="shared" si="27"/>
        <v/>
      </c>
      <c r="B412" s="53"/>
      <c r="C412" s="28" t="str">
        <f t="shared" si="24"/>
        <v/>
      </c>
      <c r="D412" s="28" t="str">
        <f t="shared" si="25"/>
        <v/>
      </c>
      <c r="E412" s="77"/>
      <c r="F412" s="45"/>
      <c r="G412" s="56"/>
      <c r="H412" s="83"/>
      <c r="I412" s="35" t="str">
        <f t="shared" si="26"/>
        <v/>
      </c>
    </row>
    <row r="413" spans="1:9">
      <c r="A413" s="10" t="str">
        <f t="shared" si="27"/>
        <v/>
      </c>
      <c r="B413" s="53"/>
      <c r="C413" s="28" t="str">
        <f t="shared" si="24"/>
        <v/>
      </c>
      <c r="D413" s="28" t="str">
        <f t="shared" si="25"/>
        <v/>
      </c>
      <c r="E413" s="77"/>
      <c r="F413" s="45"/>
      <c r="G413" s="56"/>
      <c r="H413" s="83"/>
      <c r="I413" s="35" t="str">
        <f t="shared" si="26"/>
        <v/>
      </c>
    </row>
    <row r="414" spans="1:9">
      <c r="A414" s="10" t="str">
        <f t="shared" si="27"/>
        <v/>
      </c>
      <c r="B414" s="53"/>
      <c r="C414" s="28" t="str">
        <f t="shared" si="24"/>
        <v/>
      </c>
      <c r="D414" s="28" t="str">
        <f t="shared" si="25"/>
        <v/>
      </c>
      <c r="E414" s="77"/>
      <c r="F414" s="45"/>
      <c r="G414" s="56"/>
      <c r="H414" s="83"/>
      <c r="I414" s="35" t="str">
        <f t="shared" si="26"/>
        <v/>
      </c>
    </row>
    <row r="415" spans="1:9">
      <c r="A415" s="10" t="str">
        <f t="shared" si="27"/>
        <v/>
      </c>
      <c r="B415" s="53"/>
      <c r="C415" s="28" t="str">
        <f t="shared" si="24"/>
        <v/>
      </c>
      <c r="D415" s="28" t="str">
        <f t="shared" si="25"/>
        <v/>
      </c>
      <c r="E415" s="77"/>
      <c r="F415" s="45"/>
      <c r="G415" s="56"/>
      <c r="H415" s="83"/>
      <c r="I415" s="35" t="str">
        <f t="shared" si="26"/>
        <v/>
      </c>
    </row>
    <row r="416" spans="1:9">
      <c r="A416" s="10" t="str">
        <f t="shared" si="27"/>
        <v/>
      </c>
      <c r="B416" s="53"/>
      <c r="C416" s="28" t="str">
        <f t="shared" si="24"/>
        <v/>
      </c>
      <c r="D416" s="28" t="str">
        <f t="shared" si="25"/>
        <v/>
      </c>
      <c r="E416" s="77"/>
      <c r="F416" s="45"/>
      <c r="G416" s="56"/>
      <c r="H416" s="83"/>
      <c r="I416" s="35" t="str">
        <f t="shared" si="26"/>
        <v/>
      </c>
    </row>
    <row r="417" spans="1:9">
      <c r="A417" s="10" t="str">
        <f t="shared" si="27"/>
        <v/>
      </c>
      <c r="B417" s="53"/>
      <c r="C417" s="28" t="str">
        <f t="shared" si="24"/>
        <v/>
      </c>
      <c r="D417" s="28" t="str">
        <f t="shared" si="25"/>
        <v/>
      </c>
      <c r="E417" s="77"/>
      <c r="F417" s="45"/>
      <c r="G417" s="56"/>
      <c r="H417" s="83"/>
      <c r="I417" s="35" t="str">
        <f t="shared" si="26"/>
        <v/>
      </c>
    </row>
    <row r="418" spans="1:9">
      <c r="A418" s="10" t="str">
        <f t="shared" si="27"/>
        <v/>
      </c>
      <c r="B418" s="53"/>
      <c r="C418" s="28" t="str">
        <f t="shared" si="24"/>
        <v/>
      </c>
      <c r="D418" s="28" t="str">
        <f t="shared" si="25"/>
        <v/>
      </c>
      <c r="E418" s="77"/>
      <c r="F418" s="45"/>
      <c r="G418" s="56"/>
      <c r="H418" s="83"/>
      <c r="I418" s="35" t="str">
        <f t="shared" si="26"/>
        <v/>
      </c>
    </row>
    <row r="419" spans="1:9">
      <c r="A419" s="10" t="str">
        <f t="shared" si="27"/>
        <v/>
      </c>
      <c r="B419" s="53"/>
      <c r="C419" s="28" t="str">
        <f t="shared" si="24"/>
        <v/>
      </c>
      <c r="D419" s="28" t="str">
        <f t="shared" si="25"/>
        <v/>
      </c>
      <c r="E419" s="77"/>
      <c r="F419" s="45"/>
      <c r="G419" s="56"/>
      <c r="H419" s="83"/>
      <c r="I419" s="35" t="str">
        <f t="shared" si="26"/>
        <v/>
      </c>
    </row>
    <row r="420" spans="1:9">
      <c r="A420" s="10" t="str">
        <f t="shared" si="27"/>
        <v/>
      </c>
      <c r="B420" s="53"/>
      <c r="C420" s="28" t="str">
        <f t="shared" si="24"/>
        <v/>
      </c>
      <c r="D420" s="28" t="str">
        <f t="shared" si="25"/>
        <v/>
      </c>
      <c r="E420" s="77"/>
      <c r="F420" s="45"/>
      <c r="G420" s="56"/>
      <c r="H420" s="83"/>
      <c r="I420" s="35" t="str">
        <f t="shared" si="26"/>
        <v/>
      </c>
    </row>
    <row r="421" spans="1:9">
      <c r="A421" s="10" t="str">
        <f t="shared" si="27"/>
        <v/>
      </c>
      <c r="B421" s="53"/>
      <c r="C421" s="28" t="str">
        <f t="shared" si="24"/>
        <v/>
      </c>
      <c r="D421" s="28" t="str">
        <f t="shared" si="25"/>
        <v/>
      </c>
      <c r="E421" s="77"/>
      <c r="F421" s="45"/>
      <c r="G421" s="56"/>
      <c r="H421" s="83"/>
      <c r="I421" s="35" t="str">
        <f t="shared" si="26"/>
        <v/>
      </c>
    </row>
    <row r="422" spans="1:9">
      <c r="A422" s="10" t="str">
        <f t="shared" si="27"/>
        <v/>
      </c>
      <c r="B422" s="53"/>
      <c r="C422" s="28" t="str">
        <f t="shared" si="24"/>
        <v/>
      </c>
      <c r="D422" s="28" t="str">
        <f t="shared" si="25"/>
        <v/>
      </c>
      <c r="E422" s="77"/>
      <c r="F422" s="45"/>
      <c r="G422" s="56"/>
      <c r="H422" s="83"/>
      <c r="I422" s="35" t="str">
        <f t="shared" si="26"/>
        <v/>
      </c>
    </row>
    <row r="423" spans="1:9">
      <c r="A423" s="10" t="str">
        <f t="shared" si="27"/>
        <v/>
      </c>
      <c r="B423" s="53"/>
      <c r="C423" s="28" t="str">
        <f t="shared" si="24"/>
        <v/>
      </c>
      <c r="D423" s="28" t="str">
        <f t="shared" si="25"/>
        <v/>
      </c>
      <c r="E423" s="77"/>
      <c r="F423" s="45"/>
      <c r="G423" s="56"/>
      <c r="H423" s="83"/>
      <c r="I423" s="35" t="str">
        <f t="shared" si="26"/>
        <v/>
      </c>
    </row>
    <row r="424" spans="1:9">
      <c r="A424" s="10" t="str">
        <f t="shared" si="27"/>
        <v/>
      </c>
      <c r="B424" s="53"/>
      <c r="C424" s="28" t="str">
        <f t="shared" si="24"/>
        <v/>
      </c>
      <c r="D424" s="28" t="str">
        <f t="shared" si="25"/>
        <v/>
      </c>
      <c r="E424" s="77"/>
      <c r="F424" s="45"/>
      <c r="G424" s="56"/>
      <c r="H424" s="83"/>
      <c r="I424" s="35" t="str">
        <f t="shared" si="26"/>
        <v/>
      </c>
    </row>
    <row r="425" spans="1:9">
      <c r="A425" s="10" t="str">
        <f t="shared" si="27"/>
        <v/>
      </c>
      <c r="B425" s="53"/>
      <c r="C425" s="28" t="str">
        <f t="shared" si="24"/>
        <v/>
      </c>
      <c r="D425" s="28" t="str">
        <f t="shared" si="25"/>
        <v/>
      </c>
      <c r="E425" s="77"/>
      <c r="F425" s="45"/>
      <c r="G425" s="56"/>
      <c r="H425" s="83"/>
      <c r="I425" s="35" t="str">
        <f t="shared" si="26"/>
        <v/>
      </c>
    </row>
    <row r="426" spans="1:9">
      <c r="A426" s="10" t="str">
        <f t="shared" si="27"/>
        <v/>
      </c>
      <c r="B426" s="53"/>
      <c r="C426" s="28" t="str">
        <f t="shared" si="24"/>
        <v/>
      </c>
      <c r="D426" s="28" t="str">
        <f t="shared" si="25"/>
        <v/>
      </c>
      <c r="E426" s="77"/>
      <c r="F426" s="45"/>
      <c r="G426" s="56"/>
      <c r="H426" s="83"/>
      <c r="I426" s="35" t="str">
        <f t="shared" si="26"/>
        <v/>
      </c>
    </row>
    <row r="427" spans="1:9">
      <c r="A427" s="10" t="str">
        <f t="shared" si="27"/>
        <v/>
      </c>
      <c r="B427" s="53"/>
      <c r="C427" s="28" t="str">
        <f t="shared" si="24"/>
        <v/>
      </c>
      <c r="D427" s="28" t="str">
        <f t="shared" si="25"/>
        <v/>
      </c>
      <c r="E427" s="77"/>
      <c r="F427" s="45"/>
      <c r="G427" s="56"/>
      <c r="H427" s="83"/>
      <c r="I427" s="35" t="str">
        <f t="shared" si="26"/>
        <v/>
      </c>
    </row>
    <row r="428" spans="1:9">
      <c r="A428" s="10" t="str">
        <f t="shared" si="27"/>
        <v/>
      </c>
      <c r="B428" s="53"/>
      <c r="C428" s="28" t="str">
        <f t="shared" si="24"/>
        <v/>
      </c>
      <c r="D428" s="28" t="str">
        <f t="shared" si="25"/>
        <v/>
      </c>
      <c r="E428" s="77"/>
      <c r="F428" s="45"/>
      <c r="G428" s="56"/>
      <c r="H428" s="83"/>
      <c r="I428" s="35" t="str">
        <f t="shared" si="26"/>
        <v/>
      </c>
    </row>
    <row r="429" spans="1:9">
      <c r="A429" s="10" t="str">
        <f t="shared" si="27"/>
        <v/>
      </c>
      <c r="B429" s="53"/>
      <c r="C429" s="28" t="str">
        <f t="shared" si="24"/>
        <v/>
      </c>
      <c r="D429" s="28" t="str">
        <f t="shared" si="25"/>
        <v/>
      </c>
      <c r="E429" s="77"/>
      <c r="F429" s="45"/>
      <c r="G429" s="56"/>
      <c r="H429" s="83"/>
      <c r="I429" s="35" t="str">
        <f t="shared" si="26"/>
        <v/>
      </c>
    </row>
    <row r="430" spans="1:9">
      <c r="A430" s="10" t="str">
        <f t="shared" si="27"/>
        <v/>
      </c>
      <c r="B430" s="53"/>
      <c r="C430" s="28" t="str">
        <f t="shared" si="24"/>
        <v/>
      </c>
      <c r="D430" s="28" t="str">
        <f t="shared" si="25"/>
        <v/>
      </c>
      <c r="E430" s="77"/>
      <c r="F430" s="45"/>
      <c r="G430" s="56"/>
      <c r="H430" s="83"/>
      <c r="I430" s="35" t="str">
        <f t="shared" si="26"/>
        <v/>
      </c>
    </row>
    <row r="431" spans="1:9">
      <c r="A431" s="10" t="str">
        <f t="shared" si="27"/>
        <v/>
      </c>
      <c r="B431" s="53"/>
      <c r="C431" s="28" t="str">
        <f t="shared" si="24"/>
        <v/>
      </c>
      <c r="D431" s="28" t="str">
        <f t="shared" si="25"/>
        <v/>
      </c>
      <c r="E431" s="77"/>
      <c r="F431" s="45"/>
      <c r="G431" s="56"/>
      <c r="H431" s="83"/>
      <c r="I431" s="35" t="str">
        <f t="shared" si="26"/>
        <v/>
      </c>
    </row>
    <row r="432" spans="1:9">
      <c r="A432" s="10" t="str">
        <f t="shared" si="27"/>
        <v/>
      </c>
      <c r="B432" s="53"/>
      <c r="C432" s="28" t="str">
        <f t="shared" si="24"/>
        <v/>
      </c>
      <c r="D432" s="28" t="str">
        <f t="shared" si="25"/>
        <v/>
      </c>
      <c r="E432" s="77"/>
      <c r="F432" s="45"/>
      <c r="G432" s="56"/>
      <c r="H432" s="83"/>
      <c r="I432" s="35" t="str">
        <f t="shared" si="26"/>
        <v/>
      </c>
    </row>
    <row r="433" spans="1:9">
      <c r="A433" s="10" t="str">
        <f t="shared" si="27"/>
        <v/>
      </c>
      <c r="B433" s="53"/>
      <c r="C433" s="28" t="str">
        <f t="shared" si="24"/>
        <v/>
      </c>
      <c r="D433" s="28" t="str">
        <f t="shared" si="25"/>
        <v/>
      </c>
      <c r="E433" s="77"/>
      <c r="F433" s="45"/>
      <c r="G433" s="56"/>
      <c r="H433" s="83"/>
      <c r="I433" s="35" t="str">
        <f t="shared" si="26"/>
        <v/>
      </c>
    </row>
    <row r="434" spans="1:9">
      <c r="A434" s="10" t="str">
        <f t="shared" si="27"/>
        <v/>
      </c>
      <c r="B434" s="53"/>
      <c r="C434" s="28" t="str">
        <f t="shared" si="24"/>
        <v/>
      </c>
      <c r="D434" s="28" t="str">
        <f t="shared" si="25"/>
        <v/>
      </c>
      <c r="E434" s="77"/>
      <c r="F434" s="45"/>
      <c r="G434" s="56"/>
      <c r="H434" s="83"/>
      <c r="I434" s="35" t="str">
        <f t="shared" si="26"/>
        <v/>
      </c>
    </row>
    <row r="435" spans="1:9">
      <c r="A435" s="10" t="str">
        <f t="shared" si="27"/>
        <v/>
      </c>
      <c r="B435" s="53"/>
      <c r="C435" s="28" t="str">
        <f t="shared" si="24"/>
        <v/>
      </c>
      <c r="D435" s="28" t="str">
        <f t="shared" si="25"/>
        <v/>
      </c>
      <c r="E435" s="77"/>
      <c r="F435" s="45"/>
      <c r="G435" s="56"/>
      <c r="H435" s="83"/>
      <c r="I435" s="35" t="str">
        <f t="shared" si="26"/>
        <v/>
      </c>
    </row>
    <row r="436" spans="1:9">
      <c r="A436" s="10" t="str">
        <f t="shared" si="27"/>
        <v/>
      </c>
      <c r="B436" s="53"/>
      <c r="C436" s="28" t="str">
        <f t="shared" si="24"/>
        <v/>
      </c>
      <c r="D436" s="28" t="str">
        <f t="shared" si="25"/>
        <v/>
      </c>
      <c r="E436" s="77"/>
      <c r="F436" s="45"/>
      <c r="G436" s="56"/>
      <c r="H436" s="83"/>
      <c r="I436" s="35" t="str">
        <f t="shared" si="26"/>
        <v/>
      </c>
    </row>
    <row r="437" spans="1:9">
      <c r="A437" s="10" t="str">
        <f t="shared" si="27"/>
        <v/>
      </c>
      <c r="B437" s="53"/>
      <c r="C437" s="28" t="str">
        <f t="shared" si="24"/>
        <v/>
      </c>
      <c r="D437" s="28" t="str">
        <f t="shared" si="25"/>
        <v/>
      </c>
      <c r="E437" s="77"/>
      <c r="F437" s="45"/>
      <c r="G437" s="56"/>
      <c r="H437" s="83"/>
      <c r="I437" s="35" t="str">
        <f t="shared" si="26"/>
        <v/>
      </c>
    </row>
    <row r="438" spans="1:9">
      <c r="A438" s="10" t="str">
        <f t="shared" si="27"/>
        <v/>
      </c>
      <c r="B438" s="53"/>
      <c r="C438" s="28" t="str">
        <f t="shared" si="24"/>
        <v/>
      </c>
      <c r="D438" s="28" t="str">
        <f t="shared" si="25"/>
        <v/>
      </c>
      <c r="E438" s="77"/>
      <c r="F438" s="45"/>
      <c r="G438" s="56"/>
      <c r="H438" s="83"/>
      <c r="I438" s="35" t="str">
        <f t="shared" si="26"/>
        <v/>
      </c>
    </row>
    <row r="439" spans="1:9">
      <c r="A439" s="10" t="str">
        <f t="shared" si="27"/>
        <v/>
      </c>
      <c r="B439" s="53"/>
      <c r="C439" s="28" t="str">
        <f t="shared" si="24"/>
        <v/>
      </c>
      <c r="D439" s="28" t="str">
        <f t="shared" si="25"/>
        <v/>
      </c>
      <c r="E439" s="77"/>
      <c r="F439" s="45"/>
      <c r="G439" s="56"/>
      <c r="H439" s="83"/>
      <c r="I439" s="35" t="str">
        <f t="shared" si="26"/>
        <v/>
      </c>
    </row>
    <row r="440" spans="1:9">
      <c r="A440" s="10" t="str">
        <f t="shared" si="27"/>
        <v/>
      </c>
      <c r="B440" s="53"/>
      <c r="C440" s="28" t="str">
        <f t="shared" si="24"/>
        <v/>
      </c>
      <c r="D440" s="28" t="str">
        <f t="shared" si="25"/>
        <v/>
      </c>
      <c r="E440" s="77"/>
      <c r="F440" s="45"/>
      <c r="G440" s="56"/>
      <c r="H440" s="83"/>
      <c r="I440" s="35" t="str">
        <f t="shared" si="26"/>
        <v/>
      </c>
    </row>
    <row r="441" spans="1:9">
      <c r="A441" s="10" t="str">
        <f t="shared" si="27"/>
        <v/>
      </c>
      <c r="B441" s="53"/>
      <c r="C441" s="28" t="str">
        <f t="shared" si="24"/>
        <v/>
      </c>
      <c r="D441" s="28" t="str">
        <f t="shared" si="25"/>
        <v/>
      </c>
      <c r="E441" s="77"/>
      <c r="F441" s="45"/>
      <c r="G441" s="56"/>
      <c r="H441" s="83"/>
      <c r="I441" s="35" t="str">
        <f t="shared" si="26"/>
        <v/>
      </c>
    </row>
    <row r="442" spans="1:9">
      <c r="A442" s="10" t="str">
        <f t="shared" si="27"/>
        <v/>
      </c>
      <c r="B442" s="53"/>
      <c r="C442" s="28" t="str">
        <f t="shared" si="24"/>
        <v/>
      </c>
      <c r="D442" s="28" t="str">
        <f t="shared" si="25"/>
        <v/>
      </c>
      <c r="E442" s="77"/>
      <c r="F442" s="45"/>
      <c r="G442" s="56"/>
      <c r="H442" s="83"/>
      <c r="I442" s="35" t="str">
        <f t="shared" si="26"/>
        <v/>
      </c>
    </row>
    <row r="443" spans="1:9">
      <c r="A443" s="10" t="str">
        <f t="shared" si="27"/>
        <v/>
      </c>
      <c r="B443" s="53"/>
      <c r="C443" s="28" t="str">
        <f t="shared" si="24"/>
        <v/>
      </c>
      <c r="D443" s="28" t="str">
        <f t="shared" si="25"/>
        <v/>
      </c>
      <c r="E443" s="77"/>
      <c r="F443" s="45"/>
      <c r="G443" s="56"/>
      <c r="H443" s="83"/>
      <c r="I443" s="35" t="str">
        <f t="shared" si="26"/>
        <v/>
      </c>
    </row>
    <row r="444" spans="1:9">
      <c r="A444" s="10" t="str">
        <f t="shared" si="27"/>
        <v/>
      </c>
      <c r="B444" s="53"/>
      <c r="C444" s="28" t="str">
        <f t="shared" si="24"/>
        <v/>
      </c>
      <c r="D444" s="28" t="str">
        <f t="shared" si="25"/>
        <v/>
      </c>
      <c r="E444" s="77"/>
      <c r="F444" s="45"/>
      <c r="G444" s="56"/>
      <c r="H444" s="83"/>
      <c r="I444" s="35" t="str">
        <f t="shared" si="26"/>
        <v/>
      </c>
    </row>
    <row r="445" spans="1:9">
      <c r="A445" s="10" t="str">
        <f t="shared" si="27"/>
        <v/>
      </c>
      <c r="B445" s="53"/>
      <c r="C445" s="28" t="str">
        <f t="shared" si="24"/>
        <v/>
      </c>
      <c r="D445" s="28" t="str">
        <f t="shared" si="25"/>
        <v/>
      </c>
      <c r="E445" s="77"/>
      <c r="F445" s="45"/>
      <c r="G445" s="56"/>
      <c r="H445" s="83"/>
      <c r="I445" s="35" t="str">
        <f t="shared" si="26"/>
        <v/>
      </c>
    </row>
    <row r="446" spans="1:9">
      <c r="A446" s="10" t="str">
        <f t="shared" si="27"/>
        <v/>
      </c>
      <c r="B446" s="53"/>
      <c r="C446" s="28" t="str">
        <f t="shared" si="24"/>
        <v/>
      </c>
      <c r="D446" s="28" t="str">
        <f t="shared" si="25"/>
        <v/>
      </c>
      <c r="E446" s="77"/>
      <c r="F446" s="45"/>
      <c r="G446" s="56"/>
      <c r="H446" s="83"/>
      <c r="I446" s="35" t="str">
        <f t="shared" si="26"/>
        <v/>
      </c>
    </row>
    <row r="447" spans="1:9">
      <c r="A447" s="10" t="str">
        <f t="shared" si="27"/>
        <v/>
      </c>
      <c r="B447" s="53"/>
      <c r="C447" s="28" t="str">
        <f t="shared" si="24"/>
        <v/>
      </c>
      <c r="D447" s="28" t="str">
        <f t="shared" si="25"/>
        <v/>
      </c>
      <c r="E447" s="77"/>
      <c r="F447" s="45"/>
      <c r="G447" s="56"/>
      <c r="H447" s="83"/>
      <c r="I447" s="35" t="str">
        <f t="shared" si="26"/>
        <v/>
      </c>
    </row>
    <row r="448" spans="1:9">
      <c r="A448" s="10" t="str">
        <f t="shared" si="27"/>
        <v/>
      </c>
      <c r="B448" s="53"/>
      <c r="C448" s="28" t="str">
        <f t="shared" si="24"/>
        <v/>
      </c>
      <c r="D448" s="28" t="str">
        <f t="shared" si="25"/>
        <v/>
      </c>
      <c r="E448" s="77"/>
      <c r="F448" s="45"/>
      <c r="G448" s="56"/>
      <c r="H448" s="83"/>
      <c r="I448" s="35" t="str">
        <f t="shared" si="26"/>
        <v/>
      </c>
    </row>
    <row r="449" spans="1:9">
      <c r="A449" s="10" t="str">
        <f t="shared" si="27"/>
        <v/>
      </c>
      <c r="B449" s="53"/>
      <c r="C449" s="28" t="str">
        <f t="shared" si="24"/>
        <v/>
      </c>
      <c r="D449" s="28" t="str">
        <f t="shared" si="25"/>
        <v/>
      </c>
      <c r="E449" s="77"/>
      <c r="F449" s="45"/>
      <c r="G449" s="56"/>
      <c r="H449" s="83"/>
      <c r="I449" s="35" t="str">
        <f t="shared" si="26"/>
        <v/>
      </c>
    </row>
    <row r="450" spans="1:9">
      <c r="A450" s="10" t="str">
        <f t="shared" si="27"/>
        <v/>
      </c>
      <c r="B450" s="53"/>
      <c r="C450" s="28" t="str">
        <f t="shared" ref="C450:C513" si="28">IF(B450=0,"",TEXT(B450,"mmmm"))</f>
        <v/>
      </c>
      <c r="D450" s="28" t="str">
        <f t="shared" ref="D450:D513" si="29">IF(B450=0,"",TEXT(B450,"yyyy"))</f>
        <v/>
      </c>
      <c r="E450" s="77"/>
      <c r="F450" s="45"/>
      <c r="G450" s="56"/>
      <c r="H450" s="83"/>
      <c r="I450" s="35" t="str">
        <f t="shared" ref="I450:I513" si="30">IF(G450*H450=0,"",G450*H450)</f>
        <v/>
      </c>
    </row>
    <row r="451" spans="1:9">
      <c r="A451" s="10" t="str">
        <f t="shared" si="27"/>
        <v/>
      </c>
      <c r="B451" s="53"/>
      <c r="C451" s="28" t="str">
        <f t="shared" si="28"/>
        <v/>
      </c>
      <c r="D451" s="28" t="str">
        <f t="shared" si="29"/>
        <v/>
      </c>
      <c r="E451" s="77"/>
      <c r="F451" s="45"/>
      <c r="G451" s="56"/>
      <c r="H451" s="83"/>
      <c r="I451" s="35" t="str">
        <f t="shared" si="30"/>
        <v/>
      </c>
    </row>
    <row r="452" spans="1:9">
      <c r="A452" s="10" t="str">
        <f t="shared" ref="A452:A515" si="31">IF(E452&gt;0,A451+1,"")</f>
        <v/>
      </c>
      <c r="B452" s="53"/>
      <c r="C452" s="28" t="str">
        <f t="shared" si="28"/>
        <v/>
      </c>
      <c r="D452" s="28" t="str">
        <f t="shared" si="29"/>
        <v/>
      </c>
      <c r="E452" s="77"/>
      <c r="F452" s="45"/>
      <c r="G452" s="56"/>
      <c r="H452" s="83"/>
      <c r="I452" s="35" t="str">
        <f t="shared" si="30"/>
        <v/>
      </c>
    </row>
    <row r="453" spans="1:9">
      <c r="A453" s="10" t="str">
        <f t="shared" si="31"/>
        <v/>
      </c>
      <c r="B453" s="53"/>
      <c r="C453" s="28" t="str">
        <f t="shared" si="28"/>
        <v/>
      </c>
      <c r="D453" s="28" t="str">
        <f t="shared" si="29"/>
        <v/>
      </c>
      <c r="E453" s="77"/>
      <c r="F453" s="45"/>
      <c r="G453" s="56"/>
      <c r="H453" s="83"/>
      <c r="I453" s="35" t="str">
        <f t="shared" si="30"/>
        <v/>
      </c>
    </row>
    <row r="454" spans="1:9">
      <c r="A454" s="10" t="str">
        <f t="shared" si="31"/>
        <v/>
      </c>
      <c r="B454" s="53"/>
      <c r="C454" s="28" t="str">
        <f t="shared" si="28"/>
        <v/>
      </c>
      <c r="D454" s="28" t="str">
        <f t="shared" si="29"/>
        <v/>
      </c>
      <c r="E454" s="77"/>
      <c r="F454" s="45"/>
      <c r="G454" s="56"/>
      <c r="H454" s="83"/>
      <c r="I454" s="35" t="str">
        <f t="shared" si="30"/>
        <v/>
      </c>
    </row>
    <row r="455" spans="1:9">
      <c r="A455" s="10" t="str">
        <f t="shared" si="31"/>
        <v/>
      </c>
      <c r="B455" s="53"/>
      <c r="C455" s="28" t="str">
        <f t="shared" si="28"/>
        <v/>
      </c>
      <c r="D455" s="28" t="str">
        <f t="shared" si="29"/>
        <v/>
      </c>
      <c r="E455" s="77"/>
      <c r="F455" s="45"/>
      <c r="G455" s="56"/>
      <c r="H455" s="83"/>
      <c r="I455" s="35" t="str">
        <f t="shared" si="30"/>
        <v/>
      </c>
    </row>
    <row r="456" spans="1:9">
      <c r="A456" s="10" t="str">
        <f t="shared" si="31"/>
        <v/>
      </c>
      <c r="B456" s="53"/>
      <c r="C456" s="28" t="str">
        <f t="shared" si="28"/>
        <v/>
      </c>
      <c r="D456" s="28" t="str">
        <f t="shared" si="29"/>
        <v/>
      </c>
      <c r="E456" s="77"/>
      <c r="F456" s="45"/>
      <c r="G456" s="56"/>
      <c r="H456" s="83"/>
      <c r="I456" s="35" t="str">
        <f t="shared" si="30"/>
        <v/>
      </c>
    </row>
    <row r="457" spans="1:9">
      <c r="A457" s="10" t="str">
        <f t="shared" si="31"/>
        <v/>
      </c>
      <c r="B457" s="53"/>
      <c r="C457" s="28" t="str">
        <f t="shared" si="28"/>
        <v/>
      </c>
      <c r="D457" s="28" t="str">
        <f t="shared" si="29"/>
        <v/>
      </c>
      <c r="E457" s="77"/>
      <c r="F457" s="45"/>
      <c r="G457" s="56"/>
      <c r="H457" s="83"/>
      <c r="I457" s="35" t="str">
        <f t="shared" si="30"/>
        <v/>
      </c>
    </row>
    <row r="458" spans="1:9">
      <c r="A458" s="10" t="str">
        <f t="shared" si="31"/>
        <v/>
      </c>
      <c r="B458" s="53"/>
      <c r="C458" s="28" t="str">
        <f t="shared" si="28"/>
        <v/>
      </c>
      <c r="D458" s="28" t="str">
        <f t="shared" si="29"/>
        <v/>
      </c>
      <c r="E458" s="77"/>
      <c r="F458" s="45"/>
      <c r="G458" s="56"/>
      <c r="H458" s="83"/>
      <c r="I458" s="35" t="str">
        <f t="shared" si="30"/>
        <v/>
      </c>
    </row>
    <row r="459" spans="1:9">
      <c r="A459" s="10" t="str">
        <f t="shared" si="31"/>
        <v/>
      </c>
      <c r="B459" s="53"/>
      <c r="C459" s="28" t="str">
        <f t="shared" si="28"/>
        <v/>
      </c>
      <c r="D459" s="28" t="str">
        <f t="shared" si="29"/>
        <v/>
      </c>
      <c r="E459" s="77"/>
      <c r="F459" s="45"/>
      <c r="G459" s="56"/>
      <c r="H459" s="83"/>
      <c r="I459" s="35" t="str">
        <f t="shared" si="30"/>
        <v/>
      </c>
    </row>
    <row r="460" spans="1:9">
      <c r="A460" s="10" t="str">
        <f t="shared" si="31"/>
        <v/>
      </c>
      <c r="B460" s="53"/>
      <c r="C460" s="28" t="str">
        <f t="shared" si="28"/>
        <v/>
      </c>
      <c r="D460" s="28" t="str">
        <f t="shared" si="29"/>
        <v/>
      </c>
      <c r="E460" s="77"/>
      <c r="F460" s="45"/>
      <c r="G460" s="56"/>
      <c r="H460" s="83"/>
      <c r="I460" s="35" t="str">
        <f t="shared" si="30"/>
        <v/>
      </c>
    </row>
    <row r="461" spans="1:9">
      <c r="A461" s="10" t="str">
        <f t="shared" si="31"/>
        <v/>
      </c>
      <c r="B461" s="53"/>
      <c r="C461" s="28" t="str">
        <f t="shared" si="28"/>
        <v/>
      </c>
      <c r="D461" s="28" t="str">
        <f t="shared" si="29"/>
        <v/>
      </c>
      <c r="E461" s="77"/>
      <c r="F461" s="45"/>
      <c r="G461" s="56"/>
      <c r="H461" s="83"/>
      <c r="I461" s="35" t="str">
        <f t="shared" si="30"/>
        <v/>
      </c>
    </row>
    <row r="462" spans="1:9">
      <c r="A462" s="10" t="str">
        <f t="shared" si="31"/>
        <v/>
      </c>
      <c r="B462" s="53"/>
      <c r="C462" s="28" t="str">
        <f t="shared" si="28"/>
        <v/>
      </c>
      <c r="D462" s="28" t="str">
        <f t="shared" si="29"/>
        <v/>
      </c>
      <c r="E462" s="77"/>
      <c r="F462" s="45"/>
      <c r="G462" s="56"/>
      <c r="H462" s="83"/>
      <c r="I462" s="35" t="str">
        <f t="shared" si="30"/>
        <v/>
      </c>
    </row>
    <row r="463" spans="1:9">
      <c r="A463" s="10" t="str">
        <f t="shared" si="31"/>
        <v/>
      </c>
      <c r="B463" s="53"/>
      <c r="C463" s="28" t="str">
        <f t="shared" si="28"/>
        <v/>
      </c>
      <c r="D463" s="28" t="str">
        <f t="shared" si="29"/>
        <v/>
      </c>
      <c r="E463" s="77"/>
      <c r="F463" s="45"/>
      <c r="G463" s="56"/>
      <c r="H463" s="83"/>
      <c r="I463" s="35" t="str">
        <f t="shared" si="30"/>
        <v/>
      </c>
    </row>
    <row r="464" spans="1:9">
      <c r="A464" s="10" t="str">
        <f t="shared" si="31"/>
        <v/>
      </c>
      <c r="B464" s="53"/>
      <c r="C464" s="28" t="str">
        <f t="shared" si="28"/>
        <v/>
      </c>
      <c r="D464" s="28" t="str">
        <f t="shared" si="29"/>
        <v/>
      </c>
      <c r="E464" s="77"/>
      <c r="F464" s="45"/>
      <c r="G464" s="56"/>
      <c r="H464" s="83"/>
      <c r="I464" s="35" t="str">
        <f t="shared" si="30"/>
        <v/>
      </c>
    </row>
    <row r="465" spans="1:9">
      <c r="A465" s="10" t="str">
        <f t="shared" si="31"/>
        <v/>
      </c>
      <c r="B465" s="53"/>
      <c r="C465" s="28" t="str">
        <f t="shared" si="28"/>
        <v/>
      </c>
      <c r="D465" s="28" t="str">
        <f t="shared" si="29"/>
        <v/>
      </c>
      <c r="E465" s="77"/>
      <c r="F465" s="45"/>
      <c r="G465" s="56"/>
      <c r="H465" s="83"/>
      <c r="I465" s="35" t="str">
        <f t="shared" si="30"/>
        <v/>
      </c>
    </row>
    <row r="466" spans="1:9">
      <c r="A466" s="10" t="str">
        <f t="shared" si="31"/>
        <v/>
      </c>
      <c r="B466" s="53"/>
      <c r="C466" s="28" t="str">
        <f t="shared" si="28"/>
        <v/>
      </c>
      <c r="D466" s="28" t="str">
        <f t="shared" si="29"/>
        <v/>
      </c>
      <c r="E466" s="77"/>
      <c r="F466" s="45"/>
      <c r="G466" s="56"/>
      <c r="H466" s="83"/>
      <c r="I466" s="35" t="str">
        <f t="shared" si="30"/>
        <v/>
      </c>
    </row>
    <row r="467" spans="1:9">
      <c r="A467" s="10" t="str">
        <f t="shared" si="31"/>
        <v/>
      </c>
      <c r="B467" s="53"/>
      <c r="C467" s="28" t="str">
        <f t="shared" si="28"/>
        <v/>
      </c>
      <c r="D467" s="28" t="str">
        <f t="shared" si="29"/>
        <v/>
      </c>
      <c r="E467" s="77"/>
      <c r="F467" s="45"/>
      <c r="G467" s="56"/>
      <c r="H467" s="83"/>
      <c r="I467" s="35" t="str">
        <f t="shared" si="30"/>
        <v/>
      </c>
    </row>
    <row r="468" spans="1:9">
      <c r="A468" s="10" t="str">
        <f t="shared" si="31"/>
        <v/>
      </c>
      <c r="B468" s="53"/>
      <c r="C468" s="28" t="str">
        <f t="shared" si="28"/>
        <v/>
      </c>
      <c r="D468" s="28" t="str">
        <f t="shared" si="29"/>
        <v/>
      </c>
      <c r="E468" s="77"/>
      <c r="F468" s="45"/>
      <c r="G468" s="56"/>
      <c r="H468" s="83"/>
      <c r="I468" s="35" t="str">
        <f t="shared" si="30"/>
        <v/>
      </c>
    </row>
    <row r="469" spans="1:9">
      <c r="A469" s="10" t="str">
        <f t="shared" si="31"/>
        <v/>
      </c>
      <c r="B469" s="53"/>
      <c r="C469" s="28" t="str">
        <f t="shared" si="28"/>
        <v/>
      </c>
      <c r="D469" s="28" t="str">
        <f t="shared" si="29"/>
        <v/>
      </c>
      <c r="E469" s="77"/>
      <c r="F469" s="45"/>
      <c r="G469" s="56"/>
      <c r="H469" s="83"/>
      <c r="I469" s="35" t="str">
        <f t="shared" si="30"/>
        <v/>
      </c>
    </row>
    <row r="470" spans="1:9">
      <c r="A470" s="10" t="str">
        <f t="shared" si="31"/>
        <v/>
      </c>
      <c r="B470" s="53"/>
      <c r="C470" s="28" t="str">
        <f t="shared" si="28"/>
        <v/>
      </c>
      <c r="D470" s="28" t="str">
        <f t="shared" si="29"/>
        <v/>
      </c>
      <c r="E470" s="77"/>
      <c r="F470" s="45"/>
      <c r="G470" s="56"/>
      <c r="H470" s="83"/>
      <c r="I470" s="35" t="str">
        <f t="shared" si="30"/>
        <v/>
      </c>
    </row>
    <row r="471" spans="1:9">
      <c r="A471" s="10" t="str">
        <f t="shared" si="31"/>
        <v/>
      </c>
      <c r="B471" s="53"/>
      <c r="C471" s="28" t="str">
        <f t="shared" si="28"/>
        <v/>
      </c>
      <c r="D471" s="28" t="str">
        <f t="shared" si="29"/>
        <v/>
      </c>
      <c r="E471" s="77"/>
      <c r="F471" s="45"/>
      <c r="G471" s="56"/>
      <c r="H471" s="83"/>
      <c r="I471" s="35" t="str">
        <f t="shared" si="30"/>
        <v/>
      </c>
    </row>
    <row r="472" spans="1:9">
      <c r="A472" s="10" t="str">
        <f t="shared" si="31"/>
        <v/>
      </c>
      <c r="B472" s="53"/>
      <c r="C472" s="28" t="str">
        <f t="shared" si="28"/>
        <v/>
      </c>
      <c r="D472" s="28" t="str">
        <f t="shared" si="29"/>
        <v/>
      </c>
      <c r="E472" s="77"/>
      <c r="F472" s="45"/>
      <c r="G472" s="56"/>
      <c r="H472" s="83"/>
      <c r="I472" s="35" t="str">
        <f t="shared" si="30"/>
        <v/>
      </c>
    </row>
    <row r="473" spans="1:9">
      <c r="A473" s="10" t="str">
        <f t="shared" si="31"/>
        <v/>
      </c>
      <c r="B473" s="53"/>
      <c r="C473" s="28" t="str">
        <f t="shared" si="28"/>
        <v/>
      </c>
      <c r="D473" s="28" t="str">
        <f t="shared" si="29"/>
        <v/>
      </c>
      <c r="E473" s="77"/>
      <c r="F473" s="45"/>
      <c r="G473" s="56"/>
      <c r="H473" s="83"/>
      <c r="I473" s="35" t="str">
        <f t="shared" si="30"/>
        <v/>
      </c>
    </row>
    <row r="474" spans="1:9">
      <c r="A474" s="10" t="str">
        <f t="shared" si="31"/>
        <v/>
      </c>
      <c r="B474" s="53"/>
      <c r="C474" s="28" t="str">
        <f t="shared" si="28"/>
        <v/>
      </c>
      <c r="D474" s="28" t="str">
        <f t="shared" si="29"/>
        <v/>
      </c>
      <c r="E474" s="77"/>
      <c r="F474" s="45"/>
      <c r="G474" s="56"/>
      <c r="H474" s="83"/>
      <c r="I474" s="35" t="str">
        <f t="shared" si="30"/>
        <v/>
      </c>
    </row>
    <row r="475" spans="1:9">
      <c r="A475" s="10" t="str">
        <f t="shared" si="31"/>
        <v/>
      </c>
      <c r="B475" s="53"/>
      <c r="C475" s="28" t="str">
        <f t="shared" si="28"/>
        <v/>
      </c>
      <c r="D475" s="28" t="str">
        <f t="shared" si="29"/>
        <v/>
      </c>
      <c r="E475" s="77"/>
      <c r="F475" s="45"/>
      <c r="G475" s="56"/>
      <c r="H475" s="83"/>
      <c r="I475" s="35" t="str">
        <f t="shared" si="30"/>
        <v/>
      </c>
    </row>
    <row r="476" spans="1:9">
      <c r="A476" s="10" t="str">
        <f t="shared" si="31"/>
        <v/>
      </c>
      <c r="B476" s="53"/>
      <c r="C476" s="28" t="str">
        <f t="shared" si="28"/>
        <v/>
      </c>
      <c r="D476" s="28" t="str">
        <f t="shared" si="29"/>
        <v/>
      </c>
      <c r="E476" s="77"/>
      <c r="F476" s="45"/>
      <c r="G476" s="56"/>
      <c r="H476" s="83"/>
      <c r="I476" s="35" t="str">
        <f t="shared" si="30"/>
        <v/>
      </c>
    </row>
    <row r="477" spans="1:9">
      <c r="A477" s="10" t="str">
        <f t="shared" si="31"/>
        <v/>
      </c>
      <c r="B477" s="53"/>
      <c r="C477" s="28" t="str">
        <f t="shared" si="28"/>
        <v/>
      </c>
      <c r="D477" s="28" t="str">
        <f t="shared" si="29"/>
        <v/>
      </c>
      <c r="E477" s="77"/>
      <c r="F477" s="45"/>
      <c r="G477" s="56"/>
      <c r="H477" s="83"/>
      <c r="I477" s="35" t="str">
        <f t="shared" si="30"/>
        <v/>
      </c>
    </row>
    <row r="478" spans="1:9">
      <c r="A478" s="10" t="str">
        <f t="shared" si="31"/>
        <v/>
      </c>
      <c r="B478" s="53"/>
      <c r="C478" s="28" t="str">
        <f t="shared" si="28"/>
        <v/>
      </c>
      <c r="D478" s="28" t="str">
        <f t="shared" si="29"/>
        <v/>
      </c>
      <c r="E478" s="77"/>
      <c r="F478" s="45"/>
      <c r="G478" s="56"/>
      <c r="H478" s="83"/>
      <c r="I478" s="35" t="str">
        <f t="shared" si="30"/>
        <v/>
      </c>
    </row>
    <row r="479" spans="1:9">
      <c r="A479" s="10" t="str">
        <f t="shared" si="31"/>
        <v/>
      </c>
      <c r="B479" s="53"/>
      <c r="C479" s="28" t="str">
        <f t="shared" si="28"/>
        <v/>
      </c>
      <c r="D479" s="28" t="str">
        <f t="shared" si="29"/>
        <v/>
      </c>
      <c r="E479" s="77"/>
      <c r="F479" s="45"/>
      <c r="G479" s="56"/>
      <c r="H479" s="83"/>
      <c r="I479" s="35" t="str">
        <f t="shared" si="30"/>
        <v/>
      </c>
    </row>
    <row r="480" spans="1:9">
      <c r="A480" s="10" t="str">
        <f t="shared" si="31"/>
        <v/>
      </c>
      <c r="B480" s="53"/>
      <c r="C480" s="28" t="str">
        <f t="shared" si="28"/>
        <v/>
      </c>
      <c r="D480" s="28" t="str">
        <f t="shared" si="29"/>
        <v/>
      </c>
      <c r="E480" s="77"/>
      <c r="F480" s="45"/>
      <c r="G480" s="56"/>
      <c r="H480" s="83"/>
      <c r="I480" s="35" t="str">
        <f t="shared" si="30"/>
        <v/>
      </c>
    </row>
    <row r="481" spans="1:9">
      <c r="A481" s="10" t="str">
        <f t="shared" si="31"/>
        <v/>
      </c>
      <c r="B481" s="53"/>
      <c r="C481" s="28" t="str">
        <f t="shared" si="28"/>
        <v/>
      </c>
      <c r="D481" s="28" t="str">
        <f t="shared" si="29"/>
        <v/>
      </c>
      <c r="E481" s="77"/>
      <c r="F481" s="45"/>
      <c r="G481" s="56"/>
      <c r="H481" s="83"/>
      <c r="I481" s="35" t="str">
        <f t="shared" si="30"/>
        <v/>
      </c>
    </row>
    <row r="482" spans="1:9">
      <c r="A482" s="10" t="str">
        <f t="shared" si="31"/>
        <v/>
      </c>
      <c r="B482" s="53"/>
      <c r="C482" s="28" t="str">
        <f t="shared" si="28"/>
        <v/>
      </c>
      <c r="D482" s="28" t="str">
        <f t="shared" si="29"/>
        <v/>
      </c>
      <c r="E482" s="77"/>
      <c r="F482" s="45"/>
      <c r="G482" s="56"/>
      <c r="H482" s="83"/>
      <c r="I482" s="35" t="str">
        <f t="shared" si="30"/>
        <v/>
      </c>
    </row>
    <row r="483" spans="1:9">
      <c r="A483" s="10" t="str">
        <f t="shared" si="31"/>
        <v/>
      </c>
      <c r="B483" s="53"/>
      <c r="C483" s="28" t="str">
        <f t="shared" si="28"/>
        <v/>
      </c>
      <c r="D483" s="28" t="str">
        <f t="shared" si="29"/>
        <v/>
      </c>
      <c r="E483" s="77"/>
      <c r="F483" s="45"/>
      <c r="G483" s="56"/>
      <c r="H483" s="83"/>
      <c r="I483" s="35" t="str">
        <f t="shared" si="30"/>
        <v/>
      </c>
    </row>
    <row r="484" spans="1:9">
      <c r="A484" s="10" t="str">
        <f t="shared" si="31"/>
        <v/>
      </c>
      <c r="B484" s="53"/>
      <c r="C484" s="28" t="str">
        <f t="shared" si="28"/>
        <v/>
      </c>
      <c r="D484" s="28" t="str">
        <f t="shared" si="29"/>
        <v/>
      </c>
      <c r="E484" s="77"/>
      <c r="F484" s="45"/>
      <c r="G484" s="56"/>
      <c r="H484" s="83"/>
      <c r="I484" s="35" t="str">
        <f t="shared" si="30"/>
        <v/>
      </c>
    </row>
    <row r="485" spans="1:9">
      <c r="A485" s="10" t="str">
        <f t="shared" si="31"/>
        <v/>
      </c>
      <c r="B485" s="53"/>
      <c r="C485" s="28" t="str">
        <f t="shared" si="28"/>
        <v/>
      </c>
      <c r="D485" s="28" t="str">
        <f t="shared" si="29"/>
        <v/>
      </c>
      <c r="E485" s="77"/>
      <c r="F485" s="45"/>
      <c r="G485" s="56"/>
      <c r="H485" s="83"/>
      <c r="I485" s="35" t="str">
        <f t="shared" si="30"/>
        <v/>
      </c>
    </row>
    <row r="486" spans="1:9">
      <c r="A486" s="10" t="str">
        <f t="shared" si="31"/>
        <v/>
      </c>
      <c r="B486" s="53"/>
      <c r="C486" s="28" t="str">
        <f t="shared" si="28"/>
        <v/>
      </c>
      <c r="D486" s="28" t="str">
        <f t="shared" si="29"/>
        <v/>
      </c>
      <c r="E486" s="77"/>
      <c r="F486" s="45"/>
      <c r="G486" s="56"/>
      <c r="H486" s="83"/>
      <c r="I486" s="35" t="str">
        <f t="shared" si="30"/>
        <v/>
      </c>
    </row>
    <row r="487" spans="1:9">
      <c r="A487" s="10" t="str">
        <f t="shared" si="31"/>
        <v/>
      </c>
      <c r="B487" s="53"/>
      <c r="C487" s="28" t="str">
        <f t="shared" si="28"/>
        <v/>
      </c>
      <c r="D487" s="28" t="str">
        <f t="shared" si="29"/>
        <v/>
      </c>
      <c r="E487" s="77"/>
      <c r="F487" s="45"/>
      <c r="G487" s="56"/>
      <c r="H487" s="83"/>
      <c r="I487" s="35" t="str">
        <f t="shared" si="30"/>
        <v/>
      </c>
    </row>
    <row r="488" spans="1:9">
      <c r="A488" s="10" t="str">
        <f t="shared" si="31"/>
        <v/>
      </c>
      <c r="B488" s="53"/>
      <c r="C488" s="28" t="str">
        <f t="shared" si="28"/>
        <v/>
      </c>
      <c r="D488" s="28" t="str">
        <f t="shared" si="29"/>
        <v/>
      </c>
      <c r="E488" s="77"/>
      <c r="F488" s="45"/>
      <c r="G488" s="56"/>
      <c r="H488" s="83"/>
      <c r="I488" s="35" t="str">
        <f t="shared" si="30"/>
        <v/>
      </c>
    </row>
    <row r="489" spans="1:9">
      <c r="A489" s="10" t="str">
        <f t="shared" si="31"/>
        <v/>
      </c>
      <c r="B489" s="53"/>
      <c r="C489" s="28" t="str">
        <f t="shared" si="28"/>
        <v/>
      </c>
      <c r="D489" s="28" t="str">
        <f t="shared" si="29"/>
        <v/>
      </c>
      <c r="E489" s="77"/>
      <c r="F489" s="45"/>
      <c r="G489" s="56"/>
      <c r="H489" s="83"/>
      <c r="I489" s="35" t="str">
        <f t="shared" si="30"/>
        <v/>
      </c>
    </row>
    <row r="490" spans="1:9">
      <c r="A490" s="10" t="str">
        <f t="shared" si="31"/>
        <v/>
      </c>
      <c r="B490" s="53"/>
      <c r="C490" s="28" t="str">
        <f t="shared" si="28"/>
        <v/>
      </c>
      <c r="D490" s="28" t="str">
        <f t="shared" si="29"/>
        <v/>
      </c>
      <c r="E490" s="77"/>
      <c r="F490" s="45"/>
      <c r="G490" s="56"/>
      <c r="H490" s="83"/>
      <c r="I490" s="35" t="str">
        <f t="shared" si="30"/>
        <v/>
      </c>
    </row>
    <row r="491" spans="1:9">
      <c r="A491" s="10" t="str">
        <f t="shared" si="31"/>
        <v/>
      </c>
      <c r="B491" s="53"/>
      <c r="C491" s="28" t="str">
        <f t="shared" si="28"/>
        <v/>
      </c>
      <c r="D491" s="28" t="str">
        <f t="shared" si="29"/>
        <v/>
      </c>
      <c r="E491" s="77"/>
      <c r="F491" s="45"/>
      <c r="G491" s="56"/>
      <c r="H491" s="83"/>
      <c r="I491" s="35" t="str">
        <f t="shared" si="30"/>
        <v/>
      </c>
    </row>
    <row r="492" spans="1:9">
      <c r="A492" s="10" t="str">
        <f t="shared" si="31"/>
        <v/>
      </c>
      <c r="B492" s="53"/>
      <c r="C492" s="28" t="str">
        <f t="shared" si="28"/>
        <v/>
      </c>
      <c r="D492" s="28" t="str">
        <f t="shared" si="29"/>
        <v/>
      </c>
      <c r="E492" s="77"/>
      <c r="F492" s="45"/>
      <c r="G492" s="56"/>
      <c r="H492" s="83"/>
      <c r="I492" s="35" t="str">
        <f t="shared" si="30"/>
        <v/>
      </c>
    </row>
    <row r="493" spans="1:9">
      <c r="A493" s="10" t="str">
        <f t="shared" si="31"/>
        <v/>
      </c>
      <c r="B493" s="53"/>
      <c r="C493" s="28" t="str">
        <f t="shared" si="28"/>
        <v/>
      </c>
      <c r="D493" s="28" t="str">
        <f t="shared" si="29"/>
        <v/>
      </c>
      <c r="E493" s="77"/>
      <c r="F493" s="45"/>
      <c r="G493" s="56"/>
      <c r="H493" s="83"/>
      <c r="I493" s="35" t="str">
        <f t="shared" si="30"/>
        <v/>
      </c>
    </row>
    <row r="494" spans="1:9">
      <c r="A494" s="10" t="str">
        <f t="shared" si="31"/>
        <v/>
      </c>
      <c r="B494" s="53"/>
      <c r="C494" s="28" t="str">
        <f t="shared" si="28"/>
        <v/>
      </c>
      <c r="D494" s="28" t="str">
        <f t="shared" si="29"/>
        <v/>
      </c>
      <c r="E494" s="77"/>
      <c r="F494" s="45"/>
      <c r="G494" s="56"/>
      <c r="H494" s="83"/>
      <c r="I494" s="35" t="str">
        <f t="shared" si="30"/>
        <v/>
      </c>
    </row>
    <row r="495" spans="1:9">
      <c r="A495" s="10" t="str">
        <f t="shared" si="31"/>
        <v/>
      </c>
      <c r="B495" s="53"/>
      <c r="C495" s="28" t="str">
        <f t="shared" si="28"/>
        <v/>
      </c>
      <c r="D495" s="28" t="str">
        <f t="shared" si="29"/>
        <v/>
      </c>
      <c r="E495" s="77"/>
      <c r="F495" s="45"/>
      <c r="G495" s="56"/>
      <c r="H495" s="83"/>
      <c r="I495" s="35" t="str">
        <f t="shared" si="30"/>
        <v/>
      </c>
    </row>
    <row r="496" spans="1:9">
      <c r="A496" s="10" t="str">
        <f t="shared" si="31"/>
        <v/>
      </c>
      <c r="B496" s="53"/>
      <c r="C496" s="28" t="str">
        <f t="shared" si="28"/>
        <v/>
      </c>
      <c r="D496" s="28" t="str">
        <f t="shared" si="29"/>
        <v/>
      </c>
      <c r="E496" s="77"/>
      <c r="F496" s="45"/>
      <c r="G496" s="56"/>
      <c r="H496" s="83"/>
      <c r="I496" s="35" t="str">
        <f t="shared" si="30"/>
        <v/>
      </c>
    </row>
    <row r="497" spans="1:9">
      <c r="A497" s="10" t="str">
        <f t="shared" si="31"/>
        <v/>
      </c>
      <c r="B497" s="53"/>
      <c r="C497" s="28" t="str">
        <f t="shared" si="28"/>
        <v/>
      </c>
      <c r="D497" s="28" t="str">
        <f t="shared" si="29"/>
        <v/>
      </c>
      <c r="E497" s="77"/>
      <c r="F497" s="45"/>
      <c r="G497" s="56"/>
      <c r="H497" s="83"/>
      <c r="I497" s="35" t="str">
        <f t="shared" si="30"/>
        <v/>
      </c>
    </row>
    <row r="498" spans="1:9">
      <c r="A498" s="10" t="str">
        <f t="shared" si="31"/>
        <v/>
      </c>
      <c r="B498" s="53"/>
      <c r="C498" s="28" t="str">
        <f t="shared" si="28"/>
        <v/>
      </c>
      <c r="D498" s="28" t="str">
        <f t="shared" si="29"/>
        <v/>
      </c>
      <c r="E498" s="77"/>
      <c r="F498" s="45"/>
      <c r="G498" s="56"/>
      <c r="H498" s="83"/>
      <c r="I498" s="35" t="str">
        <f t="shared" si="30"/>
        <v/>
      </c>
    </row>
    <row r="499" spans="1:9">
      <c r="A499" s="10" t="str">
        <f t="shared" si="31"/>
        <v/>
      </c>
      <c r="B499" s="53"/>
      <c r="C499" s="28" t="str">
        <f t="shared" si="28"/>
        <v/>
      </c>
      <c r="D499" s="28" t="str">
        <f t="shared" si="29"/>
        <v/>
      </c>
      <c r="E499" s="77"/>
      <c r="F499" s="45"/>
      <c r="G499" s="56"/>
      <c r="H499" s="83"/>
      <c r="I499" s="35" t="str">
        <f t="shared" si="30"/>
        <v/>
      </c>
    </row>
    <row r="500" spans="1:9">
      <c r="A500" s="10" t="str">
        <f t="shared" si="31"/>
        <v/>
      </c>
      <c r="B500" s="53"/>
      <c r="C500" s="28" t="str">
        <f t="shared" si="28"/>
        <v/>
      </c>
      <c r="D500" s="28" t="str">
        <f t="shared" si="29"/>
        <v/>
      </c>
      <c r="E500" s="77"/>
      <c r="F500" s="45"/>
      <c r="G500" s="56"/>
      <c r="H500" s="83"/>
      <c r="I500" s="35" t="str">
        <f t="shared" si="30"/>
        <v/>
      </c>
    </row>
    <row r="501" spans="1:9">
      <c r="A501" s="10" t="str">
        <f t="shared" si="31"/>
        <v/>
      </c>
      <c r="B501" s="53"/>
      <c r="C501" s="28" t="str">
        <f t="shared" si="28"/>
        <v/>
      </c>
      <c r="D501" s="28" t="str">
        <f t="shared" si="29"/>
        <v/>
      </c>
      <c r="E501" s="77"/>
      <c r="F501" s="45"/>
      <c r="G501" s="56"/>
      <c r="H501" s="83"/>
      <c r="I501" s="35" t="str">
        <f t="shared" si="30"/>
        <v/>
      </c>
    </row>
    <row r="502" spans="1:9">
      <c r="A502" s="10" t="str">
        <f t="shared" si="31"/>
        <v/>
      </c>
      <c r="B502" s="53"/>
      <c r="C502" s="28" t="str">
        <f t="shared" si="28"/>
        <v/>
      </c>
      <c r="D502" s="28" t="str">
        <f t="shared" si="29"/>
        <v/>
      </c>
      <c r="E502" s="77"/>
      <c r="F502" s="45"/>
      <c r="G502" s="56"/>
      <c r="H502" s="83"/>
      <c r="I502" s="35" t="str">
        <f t="shared" si="30"/>
        <v/>
      </c>
    </row>
    <row r="503" spans="1:9">
      <c r="A503" s="10" t="str">
        <f t="shared" si="31"/>
        <v/>
      </c>
      <c r="B503" s="53"/>
      <c r="C503" s="28" t="str">
        <f t="shared" si="28"/>
        <v/>
      </c>
      <c r="D503" s="28" t="str">
        <f t="shared" si="29"/>
        <v/>
      </c>
      <c r="E503" s="77"/>
      <c r="F503" s="45"/>
      <c r="G503" s="56"/>
      <c r="H503" s="83"/>
      <c r="I503" s="35" t="str">
        <f t="shared" si="30"/>
        <v/>
      </c>
    </row>
    <row r="504" spans="1:9">
      <c r="A504" s="10" t="str">
        <f t="shared" si="31"/>
        <v/>
      </c>
      <c r="B504" s="53"/>
      <c r="C504" s="28" t="str">
        <f t="shared" si="28"/>
        <v/>
      </c>
      <c r="D504" s="28" t="str">
        <f t="shared" si="29"/>
        <v/>
      </c>
      <c r="E504" s="77"/>
      <c r="F504" s="45"/>
      <c r="G504" s="56"/>
      <c r="H504" s="83"/>
      <c r="I504" s="35" t="str">
        <f t="shared" si="30"/>
        <v/>
      </c>
    </row>
    <row r="505" spans="1:9">
      <c r="A505" s="10" t="str">
        <f t="shared" si="31"/>
        <v/>
      </c>
      <c r="B505" s="53"/>
      <c r="C505" s="28" t="str">
        <f t="shared" si="28"/>
        <v/>
      </c>
      <c r="D505" s="28" t="str">
        <f t="shared" si="29"/>
        <v/>
      </c>
      <c r="E505" s="77"/>
      <c r="F505" s="45"/>
      <c r="G505" s="56"/>
      <c r="H505" s="83"/>
      <c r="I505" s="35" t="str">
        <f t="shared" si="30"/>
        <v/>
      </c>
    </row>
    <row r="506" spans="1:9">
      <c r="A506" s="10" t="str">
        <f t="shared" si="31"/>
        <v/>
      </c>
      <c r="B506" s="53"/>
      <c r="C506" s="28" t="str">
        <f t="shared" si="28"/>
        <v/>
      </c>
      <c r="D506" s="28" t="str">
        <f t="shared" si="29"/>
        <v/>
      </c>
      <c r="E506" s="77"/>
      <c r="F506" s="45"/>
      <c r="G506" s="56"/>
      <c r="H506" s="83"/>
      <c r="I506" s="35" t="str">
        <f t="shared" si="30"/>
        <v/>
      </c>
    </row>
    <row r="507" spans="1:9">
      <c r="A507" s="10" t="str">
        <f t="shared" si="31"/>
        <v/>
      </c>
      <c r="B507" s="53"/>
      <c r="C507" s="28" t="str">
        <f t="shared" si="28"/>
        <v/>
      </c>
      <c r="D507" s="28" t="str">
        <f t="shared" si="29"/>
        <v/>
      </c>
      <c r="E507" s="77"/>
      <c r="F507" s="45"/>
      <c r="G507" s="56"/>
      <c r="H507" s="83"/>
      <c r="I507" s="35" t="str">
        <f t="shared" si="30"/>
        <v/>
      </c>
    </row>
    <row r="508" spans="1:9">
      <c r="A508" s="10" t="str">
        <f t="shared" si="31"/>
        <v/>
      </c>
      <c r="B508" s="53"/>
      <c r="C508" s="28" t="str">
        <f t="shared" si="28"/>
        <v/>
      </c>
      <c r="D508" s="28" t="str">
        <f t="shared" si="29"/>
        <v/>
      </c>
      <c r="E508" s="77"/>
      <c r="F508" s="45"/>
      <c r="G508" s="56"/>
      <c r="H508" s="83"/>
      <c r="I508" s="35" t="str">
        <f t="shared" si="30"/>
        <v/>
      </c>
    </row>
    <row r="509" spans="1:9">
      <c r="A509" s="10" t="str">
        <f t="shared" si="31"/>
        <v/>
      </c>
      <c r="B509" s="53"/>
      <c r="C509" s="28" t="str">
        <f t="shared" si="28"/>
        <v/>
      </c>
      <c r="D509" s="28" t="str">
        <f t="shared" si="29"/>
        <v/>
      </c>
      <c r="E509" s="77"/>
      <c r="F509" s="45"/>
      <c r="G509" s="56"/>
      <c r="H509" s="83"/>
      <c r="I509" s="35" t="str">
        <f t="shared" si="30"/>
        <v/>
      </c>
    </row>
    <row r="510" spans="1:9">
      <c r="A510" s="10" t="str">
        <f t="shared" si="31"/>
        <v/>
      </c>
      <c r="B510" s="53"/>
      <c r="C510" s="28" t="str">
        <f t="shared" si="28"/>
        <v/>
      </c>
      <c r="D510" s="28" t="str">
        <f t="shared" si="29"/>
        <v/>
      </c>
      <c r="E510" s="77"/>
      <c r="F510" s="45"/>
      <c r="G510" s="56"/>
      <c r="H510" s="83"/>
      <c r="I510" s="35" t="str">
        <f t="shared" si="30"/>
        <v/>
      </c>
    </row>
    <row r="511" spans="1:9">
      <c r="A511" s="10" t="str">
        <f t="shared" si="31"/>
        <v/>
      </c>
      <c r="B511" s="53"/>
      <c r="C511" s="28" t="str">
        <f t="shared" si="28"/>
        <v/>
      </c>
      <c r="D511" s="28" t="str">
        <f t="shared" si="29"/>
        <v/>
      </c>
      <c r="E511" s="77"/>
      <c r="F511" s="45"/>
      <c r="G511" s="56"/>
      <c r="H511" s="83"/>
      <c r="I511" s="35" t="str">
        <f t="shared" si="30"/>
        <v/>
      </c>
    </row>
    <row r="512" spans="1:9">
      <c r="A512" s="10" t="str">
        <f t="shared" si="31"/>
        <v/>
      </c>
      <c r="B512" s="53"/>
      <c r="C512" s="28" t="str">
        <f t="shared" si="28"/>
        <v/>
      </c>
      <c r="D512" s="28" t="str">
        <f t="shared" si="29"/>
        <v/>
      </c>
      <c r="E512" s="77"/>
      <c r="F512" s="45"/>
      <c r="G512" s="56"/>
      <c r="H512" s="83"/>
      <c r="I512" s="35" t="str">
        <f t="shared" si="30"/>
        <v/>
      </c>
    </row>
    <row r="513" spans="1:9">
      <c r="A513" s="10" t="str">
        <f t="shared" si="31"/>
        <v/>
      </c>
      <c r="B513" s="53"/>
      <c r="C513" s="28" t="str">
        <f t="shared" si="28"/>
        <v/>
      </c>
      <c r="D513" s="28" t="str">
        <f t="shared" si="29"/>
        <v/>
      </c>
      <c r="E513" s="77"/>
      <c r="F513" s="45"/>
      <c r="G513" s="56"/>
      <c r="H513" s="83"/>
      <c r="I513" s="35" t="str">
        <f t="shared" si="30"/>
        <v/>
      </c>
    </row>
    <row r="514" spans="1:9">
      <c r="A514" s="10" t="str">
        <f t="shared" si="31"/>
        <v/>
      </c>
      <c r="B514" s="53"/>
      <c r="C514" s="28" t="str">
        <f t="shared" ref="C514:C577" si="32">IF(B514=0,"",TEXT(B514,"mmmm"))</f>
        <v/>
      </c>
      <c r="D514" s="28" t="str">
        <f t="shared" ref="D514:D577" si="33">IF(B514=0,"",TEXT(B514,"yyyy"))</f>
        <v/>
      </c>
      <c r="E514" s="77"/>
      <c r="F514" s="45"/>
      <c r="G514" s="56"/>
      <c r="H514" s="83"/>
      <c r="I514" s="35" t="str">
        <f t="shared" ref="I514:I577" si="34">IF(G514*H514=0,"",G514*H514)</f>
        <v/>
      </c>
    </row>
    <row r="515" spans="1:9">
      <c r="A515" s="10" t="str">
        <f t="shared" si="31"/>
        <v/>
      </c>
      <c r="B515" s="53"/>
      <c r="C515" s="28" t="str">
        <f t="shared" si="32"/>
        <v/>
      </c>
      <c r="D515" s="28" t="str">
        <f t="shared" si="33"/>
        <v/>
      </c>
      <c r="E515" s="77"/>
      <c r="F515" s="45"/>
      <c r="G515" s="56"/>
      <c r="H515" s="83"/>
      <c r="I515" s="35" t="str">
        <f t="shared" si="34"/>
        <v/>
      </c>
    </row>
    <row r="516" spans="1:9">
      <c r="A516" s="10" t="str">
        <f t="shared" ref="A516:A579" si="35">IF(E516&gt;0,A515+1,"")</f>
        <v/>
      </c>
      <c r="B516" s="53"/>
      <c r="C516" s="28" t="str">
        <f t="shared" si="32"/>
        <v/>
      </c>
      <c r="D516" s="28" t="str">
        <f t="shared" si="33"/>
        <v/>
      </c>
      <c r="E516" s="77"/>
      <c r="F516" s="45"/>
      <c r="G516" s="56"/>
      <c r="H516" s="83"/>
      <c r="I516" s="35" t="str">
        <f t="shared" si="34"/>
        <v/>
      </c>
    </row>
    <row r="517" spans="1:9">
      <c r="A517" s="10" t="str">
        <f t="shared" si="35"/>
        <v/>
      </c>
      <c r="B517" s="53"/>
      <c r="C517" s="28" t="str">
        <f t="shared" si="32"/>
        <v/>
      </c>
      <c r="D517" s="28" t="str">
        <f t="shared" si="33"/>
        <v/>
      </c>
      <c r="E517" s="77"/>
      <c r="F517" s="45"/>
      <c r="G517" s="56"/>
      <c r="H517" s="83"/>
      <c r="I517" s="35" t="str">
        <f t="shared" si="34"/>
        <v/>
      </c>
    </row>
    <row r="518" spans="1:9">
      <c r="A518" s="10" t="str">
        <f t="shared" si="35"/>
        <v/>
      </c>
      <c r="B518" s="53"/>
      <c r="C518" s="28" t="str">
        <f t="shared" si="32"/>
        <v/>
      </c>
      <c r="D518" s="28" t="str">
        <f t="shared" si="33"/>
        <v/>
      </c>
      <c r="E518" s="77"/>
      <c r="F518" s="45"/>
      <c r="G518" s="56"/>
      <c r="H518" s="83"/>
      <c r="I518" s="35" t="str">
        <f t="shared" si="34"/>
        <v/>
      </c>
    </row>
    <row r="519" spans="1:9">
      <c r="A519" s="10" t="str">
        <f t="shared" si="35"/>
        <v/>
      </c>
      <c r="B519" s="53"/>
      <c r="C519" s="28" t="str">
        <f t="shared" si="32"/>
        <v/>
      </c>
      <c r="D519" s="28" t="str">
        <f t="shared" si="33"/>
        <v/>
      </c>
      <c r="E519" s="77"/>
      <c r="F519" s="45"/>
      <c r="G519" s="56"/>
      <c r="H519" s="83"/>
      <c r="I519" s="35" t="str">
        <f t="shared" si="34"/>
        <v/>
      </c>
    </row>
    <row r="520" spans="1:9">
      <c r="A520" s="10" t="str">
        <f t="shared" si="35"/>
        <v/>
      </c>
      <c r="B520" s="53"/>
      <c r="C520" s="28" t="str">
        <f t="shared" si="32"/>
        <v/>
      </c>
      <c r="D520" s="28" t="str">
        <f t="shared" si="33"/>
        <v/>
      </c>
      <c r="E520" s="77"/>
      <c r="F520" s="45"/>
      <c r="G520" s="56"/>
      <c r="H520" s="83"/>
      <c r="I520" s="35" t="str">
        <f t="shared" si="34"/>
        <v/>
      </c>
    </row>
    <row r="521" spans="1:9">
      <c r="A521" s="10" t="str">
        <f t="shared" si="35"/>
        <v/>
      </c>
      <c r="B521" s="53"/>
      <c r="C521" s="28" t="str">
        <f t="shared" si="32"/>
        <v/>
      </c>
      <c r="D521" s="28" t="str">
        <f t="shared" si="33"/>
        <v/>
      </c>
      <c r="E521" s="77"/>
      <c r="F521" s="45"/>
      <c r="G521" s="56"/>
      <c r="H521" s="83"/>
      <c r="I521" s="35" t="str">
        <f t="shared" si="34"/>
        <v/>
      </c>
    </row>
    <row r="522" spans="1:9">
      <c r="A522" s="10" t="str">
        <f t="shared" si="35"/>
        <v/>
      </c>
      <c r="B522" s="53"/>
      <c r="C522" s="28" t="str">
        <f t="shared" si="32"/>
        <v/>
      </c>
      <c r="D522" s="28" t="str">
        <f t="shared" si="33"/>
        <v/>
      </c>
      <c r="E522" s="77"/>
      <c r="F522" s="45"/>
      <c r="G522" s="56"/>
      <c r="H522" s="83"/>
      <c r="I522" s="35" t="str">
        <f t="shared" si="34"/>
        <v/>
      </c>
    </row>
    <row r="523" spans="1:9">
      <c r="A523" s="10" t="str">
        <f t="shared" si="35"/>
        <v/>
      </c>
      <c r="B523" s="53"/>
      <c r="C523" s="28" t="str">
        <f t="shared" si="32"/>
        <v/>
      </c>
      <c r="D523" s="28" t="str">
        <f t="shared" si="33"/>
        <v/>
      </c>
      <c r="E523" s="77"/>
      <c r="F523" s="45"/>
      <c r="G523" s="56"/>
      <c r="H523" s="83"/>
      <c r="I523" s="35" t="str">
        <f t="shared" si="34"/>
        <v/>
      </c>
    </row>
    <row r="524" spans="1:9">
      <c r="A524" s="10" t="str">
        <f t="shared" si="35"/>
        <v/>
      </c>
      <c r="B524" s="53"/>
      <c r="C524" s="28" t="str">
        <f t="shared" si="32"/>
        <v/>
      </c>
      <c r="D524" s="28" t="str">
        <f t="shared" si="33"/>
        <v/>
      </c>
      <c r="E524" s="77"/>
      <c r="F524" s="45"/>
      <c r="G524" s="56"/>
      <c r="H524" s="83"/>
      <c r="I524" s="35" t="str">
        <f t="shared" si="34"/>
        <v/>
      </c>
    </row>
    <row r="525" spans="1:9">
      <c r="A525" s="10" t="str">
        <f t="shared" si="35"/>
        <v/>
      </c>
      <c r="B525" s="53"/>
      <c r="C525" s="28" t="str">
        <f t="shared" si="32"/>
        <v/>
      </c>
      <c r="D525" s="28" t="str">
        <f t="shared" si="33"/>
        <v/>
      </c>
      <c r="E525" s="77"/>
      <c r="F525" s="45"/>
      <c r="G525" s="56"/>
      <c r="H525" s="83"/>
      <c r="I525" s="35" t="str">
        <f t="shared" si="34"/>
        <v/>
      </c>
    </row>
    <row r="526" spans="1:9">
      <c r="A526" s="10" t="str">
        <f t="shared" si="35"/>
        <v/>
      </c>
      <c r="B526" s="53"/>
      <c r="C526" s="28" t="str">
        <f t="shared" si="32"/>
        <v/>
      </c>
      <c r="D526" s="28" t="str">
        <f t="shared" si="33"/>
        <v/>
      </c>
      <c r="E526" s="77"/>
      <c r="F526" s="45"/>
      <c r="G526" s="56"/>
      <c r="H526" s="83"/>
      <c r="I526" s="35" t="str">
        <f t="shared" si="34"/>
        <v/>
      </c>
    </row>
    <row r="527" spans="1:9">
      <c r="A527" s="10" t="str">
        <f t="shared" si="35"/>
        <v/>
      </c>
      <c r="B527" s="53"/>
      <c r="C527" s="28" t="str">
        <f t="shared" si="32"/>
        <v/>
      </c>
      <c r="D527" s="28" t="str">
        <f t="shared" si="33"/>
        <v/>
      </c>
      <c r="E527" s="77"/>
      <c r="F527" s="45"/>
      <c r="G527" s="56"/>
      <c r="H527" s="83"/>
      <c r="I527" s="35" t="str">
        <f t="shared" si="34"/>
        <v/>
      </c>
    </row>
    <row r="528" spans="1:9">
      <c r="A528" s="10" t="str">
        <f t="shared" si="35"/>
        <v/>
      </c>
      <c r="B528" s="53"/>
      <c r="C528" s="28" t="str">
        <f t="shared" si="32"/>
        <v/>
      </c>
      <c r="D528" s="28" t="str">
        <f t="shared" si="33"/>
        <v/>
      </c>
      <c r="E528" s="77"/>
      <c r="F528" s="45"/>
      <c r="G528" s="56"/>
      <c r="H528" s="83"/>
      <c r="I528" s="35" t="str">
        <f t="shared" si="34"/>
        <v/>
      </c>
    </row>
    <row r="529" spans="1:9">
      <c r="A529" s="10" t="str">
        <f t="shared" si="35"/>
        <v/>
      </c>
      <c r="B529" s="53"/>
      <c r="C529" s="28" t="str">
        <f t="shared" si="32"/>
        <v/>
      </c>
      <c r="D529" s="28" t="str">
        <f t="shared" si="33"/>
        <v/>
      </c>
      <c r="E529" s="77"/>
      <c r="F529" s="45"/>
      <c r="G529" s="56"/>
      <c r="H529" s="83"/>
      <c r="I529" s="35" t="str">
        <f t="shared" si="34"/>
        <v/>
      </c>
    </row>
    <row r="530" spans="1:9">
      <c r="A530" s="10" t="str">
        <f t="shared" si="35"/>
        <v/>
      </c>
      <c r="B530" s="53"/>
      <c r="C530" s="28" t="str">
        <f t="shared" si="32"/>
        <v/>
      </c>
      <c r="D530" s="28" t="str">
        <f t="shared" si="33"/>
        <v/>
      </c>
      <c r="E530" s="77"/>
      <c r="F530" s="45"/>
      <c r="G530" s="56"/>
      <c r="H530" s="83"/>
      <c r="I530" s="35" t="str">
        <f t="shared" si="34"/>
        <v/>
      </c>
    </row>
    <row r="531" spans="1:9">
      <c r="A531" s="10" t="str">
        <f t="shared" si="35"/>
        <v/>
      </c>
      <c r="B531" s="53"/>
      <c r="C531" s="28" t="str">
        <f t="shared" si="32"/>
        <v/>
      </c>
      <c r="D531" s="28" t="str">
        <f t="shared" si="33"/>
        <v/>
      </c>
      <c r="E531" s="77"/>
      <c r="F531" s="45"/>
      <c r="G531" s="56"/>
      <c r="H531" s="83"/>
      <c r="I531" s="35" t="str">
        <f t="shared" si="34"/>
        <v/>
      </c>
    </row>
    <row r="532" spans="1:9">
      <c r="A532" s="10" t="str">
        <f t="shared" si="35"/>
        <v/>
      </c>
      <c r="B532" s="53"/>
      <c r="C532" s="28" t="str">
        <f t="shared" si="32"/>
        <v/>
      </c>
      <c r="D532" s="28" t="str">
        <f t="shared" si="33"/>
        <v/>
      </c>
      <c r="E532" s="77"/>
      <c r="F532" s="45"/>
      <c r="G532" s="56"/>
      <c r="H532" s="83"/>
      <c r="I532" s="35" t="str">
        <f t="shared" si="34"/>
        <v/>
      </c>
    </row>
    <row r="533" spans="1:9">
      <c r="A533" s="10" t="str">
        <f t="shared" si="35"/>
        <v/>
      </c>
      <c r="B533" s="53"/>
      <c r="C533" s="28" t="str">
        <f t="shared" si="32"/>
        <v/>
      </c>
      <c r="D533" s="28" t="str">
        <f t="shared" si="33"/>
        <v/>
      </c>
      <c r="E533" s="77"/>
      <c r="F533" s="45"/>
      <c r="G533" s="56"/>
      <c r="H533" s="83"/>
      <c r="I533" s="35" t="str">
        <f t="shared" si="34"/>
        <v/>
      </c>
    </row>
    <row r="534" spans="1:9">
      <c r="A534" s="10" t="str">
        <f t="shared" si="35"/>
        <v/>
      </c>
      <c r="B534" s="53"/>
      <c r="C534" s="28" t="str">
        <f t="shared" si="32"/>
        <v/>
      </c>
      <c r="D534" s="28" t="str">
        <f t="shared" si="33"/>
        <v/>
      </c>
      <c r="E534" s="77"/>
      <c r="F534" s="45"/>
      <c r="G534" s="56"/>
      <c r="H534" s="83"/>
      <c r="I534" s="35" t="str">
        <f t="shared" si="34"/>
        <v/>
      </c>
    </row>
    <row r="535" spans="1:9">
      <c r="A535" s="10" t="str">
        <f t="shared" si="35"/>
        <v/>
      </c>
      <c r="B535" s="53"/>
      <c r="C535" s="28" t="str">
        <f t="shared" si="32"/>
        <v/>
      </c>
      <c r="D535" s="28" t="str">
        <f t="shared" si="33"/>
        <v/>
      </c>
      <c r="E535" s="77"/>
      <c r="F535" s="45"/>
      <c r="G535" s="56"/>
      <c r="H535" s="83"/>
      <c r="I535" s="35" t="str">
        <f t="shared" si="34"/>
        <v/>
      </c>
    </row>
    <row r="536" spans="1:9">
      <c r="A536" s="10" t="str">
        <f t="shared" si="35"/>
        <v/>
      </c>
      <c r="B536" s="53"/>
      <c r="C536" s="28" t="str">
        <f t="shared" si="32"/>
        <v/>
      </c>
      <c r="D536" s="28" t="str">
        <f t="shared" si="33"/>
        <v/>
      </c>
      <c r="E536" s="77"/>
      <c r="F536" s="45"/>
      <c r="G536" s="56"/>
      <c r="H536" s="83"/>
      <c r="I536" s="35" t="str">
        <f t="shared" si="34"/>
        <v/>
      </c>
    </row>
    <row r="537" spans="1:9">
      <c r="A537" s="10" t="str">
        <f t="shared" si="35"/>
        <v/>
      </c>
      <c r="B537" s="53"/>
      <c r="C537" s="28" t="str">
        <f t="shared" si="32"/>
        <v/>
      </c>
      <c r="D537" s="28" t="str">
        <f t="shared" si="33"/>
        <v/>
      </c>
      <c r="E537" s="77"/>
      <c r="F537" s="45"/>
      <c r="G537" s="56"/>
      <c r="H537" s="83"/>
      <c r="I537" s="35" t="str">
        <f t="shared" si="34"/>
        <v/>
      </c>
    </row>
    <row r="538" spans="1:9">
      <c r="A538" s="10" t="str">
        <f t="shared" si="35"/>
        <v/>
      </c>
      <c r="B538" s="53"/>
      <c r="C538" s="28" t="str">
        <f t="shared" si="32"/>
        <v/>
      </c>
      <c r="D538" s="28" t="str">
        <f t="shared" si="33"/>
        <v/>
      </c>
      <c r="E538" s="77"/>
      <c r="F538" s="45"/>
      <c r="G538" s="56"/>
      <c r="H538" s="83"/>
      <c r="I538" s="35" t="str">
        <f t="shared" si="34"/>
        <v/>
      </c>
    </row>
    <row r="539" spans="1:9">
      <c r="A539" s="10" t="str">
        <f t="shared" si="35"/>
        <v/>
      </c>
      <c r="B539" s="53"/>
      <c r="C539" s="28" t="str">
        <f t="shared" si="32"/>
        <v/>
      </c>
      <c r="D539" s="28" t="str">
        <f t="shared" si="33"/>
        <v/>
      </c>
      <c r="E539" s="77"/>
      <c r="F539" s="45"/>
      <c r="G539" s="56"/>
      <c r="H539" s="83"/>
      <c r="I539" s="35" t="str">
        <f t="shared" si="34"/>
        <v/>
      </c>
    </row>
    <row r="540" spans="1:9">
      <c r="A540" s="10" t="str">
        <f t="shared" si="35"/>
        <v/>
      </c>
      <c r="B540" s="53"/>
      <c r="C540" s="28" t="str">
        <f t="shared" si="32"/>
        <v/>
      </c>
      <c r="D540" s="28" t="str">
        <f t="shared" si="33"/>
        <v/>
      </c>
      <c r="E540" s="77"/>
      <c r="F540" s="45"/>
      <c r="G540" s="56"/>
      <c r="H540" s="83"/>
      <c r="I540" s="35" t="str">
        <f t="shared" si="34"/>
        <v/>
      </c>
    </row>
    <row r="541" spans="1:9">
      <c r="A541" s="10" t="str">
        <f t="shared" si="35"/>
        <v/>
      </c>
      <c r="B541" s="53"/>
      <c r="C541" s="28" t="str">
        <f t="shared" si="32"/>
        <v/>
      </c>
      <c r="D541" s="28" t="str">
        <f t="shared" si="33"/>
        <v/>
      </c>
      <c r="E541" s="77"/>
      <c r="F541" s="45"/>
      <c r="G541" s="56"/>
      <c r="H541" s="83"/>
      <c r="I541" s="35" t="str">
        <f t="shared" si="34"/>
        <v/>
      </c>
    </row>
    <row r="542" spans="1:9">
      <c r="A542" s="10" t="str">
        <f t="shared" si="35"/>
        <v/>
      </c>
      <c r="B542" s="53"/>
      <c r="C542" s="28" t="str">
        <f t="shared" si="32"/>
        <v/>
      </c>
      <c r="D542" s="28" t="str">
        <f t="shared" si="33"/>
        <v/>
      </c>
      <c r="E542" s="77"/>
      <c r="F542" s="45"/>
      <c r="G542" s="56"/>
      <c r="H542" s="83"/>
      <c r="I542" s="35" t="str">
        <f t="shared" si="34"/>
        <v/>
      </c>
    </row>
    <row r="543" spans="1:9">
      <c r="A543" s="10" t="str">
        <f t="shared" si="35"/>
        <v/>
      </c>
      <c r="B543" s="53"/>
      <c r="C543" s="28" t="str">
        <f t="shared" si="32"/>
        <v/>
      </c>
      <c r="D543" s="28" t="str">
        <f t="shared" si="33"/>
        <v/>
      </c>
      <c r="E543" s="77"/>
      <c r="F543" s="45"/>
      <c r="G543" s="56"/>
      <c r="H543" s="83"/>
      <c r="I543" s="35" t="str">
        <f t="shared" si="34"/>
        <v/>
      </c>
    </row>
    <row r="544" spans="1:9">
      <c r="A544" s="10" t="str">
        <f t="shared" si="35"/>
        <v/>
      </c>
      <c r="B544" s="53"/>
      <c r="C544" s="28" t="str">
        <f t="shared" si="32"/>
        <v/>
      </c>
      <c r="D544" s="28" t="str">
        <f t="shared" si="33"/>
        <v/>
      </c>
      <c r="E544" s="77"/>
      <c r="F544" s="45"/>
      <c r="G544" s="56"/>
      <c r="H544" s="83"/>
      <c r="I544" s="35" t="str">
        <f t="shared" si="34"/>
        <v/>
      </c>
    </row>
    <row r="545" spans="1:9">
      <c r="A545" s="10" t="str">
        <f t="shared" si="35"/>
        <v/>
      </c>
      <c r="B545" s="53"/>
      <c r="C545" s="28" t="str">
        <f t="shared" si="32"/>
        <v/>
      </c>
      <c r="D545" s="28" t="str">
        <f t="shared" si="33"/>
        <v/>
      </c>
      <c r="E545" s="77"/>
      <c r="F545" s="45"/>
      <c r="G545" s="56"/>
      <c r="H545" s="83"/>
      <c r="I545" s="35" t="str">
        <f t="shared" si="34"/>
        <v/>
      </c>
    </row>
    <row r="546" spans="1:9">
      <c r="A546" s="10" t="str">
        <f t="shared" si="35"/>
        <v/>
      </c>
      <c r="B546" s="53"/>
      <c r="C546" s="28" t="str">
        <f t="shared" si="32"/>
        <v/>
      </c>
      <c r="D546" s="28" t="str">
        <f t="shared" si="33"/>
        <v/>
      </c>
      <c r="E546" s="77"/>
      <c r="F546" s="45"/>
      <c r="G546" s="56"/>
      <c r="H546" s="83"/>
      <c r="I546" s="35" t="str">
        <f t="shared" si="34"/>
        <v/>
      </c>
    </row>
    <row r="547" spans="1:9">
      <c r="A547" s="10" t="str">
        <f t="shared" si="35"/>
        <v/>
      </c>
      <c r="B547" s="53"/>
      <c r="C547" s="28" t="str">
        <f t="shared" si="32"/>
        <v/>
      </c>
      <c r="D547" s="28" t="str">
        <f t="shared" si="33"/>
        <v/>
      </c>
      <c r="E547" s="77"/>
      <c r="F547" s="45"/>
      <c r="G547" s="56"/>
      <c r="H547" s="83"/>
      <c r="I547" s="35" t="str">
        <f t="shared" si="34"/>
        <v/>
      </c>
    </row>
    <row r="548" spans="1:9">
      <c r="A548" s="10" t="str">
        <f t="shared" si="35"/>
        <v/>
      </c>
      <c r="B548" s="53"/>
      <c r="C548" s="28" t="str">
        <f t="shared" si="32"/>
        <v/>
      </c>
      <c r="D548" s="28" t="str">
        <f t="shared" si="33"/>
        <v/>
      </c>
      <c r="E548" s="77"/>
      <c r="F548" s="45"/>
      <c r="G548" s="56"/>
      <c r="H548" s="83"/>
      <c r="I548" s="35" t="str">
        <f t="shared" si="34"/>
        <v/>
      </c>
    </row>
    <row r="549" spans="1:9">
      <c r="A549" s="10" t="str">
        <f t="shared" si="35"/>
        <v/>
      </c>
      <c r="B549" s="53"/>
      <c r="C549" s="28" t="str">
        <f t="shared" si="32"/>
        <v/>
      </c>
      <c r="D549" s="28" t="str">
        <f t="shared" si="33"/>
        <v/>
      </c>
      <c r="E549" s="77"/>
      <c r="F549" s="45"/>
      <c r="G549" s="56"/>
      <c r="H549" s="83"/>
      <c r="I549" s="35" t="str">
        <f t="shared" si="34"/>
        <v/>
      </c>
    </row>
    <row r="550" spans="1:9">
      <c r="A550" s="10" t="str">
        <f t="shared" si="35"/>
        <v/>
      </c>
      <c r="B550" s="53"/>
      <c r="C550" s="28" t="str">
        <f t="shared" si="32"/>
        <v/>
      </c>
      <c r="D550" s="28" t="str">
        <f t="shared" si="33"/>
        <v/>
      </c>
      <c r="E550" s="77"/>
      <c r="F550" s="45"/>
      <c r="G550" s="56"/>
      <c r="H550" s="83"/>
      <c r="I550" s="35" t="str">
        <f t="shared" si="34"/>
        <v/>
      </c>
    </row>
    <row r="551" spans="1:9">
      <c r="A551" s="10" t="str">
        <f t="shared" si="35"/>
        <v/>
      </c>
      <c r="B551" s="53"/>
      <c r="C551" s="28" t="str">
        <f t="shared" si="32"/>
        <v/>
      </c>
      <c r="D551" s="28" t="str">
        <f t="shared" si="33"/>
        <v/>
      </c>
      <c r="E551" s="77"/>
      <c r="F551" s="45"/>
      <c r="G551" s="56"/>
      <c r="H551" s="83"/>
      <c r="I551" s="35" t="str">
        <f t="shared" si="34"/>
        <v/>
      </c>
    </row>
    <row r="552" spans="1:9">
      <c r="A552" s="10" t="str">
        <f t="shared" si="35"/>
        <v/>
      </c>
      <c r="B552" s="53"/>
      <c r="C552" s="28" t="str">
        <f t="shared" si="32"/>
        <v/>
      </c>
      <c r="D552" s="28" t="str">
        <f t="shared" si="33"/>
        <v/>
      </c>
      <c r="E552" s="77"/>
      <c r="F552" s="45"/>
      <c r="G552" s="56"/>
      <c r="H552" s="83"/>
      <c r="I552" s="35" t="str">
        <f t="shared" si="34"/>
        <v/>
      </c>
    </row>
    <row r="553" spans="1:9">
      <c r="A553" s="10" t="str">
        <f t="shared" si="35"/>
        <v/>
      </c>
      <c r="B553" s="53"/>
      <c r="C553" s="28" t="str">
        <f t="shared" si="32"/>
        <v/>
      </c>
      <c r="D553" s="28" t="str">
        <f t="shared" si="33"/>
        <v/>
      </c>
      <c r="E553" s="77"/>
      <c r="F553" s="45"/>
      <c r="G553" s="56"/>
      <c r="H553" s="83"/>
      <c r="I553" s="35" t="str">
        <f t="shared" si="34"/>
        <v/>
      </c>
    </row>
    <row r="554" spans="1:9">
      <c r="A554" s="10" t="str">
        <f t="shared" si="35"/>
        <v/>
      </c>
      <c r="B554" s="53"/>
      <c r="C554" s="28" t="str">
        <f t="shared" si="32"/>
        <v/>
      </c>
      <c r="D554" s="28" t="str">
        <f t="shared" si="33"/>
        <v/>
      </c>
      <c r="E554" s="77"/>
      <c r="F554" s="45"/>
      <c r="G554" s="56"/>
      <c r="H554" s="83"/>
      <c r="I554" s="35" t="str">
        <f t="shared" si="34"/>
        <v/>
      </c>
    </row>
    <row r="555" spans="1:9">
      <c r="A555" s="10" t="str">
        <f t="shared" si="35"/>
        <v/>
      </c>
      <c r="B555" s="53"/>
      <c r="C555" s="28" t="str">
        <f t="shared" si="32"/>
        <v/>
      </c>
      <c r="D555" s="28" t="str">
        <f t="shared" si="33"/>
        <v/>
      </c>
      <c r="E555" s="77"/>
      <c r="F555" s="45"/>
      <c r="G555" s="56"/>
      <c r="H555" s="83"/>
      <c r="I555" s="35" t="str">
        <f t="shared" si="34"/>
        <v/>
      </c>
    </row>
    <row r="556" spans="1:9">
      <c r="A556" s="10" t="str">
        <f t="shared" si="35"/>
        <v/>
      </c>
      <c r="B556" s="53"/>
      <c r="C556" s="28" t="str">
        <f t="shared" si="32"/>
        <v/>
      </c>
      <c r="D556" s="28" t="str">
        <f t="shared" si="33"/>
        <v/>
      </c>
      <c r="E556" s="77"/>
      <c r="F556" s="45"/>
      <c r="G556" s="56"/>
      <c r="H556" s="83"/>
      <c r="I556" s="35" t="str">
        <f t="shared" si="34"/>
        <v/>
      </c>
    </row>
    <row r="557" spans="1:9">
      <c r="A557" s="10" t="str">
        <f t="shared" si="35"/>
        <v/>
      </c>
      <c r="B557" s="53"/>
      <c r="C557" s="28" t="str">
        <f t="shared" si="32"/>
        <v/>
      </c>
      <c r="D557" s="28" t="str">
        <f t="shared" si="33"/>
        <v/>
      </c>
      <c r="E557" s="77"/>
      <c r="F557" s="45"/>
      <c r="G557" s="56"/>
      <c r="H557" s="83"/>
      <c r="I557" s="35" t="str">
        <f t="shared" si="34"/>
        <v/>
      </c>
    </row>
    <row r="558" spans="1:9">
      <c r="A558" s="10" t="str">
        <f t="shared" si="35"/>
        <v/>
      </c>
      <c r="B558" s="53"/>
      <c r="C558" s="28" t="str">
        <f t="shared" si="32"/>
        <v/>
      </c>
      <c r="D558" s="28" t="str">
        <f t="shared" si="33"/>
        <v/>
      </c>
      <c r="E558" s="77"/>
      <c r="F558" s="45"/>
      <c r="G558" s="56"/>
      <c r="H558" s="83"/>
      <c r="I558" s="35" t="str">
        <f t="shared" si="34"/>
        <v/>
      </c>
    </row>
    <row r="559" spans="1:9">
      <c r="A559" s="10" t="str">
        <f t="shared" si="35"/>
        <v/>
      </c>
      <c r="B559" s="53"/>
      <c r="C559" s="28" t="str">
        <f t="shared" si="32"/>
        <v/>
      </c>
      <c r="D559" s="28" t="str">
        <f t="shared" si="33"/>
        <v/>
      </c>
      <c r="E559" s="77"/>
      <c r="F559" s="45"/>
      <c r="G559" s="56"/>
      <c r="H559" s="83"/>
      <c r="I559" s="35" t="str">
        <f t="shared" si="34"/>
        <v/>
      </c>
    </row>
    <row r="560" spans="1:9">
      <c r="A560" s="10" t="str">
        <f t="shared" si="35"/>
        <v/>
      </c>
      <c r="B560" s="53"/>
      <c r="C560" s="28" t="str">
        <f t="shared" si="32"/>
        <v/>
      </c>
      <c r="D560" s="28" t="str">
        <f t="shared" si="33"/>
        <v/>
      </c>
      <c r="E560" s="77"/>
      <c r="F560" s="45"/>
      <c r="G560" s="56"/>
      <c r="H560" s="83"/>
      <c r="I560" s="35" t="str">
        <f t="shared" si="34"/>
        <v/>
      </c>
    </row>
    <row r="561" spans="1:9">
      <c r="A561" s="10" t="str">
        <f t="shared" si="35"/>
        <v/>
      </c>
      <c r="B561" s="53"/>
      <c r="C561" s="28" t="str">
        <f t="shared" si="32"/>
        <v/>
      </c>
      <c r="D561" s="28" t="str">
        <f t="shared" si="33"/>
        <v/>
      </c>
      <c r="E561" s="77"/>
      <c r="F561" s="45"/>
      <c r="G561" s="56"/>
      <c r="H561" s="83"/>
      <c r="I561" s="35" t="str">
        <f t="shared" si="34"/>
        <v/>
      </c>
    </row>
    <row r="562" spans="1:9">
      <c r="A562" s="10" t="str">
        <f t="shared" si="35"/>
        <v/>
      </c>
      <c r="B562" s="53"/>
      <c r="C562" s="28" t="str">
        <f t="shared" si="32"/>
        <v/>
      </c>
      <c r="D562" s="28" t="str">
        <f t="shared" si="33"/>
        <v/>
      </c>
      <c r="E562" s="77"/>
      <c r="F562" s="45"/>
      <c r="G562" s="56"/>
      <c r="H562" s="83"/>
      <c r="I562" s="35" t="str">
        <f t="shared" si="34"/>
        <v/>
      </c>
    </row>
    <row r="563" spans="1:9">
      <c r="A563" s="10" t="str">
        <f t="shared" si="35"/>
        <v/>
      </c>
      <c r="B563" s="53"/>
      <c r="C563" s="28" t="str">
        <f t="shared" si="32"/>
        <v/>
      </c>
      <c r="D563" s="28" t="str">
        <f t="shared" si="33"/>
        <v/>
      </c>
      <c r="E563" s="77"/>
      <c r="F563" s="45"/>
      <c r="G563" s="56"/>
      <c r="H563" s="83"/>
      <c r="I563" s="35" t="str">
        <f t="shared" si="34"/>
        <v/>
      </c>
    </row>
    <row r="564" spans="1:9">
      <c r="A564" s="10" t="str">
        <f t="shared" si="35"/>
        <v/>
      </c>
      <c r="B564" s="53"/>
      <c r="C564" s="28" t="str">
        <f t="shared" si="32"/>
        <v/>
      </c>
      <c r="D564" s="28" t="str">
        <f t="shared" si="33"/>
        <v/>
      </c>
      <c r="E564" s="77"/>
      <c r="F564" s="45"/>
      <c r="G564" s="56"/>
      <c r="H564" s="83"/>
      <c r="I564" s="35" t="str">
        <f t="shared" si="34"/>
        <v/>
      </c>
    </row>
    <row r="565" spans="1:9">
      <c r="A565" s="10" t="str">
        <f t="shared" si="35"/>
        <v/>
      </c>
      <c r="B565" s="53"/>
      <c r="C565" s="28" t="str">
        <f t="shared" si="32"/>
        <v/>
      </c>
      <c r="D565" s="28" t="str">
        <f t="shared" si="33"/>
        <v/>
      </c>
      <c r="E565" s="77"/>
      <c r="F565" s="45"/>
      <c r="G565" s="56"/>
      <c r="H565" s="83"/>
      <c r="I565" s="35" t="str">
        <f t="shared" si="34"/>
        <v/>
      </c>
    </row>
    <row r="566" spans="1:9">
      <c r="A566" s="10" t="str">
        <f t="shared" si="35"/>
        <v/>
      </c>
      <c r="B566" s="53"/>
      <c r="C566" s="28" t="str">
        <f t="shared" si="32"/>
        <v/>
      </c>
      <c r="D566" s="28" t="str">
        <f t="shared" si="33"/>
        <v/>
      </c>
      <c r="E566" s="77"/>
      <c r="F566" s="45"/>
      <c r="G566" s="56"/>
      <c r="H566" s="83"/>
      <c r="I566" s="35" t="str">
        <f t="shared" si="34"/>
        <v/>
      </c>
    </row>
    <row r="567" spans="1:9">
      <c r="A567" s="10" t="str">
        <f t="shared" si="35"/>
        <v/>
      </c>
      <c r="B567" s="53"/>
      <c r="C567" s="28" t="str">
        <f t="shared" si="32"/>
        <v/>
      </c>
      <c r="D567" s="28" t="str">
        <f t="shared" si="33"/>
        <v/>
      </c>
      <c r="E567" s="77"/>
      <c r="F567" s="45"/>
      <c r="G567" s="56"/>
      <c r="H567" s="83"/>
      <c r="I567" s="35" t="str">
        <f t="shared" si="34"/>
        <v/>
      </c>
    </row>
    <row r="568" spans="1:9">
      <c r="A568" s="10" t="str">
        <f t="shared" si="35"/>
        <v/>
      </c>
      <c r="B568" s="53"/>
      <c r="C568" s="28" t="str">
        <f t="shared" si="32"/>
        <v/>
      </c>
      <c r="D568" s="28" t="str">
        <f t="shared" si="33"/>
        <v/>
      </c>
      <c r="E568" s="77"/>
      <c r="F568" s="45"/>
      <c r="G568" s="56"/>
      <c r="H568" s="83"/>
      <c r="I568" s="35" t="str">
        <f t="shared" si="34"/>
        <v/>
      </c>
    </row>
    <row r="569" spans="1:9">
      <c r="A569" s="10" t="str">
        <f t="shared" si="35"/>
        <v/>
      </c>
      <c r="B569" s="53"/>
      <c r="C569" s="28" t="str">
        <f t="shared" si="32"/>
        <v/>
      </c>
      <c r="D569" s="28" t="str">
        <f t="shared" si="33"/>
        <v/>
      </c>
      <c r="E569" s="77"/>
      <c r="F569" s="45"/>
      <c r="G569" s="56"/>
      <c r="H569" s="83"/>
      <c r="I569" s="35" t="str">
        <f t="shared" si="34"/>
        <v/>
      </c>
    </row>
    <row r="570" spans="1:9">
      <c r="A570" s="10" t="str">
        <f t="shared" si="35"/>
        <v/>
      </c>
      <c r="B570" s="53"/>
      <c r="C570" s="28" t="str">
        <f t="shared" si="32"/>
        <v/>
      </c>
      <c r="D570" s="28" t="str">
        <f t="shared" si="33"/>
        <v/>
      </c>
      <c r="E570" s="77"/>
      <c r="F570" s="45"/>
      <c r="G570" s="56"/>
      <c r="H570" s="83"/>
      <c r="I570" s="35" t="str">
        <f t="shared" si="34"/>
        <v/>
      </c>
    </row>
    <row r="571" spans="1:9">
      <c r="A571" s="10" t="str">
        <f t="shared" si="35"/>
        <v/>
      </c>
      <c r="B571" s="53"/>
      <c r="C571" s="28" t="str">
        <f t="shared" si="32"/>
        <v/>
      </c>
      <c r="D571" s="28" t="str">
        <f t="shared" si="33"/>
        <v/>
      </c>
      <c r="E571" s="77"/>
      <c r="F571" s="45"/>
      <c r="G571" s="56"/>
      <c r="H571" s="83"/>
      <c r="I571" s="35" t="str">
        <f t="shared" si="34"/>
        <v/>
      </c>
    </row>
    <row r="572" spans="1:9">
      <c r="A572" s="10" t="str">
        <f t="shared" si="35"/>
        <v/>
      </c>
      <c r="B572" s="53"/>
      <c r="C572" s="28" t="str">
        <f t="shared" si="32"/>
        <v/>
      </c>
      <c r="D572" s="28" t="str">
        <f t="shared" si="33"/>
        <v/>
      </c>
      <c r="E572" s="77"/>
      <c r="F572" s="45"/>
      <c r="G572" s="56"/>
      <c r="H572" s="83"/>
      <c r="I572" s="35" t="str">
        <f t="shared" si="34"/>
        <v/>
      </c>
    </row>
    <row r="573" spans="1:9">
      <c r="A573" s="10" t="str">
        <f t="shared" si="35"/>
        <v/>
      </c>
      <c r="B573" s="53"/>
      <c r="C573" s="28" t="str">
        <f t="shared" si="32"/>
        <v/>
      </c>
      <c r="D573" s="28" t="str">
        <f t="shared" si="33"/>
        <v/>
      </c>
      <c r="E573" s="77"/>
      <c r="F573" s="45"/>
      <c r="G573" s="56"/>
      <c r="H573" s="83"/>
      <c r="I573" s="35" t="str">
        <f t="shared" si="34"/>
        <v/>
      </c>
    </row>
    <row r="574" spans="1:9">
      <c r="A574" s="10" t="str">
        <f t="shared" si="35"/>
        <v/>
      </c>
      <c r="B574" s="53"/>
      <c r="C574" s="28" t="str">
        <f t="shared" si="32"/>
        <v/>
      </c>
      <c r="D574" s="28" t="str">
        <f t="shared" si="33"/>
        <v/>
      </c>
      <c r="E574" s="77"/>
      <c r="F574" s="45"/>
      <c r="G574" s="56"/>
      <c r="H574" s="83"/>
      <c r="I574" s="35" t="str">
        <f t="shared" si="34"/>
        <v/>
      </c>
    </row>
    <row r="575" spans="1:9">
      <c r="A575" s="10" t="str">
        <f t="shared" si="35"/>
        <v/>
      </c>
      <c r="B575" s="53"/>
      <c r="C575" s="28" t="str">
        <f t="shared" si="32"/>
        <v/>
      </c>
      <c r="D575" s="28" t="str">
        <f t="shared" si="33"/>
        <v/>
      </c>
      <c r="E575" s="77"/>
      <c r="F575" s="45"/>
      <c r="G575" s="56"/>
      <c r="H575" s="83"/>
      <c r="I575" s="35" t="str">
        <f t="shared" si="34"/>
        <v/>
      </c>
    </row>
    <row r="576" spans="1:9">
      <c r="A576" s="10" t="str">
        <f t="shared" si="35"/>
        <v/>
      </c>
      <c r="B576" s="53"/>
      <c r="C576" s="28" t="str">
        <f t="shared" si="32"/>
        <v/>
      </c>
      <c r="D576" s="28" t="str">
        <f t="shared" si="33"/>
        <v/>
      </c>
      <c r="E576" s="77"/>
      <c r="F576" s="45"/>
      <c r="G576" s="56"/>
      <c r="H576" s="83"/>
      <c r="I576" s="35" t="str">
        <f t="shared" si="34"/>
        <v/>
      </c>
    </row>
    <row r="577" spans="1:9">
      <c r="A577" s="10" t="str">
        <f t="shared" si="35"/>
        <v/>
      </c>
      <c r="B577" s="53"/>
      <c r="C577" s="28" t="str">
        <f t="shared" si="32"/>
        <v/>
      </c>
      <c r="D577" s="28" t="str">
        <f t="shared" si="33"/>
        <v/>
      </c>
      <c r="E577" s="77"/>
      <c r="F577" s="45"/>
      <c r="G577" s="56"/>
      <c r="H577" s="83"/>
      <c r="I577" s="35" t="str">
        <f t="shared" si="34"/>
        <v/>
      </c>
    </row>
    <row r="578" spans="1:9">
      <c r="A578" s="10" t="str">
        <f t="shared" si="35"/>
        <v/>
      </c>
      <c r="B578" s="53"/>
      <c r="C578" s="28" t="str">
        <f t="shared" ref="C578:C641" si="36">IF(B578=0,"",TEXT(B578,"mmmm"))</f>
        <v/>
      </c>
      <c r="D578" s="28" t="str">
        <f t="shared" ref="D578:D641" si="37">IF(B578=0,"",TEXT(B578,"yyyy"))</f>
        <v/>
      </c>
      <c r="E578" s="77"/>
      <c r="F578" s="45"/>
      <c r="G578" s="56"/>
      <c r="H578" s="83"/>
      <c r="I578" s="35" t="str">
        <f t="shared" ref="I578:I641" si="38">IF(G578*H578=0,"",G578*H578)</f>
        <v/>
      </c>
    </row>
    <row r="579" spans="1:9">
      <c r="A579" s="10" t="str">
        <f t="shared" si="35"/>
        <v/>
      </c>
      <c r="B579" s="53"/>
      <c r="C579" s="28" t="str">
        <f t="shared" si="36"/>
        <v/>
      </c>
      <c r="D579" s="28" t="str">
        <f t="shared" si="37"/>
        <v/>
      </c>
      <c r="E579" s="77"/>
      <c r="F579" s="45"/>
      <c r="G579" s="56"/>
      <c r="H579" s="83"/>
      <c r="I579" s="35" t="str">
        <f t="shared" si="38"/>
        <v/>
      </c>
    </row>
    <row r="580" spans="1:9">
      <c r="A580" s="10" t="str">
        <f t="shared" ref="A580:A643" si="39">IF(E580&gt;0,A579+1,"")</f>
        <v/>
      </c>
      <c r="B580" s="53"/>
      <c r="C580" s="28" t="str">
        <f t="shared" si="36"/>
        <v/>
      </c>
      <c r="D580" s="28" t="str">
        <f t="shared" si="37"/>
        <v/>
      </c>
      <c r="E580" s="77"/>
      <c r="F580" s="45"/>
      <c r="G580" s="56"/>
      <c r="H580" s="83"/>
      <c r="I580" s="35" t="str">
        <f t="shared" si="38"/>
        <v/>
      </c>
    </row>
    <row r="581" spans="1:9">
      <c r="A581" s="10" t="str">
        <f t="shared" si="39"/>
        <v/>
      </c>
      <c r="B581" s="53"/>
      <c r="C581" s="28" t="str">
        <f t="shared" si="36"/>
        <v/>
      </c>
      <c r="D581" s="28" t="str">
        <f t="shared" si="37"/>
        <v/>
      </c>
      <c r="E581" s="77"/>
      <c r="F581" s="45"/>
      <c r="G581" s="56"/>
      <c r="H581" s="83"/>
      <c r="I581" s="35" t="str">
        <f t="shared" si="38"/>
        <v/>
      </c>
    </row>
    <row r="582" spans="1:9">
      <c r="A582" s="10" t="str">
        <f t="shared" si="39"/>
        <v/>
      </c>
      <c r="B582" s="53"/>
      <c r="C582" s="28" t="str">
        <f t="shared" si="36"/>
        <v/>
      </c>
      <c r="D582" s="28" t="str">
        <f t="shared" si="37"/>
        <v/>
      </c>
      <c r="E582" s="77"/>
      <c r="F582" s="45"/>
      <c r="G582" s="56"/>
      <c r="H582" s="83"/>
      <c r="I582" s="35" t="str">
        <f t="shared" si="38"/>
        <v/>
      </c>
    </row>
    <row r="583" spans="1:9">
      <c r="A583" s="10" t="str">
        <f t="shared" si="39"/>
        <v/>
      </c>
      <c r="B583" s="53"/>
      <c r="C583" s="28" t="str">
        <f t="shared" si="36"/>
        <v/>
      </c>
      <c r="D583" s="28" t="str">
        <f t="shared" si="37"/>
        <v/>
      </c>
      <c r="E583" s="77"/>
      <c r="F583" s="45"/>
      <c r="G583" s="56"/>
      <c r="H583" s="83"/>
      <c r="I583" s="35" t="str">
        <f t="shared" si="38"/>
        <v/>
      </c>
    </row>
    <row r="584" spans="1:9">
      <c r="A584" s="10" t="str">
        <f t="shared" si="39"/>
        <v/>
      </c>
      <c r="B584" s="53"/>
      <c r="C584" s="28" t="str">
        <f t="shared" si="36"/>
        <v/>
      </c>
      <c r="D584" s="28" t="str">
        <f t="shared" si="37"/>
        <v/>
      </c>
      <c r="E584" s="77"/>
      <c r="F584" s="45"/>
      <c r="G584" s="56"/>
      <c r="H584" s="83"/>
      <c r="I584" s="35" t="str">
        <f t="shared" si="38"/>
        <v/>
      </c>
    </row>
    <row r="585" spans="1:9">
      <c r="A585" s="10" t="str">
        <f t="shared" si="39"/>
        <v/>
      </c>
      <c r="B585" s="53"/>
      <c r="C585" s="28" t="str">
        <f t="shared" si="36"/>
        <v/>
      </c>
      <c r="D585" s="28" t="str">
        <f t="shared" si="37"/>
        <v/>
      </c>
      <c r="E585" s="77"/>
      <c r="F585" s="45"/>
      <c r="G585" s="56"/>
      <c r="H585" s="83"/>
      <c r="I585" s="35" t="str">
        <f t="shared" si="38"/>
        <v/>
      </c>
    </row>
    <row r="586" spans="1:9">
      <c r="A586" s="10" t="str">
        <f t="shared" si="39"/>
        <v/>
      </c>
      <c r="B586" s="53"/>
      <c r="C586" s="28" t="str">
        <f t="shared" si="36"/>
        <v/>
      </c>
      <c r="D586" s="28" t="str">
        <f t="shared" si="37"/>
        <v/>
      </c>
      <c r="E586" s="77"/>
      <c r="F586" s="45"/>
      <c r="G586" s="56"/>
      <c r="H586" s="83"/>
      <c r="I586" s="35" t="str">
        <f t="shared" si="38"/>
        <v/>
      </c>
    </row>
    <row r="587" spans="1:9">
      <c r="A587" s="10" t="str">
        <f t="shared" si="39"/>
        <v/>
      </c>
      <c r="B587" s="53"/>
      <c r="C587" s="28" t="str">
        <f t="shared" si="36"/>
        <v/>
      </c>
      <c r="D587" s="28" t="str">
        <f t="shared" si="37"/>
        <v/>
      </c>
      <c r="E587" s="77"/>
      <c r="F587" s="45"/>
      <c r="G587" s="56"/>
      <c r="H587" s="83"/>
      <c r="I587" s="35" t="str">
        <f t="shared" si="38"/>
        <v/>
      </c>
    </row>
    <row r="588" spans="1:9">
      <c r="A588" s="10" t="str">
        <f t="shared" si="39"/>
        <v/>
      </c>
      <c r="B588" s="53"/>
      <c r="C588" s="28" t="str">
        <f t="shared" si="36"/>
        <v/>
      </c>
      <c r="D588" s="28" t="str">
        <f t="shared" si="37"/>
        <v/>
      </c>
      <c r="E588" s="77"/>
      <c r="F588" s="45"/>
      <c r="G588" s="56"/>
      <c r="H588" s="83"/>
      <c r="I588" s="35" t="str">
        <f t="shared" si="38"/>
        <v/>
      </c>
    </row>
    <row r="589" spans="1:9">
      <c r="A589" s="10" t="str">
        <f t="shared" si="39"/>
        <v/>
      </c>
      <c r="B589" s="53"/>
      <c r="C589" s="28" t="str">
        <f t="shared" si="36"/>
        <v/>
      </c>
      <c r="D589" s="28" t="str">
        <f t="shared" si="37"/>
        <v/>
      </c>
      <c r="E589" s="77"/>
      <c r="F589" s="45"/>
      <c r="G589" s="56"/>
      <c r="H589" s="83"/>
      <c r="I589" s="35" t="str">
        <f t="shared" si="38"/>
        <v/>
      </c>
    </row>
    <row r="590" spans="1:9">
      <c r="A590" s="10" t="str">
        <f t="shared" si="39"/>
        <v/>
      </c>
      <c r="B590" s="53"/>
      <c r="C590" s="28" t="str">
        <f t="shared" si="36"/>
        <v/>
      </c>
      <c r="D590" s="28" t="str">
        <f t="shared" si="37"/>
        <v/>
      </c>
      <c r="E590" s="77"/>
      <c r="F590" s="45"/>
      <c r="G590" s="56"/>
      <c r="H590" s="83"/>
      <c r="I590" s="35" t="str">
        <f t="shared" si="38"/>
        <v/>
      </c>
    </row>
    <row r="591" spans="1:9">
      <c r="A591" s="10" t="str">
        <f t="shared" si="39"/>
        <v/>
      </c>
      <c r="B591" s="53"/>
      <c r="C591" s="28" t="str">
        <f t="shared" si="36"/>
        <v/>
      </c>
      <c r="D591" s="28" t="str">
        <f t="shared" si="37"/>
        <v/>
      </c>
      <c r="E591" s="77"/>
      <c r="F591" s="45"/>
      <c r="G591" s="56"/>
      <c r="H591" s="83"/>
      <c r="I591" s="35" t="str">
        <f t="shared" si="38"/>
        <v/>
      </c>
    </row>
    <row r="592" spans="1:9">
      <c r="A592" s="10" t="str">
        <f t="shared" si="39"/>
        <v/>
      </c>
      <c r="B592" s="53"/>
      <c r="C592" s="28" t="str">
        <f t="shared" si="36"/>
        <v/>
      </c>
      <c r="D592" s="28" t="str">
        <f t="shared" si="37"/>
        <v/>
      </c>
      <c r="E592" s="77"/>
      <c r="F592" s="45"/>
      <c r="G592" s="56"/>
      <c r="H592" s="83"/>
      <c r="I592" s="35" t="str">
        <f t="shared" si="38"/>
        <v/>
      </c>
    </row>
    <row r="593" spans="1:9">
      <c r="A593" s="10" t="str">
        <f t="shared" si="39"/>
        <v/>
      </c>
      <c r="B593" s="53"/>
      <c r="C593" s="28" t="str">
        <f t="shared" si="36"/>
        <v/>
      </c>
      <c r="D593" s="28" t="str">
        <f t="shared" si="37"/>
        <v/>
      </c>
      <c r="E593" s="77"/>
      <c r="F593" s="45"/>
      <c r="G593" s="56"/>
      <c r="H593" s="83"/>
      <c r="I593" s="35" t="str">
        <f t="shared" si="38"/>
        <v/>
      </c>
    </row>
    <row r="594" spans="1:9">
      <c r="A594" s="10" t="str">
        <f t="shared" si="39"/>
        <v/>
      </c>
      <c r="B594" s="53"/>
      <c r="C594" s="28" t="str">
        <f t="shared" si="36"/>
        <v/>
      </c>
      <c r="D594" s="28" t="str">
        <f t="shared" si="37"/>
        <v/>
      </c>
      <c r="E594" s="77"/>
      <c r="F594" s="45"/>
      <c r="G594" s="56"/>
      <c r="H594" s="83"/>
      <c r="I594" s="35" t="str">
        <f t="shared" si="38"/>
        <v/>
      </c>
    </row>
    <row r="595" spans="1:9">
      <c r="A595" s="10" t="str">
        <f t="shared" si="39"/>
        <v/>
      </c>
      <c r="B595" s="53"/>
      <c r="C595" s="28" t="str">
        <f t="shared" si="36"/>
        <v/>
      </c>
      <c r="D595" s="28" t="str">
        <f t="shared" si="37"/>
        <v/>
      </c>
      <c r="E595" s="77"/>
      <c r="F595" s="45"/>
      <c r="G595" s="56"/>
      <c r="H595" s="83"/>
      <c r="I595" s="35" t="str">
        <f t="shared" si="38"/>
        <v/>
      </c>
    </row>
    <row r="596" spans="1:9">
      <c r="A596" s="10" t="str">
        <f t="shared" si="39"/>
        <v/>
      </c>
      <c r="B596" s="53"/>
      <c r="C596" s="28" t="str">
        <f t="shared" si="36"/>
        <v/>
      </c>
      <c r="D596" s="28" t="str">
        <f t="shared" si="37"/>
        <v/>
      </c>
      <c r="E596" s="77"/>
      <c r="F596" s="45"/>
      <c r="G596" s="56"/>
      <c r="H596" s="83"/>
      <c r="I596" s="35" t="str">
        <f t="shared" si="38"/>
        <v/>
      </c>
    </row>
    <row r="597" spans="1:9">
      <c r="A597" s="10" t="str">
        <f t="shared" si="39"/>
        <v/>
      </c>
      <c r="B597" s="53"/>
      <c r="C597" s="28" t="str">
        <f t="shared" si="36"/>
        <v/>
      </c>
      <c r="D597" s="28" t="str">
        <f t="shared" si="37"/>
        <v/>
      </c>
      <c r="E597" s="77"/>
      <c r="F597" s="45"/>
      <c r="G597" s="56"/>
      <c r="H597" s="83"/>
      <c r="I597" s="35" t="str">
        <f t="shared" si="38"/>
        <v/>
      </c>
    </row>
    <row r="598" spans="1:9">
      <c r="A598" s="10" t="str">
        <f t="shared" si="39"/>
        <v/>
      </c>
      <c r="B598" s="53"/>
      <c r="C598" s="28" t="str">
        <f t="shared" si="36"/>
        <v/>
      </c>
      <c r="D598" s="28" t="str">
        <f t="shared" si="37"/>
        <v/>
      </c>
      <c r="E598" s="77"/>
      <c r="F598" s="45"/>
      <c r="G598" s="56"/>
      <c r="H598" s="83"/>
      <c r="I598" s="35" t="str">
        <f t="shared" si="38"/>
        <v/>
      </c>
    </row>
    <row r="599" spans="1:9">
      <c r="A599" s="10" t="str">
        <f t="shared" si="39"/>
        <v/>
      </c>
      <c r="B599" s="53"/>
      <c r="C599" s="28" t="str">
        <f t="shared" si="36"/>
        <v/>
      </c>
      <c r="D599" s="28" t="str">
        <f t="shared" si="37"/>
        <v/>
      </c>
      <c r="E599" s="77"/>
      <c r="F599" s="45"/>
      <c r="G599" s="56"/>
      <c r="H599" s="83"/>
      <c r="I599" s="35" t="str">
        <f t="shared" si="38"/>
        <v/>
      </c>
    </row>
    <row r="600" spans="1:9">
      <c r="A600" s="10" t="str">
        <f t="shared" si="39"/>
        <v/>
      </c>
      <c r="B600" s="53"/>
      <c r="C600" s="28" t="str">
        <f t="shared" si="36"/>
        <v/>
      </c>
      <c r="D600" s="28" t="str">
        <f t="shared" si="37"/>
        <v/>
      </c>
      <c r="E600" s="77"/>
      <c r="F600" s="45"/>
      <c r="G600" s="56"/>
      <c r="H600" s="83"/>
      <c r="I600" s="35" t="str">
        <f t="shared" si="38"/>
        <v/>
      </c>
    </row>
    <row r="601" spans="1:9">
      <c r="A601" s="10" t="str">
        <f t="shared" si="39"/>
        <v/>
      </c>
      <c r="B601" s="53"/>
      <c r="C601" s="28" t="str">
        <f t="shared" si="36"/>
        <v/>
      </c>
      <c r="D601" s="28" t="str">
        <f t="shared" si="37"/>
        <v/>
      </c>
      <c r="E601" s="77"/>
      <c r="F601" s="45"/>
      <c r="G601" s="56"/>
      <c r="H601" s="83"/>
      <c r="I601" s="35" t="str">
        <f t="shared" si="38"/>
        <v/>
      </c>
    </row>
    <row r="602" spans="1:9">
      <c r="A602" s="10" t="str">
        <f t="shared" si="39"/>
        <v/>
      </c>
      <c r="B602" s="53"/>
      <c r="C602" s="28" t="str">
        <f t="shared" si="36"/>
        <v/>
      </c>
      <c r="D602" s="28" t="str">
        <f t="shared" si="37"/>
        <v/>
      </c>
      <c r="E602" s="77"/>
      <c r="F602" s="45"/>
      <c r="G602" s="56"/>
      <c r="H602" s="83"/>
      <c r="I602" s="35" t="str">
        <f t="shared" si="38"/>
        <v/>
      </c>
    </row>
    <row r="603" spans="1:9">
      <c r="A603" s="10" t="str">
        <f t="shared" si="39"/>
        <v/>
      </c>
      <c r="B603" s="53"/>
      <c r="C603" s="28" t="str">
        <f t="shared" si="36"/>
        <v/>
      </c>
      <c r="D603" s="28" t="str">
        <f t="shared" si="37"/>
        <v/>
      </c>
      <c r="E603" s="77"/>
      <c r="F603" s="45"/>
      <c r="G603" s="56"/>
      <c r="H603" s="83"/>
      <c r="I603" s="35" t="str">
        <f t="shared" si="38"/>
        <v/>
      </c>
    </row>
    <row r="604" spans="1:9">
      <c r="A604" s="10" t="str">
        <f t="shared" si="39"/>
        <v/>
      </c>
      <c r="B604" s="53"/>
      <c r="C604" s="28" t="str">
        <f t="shared" si="36"/>
        <v/>
      </c>
      <c r="D604" s="28" t="str">
        <f t="shared" si="37"/>
        <v/>
      </c>
      <c r="E604" s="77"/>
      <c r="F604" s="45"/>
      <c r="G604" s="56"/>
      <c r="H604" s="83"/>
      <c r="I604" s="35" t="str">
        <f t="shared" si="38"/>
        <v/>
      </c>
    </row>
    <row r="605" spans="1:9">
      <c r="A605" s="10" t="str">
        <f t="shared" si="39"/>
        <v/>
      </c>
      <c r="B605" s="53"/>
      <c r="C605" s="28" t="str">
        <f t="shared" si="36"/>
        <v/>
      </c>
      <c r="D605" s="28" t="str">
        <f t="shared" si="37"/>
        <v/>
      </c>
      <c r="E605" s="77"/>
      <c r="F605" s="45"/>
      <c r="G605" s="56"/>
      <c r="H605" s="83"/>
      <c r="I605" s="35" t="str">
        <f t="shared" si="38"/>
        <v/>
      </c>
    </row>
    <row r="606" spans="1:9">
      <c r="A606" s="10" t="str">
        <f t="shared" si="39"/>
        <v/>
      </c>
      <c r="B606" s="53"/>
      <c r="C606" s="28" t="str">
        <f t="shared" si="36"/>
        <v/>
      </c>
      <c r="D606" s="28" t="str">
        <f t="shared" si="37"/>
        <v/>
      </c>
      <c r="E606" s="77"/>
      <c r="F606" s="45"/>
      <c r="G606" s="56"/>
      <c r="H606" s="83"/>
      <c r="I606" s="35" t="str">
        <f t="shared" si="38"/>
        <v/>
      </c>
    </row>
    <row r="607" spans="1:9">
      <c r="A607" s="10" t="str">
        <f t="shared" si="39"/>
        <v/>
      </c>
      <c r="B607" s="53"/>
      <c r="C607" s="28" t="str">
        <f t="shared" si="36"/>
        <v/>
      </c>
      <c r="D607" s="28" t="str">
        <f t="shared" si="37"/>
        <v/>
      </c>
      <c r="E607" s="77"/>
      <c r="F607" s="45"/>
      <c r="G607" s="56"/>
      <c r="H607" s="83"/>
      <c r="I607" s="35" t="str">
        <f t="shared" si="38"/>
        <v/>
      </c>
    </row>
    <row r="608" spans="1:9">
      <c r="A608" s="10" t="str">
        <f t="shared" si="39"/>
        <v/>
      </c>
      <c r="B608" s="53"/>
      <c r="C608" s="28" t="str">
        <f t="shared" si="36"/>
        <v/>
      </c>
      <c r="D608" s="28" t="str">
        <f t="shared" si="37"/>
        <v/>
      </c>
      <c r="E608" s="77"/>
      <c r="F608" s="45"/>
      <c r="G608" s="56"/>
      <c r="H608" s="83"/>
      <c r="I608" s="35" t="str">
        <f t="shared" si="38"/>
        <v/>
      </c>
    </row>
    <row r="609" spans="1:9">
      <c r="A609" s="10" t="str">
        <f t="shared" si="39"/>
        <v/>
      </c>
      <c r="B609" s="53"/>
      <c r="C609" s="28" t="str">
        <f t="shared" si="36"/>
        <v/>
      </c>
      <c r="D609" s="28" t="str">
        <f t="shared" si="37"/>
        <v/>
      </c>
      <c r="E609" s="77"/>
      <c r="F609" s="45"/>
      <c r="G609" s="56"/>
      <c r="H609" s="83"/>
      <c r="I609" s="35" t="str">
        <f t="shared" si="38"/>
        <v/>
      </c>
    </row>
    <row r="610" spans="1:9">
      <c r="A610" s="10" t="str">
        <f t="shared" si="39"/>
        <v/>
      </c>
      <c r="B610" s="53"/>
      <c r="C610" s="28" t="str">
        <f t="shared" si="36"/>
        <v/>
      </c>
      <c r="D610" s="28" t="str">
        <f t="shared" si="37"/>
        <v/>
      </c>
      <c r="E610" s="77"/>
      <c r="F610" s="45"/>
      <c r="G610" s="56"/>
      <c r="H610" s="83"/>
      <c r="I610" s="35" t="str">
        <f t="shared" si="38"/>
        <v/>
      </c>
    </row>
    <row r="611" spans="1:9">
      <c r="A611" s="10" t="str">
        <f t="shared" si="39"/>
        <v/>
      </c>
      <c r="B611" s="53"/>
      <c r="C611" s="28" t="str">
        <f t="shared" si="36"/>
        <v/>
      </c>
      <c r="D611" s="28" t="str">
        <f t="shared" si="37"/>
        <v/>
      </c>
      <c r="E611" s="77"/>
      <c r="F611" s="45"/>
      <c r="G611" s="56"/>
      <c r="H611" s="83"/>
      <c r="I611" s="35" t="str">
        <f t="shared" si="38"/>
        <v/>
      </c>
    </row>
    <row r="612" spans="1:9">
      <c r="A612" s="10" t="str">
        <f t="shared" si="39"/>
        <v/>
      </c>
      <c r="B612" s="53"/>
      <c r="C612" s="28" t="str">
        <f t="shared" si="36"/>
        <v/>
      </c>
      <c r="D612" s="28" t="str">
        <f t="shared" si="37"/>
        <v/>
      </c>
      <c r="E612" s="77"/>
      <c r="F612" s="45"/>
      <c r="G612" s="56"/>
      <c r="H612" s="83"/>
      <c r="I612" s="35" t="str">
        <f t="shared" si="38"/>
        <v/>
      </c>
    </row>
    <row r="613" spans="1:9">
      <c r="A613" s="10" t="str">
        <f t="shared" si="39"/>
        <v/>
      </c>
      <c r="B613" s="53"/>
      <c r="C613" s="28" t="str">
        <f t="shared" si="36"/>
        <v/>
      </c>
      <c r="D613" s="28" t="str">
        <f t="shared" si="37"/>
        <v/>
      </c>
      <c r="E613" s="77"/>
      <c r="F613" s="45"/>
      <c r="G613" s="56"/>
      <c r="H613" s="83"/>
      <c r="I613" s="35" t="str">
        <f t="shared" si="38"/>
        <v/>
      </c>
    </row>
    <row r="614" spans="1:9">
      <c r="A614" s="10" t="str">
        <f t="shared" si="39"/>
        <v/>
      </c>
      <c r="B614" s="53"/>
      <c r="C614" s="28" t="str">
        <f t="shared" si="36"/>
        <v/>
      </c>
      <c r="D614" s="28" t="str">
        <f t="shared" si="37"/>
        <v/>
      </c>
      <c r="E614" s="77"/>
      <c r="F614" s="45"/>
      <c r="G614" s="56"/>
      <c r="H614" s="83"/>
      <c r="I614" s="35" t="str">
        <f t="shared" si="38"/>
        <v/>
      </c>
    </row>
    <row r="615" spans="1:9">
      <c r="A615" s="10" t="str">
        <f t="shared" si="39"/>
        <v/>
      </c>
      <c r="B615" s="53"/>
      <c r="C615" s="28" t="str">
        <f t="shared" si="36"/>
        <v/>
      </c>
      <c r="D615" s="28" t="str">
        <f t="shared" si="37"/>
        <v/>
      </c>
      <c r="E615" s="77"/>
      <c r="F615" s="45"/>
      <c r="G615" s="56"/>
      <c r="H615" s="83"/>
      <c r="I615" s="35" t="str">
        <f t="shared" si="38"/>
        <v/>
      </c>
    </row>
    <row r="616" spans="1:9">
      <c r="A616" s="10" t="str">
        <f t="shared" si="39"/>
        <v/>
      </c>
      <c r="B616" s="53"/>
      <c r="C616" s="28" t="str">
        <f t="shared" si="36"/>
        <v/>
      </c>
      <c r="D616" s="28" t="str">
        <f t="shared" si="37"/>
        <v/>
      </c>
      <c r="E616" s="77"/>
      <c r="F616" s="45"/>
      <c r="G616" s="56"/>
      <c r="H616" s="83"/>
      <c r="I616" s="35" t="str">
        <f t="shared" si="38"/>
        <v/>
      </c>
    </row>
    <row r="617" spans="1:9">
      <c r="A617" s="10" t="str">
        <f t="shared" si="39"/>
        <v/>
      </c>
      <c r="B617" s="53"/>
      <c r="C617" s="28" t="str">
        <f t="shared" si="36"/>
        <v/>
      </c>
      <c r="D617" s="28" t="str">
        <f t="shared" si="37"/>
        <v/>
      </c>
      <c r="E617" s="77"/>
      <c r="F617" s="45"/>
      <c r="G617" s="56"/>
      <c r="H617" s="83"/>
      <c r="I617" s="35" t="str">
        <f t="shared" si="38"/>
        <v/>
      </c>
    </row>
    <row r="618" spans="1:9">
      <c r="A618" s="10" t="str">
        <f t="shared" si="39"/>
        <v/>
      </c>
      <c r="B618" s="53"/>
      <c r="C618" s="28" t="str">
        <f t="shared" si="36"/>
        <v/>
      </c>
      <c r="D618" s="28" t="str">
        <f t="shared" si="37"/>
        <v/>
      </c>
      <c r="E618" s="77"/>
      <c r="F618" s="45"/>
      <c r="G618" s="56"/>
      <c r="H618" s="83"/>
      <c r="I618" s="35" t="str">
        <f t="shared" si="38"/>
        <v/>
      </c>
    </row>
    <row r="619" spans="1:9">
      <c r="A619" s="10" t="str">
        <f t="shared" si="39"/>
        <v/>
      </c>
      <c r="B619" s="53"/>
      <c r="C619" s="28" t="str">
        <f t="shared" si="36"/>
        <v/>
      </c>
      <c r="D619" s="28" t="str">
        <f t="shared" si="37"/>
        <v/>
      </c>
      <c r="E619" s="77"/>
      <c r="F619" s="45"/>
      <c r="G619" s="56"/>
      <c r="H619" s="83"/>
      <c r="I619" s="35" t="str">
        <f t="shared" si="38"/>
        <v/>
      </c>
    </row>
    <row r="620" spans="1:9">
      <c r="A620" s="10" t="str">
        <f t="shared" si="39"/>
        <v/>
      </c>
      <c r="B620" s="53"/>
      <c r="C620" s="28" t="str">
        <f t="shared" si="36"/>
        <v/>
      </c>
      <c r="D620" s="28" t="str">
        <f t="shared" si="37"/>
        <v/>
      </c>
      <c r="E620" s="77"/>
      <c r="F620" s="45"/>
      <c r="G620" s="56"/>
      <c r="H620" s="83"/>
      <c r="I620" s="35" t="str">
        <f t="shared" si="38"/>
        <v/>
      </c>
    </row>
    <row r="621" spans="1:9">
      <c r="A621" s="10" t="str">
        <f t="shared" si="39"/>
        <v/>
      </c>
      <c r="B621" s="53"/>
      <c r="C621" s="28" t="str">
        <f t="shared" si="36"/>
        <v/>
      </c>
      <c r="D621" s="28" t="str">
        <f t="shared" si="37"/>
        <v/>
      </c>
      <c r="E621" s="77"/>
      <c r="F621" s="45"/>
      <c r="G621" s="56"/>
      <c r="H621" s="83"/>
      <c r="I621" s="35" t="str">
        <f t="shared" si="38"/>
        <v/>
      </c>
    </row>
    <row r="622" spans="1:9">
      <c r="A622" s="10" t="str">
        <f t="shared" si="39"/>
        <v/>
      </c>
      <c r="B622" s="53"/>
      <c r="C622" s="28" t="str">
        <f t="shared" si="36"/>
        <v/>
      </c>
      <c r="D622" s="28" t="str">
        <f t="shared" si="37"/>
        <v/>
      </c>
      <c r="E622" s="77"/>
      <c r="F622" s="45"/>
      <c r="G622" s="56"/>
      <c r="H622" s="83"/>
      <c r="I622" s="35" t="str">
        <f t="shared" si="38"/>
        <v/>
      </c>
    </row>
    <row r="623" spans="1:9">
      <c r="A623" s="10" t="str">
        <f t="shared" si="39"/>
        <v/>
      </c>
      <c r="B623" s="53"/>
      <c r="C623" s="28" t="str">
        <f t="shared" si="36"/>
        <v/>
      </c>
      <c r="D623" s="28" t="str">
        <f t="shared" si="37"/>
        <v/>
      </c>
      <c r="E623" s="77"/>
      <c r="F623" s="45"/>
      <c r="G623" s="56"/>
      <c r="H623" s="83"/>
      <c r="I623" s="35" t="str">
        <f t="shared" si="38"/>
        <v/>
      </c>
    </row>
    <row r="624" spans="1:9">
      <c r="A624" s="10" t="str">
        <f t="shared" si="39"/>
        <v/>
      </c>
      <c r="B624" s="53"/>
      <c r="C624" s="28" t="str">
        <f t="shared" si="36"/>
        <v/>
      </c>
      <c r="D624" s="28" t="str">
        <f t="shared" si="37"/>
        <v/>
      </c>
      <c r="E624" s="77"/>
      <c r="F624" s="45"/>
      <c r="G624" s="56"/>
      <c r="H624" s="83"/>
      <c r="I624" s="35" t="str">
        <f t="shared" si="38"/>
        <v/>
      </c>
    </row>
    <row r="625" spans="1:9">
      <c r="A625" s="10" t="str">
        <f t="shared" si="39"/>
        <v/>
      </c>
      <c r="B625" s="53"/>
      <c r="C625" s="28" t="str">
        <f t="shared" si="36"/>
        <v/>
      </c>
      <c r="D625" s="28" t="str">
        <f t="shared" si="37"/>
        <v/>
      </c>
      <c r="E625" s="77"/>
      <c r="F625" s="45"/>
      <c r="G625" s="56"/>
      <c r="H625" s="83"/>
      <c r="I625" s="35" t="str">
        <f t="shared" si="38"/>
        <v/>
      </c>
    </row>
    <row r="626" spans="1:9">
      <c r="A626" s="10" t="str">
        <f t="shared" si="39"/>
        <v/>
      </c>
      <c r="B626" s="53"/>
      <c r="C626" s="28" t="str">
        <f t="shared" si="36"/>
        <v/>
      </c>
      <c r="D626" s="28" t="str">
        <f t="shared" si="37"/>
        <v/>
      </c>
      <c r="E626" s="77"/>
      <c r="F626" s="45"/>
      <c r="G626" s="56"/>
      <c r="H626" s="83"/>
      <c r="I626" s="35" t="str">
        <f t="shared" si="38"/>
        <v/>
      </c>
    </row>
    <row r="627" spans="1:9">
      <c r="A627" s="10" t="str">
        <f t="shared" si="39"/>
        <v/>
      </c>
      <c r="B627" s="53"/>
      <c r="C627" s="28" t="str">
        <f t="shared" si="36"/>
        <v/>
      </c>
      <c r="D627" s="28" t="str">
        <f t="shared" si="37"/>
        <v/>
      </c>
      <c r="E627" s="77"/>
      <c r="F627" s="45"/>
      <c r="G627" s="56"/>
      <c r="H627" s="83"/>
      <c r="I627" s="35" t="str">
        <f t="shared" si="38"/>
        <v/>
      </c>
    </row>
    <row r="628" spans="1:9">
      <c r="A628" s="10" t="str">
        <f t="shared" si="39"/>
        <v/>
      </c>
      <c r="B628" s="53"/>
      <c r="C628" s="28" t="str">
        <f t="shared" si="36"/>
        <v/>
      </c>
      <c r="D628" s="28" t="str">
        <f t="shared" si="37"/>
        <v/>
      </c>
      <c r="E628" s="77"/>
      <c r="F628" s="45"/>
      <c r="G628" s="56"/>
      <c r="H628" s="83"/>
      <c r="I628" s="35" t="str">
        <f t="shared" si="38"/>
        <v/>
      </c>
    </row>
    <row r="629" spans="1:9">
      <c r="A629" s="10" t="str">
        <f t="shared" si="39"/>
        <v/>
      </c>
      <c r="B629" s="53"/>
      <c r="C629" s="28" t="str">
        <f t="shared" si="36"/>
        <v/>
      </c>
      <c r="D629" s="28" t="str">
        <f t="shared" si="37"/>
        <v/>
      </c>
      <c r="E629" s="77"/>
      <c r="F629" s="45"/>
      <c r="G629" s="56"/>
      <c r="H629" s="83"/>
      <c r="I629" s="35" t="str">
        <f t="shared" si="38"/>
        <v/>
      </c>
    </row>
    <row r="630" spans="1:9">
      <c r="A630" s="10" t="str">
        <f t="shared" si="39"/>
        <v/>
      </c>
      <c r="B630" s="53"/>
      <c r="C630" s="28" t="str">
        <f t="shared" si="36"/>
        <v/>
      </c>
      <c r="D630" s="28" t="str">
        <f t="shared" si="37"/>
        <v/>
      </c>
      <c r="E630" s="77"/>
      <c r="F630" s="45"/>
      <c r="G630" s="56"/>
      <c r="H630" s="83"/>
      <c r="I630" s="35" t="str">
        <f t="shared" si="38"/>
        <v/>
      </c>
    </row>
    <row r="631" spans="1:9">
      <c r="A631" s="10" t="str">
        <f t="shared" si="39"/>
        <v/>
      </c>
      <c r="B631" s="53"/>
      <c r="C631" s="28" t="str">
        <f t="shared" si="36"/>
        <v/>
      </c>
      <c r="D631" s="28" t="str">
        <f t="shared" si="37"/>
        <v/>
      </c>
      <c r="E631" s="77"/>
      <c r="F631" s="45"/>
      <c r="G631" s="56"/>
      <c r="H631" s="83"/>
      <c r="I631" s="35" t="str">
        <f t="shared" si="38"/>
        <v/>
      </c>
    </row>
    <row r="632" spans="1:9">
      <c r="A632" s="10" t="str">
        <f t="shared" si="39"/>
        <v/>
      </c>
      <c r="B632" s="53"/>
      <c r="C632" s="28" t="str">
        <f t="shared" si="36"/>
        <v/>
      </c>
      <c r="D632" s="28" t="str">
        <f t="shared" si="37"/>
        <v/>
      </c>
      <c r="E632" s="77"/>
      <c r="F632" s="45"/>
      <c r="G632" s="56"/>
      <c r="H632" s="83"/>
      <c r="I632" s="35" t="str">
        <f t="shared" si="38"/>
        <v/>
      </c>
    </row>
    <row r="633" spans="1:9">
      <c r="A633" s="10" t="str">
        <f t="shared" si="39"/>
        <v/>
      </c>
      <c r="B633" s="53"/>
      <c r="C633" s="28" t="str">
        <f t="shared" si="36"/>
        <v/>
      </c>
      <c r="D633" s="28" t="str">
        <f t="shared" si="37"/>
        <v/>
      </c>
      <c r="E633" s="77"/>
      <c r="F633" s="45"/>
      <c r="G633" s="56"/>
      <c r="H633" s="83"/>
      <c r="I633" s="35" t="str">
        <f t="shared" si="38"/>
        <v/>
      </c>
    </row>
    <row r="634" spans="1:9">
      <c r="A634" s="10" t="str">
        <f t="shared" si="39"/>
        <v/>
      </c>
      <c r="B634" s="53"/>
      <c r="C634" s="28" t="str">
        <f t="shared" si="36"/>
        <v/>
      </c>
      <c r="D634" s="28" t="str">
        <f t="shared" si="37"/>
        <v/>
      </c>
      <c r="E634" s="77"/>
      <c r="F634" s="45"/>
      <c r="G634" s="56"/>
      <c r="H634" s="83"/>
      <c r="I634" s="35" t="str">
        <f t="shared" si="38"/>
        <v/>
      </c>
    </row>
    <row r="635" spans="1:9">
      <c r="A635" s="10" t="str">
        <f t="shared" si="39"/>
        <v/>
      </c>
      <c r="B635" s="53"/>
      <c r="C635" s="28" t="str">
        <f t="shared" si="36"/>
        <v/>
      </c>
      <c r="D635" s="28" t="str">
        <f t="shared" si="37"/>
        <v/>
      </c>
      <c r="E635" s="77"/>
      <c r="F635" s="45"/>
      <c r="G635" s="56"/>
      <c r="H635" s="83"/>
      <c r="I635" s="35" t="str">
        <f t="shared" si="38"/>
        <v/>
      </c>
    </row>
    <row r="636" spans="1:9">
      <c r="A636" s="10" t="str">
        <f t="shared" si="39"/>
        <v/>
      </c>
      <c r="B636" s="53"/>
      <c r="C636" s="28" t="str">
        <f t="shared" si="36"/>
        <v/>
      </c>
      <c r="D636" s="28" t="str">
        <f t="shared" si="37"/>
        <v/>
      </c>
      <c r="E636" s="77"/>
      <c r="F636" s="45"/>
      <c r="G636" s="56"/>
      <c r="H636" s="83"/>
      <c r="I636" s="35" t="str">
        <f t="shared" si="38"/>
        <v/>
      </c>
    </row>
    <row r="637" spans="1:9">
      <c r="A637" s="10" t="str">
        <f t="shared" si="39"/>
        <v/>
      </c>
      <c r="B637" s="53"/>
      <c r="C637" s="28" t="str">
        <f t="shared" si="36"/>
        <v/>
      </c>
      <c r="D637" s="28" t="str">
        <f t="shared" si="37"/>
        <v/>
      </c>
      <c r="E637" s="77"/>
      <c r="F637" s="45"/>
      <c r="G637" s="56"/>
      <c r="H637" s="83"/>
      <c r="I637" s="35" t="str">
        <f t="shared" si="38"/>
        <v/>
      </c>
    </row>
    <row r="638" spans="1:9">
      <c r="A638" s="10" t="str">
        <f t="shared" si="39"/>
        <v/>
      </c>
      <c r="B638" s="53"/>
      <c r="C638" s="28" t="str">
        <f t="shared" si="36"/>
        <v/>
      </c>
      <c r="D638" s="28" t="str">
        <f t="shared" si="37"/>
        <v/>
      </c>
      <c r="E638" s="77"/>
      <c r="F638" s="45"/>
      <c r="G638" s="56"/>
      <c r="H638" s="83"/>
      <c r="I638" s="35" t="str">
        <f t="shared" si="38"/>
        <v/>
      </c>
    </row>
    <row r="639" spans="1:9">
      <c r="A639" s="10" t="str">
        <f t="shared" si="39"/>
        <v/>
      </c>
      <c r="B639" s="53"/>
      <c r="C639" s="28" t="str">
        <f t="shared" si="36"/>
        <v/>
      </c>
      <c r="D639" s="28" t="str">
        <f t="shared" si="37"/>
        <v/>
      </c>
      <c r="E639" s="77"/>
      <c r="F639" s="45"/>
      <c r="G639" s="56"/>
      <c r="H639" s="83"/>
      <c r="I639" s="35" t="str">
        <f t="shared" si="38"/>
        <v/>
      </c>
    </row>
    <row r="640" spans="1:9">
      <c r="A640" s="10" t="str">
        <f t="shared" si="39"/>
        <v/>
      </c>
      <c r="B640" s="53"/>
      <c r="C640" s="28" t="str">
        <f t="shared" si="36"/>
        <v/>
      </c>
      <c r="D640" s="28" t="str">
        <f t="shared" si="37"/>
        <v/>
      </c>
      <c r="E640" s="77"/>
      <c r="F640" s="45"/>
      <c r="G640" s="56"/>
      <c r="H640" s="83"/>
      <c r="I640" s="35" t="str">
        <f t="shared" si="38"/>
        <v/>
      </c>
    </row>
    <row r="641" spans="1:9">
      <c r="A641" s="10" t="str">
        <f t="shared" si="39"/>
        <v/>
      </c>
      <c r="B641" s="53"/>
      <c r="C641" s="28" t="str">
        <f t="shared" si="36"/>
        <v/>
      </c>
      <c r="D641" s="28" t="str">
        <f t="shared" si="37"/>
        <v/>
      </c>
      <c r="E641" s="77"/>
      <c r="F641" s="45"/>
      <c r="G641" s="56"/>
      <c r="H641" s="83"/>
      <c r="I641" s="35" t="str">
        <f t="shared" si="38"/>
        <v/>
      </c>
    </row>
    <row r="642" spans="1:9">
      <c r="A642" s="10" t="str">
        <f t="shared" si="39"/>
        <v/>
      </c>
      <c r="B642" s="53"/>
      <c r="C642" s="28" t="str">
        <f t="shared" ref="C642:C705" si="40">IF(B642=0,"",TEXT(B642,"mmmm"))</f>
        <v/>
      </c>
      <c r="D642" s="28" t="str">
        <f t="shared" ref="D642:D705" si="41">IF(B642=0,"",TEXT(B642,"yyyy"))</f>
        <v/>
      </c>
      <c r="E642" s="77"/>
      <c r="F642" s="45"/>
      <c r="G642" s="56"/>
      <c r="H642" s="83"/>
      <c r="I642" s="35" t="str">
        <f t="shared" ref="I642:I705" si="42">IF(G642*H642=0,"",G642*H642)</f>
        <v/>
      </c>
    </row>
    <row r="643" spans="1:9">
      <c r="A643" s="10" t="str">
        <f t="shared" si="39"/>
        <v/>
      </c>
      <c r="B643" s="53"/>
      <c r="C643" s="28" t="str">
        <f t="shared" si="40"/>
        <v/>
      </c>
      <c r="D643" s="28" t="str">
        <f t="shared" si="41"/>
        <v/>
      </c>
      <c r="E643" s="77"/>
      <c r="F643" s="45"/>
      <c r="G643" s="56"/>
      <c r="H643" s="83"/>
      <c r="I643" s="35" t="str">
        <f t="shared" si="42"/>
        <v/>
      </c>
    </row>
    <row r="644" spans="1:9">
      <c r="A644" s="10" t="str">
        <f t="shared" ref="A644:A707" si="43">IF(E644&gt;0,A643+1,"")</f>
        <v/>
      </c>
      <c r="B644" s="53"/>
      <c r="C644" s="28" t="str">
        <f t="shared" si="40"/>
        <v/>
      </c>
      <c r="D644" s="28" t="str">
        <f t="shared" si="41"/>
        <v/>
      </c>
      <c r="E644" s="77"/>
      <c r="F644" s="45"/>
      <c r="G644" s="56"/>
      <c r="H644" s="83"/>
      <c r="I644" s="35" t="str">
        <f t="shared" si="42"/>
        <v/>
      </c>
    </row>
    <row r="645" spans="1:9">
      <c r="A645" s="10" t="str">
        <f t="shared" si="43"/>
        <v/>
      </c>
      <c r="B645" s="53"/>
      <c r="C645" s="28" t="str">
        <f t="shared" si="40"/>
        <v/>
      </c>
      <c r="D645" s="28" t="str">
        <f t="shared" si="41"/>
        <v/>
      </c>
      <c r="E645" s="77"/>
      <c r="F645" s="45"/>
      <c r="G645" s="56"/>
      <c r="H645" s="83"/>
      <c r="I645" s="35" t="str">
        <f t="shared" si="42"/>
        <v/>
      </c>
    </row>
    <row r="646" spans="1:9">
      <c r="A646" s="10" t="str">
        <f t="shared" si="43"/>
        <v/>
      </c>
      <c r="B646" s="53"/>
      <c r="C646" s="28" t="str">
        <f t="shared" si="40"/>
        <v/>
      </c>
      <c r="D646" s="28" t="str">
        <f t="shared" si="41"/>
        <v/>
      </c>
      <c r="E646" s="77"/>
      <c r="F646" s="45"/>
      <c r="G646" s="56"/>
      <c r="H646" s="83"/>
      <c r="I646" s="35" t="str">
        <f t="shared" si="42"/>
        <v/>
      </c>
    </row>
    <row r="647" spans="1:9">
      <c r="A647" s="10" t="str">
        <f t="shared" si="43"/>
        <v/>
      </c>
      <c r="B647" s="53"/>
      <c r="C647" s="28" t="str">
        <f t="shared" si="40"/>
        <v/>
      </c>
      <c r="D647" s="28" t="str">
        <f t="shared" si="41"/>
        <v/>
      </c>
      <c r="E647" s="77"/>
      <c r="F647" s="45"/>
      <c r="G647" s="56"/>
      <c r="H647" s="83"/>
      <c r="I647" s="35" t="str">
        <f t="shared" si="42"/>
        <v/>
      </c>
    </row>
    <row r="648" spans="1:9">
      <c r="A648" s="10" t="str">
        <f t="shared" si="43"/>
        <v/>
      </c>
      <c r="B648" s="53"/>
      <c r="C648" s="28" t="str">
        <f t="shared" si="40"/>
        <v/>
      </c>
      <c r="D648" s="28" t="str">
        <f t="shared" si="41"/>
        <v/>
      </c>
      <c r="E648" s="77"/>
      <c r="F648" s="45"/>
      <c r="G648" s="56"/>
      <c r="H648" s="83"/>
      <c r="I648" s="35" t="str">
        <f t="shared" si="42"/>
        <v/>
      </c>
    </row>
    <row r="649" spans="1:9">
      <c r="A649" s="10" t="str">
        <f t="shared" si="43"/>
        <v/>
      </c>
      <c r="B649" s="53"/>
      <c r="C649" s="28" t="str">
        <f t="shared" si="40"/>
        <v/>
      </c>
      <c r="D649" s="28" t="str">
        <f t="shared" si="41"/>
        <v/>
      </c>
      <c r="E649" s="77"/>
      <c r="F649" s="45"/>
      <c r="G649" s="56"/>
      <c r="H649" s="83"/>
      <c r="I649" s="35" t="str">
        <f t="shared" si="42"/>
        <v/>
      </c>
    </row>
    <row r="650" spans="1:9">
      <c r="A650" s="10" t="str">
        <f t="shared" si="43"/>
        <v/>
      </c>
      <c r="B650" s="53"/>
      <c r="C650" s="28" t="str">
        <f t="shared" si="40"/>
        <v/>
      </c>
      <c r="D650" s="28" t="str">
        <f t="shared" si="41"/>
        <v/>
      </c>
      <c r="E650" s="77"/>
      <c r="F650" s="45"/>
      <c r="G650" s="56"/>
      <c r="H650" s="83"/>
      <c r="I650" s="35" t="str">
        <f t="shared" si="42"/>
        <v/>
      </c>
    </row>
    <row r="651" spans="1:9">
      <c r="A651" s="10" t="str">
        <f t="shared" si="43"/>
        <v/>
      </c>
      <c r="B651" s="53"/>
      <c r="C651" s="28" t="str">
        <f t="shared" si="40"/>
        <v/>
      </c>
      <c r="D651" s="28" t="str">
        <f t="shared" si="41"/>
        <v/>
      </c>
      <c r="E651" s="77"/>
      <c r="F651" s="45"/>
      <c r="G651" s="56"/>
      <c r="H651" s="83"/>
      <c r="I651" s="35" t="str">
        <f t="shared" si="42"/>
        <v/>
      </c>
    </row>
    <row r="652" spans="1:9">
      <c r="A652" s="10" t="str">
        <f t="shared" si="43"/>
        <v/>
      </c>
      <c r="B652" s="53"/>
      <c r="C652" s="28" t="str">
        <f t="shared" si="40"/>
        <v/>
      </c>
      <c r="D652" s="28" t="str">
        <f t="shared" si="41"/>
        <v/>
      </c>
      <c r="E652" s="77"/>
      <c r="F652" s="45"/>
      <c r="G652" s="56"/>
      <c r="H652" s="83"/>
      <c r="I652" s="35" t="str">
        <f t="shared" si="42"/>
        <v/>
      </c>
    </row>
    <row r="653" spans="1:9">
      <c r="A653" s="10" t="str">
        <f t="shared" si="43"/>
        <v/>
      </c>
      <c r="B653" s="53"/>
      <c r="C653" s="28" t="str">
        <f t="shared" si="40"/>
        <v/>
      </c>
      <c r="D653" s="28" t="str">
        <f t="shared" si="41"/>
        <v/>
      </c>
      <c r="E653" s="77"/>
      <c r="F653" s="45"/>
      <c r="G653" s="56"/>
      <c r="H653" s="83"/>
      <c r="I653" s="35" t="str">
        <f t="shared" si="42"/>
        <v/>
      </c>
    </row>
    <row r="654" spans="1:9">
      <c r="A654" s="10" t="str">
        <f t="shared" si="43"/>
        <v/>
      </c>
      <c r="B654" s="53"/>
      <c r="C654" s="28" t="str">
        <f t="shared" si="40"/>
        <v/>
      </c>
      <c r="D654" s="28" t="str">
        <f t="shared" si="41"/>
        <v/>
      </c>
      <c r="E654" s="77"/>
      <c r="F654" s="45"/>
      <c r="G654" s="56"/>
      <c r="H654" s="83"/>
      <c r="I654" s="35" t="str">
        <f t="shared" si="42"/>
        <v/>
      </c>
    </row>
    <row r="655" spans="1:9">
      <c r="A655" s="10" t="str">
        <f t="shared" si="43"/>
        <v/>
      </c>
      <c r="B655" s="53"/>
      <c r="C655" s="28" t="str">
        <f t="shared" si="40"/>
        <v/>
      </c>
      <c r="D655" s="28" t="str">
        <f t="shared" si="41"/>
        <v/>
      </c>
      <c r="E655" s="77"/>
      <c r="F655" s="45"/>
      <c r="G655" s="56"/>
      <c r="H655" s="83"/>
      <c r="I655" s="35" t="str">
        <f t="shared" si="42"/>
        <v/>
      </c>
    </row>
    <row r="656" spans="1:9">
      <c r="A656" s="10" t="str">
        <f t="shared" si="43"/>
        <v/>
      </c>
      <c r="B656" s="53"/>
      <c r="C656" s="28" t="str">
        <f t="shared" si="40"/>
        <v/>
      </c>
      <c r="D656" s="28" t="str">
        <f t="shared" si="41"/>
        <v/>
      </c>
      <c r="E656" s="77"/>
      <c r="F656" s="45"/>
      <c r="G656" s="56"/>
      <c r="H656" s="83"/>
      <c r="I656" s="35" t="str">
        <f t="shared" si="42"/>
        <v/>
      </c>
    </row>
    <row r="657" spans="1:9">
      <c r="A657" s="10" t="str">
        <f t="shared" si="43"/>
        <v/>
      </c>
      <c r="B657" s="53"/>
      <c r="C657" s="28" t="str">
        <f t="shared" si="40"/>
        <v/>
      </c>
      <c r="D657" s="28" t="str">
        <f t="shared" si="41"/>
        <v/>
      </c>
      <c r="E657" s="77"/>
      <c r="F657" s="45"/>
      <c r="G657" s="56"/>
      <c r="H657" s="83"/>
      <c r="I657" s="35" t="str">
        <f t="shared" si="42"/>
        <v/>
      </c>
    </row>
    <row r="658" spans="1:9">
      <c r="A658" s="10" t="str">
        <f t="shared" si="43"/>
        <v/>
      </c>
      <c r="B658" s="53"/>
      <c r="C658" s="28" t="str">
        <f t="shared" si="40"/>
        <v/>
      </c>
      <c r="D658" s="28" t="str">
        <f t="shared" si="41"/>
        <v/>
      </c>
      <c r="E658" s="77"/>
      <c r="F658" s="45"/>
      <c r="G658" s="56"/>
      <c r="H658" s="83"/>
      <c r="I658" s="35" t="str">
        <f t="shared" si="42"/>
        <v/>
      </c>
    </row>
    <row r="659" spans="1:9">
      <c r="A659" s="10" t="str">
        <f t="shared" si="43"/>
        <v/>
      </c>
      <c r="B659" s="53"/>
      <c r="C659" s="28" t="str">
        <f t="shared" si="40"/>
        <v/>
      </c>
      <c r="D659" s="28" t="str">
        <f t="shared" si="41"/>
        <v/>
      </c>
      <c r="E659" s="77"/>
      <c r="F659" s="45"/>
      <c r="G659" s="56"/>
      <c r="H659" s="83"/>
      <c r="I659" s="35" t="str">
        <f t="shared" si="42"/>
        <v/>
      </c>
    </row>
    <row r="660" spans="1:9">
      <c r="A660" s="10" t="str">
        <f t="shared" si="43"/>
        <v/>
      </c>
      <c r="B660" s="53"/>
      <c r="C660" s="28" t="str">
        <f t="shared" si="40"/>
        <v/>
      </c>
      <c r="D660" s="28" t="str">
        <f t="shared" si="41"/>
        <v/>
      </c>
      <c r="E660" s="77"/>
      <c r="F660" s="45"/>
      <c r="G660" s="56"/>
      <c r="H660" s="83"/>
      <c r="I660" s="35" t="str">
        <f t="shared" si="42"/>
        <v/>
      </c>
    </row>
    <row r="661" spans="1:9">
      <c r="A661" s="10" t="str">
        <f t="shared" si="43"/>
        <v/>
      </c>
      <c r="B661" s="53"/>
      <c r="C661" s="28" t="str">
        <f t="shared" si="40"/>
        <v/>
      </c>
      <c r="D661" s="28" t="str">
        <f t="shared" si="41"/>
        <v/>
      </c>
      <c r="E661" s="77"/>
      <c r="F661" s="45"/>
      <c r="G661" s="56"/>
      <c r="H661" s="83"/>
      <c r="I661" s="35" t="str">
        <f t="shared" si="42"/>
        <v/>
      </c>
    </row>
    <row r="662" spans="1:9">
      <c r="A662" s="10" t="str">
        <f t="shared" si="43"/>
        <v/>
      </c>
      <c r="B662" s="53"/>
      <c r="C662" s="28" t="str">
        <f t="shared" si="40"/>
        <v/>
      </c>
      <c r="D662" s="28" t="str">
        <f t="shared" si="41"/>
        <v/>
      </c>
      <c r="E662" s="77"/>
      <c r="F662" s="45"/>
      <c r="G662" s="56"/>
      <c r="H662" s="83"/>
      <c r="I662" s="35" t="str">
        <f t="shared" si="42"/>
        <v/>
      </c>
    </row>
    <row r="663" spans="1:9">
      <c r="A663" s="10" t="str">
        <f t="shared" si="43"/>
        <v/>
      </c>
      <c r="B663" s="53"/>
      <c r="C663" s="28" t="str">
        <f t="shared" si="40"/>
        <v/>
      </c>
      <c r="D663" s="28" t="str">
        <f t="shared" si="41"/>
        <v/>
      </c>
      <c r="E663" s="77"/>
      <c r="F663" s="45"/>
      <c r="G663" s="56"/>
      <c r="H663" s="83"/>
      <c r="I663" s="35" t="str">
        <f t="shared" si="42"/>
        <v/>
      </c>
    </row>
    <row r="664" spans="1:9">
      <c r="A664" s="10" t="str">
        <f t="shared" si="43"/>
        <v/>
      </c>
      <c r="B664" s="53"/>
      <c r="C664" s="28" t="str">
        <f t="shared" si="40"/>
        <v/>
      </c>
      <c r="D664" s="28" t="str">
        <f t="shared" si="41"/>
        <v/>
      </c>
      <c r="E664" s="77"/>
      <c r="F664" s="45"/>
      <c r="G664" s="56"/>
      <c r="H664" s="83"/>
      <c r="I664" s="35" t="str">
        <f t="shared" si="42"/>
        <v/>
      </c>
    </row>
    <row r="665" spans="1:9">
      <c r="A665" s="10" t="str">
        <f t="shared" si="43"/>
        <v/>
      </c>
      <c r="B665" s="53"/>
      <c r="C665" s="28" t="str">
        <f t="shared" si="40"/>
        <v/>
      </c>
      <c r="D665" s="28" t="str">
        <f t="shared" si="41"/>
        <v/>
      </c>
      <c r="E665" s="77"/>
      <c r="F665" s="45"/>
      <c r="G665" s="56"/>
      <c r="H665" s="83"/>
      <c r="I665" s="35" t="str">
        <f t="shared" si="42"/>
        <v/>
      </c>
    </row>
    <row r="666" spans="1:9">
      <c r="A666" s="10" t="str">
        <f t="shared" si="43"/>
        <v/>
      </c>
      <c r="B666" s="53"/>
      <c r="C666" s="28" t="str">
        <f t="shared" si="40"/>
        <v/>
      </c>
      <c r="D666" s="28" t="str">
        <f t="shared" si="41"/>
        <v/>
      </c>
      <c r="E666" s="77"/>
      <c r="F666" s="45"/>
      <c r="G666" s="56"/>
      <c r="H666" s="83"/>
      <c r="I666" s="35" t="str">
        <f t="shared" si="42"/>
        <v/>
      </c>
    </row>
    <row r="667" spans="1:9">
      <c r="A667" s="10" t="str">
        <f t="shared" si="43"/>
        <v/>
      </c>
      <c r="B667" s="53"/>
      <c r="C667" s="28" t="str">
        <f t="shared" si="40"/>
        <v/>
      </c>
      <c r="D667" s="28" t="str">
        <f t="shared" si="41"/>
        <v/>
      </c>
      <c r="E667" s="77"/>
      <c r="F667" s="45"/>
      <c r="G667" s="56"/>
      <c r="H667" s="83"/>
      <c r="I667" s="35" t="str">
        <f t="shared" si="42"/>
        <v/>
      </c>
    </row>
    <row r="668" spans="1:9">
      <c r="A668" s="10" t="str">
        <f t="shared" si="43"/>
        <v/>
      </c>
      <c r="B668" s="53"/>
      <c r="C668" s="28" t="str">
        <f t="shared" si="40"/>
        <v/>
      </c>
      <c r="D668" s="28" t="str">
        <f t="shared" si="41"/>
        <v/>
      </c>
      <c r="E668" s="77"/>
      <c r="F668" s="45"/>
      <c r="G668" s="56"/>
      <c r="H668" s="83"/>
      <c r="I668" s="35" t="str">
        <f t="shared" si="42"/>
        <v/>
      </c>
    </row>
    <row r="669" spans="1:9">
      <c r="A669" s="10" t="str">
        <f t="shared" si="43"/>
        <v/>
      </c>
      <c r="B669" s="53"/>
      <c r="C669" s="28" t="str">
        <f t="shared" si="40"/>
        <v/>
      </c>
      <c r="D669" s="28" t="str">
        <f t="shared" si="41"/>
        <v/>
      </c>
      <c r="E669" s="77"/>
      <c r="F669" s="45"/>
      <c r="G669" s="56"/>
      <c r="H669" s="83"/>
      <c r="I669" s="35" t="str">
        <f t="shared" si="42"/>
        <v/>
      </c>
    </row>
    <row r="670" spans="1:9">
      <c r="A670" s="10" t="str">
        <f t="shared" si="43"/>
        <v/>
      </c>
      <c r="B670" s="53"/>
      <c r="C670" s="28" t="str">
        <f t="shared" si="40"/>
        <v/>
      </c>
      <c r="D670" s="28" t="str">
        <f t="shared" si="41"/>
        <v/>
      </c>
      <c r="E670" s="77"/>
      <c r="F670" s="45"/>
      <c r="G670" s="56"/>
      <c r="H670" s="83"/>
      <c r="I670" s="35" t="str">
        <f t="shared" si="42"/>
        <v/>
      </c>
    </row>
    <row r="671" spans="1:9">
      <c r="A671" s="10" t="str">
        <f t="shared" si="43"/>
        <v/>
      </c>
      <c r="B671" s="53"/>
      <c r="C671" s="28" t="str">
        <f t="shared" si="40"/>
        <v/>
      </c>
      <c r="D671" s="28" t="str">
        <f t="shared" si="41"/>
        <v/>
      </c>
      <c r="E671" s="77"/>
      <c r="F671" s="45"/>
      <c r="G671" s="56"/>
      <c r="H671" s="83"/>
      <c r="I671" s="35" t="str">
        <f t="shared" si="42"/>
        <v/>
      </c>
    </row>
    <row r="672" spans="1:9">
      <c r="A672" s="10" t="str">
        <f t="shared" si="43"/>
        <v/>
      </c>
      <c r="B672" s="53"/>
      <c r="C672" s="28" t="str">
        <f t="shared" si="40"/>
        <v/>
      </c>
      <c r="D672" s="28" t="str">
        <f t="shared" si="41"/>
        <v/>
      </c>
      <c r="E672" s="77"/>
      <c r="F672" s="45"/>
      <c r="G672" s="56"/>
      <c r="H672" s="83"/>
      <c r="I672" s="35" t="str">
        <f t="shared" si="42"/>
        <v/>
      </c>
    </row>
    <row r="673" spans="1:9">
      <c r="A673" s="10" t="str">
        <f t="shared" si="43"/>
        <v/>
      </c>
      <c r="B673" s="53"/>
      <c r="C673" s="28" t="str">
        <f t="shared" si="40"/>
        <v/>
      </c>
      <c r="D673" s="28" t="str">
        <f t="shared" si="41"/>
        <v/>
      </c>
      <c r="E673" s="77"/>
      <c r="F673" s="45"/>
      <c r="G673" s="56"/>
      <c r="H673" s="83"/>
      <c r="I673" s="35" t="str">
        <f t="shared" si="42"/>
        <v/>
      </c>
    </row>
    <row r="674" spans="1:9">
      <c r="A674" s="10" t="str">
        <f t="shared" si="43"/>
        <v/>
      </c>
      <c r="B674" s="53"/>
      <c r="C674" s="28" t="str">
        <f t="shared" si="40"/>
        <v/>
      </c>
      <c r="D674" s="28" t="str">
        <f t="shared" si="41"/>
        <v/>
      </c>
      <c r="E674" s="77"/>
      <c r="F674" s="45"/>
      <c r="G674" s="56"/>
      <c r="H674" s="83"/>
      <c r="I674" s="35" t="str">
        <f t="shared" si="42"/>
        <v/>
      </c>
    </row>
    <row r="675" spans="1:9">
      <c r="A675" s="10" t="str">
        <f t="shared" si="43"/>
        <v/>
      </c>
      <c r="B675" s="53"/>
      <c r="C675" s="28" t="str">
        <f t="shared" si="40"/>
        <v/>
      </c>
      <c r="D675" s="28" t="str">
        <f t="shared" si="41"/>
        <v/>
      </c>
      <c r="E675" s="77"/>
      <c r="F675" s="45"/>
      <c r="G675" s="56"/>
      <c r="H675" s="83"/>
      <c r="I675" s="35" t="str">
        <f t="shared" si="42"/>
        <v/>
      </c>
    </row>
    <row r="676" spans="1:9">
      <c r="A676" s="10" t="str">
        <f t="shared" si="43"/>
        <v/>
      </c>
      <c r="B676" s="53"/>
      <c r="C676" s="28" t="str">
        <f t="shared" si="40"/>
        <v/>
      </c>
      <c r="D676" s="28" t="str">
        <f t="shared" si="41"/>
        <v/>
      </c>
      <c r="E676" s="77"/>
      <c r="F676" s="45"/>
      <c r="G676" s="56"/>
      <c r="H676" s="83"/>
      <c r="I676" s="35" t="str">
        <f t="shared" si="42"/>
        <v/>
      </c>
    </row>
    <row r="677" spans="1:9">
      <c r="A677" s="10" t="str">
        <f t="shared" si="43"/>
        <v/>
      </c>
      <c r="B677" s="53"/>
      <c r="C677" s="28" t="str">
        <f t="shared" si="40"/>
        <v/>
      </c>
      <c r="D677" s="28" t="str">
        <f t="shared" si="41"/>
        <v/>
      </c>
      <c r="E677" s="77"/>
      <c r="F677" s="45"/>
      <c r="G677" s="56"/>
      <c r="H677" s="83"/>
      <c r="I677" s="35" t="str">
        <f t="shared" si="42"/>
        <v/>
      </c>
    </row>
    <row r="678" spans="1:9">
      <c r="A678" s="10" t="str">
        <f t="shared" si="43"/>
        <v/>
      </c>
      <c r="B678" s="53"/>
      <c r="C678" s="28" t="str">
        <f t="shared" si="40"/>
        <v/>
      </c>
      <c r="D678" s="28" t="str">
        <f t="shared" si="41"/>
        <v/>
      </c>
      <c r="E678" s="77"/>
      <c r="F678" s="45"/>
      <c r="G678" s="56"/>
      <c r="H678" s="83"/>
      <c r="I678" s="35" t="str">
        <f t="shared" si="42"/>
        <v/>
      </c>
    </row>
    <row r="679" spans="1:9">
      <c r="A679" s="10" t="str">
        <f t="shared" si="43"/>
        <v/>
      </c>
      <c r="B679" s="53"/>
      <c r="C679" s="28" t="str">
        <f t="shared" si="40"/>
        <v/>
      </c>
      <c r="D679" s="28" t="str">
        <f t="shared" si="41"/>
        <v/>
      </c>
      <c r="E679" s="77"/>
      <c r="F679" s="45"/>
      <c r="G679" s="56"/>
      <c r="H679" s="83"/>
      <c r="I679" s="35" t="str">
        <f t="shared" si="42"/>
        <v/>
      </c>
    </row>
    <row r="680" spans="1:9">
      <c r="A680" s="10" t="str">
        <f t="shared" si="43"/>
        <v/>
      </c>
      <c r="B680" s="53"/>
      <c r="C680" s="28" t="str">
        <f t="shared" si="40"/>
        <v/>
      </c>
      <c r="D680" s="28" t="str">
        <f t="shared" si="41"/>
        <v/>
      </c>
      <c r="E680" s="77"/>
      <c r="F680" s="45"/>
      <c r="G680" s="56"/>
      <c r="H680" s="83"/>
      <c r="I680" s="35" t="str">
        <f t="shared" si="42"/>
        <v/>
      </c>
    </row>
    <row r="681" spans="1:9">
      <c r="A681" s="10" t="str">
        <f t="shared" si="43"/>
        <v/>
      </c>
      <c r="B681" s="53"/>
      <c r="C681" s="28" t="str">
        <f t="shared" si="40"/>
        <v/>
      </c>
      <c r="D681" s="28" t="str">
        <f t="shared" si="41"/>
        <v/>
      </c>
      <c r="E681" s="77"/>
      <c r="F681" s="45"/>
      <c r="G681" s="56"/>
      <c r="H681" s="83"/>
      <c r="I681" s="35" t="str">
        <f t="shared" si="42"/>
        <v/>
      </c>
    </row>
    <row r="682" spans="1:9">
      <c r="A682" s="10" t="str">
        <f t="shared" si="43"/>
        <v/>
      </c>
      <c r="B682" s="53"/>
      <c r="C682" s="28" t="str">
        <f t="shared" si="40"/>
        <v/>
      </c>
      <c r="D682" s="28" t="str">
        <f t="shared" si="41"/>
        <v/>
      </c>
      <c r="E682" s="77"/>
      <c r="F682" s="45"/>
      <c r="G682" s="56"/>
      <c r="H682" s="83"/>
      <c r="I682" s="35" t="str">
        <f t="shared" si="42"/>
        <v/>
      </c>
    </row>
    <row r="683" spans="1:9">
      <c r="A683" s="10" t="str">
        <f t="shared" si="43"/>
        <v/>
      </c>
      <c r="B683" s="53"/>
      <c r="C683" s="28" t="str">
        <f t="shared" si="40"/>
        <v/>
      </c>
      <c r="D683" s="28" t="str">
        <f t="shared" si="41"/>
        <v/>
      </c>
      <c r="E683" s="77"/>
      <c r="F683" s="45"/>
      <c r="G683" s="56"/>
      <c r="H683" s="83"/>
      <c r="I683" s="35" t="str">
        <f t="shared" si="42"/>
        <v/>
      </c>
    </row>
    <row r="684" spans="1:9">
      <c r="A684" s="10" t="str">
        <f t="shared" si="43"/>
        <v/>
      </c>
      <c r="B684" s="53"/>
      <c r="C684" s="28" t="str">
        <f t="shared" si="40"/>
        <v/>
      </c>
      <c r="D684" s="28" t="str">
        <f t="shared" si="41"/>
        <v/>
      </c>
      <c r="E684" s="77"/>
      <c r="F684" s="45"/>
      <c r="G684" s="56"/>
      <c r="H684" s="83"/>
      <c r="I684" s="35" t="str">
        <f t="shared" si="42"/>
        <v/>
      </c>
    </row>
    <row r="685" spans="1:9">
      <c r="A685" s="10" t="str">
        <f t="shared" si="43"/>
        <v/>
      </c>
      <c r="B685" s="53"/>
      <c r="C685" s="28" t="str">
        <f t="shared" si="40"/>
        <v/>
      </c>
      <c r="D685" s="28" t="str">
        <f t="shared" si="41"/>
        <v/>
      </c>
      <c r="E685" s="77"/>
      <c r="F685" s="45"/>
      <c r="G685" s="56"/>
      <c r="H685" s="83"/>
      <c r="I685" s="35" t="str">
        <f t="shared" si="42"/>
        <v/>
      </c>
    </row>
    <row r="686" spans="1:9">
      <c r="A686" s="10" t="str">
        <f t="shared" si="43"/>
        <v/>
      </c>
      <c r="B686" s="53"/>
      <c r="C686" s="28" t="str">
        <f t="shared" si="40"/>
        <v/>
      </c>
      <c r="D686" s="28" t="str">
        <f t="shared" si="41"/>
        <v/>
      </c>
      <c r="E686" s="77"/>
      <c r="F686" s="45"/>
      <c r="G686" s="56"/>
      <c r="H686" s="83"/>
      <c r="I686" s="35" t="str">
        <f t="shared" si="42"/>
        <v/>
      </c>
    </row>
    <row r="687" spans="1:9">
      <c r="A687" s="10" t="str">
        <f t="shared" si="43"/>
        <v/>
      </c>
      <c r="B687" s="53"/>
      <c r="C687" s="28" t="str">
        <f t="shared" si="40"/>
        <v/>
      </c>
      <c r="D687" s="28" t="str">
        <f t="shared" si="41"/>
        <v/>
      </c>
      <c r="E687" s="77"/>
      <c r="F687" s="45"/>
      <c r="G687" s="56"/>
      <c r="H687" s="83"/>
      <c r="I687" s="35" t="str">
        <f t="shared" si="42"/>
        <v/>
      </c>
    </row>
    <row r="688" spans="1:9">
      <c r="A688" s="10" t="str">
        <f t="shared" si="43"/>
        <v/>
      </c>
      <c r="B688" s="53"/>
      <c r="C688" s="28" t="str">
        <f t="shared" si="40"/>
        <v/>
      </c>
      <c r="D688" s="28" t="str">
        <f t="shared" si="41"/>
        <v/>
      </c>
      <c r="E688" s="77"/>
      <c r="F688" s="45"/>
      <c r="G688" s="56"/>
      <c r="H688" s="83"/>
      <c r="I688" s="35" t="str">
        <f t="shared" si="42"/>
        <v/>
      </c>
    </row>
    <row r="689" spans="1:9">
      <c r="A689" s="10" t="str">
        <f t="shared" si="43"/>
        <v/>
      </c>
      <c r="B689" s="53"/>
      <c r="C689" s="28" t="str">
        <f t="shared" si="40"/>
        <v/>
      </c>
      <c r="D689" s="28" t="str">
        <f t="shared" si="41"/>
        <v/>
      </c>
      <c r="E689" s="77"/>
      <c r="F689" s="45"/>
      <c r="G689" s="56"/>
      <c r="H689" s="83"/>
      <c r="I689" s="35" t="str">
        <f t="shared" si="42"/>
        <v/>
      </c>
    </row>
    <row r="690" spans="1:9">
      <c r="A690" s="10" t="str">
        <f t="shared" si="43"/>
        <v/>
      </c>
      <c r="B690" s="53"/>
      <c r="C690" s="28" t="str">
        <f t="shared" si="40"/>
        <v/>
      </c>
      <c r="D690" s="28" t="str">
        <f t="shared" si="41"/>
        <v/>
      </c>
      <c r="E690" s="77"/>
      <c r="F690" s="45"/>
      <c r="G690" s="56"/>
      <c r="H690" s="83"/>
      <c r="I690" s="35" t="str">
        <f t="shared" si="42"/>
        <v/>
      </c>
    </row>
    <row r="691" spans="1:9">
      <c r="A691" s="10" t="str">
        <f t="shared" si="43"/>
        <v/>
      </c>
      <c r="B691" s="53"/>
      <c r="C691" s="28" t="str">
        <f t="shared" si="40"/>
        <v/>
      </c>
      <c r="D691" s="28" t="str">
        <f t="shared" si="41"/>
        <v/>
      </c>
      <c r="E691" s="77"/>
      <c r="F691" s="45"/>
      <c r="G691" s="56"/>
      <c r="H691" s="83"/>
      <c r="I691" s="35" t="str">
        <f t="shared" si="42"/>
        <v/>
      </c>
    </row>
    <row r="692" spans="1:9">
      <c r="A692" s="10" t="str">
        <f t="shared" si="43"/>
        <v/>
      </c>
      <c r="B692" s="53"/>
      <c r="C692" s="28" t="str">
        <f t="shared" si="40"/>
        <v/>
      </c>
      <c r="D692" s="28" t="str">
        <f t="shared" si="41"/>
        <v/>
      </c>
      <c r="E692" s="77"/>
      <c r="F692" s="45"/>
      <c r="G692" s="56"/>
      <c r="H692" s="83"/>
      <c r="I692" s="35" t="str">
        <f t="shared" si="42"/>
        <v/>
      </c>
    </row>
    <row r="693" spans="1:9">
      <c r="A693" s="10" t="str">
        <f t="shared" si="43"/>
        <v/>
      </c>
      <c r="B693" s="53"/>
      <c r="C693" s="28" t="str">
        <f t="shared" si="40"/>
        <v/>
      </c>
      <c r="D693" s="28" t="str">
        <f t="shared" si="41"/>
        <v/>
      </c>
      <c r="E693" s="77"/>
      <c r="F693" s="45"/>
      <c r="G693" s="56"/>
      <c r="H693" s="83"/>
      <c r="I693" s="35" t="str">
        <f t="shared" si="42"/>
        <v/>
      </c>
    </row>
    <row r="694" spans="1:9">
      <c r="A694" s="10" t="str">
        <f t="shared" si="43"/>
        <v/>
      </c>
      <c r="B694" s="53"/>
      <c r="C694" s="28" t="str">
        <f t="shared" si="40"/>
        <v/>
      </c>
      <c r="D694" s="28" t="str">
        <f t="shared" si="41"/>
        <v/>
      </c>
      <c r="E694" s="77"/>
      <c r="F694" s="45"/>
      <c r="G694" s="56"/>
      <c r="H694" s="83"/>
      <c r="I694" s="35" t="str">
        <f t="shared" si="42"/>
        <v/>
      </c>
    </row>
    <row r="695" spans="1:9">
      <c r="A695" s="10" t="str">
        <f t="shared" si="43"/>
        <v/>
      </c>
      <c r="B695" s="53"/>
      <c r="C695" s="28" t="str">
        <f t="shared" si="40"/>
        <v/>
      </c>
      <c r="D695" s="28" t="str">
        <f t="shared" si="41"/>
        <v/>
      </c>
      <c r="E695" s="77"/>
      <c r="F695" s="45"/>
      <c r="G695" s="56"/>
      <c r="H695" s="83"/>
      <c r="I695" s="35" t="str">
        <f t="shared" si="42"/>
        <v/>
      </c>
    </row>
    <row r="696" spans="1:9">
      <c r="A696" s="10" t="str">
        <f t="shared" si="43"/>
        <v/>
      </c>
      <c r="B696" s="53"/>
      <c r="C696" s="28" t="str">
        <f t="shared" si="40"/>
        <v/>
      </c>
      <c r="D696" s="28" t="str">
        <f t="shared" si="41"/>
        <v/>
      </c>
      <c r="E696" s="77"/>
      <c r="F696" s="45"/>
      <c r="G696" s="56"/>
      <c r="H696" s="83"/>
      <c r="I696" s="35" t="str">
        <f t="shared" si="42"/>
        <v/>
      </c>
    </row>
    <row r="697" spans="1:9">
      <c r="A697" s="10" t="str">
        <f t="shared" si="43"/>
        <v/>
      </c>
      <c r="B697" s="53"/>
      <c r="C697" s="28" t="str">
        <f t="shared" si="40"/>
        <v/>
      </c>
      <c r="D697" s="28" t="str">
        <f t="shared" si="41"/>
        <v/>
      </c>
      <c r="E697" s="77"/>
      <c r="F697" s="45"/>
      <c r="G697" s="56"/>
      <c r="H697" s="83"/>
      <c r="I697" s="35" t="str">
        <f t="shared" si="42"/>
        <v/>
      </c>
    </row>
    <row r="698" spans="1:9">
      <c r="A698" s="10" t="str">
        <f t="shared" si="43"/>
        <v/>
      </c>
      <c r="B698" s="53"/>
      <c r="C698" s="28" t="str">
        <f t="shared" si="40"/>
        <v/>
      </c>
      <c r="D698" s="28" t="str">
        <f t="shared" si="41"/>
        <v/>
      </c>
      <c r="E698" s="77"/>
      <c r="F698" s="45"/>
      <c r="G698" s="56"/>
      <c r="H698" s="83"/>
      <c r="I698" s="35" t="str">
        <f t="shared" si="42"/>
        <v/>
      </c>
    </row>
    <row r="699" spans="1:9">
      <c r="A699" s="10" t="str">
        <f t="shared" si="43"/>
        <v/>
      </c>
      <c r="B699" s="53"/>
      <c r="C699" s="28" t="str">
        <f t="shared" si="40"/>
        <v/>
      </c>
      <c r="D699" s="28" t="str">
        <f t="shared" si="41"/>
        <v/>
      </c>
      <c r="E699" s="77"/>
      <c r="F699" s="45"/>
      <c r="G699" s="56"/>
      <c r="H699" s="83"/>
      <c r="I699" s="35" t="str">
        <f t="shared" si="42"/>
        <v/>
      </c>
    </row>
    <row r="700" spans="1:9">
      <c r="A700" s="10" t="str">
        <f t="shared" si="43"/>
        <v/>
      </c>
      <c r="B700" s="53"/>
      <c r="C700" s="28" t="str">
        <f t="shared" si="40"/>
        <v/>
      </c>
      <c r="D700" s="28" t="str">
        <f t="shared" si="41"/>
        <v/>
      </c>
      <c r="E700" s="77"/>
      <c r="F700" s="45"/>
      <c r="G700" s="56"/>
      <c r="H700" s="83"/>
      <c r="I700" s="35" t="str">
        <f t="shared" si="42"/>
        <v/>
      </c>
    </row>
    <row r="701" spans="1:9">
      <c r="A701" s="10" t="str">
        <f t="shared" si="43"/>
        <v/>
      </c>
      <c r="B701" s="53"/>
      <c r="C701" s="28" t="str">
        <f t="shared" si="40"/>
        <v/>
      </c>
      <c r="D701" s="28" t="str">
        <f t="shared" si="41"/>
        <v/>
      </c>
      <c r="E701" s="77"/>
      <c r="F701" s="45"/>
      <c r="G701" s="56"/>
      <c r="H701" s="83"/>
      <c r="I701" s="35" t="str">
        <f t="shared" si="42"/>
        <v/>
      </c>
    </row>
    <row r="702" spans="1:9">
      <c r="A702" s="10" t="str">
        <f t="shared" si="43"/>
        <v/>
      </c>
      <c r="B702" s="53"/>
      <c r="C702" s="28" t="str">
        <f t="shared" si="40"/>
        <v/>
      </c>
      <c r="D702" s="28" t="str">
        <f t="shared" si="41"/>
        <v/>
      </c>
      <c r="E702" s="77"/>
      <c r="F702" s="45"/>
      <c r="G702" s="56"/>
      <c r="H702" s="83"/>
      <c r="I702" s="35" t="str">
        <f t="shared" si="42"/>
        <v/>
      </c>
    </row>
    <row r="703" spans="1:9">
      <c r="A703" s="10" t="str">
        <f t="shared" si="43"/>
        <v/>
      </c>
      <c r="B703" s="53"/>
      <c r="C703" s="28" t="str">
        <f t="shared" si="40"/>
        <v/>
      </c>
      <c r="D703" s="28" t="str">
        <f t="shared" si="41"/>
        <v/>
      </c>
      <c r="E703" s="77"/>
      <c r="F703" s="45"/>
      <c r="G703" s="56"/>
      <c r="H703" s="83"/>
      <c r="I703" s="35" t="str">
        <f t="shared" si="42"/>
        <v/>
      </c>
    </row>
    <row r="704" spans="1:9">
      <c r="A704" s="10" t="str">
        <f t="shared" si="43"/>
        <v/>
      </c>
      <c r="B704" s="53"/>
      <c r="C704" s="28" t="str">
        <f t="shared" si="40"/>
        <v/>
      </c>
      <c r="D704" s="28" t="str">
        <f t="shared" si="41"/>
        <v/>
      </c>
      <c r="E704" s="77"/>
      <c r="F704" s="45"/>
      <c r="G704" s="56"/>
      <c r="H704" s="83"/>
      <c r="I704" s="35" t="str">
        <f t="shared" si="42"/>
        <v/>
      </c>
    </row>
    <row r="705" spans="1:9">
      <c r="A705" s="10" t="str">
        <f t="shared" si="43"/>
        <v/>
      </c>
      <c r="B705" s="53"/>
      <c r="C705" s="28" t="str">
        <f t="shared" si="40"/>
        <v/>
      </c>
      <c r="D705" s="28" t="str">
        <f t="shared" si="41"/>
        <v/>
      </c>
      <c r="E705" s="77"/>
      <c r="F705" s="45"/>
      <c r="G705" s="56"/>
      <c r="H705" s="83"/>
      <c r="I705" s="35" t="str">
        <f t="shared" si="42"/>
        <v/>
      </c>
    </row>
    <row r="706" spans="1:9">
      <c r="A706" s="10" t="str">
        <f t="shared" si="43"/>
        <v/>
      </c>
      <c r="B706" s="53"/>
      <c r="C706" s="28" t="str">
        <f t="shared" ref="C706:C769" si="44">IF(B706=0,"",TEXT(B706,"mmmm"))</f>
        <v/>
      </c>
      <c r="D706" s="28" t="str">
        <f t="shared" ref="D706:D769" si="45">IF(B706=0,"",TEXT(B706,"yyyy"))</f>
        <v/>
      </c>
      <c r="E706" s="77"/>
      <c r="F706" s="45"/>
      <c r="G706" s="56"/>
      <c r="H706" s="83"/>
      <c r="I706" s="35" t="str">
        <f t="shared" ref="I706:I769" si="46">IF(G706*H706=0,"",G706*H706)</f>
        <v/>
      </c>
    </row>
    <row r="707" spans="1:9">
      <c r="A707" s="10" t="str">
        <f t="shared" si="43"/>
        <v/>
      </c>
      <c r="B707" s="53"/>
      <c r="C707" s="28" t="str">
        <f t="shared" si="44"/>
        <v/>
      </c>
      <c r="D707" s="28" t="str">
        <f t="shared" si="45"/>
        <v/>
      </c>
      <c r="E707" s="77"/>
      <c r="F707" s="45"/>
      <c r="G707" s="56"/>
      <c r="H707" s="83"/>
      <c r="I707" s="35" t="str">
        <f t="shared" si="46"/>
        <v/>
      </c>
    </row>
    <row r="708" spans="1:9">
      <c r="A708" s="10" t="str">
        <f t="shared" ref="A708:A771" si="47">IF(E708&gt;0,A707+1,"")</f>
        <v/>
      </c>
      <c r="B708" s="53"/>
      <c r="C708" s="28" t="str">
        <f t="shared" si="44"/>
        <v/>
      </c>
      <c r="D708" s="28" t="str">
        <f t="shared" si="45"/>
        <v/>
      </c>
      <c r="E708" s="77"/>
      <c r="F708" s="45"/>
      <c r="G708" s="56"/>
      <c r="H708" s="83"/>
      <c r="I708" s="35" t="str">
        <f t="shared" si="46"/>
        <v/>
      </c>
    </row>
    <row r="709" spans="1:9">
      <c r="A709" s="10" t="str">
        <f t="shared" si="47"/>
        <v/>
      </c>
      <c r="B709" s="53"/>
      <c r="C709" s="28" t="str">
        <f t="shared" si="44"/>
        <v/>
      </c>
      <c r="D709" s="28" t="str">
        <f t="shared" si="45"/>
        <v/>
      </c>
      <c r="E709" s="77"/>
      <c r="F709" s="45"/>
      <c r="G709" s="56"/>
      <c r="H709" s="83"/>
      <c r="I709" s="35" t="str">
        <f t="shared" si="46"/>
        <v/>
      </c>
    </row>
    <row r="710" spans="1:9">
      <c r="A710" s="10" t="str">
        <f t="shared" si="47"/>
        <v/>
      </c>
      <c r="B710" s="53"/>
      <c r="C710" s="28" t="str">
        <f t="shared" si="44"/>
        <v/>
      </c>
      <c r="D710" s="28" t="str">
        <f t="shared" si="45"/>
        <v/>
      </c>
      <c r="E710" s="77"/>
      <c r="F710" s="45"/>
      <c r="G710" s="56"/>
      <c r="H710" s="83"/>
      <c r="I710" s="35" t="str">
        <f t="shared" si="46"/>
        <v/>
      </c>
    </row>
    <row r="711" spans="1:9">
      <c r="A711" s="10" t="str">
        <f t="shared" si="47"/>
        <v/>
      </c>
      <c r="B711" s="53"/>
      <c r="C711" s="28" t="str">
        <f t="shared" si="44"/>
        <v/>
      </c>
      <c r="D711" s="28" t="str">
        <f t="shared" si="45"/>
        <v/>
      </c>
      <c r="E711" s="77"/>
      <c r="F711" s="45"/>
      <c r="G711" s="56"/>
      <c r="H711" s="83"/>
      <c r="I711" s="35" t="str">
        <f t="shared" si="46"/>
        <v/>
      </c>
    </row>
    <row r="712" spans="1:9">
      <c r="A712" s="10" t="str">
        <f t="shared" si="47"/>
        <v/>
      </c>
      <c r="B712" s="53"/>
      <c r="C712" s="28" t="str">
        <f t="shared" si="44"/>
        <v/>
      </c>
      <c r="D712" s="28" t="str">
        <f t="shared" si="45"/>
        <v/>
      </c>
      <c r="E712" s="77"/>
      <c r="F712" s="45"/>
      <c r="G712" s="56"/>
      <c r="H712" s="83"/>
      <c r="I712" s="35" t="str">
        <f t="shared" si="46"/>
        <v/>
      </c>
    </row>
    <row r="713" spans="1:9">
      <c r="A713" s="10" t="str">
        <f t="shared" si="47"/>
        <v/>
      </c>
      <c r="B713" s="53"/>
      <c r="C713" s="28" t="str">
        <f t="shared" si="44"/>
        <v/>
      </c>
      <c r="D713" s="28" t="str">
        <f t="shared" si="45"/>
        <v/>
      </c>
      <c r="E713" s="77"/>
      <c r="F713" s="45"/>
      <c r="G713" s="56"/>
      <c r="H713" s="83"/>
      <c r="I713" s="35" t="str">
        <f t="shared" si="46"/>
        <v/>
      </c>
    </row>
    <row r="714" spans="1:9">
      <c r="A714" s="10" t="str">
        <f t="shared" si="47"/>
        <v/>
      </c>
      <c r="B714" s="53"/>
      <c r="C714" s="28" t="str">
        <f t="shared" si="44"/>
        <v/>
      </c>
      <c r="D714" s="28" t="str">
        <f t="shared" si="45"/>
        <v/>
      </c>
      <c r="E714" s="77"/>
      <c r="F714" s="45"/>
      <c r="G714" s="56"/>
      <c r="H714" s="83"/>
      <c r="I714" s="35" t="str">
        <f t="shared" si="46"/>
        <v/>
      </c>
    </row>
    <row r="715" spans="1:9">
      <c r="A715" s="10" t="str">
        <f t="shared" si="47"/>
        <v/>
      </c>
      <c r="B715" s="53"/>
      <c r="C715" s="28" t="str">
        <f t="shared" si="44"/>
        <v/>
      </c>
      <c r="D715" s="28" t="str">
        <f t="shared" si="45"/>
        <v/>
      </c>
      <c r="E715" s="77"/>
      <c r="F715" s="45"/>
      <c r="G715" s="56"/>
      <c r="H715" s="83"/>
      <c r="I715" s="35" t="str">
        <f t="shared" si="46"/>
        <v/>
      </c>
    </row>
    <row r="716" spans="1:9">
      <c r="A716" s="10" t="str">
        <f t="shared" si="47"/>
        <v/>
      </c>
      <c r="B716" s="53"/>
      <c r="C716" s="28" t="str">
        <f t="shared" si="44"/>
        <v/>
      </c>
      <c r="D716" s="28" t="str">
        <f t="shared" si="45"/>
        <v/>
      </c>
      <c r="E716" s="77"/>
      <c r="F716" s="45"/>
      <c r="G716" s="56"/>
      <c r="H716" s="83"/>
      <c r="I716" s="35" t="str">
        <f t="shared" si="46"/>
        <v/>
      </c>
    </row>
    <row r="717" spans="1:9">
      <c r="A717" s="10" t="str">
        <f t="shared" si="47"/>
        <v/>
      </c>
      <c r="B717" s="53"/>
      <c r="C717" s="28" t="str">
        <f t="shared" si="44"/>
        <v/>
      </c>
      <c r="D717" s="28" t="str">
        <f t="shared" si="45"/>
        <v/>
      </c>
      <c r="E717" s="77"/>
      <c r="F717" s="45"/>
      <c r="G717" s="56"/>
      <c r="H717" s="83"/>
      <c r="I717" s="35" t="str">
        <f t="shared" si="46"/>
        <v/>
      </c>
    </row>
    <row r="718" spans="1:9">
      <c r="A718" s="10" t="str">
        <f t="shared" si="47"/>
        <v/>
      </c>
      <c r="B718" s="53"/>
      <c r="C718" s="28" t="str">
        <f t="shared" si="44"/>
        <v/>
      </c>
      <c r="D718" s="28" t="str">
        <f t="shared" si="45"/>
        <v/>
      </c>
      <c r="E718" s="77"/>
      <c r="F718" s="45"/>
      <c r="G718" s="56"/>
      <c r="H718" s="83"/>
      <c r="I718" s="35" t="str">
        <f t="shared" si="46"/>
        <v/>
      </c>
    </row>
    <row r="719" spans="1:9">
      <c r="A719" s="10" t="str">
        <f t="shared" si="47"/>
        <v/>
      </c>
      <c r="B719" s="53"/>
      <c r="C719" s="28" t="str">
        <f t="shared" si="44"/>
        <v/>
      </c>
      <c r="D719" s="28" t="str">
        <f t="shared" si="45"/>
        <v/>
      </c>
      <c r="E719" s="77"/>
      <c r="F719" s="45"/>
      <c r="G719" s="56"/>
      <c r="H719" s="83"/>
      <c r="I719" s="35" t="str">
        <f t="shared" si="46"/>
        <v/>
      </c>
    </row>
    <row r="720" spans="1:9">
      <c r="A720" s="10" t="str">
        <f t="shared" si="47"/>
        <v/>
      </c>
      <c r="B720" s="53"/>
      <c r="C720" s="28" t="str">
        <f t="shared" si="44"/>
        <v/>
      </c>
      <c r="D720" s="28" t="str">
        <f t="shared" si="45"/>
        <v/>
      </c>
      <c r="E720" s="77"/>
      <c r="F720" s="45"/>
      <c r="G720" s="56"/>
      <c r="H720" s="83"/>
      <c r="I720" s="35" t="str">
        <f t="shared" si="46"/>
        <v/>
      </c>
    </row>
    <row r="721" spans="1:9">
      <c r="A721" s="10" t="str">
        <f t="shared" si="47"/>
        <v/>
      </c>
      <c r="B721" s="53"/>
      <c r="C721" s="28" t="str">
        <f t="shared" si="44"/>
        <v/>
      </c>
      <c r="D721" s="28" t="str">
        <f t="shared" si="45"/>
        <v/>
      </c>
      <c r="E721" s="77"/>
      <c r="F721" s="45"/>
      <c r="G721" s="56"/>
      <c r="H721" s="83"/>
      <c r="I721" s="35" t="str">
        <f t="shared" si="46"/>
        <v/>
      </c>
    </row>
    <row r="722" spans="1:9">
      <c r="A722" s="10" t="str">
        <f t="shared" si="47"/>
        <v/>
      </c>
      <c r="B722" s="53"/>
      <c r="C722" s="28" t="str">
        <f t="shared" si="44"/>
        <v/>
      </c>
      <c r="D722" s="28" t="str">
        <f t="shared" si="45"/>
        <v/>
      </c>
      <c r="E722" s="77"/>
      <c r="F722" s="45"/>
      <c r="G722" s="56"/>
      <c r="H722" s="83"/>
      <c r="I722" s="35" t="str">
        <f t="shared" si="46"/>
        <v/>
      </c>
    </row>
    <row r="723" spans="1:9">
      <c r="A723" s="10" t="str">
        <f t="shared" si="47"/>
        <v/>
      </c>
      <c r="B723" s="53"/>
      <c r="C723" s="28" t="str">
        <f t="shared" si="44"/>
        <v/>
      </c>
      <c r="D723" s="28" t="str">
        <f t="shared" si="45"/>
        <v/>
      </c>
      <c r="E723" s="77"/>
      <c r="F723" s="45"/>
      <c r="G723" s="56"/>
      <c r="H723" s="83"/>
      <c r="I723" s="35" t="str">
        <f t="shared" si="46"/>
        <v/>
      </c>
    </row>
    <row r="724" spans="1:9">
      <c r="A724" s="10" t="str">
        <f t="shared" si="47"/>
        <v/>
      </c>
      <c r="B724" s="53"/>
      <c r="C724" s="28" t="str">
        <f t="shared" si="44"/>
        <v/>
      </c>
      <c r="D724" s="28" t="str">
        <f t="shared" si="45"/>
        <v/>
      </c>
      <c r="E724" s="77"/>
      <c r="F724" s="45"/>
      <c r="G724" s="56"/>
      <c r="H724" s="83"/>
      <c r="I724" s="35" t="str">
        <f t="shared" si="46"/>
        <v/>
      </c>
    </row>
    <row r="725" spans="1:9">
      <c r="A725" s="10" t="str">
        <f t="shared" si="47"/>
        <v/>
      </c>
      <c r="B725" s="53"/>
      <c r="C725" s="28" t="str">
        <f t="shared" si="44"/>
        <v/>
      </c>
      <c r="D725" s="28" t="str">
        <f t="shared" si="45"/>
        <v/>
      </c>
      <c r="E725" s="77"/>
      <c r="F725" s="45"/>
      <c r="G725" s="56"/>
      <c r="H725" s="83"/>
      <c r="I725" s="35" t="str">
        <f t="shared" si="46"/>
        <v/>
      </c>
    </row>
    <row r="726" spans="1:9">
      <c r="A726" s="10" t="str">
        <f t="shared" si="47"/>
        <v/>
      </c>
      <c r="B726" s="53"/>
      <c r="C726" s="28" t="str">
        <f t="shared" si="44"/>
        <v/>
      </c>
      <c r="D726" s="28" t="str">
        <f t="shared" si="45"/>
        <v/>
      </c>
      <c r="E726" s="77"/>
      <c r="F726" s="45"/>
      <c r="G726" s="56"/>
      <c r="H726" s="83"/>
      <c r="I726" s="35" t="str">
        <f t="shared" si="46"/>
        <v/>
      </c>
    </row>
    <row r="727" spans="1:9">
      <c r="A727" s="10" t="str">
        <f t="shared" si="47"/>
        <v/>
      </c>
      <c r="B727" s="53"/>
      <c r="C727" s="28" t="str">
        <f t="shared" si="44"/>
        <v/>
      </c>
      <c r="D727" s="28" t="str">
        <f t="shared" si="45"/>
        <v/>
      </c>
      <c r="E727" s="77"/>
      <c r="F727" s="45"/>
      <c r="G727" s="56"/>
      <c r="H727" s="83"/>
      <c r="I727" s="35" t="str">
        <f t="shared" si="46"/>
        <v/>
      </c>
    </row>
    <row r="728" spans="1:9">
      <c r="A728" s="10" t="str">
        <f t="shared" si="47"/>
        <v/>
      </c>
      <c r="B728" s="53"/>
      <c r="C728" s="28" t="str">
        <f t="shared" si="44"/>
        <v/>
      </c>
      <c r="D728" s="28" t="str">
        <f t="shared" si="45"/>
        <v/>
      </c>
      <c r="E728" s="77"/>
      <c r="F728" s="45"/>
      <c r="G728" s="56"/>
      <c r="H728" s="83"/>
      <c r="I728" s="35" t="str">
        <f t="shared" si="46"/>
        <v/>
      </c>
    </row>
    <row r="729" spans="1:9">
      <c r="A729" s="10" t="str">
        <f t="shared" si="47"/>
        <v/>
      </c>
      <c r="B729" s="53"/>
      <c r="C729" s="28" t="str">
        <f t="shared" si="44"/>
        <v/>
      </c>
      <c r="D729" s="28" t="str">
        <f t="shared" si="45"/>
        <v/>
      </c>
      <c r="E729" s="77"/>
      <c r="F729" s="45"/>
      <c r="G729" s="56"/>
      <c r="H729" s="83"/>
      <c r="I729" s="35" t="str">
        <f t="shared" si="46"/>
        <v/>
      </c>
    </row>
    <row r="730" spans="1:9">
      <c r="A730" s="10" t="str">
        <f t="shared" si="47"/>
        <v/>
      </c>
      <c r="B730" s="53"/>
      <c r="C730" s="28" t="str">
        <f t="shared" si="44"/>
        <v/>
      </c>
      <c r="D730" s="28" t="str">
        <f t="shared" si="45"/>
        <v/>
      </c>
      <c r="E730" s="77"/>
      <c r="F730" s="45"/>
      <c r="G730" s="56"/>
      <c r="H730" s="83"/>
      <c r="I730" s="35" t="str">
        <f t="shared" si="46"/>
        <v/>
      </c>
    </row>
    <row r="731" spans="1:9">
      <c r="A731" s="10" t="str">
        <f t="shared" si="47"/>
        <v/>
      </c>
      <c r="B731" s="53"/>
      <c r="C731" s="28" t="str">
        <f t="shared" si="44"/>
        <v/>
      </c>
      <c r="D731" s="28" t="str">
        <f t="shared" si="45"/>
        <v/>
      </c>
      <c r="E731" s="77"/>
      <c r="F731" s="45"/>
      <c r="G731" s="56"/>
      <c r="H731" s="83"/>
      <c r="I731" s="35" t="str">
        <f t="shared" si="46"/>
        <v/>
      </c>
    </row>
    <row r="732" spans="1:9">
      <c r="A732" s="10" t="str">
        <f t="shared" si="47"/>
        <v/>
      </c>
      <c r="B732" s="53"/>
      <c r="C732" s="28" t="str">
        <f t="shared" si="44"/>
        <v/>
      </c>
      <c r="D732" s="28" t="str">
        <f t="shared" si="45"/>
        <v/>
      </c>
      <c r="E732" s="77"/>
      <c r="F732" s="45"/>
      <c r="G732" s="56"/>
      <c r="H732" s="83"/>
      <c r="I732" s="35" t="str">
        <f t="shared" si="46"/>
        <v/>
      </c>
    </row>
    <row r="733" spans="1:9">
      <c r="A733" s="10" t="str">
        <f t="shared" si="47"/>
        <v/>
      </c>
      <c r="B733" s="53"/>
      <c r="C733" s="28" t="str">
        <f t="shared" si="44"/>
        <v/>
      </c>
      <c r="D733" s="28" t="str">
        <f t="shared" si="45"/>
        <v/>
      </c>
      <c r="E733" s="77"/>
      <c r="F733" s="45"/>
      <c r="G733" s="56"/>
      <c r="H733" s="83"/>
      <c r="I733" s="35" t="str">
        <f t="shared" si="46"/>
        <v/>
      </c>
    </row>
    <row r="734" spans="1:9">
      <c r="A734" s="10" t="str">
        <f t="shared" si="47"/>
        <v/>
      </c>
      <c r="B734" s="53"/>
      <c r="C734" s="28" t="str">
        <f t="shared" si="44"/>
        <v/>
      </c>
      <c r="D734" s="28" t="str">
        <f t="shared" si="45"/>
        <v/>
      </c>
      <c r="E734" s="77"/>
      <c r="F734" s="45"/>
      <c r="G734" s="56"/>
      <c r="H734" s="83"/>
      <c r="I734" s="35" t="str">
        <f t="shared" si="46"/>
        <v/>
      </c>
    </row>
    <row r="735" spans="1:9">
      <c r="A735" s="10" t="str">
        <f t="shared" si="47"/>
        <v/>
      </c>
      <c r="B735" s="53"/>
      <c r="C735" s="28" t="str">
        <f t="shared" si="44"/>
        <v/>
      </c>
      <c r="D735" s="28" t="str">
        <f t="shared" si="45"/>
        <v/>
      </c>
      <c r="E735" s="77"/>
      <c r="F735" s="45"/>
      <c r="G735" s="56"/>
      <c r="H735" s="83"/>
      <c r="I735" s="35" t="str">
        <f t="shared" si="46"/>
        <v/>
      </c>
    </row>
    <row r="736" spans="1:9">
      <c r="A736" s="10" t="str">
        <f t="shared" si="47"/>
        <v/>
      </c>
      <c r="B736" s="53"/>
      <c r="C736" s="28" t="str">
        <f t="shared" si="44"/>
        <v/>
      </c>
      <c r="D736" s="28" t="str">
        <f t="shared" si="45"/>
        <v/>
      </c>
      <c r="E736" s="77"/>
      <c r="F736" s="45"/>
      <c r="G736" s="56"/>
      <c r="H736" s="83"/>
      <c r="I736" s="35" t="str">
        <f t="shared" si="46"/>
        <v/>
      </c>
    </row>
    <row r="737" spans="1:9">
      <c r="A737" s="10" t="str">
        <f t="shared" si="47"/>
        <v/>
      </c>
      <c r="B737" s="53"/>
      <c r="C737" s="28" t="str">
        <f t="shared" si="44"/>
        <v/>
      </c>
      <c r="D737" s="28" t="str">
        <f t="shared" si="45"/>
        <v/>
      </c>
      <c r="E737" s="77"/>
      <c r="F737" s="45"/>
      <c r="G737" s="56"/>
      <c r="H737" s="83"/>
      <c r="I737" s="35" t="str">
        <f t="shared" si="46"/>
        <v/>
      </c>
    </row>
    <row r="738" spans="1:9">
      <c r="A738" s="10" t="str">
        <f t="shared" si="47"/>
        <v/>
      </c>
      <c r="B738" s="53"/>
      <c r="C738" s="28" t="str">
        <f t="shared" si="44"/>
        <v/>
      </c>
      <c r="D738" s="28" t="str">
        <f t="shared" si="45"/>
        <v/>
      </c>
      <c r="E738" s="77"/>
      <c r="F738" s="45"/>
      <c r="G738" s="56"/>
      <c r="H738" s="83"/>
      <c r="I738" s="35" t="str">
        <f t="shared" si="46"/>
        <v/>
      </c>
    </row>
    <row r="739" spans="1:9">
      <c r="A739" s="10" t="str">
        <f t="shared" si="47"/>
        <v/>
      </c>
      <c r="B739" s="53"/>
      <c r="C739" s="28" t="str">
        <f t="shared" si="44"/>
        <v/>
      </c>
      <c r="D739" s="28" t="str">
        <f t="shared" si="45"/>
        <v/>
      </c>
      <c r="E739" s="77"/>
      <c r="F739" s="45"/>
      <c r="G739" s="56"/>
      <c r="H739" s="83"/>
      <c r="I739" s="35" t="str">
        <f t="shared" si="46"/>
        <v/>
      </c>
    </row>
    <row r="740" spans="1:9">
      <c r="A740" s="10" t="str">
        <f t="shared" si="47"/>
        <v/>
      </c>
      <c r="B740" s="53"/>
      <c r="C740" s="28" t="str">
        <f t="shared" si="44"/>
        <v/>
      </c>
      <c r="D740" s="28" t="str">
        <f t="shared" si="45"/>
        <v/>
      </c>
      <c r="E740" s="77"/>
      <c r="F740" s="45"/>
      <c r="G740" s="56"/>
      <c r="H740" s="83"/>
      <c r="I740" s="35" t="str">
        <f t="shared" si="46"/>
        <v/>
      </c>
    </row>
    <row r="741" spans="1:9">
      <c r="A741" s="10" t="str">
        <f t="shared" si="47"/>
        <v/>
      </c>
      <c r="B741" s="53"/>
      <c r="C741" s="28" t="str">
        <f t="shared" si="44"/>
        <v/>
      </c>
      <c r="D741" s="28" t="str">
        <f t="shared" si="45"/>
        <v/>
      </c>
      <c r="E741" s="77"/>
      <c r="F741" s="45"/>
      <c r="G741" s="56"/>
      <c r="H741" s="83"/>
      <c r="I741" s="35" t="str">
        <f t="shared" si="46"/>
        <v/>
      </c>
    </row>
    <row r="742" spans="1:9">
      <c r="A742" s="10" t="str">
        <f t="shared" si="47"/>
        <v/>
      </c>
      <c r="B742" s="53"/>
      <c r="C742" s="28" t="str">
        <f t="shared" si="44"/>
        <v/>
      </c>
      <c r="D742" s="28" t="str">
        <f t="shared" si="45"/>
        <v/>
      </c>
      <c r="E742" s="77"/>
      <c r="F742" s="45"/>
      <c r="G742" s="56"/>
      <c r="H742" s="83"/>
      <c r="I742" s="35" t="str">
        <f t="shared" si="46"/>
        <v/>
      </c>
    </row>
    <row r="743" spans="1:9">
      <c r="A743" s="10" t="str">
        <f t="shared" si="47"/>
        <v/>
      </c>
      <c r="B743" s="53"/>
      <c r="C743" s="28" t="str">
        <f t="shared" si="44"/>
        <v/>
      </c>
      <c r="D743" s="28" t="str">
        <f t="shared" si="45"/>
        <v/>
      </c>
      <c r="E743" s="77"/>
      <c r="F743" s="45"/>
      <c r="G743" s="56"/>
      <c r="H743" s="83"/>
      <c r="I743" s="35" t="str">
        <f t="shared" si="46"/>
        <v/>
      </c>
    </row>
    <row r="744" spans="1:9">
      <c r="A744" s="10" t="str">
        <f t="shared" si="47"/>
        <v/>
      </c>
      <c r="B744" s="53"/>
      <c r="C744" s="28" t="str">
        <f t="shared" si="44"/>
        <v/>
      </c>
      <c r="D744" s="28" t="str">
        <f t="shared" si="45"/>
        <v/>
      </c>
      <c r="E744" s="77"/>
      <c r="F744" s="45"/>
      <c r="G744" s="56"/>
      <c r="H744" s="83"/>
      <c r="I744" s="35" t="str">
        <f t="shared" si="46"/>
        <v/>
      </c>
    </row>
    <row r="745" spans="1:9">
      <c r="A745" s="10" t="str">
        <f t="shared" si="47"/>
        <v/>
      </c>
      <c r="B745" s="53"/>
      <c r="C745" s="28" t="str">
        <f t="shared" si="44"/>
        <v/>
      </c>
      <c r="D745" s="28" t="str">
        <f t="shared" si="45"/>
        <v/>
      </c>
      <c r="E745" s="77"/>
      <c r="F745" s="45"/>
      <c r="G745" s="56"/>
      <c r="H745" s="83"/>
      <c r="I745" s="35" t="str">
        <f t="shared" si="46"/>
        <v/>
      </c>
    </row>
    <row r="746" spans="1:9">
      <c r="A746" s="10" t="str">
        <f t="shared" si="47"/>
        <v/>
      </c>
      <c r="B746" s="53"/>
      <c r="C746" s="28" t="str">
        <f t="shared" si="44"/>
        <v/>
      </c>
      <c r="D746" s="28" t="str">
        <f t="shared" si="45"/>
        <v/>
      </c>
      <c r="E746" s="77"/>
      <c r="F746" s="45"/>
      <c r="G746" s="56"/>
      <c r="H746" s="83"/>
      <c r="I746" s="35" t="str">
        <f t="shared" si="46"/>
        <v/>
      </c>
    </row>
    <row r="747" spans="1:9">
      <c r="A747" s="10" t="str">
        <f t="shared" si="47"/>
        <v/>
      </c>
      <c r="B747" s="53"/>
      <c r="C747" s="28" t="str">
        <f t="shared" si="44"/>
        <v/>
      </c>
      <c r="D747" s="28" t="str">
        <f t="shared" si="45"/>
        <v/>
      </c>
      <c r="E747" s="77"/>
      <c r="F747" s="45"/>
      <c r="G747" s="56"/>
      <c r="H747" s="83"/>
      <c r="I747" s="35" t="str">
        <f t="shared" si="46"/>
        <v/>
      </c>
    </row>
    <row r="748" spans="1:9">
      <c r="A748" s="10" t="str">
        <f t="shared" si="47"/>
        <v/>
      </c>
      <c r="B748" s="53"/>
      <c r="C748" s="28" t="str">
        <f t="shared" si="44"/>
        <v/>
      </c>
      <c r="D748" s="28" t="str">
        <f t="shared" si="45"/>
        <v/>
      </c>
      <c r="E748" s="77"/>
      <c r="F748" s="45"/>
      <c r="G748" s="56"/>
      <c r="H748" s="83"/>
      <c r="I748" s="35" t="str">
        <f t="shared" si="46"/>
        <v/>
      </c>
    </row>
    <row r="749" spans="1:9">
      <c r="A749" s="10" t="str">
        <f t="shared" si="47"/>
        <v/>
      </c>
      <c r="B749" s="53"/>
      <c r="C749" s="28" t="str">
        <f t="shared" si="44"/>
        <v/>
      </c>
      <c r="D749" s="28" t="str">
        <f t="shared" si="45"/>
        <v/>
      </c>
      <c r="E749" s="77"/>
      <c r="F749" s="45"/>
      <c r="G749" s="56"/>
      <c r="H749" s="83"/>
      <c r="I749" s="35" t="str">
        <f t="shared" si="46"/>
        <v/>
      </c>
    </row>
    <row r="750" spans="1:9">
      <c r="A750" s="10" t="str">
        <f t="shared" si="47"/>
        <v/>
      </c>
      <c r="B750" s="53"/>
      <c r="C750" s="28" t="str">
        <f t="shared" si="44"/>
        <v/>
      </c>
      <c r="D750" s="28" t="str">
        <f t="shared" si="45"/>
        <v/>
      </c>
      <c r="E750" s="77"/>
      <c r="F750" s="45"/>
      <c r="G750" s="56"/>
      <c r="H750" s="83"/>
      <c r="I750" s="35" t="str">
        <f t="shared" si="46"/>
        <v/>
      </c>
    </row>
    <row r="751" spans="1:9">
      <c r="A751" s="10" t="str">
        <f t="shared" si="47"/>
        <v/>
      </c>
      <c r="B751" s="53"/>
      <c r="C751" s="28" t="str">
        <f t="shared" si="44"/>
        <v/>
      </c>
      <c r="D751" s="28" t="str">
        <f t="shared" si="45"/>
        <v/>
      </c>
      <c r="E751" s="77"/>
      <c r="F751" s="45"/>
      <c r="G751" s="56"/>
      <c r="H751" s="83"/>
      <c r="I751" s="35" t="str">
        <f t="shared" si="46"/>
        <v/>
      </c>
    </row>
    <row r="752" spans="1:9">
      <c r="A752" s="10" t="str">
        <f t="shared" si="47"/>
        <v/>
      </c>
      <c r="B752" s="53"/>
      <c r="C752" s="28" t="str">
        <f t="shared" si="44"/>
        <v/>
      </c>
      <c r="D752" s="28" t="str">
        <f t="shared" si="45"/>
        <v/>
      </c>
      <c r="E752" s="77"/>
      <c r="F752" s="45"/>
      <c r="G752" s="56"/>
      <c r="H752" s="83"/>
      <c r="I752" s="35" t="str">
        <f t="shared" si="46"/>
        <v/>
      </c>
    </row>
    <row r="753" spans="1:9">
      <c r="A753" s="10" t="str">
        <f t="shared" si="47"/>
        <v/>
      </c>
      <c r="B753" s="53"/>
      <c r="C753" s="28" t="str">
        <f t="shared" si="44"/>
        <v/>
      </c>
      <c r="D753" s="28" t="str">
        <f t="shared" si="45"/>
        <v/>
      </c>
      <c r="E753" s="77"/>
      <c r="F753" s="45"/>
      <c r="G753" s="56"/>
      <c r="H753" s="83"/>
      <c r="I753" s="35" t="str">
        <f t="shared" si="46"/>
        <v/>
      </c>
    </row>
    <row r="754" spans="1:9">
      <c r="A754" s="10" t="str">
        <f t="shared" si="47"/>
        <v/>
      </c>
      <c r="B754" s="53"/>
      <c r="C754" s="28" t="str">
        <f t="shared" si="44"/>
        <v/>
      </c>
      <c r="D754" s="28" t="str">
        <f t="shared" si="45"/>
        <v/>
      </c>
      <c r="E754" s="77"/>
      <c r="F754" s="45"/>
      <c r="G754" s="56"/>
      <c r="H754" s="83"/>
      <c r="I754" s="35" t="str">
        <f t="shared" si="46"/>
        <v/>
      </c>
    </row>
    <row r="755" spans="1:9">
      <c r="A755" s="10" t="str">
        <f t="shared" si="47"/>
        <v/>
      </c>
      <c r="B755" s="53"/>
      <c r="C755" s="28" t="str">
        <f t="shared" si="44"/>
        <v/>
      </c>
      <c r="D755" s="28" t="str">
        <f t="shared" si="45"/>
        <v/>
      </c>
      <c r="E755" s="77"/>
      <c r="F755" s="45"/>
      <c r="G755" s="56"/>
      <c r="H755" s="83"/>
      <c r="I755" s="35" t="str">
        <f t="shared" si="46"/>
        <v/>
      </c>
    </row>
    <row r="756" spans="1:9">
      <c r="A756" s="10" t="str">
        <f t="shared" si="47"/>
        <v/>
      </c>
      <c r="B756" s="53"/>
      <c r="C756" s="28" t="str">
        <f t="shared" si="44"/>
        <v/>
      </c>
      <c r="D756" s="28" t="str">
        <f t="shared" si="45"/>
        <v/>
      </c>
      <c r="E756" s="77"/>
      <c r="F756" s="45"/>
      <c r="G756" s="56"/>
      <c r="H756" s="83"/>
      <c r="I756" s="35" t="str">
        <f t="shared" si="46"/>
        <v/>
      </c>
    </row>
    <row r="757" spans="1:9">
      <c r="A757" s="10" t="str">
        <f t="shared" si="47"/>
        <v/>
      </c>
      <c r="B757" s="53"/>
      <c r="C757" s="28" t="str">
        <f t="shared" si="44"/>
        <v/>
      </c>
      <c r="D757" s="28" t="str">
        <f t="shared" si="45"/>
        <v/>
      </c>
      <c r="E757" s="77"/>
      <c r="F757" s="45"/>
      <c r="G757" s="56"/>
      <c r="H757" s="83"/>
      <c r="I757" s="35" t="str">
        <f t="shared" si="46"/>
        <v/>
      </c>
    </row>
    <row r="758" spans="1:9">
      <c r="A758" s="10" t="str">
        <f t="shared" si="47"/>
        <v/>
      </c>
      <c r="B758" s="53"/>
      <c r="C758" s="28" t="str">
        <f t="shared" si="44"/>
        <v/>
      </c>
      <c r="D758" s="28" t="str">
        <f t="shared" si="45"/>
        <v/>
      </c>
      <c r="E758" s="77"/>
      <c r="F758" s="45"/>
      <c r="G758" s="56"/>
      <c r="H758" s="83"/>
      <c r="I758" s="35" t="str">
        <f t="shared" si="46"/>
        <v/>
      </c>
    </row>
    <row r="759" spans="1:9">
      <c r="A759" s="10" t="str">
        <f t="shared" si="47"/>
        <v/>
      </c>
      <c r="B759" s="53"/>
      <c r="C759" s="28" t="str">
        <f t="shared" si="44"/>
        <v/>
      </c>
      <c r="D759" s="28" t="str">
        <f t="shared" si="45"/>
        <v/>
      </c>
      <c r="E759" s="77"/>
      <c r="F759" s="45"/>
      <c r="G759" s="56"/>
      <c r="H759" s="83"/>
      <c r="I759" s="35" t="str">
        <f t="shared" si="46"/>
        <v/>
      </c>
    </row>
    <row r="760" spans="1:9">
      <c r="A760" s="10" t="str">
        <f t="shared" si="47"/>
        <v/>
      </c>
      <c r="B760" s="53"/>
      <c r="C760" s="28" t="str">
        <f t="shared" si="44"/>
        <v/>
      </c>
      <c r="D760" s="28" t="str">
        <f t="shared" si="45"/>
        <v/>
      </c>
      <c r="E760" s="77"/>
      <c r="F760" s="45"/>
      <c r="G760" s="56"/>
      <c r="H760" s="83"/>
      <c r="I760" s="35" t="str">
        <f t="shared" si="46"/>
        <v/>
      </c>
    </row>
    <row r="761" spans="1:9">
      <c r="A761" s="10" t="str">
        <f t="shared" si="47"/>
        <v/>
      </c>
      <c r="B761" s="53"/>
      <c r="C761" s="28" t="str">
        <f t="shared" si="44"/>
        <v/>
      </c>
      <c r="D761" s="28" t="str">
        <f t="shared" si="45"/>
        <v/>
      </c>
      <c r="E761" s="77"/>
      <c r="F761" s="45"/>
      <c r="G761" s="56"/>
      <c r="H761" s="83"/>
      <c r="I761" s="35" t="str">
        <f t="shared" si="46"/>
        <v/>
      </c>
    </row>
    <row r="762" spans="1:9">
      <c r="A762" s="10" t="str">
        <f t="shared" si="47"/>
        <v/>
      </c>
      <c r="B762" s="53"/>
      <c r="C762" s="28" t="str">
        <f t="shared" si="44"/>
        <v/>
      </c>
      <c r="D762" s="28" t="str">
        <f t="shared" si="45"/>
        <v/>
      </c>
      <c r="E762" s="77"/>
      <c r="F762" s="45"/>
      <c r="G762" s="56"/>
      <c r="H762" s="83"/>
      <c r="I762" s="35" t="str">
        <f t="shared" si="46"/>
        <v/>
      </c>
    </row>
    <row r="763" spans="1:9">
      <c r="A763" s="10" t="str">
        <f t="shared" si="47"/>
        <v/>
      </c>
      <c r="B763" s="53"/>
      <c r="C763" s="28" t="str">
        <f t="shared" si="44"/>
        <v/>
      </c>
      <c r="D763" s="28" t="str">
        <f t="shared" si="45"/>
        <v/>
      </c>
      <c r="E763" s="77"/>
      <c r="F763" s="45"/>
      <c r="G763" s="56"/>
      <c r="H763" s="83"/>
      <c r="I763" s="35" t="str">
        <f t="shared" si="46"/>
        <v/>
      </c>
    </row>
    <row r="764" spans="1:9">
      <c r="A764" s="10" t="str">
        <f t="shared" si="47"/>
        <v/>
      </c>
      <c r="B764" s="53"/>
      <c r="C764" s="28" t="str">
        <f t="shared" si="44"/>
        <v/>
      </c>
      <c r="D764" s="28" t="str">
        <f t="shared" si="45"/>
        <v/>
      </c>
      <c r="E764" s="77"/>
      <c r="F764" s="45"/>
      <c r="G764" s="56"/>
      <c r="H764" s="83"/>
      <c r="I764" s="35" t="str">
        <f t="shared" si="46"/>
        <v/>
      </c>
    </row>
    <row r="765" spans="1:9">
      <c r="A765" s="10" t="str">
        <f t="shared" si="47"/>
        <v/>
      </c>
      <c r="B765" s="53"/>
      <c r="C765" s="28" t="str">
        <f t="shared" si="44"/>
        <v/>
      </c>
      <c r="D765" s="28" t="str">
        <f t="shared" si="45"/>
        <v/>
      </c>
      <c r="E765" s="77"/>
      <c r="F765" s="45"/>
      <c r="G765" s="56"/>
      <c r="H765" s="83"/>
      <c r="I765" s="35" t="str">
        <f t="shared" si="46"/>
        <v/>
      </c>
    </row>
    <row r="766" spans="1:9">
      <c r="A766" s="10" t="str">
        <f t="shared" si="47"/>
        <v/>
      </c>
      <c r="B766" s="53"/>
      <c r="C766" s="28" t="str">
        <f t="shared" si="44"/>
        <v/>
      </c>
      <c r="D766" s="28" t="str">
        <f t="shared" si="45"/>
        <v/>
      </c>
      <c r="E766" s="77"/>
      <c r="F766" s="45"/>
      <c r="G766" s="56"/>
      <c r="H766" s="83"/>
      <c r="I766" s="35" t="str">
        <f t="shared" si="46"/>
        <v/>
      </c>
    </row>
    <row r="767" spans="1:9">
      <c r="A767" s="10" t="str">
        <f t="shared" si="47"/>
        <v/>
      </c>
      <c r="B767" s="53"/>
      <c r="C767" s="28" t="str">
        <f t="shared" si="44"/>
        <v/>
      </c>
      <c r="D767" s="28" t="str">
        <f t="shared" si="45"/>
        <v/>
      </c>
      <c r="E767" s="77"/>
      <c r="F767" s="45"/>
      <c r="G767" s="56"/>
      <c r="H767" s="83"/>
      <c r="I767" s="35" t="str">
        <f t="shared" si="46"/>
        <v/>
      </c>
    </row>
    <row r="768" spans="1:9">
      <c r="A768" s="10" t="str">
        <f t="shared" si="47"/>
        <v/>
      </c>
      <c r="B768" s="53"/>
      <c r="C768" s="28" t="str">
        <f t="shared" si="44"/>
        <v/>
      </c>
      <c r="D768" s="28" t="str">
        <f t="shared" si="45"/>
        <v/>
      </c>
      <c r="E768" s="77"/>
      <c r="F768" s="45"/>
      <c r="G768" s="56"/>
      <c r="H768" s="83"/>
      <c r="I768" s="35" t="str">
        <f t="shared" si="46"/>
        <v/>
      </c>
    </row>
    <row r="769" spans="1:9">
      <c r="A769" s="10" t="str">
        <f t="shared" si="47"/>
        <v/>
      </c>
      <c r="B769" s="53"/>
      <c r="C769" s="28" t="str">
        <f t="shared" si="44"/>
        <v/>
      </c>
      <c r="D769" s="28" t="str">
        <f t="shared" si="45"/>
        <v/>
      </c>
      <c r="E769" s="77"/>
      <c r="F769" s="45"/>
      <c r="G769" s="56"/>
      <c r="H769" s="83"/>
      <c r="I769" s="35" t="str">
        <f t="shared" si="46"/>
        <v/>
      </c>
    </row>
    <row r="770" spans="1:9">
      <c r="A770" s="10" t="str">
        <f t="shared" si="47"/>
        <v/>
      </c>
      <c r="B770" s="53"/>
      <c r="C770" s="28" t="str">
        <f t="shared" ref="C770:C833" si="48">IF(B770=0,"",TEXT(B770,"mmmm"))</f>
        <v/>
      </c>
      <c r="D770" s="28" t="str">
        <f t="shared" ref="D770:D833" si="49">IF(B770=0,"",TEXT(B770,"yyyy"))</f>
        <v/>
      </c>
      <c r="E770" s="77"/>
      <c r="F770" s="45"/>
      <c r="G770" s="56"/>
      <c r="H770" s="83"/>
      <c r="I770" s="35" t="str">
        <f t="shared" ref="I770:I833" si="50">IF(G770*H770=0,"",G770*H770)</f>
        <v/>
      </c>
    </row>
    <row r="771" spans="1:9">
      <c r="A771" s="10" t="str">
        <f t="shared" si="47"/>
        <v/>
      </c>
      <c r="B771" s="53"/>
      <c r="C771" s="28" t="str">
        <f t="shared" si="48"/>
        <v/>
      </c>
      <c r="D771" s="28" t="str">
        <f t="shared" si="49"/>
        <v/>
      </c>
      <c r="E771" s="77"/>
      <c r="F771" s="45"/>
      <c r="G771" s="56"/>
      <c r="H771" s="83"/>
      <c r="I771" s="35" t="str">
        <f t="shared" si="50"/>
        <v/>
      </c>
    </row>
    <row r="772" spans="1:9">
      <c r="A772" s="10" t="str">
        <f t="shared" ref="A772:A835" si="51">IF(E772&gt;0,A771+1,"")</f>
        <v/>
      </c>
      <c r="B772" s="53"/>
      <c r="C772" s="28" t="str">
        <f t="shared" si="48"/>
        <v/>
      </c>
      <c r="D772" s="28" t="str">
        <f t="shared" si="49"/>
        <v/>
      </c>
      <c r="E772" s="77"/>
      <c r="F772" s="45"/>
      <c r="G772" s="56"/>
      <c r="H772" s="83"/>
      <c r="I772" s="35" t="str">
        <f t="shared" si="50"/>
        <v/>
      </c>
    </row>
    <row r="773" spans="1:9">
      <c r="A773" s="10" t="str">
        <f t="shared" si="51"/>
        <v/>
      </c>
      <c r="B773" s="53"/>
      <c r="C773" s="28" t="str">
        <f t="shared" si="48"/>
        <v/>
      </c>
      <c r="D773" s="28" t="str">
        <f t="shared" si="49"/>
        <v/>
      </c>
      <c r="E773" s="77"/>
      <c r="F773" s="45"/>
      <c r="G773" s="56"/>
      <c r="H773" s="83"/>
      <c r="I773" s="35" t="str">
        <f t="shared" si="50"/>
        <v/>
      </c>
    </row>
    <row r="774" spans="1:9">
      <c r="A774" s="10" t="str">
        <f t="shared" si="51"/>
        <v/>
      </c>
      <c r="B774" s="53"/>
      <c r="C774" s="28" t="str">
        <f t="shared" si="48"/>
        <v/>
      </c>
      <c r="D774" s="28" t="str">
        <f t="shared" si="49"/>
        <v/>
      </c>
      <c r="E774" s="77"/>
      <c r="F774" s="45"/>
      <c r="G774" s="56"/>
      <c r="H774" s="83"/>
      <c r="I774" s="35" t="str">
        <f t="shared" si="50"/>
        <v/>
      </c>
    </row>
    <row r="775" spans="1:9">
      <c r="A775" s="10" t="str">
        <f t="shared" si="51"/>
        <v/>
      </c>
      <c r="B775" s="53"/>
      <c r="C775" s="28" t="str">
        <f t="shared" si="48"/>
        <v/>
      </c>
      <c r="D775" s="28" t="str">
        <f t="shared" si="49"/>
        <v/>
      </c>
      <c r="E775" s="77"/>
      <c r="F775" s="45"/>
      <c r="G775" s="56"/>
      <c r="H775" s="83"/>
      <c r="I775" s="35" t="str">
        <f t="shared" si="50"/>
        <v/>
      </c>
    </row>
    <row r="776" spans="1:9">
      <c r="A776" s="10" t="str">
        <f t="shared" si="51"/>
        <v/>
      </c>
      <c r="B776" s="53"/>
      <c r="C776" s="28" t="str">
        <f t="shared" si="48"/>
        <v/>
      </c>
      <c r="D776" s="28" t="str">
        <f t="shared" si="49"/>
        <v/>
      </c>
      <c r="E776" s="77"/>
      <c r="F776" s="45"/>
      <c r="G776" s="56"/>
      <c r="H776" s="83"/>
      <c r="I776" s="35" t="str">
        <f t="shared" si="50"/>
        <v/>
      </c>
    </row>
    <row r="777" spans="1:9">
      <c r="A777" s="10" t="str">
        <f t="shared" si="51"/>
        <v/>
      </c>
      <c r="B777" s="53"/>
      <c r="C777" s="28" t="str">
        <f t="shared" si="48"/>
        <v/>
      </c>
      <c r="D777" s="28" t="str">
        <f t="shared" si="49"/>
        <v/>
      </c>
      <c r="E777" s="77"/>
      <c r="F777" s="45"/>
      <c r="G777" s="56"/>
      <c r="H777" s="83"/>
      <c r="I777" s="35" t="str">
        <f t="shared" si="50"/>
        <v/>
      </c>
    </row>
    <row r="778" spans="1:9">
      <c r="A778" s="10" t="str">
        <f t="shared" si="51"/>
        <v/>
      </c>
      <c r="B778" s="53"/>
      <c r="C778" s="28" t="str">
        <f t="shared" si="48"/>
        <v/>
      </c>
      <c r="D778" s="28" t="str">
        <f t="shared" si="49"/>
        <v/>
      </c>
      <c r="E778" s="77"/>
      <c r="F778" s="45"/>
      <c r="G778" s="56"/>
      <c r="H778" s="83"/>
      <c r="I778" s="35" t="str">
        <f t="shared" si="50"/>
        <v/>
      </c>
    </row>
    <row r="779" spans="1:9">
      <c r="A779" s="10" t="str">
        <f t="shared" si="51"/>
        <v/>
      </c>
      <c r="B779" s="53"/>
      <c r="C779" s="28" t="str">
        <f t="shared" si="48"/>
        <v/>
      </c>
      <c r="D779" s="28" t="str">
        <f t="shared" si="49"/>
        <v/>
      </c>
      <c r="E779" s="77"/>
      <c r="F779" s="45"/>
      <c r="G779" s="56"/>
      <c r="H779" s="83"/>
      <c r="I779" s="35" t="str">
        <f t="shared" si="50"/>
        <v/>
      </c>
    </row>
    <row r="780" spans="1:9">
      <c r="A780" s="10" t="str">
        <f t="shared" si="51"/>
        <v/>
      </c>
      <c r="B780" s="53"/>
      <c r="C780" s="28" t="str">
        <f t="shared" si="48"/>
        <v/>
      </c>
      <c r="D780" s="28" t="str">
        <f t="shared" si="49"/>
        <v/>
      </c>
      <c r="E780" s="77"/>
      <c r="F780" s="45"/>
      <c r="G780" s="56"/>
      <c r="H780" s="83"/>
      <c r="I780" s="35" t="str">
        <f t="shared" si="50"/>
        <v/>
      </c>
    </row>
    <row r="781" spans="1:9">
      <c r="A781" s="10" t="str">
        <f t="shared" si="51"/>
        <v/>
      </c>
      <c r="B781" s="53"/>
      <c r="C781" s="28" t="str">
        <f t="shared" si="48"/>
        <v/>
      </c>
      <c r="D781" s="28" t="str">
        <f t="shared" si="49"/>
        <v/>
      </c>
      <c r="E781" s="77"/>
      <c r="F781" s="45"/>
      <c r="G781" s="56"/>
      <c r="H781" s="83"/>
      <c r="I781" s="35" t="str">
        <f t="shared" si="50"/>
        <v/>
      </c>
    </row>
    <row r="782" spans="1:9">
      <c r="A782" s="10" t="str">
        <f t="shared" si="51"/>
        <v/>
      </c>
      <c r="B782" s="53"/>
      <c r="C782" s="28" t="str">
        <f t="shared" si="48"/>
        <v/>
      </c>
      <c r="D782" s="28" t="str">
        <f t="shared" si="49"/>
        <v/>
      </c>
      <c r="E782" s="77"/>
      <c r="F782" s="45"/>
      <c r="G782" s="56"/>
      <c r="H782" s="83"/>
      <c r="I782" s="35" t="str">
        <f t="shared" si="50"/>
        <v/>
      </c>
    </row>
    <row r="783" spans="1:9">
      <c r="A783" s="10" t="str">
        <f t="shared" si="51"/>
        <v/>
      </c>
      <c r="B783" s="53"/>
      <c r="C783" s="28" t="str">
        <f t="shared" si="48"/>
        <v/>
      </c>
      <c r="D783" s="28" t="str">
        <f t="shared" si="49"/>
        <v/>
      </c>
      <c r="E783" s="77"/>
      <c r="F783" s="45"/>
      <c r="G783" s="56"/>
      <c r="H783" s="83"/>
      <c r="I783" s="35" t="str">
        <f t="shared" si="50"/>
        <v/>
      </c>
    </row>
    <row r="784" spans="1:9">
      <c r="A784" s="10" t="str">
        <f t="shared" si="51"/>
        <v/>
      </c>
      <c r="B784" s="53"/>
      <c r="C784" s="28" t="str">
        <f t="shared" si="48"/>
        <v/>
      </c>
      <c r="D784" s="28" t="str">
        <f t="shared" si="49"/>
        <v/>
      </c>
      <c r="E784" s="77"/>
      <c r="F784" s="45"/>
      <c r="G784" s="56"/>
      <c r="H784" s="83"/>
      <c r="I784" s="35" t="str">
        <f t="shared" si="50"/>
        <v/>
      </c>
    </row>
    <row r="785" spans="1:9">
      <c r="A785" s="10" t="str">
        <f t="shared" si="51"/>
        <v/>
      </c>
      <c r="B785" s="53"/>
      <c r="C785" s="28" t="str">
        <f t="shared" si="48"/>
        <v/>
      </c>
      <c r="D785" s="28" t="str">
        <f t="shared" si="49"/>
        <v/>
      </c>
      <c r="E785" s="77"/>
      <c r="F785" s="45"/>
      <c r="G785" s="56"/>
      <c r="H785" s="83"/>
      <c r="I785" s="35" t="str">
        <f t="shared" si="50"/>
        <v/>
      </c>
    </row>
    <row r="786" spans="1:9">
      <c r="A786" s="10" t="str">
        <f t="shared" si="51"/>
        <v/>
      </c>
      <c r="B786" s="53"/>
      <c r="C786" s="28" t="str">
        <f t="shared" si="48"/>
        <v/>
      </c>
      <c r="D786" s="28" t="str">
        <f t="shared" si="49"/>
        <v/>
      </c>
      <c r="E786" s="77"/>
      <c r="F786" s="45"/>
      <c r="G786" s="56"/>
      <c r="H786" s="83"/>
      <c r="I786" s="35" t="str">
        <f t="shared" si="50"/>
        <v/>
      </c>
    </row>
    <row r="787" spans="1:9">
      <c r="A787" s="10" t="str">
        <f t="shared" si="51"/>
        <v/>
      </c>
      <c r="B787" s="53"/>
      <c r="C787" s="28" t="str">
        <f t="shared" si="48"/>
        <v/>
      </c>
      <c r="D787" s="28" t="str">
        <f t="shared" si="49"/>
        <v/>
      </c>
      <c r="E787" s="77"/>
      <c r="F787" s="45"/>
      <c r="G787" s="56"/>
      <c r="H787" s="83"/>
      <c r="I787" s="35" t="str">
        <f t="shared" si="50"/>
        <v/>
      </c>
    </row>
    <row r="788" spans="1:9">
      <c r="A788" s="10" t="str">
        <f t="shared" si="51"/>
        <v/>
      </c>
      <c r="B788" s="53"/>
      <c r="C788" s="28" t="str">
        <f t="shared" si="48"/>
        <v/>
      </c>
      <c r="D788" s="28" t="str">
        <f t="shared" si="49"/>
        <v/>
      </c>
      <c r="E788" s="77"/>
      <c r="F788" s="45"/>
      <c r="G788" s="56"/>
      <c r="H788" s="83"/>
      <c r="I788" s="35" t="str">
        <f t="shared" si="50"/>
        <v/>
      </c>
    </row>
    <row r="789" spans="1:9">
      <c r="A789" s="10" t="str">
        <f t="shared" si="51"/>
        <v/>
      </c>
      <c r="B789" s="53"/>
      <c r="C789" s="28" t="str">
        <f t="shared" si="48"/>
        <v/>
      </c>
      <c r="D789" s="28" t="str">
        <f t="shared" si="49"/>
        <v/>
      </c>
      <c r="E789" s="77"/>
      <c r="F789" s="45"/>
      <c r="G789" s="56"/>
      <c r="H789" s="83"/>
      <c r="I789" s="35" t="str">
        <f t="shared" si="50"/>
        <v/>
      </c>
    </row>
    <row r="790" spans="1:9">
      <c r="A790" s="10" t="str">
        <f t="shared" si="51"/>
        <v/>
      </c>
      <c r="B790" s="53"/>
      <c r="C790" s="28" t="str">
        <f t="shared" si="48"/>
        <v/>
      </c>
      <c r="D790" s="28" t="str">
        <f t="shared" si="49"/>
        <v/>
      </c>
      <c r="E790" s="77"/>
      <c r="F790" s="45"/>
      <c r="G790" s="56"/>
      <c r="H790" s="83"/>
      <c r="I790" s="35" t="str">
        <f t="shared" si="50"/>
        <v/>
      </c>
    </row>
    <row r="791" spans="1:9">
      <c r="A791" s="10" t="str">
        <f t="shared" si="51"/>
        <v/>
      </c>
      <c r="B791" s="53"/>
      <c r="C791" s="28" t="str">
        <f t="shared" si="48"/>
        <v/>
      </c>
      <c r="D791" s="28" t="str">
        <f t="shared" si="49"/>
        <v/>
      </c>
      <c r="E791" s="77"/>
      <c r="F791" s="45"/>
      <c r="G791" s="56"/>
      <c r="H791" s="83"/>
      <c r="I791" s="35" t="str">
        <f t="shared" si="50"/>
        <v/>
      </c>
    </row>
    <row r="792" spans="1:9">
      <c r="A792" s="10" t="str">
        <f t="shared" si="51"/>
        <v/>
      </c>
      <c r="B792" s="53"/>
      <c r="C792" s="28" t="str">
        <f t="shared" si="48"/>
        <v/>
      </c>
      <c r="D792" s="28" t="str">
        <f t="shared" si="49"/>
        <v/>
      </c>
      <c r="E792" s="77"/>
      <c r="F792" s="45"/>
      <c r="G792" s="56"/>
      <c r="H792" s="83"/>
      <c r="I792" s="35" t="str">
        <f t="shared" si="50"/>
        <v/>
      </c>
    </row>
    <row r="793" spans="1:9">
      <c r="A793" s="10" t="str">
        <f t="shared" si="51"/>
        <v/>
      </c>
      <c r="B793" s="53"/>
      <c r="C793" s="28" t="str">
        <f t="shared" si="48"/>
        <v/>
      </c>
      <c r="D793" s="28" t="str">
        <f t="shared" si="49"/>
        <v/>
      </c>
      <c r="E793" s="77"/>
      <c r="F793" s="45"/>
      <c r="G793" s="56"/>
      <c r="H793" s="83"/>
      <c r="I793" s="35" t="str">
        <f t="shared" si="50"/>
        <v/>
      </c>
    </row>
    <row r="794" spans="1:9">
      <c r="A794" s="10" t="str">
        <f t="shared" si="51"/>
        <v/>
      </c>
      <c r="B794" s="53"/>
      <c r="C794" s="28" t="str">
        <f t="shared" si="48"/>
        <v/>
      </c>
      <c r="D794" s="28" t="str">
        <f t="shared" si="49"/>
        <v/>
      </c>
      <c r="E794" s="77"/>
      <c r="F794" s="45"/>
      <c r="G794" s="56"/>
      <c r="H794" s="83"/>
      <c r="I794" s="35" t="str">
        <f t="shared" si="50"/>
        <v/>
      </c>
    </row>
    <row r="795" spans="1:9">
      <c r="A795" s="10" t="str">
        <f t="shared" si="51"/>
        <v/>
      </c>
      <c r="B795" s="53"/>
      <c r="C795" s="28" t="str">
        <f t="shared" si="48"/>
        <v/>
      </c>
      <c r="D795" s="28" t="str">
        <f t="shared" si="49"/>
        <v/>
      </c>
      <c r="E795" s="77"/>
      <c r="F795" s="45"/>
      <c r="G795" s="56"/>
      <c r="H795" s="83"/>
      <c r="I795" s="35" t="str">
        <f t="shared" si="50"/>
        <v/>
      </c>
    </row>
    <row r="796" spans="1:9">
      <c r="A796" s="10" t="str">
        <f t="shared" si="51"/>
        <v/>
      </c>
      <c r="B796" s="53"/>
      <c r="C796" s="28" t="str">
        <f t="shared" si="48"/>
        <v/>
      </c>
      <c r="D796" s="28" t="str">
        <f t="shared" si="49"/>
        <v/>
      </c>
      <c r="E796" s="77"/>
      <c r="F796" s="45"/>
      <c r="G796" s="56"/>
      <c r="H796" s="83"/>
      <c r="I796" s="35" t="str">
        <f t="shared" si="50"/>
        <v/>
      </c>
    </row>
    <row r="797" spans="1:9">
      <c r="A797" s="10" t="str">
        <f t="shared" si="51"/>
        <v/>
      </c>
      <c r="B797" s="53"/>
      <c r="C797" s="28" t="str">
        <f t="shared" si="48"/>
        <v/>
      </c>
      <c r="D797" s="28" t="str">
        <f t="shared" si="49"/>
        <v/>
      </c>
      <c r="E797" s="77"/>
      <c r="F797" s="45"/>
      <c r="G797" s="56"/>
      <c r="H797" s="83"/>
      <c r="I797" s="35" t="str">
        <f t="shared" si="50"/>
        <v/>
      </c>
    </row>
    <row r="798" spans="1:9">
      <c r="A798" s="10" t="str">
        <f t="shared" si="51"/>
        <v/>
      </c>
      <c r="B798" s="53"/>
      <c r="C798" s="28" t="str">
        <f t="shared" si="48"/>
        <v/>
      </c>
      <c r="D798" s="28" t="str">
        <f t="shared" si="49"/>
        <v/>
      </c>
      <c r="E798" s="77"/>
      <c r="F798" s="45"/>
      <c r="G798" s="56"/>
      <c r="H798" s="83"/>
      <c r="I798" s="35" t="str">
        <f t="shared" si="50"/>
        <v/>
      </c>
    </row>
    <row r="799" spans="1:9">
      <c r="A799" s="10" t="str">
        <f t="shared" si="51"/>
        <v/>
      </c>
      <c r="B799" s="53"/>
      <c r="C799" s="28" t="str">
        <f t="shared" si="48"/>
        <v/>
      </c>
      <c r="D799" s="28" t="str">
        <f t="shared" si="49"/>
        <v/>
      </c>
      <c r="E799" s="77"/>
      <c r="F799" s="45"/>
      <c r="G799" s="56"/>
      <c r="H799" s="83"/>
      <c r="I799" s="35" t="str">
        <f t="shared" si="50"/>
        <v/>
      </c>
    </row>
    <row r="800" spans="1:9">
      <c r="A800" s="10" t="str">
        <f t="shared" si="51"/>
        <v/>
      </c>
      <c r="B800" s="53"/>
      <c r="C800" s="28" t="str">
        <f t="shared" si="48"/>
        <v/>
      </c>
      <c r="D800" s="28" t="str">
        <f t="shared" si="49"/>
        <v/>
      </c>
      <c r="E800" s="77"/>
      <c r="F800" s="45"/>
      <c r="G800" s="56"/>
      <c r="H800" s="83"/>
      <c r="I800" s="35" t="str">
        <f t="shared" si="50"/>
        <v/>
      </c>
    </row>
    <row r="801" spans="1:9">
      <c r="A801" s="10" t="str">
        <f t="shared" si="51"/>
        <v/>
      </c>
      <c r="B801" s="53"/>
      <c r="C801" s="28" t="str">
        <f t="shared" si="48"/>
        <v/>
      </c>
      <c r="D801" s="28" t="str">
        <f t="shared" si="49"/>
        <v/>
      </c>
      <c r="E801" s="77"/>
      <c r="F801" s="45"/>
      <c r="G801" s="56"/>
      <c r="H801" s="83"/>
      <c r="I801" s="35" t="str">
        <f t="shared" si="50"/>
        <v/>
      </c>
    </row>
    <row r="802" spans="1:9">
      <c r="A802" s="10" t="str">
        <f t="shared" si="51"/>
        <v/>
      </c>
      <c r="B802" s="53"/>
      <c r="C802" s="28" t="str">
        <f t="shared" si="48"/>
        <v/>
      </c>
      <c r="D802" s="28" t="str">
        <f t="shared" si="49"/>
        <v/>
      </c>
      <c r="E802" s="77"/>
      <c r="F802" s="45"/>
      <c r="G802" s="56"/>
      <c r="H802" s="83"/>
      <c r="I802" s="35" t="str">
        <f t="shared" si="50"/>
        <v/>
      </c>
    </row>
    <row r="803" spans="1:9">
      <c r="A803" s="10" t="str">
        <f t="shared" si="51"/>
        <v/>
      </c>
      <c r="B803" s="53"/>
      <c r="C803" s="28" t="str">
        <f t="shared" si="48"/>
        <v/>
      </c>
      <c r="D803" s="28" t="str">
        <f t="shared" si="49"/>
        <v/>
      </c>
      <c r="E803" s="77"/>
      <c r="F803" s="45"/>
      <c r="G803" s="56"/>
      <c r="H803" s="83"/>
      <c r="I803" s="35" t="str">
        <f t="shared" si="50"/>
        <v/>
      </c>
    </row>
    <row r="804" spans="1:9">
      <c r="A804" s="10" t="str">
        <f t="shared" si="51"/>
        <v/>
      </c>
      <c r="B804" s="53"/>
      <c r="C804" s="28" t="str">
        <f t="shared" si="48"/>
        <v/>
      </c>
      <c r="D804" s="28" t="str">
        <f t="shared" si="49"/>
        <v/>
      </c>
      <c r="E804" s="77"/>
      <c r="F804" s="45"/>
      <c r="G804" s="56"/>
      <c r="H804" s="83"/>
      <c r="I804" s="35" t="str">
        <f t="shared" si="50"/>
        <v/>
      </c>
    </row>
    <row r="805" spans="1:9">
      <c r="A805" s="10" t="str">
        <f t="shared" si="51"/>
        <v/>
      </c>
      <c r="B805" s="53"/>
      <c r="C805" s="28" t="str">
        <f t="shared" si="48"/>
        <v/>
      </c>
      <c r="D805" s="28" t="str">
        <f t="shared" si="49"/>
        <v/>
      </c>
      <c r="E805" s="77"/>
      <c r="F805" s="45"/>
      <c r="G805" s="56"/>
      <c r="H805" s="83"/>
      <c r="I805" s="35" t="str">
        <f t="shared" si="50"/>
        <v/>
      </c>
    </row>
    <row r="806" spans="1:9">
      <c r="A806" s="10" t="str">
        <f t="shared" si="51"/>
        <v/>
      </c>
      <c r="B806" s="53"/>
      <c r="C806" s="28" t="str">
        <f t="shared" si="48"/>
        <v/>
      </c>
      <c r="D806" s="28" t="str">
        <f t="shared" si="49"/>
        <v/>
      </c>
      <c r="E806" s="77"/>
      <c r="F806" s="45"/>
      <c r="G806" s="56"/>
      <c r="H806" s="83"/>
      <c r="I806" s="35" t="str">
        <f t="shared" si="50"/>
        <v/>
      </c>
    </row>
    <row r="807" spans="1:9">
      <c r="A807" s="10" t="str">
        <f t="shared" si="51"/>
        <v/>
      </c>
      <c r="B807" s="53"/>
      <c r="C807" s="28" t="str">
        <f t="shared" si="48"/>
        <v/>
      </c>
      <c r="D807" s="28" t="str">
        <f t="shared" si="49"/>
        <v/>
      </c>
      <c r="E807" s="77"/>
      <c r="F807" s="45"/>
      <c r="G807" s="56"/>
      <c r="H807" s="83"/>
      <c r="I807" s="35" t="str">
        <f t="shared" si="50"/>
        <v/>
      </c>
    </row>
    <row r="808" spans="1:9">
      <c r="A808" s="10" t="str">
        <f t="shared" si="51"/>
        <v/>
      </c>
      <c r="B808" s="53"/>
      <c r="C808" s="28" t="str">
        <f t="shared" si="48"/>
        <v/>
      </c>
      <c r="D808" s="28" t="str">
        <f t="shared" si="49"/>
        <v/>
      </c>
      <c r="E808" s="77"/>
      <c r="F808" s="45"/>
      <c r="G808" s="56"/>
      <c r="H808" s="83"/>
      <c r="I808" s="35" t="str">
        <f t="shared" si="50"/>
        <v/>
      </c>
    </row>
    <row r="809" spans="1:9">
      <c r="A809" s="10" t="str">
        <f t="shared" si="51"/>
        <v/>
      </c>
      <c r="B809" s="53"/>
      <c r="C809" s="28" t="str">
        <f t="shared" si="48"/>
        <v/>
      </c>
      <c r="D809" s="28" t="str">
        <f t="shared" si="49"/>
        <v/>
      </c>
      <c r="E809" s="77"/>
      <c r="F809" s="45"/>
      <c r="G809" s="56"/>
      <c r="H809" s="83"/>
      <c r="I809" s="35" t="str">
        <f t="shared" si="50"/>
        <v/>
      </c>
    </row>
    <row r="810" spans="1:9">
      <c r="A810" s="10" t="str">
        <f t="shared" si="51"/>
        <v/>
      </c>
      <c r="B810" s="53"/>
      <c r="C810" s="28" t="str">
        <f t="shared" si="48"/>
        <v/>
      </c>
      <c r="D810" s="28" t="str">
        <f t="shared" si="49"/>
        <v/>
      </c>
      <c r="E810" s="77"/>
      <c r="F810" s="45"/>
      <c r="G810" s="56"/>
      <c r="H810" s="83"/>
      <c r="I810" s="35" t="str">
        <f t="shared" si="50"/>
        <v/>
      </c>
    </row>
    <row r="811" spans="1:9">
      <c r="A811" s="10" t="str">
        <f t="shared" si="51"/>
        <v/>
      </c>
      <c r="B811" s="53"/>
      <c r="C811" s="28" t="str">
        <f t="shared" si="48"/>
        <v/>
      </c>
      <c r="D811" s="28" t="str">
        <f t="shared" si="49"/>
        <v/>
      </c>
      <c r="E811" s="77"/>
      <c r="F811" s="45"/>
      <c r="G811" s="56"/>
      <c r="H811" s="83"/>
      <c r="I811" s="35" t="str">
        <f t="shared" si="50"/>
        <v/>
      </c>
    </row>
    <row r="812" spans="1:9">
      <c r="A812" s="10" t="str">
        <f t="shared" si="51"/>
        <v/>
      </c>
      <c r="B812" s="53"/>
      <c r="C812" s="28" t="str">
        <f t="shared" si="48"/>
        <v/>
      </c>
      <c r="D812" s="28" t="str">
        <f t="shared" si="49"/>
        <v/>
      </c>
      <c r="E812" s="77"/>
      <c r="F812" s="45"/>
      <c r="G812" s="56"/>
      <c r="H812" s="83"/>
      <c r="I812" s="35" t="str">
        <f t="shared" si="50"/>
        <v/>
      </c>
    </row>
    <row r="813" spans="1:9">
      <c r="A813" s="10" t="str">
        <f t="shared" si="51"/>
        <v/>
      </c>
      <c r="B813" s="53"/>
      <c r="C813" s="28" t="str">
        <f t="shared" si="48"/>
        <v/>
      </c>
      <c r="D813" s="28" t="str">
        <f t="shared" si="49"/>
        <v/>
      </c>
      <c r="E813" s="77"/>
      <c r="F813" s="45"/>
      <c r="G813" s="56"/>
      <c r="H813" s="83"/>
      <c r="I813" s="35" t="str">
        <f t="shared" si="50"/>
        <v/>
      </c>
    </row>
    <row r="814" spans="1:9">
      <c r="A814" s="10" t="str">
        <f t="shared" si="51"/>
        <v/>
      </c>
      <c r="B814" s="53"/>
      <c r="C814" s="28" t="str">
        <f t="shared" si="48"/>
        <v/>
      </c>
      <c r="D814" s="28" t="str">
        <f t="shared" si="49"/>
        <v/>
      </c>
      <c r="E814" s="77"/>
      <c r="F814" s="45"/>
      <c r="G814" s="56"/>
      <c r="H814" s="83"/>
      <c r="I814" s="35" t="str">
        <f t="shared" si="50"/>
        <v/>
      </c>
    </row>
    <row r="815" spans="1:9">
      <c r="A815" s="10" t="str">
        <f t="shared" si="51"/>
        <v/>
      </c>
      <c r="B815" s="53"/>
      <c r="C815" s="28" t="str">
        <f t="shared" si="48"/>
        <v/>
      </c>
      <c r="D815" s="28" t="str">
        <f t="shared" si="49"/>
        <v/>
      </c>
      <c r="E815" s="77"/>
      <c r="F815" s="45"/>
      <c r="G815" s="56"/>
      <c r="H815" s="83"/>
      <c r="I815" s="35" t="str">
        <f t="shared" si="50"/>
        <v/>
      </c>
    </row>
    <row r="816" spans="1:9">
      <c r="A816" s="10" t="str">
        <f t="shared" si="51"/>
        <v/>
      </c>
      <c r="B816" s="53"/>
      <c r="C816" s="28" t="str">
        <f t="shared" si="48"/>
        <v/>
      </c>
      <c r="D816" s="28" t="str">
        <f t="shared" si="49"/>
        <v/>
      </c>
      <c r="E816" s="77"/>
      <c r="F816" s="45"/>
      <c r="G816" s="56"/>
      <c r="H816" s="83"/>
      <c r="I816" s="35" t="str">
        <f t="shared" si="50"/>
        <v/>
      </c>
    </row>
    <row r="817" spans="1:9">
      <c r="A817" s="10" t="str">
        <f t="shared" si="51"/>
        <v/>
      </c>
      <c r="B817" s="53"/>
      <c r="C817" s="28" t="str">
        <f t="shared" si="48"/>
        <v/>
      </c>
      <c r="D817" s="28" t="str">
        <f t="shared" si="49"/>
        <v/>
      </c>
      <c r="E817" s="77"/>
      <c r="F817" s="45"/>
      <c r="G817" s="56"/>
      <c r="H817" s="83"/>
      <c r="I817" s="35" t="str">
        <f t="shared" si="50"/>
        <v/>
      </c>
    </row>
    <row r="818" spans="1:9">
      <c r="A818" s="10" t="str">
        <f t="shared" si="51"/>
        <v/>
      </c>
      <c r="B818" s="53"/>
      <c r="C818" s="28" t="str">
        <f t="shared" si="48"/>
        <v/>
      </c>
      <c r="D818" s="28" t="str">
        <f t="shared" si="49"/>
        <v/>
      </c>
      <c r="E818" s="77"/>
      <c r="F818" s="45"/>
      <c r="G818" s="56"/>
      <c r="H818" s="83"/>
      <c r="I818" s="35" t="str">
        <f t="shared" si="50"/>
        <v/>
      </c>
    </row>
    <row r="819" spans="1:9">
      <c r="A819" s="10" t="str">
        <f t="shared" si="51"/>
        <v/>
      </c>
      <c r="B819" s="53"/>
      <c r="C819" s="28" t="str">
        <f t="shared" si="48"/>
        <v/>
      </c>
      <c r="D819" s="28" t="str">
        <f t="shared" si="49"/>
        <v/>
      </c>
      <c r="E819" s="77"/>
      <c r="F819" s="45"/>
      <c r="G819" s="56"/>
      <c r="H819" s="83"/>
      <c r="I819" s="35" t="str">
        <f t="shared" si="50"/>
        <v/>
      </c>
    </row>
    <row r="820" spans="1:9">
      <c r="A820" s="10" t="str">
        <f t="shared" si="51"/>
        <v/>
      </c>
      <c r="B820" s="53"/>
      <c r="C820" s="28" t="str">
        <f t="shared" si="48"/>
        <v/>
      </c>
      <c r="D820" s="28" t="str">
        <f t="shared" si="49"/>
        <v/>
      </c>
      <c r="E820" s="77"/>
      <c r="F820" s="45"/>
      <c r="G820" s="56"/>
      <c r="H820" s="83"/>
      <c r="I820" s="35" t="str">
        <f t="shared" si="50"/>
        <v/>
      </c>
    </row>
    <row r="821" spans="1:9">
      <c r="A821" s="10" t="str">
        <f t="shared" si="51"/>
        <v/>
      </c>
      <c r="B821" s="53"/>
      <c r="C821" s="28" t="str">
        <f t="shared" si="48"/>
        <v/>
      </c>
      <c r="D821" s="28" t="str">
        <f t="shared" si="49"/>
        <v/>
      </c>
      <c r="E821" s="77"/>
      <c r="F821" s="45"/>
      <c r="G821" s="56"/>
      <c r="H821" s="83"/>
      <c r="I821" s="35" t="str">
        <f t="shared" si="50"/>
        <v/>
      </c>
    </row>
    <row r="822" spans="1:9">
      <c r="A822" s="10" t="str">
        <f t="shared" si="51"/>
        <v/>
      </c>
      <c r="B822" s="53"/>
      <c r="C822" s="28" t="str">
        <f t="shared" si="48"/>
        <v/>
      </c>
      <c r="D822" s="28" t="str">
        <f t="shared" si="49"/>
        <v/>
      </c>
      <c r="E822" s="77"/>
      <c r="F822" s="45"/>
      <c r="G822" s="56"/>
      <c r="H822" s="83"/>
      <c r="I822" s="35" t="str">
        <f t="shared" si="50"/>
        <v/>
      </c>
    </row>
    <row r="823" spans="1:9">
      <c r="A823" s="10" t="str">
        <f t="shared" si="51"/>
        <v/>
      </c>
      <c r="B823" s="53"/>
      <c r="C823" s="28" t="str">
        <f t="shared" si="48"/>
        <v/>
      </c>
      <c r="D823" s="28" t="str">
        <f t="shared" si="49"/>
        <v/>
      </c>
      <c r="E823" s="77"/>
      <c r="F823" s="45"/>
      <c r="G823" s="56"/>
      <c r="H823" s="83"/>
      <c r="I823" s="35" t="str">
        <f t="shared" si="50"/>
        <v/>
      </c>
    </row>
    <row r="824" spans="1:9">
      <c r="A824" s="10" t="str">
        <f t="shared" si="51"/>
        <v/>
      </c>
      <c r="B824" s="53"/>
      <c r="C824" s="28" t="str">
        <f t="shared" si="48"/>
        <v/>
      </c>
      <c r="D824" s="28" t="str">
        <f t="shared" si="49"/>
        <v/>
      </c>
      <c r="E824" s="77"/>
      <c r="F824" s="45"/>
      <c r="G824" s="56"/>
      <c r="H824" s="83"/>
      <c r="I824" s="35" t="str">
        <f t="shared" si="50"/>
        <v/>
      </c>
    </row>
    <row r="825" spans="1:9">
      <c r="A825" s="10" t="str">
        <f t="shared" si="51"/>
        <v/>
      </c>
      <c r="B825" s="53"/>
      <c r="C825" s="28" t="str">
        <f t="shared" si="48"/>
        <v/>
      </c>
      <c r="D825" s="28" t="str">
        <f t="shared" si="49"/>
        <v/>
      </c>
      <c r="E825" s="77"/>
      <c r="F825" s="45"/>
      <c r="G825" s="56"/>
      <c r="H825" s="83"/>
      <c r="I825" s="35" t="str">
        <f t="shared" si="50"/>
        <v/>
      </c>
    </row>
    <row r="826" spans="1:9">
      <c r="A826" s="10" t="str">
        <f t="shared" si="51"/>
        <v/>
      </c>
      <c r="B826" s="53"/>
      <c r="C826" s="28" t="str">
        <f t="shared" si="48"/>
        <v/>
      </c>
      <c r="D826" s="28" t="str">
        <f t="shared" si="49"/>
        <v/>
      </c>
      <c r="E826" s="77"/>
      <c r="F826" s="45"/>
      <c r="G826" s="56"/>
      <c r="H826" s="83"/>
      <c r="I826" s="35" t="str">
        <f t="shared" si="50"/>
        <v/>
      </c>
    </row>
    <row r="827" spans="1:9">
      <c r="A827" s="10" t="str">
        <f t="shared" si="51"/>
        <v/>
      </c>
      <c r="B827" s="53"/>
      <c r="C827" s="28" t="str">
        <f t="shared" si="48"/>
        <v/>
      </c>
      <c r="D827" s="28" t="str">
        <f t="shared" si="49"/>
        <v/>
      </c>
      <c r="E827" s="77"/>
      <c r="F827" s="45"/>
      <c r="G827" s="56"/>
      <c r="H827" s="83"/>
      <c r="I827" s="35" t="str">
        <f t="shared" si="50"/>
        <v/>
      </c>
    </row>
    <row r="828" spans="1:9">
      <c r="A828" s="10" t="str">
        <f t="shared" si="51"/>
        <v/>
      </c>
      <c r="B828" s="53"/>
      <c r="C828" s="28" t="str">
        <f t="shared" si="48"/>
        <v/>
      </c>
      <c r="D828" s="28" t="str">
        <f t="shared" si="49"/>
        <v/>
      </c>
      <c r="E828" s="77"/>
      <c r="F828" s="45"/>
      <c r="G828" s="56"/>
      <c r="H828" s="83"/>
      <c r="I828" s="35" t="str">
        <f t="shared" si="50"/>
        <v/>
      </c>
    </row>
    <row r="829" spans="1:9">
      <c r="A829" s="10" t="str">
        <f t="shared" si="51"/>
        <v/>
      </c>
      <c r="B829" s="53"/>
      <c r="C829" s="28" t="str">
        <f t="shared" si="48"/>
        <v/>
      </c>
      <c r="D829" s="28" t="str">
        <f t="shared" si="49"/>
        <v/>
      </c>
      <c r="E829" s="77"/>
      <c r="F829" s="45"/>
      <c r="G829" s="56"/>
      <c r="H829" s="83"/>
      <c r="I829" s="35" t="str">
        <f t="shared" si="50"/>
        <v/>
      </c>
    </row>
    <row r="830" spans="1:9">
      <c r="A830" s="10" t="str">
        <f t="shared" si="51"/>
        <v/>
      </c>
      <c r="B830" s="53"/>
      <c r="C830" s="28" t="str">
        <f t="shared" si="48"/>
        <v/>
      </c>
      <c r="D830" s="28" t="str">
        <f t="shared" si="49"/>
        <v/>
      </c>
      <c r="E830" s="77"/>
      <c r="F830" s="45"/>
      <c r="G830" s="56"/>
      <c r="H830" s="83"/>
      <c r="I830" s="35" t="str">
        <f t="shared" si="50"/>
        <v/>
      </c>
    </row>
    <row r="831" spans="1:9">
      <c r="A831" s="10" t="str">
        <f t="shared" si="51"/>
        <v/>
      </c>
      <c r="B831" s="53"/>
      <c r="C831" s="28" t="str">
        <f t="shared" si="48"/>
        <v/>
      </c>
      <c r="D831" s="28" t="str">
        <f t="shared" si="49"/>
        <v/>
      </c>
      <c r="E831" s="77"/>
      <c r="F831" s="45"/>
      <c r="G831" s="56"/>
      <c r="H831" s="83"/>
      <c r="I831" s="35" t="str">
        <f t="shared" si="50"/>
        <v/>
      </c>
    </row>
    <row r="832" spans="1:9">
      <c r="A832" s="10" t="str">
        <f t="shared" si="51"/>
        <v/>
      </c>
      <c r="B832" s="53"/>
      <c r="C832" s="28" t="str">
        <f t="shared" si="48"/>
        <v/>
      </c>
      <c r="D832" s="28" t="str">
        <f t="shared" si="49"/>
        <v/>
      </c>
      <c r="E832" s="77"/>
      <c r="F832" s="45"/>
      <c r="G832" s="56"/>
      <c r="H832" s="83"/>
      <c r="I832" s="35" t="str">
        <f t="shared" si="50"/>
        <v/>
      </c>
    </row>
    <row r="833" spans="1:9">
      <c r="A833" s="10" t="str">
        <f t="shared" si="51"/>
        <v/>
      </c>
      <c r="B833" s="53"/>
      <c r="C833" s="28" t="str">
        <f t="shared" si="48"/>
        <v/>
      </c>
      <c r="D833" s="28" t="str">
        <f t="shared" si="49"/>
        <v/>
      </c>
      <c r="E833" s="77"/>
      <c r="F833" s="45"/>
      <c r="G833" s="56"/>
      <c r="H833" s="83"/>
      <c r="I833" s="35" t="str">
        <f t="shared" si="50"/>
        <v/>
      </c>
    </row>
    <row r="834" spans="1:9">
      <c r="A834" s="10" t="str">
        <f t="shared" si="51"/>
        <v/>
      </c>
      <c r="B834" s="53"/>
      <c r="C834" s="28" t="str">
        <f t="shared" ref="C834:C897" si="52">IF(B834=0,"",TEXT(B834,"mmmm"))</f>
        <v/>
      </c>
      <c r="D834" s="28" t="str">
        <f t="shared" ref="D834:D897" si="53">IF(B834=0,"",TEXT(B834,"yyyy"))</f>
        <v/>
      </c>
      <c r="E834" s="77"/>
      <c r="F834" s="45"/>
      <c r="G834" s="56"/>
      <c r="H834" s="83"/>
      <c r="I834" s="35" t="str">
        <f t="shared" ref="I834:I897" si="54">IF(G834*H834=0,"",G834*H834)</f>
        <v/>
      </c>
    </row>
    <row r="835" spans="1:9">
      <c r="A835" s="10" t="str">
        <f t="shared" si="51"/>
        <v/>
      </c>
      <c r="B835" s="53"/>
      <c r="C835" s="28" t="str">
        <f t="shared" si="52"/>
        <v/>
      </c>
      <c r="D835" s="28" t="str">
        <f t="shared" si="53"/>
        <v/>
      </c>
      <c r="E835" s="77"/>
      <c r="F835" s="45"/>
      <c r="G835" s="56"/>
      <c r="H835" s="83"/>
      <c r="I835" s="35" t="str">
        <f t="shared" si="54"/>
        <v/>
      </c>
    </row>
    <row r="836" spans="1:9">
      <c r="A836" s="10" t="str">
        <f t="shared" ref="A836:A899" si="55">IF(E836&gt;0,A835+1,"")</f>
        <v/>
      </c>
      <c r="B836" s="53"/>
      <c r="C836" s="28" t="str">
        <f t="shared" si="52"/>
        <v/>
      </c>
      <c r="D836" s="28" t="str">
        <f t="shared" si="53"/>
        <v/>
      </c>
      <c r="E836" s="77"/>
      <c r="F836" s="45"/>
      <c r="G836" s="56"/>
      <c r="H836" s="83"/>
      <c r="I836" s="35" t="str">
        <f t="shared" si="54"/>
        <v/>
      </c>
    </row>
    <row r="837" spans="1:9">
      <c r="A837" s="10" t="str">
        <f t="shared" si="55"/>
        <v/>
      </c>
      <c r="B837" s="53"/>
      <c r="C837" s="28" t="str">
        <f t="shared" si="52"/>
        <v/>
      </c>
      <c r="D837" s="28" t="str">
        <f t="shared" si="53"/>
        <v/>
      </c>
      <c r="E837" s="77"/>
      <c r="F837" s="45"/>
      <c r="G837" s="56"/>
      <c r="H837" s="83"/>
      <c r="I837" s="35" t="str">
        <f t="shared" si="54"/>
        <v/>
      </c>
    </row>
    <row r="838" spans="1:9">
      <c r="A838" s="10" t="str">
        <f t="shared" si="55"/>
        <v/>
      </c>
      <c r="B838" s="53"/>
      <c r="C838" s="28" t="str">
        <f t="shared" si="52"/>
        <v/>
      </c>
      <c r="D838" s="28" t="str">
        <f t="shared" si="53"/>
        <v/>
      </c>
      <c r="E838" s="77"/>
      <c r="F838" s="45"/>
      <c r="G838" s="56"/>
      <c r="H838" s="83"/>
      <c r="I838" s="35" t="str">
        <f t="shared" si="54"/>
        <v/>
      </c>
    </row>
    <row r="839" spans="1:9">
      <c r="A839" s="10" t="str">
        <f t="shared" si="55"/>
        <v/>
      </c>
      <c r="B839" s="53"/>
      <c r="C839" s="28" t="str">
        <f t="shared" si="52"/>
        <v/>
      </c>
      <c r="D839" s="28" t="str">
        <f t="shared" si="53"/>
        <v/>
      </c>
      <c r="E839" s="77"/>
      <c r="F839" s="45"/>
      <c r="G839" s="56"/>
      <c r="H839" s="83"/>
      <c r="I839" s="35" t="str">
        <f t="shared" si="54"/>
        <v/>
      </c>
    </row>
    <row r="840" spans="1:9">
      <c r="A840" s="10" t="str">
        <f t="shared" si="55"/>
        <v/>
      </c>
      <c r="B840" s="53"/>
      <c r="C840" s="28" t="str">
        <f t="shared" si="52"/>
        <v/>
      </c>
      <c r="D840" s="28" t="str">
        <f t="shared" si="53"/>
        <v/>
      </c>
      <c r="E840" s="77"/>
      <c r="F840" s="45"/>
      <c r="G840" s="56"/>
      <c r="H840" s="83"/>
      <c r="I840" s="35" t="str">
        <f t="shared" si="54"/>
        <v/>
      </c>
    </row>
    <row r="841" spans="1:9">
      <c r="A841" s="10" t="str">
        <f t="shared" si="55"/>
        <v/>
      </c>
      <c r="B841" s="53"/>
      <c r="C841" s="28" t="str">
        <f t="shared" si="52"/>
        <v/>
      </c>
      <c r="D841" s="28" t="str">
        <f t="shared" si="53"/>
        <v/>
      </c>
      <c r="E841" s="77"/>
      <c r="F841" s="45"/>
      <c r="G841" s="56"/>
      <c r="H841" s="83"/>
      <c r="I841" s="35" t="str">
        <f t="shared" si="54"/>
        <v/>
      </c>
    </row>
    <row r="842" spans="1:9">
      <c r="A842" s="10" t="str">
        <f t="shared" si="55"/>
        <v/>
      </c>
      <c r="B842" s="53"/>
      <c r="C842" s="28" t="str">
        <f t="shared" si="52"/>
        <v/>
      </c>
      <c r="D842" s="28" t="str">
        <f t="shared" si="53"/>
        <v/>
      </c>
      <c r="E842" s="77"/>
      <c r="F842" s="45"/>
      <c r="G842" s="56"/>
      <c r="H842" s="83"/>
      <c r="I842" s="35" t="str">
        <f t="shared" si="54"/>
        <v/>
      </c>
    </row>
    <row r="843" spans="1:9">
      <c r="A843" s="10" t="str">
        <f t="shared" si="55"/>
        <v/>
      </c>
      <c r="B843" s="53"/>
      <c r="C843" s="28" t="str">
        <f t="shared" si="52"/>
        <v/>
      </c>
      <c r="D843" s="28" t="str">
        <f t="shared" si="53"/>
        <v/>
      </c>
      <c r="E843" s="77"/>
      <c r="F843" s="45"/>
      <c r="G843" s="56"/>
      <c r="H843" s="83"/>
      <c r="I843" s="35" t="str">
        <f t="shared" si="54"/>
        <v/>
      </c>
    </row>
    <row r="844" spans="1:9">
      <c r="A844" s="10" t="str">
        <f t="shared" si="55"/>
        <v/>
      </c>
      <c r="B844" s="53"/>
      <c r="C844" s="28" t="str">
        <f t="shared" si="52"/>
        <v/>
      </c>
      <c r="D844" s="28" t="str">
        <f t="shared" si="53"/>
        <v/>
      </c>
      <c r="E844" s="77"/>
      <c r="F844" s="45"/>
      <c r="G844" s="56"/>
      <c r="H844" s="83"/>
      <c r="I844" s="35" t="str">
        <f t="shared" si="54"/>
        <v/>
      </c>
    </row>
    <row r="845" spans="1:9">
      <c r="A845" s="10" t="str">
        <f t="shared" si="55"/>
        <v/>
      </c>
      <c r="B845" s="53"/>
      <c r="C845" s="28" t="str">
        <f t="shared" si="52"/>
        <v/>
      </c>
      <c r="D845" s="28" t="str">
        <f t="shared" si="53"/>
        <v/>
      </c>
      <c r="E845" s="77"/>
      <c r="F845" s="45"/>
      <c r="G845" s="56"/>
      <c r="H845" s="83"/>
      <c r="I845" s="35" t="str">
        <f t="shared" si="54"/>
        <v/>
      </c>
    </row>
    <row r="846" spans="1:9">
      <c r="A846" s="10" t="str">
        <f t="shared" si="55"/>
        <v/>
      </c>
      <c r="B846" s="53"/>
      <c r="C846" s="28" t="str">
        <f t="shared" si="52"/>
        <v/>
      </c>
      <c r="D846" s="28" t="str">
        <f t="shared" si="53"/>
        <v/>
      </c>
      <c r="E846" s="77"/>
      <c r="F846" s="45"/>
      <c r="G846" s="56"/>
      <c r="H846" s="83"/>
      <c r="I846" s="35" t="str">
        <f t="shared" si="54"/>
        <v/>
      </c>
    </row>
    <row r="847" spans="1:9">
      <c r="A847" s="10" t="str">
        <f t="shared" si="55"/>
        <v/>
      </c>
      <c r="B847" s="53"/>
      <c r="C847" s="28" t="str">
        <f t="shared" si="52"/>
        <v/>
      </c>
      <c r="D847" s="28" t="str">
        <f t="shared" si="53"/>
        <v/>
      </c>
      <c r="E847" s="77"/>
      <c r="F847" s="45"/>
      <c r="G847" s="56"/>
      <c r="H847" s="83"/>
      <c r="I847" s="35" t="str">
        <f t="shared" si="54"/>
        <v/>
      </c>
    </row>
    <row r="848" spans="1:9">
      <c r="A848" s="10" t="str">
        <f t="shared" si="55"/>
        <v/>
      </c>
      <c r="B848" s="53"/>
      <c r="C848" s="28" t="str">
        <f t="shared" si="52"/>
        <v/>
      </c>
      <c r="D848" s="28" t="str">
        <f t="shared" si="53"/>
        <v/>
      </c>
      <c r="E848" s="77"/>
      <c r="F848" s="45"/>
      <c r="G848" s="56"/>
      <c r="H848" s="83"/>
      <c r="I848" s="35" t="str">
        <f t="shared" si="54"/>
        <v/>
      </c>
    </row>
    <row r="849" spans="1:9">
      <c r="A849" s="10" t="str">
        <f t="shared" si="55"/>
        <v/>
      </c>
      <c r="B849" s="53"/>
      <c r="C849" s="28" t="str">
        <f t="shared" si="52"/>
        <v/>
      </c>
      <c r="D849" s="28" t="str">
        <f t="shared" si="53"/>
        <v/>
      </c>
      <c r="E849" s="77"/>
      <c r="F849" s="45"/>
      <c r="G849" s="56"/>
      <c r="H849" s="83"/>
      <c r="I849" s="35" t="str">
        <f t="shared" si="54"/>
        <v/>
      </c>
    </row>
    <row r="850" spans="1:9">
      <c r="A850" s="10" t="str">
        <f t="shared" si="55"/>
        <v/>
      </c>
      <c r="B850" s="53"/>
      <c r="C850" s="28" t="str">
        <f t="shared" si="52"/>
        <v/>
      </c>
      <c r="D850" s="28" t="str">
        <f t="shared" si="53"/>
        <v/>
      </c>
      <c r="E850" s="77"/>
      <c r="F850" s="45"/>
      <c r="G850" s="56"/>
      <c r="H850" s="83"/>
      <c r="I850" s="35" t="str">
        <f t="shared" si="54"/>
        <v/>
      </c>
    </row>
    <row r="851" spans="1:9">
      <c r="A851" s="10" t="str">
        <f t="shared" si="55"/>
        <v/>
      </c>
      <c r="B851" s="53"/>
      <c r="C851" s="28" t="str">
        <f t="shared" si="52"/>
        <v/>
      </c>
      <c r="D851" s="28" t="str">
        <f t="shared" si="53"/>
        <v/>
      </c>
      <c r="E851" s="77"/>
      <c r="F851" s="45"/>
      <c r="G851" s="56"/>
      <c r="H851" s="83"/>
      <c r="I851" s="35" t="str">
        <f t="shared" si="54"/>
        <v/>
      </c>
    </row>
    <row r="852" spans="1:9">
      <c r="A852" s="10" t="str">
        <f t="shared" si="55"/>
        <v/>
      </c>
      <c r="B852" s="53"/>
      <c r="C852" s="28" t="str">
        <f t="shared" si="52"/>
        <v/>
      </c>
      <c r="D852" s="28" t="str">
        <f t="shared" si="53"/>
        <v/>
      </c>
      <c r="E852" s="77"/>
      <c r="F852" s="45"/>
      <c r="G852" s="56"/>
      <c r="H852" s="83"/>
      <c r="I852" s="35" t="str">
        <f t="shared" si="54"/>
        <v/>
      </c>
    </row>
    <row r="853" spans="1:9">
      <c r="A853" s="10" t="str">
        <f t="shared" si="55"/>
        <v/>
      </c>
      <c r="B853" s="53"/>
      <c r="C853" s="28" t="str">
        <f t="shared" si="52"/>
        <v/>
      </c>
      <c r="D853" s="28" t="str">
        <f t="shared" si="53"/>
        <v/>
      </c>
      <c r="E853" s="77"/>
      <c r="F853" s="45"/>
      <c r="G853" s="56"/>
      <c r="H853" s="83"/>
      <c r="I853" s="35" t="str">
        <f t="shared" si="54"/>
        <v/>
      </c>
    </row>
    <row r="854" spans="1:9">
      <c r="A854" s="10" t="str">
        <f t="shared" si="55"/>
        <v/>
      </c>
      <c r="B854" s="53"/>
      <c r="C854" s="28" t="str">
        <f t="shared" si="52"/>
        <v/>
      </c>
      <c r="D854" s="28" t="str">
        <f t="shared" si="53"/>
        <v/>
      </c>
      <c r="E854" s="77"/>
      <c r="F854" s="45"/>
      <c r="G854" s="56"/>
      <c r="H854" s="83"/>
      <c r="I854" s="35" t="str">
        <f t="shared" si="54"/>
        <v/>
      </c>
    </row>
    <row r="855" spans="1:9">
      <c r="A855" s="10" t="str">
        <f t="shared" si="55"/>
        <v/>
      </c>
      <c r="B855" s="53"/>
      <c r="C855" s="28" t="str">
        <f t="shared" si="52"/>
        <v/>
      </c>
      <c r="D855" s="28" t="str">
        <f t="shared" si="53"/>
        <v/>
      </c>
      <c r="E855" s="77"/>
      <c r="F855" s="45"/>
      <c r="G855" s="56"/>
      <c r="H855" s="83"/>
      <c r="I855" s="35" t="str">
        <f t="shared" si="54"/>
        <v/>
      </c>
    </row>
    <row r="856" spans="1:9">
      <c r="A856" s="10" t="str">
        <f t="shared" si="55"/>
        <v/>
      </c>
      <c r="B856" s="53"/>
      <c r="C856" s="28" t="str">
        <f t="shared" si="52"/>
        <v/>
      </c>
      <c r="D856" s="28" t="str">
        <f t="shared" si="53"/>
        <v/>
      </c>
      <c r="E856" s="77"/>
      <c r="F856" s="45"/>
      <c r="G856" s="56"/>
      <c r="H856" s="83"/>
      <c r="I856" s="35" t="str">
        <f t="shared" si="54"/>
        <v/>
      </c>
    </row>
    <row r="857" spans="1:9">
      <c r="A857" s="10" t="str">
        <f t="shared" si="55"/>
        <v/>
      </c>
      <c r="B857" s="53"/>
      <c r="C857" s="28" t="str">
        <f t="shared" si="52"/>
        <v/>
      </c>
      <c r="D857" s="28" t="str">
        <f t="shared" si="53"/>
        <v/>
      </c>
      <c r="E857" s="77"/>
      <c r="F857" s="45"/>
      <c r="G857" s="56"/>
      <c r="H857" s="83"/>
      <c r="I857" s="35" t="str">
        <f t="shared" si="54"/>
        <v/>
      </c>
    </row>
    <row r="858" spans="1:9">
      <c r="A858" s="10" t="str">
        <f t="shared" si="55"/>
        <v/>
      </c>
      <c r="B858" s="53"/>
      <c r="C858" s="28" t="str">
        <f t="shared" si="52"/>
        <v/>
      </c>
      <c r="D858" s="28" t="str">
        <f t="shared" si="53"/>
        <v/>
      </c>
      <c r="E858" s="77"/>
      <c r="F858" s="45"/>
      <c r="G858" s="56"/>
      <c r="H858" s="83"/>
      <c r="I858" s="35" t="str">
        <f t="shared" si="54"/>
        <v/>
      </c>
    </row>
    <row r="859" spans="1:9">
      <c r="A859" s="10" t="str">
        <f t="shared" si="55"/>
        <v/>
      </c>
      <c r="B859" s="53"/>
      <c r="C859" s="28" t="str">
        <f t="shared" si="52"/>
        <v/>
      </c>
      <c r="D859" s="28" t="str">
        <f t="shared" si="53"/>
        <v/>
      </c>
      <c r="E859" s="77"/>
      <c r="F859" s="45"/>
      <c r="G859" s="56"/>
      <c r="H859" s="83"/>
      <c r="I859" s="35" t="str">
        <f t="shared" si="54"/>
        <v/>
      </c>
    </row>
    <row r="860" spans="1:9">
      <c r="A860" s="10" t="str">
        <f t="shared" si="55"/>
        <v/>
      </c>
      <c r="B860" s="53"/>
      <c r="C860" s="28" t="str">
        <f t="shared" si="52"/>
        <v/>
      </c>
      <c r="D860" s="28" t="str">
        <f t="shared" si="53"/>
        <v/>
      </c>
      <c r="E860" s="77"/>
      <c r="F860" s="45"/>
      <c r="G860" s="56"/>
      <c r="H860" s="83"/>
      <c r="I860" s="35" t="str">
        <f t="shared" si="54"/>
        <v/>
      </c>
    </row>
    <row r="861" spans="1:9">
      <c r="A861" s="10" t="str">
        <f t="shared" si="55"/>
        <v/>
      </c>
      <c r="B861" s="53"/>
      <c r="C861" s="28" t="str">
        <f t="shared" si="52"/>
        <v/>
      </c>
      <c r="D861" s="28" t="str">
        <f t="shared" si="53"/>
        <v/>
      </c>
      <c r="E861" s="77"/>
      <c r="F861" s="45"/>
      <c r="G861" s="56"/>
      <c r="H861" s="83"/>
      <c r="I861" s="35" t="str">
        <f t="shared" si="54"/>
        <v/>
      </c>
    </row>
    <row r="862" spans="1:9">
      <c r="A862" s="10" t="str">
        <f t="shared" si="55"/>
        <v/>
      </c>
      <c r="B862" s="53"/>
      <c r="C862" s="28" t="str">
        <f t="shared" si="52"/>
        <v/>
      </c>
      <c r="D862" s="28" t="str">
        <f t="shared" si="53"/>
        <v/>
      </c>
      <c r="E862" s="77"/>
      <c r="F862" s="45"/>
      <c r="G862" s="56"/>
      <c r="H862" s="83"/>
      <c r="I862" s="35" t="str">
        <f t="shared" si="54"/>
        <v/>
      </c>
    </row>
    <row r="863" spans="1:9">
      <c r="A863" s="10" t="str">
        <f t="shared" si="55"/>
        <v/>
      </c>
      <c r="B863" s="53"/>
      <c r="C863" s="28" t="str">
        <f t="shared" si="52"/>
        <v/>
      </c>
      <c r="D863" s="28" t="str">
        <f t="shared" si="53"/>
        <v/>
      </c>
      <c r="E863" s="77"/>
      <c r="F863" s="45"/>
      <c r="G863" s="56"/>
      <c r="H863" s="83"/>
      <c r="I863" s="35" t="str">
        <f t="shared" si="54"/>
        <v/>
      </c>
    </row>
    <row r="864" spans="1:9">
      <c r="A864" s="10" t="str">
        <f t="shared" si="55"/>
        <v/>
      </c>
      <c r="B864" s="53"/>
      <c r="C864" s="28" t="str">
        <f t="shared" si="52"/>
        <v/>
      </c>
      <c r="D864" s="28" t="str">
        <f t="shared" si="53"/>
        <v/>
      </c>
      <c r="E864" s="77"/>
      <c r="F864" s="45"/>
      <c r="G864" s="56"/>
      <c r="H864" s="83"/>
      <c r="I864" s="35" t="str">
        <f t="shared" si="54"/>
        <v/>
      </c>
    </row>
    <row r="865" spans="1:9">
      <c r="A865" s="10" t="str">
        <f t="shared" si="55"/>
        <v/>
      </c>
      <c r="B865" s="53"/>
      <c r="C865" s="28" t="str">
        <f t="shared" si="52"/>
        <v/>
      </c>
      <c r="D865" s="28" t="str">
        <f t="shared" si="53"/>
        <v/>
      </c>
      <c r="E865" s="77"/>
      <c r="F865" s="45"/>
      <c r="G865" s="56"/>
      <c r="H865" s="83"/>
      <c r="I865" s="35" t="str">
        <f t="shared" si="54"/>
        <v/>
      </c>
    </row>
    <row r="866" spans="1:9">
      <c r="A866" s="10" t="str">
        <f t="shared" si="55"/>
        <v/>
      </c>
      <c r="B866" s="53"/>
      <c r="C866" s="28" t="str">
        <f t="shared" si="52"/>
        <v/>
      </c>
      <c r="D866" s="28" t="str">
        <f t="shared" si="53"/>
        <v/>
      </c>
      <c r="E866" s="77"/>
      <c r="F866" s="45"/>
      <c r="G866" s="56"/>
      <c r="H866" s="83"/>
      <c r="I866" s="35" t="str">
        <f t="shared" si="54"/>
        <v/>
      </c>
    </row>
    <row r="867" spans="1:9">
      <c r="A867" s="10" t="str">
        <f t="shared" si="55"/>
        <v/>
      </c>
      <c r="B867" s="53"/>
      <c r="C867" s="28" t="str">
        <f t="shared" si="52"/>
        <v/>
      </c>
      <c r="D867" s="28" t="str">
        <f t="shared" si="53"/>
        <v/>
      </c>
      <c r="E867" s="77"/>
      <c r="F867" s="45"/>
      <c r="G867" s="56"/>
      <c r="H867" s="83"/>
      <c r="I867" s="35" t="str">
        <f t="shared" si="54"/>
        <v/>
      </c>
    </row>
    <row r="868" spans="1:9">
      <c r="A868" s="10" t="str">
        <f t="shared" si="55"/>
        <v/>
      </c>
      <c r="B868" s="53"/>
      <c r="C868" s="28" t="str">
        <f t="shared" si="52"/>
        <v/>
      </c>
      <c r="D868" s="28" t="str">
        <f t="shared" si="53"/>
        <v/>
      </c>
      <c r="E868" s="77"/>
      <c r="F868" s="45"/>
      <c r="G868" s="56"/>
      <c r="H868" s="83"/>
      <c r="I868" s="35" t="str">
        <f t="shared" si="54"/>
        <v/>
      </c>
    </row>
    <row r="869" spans="1:9">
      <c r="A869" s="10" t="str">
        <f t="shared" si="55"/>
        <v/>
      </c>
      <c r="B869" s="53"/>
      <c r="C869" s="28" t="str">
        <f t="shared" si="52"/>
        <v/>
      </c>
      <c r="D869" s="28" t="str">
        <f t="shared" si="53"/>
        <v/>
      </c>
      <c r="E869" s="77"/>
      <c r="F869" s="45"/>
      <c r="G869" s="56"/>
      <c r="H869" s="83"/>
      <c r="I869" s="35" t="str">
        <f t="shared" si="54"/>
        <v/>
      </c>
    </row>
    <row r="870" spans="1:9">
      <c r="A870" s="10" t="str">
        <f t="shared" si="55"/>
        <v/>
      </c>
      <c r="B870" s="53"/>
      <c r="C870" s="28" t="str">
        <f t="shared" si="52"/>
        <v/>
      </c>
      <c r="D870" s="28" t="str">
        <f t="shared" si="53"/>
        <v/>
      </c>
      <c r="E870" s="77"/>
      <c r="F870" s="45"/>
      <c r="G870" s="56"/>
      <c r="H870" s="83"/>
      <c r="I870" s="35" t="str">
        <f t="shared" si="54"/>
        <v/>
      </c>
    </row>
    <row r="871" spans="1:9">
      <c r="A871" s="10" t="str">
        <f t="shared" si="55"/>
        <v/>
      </c>
      <c r="B871" s="53"/>
      <c r="C871" s="28" t="str">
        <f t="shared" si="52"/>
        <v/>
      </c>
      <c r="D871" s="28" t="str">
        <f t="shared" si="53"/>
        <v/>
      </c>
      <c r="E871" s="77"/>
      <c r="F871" s="45"/>
      <c r="G871" s="56"/>
      <c r="H871" s="83"/>
      <c r="I871" s="35" t="str">
        <f t="shared" si="54"/>
        <v/>
      </c>
    </row>
    <row r="872" spans="1:9">
      <c r="A872" s="10" t="str">
        <f t="shared" si="55"/>
        <v/>
      </c>
      <c r="B872" s="53"/>
      <c r="C872" s="28" t="str">
        <f t="shared" si="52"/>
        <v/>
      </c>
      <c r="D872" s="28" t="str">
        <f t="shared" si="53"/>
        <v/>
      </c>
      <c r="E872" s="77"/>
      <c r="F872" s="45"/>
      <c r="G872" s="56"/>
      <c r="H872" s="83"/>
      <c r="I872" s="35" t="str">
        <f t="shared" si="54"/>
        <v/>
      </c>
    </row>
    <row r="873" spans="1:9">
      <c r="A873" s="10" t="str">
        <f t="shared" si="55"/>
        <v/>
      </c>
      <c r="B873" s="53"/>
      <c r="C873" s="28" t="str">
        <f t="shared" si="52"/>
        <v/>
      </c>
      <c r="D873" s="28" t="str">
        <f t="shared" si="53"/>
        <v/>
      </c>
      <c r="E873" s="77"/>
      <c r="F873" s="45"/>
      <c r="G873" s="56"/>
      <c r="H873" s="83"/>
      <c r="I873" s="35" t="str">
        <f t="shared" si="54"/>
        <v/>
      </c>
    </row>
    <row r="874" spans="1:9">
      <c r="A874" s="10" t="str">
        <f t="shared" si="55"/>
        <v/>
      </c>
      <c r="B874" s="53"/>
      <c r="C874" s="28" t="str">
        <f t="shared" si="52"/>
        <v/>
      </c>
      <c r="D874" s="28" t="str">
        <f t="shared" si="53"/>
        <v/>
      </c>
      <c r="E874" s="77"/>
      <c r="F874" s="45"/>
      <c r="G874" s="56"/>
      <c r="H874" s="83"/>
      <c r="I874" s="35" t="str">
        <f t="shared" si="54"/>
        <v/>
      </c>
    </row>
    <row r="875" spans="1:9">
      <c r="A875" s="10" t="str">
        <f t="shared" si="55"/>
        <v/>
      </c>
      <c r="B875" s="53"/>
      <c r="C875" s="28" t="str">
        <f t="shared" si="52"/>
        <v/>
      </c>
      <c r="D875" s="28" t="str">
        <f t="shared" si="53"/>
        <v/>
      </c>
      <c r="E875" s="77"/>
      <c r="F875" s="45"/>
      <c r="G875" s="56"/>
      <c r="H875" s="83"/>
      <c r="I875" s="35" t="str">
        <f t="shared" si="54"/>
        <v/>
      </c>
    </row>
    <row r="876" spans="1:9">
      <c r="A876" s="10" t="str">
        <f t="shared" si="55"/>
        <v/>
      </c>
      <c r="B876" s="53"/>
      <c r="C876" s="28" t="str">
        <f t="shared" si="52"/>
        <v/>
      </c>
      <c r="D876" s="28" t="str">
        <f t="shared" si="53"/>
        <v/>
      </c>
      <c r="E876" s="77"/>
      <c r="F876" s="45"/>
      <c r="G876" s="56"/>
      <c r="H876" s="83"/>
      <c r="I876" s="35" t="str">
        <f t="shared" si="54"/>
        <v/>
      </c>
    </row>
    <row r="877" spans="1:9">
      <c r="A877" s="10" t="str">
        <f t="shared" si="55"/>
        <v/>
      </c>
      <c r="B877" s="53"/>
      <c r="C877" s="28" t="str">
        <f t="shared" si="52"/>
        <v/>
      </c>
      <c r="D877" s="28" t="str">
        <f t="shared" si="53"/>
        <v/>
      </c>
      <c r="E877" s="77"/>
      <c r="F877" s="45"/>
      <c r="G877" s="56"/>
      <c r="H877" s="83"/>
      <c r="I877" s="35" t="str">
        <f t="shared" si="54"/>
        <v/>
      </c>
    </row>
    <row r="878" spans="1:9">
      <c r="A878" s="10" t="str">
        <f t="shared" si="55"/>
        <v/>
      </c>
      <c r="B878" s="53"/>
      <c r="C878" s="28" t="str">
        <f t="shared" si="52"/>
        <v/>
      </c>
      <c r="D878" s="28" t="str">
        <f t="shared" si="53"/>
        <v/>
      </c>
      <c r="E878" s="77"/>
      <c r="F878" s="45"/>
      <c r="G878" s="56"/>
      <c r="H878" s="83"/>
      <c r="I878" s="35" t="str">
        <f t="shared" si="54"/>
        <v/>
      </c>
    </row>
    <row r="879" spans="1:9">
      <c r="A879" s="10" t="str">
        <f t="shared" si="55"/>
        <v/>
      </c>
      <c r="B879" s="53"/>
      <c r="C879" s="28" t="str">
        <f t="shared" si="52"/>
        <v/>
      </c>
      <c r="D879" s="28" t="str">
        <f t="shared" si="53"/>
        <v/>
      </c>
      <c r="E879" s="77"/>
      <c r="F879" s="45"/>
      <c r="G879" s="56"/>
      <c r="H879" s="83"/>
      <c r="I879" s="35" t="str">
        <f t="shared" si="54"/>
        <v/>
      </c>
    </row>
    <row r="880" spans="1:9">
      <c r="A880" s="10" t="str">
        <f t="shared" si="55"/>
        <v/>
      </c>
      <c r="B880" s="53"/>
      <c r="C880" s="28" t="str">
        <f t="shared" si="52"/>
        <v/>
      </c>
      <c r="D880" s="28" t="str">
        <f t="shared" si="53"/>
        <v/>
      </c>
      <c r="E880" s="77"/>
      <c r="F880" s="45"/>
      <c r="G880" s="56"/>
      <c r="H880" s="83"/>
      <c r="I880" s="35" t="str">
        <f t="shared" si="54"/>
        <v/>
      </c>
    </row>
    <row r="881" spans="1:9">
      <c r="A881" s="10" t="str">
        <f t="shared" si="55"/>
        <v/>
      </c>
      <c r="B881" s="53"/>
      <c r="C881" s="28" t="str">
        <f t="shared" si="52"/>
        <v/>
      </c>
      <c r="D881" s="28" t="str">
        <f t="shared" si="53"/>
        <v/>
      </c>
      <c r="E881" s="77"/>
      <c r="F881" s="45"/>
      <c r="G881" s="56"/>
      <c r="H881" s="83"/>
      <c r="I881" s="35" t="str">
        <f t="shared" si="54"/>
        <v/>
      </c>
    </row>
    <row r="882" spans="1:9">
      <c r="A882" s="10" t="str">
        <f t="shared" si="55"/>
        <v/>
      </c>
      <c r="B882" s="53"/>
      <c r="C882" s="28" t="str">
        <f t="shared" si="52"/>
        <v/>
      </c>
      <c r="D882" s="28" t="str">
        <f t="shared" si="53"/>
        <v/>
      </c>
      <c r="E882" s="77"/>
      <c r="F882" s="45"/>
      <c r="G882" s="56"/>
      <c r="H882" s="83"/>
      <c r="I882" s="35" t="str">
        <f t="shared" si="54"/>
        <v/>
      </c>
    </row>
    <row r="883" spans="1:9">
      <c r="A883" s="10" t="str">
        <f t="shared" si="55"/>
        <v/>
      </c>
      <c r="B883" s="53"/>
      <c r="C883" s="28" t="str">
        <f t="shared" si="52"/>
        <v/>
      </c>
      <c r="D883" s="28" t="str">
        <f t="shared" si="53"/>
        <v/>
      </c>
      <c r="E883" s="77"/>
      <c r="F883" s="45"/>
      <c r="G883" s="56"/>
      <c r="H883" s="83"/>
      <c r="I883" s="35" t="str">
        <f t="shared" si="54"/>
        <v/>
      </c>
    </row>
    <row r="884" spans="1:9">
      <c r="A884" s="10" t="str">
        <f t="shared" si="55"/>
        <v/>
      </c>
      <c r="B884" s="53"/>
      <c r="C884" s="28" t="str">
        <f t="shared" si="52"/>
        <v/>
      </c>
      <c r="D884" s="28" t="str">
        <f t="shared" si="53"/>
        <v/>
      </c>
      <c r="E884" s="77"/>
      <c r="F884" s="45"/>
      <c r="G884" s="56"/>
      <c r="H884" s="83"/>
      <c r="I884" s="35" t="str">
        <f t="shared" si="54"/>
        <v/>
      </c>
    </row>
    <row r="885" spans="1:9">
      <c r="A885" s="10" t="str">
        <f t="shared" si="55"/>
        <v/>
      </c>
      <c r="B885" s="53"/>
      <c r="C885" s="28" t="str">
        <f t="shared" si="52"/>
        <v/>
      </c>
      <c r="D885" s="28" t="str">
        <f t="shared" si="53"/>
        <v/>
      </c>
      <c r="E885" s="77"/>
      <c r="F885" s="45"/>
      <c r="G885" s="56"/>
      <c r="H885" s="83"/>
      <c r="I885" s="35" t="str">
        <f t="shared" si="54"/>
        <v/>
      </c>
    </row>
    <row r="886" spans="1:9">
      <c r="A886" s="10" t="str">
        <f t="shared" si="55"/>
        <v/>
      </c>
      <c r="B886" s="53"/>
      <c r="C886" s="28" t="str">
        <f t="shared" si="52"/>
        <v/>
      </c>
      <c r="D886" s="28" t="str">
        <f t="shared" si="53"/>
        <v/>
      </c>
      <c r="E886" s="77"/>
      <c r="F886" s="45"/>
      <c r="G886" s="56"/>
      <c r="H886" s="83"/>
      <c r="I886" s="35" t="str">
        <f t="shared" si="54"/>
        <v/>
      </c>
    </row>
    <row r="887" spans="1:9">
      <c r="A887" s="10" t="str">
        <f t="shared" si="55"/>
        <v/>
      </c>
      <c r="B887" s="53"/>
      <c r="C887" s="28" t="str">
        <f t="shared" si="52"/>
        <v/>
      </c>
      <c r="D887" s="28" t="str">
        <f t="shared" si="53"/>
        <v/>
      </c>
      <c r="E887" s="77"/>
      <c r="F887" s="45"/>
      <c r="G887" s="56"/>
      <c r="H887" s="83"/>
      <c r="I887" s="35" t="str">
        <f t="shared" si="54"/>
        <v/>
      </c>
    </row>
    <row r="888" spans="1:9">
      <c r="A888" s="10" t="str">
        <f t="shared" si="55"/>
        <v/>
      </c>
      <c r="B888" s="53"/>
      <c r="C888" s="28" t="str">
        <f t="shared" si="52"/>
        <v/>
      </c>
      <c r="D888" s="28" t="str">
        <f t="shared" si="53"/>
        <v/>
      </c>
      <c r="E888" s="77"/>
      <c r="F888" s="45"/>
      <c r="G888" s="56"/>
      <c r="H888" s="83"/>
      <c r="I888" s="35" t="str">
        <f t="shared" si="54"/>
        <v/>
      </c>
    </row>
    <row r="889" spans="1:9">
      <c r="A889" s="10" t="str">
        <f t="shared" si="55"/>
        <v/>
      </c>
      <c r="B889" s="53"/>
      <c r="C889" s="28" t="str">
        <f t="shared" si="52"/>
        <v/>
      </c>
      <c r="D889" s="28" t="str">
        <f t="shared" si="53"/>
        <v/>
      </c>
      <c r="E889" s="77"/>
      <c r="F889" s="45"/>
      <c r="G889" s="56"/>
      <c r="H889" s="83"/>
      <c r="I889" s="35" t="str">
        <f t="shared" si="54"/>
        <v/>
      </c>
    </row>
    <row r="890" spans="1:9">
      <c r="A890" s="10" t="str">
        <f t="shared" si="55"/>
        <v/>
      </c>
      <c r="B890" s="53"/>
      <c r="C890" s="28" t="str">
        <f t="shared" si="52"/>
        <v/>
      </c>
      <c r="D890" s="28" t="str">
        <f t="shared" si="53"/>
        <v/>
      </c>
      <c r="E890" s="77"/>
      <c r="F890" s="45"/>
      <c r="G890" s="56"/>
      <c r="H890" s="83"/>
      <c r="I890" s="35" t="str">
        <f t="shared" si="54"/>
        <v/>
      </c>
    </row>
    <row r="891" spans="1:9">
      <c r="A891" s="10" t="str">
        <f t="shared" si="55"/>
        <v/>
      </c>
      <c r="B891" s="53"/>
      <c r="C891" s="28" t="str">
        <f t="shared" si="52"/>
        <v/>
      </c>
      <c r="D891" s="28" t="str">
        <f t="shared" si="53"/>
        <v/>
      </c>
      <c r="E891" s="77"/>
      <c r="F891" s="45"/>
      <c r="G891" s="56"/>
      <c r="H891" s="83"/>
      <c r="I891" s="35" t="str">
        <f t="shared" si="54"/>
        <v/>
      </c>
    </row>
    <row r="892" spans="1:9">
      <c r="A892" s="10" t="str">
        <f t="shared" si="55"/>
        <v/>
      </c>
      <c r="B892" s="53"/>
      <c r="C892" s="28" t="str">
        <f t="shared" si="52"/>
        <v/>
      </c>
      <c r="D892" s="28" t="str">
        <f t="shared" si="53"/>
        <v/>
      </c>
      <c r="E892" s="77"/>
      <c r="F892" s="45"/>
      <c r="G892" s="56"/>
      <c r="H892" s="83"/>
      <c r="I892" s="35" t="str">
        <f t="shared" si="54"/>
        <v/>
      </c>
    </row>
    <row r="893" spans="1:9">
      <c r="A893" s="10" t="str">
        <f t="shared" si="55"/>
        <v/>
      </c>
      <c r="B893" s="53"/>
      <c r="C893" s="28" t="str">
        <f t="shared" si="52"/>
        <v/>
      </c>
      <c r="D893" s="28" t="str">
        <f t="shared" si="53"/>
        <v/>
      </c>
      <c r="E893" s="77"/>
      <c r="F893" s="45"/>
      <c r="G893" s="56"/>
      <c r="H893" s="83"/>
      <c r="I893" s="35" t="str">
        <f t="shared" si="54"/>
        <v/>
      </c>
    </row>
    <row r="894" spans="1:9">
      <c r="A894" s="10" t="str">
        <f t="shared" si="55"/>
        <v/>
      </c>
      <c r="B894" s="53"/>
      <c r="C894" s="28" t="str">
        <f t="shared" si="52"/>
        <v/>
      </c>
      <c r="D894" s="28" t="str">
        <f t="shared" si="53"/>
        <v/>
      </c>
      <c r="E894" s="77"/>
      <c r="F894" s="45"/>
      <c r="G894" s="56"/>
      <c r="H894" s="83"/>
      <c r="I894" s="35" t="str">
        <f t="shared" si="54"/>
        <v/>
      </c>
    </row>
    <row r="895" spans="1:9">
      <c r="A895" s="10" t="str">
        <f t="shared" si="55"/>
        <v/>
      </c>
      <c r="B895" s="53"/>
      <c r="C895" s="28" t="str">
        <f t="shared" si="52"/>
        <v/>
      </c>
      <c r="D895" s="28" t="str">
        <f t="shared" si="53"/>
        <v/>
      </c>
      <c r="E895" s="77"/>
      <c r="F895" s="45"/>
      <c r="G895" s="56"/>
      <c r="H895" s="83"/>
      <c r="I895" s="35" t="str">
        <f t="shared" si="54"/>
        <v/>
      </c>
    </row>
    <row r="896" spans="1:9">
      <c r="A896" s="10" t="str">
        <f t="shared" si="55"/>
        <v/>
      </c>
      <c r="B896" s="53"/>
      <c r="C896" s="28" t="str">
        <f t="shared" si="52"/>
        <v/>
      </c>
      <c r="D896" s="28" t="str">
        <f t="shared" si="53"/>
        <v/>
      </c>
      <c r="E896" s="77"/>
      <c r="F896" s="45"/>
      <c r="G896" s="56"/>
      <c r="H896" s="83"/>
      <c r="I896" s="35" t="str">
        <f t="shared" si="54"/>
        <v/>
      </c>
    </row>
    <row r="897" spans="1:9">
      <c r="A897" s="10" t="str">
        <f t="shared" si="55"/>
        <v/>
      </c>
      <c r="B897" s="53"/>
      <c r="C897" s="28" t="str">
        <f t="shared" si="52"/>
        <v/>
      </c>
      <c r="D897" s="28" t="str">
        <f t="shared" si="53"/>
        <v/>
      </c>
      <c r="E897" s="77"/>
      <c r="F897" s="45"/>
      <c r="G897" s="56"/>
      <c r="H897" s="83"/>
      <c r="I897" s="35" t="str">
        <f t="shared" si="54"/>
        <v/>
      </c>
    </row>
    <row r="898" spans="1:9">
      <c r="A898" s="10" t="str">
        <f t="shared" si="55"/>
        <v/>
      </c>
      <c r="B898" s="53"/>
      <c r="C898" s="28" t="str">
        <f t="shared" ref="C898:C961" si="56">IF(B898=0,"",TEXT(B898,"mmmm"))</f>
        <v/>
      </c>
      <c r="D898" s="28" t="str">
        <f t="shared" ref="D898:D961" si="57">IF(B898=0,"",TEXT(B898,"yyyy"))</f>
        <v/>
      </c>
      <c r="E898" s="77"/>
      <c r="F898" s="45"/>
      <c r="G898" s="56"/>
      <c r="H898" s="83"/>
      <c r="I898" s="35" t="str">
        <f t="shared" ref="I898:I961" si="58">IF(G898*H898=0,"",G898*H898)</f>
        <v/>
      </c>
    </row>
    <row r="899" spans="1:9">
      <c r="A899" s="10" t="str">
        <f t="shared" si="55"/>
        <v/>
      </c>
      <c r="B899" s="53"/>
      <c r="C899" s="28" t="str">
        <f t="shared" si="56"/>
        <v/>
      </c>
      <c r="D899" s="28" t="str">
        <f t="shared" si="57"/>
        <v/>
      </c>
      <c r="E899" s="77"/>
      <c r="F899" s="45"/>
      <c r="G899" s="56"/>
      <c r="H899" s="83"/>
      <c r="I899" s="35" t="str">
        <f t="shared" si="58"/>
        <v/>
      </c>
    </row>
    <row r="900" spans="1:9">
      <c r="A900" s="10" t="str">
        <f t="shared" ref="A900:A963" si="59">IF(E900&gt;0,A899+1,"")</f>
        <v/>
      </c>
      <c r="B900" s="53"/>
      <c r="C900" s="28" t="str">
        <f t="shared" si="56"/>
        <v/>
      </c>
      <c r="D900" s="28" t="str">
        <f t="shared" si="57"/>
        <v/>
      </c>
      <c r="E900" s="77"/>
      <c r="F900" s="45"/>
      <c r="G900" s="56"/>
      <c r="H900" s="83"/>
      <c r="I900" s="35" t="str">
        <f t="shared" si="58"/>
        <v/>
      </c>
    </row>
    <row r="901" spans="1:9">
      <c r="A901" s="10" t="str">
        <f t="shared" si="59"/>
        <v/>
      </c>
      <c r="B901" s="53"/>
      <c r="C901" s="28" t="str">
        <f t="shared" si="56"/>
        <v/>
      </c>
      <c r="D901" s="28" t="str">
        <f t="shared" si="57"/>
        <v/>
      </c>
      <c r="E901" s="77"/>
      <c r="F901" s="45"/>
      <c r="G901" s="56"/>
      <c r="H901" s="83"/>
      <c r="I901" s="35" t="str">
        <f t="shared" si="58"/>
        <v/>
      </c>
    </row>
    <row r="902" spans="1:9">
      <c r="A902" s="10" t="str">
        <f t="shared" si="59"/>
        <v/>
      </c>
      <c r="B902" s="53"/>
      <c r="C902" s="28" t="str">
        <f t="shared" si="56"/>
        <v/>
      </c>
      <c r="D902" s="28" t="str">
        <f t="shared" si="57"/>
        <v/>
      </c>
      <c r="E902" s="77"/>
      <c r="F902" s="45"/>
      <c r="G902" s="56"/>
      <c r="H902" s="83"/>
      <c r="I902" s="35" t="str">
        <f t="shared" si="58"/>
        <v/>
      </c>
    </row>
    <row r="903" spans="1:9">
      <c r="A903" s="10" t="str">
        <f t="shared" si="59"/>
        <v/>
      </c>
      <c r="B903" s="53"/>
      <c r="C903" s="28" t="str">
        <f t="shared" si="56"/>
        <v/>
      </c>
      <c r="D903" s="28" t="str">
        <f t="shared" si="57"/>
        <v/>
      </c>
      <c r="E903" s="77"/>
      <c r="F903" s="45"/>
      <c r="G903" s="56"/>
      <c r="H903" s="83"/>
      <c r="I903" s="35" t="str">
        <f t="shared" si="58"/>
        <v/>
      </c>
    </row>
    <row r="904" spans="1:9">
      <c r="A904" s="10" t="str">
        <f t="shared" si="59"/>
        <v/>
      </c>
      <c r="B904" s="53"/>
      <c r="C904" s="28" t="str">
        <f t="shared" si="56"/>
        <v/>
      </c>
      <c r="D904" s="28" t="str">
        <f t="shared" si="57"/>
        <v/>
      </c>
      <c r="E904" s="77"/>
      <c r="F904" s="45"/>
      <c r="G904" s="56"/>
      <c r="H904" s="83"/>
      <c r="I904" s="35" t="str">
        <f t="shared" si="58"/>
        <v/>
      </c>
    </row>
    <row r="905" spans="1:9">
      <c r="A905" s="10" t="str">
        <f t="shared" si="59"/>
        <v/>
      </c>
      <c r="B905" s="53"/>
      <c r="C905" s="28" t="str">
        <f t="shared" si="56"/>
        <v/>
      </c>
      <c r="D905" s="28" t="str">
        <f t="shared" si="57"/>
        <v/>
      </c>
      <c r="E905" s="77"/>
      <c r="F905" s="45"/>
      <c r="G905" s="56"/>
      <c r="H905" s="83"/>
      <c r="I905" s="35" t="str">
        <f t="shared" si="58"/>
        <v/>
      </c>
    </row>
    <row r="906" spans="1:9">
      <c r="A906" s="10" t="str">
        <f t="shared" si="59"/>
        <v/>
      </c>
      <c r="B906" s="53"/>
      <c r="C906" s="28" t="str">
        <f t="shared" si="56"/>
        <v/>
      </c>
      <c r="D906" s="28" t="str">
        <f t="shared" si="57"/>
        <v/>
      </c>
      <c r="E906" s="77"/>
      <c r="F906" s="45"/>
      <c r="G906" s="56"/>
      <c r="H906" s="83"/>
      <c r="I906" s="35" t="str">
        <f t="shared" si="58"/>
        <v/>
      </c>
    </row>
    <row r="907" spans="1:9">
      <c r="A907" s="10" t="str">
        <f t="shared" si="59"/>
        <v/>
      </c>
      <c r="B907" s="53"/>
      <c r="C907" s="28" t="str">
        <f t="shared" si="56"/>
        <v/>
      </c>
      <c r="D907" s="28" t="str">
        <f t="shared" si="57"/>
        <v/>
      </c>
      <c r="E907" s="77"/>
      <c r="F907" s="45"/>
      <c r="G907" s="56"/>
      <c r="H907" s="83"/>
      <c r="I907" s="35" t="str">
        <f t="shared" si="58"/>
        <v/>
      </c>
    </row>
    <row r="908" spans="1:9">
      <c r="A908" s="10" t="str">
        <f t="shared" si="59"/>
        <v/>
      </c>
      <c r="B908" s="53"/>
      <c r="C908" s="28" t="str">
        <f t="shared" si="56"/>
        <v/>
      </c>
      <c r="D908" s="28" t="str">
        <f t="shared" si="57"/>
        <v/>
      </c>
      <c r="E908" s="77"/>
      <c r="F908" s="45"/>
      <c r="G908" s="56"/>
      <c r="H908" s="83"/>
      <c r="I908" s="35" t="str">
        <f t="shared" si="58"/>
        <v/>
      </c>
    </row>
    <row r="909" spans="1:9">
      <c r="A909" s="10" t="str">
        <f t="shared" si="59"/>
        <v/>
      </c>
      <c r="B909" s="53"/>
      <c r="C909" s="28" t="str">
        <f t="shared" si="56"/>
        <v/>
      </c>
      <c r="D909" s="28" t="str">
        <f t="shared" si="57"/>
        <v/>
      </c>
      <c r="E909" s="77"/>
      <c r="F909" s="45"/>
      <c r="G909" s="56"/>
      <c r="H909" s="83"/>
      <c r="I909" s="35" t="str">
        <f t="shared" si="58"/>
        <v/>
      </c>
    </row>
    <row r="910" spans="1:9">
      <c r="A910" s="10" t="str">
        <f t="shared" si="59"/>
        <v/>
      </c>
      <c r="B910" s="53"/>
      <c r="C910" s="28" t="str">
        <f t="shared" si="56"/>
        <v/>
      </c>
      <c r="D910" s="28" t="str">
        <f t="shared" si="57"/>
        <v/>
      </c>
      <c r="E910" s="77"/>
      <c r="F910" s="45"/>
      <c r="G910" s="56"/>
      <c r="H910" s="83"/>
      <c r="I910" s="35" t="str">
        <f t="shared" si="58"/>
        <v/>
      </c>
    </row>
    <row r="911" spans="1:9">
      <c r="A911" s="10" t="str">
        <f t="shared" si="59"/>
        <v/>
      </c>
      <c r="B911" s="53"/>
      <c r="C911" s="28" t="str">
        <f t="shared" si="56"/>
        <v/>
      </c>
      <c r="D911" s="28" t="str">
        <f t="shared" si="57"/>
        <v/>
      </c>
      <c r="E911" s="77"/>
      <c r="F911" s="45"/>
      <c r="G911" s="56"/>
      <c r="H911" s="83"/>
      <c r="I911" s="35" t="str">
        <f t="shared" si="58"/>
        <v/>
      </c>
    </row>
    <row r="912" spans="1:9">
      <c r="A912" s="10" t="str">
        <f t="shared" si="59"/>
        <v/>
      </c>
      <c r="B912" s="53"/>
      <c r="C912" s="28" t="str">
        <f t="shared" si="56"/>
        <v/>
      </c>
      <c r="D912" s="28" t="str">
        <f t="shared" si="57"/>
        <v/>
      </c>
      <c r="E912" s="77"/>
      <c r="F912" s="45"/>
      <c r="G912" s="56"/>
      <c r="H912" s="83"/>
      <c r="I912" s="35" t="str">
        <f t="shared" si="58"/>
        <v/>
      </c>
    </row>
    <row r="913" spans="1:9">
      <c r="A913" s="10" t="str">
        <f t="shared" si="59"/>
        <v/>
      </c>
      <c r="B913" s="53"/>
      <c r="C913" s="28" t="str">
        <f t="shared" si="56"/>
        <v/>
      </c>
      <c r="D913" s="28" t="str">
        <f t="shared" si="57"/>
        <v/>
      </c>
      <c r="E913" s="77"/>
      <c r="F913" s="45"/>
      <c r="G913" s="56"/>
      <c r="H913" s="83"/>
      <c r="I913" s="35" t="str">
        <f t="shared" si="58"/>
        <v/>
      </c>
    </row>
    <row r="914" spans="1:9">
      <c r="A914" s="10" t="str">
        <f t="shared" si="59"/>
        <v/>
      </c>
      <c r="B914" s="53"/>
      <c r="C914" s="28" t="str">
        <f t="shared" si="56"/>
        <v/>
      </c>
      <c r="D914" s="28" t="str">
        <f t="shared" si="57"/>
        <v/>
      </c>
      <c r="E914" s="77"/>
      <c r="F914" s="45"/>
      <c r="G914" s="56"/>
      <c r="H914" s="83"/>
      <c r="I914" s="35" t="str">
        <f t="shared" si="58"/>
        <v/>
      </c>
    </row>
    <row r="915" spans="1:9">
      <c r="A915" s="10" t="str">
        <f t="shared" si="59"/>
        <v/>
      </c>
      <c r="B915" s="53"/>
      <c r="C915" s="28" t="str">
        <f t="shared" si="56"/>
        <v/>
      </c>
      <c r="D915" s="28" t="str">
        <f t="shared" si="57"/>
        <v/>
      </c>
      <c r="E915" s="77"/>
      <c r="F915" s="45"/>
      <c r="G915" s="56"/>
      <c r="H915" s="83"/>
      <c r="I915" s="35" t="str">
        <f t="shared" si="58"/>
        <v/>
      </c>
    </row>
    <row r="916" spans="1:9">
      <c r="A916" s="10" t="str">
        <f t="shared" si="59"/>
        <v/>
      </c>
      <c r="B916" s="53"/>
      <c r="C916" s="28" t="str">
        <f t="shared" si="56"/>
        <v/>
      </c>
      <c r="D916" s="28" t="str">
        <f t="shared" si="57"/>
        <v/>
      </c>
      <c r="E916" s="77"/>
      <c r="F916" s="45"/>
      <c r="G916" s="56"/>
      <c r="H916" s="83"/>
      <c r="I916" s="35" t="str">
        <f t="shared" si="58"/>
        <v/>
      </c>
    </row>
    <row r="917" spans="1:9">
      <c r="A917" s="10" t="str">
        <f t="shared" si="59"/>
        <v/>
      </c>
      <c r="B917" s="53"/>
      <c r="C917" s="28" t="str">
        <f t="shared" si="56"/>
        <v/>
      </c>
      <c r="D917" s="28" t="str">
        <f t="shared" si="57"/>
        <v/>
      </c>
      <c r="E917" s="77"/>
      <c r="F917" s="45"/>
      <c r="G917" s="56"/>
      <c r="H917" s="83"/>
      <c r="I917" s="35" t="str">
        <f t="shared" si="58"/>
        <v/>
      </c>
    </row>
    <row r="918" spans="1:9">
      <c r="A918" s="10" t="str">
        <f t="shared" si="59"/>
        <v/>
      </c>
      <c r="B918" s="53"/>
      <c r="C918" s="28" t="str">
        <f t="shared" si="56"/>
        <v/>
      </c>
      <c r="D918" s="28" t="str">
        <f t="shared" si="57"/>
        <v/>
      </c>
      <c r="E918" s="77"/>
      <c r="F918" s="45"/>
      <c r="G918" s="56"/>
      <c r="H918" s="83"/>
      <c r="I918" s="35" t="str">
        <f t="shared" si="58"/>
        <v/>
      </c>
    </row>
    <row r="919" spans="1:9">
      <c r="A919" s="10" t="str">
        <f t="shared" si="59"/>
        <v/>
      </c>
      <c r="B919" s="53"/>
      <c r="C919" s="28" t="str">
        <f t="shared" si="56"/>
        <v/>
      </c>
      <c r="D919" s="28" t="str">
        <f t="shared" si="57"/>
        <v/>
      </c>
      <c r="E919" s="77"/>
      <c r="F919" s="45"/>
      <c r="G919" s="56"/>
      <c r="H919" s="83"/>
      <c r="I919" s="35" t="str">
        <f t="shared" si="58"/>
        <v/>
      </c>
    </row>
    <row r="920" spans="1:9">
      <c r="A920" s="10" t="str">
        <f t="shared" si="59"/>
        <v/>
      </c>
      <c r="B920" s="53"/>
      <c r="C920" s="28" t="str">
        <f t="shared" si="56"/>
        <v/>
      </c>
      <c r="D920" s="28" t="str">
        <f t="shared" si="57"/>
        <v/>
      </c>
      <c r="E920" s="77"/>
      <c r="F920" s="45"/>
      <c r="G920" s="56"/>
      <c r="H920" s="83"/>
      <c r="I920" s="35" t="str">
        <f t="shared" si="58"/>
        <v/>
      </c>
    </row>
    <row r="921" spans="1:9">
      <c r="A921" s="10" t="str">
        <f t="shared" si="59"/>
        <v/>
      </c>
      <c r="B921" s="53"/>
      <c r="C921" s="28" t="str">
        <f t="shared" si="56"/>
        <v/>
      </c>
      <c r="D921" s="28" t="str">
        <f t="shared" si="57"/>
        <v/>
      </c>
      <c r="E921" s="77"/>
      <c r="F921" s="45"/>
      <c r="G921" s="56"/>
      <c r="H921" s="83"/>
      <c r="I921" s="35" t="str">
        <f t="shared" si="58"/>
        <v/>
      </c>
    </row>
    <row r="922" spans="1:9">
      <c r="A922" s="10" t="str">
        <f t="shared" si="59"/>
        <v/>
      </c>
      <c r="B922" s="53"/>
      <c r="C922" s="28" t="str">
        <f t="shared" si="56"/>
        <v/>
      </c>
      <c r="D922" s="28" t="str">
        <f t="shared" si="57"/>
        <v/>
      </c>
      <c r="E922" s="77"/>
      <c r="F922" s="45"/>
      <c r="G922" s="56"/>
      <c r="H922" s="83"/>
      <c r="I922" s="35" t="str">
        <f t="shared" si="58"/>
        <v/>
      </c>
    </row>
    <row r="923" spans="1:9">
      <c r="A923" s="10" t="str">
        <f t="shared" si="59"/>
        <v/>
      </c>
      <c r="B923" s="53"/>
      <c r="C923" s="28" t="str">
        <f t="shared" si="56"/>
        <v/>
      </c>
      <c r="D923" s="28" t="str">
        <f t="shared" si="57"/>
        <v/>
      </c>
      <c r="E923" s="77"/>
      <c r="F923" s="45"/>
      <c r="G923" s="56"/>
      <c r="H923" s="83"/>
      <c r="I923" s="35" t="str">
        <f t="shared" si="58"/>
        <v/>
      </c>
    </row>
    <row r="924" spans="1:9">
      <c r="A924" s="10" t="str">
        <f t="shared" si="59"/>
        <v/>
      </c>
      <c r="B924" s="53"/>
      <c r="C924" s="28" t="str">
        <f t="shared" si="56"/>
        <v/>
      </c>
      <c r="D924" s="28" t="str">
        <f t="shared" si="57"/>
        <v/>
      </c>
      <c r="E924" s="77"/>
      <c r="F924" s="45"/>
      <c r="G924" s="56"/>
      <c r="H924" s="83"/>
      <c r="I924" s="35" t="str">
        <f t="shared" si="58"/>
        <v/>
      </c>
    </row>
    <row r="925" spans="1:9">
      <c r="A925" s="10" t="str">
        <f t="shared" si="59"/>
        <v/>
      </c>
      <c r="B925" s="53"/>
      <c r="C925" s="28" t="str">
        <f t="shared" si="56"/>
        <v/>
      </c>
      <c r="D925" s="28" t="str">
        <f t="shared" si="57"/>
        <v/>
      </c>
      <c r="E925" s="77"/>
      <c r="F925" s="45"/>
      <c r="G925" s="56"/>
      <c r="H925" s="83"/>
      <c r="I925" s="35" t="str">
        <f t="shared" si="58"/>
        <v/>
      </c>
    </row>
    <row r="926" spans="1:9">
      <c r="A926" s="10" t="str">
        <f t="shared" si="59"/>
        <v/>
      </c>
      <c r="B926" s="53"/>
      <c r="C926" s="28" t="str">
        <f t="shared" si="56"/>
        <v/>
      </c>
      <c r="D926" s="28" t="str">
        <f t="shared" si="57"/>
        <v/>
      </c>
      <c r="E926" s="77"/>
      <c r="F926" s="45"/>
      <c r="G926" s="56"/>
      <c r="H926" s="83"/>
      <c r="I926" s="35" t="str">
        <f t="shared" si="58"/>
        <v/>
      </c>
    </row>
    <row r="927" spans="1:9">
      <c r="A927" s="10" t="str">
        <f t="shared" si="59"/>
        <v/>
      </c>
      <c r="B927" s="53"/>
      <c r="C927" s="28" t="str">
        <f t="shared" si="56"/>
        <v/>
      </c>
      <c r="D927" s="28" t="str">
        <f t="shared" si="57"/>
        <v/>
      </c>
      <c r="E927" s="77"/>
      <c r="F927" s="45"/>
      <c r="G927" s="56"/>
      <c r="H927" s="83"/>
      <c r="I927" s="35" t="str">
        <f t="shared" si="58"/>
        <v/>
      </c>
    </row>
    <row r="928" spans="1:9">
      <c r="A928" s="10" t="str">
        <f t="shared" si="59"/>
        <v/>
      </c>
      <c r="B928" s="53"/>
      <c r="C928" s="28" t="str">
        <f t="shared" si="56"/>
        <v/>
      </c>
      <c r="D928" s="28" t="str">
        <f t="shared" si="57"/>
        <v/>
      </c>
      <c r="E928" s="77"/>
      <c r="F928" s="45"/>
      <c r="G928" s="56"/>
      <c r="H928" s="83"/>
      <c r="I928" s="35" t="str">
        <f t="shared" si="58"/>
        <v/>
      </c>
    </row>
    <row r="929" spans="1:9">
      <c r="A929" s="10" t="str">
        <f t="shared" si="59"/>
        <v/>
      </c>
      <c r="B929" s="53"/>
      <c r="C929" s="28" t="str">
        <f t="shared" si="56"/>
        <v/>
      </c>
      <c r="D929" s="28" t="str">
        <f t="shared" si="57"/>
        <v/>
      </c>
      <c r="E929" s="77"/>
      <c r="F929" s="45"/>
      <c r="G929" s="56"/>
      <c r="H929" s="83"/>
      <c r="I929" s="35" t="str">
        <f t="shared" si="58"/>
        <v/>
      </c>
    </row>
    <row r="930" spans="1:9">
      <c r="A930" s="10" t="str">
        <f t="shared" si="59"/>
        <v/>
      </c>
      <c r="B930" s="53"/>
      <c r="C930" s="28" t="str">
        <f t="shared" si="56"/>
        <v/>
      </c>
      <c r="D930" s="28" t="str">
        <f t="shared" si="57"/>
        <v/>
      </c>
      <c r="E930" s="77"/>
      <c r="F930" s="45"/>
      <c r="G930" s="56"/>
      <c r="H930" s="83"/>
      <c r="I930" s="35" t="str">
        <f t="shared" si="58"/>
        <v/>
      </c>
    </row>
    <row r="931" spans="1:9">
      <c r="A931" s="10" t="str">
        <f t="shared" si="59"/>
        <v/>
      </c>
      <c r="B931" s="53"/>
      <c r="C931" s="28" t="str">
        <f t="shared" si="56"/>
        <v/>
      </c>
      <c r="D931" s="28" t="str">
        <f t="shared" si="57"/>
        <v/>
      </c>
      <c r="E931" s="77"/>
      <c r="F931" s="45"/>
      <c r="G931" s="56"/>
      <c r="H931" s="83"/>
      <c r="I931" s="35" t="str">
        <f t="shared" si="58"/>
        <v/>
      </c>
    </row>
    <row r="932" spans="1:9">
      <c r="A932" s="10" t="str">
        <f t="shared" si="59"/>
        <v/>
      </c>
      <c r="B932" s="53"/>
      <c r="C932" s="28" t="str">
        <f t="shared" si="56"/>
        <v/>
      </c>
      <c r="D932" s="28" t="str">
        <f t="shared" si="57"/>
        <v/>
      </c>
      <c r="E932" s="77"/>
      <c r="F932" s="45"/>
      <c r="G932" s="56"/>
      <c r="H932" s="83"/>
      <c r="I932" s="35" t="str">
        <f t="shared" si="58"/>
        <v/>
      </c>
    </row>
    <row r="933" spans="1:9">
      <c r="A933" s="10" t="str">
        <f t="shared" si="59"/>
        <v/>
      </c>
      <c r="B933" s="53"/>
      <c r="C933" s="28" t="str">
        <f t="shared" si="56"/>
        <v/>
      </c>
      <c r="D933" s="28" t="str">
        <f t="shared" si="57"/>
        <v/>
      </c>
      <c r="E933" s="77"/>
      <c r="F933" s="45"/>
      <c r="G933" s="56"/>
      <c r="H933" s="83"/>
      <c r="I933" s="35" t="str">
        <f t="shared" si="58"/>
        <v/>
      </c>
    </row>
    <row r="934" spans="1:9">
      <c r="A934" s="10" t="str">
        <f t="shared" si="59"/>
        <v/>
      </c>
      <c r="B934" s="53"/>
      <c r="C934" s="28" t="str">
        <f t="shared" si="56"/>
        <v/>
      </c>
      <c r="D934" s="28" t="str">
        <f t="shared" si="57"/>
        <v/>
      </c>
      <c r="E934" s="77"/>
      <c r="F934" s="45"/>
      <c r="G934" s="56"/>
      <c r="H934" s="83"/>
      <c r="I934" s="35" t="str">
        <f t="shared" si="58"/>
        <v/>
      </c>
    </row>
    <row r="935" spans="1:9">
      <c r="A935" s="10" t="str">
        <f t="shared" si="59"/>
        <v/>
      </c>
      <c r="B935" s="53"/>
      <c r="C935" s="28" t="str">
        <f t="shared" si="56"/>
        <v/>
      </c>
      <c r="D935" s="28" t="str">
        <f t="shared" si="57"/>
        <v/>
      </c>
      <c r="E935" s="77"/>
      <c r="F935" s="45"/>
      <c r="G935" s="56"/>
      <c r="H935" s="83"/>
      <c r="I935" s="35" t="str">
        <f t="shared" si="58"/>
        <v/>
      </c>
    </row>
    <row r="936" spans="1:9">
      <c r="A936" s="10" t="str">
        <f t="shared" si="59"/>
        <v/>
      </c>
      <c r="B936" s="53"/>
      <c r="C936" s="28" t="str">
        <f t="shared" si="56"/>
        <v/>
      </c>
      <c r="D936" s="28" t="str">
        <f t="shared" si="57"/>
        <v/>
      </c>
      <c r="E936" s="77"/>
      <c r="F936" s="45"/>
      <c r="G936" s="56"/>
      <c r="H936" s="83"/>
      <c r="I936" s="35" t="str">
        <f t="shared" si="58"/>
        <v/>
      </c>
    </row>
    <row r="937" spans="1:9">
      <c r="A937" s="10" t="str">
        <f t="shared" si="59"/>
        <v/>
      </c>
      <c r="B937" s="53"/>
      <c r="C937" s="28" t="str">
        <f t="shared" si="56"/>
        <v/>
      </c>
      <c r="D937" s="28" t="str">
        <f t="shared" si="57"/>
        <v/>
      </c>
      <c r="E937" s="77"/>
      <c r="F937" s="45"/>
      <c r="G937" s="56"/>
      <c r="H937" s="83"/>
      <c r="I937" s="35" t="str">
        <f t="shared" si="58"/>
        <v/>
      </c>
    </row>
    <row r="938" spans="1:9">
      <c r="A938" s="10" t="str">
        <f t="shared" si="59"/>
        <v/>
      </c>
      <c r="B938" s="53"/>
      <c r="C938" s="28" t="str">
        <f t="shared" si="56"/>
        <v/>
      </c>
      <c r="D938" s="28" t="str">
        <f t="shared" si="57"/>
        <v/>
      </c>
      <c r="E938" s="77"/>
      <c r="F938" s="45"/>
      <c r="G938" s="56"/>
      <c r="H938" s="83"/>
      <c r="I938" s="35" t="str">
        <f t="shared" si="58"/>
        <v/>
      </c>
    </row>
    <row r="939" spans="1:9">
      <c r="A939" s="10" t="str">
        <f t="shared" si="59"/>
        <v/>
      </c>
      <c r="B939" s="53"/>
      <c r="C939" s="28" t="str">
        <f t="shared" si="56"/>
        <v/>
      </c>
      <c r="D939" s="28" t="str">
        <f t="shared" si="57"/>
        <v/>
      </c>
      <c r="E939" s="77"/>
      <c r="F939" s="45"/>
      <c r="G939" s="56"/>
      <c r="H939" s="83"/>
      <c r="I939" s="35" t="str">
        <f t="shared" si="58"/>
        <v/>
      </c>
    </row>
    <row r="940" spans="1:9">
      <c r="A940" s="10" t="str">
        <f t="shared" si="59"/>
        <v/>
      </c>
      <c r="B940" s="53"/>
      <c r="C940" s="28" t="str">
        <f t="shared" si="56"/>
        <v/>
      </c>
      <c r="D940" s="28" t="str">
        <f t="shared" si="57"/>
        <v/>
      </c>
      <c r="E940" s="77"/>
      <c r="F940" s="45"/>
      <c r="G940" s="56"/>
      <c r="H940" s="83"/>
      <c r="I940" s="35" t="str">
        <f t="shared" si="58"/>
        <v/>
      </c>
    </row>
    <row r="941" spans="1:9">
      <c r="A941" s="10" t="str">
        <f t="shared" si="59"/>
        <v/>
      </c>
      <c r="B941" s="53"/>
      <c r="C941" s="28" t="str">
        <f t="shared" si="56"/>
        <v/>
      </c>
      <c r="D941" s="28" t="str">
        <f t="shared" si="57"/>
        <v/>
      </c>
      <c r="E941" s="77"/>
      <c r="F941" s="45"/>
      <c r="G941" s="56"/>
      <c r="H941" s="83"/>
      <c r="I941" s="35" t="str">
        <f t="shared" si="58"/>
        <v/>
      </c>
    </row>
    <row r="942" spans="1:9">
      <c r="A942" s="10" t="str">
        <f t="shared" si="59"/>
        <v/>
      </c>
      <c r="B942" s="53"/>
      <c r="C942" s="28" t="str">
        <f t="shared" si="56"/>
        <v/>
      </c>
      <c r="D942" s="28" t="str">
        <f t="shared" si="57"/>
        <v/>
      </c>
      <c r="E942" s="77"/>
      <c r="F942" s="45"/>
      <c r="G942" s="56"/>
      <c r="H942" s="83"/>
      <c r="I942" s="35" t="str">
        <f t="shared" si="58"/>
        <v/>
      </c>
    </row>
    <row r="943" spans="1:9">
      <c r="A943" s="10" t="str">
        <f t="shared" si="59"/>
        <v/>
      </c>
      <c r="B943" s="53"/>
      <c r="C943" s="28" t="str">
        <f t="shared" si="56"/>
        <v/>
      </c>
      <c r="D943" s="28" t="str">
        <f t="shared" si="57"/>
        <v/>
      </c>
      <c r="E943" s="77"/>
      <c r="F943" s="45"/>
      <c r="G943" s="56"/>
      <c r="H943" s="83"/>
      <c r="I943" s="35" t="str">
        <f t="shared" si="58"/>
        <v/>
      </c>
    </row>
    <row r="944" spans="1:9">
      <c r="A944" s="10" t="str">
        <f t="shared" si="59"/>
        <v/>
      </c>
      <c r="B944" s="53"/>
      <c r="C944" s="28" t="str">
        <f t="shared" si="56"/>
        <v/>
      </c>
      <c r="D944" s="28" t="str">
        <f t="shared" si="57"/>
        <v/>
      </c>
      <c r="E944" s="77"/>
      <c r="F944" s="45"/>
      <c r="G944" s="56"/>
      <c r="H944" s="83"/>
      <c r="I944" s="35" t="str">
        <f t="shared" si="58"/>
        <v/>
      </c>
    </row>
    <row r="945" spans="1:9">
      <c r="A945" s="10" t="str">
        <f t="shared" si="59"/>
        <v/>
      </c>
      <c r="B945" s="53"/>
      <c r="C945" s="28" t="str">
        <f t="shared" si="56"/>
        <v/>
      </c>
      <c r="D945" s="28" t="str">
        <f t="shared" si="57"/>
        <v/>
      </c>
      <c r="E945" s="77"/>
      <c r="F945" s="45"/>
      <c r="G945" s="56"/>
      <c r="H945" s="83"/>
      <c r="I945" s="35" t="str">
        <f t="shared" si="58"/>
        <v/>
      </c>
    </row>
    <row r="946" spans="1:9">
      <c r="A946" s="10" t="str">
        <f t="shared" si="59"/>
        <v/>
      </c>
      <c r="B946" s="53"/>
      <c r="C946" s="28" t="str">
        <f t="shared" si="56"/>
        <v/>
      </c>
      <c r="D946" s="28" t="str">
        <f t="shared" si="57"/>
        <v/>
      </c>
      <c r="E946" s="77"/>
      <c r="F946" s="45"/>
      <c r="G946" s="56"/>
      <c r="H946" s="83"/>
      <c r="I946" s="35" t="str">
        <f t="shared" si="58"/>
        <v/>
      </c>
    </row>
    <row r="947" spans="1:9">
      <c r="A947" s="10" t="str">
        <f t="shared" si="59"/>
        <v/>
      </c>
      <c r="B947" s="53"/>
      <c r="C947" s="28" t="str">
        <f t="shared" si="56"/>
        <v/>
      </c>
      <c r="D947" s="28" t="str">
        <f t="shared" si="57"/>
        <v/>
      </c>
      <c r="E947" s="77"/>
      <c r="F947" s="45"/>
      <c r="G947" s="56"/>
      <c r="H947" s="83"/>
      <c r="I947" s="35" t="str">
        <f t="shared" si="58"/>
        <v/>
      </c>
    </row>
    <row r="948" spans="1:9">
      <c r="A948" s="10" t="str">
        <f t="shared" si="59"/>
        <v/>
      </c>
      <c r="B948" s="53"/>
      <c r="C948" s="28" t="str">
        <f t="shared" si="56"/>
        <v/>
      </c>
      <c r="D948" s="28" t="str">
        <f t="shared" si="57"/>
        <v/>
      </c>
      <c r="E948" s="77"/>
      <c r="F948" s="45"/>
      <c r="G948" s="56"/>
      <c r="H948" s="83"/>
      <c r="I948" s="35" t="str">
        <f t="shared" si="58"/>
        <v/>
      </c>
    </row>
    <row r="949" spans="1:9">
      <c r="A949" s="10" t="str">
        <f t="shared" si="59"/>
        <v/>
      </c>
      <c r="B949" s="53"/>
      <c r="C949" s="28" t="str">
        <f t="shared" si="56"/>
        <v/>
      </c>
      <c r="D949" s="28" t="str">
        <f t="shared" si="57"/>
        <v/>
      </c>
      <c r="E949" s="77"/>
      <c r="F949" s="45"/>
      <c r="G949" s="56"/>
      <c r="H949" s="83"/>
      <c r="I949" s="35" t="str">
        <f t="shared" si="58"/>
        <v/>
      </c>
    </row>
    <row r="950" spans="1:9">
      <c r="A950" s="10" t="str">
        <f t="shared" si="59"/>
        <v/>
      </c>
      <c r="B950" s="53"/>
      <c r="C950" s="28" t="str">
        <f t="shared" si="56"/>
        <v/>
      </c>
      <c r="D950" s="28" t="str">
        <f t="shared" si="57"/>
        <v/>
      </c>
      <c r="E950" s="77"/>
      <c r="F950" s="45"/>
      <c r="G950" s="56"/>
      <c r="H950" s="83"/>
      <c r="I950" s="35" t="str">
        <f t="shared" si="58"/>
        <v/>
      </c>
    </row>
    <row r="951" spans="1:9">
      <c r="A951" s="10" t="str">
        <f t="shared" si="59"/>
        <v/>
      </c>
      <c r="B951" s="53"/>
      <c r="C951" s="28" t="str">
        <f t="shared" si="56"/>
        <v/>
      </c>
      <c r="D951" s="28" t="str">
        <f t="shared" si="57"/>
        <v/>
      </c>
      <c r="E951" s="77"/>
      <c r="F951" s="45"/>
      <c r="G951" s="56"/>
      <c r="H951" s="83"/>
      <c r="I951" s="35" t="str">
        <f t="shared" si="58"/>
        <v/>
      </c>
    </row>
    <row r="952" spans="1:9">
      <c r="A952" s="10" t="str">
        <f t="shared" si="59"/>
        <v/>
      </c>
      <c r="B952" s="53"/>
      <c r="C952" s="28" t="str">
        <f t="shared" si="56"/>
        <v/>
      </c>
      <c r="D952" s="28" t="str">
        <f t="shared" si="57"/>
        <v/>
      </c>
      <c r="E952" s="77"/>
      <c r="F952" s="45"/>
      <c r="G952" s="56"/>
      <c r="H952" s="83"/>
      <c r="I952" s="35" t="str">
        <f t="shared" si="58"/>
        <v/>
      </c>
    </row>
    <row r="953" spans="1:9">
      <c r="A953" s="10" t="str">
        <f t="shared" si="59"/>
        <v/>
      </c>
      <c r="B953" s="53"/>
      <c r="C953" s="28" t="str">
        <f t="shared" si="56"/>
        <v/>
      </c>
      <c r="D953" s="28" t="str">
        <f t="shared" si="57"/>
        <v/>
      </c>
      <c r="E953" s="77"/>
      <c r="F953" s="45"/>
      <c r="G953" s="56"/>
      <c r="H953" s="83"/>
      <c r="I953" s="35" t="str">
        <f t="shared" si="58"/>
        <v/>
      </c>
    </row>
    <row r="954" spans="1:9">
      <c r="A954" s="10" t="str">
        <f t="shared" si="59"/>
        <v/>
      </c>
      <c r="B954" s="53"/>
      <c r="C954" s="28" t="str">
        <f t="shared" si="56"/>
        <v/>
      </c>
      <c r="D954" s="28" t="str">
        <f t="shared" si="57"/>
        <v/>
      </c>
      <c r="E954" s="77"/>
      <c r="F954" s="45"/>
      <c r="G954" s="56"/>
      <c r="H954" s="83"/>
      <c r="I954" s="35" t="str">
        <f t="shared" si="58"/>
        <v/>
      </c>
    </row>
    <row r="955" spans="1:9">
      <c r="A955" s="10" t="str">
        <f t="shared" si="59"/>
        <v/>
      </c>
      <c r="B955" s="53"/>
      <c r="C955" s="28" t="str">
        <f t="shared" si="56"/>
        <v/>
      </c>
      <c r="D955" s="28" t="str">
        <f t="shared" si="57"/>
        <v/>
      </c>
      <c r="E955" s="77"/>
      <c r="F955" s="45"/>
      <c r="G955" s="56"/>
      <c r="H955" s="83"/>
      <c r="I955" s="35" t="str">
        <f t="shared" si="58"/>
        <v/>
      </c>
    </row>
    <row r="956" spans="1:9">
      <c r="A956" s="10" t="str">
        <f t="shared" si="59"/>
        <v/>
      </c>
      <c r="B956" s="53"/>
      <c r="C956" s="28" t="str">
        <f t="shared" si="56"/>
        <v/>
      </c>
      <c r="D956" s="28" t="str">
        <f t="shared" si="57"/>
        <v/>
      </c>
      <c r="E956" s="77"/>
      <c r="F956" s="45"/>
      <c r="G956" s="56"/>
      <c r="H956" s="83"/>
      <c r="I956" s="35" t="str">
        <f t="shared" si="58"/>
        <v/>
      </c>
    </row>
    <row r="957" spans="1:9">
      <c r="A957" s="10" t="str">
        <f t="shared" si="59"/>
        <v/>
      </c>
      <c r="B957" s="53"/>
      <c r="C957" s="28" t="str">
        <f t="shared" si="56"/>
        <v/>
      </c>
      <c r="D957" s="28" t="str">
        <f t="shared" si="57"/>
        <v/>
      </c>
      <c r="E957" s="77"/>
      <c r="F957" s="45"/>
      <c r="G957" s="56"/>
      <c r="H957" s="83"/>
      <c r="I957" s="35" t="str">
        <f t="shared" si="58"/>
        <v/>
      </c>
    </row>
    <row r="958" spans="1:9">
      <c r="A958" s="10" t="str">
        <f t="shared" si="59"/>
        <v/>
      </c>
      <c r="B958" s="53"/>
      <c r="C958" s="28" t="str">
        <f t="shared" si="56"/>
        <v/>
      </c>
      <c r="D958" s="28" t="str">
        <f t="shared" si="57"/>
        <v/>
      </c>
      <c r="E958" s="77"/>
      <c r="F958" s="45"/>
      <c r="G958" s="56"/>
      <c r="H958" s="83"/>
      <c r="I958" s="35" t="str">
        <f t="shared" si="58"/>
        <v/>
      </c>
    </row>
    <row r="959" spans="1:9">
      <c r="A959" s="10" t="str">
        <f t="shared" si="59"/>
        <v/>
      </c>
      <c r="B959" s="53"/>
      <c r="C959" s="28" t="str">
        <f t="shared" si="56"/>
        <v/>
      </c>
      <c r="D959" s="28" t="str">
        <f t="shared" si="57"/>
        <v/>
      </c>
      <c r="E959" s="77"/>
      <c r="F959" s="45"/>
      <c r="G959" s="56"/>
      <c r="H959" s="83"/>
      <c r="I959" s="35" t="str">
        <f t="shared" si="58"/>
        <v/>
      </c>
    </row>
    <row r="960" spans="1:9">
      <c r="A960" s="10" t="str">
        <f t="shared" si="59"/>
        <v/>
      </c>
      <c r="B960" s="53"/>
      <c r="C960" s="28" t="str">
        <f t="shared" si="56"/>
        <v/>
      </c>
      <c r="D960" s="28" t="str">
        <f t="shared" si="57"/>
        <v/>
      </c>
      <c r="E960" s="77"/>
      <c r="F960" s="45"/>
      <c r="G960" s="56"/>
      <c r="H960" s="83"/>
      <c r="I960" s="35" t="str">
        <f t="shared" si="58"/>
        <v/>
      </c>
    </row>
    <row r="961" spans="1:9">
      <c r="A961" s="10" t="str">
        <f t="shared" si="59"/>
        <v/>
      </c>
      <c r="B961" s="53"/>
      <c r="C961" s="28" t="str">
        <f t="shared" si="56"/>
        <v/>
      </c>
      <c r="D961" s="28" t="str">
        <f t="shared" si="57"/>
        <v/>
      </c>
      <c r="E961" s="77"/>
      <c r="F961" s="45"/>
      <c r="G961" s="56"/>
      <c r="H961" s="83"/>
      <c r="I961" s="35" t="str">
        <f t="shared" si="58"/>
        <v/>
      </c>
    </row>
    <row r="962" spans="1:9">
      <c r="A962" s="10" t="str">
        <f t="shared" si="59"/>
        <v/>
      </c>
      <c r="B962" s="53"/>
      <c r="C962" s="28" t="str">
        <f t="shared" ref="C962:C1025" si="60">IF(B962=0,"",TEXT(B962,"mmmm"))</f>
        <v/>
      </c>
      <c r="D962" s="28" t="str">
        <f t="shared" ref="D962:D1025" si="61">IF(B962=0,"",TEXT(B962,"yyyy"))</f>
        <v/>
      </c>
      <c r="E962" s="77"/>
      <c r="F962" s="45"/>
      <c r="G962" s="56"/>
      <c r="H962" s="83"/>
      <c r="I962" s="35" t="str">
        <f t="shared" ref="I962:I1025" si="62">IF(G962*H962=0,"",G962*H962)</f>
        <v/>
      </c>
    </row>
    <row r="963" spans="1:9">
      <c r="A963" s="10" t="str">
        <f t="shared" si="59"/>
        <v/>
      </c>
      <c r="B963" s="53"/>
      <c r="C963" s="28" t="str">
        <f t="shared" si="60"/>
        <v/>
      </c>
      <c r="D963" s="28" t="str">
        <f t="shared" si="61"/>
        <v/>
      </c>
      <c r="E963" s="77"/>
      <c r="F963" s="45"/>
      <c r="G963" s="56"/>
      <c r="H963" s="83"/>
      <c r="I963" s="35" t="str">
        <f t="shared" si="62"/>
        <v/>
      </c>
    </row>
    <row r="964" spans="1:9">
      <c r="A964" s="10" t="str">
        <f t="shared" ref="A964:A1027" si="63">IF(E964&gt;0,A963+1,"")</f>
        <v/>
      </c>
      <c r="B964" s="53"/>
      <c r="C964" s="28" t="str">
        <f t="shared" si="60"/>
        <v/>
      </c>
      <c r="D964" s="28" t="str">
        <f t="shared" si="61"/>
        <v/>
      </c>
      <c r="E964" s="77"/>
      <c r="F964" s="45"/>
      <c r="G964" s="56"/>
      <c r="H964" s="83"/>
      <c r="I964" s="35" t="str">
        <f t="shared" si="62"/>
        <v/>
      </c>
    </row>
    <row r="965" spans="1:9">
      <c r="A965" s="10" t="str">
        <f t="shared" si="63"/>
        <v/>
      </c>
      <c r="B965" s="53"/>
      <c r="C965" s="28" t="str">
        <f t="shared" si="60"/>
        <v/>
      </c>
      <c r="D965" s="28" t="str">
        <f t="shared" si="61"/>
        <v/>
      </c>
      <c r="E965" s="77"/>
      <c r="F965" s="45"/>
      <c r="G965" s="56"/>
      <c r="H965" s="83"/>
      <c r="I965" s="35" t="str">
        <f t="shared" si="62"/>
        <v/>
      </c>
    </row>
    <row r="966" spans="1:9">
      <c r="A966" s="10" t="str">
        <f t="shared" si="63"/>
        <v/>
      </c>
      <c r="B966" s="53"/>
      <c r="C966" s="28" t="str">
        <f t="shared" si="60"/>
        <v/>
      </c>
      <c r="D966" s="28" t="str">
        <f t="shared" si="61"/>
        <v/>
      </c>
      <c r="E966" s="77"/>
      <c r="F966" s="45"/>
      <c r="G966" s="56"/>
      <c r="H966" s="83"/>
      <c r="I966" s="35" t="str">
        <f t="shared" si="62"/>
        <v/>
      </c>
    </row>
    <row r="967" spans="1:9">
      <c r="A967" s="10" t="str">
        <f t="shared" si="63"/>
        <v/>
      </c>
      <c r="B967" s="53"/>
      <c r="C967" s="28" t="str">
        <f t="shared" si="60"/>
        <v/>
      </c>
      <c r="D967" s="28" t="str">
        <f t="shared" si="61"/>
        <v/>
      </c>
      <c r="E967" s="77"/>
      <c r="F967" s="45"/>
      <c r="G967" s="56"/>
      <c r="H967" s="83"/>
      <c r="I967" s="35" t="str">
        <f t="shared" si="62"/>
        <v/>
      </c>
    </row>
    <row r="968" spans="1:9">
      <c r="A968" s="10" t="str">
        <f t="shared" si="63"/>
        <v/>
      </c>
      <c r="B968" s="53"/>
      <c r="C968" s="28" t="str">
        <f t="shared" si="60"/>
        <v/>
      </c>
      <c r="D968" s="28" t="str">
        <f t="shared" si="61"/>
        <v/>
      </c>
      <c r="E968" s="77"/>
      <c r="F968" s="45"/>
      <c r="G968" s="56"/>
      <c r="H968" s="83"/>
      <c r="I968" s="35" t="str">
        <f t="shared" si="62"/>
        <v/>
      </c>
    </row>
    <row r="969" spans="1:9">
      <c r="A969" s="10" t="str">
        <f t="shared" si="63"/>
        <v/>
      </c>
      <c r="B969" s="53"/>
      <c r="C969" s="28" t="str">
        <f t="shared" si="60"/>
        <v/>
      </c>
      <c r="D969" s="28" t="str">
        <f t="shared" si="61"/>
        <v/>
      </c>
      <c r="E969" s="77"/>
      <c r="F969" s="45"/>
      <c r="G969" s="56"/>
      <c r="H969" s="83"/>
      <c r="I969" s="35" t="str">
        <f t="shared" si="62"/>
        <v/>
      </c>
    </row>
    <row r="970" spans="1:9">
      <c r="A970" s="10" t="str">
        <f t="shared" si="63"/>
        <v/>
      </c>
      <c r="B970" s="53"/>
      <c r="C970" s="28" t="str">
        <f t="shared" si="60"/>
        <v/>
      </c>
      <c r="D970" s="28" t="str">
        <f t="shared" si="61"/>
        <v/>
      </c>
      <c r="E970" s="77"/>
      <c r="F970" s="45"/>
      <c r="G970" s="56"/>
      <c r="H970" s="83"/>
      <c r="I970" s="35" t="str">
        <f t="shared" si="62"/>
        <v/>
      </c>
    </row>
    <row r="971" spans="1:9">
      <c r="A971" s="10" t="str">
        <f t="shared" si="63"/>
        <v/>
      </c>
      <c r="B971" s="53"/>
      <c r="C971" s="28" t="str">
        <f t="shared" si="60"/>
        <v/>
      </c>
      <c r="D971" s="28" t="str">
        <f t="shared" si="61"/>
        <v/>
      </c>
      <c r="E971" s="77"/>
      <c r="F971" s="45"/>
      <c r="G971" s="56"/>
      <c r="H971" s="83"/>
      <c r="I971" s="35" t="str">
        <f t="shared" si="62"/>
        <v/>
      </c>
    </row>
    <row r="972" spans="1:9">
      <c r="A972" s="10" t="str">
        <f t="shared" si="63"/>
        <v/>
      </c>
      <c r="B972" s="53"/>
      <c r="C972" s="28" t="str">
        <f t="shared" si="60"/>
        <v/>
      </c>
      <c r="D972" s="28" t="str">
        <f t="shared" si="61"/>
        <v/>
      </c>
      <c r="E972" s="77"/>
      <c r="F972" s="45"/>
      <c r="G972" s="56"/>
      <c r="H972" s="83"/>
      <c r="I972" s="35" t="str">
        <f t="shared" si="62"/>
        <v/>
      </c>
    </row>
    <row r="973" spans="1:9">
      <c r="A973" s="10" t="str">
        <f t="shared" si="63"/>
        <v/>
      </c>
      <c r="B973" s="53"/>
      <c r="C973" s="28" t="str">
        <f t="shared" si="60"/>
        <v/>
      </c>
      <c r="D973" s="28" t="str">
        <f t="shared" si="61"/>
        <v/>
      </c>
      <c r="E973" s="77"/>
      <c r="F973" s="45"/>
      <c r="G973" s="56"/>
      <c r="H973" s="83"/>
      <c r="I973" s="35" t="str">
        <f t="shared" si="62"/>
        <v/>
      </c>
    </row>
    <row r="974" spans="1:9">
      <c r="A974" s="10" t="str">
        <f t="shared" si="63"/>
        <v/>
      </c>
      <c r="B974" s="53"/>
      <c r="C974" s="28" t="str">
        <f t="shared" si="60"/>
        <v/>
      </c>
      <c r="D974" s="28" t="str">
        <f t="shared" si="61"/>
        <v/>
      </c>
      <c r="E974" s="77"/>
      <c r="F974" s="45"/>
      <c r="G974" s="56"/>
      <c r="H974" s="83"/>
      <c r="I974" s="35" t="str">
        <f t="shared" si="62"/>
        <v/>
      </c>
    </row>
    <row r="975" spans="1:9">
      <c r="A975" s="10" t="str">
        <f t="shared" si="63"/>
        <v/>
      </c>
      <c r="B975" s="53"/>
      <c r="C975" s="28" t="str">
        <f t="shared" si="60"/>
        <v/>
      </c>
      <c r="D975" s="28" t="str">
        <f t="shared" si="61"/>
        <v/>
      </c>
      <c r="E975" s="77"/>
      <c r="F975" s="45"/>
      <c r="G975" s="56"/>
      <c r="H975" s="83"/>
      <c r="I975" s="35" t="str">
        <f t="shared" si="62"/>
        <v/>
      </c>
    </row>
    <row r="976" spans="1:9">
      <c r="A976" s="10" t="str">
        <f t="shared" si="63"/>
        <v/>
      </c>
      <c r="B976" s="53"/>
      <c r="C976" s="28" t="str">
        <f t="shared" si="60"/>
        <v/>
      </c>
      <c r="D976" s="28" t="str">
        <f t="shared" si="61"/>
        <v/>
      </c>
      <c r="E976" s="77"/>
      <c r="F976" s="45"/>
      <c r="G976" s="56"/>
      <c r="H976" s="83"/>
      <c r="I976" s="35" t="str">
        <f t="shared" si="62"/>
        <v/>
      </c>
    </row>
    <row r="977" spans="1:9">
      <c r="A977" s="10" t="str">
        <f t="shared" si="63"/>
        <v/>
      </c>
      <c r="B977" s="53"/>
      <c r="C977" s="28" t="str">
        <f t="shared" si="60"/>
        <v/>
      </c>
      <c r="D977" s="28" t="str">
        <f t="shared" si="61"/>
        <v/>
      </c>
      <c r="E977" s="77"/>
      <c r="F977" s="45"/>
      <c r="G977" s="56"/>
      <c r="H977" s="83"/>
      <c r="I977" s="35" t="str">
        <f t="shared" si="62"/>
        <v/>
      </c>
    </row>
    <row r="978" spans="1:9">
      <c r="A978" s="10" t="str">
        <f t="shared" si="63"/>
        <v/>
      </c>
      <c r="B978" s="53"/>
      <c r="C978" s="28" t="str">
        <f t="shared" si="60"/>
        <v/>
      </c>
      <c r="D978" s="28" t="str">
        <f t="shared" si="61"/>
        <v/>
      </c>
      <c r="E978" s="77"/>
      <c r="F978" s="45"/>
      <c r="G978" s="56"/>
      <c r="H978" s="83"/>
      <c r="I978" s="35" t="str">
        <f t="shared" si="62"/>
        <v/>
      </c>
    </row>
    <row r="979" spans="1:9">
      <c r="A979" s="10" t="str">
        <f t="shared" si="63"/>
        <v/>
      </c>
      <c r="B979" s="53"/>
      <c r="C979" s="28" t="str">
        <f t="shared" si="60"/>
        <v/>
      </c>
      <c r="D979" s="28" t="str">
        <f t="shared" si="61"/>
        <v/>
      </c>
      <c r="E979" s="77"/>
      <c r="F979" s="45"/>
      <c r="G979" s="56"/>
      <c r="H979" s="83"/>
      <c r="I979" s="35" t="str">
        <f t="shared" si="62"/>
        <v/>
      </c>
    </row>
    <row r="980" spans="1:9">
      <c r="A980" s="10" t="str">
        <f t="shared" si="63"/>
        <v/>
      </c>
      <c r="B980" s="53"/>
      <c r="C980" s="28" t="str">
        <f t="shared" si="60"/>
        <v/>
      </c>
      <c r="D980" s="28" t="str">
        <f t="shared" si="61"/>
        <v/>
      </c>
      <c r="E980" s="77"/>
      <c r="F980" s="45"/>
      <c r="G980" s="56"/>
      <c r="H980" s="83"/>
      <c r="I980" s="35" t="str">
        <f t="shared" si="62"/>
        <v/>
      </c>
    </row>
    <row r="981" spans="1:9">
      <c r="A981" s="10" t="str">
        <f t="shared" si="63"/>
        <v/>
      </c>
      <c r="B981" s="53"/>
      <c r="C981" s="28" t="str">
        <f t="shared" si="60"/>
        <v/>
      </c>
      <c r="D981" s="28" t="str">
        <f t="shared" si="61"/>
        <v/>
      </c>
      <c r="E981" s="77"/>
      <c r="F981" s="45"/>
      <c r="G981" s="56"/>
      <c r="H981" s="83"/>
      <c r="I981" s="35" t="str">
        <f t="shared" si="62"/>
        <v/>
      </c>
    </row>
    <row r="982" spans="1:9">
      <c r="A982" s="10" t="str">
        <f t="shared" si="63"/>
        <v/>
      </c>
      <c r="B982" s="53"/>
      <c r="C982" s="28" t="str">
        <f t="shared" si="60"/>
        <v/>
      </c>
      <c r="D982" s="28" t="str">
        <f t="shared" si="61"/>
        <v/>
      </c>
      <c r="E982" s="77"/>
      <c r="F982" s="45"/>
      <c r="G982" s="56"/>
      <c r="H982" s="83"/>
      <c r="I982" s="35" t="str">
        <f t="shared" si="62"/>
        <v/>
      </c>
    </row>
    <row r="983" spans="1:9">
      <c r="A983" s="10" t="str">
        <f t="shared" si="63"/>
        <v/>
      </c>
      <c r="B983" s="53"/>
      <c r="C983" s="28" t="str">
        <f t="shared" si="60"/>
        <v/>
      </c>
      <c r="D983" s="28" t="str">
        <f t="shared" si="61"/>
        <v/>
      </c>
      <c r="E983" s="77"/>
      <c r="F983" s="45"/>
      <c r="G983" s="56"/>
      <c r="H983" s="83"/>
      <c r="I983" s="35" t="str">
        <f t="shared" si="62"/>
        <v/>
      </c>
    </row>
    <row r="984" spans="1:9">
      <c r="A984" s="10" t="str">
        <f t="shared" si="63"/>
        <v/>
      </c>
      <c r="B984" s="53"/>
      <c r="C984" s="28" t="str">
        <f t="shared" si="60"/>
        <v/>
      </c>
      <c r="D984" s="28" t="str">
        <f t="shared" si="61"/>
        <v/>
      </c>
      <c r="E984" s="77"/>
      <c r="F984" s="45"/>
      <c r="G984" s="56"/>
      <c r="H984" s="83"/>
      <c r="I984" s="35" t="str">
        <f t="shared" si="62"/>
        <v/>
      </c>
    </row>
    <row r="985" spans="1:9">
      <c r="A985" s="10" t="str">
        <f t="shared" si="63"/>
        <v/>
      </c>
      <c r="B985" s="53"/>
      <c r="C985" s="28" t="str">
        <f t="shared" si="60"/>
        <v/>
      </c>
      <c r="D985" s="28" t="str">
        <f t="shared" si="61"/>
        <v/>
      </c>
      <c r="E985" s="77"/>
      <c r="F985" s="45"/>
      <c r="G985" s="56"/>
      <c r="H985" s="83"/>
      <c r="I985" s="35" t="str">
        <f t="shared" si="62"/>
        <v/>
      </c>
    </row>
    <row r="986" spans="1:9">
      <c r="A986" s="10" t="str">
        <f t="shared" si="63"/>
        <v/>
      </c>
      <c r="B986" s="53"/>
      <c r="C986" s="28" t="str">
        <f t="shared" si="60"/>
        <v/>
      </c>
      <c r="D986" s="28" t="str">
        <f t="shared" si="61"/>
        <v/>
      </c>
      <c r="E986" s="77"/>
      <c r="F986" s="45"/>
      <c r="G986" s="56"/>
      <c r="H986" s="83"/>
      <c r="I986" s="35" t="str">
        <f t="shared" si="62"/>
        <v/>
      </c>
    </row>
    <row r="987" spans="1:9">
      <c r="A987" s="10" t="str">
        <f t="shared" si="63"/>
        <v/>
      </c>
      <c r="B987" s="53"/>
      <c r="C987" s="28" t="str">
        <f t="shared" si="60"/>
        <v/>
      </c>
      <c r="D987" s="28" t="str">
        <f t="shared" si="61"/>
        <v/>
      </c>
      <c r="E987" s="77"/>
      <c r="F987" s="45"/>
      <c r="G987" s="56"/>
      <c r="H987" s="83"/>
      <c r="I987" s="35" t="str">
        <f t="shared" si="62"/>
        <v/>
      </c>
    </row>
    <row r="988" spans="1:9">
      <c r="A988" s="10" t="str">
        <f t="shared" si="63"/>
        <v/>
      </c>
      <c r="B988" s="53"/>
      <c r="C988" s="28" t="str">
        <f t="shared" si="60"/>
        <v/>
      </c>
      <c r="D988" s="28" t="str">
        <f t="shared" si="61"/>
        <v/>
      </c>
      <c r="E988" s="77"/>
      <c r="F988" s="45"/>
      <c r="G988" s="56"/>
      <c r="H988" s="83"/>
      <c r="I988" s="35" t="str">
        <f t="shared" si="62"/>
        <v/>
      </c>
    </row>
    <row r="989" spans="1:9">
      <c r="A989" s="10" t="str">
        <f t="shared" si="63"/>
        <v/>
      </c>
      <c r="B989" s="53"/>
      <c r="C989" s="28" t="str">
        <f t="shared" si="60"/>
        <v/>
      </c>
      <c r="D989" s="28" t="str">
        <f t="shared" si="61"/>
        <v/>
      </c>
      <c r="E989" s="77"/>
      <c r="F989" s="45"/>
      <c r="G989" s="56"/>
      <c r="H989" s="83"/>
      <c r="I989" s="35" t="str">
        <f t="shared" si="62"/>
        <v/>
      </c>
    </row>
    <row r="990" spans="1:9">
      <c r="A990" s="10" t="str">
        <f t="shared" si="63"/>
        <v/>
      </c>
      <c r="B990" s="53"/>
      <c r="C990" s="28" t="str">
        <f t="shared" si="60"/>
        <v/>
      </c>
      <c r="D990" s="28" t="str">
        <f t="shared" si="61"/>
        <v/>
      </c>
      <c r="E990" s="77"/>
      <c r="F990" s="45"/>
      <c r="G990" s="56"/>
      <c r="H990" s="83"/>
      <c r="I990" s="35" t="str">
        <f t="shared" si="62"/>
        <v/>
      </c>
    </row>
    <row r="991" spans="1:9">
      <c r="A991" s="10" t="str">
        <f t="shared" si="63"/>
        <v/>
      </c>
      <c r="B991" s="53"/>
      <c r="C991" s="28" t="str">
        <f t="shared" si="60"/>
        <v/>
      </c>
      <c r="D991" s="28" t="str">
        <f t="shared" si="61"/>
        <v/>
      </c>
      <c r="E991" s="77"/>
      <c r="F991" s="45"/>
      <c r="G991" s="56"/>
      <c r="H991" s="83"/>
      <c r="I991" s="35" t="str">
        <f t="shared" si="62"/>
        <v/>
      </c>
    </row>
    <row r="992" spans="1:9">
      <c r="A992" s="10" t="str">
        <f t="shared" si="63"/>
        <v/>
      </c>
      <c r="B992" s="53"/>
      <c r="C992" s="28" t="str">
        <f t="shared" si="60"/>
        <v/>
      </c>
      <c r="D992" s="28" t="str">
        <f t="shared" si="61"/>
        <v/>
      </c>
      <c r="E992" s="77"/>
      <c r="F992" s="45"/>
      <c r="G992" s="56"/>
      <c r="H992" s="83"/>
      <c r="I992" s="35" t="str">
        <f t="shared" si="62"/>
        <v/>
      </c>
    </row>
    <row r="993" spans="1:9">
      <c r="A993" s="10" t="str">
        <f t="shared" si="63"/>
        <v/>
      </c>
      <c r="B993" s="53"/>
      <c r="C993" s="28" t="str">
        <f t="shared" si="60"/>
        <v/>
      </c>
      <c r="D993" s="28" t="str">
        <f t="shared" si="61"/>
        <v/>
      </c>
      <c r="E993" s="77"/>
      <c r="F993" s="45"/>
      <c r="G993" s="56"/>
      <c r="H993" s="83"/>
      <c r="I993" s="35" t="str">
        <f t="shared" si="62"/>
        <v/>
      </c>
    </row>
    <row r="994" spans="1:9">
      <c r="A994" s="10" t="str">
        <f t="shared" si="63"/>
        <v/>
      </c>
      <c r="B994" s="53"/>
      <c r="C994" s="28" t="str">
        <f t="shared" si="60"/>
        <v/>
      </c>
      <c r="D994" s="28" t="str">
        <f t="shared" si="61"/>
        <v/>
      </c>
      <c r="E994" s="77"/>
      <c r="F994" s="45"/>
      <c r="G994" s="56"/>
      <c r="H994" s="83"/>
      <c r="I994" s="35" t="str">
        <f t="shared" si="62"/>
        <v/>
      </c>
    </row>
    <row r="995" spans="1:9">
      <c r="A995" s="10" t="str">
        <f t="shared" si="63"/>
        <v/>
      </c>
      <c r="B995" s="53"/>
      <c r="C995" s="28" t="str">
        <f t="shared" si="60"/>
        <v/>
      </c>
      <c r="D995" s="28" t="str">
        <f t="shared" si="61"/>
        <v/>
      </c>
      <c r="E995" s="77"/>
      <c r="F995" s="45"/>
      <c r="G995" s="56"/>
      <c r="H995" s="83"/>
      <c r="I995" s="35" t="str">
        <f t="shared" si="62"/>
        <v/>
      </c>
    </row>
    <row r="996" spans="1:9">
      <c r="A996" s="10" t="str">
        <f t="shared" si="63"/>
        <v/>
      </c>
      <c r="B996" s="53"/>
      <c r="C996" s="28" t="str">
        <f t="shared" si="60"/>
        <v/>
      </c>
      <c r="D996" s="28" t="str">
        <f t="shared" si="61"/>
        <v/>
      </c>
      <c r="E996" s="77"/>
      <c r="F996" s="45"/>
      <c r="G996" s="56"/>
      <c r="H996" s="83"/>
      <c r="I996" s="35" t="str">
        <f t="shared" si="62"/>
        <v/>
      </c>
    </row>
    <row r="997" spans="1:9">
      <c r="A997" s="10" t="str">
        <f t="shared" si="63"/>
        <v/>
      </c>
      <c r="B997" s="53"/>
      <c r="C997" s="28" t="str">
        <f t="shared" si="60"/>
        <v/>
      </c>
      <c r="D997" s="28" t="str">
        <f t="shared" si="61"/>
        <v/>
      </c>
      <c r="E997" s="77"/>
      <c r="F997" s="45"/>
      <c r="G997" s="56"/>
      <c r="H997" s="83"/>
      <c r="I997" s="35" t="str">
        <f t="shared" si="62"/>
        <v/>
      </c>
    </row>
    <row r="998" spans="1:9">
      <c r="A998" s="10" t="str">
        <f t="shared" si="63"/>
        <v/>
      </c>
      <c r="B998" s="53"/>
      <c r="C998" s="28" t="str">
        <f t="shared" si="60"/>
        <v/>
      </c>
      <c r="D998" s="28" t="str">
        <f t="shared" si="61"/>
        <v/>
      </c>
      <c r="E998" s="77"/>
      <c r="F998" s="45"/>
      <c r="G998" s="56"/>
      <c r="H998" s="83"/>
      <c r="I998" s="35" t="str">
        <f t="shared" si="62"/>
        <v/>
      </c>
    </row>
    <row r="999" spans="1:9">
      <c r="A999" s="10" t="str">
        <f t="shared" si="63"/>
        <v/>
      </c>
      <c r="B999" s="53"/>
      <c r="C999" s="28" t="str">
        <f t="shared" si="60"/>
        <v/>
      </c>
      <c r="D999" s="28" t="str">
        <f t="shared" si="61"/>
        <v/>
      </c>
      <c r="E999" s="77"/>
      <c r="F999" s="45"/>
      <c r="G999" s="56"/>
      <c r="H999" s="83"/>
      <c r="I999" s="35" t="str">
        <f t="shared" si="62"/>
        <v/>
      </c>
    </row>
    <row r="1000" spans="1:9">
      <c r="A1000" s="10" t="str">
        <f t="shared" si="63"/>
        <v/>
      </c>
      <c r="B1000" s="53"/>
      <c r="C1000" s="28" t="str">
        <f t="shared" si="60"/>
        <v/>
      </c>
      <c r="D1000" s="28" t="str">
        <f t="shared" si="61"/>
        <v/>
      </c>
      <c r="E1000" s="77"/>
      <c r="F1000" s="45"/>
      <c r="G1000" s="56"/>
      <c r="H1000" s="83"/>
      <c r="I1000" s="35" t="str">
        <f t="shared" si="62"/>
        <v/>
      </c>
    </row>
    <row r="1001" spans="1:9">
      <c r="A1001" s="10" t="str">
        <f t="shared" si="63"/>
        <v/>
      </c>
      <c r="B1001" s="53"/>
      <c r="C1001" s="28" t="str">
        <f t="shared" si="60"/>
        <v/>
      </c>
      <c r="D1001" s="28" t="str">
        <f t="shared" si="61"/>
        <v/>
      </c>
      <c r="E1001" s="77"/>
      <c r="F1001" s="45"/>
      <c r="G1001" s="56"/>
      <c r="H1001" s="83"/>
      <c r="I1001" s="35" t="str">
        <f t="shared" si="62"/>
        <v/>
      </c>
    </row>
    <row r="1002" spans="1:9">
      <c r="A1002" s="10" t="str">
        <f t="shared" si="63"/>
        <v/>
      </c>
      <c r="B1002" s="53"/>
      <c r="C1002" s="28" t="str">
        <f t="shared" si="60"/>
        <v/>
      </c>
      <c r="D1002" s="28" t="str">
        <f t="shared" si="61"/>
        <v/>
      </c>
      <c r="E1002" s="77"/>
      <c r="F1002" s="45"/>
      <c r="G1002" s="56"/>
      <c r="H1002" s="83"/>
      <c r="I1002" s="35" t="str">
        <f t="shared" si="62"/>
        <v/>
      </c>
    </row>
    <row r="1003" spans="1:9">
      <c r="A1003" s="10" t="str">
        <f t="shared" si="63"/>
        <v/>
      </c>
      <c r="B1003" s="53"/>
      <c r="C1003" s="28" t="str">
        <f t="shared" si="60"/>
        <v/>
      </c>
      <c r="D1003" s="28" t="str">
        <f t="shared" si="61"/>
        <v/>
      </c>
      <c r="E1003" s="77"/>
      <c r="F1003" s="45"/>
      <c r="G1003" s="56"/>
      <c r="H1003" s="83"/>
      <c r="I1003" s="35" t="str">
        <f t="shared" si="62"/>
        <v/>
      </c>
    </row>
    <row r="1004" spans="1:9">
      <c r="A1004" s="10" t="str">
        <f t="shared" si="63"/>
        <v/>
      </c>
      <c r="B1004" s="53"/>
      <c r="C1004" s="28" t="str">
        <f t="shared" si="60"/>
        <v/>
      </c>
      <c r="D1004" s="28" t="str">
        <f t="shared" si="61"/>
        <v/>
      </c>
      <c r="E1004" s="77"/>
      <c r="F1004" s="45"/>
      <c r="G1004" s="56"/>
      <c r="H1004" s="83"/>
      <c r="I1004" s="35" t="str">
        <f t="shared" si="62"/>
        <v/>
      </c>
    </row>
    <row r="1005" spans="1:9">
      <c r="A1005" s="10" t="str">
        <f t="shared" si="63"/>
        <v/>
      </c>
      <c r="B1005" s="53"/>
      <c r="C1005" s="28" t="str">
        <f t="shared" si="60"/>
        <v/>
      </c>
      <c r="D1005" s="28" t="str">
        <f t="shared" si="61"/>
        <v/>
      </c>
      <c r="E1005" s="77"/>
      <c r="F1005" s="45"/>
      <c r="G1005" s="56"/>
      <c r="H1005" s="83"/>
      <c r="I1005" s="35" t="str">
        <f t="shared" si="62"/>
        <v/>
      </c>
    </row>
    <row r="1006" spans="1:9">
      <c r="A1006" s="10" t="str">
        <f t="shared" si="63"/>
        <v/>
      </c>
      <c r="B1006" s="53"/>
      <c r="C1006" s="28" t="str">
        <f t="shared" si="60"/>
        <v/>
      </c>
      <c r="D1006" s="28" t="str">
        <f t="shared" si="61"/>
        <v/>
      </c>
      <c r="E1006" s="77"/>
      <c r="F1006" s="45"/>
      <c r="G1006" s="56"/>
      <c r="H1006" s="83"/>
      <c r="I1006" s="35" t="str">
        <f t="shared" si="62"/>
        <v/>
      </c>
    </row>
    <row r="1007" spans="1:9">
      <c r="A1007" s="10" t="str">
        <f t="shared" si="63"/>
        <v/>
      </c>
      <c r="B1007" s="53"/>
      <c r="C1007" s="28" t="str">
        <f t="shared" si="60"/>
        <v/>
      </c>
      <c r="D1007" s="28" t="str">
        <f t="shared" si="61"/>
        <v/>
      </c>
      <c r="E1007" s="77"/>
      <c r="F1007" s="45"/>
      <c r="G1007" s="56"/>
      <c r="H1007" s="83"/>
      <c r="I1007" s="35" t="str">
        <f t="shared" si="62"/>
        <v/>
      </c>
    </row>
    <row r="1008" spans="1:9">
      <c r="A1008" s="10" t="str">
        <f t="shared" si="63"/>
        <v/>
      </c>
      <c r="B1008" s="53"/>
      <c r="C1008" s="28" t="str">
        <f t="shared" si="60"/>
        <v/>
      </c>
      <c r="D1008" s="28" t="str">
        <f t="shared" si="61"/>
        <v/>
      </c>
      <c r="E1008" s="77"/>
      <c r="F1008" s="45"/>
      <c r="G1008" s="56"/>
      <c r="H1008" s="83"/>
      <c r="I1008" s="35" t="str">
        <f t="shared" si="62"/>
        <v/>
      </c>
    </row>
    <row r="1009" spans="1:9">
      <c r="A1009" s="10" t="str">
        <f t="shared" si="63"/>
        <v/>
      </c>
      <c r="B1009" s="53"/>
      <c r="C1009" s="28" t="str">
        <f t="shared" si="60"/>
        <v/>
      </c>
      <c r="D1009" s="28" t="str">
        <f t="shared" si="61"/>
        <v/>
      </c>
      <c r="E1009" s="77"/>
      <c r="F1009" s="45"/>
      <c r="G1009" s="56"/>
      <c r="H1009" s="83"/>
      <c r="I1009" s="35" t="str">
        <f t="shared" si="62"/>
        <v/>
      </c>
    </row>
    <row r="1010" spans="1:9">
      <c r="A1010" s="10" t="str">
        <f t="shared" si="63"/>
        <v/>
      </c>
      <c r="B1010" s="53"/>
      <c r="C1010" s="28" t="str">
        <f t="shared" si="60"/>
        <v/>
      </c>
      <c r="D1010" s="28" t="str">
        <f t="shared" si="61"/>
        <v/>
      </c>
      <c r="E1010" s="77"/>
      <c r="F1010" s="45"/>
      <c r="G1010" s="56"/>
      <c r="H1010" s="83"/>
      <c r="I1010" s="35" t="str">
        <f t="shared" si="62"/>
        <v/>
      </c>
    </row>
    <row r="1011" spans="1:9">
      <c r="A1011" s="10" t="str">
        <f t="shared" si="63"/>
        <v/>
      </c>
      <c r="B1011" s="53"/>
      <c r="C1011" s="28" t="str">
        <f t="shared" si="60"/>
        <v/>
      </c>
      <c r="D1011" s="28" t="str">
        <f t="shared" si="61"/>
        <v/>
      </c>
      <c r="E1011" s="77"/>
      <c r="F1011" s="45"/>
      <c r="G1011" s="56"/>
      <c r="H1011" s="83"/>
      <c r="I1011" s="35" t="str">
        <f t="shared" si="62"/>
        <v/>
      </c>
    </row>
    <row r="1012" spans="1:9">
      <c r="A1012" s="10" t="str">
        <f t="shared" si="63"/>
        <v/>
      </c>
      <c r="B1012" s="53"/>
      <c r="C1012" s="28" t="str">
        <f t="shared" si="60"/>
        <v/>
      </c>
      <c r="D1012" s="28" t="str">
        <f t="shared" si="61"/>
        <v/>
      </c>
      <c r="E1012" s="77"/>
      <c r="F1012" s="45"/>
      <c r="G1012" s="56"/>
      <c r="H1012" s="83"/>
      <c r="I1012" s="35" t="str">
        <f t="shared" si="62"/>
        <v/>
      </c>
    </row>
    <row r="1013" spans="1:9">
      <c r="A1013" s="10" t="str">
        <f t="shared" si="63"/>
        <v/>
      </c>
      <c r="B1013" s="53"/>
      <c r="C1013" s="28" t="str">
        <f t="shared" si="60"/>
        <v/>
      </c>
      <c r="D1013" s="28" t="str">
        <f t="shared" si="61"/>
        <v/>
      </c>
      <c r="E1013" s="77"/>
      <c r="F1013" s="45"/>
      <c r="G1013" s="56"/>
      <c r="H1013" s="83"/>
      <c r="I1013" s="35" t="str">
        <f t="shared" si="62"/>
        <v/>
      </c>
    </row>
    <row r="1014" spans="1:9">
      <c r="A1014" s="10" t="str">
        <f t="shared" si="63"/>
        <v/>
      </c>
      <c r="B1014" s="53"/>
      <c r="C1014" s="28" t="str">
        <f t="shared" si="60"/>
        <v/>
      </c>
      <c r="D1014" s="28" t="str">
        <f t="shared" si="61"/>
        <v/>
      </c>
      <c r="E1014" s="77"/>
      <c r="F1014" s="45"/>
      <c r="G1014" s="56"/>
      <c r="H1014" s="83"/>
      <c r="I1014" s="35" t="str">
        <f t="shared" si="62"/>
        <v/>
      </c>
    </row>
    <row r="1015" spans="1:9">
      <c r="A1015" s="10" t="str">
        <f t="shared" si="63"/>
        <v/>
      </c>
      <c r="B1015" s="53"/>
      <c r="C1015" s="28" t="str">
        <f t="shared" si="60"/>
        <v/>
      </c>
      <c r="D1015" s="28" t="str">
        <f t="shared" si="61"/>
        <v/>
      </c>
      <c r="E1015" s="77"/>
      <c r="F1015" s="45"/>
      <c r="G1015" s="56"/>
      <c r="H1015" s="83"/>
      <c r="I1015" s="35" t="str">
        <f t="shared" si="62"/>
        <v/>
      </c>
    </row>
    <row r="1016" spans="1:9">
      <c r="A1016" s="10" t="str">
        <f t="shared" si="63"/>
        <v/>
      </c>
      <c r="B1016" s="53"/>
      <c r="C1016" s="28" t="str">
        <f t="shared" si="60"/>
        <v/>
      </c>
      <c r="D1016" s="28" t="str">
        <f t="shared" si="61"/>
        <v/>
      </c>
      <c r="E1016" s="77"/>
      <c r="F1016" s="45"/>
      <c r="G1016" s="56"/>
      <c r="H1016" s="83"/>
      <c r="I1016" s="35" t="str">
        <f t="shared" si="62"/>
        <v/>
      </c>
    </row>
    <row r="1017" spans="1:9">
      <c r="A1017" s="10" t="str">
        <f t="shared" si="63"/>
        <v/>
      </c>
      <c r="B1017" s="53"/>
      <c r="C1017" s="28" t="str">
        <f t="shared" si="60"/>
        <v/>
      </c>
      <c r="D1017" s="28" t="str">
        <f t="shared" si="61"/>
        <v/>
      </c>
      <c r="E1017" s="77"/>
      <c r="F1017" s="45"/>
      <c r="G1017" s="56"/>
      <c r="H1017" s="83"/>
      <c r="I1017" s="35" t="str">
        <f t="shared" si="62"/>
        <v/>
      </c>
    </row>
    <row r="1018" spans="1:9">
      <c r="A1018" s="10" t="str">
        <f t="shared" si="63"/>
        <v/>
      </c>
      <c r="B1018" s="53"/>
      <c r="C1018" s="28" t="str">
        <f t="shared" si="60"/>
        <v/>
      </c>
      <c r="D1018" s="28" t="str">
        <f t="shared" si="61"/>
        <v/>
      </c>
      <c r="E1018" s="77"/>
      <c r="F1018" s="45"/>
      <c r="G1018" s="56"/>
      <c r="H1018" s="83"/>
      <c r="I1018" s="35" t="str">
        <f t="shared" si="62"/>
        <v/>
      </c>
    </row>
    <row r="1019" spans="1:9">
      <c r="A1019" s="10" t="str">
        <f t="shared" si="63"/>
        <v/>
      </c>
      <c r="B1019" s="53"/>
      <c r="C1019" s="28" t="str">
        <f t="shared" si="60"/>
        <v/>
      </c>
      <c r="D1019" s="28" t="str">
        <f t="shared" si="61"/>
        <v/>
      </c>
      <c r="E1019" s="77"/>
      <c r="F1019" s="45"/>
      <c r="G1019" s="56"/>
      <c r="H1019" s="83"/>
      <c r="I1019" s="35" t="str">
        <f t="shared" si="62"/>
        <v/>
      </c>
    </row>
    <row r="1020" spans="1:9">
      <c r="A1020" s="10" t="str">
        <f t="shared" si="63"/>
        <v/>
      </c>
      <c r="B1020" s="53"/>
      <c r="C1020" s="28" t="str">
        <f t="shared" si="60"/>
        <v/>
      </c>
      <c r="D1020" s="28" t="str">
        <f t="shared" si="61"/>
        <v/>
      </c>
      <c r="E1020" s="77"/>
      <c r="F1020" s="45"/>
      <c r="G1020" s="56"/>
      <c r="H1020" s="83"/>
      <c r="I1020" s="35" t="str">
        <f t="shared" si="62"/>
        <v/>
      </c>
    </row>
    <row r="1021" spans="1:9">
      <c r="A1021" s="10" t="str">
        <f t="shared" si="63"/>
        <v/>
      </c>
      <c r="B1021" s="53"/>
      <c r="C1021" s="28" t="str">
        <f t="shared" si="60"/>
        <v/>
      </c>
      <c r="D1021" s="28" t="str">
        <f t="shared" si="61"/>
        <v/>
      </c>
      <c r="E1021" s="77"/>
      <c r="F1021" s="45"/>
      <c r="G1021" s="56"/>
      <c r="H1021" s="83"/>
      <c r="I1021" s="35" t="str">
        <f t="shared" si="62"/>
        <v/>
      </c>
    </row>
    <row r="1022" spans="1:9">
      <c r="A1022" s="10" t="str">
        <f t="shared" si="63"/>
        <v/>
      </c>
      <c r="B1022" s="53"/>
      <c r="C1022" s="28" t="str">
        <f t="shared" si="60"/>
        <v/>
      </c>
      <c r="D1022" s="28" t="str">
        <f t="shared" si="61"/>
        <v/>
      </c>
      <c r="E1022" s="77"/>
      <c r="F1022" s="45"/>
      <c r="G1022" s="56"/>
      <c r="H1022" s="83"/>
      <c r="I1022" s="35" t="str">
        <f t="shared" si="62"/>
        <v/>
      </c>
    </row>
    <row r="1023" spans="1:9">
      <c r="A1023" s="10" t="str">
        <f t="shared" si="63"/>
        <v/>
      </c>
      <c r="B1023" s="53"/>
      <c r="C1023" s="28" t="str">
        <f t="shared" si="60"/>
        <v/>
      </c>
      <c r="D1023" s="28" t="str">
        <f t="shared" si="61"/>
        <v/>
      </c>
      <c r="E1023" s="77"/>
      <c r="F1023" s="45"/>
      <c r="G1023" s="56"/>
      <c r="H1023" s="83"/>
      <c r="I1023" s="35" t="str">
        <f t="shared" si="62"/>
        <v/>
      </c>
    </row>
    <row r="1024" spans="1:9">
      <c r="A1024" s="10" t="str">
        <f t="shared" si="63"/>
        <v/>
      </c>
      <c r="B1024" s="53"/>
      <c r="C1024" s="28" t="str">
        <f t="shared" si="60"/>
        <v/>
      </c>
      <c r="D1024" s="28" t="str">
        <f t="shared" si="61"/>
        <v/>
      </c>
      <c r="E1024" s="77"/>
      <c r="F1024" s="45"/>
      <c r="G1024" s="56"/>
      <c r="H1024" s="83"/>
      <c r="I1024" s="35" t="str">
        <f t="shared" si="62"/>
        <v/>
      </c>
    </row>
    <row r="1025" spans="1:9">
      <c r="A1025" s="10" t="str">
        <f t="shared" si="63"/>
        <v/>
      </c>
      <c r="B1025" s="53"/>
      <c r="C1025" s="28" t="str">
        <f t="shared" si="60"/>
        <v/>
      </c>
      <c r="D1025" s="28" t="str">
        <f t="shared" si="61"/>
        <v/>
      </c>
      <c r="E1025" s="77"/>
      <c r="F1025" s="45"/>
      <c r="G1025" s="56"/>
      <c r="H1025" s="83"/>
      <c r="I1025" s="35" t="str">
        <f t="shared" si="62"/>
        <v/>
      </c>
    </row>
    <row r="1026" spans="1:9">
      <c r="A1026" s="10" t="str">
        <f t="shared" si="63"/>
        <v/>
      </c>
      <c r="B1026" s="53"/>
      <c r="C1026" s="28" t="str">
        <f t="shared" ref="C1026:C1089" si="64">IF(B1026=0,"",TEXT(B1026,"mmmm"))</f>
        <v/>
      </c>
      <c r="D1026" s="28" t="str">
        <f t="shared" ref="D1026:D1089" si="65">IF(B1026=0,"",TEXT(B1026,"yyyy"))</f>
        <v/>
      </c>
      <c r="E1026" s="77"/>
      <c r="F1026" s="45"/>
      <c r="G1026" s="56"/>
      <c r="H1026" s="83"/>
      <c r="I1026" s="35" t="str">
        <f t="shared" ref="I1026:I1089" si="66">IF(G1026*H1026=0,"",G1026*H1026)</f>
        <v/>
      </c>
    </row>
    <row r="1027" spans="1:9">
      <c r="A1027" s="10" t="str">
        <f t="shared" si="63"/>
        <v/>
      </c>
      <c r="B1027" s="53"/>
      <c r="C1027" s="28" t="str">
        <f t="shared" si="64"/>
        <v/>
      </c>
      <c r="D1027" s="28" t="str">
        <f t="shared" si="65"/>
        <v/>
      </c>
      <c r="E1027" s="77"/>
      <c r="F1027" s="45"/>
      <c r="G1027" s="56"/>
      <c r="H1027" s="83"/>
      <c r="I1027" s="35" t="str">
        <f t="shared" si="66"/>
        <v/>
      </c>
    </row>
    <row r="1028" spans="1:9">
      <c r="A1028" s="10" t="str">
        <f t="shared" ref="A1028:A1091" si="67">IF(E1028&gt;0,A1027+1,"")</f>
        <v/>
      </c>
      <c r="B1028" s="53"/>
      <c r="C1028" s="28" t="str">
        <f t="shared" si="64"/>
        <v/>
      </c>
      <c r="D1028" s="28" t="str">
        <f t="shared" si="65"/>
        <v/>
      </c>
      <c r="E1028" s="77"/>
      <c r="F1028" s="45"/>
      <c r="G1028" s="56"/>
      <c r="H1028" s="83"/>
      <c r="I1028" s="35" t="str">
        <f t="shared" si="66"/>
        <v/>
      </c>
    </row>
    <row r="1029" spans="1:9">
      <c r="A1029" s="10" t="str">
        <f t="shared" si="67"/>
        <v/>
      </c>
      <c r="B1029" s="53"/>
      <c r="C1029" s="28" t="str">
        <f t="shared" si="64"/>
        <v/>
      </c>
      <c r="D1029" s="28" t="str">
        <f t="shared" si="65"/>
        <v/>
      </c>
      <c r="E1029" s="77"/>
      <c r="F1029" s="45"/>
      <c r="G1029" s="56"/>
      <c r="H1029" s="83"/>
      <c r="I1029" s="35" t="str">
        <f t="shared" si="66"/>
        <v/>
      </c>
    </row>
    <row r="1030" spans="1:9">
      <c r="A1030" s="10" t="str">
        <f t="shared" si="67"/>
        <v/>
      </c>
      <c r="B1030" s="53"/>
      <c r="C1030" s="28" t="str">
        <f t="shared" si="64"/>
        <v/>
      </c>
      <c r="D1030" s="28" t="str">
        <f t="shared" si="65"/>
        <v/>
      </c>
      <c r="E1030" s="77"/>
      <c r="F1030" s="45"/>
      <c r="G1030" s="56"/>
      <c r="H1030" s="83"/>
      <c r="I1030" s="35" t="str">
        <f t="shared" si="66"/>
        <v/>
      </c>
    </row>
    <row r="1031" spans="1:9">
      <c r="A1031" s="10" t="str">
        <f t="shared" si="67"/>
        <v/>
      </c>
      <c r="B1031" s="53"/>
      <c r="C1031" s="28" t="str">
        <f t="shared" si="64"/>
        <v/>
      </c>
      <c r="D1031" s="28" t="str">
        <f t="shared" si="65"/>
        <v/>
      </c>
      <c r="E1031" s="77"/>
      <c r="F1031" s="45"/>
      <c r="G1031" s="56"/>
      <c r="H1031" s="83"/>
      <c r="I1031" s="35" t="str">
        <f t="shared" si="66"/>
        <v/>
      </c>
    </row>
    <row r="1032" spans="1:9">
      <c r="A1032" s="10" t="str">
        <f t="shared" si="67"/>
        <v/>
      </c>
      <c r="B1032" s="53"/>
      <c r="C1032" s="28" t="str">
        <f t="shared" si="64"/>
        <v/>
      </c>
      <c r="D1032" s="28" t="str">
        <f t="shared" si="65"/>
        <v/>
      </c>
      <c r="E1032" s="77"/>
      <c r="F1032" s="45"/>
      <c r="G1032" s="56"/>
      <c r="H1032" s="83"/>
      <c r="I1032" s="35" t="str">
        <f t="shared" si="66"/>
        <v/>
      </c>
    </row>
    <row r="1033" spans="1:9">
      <c r="A1033" s="10" t="str">
        <f t="shared" si="67"/>
        <v/>
      </c>
      <c r="B1033" s="53"/>
      <c r="C1033" s="28" t="str">
        <f t="shared" si="64"/>
        <v/>
      </c>
      <c r="D1033" s="28" t="str">
        <f t="shared" si="65"/>
        <v/>
      </c>
      <c r="E1033" s="77"/>
      <c r="F1033" s="45"/>
      <c r="G1033" s="56"/>
      <c r="H1033" s="83"/>
      <c r="I1033" s="35" t="str">
        <f t="shared" si="66"/>
        <v/>
      </c>
    </row>
    <row r="1034" spans="1:9">
      <c r="A1034" s="10" t="str">
        <f t="shared" si="67"/>
        <v/>
      </c>
      <c r="B1034" s="53"/>
      <c r="C1034" s="28" t="str">
        <f t="shared" si="64"/>
        <v/>
      </c>
      <c r="D1034" s="28" t="str">
        <f t="shared" si="65"/>
        <v/>
      </c>
      <c r="E1034" s="77"/>
      <c r="F1034" s="45"/>
      <c r="G1034" s="56"/>
      <c r="H1034" s="83"/>
      <c r="I1034" s="35" t="str">
        <f t="shared" si="66"/>
        <v/>
      </c>
    </row>
    <row r="1035" spans="1:9">
      <c r="A1035" s="10" t="str">
        <f t="shared" si="67"/>
        <v/>
      </c>
      <c r="B1035" s="53"/>
      <c r="C1035" s="28" t="str">
        <f t="shared" si="64"/>
        <v/>
      </c>
      <c r="D1035" s="28" t="str">
        <f t="shared" si="65"/>
        <v/>
      </c>
      <c r="E1035" s="77"/>
      <c r="F1035" s="45"/>
      <c r="G1035" s="56"/>
      <c r="H1035" s="83"/>
      <c r="I1035" s="35" t="str">
        <f t="shared" si="66"/>
        <v/>
      </c>
    </row>
    <row r="1036" spans="1:9">
      <c r="A1036" s="10" t="str">
        <f t="shared" si="67"/>
        <v/>
      </c>
      <c r="B1036" s="53"/>
      <c r="C1036" s="28" t="str">
        <f t="shared" si="64"/>
        <v/>
      </c>
      <c r="D1036" s="28" t="str">
        <f t="shared" si="65"/>
        <v/>
      </c>
      <c r="E1036" s="77"/>
      <c r="F1036" s="45"/>
      <c r="G1036" s="56"/>
      <c r="H1036" s="83"/>
      <c r="I1036" s="35" t="str">
        <f t="shared" si="66"/>
        <v/>
      </c>
    </row>
    <row r="1037" spans="1:9">
      <c r="A1037" s="10" t="str">
        <f t="shared" si="67"/>
        <v/>
      </c>
      <c r="B1037" s="53"/>
      <c r="C1037" s="28" t="str">
        <f t="shared" si="64"/>
        <v/>
      </c>
      <c r="D1037" s="28" t="str">
        <f t="shared" si="65"/>
        <v/>
      </c>
      <c r="E1037" s="77"/>
      <c r="F1037" s="45"/>
      <c r="G1037" s="56"/>
      <c r="H1037" s="83"/>
      <c r="I1037" s="35" t="str">
        <f t="shared" si="66"/>
        <v/>
      </c>
    </row>
    <row r="1038" spans="1:9">
      <c r="A1038" s="10" t="str">
        <f t="shared" si="67"/>
        <v/>
      </c>
      <c r="B1038" s="53"/>
      <c r="C1038" s="28" t="str">
        <f t="shared" si="64"/>
        <v/>
      </c>
      <c r="D1038" s="28" t="str">
        <f t="shared" si="65"/>
        <v/>
      </c>
      <c r="E1038" s="77"/>
      <c r="F1038" s="45"/>
      <c r="G1038" s="56"/>
      <c r="H1038" s="83"/>
      <c r="I1038" s="35" t="str">
        <f t="shared" si="66"/>
        <v/>
      </c>
    </row>
    <row r="1039" spans="1:9">
      <c r="A1039" s="10" t="str">
        <f t="shared" si="67"/>
        <v/>
      </c>
      <c r="B1039" s="53"/>
      <c r="C1039" s="28" t="str">
        <f t="shared" si="64"/>
        <v/>
      </c>
      <c r="D1039" s="28" t="str">
        <f t="shared" si="65"/>
        <v/>
      </c>
      <c r="E1039" s="77"/>
      <c r="F1039" s="45"/>
      <c r="G1039" s="56"/>
      <c r="H1039" s="83"/>
      <c r="I1039" s="35" t="str">
        <f t="shared" si="66"/>
        <v/>
      </c>
    </row>
    <row r="1040" spans="1:9">
      <c r="A1040" s="10" t="str">
        <f t="shared" si="67"/>
        <v/>
      </c>
      <c r="B1040" s="53"/>
      <c r="C1040" s="28" t="str">
        <f t="shared" si="64"/>
        <v/>
      </c>
      <c r="D1040" s="28" t="str">
        <f t="shared" si="65"/>
        <v/>
      </c>
      <c r="E1040" s="77"/>
      <c r="F1040" s="45"/>
      <c r="G1040" s="56"/>
      <c r="H1040" s="83"/>
      <c r="I1040" s="35" t="str">
        <f t="shared" si="66"/>
        <v/>
      </c>
    </row>
    <row r="1041" spans="1:9">
      <c r="A1041" s="10" t="str">
        <f t="shared" si="67"/>
        <v/>
      </c>
      <c r="B1041" s="53"/>
      <c r="C1041" s="28" t="str">
        <f t="shared" si="64"/>
        <v/>
      </c>
      <c r="D1041" s="28" t="str">
        <f t="shared" si="65"/>
        <v/>
      </c>
      <c r="E1041" s="77"/>
      <c r="F1041" s="45"/>
      <c r="G1041" s="56"/>
      <c r="H1041" s="83"/>
      <c r="I1041" s="35" t="str">
        <f t="shared" si="66"/>
        <v/>
      </c>
    </row>
    <row r="1042" spans="1:9">
      <c r="A1042" s="10" t="str">
        <f t="shared" si="67"/>
        <v/>
      </c>
      <c r="B1042" s="53"/>
      <c r="C1042" s="28" t="str">
        <f t="shared" si="64"/>
        <v/>
      </c>
      <c r="D1042" s="28" t="str">
        <f t="shared" si="65"/>
        <v/>
      </c>
      <c r="E1042" s="77"/>
      <c r="F1042" s="45"/>
      <c r="G1042" s="56"/>
      <c r="H1042" s="83"/>
      <c r="I1042" s="35" t="str">
        <f t="shared" si="66"/>
        <v/>
      </c>
    </row>
    <row r="1043" spans="1:9">
      <c r="A1043" s="10" t="str">
        <f t="shared" si="67"/>
        <v/>
      </c>
      <c r="B1043" s="53"/>
      <c r="C1043" s="28" t="str">
        <f t="shared" si="64"/>
        <v/>
      </c>
      <c r="D1043" s="28" t="str">
        <f t="shared" si="65"/>
        <v/>
      </c>
      <c r="E1043" s="77"/>
      <c r="F1043" s="45"/>
      <c r="G1043" s="56"/>
      <c r="H1043" s="83"/>
      <c r="I1043" s="35" t="str">
        <f t="shared" si="66"/>
        <v/>
      </c>
    </row>
    <row r="1044" spans="1:9">
      <c r="A1044" s="10" t="str">
        <f t="shared" si="67"/>
        <v/>
      </c>
      <c r="B1044" s="53"/>
      <c r="C1044" s="28" t="str">
        <f t="shared" si="64"/>
        <v/>
      </c>
      <c r="D1044" s="28" t="str">
        <f t="shared" si="65"/>
        <v/>
      </c>
      <c r="E1044" s="77"/>
      <c r="F1044" s="45"/>
      <c r="G1044" s="56"/>
      <c r="H1044" s="83"/>
      <c r="I1044" s="35" t="str">
        <f t="shared" si="66"/>
        <v/>
      </c>
    </row>
    <row r="1045" spans="1:9">
      <c r="A1045" s="10" t="str">
        <f t="shared" si="67"/>
        <v/>
      </c>
      <c r="B1045" s="53"/>
      <c r="C1045" s="28" t="str">
        <f t="shared" si="64"/>
        <v/>
      </c>
      <c r="D1045" s="28" t="str">
        <f t="shared" si="65"/>
        <v/>
      </c>
      <c r="E1045" s="77"/>
      <c r="F1045" s="45"/>
      <c r="G1045" s="56"/>
      <c r="H1045" s="83"/>
      <c r="I1045" s="35" t="str">
        <f t="shared" si="66"/>
        <v/>
      </c>
    </row>
    <row r="1046" spans="1:9">
      <c r="A1046" s="10" t="str">
        <f t="shared" si="67"/>
        <v/>
      </c>
      <c r="B1046" s="53"/>
      <c r="C1046" s="28" t="str">
        <f t="shared" si="64"/>
        <v/>
      </c>
      <c r="D1046" s="28" t="str">
        <f t="shared" si="65"/>
        <v/>
      </c>
      <c r="E1046" s="77"/>
      <c r="F1046" s="45"/>
      <c r="G1046" s="56"/>
      <c r="H1046" s="83"/>
      <c r="I1046" s="35" t="str">
        <f t="shared" si="66"/>
        <v/>
      </c>
    </row>
    <row r="1047" spans="1:9">
      <c r="A1047" s="10" t="str">
        <f t="shared" si="67"/>
        <v/>
      </c>
      <c r="B1047" s="53"/>
      <c r="C1047" s="28" t="str">
        <f t="shared" si="64"/>
        <v/>
      </c>
      <c r="D1047" s="28" t="str">
        <f t="shared" si="65"/>
        <v/>
      </c>
      <c r="E1047" s="77"/>
      <c r="F1047" s="45"/>
      <c r="G1047" s="56"/>
      <c r="H1047" s="83"/>
      <c r="I1047" s="35" t="str">
        <f t="shared" si="66"/>
        <v/>
      </c>
    </row>
    <row r="1048" spans="1:9">
      <c r="A1048" s="10" t="str">
        <f t="shared" si="67"/>
        <v/>
      </c>
      <c r="B1048" s="53"/>
      <c r="C1048" s="28" t="str">
        <f t="shared" si="64"/>
        <v/>
      </c>
      <c r="D1048" s="28" t="str">
        <f t="shared" si="65"/>
        <v/>
      </c>
      <c r="E1048" s="77"/>
      <c r="F1048" s="45"/>
      <c r="G1048" s="56"/>
      <c r="H1048" s="83"/>
      <c r="I1048" s="35" t="str">
        <f t="shared" si="66"/>
        <v/>
      </c>
    </row>
    <row r="1049" spans="1:9">
      <c r="A1049" s="10" t="str">
        <f t="shared" si="67"/>
        <v/>
      </c>
      <c r="B1049" s="53"/>
      <c r="C1049" s="28" t="str">
        <f t="shared" si="64"/>
        <v/>
      </c>
      <c r="D1049" s="28" t="str">
        <f t="shared" si="65"/>
        <v/>
      </c>
      <c r="E1049" s="77"/>
      <c r="F1049" s="45"/>
      <c r="G1049" s="56"/>
      <c r="H1049" s="83"/>
      <c r="I1049" s="35" t="str">
        <f t="shared" si="66"/>
        <v/>
      </c>
    </row>
    <row r="1050" spans="1:9">
      <c r="A1050" s="10" t="str">
        <f t="shared" si="67"/>
        <v/>
      </c>
      <c r="B1050" s="53"/>
      <c r="C1050" s="28" t="str">
        <f t="shared" si="64"/>
        <v/>
      </c>
      <c r="D1050" s="28" t="str">
        <f t="shared" si="65"/>
        <v/>
      </c>
      <c r="E1050" s="77"/>
      <c r="F1050" s="45"/>
      <c r="G1050" s="56"/>
      <c r="H1050" s="83"/>
      <c r="I1050" s="35" t="str">
        <f t="shared" si="66"/>
        <v/>
      </c>
    </row>
    <row r="1051" spans="1:9">
      <c r="A1051" s="10" t="str">
        <f t="shared" si="67"/>
        <v/>
      </c>
      <c r="B1051" s="53"/>
      <c r="C1051" s="28" t="str">
        <f t="shared" si="64"/>
        <v/>
      </c>
      <c r="D1051" s="28" t="str">
        <f t="shared" si="65"/>
        <v/>
      </c>
      <c r="E1051" s="77"/>
      <c r="F1051" s="45"/>
      <c r="G1051" s="56"/>
      <c r="H1051" s="83"/>
      <c r="I1051" s="35" t="str">
        <f t="shared" si="66"/>
        <v/>
      </c>
    </row>
    <row r="1052" spans="1:9">
      <c r="A1052" s="10" t="str">
        <f t="shared" si="67"/>
        <v/>
      </c>
      <c r="B1052" s="53"/>
      <c r="C1052" s="28" t="str">
        <f t="shared" si="64"/>
        <v/>
      </c>
      <c r="D1052" s="28" t="str">
        <f t="shared" si="65"/>
        <v/>
      </c>
      <c r="E1052" s="77"/>
      <c r="F1052" s="45"/>
      <c r="G1052" s="56"/>
      <c r="H1052" s="83"/>
      <c r="I1052" s="35" t="str">
        <f t="shared" si="66"/>
        <v/>
      </c>
    </row>
    <row r="1053" spans="1:9">
      <c r="A1053" s="10" t="str">
        <f t="shared" si="67"/>
        <v/>
      </c>
      <c r="B1053" s="53"/>
      <c r="C1053" s="28" t="str">
        <f t="shared" si="64"/>
        <v/>
      </c>
      <c r="D1053" s="28" t="str">
        <f t="shared" si="65"/>
        <v/>
      </c>
      <c r="E1053" s="77"/>
      <c r="F1053" s="45"/>
      <c r="G1053" s="56"/>
      <c r="H1053" s="83"/>
      <c r="I1053" s="35" t="str">
        <f t="shared" si="66"/>
        <v/>
      </c>
    </row>
    <row r="1054" spans="1:9">
      <c r="A1054" s="10" t="str">
        <f t="shared" si="67"/>
        <v/>
      </c>
      <c r="B1054" s="53"/>
      <c r="C1054" s="28" t="str">
        <f t="shared" si="64"/>
        <v/>
      </c>
      <c r="D1054" s="28" t="str">
        <f t="shared" si="65"/>
        <v/>
      </c>
      <c r="E1054" s="77"/>
      <c r="F1054" s="45"/>
      <c r="G1054" s="56"/>
      <c r="H1054" s="83"/>
      <c r="I1054" s="35" t="str">
        <f t="shared" si="66"/>
        <v/>
      </c>
    </row>
    <row r="1055" spans="1:9">
      <c r="A1055" s="10" t="str">
        <f t="shared" si="67"/>
        <v/>
      </c>
      <c r="B1055" s="53"/>
      <c r="C1055" s="28" t="str">
        <f t="shared" si="64"/>
        <v/>
      </c>
      <c r="D1055" s="28" t="str">
        <f t="shared" si="65"/>
        <v/>
      </c>
      <c r="E1055" s="77"/>
      <c r="F1055" s="45"/>
      <c r="G1055" s="56"/>
      <c r="H1055" s="83"/>
      <c r="I1055" s="35" t="str">
        <f t="shared" si="66"/>
        <v/>
      </c>
    </row>
    <row r="1056" spans="1:9">
      <c r="A1056" s="10" t="str">
        <f t="shared" si="67"/>
        <v/>
      </c>
      <c r="B1056" s="53"/>
      <c r="C1056" s="28" t="str">
        <f t="shared" si="64"/>
        <v/>
      </c>
      <c r="D1056" s="28" t="str">
        <f t="shared" si="65"/>
        <v/>
      </c>
      <c r="E1056" s="77"/>
      <c r="F1056" s="45"/>
      <c r="G1056" s="56"/>
      <c r="H1056" s="83"/>
      <c r="I1056" s="35" t="str">
        <f t="shared" si="66"/>
        <v/>
      </c>
    </row>
    <row r="1057" spans="1:9">
      <c r="A1057" s="10" t="str">
        <f t="shared" si="67"/>
        <v/>
      </c>
      <c r="B1057" s="53"/>
      <c r="C1057" s="28" t="str">
        <f t="shared" si="64"/>
        <v/>
      </c>
      <c r="D1057" s="28" t="str">
        <f t="shared" si="65"/>
        <v/>
      </c>
      <c r="E1057" s="77"/>
      <c r="F1057" s="45"/>
      <c r="G1057" s="56"/>
      <c r="H1057" s="83"/>
      <c r="I1057" s="35" t="str">
        <f t="shared" si="66"/>
        <v/>
      </c>
    </row>
    <row r="1058" spans="1:9">
      <c r="A1058" s="10" t="str">
        <f t="shared" si="67"/>
        <v/>
      </c>
      <c r="B1058" s="53"/>
      <c r="C1058" s="28" t="str">
        <f t="shared" si="64"/>
        <v/>
      </c>
      <c r="D1058" s="28" t="str">
        <f t="shared" si="65"/>
        <v/>
      </c>
      <c r="E1058" s="77"/>
      <c r="F1058" s="45"/>
      <c r="G1058" s="56"/>
      <c r="H1058" s="83"/>
      <c r="I1058" s="35" t="str">
        <f t="shared" si="66"/>
        <v/>
      </c>
    </row>
    <row r="1059" spans="1:9">
      <c r="A1059" s="10" t="str">
        <f t="shared" si="67"/>
        <v/>
      </c>
      <c r="B1059" s="53"/>
      <c r="C1059" s="28" t="str">
        <f t="shared" si="64"/>
        <v/>
      </c>
      <c r="D1059" s="28" t="str">
        <f t="shared" si="65"/>
        <v/>
      </c>
      <c r="E1059" s="77"/>
      <c r="F1059" s="45"/>
      <c r="G1059" s="56"/>
      <c r="H1059" s="83"/>
      <c r="I1059" s="35" t="str">
        <f t="shared" si="66"/>
        <v/>
      </c>
    </row>
    <row r="1060" spans="1:9">
      <c r="A1060" s="10" t="str">
        <f t="shared" si="67"/>
        <v/>
      </c>
      <c r="B1060" s="53"/>
      <c r="C1060" s="28" t="str">
        <f t="shared" si="64"/>
        <v/>
      </c>
      <c r="D1060" s="28" t="str">
        <f t="shared" si="65"/>
        <v/>
      </c>
      <c r="E1060" s="77"/>
      <c r="F1060" s="45"/>
      <c r="G1060" s="56"/>
      <c r="H1060" s="83"/>
      <c r="I1060" s="35" t="str">
        <f t="shared" si="66"/>
        <v/>
      </c>
    </row>
    <row r="1061" spans="1:9">
      <c r="A1061" s="10" t="str">
        <f t="shared" si="67"/>
        <v/>
      </c>
      <c r="B1061" s="53"/>
      <c r="C1061" s="28" t="str">
        <f t="shared" si="64"/>
        <v/>
      </c>
      <c r="D1061" s="28" t="str">
        <f t="shared" si="65"/>
        <v/>
      </c>
      <c r="E1061" s="77"/>
      <c r="F1061" s="45"/>
      <c r="G1061" s="56"/>
      <c r="H1061" s="83"/>
      <c r="I1061" s="35" t="str">
        <f t="shared" si="66"/>
        <v/>
      </c>
    </row>
    <row r="1062" spans="1:9">
      <c r="A1062" s="10" t="str">
        <f t="shared" si="67"/>
        <v/>
      </c>
      <c r="B1062" s="53"/>
      <c r="C1062" s="28" t="str">
        <f t="shared" si="64"/>
        <v/>
      </c>
      <c r="D1062" s="28" t="str">
        <f t="shared" si="65"/>
        <v/>
      </c>
      <c r="E1062" s="77"/>
      <c r="F1062" s="45"/>
      <c r="G1062" s="56"/>
      <c r="H1062" s="83"/>
      <c r="I1062" s="35" t="str">
        <f t="shared" si="66"/>
        <v/>
      </c>
    </row>
    <row r="1063" spans="1:9">
      <c r="A1063" s="10" t="str">
        <f t="shared" si="67"/>
        <v/>
      </c>
      <c r="B1063" s="53"/>
      <c r="C1063" s="28" t="str">
        <f t="shared" si="64"/>
        <v/>
      </c>
      <c r="D1063" s="28" t="str">
        <f t="shared" si="65"/>
        <v/>
      </c>
      <c r="E1063" s="77"/>
      <c r="F1063" s="45"/>
      <c r="G1063" s="56"/>
      <c r="H1063" s="83"/>
      <c r="I1063" s="35" t="str">
        <f t="shared" si="66"/>
        <v/>
      </c>
    </row>
    <row r="1064" spans="1:9">
      <c r="A1064" s="10" t="str">
        <f t="shared" si="67"/>
        <v/>
      </c>
      <c r="B1064" s="53"/>
      <c r="C1064" s="28" t="str">
        <f t="shared" si="64"/>
        <v/>
      </c>
      <c r="D1064" s="28" t="str">
        <f t="shared" si="65"/>
        <v/>
      </c>
      <c r="E1064" s="77"/>
      <c r="F1064" s="45"/>
      <c r="G1064" s="56"/>
      <c r="H1064" s="83"/>
      <c r="I1064" s="35" t="str">
        <f t="shared" si="66"/>
        <v/>
      </c>
    </row>
    <row r="1065" spans="1:9">
      <c r="A1065" s="10" t="str">
        <f t="shared" si="67"/>
        <v/>
      </c>
      <c r="B1065" s="53"/>
      <c r="C1065" s="28" t="str">
        <f t="shared" si="64"/>
        <v/>
      </c>
      <c r="D1065" s="28" t="str">
        <f t="shared" si="65"/>
        <v/>
      </c>
      <c r="E1065" s="77"/>
      <c r="F1065" s="45"/>
      <c r="G1065" s="56"/>
      <c r="H1065" s="83"/>
      <c r="I1065" s="35" t="str">
        <f t="shared" si="66"/>
        <v/>
      </c>
    </row>
    <row r="1066" spans="1:9">
      <c r="A1066" s="10" t="str">
        <f t="shared" si="67"/>
        <v/>
      </c>
      <c r="B1066" s="53"/>
      <c r="C1066" s="28" t="str">
        <f t="shared" si="64"/>
        <v/>
      </c>
      <c r="D1066" s="28" t="str">
        <f t="shared" si="65"/>
        <v/>
      </c>
      <c r="E1066" s="77"/>
      <c r="F1066" s="45"/>
      <c r="G1066" s="56"/>
      <c r="H1066" s="83"/>
      <c r="I1066" s="35" t="str">
        <f t="shared" si="66"/>
        <v/>
      </c>
    </row>
    <row r="1067" spans="1:9">
      <c r="A1067" s="10" t="str">
        <f t="shared" si="67"/>
        <v/>
      </c>
      <c r="B1067" s="53"/>
      <c r="C1067" s="28" t="str">
        <f t="shared" si="64"/>
        <v/>
      </c>
      <c r="D1067" s="28" t="str">
        <f t="shared" si="65"/>
        <v/>
      </c>
      <c r="E1067" s="77"/>
      <c r="F1067" s="45"/>
      <c r="G1067" s="56"/>
      <c r="H1067" s="83"/>
      <c r="I1067" s="35" t="str">
        <f t="shared" si="66"/>
        <v/>
      </c>
    </row>
    <row r="1068" spans="1:9">
      <c r="A1068" s="10" t="str">
        <f t="shared" si="67"/>
        <v/>
      </c>
      <c r="B1068" s="53"/>
      <c r="C1068" s="28" t="str">
        <f t="shared" si="64"/>
        <v/>
      </c>
      <c r="D1068" s="28" t="str">
        <f t="shared" si="65"/>
        <v/>
      </c>
      <c r="E1068" s="77"/>
      <c r="F1068" s="45"/>
      <c r="G1068" s="56"/>
      <c r="H1068" s="83"/>
      <c r="I1068" s="35" t="str">
        <f t="shared" si="66"/>
        <v/>
      </c>
    </row>
    <row r="1069" spans="1:9">
      <c r="A1069" s="10" t="str">
        <f t="shared" si="67"/>
        <v/>
      </c>
      <c r="B1069" s="53"/>
      <c r="C1069" s="28" t="str">
        <f t="shared" si="64"/>
        <v/>
      </c>
      <c r="D1069" s="28" t="str">
        <f t="shared" si="65"/>
        <v/>
      </c>
      <c r="E1069" s="77"/>
      <c r="F1069" s="45"/>
      <c r="G1069" s="56"/>
      <c r="H1069" s="83"/>
      <c r="I1069" s="35" t="str">
        <f t="shared" si="66"/>
        <v/>
      </c>
    </row>
    <row r="1070" spans="1:9">
      <c r="A1070" s="10" t="str">
        <f t="shared" si="67"/>
        <v/>
      </c>
      <c r="B1070" s="53"/>
      <c r="C1070" s="28" t="str">
        <f t="shared" si="64"/>
        <v/>
      </c>
      <c r="D1070" s="28" t="str">
        <f t="shared" si="65"/>
        <v/>
      </c>
      <c r="E1070" s="77"/>
      <c r="F1070" s="45"/>
      <c r="G1070" s="56"/>
      <c r="H1070" s="83"/>
      <c r="I1070" s="35" t="str">
        <f t="shared" si="66"/>
        <v/>
      </c>
    </row>
    <row r="1071" spans="1:9">
      <c r="A1071" s="10" t="str">
        <f t="shared" si="67"/>
        <v/>
      </c>
      <c r="B1071" s="53"/>
      <c r="C1071" s="28" t="str">
        <f t="shared" si="64"/>
        <v/>
      </c>
      <c r="D1071" s="28" t="str">
        <f t="shared" si="65"/>
        <v/>
      </c>
      <c r="E1071" s="77"/>
      <c r="F1071" s="45"/>
      <c r="G1071" s="56"/>
      <c r="H1071" s="83"/>
      <c r="I1071" s="35" t="str">
        <f t="shared" si="66"/>
        <v/>
      </c>
    </row>
    <row r="1072" spans="1:9">
      <c r="A1072" s="10" t="str">
        <f t="shared" si="67"/>
        <v/>
      </c>
      <c r="B1072" s="53"/>
      <c r="C1072" s="28" t="str">
        <f t="shared" si="64"/>
        <v/>
      </c>
      <c r="D1072" s="28" t="str">
        <f t="shared" si="65"/>
        <v/>
      </c>
      <c r="E1072" s="77"/>
      <c r="F1072" s="45"/>
      <c r="G1072" s="56"/>
      <c r="H1072" s="83"/>
      <c r="I1072" s="35" t="str">
        <f t="shared" si="66"/>
        <v/>
      </c>
    </row>
    <row r="1073" spans="1:9">
      <c r="A1073" s="10" t="str">
        <f t="shared" si="67"/>
        <v/>
      </c>
      <c r="B1073" s="53"/>
      <c r="C1073" s="28" t="str">
        <f t="shared" si="64"/>
        <v/>
      </c>
      <c r="D1073" s="28" t="str">
        <f t="shared" si="65"/>
        <v/>
      </c>
      <c r="E1073" s="77"/>
      <c r="F1073" s="45"/>
      <c r="G1073" s="56"/>
      <c r="H1073" s="83"/>
      <c r="I1073" s="35" t="str">
        <f t="shared" si="66"/>
        <v/>
      </c>
    </row>
    <row r="1074" spans="1:9">
      <c r="A1074" s="10" t="str">
        <f t="shared" si="67"/>
        <v/>
      </c>
      <c r="B1074" s="53"/>
      <c r="C1074" s="28" t="str">
        <f t="shared" si="64"/>
        <v/>
      </c>
      <c r="D1074" s="28" t="str">
        <f t="shared" si="65"/>
        <v/>
      </c>
      <c r="E1074" s="77"/>
      <c r="F1074" s="45"/>
      <c r="G1074" s="56"/>
      <c r="H1074" s="83"/>
      <c r="I1074" s="35" t="str">
        <f t="shared" si="66"/>
        <v/>
      </c>
    </row>
    <row r="1075" spans="1:9">
      <c r="A1075" s="10" t="str">
        <f t="shared" si="67"/>
        <v/>
      </c>
      <c r="B1075" s="53"/>
      <c r="C1075" s="28" t="str">
        <f t="shared" si="64"/>
        <v/>
      </c>
      <c r="D1075" s="28" t="str">
        <f t="shared" si="65"/>
        <v/>
      </c>
      <c r="E1075" s="77"/>
      <c r="F1075" s="45"/>
      <c r="G1075" s="56"/>
      <c r="H1075" s="83"/>
      <c r="I1075" s="35" t="str">
        <f t="shared" si="66"/>
        <v/>
      </c>
    </row>
    <row r="1076" spans="1:9">
      <c r="A1076" s="10" t="str">
        <f t="shared" si="67"/>
        <v/>
      </c>
      <c r="B1076" s="53"/>
      <c r="C1076" s="28" t="str">
        <f t="shared" si="64"/>
        <v/>
      </c>
      <c r="D1076" s="28" t="str">
        <f t="shared" si="65"/>
        <v/>
      </c>
      <c r="E1076" s="77"/>
      <c r="F1076" s="45"/>
      <c r="G1076" s="56"/>
      <c r="H1076" s="83"/>
      <c r="I1076" s="35" t="str">
        <f t="shared" si="66"/>
        <v/>
      </c>
    </row>
    <row r="1077" spans="1:9">
      <c r="A1077" s="10" t="str">
        <f t="shared" si="67"/>
        <v/>
      </c>
      <c r="B1077" s="53"/>
      <c r="C1077" s="28" t="str">
        <f t="shared" si="64"/>
        <v/>
      </c>
      <c r="D1077" s="28" t="str">
        <f t="shared" si="65"/>
        <v/>
      </c>
      <c r="E1077" s="77"/>
      <c r="F1077" s="45"/>
      <c r="G1077" s="56"/>
      <c r="H1077" s="83"/>
      <c r="I1077" s="35" t="str">
        <f t="shared" si="66"/>
        <v/>
      </c>
    </row>
    <row r="1078" spans="1:9">
      <c r="A1078" s="10" t="str">
        <f t="shared" si="67"/>
        <v/>
      </c>
      <c r="B1078" s="53"/>
      <c r="C1078" s="28" t="str">
        <f t="shared" si="64"/>
        <v/>
      </c>
      <c r="D1078" s="28" t="str">
        <f t="shared" si="65"/>
        <v/>
      </c>
      <c r="E1078" s="77"/>
      <c r="F1078" s="45"/>
      <c r="G1078" s="56"/>
      <c r="H1078" s="83"/>
      <c r="I1078" s="35" t="str">
        <f t="shared" si="66"/>
        <v/>
      </c>
    </row>
    <row r="1079" spans="1:9">
      <c r="A1079" s="10" t="str">
        <f t="shared" si="67"/>
        <v/>
      </c>
      <c r="B1079" s="53"/>
      <c r="C1079" s="28" t="str">
        <f t="shared" si="64"/>
        <v/>
      </c>
      <c r="D1079" s="28" t="str">
        <f t="shared" si="65"/>
        <v/>
      </c>
      <c r="E1079" s="77"/>
      <c r="F1079" s="45"/>
      <c r="G1079" s="56"/>
      <c r="H1079" s="83"/>
      <c r="I1079" s="35" t="str">
        <f t="shared" si="66"/>
        <v/>
      </c>
    </row>
    <row r="1080" spans="1:9">
      <c r="A1080" s="10" t="str">
        <f t="shared" si="67"/>
        <v/>
      </c>
      <c r="B1080" s="53"/>
      <c r="C1080" s="28" t="str">
        <f t="shared" si="64"/>
        <v/>
      </c>
      <c r="D1080" s="28" t="str">
        <f t="shared" si="65"/>
        <v/>
      </c>
      <c r="E1080" s="77"/>
      <c r="F1080" s="45"/>
      <c r="G1080" s="56"/>
      <c r="H1080" s="83"/>
      <c r="I1080" s="35" t="str">
        <f t="shared" si="66"/>
        <v/>
      </c>
    </row>
    <row r="1081" spans="1:9">
      <c r="A1081" s="10" t="str">
        <f t="shared" si="67"/>
        <v/>
      </c>
      <c r="B1081" s="53"/>
      <c r="C1081" s="28" t="str">
        <f t="shared" si="64"/>
        <v/>
      </c>
      <c r="D1081" s="28" t="str">
        <f t="shared" si="65"/>
        <v/>
      </c>
      <c r="E1081" s="77"/>
      <c r="F1081" s="45"/>
      <c r="G1081" s="56"/>
      <c r="H1081" s="83"/>
      <c r="I1081" s="35" t="str">
        <f t="shared" si="66"/>
        <v/>
      </c>
    </row>
    <row r="1082" spans="1:9">
      <c r="A1082" s="10" t="str">
        <f t="shared" si="67"/>
        <v/>
      </c>
      <c r="B1082" s="53"/>
      <c r="C1082" s="28" t="str">
        <f t="shared" si="64"/>
        <v/>
      </c>
      <c r="D1082" s="28" t="str">
        <f t="shared" si="65"/>
        <v/>
      </c>
      <c r="E1082" s="77"/>
      <c r="F1082" s="45"/>
      <c r="G1082" s="56"/>
      <c r="H1082" s="83"/>
      <c r="I1082" s="35" t="str">
        <f t="shared" si="66"/>
        <v/>
      </c>
    </row>
    <row r="1083" spans="1:9">
      <c r="A1083" s="10" t="str">
        <f t="shared" si="67"/>
        <v/>
      </c>
      <c r="B1083" s="53"/>
      <c r="C1083" s="28" t="str">
        <f t="shared" si="64"/>
        <v/>
      </c>
      <c r="D1083" s="28" t="str">
        <f t="shared" si="65"/>
        <v/>
      </c>
      <c r="E1083" s="77"/>
      <c r="F1083" s="45"/>
      <c r="G1083" s="56"/>
      <c r="H1083" s="83"/>
      <c r="I1083" s="35" t="str">
        <f t="shared" si="66"/>
        <v/>
      </c>
    </row>
    <row r="1084" spans="1:9">
      <c r="A1084" s="10" t="str">
        <f t="shared" si="67"/>
        <v/>
      </c>
      <c r="B1084" s="53"/>
      <c r="C1084" s="28" t="str">
        <f t="shared" si="64"/>
        <v/>
      </c>
      <c r="D1084" s="28" t="str">
        <f t="shared" si="65"/>
        <v/>
      </c>
      <c r="E1084" s="77"/>
      <c r="F1084" s="45"/>
      <c r="G1084" s="56"/>
      <c r="H1084" s="83"/>
      <c r="I1084" s="35" t="str">
        <f t="shared" si="66"/>
        <v/>
      </c>
    </row>
    <row r="1085" spans="1:9">
      <c r="A1085" s="10" t="str">
        <f t="shared" si="67"/>
        <v/>
      </c>
      <c r="B1085" s="53"/>
      <c r="C1085" s="28" t="str">
        <f t="shared" si="64"/>
        <v/>
      </c>
      <c r="D1085" s="28" t="str">
        <f t="shared" si="65"/>
        <v/>
      </c>
      <c r="E1085" s="77"/>
      <c r="F1085" s="45"/>
      <c r="G1085" s="56"/>
      <c r="H1085" s="83"/>
      <c r="I1085" s="35" t="str">
        <f t="shared" si="66"/>
        <v/>
      </c>
    </row>
    <row r="1086" spans="1:9">
      <c r="A1086" s="10" t="str">
        <f t="shared" si="67"/>
        <v/>
      </c>
      <c r="B1086" s="53"/>
      <c r="C1086" s="28" t="str">
        <f t="shared" si="64"/>
        <v/>
      </c>
      <c r="D1086" s="28" t="str">
        <f t="shared" si="65"/>
        <v/>
      </c>
      <c r="E1086" s="77"/>
      <c r="F1086" s="45"/>
      <c r="G1086" s="56"/>
      <c r="H1086" s="83"/>
      <c r="I1086" s="35" t="str">
        <f t="shared" si="66"/>
        <v/>
      </c>
    </row>
    <row r="1087" spans="1:9">
      <c r="A1087" s="10" t="str">
        <f t="shared" si="67"/>
        <v/>
      </c>
      <c r="B1087" s="53"/>
      <c r="C1087" s="28" t="str">
        <f t="shared" si="64"/>
        <v/>
      </c>
      <c r="D1087" s="28" t="str">
        <f t="shared" si="65"/>
        <v/>
      </c>
      <c r="E1087" s="77"/>
      <c r="F1087" s="45"/>
      <c r="G1087" s="56"/>
      <c r="H1087" s="83"/>
      <c r="I1087" s="35" t="str">
        <f t="shared" si="66"/>
        <v/>
      </c>
    </row>
    <row r="1088" spans="1:9">
      <c r="A1088" s="10" t="str">
        <f t="shared" si="67"/>
        <v/>
      </c>
      <c r="B1088" s="53"/>
      <c r="C1088" s="28" t="str">
        <f t="shared" si="64"/>
        <v/>
      </c>
      <c r="D1088" s="28" t="str">
        <f t="shared" si="65"/>
        <v/>
      </c>
      <c r="E1088" s="77"/>
      <c r="F1088" s="45"/>
      <c r="G1088" s="56"/>
      <c r="H1088" s="83"/>
      <c r="I1088" s="35" t="str">
        <f t="shared" si="66"/>
        <v/>
      </c>
    </row>
    <row r="1089" spans="1:9">
      <c r="A1089" s="10" t="str">
        <f t="shared" si="67"/>
        <v/>
      </c>
      <c r="B1089" s="53"/>
      <c r="C1089" s="28" t="str">
        <f t="shared" si="64"/>
        <v/>
      </c>
      <c r="D1089" s="28" t="str">
        <f t="shared" si="65"/>
        <v/>
      </c>
      <c r="E1089" s="77"/>
      <c r="F1089" s="45"/>
      <c r="G1089" s="56"/>
      <c r="H1089" s="83"/>
      <c r="I1089" s="35" t="str">
        <f t="shared" si="66"/>
        <v/>
      </c>
    </row>
    <row r="1090" spans="1:9">
      <c r="A1090" s="10" t="str">
        <f t="shared" si="67"/>
        <v/>
      </c>
      <c r="B1090" s="53"/>
      <c r="C1090" s="28" t="str">
        <f t="shared" ref="C1090:C1153" si="68">IF(B1090=0,"",TEXT(B1090,"mmmm"))</f>
        <v/>
      </c>
      <c r="D1090" s="28" t="str">
        <f t="shared" ref="D1090:D1153" si="69">IF(B1090=0,"",TEXT(B1090,"yyyy"))</f>
        <v/>
      </c>
      <c r="E1090" s="77"/>
      <c r="F1090" s="45"/>
      <c r="G1090" s="56"/>
      <c r="H1090" s="83"/>
      <c r="I1090" s="35" t="str">
        <f t="shared" ref="I1090:I1153" si="70">IF(G1090*H1090=0,"",G1090*H1090)</f>
        <v/>
      </c>
    </row>
    <row r="1091" spans="1:9">
      <c r="A1091" s="10" t="str">
        <f t="shared" si="67"/>
        <v/>
      </c>
      <c r="B1091" s="53"/>
      <c r="C1091" s="28" t="str">
        <f t="shared" si="68"/>
        <v/>
      </c>
      <c r="D1091" s="28" t="str">
        <f t="shared" si="69"/>
        <v/>
      </c>
      <c r="E1091" s="77"/>
      <c r="F1091" s="45"/>
      <c r="G1091" s="56"/>
      <c r="H1091" s="83"/>
      <c r="I1091" s="35" t="str">
        <f t="shared" si="70"/>
        <v/>
      </c>
    </row>
    <row r="1092" spans="1:9">
      <c r="A1092" s="10" t="str">
        <f t="shared" ref="A1092:A1155" si="71">IF(E1092&gt;0,A1091+1,"")</f>
        <v/>
      </c>
      <c r="B1092" s="53"/>
      <c r="C1092" s="28" t="str">
        <f t="shared" si="68"/>
        <v/>
      </c>
      <c r="D1092" s="28" t="str">
        <f t="shared" si="69"/>
        <v/>
      </c>
      <c r="E1092" s="77"/>
      <c r="F1092" s="45"/>
      <c r="G1092" s="56"/>
      <c r="H1092" s="83"/>
      <c r="I1092" s="35" t="str">
        <f t="shared" si="70"/>
        <v/>
      </c>
    </row>
    <row r="1093" spans="1:9">
      <c r="A1093" s="10" t="str">
        <f t="shared" si="71"/>
        <v/>
      </c>
      <c r="B1093" s="53"/>
      <c r="C1093" s="28" t="str">
        <f t="shared" si="68"/>
        <v/>
      </c>
      <c r="D1093" s="28" t="str">
        <f t="shared" si="69"/>
        <v/>
      </c>
      <c r="E1093" s="77"/>
      <c r="F1093" s="45"/>
      <c r="G1093" s="56"/>
      <c r="H1093" s="83"/>
      <c r="I1093" s="35" t="str">
        <f t="shared" si="70"/>
        <v/>
      </c>
    </row>
    <row r="1094" spans="1:9">
      <c r="A1094" s="10" t="str">
        <f t="shared" si="71"/>
        <v/>
      </c>
      <c r="B1094" s="53"/>
      <c r="C1094" s="28" t="str">
        <f t="shared" si="68"/>
        <v/>
      </c>
      <c r="D1094" s="28" t="str">
        <f t="shared" si="69"/>
        <v/>
      </c>
      <c r="E1094" s="77"/>
      <c r="F1094" s="45"/>
      <c r="G1094" s="56"/>
      <c r="H1094" s="83"/>
      <c r="I1094" s="35" t="str">
        <f t="shared" si="70"/>
        <v/>
      </c>
    </row>
    <row r="1095" spans="1:9">
      <c r="A1095" s="10" t="str">
        <f t="shared" si="71"/>
        <v/>
      </c>
      <c r="B1095" s="53"/>
      <c r="C1095" s="28" t="str">
        <f t="shared" si="68"/>
        <v/>
      </c>
      <c r="D1095" s="28" t="str">
        <f t="shared" si="69"/>
        <v/>
      </c>
      <c r="E1095" s="77"/>
      <c r="F1095" s="45"/>
      <c r="G1095" s="56"/>
      <c r="H1095" s="83"/>
      <c r="I1095" s="35" t="str">
        <f t="shared" si="70"/>
        <v/>
      </c>
    </row>
    <row r="1096" spans="1:9">
      <c r="A1096" s="10" t="str">
        <f t="shared" si="71"/>
        <v/>
      </c>
      <c r="B1096" s="53"/>
      <c r="C1096" s="28" t="str">
        <f t="shared" si="68"/>
        <v/>
      </c>
      <c r="D1096" s="28" t="str">
        <f t="shared" si="69"/>
        <v/>
      </c>
      <c r="E1096" s="77"/>
      <c r="F1096" s="45"/>
      <c r="G1096" s="56"/>
      <c r="H1096" s="83"/>
      <c r="I1096" s="35" t="str">
        <f t="shared" si="70"/>
        <v/>
      </c>
    </row>
    <row r="1097" spans="1:9">
      <c r="A1097" s="10" t="str">
        <f t="shared" si="71"/>
        <v/>
      </c>
      <c r="B1097" s="53"/>
      <c r="C1097" s="28" t="str">
        <f t="shared" si="68"/>
        <v/>
      </c>
      <c r="D1097" s="28" t="str">
        <f t="shared" si="69"/>
        <v/>
      </c>
      <c r="E1097" s="77"/>
      <c r="F1097" s="45"/>
      <c r="G1097" s="56"/>
      <c r="H1097" s="83"/>
      <c r="I1097" s="35" t="str">
        <f t="shared" si="70"/>
        <v/>
      </c>
    </row>
    <row r="1098" spans="1:9">
      <c r="A1098" s="10" t="str">
        <f t="shared" si="71"/>
        <v/>
      </c>
      <c r="B1098" s="53"/>
      <c r="C1098" s="28" t="str">
        <f t="shared" si="68"/>
        <v/>
      </c>
      <c r="D1098" s="28" t="str">
        <f t="shared" si="69"/>
        <v/>
      </c>
      <c r="E1098" s="77"/>
      <c r="F1098" s="45"/>
      <c r="G1098" s="56"/>
      <c r="H1098" s="83"/>
      <c r="I1098" s="35" t="str">
        <f t="shared" si="70"/>
        <v/>
      </c>
    </row>
    <row r="1099" spans="1:9">
      <c r="A1099" s="10" t="str">
        <f t="shared" si="71"/>
        <v/>
      </c>
      <c r="B1099" s="53"/>
      <c r="C1099" s="28" t="str">
        <f t="shared" si="68"/>
        <v/>
      </c>
      <c r="D1099" s="28" t="str">
        <f t="shared" si="69"/>
        <v/>
      </c>
      <c r="E1099" s="77"/>
      <c r="F1099" s="45"/>
      <c r="G1099" s="56"/>
      <c r="H1099" s="83"/>
      <c r="I1099" s="35" t="str">
        <f t="shared" si="70"/>
        <v/>
      </c>
    </row>
    <row r="1100" spans="1:9">
      <c r="A1100" s="10" t="str">
        <f t="shared" si="71"/>
        <v/>
      </c>
      <c r="B1100" s="53"/>
      <c r="C1100" s="28" t="str">
        <f t="shared" si="68"/>
        <v/>
      </c>
      <c r="D1100" s="28" t="str">
        <f t="shared" si="69"/>
        <v/>
      </c>
      <c r="E1100" s="77"/>
      <c r="F1100" s="45"/>
      <c r="G1100" s="56"/>
      <c r="H1100" s="83"/>
      <c r="I1100" s="35" t="str">
        <f t="shared" si="70"/>
        <v/>
      </c>
    </row>
    <row r="1101" spans="1:9">
      <c r="A1101" s="10" t="str">
        <f t="shared" si="71"/>
        <v/>
      </c>
      <c r="B1101" s="53"/>
      <c r="C1101" s="28" t="str">
        <f t="shared" si="68"/>
        <v/>
      </c>
      <c r="D1101" s="28" t="str">
        <f t="shared" si="69"/>
        <v/>
      </c>
      <c r="E1101" s="77"/>
      <c r="F1101" s="45"/>
      <c r="G1101" s="56"/>
      <c r="H1101" s="83"/>
      <c r="I1101" s="35" t="str">
        <f t="shared" si="70"/>
        <v/>
      </c>
    </row>
    <row r="1102" spans="1:9">
      <c r="A1102" s="10" t="str">
        <f t="shared" si="71"/>
        <v/>
      </c>
      <c r="B1102" s="53"/>
      <c r="C1102" s="28" t="str">
        <f t="shared" si="68"/>
        <v/>
      </c>
      <c r="D1102" s="28" t="str">
        <f t="shared" si="69"/>
        <v/>
      </c>
      <c r="E1102" s="77"/>
      <c r="F1102" s="45"/>
      <c r="G1102" s="56"/>
      <c r="H1102" s="83"/>
      <c r="I1102" s="35" t="str">
        <f t="shared" si="70"/>
        <v/>
      </c>
    </row>
    <row r="1103" spans="1:9">
      <c r="A1103" s="10" t="str">
        <f t="shared" si="71"/>
        <v/>
      </c>
      <c r="B1103" s="53"/>
      <c r="C1103" s="28" t="str">
        <f t="shared" si="68"/>
        <v/>
      </c>
      <c r="D1103" s="28" t="str">
        <f t="shared" si="69"/>
        <v/>
      </c>
      <c r="E1103" s="77"/>
      <c r="F1103" s="45"/>
      <c r="G1103" s="56"/>
      <c r="H1103" s="83"/>
      <c r="I1103" s="35" t="str">
        <f t="shared" si="70"/>
        <v/>
      </c>
    </row>
    <row r="1104" spans="1:9">
      <c r="A1104" s="10" t="str">
        <f t="shared" si="71"/>
        <v/>
      </c>
      <c r="B1104" s="53"/>
      <c r="C1104" s="28" t="str">
        <f t="shared" si="68"/>
        <v/>
      </c>
      <c r="D1104" s="28" t="str">
        <f t="shared" si="69"/>
        <v/>
      </c>
      <c r="E1104" s="77"/>
      <c r="F1104" s="45"/>
      <c r="G1104" s="56"/>
      <c r="H1104" s="83"/>
      <c r="I1104" s="35" t="str">
        <f t="shared" si="70"/>
        <v/>
      </c>
    </row>
    <row r="1105" spans="1:9">
      <c r="A1105" s="10" t="str">
        <f t="shared" si="71"/>
        <v/>
      </c>
      <c r="B1105" s="53"/>
      <c r="C1105" s="28" t="str">
        <f t="shared" si="68"/>
        <v/>
      </c>
      <c r="D1105" s="28" t="str">
        <f t="shared" si="69"/>
        <v/>
      </c>
      <c r="E1105" s="77"/>
      <c r="F1105" s="45"/>
      <c r="G1105" s="56"/>
      <c r="H1105" s="83"/>
      <c r="I1105" s="35" t="str">
        <f t="shared" si="70"/>
        <v/>
      </c>
    </row>
    <row r="1106" spans="1:9">
      <c r="A1106" s="10" t="str">
        <f t="shared" si="71"/>
        <v/>
      </c>
      <c r="B1106" s="53"/>
      <c r="C1106" s="28" t="str">
        <f t="shared" si="68"/>
        <v/>
      </c>
      <c r="D1106" s="28" t="str">
        <f t="shared" si="69"/>
        <v/>
      </c>
      <c r="E1106" s="77"/>
      <c r="F1106" s="45"/>
      <c r="G1106" s="56"/>
      <c r="H1106" s="83"/>
      <c r="I1106" s="35" t="str">
        <f t="shared" si="70"/>
        <v/>
      </c>
    </row>
    <row r="1107" spans="1:9">
      <c r="A1107" s="10" t="str">
        <f t="shared" si="71"/>
        <v/>
      </c>
      <c r="B1107" s="53"/>
      <c r="C1107" s="28" t="str">
        <f t="shared" si="68"/>
        <v/>
      </c>
      <c r="D1107" s="28" t="str">
        <f t="shared" si="69"/>
        <v/>
      </c>
      <c r="E1107" s="77"/>
      <c r="F1107" s="45"/>
      <c r="G1107" s="56"/>
      <c r="H1107" s="83"/>
      <c r="I1107" s="35" t="str">
        <f t="shared" si="70"/>
        <v/>
      </c>
    </row>
    <row r="1108" spans="1:9">
      <c r="A1108" s="10" t="str">
        <f t="shared" si="71"/>
        <v/>
      </c>
      <c r="B1108" s="53"/>
      <c r="C1108" s="28" t="str">
        <f t="shared" si="68"/>
        <v/>
      </c>
      <c r="D1108" s="28" t="str">
        <f t="shared" si="69"/>
        <v/>
      </c>
      <c r="E1108" s="77"/>
      <c r="F1108" s="45"/>
      <c r="G1108" s="56"/>
      <c r="H1108" s="83"/>
      <c r="I1108" s="35" t="str">
        <f t="shared" si="70"/>
        <v/>
      </c>
    </row>
    <row r="1109" spans="1:9">
      <c r="A1109" s="10" t="str">
        <f t="shared" si="71"/>
        <v/>
      </c>
      <c r="B1109" s="53"/>
      <c r="C1109" s="28" t="str">
        <f t="shared" si="68"/>
        <v/>
      </c>
      <c r="D1109" s="28" t="str">
        <f t="shared" si="69"/>
        <v/>
      </c>
      <c r="E1109" s="77"/>
      <c r="F1109" s="45"/>
      <c r="G1109" s="56"/>
      <c r="H1109" s="83"/>
      <c r="I1109" s="35" t="str">
        <f t="shared" si="70"/>
        <v/>
      </c>
    </row>
    <row r="1110" spans="1:9">
      <c r="A1110" s="10" t="str">
        <f t="shared" si="71"/>
        <v/>
      </c>
      <c r="B1110" s="53"/>
      <c r="C1110" s="28" t="str">
        <f t="shared" si="68"/>
        <v/>
      </c>
      <c r="D1110" s="28" t="str">
        <f t="shared" si="69"/>
        <v/>
      </c>
      <c r="E1110" s="77"/>
      <c r="F1110" s="45"/>
      <c r="G1110" s="56"/>
      <c r="H1110" s="83"/>
      <c r="I1110" s="35" t="str">
        <f t="shared" si="70"/>
        <v/>
      </c>
    </row>
    <row r="1111" spans="1:9">
      <c r="A1111" s="10" t="str">
        <f t="shared" si="71"/>
        <v/>
      </c>
      <c r="B1111" s="53"/>
      <c r="C1111" s="28" t="str">
        <f t="shared" si="68"/>
        <v/>
      </c>
      <c r="D1111" s="28" t="str">
        <f t="shared" si="69"/>
        <v/>
      </c>
      <c r="E1111" s="77"/>
      <c r="F1111" s="45"/>
      <c r="G1111" s="56"/>
      <c r="H1111" s="83"/>
      <c r="I1111" s="35" t="str">
        <f t="shared" si="70"/>
        <v/>
      </c>
    </row>
    <row r="1112" spans="1:9">
      <c r="A1112" s="10" t="str">
        <f t="shared" si="71"/>
        <v/>
      </c>
      <c r="B1112" s="53"/>
      <c r="C1112" s="28" t="str">
        <f t="shared" si="68"/>
        <v/>
      </c>
      <c r="D1112" s="28" t="str">
        <f t="shared" si="69"/>
        <v/>
      </c>
      <c r="E1112" s="77"/>
      <c r="F1112" s="45"/>
      <c r="G1112" s="56"/>
      <c r="H1112" s="83"/>
      <c r="I1112" s="35" t="str">
        <f t="shared" si="70"/>
        <v/>
      </c>
    </row>
    <row r="1113" spans="1:9">
      <c r="A1113" s="10" t="str">
        <f t="shared" si="71"/>
        <v/>
      </c>
      <c r="B1113" s="53"/>
      <c r="C1113" s="28" t="str">
        <f t="shared" si="68"/>
        <v/>
      </c>
      <c r="D1113" s="28" t="str">
        <f t="shared" si="69"/>
        <v/>
      </c>
      <c r="E1113" s="77"/>
      <c r="F1113" s="45"/>
      <c r="G1113" s="56"/>
      <c r="H1113" s="83"/>
      <c r="I1113" s="35" t="str">
        <f t="shared" si="70"/>
        <v/>
      </c>
    </row>
    <row r="1114" spans="1:9">
      <c r="A1114" s="10" t="str">
        <f t="shared" si="71"/>
        <v/>
      </c>
      <c r="B1114" s="53"/>
      <c r="C1114" s="28" t="str">
        <f t="shared" si="68"/>
        <v/>
      </c>
      <c r="D1114" s="28" t="str">
        <f t="shared" si="69"/>
        <v/>
      </c>
      <c r="E1114" s="77"/>
      <c r="F1114" s="45"/>
      <c r="G1114" s="56"/>
      <c r="H1114" s="83"/>
      <c r="I1114" s="35" t="str">
        <f t="shared" si="70"/>
        <v/>
      </c>
    </row>
    <row r="1115" spans="1:9">
      <c r="A1115" s="10" t="str">
        <f t="shared" si="71"/>
        <v/>
      </c>
      <c r="B1115" s="53"/>
      <c r="C1115" s="28" t="str">
        <f t="shared" si="68"/>
        <v/>
      </c>
      <c r="D1115" s="28" t="str">
        <f t="shared" si="69"/>
        <v/>
      </c>
      <c r="E1115" s="77"/>
      <c r="F1115" s="45"/>
      <c r="G1115" s="56"/>
      <c r="H1115" s="83"/>
      <c r="I1115" s="35" t="str">
        <f t="shared" si="70"/>
        <v/>
      </c>
    </row>
    <row r="1116" spans="1:9">
      <c r="A1116" s="10" t="str">
        <f t="shared" si="71"/>
        <v/>
      </c>
      <c r="B1116" s="53"/>
      <c r="C1116" s="28" t="str">
        <f t="shared" si="68"/>
        <v/>
      </c>
      <c r="D1116" s="28" t="str">
        <f t="shared" si="69"/>
        <v/>
      </c>
      <c r="E1116" s="77"/>
      <c r="F1116" s="45"/>
      <c r="G1116" s="56"/>
      <c r="H1116" s="83"/>
      <c r="I1116" s="35" t="str">
        <f t="shared" si="70"/>
        <v/>
      </c>
    </row>
    <row r="1117" spans="1:9">
      <c r="A1117" s="10" t="str">
        <f t="shared" si="71"/>
        <v/>
      </c>
      <c r="B1117" s="53"/>
      <c r="C1117" s="28" t="str">
        <f t="shared" si="68"/>
        <v/>
      </c>
      <c r="D1117" s="28" t="str">
        <f t="shared" si="69"/>
        <v/>
      </c>
      <c r="E1117" s="77"/>
      <c r="F1117" s="45"/>
      <c r="G1117" s="56"/>
      <c r="H1117" s="83"/>
      <c r="I1117" s="35" t="str">
        <f t="shared" si="70"/>
        <v/>
      </c>
    </row>
    <row r="1118" spans="1:9">
      <c r="A1118" s="10" t="str">
        <f t="shared" si="71"/>
        <v/>
      </c>
      <c r="B1118" s="53"/>
      <c r="C1118" s="28" t="str">
        <f t="shared" si="68"/>
        <v/>
      </c>
      <c r="D1118" s="28" t="str">
        <f t="shared" si="69"/>
        <v/>
      </c>
      <c r="E1118" s="77"/>
      <c r="F1118" s="45"/>
      <c r="G1118" s="56"/>
      <c r="H1118" s="83"/>
      <c r="I1118" s="35" t="str">
        <f t="shared" si="70"/>
        <v/>
      </c>
    </row>
    <row r="1119" spans="1:9">
      <c r="A1119" s="10" t="str">
        <f t="shared" si="71"/>
        <v/>
      </c>
      <c r="B1119" s="53"/>
      <c r="C1119" s="28" t="str">
        <f t="shared" si="68"/>
        <v/>
      </c>
      <c r="D1119" s="28" t="str">
        <f t="shared" si="69"/>
        <v/>
      </c>
      <c r="E1119" s="77"/>
      <c r="F1119" s="45"/>
      <c r="G1119" s="56"/>
      <c r="H1119" s="83"/>
      <c r="I1119" s="35" t="str">
        <f t="shared" si="70"/>
        <v/>
      </c>
    </row>
    <row r="1120" spans="1:9">
      <c r="A1120" s="10" t="str">
        <f t="shared" si="71"/>
        <v/>
      </c>
      <c r="B1120" s="53"/>
      <c r="C1120" s="28" t="str">
        <f t="shared" si="68"/>
        <v/>
      </c>
      <c r="D1120" s="28" t="str">
        <f t="shared" si="69"/>
        <v/>
      </c>
      <c r="E1120" s="77"/>
      <c r="F1120" s="45"/>
      <c r="G1120" s="56"/>
      <c r="H1120" s="83"/>
      <c r="I1120" s="35" t="str">
        <f t="shared" si="70"/>
        <v/>
      </c>
    </row>
    <row r="1121" spans="1:9">
      <c r="A1121" s="10" t="str">
        <f t="shared" si="71"/>
        <v/>
      </c>
      <c r="B1121" s="53"/>
      <c r="C1121" s="28" t="str">
        <f t="shared" si="68"/>
        <v/>
      </c>
      <c r="D1121" s="28" t="str">
        <f t="shared" si="69"/>
        <v/>
      </c>
      <c r="E1121" s="77"/>
      <c r="F1121" s="45"/>
      <c r="G1121" s="56"/>
      <c r="H1121" s="83"/>
      <c r="I1121" s="35" t="str">
        <f t="shared" si="70"/>
        <v/>
      </c>
    </row>
    <row r="1122" spans="1:9">
      <c r="A1122" s="10" t="str">
        <f t="shared" si="71"/>
        <v/>
      </c>
      <c r="B1122" s="53"/>
      <c r="C1122" s="28" t="str">
        <f t="shared" si="68"/>
        <v/>
      </c>
      <c r="D1122" s="28" t="str">
        <f t="shared" si="69"/>
        <v/>
      </c>
      <c r="E1122" s="77"/>
      <c r="F1122" s="45"/>
      <c r="G1122" s="56"/>
      <c r="H1122" s="83"/>
      <c r="I1122" s="35" t="str">
        <f t="shared" si="70"/>
        <v/>
      </c>
    </row>
    <row r="1123" spans="1:9">
      <c r="A1123" s="10" t="str">
        <f t="shared" si="71"/>
        <v/>
      </c>
      <c r="B1123" s="53"/>
      <c r="C1123" s="28" t="str">
        <f t="shared" si="68"/>
        <v/>
      </c>
      <c r="D1123" s="28" t="str">
        <f t="shared" si="69"/>
        <v/>
      </c>
      <c r="E1123" s="77"/>
      <c r="F1123" s="45"/>
      <c r="G1123" s="56"/>
      <c r="H1123" s="83"/>
      <c r="I1123" s="35" t="str">
        <f t="shared" si="70"/>
        <v/>
      </c>
    </row>
    <row r="1124" spans="1:9">
      <c r="A1124" s="10" t="str">
        <f t="shared" si="71"/>
        <v/>
      </c>
      <c r="B1124" s="53"/>
      <c r="C1124" s="28" t="str">
        <f t="shared" si="68"/>
        <v/>
      </c>
      <c r="D1124" s="28" t="str">
        <f t="shared" si="69"/>
        <v/>
      </c>
      <c r="E1124" s="77"/>
      <c r="F1124" s="45"/>
      <c r="G1124" s="56"/>
      <c r="H1124" s="83"/>
      <c r="I1124" s="35" t="str">
        <f t="shared" si="70"/>
        <v/>
      </c>
    </row>
    <row r="1125" spans="1:9">
      <c r="A1125" s="10" t="str">
        <f t="shared" si="71"/>
        <v/>
      </c>
      <c r="B1125" s="53"/>
      <c r="C1125" s="28" t="str">
        <f t="shared" si="68"/>
        <v/>
      </c>
      <c r="D1125" s="28" t="str">
        <f t="shared" si="69"/>
        <v/>
      </c>
      <c r="E1125" s="77"/>
      <c r="F1125" s="45"/>
      <c r="G1125" s="56"/>
      <c r="H1125" s="83"/>
      <c r="I1125" s="35" t="str">
        <f t="shared" si="70"/>
        <v/>
      </c>
    </row>
    <row r="1126" spans="1:9">
      <c r="A1126" s="10" t="str">
        <f t="shared" si="71"/>
        <v/>
      </c>
      <c r="B1126" s="53"/>
      <c r="C1126" s="28" t="str">
        <f t="shared" si="68"/>
        <v/>
      </c>
      <c r="D1126" s="28" t="str">
        <f t="shared" si="69"/>
        <v/>
      </c>
      <c r="E1126" s="77"/>
      <c r="F1126" s="45"/>
      <c r="G1126" s="56"/>
      <c r="H1126" s="83"/>
      <c r="I1126" s="35" t="str">
        <f t="shared" si="70"/>
        <v/>
      </c>
    </row>
    <row r="1127" spans="1:9">
      <c r="A1127" s="10" t="str">
        <f t="shared" si="71"/>
        <v/>
      </c>
      <c r="B1127" s="53"/>
      <c r="C1127" s="28" t="str">
        <f t="shared" si="68"/>
        <v/>
      </c>
      <c r="D1127" s="28" t="str">
        <f t="shared" si="69"/>
        <v/>
      </c>
      <c r="E1127" s="77"/>
      <c r="F1127" s="45"/>
      <c r="G1127" s="56"/>
      <c r="H1127" s="83"/>
      <c r="I1127" s="35" t="str">
        <f t="shared" si="70"/>
        <v/>
      </c>
    </row>
    <row r="1128" spans="1:9">
      <c r="A1128" s="10" t="str">
        <f t="shared" si="71"/>
        <v/>
      </c>
      <c r="B1128" s="53"/>
      <c r="C1128" s="28" t="str">
        <f t="shared" si="68"/>
        <v/>
      </c>
      <c r="D1128" s="28" t="str">
        <f t="shared" si="69"/>
        <v/>
      </c>
      <c r="E1128" s="77"/>
      <c r="F1128" s="45"/>
      <c r="G1128" s="56"/>
      <c r="H1128" s="83"/>
      <c r="I1128" s="35" t="str">
        <f t="shared" si="70"/>
        <v/>
      </c>
    </row>
    <row r="1129" spans="1:9">
      <c r="A1129" s="10" t="str">
        <f t="shared" si="71"/>
        <v/>
      </c>
      <c r="B1129" s="53"/>
      <c r="C1129" s="28" t="str">
        <f t="shared" si="68"/>
        <v/>
      </c>
      <c r="D1129" s="28" t="str">
        <f t="shared" si="69"/>
        <v/>
      </c>
      <c r="E1129" s="77"/>
      <c r="F1129" s="45"/>
      <c r="G1129" s="56"/>
      <c r="H1129" s="83"/>
      <c r="I1129" s="35" t="str">
        <f t="shared" si="70"/>
        <v/>
      </c>
    </row>
    <row r="1130" spans="1:9">
      <c r="A1130" s="10" t="str">
        <f t="shared" si="71"/>
        <v/>
      </c>
      <c r="B1130" s="53"/>
      <c r="C1130" s="28" t="str">
        <f t="shared" si="68"/>
        <v/>
      </c>
      <c r="D1130" s="28" t="str">
        <f t="shared" si="69"/>
        <v/>
      </c>
      <c r="E1130" s="77"/>
      <c r="F1130" s="45"/>
      <c r="G1130" s="56"/>
      <c r="H1130" s="83"/>
      <c r="I1130" s="35" t="str">
        <f t="shared" si="70"/>
        <v/>
      </c>
    </row>
    <row r="1131" spans="1:9">
      <c r="A1131" s="10" t="str">
        <f t="shared" si="71"/>
        <v/>
      </c>
      <c r="B1131" s="53"/>
      <c r="C1131" s="28" t="str">
        <f t="shared" si="68"/>
        <v/>
      </c>
      <c r="D1131" s="28" t="str">
        <f t="shared" si="69"/>
        <v/>
      </c>
      <c r="E1131" s="77"/>
      <c r="F1131" s="45"/>
      <c r="G1131" s="56"/>
      <c r="H1131" s="83"/>
      <c r="I1131" s="35" t="str">
        <f t="shared" si="70"/>
        <v/>
      </c>
    </row>
    <row r="1132" spans="1:9">
      <c r="A1132" s="10" t="str">
        <f t="shared" si="71"/>
        <v/>
      </c>
      <c r="B1132" s="53"/>
      <c r="C1132" s="28" t="str">
        <f t="shared" si="68"/>
        <v/>
      </c>
      <c r="D1132" s="28" t="str">
        <f t="shared" si="69"/>
        <v/>
      </c>
      <c r="E1132" s="77"/>
      <c r="F1132" s="45"/>
      <c r="G1132" s="56"/>
      <c r="H1132" s="83"/>
      <c r="I1132" s="35" t="str">
        <f t="shared" si="70"/>
        <v/>
      </c>
    </row>
    <row r="1133" spans="1:9">
      <c r="A1133" s="10" t="str">
        <f t="shared" si="71"/>
        <v/>
      </c>
      <c r="B1133" s="53"/>
      <c r="C1133" s="28" t="str">
        <f t="shared" si="68"/>
        <v/>
      </c>
      <c r="D1133" s="28" t="str">
        <f t="shared" si="69"/>
        <v/>
      </c>
      <c r="E1133" s="77"/>
      <c r="F1133" s="45"/>
      <c r="G1133" s="56"/>
      <c r="H1133" s="83"/>
      <c r="I1133" s="35" t="str">
        <f t="shared" si="70"/>
        <v/>
      </c>
    </row>
    <row r="1134" spans="1:9">
      <c r="A1134" s="10" t="str">
        <f t="shared" si="71"/>
        <v/>
      </c>
      <c r="B1134" s="53"/>
      <c r="C1134" s="28" t="str">
        <f t="shared" si="68"/>
        <v/>
      </c>
      <c r="D1134" s="28" t="str">
        <f t="shared" si="69"/>
        <v/>
      </c>
      <c r="E1134" s="77"/>
      <c r="F1134" s="45"/>
      <c r="G1134" s="56"/>
      <c r="H1134" s="83"/>
      <c r="I1134" s="35" t="str">
        <f t="shared" si="70"/>
        <v/>
      </c>
    </row>
    <row r="1135" spans="1:9">
      <c r="A1135" s="10" t="str">
        <f t="shared" si="71"/>
        <v/>
      </c>
      <c r="B1135" s="53"/>
      <c r="C1135" s="28" t="str">
        <f t="shared" si="68"/>
        <v/>
      </c>
      <c r="D1135" s="28" t="str">
        <f t="shared" si="69"/>
        <v/>
      </c>
      <c r="E1135" s="77"/>
      <c r="F1135" s="45"/>
      <c r="G1135" s="56"/>
      <c r="H1135" s="83"/>
      <c r="I1135" s="35" t="str">
        <f t="shared" si="70"/>
        <v/>
      </c>
    </row>
    <row r="1136" spans="1:9">
      <c r="A1136" s="10" t="str">
        <f t="shared" si="71"/>
        <v/>
      </c>
      <c r="B1136" s="53"/>
      <c r="C1136" s="28" t="str">
        <f t="shared" si="68"/>
        <v/>
      </c>
      <c r="D1136" s="28" t="str">
        <f t="shared" si="69"/>
        <v/>
      </c>
      <c r="E1136" s="77"/>
      <c r="F1136" s="45"/>
      <c r="G1136" s="56"/>
      <c r="H1136" s="83"/>
      <c r="I1136" s="35" t="str">
        <f t="shared" si="70"/>
        <v/>
      </c>
    </row>
    <row r="1137" spans="1:9">
      <c r="A1137" s="10" t="str">
        <f t="shared" si="71"/>
        <v/>
      </c>
      <c r="B1137" s="53"/>
      <c r="C1137" s="28" t="str">
        <f t="shared" si="68"/>
        <v/>
      </c>
      <c r="D1137" s="28" t="str">
        <f t="shared" si="69"/>
        <v/>
      </c>
      <c r="E1137" s="77"/>
      <c r="F1137" s="45"/>
      <c r="G1137" s="56"/>
      <c r="H1137" s="83"/>
      <c r="I1137" s="35" t="str">
        <f t="shared" si="70"/>
        <v/>
      </c>
    </row>
    <row r="1138" spans="1:9">
      <c r="A1138" s="10" t="str">
        <f t="shared" si="71"/>
        <v/>
      </c>
      <c r="B1138" s="53"/>
      <c r="C1138" s="28" t="str">
        <f t="shared" si="68"/>
        <v/>
      </c>
      <c r="D1138" s="28" t="str">
        <f t="shared" si="69"/>
        <v/>
      </c>
      <c r="E1138" s="77"/>
      <c r="F1138" s="45"/>
      <c r="G1138" s="56"/>
      <c r="H1138" s="83"/>
      <c r="I1138" s="35" t="str">
        <f t="shared" si="70"/>
        <v/>
      </c>
    </row>
    <row r="1139" spans="1:9">
      <c r="A1139" s="10" t="str">
        <f t="shared" si="71"/>
        <v/>
      </c>
      <c r="B1139" s="53"/>
      <c r="C1139" s="28" t="str">
        <f t="shared" si="68"/>
        <v/>
      </c>
      <c r="D1139" s="28" t="str">
        <f t="shared" si="69"/>
        <v/>
      </c>
      <c r="E1139" s="77"/>
      <c r="F1139" s="45"/>
      <c r="G1139" s="56"/>
      <c r="H1139" s="83"/>
      <c r="I1139" s="35" t="str">
        <f t="shared" si="70"/>
        <v/>
      </c>
    </row>
    <row r="1140" spans="1:9">
      <c r="A1140" s="10" t="str">
        <f t="shared" si="71"/>
        <v/>
      </c>
      <c r="B1140" s="53"/>
      <c r="C1140" s="28" t="str">
        <f t="shared" si="68"/>
        <v/>
      </c>
      <c r="D1140" s="28" t="str">
        <f t="shared" si="69"/>
        <v/>
      </c>
      <c r="E1140" s="77"/>
      <c r="F1140" s="45"/>
      <c r="G1140" s="56"/>
      <c r="H1140" s="83"/>
      <c r="I1140" s="35" t="str">
        <f t="shared" si="70"/>
        <v/>
      </c>
    </row>
    <row r="1141" spans="1:9">
      <c r="A1141" s="10" t="str">
        <f t="shared" si="71"/>
        <v/>
      </c>
      <c r="B1141" s="53"/>
      <c r="C1141" s="28" t="str">
        <f t="shared" si="68"/>
        <v/>
      </c>
      <c r="D1141" s="28" t="str">
        <f t="shared" si="69"/>
        <v/>
      </c>
      <c r="E1141" s="77"/>
      <c r="F1141" s="45"/>
      <c r="G1141" s="56"/>
      <c r="H1141" s="83"/>
      <c r="I1141" s="35" t="str">
        <f t="shared" si="70"/>
        <v/>
      </c>
    </row>
    <row r="1142" spans="1:9">
      <c r="A1142" s="10" t="str">
        <f t="shared" si="71"/>
        <v/>
      </c>
      <c r="B1142" s="53"/>
      <c r="C1142" s="28" t="str">
        <f t="shared" si="68"/>
        <v/>
      </c>
      <c r="D1142" s="28" t="str">
        <f t="shared" si="69"/>
        <v/>
      </c>
      <c r="E1142" s="77"/>
      <c r="F1142" s="45"/>
      <c r="G1142" s="56"/>
      <c r="H1142" s="83"/>
      <c r="I1142" s="35" t="str">
        <f t="shared" si="70"/>
        <v/>
      </c>
    </row>
    <row r="1143" spans="1:9">
      <c r="A1143" s="10" t="str">
        <f t="shared" si="71"/>
        <v/>
      </c>
      <c r="B1143" s="53"/>
      <c r="C1143" s="28" t="str">
        <f t="shared" si="68"/>
        <v/>
      </c>
      <c r="D1143" s="28" t="str">
        <f t="shared" si="69"/>
        <v/>
      </c>
      <c r="E1143" s="77"/>
      <c r="F1143" s="45"/>
      <c r="G1143" s="56"/>
      <c r="H1143" s="83"/>
      <c r="I1143" s="35" t="str">
        <f t="shared" si="70"/>
        <v/>
      </c>
    </row>
    <row r="1144" spans="1:9">
      <c r="A1144" s="10" t="str">
        <f t="shared" si="71"/>
        <v/>
      </c>
      <c r="B1144" s="53"/>
      <c r="C1144" s="28" t="str">
        <f t="shared" si="68"/>
        <v/>
      </c>
      <c r="D1144" s="28" t="str">
        <f t="shared" si="69"/>
        <v/>
      </c>
      <c r="E1144" s="77"/>
      <c r="F1144" s="45"/>
      <c r="G1144" s="56"/>
      <c r="H1144" s="83"/>
      <c r="I1144" s="35" t="str">
        <f t="shared" si="70"/>
        <v/>
      </c>
    </row>
    <row r="1145" spans="1:9">
      <c r="A1145" s="10" t="str">
        <f t="shared" si="71"/>
        <v/>
      </c>
      <c r="B1145" s="53"/>
      <c r="C1145" s="28" t="str">
        <f t="shared" si="68"/>
        <v/>
      </c>
      <c r="D1145" s="28" t="str">
        <f t="shared" si="69"/>
        <v/>
      </c>
      <c r="E1145" s="77"/>
      <c r="F1145" s="45"/>
      <c r="G1145" s="56"/>
      <c r="H1145" s="83"/>
      <c r="I1145" s="35" t="str">
        <f t="shared" si="70"/>
        <v/>
      </c>
    </row>
    <row r="1146" spans="1:9">
      <c r="A1146" s="10" t="str">
        <f t="shared" si="71"/>
        <v/>
      </c>
      <c r="B1146" s="53"/>
      <c r="C1146" s="28" t="str">
        <f t="shared" si="68"/>
        <v/>
      </c>
      <c r="D1146" s="28" t="str">
        <f t="shared" si="69"/>
        <v/>
      </c>
      <c r="E1146" s="77"/>
      <c r="F1146" s="45"/>
      <c r="G1146" s="56"/>
      <c r="H1146" s="83"/>
      <c r="I1146" s="35" t="str">
        <f t="shared" si="70"/>
        <v/>
      </c>
    </row>
    <row r="1147" spans="1:9">
      <c r="A1147" s="10" t="str">
        <f t="shared" si="71"/>
        <v/>
      </c>
      <c r="B1147" s="53"/>
      <c r="C1147" s="28" t="str">
        <f t="shared" si="68"/>
        <v/>
      </c>
      <c r="D1147" s="28" t="str">
        <f t="shared" si="69"/>
        <v/>
      </c>
      <c r="E1147" s="77"/>
      <c r="F1147" s="45"/>
      <c r="G1147" s="56"/>
      <c r="H1147" s="83"/>
      <c r="I1147" s="35" t="str">
        <f t="shared" si="70"/>
        <v/>
      </c>
    </row>
    <row r="1148" spans="1:9">
      <c r="A1148" s="10" t="str">
        <f t="shared" si="71"/>
        <v/>
      </c>
      <c r="B1148" s="53"/>
      <c r="C1148" s="28" t="str">
        <f t="shared" si="68"/>
        <v/>
      </c>
      <c r="D1148" s="28" t="str">
        <f t="shared" si="69"/>
        <v/>
      </c>
      <c r="E1148" s="77"/>
      <c r="F1148" s="45"/>
      <c r="G1148" s="56"/>
      <c r="H1148" s="83"/>
      <c r="I1148" s="35" t="str">
        <f t="shared" si="70"/>
        <v/>
      </c>
    </row>
    <row r="1149" spans="1:9">
      <c r="A1149" s="10" t="str">
        <f t="shared" si="71"/>
        <v/>
      </c>
      <c r="B1149" s="53"/>
      <c r="C1149" s="28" t="str">
        <f t="shared" si="68"/>
        <v/>
      </c>
      <c r="D1149" s="28" t="str">
        <f t="shared" si="69"/>
        <v/>
      </c>
      <c r="E1149" s="77"/>
      <c r="F1149" s="45"/>
      <c r="G1149" s="56"/>
      <c r="H1149" s="83"/>
      <c r="I1149" s="35" t="str">
        <f t="shared" si="70"/>
        <v/>
      </c>
    </row>
    <row r="1150" spans="1:9">
      <c r="A1150" s="10" t="str">
        <f t="shared" si="71"/>
        <v/>
      </c>
      <c r="B1150" s="53"/>
      <c r="C1150" s="28" t="str">
        <f t="shared" si="68"/>
        <v/>
      </c>
      <c r="D1150" s="28" t="str">
        <f t="shared" si="69"/>
        <v/>
      </c>
      <c r="E1150" s="77"/>
      <c r="F1150" s="45"/>
      <c r="G1150" s="56"/>
      <c r="H1150" s="83"/>
      <c r="I1150" s="35" t="str">
        <f t="shared" si="70"/>
        <v/>
      </c>
    </row>
    <row r="1151" spans="1:9">
      <c r="A1151" s="10" t="str">
        <f t="shared" si="71"/>
        <v/>
      </c>
      <c r="B1151" s="53"/>
      <c r="C1151" s="28" t="str">
        <f t="shared" si="68"/>
        <v/>
      </c>
      <c r="D1151" s="28" t="str">
        <f t="shared" si="69"/>
        <v/>
      </c>
      <c r="E1151" s="77"/>
      <c r="F1151" s="45"/>
      <c r="G1151" s="56"/>
      <c r="H1151" s="83"/>
      <c r="I1151" s="35" t="str">
        <f t="shared" si="70"/>
        <v/>
      </c>
    </row>
    <row r="1152" spans="1:9">
      <c r="A1152" s="10" t="str">
        <f t="shared" si="71"/>
        <v/>
      </c>
      <c r="B1152" s="53"/>
      <c r="C1152" s="28" t="str">
        <f t="shared" si="68"/>
        <v/>
      </c>
      <c r="D1152" s="28" t="str">
        <f t="shared" si="69"/>
        <v/>
      </c>
      <c r="E1152" s="77"/>
      <c r="F1152" s="45"/>
      <c r="G1152" s="56"/>
      <c r="H1152" s="83"/>
      <c r="I1152" s="35" t="str">
        <f t="shared" si="70"/>
        <v/>
      </c>
    </row>
    <row r="1153" spans="1:9">
      <c r="A1153" s="10" t="str">
        <f t="shared" si="71"/>
        <v/>
      </c>
      <c r="B1153" s="53"/>
      <c r="C1153" s="28" t="str">
        <f t="shared" si="68"/>
        <v/>
      </c>
      <c r="D1153" s="28" t="str">
        <f t="shared" si="69"/>
        <v/>
      </c>
      <c r="E1153" s="77"/>
      <c r="F1153" s="45"/>
      <c r="G1153" s="56"/>
      <c r="H1153" s="83"/>
      <c r="I1153" s="35" t="str">
        <f t="shared" si="70"/>
        <v/>
      </c>
    </row>
    <row r="1154" spans="1:9">
      <c r="A1154" s="10" t="str">
        <f t="shared" si="71"/>
        <v/>
      </c>
      <c r="B1154" s="53"/>
      <c r="C1154" s="28" t="str">
        <f t="shared" ref="C1154:C1217" si="72">IF(B1154=0,"",TEXT(B1154,"mmmm"))</f>
        <v/>
      </c>
      <c r="D1154" s="28" t="str">
        <f t="shared" ref="D1154:D1217" si="73">IF(B1154=0,"",TEXT(B1154,"yyyy"))</f>
        <v/>
      </c>
      <c r="E1154" s="77"/>
      <c r="F1154" s="45"/>
      <c r="G1154" s="56"/>
      <c r="H1154" s="83"/>
      <c r="I1154" s="35" t="str">
        <f t="shared" ref="I1154:I1217" si="74">IF(G1154*H1154=0,"",G1154*H1154)</f>
        <v/>
      </c>
    </row>
    <row r="1155" spans="1:9">
      <c r="A1155" s="10" t="str">
        <f t="shared" si="71"/>
        <v/>
      </c>
      <c r="B1155" s="53"/>
      <c r="C1155" s="28" t="str">
        <f t="shared" si="72"/>
        <v/>
      </c>
      <c r="D1155" s="28" t="str">
        <f t="shared" si="73"/>
        <v/>
      </c>
      <c r="E1155" s="77"/>
      <c r="F1155" s="45"/>
      <c r="G1155" s="56"/>
      <c r="H1155" s="83"/>
      <c r="I1155" s="35" t="str">
        <f t="shared" si="74"/>
        <v/>
      </c>
    </row>
    <row r="1156" spans="1:9">
      <c r="A1156" s="10" t="str">
        <f t="shared" ref="A1156:A1219" si="75">IF(E1156&gt;0,A1155+1,"")</f>
        <v/>
      </c>
      <c r="B1156" s="53"/>
      <c r="C1156" s="28" t="str">
        <f t="shared" si="72"/>
        <v/>
      </c>
      <c r="D1156" s="28" t="str">
        <f t="shared" si="73"/>
        <v/>
      </c>
      <c r="E1156" s="77"/>
      <c r="F1156" s="45"/>
      <c r="G1156" s="56"/>
      <c r="H1156" s="83"/>
      <c r="I1156" s="35" t="str">
        <f t="shared" si="74"/>
        <v/>
      </c>
    </row>
    <row r="1157" spans="1:9">
      <c r="A1157" s="10" t="str">
        <f t="shared" si="75"/>
        <v/>
      </c>
      <c r="B1157" s="53"/>
      <c r="C1157" s="28" t="str">
        <f t="shared" si="72"/>
        <v/>
      </c>
      <c r="D1157" s="28" t="str">
        <f t="shared" si="73"/>
        <v/>
      </c>
      <c r="E1157" s="77"/>
      <c r="F1157" s="45"/>
      <c r="G1157" s="56"/>
      <c r="H1157" s="83"/>
      <c r="I1157" s="35" t="str">
        <f t="shared" si="74"/>
        <v/>
      </c>
    </row>
    <row r="1158" spans="1:9">
      <c r="A1158" s="10" t="str">
        <f t="shared" si="75"/>
        <v/>
      </c>
      <c r="B1158" s="53"/>
      <c r="C1158" s="28" t="str">
        <f t="shared" si="72"/>
        <v/>
      </c>
      <c r="D1158" s="28" t="str">
        <f t="shared" si="73"/>
        <v/>
      </c>
      <c r="E1158" s="77"/>
      <c r="F1158" s="45"/>
      <c r="G1158" s="56"/>
      <c r="H1158" s="83"/>
      <c r="I1158" s="35" t="str">
        <f t="shared" si="74"/>
        <v/>
      </c>
    </row>
    <row r="1159" spans="1:9">
      <c r="A1159" s="10" t="str">
        <f t="shared" si="75"/>
        <v/>
      </c>
      <c r="B1159" s="53"/>
      <c r="C1159" s="28" t="str">
        <f t="shared" si="72"/>
        <v/>
      </c>
      <c r="D1159" s="28" t="str">
        <f t="shared" si="73"/>
        <v/>
      </c>
      <c r="E1159" s="77"/>
      <c r="F1159" s="45"/>
      <c r="G1159" s="56"/>
      <c r="H1159" s="83"/>
      <c r="I1159" s="35" t="str">
        <f t="shared" si="74"/>
        <v/>
      </c>
    </row>
    <row r="1160" spans="1:9">
      <c r="A1160" s="10" t="str">
        <f t="shared" si="75"/>
        <v/>
      </c>
      <c r="B1160" s="53"/>
      <c r="C1160" s="28" t="str">
        <f t="shared" si="72"/>
        <v/>
      </c>
      <c r="D1160" s="28" t="str">
        <f t="shared" si="73"/>
        <v/>
      </c>
      <c r="E1160" s="77"/>
      <c r="F1160" s="45"/>
      <c r="G1160" s="56"/>
      <c r="H1160" s="83"/>
      <c r="I1160" s="35" t="str">
        <f t="shared" si="74"/>
        <v/>
      </c>
    </row>
    <row r="1161" spans="1:9">
      <c r="A1161" s="10" t="str">
        <f t="shared" si="75"/>
        <v/>
      </c>
      <c r="B1161" s="53"/>
      <c r="C1161" s="28" t="str">
        <f t="shared" si="72"/>
        <v/>
      </c>
      <c r="D1161" s="28" t="str">
        <f t="shared" si="73"/>
        <v/>
      </c>
      <c r="E1161" s="77"/>
      <c r="F1161" s="45"/>
      <c r="G1161" s="56"/>
      <c r="H1161" s="83"/>
      <c r="I1161" s="35" t="str">
        <f t="shared" si="74"/>
        <v/>
      </c>
    </row>
    <row r="1162" spans="1:9">
      <c r="A1162" s="10" t="str">
        <f t="shared" si="75"/>
        <v/>
      </c>
      <c r="B1162" s="53"/>
      <c r="C1162" s="28" t="str">
        <f t="shared" si="72"/>
        <v/>
      </c>
      <c r="D1162" s="28" t="str">
        <f t="shared" si="73"/>
        <v/>
      </c>
      <c r="E1162" s="77"/>
      <c r="F1162" s="45"/>
      <c r="G1162" s="56"/>
      <c r="H1162" s="83"/>
      <c r="I1162" s="35" t="str">
        <f t="shared" si="74"/>
        <v/>
      </c>
    </row>
    <row r="1163" spans="1:9">
      <c r="A1163" s="10" t="str">
        <f t="shared" si="75"/>
        <v/>
      </c>
      <c r="B1163" s="53"/>
      <c r="C1163" s="28" t="str">
        <f t="shared" si="72"/>
        <v/>
      </c>
      <c r="D1163" s="28" t="str">
        <f t="shared" si="73"/>
        <v/>
      </c>
      <c r="E1163" s="77"/>
      <c r="F1163" s="45"/>
      <c r="G1163" s="56"/>
      <c r="H1163" s="83"/>
      <c r="I1163" s="35" t="str">
        <f t="shared" si="74"/>
        <v/>
      </c>
    </row>
    <row r="1164" spans="1:9">
      <c r="A1164" s="10" t="str">
        <f t="shared" si="75"/>
        <v/>
      </c>
      <c r="B1164" s="53"/>
      <c r="C1164" s="28" t="str">
        <f t="shared" si="72"/>
        <v/>
      </c>
      <c r="D1164" s="28" t="str">
        <f t="shared" si="73"/>
        <v/>
      </c>
      <c r="E1164" s="77"/>
      <c r="F1164" s="45"/>
      <c r="G1164" s="56"/>
      <c r="H1164" s="83"/>
      <c r="I1164" s="35" t="str">
        <f t="shared" si="74"/>
        <v/>
      </c>
    </row>
    <row r="1165" spans="1:9">
      <c r="A1165" s="10" t="str">
        <f t="shared" si="75"/>
        <v/>
      </c>
      <c r="B1165" s="53"/>
      <c r="C1165" s="28" t="str">
        <f t="shared" si="72"/>
        <v/>
      </c>
      <c r="D1165" s="28" t="str">
        <f t="shared" si="73"/>
        <v/>
      </c>
      <c r="E1165" s="77"/>
      <c r="F1165" s="45"/>
      <c r="G1165" s="56"/>
      <c r="H1165" s="83"/>
      <c r="I1165" s="35" t="str">
        <f t="shared" si="74"/>
        <v/>
      </c>
    </row>
    <row r="1166" spans="1:9">
      <c r="A1166" s="10" t="str">
        <f t="shared" si="75"/>
        <v/>
      </c>
      <c r="B1166" s="53"/>
      <c r="C1166" s="28" t="str">
        <f t="shared" si="72"/>
        <v/>
      </c>
      <c r="D1166" s="28" t="str">
        <f t="shared" si="73"/>
        <v/>
      </c>
      <c r="E1166" s="77"/>
      <c r="F1166" s="45"/>
      <c r="G1166" s="56"/>
      <c r="H1166" s="83"/>
      <c r="I1166" s="35" t="str">
        <f t="shared" si="74"/>
        <v/>
      </c>
    </row>
    <row r="1167" spans="1:9">
      <c r="A1167" s="10" t="str">
        <f t="shared" si="75"/>
        <v/>
      </c>
      <c r="B1167" s="53"/>
      <c r="C1167" s="28" t="str">
        <f t="shared" si="72"/>
        <v/>
      </c>
      <c r="D1167" s="28" t="str">
        <f t="shared" si="73"/>
        <v/>
      </c>
      <c r="E1167" s="77"/>
      <c r="F1167" s="45"/>
      <c r="G1167" s="56"/>
      <c r="H1167" s="83"/>
      <c r="I1167" s="35" t="str">
        <f t="shared" si="74"/>
        <v/>
      </c>
    </row>
    <row r="1168" spans="1:9">
      <c r="A1168" s="10" t="str">
        <f t="shared" si="75"/>
        <v/>
      </c>
      <c r="B1168" s="53"/>
      <c r="C1168" s="28" t="str">
        <f t="shared" si="72"/>
        <v/>
      </c>
      <c r="D1168" s="28" t="str">
        <f t="shared" si="73"/>
        <v/>
      </c>
      <c r="E1168" s="77"/>
      <c r="F1168" s="45"/>
      <c r="G1168" s="56"/>
      <c r="H1168" s="83"/>
      <c r="I1168" s="35" t="str">
        <f t="shared" si="74"/>
        <v/>
      </c>
    </row>
    <row r="1169" spans="1:9">
      <c r="A1169" s="10" t="str">
        <f t="shared" si="75"/>
        <v/>
      </c>
      <c r="B1169" s="53"/>
      <c r="C1169" s="28" t="str">
        <f t="shared" si="72"/>
        <v/>
      </c>
      <c r="D1169" s="28" t="str">
        <f t="shared" si="73"/>
        <v/>
      </c>
      <c r="E1169" s="77"/>
      <c r="F1169" s="45"/>
      <c r="G1169" s="56"/>
      <c r="H1169" s="83"/>
      <c r="I1169" s="35" t="str">
        <f t="shared" si="74"/>
        <v/>
      </c>
    </row>
    <row r="1170" spans="1:9">
      <c r="A1170" s="10" t="str">
        <f t="shared" si="75"/>
        <v/>
      </c>
      <c r="B1170" s="53"/>
      <c r="C1170" s="28" t="str">
        <f t="shared" si="72"/>
        <v/>
      </c>
      <c r="D1170" s="28" t="str">
        <f t="shared" si="73"/>
        <v/>
      </c>
      <c r="E1170" s="77"/>
      <c r="F1170" s="45"/>
      <c r="G1170" s="56"/>
      <c r="H1170" s="83"/>
      <c r="I1170" s="35" t="str">
        <f t="shared" si="74"/>
        <v/>
      </c>
    </row>
    <row r="1171" spans="1:9">
      <c r="A1171" s="10" t="str">
        <f t="shared" si="75"/>
        <v/>
      </c>
      <c r="B1171" s="53"/>
      <c r="C1171" s="28" t="str">
        <f t="shared" si="72"/>
        <v/>
      </c>
      <c r="D1171" s="28" t="str">
        <f t="shared" si="73"/>
        <v/>
      </c>
      <c r="E1171" s="77"/>
      <c r="F1171" s="45"/>
      <c r="G1171" s="56"/>
      <c r="H1171" s="83"/>
      <c r="I1171" s="35" t="str">
        <f t="shared" si="74"/>
        <v/>
      </c>
    </row>
    <row r="1172" spans="1:9">
      <c r="A1172" s="10" t="str">
        <f t="shared" si="75"/>
        <v/>
      </c>
      <c r="B1172" s="53"/>
      <c r="C1172" s="28" t="str">
        <f t="shared" si="72"/>
        <v/>
      </c>
      <c r="D1172" s="28" t="str">
        <f t="shared" si="73"/>
        <v/>
      </c>
      <c r="E1172" s="77"/>
      <c r="F1172" s="45"/>
      <c r="G1172" s="56"/>
      <c r="H1172" s="83"/>
      <c r="I1172" s="35" t="str">
        <f t="shared" si="74"/>
        <v/>
      </c>
    </row>
    <row r="1173" spans="1:9">
      <c r="A1173" s="10" t="str">
        <f t="shared" si="75"/>
        <v/>
      </c>
      <c r="B1173" s="53"/>
      <c r="C1173" s="28" t="str">
        <f t="shared" si="72"/>
        <v/>
      </c>
      <c r="D1173" s="28" t="str">
        <f t="shared" si="73"/>
        <v/>
      </c>
      <c r="E1173" s="77"/>
      <c r="F1173" s="45"/>
      <c r="G1173" s="56"/>
      <c r="H1173" s="83"/>
      <c r="I1173" s="35" t="str">
        <f t="shared" si="74"/>
        <v/>
      </c>
    </row>
    <row r="1174" spans="1:9">
      <c r="A1174" s="10" t="str">
        <f t="shared" si="75"/>
        <v/>
      </c>
      <c r="B1174" s="53"/>
      <c r="C1174" s="28" t="str">
        <f t="shared" si="72"/>
        <v/>
      </c>
      <c r="D1174" s="28" t="str">
        <f t="shared" si="73"/>
        <v/>
      </c>
      <c r="E1174" s="77"/>
      <c r="F1174" s="45"/>
      <c r="G1174" s="56"/>
      <c r="H1174" s="83"/>
      <c r="I1174" s="35" t="str">
        <f t="shared" si="74"/>
        <v/>
      </c>
    </row>
    <row r="1175" spans="1:9">
      <c r="A1175" s="10" t="str">
        <f t="shared" si="75"/>
        <v/>
      </c>
      <c r="B1175" s="53"/>
      <c r="C1175" s="28" t="str">
        <f t="shared" si="72"/>
        <v/>
      </c>
      <c r="D1175" s="28" t="str">
        <f t="shared" si="73"/>
        <v/>
      </c>
      <c r="E1175" s="77"/>
      <c r="F1175" s="45"/>
      <c r="G1175" s="56"/>
      <c r="H1175" s="83"/>
      <c r="I1175" s="35" t="str">
        <f t="shared" si="74"/>
        <v/>
      </c>
    </row>
    <row r="1176" spans="1:9">
      <c r="A1176" s="10" t="str">
        <f t="shared" si="75"/>
        <v/>
      </c>
      <c r="B1176" s="53"/>
      <c r="C1176" s="28" t="str">
        <f t="shared" si="72"/>
        <v/>
      </c>
      <c r="D1176" s="28" t="str">
        <f t="shared" si="73"/>
        <v/>
      </c>
      <c r="E1176" s="77"/>
      <c r="F1176" s="45"/>
      <c r="G1176" s="56"/>
      <c r="H1176" s="83"/>
      <c r="I1176" s="35" t="str">
        <f t="shared" si="74"/>
        <v/>
      </c>
    </row>
    <row r="1177" spans="1:9">
      <c r="A1177" s="10" t="str">
        <f t="shared" si="75"/>
        <v/>
      </c>
      <c r="B1177" s="53"/>
      <c r="C1177" s="28" t="str">
        <f t="shared" si="72"/>
        <v/>
      </c>
      <c r="D1177" s="28" t="str">
        <f t="shared" si="73"/>
        <v/>
      </c>
      <c r="E1177" s="77"/>
      <c r="F1177" s="45"/>
      <c r="G1177" s="56"/>
      <c r="H1177" s="83"/>
      <c r="I1177" s="35" t="str">
        <f t="shared" si="74"/>
        <v/>
      </c>
    </row>
    <row r="1178" spans="1:9">
      <c r="A1178" s="10" t="str">
        <f t="shared" si="75"/>
        <v/>
      </c>
      <c r="B1178" s="53"/>
      <c r="C1178" s="28" t="str">
        <f t="shared" si="72"/>
        <v/>
      </c>
      <c r="D1178" s="28" t="str">
        <f t="shared" si="73"/>
        <v/>
      </c>
      <c r="E1178" s="77"/>
      <c r="F1178" s="45"/>
      <c r="G1178" s="56"/>
      <c r="H1178" s="83"/>
      <c r="I1178" s="35" t="str">
        <f t="shared" si="74"/>
        <v/>
      </c>
    </row>
    <row r="1179" spans="1:9">
      <c r="A1179" s="10" t="str">
        <f t="shared" si="75"/>
        <v/>
      </c>
      <c r="B1179" s="53"/>
      <c r="C1179" s="28" t="str">
        <f t="shared" si="72"/>
        <v/>
      </c>
      <c r="D1179" s="28" t="str">
        <f t="shared" si="73"/>
        <v/>
      </c>
      <c r="E1179" s="77"/>
      <c r="F1179" s="45"/>
      <c r="G1179" s="56"/>
      <c r="H1179" s="83"/>
      <c r="I1179" s="35" t="str">
        <f t="shared" si="74"/>
        <v/>
      </c>
    </row>
    <row r="1180" spans="1:9">
      <c r="A1180" s="10" t="str">
        <f t="shared" si="75"/>
        <v/>
      </c>
      <c r="B1180" s="53"/>
      <c r="C1180" s="28" t="str">
        <f t="shared" si="72"/>
        <v/>
      </c>
      <c r="D1180" s="28" t="str">
        <f t="shared" si="73"/>
        <v/>
      </c>
      <c r="E1180" s="77"/>
      <c r="F1180" s="45"/>
      <c r="G1180" s="56"/>
      <c r="H1180" s="83"/>
      <c r="I1180" s="35" t="str">
        <f t="shared" si="74"/>
        <v/>
      </c>
    </row>
    <row r="1181" spans="1:9">
      <c r="A1181" s="10" t="str">
        <f t="shared" si="75"/>
        <v/>
      </c>
      <c r="B1181" s="53"/>
      <c r="C1181" s="28" t="str">
        <f t="shared" si="72"/>
        <v/>
      </c>
      <c r="D1181" s="28" t="str">
        <f t="shared" si="73"/>
        <v/>
      </c>
      <c r="E1181" s="77"/>
      <c r="F1181" s="45"/>
      <c r="G1181" s="56"/>
      <c r="H1181" s="83"/>
      <c r="I1181" s="35" t="str">
        <f t="shared" si="74"/>
        <v/>
      </c>
    </row>
    <row r="1182" spans="1:9">
      <c r="A1182" s="10" t="str">
        <f t="shared" si="75"/>
        <v/>
      </c>
      <c r="B1182" s="53"/>
      <c r="C1182" s="28" t="str">
        <f t="shared" si="72"/>
        <v/>
      </c>
      <c r="D1182" s="28" t="str">
        <f t="shared" si="73"/>
        <v/>
      </c>
      <c r="E1182" s="77"/>
      <c r="F1182" s="45"/>
      <c r="G1182" s="56"/>
      <c r="H1182" s="83"/>
      <c r="I1182" s="35" t="str">
        <f t="shared" si="74"/>
        <v/>
      </c>
    </row>
    <row r="1183" spans="1:9">
      <c r="A1183" s="10" t="str">
        <f t="shared" si="75"/>
        <v/>
      </c>
      <c r="B1183" s="53"/>
      <c r="C1183" s="28" t="str">
        <f t="shared" si="72"/>
        <v/>
      </c>
      <c r="D1183" s="28" t="str">
        <f t="shared" si="73"/>
        <v/>
      </c>
      <c r="E1183" s="77"/>
      <c r="F1183" s="45"/>
      <c r="G1183" s="56"/>
      <c r="H1183" s="83"/>
      <c r="I1183" s="35" t="str">
        <f t="shared" si="74"/>
        <v/>
      </c>
    </row>
    <row r="1184" spans="1:9">
      <c r="A1184" s="10" t="str">
        <f t="shared" si="75"/>
        <v/>
      </c>
      <c r="B1184" s="53"/>
      <c r="C1184" s="28" t="str">
        <f t="shared" si="72"/>
        <v/>
      </c>
      <c r="D1184" s="28" t="str">
        <f t="shared" si="73"/>
        <v/>
      </c>
      <c r="E1184" s="77"/>
      <c r="F1184" s="45"/>
      <c r="G1184" s="56"/>
      <c r="H1184" s="83"/>
      <c r="I1184" s="35" t="str">
        <f t="shared" si="74"/>
        <v/>
      </c>
    </row>
    <row r="1185" spans="1:9">
      <c r="A1185" s="10" t="str">
        <f t="shared" si="75"/>
        <v/>
      </c>
      <c r="B1185" s="53"/>
      <c r="C1185" s="28" t="str">
        <f t="shared" si="72"/>
        <v/>
      </c>
      <c r="D1185" s="28" t="str">
        <f t="shared" si="73"/>
        <v/>
      </c>
      <c r="E1185" s="77"/>
      <c r="F1185" s="45"/>
      <c r="G1185" s="56"/>
      <c r="H1185" s="83"/>
      <c r="I1185" s="35" t="str">
        <f t="shared" si="74"/>
        <v/>
      </c>
    </row>
    <row r="1186" spans="1:9">
      <c r="A1186" s="10" t="str">
        <f t="shared" si="75"/>
        <v/>
      </c>
      <c r="B1186" s="53"/>
      <c r="C1186" s="28" t="str">
        <f t="shared" si="72"/>
        <v/>
      </c>
      <c r="D1186" s="28" t="str">
        <f t="shared" si="73"/>
        <v/>
      </c>
      <c r="E1186" s="77"/>
      <c r="F1186" s="45"/>
      <c r="G1186" s="56"/>
      <c r="H1186" s="83"/>
      <c r="I1186" s="35" t="str">
        <f t="shared" si="74"/>
        <v/>
      </c>
    </row>
    <row r="1187" spans="1:9">
      <c r="A1187" s="10" t="str">
        <f t="shared" si="75"/>
        <v/>
      </c>
      <c r="B1187" s="53"/>
      <c r="C1187" s="28" t="str">
        <f t="shared" si="72"/>
        <v/>
      </c>
      <c r="D1187" s="28" t="str">
        <f t="shared" si="73"/>
        <v/>
      </c>
      <c r="E1187" s="77"/>
      <c r="F1187" s="45"/>
      <c r="G1187" s="56"/>
      <c r="H1187" s="83"/>
      <c r="I1187" s="35" t="str">
        <f t="shared" si="74"/>
        <v/>
      </c>
    </row>
    <row r="1188" spans="1:9">
      <c r="A1188" s="10" t="str">
        <f t="shared" si="75"/>
        <v/>
      </c>
      <c r="B1188" s="53"/>
      <c r="C1188" s="28" t="str">
        <f t="shared" si="72"/>
        <v/>
      </c>
      <c r="D1188" s="28" t="str">
        <f t="shared" si="73"/>
        <v/>
      </c>
      <c r="E1188" s="77"/>
      <c r="F1188" s="45"/>
      <c r="G1188" s="56"/>
      <c r="H1188" s="83"/>
      <c r="I1188" s="35" t="str">
        <f t="shared" si="74"/>
        <v/>
      </c>
    </row>
    <row r="1189" spans="1:9">
      <c r="A1189" s="10" t="str">
        <f t="shared" si="75"/>
        <v/>
      </c>
      <c r="B1189" s="53"/>
      <c r="C1189" s="28" t="str">
        <f t="shared" si="72"/>
        <v/>
      </c>
      <c r="D1189" s="28" t="str">
        <f t="shared" si="73"/>
        <v/>
      </c>
      <c r="E1189" s="77"/>
      <c r="F1189" s="45"/>
      <c r="G1189" s="56"/>
      <c r="H1189" s="83"/>
      <c r="I1189" s="35" t="str">
        <f t="shared" si="74"/>
        <v/>
      </c>
    </row>
    <row r="1190" spans="1:9">
      <c r="A1190" s="10" t="str">
        <f t="shared" si="75"/>
        <v/>
      </c>
      <c r="B1190" s="53"/>
      <c r="C1190" s="28" t="str">
        <f t="shared" si="72"/>
        <v/>
      </c>
      <c r="D1190" s="28" t="str">
        <f t="shared" si="73"/>
        <v/>
      </c>
      <c r="E1190" s="77"/>
      <c r="F1190" s="45"/>
      <c r="G1190" s="56"/>
      <c r="H1190" s="83"/>
      <c r="I1190" s="35" t="str">
        <f t="shared" si="74"/>
        <v/>
      </c>
    </row>
    <row r="1191" spans="1:9">
      <c r="A1191" s="10" t="str">
        <f t="shared" si="75"/>
        <v/>
      </c>
      <c r="B1191" s="53"/>
      <c r="C1191" s="28" t="str">
        <f t="shared" si="72"/>
        <v/>
      </c>
      <c r="D1191" s="28" t="str">
        <f t="shared" si="73"/>
        <v/>
      </c>
      <c r="E1191" s="77"/>
      <c r="F1191" s="45"/>
      <c r="G1191" s="56"/>
      <c r="H1191" s="83"/>
      <c r="I1191" s="35" t="str">
        <f t="shared" si="74"/>
        <v/>
      </c>
    </row>
    <row r="1192" spans="1:9">
      <c r="A1192" s="10" t="str">
        <f t="shared" si="75"/>
        <v/>
      </c>
      <c r="B1192" s="53"/>
      <c r="C1192" s="28" t="str">
        <f t="shared" si="72"/>
        <v/>
      </c>
      <c r="D1192" s="28" t="str">
        <f t="shared" si="73"/>
        <v/>
      </c>
      <c r="E1192" s="77"/>
      <c r="F1192" s="45"/>
      <c r="G1192" s="56"/>
      <c r="H1192" s="83"/>
      <c r="I1192" s="35" t="str">
        <f t="shared" si="74"/>
        <v/>
      </c>
    </row>
    <row r="1193" spans="1:9">
      <c r="A1193" s="10" t="str">
        <f t="shared" si="75"/>
        <v/>
      </c>
      <c r="B1193" s="53"/>
      <c r="C1193" s="28" t="str">
        <f t="shared" si="72"/>
        <v/>
      </c>
      <c r="D1193" s="28" t="str">
        <f t="shared" si="73"/>
        <v/>
      </c>
      <c r="E1193" s="77"/>
      <c r="F1193" s="45"/>
      <c r="G1193" s="56"/>
      <c r="H1193" s="83"/>
      <c r="I1193" s="35" t="str">
        <f t="shared" si="74"/>
        <v/>
      </c>
    </row>
    <row r="1194" spans="1:9">
      <c r="A1194" s="10" t="str">
        <f t="shared" si="75"/>
        <v/>
      </c>
      <c r="B1194" s="53"/>
      <c r="C1194" s="28" t="str">
        <f t="shared" si="72"/>
        <v/>
      </c>
      <c r="D1194" s="28" t="str">
        <f t="shared" si="73"/>
        <v/>
      </c>
      <c r="E1194" s="77"/>
      <c r="F1194" s="45"/>
      <c r="G1194" s="56"/>
      <c r="H1194" s="83"/>
      <c r="I1194" s="35" t="str">
        <f t="shared" si="74"/>
        <v/>
      </c>
    </row>
    <row r="1195" spans="1:9">
      <c r="A1195" s="10" t="str">
        <f t="shared" si="75"/>
        <v/>
      </c>
      <c r="B1195" s="53"/>
      <c r="C1195" s="28" t="str">
        <f t="shared" si="72"/>
        <v/>
      </c>
      <c r="D1195" s="28" t="str">
        <f t="shared" si="73"/>
        <v/>
      </c>
      <c r="E1195" s="77"/>
      <c r="F1195" s="45"/>
      <c r="G1195" s="56"/>
      <c r="H1195" s="83"/>
      <c r="I1195" s="35" t="str">
        <f t="shared" si="74"/>
        <v/>
      </c>
    </row>
    <row r="1196" spans="1:9">
      <c r="A1196" s="10" t="str">
        <f t="shared" si="75"/>
        <v/>
      </c>
      <c r="B1196" s="53"/>
      <c r="C1196" s="28" t="str">
        <f t="shared" si="72"/>
        <v/>
      </c>
      <c r="D1196" s="28" t="str">
        <f t="shared" si="73"/>
        <v/>
      </c>
      <c r="E1196" s="77"/>
      <c r="F1196" s="45"/>
      <c r="G1196" s="56"/>
      <c r="H1196" s="83"/>
      <c r="I1196" s="35" t="str">
        <f t="shared" si="74"/>
        <v/>
      </c>
    </row>
    <row r="1197" spans="1:9">
      <c r="A1197" s="10" t="str">
        <f t="shared" si="75"/>
        <v/>
      </c>
      <c r="B1197" s="53"/>
      <c r="C1197" s="28" t="str">
        <f t="shared" si="72"/>
        <v/>
      </c>
      <c r="D1197" s="28" t="str">
        <f t="shared" si="73"/>
        <v/>
      </c>
      <c r="E1197" s="77"/>
      <c r="F1197" s="45"/>
      <c r="G1197" s="56"/>
      <c r="H1197" s="83"/>
      <c r="I1197" s="35" t="str">
        <f t="shared" si="74"/>
        <v/>
      </c>
    </row>
    <row r="1198" spans="1:9">
      <c r="A1198" s="10" t="str">
        <f t="shared" si="75"/>
        <v/>
      </c>
      <c r="B1198" s="53"/>
      <c r="C1198" s="28" t="str">
        <f t="shared" si="72"/>
        <v/>
      </c>
      <c r="D1198" s="28" t="str">
        <f t="shared" si="73"/>
        <v/>
      </c>
      <c r="E1198" s="77"/>
      <c r="F1198" s="45"/>
      <c r="G1198" s="56"/>
      <c r="H1198" s="83"/>
      <c r="I1198" s="35" t="str">
        <f t="shared" si="74"/>
        <v/>
      </c>
    </row>
    <row r="1199" spans="1:9">
      <c r="A1199" s="10" t="str">
        <f t="shared" si="75"/>
        <v/>
      </c>
      <c r="B1199" s="53"/>
      <c r="C1199" s="28" t="str">
        <f t="shared" si="72"/>
        <v/>
      </c>
      <c r="D1199" s="28" t="str">
        <f t="shared" si="73"/>
        <v/>
      </c>
      <c r="E1199" s="77"/>
      <c r="F1199" s="45"/>
      <c r="G1199" s="56"/>
      <c r="H1199" s="83"/>
      <c r="I1199" s="35" t="str">
        <f t="shared" si="74"/>
        <v/>
      </c>
    </row>
    <row r="1200" spans="1:9">
      <c r="A1200" s="10" t="str">
        <f t="shared" si="75"/>
        <v/>
      </c>
      <c r="B1200" s="53"/>
      <c r="C1200" s="28" t="str">
        <f t="shared" si="72"/>
        <v/>
      </c>
      <c r="D1200" s="28" t="str">
        <f t="shared" si="73"/>
        <v/>
      </c>
      <c r="E1200" s="77"/>
      <c r="F1200" s="45"/>
      <c r="G1200" s="56"/>
      <c r="H1200" s="83"/>
      <c r="I1200" s="35" t="str">
        <f t="shared" si="74"/>
        <v/>
      </c>
    </row>
    <row r="1201" spans="1:9">
      <c r="A1201" s="10" t="str">
        <f t="shared" si="75"/>
        <v/>
      </c>
      <c r="B1201" s="53"/>
      <c r="C1201" s="28" t="str">
        <f t="shared" si="72"/>
        <v/>
      </c>
      <c r="D1201" s="28" t="str">
        <f t="shared" si="73"/>
        <v/>
      </c>
      <c r="E1201" s="77"/>
      <c r="F1201" s="45"/>
      <c r="G1201" s="56"/>
      <c r="H1201" s="83"/>
      <c r="I1201" s="35" t="str">
        <f t="shared" si="74"/>
        <v/>
      </c>
    </row>
    <row r="1202" spans="1:9">
      <c r="A1202" s="10" t="str">
        <f t="shared" si="75"/>
        <v/>
      </c>
      <c r="B1202" s="53"/>
      <c r="C1202" s="28" t="str">
        <f t="shared" si="72"/>
        <v/>
      </c>
      <c r="D1202" s="28" t="str">
        <f t="shared" si="73"/>
        <v/>
      </c>
      <c r="E1202" s="77"/>
      <c r="F1202" s="45"/>
      <c r="G1202" s="56"/>
      <c r="H1202" s="83"/>
      <c r="I1202" s="35" t="str">
        <f t="shared" si="74"/>
        <v/>
      </c>
    </row>
    <row r="1203" spans="1:9">
      <c r="A1203" s="10" t="str">
        <f t="shared" si="75"/>
        <v/>
      </c>
      <c r="B1203" s="53"/>
      <c r="C1203" s="28" t="str">
        <f t="shared" si="72"/>
        <v/>
      </c>
      <c r="D1203" s="28" t="str">
        <f t="shared" si="73"/>
        <v/>
      </c>
      <c r="E1203" s="77"/>
      <c r="F1203" s="45"/>
      <c r="G1203" s="56"/>
      <c r="H1203" s="83"/>
      <c r="I1203" s="35" t="str">
        <f t="shared" si="74"/>
        <v/>
      </c>
    </row>
    <row r="1204" spans="1:9">
      <c r="A1204" s="10" t="str">
        <f t="shared" si="75"/>
        <v/>
      </c>
      <c r="B1204" s="53"/>
      <c r="C1204" s="28" t="str">
        <f t="shared" si="72"/>
        <v/>
      </c>
      <c r="D1204" s="28" t="str">
        <f t="shared" si="73"/>
        <v/>
      </c>
      <c r="E1204" s="77"/>
      <c r="F1204" s="45"/>
      <c r="G1204" s="56"/>
      <c r="H1204" s="83"/>
      <c r="I1204" s="35" t="str">
        <f t="shared" si="74"/>
        <v/>
      </c>
    </row>
    <row r="1205" spans="1:9">
      <c r="A1205" s="10" t="str">
        <f t="shared" si="75"/>
        <v/>
      </c>
      <c r="B1205" s="53"/>
      <c r="C1205" s="28" t="str">
        <f t="shared" si="72"/>
        <v/>
      </c>
      <c r="D1205" s="28" t="str">
        <f t="shared" si="73"/>
        <v/>
      </c>
      <c r="E1205" s="77"/>
      <c r="F1205" s="45"/>
      <c r="G1205" s="56"/>
      <c r="H1205" s="83"/>
      <c r="I1205" s="35" t="str">
        <f t="shared" si="74"/>
        <v/>
      </c>
    </row>
    <row r="1206" spans="1:9">
      <c r="A1206" s="10" t="str">
        <f t="shared" si="75"/>
        <v/>
      </c>
      <c r="B1206" s="53"/>
      <c r="C1206" s="28" t="str">
        <f t="shared" si="72"/>
        <v/>
      </c>
      <c r="D1206" s="28" t="str">
        <f t="shared" si="73"/>
        <v/>
      </c>
      <c r="E1206" s="77"/>
      <c r="F1206" s="45"/>
      <c r="G1206" s="56"/>
      <c r="H1206" s="83"/>
      <c r="I1206" s="35" t="str">
        <f t="shared" si="74"/>
        <v/>
      </c>
    </row>
    <row r="1207" spans="1:9">
      <c r="A1207" s="10" t="str">
        <f t="shared" si="75"/>
        <v/>
      </c>
      <c r="B1207" s="53"/>
      <c r="C1207" s="28" t="str">
        <f t="shared" si="72"/>
        <v/>
      </c>
      <c r="D1207" s="28" t="str">
        <f t="shared" si="73"/>
        <v/>
      </c>
      <c r="E1207" s="77"/>
      <c r="F1207" s="45"/>
      <c r="G1207" s="56"/>
      <c r="H1207" s="83"/>
      <c r="I1207" s="35" t="str">
        <f t="shared" si="74"/>
        <v/>
      </c>
    </row>
    <row r="1208" spans="1:9">
      <c r="A1208" s="10" t="str">
        <f t="shared" si="75"/>
        <v/>
      </c>
      <c r="B1208" s="53"/>
      <c r="C1208" s="28" t="str">
        <f t="shared" si="72"/>
        <v/>
      </c>
      <c r="D1208" s="28" t="str">
        <f t="shared" si="73"/>
        <v/>
      </c>
      <c r="E1208" s="77"/>
      <c r="F1208" s="45"/>
      <c r="G1208" s="56"/>
      <c r="H1208" s="83"/>
      <c r="I1208" s="35" t="str">
        <f t="shared" si="74"/>
        <v/>
      </c>
    </row>
    <row r="1209" spans="1:9">
      <c r="A1209" s="10" t="str">
        <f t="shared" si="75"/>
        <v/>
      </c>
      <c r="B1209" s="53"/>
      <c r="C1209" s="28" t="str">
        <f t="shared" si="72"/>
        <v/>
      </c>
      <c r="D1209" s="28" t="str">
        <f t="shared" si="73"/>
        <v/>
      </c>
      <c r="E1209" s="77"/>
      <c r="F1209" s="45"/>
      <c r="G1209" s="56"/>
      <c r="H1209" s="83"/>
      <c r="I1209" s="35" t="str">
        <f t="shared" si="74"/>
        <v/>
      </c>
    </row>
    <row r="1210" spans="1:9">
      <c r="A1210" s="10" t="str">
        <f t="shared" si="75"/>
        <v/>
      </c>
      <c r="B1210" s="53"/>
      <c r="C1210" s="28" t="str">
        <f t="shared" si="72"/>
        <v/>
      </c>
      <c r="D1210" s="28" t="str">
        <f t="shared" si="73"/>
        <v/>
      </c>
      <c r="E1210" s="77"/>
      <c r="F1210" s="45"/>
      <c r="G1210" s="56"/>
      <c r="H1210" s="83"/>
      <c r="I1210" s="35" t="str">
        <f t="shared" si="74"/>
        <v/>
      </c>
    </row>
    <row r="1211" spans="1:9">
      <c r="A1211" s="10" t="str">
        <f t="shared" si="75"/>
        <v/>
      </c>
      <c r="B1211" s="53"/>
      <c r="C1211" s="28" t="str">
        <f t="shared" si="72"/>
        <v/>
      </c>
      <c r="D1211" s="28" t="str">
        <f t="shared" si="73"/>
        <v/>
      </c>
      <c r="E1211" s="77"/>
      <c r="F1211" s="45"/>
      <c r="G1211" s="56"/>
      <c r="H1211" s="83"/>
      <c r="I1211" s="35" t="str">
        <f t="shared" si="74"/>
        <v/>
      </c>
    </row>
    <row r="1212" spans="1:9">
      <c r="A1212" s="10" t="str">
        <f t="shared" si="75"/>
        <v/>
      </c>
      <c r="B1212" s="53"/>
      <c r="C1212" s="28" t="str">
        <f t="shared" si="72"/>
        <v/>
      </c>
      <c r="D1212" s="28" t="str">
        <f t="shared" si="73"/>
        <v/>
      </c>
      <c r="E1212" s="77"/>
      <c r="F1212" s="45"/>
      <c r="G1212" s="56"/>
      <c r="H1212" s="83"/>
      <c r="I1212" s="35" t="str">
        <f t="shared" si="74"/>
        <v/>
      </c>
    </row>
    <row r="1213" spans="1:9">
      <c r="A1213" s="10" t="str">
        <f t="shared" si="75"/>
        <v/>
      </c>
      <c r="B1213" s="53"/>
      <c r="C1213" s="28" t="str">
        <f t="shared" si="72"/>
        <v/>
      </c>
      <c r="D1213" s="28" t="str">
        <f t="shared" si="73"/>
        <v/>
      </c>
      <c r="E1213" s="77"/>
      <c r="F1213" s="45"/>
      <c r="G1213" s="56"/>
      <c r="H1213" s="83"/>
      <c r="I1213" s="35" t="str">
        <f t="shared" si="74"/>
        <v/>
      </c>
    </row>
    <row r="1214" spans="1:9">
      <c r="A1214" s="10" t="str">
        <f t="shared" si="75"/>
        <v/>
      </c>
      <c r="B1214" s="53"/>
      <c r="C1214" s="28" t="str">
        <f t="shared" si="72"/>
        <v/>
      </c>
      <c r="D1214" s="28" t="str">
        <f t="shared" si="73"/>
        <v/>
      </c>
      <c r="E1214" s="77"/>
      <c r="F1214" s="45"/>
      <c r="G1214" s="56"/>
      <c r="H1214" s="83"/>
      <c r="I1214" s="35" t="str">
        <f t="shared" si="74"/>
        <v/>
      </c>
    </row>
    <row r="1215" spans="1:9">
      <c r="A1215" s="10" t="str">
        <f t="shared" si="75"/>
        <v/>
      </c>
      <c r="B1215" s="53"/>
      <c r="C1215" s="28" t="str">
        <f t="shared" si="72"/>
        <v/>
      </c>
      <c r="D1215" s="28" t="str">
        <f t="shared" si="73"/>
        <v/>
      </c>
      <c r="E1215" s="77"/>
      <c r="F1215" s="45"/>
      <c r="G1215" s="56"/>
      <c r="H1215" s="83"/>
      <c r="I1215" s="35" t="str">
        <f t="shared" si="74"/>
        <v/>
      </c>
    </row>
    <row r="1216" spans="1:9">
      <c r="A1216" s="10" t="str">
        <f t="shared" si="75"/>
        <v/>
      </c>
      <c r="B1216" s="53"/>
      <c r="C1216" s="28" t="str">
        <f t="shared" si="72"/>
        <v/>
      </c>
      <c r="D1216" s="28" t="str">
        <f t="shared" si="73"/>
        <v/>
      </c>
      <c r="E1216" s="77"/>
      <c r="F1216" s="45"/>
      <c r="G1216" s="56"/>
      <c r="H1216" s="83"/>
      <c r="I1216" s="35" t="str">
        <f t="shared" si="74"/>
        <v/>
      </c>
    </row>
    <row r="1217" spans="1:9">
      <c r="A1217" s="10" t="str">
        <f t="shared" si="75"/>
        <v/>
      </c>
      <c r="B1217" s="53"/>
      <c r="C1217" s="28" t="str">
        <f t="shared" si="72"/>
        <v/>
      </c>
      <c r="D1217" s="28" t="str">
        <f t="shared" si="73"/>
        <v/>
      </c>
      <c r="E1217" s="77"/>
      <c r="F1217" s="45"/>
      <c r="G1217" s="56"/>
      <c r="H1217" s="83"/>
      <c r="I1217" s="35" t="str">
        <f t="shared" si="74"/>
        <v/>
      </c>
    </row>
    <row r="1218" spans="1:9">
      <c r="A1218" s="10" t="str">
        <f t="shared" si="75"/>
        <v/>
      </c>
      <c r="B1218" s="53"/>
      <c r="C1218" s="28" t="str">
        <f t="shared" ref="C1218:C1281" si="76">IF(B1218=0,"",TEXT(B1218,"mmmm"))</f>
        <v/>
      </c>
      <c r="D1218" s="28" t="str">
        <f t="shared" ref="D1218:D1281" si="77">IF(B1218=0,"",TEXT(B1218,"yyyy"))</f>
        <v/>
      </c>
      <c r="E1218" s="77"/>
      <c r="F1218" s="45"/>
      <c r="G1218" s="56"/>
      <c r="H1218" s="83"/>
      <c r="I1218" s="35" t="str">
        <f t="shared" ref="I1218:I1281" si="78">IF(G1218*H1218=0,"",G1218*H1218)</f>
        <v/>
      </c>
    </row>
    <row r="1219" spans="1:9">
      <c r="A1219" s="10" t="str">
        <f t="shared" si="75"/>
        <v/>
      </c>
      <c r="B1219" s="53"/>
      <c r="C1219" s="28" t="str">
        <f t="shared" si="76"/>
        <v/>
      </c>
      <c r="D1219" s="28" t="str">
        <f t="shared" si="77"/>
        <v/>
      </c>
      <c r="E1219" s="77"/>
      <c r="F1219" s="45"/>
      <c r="G1219" s="56"/>
      <c r="H1219" s="83"/>
      <c r="I1219" s="35" t="str">
        <f t="shared" si="78"/>
        <v/>
      </c>
    </row>
    <row r="1220" spans="1:9">
      <c r="A1220" s="10" t="str">
        <f t="shared" ref="A1220:A1283" si="79">IF(E1220&gt;0,A1219+1,"")</f>
        <v/>
      </c>
      <c r="B1220" s="53"/>
      <c r="C1220" s="28" t="str">
        <f t="shared" si="76"/>
        <v/>
      </c>
      <c r="D1220" s="28" t="str">
        <f t="shared" si="77"/>
        <v/>
      </c>
      <c r="E1220" s="77"/>
      <c r="F1220" s="45"/>
      <c r="G1220" s="56"/>
      <c r="H1220" s="83"/>
      <c r="I1220" s="35" t="str">
        <f t="shared" si="78"/>
        <v/>
      </c>
    </row>
    <row r="1221" spans="1:9">
      <c r="A1221" s="10" t="str">
        <f t="shared" si="79"/>
        <v/>
      </c>
      <c r="B1221" s="53"/>
      <c r="C1221" s="28" t="str">
        <f t="shared" si="76"/>
        <v/>
      </c>
      <c r="D1221" s="28" t="str">
        <f t="shared" si="77"/>
        <v/>
      </c>
      <c r="E1221" s="77"/>
      <c r="F1221" s="45"/>
      <c r="G1221" s="56"/>
      <c r="H1221" s="83"/>
      <c r="I1221" s="35" t="str">
        <f t="shared" si="78"/>
        <v/>
      </c>
    </row>
    <row r="1222" spans="1:9">
      <c r="A1222" s="10" t="str">
        <f t="shared" si="79"/>
        <v/>
      </c>
      <c r="B1222" s="53"/>
      <c r="C1222" s="28" t="str">
        <f t="shared" si="76"/>
        <v/>
      </c>
      <c r="D1222" s="28" t="str">
        <f t="shared" si="77"/>
        <v/>
      </c>
      <c r="E1222" s="77"/>
      <c r="F1222" s="45"/>
      <c r="G1222" s="56"/>
      <c r="H1222" s="83"/>
      <c r="I1222" s="35" t="str">
        <f t="shared" si="78"/>
        <v/>
      </c>
    </row>
    <row r="1223" spans="1:9">
      <c r="A1223" s="10" t="str">
        <f t="shared" si="79"/>
        <v/>
      </c>
      <c r="B1223" s="53"/>
      <c r="C1223" s="28" t="str">
        <f t="shared" si="76"/>
        <v/>
      </c>
      <c r="D1223" s="28" t="str">
        <f t="shared" si="77"/>
        <v/>
      </c>
      <c r="E1223" s="77"/>
      <c r="F1223" s="45"/>
      <c r="G1223" s="56"/>
      <c r="H1223" s="83"/>
      <c r="I1223" s="35" t="str">
        <f t="shared" si="78"/>
        <v/>
      </c>
    </row>
    <row r="1224" spans="1:9">
      <c r="A1224" s="10" t="str">
        <f t="shared" si="79"/>
        <v/>
      </c>
      <c r="B1224" s="53"/>
      <c r="C1224" s="28" t="str">
        <f t="shared" si="76"/>
        <v/>
      </c>
      <c r="D1224" s="28" t="str">
        <f t="shared" si="77"/>
        <v/>
      </c>
      <c r="E1224" s="77"/>
      <c r="F1224" s="45"/>
      <c r="G1224" s="56"/>
      <c r="H1224" s="83"/>
      <c r="I1224" s="35" t="str">
        <f t="shared" si="78"/>
        <v/>
      </c>
    </row>
    <row r="1225" spans="1:9">
      <c r="A1225" s="10" t="str">
        <f t="shared" si="79"/>
        <v/>
      </c>
      <c r="B1225" s="53"/>
      <c r="C1225" s="28" t="str">
        <f t="shared" si="76"/>
        <v/>
      </c>
      <c r="D1225" s="28" t="str">
        <f t="shared" si="77"/>
        <v/>
      </c>
      <c r="E1225" s="77"/>
      <c r="F1225" s="45"/>
      <c r="G1225" s="56"/>
      <c r="H1225" s="83"/>
      <c r="I1225" s="35" t="str">
        <f t="shared" si="78"/>
        <v/>
      </c>
    </row>
    <row r="1226" spans="1:9">
      <c r="A1226" s="10" t="str">
        <f t="shared" si="79"/>
        <v/>
      </c>
      <c r="B1226" s="53"/>
      <c r="C1226" s="28" t="str">
        <f t="shared" si="76"/>
        <v/>
      </c>
      <c r="D1226" s="28" t="str">
        <f t="shared" si="77"/>
        <v/>
      </c>
      <c r="E1226" s="77"/>
      <c r="F1226" s="45"/>
      <c r="G1226" s="56"/>
      <c r="H1226" s="83"/>
      <c r="I1226" s="35" t="str">
        <f t="shared" si="78"/>
        <v/>
      </c>
    </row>
    <row r="1227" spans="1:9">
      <c r="A1227" s="10" t="str">
        <f t="shared" si="79"/>
        <v/>
      </c>
      <c r="B1227" s="53"/>
      <c r="C1227" s="28" t="str">
        <f t="shared" si="76"/>
        <v/>
      </c>
      <c r="D1227" s="28" t="str">
        <f t="shared" si="77"/>
        <v/>
      </c>
      <c r="E1227" s="77"/>
      <c r="F1227" s="45"/>
      <c r="G1227" s="56"/>
      <c r="H1227" s="83"/>
      <c r="I1227" s="35" t="str">
        <f t="shared" si="78"/>
        <v/>
      </c>
    </row>
    <row r="1228" spans="1:9">
      <c r="A1228" s="10" t="str">
        <f t="shared" si="79"/>
        <v/>
      </c>
      <c r="B1228" s="53"/>
      <c r="C1228" s="28" t="str">
        <f t="shared" si="76"/>
        <v/>
      </c>
      <c r="D1228" s="28" t="str">
        <f t="shared" si="77"/>
        <v/>
      </c>
      <c r="E1228" s="77"/>
      <c r="F1228" s="45"/>
      <c r="G1228" s="56"/>
      <c r="H1228" s="83"/>
      <c r="I1228" s="35" t="str">
        <f t="shared" si="78"/>
        <v/>
      </c>
    </row>
    <row r="1229" spans="1:9">
      <c r="A1229" s="10" t="str">
        <f t="shared" si="79"/>
        <v/>
      </c>
      <c r="B1229" s="53"/>
      <c r="C1229" s="28" t="str">
        <f t="shared" si="76"/>
        <v/>
      </c>
      <c r="D1229" s="28" t="str">
        <f t="shared" si="77"/>
        <v/>
      </c>
      <c r="E1229" s="77"/>
      <c r="F1229" s="45"/>
      <c r="G1229" s="56"/>
      <c r="H1229" s="83"/>
      <c r="I1229" s="35" t="str">
        <f t="shared" si="78"/>
        <v/>
      </c>
    </row>
    <row r="1230" spans="1:9">
      <c r="A1230" s="10" t="str">
        <f t="shared" si="79"/>
        <v/>
      </c>
      <c r="B1230" s="53"/>
      <c r="C1230" s="28" t="str">
        <f t="shared" si="76"/>
        <v/>
      </c>
      <c r="D1230" s="28" t="str">
        <f t="shared" si="77"/>
        <v/>
      </c>
      <c r="E1230" s="77"/>
      <c r="F1230" s="45"/>
      <c r="G1230" s="56"/>
      <c r="H1230" s="83"/>
      <c r="I1230" s="35" t="str">
        <f t="shared" si="78"/>
        <v/>
      </c>
    </row>
    <row r="1231" spans="1:9">
      <c r="A1231" s="10" t="str">
        <f t="shared" si="79"/>
        <v/>
      </c>
      <c r="B1231" s="53"/>
      <c r="C1231" s="28" t="str">
        <f t="shared" si="76"/>
        <v/>
      </c>
      <c r="D1231" s="28" t="str">
        <f t="shared" si="77"/>
        <v/>
      </c>
      <c r="E1231" s="77"/>
      <c r="F1231" s="45"/>
      <c r="G1231" s="56"/>
      <c r="H1231" s="83"/>
      <c r="I1231" s="35" t="str">
        <f t="shared" si="78"/>
        <v/>
      </c>
    </row>
    <row r="1232" spans="1:9">
      <c r="A1232" s="10" t="str">
        <f t="shared" si="79"/>
        <v/>
      </c>
      <c r="B1232" s="53"/>
      <c r="C1232" s="28" t="str">
        <f t="shared" si="76"/>
        <v/>
      </c>
      <c r="D1232" s="28" t="str">
        <f t="shared" si="77"/>
        <v/>
      </c>
      <c r="E1232" s="77"/>
      <c r="F1232" s="45"/>
      <c r="G1232" s="56"/>
      <c r="H1232" s="83"/>
      <c r="I1232" s="35" t="str">
        <f t="shared" si="78"/>
        <v/>
      </c>
    </row>
    <row r="1233" spans="1:9">
      <c r="A1233" s="10" t="str">
        <f t="shared" si="79"/>
        <v/>
      </c>
      <c r="B1233" s="53"/>
      <c r="C1233" s="28" t="str">
        <f t="shared" si="76"/>
        <v/>
      </c>
      <c r="D1233" s="28" t="str">
        <f t="shared" si="77"/>
        <v/>
      </c>
      <c r="E1233" s="77"/>
      <c r="F1233" s="45"/>
      <c r="G1233" s="56"/>
      <c r="H1233" s="83"/>
      <c r="I1233" s="35" t="str">
        <f t="shared" si="78"/>
        <v/>
      </c>
    </row>
    <row r="1234" spans="1:9">
      <c r="A1234" s="10" t="str">
        <f t="shared" si="79"/>
        <v/>
      </c>
      <c r="B1234" s="53"/>
      <c r="C1234" s="28" t="str">
        <f t="shared" si="76"/>
        <v/>
      </c>
      <c r="D1234" s="28" t="str">
        <f t="shared" si="77"/>
        <v/>
      </c>
      <c r="E1234" s="77"/>
      <c r="F1234" s="45"/>
      <c r="G1234" s="56"/>
      <c r="H1234" s="83"/>
      <c r="I1234" s="35" t="str">
        <f t="shared" si="78"/>
        <v/>
      </c>
    </row>
    <row r="1235" spans="1:9">
      <c r="A1235" s="10" t="str">
        <f t="shared" si="79"/>
        <v/>
      </c>
      <c r="B1235" s="53"/>
      <c r="C1235" s="28" t="str">
        <f t="shared" si="76"/>
        <v/>
      </c>
      <c r="D1235" s="28" t="str">
        <f t="shared" si="77"/>
        <v/>
      </c>
      <c r="E1235" s="77"/>
      <c r="F1235" s="45"/>
      <c r="G1235" s="56"/>
      <c r="H1235" s="83"/>
      <c r="I1235" s="35" t="str">
        <f t="shared" si="78"/>
        <v/>
      </c>
    </row>
    <row r="1236" spans="1:9">
      <c r="A1236" s="10" t="str">
        <f t="shared" si="79"/>
        <v/>
      </c>
      <c r="B1236" s="53"/>
      <c r="C1236" s="28" t="str">
        <f t="shared" si="76"/>
        <v/>
      </c>
      <c r="D1236" s="28" t="str">
        <f t="shared" si="77"/>
        <v/>
      </c>
      <c r="E1236" s="77"/>
      <c r="F1236" s="45"/>
      <c r="G1236" s="56"/>
      <c r="H1236" s="83"/>
      <c r="I1236" s="35" t="str">
        <f t="shared" si="78"/>
        <v/>
      </c>
    </row>
    <row r="1237" spans="1:9">
      <c r="A1237" s="10" t="str">
        <f t="shared" si="79"/>
        <v/>
      </c>
      <c r="B1237" s="53"/>
      <c r="C1237" s="28" t="str">
        <f t="shared" si="76"/>
        <v/>
      </c>
      <c r="D1237" s="28" t="str">
        <f t="shared" si="77"/>
        <v/>
      </c>
      <c r="E1237" s="77"/>
      <c r="F1237" s="45"/>
      <c r="G1237" s="56"/>
      <c r="H1237" s="83"/>
      <c r="I1237" s="35" t="str">
        <f t="shared" si="78"/>
        <v/>
      </c>
    </row>
    <row r="1238" spans="1:9">
      <c r="A1238" s="10" t="str">
        <f t="shared" si="79"/>
        <v/>
      </c>
      <c r="B1238" s="53"/>
      <c r="C1238" s="28" t="str">
        <f t="shared" si="76"/>
        <v/>
      </c>
      <c r="D1238" s="28" t="str">
        <f t="shared" si="77"/>
        <v/>
      </c>
      <c r="E1238" s="77"/>
      <c r="F1238" s="45"/>
      <c r="G1238" s="56"/>
      <c r="H1238" s="83"/>
      <c r="I1238" s="35" t="str">
        <f t="shared" si="78"/>
        <v/>
      </c>
    </row>
    <row r="1239" spans="1:9">
      <c r="A1239" s="10" t="str">
        <f t="shared" si="79"/>
        <v/>
      </c>
      <c r="B1239" s="53"/>
      <c r="C1239" s="28" t="str">
        <f t="shared" si="76"/>
        <v/>
      </c>
      <c r="D1239" s="28" t="str">
        <f t="shared" si="77"/>
        <v/>
      </c>
      <c r="E1239" s="77"/>
      <c r="F1239" s="45"/>
      <c r="G1239" s="56"/>
      <c r="H1239" s="83"/>
      <c r="I1239" s="35" t="str">
        <f t="shared" si="78"/>
        <v/>
      </c>
    </row>
    <row r="1240" spans="1:9">
      <c r="A1240" s="10" t="str">
        <f t="shared" si="79"/>
        <v/>
      </c>
      <c r="B1240" s="53"/>
      <c r="C1240" s="28" t="str">
        <f t="shared" si="76"/>
        <v/>
      </c>
      <c r="D1240" s="28" t="str">
        <f t="shared" si="77"/>
        <v/>
      </c>
      <c r="E1240" s="77"/>
      <c r="F1240" s="45"/>
      <c r="G1240" s="56"/>
      <c r="H1240" s="83"/>
      <c r="I1240" s="35" t="str">
        <f t="shared" si="78"/>
        <v/>
      </c>
    </row>
    <row r="1241" spans="1:9">
      <c r="A1241" s="10" t="str">
        <f t="shared" si="79"/>
        <v/>
      </c>
      <c r="B1241" s="53"/>
      <c r="C1241" s="28" t="str">
        <f t="shared" si="76"/>
        <v/>
      </c>
      <c r="D1241" s="28" t="str">
        <f t="shared" si="77"/>
        <v/>
      </c>
      <c r="E1241" s="77"/>
      <c r="F1241" s="45"/>
      <c r="G1241" s="56"/>
      <c r="H1241" s="83"/>
      <c r="I1241" s="35" t="str">
        <f t="shared" si="78"/>
        <v/>
      </c>
    </row>
    <row r="1242" spans="1:9">
      <c r="A1242" s="10" t="str">
        <f t="shared" si="79"/>
        <v/>
      </c>
      <c r="B1242" s="53"/>
      <c r="C1242" s="28" t="str">
        <f t="shared" si="76"/>
        <v/>
      </c>
      <c r="D1242" s="28" t="str">
        <f t="shared" si="77"/>
        <v/>
      </c>
      <c r="E1242" s="77"/>
      <c r="F1242" s="45"/>
      <c r="G1242" s="56"/>
      <c r="H1242" s="83"/>
      <c r="I1242" s="35" t="str">
        <f t="shared" si="78"/>
        <v/>
      </c>
    </row>
    <row r="1243" spans="1:9">
      <c r="A1243" s="10" t="str">
        <f t="shared" si="79"/>
        <v/>
      </c>
      <c r="B1243" s="53"/>
      <c r="C1243" s="28" t="str">
        <f t="shared" si="76"/>
        <v/>
      </c>
      <c r="D1243" s="28" t="str">
        <f t="shared" si="77"/>
        <v/>
      </c>
      <c r="E1243" s="77"/>
      <c r="F1243" s="45"/>
      <c r="G1243" s="56"/>
      <c r="H1243" s="83"/>
      <c r="I1243" s="35" t="str">
        <f t="shared" si="78"/>
        <v/>
      </c>
    </row>
    <row r="1244" spans="1:9">
      <c r="A1244" s="10" t="str">
        <f t="shared" si="79"/>
        <v/>
      </c>
      <c r="B1244" s="53"/>
      <c r="C1244" s="28" t="str">
        <f t="shared" si="76"/>
        <v/>
      </c>
      <c r="D1244" s="28" t="str">
        <f t="shared" si="77"/>
        <v/>
      </c>
      <c r="E1244" s="77"/>
      <c r="F1244" s="45"/>
      <c r="G1244" s="56"/>
      <c r="H1244" s="83"/>
      <c r="I1244" s="35" t="str">
        <f t="shared" si="78"/>
        <v/>
      </c>
    </row>
    <row r="1245" spans="1:9">
      <c r="A1245" s="10" t="str">
        <f t="shared" si="79"/>
        <v/>
      </c>
      <c r="B1245" s="53"/>
      <c r="C1245" s="28" t="str">
        <f t="shared" si="76"/>
        <v/>
      </c>
      <c r="D1245" s="28" t="str">
        <f t="shared" si="77"/>
        <v/>
      </c>
      <c r="E1245" s="77"/>
      <c r="F1245" s="45"/>
      <c r="G1245" s="56"/>
      <c r="H1245" s="83"/>
      <c r="I1245" s="35" t="str">
        <f t="shared" si="78"/>
        <v/>
      </c>
    </row>
    <row r="1246" spans="1:9">
      <c r="A1246" s="10" t="str">
        <f t="shared" si="79"/>
        <v/>
      </c>
      <c r="B1246" s="53"/>
      <c r="C1246" s="28" t="str">
        <f t="shared" si="76"/>
        <v/>
      </c>
      <c r="D1246" s="28" t="str">
        <f t="shared" si="77"/>
        <v/>
      </c>
      <c r="E1246" s="77"/>
      <c r="F1246" s="45"/>
      <c r="G1246" s="56"/>
      <c r="H1246" s="83"/>
      <c r="I1246" s="35" t="str">
        <f t="shared" si="78"/>
        <v/>
      </c>
    </row>
    <row r="1247" spans="1:9">
      <c r="A1247" s="10" t="str">
        <f t="shared" si="79"/>
        <v/>
      </c>
      <c r="B1247" s="53"/>
      <c r="C1247" s="28" t="str">
        <f t="shared" si="76"/>
        <v/>
      </c>
      <c r="D1247" s="28" t="str">
        <f t="shared" si="77"/>
        <v/>
      </c>
      <c r="E1247" s="77"/>
      <c r="F1247" s="45"/>
      <c r="G1247" s="56"/>
      <c r="H1247" s="83"/>
      <c r="I1247" s="35" t="str">
        <f t="shared" si="78"/>
        <v/>
      </c>
    </row>
    <row r="1248" spans="1:9">
      <c r="A1248" s="10" t="str">
        <f t="shared" si="79"/>
        <v/>
      </c>
      <c r="B1248" s="53"/>
      <c r="C1248" s="28" t="str">
        <f t="shared" si="76"/>
        <v/>
      </c>
      <c r="D1248" s="28" t="str">
        <f t="shared" si="77"/>
        <v/>
      </c>
      <c r="E1248" s="77"/>
      <c r="F1248" s="45"/>
      <c r="G1248" s="56"/>
      <c r="H1248" s="83"/>
      <c r="I1248" s="35" t="str">
        <f t="shared" si="78"/>
        <v/>
      </c>
    </row>
    <row r="1249" spans="1:9">
      <c r="A1249" s="10" t="str">
        <f t="shared" si="79"/>
        <v/>
      </c>
      <c r="B1249" s="53"/>
      <c r="C1249" s="28" t="str">
        <f t="shared" si="76"/>
        <v/>
      </c>
      <c r="D1249" s="28" t="str">
        <f t="shared" si="77"/>
        <v/>
      </c>
      <c r="E1249" s="77"/>
      <c r="F1249" s="45"/>
      <c r="G1249" s="56"/>
      <c r="H1249" s="83"/>
      <c r="I1249" s="35" t="str">
        <f t="shared" si="78"/>
        <v/>
      </c>
    </row>
    <row r="1250" spans="1:9">
      <c r="A1250" s="10" t="str">
        <f t="shared" si="79"/>
        <v/>
      </c>
      <c r="B1250" s="53"/>
      <c r="C1250" s="28" t="str">
        <f t="shared" si="76"/>
        <v/>
      </c>
      <c r="D1250" s="28" t="str">
        <f t="shared" si="77"/>
        <v/>
      </c>
      <c r="E1250" s="77"/>
      <c r="F1250" s="45"/>
      <c r="G1250" s="56"/>
      <c r="H1250" s="83"/>
      <c r="I1250" s="35" t="str">
        <f t="shared" si="78"/>
        <v/>
      </c>
    </row>
    <row r="1251" spans="1:9">
      <c r="A1251" s="10" t="str">
        <f t="shared" si="79"/>
        <v/>
      </c>
      <c r="B1251" s="53"/>
      <c r="C1251" s="28" t="str">
        <f t="shared" si="76"/>
        <v/>
      </c>
      <c r="D1251" s="28" t="str">
        <f t="shared" si="77"/>
        <v/>
      </c>
      <c r="E1251" s="77"/>
      <c r="F1251" s="45"/>
      <c r="G1251" s="56"/>
      <c r="H1251" s="83"/>
      <c r="I1251" s="35" t="str">
        <f t="shared" si="78"/>
        <v/>
      </c>
    </row>
    <row r="1252" spans="1:9">
      <c r="A1252" s="10" t="str">
        <f t="shared" si="79"/>
        <v/>
      </c>
      <c r="B1252" s="53"/>
      <c r="C1252" s="28" t="str">
        <f t="shared" si="76"/>
        <v/>
      </c>
      <c r="D1252" s="28" t="str">
        <f t="shared" si="77"/>
        <v/>
      </c>
      <c r="E1252" s="77"/>
      <c r="F1252" s="45"/>
      <c r="G1252" s="56"/>
      <c r="H1252" s="83"/>
      <c r="I1252" s="35" t="str">
        <f t="shared" si="78"/>
        <v/>
      </c>
    </row>
    <row r="1253" spans="1:9">
      <c r="A1253" s="10" t="str">
        <f t="shared" si="79"/>
        <v/>
      </c>
      <c r="B1253" s="53"/>
      <c r="C1253" s="28" t="str">
        <f t="shared" si="76"/>
        <v/>
      </c>
      <c r="D1253" s="28" t="str">
        <f t="shared" si="77"/>
        <v/>
      </c>
      <c r="E1253" s="77"/>
      <c r="F1253" s="45"/>
      <c r="G1253" s="56"/>
      <c r="H1253" s="83"/>
      <c r="I1253" s="35" t="str">
        <f t="shared" si="78"/>
        <v/>
      </c>
    </row>
    <row r="1254" spans="1:9">
      <c r="A1254" s="10" t="str">
        <f t="shared" si="79"/>
        <v/>
      </c>
      <c r="B1254" s="53"/>
      <c r="C1254" s="28" t="str">
        <f t="shared" si="76"/>
        <v/>
      </c>
      <c r="D1254" s="28" t="str">
        <f t="shared" si="77"/>
        <v/>
      </c>
      <c r="E1254" s="77"/>
      <c r="F1254" s="45"/>
      <c r="G1254" s="56"/>
      <c r="H1254" s="83"/>
      <c r="I1254" s="35" t="str">
        <f t="shared" si="78"/>
        <v/>
      </c>
    </row>
    <row r="1255" spans="1:9">
      <c r="A1255" s="10" t="str">
        <f t="shared" si="79"/>
        <v/>
      </c>
      <c r="B1255" s="53"/>
      <c r="C1255" s="28" t="str">
        <f t="shared" si="76"/>
        <v/>
      </c>
      <c r="D1255" s="28" t="str">
        <f t="shared" si="77"/>
        <v/>
      </c>
      <c r="E1255" s="77"/>
      <c r="F1255" s="45"/>
      <c r="G1255" s="56"/>
      <c r="H1255" s="83"/>
      <c r="I1255" s="35" t="str">
        <f t="shared" si="78"/>
        <v/>
      </c>
    </row>
    <row r="1256" spans="1:9">
      <c r="A1256" s="10" t="str">
        <f t="shared" si="79"/>
        <v/>
      </c>
      <c r="B1256" s="53"/>
      <c r="C1256" s="28" t="str">
        <f t="shared" si="76"/>
        <v/>
      </c>
      <c r="D1256" s="28" t="str">
        <f t="shared" si="77"/>
        <v/>
      </c>
      <c r="E1256" s="77"/>
      <c r="F1256" s="45"/>
      <c r="G1256" s="56"/>
      <c r="H1256" s="83"/>
      <c r="I1256" s="35" t="str">
        <f t="shared" si="78"/>
        <v/>
      </c>
    </row>
    <row r="1257" spans="1:9">
      <c r="A1257" s="10" t="str">
        <f t="shared" si="79"/>
        <v/>
      </c>
      <c r="B1257" s="53"/>
      <c r="C1257" s="28" t="str">
        <f t="shared" si="76"/>
        <v/>
      </c>
      <c r="D1257" s="28" t="str">
        <f t="shared" si="77"/>
        <v/>
      </c>
      <c r="E1257" s="77"/>
      <c r="F1257" s="45"/>
      <c r="G1257" s="56"/>
      <c r="H1257" s="83"/>
      <c r="I1257" s="35" t="str">
        <f t="shared" si="78"/>
        <v/>
      </c>
    </row>
    <row r="1258" spans="1:9">
      <c r="A1258" s="10" t="str">
        <f t="shared" si="79"/>
        <v/>
      </c>
      <c r="B1258" s="53"/>
      <c r="C1258" s="28" t="str">
        <f t="shared" si="76"/>
        <v/>
      </c>
      <c r="D1258" s="28" t="str">
        <f t="shared" si="77"/>
        <v/>
      </c>
      <c r="E1258" s="77"/>
      <c r="F1258" s="45"/>
      <c r="G1258" s="56"/>
      <c r="H1258" s="83"/>
      <c r="I1258" s="35" t="str">
        <f t="shared" si="78"/>
        <v/>
      </c>
    </row>
    <row r="1259" spans="1:9">
      <c r="A1259" s="10" t="str">
        <f t="shared" si="79"/>
        <v/>
      </c>
      <c r="B1259" s="53"/>
      <c r="C1259" s="28" t="str">
        <f t="shared" si="76"/>
        <v/>
      </c>
      <c r="D1259" s="28" t="str">
        <f t="shared" si="77"/>
        <v/>
      </c>
      <c r="E1259" s="77"/>
      <c r="F1259" s="45"/>
      <c r="G1259" s="56"/>
      <c r="H1259" s="83"/>
      <c r="I1259" s="35" t="str">
        <f t="shared" si="78"/>
        <v/>
      </c>
    </row>
    <row r="1260" spans="1:9">
      <c r="A1260" s="10" t="str">
        <f t="shared" si="79"/>
        <v/>
      </c>
      <c r="B1260" s="53"/>
      <c r="C1260" s="28" t="str">
        <f t="shared" si="76"/>
        <v/>
      </c>
      <c r="D1260" s="28" t="str">
        <f t="shared" si="77"/>
        <v/>
      </c>
      <c r="E1260" s="77"/>
      <c r="F1260" s="45"/>
      <c r="G1260" s="56"/>
      <c r="H1260" s="83"/>
      <c r="I1260" s="35" t="str">
        <f t="shared" si="78"/>
        <v/>
      </c>
    </row>
    <row r="1261" spans="1:9">
      <c r="A1261" s="10" t="str">
        <f t="shared" si="79"/>
        <v/>
      </c>
      <c r="B1261" s="53"/>
      <c r="C1261" s="28" t="str">
        <f t="shared" si="76"/>
        <v/>
      </c>
      <c r="D1261" s="28" t="str">
        <f t="shared" si="77"/>
        <v/>
      </c>
      <c r="E1261" s="77"/>
      <c r="F1261" s="45"/>
      <c r="G1261" s="56"/>
      <c r="H1261" s="83"/>
      <c r="I1261" s="35" t="str">
        <f t="shared" si="78"/>
        <v/>
      </c>
    </row>
    <row r="1262" spans="1:9">
      <c r="A1262" s="10" t="str">
        <f t="shared" si="79"/>
        <v/>
      </c>
      <c r="B1262" s="53"/>
      <c r="C1262" s="28" t="str">
        <f t="shared" si="76"/>
        <v/>
      </c>
      <c r="D1262" s="28" t="str">
        <f t="shared" si="77"/>
        <v/>
      </c>
      <c r="E1262" s="77"/>
      <c r="F1262" s="45"/>
      <c r="G1262" s="56"/>
      <c r="H1262" s="83"/>
      <c r="I1262" s="35" t="str">
        <f t="shared" si="78"/>
        <v/>
      </c>
    </row>
    <row r="1263" spans="1:9">
      <c r="A1263" s="10" t="str">
        <f t="shared" si="79"/>
        <v/>
      </c>
      <c r="B1263" s="53"/>
      <c r="C1263" s="28" t="str">
        <f t="shared" si="76"/>
        <v/>
      </c>
      <c r="D1263" s="28" t="str">
        <f t="shared" si="77"/>
        <v/>
      </c>
      <c r="E1263" s="77"/>
      <c r="F1263" s="45"/>
      <c r="G1263" s="56"/>
      <c r="H1263" s="83"/>
      <c r="I1263" s="35" t="str">
        <f t="shared" si="78"/>
        <v/>
      </c>
    </row>
    <row r="1264" spans="1:9">
      <c r="A1264" s="10" t="str">
        <f t="shared" si="79"/>
        <v/>
      </c>
      <c r="B1264" s="53"/>
      <c r="C1264" s="28" t="str">
        <f t="shared" si="76"/>
        <v/>
      </c>
      <c r="D1264" s="28" t="str">
        <f t="shared" si="77"/>
        <v/>
      </c>
      <c r="E1264" s="77"/>
      <c r="F1264" s="45"/>
      <c r="G1264" s="56"/>
      <c r="H1264" s="83"/>
      <c r="I1264" s="35" t="str">
        <f t="shared" si="78"/>
        <v/>
      </c>
    </row>
    <row r="1265" spans="1:9">
      <c r="A1265" s="10" t="str">
        <f t="shared" si="79"/>
        <v/>
      </c>
      <c r="B1265" s="53"/>
      <c r="C1265" s="28" t="str">
        <f t="shared" si="76"/>
        <v/>
      </c>
      <c r="D1265" s="28" t="str">
        <f t="shared" si="77"/>
        <v/>
      </c>
      <c r="E1265" s="77"/>
      <c r="F1265" s="45"/>
      <c r="G1265" s="56"/>
      <c r="H1265" s="83"/>
      <c r="I1265" s="35" t="str">
        <f t="shared" si="78"/>
        <v/>
      </c>
    </row>
    <row r="1266" spans="1:9">
      <c r="A1266" s="10" t="str">
        <f t="shared" si="79"/>
        <v/>
      </c>
      <c r="B1266" s="53"/>
      <c r="C1266" s="28" t="str">
        <f t="shared" si="76"/>
        <v/>
      </c>
      <c r="D1266" s="28" t="str">
        <f t="shared" si="77"/>
        <v/>
      </c>
      <c r="E1266" s="77"/>
      <c r="F1266" s="45"/>
      <c r="G1266" s="56"/>
      <c r="H1266" s="83"/>
      <c r="I1266" s="35" t="str">
        <f t="shared" si="78"/>
        <v/>
      </c>
    </row>
    <row r="1267" spans="1:9">
      <c r="A1267" s="10" t="str">
        <f t="shared" si="79"/>
        <v/>
      </c>
      <c r="B1267" s="53"/>
      <c r="C1267" s="28" t="str">
        <f t="shared" si="76"/>
        <v/>
      </c>
      <c r="D1267" s="28" t="str">
        <f t="shared" si="77"/>
        <v/>
      </c>
      <c r="E1267" s="77"/>
      <c r="F1267" s="45"/>
      <c r="G1267" s="56"/>
      <c r="H1267" s="83"/>
      <c r="I1267" s="35" t="str">
        <f t="shared" si="78"/>
        <v/>
      </c>
    </row>
    <row r="1268" spans="1:9">
      <c r="A1268" s="10" t="str">
        <f t="shared" si="79"/>
        <v/>
      </c>
      <c r="B1268" s="53"/>
      <c r="C1268" s="28" t="str">
        <f t="shared" si="76"/>
        <v/>
      </c>
      <c r="D1268" s="28" t="str">
        <f t="shared" si="77"/>
        <v/>
      </c>
      <c r="E1268" s="77"/>
      <c r="F1268" s="45"/>
      <c r="G1268" s="56"/>
      <c r="H1268" s="83"/>
      <c r="I1268" s="35" t="str">
        <f t="shared" si="78"/>
        <v/>
      </c>
    </row>
    <row r="1269" spans="1:9">
      <c r="A1269" s="10" t="str">
        <f t="shared" si="79"/>
        <v/>
      </c>
      <c r="B1269" s="53"/>
      <c r="C1269" s="28" t="str">
        <f t="shared" si="76"/>
        <v/>
      </c>
      <c r="D1269" s="28" t="str">
        <f t="shared" si="77"/>
        <v/>
      </c>
      <c r="E1269" s="77"/>
      <c r="F1269" s="45"/>
      <c r="G1269" s="56"/>
      <c r="H1269" s="83"/>
      <c r="I1269" s="35" t="str">
        <f t="shared" si="78"/>
        <v/>
      </c>
    </row>
    <row r="1270" spans="1:9">
      <c r="A1270" s="10" t="str">
        <f t="shared" si="79"/>
        <v/>
      </c>
      <c r="B1270" s="53"/>
      <c r="C1270" s="28" t="str">
        <f t="shared" si="76"/>
        <v/>
      </c>
      <c r="D1270" s="28" t="str">
        <f t="shared" si="77"/>
        <v/>
      </c>
      <c r="E1270" s="77"/>
      <c r="F1270" s="45"/>
      <c r="G1270" s="56"/>
      <c r="H1270" s="83"/>
      <c r="I1270" s="35" t="str">
        <f t="shared" si="78"/>
        <v/>
      </c>
    </row>
    <row r="1271" spans="1:9">
      <c r="A1271" s="10" t="str">
        <f t="shared" si="79"/>
        <v/>
      </c>
      <c r="B1271" s="53"/>
      <c r="C1271" s="28" t="str">
        <f t="shared" si="76"/>
        <v/>
      </c>
      <c r="D1271" s="28" t="str">
        <f t="shared" si="77"/>
        <v/>
      </c>
      <c r="E1271" s="77"/>
      <c r="F1271" s="45"/>
      <c r="G1271" s="56"/>
      <c r="H1271" s="83"/>
      <c r="I1271" s="35" t="str">
        <f t="shared" si="78"/>
        <v/>
      </c>
    </row>
    <row r="1272" spans="1:9">
      <c r="A1272" s="10" t="str">
        <f t="shared" si="79"/>
        <v/>
      </c>
      <c r="B1272" s="53"/>
      <c r="C1272" s="28" t="str">
        <f t="shared" si="76"/>
        <v/>
      </c>
      <c r="D1272" s="28" t="str">
        <f t="shared" si="77"/>
        <v/>
      </c>
      <c r="E1272" s="77"/>
      <c r="F1272" s="45"/>
      <c r="G1272" s="56"/>
      <c r="H1272" s="83"/>
      <c r="I1272" s="35" t="str">
        <f t="shared" si="78"/>
        <v/>
      </c>
    </row>
    <row r="1273" spans="1:9">
      <c r="A1273" s="10" t="str">
        <f t="shared" si="79"/>
        <v/>
      </c>
      <c r="B1273" s="53"/>
      <c r="C1273" s="28" t="str">
        <f t="shared" si="76"/>
        <v/>
      </c>
      <c r="D1273" s="28" t="str">
        <f t="shared" si="77"/>
        <v/>
      </c>
      <c r="E1273" s="77"/>
      <c r="F1273" s="45"/>
      <c r="G1273" s="56"/>
      <c r="H1273" s="83"/>
      <c r="I1273" s="35" t="str">
        <f t="shared" si="78"/>
        <v/>
      </c>
    </row>
    <row r="1274" spans="1:9">
      <c r="A1274" s="10" t="str">
        <f t="shared" si="79"/>
        <v/>
      </c>
      <c r="B1274" s="53"/>
      <c r="C1274" s="28" t="str">
        <f t="shared" si="76"/>
        <v/>
      </c>
      <c r="D1274" s="28" t="str">
        <f t="shared" si="77"/>
        <v/>
      </c>
      <c r="E1274" s="77"/>
      <c r="F1274" s="45"/>
      <c r="G1274" s="56"/>
      <c r="H1274" s="83"/>
      <c r="I1274" s="35" t="str">
        <f t="shared" si="78"/>
        <v/>
      </c>
    </row>
    <row r="1275" spans="1:9">
      <c r="A1275" s="10" t="str">
        <f t="shared" si="79"/>
        <v/>
      </c>
      <c r="B1275" s="53"/>
      <c r="C1275" s="28" t="str">
        <f t="shared" si="76"/>
        <v/>
      </c>
      <c r="D1275" s="28" t="str">
        <f t="shared" si="77"/>
        <v/>
      </c>
      <c r="E1275" s="77"/>
      <c r="F1275" s="45"/>
      <c r="G1275" s="56"/>
      <c r="H1275" s="83"/>
      <c r="I1275" s="35" t="str">
        <f t="shared" si="78"/>
        <v/>
      </c>
    </row>
    <row r="1276" spans="1:9">
      <c r="A1276" s="10" t="str">
        <f t="shared" si="79"/>
        <v/>
      </c>
      <c r="B1276" s="53"/>
      <c r="C1276" s="28" t="str">
        <f t="shared" si="76"/>
        <v/>
      </c>
      <c r="D1276" s="28" t="str">
        <f t="shared" si="77"/>
        <v/>
      </c>
      <c r="E1276" s="77"/>
      <c r="F1276" s="45"/>
      <c r="G1276" s="56"/>
      <c r="H1276" s="83"/>
      <c r="I1276" s="35" t="str">
        <f t="shared" si="78"/>
        <v/>
      </c>
    </row>
    <row r="1277" spans="1:9">
      <c r="A1277" s="10" t="str">
        <f t="shared" si="79"/>
        <v/>
      </c>
      <c r="B1277" s="53"/>
      <c r="C1277" s="28" t="str">
        <f t="shared" si="76"/>
        <v/>
      </c>
      <c r="D1277" s="28" t="str">
        <f t="shared" si="77"/>
        <v/>
      </c>
      <c r="E1277" s="77"/>
      <c r="F1277" s="45"/>
      <c r="G1277" s="56"/>
      <c r="H1277" s="83"/>
      <c r="I1277" s="35" t="str">
        <f t="shared" si="78"/>
        <v/>
      </c>
    </row>
    <row r="1278" spans="1:9">
      <c r="A1278" s="10" t="str">
        <f t="shared" si="79"/>
        <v/>
      </c>
      <c r="B1278" s="53"/>
      <c r="C1278" s="28" t="str">
        <f t="shared" si="76"/>
        <v/>
      </c>
      <c r="D1278" s="28" t="str">
        <f t="shared" si="77"/>
        <v/>
      </c>
      <c r="E1278" s="77"/>
      <c r="F1278" s="45"/>
      <c r="G1278" s="56"/>
      <c r="H1278" s="83"/>
      <c r="I1278" s="35" t="str">
        <f t="shared" si="78"/>
        <v/>
      </c>
    </row>
    <row r="1279" spans="1:9">
      <c r="A1279" s="10" t="str">
        <f t="shared" si="79"/>
        <v/>
      </c>
      <c r="B1279" s="53"/>
      <c r="C1279" s="28" t="str">
        <f t="shared" si="76"/>
        <v/>
      </c>
      <c r="D1279" s="28" t="str">
        <f t="shared" si="77"/>
        <v/>
      </c>
      <c r="E1279" s="77"/>
      <c r="F1279" s="45"/>
      <c r="G1279" s="56"/>
      <c r="H1279" s="83"/>
      <c r="I1279" s="35" t="str">
        <f t="shared" si="78"/>
        <v/>
      </c>
    </row>
    <row r="1280" spans="1:9">
      <c r="A1280" s="10" t="str">
        <f t="shared" si="79"/>
        <v/>
      </c>
      <c r="B1280" s="53"/>
      <c r="C1280" s="28" t="str">
        <f t="shared" si="76"/>
        <v/>
      </c>
      <c r="D1280" s="28" t="str">
        <f t="shared" si="77"/>
        <v/>
      </c>
      <c r="E1280" s="77"/>
      <c r="F1280" s="45"/>
      <c r="G1280" s="56"/>
      <c r="H1280" s="83"/>
      <c r="I1280" s="35" t="str">
        <f t="shared" si="78"/>
        <v/>
      </c>
    </row>
    <row r="1281" spans="1:9">
      <c r="A1281" s="10" t="str">
        <f t="shared" si="79"/>
        <v/>
      </c>
      <c r="B1281" s="53"/>
      <c r="C1281" s="28" t="str">
        <f t="shared" si="76"/>
        <v/>
      </c>
      <c r="D1281" s="28" t="str">
        <f t="shared" si="77"/>
        <v/>
      </c>
      <c r="E1281" s="77"/>
      <c r="F1281" s="45"/>
      <c r="G1281" s="56"/>
      <c r="H1281" s="83"/>
      <c r="I1281" s="35" t="str">
        <f t="shared" si="78"/>
        <v/>
      </c>
    </row>
    <row r="1282" spans="1:9">
      <c r="A1282" s="10" t="str">
        <f t="shared" si="79"/>
        <v/>
      </c>
      <c r="B1282" s="53"/>
      <c r="C1282" s="28" t="str">
        <f t="shared" ref="C1282:C1345" si="80">IF(B1282=0,"",TEXT(B1282,"mmmm"))</f>
        <v/>
      </c>
      <c r="D1282" s="28" t="str">
        <f t="shared" ref="D1282:D1345" si="81">IF(B1282=0,"",TEXT(B1282,"yyyy"))</f>
        <v/>
      </c>
      <c r="E1282" s="77"/>
      <c r="F1282" s="45"/>
      <c r="G1282" s="56"/>
      <c r="H1282" s="83"/>
      <c r="I1282" s="35" t="str">
        <f t="shared" ref="I1282:I1345" si="82">IF(G1282*H1282=0,"",G1282*H1282)</f>
        <v/>
      </c>
    </row>
    <row r="1283" spans="1:9">
      <c r="A1283" s="10" t="str">
        <f t="shared" si="79"/>
        <v/>
      </c>
      <c r="B1283" s="53"/>
      <c r="C1283" s="28" t="str">
        <f t="shared" si="80"/>
        <v/>
      </c>
      <c r="D1283" s="28" t="str">
        <f t="shared" si="81"/>
        <v/>
      </c>
      <c r="E1283" s="77"/>
      <c r="F1283" s="45"/>
      <c r="G1283" s="56"/>
      <c r="H1283" s="83"/>
      <c r="I1283" s="35" t="str">
        <f t="shared" si="82"/>
        <v/>
      </c>
    </row>
    <row r="1284" spans="1:9">
      <c r="A1284" s="10" t="str">
        <f t="shared" ref="A1284:A1347" si="83">IF(E1284&gt;0,A1283+1,"")</f>
        <v/>
      </c>
      <c r="B1284" s="53"/>
      <c r="C1284" s="28" t="str">
        <f t="shared" si="80"/>
        <v/>
      </c>
      <c r="D1284" s="28" t="str">
        <f t="shared" si="81"/>
        <v/>
      </c>
      <c r="E1284" s="77"/>
      <c r="F1284" s="45"/>
      <c r="G1284" s="56"/>
      <c r="H1284" s="83"/>
      <c r="I1284" s="35" t="str">
        <f t="shared" si="82"/>
        <v/>
      </c>
    </row>
    <row r="1285" spans="1:9">
      <c r="A1285" s="10" t="str">
        <f t="shared" si="83"/>
        <v/>
      </c>
      <c r="B1285" s="53"/>
      <c r="C1285" s="28" t="str">
        <f t="shared" si="80"/>
        <v/>
      </c>
      <c r="D1285" s="28" t="str">
        <f t="shared" si="81"/>
        <v/>
      </c>
      <c r="E1285" s="77"/>
      <c r="F1285" s="45"/>
      <c r="G1285" s="56"/>
      <c r="H1285" s="83"/>
      <c r="I1285" s="35" t="str">
        <f t="shared" si="82"/>
        <v/>
      </c>
    </row>
    <row r="1286" spans="1:9">
      <c r="A1286" s="10" t="str">
        <f t="shared" si="83"/>
        <v/>
      </c>
      <c r="B1286" s="53"/>
      <c r="C1286" s="28" t="str">
        <f t="shared" si="80"/>
        <v/>
      </c>
      <c r="D1286" s="28" t="str">
        <f t="shared" si="81"/>
        <v/>
      </c>
      <c r="E1286" s="77"/>
      <c r="F1286" s="45"/>
      <c r="G1286" s="56"/>
      <c r="H1286" s="83"/>
      <c r="I1286" s="35" t="str">
        <f t="shared" si="82"/>
        <v/>
      </c>
    </row>
    <row r="1287" spans="1:9">
      <c r="A1287" s="10" t="str">
        <f t="shared" si="83"/>
        <v/>
      </c>
      <c r="B1287" s="53"/>
      <c r="C1287" s="28" t="str">
        <f t="shared" si="80"/>
        <v/>
      </c>
      <c r="D1287" s="28" t="str">
        <f t="shared" si="81"/>
        <v/>
      </c>
      <c r="E1287" s="77"/>
      <c r="F1287" s="45"/>
      <c r="G1287" s="56"/>
      <c r="H1287" s="83"/>
      <c r="I1287" s="35" t="str">
        <f t="shared" si="82"/>
        <v/>
      </c>
    </row>
    <row r="1288" spans="1:9">
      <c r="A1288" s="10" t="str">
        <f t="shared" si="83"/>
        <v/>
      </c>
      <c r="B1288" s="53"/>
      <c r="C1288" s="28" t="str">
        <f t="shared" si="80"/>
        <v/>
      </c>
      <c r="D1288" s="28" t="str">
        <f t="shared" si="81"/>
        <v/>
      </c>
      <c r="E1288" s="77"/>
      <c r="F1288" s="45"/>
      <c r="G1288" s="56"/>
      <c r="H1288" s="83"/>
      <c r="I1288" s="35" t="str">
        <f t="shared" si="82"/>
        <v/>
      </c>
    </row>
    <row r="1289" spans="1:9">
      <c r="A1289" s="10" t="str">
        <f t="shared" si="83"/>
        <v/>
      </c>
      <c r="B1289" s="53"/>
      <c r="C1289" s="28" t="str">
        <f t="shared" si="80"/>
        <v/>
      </c>
      <c r="D1289" s="28" t="str">
        <f t="shared" si="81"/>
        <v/>
      </c>
      <c r="E1289" s="77"/>
      <c r="F1289" s="45"/>
      <c r="G1289" s="56"/>
      <c r="H1289" s="83"/>
      <c r="I1289" s="35" t="str">
        <f t="shared" si="82"/>
        <v/>
      </c>
    </row>
    <row r="1290" spans="1:9">
      <c r="A1290" s="10" t="str">
        <f t="shared" si="83"/>
        <v/>
      </c>
      <c r="B1290" s="53"/>
      <c r="C1290" s="28" t="str">
        <f t="shared" si="80"/>
        <v/>
      </c>
      <c r="D1290" s="28" t="str">
        <f t="shared" si="81"/>
        <v/>
      </c>
      <c r="E1290" s="77"/>
      <c r="F1290" s="45"/>
      <c r="G1290" s="56"/>
      <c r="H1290" s="83"/>
      <c r="I1290" s="35" t="str">
        <f t="shared" si="82"/>
        <v/>
      </c>
    </row>
    <row r="1291" spans="1:9">
      <c r="A1291" s="10" t="str">
        <f t="shared" si="83"/>
        <v/>
      </c>
      <c r="B1291" s="53"/>
      <c r="C1291" s="28" t="str">
        <f t="shared" si="80"/>
        <v/>
      </c>
      <c r="D1291" s="28" t="str">
        <f t="shared" si="81"/>
        <v/>
      </c>
      <c r="E1291" s="77"/>
      <c r="F1291" s="45"/>
      <c r="G1291" s="56"/>
      <c r="H1291" s="83"/>
      <c r="I1291" s="35" t="str">
        <f t="shared" si="82"/>
        <v/>
      </c>
    </row>
    <row r="1292" spans="1:9">
      <c r="A1292" s="10" t="str">
        <f t="shared" si="83"/>
        <v/>
      </c>
      <c r="B1292" s="53"/>
      <c r="C1292" s="28" t="str">
        <f t="shared" si="80"/>
        <v/>
      </c>
      <c r="D1292" s="28" t="str">
        <f t="shared" si="81"/>
        <v/>
      </c>
      <c r="E1292" s="77"/>
      <c r="F1292" s="45"/>
      <c r="G1292" s="56"/>
      <c r="H1292" s="83"/>
      <c r="I1292" s="35" t="str">
        <f t="shared" si="82"/>
        <v/>
      </c>
    </row>
    <row r="1293" spans="1:9">
      <c r="A1293" s="10" t="str">
        <f t="shared" si="83"/>
        <v/>
      </c>
      <c r="B1293" s="53"/>
      <c r="C1293" s="28" t="str">
        <f t="shared" si="80"/>
        <v/>
      </c>
      <c r="D1293" s="28" t="str">
        <f t="shared" si="81"/>
        <v/>
      </c>
      <c r="E1293" s="77"/>
      <c r="F1293" s="45"/>
      <c r="G1293" s="56"/>
      <c r="H1293" s="83"/>
      <c r="I1293" s="35" t="str">
        <f t="shared" si="82"/>
        <v/>
      </c>
    </row>
    <row r="1294" spans="1:9">
      <c r="A1294" s="10" t="str">
        <f t="shared" si="83"/>
        <v/>
      </c>
      <c r="B1294" s="53"/>
      <c r="C1294" s="28" t="str">
        <f t="shared" si="80"/>
        <v/>
      </c>
      <c r="D1294" s="28" t="str">
        <f t="shared" si="81"/>
        <v/>
      </c>
      <c r="E1294" s="77"/>
      <c r="F1294" s="45"/>
      <c r="G1294" s="56"/>
      <c r="H1294" s="83"/>
      <c r="I1294" s="35" t="str">
        <f t="shared" si="82"/>
        <v/>
      </c>
    </row>
    <row r="1295" spans="1:9">
      <c r="A1295" s="10" t="str">
        <f t="shared" si="83"/>
        <v/>
      </c>
      <c r="B1295" s="53"/>
      <c r="C1295" s="28" t="str">
        <f t="shared" si="80"/>
        <v/>
      </c>
      <c r="D1295" s="28" t="str">
        <f t="shared" si="81"/>
        <v/>
      </c>
      <c r="E1295" s="77"/>
      <c r="F1295" s="45"/>
      <c r="G1295" s="56"/>
      <c r="H1295" s="83"/>
      <c r="I1295" s="35" t="str">
        <f t="shared" si="82"/>
        <v/>
      </c>
    </row>
    <row r="1296" spans="1:9">
      <c r="A1296" s="10" t="str">
        <f t="shared" si="83"/>
        <v/>
      </c>
      <c r="B1296" s="53"/>
      <c r="C1296" s="28" t="str">
        <f t="shared" si="80"/>
        <v/>
      </c>
      <c r="D1296" s="28" t="str">
        <f t="shared" si="81"/>
        <v/>
      </c>
      <c r="E1296" s="77"/>
      <c r="F1296" s="45"/>
      <c r="G1296" s="56"/>
      <c r="H1296" s="83"/>
      <c r="I1296" s="35" t="str">
        <f t="shared" si="82"/>
        <v/>
      </c>
    </row>
    <row r="1297" spans="1:9">
      <c r="A1297" s="10" t="str">
        <f t="shared" si="83"/>
        <v/>
      </c>
      <c r="B1297" s="53"/>
      <c r="C1297" s="28" t="str">
        <f t="shared" si="80"/>
        <v/>
      </c>
      <c r="D1297" s="28" t="str">
        <f t="shared" si="81"/>
        <v/>
      </c>
      <c r="E1297" s="77"/>
      <c r="F1297" s="45"/>
      <c r="G1297" s="56"/>
      <c r="H1297" s="83"/>
      <c r="I1297" s="35" t="str">
        <f t="shared" si="82"/>
        <v/>
      </c>
    </row>
    <row r="1298" spans="1:9">
      <c r="A1298" s="10" t="str">
        <f t="shared" si="83"/>
        <v/>
      </c>
      <c r="B1298" s="53"/>
      <c r="C1298" s="28" t="str">
        <f t="shared" si="80"/>
        <v/>
      </c>
      <c r="D1298" s="28" t="str">
        <f t="shared" si="81"/>
        <v/>
      </c>
      <c r="E1298" s="77"/>
      <c r="F1298" s="45"/>
      <c r="G1298" s="56"/>
      <c r="H1298" s="83"/>
      <c r="I1298" s="35" t="str">
        <f t="shared" si="82"/>
        <v/>
      </c>
    </row>
    <row r="1299" spans="1:9">
      <c r="A1299" s="10" t="str">
        <f t="shared" si="83"/>
        <v/>
      </c>
      <c r="B1299" s="53"/>
      <c r="C1299" s="28" t="str">
        <f t="shared" si="80"/>
        <v/>
      </c>
      <c r="D1299" s="28" t="str">
        <f t="shared" si="81"/>
        <v/>
      </c>
      <c r="E1299" s="77"/>
      <c r="F1299" s="45"/>
      <c r="G1299" s="56"/>
      <c r="H1299" s="83"/>
      <c r="I1299" s="35" t="str">
        <f t="shared" si="82"/>
        <v/>
      </c>
    </row>
    <row r="1300" spans="1:9">
      <c r="A1300" s="10" t="str">
        <f t="shared" si="83"/>
        <v/>
      </c>
      <c r="B1300" s="53"/>
      <c r="C1300" s="28" t="str">
        <f t="shared" si="80"/>
        <v/>
      </c>
      <c r="D1300" s="28" t="str">
        <f t="shared" si="81"/>
        <v/>
      </c>
      <c r="E1300" s="77"/>
      <c r="F1300" s="45"/>
      <c r="G1300" s="56"/>
      <c r="H1300" s="83"/>
      <c r="I1300" s="35" t="str">
        <f t="shared" si="82"/>
        <v/>
      </c>
    </row>
    <row r="1301" spans="1:9">
      <c r="A1301" s="10" t="str">
        <f t="shared" si="83"/>
        <v/>
      </c>
      <c r="B1301" s="53"/>
      <c r="C1301" s="28" t="str">
        <f t="shared" si="80"/>
        <v/>
      </c>
      <c r="D1301" s="28" t="str">
        <f t="shared" si="81"/>
        <v/>
      </c>
      <c r="E1301" s="77"/>
      <c r="F1301" s="45"/>
      <c r="G1301" s="56"/>
      <c r="H1301" s="83"/>
      <c r="I1301" s="35" t="str">
        <f t="shared" si="82"/>
        <v/>
      </c>
    </row>
    <row r="1302" spans="1:9">
      <c r="A1302" s="10" t="str">
        <f t="shared" si="83"/>
        <v/>
      </c>
      <c r="B1302" s="53"/>
      <c r="C1302" s="28" t="str">
        <f t="shared" si="80"/>
        <v/>
      </c>
      <c r="D1302" s="28" t="str">
        <f t="shared" si="81"/>
        <v/>
      </c>
      <c r="E1302" s="77"/>
      <c r="F1302" s="45"/>
      <c r="G1302" s="56"/>
      <c r="H1302" s="83"/>
      <c r="I1302" s="35" t="str">
        <f t="shared" si="82"/>
        <v/>
      </c>
    </row>
    <row r="1303" spans="1:9">
      <c r="A1303" s="10" t="str">
        <f t="shared" si="83"/>
        <v/>
      </c>
      <c r="B1303" s="53"/>
      <c r="C1303" s="28" t="str">
        <f t="shared" si="80"/>
        <v/>
      </c>
      <c r="D1303" s="28" t="str">
        <f t="shared" si="81"/>
        <v/>
      </c>
      <c r="E1303" s="77"/>
      <c r="F1303" s="45"/>
      <c r="G1303" s="56"/>
      <c r="H1303" s="83"/>
      <c r="I1303" s="35" t="str">
        <f t="shared" si="82"/>
        <v/>
      </c>
    </row>
    <row r="1304" spans="1:9">
      <c r="A1304" s="10" t="str">
        <f t="shared" si="83"/>
        <v/>
      </c>
      <c r="B1304" s="53"/>
      <c r="C1304" s="28" t="str">
        <f t="shared" si="80"/>
        <v/>
      </c>
      <c r="D1304" s="28" t="str">
        <f t="shared" si="81"/>
        <v/>
      </c>
      <c r="E1304" s="77"/>
      <c r="F1304" s="45"/>
      <c r="G1304" s="56"/>
      <c r="H1304" s="83"/>
      <c r="I1304" s="35" t="str">
        <f t="shared" si="82"/>
        <v/>
      </c>
    </row>
    <row r="1305" spans="1:9">
      <c r="A1305" s="10" t="str">
        <f t="shared" si="83"/>
        <v/>
      </c>
      <c r="B1305" s="53"/>
      <c r="C1305" s="28" t="str">
        <f t="shared" si="80"/>
        <v/>
      </c>
      <c r="D1305" s="28" t="str">
        <f t="shared" si="81"/>
        <v/>
      </c>
      <c r="E1305" s="77"/>
      <c r="F1305" s="45"/>
      <c r="G1305" s="56"/>
      <c r="H1305" s="83"/>
      <c r="I1305" s="35" t="str">
        <f t="shared" si="82"/>
        <v/>
      </c>
    </row>
    <row r="1306" spans="1:9">
      <c r="A1306" s="10" t="str">
        <f t="shared" si="83"/>
        <v/>
      </c>
      <c r="B1306" s="53"/>
      <c r="C1306" s="28" t="str">
        <f t="shared" si="80"/>
        <v/>
      </c>
      <c r="D1306" s="28" t="str">
        <f t="shared" si="81"/>
        <v/>
      </c>
      <c r="E1306" s="77"/>
      <c r="F1306" s="45"/>
      <c r="G1306" s="56"/>
      <c r="H1306" s="83"/>
      <c r="I1306" s="35" t="str">
        <f t="shared" si="82"/>
        <v/>
      </c>
    </row>
    <row r="1307" spans="1:9">
      <c r="A1307" s="10" t="str">
        <f t="shared" si="83"/>
        <v/>
      </c>
      <c r="B1307" s="53"/>
      <c r="C1307" s="28" t="str">
        <f t="shared" si="80"/>
        <v/>
      </c>
      <c r="D1307" s="28" t="str">
        <f t="shared" si="81"/>
        <v/>
      </c>
      <c r="E1307" s="77"/>
      <c r="F1307" s="45"/>
      <c r="G1307" s="56"/>
      <c r="H1307" s="83"/>
      <c r="I1307" s="35" t="str">
        <f t="shared" si="82"/>
        <v/>
      </c>
    </row>
    <row r="1308" spans="1:9">
      <c r="A1308" s="10" t="str">
        <f t="shared" si="83"/>
        <v/>
      </c>
      <c r="B1308" s="53"/>
      <c r="C1308" s="28" t="str">
        <f t="shared" si="80"/>
        <v/>
      </c>
      <c r="D1308" s="28" t="str">
        <f t="shared" si="81"/>
        <v/>
      </c>
      <c r="E1308" s="77"/>
      <c r="F1308" s="45"/>
      <c r="G1308" s="56"/>
      <c r="H1308" s="83"/>
      <c r="I1308" s="35" t="str">
        <f t="shared" si="82"/>
        <v/>
      </c>
    </row>
    <row r="1309" spans="1:9">
      <c r="A1309" s="10" t="str">
        <f t="shared" si="83"/>
        <v/>
      </c>
      <c r="B1309" s="53"/>
      <c r="C1309" s="28" t="str">
        <f t="shared" si="80"/>
        <v/>
      </c>
      <c r="D1309" s="28" t="str">
        <f t="shared" si="81"/>
        <v/>
      </c>
      <c r="E1309" s="77"/>
      <c r="F1309" s="45"/>
      <c r="G1309" s="56"/>
      <c r="H1309" s="83"/>
      <c r="I1309" s="35" t="str">
        <f t="shared" si="82"/>
        <v/>
      </c>
    </row>
    <row r="1310" spans="1:9">
      <c r="A1310" s="10" t="str">
        <f t="shared" si="83"/>
        <v/>
      </c>
      <c r="B1310" s="53"/>
      <c r="C1310" s="28" t="str">
        <f t="shared" si="80"/>
        <v/>
      </c>
      <c r="D1310" s="28" t="str">
        <f t="shared" si="81"/>
        <v/>
      </c>
      <c r="E1310" s="77"/>
      <c r="F1310" s="45"/>
      <c r="G1310" s="56"/>
      <c r="H1310" s="83"/>
      <c r="I1310" s="35" t="str">
        <f t="shared" si="82"/>
        <v/>
      </c>
    </row>
    <row r="1311" spans="1:9">
      <c r="A1311" s="10" t="str">
        <f t="shared" si="83"/>
        <v/>
      </c>
      <c r="B1311" s="53"/>
      <c r="C1311" s="28" t="str">
        <f t="shared" si="80"/>
        <v/>
      </c>
      <c r="D1311" s="28" t="str">
        <f t="shared" si="81"/>
        <v/>
      </c>
      <c r="E1311" s="77"/>
      <c r="F1311" s="45"/>
      <c r="G1311" s="56"/>
      <c r="H1311" s="83"/>
      <c r="I1311" s="35" t="str">
        <f t="shared" si="82"/>
        <v/>
      </c>
    </row>
    <row r="1312" spans="1:9">
      <c r="A1312" s="10" t="str">
        <f t="shared" si="83"/>
        <v/>
      </c>
      <c r="B1312" s="53"/>
      <c r="C1312" s="28" t="str">
        <f t="shared" si="80"/>
        <v/>
      </c>
      <c r="D1312" s="28" t="str">
        <f t="shared" si="81"/>
        <v/>
      </c>
      <c r="E1312" s="77"/>
      <c r="F1312" s="45"/>
      <c r="G1312" s="56"/>
      <c r="H1312" s="83"/>
      <c r="I1312" s="35" t="str">
        <f t="shared" si="82"/>
        <v/>
      </c>
    </row>
    <row r="1313" spans="1:9">
      <c r="A1313" s="10" t="str">
        <f t="shared" si="83"/>
        <v/>
      </c>
      <c r="B1313" s="53"/>
      <c r="C1313" s="28" t="str">
        <f t="shared" si="80"/>
        <v/>
      </c>
      <c r="D1313" s="28" t="str">
        <f t="shared" si="81"/>
        <v/>
      </c>
      <c r="E1313" s="77"/>
      <c r="F1313" s="45"/>
      <c r="G1313" s="56"/>
      <c r="H1313" s="83"/>
      <c r="I1313" s="35" t="str">
        <f t="shared" si="82"/>
        <v/>
      </c>
    </row>
    <row r="1314" spans="1:9">
      <c r="A1314" s="10" t="str">
        <f t="shared" si="83"/>
        <v/>
      </c>
      <c r="B1314" s="53"/>
      <c r="C1314" s="28" t="str">
        <f t="shared" si="80"/>
        <v/>
      </c>
      <c r="D1314" s="28" t="str">
        <f t="shared" si="81"/>
        <v/>
      </c>
      <c r="E1314" s="77"/>
      <c r="F1314" s="45"/>
      <c r="G1314" s="56"/>
      <c r="H1314" s="83"/>
      <c r="I1314" s="35" t="str">
        <f t="shared" si="82"/>
        <v/>
      </c>
    </row>
    <row r="1315" spans="1:9">
      <c r="A1315" s="10" t="str">
        <f t="shared" si="83"/>
        <v/>
      </c>
      <c r="B1315" s="53"/>
      <c r="C1315" s="28" t="str">
        <f t="shared" si="80"/>
        <v/>
      </c>
      <c r="D1315" s="28" t="str">
        <f t="shared" si="81"/>
        <v/>
      </c>
      <c r="E1315" s="77"/>
      <c r="F1315" s="45"/>
      <c r="G1315" s="56"/>
      <c r="H1315" s="83"/>
      <c r="I1315" s="35" t="str">
        <f t="shared" si="82"/>
        <v/>
      </c>
    </row>
    <row r="1316" spans="1:9">
      <c r="A1316" s="10" t="str">
        <f t="shared" si="83"/>
        <v/>
      </c>
      <c r="B1316" s="53"/>
      <c r="C1316" s="28" t="str">
        <f t="shared" si="80"/>
        <v/>
      </c>
      <c r="D1316" s="28" t="str">
        <f t="shared" si="81"/>
        <v/>
      </c>
      <c r="E1316" s="77"/>
      <c r="F1316" s="45"/>
      <c r="G1316" s="56"/>
      <c r="H1316" s="83"/>
      <c r="I1316" s="35" t="str">
        <f t="shared" si="82"/>
        <v/>
      </c>
    </row>
    <row r="1317" spans="1:9">
      <c r="A1317" s="10" t="str">
        <f t="shared" si="83"/>
        <v/>
      </c>
      <c r="B1317" s="53"/>
      <c r="C1317" s="28" t="str">
        <f t="shared" si="80"/>
        <v/>
      </c>
      <c r="D1317" s="28" t="str">
        <f t="shared" si="81"/>
        <v/>
      </c>
      <c r="E1317" s="77"/>
      <c r="F1317" s="45"/>
      <c r="G1317" s="56"/>
      <c r="H1317" s="83"/>
      <c r="I1317" s="35" t="str">
        <f t="shared" si="82"/>
        <v/>
      </c>
    </row>
    <row r="1318" spans="1:9">
      <c r="A1318" s="10" t="str">
        <f t="shared" si="83"/>
        <v/>
      </c>
      <c r="B1318" s="53"/>
      <c r="C1318" s="28" t="str">
        <f t="shared" si="80"/>
        <v/>
      </c>
      <c r="D1318" s="28" t="str">
        <f t="shared" si="81"/>
        <v/>
      </c>
      <c r="E1318" s="77"/>
      <c r="F1318" s="45"/>
      <c r="G1318" s="56"/>
      <c r="H1318" s="83"/>
      <c r="I1318" s="35" t="str">
        <f t="shared" si="82"/>
        <v/>
      </c>
    </row>
    <row r="1319" spans="1:9">
      <c r="A1319" s="10" t="str">
        <f t="shared" si="83"/>
        <v/>
      </c>
      <c r="B1319" s="53"/>
      <c r="C1319" s="28" t="str">
        <f t="shared" si="80"/>
        <v/>
      </c>
      <c r="D1319" s="28" t="str">
        <f t="shared" si="81"/>
        <v/>
      </c>
      <c r="E1319" s="77"/>
      <c r="F1319" s="45"/>
      <c r="G1319" s="56"/>
      <c r="H1319" s="83"/>
      <c r="I1319" s="35" t="str">
        <f t="shared" si="82"/>
        <v/>
      </c>
    </row>
    <row r="1320" spans="1:9">
      <c r="A1320" s="10" t="str">
        <f t="shared" si="83"/>
        <v/>
      </c>
      <c r="B1320" s="53"/>
      <c r="C1320" s="28" t="str">
        <f t="shared" si="80"/>
        <v/>
      </c>
      <c r="D1320" s="28" t="str">
        <f t="shared" si="81"/>
        <v/>
      </c>
      <c r="E1320" s="77"/>
      <c r="F1320" s="45"/>
      <c r="G1320" s="56"/>
      <c r="H1320" s="83"/>
      <c r="I1320" s="35" t="str">
        <f t="shared" si="82"/>
        <v/>
      </c>
    </row>
    <row r="1321" spans="1:9">
      <c r="A1321" s="10" t="str">
        <f t="shared" si="83"/>
        <v/>
      </c>
      <c r="B1321" s="53"/>
      <c r="C1321" s="28" t="str">
        <f t="shared" si="80"/>
        <v/>
      </c>
      <c r="D1321" s="28" t="str">
        <f t="shared" si="81"/>
        <v/>
      </c>
      <c r="E1321" s="77"/>
      <c r="F1321" s="45"/>
      <c r="G1321" s="56"/>
      <c r="H1321" s="83"/>
      <c r="I1321" s="35" t="str">
        <f t="shared" si="82"/>
        <v/>
      </c>
    </row>
    <row r="1322" spans="1:9">
      <c r="A1322" s="10" t="str">
        <f t="shared" si="83"/>
        <v/>
      </c>
      <c r="B1322" s="53"/>
      <c r="C1322" s="28" t="str">
        <f t="shared" si="80"/>
        <v/>
      </c>
      <c r="D1322" s="28" t="str">
        <f t="shared" si="81"/>
        <v/>
      </c>
      <c r="E1322" s="77"/>
      <c r="F1322" s="45"/>
      <c r="G1322" s="56"/>
      <c r="H1322" s="83"/>
      <c r="I1322" s="35" t="str">
        <f t="shared" si="82"/>
        <v/>
      </c>
    </row>
    <row r="1323" spans="1:9">
      <c r="A1323" s="10" t="str">
        <f t="shared" si="83"/>
        <v/>
      </c>
      <c r="B1323" s="53"/>
      <c r="C1323" s="28" t="str">
        <f t="shared" si="80"/>
        <v/>
      </c>
      <c r="D1323" s="28" t="str">
        <f t="shared" si="81"/>
        <v/>
      </c>
      <c r="E1323" s="77"/>
      <c r="F1323" s="45"/>
      <c r="G1323" s="56"/>
      <c r="H1323" s="83"/>
      <c r="I1323" s="35" t="str">
        <f t="shared" si="82"/>
        <v/>
      </c>
    </row>
    <row r="1324" spans="1:9">
      <c r="A1324" s="10" t="str">
        <f t="shared" si="83"/>
        <v/>
      </c>
      <c r="B1324" s="53"/>
      <c r="C1324" s="28" t="str">
        <f t="shared" si="80"/>
        <v/>
      </c>
      <c r="D1324" s="28" t="str">
        <f t="shared" si="81"/>
        <v/>
      </c>
      <c r="E1324" s="77"/>
      <c r="F1324" s="45"/>
      <c r="G1324" s="56"/>
      <c r="H1324" s="83"/>
      <c r="I1324" s="35" t="str">
        <f t="shared" si="82"/>
        <v/>
      </c>
    </row>
    <row r="1325" spans="1:9">
      <c r="A1325" s="10" t="str">
        <f t="shared" si="83"/>
        <v/>
      </c>
      <c r="B1325" s="53"/>
      <c r="C1325" s="28" t="str">
        <f t="shared" si="80"/>
        <v/>
      </c>
      <c r="D1325" s="28" t="str">
        <f t="shared" si="81"/>
        <v/>
      </c>
      <c r="E1325" s="77"/>
      <c r="F1325" s="45"/>
      <c r="G1325" s="56"/>
      <c r="H1325" s="83"/>
      <c r="I1325" s="35" t="str">
        <f t="shared" si="82"/>
        <v/>
      </c>
    </row>
    <row r="1326" spans="1:9">
      <c r="A1326" s="10" t="str">
        <f t="shared" si="83"/>
        <v/>
      </c>
      <c r="B1326" s="53"/>
      <c r="C1326" s="28" t="str">
        <f t="shared" si="80"/>
        <v/>
      </c>
      <c r="D1326" s="28" t="str">
        <f t="shared" si="81"/>
        <v/>
      </c>
      <c r="E1326" s="77"/>
      <c r="F1326" s="45"/>
      <c r="G1326" s="56"/>
      <c r="H1326" s="83"/>
      <c r="I1326" s="35" t="str">
        <f t="shared" si="82"/>
        <v/>
      </c>
    </row>
    <row r="1327" spans="1:9">
      <c r="A1327" s="10" t="str">
        <f t="shared" si="83"/>
        <v/>
      </c>
      <c r="B1327" s="53"/>
      <c r="C1327" s="28" t="str">
        <f t="shared" si="80"/>
        <v/>
      </c>
      <c r="D1327" s="28" t="str">
        <f t="shared" si="81"/>
        <v/>
      </c>
      <c r="E1327" s="77"/>
      <c r="F1327" s="45"/>
      <c r="G1327" s="56"/>
      <c r="H1327" s="83"/>
      <c r="I1327" s="35" t="str">
        <f t="shared" si="82"/>
        <v/>
      </c>
    </row>
    <row r="1328" spans="1:9">
      <c r="A1328" s="10" t="str">
        <f t="shared" si="83"/>
        <v/>
      </c>
      <c r="B1328" s="53"/>
      <c r="C1328" s="28" t="str">
        <f t="shared" si="80"/>
        <v/>
      </c>
      <c r="D1328" s="28" t="str">
        <f t="shared" si="81"/>
        <v/>
      </c>
      <c r="E1328" s="77"/>
      <c r="F1328" s="45"/>
      <c r="G1328" s="56"/>
      <c r="H1328" s="83"/>
      <c r="I1328" s="35" t="str">
        <f t="shared" si="82"/>
        <v/>
      </c>
    </row>
    <row r="1329" spans="1:9">
      <c r="A1329" s="10" t="str">
        <f t="shared" si="83"/>
        <v/>
      </c>
      <c r="B1329" s="53"/>
      <c r="C1329" s="28" t="str">
        <f t="shared" si="80"/>
        <v/>
      </c>
      <c r="D1329" s="28" t="str">
        <f t="shared" si="81"/>
        <v/>
      </c>
      <c r="E1329" s="77"/>
      <c r="F1329" s="45"/>
      <c r="G1329" s="56"/>
      <c r="H1329" s="83"/>
      <c r="I1329" s="35" t="str">
        <f t="shared" si="82"/>
        <v/>
      </c>
    </row>
    <row r="1330" spans="1:9">
      <c r="A1330" s="10" t="str">
        <f t="shared" si="83"/>
        <v/>
      </c>
      <c r="B1330" s="53"/>
      <c r="C1330" s="28" t="str">
        <f t="shared" si="80"/>
        <v/>
      </c>
      <c r="D1330" s="28" t="str">
        <f t="shared" si="81"/>
        <v/>
      </c>
      <c r="E1330" s="77"/>
      <c r="F1330" s="45"/>
      <c r="G1330" s="56"/>
      <c r="H1330" s="83"/>
      <c r="I1330" s="35" t="str">
        <f t="shared" si="82"/>
        <v/>
      </c>
    </row>
    <row r="1331" spans="1:9">
      <c r="A1331" s="10" t="str">
        <f t="shared" si="83"/>
        <v/>
      </c>
      <c r="B1331" s="53"/>
      <c r="C1331" s="28" t="str">
        <f t="shared" si="80"/>
        <v/>
      </c>
      <c r="D1331" s="28" t="str">
        <f t="shared" si="81"/>
        <v/>
      </c>
      <c r="E1331" s="77"/>
      <c r="F1331" s="45"/>
      <c r="G1331" s="56"/>
      <c r="H1331" s="83"/>
      <c r="I1331" s="35" t="str">
        <f t="shared" si="82"/>
        <v/>
      </c>
    </row>
    <row r="1332" spans="1:9">
      <c r="A1332" s="10" t="str">
        <f t="shared" si="83"/>
        <v/>
      </c>
      <c r="B1332" s="53"/>
      <c r="C1332" s="28" t="str">
        <f t="shared" si="80"/>
        <v/>
      </c>
      <c r="D1332" s="28" t="str">
        <f t="shared" si="81"/>
        <v/>
      </c>
      <c r="E1332" s="77"/>
      <c r="F1332" s="45"/>
      <c r="G1332" s="56"/>
      <c r="H1332" s="83"/>
      <c r="I1332" s="35" t="str">
        <f t="shared" si="82"/>
        <v/>
      </c>
    </row>
    <row r="1333" spans="1:9">
      <c r="A1333" s="10" t="str">
        <f t="shared" si="83"/>
        <v/>
      </c>
      <c r="B1333" s="53"/>
      <c r="C1333" s="28" t="str">
        <f t="shared" si="80"/>
        <v/>
      </c>
      <c r="D1333" s="28" t="str">
        <f t="shared" si="81"/>
        <v/>
      </c>
      <c r="E1333" s="77"/>
      <c r="F1333" s="45"/>
      <c r="G1333" s="56"/>
      <c r="H1333" s="83"/>
      <c r="I1333" s="35" t="str">
        <f t="shared" si="82"/>
        <v/>
      </c>
    </row>
    <row r="1334" spans="1:9">
      <c r="A1334" s="10" t="str">
        <f t="shared" si="83"/>
        <v/>
      </c>
      <c r="B1334" s="53"/>
      <c r="C1334" s="28" t="str">
        <f t="shared" si="80"/>
        <v/>
      </c>
      <c r="D1334" s="28" t="str">
        <f t="shared" si="81"/>
        <v/>
      </c>
      <c r="E1334" s="77"/>
      <c r="F1334" s="45"/>
      <c r="G1334" s="56"/>
      <c r="H1334" s="83"/>
      <c r="I1334" s="35" t="str">
        <f t="shared" si="82"/>
        <v/>
      </c>
    </row>
    <row r="1335" spans="1:9">
      <c r="A1335" s="10" t="str">
        <f t="shared" si="83"/>
        <v/>
      </c>
      <c r="B1335" s="53"/>
      <c r="C1335" s="28" t="str">
        <f t="shared" si="80"/>
        <v/>
      </c>
      <c r="D1335" s="28" t="str">
        <f t="shared" si="81"/>
        <v/>
      </c>
      <c r="E1335" s="77"/>
      <c r="F1335" s="45"/>
      <c r="G1335" s="56"/>
      <c r="H1335" s="83"/>
      <c r="I1335" s="35" t="str">
        <f t="shared" si="82"/>
        <v/>
      </c>
    </row>
    <row r="1336" spans="1:9">
      <c r="A1336" s="10" t="str">
        <f t="shared" si="83"/>
        <v/>
      </c>
      <c r="B1336" s="53"/>
      <c r="C1336" s="28" t="str">
        <f t="shared" si="80"/>
        <v/>
      </c>
      <c r="D1336" s="28" t="str">
        <f t="shared" si="81"/>
        <v/>
      </c>
      <c r="E1336" s="77"/>
      <c r="F1336" s="45"/>
      <c r="G1336" s="56"/>
      <c r="H1336" s="83"/>
      <c r="I1336" s="35" t="str">
        <f t="shared" si="82"/>
        <v/>
      </c>
    </row>
    <row r="1337" spans="1:9">
      <c r="A1337" s="10" t="str">
        <f t="shared" si="83"/>
        <v/>
      </c>
      <c r="B1337" s="53"/>
      <c r="C1337" s="28" t="str">
        <f t="shared" si="80"/>
        <v/>
      </c>
      <c r="D1337" s="28" t="str">
        <f t="shared" si="81"/>
        <v/>
      </c>
      <c r="E1337" s="77"/>
      <c r="F1337" s="45"/>
      <c r="G1337" s="56"/>
      <c r="H1337" s="83"/>
      <c r="I1337" s="35" t="str">
        <f t="shared" si="82"/>
        <v/>
      </c>
    </row>
    <row r="1338" spans="1:9">
      <c r="A1338" s="10" t="str">
        <f t="shared" si="83"/>
        <v/>
      </c>
      <c r="B1338" s="53"/>
      <c r="C1338" s="28" t="str">
        <f t="shared" si="80"/>
        <v/>
      </c>
      <c r="D1338" s="28" t="str">
        <f t="shared" si="81"/>
        <v/>
      </c>
      <c r="E1338" s="77"/>
      <c r="F1338" s="45"/>
      <c r="G1338" s="56"/>
      <c r="H1338" s="83"/>
      <c r="I1338" s="35" t="str">
        <f t="shared" si="82"/>
        <v/>
      </c>
    </row>
    <row r="1339" spans="1:9">
      <c r="A1339" s="10" t="str">
        <f t="shared" si="83"/>
        <v/>
      </c>
      <c r="B1339" s="53"/>
      <c r="C1339" s="28" t="str">
        <f t="shared" si="80"/>
        <v/>
      </c>
      <c r="D1339" s="28" t="str">
        <f t="shared" si="81"/>
        <v/>
      </c>
      <c r="E1339" s="77"/>
      <c r="F1339" s="45"/>
      <c r="G1339" s="56"/>
      <c r="H1339" s="83"/>
      <c r="I1339" s="35" t="str">
        <f t="shared" si="82"/>
        <v/>
      </c>
    </row>
    <row r="1340" spans="1:9">
      <c r="A1340" s="10" t="str">
        <f t="shared" si="83"/>
        <v/>
      </c>
      <c r="B1340" s="53"/>
      <c r="C1340" s="28" t="str">
        <f t="shared" si="80"/>
        <v/>
      </c>
      <c r="D1340" s="28" t="str">
        <f t="shared" si="81"/>
        <v/>
      </c>
      <c r="E1340" s="77"/>
      <c r="F1340" s="45"/>
      <c r="G1340" s="56"/>
      <c r="H1340" s="83"/>
      <c r="I1340" s="35" t="str">
        <f t="shared" si="82"/>
        <v/>
      </c>
    </row>
    <row r="1341" spans="1:9">
      <c r="A1341" s="10" t="str">
        <f t="shared" si="83"/>
        <v/>
      </c>
      <c r="B1341" s="53"/>
      <c r="C1341" s="28" t="str">
        <f t="shared" si="80"/>
        <v/>
      </c>
      <c r="D1341" s="28" t="str">
        <f t="shared" si="81"/>
        <v/>
      </c>
      <c r="E1341" s="77"/>
      <c r="F1341" s="45"/>
      <c r="G1341" s="56"/>
      <c r="H1341" s="83"/>
      <c r="I1341" s="35" t="str">
        <f t="shared" si="82"/>
        <v/>
      </c>
    </row>
    <row r="1342" spans="1:9">
      <c r="A1342" s="10" t="str">
        <f t="shared" si="83"/>
        <v/>
      </c>
      <c r="B1342" s="53"/>
      <c r="C1342" s="28" t="str">
        <f t="shared" si="80"/>
        <v/>
      </c>
      <c r="D1342" s="28" t="str">
        <f t="shared" si="81"/>
        <v/>
      </c>
      <c r="E1342" s="77"/>
      <c r="F1342" s="45"/>
      <c r="G1342" s="56"/>
      <c r="H1342" s="83"/>
      <c r="I1342" s="35" t="str">
        <f t="shared" si="82"/>
        <v/>
      </c>
    </row>
    <row r="1343" spans="1:9">
      <c r="A1343" s="10" t="str">
        <f t="shared" si="83"/>
        <v/>
      </c>
      <c r="B1343" s="53"/>
      <c r="C1343" s="28" t="str">
        <f t="shared" si="80"/>
        <v/>
      </c>
      <c r="D1343" s="28" t="str">
        <f t="shared" si="81"/>
        <v/>
      </c>
      <c r="E1343" s="77"/>
      <c r="F1343" s="45"/>
      <c r="G1343" s="56"/>
      <c r="H1343" s="83"/>
      <c r="I1343" s="35" t="str">
        <f t="shared" si="82"/>
        <v/>
      </c>
    </row>
    <row r="1344" spans="1:9">
      <c r="A1344" s="10" t="str">
        <f t="shared" si="83"/>
        <v/>
      </c>
      <c r="B1344" s="53"/>
      <c r="C1344" s="28" t="str">
        <f t="shared" si="80"/>
        <v/>
      </c>
      <c r="D1344" s="28" t="str">
        <f t="shared" si="81"/>
        <v/>
      </c>
      <c r="E1344" s="77"/>
      <c r="F1344" s="45"/>
      <c r="G1344" s="56"/>
      <c r="H1344" s="83"/>
      <c r="I1344" s="35" t="str">
        <f t="shared" si="82"/>
        <v/>
      </c>
    </row>
    <row r="1345" spans="1:9">
      <c r="A1345" s="10" t="str">
        <f t="shared" si="83"/>
        <v/>
      </c>
      <c r="B1345" s="53"/>
      <c r="C1345" s="28" t="str">
        <f t="shared" si="80"/>
        <v/>
      </c>
      <c r="D1345" s="28" t="str">
        <f t="shared" si="81"/>
        <v/>
      </c>
      <c r="E1345" s="77"/>
      <c r="F1345" s="45"/>
      <c r="G1345" s="56"/>
      <c r="H1345" s="83"/>
      <c r="I1345" s="35" t="str">
        <f t="shared" si="82"/>
        <v/>
      </c>
    </row>
    <row r="1346" spans="1:9">
      <c r="A1346" s="10" t="str">
        <f t="shared" si="83"/>
        <v/>
      </c>
      <c r="B1346" s="53"/>
      <c r="C1346" s="28" t="str">
        <f>IF(B1346=0,"",TEXT(B1346,"mmmm"))</f>
        <v/>
      </c>
      <c r="D1346" s="28" t="str">
        <f>IF(B1346=0,"",TEXT(B1346,"yyyy"))</f>
        <v/>
      </c>
      <c r="E1346" s="77"/>
      <c r="F1346" s="45"/>
      <c r="G1346" s="56"/>
      <c r="H1346" s="83"/>
      <c r="I1346" s="35" t="str">
        <f>IF(G1346*H1346=0,"",G1346*H1346)</f>
        <v/>
      </c>
    </row>
    <row r="1347" spans="1:9">
      <c r="A1347" s="10" t="str">
        <f t="shared" si="83"/>
        <v/>
      </c>
      <c r="B1347" s="53"/>
      <c r="C1347" s="28" t="str">
        <f>IF(B1347=0,"",TEXT(B1347,"mmmm"))</f>
        <v/>
      </c>
      <c r="D1347" s="28" t="str">
        <f>IF(B1347=0,"",TEXT(B1347,"yyyy"))</f>
        <v/>
      </c>
      <c r="E1347" s="77"/>
      <c r="F1347" s="45"/>
      <c r="G1347" s="56"/>
      <c r="H1347" s="83"/>
      <c r="I1347" s="35" t="str">
        <f>IF(G1347*H1347=0,"",G1347*H1347)</f>
        <v/>
      </c>
    </row>
    <row r="1348" spans="1:9">
      <c r="A1348" s="10" t="str">
        <f t="shared" ref="A1348" si="84">IF(E1348&gt;0,A1347+1,"")</f>
        <v/>
      </c>
      <c r="B1348" s="53"/>
      <c r="C1348" s="28" t="str">
        <f>IF(B1348=0,"",TEXT(B1348,"mmmm"))</f>
        <v/>
      </c>
      <c r="D1348" s="28" t="str">
        <f>IF(B1348=0,"",TEXT(B1348,"yyyy"))</f>
        <v/>
      </c>
      <c r="E1348" s="77"/>
      <c r="F1348" s="45"/>
      <c r="G1348" s="56"/>
      <c r="H1348" s="83"/>
      <c r="I1348" s="35" t="str">
        <f>IF(G1348*H1348=0,"",G1348*H1348)</f>
        <v/>
      </c>
    </row>
  </sheetData>
  <sheetProtection algorithmName="SHA-512" hashValue="hl0bGSy7q4Yv9ti/3lW+ILl2YZPd5FWwOc6vP7s/69yOEQZArBbMQwTI+YzKFazi6xI53apu0rCLPwWvafqyvQ==" saltValue="yHSETJAzg+EdoB3rYdCGMQ==" spinCount="100000" sheet="1" objects="1" scenarios="1" selectLockedCells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F857EB0-0F0D-5447-B6EF-654F59915377}">
          <x14:formula1>
            <xm:f>Category!$J$2:$J$18</xm:f>
          </x14:formula1>
          <xm:sqref>E2:E1348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9C2BA-10F0-A647-8AD8-012C10C29987}">
  <dimension ref="A1:F1348"/>
  <sheetViews>
    <sheetView showGridLines="0" zoomScale="184" workbookViewId="0">
      <selection activeCell="F17" sqref="F17"/>
    </sheetView>
  </sheetViews>
  <sheetFormatPr baseColWidth="10" defaultRowHeight="16"/>
  <cols>
    <col min="1" max="1" width="4.33203125" style="1" bestFit="1" customWidth="1"/>
    <col min="2" max="2" width="10.6640625" style="64" customWidth="1"/>
    <col min="3" max="3" width="9.6640625" style="27" customWidth="1"/>
    <col min="4" max="4" width="5.1640625" style="27" bestFit="1" customWidth="1"/>
    <col min="5" max="5" width="37.33203125" style="89" customWidth="1"/>
    <col min="6" max="6" width="15" style="84" customWidth="1"/>
  </cols>
  <sheetData>
    <row r="1" spans="1:6" ht="17" thickBot="1">
      <c r="A1" s="32" t="s">
        <v>29</v>
      </c>
      <c r="B1" s="75" t="s">
        <v>25</v>
      </c>
      <c r="C1" s="19" t="s">
        <v>26</v>
      </c>
      <c r="D1" s="19" t="s">
        <v>18</v>
      </c>
      <c r="E1" s="86" t="s">
        <v>27</v>
      </c>
      <c r="F1" s="81" t="s">
        <v>99</v>
      </c>
    </row>
    <row r="2" spans="1:6">
      <c r="A2" s="12">
        <f>IF(E2&gt;0,1,"")</f>
        <v>1</v>
      </c>
      <c r="B2" s="85">
        <v>46245</v>
      </c>
      <c r="C2" s="31" t="str">
        <f>IF(B2=0,"",TEXT(B2,"mmmm"))</f>
        <v>August</v>
      </c>
      <c r="D2" s="31" t="str">
        <f>IF(B2=0,"",TEXT(B2,"yyyy"))</f>
        <v>2026</v>
      </c>
      <c r="E2" s="87" t="s">
        <v>114</v>
      </c>
      <c r="F2" s="82">
        <v>13000</v>
      </c>
    </row>
    <row r="3" spans="1:6">
      <c r="A3" s="10" t="str">
        <f t="shared" ref="A3:A66" si="0">IF(E3&gt;0,A2+1,"")</f>
        <v/>
      </c>
      <c r="B3" s="85"/>
      <c r="C3" s="28" t="str">
        <f t="shared" ref="C3:C66" si="1">IF(B3=0,"",TEXT(B3,"mmmm"))</f>
        <v/>
      </c>
      <c r="D3" s="28" t="str">
        <f t="shared" ref="D3:D66" si="2">IF(B3=0,"",TEXT(B3,"yyyy"))</f>
        <v/>
      </c>
      <c r="E3" s="87"/>
      <c r="F3" s="83"/>
    </row>
    <row r="4" spans="1:6">
      <c r="A4" s="10" t="str">
        <f t="shared" si="0"/>
        <v/>
      </c>
      <c r="B4" s="85"/>
      <c r="C4" s="28" t="str">
        <f t="shared" si="1"/>
        <v/>
      </c>
      <c r="D4" s="28" t="str">
        <f t="shared" si="2"/>
        <v/>
      </c>
      <c r="E4" s="88"/>
      <c r="F4" s="83"/>
    </row>
    <row r="5" spans="1:6">
      <c r="A5" s="10" t="str">
        <f t="shared" si="0"/>
        <v/>
      </c>
      <c r="B5" s="85"/>
      <c r="C5" s="28" t="str">
        <f>IF(B5=0,"",TEXT(B5,"mmmm"))</f>
        <v/>
      </c>
      <c r="D5" s="28" t="str">
        <f>IF(B5=0,"",TEXT(B5,"yyyy"))</f>
        <v/>
      </c>
      <c r="E5" s="88"/>
      <c r="F5" s="83"/>
    </row>
    <row r="6" spans="1:6">
      <c r="A6" s="10" t="str">
        <f t="shared" si="0"/>
        <v/>
      </c>
      <c r="B6" s="85"/>
      <c r="C6" s="28" t="str">
        <f t="shared" si="1"/>
        <v/>
      </c>
      <c r="D6" s="28" t="str">
        <f t="shared" si="2"/>
        <v/>
      </c>
      <c r="E6" s="87"/>
      <c r="F6" s="82"/>
    </row>
    <row r="7" spans="1:6">
      <c r="A7" s="10" t="str">
        <f t="shared" si="0"/>
        <v/>
      </c>
      <c r="B7" s="85"/>
      <c r="C7" s="28" t="str">
        <f t="shared" si="1"/>
        <v/>
      </c>
      <c r="D7" s="28" t="str">
        <f t="shared" si="2"/>
        <v/>
      </c>
      <c r="E7" s="88"/>
      <c r="F7" s="83"/>
    </row>
    <row r="8" spans="1:6">
      <c r="A8" s="10" t="str">
        <f t="shared" si="0"/>
        <v/>
      </c>
      <c r="B8" s="85"/>
      <c r="C8" s="28" t="str">
        <f t="shared" si="1"/>
        <v/>
      </c>
      <c r="D8" s="28" t="str">
        <f t="shared" si="2"/>
        <v/>
      </c>
      <c r="E8" s="88"/>
      <c r="F8" s="83"/>
    </row>
    <row r="9" spans="1:6">
      <c r="A9" s="10" t="str">
        <f t="shared" si="0"/>
        <v/>
      </c>
      <c r="B9" s="85"/>
      <c r="C9" s="28" t="str">
        <f t="shared" si="1"/>
        <v/>
      </c>
      <c r="D9" s="28" t="str">
        <f t="shared" si="2"/>
        <v/>
      </c>
      <c r="E9" s="87"/>
      <c r="F9" s="83"/>
    </row>
    <row r="10" spans="1:6">
      <c r="A10" s="10" t="str">
        <f t="shared" si="0"/>
        <v/>
      </c>
      <c r="B10" s="85"/>
      <c r="C10" s="28" t="str">
        <f t="shared" si="1"/>
        <v/>
      </c>
      <c r="D10" s="28" t="str">
        <f t="shared" si="2"/>
        <v/>
      </c>
      <c r="E10" s="87"/>
      <c r="F10" s="83"/>
    </row>
    <row r="11" spans="1:6">
      <c r="A11" s="10" t="str">
        <f t="shared" si="0"/>
        <v/>
      </c>
      <c r="B11" s="85"/>
      <c r="C11" s="28" t="str">
        <f t="shared" si="1"/>
        <v/>
      </c>
      <c r="D11" s="28" t="str">
        <f t="shared" si="2"/>
        <v/>
      </c>
      <c r="E11" s="88"/>
      <c r="F11" s="83"/>
    </row>
    <row r="12" spans="1:6">
      <c r="A12" s="10" t="str">
        <f t="shared" si="0"/>
        <v/>
      </c>
      <c r="B12" s="85"/>
      <c r="C12" s="28" t="str">
        <f t="shared" si="1"/>
        <v/>
      </c>
      <c r="D12" s="28" t="str">
        <f t="shared" si="2"/>
        <v/>
      </c>
      <c r="E12" s="88"/>
      <c r="F12" s="83"/>
    </row>
    <row r="13" spans="1:6">
      <c r="A13" s="10" t="str">
        <f t="shared" si="0"/>
        <v/>
      </c>
      <c r="B13" s="85"/>
      <c r="C13" s="28" t="str">
        <f t="shared" si="1"/>
        <v/>
      </c>
      <c r="D13" s="28" t="str">
        <f t="shared" si="2"/>
        <v/>
      </c>
      <c r="E13" s="88"/>
      <c r="F13" s="83"/>
    </row>
    <row r="14" spans="1:6">
      <c r="A14" s="10" t="str">
        <f t="shared" si="0"/>
        <v/>
      </c>
      <c r="B14" s="85"/>
      <c r="C14" s="28" t="str">
        <f t="shared" si="1"/>
        <v/>
      </c>
      <c r="D14" s="28" t="str">
        <f t="shared" si="2"/>
        <v/>
      </c>
      <c r="E14" s="88"/>
      <c r="F14" s="83"/>
    </row>
    <row r="15" spans="1:6">
      <c r="A15" s="10" t="str">
        <f t="shared" si="0"/>
        <v/>
      </c>
      <c r="B15" s="85"/>
      <c r="C15" s="28" t="str">
        <f t="shared" si="1"/>
        <v/>
      </c>
      <c r="D15" s="28" t="str">
        <f t="shared" si="2"/>
        <v/>
      </c>
      <c r="E15" s="88"/>
      <c r="F15" s="83"/>
    </row>
    <row r="16" spans="1:6">
      <c r="A16" s="10" t="str">
        <f t="shared" si="0"/>
        <v/>
      </c>
      <c r="B16" s="85"/>
      <c r="C16" s="28" t="str">
        <f t="shared" si="1"/>
        <v/>
      </c>
      <c r="D16" s="28" t="str">
        <f t="shared" si="2"/>
        <v/>
      </c>
      <c r="E16" s="88"/>
      <c r="F16" s="83"/>
    </row>
    <row r="17" spans="1:6">
      <c r="A17" s="10" t="str">
        <f t="shared" si="0"/>
        <v/>
      </c>
      <c r="B17" s="85"/>
      <c r="C17" s="28" t="str">
        <f t="shared" si="1"/>
        <v/>
      </c>
      <c r="D17" s="28" t="str">
        <f t="shared" si="2"/>
        <v/>
      </c>
      <c r="E17" s="88"/>
      <c r="F17" s="83"/>
    </row>
    <row r="18" spans="1:6">
      <c r="A18" s="10" t="str">
        <f t="shared" si="0"/>
        <v/>
      </c>
      <c r="B18" s="85"/>
      <c r="C18" s="28" t="str">
        <f t="shared" si="1"/>
        <v/>
      </c>
      <c r="D18" s="28" t="str">
        <f t="shared" si="2"/>
        <v/>
      </c>
      <c r="E18" s="88"/>
      <c r="F18" s="83"/>
    </row>
    <row r="19" spans="1:6">
      <c r="A19" s="10" t="str">
        <f t="shared" si="0"/>
        <v/>
      </c>
      <c r="B19" s="85"/>
      <c r="C19" s="28" t="str">
        <f t="shared" si="1"/>
        <v/>
      </c>
      <c r="D19" s="28" t="str">
        <f t="shared" si="2"/>
        <v/>
      </c>
      <c r="E19" s="88"/>
      <c r="F19" s="83"/>
    </row>
    <row r="20" spans="1:6">
      <c r="A20" s="10" t="str">
        <f t="shared" si="0"/>
        <v/>
      </c>
      <c r="B20" s="85"/>
      <c r="C20" s="28" t="str">
        <f t="shared" si="1"/>
        <v/>
      </c>
      <c r="D20" s="28" t="str">
        <f t="shared" si="2"/>
        <v/>
      </c>
      <c r="E20" s="88"/>
      <c r="F20" s="83"/>
    </row>
    <row r="21" spans="1:6">
      <c r="A21" s="10" t="str">
        <f t="shared" si="0"/>
        <v/>
      </c>
      <c r="B21" s="85"/>
      <c r="C21" s="28" t="str">
        <f t="shared" si="1"/>
        <v/>
      </c>
      <c r="D21" s="28" t="str">
        <f t="shared" si="2"/>
        <v/>
      </c>
      <c r="E21" s="88"/>
      <c r="F21" s="83"/>
    </row>
    <row r="22" spans="1:6">
      <c r="A22" s="10" t="str">
        <f t="shared" si="0"/>
        <v/>
      </c>
      <c r="B22" s="85"/>
      <c r="C22" s="28" t="str">
        <f t="shared" si="1"/>
        <v/>
      </c>
      <c r="D22" s="28" t="str">
        <f t="shared" si="2"/>
        <v/>
      </c>
      <c r="E22" s="88"/>
      <c r="F22" s="83"/>
    </row>
    <row r="23" spans="1:6">
      <c r="A23" s="10" t="str">
        <f t="shared" si="0"/>
        <v/>
      </c>
      <c r="B23" s="85"/>
      <c r="C23" s="28" t="str">
        <f t="shared" si="1"/>
        <v/>
      </c>
      <c r="D23" s="28" t="str">
        <f t="shared" si="2"/>
        <v/>
      </c>
      <c r="E23" s="88"/>
      <c r="F23" s="83"/>
    </row>
    <row r="24" spans="1:6">
      <c r="A24" s="10" t="str">
        <f t="shared" si="0"/>
        <v/>
      </c>
      <c r="B24" s="85"/>
      <c r="C24" s="28" t="str">
        <f t="shared" si="1"/>
        <v/>
      </c>
      <c r="D24" s="28" t="str">
        <f t="shared" si="2"/>
        <v/>
      </c>
      <c r="E24" s="88"/>
      <c r="F24" s="83"/>
    </row>
    <row r="25" spans="1:6">
      <c r="A25" s="10" t="str">
        <f t="shared" si="0"/>
        <v/>
      </c>
      <c r="B25" s="85"/>
      <c r="C25" s="28" t="str">
        <f t="shared" si="1"/>
        <v/>
      </c>
      <c r="D25" s="28" t="str">
        <f t="shared" si="2"/>
        <v/>
      </c>
      <c r="E25" s="88"/>
      <c r="F25" s="83"/>
    </row>
    <row r="26" spans="1:6">
      <c r="A26" s="10" t="str">
        <f t="shared" si="0"/>
        <v/>
      </c>
      <c r="B26" s="85"/>
      <c r="C26" s="28" t="str">
        <f t="shared" si="1"/>
        <v/>
      </c>
      <c r="D26" s="28" t="str">
        <f t="shared" si="2"/>
        <v/>
      </c>
      <c r="E26" s="88"/>
      <c r="F26" s="83"/>
    </row>
    <row r="27" spans="1:6">
      <c r="A27" s="10" t="str">
        <f t="shared" si="0"/>
        <v/>
      </c>
      <c r="B27" s="85"/>
      <c r="C27" s="28" t="str">
        <f t="shared" si="1"/>
        <v/>
      </c>
      <c r="D27" s="28" t="str">
        <f t="shared" si="2"/>
        <v/>
      </c>
      <c r="E27" s="88"/>
      <c r="F27" s="83"/>
    </row>
    <row r="28" spans="1:6">
      <c r="A28" s="10" t="str">
        <f t="shared" si="0"/>
        <v/>
      </c>
      <c r="B28" s="85"/>
      <c r="C28" s="28" t="str">
        <f t="shared" si="1"/>
        <v/>
      </c>
      <c r="D28" s="28" t="str">
        <f t="shared" si="2"/>
        <v/>
      </c>
      <c r="E28" s="88"/>
      <c r="F28" s="83"/>
    </row>
    <row r="29" spans="1:6">
      <c r="A29" s="10" t="str">
        <f t="shared" si="0"/>
        <v/>
      </c>
      <c r="B29" s="85"/>
      <c r="C29" s="28" t="str">
        <f t="shared" si="1"/>
        <v/>
      </c>
      <c r="D29" s="28" t="str">
        <f t="shared" si="2"/>
        <v/>
      </c>
      <c r="E29" s="88"/>
      <c r="F29" s="83"/>
    </row>
    <row r="30" spans="1:6">
      <c r="A30" s="10" t="str">
        <f t="shared" si="0"/>
        <v/>
      </c>
      <c r="B30" s="85"/>
      <c r="C30" s="28" t="str">
        <f t="shared" si="1"/>
        <v/>
      </c>
      <c r="D30" s="28" t="str">
        <f t="shared" si="2"/>
        <v/>
      </c>
      <c r="E30" s="88"/>
      <c r="F30" s="83"/>
    </row>
    <row r="31" spans="1:6">
      <c r="A31" s="10" t="str">
        <f t="shared" si="0"/>
        <v/>
      </c>
      <c r="B31" s="85"/>
      <c r="C31" s="28" t="str">
        <f t="shared" si="1"/>
        <v/>
      </c>
      <c r="D31" s="28" t="str">
        <f t="shared" si="2"/>
        <v/>
      </c>
      <c r="E31" s="88"/>
      <c r="F31" s="83"/>
    </row>
    <row r="32" spans="1:6">
      <c r="A32" s="10" t="str">
        <f t="shared" si="0"/>
        <v/>
      </c>
      <c r="B32" s="85"/>
      <c r="C32" s="28" t="str">
        <f t="shared" si="1"/>
        <v/>
      </c>
      <c r="D32" s="28" t="str">
        <f t="shared" si="2"/>
        <v/>
      </c>
      <c r="E32" s="88"/>
      <c r="F32" s="83"/>
    </row>
    <row r="33" spans="1:6">
      <c r="A33" s="10" t="str">
        <f t="shared" si="0"/>
        <v/>
      </c>
      <c r="B33" s="85"/>
      <c r="C33" s="28" t="str">
        <f t="shared" si="1"/>
        <v/>
      </c>
      <c r="D33" s="28" t="str">
        <f t="shared" si="2"/>
        <v/>
      </c>
      <c r="E33" s="88"/>
      <c r="F33" s="83"/>
    </row>
    <row r="34" spans="1:6">
      <c r="A34" s="10" t="str">
        <f t="shared" si="0"/>
        <v/>
      </c>
      <c r="B34" s="85"/>
      <c r="C34" s="28" t="str">
        <f t="shared" si="1"/>
        <v/>
      </c>
      <c r="D34" s="28" t="str">
        <f t="shared" si="2"/>
        <v/>
      </c>
      <c r="E34" s="88"/>
      <c r="F34" s="83"/>
    </row>
    <row r="35" spans="1:6">
      <c r="A35" s="10" t="str">
        <f t="shared" si="0"/>
        <v/>
      </c>
      <c r="B35" s="85"/>
      <c r="C35" s="28" t="str">
        <f t="shared" si="1"/>
        <v/>
      </c>
      <c r="D35" s="28" t="str">
        <f t="shared" si="2"/>
        <v/>
      </c>
      <c r="E35" s="88"/>
      <c r="F35" s="83"/>
    </row>
    <row r="36" spans="1:6">
      <c r="A36" s="10" t="str">
        <f t="shared" si="0"/>
        <v/>
      </c>
      <c r="B36" s="85"/>
      <c r="C36" s="28" t="str">
        <f t="shared" si="1"/>
        <v/>
      </c>
      <c r="D36" s="28" t="str">
        <f t="shared" si="2"/>
        <v/>
      </c>
      <c r="E36" s="88"/>
      <c r="F36" s="83"/>
    </row>
    <row r="37" spans="1:6">
      <c r="A37" s="10" t="str">
        <f t="shared" si="0"/>
        <v/>
      </c>
      <c r="B37" s="85"/>
      <c r="C37" s="28" t="str">
        <f t="shared" si="1"/>
        <v/>
      </c>
      <c r="D37" s="28" t="str">
        <f t="shared" si="2"/>
        <v/>
      </c>
      <c r="E37" s="88"/>
      <c r="F37" s="83"/>
    </row>
    <row r="38" spans="1:6">
      <c r="A38" s="10" t="str">
        <f t="shared" si="0"/>
        <v/>
      </c>
      <c r="B38" s="85"/>
      <c r="C38" s="28" t="str">
        <f t="shared" si="1"/>
        <v/>
      </c>
      <c r="D38" s="28" t="str">
        <f t="shared" si="2"/>
        <v/>
      </c>
      <c r="E38" s="88"/>
      <c r="F38" s="83"/>
    </row>
    <row r="39" spans="1:6">
      <c r="A39" s="10" t="str">
        <f t="shared" si="0"/>
        <v/>
      </c>
      <c r="B39" s="85"/>
      <c r="C39" s="28" t="str">
        <f t="shared" si="1"/>
        <v/>
      </c>
      <c r="D39" s="28" t="str">
        <f t="shared" si="2"/>
        <v/>
      </c>
      <c r="E39" s="88"/>
      <c r="F39" s="83"/>
    </row>
    <row r="40" spans="1:6">
      <c r="A40" s="10" t="str">
        <f t="shared" si="0"/>
        <v/>
      </c>
      <c r="B40" s="85"/>
      <c r="C40" s="28" t="str">
        <f t="shared" si="1"/>
        <v/>
      </c>
      <c r="D40" s="28" t="str">
        <f t="shared" si="2"/>
        <v/>
      </c>
      <c r="E40" s="88"/>
      <c r="F40" s="83"/>
    </row>
    <row r="41" spans="1:6">
      <c r="A41" s="10" t="str">
        <f t="shared" si="0"/>
        <v/>
      </c>
      <c r="B41" s="85"/>
      <c r="C41" s="28" t="str">
        <f t="shared" si="1"/>
        <v/>
      </c>
      <c r="D41" s="28" t="str">
        <f t="shared" si="2"/>
        <v/>
      </c>
      <c r="E41" s="88"/>
      <c r="F41" s="83"/>
    </row>
    <row r="42" spans="1:6">
      <c r="A42" s="10" t="str">
        <f t="shared" si="0"/>
        <v/>
      </c>
      <c r="B42" s="85"/>
      <c r="C42" s="28" t="str">
        <f t="shared" si="1"/>
        <v/>
      </c>
      <c r="D42" s="28" t="str">
        <f t="shared" si="2"/>
        <v/>
      </c>
      <c r="E42" s="88"/>
      <c r="F42" s="83"/>
    </row>
    <row r="43" spans="1:6">
      <c r="A43" s="10" t="str">
        <f t="shared" si="0"/>
        <v/>
      </c>
      <c r="B43" s="85"/>
      <c r="C43" s="28" t="str">
        <f t="shared" si="1"/>
        <v/>
      </c>
      <c r="D43" s="28" t="str">
        <f t="shared" si="2"/>
        <v/>
      </c>
      <c r="E43" s="88"/>
      <c r="F43" s="83"/>
    </row>
    <row r="44" spans="1:6">
      <c r="A44" s="10" t="str">
        <f t="shared" si="0"/>
        <v/>
      </c>
      <c r="B44" s="85"/>
      <c r="C44" s="28" t="str">
        <f t="shared" si="1"/>
        <v/>
      </c>
      <c r="D44" s="28" t="str">
        <f t="shared" si="2"/>
        <v/>
      </c>
      <c r="E44" s="88"/>
      <c r="F44" s="83"/>
    </row>
    <row r="45" spans="1:6">
      <c r="A45" s="10" t="str">
        <f t="shared" si="0"/>
        <v/>
      </c>
      <c r="B45" s="85"/>
      <c r="C45" s="28" t="str">
        <f t="shared" si="1"/>
        <v/>
      </c>
      <c r="D45" s="28" t="str">
        <f t="shared" si="2"/>
        <v/>
      </c>
      <c r="E45" s="88"/>
      <c r="F45" s="83"/>
    </row>
    <row r="46" spans="1:6">
      <c r="A46" s="10" t="str">
        <f t="shared" si="0"/>
        <v/>
      </c>
      <c r="B46" s="85"/>
      <c r="C46" s="28" t="str">
        <f t="shared" si="1"/>
        <v/>
      </c>
      <c r="D46" s="28" t="str">
        <f t="shared" si="2"/>
        <v/>
      </c>
      <c r="E46" s="88"/>
      <c r="F46" s="83"/>
    </row>
    <row r="47" spans="1:6">
      <c r="A47" s="10" t="str">
        <f t="shared" si="0"/>
        <v/>
      </c>
      <c r="B47" s="85"/>
      <c r="C47" s="28" t="str">
        <f t="shared" si="1"/>
        <v/>
      </c>
      <c r="D47" s="28" t="str">
        <f t="shared" si="2"/>
        <v/>
      </c>
      <c r="E47" s="88"/>
      <c r="F47" s="83"/>
    </row>
    <row r="48" spans="1:6">
      <c r="A48" s="10" t="str">
        <f t="shared" si="0"/>
        <v/>
      </c>
      <c r="B48" s="85"/>
      <c r="C48" s="28" t="str">
        <f t="shared" si="1"/>
        <v/>
      </c>
      <c r="D48" s="28" t="str">
        <f t="shared" si="2"/>
        <v/>
      </c>
      <c r="E48" s="88"/>
      <c r="F48" s="83"/>
    </row>
    <row r="49" spans="1:6">
      <c r="A49" s="10" t="str">
        <f t="shared" si="0"/>
        <v/>
      </c>
      <c r="B49" s="85"/>
      <c r="C49" s="28" t="str">
        <f t="shared" si="1"/>
        <v/>
      </c>
      <c r="D49" s="28" t="str">
        <f t="shared" si="2"/>
        <v/>
      </c>
      <c r="E49" s="88"/>
      <c r="F49" s="83"/>
    </row>
    <row r="50" spans="1:6">
      <c r="A50" s="10" t="str">
        <f t="shared" si="0"/>
        <v/>
      </c>
      <c r="B50" s="85"/>
      <c r="C50" s="28" t="str">
        <f t="shared" si="1"/>
        <v/>
      </c>
      <c r="D50" s="28" t="str">
        <f t="shared" si="2"/>
        <v/>
      </c>
      <c r="E50" s="88"/>
      <c r="F50" s="83"/>
    </row>
    <row r="51" spans="1:6">
      <c r="A51" s="10" t="str">
        <f t="shared" si="0"/>
        <v/>
      </c>
      <c r="B51" s="85"/>
      <c r="C51" s="28" t="str">
        <f t="shared" si="1"/>
        <v/>
      </c>
      <c r="D51" s="28" t="str">
        <f t="shared" si="2"/>
        <v/>
      </c>
      <c r="E51" s="88"/>
      <c r="F51" s="83"/>
    </row>
    <row r="52" spans="1:6">
      <c r="A52" s="10" t="str">
        <f t="shared" si="0"/>
        <v/>
      </c>
      <c r="B52" s="85"/>
      <c r="C52" s="28" t="str">
        <f t="shared" si="1"/>
        <v/>
      </c>
      <c r="D52" s="28" t="str">
        <f t="shared" si="2"/>
        <v/>
      </c>
      <c r="E52" s="88"/>
      <c r="F52" s="83"/>
    </row>
    <row r="53" spans="1:6">
      <c r="A53" s="10" t="str">
        <f t="shared" si="0"/>
        <v/>
      </c>
      <c r="B53" s="85"/>
      <c r="C53" s="28" t="str">
        <f t="shared" si="1"/>
        <v/>
      </c>
      <c r="D53" s="28" t="str">
        <f t="shared" si="2"/>
        <v/>
      </c>
      <c r="E53" s="88"/>
      <c r="F53" s="83"/>
    </row>
    <row r="54" spans="1:6">
      <c r="A54" s="10" t="str">
        <f t="shared" si="0"/>
        <v/>
      </c>
      <c r="B54" s="85"/>
      <c r="C54" s="28" t="str">
        <f t="shared" si="1"/>
        <v/>
      </c>
      <c r="D54" s="28" t="str">
        <f t="shared" si="2"/>
        <v/>
      </c>
      <c r="E54" s="88"/>
      <c r="F54" s="83"/>
    </row>
    <row r="55" spans="1:6">
      <c r="A55" s="10" t="str">
        <f t="shared" si="0"/>
        <v/>
      </c>
      <c r="B55" s="85"/>
      <c r="C55" s="28" t="str">
        <f t="shared" si="1"/>
        <v/>
      </c>
      <c r="D55" s="28" t="str">
        <f t="shared" si="2"/>
        <v/>
      </c>
      <c r="E55" s="88"/>
      <c r="F55" s="83"/>
    </row>
    <row r="56" spans="1:6">
      <c r="A56" s="10" t="str">
        <f t="shared" si="0"/>
        <v/>
      </c>
      <c r="B56" s="85"/>
      <c r="C56" s="28" t="str">
        <f t="shared" si="1"/>
        <v/>
      </c>
      <c r="D56" s="28" t="str">
        <f t="shared" si="2"/>
        <v/>
      </c>
      <c r="E56" s="88"/>
      <c r="F56" s="83"/>
    </row>
    <row r="57" spans="1:6">
      <c r="A57" s="10" t="str">
        <f t="shared" si="0"/>
        <v/>
      </c>
      <c r="B57" s="85"/>
      <c r="C57" s="28" t="str">
        <f t="shared" si="1"/>
        <v/>
      </c>
      <c r="D57" s="28" t="str">
        <f t="shared" si="2"/>
        <v/>
      </c>
      <c r="E57" s="88"/>
      <c r="F57" s="83"/>
    </row>
    <row r="58" spans="1:6">
      <c r="A58" s="10" t="str">
        <f t="shared" si="0"/>
        <v/>
      </c>
      <c r="B58" s="85"/>
      <c r="C58" s="28" t="str">
        <f t="shared" si="1"/>
        <v/>
      </c>
      <c r="D58" s="28" t="str">
        <f t="shared" si="2"/>
        <v/>
      </c>
      <c r="E58" s="88"/>
      <c r="F58" s="83"/>
    </row>
    <row r="59" spans="1:6">
      <c r="A59" s="10" t="str">
        <f t="shared" si="0"/>
        <v/>
      </c>
      <c r="B59" s="85"/>
      <c r="C59" s="28" t="str">
        <f t="shared" si="1"/>
        <v/>
      </c>
      <c r="D59" s="28" t="str">
        <f t="shared" si="2"/>
        <v/>
      </c>
      <c r="E59" s="88"/>
      <c r="F59" s="83"/>
    </row>
    <row r="60" spans="1:6">
      <c r="A60" s="10" t="str">
        <f t="shared" si="0"/>
        <v/>
      </c>
      <c r="B60" s="85"/>
      <c r="C60" s="28" t="str">
        <f t="shared" si="1"/>
        <v/>
      </c>
      <c r="D60" s="28" t="str">
        <f t="shared" si="2"/>
        <v/>
      </c>
      <c r="E60" s="88"/>
      <c r="F60" s="83"/>
    </row>
    <row r="61" spans="1:6">
      <c r="A61" s="10" t="str">
        <f t="shared" si="0"/>
        <v/>
      </c>
      <c r="B61" s="85"/>
      <c r="C61" s="28" t="str">
        <f t="shared" si="1"/>
        <v/>
      </c>
      <c r="D61" s="28" t="str">
        <f t="shared" si="2"/>
        <v/>
      </c>
      <c r="E61" s="88"/>
      <c r="F61" s="83"/>
    </row>
    <row r="62" spans="1:6">
      <c r="A62" s="10" t="str">
        <f t="shared" si="0"/>
        <v/>
      </c>
      <c r="B62" s="85"/>
      <c r="C62" s="28" t="str">
        <f t="shared" si="1"/>
        <v/>
      </c>
      <c r="D62" s="28" t="str">
        <f t="shared" si="2"/>
        <v/>
      </c>
      <c r="E62" s="88"/>
      <c r="F62" s="83"/>
    </row>
    <row r="63" spans="1:6">
      <c r="A63" s="10" t="str">
        <f t="shared" si="0"/>
        <v/>
      </c>
      <c r="B63" s="85"/>
      <c r="C63" s="28" t="str">
        <f t="shared" si="1"/>
        <v/>
      </c>
      <c r="D63" s="28" t="str">
        <f t="shared" si="2"/>
        <v/>
      </c>
      <c r="E63" s="88"/>
      <c r="F63" s="83"/>
    </row>
    <row r="64" spans="1:6">
      <c r="A64" s="10" t="str">
        <f t="shared" si="0"/>
        <v/>
      </c>
      <c r="B64" s="85"/>
      <c r="C64" s="28" t="str">
        <f t="shared" si="1"/>
        <v/>
      </c>
      <c r="D64" s="28" t="str">
        <f t="shared" si="2"/>
        <v/>
      </c>
      <c r="E64" s="88"/>
      <c r="F64" s="83"/>
    </row>
    <row r="65" spans="1:6">
      <c r="A65" s="10" t="str">
        <f t="shared" si="0"/>
        <v/>
      </c>
      <c r="B65" s="85"/>
      <c r="C65" s="28" t="str">
        <f t="shared" si="1"/>
        <v/>
      </c>
      <c r="D65" s="28" t="str">
        <f t="shared" si="2"/>
        <v/>
      </c>
      <c r="E65" s="88"/>
      <c r="F65" s="83"/>
    </row>
    <row r="66" spans="1:6">
      <c r="A66" s="10" t="str">
        <f t="shared" si="0"/>
        <v/>
      </c>
      <c r="B66" s="85"/>
      <c r="C66" s="28" t="str">
        <f t="shared" si="1"/>
        <v/>
      </c>
      <c r="D66" s="28" t="str">
        <f t="shared" si="2"/>
        <v/>
      </c>
      <c r="E66" s="88"/>
      <c r="F66" s="83"/>
    </row>
    <row r="67" spans="1:6">
      <c r="A67" s="10" t="str">
        <f t="shared" ref="A67:A130" si="3">IF(E67&gt;0,A66+1,"")</f>
        <v/>
      </c>
      <c r="B67" s="85"/>
      <c r="C67" s="28" t="str">
        <f t="shared" ref="C67:C130" si="4">IF(B67=0,"",TEXT(B67,"mmmm"))</f>
        <v/>
      </c>
      <c r="D67" s="28" t="str">
        <f t="shared" ref="D67:D130" si="5">IF(B67=0,"",TEXT(B67,"yyyy"))</f>
        <v/>
      </c>
      <c r="E67" s="88"/>
      <c r="F67" s="83"/>
    </row>
    <row r="68" spans="1:6">
      <c r="A68" s="10" t="str">
        <f t="shared" si="3"/>
        <v/>
      </c>
      <c r="B68" s="85"/>
      <c r="C68" s="28" t="str">
        <f t="shared" si="4"/>
        <v/>
      </c>
      <c r="D68" s="28" t="str">
        <f t="shared" si="5"/>
        <v/>
      </c>
      <c r="E68" s="88"/>
      <c r="F68" s="83"/>
    </row>
    <row r="69" spans="1:6">
      <c r="A69" s="10" t="str">
        <f t="shared" si="3"/>
        <v/>
      </c>
      <c r="B69" s="85"/>
      <c r="C69" s="28" t="str">
        <f t="shared" si="4"/>
        <v/>
      </c>
      <c r="D69" s="28" t="str">
        <f t="shared" si="5"/>
        <v/>
      </c>
      <c r="E69" s="88"/>
      <c r="F69" s="83"/>
    </row>
    <row r="70" spans="1:6">
      <c r="A70" s="10" t="str">
        <f t="shared" si="3"/>
        <v/>
      </c>
      <c r="B70" s="85"/>
      <c r="C70" s="28" t="str">
        <f t="shared" si="4"/>
        <v/>
      </c>
      <c r="D70" s="28" t="str">
        <f t="shared" si="5"/>
        <v/>
      </c>
      <c r="E70" s="88"/>
      <c r="F70" s="83"/>
    </row>
    <row r="71" spans="1:6">
      <c r="A71" s="10" t="str">
        <f t="shared" si="3"/>
        <v/>
      </c>
      <c r="B71" s="85"/>
      <c r="C71" s="28" t="str">
        <f t="shared" si="4"/>
        <v/>
      </c>
      <c r="D71" s="28" t="str">
        <f t="shared" si="5"/>
        <v/>
      </c>
      <c r="E71" s="88"/>
      <c r="F71" s="83"/>
    </row>
    <row r="72" spans="1:6">
      <c r="A72" s="10" t="str">
        <f t="shared" si="3"/>
        <v/>
      </c>
      <c r="B72" s="85"/>
      <c r="C72" s="28" t="str">
        <f t="shared" si="4"/>
        <v/>
      </c>
      <c r="D72" s="28" t="str">
        <f t="shared" si="5"/>
        <v/>
      </c>
      <c r="E72" s="88"/>
      <c r="F72" s="83"/>
    </row>
    <row r="73" spans="1:6">
      <c r="A73" s="10" t="str">
        <f t="shared" si="3"/>
        <v/>
      </c>
      <c r="B73" s="85"/>
      <c r="C73" s="28" t="str">
        <f t="shared" si="4"/>
        <v/>
      </c>
      <c r="D73" s="28" t="str">
        <f t="shared" si="5"/>
        <v/>
      </c>
      <c r="E73" s="88"/>
      <c r="F73" s="83"/>
    </row>
    <row r="74" spans="1:6">
      <c r="A74" s="10" t="str">
        <f t="shared" si="3"/>
        <v/>
      </c>
      <c r="B74" s="85"/>
      <c r="C74" s="28" t="str">
        <f t="shared" si="4"/>
        <v/>
      </c>
      <c r="D74" s="28" t="str">
        <f t="shared" si="5"/>
        <v/>
      </c>
      <c r="E74" s="88"/>
      <c r="F74" s="83"/>
    </row>
    <row r="75" spans="1:6">
      <c r="A75" s="10" t="str">
        <f t="shared" si="3"/>
        <v/>
      </c>
      <c r="B75" s="85"/>
      <c r="C75" s="28" t="str">
        <f t="shared" si="4"/>
        <v/>
      </c>
      <c r="D75" s="28" t="str">
        <f t="shared" si="5"/>
        <v/>
      </c>
      <c r="E75" s="88"/>
      <c r="F75" s="83"/>
    </row>
    <row r="76" spans="1:6">
      <c r="A76" s="10" t="str">
        <f t="shared" si="3"/>
        <v/>
      </c>
      <c r="B76" s="85"/>
      <c r="C76" s="28" t="str">
        <f t="shared" si="4"/>
        <v/>
      </c>
      <c r="D76" s="28" t="str">
        <f t="shared" si="5"/>
        <v/>
      </c>
      <c r="E76" s="88"/>
      <c r="F76" s="83"/>
    </row>
    <row r="77" spans="1:6">
      <c r="A77" s="10" t="str">
        <f t="shared" si="3"/>
        <v/>
      </c>
      <c r="B77" s="85"/>
      <c r="C77" s="28" t="str">
        <f t="shared" si="4"/>
        <v/>
      </c>
      <c r="D77" s="28" t="str">
        <f t="shared" si="5"/>
        <v/>
      </c>
      <c r="E77" s="88"/>
      <c r="F77" s="83"/>
    </row>
    <row r="78" spans="1:6">
      <c r="A78" s="10" t="str">
        <f t="shared" si="3"/>
        <v/>
      </c>
      <c r="B78" s="85"/>
      <c r="C78" s="28" t="str">
        <f t="shared" si="4"/>
        <v/>
      </c>
      <c r="D78" s="28" t="str">
        <f t="shared" si="5"/>
        <v/>
      </c>
      <c r="E78" s="88"/>
      <c r="F78" s="83"/>
    </row>
    <row r="79" spans="1:6">
      <c r="A79" s="10" t="str">
        <f t="shared" si="3"/>
        <v/>
      </c>
      <c r="B79" s="85"/>
      <c r="C79" s="28" t="str">
        <f t="shared" si="4"/>
        <v/>
      </c>
      <c r="D79" s="28" t="str">
        <f t="shared" si="5"/>
        <v/>
      </c>
      <c r="E79" s="88"/>
      <c r="F79" s="83"/>
    </row>
    <row r="80" spans="1:6">
      <c r="A80" s="10" t="str">
        <f t="shared" si="3"/>
        <v/>
      </c>
      <c r="B80" s="85"/>
      <c r="C80" s="28" t="str">
        <f t="shared" si="4"/>
        <v/>
      </c>
      <c r="D80" s="28" t="str">
        <f t="shared" si="5"/>
        <v/>
      </c>
      <c r="E80" s="88"/>
      <c r="F80" s="83"/>
    </row>
    <row r="81" spans="1:6">
      <c r="A81" s="10" t="str">
        <f t="shared" si="3"/>
        <v/>
      </c>
      <c r="B81" s="85"/>
      <c r="C81" s="28" t="str">
        <f t="shared" si="4"/>
        <v/>
      </c>
      <c r="D81" s="28" t="str">
        <f t="shared" si="5"/>
        <v/>
      </c>
      <c r="E81" s="88"/>
      <c r="F81" s="83"/>
    </row>
    <row r="82" spans="1:6">
      <c r="A82" s="10" t="str">
        <f t="shared" si="3"/>
        <v/>
      </c>
      <c r="B82" s="85"/>
      <c r="C82" s="28" t="str">
        <f t="shared" si="4"/>
        <v/>
      </c>
      <c r="D82" s="28" t="str">
        <f t="shared" si="5"/>
        <v/>
      </c>
      <c r="E82" s="88"/>
      <c r="F82" s="83"/>
    </row>
    <row r="83" spans="1:6">
      <c r="A83" s="10" t="str">
        <f t="shared" si="3"/>
        <v/>
      </c>
      <c r="B83" s="85"/>
      <c r="C83" s="28" t="str">
        <f t="shared" si="4"/>
        <v/>
      </c>
      <c r="D83" s="28" t="str">
        <f t="shared" si="5"/>
        <v/>
      </c>
      <c r="E83" s="88"/>
      <c r="F83" s="83"/>
    </row>
    <row r="84" spans="1:6">
      <c r="A84" s="10" t="str">
        <f t="shared" si="3"/>
        <v/>
      </c>
      <c r="B84" s="85"/>
      <c r="C84" s="28" t="str">
        <f t="shared" si="4"/>
        <v/>
      </c>
      <c r="D84" s="28" t="str">
        <f t="shared" si="5"/>
        <v/>
      </c>
      <c r="E84" s="88"/>
      <c r="F84" s="83"/>
    </row>
    <row r="85" spans="1:6">
      <c r="A85" s="10" t="str">
        <f t="shared" si="3"/>
        <v/>
      </c>
      <c r="B85" s="85"/>
      <c r="C85" s="28" t="str">
        <f t="shared" si="4"/>
        <v/>
      </c>
      <c r="D85" s="28" t="str">
        <f t="shared" si="5"/>
        <v/>
      </c>
      <c r="E85" s="88"/>
      <c r="F85" s="83"/>
    </row>
    <row r="86" spans="1:6">
      <c r="A86" s="10" t="str">
        <f t="shared" si="3"/>
        <v/>
      </c>
      <c r="B86" s="85"/>
      <c r="C86" s="28" t="str">
        <f t="shared" si="4"/>
        <v/>
      </c>
      <c r="D86" s="28" t="str">
        <f t="shared" si="5"/>
        <v/>
      </c>
      <c r="E86" s="88"/>
      <c r="F86" s="83"/>
    </row>
    <row r="87" spans="1:6">
      <c r="A87" s="10" t="str">
        <f t="shared" si="3"/>
        <v/>
      </c>
      <c r="B87" s="85"/>
      <c r="C87" s="28" t="str">
        <f t="shared" si="4"/>
        <v/>
      </c>
      <c r="D87" s="28" t="str">
        <f t="shared" si="5"/>
        <v/>
      </c>
      <c r="E87" s="88"/>
      <c r="F87" s="83"/>
    </row>
    <row r="88" spans="1:6">
      <c r="A88" s="10" t="str">
        <f t="shared" si="3"/>
        <v/>
      </c>
      <c r="B88" s="85"/>
      <c r="C88" s="28" t="str">
        <f t="shared" si="4"/>
        <v/>
      </c>
      <c r="D88" s="28" t="str">
        <f t="shared" si="5"/>
        <v/>
      </c>
      <c r="E88" s="88"/>
      <c r="F88" s="83"/>
    </row>
    <row r="89" spans="1:6">
      <c r="A89" s="10" t="str">
        <f t="shared" si="3"/>
        <v/>
      </c>
      <c r="B89" s="85"/>
      <c r="C89" s="28" t="str">
        <f t="shared" si="4"/>
        <v/>
      </c>
      <c r="D89" s="28" t="str">
        <f t="shared" si="5"/>
        <v/>
      </c>
      <c r="E89" s="88"/>
      <c r="F89" s="83"/>
    </row>
    <row r="90" spans="1:6">
      <c r="A90" s="10" t="str">
        <f t="shared" si="3"/>
        <v/>
      </c>
      <c r="B90" s="85"/>
      <c r="C90" s="28" t="str">
        <f t="shared" si="4"/>
        <v/>
      </c>
      <c r="D90" s="28" t="str">
        <f t="shared" si="5"/>
        <v/>
      </c>
      <c r="E90" s="88"/>
      <c r="F90" s="83"/>
    </row>
    <row r="91" spans="1:6">
      <c r="A91" s="10" t="str">
        <f t="shared" si="3"/>
        <v/>
      </c>
      <c r="B91" s="85"/>
      <c r="C91" s="28" t="str">
        <f t="shared" si="4"/>
        <v/>
      </c>
      <c r="D91" s="28" t="str">
        <f t="shared" si="5"/>
        <v/>
      </c>
      <c r="E91" s="88"/>
      <c r="F91" s="83"/>
    </row>
    <row r="92" spans="1:6">
      <c r="A92" s="10" t="str">
        <f t="shared" si="3"/>
        <v/>
      </c>
      <c r="B92" s="85"/>
      <c r="C92" s="28" t="str">
        <f t="shared" si="4"/>
        <v/>
      </c>
      <c r="D92" s="28" t="str">
        <f t="shared" si="5"/>
        <v/>
      </c>
      <c r="E92" s="88"/>
      <c r="F92" s="83"/>
    </row>
    <row r="93" spans="1:6">
      <c r="A93" s="10" t="str">
        <f t="shared" si="3"/>
        <v/>
      </c>
      <c r="B93" s="85"/>
      <c r="C93" s="28" t="str">
        <f t="shared" si="4"/>
        <v/>
      </c>
      <c r="D93" s="28" t="str">
        <f t="shared" si="5"/>
        <v/>
      </c>
      <c r="E93" s="88"/>
      <c r="F93" s="83"/>
    </row>
    <row r="94" spans="1:6">
      <c r="A94" s="10" t="str">
        <f t="shared" si="3"/>
        <v/>
      </c>
      <c r="B94" s="85"/>
      <c r="C94" s="28" t="str">
        <f t="shared" si="4"/>
        <v/>
      </c>
      <c r="D94" s="28" t="str">
        <f t="shared" si="5"/>
        <v/>
      </c>
      <c r="E94" s="88"/>
      <c r="F94" s="83"/>
    </row>
    <row r="95" spans="1:6">
      <c r="A95" s="10" t="str">
        <f t="shared" si="3"/>
        <v/>
      </c>
      <c r="B95" s="85"/>
      <c r="C95" s="28" t="str">
        <f t="shared" si="4"/>
        <v/>
      </c>
      <c r="D95" s="28" t="str">
        <f t="shared" si="5"/>
        <v/>
      </c>
      <c r="E95" s="88"/>
      <c r="F95" s="83"/>
    </row>
    <row r="96" spans="1:6">
      <c r="A96" s="10" t="str">
        <f t="shared" si="3"/>
        <v/>
      </c>
      <c r="B96" s="85"/>
      <c r="C96" s="28" t="str">
        <f t="shared" si="4"/>
        <v/>
      </c>
      <c r="D96" s="28" t="str">
        <f t="shared" si="5"/>
        <v/>
      </c>
      <c r="E96" s="88"/>
      <c r="F96" s="83"/>
    </row>
    <row r="97" spans="1:6">
      <c r="A97" s="10" t="str">
        <f t="shared" si="3"/>
        <v/>
      </c>
      <c r="B97" s="85"/>
      <c r="C97" s="28" t="str">
        <f t="shared" si="4"/>
        <v/>
      </c>
      <c r="D97" s="28" t="str">
        <f t="shared" si="5"/>
        <v/>
      </c>
      <c r="E97" s="88"/>
      <c r="F97" s="83"/>
    </row>
    <row r="98" spans="1:6">
      <c r="A98" s="10" t="str">
        <f t="shared" si="3"/>
        <v/>
      </c>
      <c r="B98" s="85"/>
      <c r="C98" s="28" t="str">
        <f t="shared" si="4"/>
        <v/>
      </c>
      <c r="D98" s="28" t="str">
        <f t="shared" si="5"/>
        <v/>
      </c>
      <c r="E98" s="88"/>
      <c r="F98" s="83"/>
    </row>
    <row r="99" spans="1:6">
      <c r="A99" s="10" t="str">
        <f t="shared" si="3"/>
        <v/>
      </c>
      <c r="B99" s="85"/>
      <c r="C99" s="28" t="str">
        <f t="shared" si="4"/>
        <v/>
      </c>
      <c r="D99" s="28" t="str">
        <f t="shared" si="5"/>
        <v/>
      </c>
      <c r="E99" s="88"/>
      <c r="F99" s="83"/>
    </row>
    <row r="100" spans="1:6">
      <c r="A100" s="10" t="str">
        <f t="shared" si="3"/>
        <v/>
      </c>
      <c r="B100" s="85"/>
      <c r="C100" s="28" t="str">
        <f t="shared" si="4"/>
        <v/>
      </c>
      <c r="D100" s="28" t="str">
        <f t="shared" si="5"/>
        <v/>
      </c>
      <c r="E100" s="88"/>
      <c r="F100" s="83"/>
    </row>
    <row r="101" spans="1:6">
      <c r="A101" s="10" t="str">
        <f t="shared" si="3"/>
        <v/>
      </c>
      <c r="B101" s="85"/>
      <c r="C101" s="28" t="str">
        <f t="shared" si="4"/>
        <v/>
      </c>
      <c r="D101" s="28" t="str">
        <f t="shared" si="5"/>
        <v/>
      </c>
      <c r="E101" s="88"/>
      <c r="F101" s="83"/>
    </row>
    <row r="102" spans="1:6">
      <c r="A102" s="10" t="str">
        <f t="shared" si="3"/>
        <v/>
      </c>
      <c r="B102" s="85"/>
      <c r="C102" s="28" t="str">
        <f t="shared" si="4"/>
        <v/>
      </c>
      <c r="D102" s="28" t="str">
        <f t="shared" si="5"/>
        <v/>
      </c>
      <c r="E102" s="88"/>
      <c r="F102" s="83"/>
    </row>
    <row r="103" spans="1:6">
      <c r="A103" s="10" t="str">
        <f t="shared" si="3"/>
        <v/>
      </c>
      <c r="B103" s="85"/>
      <c r="C103" s="28" t="str">
        <f t="shared" si="4"/>
        <v/>
      </c>
      <c r="D103" s="28" t="str">
        <f t="shared" si="5"/>
        <v/>
      </c>
      <c r="E103" s="88"/>
      <c r="F103" s="83"/>
    </row>
    <row r="104" spans="1:6">
      <c r="A104" s="10" t="str">
        <f t="shared" si="3"/>
        <v/>
      </c>
      <c r="B104" s="85"/>
      <c r="C104" s="28" t="str">
        <f t="shared" si="4"/>
        <v/>
      </c>
      <c r="D104" s="28" t="str">
        <f t="shared" si="5"/>
        <v/>
      </c>
      <c r="E104" s="88"/>
      <c r="F104" s="83"/>
    </row>
    <row r="105" spans="1:6">
      <c r="A105" s="10" t="str">
        <f t="shared" si="3"/>
        <v/>
      </c>
      <c r="B105" s="85"/>
      <c r="C105" s="28" t="str">
        <f t="shared" si="4"/>
        <v/>
      </c>
      <c r="D105" s="28" t="str">
        <f t="shared" si="5"/>
        <v/>
      </c>
      <c r="E105" s="88"/>
      <c r="F105" s="83"/>
    </row>
    <row r="106" spans="1:6">
      <c r="A106" s="10" t="str">
        <f t="shared" si="3"/>
        <v/>
      </c>
      <c r="B106" s="85"/>
      <c r="C106" s="28" t="str">
        <f t="shared" si="4"/>
        <v/>
      </c>
      <c r="D106" s="28" t="str">
        <f t="shared" si="5"/>
        <v/>
      </c>
      <c r="E106" s="88"/>
      <c r="F106" s="83"/>
    </row>
    <row r="107" spans="1:6">
      <c r="A107" s="10" t="str">
        <f t="shared" si="3"/>
        <v/>
      </c>
      <c r="B107" s="85"/>
      <c r="C107" s="28" t="str">
        <f t="shared" si="4"/>
        <v/>
      </c>
      <c r="D107" s="28" t="str">
        <f t="shared" si="5"/>
        <v/>
      </c>
      <c r="E107" s="88"/>
      <c r="F107" s="83"/>
    </row>
    <row r="108" spans="1:6">
      <c r="A108" s="10" t="str">
        <f t="shared" si="3"/>
        <v/>
      </c>
      <c r="B108" s="85"/>
      <c r="C108" s="28" t="str">
        <f t="shared" si="4"/>
        <v/>
      </c>
      <c r="D108" s="28" t="str">
        <f t="shared" si="5"/>
        <v/>
      </c>
      <c r="E108" s="88"/>
      <c r="F108" s="83"/>
    </row>
    <row r="109" spans="1:6">
      <c r="A109" s="10" t="str">
        <f t="shared" si="3"/>
        <v/>
      </c>
      <c r="B109" s="85"/>
      <c r="C109" s="28" t="str">
        <f t="shared" si="4"/>
        <v/>
      </c>
      <c r="D109" s="28" t="str">
        <f t="shared" si="5"/>
        <v/>
      </c>
      <c r="E109" s="88"/>
      <c r="F109" s="83"/>
    </row>
    <row r="110" spans="1:6">
      <c r="A110" s="10" t="str">
        <f t="shared" si="3"/>
        <v/>
      </c>
      <c r="B110" s="85"/>
      <c r="C110" s="28" t="str">
        <f t="shared" si="4"/>
        <v/>
      </c>
      <c r="D110" s="28" t="str">
        <f t="shared" si="5"/>
        <v/>
      </c>
      <c r="E110" s="88"/>
      <c r="F110" s="83"/>
    </row>
    <row r="111" spans="1:6">
      <c r="A111" s="10" t="str">
        <f t="shared" si="3"/>
        <v/>
      </c>
      <c r="B111" s="85"/>
      <c r="C111" s="28" t="str">
        <f t="shared" si="4"/>
        <v/>
      </c>
      <c r="D111" s="28" t="str">
        <f t="shared" si="5"/>
        <v/>
      </c>
      <c r="E111" s="88"/>
      <c r="F111" s="83"/>
    </row>
    <row r="112" spans="1:6">
      <c r="A112" s="10" t="str">
        <f t="shared" si="3"/>
        <v/>
      </c>
      <c r="B112" s="85"/>
      <c r="C112" s="28" t="str">
        <f t="shared" si="4"/>
        <v/>
      </c>
      <c r="D112" s="28" t="str">
        <f t="shared" si="5"/>
        <v/>
      </c>
      <c r="E112" s="88"/>
      <c r="F112" s="83"/>
    </row>
    <row r="113" spans="1:6">
      <c r="A113" s="10" t="str">
        <f t="shared" si="3"/>
        <v/>
      </c>
      <c r="B113" s="85"/>
      <c r="C113" s="28" t="str">
        <f t="shared" si="4"/>
        <v/>
      </c>
      <c r="D113" s="28" t="str">
        <f t="shared" si="5"/>
        <v/>
      </c>
      <c r="E113" s="88"/>
      <c r="F113" s="83"/>
    </row>
    <row r="114" spans="1:6">
      <c r="A114" s="10" t="str">
        <f t="shared" si="3"/>
        <v/>
      </c>
      <c r="B114" s="85"/>
      <c r="C114" s="28" t="str">
        <f t="shared" si="4"/>
        <v/>
      </c>
      <c r="D114" s="28" t="str">
        <f t="shared" si="5"/>
        <v/>
      </c>
      <c r="E114" s="88"/>
      <c r="F114" s="83"/>
    </row>
    <row r="115" spans="1:6">
      <c r="A115" s="10" t="str">
        <f t="shared" si="3"/>
        <v/>
      </c>
      <c r="B115" s="85"/>
      <c r="C115" s="28" t="str">
        <f t="shared" si="4"/>
        <v/>
      </c>
      <c r="D115" s="28" t="str">
        <f t="shared" si="5"/>
        <v/>
      </c>
      <c r="E115" s="88"/>
      <c r="F115" s="83"/>
    </row>
    <row r="116" spans="1:6">
      <c r="A116" s="10" t="str">
        <f t="shared" si="3"/>
        <v/>
      </c>
      <c r="B116" s="85"/>
      <c r="C116" s="28" t="str">
        <f t="shared" si="4"/>
        <v/>
      </c>
      <c r="D116" s="28" t="str">
        <f t="shared" si="5"/>
        <v/>
      </c>
      <c r="E116" s="88"/>
      <c r="F116" s="83"/>
    </row>
    <row r="117" spans="1:6">
      <c r="A117" s="10" t="str">
        <f t="shared" si="3"/>
        <v/>
      </c>
      <c r="B117" s="85"/>
      <c r="C117" s="28" t="str">
        <f t="shared" si="4"/>
        <v/>
      </c>
      <c r="D117" s="28" t="str">
        <f t="shared" si="5"/>
        <v/>
      </c>
      <c r="E117" s="88"/>
      <c r="F117" s="83"/>
    </row>
    <row r="118" spans="1:6">
      <c r="A118" s="10" t="str">
        <f t="shared" si="3"/>
        <v/>
      </c>
      <c r="B118" s="85"/>
      <c r="C118" s="28" t="str">
        <f t="shared" si="4"/>
        <v/>
      </c>
      <c r="D118" s="28" t="str">
        <f t="shared" si="5"/>
        <v/>
      </c>
      <c r="E118" s="88"/>
      <c r="F118" s="83"/>
    </row>
    <row r="119" spans="1:6">
      <c r="A119" s="10" t="str">
        <f t="shared" si="3"/>
        <v/>
      </c>
      <c r="B119" s="85"/>
      <c r="C119" s="28" t="str">
        <f t="shared" si="4"/>
        <v/>
      </c>
      <c r="D119" s="28" t="str">
        <f t="shared" si="5"/>
        <v/>
      </c>
      <c r="E119" s="88"/>
      <c r="F119" s="83"/>
    </row>
    <row r="120" spans="1:6">
      <c r="A120" s="10" t="str">
        <f t="shared" si="3"/>
        <v/>
      </c>
      <c r="B120" s="85"/>
      <c r="C120" s="28" t="str">
        <f t="shared" si="4"/>
        <v/>
      </c>
      <c r="D120" s="28" t="str">
        <f t="shared" si="5"/>
        <v/>
      </c>
      <c r="E120" s="88"/>
      <c r="F120" s="83"/>
    </row>
    <row r="121" spans="1:6">
      <c r="A121" s="10" t="str">
        <f t="shared" si="3"/>
        <v/>
      </c>
      <c r="B121" s="85"/>
      <c r="C121" s="28" t="str">
        <f t="shared" si="4"/>
        <v/>
      </c>
      <c r="D121" s="28" t="str">
        <f t="shared" si="5"/>
        <v/>
      </c>
      <c r="E121" s="88"/>
      <c r="F121" s="83"/>
    </row>
    <row r="122" spans="1:6">
      <c r="A122" s="10" t="str">
        <f t="shared" si="3"/>
        <v/>
      </c>
      <c r="B122" s="85"/>
      <c r="C122" s="28" t="str">
        <f t="shared" si="4"/>
        <v/>
      </c>
      <c r="D122" s="28" t="str">
        <f t="shared" si="5"/>
        <v/>
      </c>
      <c r="E122" s="88"/>
      <c r="F122" s="83"/>
    </row>
    <row r="123" spans="1:6">
      <c r="A123" s="10" t="str">
        <f t="shared" si="3"/>
        <v/>
      </c>
      <c r="B123" s="85"/>
      <c r="C123" s="28" t="str">
        <f t="shared" si="4"/>
        <v/>
      </c>
      <c r="D123" s="28" t="str">
        <f t="shared" si="5"/>
        <v/>
      </c>
      <c r="E123" s="88"/>
      <c r="F123" s="83"/>
    </row>
    <row r="124" spans="1:6">
      <c r="A124" s="10" t="str">
        <f t="shared" si="3"/>
        <v/>
      </c>
      <c r="B124" s="85"/>
      <c r="C124" s="28" t="str">
        <f t="shared" si="4"/>
        <v/>
      </c>
      <c r="D124" s="28" t="str">
        <f t="shared" si="5"/>
        <v/>
      </c>
      <c r="E124" s="88"/>
      <c r="F124" s="83"/>
    </row>
    <row r="125" spans="1:6">
      <c r="A125" s="10" t="str">
        <f t="shared" si="3"/>
        <v/>
      </c>
      <c r="B125" s="85"/>
      <c r="C125" s="28" t="str">
        <f t="shared" si="4"/>
        <v/>
      </c>
      <c r="D125" s="28" t="str">
        <f t="shared" si="5"/>
        <v/>
      </c>
      <c r="E125" s="88"/>
      <c r="F125" s="83"/>
    </row>
    <row r="126" spans="1:6">
      <c r="A126" s="10" t="str">
        <f t="shared" si="3"/>
        <v/>
      </c>
      <c r="B126" s="85"/>
      <c r="C126" s="28" t="str">
        <f t="shared" si="4"/>
        <v/>
      </c>
      <c r="D126" s="28" t="str">
        <f t="shared" si="5"/>
        <v/>
      </c>
      <c r="E126" s="88"/>
      <c r="F126" s="83"/>
    </row>
    <row r="127" spans="1:6">
      <c r="A127" s="10" t="str">
        <f t="shared" si="3"/>
        <v/>
      </c>
      <c r="B127" s="85"/>
      <c r="C127" s="28" t="str">
        <f t="shared" si="4"/>
        <v/>
      </c>
      <c r="D127" s="28" t="str">
        <f t="shared" si="5"/>
        <v/>
      </c>
      <c r="E127" s="88"/>
      <c r="F127" s="83"/>
    </row>
    <row r="128" spans="1:6">
      <c r="A128" s="10" t="str">
        <f t="shared" si="3"/>
        <v/>
      </c>
      <c r="B128" s="85"/>
      <c r="C128" s="28" t="str">
        <f t="shared" si="4"/>
        <v/>
      </c>
      <c r="D128" s="28" t="str">
        <f t="shared" si="5"/>
        <v/>
      </c>
      <c r="E128" s="88"/>
      <c r="F128" s="83"/>
    </row>
    <row r="129" spans="1:6">
      <c r="A129" s="10" t="str">
        <f t="shared" si="3"/>
        <v/>
      </c>
      <c r="B129" s="85"/>
      <c r="C129" s="28" t="str">
        <f t="shared" si="4"/>
        <v/>
      </c>
      <c r="D129" s="28" t="str">
        <f t="shared" si="5"/>
        <v/>
      </c>
      <c r="E129" s="88"/>
      <c r="F129" s="83"/>
    </row>
    <row r="130" spans="1:6">
      <c r="A130" s="10" t="str">
        <f t="shared" si="3"/>
        <v/>
      </c>
      <c r="B130" s="85"/>
      <c r="C130" s="28" t="str">
        <f t="shared" si="4"/>
        <v/>
      </c>
      <c r="D130" s="28" t="str">
        <f t="shared" si="5"/>
        <v/>
      </c>
      <c r="E130" s="88"/>
      <c r="F130" s="83"/>
    </row>
    <row r="131" spans="1:6">
      <c r="A131" s="10" t="str">
        <f t="shared" ref="A131:A194" si="6">IF(E131&gt;0,A130+1,"")</f>
        <v/>
      </c>
      <c r="B131" s="85"/>
      <c r="C131" s="28" t="str">
        <f t="shared" ref="C131:C194" si="7">IF(B131=0,"",TEXT(B131,"mmmm"))</f>
        <v/>
      </c>
      <c r="D131" s="28" t="str">
        <f t="shared" ref="D131:D194" si="8">IF(B131=0,"",TEXT(B131,"yyyy"))</f>
        <v/>
      </c>
      <c r="E131" s="88"/>
      <c r="F131" s="83"/>
    </row>
    <row r="132" spans="1:6">
      <c r="A132" s="10" t="str">
        <f t="shared" si="6"/>
        <v/>
      </c>
      <c r="B132" s="85"/>
      <c r="C132" s="28" t="str">
        <f t="shared" si="7"/>
        <v/>
      </c>
      <c r="D132" s="28" t="str">
        <f t="shared" si="8"/>
        <v/>
      </c>
      <c r="E132" s="88"/>
      <c r="F132" s="83"/>
    </row>
    <row r="133" spans="1:6">
      <c r="A133" s="10" t="str">
        <f t="shared" si="6"/>
        <v/>
      </c>
      <c r="B133" s="85"/>
      <c r="C133" s="28" t="str">
        <f t="shared" si="7"/>
        <v/>
      </c>
      <c r="D133" s="28" t="str">
        <f t="shared" si="8"/>
        <v/>
      </c>
      <c r="E133" s="88"/>
      <c r="F133" s="83"/>
    </row>
    <row r="134" spans="1:6">
      <c r="A134" s="10" t="str">
        <f t="shared" si="6"/>
        <v/>
      </c>
      <c r="B134" s="85"/>
      <c r="C134" s="28" t="str">
        <f t="shared" si="7"/>
        <v/>
      </c>
      <c r="D134" s="28" t="str">
        <f t="shared" si="8"/>
        <v/>
      </c>
      <c r="E134" s="88"/>
      <c r="F134" s="83"/>
    </row>
    <row r="135" spans="1:6">
      <c r="A135" s="10" t="str">
        <f t="shared" si="6"/>
        <v/>
      </c>
      <c r="B135" s="85"/>
      <c r="C135" s="28" t="str">
        <f t="shared" si="7"/>
        <v/>
      </c>
      <c r="D135" s="28" t="str">
        <f t="shared" si="8"/>
        <v/>
      </c>
      <c r="E135" s="88"/>
      <c r="F135" s="83"/>
    </row>
    <row r="136" spans="1:6">
      <c r="A136" s="10" t="str">
        <f t="shared" si="6"/>
        <v/>
      </c>
      <c r="B136" s="85"/>
      <c r="C136" s="28" t="str">
        <f t="shared" si="7"/>
        <v/>
      </c>
      <c r="D136" s="28" t="str">
        <f t="shared" si="8"/>
        <v/>
      </c>
      <c r="E136" s="88"/>
      <c r="F136" s="83"/>
    </row>
    <row r="137" spans="1:6">
      <c r="A137" s="10" t="str">
        <f t="shared" si="6"/>
        <v/>
      </c>
      <c r="B137" s="85"/>
      <c r="C137" s="28" t="str">
        <f t="shared" si="7"/>
        <v/>
      </c>
      <c r="D137" s="28" t="str">
        <f t="shared" si="8"/>
        <v/>
      </c>
      <c r="E137" s="88"/>
      <c r="F137" s="83"/>
    </row>
    <row r="138" spans="1:6">
      <c r="A138" s="10" t="str">
        <f t="shared" si="6"/>
        <v/>
      </c>
      <c r="B138" s="85"/>
      <c r="C138" s="28" t="str">
        <f t="shared" si="7"/>
        <v/>
      </c>
      <c r="D138" s="28" t="str">
        <f t="shared" si="8"/>
        <v/>
      </c>
      <c r="E138" s="88"/>
      <c r="F138" s="83"/>
    </row>
    <row r="139" spans="1:6">
      <c r="A139" s="10" t="str">
        <f t="shared" si="6"/>
        <v/>
      </c>
      <c r="B139" s="85"/>
      <c r="C139" s="28" t="str">
        <f t="shared" si="7"/>
        <v/>
      </c>
      <c r="D139" s="28" t="str">
        <f t="shared" si="8"/>
        <v/>
      </c>
      <c r="E139" s="88"/>
      <c r="F139" s="83"/>
    </row>
    <row r="140" spans="1:6">
      <c r="A140" s="10" t="str">
        <f t="shared" si="6"/>
        <v/>
      </c>
      <c r="B140" s="85"/>
      <c r="C140" s="28" t="str">
        <f t="shared" si="7"/>
        <v/>
      </c>
      <c r="D140" s="28" t="str">
        <f t="shared" si="8"/>
        <v/>
      </c>
      <c r="E140" s="88"/>
      <c r="F140" s="83"/>
    </row>
    <row r="141" spans="1:6">
      <c r="A141" s="10" t="str">
        <f t="shared" si="6"/>
        <v/>
      </c>
      <c r="B141" s="85"/>
      <c r="C141" s="28" t="str">
        <f t="shared" si="7"/>
        <v/>
      </c>
      <c r="D141" s="28" t="str">
        <f t="shared" si="8"/>
        <v/>
      </c>
      <c r="E141" s="88"/>
      <c r="F141" s="83"/>
    </row>
    <row r="142" spans="1:6">
      <c r="A142" s="10" t="str">
        <f t="shared" si="6"/>
        <v/>
      </c>
      <c r="B142" s="85"/>
      <c r="C142" s="28" t="str">
        <f t="shared" si="7"/>
        <v/>
      </c>
      <c r="D142" s="28" t="str">
        <f t="shared" si="8"/>
        <v/>
      </c>
      <c r="E142" s="88"/>
      <c r="F142" s="83"/>
    </row>
    <row r="143" spans="1:6">
      <c r="A143" s="10" t="str">
        <f t="shared" si="6"/>
        <v/>
      </c>
      <c r="B143" s="85"/>
      <c r="C143" s="28" t="str">
        <f t="shared" si="7"/>
        <v/>
      </c>
      <c r="D143" s="28" t="str">
        <f t="shared" si="8"/>
        <v/>
      </c>
      <c r="E143" s="88"/>
      <c r="F143" s="83"/>
    </row>
    <row r="144" spans="1:6">
      <c r="A144" s="10" t="str">
        <f t="shared" si="6"/>
        <v/>
      </c>
      <c r="B144" s="85"/>
      <c r="C144" s="28" t="str">
        <f t="shared" si="7"/>
        <v/>
      </c>
      <c r="D144" s="28" t="str">
        <f t="shared" si="8"/>
        <v/>
      </c>
      <c r="E144" s="88"/>
      <c r="F144" s="83"/>
    </row>
    <row r="145" spans="1:6">
      <c r="A145" s="10" t="str">
        <f t="shared" si="6"/>
        <v/>
      </c>
      <c r="B145" s="85"/>
      <c r="C145" s="28" t="str">
        <f t="shared" si="7"/>
        <v/>
      </c>
      <c r="D145" s="28" t="str">
        <f t="shared" si="8"/>
        <v/>
      </c>
      <c r="E145" s="88"/>
      <c r="F145" s="83"/>
    </row>
    <row r="146" spans="1:6">
      <c r="A146" s="10" t="str">
        <f t="shared" si="6"/>
        <v/>
      </c>
      <c r="B146" s="85"/>
      <c r="C146" s="28" t="str">
        <f t="shared" si="7"/>
        <v/>
      </c>
      <c r="D146" s="28" t="str">
        <f t="shared" si="8"/>
        <v/>
      </c>
      <c r="E146" s="88"/>
      <c r="F146" s="83"/>
    </row>
    <row r="147" spans="1:6">
      <c r="A147" s="10" t="str">
        <f t="shared" si="6"/>
        <v/>
      </c>
      <c r="B147" s="85"/>
      <c r="C147" s="28" t="str">
        <f t="shared" si="7"/>
        <v/>
      </c>
      <c r="D147" s="28" t="str">
        <f t="shared" si="8"/>
        <v/>
      </c>
      <c r="E147" s="88"/>
      <c r="F147" s="83"/>
    </row>
    <row r="148" spans="1:6">
      <c r="A148" s="10" t="str">
        <f t="shared" si="6"/>
        <v/>
      </c>
      <c r="B148" s="85"/>
      <c r="C148" s="28" t="str">
        <f t="shared" si="7"/>
        <v/>
      </c>
      <c r="D148" s="28" t="str">
        <f t="shared" si="8"/>
        <v/>
      </c>
      <c r="E148" s="88"/>
      <c r="F148" s="83"/>
    </row>
    <row r="149" spans="1:6">
      <c r="A149" s="10" t="str">
        <f t="shared" si="6"/>
        <v/>
      </c>
      <c r="B149" s="85"/>
      <c r="C149" s="28" t="str">
        <f t="shared" si="7"/>
        <v/>
      </c>
      <c r="D149" s="28" t="str">
        <f t="shared" si="8"/>
        <v/>
      </c>
      <c r="E149" s="88"/>
      <c r="F149" s="83"/>
    </row>
    <row r="150" spans="1:6">
      <c r="A150" s="10" t="str">
        <f t="shared" si="6"/>
        <v/>
      </c>
      <c r="B150" s="85"/>
      <c r="C150" s="28" t="str">
        <f t="shared" si="7"/>
        <v/>
      </c>
      <c r="D150" s="28" t="str">
        <f t="shared" si="8"/>
        <v/>
      </c>
      <c r="E150" s="88"/>
      <c r="F150" s="83"/>
    </row>
    <row r="151" spans="1:6">
      <c r="A151" s="10" t="str">
        <f t="shared" si="6"/>
        <v/>
      </c>
      <c r="B151" s="85"/>
      <c r="C151" s="28" t="str">
        <f t="shared" si="7"/>
        <v/>
      </c>
      <c r="D151" s="28" t="str">
        <f t="shared" si="8"/>
        <v/>
      </c>
      <c r="E151" s="88"/>
      <c r="F151" s="83"/>
    </row>
    <row r="152" spans="1:6">
      <c r="A152" s="10" t="str">
        <f t="shared" si="6"/>
        <v/>
      </c>
      <c r="B152" s="85"/>
      <c r="C152" s="28" t="str">
        <f t="shared" si="7"/>
        <v/>
      </c>
      <c r="D152" s="28" t="str">
        <f t="shared" si="8"/>
        <v/>
      </c>
      <c r="E152" s="88"/>
      <c r="F152" s="83"/>
    </row>
    <row r="153" spans="1:6">
      <c r="A153" s="10" t="str">
        <f t="shared" si="6"/>
        <v/>
      </c>
      <c r="B153" s="85"/>
      <c r="C153" s="28" t="str">
        <f t="shared" si="7"/>
        <v/>
      </c>
      <c r="D153" s="28" t="str">
        <f t="shared" si="8"/>
        <v/>
      </c>
      <c r="E153" s="88"/>
      <c r="F153" s="83"/>
    </row>
    <row r="154" spans="1:6">
      <c r="A154" s="10" t="str">
        <f t="shared" si="6"/>
        <v/>
      </c>
      <c r="B154" s="85"/>
      <c r="C154" s="28" t="str">
        <f t="shared" si="7"/>
        <v/>
      </c>
      <c r="D154" s="28" t="str">
        <f t="shared" si="8"/>
        <v/>
      </c>
      <c r="E154" s="88"/>
      <c r="F154" s="83"/>
    </row>
    <row r="155" spans="1:6">
      <c r="A155" s="10" t="str">
        <f t="shared" si="6"/>
        <v/>
      </c>
      <c r="B155" s="85"/>
      <c r="C155" s="28" t="str">
        <f t="shared" si="7"/>
        <v/>
      </c>
      <c r="D155" s="28" t="str">
        <f t="shared" si="8"/>
        <v/>
      </c>
      <c r="E155" s="88"/>
      <c r="F155" s="83"/>
    </row>
    <row r="156" spans="1:6">
      <c r="A156" s="10" t="str">
        <f t="shared" si="6"/>
        <v/>
      </c>
      <c r="B156" s="85"/>
      <c r="C156" s="28" t="str">
        <f t="shared" si="7"/>
        <v/>
      </c>
      <c r="D156" s="28" t="str">
        <f t="shared" si="8"/>
        <v/>
      </c>
      <c r="E156" s="88"/>
      <c r="F156" s="83"/>
    </row>
    <row r="157" spans="1:6">
      <c r="A157" s="10" t="str">
        <f t="shared" si="6"/>
        <v/>
      </c>
      <c r="B157" s="85"/>
      <c r="C157" s="28" t="str">
        <f t="shared" si="7"/>
        <v/>
      </c>
      <c r="D157" s="28" t="str">
        <f t="shared" si="8"/>
        <v/>
      </c>
      <c r="E157" s="88"/>
      <c r="F157" s="83"/>
    </row>
    <row r="158" spans="1:6">
      <c r="A158" s="10" t="str">
        <f t="shared" si="6"/>
        <v/>
      </c>
      <c r="B158" s="85"/>
      <c r="C158" s="28" t="str">
        <f t="shared" si="7"/>
        <v/>
      </c>
      <c r="D158" s="28" t="str">
        <f t="shared" si="8"/>
        <v/>
      </c>
      <c r="E158" s="88"/>
      <c r="F158" s="83"/>
    </row>
    <row r="159" spans="1:6">
      <c r="A159" s="10" t="str">
        <f t="shared" si="6"/>
        <v/>
      </c>
      <c r="B159" s="85"/>
      <c r="C159" s="28" t="str">
        <f t="shared" si="7"/>
        <v/>
      </c>
      <c r="D159" s="28" t="str">
        <f t="shared" si="8"/>
        <v/>
      </c>
      <c r="E159" s="88"/>
      <c r="F159" s="83"/>
    </row>
    <row r="160" spans="1:6">
      <c r="A160" s="10" t="str">
        <f t="shared" si="6"/>
        <v/>
      </c>
      <c r="B160" s="85"/>
      <c r="C160" s="28" t="str">
        <f t="shared" si="7"/>
        <v/>
      </c>
      <c r="D160" s="28" t="str">
        <f t="shared" si="8"/>
        <v/>
      </c>
      <c r="E160" s="88"/>
      <c r="F160" s="83"/>
    </row>
    <row r="161" spans="1:6">
      <c r="A161" s="10" t="str">
        <f t="shared" si="6"/>
        <v/>
      </c>
      <c r="B161" s="85"/>
      <c r="C161" s="28" t="str">
        <f t="shared" si="7"/>
        <v/>
      </c>
      <c r="D161" s="28" t="str">
        <f t="shared" si="8"/>
        <v/>
      </c>
      <c r="E161" s="88"/>
      <c r="F161" s="83"/>
    </row>
    <row r="162" spans="1:6">
      <c r="A162" s="10" t="str">
        <f t="shared" si="6"/>
        <v/>
      </c>
      <c r="B162" s="85"/>
      <c r="C162" s="28" t="str">
        <f t="shared" si="7"/>
        <v/>
      </c>
      <c r="D162" s="28" t="str">
        <f t="shared" si="8"/>
        <v/>
      </c>
      <c r="E162" s="88"/>
      <c r="F162" s="83"/>
    </row>
    <row r="163" spans="1:6">
      <c r="A163" s="10" t="str">
        <f t="shared" si="6"/>
        <v/>
      </c>
      <c r="B163" s="85"/>
      <c r="C163" s="28" t="str">
        <f t="shared" si="7"/>
        <v/>
      </c>
      <c r="D163" s="28" t="str">
        <f t="shared" si="8"/>
        <v/>
      </c>
      <c r="E163" s="88"/>
      <c r="F163" s="83"/>
    </row>
    <row r="164" spans="1:6">
      <c r="A164" s="10" t="str">
        <f t="shared" si="6"/>
        <v/>
      </c>
      <c r="B164" s="85"/>
      <c r="C164" s="28" t="str">
        <f t="shared" si="7"/>
        <v/>
      </c>
      <c r="D164" s="28" t="str">
        <f t="shared" si="8"/>
        <v/>
      </c>
      <c r="E164" s="88"/>
      <c r="F164" s="83"/>
    </row>
    <row r="165" spans="1:6">
      <c r="A165" s="10" t="str">
        <f t="shared" si="6"/>
        <v/>
      </c>
      <c r="B165" s="85"/>
      <c r="C165" s="28" t="str">
        <f t="shared" si="7"/>
        <v/>
      </c>
      <c r="D165" s="28" t="str">
        <f t="shared" si="8"/>
        <v/>
      </c>
      <c r="E165" s="88"/>
      <c r="F165" s="83"/>
    </row>
    <row r="166" spans="1:6">
      <c r="A166" s="10" t="str">
        <f t="shared" si="6"/>
        <v/>
      </c>
      <c r="B166" s="85"/>
      <c r="C166" s="28" t="str">
        <f t="shared" si="7"/>
        <v/>
      </c>
      <c r="D166" s="28" t="str">
        <f t="shared" si="8"/>
        <v/>
      </c>
      <c r="E166" s="88"/>
      <c r="F166" s="83"/>
    </row>
    <row r="167" spans="1:6">
      <c r="A167" s="10" t="str">
        <f t="shared" si="6"/>
        <v/>
      </c>
      <c r="B167" s="85"/>
      <c r="C167" s="28" t="str">
        <f t="shared" si="7"/>
        <v/>
      </c>
      <c r="D167" s="28" t="str">
        <f t="shared" si="8"/>
        <v/>
      </c>
      <c r="E167" s="88"/>
      <c r="F167" s="83"/>
    </row>
    <row r="168" spans="1:6">
      <c r="A168" s="10" t="str">
        <f t="shared" si="6"/>
        <v/>
      </c>
      <c r="B168" s="85"/>
      <c r="C168" s="28" t="str">
        <f t="shared" si="7"/>
        <v/>
      </c>
      <c r="D168" s="28" t="str">
        <f t="shared" si="8"/>
        <v/>
      </c>
      <c r="E168" s="88"/>
      <c r="F168" s="83"/>
    </row>
    <row r="169" spans="1:6">
      <c r="A169" s="10" t="str">
        <f t="shared" si="6"/>
        <v/>
      </c>
      <c r="B169" s="85"/>
      <c r="C169" s="28" t="str">
        <f t="shared" si="7"/>
        <v/>
      </c>
      <c r="D169" s="28" t="str">
        <f t="shared" si="8"/>
        <v/>
      </c>
      <c r="E169" s="88"/>
      <c r="F169" s="83"/>
    </row>
    <row r="170" spans="1:6">
      <c r="A170" s="10" t="str">
        <f t="shared" si="6"/>
        <v/>
      </c>
      <c r="B170" s="85"/>
      <c r="C170" s="28" t="str">
        <f t="shared" si="7"/>
        <v/>
      </c>
      <c r="D170" s="28" t="str">
        <f t="shared" si="8"/>
        <v/>
      </c>
      <c r="E170" s="88"/>
      <c r="F170" s="83"/>
    </row>
    <row r="171" spans="1:6">
      <c r="A171" s="10" t="str">
        <f t="shared" si="6"/>
        <v/>
      </c>
      <c r="B171" s="85"/>
      <c r="C171" s="28" t="str">
        <f t="shared" si="7"/>
        <v/>
      </c>
      <c r="D171" s="28" t="str">
        <f t="shared" si="8"/>
        <v/>
      </c>
      <c r="E171" s="88"/>
      <c r="F171" s="83"/>
    </row>
    <row r="172" spans="1:6">
      <c r="A172" s="10" t="str">
        <f t="shared" si="6"/>
        <v/>
      </c>
      <c r="B172" s="85"/>
      <c r="C172" s="28" t="str">
        <f t="shared" si="7"/>
        <v/>
      </c>
      <c r="D172" s="28" t="str">
        <f t="shared" si="8"/>
        <v/>
      </c>
      <c r="E172" s="88"/>
      <c r="F172" s="83"/>
    </row>
    <row r="173" spans="1:6">
      <c r="A173" s="10" t="str">
        <f t="shared" si="6"/>
        <v/>
      </c>
      <c r="B173" s="85"/>
      <c r="C173" s="28" t="str">
        <f t="shared" si="7"/>
        <v/>
      </c>
      <c r="D173" s="28" t="str">
        <f t="shared" si="8"/>
        <v/>
      </c>
      <c r="E173" s="88"/>
      <c r="F173" s="83"/>
    </row>
    <row r="174" spans="1:6">
      <c r="A174" s="10" t="str">
        <f t="shared" si="6"/>
        <v/>
      </c>
      <c r="B174" s="85"/>
      <c r="C174" s="28" t="str">
        <f t="shared" si="7"/>
        <v/>
      </c>
      <c r="D174" s="28" t="str">
        <f t="shared" si="8"/>
        <v/>
      </c>
      <c r="E174" s="88"/>
      <c r="F174" s="83"/>
    </row>
    <row r="175" spans="1:6">
      <c r="A175" s="10" t="str">
        <f t="shared" si="6"/>
        <v/>
      </c>
      <c r="B175" s="85"/>
      <c r="C175" s="28" t="str">
        <f t="shared" si="7"/>
        <v/>
      </c>
      <c r="D175" s="28" t="str">
        <f t="shared" si="8"/>
        <v/>
      </c>
      <c r="E175" s="88"/>
      <c r="F175" s="83"/>
    </row>
    <row r="176" spans="1:6">
      <c r="A176" s="10" t="str">
        <f t="shared" si="6"/>
        <v/>
      </c>
      <c r="B176" s="85"/>
      <c r="C176" s="28" t="str">
        <f t="shared" si="7"/>
        <v/>
      </c>
      <c r="D176" s="28" t="str">
        <f t="shared" si="8"/>
        <v/>
      </c>
      <c r="E176" s="88"/>
      <c r="F176" s="83"/>
    </row>
    <row r="177" spans="1:6">
      <c r="A177" s="10" t="str">
        <f t="shared" si="6"/>
        <v/>
      </c>
      <c r="B177" s="85"/>
      <c r="C177" s="28" t="str">
        <f t="shared" si="7"/>
        <v/>
      </c>
      <c r="D177" s="28" t="str">
        <f t="shared" si="8"/>
        <v/>
      </c>
      <c r="E177" s="88"/>
      <c r="F177" s="83"/>
    </row>
    <row r="178" spans="1:6">
      <c r="A178" s="10" t="str">
        <f t="shared" si="6"/>
        <v/>
      </c>
      <c r="B178" s="85"/>
      <c r="C178" s="28" t="str">
        <f t="shared" si="7"/>
        <v/>
      </c>
      <c r="D178" s="28" t="str">
        <f t="shared" si="8"/>
        <v/>
      </c>
      <c r="E178" s="88"/>
      <c r="F178" s="83"/>
    </row>
    <row r="179" spans="1:6">
      <c r="A179" s="10" t="str">
        <f t="shared" si="6"/>
        <v/>
      </c>
      <c r="B179" s="85"/>
      <c r="C179" s="28" t="str">
        <f t="shared" si="7"/>
        <v/>
      </c>
      <c r="D179" s="28" t="str">
        <f t="shared" si="8"/>
        <v/>
      </c>
      <c r="E179" s="88"/>
      <c r="F179" s="83"/>
    </row>
    <row r="180" spans="1:6">
      <c r="A180" s="10" t="str">
        <f t="shared" si="6"/>
        <v/>
      </c>
      <c r="B180" s="85"/>
      <c r="C180" s="28" t="str">
        <f t="shared" si="7"/>
        <v/>
      </c>
      <c r="D180" s="28" t="str">
        <f t="shared" si="8"/>
        <v/>
      </c>
      <c r="E180" s="88"/>
      <c r="F180" s="83"/>
    </row>
    <row r="181" spans="1:6">
      <c r="A181" s="10" t="str">
        <f t="shared" si="6"/>
        <v/>
      </c>
      <c r="B181" s="85"/>
      <c r="C181" s="28" t="str">
        <f t="shared" si="7"/>
        <v/>
      </c>
      <c r="D181" s="28" t="str">
        <f t="shared" si="8"/>
        <v/>
      </c>
      <c r="E181" s="88"/>
      <c r="F181" s="83"/>
    </row>
    <row r="182" spans="1:6">
      <c r="A182" s="10" t="str">
        <f t="shared" si="6"/>
        <v/>
      </c>
      <c r="B182" s="85"/>
      <c r="C182" s="28" t="str">
        <f t="shared" si="7"/>
        <v/>
      </c>
      <c r="D182" s="28" t="str">
        <f t="shared" si="8"/>
        <v/>
      </c>
      <c r="E182" s="88"/>
      <c r="F182" s="83"/>
    </row>
    <row r="183" spans="1:6">
      <c r="A183" s="10" t="str">
        <f t="shared" si="6"/>
        <v/>
      </c>
      <c r="B183" s="85"/>
      <c r="C183" s="28" t="str">
        <f t="shared" si="7"/>
        <v/>
      </c>
      <c r="D183" s="28" t="str">
        <f t="shared" si="8"/>
        <v/>
      </c>
      <c r="E183" s="88"/>
      <c r="F183" s="83"/>
    </row>
    <row r="184" spans="1:6">
      <c r="A184" s="10" t="str">
        <f t="shared" si="6"/>
        <v/>
      </c>
      <c r="B184" s="85"/>
      <c r="C184" s="28" t="str">
        <f t="shared" si="7"/>
        <v/>
      </c>
      <c r="D184" s="28" t="str">
        <f t="shared" si="8"/>
        <v/>
      </c>
      <c r="E184" s="88"/>
      <c r="F184" s="83"/>
    </row>
    <row r="185" spans="1:6">
      <c r="A185" s="10" t="str">
        <f t="shared" si="6"/>
        <v/>
      </c>
      <c r="B185" s="85"/>
      <c r="C185" s="28" t="str">
        <f t="shared" si="7"/>
        <v/>
      </c>
      <c r="D185" s="28" t="str">
        <f t="shared" si="8"/>
        <v/>
      </c>
      <c r="E185" s="88"/>
      <c r="F185" s="83"/>
    </row>
    <row r="186" spans="1:6">
      <c r="A186" s="10" t="str">
        <f t="shared" si="6"/>
        <v/>
      </c>
      <c r="B186" s="85"/>
      <c r="C186" s="28" t="str">
        <f t="shared" si="7"/>
        <v/>
      </c>
      <c r="D186" s="28" t="str">
        <f t="shared" si="8"/>
        <v/>
      </c>
      <c r="E186" s="88"/>
      <c r="F186" s="83"/>
    </row>
    <row r="187" spans="1:6">
      <c r="A187" s="10" t="str">
        <f t="shared" si="6"/>
        <v/>
      </c>
      <c r="B187" s="85"/>
      <c r="C187" s="28" t="str">
        <f t="shared" si="7"/>
        <v/>
      </c>
      <c r="D187" s="28" t="str">
        <f t="shared" si="8"/>
        <v/>
      </c>
      <c r="E187" s="88"/>
      <c r="F187" s="83"/>
    </row>
    <row r="188" spans="1:6">
      <c r="A188" s="10" t="str">
        <f t="shared" si="6"/>
        <v/>
      </c>
      <c r="B188" s="85"/>
      <c r="C188" s="28" t="str">
        <f t="shared" si="7"/>
        <v/>
      </c>
      <c r="D188" s="28" t="str">
        <f t="shared" si="8"/>
        <v/>
      </c>
      <c r="E188" s="88"/>
      <c r="F188" s="83"/>
    </row>
    <row r="189" spans="1:6">
      <c r="A189" s="10" t="str">
        <f t="shared" si="6"/>
        <v/>
      </c>
      <c r="B189" s="85"/>
      <c r="C189" s="28" t="str">
        <f t="shared" si="7"/>
        <v/>
      </c>
      <c r="D189" s="28" t="str">
        <f t="shared" si="8"/>
        <v/>
      </c>
      <c r="E189" s="88"/>
      <c r="F189" s="83"/>
    </row>
    <row r="190" spans="1:6">
      <c r="A190" s="10" t="str">
        <f t="shared" si="6"/>
        <v/>
      </c>
      <c r="B190" s="85"/>
      <c r="C190" s="28" t="str">
        <f t="shared" si="7"/>
        <v/>
      </c>
      <c r="D190" s="28" t="str">
        <f t="shared" si="8"/>
        <v/>
      </c>
      <c r="E190" s="88"/>
      <c r="F190" s="83"/>
    </row>
    <row r="191" spans="1:6">
      <c r="A191" s="10" t="str">
        <f t="shared" si="6"/>
        <v/>
      </c>
      <c r="B191" s="85"/>
      <c r="C191" s="28" t="str">
        <f t="shared" si="7"/>
        <v/>
      </c>
      <c r="D191" s="28" t="str">
        <f t="shared" si="8"/>
        <v/>
      </c>
      <c r="E191" s="88"/>
      <c r="F191" s="83"/>
    </row>
    <row r="192" spans="1:6">
      <c r="A192" s="10" t="str">
        <f t="shared" si="6"/>
        <v/>
      </c>
      <c r="B192" s="85"/>
      <c r="C192" s="28" t="str">
        <f t="shared" si="7"/>
        <v/>
      </c>
      <c r="D192" s="28" t="str">
        <f t="shared" si="8"/>
        <v/>
      </c>
      <c r="E192" s="88"/>
      <c r="F192" s="83"/>
    </row>
    <row r="193" spans="1:6">
      <c r="A193" s="10" t="str">
        <f t="shared" si="6"/>
        <v/>
      </c>
      <c r="B193" s="85"/>
      <c r="C193" s="28" t="str">
        <f t="shared" si="7"/>
        <v/>
      </c>
      <c r="D193" s="28" t="str">
        <f t="shared" si="8"/>
        <v/>
      </c>
      <c r="E193" s="88"/>
      <c r="F193" s="83"/>
    </row>
    <row r="194" spans="1:6">
      <c r="A194" s="10" t="str">
        <f t="shared" si="6"/>
        <v/>
      </c>
      <c r="B194" s="85"/>
      <c r="C194" s="28" t="str">
        <f t="shared" si="7"/>
        <v/>
      </c>
      <c r="D194" s="28" t="str">
        <f t="shared" si="8"/>
        <v/>
      </c>
      <c r="E194" s="88"/>
      <c r="F194" s="83"/>
    </row>
    <row r="195" spans="1:6">
      <c r="A195" s="10" t="str">
        <f t="shared" ref="A195:A258" si="9">IF(E195&gt;0,A194+1,"")</f>
        <v/>
      </c>
      <c r="B195" s="85"/>
      <c r="C195" s="28" t="str">
        <f t="shared" ref="C195:C258" si="10">IF(B195=0,"",TEXT(B195,"mmmm"))</f>
        <v/>
      </c>
      <c r="D195" s="28" t="str">
        <f t="shared" ref="D195:D258" si="11">IF(B195=0,"",TEXT(B195,"yyyy"))</f>
        <v/>
      </c>
      <c r="E195" s="88"/>
      <c r="F195" s="83"/>
    </row>
    <row r="196" spans="1:6">
      <c r="A196" s="10" t="str">
        <f t="shared" si="9"/>
        <v/>
      </c>
      <c r="B196" s="85"/>
      <c r="C196" s="28" t="str">
        <f t="shared" si="10"/>
        <v/>
      </c>
      <c r="D196" s="28" t="str">
        <f t="shared" si="11"/>
        <v/>
      </c>
      <c r="E196" s="88"/>
      <c r="F196" s="83"/>
    </row>
    <row r="197" spans="1:6">
      <c r="A197" s="10" t="str">
        <f t="shared" si="9"/>
        <v/>
      </c>
      <c r="B197" s="85"/>
      <c r="C197" s="28" t="str">
        <f t="shared" si="10"/>
        <v/>
      </c>
      <c r="D197" s="28" t="str">
        <f t="shared" si="11"/>
        <v/>
      </c>
      <c r="E197" s="88"/>
      <c r="F197" s="83"/>
    </row>
    <row r="198" spans="1:6">
      <c r="A198" s="10" t="str">
        <f t="shared" si="9"/>
        <v/>
      </c>
      <c r="B198" s="85"/>
      <c r="C198" s="28" t="str">
        <f t="shared" si="10"/>
        <v/>
      </c>
      <c r="D198" s="28" t="str">
        <f t="shared" si="11"/>
        <v/>
      </c>
      <c r="E198" s="88"/>
      <c r="F198" s="83"/>
    </row>
    <row r="199" spans="1:6">
      <c r="A199" s="10" t="str">
        <f t="shared" si="9"/>
        <v/>
      </c>
      <c r="B199" s="85"/>
      <c r="C199" s="28" t="str">
        <f t="shared" si="10"/>
        <v/>
      </c>
      <c r="D199" s="28" t="str">
        <f t="shared" si="11"/>
        <v/>
      </c>
      <c r="E199" s="88"/>
      <c r="F199" s="83"/>
    </row>
    <row r="200" spans="1:6">
      <c r="A200" s="10" t="str">
        <f t="shared" si="9"/>
        <v/>
      </c>
      <c r="B200" s="85"/>
      <c r="C200" s="28" t="str">
        <f t="shared" si="10"/>
        <v/>
      </c>
      <c r="D200" s="28" t="str">
        <f t="shared" si="11"/>
        <v/>
      </c>
      <c r="E200" s="88"/>
      <c r="F200" s="83"/>
    </row>
    <row r="201" spans="1:6">
      <c r="A201" s="10" t="str">
        <f t="shared" si="9"/>
        <v/>
      </c>
      <c r="B201" s="85"/>
      <c r="C201" s="28" t="str">
        <f t="shared" si="10"/>
        <v/>
      </c>
      <c r="D201" s="28" t="str">
        <f t="shared" si="11"/>
        <v/>
      </c>
      <c r="E201" s="88"/>
      <c r="F201" s="83"/>
    </row>
    <row r="202" spans="1:6">
      <c r="A202" s="10" t="str">
        <f t="shared" si="9"/>
        <v/>
      </c>
      <c r="B202" s="85"/>
      <c r="C202" s="28" t="str">
        <f t="shared" si="10"/>
        <v/>
      </c>
      <c r="D202" s="28" t="str">
        <f t="shared" si="11"/>
        <v/>
      </c>
      <c r="E202" s="88"/>
      <c r="F202" s="83"/>
    </row>
    <row r="203" spans="1:6">
      <c r="A203" s="10" t="str">
        <f t="shared" si="9"/>
        <v/>
      </c>
      <c r="B203" s="85"/>
      <c r="C203" s="28" t="str">
        <f t="shared" si="10"/>
        <v/>
      </c>
      <c r="D203" s="28" t="str">
        <f t="shared" si="11"/>
        <v/>
      </c>
      <c r="E203" s="88"/>
      <c r="F203" s="83"/>
    </row>
    <row r="204" spans="1:6">
      <c r="A204" s="10" t="str">
        <f t="shared" si="9"/>
        <v/>
      </c>
      <c r="B204" s="85"/>
      <c r="C204" s="28" t="str">
        <f t="shared" si="10"/>
        <v/>
      </c>
      <c r="D204" s="28" t="str">
        <f t="shared" si="11"/>
        <v/>
      </c>
      <c r="E204" s="88"/>
      <c r="F204" s="83"/>
    </row>
    <row r="205" spans="1:6">
      <c r="A205" s="10" t="str">
        <f t="shared" si="9"/>
        <v/>
      </c>
      <c r="B205" s="85"/>
      <c r="C205" s="28" t="str">
        <f t="shared" si="10"/>
        <v/>
      </c>
      <c r="D205" s="28" t="str">
        <f t="shared" si="11"/>
        <v/>
      </c>
      <c r="E205" s="88"/>
      <c r="F205" s="83"/>
    </row>
    <row r="206" spans="1:6">
      <c r="A206" s="10" t="str">
        <f t="shared" si="9"/>
        <v/>
      </c>
      <c r="B206" s="85"/>
      <c r="C206" s="28" t="str">
        <f t="shared" si="10"/>
        <v/>
      </c>
      <c r="D206" s="28" t="str">
        <f t="shared" si="11"/>
        <v/>
      </c>
      <c r="E206" s="88"/>
      <c r="F206" s="83"/>
    </row>
    <row r="207" spans="1:6">
      <c r="A207" s="10" t="str">
        <f t="shared" si="9"/>
        <v/>
      </c>
      <c r="B207" s="85"/>
      <c r="C207" s="28" t="str">
        <f t="shared" si="10"/>
        <v/>
      </c>
      <c r="D207" s="28" t="str">
        <f t="shared" si="11"/>
        <v/>
      </c>
      <c r="E207" s="88"/>
      <c r="F207" s="83"/>
    </row>
    <row r="208" spans="1:6">
      <c r="A208" s="10" t="str">
        <f t="shared" si="9"/>
        <v/>
      </c>
      <c r="B208" s="85"/>
      <c r="C208" s="28" t="str">
        <f t="shared" si="10"/>
        <v/>
      </c>
      <c r="D208" s="28" t="str">
        <f t="shared" si="11"/>
        <v/>
      </c>
      <c r="E208" s="88"/>
      <c r="F208" s="83"/>
    </row>
    <row r="209" spans="1:6">
      <c r="A209" s="10" t="str">
        <f t="shared" si="9"/>
        <v/>
      </c>
      <c r="B209" s="85"/>
      <c r="C209" s="28" t="str">
        <f t="shared" si="10"/>
        <v/>
      </c>
      <c r="D209" s="28" t="str">
        <f t="shared" si="11"/>
        <v/>
      </c>
      <c r="E209" s="88"/>
      <c r="F209" s="83"/>
    </row>
    <row r="210" spans="1:6">
      <c r="A210" s="10" t="str">
        <f t="shared" si="9"/>
        <v/>
      </c>
      <c r="B210" s="85"/>
      <c r="C210" s="28" t="str">
        <f t="shared" si="10"/>
        <v/>
      </c>
      <c r="D210" s="28" t="str">
        <f t="shared" si="11"/>
        <v/>
      </c>
      <c r="E210" s="88"/>
      <c r="F210" s="83"/>
    </row>
    <row r="211" spans="1:6">
      <c r="A211" s="10" t="str">
        <f t="shared" si="9"/>
        <v/>
      </c>
      <c r="B211" s="85"/>
      <c r="C211" s="28" t="str">
        <f t="shared" si="10"/>
        <v/>
      </c>
      <c r="D211" s="28" t="str">
        <f t="shared" si="11"/>
        <v/>
      </c>
      <c r="E211" s="88"/>
      <c r="F211" s="83"/>
    </row>
    <row r="212" spans="1:6">
      <c r="A212" s="10" t="str">
        <f t="shared" si="9"/>
        <v/>
      </c>
      <c r="B212" s="85"/>
      <c r="C212" s="28" t="str">
        <f t="shared" si="10"/>
        <v/>
      </c>
      <c r="D212" s="28" t="str">
        <f t="shared" si="11"/>
        <v/>
      </c>
      <c r="E212" s="88"/>
      <c r="F212" s="83"/>
    </row>
    <row r="213" spans="1:6">
      <c r="A213" s="10" t="str">
        <f t="shared" si="9"/>
        <v/>
      </c>
      <c r="B213" s="85"/>
      <c r="C213" s="28" t="str">
        <f t="shared" si="10"/>
        <v/>
      </c>
      <c r="D213" s="28" t="str">
        <f t="shared" si="11"/>
        <v/>
      </c>
      <c r="E213" s="88"/>
      <c r="F213" s="83"/>
    </row>
    <row r="214" spans="1:6">
      <c r="A214" s="10" t="str">
        <f t="shared" si="9"/>
        <v/>
      </c>
      <c r="B214" s="85"/>
      <c r="C214" s="28" t="str">
        <f t="shared" si="10"/>
        <v/>
      </c>
      <c r="D214" s="28" t="str">
        <f t="shared" si="11"/>
        <v/>
      </c>
      <c r="E214" s="88"/>
      <c r="F214" s="83"/>
    </row>
    <row r="215" spans="1:6">
      <c r="A215" s="10" t="str">
        <f t="shared" si="9"/>
        <v/>
      </c>
      <c r="B215" s="85"/>
      <c r="C215" s="28" t="str">
        <f t="shared" si="10"/>
        <v/>
      </c>
      <c r="D215" s="28" t="str">
        <f t="shared" si="11"/>
        <v/>
      </c>
      <c r="E215" s="88"/>
      <c r="F215" s="83"/>
    </row>
    <row r="216" spans="1:6">
      <c r="A216" s="10" t="str">
        <f t="shared" si="9"/>
        <v/>
      </c>
      <c r="B216" s="85"/>
      <c r="C216" s="28" t="str">
        <f t="shared" si="10"/>
        <v/>
      </c>
      <c r="D216" s="28" t="str">
        <f t="shared" si="11"/>
        <v/>
      </c>
      <c r="E216" s="88"/>
      <c r="F216" s="83"/>
    </row>
    <row r="217" spans="1:6">
      <c r="A217" s="10" t="str">
        <f t="shared" si="9"/>
        <v/>
      </c>
      <c r="B217" s="85"/>
      <c r="C217" s="28" t="str">
        <f t="shared" si="10"/>
        <v/>
      </c>
      <c r="D217" s="28" t="str">
        <f t="shared" si="11"/>
        <v/>
      </c>
      <c r="E217" s="88"/>
      <c r="F217" s="83"/>
    </row>
    <row r="218" spans="1:6">
      <c r="A218" s="10" t="str">
        <f t="shared" si="9"/>
        <v/>
      </c>
      <c r="B218" s="85"/>
      <c r="C218" s="28" t="str">
        <f t="shared" si="10"/>
        <v/>
      </c>
      <c r="D218" s="28" t="str">
        <f t="shared" si="11"/>
        <v/>
      </c>
      <c r="E218" s="88"/>
      <c r="F218" s="83"/>
    </row>
    <row r="219" spans="1:6">
      <c r="A219" s="10" t="str">
        <f t="shared" si="9"/>
        <v/>
      </c>
      <c r="B219" s="85"/>
      <c r="C219" s="28" t="str">
        <f t="shared" si="10"/>
        <v/>
      </c>
      <c r="D219" s="28" t="str">
        <f t="shared" si="11"/>
        <v/>
      </c>
      <c r="E219" s="88"/>
      <c r="F219" s="83"/>
    </row>
    <row r="220" spans="1:6">
      <c r="A220" s="10" t="str">
        <f t="shared" si="9"/>
        <v/>
      </c>
      <c r="B220" s="85"/>
      <c r="C220" s="28" t="str">
        <f t="shared" si="10"/>
        <v/>
      </c>
      <c r="D220" s="28" t="str">
        <f t="shared" si="11"/>
        <v/>
      </c>
      <c r="E220" s="88"/>
      <c r="F220" s="83"/>
    </row>
    <row r="221" spans="1:6">
      <c r="A221" s="10" t="str">
        <f t="shared" si="9"/>
        <v/>
      </c>
      <c r="B221" s="85"/>
      <c r="C221" s="28" t="str">
        <f t="shared" si="10"/>
        <v/>
      </c>
      <c r="D221" s="28" t="str">
        <f t="shared" si="11"/>
        <v/>
      </c>
      <c r="E221" s="88"/>
      <c r="F221" s="83"/>
    </row>
    <row r="222" spans="1:6">
      <c r="A222" s="10" t="str">
        <f t="shared" si="9"/>
        <v/>
      </c>
      <c r="B222" s="85"/>
      <c r="C222" s="28" t="str">
        <f t="shared" si="10"/>
        <v/>
      </c>
      <c r="D222" s="28" t="str">
        <f t="shared" si="11"/>
        <v/>
      </c>
      <c r="E222" s="88"/>
      <c r="F222" s="83"/>
    </row>
    <row r="223" spans="1:6">
      <c r="A223" s="10" t="str">
        <f t="shared" si="9"/>
        <v/>
      </c>
      <c r="B223" s="85"/>
      <c r="C223" s="28" t="str">
        <f t="shared" si="10"/>
        <v/>
      </c>
      <c r="D223" s="28" t="str">
        <f t="shared" si="11"/>
        <v/>
      </c>
      <c r="E223" s="88"/>
      <c r="F223" s="83"/>
    </row>
    <row r="224" spans="1:6">
      <c r="A224" s="10" t="str">
        <f t="shared" si="9"/>
        <v/>
      </c>
      <c r="B224" s="85"/>
      <c r="C224" s="28" t="str">
        <f t="shared" si="10"/>
        <v/>
      </c>
      <c r="D224" s="28" t="str">
        <f t="shared" si="11"/>
        <v/>
      </c>
      <c r="E224" s="88"/>
      <c r="F224" s="83"/>
    </row>
    <row r="225" spans="1:6">
      <c r="A225" s="10" t="str">
        <f t="shared" si="9"/>
        <v/>
      </c>
      <c r="B225" s="85"/>
      <c r="C225" s="28" t="str">
        <f t="shared" si="10"/>
        <v/>
      </c>
      <c r="D225" s="28" t="str">
        <f t="shared" si="11"/>
        <v/>
      </c>
      <c r="E225" s="88"/>
      <c r="F225" s="83"/>
    </row>
    <row r="226" spans="1:6">
      <c r="A226" s="10" t="str">
        <f t="shared" si="9"/>
        <v/>
      </c>
      <c r="B226" s="85"/>
      <c r="C226" s="28" t="str">
        <f t="shared" si="10"/>
        <v/>
      </c>
      <c r="D226" s="28" t="str">
        <f t="shared" si="11"/>
        <v/>
      </c>
      <c r="E226" s="88"/>
      <c r="F226" s="83"/>
    </row>
    <row r="227" spans="1:6">
      <c r="A227" s="10" t="str">
        <f t="shared" si="9"/>
        <v/>
      </c>
      <c r="B227" s="85"/>
      <c r="C227" s="28" t="str">
        <f t="shared" si="10"/>
        <v/>
      </c>
      <c r="D227" s="28" t="str">
        <f t="shared" si="11"/>
        <v/>
      </c>
      <c r="E227" s="88"/>
      <c r="F227" s="83"/>
    </row>
    <row r="228" spans="1:6">
      <c r="A228" s="10" t="str">
        <f t="shared" si="9"/>
        <v/>
      </c>
      <c r="B228" s="85"/>
      <c r="C228" s="28" t="str">
        <f t="shared" si="10"/>
        <v/>
      </c>
      <c r="D228" s="28" t="str">
        <f t="shared" si="11"/>
        <v/>
      </c>
      <c r="E228" s="88"/>
      <c r="F228" s="83"/>
    </row>
    <row r="229" spans="1:6">
      <c r="A229" s="10" t="str">
        <f t="shared" si="9"/>
        <v/>
      </c>
      <c r="B229" s="85"/>
      <c r="C229" s="28" t="str">
        <f t="shared" si="10"/>
        <v/>
      </c>
      <c r="D229" s="28" t="str">
        <f t="shared" si="11"/>
        <v/>
      </c>
      <c r="E229" s="88"/>
      <c r="F229" s="83"/>
    </row>
    <row r="230" spans="1:6">
      <c r="A230" s="10" t="str">
        <f t="shared" si="9"/>
        <v/>
      </c>
      <c r="B230" s="85"/>
      <c r="C230" s="28" t="str">
        <f t="shared" si="10"/>
        <v/>
      </c>
      <c r="D230" s="28" t="str">
        <f t="shared" si="11"/>
        <v/>
      </c>
      <c r="E230" s="88"/>
      <c r="F230" s="83"/>
    </row>
    <row r="231" spans="1:6">
      <c r="A231" s="10" t="str">
        <f t="shared" si="9"/>
        <v/>
      </c>
      <c r="B231" s="85"/>
      <c r="C231" s="28" t="str">
        <f t="shared" si="10"/>
        <v/>
      </c>
      <c r="D231" s="28" t="str">
        <f t="shared" si="11"/>
        <v/>
      </c>
      <c r="E231" s="88"/>
      <c r="F231" s="83"/>
    </row>
    <row r="232" spans="1:6">
      <c r="A232" s="10" t="str">
        <f t="shared" si="9"/>
        <v/>
      </c>
      <c r="B232" s="85"/>
      <c r="C232" s="28" t="str">
        <f t="shared" si="10"/>
        <v/>
      </c>
      <c r="D232" s="28" t="str">
        <f t="shared" si="11"/>
        <v/>
      </c>
      <c r="E232" s="88"/>
      <c r="F232" s="83"/>
    </row>
    <row r="233" spans="1:6">
      <c r="A233" s="10" t="str">
        <f t="shared" si="9"/>
        <v/>
      </c>
      <c r="B233" s="85"/>
      <c r="C233" s="28" t="str">
        <f t="shared" si="10"/>
        <v/>
      </c>
      <c r="D233" s="28" t="str">
        <f t="shared" si="11"/>
        <v/>
      </c>
      <c r="E233" s="88"/>
      <c r="F233" s="83"/>
    </row>
    <row r="234" spans="1:6">
      <c r="A234" s="10" t="str">
        <f t="shared" si="9"/>
        <v/>
      </c>
      <c r="B234" s="85"/>
      <c r="C234" s="28" t="str">
        <f t="shared" si="10"/>
        <v/>
      </c>
      <c r="D234" s="28" t="str">
        <f t="shared" si="11"/>
        <v/>
      </c>
      <c r="E234" s="88"/>
      <c r="F234" s="83"/>
    </row>
    <row r="235" spans="1:6">
      <c r="A235" s="10" t="str">
        <f t="shared" si="9"/>
        <v/>
      </c>
      <c r="B235" s="85"/>
      <c r="C235" s="28" t="str">
        <f t="shared" si="10"/>
        <v/>
      </c>
      <c r="D235" s="28" t="str">
        <f t="shared" si="11"/>
        <v/>
      </c>
      <c r="E235" s="88"/>
      <c r="F235" s="83"/>
    </row>
    <row r="236" spans="1:6">
      <c r="A236" s="10" t="str">
        <f t="shared" si="9"/>
        <v/>
      </c>
      <c r="B236" s="85"/>
      <c r="C236" s="28" t="str">
        <f t="shared" si="10"/>
        <v/>
      </c>
      <c r="D236" s="28" t="str">
        <f t="shared" si="11"/>
        <v/>
      </c>
      <c r="E236" s="88"/>
      <c r="F236" s="83"/>
    </row>
    <row r="237" spans="1:6">
      <c r="A237" s="10" t="str">
        <f t="shared" si="9"/>
        <v/>
      </c>
      <c r="B237" s="85"/>
      <c r="C237" s="28" t="str">
        <f t="shared" si="10"/>
        <v/>
      </c>
      <c r="D237" s="28" t="str">
        <f t="shared" si="11"/>
        <v/>
      </c>
      <c r="E237" s="88"/>
      <c r="F237" s="83"/>
    </row>
    <row r="238" spans="1:6">
      <c r="A238" s="10" t="str">
        <f t="shared" si="9"/>
        <v/>
      </c>
      <c r="B238" s="85"/>
      <c r="C238" s="28" t="str">
        <f t="shared" si="10"/>
        <v/>
      </c>
      <c r="D238" s="28" t="str">
        <f t="shared" si="11"/>
        <v/>
      </c>
      <c r="E238" s="88"/>
      <c r="F238" s="83"/>
    </row>
    <row r="239" spans="1:6">
      <c r="A239" s="10" t="str">
        <f t="shared" si="9"/>
        <v/>
      </c>
      <c r="B239" s="85"/>
      <c r="C239" s="28" t="str">
        <f t="shared" si="10"/>
        <v/>
      </c>
      <c r="D239" s="28" t="str">
        <f t="shared" si="11"/>
        <v/>
      </c>
      <c r="E239" s="88"/>
      <c r="F239" s="83"/>
    </row>
    <row r="240" spans="1:6">
      <c r="A240" s="10" t="str">
        <f t="shared" si="9"/>
        <v/>
      </c>
      <c r="B240" s="85"/>
      <c r="C240" s="28" t="str">
        <f t="shared" si="10"/>
        <v/>
      </c>
      <c r="D240" s="28" t="str">
        <f t="shared" si="11"/>
        <v/>
      </c>
      <c r="E240" s="88"/>
      <c r="F240" s="83"/>
    </row>
    <row r="241" spans="1:6">
      <c r="A241" s="10" t="str">
        <f t="shared" si="9"/>
        <v/>
      </c>
      <c r="B241" s="85"/>
      <c r="C241" s="28" t="str">
        <f t="shared" si="10"/>
        <v/>
      </c>
      <c r="D241" s="28" t="str">
        <f t="shared" si="11"/>
        <v/>
      </c>
      <c r="E241" s="88"/>
      <c r="F241" s="83"/>
    </row>
    <row r="242" spans="1:6">
      <c r="A242" s="10" t="str">
        <f t="shared" si="9"/>
        <v/>
      </c>
      <c r="B242" s="85"/>
      <c r="C242" s="28" t="str">
        <f t="shared" si="10"/>
        <v/>
      </c>
      <c r="D242" s="28" t="str">
        <f t="shared" si="11"/>
        <v/>
      </c>
      <c r="E242" s="88"/>
      <c r="F242" s="83"/>
    </row>
    <row r="243" spans="1:6">
      <c r="A243" s="10" t="str">
        <f t="shared" si="9"/>
        <v/>
      </c>
      <c r="B243" s="85"/>
      <c r="C243" s="28" t="str">
        <f t="shared" si="10"/>
        <v/>
      </c>
      <c r="D243" s="28" t="str">
        <f t="shared" si="11"/>
        <v/>
      </c>
      <c r="E243" s="88"/>
      <c r="F243" s="83"/>
    </row>
    <row r="244" spans="1:6">
      <c r="A244" s="10" t="str">
        <f t="shared" si="9"/>
        <v/>
      </c>
      <c r="B244" s="85"/>
      <c r="C244" s="28" t="str">
        <f t="shared" si="10"/>
        <v/>
      </c>
      <c r="D244" s="28" t="str">
        <f t="shared" si="11"/>
        <v/>
      </c>
      <c r="E244" s="88"/>
      <c r="F244" s="83"/>
    </row>
    <row r="245" spans="1:6">
      <c r="A245" s="10" t="str">
        <f t="shared" si="9"/>
        <v/>
      </c>
      <c r="B245" s="85"/>
      <c r="C245" s="28" t="str">
        <f t="shared" si="10"/>
        <v/>
      </c>
      <c r="D245" s="28" t="str">
        <f t="shared" si="11"/>
        <v/>
      </c>
      <c r="E245" s="88"/>
      <c r="F245" s="83"/>
    </row>
    <row r="246" spans="1:6">
      <c r="A246" s="10" t="str">
        <f t="shared" si="9"/>
        <v/>
      </c>
      <c r="B246" s="85"/>
      <c r="C246" s="28" t="str">
        <f t="shared" si="10"/>
        <v/>
      </c>
      <c r="D246" s="28" t="str">
        <f t="shared" si="11"/>
        <v/>
      </c>
      <c r="E246" s="88"/>
      <c r="F246" s="83"/>
    </row>
    <row r="247" spans="1:6">
      <c r="A247" s="10" t="str">
        <f t="shared" si="9"/>
        <v/>
      </c>
      <c r="B247" s="85"/>
      <c r="C247" s="28" t="str">
        <f t="shared" si="10"/>
        <v/>
      </c>
      <c r="D247" s="28" t="str">
        <f t="shared" si="11"/>
        <v/>
      </c>
      <c r="E247" s="88"/>
      <c r="F247" s="83"/>
    </row>
    <row r="248" spans="1:6">
      <c r="A248" s="10" t="str">
        <f t="shared" si="9"/>
        <v/>
      </c>
      <c r="B248" s="85"/>
      <c r="C248" s="28" t="str">
        <f t="shared" si="10"/>
        <v/>
      </c>
      <c r="D248" s="28" t="str">
        <f t="shared" si="11"/>
        <v/>
      </c>
      <c r="E248" s="88"/>
      <c r="F248" s="83"/>
    </row>
    <row r="249" spans="1:6">
      <c r="A249" s="10" t="str">
        <f t="shared" si="9"/>
        <v/>
      </c>
      <c r="B249" s="85"/>
      <c r="C249" s="28" t="str">
        <f t="shared" si="10"/>
        <v/>
      </c>
      <c r="D249" s="28" t="str">
        <f t="shared" si="11"/>
        <v/>
      </c>
      <c r="E249" s="88"/>
      <c r="F249" s="83"/>
    </row>
    <row r="250" spans="1:6">
      <c r="A250" s="10" t="str">
        <f t="shared" si="9"/>
        <v/>
      </c>
      <c r="B250" s="85"/>
      <c r="C250" s="28" t="str">
        <f t="shared" si="10"/>
        <v/>
      </c>
      <c r="D250" s="28" t="str">
        <f t="shared" si="11"/>
        <v/>
      </c>
      <c r="E250" s="88"/>
      <c r="F250" s="83"/>
    </row>
    <row r="251" spans="1:6">
      <c r="A251" s="10" t="str">
        <f t="shared" si="9"/>
        <v/>
      </c>
      <c r="B251" s="85"/>
      <c r="C251" s="28" t="str">
        <f t="shared" si="10"/>
        <v/>
      </c>
      <c r="D251" s="28" t="str">
        <f t="shared" si="11"/>
        <v/>
      </c>
      <c r="E251" s="88"/>
      <c r="F251" s="83"/>
    </row>
    <row r="252" spans="1:6">
      <c r="A252" s="10" t="str">
        <f t="shared" si="9"/>
        <v/>
      </c>
      <c r="B252" s="85"/>
      <c r="C252" s="28" t="str">
        <f t="shared" si="10"/>
        <v/>
      </c>
      <c r="D252" s="28" t="str">
        <f t="shared" si="11"/>
        <v/>
      </c>
      <c r="E252" s="88"/>
      <c r="F252" s="83"/>
    </row>
    <row r="253" spans="1:6">
      <c r="A253" s="10" t="str">
        <f t="shared" si="9"/>
        <v/>
      </c>
      <c r="B253" s="85"/>
      <c r="C253" s="28" t="str">
        <f t="shared" si="10"/>
        <v/>
      </c>
      <c r="D253" s="28" t="str">
        <f t="shared" si="11"/>
        <v/>
      </c>
      <c r="E253" s="88"/>
      <c r="F253" s="83"/>
    </row>
    <row r="254" spans="1:6">
      <c r="A254" s="10" t="str">
        <f t="shared" si="9"/>
        <v/>
      </c>
      <c r="B254" s="85"/>
      <c r="C254" s="28" t="str">
        <f t="shared" si="10"/>
        <v/>
      </c>
      <c r="D254" s="28" t="str">
        <f t="shared" si="11"/>
        <v/>
      </c>
      <c r="E254" s="88"/>
      <c r="F254" s="83"/>
    </row>
    <row r="255" spans="1:6">
      <c r="A255" s="10" t="str">
        <f t="shared" si="9"/>
        <v/>
      </c>
      <c r="B255" s="85"/>
      <c r="C255" s="28" t="str">
        <f t="shared" si="10"/>
        <v/>
      </c>
      <c r="D255" s="28" t="str">
        <f t="shared" si="11"/>
        <v/>
      </c>
      <c r="E255" s="88"/>
      <c r="F255" s="83"/>
    </row>
    <row r="256" spans="1:6">
      <c r="A256" s="10" t="str">
        <f t="shared" si="9"/>
        <v/>
      </c>
      <c r="B256" s="85"/>
      <c r="C256" s="28" t="str">
        <f t="shared" si="10"/>
        <v/>
      </c>
      <c r="D256" s="28" t="str">
        <f t="shared" si="11"/>
        <v/>
      </c>
      <c r="E256" s="88"/>
      <c r="F256" s="83"/>
    </row>
    <row r="257" spans="1:6">
      <c r="A257" s="10" t="str">
        <f t="shared" si="9"/>
        <v/>
      </c>
      <c r="B257" s="85"/>
      <c r="C257" s="28" t="str">
        <f t="shared" si="10"/>
        <v/>
      </c>
      <c r="D257" s="28" t="str">
        <f t="shared" si="11"/>
        <v/>
      </c>
      <c r="E257" s="88"/>
      <c r="F257" s="83"/>
    </row>
    <row r="258" spans="1:6">
      <c r="A258" s="10" t="str">
        <f t="shared" si="9"/>
        <v/>
      </c>
      <c r="B258" s="85"/>
      <c r="C258" s="28" t="str">
        <f t="shared" si="10"/>
        <v/>
      </c>
      <c r="D258" s="28" t="str">
        <f t="shared" si="11"/>
        <v/>
      </c>
      <c r="E258" s="88"/>
      <c r="F258" s="83"/>
    </row>
    <row r="259" spans="1:6">
      <c r="A259" s="10" t="str">
        <f t="shared" ref="A259:A322" si="12">IF(E259&gt;0,A258+1,"")</f>
        <v/>
      </c>
      <c r="B259" s="85"/>
      <c r="C259" s="28" t="str">
        <f t="shared" ref="C259:C322" si="13">IF(B259=0,"",TEXT(B259,"mmmm"))</f>
        <v/>
      </c>
      <c r="D259" s="28" t="str">
        <f t="shared" ref="D259:D322" si="14">IF(B259=0,"",TEXT(B259,"yyyy"))</f>
        <v/>
      </c>
      <c r="E259" s="88"/>
      <c r="F259" s="83"/>
    </row>
    <row r="260" spans="1:6">
      <c r="A260" s="10" t="str">
        <f t="shared" si="12"/>
        <v/>
      </c>
      <c r="B260" s="85"/>
      <c r="C260" s="28" t="str">
        <f t="shared" si="13"/>
        <v/>
      </c>
      <c r="D260" s="28" t="str">
        <f t="shared" si="14"/>
        <v/>
      </c>
      <c r="E260" s="88"/>
      <c r="F260" s="83"/>
    </row>
    <row r="261" spans="1:6">
      <c r="A261" s="10" t="str">
        <f t="shared" si="12"/>
        <v/>
      </c>
      <c r="B261" s="85"/>
      <c r="C261" s="28" t="str">
        <f t="shared" si="13"/>
        <v/>
      </c>
      <c r="D261" s="28" t="str">
        <f t="shared" si="14"/>
        <v/>
      </c>
      <c r="E261" s="88"/>
      <c r="F261" s="83"/>
    </row>
    <row r="262" spans="1:6">
      <c r="A262" s="10" t="str">
        <f t="shared" si="12"/>
        <v/>
      </c>
      <c r="B262" s="85"/>
      <c r="C262" s="28" t="str">
        <f t="shared" si="13"/>
        <v/>
      </c>
      <c r="D262" s="28" t="str">
        <f t="shared" si="14"/>
        <v/>
      </c>
      <c r="E262" s="88"/>
      <c r="F262" s="83"/>
    </row>
    <row r="263" spans="1:6">
      <c r="A263" s="10" t="str">
        <f t="shared" si="12"/>
        <v/>
      </c>
      <c r="B263" s="85"/>
      <c r="C263" s="28" t="str">
        <f t="shared" si="13"/>
        <v/>
      </c>
      <c r="D263" s="28" t="str">
        <f t="shared" si="14"/>
        <v/>
      </c>
      <c r="E263" s="88"/>
      <c r="F263" s="83"/>
    </row>
    <row r="264" spans="1:6">
      <c r="A264" s="10" t="str">
        <f t="shared" si="12"/>
        <v/>
      </c>
      <c r="B264" s="85"/>
      <c r="C264" s="28" t="str">
        <f t="shared" si="13"/>
        <v/>
      </c>
      <c r="D264" s="28" t="str">
        <f t="shared" si="14"/>
        <v/>
      </c>
      <c r="E264" s="88"/>
      <c r="F264" s="83"/>
    </row>
    <row r="265" spans="1:6">
      <c r="A265" s="10" t="str">
        <f t="shared" si="12"/>
        <v/>
      </c>
      <c r="B265" s="85"/>
      <c r="C265" s="28" t="str">
        <f t="shared" si="13"/>
        <v/>
      </c>
      <c r="D265" s="28" t="str">
        <f t="shared" si="14"/>
        <v/>
      </c>
      <c r="E265" s="88"/>
      <c r="F265" s="83"/>
    </row>
    <row r="266" spans="1:6">
      <c r="A266" s="10" t="str">
        <f t="shared" si="12"/>
        <v/>
      </c>
      <c r="B266" s="85"/>
      <c r="C266" s="28" t="str">
        <f t="shared" si="13"/>
        <v/>
      </c>
      <c r="D266" s="28" t="str">
        <f t="shared" si="14"/>
        <v/>
      </c>
      <c r="E266" s="88"/>
      <c r="F266" s="83"/>
    </row>
    <row r="267" spans="1:6">
      <c r="A267" s="10" t="str">
        <f t="shared" si="12"/>
        <v/>
      </c>
      <c r="B267" s="85"/>
      <c r="C267" s="28" t="str">
        <f t="shared" si="13"/>
        <v/>
      </c>
      <c r="D267" s="28" t="str">
        <f t="shared" si="14"/>
        <v/>
      </c>
      <c r="E267" s="88"/>
      <c r="F267" s="83"/>
    </row>
    <row r="268" spans="1:6">
      <c r="A268" s="10" t="str">
        <f t="shared" si="12"/>
        <v/>
      </c>
      <c r="B268" s="85"/>
      <c r="C268" s="28" t="str">
        <f t="shared" si="13"/>
        <v/>
      </c>
      <c r="D268" s="28" t="str">
        <f t="shared" si="14"/>
        <v/>
      </c>
      <c r="E268" s="88"/>
      <c r="F268" s="83"/>
    </row>
    <row r="269" spans="1:6">
      <c r="A269" s="10" t="str">
        <f t="shared" si="12"/>
        <v/>
      </c>
      <c r="B269" s="85"/>
      <c r="C269" s="28" t="str">
        <f t="shared" si="13"/>
        <v/>
      </c>
      <c r="D269" s="28" t="str">
        <f t="shared" si="14"/>
        <v/>
      </c>
      <c r="E269" s="88"/>
      <c r="F269" s="83"/>
    </row>
    <row r="270" spans="1:6">
      <c r="A270" s="10" t="str">
        <f t="shared" si="12"/>
        <v/>
      </c>
      <c r="B270" s="85"/>
      <c r="C270" s="28" t="str">
        <f t="shared" si="13"/>
        <v/>
      </c>
      <c r="D270" s="28" t="str">
        <f t="shared" si="14"/>
        <v/>
      </c>
      <c r="E270" s="88"/>
      <c r="F270" s="83"/>
    </row>
    <row r="271" spans="1:6">
      <c r="A271" s="10" t="str">
        <f t="shared" si="12"/>
        <v/>
      </c>
      <c r="B271" s="85"/>
      <c r="C271" s="28" t="str">
        <f t="shared" si="13"/>
        <v/>
      </c>
      <c r="D271" s="28" t="str">
        <f t="shared" si="14"/>
        <v/>
      </c>
      <c r="E271" s="88"/>
      <c r="F271" s="83"/>
    </row>
    <row r="272" spans="1:6">
      <c r="A272" s="10" t="str">
        <f t="shared" si="12"/>
        <v/>
      </c>
      <c r="B272" s="85"/>
      <c r="C272" s="28" t="str">
        <f t="shared" si="13"/>
        <v/>
      </c>
      <c r="D272" s="28" t="str">
        <f t="shared" si="14"/>
        <v/>
      </c>
      <c r="E272" s="88"/>
      <c r="F272" s="83"/>
    </row>
    <row r="273" spans="1:6">
      <c r="A273" s="10" t="str">
        <f t="shared" si="12"/>
        <v/>
      </c>
      <c r="B273" s="85"/>
      <c r="C273" s="28" t="str">
        <f t="shared" si="13"/>
        <v/>
      </c>
      <c r="D273" s="28" t="str">
        <f t="shared" si="14"/>
        <v/>
      </c>
      <c r="E273" s="88"/>
      <c r="F273" s="83"/>
    </row>
    <row r="274" spans="1:6">
      <c r="A274" s="10" t="str">
        <f t="shared" si="12"/>
        <v/>
      </c>
      <c r="B274" s="85"/>
      <c r="C274" s="28" t="str">
        <f t="shared" si="13"/>
        <v/>
      </c>
      <c r="D274" s="28" t="str">
        <f t="shared" si="14"/>
        <v/>
      </c>
      <c r="E274" s="88"/>
      <c r="F274" s="83"/>
    </row>
    <row r="275" spans="1:6">
      <c r="A275" s="10" t="str">
        <f t="shared" si="12"/>
        <v/>
      </c>
      <c r="B275" s="85"/>
      <c r="C275" s="28" t="str">
        <f t="shared" si="13"/>
        <v/>
      </c>
      <c r="D275" s="28" t="str">
        <f t="shared" si="14"/>
        <v/>
      </c>
      <c r="E275" s="88"/>
      <c r="F275" s="83"/>
    </row>
    <row r="276" spans="1:6">
      <c r="A276" s="10" t="str">
        <f t="shared" si="12"/>
        <v/>
      </c>
      <c r="B276" s="85"/>
      <c r="C276" s="28" t="str">
        <f t="shared" si="13"/>
        <v/>
      </c>
      <c r="D276" s="28" t="str">
        <f t="shared" si="14"/>
        <v/>
      </c>
      <c r="E276" s="88"/>
      <c r="F276" s="83"/>
    </row>
    <row r="277" spans="1:6">
      <c r="A277" s="10" t="str">
        <f t="shared" si="12"/>
        <v/>
      </c>
      <c r="B277" s="85"/>
      <c r="C277" s="28" t="str">
        <f t="shared" si="13"/>
        <v/>
      </c>
      <c r="D277" s="28" t="str">
        <f t="shared" si="14"/>
        <v/>
      </c>
      <c r="E277" s="88"/>
      <c r="F277" s="83"/>
    </row>
    <row r="278" spans="1:6">
      <c r="A278" s="10" t="str">
        <f t="shared" si="12"/>
        <v/>
      </c>
      <c r="B278" s="85"/>
      <c r="C278" s="28" t="str">
        <f t="shared" si="13"/>
        <v/>
      </c>
      <c r="D278" s="28" t="str">
        <f t="shared" si="14"/>
        <v/>
      </c>
      <c r="E278" s="88"/>
      <c r="F278" s="83"/>
    </row>
    <row r="279" spans="1:6">
      <c r="A279" s="10" t="str">
        <f t="shared" si="12"/>
        <v/>
      </c>
      <c r="B279" s="85"/>
      <c r="C279" s="28" t="str">
        <f t="shared" si="13"/>
        <v/>
      </c>
      <c r="D279" s="28" t="str">
        <f t="shared" si="14"/>
        <v/>
      </c>
      <c r="E279" s="88"/>
      <c r="F279" s="83"/>
    </row>
    <row r="280" spans="1:6">
      <c r="A280" s="10" t="str">
        <f t="shared" si="12"/>
        <v/>
      </c>
      <c r="B280" s="85"/>
      <c r="C280" s="28" t="str">
        <f t="shared" si="13"/>
        <v/>
      </c>
      <c r="D280" s="28" t="str">
        <f t="shared" si="14"/>
        <v/>
      </c>
      <c r="E280" s="88"/>
      <c r="F280" s="83"/>
    </row>
    <row r="281" spans="1:6">
      <c r="A281" s="10" t="str">
        <f t="shared" si="12"/>
        <v/>
      </c>
      <c r="B281" s="85"/>
      <c r="C281" s="28" t="str">
        <f t="shared" si="13"/>
        <v/>
      </c>
      <c r="D281" s="28" t="str">
        <f t="shared" si="14"/>
        <v/>
      </c>
      <c r="E281" s="88"/>
      <c r="F281" s="83"/>
    </row>
    <row r="282" spans="1:6">
      <c r="A282" s="10" t="str">
        <f t="shared" si="12"/>
        <v/>
      </c>
      <c r="B282" s="85"/>
      <c r="C282" s="28" t="str">
        <f t="shared" si="13"/>
        <v/>
      </c>
      <c r="D282" s="28" t="str">
        <f t="shared" si="14"/>
        <v/>
      </c>
      <c r="E282" s="88"/>
      <c r="F282" s="83"/>
    </row>
    <row r="283" spans="1:6">
      <c r="A283" s="10" t="str">
        <f t="shared" si="12"/>
        <v/>
      </c>
      <c r="B283" s="85"/>
      <c r="C283" s="28" t="str">
        <f t="shared" si="13"/>
        <v/>
      </c>
      <c r="D283" s="28" t="str">
        <f t="shared" si="14"/>
        <v/>
      </c>
      <c r="E283" s="88"/>
      <c r="F283" s="83"/>
    </row>
    <row r="284" spans="1:6">
      <c r="A284" s="10" t="str">
        <f t="shared" si="12"/>
        <v/>
      </c>
      <c r="B284" s="85"/>
      <c r="C284" s="28" t="str">
        <f t="shared" si="13"/>
        <v/>
      </c>
      <c r="D284" s="28" t="str">
        <f t="shared" si="14"/>
        <v/>
      </c>
      <c r="E284" s="88"/>
      <c r="F284" s="83"/>
    </row>
    <row r="285" spans="1:6">
      <c r="A285" s="10" t="str">
        <f t="shared" si="12"/>
        <v/>
      </c>
      <c r="B285" s="85"/>
      <c r="C285" s="28" t="str">
        <f t="shared" si="13"/>
        <v/>
      </c>
      <c r="D285" s="28" t="str">
        <f t="shared" si="14"/>
        <v/>
      </c>
      <c r="E285" s="88"/>
      <c r="F285" s="83"/>
    </row>
    <row r="286" spans="1:6">
      <c r="A286" s="10" t="str">
        <f t="shared" si="12"/>
        <v/>
      </c>
      <c r="B286" s="85"/>
      <c r="C286" s="28" t="str">
        <f t="shared" si="13"/>
        <v/>
      </c>
      <c r="D286" s="28" t="str">
        <f t="shared" si="14"/>
        <v/>
      </c>
      <c r="E286" s="88"/>
      <c r="F286" s="83"/>
    </row>
    <row r="287" spans="1:6">
      <c r="A287" s="10" t="str">
        <f t="shared" si="12"/>
        <v/>
      </c>
      <c r="B287" s="85"/>
      <c r="C287" s="28" t="str">
        <f t="shared" si="13"/>
        <v/>
      </c>
      <c r="D287" s="28" t="str">
        <f t="shared" si="14"/>
        <v/>
      </c>
      <c r="E287" s="88"/>
      <c r="F287" s="83"/>
    </row>
    <row r="288" spans="1:6">
      <c r="A288" s="10" t="str">
        <f t="shared" si="12"/>
        <v/>
      </c>
      <c r="B288" s="85"/>
      <c r="C288" s="28" t="str">
        <f t="shared" si="13"/>
        <v/>
      </c>
      <c r="D288" s="28" t="str">
        <f t="shared" si="14"/>
        <v/>
      </c>
      <c r="E288" s="88"/>
      <c r="F288" s="83"/>
    </row>
    <row r="289" spans="1:6">
      <c r="A289" s="10" t="str">
        <f t="shared" si="12"/>
        <v/>
      </c>
      <c r="B289" s="85"/>
      <c r="C289" s="28" t="str">
        <f t="shared" si="13"/>
        <v/>
      </c>
      <c r="D289" s="28" t="str">
        <f t="shared" si="14"/>
        <v/>
      </c>
      <c r="E289" s="88"/>
      <c r="F289" s="83"/>
    </row>
    <row r="290" spans="1:6">
      <c r="A290" s="10" t="str">
        <f t="shared" si="12"/>
        <v/>
      </c>
      <c r="B290" s="85"/>
      <c r="C290" s="28" t="str">
        <f t="shared" si="13"/>
        <v/>
      </c>
      <c r="D290" s="28" t="str">
        <f t="shared" si="14"/>
        <v/>
      </c>
      <c r="E290" s="88"/>
      <c r="F290" s="83"/>
    </row>
    <row r="291" spans="1:6">
      <c r="A291" s="10" t="str">
        <f t="shared" si="12"/>
        <v/>
      </c>
      <c r="B291" s="85"/>
      <c r="C291" s="28" t="str">
        <f t="shared" si="13"/>
        <v/>
      </c>
      <c r="D291" s="28" t="str">
        <f t="shared" si="14"/>
        <v/>
      </c>
      <c r="E291" s="88"/>
      <c r="F291" s="83"/>
    </row>
    <row r="292" spans="1:6">
      <c r="A292" s="10" t="str">
        <f t="shared" si="12"/>
        <v/>
      </c>
      <c r="B292" s="85"/>
      <c r="C292" s="28" t="str">
        <f t="shared" si="13"/>
        <v/>
      </c>
      <c r="D292" s="28" t="str">
        <f t="shared" si="14"/>
        <v/>
      </c>
      <c r="E292" s="88"/>
      <c r="F292" s="83"/>
    </row>
    <row r="293" spans="1:6">
      <c r="A293" s="10" t="str">
        <f t="shared" si="12"/>
        <v/>
      </c>
      <c r="B293" s="85"/>
      <c r="C293" s="28" t="str">
        <f t="shared" si="13"/>
        <v/>
      </c>
      <c r="D293" s="28" t="str">
        <f t="shared" si="14"/>
        <v/>
      </c>
      <c r="E293" s="88"/>
      <c r="F293" s="83"/>
    </row>
    <row r="294" spans="1:6">
      <c r="A294" s="10" t="str">
        <f t="shared" si="12"/>
        <v/>
      </c>
      <c r="B294" s="85"/>
      <c r="C294" s="28" t="str">
        <f t="shared" si="13"/>
        <v/>
      </c>
      <c r="D294" s="28" t="str">
        <f t="shared" si="14"/>
        <v/>
      </c>
      <c r="E294" s="88"/>
      <c r="F294" s="83"/>
    </row>
    <row r="295" spans="1:6">
      <c r="A295" s="10" t="str">
        <f t="shared" si="12"/>
        <v/>
      </c>
      <c r="B295" s="85"/>
      <c r="C295" s="28" t="str">
        <f t="shared" si="13"/>
        <v/>
      </c>
      <c r="D295" s="28" t="str">
        <f t="shared" si="14"/>
        <v/>
      </c>
      <c r="E295" s="88"/>
      <c r="F295" s="83"/>
    </row>
    <row r="296" spans="1:6">
      <c r="A296" s="10" t="str">
        <f t="shared" si="12"/>
        <v/>
      </c>
      <c r="B296" s="85"/>
      <c r="C296" s="28" t="str">
        <f t="shared" si="13"/>
        <v/>
      </c>
      <c r="D296" s="28" t="str">
        <f t="shared" si="14"/>
        <v/>
      </c>
      <c r="E296" s="88"/>
      <c r="F296" s="83"/>
    </row>
    <row r="297" spans="1:6">
      <c r="A297" s="10" t="str">
        <f t="shared" si="12"/>
        <v/>
      </c>
      <c r="B297" s="85"/>
      <c r="C297" s="28" t="str">
        <f t="shared" si="13"/>
        <v/>
      </c>
      <c r="D297" s="28" t="str">
        <f t="shared" si="14"/>
        <v/>
      </c>
      <c r="E297" s="88"/>
      <c r="F297" s="83"/>
    </row>
    <row r="298" spans="1:6">
      <c r="A298" s="10" t="str">
        <f t="shared" si="12"/>
        <v/>
      </c>
      <c r="B298" s="85"/>
      <c r="C298" s="28" t="str">
        <f t="shared" si="13"/>
        <v/>
      </c>
      <c r="D298" s="28" t="str">
        <f t="shared" si="14"/>
        <v/>
      </c>
      <c r="E298" s="88"/>
      <c r="F298" s="83"/>
    </row>
    <row r="299" spans="1:6">
      <c r="A299" s="10" t="str">
        <f t="shared" si="12"/>
        <v/>
      </c>
      <c r="B299" s="85"/>
      <c r="C299" s="28" t="str">
        <f t="shared" si="13"/>
        <v/>
      </c>
      <c r="D299" s="28" t="str">
        <f t="shared" si="14"/>
        <v/>
      </c>
      <c r="E299" s="88"/>
      <c r="F299" s="83"/>
    </row>
    <row r="300" spans="1:6">
      <c r="A300" s="10" t="str">
        <f t="shared" si="12"/>
        <v/>
      </c>
      <c r="B300" s="85"/>
      <c r="C300" s="28" t="str">
        <f t="shared" si="13"/>
        <v/>
      </c>
      <c r="D300" s="28" t="str">
        <f t="shared" si="14"/>
        <v/>
      </c>
      <c r="E300" s="88"/>
      <c r="F300" s="83"/>
    </row>
    <row r="301" spans="1:6">
      <c r="A301" s="10" t="str">
        <f t="shared" si="12"/>
        <v/>
      </c>
      <c r="B301" s="85"/>
      <c r="C301" s="28" t="str">
        <f t="shared" si="13"/>
        <v/>
      </c>
      <c r="D301" s="28" t="str">
        <f t="shared" si="14"/>
        <v/>
      </c>
      <c r="E301" s="88"/>
      <c r="F301" s="83"/>
    </row>
    <row r="302" spans="1:6">
      <c r="A302" s="10" t="str">
        <f t="shared" si="12"/>
        <v/>
      </c>
      <c r="B302" s="85"/>
      <c r="C302" s="28" t="str">
        <f t="shared" si="13"/>
        <v/>
      </c>
      <c r="D302" s="28" t="str">
        <f t="shared" si="14"/>
        <v/>
      </c>
      <c r="E302" s="88"/>
      <c r="F302" s="83"/>
    </row>
    <row r="303" spans="1:6">
      <c r="A303" s="10" t="str">
        <f t="shared" si="12"/>
        <v/>
      </c>
      <c r="B303" s="85"/>
      <c r="C303" s="28" t="str">
        <f t="shared" si="13"/>
        <v/>
      </c>
      <c r="D303" s="28" t="str">
        <f t="shared" si="14"/>
        <v/>
      </c>
      <c r="E303" s="88"/>
      <c r="F303" s="83"/>
    </row>
    <row r="304" spans="1:6">
      <c r="A304" s="10" t="str">
        <f t="shared" si="12"/>
        <v/>
      </c>
      <c r="B304" s="85"/>
      <c r="C304" s="28" t="str">
        <f t="shared" si="13"/>
        <v/>
      </c>
      <c r="D304" s="28" t="str">
        <f t="shared" si="14"/>
        <v/>
      </c>
      <c r="E304" s="88"/>
      <c r="F304" s="83"/>
    </row>
    <row r="305" spans="1:6">
      <c r="A305" s="10" t="str">
        <f t="shared" si="12"/>
        <v/>
      </c>
      <c r="B305" s="85"/>
      <c r="C305" s="28" t="str">
        <f t="shared" si="13"/>
        <v/>
      </c>
      <c r="D305" s="28" t="str">
        <f t="shared" si="14"/>
        <v/>
      </c>
      <c r="E305" s="88"/>
      <c r="F305" s="83"/>
    </row>
    <row r="306" spans="1:6">
      <c r="A306" s="10" t="str">
        <f t="shared" si="12"/>
        <v/>
      </c>
      <c r="B306" s="85"/>
      <c r="C306" s="28" t="str">
        <f t="shared" si="13"/>
        <v/>
      </c>
      <c r="D306" s="28" t="str">
        <f t="shared" si="14"/>
        <v/>
      </c>
      <c r="E306" s="88"/>
      <c r="F306" s="83"/>
    </row>
    <row r="307" spans="1:6">
      <c r="A307" s="10" t="str">
        <f t="shared" si="12"/>
        <v/>
      </c>
      <c r="B307" s="85"/>
      <c r="C307" s="28" t="str">
        <f t="shared" si="13"/>
        <v/>
      </c>
      <c r="D307" s="28" t="str">
        <f t="shared" si="14"/>
        <v/>
      </c>
      <c r="E307" s="88"/>
      <c r="F307" s="83"/>
    </row>
    <row r="308" spans="1:6">
      <c r="A308" s="10" t="str">
        <f t="shared" si="12"/>
        <v/>
      </c>
      <c r="B308" s="85"/>
      <c r="C308" s="28" t="str">
        <f t="shared" si="13"/>
        <v/>
      </c>
      <c r="D308" s="28" t="str">
        <f t="shared" si="14"/>
        <v/>
      </c>
      <c r="E308" s="88"/>
      <c r="F308" s="83"/>
    </row>
    <row r="309" spans="1:6">
      <c r="A309" s="10" t="str">
        <f t="shared" si="12"/>
        <v/>
      </c>
      <c r="B309" s="85"/>
      <c r="C309" s="28" t="str">
        <f t="shared" si="13"/>
        <v/>
      </c>
      <c r="D309" s="28" t="str">
        <f t="shared" si="14"/>
        <v/>
      </c>
      <c r="E309" s="88"/>
      <c r="F309" s="83"/>
    </row>
    <row r="310" spans="1:6">
      <c r="A310" s="10" t="str">
        <f t="shared" si="12"/>
        <v/>
      </c>
      <c r="B310" s="85"/>
      <c r="C310" s="28" t="str">
        <f t="shared" si="13"/>
        <v/>
      </c>
      <c r="D310" s="28" t="str">
        <f t="shared" si="14"/>
        <v/>
      </c>
      <c r="E310" s="88"/>
      <c r="F310" s="83"/>
    </row>
    <row r="311" spans="1:6">
      <c r="A311" s="10" t="str">
        <f t="shared" si="12"/>
        <v/>
      </c>
      <c r="B311" s="85"/>
      <c r="C311" s="28" t="str">
        <f t="shared" si="13"/>
        <v/>
      </c>
      <c r="D311" s="28" t="str">
        <f t="shared" si="14"/>
        <v/>
      </c>
      <c r="E311" s="88"/>
      <c r="F311" s="83"/>
    </row>
    <row r="312" spans="1:6">
      <c r="A312" s="10" t="str">
        <f t="shared" si="12"/>
        <v/>
      </c>
      <c r="B312" s="85"/>
      <c r="C312" s="28" t="str">
        <f t="shared" si="13"/>
        <v/>
      </c>
      <c r="D312" s="28" t="str">
        <f t="shared" si="14"/>
        <v/>
      </c>
      <c r="E312" s="88"/>
      <c r="F312" s="83"/>
    </row>
    <row r="313" spans="1:6">
      <c r="A313" s="10" t="str">
        <f t="shared" si="12"/>
        <v/>
      </c>
      <c r="B313" s="85"/>
      <c r="C313" s="28" t="str">
        <f t="shared" si="13"/>
        <v/>
      </c>
      <c r="D313" s="28" t="str">
        <f t="shared" si="14"/>
        <v/>
      </c>
      <c r="E313" s="88"/>
      <c r="F313" s="83"/>
    </row>
    <row r="314" spans="1:6">
      <c r="A314" s="10" t="str">
        <f t="shared" si="12"/>
        <v/>
      </c>
      <c r="B314" s="85"/>
      <c r="C314" s="28" t="str">
        <f t="shared" si="13"/>
        <v/>
      </c>
      <c r="D314" s="28" t="str">
        <f t="shared" si="14"/>
        <v/>
      </c>
      <c r="E314" s="88"/>
      <c r="F314" s="83"/>
    </row>
    <row r="315" spans="1:6">
      <c r="A315" s="10" t="str">
        <f t="shared" si="12"/>
        <v/>
      </c>
      <c r="B315" s="85"/>
      <c r="C315" s="28" t="str">
        <f t="shared" si="13"/>
        <v/>
      </c>
      <c r="D315" s="28" t="str">
        <f t="shared" si="14"/>
        <v/>
      </c>
      <c r="E315" s="88"/>
      <c r="F315" s="83"/>
    </row>
    <row r="316" spans="1:6">
      <c r="A316" s="10" t="str">
        <f t="shared" si="12"/>
        <v/>
      </c>
      <c r="B316" s="85"/>
      <c r="C316" s="28" t="str">
        <f t="shared" si="13"/>
        <v/>
      </c>
      <c r="D316" s="28" t="str">
        <f t="shared" si="14"/>
        <v/>
      </c>
      <c r="E316" s="88"/>
      <c r="F316" s="83"/>
    </row>
    <row r="317" spans="1:6">
      <c r="A317" s="10" t="str">
        <f t="shared" si="12"/>
        <v/>
      </c>
      <c r="B317" s="85"/>
      <c r="C317" s="28" t="str">
        <f t="shared" si="13"/>
        <v/>
      </c>
      <c r="D317" s="28" t="str">
        <f t="shared" si="14"/>
        <v/>
      </c>
      <c r="E317" s="88"/>
      <c r="F317" s="83"/>
    </row>
    <row r="318" spans="1:6">
      <c r="A318" s="10" t="str">
        <f t="shared" si="12"/>
        <v/>
      </c>
      <c r="B318" s="85"/>
      <c r="C318" s="28" t="str">
        <f t="shared" si="13"/>
        <v/>
      </c>
      <c r="D318" s="28" t="str">
        <f t="shared" si="14"/>
        <v/>
      </c>
      <c r="E318" s="88"/>
      <c r="F318" s="83"/>
    </row>
    <row r="319" spans="1:6">
      <c r="A319" s="10" t="str">
        <f t="shared" si="12"/>
        <v/>
      </c>
      <c r="B319" s="85"/>
      <c r="C319" s="28" t="str">
        <f t="shared" si="13"/>
        <v/>
      </c>
      <c r="D319" s="28" t="str">
        <f t="shared" si="14"/>
        <v/>
      </c>
      <c r="E319" s="88"/>
      <c r="F319" s="83"/>
    </row>
    <row r="320" spans="1:6">
      <c r="A320" s="10" t="str">
        <f t="shared" si="12"/>
        <v/>
      </c>
      <c r="B320" s="85"/>
      <c r="C320" s="28" t="str">
        <f t="shared" si="13"/>
        <v/>
      </c>
      <c r="D320" s="28" t="str">
        <f t="shared" si="14"/>
        <v/>
      </c>
      <c r="E320" s="88"/>
      <c r="F320" s="83"/>
    </row>
    <row r="321" spans="1:6">
      <c r="A321" s="10" t="str">
        <f t="shared" si="12"/>
        <v/>
      </c>
      <c r="B321" s="85"/>
      <c r="C321" s="28" t="str">
        <f t="shared" si="13"/>
        <v/>
      </c>
      <c r="D321" s="28" t="str">
        <f t="shared" si="14"/>
        <v/>
      </c>
      <c r="E321" s="88"/>
      <c r="F321" s="83"/>
    </row>
    <row r="322" spans="1:6">
      <c r="A322" s="10" t="str">
        <f t="shared" si="12"/>
        <v/>
      </c>
      <c r="B322" s="85"/>
      <c r="C322" s="28" t="str">
        <f t="shared" si="13"/>
        <v/>
      </c>
      <c r="D322" s="28" t="str">
        <f t="shared" si="14"/>
        <v/>
      </c>
      <c r="E322" s="88"/>
      <c r="F322" s="83"/>
    </row>
    <row r="323" spans="1:6">
      <c r="A323" s="10" t="str">
        <f t="shared" ref="A323:A386" si="15">IF(E323&gt;0,A322+1,"")</f>
        <v/>
      </c>
      <c r="B323" s="85"/>
      <c r="C323" s="28" t="str">
        <f t="shared" ref="C323:C386" si="16">IF(B323=0,"",TEXT(B323,"mmmm"))</f>
        <v/>
      </c>
      <c r="D323" s="28" t="str">
        <f t="shared" ref="D323:D386" si="17">IF(B323=0,"",TEXT(B323,"yyyy"))</f>
        <v/>
      </c>
      <c r="E323" s="88"/>
      <c r="F323" s="83"/>
    </row>
    <row r="324" spans="1:6">
      <c r="A324" s="10" t="str">
        <f t="shared" si="15"/>
        <v/>
      </c>
      <c r="B324" s="85"/>
      <c r="C324" s="28" t="str">
        <f t="shared" si="16"/>
        <v/>
      </c>
      <c r="D324" s="28" t="str">
        <f t="shared" si="17"/>
        <v/>
      </c>
      <c r="E324" s="88"/>
      <c r="F324" s="83"/>
    </row>
    <row r="325" spans="1:6">
      <c r="A325" s="10" t="str">
        <f t="shared" si="15"/>
        <v/>
      </c>
      <c r="B325" s="85"/>
      <c r="C325" s="28" t="str">
        <f t="shared" si="16"/>
        <v/>
      </c>
      <c r="D325" s="28" t="str">
        <f t="shared" si="17"/>
        <v/>
      </c>
      <c r="E325" s="88"/>
      <c r="F325" s="83"/>
    </row>
    <row r="326" spans="1:6">
      <c r="A326" s="10" t="str">
        <f t="shared" si="15"/>
        <v/>
      </c>
      <c r="B326" s="85"/>
      <c r="C326" s="28" t="str">
        <f t="shared" si="16"/>
        <v/>
      </c>
      <c r="D326" s="28" t="str">
        <f t="shared" si="17"/>
        <v/>
      </c>
      <c r="E326" s="88"/>
      <c r="F326" s="83"/>
    </row>
    <row r="327" spans="1:6">
      <c r="A327" s="10" t="str">
        <f t="shared" si="15"/>
        <v/>
      </c>
      <c r="B327" s="85"/>
      <c r="C327" s="28" t="str">
        <f t="shared" si="16"/>
        <v/>
      </c>
      <c r="D327" s="28" t="str">
        <f t="shared" si="17"/>
        <v/>
      </c>
      <c r="E327" s="88"/>
      <c r="F327" s="83"/>
    </row>
    <row r="328" spans="1:6">
      <c r="A328" s="10" t="str">
        <f t="shared" si="15"/>
        <v/>
      </c>
      <c r="B328" s="85"/>
      <c r="C328" s="28" t="str">
        <f t="shared" si="16"/>
        <v/>
      </c>
      <c r="D328" s="28" t="str">
        <f t="shared" si="17"/>
        <v/>
      </c>
      <c r="E328" s="88"/>
      <c r="F328" s="83"/>
    </row>
    <row r="329" spans="1:6">
      <c r="A329" s="10" t="str">
        <f t="shared" si="15"/>
        <v/>
      </c>
      <c r="B329" s="85"/>
      <c r="C329" s="28" t="str">
        <f t="shared" si="16"/>
        <v/>
      </c>
      <c r="D329" s="28" t="str">
        <f t="shared" si="17"/>
        <v/>
      </c>
      <c r="E329" s="88"/>
      <c r="F329" s="83"/>
    </row>
    <row r="330" spans="1:6">
      <c r="A330" s="10" t="str">
        <f t="shared" si="15"/>
        <v/>
      </c>
      <c r="B330" s="85"/>
      <c r="C330" s="28" t="str">
        <f t="shared" si="16"/>
        <v/>
      </c>
      <c r="D330" s="28" t="str">
        <f t="shared" si="17"/>
        <v/>
      </c>
      <c r="E330" s="88"/>
      <c r="F330" s="83"/>
    </row>
    <row r="331" spans="1:6">
      <c r="A331" s="10" t="str">
        <f t="shared" si="15"/>
        <v/>
      </c>
      <c r="B331" s="85"/>
      <c r="C331" s="28" t="str">
        <f t="shared" si="16"/>
        <v/>
      </c>
      <c r="D331" s="28" t="str">
        <f t="shared" si="17"/>
        <v/>
      </c>
      <c r="E331" s="88"/>
      <c r="F331" s="83"/>
    </row>
    <row r="332" spans="1:6">
      <c r="A332" s="10" t="str">
        <f t="shared" si="15"/>
        <v/>
      </c>
      <c r="B332" s="85"/>
      <c r="C332" s="28" t="str">
        <f t="shared" si="16"/>
        <v/>
      </c>
      <c r="D332" s="28" t="str">
        <f t="shared" si="17"/>
        <v/>
      </c>
      <c r="E332" s="88"/>
      <c r="F332" s="83"/>
    </row>
    <row r="333" spans="1:6">
      <c r="A333" s="10" t="str">
        <f t="shared" si="15"/>
        <v/>
      </c>
      <c r="B333" s="85"/>
      <c r="C333" s="28" t="str">
        <f t="shared" si="16"/>
        <v/>
      </c>
      <c r="D333" s="28" t="str">
        <f t="shared" si="17"/>
        <v/>
      </c>
      <c r="E333" s="88"/>
      <c r="F333" s="83"/>
    </row>
    <row r="334" spans="1:6">
      <c r="A334" s="10" t="str">
        <f t="shared" si="15"/>
        <v/>
      </c>
      <c r="B334" s="85"/>
      <c r="C334" s="28" t="str">
        <f t="shared" si="16"/>
        <v/>
      </c>
      <c r="D334" s="28" t="str">
        <f t="shared" si="17"/>
        <v/>
      </c>
      <c r="E334" s="88"/>
      <c r="F334" s="83"/>
    </row>
    <row r="335" spans="1:6">
      <c r="A335" s="10" t="str">
        <f t="shared" si="15"/>
        <v/>
      </c>
      <c r="B335" s="85"/>
      <c r="C335" s="28" t="str">
        <f t="shared" si="16"/>
        <v/>
      </c>
      <c r="D335" s="28" t="str">
        <f t="shared" si="17"/>
        <v/>
      </c>
      <c r="E335" s="88"/>
      <c r="F335" s="83"/>
    </row>
    <row r="336" spans="1:6">
      <c r="A336" s="10" t="str">
        <f t="shared" si="15"/>
        <v/>
      </c>
      <c r="B336" s="85"/>
      <c r="C336" s="28" t="str">
        <f t="shared" si="16"/>
        <v/>
      </c>
      <c r="D336" s="28" t="str">
        <f t="shared" si="17"/>
        <v/>
      </c>
      <c r="E336" s="88"/>
      <c r="F336" s="83"/>
    </row>
    <row r="337" spans="1:6">
      <c r="A337" s="10" t="str">
        <f t="shared" si="15"/>
        <v/>
      </c>
      <c r="B337" s="85"/>
      <c r="C337" s="28" t="str">
        <f t="shared" si="16"/>
        <v/>
      </c>
      <c r="D337" s="28" t="str">
        <f t="shared" si="17"/>
        <v/>
      </c>
      <c r="E337" s="88"/>
      <c r="F337" s="83"/>
    </row>
    <row r="338" spans="1:6">
      <c r="A338" s="10" t="str">
        <f t="shared" si="15"/>
        <v/>
      </c>
      <c r="B338" s="85"/>
      <c r="C338" s="28" t="str">
        <f t="shared" si="16"/>
        <v/>
      </c>
      <c r="D338" s="28" t="str">
        <f t="shared" si="17"/>
        <v/>
      </c>
      <c r="E338" s="88"/>
      <c r="F338" s="83"/>
    </row>
    <row r="339" spans="1:6">
      <c r="A339" s="10" t="str">
        <f t="shared" si="15"/>
        <v/>
      </c>
      <c r="B339" s="85"/>
      <c r="C339" s="28" t="str">
        <f t="shared" si="16"/>
        <v/>
      </c>
      <c r="D339" s="28" t="str">
        <f t="shared" si="17"/>
        <v/>
      </c>
      <c r="E339" s="88"/>
      <c r="F339" s="83"/>
    </row>
    <row r="340" spans="1:6">
      <c r="A340" s="10" t="str">
        <f t="shared" si="15"/>
        <v/>
      </c>
      <c r="B340" s="85"/>
      <c r="C340" s="28" t="str">
        <f t="shared" si="16"/>
        <v/>
      </c>
      <c r="D340" s="28" t="str">
        <f t="shared" si="17"/>
        <v/>
      </c>
      <c r="E340" s="88"/>
      <c r="F340" s="83"/>
    </row>
    <row r="341" spans="1:6">
      <c r="A341" s="10" t="str">
        <f t="shared" si="15"/>
        <v/>
      </c>
      <c r="B341" s="85"/>
      <c r="C341" s="28" t="str">
        <f t="shared" si="16"/>
        <v/>
      </c>
      <c r="D341" s="28" t="str">
        <f t="shared" si="17"/>
        <v/>
      </c>
      <c r="E341" s="88"/>
      <c r="F341" s="83"/>
    </row>
    <row r="342" spans="1:6">
      <c r="A342" s="10" t="str">
        <f t="shared" si="15"/>
        <v/>
      </c>
      <c r="B342" s="85"/>
      <c r="C342" s="28" t="str">
        <f t="shared" si="16"/>
        <v/>
      </c>
      <c r="D342" s="28" t="str">
        <f t="shared" si="17"/>
        <v/>
      </c>
      <c r="E342" s="88"/>
      <c r="F342" s="83"/>
    </row>
    <row r="343" spans="1:6">
      <c r="A343" s="10" t="str">
        <f t="shared" si="15"/>
        <v/>
      </c>
      <c r="B343" s="85"/>
      <c r="C343" s="28" t="str">
        <f t="shared" si="16"/>
        <v/>
      </c>
      <c r="D343" s="28" t="str">
        <f t="shared" si="17"/>
        <v/>
      </c>
      <c r="E343" s="88"/>
      <c r="F343" s="83"/>
    </row>
    <row r="344" spans="1:6">
      <c r="A344" s="10" t="str">
        <f t="shared" si="15"/>
        <v/>
      </c>
      <c r="B344" s="85"/>
      <c r="C344" s="28" t="str">
        <f t="shared" si="16"/>
        <v/>
      </c>
      <c r="D344" s="28" t="str">
        <f t="shared" si="17"/>
        <v/>
      </c>
      <c r="E344" s="88"/>
      <c r="F344" s="83"/>
    </row>
    <row r="345" spans="1:6">
      <c r="A345" s="10" t="str">
        <f t="shared" si="15"/>
        <v/>
      </c>
      <c r="B345" s="85"/>
      <c r="C345" s="28" t="str">
        <f t="shared" si="16"/>
        <v/>
      </c>
      <c r="D345" s="28" t="str">
        <f t="shared" si="17"/>
        <v/>
      </c>
      <c r="E345" s="88"/>
      <c r="F345" s="83"/>
    </row>
    <row r="346" spans="1:6">
      <c r="A346" s="10" t="str">
        <f t="shared" si="15"/>
        <v/>
      </c>
      <c r="B346" s="85"/>
      <c r="C346" s="28" t="str">
        <f t="shared" si="16"/>
        <v/>
      </c>
      <c r="D346" s="28" t="str">
        <f t="shared" si="17"/>
        <v/>
      </c>
      <c r="E346" s="88"/>
      <c r="F346" s="83"/>
    </row>
    <row r="347" spans="1:6">
      <c r="A347" s="10" t="str">
        <f t="shared" si="15"/>
        <v/>
      </c>
      <c r="B347" s="85"/>
      <c r="C347" s="28" t="str">
        <f t="shared" si="16"/>
        <v/>
      </c>
      <c r="D347" s="28" t="str">
        <f t="shared" si="17"/>
        <v/>
      </c>
      <c r="E347" s="88"/>
      <c r="F347" s="83"/>
    </row>
    <row r="348" spans="1:6">
      <c r="A348" s="10" t="str">
        <f t="shared" si="15"/>
        <v/>
      </c>
      <c r="B348" s="85"/>
      <c r="C348" s="28" t="str">
        <f t="shared" si="16"/>
        <v/>
      </c>
      <c r="D348" s="28" t="str">
        <f t="shared" si="17"/>
        <v/>
      </c>
      <c r="E348" s="88"/>
      <c r="F348" s="83"/>
    </row>
    <row r="349" spans="1:6">
      <c r="A349" s="10" t="str">
        <f t="shared" si="15"/>
        <v/>
      </c>
      <c r="B349" s="85"/>
      <c r="C349" s="28" t="str">
        <f t="shared" si="16"/>
        <v/>
      </c>
      <c r="D349" s="28" t="str">
        <f t="shared" si="17"/>
        <v/>
      </c>
      <c r="E349" s="88"/>
      <c r="F349" s="83"/>
    </row>
    <row r="350" spans="1:6">
      <c r="A350" s="10" t="str">
        <f t="shared" si="15"/>
        <v/>
      </c>
      <c r="B350" s="85"/>
      <c r="C350" s="28" t="str">
        <f t="shared" si="16"/>
        <v/>
      </c>
      <c r="D350" s="28" t="str">
        <f t="shared" si="17"/>
        <v/>
      </c>
      <c r="E350" s="88"/>
      <c r="F350" s="83"/>
    </row>
    <row r="351" spans="1:6">
      <c r="A351" s="10" t="str">
        <f t="shared" si="15"/>
        <v/>
      </c>
      <c r="B351" s="85"/>
      <c r="C351" s="28" t="str">
        <f t="shared" si="16"/>
        <v/>
      </c>
      <c r="D351" s="28" t="str">
        <f t="shared" si="17"/>
        <v/>
      </c>
      <c r="E351" s="88"/>
      <c r="F351" s="83"/>
    </row>
    <row r="352" spans="1:6">
      <c r="A352" s="10" t="str">
        <f t="shared" si="15"/>
        <v/>
      </c>
      <c r="B352" s="85"/>
      <c r="C352" s="28" t="str">
        <f t="shared" si="16"/>
        <v/>
      </c>
      <c r="D352" s="28" t="str">
        <f t="shared" si="17"/>
        <v/>
      </c>
      <c r="E352" s="88"/>
      <c r="F352" s="83"/>
    </row>
    <row r="353" spans="1:6">
      <c r="A353" s="10" t="str">
        <f t="shared" si="15"/>
        <v/>
      </c>
      <c r="B353" s="85"/>
      <c r="C353" s="28" t="str">
        <f t="shared" si="16"/>
        <v/>
      </c>
      <c r="D353" s="28" t="str">
        <f t="shared" si="17"/>
        <v/>
      </c>
      <c r="E353" s="88"/>
      <c r="F353" s="83"/>
    </row>
    <row r="354" spans="1:6">
      <c r="A354" s="10" t="str">
        <f t="shared" si="15"/>
        <v/>
      </c>
      <c r="B354" s="85"/>
      <c r="C354" s="28" t="str">
        <f t="shared" si="16"/>
        <v/>
      </c>
      <c r="D354" s="28" t="str">
        <f t="shared" si="17"/>
        <v/>
      </c>
      <c r="E354" s="88"/>
      <c r="F354" s="83"/>
    </row>
    <row r="355" spans="1:6">
      <c r="A355" s="10" t="str">
        <f t="shared" si="15"/>
        <v/>
      </c>
      <c r="B355" s="85"/>
      <c r="C355" s="28" t="str">
        <f t="shared" si="16"/>
        <v/>
      </c>
      <c r="D355" s="28" t="str">
        <f t="shared" si="17"/>
        <v/>
      </c>
      <c r="E355" s="88"/>
      <c r="F355" s="83"/>
    </row>
    <row r="356" spans="1:6">
      <c r="A356" s="10" t="str">
        <f t="shared" si="15"/>
        <v/>
      </c>
      <c r="B356" s="85"/>
      <c r="C356" s="28" t="str">
        <f t="shared" si="16"/>
        <v/>
      </c>
      <c r="D356" s="28" t="str">
        <f t="shared" si="17"/>
        <v/>
      </c>
      <c r="E356" s="88"/>
      <c r="F356" s="83"/>
    </row>
    <row r="357" spans="1:6">
      <c r="A357" s="10" t="str">
        <f t="shared" si="15"/>
        <v/>
      </c>
      <c r="B357" s="85"/>
      <c r="C357" s="28" t="str">
        <f t="shared" si="16"/>
        <v/>
      </c>
      <c r="D357" s="28" t="str">
        <f t="shared" si="17"/>
        <v/>
      </c>
      <c r="E357" s="88"/>
      <c r="F357" s="83"/>
    </row>
    <row r="358" spans="1:6">
      <c r="A358" s="10" t="str">
        <f t="shared" si="15"/>
        <v/>
      </c>
      <c r="B358" s="85"/>
      <c r="C358" s="28" t="str">
        <f t="shared" si="16"/>
        <v/>
      </c>
      <c r="D358" s="28" t="str">
        <f t="shared" si="17"/>
        <v/>
      </c>
      <c r="E358" s="88"/>
      <c r="F358" s="83"/>
    </row>
    <row r="359" spans="1:6">
      <c r="A359" s="10" t="str">
        <f t="shared" si="15"/>
        <v/>
      </c>
      <c r="B359" s="85"/>
      <c r="C359" s="28" t="str">
        <f t="shared" si="16"/>
        <v/>
      </c>
      <c r="D359" s="28" t="str">
        <f t="shared" si="17"/>
        <v/>
      </c>
      <c r="E359" s="88"/>
      <c r="F359" s="83"/>
    </row>
    <row r="360" spans="1:6">
      <c r="A360" s="10" t="str">
        <f t="shared" si="15"/>
        <v/>
      </c>
      <c r="B360" s="85"/>
      <c r="C360" s="28" t="str">
        <f t="shared" si="16"/>
        <v/>
      </c>
      <c r="D360" s="28" t="str">
        <f t="shared" si="17"/>
        <v/>
      </c>
      <c r="E360" s="88"/>
      <c r="F360" s="83"/>
    </row>
    <row r="361" spans="1:6">
      <c r="A361" s="10" t="str">
        <f t="shared" si="15"/>
        <v/>
      </c>
      <c r="B361" s="85"/>
      <c r="C361" s="28" t="str">
        <f t="shared" si="16"/>
        <v/>
      </c>
      <c r="D361" s="28" t="str">
        <f t="shared" si="17"/>
        <v/>
      </c>
      <c r="E361" s="88"/>
      <c r="F361" s="83"/>
    </row>
    <row r="362" spans="1:6">
      <c r="A362" s="10" t="str">
        <f t="shared" si="15"/>
        <v/>
      </c>
      <c r="B362" s="85"/>
      <c r="C362" s="28" t="str">
        <f t="shared" si="16"/>
        <v/>
      </c>
      <c r="D362" s="28" t="str">
        <f t="shared" si="17"/>
        <v/>
      </c>
      <c r="E362" s="88"/>
      <c r="F362" s="83"/>
    </row>
    <row r="363" spans="1:6">
      <c r="A363" s="10" t="str">
        <f t="shared" si="15"/>
        <v/>
      </c>
      <c r="B363" s="85"/>
      <c r="C363" s="28" t="str">
        <f t="shared" si="16"/>
        <v/>
      </c>
      <c r="D363" s="28" t="str">
        <f t="shared" si="17"/>
        <v/>
      </c>
      <c r="E363" s="88"/>
      <c r="F363" s="83"/>
    </row>
    <row r="364" spans="1:6">
      <c r="A364" s="10" t="str">
        <f t="shared" si="15"/>
        <v/>
      </c>
      <c r="B364" s="85"/>
      <c r="C364" s="28" t="str">
        <f t="shared" si="16"/>
        <v/>
      </c>
      <c r="D364" s="28" t="str">
        <f t="shared" si="17"/>
        <v/>
      </c>
      <c r="E364" s="88"/>
      <c r="F364" s="83"/>
    </row>
    <row r="365" spans="1:6">
      <c r="A365" s="10" t="str">
        <f t="shared" si="15"/>
        <v/>
      </c>
      <c r="B365" s="85"/>
      <c r="C365" s="28" t="str">
        <f t="shared" si="16"/>
        <v/>
      </c>
      <c r="D365" s="28" t="str">
        <f t="shared" si="17"/>
        <v/>
      </c>
      <c r="E365" s="88"/>
      <c r="F365" s="83"/>
    </row>
    <row r="366" spans="1:6">
      <c r="A366" s="10" t="str">
        <f t="shared" si="15"/>
        <v/>
      </c>
      <c r="B366" s="85"/>
      <c r="C366" s="28" t="str">
        <f t="shared" si="16"/>
        <v/>
      </c>
      <c r="D366" s="28" t="str">
        <f t="shared" si="17"/>
        <v/>
      </c>
      <c r="E366" s="88"/>
      <c r="F366" s="83"/>
    </row>
    <row r="367" spans="1:6">
      <c r="A367" s="10" t="str">
        <f t="shared" si="15"/>
        <v/>
      </c>
      <c r="B367" s="85"/>
      <c r="C367" s="28" t="str">
        <f t="shared" si="16"/>
        <v/>
      </c>
      <c r="D367" s="28" t="str">
        <f t="shared" si="17"/>
        <v/>
      </c>
      <c r="E367" s="88"/>
      <c r="F367" s="83"/>
    </row>
    <row r="368" spans="1:6">
      <c r="A368" s="10" t="str">
        <f t="shared" si="15"/>
        <v/>
      </c>
      <c r="B368" s="85"/>
      <c r="C368" s="28" t="str">
        <f t="shared" si="16"/>
        <v/>
      </c>
      <c r="D368" s="28" t="str">
        <f t="shared" si="17"/>
        <v/>
      </c>
      <c r="E368" s="88"/>
      <c r="F368" s="83"/>
    </row>
    <row r="369" spans="1:6">
      <c r="A369" s="10" t="str">
        <f t="shared" si="15"/>
        <v/>
      </c>
      <c r="B369" s="85"/>
      <c r="C369" s="28" t="str">
        <f t="shared" si="16"/>
        <v/>
      </c>
      <c r="D369" s="28" t="str">
        <f t="shared" si="17"/>
        <v/>
      </c>
      <c r="E369" s="88"/>
      <c r="F369" s="83"/>
    </row>
    <row r="370" spans="1:6">
      <c r="A370" s="10" t="str">
        <f t="shared" si="15"/>
        <v/>
      </c>
      <c r="B370" s="85"/>
      <c r="C370" s="28" t="str">
        <f t="shared" si="16"/>
        <v/>
      </c>
      <c r="D370" s="28" t="str">
        <f t="shared" si="17"/>
        <v/>
      </c>
      <c r="E370" s="88"/>
      <c r="F370" s="83"/>
    </row>
    <row r="371" spans="1:6">
      <c r="A371" s="10" t="str">
        <f t="shared" si="15"/>
        <v/>
      </c>
      <c r="B371" s="85"/>
      <c r="C371" s="28" t="str">
        <f t="shared" si="16"/>
        <v/>
      </c>
      <c r="D371" s="28" t="str">
        <f t="shared" si="17"/>
        <v/>
      </c>
      <c r="E371" s="88"/>
      <c r="F371" s="83"/>
    </row>
    <row r="372" spans="1:6">
      <c r="A372" s="10" t="str">
        <f t="shared" si="15"/>
        <v/>
      </c>
      <c r="B372" s="85"/>
      <c r="C372" s="28" t="str">
        <f t="shared" si="16"/>
        <v/>
      </c>
      <c r="D372" s="28" t="str">
        <f t="shared" si="17"/>
        <v/>
      </c>
      <c r="E372" s="88"/>
      <c r="F372" s="83"/>
    </row>
    <row r="373" spans="1:6">
      <c r="A373" s="10" t="str">
        <f t="shared" si="15"/>
        <v/>
      </c>
      <c r="B373" s="85"/>
      <c r="C373" s="28" t="str">
        <f t="shared" si="16"/>
        <v/>
      </c>
      <c r="D373" s="28" t="str">
        <f t="shared" si="17"/>
        <v/>
      </c>
      <c r="E373" s="88"/>
      <c r="F373" s="83"/>
    </row>
    <row r="374" spans="1:6">
      <c r="A374" s="10" t="str">
        <f t="shared" si="15"/>
        <v/>
      </c>
      <c r="B374" s="85"/>
      <c r="C374" s="28" t="str">
        <f t="shared" si="16"/>
        <v/>
      </c>
      <c r="D374" s="28" t="str">
        <f t="shared" si="17"/>
        <v/>
      </c>
      <c r="E374" s="88"/>
      <c r="F374" s="83"/>
    </row>
    <row r="375" spans="1:6">
      <c r="A375" s="10" t="str">
        <f t="shared" si="15"/>
        <v/>
      </c>
      <c r="B375" s="85"/>
      <c r="C375" s="28" t="str">
        <f t="shared" si="16"/>
        <v/>
      </c>
      <c r="D375" s="28" t="str">
        <f t="shared" si="17"/>
        <v/>
      </c>
      <c r="E375" s="88"/>
      <c r="F375" s="83"/>
    </row>
    <row r="376" spans="1:6">
      <c r="A376" s="10" t="str">
        <f t="shared" si="15"/>
        <v/>
      </c>
      <c r="B376" s="85"/>
      <c r="C376" s="28" t="str">
        <f t="shared" si="16"/>
        <v/>
      </c>
      <c r="D376" s="28" t="str">
        <f t="shared" si="17"/>
        <v/>
      </c>
      <c r="E376" s="88"/>
      <c r="F376" s="83"/>
    </row>
    <row r="377" spans="1:6">
      <c r="A377" s="10" t="str">
        <f t="shared" si="15"/>
        <v/>
      </c>
      <c r="B377" s="85"/>
      <c r="C377" s="28" t="str">
        <f t="shared" si="16"/>
        <v/>
      </c>
      <c r="D377" s="28" t="str">
        <f t="shared" si="17"/>
        <v/>
      </c>
      <c r="E377" s="88"/>
      <c r="F377" s="83"/>
    </row>
    <row r="378" spans="1:6">
      <c r="A378" s="10" t="str">
        <f t="shared" si="15"/>
        <v/>
      </c>
      <c r="B378" s="85"/>
      <c r="C378" s="28" t="str">
        <f t="shared" si="16"/>
        <v/>
      </c>
      <c r="D378" s="28" t="str">
        <f t="shared" si="17"/>
        <v/>
      </c>
      <c r="E378" s="88"/>
      <c r="F378" s="83"/>
    </row>
    <row r="379" spans="1:6">
      <c r="A379" s="10" t="str">
        <f t="shared" si="15"/>
        <v/>
      </c>
      <c r="B379" s="85"/>
      <c r="C379" s="28" t="str">
        <f t="shared" si="16"/>
        <v/>
      </c>
      <c r="D379" s="28" t="str">
        <f t="shared" si="17"/>
        <v/>
      </c>
      <c r="E379" s="88"/>
      <c r="F379" s="83"/>
    </row>
    <row r="380" spans="1:6">
      <c r="A380" s="10" t="str">
        <f t="shared" si="15"/>
        <v/>
      </c>
      <c r="B380" s="85"/>
      <c r="C380" s="28" t="str">
        <f t="shared" si="16"/>
        <v/>
      </c>
      <c r="D380" s="28" t="str">
        <f t="shared" si="17"/>
        <v/>
      </c>
      <c r="E380" s="88"/>
      <c r="F380" s="83"/>
    </row>
    <row r="381" spans="1:6">
      <c r="A381" s="10" t="str">
        <f t="shared" si="15"/>
        <v/>
      </c>
      <c r="B381" s="85"/>
      <c r="C381" s="28" t="str">
        <f t="shared" si="16"/>
        <v/>
      </c>
      <c r="D381" s="28" t="str">
        <f t="shared" si="17"/>
        <v/>
      </c>
      <c r="E381" s="88"/>
      <c r="F381" s="83"/>
    </row>
    <row r="382" spans="1:6">
      <c r="A382" s="10" t="str">
        <f t="shared" si="15"/>
        <v/>
      </c>
      <c r="B382" s="85"/>
      <c r="C382" s="28" t="str">
        <f t="shared" si="16"/>
        <v/>
      </c>
      <c r="D382" s="28" t="str">
        <f t="shared" si="17"/>
        <v/>
      </c>
      <c r="E382" s="88"/>
      <c r="F382" s="83"/>
    </row>
    <row r="383" spans="1:6">
      <c r="A383" s="10" t="str">
        <f t="shared" si="15"/>
        <v/>
      </c>
      <c r="B383" s="85"/>
      <c r="C383" s="28" t="str">
        <f t="shared" si="16"/>
        <v/>
      </c>
      <c r="D383" s="28" t="str">
        <f t="shared" si="17"/>
        <v/>
      </c>
      <c r="E383" s="88"/>
      <c r="F383" s="83"/>
    </row>
    <row r="384" spans="1:6">
      <c r="A384" s="10" t="str">
        <f t="shared" si="15"/>
        <v/>
      </c>
      <c r="B384" s="85"/>
      <c r="C384" s="28" t="str">
        <f t="shared" si="16"/>
        <v/>
      </c>
      <c r="D384" s="28" t="str">
        <f t="shared" si="17"/>
        <v/>
      </c>
      <c r="E384" s="88"/>
      <c r="F384" s="83"/>
    </row>
    <row r="385" spans="1:6">
      <c r="A385" s="10" t="str">
        <f t="shared" si="15"/>
        <v/>
      </c>
      <c r="B385" s="85"/>
      <c r="C385" s="28" t="str">
        <f t="shared" si="16"/>
        <v/>
      </c>
      <c r="D385" s="28" t="str">
        <f t="shared" si="17"/>
        <v/>
      </c>
      <c r="E385" s="88"/>
      <c r="F385" s="83"/>
    </row>
    <row r="386" spans="1:6">
      <c r="A386" s="10" t="str">
        <f t="shared" si="15"/>
        <v/>
      </c>
      <c r="B386" s="85"/>
      <c r="C386" s="28" t="str">
        <f t="shared" si="16"/>
        <v/>
      </c>
      <c r="D386" s="28" t="str">
        <f t="shared" si="17"/>
        <v/>
      </c>
      <c r="E386" s="88"/>
      <c r="F386" s="83"/>
    </row>
    <row r="387" spans="1:6">
      <c r="A387" s="10" t="str">
        <f t="shared" ref="A387:A450" si="18">IF(E387&gt;0,A386+1,"")</f>
        <v/>
      </c>
      <c r="B387" s="85"/>
      <c r="C387" s="28" t="str">
        <f t="shared" ref="C387:C450" si="19">IF(B387=0,"",TEXT(B387,"mmmm"))</f>
        <v/>
      </c>
      <c r="D387" s="28" t="str">
        <f t="shared" ref="D387:D450" si="20">IF(B387=0,"",TEXT(B387,"yyyy"))</f>
        <v/>
      </c>
      <c r="E387" s="88"/>
      <c r="F387" s="83"/>
    </row>
    <row r="388" spans="1:6">
      <c r="A388" s="10" t="str">
        <f t="shared" si="18"/>
        <v/>
      </c>
      <c r="B388" s="85"/>
      <c r="C388" s="28" t="str">
        <f t="shared" si="19"/>
        <v/>
      </c>
      <c r="D388" s="28" t="str">
        <f t="shared" si="20"/>
        <v/>
      </c>
      <c r="E388" s="88"/>
      <c r="F388" s="83"/>
    </row>
    <row r="389" spans="1:6">
      <c r="A389" s="10" t="str">
        <f t="shared" si="18"/>
        <v/>
      </c>
      <c r="B389" s="85"/>
      <c r="C389" s="28" t="str">
        <f t="shared" si="19"/>
        <v/>
      </c>
      <c r="D389" s="28" t="str">
        <f t="shared" si="20"/>
        <v/>
      </c>
      <c r="E389" s="88"/>
      <c r="F389" s="83"/>
    </row>
    <row r="390" spans="1:6">
      <c r="A390" s="10" t="str">
        <f t="shared" si="18"/>
        <v/>
      </c>
      <c r="B390" s="85"/>
      <c r="C390" s="28" t="str">
        <f t="shared" si="19"/>
        <v/>
      </c>
      <c r="D390" s="28" t="str">
        <f t="shared" si="20"/>
        <v/>
      </c>
      <c r="E390" s="88"/>
      <c r="F390" s="83"/>
    </row>
    <row r="391" spans="1:6">
      <c r="A391" s="10" t="str">
        <f t="shared" si="18"/>
        <v/>
      </c>
      <c r="B391" s="85"/>
      <c r="C391" s="28" t="str">
        <f t="shared" si="19"/>
        <v/>
      </c>
      <c r="D391" s="28" t="str">
        <f t="shared" si="20"/>
        <v/>
      </c>
      <c r="E391" s="88"/>
      <c r="F391" s="83"/>
    </row>
    <row r="392" spans="1:6">
      <c r="A392" s="10" t="str">
        <f t="shared" si="18"/>
        <v/>
      </c>
      <c r="B392" s="85"/>
      <c r="C392" s="28" t="str">
        <f t="shared" si="19"/>
        <v/>
      </c>
      <c r="D392" s="28" t="str">
        <f t="shared" si="20"/>
        <v/>
      </c>
      <c r="E392" s="88"/>
      <c r="F392" s="83"/>
    </row>
    <row r="393" spans="1:6">
      <c r="A393" s="10" t="str">
        <f t="shared" si="18"/>
        <v/>
      </c>
      <c r="B393" s="85"/>
      <c r="C393" s="28" t="str">
        <f t="shared" si="19"/>
        <v/>
      </c>
      <c r="D393" s="28" t="str">
        <f t="shared" si="20"/>
        <v/>
      </c>
      <c r="E393" s="88"/>
      <c r="F393" s="83"/>
    </row>
    <row r="394" spans="1:6">
      <c r="A394" s="10" t="str">
        <f t="shared" si="18"/>
        <v/>
      </c>
      <c r="B394" s="85"/>
      <c r="C394" s="28" t="str">
        <f t="shared" si="19"/>
        <v/>
      </c>
      <c r="D394" s="28" t="str">
        <f t="shared" si="20"/>
        <v/>
      </c>
      <c r="E394" s="88"/>
      <c r="F394" s="83"/>
    </row>
    <row r="395" spans="1:6">
      <c r="A395" s="10" t="str">
        <f t="shared" si="18"/>
        <v/>
      </c>
      <c r="B395" s="85"/>
      <c r="C395" s="28" t="str">
        <f t="shared" si="19"/>
        <v/>
      </c>
      <c r="D395" s="28" t="str">
        <f t="shared" si="20"/>
        <v/>
      </c>
      <c r="E395" s="88"/>
      <c r="F395" s="83"/>
    </row>
    <row r="396" spans="1:6">
      <c r="A396" s="10" t="str">
        <f t="shared" si="18"/>
        <v/>
      </c>
      <c r="B396" s="85"/>
      <c r="C396" s="28" t="str">
        <f t="shared" si="19"/>
        <v/>
      </c>
      <c r="D396" s="28" t="str">
        <f t="shared" si="20"/>
        <v/>
      </c>
      <c r="E396" s="88"/>
      <c r="F396" s="83"/>
    </row>
    <row r="397" spans="1:6">
      <c r="A397" s="10" t="str">
        <f t="shared" si="18"/>
        <v/>
      </c>
      <c r="B397" s="85"/>
      <c r="C397" s="28" t="str">
        <f t="shared" si="19"/>
        <v/>
      </c>
      <c r="D397" s="28" t="str">
        <f t="shared" si="20"/>
        <v/>
      </c>
      <c r="E397" s="88"/>
      <c r="F397" s="83"/>
    </row>
    <row r="398" spans="1:6">
      <c r="A398" s="10" t="str">
        <f t="shared" si="18"/>
        <v/>
      </c>
      <c r="B398" s="85"/>
      <c r="C398" s="28" t="str">
        <f t="shared" si="19"/>
        <v/>
      </c>
      <c r="D398" s="28" t="str">
        <f t="shared" si="20"/>
        <v/>
      </c>
      <c r="E398" s="88"/>
      <c r="F398" s="83"/>
    </row>
    <row r="399" spans="1:6">
      <c r="A399" s="10" t="str">
        <f t="shared" si="18"/>
        <v/>
      </c>
      <c r="B399" s="85"/>
      <c r="C399" s="28" t="str">
        <f t="shared" si="19"/>
        <v/>
      </c>
      <c r="D399" s="28" t="str">
        <f t="shared" si="20"/>
        <v/>
      </c>
      <c r="E399" s="88"/>
      <c r="F399" s="83"/>
    </row>
    <row r="400" spans="1:6">
      <c r="A400" s="10" t="str">
        <f t="shared" si="18"/>
        <v/>
      </c>
      <c r="B400" s="85"/>
      <c r="C400" s="28" t="str">
        <f t="shared" si="19"/>
        <v/>
      </c>
      <c r="D400" s="28" t="str">
        <f t="shared" si="20"/>
        <v/>
      </c>
      <c r="E400" s="88"/>
      <c r="F400" s="83"/>
    </row>
    <row r="401" spans="1:6">
      <c r="A401" s="10" t="str">
        <f t="shared" si="18"/>
        <v/>
      </c>
      <c r="B401" s="85"/>
      <c r="C401" s="28" t="str">
        <f t="shared" si="19"/>
        <v/>
      </c>
      <c r="D401" s="28" t="str">
        <f t="shared" si="20"/>
        <v/>
      </c>
      <c r="E401" s="88"/>
      <c r="F401" s="83"/>
    </row>
    <row r="402" spans="1:6">
      <c r="A402" s="10" t="str">
        <f t="shared" si="18"/>
        <v/>
      </c>
      <c r="B402" s="85"/>
      <c r="C402" s="28" t="str">
        <f t="shared" si="19"/>
        <v/>
      </c>
      <c r="D402" s="28" t="str">
        <f t="shared" si="20"/>
        <v/>
      </c>
      <c r="E402" s="88"/>
      <c r="F402" s="83"/>
    </row>
    <row r="403" spans="1:6">
      <c r="A403" s="10" t="str">
        <f t="shared" si="18"/>
        <v/>
      </c>
      <c r="B403" s="85"/>
      <c r="C403" s="28" t="str">
        <f t="shared" si="19"/>
        <v/>
      </c>
      <c r="D403" s="28" t="str">
        <f t="shared" si="20"/>
        <v/>
      </c>
      <c r="E403" s="88"/>
      <c r="F403" s="83"/>
    </row>
    <row r="404" spans="1:6">
      <c r="A404" s="10" t="str">
        <f t="shared" si="18"/>
        <v/>
      </c>
      <c r="B404" s="85"/>
      <c r="C404" s="28" t="str">
        <f t="shared" si="19"/>
        <v/>
      </c>
      <c r="D404" s="28" t="str">
        <f t="shared" si="20"/>
        <v/>
      </c>
      <c r="E404" s="88"/>
      <c r="F404" s="83"/>
    </row>
    <row r="405" spans="1:6">
      <c r="A405" s="10" t="str">
        <f t="shared" si="18"/>
        <v/>
      </c>
      <c r="B405" s="85"/>
      <c r="C405" s="28" t="str">
        <f t="shared" si="19"/>
        <v/>
      </c>
      <c r="D405" s="28" t="str">
        <f t="shared" si="20"/>
        <v/>
      </c>
      <c r="E405" s="88"/>
      <c r="F405" s="83"/>
    </row>
    <row r="406" spans="1:6">
      <c r="A406" s="10" t="str">
        <f t="shared" si="18"/>
        <v/>
      </c>
      <c r="B406" s="85"/>
      <c r="C406" s="28" t="str">
        <f t="shared" si="19"/>
        <v/>
      </c>
      <c r="D406" s="28" t="str">
        <f t="shared" si="20"/>
        <v/>
      </c>
      <c r="E406" s="88"/>
      <c r="F406" s="83"/>
    </row>
    <row r="407" spans="1:6">
      <c r="A407" s="10" t="str">
        <f t="shared" si="18"/>
        <v/>
      </c>
      <c r="B407" s="85"/>
      <c r="C407" s="28" t="str">
        <f t="shared" si="19"/>
        <v/>
      </c>
      <c r="D407" s="28" t="str">
        <f t="shared" si="20"/>
        <v/>
      </c>
      <c r="E407" s="88"/>
      <c r="F407" s="83"/>
    </row>
    <row r="408" spans="1:6">
      <c r="A408" s="10" t="str">
        <f t="shared" si="18"/>
        <v/>
      </c>
      <c r="B408" s="85"/>
      <c r="C408" s="28" t="str">
        <f t="shared" si="19"/>
        <v/>
      </c>
      <c r="D408" s="28" t="str">
        <f t="shared" si="20"/>
        <v/>
      </c>
      <c r="E408" s="88"/>
      <c r="F408" s="83"/>
    </row>
    <row r="409" spans="1:6">
      <c r="A409" s="10" t="str">
        <f t="shared" si="18"/>
        <v/>
      </c>
      <c r="B409" s="85"/>
      <c r="C409" s="28" t="str">
        <f t="shared" si="19"/>
        <v/>
      </c>
      <c r="D409" s="28" t="str">
        <f t="shared" si="20"/>
        <v/>
      </c>
      <c r="E409" s="88"/>
      <c r="F409" s="83"/>
    </row>
    <row r="410" spans="1:6">
      <c r="A410" s="10" t="str">
        <f t="shared" si="18"/>
        <v/>
      </c>
      <c r="B410" s="85"/>
      <c r="C410" s="28" t="str">
        <f t="shared" si="19"/>
        <v/>
      </c>
      <c r="D410" s="28" t="str">
        <f t="shared" si="20"/>
        <v/>
      </c>
      <c r="E410" s="88"/>
      <c r="F410" s="83"/>
    </row>
    <row r="411" spans="1:6">
      <c r="A411" s="10" t="str">
        <f t="shared" si="18"/>
        <v/>
      </c>
      <c r="B411" s="85"/>
      <c r="C411" s="28" t="str">
        <f t="shared" si="19"/>
        <v/>
      </c>
      <c r="D411" s="28" t="str">
        <f t="shared" si="20"/>
        <v/>
      </c>
      <c r="E411" s="88"/>
      <c r="F411" s="83"/>
    </row>
    <row r="412" spans="1:6">
      <c r="A412" s="10" t="str">
        <f t="shared" si="18"/>
        <v/>
      </c>
      <c r="B412" s="85"/>
      <c r="C412" s="28" t="str">
        <f t="shared" si="19"/>
        <v/>
      </c>
      <c r="D412" s="28" t="str">
        <f t="shared" si="20"/>
        <v/>
      </c>
      <c r="E412" s="88"/>
      <c r="F412" s="83"/>
    </row>
    <row r="413" spans="1:6">
      <c r="A413" s="10" t="str">
        <f t="shared" si="18"/>
        <v/>
      </c>
      <c r="B413" s="85"/>
      <c r="C413" s="28" t="str">
        <f t="shared" si="19"/>
        <v/>
      </c>
      <c r="D413" s="28" t="str">
        <f t="shared" si="20"/>
        <v/>
      </c>
      <c r="E413" s="88"/>
      <c r="F413" s="83"/>
    </row>
    <row r="414" spans="1:6">
      <c r="A414" s="10" t="str">
        <f t="shared" si="18"/>
        <v/>
      </c>
      <c r="B414" s="85"/>
      <c r="C414" s="28" t="str">
        <f t="shared" si="19"/>
        <v/>
      </c>
      <c r="D414" s="28" t="str">
        <f t="shared" si="20"/>
        <v/>
      </c>
      <c r="E414" s="88"/>
      <c r="F414" s="83"/>
    </row>
    <row r="415" spans="1:6">
      <c r="A415" s="10" t="str">
        <f t="shared" si="18"/>
        <v/>
      </c>
      <c r="B415" s="85"/>
      <c r="C415" s="28" t="str">
        <f t="shared" si="19"/>
        <v/>
      </c>
      <c r="D415" s="28" t="str">
        <f t="shared" si="20"/>
        <v/>
      </c>
      <c r="E415" s="88"/>
      <c r="F415" s="83"/>
    </row>
    <row r="416" spans="1:6">
      <c r="A416" s="10" t="str">
        <f t="shared" si="18"/>
        <v/>
      </c>
      <c r="B416" s="85"/>
      <c r="C416" s="28" t="str">
        <f t="shared" si="19"/>
        <v/>
      </c>
      <c r="D416" s="28" t="str">
        <f t="shared" si="20"/>
        <v/>
      </c>
      <c r="E416" s="88"/>
      <c r="F416" s="83"/>
    </row>
    <row r="417" spans="1:6">
      <c r="A417" s="10" t="str">
        <f t="shared" si="18"/>
        <v/>
      </c>
      <c r="B417" s="85"/>
      <c r="C417" s="28" t="str">
        <f t="shared" si="19"/>
        <v/>
      </c>
      <c r="D417" s="28" t="str">
        <f t="shared" si="20"/>
        <v/>
      </c>
      <c r="E417" s="88"/>
      <c r="F417" s="83"/>
    </row>
    <row r="418" spans="1:6">
      <c r="A418" s="10" t="str">
        <f t="shared" si="18"/>
        <v/>
      </c>
      <c r="B418" s="85"/>
      <c r="C418" s="28" t="str">
        <f t="shared" si="19"/>
        <v/>
      </c>
      <c r="D418" s="28" t="str">
        <f t="shared" si="20"/>
        <v/>
      </c>
      <c r="E418" s="88"/>
      <c r="F418" s="83"/>
    </row>
    <row r="419" spans="1:6">
      <c r="A419" s="10" t="str">
        <f t="shared" si="18"/>
        <v/>
      </c>
      <c r="B419" s="85"/>
      <c r="C419" s="28" t="str">
        <f t="shared" si="19"/>
        <v/>
      </c>
      <c r="D419" s="28" t="str">
        <f t="shared" si="20"/>
        <v/>
      </c>
      <c r="E419" s="88"/>
      <c r="F419" s="83"/>
    </row>
    <row r="420" spans="1:6">
      <c r="A420" s="10" t="str">
        <f t="shared" si="18"/>
        <v/>
      </c>
      <c r="B420" s="85"/>
      <c r="C420" s="28" t="str">
        <f t="shared" si="19"/>
        <v/>
      </c>
      <c r="D420" s="28" t="str">
        <f t="shared" si="20"/>
        <v/>
      </c>
      <c r="E420" s="88"/>
      <c r="F420" s="83"/>
    </row>
    <row r="421" spans="1:6">
      <c r="A421" s="10" t="str">
        <f t="shared" si="18"/>
        <v/>
      </c>
      <c r="B421" s="85"/>
      <c r="C421" s="28" t="str">
        <f t="shared" si="19"/>
        <v/>
      </c>
      <c r="D421" s="28" t="str">
        <f t="shared" si="20"/>
        <v/>
      </c>
      <c r="E421" s="88"/>
      <c r="F421" s="83"/>
    </row>
    <row r="422" spans="1:6">
      <c r="A422" s="10" t="str">
        <f t="shared" si="18"/>
        <v/>
      </c>
      <c r="B422" s="85"/>
      <c r="C422" s="28" t="str">
        <f t="shared" si="19"/>
        <v/>
      </c>
      <c r="D422" s="28" t="str">
        <f t="shared" si="20"/>
        <v/>
      </c>
      <c r="E422" s="88"/>
      <c r="F422" s="83"/>
    </row>
    <row r="423" spans="1:6">
      <c r="A423" s="10" t="str">
        <f t="shared" si="18"/>
        <v/>
      </c>
      <c r="B423" s="85"/>
      <c r="C423" s="28" t="str">
        <f t="shared" si="19"/>
        <v/>
      </c>
      <c r="D423" s="28" t="str">
        <f t="shared" si="20"/>
        <v/>
      </c>
      <c r="E423" s="88"/>
      <c r="F423" s="83"/>
    </row>
    <row r="424" spans="1:6">
      <c r="A424" s="10" t="str">
        <f t="shared" si="18"/>
        <v/>
      </c>
      <c r="B424" s="85"/>
      <c r="C424" s="28" t="str">
        <f t="shared" si="19"/>
        <v/>
      </c>
      <c r="D424" s="28" t="str">
        <f t="shared" si="20"/>
        <v/>
      </c>
      <c r="E424" s="88"/>
      <c r="F424" s="83"/>
    </row>
    <row r="425" spans="1:6">
      <c r="A425" s="10" t="str">
        <f t="shared" si="18"/>
        <v/>
      </c>
      <c r="B425" s="85"/>
      <c r="C425" s="28" t="str">
        <f t="shared" si="19"/>
        <v/>
      </c>
      <c r="D425" s="28" t="str">
        <f t="shared" si="20"/>
        <v/>
      </c>
      <c r="E425" s="88"/>
      <c r="F425" s="83"/>
    </row>
    <row r="426" spans="1:6">
      <c r="A426" s="10" t="str">
        <f t="shared" si="18"/>
        <v/>
      </c>
      <c r="B426" s="85"/>
      <c r="C426" s="28" t="str">
        <f t="shared" si="19"/>
        <v/>
      </c>
      <c r="D426" s="28" t="str">
        <f t="shared" si="20"/>
        <v/>
      </c>
      <c r="E426" s="88"/>
      <c r="F426" s="83"/>
    </row>
    <row r="427" spans="1:6">
      <c r="A427" s="10" t="str">
        <f t="shared" si="18"/>
        <v/>
      </c>
      <c r="B427" s="85"/>
      <c r="C427" s="28" t="str">
        <f t="shared" si="19"/>
        <v/>
      </c>
      <c r="D427" s="28" t="str">
        <f t="shared" si="20"/>
        <v/>
      </c>
      <c r="E427" s="88"/>
      <c r="F427" s="83"/>
    </row>
    <row r="428" spans="1:6">
      <c r="A428" s="10" t="str">
        <f t="shared" si="18"/>
        <v/>
      </c>
      <c r="B428" s="85"/>
      <c r="C428" s="28" t="str">
        <f t="shared" si="19"/>
        <v/>
      </c>
      <c r="D428" s="28" t="str">
        <f t="shared" si="20"/>
        <v/>
      </c>
      <c r="E428" s="88"/>
      <c r="F428" s="83"/>
    </row>
    <row r="429" spans="1:6">
      <c r="A429" s="10" t="str">
        <f t="shared" si="18"/>
        <v/>
      </c>
      <c r="B429" s="85"/>
      <c r="C429" s="28" t="str">
        <f t="shared" si="19"/>
        <v/>
      </c>
      <c r="D429" s="28" t="str">
        <f t="shared" si="20"/>
        <v/>
      </c>
      <c r="E429" s="88"/>
      <c r="F429" s="83"/>
    </row>
    <row r="430" spans="1:6">
      <c r="A430" s="10" t="str">
        <f t="shared" si="18"/>
        <v/>
      </c>
      <c r="B430" s="85"/>
      <c r="C430" s="28" t="str">
        <f t="shared" si="19"/>
        <v/>
      </c>
      <c r="D430" s="28" t="str">
        <f t="shared" si="20"/>
        <v/>
      </c>
      <c r="E430" s="88"/>
      <c r="F430" s="83"/>
    </row>
    <row r="431" spans="1:6">
      <c r="A431" s="10" t="str">
        <f t="shared" si="18"/>
        <v/>
      </c>
      <c r="B431" s="85"/>
      <c r="C431" s="28" t="str">
        <f t="shared" si="19"/>
        <v/>
      </c>
      <c r="D431" s="28" t="str">
        <f t="shared" si="20"/>
        <v/>
      </c>
      <c r="E431" s="88"/>
      <c r="F431" s="83"/>
    </row>
    <row r="432" spans="1:6">
      <c r="A432" s="10" t="str">
        <f t="shared" si="18"/>
        <v/>
      </c>
      <c r="B432" s="85"/>
      <c r="C432" s="28" t="str">
        <f t="shared" si="19"/>
        <v/>
      </c>
      <c r="D432" s="28" t="str">
        <f t="shared" si="20"/>
        <v/>
      </c>
      <c r="E432" s="88"/>
      <c r="F432" s="83"/>
    </row>
    <row r="433" spans="1:6">
      <c r="A433" s="10" t="str">
        <f t="shared" si="18"/>
        <v/>
      </c>
      <c r="B433" s="85"/>
      <c r="C433" s="28" t="str">
        <f t="shared" si="19"/>
        <v/>
      </c>
      <c r="D433" s="28" t="str">
        <f t="shared" si="20"/>
        <v/>
      </c>
      <c r="E433" s="88"/>
      <c r="F433" s="83"/>
    </row>
    <row r="434" spans="1:6">
      <c r="A434" s="10" t="str">
        <f t="shared" si="18"/>
        <v/>
      </c>
      <c r="B434" s="85"/>
      <c r="C434" s="28" t="str">
        <f t="shared" si="19"/>
        <v/>
      </c>
      <c r="D434" s="28" t="str">
        <f t="shared" si="20"/>
        <v/>
      </c>
      <c r="E434" s="88"/>
      <c r="F434" s="83"/>
    </row>
    <row r="435" spans="1:6">
      <c r="A435" s="10" t="str">
        <f t="shared" si="18"/>
        <v/>
      </c>
      <c r="B435" s="85"/>
      <c r="C435" s="28" t="str">
        <f t="shared" si="19"/>
        <v/>
      </c>
      <c r="D435" s="28" t="str">
        <f t="shared" si="20"/>
        <v/>
      </c>
      <c r="E435" s="88"/>
      <c r="F435" s="83"/>
    </row>
    <row r="436" spans="1:6">
      <c r="A436" s="10" t="str">
        <f t="shared" si="18"/>
        <v/>
      </c>
      <c r="B436" s="85"/>
      <c r="C436" s="28" t="str">
        <f t="shared" si="19"/>
        <v/>
      </c>
      <c r="D436" s="28" t="str">
        <f t="shared" si="20"/>
        <v/>
      </c>
      <c r="E436" s="88"/>
      <c r="F436" s="83"/>
    </row>
    <row r="437" spans="1:6">
      <c r="A437" s="10" t="str">
        <f t="shared" si="18"/>
        <v/>
      </c>
      <c r="B437" s="85"/>
      <c r="C437" s="28" t="str">
        <f t="shared" si="19"/>
        <v/>
      </c>
      <c r="D437" s="28" t="str">
        <f t="shared" si="20"/>
        <v/>
      </c>
      <c r="E437" s="88"/>
      <c r="F437" s="83"/>
    </row>
    <row r="438" spans="1:6">
      <c r="A438" s="10" t="str">
        <f t="shared" si="18"/>
        <v/>
      </c>
      <c r="B438" s="85"/>
      <c r="C438" s="28" t="str">
        <f t="shared" si="19"/>
        <v/>
      </c>
      <c r="D438" s="28" t="str">
        <f t="shared" si="20"/>
        <v/>
      </c>
      <c r="E438" s="88"/>
      <c r="F438" s="83"/>
    </row>
    <row r="439" spans="1:6">
      <c r="A439" s="10" t="str">
        <f t="shared" si="18"/>
        <v/>
      </c>
      <c r="B439" s="85"/>
      <c r="C439" s="28" t="str">
        <f t="shared" si="19"/>
        <v/>
      </c>
      <c r="D439" s="28" t="str">
        <f t="shared" si="20"/>
        <v/>
      </c>
      <c r="E439" s="88"/>
      <c r="F439" s="83"/>
    </row>
    <row r="440" spans="1:6">
      <c r="A440" s="10" t="str">
        <f t="shared" si="18"/>
        <v/>
      </c>
      <c r="B440" s="85"/>
      <c r="C440" s="28" t="str">
        <f t="shared" si="19"/>
        <v/>
      </c>
      <c r="D440" s="28" t="str">
        <f t="shared" si="20"/>
        <v/>
      </c>
      <c r="E440" s="88"/>
      <c r="F440" s="83"/>
    </row>
    <row r="441" spans="1:6">
      <c r="A441" s="10" t="str">
        <f t="shared" si="18"/>
        <v/>
      </c>
      <c r="B441" s="85"/>
      <c r="C441" s="28" t="str">
        <f t="shared" si="19"/>
        <v/>
      </c>
      <c r="D441" s="28" t="str">
        <f t="shared" si="20"/>
        <v/>
      </c>
      <c r="E441" s="88"/>
      <c r="F441" s="83"/>
    </row>
    <row r="442" spans="1:6">
      <c r="A442" s="10" t="str">
        <f t="shared" si="18"/>
        <v/>
      </c>
      <c r="B442" s="85"/>
      <c r="C442" s="28" t="str">
        <f t="shared" si="19"/>
        <v/>
      </c>
      <c r="D442" s="28" t="str">
        <f t="shared" si="20"/>
        <v/>
      </c>
      <c r="E442" s="88"/>
      <c r="F442" s="83"/>
    </row>
    <row r="443" spans="1:6">
      <c r="A443" s="10" t="str">
        <f t="shared" si="18"/>
        <v/>
      </c>
      <c r="B443" s="85"/>
      <c r="C443" s="28" t="str">
        <f t="shared" si="19"/>
        <v/>
      </c>
      <c r="D443" s="28" t="str">
        <f t="shared" si="20"/>
        <v/>
      </c>
      <c r="E443" s="88"/>
      <c r="F443" s="83"/>
    </row>
    <row r="444" spans="1:6">
      <c r="A444" s="10" t="str">
        <f t="shared" si="18"/>
        <v/>
      </c>
      <c r="B444" s="85"/>
      <c r="C444" s="28" t="str">
        <f t="shared" si="19"/>
        <v/>
      </c>
      <c r="D444" s="28" t="str">
        <f t="shared" si="20"/>
        <v/>
      </c>
      <c r="E444" s="88"/>
      <c r="F444" s="83"/>
    </row>
    <row r="445" spans="1:6">
      <c r="A445" s="10" t="str">
        <f t="shared" si="18"/>
        <v/>
      </c>
      <c r="B445" s="85"/>
      <c r="C445" s="28" t="str">
        <f t="shared" si="19"/>
        <v/>
      </c>
      <c r="D445" s="28" t="str">
        <f t="shared" si="20"/>
        <v/>
      </c>
      <c r="E445" s="88"/>
      <c r="F445" s="83"/>
    </row>
    <row r="446" spans="1:6">
      <c r="A446" s="10" t="str">
        <f t="shared" si="18"/>
        <v/>
      </c>
      <c r="B446" s="85"/>
      <c r="C446" s="28" t="str">
        <f t="shared" si="19"/>
        <v/>
      </c>
      <c r="D446" s="28" t="str">
        <f t="shared" si="20"/>
        <v/>
      </c>
      <c r="E446" s="88"/>
      <c r="F446" s="83"/>
    </row>
    <row r="447" spans="1:6">
      <c r="A447" s="10" t="str">
        <f t="shared" si="18"/>
        <v/>
      </c>
      <c r="B447" s="85"/>
      <c r="C447" s="28" t="str">
        <f t="shared" si="19"/>
        <v/>
      </c>
      <c r="D447" s="28" t="str">
        <f t="shared" si="20"/>
        <v/>
      </c>
      <c r="E447" s="88"/>
      <c r="F447" s="83"/>
    </row>
    <row r="448" spans="1:6">
      <c r="A448" s="10" t="str">
        <f t="shared" si="18"/>
        <v/>
      </c>
      <c r="B448" s="85"/>
      <c r="C448" s="28" t="str">
        <f t="shared" si="19"/>
        <v/>
      </c>
      <c r="D448" s="28" t="str">
        <f t="shared" si="20"/>
        <v/>
      </c>
      <c r="E448" s="88"/>
      <c r="F448" s="83"/>
    </row>
    <row r="449" spans="1:6">
      <c r="A449" s="10" t="str">
        <f t="shared" si="18"/>
        <v/>
      </c>
      <c r="B449" s="85"/>
      <c r="C449" s="28" t="str">
        <f t="shared" si="19"/>
        <v/>
      </c>
      <c r="D449" s="28" t="str">
        <f t="shared" si="20"/>
        <v/>
      </c>
      <c r="E449" s="88"/>
      <c r="F449" s="83"/>
    </row>
    <row r="450" spans="1:6">
      <c r="A450" s="10" t="str">
        <f t="shared" si="18"/>
        <v/>
      </c>
      <c r="B450" s="85"/>
      <c r="C450" s="28" t="str">
        <f t="shared" si="19"/>
        <v/>
      </c>
      <c r="D450" s="28" t="str">
        <f t="shared" si="20"/>
        <v/>
      </c>
      <c r="E450" s="88"/>
      <c r="F450" s="83"/>
    </row>
    <row r="451" spans="1:6">
      <c r="A451" s="10" t="str">
        <f t="shared" ref="A451:A514" si="21">IF(E451&gt;0,A450+1,"")</f>
        <v/>
      </c>
      <c r="B451" s="85"/>
      <c r="C451" s="28" t="str">
        <f t="shared" ref="C451:C514" si="22">IF(B451=0,"",TEXT(B451,"mmmm"))</f>
        <v/>
      </c>
      <c r="D451" s="28" t="str">
        <f t="shared" ref="D451:D514" si="23">IF(B451=0,"",TEXT(B451,"yyyy"))</f>
        <v/>
      </c>
      <c r="E451" s="88"/>
      <c r="F451" s="83"/>
    </row>
    <row r="452" spans="1:6">
      <c r="A452" s="10" t="str">
        <f t="shared" si="21"/>
        <v/>
      </c>
      <c r="B452" s="85"/>
      <c r="C452" s="28" t="str">
        <f t="shared" si="22"/>
        <v/>
      </c>
      <c r="D452" s="28" t="str">
        <f t="shared" si="23"/>
        <v/>
      </c>
      <c r="E452" s="88"/>
      <c r="F452" s="83"/>
    </row>
    <row r="453" spans="1:6">
      <c r="A453" s="10" t="str">
        <f t="shared" si="21"/>
        <v/>
      </c>
      <c r="B453" s="85"/>
      <c r="C453" s="28" t="str">
        <f t="shared" si="22"/>
        <v/>
      </c>
      <c r="D453" s="28" t="str">
        <f t="shared" si="23"/>
        <v/>
      </c>
      <c r="E453" s="88"/>
      <c r="F453" s="83"/>
    </row>
    <row r="454" spans="1:6">
      <c r="A454" s="10" t="str">
        <f t="shared" si="21"/>
        <v/>
      </c>
      <c r="B454" s="85"/>
      <c r="C454" s="28" t="str">
        <f t="shared" si="22"/>
        <v/>
      </c>
      <c r="D454" s="28" t="str">
        <f t="shared" si="23"/>
        <v/>
      </c>
      <c r="E454" s="88"/>
      <c r="F454" s="83"/>
    </row>
    <row r="455" spans="1:6">
      <c r="A455" s="10" t="str">
        <f t="shared" si="21"/>
        <v/>
      </c>
      <c r="B455" s="85"/>
      <c r="C455" s="28" t="str">
        <f t="shared" si="22"/>
        <v/>
      </c>
      <c r="D455" s="28" t="str">
        <f t="shared" si="23"/>
        <v/>
      </c>
      <c r="E455" s="88"/>
      <c r="F455" s="83"/>
    </row>
    <row r="456" spans="1:6">
      <c r="A456" s="10" t="str">
        <f t="shared" si="21"/>
        <v/>
      </c>
      <c r="B456" s="85"/>
      <c r="C456" s="28" t="str">
        <f t="shared" si="22"/>
        <v/>
      </c>
      <c r="D456" s="28" t="str">
        <f t="shared" si="23"/>
        <v/>
      </c>
      <c r="E456" s="88"/>
      <c r="F456" s="83"/>
    </row>
    <row r="457" spans="1:6">
      <c r="A457" s="10" t="str">
        <f t="shared" si="21"/>
        <v/>
      </c>
      <c r="B457" s="85"/>
      <c r="C457" s="28" t="str">
        <f t="shared" si="22"/>
        <v/>
      </c>
      <c r="D457" s="28" t="str">
        <f t="shared" si="23"/>
        <v/>
      </c>
      <c r="E457" s="88"/>
      <c r="F457" s="83"/>
    </row>
    <row r="458" spans="1:6">
      <c r="A458" s="10" t="str">
        <f t="shared" si="21"/>
        <v/>
      </c>
      <c r="B458" s="85"/>
      <c r="C458" s="28" t="str">
        <f t="shared" si="22"/>
        <v/>
      </c>
      <c r="D458" s="28" t="str">
        <f t="shared" si="23"/>
        <v/>
      </c>
      <c r="E458" s="88"/>
      <c r="F458" s="83"/>
    </row>
    <row r="459" spans="1:6">
      <c r="A459" s="10" t="str">
        <f t="shared" si="21"/>
        <v/>
      </c>
      <c r="B459" s="85"/>
      <c r="C459" s="28" t="str">
        <f t="shared" si="22"/>
        <v/>
      </c>
      <c r="D459" s="28" t="str">
        <f t="shared" si="23"/>
        <v/>
      </c>
      <c r="E459" s="88"/>
      <c r="F459" s="83"/>
    </row>
    <row r="460" spans="1:6">
      <c r="A460" s="10" t="str">
        <f t="shared" si="21"/>
        <v/>
      </c>
      <c r="B460" s="85"/>
      <c r="C460" s="28" t="str">
        <f t="shared" si="22"/>
        <v/>
      </c>
      <c r="D460" s="28" t="str">
        <f t="shared" si="23"/>
        <v/>
      </c>
      <c r="E460" s="88"/>
      <c r="F460" s="83"/>
    </row>
    <row r="461" spans="1:6">
      <c r="A461" s="10" t="str">
        <f t="shared" si="21"/>
        <v/>
      </c>
      <c r="B461" s="85"/>
      <c r="C461" s="28" t="str">
        <f t="shared" si="22"/>
        <v/>
      </c>
      <c r="D461" s="28" t="str">
        <f t="shared" si="23"/>
        <v/>
      </c>
      <c r="E461" s="88"/>
      <c r="F461" s="83"/>
    </row>
    <row r="462" spans="1:6">
      <c r="A462" s="10" t="str">
        <f t="shared" si="21"/>
        <v/>
      </c>
      <c r="B462" s="85"/>
      <c r="C462" s="28" t="str">
        <f t="shared" si="22"/>
        <v/>
      </c>
      <c r="D462" s="28" t="str">
        <f t="shared" si="23"/>
        <v/>
      </c>
      <c r="E462" s="88"/>
      <c r="F462" s="83"/>
    </row>
    <row r="463" spans="1:6">
      <c r="A463" s="10" t="str">
        <f t="shared" si="21"/>
        <v/>
      </c>
      <c r="B463" s="85"/>
      <c r="C463" s="28" t="str">
        <f t="shared" si="22"/>
        <v/>
      </c>
      <c r="D463" s="28" t="str">
        <f t="shared" si="23"/>
        <v/>
      </c>
      <c r="E463" s="88"/>
      <c r="F463" s="83"/>
    </row>
    <row r="464" spans="1:6">
      <c r="A464" s="10" t="str">
        <f t="shared" si="21"/>
        <v/>
      </c>
      <c r="B464" s="85"/>
      <c r="C464" s="28" t="str">
        <f t="shared" si="22"/>
        <v/>
      </c>
      <c r="D464" s="28" t="str">
        <f t="shared" si="23"/>
        <v/>
      </c>
      <c r="E464" s="88"/>
      <c r="F464" s="83"/>
    </row>
    <row r="465" spans="1:6">
      <c r="A465" s="10" t="str">
        <f t="shared" si="21"/>
        <v/>
      </c>
      <c r="B465" s="85"/>
      <c r="C465" s="28" t="str">
        <f t="shared" si="22"/>
        <v/>
      </c>
      <c r="D465" s="28" t="str">
        <f t="shared" si="23"/>
        <v/>
      </c>
      <c r="E465" s="88"/>
      <c r="F465" s="83"/>
    </row>
    <row r="466" spans="1:6">
      <c r="A466" s="10" t="str">
        <f t="shared" si="21"/>
        <v/>
      </c>
      <c r="B466" s="85"/>
      <c r="C466" s="28" t="str">
        <f t="shared" si="22"/>
        <v/>
      </c>
      <c r="D466" s="28" t="str">
        <f t="shared" si="23"/>
        <v/>
      </c>
      <c r="E466" s="88"/>
      <c r="F466" s="83"/>
    </row>
    <row r="467" spans="1:6">
      <c r="A467" s="10" t="str">
        <f t="shared" si="21"/>
        <v/>
      </c>
      <c r="B467" s="85"/>
      <c r="C467" s="28" t="str">
        <f t="shared" si="22"/>
        <v/>
      </c>
      <c r="D467" s="28" t="str">
        <f t="shared" si="23"/>
        <v/>
      </c>
      <c r="E467" s="88"/>
      <c r="F467" s="83"/>
    </row>
    <row r="468" spans="1:6">
      <c r="A468" s="10" t="str">
        <f t="shared" si="21"/>
        <v/>
      </c>
      <c r="B468" s="85"/>
      <c r="C468" s="28" t="str">
        <f t="shared" si="22"/>
        <v/>
      </c>
      <c r="D468" s="28" t="str">
        <f t="shared" si="23"/>
        <v/>
      </c>
      <c r="E468" s="88"/>
      <c r="F468" s="83"/>
    </row>
    <row r="469" spans="1:6">
      <c r="A469" s="10" t="str">
        <f t="shared" si="21"/>
        <v/>
      </c>
      <c r="B469" s="85"/>
      <c r="C469" s="28" t="str">
        <f t="shared" si="22"/>
        <v/>
      </c>
      <c r="D469" s="28" t="str">
        <f t="shared" si="23"/>
        <v/>
      </c>
      <c r="E469" s="88"/>
      <c r="F469" s="83"/>
    </row>
    <row r="470" spans="1:6">
      <c r="A470" s="10" t="str">
        <f t="shared" si="21"/>
        <v/>
      </c>
      <c r="B470" s="85"/>
      <c r="C470" s="28" t="str">
        <f t="shared" si="22"/>
        <v/>
      </c>
      <c r="D470" s="28" t="str">
        <f t="shared" si="23"/>
        <v/>
      </c>
      <c r="E470" s="88"/>
      <c r="F470" s="83"/>
    </row>
    <row r="471" spans="1:6">
      <c r="A471" s="10" t="str">
        <f t="shared" si="21"/>
        <v/>
      </c>
      <c r="B471" s="85"/>
      <c r="C471" s="28" t="str">
        <f t="shared" si="22"/>
        <v/>
      </c>
      <c r="D471" s="28" t="str">
        <f t="shared" si="23"/>
        <v/>
      </c>
      <c r="E471" s="88"/>
      <c r="F471" s="83"/>
    </row>
    <row r="472" spans="1:6">
      <c r="A472" s="10" t="str">
        <f t="shared" si="21"/>
        <v/>
      </c>
      <c r="B472" s="85"/>
      <c r="C472" s="28" t="str">
        <f t="shared" si="22"/>
        <v/>
      </c>
      <c r="D472" s="28" t="str">
        <f t="shared" si="23"/>
        <v/>
      </c>
      <c r="E472" s="88"/>
      <c r="F472" s="83"/>
    </row>
    <row r="473" spans="1:6">
      <c r="A473" s="10" t="str">
        <f t="shared" si="21"/>
        <v/>
      </c>
      <c r="B473" s="85"/>
      <c r="C473" s="28" t="str">
        <f t="shared" si="22"/>
        <v/>
      </c>
      <c r="D473" s="28" t="str">
        <f t="shared" si="23"/>
        <v/>
      </c>
      <c r="E473" s="88"/>
      <c r="F473" s="83"/>
    </row>
    <row r="474" spans="1:6">
      <c r="A474" s="10" t="str">
        <f t="shared" si="21"/>
        <v/>
      </c>
      <c r="B474" s="85"/>
      <c r="C474" s="28" t="str">
        <f t="shared" si="22"/>
        <v/>
      </c>
      <c r="D474" s="28" t="str">
        <f t="shared" si="23"/>
        <v/>
      </c>
      <c r="E474" s="88"/>
      <c r="F474" s="83"/>
    </row>
    <row r="475" spans="1:6">
      <c r="A475" s="10" t="str">
        <f t="shared" si="21"/>
        <v/>
      </c>
      <c r="B475" s="85"/>
      <c r="C475" s="28" t="str">
        <f t="shared" si="22"/>
        <v/>
      </c>
      <c r="D475" s="28" t="str">
        <f t="shared" si="23"/>
        <v/>
      </c>
      <c r="E475" s="88"/>
      <c r="F475" s="83"/>
    </row>
    <row r="476" spans="1:6">
      <c r="A476" s="10" t="str">
        <f t="shared" si="21"/>
        <v/>
      </c>
      <c r="B476" s="85"/>
      <c r="C476" s="28" t="str">
        <f t="shared" si="22"/>
        <v/>
      </c>
      <c r="D476" s="28" t="str">
        <f t="shared" si="23"/>
        <v/>
      </c>
      <c r="E476" s="88"/>
      <c r="F476" s="83"/>
    </row>
    <row r="477" spans="1:6">
      <c r="A477" s="10" t="str">
        <f t="shared" si="21"/>
        <v/>
      </c>
      <c r="B477" s="85"/>
      <c r="C477" s="28" t="str">
        <f t="shared" si="22"/>
        <v/>
      </c>
      <c r="D477" s="28" t="str">
        <f t="shared" si="23"/>
        <v/>
      </c>
      <c r="E477" s="88"/>
      <c r="F477" s="83"/>
    </row>
    <row r="478" spans="1:6">
      <c r="A478" s="10" t="str">
        <f t="shared" si="21"/>
        <v/>
      </c>
      <c r="B478" s="85"/>
      <c r="C478" s="28" t="str">
        <f t="shared" si="22"/>
        <v/>
      </c>
      <c r="D478" s="28" t="str">
        <f t="shared" si="23"/>
        <v/>
      </c>
      <c r="E478" s="88"/>
      <c r="F478" s="83"/>
    </row>
    <row r="479" spans="1:6">
      <c r="A479" s="10" t="str">
        <f t="shared" si="21"/>
        <v/>
      </c>
      <c r="B479" s="85"/>
      <c r="C479" s="28" t="str">
        <f t="shared" si="22"/>
        <v/>
      </c>
      <c r="D479" s="28" t="str">
        <f t="shared" si="23"/>
        <v/>
      </c>
      <c r="E479" s="88"/>
      <c r="F479" s="83"/>
    </row>
    <row r="480" spans="1:6">
      <c r="A480" s="10" t="str">
        <f t="shared" si="21"/>
        <v/>
      </c>
      <c r="B480" s="85"/>
      <c r="C480" s="28" t="str">
        <f t="shared" si="22"/>
        <v/>
      </c>
      <c r="D480" s="28" t="str">
        <f t="shared" si="23"/>
        <v/>
      </c>
      <c r="E480" s="88"/>
      <c r="F480" s="83"/>
    </row>
    <row r="481" spans="1:6">
      <c r="A481" s="10" t="str">
        <f t="shared" si="21"/>
        <v/>
      </c>
      <c r="B481" s="85"/>
      <c r="C481" s="28" t="str">
        <f t="shared" si="22"/>
        <v/>
      </c>
      <c r="D481" s="28" t="str">
        <f t="shared" si="23"/>
        <v/>
      </c>
      <c r="E481" s="88"/>
      <c r="F481" s="83"/>
    </row>
    <row r="482" spans="1:6">
      <c r="A482" s="10" t="str">
        <f t="shared" si="21"/>
        <v/>
      </c>
      <c r="B482" s="85"/>
      <c r="C482" s="28" t="str">
        <f t="shared" si="22"/>
        <v/>
      </c>
      <c r="D482" s="28" t="str">
        <f t="shared" si="23"/>
        <v/>
      </c>
      <c r="E482" s="88"/>
      <c r="F482" s="83"/>
    </row>
    <row r="483" spans="1:6">
      <c r="A483" s="10" t="str">
        <f t="shared" si="21"/>
        <v/>
      </c>
      <c r="B483" s="85"/>
      <c r="C483" s="28" t="str">
        <f t="shared" si="22"/>
        <v/>
      </c>
      <c r="D483" s="28" t="str">
        <f t="shared" si="23"/>
        <v/>
      </c>
      <c r="E483" s="88"/>
      <c r="F483" s="83"/>
    </row>
    <row r="484" spans="1:6">
      <c r="A484" s="10" t="str">
        <f t="shared" si="21"/>
        <v/>
      </c>
      <c r="B484" s="85"/>
      <c r="C484" s="28" t="str">
        <f t="shared" si="22"/>
        <v/>
      </c>
      <c r="D484" s="28" t="str">
        <f t="shared" si="23"/>
        <v/>
      </c>
      <c r="E484" s="88"/>
      <c r="F484" s="83"/>
    </row>
    <row r="485" spans="1:6">
      <c r="A485" s="10" t="str">
        <f t="shared" si="21"/>
        <v/>
      </c>
      <c r="B485" s="85"/>
      <c r="C485" s="28" t="str">
        <f t="shared" si="22"/>
        <v/>
      </c>
      <c r="D485" s="28" t="str">
        <f t="shared" si="23"/>
        <v/>
      </c>
      <c r="E485" s="88"/>
      <c r="F485" s="83"/>
    </row>
    <row r="486" spans="1:6">
      <c r="A486" s="10" t="str">
        <f t="shared" si="21"/>
        <v/>
      </c>
      <c r="B486" s="85"/>
      <c r="C486" s="28" t="str">
        <f t="shared" si="22"/>
        <v/>
      </c>
      <c r="D486" s="28" t="str">
        <f t="shared" si="23"/>
        <v/>
      </c>
      <c r="E486" s="88"/>
      <c r="F486" s="83"/>
    </row>
    <row r="487" spans="1:6">
      <c r="A487" s="10" t="str">
        <f t="shared" si="21"/>
        <v/>
      </c>
      <c r="B487" s="85"/>
      <c r="C487" s="28" t="str">
        <f t="shared" si="22"/>
        <v/>
      </c>
      <c r="D487" s="28" t="str">
        <f t="shared" si="23"/>
        <v/>
      </c>
      <c r="E487" s="88"/>
      <c r="F487" s="83"/>
    </row>
    <row r="488" spans="1:6">
      <c r="A488" s="10" t="str">
        <f t="shared" si="21"/>
        <v/>
      </c>
      <c r="B488" s="85"/>
      <c r="C488" s="28" t="str">
        <f t="shared" si="22"/>
        <v/>
      </c>
      <c r="D488" s="28" t="str">
        <f t="shared" si="23"/>
        <v/>
      </c>
      <c r="E488" s="88"/>
      <c r="F488" s="83"/>
    </row>
    <row r="489" spans="1:6">
      <c r="A489" s="10" t="str">
        <f t="shared" si="21"/>
        <v/>
      </c>
      <c r="B489" s="85"/>
      <c r="C489" s="28" t="str">
        <f t="shared" si="22"/>
        <v/>
      </c>
      <c r="D489" s="28" t="str">
        <f t="shared" si="23"/>
        <v/>
      </c>
      <c r="E489" s="88"/>
      <c r="F489" s="83"/>
    </row>
    <row r="490" spans="1:6">
      <c r="A490" s="10" t="str">
        <f t="shared" si="21"/>
        <v/>
      </c>
      <c r="B490" s="85"/>
      <c r="C490" s="28" t="str">
        <f t="shared" si="22"/>
        <v/>
      </c>
      <c r="D490" s="28" t="str">
        <f t="shared" si="23"/>
        <v/>
      </c>
      <c r="E490" s="88"/>
      <c r="F490" s="83"/>
    </row>
    <row r="491" spans="1:6">
      <c r="A491" s="10" t="str">
        <f t="shared" si="21"/>
        <v/>
      </c>
      <c r="B491" s="85"/>
      <c r="C491" s="28" t="str">
        <f t="shared" si="22"/>
        <v/>
      </c>
      <c r="D491" s="28" t="str">
        <f t="shared" si="23"/>
        <v/>
      </c>
      <c r="E491" s="88"/>
      <c r="F491" s="83"/>
    </row>
    <row r="492" spans="1:6">
      <c r="A492" s="10" t="str">
        <f t="shared" si="21"/>
        <v/>
      </c>
      <c r="B492" s="85"/>
      <c r="C492" s="28" t="str">
        <f t="shared" si="22"/>
        <v/>
      </c>
      <c r="D492" s="28" t="str">
        <f t="shared" si="23"/>
        <v/>
      </c>
      <c r="E492" s="88"/>
      <c r="F492" s="83"/>
    </row>
    <row r="493" spans="1:6">
      <c r="A493" s="10" t="str">
        <f t="shared" si="21"/>
        <v/>
      </c>
      <c r="B493" s="85"/>
      <c r="C493" s="28" t="str">
        <f t="shared" si="22"/>
        <v/>
      </c>
      <c r="D493" s="28" t="str">
        <f t="shared" si="23"/>
        <v/>
      </c>
      <c r="E493" s="88"/>
      <c r="F493" s="83"/>
    </row>
    <row r="494" spans="1:6">
      <c r="A494" s="10" t="str">
        <f t="shared" si="21"/>
        <v/>
      </c>
      <c r="B494" s="85"/>
      <c r="C494" s="28" t="str">
        <f t="shared" si="22"/>
        <v/>
      </c>
      <c r="D494" s="28" t="str">
        <f t="shared" si="23"/>
        <v/>
      </c>
      <c r="E494" s="88"/>
      <c r="F494" s="83"/>
    </row>
    <row r="495" spans="1:6">
      <c r="A495" s="10" t="str">
        <f t="shared" si="21"/>
        <v/>
      </c>
      <c r="B495" s="85"/>
      <c r="C495" s="28" t="str">
        <f t="shared" si="22"/>
        <v/>
      </c>
      <c r="D495" s="28" t="str">
        <f t="shared" si="23"/>
        <v/>
      </c>
      <c r="E495" s="88"/>
      <c r="F495" s="83"/>
    </row>
    <row r="496" spans="1:6">
      <c r="A496" s="10" t="str">
        <f t="shared" si="21"/>
        <v/>
      </c>
      <c r="B496" s="85"/>
      <c r="C496" s="28" t="str">
        <f t="shared" si="22"/>
        <v/>
      </c>
      <c r="D496" s="28" t="str">
        <f t="shared" si="23"/>
        <v/>
      </c>
      <c r="E496" s="88"/>
      <c r="F496" s="83"/>
    </row>
    <row r="497" spans="1:6">
      <c r="A497" s="10" t="str">
        <f t="shared" si="21"/>
        <v/>
      </c>
      <c r="B497" s="85"/>
      <c r="C497" s="28" t="str">
        <f t="shared" si="22"/>
        <v/>
      </c>
      <c r="D497" s="28" t="str">
        <f t="shared" si="23"/>
        <v/>
      </c>
      <c r="E497" s="88"/>
      <c r="F497" s="83"/>
    </row>
    <row r="498" spans="1:6">
      <c r="A498" s="10" t="str">
        <f t="shared" si="21"/>
        <v/>
      </c>
      <c r="B498" s="85"/>
      <c r="C498" s="28" t="str">
        <f t="shared" si="22"/>
        <v/>
      </c>
      <c r="D498" s="28" t="str">
        <f t="shared" si="23"/>
        <v/>
      </c>
      <c r="E498" s="88"/>
      <c r="F498" s="83"/>
    </row>
    <row r="499" spans="1:6">
      <c r="A499" s="10" t="str">
        <f t="shared" si="21"/>
        <v/>
      </c>
      <c r="B499" s="85"/>
      <c r="C499" s="28" t="str">
        <f t="shared" si="22"/>
        <v/>
      </c>
      <c r="D499" s="28" t="str">
        <f t="shared" si="23"/>
        <v/>
      </c>
      <c r="E499" s="88"/>
      <c r="F499" s="83"/>
    </row>
    <row r="500" spans="1:6">
      <c r="A500" s="10" t="str">
        <f t="shared" si="21"/>
        <v/>
      </c>
      <c r="B500" s="85"/>
      <c r="C500" s="28" t="str">
        <f t="shared" si="22"/>
        <v/>
      </c>
      <c r="D500" s="28" t="str">
        <f t="shared" si="23"/>
        <v/>
      </c>
      <c r="E500" s="88"/>
      <c r="F500" s="83"/>
    </row>
    <row r="501" spans="1:6">
      <c r="A501" s="10" t="str">
        <f t="shared" si="21"/>
        <v/>
      </c>
      <c r="B501" s="85"/>
      <c r="C501" s="28" t="str">
        <f t="shared" si="22"/>
        <v/>
      </c>
      <c r="D501" s="28" t="str">
        <f t="shared" si="23"/>
        <v/>
      </c>
      <c r="E501" s="88"/>
      <c r="F501" s="83"/>
    </row>
    <row r="502" spans="1:6">
      <c r="A502" s="10" t="str">
        <f t="shared" si="21"/>
        <v/>
      </c>
      <c r="B502" s="85"/>
      <c r="C502" s="28" t="str">
        <f t="shared" si="22"/>
        <v/>
      </c>
      <c r="D502" s="28" t="str">
        <f t="shared" si="23"/>
        <v/>
      </c>
      <c r="E502" s="88"/>
      <c r="F502" s="83"/>
    </row>
    <row r="503" spans="1:6">
      <c r="A503" s="10" t="str">
        <f t="shared" si="21"/>
        <v/>
      </c>
      <c r="B503" s="85"/>
      <c r="C503" s="28" t="str">
        <f t="shared" si="22"/>
        <v/>
      </c>
      <c r="D503" s="28" t="str">
        <f t="shared" si="23"/>
        <v/>
      </c>
      <c r="E503" s="88"/>
      <c r="F503" s="83"/>
    </row>
    <row r="504" spans="1:6">
      <c r="A504" s="10" t="str">
        <f t="shared" si="21"/>
        <v/>
      </c>
      <c r="B504" s="85"/>
      <c r="C504" s="28" t="str">
        <f t="shared" si="22"/>
        <v/>
      </c>
      <c r="D504" s="28" t="str">
        <f t="shared" si="23"/>
        <v/>
      </c>
      <c r="E504" s="88"/>
      <c r="F504" s="83"/>
    </row>
    <row r="505" spans="1:6">
      <c r="A505" s="10" t="str">
        <f t="shared" si="21"/>
        <v/>
      </c>
      <c r="B505" s="85"/>
      <c r="C505" s="28" t="str">
        <f t="shared" si="22"/>
        <v/>
      </c>
      <c r="D505" s="28" t="str">
        <f t="shared" si="23"/>
        <v/>
      </c>
      <c r="E505" s="88"/>
      <c r="F505" s="83"/>
    </row>
    <row r="506" spans="1:6">
      <c r="A506" s="10" t="str">
        <f t="shared" si="21"/>
        <v/>
      </c>
      <c r="B506" s="85"/>
      <c r="C506" s="28" t="str">
        <f t="shared" si="22"/>
        <v/>
      </c>
      <c r="D506" s="28" t="str">
        <f t="shared" si="23"/>
        <v/>
      </c>
      <c r="E506" s="88"/>
      <c r="F506" s="83"/>
    </row>
    <row r="507" spans="1:6">
      <c r="A507" s="10" t="str">
        <f t="shared" si="21"/>
        <v/>
      </c>
      <c r="B507" s="85"/>
      <c r="C507" s="28" t="str">
        <f t="shared" si="22"/>
        <v/>
      </c>
      <c r="D507" s="28" t="str">
        <f t="shared" si="23"/>
        <v/>
      </c>
      <c r="E507" s="88"/>
      <c r="F507" s="83"/>
    </row>
    <row r="508" spans="1:6">
      <c r="A508" s="10" t="str">
        <f t="shared" si="21"/>
        <v/>
      </c>
      <c r="B508" s="85"/>
      <c r="C508" s="28" t="str">
        <f t="shared" si="22"/>
        <v/>
      </c>
      <c r="D508" s="28" t="str">
        <f t="shared" si="23"/>
        <v/>
      </c>
      <c r="E508" s="88"/>
      <c r="F508" s="83"/>
    </row>
    <row r="509" spans="1:6">
      <c r="A509" s="10" t="str">
        <f t="shared" si="21"/>
        <v/>
      </c>
      <c r="B509" s="85"/>
      <c r="C509" s="28" t="str">
        <f t="shared" si="22"/>
        <v/>
      </c>
      <c r="D509" s="28" t="str">
        <f t="shared" si="23"/>
        <v/>
      </c>
      <c r="E509" s="88"/>
      <c r="F509" s="83"/>
    </row>
    <row r="510" spans="1:6">
      <c r="A510" s="10" t="str">
        <f t="shared" si="21"/>
        <v/>
      </c>
      <c r="B510" s="85"/>
      <c r="C510" s="28" t="str">
        <f t="shared" si="22"/>
        <v/>
      </c>
      <c r="D510" s="28" t="str">
        <f t="shared" si="23"/>
        <v/>
      </c>
      <c r="E510" s="88"/>
      <c r="F510" s="83"/>
    </row>
    <row r="511" spans="1:6">
      <c r="A511" s="10" t="str">
        <f t="shared" si="21"/>
        <v/>
      </c>
      <c r="B511" s="85"/>
      <c r="C511" s="28" t="str">
        <f t="shared" si="22"/>
        <v/>
      </c>
      <c r="D511" s="28" t="str">
        <f t="shared" si="23"/>
        <v/>
      </c>
      <c r="E511" s="88"/>
      <c r="F511" s="83"/>
    </row>
    <row r="512" spans="1:6">
      <c r="A512" s="10" t="str">
        <f t="shared" si="21"/>
        <v/>
      </c>
      <c r="B512" s="85"/>
      <c r="C512" s="28" t="str">
        <f t="shared" si="22"/>
        <v/>
      </c>
      <c r="D512" s="28" t="str">
        <f t="shared" si="23"/>
        <v/>
      </c>
      <c r="E512" s="88"/>
      <c r="F512" s="83"/>
    </row>
    <row r="513" spans="1:6">
      <c r="A513" s="10" t="str">
        <f t="shared" si="21"/>
        <v/>
      </c>
      <c r="B513" s="85"/>
      <c r="C513" s="28" t="str">
        <f t="shared" si="22"/>
        <v/>
      </c>
      <c r="D513" s="28" t="str">
        <f t="shared" si="23"/>
        <v/>
      </c>
      <c r="E513" s="88"/>
      <c r="F513" s="83"/>
    </row>
    <row r="514" spans="1:6">
      <c r="A514" s="10" t="str">
        <f t="shared" si="21"/>
        <v/>
      </c>
      <c r="B514" s="85"/>
      <c r="C514" s="28" t="str">
        <f t="shared" si="22"/>
        <v/>
      </c>
      <c r="D514" s="28" t="str">
        <f t="shared" si="23"/>
        <v/>
      </c>
      <c r="E514" s="88"/>
      <c r="F514" s="83"/>
    </row>
    <row r="515" spans="1:6">
      <c r="A515" s="10" t="str">
        <f t="shared" ref="A515:A578" si="24">IF(E515&gt;0,A514+1,"")</f>
        <v/>
      </c>
      <c r="B515" s="85"/>
      <c r="C515" s="28" t="str">
        <f t="shared" ref="C515:C578" si="25">IF(B515=0,"",TEXT(B515,"mmmm"))</f>
        <v/>
      </c>
      <c r="D515" s="28" t="str">
        <f t="shared" ref="D515:D578" si="26">IF(B515=0,"",TEXT(B515,"yyyy"))</f>
        <v/>
      </c>
      <c r="E515" s="88"/>
      <c r="F515" s="83"/>
    </row>
    <row r="516" spans="1:6">
      <c r="A516" s="10" t="str">
        <f t="shared" si="24"/>
        <v/>
      </c>
      <c r="B516" s="85"/>
      <c r="C516" s="28" t="str">
        <f t="shared" si="25"/>
        <v/>
      </c>
      <c r="D516" s="28" t="str">
        <f t="shared" si="26"/>
        <v/>
      </c>
      <c r="E516" s="88"/>
      <c r="F516" s="83"/>
    </row>
    <row r="517" spans="1:6">
      <c r="A517" s="10" t="str">
        <f t="shared" si="24"/>
        <v/>
      </c>
      <c r="B517" s="85"/>
      <c r="C517" s="28" t="str">
        <f t="shared" si="25"/>
        <v/>
      </c>
      <c r="D517" s="28" t="str">
        <f t="shared" si="26"/>
        <v/>
      </c>
      <c r="E517" s="88"/>
      <c r="F517" s="83"/>
    </row>
    <row r="518" spans="1:6">
      <c r="A518" s="10" t="str">
        <f t="shared" si="24"/>
        <v/>
      </c>
      <c r="B518" s="85"/>
      <c r="C518" s="28" t="str">
        <f t="shared" si="25"/>
        <v/>
      </c>
      <c r="D518" s="28" t="str">
        <f t="shared" si="26"/>
        <v/>
      </c>
      <c r="E518" s="88"/>
      <c r="F518" s="83"/>
    </row>
    <row r="519" spans="1:6">
      <c r="A519" s="10" t="str">
        <f t="shared" si="24"/>
        <v/>
      </c>
      <c r="B519" s="85"/>
      <c r="C519" s="28" t="str">
        <f t="shared" si="25"/>
        <v/>
      </c>
      <c r="D519" s="28" t="str">
        <f t="shared" si="26"/>
        <v/>
      </c>
      <c r="E519" s="88"/>
      <c r="F519" s="83"/>
    </row>
    <row r="520" spans="1:6">
      <c r="A520" s="10" t="str">
        <f t="shared" si="24"/>
        <v/>
      </c>
      <c r="B520" s="85"/>
      <c r="C520" s="28" t="str">
        <f t="shared" si="25"/>
        <v/>
      </c>
      <c r="D520" s="28" t="str">
        <f t="shared" si="26"/>
        <v/>
      </c>
      <c r="E520" s="88"/>
      <c r="F520" s="83"/>
    </row>
    <row r="521" spans="1:6">
      <c r="A521" s="10" t="str">
        <f t="shared" si="24"/>
        <v/>
      </c>
      <c r="B521" s="85"/>
      <c r="C521" s="28" t="str">
        <f t="shared" si="25"/>
        <v/>
      </c>
      <c r="D521" s="28" t="str">
        <f t="shared" si="26"/>
        <v/>
      </c>
      <c r="E521" s="88"/>
      <c r="F521" s="83"/>
    </row>
    <row r="522" spans="1:6">
      <c r="A522" s="10" t="str">
        <f t="shared" si="24"/>
        <v/>
      </c>
      <c r="B522" s="85"/>
      <c r="C522" s="28" t="str">
        <f t="shared" si="25"/>
        <v/>
      </c>
      <c r="D522" s="28" t="str">
        <f t="shared" si="26"/>
        <v/>
      </c>
      <c r="E522" s="88"/>
      <c r="F522" s="83"/>
    </row>
    <row r="523" spans="1:6">
      <c r="A523" s="10" t="str">
        <f t="shared" si="24"/>
        <v/>
      </c>
      <c r="B523" s="85"/>
      <c r="C523" s="28" t="str">
        <f t="shared" si="25"/>
        <v/>
      </c>
      <c r="D523" s="28" t="str">
        <f t="shared" si="26"/>
        <v/>
      </c>
      <c r="E523" s="88"/>
      <c r="F523" s="83"/>
    </row>
    <row r="524" spans="1:6">
      <c r="A524" s="10" t="str">
        <f t="shared" si="24"/>
        <v/>
      </c>
      <c r="B524" s="85"/>
      <c r="C524" s="28" t="str">
        <f t="shared" si="25"/>
        <v/>
      </c>
      <c r="D524" s="28" t="str">
        <f t="shared" si="26"/>
        <v/>
      </c>
      <c r="E524" s="88"/>
      <c r="F524" s="83"/>
    </row>
    <row r="525" spans="1:6">
      <c r="A525" s="10" t="str">
        <f t="shared" si="24"/>
        <v/>
      </c>
      <c r="B525" s="85"/>
      <c r="C525" s="28" t="str">
        <f t="shared" si="25"/>
        <v/>
      </c>
      <c r="D525" s="28" t="str">
        <f t="shared" si="26"/>
        <v/>
      </c>
      <c r="E525" s="88"/>
      <c r="F525" s="83"/>
    </row>
    <row r="526" spans="1:6">
      <c r="A526" s="10" t="str">
        <f t="shared" si="24"/>
        <v/>
      </c>
      <c r="B526" s="85"/>
      <c r="C526" s="28" t="str">
        <f t="shared" si="25"/>
        <v/>
      </c>
      <c r="D526" s="28" t="str">
        <f t="shared" si="26"/>
        <v/>
      </c>
      <c r="E526" s="88"/>
      <c r="F526" s="83"/>
    </row>
    <row r="527" spans="1:6">
      <c r="A527" s="10" t="str">
        <f t="shared" si="24"/>
        <v/>
      </c>
      <c r="B527" s="85"/>
      <c r="C527" s="28" t="str">
        <f t="shared" si="25"/>
        <v/>
      </c>
      <c r="D527" s="28" t="str">
        <f t="shared" si="26"/>
        <v/>
      </c>
      <c r="E527" s="88"/>
      <c r="F527" s="83"/>
    </row>
    <row r="528" spans="1:6">
      <c r="A528" s="10" t="str">
        <f t="shared" si="24"/>
        <v/>
      </c>
      <c r="B528" s="85"/>
      <c r="C528" s="28" t="str">
        <f t="shared" si="25"/>
        <v/>
      </c>
      <c r="D528" s="28" t="str">
        <f t="shared" si="26"/>
        <v/>
      </c>
      <c r="E528" s="88"/>
      <c r="F528" s="83"/>
    </row>
    <row r="529" spans="1:6">
      <c r="A529" s="10" t="str">
        <f t="shared" si="24"/>
        <v/>
      </c>
      <c r="B529" s="85"/>
      <c r="C529" s="28" t="str">
        <f t="shared" si="25"/>
        <v/>
      </c>
      <c r="D529" s="28" t="str">
        <f t="shared" si="26"/>
        <v/>
      </c>
      <c r="E529" s="88"/>
      <c r="F529" s="83"/>
    </row>
    <row r="530" spans="1:6">
      <c r="A530" s="10" t="str">
        <f t="shared" si="24"/>
        <v/>
      </c>
      <c r="B530" s="85"/>
      <c r="C530" s="28" t="str">
        <f t="shared" si="25"/>
        <v/>
      </c>
      <c r="D530" s="28" t="str">
        <f t="shared" si="26"/>
        <v/>
      </c>
      <c r="E530" s="88"/>
      <c r="F530" s="83"/>
    </row>
    <row r="531" spans="1:6">
      <c r="A531" s="10" t="str">
        <f t="shared" si="24"/>
        <v/>
      </c>
      <c r="B531" s="85"/>
      <c r="C531" s="28" t="str">
        <f t="shared" si="25"/>
        <v/>
      </c>
      <c r="D531" s="28" t="str">
        <f t="shared" si="26"/>
        <v/>
      </c>
      <c r="E531" s="88"/>
      <c r="F531" s="83"/>
    </row>
    <row r="532" spans="1:6">
      <c r="A532" s="10" t="str">
        <f t="shared" si="24"/>
        <v/>
      </c>
      <c r="B532" s="85"/>
      <c r="C532" s="28" t="str">
        <f t="shared" si="25"/>
        <v/>
      </c>
      <c r="D532" s="28" t="str">
        <f t="shared" si="26"/>
        <v/>
      </c>
      <c r="E532" s="88"/>
      <c r="F532" s="83"/>
    </row>
    <row r="533" spans="1:6">
      <c r="A533" s="10" t="str">
        <f t="shared" si="24"/>
        <v/>
      </c>
      <c r="B533" s="85"/>
      <c r="C533" s="28" t="str">
        <f t="shared" si="25"/>
        <v/>
      </c>
      <c r="D533" s="28" t="str">
        <f t="shared" si="26"/>
        <v/>
      </c>
      <c r="E533" s="88"/>
      <c r="F533" s="83"/>
    </row>
    <row r="534" spans="1:6">
      <c r="A534" s="10" t="str">
        <f t="shared" si="24"/>
        <v/>
      </c>
      <c r="B534" s="85"/>
      <c r="C534" s="28" t="str">
        <f t="shared" si="25"/>
        <v/>
      </c>
      <c r="D534" s="28" t="str">
        <f t="shared" si="26"/>
        <v/>
      </c>
      <c r="E534" s="88"/>
      <c r="F534" s="83"/>
    </row>
    <row r="535" spans="1:6">
      <c r="A535" s="10" t="str">
        <f t="shared" si="24"/>
        <v/>
      </c>
      <c r="B535" s="85"/>
      <c r="C535" s="28" t="str">
        <f t="shared" si="25"/>
        <v/>
      </c>
      <c r="D535" s="28" t="str">
        <f t="shared" si="26"/>
        <v/>
      </c>
      <c r="E535" s="88"/>
      <c r="F535" s="83"/>
    </row>
    <row r="536" spans="1:6">
      <c r="A536" s="10" t="str">
        <f t="shared" si="24"/>
        <v/>
      </c>
      <c r="B536" s="85"/>
      <c r="C536" s="28" t="str">
        <f t="shared" si="25"/>
        <v/>
      </c>
      <c r="D536" s="28" t="str">
        <f t="shared" si="26"/>
        <v/>
      </c>
      <c r="E536" s="88"/>
      <c r="F536" s="83"/>
    </row>
    <row r="537" spans="1:6">
      <c r="A537" s="10" t="str">
        <f t="shared" si="24"/>
        <v/>
      </c>
      <c r="B537" s="85"/>
      <c r="C537" s="28" t="str">
        <f t="shared" si="25"/>
        <v/>
      </c>
      <c r="D537" s="28" t="str">
        <f t="shared" si="26"/>
        <v/>
      </c>
      <c r="E537" s="88"/>
      <c r="F537" s="83"/>
    </row>
    <row r="538" spans="1:6">
      <c r="A538" s="10" t="str">
        <f t="shared" si="24"/>
        <v/>
      </c>
      <c r="B538" s="85"/>
      <c r="C538" s="28" t="str">
        <f t="shared" si="25"/>
        <v/>
      </c>
      <c r="D538" s="28" t="str">
        <f t="shared" si="26"/>
        <v/>
      </c>
      <c r="E538" s="88"/>
      <c r="F538" s="83"/>
    </row>
    <row r="539" spans="1:6">
      <c r="A539" s="10" t="str">
        <f t="shared" si="24"/>
        <v/>
      </c>
      <c r="B539" s="85"/>
      <c r="C539" s="28" t="str">
        <f t="shared" si="25"/>
        <v/>
      </c>
      <c r="D539" s="28" t="str">
        <f t="shared" si="26"/>
        <v/>
      </c>
      <c r="E539" s="88"/>
      <c r="F539" s="83"/>
    </row>
    <row r="540" spans="1:6">
      <c r="A540" s="10" t="str">
        <f t="shared" si="24"/>
        <v/>
      </c>
      <c r="B540" s="85"/>
      <c r="C540" s="28" t="str">
        <f t="shared" si="25"/>
        <v/>
      </c>
      <c r="D540" s="28" t="str">
        <f t="shared" si="26"/>
        <v/>
      </c>
      <c r="E540" s="88"/>
      <c r="F540" s="83"/>
    </row>
    <row r="541" spans="1:6">
      <c r="A541" s="10" t="str">
        <f t="shared" si="24"/>
        <v/>
      </c>
      <c r="B541" s="85"/>
      <c r="C541" s="28" t="str">
        <f t="shared" si="25"/>
        <v/>
      </c>
      <c r="D541" s="28" t="str">
        <f t="shared" si="26"/>
        <v/>
      </c>
      <c r="E541" s="88"/>
      <c r="F541" s="83"/>
    </row>
    <row r="542" spans="1:6">
      <c r="A542" s="10" t="str">
        <f t="shared" si="24"/>
        <v/>
      </c>
      <c r="B542" s="85"/>
      <c r="C542" s="28" t="str">
        <f t="shared" si="25"/>
        <v/>
      </c>
      <c r="D542" s="28" t="str">
        <f t="shared" si="26"/>
        <v/>
      </c>
      <c r="E542" s="88"/>
      <c r="F542" s="83"/>
    </row>
    <row r="543" spans="1:6">
      <c r="A543" s="10" t="str">
        <f t="shared" si="24"/>
        <v/>
      </c>
      <c r="B543" s="85"/>
      <c r="C543" s="28" t="str">
        <f t="shared" si="25"/>
        <v/>
      </c>
      <c r="D543" s="28" t="str">
        <f t="shared" si="26"/>
        <v/>
      </c>
      <c r="E543" s="88"/>
      <c r="F543" s="83"/>
    </row>
    <row r="544" spans="1:6">
      <c r="A544" s="10" t="str">
        <f t="shared" si="24"/>
        <v/>
      </c>
      <c r="B544" s="85"/>
      <c r="C544" s="28" t="str">
        <f t="shared" si="25"/>
        <v/>
      </c>
      <c r="D544" s="28" t="str">
        <f t="shared" si="26"/>
        <v/>
      </c>
      <c r="E544" s="88"/>
      <c r="F544" s="83"/>
    </row>
    <row r="545" spans="1:6">
      <c r="A545" s="10" t="str">
        <f t="shared" si="24"/>
        <v/>
      </c>
      <c r="B545" s="85"/>
      <c r="C545" s="28" t="str">
        <f t="shared" si="25"/>
        <v/>
      </c>
      <c r="D545" s="28" t="str">
        <f t="shared" si="26"/>
        <v/>
      </c>
      <c r="E545" s="88"/>
      <c r="F545" s="83"/>
    </row>
    <row r="546" spans="1:6">
      <c r="A546" s="10" t="str">
        <f t="shared" si="24"/>
        <v/>
      </c>
      <c r="B546" s="85"/>
      <c r="C546" s="28" t="str">
        <f t="shared" si="25"/>
        <v/>
      </c>
      <c r="D546" s="28" t="str">
        <f t="shared" si="26"/>
        <v/>
      </c>
      <c r="E546" s="88"/>
      <c r="F546" s="83"/>
    </row>
    <row r="547" spans="1:6">
      <c r="A547" s="10" t="str">
        <f t="shared" si="24"/>
        <v/>
      </c>
      <c r="B547" s="85"/>
      <c r="C547" s="28" t="str">
        <f t="shared" si="25"/>
        <v/>
      </c>
      <c r="D547" s="28" t="str">
        <f t="shared" si="26"/>
        <v/>
      </c>
      <c r="E547" s="88"/>
      <c r="F547" s="83"/>
    </row>
    <row r="548" spans="1:6">
      <c r="A548" s="10" t="str">
        <f t="shared" si="24"/>
        <v/>
      </c>
      <c r="B548" s="85"/>
      <c r="C548" s="28" t="str">
        <f t="shared" si="25"/>
        <v/>
      </c>
      <c r="D548" s="28" t="str">
        <f t="shared" si="26"/>
        <v/>
      </c>
      <c r="E548" s="88"/>
      <c r="F548" s="83"/>
    </row>
    <row r="549" spans="1:6">
      <c r="A549" s="10" t="str">
        <f t="shared" si="24"/>
        <v/>
      </c>
      <c r="B549" s="85"/>
      <c r="C549" s="28" t="str">
        <f t="shared" si="25"/>
        <v/>
      </c>
      <c r="D549" s="28" t="str">
        <f t="shared" si="26"/>
        <v/>
      </c>
      <c r="E549" s="88"/>
      <c r="F549" s="83"/>
    </row>
    <row r="550" spans="1:6">
      <c r="A550" s="10" t="str">
        <f t="shared" si="24"/>
        <v/>
      </c>
      <c r="B550" s="85"/>
      <c r="C550" s="28" t="str">
        <f t="shared" si="25"/>
        <v/>
      </c>
      <c r="D550" s="28" t="str">
        <f t="shared" si="26"/>
        <v/>
      </c>
      <c r="E550" s="88"/>
      <c r="F550" s="83"/>
    </row>
    <row r="551" spans="1:6">
      <c r="A551" s="10" t="str">
        <f t="shared" si="24"/>
        <v/>
      </c>
      <c r="B551" s="85"/>
      <c r="C551" s="28" t="str">
        <f t="shared" si="25"/>
        <v/>
      </c>
      <c r="D551" s="28" t="str">
        <f t="shared" si="26"/>
        <v/>
      </c>
      <c r="E551" s="88"/>
      <c r="F551" s="83"/>
    </row>
    <row r="552" spans="1:6">
      <c r="A552" s="10" t="str">
        <f t="shared" si="24"/>
        <v/>
      </c>
      <c r="B552" s="85"/>
      <c r="C552" s="28" t="str">
        <f t="shared" si="25"/>
        <v/>
      </c>
      <c r="D552" s="28" t="str">
        <f t="shared" si="26"/>
        <v/>
      </c>
      <c r="E552" s="88"/>
      <c r="F552" s="83"/>
    </row>
    <row r="553" spans="1:6">
      <c r="A553" s="10" t="str">
        <f t="shared" si="24"/>
        <v/>
      </c>
      <c r="B553" s="85"/>
      <c r="C553" s="28" t="str">
        <f t="shared" si="25"/>
        <v/>
      </c>
      <c r="D553" s="28" t="str">
        <f t="shared" si="26"/>
        <v/>
      </c>
      <c r="E553" s="88"/>
      <c r="F553" s="83"/>
    </row>
    <row r="554" spans="1:6">
      <c r="A554" s="10" t="str">
        <f t="shared" si="24"/>
        <v/>
      </c>
      <c r="B554" s="85"/>
      <c r="C554" s="28" t="str">
        <f t="shared" si="25"/>
        <v/>
      </c>
      <c r="D554" s="28" t="str">
        <f t="shared" si="26"/>
        <v/>
      </c>
      <c r="E554" s="88"/>
      <c r="F554" s="83"/>
    </row>
    <row r="555" spans="1:6">
      <c r="A555" s="10" t="str">
        <f t="shared" si="24"/>
        <v/>
      </c>
      <c r="B555" s="85"/>
      <c r="C555" s="28" t="str">
        <f t="shared" si="25"/>
        <v/>
      </c>
      <c r="D555" s="28" t="str">
        <f t="shared" si="26"/>
        <v/>
      </c>
      <c r="E555" s="88"/>
      <c r="F555" s="83"/>
    </row>
    <row r="556" spans="1:6">
      <c r="A556" s="10" t="str">
        <f t="shared" si="24"/>
        <v/>
      </c>
      <c r="B556" s="85"/>
      <c r="C556" s="28" t="str">
        <f t="shared" si="25"/>
        <v/>
      </c>
      <c r="D556" s="28" t="str">
        <f t="shared" si="26"/>
        <v/>
      </c>
      <c r="E556" s="88"/>
      <c r="F556" s="83"/>
    </row>
    <row r="557" spans="1:6">
      <c r="A557" s="10" t="str">
        <f t="shared" si="24"/>
        <v/>
      </c>
      <c r="B557" s="85"/>
      <c r="C557" s="28" t="str">
        <f t="shared" si="25"/>
        <v/>
      </c>
      <c r="D557" s="28" t="str">
        <f t="shared" si="26"/>
        <v/>
      </c>
      <c r="E557" s="88"/>
      <c r="F557" s="83"/>
    </row>
    <row r="558" spans="1:6">
      <c r="A558" s="10" t="str">
        <f t="shared" si="24"/>
        <v/>
      </c>
      <c r="B558" s="85"/>
      <c r="C558" s="28" t="str">
        <f t="shared" si="25"/>
        <v/>
      </c>
      <c r="D558" s="28" t="str">
        <f t="shared" si="26"/>
        <v/>
      </c>
      <c r="E558" s="88"/>
      <c r="F558" s="83"/>
    </row>
    <row r="559" spans="1:6">
      <c r="A559" s="10" t="str">
        <f t="shared" si="24"/>
        <v/>
      </c>
      <c r="B559" s="85"/>
      <c r="C559" s="28" t="str">
        <f t="shared" si="25"/>
        <v/>
      </c>
      <c r="D559" s="28" t="str">
        <f t="shared" si="26"/>
        <v/>
      </c>
      <c r="E559" s="88"/>
      <c r="F559" s="83"/>
    </row>
    <row r="560" spans="1:6">
      <c r="A560" s="10" t="str">
        <f t="shared" si="24"/>
        <v/>
      </c>
      <c r="B560" s="85"/>
      <c r="C560" s="28" t="str">
        <f t="shared" si="25"/>
        <v/>
      </c>
      <c r="D560" s="28" t="str">
        <f t="shared" si="26"/>
        <v/>
      </c>
      <c r="E560" s="88"/>
      <c r="F560" s="83"/>
    </row>
    <row r="561" spans="1:6">
      <c r="A561" s="10" t="str">
        <f t="shared" si="24"/>
        <v/>
      </c>
      <c r="B561" s="85"/>
      <c r="C561" s="28" t="str">
        <f t="shared" si="25"/>
        <v/>
      </c>
      <c r="D561" s="28" t="str">
        <f t="shared" si="26"/>
        <v/>
      </c>
      <c r="E561" s="88"/>
      <c r="F561" s="83"/>
    </row>
    <row r="562" spans="1:6">
      <c r="A562" s="10" t="str">
        <f t="shared" si="24"/>
        <v/>
      </c>
      <c r="B562" s="85"/>
      <c r="C562" s="28" t="str">
        <f t="shared" si="25"/>
        <v/>
      </c>
      <c r="D562" s="28" t="str">
        <f t="shared" si="26"/>
        <v/>
      </c>
      <c r="E562" s="88"/>
      <c r="F562" s="83"/>
    </row>
    <row r="563" spans="1:6">
      <c r="A563" s="10" t="str">
        <f t="shared" si="24"/>
        <v/>
      </c>
      <c r="B563" s="85"/>
      <c r="C563" s="28" t="str">
        <f t="shared" si="25"/>
        <v/>
      </c>
      <c r="D563" s="28" t="str">
        <f t="shared" si="26"/>
        <v/>
      </c>
      <c r="E563" s="88"/>
      <c r="F563" s="83"/>
    </row>
    <row r="564" spans="1:6">
      <c r="A564" s="10" t="str">
        <f t="shared" si="24"/>
        <v/>
      </c>
      <c r="B564" s="85"/>
      <c r="C564" s="28" t="str">
        <f t="shared" si="25"/>
        <v/>
      </c>
      <c r="D564" s="28" t="str">
        <f t="shared" si="26"/>
        <v/>
      </c>
      <c r="E564" s="88"/>
      <c r="F564" s="83"/>
    </row>
    <row r="565" spans="1:6">
      <c r="A565" s="10" t="str">
        <f t="shared" si="24"/>
        <v/>
      </c>
      <c r="B565" s="85"/>
      <c r="C565" s="28" t="str">
        <f t="shared" si="25"/>
        <v/>
      </c>
      <c r="D565" s="28" t="str">
        <f t="shared" si="26"/>
        <v/>
      </c>
      <c r="E565" s="88"/>
      <c r="F565" s="83"/>
    </row>
    <row r="566" spans="1:6">
      <c r="A566" s="10" t="str">
        <f t="shared" si="24"/>
        <v/>
      </c>
      <c r="B566" s="85"/>
      <c r="C566" s="28" t="str">
        <f t="shared" si="25"/>
        <v/>
      </c>
      <c r="D566" s="28" t="str">
        <f t="shared" si="26"/>
        <v/>
      </c>
      <c r="E566" s="88"/>
      <c r="F566" s="83"/>
    </row>
    <row r="567" spans="1:6">
      <c r="A567" s="10" t="str">
        <f t="shared" si="24"/>
        <v/>
      </c>
      <c r="B567" s="85"/>
      <c r="C567" s="28" t="str">
        <f t="shared" si="25"/>
        <v/>
      </c>
      <c r="D567" s="28" t="str">
        <f t="shared" si="26"/>
        <v/>
      </c>
      <c r="E567" s="88"/>
      <c r="F567" s="83"/>
    </row>
    <row r="568" spans="1:6">
      <c r="A568" s="10" t="str">
        <f t="shared" si="24"/>
        <v/>
      </c>
      <c r="B568" s="85"/>
      <c r="C568" s="28" t="str">
        <f t="shared" si="25"/>
        <v/>
      </c>
      <c r="D568" s="28" t="str">
        <f t="shared" si="26"/>
        <v/>
      </c>
      <c r="E568" s="88"/>
      <c r="F568" s="83"/>
    </row>
    <row r="569" spans="1:6">
      <c r="A569" s="10" t="str">
        <f t="shared" si="24"/>
        <v/>
      </c>
      <c r="B569" s="85"/>
      <c r="C569" s="28" t="str">
        <f t="shared" si="25"/>
        <v/>
      </c>
      <c r="D569" s="28" t="str">
        <f t="shared" si="26"/>
        <v/>
      </c>
      <c r="E569" s="88"/>
      <c r="F569" s="83"/>
    </row>
    <row r="570" spans="1:6">
      <c r="A570" s="10" t="str">
        <f t="shared" si="24"/>
        <v/>
      </c>
      <c r="B570" s="85"/>
      <c r="C570" s="28" t="str">
        <f t="shared" si="25"/>
        <v/>
      </c>
      <c r="D570" s="28" t="str">
        <f t="shared" si="26"/>
        <v/>
      </c>
      <c r="E570" s="88"/>
      <c r="F570" s="83"/>
    </row>
    <row r="571" spans="1:6">
      <c r="A571" s="10" t="str">
        <f t="shared" si="24"/>
        <v/>
      </c>
      <c r="B571" s="85"/>
      <c r="C571" s="28" t="str">
        <f t="shared" si="25"/>
        <v/>
      </c>
      <c r="D571" s="28" t="str">
        <f t="shared" si="26"/>
        <v/>
      </c>
      <c r="E571" s="88"/>
      <c r="F571" s="83"/>
    </row>
    <row r="572" spans="1:6">
      <c r="A572" s="10" t="str">
        <f t="shared" si="24"/>
        <v/>
      </c>
      <c r="B572" s="85"/>
      <c r="C572" s="28" t="str">
        <f t="shared" si="25"/>
        <v/>
      </c>
      <c r="D572" s="28" t="str">
        <f t="shared" si="26"/>
        <v/>
      </c>
      <c r="E572" s="88"/>
      <c r="F572" s="83"/>
    </row>
    <row r="573" spans="1:6">
      <c r="A573" s="10" t="str">
        <f t="shared" si="24"/>
        <v/>
      </c>
      <c r="B573" s="85"/>
      <c r="C573" s="28" t="str">
        <f t="shared" si="25"/>
        <v/>
      </c>
      <c r="D573" s="28" t="str">
        <f t="shared" si="26"/>
        <v/>
      </c>
      <c r="E573" s="88"/>
      <c r="F573" s="83"/>
    </row>
    <row r="574" spans="1:6">
      <c r="A574" s="10" t="str">
        <f t="shared" si="24"/>
        <v/>
      </c>
      <c r="B574" s="85"/>
      <c r="C574" s="28" t="str">
        <f t="shared" si="25"/>
        <v/>
      </c>
      <c r="D574" s="28" t="str">
        <f t="shared" si="26"/>
        <v/>
      </c>
      <c r="E574" s="88"/>
      <c r="F574" s="83"/>
    </row>
    <row r="575" spans="1:6">
      <c r="A575" s="10" t="str">
        <f t="shared" si="24"/>
        <v/>
      </c>
      <c r="B575" s="85"/>
      <c r="C575" s="28" t="str">
        <f t="shared" si="25"/>
        <v/>
      </c>
      <c r="D575" s="28" t="str">
        <f t="shared" si="26"/>
        <v/>
      </c>
      <c r="E575" s="88"/>
      <c r="F575" s="83"/>
    </row>
    <row r="576" spans="1:6">
      <c r="A576" s="10" t="str">
        <f t="shared" si="24"/>
        <v/>
      </c>
      <c r="B576" s="85"/>
      <c r="C576" s="28" t="str">
        <f t="shared" si="25"/>
        <v/>
      </c>
      <c r="D576" s="28" t="str">
        <f t="shared" si="26"/>
        <v/>
      </c>
      <c r="E576" s="88"/>
      <c r="F576" s="83"/>
    </row>
    <row r="577" spans="1:6">
      <c r="A577" s="10" t="str">
        <f t="shared" si="24"/>
        <v/>
      </c>
      <c r="B577" s="85"/>
      <c r="C577" s="28" t="str">
        <f t="shared" si="25"/>
        <v/>
      </c>
      <c r="D577" s="28" t="str">
        <f t="shared" si="26"/>
        <v/>
      </c>
      <c r="E577" s="88"/>
      <c r="F577" s="83"/>
    </row>
    <row r="578" spans="1:6">
      <c r="A578" s="10" t="str">
        <f t="shared" si="24"/>
        <v/>
      </c>
      <c r="B578" s="85"/>
      <c r="C578" s="28" t="str">
        <f t="shared" si="25"/>
        <v/>
      </c>
      <c r="D578" s="28" t="str">
        <f t="shared" si="26"/>
        <v/>
      </c>
      <c r="E578" s="88"/>
      <c r="F578" s="83"/>
    </row>
    <row r="579" spans="1:6">
      <c r="A579" s="10" t="str">
        <f t="shared" ref="A579:A642" si="27">IF(E579&gt;0,A578+1,"")</f>
        <v/>
      </c>
      <c r="B579" s="85"/>
      <c r="C579" s="28" t="str">
        <f t="shared" ref="C579:C642" si="28">IF(B579=0,"",TEXT(B579,"mmmm"))</f>
        <v/>
      </c>
      <c r="D579" s="28" t="str">
        <f t="shared" ref="D579:D642" si="29">IF(B579=0,"",TEXT(B579,"yyyy"))</f>
        <v/>
      </c>
      <c r="E579" s="88"/>
      <c r="F579" s="83"/>
    </row>
    <row r="580" spans="1:6">
      <c r="A580" s="10" t="str">
        <f t="shared" si="27"/>
        <v/>
      </c>
      <c r="B580" s="85"/>
      <c r="C580" s="28" t="str">
        <f t="shared" si="28"/>
        <v/>
      </c>
      <c r="D580" s="28" t="str">
        <f t="shared" si="29"/>
        <v/>
      </c>
      <c r="E580" s="88"/>
      <c r="F580" s="83"/>
    </row>
    <row r="581" spans="1:6">
      <c r="A581" s="10" t="str">
        <f t="shared" si="27"/>
        <v/>
      </c>
      <c r="B581" s="85"/>
      <c r="C581" s="28" t="str">
        <f t="shared" si="28"/>
        <v/>
      </c>
      <c r="D581" s="28" t="str">
        <f t="shared" si="29"/>
        <v/>
      </c>
      <c r="E581" s="88"/>
      <c r="F581" s="83"/>
    </row>
    <row r="582" spans="1:6">
      <c r="A582" s="10" t="str">
        <f t="shared" si="27"/>
        <v/>
      </c>
      <c r="B582" s="85"/>
      <c r="C582" s="28" t="str">
        <f t="shared" si="28"/>
        <v/>
      </c>
      <c r="D582" s="28" t="str">
        <f t="shared" si="29"/>
        <v/>
      </c>
      <c r="E582" s="88"/>
      <c r="F582" s="83"/>
    </row>
    <row r="583" spans="1:6">
      <c r="A583" s="10" t="str">
        <f t="shared" si="27"/>
        <v/>
      </c>
      <c r="B583" s="85"/>
      <c r="C583" s="28" t="str">
        <f t="shared" si="28"/>
        <v/>
      </c>
      <c r="D583" s="28" t="str">
        <f t="shared" si="29"/>
        <v/>
      </c>
      <c r="E583" s="88"/>
      <c r="F583" s="83"/>
    </row>
    <row r="584" spans="1:6">
      <c r="A584" s="10" t="str">
        <f t="shared" si="27"/>
        <v/>
      </c>
      <c r="B584" s="85"/>
      <c r="C584" s="28" t="str">
        <f t="shared" si="28"/>
        <v/>
      </c>
      <c r="D584" s="28" t="str">
        <f t="shared" si="29"/>
        <v/>
      </c>
      <c r="E584" s="88"/>
      <c r="F584" s="83"/>
    </row>
    <row r="585" spans="1:6">
      <c r="A585" s="10" t="str">
        <f t="shared" si="27"/>
        <v/>
      </c>
      <c r="B585" s="85"/>
      <c r="C585" s="28" t="str">
        <f t="shared" si="28"/>
        <v/>
      </c>
      <c r="D585" s="28" t="str">
        <f t="shared" si="29"/>
        <v/>
      </c>
      <c r="E585" s="88"/>
      <c r="F585" s="83"/>
    </row>
    <row r="586" spans="1:6">
      <c r="A586" s="10" t="str">
        <f t="shared" si="27"/>
        <v/>
      </c>
      <c r="B586" s="85"/>
      <c r="C586" s="28" t="str">
        <f t="shared" si="28"/>
        <v/>
      </c>
      <c r="D586" s="28" t="str">
        <f t="shared" si="29"/>
        <v/>
      </c>
      <c r="E586" s="88"/>
      <c r="F586" s="83"/>
    </row>
    <row r="587" spans="1:6">
      <c r="A587" s="10" t="str">
        <f t="shared" si="27"/>
        <v/>
      </c>
      <c r="B587" s="85"/>
      <c r="C587" s="28" t="str">
        <f t="shared" si="28"/>
        <v/>
      </c>
      <c r="D587" s="28" t="str">
        <f t="shared" si="29"/>
        <v/>
      </c>
      <c r="E587" s="88"/>
      <c r="F587" s="83"/>
    </row>
    <row r="588" spans="1:6">
      <c r="A588" s="10" t="str">
        <f t="shared" si="27"/>
        <v/>
      </c>
      <c r="B588" s="85"/>
      <c r="C588" s="28" t="str">
        <f t="shared" si="28"/>
        <v/>
      </c>
      <c r="D588" s="28" t="str">
        <f t="shared" si="29"/>
        <v/>
      </c>
      <c r="E588" s="88"/>
      <c r="F588" s="83"/>
    </row>
    <row r="589" spans="1:6">
      <c r="A589" s="10" t="str">
        <f t="shared" si="27"/>
        <v/>
      </c>
      <c r="B589" s="85"/>
      <c r="C589" s="28" t="str">
        <f t="shared" si="28"/>
        <v/>
      </c>
      <c r="D589" s="28" t="str">
        <f t="shared" si="29"/>
        <v/>
      </c>
      <c r="E589" s="88"/>
      <c r="F589" s="83"/>
    </row>
    <row r="590" spans="1:6">
      <c r="A590" s="10" t="str">
        <f t="shared" si="27"/>
        <v/>
      </c>
      <c r="B590" s="85"/>
      <c r="C590" s="28" t="str">
        <f t="shared" si="28"/>
        <v/>
      </c>
      <c r="D590" s="28" t="str">
        <f t="shared" si="29"/>
        <v/>
      </c>
      <c r="E590" s="88"/>
      <c r="F590" s="83"/>
    </row>
    <row r="591" spans="1:6">
      <c r="A591" s="10" t="str">
        <f t="shared" si="27"/>
        <v/>
      </c>
      <c r="B591" s="85"/>
      <c r="C591" s="28" t="str">
        <f t="shared" si="28"/>
        <v/>
      </c>
      <c r="D591" s="28" t="str">
        <f t="shared" si="29"/>
        <v/>
      </c>
      <c r="E591" s="88"/>
      <c r="F591" s="83"/>
    </row>
    <row r="592" spans="1:6">
      <c r="A592" s="10" t="str">
        <f t="shared" si="27"/>
        <v/>
      </c>
      <c r="B592" s="85"/>
      <c r="C592" s="28" t="str">
        <f t="shared" si="28"/>
        <v/>
      </c>
      <c r="D592" s="28" t="str">
        <f t="shared" si="29"/>
        <v/>
      </c>
      <c r="E592" s="88"/>
      <c r="F592" s="83"/>
    </row>
    <row r="593" spans="1:6">
      <c r="A593" s="10" t="str">
        <f t="shared" si="27"/>
        <v/>
      </c>
      <c r="B593" s="85"/>
      <c r="C593" s="28" t="str">
        <f t="shared" si="28"/>
        <v/>
      </c>
      <c r="D593" s="28" t="str">
        <f t="shared" si="29"/>
        <v/>
      </c>
      <c r="E593" s="88"/>
      <c r="F593" s="83"/>
    </row>
    <row r="594" spans="1:6">
      <c r="A594" s="10" t="str">
        <f t="shared" si="27"/>
        <v/>
      </c>
      <c r="B594" s="85"/>
      <c r="C594" s="28" t="str">
        <f t="shared" si="28"/>
        <v/>
      </c>
      <c r="D594" s="28" t="str">
        <f t="shared" si="29"/>
        <v/>
      </c>
      <c r="E594" s="88"/>
      <c r="F594" s="83"/>
    </row>
    <row r="595" spans="1:6">
      <c r="A595" s="10" t="str">
        <f t="shared" si="27"/>
        <v/>
      </c>
      <c r="B595" s="85"/>
      <c r="C595" s="28" t="str">
        <f t="shared" si="28"/>
        <v/>
      </c>
      <c r="D595" s="28" t="str">
        <f t="shared" si="29"/>
        <v/>
      </c>
      <c r="E595" s="88"/>
      <c r="F595" s="83"/>
    </row>
    <row r="596" spans="1:6">
      <c r="A596" s="10" t="str">
        <f t="shared" si="27"/>
        <v/>
      </c>
      <c r="B596" s="85"/>
      <c r="C596" s="28" t="str">
        <f t="shared" si="28"/>
        <v/>
      </c>
      <c r="D596" s="28" t="str">
        <f t="shared" si="29"/>
        <v/>
      </c>
      <c r="E596" s="88"/>
      <c r="F596" s="83"/>
    </row>
    <row r="597" spans="1:6">
      <c r="A597" s="10" t="str">
        <f t="shared" si="27"/>
        <v/>
      </c>
      <c r="B597" s="85"/>
      <c r="C597" s="28" t="str">
        <f t="shared" si="28"/>
        <v/>
      </c>
      <c r="D597" s="28" t="str">
        <f t="shared" si="29"/>
        <v/>
      </c>
      <c r="E597" s="88"/>
      <c r="F597" s="83"/>
    </row>
    <row r="598" spans="1:6">
      <c r="A598" s="10" t="str">
        <f t="shared" si="27"/>
        <v/>
      </c>
      <c r="B598" s="85"/>
      <c r="C598" s="28" t="str">
        <f t="shared" si="28"/>
        <v/>
      </c>
      <c r="D598" s="28" t="str">
        <f t="shared" si="29"/>
        <v/>
      </c>
      <c r="E598" s="88"/>
      <c r="F598" s="83"/>
    </row>
    <row r="599" spans="1:6">
      <c r="A599" s="10" t="str">
        <f t="shared" si="27"/>
        <v/>
      </c>
      <c r="B599" s="85"/>
      <c r="C599" s="28" t="str">
        <f t="shared" si="28"/>
        <v/>
      </c>
      <c r="D599" s="28" t="str">
        <f t="shared" si="29"/>
        <v/>
      </c>
      <c r="E599" s="88"/>
      <c r="F599" s="83"/>
    </row>
    <row r="600" spans="1:6">
      <c r="A600" s="10" t="str">
        <f t="shared" si="27"/>
        <v/>
      </c>
      <c r="B600" s="85"/>
      <c r="C600" s="28" t="str">
        <f t="shared" si="28"/>
        <v/>
      </c>
      <c r="D600" s="28" t="str">
        <f t="shared" si="29"/>
        <v/>
      </c>
      <c r="E600" s="88"/>
      <c r="F600" s="83"/>
    </row>
    <row r="601" spans="1:6">
      <c r="A601" s="10" t="str">
        <f t="shared" si="27"/>
        <v/>
      </c>
      <c r="B601" s="85"/>
      <c r="C601" s="28" t="str">
        <f t="shared" si="28"/>
        <v/>
      </c>
      <c r="D601" s="28" t="str">
        <f t="shared" si="29"/>
        <v/>
      </c>
      <c r="E601" s="88"/>
      <c r="F601" s="83"/>
    </row>
    <row r="602" spans="1:6">
      <c r="A602" s="10" t="str">
        <f t="shared" si="27"/>
        <v/>
      </c>
      <c r="B602" s="85"/>
      <c r="C602" s="28" t="str">
        <f t="shared" si="28"/>
        <v/>
      </c>
      <c r="D602" s="28" t="str">
        <f t="shared" si="29"/>
        <v/>
      </c>
      <c r="E602" s="88"/>
      <c r="F602" s="83"/>
    </row>
    <row r="603" spans="1:6">
      <c r="A603" s="10" t="str">
        <f t="shared" si="27"/>
        <v/>
      </c>
      <c r="B603" s="85"/>
      <c r="C603" s="28" t="str">
        <f t="shared" si="28"/>
        <v/>
      </c>
      <c r="D603" s="28" t="str">
        <f t="shared" si="29"/>
        <v/>
      </c>
      <c r="E603" s="88"/>
      <c r="F603" s="83"/>
    </row>
    <row r="604" spans="1:6">
      <c r="A604" s="10" t="str">
        <f t="shared" si="27"/>
        <v/>
      </c>
      <c r="B604" s="85"/>
      <c r="C604" s="28" t="str">
        <f t="shared" si="28"/>
        <v/>
      </c>
      <c r="D604" s="28" t="str">
        <f t="shared" si="29"/>
        <v/>
      </c>
      <c r="E604" s="88"/>
      <c r="F604" s="83"/>
    </row>
    <row r="605" spans="1:6">
      <c r="A605" s="10" t="str">
        <f t="shared" si="27"/>
        <v/>
      </c>
      <c r="B605" s="85"/>
      <c r="C605" s="28" t="str">
        <f t="shared" si="28"/>
        <v/>
      </c>
      <c r="D605" s="28" t="str">
        <f t="shared" si="29"/>
        <v/>
      </c>
      <c r="E605" s="88"/>
      <c r="F605" s="83"/>
    </row>
    <row r="606" spans="1:6">
      <c r="A606" s="10" t="str">
        <f t="shared" si="27"/>
        <v/>
      </c>
      <c r="B606" s="85"/>
      <c r="C606" s="28" t="str">
        <f t="shared" si="28"/>
        <v/>
      </c>
      <c r="D606" s="28" t="str">
        <f t="shared" si="29"/>
        <v/>
      </c>
      <c r="E606" s="88"/>
      <c r="F606" s="83"/>
    </row>
    <row r="607" spans="1:6">
      <c r="A607" s="10" t="str">
        <f t="shared" si="27"/>
        <v/>
      </c>
      <c r="B607" s="85"/>
      <c r="C607" s="28" t="str">
        <f t="shared" si="28"/>
        <v/>
      </c>
      <c r="D607" s="28" t="str">
        <f t="shared" si="29"/>
        <v/>
      </c>
      <c r="E607" s="88"/>
      <c r="F607" s="83"/>
    </row>
    <row r="608" spans="1:6">
      <c r="A608" s="10" t="str">
        <f t="shared" si="27"/>
        <v/>
      </c>
      <c r="B608" s="85"/>
      <c r="C608" s="28" t="str">
        <f t="shared" si="28"/>
        <v/>
      </c>
      <c r="D608" s="28" t="str">
        <f t="shared" si="29"/>
        <v/>
      </c>
      <c r="E608" s="88"/>
      <c r="F608" s="83"/>
    </row>
    <row r="609" spans="1:6">
      <c r="A609" s="10" t="str">
        <f t="shared" si="27"/>
        <v/>
      </c>
      <c r="B609" s="85"/>
      <c r="C609" s="28" t="str">
        <f t="shared" si="28"/>
        <v/>
      </c>
      <c r="D609" s="28" t="str">
        <f t="shared" si="29"/>
        <v/>
      </c>
      <c r="E609" s="88"/>
      <c r="F609" s="83"/>
    </row>
    <row r="610" spans="1:6">
      <c r="A610" s="10" t="str">
        <f t="shared" si="27"/>
        <v/>
      </c>
      <c r="B610" s="85"/>
      <c r="C610" s="28" t="str">
        <f t="shared" si="28"/>
        <v/>
      </c>
      <c r="D610" s="28" t="str">
        <f t="shared" si="29"/>
        <v/>
      </c>
      <c r="E610" s="88"/>
      <c r="F610" s="83"/>
    </row>
    <row r="611" spans="1:6">
      <c r="A611" s="10" t="str">
        <f t="shared" si="27"/>
        <v/>
      </c>
      <c r="B611" s="85"/>
      <c r="C611" s="28" t="str">
        <f t="shared" si="28"/>
        <v/>
      </c>
      <c r="D611" s="28" t="str">
        <f t="shared" si="29"/>
        <v/>
      </c>
      <c r="E611" s="88"/>
      <c r="F611" s="83"/>
    </row>
    <row r="612" spans="1:6">
      <c r="A612" s="10" t="str">
        <f t="shared" si="27"/>
        <v/>
      </c>
      <c r="B612" s="85"/>
      <c r="C612" s="28" t="str">
        <f t="shared" si="28"/>
        <v/>
      </c>
      <c r="D612" s="28" t="str">
        <f t="shared" si="29"/>
        <v/>
      </c>
      <c r="E612" s="88"/>
      <c r="F612" s="83"/>
    </row>
    <row r="613" spans="1:6">
      <c r="A613" s="10" t="str">
        <f t="shared" si="27"/>
        <v/>
      </c>
      <c r="B613" s="85"/>
      <c r="C613" s="28" t="str">
        <f t="shared" si="28"/>
        <v/>
      </c>
      <c r="D613" s="28" t="str">
        <f t="shared" si="29"/>
        <v/>
      </c>
      <c r="E613" s="88"/>
      <c r="F613" s="83"/>
    </row>
    <row r="614" spans="1:6">
      <c r="A614" s="10" t="str">
        <f t="shared" si="27"/>
        <v/>
      </c>
      <c r="B614" s="85"/>
      <c r="C614" s="28" t="str">
        <f t="shared" si="28"/>
        <v/>
      </c>
      <c r="D614" s="28" t="str">
        <f t="shared" si="29"/>
        <v/>
      </c>
      <c r="E614" s="88"/>
      <c r="F614" s="83"/>
    </row>
    <row r="615" spans="1:6">
      <c r="A615" s="10" t="str">
        <f t="shared" si="27"/>
        <v/>
      </c>
      <c r="B615" s="85"/>
      <c r="C615" s="28" t="str">
        <f t="shared" si="28"/>
        <v/>
      </c>
      <c r="D615" s="28" t="str">
        <f t="shared" si="29"/>
        <v/>
      </c>
      <c r="E615" s="88"/>
      <c r="F615" s="83"/>
    </row>
    <row r="616" spans="1:6">
      <c r="A616" s="10" t="str">
        <f t="shared" si="27"/>
        <v/>
      </c>
      <c r="B616" s="85"/>
      <c r="C616" s="28" t="str">
        <f t="shared" si="28"/>
        <v/>
      </c>
      <c r="D616" s="28" t="str">
        <f t="shared" si="29"/>
        <v/>
      </c>
      <c r="E616" s="88"/>
      <c r="F616" s="83"/>
    </row>
    <row r="617" spans="1:6">
      <c r="A617" s="10" t="str">
        <f t="shared" si="27"/>
        <v/>
      </c>
      <c r="B617" s="85"/>
      <c r="C617" s="28" t="str">
        <f t="shared" si="28"/>
        <v/>
      </c>
      <c r="D617" s="28" t="str">
        <f t="shared" si="29"/>
        <v/>
      </c>
      <c r="E617" s="88"/>
      <c r="F617" s="83"/>
    </row>
    <row r="618" spans="1:6">
      <c r="A618" s="10" t="str">
        <f t="shared" si="27"/>
        <v/>
      </c>
      <c r="B618" s="85"/>
      <c r="C618" s="28" t="str">
        <f t="shared" si="28"/>
        <v/>
      </c>
      <c r="D618" s="28" t="str">
        <f t="shared" si="29"/>
        <v/>
      </c>
      <c r="E618" s="88"/>
      <c r="F618" s="83"/>
    </row>
    <row r="619" spans="1:6">
      <c r="A619" s="10" t="str">
        <f t="shared" si="27"/>
        <v/>
      </c>
      <c r="B619" s="85"/>
      <c r="C619" s="28" t="str">
        <f t="shared" si="28"/>
        <v/>
      </c>
      <c r="D619" s="28" t="str">
        <f t="shared" si="29"/>
        <v/>
      </c>
      <c r="E619" s="88"/>
      <c r="F619" s="83"/>
    </row>
    <row r="620" spans="1:6">
      <c r="A620" s="10" t="str">
        <f t="shared" si="27"/>
        <v/>
      </c>
      <c r="B620" s="85"/>
      <c r="C620" s="28" t="str">
        <f t="shared" si="28"/>
        <v/>
      </c>
      <c r="D620" s="28" t="str">
        <f t="shared" si="29"/>
        <v/>
      </c>
      <c r="E620" s="88"/>
      <c r="F620" s="83"/>
    </row>
    <row r="621" spans="1:6">
      <c r="A621" s="10" t="str">
        <f t="shared" si="27"/>
        <v/>
      </c>
      <c r="B621" s="85"/>
      <c r="C621" s="28" t="str">
        <f t="shared" si="28"/>
        <v/>
      </c>
      <c r="D621" s="28" t="str">
        <f t="shared" si="29"/>
        <v/>
      </c>
      <c r="E621" s="88"/>
      <c r="F621" s="83"/>
    </row>
    <row r="622" spans="1:6">
      <c r="A622" s="10" t="str">
        <f t="shared" si="27"/>
        <v/>
      </c>
      <c r="B622" s="85"/>
      <c r="C622" s="28" t="str">
        <f t="shared" si="28"/>
        <v/>
      </c>
      <c r="D622" s="28" t="str">
        <f t="shared" si="29"/>
        <v/>
      </c>
      <c r="E622" s="88"/>
      <c r="F622" s="83"/>
    </row>
    <row r="623" spans="1:6">
      <c r="A623" s="10" t="str">
        <f t="shared" si="27"/>
        <v/>
      </c>
      <c r="B623" s="85"/>
      <c r="C623" s="28" t="str">
        <f t="shared" si="28"/>
        <v/>
      </c>
      <c r="D623" s="28" t="str">
        <f t="shared" si="29"/>
        <v/>
      </c>
      <c r="E623" s="88"/>
      <c r="F623" s="83"/>
    </row>
    <row r="624" spans="1:6">
      <c r="A624" s="10" t="str">
        <f t="shared" si="27"/>
        <v/>
      </c>
      <c r="B624" s="85"/>
      <c r="C624" s="28" t="str">
        <f t="shared" si="28"/>
        <v/>
      </c>
      <c r="D624" s="28" t="str">
        <f t="shared" si="29"/>
        <v/>
      </c>
      <c r="E624" s="88"/>
      <c r="F624" s="83"/>
    </row>
    <row r="625" spans="1:6">
      <c r="A625" s="10" t="str">
        <f t="shared" si="27"/>
        <v/>
      </c>
      <c r="B625" s="85"/>
      <c r="C625" s="28" t="str">
        <f t="shared" si="28"/>
        <v/>
      </c>
      <c r="D625" s="28" t="str">
        <f t="shared" si="29"/>
        <v/>
      </c>
      <c r="E625" s="88"/>
      <c r="F625" s="83"/>
    </row>
    <row r="626" spans="1:6">
      <c r="A626" s="10" t="str">
        <f t="shared" si="27"/>
        <v/>
      </c>
      <c r="B626" s="85"/>
      <c r="C626" s="28" t="str">
        <f t="shared" si="28"/>
        <v/>
      </c>
      <c r="D626" s="28" t="str">
        <f t="shared" si="29"/>
        <v/>
      </c>
      <c r="E626" s="88"/>
      <c r="F626" s="83"/>
    </row>
    <row r="627" spans="1:6">
      <c r="A627" s="10" t="str">
        <f t="shared" si="27"/>
        <v/>
      </c>
      <c r="B627" s="85"/>
      <c r="C627" s="28" t="str">
        <f t="shared" si="28"/>
        <v/>
      </c>
      <c r="D627" s="28" t="str">
        <f t="shared" si="29"/>
        <v/>
      </c>
      <c r="E627" s="88"/>
      <c r="F627" s="83"/>
    </row>
    <row r="628" spans="1:6">
      <c r="A628" s="10" t="str">
        <f t="shared" si="27"/>
        <v/>
      </c>
      <c r="B628" s="85"/>
      <c r="C628" s="28" t="str">
        <f t="shared" si="28"/>
        <v/>
      </c>
      <c r="D628" s="28" t="str">
        <f t="shared" si="29"/>
        <v/>
      </c>
      <c r="E628" s="88"/>
      <c r="F628" s="83"/>
    </row>
    <row r="629" spans="1:6">
      <c r="A629" s="10" t="str">
        <f t="shared" si="27"/>
        <v/>
      </c>
      <c r="B629" s="85"/>
      <c r="C629" s="28" t="str">
        <f t="shared" si="28"/>
        <v/>
      </c>
      <c r="D629" s="28" t="str">
        <f t="shared" si="29"/>
        <v/>
      </c>
      <c r="E629" s="88"/>
      <c r="F629" s="83"/>
    </row>
    <row r="630" spans="1:6">
      <c r="A630" s="10" t="str">
        <f t="shared" si="27"/>
        <v/>
      </c>
      <c r="B630" s="85"/>
      <c r="C630" s="28" t="str">
        <f t="shared" si="28"/>
        <v/>
      </c>
      <c r="D630" s="28" t="str">
        <f t="shared" si="29"/>
        <v/>
      </c>
      <c r="E630" s="88"/>
      <c r="F630" s="83"/>
    </row>
    <row r="631" spans="1:6">
      <c r="A631" s="10" t="str">
        <f t="shared" si="27"/>
        <v/>
      </c>
      <c r="B631" s="85"/>
      <c r="C631" s="28" t="str">
        <f t="shared" si="28"/>
        <v/>
      </c>
      <c r="D631" s="28" t="str">
        <f t="shared" si="29"/>
        <v/>
      </c>
      <c r="E631" s="88"/>
      <c r="F631" s="83"/>
    </row>
    <row r="632" spans="1:6">
      <c r="A632" s="10" t="str">
        <f t="shared" si="27"/>
        <v/>
      </c>
      <c r="B632" s="85"/>
      <c r="C632" s="28" t="str">
        <f t="shared" si="28"/>
        <v/>
      </c>
      <c r="D632" s="28" t="str">
        <f t="shared" si="29"/>
        <v/>
      </c>
      <c r="E632" s="88"/>
      <c r="F632" s="83"/>
    </row>
    <row r="633" spans="1:6">
      <c r="A633" s="10" t="str">
        <f t="shared" si="27"/>
        <v/>
      </c>
      <c r="B633" s="85"/>
      <c r="C633" s="28" t="str">
        <f t="shared" si="28"/>
        <v/>
      </c>
      <c r="D633" s="28" t="str">
        <f t="shared" si="29"/>
        <v/>
      </c>
      <c r="E633" s="88"/>
      <c r="F633" s="83"/>
    </row>
    <row r="634" spans="1:6">
      <c r="A634" s="10" t="str">
        <f t="shared" si="27"/>
        <v/>
      </c>
      <c r="B634" s="85"/>
      <c r="C634" s="28" t="str">
        <f t="shared" si="28"/>
        <v/>
      </c>
      <c r="D634" s="28" t="str">
        <f t="shared" si="29"/>
        <v/>
      </c>
      <c r="E634" s="88"/>
      <c r="F634" s="83"/>
    </row>
    <row r="635" spans="1:6">
      <c r="A635" s="10" t="str">
        <f t="shared" si="27"/>
        <v/>
      </c>
      <c r="B635" s="85"/>
      <c r="C635" s="28" t="str">
        <f t="shared" si="28"/>
        <v/>
      </c>
      <c r="D635" s="28" t="str">
        <f t="shared" si="29"/>
        <v/>
      </c>
      <c r="E635" s="88"/>
      <c r="F635" s="83"/>
    </row>
    <row r="636" spans="1:6">
      <c r="A636" s="10" t="str">
        <f t="shared" si="27"/>
        <v/>
      </c>
      <c r="B636" s="85"/>
      <c r="C636" s="28" t="str">
        <f t="shared" si="28"/>
        <v/>
      </c>
      <c r="D636" s="28" t="str">
        <f t="shared" si="29"/>
        <v/>
      </c>
      <c r="E636" s="88"/>
      <c r="F636" s="83"/>
    </row>
    <row r="637" spans="1:6">
      <c r="A637" s="10" t="str">
        <f t="shared" si="27"/>
        <v/>
      </c>
      <c r="B637" s="85"/>
      <c r="C637" s="28" t="str">
        <f t="shared" si="28"/>
        <v/>
      </c>
      <c r="D637" s="28" t="str">
        <f t="shared" si="29"/>
        <v/>
      </c>
      <c r="E637" s="88"/>
      <c r="F637" s="83"/>
    </row>
    <row r="638" spans="1:6">
      <c r="A638" s="10" t="str">
        <f t="shared" si="27"/>
        <v/>
      </c>
      <c r="B638" s="85"/>
      <c r="C638" s="28" t="str">
        <f t="shared" si="28"/>
        <v/>
      </c>
      <c r="D638" s="28" t="str">
        <f t="shared" si="29"/>
        <v/>
      </c>
      <c r="E638" s="88"/>
      <c r="F638" s="83"/>
    </row>
    <row r="639" spans="1:6">
      <c r="A639" s="10" t="str">
        <f t="shared" si="27"/>
        <v/>
      </c>
      <c r="B639" s="85"/>
      <c r="C639" s="28" t="str">
        <f t="shared" si="28"/>
        <v/>
      </c>
      <c r="D639" s="28" t="str">
        <f t="shared" si="29"/>
        <v/>
      </c>
      <c r="E639" s="88"/>
      <c r="F639" s="83"/>
    </row>
    <row r="640" spans="1:6">
      <c r="A640" s="10" t="str">
        <f t="shared" si="27"/>
        <v/>
      </c>
      <c r="B640" s="85"/>
      <c r="C640" s="28" t="str">
        <f t="shared" si="28"/>
        <v/>
      </c>
      <c r="D640" s="28" t="str">
        <f t="shared" si="29"/>
        <v/>
      </c>
      <c r="E640" s="88"/>
      <c r="F640" s="83"/>
    </row>
    <row r="641" spans="1:6">
      <c r="A641" s="10" t="str">
        <f t="shared" si="27"/>
        <v/>
      </c>
      <c r="B641" s="85"/>
      <c r="C641" s="28" t="str">
        <f t="shared" si="28"/>
        <v/>
      </c>
      <c r="D641" s="28" t="str">
        <f t="shared" si="29"/>
        <v/>
      </c>
      <c r="E641" s="88"/>
      <c r="F641" s="83"/>
    </row>
    <row r="642" spans="1:6">
      <c r="A642" s="10" t="str">
        <f t="shared" si="27"/>
        <v/>
      </c>
      <c r="B642" s="85"/>
      <c r="C642" s="28" t="str">
        <f t="shared" si="28"/>
        <v/>
      </c>
      <c r="D642" s="28" t="str">
        <f t="shared" si="29"/>
        <v/>
      </c>
      <c r="E642" s="88"/>
      <c r="F642" s="83"/>
    </row>
    <row r="643" spans="1:6">
      <c r="A643" s="10" t="str">
        <f t="shared" ref="A643:A706" si="30">IF(E643&gt;0,A642+1,"")</f>
        <v/>
      </c>
      <c r="B643" s="85"/>
      <c r="C643" s="28" t="str">
        <f t="shared" ref="C643:C706" si="31">IF(B643=0,"",TEXT(B643,"mmmm"))</f>
        <v/>
      </c>
      <c r="D643" s="28" t="str">
        <f t="shared" ref="D643:D706" si="32">IF(B643=0,"",TEXT(B643,"yyyy"))</f>
        <v/>
      </c>
      <c r="E643" s="88"/>
      <c r="F643" s="83"/>
    </row>
    <row r="644" spans="1:6">
      <c r="A644" s="10" t="str">
        <f t="shared" si="30"/>
        <v/>
      </c>
      <c r="B644" s="85"/>
      <c r="C644" s="28" t="str">
        <f t="shared" si="31"/>
        <v/>
      </c>
      <c r="D644" s="28" t="str">
        <f t="shared" si="32"/>
        <v/>
      </c>
      <c r="E644" s="88"/>
      <c r="F644" s="83"/>
    </row>
    <row r="645" spans="1:6">
      <c r="A645" s="10" t="str">
        <f t="shared" si="30"/>
        <v/>
      </c>
      <c r="B645" s="85"/>
      <c r="C645" s="28" t="str">
        <f t="shared" si="31"/>
        <v/>
      </c>
      <c r="D645" s="28" t="str">
        <f t="shared" si="32"/>
        <v/>
      </c>
      <c r="E645" s="88"/>
      <c r="F645" s="83"/>
    </row>
    <row r="646" spans="1:6">
      <c r="A646" s="10" t="str">
        <f t="shared" si="30"/>
        <v/>
      </c>
      <c r="B646" s="85"/>
      <c r="C646" s="28" t="str">
        <f t="shared" si="31"/>
        <v/>
      </c>
      <c r="D646" s="28" t="str">
        <f t="shared" si="32"/>
        <v/>
      </c>
      <c r="E646" s="88"/>
      <c r="F646" s="83"/>
    </row>
    <row r="647" spans="1:6">
      <c r="A647" s="10" t="str">
        <f t="shared" si="30"/>
        <v/>
      </c>
      <c r="B647" s="85"/>
      <c r="C647" s="28" t="str">
        <f t="shared" si="31"/>
        <v/>
      </c>
      <c r="D647" s="28" t="str">
        <f t="shared" si="32"/>
        <v/>
      </c>
      <c r="E647" s="88"/>
      <c r="F647" s="83"/>
    </row>
    <row r="648" spans="1:6">
      <c r="A648" s="10" t="str">
        <f t="shared" si="30"/>
        <v/>
      </c>
      <c r="B648" s="85"/>
      <c r="C648" s="28" t="str">
        <f t="shared" si="31"/>
        <v/>
      </c>
      <c r="D648" s="28" t="str">
        <f t="shared" si="32"/>
        <v/>
      </c>
      <c r="E648" s="88"/>
      <c r="F648" s="83"/>
    </row>
    <row r="649" spans="1:6">
      <c r="A649" s="10" t="str">
        <f t="shared" si="30"/>
        <v/>
      </c>
      <c r="B649" s="85"/>
      <c r="C649" s="28" t="str">
        <f t="shared" si="31"/>
        <v/>
      </c>
      <c r="D649" s="28" t="str">
        <f t="shared" si="32"/>
        <v/>
      </c>
      <c r="E649" s="88"/>
      <c r="F649" s="83"/>
    </row>
    <row r="650" spans="1:6">
      <c r="A650" s="10" t="str">
        <f t="shared" si="30"/>
        <v/>
      </c>
      <c r="B650" s="85"/>
      <c r="C650" s="28" t="str">
        <f t="shared" si="31"/>
        <v/>
      </c>
      <c r="D650" s="28" t="str">
        <f t="shared" si="32"/>
        <v/>
      </c>
      <c r="E650" s="88"/>
      <c r="F650" s="83"/>
    </row>
    <row r="651" spans="1:6">
      <c r="A651" s="10" t="str">
        <f t="shared" si="30"/>
        <v/>
      </c>
      <c r="B651" s="85"/>
      <c r="C651" s="28" t="str">
        <f t="shared" si="31"/>
        <v/>
      </c>
      <c r="D651" s="28" t="str">
        <f t="shared" si="32"/>
        <v/>
      </c>
      <c r="E651" s="88"/>
      <c r="F651" s="83"/>
    </row>
    <row r="652" spans="1:6">
      <c r="A652" s="10" t="str">
        <f t="shared" si="30"/>
        <v/>
      </c>
      <c r="B652" s="85"/>
      <c r="C652" s="28" t="str">
        <f t="shared" si="31"/>
        <v/>
      </c>
      <c r="D652" s="28" t="str">
        <f t="shared" si="32"/>
        <v/>
      </c>
      <c r="E652" s="88"/>
      <c r="F652" s="83"/>
    </row>
    <row r="653" spans="1:6">
      <c r="A653" s="10" t="str">
        <f t="shared" si="30"/>
        <v/>
      </c>
      <c r="B653" s="85"/>
      <c r="C653" s="28" t="str">
        <f t="shared" si="31"/>
        <v/>
      </c>
      <c r="D653" s="28" t="str">
        <f t="shared" si="32"/>
        <v/>
      </c>
      <c r="E653" s="88"/>
      <c r="F653" s="83"/>
    </row>
    <row r="654" spans="1:6">
      <c r="A654" s="10" t="str">
        <f t="shared" si="30"/>
        <v/>
      </c>
      <c r="B654" s="85"/>
      <c r="C654" s="28" t="str">
        <f t="shared" si="31"/>
        <v/>
      </c>
      <c r="D654" s="28" t="str">
        <f t="shared" si="32"/>
        <v/>
      </c>
      <c r="E654" s="88"/>
      <c r="F654" s="83"/>
    </row>
    <row r="655" spans="1:6">
      <c r="A655" s="10" t="str">
        <f t="shared" si="30"/>
        <v/>
      </c>
      <c r="B655" s="85"/>
      <c r="C655" s="28" t="str">
        <f t="shared" si="31"/>
        <v/>
      </c>
      <c r="D655" s="28" t="str">
        <f t="shared" si="32"/>
        <v/>
      </c>
      <c r="E655" s="88"/>
      <c r="F655" s="83"/>
    </row>
    <row r="656" spans="1:6">
      <c r="A656" s="10" t="str">
        <f t="shared" si="30"/>
        <v/>
      </c>
      <c r="B656" s="85"/>
      <c r="C656" s="28" t="str">
        <f t="shared" si="31"/>
        <v/>
      </c>
      <c r="D656" s="28" t="str">
        <f t="shared" si="32"/>
        <v/>
      </c>
      <c r="E656" s="88"/>
      <c r="F656" s="83"/>
    </row>
    <row r="657" spans="1:6">
      <c r="A657" s="10" t="str">
        <f t="shared" si="30"/>
        <v/>
      </c>
      <c r="B657" s="85"/>
      <c r="C657" s="28" t="str">
        <f t="shared" si="31"/>
        <v/>
      </c>
      <c r="D657" s="28" t="str">
        <f t="shared" si="32"/>
        <v/>
      </c>
      <c r="E657" s="88"/>
      <c r="F657" s="83"/>
    </row>
    <row r="658" spans="1:6">
      <c r="A658" s="10" t="str">
        <f t="shared" si="30"/>
        <v/>
      </c>
      <c r="B658" s="85"/>
      <c r="C658" s="28" t="str">
        <f t="shared" si="31"/>
        <v/>
      </c>
      <c r="D658" s="28" t="str">
        <f t="shared" si="32"/>
        <v/>
      </c>
      <c r="E658" s="88"/>
      <c r="F658" s="83"/>
    </row>
    <row r="659" spans="1:6">
      <c r="A659" s="10" t="str">
        <f t="shared" si="30"/>
        <v/>
      </c>
      <c r="B659" s="85"/>
      <c r="C659" s="28" t="str">
        <f t="shared" si="31"/>
        <v/>
      </c>
      <c r="D659" s="28" t="str">
        <f t="shared" si="32"/>
        <v/>
      </c>
      <c r="E659" s="88"/>
      <c r="F659" s="83"/>
    </row>
    <row r="660" spans="1:6">
      <c r="A660" s="10" t="str">
        <f t="shared" si="30"/>
        <v/>
      </c>
      <c r="B660" s="85"/>
      <c r="C660" s="28" t="str">
        <f t="shared" si="31"/>
        <v/>
      </c>
      <c r="D660" s="28" t="str">
        <f t="shared" si="32"/>
        <v/>
      </c>
      <c r="E660" s="88"/>
      <c r="F660" s="83"/>
    </row>
    <row r="661" spans="1:6">
      <c r="A661" s="10" t="str">
        <f t="shared" si="30"/>
        <v/>
      </c>
      <c r="B661" s="85"/>
      <c r="C661" s="28" t="str">
        <f t="shared" si="31"/>
        <v/>
      </c>
      <c r="D661" s="28" t="str">
        <f t="shared" si="32"/>
        <v/>
      </c>
      <c r="E661" s="88"/>
      <c r="F661" s="83"/>
    </row>
    <row r="662" spans="1:6">
      <c r="A662" s="10" t="str">
        <f t="shared" si="30"/>
        <v/>
      </c>
      <c r="B662" s="85"/>
      <c r="C662" s="28" t="str">
        <f t="shared" si="31"/>
        <v/>
      </c>
      <c r="D662" s="28" t="str">
        <f t="shared" si="32"/>
        <v/>
      </c>
      <c r="E662" s="88"/>
      <c r="F662" s="83"/>
    </row>
    <row r="663" spans="1:6">
      <c r="A663" s="10" t="str">
        <f t="shared" si="30"/>
        <v/>
      </c>
      <c r="B663" s="85"/>
      <c r="C663" s="28" t="str">
        <f t="shared" si="31"/>
        <v/>
      </c>
      <c r="D663" s="28" t="str">
        <f t="shared" si="32"/>
        <v/>
      </c>
      <c r="E663" s="88"/>
      <c r="F663" s="83"/>
    </row>
    <row r="664" spans="1:6">
      <c r="A664" s="10" t="str">
        <f t="shared" si="30"/>
        <v/>
      </c>
      <c r="B664" s="85"/>
      <c r="C664" s="28" t="str">
        <f t="shared" si="31"/>
        <v/>
      </c>
      <c r="D664" s="28" t="str">
        <f t="shared" si="32"/>
        <v/>
      </c>
      <c r="E664" s="88"/>
      <c r="F664" s="83"/>
    </row>
    <row r="665" spans="1:6">
      <c r="A665" s="10" t="str">
        <f t="shared" si="30"/>
        <v/>
      </c>
      <c r="B665" s="85"/>
      <c r="C665" s="28" t="str">
        <f t="shared" si="31"/>
        <v/>
      </c>
      <c r="D665" s="28" t="str">
        <f t="shared" si="32"/>
        <v/>
      </c>
      <c r="E665" s="88"/>
      <c r="F665" s="83"/>
    </row>
    <row r="666" spans="1:6">
      <c r="A666" s="10" t="str">
        <f t="shared" si="30"/>
        <v/>
      </c>
      <c r="B666" s="85"/>
      <c r="C666" s="28" t="str">
        <f t="shared" si="31"/>
        <v/>
      </c>
      <c r="D666" s="28" t="str">
        <f t="shared" si="32"/>
        <v/>
      </c>
      <c r="E666" s="88"/>
      <c r="F666" s="83"/>
    </row>
    <row r="667" spans="1:6">
      <c r="A667" s="10" t="str">
        <f t="shared" si="30"/>
        <v/>
      </c>
      <c r="B667" s="85"/>
      <c r="C667" s="28" t="str">
        <f t="shared" si="31"/>
        <v/>
      </c>
      <c r="D667" s="28" t="str">
        <f t="shared" si="32"/>
        <v/>
      </c>
      <c r="E667" s="88"/>
      <c r="F667" s="83"/>
    </row>
    <row r="668" spans="1:6">
      <c r="A668" s="10" t="str">
        <f t="shared" si="30"/>
        <v/>
      </c>
      <c r="B668" s="85"/>
      <c r="C668" s="28" t="str">
        <f t="shared" si="31"/>
        <v/>
      </c>
      <c r="D668" s="28" t="str">
        <f t="shared" si="32"/>
        <v/>
      </c>
      <c r="E668" s="88"/>
      <c r="F668" s="83"/>
    </row>
    <row r="669" spans="1:6">
      <c r="A669" s="10" t="str">
        <f t="shared" si="30"/>
        <v/>
      </c>
      <c r="B669" s="85"/>
      <c r="C669" s="28" t="str">
        <f t="shared" si="31"/>
        <v/>
      </c>
      <c r="D669" s="28" t="str">
        <f t="shared" si="32"/>
        <v/>
      </c>
      <c r="E669" s="88"/>
      <c r="F669" s="83"/>
    </row>
    <row r="670" spans="1:6">
      <c r="A670" s="10" t="str">
        <f t="shared" si="30"/>
        <v/>
      </c>
      <c r="B670" s="85"/>
      <c r="C670" s="28" t="str">
        <f t="shared" si="31"/>
        <v/>
      </c>
      <c r="D670" s="28" t="str">
        <f t="shared" si="32"/>
        <v/>
      </c>
      <c r="E670" s="88"/>
      <c r="F670" s="83"/>
    </row>
    <row r="671" spans="1:6">
      <c r="A671" s="10" t="str">
        <f t="shared" si="30"/>
        <v/>
      </c>
      <c r="B671" s="85"/>
      <c r="C671" s="28" t="str">
        <f t="shared" si="31"/>
        <v/>
      </c>
      <c r="D671" s="28" t="str">
        <f t="shared" si="32"/>
        <v/>
      </c>
      <c r="E671" s="88"/>
      <c r="F671" s="83"/>
    </row>
    <row r="672" spans="1:6">
      <c r="A672" s="10" t="str">
        <f t="shared" si="30"/>
        <v/>
      </c>
      <c r="B672" s="85"/>
      <c r="C672" s="28" t="str">
        <f t="shared" si="31"/>
        <v/>
      </c>
      <c r="D672" s="28" t="str">
        <f t="shared" si="32"/>
        <v/>
      </c>
      <c r="E672" s="88"/>
      <c r="F672" s="83"/>
    </row>
    <row r="673" spans="1:6">
      <c r="A673" s="10" t="str">
        <f t="shared" si="30"/>
        <v/>
      </c>
      <c r="B673" s="85"/>
      <c r="C673" s="28" t="str">
        <f t="shared" si="31"/>
        <v/>
      </c>
      <c r="D673" s="28" t="str">
        <f t="shared" si="32"/>
        <v/>
      </c>
      <c r="E673" s="88"/>
      <c r="F673" s="83"/>
    </row>
    <row r="674" spans="1:6">
      <c r="A674" s="10" t="str">
        <f t="shared" si="30"/>
        <v/>
      </c>
      <c r="B674" s="85"/>
      <c r="C674" s="28" t="str">
        <f t="shared" si="31"/>
        <v/>
      </c>
      <c r="D674" s="28" t="str">
        <f t="shared" si="32"/>
        <v/>
      </c>
      <c r="E674" s="88"/>
      <c r="F674" s="83"/>
    </row>
    <row r="675" spans="1:6">
      <c r="A675" s="10" t="str">
        <f t="shared" si="30"/>
        <v/>
      </c>
      <c r="B675" s="85"/>
      <c r="C675" s="28" t="str">
        <f t="shared" si="31"/>
        <v/>
      </c>
      <c r="D675" s="28" t="str">
        <f t="shared" si="32"/>
        <v/>
      </c>
      <c r="E675" s="88"/>
      <c r="F675" s="83"/>
    </row>
    <row r="676" spans="1:6">
      <c r="A676" s="10" t="str">
        <f t="shared" si="30"/>
        <v/>
      </c>
      <c r="B676" s="85"/>
      <c r="C676" s="28" t="str">
        <f t="shared" si="31"/>
        <v/>
      </c>
      <c r="D676" s="28" t="str">
        <f t="shared" si="32"/>
        <v/>
      </c>
      <c r="E676" s="88"/>
      <c r="F676" s="83"/>
    </row>
    <row r="677" spans="1:6">
      <c r="A677" s="10" t="str">
        <f t="shared" si="30"/>
        <v/>
      </c>
      <c r="B677" s="85"/>
      <c r="C677" s="28" t="str">
        <f t="shared" si="31"/>
        <v/>
      </c>
      <c r="D677" s="28" t="str">
        <f t="shared" si="32"/>
        <v/>
      </c>
      <c r="E677" s="88"/>
      <c r="F677" s="83"/>
    </row>
    <row r="678" spans="1:6">
      <c r="A678" s="10" t="str">
        <f t="shared" si="30"/>
        <v/>
      </c>
      <c r="B678" s="85"/>
      <c r="C678" s="28" t="str">
        <f t="shared" si="31"/>
        <v/>
      </c>
      <c r="D678" s="28" t="str">
        <f t="shared" si="32"/>
        <v/>
      </c>
      <c r="E678" s="88"/>
      <c r="F678" s="83"/>
    </row>
    <row r="679" spans="1:6">
      <c r="A679" s="10" t="str">
        <f t="shared" si="30"/>
        <v/>
      </c>
      <c r="B679" s="85"/>
      <c r="C679" s="28" t="str">
        <f t="shared" si="31"/>
        <v/>
      </c>
      <c r="D679" s="28" t="str">
        <f t="shared" si="32"/>
        <v/>
      </c>
      <c r="E679" s="88"/>
      <c r="F679" s="83"/>
    </row>
    <row r="680" spans="1:6">
      <c r="A680" s="10" t="str">
        <f t="shared" si="30"/>
        <v/>
      </c>
      <c r="B680" s="85"/>
      <c r="C680" s="28" t="str">
        <f t="shared" si="31"/>
        <v/>
      </c>
      <c r="D680" s="28" t="str">
        <f t="shared" si="32"/>
        <v/>
      </c>
      <c r="E680" s="88"/>
      <c r="F680" s="83"/>
    </row>
    <row r="681" spans="1:6">
      <c r="A681" s="10" t="str">
        <f t="shared" si="30"/>
        <v/>
      </c>
      <c r="B681" s="85"/>
      <c r="C681" s="28" t="str">
        <f t="shared" si="31"/>
        <v/>
      </c>
      <c r="D681" s="28" t="str">
        <f t="shared" si="32"/>
        <v/>
      </c>
      <c r="E681" s="88"/>
      <c r="F681" s="83"/>
    </row>
    <row r="682" spans="1:6">
      <c r="A682" s="10" t="str">
        <f t="shared" si="30"/>
        <v/>
      </c>
      <c r="B682" s="85"/>
      <c r="C682" s="28" t="str">
        <f t="shared" si="31"/>
        <v/>
      </c>
      <c r="D682" s="28" t="str">
        <f t="shared" si="32"/>
        <v/>
      </c>
      <c r="E682" s="88"/>
      <c r="F682" s="83"/>
    </row>
    <row r="683" spans="1:6">
      <c r="A683" s="10" t="str">
        <f t="shared" si="30"/>
        <v/>
      </c>
      <c r="B683" s="85"/>
      <c r="C683" s="28" t="str">
        <f t="shared" si="31"/>
        <v/>
      </c>
      <c r="D683" s="28" t="str">
        <f t="shared" si="32"/>
        <v/>
      </c>
      <c r="E683" s="88"/>
      <c r="F683" s="83"/>
    </row>
    <row r="684" spans="1:6">
      <c r="A684" s="10" t="str">
        <f t="shared" si="30"/>
        <v/>
      </c>
      <c r="B684" s="85"/>
      <c r="C684" s="28" t="str">
        <f t="shared" si="31"/>
        <v/>
      </c>
      <c r="D684" s="28" t="str">
        <f t="shared" si="32"/>
        <v/>
      </c>
      <c r="E684" s="88"/>
      <c r="F684" s="83"/>
    </row>
    <row r="685" spans="1:6">
      <c r="A685" s="10" t="str">
        <f t="shared" si="30"/>
        <v/>
      </c>
      <c r="B685" s="85"/>
      <c r="C685" s="28" t="str">
        <f t="shared" si="31"/>
        <v/>
      </c>
      <c r="D685" s="28" t="str">
        <f t="shared" si="32"/>
        <v/>
      </c>
      <c r="E685" s="88"/>
      <c r="F685" s="83"/>
    </row>
    <row r="686" spans="1:6">
      <c r="A686" s="10" t="str">
        <f t="shared" si="30"/>
        <v/>
      </c>
      <c r="B686" s="85"/>
      <c r="C686" s="28" t="str">
        <f t="shared" si="31"/>
        <v/>
      </c>
      <c r="D686" s="28" t="str">
        <f t="shared" si="32"/>
        <v/>
      </c>
      <c r="E686" s="88"/>
      <c r="F686" s="83"/>
    </row>
    <row r="687" spans="1:6">
      <c r="A687" s="10" t="str">
        <f t="shared" si="30"/>
        <v/>
      </c>
      <c r="B687" s="85"/>
      <c r="C687" s="28" t="str">
        <f t="shared" si="31"/>
        <v/>
      </c>
      <c r="D687" s="28" t="str">
        <f t="shared" si="32"/>
        <v/>
      </c>
      <c r="E687" s="88"/>
      <c r="F687" s="83"/>
    </row>
    <row r="688" spans="1:6">
      <c r="A688" s="10" t="str">
        <f t="shared" si="30"/>
        <v/>
      </c>
      <c r="B688" s="85"/>
      <c r="C688" s="28" t="str">
        <f t="shared" si="31"/>
        <v/>
      </c>
      <c r="D688" s="28" t="str">
        <f t="shared" si="32"/>
        <v/>
      </c>
      <c r="E688" s="88"/>
      <c r="F688" s="83"/>
    </row>
    <row r="689" spans="1:6">
      <c r="A689" s="10" t="str">
        <f t="shared" si="30"/>
        <v/>
      </c>
      <c r="B689" s="85"/>
      <c r="C689" s="28" t="str">
        <f t="shared" si="31"/>
        <v/>
      </c>
      <c r="D689" s="28" t="str">
        <f t="shared" si="32"/>
        <v/>
      </c>
      <c r="E689" s="88"/>
      <c r="F689" s="83"/>
    </row>
    <row r="690" spans="1:6">
      <c r="A690" s="10" t="str">
        <f t="shared" si="30"/>
        <v/>
      </c>
      <c r="B690" s="85"/>
      <c r="C690" s="28" t="str">
        <f t="shared" si="31"/>
        <v/>
      </c>
      <c r="D690" s="28" t="str">
        <f t="shared" si="32"/>
        <v/>
      </c>
      <c r="E690" s="88"/>
      <c r="F690" s="83"/>
    </row>
    <row r="691" spans="1:6">
      <c r="A691" s="10" t="str">
        <f t="shared" si="30"/>
        <v/>
      </c>
      <c r="B691" s="85"/>
      <c r="C691" s="28" t="str">
        <f t="shared" si="31"/>
        <v/>
      </c>
      <c r="D691" s="28" t="str">
        <f t="shared" si="32"/>
        <v/>
      </c>
      <c r="E691" s="88"/>
      <c r="F691" s="83"/>
    </row>
    <row r="692" spans="1:6">
      <c r="A692" s="10" t="str">
        <f t="shared" si="30"/>
        <v/>
      </c>
      <c r="B692" s="85"/>
      <c r="C692" s="28" t="str">
        <f t="shared" si="31"/>
        <v/>
      </c>
      <c r="D692" s="28" t="str">
        <f t="shared" si="32"/>
        <v/>
      </c>
      <c r="E692" s="88"/>
      <c r="F692" s="83"/>
    </row>
    <row r="693" spans="1:6">
      <c r="A693" s="10" t="str">
        <f t="shared" si="30"/>
        <v/>
      </c>
      <c r="B693" s="85"/>
      <c r="C693" s="28" t="str">
        <f t="shared" si="31"/>
        <v/>
      </c>
      <c r="D693" s="28" t="str">
        <f t="shared" si="32"/>
        <v/>
      </c>
      <c r="E693" s="88"/>
      <c r="F693" s="83"/>
    </row>
    <row r="694" spans="1:6">
      <c r="A694" s="10" t="str">
        <f t="shared" si="30"/>
        <v/>
      </c>
      <c r="B694" s="85"/>
      <c r="C694" s="28" t="str">
        <f t="shared" si="31"/>
        <v/>
      </c>
      <c r="D694" s="28" t="str">
        <f t="shared" si="32"/>
        <v/>
      </c>
      <c r="E694" s="88"/>
      <c r="F694" s="83"/>
    </row>
    <row r="695" spans="1:6">
      <c r="A695" s="10" t="str">
        <f t="shared" si="30"/>
        <v/>
      </c>
      <c r="B695" s="85"/>
      <c r="C695" s="28" t="str">
        <f t="shared" si="31"/>
        <v/>
      </c>
      <c r="D695" s="28" t="str">
        <f t="shared" si="32"/>
        <v/>
      </c>
      <c r="E695" s="88"/>
      <c r="F695" s="83"/>
    </row>
    <row r="696" spans="1:6">
      <c r="A696" s="10" t="str">
        <f t="shared" si="30"/>
        <v/>
      </c>
      <c r="B696" s="85"/>
      <c r="C696" s="28" t="str">
        <f t="shared" si="31"/>
        <v/>
      </c>
      <c r="D696" s="28" t="str">
        <f t="shared" si="32"/>
        <v/>
      </c>
      <c r="E696" s="88"/>
      <c r="F696" s="83"/>
    </row>
    <row r="697" spans="1:6">
      <c r="A697" s="10" t="str">
        <f t="shared" si="30"/>
        <v/>
      </c>
      <c r="B697" s="85"/>
      <c r="C697" s="28" t="str">
        <f t="shared" si="31"/>
        <v/>
      </c>
      <c r="D697" s="28" t="str">
        <f t="shared" si="32"/>
        <v/>
      </c>
      <c r="E697" s="88"/>
      <c r="F697" s="83"/>
    </row>
    <row r="698" spans="1:6">
      <c r="A698" s="10" t="str">
        <f t="shared" si="30"/>
        <v/>
      </c>
      <c r="B698" s="85"/>
      <c r="C698" s="28" t="str">
        <f t="shared" si="31"/>
        <v/>
      </c>
      <c r="D698" s="28" t="str">
        <f t="shared" si="32"/>
        <v/>
      </c>
      <c r="E698" s="88"/>
      <c r="F698" s="83"/>
    </row>
    <row r="699" spans="1:6">
      <c r="A699" s="10" t="str">
        <f t="shared" si="30"/>
        <v/>
      </c>
      <c r="B699" s="85"/>
      <c r="C699" s="28" t="str">
        <f t="shared" si="31"/>
        <v/>
      </c>
      <c r="D699" s="28" t="str">
        <f t="shared" si="32"/>
        <v/>
      </c>
      <c r="E699" s="88"/>
      <c r="F699" s="83"/>
    </row>
    <row r="700" spans="1:6">
      <c r="A700" s="10" t="str">
        <f t="shared" si="30"/>
        <v/>
      </c>
      <c r="B700" s="85"/>
      <c r="C700" s="28" t="str">
        <f t="shared" si="31"/>
        <v/>
      </c>
      <c r="D700" s="28" t="str">
        <f t="shared" si="32"/>
        <v/>
      </c>
      <c r="E700" s="88"/>
      <c r="F700" s="83"/>
    </row>
    <row r="701" spans="1:6">
      <c r="A701" s="10" t="str">
        <f t="shared" si="30"/>
        <v/>
      </c>
      <c r="B701" s="85"/>
      <c r="C701" s="28" t="str">
        <f t="shared" si="31"/>
        <v/>
      </c>
      <c r="D701" s="28" t="str">
        <f t="shared" si="32"/>
        <v/>
      </c>
      <c r="E701" s="88"/>
      <c r="F701" s="83"/>
    </row>
    <row r="702" spans="1:6">
      <c r="A702" s="10" t="str">
        <f t="shared" si="30"/>
        <v/>
      </c>
      <c r="B702" s="85"/>
      <c r="C702" s="28" t="str">
        <f t="shared" si="31"/>
        <v/>
      </c>
      <c r="D702" s="28" t="str">
        <f t="shared" si="32"/>
        <v/>
      </c>
      <c r="E702" s="88"/>
      <c r="F702" s="83"/>
    </row>
    <row r="703" spans="1:6">
      <c r="A703" s="10" t="str">
        <f t="shared" si="30"/>
        <v/>
      </c>
      <c r="B703" s="85"/>
      <c r="C703" s="28" t="str">
        <f t="shared" si="31"/>
        <v/>
      </c>
      <c r="D703" s="28" t="str">
        <f t="shared" si="32"/>
        <v/>
      </c>
      <c r="E703" s="88"/>
      <c r="F703" s="83"/>
    </row>
    <row r="704" spans="1:6">
      <c r="A704" s="10" t="str">
        <f t="shared" si="30"/>
        <v/>
      </c>
      <c r="B704" s="85"/>
      <c r="C704" s="28" t="str">
        <f t="shared" si="31"/>
        <v/>
      </c>
      <c r="D704" s="28" t="str">
        <f t="shared" si="32"/>
        <v/>
      </c>
      <c r="E704" s="88"/>
      <c r="F704" s="83"/>
    </row>
    <row r="705" spans="1:6">
      <c r="A705" s="10" t="str">
        <f t="shared" si="30"/>
        <v/>
      </c>
      <c r="B705" s="85"/>
      <c r="C705" s="28" t="str">
        <f t="shared" si="31"/>
        <v/>
      </c>
      <c r="D705" s="28" t="str">
        <f t="shared" si="32"/>
        <v/>
      </c>
      <c r="E705" s="88"/>
      <c r="F705" s="83"/>
    </row>
    <row r="706" spans="1:6">
      <c r="A706" s="10" t="str">
        <f t="shared" si="30"/>
        <v/>
      </c>
      <c r="B706" s="85"/>
      <c r="C706" s="28" t="str">
        <f t="shared" si="31"/>
        <v/>
      </c>
      <c r="D706" s="28" t="str">
        <f t="shared" si="32"/>
        <v/>
      </c>
      <c r="E706" s="88"/>
      <c r="F706" s="83"/>
    </row>
    <row r="707" spans="1:6">
      <c r="A707" s="10" t="str">
        <f t="shared" ref="A707:A770" si="33">IF(E707&gt;0,A706+1,"")</f>
        <v/>
      </c>
      <c r="B707" s="85"/>
      <c r="C707" s="28" t="str">
        <f t="shared" ref="C707:C770" si="34">IF(B707=0,"",TEXT(B707,"mmmm"))</f>
        <v/>
      </c>
      <c r="D707" s="28" t="str">
        <f t="shared" ref="D707:D770" si="35">IF(B707=0,"",TEXT(B707,"yyyy"))</f>
        <v/>
      </c>
      <c r="E707" s="88"/>
      <c r="F707" s="83"/>
    </row>
    <row r="708" spans="1:6">
      <c r="A708" s="10" t="str">
        <f t="shared" si="33"/>
        <v/>
      </c>
      <c r="B708" s="85"/>
      <c r="C708" s="28" t="str">
        <f t="shared" si="34"/>
        <v/>
      </c>
      <c r="D708" s="28" t="str">
        <f t="shared" si="35"/>
        <v/>
      </c>
      <c r="E708" s="88"/>
      <c r="F708" s="83"/>
    </row>
    <row r="709" spans="1:6">
      <c r="A709" s="10" t="str">
        <f t="shared" si="33"/>
        <v/>
      </c>
      <c r="B709" s="85"/>
      <c r="C709" s="28" t="str">
        <f t="shared" si="34"/>
        <v/>
      </c>
      <c r="D709" s="28" t="str">
        <f t="shared" si="35"/>
        <v/>
      </c>
      <c r="E709" s="88"/>
      <c r="F709" s="83"/>
    </row>
    <row r="710" spans="1:6">
      <c r="A710" s="10" t="str">
        <f t="shared" si="33"/>
        <v/>
      </c>
      <c r="B710" s="85"/>
      <c r="C710" s="28" t="str">
        <f t="shared" si="34"/>
        <v/>
      </c>
      <c r="D710" s="28" t="str">
        <f t="shared" si="35"/>
        <v/>
      </c>
      <c r="E710" s="88"/>
      <c r="F710" s="83"/>
    </row>
    <row r="711" spans="1:6">
      <c r="A711" s="10" t="str">
        <f t="shared" si="33"/>
        <v/>
      </c>
      <c r="B711" s="85"/>
      <c r="C711" s="28" t="str">
        <f t="shared" si="34"/>
        <v/>
      </c>
      <c r="D711" s="28" t="str">
        <f t="shared" si="35"/>
        <v/>
      </c>
      <c r="E711" s="88"/>
      <c r="F711" s="83"/>
    </row>
    <row r="712" spans="1:6">
      <c r="A712" s="10" t="str">
        <f t="shared" si="33"/>
        <v/>
      </c>
      <c r="B712" s="85"/>
      <c r="C712" s="28" t="str">
        <f t="shared" si="34"/>
        <v/>
      </c>
      <c r="D712" s="28" t="str">
        <f t="shared" si="35"/>
        <v/>
      </c>
      <c r="E712" s="88"/>
      <c r="F712" s="83"/>
    </row>
    <row r="713" spans="1:6">
      <c r="A713" s="10" t="str">
        <f t="shared" si="33"/>
        <v/>
      </c>
      <c r="B713" s="85"/>
      <c r="C713" s="28" t="str">
        <f t="shared" si="34"/>
        <v/>
      </c>
      <c r="D713" s="28" t="str">
        <f t="shared" si="35"/>
        <v/>
      </c>
      <c r="E713" s="88"/>
      <c r="F713" s="83"/>
    </row>
    <row r="714" spans="1:6">
      <c r="A714" s="10" t="str">
        <f t="shared" si="33"/>
        <v/>
      </c>
      <c r="B714" s="85"/>
      <c r="C714" s="28" t="str">
        <f t="shared" si="34"/>
        <v/>
      </c>
      <c r="D714" s="28" t="str">
        <f t="shared" si="35"/>
        <v/>
      </c>
      <c r="E714" s="88"/>
      <c r="F714" s="83"/>
    </row>
    <row r="715" spans="1:6">
      <c r="A715" s="10" t="str">
        <f t="shared" si="33"/>
        <v/>
      </c>
      <c r="B715" s="85"/>
      <c r="C715" s="28" t="str">
        <f t="shared" si="34"/>
        <v/>
      </c>
      <c r="D715" s="28" t="str">
        <f t="shared" si="35"/>
        <v/>
      </c>
      <c r="E715" s="88"/>
      <c r="F715" s="83"/>
    </row>
    <row r="716" spans="1:6">
      <c r="A716" s="10" t="str">
        <f t="shared" si="33"/>
        <v/>
      </c>
      <c r="B716" s="85"/>
      <c r="C716" s="28" t="str">
        <f t="shared" si="34"/>
        <v/>
      </c>
      <c r="D716" s="28" t="str">
        <f t="shared" si="35"/>
        <v/>
      </c>
      <c r="E716" s="88"/>
      <c r="F716" s="83"/>
    </row>
    <row r="717" spans="1:6">
      <c r="A717" s="10" t="str">
        <f t="shared" si="33"/>
        <v/>
      </c>
      <c r="B717" s="85"/>
      <c r="C717" s="28" t="str">
        <f t="shared" si="34"/>
        <v/>
      </c>
      <c r="D717" s="28" t="str">
        <f t="shared" si="35"/>
        <v/>
      </c>
      <c r="E717" s="88"/>
      <c r="F717" s="83"/>
    </row>
    <row r="718" spans="1:6">
      <c r="A718" s="10" t="str">
        <f t="shared" si="33"/>
        <v/>
      </c>
      <c r="B718" s="85"/>
      <c r="C718" s="28" t="str">
        <f t="shared" si="34"/>
        <v/>
      </c>
      <c r="D718" s="28" t="str">
        <f t="shared" si="35"/>
        <v/>
      </c>
      <c r="E718" s="88"/>
      <c r="F718" s="83"/>
    </row>
    <row r="719" spans="1:6">
      <c r="A719" s="10" t="str">
        <f t="shared" si="33"/>
        <v/>
      </c>
      <c r="B719" s="85"/>
      <c r="C719" s="28" t="str">
        <f t="shared" si="34"/>
        <v/>
      </c>
      <c r="D719" s="28" t="str">
        <f t="shared" si="35"/>
        <v/>
      </c>
      <c r="E719" s="88"/>
      <c r="F719" s="83"/>
    </row>
    <row r="720" spans="1:6">
      <c r="A720" s="10" t="str">
        <f t="shared" si="33"/>
        <v/>
      </c>
      <c r="B720" s="85"/>
      <c r="C720" s="28" t="str">
        <f t="shared" si="34"/>
        <v/>
      </c>
      <c r="D720" s="28" t="str">
        <f t="shared" si="35"/>
        <v/>
      </c>
      <c r="E720" s="88"/>
      <c r="F720" s="83"/>
    </row>
    <row r="721" spans="1:6">
      <c r="A721" s="10" t="str">
        <f t="shared" si="33"/>
        <v/>
      </c>
      <c r="B721" s="85"/>
      <c r="C721" s="28" t="str">
        <f t="shared" si="34"/>
        <v/>
      </c>
      <c r="D721" s="28" t="str">
        <f t="shared" si="35"/>
        <v/>
      </c>
      <c r="E721" s="88"/>
      <c r="F721" s="83"/>
    </row>
    <row r="722" spans="1:6">
      <c r="A722" s="10" t="str">
        <f t="shared" si="33"/>
        <v/>
      </c>
      <c r="B722" s="85"/>
      <c r="C722" s="28" t="str">
        <f t="shared" si="34"/>
        <v/>
      </c>
      <c r="D722" s="28" t="str">
        <f t="shared" si="35"/>
        <v/>
      </c>
      <c r="E722" s="88"/>
      <c r="F722" s="83"/>
    </row>
    <row r="723" spans="1:6">
      <c r="A723" s="10" t="str">
        <f t="shared" si="33"/>
        <v/>
      </c>
      <c r="B723" s="85"/>
      <c r="C723" s="28" t="str">
        <f t="shared" si="34"/>
        <v/>
      </c>
      <c r="D723" s="28" t="str">
        <f t="shared" si="35"/>
        <v/>
      </c>
      <c r="E723" s="88"/>
      <c r="F723" s="83"/>
    </row>
    <row r="724" spans="1:6">
      <c r="A724" s="10" t="str">
        <f t="shared" si="33"/>
        <v/>
      </c>
      <c r="B724" s="85"/>
      <c r="C724" s="28" t="str">
        <f t="shared" si="34"/>
        <v/>
      </c>
      <c r="D724" s="28" t="str">
        <f t="shared" si="35"/>
        <v/>
      </c>
      <c r="E724" s="88"/>
      <c r="F724" s="83"/>
    </row>
    <row r="725" spans="1:6">
      <c r="A725" s="10" t="str">
        <f t="shared" si="33"/>
        <v/>
      </c>
      <c r="B725" s="85"/>
      <c r="C725" s="28" t="str">
        <f t="shared" si="34"/>
        <v/>
      </c>
      <c r="D725" s="28" t="str">
        <f t="shared" si="35"/>
        <v/>
      </c>
      <c r="E725" s="88"/>
      <c r="F725" s="83"/>
    </row>
    <row r="726" spans="1:6">
      <c r="A726" s="10" t="str">
        <f t="shared" si="33"/>
        <v/>
      </c>
      <c r="B726" s="85"/>
      <c r="C726" s="28" t="str">
        <f t="shared" si="34"/>
        <v/>
      </c>
      <c r="D726" s="28" t="str">
        <f t="shared" si="35"/>
        <v/>
      </c>
      <c r="E726" s="88"/>
      <c r="F726" s="83"/>
    </row>
    <row r="727" spans="1:6">
      <c r="A727" s="10" t="str">
        <f t="shared" si="33"/>
        <v/>
      </c>
      <c r="B727" s="85"/>
      <c r="C727" s="28" t="str">
        <f t="shared" si="34"/>
        <v/>
      </c>
      <c r="D727" s="28" t="str">
        <f t="shared" si="35"/>
        <v/>
      </c>
      <c r="E727" s="88"/>
      <c r="F727" s="83"/>
    </row>
    <row r="728" spans="1:6">
      <c r="A728" s="10" t="str">
        <f t="shared" si="33"/>
        <v/>
      </c>
      <c r="B728" s="85"/>
      <c r="C728" s="28" t="str">
        <f t="shared" si="34"/>
        <v/>
      </c>
      <c r="D728" s="28" t="str">
        <f t="shared" si="35"/>
        <v/>
      </c>
      <c r="E728" s="88"/>
      <c r="F728" s="83"/>
    </row>
    <row r="729" spans="1:6">
      <c r="A729" s="10" t="str">
        <f t="shared" si="33"/>
        <v/>
      </c>
      <c r="B729" s="85"/>
      <c r="C729" s="28" t="str">
        <f t="shared" si="34"/>
        <v/>
      </c>
      <c r="D729" s="28" t="str">
        <f t="shared" si="35"/>
        <v/>
      </c>
      <c r="E729" s="88"/>
      <c r="F729" s="83"/>
    </row>
    <row r="730" spans="1:6">
      <c r="A730" s="10" t="str">
        <f t="shared" si="33"/>
        <v/>
      </c>
      <c r="B730" s="85"/>
      <c r="C730" s="28" t="str">
        <f t="shared" si="34"/>
        <v/>
      </c>
      <c r="D730" s="28" t="str">
        <f t="shared" si="35"/>
        <v/>
      </c>
      <c r="E730" s="88"/>
      <c r="F730" s="83"/>
    </row>
    <row r="731" spans="1:6">
      <c r="A731" s="10" t="str">
        <f t="shared" si="33"/>
        <v/>
      </c>
      <c r="B731" s="85"/>
      <c r="C731" s="28" t="str">
        <f t="shared" si="34"/>
        <v/>
      </c>
      <c r="D731" s="28" t="str">
        <f t="shared" si="35"/>
        <v/>
      </c>
      <c r="E731" s="88"/>
      <c r="F731" s="83"/>
    </row>
    <row r="732" spans="1:6">
      <c r="A732" s="10" t="str">
        <f t="shared" si="33"/>
        <v/>
      </c>
      <c r="B732" s="85"/>
      <c r="C732" s="28" t="str">
        <f t="shared" si="34"/>
        <v/>
      </c>
      <c r="D732" s="28" t="str">
        <f t="shared" si="35"/>
        <v/>
      </c>
      <c r="E732" s="88"/>
      <c r="F732" s="83"/>
    </row>
    <row r="733" spans="1:6">
      <c r="A733" s="10" t="str">
        <f t="shared" si="33"/>
        <v/>
      </c>
      <c r="B733" s="85"/>
      <c r="C733" s="28" t="str">
        <f t="shared" si="34"/>
        <v/>
      </c>
      <c r="D733" s="28" t="str">
        <f t="shared" si="35"/>
        <v/>
      </c>
      <c r="E733" s="88"/>
      <c r="F733" s="83"/>
    </row>
    <row r="734" spans="1:6">
      <c r="A734" s="10" t="str">
        <f t="shared" si="33"/>
        <v/>
      </c>
      <c r="B734" s="85"/>
      <c r="C734" s="28" t="str">
        <f t="shared" si="34"/>
        <v/>
      </c>
      <c r="D734" s="28" t="str">
        <f t="shared" si="35"/>
        <v/>
      </c>
      <c r="E734" s="88"/>
      <c r="F734" s="83"/>
    </row>
    <row r="735" spans="1:6">
      <c r="A735" s="10" t="str">
        <f t="shared" si="33"/>
        <v/>
      </c>
      <c r="B735" s="85"/>
      <c r="C735" s="28" t="str">
        <f t="shared" si="34"/>
        <v/>
      </c>
      <c r="D735" s="28" t="str">
        <f t="shared" si="35"/>
        <v/>
      </c>
      <c r="E735" s="88"/>
      <c r="F735" s="83"/>
    </row>
    <row r="736" spans="1:6">
      <c r="A736" s="10" t="str">
        <f t="shared" si="33"/>
        <v/>
      </c>
      <c r="B736" s="85"/>
      <c r="C736" s="28" t="str">
        <f t="shared" si="34"/>
        <v/>
      </c>
      <c r="D736" s="28" t="str">
        <f t="shared" si="35"/>
        <v/>
      </c>
      <c r="E736" s="88"/>
      <c r="F736" s="83"/>
    </row>
    <row r="737" spans="1:6">
      <c r="A737" s="10" t="str">
        <f t="shared" si="33"/>
        <v/>
      </c>
      <c r="B737" s="85"/>
      <c r="C737" s="28" t="str">
        <f t="shared" si="34"/>
        <v/>
      </c>
      <c r="D737" s="28" t="str">
        <f t="shared" si="35"/>
        <v/>
      </c>
      <c r="E737" s="88"/>
      <c r="F737" s="83"/>
    </row>
    <row r="738" spans="1:6">
      <c r="A738" s="10" t="str">
        <f t="shared" si="33"/>
        <v/>
      </c>
      <c r="B738" s="85"/>
      <c r="C738" s="28" t="str">
        <f t="shared" si="34"/>
        <v/>
      </c>
      <c r="D738" s="28" t="str">
        <f t="shared" si="35"/>
        <v/>
      </c>
      <c r="E738" s="88"/>
      <c r="F738" s="83"/>
    </row>
    <row r="739" spans="1:6">
      <c r="A739" s="10" t="str">
        <f t="shared" si="33"/>
        <v/>
      </c>
      <c r="B739" s="85"/>
      <c r="C739" s="28" t="str">
        <f t="shared" si="34"/>
        <v/>
      </c>
      <c r="D739" s="28" t="str">
        <f t="shared" si="35"/>
        <v/>
      </c>
      <c r="E739" s="88"/>
      <c r="F739" s="83"/>
    </row>
    <row r="740" spans="1:6">
      <c r="A740" s="10" t="str">
        <f t="shared" si="33"/>
        <v/>
      </c>
      <c r="B740" s="85"/>
      <c r="C740" s="28" t="str">
        <f t="shared" si="34"/>
        <v/>
      </c>
      <c r="D740" s="28" t="str">
        <f t="shared" si="35"/>
        <v/>
      </c>
      <c r="E740" s="88"/>
      <c r="F740" s="83"/>
    </row>
    <row r="741" spans="1:6">
      <c r="A741" s="10" t="str">
        <f t="shared" si="33"/>
        <v/>
      </c>
      <c r="B741" s="85"/>
      <c r="C741" s="28" t="str">
        <f t="shared" si="34"/>
        <v/>
      </c>
      <c r="D741" s="28" t="str">
        <f t="shared" si="35"/>
        <v/>
      </c>
      <c r="E741" s="88"/>
      <c r="F741" s="83"/>
    </row>
    <row r="742" spans="1:6">
      <c r="A742" s="10" t="str">
        <f t="shared" si="33"/>
        <v/>
      </c>
      <c r="B742" s="85"/>
      <c r="C742" s="28" t="str">
        <f t="shared" si="34"/>
        <v/>
      </c>
      <c r="D742" s="28" t="str">
        <f t="shared" si="35"/>
        <v/>
      </c>
      <c r="E742" s="88"/>
      <c r="F742" s="83"/>
    </row>
    <row r="743" spans="1:6">
      <c r="A743" s="10" t="str">
        <f t="shared" si="33"/>
        <v/>
      </c>
      <c r="B743" s="85"/>
      <c r="C743" s="28" t="str">
        <f t="shared" si="34"/>
        <v/>
      </c>
      <c r="D743" s="28" t="str">
        <f t="shared" si="35"/>
        <v/>
      </c>
      <c r="E743" s="88"/>
      <c r="F743" s="83"/>
    </row>
    <row r="744" spans="1:6">
      <c r="A744" s="10" t="str">
        <f t="shared" si="33"/>
        <v/>
      </c>
      <c r="B744" s="85"/>
      <c r="C744" s="28" t="str">
        <f t="shared" si="34"/>
        <v/>
      </c>
      <c r="D744" s="28" t="str">
        <f t="shared" si="35"/>
        <v/>
      </c>
      <c r="E744" s="88"/>
      <c r="F744" s="83"/>
    </row>
    <row r="745" spans="1:6">
      <c r="A745" s="10" t="str">
        <f t="shared" si="33"/>
        <v/>
      </c>
      <c r="B745" s="85"/>
      <c r="C745" s="28" t="str">
        <f t="shared" si="34"/>
        <v/>
      </c>
      <c r="D745" s="28" t="str">
        <f t="shared" si="35"/>
        <v/>
      </c>
      <c r="E745" s="88"/>
      <c r="F745" s="83"/>
    </row>
    <row r="746" spans="1:6">
      <c r="A746" s="10" t="str">
        <f t="shared" si="33"/>
        <v/>
      </c>
      <c r="B746" s="85"/>
      <c r="C746" s="28" t="str">
        <f t="shared" si="34"/>
        <v/>
      </c>
      <c r="D746" s="28" t="str">
        <f t="shared" si="35"/>
        <v/>
      </c>
      <c r="E746" s="88"/>
      <c r="F746" s="83"/>
    </row>
    <row r="747" spans="1:6">
      <c r="A747" s="10" t="str">
        <f t="shared" si="33"/>
        <v/>
      </c>
      <c r="B747" s="85"/>
      <c r="C747" s="28" t="str">
        <f t="shared" si="34"/>
        <v/>
      </c>
      <c r="D747" s="28" t="str">
        <f t="shared" si="35"/>
        <v/>
      </c>
      <c r="E747" s="88"/>
      <c r="F747" s="83"/>
    </row>
    <row r="748" spans="1:6">
      <c r="A748" s="10" t="str">
        <f t="shared" si="33"/>
        <v/>
      </c>
      <c r="B748" s="85"/>
      <c r="C748" s="28" t="str">
        <f t="shared" si="34"/>
        <v/>
      </c>
      <c r="D748" s="28" t="str">
        <f t="shared" si="35"/>
        <v/>
      </c>
      <c r="E748" s="88"/>
      <c r="F748" s="83"/>
    </row>
    <row r="749" spans="1:6">
      <c r="A749" s="10" t="str">
        <f t="shared" si="33"/>
        <v/>
      </c>
      <c r="B749" s="85"/>
      <c r="C749" s="28" t="str">
        <f t="shared" si="34"/>
        <v/>
      </c>
      <c r="D749" s="28" t="str">
        <f t="shared" si="35"/>
        <v/>
      </c>
      <c r="E749" s="88"/>
      <c r="F749" s="83"/>
    </row>
    <row r="750" spans="1:6">
      <c r="A750" s="10" t="str">
        <f t="shared" si="33"/>
        <v/>
      </c>
      <c r="B750" s="85"/>
      <c r="C750" s="28" t="str">
        <f t="shared" si="34"/>
        <v/>
      </c>
      <c r="D750" s="28" t="str">
        <f t="shared" si="35"/>
        <v/>
      </c>
      <c r="E750" s="88"/>
      <c r="F750" s="83"/>
    </row>
    <row r="751" spans="1:6">
      <c r="A751" s="10" t="str">
        <f t="shared" si="33"/>
        <v/>
      </c>
      <c r="B751" s="85"/>
      <c r="C751" s="28" t="str">
        <f t="shared" si="34"/>
        <v/>
      </c>
      <c r="D751" s="28" t="str">
        <f t="shared" si="35"/>
        <v/>
      </c>
      <c r="E751" s="88"/>
      <c r="F751" s="83"/>
    </row>
    <row r="752" spans="1:6">
      <c r="A752" s="10" t="str">
        <f t="shared" si="33"/>
        <v/>
      </c>
      <c r="B752" s="85"/>
      <c r="C752" s="28" t="str">
        <f t="shared" si="34"/>
        <v/>
      </c>
      <c r="D752" s="28" t="str">
        <f t="shared" si="35"/>
        <v/>
      </c>
      <c r="E752" s="88"/>
      <c r="F752" s="83"/>
    </row>
    <row r="753" spans="1:6">
      <c r="A753" s="10" t="str">
        <f t="shared" si="33"/>
        <v/>
      </c>
      <c r="B753" s="85"/>
      <c r="C753" s="28" t="str">
        <f t="shared" si="34"/>
        <v/>
      </c>
      <c r="D753" s="28" t="str">
        <f t="shared" si="35"/>
        <v/>
      </c>
      <c r="E753" s="88"/>
      <c r="F753" s="83"/>
    </row>
    <row r="754" spans="1:6">
      <c r="A754" s="10" t="str">
        <f t="shared" si="33"/>
        <v/>
      </c>
      <c r="B754" s="85"/>
      <c r="C754" s="28" t="str">
        <f t="shared" si="34"/>
        <v/>
      </c>
      <c r="D754" s="28" t="str">
        <f t="shared" si="35"/>
        <v/>
      </c>
      <c r="E754" s="88"/>
      <c r="F754" s="83"/>
    </row>
    <row r="755" spans="1:6">
      <c r="A755" s="10" t="str">
        <f t="shared" si="33"/>
        <v/>
      </c>
      <c r="B755" s="85"/>
      <c r="C755" s="28" t="str">
        <f t="shared" si="34"/>
        <v/>
      </c>
      <c r="D755" s="28" t="str">
        <f t="shared" si="35"/>
        <v/>
      </c>
      <c r="E755" s="88"/>
      <c r="F755" s="83"/>
    </row>
    <row r="756" spans="1:6">
      <c r="A756" s="10" t="str">
        <f t="shared" si="33"/>
        <v/>
      </c>
      <c r="B756" s="85"/>
      <c r="C756" s="28" t="str">
        <f t="shared" si="34"/>
        <v/>
      </c>
      <c r="D756" s="28" t="str">
        <f t="shared" si="35"/>
        <v/>
      </c>
      <c r="E756" s="88"/>
      <c r="F756" s="83"/>
    </row>
    <row r="757" spans="1:6">
      <c r="A757" s="10" t="str">
        <f t="shared" si="33"/>
        <v/>
      </c>
      <c r="B757" s="85"/>
      <c r="C757" s="28" t="str">
        <f t="shared" si="34"/>
        <v/>
      </c>
      <c r="D757" s="28" t="str">
        <f t="shared" si="35"/>
        <v/>
      </c>
      <c r="E757" s="88"/>
      <c r="F757" s="83"/>
    </row>
    <row r="758" spans="1:6">
      <c r="A758" s="10" t="str">
        <f t="shared" si="33"/>
        <v/>
      </c>
      <c r="B758" s="85"/>
      <c r="C758" s="28" t="str">
        <f t="shared" si="34"/>
        <v/>
      </c>
      <c r="D758" s="28" t="str">
        <f t="shared" si="35"/>
        <v/>
      </c>
      <c r="E758" s="88"/>
      <c r="F758" s="83"/>
    </row>
    <row r="759" spans="1:6">
      <c r="A759" s="10" t="str">
        <f t="shared" si="33"/>
        <v/>
      </c>
      <c r="B759" s="85"/>
      <c r="C759" s="28" t="str">
        <f t="shared" si="34"/>
        <v/>
      </c>
      <c r="D759" s="28" t="str">
        <f t="shared" si="35"/>
        <v/>
      </c>
      <c r="E759" s="88"/>
      <c r="F759" s="83"/>
    </row>
    <row r="760" spans="1:6">
      <c r="A760" s="10" t="str">
        <f t="shared" si="33"/>
        <v/>
      </c>
      <c r="B760" s="85"/>
      <c r="C760" s="28" t="str">
        <f t="shared" si="34"/>
        <v/>
      </c>
      <c r="D760" s="28" t="str">
        <f t="shared" si="35"/>
        <v/>
      </c>
      <c r="E760" s="88"/>
      <c r="F760" s="83"/>
    </row>
    <row r="761" spans="1:6">
      <c r="A761" s="10" t="str">
        <f t="shared" si="33"/>
        <v/>
      </c>
      <c r="B761" s="85"/>
      <c r="C761" s="28" t="str">
        <f t="shared" si="34"/>
        <v/>
      </c>
      <c r="D761" s="28" t="str">
        <f t="shared" si="35"/>
        <v/>
      </c>
      <c r="E761" s="88"/>
      <c r="F761" s="83"/>
    </row>
    <row r="762" spans="1:6">
      <c r="A762" s="10" t="str">
        <f t="shared" si="33"/>
        <v/>
      </c>
      <c r="B762" s="85"/>
      <c r="C762" s="28" t="str">
        <f t="shared" si="34"/>
        <v/>
      </c>
      <c r="D762" s="28" t="str">
        <f t="shared" si="35"/>
        <v/>
      </c>
      <c r="E762" s="88"/>
      <c r="F762" s="83"/>
    </row>
    <row r="763" spans="1:6">
      <c r="A763" s="10" t="str">
        <f t="shared" si="33"/>
        <v/>
      </c>
      <c r="B763" s="85"/>
      <c r="C763" s="28" t="str">
        <f t="shared" si="34"/>
        <v/>
      </c>
      <c r="D763" s="28" t="str">
        <f t="shared" si="35"/>
        <v/>
      </c>
      <c r="E763" s="88"/>
      <c r="F763" s="83"/>
    </row>
    <row r="764" spans="1:6">
      <c r="A764" s="10" t="str">
        <f t="shared" si="33"/>
        <v/>
      </c>
      <c r="B764" s="85"/>
      <c r="C764" s="28" t="str">
        <f t="shared" si="34"/>
        <v/>
      </c>
      <c r="D764" s="28" t="str">
        <f t="shared" si="35"/>
        <v/>
      </c>
      <c r="E764" s="88"/>
      <c r="F764" s="83"/>
    </row>
    <row r="765" spans="1:6">
      <c r="A765" s="10" t="str">
        <f t="shared" si="33"/>
        <v/>
      </c>
      <c r="B765" s="85"/>
      <c r="C765" s="28" t="str">
        <f t="shared" si="34"/>
        <v/>
      </c>
      <c r="D765" s="28" t="str">
        <f t="shared" si="35"/>
        <v/>
      </c>
      <c r="E765" s="88"/>
      <c r="F765" s="83"/>
    </row>
    <row r="766" spans="1:6">
      <c r="A766" s="10" t="str">
        <f t="shared" si="33"/>
        <v/>
      </c>
      <c r="B766" s="85"/>
      <c r="C766" s="28" t="str">
        <f t="shared" si="34"/>
        <v/>
      </c>
      <c r="D766" s="28" t="str">
        <f t="shared" si="35"/>
        <v/>
      </c>
      <c r="E766" s="88"/>
      <c r="F766" s="83"/>
    </row>
    <row r="767" spans="1:6">
      <c r="A767" s="10" t="str">
        <f t="shared" si="33"/>
        <v/>
      </c>
      <c r="B767" s="85"/>
      <c r="C767" s="28" t="str">
        <f t="shared" si="34"/>
        <v/>
      </c>
      <c r="D767" s="28" t="str">
        <f t="shared" si="35"/>
        <v/>
      </c>
      <c r="E767" s="88"/>
      <c r="F767" s="83"/>
    </row>
    <row r="768" spans="1:6">
      <c r="A768" s="10" t="str">
        <f t="shared" si="33"/>
        <v/>
      </c>
      <c r="B768" s="85"/>
      <c r="C768" s="28" t="str">
        <f t="shared" si="34"/>
        <v/>
      </c>
      <c r="D768" s="28" t="str">
        <f t="shared" si="35"/>
        <v/>
      </c>
      <c r="E768" s="88"/>
      <c r="F768" s="83"/>
    </row>
    <row r="769" spans="1:6">
      <c r="A769" s="10" t="str">
        <f t="shared" si="33"/>
        <v/>
      </c>
      <c r="B769" s="85"/>
      <c r="C769" s="28" t="str">
        <f t="shared" si="34"/>
        <v/>
      </c>
      <c r="D769" s="28" t="str">
        <f t="shared" si="35"/>
        <v/>
      </c>
      <c r="E769" s="88"/>
      <c r="F769" s="83"/>
    </row>
    <row r="770" spans="1:6">
      <c r="A770" s="10" t="str">
        <f t="shared" si="33"/>
        <v/>
      </c>
      <c r="B770" s="85"/>
      <c r="C770" s="28" t="str">
        <f t="shared" si="34"/>
        <v/>
      </c>
      <c r="D770" s="28" t="str">
        <f t="shared" si="35"/>
        <v/>
      </c>
      <c r="E770" s="88"/>
      <c r="F770" s="83"/>
    </row>
    <row r="771" spans="1:6">
      <c r="A771" s="10" t="str">
        <f t="shared" ref="A771:A834" si="36">IF(E771&gt;0,A770+1,"")</f>
        <v/>
      </c>
      <c r="B771" s="85"/>
      <c r="C771" s="28" t="str">
        <f t="shared" ref="C771:C834" si="37">IF(B771=0,"",TEXT(B771,"mmmm"))</f>
        <v/>
      </c>
      <c r="D771" s="28" t="str">
        <f t="shared" ref="D771:D834" si="38">IF(B771=0,"",TEXT(B771,"yyyy"))</f>
        <v/>
      </c>
      <c r="E771" s="88"/>
      <c r="F771" s="83"/>
    </row>
    <row r="772" spans="1:6">
      <c r="A772" s="10" t="str">
        <f t="shared" si="36"/>
        <v/>
      </c>
      <c r="B772" s="85"/>
      <c r="C772" s="28" t="str">
        <f t="shared" si="37"/>
        <v/>
      </c>
      <c r="D772" s="28" t="str">
        <f t="shared" si="38"/>
        <v/>
      </c>
      <c r="E772" s="88"/>
      <c r="F772" s="83"/>
    </row>
    <row r="773" spans="1:6">
      <c r="A773" s="10" t="str">
        <f t="shared" si="36"/>
        <v/>
      </c>
      <c r="B773" s="85"/>
      <c r="C773" s="28" t="str">
        <f t="shared" si="37"/>
        <v/>
      </c>
      <c r="D773" s="28" t="str">
        <f t="shared" si="38"/>
        <v/>
      </c>
      <c r="E773" s="88"/>
      <c r="F773" s="83"/>
    </row>
    <row r="774" spans="1:6">
      <c r="A774" s="10" t="str">
        <f t="shared" si="36"/>
        <v/>
      </c>
      <c r="B774" s="85"/>
      <c r="C774" s="28" t="str">
        <f t="shared" si="37"/>
        <v/>
      </c>
      <c r="D774" s="28" t="str">
        <f t="shared" si="38"/>
        <v/>
      </c>
      <c r="E774" s="88"/>
      <c r="F774" s="83"/>
    </row>
    <row r="775" spans="1:6">
      <c r="A775" s="10" t="str">
        <f t="shared" si="36"/>
        <v/>
      </c>
      <c r="B775" s="85"/>
      <c r="C775" s="28" t="str">
        <f t="shared" si="37"/>
        <v/>
      </c>
      <c r="D775" s="28" t="str">
        <f t="shared" si="38"/>
        <v/>
      </c>
      <c r="E775" s="88"/>
      <c r="F775" s="83"/>
    </row>
    <row r="776" spans="1:6">
      <c r="A776" s="10" t="str">
        <f t="shared" si="36"/>
        <v/>
      </c>
      <c r="B776" s="85"/>
      <c r="C776" s="28" t="str">
        <f t="shared" si="37"/>
        <v/>
      </c>
      <c r="D776" s="28" t="str">
        <f t="shared" si="38"/>
        <v/>
      </c>
      <c r="E776" s="88"/>
      <c r="F776" s="83"/>
    </row>
    <row r="777" spans="1:6">
      <c r="A777" s="10" t="str">
        <f t="shared" si="36"/>
        <v/>
      </c>
      <c r="B777" s="85"/>
      <c r="C777" s="28" t="str">
        <f t="shared" si="37"/>
        <v/>
      </c>
      <c r="D777" s="28" t="str">
        <f t="shared" si="38"/>
        <v/>
      </c>
      <c r="E777" s="88"/>
      <c r="F777" s="83"/>
    </row>
    <row r="778" spans="1:6">
      <c r="A778" s="10" t="str">
        <f t="shared" si="36"/>
        <v/>
      </c>
      <c r="B778" s="85"/>
      <c r="C778" s="28" t="str">
        <f t="shared" si="37"/>
        <v/>
      </c>
      <c r="D778" s="28" t="str">
        <f t="shared" si="38"/>
        <v/>
      </c>
      <c r="E778" s="88"/>
      <c r="F778" s="83"/>
    </row>
    <row r="779" spans="1:6">
      <c r="A779" s="10" t="str">
        <f t="shared" si="36"/>
        <v/>
      </c>
      <c r="B779" s="85"/>
      <c r="C779" s="28" t="str">
        <f t="shared" si="37"/>
        <v/>
      </c>
      <c r="D779" s="28" t="str">
        <f t="shared" si="38"/>
        <v/>
      </c>
      <c r="E779" s="88"/>
      <c r="F779" s="83"/>
    </row>
    <row r="780" spans="1:6">
      <c r="A780" s="10" t="str">
        <f t="shared" si="36"/>
        <v/>
      </c>
      <c r="B780" s="85"/>
      <c r="C780" s="28" t="str">
        <f t="shared" si="37"/>
        <v/>
      </c>
      <c r="D780" s="28" t="str">
        <f t="shared" si="38"/>
        <v/>
      </c>
      <c r="E780" s="88"/>
      <c r="F780" s="83"/>
    </row>
    <row r="781" spans="1:6">
      <c r="A781" s="10" t="str">
        <f t="shared" si="36"/>
        <v/>
      </c>
      <c r="B781" s="85"/>
      <c r="C781" s="28" t="str">
        <f t="shared" si="37"/>
        <v/>
      </c>
      <c r="D781" s="28" t="str">
        <f t="shared" si="38"/>
        <v/>
      </c>
      <c r="E781" s="88"/>
      <c r="F781" s="83"/>
    </row>
    <row r="782" spans="1:6">
      <c r="A782" s="10" t="str">
        <f t="shared" si="36"/>
        <v/>
      </c>
      <c r="B782" s="85"/>
      <c r="C782" s="28" t="str">
        <f t="shared" si="37"/>
        <v/>
      </c>
      <c r="D782" s="28" t="str">
        <f t="shared" si="38"/>
        <v/>
      </c>
      <c r="E782" s="88"/>
      <c r="F782" s="83"/>
    </row>
    <row r="783" spans="1:6">
      <c r="A783" s="10" t="str">
        <f t="shared" si="36"/>
        <v/>
      </c>
      <c r="B783" s="85"/>
      <c r="C783" s="28" t="str">
        <f t="shared" si="37"/>
        <v/>
      </c>
      <c r="D783" s="28" t="str">
        <f t="shared" si="38"/>
        <v/>
      </c>
      <c r="E783" s="88"/>
      <c r="F783" s="83"/>
    </row>
    <row r="784" spans="1:6">
      <c r="A784" s="10" t="str">
        <f t="shared" si="36"/>
        <v/>
      </c>
      <c r="B784" s="85"/>
      <c r="C784" s="28" t="str">
        <f t="shared" si="37"/>
        <v/>
      </c>
      <c r="D784" s="28" t="str">
        <f t="shared" si="38"/>
        <v/>
      </c>
      <c r="E784" s="88"/>
      <c r="F784" s="83"/>
    </row>
    <row r="785" spans="1:6">
      <c r="A785" s="10" t="str">
        <f t="shared" si="36"/>
        <v/>
      </c>
      <c r="B785" s="85"/>
      <c r="C785" s="28" t="str">
        <f t="shared" si="37"/>
        <v/>
      </c>
      <c r="D785" s="28" t="str">
        <f t="shared" si="38"/>
        <v/>
      </c>
      <c r="E785" s="88"/>
      <c r="F785" s="83"/>
    </row>
    <row r="786" spans="1:6">
      <c r="A786" s="10" t="str">
        <f t="shared" si="36"/>
        <v/>
      </c>
      <c r="B786" s="85"/>
      <c r="C786" s="28" t="str">
        <f t="shared" si="37"/>
        <v/>
      </c>
      <c r="D786" s="28" t="str">
        <f t="shared" si="38"/>
        <v/>
      </c>
      <c r="E786" s="88"/>
      <c r="F786" s="83"/>
    </row>
    <row r="787" spans="1:6">
      <c r="A787" s="10" t="str">
        <f t="shared" si="36"/>
        <v/>
      </c>
      <c r="B787" s="85"/>
      <c r="C787" s="28" t="str">
        <f t="shared" si="37"/>
        <v/>
      </c>
      <c r="D787" s="28" t="str">
        <f t="shared" si="38"/>
        <v/>
      </c>
      <c r="E787" s="88"/>
      <c r="F787" s="83"/>
    </row>
    <row r="788" spans="1:6">
      <c r="A788" s="10" t="str">
        <f t="shared" si="36"/>
        <v/>
      </c>
      <c r="B788" s="85"/>
      <c r="C788" s="28" t="str">
        <f t="shared" si="37"/>
        <v/>
      </c>
      <c r="D788" s="28" t="str">
        <f t="shared" si="38"/>
        <v/>
      </c>
      <c r="E788" s="88"/>
      <c r="F788" s="83"/>
    </row>
    <row r="789" spans="1:6">
      <c r="A789" s="10" t="str">
        <f t="shared" si="36"/>
        <v/>
      </c>
      <c r="B789" s="85"/>
      <c r="C789" s="28" t="str">
        <f t="shared" si="37"/>
        <v/>
      </c>
      <c r="D789" s="28" t="str">
        <f t="shared" si="38"/>
        <v/>
      </c>
      <c r="E789" s="88"/>
      <c r="F789" s="83"/>
    </row>
    <row r="790" spans="1:6">
      <c r="A790" s="10" t="str">
        <f t="shared" si="36"/>
        <v/>
      </c>
      <c r="B790" s="85"/>
      <c r="C790" s="28" t="str">
        <f t="shared" si="37"/>
        <v/>
      </c>
      <c r="D790" s="28" t="str">
        <f t="shared" si="38"/>
        <v/>
      </c>
      <c r="E790" s="88"/>
      <c r="F790" s="83"/>
    </row>
    <row r="791" spans="1:6">
      <c r="A791" s="10" t="str">
        <f t="shared" si="36"/>
        <v/>
      </c>
      <c r="B791" s="85"/>
      <c r="C791" s="28" t="str">
        <f t="shared" si="37"/>
        <v/>
      </c>
      <c r="D791" s="28" t="str">
        <f t="shared" si="38"/>
        <v/>
      </c>
      <c r="E791" s="88"/>
      <c r="F791" s="83"/>
    </row>
    <row r="792" spans="1:6">
      <c r="A792" s="10" t="str">
        <f t="shared" si="36"/>
        <v/>
      </c>
      <c r="B792" s="85"/>
      <c r="C792" s="28" t="str">
        <f t="shared" si="37"/>
        <v/>
      </c>
      <c r="D792" s="28" t="str">
        <f t="shared" si="38"/>
        <v/>
      </c>
      <c r="E792" s="88"/>
      <c r="F792" s="83"/>
    </row>
    <row r="793" spans="1:6">
      <c r="A793" s="10" t="str">
        <f t="shared" si="36"/>
        <v/>
      </c>
      <c r="B793" s="85"/>
      <c r="C793" s="28" t="str">
        <f t="shared" si="37"/>
        <v/>
      </c>
      <c r="D793" s="28" t="str">
        <f t="shared" si="38"/>
        <v/>
      </c>
      <c r="E793" s="88"/>
      <c r="F793" s="83"/>
    </row>
    <row r="794" spans="1:6">
      <c r="A794" s="10" t="str">
        <f t="shared" si="36"/>
        <v/>
      </c>
      <c r="B794" s="85"/>
      <c r="C794" s="28" t="str">
        <f t="shared" si="37"/>
        <v/>
      </c>
      <c r="D794" s="28" t="str">
        <f t="shared" si="38"/>
        <v/>
      </c>
      <c r="E794" s="88"/>
      <c r="F794" s="83"/>
    </row>
    <row r="795" spans="1:6">
      <c r="A795" s="10" t="str">
        <f t="shared" si="36"/>
        <v/>
      </c>
      <c r="B795" s="85"/>
      <c r="C795" s="28" t="str">
        <f t="shared" si="37"/>
        <v/>
      </c>
      <c r="D795" s="28" t="str">
        <f t="shared" si="38"/>
        <v/>
      </c>
      <c r="E795" s="88"/>
      <c r="F795" s="83"/>
    </row>
    <row r="796" spans="1:6">
      <c r="A796" s="10" t="str">
        <f t="shared" si="36"/>
        <v/>
      </c>
      <c r="B796" s="85"/>
      <c r="C796" s="28" t="str">
        <f t="shared" si="37"/>
        <v/>
      </c>
      <c r="D796" s="28" t="str">
        <f t="shared" si="38"/>
        <v/>
      </c>
      <c r="E796" s="88"/>
      <c r="F796" s="83"/>
    </row>
    <row r="797" spans="1:6">
      <c r="A797" s="10" t="str">
        <f t="shared" si="36"/>
        <v/>
      </c>
      <c r="B797" s="85"/>
      <c r="C797" s="28" t="str">
        <f t="shared" si="37"/>
        <v/>
      </c>
      <c r="D797" s="28" t="str">
        <f t="shared" si="38"/>
        <v/>
      </c>
      <c r="E797" s="88"/>
      <c r="F797" s="83"/>
    </row>
    <row r="798" spans="1:6">
      <c r="A798" s="10" t="str">
        <f t="shared" si="36"/>
        <v/>
      </c>
      <c r="B798" s="85"/>
      <c r="C798" s="28" t="str">
        <f t="shared" si="37"/>
        <v/>
      </c>
      <c r="D798" s="28" t="str">
        <f t="shared" si="38"/>
        <v/>
      </c>
      <c r="E798" s="88"/>
      <c r="F798" s="83"/>
    </row>
    <row r="799" spans="1:6">
      <c r="A799" s="10" t="str">
        <f t="shared" si="36"/>
        <v/>
      </c>
      <c r="B799" s="85"/>
      <c r="C799" s="28" t="str">
        <f t="shared" si="37"/>
        <v/>
      </c>
      <c r="D799" s="28" t="str">
        <f t="shared" si="38"/>
        <v/>
      </c>
      <c r="E799" s="88"/>
      <c r="F799" s="83"/>
    </row>
    <row r="800" spans="1:6">
      <c r="A800" s="10" t="str">
        <f t="shared" si="36"/>
        <v/>
      </c>
      <c r="B800" s="85"/>
      <c r="C800" s="28" t="str">
        <f t="shared" si="37"/>
        <v/>
      </c>
      <c r="D800" s="28" t="str">
        <f t="shared" si="38"/>
        <v/>
      </c>
      <c r="E800" s="88"/>
      <c r="F800" s="83"/>
    </row>
    <row r="801" spans="1:6">
      <c r="A801" s="10" t="str">
        <f t="shared" si="36"/>
        <v/>
      </c>
      <c r="B801" s="85"/>
      <c r="C801" s="28" t="str">
        <f t="shared" si="37"/>
        <v/>
      </c>
      <c r="D801" s="28" t="str">
        <f t="shared" si="38"/>
        <v/>
      </c>
      <c r="E801" s="88"/>
      <c r="F801" s="83"/>
    </row>
    <row r="802" spans="1:6">
      <c r="A802" s="10" t="str">
        <f t="shared" si="36"/>
        <v/>
      </c>
      <c r="B802" s="85"/>
      <c r="C802" s="28" t="str">
        <f t="shared" si="37"/>
        <v/>
      </c>
      <c r="D802" s="28" t="str">
        <f t="shared" si="38"/>
        <v/>
      </c>
      <c r="E802" s="88"/>
      <c r="F802" s="83"/>
    </row>
    <row r="803" spans="1:6">
      <c r="A803" s="10" t="str">
        <f t="shared" si="36"/>
        <v/>
      </c>
      <c r="B803" s="85"/>
      <c r="C803" s="28" t="str">
        <f t="shared" si="37"/>
        <v/>
      </c>
      <c r="D803" s="28" t="str">
        <f t="shared" si="38"/>
        <v/>
      </c>
      <c r="E803" s="88"/>
      <c r="F803" s="83"/>
    </row>
    <row r="804" spans="1:6">
      <c r="A804" s="10" t="str">
        <f t="shared" si="36"/>
        <v/>
      </c>
      <c r="B804" s="85"/>
      <c r="C804" s="28" t="str">
        <f t="shared" si="37"/>
        <v/>
      </c>
      <c r="D804" s="28" t="str">
        <f t="shared" si="38"/>
        <v/>
      </c>
      <c r="E804" s="88"/>
      <c r="F804" s="83"/>
    </row>
    <row r="805" spans="1:6">
      <c r="A805" s="10" t="str">
        <f t="shared" si="36"/>
        <v/>
      </c>
      <c r="B805" s="85"/>
      <c r="C805" s="28" t="str">
        <f t="shared" si="37"/>
        <v/>
      </c>
      <c r="D805" s="28" t="str">
        <f t="shared" si="38"/>
        <v/>
      </c>
      <c r="E805" s="88"/>
      <c r="F805" s="83"/>
    </row>
    <row r="806" spans="1:6">
      <c r="A806" s="10" t="str">
        <f t="shared" si="36"/>
        <v/>
      </c>
      <c r="B806" s="85"/>
      <c r="C806" s="28" t="str">
        <f t="shared" si="37"/>
        <v/>
      </c>
      <c r="D806" s="28" t="str">
        <f t="shared" si="38"/>
        <v/>
      </c>
      <c r="E806" s="88"/>
      <c r="F806" s="83"/>
    </row>
    <row r="807" spans="1:6">
      <c r="A807" s="10" t="str">
        <f t="shared" si="36"/>
        <v/>
      </c>
      <c r="B807" s="85"/>
      <c r="C807" s="28" t="str">
        <f t="shared" si="37"/>
        <v/>
      </c>
      <c r="D807" s="28" t="str">
        <f t="shared" si="38"/>
        <v/>
      </c>
      <c r="E807" s="88"/>
      <c r="F807" s="83"/>
    </row>
    <row r="808" spans="1:6">
      <c r="A808" s="10" t="str">
        <f t="shared" si="36"/>
        <v/>
      </c>
      <c r="B808" s="85"/>
      <c r="C808" s="28" t="str">
        <f t="shared" si="37"/>
        <v/>
      </c>
      <c r="D808" s="28" t="str">
        <f t="shared" si="38"/>
        <v/>
      </c>
      <c r="E808" s="88"/>
      <c r="F808" s="83"/>
    </row>
    <row r="809" spans="1:6">
      <c r="A809" s="10" t="str">
        <f t="shared" si="36"/>
        <v/>
      </c>
      <c r="B809" s="85"/>
      <c r="C809" s="28" t="str">
        <f t="shared" si="37"/>
        <v/>
      </c>
      <c r="D809" s="28" t="str">
        <f t="shared" si="38"/>
        <v/>
      </c>
      <c r="E809" s="88"/>
      <c r="F809" s="83"/>
    </row>
    <row r="810" spans="1:6">
      <c r="A810" s="10" t="str">
        <f t="shared" si="36"/>
        <v/>
      </c>
      <c r="B810" s="85"/>
      <c r="C810" s="28" t="str">
        <f t="shared" si="37"/>
        <v/>
      </c>
      <c r="D810" s="28" t="str">
        <f t="shared" si="38"/>
        <v/>
      </c>
      <c r="E810" s="88"/>
      <c r="F810" s="83"/>
    </row>
    <row r="811" spans="1:6">
      <c r="A811" s="10" t="str">
        <f t="shared" si="36"/>
        <v/>
      </c>
      <c r="B811" s="85"/>
      <c r="C811" s="28" t="str">
        <f t="shared" si="37"/>
        <v/>
      </c>
      <c r="D811" s="28" t="str">
        <f t="shared" si="38"/>
        <v/>
      </c>
      <c r="E811" s="88"/>
      <c r="F811" s="83"/>
    </row>
    <row r="812" spans="1:6">
      <c r="A812" s="10" t="str">
        <f t="shared" si="36"/>
        <v/>
      </c>
      <c r="B812" s="85"/>
      <c r="C812" s="28" t="str">
        <f t="shared" si="37"/>
        <v/>
      </c>
      <c r="D812" s="28" t="str">
        <f t="shared" si="38"/>
        <v/>
      </c>
      <c r="E812" s="88"/>
      <c r="F812" s="83"/>
    </row>
    <row r="813" spans="1:6">
      <c r="A813" s="10" t="str">
        <f t="shared" si="36"/>
        <v/>
      </c>
      <c r="B813" s="85"/>
      <c r="C813" s="28" t="str">
        <f t="shared" si="37"/>
        <v/>
      </c>
      <c r="D813" s="28" t="str">
        <f t="shared" si="38"/>
        <v/>
      </c>
      <c r="E813" s="88"/>
      <c r="F813" s="83"/>
    </row>
    <row r="814" spans="1:6">
      <c r="A814" s="10" t="str">
        <f t="shared" si="36"/>
        <v/>
      </c>
      <c r="B814" s="85"/>
      <c r="C814" s="28" t="str">
        <f t="shared" si="37"/>
        <v/>
      </c>
      <c r="D814" s="28" t="str">
        <f t="shared" si="38"/>
        <v/>
      </c>
      <c r="E814" s="88"/>
      <c r="F814" s="83"/>
    </row>
    <row r="815" spans="1:6">
      <c r="A815" s="10" t="str">
        <f t="shared" si="36"/>
        <v/>
      </c>
      <c r="B815" s="85"/>
      <c r="C815" s="28" t="str">
        <f t="shared" si="37"/>
        <v/>
      </c>
      <c r="D815" s="28" t="str">
        <f t="shared" si="38"/>
        <v/>
      </c>
      <c r="E815" s="88"/>
      <c r="F815" s="83"/>
    </row>
    <row r="816" spans="1:6">
      <c r="A816" s="10" t="str">
        <f t="shared" si="36"/>
        <v/>
      </c>
      <c r="B816" s="85"/>
      <c r="C816" s="28" t="str">
        <f t="shared" si="37"/>
        <v/>
      </c>
      <c r="D816" s="28" t="str">
        <f t="shared" si="38"/>
        <v/>
      </c>
      <c r="E816" s="88"/>
      <c r="F816" s="83"/>
    </row>
    <row r="817" spans="1:6">
      <c r="A817" s="10" t="str">
        <f t="shared" si="36"/>
        <v/>
      </c>
      <c r="B817" s="85"/>
      <c r="C817" s="28" t="str">
        <f t="shared" si="37"/>
        <v/>
      </c>
      <c r="D817" s="28" t="str">
        <f t="shared" si="38"/>
        <v/>
      </c>
      <c r="E817" s="88"/>
      <c r="F817" s="83"/>
    </row>
    <row r="818" spans="1:6">
      <c r="A818" s="10" t="str">
        <f t="shared" si="36"/>
        <v/>
      </c>
      <c r="B818" s="85"/>
      <c r="C818" s="28" t="str">
        <f t="shared" si="37"/>
        <v/>
      </c>
      <c r="D818" s="28" t="str">
        <f t="shared" si="38"/>
        <v/>
      </c>
      <c r="E818" s="88"/>
      <c r="F818" s="83"/>
    </row>
    <row r="819" spans="1:6">
      <c r="A819" s="10" t="str">
        <f t="shared" si="36"/>
        <v/>
      </c>
      <c r="B819" s="85"/>
      <c r="C819" s="28" t="str">
        <f t="shared" si="37"/>
        <v/>
      </c>
      <c r="D819" s="28" t="str">
        <f t="shared" si="38"/>
        <v/>
      </c>
      <c r="E819" s="88"/>
      <c r="F819" s="83"/>
    </row>
    <row r="820" spans="1:6">
      <c r="A820" s="10" t="str">
        <f t="shared" si="36"/>
        <v/>
      </c>
      <c r="B820" s="85"/>
      <c r="C820" s="28" t="str">
        <f t="shared" si="37"/>
        <v/>
      </c>
      <c r="D820" s="28" t="str">
        <f t="shared" si="38"/>
        <v/>
      </c>
      <c r="E820" s="88"/>
      <c r="F820" s="83"/>
    </row>
    <row r="821" spans="1:6">
      <c r="A821" s="10" t="str">
        <f t="shared" si="36"/>
        <v/>
      </c>
      <c r="B821" s="85"/>
      <c r="C821" s="28" t="str">
        <f t="shared" si="37"/>
        <v/>
      </c>
      <c r="D821" s="28" t="str">
        <f t="shared" si="38"/>
        <v/>
      </c>
      <c r="E821" s="88"/>
      <c r="F821" s="83"/>
    </row>
    <row r="822" spans="1:6">
      <c r="A822" s="10" t="str">
        <f t="shared" si="36"/>
        <v/>
      </c>
      <c r="B822" s="85"/>
      <c r="C822" s="28" t="str">
        <f t="shared" si="37"/>
        <v/>
      </c>
      <c r="D822" s="28" t="str">
        <f t="shared" si="38"/>
        <v/>
      </c>
      <c r="E822" s="88"/>
      <c r="F822" s="83"/>
    </row>
    <row r="823" spans="1:6">
      <c r="A823" s="10" t="str">
        <f t="shared" si="36"/>
        <v/>
      </c>
      <c r="B823" s="85"/>
      <c r="C823" s="28" t="str">
        <f t="shared" si="37"/>
        <v/>
      </c>
      <c r="D823" s="28" t="str">
        <f t="shared" si="38"/>
        <v/>
      </c>
      <c r="E823" s="88"/>
      <c r="F823" s="83"/>
    </row>
    <row r="824" spans="1:6">
      <c r="A824" s="10" t="str">
        <f t="shared" si="36"/>
        <v/>
      </c>
      <c r="B824" s="85"/>
      <c r="C824" s="28" t="str">
        <f t="shared" si="37"/>
        <v/>
      </c>
      <c r="D824" s="28" t="str">
        <f t="shared" si="38"/>
        <v/>
      </c>
      <c r="E824" s="88"/>
      <c r="F824" s="83"/>
    </row>
    <row r="825" spans="1:6">
      <c r="A825" s="10" t="str">
        <f t="shared" si="36"/>
        <v/>
      </c>
      <c r="B825" s="85"/>
      <c r="C825" s="28" t="str">
        <f t="shared" si="37"/>
        <v/>
      </c>
      <c r="D825" s="28" t="str">
        <f t="shared" si="38"/>
        <v/>
      </c>
      <c r="E825" s="88"/>
      <c r="F825" s="83"/>
    </row>
    <row r="826" spans="1:6">
      <c r="A826" s="10" t="str">
        <f t="shared" si="36"/>
        <v/>
      </c>
      <c r="B826" s="85"/>
      <c r="C826" s="28" t="str">
        <f t="shared" si="37"/>
        <v/>
      </c>
      <c r="D826" s="28" t="str">
        <f t="shared" si="38"/>
        <v/>
      </c>
      <c r="E826" s="88"/>
      <c r="F826" s="83"/>
    </row>
    <row r="827" spans="1:6">
      <c r="A827" s="10" t="str">
        <f t="shared" si="36"/>
        <v/>
      </c>
      <c r="B827" s="85"/>
      <c r="C827" s="28" t="str">
        <f t="shared" si="37"/>
        <v/>
      </c>
      <c r="D827" s="28" t="str">
        <f t="shared" si="38"/>
        <v/>
      </c>
      <c r="E827" s="88"/>
      <c r="F827" s="83"/>
    </row>
    <row r="828" spans="1:6">
      <c r="A828" s="10" t="str">
        <f t="shared" si="36"/>
        <v/>
      </c>
      <c r="B828" s="85"/>
      <c r="C828" s="28" t="str">
        <f t="shared" si="37"/>
        <v/>
      </c>
      <c r="D828" s="28" t="str">
        <f t="shared" si="38"/>
        <v/>
      </c>
      <c r="E828" s="88"/>
      <c r="F828" s="83"/>
    </row>
    <row r="829" spans="1:6">
      <c r="A829" s="10" t="str">
        <f t="shared" si="36"/>
        <v/>
      </c>
      <c r="B829" s="85"/>
      <c r="C829" s="28" t="str">
        <f t="shared" si="37"/>
        <v/>
      </c>
      <c r="D829" s="28" t="str">
        <f t="shared" si="38"/>
        <v/>
      </c>
      <c r="E829" s="88"/>
      <c r="F829" s="83"/>
    </row>
    <row r="830" spans="1:6">
      <c r="A830" s="10" t="str">
        <f t="shared" si="36"/>
        <v/>
      </c>
      <c r="B830" s="85"/>
      <c r="C830" s="28" t="str">
        <f t="shared" si="37"/>
        <v/>
      </c>
      <c r="D830" s="28" t="str">
        <f t="shared" si="38"/>
        <v/>
      </c>
      <c r="E830" s="88"/>
      <c r="F830" s="83"/>
    </row>
    <row r="831" spans="1:6">
      <c r="A831" s="10" t="str">
        <f t="shared" si="36"/>
        <v/>
      </c>
      <c r="B831" s="85"/>
      <c r="C831" s="28" t="str">
        <f t="shared" si="37"/>
        <v/>
      </c>
      <c r="D831" s="28" t="str">
        <f t="shared" si="38"/>
        <v/>
      </c>
      <c r="E831" s="88"/>
      <c r="F831" s="83"/>
    </row>
    <row r="832" spans="1:6">
      <c r="A832" s="10" t="str">
        <f t="shared" si="36"/>
        <v/>
      </c>
      <c r="B832" s="85"/>
      <c r="C832" s="28" t="str">
        <f t="shared" si="37"/>
        <v/>
      </c>
      <c r="D832" s="28" t="str">
        <f t="shared" si="38"/>
        <v/>
      </c>
      <c r="E832" s="88"/>
      <c r="F832" s="83"/>
    </row>
    <row r="833" spans="1:6">
      <c r="A833" s="10" t="str">
        <f t="shared" si="36"/>
        <v/>
      </c>
      <c r="B833" s="85"/>
      <c r="C833" s="28" t="str">
        <f t="shared" si="37"/>
        <v/>
      </c>
      <c r="D833" s="28" t="str">
        <f t="shared" si="38"/>
        <v/>
      </c>
      <c r="E833" s="88"/>
      <c r="F833" s="83"/>
    </row>
    <row r="834" spans="1:6">
      <c r="A834" s="10" t="str">
        <f t="shared" si="36"/>
        <v/>
      </c>
      <c r="B834" s="85"/>
      <c r="C834" s="28" t="str">
        <f t="shared" si="37"/>
        <v/>
      </c>
      <c r="D834" s="28" t="str">
        <f t="shared" si="38"/>
        <v/>
      </c>
      <c r="E834" s="88"/>
      <c r="F834" s="83"/>
    </row>
    <row r="835" spans="1:6">
      <c r="A835" s="10" t="str">
        <f t="shared" ref="A835:A898" si="39">IF(E835&gt;0,A834+1,"")</f>
        <v/>
      </c>
      <c r="B835" s="85"/>
      <c r="C835" s="28" t="str">
        <f t="shared" ref="C835:C898" si="40">IF(B835=0,"",TEXT(B835,"mmmm"))</f>
        <v/>
      </c>
      <c r="D835" s="28" t="str">
        <f t="shared" ref="D835:D898" si="41">IF(B835=0,"",TEXT(B835,"yyyy"))</f>
        <v/>
      </c>
      <c r="E835" s="88"/>
      <c r="F835" s="83"/>
    </row>
    <row r="836" spans="1:6">
      <c r="A836" s="10" t="str">
        <f t="shared" si="39"/>
        <v/>
      </c>
      <c r="B836" s="85"/>
      <c r="C836" s="28" t="str">
        <f t="shared" si="40"/>
        <v/>
      </c>
      <c r="D836" s="28" t="str">
        <f t="shared" si="41"/>
        <v/>
      </c>
      <c r="E836" s="88"/>
      <c r="F836" s="83"/>
    </row>
    <row r="837" spans="1:6">
      <c r="A837" s="10" t="str">
        <f t="shared" si="39"/>
        <v/>
      </c>
      <c r="B837" s="85"/>
      <c r="C837" s="28" t="str">
        <f t="shared" si="40"/>
        <v/>
      </c>
      <c r="D837" s="28" t="str">
        <f t="shared" si="41"/>
        <v/>
      </c>
      <c r="E837" s="88"/>
      <c r="F837" s="83"/>
    </row>
    <row r="838" spans="1:6">
      <c r="A838" s="10" t="str">
        <f t="shared" si="39"/>
        <v/>
      </c>
      <c r="B838" s="85"/>
      <c r="C838" s="28" t="str">
        <f t="shared" si="40"/>
        <v/>
      </c>
      <c r="D838" s="28" t="str">
        <f t="shared" si="41"/>
        <v/>
      </c>
      <c r="E838" s="88"/>
      <c r="F838" s="83"/>
    </row>
    <row r="839" spans="1:6">
      <c r="A839" s="10" t="str">
        <f t="shared" si="39"/>
        <v/>
      </c>
      <c r="B839" s="85"/>
      <c r="C839" s="28" t="str">
        <f t="shared" si="40"/>
        <v/>
      </c>
      <c r="D839" s="28" t="str">
        <f t="shared" si="41"/>
        <v/>
      </c>
      <c r="E839" s="88"/>
      <c r="F839" s="83"/>
    </row>
    <row r="840" spans="1:6">
      <c r="A840" s="10" t="str">
        <f t="shared" si="39"/>
        <v/>
      </c>
      <c r="B840" s="85"/>
      <c r="C840" s="28" t="str">
        <f t="shared" si="40"/>
        <v/>
      </c>
      <c r="D840" s="28" t="str">
        <f t="shared" si="41"/>
        <v/>
      </c>
      <c r="E840" s="88"/>
      <c r="F840" s="83"/>
    </row>
    <row r="841" spans="1:6">
      <c r="A841" s="10" t="str">
        <f t="shared" si="39"/>
        <v/>
      </c>
      <c r="B841" s="85"/>
      <c r="C841" s="28" t="str">
        <f t="shared" si="40"/>
        <v/>
      </c>
      <c r="D841" s="28" t="str">
        <f t="shared" si="41"/>
        <v/>
      </c>
      <c r="E841" s="88"/>
      <c r="F841" s="83"/>
    </row>
    <row r="842" spans="1:6">
      <c r="A842" s="10" t="str">
        <f t="shared" si="39"/>
        <v/>
      </c>
      <c r="B842" s="85"/>
      <c r="C842" s="28" t="str">
        <f t="shared" si="40"/>
        <v/>
      </c>
      <c r="D842" s="28" t="str">
        <f t="shared" si="41"/>
        <v/>
      </c>
      <c r="E842" s="88"/>
      <c r="F842" s="83"/>
    </row>
    <row r="843" spans="1:6">
      <c r="A843" s="10" t="str">
        <f t="shared" si="39"/>
        <v/>
      </c>
      <c r="B843" s="85"/>
      <c r="C843" s="28" t="str">
        <f t="shared" si="40"/>
        <v/>
      </c>
      <c r="D843" s="28" t="str">
        <f t="shared" si="41"/>
        <v/>
      </c>
      <c r="E843" s="88"/>
      <c r="F843" s="83"/>
    </row>
    <row r="844" spans="1:6">
      <c r="A844" s="10" t="str">
        <f t="shared" si="39"/>
        <v/>
      </c>
      <c r="B844" s="85"/>
      <c r="C844" s="28" t="str">
        <f t="shared" si="40"/>
        <v/>
      </c>
      <c r="D844" s="28" t="str">
        <f t="shared" si="41"/>
        <v/>
      </c>
      <c r="E844" s="88"/>
      <c r="F844" s="83"/>
    </row>
    <row r="845" spans="1:6">
      <c r="A845" s="10" t="str">
        <f t="shared" si="39"/>
        <v/>
      </c>
      <c r="B845" s="85"/>
      <c r="C845" s="28" t="str">
        <f t="shared" si="40"/>
        <v/>
      </c>
      <c r="D845" s="28" t="str">
        <f t="shared" si="41"/>
        <v/>
      </c>
      <c r="E845" s="88"/>
      <c r="F845" s="83"/>
    </row>
    <row r="846" spans="1:6">
      <c r="A846" s="10" t="str">
        <f t="shared" si="39"/>
        <v/>
      </c>
      <c r="B846" s="85"/>
      <c r="C846" s="28" t="str">
        <f t="shared" si="40"/>
        <v/>
      </c>
      <c r="D846" s="28" t="str">
        <f t="shared" si="41"/>
        <v/>
      </c>
      <c r="E846" s="88"/>
      <c r="F846" s="83"/>
    </row>
    <row r="847" spans="1:6">
      <c r="A847" s="10" t="str">
        <f t="shared" si="39"/>
        <v/>
      </c>
      <c r="B847" s="85"/>
      <c r="C847" s="28" t="str">
        <f t="shared" si="40"/>
        <v/>
      </c>
      <c r="D847" s="28" t="str">
        <f t="shared" si="41"/>
        <v/>
      </c>
      <c r="E847" s="88"/>
      <c r="F847" s="83"/>
    </row>
    <row r="848" spans="1:6">
      <c r="A848" s="10" t="str">
        <f t="shared" si="39"/>
        <v/>
      </c>
      <c r="B848" s="85"/>
      <c r="C848" s="28" t="str">
        <f t="shared" si="40"/>
        <v/>
      </c>
      <c r="D848" s="28" t="str">
        <f t="shared" si="41"/>
        <v/>
      </c>
      <c r="E848" s="88"/>
      <c r="F848" s="83"/>
    </row>
    <row r="849" spans="1:6">
      <c r="A849" s="10" t="str">
        <f t="shared" si="39"/>
        <v/>
      </c>
      <c r="B849" s="85"/>
      <c r="C849" s="28" t="str">
        <f t="shared" si="40"/>
        <v/>
      </c>
      <c r="D849" s="28" t="str">
        <f t="shared" si="41"/>
        <v/>
      </c>
      <c r="E849" s="88"/>
      <c r="F849" s="83"/>
    </row>
    <row r="850" spans="1:6">
      <c r="A850" s="10" t="str">
        <f t="shared" si="39"/>
        <v/>
      </c>
      <c r="B850" s="85"/>
      <c r="C850" s="28" t="str">
        <f t="shared" si="40"/>
        <v/>
      </c>
      <c r="D850" s="28" t="str">
        <f t="shared" si="41"/>
        <v/>
      </c>
      <c r="E850" s="88"/>
      <c r="F850" s="83"/>
    </row>
    <row r="851" spans="1:6">
      <c r="A851" s="10" t="str">
        <f t="shared" si="39"/>
        <v/>
      </c>
      <c r="B851" s="85"/>
      <c r="C851" s="28" t="str">
        <f t="shared" si="40"/>
        <v/>
      </c>
      <c r="D851" s="28" t="str">
        <f t="shared" si="41"/>
        <v/>
      </c>
      <c r="E851" s="88"/>
      <c r="F851" s="83"/>
    </row>
    <row r="852" spans="1:6">
      <c r="A852" s="10" t="str">
        <f t="shared" si="39"/>
        <v/>
      </c>
      <c r="B852" s="85"/>
      <c r="C852" s="28" t="str">
        <f t="shared" si="40"/>
        <v/>
      </c>
      <c r="D852" s="28" t="str">
        <f t="shared" si="41"/>
        <v/>
      </c>
      <c r="E852" s="88"/>
      <c r="F852" s="83"/>
    </row>
    <row r="853" spans="1:6">
      <c r="A853" s="10" t="str">
        <f t="shared" si="39"/>
        <v/>
      </c>
      <c r="B853" s="85"/>
      <c r="C853" s="28" t="str">
        <f t="shared" si="40"/>
        <v/>
      </c>
      <c r="D853" s="28" t="str">
        <f t="shared" si="41"/>
        <v/>
      </c>
      <c r="E853" s="88"/>
      <c r="F853" s="83"/>
    </row>
    <row r="854" spans="1:6">
      <c r="A854" s="10" t="str">
        <f t="shared" si="39"/>
        <v/>
      </c>
      <c r="B854" s="85"/>
      <c r="C854" s="28" t="str">
        <f t="shared" si="40"/>
        <v/>
      </c>
      <c r="D854" s="28" t="str">
        <f t="shared" si="41"/>
        <v/>
      </c>
      <c r="E854" s="88"/>
      <c r="F854" s="83"/>
    </row>
    <row r="855" spans="1:6">
      <c r="A855" s="10" t="str">
        <f t="shared" si="39"/>
        <v/>
      </c>
      <c r="B855" s="85"/>
      <c r="C855" s="28" t="str">
        <f t="shared" si="40"/>
        <v/>
      </c>
      <c r="D855" s="28" t="str">
        <f t="shared" si="41"/>
        <v/>
      </c>
      <c r="E855" s="88"/>
      <c r="F855" s="83"/>
    </row>
    <row r="856" spans="1:6">
      <c r="A856" s="10" t="str">
        <f t="shared" si="39"/>
        <v/>
      </c>
      <c r="B856" s="85"/>
      <c r="C856" s="28" t="str">
        <f t="shared" si="40"/>
        <v/>
      </c>
      <c r="D856" s="28" t="str">
        <f t="shared" si="41"/>
        <v/>
      </c>
      <c r="E856" s="88"/>
      <c r="F856" s="83"/>
    </row>
    <row r="857" spans="1:6">
      <c r="A857" s="10" t="str">
        <f t="shared" si="39"/>
        <v/>
      </c>
      <c r="B857" s="85"/>
      <c r="C857" s="28" t="str">
        <f t="shared" si="40"/>
        <v/>
      </c>
      <c r="D857" s="28" t="str">
        <f t="shared" si="41"/>
        <v/>
      </c>
      <c r="E857" s="88"/>
      <c r="F857" s="83"/>
    </row>
    <row r="858" spans="1:6">
      <c r="A858" s="10" t="str">
        <f t="shared" si="39"/>
        <v/>
      </c>
      <c r="B858" s="85"/>
      <c r="C858" s="28" t="str">
        <f t="shared" si="40"/>
        <v/>
      </c>
      <c r="D858" s="28" t="str">
        <f t="shared" si="41"/>
        <v/>
      </c>
      <c r="E858" s="88"/>
      <c r="F858" s="83"/>
    </row>
    <row r="859" spans="1:6">
      <c r="A859" s="10" t="str">
        <f t="shared" si="39"/>
        <v/>
      </c>
      <c r="B859" s="85"/>
      <c r="C859" s="28" t="str">
        <f t="shared" si="40"/>
        <v/>
      </c>
      <c r="D859" s="28" t="str">
        <f t="shared" si="41"/>
        <v/>
      </c>
      <c r="E859" s="88"/>
      <c r="F859" s="83"/>
    </row>
    <row r="860" spans="1:6">
      <c r="A860" s="10" t="str">
        <f t="shared" si="39"/>
        <v/>
      </c>
      <c r="B860" s="85"/>
      <c r="C860" s="28" t="str">
        <f t="shared" si="40"/>
        <v/>
      </c>
      <c r="D860" s="28" t="str">
        <f t="shared" si="41"/>
        <v/>
      </c>
      <c r="E860" s="88"/>
      <c r="F860" s="83"/>
    </row>
    <row r="861" spans="1:6">
      <c r="A861" s="10" t="str">
        <f t="shared" si="39"/>
        <v/>
      </c>
      <c r="B861" s="85"/>
      <c r="C861" s="28" t="str">
        <f t="shared" si="40"/>
        <v/>
      </c>
      <c r="D861" s="28" t="str">
        <f t="shared" si="41"/>
        <v/>
      </c>
      <c r="E861" s="88"/>
      <c r="F861" s="83"/>
    </row>
    <row r="862" spans="1:6">
      <c r="A862" s="10" t="str">
        <f t="shared" si="39"/>
        <v/>
      </c>
      <c r="B862" s="85"/>
      <c r="C862" s="28" t="str">
        <f t="shared" si="40"/>
        <v/>
      </c>
      <c r="D862" s="28" t="str">
        <f t="shared" si="41"/>
        <v/>
      </c>
      <c r="E862" s="88"/>
      <c r="F862" s="83"/>
    </row>
    <row r="863" spans="1:6">
      <c r="A863" s="10" t="str">
        <f t="shared" si="39"/>
        <v/>
      </c>
      <c r="B863" s="85"/>
      <c r="C863" s="28" t="str">
        <f t="shared" si="40"/>
        <v/>
      </c>
      <c r="D863" s="28" t="str">
        <f t="shared" si="41"/>
        <v/>
      </c>
      <c r="E863" s="88"/>
      <c r="F863" s="83"/>
    </row>
    <row r="864" spans="1:6">
      <c r="A864" s="10" t="str">
        <f t="shared" si="39"/>
        <v/>
      </c>
      <c r="B864" s="85"/>
      <c r="C864" s="28" t="str">
        <f t="shared" si="40"/>
        <v/>
      </c>
      <c r="D864" s="28" t="str">
        <f t="shared" si="41"/>
        <v/>
      </c>
      <c r="E864" s="88"/>
      <c r="F864" s="83"/>
    </row>
    <row r="865" spans="1:6">
      <c r="A865" s="10" t="str">
        <f t="shared" si="39"/>
        <v/>
      </c>
      <c r="B865" s="85"/>
      <c r="C865" s="28" t="str">
        <f t="shared" si="40"/>
        <v/>
      </c>
      <c r="D865" s="28" t="str">
        <f t="shared" si="41"/>
        <v/>
      </c>
      <c r="E865" s="88"/>
      <c r="F865" s="83"/>
    </row>
    <row r="866" spans="1:6">
      <c r="A866" s="10" t="str">
        <f t="shared" si="39"/>
        <v/>
      </c>
      <c r="B866" s="85"/>
      <c r="C866" s="28" t="str">
        <f t="shared" si="40"/>
        <v/>
      </c>
      <c r="D866" s="28" t="str">
        <f t="shared" si="41"/>
        <v/>
      </c>
      <c r="E866" s="88"/>
      <c r="F866" s="83"/>
    </row>
    <row r="867" spans="1:6">
      <c r="A867" s="10" t="str">
        <f t="shared" si="39"/>
        <v/>
      </c>
      <c r="B867" s="85"/>
      <c r="C867" s="28" t="str">
        <f t="shared" si="40"/>
        <v/>
      </c>
      <c r="D867" s="28" t="str">
        <f t="shared" si="41"/>
        <v/>
      </c>
      <c r="E867" s="88"/>
      <c r="F867" s="83"/>
    </row>
    <row r="868" spans="1:6">
      <c r="A868" s="10" t="str">
        <f t="shared" si="39"/>
        <v/>
      </c>
      <c r="B868" s="85"/>
      <c r="C868" s="28" t="str">
        <f t="shared" si="40"/>
        <v/>
      </c>
      <c r="D868" s="28" t="str">
        <f t="shared" si="41"/>
        <v/>
      </c>
      <c r="E868" s="88"/>
      <c r="F868" s="83"/>
    </row>
    <row r="869" spans="1:6">
      <c r="A869" s="10" t="str">
        <f t="shared" si="39"/>
        <v/>
      </c>
      <c r="B869" s="85"/>
      <c r="C869" s="28" t="str">
        <f t="shared" si="40"/>
        <v/>
      </c>
      <c r="D869" s="28" t="str">
        <f t="shared" si="41"/>
        <v/>
      </c>
      <c r="E869" s="88"/>
      <c r="F869" s="83"/>
    </row>
    <row r="870" spans="1:6">
      <c r="A870" s="10" t="str">
        <f t="shared" si="39"/>
        <v/>
      </c>
      <c r="B870" s="85"/>
      <c r="C870" s="28" t="str">
        <f t="shared" si="40"/>
        <v/>
      </c>
      <c r="D870" s="28" t="str">
        <f t="shared" si="41"/>
        <v/>
      </c>
      <c r="E870" s="88"/>
      <c r="F870" s="83"/>
    </row>
    <row r="871" spans="1:6">
      <c r="A871" s="10" t="str">
        <f t="shared" si="39"/>
        <v/>
      </c>
      <c r="B871" s="85"/>
      <c r="C871" s="28" t="str">
        <f t="shared" si="40"/>
        <v/>
      </c>
      <c r="D871" s="28" t="str">
        <f t="shared" si="41"/>
        <v/>
      </c>
      <c r="E871" s="88"/>
      <c r="F871" s="83"/>
    </row>
    <row r="872" spans="1:6">
      <c r="A872" s="10" t="str">
        <f t="shared" si="39"/>
        <v/>
      </c>
      <c r="B872" s="85"/>
      <c r="C872" s="28" t="str">
        <f t="shared" si="40"/>
        <v/>
      </c>
      <c r="D872" s="28" t="str">
        <f t="shared" si="41"/>
        <v/>
      </c>
      <c r="E872" s="88"/>
      <c r="F872" s="83"/>
    </row>
    <row r="873" spans="1:6">
      <c r="A873" s="10" t="str">
        <f t="shared" si="39"/>
        <v/>
      </c>
      <c r="B873" s="85"/>
      <c r="C873" s="28" t="str">
        <f t="shared" si="40"/>
        <v/>
      </c>
      <c r="D873" s="28" t="str">
        <f t="shared" si="41"/>
        <v/>
      </c>
      <c r="E873" s="88"/>
      <c r="F873" s="83"/>
    </row>
    <row r="874" spans="1:6">
      <c r="A874" s="10" t="str">
        <f t="shared" si="39"/>
        <v/>
      </c>
      <c r="B874" s="85"/>
      <c r="C874" s="28" t="str">
        <f t="shared" si="40"/>
        <v/>
      </c>
      <c r="D874" s="28" t="str">
        <f t="shared" si="41"/>
        <v/>
      </c>
      <c r="E874" s="88"/>
      <c r="F874" s="83"/>
    </row>
    <row r="875" spans="1:6">
      <c r="A875" s="10" t="str">
        <f t="shared" si="39"/>
        <v/>
      </c>
      <c r="B875" s="85"/>
      <c r="C875" s="28" t="str">
        <f t="shared" si="40"/>
        <v/>
      </c>
      <c r="D875" s="28" t="str">
        <f t="shared" si="41"/>
        <v/>
      </c>
      <c r="E875" s="88"/>
      <c r="F875" s="83"/>
    </row>
    <row r="876" spans="1:6">
      <c r="A876" s="10" t="str">
        <f t="shared" si="39"/>
        <v/>
      </c>
      <c r="B876" s="85"/>
      <c r="C876" s="28" t="str">
        <f t="shared" si="40"/>
        <v/>
      </c>
      <c r="D876" s="28" t="str">
        <f t="shared" si="41"/>
        <v/>
      </c>
      <c r="E876" s="88"/>
      <c r="F876" s="83"/>
    </row>
    <row r="877" spans="1:6">
      <c r="A877" s="10" t="str">
        <f t="shared" si="39"/>
        <v/>
      </c>
      <c r="B877" s="85"/>
      <c r="C877" s="28" t="str">
        <f t="shared" si="40"/>
        <v/>
      </c>
      <c r="D877" s="28" t="str">
        <f t="shared" si="41"/>
        <v/>
      </c>
      <c r="E877" s="88"/>
      <c r="F877" s="83"/>
    </row>
    <row r="878" spans="1:6">
      <c r="A878" s="10" t="str">
        <f t="shared" si="39"/>
        <v/>
      </c>
      <c r="B878" s="85"/>
      <c r="C878" s="28" t="str">
        <f t="shared" si="40"/>
        <v/>
      </c>
      <c r="D878" s="28" t="str">
        <f t="shared" si="41"/>
        <v/>
      </c>
      <c r="E878" s="88"/>
      <c r="F878" s="83"/>
    </row>
    <row r="879" spans="1:6">
      <c r="A879" s="10" t="str">
        <f t="shared" si="39"/>
        <v/>
      </c>
      <c r="B879" s="85"/>
      <c r="C879" s="28" t="str">
        <f t="shared" si="40"/>
        <v/>
      </c>
      <c r="D879" s="28" t="str">
        <f t="shared" si="41"/>
        <v/>
      </c>
      <c r="E879" s="88"/>
      <c r="F879" s="83"/>
    </row>
    <row r="880" spans="1:6">
      <c r="A880" s="10" t="str">
        <f t="shared" si="39"/>
        <v/>
      </c>
      <c r="B880" s="85"/>
      <c r="C880" s="28" t="str">
        <f t="shared" si="40"/>
        <v/>
      </c>
      <c r="D880" s="28" t="str">
        <f t="shared" si="41"/>
        <v/>
      </c>
      <c r="E880" s="88"/>
      <c r="F880" s="83"/>
    </row>
    <row r="881" spans="1:6">
      <c r="A881" s="10" t="str">
        <f t="shared" si="39"/>
        <v/>
      </c>
      <c r="B881" s="85"/>
      <c r="C881" s="28" t="str">
        <f t="shared" si="40"/>
        <v/>
      </c>
      <c r="D881" s="28" t="str">
        <f t="shared" si="41"/>
        <v/>
      </c>
      <c r="E881" s="88"/>
      <c r="F881" s="83"/>
    </row>
    <row r="882" spans="1:6">
      <c r="A882" s="10" t="str">
        <f t="shared" si="39"/>
        <v/>
      </c>
      <c r="B882" s="85"/>
      <c r="C882" s="28" t="str">
        <f t="shared" si="40"/>
        <v/>
      </c>
      <c r="D882" s="28" t="str">
        <f t="shared" si="41"/>
        <v/>
      </c>
      <c r="E882" s="88"/>
      <c r="F882" s="83"/>
    </row>
    <row r="883" spans="1:6">
      <c r="A883" s="10" t="str">
        <f t="shared" si="39"/>
        <v/>
      </c>
      <c r="B883" s="85"/>
      <c r="C883" s="28" t="str">
        <f t="shared" si="40"/>
        <v/>
      </c>
      <c r="D883" s="28" t="str">
        <f t="shared" si="41"/>
        <v/>
      </c>
      <c r="E883" s="88"/>
      <c r="F883" s="83"/>
    </row>
    <row r="884" spans="1:6">
      <c r="A884" s="10" t="str">
        <f t="shared" si="39"/>
        <v/>
      </c>
      <c r="B884" s="85"/>
      <c r="C884" s="28" t="str">
        <f t="shared" si="40"/>
        <v/>
      </c>
      <c r="D884" s="28" t="str">
        <f t="shared" si="41"/>
        <v/>
      </c>
      <c r="E884" s="88"/>
      <c r="F884" s="83"/>
    </row>
    <row r="885" spans="1:6">
      <c r="A885" s="10" t="str">
        <f t="shared" si="39"/>
        <v/>
      </c>
      <c r="B885" s="85"/>
      <c r="C885" s="28" t="str">
        <f t="shared" si="40"/>
        <v/>
      </c>
      <c r="D885" s="28" t="str">
        <f t="shared" si="41"/>
        <v/>
      </c>
      <c r="E885" s="88"/>
      <c r="F885" s="83"/>
    </row>
    <row r="886" spans="1:6">
      <c r="A886" s="10" t="str">
        <f t="shared" si="39"/>
        <v/>
      </c>
      <c r="B886" s="85"/>
      <c r="C886" s="28" t="str">
        <f t="shared" si="40"/>
        <v/>
      </c>
      <c r="D886" s="28" t="str">
        <f t="shared" si="41"/>
        <v/>
      </c>
      <c r="E886" s="88"/>
      <c r="F886" s="83"/>
    </row>
    <row r="887" spans="1:6">
      <c r="A887" s="10" t="str">
        <f t="shared" si="39"/>
        <v/>
      </c>
      <c r="B887" s="85"/>
      <c r="C887" s="28" t="str">
        <f t="shared" si="40"/>
        <v/>
      </c>
      <c r="D887" s="28" t="str">
        <f t="shared" si="41"/>
        <v/>
      </c>
      <c r="E887" s="88"/>
      <c r="F887" s="83"/>
    </row>
    <row r="888" spans="1:6">
      <c r="A888" s="10" t="str">
        <f t="shared" si="39"/>
        <v/>
      </c>
      <c r="B888" s="85"/>
      <c r="C888" s="28" t="str">
        <f t="shared" si="40"/>
        <v/>
      </c>
      <c r="D888" s="28" t="str">
        <f t="shared" si="41"/>
        <v/>
      </c>
      <c r="E888" s="88"/>
      <c r="F888" s="83"/>
    </row>
    <row r="889" spans="1:6">
      <c r="A889" s="10" t="str">
        <f t="shared" si="39"/>
        <v/>
      </c>
      <c r="B889" s="85"/>
      <c r="C889" s="28" t="str">
        <f t="shared" si="40"/>
        <v/>
      </c>
      <c r="D889" s="28" t="str">
        <f t="shared" si="41"/>
        <v/>
      </c>
      <c r="E889" s="88"/>
      <c r="F889" s="83"/>
    </row>
    <row r="890" spans="1:6">
      <c r="A890" s="10" t="str">
        <f t="shared" si="39"/>
        <v/>
      </c>
      <c r="B890" s="85"/>
      <c r="C890" s="28" t="str">
        <f t="shared" si="40"/>
        <v/>
      </c>
      <c r="D890" s="28" t="str">
        <f t="shared" si="41"/>
        <v/>
      </c>
      <c r="E890" s="88"/>
      <c r="F890" s="83"/>
    </row>
    <row r="891" spans="1:6">
      <c r="A891" s="10" t="str">
        <f t="shared" si="39"/>
        <v/>
      </c>
      <c r="B891" s="85"/>
      <c r="C891" s="28" t="str">
        <f t="shared" si="40"/>
        <v/>
      </c>
      <c r="D891" s="28" t="str">
        <f t="shared" si="41"/>
        <v/>
      </c>
      <c r="E891" s="88"/>
      <c r="F891" s="83"/>
    </row>
    <row r="892" spans="1:6">
      <c r="A892" s="10" t="str">
        <f t="shared" si="39"/>
        <v/>
      </c>
      <c r="B892" s="85"/>
      <c r="C892" s="28" t="str">
        <f t="shared" si="40"/>
        <v/>
      </c>
      <c r="D892" s="28" t="str">
        <f t="shared" si="41"/>
        <v/>
      </c>
      <c r="E892" s="88"/>
      <c r="F892" s="83"/>
    </row>
    <row r="893" spans="1:6">
      <c r="A893" s="10" t="str">
        <f t="shared" si="39"/>
        <v/>
      </c>
      <c r="B893" s="85"/>
      <c r="C893" s="28" t="str">
        <f t="shared" si="40"/>
        <v/>
      </c>
      <c r="D893" s="28" t="str">
        <f t="shared" si="41"/>
        <v/>
      </c>
      <c r="E893" s="88"/>
      <c r="F893" s="83"/>
    </row>
    <row r="894" spans="1:6">
      <c r="A894" s="10" t="str">
        <f t="shared" si="39"/>
        <v/>
      </c>
      <c r="B894" s="85"/>
      <c r="C894" s="28" t="str">
        <f t="shared" si="40"/>
        <v/>
      </c>
      <c r="D894" s="28" t="str">
        <f t="shared" si="41"/>
        <v/>
      </c>
      <c r="E894" s="88"/>
      <c r="F894" s="83"/>
    </row>
    <row r="895" spans="1:6">
      <c r="A895" s="10" t="str">
        <f t="shared" si="39"/>
        <v/>
      </c>
      <c r="B895" s="85"/>
      <c r="C895" s="28" t="str">
        <f t="shared" si="40"/>
        <v/>
      </c>
      <c r="D895" s="28" t="str">
        <f t="shared" si="41"/>
        <v/>
      </c>
      <c r="E895" s="88"/>
      <c r="F895" s="83"/>
    </row>
    <row r="896" spans="1:6">
      <c r="A896" s="10" t="str">
        <f t="shared" si="39"/>
        <v/>
      </c>
      <c r="B896" s="85"/>
      <c r="C896" s="28" t="str">
        <f t="shared" si="40"/>
        <v/>
      </c>
      <c r="D896" s="28" t="str">
        <f t="shared" si="41"/>
        <v/>
      </c>
      <c r="E896" s="88"/>
      <c r="F896" s="83"/>
    </row>
    <row r="897" spans="1:6">
      <c r="A897" s="10" t="str">
        <f t="shared" si="39"/>
        <v/>
      </c>
      <c r="B897" s="85"/>
      <c r="C897" s="28" t="str">
        <f t="shared" si="40"/>
        <v/>
      </c>
      <c r="D897" s="28" t="str">
        <f t="shared" si="41"/>
        <v/>
      </c>
      <c r="E897" s="88"/>
      <c r="F897" s="83"/>
    </row>
    <row r="898" spans="1:6">
      <c r="A898" s="10" t="str">
        <f t="shared" si="39"/>
        <v/>
      </c>
      <c r="B898" s="85"/>
      <c r="C898" s="28" t="str">
        <f t="shared" si="40"/>
        <v/>
      </c>
      <c r="D898" s="28" t="str">
        <f t="shared" si="41"/>
        <v/>
      </c>
      <c r="E898" s="88"/>
      <c r="F898" s="83"/>
    </row>
    <row r="899" spans="1:6">
      <c r="A899" s="10" t="str">
        <f t="shared" ref="A899:A962" si="42">IF(E899&gt;0,A898+1,"")</f>
        <v/>
      </c>
      <c r="B899" s="85"/>
      <c r="C899" s="28" t="str">
        <f t="shared" ref="C899:C962" si="43">IF(B899=0,"",TEXT(B899,"mmmm"))</f>
        <v/>
      </c>
      <c r="D899" s="28" t="str">
        <f t="shared" ref="D899:D962" si="44">IF(B899=0,"",TEXT(B899,"yyyy"))</f>
        <v/>
      </c>
      <c r="E899" s="88"/>
      <c r="F899" s="83"/>
    </row>
    <row r="900" spans="1:6">
      <c r="A900" s="10" t="str">
        <f t="shared" si="42"/>
        <v/>
      </c>
      <c r="B900" s="85"/>
      <c r="C900" s="28" t="str">
        <f t="shared" si="43"/>
        <v/>
      </c>
      <c r="D900" s="28" t="str">
        <f t="shared" si="44"/>
        <v/>
      </c>
      <c r="E900" s="88"/>
      <c r="F900" s="83"/>
    </row>
    <row r="901" spans="1:6">
      <c r="A901" s="10" t="str">
        <f t="shared" si="42"/>
        <v/>
      </c>
      <c r="B901" s="85"/>
      <c r="C901" s="28" t="str">
        <f t="shared" si="43"/>
        <v/>
      </c>
      <c r="D901" s="28" t="str">
        <f t="shared" si="44"/>
        <v/>
      </c>
      <c r="E901" s="88"/>
      <c r="F901" s="83"/>
    </row>
    <row r="902" spans="1:6">
      <c r="A902" s="10" t="str">
        <f t="shared" si="42"/>
        <v/>
      </c>
      <c r="B902" s="85"/>
      <c r="C902" s="28" t="str">
        <f t="shared" si="43"/>
        <v/>
      </c>
      <c r="D902" s="28" t="str">
        <f t="shared" si="44"/>
        <v/>
      </c>
      <c r="E902" s="88"/>
      <c r="F902" s="83"/>
    </row>
    <row r="903" spans="1:6">
      <c r="A903" s="10" t="str">
        <f t="shared" si="42"/>
        <v/>
      </c>
      <c r="B903" s="85"/>
      <c r="C903" s="28" t="str">
        <f t="shared" si="43"/>
        <v/>
      </c>
      <c r="D903" s="28" t="str">
        <f t="shared" si="44"/>
        <v/>
      </c>
      <c r="E903" s="88"/>
      <c r="F903" s="83"/>
    </row>
    <row r="904" spans="1:6">
      <c r="A904" s="10" t="str">
        <f t="shared" si="42"/>
        <v/>
      </c>
      <c r="B904" s="85"/>
      <c r="C904" s="28" t="str">
        <f t="shared" si="43"/>
        <v/>
      </c>
      <c r="D904" s="28" t="str">
        <f t="shared" si="44"/>
        <v/>
      </c>
      <c r="E904" s="88"/>
      <c r="F904" s="83"/>
    </row>
    <row r="905" spans="1:6">
      <c r="A905" s="10" t="str">
        <f t="shared" si="42"/>
        <v/>
      </c>
      <c r="B905" s="85"/>
      <c r="C905" s="28" t="str">
        <f t="shared" si="43"/>
        <v/>
      </c>
      <c r="D905" s="28" t="str">
        <f t="shared" si="44"/>
        <v/>
      </c>
      <c r="E905" s="88"/>
      <c r="F905" s="83"/>
    </row>
    <row r="906" spans="1:6">
      <c r="A906" s="10" t="str">
        <f t="shared" si="42"/>
        <v/>
      </c>
      <c r="B906" s="85"/>
      <c r="C906" s="28" t="str">
        <f t="shared" si="43"/>
        <v/>
      </c>
      <c r="D906" s="28" t="str">
        <f t="shared" si="44"/>
        <v/>
      </c>
      <c r="E906" s="88"/>
      <c r="F906" s="83"/>
    </row>
    <row r="907" spans="1:6">
      <c r="A907" s="10" t="str">
        <f t="shared" si="42"/>
        <v/>
      </c>
      <c r="B907" s="85"/>
      <c r="C907" s="28" t="str">
        <f t="shared" si="43"/>
        <v/>
      </c>
      <c r="D907" s="28" t="str">
        <f t="shared" si="44"/>
        <v/>
      </c>
      <c r="E907" s="88"/>
      <c r="F907" s="83"/>
    </row>
    <row r="908" spans="1:6">
      <c r="A908" s="10" t="str">
        <f t="shared" si="42"/>
        <v/>
      </c>
      <c r="B908" s="85"/>
      <c r="C908" s="28" t="str">
        <f t="shared" si="43"/>
        <v/>
      </c>
      <c r="D908" s="28" t="str">
        <f t="shared" si="44"/>
        <v/>
      </c>
      <c r="E908" s="88"/>
      <c r="F908" s="83"/>
    </row>
    <row r="909" spans="1:6">
      <c r="A909" s="10" t="str">
        <f t="shared" si="42"/>
        <v/>
      </c>
      <c r="B909" s="85"/>
      <c r="C909" s="28" t="str">
        <f t="shared" si="43"/>
        <v/>
      </c>
      <c r="D909" s="28" t="str">
        <f t="shared" si="44"/>
        <v/>
      </c>
      <c r="E909" s="88"/>
      <c r="F909" s="83"/>
    </row>
    <row r="910" spans="1:6">
      <c r="A910" s="10" t="str">
        <f t="shared" si="42"/>
        <v/>
      </c>
      <c r="B910" s="85"/>
      <c r="C910" s="28" t="str">
        <f t="shared" si="43"/>
        <v/>
      </c>
      <c r="D910" s="28" t="str">
        <f t="shared" si="44"/>
        <v/>
      </c>
      <c r="E910" s="88"/>
      <c r="F910" s="83"/>
    </row>
    <row r="911" spans="1:6">
      <c r="A911" s="10" t="str">
        <f t="shared" si="42"/>
        <v/>
      </c>
      <c r="B911" s="85"/>
      <c r="C911" s="28" t="str">
        <f t="shared" si="43"/>
        <v/>
      </c>
      <c r="D911" s="28" t="str">
        <f t="shared" si="44"/>
        <v/>
      </c>
      <c r="E911" s="88"/>
      <c r="F911" s="83"/>
    </row>
    <row r="912" spans="1:6">
      <c r="A912" s="10" t="str">
        <f t="shared" si="42"/>
        <v/>
      </c>
      <c r="B912" s="85"/>
      <c r="C912" s="28" t="str">
        <f t="shared" si="43"/>
        <v/>
      </c>
      <c r="D912" s="28" t="str">
        <f t="shared" si="44"/>
        <v/>
      </c>
      <c r="E912" s="88"/>
      <c r="F912" s="83"/>
    </row>
    <row r="913" spans="1:6">
      <c r="A913" s="10" t="str">
        <f t="shared" si="42"/>
        <v/>
      </c>
      <c r="B913" s="85"/>
      <c r="C913" s="28" t="str">
        <f t="shared" si="43"/>
        <v/>
      </c>
      <c r="D913" s="28" t="str">
        <f t="shared" si="44"/>
        <v/>
      </c>
      <c r="E913" s="88"/>
      <c r="F913" s="83"/>
    </row>
    <row r="914" spans="1:6">
      <c r="A914" s="10" t="str">
        <f t="shared" si="42"/>
        <v/>
      </c>
      <c r="B914" s="85"/>
      <c r="C914" s="28" t="str">
        <f t="shared" si="43"/>
        <v/>
      </c>
      <c r="D914" s="28" t="str">
        <f t="shared" si="44"/>
        <v/>
      </c>
      <c r="E914" s="88"/>
      <c r="F914" s="83"/>
    </row>
    <row r="915" spans="1:6">
      <c r="A915" s="10" t="str">
        <f t="shared" si="42"/>
        <v/>
      </c>
      <c r="B915" s="85"/>
      <c r="C915" s="28" t="str">
        <f t="shared" si="43"/>
        <v/>
      </c>
      <c r="D915" s="28" t="str">
        <f t="shared" si="44"/>
        <v/>
      </c>
      <c r="E915" s="88"/>
      <c r="F915" s="83"/>
    </row>
    <row r="916" spans="1:6">
      <c r="A916" s="10" t="str">
        <f t="shared" si="42"/>
        <v/>
      </c>
      <c r="B916" s="85"/>
      <c r="C916" s="28" t="str">
        <f t="shared" si="43"/>
        <v/>
      </c>
      <c r="D916" s="28" t="str">
        <f t="shared" si="44"/>
        <v/>
      </c>
      <c r="E916" s="88"/>
      <c r="F916" s="83"/>
    </row>
    <row r="917" spans="1:6">
      <c r="A917" s="10" t="str">
        <f t="shared" si="42"/>
        <v/>
      </c>
      <c r="B917" s="85"/>
      <c r="C917" s="28" t="str">
        <f t="shared" si="43"/>
        <v/>
      </c>
      <c r="D917" s="28" t="str">
        <f t="shared" si="44"/>
        <v/>
      </c>
      <c r="E917" s="88"/>
      <c r="F917" s="83"/>
    </row>
    <row r="918" spans="1:6">
      <c r="A918" s="10" t="str">
        <f t="shared" si="42"/>
        <v/>
      </c>
      <c r="B918" s="85"/>
      <c r="C918" s="28" t="str">
        <f t="shared" si="43"/>
        <v/>
      </c>
      <c r="D918" s="28" t="str">
        <f t="shared" si="44"/>
        <v/>
      </c>
      <c r="E918" s="88"/>
      <c r="F918" s="83"/>
    </row>
    <row r="919" spans="1:6">
      <c r="A919" s="10" t="str">
        <f t="shared" si="42"/>
        <v/>
      </c>
      <c r="B919" s="85"/>
      <c r="C919" s="28" t="str">
        <f t="shared" si="43"/>
        <v/>
      </c>
      <c r="D919" s="28" t="str">
        <f t="shared" si="44"/>
        <v/>
      </c>
      <c r="E919" s="88"/>
      <c r="F919" s="83"/>
    </row>
    <row r="920" spans="1:6">
      <c r="A920" s="10" t="str">
        <f t="shared" si="42"/>
        <v/>
      </c>
      <c r="B920" s="85"/>
      <c r="C920" s="28" t="str">
        <f t="shared" si="43"/>
        <v/>
      </c>
      <c r="D920" s="28" t="str">
        <f t="shared" si="44"/>
        <v/>
      </c>
      <c r="E920" s="88"/>
      <c r="F920" s="83"/>
    </row>
    <row r="921" spans="1:6">
      <c r="A921" s="10" t="str">
        <f t="shared" si="42"/>
        <v/>
      </c>
      <c r="B921" s="85"/>
      <c r="C921" s="28" t="str">
        <f t="shared" si="43"/>
        <v/>
      </c>
      <c r="D921" s="28" t="str">
        <f t="shared" si="44"/>
        <v/>
      </c>
      <c r="E921" s="88"/>
      <c r="F921" s="83"/>
    </row>
    <row r="922" spans="1:6">
      <c r="A922" s="10" t="str">
        <f t="shared" si="42"/>
        <v/>
      </c>
      <c r="B922" s="85"/>
      <c r="C922" s="28" t="str">
        <f t="shared" si="43"/>
        <v/>
      </c>
      <c r="D922" s="28" t="str">
        <f t="shared" si="44"/>
        <v/>
      </c>
      <c r="E922" s="88"/>
      <c r="F922" s="83"/>
    </row>
    <row r="923" spans="1:6">
      <c r="A923" s="10" t="str">
        <f t="shared" si="42"/>
        <v/>
      </c>
      <c r="B923" s="85"/>
      <c r="C923" s="28" t="str">
        <f t="shared" si="43"/>
        <v/>
      </c>
      <c r="D923" s="28" t="str">
        <f t="shared" si="44"/>
        <v/>
      </c>
      <c r="E923" s="88"/>
      <c r="F923" s="83"/>
    </row>
    <row r="924" spans="1:6">
      <c r="A924" s="10" t="str">
        <f t="shared" si="42"/>
        <v/>
      </c>
      <c r="B924" s="85"/>
      <c r="C924" s="28" t="str">
        <f t="shared" si="43"/>
        <v/>
      </c>
      <c r="D924" s="28" t="str">
        <f t="shared" si="44"/>
        <v/>
      </c>
      <c r="E924" s="88"/>
      <c r="F924" s="83"/>
    </row>
    <row r="925" spans="1:6">
      <c r="A925" s="10" t="str">
        <f t="shared" si="42"/>
        <v/>
      </c>
      <c r="B925" s="85"/>
      <c r="C925" s="28" t="str">
        <f t="shared" si="43"/>
        <v/>
      </c>
      <c r="D925" s="28" t="str">
        <f t="shared" si="44"/>
        <v/>
      </c>
      <c r="E925" s="88"/>
      <c r="F925" s="83"/>
    </row>
    <row r="926" spans="1:6">
      <c r="A926" s="10" t="str">
        <f t="shared" si="42"/>
        <v/>
      </c>
      <c r="B926" s="85"/>
      <c r="C926" s="28" t="str">
        <f t="shared" si="43"/>
        <v/>
      </c>
      <c r="D926" s="28" t="str">
        <f t="shared" si="44"/>
        <v/>
      </c>
      <c r="E926" s="88"/>
      <c r="F926" s="83"/>
    </row>
    <row r="927" spans="1:6">
      <c r="A927" s="10" t="str">
        <f t="shared" si="42"/>
        <v/>
      </c>
      <c r="B927" s="85"/>
      <c r="C927" s="28" t="str">
        <f t="shared" si="43"/>
        <v/>
      </c>
      <c r="D927" s="28" t="str">
        <f t="shared" si="44"/>
        <v/>
      </c>
      <c r="E927" s="88"/>
      <c r="F927" s="83"/>
    </row>
    <row r="928" spans="1:6">
      <c r="A928" s="10" t="str">
        <f t="shared" si="42"/>
        <v/>
      </c>
      <c r="B928" s="85"/>
      <c r="C928" s="28" t="str">
        <f t="shared" si="43"/>
        <v/>
      </c>
      <c r="D928" s="28" t="str">
        <f t="shared" si="44"/>
        <v/>
      </c>
      <c r="E928" s="88"/>
      <c r="F928" s="83"/>
    </row>
    <row r="929" spans="1:6">
      <c r="A929" s="10" t="str">
        <f t="shared" si="42"/>
        <v/>
      </c>
      <c r="B929" s="85"/>
      <c r="C929" s="28" t="str">
        <f t="shared" si="43"/>
        <v/>
      </c>
      <c r="D929" s="28" t="str">
        <f t="shared" si="44"/>
        <v/>
      </c>
      <c r="E929" s="88"/>
      <c r="F929" s="83"/>
    </row>
    <row r="930" spans="1:6">
      <c r="A930" s="10" t="str">
        <f t="shared" si="42"/>
        <v/>
      </c>
      <c r="B930" s="85"/>
      <c r="C930" s="28" t="str">
        <f t="shared" si="43"/>
        <v/>
      </c>
      <c r="D930" s="28" t="str">
        <f t="shared" si="44"/>
        <v/>
      </c>
      <c r="E930" s="88"/>
      <c r="F930" s="83"/>
    </row>
    <row r="931" spans="1:6">
      <c r="A931" s="10" t="str">
        <f t="shared" si="42"/>
        <v/>
      </c>
      <c r="B931" s="85"/>
      <c r="C931" s="28" t="str">
        <f t="shared" si="43"/>
        <v/>
      </c>
      <c r="D931" s="28" t="str">
        <f t="shared" si="44"/>
        <v/>
      </c>
      <c r="E931" s="88"/>
      <c r="F931" s="83"/>
    </row>
    <row r="932" spans="1:6">
      <c r="A932" s="10" t="str">
        <f t="shared" si="42"/>
        <v/>
      </c>
      <c r="B932" s="85"/>
      <c r="C932" s="28" t="str">
        <f t="shared" si="43"/>
        <v/>
      </c>
      <c r="D932" s="28" t="str">
        <f t="shared" si="44"/>
        <v/>
      </c>
      <c r="E932" s="88"/>
      <c r="F932" s="83"/>
    </row>
    <row r="933" spans="1:6">
      <c r="A933" s="10" t="str">
        <f t="shared" si="42"/>
        <v/>
      </c>
      <c r="B933" s="85"/>
      <c r="C933" s="28" t="str">
        <f t="shared" si="43"/>
        <v/>
      </c>
      <c r="D933" s="28" t="str">
        <f t="shared" si="44"/>
        <v/>
      </c>
      <c r="E933" s="88"/>
      <c r="F933" s="83"/>
    </row>
    <row r="934" spans="1:6">
      <c r="A934" s="10" t="str">
        <f t="shared" si="42"/>
        <v/>
      </c>
      <c r="B934" s="85"/>
      <c r="C934" s="28" t="str">
        <f t="shared" si="43"/>
        <v/>
      </c>
      <c r="D934" s="28" t="str">
        <f t="shared" si="44"/>
        <v/>
      </c>
      <c r="E934" s="88"/>
      <c r="F934" s="83"/>
    </row>
    <row r="935" spans="1:6">
      <c r="A935" s="10" t="str">
        <f t="shared" si="42"/>
        <v/>
      </c>
      <c r="B935" s="85"/>
      <c r="C935" s="28" t="str">
        <f t="shared" si="43"/>
        <v/>
      </c>
      <c r="D935" s="28" t="str">
        <f t="shared" si="44"/>
        <v/>
      </c>
      <c r="E935" s="88"/>
      <c r="F935" s="83"/>
    </row>
    <row r="936" spans="1:6">
      <c r="A936" s="10" t="str">
        <f t="shared" si="42"/>
        <v/>
      </c>
      <c r="B936" s="85"/>
      <c r="C936" s="28" t="str">
        <f t="shared" si="43"/>
        <v/>
      </c>
      <c r="D936" s="28" t="str">
        <f t="shared" si="44"/>
        <v/>
      </c>
      <c r="E936" s="88"/>
      <c r="F936" s="83"/>
    </row>
    <row r="937" spans="1:6">
      <c r="A937" s="10" t="str">
        <f t="shared" si="42"/>
        <v/>
      </c>
      <c r="B937" s="85"/>
      <c r="C937" s="28" t="str">
        <f t="shared" si="43"/>
        <v/>
      </c>
      <c r="D937" s="28" t="str">
        <f t="shared" si="44"/>
        <v/>
      </c>
      <c r="E937" s="88"/>
      <c r="F937" s="83"/>
    </row>
    <row r="938" spans="1:6">
      <c r="A938" s="10" t="str">
        <f t="shared" si="42"/>
        <v/>
      </c>
      <c r="B938" s="85"/>
      <c r="C938" s="28" t="str">
        <f t="shared" si="43"/>
        <v/>
      </c>
      <c r="D938" s="28" t="str">
        <f t="shared" si="44"/>
        <v/>
      </c>
      <c r="E938" s="88"/>
      <c r="F938" s="83"/>
    </row>
    <row r="939" spans="1:6">
      <c r="A939" s="10" t="str">
        <f t="shared" si="42"/>
        <v/>
      </c>
      <c r="B939" s="85"/>
      <c r="C939" s="28" t="str">
        <f t="shared" si="43"/>
        <v/>
      </c>
      <c r="D939" s="28" t="str">
        <f t="shared" si="44"/>
        <v/>
      </c>
      <c r="E939" s="88"/>
      <c r="F939" s="83"/>
    </row>
    <row r="940" spans="1:6">
      <c r="A940" s="10" t="str">
        <f t="shared" si="42"/>
        <v/>
      </c>
      <c r="B940" s="85"/>
      <c r="C940" s="28" t="str">
        <f t="shared" si="43"/>
        <v/>
      </c>
      <c r="D940" s="28" t="str">
        <f t="shared" si="44"/>
        <v/>
      </c>
      <c r="E940" s="88"/>
      <c r="F940" s="83"/>
    </row>
    <row r="941" spans="1:6">
      <c r="A941" s="10" t="str">
        <f t="shared" si="42"/>
        <v/>
      </c>
      <c r="B941" s="85"/>
      <c r="C941" s="28" t="str">
        <f t="shared" si="43"/>
        <v/>
      </c>
      <c r="D941" s="28" t="str">
        <f t="shared" si="44"/>
        <v/>
      </c>
      <c r="E941" s="88"/>
      <c r="F941" s="83"/>
    </row>
    <row r="942" spans="1:6">
      <c r="A942" s="10" t="str">
        <f t="shared" si="42"/>
        <v/>
      </c>
      <c r="B942" s="85"/>
      <c r="C942" s="28" t="str">
        <f t="shared" si="43"/>
        <v/>
      </c>
      <c r="D942" s="28" t="str">
        <f t="shared" si="44"/>
        <v/>
      </c>
      <c r="E942" s="88"/>
      <c r="F942" s="83"/>
    </row>
    <row r="943" spans="1:6">
      <c r="A943" s="10" t="str">
        <f t="shared" si="42"/>
        <v/>
      </c>
      <c r="B943" s="85"/>
      <c r="C943" s="28" t="str">
        <f t="shared" si="43"/>
        <v/>
      </c>
      <c r="D943" s="28" t="str">
        <f t="shared" si="44"/>
        <v/>
      </c>
      <c r="E943" s="88"/>
      <c r="F943" s="83"/>
    </row>
    <row r="944" spans="1:6">
      <c r="A944" s="10" t="str">
        <f t="shared" si="42"/>
        <v/>
      </c>
      <c r="B944" s="85"/>
      <c r="C944" s="28" t="str">
        <f t="shared" si="43"/>
        <v/>
      </c>
      <c r="D944" s="28" t="str">
        <f t="shared" si="44"/>
        <v/>
      </c>
      <c r="E944" s="88"/>
      <c r="F944" s="83"/>
    </row>
    <row r="945" spans="1:6">
      <c r="A945" s="10" t="str">
        <f t="shared" si="42"/>
        <v/>
      </c>
      <c r="B945" s="85"/>
      <c r="C945" s="28" t="str">
        <f t="shared" si="43"/>
        <v/>
      </c>
      <c r="D945" s="28" t="str">
        <f t="shared" si="44"/>
        <v/>
      </c>
      <c r="E945" s="88"/>
      <c r="F945" s="83"/>
    </row>
    <row r="946" spans="1:6">
      <c r="A946" s="10" t="str">
        <f t="shared" si="42"/>
        <v/>
      </c>
      <c r="B946" s="85"/>
      <c r="C946" s="28" t="str">
        <f t="shared" si="43"/>
        <v/>
      </c>
      <c r="D946" s="28" t="str">
        <f t="shared" si="44"/>
        <v/>
      </c>
      <c r="E946" s="88"/>
      <c r="F946" s="83"/>
    </row>
    <row r="947" spans="1:6">
      <c r="A947" s="10" t="str">
        <f t="shared" si="42"/>
        <v/>
      </c>
      <c r="B947" s="85"/>
      <c r="C947" s="28" t="str">
        <f t="shared" si="43"/>
        <v/>
      </c>
      <c r="D947" s="28" t="str">
        <f t="shared" si="44"/>
        <v/>
      </c>
      <c r="E947" s="88"/>
      <c r="F947" s="83"/>
    </row>
    <row r="948" spans="1:6">
      <c r="A948" s="10" t="str">
        <f t="shared" si="42"/>
        <v/>
      </c>
      <c r="B948" s="85"/>
      <c r="C948" s="28" t="str">
        <f t="shared" si="43"/>
        <v/>
      </c>
      <c r="D948" s="28" t="str">
        <f t="shared" si="44"/>
        <v/>
      </c>
      <c r="E948" s="88"/>
      <c r="F948" s="83"/>
    </row>
    <row r="949" spans="1:6">
      <c r="A949" s="10" t="str">
        <f t="shared" si="42"/>
        <v/>
      </c>
      <c r="B949" s="85"/>
      <c r="C949" s="28" t="str">
        <f t="shared" si="43"/>
        <v/>
      </c>
      <c r="D949" s="28" t="str">
        <f t="shared" si="44"/>
        <v/>
      </c>
      <c r="E949" s="88"/>
      <c r="F949" s="83"/>
    </row>
    <row r="950" spans="1:6">
      <c r="A950" s="10" t="str">
        <f t="shared" si="42"/>
        <v/>
      </c>
      <c r="B950" s="85"/>
      <c r="C950" s="28" t="str">
        <f t="shared" si="43"/>
        <v/>
      </c>
      <c r="D950" s="28" t="str">
        <f t="shared" si="44"/>
        <v/>
      </c>
      <c r="E950" s="88"/>
      <c r="F950" s="83"/>
    </row>
    <row r="951" spans="1:6">
      <c r="A951" s="10" t="str">
        <f t="shared" si="42"/>
        <v/>
      </c>
      <c r="B951" s="85"/>
      <c r="C951" s="28" t="str">
        <f t="shared" si="43"/>
        <v/>
      </c>
      <c r="D951" s="28" t="str">
        <f t="shared" si="44"/>
        <v/>
      </c>
      <c r="E951" s="88"/>
      <c r="F951" s="83"/>
    </row>
    <row r="952" spans="1:6">
      <c r="A952" s="10" t="str">
        <f t="shared" si="42"/>
        <v/>
      </c>
      <c r="B952" s="85"/>
      <c r="C952" s="28" t="str">
        <f t="shared" si="43"/>
        <v/>
      </c>
      <c r="D952" s="28" t="str">
        <f t="shared" si="44"/>
        <v/>
      </c>
      <c r="E952" s="88"/>
      <c r="F952" s="83"/>
    </row>
    <row r="953" spans="1:6">
      <c r="A953" s="10" t="str">
        <f t="shared" si="42"/>
        <v/>
      </c>
      <c r="B953" s="85"/>
      <c r="C953" s="28" t="str">
        <f t="shared" si="43"/>
        <v/>
      </c>
      <c r="D953" s="28" t="str">
        <f t="shared" si="44"/>
        <v/>
      </c>
      <c r="E953" s="88"/>
      <c r="F953" s="83"/>
    </row>
    <row r="954" spans="1:6">
      <c r="A954" s="10" t="str">
        <f t="shared" si="42"/>
        <v/>
      </c>
      <c r="B954" s="85"/>
      <c r="C954" s="28" t="str">
        <f t="shared" si="43"/>
        <v/>
      </c>
      <c r="D954" s="28" t="str">
        <f t="shared" si="44"/>
        <v/>
      </c>
      <c r="E954" s="88"/>
      <c r="F954" s="83"/>
    </row>
    <row r="955" spans="1:6">
      <c r="A955" s="10" t="str">
        <f t="shared" si="42"/>
        <v/>
      </c>
      <c r="B955" s="85"/>
      <c r="C955" s="28" t="str">
        <f t="shared" si="43"/>
        <v/>
      </c>
      <c r="D955" s="28" t="str">
        <f t="shared" si="44"/>
        <v/>
      </c>
      <c r="E955" s="88"/>
      <c r="F955" s="83"/>
    </row>
    <row r="956" spans="1:6">
      <c r="A956" s="10" t="str">
        <f t="shared" si="42"/>
        <v/>
      </c>
      <c r="B956" s="85"/>
      <c r="C956" s="28" t="str">
        <f t="shared" si="43"/>
        <v/>
      </c>
      <c r="D956" s="28" t="str">
        <f t="shared" si="44"/>
        <v/>
      </c>
      <c r="E956" s="88"/>
      <c r="F956" s="83"/>
    </row>
    <row r="957" spans="1:6">
      <c r="A957" s="10" t="str">
        <f t="shared" si="42"/>
        <v/>
      </c>
      <c r="B957" s="85"/>
      <c r="C957" s="28" t="str">
        <f t="shared" si="43"/>
        <v/>
      </c>
      <c r="D957" s="28" t="str">
        <f t="shared" si="44"/>
        <v/>
      </c>
      <c r="E957" s="88"/>
      <c r="F957" s="83"/>
    </row>
    <row r="958" spans="1:6">
      <c r="A958" s="10" t="str">
        <f t="shared" si="42"/>
        <v/>
      </c>
      <c r="B958" s="85"/>
      <c r="C958" s="28" t="str">
        <f t="shared" si="43"/>
        <v/>
      </c>
      <c r="D958" s="28" t="str">
        <f t="shared" si="44"/>
        <v/>
      </c>
      <c r="E958" s="88"/>
      <c r="F958" s="83"/>
    </row>
    <row r="959" spans="1:6">
      <c r="A959" s="10" t="str">
        <f t="shared" si="42"/>
        <v/>
      </c>
      <c r="B959" s="85"/>
      <c r="C959" s="28" t="str">
        <f t="shared" si="43"/>
        <v/>
      </c>
      <c r="D959" s="28" t="str">
        <f t="shared" si="44"/>
        <v/>
      </c>
      <c r="E959" s="88"/>
      <c r="F959" s="83"/>
    </row>
    <row r="960" spans="1:6">
      <c r="A960" s="10" t="str">
        <f t="shared" si="42"/>
        <v/>
      </c>
      <c r="B960" s="85"/>
      <c r="C960" s="28" t="str">
        <f t="shared" si="43"/>
        <v/>
      </c>
      <c r="D960" s="28" t="str">
        <f t="shared" si="44"/>
        <v/>
      </c>
      <c r="E960" s="88"/>
      <c r="F960" s="83"/>
    </row>
    <row r="961" spans="1:6">
      <c r="A961" s="10" t="str">
        <f t="shared" si="42"/>
        <v/>
      </c>
      <c r="B961" s="85"/>
      <c r="C961" s="28" t="str">
        <f t="shared" si="43"/>
        <v/>
      </c>
      <c r="D961" s="28" t="str">
        <f t="shared" si="44"/>
        <v/>
      </c>
      <c r="E961" s="88"/>
      <c r="F961" s="83"/>
    </row>
    <row r="962" spans="1:6">
      <c r="A962" s="10" t="str">
        <f t="shared" si="42"/>
        <v/>
      </c>
      <c r="B962" s="85"/>
      <c r="C962" s="28" t="str">
        <f t="shared" si="43"/>
        <v/>
      </c>
      <c r="D962" s="28" t="str">
        <f t="shared" si="44"/>
        <v/>
      </c>
      <c r="E962" s="88"/>
      <c r="F962" s="83"/>
    </row>
    <row r="963" spans="1:6">
      <c r="A963" s="10" t="str">
        <f t="shared" ref="A963:A1026" si="45">IF(E963&gt;0,A962+1,"")</f>
        <v/>
      </c>
      <c r="B963" s="85"/>
      <c r="C963" s="28" t="str">
        <f t="shared" ref="C963:C1026" si="46">IF(B963=0,"",TEXT(B963,"mmmm"))</f>
        <v/>
      </c>
      <c r="D963" s="28" t="str">
        <f t="shared" ref="D963:D1026" si="47">IF(B963=0,"",TEXT(B963,"yyyy"))</f>
        <v/>
      </c>
      <c r="E963" s="88"/>
      <c r="F963" s="83"/>
    </row>
    <row r="964" spans="1:6">
      <c r="A964" s="10" t="str">
        <f t="shared" si="45"/>
        <v/>
      </c>
      <c r="B964" s="85"/>
      <c r="C964" s="28" t="str">
        <f t="shared" si="46"/>
        <v/>
      </c>
      <c r="D964" s="28" t="str">
        <f t="shared" si="47"/>
        <v/>
      </c>
      <c r="E964" s="88"/>
      <c r="F964" s="83"/>
    </row>
    <row r="965" spans="1:6">
      <c r="A965" s="10" t="str">
        <f t="shared" si="45"/>
        <v/>
      </c>
      <c r="B965" s="85"/>
      <c r="C965" s="28" t="str">
        <f t="shared" si="46"/>
        <v/>
      </c>
      <c r="D965" s="28" t="str">
        <f t="shared" si="47"/>
        <v/>
      </c>
      <c r="E965" s="88"/>
      <c r="F965" s="83"/>
    </row>
    <row r="966" spans="1:6">
      <c r="A966" s="10" t="str">
        <f t="shared" si="45"/>
        <v/>
      </c>
      <c r="B966" s="85"/>
      <c r="C966" s="28" t="str">
        <f t="shared" si="46"/>
        <v/>
      </c>
      <c r="D966" s="28" t="str">
        <f t="shared" si="47"/>
        <v/>
      </c>
      <c r="E966" s="88"/>
      <c r="F966" s="83"/>
    </row>
    <row r="967" spans="1:6">
      <c r="A967" s="10" t="str">
        <f t="shared" si="45"/>
        <v/>
      </c>
      <c r="B967" s="85"/>
      <c r="C967" s="28" t="str">
        <f t="shared" si="46"/>
        <v/>
      </c>
      <c r="D967" s="28" t="str">
        <f t="shared" si="47"/>
        <v/>
      </c>
      <c r="E967" s="88"/>
      <c r="F967" s="83"/>
    </row>
    <row r="968" spans="1:6">
      <c r="A968" s="10" t="str">
        <f t="shared" si="45"/>
        <v/>
      </c>
      <c r="B968" s="85"/>
      <c r="C968" s="28" t="str">
        <f t="shared" si="46"/>
        <v/>
      </c>
      <c r="D968" s="28" t="str">
        <f t="shared" si="47"/>
        <v/>
      </c>
      <c r="E968" s="88"/>
      <c r="F968" s="83"/>
    </row>
    <row r="969" spans="1:6">
      <c r="A969" s="10" t="str">
        <f t="shared" si="45"/>
        <v/>
      </c>
      <c r="B969" s="85"/>
      <c r="C969" s="28" t="str">
        <f t="shared" si="46"/>
        <v/>
      </c>
      <c r="D969" s="28" t="str">
        <f t="shared" si="47"/>
        <v/>
      </c>
      <c r="E969" s="88"/>
      <c r="F969" s="83"/>
    </row>
    <row r="970" spans="1:6">
      <c r="A970" s="10" t="str">
        <f t="shared" si="45"/>
        <v/>
      </c>
      <c r="B970" s="85"/>
      <c r="C970" s="28" t="str">
        <f t="shared" si="46"/>
        <v/>
      </c>
      <c r="D970" s="28" t="str">
        <f t="shared" si="47"/>
        <v/>
      </c>
      <c r="E970" s="88"/>
      <c r="F970" s="83"/>
    </row>
    <row r="971" spans="1:6">
      <c r="A971" s="10" t="str">
        <f t="shared" si="45"/>
        <v/>
      </c>
      <c r="B971" s="85"/>
      <c r="C971" s="28" t="str">
        <f t="shared" si="46"/>
        <v/>
      </c>
      <c r="D971" s="28" t="str">
        <f t="shared" si="47"/>
        <v/>
      </c>
      <c r="E971" s="88"/>
      <c r="F971" s="83"/>
    </row>
    <row r="972" spans="1:6">
      <c r="A972" s="10" t="str">
        <f t="shared" si="45"/>
        <v/>
      </c>
      <c r="B972" s="85"/>
      <c r="C972" s="28" t="str">
        <f t="shared" si="46"/>
        <v/>
      </c>
      <c r="D972" s="28" t="str">
        <f t="shared" si="47"/>
        <v/>
      </c>
      <c r="E972" s="88"/>
      <c r="F972" s="83"/>
    </row>
    <row r="973" spans="1:6">
      <c r="A973" s="10" t="str">
        <f t="shared" si="45"/>
        <v/>
      </c>
      <c r="B973" s="85"/>
      <c r="C973" s="28" t="str">
        <f t="shared" si="46"/>
        <v/>
      </c>
      <c r="D973" s="28" t="str">
        <f t="shared" si="47"/>
        <v/>
      </c>
      <c r="E973" s="88"/>
      <c r="F973" s="83"/>
    </row>
    <row r="974" spans="1:6">
      <c r="A974" s="10" t="str">
        <f t="shared" si="45"/>
        <v/>
      </c>
      <c r="B974" s="85"/>
      <c r="C974" s="28" t="str">
        <f t="shared" si="46"/>
        <v/>
      </c>
      <c r="D974" s="28" t="str">
        <f t="shared" si="47"/>
        <v/>
      </c>
      <c r="E974" s="88"/>
      <c r="F974" s="83"/>
    </row>
    <row r="975" spans="1:6">
      <c r="A975" s="10" t="str">
        <f t="shared" si="45"/>
        <v/>
      </c>
      <c r="B975" s="85"/>
      <c r="C975" s="28" t="str">
        <f t="shared" si="46"/>
        <v/>
      </c>
      <c r="D975" s="28" t="str">
        <f t="shared" si="47"/>
        <v/>
      </c>
      <c r="E975" s="88"/>
      <c r="F975" s="83"/>
    </row>
    <row r="976" spans="1:6">
      <c r="A976" s="10" t="str">
        <f t="shared" si="45"/>
        <v/>
      </c>
      <c r="B976" s="85"/>
      <c r="C976" s="28" t="str">
        <f t="shared" si="46"/>
        <v/>
      </c>
      <c r="D976" s="28" t="str">
        <f t="shared" si="47"/>
        <v/>
      </c>
      <c r="E976" s="88"/>
      <c r="F976" s="83"/>
    </row>
    <row r="977" spans="1:6">
      <c r="A977" s="10" t="str">
        <f t="shared" si="45"/>
        <v/>
      </c>
      <c r="B977" s="85"/>
      <c r="C977" s="28" t="str">
        <f t="shared" si="46"/>
        <v/>
      </c>
      <c r="D977" s="28" t="str">
        <f t="shared" si="47"/>
        <v/>
      </c>
      <c r="E977" s="88"/>
      <c r="F977" s="83"/>
    </row>
    <row r="978" spans="1:6">
      <c r="A978" s="10" t="str">
        <f t="shared" si="45"/>
        <v/>
      </c>
      <c r="B978" s="85"/>
      <c r="C978" s="28" t="str">
        <f t="shared" si="46"/>
        <v/>
      </c>
      <c r="D978" s="28" t="str">
        <f t="shared" si="47"/>
        <v/>
      </c>
      <c r="E978" s="88"/>
      <c r="F978" s="83"/>
    </row>
    <row r="979" spans="1:6">
      <c r="A979" s="10" t="str">
        <f t="shared" si="45"/>
        <v/>
      </c>
      <c r="B979" s="85"/>
      <c r="C979" s="28" t="str">
        <f t="shared" si="46"/>
        <v/>
      </c>
      <c r="D979" s="28" t="str">
        <f t="shared" si="47"/>
        <v/>
      </c>
      <c r="E979" s="88"/>
      <c r="F979" s="83"/>
    </row>
    <row r="980" spans="1:6">
      <c r="A980" s="10" t="str">
        <f t="shared" si="45"/>
        <v/>
      </c>
      <c r="B980" s="85"/>
      <c r="C980" s="28" t="str">
        <f t="shared" si="46"/>
        <v/>
      </c>
      <c r="D980" s="28" t="str">
        <f t="shared" si="47"/>
        <v/>
      </c>
      <c r="E980" s="88"/>
      <c r="F980" s="83"/>
    </row>
    <row r="981" spans="1:6">
      <c r="A981" s="10" t="str">
        <f t="shared" si="45"/>
        <v/>
      </c>
      <c r="B981" s="85"/>
      <c r="C981" s="28" t="str">
        <f t="shared" si="46"/>
        <v/>
      </c>
      <c r="D981" s="28" t="str">
        <f t="shared" si="47"/>
        <v/>
      </c>
      <c r="E981" s="88"/>
      <c r="F981" s="83"/>
    </row>
    <row r="982" spans="1:6">
      <c r="A982" s="10" t="str">
        <f t="shared" si="45"/>
        <v/>
      </c>
      <c r="B982" s="85"/>
      <c r="C982" s="28" t="str">
        <f t="shared" si="46"/>
        <v/>
      </c>
      <c r="D982" s="28" t="str">
        <f t="shared" si="47"/>
        <v/>
      </c>
      <c r="E982" s="88"/>
      <c r="F982" s="83"/>
    </row>
    <row r="983" spans="1:6">
      <c r="A983" s="10" t="str">
        <f t="shared" si="45"/>
        <v/>
      </c>
      <c r="B983" s="85"/>
      <c r="C983" s="28" t="str">
        <f t="shared" si="46"/>
        <v/>
      </c>
      <c r="D983" s="28" t="str">
        <f t="shared" si="47"/>
        <v/>
      </c>
      <c r="E983" s="88"/>
      <c r="F983" s="83"/>
    </row>
    <row r="984" spans="1:6">
      <c r="A984" s="10" t="str">
        <f t="shared" si="45"/>
        <v/>
      </c>
      <c r="B984" s="85"/>
      <c r="C984" s="28" t="str">
        <f t="shared" si="46"/>
        <v/>
      </c>
      <c r="D984" s="28" t="str">
        <f t="shared" si="47"/>
        <v/>
      </c>
      <c r="E984" s="88"/>
      <c r="F984" s="83"/>
    </row>
    <row r="985" spans="1:6">
      <c r="A985" s="10" t="str">
        <f t="shared" si="45"/>
        <v/>
      </c>
      <c r="B985" s="85"/>
      <c r="C985" s="28" t="str">
        <f t="shared" si="46"/>
        <v/>
      </c>
      <c r="D985" s="28" t="str">
        <f t="shared" si="47"/>
        <v/>
      </c>
      <c r="E985" s="88"/>
      <c r="F985" s="83"/>
    </row>
    <row r="986" spans="1:6">
      <c r="A986" s="10" t="str">
        <f t="shared" si="45"/>
        <v/>
      </c>
      <c r="B986" s="85"/>
      <c r="C986" s="28" t="str">
        <f t="shared" si="46"/>
        <v/>
      </c>
      <c r="D986" s="28" t="str">
        <f t="shared" si="47"/>
        <v/>
      </c>
      <c r="E986" s="88"/>
      <c r="F986" s="83"/>
    </row>
    <row r="987" spans="1:6">
      <c r="A987" s="10" t="str">
        <f t="shared" si="45"/>
        <v/>
      </c>
      <c r="B987" s="85"/>
      <c r="C987" s="28" t="str">
        <f t="shared" si="46"/>
        <v/>
      </c>
      <c r="D987" s="28" t="str">
        <f t="shared" si="47"/>
        <v/>
      </c>
      <c r="E987" s="88"/>
      <c r="F987" s="83"/>
    </row>
    <row r="988" spans="1:6">
      <c r="A988" s="10" t="str">
        <f t="shared" si="45"/>
        <v/>
      </c>
      <c r="B988" s="85"/>
      <c r="C988" s="28" t="str">
        <f t="shared" si="46"/>
        <v/>
      </c>
      <c r="D988" s="28" t="str">
        <f t="shared" si="47"/>
        <v/>
      </c>
      <c r="E988" s="88"/>
      <c r="F988" s="83"/>
    </row>
    <row r="989" spans="1:6">
      <c r="A989" s="10" t="str">
        <f t="shared" si="45"/>
        <v/>
      </c>
      <c r="B989" s="85"/>
      <c r="C989" s="28" t="str">
        <f t="shared" si="46"/>
        <v/>
      </c>
      <c r="D989" s="28" t="str">
        <f t="shared" si="47"/>
        <v/>
      </c>
      <c r="E989" s="88"/>
      <c r="F989" s="83"/>
    </row>
    <row r="990" spans="1:6">
      <c r="A990" s="10" t="str">
        <f t="shared" si="45"/>
        <v/>
      </c>
      <c r="B990" s="85"/>
      <c r="C990" s="28" t="str">
        <f t="shared" si="46"/>
        <v/>
      </c>
      <c r="D990" s="28" t="str">
        <f t="shared" si="47"/>
        <v/>
      </c>
      <c r="E990" s="88"/>
      <c r="F990" s="83"/>
    </row>
    <row r="991" spans="1:6">
      <c r="A991" s="10" t="str">
        <f t="shared" si="45"/>
        <v/>
      </c>
      <c r="B991" s="85"/>
      <c r="C991" s="28" t="str">
        <f t="shared" si="46"/>
        <v/>
      </c>
      <c r="D991" s="28" t="str">
        <f t="shared" si="47"/>
        <v/>
      </c>
      <c r="E991" s="88"/>
      <c r="F991" s="83"/>
    </row>
    <row r="992" spans="1:6">
      <c r="A992" s="10" t="str">
        <f t="shared" si="45"/>
        <v/>
      </c>
      <c r="B992" s="85"/>
      <c r="C992" s="28" t="str">
        <f t="shared" si="46"/>
        <v/>
      </c>
      <c r="D992" s="28" t="str">
        <f t="shared" si="47"/>
        <v/>
      </c>
      <c r="E992" s="88"/>
      <c r="F992" s="83"/>
    </row>
    <row r="993" spans="1:6">
      <c r="A993" s="10" t="str">
        <f t="shared" si="45"/>
        <v/>
      </c>
      <c r="B993" s="85"/>
      <c r="C993" s="28" t="str">
        <f t="shared" si="46"/>
        <v/>
      </c>
      <c r="D993" s="28" t="str">
        <f t="shared" si="47"/>
        <v/>
      </c>
      <c r="E993" s="88"/>
      <c r="F993" s="83"/>
    </row>
    <row r="994" spans="1:6">
      <c r="A994" s="10" t="str">
        <f t="shared" si="45"/>
        <v/>
      </c>
      <c r="B994" s="85"/>
      <c r="C994" s="28" t="str">
        <f t="shared" si="46"/>
        <v/>
      </c>
      <c r="D994" s="28" t="str">
        <f t="shared" si="47"/>
        <v/>
      </c>
      <c r="E994" s="88"/>
      <c r="F994" s="83"/>
    </row>
    <row r="995" spans="1:6">
      <c r="A995" s="10" t="str">
        <f t="shared" si="45"/>
        <v/>
      </c>
      <c r="B995" s="85"/>
      <c r="C995" s="28" t="str">
        <f t="shared" si="46"/>
        <v/>
      </c>
      <c r="D995" s="28" t="str">
        <f t="shared" si="47"/>
        <v/>
      </c>
      <c r="E995" s="88"/>
      <c r="F995" s="83"/>
    </row>
    <row r="996" spans="1:6">
      <c r="A996" s="10" t="str">
        <f t="shared" si="45"/>
        <v/>
      </c>
      <c r="B996" s="85"/>
      <c r="C996" s="28" t="str">
        <f t="shared" si="46"/>
        <v/>
      </c>
      <c r="D996" s="28" t="str">
        <f t="shared" si="47"/>
        <v/>
      </c>
      <c r="E996" s="88"/>
      <c r="F996" s="83"/>
    </row>
    <row r="997" spans="1:6">
      <c r="A997" s="10" t="str">
        <f t="shared" si="45"/>
        <v/>
      </c>
      <c r="B997" s="85"/>
      <c r="C997" s="28" t="str">
        <f t="shared" si="46"/>
        <v/>
      </c>
      <c r="D997" s="28" t="str">
        <f t="shared" si="47"/>
        <v/>
      </c>
      <c r="E997" s="88"/>
      <c r="F997" s="83"/>
    </row>
    <row r="998" spans="1:6">
      <c r="A998" s="10" t="str">
        <f t="shared" si="45"/>
        <v/>
      </c>
      <c r="B998" s="85"/>
      <c r="C998" s="28" t="str">
        <f t="shared" si="46"/>
        <v/>
      </c>
      <c r="D998" s="28" t="str">
        <f t="shared" si="47"/>
        <v/>
      </c>
      <c r="E998" s="88"/>
      <c r="F998" s="83"/>
    </row>
    <row r="999" spans="1:6">
      <c r="A999" s="10" t="str">
        <f t="shared" si="45"/>
        <v/>
      </c>
      <c r="B999" s="85"/>
      <c r="C999" s="28" t="str">
        <f t="shared" si="46"/>
        <v/>
      </c>
      <c r="D999" s="28" t="str">
        <f t="shared" si="47"/>
        <v/>
      </c>
      <c r="E999" s="88"/>
      <c r="F999" s="83"/>
    </row>
    <row r="1000" spans="1:6">
      <c r="A1000" s="10" t="str">
        <f t="shared" si="45"/>
        <v/>
      </c>
      <c r="B1000" s="85"/>
      <c r="C1000" s="28" t="str">
        <f t="shared" si="46"/>
        <v/>
      </c>
      <c r="D1000" s="28" t="str">
        <f t="shared" si="47"/>
        <v/>
      </c>
      <c r="E1000" s="88"/>
      <c r="F1000" s="83"/>
    </row>
    <row r="1001" spans="1:6">
      <c r="A1001" s="10" t="str">
        <f t="shared" si="45"/>
        <v/>
      </c>
      <c r="B1001" s="85"/>
      <c r="C1001" s="28" t="str">
        <f t="shared" si="46"/>
        <v/>
      </c>
      <c r="D1001" s="28" t="str">
        <f t="shared" si="47"/>
        <v/>
      </c>
      <c r="E1001" s="88"/>
      <c r="F1001" s="83"/>
    </row>
    <row r="1002" spans="1:6">
      <c r="A1002" s="10" t="str">
        <f t="shared" si="45"/>
        <v/>
      </c>
      <c r="B1002" s="85"/>
      <c r="C1002" s="28" t="str">
        <f t="shared" si="46"/>
        <v/>
      </c>
      <c r="D1002" s="28" t="str">
        <f t="shared" si="47"/>
        <v/>
      </c>
      <c r="E1002" s="88"/>
      <c r="F1002" s="83"/>
    </row>
    <row r="1003" spans="1:6">
      <c r="A1003" s="10" t="str">
        <f t="shared" si="45"/>
        <v/>
      </c>
      <c r="B1003" s="85"/>
      <c r="C1003" s="28" t="str">
        <f t="shared" si="46"/>
        <v/>
      </c>
      <c r="D1003" s="28" t="str">
        <f t="shared" si="47"/>
        <v/>
      </c>
      <c r="E1003" s="88"/>
      <c r="F1003" s="83"/>
    </row>
    <row r="1004" spans="1:6">
      <c r="A1004" s="10" t="str">
        <f t="shared" si="45"/>
        <v/>
      </c>
      <c r="B1004" s="85"/>
      <c r="C1004" s="28" t="str">
        <f t="shared" si="46"/>
        <v/>
      </c>
      <c r="D1004" s="28" t="str">
        <f t="shared" si="47"/>
        <v/>
      </c>
      <c r="E1004" s="88"/>
      <c r="F1004" s="83"/>
    </row>
    <row r="1005" spans="1:6">
      <c r="A1005" s="10" t="str">
        <f t="shared" si="45"/>
        <v/>
      </c>
      <c r="B1005" s="85"/>
      <c r="C1005" s="28" t="str">
        <f t="shared" si="46"/>
        <v/>
      </c>
      <c r="D1005" s="28" t="str">
        <f t="shared" si="47"/>
        <v/>
      </c>
      <c r="E1005" s="88"/>
      <c r="F1005" s="83"/>
    </row>
    <row r="1006" spans="1:6">
      <c r="A1006" s="10" t="str">
        <f t="shared" si="45"/>
        <v/>
      </c>
      <c r="B1006" s="85"/>
      <c r="C1006" s="28" t="str">
        <f t="shared" si="46"/>
        <v/>
      </c>
      <c r="D1006" s="28" t="str">
        <f t="shared" si="47"/>
        <v/>
      </c>
      <c r="E1006" s="88"/>
      <c r="F1006" s="83"/>
    </row>
    <row r="1007" spans="1:6">
      <c r="A1007" s="10" t="str">
        <f t="shared" si="45"/>
        <v/>
      </c>
      <c r="B1007" s="85"/>
      <c r="C1007" s="28" t="str">
        <f t="shared" si="46"/>
        <v/>
      </c>
      <c r="D1007" s="28" t="str">
        <f t="shared" si="47"/>
        <v/>
      </c>
      <c r="E1007" s="88"/>
      <c r="F1007" s="83"/>
    </row>
    <row r="1008" spans="1:6">
      <c r="A1008" s="10" t="str">
        <f t="shared" si="45"/>
        <v/>
      </c>
      <c r="B1008" s="85"/>
      <c r="C1008" s="28" t="str">
        <f t="shared" si="46"/>
        <v/>
      </c>
      <c r="D1008" s="28" t="str">
        <f t="shared" si="47"/>
        <v/>
      </c>
      <c r="E1008" s="88"/>
      <c r="F1008" s="83"/>
    </row>
    <row r="1009" spans="1:6">
      <c r="A1009" s="10" t="str">
        <f t="shared" si="45"/>
        <v/>
      </c>
      <c r="B1009" s="85"/>
      <c r="C1009" s="28" t="str">
        <f t="shared" si="46"/>
        <v/>
      </c>
      <c r="D1009" s="28" t="str">
        <f t="shared" si="47"/>
        <v/>
      </c>
      <c r="E1009" s="88"/>
      <c r="F1009" s="83"/>
    </row>
    <row r="1010" spans="1:6">
      <c r="A1010" s="10" t="str">
        <f t="shared" si="45"/>
        <v/>
      </c>
      <c r="B1010" s="85"/>
      <c r="C1010" s="28" t="str">
        <f t="shared" si="46"/>
        <v/>
      </c>
      <c r="D1010" s="28" t="str">
        <f t="shared" si="47"/>
        <v/>
      </c>
      <c r="E1010" s="88"/>
      <c r="F1010" s="83"/>
    </row>
    <row r="1011" spans="1:6">
      <c r="A1011" s="10" t="str">
        <f t="shared" si="45"/>
        <v/>
      </c>
      <c r="B1011" s="85"/>
      <c r="C1011" s="28" t="str">
        <f t="shared" si="46"/>
        <v/>
      </c>
      <c r="D1011" s="28" t="str">
        <f t="shared" si="47"/>
        <v/>
      </c>
      <c r="E1011" s="88"/>
      <c r="F1011" s="83"/>
    </row>
    <row r="1012" spans="1:6">
      <c r="A1012" s="10" t="str">
        <f t="shared" si="45"/>
        <v/>
      </c>
      <c r="B1012" s="85"/>
      <c r="C1012" s="28" t="str">
        <f t="shared" si="46"/>
        <v/>
      </c>
      <c r="D1012" s="28" t="str">
        <f t="shared" si="47"/>
        <v/>
      </c>
      <c r="E1012" s="88"/>
      <c r="F1012" s="83"/>
    </row>
    <row r="1013" spans="1:6">
      <c r="A1013" s="10" t="str">
        <f t="shared" si="45"/>
        <v/>
      </c>
      <c r="B1013" s="85"/>
      <c r="C1013" s="28" t="str">
        <f t="shared" si="46"/>
        <v/>
      </c>
      <c r="D1013" s="28" t="str">
        <f t="shared" si="47"/>
        <v/>
      </c>
      <c r="E1013" s="88"/>
      <c r="F1013" s="83"/>
    </row>
    <row r="1014" spans="1:6">
      <c r="A1014" s="10" t="str">
        <f t="shared" si="45"/>
        <v/>
      </c>
      <c r="B1014" s="85"/>
      <c r="C1014" s="28" t="str">
        <f t="shared" si="46"/>
        <v/>
      </c>
      <c r="D1014" s="28" t="str">
        <f t="shared" si="47"/>
        <v/>
      </c>
      <c r="E1014" s="88"/>
      <c r="F1014" s="83"/>
    </row>
    <row r="1015" spans="1:6">
      <c r="A1015" s="10" t="str">
        <f t="shared" si="45"/>
        <v/>
      </c>
      <c r="B1015" s="85"/>
      <c r="C1015" s="28" t="str">
        <f t="shared" si="46"/>
        <v/>
      </c>
      <c r="D1015" s="28" t="str">
        <f t="shared" si="47"/>
        <v/>
      </c>
      <c r="E1015" s="88"/>
      <c r="F1015" s="83"/>
    </row>
    <row r="1016" spans="1:6">
      <c r="A1016" s="10" t="str">
        <f t="shared" si="45"/>
        <v/>
      </c>
      <c r="B1016" s="85"/>
      <c r="C1016" s="28" t="str">
        <f t="shared" si="46"/>
        <v/>
      </c>
      <c r="D1016" s="28" t="str">
        <f t="shared" si="47"/>
        <v/>
      </c>
      <c r="E1016" s="88"/>
      <c r="F1016" s="83"/>
    </row>
    <row r="1017" spans="1:6">
      <c r="A1017" s="10" t="str">
        <f t="shared" si="45"/>
        <v/>
      </c>
      <c r="B1017" s="85"/>
      <c r="C1017" s="28" t="str">
        <f t="shared" si="46"/>
        <v/>
      </c>
      <c r="D1017" s="28" t="str">
        <f t="shared" si="47"/>
        <v/>
      </c>
      <c r="E1017" s="88"/>
      <c r="F1017" s="83"/>
    </row>
    <row r="1018" spans="1:6">
      <c r="A1018" s="10" t="str">
        <f t="shared" si="45"/>
        <v/>
      </c>
      <c r="B1018" s="85"/>
      <c r="C1018" s="28" t="str">
        <f t="shared" si="46"/>
        <v/>
      </c>
      <c r="D1018" s="28" t="str">
        <f t="shared" si="47"/>
        <v/>
      </c>
      <c r="E1018" s="88"/>
      <c r="F1018" s="83"/>
    </row>
    <row r="1019" spans="1:6">
      <c r="A1019" s="10" t="str">
        <f t="shared" si="45"/>
        <v/>
      </c>
      <c r="B1019" s="85"/>
      <c r="C1019" s="28" t="str">
        <f t="shared" si="46"/>
        <v/>
      </c>
      <c r="D1019" s="28" t="str">
        <f t="shared" si="47"/>
        <v/>
      </c>
      <c r="E1019" s="88"/>
      <c r="F1019" s="83"/>
    </row>
    <row r="1020" spans="1:6">
      <c r="A1020" s="10" t="str">
        <f t="shared" si="45"/>
        <v/>
      </c>
      <c r="B1020" s="85"/>
      <c r="C1020" s="28" t="str">
        <f t="shared" si="46"/>
        <v/>
      </c>
      <c r="D1020" s="28" t="str">
        <f t="shared" si="47"/>
        <v/>
      </c>
      <c r="E1020" s="88"/>
      <c r="F1020" s="83"/>
    </row>
    <row r="1021" spans="1:6">
      <c r="A1021" s="10" t="str">
        <f t="shared" si="45"/>
        <v/>
      </c>
      <c r="B1021" s="85"/>
      <c r="C1021" s="28" t="str">
        <f t="shared" si="46"/>
        <v/>
      </c>
      <c r="D1021" s="28" t="str">
        <f t="shared" si="47"/>
        <v/>
      </c>
      <c r="E1021" s="88"/>
      <c r="F1021" s="83"/>
    </row>
    <row r="1022" spans="1:6">
      <c r="A1022" s="10" t="str">
        <f t="shared" si="45"/>
        <v/>
      </c>
      <c r="B1022" s="85"/>
      <c r="C1022" s="28" t="str">
        <f t="shared" si="46"/>
        <v/>
      </c>
      <c r="D1022" s="28" t="str">
        <f t="shared" si="47"/>
        <v/>
      </c>
      <c r="E1022" s="88"/>
      <c r="F1022" s="83"/>
    </row>
    <row r="1023" spans="1:6">
      <c r="A1023" s="10" t="str">
        <f t="shared" si="45"/>
        <v/>
      </c>
      <c r="B1023" s="85"/>
      <c r="C1023" s="28" t="str">
        <f t="shared" si="46"/>
        <v/>
      </c>
      <c r="D1023" s="28" t="str">
        <f t="shared" si="47"/>
        <v/>
      </c>
      <c r="E1023" s="88"/>
      <c r="F1023" s="83"/>
    </row>
    <row r="1024" spans="1:6">
      <c r="A1024" s="10" t="str">
        <f t="shared" si="45"/>
        <v/>
      </c>
      <c r="B1024" s="85"/>
      <c r="C1024" s="28" t="str">
        <f t="shared" si="46"/>
        <v/>
      </c>
      <c r="D1024" s="28" t="str">
        <f t="shared" si="47"/>
        <v/>
      </c>
      <c r="E1024" s="88"/>
      <c r="F1024" s="83"/>
    </row>
    <row r="1025" spans="1:6">
      <c r="A1025" s="10" t="str">
        <f t="shared" si="45"/>
        <v/>
      </c>
      <c r="B1025" s="85"/>
      <c r="C1025" s="28" t="str">
        <f t="shared" si="46"/>
        <v/>
      </c>
      <c r="D1025" s="28" t="str">
        <f t="shared" si="47"/>
        <v/>
      </c>
      <c r="E1025" s="88"/>
      <c r="F1025" s="83"/>
    </row>
    <row r="1026" spans="1:6">
      <c r="A1026" s="10" t="str">
        <f t="shared" si="45"/>
        <v/>
      </c>
      <c r="B1026" s="85"/>
      <c r="C1026" s="28" t="str">
        <f t="shared" si="46"/>
        <v/>
      </c>
      <c r="D1026" s="28" t="str">
        <f t="shared" si="47"/>
        <v/>
      </c>
      <c r="E1026" s="88"/>
      <c r="F1026" s="83"/>
    </row>
    <row r="1027" spans="1:6">
      <c r="A1027" s="10" t="str">
        <f t="shared" ref="A1027:A1090" si="48">IF(E1027&gt;0,A1026+1,"")</f>
        <v/>
      </c>
      <c r="B1027" s="85"/>
      <c r="C1027" s="28" t="str">
        <f t="shared" ref="C1027:C1090" si="49">IF(B1027=0,"",TEXT(B1027,"mmmm"))</f>
        <v/>
      </c>
      <c r="D1027" s="28" t="str">
        <f t="shared" ref="D1027:D1090" si="50">IF(B1027=0,"",TEXT(B1027,"yyyy"))</f>
        <v/>
      </c>
      <c r="E1027" s="88"/>
      <c r="F1027" s="83"/>
    </row>
    <row r="1028" spans="1:6">
      <c r="A1028" s="10" t="str">
        <f t="shared" si="48"/>
        <v/>
      </c>
      <c r="B1028" s="85"/>
      <c r="C1028" s="28" t="str">
        <f t="shared" si="49"/>
        <v/>
      </c>
      <c r="D1028" s="28" t="str">
        <f t="shared" si="50"/>
        <v/>
      </c>
      <c r="E1028" s="88"/>
      <c r="F1028" s="83"/>
    </row>
    <row r="1029" spans="1:6">
      <c r="A1029" s="10" t="str">
        <f t="shared" si="48"/>
        <v/>
      </c>
      <c r="B1029" s="85"/>
      <c r="C1029" s="28" t="str">
        <f t="shared" si="49"/>
        <v/>
      </c>
      <c r="D1029" s="28" t="str">
        <f t="shared" si="50"/>
        <v/>
      </c>
      <c r="E1029" s="88"/>
      <c r="F1029" s="83"/>
    </row>
    <row r="1030" spans="1:6">
      <c r="A1030" s="10" t="str">
        <f t="shared" si="48"/>
        <v/>
      </c>
      <c r="B1030" s="85"/>
      <c r="C1030" s="28" t="str">
        <f t="shared" si="49"/>
        <v/>
      </c>
      <c r="D1030" s="28" t="str">
        <f t="shared" si="50"/>
        <v/>
      </c>
      <c r="E1030" s="88"/>
      <c r="F1030" s="83"/>
    </row>
    <row r="1031" spans="1:6">
      <c r="A1031" s="10" t="str">
        <f t="shared" si="48"/>
        <v/>
      </c>
      <c r="B1031" s="85"/>
      <c r="C1031" s="28" t="str">
        <f t="shared" si="49"/>
        <v/>
      </c>
      <c r="D1031" s="28" t="str">
        <f t="shared" si="50"/>
        <v/>
      </c>
      <c r="E1031" s="88"/>
      <c r="F1031" s="83"/>
    </row>
    <row r="1032" spans="1:6">
      <c r="A1032" s="10" t="str">
        <f t="shared" si="48"/>
        <v/>
      </c>
      <c r="B1032" s="85"/>
      <c r="C1032" s="28" t="str">
        <f t="shared" si="49"/>
        <v/>
      </c>
      <c r="D1032" s="28" t="str">
        <f t="shared" si="50"/>
        <v/>
      </c>
      <c r="E1032" s="88"/>
      <c r="F1032" s="83"/>
    </row>
    <row r="1033" spans="1:6">
      <c r="A1033" s="10" t="str">
        <f t="shared" si="48"/>
        <v/>
      </c>
      <c r="B1033" s="85"/>
      <c r="C1033" s="28" t="str">
        <f t="shared" si="49"/>
        <v/>
      </c>
      <c r="D1033" s="28" t="str">
        <f t="shared" si="50"/>
        <v/>
      </c>
      <c r="E1033" s="88"/>
      <c r="F1033" s="83"/>
    </row>
    <row r="1034" spans="1:6">
      <c r="A1034" s="10" t="str">
        <f t="shared" si="48"/>
        <v/>
      </c>
      <c r="B1034" s="85"/>
      <c r="C1034" s="28" t="str">
        <f t="shared" si="49"/>
        <v/>
      </c>
      <c r="D1034" s="28" t="str">
        <f t="shared" si="50"/>
        <v/>
      </c>
      <c r="E1034" s="88"/>
      <c r="F1034" s="83"/>
    </row>
    <row r="1035" spans="1:6">
      <c r="A1035" s="10" t="str">
        <f t="shared" si="48"/>
        <v/>
      </c>
      <c r="B1035" s="85"/>
      <c r="C1035" s="28" t="str">
        <f t="shared" si="49"/>
        <v/>
      </c>
      <c r="D1035" s="28" t="str">
        <f t="shared" si="50"/>
        <v/>
      </c>
      <c r="E1035" s="88"/>
      <c r="F1035" s="83"/>
    </row>
    <row r="1036" spans="1:6">
      <c r="A1036" s="10" t="str">
        <f t="shared" si="48"/>
        <v/>
      </c>
      <c r="B1036" s="85"/>
      <c r="C1036" s="28" t="str">
        <f t="shared" si="49"/>
        <v/>
      </c>
      <c r="D1036" s="28" t="str">
        <f t="shared" si="50"/>
        <v/>
      </c>
      <c r="E1036" s="88"/>
      <c r="F1036" s="83"/>
    </row>
    <row r="1037" spans="1:6">
      <c r="A1037" s="10" t="str">
        <f t="shared" si="48"/>
        <v/>
      </c>
      <c r="B1037" s="85"/>
      <c r="C1037" s="28" t="str">
        <f t="shared" si="49"/>
        <v/>
      </c>
      <c r="D1037" s="28" t="str">
        <f t="shared" si="50"/>
        <v/>
      </c>
      <c r="E1037" s="88"/>
      <c r="F1037" s="83"/>
    </row>
    <row r="1038" spans="1:6">
      <c r="A1038" s="10" t="str">
        <f t="shared" si="48"/>
        <v/>
      </c>
      <c r="B1038" s="85"/>
      <c r="C1038" s="28" t="str">
        <f t="shared" si="49"/>
        <v/>
      </c>
      <c r="D1038" s="28" t="str">
        <f t="shared" si="50"/>
        <v/>
      </c>
      <c r="E1038" s="88"/>
      <c r="F1038" s="83"/>
    </row>
    <row r="1039" spans="1:6">
      <c r="A1039" s="10" t="str">
        <f t="shared" si="48"/>
        <v/>
      </c>
      <c r="B1039" s="85"/>
      <c r="C1039" s="28" t="str">
        <f t="shared" si="49"/>
        <v/>
      </c>
      <c r="D1039" s="28" t="str">
        <f t="shared" si="50"/>
        <v/>
      </c>
      <c r="E1039" s="88"/>
      <c r="F1039" s="83"/>
    </row>
    <row r="1040" spans="1:6">
      <c r="A1040" s="10" t="str">
        <f t="shared" si="48"/>
        <v/>
      </c>
      <c r="B1040" s="85"/>
      <c r="C1040" s="28" t="str">
        <f t="shared" si="49"/>
        <v/>
      </c>
      <c r="D1040" s="28" t="str">
        <f t="shared" si="50"/>
        <v/>
      </c>
      <c r="E1040" s="88"/>
      <c r="F1040" s="83"/>
    </row>
    <row r="1041" spans="1:6">
      <c r="A1041" s="10" t="str">
        <f t="shared" si="48"/>
        <v/>
      </c>
      <c r="B1041" s="85"/>
      <c r="C1041" s="28" t="str">
        <f t="shared" si="49"/>
        <v/>
      </c>
      <c r="D1041" s="28" t="str">
        <f t="shared" si="50"/>
        <v/>
      </c>
      <c r="E1041" s="88"/>
      <c r="F1041" s="83"/>
    </row>
    <row r="1042" spans="1:6">
      <c r="A1042" s="10" t="str">
        <f t="shared" si="48"/>
        <v/>
      </c>
      <c r="B1042" s="85"/>
      <c r="C1042" s="28" t="str">
        <f t="shared" si="49"/>
        <v/>
      </c>
      <c r="D1042" s="28" t="str">
        <f t="shared" si="50"/>
        <v/>
      </c>
      <c r="E1042" s="88"/>
      <c r="F1042" s="83"/>
    </row>
    <row r="1043" spans="1:6">
      <c r="A1043" s="10" t="str">
        <f t="shared" si="48"/>
        <v/>
      </c>
      <c r="B1043" s="85"/>
      <c r="C1043" s="28" t="str">
        <f t="shared" si="49"/>
        <v/>
      </c>
      <c r="D1043" s="28" t="str">
        <f t="shared" si="50"/>
        <v/>
      </c>
      <c r="E1043" s="88"/>
      <c r="F1043" s="83"/>
    </row>
    <row r="1044" spans="1:6">
      <c r="A1044" s="10" t="str">
        <f t="shared" si="48"/>
        <v/>
      </c>
      <c r="B1044" s="85"/>
      <c r="C1044" s="28" t="str">
        <f t="shared" si="49"/>
        <v/>
      </c>
      <c r="D1044" s="28" t="str">
        <f t="shared" si="50"/>
        <v/>
      </c>
      <c r="E1044" s="88"/>
      <c r="F1044" s="83"/>
    </row>
    <row r="1045" spans="1:6">
      <c r="A1045" s="10" t="str">
        <f t="shared" si="48"/>
        <v/>
      </c>
      <c r="B1045" s="85"/>
      <c r="C1045" s="28" t="str">
        <f t="shared" si="49"/>
        <v/>
      </c>
      <c r="D1045" s="28" t="str">
        <f t="shared" si="50"/>
        <v/>
      </c>
      <c r="E1045" s="88"/>
      <c r="F1045" s="83"/>
    </row>
    <row r="1046" spans="1:6">
      <c r="A1046" s="10" t="str">
        <f t="shared" si="48"/>
        <v/>
      </c>
      <c r="B1046" s="85"/>
      <c r="C1046" s="28" t="str">
        <f t="shared" si="49"/>
        <v/>
      </c>
      <c r="D1046" s="28" t="str">
        <f t="shared" si="50"/>
        <v/>
      </c>
      <c r="E1046" s="88"/>
      <c r="F1046" s="83"/>
    </row>
    <row r="1047" spans="1:6">
      <c r="A1047" s="10" t="str">
        <f t="shared" si="48"/>
        <v/>
      </c>
      <c r="B1047" s="85"/>
      <c r="C1047" s="28" t="str">
        <f t="shared" si="49"/>
        <v/>
      </c>
      <c r="D1047" s="28" t="str">
        <f t="shared" si="50"/>
        <v/>
      </c>
      <c r="E1047" s="88"/>
      <c r="F1047" s="83"/>
    </row>
    <row r="1048" spans="1:6">
      <c r="A1048" s="10" t="str">
        <f t="shared" si="48"/>
        <v/>
      </c>
      <c r="B1048" s="85"/>
      <c r="C1048" s="28" t="str">
        <f t="shared" si="49"/>
        <v/>
      </c>
      <c r="D1048" s="28" t="str">
        <f t="shared" si="50"/>
        <v/>
      </c>
      <c r="E1048" s="88"/>
      <c r="F1048" s="83"/>
    </row>
    <row r="1049" spans="1:6">
      <c r="A1049" s="10" t="str">
        <f t="shared" si="48"/>
        <v/>
      </c>
      <c r="B1049" s="85"/>
      <c r="C1049" s="28" t="str">
        <f t="shared" si="49"/>
        <v/>
      </c>
      <c r="D1049" s="28" t="str">
        <f t="shared" si="50"/>
        <v/>
      </c>
      <c r="E1049" s="88"/>
      <c r="F1049" s="83"/>
    </row>
    <row r="1050" spans="1:6">
      <c r="A1050" s="10" t="str">
        <f t="shared" si="48"/>
        <v/>
      </c>
      <c r="B1050" s="85"/>
      <c r="C1050" s="28" t="str">
        <f t="shared" si="49"/>
        <v/>
      </c>
      <c r="D1050" s="28" t="str">
        <f t="shared" si="50"/>
        <v/>
      </c>
      <c r="E1050" s="88"/>
      <c r="F1050" s="83"/>
    </row>
    <row r="1051" spans="1:6">
      <c r="A1051" s="10" t="str">
        <f t="shared" si="48"/>
        <v/>
      </c>
      <c r="B1051" s="85"/>
      <c r="C1051" s="28" t="str">
        <f t="shared" si="49"/>
        <v/>
      </c>
      <c r="D1051" s="28" t="str">
        <f t="shared" si="50"/>
        <v/>
      </c>
      <c r="E1051" s="88"/>
      <c r="F1051" s="83"/>
    </row>
    <row r="1052" spans="1:6">
      <c r="A1052" s="10" t="str">
        <f t="shared" si="48"/>
        <v/>
      </c>
      <c r="B1052" s="85"/>
      <c r="C1052" s="28" t="str">
        <f t="shared" si="49"/>
        <v/>
      </c>
      <c r="D1052" s="28" t="str">
        <f t="shared" si="50"/>
        <v/>
      </c>
      <c r="E1052" s="88"/>
      <c r="F1052" s="83"/>
    </row>
    <row r="1053" spans="1:6">
      <c r="A1053" s="10" t="str">
        <f t="shared" si="48"/>
        <v/>
      </c>
      <c r="B1053" s="85"/>
      <c r="C1053" s="28" t="str">
        <f t="shared" si="49"/>
        <v/>
      </c>
      <c r="D1053" s="28" t="str">
        <f t="shared" si="50"/>
        <v/>
      </c>
      <c r="E1053" s="88"/>
      <c r="F1053" s="83"/>
    </row>
    <row r="1054" spans="1:6">
      <c r="A1054" s="10" t="str">
        <f t="shared" si="48"/>
        <v/>
      </c>
      <c r="B1054" s="85"/>
      <c r="C1054" s="28" t="str">
        <f t="shared" si="49"/>
        <v/>
      </c>
      <c r="D1054" s="28" t="str">
        <f t="shared" si="50"/>
        <v/>
      </c>
      <c r="E1054" s="88"/>
      <c r="F1054" s="83"/>
    </row>
    <row r="1055" spans="1:6">
      <c r="A1055" s="10" t="str">
        <f t="shared" si="48"/>
        <v/>
      </c>
      <c r="B1055" s="85"/>
      <c r="C1055" s="28" t="str">
        <f t="shared" si="49"/>
        <v/>
      </c>
      <c r="D1055" s="28" t="str">
        <f t="shared" si="50"/>
        <v/>
      </c>
      <c r="E1055" s="88"/>
      <c r="F1055" s="83"/>
    </row>
    <row r="1056" spans="1:6">
      <c r="A1056" s="10" t="str">
        <f t="shared" si="48"/>
        <v/>
      </c>
      <c r="B1056" s="85"/>
      <c r="C1056" s="28" t="str">
        <f t="shared" si="49"/>
        <v/>
      </c>
      <c r="D1056" s="28" t="str">
        <f t="shared" si="50"/>
        <v/>
      </c>
      <c r="E1056" s="88"/>
      <c r="F1056" s="83"/>
    </row>
    <row r="1057" spans="1:6">
      <c r="A1057" s="10" t="str">
        <f t="shared" si="48"/>
        <v/>
      </c>
      <c r="B1057" s="85"/>
      <c r="C1057" s="28" t="str">
        <f t="shared" si="49"/>
        <v/>
      </c>
      <c r="D1057" s="28" t="str">
        <f t="shared" si="50"/>
        <v/>
      </c>
      <c r="E1057" s="88"/>
      <c r="F1057" s="83"/>
    </row>
    <row r="1058" spans="1:6">
      <c r="A1058" s="10" t="str">
        <f t="shared" si="48"/>
        <v/>
      </c>
      <c r="B1058" s="85"/>
      <c r="C1058" s="28" t="str">
        <f t="shared" si="49"/>
        <v/>
      </c>
      <c r="D1058" s="28" t="str">
        <f t="shared" si="50"/>
        <v/>
      </c>
      <c r="E1058" s="88"/>
      <c r="F1058" s="83"/>
    </row>
    <row r="1059" spans="1:6">
      <c r="A1059" s="10" t="str">
        <f t="shared" si="48"/>
        <v/>
      </c>
      <c r="B1059" s="85"/>
      <c r="C1059" s="28" t="str">
        <f t="shared" si="49"/>
        <v/>
      </c>
      <c r="D1059" s="28" t="str">
        <f t="shared" si="50"/>
        <v/>
      </c>
      <c r="E1059" s="88"/>
      <c r="F1059" s="83"/>
    </row>
    <row r="1060" spans="1:6">
      <c r="A1060" s="10" t="str">
        <f t="shared" si="48"/>
        <v/>
      </c>
      <c r="B1060" s="85"/>
      <c r="C1060" s="28" t="str">
        <f t="shared" si="49"/>
        <v/>
      </c>
      <c r="D1060" s="28" t="str">
        <f t="shared" si="50"/>
        <v/>
      </c>
      <c r="E1060" s="88"/>
      <c r="F1060" s="83"/>
    </row>
    <row r="1061" spans="1:6">
      <c r="A1061" s="10" t="str">
        <f t="shared" si="48"/>
        <v/>
      </c>
      <c r="B1061" s="85"/>
      <c r="C1061" s="28" t="str">
        <f t="shared" si="49"/>
        <v/>
      </c>
      <c r="D1061" s="28" t="str">
        <f t="shared" si="50"/>
        <v/>
      </c>
      <c r="E1061" s="88"/>
      <c r="F1061" s="83"/>
    </row>
    <row r="1062" spans="1:6">
      <c r="A1062" s="10" t="str">
        <f t="shared" si="48"/>
        <v/>
      </c>
      <c r="B1062" s="85"/>
      <c r="C1062" s="28" t="str">
        <f t="shared" si="49"/>
        <v/>
      </c>
      <c r="D1062" s="28" t="str">
        <f t="shared" si="50"/>
        <v/>
      </c>
      <c r="E1062" s="88"/>
      <c r="F1062" s="83"/>
    </row>
    <row r="1063" spans="1:6">
      <c r="A1063" s="10" t="str">
        <f t="shared" si="48"/>
        <v/>
      </c>
      <c r="B1063" s="85"/>
      <c r="C1063" s="28" t="str">
        <f t="shared" si="49"/>
        <v/>
      </c>
      <c r="D1063" s="28" t="str">
        <f t="shared" si="50"/>
        <v/>
      </c>
      <c r="E1063" s="88"/>
      <c r="F1063" s="83"/>
    </row>
    <row r="1064" spans="1:6">
      <c r="A1064" s="10" t="str">
        <f t="shared" si="48"/>
        <v/>
      </c>
      <c r="B1064" s="85"/>
      <c r="C1064" s="28" t="str">
        <f t="shared" si="49"/>
        <v/>
      </c>
      <c r="D1064" s="28" t="str">
        <f t="shared" si="50"/>
        <v/>
      </c>
      <c r="E1064" s="88"/>
      <c r="F1064" s="83"/>
    </row>
    <row r="1065" spans="1:6">
      <c r="A1065" s="10" t="str">
        <f t="shared" si="48"/>
        <v/>
      </c>
      <c r="B1065" s="85"/>
      <c r="C1065" s="28" t="str">
        <f t="shared" si="49"/>
        <v/>
      </c>
      <c r="D1065" s="28" t="str">
        <f t="shared" si="50"/>
        <v/>
      </c>
      <c r="E1065" s="88"/>
      <c r="F1065" s="83"/>
    </row>
    <row r="1066" spans="1:6">
      <c r="A1066" s="10" t="str">
        <f t="shared" si="48"/>
        <v/>
      </c>
      <c r="B1066" s="85"/>
      <c r="C1066" s="28" t="str">
        <f t="shared" si="49"/>
        <v/>
      </c>
      <c r="D1066" s="28" t="str">
        <f t="shared" si="50"/>
        <v/>
      </c>
      <c r="E1066" s="88"/>
      <c r="F1066" s="83"/>
    </row>
    <row r="1067" spans="1:6">
      <c r="A1067" s="10" t="str">
        <f t="shared" si="48"/>
        <v/>
      </c>
      <c r="B1067" s="85"/>
      <c r="C1067" s="28" t="str">
        <f t="shared" si="49"/>
        <v/>
      </c>
      <c r="D1067" s="28" t="str">
        <f t="shared" si="50"/>
        <v/>
      </c>
      <c r="E1067" s="88"/>
      <c r="F1067" s="83"/>
    </row>
    <row r="1068" spans="1:6">
      <c r="A1068" s="10" t="str">
        <f t="shared" si="48"/>
        <v/>
      </c>
      <c r="B1068" s="85"/>
      <c r="C1068" s="28" t="str">
        <f t="shared" si="49"/>
        <v/>
      </c>
      <c r="D1068" s="28" t="str">
        <f t="shared" si="50"/>
        <v/>
      </c>
      <c r="E1068" s="88"/>
      <c r="F1068" s="83"/>
    </row>
    <row r="1069" spans="1:6">
      <c r="A1069" s="10" t="str">
        <f t="shared" si="48"/>
        <v/>
      </c>
      <c r="B1069" s="85"/>
      <c r="C1069" s="28" t="str">
        <f t="shared" si="49"/>
        <v/>
      </c>
      <c r="D1069" s="28" t="str">
        <f t="shared" si="50"/>
        <v/>
      </c>
      <c r="E1069" s="88"/>
      <c r="F1069" s="83"/>
    </row>
    <row r="1070" spans="1:6">
      <c r="A1070" s="10" t="str">
        <f t="shared" si="48"/>
        <v/>
      </c>
      <c r="B1070" s="85"/>
      <c r="C1070" s="28" t="str">
        <f t="shared" si="49"/>
        <v/>
      </c>
      <c r="D1070" s="28" t="str">
        <f t="shared" si="50"/>
        <v/>
      </c>
      <c r="E1070" s="88"/>
      <c r="F1070" s="83"/>
    </row>
    <row r="1071" spans="1:6">
      <c r="A1071" s="10" t="str">
        <f t="shared" si="48"/>
        <v/>
      </c>
      <c r="B1071" s="85"/>
      <c r="C1071" s="28" t="str">
        <f t="shared" si="49"/>
        <v/>
      </c>
      <c r="D1071" s="28" t="str">
        <f t="shared" si="50"/>
        <v/>
      </c>
      <c r="E1071" s="88"/>
      <c r="F1071" s="83"/>
    </row>
    <row r="1072" spans="1:6">
      <c r="A1072" s="10" t="str">
        <f t="shared" si="48"/>
        <v/>
      </c>
      <c r="B1072" s="85"/>
      <c r="C1072" s="28" t="str">
        <f t="shared" si="49"/>
        <v/>
      </c>
      <c r="D1072" s="28" t="str">
        <f t="shared" si="50"/>
        <v/>
      </c>
      <c r="E1072" s="88"/>
      <c r="F1072" s="83"/>
    </row>
    <row r="1073" spans="1:6">
      <c r="A1073" s="10" t="str">
        <f t="shared" si="48"/>
        <v/>
      </c>
      <c r="B1073" s="85"/>
      <c r="C1073" s="28" t="str">
        <f t="shared" si="49"/>
        <v/>
      </c>
      <c r="D1073" s="28" t="str">
        <f t="shared" si="50"/>
        <v/>
      </c>
      <c r="E1073" s="88"/>
      <c r="F1073" s="83"/>
    </row>
    <row r="1074" spans="1:6">
      <c r="A1074" s="10" t="str">
        <f t="shared" si="48"/>
        <v/>
      </c>
      <c r="B1074" s="85"/>
      <c r="C1074" s="28" t="str">
        <f t="shared" si="49"/>
        <v/>
      </c>
      <c r="D1074" s="28" t="str">
        <f t="shared" si="50"/>
        <v/>
      </c>
      <c r="E1074" s="88"/>
      <c r="F1074" s="83"/>
    </row>
    <row r="1075" spans="1:6">
      <c r="A1075" s="10" t="str">
        <f t="shared" si="48"/>
        <v/>
      </c>
      <c r="B1075" s="85"/>
      <c r="C1075" s="28" t="str">
        <f t="shared" si="49"/>
        <v/>
      </c>
      <c r="D1075" s="28" t="str">
        <f t="shared" si="50"/>
        <v/>
      </c>
      <c r="E1075" s="88"/>
      <c r="F1075" s="83"/>
    </row>
    <row r="1076" spans="1:6">
      <c r="A1076" s="10" t="str">
        <f t="shared" si="48"/>
        <v/>
      </c>
      <c r="B1076" s="85"/>
      <c r="C1076" s="28" t="str">
        <f t="shared" si="49"/>
        <v/>
      </c>
      <c r="D1076" s="28" t="str">
        <f t="shared" si="50"/>
        <v/>
      </c>
      <c r="E1076" s="88"/>
      <c r="F1076" s="83"/>
    </row>
    <row r="1077" spans="1:6">
      <c r="A1077" s="10" t="str">
        <f t="shared" si="48"/>
        <v/>
      </c>
      <c r="B1077" s="85"/>
      <c r="C1077" s="28" t="str">
        <f t="shared" si="49"/>
        <v/>
      </c>
      <c r="D1077" s="28" t="str">
        <f t="shared" si="50"/>
        <v/>
      </c>
      <c r="E1077" s="88"/>
      <c r="F1077" s="83"/>
    </row>
    <row r="1078" spans="1:6">
      <c r="A1078" s="10" t="str">
        <f t="shared" si="48"/>
        <v/>
      </c>
      <c r="B1078" s="85"/>
      <c r="C1078" s="28" t="str">
        <f t="shared" si="49"/>
        <v/>
      </c>
      <c r="D1078" s="28" t="str">
        <f t="shared" si="50"/>
        <v/>
      </c>
      <c r="E1078" s="88"/>
      <c r="F1078" s="83"/>
    </row>
    <row r="1079" spans="1:6">
      <c r="A1079" s="10" t="str">
        <f t="shared" si="48"/>
        <v/>
      </c>
      <c r="B1079" s="85"/>
      <c r="C1079" s="28" t="str">
        <f t="shared" si="49"/>
        <v/>
      </c>
      <c r="D1079" s="28" t="str">
        <f t="shared" si="50"/>
        <v/>
      </c>
      <c r="E1079" s="88"/>
      <c r="F1079" s="83"/>
    </row>
    <row r="1080" spans="1:6">
      <c r="A1080" s="10" t="str">
        <f t="shared" si="48"/>
        <v/>
      </c>
      <c r="B1080" s="85"/>
      <c r="C1080" s="28" t="str">
        <f t="shared" si="49"/>
        <v/>
      </c>
      <c r="D1080" s="28" t="str">
        <f t="shared" si="50"/>
        <v/>
      </c>
      <c r="E1080" s="88"/>
      <c r="F1080" s="83"/>
    </row>
    <row r="1081" spans="1:6">
      <c r="A1081" s="10" t="str">
        <f t="shared" si="48"/>
        <v/>
      </c>
      <c r="B1081" s="85"/>
      <c r="C1081" s="28" t="str">
        <f t="shared" si="49"/>
        <v/>
      </c>
      <c r="D1081" s="28" t="str">
        <f t="shared" si="50"/>
        <v/>
      </c>
      <c r="E1081" s="88"/>
      <c r="F1081" s="83"/>
    </row>
    <row r="1082" spans="1:6">
      <c r="A1082" s="10" t="str">
        <f t="shared" si="48"/>
        <v/>
      </c>
      <c r="B1082" s="85"/>
      <c r="C1082" s="28" t="str">
        <f t="shared" si="49"/>
        <v/>
      </c>
      <c r="D1082" s="28" t="str">
        <f t="shared" si="50"/>
        <v/>
      </c>
      <c r="E1082" s="88"/>
      <c r="F1082" s="83"/>
    </row>
    <row r="1083" spans="1:6">
      <c r="A1083" s="10" t="str">
        <f t="shared" si="48"/>
        <v/>
      </c>
      <c r="B1083" s="85"/>
      <c r="C1083" s="28" t="str">
        <f t="shared" si="49"/>
        <v/>
      </c>
      <c r="D1083" s="28" t="str">
        <f t="shared" si="50"/>
        <v/>
      </c>
      <c r="E1083" s="88"/>
      <c r="F1083" s="83"/>
    </row>
    <row r="1084" spans="1:6">
      <c r="A1084" s="10" t="str">
        <f t="shared" si="48"/>
        <v/>
      </c>
      <c r="B1084" s="85"/>
      <c r="C1084" s="28" t="str">
        <f t="shared" si="49"/>
        <v/>
      </c>
      <c r="D1084" s="28" t="str">
        <f t="shared" si="50"/>
        <v/>
      </c>
      <c r="E1084" s="88"/>
      <c r="F1084" s="83"/>
    </row>
    <row r="1085" spans="1:6">
      <c r="A1085" s="10" t="str">
        <f t="shared" si="48"/>
        <v/>
      </c>
      <c r="B1085" s="85"/>
      <c r="C1085" s="28" t="str">
        <f t="shared" si="49"/>
        <v/>
      </c>
      <c r="D1085" s="28" t="str">
        <f t="shared" si="50"/>
        <v/>
      </c>
      <c r="E1085" s="88"/>
      <c r="F1085" s="83"/>
    </row>
    <row r="1086" spans="1:6">
      <c r="A1086" s="10" t="str">
        <f t="shared" si="48"/>
        <v/>
      </c>
      <c r="B1086" s="85"/>
      <c r="C1086" s="28" t="str">
        <f t="shared" si="49"/>
        <v/>
      </c>
      <c r="D1086" s="28" t="str">
        <f t="shared" si="50"/>
        <v/>
      </c>
      <c r="E1086" s="88"/>
      <c r="F1086" s="83"/>
    </row>
    <row r="1087" spans="1:6">
      <c r="A1087" s="10" t="str">
        <f t="shared" si="48"/>
        <v/>
      </c>
      <c r="B1087" s="85"/>
      <c r="C1087" s="28" t="str">
        <f t="shared" si="49"/>
        <v/>
      </c>
      <c r="D1087" s="28" t="str">
        <f t="shared" si="50"/>
        <v/>
      </c>
      <c r="E1087" s="88"/>
      <c r="F1087" s="83"/>
    </row>
    <row r="1088" spans="1:6">
      <c r="A1088" s="10" t="str">
        <f t="shared" si="48"/>
        <v/>
      </c>
      <c r="B1088" s="85"/>
      <c r="C1088" s="28" t="str">
        <f t="shared" si="49"/>
        <v/>
      </c>
      <c r="D1088" s="28" t="str">
        <f t="shared" si="50"/>
        <v/>
      </c>
      <c r="E1088" s="88"/>
      <c r="F1088" s="83"/>
    </row>
    <row r="1089" spans="1:6">
      <c r="A1089" s="10" t="str">
        <f t="shared" si="48"/>
        <v/>
      </c>
      <c r="B1089" s="85"/>
      <c r="C1089" s="28" t="str">
        <f t="shared" si="49"/>
        <v/>
      </c>
      <c r="D1089" s="28" t="str">
        <f t="shared" si="50"/>
        <v/>
      </c>
      <c r="E1089" s="88"/>
      <c r="F1089" s="83"/>
    </row>
    <row r="1090" spans="1:6">
      <c r="A1090" s="10" t="str">
        <f t="shared" si="48"/>
        <v/>
      </c>
      <c r="B1090" s="85"/>
      <c r="C1090" s="28" t="str">
        <f t="shared" si="49"/>
        <v/>
      </c>
      <c r="D1090" s="28" t="str">
        <f t="shared" si="50"/>
        <v/>
      </c>
      <c r="E1090" s="88"/>
      <c r="F1090" s="83"/>
    </row>
    <row r="1091" spans="1:6">
      <c r="A1091" s="10" t="str">
        <f t="shared" ref="A1091:A1154" si="51">IF(E1091&gt;0,A1090+1,"")</f>
        <v/>
      </c>
      <c r="B1091" s="85"/>
      <c r="C1091" s="28" t="str">
        <f t="shared" ref="C1091:C1154" si="52">IF(B1091=0,"",TEXT(B1091,"mmmm"))</f>
        <v/>
      </c>
      <c r="D1091" s="28" t="str">
        <f t="shared" ref="D1091:D1154" si="53">IF(B1091=0,"",TEXT(B1091,"yyyy"))</f>
        <v/>
      </c>
      <c r="E1091" s="88"/>
      <c r="F1091" s="83"/>
    </row>
    <row r="1092" spans="1:6">
      <c r="A1092" s="10" t="str">
        <f t="shared" si="51"/>
        <v/>
      </c>
      <c r="B1092" s="85"/>
      <c r="C1092" s="28" t="str">
        <f t="shared" si="52"/>
        <v/>
      </c>
      <c r="D1092" s="28" t="str">
        <f t="shared" si="53"/>
        <v/>
      </c>
      <c r="E1092" s="88"/>
      <c r="F1092" s="83"/>
    </row>
    <row r="1093" spans="1:6">
      <c r="A1093" s="10" t="str">
        <f t="shared" si="51"/>
        <v/>
      </c>
      <c r="B1093" s="85"/>
      <c r="C1093" s="28" t="str">
        <f t="shared" si="52"/>
        <v/>
      </c>
      <c r="D1093" s="28" t="str">
        <f t="shared" si="53"/>
        <v/>
      </c>
      <c r="E1093" s="88"/>
      <c r="F1093" s="83"/>
    </row>
    <row r="1094" spans="1:6">
      <c r="A1094" s="10" t="str">
        <f t="shared" si="51"/>
        <v/>
      </c>
      <c r="B1094" s="85"/>
      <c r="C1094" s="28" t="str">
        <f t="shared" si="52"/>
        <v/>
      </c>
      <c r="D1094" s="28" t="str">
        <f t="shared" si="53"/>
        <v/>
      </c>
      <c r="E1094" s="88"/>
      <c r="F1094" s="83"/>
    </row>
    <row r="1095" spans="1:6">
      <c r="A1095" s="10" t="str">
        <f t="shared" si="51"/>
        <v/>
      </c>
      <c r="B1095" s="85"/>
      <c r="C1095" s="28" t="str">
        <f t="shared" si="52"/>
        <v/>
      </c>
      <c r="D1095" s="28" t="str">
        <f t="shared" si="53"/>
        <v/>
      </c>
      <c r="E1095" s="88"/>
      <c r="F1095" s="83"/>
    </row>
    <row r="1096" spans="1:6">
      <c r="A1096" s="10" t="str">
        <f t="shared" si="51"/>
        <v/>
      </c>
      <c r="B1096" s="85"/>
      <c r="C1096" s="28" t="str">
        <f t="shared" si="52"/>
        <v/>
      </c>
      <c r="D1096" s="28" t="str">
        <f t="shared" si="53"/>
        <v/>
      </c>
      <c r="E1096" s="88"/>
      <c r="F1096" s="83"/>
    </row>
    <row r="1097" spans="1:6">
      <c r="A1097" s="10" t="str">
        <f t="shared" si="51"/>
        <v/>
      </c>
      <c r="B1097" s="85"/>
      <c r="C1097" s="28" t="str">
        <f t="shared" si="52"/>
        <v/>
      </c>
      <c r="D1097" s="28" t="str">
        <f t="shared" si="53"/>
        <v/>
      </c>
      <c r="E1097" s="88"/>
      <c r="F1097" s="83"/>
    </row>
    <row r="1098" spans="1:6">
      <c r="A1098" s="10" t="str">
        <f t="shared" si="51"/>
        <v/>
      </c>
      <c r="B1098" s="85"/>
      <c r="C1098" s="28" t="str">
        <f t="shared" si="52"/>
        <v/>
      </c>
      <c r="D1098" s="28" t="str">
        <f t="shared" si="53"/>
        <v/>
      </c>
      <c r="E1098" s="88"/>
      <c r="F1098" s="83"/>
    </row>
    <row r="1099" spans="1:6">
      <c r="A1099" s="10" t="str">
        <f t="shared" si="51"/>
        <v/>
      </c>
      <c r="B1099" s="85"/>
      <c r="C1099" s="28" t="str">
        <f t="shared" si="52"/>
        <v/>
      </c>
      <c r="D1099" s="28" t="str">
        <f t="shared" si="53"/>
        <v/>
      </c>
      <c r="E1099" s="88"/>
      <c r="F1099" s="83"/>
    </row>
    <row r="1100" spans="1:6">
      <c r="A1100" s="10" t="str">
        <f t="shared" si="51"/>
        <v/>
      </c>
      <c r="B1100" s="85"/>
      <c r="C1100" s="28" t="str">
        <f t="shared" si="52"/>
        <v/>
      </c>
      <c r="D1100" s="28" t="str">
        <f t="shared" si="53"/>
        <v/>
      </c>
      <c r="E1100" s="88"/>
      <c r="F1100" s="83"/>
    </row>
    <row r="1101" spans="1:6">
      <c r="A1101" s="10" t="str">
        <f t="shared" si="51"/>
        <v/>
      </c>
      <c r="B1101" s="85"/>
      <c r="C1101" s="28" t="str">
        <f t="shared" si="52"/>
        <v/>
      </c>
      <c r="D1101" s="28" t="str">
        <f t="shared" si="53"/>
        <v/>
      </c>
      <c r="E1101" s="88"/>
      <c r="F1101" s="83"/>
    </row>
    <row r="1102" spans="1:6">
      <c r="A1102" s="10" t="str">
        <f t="shared" si="51"/>
        <v/>
      </c>
      <c r="B1102" s="85"/>
      <c r="C1102" s="28" t="str">
        <f t="shared" si="52"/>
        <v/>
      </c>
      <c r="D1102" s="28" t="str">
        <f t="shared" si="53"/>
        <v/>
      </c>
      <c r="E1102" s="88"/>
      <c r="F1102" s="83"/>
    </row>
    <row r="1103" spans="1:6">
      <c r="A1103" s="10" t="str">
        <f t="shared" si="51"/>
        <v/>
      </c>
      <c r="B1103" s="85"/>
      <c r="C1103" s="28" t="str">
        <f t="shared" si="52"/>
        <v/>
      </c>
      <c r="D1103" s="28" t="str">
        <f t="shared" si="53"/>
        <v/>
      </c>
      <c r="E1103" s="88"/>
      <c r="F1103" s="83"/>
    </row>
    <row r="1104" spans="1:6">
      <c r="A1104" s="10" t="str">
        <f t="shared" si="51"/>
        <v/>
      </c>
      <c r="B1104" s="85"/>
      <c r="C1104" s="28" t="str">
        <f t="shared" si="52"/>
        <v/>
      </c>
      <c r="D1104" s="28" t="str">
        <f t="shared" si="53"/>
        <v/>
      </c>
      <c r="E1104" s="88"/>
      <c r="F1104" s="83"/>
    </row>
    <row r="1105" spans="1:6">
      <c r="A1105" s="10" t="str">
        <f t="shared" si="51"/>
        <v/>
      </c>
      <c r="B1105" s="85"/>
      <c r="C1105" s="28" t="str">
        <f t="shared" si="52"/>
        <v/>
      </c>
      <c r="D1105" s="28" t="str">
        <f t="shared" si="53"/>
        <v/>
      </c>
      <c r="E1105" s="88"/>
      <c r="F1105" s="83"/>
    </row>
    <row r="1106" spans="1:6">
      <c r="A1106" s="10" t="str">
        <f t="shared" si="51"/>
        <v/>
      </c>
      <c r="B1106" s="85"/>
      <c r="C1106" s="28" t="str">
        <f t="shared" si="52"/>
        <v/>
      </c>
      <c r="D1106" s="28" t="str">
        <f t="shared" si="53"/>
        <v/>
      </c>
      <c r="E1106" s="88"/>
      <c r="F1106" s="83"/>
    </row>
    <row r="1107" spans="1:6">
      <c r="A1107" s="10" t="str">
        <f t="shared" si="51"/>
        <v/>
      </c>
      <c r="B1107" s="85"/>
      <c r="C1107" s="28" t="str">
        <f t="shared" si="52"/>
        <v/>
      </c>
      <c r="D1107" s="28" t="str">
        <f t="shared" si="53"/>
        <v/>
      </c>
      <c r="E1107" s="88"/>
      <c r="F1107" s="83"/>
    </row>
    <row r="1108" spans="1:6">
      <c r="A1108" s="10" t="str">
        <f t="shared" si="51"/>
        <v/>
      </c>
      <c r="B1108" s="85"/>
      <c r="C1108" s="28" t="str">
        <f t="shared" si="52"/>
        <v/>
      </c>
      <c r="D1108" s="28" t="str">
        <f t="shared" si="53"/>
        <v/>
      </c>
      <c r="E1108" s="88"/>
      <c r="F1108" s="83"/>
    </row>
    <row r="1109" spans="1:6">
      <c r="A1109" s="10" t="str">
        <f t="shared" si="51"/>
        <v/>
      </c>
      <c r="B1109" s="85"/>
      <c r="C1109" s="28" t="str">
        <f t="shared" si="52"/>
        <v/>
      </c>
      <c r="D1109" s="28" t="str">
        <f t="shared" si="53"/>
        <v/>
      </c>
      <c r="E1109" s="88"/>
      <c r="F1109" s="83"/>
    </row>
    <row r="1110" spans="1:6">
      <c r="A1110" s="10" t="str">
        <f t="shared" si="51"/>
        <v/>
      </c>
      <c r="B1110" s="85"/>
      <c r="C1110" s="28" t="str">
        <f t="shared" si="52"/>
        <v/>
      </c>
      <c r="D1110" s="28" t="str">
        <f t="shared" si="53"/>
        <v/>
      </c>
      <c r="E1110" s="88"/>
      <c r="F1110" s="83"/>
    </row>
    <row r="1111" spans="1:6">
      <c r="A1111" s="10" t="str">
        <f t="shared" si="51"/>
        <v/>
      </c>
      <c r="B1111" s="85"/>
      <c r="C1111" s="28" t="str">
        <f t="shared" si="52"/>
        <v/>
      </c>
      <c r="D1111" s="28" t="str">
        <f t="shared" si="53"/>
        <v/>
      </c>
      <c r="E1111" s="88"/>
      <c r="F1111" s="83"/>
    </row>
    <row r="1112" spans="1:6">
      <c r="A1112" s="10" t="str">
        <f t="shared" si="51"/>
        <v/>
      </c>
      <c r="B1112" s="85"/>
      <c r="C1112" s="28" t="str">
        <f t="shared" si="52"/>
        <v/>
      </c>
      <c r="D1112" s="28" t="str">
        <f t="shared" si="53"/>
        <v/>
      </c>
      <c r="E1112" s="88"/>
      <c r="F1112" s="83"/>
    </row>
    <row r="1113" spans="1:6">
      <c r="A1113" s="10" t="str">
        <f t="shared" si="51"/>
        <v/>
      </c>
      <c r="B1113" s="85"/>
      <c r="C1113" s="28" t="str">
        <f t="shared" si="52"/>
        <v/>
      </c>
      <c r="D1113" s="28" t="str">
        <f t="shared" si="53"/>
        <v/>
      </c>
      <c r="E1113" s="88"/>
      <c r="F1113" s="83"/>
    </row>
    <row r="1114" spans="1:6">
      <c r="A1114" s="10" t="str">
        <f t="shared" si="51"/>
        <v/>
      </c>
      <c r="B1114" s="85"/>
      <c r="C1114" s="28" t="str">
        <f t="shared" si="52"/>
        <v/>
      </c>
      <c r="D1114" s="28" t="str">
        <f t="shared" si="53"/>
        <v/>
      </c>
      <c r="E1114" s="88"/>
      <c r="F1114" s="83"/>
    </row>
    <row r="1115" spans="1:6">
      <c r="A1115" s="10" t="str">
        <f t="shared" si="51"/>
        <v/>
      </c>
      <c r="B1115" s="85"/>
      <c r="C1115" s="28" t="str">
        <f t="shared" si="52"/>
        <v/>
      </c>
      <c r="D1115" s="28" t="str">
        <f t="shared" si="53"/>
        <v/>
      </c>
      <c r="E1115" s="88"/>
      <c r="F1115" s="83"/>
    </row>
    <row r="1116" spans="1:6">
      <c r="A1116" s="10" t="str">
        <f t="shared" si="51"/>
        <v/>
      </c>
      <c r="B1116" s="85"/>
      <c r="C1116" s="28" t="str">
        <f t="shared" si="52"/>
        <v/>
      </c>
      <c r="D1116" s="28" t="str">
        <f t="shared" si="53"/>
        <v/>
      </c>
      <c r="E1116" s="88"/>
      <c r="F1116" s="83"/>
    </row>
    <row r="1117" spans="1:6">
      <c r="A1117" s="10" t="str">
        <f t="shared" si="51"/>
        <v/>
      </c>
      <c r="B1117" s="85"/>
      <c r="C1117" s="28" t="str">
        <f t="shared" si="52"/>
        <v/>
      </c>
      <c r="D1117" s="28" t="str">
        <f t="shared" si="53"/>
        <v/>
      </c>
      <c r="E1117" s="88"/>
      <c r="F1117" s="83"/>
    </row>
    <row r="1118" spans="1:6">
      <c r="A1118" s="10" t="str">
        <f t="shared" si="51"/>
        <v/>
      </c>
      <c r="B1118" s="85"/>
      <c r="C1118" s="28" t="str">
        <f t="shared" si="52"/>
        <v/>
      </c>
      <c r="D1118" s="28" t="str">
        <f t="shared" si="53"/>
        <v/>
      </c>
      <c r="E1118" s="88"/>
      <c r="F1118" s="83"/>
    </row>
    <row r="1119" spans="1:6">
      <c r="A1119" s="10" t="str">
        <f t="shared" si="51"/>
        <v/>
      </c>
      <c r="B1119" s="85"/>
      <c r="C1119" s="28" t="str">
        <f t="shared" si="52"/>
        <v/>
      </c>
      <c r="D1119" s="28" t="str">
        <f t="shared" si="53"/>
        <v/>
      </c>
      <c r="E1119" s="88"/>
      <c r="F1119" s="83"/>
    </row>
    <row r="1120" spans="1:6">
      <c r="A1120" s="10" t="str">
        <f t="shared" si="51"/>
        <v/>
      </c>
      <c r="B1120" s="85"/>
      <c r="C1120" s="28" t="str">
        <f t="shared" si="52"/>
        <v/>
      </c>
      <c r="D1120" s="28" t="str">
        <f t="shared" si="53"/>
        <v/>
      </c>
      <c r="E1120" s="88"/>
      <c r="F1120" s="83"/>
    </row>
    <row r="1121" spans="1:6">
      <c r="A1121" s="10" t="str">
        <f t="shared" si="51"/>
        <v/>
      </c>
      <c r="B1121" s="85"/>
      <c r="C1121" s="28" t="str">
        <f t="shared" si="52"/>
        <v/>
      </c>
      <c r="D1121" s="28" t="str">
        <f t="shared" si="53"/>
        <v/>
      </c>
      <c r="E1121" s="88"/>
      <c r="F1121" s="83"/>
    </row>
    <row r="1122" spans="1:6">
      <c r="A1122" s="10" t="str">
        <f t="shared" si="51"/>
        <v/>
      </c>
      <c r="B1122" s="85"/>
      <c r="C1122" s="28" t="str">
        <f t="shared" si="52"/>
        <v/>
      </c>
      <c r="D1122" s="28" t="str">
        <f t="shared" si="53"/>
        <v/>
      </c>
      <c r="E1122" s="88"/>
      <c r="F1122" s="83"/>
    </row>
    <row r="1123" spans="1:6">
      <c r="A1123" s="10" t="str">
        <f t="shared" si="51"/>
        <v/>
      </c>
      <c r="B1123" s="85"/>
      <c r="C1123" s="28" t="str">
        <f t="shared" si="52"/>
        <v/>
      </c>
      <c r="D1123" s="28" t="str">
        <f t="shared" si="53"/>
        <v/>
      </c>
      <c r="E1123" s="88"/>
      <c r="F1123" s="83"/>
    </row>
    <row r="1124" spans="1:6">
      <c r="A1124" s="10" t="str">
        <f t="shared" si="51"/>
        <v/>
      </c>
      <c r="B1124" s="85"/>
      <c r="C1124" s="28" t="str">
        <f t="shared" si="52"/>
        <v/>
      </c>
      <c r="D1124" s="28" t="str">
        <f t="shared" si="53"/>
        <v/>
      </c>
      <c r="E1124" s="88"/>
      <c r="F1124" s="83"/>
    </row>
    <row r="1125" spans="1:6">
      <c r="A1125" s="10" t="str">
        <f t="shared" si="51"/>
        <v/>
      </c>
      <c r="B1125" s="85"/>
      <c r="C1125" s="28" t="str">
        <f t="shared" si="52"/>
        <v/>
      </c>
      <c r="D1125" s="28" t="str">
        <f t="shared" si="53"/>
        <v/>
      </c>
      <c r="E1125" s="88"/>
      <c r="F1125" s="83"/>
    </row>
    <row r="1126" spans="1:6">
      <c r="A1126" s="10" t="str">
        <f t="shared" si="51"/>
        <v/>
      </c>
      <c r="B1126" s="85"/>
      <c r="C1126" s="28" t="str">
        <f t="shared" si="52"/>
        <v/>
      </c>
      <c r="D1126" s="28" t="str">
        <f t="shared" si="53"/>
        <v/>
      </c>
      <c r="E1126" s="88"/>
      <c r="F1126" s="83"/>
    </row>
    <row r="1127" spans="1:6">
      <c r="A1127" s="10" t="str">
        <f t="shared" si="51"/>
        <v/>
      </c>
      <c r="B1127" s="85"/>
      <c r="C1127" s="28" t="str">
        <f t="shared" si="52"/>
        <v/>
      </c>
      <c r="D1127" s="28" t="str">
        <f t="shared" si="53"/>
        <v/>
      </c>
      <c r="E1127" s="88"/>
      <c r="F1127" s="83"/>
    </row>
    <row r="1128" spans="1:6">
      <c r="A1128" s="10" t="str">
        <f t="shared" si="51"/>
        <v/>
      </c>
      <c r="B1128" s="85"/>
      <c r="C1128" s="28" t="str">
        <f t="shared" si="52"/>
        <v/>
      </c>
      <c r="D1128" s="28" t="str">
        <f t="shared" si="53"/>
        <v/>
      </c>
      <c r="E1128" s="88"/>
      <c r="F1128" s="83"/>
    </row>
    <row r="1129" spans="1:6">
      <c r="A1129" s="10" t="str">
        <f t="shared" si="51"/>
        <v/>
      </c>
      <c r="B1129" s="85"/>
      <c r="C1129" s="28" t="str">
        <f t="shared" si="52"/>
        <v/>
      </c>
      <c r="D1129" s="28" t="str">
        <f t="shared" si="53"/>
        <v/>
      </c>
      <c r="E1129" s="88"/>
      <c r="F1129" s="83"/>
    </row>
    <row r="1130" spans="1:6">
      <c r="A1130" s="10" t="str">
        <f t="shared" si="51"/>
        <v/>
      </c>
      <c r="B1130" s="85"/>
      <c r="C1130" s="28" t="str">
        <f t="shared" si="52"/>
        <v/>
      </c>
      <c r="D1130" s="28" t="str">
        <f t="shared" si="53"/>
        <v/>
      </c>
      <c r="E1130" s="88"/>
      <c r="F1130" s="83"/>
    </row>
    <row r="1131" spans="1:6">
      <c r="A1131" s="10" t="str">
        <f t="shared" si="51"/>
        <v/>
      </c>
      <c r="B1131" s="85"/>
      <c r="C1131" s="28" t="str">
        <f t="shared" si="52"/>
        <v/>
      </c>
      <c r="D1131" s="28" t="str">
        <f t="shared" si="53"/>
        <v/>
      </c>
      <c r="E1131" s="88"/>
      <c r="F1131" s="83"/>
    </row>
    <row r="1132" spans="1:6">
      <c r="A1132" s="10" t="str">
        <f t="shared" si="51"/>
        <v/>
      </c>
      <c r="B1132" s="85"/>
      <c r="C1132" s="28" t="str">
        <f t="shared" si="52"/>
        <v/>
      </c>
      <c r="D1132" s="28" t="str">
        <f t="shared" si="53"/>
        <v/>
      </c>
      <c r="E1132" s="88"/>
      <c r="F1132" s="83"/>
    </row>
    <row r="1133" spans="1:6">
      <c r="A1133" s="10" t="str">
        <f t="shared" si="51"/>
        <v/>
      </c>
      <c r="B1133" s="85"/>
      <c r="C1133" s="28" t="str">
        <f t="shared" si="52"/>
        <v/>
      </c>
      <c r="D1133" s="28" t="str">
        <f t="shared" si="53"/>
        <v/>
      </c>
      <c r="E1133" s="88"/>
      <c r="F1133" s="83"/>
    </row>
    <row r="1134" spans="1:6">
      <c r="A1134" s="10" t="str">
        <f t="shared" si="51"/>
        <v/>
      </c>
      <c r="B1134" s="85"/>
      <c r="C1134" s="28" t="str">
        <f t="shared" si="52"/>
        <v/>
      </c>
      <c r="D1134" s="28" t="str">
        <f t="shared" si="53"/>
        <v/>
      </c>
      <c r="E1134" s="88"/>
      <c r="F1134" s="83"/>
    </row>
    <row r="1135" spans="1:6">
      <c r="A1135" s="10" t="str">
        <f t="shared" si="51"/>
        <v/>
      </c>
      <c r="B1135" s="85"/>
      <c r="C1135" s="28" t="str">
        <f t="shared" si="52"/>
        <v/>
      </c>
      <c r="D1135" s="28" t="str">
        <f t="shared" si="53"/>
        <v/>
      </c>
      <c r="E1135" s="88"/>
      <c r="F1135" s="83"/>
    </row>
    <row r="1136" spans="1:6">
      <c r="A1136" s="10" t="str">
        <f t="shared" si="51"/>
        <v/>
      </c>
      <c r="B1136" s="85"/>
      <c r="C1136" s="28" t="str">
        <f t="shared" si="52"/>
        <v/>
      </c>
      <c r="D1136" s="28" t="str">
        <f t="shared" si="53"/>
        <v/>
      </c>
      <c r="E1136" s="88"/>
      <c r="F1136" s="83"/>
    </row>
    <row r="1137" spans="1:6">
      <c r="A1137" s="10" t="str">
        <f t="shared" si="51"/>
        <v/>
      </c>
      <c r="B1137" s="85"/>
      <c r="C1137" s="28" t="str">
        <f t="shared" si="52"/>
        <v/>
      </c>
      <c r="D1137" s="28" t="str">
        <f t="shared" si="53"/>
        <v/>
      </c>
      <c r="E1137" s="88"/>
      <c r="F1137" s="83"/>
    </row>
    <row r="1138" spans="1:6">
      <c r="A1138" s="10" t="str">
        <f t="shared" si="51"/>
        <v/>
      </c>
      <c r="B1138" s="85"/>
      <c r="C1138" s="28" t="str">
        <f t="shared" si="52"/>
        <v/>
      </c>
      <c r="D1138" s="28" t="str">
        <f t="shared" si="53"/>
        <v/>
      </c>
      <c r="E1138" s="88"/>
      <c r="F1138" s="83"/>
    </row>
    <row r="1139" spans="1:6">
      <c r="A1139" s="10" t="str">
        <f t="shared" si="51"/>
        <v/>
      </c>
      <c r="B1139" s="85"/>
      <c r="C1139" s="28" t="str">
        <f t="shared" si="52"/>
        <v/>
      </c>
      <c r="D1139" s="28" t="str">
        <f t="shared" si="53"/>
        <v/>
      </c>
      <c r="E1139" s="88"/>
      <c r="F1139" s="83"/>
    </row>
    <row r="1140" spans="1:6">
      <c r="A1140" s="10" t="str">
        <f t="shared" si="51"/>
        <v/>
      </c>
      <c r="B1140" s="85"/>
      <c r="C1140" s="28" t="str">
        <f t="shared" si="52"/>
        <v/>
      </c>
      <c r="D1140" s="28" t="str">
        <f t="shared" si="53"/>
        <v/>
      </c>
      <c r="E1140" s="88"/>
      <c r="F1140" s="83"/>
    </row>
    <row r="1141" spans="1:6">
      <c r="A1141" s="10" t="str">
        <f t="shared" si="51"/>
        <v/>
      </c>
      <c r="B1141" s="85"/>
      <c r="C1141" s="28" t="str">
        <f t="shared" si="52"/>
        <v/>
      </c>
      <c r="D1141" s="28" t="str">
        <f t="shared" si="53"/>
        <v/>
      </c>
      <c r="E1141" s="88"/>
      <c r="F1141" s="83"/>
    </row>
    <row r="1142" spans="1:6">
      <c r="A1142" s="10" t="str">
        <f t="shared" si="51"/>
        <v/>
      </c>
      <c r="B1142" s="85"/>
      <c r="C1142" s="28" t="str">
        <f t="shared" si="52"/>
        <v/>
      </c>
      <c r="D1142" s="28" t="str">
        <f t="shared" si="53"/>
        <v/>
      </c>
      <c r="E1142" s="88"/>
      <c r="F1142" s="83"/>
    </row>
    <row r="1143" spans="1:6">
      <c r="A1143" s="10" t="str">
        <f t="shared" si="51"/>
        <v/>
      </c>
      <c r="B1143" s="85"/>
      <c r="C1143" s="28" t="str">
        <f t="shared" si="52"/>
        <v/>
      </c>
      <c r="D1143" s="28" t="str">
        <f t="shared" si="53"/>
        <v/>
      </c>
      <c r="E1143" s="88"/>
      <c r="F1143" s="83"/>
    </row>
    <row r="1144" spans="1:6">
      <c r="A1144" s="10" t="str">
        <f t="shared" si="51"/>
        <v/>
      </c>
      <c r="B1144" s="85"/>
      <c r="C1144" s="28" t="str">
        <f t="shared" si="52"/>
        <v/>
      </c>
      <c r="D1144" s="28" t="str">
        <f t="shared" si="53"/>
        <v/>
      </c>
      <c r="E1144" s="88"/>
      <c r="F1144" s="83"/>
    </row>
    <row r="1145" spans="1:6">
      <c r="A1145" s="10" t="str">
        <f t="shared" si="51"/>
        <v/>
      </c>
      <c r="B1145" s="85"/>
      <c r="C1145" s="28" t="str">
        <f t="shared" si="52"/>
        <v/>
      </c>
      <c r="D1145" s="28" t="str">
        <f t="shared" si="53"/>
        <v/>
      </c>
      <c r="E1145" s="88"/>
      <c r="F1145" s="83"/>
    </row>
    <row r="1146" spans="1:6">
      <c r="A1146" s="10" t="str">
        <f t="shared" si="51"/>
        <v/>
      </c>
      <c r="B1146" s="85"/>
      <c r="C1146" s="28" t="str">
        <f t="shared" si="52"/>
        <v/>
      </c>
      <c r="D1146" s="28" t="str">
        <f t="shared" si="53"/>
        <v/>
      </c>
      <c r="E1146" s="88"/>
      <c r="F1146" s="83"/>
    </row>
    <row r="1147" spans="1:6">
      <c r="A1147" s="10" t="str">
        <f t="shared" si="51"/>
        <v/>
      </c>
      <c r="B1147" s="85"/>
      <c r="C1147" s="28" t="str">
        <f t="shared" si="52"/>
        <v/>
      </c>
      <c r="D1147" s="28" t="str">
        <f t="shared" si="53"/>
        <v/>
      </c>
      <c r="E1147" s="88"/>
      <c r="F1147" s="83"/>
    </row>
    <row r="1148" spans="1:6">
      <c r="A1148" s="10" t="str">
        <f t="shared" si="51"/>
        <v/>
      </c>
      <c r="B1148" s="85"/>
      <c r="C1148" s="28" t="str">
        <f t="shared" si="52"/>
        <v/>
      </c>
      <c r="D1148" s="28" t="str">
        <f t="shared" si="53"/>
        <v/>
      </c>
      <c r="E1148" s="88"/>
      <c r="F1148" s="83"/>
    </row>
    <row r="1149" spans="1:6">
      <c r="A1149" s="10" t="str">
        <f t="shared" si="51"/>
        <v/>
      </c>
      <c r="B1149" s="85"/>
      <c r="C1149" s="28" t="str">
        <f t="shared" si="52"/>
        <v/>
      </c>
      <c r="D1149" s="28" t="str">
        <f t="shared" si="53"/>
        <v/>
      </c>
      <c r="E1149" s="88"/>
      <c r="F1149" s="83"/>
    </row>
    <row r="1150" spans="1:6">
      <c r="A1150" s="10" t="str">
        <f t="shared" si="51"/>
        <v/>
      </c>
      <c r="B1150" s="85"/>
      <c r="C1150" s="28" t="str">
        <f t="shared" si="52"/>
        <v/>
      </c>
      <c r="D1150" s="28" t="str">
        <f t="shared" si="53"/>
        <v/>
      </c>
      <c r="E1150" s="88"/>
      <c r="F1150" s="83"/>
    </row>
    <row r="1151" spans="1:6">
      <c r="A1151" s="10" t="str">
        <f t="shared" si="51"/>
        <v/>
      </c>
      <c r="B1151" s="85"/>
      <c r="C1151" s="28" t="str">
        <f t="shared" si="52"/>
        <v/>
      </c>
      <c r="D1151" s="28" t="str">
        <f t="shared" si="53"/>
        <v/>
      </c>
      <c r="E1151" s="88"/>
      <c r="F1151" s="83"/>
    </row>
    <row r="1152" spans="1:6">
      <c r="A1152" s="10" t="str">
        <f t="shared" si="51"/>
        <v/>
      </c>
      <c r="B1152" s="85"/>
      <c r="C1152" s="28" t="str">
        <f t="shared" si="52"/>
        <v/>
      </c>
      <c r="D1152" s="28" t="str">
        <f t="shared" si="53"/>
        <v/>
      </c>
      <c r="E1152" s="88"/>
      <c r="F1152" s="83"/>
    </row>
    <row r="1153" spans="1:6">
      <c r="A1153" s="10" t="str">
        <f t="shared" si="51"/>
        <v/>
      </c>
      <c r="B1153" s="85"/>
      <c r="C1153" s="28" t="str">
        <f t="shared" si="52"/>
        <v/>
      </c>
      <c r="D1153" s="28" t="str">
        <f t="shared" si="53"/>
        <v/>
      </c>
      <c r="E1153" s="88"/>
      <c r="F1153" s="83"/>
    </row>
    <row r="1154" spans="1:6">
      <c r="A1154" s="10" t="str">
        <f t="shared" si="51"/>
        <v/>
      </c>
      <c r="B1154" s="85"/>
      <c r="C1154" s="28" t="str">
        <f t="shared" si="52"/>
        <v/>
      </c>
      <c r="D1154" s="28" t="str">
        <f t="shared" si="53"/>
        <v/>
      </c>
      <c r="E1154" s="88"/>
      <c r="F1154" s="83"/>
    </row>
    <row r="1155" spans="1:6">
      <c r="A1155" s="10" t="str">
        <f t="shared" ref="A1155:A1218" si="54">IF(E1155&gt;0,A1154+1,"")</f>
        <v/>
      </c>
      <c r="B1155" s="85"/>
      <c r="C1155" s="28" t="str">
        <f t="shared" ref="C1155:C1218" si="55">IF(B1155=0,"",TEXT(B1155,"mmmm"))</f>
        <v/>
      </c>
      <c r="D1155" s="28" t="str">
        <f t="shared" ref="D1155:D1218" si="56">IF(B1155=0,"",TEXT(B1155,"yyyy"))</f>
        <v/>
      </c>
      <c r="E1155" s="88"/>
      <c r="F1155" s="83"/>
    </row>
    <row r="1156" spans="1:6">
      <c r="A1156" s="10" t="str">
        <f t="shared" si="54"/>
        <v/>
      </c>
      <c r="B1156" s="85"/>
      <c r="C1156" s="28" t="str">
        <f t="shared" si="55"/>
        <v/>
      </c>
      <c r="D1156" s="28" t="str">
        <f t="shared" si="56"/>
        <v/>
      </c>
      <c r="E1156" s="88"/>
      <c r="F1156" s="83"/>
    </row>
    <row r="1157" spans="1:6">
      <c r="A1157" s="10" t="str">
        <f t="shared" si="54"/>
        <v/>
      </c>
      <c r="B1157" s="85"/>
      <c r="C1157" s="28" t="str">
        <f t="shared" si="55"/>
        <v/>
      </c>
      <c r="D1157" s="28" t="str">
        <f t="shared" si="56"/>
        <v/>
      </c>
      <c r="E1157" s="88"/>
      <c r="F1157" s="83"/>
    </row>
    <row r="1158" spans="1:6">
      <c r="A1158" s="10" t="str">
        <f t="shared" si="54"/>
        <v/>
      </c>
      <c r="B1158" s="85"/>
      <c r="C1158" s="28" t="str">
        <f t="shared" si="55"/>
        <v/>
      </c>
      <c r="D1158" s="28" t="str">
        <f t="shared" si="56"/>
        <v/>
      </c>
      <c r="E1158" s="88"/>
      <c r="F1158" s="83"/>
    </row>
    <row r="1159" spans="1:6">
      <c r="A1159" s="10" t="str">
        <f t="shared" si="54"/>
        <v/>
      </c>
      <c r="B1159" s="85"/>
      <c r="C1159" s="28" t="str">
        <f t="shared" si="55"/>
        <v/>
      </c>
      <c r="D1159" s="28" t="str">
        <f t="shared" si="56"/>
        <v/>
      </c>
      <c r="E1159" s="88"/>
      <c r="F1159" s="83"/>
    </row>
    <row r="1160" spans="1:6">
      <c r="A1160" s="10" t="str">
        <f t="shared" si="54"/>
        <v/>
      </c>
      <c r="B1160" s="85"/>
      <c r="C1160" s="28" t="str">
        <f t="shared" si="55"/>
        <v/>
      </c>
      <c r="D1160" s="28" t="str">
        <f t="shared" si="56"/>
        <v/>
      </c>
      <c r="E1160" s="88"/>
      <c r="F1160" s="83"/>
    </row>
    <row r="1161" spans="1:6">
      <c r="A1161" s="10" t="str">
        <f t="shared" si="54"/>
        <v/>
      </c>
      <c r="B1161" s="85"/>
      <c r="C1161" s="28" t="str">
        <f t="shared" si="55"/>
        <v/>
      </c>
      <c r="D1161" s="28" t="str">
        <f t="shared" si="56"/>
        <v/>
      </c>
      <c r="E1161" s="88"/>
      <c r="F1161" s="83"/>
    </row>
    <row r="1162" spans="1:6">
      <c r="A1162" s="10" t="str">
        <f t="shared" si="54"/>
        <v/>
      </c>
      <c r="B1162" s="85"/>
      <c r="C1162" s="28" t="str">
        <f t="shared" si="55"/>
        <v/>
      </c>
      <c r="D1162" s="28" t="str">
        <f t="shared" si="56"/>
        <v/>
      </c>
      <c r="E1162" s="88"/>
      <c r="F1162" s="83"/>
    </row>
    <row r="1163" spans="1:6">
      <c r="A1163" s="10" t="str">
        <f t="shared" si="54"/>
        <v/>
      </c>
      <c r="B1163" s="85"/>
      <c r="C1163" s="28" t="str">
        <f t="shared" si="55"/>
        <v/>
      </c>
      <c r="D1163" s="28" t="str">
        <f t="shared" si="56"/>
        <v/>
      </c>
      <c r="E1163" s="88"/>
      <c r="F1163" s="83"/>
    </row>
    <row r="1164" spans="1:6">
      <c r="A1164" s="10" t="str">
        <f t="shared" si="54"/>
        <v/>
      </c>
      <c r="B1164" s="85"/>
      <c r="C1164" s="28" t="str">
        <f t="shared" si="55"/>
        <v/>
      </c>
      <c r="D1164" s="28" t="str">
        <f t="shared" si="56"/>
        <v/>
      </c>
      <c r="E1164" s="88"/>
      <c r="F1164" s="83"/>
    </row>
    <row r="1165" spans="1:6">
      <c r="A1165" s="10" t="str">
        <f t="shared" si="54"/>
        <v/>
      </c>
      <c r="B1165" s="85"/>
      <c r="C1165" s="28" t="str">
        <f t="shared" si="55"/>
        <v/>
      </c>
      <c r="D1165" s="28" t="str">
        <f t="shared" si="56"/>
        <v/>
      </c>
      <c r="E1165" s="88"/>
      <c r="F1165" s="83"/>
    </row>
    <row r="1166" spans="1:6">
      <c r="A1166" s="10" t="str">
        <f t="shared" si="54"/>
        <v/>
      </c>
      <c r="B1166" s="85"/>
      <c r="C1166" s="28" t="str">
        <f t="shared" si="55"/>
        <v/>
      </c>
      <c r="D1166" s="28" t="str">
        <f t="shared" si="56"/>
        <v/>
      </c>
      <c r="E1166" s="88"/>
      <c r="F1166" s="83"/>
    </row>
    <row r="1167" spans="1:6">
      <c r="A1167" s="10" t="str">
        <f t="shared" si="54"/>
        <v/>
      </c>
      <c r="B1167" s="85"/>
      <c r="C1167" s="28" t="str">
        <f t="shared" si="55"/>
        <v/>
      </c>
      <c r="D1167" s="28" t="str">
        <f t="shared" si="56"/>
        <v/>
      </c>
      <c r="E1167" s="88"/>
      <c r="F1167" s="83"/>
    </row>
    <row r="1168" spans="1:6">
      <c r="A1168" s="10" t="str">
        <f t="shared" si="54"/>
        <v/>
      </c>
      <c r="B1168" s="85"/>
      <c r="C1168" s="28" t="str">
        <f t="shared" si="55"/>
        <v/>
      </c>
      <c r="D1168" s="28" t="str">
        <f t="shared" si="56"/>
        <v/>
      </c>
      <c r="E1168" s="88"/>
      <c r="F1168" s="83"/>
    </row>
    <row r="1169" spans="1:6">
      <c r="A1169" s="10" t="str">
        <f t="shared" si="54"/>
        <v/>
      </c>
      <c r="B1169" s="85"/>
      <c r="C1169" s="28" t="str">
        <f t="shared" si="55"/>
        <v/>
      </c>
      <c r="D1169" s="28" t="str">
        <f t="shared" si="56"/>
        <v/>
      </c>
      <c r="E1169" s="88"/>
      <c r="F1169" s="83"/>
    </row>
    <row r="1170" spans="1:6">
      <c r="A1170" s="10" t="str">
        <f t="shared" si="54"/>
        <v/>
      </c>
      <c r="B1170" s="85"/>
      <c r="C1170" s="28" t="str">
        <f t="shared" si="55"/>
        <v/>
      </c>
      <c r="D1170" s="28" t="str">
        <f t="shared" si="56"/>
        <v/>
      </c>
      <c r="E1170" s="88"/>
      <c r="F1170" s="83"/>
    </row>
    <row r="1171" spans="1:6">
      <c r="A1171" s="10" t="str">
        <f t="shared" si="54"/>
        <v/>
      </c>
      <c r="B1171" s="85"/>
      <c r="C1171" s="28" t="str">
        <f t="shared" si="55"/>
        <v/>
      </c>
      <c r="D1171" s="28" t="str">
        <f t="shared" si="56"/>
        <v/>
      </c>
      <c r="E1171" s="88"/>
      <c r="F1171" s="83"/>
    </row>
    <row r="1172" spans="1:6">
      <c r="A1172" s="10" t="str">
        <f t="shared" si="54"/>
        <v/>
      </c>
      <c r="B1172" s="85"/>
      <c r="C1172" s="28" t="str">
        <f t="shared" si="55"/>
        <v/>
      </c>
      <c r="D1172" s="28" t="str">
        <f t="shared" si="56"/>
        <v/>
      </c>
      <c r="E1172" s="88"/>
      <c r="F1172" s="83"/>
    </row>
    <row r="1173" spans="1:6">
      <c r="A1173" s="10" t="str">
        <f t="shared" si="54"/>
        <v/>
      </c>
      <c r="B1173" s="85"/>
      <c r="C1173" s="28" t="str">
        <f t="shared" si="55"/>
        <v/>
      </c>
      <c r="D1173" s="28" t="str">
        <f t="shared" si="56"/>
        <v/>
      </c>
      <c r="E1173" s="88"/>
      <c r="F1173" s="83"/>
    </row>
    <row r="1174" spans="1:6">
      <c r="A1174" s="10" t="str">
        <f t="shared" si="54"/>
        <v/>
      </c>
      <c r="B1174" s="85"/>
      <c r="C1174" s="28" t="str">
        <f t="shared" si="55"/>
        <v/>
      </c>
      <c r="D1174" s="28" t="str">
        <f t="shared" si="56"/>
        <v/>
      </c>
      <c r="E1174" s="88"/>
      <c r="F1174" s="83"/>
    </row>
    <row r="1175" spans="1:6">
      <c r="A1175" s="10" t="str">
        <f t="shared" si="54"/>
        <v/>
      </c>
      <c r="B1175" s="85"/>
      <c r="C1175" s="28" t="str">
        <f t="shared" si="55"/>
        <v/>
      </c>
      <c r="D1175" s="28" t="str">
        <f t="shared" si="56"/>
        <v/>
      </c>
      <c r="E1175" s="88"/>
      <c r="F1175" s="83"/>
    </row>
    <row r="1176" spans="1:6">
      <c r="A1176" s="10" t="str">
        <f t="shared" si="54"/>
        <v/>
      </c>
      <c r="B1176" s="85"/>
      <c r="C1176" s="28" t="str">
        <f t="shared" si="55"/>
        <v/>
      </c>
      <c r="D1176" s="28" t="str">
        <f t="shared" si="56"/>
        <v/>
      </c>
      <c r="E1176" s="88"/>
      <c r="F1176" s="83"/>
    </row>
    <row r="1177" spans="1:6">
      <c r="A1177" s="10" t="str">
        <f t="shared" si="54"/>
        <v/>
      </c>
      <c r="B1177" s="85"/>
      <c r="C1177" s="28" t="str">
        <f t="shared" si="55"/>
        <v/>
      </c>
      <c r="D1177" s="28" t="str">
        <f t="shared" si="56"/>
        <v/>
      </c>
      <c r="E1177" s="88"/>
      <c r="F1177" s="83"/>
    </row>
    <row r="1178" spans="1:6">
      <c r="A1178" s="10" t="str">
        <f t="shared" si="54"/>
        <v/>
      </c>
      <c r="B1178" s="85"/>
      <c r="C1178" s="28" t="str">
        <f t="shared" si="55"/>
        <v/>
      </c>
      <c r="D1178" s="28" t="str">
        <f t="shared" si="56"/>
        <v/>
      </c>
      <c r="E1178" s="88"/>
      <c r="F1178" s="83"/>
    </row>
    <row r="1179" spans="1:6">
      <c r="A1179" s="10" t="str">
        <f t="shared" si="54"/>
        <v/>
      </c>
      <c r="B1179" s="85"/>
      <c r="C1179" s="28" t="str">
        <f t="shared" si="55"/>
        <v/>
      </c>
      <c r="D1179" s="28" t="str">
        <f t="shared" si="56"/>
        <v/>
      </c>
      <c r="E1179" s="88"/>
      <c r="F1179" s="83"/>
    </row>
    <row r="1180" spans="1:6">
      <c r="A1180" s="10" t="str">
        <f t="shared" si="54"/>
        <v/>
      </c>
      <c r="B1180" s="85"/>
      <c r="C1180" s="28" t="str">
        <f t="shared" si="55"/>
        <v/>
      </c>
      <c r="D1180" s="28" t="str">
        <f t="shared" si="56"/>
        <v/>
      </c>
      <c r="E1180" s="88"/>
      <c r="F1180" s="83"/>
    </row>
    <row r="1181" spans="1:6">
      <c r="A1181" s="10" t="str">
        <f t="shared" si="54"/>
        <v/>
      </c>
      <c r="B1181" s="85"/>
      <c r="C1181" s="28" t="str">
        <f t="shared" si="55"/>
        <v/>
      </c>
      <c r="D1181" s="28" t="str">
        <f t="shared" si="56"/>
        <v/>
      </c>
      <c r="E1181" s="88"/>
      <c r="F1181" s="83"/>
    </row>
    <row r="1182" spans="1:6">
      <c r="A1182" s="10" t="str">
        <f t="shared" si="54"/>
        <v/>
      </c>
      <c r="B1182" s="85"/>
      <c r="C1182" s="28" t="str">
        <f t="shared" si="55"/>
        <v/>
      </c>
      <c r="D1182" s="28" t="str">
        <f t="shared" si="56"/>
        <v/>
      </c>
      <c r="E1182" s="88"/>
      <c r="F1182" s="83"/>
    </row>
    <row r="1183" spans="1:6">
      <c r="A1183" s="10" t="str">
        <f t="shared" si="54"/>
        <v/>
      </c>
      <c r="B1183" s="85"/>
      <c r="C1183" s="28" t="str">
        <f t="shared" si="55"/>
        <v/>
      </c>
      <c r="D1183" s="28" t="str">
        <f t="shared" si="56"/>
        <v/>
      </c>
      <c r="E1183" s="88"/>
      <c r="F1183" s="83"/>
    </row>
    <row r="1184" spans="1:6">
      <c r="A1184" s="10" t="str">
        <f t="shared" si="54"/>
        <v/>
      </c>
      <c r="B1184" s="85"/>
      <c r="C1184" s="28" t="str">
        <f t="shared" si="55"/>
        <v/>
      </c>
      <c r="D1184" s="28" t="str">
        <f t="shared" si="56"/>
        <v/>
      </c>
      <c r="E1184" s="88"/>
      <c r="F1184" s="83"/>
    </row>
    <row r="1185" spans="1:6">
      <c r="A1185" s="10" t="str">
        <f t="shared" si="54"/>
        <v/>
      </c>
      <c r="B1185" s="85"/>
      <c r="C1185" s="28" t="str">
        <f t="shared" si="55"/>
        <v/>
      </c>
      <c r="D1185" s="28" t="str">
        <f t="shared" si="56"/>
        <v/>
      </c>
      <c r="E1185" s="88"/>
      <c r="F1185" s="83"/>
    </row>
    <row r="1186" spans="1:6">
      <c r="A1186" s="10" t="str">
        <f t="shared" si="54"/>
        <v/>
      </c>
      <c r="B1186" s="85"/>
      <c r="C1186" s="28" t="str">
        <f t="shared" si="55"/>
        <v/>
      </c>
      <c r="D1186" s="28" t="str">
        <f t="shared" si="56"/>
        <v/>
      </c>
      <c r="E1186" s="88"/>
      <c r="F1186" s="83"/>
    </row>
    <row r="1187" spans="1:6">
      <c r="A1187" s="10" t="str">
        <f t="shared" si="54"/>
        <v/>
      </c>
      <c r="B1187" s="85"/>
      <c r="C1187" s="28" t="str">
        <f t="shared" si="55"/>
        <v/>
      </c>
      <c r="D1187" s="28" t="str">
        <f t="shared" si="56"/>
        <v/>
      </c>
      <c r="E1187" s="88"/>
      <c r="F1187" s="83"/>
    </row>
    <row r="1188" spans="1:6">
      <c r="A1188" s="10" t="str">
        <f t="shared" si="54"/>
        <v/>
      </c>
      <c r="B1188" s="85"/>
      <c r="C1188" s="28" t="str">
        <f t="shared" si="55"/>
        <v/>
      </c>
      <c r="D1188" s="28" t="str">
        <f t="shared" si="56"/>
        <v/>
      </c>
      <c r="E1188" s="88"/>
      <c r="F1188" s="83"/>
    </row>
    <row r="1189" spans="1:6">
      <c r="A1189" s="10" t="str">
        <f t="shared" si="54"/>
        <v/>
      </c>
      <c r="B1189" s="85"/>
      <c r="C1189" s="28" t="str">
        <f t="shared" si="55"/>
        <v/>
      </c>
      <c r="D1189" s="28" t="str">
        <f t="shared" si="56"/>
        <v/>
      </c>
      <c r="E1189" s="88"/>
      <c r="F1189" s="83"/>
    </row>
    <row r="1190" spans="1:6">
      <c r="A1190" s="10" t="str">
        <f t="shared" si="54"/>
        <v/>
      </c>
      <c r="B1190" s="85"/>
      <c r="C1190" s="28" t="str">
        <f t="shared" si="55"/>
        <v/>
      </c>
      <c r="D1190" s="28" t="str">
        <f t="shared" si="56"/>
        <v/>
      </c>
      <c r="E1190" s="88"/>
      <c r="F1190" s="83"/>
    </row>
    <row r="1191" spans="1:6">
      <c r="A1191" s="10" t="str">
        <f t="shared" si="54"/>
        <v/>
      </c>
      <c r="B1191" s="85"/>
      <c r="C1191" s="28" t="str">
        <f t="shared" si="55"/>
        <v/>
      </c>
      <c r="D1191" s="28" t="str">
        <f t="shared" si="56"/>
        <v/>
      </c>
      <c r="E1191" s="88"/>
      <c r="F1191" s="83"/>
    </row>
    <row r="1192" spans="1:6">
      <c r="A1192" s="10" t="str">
        <f t="shared" si="54"/>
        <v/>
      </c>
      <c r="B1192" s="85"/>
      <c r="C1192" s="28" t="str">
        <f t="shared" si="55"/>
        <v/>
      </c>
      <c r="D1192" s="28" t="str">
        <f t="shared" si="56"/>
        <v/>
      </c>
      <c r="E1192" s="88"/>
      <c r="F1192" s="83"/>
    </row>
    <row r="1193" spans="1:6">
      <c r="A1193" s="10" t="str">
        <f t="shared" si="54"/>
        <v/>
      </c>
      <c r="B1193" s="85"/>
      <c r="C1193" s="28" t="str">
        <f t="shared" si="55"/>
        <v/>
      </c>
      <c r="D1193" s="28" t="str">
        <f t="shared" si="56"/>
        <v/>
      </c>
      <c r="E1193" s="88"/>
      <c r="F1193" s="83"/>
    </row>
    <row r="1194" spans="1:6">
      <c r="A1194" s="10" t="str">
        <f t="shared" si="54"/>
        <v/>
      </c>
      <c r="B1194" s="85"/>
      <c r="C1194" s="28" t="str">
        <f t="shared" si="55"/>
        <v/>
      </c>
      <c r="D1194" s="28" t="str">
        <f t="shared" si="56"/>
        <v/>
      </c>
      <c r="E1194" s="88"/>
      <c r="F1194" s="83"/>
    </row>
    <row r="1195" spans="1:6">
      <c r="A1195" s="10" t="str">
        <f t="shared" si="54"/>
        <v/>
      </c>
      <c r="B1195" s="85"/>
      <c r="C1195" s="28" t="str">
        <f t="shared" si="55"/>
        <v/>
      </c>
      <c r="D1195" s="28" t="str">
        <f t="shared" si="56"/>
        <v/>
      </c>
      <c r="E1195" s="88"/>
      <c r="F1195" s="83"/>
    </row>
    <row r="1196" spans="1:6">
      <c r="A1196" s="10" t="str">
        <f t="shared" si="54"/>
        <v/>
      </c>
      <c r="B1196" s="85"/>
      <c r="C1196" s="28" t="str">
        <f t="shared" si="55"/>
        <v/>
      </c>
      <c r="D1196" s="28" t="str">
        <f t="shared" si="56"/>
        <v/>
      </c>
      <c r="E1196" s="88"/>
      <c r="F1196" s="83"/>
    </row>
    <row r="1197" spans="1:6">
      <c r="A1197" s="10" t="str">
        <f t="shared" si="54"/>
        <v/>
      </c>
      <c r="B1197" s="85"/>
      <c r="C1197" s="28" t="str">
        <f t="shared" si="55"/>
        <v/>
      </c>
      <c r="D1197" s="28" t="str">
        <f t="shared" si="56"/>
        <v/>
      </c>
      <c r="E1197" s="88"/>
      <c r="F1197" s="83"/>
    </row>
    <row r="1198" spans="1:6">
      <c r="A1198" s="10" t="str">
        <f t="shared" si="54"/>
        <v/>
      </c>
      <c r="B1198" s="85"/>
      <c r="C1198" s="28" t="str">
        <f t="shared" si="55"/>
        <v/>
      </c>
      <c r="D1198" s="28" t="str">
        <f t="shared" si="56"/>
        <v/>
      </c>
      <c r="E1198" s="88"/>
      <c r="F1198" s="83"/>
    </row>
    <row r="1199" spans="1:6">
      <c r="A1199" s="10" t="str">
        <f t="shared" si="54"/>
        <v/>
      </c>
      <c r="B1199" s="85"/>
      <c r="C1199" s="28" t="str">
        <f t="shared" si="55"/>
        <v/>
      </c>
      <c r="D1199" s="28" t="str">
        <f t="shared" si="56"/>
        <v/>
      </c>
      <c r="E1199" s="88"/>
      <c r="F1199" s="83"/>
    </row>
    <row r="1200" spans="1:6">
      <c r="A1200" s="10" t="str">
        <f t="shared" si="54"/>
        <v/>
      </c>
      <c r="B1200" s="85"/>
      <c r="C1200" s="28" t="str">
        <f t="shared" si="55"/>
        <v/>
      </c>
      <c r="D1200" s="28" t="str">
        <f t="shared" si="56"/>
        <v/>
      </c>
      <c r="E1200" s="88"/>
      <c r="F1200" s="83"/>
    </row>
    <row r="1201" spans="1:6">
      <c r="A1201" s="10" t="str">
        <f t="shared" si="54"/>
        <v/>
      </c>
      <c r="B1201" s="85"/>
      <c r="C1201" s="28" t="str">
        <f t="shared" si="55"/>
        <v/>
      </c>
      <c r="D1201" s="28" t="str">
        <f t="shared" si="56"/>
        <v/>
      </c>
      <c r="E1201" s="88"/>
      <c r="F1201" s="83"/>
    </row>
    <row r="1202" spans="1:6">
      <c r="A1202" s="10" t="str">
        <f t="shared" si="54"/>
        <v/>
      </c>
      <c r="B1202" s="85"/>
      <c r="C1202" s="28" t="str">
        <f t="shared" si="55"/>
        <v/>
      </c>
      <c r="D1202" s="28" t="str">
        <f t="shared" si="56"/>
        <v/>
      </c>
      <c r="E1202" s="88"/>
      <c r="F1202" s="83"/>
    </row>
    <row r="1203" spans="1:6">
      <c r="A1203" s="10" t="str">
        <f t="shared" si="54"/>
        <v/>
      </c>
      <c r="B1203" s="85"/>
      <c r="C1203" s="28" t="str">
        <f t="shared" si="55"/>
        <v/>
      </c>
      <c r="D1203" s="28" t="str">
        <f t="shared" si="56"/>
        <v/>
      </c>
      <c r="E1203" s="88"/>
      <c r="F1203" s="83"/>
    </row>
    <row r="1204" spans="1:6">
      <c r="A1204" s="10" t="str">
        <f t="shared" si="54"/>
        <v/>
      </c>
      <c r="B1204" s="85"/>
      <c r="C1204" s="28" t="str">
        <f t="shared" si="55"/>
        <v/>
      </c>
      <c r="D1204" s="28" t="str">
        <f t="shared" si="56"/>
        <v/>
      </c>
      <c r="E1204" s="88"/>
      <c r="F1204" s="83"/>
    </row>
    <row r="1205" spans="1:6">
      <c r="A1205" s="10" t="str">
        <f t="shared" si="54"/>
        <v/>
      </c>
      <c r="B1205" s="85"/>
      <c r="C1205" s="28" t="str">
        <f t="shared" si="55"/>
        <v/>
      </c>
      <c r="D1205" s="28" t="str">
        <f t="shared" si="56"/>
        <v/>
      </c>
      <c r="E1205" s="88"/>
      <c r="F1205" s="83"/>
    </row>
    <row r="1206" spans="1:6">
      <c r="A1206" s="10" t="str">
        <f t="shared" si="54"/>
        <v/>
      </c>
      <c r="B1206" s="85"/>
      <c r="C1206" s="28" t="str">
        <f t="shared" si="55"/>
        <v/>
      </c>
      <c r="D1206" s="28" t="str">
        <f t="shared" si="56"/>
        <v/>
      </c>
      <c r="E1206" s="88"/>
      <c r="F1206" s="83"/>
    </row>
    <row r="1207" spans="1:6">
      <c r="A1207" s="10" t="str">
        <f t="shared" si="54"/>
        <v/>
      </c>
      <c r="B1207" s="85"/>
      <c r="C1207" s="28" t="str">
        <f t="shared" si="55"/>
        <v/>
      </c>
      <c r="D1207" s="28" t="str">
        <f t="shared" si="56"/>
        <v/>
      </c>
      <c r="E1207" s="88"/>
      <c r="F1207" s="83"/>
    </row>
    <row r="1208" spans="1:6">
      <c r="A1208" s="10" t="str">
        <f t="shared" si="54"/>
        <v/>
      </c>
      <c r="B1208" s="85"/>
      <c r="C1208" s="28" t="str">
        <f t="shared" si="55"/>
        <v/>
      </c>
      <c r="D1208" s="28" t="str">
        <f t="shared" si="56"/>
        <v/>
      </c>
      <c r="E1208" s="88"/>
      <c r="F1208" s="83"/>
    </row>
    <row r="1209" spans="1:6">
      <c r="A1209" s="10" t="str">
        <f t="shared" si="54"/>
        <v/>
      </c>
      <c r="B1209" s="85"/>
      <c r="C1209" s="28" t="str">
        <f t="shared" si="55"/>
        <v/>
      </c>
      <c r="D1209" s="28" t="str">
        <f t="shared" si="56"/>
        <v/>
      </c>
      <c r="E1209" s="88"/>
      <c r="F1209" s="83"/>
    </row>
    <row r="1210" spans="1:6">
      <c r="A1210" s="10" t="str">
        <f t="shared" si="54"/>
        <v/>
      </c>
      <c r="B1210" s="85"/>
      <c r="C1210" s="28" t="str">
        <f t="shared" si="55"/>
        <v/>
      </c>
      <c r="D1210" s="28" t="str">
        <f t="shared" si="56"/>
        <v/>
      </c>
      <c r="E1210" s="88"/>
      <c r="F1210" s="83"/>
    </row>
    <row r="1211" spans="1:6">
      <c r="A1211" s="10" t="str">
        <f t="shared" si="54"/>
        <v/>
      </c>
      <c r="B1211" s="85"/>
      <c r="C1211" s="28" t="str">
        <f t="shared" si="55"/>
        <v/>
      </c>
      <c r="D1211" s="28" t="str">
        <f t="shared" si="56"/>
        <v/>
      </c>
      <c r="E1211" s="88"/>
      <c r="F1211" s="83"/>
    </row>
    <row r="1212" spans="1:6">
      <c r="A1212" s="10" t="str">
        <f t="shared" si="54"/>
        <v/>
      </c>
      <c r="B1212" s="85"/>
      <c r="C1212" s="28" t="str">
        <f t="shared" si="55"/>
        <v/>
      </c>
      <c r="D1212" s="28" t="str">
        <f t="shared" si="56"/>
        <v/>
      </c>
      <c r="E1212" s="88"/>
      <c r="F1212" s="83"/>
    </row>
    <row r="1213" spans="1:6">
      <c r="A1213" s="10" t="str">
        <f t="shared" si="54"/>
        <v/>
      </c>
      <c r="B1213" s="85"/>
      <c r="C1213" s="28" t="str">
        <f t="shared" si="55"/>
        <v/>
      </c>
      <c r="D1213" s="28" t="str">
        <f t="shared" si="56"/>
        <v/>
      </c>
      <c r="E1213" s="88"/>
      <c r="F1213" s="83"/>
    </row>
    <row r="1214" spans="1:6">
      <c r="A1214" s="10" t="str">
        <f t="shared" si="54"/>
        <v/>
      </c>
      <c r="B1214" s="85"/>
      <c r="C1214" s="28" t="str">
        <f t="shared" si="55"/>
        <v/>
      </c>
      <c r="D1214" s="28" t="str">
        <f t="shared" si="56"/>
        <v/>
      </c>
      <c r="E1214" s="88"/>
      <c r="F1214" s="83"/>
    </row>
    <row r="1215" spans="1:6">
      <c r="A1215" s="10" t="str">
        <f t="shared" si="54"/>
        <v/>
      </c>
      <c r="B1215" s="85"/>
      <c r="C1215" s="28" t="str">
        <f t="shared" si="55"/>
        <v/>
      </c>
      <c r="D1215" s="28" t="str">
        <f t="shared" si="56"/>
        <v/>
      </c>
      <c r="E1215" s="88"/>
      <c r="F1215" s="83"/>
    </row>
    <row r="1216" spans="1:6">
      <c r="A1216" s="10" t="str">
        <f t="shared" si="54"/>
        <v/>
      </c>
      <c r="B1216" s="85"/>
      <c r="C1216" s="28" t="str">
        <f t="shared" si="55"/>
        <v/>
      </c>
      <c r="D1216" s="28" t="str">
        <f t="shared" si="56"/>
        <v/>
      </c>
      <c r="E1216" s="88"/>
      <c r="F1216" s="83"/>
    </row>
    <row r="1217" spans="1:6">
      <c r="A1217" s="10" t="str">
        <f t="shared" si="54"/>
        <v/>
      </c>
      <c r="B1217" s="85"/>
      <c r="C1217" s="28" t="str">
        <f t="shared" si="55"/>
        <v/>
      </c>
      <c r="D1217" s="28" t="str">
        <f t="shared" si="56"/>
        <v/>
      </c>
      <c r="E1217" s="88"/>
      <c r="F1217" s="83"/>
    </row>
    <row r="1218" spans="1:6">
      <c r="A1218" s="10" t="str">
        <f t="shared" si="54"/>
        <v/>
      </c>
      <c r="B1218" s="85"/>
      <c r="C1218" s="28" t="str">
        <f t="shared" si="55"/>
        <v/>
      </c>
      <c r="D1218" s="28" t="str">
        <f t="shared" si="56"/>
        <v/>
      </c>
      <c r="E1218" s="88"/>
      <c r="F1218" s="83"/>
    </row>
    <row r="1219" spans="1:6">
      <c r="A1219" s="10" t="str">
        <f t="shared" ref="A1219:A1282" si="57">IF(E1219&gt;0,A1218+1,"")</f>
        <v/>
      </c>
      <c r="B1219" s="85"/>
      <c r="C1219" s="28" t="str">
        <f t="shared" ref="C1219:C1282" si="58">IF(B1219=0,"",TEXT(B1219,"mmmm"))</f>
        <v/>
      </c>
      <c r="D1219" s="28" t="str">
        <f t="shared" ref="D1219:D1282" si="59">IF(B1219=0,"",TEXT(B1219,"yyyy"))</f>
        <v/>
      </c>
      <c r="E1219" s="88"/>
      <c r="F1219" s="83"/>
    </row>
    <row r="1220" spans="1:6">
      <c r="A1220" s="10" t="str">
        <f t="shared" si="57"/>
        <v/>
      </c>
      <c r="B1220" s="85"/>
      <c r="C1220" s="28" t="str">
        <f t="shared" si="58"/>
        <v/>
      </c>
      <c r="D1220" s="28" t="str">
        <f t="shared" si="59"/>
        <v/>
      </c>
      <c r="E1220" s="88"/>
      <c r="F1220" s="83"/>
    </row>
    <row r="1221" spans="1:6">
      <c r="A1221" s="10" t="str">
        <f t="shared" si="57"/>
        <v/>
      </c>
      <c r="B1221" s="85"/>
      <c r="C1221" s="28" t="str">
        <f t="shared" si="58"/>
        <v/>
      </c>
      <c r="D1221" s="28" t="str">
        <f t="shared" si="59"/>
        <v/>
      </c>
      <c r="E1221" s="88"/>
      <c r="F1221" s="83"/>
    </row>
    <row r="1222" spans="1:6">
      <c r="A1222" s="10" t="str">
        <f t="shared" si="57"/>
        <v/>
      </c>
      <c r="B1222" s="85"/>
      <c r="C1222" s="28" t="str">
        <f t="shared" si="58"/>
        <v/>
      </c>
      <c r="D1222" s="28" t="str">
        <f t="shared" si="59"/>
        <v/>
      </c>
      <c r="E1222" s="88"/>
      <c r="F1222" s="83"/>
    </row>
    <row r="1223" spans="1:6">
      <c r="A1223" s="10" t="str">
        <f t="shared" si="57"/>
        <v/>
      </c>
      <c r="B1223" s="85"/>
      <c r="C1223" s="28" t="str">
        <f t="shared" si="58"/>
        <v/>
      </c>
      <c r="D1223" s="28" t="str">
        <f t="shared" si="59"/>
        <v/>
      </c>
      <c r="E1223" s="88"/>
      <c r="F1223" s="83"/>
    </row>
    <row r="1224" spans="1:6">
      <c r="A1224" s="10" t="str">
        <f t="shared" si="57"/>
        <v/>
      </c>
      <c r="B1224" s="85"/>
      <c r="C1224" s="28" t="str">
        <f t="shared" si="58"/>
        <v/>
      </c>
      <c r="D1224" s="28" t="str">
        <f t="shared" si="59"/>
        <v/>
      </c>
      <c r="E1224" s="88"/>
      <c r="F1224" s="83"/>
    </row>
    <row r="1225" spans="1:6">
      <c r="A1225" s="10" t="str">
        <f t="shared" si="57"/>
        <v/>
      </c>
      <c r="B1225" s="85"/>
      <c r="C1225" s="28" t="str">
        <f t="shared" si="58"/>
        <v/>
      </c>
      <c r="D1225" s="28" t="str">
        <f t="shared" si="59"/>
        <v/>
      </c>
      <c r="E1225" s="88"/>
      <c r="F1225" s="83"/>
    </row>
    <row r="1226" spans="1:6">
      <c r="A1226" s="10" t="str">
        <f t="shared" si="57"/>
        <v/>
      </c>
      <c r="B1226" s="85"/>
      <c r="C1226" s="28" t="str">
        <f t="shared" si="58"/>
        <v/>
      </c>
      <c r="D1226" s="28" t="str">
        <f t="shared" si="59"/>
        <v/>
      </c>
      <c r="E1226" s="88"/>
      <c r="F1226" s="83"/>
    </row>
    <row r="1227" spans="1:6">
      <c r="A1227" s="10" t="str">
        <f t="shared" si="57"/>
        <v/>
      </c>
      <c r="B1227" s="85"/>
      <c r="C1227" s="28" t="str">
        <f t="shared" si="58"/>
        <v/>
      </c>
      <c r="D1227" s="28" t="str">
        <f t="shared" si="59"/>
        <v/>
      </c>
      <c r="E1227" s="88"/>
      <c r="F1227" s="83"/>
    </row>
    <row r="1228" spans="1:6">
      <c r="A1228" s="10" t="str">
        <f t="shared" si="57"/>
        <v/>
      </c>
      <c r="B1228" s="85"/>
      <c r="C1228" s="28" t="str">
        <f t="shared" si="58"/>
        <v/>
      </c>
      <c r="D1228" s="28" t="str">
        <f t="shared" si="59"/>
        <v/>
      </c>
      <c r="E1228" s="88"/>
      <c r="F1228" s="83"/>
    </row>
    <row r="1229" spans="1:6">
      <c r="A1229" s="10" t="str">
        <f t="shared" si="57"/>
        <v/>
      </c>
      <c r="B1229" s="85"/>
      <c r="C1229" s="28" t="str">
        <f t="shared" si="58"/>
        <v/>
      </c>
      <c r="D1229" s="28" t="str">
        <f t="shared" si="59"/>
        <v/>
      </c>
      <c r="E1229" s="88"/>
      <c r="F1229" s="83"/>
    </row>
    <row r="1230" spans="1:6">
      <c r="A1230" s="10" t="str">
        <f t="shared" si="57"/>
        <v/>
      </c>
      <c r="B1230" s="85"/>
      <c r="C1230" s="28" t="str">
        <f t="shared" si="58"/>
        <v/>
      </c>
      <c r="D1230" s="28" t="str">
        <f t="shared" si="59"/>
        <v/>
      </c>
      <c r="E1230" s="88"/>
      <c r="F1230" s="83"/>
    </row>
    <row r="1231" spans="1:6">
      <c r="A1231" s="10" t="str">
        <f t="shared" si="57"/>
        <v/>
      </c>
      <c r="B1231" s="85"/>
      <c r="C1231" s="28" t="str">
        <f t="shared" si="58"/>
        <v/>
      </c>
      <c r="D1231" s="28" t="str">
        <f t="shared" si="59"/>
        <v/>
      </c>
      <c r="E1231" s="88"/>
      <c r="F1231" s="83"/>
    </row>
    <row r="1232" spans="1:6">
      <c r="A1232" s="10" t="str">
        <f t="shared" si="57"/>
        <v/>
      </c>
      <c r="B1232" s="85"/>
      <c r="C1232" s="28" t="str">
        <f t="shared" si="58"/>
        <v/>
      </c>
      <c r="D1232" s="28" t="str">
        <f t="shared" si="59"/>
        <v/>
      </c>
      <c r="E1232" s="88"/>
      <c r="F1232" s="83"/>
    </row>
    <row r="1233" spans="1:6">
      <c r="A1233" s="10" t="str">
        <f t="shared" si="57"/>
        <v/>
      </c>
      <c r="B1233" s="85"/>
      <c r="C1233" s="28" t="str">
        <f t="shared" si="58"/>
        <v/>
      </c>
      <c r="D1233" s="28" t="str">
        <f t="shared" si="59"/>
        <v/>
      </c>
      <c r="E1233" s="88"/>
      <c r="F1233" s="83"/>
    </row>
    <row r="1234" spans="1:6">
      <c r="A1234" s="10" t="str">
        <f t="shared" si="57"/>
        <v/>
      </c>
      <c r="B1234" s="85"/>
      <c r="C1234" s="28" t="str">
        <f t="shared" si="58"/>
        <v/>
      </c>
      <c r="D1234" s="28" t="str">
        <f t="shared" si="59"/>
        <v/>
      </c>
      <c r="E1234" s="88"/>
      <c r="F1234" s="83"/>
    </row>
    <row r="1235" spans="1:6">
      <c r="A1235" s="10" t="str">
        <f t="shared" si="57"/>
        <v/>
      </c>
      <c r="B1235" s="85"/>
      <c r="C1235" s="28" t="str">
        <f t="shared" si="58"/>
        <v/>
      </c>
      <c r="D1235" s="28" t="str">
        <f t="shared" si="59"/>
        <v/>
      </c>
      <c r="E1235" s="88"/>
      <c r="F1235" s="83"/>
    </row>
    <row r="1236" spans="1:6">
      <c r="A1236" s="10" t="str">
        <f t="shared" si="57"/>
        <v/>
      </c>
      <c r="B1236" s="85"/>
      <c r="C1236" s="28" t="str">
        <f t="shared" si="58"/>
        <v/>
      </c>
      <c r="D1236" s="28" t="str">
        <f t="shared" si="59"/>
        <v/>
      </c>
      <c r="E1236" s="88"/>
      <c r="F1236" s="83"/>
    </row>
    <row r="1237" spans="1:6">
      <c r="A1237" s="10" t="str">
        <f t="shared" si="57"/>
        <v/>
      </c>
      <c r="B1237" s="85"/>
      <c r="C1237" s="28" t="str">
        <f t="shared" si="58"/>
        <v/>
      </c>
      <c r="D1237" s="28" t="str">
        <f t="shared" si="59"/>
        <v/>
      </c>
      <c r="E1237" s="88"/>
      <c r="F1237" s="83"/>
    </row>
    <row r="1238" spans="1:6">
      <c r="A1238" s="10" t="str">
        <f t="shared" si="57"/>
        <v/>
      </c>
      <c r="B1238" s="85"/>
      <c r="C1238" s="28" t="str">
        <f t="shared" si="58"/>
        <v/>
      </c>
      <c r="D1238" s="28" t="str">
        <f t="shared" si="59"/>
        <v/>
      </c>
      <c r="E1238" s="88"/>
      <c r="F1238" s="83"/>
    </row>
    <row r="1239" spans="1:6">
      <c r="A1239" s="10" t="str">
        <f t="shared" si="57"/>
        <v/>
      </c>
      <c r="B1239" s="85"/>
      <c r="C1239" s="28" t="str">
        <f t="shared" si="58"/>
        <v/>
      </c>
      <c r="D1239" s="28" t="str">
        <f t="shared" si="59"/>
        <v/>
      </c>
      <c r="E1239" s="88"/>
      <c r="F1239" s="83"/>
    </row>
    <row r="1240" spans="1:6">
      <c r="A1240" s="10" t="str">
        <f t="shared" si="57"/>
        <v/>
      </c>
      <c r="B1240" s="85"/>
      <c r="C1240" s="28" t="str">
        <f t="shared" si="58"/>
        <v/>
      </c>
      <c r="D1240" s="28" t="str">
        <f t="shared" si="59"/>
        <v/>
      </c>
      <c r="E1240" s="88"/>
      <c r="F1240" s="83"/>
    </row>
    <row r="1241" spans="1:6">
      <c r="A1241" s="10" t="str">
        <f t="shared" si="57"/>
        <v/>
      </c>
      <c r="B1241" s="85"/>
      <c r="C1241" s="28" t="str">
        <f t="shared" si="58"/>
        <v/>
      </c>
      <c r="D1241" s="28" t="str">
        <f t="shared" si="59"/>
        <v/>
      </c>
      <c r="E1241" s="88"/>
      <c r="F1241" s="83"/>
    </row>
    <row r="1242" spans="1:6">
      <c r="A1242" s="10" t="str">
        <f t="shared" si="57"/>
        <v/>
      </c>
      <c r="B1242" s="85"/>
      <c r="C1242" s="28" t="str">
        <f t="shared" si="58"/>
        <v/>
      </c>
      <c r="D1242" s="28" t="str">
        <f t="shared" si="59"/>
        <v/>
      </c>
      <c r="E1242" s="88"/>
      <c r="F1242" s="83"/>
    </row>
    <row r="1243" spans="1:6">
      <c r="A1243" s="10" t="str">
        <f t="shared" si="57"/>
        <v/>
      </c>
      <c r="B1243" s="85"/>
      <c r="C1243" s="28" t="str">
        <f t="shared" si="58"/>
        <v/>
      </c>
      <c r="D1243" s="28" t="str">
        <f t="shared" si="59"/>
        <v/>
      </c>
      <c r="E1243" s="88"/>
      <c r="F1243" s="83"/>
    </row>
    <row r="1244" spans="1:6">
      <c r="A1244" s="10" t="str">
        <f t="shared" si="57"/>
        <v/>
      </c>
      <c r="B1244" s="85"/>
      <c r="C1244" s="28" t="str">
        <f t="shared" si="58"/>
        <v/>
      </c>
      <c r="D1244" s="28" t="str">
        <f t="shared" si="59"/>
        <v/>
      </c>
      <c r="E1244" s="88"/>
      <c r="F1244" s="83"/>
    </row>
    <row r="1245" spans="1:6">
      <c r="A1245" s="10" t="str">
        <f t="shared" si="57"/>
        <v/>
      </c>
      <c r="B1245" s="85"/>
      <c r="C1245" s="28" t="str">
        <f t="shared" si="58"/>
        <v/>
      </c>
      <c r="D1245" s="28" t="str">
        <f t="shared" si="59"/>
        <v/>
      </c>
      <c r="E1245" s="88"/>
      <c r="F1245" s="83"/>
    </row>
    <row r="1246" spans="1:6">
      <c r="A1246" s="10" t="str">
        <f t="shared" si="57"/>
        <v/>
      </c>
      <c r="B1246" s="85"/>
      <c r="C1246" s="28" t="str">
        <f t="shared" si="58"/>
        <v/>
      </c>
      <c r="D1246" s="28" t="str">
        <f t="shared" si="59"/>
        <v/>
      </c>
      <c r="E1246" s="88"/>
      <c r="F1246" s="83"/>
    </row>
    <row r="1247" spans="1:6">
      <c r="A1247" s="10" t="str">
        <f t="shared" si="57"/>
        <v/>
      </c>
      <c r="B1247" s="85"/>
      <c r="C1247" s="28" t="str">
        <f t="shared" si="58"/>
        <v/>
      </c>
      <c r="D1247" s="28" t="str">
        <f t="shared" si="59"/>
        <v/>
      </c>
      <c r="E1247" s="88"/>
      <c r="F1247" s="83"/>
    </row>
    <row r="1248" spans="1:6">
      <c r="A1248" s="10" t="str">
        <f t="shared" si="57"/>
        <v/>
      </c>
      <c r="B1248" s="85"/>
      <c r="C1248" s="28" t="str">
        <f t="shared" si="58"/>
        <v/>
      </c>
      <c r="D1248" s="28" t="str">
        <f t="shared" si="59"/>
        <v/>
      </c>
      <c r="E1248" s="88"/>
      <c r="F1248" s="83"/>
    </row>
    <row r="1249" spans="1:6">
      <c r="A1249" s="10" t="str">
        <f t="shared" si="57"/>
        <v/>
      </c>
      <c r="B1249" s="85"/>
      <c r="C1249" s="28" t="str">
        <f t="shared" si="58"/>
        <v/>
      </c>
      <c r="D1249" s="28" t="str">
        <f t="shared" si="59"/>
        <v/>
      </c>
      <c r="E1249" s="88"/>
      <c r="F1249" s="83"/>
    </row>
    <row r="1250" spans="1:6">
      <c r="A1250" s="10" t="str">
        <f t="shared" si="57"/>
        <v/>
      </c>
      <c r="B1250" s="85"/>
      <c r="C1250" s="28" t="str">
        <f t="shared" si="58"/>
        <v/>
      </c>
      <c r="D1250" s="28" t="str">
        <f t="shared" si="59"/>
        <v/>
      </c>
      <c r="E1250" s="88"/>
      <c r="F1250" s="83"/>
    </row>
    <row r="1251" spans="1:6">
      <c r="A1251" s="10" t="str">
        <f t="shared" si="57"/>
        <v/>
      </c>
      <c r="B1251" s="85"/>
      <c r="C1251" s="28" t="str">
        <f t="shared" si="58"/>
        <v/>
      </c>
      <c r="D1251" s="28" t="str">
        <f t="shared" si="59"/>
        <v/>
      </c>
      <c r="E1251" s="88"/>
      <c r="F1251" s="83"/>
    </row>
    <row r="1252" spans="1:6">
      <c r="A1252" s="10" t="str">
        <f t="shared" si="57"/>
        <v/>
      </c>
      <c r="B1252" s="85"/>
      <c r="C1252" s="28" t="str">
        <f t="shared" si="58"/>
        <v/>
      </c>
      <c r="D1252" s="28" t="str">
        <f t="shared" si="59"/>
        <v/>
      </c>
      <c r="E1252" s="88"/>
      <c r="F1252" s="83"/>
    </row>
    <row r="1253" spans="1:6">
      <c r="A1253" s="10" t="str">
        <f t="shared" si="57"/>
        <v/>
      </c>
      <c r="B1253" s="85"/>
      <c r="C1253" s="28" t="str">
        <f t="shared" si="58"/>
        <v/>
      </c>
      <c r="D1253" s="28" t="str">
        <f t="shared" si="59"/>
        <v/>
      </c>
      <c r="E1253" s="88"/>
      <c r="F1253" s="83"/>
    </row>
    <row r="1254" spans="1:6">
      <c r="A1254" s="10" t="str">
        <f t="shared" si="57"/>
        <v/>
      </c>
      <c r="B1254" s="85"/>
      <c r="C1254" s="28" t="str">
        <f t="shared" si="58"/>
        <v/>
      </c>
      <c r="D1254" s="28" t="str">
        <f t="shared" si="59"/>
        <v/>
      </c>
      <c r="E1254" s="88"/>
      <c r="F1254" s="83"/>
    </row>
    <row r="1255" spans="1:6">
      <c r="A1255" s="10" t="str">
        <f t="shared" si="57"/>
        <v/>
      </c>
      <c r="B1255" s="85"/>
      <c r="C1255" s="28" t="str">
        <f t="shared" si="58"/>
        <v/>
      </c>
      <c r="D1255" s="28" t="str">
        <f t="shared" si="59"/>
        <v/>
      </c>
      <c r="E1255" s="88"/>
      <c r="F1255" s="83"/>
    </row>
    <row r="1256" spans="1:6">
      <c r="A1256" s="10" t="str">
        <f t="shared" si="57"/>
        <v/>
      </c>
      <c r="B1256" s="85"/>
      <c r="C1256" s="28" t="str">
        <f t="shared" si="58"/>
        <v/>
      </c>
      <c r="D1256" s="28" t="str">
        <f t="shared" si="59"/>
        <v/>
      </c>
      <c r="E1256" s="88"/>
      <c r="F1256" s="83"/>
    </row>
    <row r="1257" spans="1:6">
      <c r="A1257" s="10" t="str">
        <f t="shared" si="57"/>
        <v/>
      </c>
      <c r="B1257" s="85"/>
      <c r="C1257" s="28" t="str">
        <f t="shared" si="58"/>
        <v/>
      </c>
      <c r="D1257" s="28" t="str">
        <f t="shared" si="59"/>
        <v/>
      </c>
      <c r="E1257" s="88"/>
      <c r="F1257" s="83"/>
    </row>
    <row r="1258" spans="1:6">
      <c r="A1258" s="10" t="str">
        <f t="shared" si="57"/>
        <v/>
      </c>
      <c r="B1258" s="85"/>
      <c r="C1258" s="28" t="str">
        <f t="shared" si="58"/>
        <v/>
      </c>
      <c r="D1258" s="28" t="str">
        <f t="shared" si="59"/>
        <v/>
      </c>
      <c r="E1258" s="88"/>
      <c r="F1258" s="83"/>
    </row>
    <row r="1259" spans="1:6">
      <c r="A1259" s="10" t="str">
        <f t="shared" si="57"/>
        <v/>
      </c>
      <c r="B1259" s="85"/>
      <c r="C1259" s="28" t="str">
        <f t="shared" si="58"/>
        <v/>
      </c>
      <c r="D1259" s="28" t="str">
        <f t="shared" si="59"/>
        <v/>
      </c>
      <c r="E1259" s="88"/>
      <c r="F1259" s="83"/>
    </row>
    <row r="1260" spans="1:6">
      <c r="A1260" s="10" t="str">
        <f t="shared" si="57"/>
        <v/>
      </c>
      <c r="B1260" s="85"/>
      <c r="C1260" s="28" t="str">
        <f t="shared" si="58"/>
        <v/>
      </c>
      <c r="D1260" s="28" t="str">
        <f t="shared" si="59"/>
        <v/>
      </c>
      <c r="E1260" s="88"/>
      <c r="F1260" s="83"/>
    </row>
    <row r="1261" spans="1:6">
      <c r="A1261" s="10" t="str">
        <f t="shared" si="57"/>
        <v/>
      </c>
      <c r="B1261" s="85"/>
      <c r="C1261" s="28" t="str">
        <f t="shared" si="58"/>
        <v/>
      </c>
      <c r="D1261" s="28" t="str">
        <f t="shared" si="59"/>
        <v/>
      </c>
      <c r="E1261" s="88"/>
      <c r="F1261" s="83"/>
    </row>
    <row r="1262" spans="1:6">
      <c r="A1262" s="10" t="str">
        <f t="shared" si="57"/>
        <v/>
      </c>
      <c r="B1262" s="85"/>
      <c r="C1262" s="28" t="str">
        <f t="shared" si="58"/>
        <v/>
      </c>
      <c r="D1262" s="28" t="str">
        <f t="shared" si="59"/>
        <v/>
      </c>
      <c r="E1262" s="88"/>
      <c r="F1262" s="83"/>
    </row>
    <row r="1263" spans="1:6">
      <c r="A1263" s="10" t="str">
        <f t="shared" si="57"/>
        <v/>
      </c>
      <c r="B1263" s="85"/>
      <c r="C1263" s="28" t="str">
        <f t="shared" si="58"/>
        <v/>
      </c>
      <c r="D1263" s="28" t="str">
        <f t="shared" si="59"/>
        <v/>
      </c>
      <c r="E1263" s="88"/>
      <c r="F1263" s="83"/>
    </row>
    <row r="1264" spans="1:6">
      <c r="A1264" s="10" t="str">
        <f t="shared" si="57"/>
        <v/>
      </c>
      <c r="B1264" s="85"/>
      <c r="C1264" s="28" t="str">
        <f t="shared" si="58"/>
        <v/>
      </c>
      <c r="D1264" s="28" t="str">
        <f t="shared" si="59"/>
        <v/>
      </c>
      <c r="E1264" s="88"/>
      <c r="F1264" s="83"/>
    </row>
    <row r="1265" spans="1:6">
      <c r="A1265" s="10" t="str">
        <f t="shared" si="57"/>
        <v/>
      </c>
      <c r="B1265" s="85"/>
      <c r="C1265" s="28" t="str">
        <f t="shared" si="58"/>
        <v/>
      </c>
      <c r="D1265" s="28" t="str">
        <f t="shared" si="59"/>
        <v/>
      </c>
      <c r="E1265" s="88"/>
      <c r="F1265" s="83"/>
    </row>
    <row r="1266" spans="1:6">
      <c r="A1266" s="10" t="str">
        <f t="shared" si="57"/>
        <v/>
      </c>
      <c r="B1266" s="85"/>
      <c r="C1266" s="28" t="str">
        <f t="shared" si="58"/>
        <v/>
      </c>
      <c r="D1266" s="28" t="str">
        <f t="shared" si="59"/>
        <v/>
      </c>
      <c r="E1266" s="88"/>
      <c r="F1266" s="83"/>
    </row>
    <row r="1267" spans="1:6">
      <c r="A1267" s="10" t="str">
        <f t="shared" si="57"/>
        <v/>
      </c>
      <c r="B1267" s="85"/>
      <c r="C1267" s="28" t="str">
        <f t="shared" si="58"/>
        <v/>
      </c>
      <c r="D1267" s="28" t="str">
        <f t="shared" si="59"/>
        <v/>
      </c>
      <c r="E1267" s="88"/>
      <c r="F1267" s="83"/>
    </row>
    <row r="1268" spans="1:6">
      <c r="A1268" s="10" t="str">
        <f t="shared" si="57"/>
        <v/>
      </c>
      <c r="B1268" s="85"/>
      <c r="C1268" s="28" t="str">
        <f t="shared" si="58"/>
        <v/>
      </c>
      <c r="D1268" s="28" t="str">
        <f t="shared" si="59"/>
        <v/>
      </c>
      <c r="E1268" s="88"/>
      <c r="F1268" s="83"/>
    </row>
    <row r="1269" spans="1:6">
      <c r="A1269" s="10" t="str">
        <f t="shared" si="57"/>
        <v/>
      </c>
      <c r="B1269" s="85"/>
      <c r="C1269" s="28" t="str">
        <f t="shared" si="58"/>
        <v/>
      </c>
      <c r="D1269" s="28" t="str">
        <f t="shared" si="59"/>
        <v/>
      </c>
      <c r="E1269" s="88"/>
      <c r="F1269" s="83"/>
    </row>
    <row r="1270" spans="1:6">
      <c r="A1270" s="10" t="str">
        <f t="shared" si="57"/>
        <v/>
      </c>
      <c r="B1270" s="85"/>
      <c r="C1270" s="28" t="str">
        <f t="shared" si="58"/>
        <v/>
      </c>
      <c r="D1270" s="28" t="str">
        <f t="shared" si="59"/>
        <v/>
      </c>
      <c r="E1270" s="88"/>
      <c r="F1270" s="83"/>
    </row>
    <row r="1271" spans="1:6">
      <c r="A1271" s="10" t="str">
        <f t="shared" si="57"/>
        <v/>
      </c>
      <c r="B1271" s="85"/>
      <c r="C1271" s="28" t="str">
        <f t="shared" si="58"/>
        <v/>
      </c>
      <c r="D1271" s="28" t="str">
        <f t="shared" si="59"/>
        <v/>
      </c>
      <c r="E1271" s="88"/>
      <c r="F1271" s="83"/>
    </row>
    <row r="1272" spans="1:6">
      <c r="A1272" s="10" t="str">
        <f t="shared" si="57"/>
        <v/>
      </c>
      <c r="B1272" s="85"/>
      <c r="C1272" s="28" t="str">
        <f t="shared" si="58"/>
        <v/>
      </c>
      <c r="D1272" s="28" t="str">
        <f t="shared" si="59"/>
        <v/>
      </c>
      <c r="E1272" s="88"/>
      <c r="F1272" s="83"/>
    </row>
    <row r="1273" spans="1:6">
      <c r="A1273" s="10" t="str">
        <f t="shared" si="57"/>
        <v/>
      </c>
      <c r="B1273" s="85"/>
      <c r="C1273" s="28" t="str">
        <f t="shared" si="58"/>
        <v/>
      </c>
      <c r="D1273" s="28" t="str">
        <f t="shared" si="59"/>
        <v/>
      </c>
      <c r="E1273" s="88"/>
      <c r="F1273" s="83"/>
    </row>
    <row r="1274" spans="1:6">
      <c r="A1274" s="10" t="str">
        <f t="shared" si="57"/>
        <v/>
      </c>
      <c r="B1274" s="85"/>
      <c r="C1274" s="28" t="str">
        <f t="shared" si="58"/>
        <v/>
      </c>
      <c r="D1274" s="28" t="str">
        <f t="shared" si="59"/>
        <v/>
      </c>
      <c r="E1274" s="88"/>
      <c r="F1274" s="83"/>
    </row>
    <row r="1275" spans="1:6">
      <c r="A1275" s="10" t="str">
        <f t="shared" si="57"/>
        <v/>
      </c>
      <c r="B1275" s="85"/>
      <c r="C1275" s="28" t="str">
        <f t="shared" si="58"/>
        <v/>
      </c>
      <c r="D1275" s="28" t="str">
        <f t="shared" si="59"/>
        <v/>
      </c>
      <c r="E1275" s="88"/>
      <c r="F1275" s="83"/>
    </row>
    <row r="1276" spans="1:6">
      <c r="A1276" s="10" t="str">
        <f t="shared" si="57"/>
        <v/>
      </c>
      <c r="B1276" s="85"/>
      <c r="C1276" s="28" t="str">
        <f t="shared" si="58"/>
        <v/>
      </c>
      <c r="D1276" s="28" t="str">
        <f t="shared" si="59"/>
        <v/>
      </c>
      <c r="E1276" s="88"/>
      <c r="F1276" s="83"/>
    </row>
    <row r="1277" spans="1:6">
      <c r="A1277" s="10" t="str">
        <f t="shared" si="57"/>
        <v/>
      </c>
      <c r="B1277" s="85"/>
      <c r="C1277" s="28" t="str">
        <f t="shared" si="58"/>
        <v/>
      </c>
      <c r="D1277" s="28" t="str">
        <f t="shared" si="59"/>
        <v/>
      </c>
      <c r="E1277" s="88"/>
      <c r="F1277" s="83"/>
    </row>
    <row r="1278" spans="1:6">
      <c r="A1278" s="10" t="str">
        <f t="shared" si="57"/>
        <v/>
      </c>
      <c r="B1278" s="85"/>
      <c r="C1278" s="28" t="str">
        <f t="shared" si="58"/>
        <v/>
      </c>
      <c r="D1278" s="28" t="str">
        <f t="shared" si="59"/>
        <v/>
      </c>
      <c r="E1278" s="88"/>
      <c r="F1278" s="83"/>
    </row>
    <row r="1279" spans="1:6">
      <c r="A1279" s="10" t="str">
        <f t="shared" si="57"/>
        <v/>
      </c>
      <c r="B1279" s="85"/>
      <c r="C1279" s="28" t="str">
        <f t="shared" si="58"/>
        <v/>
      </c>
      <c r="D1279" s="28" t="str">
        <f t="shared" si="59"/>
        <v/>
      </c>
      <c r="E1279" s="88"/>
      <c r="F1279" s="83"/>
    </row>
    <row r="1280" spans="1:6">
      <c r="A1280" s="10" t="str">
        <f t="shared" si="57"/>
        <v/>
      </c>
      <c r="B1280" s="85"/>
      <c r="C1280" s="28" t="str">
        <f t="shared" si="58"/>
        <v/>
      </c>
      <c r="D1280" s="28" t="str">
        <f t="shared" si="59"/>
        <v/>
      </c>
      <c r="E1280" s="88"/>
      <c r="F1280" s="83"/>
    </row>
    <row r="1281" spans="1:6">
      <c r="A1281" s="10" t="str">
        <f t="shared" si="57"/>
        <v/>
      </c>
      <c r="B1281" s="85"/>
      <c r="C1281" s="28" t="str">
        <f t="shared" si="58"/>
        <v/>
      </c>
      <c r="D1281" s="28" t="str">
        <f t="shared" si="59"/>
        <v/>
      </c>
      <c r="E1281" s="88"/>
      <c r="F1281" s="83"/>
    </row>
    <row r="1282" spans="1:6">
      <c r="A1282" s="10" t="str">
        <f t="shared" si="57"/>
        <v/>
      </c>
      <c r="B1282" s="85"/>
      <c r="C1282" s="28" t="str">
        <f t="shared" si="58"/>
        <v/>
      </c>
      <c r="D1282" s="28" t="str">
        <f t="shared" si="59"/>
        <v/>
      </c>
      <c r="E1282" s="88"/>
      <c r="F1282" s="83"/>
    </row>
    <row r="1283" spans="1:6">
      <c r="A1283" s="10" t="str">
        <f t="shared" ref="A1283:A1348" si="60">IF(E1283&gt;0,A1282+1,"")</f>
        <v/>
      </c>
      <c r="B1283" s="85"/>
      <c r="C1283" s="28" t="str">
        <f t="shared" ref="C1283:C1345" si="61">IF(B1283=0,"",TEXT(B1283,"mmmm"))</f>
        <v/>
      </c>
      <c r="D1283" s="28" t="str">
        <f t="shared" ref="D1283:D1345" si="62">IF(B1283=0,"",TEXT(B1283,"yyyy"))</f>
        <v/>
      </c>
      <c r="E1283" s="88"/>
      <c r="F1283" s="83"/>
    </row>
    <row r="1284" spans="1:6">
      <c r="A1284" s="10" t="str">
        <f t="shared" si="60"/>
        <v/>
      </c>
      <c r="B1284" s="85"/>
      <c r="C1284" s="28" t="str">
        <f t="shared" si="61"/>
        <v/>
      </c>
      <c r="D1284" s="28" t="str">
        <f t="shared" si="62"/>
        <v/>
      </c>
      <c r="E1284" s="88"/>
      <c r="F1284" s="83"/>
    </row>
    <row r="1285" spans="1:6">
      <c r="A1285" s="10" t="str">
        <f t="shared" si="60"/>
        <v/>
      </c>
      <c r="B1285" s="85"/>
      <c r="C1285" s="28" t="str">
        <f t="shared" si="61"/>
        <v/>
      </c>
      <c r="D1285" s="28" t="str">
        <f t="shared" si="62"/>
        <v/>
      </c>
      <c r="E1285" s="88"/>
      <c r="F1285" s="83"/>
    </row>
    <row r="1286" spans="1:6">
      <c r="A1286" s="10" t="str">
        <f t="shared" si="60"/>
        <v/>
      </c>
      <c r="B1286" s="85"/>
      <c r="C1286" s="28" t="str">
        <f t="shared" si="61"/>
        <v/>
      </c>
      <c r="D1286" s="28" t="str">
        <f t="shared" si="62"/>
        <v/>
      </c>
      <c r="E1286" s="88"/>
      <c r="F1286" s="83"/>
    </row>
    <row r="1287" spans="1:6">
      <c r="A1287" s="10" t="str">
        <f t="shared" si="60"/>
        <v/>
      </c>
      <c r="B1287" s="85"/>
      <c r="C1287" s="28" t="str">
        <f t="shared" si="61"/>
        <v/>
      </c>
      <c r="D1287" s="28" t="str">
        <f t="shared" si="62"/>
        <v/>
      </c>
      <c r="E1287" s="88"/>
      <c r="F1287" s="83"/>
    </row>
    <row r="1288" spans="1:6">
      <c r="A1288" s="10" t="str">
        <f t="shared" si="60"/>
        <v/>
      </c>
      <c r="B1288" s="85"/>
      <c r="C1288" s="28" t="str">
        <f t="shared" si="61"/>
        <v/>
      </c>
      <c r="D1288" s="28" t="str">
        <f t="shared" si="62"/>
        <v/>
      </c>
      <c r="E1288" s="88"/>
      <c r="F1288" s="83"/>
    </row>
    <row r="1289" spans="1:6">
      <c r="A1289" s="10" t="str">
        <f t="shared" si="60"/>
        <v/>
      </c>
      <c r="B1289" s="85"/>
      <c r="C1289" s="28" t="str">
        <f t="shared" si="61"/>
        <v/>
      </c>
      <c r="D1289" s="28" t="str">
        <f t="shared" si="62"/>
        <v/>
      </c>
      <c r="E1289" s="88"/>
      <c r="F1289" s="83"/>
    </row>
    <row r="1290" spans="1:6">
      <c r="A1290" s="10" t="str">
        <f t="shared" si="60"/>
        <v/>
      </c>
      <c r="B1290" s="85"/>
      <c r="C1290" s="28" t="str">
        <f t="shared" si="61"/>
        <v/>
      </c>
      <c r="D1290" s="28" t="str">
        <f t="shared" si="62"/>
        <v/>
      </c>
      <c r="E1290" s="88"/>
      <c r="F1290" s="83"/>
    </row>
    <row r="1291" spans="1:6">
      <c r="A1291" s="10" t="str">
        <f t="shared" si="60"/>
        <v/>
      </c>
      <c r="B1291" s="85"/>
      <c r="C1291" s="28" t="str">
        <f t="shared" si="61"/>
        <v/>
      </c>
      <c r="D1291" s="28" t="str">
        <f t="shared" si="62"/>
        <v/>
      </c>
      <c r="E1291" s="88"/>
      <c r="F1291" s="83"/>
    </row>
    <row r="1292" spans="1:6">
      <c r="A1292" s="10" t="str">
        <f t="shared" si="60"/>
        <v/>
      </c>
      <c r="B1292" s="85"/>
      <c r="C1292" s="28" t="str">
        <f t="shared" si="61"/>
        <v/>
      </c>
      <c r="D1292" s="28" t="str">
        <f t="shared" si="62"/>
        <v/>
      </c>
      <c r="E1292" s="88"/>
      <c r="F1292" s="83"/>
    </row>
    <row r="1293" spans="1:6">
      <c r="A1293" s="10" t="str">
        <f t="shared" si="60"/>
        <v/>
      </c>
      <c r="B1293" s="85"/>
      <c r="C1293" s="28" t="str">
        <f t="shared" si="61"/>
        <v/>
      </c>
      <c r="D1293" s="28" t="str">
        <f t="shared" si="62"/>
        <v/>
      </c>
      <c r="E1293" s="88"/>
      <c r="F1293" s="83"/>
    </row>
    <row r="1294" spans="1:6">
      <c r="A1294" s="10" t="str">
        <f t="shared" si="60"/>
        <v/>
      </c>
      <c r="B1294" s="85"/>
      <c r="C1294" s="28" t="str">
        <f t="shared" si="61"/>
        <v/>
      </c>
      <c r="D1294" s="28" t="str">
        <f t="shared" si="62"/>
        <v/>
      </c>
      <c r="E1294" s="88"/>
      <c r="F1294" s="83"/>
    </row>
    <row r="1295" spans="1:6">
      <c r="A1295" s="10" t="str">
        <f t="shared" si="60"/>
        <v/>
      </c>
      <c r="B1295" s="85"/>
      <c r="C1295" s="28" t="str">
        <f t="shared" si="61"/>
        <v/>
      </c>
      <c r="D1295" s="28" t="str">
        <f t="shared" si="62"/>
        <v/>
      </c>
      <c r="E1295" s="88"/>
      <c r="F1295" s="83"/>
    </row>
    <row r="1296" spans="1:6">
      <c r="A1296" s="10" t="str">
        <f t="shared" si="60"/>
        <v/>
      </c>
      <c r="B1296" s="85"/>
      <c r="C1296" s="28" t="str">
        <f t="shared" si="61"/>
        <v/>
      </c>
      <c r="D1296" s="28" t="str">
        <f t="shared" si="62"/>
        <v/>
      </c>
      <c r="E1296" s="88"/>
      <c r="F1296" s="83"/>
    </row>
    <row r="1297" spans="1:6">
      <c r="A1297" s="10" t="str">
        <f t="shared" si="60"/>
        <v/>
      </c>
      <c r="B1297" s="85"/>
      <c r="C1297" s="28" t="str">
        <f t="shared" si="61"/>
        <v/>
      </c>
      <c r="D1297" s="28" t="str">
        <f t="shared" si="62"/>
        <v/>
      </c>
      <c r="E1297" s="88"/>
      <c r="F1297" s="83"/>
    </row>
    <row r="1298" spans="1:6">
      <c r="A1298" s="10" t="str">
        <f t="shared" si="60"/>
        <v/>
      </c>
      <c r="B1298" s="85"/>
      <c r="C1298" s="28" t="str">
        <f t="shared" si="61"/>
        <v/>
      </c>
      <c r="D1298" s="28" t="str">
        <f t="shared" si="62"/>
        <v/>
      </c>
      <c r="E1298" s="88"/>
      <c r="F1298" s="83"/>
    </row>
    <row r="1299" spans="1:6">
      <c r="A1299" s="10" t="str">
        <f t="shared" si="60"/>
        <v/>
      </c>
      <c r="B1299" s="85"/>
      <c r="C1299" s="28" t="str">
        <f t="shared" si="61"/>
        <v/>
      </c>
      <c r="D1299" s="28" t="str">
        <f t="shared" si="62"/>
        <v/>
      </c>
      <c r="E1299" s="88"/>
      <c r="F1299" s="83"/>
    </row>
    <row r="1300" spans="1:6">
      <c r="A1300" s="10" t="str">
        <f t="shared" si="60"/>
        <v/>
      </c>
      <c r="B1300" s="85"/>
      <c r="C1300" s="28" t="str">
        <f t="shared" si="61"/>
        <v/>
      </c>
      <c r="D1300" s="28" t="str">
        <f t="shared" si="62"/>
        <v/>
      </c>
      <c r="E1300" s="88"/>
      <c r="F1300" s="83"/>
    </row>
    <row r="1301" spans="1:6">
      <c r="A1301" s="10" t="str">
        <f t="shared" si="60"/>
        <v/>
      </c>
      <c r="B1301" s="85"/>
      <c r="C1301" s="28" t="str">
        <f t="shared" si="61"/>
        <v/>
      </c>
      <c r="D1301" s="28" t="str">
        <f t="shared" si="62"/>
        <v/>
      </c>
      <c r="E1301" s="88"/>
      <c r="F1301" s="83"/>
    </row>
    <row r="1302" spans="1:6">
      <c r="A1302" s="10" t="str">
        <f t="shared" si="60"/>
        <v/>
      </c>
      <c r="B1302" s="85"/>
      <c r="C1302" s="28" t="str">
        <f t="shared" si="61"/>
        <v/>
      </c>
      <c r="D1302" s="28" t="str">
        <f t="shared" si="62"/>
        <v/>
      </c>
      <c r="E1302" s="88"/>
      <c r="F1302" s="83"/>
    </row>
    <row r="1303" spans="1:6">
      <c r="A1303" s="10" t="str">
        <f t="shared" si="60"/>
        <v/>
      </c>
      <c r="B1303" s="85"/>
      <c r="C1303" s="28" t="str">
        <f t="shared" si="61"/>
        <v/>
      </c>
      <c r="D1303" s="28" t="str">
        <f t="shared" si="62"/>
        <v/>
      </c>
      <c r="E1303" s="88"/>
      <c r="F1303" s="83"/>
    </row>
    <row r="1304" spans="1:6">
      <c r="A1304" s="10" t="str">
        <f t="shared" si="60"/>
        <v/>
      </c>
      <c r="B1304" s="85"/>
      <c r="C1304" s="28" t="str">
        <f t="shared" si="61"/>
        <v/>
      </c>
      <c r="D1304" s="28" t="str">
        <f t="shared" si="62"/>
        <v/>
      </c>
      <c r="E1304" s="88"/>
      <c r="F1304" s="83"/>
    </row>
    <row r="1305" spans="1:6">
      <c r="A1305" s="10" t="str">
        <f t="shared" si="60"/>
        <v/>
      </c>
      <c r="B1305" s="85"/>
      <c r="C1305" s="28" t="str">
        <f t="shared" si="61"/>
        <v/>
      </c>
      <c r="D1305" s="28" t="str">
        <f t="shared" si="62"/>
        <v/>
      </c>
      <c r="E1305" s="88"/>
      <c r="F1305" s="83"/>
    </row>
    <row r="1306" spans="1:6">
      <c r="A1306" s="10" t="str">
        <f t="shared" si="60"/>
        <v/>
      </c>
      <c r="B1306" s="85"/>
      <c r="C1306" s="28" t="str">
        <f t="shared" si="61"/>
        <v/>
      </c>
      <c r="D1306" s="28" t="str">
        <f t="shared" si="62"/>
        <v/>
      </c>
      <c r="E1306" s="88"/>
      <c r="F1306" s="83"/>
    </row>
    <row r="1307" spans="1:6">
      <c r="A1307" s="10" t="str">
        <f t="shared" si="60"/>
        <v/>
      </c>
      <c r="B1307" s="85"/>
      <c r="C1307" s="28" t="str">
        <f t="shared" si="61"/>
        <v/>
      </c>
      <c r="D1307" s="28" t="str">
        <f t="shared" si="62"/>
        <v/>
      </c>
      <c r="E1307" s="88"/>
      <c r="F1307" s="83"/>
    </row>
    <row r="1308" spans="1:6">
      <c r="A1308" s="10" t="str">
        <f t="shared" si="60"/>
        <v/>
      </c>
      <c r="B1308" s="85"/>
      <c r="C1308" s="28" t="str">
        <f t="shared" si="61"/>
        <v/>
      </c>
      <c r="D1308" s="28" t="str">
        <f t="shared" si="62"/>
        <v/>
      </c>
      <c r="E1308" s="88"/>
      <c r="F1308" s="83"/>
    </row>
    <row r="1309" spans="1:6">
      <c r="A1309" s="10" t="str">
        <f t="shared" si="60"/>
        <v/>
      </c>
      <c r="B1309" s="85"/>
      <c r="C1309" s="28" t="str">
        <f t="shared" si="61"/>
        <v/>
      </c>
      <c r="D1309" s="28" t="str">
        <f t="shared" si="62"/>
        <v/>
      </c>
      <c r="E1309" s="88"/>
      <c r="F1309" s="83"/>
    </row>
    <row r="1310" spans="1:6">
      <c r="A1310" s="10" t="str">
        <f t="shared" si="60"/>
        <v/>
      </c>
      <c r="B1310" s="85"/>
      <c r="C1310" s="28" t="str">
        <f t="shared" si="61"/>
        <v/>
      </c>
      <c r="D1310" s="28" t="str">
        <f t="shared" si="62"/>
        <v/>
      </c>
      <c r="E1310" s="88"/>
      <c r="F1310" s="83"/>
    </row>
    <row r="1311" spans="1:6">
      <c r="A1311" s="10" t="str">
        <f t="shared" si="60"/>
        <v/>
      </c>
      <c r="B1311" s="85"/>
      <c r="C1311" s="28" t="str">
        <f t="shared" si="61"/>
        <v/>
      </c>
      <c r="D1311" s="28" t="str">
        <f t="shared" si="62"/>
        <v/>
      </c>
      <c r="E1311" s="88"/>
      <c r="F1311" s="83"/>
    </row>
    <row r="1312" spans="1:6">
      <c r="A1312" s="10" t="str">
        <f t="shared" si="60"/>
        <v/>
      </c>
      <c r="B1312" s="85"/>
      <c r="C1312" s="28" t="str">
        <f t="shared" si="61"/>
        <v/>
      </c>
      <c r="D1312" s="28" t="str">
        <f t="shared" si="62"/>
        <v/>
      </c>
      <c r="E1312" s="88"/>
      <c r="F1312" s="83"/>
    </row>
    <row r="1313" spans="1:6">
      <c r="A1313" s="10" t="str">
        <f t="shared" si="60"/>
        <v/>
      </c>
      <c r="B1313" s="85"/>
      <c r="C1313" s="28" t="str">
        <f t="shared" si="61"/>
        <v/>
      </c>
      <c r="D1313" s="28" t="str">
        <f t="shared" si="62"/>
        <v/>
      </c>
      <c r="E1313" s="88"/>
      <c r="F1313" s="83"/>
    </row>
    <row r="1314" spans="1:6">
      <c r="A1314" s="10" t="str">
        <f t="shared" si="60"/>
        <v/>
      </c>
      <c r="B1314" s="85"/>
      <c r="C1314" s="28" t="str">
        <f t="shared" si="61"/>
        <v/>
      </c>
      <c r="D1314" s="28" t="str">
        <f t="shared" si="62"/>
        <v/>
      </c>
      <c r="E1314" s="88"/>
      <c r="F1314" s="83"/>
    </row>
    <row r="1315" spans="1:6">
      <c r="A1315" s="10" t="str">
        <f t="shared" si="60"/>
        <v/>
      </c>
      <c r="B1315" s="85"/>
      <c r="C1315" s="28" t="str">
        <f t="shared" si="61"/>
        <v/>
      </c>
      <c r="D1315" s="28" t="str">
        <f t="shared" si="62"/>
        <v/>
      </c>
      <c r="E1315" s="88"/>
      <c r="F1315" s="83"/>
    </row>
    <row r="1316" spans="1:6">
      <c r="A1316" s="10" t="str">
        <f t="shared" si="60"/>
        <v/>
      </c>
      <c r="B1316" s="85"/>
      <c r="C1316" s="28" t="str">
        <f t="shared" si="61"/>
        <v/>
      </c>
      <c r="D1316" s="28" t="str">
        <f t="shared" si="62"/>
        <v/>
      </c>
      <c r="E1316" s="88"/>
      <c r="F1316" s="83"/>
    </row>
    <row r="1317" spans="1:6">
      <c r="A1317" s="10" t="str">
        <f t="shared" si="60"/>
        <v/>
      </c>
      <c r="B1317" s="85"/>
      <c r="C1317" s="28" t="str">
        <f t="shared" si="61"/>
        <v/>
      </c>
      <c r="D1317" s="28" t="str">
        <f t="shared" si="62"/>
        <v/>
      </c>
      <c r="E1317" s="88"/>
      <c r="F1317" s="83"/>
    </row>
    <row r="1318" spans="1:6">
      <c r="A1318" s="10" t="str">
        <f t="shared" si="60"/>
        <v/>
      </c>
      <c r="B1318" s="85"/>
      <c r="C1318" s="28" t="str">
        <f t="shared" si="61"/>
        <v/>
      </c>
      <c r="D1318" s="28" t="str">
        <f t="shared" si="62"/>
        <v/>
      </c>
      <c r="E1318" s="88"/>
      <c r="F1318" s="83"/>
    </row>
    <row r="1319" spans="1:6">
      <c r="A1319" s="10" t="str">
        <f t="shared" si="60"/>
        <v/>
      </c>
      <c r="B1319" s="85"/>
      <c r="C1319" s="28" t="str">
        <f t="shared" si="61"/>
        <v/>
      </c>
      <c r="D1319" s="28" t="str">
        <f t="shared" si="62"/>
        <v/>
      </c>
      <c r="E1319" s="88"/>
      <c r="F1319" s="83"/>
    </row>
    <row r="1320" spans="1:6">
      <c r="A1320" s="10" t="str">
        <f t="shared" si="60"/>
        <v/>
      </c>
      <c r="B1320" s="85"/>
      <c r="C1320" s="28" t="str">
        <f t="shared" si="61"/>
        <v/>
      </c>
      <c r="D1320" s="28" t="str">
        <f t="shared" si="62"/>
        <v/>
      </c>
      <c r="E1320" s="88"/>
      <c r="F1320" s="83"/>
    </row>
    <row r="1321" spans="1:6">
      <c r="A1321" s="10" t="str">
        <f t="shared" si="60"/>
        <v/>
      </c>
      <c r="B1321" s="85"/>
      <c r="C1321" s="28" t="str">
        <f t="shared" si="61"/>
        <v/>
      </c>
      <c r="D1321" s="28" t="str">
        <f t="shared" si="62"/>
        <v/>
      </c>
      <c r="E1321" s="88"/>
      <c r="F1321" s="83"/>
    </row>
    <row r="1322" spans="1:6">
      <c r="A1322" s="10" t="str">
        <f t="shared" si="60"/>
        <v/>
      </c>
      <c r="B1322" s="85"/>
      <c r="C1322" s="28" t="str">
        <f t="shared" si="61"/>
        <v/>
      </c>
      <c r="D1322" s="28" t="str">
        <f t="shared" si="62"/>
        <v/>
      </c>
      <c r="E1322" s="88"/>
      <c r="F1322" s="83"/>
    </row>
    <row r="1323" spans="1:6">
      <c r="A1323" s="10" t="str">
        <f t="shared" si="60"/>
        <v/>
      </c>
      <c r="B1323" s="85"/>
      <c r="C1323" s="28" t="str">
        <f t="shared" si="61"/>
        <v/>
      </c>
      <c r="D1323" s="28" t="str">
        <f t="shared" si="62"/>
        <v/>
      </c>
      <c r="E1323" s="88"/>
      <c r="F1323" s="83"/>
    </row>
    <row r="1324" spans="1:6">
      <c r="A1324" s="10" t="str">
        <f t="shared" si="60"/>
        <v/>
      </c>
      <c r="B1324" s="85"/>
      <c r="C1324" s="28" t="str">
        <f t="shared" si="61"/>
        <v/>
      </c>
      <c r="D1324" s="28" t="str">
        <f t="shared" si="62"/>
        <v/>
      </c>
      <c r="E1324" s="88"/>
      <c r="F1324" s="83"/>
    </row>
    <row r="1325" spans="1:6">
      <c r="A1325" s="10" t="str">
        <f t="shared" si="60"/>
        <v/>
      </c>
      <c r="B1325" s="85"/>
      <c r="C1325" s="28" t="str">
        <f t="shared" si="61"/>
        <v/>
      </c>
      <c r="D1325" s="28" t="str">
        <f t="shared" si="62"/>
        <v/>
      </c>
      <c r="E1325" s="88"/>
      <c r="F1325" s="83"/>
    </row>
    <row r="1326" spans="1:6">
      <c r="A1326" s="10" t="str">
        <f t="shared" si="60"/>
        <v/>
      </c>
      <c r="B1326" s="85"/>
      <c r="C1326" s="28" t="str">
        <f t="shared" si="61"/>
        <v/>
      </c>
      <c r="D1326" s="28" t="str">
        <f t="shared" si="62"/>
        <v/>
      </c>
      <c r="E1326" s="88"/>
      <c r="F1326" s="83"/>
    </row>
    <row r="1327" spans="1:6">
      <c r="A1327" s="10" t="str">
        <f t="shared" si="60"/>
        <v/>
      </c>
      <c r="B1327" s="85"/>
      <c r="C1327" s="28" t="str">
        <f t="shared" si="61"/>
        <v/>
      </c>
      <c r="D1327" s="28" t="str">
        <f t="shared" si="62"/>
        <v/>
      </c>
      <c r="E1327" s="88"/>
      <c r="F1327" s="83"/>
    </row>
    <row r="1328" spans="1:6">
      <c r="A1328" s="10" t="str">
        <f t="shared" si="60"/>
        <v/>
      </c>
      <c r="B1328" s="85"/>
      <c r="C1328" s="28" t="str">
        <f t="shared" si="61"/>
        <v/>
      </c>
      <c r="D1328" s="28" t="str">
        <f t="shared" si="62"/>
        <v/>
      </c>
      <c r="E1328" s="88"/>
      <c r="F1328" s="83"/>
    </row>
    <row r="1329" spans="1:6">
      <c r="A1329" s="10" t="str">
        <f t="shared" si="60"/>
        <v/>
      </c>
      <c r="B1329" s="85"/>
      <c r="C1329" s="28" t="str">
        <f t="shared" si="61"/>
        <v/>
      </c>
      <c r="D1329" s="28" t="str">
        <f t="shared" si="62"/>
        <v/>
      </c>
      <c r="E1329" s="88"/>
      <c r="F1329" s="83"/>
    </row>
    <row r="1330" spans="1:6">
      <c r="A1330" s="10" t="str">
        <f t="shared" si="60"/>
        <v/>
      </c>
      <c r="B1330" s="85"/>
      <c r="C1330" s="28" t="str">
        <f t="shared" si="61"/>
        <v/>
      </c>
      <c r="D1330" s="28" t="str">
        <f t="shared" si="62"/>
        <v/>
      </c>
      <c r="E1330" s="88"/>
      <c r="F1330" s="83"/>
    </row>
    <row r="1331" spans="1:6">
      <c r="A1331" s="10" t="str">
        <f t="shared" si="60"/>
        <v/>
      </c>
      <c r="B1331" s="85"/>
      <c r="C1331" s="28" t="str">
        <f t="shared" si="61"/>
        <v/>
      </c>
      <c r="D1331" s="28" t="str">
        <f t="shared" si="62"/>
        <v/>
      </c>
      <c r="E1331" s="88"/>
      <c r="F1331" s="83"/>
    </row>
    <row r="1332" spans="1:6">
      <c r="A1332" s="10" t="str">
        <f t="shared" si="60"/>
        <v/>
      </c>
      <c r="B1332" s="85"/>
      <c r="C1332" s="28" t="str">
        <f t="shared" si="61"/>
        <v/>
      </c>
      <c r="D1332" s="28" t="str">
        <f t="shared" si="62"/>
        <v/>
      </c>
      <c r="E1332" s="88"/>
      <c r="F1332" s="83"/>
    </row>
    <row r="1333" spans="1:6">
      <c r="A1333" s="10" t="str">
        <f t="shared" si="60"/>
        <v/>
      </c>
      <c r="B1333" s="85"/>
      <c r="C1333" s="28" t="str">
        <f t="shared" si="61"/>
        <v/>
      </c>
      <c r="D1333" s="28" t="str">
        <f t="shared" si="62"/>
        <v/>
      </c>
      <c r="E1333" s="88"/>
      <c r="F1333" s="83"/>
    </row>
    <row r="1334" spans="1:6">
      <c r="A1334" s="10" t="str">
        <f t="shared" si="60"/>
        <v/>
      </c>
      <c r="B1334" s="85"/>
      <c r="C1334" s="28" t="str">
        <f t="shared" si="61"/>
        <v/>
      </c>
      <c r="D1334" s="28" t="str">
        <f t="shared" si="62"/>
        <v/>
      </c>
      <c r="E1334" s="88"/>
      <c r="F1334" s="83"/>
    </row>
    <row r="1335" spans="1:6">
      <c r="A1335" s="10" t="str">
        <f t="shared" si="60"/>
        <v/>
      </c>
      <c r="B1335" s="85"/>
      <c r="C1335" s="28" t="str">
        <f t="shared" si="61"/>
        <v/>
      </c>
      <c r="D1335" s="28" t="str">
        <f t="shared" si="62"/>
        <v/>
      </c>
      <c r="E1335" s="88"/>
      <c r="F1335" s="83"/>
    </row>
    <row r="1336" spans="1:6">
      <c r="A1336" s="10" t="str">
        <f t="shared" si="60"/>
        <v/>
      </c>
      <c r="B1336" s="85"/>
      <c r="C1336" s="28" t="str">
        <f t="shared" si="61"/>
        <v/>
      </c>
      <c r="D1336" s="28" t="str">
        <f t="shared" si="62"/>
        <v/>
      </c>
      <c r="E1336" s="88"/>
      <c r="F1336" s="83"/>
    </row>
    <row r="1337" spans="1:6">
      <c r="A1337" s="10" t="str">
        <f t="shared" si="60"/>
        <v/>
      </c>
      <c r="B1337" s="85"/>
      <c r="C1337" s="28" t="str">
        <f t="shared" si="61"/>
        <v/>
      </c>
      <c r="D1337" s="28" t="str">
        <f t="shared" si="62"/>
        <v/>
      </c>
      <c r="E1337" s="88"/>
      <c r="F1337" s="83"/>
    </row>
    <row r="1338" spans="1:6">
      <c r="A1338" s="10" t="str">
        <f t="shared" si="60"/>
        <v/>
      </c>
      <c r="B1338" s="85"/>
      <c r="C1338" s="28" t="str">
        <f t="shared" si="61"/>
        <v/>
      </c>
      <c r="D1338" s="28" t="str">
        <f t="shared" si="62"/>
        <v/>
      </c>
      <c r="E1338" s="88"/>
      <c r="F1338" s="83"/>
    </row>
    <row r="1339" spans="1:6">
      <c r="A1339" s="10" t="str">
        <f t="shared" si="60"/>
        <v/>
      </c>
      <c r="B1339" s="85"/>
      <c r="C1339" s="28" t="str">
        <f t="shared" si="61"/>
        <v/>
      </c>
      <c r="D1339" s="28" t="str">
        <f t="shared" si="62"/>
        <v/>
      </c>
      <c r="E1339" s="88"/>
      <c r="F1339" s="83"/>
    </row>
    <row r="1340" spans="1:6">
      <c r="A1340" s="10" t="str">
        <f t="shared" si="60"/>
        <v/>
      </c>
      <c r="B1340" s="85"/>
      <c r="C1340" s="28" t="str">
        <f t="shared" si="61"/>
        <v/>
      </c>
      <c r="D1340" s="28" t="str">
        <f t="shared" si="62"/>
        <v/>
      </c>
      <c r="E1340" s="88"/>
      <c r="F1340" s="83"/>
    </row>
    <row r="1341" spans="1:6">
      <c r="A1341" s="10" t="str">
        <f t="shared" si="60"/>
        <v/>
      </c>
      <c r="B1341" s="85"/>
      <c r="C1341" s="28" t="str">
        <f t="shared" si="61"/>
        <v/>
      </c>
      <c r="D1341" s="28" t="str">
        <f t="shared" si="62"/>
        <v/>
      </c>
      <c r="E1341" s="88"/>
      <c r="F1341" s="83"/>
    </row>
    <row r="1342" spans="1:6">
      <c r="A1342" s="10" t="str">
        <f t="shared" si="60"/>
        <v/>
      </c>
      <c r="B1342" s="85"/>
      <c r="C1342" s="28" t="str">
        <f t="shared" si="61"/>
        <v/>
      </c>
      <c r="D1342" s="28" t="str">
        <f t="shared" si="62"/>
        <v/>
      </c>
      <c r="E1342" s="88"/>
      <c r="F1342" s="83"/>
    </row>
    <row r="1343" spans="1:6">
      <c r="A1343" s="10" t="str">
        <f t="shared" si="60"/>
        <v/>
      </c>
      <c r="B1343" s="85"/>
      <c r="C1343" s="28" t="str">
        <f t="shared" si="61"/>
        <v/>
      </c>
      <c r="D1343" s="28" t="str">
        <f t="shared" si="62"/>
        <v/>
      </c>
      <c r="E1343" s="88"/>
      <c r="F1343" s="83"/>
    </row>
    <row r="1344" spans="1:6">
      <c r="A1344" s="10" t="str">
        <f t="shared" si="60"/>
        <v/>
      </c>
      <c r="B1344" s="85"/>
      <c r="C1344" s="28" t="str">
        <f t="shared" si="61"/>
        <v/>
      </c>
      <c r="D1344" s="28" t="str">
        <f t="shared" si="62"/>
        <v/>
      </c>
      <c r="E1344" s="88"/>
      <c r="F1344" s="83"/>
    </row>
    <row r="1345" spans="1:6">
      <c r="A1345" s="10" t="str">
        <f t="shared" si="60"/>
        <v/>
      </c>
      <c r="B1345" s="85"/>
      <c r="C1345" s="28" t="str">
        <f t="shared" si="61"/>
        <v/>
      </c>
      <c r="D1345" s="28" t="str">
        <f t="shared" si="62"/>
        <v/>
      </c>
      <c r="E1345" s="88"/>
      <c r="F1345" s="83"/>
    </row>
    <row r="1346" spans="1:6">
      <c r="A1346" s="10" t="str">
        <f t="shared" si="60"/>
        <v/>
      </c>
      <c r="B1346" s="85"/>
      <c r="C1346" s="28" t="str">
        <f>IF(B1346=0,"",TEXT(B1346,"mmmm"))</f>
        <v/>
      </c>
      <c r="D1346" s="28" t="str">
        <f>IF(B1346=0,"",TEXT(B1346,"yyyy"))</f>
        <v/>
      </c>
      <c r="E1346" s="88"/>
      <c r="F1346" s="83"/>
    </row>
    <row r="1347" spans="1:6">
      <c r="A1347" s="10" t="str">
        <f t="shared" si="60"/>
        <v/>
      </c>
      <c r="B1347" s="85"/>
      <c r="C1347" s="28" t="str">
        <f>IF(B1347=0,"",TEXT(B1347,"mmmm"))</f>
        <v/>
      </c>
      <c r="D1347" s="28" t="str">
        <f>IF(B1347=0,"",TEXT(B1347,"yyyy"))</f>
        <v/>
      </c>
      <c r="E1347" s="88"/>
      <c r="F1347" s="83"/>
    </row>
    <row r="1348" spans="1:6">
      <c r="A1348" s="10" t="str">
        <f t="shared" si="60"/>
        <v/>
      </c>
      <c r="B1348" s="85"/>
      <c r="C1348" s="28" t="str">
        <f>IF(B1348=0,"",TEXT(B1348,"mmmm"))</f>
        <v/>
      </c>
      <c r="D1348" s="28" t="str">
        <f>IF(B1348=0,"",TEXT(B1348,"yyyy"))</f>
        <v/>
      </c>
      <c r="E1348" s="88"/>
      <c r="F1348" s="83"/>
    </row>
  </sheetData>
  <sheetProtection algorithmName="SHA-512" hashValue="9/SFhtqx8I8Wcpn4BVKFPpuwUZA9+mNys4uZf/D/TlRpDwE103oUXTDCssMYlzzuIAonA3DYd5BqkAw/kn/HFQ==" saltValue="NcT/0xmhxeemy8bPY8wbVQ==" spinCount="100000" sheet="1" objects="1" scenarios="1" selectLockedCell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B0458-58CC-6A47-A7DE-0F092AFE0A4A}">
  <dimension ref="A1:M1348"/>
  <sheetViews>
    <sheetView showGridLines="0" zoomScale="172" zoomScaleNormal="172" workbookViewId="0">
      <selection activeCell="G15" sqref="G15"/>
    </sheetView>
  </sheetViews>
  <sheetFormatPr baseColWidth="10" defaultRowHeight="16"/>
  <cols>
    <col min="1" max="1" width="4.33203125" style="1" bestFit="1" customWidth="1"/>
    <col min="2" max="2" width="10" style="72" bestFit="1" customWidth="1"/>
    <col min="3" max="3" width="9.6640625" style="27" customWidth="1"/>
    <col min="4" max="4" width="5.1640625" style="27" bestFit="1" customWidth="1"/>
    <col min="5" max="5" width="14.1640625" style="78" bestFit="1" customWidth="1"/>
    <col min="6" max="6" width="24.6640625" style="50" customWidth="1"/>
    <col min="7" max="7" width="8" style="57" customWidth="1"/>
    <col min="8" max="8" width="11.6640625" style="84" customWidth="1"/>
    <col min="9" max="9" width="9.33203125" style="33" customWidth="1"/>
    <col min="10" max="10" width="10.1640625" bestFit="1" customWidth="1"/>
  </cols>
  <sheetData>
    <row r="1" spans="1:13" s="4" customFormat="1" ht="27" thickBot="1">
      <c r="A1" s="32" t="s">
        <v>29</v>
      </c>
      <c r="B1" s="75" t="s">
        <v>25</v>
      </c>
      <c r="C1" s="19" t="s">
        <v>26</v>
      </c>
      <c r="D1" s="19" t="s">
        <v>18</v>
      </c>
      <c r="E1" s="76" t="s">
        <v>3</v>
      </c>
      <c r="F1" s="79" t="s">
        <v>27</v>
      </c>
      <c r="G1" s="80" t="s">
        <v>28</v>
      </c>
      <c r="H1" s="81" t="s">
        <v>118</v>
      </c>
      <c r="I1" s="20" t="s">
        <v>119</v>
      </c>
      <c r="J1" s="38"/>
      <c r="K1" s="39"/>
      <c r="L1" s="40"/>
    </row>
    <row r="2" spans="1:13">
      <c r="A2" s="12">
        <f>IF(E2&gt;0,1,"")</f>
        <v>1</v>
      </c>
      <c r="B2" s="52">
        <v>46245</v>
      </c>
      <c r="C2" s="31" t="str">
        <f>IF(B2=0,"",TEXT(B2,"mmmm"))</f>
        <v>August</v>
      </c>
      <c r="D2" s="31" t="str">
        <f>IF(B2=0,"",TEXT(B2,"yyyy"))</f>
        <v>2026</v>
      </c>
      <c r="E2" s="77" t="s">
        <v>105</v>
      </c>
      <c r="F2" s="54" t="s">
        <v>117</v>
      </c>
      <c r="G2" s="55">
        <v>1</v>
      </c>
      <c r="H2" s="82">
        <v>13000</v>
      </c>
      <c r="I2" s="34">
        <f>IF(G2*H2=0,"",G2*H2)</f>
        <v>13000</v>
      </c>
    </row>
    <row r="3" spans="1:13">
      <c r="A3" s="10" t="str">
        <f>IF(E3&gt;0,A2+1,"")</f>
        <v/>
      </c>
      <c r="B3" s="52"/>
      <c r="C3" s="28" t="str">
        <f t="shared" ref="C3:C66" si="0">IF(B3=0,"",TEXT(B3,"mmmm"))</f>
        <v/>
      </c>
      <c r="D3" s="28" t="str">
        <f t="shared" ref="D3:D66" si="1">IF(B3=0,"",TEXT(B3,"yyyy"))</f>
        <v/>
      </c>
      <c r="E3" s="77"/>
      <c r="F3" s="54"/>
      <c r="G3" s="56"/>
      <c r="H3" s="83"/>
      <c r="I3" s="35" t="str">
        <f t="shared" ref="I3:I66" si="2">IF(G3*H3=0,"",G3*H3)</f>
        <v/>
      </c>
    </row>
    <row r="4" spans="1:13">
      <c r="A4" s="10" t="str">
        <f t="shared" ref="A4:A67" si="3">IF(E4&gt;0,A3+1,"")</f>
        <v/>
      </c>
      <c r="B4" s="53"/>
      <c r="C4" s="28" t="str">
        <f t="shared" si="0"/>
        <v/>
      </c>
      <c r="D4" s="28" t="str">
        <f t="shared" si="1"/>
        <v/>
      </c>
      <c r="E4" s="77"/>
      <c r="F4" s="45"/>
      <c r="G4" s="56"/>
      <c r="H4" s="83"/>
      <c r="I4" s="35" t="str">
        <f t="shared" si="2"/>
        <v/>
      </c>
    </row>
    <row r="5" spans="1:13">
      <c r="A5" s="10" t="str">
        <f t="shared" si="3"/>
        <v/>
      </c>
      <c r="B5" s="53"/>
      <c r="C5" s="28" t="str">
        <f t="shared" si="0"/>
        <v/>
      </c>
      <c r="D5" s="28" t="str">
        <f t="shared" si="1"/>
        <v/>
      </c>
      <c r="E5" s="77"/>
      <c r="F5" s="54"/>
      <c r="G5" s="56"/>
      <c r="H5" s="82"/>
      <c r="I5" s="35" t="str">
        <f t="shared" si="2"/>
        <v/>
      </c>
      <c r="J5" s="6"/>
    </row>
    <row r="6" spans="1:13">
      <c r="A6" s="10" t="str">
        <f t="shared" si="3"/>
        <v/>
      </c>
      <c r="B6" s="53"/>
      <c r="C6" s="28" t="str">
        <f t="shared" si="0"/>
        <v/>
      </c>
      <c r="D6" s="28" t="str">
        <f t="shared" si="1"/>
        <v/>
      </c>
      <c r="E6" s="77"/>
      <c r="F6" s="45"/>
      <c r="G6" s="56"/>
      <c r="H6" s="83"/>
      <c r="I6" s="35" t="str">
        <f t="shared" si="2"/>
        <v/>
      </c>
      <c r="J6" s="6"/>
    </row>
    <row r="7" spans="1:13">
      <c r="A7" s="10" t="str">
        <f t="shared" si="3"/>
        <v/>
      </c>
      <c r="B7" s="53"/>
      <c r="C7" s="28" t="str">
        <f t="shared" si="0"/>
        <v/>
      </c>
      <c r="D7" s="28" t="str">
        <f t="shared" si="1"/>
        <v/>
      </c>
      <c r="E7" s="77"/>
      <c r="F7" s="45"/>
      <c r="G7" s="56"/>
      <c r="H7" s="83"/>
      <c r="I7" s="35" t="str">
        <f t="shared" si="2"/>
        <v/>
      </c>
      <c r="J7" s="6"/>
    </row>
    <row r="8" spans="1:13">
      <c r="A8" s="10" t="str">
        <f t="shared" si="3"/>
        <v/>
      </c>
      <c r="B8" s="53"/>
      <c r="C8" s="28" t="str">
        <f t="shared" si="0"/>
        <v/>
      </c>
      <c r="D8" s="28" t="str">
        <f t="shared" si="1"/>
        <v/>
      </c>
      <c r="E8" s="77"/>
      <c r="F8" s="54"/>
      <c r="G8" s="56"/>
      <c r="H8" s="83"/>
      <c r="I8" s="35" t="str">
        <f t="shared" si="2"/>
        <v/>
      </c>
    </row>
    <row r="9" spans="1:13">
      <c r="A9" s="10" t="str">
        <f t="shared" si="3"/>
        <v/>
      </c>
      <c r="B9" s="53"/>
      <c r="C9" s="28" t="str">
        <f t="shared" si="0"/>
        <v/>
      </c>
      <c r="D9" s="28" t="str">
        <f t="shared" si="1"/>
        <v/>
      </c>
      <c r="E9" s="77"/>
      <c r="F9" s="54"/>
      <c r="G9" s="56"/>
      <c r="H9" s="83"/>
      <c r="I9" s="35" t="str">
        <f t="shared" si="2"/>
        <v/>
      </c>
    </row>
    <row r="10" spans="1:13">
      <c r="A10" s="10" t="str">
        <f t="shared" si="3"/>
        <v/>
      </c>
      <c r="B10" s="53"/>
      <c r="C10" s="28" t="str">
        <f t="shared" si="0"/>
        <v/>
      </c>
      <c r="D10" s="28" t="str">
        <f t="shared" si="1"/>
        <v/>
      </c>
      <c r="E10" s="77"/>
      <c r="F10" s="54"/>
      <c r="G10" s="56"/>
      <c r="H10" s="83"/>
      <c r="I10" s="35" t="str">
        <f t="shared" si="2"/>
        <v/>
      </c>
    </row>
    <row r="11" spans="1:13">
      <c r="A11" s="10" t="str">
        <f t="shared" si="3"/>
        <v/>
      </c>
      <c r="B11" s="53"/>
      <c r="C11" s="28" t="str">
        <f t="shared" si="0"/>
        <v/>
      </c>
      <c r="D11" s="28" t="str">
        <f t="shared" si="1"/>
        <v/>
      </c>
      <c r="E11" s="77"/>
      <c r="F11" s="45"/>
      <c r="G11" s="56"/>
      <c r="H11" s="83"/>
      <c r="I11" s="35" t="str">
        <f t="shared" si="2"/>
        <v/>
      </c>
    </row>
    <row r="12" spans="1:13">
      <c r="A12" s="10" t="str">
        <f t="shared" si="3"/>
        <v/>
      </c>
      <c r="B12" s="53"/>
      <c r="C12" s="28" t="str">
        <f t="shared" si="0"/>
        <v/>
      </c>
      <c r="D12" s="28" t="str">
        <f t="shared" si="1"/>
        <v/>
      </c>
      <c r="E12" s="77"/>
      <c r="F12" s="45"/>
      <c r="G12" s="56"/>
      <c r="H12" s="83"/>
      <c r="I12" s="35" t="str">
        <f t="shared" si="2"/>
        <v/>
      </c>
      <c r="M12" t="s">
        <v>97</v>
      </c>
    </row>
    <row r="13" spans="1:13">
      <c r="A13" s="10" t="str">
        <f t="shared" si="3"/>
        <v/>
      </c>
      <c r="B13" s="53"/>
      <c r="C13" s="28" t="str">
        <f t="shared" si="0"/>
        <v/>
      </c>
      <c r="D13" s="28" t="str">
        <f t="shared" si="1"/>
        <v/>
      </c>
      <c r="E13" s="77"/>
      <c r="F13" s="45"/>
      <c r="G13" s="56"/>
      <c r="H13" s="83"/>
      <c r="I13" s="35" t="str">
        <f t="shared" si="2"/>
        <v/>
      </c>
    </row>
    <row r="14" spans="1:13">
      <c r="A14" s="10" t="str">
        <f t="shared" si="3"/>
        <v/>
      </c>
      <c r="B14" s="53"/>
      <c r="C14" s="28" t="str">
        <f t="shared" si="0"/>
        <v/>
      </c>
      <c r="D14" s="28" t="str">
        <f t="shared" si="1"/>
        <v/>
      </c>
      <c r="E14" s="77"/>
      <c r="F14" s="45"/>
      <c r="G14" s="56"/>
      <c r="H14" s="83"/>
      <c r="I14" s="35" t="str">
        <f t="shared" si="2"/>
        <v/>
      </c>
    </row>
    <row r="15" spans="1:13">
      <c r="A15" s="10" t="str">
        <f t="shared" si="3"/>
        <v/>
      </c>
      <c r="B15" s="53"/>
      <c r="C15" s="28" t="str">
        <f t="shared" si="0"/>
        <v/>
      </c>
      <c r="D15" s="28" t="str">
        <f t="shared" si="1"/>
        <v/>
      </c>
      <c r="E15" s="77"/>
      <c r="F15" s="45"/>
      <c r="G15" s="56"/>
      <c r="H15" s="83"/>
      <c r="I15" s="35" t="str">
        <f t="shared" si="2"/>
        <v/>
      </c>
    </row>
    <row r="16" spans="1:13">
      <c r="A16" s="10" t="str">
        <f t="shared" si="3"/>
        <v/>
      </c>
      <c r="B16" s="53"/>
      <c r="C16" s="28" t="str">
        <f t="shared" si="0"/>
        <v/>
      </c>
      <c r="D16" s="28" t="str">
        <f t="shared" si="1"/>
        <v/>
      </c>
      <c r="E16" s="77"/>
      <c r="F16" s="45"/>
      <c r="G16" s="56"/>
      <c r="H16" s="83"/>
      <c r="I16" s="35" t="str">
        <f t="shared" si="2"/>
        <v/>
      </c>
    </row>
    <row r="17" spans="1:9">
      <c r="A17" s="10" t="str">
        <f t="shared" si="3"/>
        <v/>
      </c>
      <c r="B17" s="53"/>
      <c r="C17" s="28" t="str">
        <f t="shared" si="0"/>
        <v/>
      </c>
      <c r="D17" s="28" t="str">
        <f t="shared" si="1"/>
        <v/>
      </c>
      <c r="E17" s="77"/>
      <c r="F17" s="45"/>
      <c r="G17" s="56"/>
      <c r="H17" s="83"/>
      <c r="I17" s="35" t="str">
        <f t="shared" si="2"/>
        <v/>
      </c>
    </row>
    <row r="18" spans="1:9">
      <c r="A18" s="10" t="str">
        <f t="shared" si="3"/>
        <v/>
      </c>
      <c r="B18" s="53"/>
      <c r="C18" s="28" t="str">
        <f t="shared" si="0"/>
        <v/>
      </c>
      <c r="D18" s="28" t="str">
        <f t="shared" si="1"/>
        <v/>
      </c>
      <c r="E18" s="77"/>
      <c r="F18" s="45"/>
      <c r="G18" s="56"/>
      <c r="H18" s="83"/>
      <c r="I18" s="35" t="str">
        <f t="shared" si="2"/>
        <v/>
      </c>
    </row>
    <row r="19" spans="1:9">
      <c r="A19" s="10" t="str">
        <f t="shared" si="3"/>
        <v/>
      </c>
      <c r="B19" s="53"/>
      <c r="C19" s="28" t="str">
        <f t="shared" si="0"/>
        <v/>
      </c>
      <c r="D19" s="28" t="str">
        <f t="shared" si="1"/>
        <v/>
      </c>
      <c r="E19" s="77"/>
      <c r="F19" s="45"/>
      <c r="G19" s="56"/>
      <c r="H19" s="83"/>
      <c r="I19" s="35" t="str">
        <f t="shared" si="2"/>
        <v/>
      </c>
    </row>
    <row r="20" spans="1:9">
      <c r="A20" s="10" t="str">
        <f t="shared" si="3"/>
        <v/>
      </c>
      <c r="B20" s="53"/>
      <c r="C20" s="28" t="str">
        <f t="shared" si="0"/>
        <v/>
      </c>
      <c r="D20" s="28" t="str">
        <f t="shared" si="1"/>
        <v/>
      </c>
      <c r="E20" s="77"/>
      <c r="F20" s="45"/>
      <c r="G20" s="56"/>
      <c r="H20" s="83"/>
      <c r="I20" s="35" t="str">
        <f t="shared" si="2"/>
        <v/>
      </c>
    </row>
    <row r="21" spans="1:9">
      <c r="A21" s="10" t="str">
        <f t="shared" si="3"/>
        <v/>
      </c>
      <c r="B21" s="53"/>
      <c r="C21" s="28" t="str">
        <f t="shared" si="0"/>
        <v/>
      </c>
      <c r="D21" s="28" t="str">
        <f t="shared" si="1"/>
        <v/>
      </c>
      <c r="E21" s="77"/>
      <c r="F21" s="45"/>
      <c r="G21" s="56"/>
      <c r="H21" s="83"/>
      <c r="I21" s="35" t="str">
        <f t="shared" si="2"/>
        <v/>
      </c>
    </row>
    <row r="22" spans="1:9">
      <c r="A22" s="10" t="str">
        <f t="shared" si="3"/>
        <v/>
      </c>
      <c r="B22" s="53"/>
      <c r="C22" s="28" t="str">
        <f t="shared" si="0"/>
        <v/>
      </c>
      <c r="D22" s="28" t="str">
        <f t="shared" si="1"/>
        <v/>
      </c>
      <c r="E22" s="77"/>
      <c r="F22" s="45"/>
      <c r="G22" s="56"/>
      <c r="H22" s="83"/>
      <c r="I22" s="35" t="str">
        <f t="shared" si="2"/>
        <v/>
      </c>
    </row>
    <row r="23" spans="1:9">
      <c r="A23" s="10" t="str">
        <f t="shared" si="3"/>
        <v/>
      </c>
      <c r="B23" s="53"/>
      <c r="C23" s="28" t="str">
        <f t="shared" si="0"/>
        <v/>
      </c>
      <c r="D23" s="28" t="str">
        <f t="shared" si="1"/>
        <v/>
      </c>
      <c r="E23" s="77"/>
      <c r="F23" s="45"/>
      <c r="G23" s="56"/>
      <c r="H23" s="83"/>
      <c r="I23" s="35" t="str">
        <f t="shared" si="2"/>
        <v/>
      </c>
    </row>
    <row r="24" spans="1:9">
      <c r="A24" s="10" t="str">
        <f t="shared" si="3"/>
        <v/>
      </c>
      <c r="B24" s="53"/>
      <c r="C24" s="28" t="str">
        <f t="shared" si="0"/>
        <v/>
      </c>
      <c r="D24" s="28" t="str">
        <f t="shared" si="1"/>
        <v/>
      </c>
      <c r="E24" s="77"/>
      <c r="F24" s="45"/>
      <c r="G24" s="56"/>
      <c r="H24" s="83"/>
      <c r="I24" s="35" t="str">
        <f t="shared" si="2"/>
        <v/>
      </c>
    </row>
    <row r="25" spans="1:9">
      <c r="A25" s="10" t="str">
        <f t="shared" si="3"/>
        <v/>
      </c>
      <c r="B25" s="53"/>
      <c r="C25" s="28" t="str">
        <f t="shared" si="0"/>
        <v/>
      </c>
      <c r="D25" s="28" t="str">
        <f t="shared" si="1"/>
        <v/>
      </c>
      <c r="E25" s="77"/>
      <c r="F25" s="45"/>
      <c r="G25" s="56"/>
      <c r="H25" s="83"/>
      <c r="I25" s="35" t="str">
        <f t="shared" si="2"/>
        <v/>
      </c>
    </row>
    <row r="26" spans="1:9">
      <c r="A26" s="10" t="str">
        <f t="shared" si="3"/>
        <v/>
      </c>
      <c r="B26" s="53"/>
      <c r="C26" s="28" t="str">
        <f t="shared" si="0"/>
        <v/>
      </c>
      <c r="D26" s="28" t="str">
        <f t="shared" si="1"/>
        <v/>
      </c>
      <c r="E26" s="77"/>
      <c r="F26" s="45"/>
      <c r="G26" s="56"/>
      <c r="H26" s="83"/>
      <c r="I26" s="35" t="str">
        <f t="shared" si="2"/>
        <v/>
      </c>
    </row>
    <row r="27" spans="1:9">
      <c r="A27" s="10" t="str">
        <f t="shared" si="3"/>
        <v/>
      </c>
      <c r="B27" s="53"/>
      <c r="C27" s="28" t="str">
        <f t="shared" si="0"/>
        <v/>
      </c>
      <c r="D27" s="28" t="str">
        <f t="shared" si="1"/>
        <v/>
      </c>
      <c r="E27" s="77"/>
      <c r="F27" s="45"/>
      <c r="G27" s="56"/>
      <c r="H27" s="83"/>
      <c r="I27" s="35" t="str">
        <f t="shared" si="2"/>
        <v/>
      </c>
    </row>
    <row r="28" spans="1:9">
      <c r="A28" s="10" t="str">
        <f t="shared" si="3"/>
        <v/>
      </c>
      <c r="B28" s="53"/>
      <c r="C28" s="28" t="str">
        <f t="shared" si="0"/>
        <v/>
      </c>
      <c r="D28" s="28" t="str">
        <f t="shared" si="1"/>
        <v/>
      </c>
      <c r="E28" s="77"/>
      <c r="F28" s="45"/>
      <c r="G28" s="56"/>
      <c r="H28" s="83"/>
      <c r="I28" s="35" t="str">
        <f t="shared" si="2"/>
        <v/>
      </c>
    </row>
    <row r="29" spans="1:9">
      <c r="A29" s="10" t="str">
        <f t="shared" si="3"/>
        <v/>
      </c>
      <c r="B29" s="53"/>
      <c r="C29" s="28" t="str">
        <f t="shared" si="0"/>
        <v/>
      </c>
      <c r="D29" s="28" t="str">
        <f t="shared" si="1"/>
        <v/>
      </c>
      <c r="E29" s="77"/>
      <c r="F29" s="45"/>
      <c r="G29" s="56"/>
      <c r="H29" s="83"/>
      <c r="I29" s="35" t="str">
        <f t="shared" si="2"/>
        <v/>
      </c>
    </row>
    <row r="30" spans="1:9">
      <c r="A30" s="10" t="str">
        <f t="shared" si="3"/>
        <v/>
      </c>
      <c r="B30" s="53"/>
      <c r="C30" s="28" t="str">
        <f t="shared" si="0"/>
        <v/>
      </c>
      <c r="D30" s="28" t="str">
        <f t="shared" si="1"/>
        <v/>
      </c>
      <c r="E30" s="77"/>
      <c r="F30" s="45"/>
      <c r="G30" s="56"/>
      <c r="H30" s="83"/>
      <c r="I30" s="35" t="str">
        <f t="shared" si="2"/>
        <v/>
      </c>
    </row>
    <row r="31" spans="1:9">
      <c r="A31" s="10" t="str">
        <f t="shared" si="3"/>
        <v/>
      </c>
      <c r="B31" s="53"/>
      <c r="C31" s="28" t="str">
        <f t="shared" si="0"/>
        <v/>
      </c>
      <c r="D31" s="28" t="str">
        <f t="shared" si="1"/>
        <v/>
      </c>
      <c r="E31" s="77"/>
      <c r="F31" s="45"/>
      <c r="G31" s="56"/>
      <c r="H31" s="83"/>
      <c r="I31" s="35" t="str">
        <f t="shared" si="2"/>
        <v/>
      </c>
    </row>
    <row r="32" spans="1:9">
      <c r="A32" s="10" t="str">
        <f t="shared" si="3"/>
        <v/>
      </c>
      <c r="B32" s="53"/>
      <c r="C32" s="28" t="str">
        <f t="shared" si="0"/>
        <v/>
      </c>
      <c r="D32" s="28" t="str">
        <f t="shared" si="1"/>
        <v/>
      </c>
      <c r="E32" s="77"/>
      <c r="F32" s="45"/>
      <c r="G32" s="56"/>
      <c r="H32" s="83"/>
      <c r="I32" s="35" t="str">
        <f t="shared" si="2"/>
        <v/>
      </c>
    </row>
    <row r="33" spans="1:9">
      <c r="A33" s="10" t="str">
        <f t="shared" si="3"/>
        <v/>
      </c>
      <c r="B33" s="53"/>
      <c r="C33" s="28" t="str">
        <f t="shared" si="0"/>
        <v/>
      </c>
      <c r="D33" s="28" t="str">
        <f t="shared" si="1"/>
        <v/>
      </c>
      <c r="E33" s="77"/>
      <c r="F33" s="45"/>
      <c r="G33" s="56"/>
      <c r="H33" s="83"/>
      <c r="I33" s="35" t="str">
        <f t="shared" si="2"/>
        <v/>
      </c>
    </row>
    <row r="34" spans="1:9">
      <c r="A34" s="10" t="str">
        <f t="shared" si="3"/>
        <v/>
      </c>
      <c r="B34" s="53"/>
      <c r="C34" s="28" t="str">
        <f t="shared" si="0"/>
        <v/>
      </c>
      <c r="D34" s="28" t="str">
        <f t="shared" si="1"/>
        <v/>
      </c>
      <c r="E34" s="77"/>
      <c r="F34" s="45"/>
      <c r="G34" s="56"/>
      <c r="H34" s="83"/>
      <c r="I34" s="35" t="str">
        <f t="shared" si="2"/>
        <v/>
      </c>
    </row>
    <row r="35" spans="1:9">
      <c r="A35" s="10" t="str">
        <f t="shared" si="3"/>
        <v/>
      </c>
      <c r="B35" s="53"/>
      <c r="C35" s="28" t="str">
        <f t="shared" si="0"/>
        <v/>
      </c>
      <c r="D35" s="28" t="str">
        <f t="shared" si="1"/>
        <v/>
      </c>
      <c r="E35" s="77"/>
      <c r="F35" s="45"/>
      <c r="G35" s="56"/>
      <c r="H35" s="83"/>
      <c r="I35" s="35" t="str">
        <f t="shared" si="2"/>
        <v/>
      </c>
    </row>
    <row r="36" spans="1:9">
      <c r="A36" s="10" t="str">
        <f t="shared" si="3"/>
        <v/>
      </c>
      <c r="B36" s="53"/>
      <c r="C36" s="28" t="str">
        <f t="shared" si="0"/>
        <v/>
      </c>
      <c r="D36" s="28" t="str">
        <f t="shared" si="1"/>
        <v/>
      </c>
      <c r="E36" s="77"/>
      <c r="F36" s="45"/>
      <c r="G36" s="56"/>
      <c r="H36" s="83"/>
      <c r="I36" s="35" t="str">
        <f t="shared" si="2"/>
        <v/>
      </c>
    </row>
    <row r="37" spans="1:9">
      <c r="A37" s="10" t="str">
        <f t="shared" si="3"/>
        <v/>
      </c>
      <c r="B37" s="53"/>
      <c r="C37" s="28" t="str">
        <f t="shared" si="0"/>
        <v/>
      </c>
      <c r="D37" s="28" t="str">
        <f t="shared" si="1"/>
        <v/>
      </c>
      <c r="E37" s="77"/>
      <c r="F37" s="45"/>
      <c r="G37" s="56"/>
      <c r="H37" s="83"/>
      <c r="I37" s="35" t="str">
        <f t="shared" si="2"/>
        <v/>
      </c>
    </row>
    <row r="38" spans="1:9">
      <c r="A38" s="10" t="str">
        <f t="shared" si="3"/>
        <v/>
      </c>
      <c r="B38" s="53"/>
      <c r="C38" s="28" t="str">
        <f t="shared" si="0"/>
        <v/>
      </c>
      <c r="D38" s="28" t="str">
        <f t="shared" si="1"/>
        <v/>
      </c>
      <c r="E38" s="77"/>
      <c r="F38" s="45"/>
      <c r="G38" s="56"/>
      <c r="H38" s="83"/>
      <c r="I38" s="35" t="str">
        <f t="shared" si="2"/>
        <v/>
      </c>
    </row>
    <row r="39" spans="1:9">
      <c r="A39" s="10" t="str">
        <f t="shared" si="3"/>
        <v/>
      </c>
      <c r="B39" s="53"/>
      <c r="C39" s="28" t="str">
        <f t="shared" si="0"/>
        <v/>
      </c>
      <c r="D39" s="28" t="str">
        <f t="shared" si="1"/>
        <v/>
      </c>
      <c r="E39" s="77"/>
      <c r="F39" s="45"/>
      <c r="G39" s="56"/>
      <c r="H39" s="83"/>
      <c r="I39" s="35" t="str">
        <f t="shared" si="2"/>
        <v/>
      </c>
    </row>
    <row r="40" spans="1:9">
      <c r="A40" s="10" t="str">
        <f t="shared" si="3"/>
        <v/>
      </c>
      <c r="B40" s="53"/>
      <c r="C40" s="28" t="str">
        <f t="shared" si="0"/>
        <v/>
      </c>
      <c r="D40" s="28" t="str">
        <f t="shared" si="1"/>
        <v/>
      </c>
      <c r="E40" s="77"/>
      <c r="F40" s="45"/>
      <c r="G40" s="56"/>
      <c r="H40" s="83"/>
      <c r="I40" s="35" t="str">
        <f t="shared" si="2"/>
        <v/>
      </c>
    </row>
    <row r="41" spans="1:9">
      <c r="A41" s="10" t="str">
        <f t="shared" si="3"/>
        <v/>
      </c>
      <c r="B41" s="53"/>
      <c r="C41" s="28" t="str">
        <f t="shared" si="0"/>
        <v/>
      </c>
      <c r="D41" s="28" t="str">
        <f t="shared" si="1"/>
        <v/>
      </c>
      <c r="E41" s="77"/>
      <c r="F41" s="45"/>
      <c r="G41" s="56"/>
      <c r="H41" s="83"/>
      <c r="I41" s="35" t="str">
        <f t="shared" si="2"/>
        <v/>
      </c>
    </row>
    <row r="42" spans="1:9">
      <c r="A42" s="10" t="str">
        <f t="shared" si="3"/>
        <v/>
      </c>
      <c r="B42" s="53"/>
      <c r="C42" s="28" t="str">
        <f t="shared" si="0"/>
        <v/>
      </c>
      <c r="D42" s="28" t="str">
        <f t="shared" si="1"/>
        <v/>
      </c>
      <c r="E42" s="77"/>
      <c r="F42" s="45"/>
      <c r="G42" s="56"/>
      <c r="H42" s="83"/>
      <c r="I42" s="35" t="str">
        <f t="shared" si="2"/>
        <v/>
      </c>
    </row>
    <row r="43" spans="1:9">
      <c r="A43" s="10" t="str">
        <f t="shared" si="3"/>
        <v/>
      </c>
      <c r="B43" s="53"/>
      <c r="C43" s="28" t="str">
        <f t="shared" si="0"/>
        <v/>
      </c>
      <c r="D43" s="28" t="str">
        <f t="shared" si="1"/>
        <v/>
      </c>
      <c r="E43" s="77"/>
      <c r="F43" s="45"/>
      <c r="G43" s="56"/>
      <c r="H43" s="83"/>
      <c r="I43" s="35" t="str">
        <f t="shared" si="2"/>
        <v/>
      </c>
    </row>
    <row r="44" spans="1:9">
      <c r="A44" s="10" t="str">
        <f t="shared" si="3"/>
        <v/>
      </c>
      <c r="B44" s="53"/>
      <c r="C44" s="28" t="str">
        <f t="shared" si="0"/>
        <v/>
      </c>
      <c r="D44" s="28" t="str">
        <f t="shared" si="1"/>
        <v/>
      </c>
      <c r="E44" s="77"/>
      <c r="F44" s="45"/>
      <c r="G44" s="56"/>
      <c r="H44" s="83"/>
      <c r="I44" s="35" t="str">
        <f t="shared" si="2"/>
        <v/>
      </c>
    </row>
    <row r="45" spans="1:9">
      <c r="A45" s="10" t="str">
        <f t="shared" si="3"/>
        <v/>
      </c>
      <c r="B45" s="53"/>
      <c r="C45" s="28" t="str">
        <f t="shared" si="0"/>
        <v/>
      </c>
      <c r="D45" s="28" t="str">
        <f t="shared" si="1"/>
        <v/>
      </c>
      <c r="E45" s="77"/>
      <c r="F45" s="45"/>
      <c r="G45" s="56"/>
      <c r="H45" s="83"/>
      <c r="I45" s="35" t="str">
        <f t="shared" si="2"/>
        <v/>
      </c>
    </row>
    <row r="46" spans="1:9">
      <c r="A46" s="10" t="str">
        <f t="shared" si="3"/>
        <v/>
      </c>
      <c r="B46" s="53"/>
      <c r="C46" s="28" t="str">
        <f t="shared" si="0"/>
        <v/>
      </c>
      <c r="D46" s="28" t="str">
        <f t="shared" si="1"/>
        <v/>
      </c>
      <c r="E46" s="77"/>
      <c r="F46" s="45"/>
      <c r="G46" s="56"/>
      <c r="H46" s="83"/>
      <c r="I46" s="35" t="str">
        <f t="shared" si="2"/>
        <v/>
      </c>
    </row>
    <row r="47" spans="1:9">
      <c r="A47" s="10" t="str">
        <f t="shared" si="3"/>
        <v/>
      </c>
      <c r="B47" s="53"/>
      <c r="C47" s="28" t="str">
        <f t="shared" si="0"/>
        <v/>
      </c>
      <c r="D47" s="28" t="str">
        <f t="shared" si="1"/>
        <v/>
      </c>
      <c r="E47" s="77"/>
      <c r="F47" s="45"/>
      <c r="G47" s="56"/>
      <c r="H47" s="83"/>
      <c r="I47" s="35" t="str">
        <f t="shared" si="2"/>
        <v/>
      </c>
    </row>
    <row r="48" spans="1:9">
      <c r="A48" s="10" t="str">
        <f t="shared" si="3"/>
        <v/>
      </c>
      <c r="B48" s="53"/>
      <c r="C48" s="28" t="str">
        <f t="shared" si="0"/>
        <v/>
      </c>
      <c r="D48" s="28" t="str">
        <f t="shared" si="1"/>
        <v/>
      </c>
      <c r="E48" s="77"/>
      <c r="F48" s="45"/>
      <c r="G48" s="56"/>
      <c r="H48" s="83"/>
      <c r="I48" s="35" t="str">
        <f t="shared" si="2"/>
        <v/>
      </c>
    </row>
    <row r="49" spans="1:9">
      <c r="A49" s="10" t="str">
        <f t="shared" si="3"/>
        <v/>
      </c>
      <c r="B49" s="53"/>
      <c r="C49" s="28" t="str">
        <f t="shared" si="0"/>
        <v/>
      </c>
      <c r="D49" s="28" t="str">
        <f t="shared" si="1"/>
        <v/>
      </c>
      <c r="E49" s="77"/>
      <c r="F49" s="45"/>
      <c r="G49" s="56"/>
      <c r="H49" s="83"/>
      <c r="I49" s="35" t="str">
        <f t="shared" si="2"/>
        <v/>
      </c>
    </row>
    <row r="50" spans="1:9">
      <c r="A50" s="10" t="str">
        <f t="shared" si="3"/>
        <v/>
      </c>
      <c r="B50" s="53"/>
      <c r="C50" s="28" t="str">
        <f t="shared" si="0"/>
        <v/>
      </c>
      <c r="D50" s="28" t="str">
        <f t="shared" si="1"/>
        <v/>
      </c>
      <c r="E50" s="77"/>
      <c r="F50" s="45"/>
      <c r="G50" s="56"/>
      <c r="H50" s="83"/>
      <c r="I50" s="35" t="str">
        <f t="shared" si="2"/>
        <v/>
      </c>
    </row>
    <row r="51" spans="1:9">
      <c r="A51" s="10" t="str">
        <f t="shared" si="3"/>
        <v/>
      </c>
      <c r="B51" s="53"/>
      <c r="C51" s="28" t="str">
        <f t="shared" si="0"/>
        <v/>
      </c>
      <c r="D51" s="28" t="str">
        <f t="shared" si="1"/>
        <v/>
      </c>
      <c r="E51" s="77"/>
      <c r="F51" s="45"/>
      <c r="G51" s="56"/>
      <c r="H51" s="83"/>
      <c r="I51" s="35" t="str">
        <f t="shared" si="2"/>
        <v/>
      </c>
    </row>
    <row r="52" spans="1:9">
      <c r="A52" s="10" t="str">
        <f t="shared" si="3"/>
        <v/>
      </c>
      <c r="B52" s="53"/>
      <c r="C52" s="28" t="str">
        <f t="shared" si="0"/>
        <v/>
      </c>
      <c r="D52" s="28" t="str">
        <f t="shared" si="1"/>
        <v/>
      </c>
      <c r="E52" s="77"/>
      <c r="F52" s="45"/>
      <c r="G52" s="56"/>
      <c r="H52" s="83"/>
      <c r="I52" s="35" t="str">
        <f t="shared" si="2"/>
        <v/>
      </c>
    </row>
    <row r="53" spans="1:9">
      <c r="A53" s="10" t="str">
        <f t="shared" si="3"/>
        <v/>
      </c>
      <c r="B53" s="53"/>
      <c r="C53" s="28" t="str">
        <f t="shared" si="0"/>
        <v/>
      </c>
      <c r="D53" s="28" t="str">
        <f t="shared" si="1"/>
        <v/>
      </c>
      <c r="E53" s="77"/>
      <c r="F53" s="45"/>
      <c r="G53" s="56"/>
      <c r="H53" s="83"/>
      <c r="I53" s="35" t="str">
        <f t="shared" si="2"/>
        <v/>
      </c>
    </row>
    <row r="54" spans="1:9">
      <c r="A54" s="10" t="str">
        <f t="shared" si="3"/>
        <v/>
      </c>
      <c r="B54" s="53"/>
      <c r="C54" s="28" t="str">
        <f t="shared" si="0"/>
        <v/>
      </c>
      <c r="D54" s="28" t="str">
        <f t="shared" si="1"/>
        <v/>
      </c>
      <c r="E54" s="77"/>
      <c r="F54" s="45"/>
      <c r="G54" s="56"/>
      <c r="H54" s="83"/>
      <c r="I54" s="35" t="str">
        <f t="shared" si="2"/>
        <v/>
      </c>
    </row>
    <row r="55" spans="1:9">
      <c r="A55" s="10" t="str">
        <f t="shared" si="3"/>
        <v/>
      </c>
      <c r="B55" s="53"/>
      <c r="C55" s="28" t="str">
        <f t="shared" si="0"/>
        <v/>
      </c>
      <c r="D55" s="28" t="str">
        <f t="shared" si="1"/>
        <v/>
      </c>
      <c r="E55" s="77"/>
      <c r="F55" s="45"/>
      <c r="G55" s="56"/>
      <c r="H55" s="83"/>
      <c r="I55" s="35" t="str">
        <f t="shared" si="2"/>
        <v/>
      </c>
    </row>
    <row r="56" spans="1:9">
      <c r="A56" s="10" t="str">
        <f t="shared" si="3"/>
        <v/>
      </c>
      <c r="B56" s="53"/>
      <c r="C56" s="28" t="str">
        <f t="shared" si="0"/>
        <v/>
      </c>
      <c r="D56" s="28" t="str">
        <f t="shared" si="1"/>
        <v/>
      </c>
      <c r="E56" s="77"/>
      <c r="F56" s="45"/>
      <c r="G56" s="56"/>
      <c r="H56" s="83"/>
      <c r="I56" s="35" t="str">
        <f t="shared" si="2"/>
        <v/>
      </c>
    </row>
    <row r="57" spans="1:9">
      <c r="A57" s="10" t="str">
        <f t="shared" si="3"/>
        <v/>
      </c>
      <c r="B57" s="53"/>
      <c r="C57" s="28" t="str">
        <f t="shared" si="0"/>
        <v/>
      </c>
      <c r="D57" s="28" t="str">
        <f t="shared" si="1"/>
        <v/>
      </c>
      <c r="E57" s="77"/>
      <c r="F57" s="45"/>
      <c r="G57" s="56"/>
      <c r="H57" s="83"/>
      <c r="I57" s="35" t="str">
        <f t="shared" si="2"/>
        <v/>
      </c>
    </row>
    <row r="58" spans="1:9">
      <c r="A58" s="10" t="str">
        <f t="shared" si="3"/>
        <v/>
      </c>
      <c r="B58" s="53"/>
      <c r="C58" s="28" t="str">
        <f t="shared" si="0"/>
        <v/>
      </c>
      <c r="D58" s="28" t="str">
        <f t="shared" si="1"/>
        <v/>
      </c>
      <c r="E58" s="77"/>
      <c r="F58" s="45"/>
      <c r="G58" s="56"/>
      <c r="H58" s="83"/>
      <c r="I58" s="35" t="str">
        <f t="shared" si="2"/>
        <v/>
      </c>
    </row>
    <row r="59" spans="1:9">
      <c r="A59" s="10" t="str">
        <f t="shared" si="3"/>
        <v/>
      </c>
      <c r="B59" s="53"/>
      <c r="C59" s="28" t="str">
        <f t="shared" si="0"/>
        <v/>
      </c>
      <c r="D59" s="28" t="str">
        <f t="shared" si="1"/>
        <v/>
      </c>
      <c r="E59" s="77"/>
      <c r="F59" s="45"/>
      <c r="G59" s="56"/>
      <c r="H59" s="83"/>
      <c r="I59" s="35" t="str">
        <f t="shared" si="2"/>
        <v/>
      </c>
    </row>
    <row r="60" spans="1:9">
      <c r="A60" s="10" t="str">
        <f t="shared" si="3"/>
        <v/>
      </c>
      <c r="B60" s="53"/>
      <c r="C60" s="28" t="str">
        <f t="shared" si="0"/>
        <v/>
      </c>
      <c r="D60" s="28" t="str">
        <f t="shared" si="1"/>
        <v/>
      </c>
      <c r="E60" s="77"/>
      <c r="F60" s="45"/>
      <c r="G60" s="56"/>
      <c r="H60" s="83"/>
      <c r="I60" s="35" t="str">
        <f t="shared" si="2"/>
        <v/>
      </c>
    </row>
    <row r="61" spans="1:9">
      <c r="A61" s="10" t="str">
        <f t="shared" si="3"/>
        <v/>
      </c>
      <c r="B61" s="53"/>
      <c r="C61" s="28" t="str">
        <f t="shared" si="0"/>
        <v/>
      </c>
      <c r="D61" s="28" t="str">
        <f t="shared" si="1"/>
        <v/>
      </c>
      <c r="E61" s="77"/>
      <c r="F61" s="45"/>
      <c r="G61" s="56"/>
      <c r="H61" s="83"/>
      <c r="I61" s="35" t="str">
        <f t="shared" si="2"/>
        <v/>
      </c>
    </row>
    <row r="62" spans="1:9">
      <c r="A62" s="10" t="str">
        <f t="shared" si="3"/>
        <v/>
      </c>
      <c r="B62" s="53"/>
      <c r="C62" s="28" t="str">
        <f t="shared" si="0"/>
        <v/>
      </c>
      <c r="D62" s="28" t="str">
        <f t="shared" si="1"/>
        <v/>
      </c>
      <c r="E62" s="77"/>
      <c r="F62" s="45"/>
      <c r="G62" s="56"/>
      <c r="H62" s="83"/>
      <c r="I62" s="35" t="str">
        <f t="shared" si="2"/>
        <v/>
      </c>
    </row>
    <row r="63" spans="1:9">
      <c r="A63" s="10" t="str">
        <f t="shared" si="3"/>
        <v/>
      </c>
      <c r="B63" s="53"/>
      <c r="C63" s="28" t="str">
        <f t="shared" si="0"/>
        <v/>
      </c>
      <c r="D63" s="28" t="str">
        <f t="shared" si="1"/>
        <v/>
      </c>
      <c r="E63" s="77"/>
      <c r="F63" s="45"/>
      <c r="G63" s="56"/>
      <c r="H63" s="83"/>
      <c r="I63" s="35" t="str">
        <f t="shared" si="2"/>
        <v/>
      </c>
    </row>
    <row r="64" spans="1:9">
      <c r="A64" s="10" t="str">
        <f t="shared" si="3"/>
        <v/>
      </c>
      <c r="B64" s="53"/>
      <c r="C64" s="28" t="str">
        <f t="shared" si="0"/>
        <v/>
      </c>
      <c r="D64" s="28" t="str">
        <f t="shared" si="1"/>
        <v/>
      </c>
      <c r="E64" s="77"/>
      <c r="F64" s="45"/>
      <c r="G64" s="56"/>
      <c r="H64" s="83"/>
      <c r="I64" s="35" t="str">
        <f t="shared" si="2"/>
        <v/>
      </c>
    </row>
    <row r="65" spans="1:9">
      <c r="A65" s="10" t="str">
        <f t="shared" si="3"/>
        <v/>
      </c>
      <c r="B65" s="53"/>
      <c r="C65" s="28" t="str">
        <f t="shared" si="0"/>
        <v/>
      </c>
      <c r="D65" s="28" t="str">
        <f t="shared" si="1"/>
        <v/>
      </c>
      <c r="E65" s="77"/>
      <c r="F65" s="45"/>
      <c r="G65" s="56"/>
      <c r="H65" s="83"/>
      <c r="I65" s="35" t="str">
        <f t="shared" si="2"/>
        <v/>
      </c>
    </row>
    <row r="66" spans="1:9">
      <c r="A66" s="10" t="str">
        <f t="shared" si="3"/>
        <v/>
      </c>
      <c r="B66" s="53"/>
      <c r="C66" s="28" t="str">
        <f t="shared" si="0"/>
        <v/>
      </c>
      <c r="D66" s="28" t="str">
        <f t="shared" si="1"/>
        <v/>
      </c>
      <c r="E66" s="77"/>
      <c r="F66" s="45"/>
      <c r="G66" s="56"/>
      <c r="H66" s="83"/>
      <c r="I66" s="35" t="str">
        <f t="shared" si="2"/>
        <v/>
      </c>
    </row>
    <row r="67" spans="1:9">
      <c r="A67" s="10" t="str">
        <f t="shared" si="3"/>
        <v/>
      </c>
      <c r="B67" s="53"/>
      <c r="C67" s="28" t="str">
        <f t="shared" ref="C67:C130" si="4">IF(B67=0,"",TEXT(B67,"mmmm"))</f>
        <v/>
      </c>
      <c r="D67" s="28" t="str">
        <f t="shared" ref="D67:D130" si="5">IF(B67=0,"",TEXT(B67,"yyyy"))</f>
        <v/>
      </c>
      <c r="E67" s="77"/>
      <c r="F67" s="45"/>
      <c r="G67" s="56"/>
      <c r="H67" s="83"/>
      <c r="I67" s="35" t="str">
        <f t="shared" ref="I67:I130" si="6">IF(G67*H67=0,"",G67*H67)</f>
        <v/>
      </c>
    </row>
    <row r="68" spans="1:9">
      <c r="A68" s="10" t="str">
        <f t="shared" ref="A68:A131" si="7">IF(E68&gt;0,A67+1,"")</f>
        <v/>
      </c>
      <c r="B68" s="53"/>
      <c r="C68" s="28" t="str">
        <f t="shared" si="4"/>
        <v/>
      </c>
      <c r="D68" s="28" t="str">
        <f t="shared" si="5"/>
        <v/>
      </c>
      <c r="E68" s="77"/>
      <c r="F68" s="45"/>
      <c r="G68" s="56"/>
      <c r="H68" s="83"/>
      <c r="I68" s="35" t="str">
        <f t="shared" si="6"/>
        <v/>
      </c>
    </row>
    <row r="69" spans="1:9">
      <c r="A69" s="10" t="str">
        <f t="shared" si="7"/>
        <v/>
      </c>
      <c r="B69" s="53"/>
      <c r="C69" s="28" t="str">
        <f t="shared" si="4"/>
        <v/>
      </c>
      <c r="D69" s="28" t="str">
        <f t="shared" si="5"/>
        <v/>
      </c>
      <c r="E69" s="77"/>
      <c r="F69" s="45"/>
      <c r="G69" s="56"/>
      <c r="H69" s="83"/>
      <c r="I69" s="35" t="str">
        <f t="shared" si="6"/>
        <v/>
      </c>
    </row>
    <row r="70" spans="1:9">
      <c r="A70" s="10" t="str">
        <f t="shared" si="7"/>
        <v/>
      </c>
      <c r="B70" s="53"/>
      <c r="C70" s="28" t="str">
        <f t="shared" si="4"/>
        <v/>
      </c>
      <c r="D70" s="28" t="str">
        <f t="shared" si="5"/>
        <v/>
      </c>
      <c r="E70" s="77"/>
      <c r="F70" s="45"/>
      <c r="G70" s="56"/>
      <c r="H70" s="83"/>
      <c r="I70" s="35" t="str">
        <f t="shared" si="6"/>
        <v/>
      </c>
    </row>
    <row r="71" spans="1:9">
      <c r="A71" s="10" t="str">
        <f t="shared" si="7"/>
        <v/>
      </c>
      <c r="B71" s="53"/>
      <c r="C71" s="28" t="str">
        <f t="shared" si="4"/>
        <v/>
      </c>
      <c r="D71" s="28" t="str">
        <f t="shared" si="5"/>
        <v/>
      </c>
      <c r="E71" s="77"/>
      <c r="F71" s="45"/>
      <c r="G71" s="56"/>
      <c r="H71" s="83"/>
      <c r="I71" s="35" t="str">
        <f t="shared" si="6"/>
        <v/>
      </c>
    </row>
    <row r="72" spans="1:9">
      <c r="A72" s="10" t="str">
        <f t="shared" si="7"/>
        <v/>
      </c>
      <c r="B72" s="53"/>
      <c r="C72" s="28" t="str">
        <f t="shared" si="4"/>
        <v/>
      </c>
      <c r="D72" s="28" t="str">
        <f t="shared" si="5"/>
        <v/>
      </c>
      <c r="E72" s="77"/>
      <c r="F72" s="45"/>
      <c r="G72" s="56"/>
      <c r="H72" s="83"/>
      <c r="I72" s="35" t="str">
        <f t="shared" si="6"/>
        <v/>
      </c>
    </row>
    <row r="73" spans="1:9">
      <c r="A73" s="10" t="str">
        <f t="shared" si="7"/>
        <v/>
      </c>
      <c r="B73" s="53"/>
      <c r="C73" s="28" t="str">
        <f t="shared" si="4"/>
        <v/>
      </c>
      <c r="D73" s="28" t="str">
        <f t="shared" si="5"/>
        <v/>
      </c>
      <c r="E73" s="77"/>
      <c r="F73" s="45"/>
      <c r="G73" s="56"/>
      <c r="H73" s="83"/>
      <c r="I73" s="35" t="str">
        <f t="shared" si="6"/>
        <v/>
      </c>
    </row>
    <row r="74" spans="1:9">
      <c r="A74" s="10" t="str">
        <f t="shared" si="7"/>
        <v/>
      </c>
      <c r="B74" s="53"/>
      <c r="C74" s="28" t="str">
        <f t="shared" si="4"/>
        <v/>
      </c>
      <c r="D74" s="28" t="str">
        <f t="shared" si="5"/>
        <v/>
      </c>
      <c r="E74" s="77"/>
      <c r="F74" s="45"/>
      <c r="G74" s="56"/>
      <c r="H74" s="83"/>
      <c r="I74" s="35" t="str">
        <f t="shared" si="6"/>
        <v/>
      </c>
    </row>
    <row r="75" spans="1:9">
      <c r="A75" s="10" t="str">
        <f t="shared" si="7"/>
        <v/>
      </c>
      <c r="B75" s="53"/>
      <c r="C75" s="28" t="str">
        <f t="shared" si="4"/>
        <v/>
      </c>
      <c r="D75" s="28" t="str">
        <f t="shared" si="5"/>
        <v/>
      </c>
      <c r="E75" s="77"/>
      <c r="F75" s="45"/>
      <c r="G75" s="56"/>
      <c r="H75" s="83"/>
      <c r="I75" s="35" t="str">
        <f t="shared" si="6"/>
        <v/>
      </c>
    </row>
    <row r="76" spans="1:9">
      <c r="A76" s="10" t="str">
        <f t="shared" si="7"/>
        <v/>
      </c>
      <c r="B76" s="53"/>
      <c r="C76" s="28" t="str">
        <f t="shared" si="4"/>
        <v/>
      </c>
      <c r="D76" s="28" t="str">
        <f t="shared" si="5"/>
        <v/>
      </c>
      <c r="E76" s="77"/>
      <c r="F76" s="45"/>
      <c r="G76" s="56"/>
      <c r="H76" s="83"/>
      <c r="I76" s="35" t="str">
        <f t="shared" si="6"/>
        <v/>
      </c>
    </row>
    <row r="77" spans="1:9">
      <c r="A77" s="10" t="str">
        <f t="shared" si="7"/>
        <v/>
      </c>
      <c r="B77" s="53"/>
      <c r="C77" s="28" t="str">
        <f t="shared" si="4"/>
        <v/>
      </c>
      <c r="D77" s="28" t="str">
        <f t="shared" si="5"/>
        <v/>
      </c>
      <c r="E77" s="77"/>
      <c r="F77" s="45"/>
      <c r="G77" s="56"/>
      <c r="H77" s="83"/>
      <c r="I77" s="35" t="str">
        <f t="shared" si="6"/>
        <v/>
      </c>
    </row>
    <row r="78" spans="1:9">
      <c r="A78" s="10" t="str">
        <f t="shared" si="7"/>
        <v/>
      </c>
      <c r="B78" s="53"/>
      <c r="C78" s="28" t="str">
        <f t="shared" si="4"/>
        <v/>
      </c>
      <c r="D78" s="28" t="str">
        <f t="shared" si="5"/>
        <v/>
      </c>
      <c r="E78" s="77"/>
      <c r="F78" s="45"/>
      <c r="G78" s="56"/>
      <c r="H78" s="83"/>
      <c r="I78" s="35" t="str">
        <f t="shared" si="6"/>
        <v/>
      </c>
    </row>
    <row r="79" spans="1:9">
      <c r="A79" s="10" t="str">
        <f t="shared" si="7"/>
        <v/>
      </c>
      <c r="B79" s="53"/>
      <c r="C79" s="28" t="str">
        <f t="shared" si="4"/>
        <v/>
      </c>
      <c r="D79" s="28" t="str">
        <f t="shared" si="5"/>
        <v/>
      </c>
      <c r="E79" s="77"/>
      <c r="F79" s="45"/>
      <c r="G79" s="56"/>
      <c r="H79" s="83"/>
      <c r="I79" s="35" t="str">
        <f t="shared" si="6"/>
        <v/>
      </c>
    </row>
    <row r="80" spans="1:9">
      <c r="A80" s="10" t="str">
        <f t="shared" si="7"/>
        <v/>
      </c>
      <c r="B80" s="53"/>
      <c r="C80" s="28" t="str">
        <f t="shared" si="4"/>
        <v/>
      </c>
      <c r="D80" s="28" t="str">
        <f t="shared" si="5"/>
        <v/>
      </c>
      <c r="E80" s="77"/>
      <c r="F80" s="45"/>
      <c r="G80" s="56"/>
      <c r="H80" s="83"/>
      <c r="I80" s="35" t="str">
        <f t="shared" si="6"/>
        <v/>
      </c>
    </row>
    <row r="81" spans="1:9">
      <c r="A81" s="10" t="str">
        <f t="shared" si="7"/>
        <v/>
      </c>
      <c r="B81" s="53"/>
      <c r="C81" s="28" t="str">
        <f t="shared" si="4"/>
        <v/>
      </c>
      <c r="D81" s="28" t="str">
        <f t="shared" si="5"/>
        <v/>
      </c>
      <c r="E81" s="77"/>
      <c r="F81" s="45"/>
      <c r="G81" s="56"/>
      <c r="H81" s="83"/>
      <c r="I81" s="35" t="str">
        <f t="shared" si="6"/>
        <v/>
      </c>
    </row>
    <row r="82" spans="1:9">
      <c r="A82" s="10" t="str">
        <f t="shared" si="7"/>
        <v/>
      </c>
      <c r="B82" s="53"/>
      <c r="C82" s="28" t="str">
        <f t="shared" si="4"/>
        <v/>
      </c>
      <c r="D82" s="28" t="str">
        <f t="shared" si="5"/>
        <v/>
      </c>
      <c r="E82" s="77"/>
      <c r="F82" s="45"/>
      <c r="G82" s="56"/>
      <c r="H82" s="83"/>
      <c r="I82" s="35" t="str">
        <f t="shared" si="6"/>
        <v/>
      </c>
    </row>
    <row r="83" spans="1:9">
      <c r="A83" s="10" t="str">
        <f t="shared" si="7"/>
        <v/>
      </c>
      <c r="B83" s="53"/>
      <c r="C83" s="28" t="str">
        <f t="shared" si="4"/>
        <v/>
      </c>
      <c r="D83" s="28" t="str">
        <f t="shared" si="5"/>
        <v/>
      </c>
      <c r="E83" s="77"/>
      <c r="F83" s="45"/>
      <c r="G83" s="56"/>
      <c r="H83" s="83"/>
      <c r="I83" s="35" t="str">
        <f t="shared" si="6"/>
        <v/>
      </c>
    </row>
    <row r="84" spans="1:9">
      <c r="A84" s="10" t="str">
        <f t="shared" si="7"/>
        <v/>
      </c>
      <c r="B84" s="53"/>
      <c r="C84" s="28" t="str">
        <f t="shared" si="4"/>
        <v/>
      </c>
      <c r="D84" s="28" t="str">
        <f t="shared" si="5"/>
        <v/>
      </c>
      <c r="E84" s="77"/>
      <c r="F84" s="45"/>
      <c r="G84" s="56"/>
      <c r="H84" s="83"/>
      <c r="I84" s="35" t="str">
        <f t="shared" si="6"/>
        <v/>
      </c>
    </row>
    <row r="85" spans="1:9">
      <c r="A85" s="10" t="str">
        <f t="shared" si="7"/>
        <v/>
      </c>
      <c r="B85" s="53"/>
      <c r="C85" s="28" t="str">
        <f t="shared" si="4"/>
        <v/>
      </c>
      <c r="D85" s="28" t="str">
        <f t="shared" si="5"/>
        <v/>
      </c>
      <c r="E85" s="77"/>
      <c r="F85" s="45"/>
      <c r="G85" s="56"/>
      <c r="H85" s="83"/>
      <c r="I85" s="35" t="str">
        <f t="shared" si="6"/>
        <v/>
      </c>
    </row>
    <row r="86" spans="1:9">
      <c r="A86" s="10" t="str">
        <f t="shared" si="7"/>
        <v/>
      </c>
      <c r="B86" s="53"/>
      <c r="C86" s="28" t="str">
        <f t="shared" si="4"/>
        <v/>
      </c>
      <c r="D86" s="28" t="str">
        <f t="shared" si="5"/>
        <v/>
      </c>
      <c r="E86" s="77"/>
      <c r="F86" s="45"/>
      <c r="G86" s="56"/>
      <c r="H86" s="83"/>
      <c r="I86" s="35" t="str">
        <f t="shared" si="6"/>
        <v/>
      </c>
    </row>
    <row r="87" spans="1:9">
      <c r="A87" s="10" t="str">
        <f t="shared" si="7"/>
        <v/>
      </c>
      <c r="B87" s="53"/>
      <c r="C87" s="28" t="str">
        <f t="shared" si="4"/>
        <v/>
      </c>
      <c r="D87" s="28" t="str">
        <f t="shared" si="5"/>
        <v/>
      </c>
      <c r="E87" s="77"/>
      <c r="F87" s="45"/>
      <c r="G87" s="56"/>
      <c r="H87" s="83"/>
      <c r="I87" s="35" t="str">
        <f t="shared" si="6"/>
        <v/>
      </c>
    </row>
    <row r="88" spans="1:9">
      <c r="A88" s="10" t="str">
        <f t="shared" si="7"/>
        <v/>
      </c>
      <c r="B88" s="53"/>
      <c r="C88" s="28" t="str">
        <f t="shared" si="4"/>
        <v/>
      </c>
      <c r="D88" s="28" t="str">
        <f t="shared" si="5"/>
        <v/>
      </c>
      <c r="E88" s="77"/>
      <c r="F88" s="45"/>
      <c r="G88" s="56"/>
      <c r="H88" s="83"/>
      <c r="I88" s="35" t="str">
        <f t="shared" si="6"/>
        <v/>
      </c>
    </row>
    <row r="89" spans="1:9">
      <c r="A89" s="10" t="str">
        <f t="shared" si="7"/>
        <v/>
      </c>
      <c r="B89" s="53"/>
      <c r="C89" s="28" t="str">
        <f t="shared" si="4"/>
        <v/>
      </c>
      <c r="D89" s="28" t="str">
        <f t="shared" si="5"/>
        <v/>
      </c>
      <c r="E89" s="77"/>
      <c r="F89" s="45"/>
      <c r="G89" s="56"/>
      <c r="H89" s="83"/>
      <c r="I89" s="35" t="str">
        <f t="shared" si="6"/>
        <v/>
      </c>
    </row>
    <row r="90" spans="1:9">
      <c r="A90" s="10" t="str">
        <f t="shared" si="7"/>
        <v/>
      </c>
      <c r="B90" s="53"/>
      <c r="C90" s="28" t="str">
        <f t="shared" si="4"/>
        <v/>
      </c>
      <c r="D90" s="28" t="str">
        <f t="shared" si="5"/>
        <v/>
      </c>
      <c r="E90" s="77"/>
      <c r="F90" s="45"/>
      <c r="G90" s="56"/>
      <c r="H90" s="83"/>
      <c r="I90" s="35" t="str">
        <f t="shared" si="6"/>
        <v/>
      </c>
    </row>
    <row r="91" spans="1:9">
      <c r="A91" s="10" t="str">
        <f t="shared" si="7"/>
        <v/>
      </c>
      <c r="B91" s="53"/>
      <c r="C91" s="28" t="str">
        <f t="shared" si="4"/>
        <v/>
      </c>
      <c r="D91" s="28" t="str">
        <f t="shared" si="5"/>
        <v/>
      </c>
      <c r="E91" s="77"/>
      <c r="F91" s="45"/>
      <c r="G91" s="56"/>
      <c r="H91" s="83"/>
      <c r="I91" s="35" t="str">
        <f t="shared" si="6"/>
        <v/>
      </c>
    </row>
    <row r="92" spans="1:9">
      <c r="A92" s="10" t="str">
        <f t="shared" si="7"/>
        <v/>
      </c>
      <c r="B92" s="53"/>
      <c r="C92" s="28" t="str">
        <f t="shared" si="4"/>
        <v/>
      </c>
      <c r="D92" s="28" t="str">
        <f t="shared" si="5"/>
        <v/>
      </c>
      <c r="E92" s="77"/>
      <c r="F92" s="45"/>
      <c r="G92" s="56"/>
      <c r="H92" s="83"/>
      <c r="I92" s="35" t="str">
        <f t="shared" si="6"/>
        <v/>
      </c>
    </row>
    <row r="93" spans="1:9">
      <c r="A93" s="10" t="str">
        <f t="shared" si="7"/>
        <v/>
      </c>
      <c r="B93" s="53"/>
      <c r="C93" s="28" t="str">
        <f t="shared" si="4"/>
        <v/>
      </c>
      <c r="D93" s="28" t="str">
        <f t="shared" si="5"/>
        <v/>
      </c>
      <c r="E93" s="77"/>
      <c r="F93" s="45"/>
      <c r="G93" s="56"/>
      <c r="H93" s="83"/>
      <c r="I93" s="35" t="str">
        <f t="shared" si="6"/>
        <v/>
      </c>
    </row>
    <row r="94" spans="1:9">
      <c r="A94" s="10" t="str">
        <f t="shared" si="7"/>
        <v/>
      </c>
      <c r="B94" s="53"/>
      <c r="C94" s="28" t="str">
        <f t="shared" si="4"/>
        <v/>
      </c>
      <c r="D94" s="28" t="str">
        <f t="shared" si="5"/>
        <v/>
      </c>
      <c r="E94" s="77"/>
      <c r="F94" s="45"/>
      <c r="G94" s="56"/>
      <c r="H94" s="83"/>
      <c r="I94" s="35" t="str">
        <f t="shared" si="6"/>
        <v/>
      </c>
    </row>
    <row r="95" spans="1:9">
      <c r="A95" s="10" t="str">
        <f t="shared" si="7"/>
        <v/>
      </c>
      <c r="B95" s="53"/>
      <c r="C95" s="28" t="str">
        <f t="shared" si="4"/>
        <v/>
      </c>
      <c r="D95" s="28" t="str">
        <f t="shared" si="5"/>
        <v/>
      </c>
      <c r="E95" s="77"/>
      <c r="F95" s="45"/>
      <c r="G95" s="56"/>
      <c r="H95" s="83"/>
      <c r="I95" s="35" t="str">
        <f t="shared" si="6"/>
        <v/>
      </c>
    </row>
    <row r="96" spans="1:9">
      <c r="A96" s="10" t="str">
        <f t="shared" si="7"/>
        <v/>
      </c>
      <c r="B96" s="53"/>
      <c r="C96" s="28" t="str">
        <f t="shared" si="4"/>
        <v/>
      </c>
      <c r="D96" s="28" t="str">
        <f t="shared" si="5"/>
        <v/>
      </c>
      <c r="E96" s="77"/>
      <c r="F96" s="45"/>
      <c r="G96" s="56"/>
      <c r="H96" s="83"/>
      <c r="I96" s="35" t="str">
        <f t="shared" si="6"/>
        <v/>
      </c>
    </row>
    <row r="97" spans="1:9">
      <c r="A97" s="10" t="str">
        <f t="shared" si="7"/>
        <v/>
      </c>
      <c r="B97" s="53"/>
      <c r="C97" s="28" t="str">
        <f t="shared" si="4"/>
        <v/>
      </c>
      <c r="D97" s="28" t="str">
        <f t="shared" si="5"/>
        <v/>
      </c>
      <c r="E97" s="77"/>
      <c r="F97" s="45"/>
      <c r="G97" s="56"/>
      <c r="H97" s="83"/>
      <c r="I97" s="35" t="str">
        <f t="shared" si="6"/>
        <v/>
      </c>
    </row>
    <row r="98" spans="1:9">
      <c r="A98" s="10" t="str">
        <f t="shared" si="7"/>
        <v/>
      </c>
      <c r="B98" s="53"/>
      <c r="C98" s="28" t="str">
        <f t="shared" si="4"/>
        <v/>
      </c>
      <c r="D98" s="28" t="str">
        <f t="shared" si="5"/>
        <v/>
      </c>
      <c r="E98" s="77"/>
      <c r="F98" s="45"/>
      <c r="G98" s="56"/>
      <c r="H98" s="83"/>
      <c r="I98" s="35" t="str">
        <f t="shared" si="6"/>
        <v/>
      </c>
    </row>
    <row r="99" spans="1:9">
      <c r="A99" s="10" t="str">
        <f t="shared" si="7"/>
        <v/>
      </c>
      <c r="B99" s="53"/>
      <c r="C99" s="28" t="str">
        <f t="shared" si="4"/>
        <v/>
      </c>
      <c r="D99" s="28" t="str">
        <f t="shared" si="5"/>
        <v/>
      </c>
      <c r="E99" s="77"/>
      <c r="F99" s="45"/>
      <c r="G99" s="56"/>
      <c r="H99" s="83"/>
      <c r="I99" s="35" t="str">
        <f t="shared" si="6"/>
        <v/>
      </c>
    </row>
    <row r="100" spans="1:9">
      <c r="A100" s="10" t="str">
        <f t="shared" si="7"/>
        <v/>
      </c>
      <c r="B100" s="53"/>
      <c r="C100" s="28" t="str">
        <f t="shared" si="4"/>
        <v/>
      </c>
      <c r="D100" s="28" t="str">
        <f t="shared" si="5"/>
        <v/>
      </c>
      <c r="E100" s="77"/>
      <c r="F100" s="45"/>
      <c r="G100" s="56"/>
      <c r="H100" s="83"/>
      <c r="I100" s="35" t="str">
        <f t="shared" si="6"/>
        <v/>
      </c>
    </row>
    <row r="101" spans="1:9">
      <c r="A101" s="10" t="str">
        <f t="shared" si="7"/>
        <v/>
      </c>
      <c r="B101" s="53"/>
      <c r="C101" s="28" t="str">
        <f t="shared" si="4"/>
        <v/>
      </c>
      <c r="D101" s="28" t="str">
        <f t="shared" si="5"/>
        <v/>
      </c>
      <c r="E101" s="77"/>
      <c r="F101" s="45"/>
      <c r="G101" s="56"/>
      <c r="H101" s="83"/>
      <c r="I101" s="35" t="str">
        <f t="shared" si="6"/>
        <v/>
      </c>
    </row>
    <row r="102" spans="1:9">
      <c r="A102" s="10" t="str">
        <f t="shared" si="7"/>
        <v/>
      </c>
      <c r="B102" s="53"/>
      <c r="C102" s="28" t="str">
        <f t="shared" si="4"/>
        <v/>
      </c>
      <c r="D102" s="28" t="str">
        <f t="shared" si="5"/>
        <v/>
      </c>
      <c r="E102" s="77"/>
      <c r="F102" s="45"/>
      <c r="G102" s="56"/>
      <c r="H102" s="83"/>
      <c r="I102" s="35" t="str">
        <f t="shared" si="6"/>
        <v/>
      </c>
    </row>
    <row r="103" spans="1:9">
      <c r="A103" s="10" t="str">
        <f t="shared" si="7"/>
        <v/>
      </c>
      <c r="B103" s="53"/>
      <c r="C103" s="28" t="str">
        <f t="shared" si="4"/>
        <v/>
      </c>
      <c r="D103" s="28" t="str">
        <f t="shared" si="5"/>
        <v/>
      </c>
      <c r="E103" s="77"/>
      <c r="F103" s="45"/>
      <c r="G103" s="56"/>
      <c r="H103" s="83"/>
      <c r="I103" s="35" t="str">
        <f t="shared" si="6"/>
        <v/>
      </c>
    </row>
    <row r="104" spans="1:9">
      <c r="A104" s="10" t="str">
        <f t="shared" si="7"/>
        <v/>
      </c>
      <c r="B104" s="53"/>
      <c r="C104" s="28" t="str">
        <f t="shared" si="4"/>
        <v/>
      </c>
      <c r="D104" s="28" t="str">
        <f t="shared" si="5"/>
        <v/>
      </c>
      <c r="E104" s="77"/>
      <c r="F104" s="45"/>
      <c r="G104" s="56"/>
      <c r="H104" s="83"/>
      <c r="I104" s="35" t="str">
        <f t="shared" si="6"/>
        <v/>
      </c>
    </row>
    <row r="105" spans="1:9">
      <c r="A105" s="10" t="str">
        <f t="shared" si="7"/>
        <v/>
      </c>
      <c r="B105" s="53"/>
      <c r="C105" s="28" t="str">
        <f t="shared" si="4"/>
        <v/>
      </c>
      <c r="D105" s="28" t="str">
        <f t="shared" si="5"/>
        <v/>
      </c>
      <c r="E105" s="77"/>
      <c r="F105" s="45"/>
      <c r="G105" s="56"/>
      <c r="H105" s="83"/>
      <c r="I105" s="35" t="str">
        <f t="shared" si="6"/>
        <v/>
      </c>
    </row>
    <row r="106" spans="1:9">
      <c r="A106" s="10" t="str">
        <f t="shared" si="7"/>
        <v/>
      </c>
      <c r="B106" s="53"/>
      <c r="C106" s="28" t="str">
        <f t="shared" si="4"/>
        <v/>
      </c>
      <c r="D106" s="28" t="str">
        <f t="shared" si="5"/>
        <v/>
      </c>
      <c r="E106" s="77"/>
      <c r="F106" s="45"/>
      <c r="G106" s="56"/>
      <c r="H106" s="83"/>
      <c r="I106" s="35" t="str">
        <f t="shared" si="6"/>
        <v/>
      </c>
    </row>
    <row r="107" spans="1:9">
      <c r="A107" s="10" t="str">
        <f t="shared" si="7"/>
        <v/>
      </c>
      <c r="B107" s="53"/>
      <c r="C107" s="28" t="str">
        <f t="shared" si="4"/>
        <v/>
      </c>
      <c r="D107" s="28" t="str">
        <f t="shared" si="5"/>
        <v/>
      </c>
      <c r="E107" s="77"/>
      <c r="F107" s="45"/>
      <c r="G107" s="56"/>
      <c r="H107" s="83"/>
      <c r="I107" s="35" t="str">
        <f t="shared" si="6"/>
        <v/>
      </c>
    </row>
    <row r="108" spans="1:9">
      <c r="A108" s="10" t="str">
        <f t="shared" si="7"/>
        <v/>
      </c>
      <c r="B108" s="53"/>
      <c r="C108" s="28" t="str">
        <f t="shared" si="4"/>
        <v/>
      </c>
      <c r="D108" s="28" t="str">
        <f t="shared" si="5"/>
        <v/>
      </c>
      <c r="E108" s="77"/>
      <c r="F108" s="45"/>
      <c r="G108" s="56"/>
      <c r="H108" s="83"/>
      <c r="I108" s="35" t="str">
        <f t="shared" si="6"/>
        <v/>
      </c>
    </row>
    <row r="109" spans="1:9">
      <c r="A109" s="10" t="str">
        <f t="shared" si="7"/>
        <v/>
      </c>
      <c r="B109" s="53"/>
      <c r="C109" s="28" t="str">
        <f t="shared" si="4"/>
        <v/>
      </c>
      <c r="D109" s="28" t="str">
        <f t="shared" si="5"/>
        <v/>
      </c>
      <c r="E109" s="77"/>
      <c r="F109" s="45"/>
      <c r="G109" s="56"/>
      <c r="H109" s="83"/>
      <c r="I109" s="35" t="str">
        <f t="shared" si="6"/>
        <v/>
      </c>
    </row>
    <row r="110" spans="1:9">
      <c r="A110" s="10" t="str">
        <f t="shared" si="7"/>
        <v/>
      </c>
      <c r="B110" s="53"/>
      <c r="C110" s="28" t="str">
        <f t="shared" si="4"/>
        <v/>
      </c>
      <c r="D110" s="28" t="str">
        <f t="shared" si="5"/>
        <v/>
      </c>
      <c r="E110" s="77"/>
      <c r="F110" s="45"/>
      <c r="G110" s="56"/>
      <c r="H110" s="83"/>
      <c r="I110" s="35" t="str">
        <f t="shared" si="6"/>
        <v/>
      </c>
    </row>
    <row r="111" spans="1:9">
      <c r="A111" s="10" t="str">
        <f t="shared" si="7"/>
        <v/>
      </c>
      <c r="B111" s="53"/>
      <c r="C111" s="28" t="str">
        <f t="shared" si="4"/>
        <v/>
      </c>
      <c r="D111" s="28" t="str">
        <f t="shared" si="5"/>
        <v/>
      </c>
      <c r="E111" s="77"/>
      <c r="F111" s="45"/>
      <c r="G111" s="56"/>
      <c r="H111" s="83"/>
      <c r="I111" s="35" t="str">
        <f t="shared" si="6"/>
        <v/>
      </c>
    </row>
    <row r="112" spans="1:9">
      <c r="A112" s="10" t="str">
        <f t="shared" si="7"/>
        <v/>
      </c>
      <c r="B112" s="53"/>
      <c r="C112" s="28" t="str">
        <f t="shared" si="4"/>
        <v/>
      </c>
      <c r="D112" s="28" t="str">
        <f t="shared" si="5"/>
        <v/>
      </c>
      <c r="E112" s="77"/>
      <c r="F112" s="45"/>
      <c r="G112" s="56"/>
      <c r="H112" s="83"/>
      <c r="I112" s="35" t="str">
        <f t="shared" si="6"/>
        <v/>
      </c>
    </row>
    <row r="113" spans="1:9">
      <c r="A113" s="10" t="str">
        <f t="shared" si="7"/>
        <v/>
      </c>
      <c r="B113" s="53"/>
      <c r="C113" s="28" t="str">
        <f t="shared" si="4"/>
        <v/>
      </c>
      <c r="D113" s="28" t="str">
        <f t="shared" si="5"/>
        <v/>
      </c>
      <c r="E113" s="77"/>
      <c r="F113" s="45"/>
      <c r="G113" s="56"/>
      <c r="H113" s="83"/>
      <c r="I113" s="35" t="str">
        <f t="shared" si="6"/>
        <v/>
      </c>
    </row>
    <row r="114" spans="1:9">
      <c r="A114" s="10" t="str">
        <f t="shared" si="7"/>
        <v/>
      </c>
      <c r="B114" s="53"/>
      <c r="C114" s="28" t="str">
        <f t="shared" si="4"/>
        <v/>
      </c>
      <c r="D114" s="28" t="str">
        <f t="shared" si="5"/>
        <v/>
      </c>
      <c r="E114" s="77"/>
      <c r="F114" s="45"/>
      <c r="G114" s="56"/>
      <c r="H114" s="83"/>
      <c r="I114" s="35" t="str">
        <f t="shared" si="6"/>
        <v/>
      </c>
    </row>
    <row r="115" spans="1:9">
      <c r="A115" s="10" t="str">
        <f t="shared" si="7"/>
        <v/>
      </c>
      <c r="B115" s="53"/>
      <c r="C115" s="28" t="str">
        <f t="shared" si="4"/>
        <v/>
      </c>
      <c r="D115" s="28" t="str">
        <f t="shared" si="5"/>
        <v/>
      </c>
      <c r="E115" s="77"/>
      <c r="F115" s="45"/>
      <c r="G115" s="56"/>
      <c r="H115" s="83"/>
      <c r="I115" s="35" t="str">
        <f t="shared" si="6"/>
        <v/>
      </c>
    </row>
    <row r="116" spans="1:9">
      <c r="A116" s="10" t="str">
        <f t="shared" si="7"/>
        <v/>
      </c>
      <c r="B116" s="53"/>
      <c r="C116" s="28" t="str">
        <f t="shared" si="4"/>
        <v/>
      </c>
      <c r="D116" s="28" t="str">
        <f t="shared" si="5"/>
        <v/>
      </c>
      <c r="E116" s="77"/>
      <c r="F116" s="45"/>
      <c r="G116" s="56"/>
      <c r="H116" s="83"/>
      <c r="I116" s="35" t="str">
        <f t="shared" si="6"/>
        <v/>
      </c>
    </row>
    <row r="117" spans="1:9">
      <c r="A117" s="10" t="str">
        <f t="shared" si="7"/>
        <v/>
      </c>
      <c r="B117" s="53"/>
      <c r="C117" s="28" t="str">
        <f t="shared" si="4"/>
        <v/>
      </c>
      <c r="D117" s="28" t="str">
        <f t="shared" si="5"/>
        <v/>
      </c>
      <c r="E117" s="77"/>
      <c r="F117" s="45"/>
      <c r="G117" s="56"/>
      <c r="H117" s="83"/>
      <c r="I117" s="35" t="str">
        <f t="shared" si="6"/>
        <v/>
      </c>
    </row>
    <row r="118" spans="1:9">
      <c r="A118" s="10" t="str">
        <f t="shared" si="7"/>
        <v/>
      </c>
      <c r="B118" s="53"/>
      <c r="C118" s="28" t="str">
        <f t="shared" si="4"/>
        <v/>
      </c>
      <c r="D118" s="28" t="str">
        <f t="shared" si="5"/>
        <v/>
      </c>
      <c r="E118" s="77"/>
      <c r="F118" s="45"/>
      <c r="G118" s="56"/>
      <c r="H118" s="83"/>
      <c r="I118" s="35" t="str">
        <f t="shared" si="6"/>
        <v/>
      </c>
    </row>
    <row r="119" spans="1:9">
      <c r="A119" s="10" t="str">
        <f t="shared" si="7"/>
        <v/>
      </c>
      <c r="B119" s="53"/>
      <c r="C119" s="28" t="str">
        <f t="shared" si="4"/>
        <v/>
      </c>
      <c r="D119" s="28" t="str">
        <f t="shared" si="5"/>
        <v/>
      </c>
      <c r="E119" s="77"/>
      <c r="F119" s="45"/>
      <c r="G119" s="56"/>
      <c r="H119" s="83"/>
      <c r="I119" s="35" t="str">
        <f t="shared" si="6"/>
        <v/>
      </c>
    </row>
    <row r="120" spans="1:9">
      <c r="A120" s="10" t="str">
        <f t="shared" si="7"/>
        <v/>
      </c>
      <c r="B120" s="53"/>
      <c r="C120" s="28" t="str">
        <f t="shared" si="4"/>
        <v/>
      </c>
      <c r="D120" s="28" t="str">
        <f t="shared" si="5"/>
        <v/>
      </c>
      <c r="E120" s="77"/>
      <c r="F120" s="45"/>
      <c r="G120" s="56"/>
      <c r="H120" s="83"/>
      <c r="I120" s="35" t="str">
        <f t="shared" si="6"/>
        <v/>
      </c>
    </row>
    <row r="121" spans="1:9">
      <c r="A121" s="10" t="str">
        <f t="shared" si="7"/>
        <v/>
      </c>
      <c r="B121" s="53"/>
      <c r="C121" s="28" t="str">
        <f t="shared" si="4"/>
        <v/>
      </c>
      <c r="D121" s="28" t="str">
        <f t="shared" si="5"/>
        <v/>
      </c>
      <c r="E121" s="77"/>
      <c r="F121" s="45"/>
      <c r="G121" s="56"/>
      <c r="H121" s="83"/>
      <c r="I121" s="35" t="str">
        <f t="shared" si="6"/>
        <v/>
      </c>
    </row>
    <row r="122" spans="1:9">
      <c r="A122" s="10" t="str">
        <f t="shared" si="7"/>
        <v/>
      </c>
      <c r="B122" s="53"/>
      <c r="C122" s="28" t="str">
        <f t="shared" si="4"/>
        <v/>
      </c>
      <c r="D122" s="28" t="str">
        <f t="shared" si="5"/>
        <v/>
      </c>
      <c r="E122" s="77"/>
      <c r="F122" s="45"/>
      <c r="G122" s="56"/>
      <c r="H122" s="83"/>
      <c r="I122" s="35" t="str">
        <f t="shared" si="6"/>
        <v/>
      </c>
    </row>
    <row r="123" spans="1:9">
      <c r="A123" s="10" t="str">
        <f t="shared" si="7"/>
        <v/>
      </c>
      <c r="B123" s="53"/>
      <c r="C123" s="28" t="str">
        <f t="shared" si="4"/>
        <v/>
      </c>
      <c r="D123" s="28" t="str">
        <f t="shared" si="5"/>
        <v/>
      </c>
      <c r="E123" s="77"/>
      <c r="F123" s="45"/>
      <c r="G123" s="56"/>
      <c r="H123" s="83"/>
      <c r="I123" s="35" t="str">
        <f t="shared" si="6"/>
        <v/>
      </c>
    </row>
    <row r="124" spans="1:9">
      <c r="A124" s="10" t="str">
        <f t="shared" si="7"/>
        <v/>
      </c>
      <c r="B124" s="53"/>
      <c r="C124" s="28" t="str">
        <f t="shared" si="4"/>
        <v/>
      </c>
      <c r="D124" s="28" t="str">
        <f t="shared" si="5"/>
        <v/>
      </c>
      <c r="E124" s="77"/>
      <c r="F124" s="45"/>
      <c r="G124" s="56"/>
      <c r="H124" s="83"/>
      <c r="I124" s="35" t="str">
        <f t="shared" si="6"/>
        <v/>
      </c>
    </row>
    <row r="125" spans="1:9">
      <c r="A125" s="10" t="str">
        <f t="shared" si="7"/>
        <v/>
      </c>
      <c r="B125" s="53"/>
      <c r="C125" s="28" t="str">
        <f t="shared" si="4"/>
        <v/>
      </c>
      <c r="D125" s="28" t="str">
        <f t="shared" si="5"/>
        <v/>
      </c>
      <c r="E125" s="77"/>
      <c r="F125" s="45"/>
      <c r="G125" s="56"/>
      <c r="H125" s="83"/>
      <c r="I125" s="35" t="str">
        <f t="shared" si="6"/>
        <v/>
      </c>
    </row>
    <row r="126" spans="1:9">
      <c r="A126" s="10" t="str">
        <f t="shared" si="7"/>
        <v/>
      </c>
      <c r="B126" s="53"/>
      <c r="C126" s="28" t="str">
        <f t="shared" si="4"/>
        <v/>
      </c>
      <c r="D126" s="28" t="str">
        <f t="shared" si="5"/>
        <v/>
      </c>
      <c r="E126" s="77"/>
      <c r="F126" s="45"/>
      <c r="G126" s="56"/>
      <c r="H126" s="83"/>
      <c r="I126" s="35" t="str">
        <f t="shared" si="6"/>
        <v/>
      </c>
    </row>
    <row r="127" spans="1:9">
      <c r="A127" s="10" t="str">
        <f t="shared" si="7"/>
        <v/>
      </c>
      <c r="B127" s="53"/>
      <c r="C127" s="28" t="str">
        <f t="shared" si="4"/>
        <v/>
      </c>
      <c r="D127" s="28" t="str">
        <f t="shared" si="5"/>
        <v/>
      </c>
      <c r="E127" s="77"/>
      <c r="F127" s="45"/>
      <c r="G127" s="56"/>
      <c r="H127" s="83"/>
      <c r="I127" s="35" t="str">
        <f t="shared" si="6"/>
        <v/>
      </c>
    </row>
    <row r="128" spans="1:9">
      <c r="A128" s="10" t="str">
        <f t="shared" si="7"/>
        <v/>
      </c>
      <c r="B128" s="53"/>
      <c r="C128" s="28" t="str">
        <f t="shared" si="4"/>
        <v/>
      </c>
      <c r="D128" s="28" t="str">
        <f t="shared" si="5"/>
        <v/>
      </c>
      <c r="E128" s="77"/>
      <c r="F128" s="45"/>
      <c r="G128" s="56"/>
      <c r="H128" s="83"/>
      <c r="I128" s="35" t="str">
        <f t="shared" si="6"/>
        <v/>
      </c>
    </row>
    <row r="129" spans="1:9">
      <c r="A129" s="10" t="str">
        <f t="shared" si="7"/>
        <v/>
      </c>
      <c r="B129" s="53"/>
      <c r="C129" s="28" t="str">
        <f t="shared" si="4"/>
        <v/>
      </c>
      <c r="D129" s="28" t="str">
        <f t="shared" si="5"/>
        <v/>
      </c>
      <c r="E129" s="77"/>
      <c r="F129" s="45"/>
      <c r="G129" s="56"/>
      <c r="H129" s="83"/>
      <c r="I129" s="35" t="str">
        <f t="shared" si="6"/>
        <v/>
      </c>
    </row>
    <row r="130" spans="1:9">
      <c r="A130" s="10" t="str">
        <f t="shared" si="7"/>
        <v/>
      </c>
      <c r="B130" s="53"/>
      <c r="C130" s="28" t="str">
        <f t="shared" si="4"/>
        <v/>
      </c>
      <c r="D130" s="28" t="str">
        <f t="shared" si="5"/>
        <v/>
      </c>
      <c r="E130" s="77"/>
      <c r="F130" s="45"/>
      <c r="G130" s="56"/>
      <c r="H130" s="83"/>
      <c r="I130" s="35" t="str">
        <f t="shared" si="6"/>
        <v/>
      </c>
    </row>
    <row r="131" spans="1:9">
      <c r="A131" s="10" t="str">
        <f t="shared" si="7"/>
        <v/>
      </c>
      <c r="B131" s="53"/>
      <c r="C131" s="28" t="str">
        <f t="shared" ref="C131:C194" si="8">IF(B131=0,"",TEXT(B131,"mmmm"))</f>
        <v/>
      </c>
      <c r="D131" s="28" t="str">
        <f t="shared" ref="D131:D194" si="9">IF(B131=0,"",TEXT(B131,"yyyy"))</f>
        <v/>
      </c>
      <c r="E131" s="77"/>
      <c r="F131" s="45"/>
      <c r="G131" s="56"/>
      <c r="H131" s="83"/>
      <c r="I131" s="35" t="str">
        <f t="shared" ref="I131:I194" si="10">IF(G131*H131=0,"",G131*H131)</f>
        <v/>
      </c>
    </row>
    <row r="132" spans="1:9">
      <c r="A132" s="10" t="str">
        <f t="shared" ref="A132:A195" si="11">IF(E132&gt;0,A131+1,"")</f>
        <v/>
      </c>
      <c r="B132" s="53"/>
      <c r="C132" s="28" t="str">
        <f t="shared" si="8"/>
        <v/>
      </c>
      <c r="D132" s="28" t="str">
        <f t="shared" si="9"/>
        <v/>
      </c>
      <c r="E132" s="77"/>
      <c r="F132" s="45"/>
      <c r="G132" s="56"/>
      <c r="H132" s="83"/>
      <c r="I132" s="35" t="str">
        <f t="shared" si="10"/>
        <v/>
      </c>
    </row>
    <row r="133" spans="1:9">
      <c r="A133" s="10" t="str">
        <f t="shared" si="11"/>
        <v/>
      </c>
      <c r="B133" s="53"/>
      <c r="C133" s="28" t="str">
        <f t="shared" si="8"/>
        <v/>
      </c>
      <c r="D133" s="28" t="str">
        <f t="shared" si="9"/>
        <v/>
      </c>
      <c r="E133" s="77"/>
      <c r="F133" s="45"/>
      <c r="G133" s="56"/>
      <c r="H133" s="83"/>
      <c r="I133" s="35" t="str">
        <f t="shared" si="10"/>
        <v/>
      </c>
    </row>
    <row r="134" spans="1:9">
      <c r="A134" s="10" t="str">
        <f t="shared" si="11"/>
        <v/>
      </c>
      <c r="B134" s="53"/>
      <c r="C134" s="28" t="str">
        <f t="shared" si="8"/>
        <v/>
      </c>
      <c r="D134" s="28" t="str">
        <f t="shared" si="9"/>
        <v/>
      </c>
      <c r="E134" s="77"/>
      <c r="F134" s="45"/>
      <c r="G134" s="56"/>
      <c r="H134" s="83"/>
      <c r="I134" s="35" t="str">
        <f t="shared" si="10"/>
        <v/>
      </c>
    </row>
    <row r="135" spans="1:9">
      <c r="A135" s="10" t="str">
        <f t="shared" si="11"/>
        <v/>
      </c>
      <c r="B135" s="53"/>
      <c r="C135" s="28" t="str">
        <f t="shared" si="8"/>
        <v/>
      </c>
      <c r="D135" s="28" t="str">
        <f t="shared" si="9"/>
        <v/>
      </c>
      <c r="E135" s="77"/>
      <c r="F135" s="45"/>
      <c r="G135" s="56"/>
      <c r="H135" s="83"/>
      <c r="I135" s="35" t="str">
        <f t="shared" si="10"/>
        <v/>
      </c>
    </row>
    <row r="136" spans="1:9">
      <c r="A136" s="10" t="str">
        <f t="shared" si="11"/>
        <v/>
      </c>
      <c r="B136" s="53"/>
      <c r="C136" s="28" t="str">
        <f t="shared" si="8"/>
        <v/>
      </c>
      <c r="D136" s="28" t="str">
        <f t="shared" si="9"/>
        <v/>
      </c>
      <c r="E136" s="77"/>
      <c r="F136" s="45"/>
      <c r="G136" s="56"/>
      <c r="H136" s="83"/>
      <c r="I136" s="35" t="str">
        <f t="shared" si="10"/>
        <v/>
      </c>
    </row>
    <row r="137" spans="1:9">
      <c r="A137" s="10" t="str">
        <f t="shared" si="11"/>
        <v/>
      </c>
      <c r="B137" s="53"/>
      <c r="C137" s="28" t="str">
        <f t="shared" si="8"/>
        <v/>
      </c>
      <c r="D137" s="28" t="str">
        <f t="shared" si="9"/>
        <v/>
      </c>
      <c r="E137" s="77"/>
      <c r="F137" s="45"/>
      <c r="G137" s="56"/>
      <c r="H137" s="83"/>
      <c r="I137" s="35" t="str">
        <f t="shared" si="10"/>
        <v/>
      </c>
    </row>
    <row r="138" spans="1:9">
      <c r="A138" s="10" t="str">
        <f t="shared" si="11"/>
        <v/>
      </c>
      <c r="B138" s="53"/>
      <c r="C138" s="28" t="str">
        <f t="shared" si="8"/>
        <v/>
      </c>
      <c r="D138" s="28" t="str">
        <f t="shared" si="9"/>
        <v/>
      </c>
      <c r="E138" s="77"/>
      <c r="F138" s="45"/>
      <c r="G138" s="56"/>
      <c r="H138" s="83"/>
      <c r="I138" s="35" t="str">
        <f t="shared" si="10"/>
        <v/>
      </c>
    </row>
    <row r="139" spans="1:9">
      <c r="A139" s="10" t="str">
        <f t="shared" si="11"/>
        <v/>
      </c>
      <c r="B139" s="53"/>
      <c r="C139" s="28" t="str">
        <f t="shared" si="8"/>
        <v/>
      </c>
      <c r="D139" s="28" t="str">
        <f t="shared" si="9"/>
        <v/>
      </c>
      <c r="E139" s="77"/>
      <c r="F139" s="45"/>
      <c r="G139" s="56"/>
      <c r="H139" s="83"/>
      <c r="I139" s="35" t="str">
        <f t="shared" si="10"/>
        <v/>
      </c>
    </row>
    <row r="140" spans="1:9">
      <c r="A140" s="10" t="str">
        <f t="shared" si="11"/>
        <v/>
      </c>
      <c r="B140" s="53"/>
      <c r="C140" s="28" t="str">
        <f t="shared" si="8"/>
        <v/>
      </c>
      <c r="D140" s="28" t="str">
        <f t="shared" si="9"/>
        <v/>
      </c>
      <c r="E140" s="77"/>
      <c r="F140" s="45"/>
      <c r="G140" s="56"/>
      <c r="H140" s="83"/>
      <c r="I140" s="35" t="str">
        <f t="shared" si="10"/>
        <v/>
      </c>
    </row>
    <row r="141" spans="1:9">
      <c r="A141" s="10" t="str">
        <f t="shared" si="11"/>
        <v/>
      </c>
      <c r="B141" s="53"/>
      <c r="C141" s="28" t="str">
        <f t="shared" si="8"/>
        <v/>
      </c>
      <c r="D141" s="28" t="str">
        <f t="shared" si="9"/>
        <v/>
      </c>
      <c r="E141" s="77"/>
      <c r="F141" s="45"/>
      <c r="G141" s="56"/>
      <c r="H141" s="83"/>
      <c r="I141" s="35" t="str">
        <f t="shared" si="10"/>
        <v/>
      </c>
    </row>
    <row r="142" spans="1:9">
      <c r="A142" s="10" t="str">
        <f t="shared" si="11"/>
        <v/>
      </c>
      <c r="B142" s="53"/>
      <c r="C142" s="28" t="str">
        <f t="shared" si="8"/>
        <v/>
      </c>
      <c r="D142" s="28" t="str">
        <f t="shared" si="9"/>
        <v/>
      </c>
      <c r="E142" s="77"/>
      <c r="F142" s="45"/>
      <c r="G142" s="56"/>
      <c r="H142" s="83"/>
      <c r="I142" s="35" t="str">
        <f t="shared" si="10"/>
        <v/>
      </c>
    </row>
    <row r="143" spans="1:9">
      <c r="A143" s="10" t="str">
        <f t="shared" si="11"/>
        <v/>
      </c>
      <c r="B143" s="53"/>
      <c r="C143" s="28" t="str">
        <f t="shared" si="8"/>
        <v/>
      </c>
      <c r="D143" s="28" t="str">
        <f t="shared" si="9"/>
        <v/>
      </c>
      <c r="E143" s="77"/>
      <c r="F143" s="45"/>
      <c r="G143" s="56"/>
      <c r="H143" s="83"/>
      <c r="I143" s="35" t="str">
        <f t="shared" si="10"/>
        <v/>
      </c>
    </row>
    <row r="144" spans="1:9">
      <c r="A144" s="10" t="str">
        <f t="shared" si="11"/>
        <v/>
      </c>
      <c r="B144" s="53"/>
      <c r="C144" s="28" t="str">
        <f t="shared" si="8"/>
        <v/>
      </c>
      <c r="D144" s="28" t="str">
        <f t="shared" si="9"/>
        <v/>
      </c>
      <c r="E144" s="77"/>
      <c r="F144" s="45"/>
      <c r="G144" s="56"/>
      <c r="H144" s="83"/>
      <c r="I144" s="35" t="str">
        <f t="shared" si="10"/>
        <v/>
      </c>
    </row>
    <row r="145" spans="1:9">
      <c r="A145" s="10" t="str">
        <f t="shared" si="11"/>
        <v/>
      </c>
      <c r="B145" s="53"/>
      <c r="C145" s="28" t="str">
        <f t="shared" si="8"/>
        <v/>
      </c>
      <c r="D145" s="28" t="str">
        <f t="shared" si="9"/>
        <v/>
      </c>
      <c r="E145" s="77"/>
      <c r="F145" s="45"/>
      <c r="G145" s="56"/>
      <c r="H145" s="83"/>
      <c r="I145" s="35" t="str">
        <f t="shared" si="10"/>
        <v/>
      </c>
    </row>
    <row r="146" spans="1:9">
      <c r="A146" s="10" t="str">
        <f t="shared" si="11"/>
        <v/>
      </c>
      <c r="B146" s="53"/>
      <c r="C146" s="28" t="str">
        <f t="shared" si="8"/>
        <v/>
      </c>
      <c r="D146" s="28" t="str">
        <f t="shared" si="9"/>
        <v/>
      </c>
      <c r="E146" s="77"/>
      <c r="F146" s="45"/>
      <c r="G146" s="56"/>
      <c r="H146" s="83"/>
      <c r="I146" s="35" t="str">
        <f t="shared" si="10"/>
        <v/>
      </c>
    </row>
    <row r="147" spans="1:9">
      <c r="A147" s="10" t="str">
        <f t="shared" si="11"/>
        <v/>
      </c>
      <c r="B147" s="53"/>
      <c r="C147" s="28" t="str">
        <f t="shared" si="8"/>
        <v/>
      </c>
      <c r="D147" s="28" t="str">
        <f t="shared" si="9"/>
        <v/>
      </c>
      <c r="E147" s="77"/>
      <c r="F147" s="45"/>
      <c r="G147" s="56"/>
      <c r="H147" s="83"/>
      <c r="I147" s="35" t="str">
        <f t="shared" si="10"/>
        <v/>
      </c>
    </row>
    <row r="148" spans="1:9">
      <c r="A148" s="10" t="str">
        <f t="shared" si="11"/>
        <v/>
      </c>
      <c r="B148" s="53"/>
      <c r="C148" s="28" t="str">
        <f t="shared" si="8"/>
        <v/>
      </c>
      <c r="D148" s="28" t="str">
        <f t="shared" si="9"/>
        <v/>
      </c>
      <c r="E148" s="77"/>
      <c r="F148" s="45"/>
      <c r="G148" s="56"/>
      <c r="H148" s="83"/>
      <c r="I148" s="35" t="str">
        <f t="shared" si="10"/>
        <v/>
      </c>
    </row>
    <row r="149" spans="1:9">
      <c r="A149" s="10" t="str">
        <f t="shared" si="11"/>
        <v/>
      </c>
      <c r="B149" s="53"/>
      <c r="C149" s="28" t="str">
        <f t="shared" si="8"/>
        <v/>
      </c>
      <c r="D149" s="28" t="str">
        <f t="shared" si="9"/>
        <v/>
      </c>
      <c r="E149" s="77"/>
      <c r="F149" s="45"/>
      <c r="G149" s="56"/>
      <c r="H149" s="83"/>
      <c r="I149" s="35" t="str">
        <f t="shared" si="10"/>
        <v/>
      </c>
    </row>
    <row r="150" spans="1:9">
      <c r="A150" s="10" t="str">
        <f t="shared" si="11"/>
        <v/>
      </c>
      <c r="B150" s="53"/>
      <c r="C150" s="28" t="str">
        <f t="shared" si="8"/>
        <v/>
      </c>
      <c r="D150" s="28" t="str">
        <f t="shared" si="9"/>
        <v/>
      </c>
      <c r="E150" s="77"/>
      <c r="F150" s="45"/>
      <c r="G150" s="56"/>
      <c r="H150" s="83"/>
      <c r="I150" s="35" t="str">
        <f t="shared" si="10"/>
        <v/>
      </c>
    </row>
    <row r="151" spans="1:9">
      <c r="A151" s="10" t="str">
        <f t="shared" si="11"/>
        <v/>
      </c>
      <c r="B151" s="53"/>
      <c r="C151" s="28" t="str">
        <f t="shared" si="8"/>
        <v/>
      </c>
      <c r="D151" s="28" t="str">
        <f t="shared" si="9"/>
        <v/>
      </c>
      <c r="E151" s="77"/>
      <c r="F151" s="45"/>
      <c r="G151" s="56"/>
      <c r="H151" s="83"/>
      <c r="I151" s="35" t="str">
        <f t="shared" si="10"/>
        <v/>
      </c>
    </row>
    <row r="152" spans="1:9">
      <c r="A152" s="10" t="str">
        <f t="shared" si="11"/>
        <v/>
      </c>
      <c r="B152" s="53"/>
      <c r="C152" s="28" t="str">
        <f t="shared" si="8"/>
        <v/>
      </c>
      <c r="D152" s="28" t="str">
        <f t="shared" si="9"/>
        <v/>
      </c>
      <c r="E152" s="77"/>
      <c r="F152" s="45"/>
      <c r="G152" s="56"/>
      <c r="H152" s="83"/>
      <c r="I152" s="35" t="str">
        <f t="shared" si="10"/>
        <v/>
      </c>
    </row>
    <row r="153" spans="1:9">
      <c r="A153" s="10" t="str">
        <f t="shared" si="11"/>
        <v/>
      </c>
      <c r="B153" s="53"/>
      <c r="C153" s="28" t="str">
        <f t="shared" si="8"/>
        <v/>
      </c>
      <c r="D153" s="28" t="str">
        <f t="shared" si="9"/>
        <v/>
      </c>
      <c r="E153" s="77"/>
      <c r="F153" s="45"/>
      <c r="G153" s="56"/>
      <c r="H153" s="83"/>
      <c r="I153" s="35" t="str">
        <f t="shared" si="10"/>
        <v/>
      </c>
    </row>
    <row r="154" spans="1:9">
      <c r="A154" s="10" t="str">
        <f t="shared" si="11"/>
        <v/>
      </c>
      <c r="B154" s="53"/>
      <c r="C154" s="28" t="str">
        <f t="shared" si="8"/>
        <v/>
      </c>
      <c r="D154" s="28" t="str">
        <f t="shared" si="9"/>
        <v/>
      </c>
      <c r="E154" s="77"/>
      <c r="F154" s="45"/>
      <c r="G154" s="56"/>
      <c r="H154" s="83"/>
      <c r="I154" s="35" t="str">
        <f t="shared" si="10"/>
        <v/>
      </c>
    </row>
    <row r="155" spans="1:9">
      <c r="A155" s="10" t="str">
        <f t="shared" si="11"/>
        <v/>
      </c>
      <c r="B155" s="53"/>
      <c r="C155" s="28" t="str">
        <f t="shared" si="8"/>
        <v/>
      </c>
      <c r="D155" s="28" t="str">
        <f t="shared" si="9"/>
        <v/>
      </c>
      <c r="E155" s="77"/>
      <c r="F155" s="45"/>
      <c r="G155" s="56"/>
      <c r="H155" s="83"/>
      <c r="I155" s="35" t="str">
        <f t="shared" si="10"/>
        <v/>
      </c>
    </row>
    <row r="156" spans="1:9">
      <c r="A156" s="10" t="str">
        <f t="shared" si="11"/>
        <v/>
      </c>
      <c r="B156" s="53"/>
      <c r="C156" s="28" t="str">
        <f t="shared" si="8"/>
        <v/>
      </c>
      <c r="D156" s="28" t="str">
        <f t="shared" si="9"/>
        <v/>
      </c>
      <c r="E156" s="77"/>
      <c r="F156" s="45"/>
      <c r="G156" s="56"/>
      <c r="H156" s="83"/>
      <c r="I156" s="35" t="str">
        <f t="shared" si="10"/>
        <v/>
      </c>
    </row>
    <row r="157" spans="1:9">
      <c r="A157" s="10" t="str">
        <f t="shared" si="11"/>
        <v/>
      </c>
      <c r="B157" s="53"/>
      <c r="C157" s="28" t="str">
        <f t="shared" si="8"/>
        <v/>
      </c>
      <c r="D157" s="28" t="str">
        <f t="shared" si="9"/>
        <v/>
      </c>
      <c r="E157" s="77"/>
      <c r="F157" s="45"/>
      <c r="G157" s="56"/>
      <c r="H157" s="83"/>
      <c r="I157" s="35" t="str">
        <f t="shared" si="10"/>
        <v/>
      </c>
    </row>
    <row r="158" spans="1:9">
      <c r="A158" s="10" t="str">
        <f t="shared" si="11"/>
        <v/>
      </c>
      <c r="B158" s="53"/>
      <c r="C158" s="28" t="str">
        <f t="shared" si="8"/>
        <v/>
      </c>
      <c r="D158" s="28" t="str">
        <f t="shared" si="9"/>
        <v/>
      </c>
      <c r="E158" s="77"/>
      <c r="F158" s="45"/>
      <c r="G158" s="56"/>
      <c r="H158" s="83"/>
      <c r="I158" s="35" t="str">
        <f t="shared" si="10"/>
        <v/>
      </c>
    </row>
    <row r="159" spans="1:9">
      <c r="A159" s="10" t="str">
        <f t="shared" si="11"/>
        <v/>
      </c>
      <c r="B159" s="53"/>
      <c r="C159" s="28" t="str">
        <f t="shared" si="8"/>
        <v/>
      </c>
      <c r="D159" s="28" t="str">
        <f t="shared" si="9"/>
        <v/>
      </c>
      <c r="E159" s="77"/>
      <c r="F159" s="45"/>
      <c r="G159" s="56"/>
      <c r="H159" s="83"/>
      <c r="I159" s="35" t="str">
        <f t="shared" si="10"/>
        <v/>
      </c>
    </row>
    <row r="160" spans="1:9">
      <c r="A160" s="10" t="str">
        <f t="shared" si="11"/>
        <v/>
      </c>
      <c r="B160" s="53"/>
      <c r="C160" s="28" t="str">
        <f t="shared" si="8"/>
        <v/>
      </c>
      <c r="D160" s="28" t="str">
        <f t="shared" si="9"/>
        <v/>
      </c>
      <c r="E160" s="77"/>
      <c r="F160" s="45"/>
      <c r="G160" s="56"/>
      <c r="H160" s="83"/>
      <c r="I160" s="35" t="str">
        <f t="shared" si="10"/>
        <v/>
      </c>
    </row>
    <row r="161" spans="1:9">
      <c r="A161" s="10" t="str">
        <f t="shared" si="11"/>
        <v/>
      </c>
      <c r="B161" s="53"/>
      <c r="C161" s="28" t="str">
        <f t="shared" si="8"/>
        <v/>
      </c>
      <c r="D161" s="28" t="str">
        <f t="shared" si="9"/>
        <v/>
      </c>
      <c r="E161" s="77"/>
      <c r="F161" s="45"/>
      <c r="G161" s="56"/>
      <c r="H161" s="83"/>
      <c r="I161" s="35" t="str">
        <f t="shared" si="10"/>
        <v/>
      </c>
    </row>
    <row r="162" spans="1:9">
      <c r="A162" s="10" t="str">
        <f t="shared" si="11"/>
        <v/>
      </c>
      <c r="B162" s="53"/>
      <c r="C162" s="28" t="str">
        <f t="shared" si="8"/>
        <v/>
      </c>
      <c r="D162" s="28" t="str">
        <f t="shared" si="9"/>
        <v/>
      </c>
      <c r="E162" s="77"/>
      <c r="F162" s="45"/>
      <c r="G162" s="56"/>
      <c r="H162" s="83"/>
      <c r="I162" s="35" t="str">
        <f t="shared" si="10"/>
        <v/>
      </c>
    </row>
    <row r="163" spans="1:9">
      <c r="A163" s="10" t="str">
        <f t="shared" si="11"/>
        <v/>
      </c>
      <c r="B163" s="53"/>
      <c r="C163" s="28" t="str">
        <f t="shared" si="8"/>
        <v/>
      </c>
      <c r="D163" s="28" t="str">
        <f t="shared" si="9"/>
        <v/>
      </c>
      <c r="E163" s="77"/>
      <c r="F163" s="45"/>
      <c r="G163" s="56"/>
      <c r="H163" s="83"/>
      <c r="I163" s="35" t="str">
        <f t="shared" si="10"/>
        <v/>
      </c>
    </row>
    <row r="164" spans="1:9">
      <c r="A164" s="10" t="str">
        <f t="shared" si="11"/>
        <v/>
      </c>
      <c r="B164" s="53"/>
      <c r="C164" s="28" t="str">
        <f t="shared" si="8"/>
        <v/>
      </c>
      <c r="D164" s="28" t="str">
        <f t="shared" si="9"/>
        <v/>
      </c>
      <c r="E164" s="77"/>
      <c r="F164" s="45"/>
      <c r="G164" s="56"/>
      <c r="H164" s="83"/>
      <c r="I164" s="35" t="str">
        <f t="shared" si="10"/>
        <v/>
      </c>
    </row>
    <row r="165" spans="1:9">
      <c r="A165" s="10" t="str">
        <f t="shared" si="11"/>
        <v/>
      </c>
      <c r="B165" s="53"/>
      <c r="C165" s="28" t="str">
        <f t="shared" si="8"/>
        <v/>
      </c>
      <c r="D165" s="28" t="str">
        <f t="shared" si="9"/>
        <v/>
      </c>
      <c r="E165" s="77"/>
      <c r="F165" s="45"/>
      <c r="G165" s="56"/>
      <c r="H165" s="83"/>
      <c r="I165" s="35" t="str">
        <f t="shared" si="10"/>
        <v/>
      </c>
    </row>
    <row r="166" spans="1:9">
      <c r="A166" s="10" t="str">
        <f t="shared" si="11"/>
        <v/>
      </c>
      <c r="B166" s="53"/>
      <c r="C166" s="28" t="str">
        <f t="shared" si="8"/>
        <v/>
      </c>
      <c r="D166" s="28" t="str">
        <f t="shared" si="9"/>
        <v/>
      </c>
      <c r="E166" s="77"/>
      <c r="F166" s="45"/>
      <c r="G166" s="56"/>
      <c r="H166" s="83"/>
      <c r="I166" s="35" t="str">
        <f t="shared" si="10"/>
        <v/>
      </c>
    </row>
    <row r="167" spans="1:9">
      <c r="A167" s="10" t="str">
        <f t="shared" si="11"/>
        <v/>
      </c>
      <c r="B167" s="53"/>
      <c r="C167" s="28" t="str">
        <f t="shared" si="8"/>
        <v/>
      </c>
      <c r="D167" s="28" t="str">
        <f t="shared" si="9"/>
        <v/>
      </c>
      <c r="E167" s="77"/>
      <c r="F167" s="45"/>
      <c r="G167" s="56"/>
      <c r="H167" s="83"/>
      <c r="I167" s="35" t="str">
        <f t="shared" si="10"/>
        <v/>
      </c>
    </row>
    <row r="168" spans="1:9">
      <c r="A168" s="10" t="str">
        <f t="shared" si="11"/>
        <v/>
      </c>
      <c r="B168" s="53"/>
      <c r="C168" s="28" t="str">
        <f t="shared" si="8"/>
        <v/>
      </c>
      <c r="D168" s="28" t="str">
        <f t="shared" si="9"/>
        <v/>
      </c>
      <c r="E168" s="77"/>
      <c r="F168" s="45"/>
      <c r="G168" s="56"/>
      <c r="H168" s="83"/>
      <c r="I168" s="35" t="str">
        <f t="shared" si="10"/>
        <v/>
      </c>
    </row>
    <row r="169" spans="1:9">
      <c r="A169" s="10" t="str">
        <f t="shared" si="11"/>
        <v/>
      </c>
      <c r="B169" s="53"/>
      <c r="C169" s="28" t="str">
        <f t="shared" si="8"/>
        <v/>
      </c>
      <c r="D169" s="28" t="str">
        <f t="shared" si="9"/>
        <v/>
      </c>
      <c r="E169" s="77"/>
      <c r="F169" s="45"/>
      <c r="G169" s="56"/>
      <c r="H169" s="83"/>
      <c r="I169" s="35" t="str">
        <f t="shared" si="10"/>
        <v/>
      </c>
    </row>
    <row r="170" spans="1:9">
      <c r="A170" s="10" t="str">
        <f t="shared" si="11"/>
        <v/>
      </c>
      <c r="B170" s="53"/>
      <c r="C170" s="28" t="str">
        <f t="shared" si="8"/>
        <v/>
      </c>
      <c r="D170" s="28" t="str">
        <f t="shared" si="9"/>
        <v/>
      </c>
      <c r="E170" s="77"/>
      <c r="F170" s="45"/>
      <c r="G170" s="56"/>
      <c r="H170" s="83"/>
      <c r="I170" s="35" t="str">
        <f t="shared" si="10"/>
        <v/>
      </c>
    </row>
    <row r="171" spans="1:9">
      <c r="A171" s="10" t="str">
        <f t="shared" si="11"/>
        <v/>
      </c>
      <c r="B171" s="53"/>
      <c r="C171" s="28" t="str">
        <f t="shared" si="8"/>
        <v/>
      </c>
      <c r="D171" s="28" t="str">
        <f t="shared" si="9"/>
        <v/>
      </c>
      <c r="E171" s="77"/>
      <c r="F171" s="45"/>
      <c r="G171" s="56"/>
      <c r="H171" s="83"/>
      <c r="I171" s="35" t="str">
        <f t="shared" si="10"/>
        <v/>
      </c>
    </row>
    <row r="172" spans="1:9">
      <c r="A172" s="10" t="str">
        <f t="shared" si="11"/>
        <v/>
      </c>
      <c r="B172" s="53"/>
      <c r="C172" s="28" t="str">
        <f t="shared" si="8"/>
        <v/>
      </c>
      <c r="D172" s="28" t="str">
        <f t="shared" si="9"/>
        <v/>
      </c>
      <c r="E172" s="77"/>
      <c r="F172" s="45"/>
      <c r="G172" s="56"/>
      <c r="H172" s="83"/>
      <c r="I172" s="35" t="str">
        <f t="shared" si="10"/>
        <v/>
      </c>
    </row>
    <row r="173" spans="1:9">
      <c r="A173" s="10" t="str">
        <f t="shared" si="11"/>
        <v/>
      </c>
      <c r="B173" s="53"/>
      <c r="C173" s="28" t="str">
        <f t="shared" si="8"/>
        <v/>
      </c>
      <c r="D173" s="28" t="str">
        <f t="shared" si="9"/>
        <v/>
      </c>
      <c r="E173" s="77"/>
      <c r="F173" s="45"/>
      <c r="G173" s="56"/>
      <c r="H173" s="83"/>
      <c r="I173" s="35" t="str">
        <f t="shared" si="10"/>
        <v/>
      </c>
    </row>
    <row r="174" spans="1:9">
      <c r="A174" s="10" t="str">
        <f t="shared" si="11"/>
        <v/>
      </c>
      <c r="B174" s="53"/>
      <c r="C174" s="28" t="str">
        <f t="shared" si="8"/>
        <v/>
      </c>
      <c r="D174" s="28" t="str">
        <f t="shared" si="9"/>
        <v/>
      </c>
      <c r="E174" s="77"/>
      <c r="F174" s="45"/>
      <c r="G174" s="56"/>
      <c r="H174" s="83"/>
      <c r="I174" s="35" t="str">
        <f t="shared" si="10"/>
        <v/>
      </c>
    </row>
    <row r="175" spans="1:9">
      <c r="A175" s="10" t="str">
        <f t="shared" si="11"/>
        <v/>
      </c>
      <c r="B175" s="53"/>
      <c r="C175" s="28" t="str">
        <f t="shared" si="8"/>
        <v/>
      </c>
      <c r="D175" s="28" t="str">
        <f t="shared" si="9"/>
        <v/>
      </c>
      <c r="E175" s="77"/>
      <c r="F175" s="45"/>
      <c r="G175" s="56"/>
      <c r="H175" s="83"/>
      <c r="I175" s="35" t="str">
        <f t="shared" si="10"/>
        <v/>
      </c>
    </row>
    <row r="176" spans="1:9">
      <c r="A176" s="10" t="str">
        <f t="shared" si="11"/>
        <v/>
      </c>
      <c r="B176" s="53"/>
      <c r="C176" s="28" t="str">
        <f t="shared" si="8"/>
        <v/>
      </c>
      <c r="D176" s="28" t="str">
        <f t="shared" si="9"/>
        <v/>
      </c>
      <c r="E176" s="77"/>
      <c r="F176" s="45"/>
      <c r="G176" s="56"/>
      <c r="H176" s="83"/>
      <c r="I176" s="35" t="str">
        <f t="shared" si="10"/>
        <v/>
      </c>
    </row>
    <row r="177" spans="1:9">
      <c r="A177" s="10" t="str">
        <f t="shared" si="11"/>
        <v/>
      </c>
      <c r="B177" s="53"/>
      <c r="C177" s="28" t="str">
        <f t="shared" si="8"/>
        <v/>
      </c>
      <c r="D177" s="28" t="str">
        <f t="shared" si="9"/>
        <v/>
      </c>
      <c r="E177" s="77"/>
      <c r="F177" s="45"/>
      <c r="G177" s="56"/>
      <c r="H177" s="83"/>
      <c r="I177" s="35" t="str">
        <f t="shared" si="10"/>
        <v/>
      </c>
    </row>
    <row r="178" spans="1:9">
      <c r="A178" s="10" t="str">
        <f t="shared" si="11"/>
        <v/>
      </c>
      <c r="B178" s="53"/>
      <c r="C178" s="28" t="str">
        <f t="shared" si="8"/>
        <v/>
      </c>
      <c r="D178" s="28" t="str">
        <f t="shared" si="9"/>
        <v/>
      </c>
      <c r="E178" s="77"/>
      <c r="F178" s="45"/>
      <c r="G178" s="56"/>
      <c r="H178" s="83"/>
      <c r="I178" s="35" t="str">
        <f t="shared" si="10"/>
        <v/>
      </c>
    </row>
    <row r="179" spans="1:9">
      <c r="A179" s="10" t="str">
        <f t="shared" si="11"/>
        <v/>
      </c>
      <c r="B179" s="53"/>
      <c r="C179" s="28" t="str">
        <f t="shared" si="8"/>
        <v/>
      </c>
      <c r="D179" s="28" t="str">
        <f t="shared" si="9"/>
        <v/>
      </c>
      <c r="E179" s="77"/>
      <c r="F179" s="45"/>
      <c r="G179" s="56"/>
      <c r="H179" s="83"/>
      <c r="I179" s="35" t="str">
        <f t="shared" si="10"/>
        <v/>
      </c>
    </row>
    <row r="180" spans="1:9">
      <c r="A180" s="10" t="str">
        <f t="shared" si="11"/>
        <v/>
      </c>
      <c r="B180" s="53"/>
      <c r="C180" s="28" t="str">
        <f t="shared" si="8"/>
        <v/>
      </c>
      <c r="D180" s="28" t="str">
        <f t="shared" si="9"/>
        <v/>
      </c>
      <c r="E180" s="77"/>
      <c r="F180" s="45"/>
      <c r="G180" s="56"/>
      <c r="H180" s="83"/>
      <c r="I180" s="35" t="str">
        <f t="shared" si="10"/>
        <v/>
      </c>
    </row>
    <row r="181" spans="1:9">
      <c r="A181" s="10" t="str">
        <f t="shared" si="11"/>
        <v/>
      </c>
      <c r="B181" s="53"/>
      <c r="C181" s="28" t="str">
        <f t="shared" si="8"/>
        <v/>
      </c>
      <c r="D181" s="28" t="str">
        <f t="shared" si="9"/>
        <v/>
      </c>
      <c r="E181" s="77"/>
      <c r="F181" s="45"/>
      <c r="G181" s="56"/>
      <c r="H181" s="83"/>
      <c r="I181" s="35" t="str">
        <f t="shared" si="10"/>
        <v/>
      </c>
    </row>
    <row r="182" spans="1:9">
      <c r="A182" s="10" t="str">
        <f t="shared" si="11"/>
        <v/>
      </c>
      <c r="B182" s="53"/>
      <c r="C182" s="28" t="str">
        <f t="shared" si="8"/>
        <v/>
      </c>
      <c r="D182" s="28" t="str">
        <f t="shared" si="9"/>
        <v/>
      </c>
      <c r="E182" s="77"/>
      <c r="F182" s="45"/>
      <c r="G182" s="56"/>
      <c r="H182" s="83"/>
      <c r="I182" s="35" t="str">
        <f t="shared" si="10"/>
        <v/>
      </c>
    </row>
    <row r="183" spans="1:9">
      <c r="A183" s="10" t="str">
        <f t="shared" si="11"/>
        <v/>
      </c>
      <c r="B183" s="53"/>
      <c r="C183" s="28" t="str">
        <f t="shared" si="8"/>
        <v/>
      </c>
      <c r="D183" s="28" t="str">
        <f t="shared" si="9"/>
        <v/>
      </c>
      <c r="E183" s="77"/>
      <c r="F183" s="45"/>
      <c r="G183" s="56"/>
      <c r="H183" s="83"/>
      <c r="I183" s="35" t="str">
        <f t="shared" si="10"/>
        <v/>
      </c>
    </row>
    <row r="184" spans="1:9">
      <c r="A184" s="10" t="str">
        <f t="shared" si="11"/>
        <v/>
      </c>
      <c r="B184" s="53"/>
      <c r="C184" s="28" t="str">
        <f t="shared" si="8"/>
        <v/>
      </c>
      <c r="D184" s="28" t="str">
        <f t="shared" si="9"/>
        <v/>
      </c>
      <c r="E184" s="77"/>
      <c r="F184" s="45"/>
      <c r="G184" s="56"/>
      <c r="H184" s="83"/>
      <c r="I184" s="35" t="str">
        <f t="shared" si="10"/>
        <v/>
      </c>
    </row>
    <row r="185" spans="1:9">
      <c r="A185" s="10" t="str">
        <f t="shared" si="11"/>
        <v/>
      </c>
      <c r="B185" s="53"/>
      <c r="C185" s="28" t="str">
        <f t="shared" si="8"/>
        <v/>
      </c>
      <c r="D185" s="28" t="str">
        <f t="shared" si="9"/>
        <v/>
      </c>
      <c r="E185" s="77"/>
      <c r="F185" s="45"/>
      <c r="G185" s="56"/>
      <c r="H185" s="83"/>
      <c r="I185" s="35" t="str">
        <f t="shared" si="10"/>
        <v/>
      </c>
    </row>
    <row r="186" spans="1:9">
      <c r="A186" s="10" t="str">
        <f t="shared" si="11"/>
        <v/>
      </c>
      <c r="B186" s="53"/>
      <c r="C186" s="28" t="str">
        <f t="shared" si="8"/>
        <v/>
      </c>
      <c r="D186" s="28" t="str">
        <f t="shared" si="9"/>
        <v/>
      </c>
      <c r="E186" s="77"/>
      <c r="F186" s="45"/>
      <c r="G186" s="56"/>
      <c r="H186" s="83"/>
      <c r="I186" s="35" t="str">
        <f t="shared" si="10"/>
        <v/>
      </c>
    </row>
    <row r="187" spans="1:9">
      <c r="A187" s="10" t="str">
        <f t="shared" si="11"/>
        <v/>
      </c>
      <c r="B187" s="53"/>
      <c r="C187" s="28" t="str">
        <f t="shared" si="8"/>
        <v/>
      </c>
      <c r="D187" s="28" t="str">
        <f t="shared" si="9"/>
        <v/>
      </c>
      <c r="E187" s="77"/>
      <c r="F187" s="45"/>
      <c r="G187" s="56"/>
      <c r="H187" s="83"/>
      <c r="I187" s="35" t="str">
        <f t="shared" si="10"/>
        <v/>
      </c>
    </row>
    <row r="188" spans="1:9">
      <c r="A188" s="10" t="str">
        <f t="shared" si="11"/>
        <v/>
      </c>
      <c r="B188" s="53"/>
      <c r="C188" s="28" t="str">
        <f t="shared" si="8"/>
        <v/>
      </c>
      <c r="D188" s="28" t="str">
        <f t="shared" si="9"/>
        <v/>
      </c>
      <c r="E188" s="77"/>
      <c r="F188" s="45"/>
      <c r="G188" s="56"/>
      <c r="H188" s="83"/>
      <c r="I188" s="35" t="str">
        <f t="shared" si="10"/>
        <v/>
      </c>
    </row>
    <row r="189" spans="1:9">
      <c r="A189" s="10" t="str">
        <f t="shared" si="11"/>
        <v/>
      </c>
      <c r="B189" s="53"/>
      <c r="C189" s="28" t="str">
        <f t="shared" si="8"/>
        <v/>
      </c>
      <c r="D189" s="28" t="str">
        <f t="shared" si="9"/>
        <v/>
      </c>
      <c r="E189" s="77"/>
      <c r="F189" s="45"/>
      <c r="G189" s="56"/>
      <c r="H189" s="83"/>
      <c r="I189" s="35" t="str">
        <f t="shared" si="10"/>
        <v/>
      </c>
    </row>
    <row r="190" spans="1:9">
      <c r="A190" s="10" t="str">
        <f t="shared" si="11"/>
        <v/>
      </c>
      <c r="B190" s="53"/>
      <c r="C190" s="28" t="str">
        <f t="shared" si="8"/>
        <v/>
      </c>
      <c r="D190" s="28" t="str">
        <f t="shared" si="9"/>
        <v/>
      </c>
      <c r="E190" s="77"/>
      <c r="F190" s="45"/>
      <c r="G190" s="56"/>
      <c r="H190" s="83"/>
      <c r="I190" s="35" t="str">
        <f t="shared" si="10"/>
        <v/>
      </c>
    </row>
    <row r="191" spans="1:9">
      <c r="A191" s="10" t="str">
        <f t="shared" si="11"/>
        <v/>
      </c>
      <c r="B191" s="53"/>
      <c r="C191" s="28" t="str">
        <f t="shared" si="8"/>
        <v/>
      </c>
      <c r="D191" s="28" t="str">
        <f t="shared" si="9"/>
        <v/>
      </c>
      <c r="E191" s="77"/>
      <c r="F191" s="45"/>
      <c r="G191" s="56"/>
      <c r="H191" s="83"/>
      <c r="I191" s="35" t="str">
        <f t="shared" si="10"/>
        <v/>
      </c>
    </row>
    <row r="192" spans="1:9">
      <c r="A192" s="10" t="str">
        <f t="shared" si="11"/>
        <v/>
      </c>
      <c r="B192" s="53"/>
      <c r="C192" s="28" t="str">
        <f t="shared" si="8"/>
        <v/>
      </c>
      <c r="D192" s="28" t="str">
        <f t="shared" si="9"/>
        <v/>
      </c>
      <c r="E192" s="77"/>
      <c r="F192" s="45"/>
      <c r="G192" s="56"/>
      <c r="H192" s="83"/>
      <c r="I192" s="35" t="str">
        <f t="shared" si="10"/>
        <v/>
      </c>
    </row>
    <row r="193" spans="1:9">
      <c r="A193" s="10" t="str">
        <f t="shared" si="11"/>
        <v/>
      </c>
      <c r="B193" s="53"/>
      <c r="C193" s="28" t="str">
        <f t="shared" si="8"/>
        <v/>
      </c>
      <c r="D193" s="28" t="str">
        <f t="shared" si="9"/>
        <v/>
      </c>
      <c r="E193" s="77"/>
      <c r="F193" s="45"/>
      <c r="G193" s="56"/>
      <c r="H193" s="83"/>
      <c r="I193" s="35" t="str">
        <f t="shared" si="10"/>
        <v/>
      </c>
    </row>
    <row r="194" spans="1:9">
      <c r="A194" s="10" t="str">
        <f t="shared" si="11"/>
        <v/>
      </c>
      <c r="B194" s="53"/>
      <c r="C194" s="28" t="str">
        <f t="shared" si="8"/>
        <v/>
      </c>
      <c r="D194" s="28" t="str">
        <f t="shared" si="9"/>
        <v/>
      </c>
      <c r="E194" s="77"/>
      <c r="F194" s="45"/>
      <c r="G194" s="56"/>
      <c r="H194" s="83"/>
      <c r="I194" s="35" t="str">
        <f t="shared" si="10"/>
        <v/>
      </c>
    </row>
    <row r="195" spans="1:9">
      <c r="A195" s="10" t="str">
        <f t="shared" si="11"/>
        <v/>
      </c>
      <c r="B195" s="53"/>
      <c r="C195" s="28" t="str">
        <f t="shared" ref="C195:C258" si="12">IF(B195=0,"",TEXT(B195,"mmmm"))</f>
        <v/>
      </c>
      <c r="D195" s="28" t="str">
        <f t="shared" ref="D195:D258" si="13">IF(B195=0,"",TEXT(B195,"yyyy"))</f>
        <v/>
      </c>
      <c r="E195" s="77"/>
      <c r="F195" s="45"/>
      <c r="G195" s="56"/>
      <c r="H195" s="83"/>
      <c r="I195" s="35" t="str">
        <f t="shared" ref="I195:I258" si="14">IF(G195*H195=0,"",G195*H195)</f>
        <v/>
      </c>
    </row>
    <row r="196" spans="1:9">
      <c r="A196" s="10" t="str">
        <f t="shared" ref="A196:A259" si="15">IF(E196&gt;0,A195+1,"")</f>
        <v/>
      </c>
      <c r="B196" s="53"/>
      <c r="C196" s="28" t="str">
        <f t="shared" si="12"/>
        <v/>
      </c>
      <c r="D196" s="28" t="str">
        <f t="shared" si="13"/>
        <v/>
      </c>
      <c r="E196" s="77"/>
      <c r="F196" s="45"/>
      <c r="G196" s="56"/>
      <c r="H196" s="83"/>
      <c r="I196" s="35" t="str">
        <f t="shared" si="14"/>
        <v/>
      </c>
    </row>
    <row r="197" spans="1:9">
      <c r="A197" s="10" t="str">
        <f t="shared" si="15"/>
        <v/>
      </c>
      <c r="B197" s="53"/>
      <c r="C197" s="28" t="str">
        <f t="shared" si="12"/>
        <v/>
      </c>
      <c r="D197" s="28" t="str">
        <f t="shared" si="13"/>
        <v/>
      </c>
      <c r="E197" s="77"/>
      <c r="F197" s="45"/>
      <c r="G197" s="56"/>
      <c r="H197" s="83"/>
      <c r="I197" s="35" t="str">
        <f t="shared" si="14"/>
        <v/>
      </c>
    </row>
    <row r="198" spans="1:9">
      <c r="A198" s="10" t="str">
        <f t="shared" si="15"/>
        <v/>
      </c>
      <c r="B198" s="53"/>
      <c r="C198" s="28" t="str">
        <f t="shared" si="12"/>
        <v/>
      </c>
      <c r="D198" s="28" t="str">
        <f t="shared" si="13"/>
        <v/>
      </c>
      <c r="E198" s="77"/>
      <c r="F198" s="45"/>
      <c r="G198" s="56"/>
      <c r="H198" s="83"/>
      <c r="I198" s="35" t="str">
        <f t="shared" si="14"/>
        <v/>
      </c>
    </row>
    <row r="199" spans="1:9">
      <c r="A199" s="10" t="str">
        <f t="shared" si="15"/>
        <v/>
      </c>
      <c r="B199" s="53"/>
      <c r="C199" s="28" t="str">
        <f t="shared" si="12"/>
        <v/>
      </c>
      <c r="D199" s="28" t="str">
        <f t="shared" si="13"/>
        <v/>
      </c>
      <c r="E199" s="77"/>
      <c r="F199" s="45"/>
      <c r="G199" s="56"/>
      <c r="H199" s="83"/>
      <c r="I199" s="35" t="str">
        <f t="shared" si="14"/>
        <v/>
      </c>
    </row>
    <row r="200" spans="1:9">
      <c r="A200" s="10" t="str">
        <f t="shared" si="15"/>
        <v/>
      </c>
      <c r="B200" s="53"/>
      <c r="C200" s="28" t="str">
        <f t="shared" si="12"/>
        <v/>
      </c>
      <c r="D200" s="28" t="str">
        <f t="shared" si="13"/>
        <v/>
      </c>
      <c r="E200" s="77"/>
      <c r="F200" s="45"/>
      <c r="G200" s="56"/>
      <c r="H200" s="83"/>
      <c r="I200" s="35" t="str">
        <f t="shared" si="14"/>
        <v/>
      </c>
    </row>
    <row r="201" spans="1:9">
      <c r="A201" s="10" t="str">
        <f t="shared" si="15"/>
        <v/>
      </c>
      <c r="B201" s="53"/>
      <c r="C201" s="28" t="str">
        <f t="shared" si="12"/>
        <v/>
      </c>
      <c r="D201" s="28" t="str">
        <f t="shared" si="13"/>
        <v/>
      </c>
      <c r="E201" s="77"/>
      <c r="F201" s="45"/>
      <c r="G201" s="56"/>
      <c r="H201" s="83"/>
      <c r="I201" s="35" t="str">
        <f t="shared" si="14"/>
        <v/>
      </c>
    </row>
    <row r="202" spans="1:9">
      <c r="A202" s="10" t="str">
        <f t="shared" si="15"/>
        <v/>
      </c>
      <c r="B202" s="53"/>
      <c r="C202" s="28" t="str">
        <f t="shared" si="12"/>
        <v/>
      </c>
      <c r="D202" s="28" t="str">
        <f t="shared" si="13"/>
        <v/>
      </c>
      <c r="E202" s="77"/>
      <c r="F202" s="45"/>
      <c r="G202" s="56"/>
      <c r="H202" s="83"/>
      <c r="I202" s="35" t="str">
        <f t="shared" si="14"/>
        <v/>
      </c>
    </row>
    <row r="203" spans="1:9">
      <c r="A203" s="10" t="str">
        <f t="shared" si="15"/>
        <v/>
      </c>
      <c r="B203" s="53"/>
      <c r="C203" s="28" t="str">
        <f t="shared" si="12"/>
        <v/>
      </c>
      <c r="D203" s="28" t="str">
        <f t="shared" si="13"/>
        <v/>
      </c>
      <c r="E203" s="77"/>
      <c r="F203" s="45"/>
      <c r="G203" s="56"/>
      <c r="H203" s="83"/>
      <c r="I203" s="35" t="str">
        <f t="shared" si="14"/>
        <v/>
      </c>
    </row>
    <row r="204" spans="1:9">
      <c r="A204" s="10" t="str">
        <f t="shared" si="15"/>
        <v/>
      </c>
      <c r="B204" s="53"/>
      <c r="C204" s="28" t="str">
        <f t="shared" si="12"/>
        <v/>
      </c>
      <c r="D204" s="28" t="str">
        <f t="shared" si="13"/>
        <v/>
      </c>
      <c r="E204" s="77"/>
      <c r="F204" s="45"/>
      <c r="G204" s="56"/>
      <c r="H204" s="83"/>
      <c r="I204" s="35" t="str">
        <f t="shared" si="14"/>
        <v/>
      </c>
    </row>
    <row r="205" spans="1:9">
      <c r="A205" s="10" t="str">
        <f t="shared" si="15"/>
        <v/>
      </c>
      <c r="B205" s="53"/>
      <c r="C205" s="28" t="str">
        <f t="shared" si="12"/>
        <v/>
      </c>
      <c r="D205" s="28" t="str">
        <f t="shared" si="13"/>
        <v/>
      </c>
      <c r="E205" s="77"/>
      <c r="F205" s="45"/>
      <c r="G205" s="56"/>
      <c r="H205" s="83"/>
      <c r="I205" s="35" t="str">
        <f t="shared" si="14"/>
        <v/>
      </c>
    </row>
    <row r="206" spans="1:9">
      <c r="A206" s="10" t="str">
        <f t="shared" si="15"/>
        <v/>
      </c>
      <c r="B206" s="53"/>
      <c r="C206" s="28" t="str">
        <f t="shared" si="12"/>
        <v/>
      </c>
      <c r="D206" s="28" t="str">
        <f t="shared" si="13"/>
        <v/>
      </c>
      <c r="E206" s="77"/>
      <c r="F206" s="45"/>
      <c r="G206" s="56"/>
      <c r="H206" s="83"/>
      <c r="I206" s="35" t="str">
        <f t="shared" si="14"/>
        <v/>
      </c>
    </row>
    <row r="207" spans="1:9">
      <c r="A207" s="10" t="str">
        <f t="shared" si="15"/>
        <v/>
      </c>
      <c r="B207" s="53"/>
      <c r="C207" s="28" t="str">
        <f t="shared" si="12"/>
        <v/>
      </c>
      <c r="D207" s="28" t="str">
        <f t="shared" si="13"/>
        <v/>
      </c>
      <c r="E207" s="77"/>
      <c r="F207" s="45"/>
      <c r="G207" s="56"/>
      <c r="H207" s="83"/>
      <c r="I207" s="35" t="str">
        <f t="shared" si="14"/>
        <v/>
      </c>
    </row>
    <row r="208" spans="1:9">
      <c r="A208" s="10" t="str">
        <f t="shared" si="15"/>
        <v/>
      </c>
      <c r="B208" s="53"/>
      <c r="C208" s="28" t="str">
        <f t="shared" si="12"/>
        <v/>
      </c>
      <c r="D208" s="28" t="str">
        <f t="shared" si="13"/>
        <v/>
      </c>
      <c r="E208" s="77"/>
      <c r="F208" s="45"/>
      <c r="G208" s="56"/>
      <c r="H208" s="83"/>
      <c r="I208" s="35" t="str">
        <f t="shared" si="14"/>
        <v/>
      </c>
    </row>
    <row r="209" spans="1:9">
      <c r="A209" s="10" t="str">
        <f t="shared" si="15"/>
        <v/>
      </c>
      <c r="B209" s="53"/>
      <c r="C209" s="28" t="str">
        <f t="shared" si="12"/>
        <v/>
      </c>
      <c r="D209" s="28" t="str">
        <f t="shared" si="13"/>
        <v/>
      </c>
      <c r="E209" s="77"/>
      <c r="F209" s="45"/>
      <c r="G209" s="56"/>
      <c r="H209" s="83"/>
      <c r="I209" s="35" t="str">
        <f t="shared" si="14"/>
        <v/>
      </c>
    </row>
    <row r="210" spans="1:9">
      <c r="A210" s="10" t="str">
        <f t="shared" si="15"/>
        <v/>
      </c>
      <c r="B210" s="53"/>
      <c r="C210" s="28" t="str">
        <f t="shared" si="12"/>
        <v/>
      </c>
      <c r="D210" s="28" t="str">
        <f t="shared" si="13"/>
        <v/>
      </c>
      <c r="E210" s="77"/>
      <c r="F210" s="45"/>
      <c r="G210" s="56"/>
      <c r="H210" s="83"/>
      <c r="I210" s="35" t="str">
        <f t="shared" si="14"/>
        <v/>
      </c>
    </row>
    <row r="211" spans="1:9">
      <c r="A211" s="10" t="str">
        <f t="shared" si="15"/>
        <v/>
      </c>
      <c r="B211" s="53"/>
      <c r="C211" s="28" t="str">
        <f t="shared" si="12"/>
        <v/>
      </c>
      <c r="D211" s="28" t="str">
        <f t="shared" si="13"/>
        <v/>
      </c>
      <c r="E211" s="77"/>
      <c r="F211" s="45"/>
      <c r="G211" s="56"/>
      <c r="H211" s="83"/>
      <c r="I211" s="35" t="str">
        <f t="shared" si="14"/>
        <v/>
      </c>
    </row>
    <row r="212" spans="1:9">
      <c r="A212" s="10" t="str">
        <f t="shared" si="15"/>
        <v/>
      </c>
      <c r="B212" s="53"/>
      <c r="C212" s="28" t="str">
        <f t="shared" si="12"/>
        <v/>
      </c>
      <c r="D212" s="28" t="str">
        <f t="shared" si="13"/>
        <v/>
      </c>
      <c r="E212" s="77"/>
      <c r="F212" s="45"/>
      <c r="G212" s="56"/>
      <c r="H212" s="83"/>
      <c r="I212" s="35" t="str">
        <f t="shared" si="14"/>
        <v/>
      </c>
    </row>
    <row r="213" spans="1:9">
      <c r="A213" s="10" t="str">
        <f t="shared" si="15"/>
        <v/>
      </c>
      <c r="B213" s="53"/>
      <c r="C213" s="28" t="str">
        <f t="shared" si="12"/>
        <v/>
      </c>
      <c r="D213" s="28" t="str">
        <f t="shared" si="13"/>
        <v/>
      </c>
      <c r="E213" s="77"/>
      <c r="F213" s="45"/>
      <c r="G213" s="56"/>
      <c r="H213" s="83"/>
      <c r="I213" s="35" t="str">
        <f t="shared" si="14"/>
        <v/>
      </c>
    </row>
    <row r="214" spans="1:9">
      <c r="A214" s="10" t="str">
        <f t="shared" si="15"/>
        <v/>
      </c>
      <c r="B214" s="53"/>
      <c r="C214" s="28" t="str">
        <f t="shared" si="12"/>
        <v/>
      </c>
      <c r="D214" s="28" t="str">
        <f t="shared" si="13"/>
        <v/>
      </c>
      <c r="E214" s="77"/>
      <c r="F214" s="45"/>
      <c r="G214" s="56"/>
      <c r="H214" s="83"/>
      <c r="I214" s="35" t="str">
        <f t="shared" si="14"/>
        <v/>
      </c>
    </row>
    <row r="215" spans="1:9">
      <c r="A215" s="10" t="str">
        <f t="shared" si="15"/>
        <v/>
      </c>
      <c r="B215" s="53"/>
      <c r="C215" s="28" t="str">
        <f t="shared" si="12"/>
        <v/>
      </c>
      <c r="D215" s="28" t="str">
        <f t="shared" si="13"/>
        <v/>
      </c>
      <c r="E215" s="77"/>
      <c r="F215" s="45"/>
      <c r="G215" s="56"/>
      <c r="H215" s="83"/>
      <c r="I215" s="35" t="str">
        <f t="shared" si="14"/>
        <v/>
      </c>
    </row>
    <row r="216" spans="1:9">
      <c r="A216" s="10" t="str">
        <f t="shared" si="15"/>
        <v/>
      </c>
      <c r="B216" s="53"/>
      <c r="C216" s="28" t="str">
        <f t="shared" si="12"/>
        <v/>
      </c>
      <c r="D216" s="28" t="str">
        <f t="shared" si="13"/>
        <v/>
      </c>
      <c r="E216" s="77"/>
      <c r="F216" s="45"/>
      <c r="G216" s="56"/>
      <c r="H216" s="83"/>
      <c r="I216" s="35" t="str">
        <f t="shared" si="14"/>
        <v/>
      </c>
    </row>
    <row r="217" spans="1:9">
      <c r="A217" s="10" t="str">
        <f t="shared" si="15"/>
        <v/>
      </c>
      <c r="B217" s="53"/>
      <c r="C217" s="28" t="str">
        <f t="shared" si="12"/>
        <v/>
      </c>
      <c r="D217" s="28" t="str">
        <f t="shared" si="13"/>
        <v/>
      </c>
      <c r="E217" s="77"/>
      <c r="F217" s="45"/>
      <c r="G217" s="56"/>
      <c r="H217" s="83"/>
      <c r="I217" s="35" t="str">
        <f t="shared" si="14"/>
        <v/>
      </c>
    </row>
    <row r="218" spans="1:9">
      <c r="A218" s="10" t="str">
        <f t="shared" si="15"/>
        <v/>
      </c>
      <c r="B218" s="53"/>
      <c r="C218" s="28" t="str">
        <f t="shared" si="12"/>
        <v/>
      </c>
      <c r="D218" s="28" t="str">
        <f t="shared" si="13"/>
        <v/>
      </c>
      <c r="E218" s="77"/>
      <c r="F218" s="45"/>
      <c r="G218" s="56"/>
      <c r="H218" s="83"/>
      <c r="I218" s="35" t="str">
        <f t="shared" si="14"/>
        <v/>
      </c>
    </row>
    <row r="219" spans="1:9">
      <c r="A219" s="10" t="str">
        <f t="shared" si="15"/>
        <v/>
      </c>
      <c r="B219" s="53"/>
      <c r="C219" s="28" t="str">
        <f t="shared" si="12"/>
        <v/>
      </c>
      <c r="D219" s="28" t="str">
        <f t="shared" si="13"/>
        <v/>
      </c>
      <c r="E219" s="77"/>
      <c r="F219" s="45"/>
      <c r="G219" s="56"/>
      <c r="H219" s="83"/>
      <c r="I219" s="35" t="str">
        <f t="shared" si="14"/>
        <v/>
      </c>
    </row>
    <row r="220" spans="1:9">
      <c r="A220" s="10" t="str">
        <f t="shared" si="15"/>
        <v/>
      </c>
      <c r="B220" s="53"/>
      <c r="C220" s="28" t="str">
        <f t="shared" si="12"/>
        <v/>
      </c>
      <c r="D220" s="28" t="str">
        <f t="shared" si="13"/>
        <v/>
      </c>
      <c r="E220" s="77"/>
      <c r="F220" s="45"/>
      <c r="G220" s="56"/>
      <c r="H220" s="83"/>
      <c r="I220" s="35" t="str">
        <f t="shared" si="14"/>
        <v/>
      </c>
    </row>
    <row r="221" spans="1:9">
      <c r="A221" s="10" t="str">
        <f t="shared" si="15"/>
        <v/>
      </c>
      <c r="B221" s="53"/>
      <c r="C221" s="28" t="str">
        <f t="shared" si="12"/>
        <v/>
      </c>
      <c r="D221" s="28" t="str">
        <f t="shared" si="13"/>
        <v/>
      </c>
      <c r="E221" s="77"/>
      <c r="F221" s="45"/>
      <c r="G221" s="56"/>
      <c r="H221" s="83"/>
      <c r="I221" s="35" t="str">
        <f t="shared" si="14"/>
        <v/>
      </c>
    </row>
    <row r="222" spans="1:9">
      <c r="A222" s="10" t="str">
        <f t="shared" si="15"/>
        <v/>
      </c>
      <c r="B222" s="53"/>
      <c r="C222" s="28" t="str">
        <f t="shared" si="12"/>
        <v/>
      </c>
      <c r="D222" s="28" t="str">
        <f t="shared" si="13"/>
        <v/>
      </c>
      <c r="E222" s="77"/>
      <c r="F222" s="45"/>
      <c r="G222" s="56"/>
      <c r="H222" s="83"/>
      <c r="I222" s="35" t="str">
        <f t="shared" si="14"/>
        <v/>
      </c>
    </row>
    <row r="223" spans="1:9">
      <c r="A223" s="10" t="str">
        <f t="shared" si="15"/>
        <v/>
      </c>
      <c r="B223" s="53"/>
      <c r="C223" s="28" t="str">
        <f t="shared" si="12"/>
        <v/>
      </c>
      <c r="D223" s="28" t="str">
        <f t="shared" si="13"/>
        <v/>
      </c>
      <c r="E223" s="77"/>
      <c r="F223" s="45"/>
      <c r="G223" s="56"/>
      <c r="H223" s="83"/>
      <c r="I223" s="35" t="str">
        <f t="shared" si="14"/>
        <v/>
      </c>
    </row>
    <row r="224" spans="1:9">
      <c r="A224" s="10" t="str">
        <f t="shared" si="15"/>
        <v/>
      </c>
      <c r="B224" s="53"/>
      <c r="C224" s="28" t="str">
        <f t="shared" si="12"/>
        <v/>
      </c>
      <c r="D224" s="28" t="str">
        <f t="shared" si="13"/>
        <v/>
      </c>
      <c r="E224" s="77"/>
      <c r="F224" s="45"/>
      <c r="G224" s="56"/>
      <c r="H224" s="83"/>
      <c r="I224" s="35" t="str">
        <f t="shared" si="14"/>
        <v/>
      </c>
    </row>
    <row r="225" spans="1:9">
      <c r="A225" s="10" t="str">
        <f t="shared" si="15"/>
        <v/>
      </c>
      <c r="B225" s="53"/>
      <c r="C225" s="28" t="str">
        <f t="shared" si="12"/>
        <v/>
      </c>
      <c r="D225" s="28" t="str">
        <f t="shared" si="13"/>
        <v/>
      </c>
      <c r="E225" s="77"/>
      <c r="F225" s="45"/>
      <c r="G225" s="56"/>
      <c r="H225" s="83"/>
      <c r="I225" s="35" t="str">
        <f t="shared" si="14"/>
        <v/>
      </c>
    </row>
    <row r="226" spans="1:9">
      <c r="A226" s="10" t="str">
        <f t="shared" si="15"/>
        <v/>
      </c>
      <c r="B226" s="53"/>
      <c r="C226" s="28" t="str">
        <f t="shared" si="12"/>
        <v/>
      </c>
      <c r="D226" s="28" t="str">
        <f t="shared" si="13"/>
        <v/>
      </c>
      <c r="E226" s="77"/>
      <c r="F226" s="45"/>
      <c r="G226" s="56"/>
      <c r="H226" s="83"/>
      <c r="I226" s="35" t="str">
        <f t="shared" si="14"/>
        <v/>
      </c>
    </row>
    <row r="227" spans="1:9">
      <c r="A227" s="10" t="str">
        <f t="shared" si="15"/>
        <v/>
      </c>
      <c r="B227" s="53"/>
      <c r="C227" s="28" t="str">
        <f t="shared" si="12"/>
        <v/>
      </c>
      <c r="D227" s="28" t="str">
        <f t="shared" si="13"/>
        <v/>
      </c>
      <c r="E227" s="77"/>
      <c r="F227" s="45"/>
      <c r="G227" s="56"/>
      <c r="H227" s="83"/>
      <c r="I227" s="35" t="str">
        <f t="shared" si="14"/>
        <v/>
      </c>
    </row>
    <row r="228" spans="1:9">
      <c r="A228" s="10" t="str">
        <f t="shared" si="15"/>
        <v/>
      </c>
      <c r="B228" s="53"/>
      <c r="C228" s="28" t="str">
        <f t="shared" si="12"/>
        <v/>
      </c>
      <c r="D228" s="28" t="str">
        <f t="shared" si="13"/>
        <v/>
      </c>
      <c r="E228" s="77"/>
      <c r="F228" s="45"/>
      <c r="G228" s="56"/>
      <c r="H228" s="83"/>
      <c r="I228" s="35" t="str">
        <f t="shared" si="14"/>
        <v/>
      </c>
    </row>
    <row r="229" spans="1:9">
      <c r="A229" s="10" t="str">
        <f t="shared" si="15"/>
        <v/>
      </c>
      <c r="B229" s="53"/>
      <c r="C229" s="28" t="str">
        <f t="shared" si="12"/>
        <v/>
      </c>
      <c r="D229" s="28" t="str">
        <f t="shared" si="13"/>
        <v/>
      </c>
      <c r="E229" s="77"/>
      <c r="F229" s="45"/>
      <c r="G229" s="56"/>
      <c r="H229" s="83"/>
      <c r="I229" s="35" t="str">
        <f t="shared" si="14"/>
        <v/>
      </c>
    </row>
    <row r="230" spans="1:9">
      <c r="A230" s="10" t="str">
        <f t="shared" si="15"/>
        <v/>
      </c>
      <c r="B230" s="53"/>
      <c r="C230" s="28" t="str">
        <f t="shared" si="12"/>
        <v/>
      </c>
      <c r="D230" s="28" t="str">
        <f t="shared" si="13"/>
        <v/>
      </c>
      <c r="E230" s="77"/>
      <c r="F230" s="45"/>
      <c r="G230" s="56"/>
      <c r="H230" s="83"/>
      <c r="I230" s="35" t="str">
        <f t="shared" si="14"/>
        <v/>
      </c>
    </row>
    <row r="231" spans="1:9">
      <c r="A231" s="10" t="str">
        <f t="shared" si="15"/>
        <v/>
      </c>
      <c r="B231" s="53"/>
      <c r="C231" s="28" t="str">
        <f t="shared" si="12"/>
        <v/>
      </c>
      <c r="D231" s="28" t="str">
        <f t="shared" si="13"/>
        <v/>
      </c>
      <c r="E231" s="77"/>
      <c r="F231" s="45"/>
      <c r="G231" s="56"/>
      <c r="H231" s="83"/>
      <c r="I231" s="35" t="str">
        <f t="shared" si="14"/>
        <v/>
      </c>
    </row>
    <row r="232" spans="1:9">
      <c r="A232" s="10" t="str">
        <f t="shared" si="15"/>
        <v/>
      </c>
      <c r="B232" s="53"/>
      <c r="C232" s="28" t="str">
        <f t="shared" si="12"/>
        <v/>
      </c>
      <c r="D232" s="28" t="str">
        <f t="shared" si="13"/>
        <v/>
      </c>
      <c r="E232" s="77"/>
      <c r="F232" s="45"/>
      <c r="G232" s="56"/>
      <c r="H232" s="83"/>
      <c r="I232" s="35" t="str">
        <f t="shared" si="14"/>
        <v/>
      </c>
    </row>
    <row r="233" spans="1:9">
      <c r="A233" s="10" t="str">
        <f t="shared" si="15"/>
        <v/>
      </c>
      <c r="B233" s="53"/>
      <c r="C233" s="28" t="str">
        <f t="shared" si="12"/>
        <v/>
      </c>
      <c r="D233" s="28" t="str">
        <f t="shared" si="13"/>
        <v/>
      </c>
      <c r="E233" s="77"/>
      <c r="F233" s="45"/>
      <c r="G233" s="56"/>
      <c r="H233" s="83"/>
      <c r="I233" s="35" t="str">
        <f t="shared" si="14"/>
        <v/>
      </c>
    </row>
    <row r="234" spans="1:9">
      <c r="A234" s="10" t="str">
        <f t="shared" si="15"/>
        <v/>
      </c>
      <c r="B234" s="53"/>
      <c r="C234" s="28" t="str">
        <f t="shared" si="12"/>
        <v/>
      </c>
      <c r="D234" s="28" t="str">
        <f t="shared" si="13"/>
        <v/>
      </c>
      <c r="E234" s="77"/>
      <c r="F234" s="45"/>
      <c r="G234" s="56"/>
      <c r="H234" s="83"/>
      <c r="I234" s="35" t="str">
        <f t="shared" si="14"/>
        <v/>
      </c>
    </row>
    <row r="235" spans="1:9">
      <c r="A235" s="10" t="str">
        <f t="shared" si="15"/>
        <v/>
      </c>
      <c r="B235" s="53"/>
      <c r="C235" s="28" t="str">
        <f t="shared" si="12"/>
        <v/>
      </c>
      <c r="D235" s="28" t="str">
        <f t="shared" si="13"/>
        <v/>
      </c>
      <c r="E235" s="77"/>
      <c r="F235" s="45"/>
      <c r="G235" s="56"/>
      <c r="H235" s="83"/>
      <c r="I235" s="35" t="str">
        <f t="shared" si="14"/>
        <v/>
      </c>
    </row>
    <row r="236" spans="1:9">
      <c r="A236" s="10" t="str">
        <f t="shared" si="15"/>
        <v/>
      </c>
      <c r="B236" s="53"/>
      <c r="C236" s="28" t="str">
        <f t="shared" si="12"/>
        <v/>
      </c>
      <c r="D236" s="28" t="str">
        <f t="shared" si="13"/>
        <v/>
      </c>
      <c r="E236" s="77"/>
      <c r="F236" s="45"/>
      <c r="G236" s="56"/>
      <c r="H236" s="83"/>
      <c r="I236" s="35" t="str">
        <f t="shared" si="14"/>
        <v/>
      </c>
    </row>
    <row r="237" spans="1:9">
      <c r="A237" s="10" t="str">
        <f t="shared" si="15"/>
        <v/>
      </c>
      <c r="B237" s="53"/>
      <c r="C237" s="28" t="str">
        <f t="shared" si="12"/>
        <v/>
      </c>
      <c r="D237" s="28" t="str">
        <f t="shared" si="13"/>
        <v/>
      </c>
      <c r="E237" s="77"/>
      <c r="F237" s="45"/>
      <c r="G237" s="56"/>
      <c r="H237" s="83"/>
      <c r="I237" s="35" t="str">
        <f t="shared" si="14"/>
        <v/>
      </c>
    </row>
    <row r="238" spans="1:9">
      <c r="A238" s="10" t="str">
        <f t="shared" si="15"/>
        <v/>
      </c>
      <c r="B238" s="53"/>
      <c r="C238" s="28" t="str">
        <f t="shared" si="12"/>
        <v/>
      </c>
      <c r="D238" s="28" t="str">
        <f t="shared" si="13"/>
        <v/>
      </c>
      <c r="E238" s="77"/>
      <c r="F238" s="45"/>
      <c r="G238" s="56"/>
      <c r="H238" s="83"/>
      <c r="I238" s="35" t="str">
        <f t="shared" si="14"/>
        <v/>
      </c>
    </row>
    <row r="239" spans="1:9">
      <c r="A239" s="10" t="str">
        <f t="shared" si="15"/>
        <v/>
      </c>
      <c r="B239" s="53"/>
      <c r="C239" s="28" t="str">
        <f t="shared" si="12"/>
        <v/>
      </c>
      <c r="D239" s="28" t="str">
        <f t="shared" si="13"/>
        <v/>
      </c>
      <c r="E239" s="77"/>
      <c r="F239" s="45"/>
      <c r="G239" s="56"/>
      <c r="H239" s="83"/>
      <c r="I239" s="35" t="str">
        <f t="shared" si="14"/>
        <v/>
      </c>
    </row>
    <row r="240" spans="1:9">
      <c r="A240" s="10" t="str">
        <f t="shared" si="15"/>
        <v/>
      </c>
      <c r="B240" s="53"/>
      <c r="C240" s="28" t="str">
        <f t="shared" si="12"/>
        <v/>
      </c>
      <c r="D240" s="28" t="str">
        <f t="shared" si="13"/>
        <v/>
      </c>
      <c r="E240" s="77"/>
      <c r="F240" s="45"/>
      <c r="G240" s="56"/>
      <c r="H240" s="83"/>
      <c r="I240" s="35" t="str">
        <f t="shared" si="14"/>
        <v/>
      </c>
    </row>
    <row r="241" spans="1:9">
      <c r="A241" s="10" t="str">
        <f t="shared" si="15"/>
        <v/>
      </c>
      <c r="B241" s="53"/>
      <c r="C241" s="28" t="str">
        <f t="shared" si="12"/>
        <v/>
      </c>
      <c r="D241" s="28" t="str">
        <f t="shared" si="13"/>
        <v/>
      </c>
      <c r="E241" s="77"/>
      <c r="F241" s="45"/>
      <c r="G241" s="56"/>
      <c r="H241" s="83"/>
      <c r="I241" s="35" t="str">
        <f t="shared" si="14"/>
        <v/>
      </c>
    </row>
    <row r="242" spans="1:9">
      <c r="A242" s="10" t="str">
        <f t="shared" si="15"/>
        <v/>
      </c>
      <c r="B242" s="53"/>
      <c r="C242" s="28" t="str">
        <f t="shared" si="12"/>
        <v/>
      </c>
      <c r="D242" s="28" t="str">
        <f t="shared" si="13"/>
        <v/>
      </c>
      <c r="E242" s="77"/>
      <c r="F242" s="45"/>
      <c r="G242" s="56"/>
      <c r="H242" s="83"/>
      <c r="I242" s="35" t="str">
        <f t="shared" si="14"/>
        <v/>
      </c>
    </row>
    <row r="243" spans="1:9">
      <c r="A243" s="10" t="str">
        <f t="shared" si="15"/>
        <v/>
      </c>
      <c r="B243" s="53"/>
      <c r="C243" s="28" t="str">
        <f t="shared" si="12"/>
        <v/>
      </c>
      <c r="D243" s="28" t="str">
        <f t="shared" si="13"/>
        <v/>
      </c>
      <c r="E243" s="77"/>
      <c r="F243" s="45"/>
      <c r="G243" s="56"/>
      <c r="H243" s="83"/>
      <c r="I243" s="35" t="str">
        <f t="shared" si="14"/>
        <v/>
      </c>
    </row>
    <row r="244" spans="1:9">
      <c r="A244" s="10" t="str">
        <f t="shared" si="15"/>
        <v/>
      </c>
      <c r="B244" s="53"/>
      <c r="C244" s="28" t="str">
        <f t="shared" si="12"/>
        <v/>
      </c>
      <c r="D244" s="28" t="str">
        <f t="shared" si="13"/>
        <v/>
      </c>
      <c r="E244" s="77"/>
      <c r="F244" s="45"/>
      <c r="G244" s="56"/>
      <c r="H244" s="83"/>
      <c r="I244" s="35" t="str">
        <f t="shared" si="14"/>
        <v/>
      </c>
    </row>
    <row r="245" spans="1:9">
      <c r="A245" s="10" t="str">
        <f t="shared" si="15"/>
        <v/>
      </c>
      <c r="B245" s="53"/>
      <c r="C245" s="28" t="str">
        <f t="shared" si="12"/>
        <v/>
      </c>
      <c r="D245" s="28" t="str">
        <f t="shared" si="13"/>
        <v/>
      </c>
      <c r="E245" s="77"/>
      <c r="F245" s="45"/>
      <c r="G245" s="56"/>
      <c r="H245" s="83"/>
      <c r="I245" s="35" t="str">
        <f t="shared" si="14"/>
        <v/>
      </c>
    </row>
    <row r="246" spans="1:9">
      <c r="A246" s="10" t="str">
        <f t="shared" si="15"/>
        <v/>
      </c>
      <c r="B246" s="53"/>
      <c r="C246" s="28" t="str">
        <f t="shared" si="12"/>
        <v/>
      </c>
      <c r="D246" s="28" t="str">
        <f t="shared" si="13"/>
        <v/>
      </c>
      <c r="E246" s="77"/>
      <c r="F246" s="45"/>
      <c r="G246" s="56"/>
      <c r="H246" s="83"/>
      <c r="I246" s="35" t="str">
        <f t="shared" si="14"/>
        <v/>
      </c>
    </row>
    <row r="247" spans="1:9">
      <c r="A247" s="10" t="str">
        <f t="shared" si="15"/>
        <v/>
      </c>
      <c r="B247" s="53"/>
      <c r="C247" s="28" t="str">
        <f t="shared" si="12"/>
        <v/>
      </c>
      <c r="D247" s="28" t="str">
        <f t="shared" si="13"/>
        <v/>
      </c>
      <c r="E247" s="77"/>
      <c r="F247" s="45"/>
      <c r="G247" s="56"/>
      <c r="H247" s="83"/>
      <c r="I247" s="35" t="str">
        <f t="shared" si="14"/>
        <v/>
      </c>
    </row>
    <row r="248" spans="1:9">
      <c r="A248" s="10" t="str">
        <f t="shared" si="15"/>
        <v/>
      </c>
      <c r="B248" s="53"/>
      <c r="C248" s="28" t="str">
        <f t="shared" si="12"/>
        <v/>
      </c>
      <c r="D248" s="28" t="str">
        <f t="shared" si="13"/>
        <v/>
      </c>
      <c r="E248" s="77"/>
      <c r="F248" s="45"/>
      <c r="G248" s="56"/>
      <c r="H248" s="83"/>
      <c r="I248" s="35" t="str">
        <f t="shared" si="14"/>
        <v/>
      </c>
    </row>
    <row r="249" spans="1:9">
      <c r="A249" s="10" t="str">
        <f t="shared" si="15"/>
        <v/>
      </c>
      <c r="B249" s="53"/>
      <c r="C249" s="28" t="str">
        <f t="shared" si="12"/>
        <v/>
      </c>
      <c r="D249" s="28" t="str">
        <f t="shared" si="13"/>
        <v/>
      </c>
      <c r="E249" s="77"/>
      <c r="F249" s="45"/>
      <c r="G249" s="56"/>
      <c r="H249" s="83"/>
      <c r="I249" s="35" t="str">
        <f t="shared" si="14"/>
        <v/>
      </c>
    </row>
    <row r="250" spans="1:9">
      <c r="A250" s="10" t="str">
        <f t="shared" si="15"/>
        <v/>
      </c>
      <c r="B250" s="53"/>
      <c r="C250" s="28" t="str">
        <f t="shared" si="12"/>
        <v/>
      </c>
      <c r="D250" s="28" t="str">
        <f t="shared" si="13"/>
        <v/>
      </c>
      <c r="E250" s="77"/>
      <c r="F250" s="45"/>
      <c r="G250" s="56"/>
      <c r="H250" s="83"/>
      <c r="I250" s="35" t="str">
        <f t="shared" si="14"/>
        <v/>
      </c>
    </row>
    <row r="251" spans="1:9">
      <c r="A251" s="10" t="str">
        <f t="shared" si="15"/>
        <v/>
      </c>
      <c r="B251" s="53"/>
      <c r="C251" s="28" t="str">
        <f t="shared" si="12"/>
        <v/>
      </c>
      <c r="D251" s="28" t="str">
        <f t="shared" si="13"/>
        <v/>
      </c>
      <c r="E251" s="77"/>
      <c r="F251" s="45"/>
      <c r="G251" s="56"/>
      <c r="H251" s="83"/>
      <c r="I251" s="35" t="str">
        <f t="shared" si="14"/>
        <v/>
      </c>
    </row>
    <row r="252" spans="1:9">
      <c r="A252" s="10" t="str">
        <f t="shared" si="15"/>
        <v/>
      </c>
      <c r="B252" s="53"/>
      <c r="C252" s="28" t="str">
        <f t="shared" si="12"/>
        <v/>
      </c>
      <c r="D252" s="28" t="str">
        <f t="shared" si="13"/>
        <v/>
      </c>
      <c r="E252" s="77"/>
      <c r="F252" s="45"/>
      <c r="G252" s="56"/>
      <c r="H252" s="83"/>
      <c r="I252" s="35" t="str">
        <f t="shared" si="14"/>
        <v/>
      </c>
    </row>
    <row r="253" spans="1:9">
      <c r="A253" s="10" t="str">
        <f t="shared" si="15"/>
        <v/>
      </c>
      <c r="B253" s="53"/>
      <c r="C253" s="28" t="str">
        <f t="shared" si="12"/>
        <v/>
      </c>
      <c r="D253" s="28" t="str">
        <f t="shared" si="13"/>
        <v/>
      </c>
      <c r="E253" s="77"/>
      <c r="F253" s="45"/>
      <c r="G253" s="56"/>
      <c r="H253" s="83"/>
      <c r="I253" s="35" t="str">
        <f t="shared" si="14"/>
        <v/>
      </c>
    </row>
    <row r="254" spans="1:9">
      <c r="A254" s="10" t="str">
        <f t="shared" si="15"/>
        <v/>
      </c>
      <c r="B254" s="53"/>
      <c r="C254" s="28" t="str">
        <f t="shared" si="12"/>
        <v/>
      </c>
      <c r="D254" s="28" t="str">
        <f t="shared" si="13"/>
        <v/>
      </c>
      <c r="E254" s="77"/>
      <c r="F254" s="45"/>
      <c r="G254" s="56"/>
      <c r="H254" s="83"/>
      <c r="I254" s="35" t="str">
        <f t="shared" si="14"/>
        <v/>
      </c>
    </row>
    <row r="255" spans="1:9">
      <c r="A255" s="10" t="str">
        <f t="shared" si="15"/>
        <v/>
      </c>
      <c r="B255" s="53"/>
      <c r="C255" s="28" t="str">
        <f t="shared" si="12"/>
        <v/>
      </c>
      <c r="D255" s="28" t="str">
        <f t="shared" si="13"/>
        <v/>
      </c>
      <c r="E255" s="77"/>
      <c r="F255" s="45"/>
      <c r="G255" s="56"/>
      <c r="H255" s="83"/>
      <c r="I255" s="35" t="str">
        <f t="shared" si="14"/>
        <v/>
      </c>
    </row>
    <row r="256" spans="1:9">
      <c r="A256" s="10" t="str">
        <f t="shared" si="15"/>
        <v/>
      </c>
      <c r="B256" s="53"/>
      <c r="C256" s="28" t="str">
        <f t="shared" si="12"/>
        <v/>
      </c>
      <c r="D256" s="28" t="str">
        <f t="shared" si="13"/>
        <v/>
      </c>
      <c r="E256" s="77"/>
      <c r="F256" s="45"/>
      <c r="G256" s="56"/>
      <c r="H256" s="83"/>
      <c r="I256" s="35" t="str">
        <f t="shared" si="14"/>
        <v/>
      </c>
    </row>
    <row r="257" spans="1:9">
      <c r="A257" s="10" t="str">
        <f t="shared" si="15"/>
        <v/>
      </c>
      <c r="B257" s="53"/>
      <c r="C257" s="28" t="str">
        <f t="shared" si="12"/>
        <v/>
      </c>
      <c r="D257" s="28" t="str">
        <f t="shared" si="13"/>
        <v/>
      </c>
      <c r="E257" s="77"/>
      <c r="F257" s="45"/>
      <c r="G257" s="56"/>
      <c r="H257" s="83"/>
      <c r="I257" s="35" t="str">
        <f t="shared" si="14"/>
        <v/>
      </c>
    </row>
    <row r="258" spans="1:9">
      <c r="A258" s="10" t="str">
        <f t="shared" si="15"/>
        <v/>
      </c>
      <c r="B258" s="53"/>
      <c r="C258" s="28" t="str">
        <f t="shared" si="12"/>
        <v/>
      </c>
      <c r="D258" s="28" t="str">
        <f t="shared" si="13"/>
        <v/>
      </c>
      <c r="E258" s="77"/>
      <c r="F258" s="45"/>
      <c r="G258" s="56"/>
      <c r="H258" s="83"/>
      <c r="I258" s="35" t="str">
        <f t="shared" si="14"/>
        <v/>
      </c>
    </row>
    <row r="259" spans="1:9">
      <c r="A259" s="10" t="str">
        <f t="shared" si="15"/>
        <v/>
      </c>
      <c r="B259" s="53"/>
      <c r="C259" s="28" t="str">
        <f t="shared" ref="C259:C322" si="16">IF(B259=0,"",TEXT(B259,"mmmm"))</f>
        <v/>
      </c>
      <c r="D259" s="28" t="str">
        <f t="shared" ref="D259:D322" si="17">IF(B259=0,"",TEXT(B259,"yyyy"))</f>
        <v/>
      </c>
      <c r="E259" s="77"/>
      <c r="F259" s="45"/>
      <c r="G259" s="56"/>
      <c r="H259" s="83"/>
      <c r="I259" s="35" t="str">
        <f t="shared" ref="I259:I322" si="18">IF(G259*H259=0,"",G259*H259)</f>
        <v/>
      </c>
    </row>
    <row r="260" spans="1:9">
      <c r="A260" s="10" t="str">
        <f t="shared" ref="A260:A323" si="19">IF(E260&gt;0,A259+1,"")</f>
        <v/>
      </c>
      <c r="B260" s="53"/>
      <c r="C260" s="28" t="str">
        <f t="shared" si="16"/>
        <v/>
      </c>
      <c r="D260" s="28" t="str">
        <f t="shared" si="17"/>
        <v/>
      </c>
      <c r="E260" s="77"/>
      <c r="F260" s="45"/>
      <c r="G260" s="56"/>
      <c r="H260" s="83"/>
      <c r="I260" s="35" t="str">
        <f t="shared" si="18"/>
        <v/>
      </c>
    </row>
    <row r="261" spans="1:9">
      <c r="A261" s="10" t="str">
        <f t="shared" si="19"/>
        <v/>
      </c>
      <c r="B261" s="53"/>
      <c r="C261" s="28" t="str">
        <f t="shared" si="16"/>
        <v/>
      </c>
      <c r="D261" s="28" t="str">
        <f t="shared" si="17"/>
        <v/>
      </c>
      <c r="E261" s="77"/>
      <c r="F261" s="45"/>
      <c r="G261" s="56"/>
      <c r="H261" s="83"/>
      <c r="I261" s="35" t="str">
        <f t="shared" si="18"/>
        <v/>
      </c>
    </row>
    <row r="262" spans="1:9">
      <c r="A262" s="10" t="str">
        <f t="shared" si="19"/>
        <v/>
      </c>
      <c r="B262" s="53"/>
      <c r="C262" s="28" t="str">
        <f t="shared" si="16"/>
        <v/>
      </c>
      <c r="D262" s="28" t="str">
        <f t="shared" si="17"/>
        <v/>
      </c>
      <c r="E262" s="77"/>
      <c r="F262" s="45"/>
      <c r="G262" s="56"/>
      <c r="H262" s="83"/>
      <c r="I262" s="35" t="str">
        <f t="shared" si="18"/>
        <v/>
      </c>
    </row>
    <row r="263" spans="1:9">
      <c r="A263" s="10" t="str">
        <f t="shared" si="19"/>
        <v/>
      </c>
      <c r="B263" s="53"/>
      <c r="C263" s="28" t="str">
        <f t="shared" si="16"/>
        <v/>
      </c>
      <c r="D263" s="28" t="str">
        <f t="shared" si="17"/>
        <v/>
      </c>
      <c r="E263" s="77"/>
      <c r="F263" s="45"/>
      <c r="G263" s="56"/>
      <c r="H263" s="83"/>
      <c r="I263" s="35" t="str">
        <f t="shared" si="18"/>
        <v/>
      </c>
    </row>
    <row r="264" spans="1:9">
      <c r="A264" s="10" t="str">
        <f t="shared" si="19"/>
        <v/>
      </c>
      <c r="B264" s="53"/>
      <c r="C264" s="28" t="str">
        <f t="shared" si="16"/>
        <v/>
      </c>
      <c r="D264" s="28" t="str">
        <f t="shared" si="17"/>
        <v/>
      </c>
      <c r="E264" s="77"/>
      <c r="F264" s="45"/>
      <c r="G264" s="56"/>
      <c r="H264" s="83"/>
      <c r="I264" s="35" t="str">
        <f t="shared" si="18"/>
        <v/>
      </c>
    </row>
    <row r="265" spans="1:9">
      <c r="A265" s="10" t="str">
        <f t="shared" si="19"/>
        <v/>
      </c>
      <c r="B265" s="53"/>
      <c r="C265" s="28" t="str">
        <f t="shared" si="16"/>
        <v/>
      </c>
      <c r="D265" s="28" t="str">
        <f t="shared" si="17"/>
        <v/>
      </c>
      <c r="E265" s="77"/>
      <c r="F265" s="45"/>
      <c r="G265" s="56"/>
      <c r="H265" s="83"/>
      <c r="I265" s="35" t="str">
        <f t="shared" si="18"/>
        <v/>
      </c>
    </row>
    <row r="266" spans="1:9">
      <c r="A266" s="10" t="str">
        <f t="shared" si="19"/>
        <v/>
      </c>
      <c r="B266" s="53"/>
      <c r="C266" s="28" t="str">
        <f t="shared" si="16"/>
        <v/>
      </c>
      <c r="D266" s="28" t="str">
        <f t="shared" si="17"/>
        <v/>
      </c>
      <c r="E266" s="77"/>
      <c r="F266" s="45"/>
      <c r="G266" s="56"/>
      <c r="H266" s="83"/>
      <c r="I266" s="35" t="str">
        <f t="shared" si="18"/>
        <v/>
      </c>
    </row>
    <row r="267" spans="1:9">
      <c r="A267" s="10" t="str">
        <f t="shared" si="19"/>
        <v/>
      </c>
      <c r="B267" s="53"/>
      <c r="C267" s="28" t="str">
        <f t="shared" si="16"/>
        <v/>
      </c>
      <c r="D267" s="28" t="str">
        <f t="shared" si="17"/>
        <v/>
      </c>
      <c r="E267" s="77"/>
      <c r="F267" s="45"/>
      <c r="G267" s="56"/>
      <c r="H267" s="83"/>
      <c r="I267" s="35" t="str">
        <f t="shared" si="18"/>
        <v/>
      </c>
    </row>
    <row r="268" spans="1:9">
      <c r="A268" s="10" t="str">
        <f t="shared" si="19"/>
        <v/>
      </c>
      <c r="B268" s="53"/>
      <c r="C268" s="28" t="str">
        <f t="shared" si="16"/>
        <v/>
      </c>
      <c r="D268" s="28" t="str">
        <f t="shared" si="17"/>
        <v/>
      </c>
      <c r="E268" s="77"/>
      <c r="F268" s="45"/>
      <c r="G268" s="56"/>
      <c r="H268" s="83"/>
      <c r="I268" s="35" t="str">
        <f t="shared" si="18"/>
        <v/>
      </c>
    </row>
    <row r="269" spans="1:9">
      <c r="A269" s="10" t="str">
        <f t="shared" si="19"/>
        <v/>
      </c>
      <c r="B269" s="53"/>
      <c r="C269" s="28" t="str">
        <f t="shared" si="16"/>
        <v/>
      </c>
      <c r="D269" s="28" t="str">
        <f t="shared" si="17"/>
        <v/>
      </c>
      <c r="E269" s="77"/>
      <c r="F269" s="45"/>
      <c r="G269" s="56"/>
      <c r="H269" s="83"/>
      <c r="I269" s="35" t="str">
        <f t="shared" si="18"/>
        <v/>
      </c>
    </row>
    <row r="270" spans="1:9">
      <c r="A270" s="10" t="str">
        <f t="shared" si="19"/>
        <v/>
      </c>
      <c r="B270" s="53"/>
      <c r="C270" s="28" t="str">
        <f t="shared" si="16"/>
        <v/>
      </c>
      <c r="D270" s="28" t="str">
        <f t="shared" si="17"/>
        <v/>
      </c>
      <c r="E270" s="77"/>
      <c r="F270" s="45"/>
      <c r="G270" s="56"/>
      <c r="H270" s="83"/>
      <c r="I270" s="35" t="str">
        <f t="shared" si="18"/>
        <v/>
      </c>
    </row>
    <row r="271" spans="1:9">
      <c r="A271" s="10" t="str">
        <f t="shared" si="19"/>
        <v/>
      </c>
      <c r="B271" s="53"/>
      <c r="C271" s="28" t="str">
        <f t="shared" si="16"/>
        <v/>
      </c>
      <c r="D271" s="28" t="str">
        <f t="shared" si="17"/>
        <v/>
      </c>
      <c r="E271" s="77"/>
      <c r="F271" s="45"/>
      <c r="G271" s="56"/>
      <c r="H271" s="83"/>
      <c r="I271" s="35" t="str">
        <f t="shared" si="18"/>
        <v/>
      </c>
    </row>
    <row r="272" spans="1:9">
      <c r="A272" s="10" t="str">
        <f t="shared" si="19"/>
        <v/>
      </c>
      <c r="B272" s="53"/>
      <c r="C272" s="28" t="str">
        <f t="shared" si="16"/>
        <v/>
      </c>
      <c r="D272" s="28" t="str">
        <f t="shared" si="17"/>
        <v/>
      </c>
      <c r="E272" s="77"/>
      <c r="F272" s="45"/>
      <c r="G272" s="56"/>
      <c r="H272" s="83"/>
      <c r="I272" s="35" t="str">
        <f t="shared" si="18"/>
        <v/>
      </c>
    </row>
    <row r="273" spans="1:9">
      <c r="A273" s="10" t="str">
        <f t="shared" si="19"/>
        <v/>
      </c>
      <c r="B273" s="53"/>
      <c r="C273" s="28" t="str">
        <f t="shared" si="16"/>
        <v/>
      </c>
      <c r="D273" s="28" t="str">
        <f t="shared" si="17"/>
        <v/>
      </c>
      <c r="E273" s="77"/>
      <c r="F273" s="45"/>
      <c r="G273" s="56"/>
      <c r="H273" s="83"/>
      <c r="I273" s="35" t="str">
        <f t="shared" si="18"/>
        <v/>
      </c>
    </row>
    <row r="274" spans="1:9">
      <c r="A274" s="10" t="str">
        <f t="shared" si="19"/>
        <v/>
      </c>
      <c r="B274" s="53"/>
      <c r="C274" s="28" t="str">
        <f t="shared" si="16"/>
        <v/>
      </c>
      <c r="D274" s="28" t="str">
        <f t="shared" si="17"/>
        <v/>
      </c>
      <c r="E274" s="77"/>
      <c r="F274" s="45"/>
      <c r="G274" s="56"/>
      <c r="H274" s="83"/>
      <c r="I274" s="35" t="str">
        <f t="shared" si="18"/>
        <v/>
      </c>
    </row>
    <row r="275" spans="1:9">
      <c r="A275" s="10" t="str">
        <f t="shared" si="19"/>
        <v/>
      </c>
      <c r="B275" s="53"/>
      <c r="C275" s="28" t="str">
        <f t="shared" si="16"/>
        <v/>
      </c>
      <c r="D275" s="28" t="str">
        <f t="shared" si="17"/>
        <v/>
      </c>
      <c r="E275" s="77"/>
      <c r="F275" s="45"/>
      <c r="G275" s="56"/>
      <c r="H275" s="83"/>
      <c r="I275" s="35" t="str">
        <f t="shared" si="18"/>
        <v/>
      </c>
    </row>
    <row r="276" spans="1:9">
      <c r="A276" s="10" t="str">
        <f t="shared" si="19"/>
        <v/>
      </c>
      <c r="B276" s="53"/>
      <c r="C276" s="28" t="str">
        <f t="shared" si="16"/>
        <v/>
      </c>
      <c r="D276" s="28" t="str">
        <f t="shared" si="17"/>
        <v/>
      </c>
      <c r="E276" s="77"/>
      <c r="F276" s="45"/>
      <c r="G276" s="56"/>
      <c r="H276" s="83"/>
      <c r="I276" s="35" t="str">
        <f t="shared" si="18"/>
        <v/>
      </c>
    </row>
    <row r="277" spans="1:9">
      <c r="A277" s="10" t="str">
        <f t="shared" si="19"/>
        <v/>
      </c>
      <c r="B277" s="53"/>
      <c r="C277" s="28" t="str">
        <f t="shared" si="16"/>
        <v/>
      </c>
      <c r="D277" s="28" t="str">
        <f t="shared" si="17"/>
        <v/>
      </c>
      <c r="E277" s="77"/>
      <c r="F277" s="45"/>
      <c r="G277" s="56"/>
      <c r="H277" s="83"/>
      <c r="I277" s="35" t="str">
        <f t="shared" si="18"/>
        <v/>
      </c>
    </row>
    <row r="278" spans="1:9">
      <c r="A278" s="10" t="str">
        <f t="shared" si="19"/>
        <v/>
      </c>
      <c r="B278" s="53"/>
      <c r="C278" s="28" t="str">
        <f t="shared" si="16"/>
        <v/>
      </c>
      <c r="D278" s="28" t="str">
        <f t="shared" si="17"/>
        <v/>
      </c>
      <c r="E278" s="77"/>
      <c r="F278" s="45"/>
      <c r="G278" s="56"/>
      <c r="H278" s="83"/>
      <c r="I278" s="35" t="str">
        <f t="shared" si="18"/>
        <v/>
      </c>
    </row>
    <row r="279" spans="1:9">
      <c r="A279" s="10" t="str">
        <f t="shared" si="19"/>
        <v/>
      </c>
      <c r="B279" s="53"/>
      <c r="C279" s="28" t="str">
        <f t="shared" si="16"/>
        <v/>
      </c>
      <c r="D279" s="28" t="str">
        <f t="shared" si="17"/>
        <v/>
      </c>
      <c r="E279" s="77"/>
      <c r="F279" s="45"/>
      <c r="G279" s="56"/>
      <c r="H279" s="83"/>
      <c r="I279" s="35" t="str">
        <f t="shared" si="18"/>
        <v/>
      </c>
    </row>
    <row r="280" spans="1:9">
      <c r="A280" s="10" t="str">
        <f t="shared" si="19"/>
        <v/>
      </c>
      <c r="B280" s="53"/>
      <c r="C280" s="28" t="str">
        <f t="shared" si="16"/>
        <v/>
      </c>
      <c r="D280" s="28" t="str">
        <f t="shared" si="17"/>
        <v/>
      </c>
      <c r="E280" s="77"/>
      <c r="F280" s="45"/>
      <c r="G280" s="56"/>
      <c r="H280" s="83"/>
      <c r="I280" s="35" t="str">
        <f t="shared" si="18"/>
        <v/>
      </c>
    </row>
    <row r="281" spans="1:9">
      <c r="A281" s="10" t="str">
        <f t="shared" si="19"/>
        <v/>
      </c>
      <c r="B281" s="53"/>
      <c r="C281" s="28" t="str">
        <f t="shared" si="16"/>
        <v/>
      </c>
      <c r="D281" s="28" t="str">
        <f t="shared" si="17"/>
        <v/>
      </c>
      <c r="E281" s="77"/>
      <c r="F281" s="45"/>
      <c r="G281" s="56"/>
      <c r="H281" s="83"/>
      <c r="I281" s="35" t="str">
        <f t="shared" si="18"/>
        <v/>
      </c>
    </row>
    <row r="282" spans="1:9">
      <c r="A282" s="10" t="str">
        <f t="shared" si="19"/>
        <v/>
      </c>
      <c r="B282" s="53"/>
      <c r="C282" s="28" t="str">
        <f t="shared" si="16"/>
        <v/>
      </c>
      <c r="D282" s="28" t="str">
        <f t="shared" si="17"/>
        <v/>
      </c>
      <c r="E282" s="77"/>
      <c r="F282" s="45"/>
      <c r="G282" s="56"/>
      <c r="H282" s="83"/>
      <c r="I282" s="35" t="str">
        <f t="shared" si="18"/>
        <v/>
      </c>
    </row>
    <row r="283" spans="1:9">
      <c r="A283" s="10" t="str">
        <f t="shared" si="19"/>
        <v/>
      </c>
      <c r="B283" s="53"/>
      <c r="C283" s="28" t="str">
        <f t="shared" si="16"/>
        <v/>
      </c>
      <c r="D283" s="28" t="str">
        <f t="shared" si="17"/>
        <v/>
      </c>
      <c r="E283" s="77"/>
      <c r="F283" s="45"/>
      <c r="G283" s="56"/>
      <c r="H283" s="83"/>
      <c r="I283" s="35" t="str">
        <f t="shared" si="18"/>
        <v/>
      </c>
    </row>
    <row r="284" spans="1:9">
      <c r="A284" s="10" t="str">
        <f t="shared" si="19"/>
        <v/>
      </c>
      <c r="B284" s="53"/>
      <c r="C284" s="28" t="str">
        <f t="shared" si="16"/>
        <v/>
      </c>
      <c r="D284" s="28" t="str">
        <f t="shared" si="17"/>
        <v/>
      </c>
      <c r="E284" s="77"/>
      <c r="F284" s="45"/>
      <c r="G284" s="56"/>
      <c r="H284" s="83"/>
      <c r="I284" s="35" t="str">
        <f t="shared" si="18"/>
        <v/>
      </c>
    </row>
    <row r="285" spans="1:9">
      <c r="A285" s="10" t="str">
        <f t="shared" si="19"/>
        <v/>
      </c>
      <c r="B285" s="53"/>
      <c r="C285" s="28" t="str">
        <f t="shared" si="16"/>
        <v/>
      </c>
      <c r="D285" s="28" t="str">
        <f t="shared" si="17"/>
        <v/>
      </c>
      <c r="E285" s="77"/>
      <c r="F285" s="45"/>
      <c r="G285" s="56"/>
      <c r="H285" s="83"/>
      <c r="I285" s="35" t="str">
        <f t="shared" si="18"/>
        <v/>
      </c>
    </row>
    <row r="286" spans="1:9">
      <c r="A286" s="10" t="str">
        <f t="shared" si="19"/>
        <v/>
      </c>
      <c r="B286" s="53"/>
      <c r="C286" s="28" t="str">
        <f t="shared" si="16"/>
        <v/>
      </c>
      <c r="D286" s="28" t="str">
        <f t="shared" si="17"/>
        <v/>
      </c>
      <c r="E286" s="77"/>
      <c r="F286" s="45"/>
      <c r="G286" s="56"/>
      <c r="H286" s="83"/>
      <c r="I286" s="35" t="str">
        <f t="shared" si="18"/>
        <v/>
      </c>
    </row>
    <row r="287" spans="1:9">
      <c r="A287" s="10" t="str">
        <f t="shared" si="19"/>
        <v/>
      </c>
      <c r="B287" s="53"/>
      <c r="C287" s="28" t="str">
        <f t="shared" si="16"/>
        <v/>
      </c>
      <c r="D287" s="28" t="str">
        <f t="shared" si="17"/>
        <v/>
      </c>
      <c r="E287" s="77"/>
      <c r="F287" s="45"/>
      <c r="G287" s="56"/>
      <c r="H287" s="83"/>
      <c r="I287" s="35" t="str">
        <f t="shared" si="18"/>
        <v/>
      </c>
    </row>
    <row r="288" spans="1:9">
      <c r="A288" s="10" t="str">
        <f t="shared" si="19"/>
        <v/>
      </c>
      <c r="B288" s="53"/>
      <c r="C288" s="28" t="str">
        <f t="shared" si="16"/>
        <v/>
      </c>
      <c r="D288" s="28" t="str">
        <f t="shared" si="17"/>
        <v/>
      </c>
      <c r="E288" s="77"/>
      <c r="F288" s="45"/>
      <c r="G288" s="56"/>
      <c r="H288" s="83"/>
      <c r="I288" s="35" t="str">
        <f t="shared" si="18"/>
        <v/>
      </c>
    </row>
    <row r="289" spans="1:9">
      <c r="A289" s="10" t="str">
        <f t="shared" si="19"/>
        <v/>
      </c>
      <c r="B289" s="53"/>
      <c r="C289" s="28" t="str">
        <f t="shared" si="16"/>
        <v/>
      </c>
      <c r="D289" s="28" t="str">
        <f t="shared" si="17"/>
        <v/>
      </c>
      <c r="E289" s="77"/>
      <c r="F289" s="45"/>
      <c r="G289" s="56"/>
      <c r="H289" s="83"/>
      <c r="I289" s="35" t="str">
        <f t="shared" si="18"/>
        <v/>
      </c>
    </row>
    <row r="290" spans="1:9">
      <c r="A290" s="10" t="str">
        <f t="shared" si="19"/>
        <v/>
      </c>
      <c r="B290" s="53"/>
      <c r="C290" s="28" t="str">
        <f t="shared" si="16"/>
        <v/>
      </c>
      <c r="D290" s="28" t="str">
        <f t="shared" si="17"/>
        <v/>
      </c>
      <c r="E290" s="77"/>
      <c r="F290" s="45"/>
      <c r="G290" s="56"/>
      <c r="H290" s="83"/>
      <c r="I290" s="35" t="str">
        <f t="shared" si="18"/>
        <v/>
      </c>
    </row>
    <row r="291" spans="1:9">
      <c r="A291" s="10" t="str">
        <f t="shared" si="19"/>
        <v/>
      </c>
      <c r="B291" s="53"/>
      <c r="C291" s="28" t="str">
        <f t="shared" si="16"/>
        <v/>
      </c>
      <c r="D291" s="28" t="str">
        <f t="shared" si="17"/>
        <v/>
      </c>
      <c r="E291" s="77"/>
      <c r="F291" s="45"/>
      <c r="G291" s="56"/>
      <c r="H291" s="83"/>
      <c r="I291" s="35" t="str">
        <f t="shared" si="18"/>
        <v/>
      </c>
    </row>
    <row r="292" spans="1:9">
      <c r="A292" s="10" t="str">
        <f t="shared" si="19"/>
        <v/>
      </c>
      <c r="B292" s="53"/>
      <c r="C292" s="28" t="str">
        <f t="shared" si="16"/>
        <v/>
      </c>
      <c r="D292" s="28" t="str">
        <f t="shared" si="17"/>
        <v/>
      </c>
      <c r="E292" s="77"/>
      <c r="F292" s="45"/>
      <c r="G292" s="56"/>
      <c r="H292" s="83"/>
      <c r="I292" s="35" t="str">
        <f t="shared" si="18"/>
        <v/>
      </c>
    </row>
    <row r="293" spans="1:9">
      <c r="A293" s="10" t="str">
        <f t="shared" si="19"/>
        <v/>
      </c>
      <c r="B293" s="53"/>
      <c r="C293" s="28" t="str">
        <f t="shared" si="16"/>
        <v/>
      </c>
      <c r="D293" s="28" t="str">
        <f t="shared" si="17"/>
        <v/>
      </c>
      <c r="E293" s="77"/>
      <c r="F293" s="45"/>
      <c r="G293" s="56"/>
      <c r="H293" s="83"/>
      <c r="I293" s="35" t="str">
        <f t="shared" si="18"/>
        <v/>
      </c>
    </row>
    <row r="294" spans="1:9">
      <c r="A294" s="10" t="str">
        <f t="shared" si="19"/>
        <v/>
      </c>
      <c r="B294" s="53"/>
      <c r="C294" s="28" t="str">
        <f t="shared" si="16"/>
        <v/>
      </c>
      <c r="D294" s="28" t="str">
        <f t="shared" si="17"/>
        <v/>
      </c>
      <c r="E294" s="77"/>
      <c r="F294" s="45"/>
      <c r="G294" s="56"/>
      <c r="H294" s="83"/>
      <c r="I294" s="35" t="str">
        <f t="shared" si="18"/>
        <v/>
      </c>
    </row>
    <row r="295" spans="1:9">
      <c r="A295" s="10" t="str">
        <f t="shared" si="19"/>
        <v/>
      </c>
      <c r="B295" s="53"/>
      <c r="C295" s="28" t="str">
        <f t="shared" si="16"/>
        <v/>
      </c>
      <c r="D295" s="28" t="str">
        <f t="shared" si="17"/>
        <v/>
      </c>
      <c r="E295" s="77"/>
      <c r="F295" s="45"/>
      <c r="G295" s="56"/>
      <c r="H295" s="83"/>
      <c r="I295" s="35" t="str">
        <f t="shared" si="18"/>
        <v/>
      </c>
    </row>
    <row r="296" spans="1:9">
      <c r="A296" s="10" t="str">
        <f t="shared" si="19"/>
        <v/>
      </c>
      <c r="B296" s="53"/>
      <c r="C296" s="28" t="str">
        <f t="shared" si="16"/>
        <v/>
      </c>
      <c r="D296" s="28" t="str">
        <f t="shared" si="17"/>
        <v/>
      </c>
      <c r="E296" s="77"/>
      <c r="F296" s="45"/>
      <c r="G296" s="56"/>
      <c r="H296" s="83"/>
      <c r="I296" s="35" t="str">
        <f t="shared" si="18"/>
        <v/>
      </c>
    </row>
    <row r="297" spans="1:9">
      <c r="A297" s="10" t="str">
        <f t="shared" si="19"/>
        <v/>
      </c>
      <c r="B297" s="53"/>
      <c r="C297" s="28" t="str">
        <f t="shared" si="16"/>
        <v/>
      </c>
      <c r="D297" s="28" t="str">
        <f t="shared" si="17"/>
        <v/>
      </c>
      <c r="E297" s="77"/>
      <c r="F297" s="45"/>
      <c r="G297" s="56"/>
      <c r="H297" s="83"/>
      <c r="I297" s="35" t="str">
        <f t="shared" si="18"/>
        <v/>
      </c>
    </row>
    <row r="298" spans="1:9">
      <c r="A298" s="10" t="str">
        <f t="shared" si="19"/>
        <v/>
      </c>
      <c r="B298" s="53"/>
      <c r="C298" s="28" t="str">
        <f t="shared" si="16"/>
        <v/>
      </c>
      <c r="D298" s="28" t="str">
        <f t="shared" si="17"/>
        <v/>
      </c>
      <c r="E298" s="77"/>
      <c r="F298" s="45"/>
      <c r="G298" s="56"/>
      <c r="H298" s="83"/>
      <c r="I298" s="35" t="str">
        <f t="shared" si="18"/>
        <v/>
      </c>
    </row>
    <row r="299" spans="1:9">
      <c r="A299" s="10" t="str">
        <f t="shared" si="19"/>
        <v/>
      </c>
      <c r="B299" s="53"/>
      <c r="C299" s="28" t="str">
        <f t="shared" si="16"/>
        <v/>
      </c>
      <c r="D299" s="28" t="str">
        <f t="shared" si="17"/>
        <v/>
      </c>
      <c r="E299" s="77"/>
      <c r="F299" s="45"/>
      <c r="G299" s="56"/>
      <c r="H299" s="83"/>
      <c r="I299" s="35" t="str">
        <f t="shared" si="18"/>
        <v/>
      </c>
    </row>
    <row r="300" spans="1:9">
      <c r="A300" s="10" t="str">
        <f t="shared" si="19"/>
        <v/>
      </c>
      <c r="B300" s="53"/>
      <c r="C300" s="28" t="str">
        <f t="shared" si="16"/>
        <v/>
      </c>
      <c r="D300" s="28" t="str">
        <f t="shared" si="17"/>
        <v/>
      </c>
      <c r="E300" s="77"/>
      <c r="F300" s="45"/>
      <c r="G300" s="56"/>
      <c r="H300" s="83"/>
      <c r="I300" s="35" t="str">
        <f t="shared" si="18"/>
        <v/>
      </c>
    </row>
    <row r="301" spans="1:9">
      <c r="A301" s="10" t="str">
        <f t="shared" si="19"/>
        <v/>
      </c>
      <c r="B301" s="53"/>
      <c r="C301" s="28" t="str">
        <f t="shared" si="16"/>
        <v/>
      </c>
      <c r="D301" s="28" t="str">
        <f t="shared" si="17"/>
        <v/>
      </c>
      <c r="E301" s="77"/>
      <c r="F301" s="45"/>
      <c r="G301" s="56"/>
      <c r="H301" s="83"/>
      <c r="I301" s="35" t="str">
        <f t="shared" si="18"/>
        <v/>
      </c>
    </row>
    <row r="302" spans="1:9">
      <c r="A302" s="10" t="str">
        <f t="shared" si="19"/>
        <v/>
      </c>
      <c r="B302" s="53"/>
      <c r="C302" s="28" t="str">
        <f t="shared" si="16"/>
        <v/>
      </c>
      <c r="D302" s="28" t="str">
        <f t="shared" si="17"/>
        <v/>
      </c>
      <c r="E302" s="77"/>
      <c r="F302" s="45"/>
      <c r="G302" s="56"/>
      <c r="H302" s="83"/>
      <c r="I302" s="35" t="str">
        <f t="shared" si="18"/>
        <v/>
      </c>
    </row>
    <row r="303" spans="1:9">
      <c r="A303" s="10" t="str">
        <f t="shared" si="19"/>
        <v/>
      </c>
      <c r="B303" s="53"/>
      <c r="C303" s="28" t="str">
        <f t="shared" si="16"/>
        <v/>
      </c>
      <c r="D303" s="28" t="str">
        <f t="shared" si="17"/>
        <v/>
      </c>
      <c r="E303" s="77"/>
      <c r="F303" s="45"/>
      <c r="G303" s="56"/>
      <c r="H303" s="83"/>
      <c r="I303" s="35" t="str">
        <f t="shared" si="18"/>
        <v/>
      </c>
    </row>
    <row r="304" spans="1:9">
      <c r="A304" s="10" t="str">
        <f t="shared" si="19"/>
        <v/>
      </c>
      <c r="B304" s="53"/>
      <c r="C304" s="28" t="str">
        <f t="shared" si="16"/>
        <v/>
      </c>
      <c r="D304" s="28" t="str">
        <f t="shared" si="17"/>
        <v/>
      </c>
      <c r="E304" s="77"/>
      <c r="F304" s="45"/>
      <c r="G304" s="56"/>
      <c r="H304" s="83"/>
      <c r="I304" s="35" t="str">
        <f t="shared" si="18"/>
        <v/>
      </c>
    </row>
    <row r="305" spans="1:9">
      <c r="A305" s="10" t="str">
        <f t="shared" si="19"/>
        <v/>
      </c>
      <c r="B305" s="53"/>
      <c r="C305" s="28" t="str">
        <f t="shared" si="16"/>
        <v/>
      </c>
      <c r="D305" s="28" t="str">
        <f t="shared" si="17"/>
        <v/>
      </c>
      <c r="E305" s="77"/>
      <c r="F305" s="45"/>
      <c r="G305" s="56"/>
      <c r="H305" s="83"/>
      <c r="I305" s="35" t="str">
        <f t="shared" si="18"/>
        <v/>
      </c>
    </row>
    <row r="306" spans="1:9">
      <c r="A306" s="10" t="str">
        <f t="shared" si="19"/>
        <v/>
      </c>
      <c r="B306" s="53"/>
      <c r="C306" s="28" t="str">
        <f t="shared" si="16"/>
        <v/>
      </c>
      <c r="D306" s="28" t="str">
        <f t="shared" si="17"/>
        <v/>
      </c>
      <c r="E306" s="77"/>
      <c r="F306" s="45"/>
      <c r="G306" s="56"/>
      <c r="H306" s="83"/>
      <c r="I306" s="35" t="str">
        <f t="shared" si="18"/>
        <v/>
      </c>
    </row>
    <row r="307" spans="1:9">
      <c r="A307" s="10" t="str">
        <f t="shared" si="19"/>
        <v/>
      </c>
      <c r="B307" s="53"/>
      <c r="C307" s="28" t="str">
        <f t="shared" si="16"/>
        <v/>
      </c>
      <c r="D307" s="28" t="str">
        <f t="shared" si="17"/>
        <v/>
      </c>
      <c r="E307" s="77"/>
      <c r="F307" s="45"/>
      <c r="G307" s="56"/>
      <c r="H307" s="83"/>
      <c r="I307" s="35" t="str">
        <f t="shared" si="18"/>
        <v/>
      </c>
    </row>
    <row r="308" spans="1:9">
      <c r="A308" s="10" t="str">
        <f t="shared" si="19"/>
        <v/>
      </c>
      <c r="B308" s="53"/>
      <c r="C308" s="28" t="str">
        <f t="shared" si="16"/>
        <v/>
      </c>
      <c r="D308" s="28" t="str">
        <f t="shared" si="17"/>
        <v/>
      </c>
      <c r="E308" s="77"/>
      <c r="F308" s="45"/>
      <c r="G308" s="56"/>
      <c r="H308" s="83"/>
      <c r="I308" s="35" t="str">
        <f t="shared" si="18"/>
        <v/>
      </c>
    </row>
    <row r="309" spans="1:9">
      <c r="A309" s="10" t="str">
        <f t="shared" si="19"/>
        <v/>
      </c>
      <c r="B309" s="53"/>
      <c r="C309" s="28" t="str">
        <f t="shared" si="16"/>
        <v/>
      </c>
      <c r="D309" s="28" t="str">
        <f t="shared" si="17"/>
        <v/>
      </c>
      <c r="E309" s="77"/>
      <c r="F309" s="45"/>
      <c r="G309" s="56"/>
      <c r="H309" s="83"/>
      <c r="I309" s="35" t="str">
        <f t="shared" si="18"/>
        <v/>
      </c>
    </row>
    <row r="310" spans="1:9">
      <c r="A310" s="10" t="str">
        <f t="shared" si="19"/>
        <v/>
      </c>
      <c r="B310" s="53"/>
      <c r="C310" s="28" t="str">
        <f t="shared" si="16"/>
        <v/>
      </c>
      <c r="D310" s="28" t="str">
        <f t="shared" si="17"/>
        <v/>
      </c>
      <c r="E310" s="77"/>
      <c r="F310" s="45"/>
      <c r="G310" s="56"/>
      <c r="H310" s="83"/>
      <c r="I310" s="35" t="str">
        <f t="shared" si="18"/>
        <v/>
      </c>
    </row>
    <row r="311" spans="1:9">
      <c r="A311" s="10" t="str">
        <f t="shared" si="19"/>
        <v/>
      </c>
      <c r="B311" s="53"/>
      <c r="C311" s="28" t="str">
        <f t="shared" si="16"/>
        <v/>
      </c>
      <c r="D311" s="28" t="str">
        <f t="shared" si="17"/>
        <v/>
      </c>
      <c r="E311" s="77"/>
      <c r="F311" s="45"/>
      <c r="G311" s="56"/>
      <c r="H311" s="83"/>
      <c r="I311" s="35" t="str">
        <f t="shared" si="18"/>
        <v/>
      </c>
    </row>
    <row r="312" spans="1:9">
      <c r="A312" s="10" t="str">
        <f t="shared" si="19"/>
        <v/>
      </c>
      <c r="B312" s="53"/>
      <c r="C312" s="28" t="str">
        <f t="shared" si="16"/>
        <v/>
      </c>
      <c r="D312" s="28" t="str">
        <f t="shared" si="17"/>
        <v/>
      </c>
      <c r="E312" s="77"/>
      <c r="F312" s="45"/>
      <c r="G312" s="56"/>
      <c r="H312" s="83"/>
      <c r="I312" s="35" t="str">
        <f t="shared" si="18"/>
        <v/>
      </c>
    </row>
    <row r="313" spans="1:9">
      <c r="A313" s="10" t="str">
        <f t="shared" si="19"/>
        <v/>
      </c>
      <c r="B313" s="53"/>
      <c r="C313" s="28" t="str">
        <f t="shared" si="16"/>
        <v/>
      </c>
      <c r="D313" s="28" t="str">
        <f t="shared" si="17"/>
        <v/>
      </c>
      <c r="E313" s="77"/>
      <c r="F313" s="45"/>
      <c r="G313" s="56"/>
      <c r="H313" s="83"/>
      <c r="I313" s="35" t="str">
        <f t="shared" si="18"/>
        <v/>
      </c>
    </row>
    <row r="314" spans="1:9">
      <c r="A314" s="10" t="str">
        <f t="shared" si="19"/>
        <v/>
      </c>
      <c r="B314" s="53"/>
      <c r="C314" s="28" t="str">
        <f t="shared" si="16"/>
        <v/>
      </c>
      <c r="D314" s="28" t="str">
        <f t="shared" si="17"/>
        <v/>
      </c>
      <c r="E314" s="77"/>
      <c r="F314" s="45"/>
      <c r="G314" s="56"/>
      <c r="H314" s="83"/>
      <c r="I314" s="35" t="str">
        <f t="shared" si="18"/>
        <v/>
      </c>
    </row>
    <row r="315" spans="1:9">
      <c r="A315" s="10" t="str">
        <f t="shared" si="19"/>
        <v/>
      </c>
      <c r="B315" s="53"/>
      <c r="C315" s="28" t="str">
        <f t="shared" si="16"/>
        <v/>
      </c>
      <c r="D315" s="28" t="str">
        <f t="shared" si="17"/>
        <v/>
      </c>
      <c r="E315" s="77"/>
      <c r="F315" s="45"/>
      <c r="G315" s="56"/>
      <c r="H315" s="83"/>
      <c r="I315" s="35" t="str">
        <f t="shared" si="18"/>
        <v/>
      </c>
    </row>
    <row r="316" spans="1:9">
      <c r="A316" s="10" t="str">
        <f t="shared" si="19"/>
        <v/>
      </c>
      <c r="B316" s="53"/>
      <c r="C316" s="28" t="str">
        <f t="shared" si="16"/>
        <v/>
      </c>
      <c r="D316" s="28" t="str">
        <f t="shared" si="17"/>
        <v/>
      </c>
      <c r="E316" s="77"/>
      <c r="F316" s="45"/>
      <c r="G316" s="56"/>
      <c r="H316" s="83"/>
      <c r="I316" s="35" t="str">
        <f t="shared" si="18"/>
        <v/>
      </c>
    </row>
    <row r="317" spans="1:9">
      <c r="A317" s="10" t="str">
        <f t="shared" si="19"/>
        <v/>
      </c>
      <c r="B317" s="53"/>
      <c r="C317" s="28" t="str">
        <f t="shared" si="16"/>
        <v/>
      </c>
      <c r="D317" s="28" t="str">
        <f t="shared" si="17"/>
        <v/>
      </c>
      <c r="E317" s="77"/>
      <c r="F317" s="45"/>
      <c r="G317" s="56"/>
      <c r="H317" s="83"/>
      <c r="I317" s="35" t="str">
        <f t="shared" si="18"/>
        <v/>
      </c>
    </row>
    <row r="318" spans="1:9">
      <c r="A318" s="10" t="str">
        <f t="shared" si="19"/>
        <v/>
      </c>
      <c r="B318" s="53"/>
      <c r="C318" s="28" t="str">
        <f t="shared" si="16"/>
        <v/>
      </c>
      <c r="D318" s="28" t="str">
        <f t="shared" si="17"/>
        <v/>
      </c>
      <c r="E318" s="77"/>
      <c r="F318" s="45"/>
      <c r="G318" s="56"/>
      <c r="H318" s="83"/>
      <c r="I318" s="35" t="str">
        <f t="shared" si="18"/>
        <v/>
      </c>
    </row>
    <row r="319" spans="1:9">
      <c r="A319" s="10" t="str">
        <f t="shared" si="19"/>
        <v/>
      </c>
      <c r="B319" s="53"/>
      <c r="C319" s="28" t="str">
        <f t="shared" si="16"/>
        <v/>
      </c>
      <c r="D319" s="28" t="str">
        <f t="shared" si="17"/>
        <v/>
      </c>
      <c r="E319" s="77"/>
      <c r="F319" s="45"/>
      <c r="G319" s="56"/>
      <c r="H319" s="83"/>
      <c r="I319" s="35" t="str">
        <f t="shared" si="18"/>
        <v/>
      </c>
    </row>
    <row r="320" spans="1:9">
      <c r="A320" s="10" t="str">
        <f t="shared" si="19"/>
        <v/>
      </c>
      <c r="B320" s="53"/>
      <c r="C320" s="28" t="str">
        <f t="shared" si="16"/>
        <v/>
      </c>
      <c r="D320" s="28" t="str">
        <f t="shared" si="17"/>
        <v/>
      </c>
      <c r="E320" s="77"/>
      <c r="F320" s="45"/>
      <c r="G320" s="56"/>
      <c r="H320" s="83"/>
      <c r="I320" s="35" t="str">
        <f t="shared" si="18"/>
        <v/>
      </c>
    </row>
    <row r="321" spans="1:9">
      <c r="A321" s="10" t="str">
        <f t="shared" si="19"/>
        <v/>
      </c>
      <c r="B321" s="53"/>
      <c r="C321" s="28" t="str">
        <f t="shared" si="16"/>
        <v/>
      </c>
      <c r="D321" s="28" t="str">
        <f t="shared" si="17"/>
        <v/>
      </c>
      <c r="E321" s="77"/>
      <c r="F321" s="45"/>
      <c r="G321" s="56"/>
      <c r="H321" s="83"/>
      <c r="I321" s="35" t="str">
        <f t="shared" si="18"/>
        <v/>
      </c>
    </row>
    <row r="322" spans="1:9">
      <c r="A322" s="10" t="str">
        <f t="shared" si="19"/>
        <v/>
      </c>
      <c r="B322" s="53"/>
      <c r="C322" s="28" t="str">
        <f t="shared" si="16"/>
        <v/>
      </c>
      <c r="D322" s="28" t="str">
        <f t="shared" si="17"/>
        <v/>
      </c>
      <c r="E322" s="77"/>
      <c r="F322" s="45"/>
      <c r="G322" s="56"/>
      <c r="H322" s="83"/>
      <c r="I322" s="35" t="str">
        <f t="shared" si="18"/>
        <v/>
      </c>
    </row>
    <row r="323" spans="1:9">
      <c r="A323" s="10" t="str">
        <f t="shared" si="19"/>
        <v/>
      </c>
      <c r="B323" s="53"/>
      <c r="C323" s="28" t="str">
        <f t="shared" ref="C323:C386" si="20">IF(B323=0,"",TEXT(B323,"mmmm"))</f>
        <v/>
      </c>
      <c r="D323" s="28" t="str">
        <f t="shared" ref="D323:D386" si="21">IF(B323=0,"",TEXT(B323,"yyyy"))</f>
        <v/>
      </c>
      <c r="E323" s="77"/>
      <c r="F323" s="45"/>
      <c r="G323" s="56"/>
      <c r="H323" s="83"/>
      <c r="I323" s="35" t="str">
        <f t="shared" ref="I323:I386" si="22">IF(G323*H323=0,"",G323*H323)</f>
        <v/>
      </c>
    </row>
    <row r="324" spans="1:9">
      <c r="A324" s="10" t="str">
        <f t="shared" ref="A324:A387" si="23">IF(E324&gt;0,A323+1,"")</f>
        <v/>
      </c>
      <c r="B324" s="53"/>
      <c r="C324" s="28" t="str">
        <f t="shared" si="20"/>
        <v/>
      </c>
      <c r="D324" s="28" t="str">
        <f t="shared" si="21"/>
        <v/>
      </c>
      <c r="E324" s="77"/>
      <c r="F324" s="45"/>
      <c r="G324" s="56"/>
      <c r="H324" s="83"/>
      <c r="I324" s="35" t="str">
        <f t="shared" si="22"/>
        <v/>
      </c>
    </row>
    <row r="325" spans="1:9">
      <c r="A325" s="10" t="str">
        <f t="shared" si="23"/>
        <v/>
      </c>
      <c r="B325" s="53"/>
      <c r="C325" s="28" t="str">
        <f t="shared" si="20"/>
        <v/>
      </c>
      <c r="D325" s="28" t="str">
        <f t="shared" si="21"/>
        <v/>
      </c>
      <c r="E325" s="77"/>
      <c r="F325" s="45"/>
      <c r="G325" s="56"/>
      <c r="H325" s="83"/>
      <c r="I325" s="35" t="str">
        <f t="shared" si="22"/>
        <v/>
      </c>
    </row>
    <row r="326" spans="1:9">
      <c r="A326" s="10" t="str">
        <f t="shared" si="23"/>
        <v/>
      </c>
      <c r="B326" s="53"/>
      <c r="C326" s="28" t="str">
        <f t="shared" si="20"/>
        <v/>
      </c>
      <c r="D326" s="28" t="str">
        <f t="shared" si="21"/>
        <v/>
      </c>
      <c r="E326" s="77"/>
      <c r="F326" s="45"/>
      <c r="G326" s="56"/>
      <c r="H326" s="83"/>
      <c r="I326" s="35" t="str">
        <f t="shared" si="22"/>
        <v/>
      </c>
    </row>
    <row r="327" spans="1:9">
      <c r="A327" s="10" t="str">
        <f t="shared" si="23"/>
        <v/>
      </c>
      <c r="B327" s="53"/>
      <c r="C327" s="28" t="str">
        <f t="shared" si="20"/>
        <v/>
      </c>
      <c r="D327" s="28" t="str">
        <f t="shared" si="21"/>
        <v/>
      </c>
      <c r="E327" s="77"/>
      <c r="F327" s="45"/>
      <c r="G327" s="56"/>
      <c r="H327" s="83"/>
      <c r="I327" s="35" t="str">
        <f t="shared" si="22"/>
        <v/>
      </c>
    </row>
    <row r="328" spans="1:9">
      <c r="A328" s="10" t="str">
        <f t="shared" si="23"/>
        <v/>
      </c>
      <c r="B328" s="53"/>
      <c r="C328" s="28" t="str">
        <f t="shared" si="20"/>
        <v/>
      </c>
      <c r="D328" s="28" t="str">
        <f t="shared" si="21"/>
        <v/>
      </c>
      <c r="E328" s="77"/>
      <c r="F328" s="45"/>
      <c r="G328" s="56"/>
      <c r="H328" s="83"/>
      <c r="I328" s="35" t="str">
        <f t="shared" si="22"/>
        <v/>
      </c>
    </row>
    <row r="329" spans="1:9">
      <c r="A329" s="10" t="str">
        <f t="shared" si="23"/>
        <v/>
      </c>
      <c r="B329" s="53"/>
      <c r="C329" s="28" t="str">
        <f t="shared" si="20"/>
        <v/>
      </c>
      <c r="D329" s="28" t="str">
        <f t="shared" si="21"/>
        <v/>
      </c>
      <c r="E329" s="77"/>
      <c r="F329" s="45"/>
      <c r="G329" s="56"/>
      <c r="H329" s="83"/>
      <c r="I329" s="35" t="str">
        <f t="shared" si="22"/>
        <v/>
      </c>
    </row>
    <row r="330" spans="1:9">
      <c r="A330" s="10" t="str">
        <f t="shared" si="23"/>
        <v/>
      </c>
      <c r="B330" s="53"/>
      <c r="C330" s="28" t="str">
        <f t="shared" si="20"/>
        <v/>
      </c>
      <c r="D330" s="28" t="str">
        <f t="shared" si="21"/>
        <v/>
      </c>
      <c r="E330" s="77"/>
      <c r="F330" s="45"/>
      <c r="G330" s="56"/>
      <c r="H330" s="83"/>
      <c r="I330" s="35" t="str">
        <f t="shared" si="22"/>
        <v/>
      </c>
    </row>
    <row r="331" spans="1:9">
      <c r="A331" s="10" t="str">
        <f t="shared" si="23"/>
        <v/>
      </c>
      <c r="B331" s="53"/>
      <c r="C331" s="28" t="str">
        <f t="shared" si="20"/>
        <v/>
      </c>
      <c r="D331" s="28" t="str">
        <f t="shared" si="21"/>
        <v/>
      </c>
      <c r="E331" s="77"/>
      <c r="F331" s="45"/>
      <c r="G331" s="56"/>
      <c r="H331" s="83"/>
      <c r="I331" s="35" t="str">
        <f t="shared" si="22"/>
        <v/>
      </c>
    </row>
    <row r="332" spans="1:9">
      <c r="A332" s="10" t="str">
        <f t="shared" si="23"/>
        <v/>
      </c>
      <c r="B332" s="53"/>
      <c r="C332" s="28" t="str">
        <f t="shared" si="20"/>
        <v/>
      </c>
      <c r="D332" s="28" t="str">
        <f t="shared" si="21"/>
        <v/>
      </c>
      <c r="E332" s="77"/>
      <c r="F332" s="45"/>
      <c r="G332" s="56"/>
      <c r="H332" s="83"/>
      <c r="I332" s="35" t="str">
        <f t="shared" si="22"/>
        <v/>
      </c>
    </row>
    <row r="333" spans="1:9">
      <c r="A333" s="10" t="str">
        <f t="shared" si="23"/>
        <v/>
      </c>
      <c r="B333" s="53"/>
      <c r="C333" s="28" t="str">
        <f t="shared" si="20"/>
        <v/>
      </c>
      <c r="D333" s="28" t="str">
        <f t="shared" si="21"/>
        <v/>
      </c>
      <c r="E333" s="77"/>
      <c r="F333" s="45"/>
      <c r="G333" s="56"/>
      <c r="H333" s="83"/>
      <c r="I333" s="35" t="str">
        <f t="shared" si="22"/>
        <v/>
      </c>
    </row>
    <row r="334" spans="1:9">
      <c r="A334" s="10" t="str">
        <f t="shared" si="23"/>
        <v/>
      </c>
      <c r="B334" s="53"/>
      <c r="C334" s="28" t="str">
        <f t="shared" si="20"/>
        <v/>
      </c>
      <c r="D334" s="28" t="str">
        <f t="shared" si="21"/>
        <v/>
      </c>
      <c r="E334" s="77"/>
      <c r="F334" s="45"/>
      <c r="G334" s="56"/>
      <c r="H334" s="83"/>
      <c r="I334" s="35" t="str">
        <f t="shared" si="22"/>
        <v/>
      </c>
    </row>
    <row r="335" spans="1:9">
      <c r="A335" s="10" t="str">
        <f t="shared" si="23"/>
        <v/>
      </c>
      <c r="B335" s="53"/>
      <c r="C335" s="28" t="str">
        <f t="shared" si="20"/>
        <v/>
      </c>
      <c r="D335" s="28" t="str">
        <f t="shared" si="21"/>
        <v/>
      </c>
      <c r="E335" s="77"/>
      <c r="F335" s="45"/>
      <c r="G335" s="56"/>
      <c r="H335" s="83"/>
      <c r="I335" s="35" t="str">
        <f t="shared" si="22"/>
        <v/>
      </c>
    </row>
    <row r="336" spans="1:9">
      <c r="A336" s="10" t="str">
        <f t="shared" si="23"/>
        <v/>
      </c>
      <c r="B336" s="53"/>
      <c r="C336" s="28" t="str">
        <f t="shared" si="20"/>
        <v/>
      </c>
      <c r="D336" s="28" t="str">
        <f t="shared" si="21"/>
        <v/>
      </c>
      <c r="E336" s="77"/>
      <c r="F336" s="45"/>
      <c r="G336" s="56"/>
      <c r="H336" s="83"/>
      <c r="I336" s="35" t="str">
        <f t="shared" si="22"/>
        <v/>
      </c>
    </row>
    <row r="337" spans="1:9">
      <c r="A337" s="10" t="str">
        <f t="shared" si="23"/>
        <v/>
      </c>
      <c r="B337" s="53"/>
      <c r="C337" s="28" t="str">
        <f t="shared" si="20"/>
        <v/>
      </c>
      <c r="D337" s="28" t="str">
        <f t="shared" si="21"/>
        <v/>
      </c>
      <c r="E337" s="77"/>
      <c r="F337" s="45"/>
      <c r="G337" s="56"/>
      <c r="H337" s="83"/>
      <c r="I337" s="35" t="str">
        <f t="shared" si="22"/>
        <v/>
      </c>
    </row>
    <row r="338" spans="1:9">
      <c r="A338" s="10" t="str">
        <f t="shared" si="23"/>
        <v/>
      </c>
      <c r="B338" s="53"/>
      <c r="C338" s="28" t="str">
        <f t="shared" si="20"/>
        <v/>
      </c>
      <c r="D338" s="28" t="str">
        <f t="shared" si="21"/>
        <v/>
      </c>
      <c r="E338" s="77"/>
      <c r="F338" s="45"/>
      <c r="G338" s="56"/>
      <c r="H338" s="83"/>
      <c r="I338" s="35" t="str">
        <f t="shared" si="22"/>
        <v/>
      </c>
    </row>
    <row r="339" spans="1:9">
      <c r="A339" s="10" t="str">
        <f t="shared" si="23"/>
        <v/>
      </c>
      <c r="B339" s="53"/>
      <c r="C339" s="28" t="str">
        <f t="shared" si="20"/>
        <v/>
      </c>
      <c r="D339" s="28" t="str">
        <f t="shared" si="21"/>
        <v/>
      </c>
      <c r="E339" s="77"/>
      <c r="F339" s="45"/>
      <c r="G339" s="56"/>
      <c r="H339" s="83"/>
      <c r="I339" s="35" t="str">
        <f t="shared" si="22"/>
        <v/>
      </c>
    </row>
    <row r="340" spans="1:9">
      <c r="A340" s="10" t="str">
        <f t="shared" si="23"/>
        <v/>
      </c>
      <c r="B340" s="53"/>
      <c r="C340" s="28" t="str">
        <f t="shared" si="20"/>
        <v/>
      </c>
      <c r="D340" s="28" t="str">
        <f t="shared" si="21"/>
        <v/>
      </c>
      <c r="E340" s="77"/>
      <c r="F340" s="45"/>
      <c r="G340" s="56"/>
      <c r="H340" s="83"/>
      <c r="I340" s="35" t="str">
        <f t="shared" si="22"/>
        <v/>
      </c>
    </row>
    <row r="341" spans="1:9">
      <c r="A341" s="10" t="str">
        <f t="shared" si="23"/>
        <v/>
      </c>
      <c r="B341" s="53"/>
      <c r="C341" s="28" t="str">
        <f t="shared" si="20"/>
        <v/>
      </c>
      <c r="D341" s="28" t="str">
        <f t="shared" si="21"/>
        <v/>
      </c>
      <c r="E341" s="77"/>
      <c r="F341" s="45"/>
      <c r="G341" s="56"/>
      <c r="H341" s="83"/>
      <c r="I341" s="35" t="str">
        <f t="shared" si="22"/>
        <v/>
      </c>
    </row>
    <row r="342" spans="1:9">
      <c r="A342" s="10" t="str">
        <f t="shared" si="23"/>
        <v/>
      </c>
      <c r="B342" s="53"/>
      <c r="C342" s="28" t="str">
        <f t="shared" si="20"/>
        <v/>
      </c>
      <c r="D342" s="28" t="str">
        <f t="shared" si="21"/>
        <v/>
      </c>
      <c r="E342" s="77"/>
      <c r="F342" s="45"/>
      <c r="G342" s="56"/>
      <c r="H342" s="83"/>
      <c r="I342" s="35" t="str">
        <f t="shared" si="22"/>
        <v/>
      </c>
    </row>
    <row r="343" spans="1:9">
      <c r="A343" s="10" t="str">
        <f t="shared" si="23"/>
        <v/>
      </c>
      <c r="B343" s="53"/>
      <c r="C343" s="28" t="str">
        <f t="shared" si="20"/>
        <v/>
      </c>
      <c r="D343" s="28" t="str">
        <f t="shared" si="21"/>
        <v/>
      </c>
      <c r="E343" s="77"/>
      <c r="F343" s="45"/>
      <c r="G343" s="56"/>
      <c r="H343" s="83"/>
      <c r="I343" s="35" t="str">
        <f t="shared" si="22"/>
        <v/>
      </c>
    </row>
    <row r="344" spans="1:9">
      <c r="A344" s="10" t="str">
        <f t="shared" si="23"/>
        <v/>
      </c>
      <c r="B344" s="53"/>
      <c r="C344" s="28" t="str">
        <f t="shared" si="20"/>
        <v/>
      </c>
      <c r="D344" s="28" t="str">
        <f t="shared" si="21"/>
        <v/>
      </c>
      <c r="E344" s="77"/>
      <c r="F344" s="45"/>
      <c r="G344" s="56"/>
      <c r="H344" s="83"/>
      <c r="I344" s="35" t="str">
        <f t="shared" si="22"/>
        <v/>
      </c>
    </row>
    <row r="345" spans="1:9">
      <c r="A345" s="10" t="str">
        <f t="shared" si="23"/>
        <v/>
      </c>
      <c r="B345" s="53"/>
      <c r="C345" s="28" t="str">
        <f t="shared" si="20"/>
        <v/>
      </c>
      <c r="D345" s="28" t="str">
        <f t="shared" si="21"/>
        <v/>
      </c>
      <c r="E345" s="77"/>
      <c r="F345" s="45"/>
      <c r="G345" s="56"/>
      <c r="H345" s="83"/>
      <c r="I345" s="35" t="str">
        <f t="shared" si="22"/>
        <v/>
      </c>
    </row>
    <row r="346" spans="1:9">
      <c r="A346" s="10" t="str">
        <f t="shared" si="23"/>
        <v/>
      </c>
      <c r="B346" s="53"/>
      <c r="C346" s="28" t="str">
        <f t="shared" si="20"/>
        <v/>
      </c>
      <c r="D346" s="28" t="str">
        <f t="shared" si="21"/>
        <v/>
      </c>
      <c r="E346" s="77"/>
      <c r="F346" s="45"/>
      <c r="G346" s="56"/>
      <c r="H346" s="83"/>
      <c r="I346" s="35" t="str">
        <f t="shared" si="22"/>
        <v/>
      </c>
    </row>
    <row r="347" spans="1:9">
      <c r="A347" s="10" t="str">
        <f t="shared" si="23"/>
        <v/>
      </c>
      <c r="B347" s="53"/>
      <c r="C347" s="28" t="str">
        <f t="shared" si="20"/>
        <v/>
      </c>
      <c r="D347" s="28" t="str">
        <f t="shared" si="21"/>
        <v/>
      </c>
      <c r="E347" s="77"/>
      <c r="F347" s="45"/>
      <c r="G347" s="56"/>
      <c r="H347" s="83"/>
      <c r="I347" s="35" t="str">
        <f t="shared" si="22"/>
        <v/>
      </c>
    </row>
    <row r="348" spans="1:9">
      <c r="A348" s="10" t="str">
        <f t="shared" si="23"/>
        <v/>
      </c>
      <c r="B348" s="53"/>
      <c r="C348" s="28" t="str">
        <f t="shared" si="20"/>
        <v/>
      </c>
      <c r="D348" s="28" t="str">
        <f t="shared" si="21"/>
        <v/>
      </c>
      <c r="E348" s="77"/>
      <c r="F348" s="45"/>
      <c r="G348" s="56"/>
      <c r="H348" s="83"/>
      <c r="I348" s="35" t="str">
        <f t="shared" si="22"/>
        <v/>
      </c>
    </row>
    <row r="349" spans="1:9">
      <c r="A349" s="10" t="str">
        <f t="shared" si="23"/>
        <v/>
      </c>
      <c r="B349" s="53"/>
      <c r="C349" s="28" t="str">
        <f t="shared" si="20"/>
        <v/>
      </c>
      <c r="D349" s="28" t="str">
        <f t="shared" si="21"/>
        <v/>
      </c>
      <c r="E349" s="77"/>
      <c r="F349" s="45"/>
      <c r="G349" s="56"/>
      <c r="H349" s="83"/>
      <c r="I349" s="35" t="str">
        <f t="shared" si="22"/>
        <v/>
      </c>
    </row>
    <row r="350" spans="1:9">
      <c r="A350" s="10" t="str">
        <f t="shared" si="23"/>
        <v/>
      </c>
      <c r="B350" s="53"/>
      <c r="C350" s="28" t="str">
        <f t="shared" si="20"/>
        <v/>
      </c>
      <c r="D350" s="28" t="str">
        <f t="shared" si="21"/>
        <v/>
      </c>
      <c r="E350" s="77"/>
      <c r="F350" s="45"/>
      <c r="G350" s="56"/>
      <c r="H350" s="83"/>
      <c r="I350" s="35" t="str">
        <f t="shared" si="22"/>
        <v/>
      </c>
    </row>
    <row r="351" spans="1:9">
      <c r="A351" s="10" t="str">
        <f t="shared" si="23"/>
        <v/>
      </c>
      <c r="B351" s="53"/>
      <c r="C351" s="28" t="str">
        <f t="shared" si="20"/>
        <v/>
      </c>
      <c r="D351" s="28" t="str">
        <f t="shared" si="21"/>
        <v/>
      </c>
      <c r="E351" s="77"/>
      <c r="F351" s="45"/>
      <c r="G351" s="56"/>
      <c r="H351" s="83"/>
      <c r="I351" s="35" t="str">
        <f t="shared" si="22"/>
        <v/>
      </c>
    </row>
    <row r="352" spans="1:9">
      <c r="A352" s="10" t="str">
        <f t="shared" si="23"/>
        <v/>
      </c>
      <c r="B352" s="53"/>
      <c r="C352" s="28" t="str">
        <f t="shared" si="20"/>
        <v/>
      </c>
      <c r="D352" s="28" t="str">
        <f t="shared" si="21"/>
        <v/>
      </c>
      <c r="E352" s="77"/>
      <c r="F352" s="45"/>
      <c r="G352" s="56"/>
      <c r="H352" s="83"/>
      <c r="I352" s="35" t="str">
        <f t="shared" si="22"/>
        <v/>
      </c>
    </row>
    <row r="353" spans="1:9">
      <c r="A353" s="10" t="str">
        <f t="shared" si="23"/>
        <v/>
      </c>
      <c r="B353" s="53"/>
      <c r="C353" s="28" t="str">
        <f t="shared" si="20"/>
        <v/>
      </c>
      <c r="D353" s="28" t="str">
        <f t="shared" si="21"/>
        <v/>
      </c>
      <c r="E353" s="77"/>
      <c r="F353" s="45"/>
      <c r="G353" s="56"/>
      <c r="H353" s="83"/>
      <c r="I353" s="35" t="str">
        <f t="shared" si="22"/>
        <v/>
      </c>
    </row>
    <row r="354" spans="1:9">
      <c r="A354" s="10" t="str">
        <f t="shared" si="23"/>
        <v/>
      </c>
      <c r="B354" s="53"/>
      <c r="C354" s="28" t="str">
        <f t="shared" si="20"/>
        <v/>
      </c>
      <c r="D354" s="28" t="str">
        <f t="shared" si="21"/>
        <v/>
      </c>
      <c r="E354" s="77"/>
      <c r="F354" s="45"/>
      <c r="G354" s="56"/>
      <c r="H354" s="83"/>
      <c r="I354" s="35" t="str">
        <f t="shared" si="22"/>
        <v/>
      </c>
    </row>
    <row r="355" spans="1:9">
      <c r="A355" s="10" t="str">
        <f t="shared" si="23"/>
        <v/>
      </c>
      <c r="B355" s="53"/>
      <c r="C355" s="28" t="str">
        <f t="shared" si="20"/>
        <v/>
      </c>
      <c r="D355" s="28" t="str">
        <f t="shared" si="21"/>
        <v/>
      </c>
      <c r="E355" s="77"/>
      <c r="F355" s="45"/>
      <c r="G355" s="56"/>
      <c r="H355" s="83"/>
      <c r="I355" s="35" t="str">
        <f t="shared" si="22"/>
        <v/>
      </c>
    </row>
    <row r="356" spans="1:9">
      <c r="A356" s="10" t="str">
        <f t="shared" si="23"/>
        <v/>
      </c>
      <c r="B356" s="53"/>
      <c r="C356" s="28" t="str">
        <f t="shared" si="20"/>
        <v/>
      </c>
      <c r="D356" s="28" t="str">
        <f t="shared" si="21"/>
        <v/>
      </c>
      <c r="E356" s="77"/>
      <c r="F356" s="45"/>
      <c r="G356" s="56"/>
      <c r="H356" s="83"/>
      <c r="I356" s="35" t="str">
        <f t="shared" si="22"/>
        <v/>
      </c>
    </row>
    <row r="357" spans="1:9">
      <c r="A357" s="10" t="str">
        <f t="shared" si="23"/>
        <v/>
      </c>
      <c r="B357" s="53"/>
      <c r="C357" s="28" t="str">
        <f t="shared" si="20"/>
        <v/>
      </c>
      <c r="D357" s="28" t="str">
        <f t="shared" si="21"/>
        <v/>
      </c>
      <c r="E357" s="77"/>
      <c r="F357" s="45"/>
      <c r="G357" s="56"/>
      <c r="H357" s="83"/>
      <c r="I357" s="35" t="str">
        <f t="shared" si="22"/>
        <v/>
      </c>
    </row>
    <row r="358" spans="1:9">
      <c r="A358" s="10" t="str">
        <f t="shared" si="23"/>
        <v/>
      </c>
      <c r="B358" s="53"/>
      <c r="C358" s="28" t="str">
        <f t="shared" si="20"/>
        <v/>
      </c>
      <c r="D358" s="28" t="str">
        <f t="shared" si="21"/>
        <v/>
      </c>
      <c r="E358" s="77"/>
      <c r="F358" s="45"/>
      <c r="G358" s="56"/>
      <c r="H358" s="83"/>
      <c r="I358" s="35" t="str">
        <f t="shared" si="22"/>
        <v/>
      </c>
    </row>
    <row r="359" spans="1:9">
      <c r="A359" s="10" t="str">
        <f t="shared" si="23"/>
        <v/>
      </c>
      <c r="B359" s="53"/>
      <c r="C359" s="28" t="str">
        <f t="shared" si="20"/>
        <v/>
      </c>
      <c r="D359" s="28" t="str">
        <f t="shared" si="21"/>
        <v/>
      </c>
      <c r="E359" s="77"/>
      <c r="F359" s="45"/>
      <c r="G359" s="56"/>
      <c r="H359" s="83"/>
      <c r="I359" s="35" t="str">
        <f t="shared" si="22"/>
        <v/>
      </c>
    </row>
    <row r="360" spans="1:9">
      <c r="A360" s="10" t="str">
        <f t="shared" si="23"/>
        <v/>
      </c>
      <c r="B360" s="53"/>
      <c r="C360" s="28" t="str">
        <f t="shared" si="20"/>
        <v/>
      </c>
      <c r="D360" s="28" t="str">
        <f t="shared" si="21"/>
        <v/>
      </c>
      <c r="E360" s="77"/>
      <c r="F360" s="45"/>
      <c r="G360" s="56"/>
      <c r="H360" s="83"/>
      <c r="I360" s="35" t="str">
        <f t="shared" si="22"/>
        <v/>
      </c>
    </row>
    <row r="361" spans="1:9">
      <c r="A361" s="10" t="str">
        <f t="shared" si="23"/>
        <v/>
      </c>
      <c r="B361" s="53"/>
      <c r="C361" s="28" t="str">
        <f t="shared" si="20"/>
        <v/>
      </c>
      <c r="D361" s="28" t="str">
        <f t="shared" si="21"/>
        <v/>
      </c>
      <c r="E361" s="77"/>
      <c r="F361" s="45"/>
      <c r="G361" s="56"/>
      <c r="H361" s="83"/>
      <c r="I361" s="35" t="str">
        <f t="shared" si="22"/>
        <v/>
      </c>
    </row>
    <row r="362" spans="1:9">
      <c r="A362" s="10" t="str">
        <f t="shared" si="23"/>
        <v/>
      </c>
      <c r="B362" s="53"/>
      <c r="C362" s="28" t="str">
        <f t="shared" si="20"/>
        <v/>
      </c>
      <c r="D362" s="28" t="str">
        <f t="shared" si="21"/>
        <v/>
      </c>
      <c r="E362" s="77"/>
      <c r="F362" s="45"/>
      <c r="G362" s="56"/>
      <c r="H362" s="83"/>
      <c r="I362" s="35" t="str">
        <f t="shared" si="22"/>
        <v/>
      </c>
    </row>
    <row r="363" spans="1:9">
      <c r="A363" s="10" t="str">
        <f t="shared" si="23"/>
        <v/>
      </c>
      <c r="B363" s="53"/>
      <c r="C363" s="28" t="str">
        <f t="shared" si="20"/>
        <v/>
      </c>
      <c r="D363" s="28" t="str">
        <f t="shared" si="21"/>
        <v/>
      </c>
      <c r="E363" s="77"/>
      <c r="F363" s="45"/>
      <c r="G363" s="56"/>
      <c r="H363" s="83"/>
      <c r="I363" s="35" t="str">
        <f t="shared" si="22"/>
        <v/>
      </c>
    </row>
    <row r="364" spans="1:9">
      <c r="A364" s="10" t="str">
        <f t="shared" si="23"/>
        <v/>
      </c>
      <c r="B364" s="53"/>
      <c r="C364" s="28" t="str">
        <f t="shared" si="20"/>
        <v/>
      </c>
      <c r="D364" s="28" t="str">
        <f t="shared" si="21"/>
        <v/>
      </c>
      <c r="E364" s="77"/>
      <c r="F364" s="45"/>
      <c r="G364" s="56"/>
      <c r="H364" s="83"/>
      <c r="I364" s="35" t="str">
        <f t="shared" si="22"/>
        <v/>
      </c>
    </row>
    <row r="365" spans="1:9">
      <c r="A365" s="10" t="str">
        <f t="shared" si="23"/>
        <v/>
      </c>
      <c r="B365" s="53"/>
      <c r="C365" s="28" t="str">
        <f t="shared" si="20"/>
        <v/>
      </c>
      <c r="D365" s="28" t="str">
        <f t="shared" si="21"/>
        <v/>
      </c>
      <c r="E365" s="77"/>
      <c r="F365" s="45"/>
      <c r="G365" s="56"/>
      <c r="H365" s="83"/>
      <c r="I365" s="35" t="str">
        <f t="shared" si="22"/>
        <v/>
      </c>
    </row>
    <row r="366" spans="1:9">
      <c r="A366" s="10" t="str">
        <f t="shared" si="23"/>
        <v/>
      </c>
      <c r="B366" s="53"/>
      <c r="C366" s="28" t="str">
        <f t="shared" si="20"/>
        <v/>
      </c>
      <c r="D366" s="28" t="str">
        <f t="shared" si="21"/>
        <v/>
      </c>
      <c r="E366" s="77"/>
      <c r="F366" s="45"/>
      <c r="G366" s="56"/>
      <c r="H366" s="83"/>
      <c r="I366" s="35" t="str">
        <f t="shared" si="22"/>
        <v/>
      </c>
    </row>
    <row r="367" spans="1:9">
      <c r="A367" s="10" t="str">
        <f t="shared" si="23"/>
        <v/>
      </c>
      <c r="B367" s="53"/>
      <c r="C367" s="28" t="str">
        <f t="shared" si="20"/>
        <v/>
      </c>
      <c r="D367" s="28" t="str">
        <f t="shared" si="21"/>
        <v/>
      </c>
      <c r="E367" s="77"/>
      <c r="F367" s="45"/>
      <c r="G367" s="56"/>
      <c r="H367" s="83"/>
      <c r="I367" s="35" t="str">
        <f t="shared" si="22"/>
        <v/>
      </c>
    </row>
    <row r="368" spans="1:9">
      <c r="A368" s="10" t="str">
        <f t="shared" si="23"/>
        <v/>
      </c>
      <c r="B368" s="53"/>
      <c r="C368" s="28" t="str">
        <f t="shared" si="20"/>
        <v/>
      </c>
      <c r="D368" s="28" t="str">
        <f t="shared" si="21"/>
        <v/>
      </c>
      <c r="E368" s="77"/>
      <c r="F368" s="45"/>
      <c r="G368" s="56"/>
      <c r="H368" s="83"/>
      <c r="I368" s="35" t="str">
        <f t="shared" si="22"/>
        <v/>
      </c>
    </row>
    <row r="369" spans="1:9">
      <c r="A369" s="10" t="str">
        <f t="shared" si="23"/>
        <v/>
      </c>
      <c r="B369" s="53"/>
      <c r="C369" s="28" t="str">
        <f t="shared" si="20"/>
        <v/>
      </c>
      <c r="D369" s="28" t="str">
        <f t="shared" si="21"/>
        <v/>
      </c>
      <c r="E369" s="77"/>
      <c r="F369" s="45"/>
      <c r="G369" s="56"/>
      <c r="H369" s="83"/>
      <c r="I369" s="35" t="str">
        <f t="shared" si="22"/>
        <v/>
      </c>
    </row>
    <row r="370" spans="1:9">
      <c r="A370" s="10" t="str">
        <f t="shared" si="23"/>
        <v/>
      </c>
      <c r="B370" s="53"/>
      <c r="C370" s="28" t="str">
        <f t="shared" si="20"/>
        <v/>
      </c>
      <c r="D370" s="28" t="str">
        <f t="shared" si="21"/>
        <v/>
      </c>
      <c r="E370" s="77"/>
      <c r="F370" s="45"/>
      <c r="G370" s="56"/>
      <c r="H370" s="83"/>
      <c r="I370" s="35" t="str">
        <f t="shared" si="22"/>
        <v/>
      </c>
    </row>
    <row r="371" spans="1:9">
      <c r="A371" s="10" t="str">
        <f t="shared" si="23"/>
        <v/>
      </c>
      <c r="B371" s="53"/>
      <c r="C371" s="28" t="str">
        <f t="shared" si="20"/>
        <v/>
      </c>
      <c r="D371" s="28" t="str">
        <f t="shared" si="21"/>
        <v/>
      </c>
      <c r="E371" s="77"/>
      <c r="F371" s="45"/>
      <c r="G371" s="56"/>
      <c r="H371" s="83"/>
      <c r="I371" s="35" t="str">
        <f t="shared" si="22"/>
        <v/>
      </c>
    </row>
    <row r="372" spans="1:9">
      <c r="A372" s="10" t="str">
        <f t="shared" si="23"/>
        <v/>
      </c>
      <c r="B372" s="53"/>
      <c r="C372" s="28" t="str">
        <f t="shared" si="20"/>
        <v/>
      </c>
      <c r="D372" s="28" t="str">
        <f t="shared" si="21"/>
        <v/>
      </c>
      <c r="E372" s="77"/>
      <c r="F372" s="45"/>
      <c r="G372" s="56"/>
      <c r="H372" s="83"/>
      <c r="I372" s="35" t="str">
        <f t="shared" si="22"/>
        <v/>
      </c>
    </row>
    <row r="373" spans="1:9">
      <c r="A373" s="10" t="str">
        <f t="shared" si="23"/>
        <v/>
      </c>
      <c r="B373" s="53"/>
      <c r="C373" s="28" t="str">
        <f t="shared" si="20"/>
        <v/>
      </c>
      <c r="D373" s="28" t="str">
        <f t="shared" si="21"/>
        <v/>
      </c>
      <c r="E373" s="77"/>
      <c r="F373" s="45"/>
      <c r="G373" s="56"/>
      <c r="H373" s="83"/>
      <c r="I373" s="35" t="str">
        <f t="shared" si="22"/>
        <v/>
      </c>
    </row>
    <row r="374" spans="1:9">
      <c r="A374" s="10" t="str">
        <f t="shared" si="23"/>
        <v/>
      </c>
      <c r="B374" s="53"/>
      <c r="C374" s="28" t="str">
        <f t="shared" si="20"/>
        <v/>
      </c>
      <c r="D374" s="28" t="str">
        <f t="shared" si="21"/>
        <v/>
      </c>
      <c r="E374" s="77"/>
      <c r="F374" s="45"/>
      <c r="G374" s="56"/>
      <c r="H374" s="83"/>
      <c r="I374" s="35" t="str">
        <f t="shared" si="22"/>
        <v/>
      </c>
    </row>
    <row r="375" spans="1:9">
      <c r="A375" s="10" t="str">
        <f t="shared" si="23"/>
        <v/>
      </c>
      <c r="B375" s="53"/>
      <c r="C375" s="28" t="str">
        <f t="shared" si="20"/>
        <v/>
      </c>
      <c r="D375" s="28" t="str">
        <f t="shared" si="21"/>
        <v/>
      </c>
      <c r="E375" s="77"/>
      <c r="F375" s="45"/>
      <c r="G375" s="56"/>
      <c r="H375" s="83"/>
      <c r="I375" s="35" t="str">
        <f t="shared" si="22"/>
        <v/>
      </c>
    </row>
    <row r="376" spans="1:9">
      <c r="A376" s="10" t="str">
        <f t="shared" si="23"/>
        <v/>
      </c>
      <c r="B376" s="53"/>
      <c r="C376" s="28" t="str">
        <f t="shared" si="20"/>
        <v/>
      </c>
      <c r="D376" s="28" t="str">
        <f t="shared" si="21"/>
        <v/>
      </c>
      <c r="E376" s="77"/>
      <c r="F376" s="45"/>
      <c r="G376" s="56"/>
      <c r="H376" s="83"/>
      <c r="I376" s="35" t="str">
        <f t="shared" si="22"/>
        <v/>
      </c>
    </row>
    <row r="377" spans="1:9">
      <c r="A377" s="10" t="str">
        <f t="shared" si="23"/>
        <v/>
      </c>
      <c r="B377" s="53"/>
      <c r="C377" s="28" t="str">
        <f t="shared" si="20"/>
        <v/>
      </c>
      <c r="D377" s="28" t="str">
        <f t="shared" si="21"/>
        <v/>
      </c>
      <c r="E377" s="77"/>
      <c r="F377" s="45"/>
      <c r="G377" s="56"/>
      <c r="H377" s="83"/>
      <c r="I377" s="35" t="str">
        <f t="shared" si="22"/>
        <v/>
      </c>
    </row>
    <row r="378" spans="1:9">
      <c r="A378" s="10" t="str">
        <f t="shared" si="23"/>
        <v/>
      </c>
      <c r="B378" s="53"/>
      <c r="C378" s="28" t="str">
        <f t="shared" si="20"/>
        <v/>
      </c>
      <c r="D378" s="28" t="str">
        <f t="shared" si="21"/>
        <v/>
      </c>
      <c r="E378" s="77"/>
      <c r="F378" s="45"/>
      <c r="G378" s="56"/>
      <c r="H378" s="83"/>
      <c r="I378" s="35" t="str">
        <f t="shared" si="22"/>
        <v/>
      </c>
    </row>
    <row r="379" spans="1:9">
      <c r="A379" s="10" t="str">
        <f t="shared" si="23"/>
        <v/>
      </c>
      <c r="B379" s="53"/>
      <c r="C379" s="28" t="str">
        <f t="shared" si="20"/>
        <v/>
      </c>
      <c r="D379" s="28" t="str">
        <f t="shared" si="21"/>
        <v/>
      </c>
      <c r="E379" s="77"/>
      <c r="F379" s="45"/>
      <c r="G379" s="56"/>
      <c r="H379" s="83"/>
      <c r="I379" s="35" t="str">
        <f t="shared" si="22"/>
        <v/>
      </c>
    </row>
    <row r="380" spans="1:9">
      <c r="A380" s="10" t="str">
        <f t="shared" si="23"/>
        <v/>
      </c>
      <c r="B380" s="53"/>
      <c r="C380" s="28" t="str">
        <f t="shared" si="20"/>
        <v/>
      </c>
      <c r="D380" s="28" t="str">
        <f t="shared" si="21"/>
        <v/>
      </c>
      <c r="E380" s="77"/>
      <c r="F380" s="45"/>
      <c r="G380" s="56"/>
      <c r="H380" s="83"/>
      <c r="I380" s="35" t="str">
        <f t="shared" si="22"/>
        <v/>
      </c>
    </row>
    <row r="381" spans="1:9">
      <c r="A381" s="10" t="str">
        <f t="shared" si="23"/>
        <v/>
      </c>
      <c r="B381" s="53"/>
      <c r="C381" s="28" t="str">
        <f t="shared" si="20"/>
        <v/>
      </c>
      <c r="D381" s="28" t="str">
        <f t="shared" si="21"/>
        <v/>
      </c>
      <c r="E381" s="77"/>
      <c r="F381" s="45"/>
      <c r="G381" s="56"/>
      <c r="H381" s="83"/>
      <c r="I381" s="35" t="str">
        <f t="shared" si="22"/>
        <v/>
      </c>
    </row>
    <row r="382" spans="1:9">
      <c r="A382" s="10" t="str">
        <f t="shared" si="23"/>
        <v/>
      </c>
      <c r="B382" s="53"/>
      <c r="C382" s="28" t="str">
        <f t="shared" si="20"/>
        <v/>
      </c>
      <c r="D382" s="28" t="str">
        <f t="shared" si="21"/>
        <v/>
      </c>
      <c r="E382" s="77"/>
      <c r="F382" s="45"/>
      <c r="G382" s="56"/>
      <c r="H382" s="83"/>
      <c r="I382" s="35" t="str">
        <f t="shared" si="22"/>
        <v/>
      </c>
    </row>
    <row r="383" spans="1:9">
      <c r="A383" s="10" t="str">
        <f t="shared" si="23"/>
        <v/>
      </c>
      <c r="B383" s="53"/>
      <c r="C383" s="28" t="str">
        <f t="shared" si="20"/>
        <v/>
      </c>
      <c r="D383" s="28" t="str">
        <f t="shared" si="21"/>
        <v/>
      </c>
      <c r="E383" s="77"/>
      <c r="F383" s="45"/>
      <c r="G383" s="56"/>
      <c r="H383" s="83"/>
      <c r="I383" s="35" t="str">
        <f t="shared" si="22"/>
        <v/>
      </c>
    </row>
    <row r="384" spans="1:9">
      <c r="A384" s="10" t="str">
        <f t="shared" si="23"/>
        <v/>
      </c>
      <c r="B384" s="53"/>
      <c r="C384" s="28" t="str">
        <f t="shared" si="20"/>
        <v/>
      </c>
      <c r="D384" s="28" t="str">
        <f t="shared" si="21"/>
        <v/>
      </c>
      <c r="E384" s="77"/>
      <c r="F384" s="45"/>
      <c r="G384" s="56"/>
      <c r="H384" s="83"/>
      <c r="I384" s="35" t="str">
        <f t="shared" si="22"/>
        <v/>
      </c>
    </row>
    <row r="385" spans="1:9">
      <c r="A385" s="10" t="str">
        <f t="shared" si="23"/>
        <v/>
      </c>
      <c r="B385" s="53"/>
      <c r="C385" s="28" t="str">
        <f t="shared" si="20"/>
        <v/>
      </c>
      <c r="D385" s="28" t="str">
        <f t="shared" si="21"/>
        <v/>
      </c>
      <c r="E385" s="77"/>
      <c r="F385" s="45"/>
      <c r="G385" s="56"/>
      <c r="H385" s="83"/>
      <c r="I385" s="35" t="str">
        <f t="shared" si="22"/>
        <v/>
      </c>
    </row>
    <row r="386" spans="1:9">
      <c r="A386" s="10" t="str">
        <f t="shared" si="23"/>
        <v/>
      </c>
      <c r="B386" s="53"/>
      <c r="C386" s="28" t="str">
        <f t="shared" si="20"/>
        <v/>
      </c>
      <c r="D386" s="28" t="str">
        <f t="shared" si="21"/>
        <v/>
      </c>
      <c r="E386" s="77"/>
      <c r="F386" s="45"/>
      <c r="G386" s="56"/>
      <c r="H386" s="83"/>
      <c r="I386" s="35" t="str">
        <f t="shared" si="22"/>
        <v/>
      </c>
    </row>
    <row r="387" spans="1:9">
      <c r="A387" s="10" t="str">
        <f t="shared" si="23"/>
        <v/>
      </c>
      <c r="B387" s="53"/>
      <c r="C387" s="28" t="str">
        <f t="shared" ref="C387:C450" si="24">IF(B387=0,"",TEXT(B387,"mmmm"))</f>
        <v/>
      </c>
      <c r="D387" s="28" t="str">
        <f t="shared" ref="D387:D450" si="25">IF(B387=0,"",TEXT(B387,"yyyy"))</f>
        <v/>
      </c>
      <c r="E387" s="77"/>
      <c r="F387" s="45"/>
      <c r="G387" s="56"/>
      <c r="H387" s="83"/>
      <c r="I387" s="35" t="str">
        <f t="shared" ref="I387:I450" si="26">IF(G387*H387=0,"",G387*H387)</f>
        <v/>
      </c>
    </row>
    <row r="388" spans="1:9">
      <c r="A388" s="10" t="str">
        <f t="shared" ref="A388:A451" si="27">IF(E388&gt;0,A387+1,"")</f>
        <v/>
      </c>
      <c r="B388" s="53"/>
      <c r="C388" s="28" t="str">
        <f t="shared" si="24"/>
        <v/>
      </c>
      <c r="D388" s="28" t="str">
        <f t="shared" si="25"/>
        <v/>
      </c>
      <c r="E388" s="77"/>
      <c r="F388" s="45"/>
      <c r="G388" s="56"/>
      <c r="H388" s="83"/>
      <c r="I388" s="35" t="str">
        <f t="shared" si="26"/>
        <v/>
      </c>
    </row>
    <row r="389" spans="1:9">
      <c r="A389" s="10" t="str">
        <f t="shared" si="27"/>
        <v/>
      </c>
      <c r="B389" s="53"/>
      <c r="C389" s="28" t="str">
        <f t="shared" si="24"/>
        <v/>
      </c>
      <c r="D389" s="28" t="str">
        <f t="shared" si="25"/>
        <v/>
      </c>
      <c r="E389" s="77"/>
      <c r="F389" s="45"/>
      <c r="G389" s="56"/>
      <c r="H389" s="83"/>
      <c r="I389" s="35" t="str">
        <f t="shared" si="26"/>
        <v/>
      </c>
    </row>
    <row r="390" spans="1:9">
      <c r="A390" s="10" t="str">
        <f t="shared" si="27"/>
        <v/>
      </c>
      <c r="B390" s="53"/>
      <c r="C390" s="28" t="str">
        <f t="shared" si="24"/>
        <v/>
      </c>
      <c r="D390" s="28" t="str">
        <f t="shared" si="25"/>
        <v/>
      </c>
      <c r="E390" s="77"/>
      <c r="F390" s="45"/>
      <c r="G390" s="56"/>
      <c r="H390" s="83"/>
      <c r="I390" s="35" t="str">
        <f t="shared" si="26"/>
        <v/>
      </c>
    </row>
    <row r="391" spans="1:9">
      <c r="A391" s="10" t="str">
        <f t="shared" si="27"/>
        <v/>
      </c>
      <c r="B391" s="53"/>
      <c r="C391" s="28" t="str">
        <f t="shared" si="24"/>
        <v/>
      </c>
      <c r="D391" s="28" t="str">
        <f t="shared" si="25"/>
        <v/>
      </c>
      <c r="E391" s="77"/>
      <c r="F391" s="45"/>
      <c r="G391" s="56"/>
      <c r="H391" s="83"/>
      <c r="I391" s="35" t="str">
        <f t="shared" si="26"/>
        <v/>
      </c>
    </row>
    <row r="392" spans="1:9">
      <c r="A392" s="10" t="str">
        <f t="shared" si="27"/>
        <v/>
      </c>
      <c r="B392" s="53"/>
      <c r="C392" s="28" t="str">
        <f t="shared" si="24"/>
        <v/>
      </c>
      <c r="D392" s="28" t="str">
        <f t="shared" si="25"/>
        <v/>
      </c>
      <c r="E392" s="77"/>
      <c r="F392" s="45"/>
      <c r="G392" s="56"/>
      <c r="H392" s="83"/>
      <c r="I392" s="35" t="str">
        <f t="shared" si="26"/>
        <v/>
      </c>
    </row>
    <row r="393" spans="1:9">
      <c r="A393" s="10" t="str">
        <f t="shared" si="27"/>
        <v/>
      </c>
      <c r="B393" s="53"/>
      <c r="C393" s="28" t="str">
        <f t="shared" si="24"/>
        <v/>
      </c>
      <c r="D393" s="28" t="str">
        <f t="shared" si="25"/>
        <v/>
      </c>
      <c r="E393" s="77"/>
      <c r="F393" s="45"/>
      <c r="G393" s="56"/>
      <c r="H393" s="83"/>
      <c r="I393" s="35" t="str">
        <f t="shared" si="26"/>
        <v/>
      </c>
    </row>
    <row r="394" spans="1:9">
      <c r="A394" s="10" t="str">
        <f t="shared" si="27"/>
        <v/>
      </c>
      <c r="B394" s="53"/>
      <c r="C394" s="28" t="str">
        <f t="shared" si="24"/>
        <v/>
      </c>
      <c r="D394" s="28" t="str">
        <f t="shared" si="25"/>
        <v/>
      </c>
      <c r="E394" s="77"/>
      <c r="F394" s="45"/>
      <c r="G394" s="56"/>
      <c r="H394" s="83"/>
      <c r="I394" s="35" t="str">
        <f t="shared" si="26"/>
        <v/>
      </c>
    </row>
    <row r="395" spans="1:9">
      <c r="A395" s="10" t="str">
        <f t="shared" si="27"/>
        <v/>
      </c>
      <c r="B395" s="53"/>
      <c r="C395" s="28" t="str">
        <f t="shared" si="24"/>
        <v/>
      </c>
      <c r="D395" s="28" t="str">
        <f t="shared" si="25"/>
        <v/>
      </c>
      <c r="E395" s="77"/>
      <c r="F395" s="45"/>
      <c r="G395" s="56"/>
      <c r="H395" s="83"/>
      <c r="I395" s="35" t="str">
        <f t="shared" si="26"/>
        <v/>
      </c>
    </row>
    <row r="396" spans="1:9">
      <c r="A396" s="10" t="str">
        <f t="shared" si="27"/>
        <v/>
      </c>
      <c r="B396" s="53"/>
      <c r="C396" s="28" t="str">
        <f t="shared" si="24"/>
        <v/>
      </c>
      <c r="D396" s="28" t="str">
        <f t="shared" si="25"/>
        <v/>
      </c>
      <c r="E396" s="77"/>
      <c r="F396" s="45"/>
      <c r="G396" s="56"/>
      <c r="H396" s="83"/>
      <c r="I396" s="35" t="str">
        <f t="shared" si="26"/>
        <v/>
      </c>
    </row>
    <row r="397" spans="1:9">
      <c r="A397" s="10" t="str">
        <f t="shared" si="27"/>
        <v/>
      </c>
      <c r="B397" s="53"/>
      <c r="C397" s="28" t="str">
        <f t="shared" si="24"/>
        <v/>
      </c>
      <c r="D397" s="28" t="str">
        <f t="shared" si="25"/>
        <v/>
      </c>
      <c r="E397" s="77"/>
      <c r="F397" s="45"/>
      <c r="G397" s="56"/>
      <c r="H397" s="83"/>
      <c r="I397" s="35" t="str">
        <f t="shared" si="26"/>
        <v/>
      </c>
    </row>
    <row r="398" spans="1:9">
      <c r="A398" s="10" t="str">
        <f t="shared" si="27"/>
        <v/>
      </c>
      <c r="B398" s="53"/>
      <c r="C398" s="28" t="str">
        <f t="shared" si="24"/>
        <v/>
      </c>
      <c r="D398" s="28" t="str">
        <f t="shared" si="25"/>
        <v/>
      </c>
      <c r="E398" s="77"/>
      <c r="F398" s="45"/>
      <c r="G398" s="56"/>
      <c r="H398" s="83"/>
      <c r="I398" s="35" t="str">
        <f t="shared" si="26"/>
        <v/>
      </c>
    </row>
    <row r="399" spans="1:9">
      <c r="A399" s="10" t="str">
        <f t="shared" si="27"/>
        <v/>
      </c>
      <c r="B399" s="53"/>
      <c r="C399" s="28" t="str">
        <f t="shared" si="24"/>
        <v/>
      </c>
      <c r="D399" s="28" t="str">
        <f t="shared" si="25"/>
        <v/>
      </c>
      <c r="E399" s="77"/>
      <c r="F399" s="45"/>
      <c r="G399" s="56"/>
      <c r="H399" s="83"/>
      <c r="I399" s="35" t="str">
        <f t="shared" si="26"/>
        <v/>
      </c>
    </row>
    <row r="400" spans="1:9">
      <c r="A400" s="10" t="str">
        <f t="shared" si="27"/>
        <v/>
      </c>
      <c r="B400" s="53"/>
      <c r="C400" s="28" t="str">
        <f t="shared" si="24"/>
        <v/>
      </c>
      <c r="D400" s="28" t="str">
        <f t="shared" si="25"/>
        <v/>
      </c>
      <c r="E400" s="77"/>
      <c r="F400" s="45"/>
      <c r="G400" s="56"/>
      <c r="H400" s="83"/>
      <c r="I400" s="35" t="str">
        <f t="shared" si="26"/>
        <v/>
      </c>
    </row>
    <row r="401" spans="1:9">
      <c r="A401" s="10" t="str">
        <f t="shared" si="27"/>
        <v/>
      </c>
      <c r="B401" s="53"/>
      <c r="C401" s="28" t="str">
        <f t="shared" si="24"/>
        <v/>
      </c>
      <c r="D401" s="28" t="str">
        <f t="shared" si="25"/>
        <v/>
      </c>
      <c r="E401" s="77"/>
      <c r="F401" s="45"/>
      <c r="G401" s="56"/>
      <c r="H401" s="83"/>
      <c r="I401" s="35" t="str">
        <f t="shared" si="26"/>
        <v/>
      </c>
    </row>
    <row r="402" spans="1:9">
      <c r="A402" s="10" t="str">
        <f t="shared" si="27"/>
        <v/>
      </c>
      <c r="B402" s="53"/>
      <c r="C402" s="28" t="str">
        <f t="shared" si="24"/>
        <v/>
      </c>
      <c r="D402" s="28" t="str">
        <f t="shared" si="25"/>
        <v/>
      </c>
      <c r="E402" s="77"/>
      <c r="F402" s="45"/>
      <c r="G402" s="56"/>
      <c r="H402" s="83"/>
      <c r="I402" s="35" t="str">
        <f t="shared" si="26"/>
        <v/>
      </c>
    </row>
    <row r="403" spans="1:9">
      <c r="A403" s="10" t="str">
        <f t="shared" si="27"/>
        <v/>
      </c>
      <c r="B403" s="53"/>
      <c r="C403" s="28" t="str">
        <f t="shared" si="24"/>
        <v/>
      </c>
      <c r="D403" s="28" t="str">
        <f t="shared" si="25"/>
        <v/>
      </c>
      <c r="E403" s="77"/>
      <c r="F403" s="45"/>
      <c r="G403" s="56"/>
      <c r="H403" s="83"/>
      <c r="I403" s="35" t="str">
        <f t="shared" si="26"/>
        <v/>
      </c>
    </row>
    <row r="404" spans="1:9">
      <c r="A404" s="10" t="str">
        <f t="shared" si="27"/>
        <v/>
      </c>
      <c r="B404" s="53"/>
      <c r="C404" s="28" t="str">
        <f t="shared" si="24"/>
        <v/>
      </c>
      <c r="D404" s="28" t="str">
        <f t="shared" si="25"/>
        <v/>
      </c>
      <c r="E404" s="77"/>
      <c r="F404" s="45"/>
      <c r="G404" s="56"/>
      <c r="H404" s="83"/>
      <c r="I404" s="35" t="str">
        <f t="shared" si="26"/>
        <v/>
      </c>
    </row>
    <row r="405" spans="1:9">
      <c r="A405" s="10" t="str">
        <f t="shared" si="27"/>
        <v/>
      </c>
      <c r="B405" s="53"/>
      <c r="C405" s="28" t="str">
        <f t="shared" si="24"/>
        <v/>
      </c>
      <c r="D405" s="28" t="str">
        <f t="shared" si="25"/>
        <v/>
      </c>
      <c r="E405" s="77"/>
      <c r="F405" s="45"/>
      <c r="G405" s="56"/>
      <c r="H405" s="83"/>
      <c r="I405" s="35" t="str">
        <f t="shared" si="26"/>
        <v/>
      </c>
    </row>
    <row r="406" spans="1:9">
      <c r="A406" s="10" t="str">
        <f t="shared" si="27"/>
        <v/>
      </c>
      <c r="B406" s="53"/>
      <c r="C406" s="28" t="str">
        <f t="shared" si="24"/>
        <v/>
      </c>
      <c r="D406" s="28" t="str">
        <f t="shared" si="25"/>
        <v/>
      </c>
      <c r="E406" s="77"/>
      <c r="F406" s="45"/>
      <c r="G406" s="56"/>
      <c r="H406" s="83"/>
      <c r="I406" s="35" t="str">
        <f t="shared" si="26"/>
        <v/>
      </c>
    </row>
    <row r="407" spans="1:9">
      <c r="A407" s="10" t="str">
        <f t="shared" si="27"/>
        <v/>
      </c>
      <c r="B407" s="53"/>
      <c r="C407" s="28" t="str">
        <f t="shared" si="24"/>
        <v/>
      </c>
      <c r="D407" s="28" t="str">
        <f t="shared" si="25"/>
        <v/>
      </c>
      <c r="E407" s="77"/>
      <c r="F407" s="45"/>
      <c r="G407" s="56"/>
      <c r="H407" s="83"/>
      <c r="I407" s="35" t="str">
        <f t="shared" si="26"/>
        <v/>
      </c>
    </row>
    <row r="408" spans="1:9">
      <c r="A408" s="10" t="str">
        <f t="shared" si="27"/>
        <v/>
      </c>
      <c r="B408" s="53"/>
      <c r="C408" s="28" t="str">
        <f t="shared" si="24"/>
        <v/>
      </c>
      <c r="D408" s="28" t="str">
        <f t="shared" si="25"/>
        <v/>
      </c>
      <c r="E408" s="77"/>
      <c r="F408" s="45"/>
      <c r="G408" s="56"/>
      <c r="H408" s="83"/>
      <c r="I408" s="35" t="str">
        <f t="shared" si="26"/>
        <v/>
      </c>
    </row>
    <row r="409" spans="1:9">
      <c r="A409" s="10" t="str">
        <f t="shared" si="27"/>
        <v/>
      </c>
      <c r="B409" s="53"/>
      <c r="C409" s="28" t="str">
        <f t="shared" si="24"/>
        <v/>
      </c>
      <c r="D409" s="28" t="str">
        <f t="shared" si="25"/>
        <v/>
      </c>
      <c r="E409" s="77"/>
      <c r="F409" s="45"/>
      <c r="G409" s="56"/>
      <c r="H409" s="83"/>
      <c r="I409" s="35" t="str">
        <f t="shared" si="26"/>
        <v/>
      </c>
    </row>
    <row r="410" spans="1:9">
      <c r="A410" s="10" t="str">
        <f t="shared" si="27"/>
        <v/>
      </c>
      <c r="B410" s="53"/>
      <c r="C410" s="28" t="str">
        <f t="shared" si="24"/>
        <v/>
      </c>
      <c r="D410" s="28" t="str">
        <f t="shared" si="25"/>
        <v/>
      </c>
      <c r="E410" s="77"/>
      <c r="F410" s="45"/>
      <c r="G410" s="56"/>
      <c r="H410" s="83"/>
      <c r="I410" s="35" t="str">
        <f t="shared" si="26"/>
        <v/>
      </c>
    </row>
    <row r="411" spans="1:9">
      <c r="A411" s="10" t="str">
        <f t="shared" si="27"/>
        <v/>
      </c>
      <c r="B411" s="53"/>
      <c r="C411" s="28" t="str">
        <f t="shared" si="24"/>
        <v/>
      </c>
      <c r="D411" s="28" t="str">
        <f t="shared" si="25"/>
        <v/>
      </c>
      <c r="E411" s="77"/>
      <c r="F411" s="45"/>
      <c r="G411" s="56"/>
      <c r="H411" s="83"/>
      <c r="I411" s="35" t="str">
        <f t="shared" si="26"/>
        <v/>
      </c>
    </row>
    <row r="412" spans="1:9">
      <c r="A412" s="10" t="str">
        <f t="shared" si="27"/>
        <v/>
      </c>
      <c r="B412" s="53"/>
      <c r="C412" s="28" t="str">
        <f t="shared" si="24"/>
        <v/>
      </c>
      <c r="D412" s="28" t="str">
        <f t="shared" si="25"/>
        <v/>
      </c>
      <c r="E412" s="77"/>
      <c r="F412" s="45"/>
      <c r="G412" s="56"/>
      <c r="H412" s="83"/>
      <c r="I412" s="35" t="str">
        <f t="shared" si="26"/>
        <v/>
      </c>
    </row>
    <row r="413" spans="1:9">
      <c r="A413" s="10" t="str">
        <f t="shared" si="27"/>
        <v/>
      </c>
      <c r="B413" s="53"/>
      <c r="C413" s="28" t="str">
        <f t="shared" si="24"/>
        <v/>
      </c>
      <c r="D413" s="28" t="str">
        <f t="shared" si="25"/>
        <v/>
      </c>
      <c r="E413" s="77"/>
      <c r="F413" s="45"/>
      <c r="G413" s="56"/>
      <c r="H413" s="83"/>
      <c r="I413" s="35" t="str">
        <f t="shared" si="26"/>
        <v/>
      </c>
    </row>
    <row r="414" spans="1:9">
      <c r="A414" s="10" t="str">
        <f t="shared" si="27"/>
        <v/>
      </c>
      <c r="B414" s="53"/>
      <c r="C414" s="28" t="str">
        <f t="shared" si="24"/>
        <v/>
      </c>
      <c r="D414" s="28" t="str">
        <f t="shared" si="25"/>
        <v/>
      </c>
      <c r="E414" s="77"/>
      <c r="F414" s="45"/>
      <c r="G414" s="56"/>
      <c r="H414" s="83"/>
      <c r="I414" s="35" t="str">
        <f t="shared" si="26"/>
        <v/>
      </c>
    </row>
    <row r="415" spans="1:9">
      <c r="A415" s="10" t="str">
        <f t="shared" si="27"/>
        <v/>
      </c>
      <c r="B415" s="53"/>
      <c r="C415" s="28" t="str">
        <f t="shared" si="24"/>
        <v/>
      </c>
      <c r="D415" s="28" t="str">
        <f t="shared" si="25"/>
        <v/>
      </c>
      <c r="E415" s="77"/>
      <c r="F415" s="45"/>
      <c r="G415" s="56"/>
      <c r="H415" s="83"/>
      <c r="I415" s="35" t="str">
        <f t="shared" si="26"/>
        <v/>
      </c>
    </row>
    <row r="416" spans="1:9">
      <c r="A416" s="10" t="str">
        <f t="shared" si="27"/>
        <v/>
      </c>
      <c r="B416" s="53"/>
      <c r="C416" s="28" t="str">
        <f t="shared" si="24"/>
        <v/>
      </c>
      <c r="D416" s="28" t="str">
        <f t="shared" si="25"/>
        <v/>
      </c>
      <c r="E416" s="77"/>
      <c r="F416" s="45"/>
      <c r="G416" s="56"/>
      <c r="H416" s="83"/>
      <c r="I416" s="35" t="str">
        <f t="shared" si="26"/>
        <v/>
      </c>
    </row>
    <row r="417" spans="1:9">
      <c r="A417" s="10" t="str">
        <f t="shared" si="27"/>
        <v/>
      </c>
      <c r="B417" s="53"/>
      <c r="C417" s="28" t="str">
        <f t="shared" si="24"/>
        <v/>
      </c>
      <c r="D417" s="28" t="str">
        <f t="shared" si="25"/>
        <v/>
      </c>
      <c r="E417" s="77"/>
      <c r="F417" s="45"/>
      <c r="G417" s="56"/>
      <c r="H417" s="83"/>
      <c r="I417" s="35" t="str">
        <f t="shared" si="26"/>
        <v/>
      </c>
    </row>
    <row r="418" spans="1:9">
      <c r="A418" s="10" t="str">
        <f t="shared" si="27"/>
        <v/>
      </c>
      <c r="B418" s="53"/>
      <c r="C418" s="28" t="str">
        <f t="shared" si="24"/>
        <v/>
      </c>
      <c r="D418" s="28" t="str">
        <f t="shared" si="25"/>
        <v/>
      </c>
      <c r="E418" s="77"/>
      <c r="F418" s="45"/>
      <c r="G418" s="56"/>
      <c r="H418" s="83"/>
      <c r="I418" s="35" t="str">
        <f t="shared" si="26"/>
        <v/>
      </c>
    </row>
    <row r="419" spans="1:9">
      <c r="A419" s="10" t="str">
        <f t="shared" si="27"/>
        <v/>
      </c>
      <c r="B419" s="53"/>
      <c r="C419" s="28" t="str">
        <f t="shared" si="24"/>
        <v/>
      </c>
      <c r="D419" s="28" t="str">
        <f t="shared" si="25"/>
        <v/>
      </c>
      <c r="E419" s="77"/>
      <c r="F419" s="45"/>
      <c r="G419" s="56"/>
      <c r="H419" s="83"/>
      <c r="I419" s="35" t="str">
        <f t="shared" si="26"/>
        <v/>
      </c>
    </row>
    <row r="420" spans="1:9">
      <c r="A420" s="10" t="str">
        <f t="shared" si="27"/>
        <v/>
      </c>
      <c r="B420" s="53"/>
      <c r="C420" s="28" t="str">
        <f t="shared" si="24"/>
        <v/>
      </c>
      <c r="D420" s="28" t="str">
        <f t="shared" si="25"/>
        <v/>
      </c>
      <c r="E420" s="77"/>
      <c r="F420" s="45"/>
      <c r="G420" s="56"/>
      <c r="H420" s="83"/>
      <c r="I420" s="35" t="str">
        <f t="shared" si="26"/>
        <v/>
      </c>
    </row>
    <row r="421" spans="1:9">
      <c r="A421" s="10" t="str">
        <f t="shared" si="27"/>
        <v/>
      </c>
      <c r="B421" s="53"/>
      <c r="C421" s="28" t="str">
        <f t="shared" si="24"/>
        <v/>
      </c>
      <c r="D421" s="28" t="str">
        <f t="shared" si="25"/>
        <v/>
      </c>
      <c r="E421" s="77"/>
      <c r="F421" s="45"/>
      <c r="G421" s="56"/>
      <c r="H421" s="83"/>
      <c r="I421" s="35" t="str">
        <f t="shared" si="26"/>
        <v/>
      </c>
    </row>
    <row r="422" spans="1:9">
      <c r="A422" s="10" t="str">
        <f t="shared" si="27"/>
        <v/>
      </c>
      <c r="B422" s="53"/>
      <c r="C422" s="28" t="str">
        <f t="shared" si="24"/>
        <v/>
      </c>
      <c r="D422" s="28" t="str">
        <f t="shared" si="25"/>
        <v/>
      </c>
      <c r="E422" s="77"/>
      <c r="F422" s="45"/>
      <c r="G422" s="56"/>
      <c r="H422" s="83"/>
      <c r="I422" s="35" t="str">
        <f t="shared" si="26"/>
        <v/>
      </c>
    </row>
    <row r="423" spans="1:9">
      <c r="A423" s="10" t="str">
        <f t="shared" si="27"/>
        <v/>
      </c>
      <c r="B423" s="53"/>
      <c r="C423" s="28" t="str">
        <f t="shared" si="24"/>
        <v/>
      </c>
      <c r="D423" s="28" t="str">
        <f t="shared" si="25"/>
        <v/>
      </c>
      <c r="E423" s="77"/>
      <c r="F423" s="45"/>
      <c r="G423" s="56"/>
      <c r="H423" s="83"/>
      <c r="I423" s="35" t="str">
        <f t="shared" si="26"/>
        <v/>
      </c>
    </row>
    <row r="424" spans="1:9">
      <c r="A424" s="10" t="str">
        <f t="shared" si="27"/>
        <v/>
      </c>
      <c r="B424" s="53"/>
      <c r="C424" s="28" t="str">
        <f t="shared" si="24"/>
        <v/>
      </c>
      <c r="D424" s="28" t="str">
        <f t="shared" si="25"/>
        <v/>
      </c>
      <c r="E424" s="77"/>
      <c r="F424" s="45"/>
      <c r="G424" s="56"/>
      <c r="H424" s="83"/>
      <c r="I424" s="35" t="str">
        <f t="shared" si="26"/>
        <v/>
      </c>
    </row>
    <row r="425" spans="1:9">
      <c r="A425" s="10" t="str">
        <f t="shared" si="27"/>
        <v/>
      </c>
      <c r="B425" s="53"/>
      <c r="C425" s="28" t="str">
        <f t="shared" si="24"/>
        <v/>
      </c>
      <c r="D425" s="28" t="str">
        <f t="shared" si="25"/>
        <v/>
      </c>
      <c r="E425" s="77"/>
      <c r="F425" s="45"/>
      <c r="G425" s="56"/>
      <c r="H425" s="83"/>
      <c r="I425" s="35" t="str">
        <f t="shared" si="26"/>
        <v/>
      </c>
    </row>
    <row r="426" spans="1:9">
      <c r="A426" s="10" t="str">
        <f t="shared" si="27"/>
        <v/>
      </c>
      <c r="B426" s="53"/>
      <c r="C426" s="28" t="str">
        <f t="shared" si="24"/>
        <v/>
      </c>
      <c r="D426" s="28" t="str">
        <f t="shared" si="25"/>
        <v/>
      </c>
      <c r="E426" s="77"/>
      <c r="F426" s="45"/>
      <c r="G426" s="56"/>
      <c r="H426" s="83"/>
      <c r="I426" s="35" t="str">
        <f t="shared" si="26"/>
        <v/>
      </c>
    </row>
    <row r="427" spans="1:9">
      <c r="A427" s="10" t="str">
        <f t="shared" si="27"/>
        <v/>
      </c>
      <c r="B427" s="53"/>
      <c r="C427" s="28" t="str">
        <f t="shared" si="24"/>
        <v/>
      </c>
      <c r="D427" s="28" t="str">
        <f t="shared" si="25"/>
        <v/>
      </c>
      <c r="E427" s="77"/>
      <c r="F427" s="45"/>
      <c r="G427" s="56"/>
      <c r="H427" s="83"/>
      <c r="I427" s="35" t="str">
        <f t="shared" si="26"/>
        <v/>
      </c>
    </row>
    <row r="428" spans="1:9">
      <c r="A428" s="10" t="str">
        <f t="shared" si="27"/>
        <v/>
      </c>
      <c r="B428" s="53"/>
      <c r="C428" s="28" t="str">
        <f t="shared" si="24"/>
        <v/>
      </c>
      <c r="D428" s="28" t="str">
        <f t="shared" si="25"/>
        <v/>
      </c>
      <c r="E428" s="77"/>
      <c r="F428" s="45"/>
      <c r="G428" s="56"/>
      <c r="H428" s="83"/>
      <c r="I428" s="35" t="str">
        <f t="shared" si="26"/>
        <v/>
      </c>
    </row>
    <row r="429" spans="1:9">
      <c r="A429" s="10" t="str">
        <f t="shared" si="27"/>
        <v/>
      </c>
      <c r="B429" s="53"/>
      <c r="C429" s="28" t="str">
        <f t="shared" si="24"/>
        <v/>
      </c>
      <c r="D429" s="28" t="str">
        <f t="shared" si="25"/>
        <v/>
      </c>
      <c r="E429" s="77"/>
      <c r="F429" s="45"/>
      <c r="G429" s="56"/>
      <c r="H429" s="83"/>
      <c r="I429" s="35" t="str">
        <f t="shared" si="26"/>
        <v/>
      </c>
    </row>
    <row r="430" spans="1:9">
      <c r="A430" s="10" t="str">
        <f t="shared" si="27"/>
        <v/>
      </c>
      <c r="B430" s="53"/>
      <c r="C430" s="28" t="str">
        <f t="shared" si="24"/>
        <v/>
      </c>
      <c r="D430" s="28" t="str">
        <f t="shared" si="25"/>
        <v/>
      </c>
      <c r="E430" s="77"/>
      <c r="F430" s="45"/>
      <c r="G430" s="56"/>
      <c r="H430" s="83"/>
      <c r="I430" s="35" t="str">
        <f t="shared" si="26"/>
        <v/>
      </c>
    </row>
    <row r="431" spans="1:9">
      <c r="A431" s="10" t="str">
        <f t="shared" si="27"/>
        <v/>
      </c>
      <c r="B431" s="53"/>
      <c r="C431" s="28" t="str">
        <f t="shared" si="24"/>
        <v/>
      </c>
      <c r="D431" s="28" t="str">
        <f t="shared" si="25"/>
        <v/>
      </c>
      <c r="E431" s="77"/>
      <c r="F431" s="45"/>
      <c r="G431" s="56"/>
      <c r="H431" s="83"/>
      <c r="I431" s="35" t="str">
        <f t="shared" si="26"/>
        <v/>
      </c>
    </row>
    <row r="432" spans="1:9">
      <c r="A432" s="10" t="str">
        <f t="shared" si="27"/>
        <v/>
      </c>
      <c r="B432" s="53"/>
      <c r="C432" s="28" t="str">
        <f t="shared" si="24"/>
        <v/>
      </c>
      <c r="D432" s="28" t="str">
        <f t="shared" si="25"/>
        <v/>
      </c>
      <c r="E432" s="77"/>
      <c r="F432" s="45"/>
      <c r="G432" s="56"/>
      <c r="H432" s="83"/>
      <c r="I432" s="35" t="str">
        <f t="shared" si="26"/>
        <v/>
      </c>
    </row>
    <row r="433" spans="1:9">
      <c r="A433" s="10" t="str">
        <f t="shared" si="27"/>
        <v/>
      </c>
      <c r="B433" s="53"/>
      <c r="C433" s="28" t="str">
        <f t="shared" si="24"/>
        <v/>
      </c>
      <c r="D433" s="28" t="str">
        <f t="shared" si="25"/>
        <v/>
      </c>
      <c r="E433" s="77"/>
      <c r="F433" s="45"/>
      <c r="G433" s="56"/>
      <c r="H433" s="83"/>
      <c r="I433" s="35" t="str">
        <f t="shared" si="26"/>
        <v/>
      </c>
    </row>
    <row r="434" spans="1:9">
      <c r="A434" s="10" t="str">
        <f t="shared" si="27"/>
        <v/>
      </c>
      <c r="B434" s="53"/>
      <c r="C434" s="28" t="str">
        <f t="shared" si="24"/>
        <v/>
      </c>
      <c r="D434" s="28" t="str">
        <f t="shared" si="25"/>
        <v/>
      </c>
      <c r="E434" s="77"/>
      <c r="F434" s="45"/>
      <c r="G434" s="56"/>
      <c r="H434" s="83"/>
      <c r="I434" s="35" t="str">
        <f t="shared" si="26"/>
        <v/>
      </c>
    </row>
    <row r="435" spans="1:9">
      <c r="A435" s="10" t="str">
        <f t="shared" si="27"/>
        <v/>
      </c>
      <c r="B435" s="53"/>
      <c r="C435" s="28" t="str">
        <f t="shared" si="24"/>
        <v/>
      </c>
      <c r="D435" s="28" t="str">
        <f t="shared" si="25"/>
        <v/>
      </c>
      <c r="E435" s="77"/>
      <c r="F435" s="45"/>
      <c r="G435" s="56"/>
      <c r="H435" s="83"/>
      <c r="I435" s="35" t="str">
        <f t="shared" si="26"/>
        <v/>
      </c>
    </row>
    <row r="436" spans="1:9">
      <c r="A436" s="10" t="str">
        <f t="shared" si="27"/>
        <v/>
      </c>
      <c r="B436" s="53"/>
      <c r="C436" s="28" t="str">
        <f t="shared" si="24"/>
        <v/>
      </c>
      <c r="D436" s="28" t="str">
        <f t="shared" si="25"/>
        <v/>
      </c>
      <c r="E436" s="77"/>
      <c r="F436" s="45"/>
      <c r="G436" s="56"/>
      <c r="H436" s="83"/>
      <c r="I436" s="35" t="str">
        <f t="shared" si="26"/>
        <v/>
      </c>
    </row>
    <row r="437" spans="1:9">
      <c r="A437" s="10" t="str">
        <f t="shared" si="27"/>
        <v/>
      </c>
      <c r="B437" s="53"/>
      <c r="C437" s="28" t="str">
        <f t="shared" si="24"/>
        <v/>
      </c>
      <c r="D437" s="28" t="str">
        <f t="shared" si="25"/>
        <v/>
      </c>
      <c r="E437" s="77"/>
      <c r="F437" s="45"/>
      <c r="G437" s="56"/>
      <c r="H437" s="83"/>
      <c r="I437" s="35" t="str">
        <f t="shared" si="26"/>
        <v/>
      </c>
    </row>
    <row r="438" spans="1:9">
      <c r="A438" s="10" t="str">
        <f t="shared" si="27"/>
        <v/>
      </c>
      <c r="B438" s="53"/>
      <c r="C438" s="28" t="str">
        <f t="shared" si="24"/>
        <v/>
      </c>
      <c r="D438" s="28" t="str">
        <f t="shared" si="25"/>
        <v/>
      </c>
      <c r="E438" s="77"/>
      <c r="F438" s="45"/>
      <c r="G438" s="56"/>
      <c r="H438" s="83"/>
      <c r="I438" s="35" t="str">
        <f t="shared" si="26"/>
        <v/>
      </c>
    </row>
    <row r="439" spans="1:9">
      <c r="A439" s="10" t="str">
        <f t="shared" si="27"/>
        <v/>
      </c>
      <c r="B439" s="53"/>
      <c r="C439" s="28" t="str">
        <f t="shared" si="24"/>
        <v/>
      </c>
      <c r="D439" s="28" t="str">
        <f t="shared" si="25"/>
        <v/>
      </c>
      <c r="E439" s="77"/>
      <c r="F439" s="45"/>
      <c r="G439" s="56"/>
      <c r="H439" s="83"/>
      <c r="I439" s="35" t="str">
        <f t="shared" si="26"/>
        <v/>
      </c>
    </row>
    <row r="440" spans="1:9">
      <c r="A440" s="10" t="str">
        <f t="shared" si="27"/>
        <v/>
      </c>
      <c r="B440" s="53"/>
      <c r="C440" s="28" t="str">
        <f t="shared" si="24"/>
        <v/>
      </c>
      <c r="D440" s="28" t="str">
        <f t="shared" si="25"/>
        <v/>
      </c>
      <c r="E440" s="77"/>
      <c r="F440" s="45"/>
      <c r="G440" s="56"/>
      <c r="H440" s="83"/>
      <c r="I440" s="35" t="str">
        <f t="shared" si="26"/>
        <v/>
      </c>
    </row>
    <row r="441" spans="1:9">
      <c r="A441" s="10" t="str">
        <f t="shared" si="27"/>
        <v/>
      </c>
      <c r="B441" s="53"/>
      <c r="C441" s="28" t="str">
        <f t="shared" si="24"/>
        <v/>
      </c>
      <c r="D441" s="28" t="str">
        <f t="shared" si="25"/>
        <v/>
      </c>
      <c r="E441" s="77"/>
      <c r="F441" s="45"/>
      <c r="G441" s="56"/>
      <c r="H441" s="83"/>
      <c r="I441" s="35" t="str">
        <f t="shared" si="26"/>
        <v/>
      </c>
    </row>
    <row r="442" spans="1:9">
      <c r="A442" s="10" t="str">
        <f t="shared" si="27"/>
        <v/>
      </c>
      <c r="B442" s="53"/>
      <c r="C442" s="28" t="str">
        <f t="shared" si="24"/>
        <v/>
      </c>
      <c r="D442" s="28" t="str">
        <f t="shared" si="25"/>
        <v/>
      </c>
      <c r="E442" s="77"/>
      <c r="F442" s="45"/>
      <c r="G442" s="56"/>
      <c r="H442" s="83"/>
      <c r="I442" s="35" t="str">
        <f t="shared" si="26"/>
        <v/>
      </c>
    </row>
    <row r="443" spans="1:9">
      <c r="A443" s="10" t="str">
        <f t="shared" si="27"/>
        <v/>
      </c>
      <c r="B443" s="53"/>
      <c r="C443" s="28" t="str">
        <f t="shared" si="24"/>
        <v/>
      </c>
      <c r="D443" s="28" t="str">
        <f t="shared" si="25"/>
        <v/>
      </c>
      <c r="E443" s="77"/>
      <c r="F443" s="45"/>
      <c r="G443" s="56"/>
      <c r="H443" s="83"/>
      <c r="I443" s="35" t="str">
        <f t="shared" si="26"/>
        <v/>
      </c>
    </row>
    <row r="444" spans="1:9">
      <c r="A444" s="10" t="str">
        <f t="shared" si="27"/>
        <v/>
      </c>
      <c r="B444" s="53"/>
      <c r="C444" s="28" t="str">
        <f t="shared" si="24"/>
        <v/>
      </c>
      <c r="D444" s="28" t="str">
        <f t="shared" si="25"/>
        <v/>
      </c>
      <c r="E444" s="77"/>
      <c r="F444" s="45"/>
      <c r="G444" s="56"/>
      <c r="H444" s="83"/>
      <c r="I444" s="35" t="str">
        <f t="shared" si="26"/>
        <v/>
      </c>
    </row>
    <row r="445" spans="1:9">
      <c r="A445" s="10" t="str">
        <f t="shared" si="27"/>
        <v/>
      </c>
      <c r="B445" s="53"/>
      <c r="C445" s="28" t="str">
        <f t="shared" si="24"/>
        <v/>
      </c>
      <c r="D445" s="28" t="str">
        <f t="shared" si="25"/>
        <v/>
      </c>
      <c r="E445" s="77"/>
      <c r="F445" s="45"/>
      <c r="G445" s="56"/>
      <c r="H445" s="83"/>
      <c r="I445" s="35" t="str">
        <f t="shared" si="26"/>
        <v/>
      </c>
    </row>
    <row r="446" spans="1:9">
      <c r="A446" s="10" t="str">
        <f t="shared" si="27"/>
        <v/>
      </c>
      <c r="B446" s="53"/>
      <c r="C446" s="28" t="str">
        <f t="shared" si="24"/>
        <v/>
      </c>
      <c r="D446" s="28" t="str">
        <f t="shared" si="25"/>
        <v/>
      </c>
      <c r="E446" s="77"/>
      <c r="F446" s="45"/>
      <c r="G446" s="56"/>
      <c r="H446" s="83"/>
      <c r="I446" s="35" t="str">
        <f t="shared" si="26"/>
        <v/>
      </c>
    </row>
    <row r="447" spans="1:9">
      <c r="A447" s="10" t="str">
        <f t="shared" si="27"/>
        <v/>
      </c>
      <c r="B447" s="53"/>
      <c r="C447" s="28" t="str">
        <f t="shared" si="24"/>
        <v/>
      </c>
      <c r="D447" s="28" t="str">
        <f t="shared" si="25"/>
        <v/>
      </c>
      <c r="E447" s="77"/>
      <c r="F447" s="45"/>
      <c r="G447" s="56"/>
      <c r="H447" s="83"/>
      <c r="I447" s="35" t="str">
        <f t="shared" si="26"/>
        <v/>
      </c>
    </row>
    <row r="448" spans="1:9">
      <c r="A448" s="10" t="str">
        <f t="shared" si="27"/>
        <v/>
      </c>
      <c r="B448" s="53"/>
      <c r="C448" s="28" t="str">
        <f t="shared" si="24"/>
        <v/>
      </c>
      <c r="D448" s="28" t="str">
        <f t="shared" si="25"/>
        <v/>
      </c>
      <c r="E448" s="77"/>
      <c r="F448" s="45"/>
      <c r="G448" s="56"/>
      <c r="H448" s="83"/>
      <c r="I448" s="35" t="str">
        <f t="shared" si="26"/>
        <v/>
      </c>
    </row>
    <row r="449" spans="1:9">
      <c r="A449" s="10" t="str">
        <f t="shared" si="27"/>
        <v/>
      </c>
      <c r="B449" s="53"/>
      <c r="C449" s="28" t="str">
        <f t="shared" si="24"/>
        <v/>
      </c>
      <c r="D449" s="28" t="str">
        <f t="shared" si="25"/>
        <v/>
      </c>
      <c r="E449" s="77"/>
      <c r="F449" s="45"/>
      <c r="G449" s="56"/>
      <c r="H449" s="83"/>
      <c r="I449" s="35" t="str">
        <f t="shared" si="26"/>
        <v/>
      </c>
    </row>
    <row r="450" spans="1:9">
      <c r="A450" s="10" t="str">
        <f t="shared" si="27"/>
        <v/>
      </c>
      <c r="B450" s="53"/>
      <c r="C450" s="28" t="str">
        <f t="shared" si="24"/>
        <v/>
      </c>
      <c r="D450" s="28" t="str">
        <f t="shared" si="25"/>
        <v/>
      </c>
      <c r="E450" s="77"/>
      <c r="F450" s="45"/>
      <c r="G450" s="56"/>
      <c r="H450" s="83"/>
      <c r="I450" s="35" t="str">
        <f t="shared" si="26"/>
        <v/>
      </c>
    </row>
    <row r="451" spans="1:9">
      <c r="A451" s="10" t="str">
        <f t="shared" si="27"/>
        <v/>
      </c>
      <c r="B451" s="53"/>
      <c r="C451" s="28" t="str">
        <f t="shared" ref="C451:C514" si="28">IF(B451=0,"",TEXT(B451,"mmmm"))</f>
        <v/>
      </c>
      <c r="D451" s="28" t="str">
        <f t="shared" ref="D451:D514" si="29">IF(B451=0,"",TEXT(B451,"yyyy"))</f>
        <v/>
      </c>
      <c r="E451" s="77"/>
      <c r="F451" s="45"/>
      <c r="G451" s="56"/>
      <c r="H451" s="83"/>
      <c r="I451" s="35" t="str">
        <f t="shared" ref="I451:I514" si="30">IF(G451*H451=0,"",G451*H451)</f>
        <v/>
      </c>
    </row>
    <row r="452" spans="1:9">
      <c r="A452" s="10" t="str">
        <f t="shared" ref="A452:A515" si="31">IF(E452&gt;0,A451+1,"")</f>
        <v/>
      </c>
      <c r="B452" s="53"/>
      <c r="C452" s="28" t="str">
        <f t="shared" si="28"/>
        <v/>
      </c>
      <c r="D452" s="28" t="str">
        <f t="shared" si="29"/>
        <v/>
      </c>
      <c r="E452" s="77"/>
      <c r="F452" s="45"/>
      <c r="G452" s="56"/>
      <c r="H452" s="83"/>
      <c r="I452" s="35" t="str">
        <f t="shared" si="30"/>
        <v/>
      </c>
    </row>
    <row r="453" spans="1:9">
      <c r="A453" s="10" t="str">
        <f t="shared" si="31"/>
        <v/>
      </c>
      <c r="B453" s="53"/>
      <c r="C453" s="28" t="str">
        <f t="shared" si="28"/>
        <v/>
      </c>
      <c r="D453" s="28" t="str">
        <f t="shared" si="29"/>
        <v/>
      </c>
      <c r="E453" s="77"/>
      <c r="F453" s="45"/>
      <c r="G453" s="56"/>
      <c r="H453" s="83"/>
      <c r="I453" s="35" t="str">
        <f t="shared" si="30"/>
        <v/>
      </c>
    </row>
    <row r="454" spans="1:9">
      <c r="A454" s="10" t="str">
        <f t="shared" si="31"/>
        <v/>
      </c>
      <c r="B454" s="53"/>
      <c r="C454" s="28" t="str">
        <f t="shared" si="28"/>
        <v/>
      </c>
      <c r="D454" s="28" t="str">
        <f t="shared" si="29"/>
        <v/>
      </c>
      <c r="E454" s="77"/>
      <c r="F454" s="45"/>
      <c r="G454" s="56"/>
      <c r="H454" s="83"/>
      <c r="I454" s="35" t="str">
        <f t="shared" si="30"/>
        <v/>
      </c>
    </row>
    <row r="455" spans="1:9">
      <c r="A455" s="10" t="str">
        <f t="shared" si="31"/>
        <v/>
      </c>
      <c r="B455" s="53"/>
      <c r="C455" s="28" t="str">
        <f t="shared" si="28"/>
        <v/>
      </c>
      <c r="D455" s="28" t="str">
        <f t="shared" si="29"/>
        <v/>
      </c>
      <c r="E455" s="77"/>
      <c r="F455" s="45"/>
      <c r="G455" s="56"/>
      <c r="H455" s="83"/>
      <c r="I455" s="35" t="str">
        <f t="shared" si="30"/>
        <v/>
      </c>
    </row>
    <row r="456" spans="1:9">
      <c r="A456" s="10" t="str">
        <f t="shared" si="31"/>
        <v/>
      </c>
      <c r="B456" s="53"/>
      <c r="C456" s="28" t="str">
        <f t="shared" si="28"/>
        <v/>
      </c>
      <c r="D456" s="28" t="str">
        <f t="shared" si="29"/>
        <v/>
      </c>
      <c r="E456" s="77"/>
      <c r="F456" s="45"/>
      <c r="G456" s="56"/>
      <c r="H456" s="83"/>
      <c r="I456" s="35" t="str">
        <f t="shared" si="30"/>
        <v/>
      </c>
    </row>
    <row r="457" spans="1:9">
      <c r="A457" s="10" t="str">
        <f t="shared" si="31"/>
        <v/>
      </c>
      <c r="B457" s="53"/>
      <c r="C457" s="28" t="str">
        <f t="shared" si="28"/>
        <v/>
      </c>
      <c r="D457" s="28" t="str">
        <f t="shared" si="29"/>
        <v/>
      </c>
      <c r="E457" s="77"/>
      <c r="F457" s="45"/>
      <c r="G457" s="56"/>
      <c r="H457" s="83"/>
      <c r="I457" s="35" t="str">
        <f t="shared" si="30"/>
        <v/>
      </c>
    </row>
    <row r="458" spans="1:9">
      <c r="A458" s="10" t="str">
        <f t="shared" si="31"/>
        <v/>
      </c>
      <c r="B458" s="53"/>
      <c r="C458" s="28" t="str">
        <f t="shared" si="28"/>
        <v/>
      </c>
      <c r="D458" s="28" t="str">
        <f t="shared" si="29"/>
        <v/>
      </c>
      <c r="E458" s="77"/>
      <c r="F458" s="45"/>
      <c r="G458" s="56"/>
      <c r="H458" s="83"/>
      <c r="I458" s="35" t="str">
        <f t="shared" si="30"/>
        <v/>
      </c>
    </row>
    <row r="459" spans="1:9">
      <c r="A459" s="10" t="str">
        <f t="shared" si="31"/>
        <v/>
      </c>
      <c r="B459" s="53"/>
      <c r="C459" s="28" t="str">
        <f t="shared" si="28"/>
        <v/>
      </c>
      <c r="D459" s="28" t="str">
        <f t="shared" si="29"/>
        <v/>
      </c>
      <c r="E459" s="77"/>
      <c r="F459" s="45"/>
      <c r="G459" s="56"/>
      <c r="H459" s="83"/>
      <c r="I459" s="35" t="str">
        <f t="shared" si="30"/>
        <v/>
      </c>
    </row>
    <row r="460" spans="1:9">
      <c r="A460" s="10" t="str">
        <f t="shared" si="31"/>
        <v/>
      </c>
      <c r="B460" s="53"/>
      <c r="C460" s="28" t="str">
        <f t="shared" si="28"/>
        <v/>
      </c>
      <c r="D460" s="28" t="str">
        <f t="shared" si="29"/>
        <v/>
      </c>
      <c r="E460" s="77"/>
      <c r="F460" s="45"/>
      <c r="G460" s="56"/>
      <c r="H460" s="83"/>
      <c r="I460" s="35" t="str">
        <f t="shared" si="30"/>
        <v/>
      </c>
    </row>
    <row r="461" spans="1:9">
      <c r="A461" s="10" t="str">
        <f t="shared" si="31"/>
        <v/>
      </c>
      <c r="B461" s="53"/>
      <c r="C461" s="28" t="str">
        <f t="shared" si="28"/>
        <v/>
      </c>
      <c r="D461" s="28" t="str">
        <f t="shared" si="29"/>
        <v/>
      </c>
      <c r="E461" s="77"/>
      <c r="F461" s="45"/>
      <c r="G461" s="56"/>
      <c r="H461" s="83"/>
      <c r="I461" s="35" t="str">
        <f t="shared" si="30"/>
        <v/>
      </c>
    </row>
    <row r="462" spans="1:9">
      <c r="A462" s="10" t="str">
        <f t="shared" si="31"/>
        <v/>
      </c>
      <c r="B462" s="53"/>
      <c r="C462" s="28" t="str">
        <f t="shared" si="28"/>
        <v/>
      </c>
      <c r="D462" s="28" t="str">
        <f t="shared" si="29"/>
        <v/>
      </c>
      <c r="E462" s="77"/>
      <c r="F462" s="45"/>
      <c r="G462" s="56"/>
      <c r="H462" s="83"/>
      <c r="I462" s="35" t="str">
        <f t="shared" si="30"/>
        <v/>
      </c>
    </row>
    <row r="463" spans="1:9">
      <c r="A463" s="10" t="str">
        <f t="shared" si="31"/>
        <v/>
      </c>
      <c r="B463" s="53"/>
      <c r="C463" s="28" t="str">
        <f t="shared" si="28"/>
        <v/>
      </c>
      <c r="D463" s="28" t="str">
        <f t="shared" si="29"/>
        <v/>
      </c>
      <c r="E463" s="77"/>
      <c r="F463" s="45"/>
      <c r="G463" s="56"/>
      <c r="H463" s="83"/>
      <c r="I463" s="35" t="str">
        <f t="shared" si="30"/>
        <v/>
      </c>
    </row>
    <row r="464" spans="1:9">
      <c r="A464" s="10" t="str">
        <f t="shared" si="31"/>
        <v/>
      </c>
      <c r="B464" s="53"/>
      <c r="C464" s="28" t="str">
        <f t="shared" si="28"/>
        <v/>
      </c>
      <c r="D464" s="28" t="str">
        <f t="shared" si="29"/>
        <v/>
      </c>
      <c r="E464" s="77"/>
      <c r="F464" s="45"/>
      <c r="G464" s="56"/>
      <c r="H464" s="83"/>
      <c r="I464" s="35" t="str">
        <f t="shared" si="30"/>
        <v/>
      </c>
    </row>
    <row r="465" spans="1:9">
      <c r="A465" s="10" t="str">
        <f t="shared" si="31"/>
        <v/>
      </c>
      <c r="B465" s="53"/>
      <c r="C465" s="28" t="str">
        <f t="shared" si="28"/>
        <v/>
      </c>
      <c r="D465" s="28" t="str">
        <f t="shared" si="29"/>
        <v/>
      </c>
      <c r="E465" s="77"/>
      <c r="F465" s="45"/>
      <c r="G465" s="56"/>
      <c r="H465" s="83"/>
      <c r="I465" s="35" t="str">
        <f t="shared" si="30"/>
        <v/>
      </c>
    </row>
    <row r="466" spans="1:9">
      <c r="A466" s="10" t="str">
        <f t="shared" si="31"/>
        <v/>
      </c>
      <c r="B466" s="53"/>
      <c r="C466" s="28" t="str">
        <f t="shared" si="28"/>
        <v/>
      </c>
      <c r="D466" s="28" t="str">
        <f t="shared" si="29"/>
        <v/>
      </c>
      <c r="E466" s="77"/>
      <c r="F466" s="45"/>
      <c r="G466" s="56"/>
      <c r="H466" s="83"/>
      <c r="I466" s="35" t="str">
        <f t="shared" si="30"/>
        <v/>
      </c>
    </row>
    <row r="467" spans="1:9">
      <c r="A467" s="10" t="str">
        <f t="shared" si="31"/>
        <v/>
      </c>
      <c r="B467" s="53"/>
      <c r="C467" s="28" t="str">
        <f t="shared" si="28"/>
        <v/>
      </c>
      <c r="D467" s="28" t="str">
        <f t="shared" si="29"/>
        <v/>
      </c>
      <c r="E467" s="77"/>
      <c r="F467" s="45"/>
      <c r="G467" s="56"/>
      <c r="H467" s="83"/>
      <c r="I467" s="35" t="str">
        <f t="shared" si="30"/>
        <v/>
      </c>
    </row>
    <row r="468" spans="1:9">
      <c r="A468" s="10" t="str">
        <f t="shared" si="31"/>
        <v/>
      </c>
      <c r="B468" s="53"/>
      <c r="C468" s="28" t="str">
        <f t="shared" si="28"/>
        <v/>
      </c>
      <c r="D468" s="28" t="str">
        <f t="shared" si="29"/>
        <v/>
      </c>
      <c r="E468" s="77"/>
      <c r="F468" s="45"/>
      <c r="G468" s="56"/>
      <c r="H468" s="83"/>
      <c r="I468" s="35" t="str">
        <f t="shared" si="30"/>
        <v/>
      </c>
    </row>
    <row r="469" spans="1:9">
      <c r="A469" s="10" t="str">
        <f t="shared" si="31"/>
        <v/>
      </c>
      <c r="B469" s="53"/>
      <c r="C469" s="28" t="str">
        <f t="shared" si="28"/>
        <v/>
      </c>
      <c r="D469" s="28" t="str">
        <f t="shared" si="29"/>
        <v/>
      </c>
      <c r="E469" s="77"/>
      <c r="F469" s="45"/>
      <c r="G469" s="56"/>
      <c r="H469" s="83"/>
      <c r="I469" s="35" t="str">
        <f t="shared" si="30"/>
        <v/>
      </c>
    </row>
    <row r="470" spans="1:9">
      <c r="A470" s="10" t="str">
        <f t="shared" si="31"/>
        <v/>
      </c>
      <c r="B470" s="53"/>
      <c r="C470" s="28" t="str">
        <f t="shared" si="28"/>
        <v/>
      </c>
      <c r="D470" s="28" t="str">
        <f t="shared" si="29"/>
        <v/>
      </c>
      <c r="E470" s="77"/>
      <c r="F470" s="45"/>
      <c r="G470" s="56"/>
      <c r="H470" s="83"/>
      <c r="I470" s="35" t="str">
        <f t="shared" si="30"/>
        <v/>
      </c>
    </row>
    <row r="471" spans="1:9">
      <c r="A471" s="10" t="str">
        <f t="shared" si="31"/>
        <v/>
      </c>
      <c r="B471" s="53"/>
      <c r="C471" s="28" t="str">
        <f t="shared" si="28"/>
        <v/>
      </c>
      <c r="D471" s="28" t="str">
        <f t="shared" si="29"/>
        <v/>
      </c>
      <c r="E471" s="77"/>
      <c r="F471" s="45"/>
      <c r="G471" s="56"/>
      <c r="H471" s="83"/>
      <c r="I471" s="35" t="str">
        <f t="shared" si="30"/>
        <v/>
      </c>
    </row>
    <row r="472" spans="1:9">
      <c r="A472" s="10" t="str">
        <f t="shared" si="31"/>
        <v/>
      </c>
      <c r="B472" s="53"/>
      <c r="C472" s="28" t="str">
        <f t="shared" si="28"/>
        <v/>
      </c>
      <c r="D472" s="28" t="str">
        <f t="shared" si="29"/>
        <v/>
      </c>
      <c r="E472" s="77"/>
      <c r="F472" s="45"/>
      <c r="G472" s="56"/>
      <c r="H472" s="83"/>
      <c r="I472" s="35" t="str">
        <f t="shared" si="30"/>
        <v/>
      </c>
    </row>
    <row r="473" spans="1:9">
      <c r="A473" s="10" t="str">
        <f t="shared" si="31"/>
        <v/>
      </c>
      <c r="B473" s="53"/>
      <c r="C473" s="28" t="str">
        <f t="shared" si="28"/>
        <v/>
      </c>
      <c r="D473" s="28" t="str">
        <f t="shared" si="29"/>
        <v/>
      </c>
      <c r="E473" s="77"/>
      <c r="F473" s="45"/>
      <c r="G473" s="56"/>
      <c r="H473" s="83"/>
      <c r="I473" s="35" t="str">
        <f t="shared" si="30"/>
        <v/>
      </c>
    </row>
    <row r="474" spans="1:9">
      <c r="A474" s="10" t="str">
        <f t="shared" si="31"/>
        <v/>
      </c>
      <c r="B474" s="53"/>
      <c r="C474" s="28" t="str">
        <f t="shared" si="28"/>
        <v/>
      </c>
      <c r="D474" s="28" t="str">
        <f t="shared" si="29"/>
        <v/>
      </c>
      <c r="E474" s="77"/>
      <c r="F474" s="45"/>
      <c r="G474" s="56"/>
      <c r="H474" s="83"/>
      <c r="I474" s="35" t="str">
        <f t="shared" si="30"/>
        <v/>
      </c>
    </row>
    <row r="475" spans="1:9">
      <c r="A475" s="10" t="str">
        <f t="shared" si="31"/>
        <v/>
      </c>
      <c r="B475" s="53"/>
      <c r="C475" s="28" t="str">
        <f t="shared" si="28"/>
        <v/>
      </c>
      <c r="D475" s="28" t="str">
        <f t="shared" si="29"/>
        <v/>
      </c>
      <c r="E475" s="77"/>
      <c r="F475" s="45"/>
      <c r="G475" s="56"/>
      <c r="H475" s="83"/>
      <c r="I475" s="35" t="str">
        <f t="shared" si="30"/>
        <v/>
      </c>
    </row>
    <row r="476" spans="1:9">
      <c r="A476" s="10" t="str">
        <f t="shared" si="31"/>
        <v/>
      </c>
      <c r="B476" s="53"/>
      <c r="C476" s="28" t="str">
        <f t="shared" si="28"/>
        <v/>
      </c>
      <c r="D476" s="28" t="str">
        <f t="shared" si="29"/>
        <v/>
      </c>
      <c r="E476" s="77"/>
      <c r="F476" s="45"/>
      <c r="G476" s="56"/>
      <c r="H476" s="83"/>
      <c r="I476" s="35" t="str">
        <f t="shared" si="30"/>
        <v/>
      </c>
    </row>
    <row r="477" spans="1:9">
      <c r="A477" s="10" t="str">
        <f t="shared" si="31"/>
        <v/>
      </c>
      <c r="B477" s="53"/>
      <c r="C477" s="28" t="str">
        <f t="shared" si="28"/>
        <v/>
      </c>
      <c r="D477" s="28" t="str">
        <f t="shared" si="29"/>
        <v/>
      </c>
      <c r="E477" s="77"/>
      <c r="F477" s="45"/>
      <c r="G477" s="56"/>
      <c r="H477" s="83"/>
      <c r="I477" s="35" t="str">
        <f t="shared" si="30"/>
        <v/>
      </c>
    </row>
    <row r="478" spans="1:9">
      <c r="A478" s="10" t="str">
        <f t="shared" si="31"/>
        <v/>
      </c>
      <c r="B478" s="53"/>
      <c r="C478" s="28" t="str">
        <f t="shared" si="28"/>
        <v/>
      </c>
      <c r="D478" s="28" t="str">
        <f t="shared" si="29"/>
        <v/>
      </c>
      <c r="E478" s="77"/>
      <c r="F478" s="45"/>
      <c r="G478" s="56"/>
      <c r="H478" s="83"/>
      <c r="I478" s="35" t="str">
        <f t="shared" si="30"/>
        <v/>
      </c>
    </row>
    <row r="479" spans="1:9">
      <c r="A479" s="10" t="str">
        <f t="shared" si="31"/>
        <v/>
      </c>
      <c r="B479" s="53"/>
      <c r="C479" s="28" t="str">
        <f t="shared" si="28"/>
        <v/>
      </c>
      <c r="D479" s="28" t="str">
        <f t="shared" si="29"/>
        <v/>
      </c>
      <c r="E479" s="77"/>
      <c r="F479" s="45"/>
      <c r="G479" s="56"/>
      <c r="H479" s="83"/>
      <c r="I479" s="35" t="str">
        <f t="shared" si="30"/>
        <v/>
      </c>
    </row>
    <row r="480" spans="1:9">
      <c r="A480" s="10" t="str">
        <f t="shared" si="31"/>
        <v/>
      </c>
      <c r="B480" s="53"/>
      <c r="C480" s="28" t="str">
        <f t="shared" si="28"/>
        <v/>
      </c>
      <c r="D480" s="28" t="str">
        <f t="shared" si="29"/>
        <v/>
      </c>
      <c r="E480" s="77"/>
      <c r="F480" s="45"/>
      <c r="G480" s="56"/>
      <c r="H480" s="83"/>
      <c r="I480" s="35" t="str">
        <f t="shared" si="30"/>
        <v/>
      </c>
    </row>
    <row r="481" spans="1:9">
      <c r="A481" s="10" t="str">
        <f t="shared" si="31"/>
        <v/>
      </c>
      <c r="B481" s="53"/>
      <c r="C481" s="28" t="str">
        <f t="shared" si="28"/>
        <v/>
      </c>
      <c r="D481" s="28" t="str">
        <f t="shared" si="29"/>
        <v/>
      </c>
      <c r="E481" s="77"/>
      <c r="F481" s="45"/>
      <c r="G481" s="56"/>
      <c r="H481" s="83"/>
      <c r="I481" s="35" t="str">
        <f t="shared" si="30"/>
        <v/>
      </c>
    </row>
    <row r="482" spans="1:9">
      <c r="A482" s="10" t="str">
        <f t="shared" si="31"/>
        <v/>
      </c>
      <c r="B482" s="53"/>
      <c r="C482" s="28" t="str">
        <f t="shared" si="28"/>
        <v/>
      </c>
      <c r="D482" s="28" t="str">
        <f t="shared" si="29"/>
        <v/>
      </c>
      <c r="E482" s="77"/>
      <c r="F482" s="45"/>
      <c r="G482" s="56"/>
      <c r="H482" s="83"/>
      <c r="I482" s="35" t="str">
        <f t="shared" si="30"/>
        <v/>
      </c>
    </row>
    <row r="483" spans="1:9">
      <c r="A483" s="10" t="str">
        <f t="shared" si="31"/>
        <v/>
      </c>
      <c r="B483" s="53"/>
      <c r="C483" s="28" t="str">
        <f t="shared" si="28"/>
        <v/>
      </c>
      <c r="D483" s="28" t="str">
        <f t="shared" si="29"/>
        <v/>
      </c>
      <c r="E483" s="77"/>
      <c r="F483" s="45"/>
      <c r="G483" s="56"/>
      <c r="H483" s="83"/>
      <c r="I483" s="35" t="str">
        <f t="shared" si="30"/>
        <v/>
      </c>
    </row>
    <row r="484" spans="1:9">
      <c r="A484" s="10" t="str">
        <f t="shared" si="31"/>
        <v/>
      </c>
      <c r="B484" s="53"/>
      <c r="C484" s="28" t="str">
        <f t="shared" si="28"/>
        <v/>
      </c>
      <c r="D484" s="28" t="str">
        <f t="shared" si="29"/>
        <v/>
      </c>
      <c r="E484" s="77"/>
      <c r="F484" s="45"/>
      <c r="G484" s="56"/>
      <c r="H484" s="83"/>
      <c r="I484" s="35" t="str">
        <f t="shared" si="30"/>
        <v/>
      </c>
    </row>
    <row r="485" spans="1:9">
      <c r="A485" s="10" t="str">
        <f t="shared" si="31"/>
        <v/>
      </c>
      <c r="B485" s="53"/>
      <c r="C485" s="28" t="str">
        <f t="shared" si="28"/>
        <v/>
      </c>
      <c r="D485" s="28" t="str">
        <f t="shared" si="29"/>
        <v/>
      </c>
      <c r="E485" s="77"/>
      <c r="F485" s="45"/>
      <c r="G485" s="56"/>
      <c r="H485" s="83"/>
      <c r="I485" s="35" t="str">
        <f t="shared" si="30"/>
        <v/>
      </c>
    </row>
    <row r="486" spans="1:9">
      <c r="A486" s="10" t="str">
        <f t="shared" si="31"/>
        <v/>
      </c>
      <c r="B486" s="53"/>
      <c r="C486" s="28" t="str">
        <f t="shared" si="28"/>
        <v/>
      </c>
      <c r="D486" s="28" t="str">
        <f t="shared" si="29"/>
        <v/>
      </c>
      <c r="E486" s="77"/>
      <c r="F486" s="45"/>
      <c r="G486" s="56"/>
      <c r="H486" s="83"/>
      <c r="I486" s="35" t="str">
        <f t="shared" si="30"/>
        <v/>
      </c>
    </row>
    <row r="487" spans="1:9">
      <c r="A487" s="10" t="str">
        <f t="shared" si="31"/>
        <v/>
      </c>
      <c r="B487" s="53"/>
      <c r="C487" s="28" t="str">
        <f t="shared" si="28"/>
        <v/>
      </c>
      <c r="D487" s="28" t="str">
        <f t="shared" si="29"/>
        <v/>
      </c>
      <c r="E487" s="77"/>
      <c r="F487" s="45"/>
      <c r="G487" s="56"/>
      <c r="H487" s="83"/>
      <c r="I487" s="35" t="str">
        <f t="shared" si="30"/>
        <v/>
      </c>
    </row>
    <row r="488" spans="1:9">
      <c r="A488" s="10" t="str">
        <f t="shared" si="31"/>
        <v/>
      </c>
      <c r="B488" s="53"/>
      <c r="C488" s="28" t="str">
        <f t="shared" si="28"/>
        <v/>
      </c>
      <c r="D488" s="28" t="str">
        <f t="shared" si="29"/>
        <v/>
      </c>
      <c r="E488" s="77"/>
      <c r="F488" s="45"/>
      <c r="G488" s="56"/>
      <c r="H488" s="83"/>
      <c r="I488" s="35" t="str">
        <f t="shared" si="30"/>
        <v/>
      </c>
    </row>
    <row r="489" spans="1:9">
      <c r="A489" s="10" t="str">
        <f t="shared" si="31"/>
        <v/>
      </c>
      <c r="B489" s="53"/>
      <c r="C489" s="28" t="str">
        <f t="shared" si="28"/>
        <v/>
      </c>
      <c r="D489" s="28" t="str">
        <f t="shared" si="29"/>
        <v/>
      </c>
      <c r="E489" s="77"/>
      <c r="F489" s="45"/>
      <c r="G489" s="56"/>
      <c r="H489" s="83"/>
      <c r="I489" s="35" t="str">
        <f t="shared" si="30"/>
        <v/>
      </c>
    </row>
    <row r="490" spans="1:9">
      <c r="A490" s="10" t="str">
        <f t="shared" si="31"/>
        <v/>
      </c>
      <c r="B490" s="53"/>
      <c r="C490" s="28" t="str">
        <f t="shared" si="28"/>
        <v/>
      </c>
      <c r="D490" s="28" t="str">
        <f t="shared" si="29"/>
        <v/>
      </c>
      <c r="E490" s="77"/>
      <c r="F490" s="45"/>
      <c r="G490" s="56"/>
      <c r="H490" s="83"/>
      <c r="I490" s="35" t="str">
        <f t="shared" si="30"/>
        <v/>
      </c>
    </row>
    <row r="491" spans="1:9">
      <c r="A491" s="10" t="str">
        <f t="shared" si="31"/>
        <v/>
      </c>
      <c r="B491" s="53"/>
      <c r="C491" s="28" t="str">
        <f t="shared" si="28"/>
        <v/>
      </c>
      <c r="D491" s="28" t="str">
        <f t="shared" si="29"/>
        <v/>
      </c>
      <c r="E491" s="77"/>
      <c r="F491" s="45"/>
      <c r="G491" s="56"/>
      <c r="H491" s="83"/>
      <c r="I491" s="35" t="str">
        <f t="shared" si="30"/>
        <v/>
      </c>
    </row>
    <row r="492" spans="1:9">
      <c r="A492" s="10" t="str">
        <f t="shared" si="31"/>
        <v/>
      </c>
      <c r="B492" s="53"/>
      <c r="C492" s="28" t="str">
        <f t="shared" si="28"/>
        <v/>
      </c>
      <c r="D492" s="28" t="str">
        <f t="shared" si="29"/>
        <v/>
      </c>
      <c r="E492" s="77"/>
      <c r="F492" s="45"/>
      <c r="G492" s="56"/>
      <c r="H492" s="83"/>
      <c r="I492" s="35" t="str">
        <f t="shared" si="30"/>
        <v/>
      </c>
    </row>
    <row r="493" spans="1:9">
      <c r="A493" s="10" t="str">
        <f t="shared" si="31"/>
        <v/>
      </c>
      <c r="B493" s="53"/>
      <c r="C493" s="28" t="str">
        <f t="shared" si="28"/>
        <v/>
      </c>
      <c r="D493" s="28" t="str">
        <f t="shared" si="29"/>
        <v/>
      </c>
      <c r="E493" s="77"/>
      <c r="F493" s="45"/>
      <c r="G493" s="56"/>
      <c r="H493" s="83"/>
      <c r="I493" s="35" t="str">
        <f t="shared" si="30"/>
        <v/>
      </c>
    </row>
    <row r="494" spans="1:9">
      <c r="A494" s="10" t="str">
        <f t="shared" si="31"/>
        <v/>
      </c>
      <c r="B494" s="53"/>
      <c r="C494" s="28" t="str">
        <f t="shared" si="28"/>
        <v/>
      </c>
      <c r="D494" s="28" t="str">
        <f t="shared" si="29"/>
        <v/>
      </c>
      <c r="E494" s="77"/>
      <c r="F494" s="45"/>
      <c r="G494" s="56"/>
      <c r="H494" s="83"/>
      <c r="I494" s="35" t="str">
        <f t="shared" si="30"/>
        <v/>
      </c>
    </row>
    <row r="495" spans="1:9">
      <c r="A495" s="10" t="str">
        <f t="shared" si="31"/>
        <v/>
      </c>
      <c r="B495" s="53"/>
      <c r="C495" s="28" t="str">
        <f t="shared" si="28"/>
        <v/>
      </c>
      <c r="D495" s="28" t="str">
        <f t="shared" si="29"/>
        <v/>
      </c>
      <c r="E495" s="77"/>
      <c r="F495" s="45"/>
      <c r="G495" s="56"/>
      <c r="H495" s="83"/>
      <c r="I495" s="35" t="str">
        <f t="shared" si="30"/>
        <v/>
      </c>
    </row>
    <row r="496" spans="1:9">
      <c r="A496" s="10" t="str">
        <f t="shared" si="31"/>
        <v/>
      </c>
      <c r="B496" s="53"/>
      <c r="C496" s="28" t="str">
        <f t="shared" si="28"/>
        <v/>
      </c>
      <c r="D496" s="28" t="str">
        <f t="shared" si="29"/>
        <v/>
      </c>
      <c r="E496" s="77"/>
      <c r="F496" s="45"/>
      <c r="G496" s="56"/>
      <c r="H496" s="83"/>
      <c r="I496" s="35" t="str">
        <f t="shared" si="30"/>
        <v/>
      </c>
    </row>
    <row r="497" spans="1:9">
      <c r="A497" s="10" t="str">
        <f t="shared" si="31"/>
        <v/>
      </c>
      <c r="B497" s="53"/>
      <c r="C497" s="28" t="str">
        <f t="shared" si="28"/>
        <v/>
      </c>
      <c r="D497" s="28" t="str">
        <f t="shared" si="29"/>
        <v/>
      </c>
      <c r="E497" s="77"/>
      <c r="F497" s="45"/>
      <c r="G497" s="56"/>
      <c r="H497" s="83"/>
      <c r="I497" s="35" t="str">
        <f t="shared" si="30"/>
        <v/>
      </c>
    </row>
    <row r="498" spans="1:9">
      <c r="A498" s="10" t="str">
        <f t="shared" si="31"/>
        <v/>
      </c>
      <c r="B498" s="53"/>
      <c r="C498" s="28" t="str">
        <f t="shared" si="28"/>
        <v/>
      </c>
      <c r="D498" s="28" t="str">
        <f t="shared" si="29"/>
        <v/>
      </c>
      <c r="E498" s="77"/>
      <c r="F498" s="45"/>
      <c r="G498" s="56"/>
      <c r="H498" s="83"/>
      <c r="I498" s="35" t="str">
        <f t="shared" si="30"/>
        <v/>
      </c>
    </row>
    <row r="499" spans="1:9">
      <c r="A499" s="10" t="str">
        <f t="shared" si="31"/>
        <v/>
      </c>
      <c r="B499" s="53"/>
      <c r="C499" s="28" t="str">
        <f t="shared" si="28"/>
        <v/>
      </c>
      <c r="D499" s="28" t="str">
        <f t="shared" si="29"/>
        <v/>
      </c>
      <c r="E499" s="77"/>
      <c r="F499" s="45"/>
      <c r="G499" s="56"/>
      <c r="H499" s="83"/>
      <c r="I499" s="35" t="str">
        <f t="shared" si="30"/>
        <v/>
      </c>
    </row>
    <row r="500" spans="1:9">
      <c r="A500" s="10" t="str">
        <f t="shared" si="31"/>
        <v/>
      </c>
      <c r="B500" s="53"/>
      <c r="C500" s="28" t="str">
        <f t="shared" si="28"/>
        <v/>
      </c>
      <c r="D500" s="28" t="str">
        <f t="shared" si="29"/>
        <v/>
      </c>
      <c r="E500" s="77"/>
      <c r="F500" s="45"/>
      <c r="G500" s="56"/>
      <c r="H500" s="83"/>
      <c r="I500" s="35" t="str">
        <f t="shared" si="30"/>
        <v/>
      </c>
    </row>
    <row r="501" spans="1:9">
      <c r="A501" s="10" t="str">
        <f t="shared" si="31"/>
        <v/>
      </c>
      <c r="B501" s="53"/>
      <c r="C501" s="28" t="str">
        <f t="shared" si="28"/>
        <v/>
      </c>
      <c r="D501" s="28" t="str">
        <f t="shared" si="29"/>
        <v/>
      </c>
      <c r="E501" s="77"/>
      <c r="F501" s="45"/>
      <c r="G501" s="56"/>
      <c r="H501" s="83"/>
      <c r="I501" s="35" t="str">
        <f t="shared" si="30"/>
        <v/>
      </c>
    </row>
    <row r="502" spans="1:9">
      <c r="A502" s="10" t="str">
        <f t="shared" si="31"/>
        <v/>
      </c>
      <c r="B502" s="53"/>
      <c r="C502" s="28" t="str">
        <f t="shared" si="28"/>
        <v/>
      </c>
      <c r="D502" s="28" t="str">
        <f t="shared" si="29"/>
        <v/>
      </c>
      <c r="E502" s="77"/>
      <c r="F502" s="45"/>
      <c r="G502" s="56"/>
      <c r="H502" s="83"/>
      <c r="I502" s="35" t="str">
        <f t="shared" si="30"/>
        <v/>
      </c>
    </row>
    <row r="503" spans="1:9">
      <c r="A503" s="10" t="str">
        <f t="shared" si="31"/>
        <v/>
      </c>
      <c r="B503" s="53"/>
      <c r="C503" s="28" t="str">
        <f t="shared" si="28"/>
        <v/>
      </c>
      <c r="D503" s="28" t="str">
        <f t="shared" si="29"/>
        <v/>
      </c>
      <c r="E503" s="77"/>
      <c r="F503" s="45"/>
      <c r="G503" s="56"/>
      <c r="H503" s="83"/>
      <c r="I503" s="35" t="str">
        <f t="shared" si="30"/>
        <v/>
      </c>
    </row>
    <row r="504" spans="1:9">
      <c r="A504" s="10" t="str">
        <f t="shared" si="31"/>
        <v/>
      </c>
      <c r="B504" s="53"/>
      <c r="C504" s="28" t="str">
        <f t="shared" si="28"/>
        <v/>
      </c>
      <c r="D504" s="28" t="str">
        <f t="shared" si="29"/>
        <v/>
      </c>
      <c r="E504" s="77"/>
      <c r="F504" s="45"/>
      <c r="G504" s="56"/>
      <c r="H504" s="83"/>
      <c r="I504" s="35" t="str">
        <f t="shared" si="30"/>
        <v/>
      </c>
    </row>
    <row r="505" spans="1:9">
      <c r="A505" s="10" t="str">
        <f t="shared" si="31"/>
        <v/>
      </c>
      <c r="B505" s="53"/>
      <c r="C505" s="28" t="str">
        <f t="shared" si="28"/>
        <v/>
      </c>
      <c r="D505" s="28" t="str">
        <f t="shared" si="29"/>
        <v/>
      </c>
      <c r="E505" s="77"/>
      <c r="F505" s="45"/>
      <c r="G505" s="56"/>
      <c r="H505" s="83"/>
      <c r="I505" s="35" t="str">
        <f t="shared" si="30"/>
        <v/>
      </c>
    </row>
    <row r="506" spans="1:9">
      <c r="A506" s="10" t="str">
        <f t="shared" si="31"/>
        <v/>
      </c>
      <c r="B506" s="53"/>
      <c r="C506" s="28" t="str">
        <f t="shared" si="28"/>
        <v/>
      </c>
      <c r="D506" s="28" t="str">
        <f t="shared" si="29"/>
        <v/>
      </c>
      <c r="E506" s="77"/>
      <c r="F506" s="45"/>
      <c r="G506" s="56"/>
      <c r="H506" s="83"/>
      <c r="I506" s="35" t="str">
        <f t="shared" si="30"/>
        <v/>
      </c>
    </row>
    <row r="507" spans="1:9">
      <c r="A507" s="10" t="str">
        <f t="shared" si="31"/>
        <v/>
      </c>
      <c r="B507" s="53"/>
      <c r="C507" s="28" t="str">
        <f t="shared" si="28"/>
        <v/>
      </c>
      <c r="D507" s="28" t="str">
        <f t="shared" si="29"/>
        <v/>
      </c>
      <c r="E507" s="77"/>
      <c r="F507" s="45"/>
      <c r="G507" s="56"/>
      <c r="H507" s="83"/>
      <c r="I507" s="35" t="str">
        <f t="shared" si="30"/>
        <v/>
      </c>
    </row>
    <row r="508" spans="1:9">
      <c r="A508" s="10" t="str">
        <f t="shared" si="31"/>
        <v/>
      </c>
      <c r="B508" s="53"/>
      <c r="C508" s="28" t="str">
        <f t="shared" si="28"/>
        <v/>
      </c>
      <c r="D508" s="28" t="str">
        <f t="shared" si="29"/>
        <v/>
      </c>
      <c r="E508" s="77"/>
      <c r="F508" s="45"/>
      <c r="G508" s="56"/>
      <c r="H508" s="83"/>
      <c r="I508" s="35" t="str">
        <f t="shared" si="30"/>
        <v/>
      </c>
    </row>
    <row r="509" spans="1:9">
      <c r="A509" s="10" t="str">
        <f t="shared" si="31"/>
        <v/>
      </c>
      <c r="B509" s="53"/>
      <c r="C509" s="28" t="str">
        <f t="shared" si="28"/>
        <v/>
      </c>
      <c r="D509" s="28" t="str">
        <f t="shared" si="29"/>
        <v/>
      </c>
      <c r="E509" s="77"/>
      <c r="F509" s="45"/>
      <c r="G509" s="56"/>
      <c r="H509" s="83"/>
      <c r="I509" s="35" t="str">
        <f t="shared" si="30"/>
        <v/>
      </c>
    </row>
    <row r="510" spans="1:9">
      <c r="A510" s="10" t="str">
        <f t="shared" si="31"/>
        <v/>
      </c>
      <c r="B510" s="53"/>
      <c r="C510" s="28" t="str">
        <f t="shared" si="28"/>
        <v/>
      </c>
      <c r="D510" s="28" t="str">
        <f t="shared" si="29"/>
        <v/>
      </c>
      <c r="E510" s="77"/>
      <c r="F510" s="45"/>
      <c r="G510" s="56"/>
      <c r="H510" s="83"/>
      <c r="I510" s="35" t="str">
        <f t="shared" si="30"/>
        <v/>
      </c>
    </row>
    <row r="511" spans="1:9">
      <c r="A511" s="10" t="str">
        <f t="shared" si="31"/>
        <v/>
      </c>
      <c r="B511" s="53"/>
      <c r="C511" s="28" t="str">
        <f t="shared" si="28"/>
        <v/>
      </c>
      <c r="D511" s="28" t="str">
        <f t="shared" si="29"/>
        <v/>
      </c>
      <c r="E511" s="77"/>
      <c r="F511" s="45"/>
      <c r="G511" s="56"/>
      <c r="H511" s="83"/>
      <c r="I511" s="35" t="str">
        <f t="shared" si="30"/>
        <v/>
      </c>
    </row>
    <row r="512" spans="1:9">
      <c r="A512" s="10" t="str">
        <f t="shared" si="31"/>
        <v/>
      </c>
      <c r="B512" s="53"/>
      <c r="C512" s="28" t="str">
        <f t="shared" si="28"/>
        <v/>
      </c>
      <c r="D512" s="28" t="str">
        <f t="shared" si="29"/>
        <v/>
      </c>
      <c r="E512" s="77"/>
      <c r="F512" s="45"/>
      <c r="G512" s="56"/>
      <c r="H512" s="83"/>
      <c r="I512" s="35" t="str">
        <f t="shared" si="30"/>
        <v/>
      </c>
    </row>
    <row r="513" spans="1:9">
      <c r="A513" s="10" t="str">
        <f t="shared" si="31"/>
        <v/>
      </c>
      <c r="B513" s="53"/>
      <c r="C513" s="28" t="str">
        <f t="shared" si="28"/>
        <v/>
      </c>
      <c r="D513" s="28" t="str">
        <f t="shared" si="29"/>
        <v/>
      </c>
      <c r="E513" s="77"/>
      <c r="F513" s="45"/>
      <c r="G513" s="56"/>
      <c r="H513" s="83"/>
      <c r="I513" s="35" t="str">
        <f t="shared" si="30"/>
        <v/>
      </c>
    </row>
    <row r="514" spans="1:9">
      <c r="A514" s="10" t="str">
        <f t="shared" si="31"/>
        <v/>
      </c>
      <c r="B514" s="53"/>
      <c r="C514" s="28" t="str">
        <f t="shared" si="28"/>
        <v/>
      </c>
      <c r="D514" s="28" t="str">
        <f t="shared" si="29"/>
        <v/>
      </c>
      <c r="E514" s="77"/>
      <c r="F514" s="45"/>
      <c r="G514" s="56"/>
      <c r="H514" s="83"/>
      <c r="I514" s="35" t="str">
        <f t="shared" si="30"/>
        <v/>
      </c>
    </row>
    <row r="515" spans="1:9">
      <c r="A515" s="10" t="str">
        <f t="shared" si="31"/>
        <v/>
      </c>
      <c r="B515" s="53"/>
      <c r="C515" s="28" t="str">
        <f t="shared" ref="C515:C578" si="32">IF(B515=0,"",TEXT(B515,"mmmm"))</f>
        <v/>
      </c>
      <c r="D515" s="28" t="str">
        <f t="shared" ref="D515:D578" si="33">IF(B515=0,"",TEXT(B515,"yyyy"))</f>
        <v/>
      </c>
      <c r="E515" s="77"/>
      <c r="F515" s="45"/>
      <c r="G515" s="56"/>
      <c r="H515" s="83"/>
      <c r="I515" s="35" t="str">
        <f t="shared" ref="I515:I578" si="34">IF(G515*H515=0,"",G515*H515)</f>
        <v/>
      </c>
    </row>
    <row r="516" spans="1:9">
      <c r="A516" s="10" t="str">
        <f t="shared" ref="A516:A579" si="35">IF(E516&gt;0,A515+1,"")</f>
        <v/>
      </c>
      <c r="B516" s="53"/>
      <c r="C516" s="28" t="str">
        <f t="shared" si="32"/>
        <v/>
      </c>
      <c r="D516" s="28" t="str">
        <f t="shared" si="33"/>
        <v/>
      </c>
      <c r="E516" s="77"/>
      <c r="F516" s="45"/>
      <c r="G516" s="56"/>
      <c r="H516" s="83"/>
      <c r="I516" s="35" t="str">
        <f t="shared" si="34"/>
        <v/>
      </c>
    </row>
    <row r="517" spans="1:9">
      <c r="A517" s="10" t="str">
        <f t="shared" si="35"/>
        <v/>
      </c>
      <c r="B517" s="53"/>
      <c r="C517" s="28" t="str">
        <f t="shared" si="32"/>
        <v/>
      </c>
      <c r="D517" s="28" t="str">
        <f t="shared" si="33"/>
        <v/>
      </c>
      <c r="E517" s="77"/>
      <c r="F517" s="45"/>
      <c r="G517" s="56"/>
      <c r="H517" s="83"/>
      <c r="I517" s="35" t="str">
        <f t="shared" si="34"/>
        <v/>
      </c>
    </row>
    <row r="518" spans="1:9">
      <c r="A518" s="10" t="str">
        <f t="shared" si="35"/>
        <v/>
      </c>
      <c r="B518" s="53"/>
      <c r="C518" s="28" t="str">
        <f t="shared" si="32"/>
        <v/>
      </c>
      <c r="D518" s="28" t="str">
        <f t="shared" si="33"/>
        <v/>
      </c>
      <c r="E518" s="77"/>
      <c r="F518" s="45"/>
      <c r="G518" s="56"/>
      <c r="H518" s="83"/>
      <c r="I518" s="35" t="str">
        <f t="shared" si="34"/>
        <v/>
      </c>
    </row>
    <row r="519" spans="1:9">
      <c r="A519" s="10" t="str">
        <f t="shared" si="35"/>
        <v/>
      </c>
      <c r="B519" s="53"/>
      <c r="C519" s="28" t="str">
        <f t="shared" si="32"/>
        <v/>
      </c>
      <c r="D519" s="28" t="str">
        <f t="shared" si="33"/>
        <v/>
      </c>
      <c r="E519" s="77"/>
      <c r="F519" s="45"/>
      <c r="G519" s="56"/>
      <c r="H519" s="83"/>
      <c r="I519" s="35" t="str">
        <f t="shared" si="34"/>
        <v/>
      </c>
    </row>
    <row r="520" spans="1:9">
      <c r="A520" s="10" t="str">
        <f t="shared" si="35"/>
        <v/>
      </c>
      <c r="B520" s="53"/>
      <c r="C520" s="28" t="str">
        <f t="shared" si="32"/>
        <v/>
      </c>
      <c r="D520" s="28" t="str">
        <f t="shared" si="33"/>
        <v/>
      </c>
      <c r="E520" s="77"/>
      <c r="F520" s="45"/>
      <c r="G520" s="56"/>
      <c r="H520" s="83"/>
      <c r="I520" s="35" t="str">
        <f t="shared" si="34"/>
        <v/>
      </c>
    </row>
    <row r="521" spans="1:9">
      <c r="A521" s="10" t="str">
        <f t="shared" si="35"/>
        <v/>
      </c>
      <c r="B521" s="53"/>
      <c r="C521" s="28" t="str">
        <f t="shared" si="32"/>
        <v/>
      </c>
      <c r="D521" s="28" t="str">
        <f t="shared" si="33"/>
        <v/>
      </c>
      <c r="E521" s="77"/>
      <c r="F521" s="45"/>
      <c r="G521" s="56"/>
      <c r="H521" s="83"/>
      <c r="I521" s="35" t="str">
        <f t="shared" si="34"/>
        <v/>
      </c>
    </row>
    <row r="522" spans="1:9">
      <c r="A522" s="10" t="str">
        <f t="shared" si="35"/>
        <v/>
      </c>
      <c r="B522" s="53"/>
      <c r="C522" s="28" t="str">
        <f t="shared" si="32"/>
        <v/>
      </c>
      <c r="D522" s="28" t="str">
        <f t="shared" si="33"/>
        <v/>
      </c>
      <c r="E522" s="77"/>
      <c r="F522" s="45"/>
      <c r="G522" s="56"/>
      <c r="H522" s="83"/>
      <c r="I522" s="35" t="str">
        <f t="shared" si="34"/>
        <v/>
      </c>
    </row>
    <row r="523" spans="1:9">
      <c r="A523" s="10" t="str">
        <f t="shared" si="35"/>
        <v/>
      </c>
      <c r="B523" s="53"/>
      <c r="C523" s="28" t="str">
        <f t="shared" si="32"/>
        <v/>
      </c>
      <c r="D523" s="28" t="str">
        <f t="shared" si="33"/>
        <v/>
      </c>
      <c r="E523" s="77"/>
      <c r="F523" s="45"/>
      <c r="G523" s="56"/>
      <c r="H523" s="83"/>
      <c r="I523" s="35" t="str">
        <f t="shared" si="34"/>
        <v/>
      </c>
    </row>
    <row r="524" spans="1:9">
      <c r="A524" s="10" t="str">
        <f t="shared" si="35"/>
        <v/>
      </c>
      <c r="B524" s="53"/>
      <c r="C524" s="28" t="str">
        <f t="shared" si="32"/>
        <v/>
      </c>
      <c r="D524" s="28" t="str">
        <f t="shared" si="33"/>
        <v/>
      </c>
      <c r="E524" s="77"/>
      <c r="F524" s="45"/>
      <c r="G524" s="56"/>
      <c r="H524" s="83"/>
      <c r="I524" s="35" t="str">
        <f t="shared" si="34"/>
        <v/>
      </c>
    </row>
    <row r="525" spans="1:9">
      <c r="A525" s="10" t="str">
        <f t="shared" si="35"/>
        <v/>
      </c>
      <c r="B525" s="53"/>
      <c r="C525" s="28" t="str">
        <f t="shared" si="32"/>
        <v/>
      </c>
      <c r="D525" s="28" t="str">
        <f t="shared" si="33"/>
        <v/>
      </c>
      <c r="E525" s="77"/>
      <c r="F525" s="45"/>
      <c r="G525" s="56"/>
      <c r="H525" s="83"/>
      <c r="I525" s="35" t="str">
        <f t="shared" si="34"/>
        <v/>
      </c>
    </row>
    <row r="526" spans="1:9">
      <c r="A526" s="10" t="str">
        <f t="shared" si="35"/>
        <v/>
      </c>
      <c r="B526" s="53"/>
      <c r="C526" s="28" t="str">
        <f t="shared" si="32"/>
        <v/>
      </c>
      <c r="D526" s="28" t="str">
        <f t="shared" si="33"/>
        <v/>
      </c>
      <c r="E526" s="77"/>
      <c r="F526" s="45"/>
      <c r="G526" s="56"/>
      <c r="H526" s="83"/>
      <c r="I526" s="35" t="str">
        <f t="shared" si="34"/>
        <v/>
      </c>
    </row>
    <row r="527" spans="1:9">
      <c r="A527" s="10" t="str">
        <f t="shared" si="35"/>
        <v/>
      </c>
      <c r="B527" s="53"/>
      <c r="C527" s="28" t="str">
        <f t="shared" si="32"/>
        <v/>
      </c>
      <c r="D527" s="28" t="str">
        <f t="shared" si="33"/>
        <v/>
      </c>
      <c r="E527" s="77"/>
      <c r="F527" s="45"/>
      <c r="G527" s="56"/>
      <c r="H527" s="83"/>
      <c r="I527" s="35" t="str">
        <f t="shared" si="34"/>
        <v/>
      </c>
    </row>
    <row r="528" spans="1:9">
      <c r="A528" s="10" t="str">
        <f t="shared" si="35"/>
        <v/>
      </c>
      <c r="B528" s="53"/>
      <c r="C528" s="28" t="str">
        <f t="shared" si="32"/>
        <v/>
      </c>
      <c r="D528" s="28" t="str">
        <f t="shared" si="33"/>
        <v/>
      </c>
      <c r="E528" s="77"/>
      <c r="F528" s="45"/>
      <c r="G528" s="56"/>
      <c r="H528" s="83"/>
      <c r="I528" s="35" t="str">
        <f t="shared" si="34"/>
        <v/>
      </c>
    </row>
    <row r="529" spans="1:9">
      <c r="A529" s="10" t="str">
        <f t="shared" si="35"/>
        <v/>
      </c>
      <c r="B529" s="53"/>
      <c r="C529" s="28" t="str">
        <f t="shared" si="32"/>
        <v/>
      </c>
      <c r="D529" s="28" t="str">
        <f t="shared" si="33"/>
        <v/>
      </c>
      <c r="E529" s="77"/>
      <c r="F529" s="45"/>
      <c r="G529" s="56"/>
      <c r="H529" s="83"/>
      <c r="I529" s="35" t="str">
        <f t="shared" si="34"/>
        <v/>
      </c>
    </row>
    <row r="530" spans="1:9">
      <c r="A530" s="10" t="str">
        <f t="shared" si="35"/>
        <v/>
      </c>
      <c r="B530" s="53"/>
      <c r="C530" s="28" t="str">
        <f t="shared" si="32"/>
        <v/>
      </c>
      <c r="D530" s="28" t="str">
        <f t="shared" si="33"/>
        <v/>
      </c>
      <c r="E530" s="77"/>
      <c r="F530" s="45"/>
      <c r="G530" s="56"/>
      <c r="H530" s="83"/>
      <c r="I530" s="35" t="str">
        <f t="shared" si="34"/>
        <v/>
      </c>
    </row>
    <row r="531" spans="1:9">
      <c r="A531" s="10" t="str">
        <f t="shared" si="35"/>
        <v/>
      </c>
      <c r="B531" s="53"/>
      <c r="C531" s="28" t="str">
        <f t="shared" si="32"/>
        <v/>
      </c>
      <c r="D531" s="28" t="str">
        <f t="shared" si="33"/>
        <v/>
      </c>
      <c r="E531" s="77"/>
      <c r="F531" s="45"/>
      <c r="G531" s="56"/>
      <c r="H531" s="83"/>
      <c r="I531" s="35" t="str">
        <f t="shared" si="34"/>
        <v/>
      </c>
    </row>
    <row r="532" spans="1:9">
      <c r="A532" s="10" t="str">
        <f t="shared" si="35"/>
        <v/>
      </c>
      <c r="B532" s="53"/>
      <c r="C532" s="28" t="str">
        <f t="shared" si="32"/>
        <v/>
      </c>
      <c r="D532" s="28" t="str">
        <f t="shared" si="33"/>
        <v/>
      </c>
      <c r="E532" s="77"/>
      <c r="F532" s="45"/>
      <c r="G532" s="56"/>
      <c r="H532" s="83"/>
      <c r="I532" s="35" t="str">
        <f t="shared" si="34"/>
        <v/>
      </c>
    </row>
    <row r="533" spans="1:9">
      <c r="A533" s="10" t="str">
        <f t="shared" si="35"/>
        <v/>
      </c>
      <c r="B533" s="53"/>
      <c r="C533" s="28" t="str">
        <f t="shared" si="32"/>
        <v/>
      </c>
      <c r="D533" s="28" t="str">
        <f t="shared" si="33"/>
        <v/>
      </c>
      <c r="E533" s="77"/>
      <c r="F533" s="45"/>
      <c r="G533" s="56"/>
      <c r="H533" s="83"/>
      <c r="I533" s="35" t="str">
        <f t="shared" si="34"/>
        <v/>
      </c>
    </row>
    <row r="534" spans="1:9">
      <c r="A534" s="10" t="str">
        <f t="shared" si="35"/>
        <v/>
      </c>
      <c r="B534" s="53"/>
      <c r="C534" s="28" t="str">
        <f t="shared" si="32"/>
        <v/>
      </c>
      <c r="D534" s="28" t="str">
        <f t="shared" si="33"/>
        <v/>
      </c>
      <c r="E534" s="77"/>
      <c r="F534" s="45"/>
      <c r="G534" s="56"/>
      <c r="H534" s="83"/>
      <c r="I534" s="35" t="str">
        <f t="shared" si="34"/>
        <v/>
      </c>
    </row>
    <row r="535" spans="1:9">
      <c r="A535" s="10" t="str">
        <f t="shared" si="35"/>
        <v/>
      </c>
      <c r="B535" s="53"/>
      <c r="C535" s="28" t="str">
        <f t="shared" si="32"/>
        <v/>
      </c>
      <c r="D535" s="28" t="str">
        <f t="shared" si="33"/>
        <v/>
      </c>
      <c r="E535" s="77"/>
      <c r="F535" s="45"/>
      <c r="G535" s="56"/>
      <c r="H535" s="83"/>
      <c r="I535" s="35" t="str">
        <f t="shared" si="34"/>
        <v/>
      </c>
    </row>
    <row r="536" spans="1:9">
      <c r="A536" s="10" t="str">
        <f t="shared" si="35"/>
        <v/>
      </c>
      <c r="B536" s="53"/>
      <c r="C536" s="28" t="str">
        <f t="shared" si="32"/>
        <v/>
      </c>
      <c r="D536" s="28" t="str">
        <f t="shared" si="33"/>
        <v/>
      </c>
      <c r="E536" s="77"/>
      <c r="F536" s="45"/>
      <c r="G536" s="56"/>
      <c r="H536" s="83"/>
      <c r="I536" s="35" t="str">
        <f t="shared" si="34"/>
        <v/>
      </c>
    </row>
    <row r="537" spans="1:9">
      <c r="A537" s="10" t="str">
        <f t="shared" si="35"/>
        <v/>
      </c>
      <c r="B537" s="53"/>
      <c r="C537" s="28" t="str">
        <f t="shared" si="32"/>
        <v/>
      </c>
      <c r="D537" s="28" t="str">
        <f t="shared" si="33"/>
        <v/>
      </c>
      <c r="E537" s="77"/>
      <c r="F537" s="45"/>
      <c r="G537" s="56"/>
      <c r="H537" s="83"/>
      <c r="I537" s="35" t="str">
        <f t="shared" si="34"/>
        <v/>
      </c>
    </row>
    <row r="538" spans="1:9">
      <c r="A538" s="10" t="str">
        <f t="shared" si="35"/>
        <v/>
      </c>
      <c r="B538" s="53"/>
      <c r="C538" s="28" t="str">
        <f t="shared" si="32"/>
        <v/>
      </c>
      <c r="D538" s="28" t="str">
        <f t="shared" si="33"/>
        <v/>
      </c>
      <c r="E538" s="77"/>
      <c r="F538" s="45"/>
      <c r="G538" s="56"/>
      <c r="H538" s="83"/>
      <c r="I538" s="35" t="str">
        <f t="shared" si="34"/>
        <v/>
      </c>
    </row>
    <row r="539" spans="1:9">
      <c r="A539" s="10" t="str">
        <f t="shared" si="35"/>
        <v/>
      </c>
      <c r="B539" s="53"/>
      <c r="C539" s="28" t="str">
        <f t="shared" si="32"/>
        <v/>
      </c>
      <c r="D539" s="28" t="str">
        <f t="shared" si="33"/>
        <v/>
      </c>
      <c r="E539" s="77"/>
      <c r="F539" s="45"/>
      <c r="G539" s="56"/>
      <c r="H539" s="83"/>
      <c r="I539" s="35" t="str">
        <f t="shared" si="34"/>
        <v/>
      </c>
    </row>
    <row r="540" spans="1:9">
      <c r="A540" s="10" t="str">
        <f t="shared" si="35"/>
        <v/>
      </c>
      <c r="B540" s="53"/>
      <c r="C540" s="28" t="str">
        <f t="shared" si="32"/>
        <v/>
      </c>
      <c r="D540" s="28" t="str">
        <f t="shared" si="33"/>
        <v/>
      </c>
      <c r="E540" s="77"/>
      <c r="F540" s="45"/>
      <c r="G540" s="56"/>
      <c r="H540" s="83"/>
      <c r="I540" s="35" t="str">
        <f t="shared" si="34"/>
        <v/>
      </c>
    </row>
    <row r="541" spans="1:9">
      <c r="A541" s="10" t="str">
        <f t="shared" si="35"/>
        <v/>
      </c>
      <c r="B541" s="53"/>
      <c r="C541" s="28" t="str">
        <f t="shared" si="32"/>
        <v/>
      </c>
      <c r="D541" s="28" t="str">
        <f t="shared" si="33"/>
        <v/>
      </c>
      <c r="E541" s="77"/>
      <c r="F541" s="45"/>
      <c r="G541" s="56"/>
      <c r="H541" s="83"/>
      <c r="I541" s="35" t="str">
        <f t="shared" si="34"/>
        <v/>
      </c>
    </row>
    <row r="542" spans="1:9">
      <c r="A542" s="10" t="str">
        <f t="shared" si="35"/>
        <v/>
      </c>
      <c r="B542" s="53"/>
      <c r="C542" s="28" t="str">
        <f t="shared" si="32"/>
        <v/>
      </c>
      <c r="D542" s="28" t="str">
        <f t="shared" si="33"/>
        <v/>
      </c>
      <c r="E542" s="77"/>
      <c r="F542" s="45"/>
      <c r="G542" s="56"/>
      <c r="H542" s="83"/>
      <c r="I542" s="35" t="str">
        <f t="shared" si="34"/>
        <v/>
      </c>
    </row>
    <row r="543" spans="1:9">
      <c r="A543" s="10" t="str">
        <f t="shared" si="35"/>
        <v/>
      </c>
      <c r="B543" s="53"/>
      <c r="C543" s="28" t="str">
        <f t="shared" si="32"/>
        <v/>
      </c>
      <c r="D543" s="28" t="str">
        <f t="shared" si="33"/>
        <v/>
      </c>
      <c r="E543" s="77"/>
      <c r="F543" s="45"/>
      <c r="G543" s="56"/>
      <c r="H543" s="83"/>
      <c r="I543" s="35" t="str">
        <f t="shared" si="34"/>
        <v/>
      </c>
    </row>
    <row r="544" spans="1:9">
      <c r="A544" s="10" t="str">
        <f t="shared" si="35"/>
        <v/>
      </c>
      <c r="B544" s="53"/>
      <c r="C544" s="28" t="str">
        <f t="shared" si="32"/>
        <v/>
      </c>
      <c r="D544" s="28" t="str">
        <f t="shared" si="33"/>
        <v/>
      </c>
      <c r="E544" s="77"/>
      <c r="F544" s="45"/>
      <c r="G544" s="56"/>
      <c r="H544" s="83"/>
      <c r="I544" s="35" t="str">
        <f t="shared" si="34"/>
        <v/>
      </c>
    </row>
    <row r="545" spans="1:9">
      <c r="A545" s="10" t="str">
        <f t="shared" si="35"/>
        <v/>
      </c>
      <c r="B545" s="53"/>
      <c r="C545" s="28" t="str">
        <f t="shared" si="32"/>
        <v/>
      </c>
      <c r="D545" s="28" t="str">
        <f t="shared" si="33"/>
        <v/>
      </c>
      <c r="E545" s="77"/>
      <c r="F545" s="45"/>
      <c r="G545" s="56"/>
      <c r="H545" s="83"/>
      <c r="I545" s="35" t="str">
        <f t="shared" si="34"/>
        <v/>
      </c>
    </row>
    <row r="546" spans="1:9">
      <c r="A546" s="10" t="str">
        <f t="shared" si="35"/>
        <v/>
      </c>
      <c r="B546" s="53"/>
      <c r="C546" s="28" t="str">
        <f t="shared" si="32"/>
        <v/>
      </c>
      <c r="D546" s="28" t="str">
        <f t="shared" si="33"/>
        <v/>
      </c>
      <c r="E546" s="77"/>
      <c r="F546" s="45"/>
      <c r="G546" s="56"/>
      <c r="H546" s="83"/>
      <c r="I546" s="35" t="str">
        <f t="shared" si="34"/>
        <v/>
      </c>
    </row>
    <row r="547" spans="1:9">
      <c r="A547" s="10" t="str">
        <f t="shared" si="35"/>
        <v/>
      </c>
      <c r="B547" s="53"/>
      <c r="C547" s="28" t="str">
        <f t="shared" si="32"/>
        <v/>
      </c>
      <c r="D547" s="28" t="str">
        <f t="shared" si="33"/>
        <v/>
      </c>
      <c r="E547" s="77"/>
      <c r="F547" s="45"/>
      <c r="G547" s="56"/>
      <c r="H547" s="83"/>
      <c r="I547" s="35" t="str">
        <f t="shared" si="34"/>
        <v/>
      </c>
    </row>
    <row r="548" spans="1:9">
      <c r="A548" s="10" t="str">
        <f t="shared" si="35"/>
        <v/>
      </c>
      <c r="B548" s="53"/>
      <c r="C548" s="28" t="str">
        <f t="shared" si="32"/>
        <v/>
      </c>
      <c r="D548" s="28" t="str">
        <f t="shared" si="33"/>
        <v/>
      </c>
      <c r="E548" s="77"/>
      <c r="F548" s="45"/>
      <c r="G548" s="56"/>
      <c r="H548" s="83"/>
      <c r="I548" s="35" t="str">
        <f t="shared" si="34"/>
        <v/>
      </c>
    </row>
    <row r="549" spans="1:9">
      <c r="A549" s="10" t="str">
        <f t="shared" si="35"/>
        <v/>
      </c>
      <c r="B549" s="53"/>
      <c r="C549" s="28" t="str">
        <f t="shared" si="32"/>
        <v/>
      </c>
      <c r="D549" s="28" t="str">
        <f t="shared" si="33"/>
        <v/>
      </c>
      <c r="E549" s="77"/>
      <c r="F549" s="45"/>
      <c r="G549" s="56"/>
      <c r="H549" s="83"/>
      <c r="I549" s="35" t="str">
        <f t="shared" si="34"/>
        <v/>
      </c>
    </row>
    <row r="550" spans="1:9">
      <c r="A550" s="10" t="str">
        <f t="shared" si="35"/>
        <v/>
      </c>
      <c r="B550" s="53"/>
      <c r="C550" s="28" t="str">
        <f t="shared" si="32"/>
        <v/>
      </c>
      <c r="D550" s="28" t="str">
        <f t="shared" si="33"/>
        <v/>
      </c>
      <c r="E550" s="77"/>
      <c r="F550" s="45"/>
      <c r="G550" s="56"/>
      <c r="H550" s="83"/>
      <c r="I550" s="35" t="str">
        <f t="shared" si="34"/>
        <v/>
      </c>
    </row>
    <row r="551" spans="1:9">
      <c r="A551" s="10" t="str">
        <f t="shared" si="35"/>
        <v/>
      </c>
      <c r="B551" s="53"/>
      <c r="C551" s="28" t="str">
        <f t="shared" si="32"/>
        <v/>
      </c>
      <c r="D551" s="28" t="str">
        <f t="shared" si="33"/>
        <v/>
      </c>
      <c r="E551" s="77"/>
      <c r="F551" s="45"/>
      <c r="G551" s="56"/>
      <c r="H551" s="83"/>
      <c r="I551" s="35" t="str">
        <f t="shared" si="34"/>
        <v/>
      </c>
    </row>
    <row r="552" spans="1:9">
      <c r="A552" s="10" t="str">
        <f t="shared" si="35"/>
        <v/>
      </c>
      <c r="B552" s="53"/>
      <c r="C552" s="28" t="str">
        <f t="shared" si="32"/>
        <v/>
      </c>
      <c r="D552" s="28" t="str">
        <f t="shared" si="33"/>
        <v/>
      </c>
      <c r="E552" s="77"/>
      <c r="F552" s="45"/>
      <c r="G552" s="56"/>
      <c r="H552" s="83"/>
      <c r="I552" s="35" t="str">
        <f t="shared" si="34"/>
        <v/>
      </c>
    </row>
    <row r="553" spans="1:9">
      <c r="A553" s="10" t="str">
        <f t="shared" si="35"/>
        <v/>
      </c>
      <c r="B553" s="53"/>
      <c r="C553" s="28" t="str">
        <f t="shared" si="32"/>
        <v/>
      </c>
      <c r="D553" s="28" t="str">
        <f t="shared" si="33"/>
        <v/>
      </c>
      <c r="E553" s="77"/>
      <c r="F553" s="45"/>
      <c r="G553" s="56"/>
      <c r="H553" s="83"/>
      <c r="I553" s="35" t="str">
        <f t="shared" si="34"/>
        <v/>
      </c>
    </row>
    <row r="554" spans="1:9">
      <c r="A554" s="10" t="str">
        <f t="shared" si="35"/>
        <v/>
      </c>
      <c r="B554" s="53"/>
      <c r="C554" s="28" t="str">
        <f t="shared" si="32"/>
        <v/>
      </c>
      <c r="D554" s="28" t="str">
        <f t="shared" si="33"/>
        <v/>
      </c>
      <c r="E554" s="77"/>
      <c r="F554" s="45"/>
      <c r="G554" s="56"/>
      <c r="H554" s="83"/>
      <c r="I554" s="35" t="str">
        <f t="shared" si="34"/>
        <v/>
      </c>
    </row>
    <row r="555" spans="1:9">
      <c r="A555" s="10" t="str">
        <f t="shared" si="35"/>
        <v/>
      </c>
      <c r="B555" s="53"/>
      <c r="C555" s="28" t="str">
        <f t="shared" si="32"/>
        <v/>
      </c>
      <c r="D555" s="28" t="str">
        <f t="shared" si="33"/>
        <v/>
      </c>
      <c r="E555" s="77"/>
      <c r="F555" s="45"/>
      <c r="G555" s="56"/>
      <c r="H555" s="83"/>
      <c r="I555" s="35" t="str">
        <f t="shared" si="34"/>
        <v/>
      </c>
    </row>
    <row r="556" spans="1:9">
      <c r="A556" s="10" t="str">
        <f t="shared" si="35"/>
        <v/>
      </c>
      <c r="B556" s="53"/>
      <c r="C556" s="28" t="str">
        <f t="shared" si="32"/>
        <v/>
      </c>
      <c r="D556" s="28" t="str">
        <f t="shared" si="33"/>
        <v/>
      </c>
      <c r="E556" s="77"/>
      <c r="F556" s="45"/>
      <c r="G556" s="56"/>
      <c r="H556" s="83"/>
      <c r="I556" s="35" t="str">
        <f t="shared" si="34"/>
        <v/>
      </c>
    </row>
    <row r="557" spans="1:9">
      <c r="A557" s="10" t="str">
        <f t="shared" si="35"/>
        <v/>
      </c>
      <c r="B557" s="53"/>
      <c r="C557" s="28" t="str">
        <f t="shared" si="32"/>
        <v/>
      </c>
      <c r="D557" s="28" t="str">
        <f t="shared" si="33"/>
        <v/>
      </c>
      <c r="E557" s="77"/>
      <c r="F557" s="45"/>
      <c r="G557" s="56"/>
      <c r="H557" s="83"/>
      <c r="I557" s="35" t="str">
        <f t="shared" si="34"/>
        <v/>
      </c>
    </row>
    <row r="558" spans="1:9">
      <c r="A558" s="10" t="str">
        <f t="shared" si="35"/>
        <v/>
      </c>
      <c r="B558" s="53"/>
      <c r="C558" s="28" t="str">
        <f t="shared" si="32"/>
        <v/>
      </c>
      <c r="D558" s="28" t="str">
        <f t="shared" si="33"/>
        <v/>
      </c>
      <c r="E558" s="77"/>
      <c r="F558" s="45"/>
      <c r="G558" s="56"/>
      <c r="H558" s="83"/>
      <c r="I558" s="35" t="str">
        <f t="shared" si="34"/>
        <v/>
      </c>
    </row>
    <row r="559" spans="1:9">
      <c r="A559" s="10" t="str">
        <f t="shared" si="35"/>
        <v/>
      </c>
      <c r="B559" s="53"/>
      <c r="C559" s="28" t="str">
        <f t="shared" si="32"/>
        <v/>
      </c>
      <c r="D559" s="28" t="str">
        <f t="shared" si="33"/>
        <v/>
      </c>
      <c r="E559" s="77"/>
      <c r="F559" s="45"/>
      <c r="G559" s="56"/>
      <c r="H559" s="83"/>
      <c r="I559" s="35" t="str">
        <f t="shared" si="34"/>
        <v/>
      </c>
    </row>
    <row r="560" spans="1:9">
      <c r="A560" s="10" t="str">
        <f t="shared" si="35"/>
        <v/>
      </c>
      <c r="B560" s="53"/>
      <c r="C560" s="28" t="str">
        <f t="shared" si="32"/>
        <v/>
      </c>
      <c r="D560" s="28" t="str">
        <f t="shared" si="33"/>
        <v/>
      </c>
      <c r="E560" s="77"/>
      <c r="F560" s="45"/>
      <c r="G560" s="56"/>
      <c r="H560" s="83"/>
      <c r="I560" s="35" t="str">
        <f t="shared" si="34"/>
        <v/>
      </c>
    </row>
    <row r="561" spans="1:9">
      <c r="A561" s="10" t="str">
        <f t="shared" si="35"/>
        <v/>
      </c>
      <c r="B561" s="53"/>
      <c r="C561" s="28" t="str">
        <f t="shared" si="32"/>
        <v/>
      </c>
      <c r="D561" s="28" t="str">
        <f t="shared" si="33"/>
        <v/>
      </c>
      <c r="E561" s="77"/>
      <c r="F561" s="45"/>
      <c r="G561" s="56"/>
      <c r="H561" s="83"/>
      <c r="I561" s="35" t="str">
        <f t="shared" si="34"/>
        <v/>
      </c>
    </row>
    <row r="562" spans="1:9">
      <c r="A562" s="10" t="str">
        <f t="shared" si="35"/>
        <v/>
      </c>
      <c r="B562" s="53"/>
      <c r="C562" s="28" t="str">
        <f t="shared" si="32"/>
        <v/>
      </c>
      <c r="D562" s="28" t="str">
        <f t="shared" si="33"/>
        <v/>
      </c>
      <c r="E562" s="77"/>
      <c r="F562" s="45"/>
      <c r="G562" s="56"/>
      <c r="H562" s="83"/>
      <c r="I562" s="35" t="str">
        <f t="shared" si="34"/>
        <v/>
      </c>
    </row>
    <row r="563" spans="1:9">
      <c r="A563" s="10" t="str">
        <f t="shared" si="35"/>
        <v/>
      </c>
      <c r="B563" s="53"/>
      <c r="C563" s="28" t="str">
        <f t="shared" si="32"/>
        <v/>
      </c>
      <c r="D563" s="28" t="str">
        <f t="shared" si="33"/>
        <v/>
      </c>
      <c r="E563" s="77"/>
      <c r="F563" s="45"/>
      <c r="G563" s="56"/>
      <c r="H563" s="83"/>
      <c r="I563" s="35" t="str">
        <f t="shared" si="34"/>
        <v/>
      </c>
    </row>
    <row r="564" spans="1:9">
      <c r="A564" s="10" t="str">
        <f t="shared" si="35"/>
        <v/>
      </c>
      <c r="B564" s="53"/>
      <c r="C564" s="28" t="str">
        <f t="shared" si="32"/>
        <v/>
      </c>
      <c r="D564" s="28" t="str">
        <f t="shared" si="33"/>
        <v/>
      </c>
      <c r="E564" s="77"/>
      <c r="F564" s="45"/>
      <c r="G564" s="56"/>
      <c r="H564" s="83"/>
      <c r="I564" s="35" t="str">
        <f t="shared" si="34"/>
        <v/>
      </c>
    </row>
    <row r="565" spans="1:9">
      <c r="A565" s="10" t="str">
        <f t="shared" si="35"/>
        <v/>
      </c>
      <c r="B565" s="53"/>
      <c r="C565" s="28" t="str">
        <f t="shared" si="32"/>
        <v/>
      </c>
      <c r="D565" s="28" t="str">
        <f t="shared" si="33"/>
        <v/>
      </c>
      <c r="E565" s="77"/>
      <c r="F565" s="45"/>
      <c r="G565" s="56"/>
      <c r="H565" s="83"/>
      <c r="I565" s="35" t="str">
        <f t="shared" si="34"/>
        <v/>
      </c>
    </row>
    <row r="566" spans="1:9">
      <c r="A566" s="10" t="str">
        <f t="shared" si="35"/>
        <v/>
      </c>
      <c r="B566" s="53"/>
      <c r="C566" s="28" t="str">
        <f t="shared" si="32"/>
        <v/>
      </c>
      <c r="D566" s="28" t="str">
        <f t="shared" si="33"/>
        <v/>
      </c>
      <c r="E566" s="77"/>
      <c r="F566" s="45"/>
      <c r="G566" s="56"/>
      <c r="H566" s="83"/>
      <c r="I566" s="35" t="str">
        <f t="shared" si="34"/>
        <v/>
      </c>
    </row>
    <row r="567" spans="1:9">
      <c r="A567" s="10" t="str">
        <f t="shared" si="35"/>
        <v/>
      </c>
      <c r="B567" s="53"/>
      <c r="C567" s="28" t="str">
        <f t="shared" si="32"/>
        <v/>
      </c>
      <c r="D567" s="28" t="str">
        <f t="shared" si="33"/>
        <v/>
      </c>
      <c r="E567" s="77"/>
      <c r="F567" s="45"/>
      <c r="G567" s="56"/>
      <c r="H567" s="83"/>
      <c r="I567" s="35" t="str">
        <f t="shared" si="34"/>
        <v/>
      </c>
    </row>
    <row r="568" spans="1:9">
      <c r="A568" s="10" t="str">
        <f t="shared" si="35"/>
        <v/>
      </c>
      <c r="B568" s="53"/>
      <c r="C568" s="28" t="str">
        <f t="shared" si="32"/>
        <v/>
      </c>
      <c r="D568" s="28" t="str">
        <f t="shared" si="33"/>
        <v/>
      </c>
      <c r="E568" s="77"/>
      <c r="F568" s="45"/>
      <c r="G568" s="56"/>
      <c r="H568" s="83"/>
      <c r="I568" s="35" t="str">
        <f t="shared" si="34"/>
        <v/>
      </c>
    </row>
    <row r="569" spans="1:9">
      <c r="A569" s="10" t="str">
        <f t="shared" si="35"/>
        <v/>
      </c>
      <c r="B569" s="53"/>
      <c r="C569" s="28" t="str">
        <f t="shared" si="32"/>
        <v/>
      </c>
      <c r="D569" s="28" t="str">
        <f t="shared" si="33"/>
        <v/>
      </c>
      <c r="E569" s="77"/>
      <c r="F569" s="45"/>
      <c r="G569" s="56"/>
      <c r="H569" s="83"/>
      <c r="I569" s="35" t="str">
        <f t="shared" si="34"/>
        <v/>
      </c>
    </row>
    <row r="570" spans="1:9">
      <c r="A570" s="10" t="str">
        <f t="shared" si="35"/>
        <v/>
      </c>
      <c r="B570" s="53"/>
      <c r="C570" s="28" t="str">
        <f t="shared" si="32"/>
        <v/>
      </c>
      <c r="D570" s="28" t="str">
        <f t="shared" si="33"/>
        <v/>
      </c>
      <c r="E570" s="77"/>
      <c r="F570" s="45"/>
      <c r="G570" s="56"/>
      <c r="H570" s="83"/>
      <c r="I570" s="35" t="str">
        <f t="shared" si="34"/>
        <v/>
      </c>
    </row>
    <row r="571" spans="1:9">
      <c r="A571" s="10" t="str">
        <f t="shared" si="35"/>
        <v/>
      </c>
      <c r="B571" s="53"/>
      <c r="C571" s="28" t="str">
        <f t="shared" si="32"/>
        <v/>
      </c>
      <c r="D571" s="28" t="str">
        <f t="shared" si="33"/>
        <v/>
      </c>
      <c r="E571" s="77"/>
      <c r="F571" s="45"/>
      <c r="G571" s="56"/>
      <c r="H571" s="83"/>
      <c r="I571" s="35" t="str">
        <f t="shared" si="34"/>
        <v/>
      </c>
    </row>
    <row r="572" spans="1:9">
      <c r="A572" s="10" t="str">
        <f t="shared" si="35"/>
        <v/>
      </c>
      <c r="B572" s="53"/>
      <c r="C572" s="28" t="str">
        <f t="shared" si="32"/>
        <v/>
      </c>
      <c r="D572" s="28" t="str">
        <f t="shared" si="33"/>
        <v/>
      </c>
      <c r="E572" s="77"/>
      <c r="F572" s="45"/>
      <c r="G572" s="56"/>
      <c r="H572" s="83"/>
      <c r="I572" s="35" t="str">
        <f t="shared" si="34"/>
        <v/>
      </c>
    </row>
    <row r="573" spans="1:9">
      <c r="A573" s="10" t="str">
        <f t="shared" si="35"/>
        <v/>
      </c>
      <c r="B573" s="53"/>
      <c r="C573" s="28" t="str">
        <f t="shared" si="32"/>
        <v/>
      </c>
      <c r="D573" s="28" t="str">
        <f t="shared" si="33"/>
        <v/>
      </c>
      <c r="E573" s="77"/>
      <c r="F573" s="45"/>
      <c r="G573" s="56"/>
      <c r="H573" s="83"/>
      <c r="I573" s="35" t="str">
        <f t="shared" si="34"/>
        <v/>
      </c>
    </row>
    <row r="574" spans="1:9">
      <c r="A574" s="10" t="str">
        <f t="shared" si="35"/>
        <v/>
      </c>
      <c r="B574" s="53"/>
      <c r="C574" s="28" t="str">
        <f t="shared" si="32"/>
        <v/>
      </c>
      <c r="D574" s="28" t="str">
        <f t="shared" si="33"/>
        <v/>
      </c>
      <c r="E574" s="77"/>
      <c r="F574" s="45"/>
      <c r="G574" s="56"/>
      <c r="H574" s="83"/>
      <c r="I574" s="35" t="str">
        <f t="shared" si="34"/>
        <v/>
      </c>
    </row>
    <row r="575" spans="1:9">
      <c r="A575" s="10" t="str">
        <f t="shared" si="35"/>
        <v/>
      </c>
      <c r="B575" s="53"/>
      <c r="C575" s="28" t="str">
        <f t="shared" si="32"/>
        <v/>
      </c>
      <c r="D575" s="28" t="str">
        <f t="shared" si="33"/>
        <v/>
      </c>
      <c r="E575" s="77"/>
      <c r="F575" s="45"/>
      <c r="G575" s="56"/>
      <c r="H575" s="83"/>
      <c r="I575" s="35" t="str">
        <f t="shared" si="34"/>
        <v/>
      </c>
    </row>
    <row r="576" spans="1:9">
      <c r="A576" s="10" t="str">
        <f t="shared" si="35"/>
        <v/>
      </c>
      <c r="B576" s="53"/>
      <c r="C576" s="28" t="str">
        <f t="shared" si="32"/>
        <v/>
      </c>
      <c r="D576" s="28" t="str">
        <f t="shared" si="33"/>
        <v/>
      </c>
      <c r="E576" s="77"/>
      <c r="F576" s="45"/>
      <c r="G576" s="56"/>
      <c r="H576" s="83"/>
      <c r="I576" s="35" t="str">
        <f t="shared" si="34"/>
        <v/>
      </c>
    </row>
    <row r="577" spans="1:9">
      <c r="A577" s="10" t="str">
        <f t="shared" si="35"/>
        <v/>
      </c>
      <c r="B577" s="53"/>
      <c r="C577" s="28" t="str">
        <f t="shared" si="32"/>
        <v/>
      </c>
      <c r="D577" s="28" t="str">
        <f t="shared" si="33"/>
        <v/>
      </c>
      <c r="E577" s="77"/>
      <c r="F577" s="45"/>
      <c r="G577" s="56"/>
      <c r="H577" s="83"/>
      <c r="I577" s="35" t="str">
        <f t="shared" si="34"/>
        <v/>
      </c>
    </row>
    <row r="578" spans="1:9">
      <c r="A578" s="10" t="str">
        <f t="shared" si="35"/>
        <v/>
      </c>
      <c r="B578" s="53"/>
      <c r="C578" s="28" t="str">
        <f t="shared" si="32"/>
        <v/>
      </c>
      <c r="D578" s="28" t="str">
        <f t="shared" si="33"/>
        <v/>
      </c>
      <c r="E578" s="77"/>
      <c r="F578" s="45"/>
      <c r="G578" s="56"/>
      <c r="H578" s="83"/>
      <c r="I578" s="35" t="str">
        <f t="shared" si="34"/>
        <v/>
      </c>
    </row>
    <row r="579" spans="1:9">
      <c r="A579" s="10" t="str">
        <f t="shared" si="35"/>
        <v/>
      </c>
      <c r="B579" s="53"/>
      <c r="C579" s="28" t="str">
        <f t="shared" ref="C579:C642" si="36">IF(B579=0,"",TEXT(B579,"mmmm"))</f>
        <v/>
      </c>
      <c r="D579" s="28" t="str">
        <f t="shared" ref="D579:D642" si="37">IF(B579=0,"",TEXT(B579,"yyyy"))</f>
        <v/>
      </c>
      <c r="E579" s="77"/>
      <c r="F579" s="45"/>
      <c r="G579" s="56"/>
      <c r="H579" s="83"/>
      <c r="I579" s="35" t="str">
        <f t="shared" ref="I579:I642" si="38">IF(G579*H579=0,"",G579*H579)</f>
        <v/>
      </c>
    </row>
    <row r="580" spans="1:9">
      <c r="A580" s="10" t="str">
        <f t="shared" ref="A580:A643" si="39">IF(E580&gt;0,A579+1,"")</f>
        <v/>
      </c>
      <c r="B580" s="53"/>
      <c r="C580" s="28" t="str">
        <f t="shared" si="36"/>
        <v/>
      </c>
      <c r="D580" s="28" t="str">
        <f t="shared" si="37"/>
        <v/>
      </c>
      <c r="E580" s="77"/>
      <c r="F580" s="45"/>
      <c r="G580" s="56"/>
      <c r="H580" s="83"/>
      <c r="I580" s="35" t="str">
        <f t="shared" si="38"/>
        <v/>
      </c>
    </row>
    <row r="581" spans="1:9">
      <c r="A581" s="10" t="str">
        <f t="shared" si="39"/>
        <v/>
      </c>
      <c r="B581" s="53"/>
      <c r="C581" s="28" t="str">
        <f t="shared" si="36"/>
        <v/>
      </c>
      <c r="D581" s="28" t="str">
        <f t="shared" si="37"/>
        <v/>
      </c>
      <c r="E581" s="77"/>
      <c r="F581" s="45"/>
      <c r="G581" s="56"/>
      <c r="H581" s="83"/>
      <c r="I581" s="35" t="str">
        <f t="shared" si="38"/>
        <v/>
      </c>
    </row>
    <row r="582" spans="1:9">
      <c r="A582" s="10" t="str">
        <f t="shared" si="39"/>
        <v/>
      </c>
      <c r="B582" s="53"/>
      <c r="C582" s="28" t="str">
        <f t="shared" si="36"/>
        <v/>
      </c>
      <c r="D582" s="28" t="str">
        <f t="shared" si="37"/>
        <v/>
      </c>
      <c r="E582" s="77"/>
      <c r="F582" s="45"/>
      <c r="G582" s="56"/>
      <c r="H582" s="83"/>
      <c r="I582" s="35" t="str">
        <f t="shared" si="38"/>
        <v/>
      </c>
    </row>
    <row r="583" spans="1:9">
      <c r="A583" s="10" t="str">
        <f t="shared" si="39"/>
        <v/>
      </c>
      <c r="B583" s="53"/>
      <c r="C583" s="28" t="str">
        <f t="shared" si="36"/>
        <v/>
      </c>
      <c r="D583" s="28" t="str">
        <f t="shared" si="37"/>
        <v/>
      </c>
      <c r="E583" s="77"/>
      <c r="F583" s="45"/>
      <c r="G583" s="56"/>
      <c r="H583" s="83"/>
      <c r="I583" s="35" t="str">
        <f t="shared" si="38"/>
        <v/>
      </c>
    </row>
    <row r="584" spans="1:9">
      <c r="A584" s="10" t="str">
        <f t="shared" si="39"/>
        <v/>
      </c>
      <c r="B584" s="53"/>
      <c r="C584" s="28" t="str">
        <f t="shared" si="36"/>
        <v/>
      </c>
      <c r="D584" s="28" t="str">
        <f t="shared" si="37"/>
        <v/>
      </c>
      <c r="E584" s="77"/>
      <c r="F584" s="45"/>
      <c r="G584" s="56"/>
      <c r="H584" s="83"/>
      <c r="I584" s="35" t="str">
        <f t="shared" si="38"/>
        <v/>
      </c>
    </row>
    <row r="585" spans="1:9">
      <c r="A585" s="10" t="str">
        <f t="shared" si="39"/>
        <v/>
      </c>
      <c r="B585" s="53"/>
      <c r="C585" s="28" t="str">
        <f t="shared" si="36"/>
        <v/>
      </c>
      <c r="D585" s="28" t="str">
        <f t="shared" si="37"/>
        <v/>
      </c>
      <c r="E585" s="77"/>
      <c r="F585" s="45"/>
      <c r="G585" s="56"/>
      <c r="H585" s="83"/>
      <c r="I585" s="35" t="str">
        <f t="shared" si="38"/>
        <v/>
      </c>
    </row>
    <row r="586" spans="1:9">
      <c r="A586" s="10" t="str">
        <f t="shared" si="39"/>
        <v/>
      </c>
      <c r="B586" s="53"/>
      <c r="C586" s="28" t="str">
        <f t="shared" si="36"/>
        <v/>
      </c>
      <c r="D586" s="28" t="str">
        <f t="shared" si="37"/>
        <v/>
      </c>
      <c r="E586" s="77"/>
      <c r="F586" s="45"/>
      <c r="G586" s="56"/>
      <c r="H586" s="83"/>
      <c r="I586" s="35" t="str">
        <f t="shared" si="38"/>
        <v/>
      </c>
    </row>
    <row r="587" spans="1:9">
      <c r="A587" s="10" t="str">
        <f t="shared" si="39"/>
        <v/>
      </c>
      <c r="B587" s="53"/>
      <c r="C587" s="28" t="str">
        <f t="shared" si="36"/>
        <v/>
      </c>
      <c r="D587" s="28" t="str">
        <f t="shared" si="37"/>
        <v/>
      </c>
      <c r="E587" s="77"/>
      <c r="F587" s="45"/>
      <c r="G587" s="56"/>
      <c r="H587" s="83"/>
      <c r="I587" s="35" t="str">
        <f t="shared" si="38"/>
        <v/>
      </c>
    </row>
    <row r="588" spans="1:9">
      <c r="A588" s="10" t="str">
        <f t="shared" si="39"/>
        <v/>
      </c>
      <c r="B588" s="53"/>
      <c r="C588" s="28" t="str">
        <f t="shared" si="36"/>
        <v/>
      </c>
      <c r="D588" s="28" t="str">
        <f t="shared" si="37"/>
        <v/>
      </c>
      <c r="E588" s="77"/>
      <c r="F588" s="45"/>
      <c r="G588" s="56"/>
      <c r="H588" s="83"/>
      <c r="I588" s="35" t="str">
        <f t="shared" si="38"/>
        <v/>
      </c>
    </row>
    <row r="589" spans="1:9">
      <c r="A589" s="10" t="str">
        <f t="shared" si="39"/>
        <v/>
      </c>
      <c r="B589" s="53"/>
      <c r="C589" s="28" t="str">
        <f t="shared" si="36"/>
        <v/>
      </c>
      <c r="D589" s="28" t="str">
        <f t="shared" si="37"/>
        <v/>
      </c>
      <c r="E589" s="77"/>
      <c r="F589" s="45"/>
      <c r="G589" s="56"/>
      <c r="H589" s="83"/>
      <c r="I589" s="35" t="str">
        <f t="shared" si="38"/>
        <v/>
      </c>
    </row>
    <row r="590" spans="1:9">
      <c r="A590" s="10" t="str">
        <f t="shared" si="39"/>
        <v/>
      </c>
      <c r="B590" s="53"/>
      <c r="C590" s="28" t="str">
        <f t="shared" si="36"/>
        <v/>
      </c>
      <c r="D590" s="28" t="str">
        <f t="shared" si="37"/>
        <v/>
      </c>
      <c r="E590" s="77"/>
      <c r="F590" s="45"/>
      <c r="G590" s="56"/>
      <c r="H590" s="83"/>
      <c r="I590" s="35" t="str">
        <f t="shared" si="38"/>
        <v/>
      </c>
    </row>
    <row r="591" spans="1:9">
      <c r="A591" s="10" t="str">
        <f t="shared" si="39"/>
        <v/>
      </c>
      <c r="B591" s="53"/>
      <c r="C591" s="28" t="str">
        <f t="shared" si="36"/>
        <v/>
      </c>
      <c r="D591" s="28" t="str">
        <f t="shared" si="37"/>
        <v/>
      </c>
      <c r="E591" s="77"/>
      <c r="F591" s="45"/>
      <c r="G591" s="56"/>
      <c r="H591" s="83"/>
      <c r="I591" s="35" t="str">
        <f t="shared" si="38"/>
        <v/>
      </c>
    </row>
    <row r="592" spans="1:9">
      <c r="A592" s="10" t="str">
        <f t="shared" si="39"/>
        <v/>
      </c>
      <c r="B592" s="53"/>
      <c r="C592" s="28" t="str">
        <f t="shared" si="36"/>
        <v/>
      </c>
      <c r="D592" s="28" t="str">
        <f t="shared" si="37"/>
        <v/>
      </c>
      <c r="E592" s="77"/>
      <c r="F592" s="45"/>
      <c r="G592" s="56"/>
      <c r="H592" s="83"/>
      <c r="I592" s="35" t="str">
        <f t="shared" si="38"/>
        <v/>
      </c>
    </row>
    <row r="593" spans="1:9">
      <c r="A593" s="10" t="str">
        <f t="shared" si="39"/>
        <v/>
      </c>
      <c r="B593" s="53"/>
      <c r="C593" s="28" t="str">
        <f t="shared" si="36"/>
        <v/>
      </c>
      <c r="D593" s="28" t="str">
        <f t="shared" si="37"/>
        <v/>
      </c>
      <c r="E593" s="77"/>
      <c r="F593" s="45"/>
      <c r="G593" s="56"/>
      <c r="H593" s="83"/>
      <c r="I593" s="35" t="str">
        <f t="shared" si="38"/>
        <v/>
      </c>
    </row>
    <row r="594" spans="1:9">
      <c r="A594" s="10" t="str">
        <f t="shared" si="39"/>
        <v/>
      </c>
      <c r="B594" s="53"/>
      <c r="C594" s="28" t="str">
        <f t="shared" si="36"/>
        <v/>
      </c>
      <c r="D594" s="28" t="str">
        <f t="shared" si="37"/>
        <v/>
      </c>
      <c r="E594" s="77"/>
      <c r="F594" s="45"/>
      <c r="G594" s="56"/>
      <c r="H594" s="83"/>
      <c r="I594" s="35" t="str">
        <f t="shared" si="38"/>
        <v/>
      </c>
    </row>
    <row r="595" spans="1:9">
      <c r="A595" s="10" t="str">
        <f t="shared" si="39"/>
        <v/>
      </c>
      <c r="B595" s="53"/>
      <c r="C595" s="28" t="str">
        <f t="shared" si="36"/>
        <v/>
      </c>
      <c r="D595" s="28" t="str">
        <f t="shared" si="37"/>
        <v/>
      </c>
      <c r="E595" s="77"/>
      <c r="F595" s="45"/>
      <c r="G595" s="56"/>
      <c r="H595" s="83"/>
      <c r="I595" s="35" t="str">
        <f t="shared" si="38"/>
        <v/>
      </c>
    </row>
    <row r="596" spans="1:9">
      <c r="A596" s="10" t="str">
        <f t="shared" si="39"/>
        <v/>
      </c>
      <c r="B596" s="53"/>
      <c r="C596" s="28" t="str">
        <f t="shared" si="36"/>
        <v/>
      </c>
      <c r="D596" s="28" t="str">
        <f t="shared" si="37"/>
        <v/>
      </c>
      <c r="E596" s="77"/>
      <c r="F596" s="45"/>
      <c r="G596" s="56"/>
      <c r="H596" s="83"/>
      <c r="I596" s="35" t="str">
        <f t="shared" si="38"/>
        <v/>
      </c>
    </row>
    <row r="597" spans="1:9">
      <c r="A597" s="10" t="str">
        <f t="shared" si="39"/>
        <v/>
      </c>
      <c r="B597" s="53"/>
      <c r="C597" s="28" t="str">
        <f t="shared" si="36"/>
        <v/>
      </c>
      <c r="D597" s="28" t="str">
        <f t="shared" si="37"/>
        <v/>
      </c>
      <c r="E597" s="77"/>
      <c r="F597" s="45"/>
      <c r="G597" s="56"/>
      <c r="H597" s="83"/>
      <c r="I597" s="35" t="str">
        <f t="shared" si="38"/>
        <v/>
      </c>
    </row>
    <row r="598" spans="1:9">
      <c r="A598" s="10" t="str">
        <f t="shared" si="39"/>
        <v/>
      </c>
      <c r="B598" s="53"/>
      <c r="C598" s="28" t="str">
        <f t="shared" si="36"/>
        <v/>
      </c>
      <c r="D598" s="28" t="str">
        <f t="shared" si="37"/>
        <v/>
      </c>
      <c r="E598" s="77"/>
      <c r="F598" s="45"/>
      <c r="G598" s="56"/>
      <c r="H598" s="83"/>
      <c r="I598" s="35" t="str">
        <f t="shared" si="38"/>
        <v/>
      </c>
    </row>
    <row r="599" spans="1:9">
      <c r="A599" s="10" t="str">
        <f t="shared" si="39"/>
        <v/>
      </c>
      <c r="B599" s="53"/>
      <c r="C599" s="28" t="str">
        <f t="shared" si="36"/>
        <v/>
      </c>
      <c r="D599" s="28" t="str">
        <f t="shared" si="37"/>
        <v/>
      </c>
      <c r="E599" s="77"/>
      <c r="F599" s="45"/>
      <c r="G599" s="56"/>
      <c r="H599" s="83"/>
      <c r="I599" s="35" t="str">
        <f t="shared" si="38"/>
        <v/>
      </c>
    </row>
    <row r="600" spans="1:9">
      <c r="A600" s="10" t="str">
        <f t="shared" si="39"/>
        <v/>
      </c>
      <c r="B600" s="53"/>
      <c r="C600" s="28" t="str">
        <f t="shared" si="36"/>
        <v/>
      </c>
      <c r="D600" s="28" t="str">
        <f t="shared" si="37"/>
        <v/>
      </c>
      <c r="E600" s="77"/>
      <c r="F600" s="45"/>
      <c r="G600" s="56"/>
      <c r="H600" s="83"/>
      <c r="I600" s="35" t="str">
        <f t="shared" si="38"/>
        <v/>
      </c>
    </row>
    <row r="601" spans="1:9">
      <c r="A601" s="10" t="str">
        <f t="shared" si="39"/>
        <v/>
      </c>
      <c r="B601" s="53"/>
      <c r="C601" s="28" t="str">
        <f t="shared" si="36"/>
        <v/>
      </c>
      <c r="D601" s="28" t="str">
        <f t="shared" si="37"/>
        <v/>
      </c>
      <c r="E601" s="77"/>
      <c r="F601" s="45"/>
      <c r="G601" s="56"/>
      <c r="H601" s="83"/>
      <c r="I601" s="35" t="str">
        <f t="shared" si="38"/>
        <v/>
      </c>
    </row>
    <row r="602" spans="1:9">
      <c r="A602" s="10" t="str">
        <f t="shared" si="39"/>
        <v/>
      </c>
      <c r="B602" s="53"/>
      <c r="C602" s="28" t="str">
        <f t="shared" si="36"/>
        <v/>
      </c>
      <c r="D602" s="28" t="str">
        <f t="shared" si="37"/>
        <v/>
      </c>
      <c r="E602" s="77"/>
      <c r="F602" s="45"/>
      <c r="G602" s="56"/>
      <c r="H602" s="83"/>
      <c r="I602" s="35" t="str">
        <f t="shared" si="38"/>
        <v/>
      </c>
    </row>
    <row r="603" spans="1:9">
      <c r="A603" s="10" t="str">
        <f t="shared" si="39"/>
        <v/>
      </c>
      <c r="B603" s="53"/>
      <c r="C603" s="28" t="str">
        <f t="shared" si="36"/>
        <v/>
      </c>
      <c r="D603" s="28" t="str">
        <f t="shared" si="37"/>
        <v/>
      </c>
      <c r="E603" s="77"/>
      <c r="F603" s="45"/>
      <c r="G603" s="56"/>
      <c r="H603" s="83"/>
      <c r="I603" s="35" t="str">
        <f t="shared" si="38"/>
        <v/>
      </c>
    </row>
    <row r="604" spans="1:9">
      <c r="A604" s="10" t="str">
        <f t="shared" si="39"/>
        <v/>
      </c>
      <c r="B604" s="53"/>
      <c r="C604" s="28" t="str">
        <f t="shared" si="36"/>
        <v/>
      </c>
      <c r="D604" s="28" t="str">
        <f t="shared" si="37"/>
        <v/>
      </c>
      <c r="E604" s="77"/>
      <c r="F604" s="45"/>
      <c r="G604" s="56"/>
      <c r="H604" s="83"/>
      <c r="I604" s="35" t="str">
        <f t="shared" si="38"/>
        <v/>
      </c>
    </row>
    <row r="605" spans="1:9">
      <c r="A605" s="10" t="str">
        <f t="shared" si="39"/>
        <v/>
      </c>
      <c r="B605" s="53"/>
      <c r="C605" s="28" t="str">
        <f t="shared" si="36"/>
        <v/>
      </c>
      <c r="D605" s="28" t="str">
        <f t="shared" si="37"/>
        <v/>
      </c>
      <c r="E605" s="77"/>
      <c r="F605" s="45"/>
      <c r="G605" s="56"/>
      <c r="H605" s="83"/>
      <c r="I605" s="35" t="str">
        <f t="shared" si="38"/>
        <v/>
      </c>
    </row>
    <row r="606" spans="1:9">
      <c r="A606" s="10" t="str">
        <f t="shared" si="39"/>
        <v/>
      </c>
      <c r="B606" s="53"/>
      <c r="C606" s="28" t="str">
        <f t="shared" si="36"/>
        <v/>
      </c>
      <c r="D606" s="28" t="str">
        <f t="shared" si="37"/>
        <v/>
      </c>
      <c r="E606" s="77"/>
      <c r="F606" s="45"/>
      <c r="G606" s="56"/>
      <c r="H606" s="83"/>
      <c r="I606" s="35" t="str">
        <f t="shared" si="38"/>
        <v/>
      </c>
    </row>
    <row r="607" spans="1:9">
      <c r="A607" s="10" t="str">
        <f t="shared" si="39"/>
        <v/>
      </c>
      <c r="B607" s="53"/>
      <c r="C607" s="28" t="str">
        <f t="shared" si="36"/>
        <v/>
      </c>
      <c r="D607" s="28" t="str">
        <f t="shared" si="37"/>
        <v/>
      </c>
      <c r="E607" s="77"/>
      <c r="F607" s="45"/>
      <c r="G607" s="56"/>
      <c r="H607" s="83"/>
      <c r="I607" s="35" t="str">
        <f t="shared" si="38"/>
        <v/>
      </c>
    </row>
    <row r="608" spans="1:9">
      <c r="A608" s="10" t="str">
        <f t="shared" si="39"/>
        <v/>
      </c>
      <c r="B608" s="53"/>
      <c r="C608" s="28" t="str">
        <f t="shared" si="36"/>
        <v/>
      </c>
      <c r="D608" s="28" t="str">
        <f t="shared" si="37"/>
        <v/>
      </c>
      <c r="E608" s="77"/>
      <c r="F608" s="45"/>
      <c r="G608" s="56"/>
      <c r="H608" s="83"/>
      <c r="I608" s="35" t="str">
        <f t="shared" si="38"/>
        <v/>
      </c>
    </row>
    <row r="609" spans="1:9">
      <c r="A609" s="10" t="str">
        <f t="shared" si="39"/>
        <v/>
      </c>
      <c r="B609" s="53"/>
      <c r="C609" s="28" t="str">
        <f t="shared" si="36"/>
        <v/>
      </c>
      <c r="D609" s="28" t="str">
        <f t="shared" si="37"/>
        <v/>
      </c>
      <c r="E609" s="77"/>
      <c r="F609" s="45"/>
      <c r="G609" s="56"/>
      <c r="H609" s="83"/>
      <c r="I609" s="35" t="str">
        <f t="shared" si="38"/>
        <v/>
      </c>
    </row>
    <row r="610" spans="1:9">
      <c r="A610" s="10" t="str">
        <f t="shared" si="39"/>
        <v/>
      </c>
      <c r="B610" s="53"/>
      <c r="C610" s="28" t="str">
        <f t="shared" si="36"/>
        <v/>
      </c>
      <c r="D610" s="28" t="str">
        <f t="shared" si="37"/>
        <v/>
      </c>
      <c r="E610" s="77"/>
      <c r="F610" s="45"/>
      <c r="G610" s="56"/>
      <c r="H610" s="83"/>
      <c r="I610" s="35" t="str">
        <f t="shared" si="38"/>
        <v/>
      </c>
    </row>
    <row r="611" spans="1:9">
      <c r="A611" s="10" t="str">
        <f t="shared" si="39"/>
        <v/>
      </c>
      <c r="B611" s="53"/>
      <c r="C611" s="28" t="str">
        <f t="shared" si="36"/>
        <v/>
      </c>
      <c r="D611" s="28" t="str">
        <f t="shared" si="37"/>
        <v/>
      </c>
      <c r="E611" s="77"/>
      <c r="F611" s="45"/>
      <c r="G611" s="56"/>
      <c r="H611" s="83"/>
      <c r="I611" s="35" t="str">
        <f t="shared" si="38"/>
        <v/>
      </c>
    </row>
    <row r="612" spans="1:9">
      <c r="A612" s="10" t="str">
        <f t="shared" si="39"/>
        <v/>
      </c>
      <c r="B612" s="53"/>
      <c r="C612" s="28" t="str">
        <f t="shared" si="36"/>
        <v/>
      </c>
      <c r="D612" s="28" t="str">
        <f t="shared" si="37"/>
        <v/>
      </c>
      <c r="E612" s="77"/>
      <c r="F612" s="45"/>
      <c r="G612" s="56"/>
      <c r="H612" s="83"/>
      <c r="I612" s="35" t="str">
        <f t="shared" si="38"/>
        <v/>
      </c>
    </row>
    <row r="613" spans="1:9">
      <c r="A613" s="10" t="str">
        <f t="shared" si="39"/>
        <v/>
      </c>
      <c r="B613" s="53"/>
      <c r="C613" s="28" t="str">
        <f t="shared" si="36"/>
        <v/>
      </c>
      <c r="D613" s="28" t="str">
        <f t="shared" si="37"/>
        <v/>
      </c>
      <c r="E613" s="77"/>
      <c r="F613" s="45"/>
      <c r="G613" s="56"/>
      <c r="H613" s="83"/>
      <c r="I613" s="35" t="str">
        <f t="shared" si="38"/>
        <v/>
      </c>
    </row>
    <row r="614" spans="1:9">
      <c r="A614" s="10" t="str">
        <f t="shared" si="39"/>
        <v/>
      </c>
      <c r="B614" s="53"/>
      <c r="C614" s="28" t="str">
        <f t="shared" si="36"/>
        <v/>
      </c>
      <c r="D614" s="28" t="str">
        <f t="shared" si="37"/>
        <v/>
      </c>
      <c r="E614" s="77"/>
      <c r="F614" s="45"/>
      <c r="G614" s="56"/>
      <c r="H614" s="83"/>
      <c r="I614" s="35" t="str">
        <f t="shared" si="38"/>
        <v/>
      </c>
    </row>
    <row r="615" spans="1:9">
      <c r="A615" s="10" t="str">
        <f t="shared" si="39"/>
        <v/>
      </c>
      <c r="B615" s="53"/>
      <c r="C615" s="28" t="str">
        <f t="shared" si="36"/>
        <v/>
      </c>
      <c r="D615" s="28" t="str">
        <f t="shared" si="37"/>
        <v/>
      </c>
      <c r="E615" s="77"/>
      <c r="F615" s="45"/>
      <c r="G615" s="56"/>
      <c r="H615" s="83"/>
      <c r="I615" s="35" t="str">
        <f t="shared" si="38"/>
        <v/>
      </c>
    </row>
    <row r="616" spans="1:9">
      <c r="A616" s="10" t="str">
        <f t="shared" si="39"/>
        <v/>
      </c>
      <c r="B616" s="53"/>
      <c r="C616" s="28" t="str">
        <f t="shared" si="36"/>
        <v/>
      </c>
      <c r="D616" s="28" t="str">
        <f t="shared" si="37"/>
        <v/>
      </c>
      <c r="E616" s="77"/>
      <c r="F616" s="45"/>
      <c r="G616" s="56"/>
      <c r="H616" s="83"/>
      <c r="I616" s="35" t="str">
        <f t="shared" si="38"/>
        <v/>
      </c>
    </row>
    <row r="617" spans="1:9">
      <c r="A617" s="10" t="str">
        <f t="shared" si="39"/>
        <v/>
      </c>
      <c r="B617" s="53"/>
      <c r="C617" s="28" t="str">
        <f t="shared" si="36"/>
        <v/>
      </c>
      <c r="D617" s="28" t="str">
        <f t="shared" si="37"/>
        <v/>
      </c>
      <c r="E617" s="77"/>
      <c r="F617" s="45"/>
      <c r="G617" s="56"/>
      <c r="H617" s="83"/>
      <c r="I617" s="35" t="str">
        <f t="shared" si="38"/>
        <v/>
      </c>
    </row>
    <row r="618" spans="1:9">
      <c r="A618" s="10" t="str">
        <f t="shared" si="39"/>
        <v/>
      </c>
      <c r="B618" s="53"/>
      <c r="C618" s="28" t="str">
        <f t="shared" si="36"/>
        <v/>
      </c>
      <c r="D618" s="28" t="str">
        <f t="shared" si="37"/>
        <v/>
      </c>
      <c r="E618" s="77"/>
      <c r="F618" s="45"/>
      <c r="G618" s="56"/>
      <c r="H618" s="83"/>
      <c r="I618" s="35" t="str">
        <f t="shared" si="38"/>
        <v/>
      </c>
    </row>
    <row r="619" spans="1:9">
      <c r="A619" s="10" t="str">
        <f t="shared" si="39"/>
        <v/>
      </c>
      <c r="B619" s="53"/>
      <c r="C619" s="28" t="str">
        <f t="shared" si="36"/>
        <v/>
      </c>
      <c r="D619" s="28" t="str">
        <f t="shared" si="37"/>
        <v/>
      </c>
      <c r="E619" s="77"/>
      <c r="F619" s="45"/>
      <c r="G619" s="56"/>
      <c r="H619" s="83"/>
      <c r="I619" s="35" t="str">
        <f t="shared" si="38"/>
        <v/>
      </c>
    </row>
    <row r="620" spans="1:9">
      <c r="A620" s="10" t="str">
        <f t="shared" si="39"/>
        <v/>
      </c>
      <c r="B620" s="53"/>
      <c r="C620" s="28" t="str">
        <f t="shared" si="36"/>
        <v/>
      </c>
      <c r="D620" s="28" t="str">
        <f t="shared" si="37"/>
        <v/>
      </c>
      <c r="E620" s="77"/>
      <c r="F620" s="45"/>
      <c r="G620" s="56"/>
      <c r="H620" s="83"/>
      <c r="I620" s="35" t="str">
        <f t="shared" si="38"/>
        <v/>
      </c>
    </row>
    <row r="621" spans="1:9">
      <c r="A621" s="10" t="str">
        <f t="shared" si="39"/>
        <v/>
      </c>
      <c r="B621" s="53"/>
      <c r="C621" s="28" t="str">
        <f t="shared" si="36"/>
        <v/>
      </c>
      <c r="D621" s="28" t="str">
        <f t="shared" si="37"/>
        <v/>
      </c>
      <c r="E621" s="77"/>
      <c r="F621" s="45"/>
      <c r="G621" s="56"/>
      <c r="H621" s="83"/>
      <c r="I621" s="35" t="str">
        <f t="shared" si="38"/>
        <v/>
      </c>
    </row>
    <row r="622" spans="1:9">
      <c r="A622" s="10" t="str">
        <f t="shared" si="39"/>
        <v/>
      </c>
      <c r="B622" s="53"/>
      <c r="C622" s="28" t="str">
        <f t="shared" si="36"/>
        <v/>
      </c>
      <c r="D622" s="28" t="str">
        <f t="shared" si="37"/>
        <v/>
      </c>
      <c r="E622" s="77"/>
      <c r="F622" s="45"/>
      <c r="G622" s="56"/>
      <c r="H622" s="83"/>
      <c r="I622" s="35" t="str">
        <f t="shared" si="38"/>
        <v/>
      </c>
    </row>
    <row r="623" spans="1:9">
      <c r="A623" s="10" t="str">
        <f t="shared" si="39"/>
        <v/>
      </c>
      <c r="B623" s="53"/>
      <c r="C623" s="28" t="str">
        <f t="shared" si="36"/>
        <v/>
      </c>
      <c r="D623" s="28" t="str">
        <f t="shared" si="37"/>
        <v/>
      </c>
      <c r="E623" s="77"/>
      <c r="F623" s="45"/>
      <c r="G623" s="56"/>
      <c r="H623" s="83"/>
      <c r="I623" s="35" t="str">
        <f t="shared" si="38"/>
        <v/>
      </c>
    </row>
    <row r="624" spans="1:9">
      <c r="A624" s="10" t="str">
        <f t="shared" si="39"/>
        <v/>
      </c>
      <c r="B624" s="53"/>
      <c r="C624" s="28" t="str">
        <f t="shared" si="36"/>
        <v/>
      </c>
      <c r="D624" s="28" t="str">
        <f t="shared" si="37"/>
        <v/>
      </c>
      <c r="E624" s="77"/>
      <c r="F624" s="45"/>
      <c r="G624" s="56"/>
      <c r="H624" s="83"/>
      <c r="I624" s="35" t="str">
        <f t="shared" si="38"/>
        <v/>
      </c>
    </row>
    <row r="625" spans="1:9">
      <c r="A625" s="10" t="str">
        <f t="shared" si="39"/>
        <v/>
      </c>
      <c r="B625" s="53"/>
      <c r="C625" s="28" t="str">
        <f t="shared" si="36"/>
        <v/>
      </c>
      <c r="D625" s="28" t="str">
        <f t="shared" si="37"/>
        <v/>
      </c>
      <c r="E625" s="77"/>
      <c r="F625" s="45"/>
      <c r="G625" s="56"/>
      <c r="H625" s="83"/>
      <c r="I625" s="35" t="str">
        <f t="shared" si="38"/>
        <v/>
      </c>
    </row>
    <row r="626" spans="1:9">
      <c r="A626" s="10" t="str">
        <f t="shared" si="39"/>
        <v/>
      </c>
      <c r="B626" s="53"/>
      <c r="C626" s="28" t="str">
        <f t="shared" si="36"/>
        <v/>
      </c>
      <c r="D626" s="28" t="str">
        <f t="shared" si="37"/>
        <v/>
      </c>
      <c r="E626" s="77"/>
      <c r="F626" s="45"/>
      <c r="G626" s="56"/>
      <c r="H626" s="83"/>
      <c r="I626" s="35" t="str">
        <f t="shared" si="38"/>
        <v/>
      </c>
    </row>
    <row r="627" spans="1:9">
      <c r="A627" s="10" t="str">
        <f t="shared" si="39"/>
        <v/>
      </c>
      <c r="B627" s="53"/>
      <c r="C627" s="28" t="str">
        <f t="shared" si="36"/>
        <v/>
      </c>
      <c r="D627" s="28" t="str">
        <f t="shared" si="37"/>
        <v/>
      </c>
      <c r="E627" s="77"/>
      <c r="F627" s="45"/>
      <c r="G627" s="56"/>
      <c r="H627" s="83"/>
      <c r="I627" s="35" t="str">
        <f t="shared" si="38"/>
        <v/>
      </c>
    </row>
    <row r="628" spans="1:9">
      <c r="A628" s="10" t="str">
        <f t="shared" si="39"/>
        <v/>
      </c>
      <c r="B628" s="53"/>
      <c r="C628" s="28" t="str">
        <f t="shared" si="36"/>
        <v/>
      </c>
      <c r="D628" s="28" t="str">
        <f t="shared" si="37"/>
        <v/>
      </c>
      <c r="E628" s="77"/>
      <c r="F628" s="45"/>
      <c r="G628" s="56"/>
      <c r="H628" s="83"/>
      <c r="I628" s="35" t="str">
        <f t="shared" si="38"/>
        <v/>
      </c>
    </row>
    <row r="629" spans="1:9">
      <c r="A629" s="10" t="str">
        <f t="shared" si="39"/>
        <v/>
      </c>
      <c r="B629" s="53"/>
      <c r="C629" s="28" t="str">
        <f t="shared" si="36"/>
        <v/>
      </c>
      <c r="D629" s="28" t="str">
        <f t="shared" si="37"/>
        <v/>
      </c>
      <c r="E629" s="77"/>
      <c r="F629" s="45"/>
      <c r="G629" s="56"/>
      <c r="H629" s="83"/>
      <c r="I629" s="35" t="str">
        <f t="shared" si="38"/>
        <v/>
      </c>
    </row>
    <row r="630" spans="1:9">
      <c r="A630" s="10" t="str">
        <f t="shared" si="39"/>
        <v/>
      </c>
      <c r="B630" s="53"/>
      <c r="C630" s="28" t="str">
        <f t="shared" si="36"/>
        <v/>
      </c>
      <c r="D630" s="28" t="str">
        <f t="shared" si="37"/>
        <v/>
      </c>
      <c r="E630" s="77"/>
      <c r="F630" s="45"/>
      <c r="G630" s="56"/>
      <c r="H630" s="83"/>
      <c r="I630" s="35" t="str">
        <f t="shared" si="38"/>
        <v/>
      </c>
    </row>
    <row r="631" spans="1:9">
      <c r="A631" s="10" t="str">
        <f t="shared" si="39"/>
        <v/>
      </c>
      <c r="B631" s="53"/>
      <c r="C631" s="28" t="str">
        <f t="shared" si="36"/>
        <v/>
      </c>
      <c r="D631" s="28" t="str">
        <f t="shared" si="37"/>
        <v/>
      </c>
      <c r="E631" s="77"/>
      <c r="F631" s="45"/>
      <c r="G631" s="56"/>
      <c r="H631" s="83"/>
      <c r="I631" s="35" t="str">
        <f t="shared" si="38"/>
        <v/>
      </c>
    </row>
    <row r="632" spans="1:9">
      <c r="A632" s="10" t="str">
        <f t="shared" si="39"/>
        <v/>
      </c>
      <c r="B632" s="53"/>
      <c r="C632" s="28" t="str">
        <f t="shared" si="36"/>
        <v/>
      </c>
      <c r="D632" s="28" t="str">
        <f t="shared" si="37"/>
        <v/>
      </c>
      <c r="E632" s="77"/>
      <c r="F632" s="45"/>
      <c r="G632" s="56"/>
      <c r="H632" s="83"/>
      <c r="I632" s="35" t="str">
        <f t="shared" si="38"/>
        <v/>
      </c>
    </row>
    <row r="633" spans="1:9">
      <c r="A633" s="10" t="str">
        <f t="shared" si="39"/>
        <v/>
      </c>
      <c r="B633" s="53"/>
      <c r="C633" s="28" t="str">
        <f t="shared" si="36"/>
        <v/>
      </c>
      <c r="D633" s="28" t="str">
        <f t="shared" si="37"/>
        <v/>
      </c>
      <c r="E633" s="77"/>
      <c r="F633" s="45"/>
      <c r="G633" s="56"/>
      <c r="H633" s="83"/>
      <c r="I633" s="35" t="str">
        <f t="shared" si="38"/>
        <v/>
      </c>
    </row>
    <row r="634" spans="1:9">
      <c r="A634" s="10" t="str">
        <f t="shared" si="39"/>
        <v/>
      </c>
      <c r="B634" s="53"/>
      <c r="C634" s="28" t="str">
        <f t="shared" si="36"/>
        <v/>
      </c>
      <c r="D634" s="28" t="str">
        <f t="shared" si="37"/>
        <v/>
      </c>
      <c r="E634" s="77"/>
      <c r="F634" s="45"/>
      <c r="G634" s="56"/>
      <c r="H634" s="83"/>
      <c r="I634" s="35" t="str">
        <f t="shared" si="38"/>
        <v/>
      </c>
    </row>
    <row r="635" spans="1:9">
      <c r="A635" s="10" t="str">
        <f t="shared" si="39"/>
        <v/>
      </c>
      <c r="B635" s="53"/>
      <c r="C635" s="28" t="str">
        <f t="shared" si="36"/>
        <v/>
      </c>
      <c r="D635" s="28" t="str">
        <f t="shared" si="37"/>
        <v/>
      </c>
      <c r="E635" s="77"/>
      <c r="F635" s="45"/>
      <c r="G635" s="56"/>
      <c r="H635" s="83"/>
      <c r="I635" s="35" t="str">
        <f t="shared" si="38"/>
        <v/>
      </c>
    </row>
    <row r="636" spans="1:9">
      <c r="A636" s="10" t="str">
        <f t="shared" si="39"/>
        <v/>
      </c>
      <c r="B636" s="53"/>
      <c r="C636" s="28" t="str">
        <f t="shared" si="36"/>
        <v/>
      </c>
      <c r="D636" s="28" t="str">
        <f t="shared" si="37"/>
        <v/>
      </c>
      <c r="E636" s="77"/>
      <c r="F636" s="45"/>
      <c r="G636" s="56"/>
      <c r="H636" s="83"/>
      <c r="I636" s="35" t="str">
        <f t="shared" si="38"/>
        <v/>
      </c>
    </row>
    <row r="637" spans="1:9">
      <c r="A637" s="10" t="str">
        <f t="shared" si="39"/>
        <v/>
      </c>
      <c r="B637" s="53"/>
      <c r="C637" s="28" t="str">
        <f t="shared" si="36"/>
        <v/>
      </c>
      <c r="D637" s="28" t="str">
        <f t="shared" si="37"/>
        <v/>
      </c>
      <c r="E637" s="77"/>
      <c r="F637" s="45"/>
      <c r="G637" s="56"/>
      <c r="H637" s="83"/>
      <c r="I637" s="35" t="str">
        <f t="shared" si="38"/>
        <v/>
      </c>
    </row>
    <row r="638" spans="1:9">
      <c r="A638" s="10" t="str">
        <f t="shared" si="39"/>
        <v/>
      </c>
      <c r="B638" s="53"/>
      <c r="C638" s="28" t="str">
        <f t="shared" si="36"/>
        <v/>
      </c>
      <c r="D638" s="28" t="str">
        <f t="shared" si="37"/>
        <v/>
      </c>
      <c r="E638" s="77"/>
      <c r="F638" s="45"/>
      <c r="G638" s="56"/>
      <c r="H638" s="83"/>
      <c r="I638" s="35" t="str">
        <f t="shared" si="38"/>
        <v/>
      </c>
    </row>
    <row r="639" spans="1:9">
      <c r="A639" s="10" t="str">
        <f t="shared" si="39"/>
        <v/>
      </c>
      <c r="B639" s="53"/>
      <c r="C639" s="28" t="str">
        <f t="shared" si="36"/>
        <v/>
      </c>
      <c r="D639" s="28" t="str">
        <f t="shared" si="37"/>
        <v/>
      </c>
      <c r="E639" s="77"/>
      <c r="F639" s="45"/>
      <c r="G639" s="56"/>
      <c r="H639" s="83"/>
      <c r="I639" s="35" t="str">
        <f t="shared" si="38"/>
        <v/>
      </c>
    </row>
    <row r="640" spans="1:9">
      <c r="A640" s="10" t="str">
        <f t="shared" si="39"/>
        <v/>
      </c>
      <c r="B640" s="53"/>
      <c r="C640" s="28" t="str">
        <f t="shared" si="36"/>
        <v/>
      </c>
      <c r="D640" s="28" t="str">
        <f t="shared" si="37"/>
        <v/>
      </c>
      <c r="E640" s="77"/>
      <c r="F640" s="45"/>
      <c r="G640" s="56"/>
      <c r="H640" s="83"/>
      <c r="I640" s="35" t="str">
        <f t="shared" si="38"/>
        <v/>
      </c>
    </row>
    <row r="641" spans="1:9">
      <c r="A641" s="10" t="str">
        <f t="shared" si="39"/>
        <v/>
      </c>
      <c r="B641" s="53"/>
      <c r="C641" s="28" t="str">
        <f t="shared" si="36"/>
        <v/>
      </c>
      <c r="D641" s="28" t="str">
        <f t="shared" si="37"/>
        <v/>
      </c>
      <c r="E641" s="77"/>
      <c r="F641" s="45"/>
      <c r="G641" s="56"/>
      <c r="H641" s="83"/>
      <c r="I641" s="35" t="str">
        <f t="shared" si="38"/>
        <v/>
      </c>
    </row>
    <row r="642" spans="1:9">
      <c r="A642" s="10" t="str">
        <f t="shared" si="39"/>
        <v/>
      </c>
      <c r="B642" s="53"/>
      <c r="C642" s="28" t="str">
        <f t="shared" si="36"/>
        <v/>
      </c>
      <c r="D642" s="28" t="str">
        <f t="shared" si="37"/>
        <v/>
      </c>
      <c r="E642" s="77"/>
      <c r="F642" s="45"/>
      <c r="G642" s="56"/>
      <c r="H642" s="83"/>
      <c r="I642" s="35" t="str">
        <f t="shared" si="38"/>
        <v/>
      </c>
    </row>
    <row r="643" spans="1:9">
      <c r="A643" s="10" t="str">
        <f t="shared" si="39"/>
        <v/>
      </c>
      <c r="B643" s="53"/>
      <c r="C643" s="28" t="str">
        <f t="shared" ref="C643:C706" si="40">IF(B643=0,"",TEXT(B643,"mmmm"))</f>
        <v/>
      </c>
      <c r="D643" s="28" t="str">
        <f t="shared" ref="D643:D706" si="41">IF(B643=0,"",TEXT(B643,"yyyy"))</f>
        <v/>
      </c>
      <c r="E643" s="77"/>
      <c r="F643" s="45"/>
      <c r="G643" s="56"/>
      <c r="H643" s="83"/>
      <c r="I643" s="35" t="str">
        <f t="shared" ref="I643:I706" si="42">IF(G643*H643=0,"",G643*H643)</f>
        <v/>
      </c>
    </row>
    <row r="644" spans="1:9">
      <c r="A644" s="10" t="str">
        <f t="shared" ref="A644:A707" si="43">IF(E644&gt;0,A643+1,"")</f>
        <v/>
      </c>
      <c r="B644" s="53"/>
      <c r="C644" s="28" t="str">
        <f t="shared" si="40"/>
        <v/>
      </c>
      <c r="D644" s="28" t="str">
        <f t="shared" si="41"/>
        <v/>
      </c>
      <c r="E644" s="77"/>
      <c r="F644" s="45"/>
      <c r="G644" s="56"/>
      <c r="H644" s="83"/>
      <c r="I644" s="35" t="str">
        <f t="shared" si="42"/>
        <v/>
      </c>
    </row>
    <row r="645" spans="1:9">
      <c r="A645" s="10" t="str">
        <f t="shared" si="43"/>
        <v/>
      </c>
      <c r="B645" s="53"/>
      <c r="C645" s="28" t="str">
        <f t="shared" si="40"/>
        <v/>
      </c>
      <c r="D645" s="28" t="str">
        <f t="shared" si="41"/>
        <v/>
      </c>
      <c r="E645" s="77"/>
      <c r="F645" s="45"/>
      <c r="G645" s="56"/>
      <c r="H645" s="83"/>
      <c r="I645" s="35" t="str">
        <f t="shared" si="42"/>
        <v/>
      </c>
    </row>
    <row r="646" spans="1:9">
      <c r="A646" s="10" t="str">
        <f t="shared" si="43"/>
        <v/>
      </c>
      <c r="B646" s="53"/>
      <c r="C646" s="28" t="str">
        <f t="shared" si="40"/>
        <v/>
      </c>
      <c r="D646" s="28" t="str">
        <f t="shared" si="41"/>
        <v/>
      </c>
      <c r="E646" s="77"/>
      <c r="F646" s="45"/>
      <c r="G646" s="56"/>
      <c r="H646" s="83"/>
      <c r="I646" s="35" t="str">
        <f t="shared" si="42"/>
        <v/>
      </c>
    </row>
    <row r="647" spans="1:9">
      <c r="A647" s="10" t="str">
        <f t="shared" si="43"/>
        <v/>
      </c>
      <c r="B647" s="53"/>
      <c r="C647" s="28" t="str">
        <f t="shared" si="40"/>
        <v/>
      </c>
      <c r="D647" s="28" t="str">
        <f t="shared" si="41"/>
        <v/>
      </c>
      <c r="E647" s="77"/>
      <c r="F647" s="45"/>
      <c r="G647" s="56"/>
      <c r="H647" s="83"/>
      <c r="I647" s="35" t="str">
        <f t="shared" si="42"/>
        <v/>
      </c>
    </row>
    <row r="648" spans="1:9">
      <c r="A648" s="10" t="str">
        <f t="shared" si="43"/>
        <v/>
      </c>
      <c r="B648" s="53"/>
      <c r="C648" s="28" t="str">
        <f t="shared" si="40"/>
        <v/>
      </c>
      <c r="D648" s="28" t="str">
        <f t="shared" si="41"/>
        <v/>
      </c>
      <c r="E648" s="77"/>
      <c r="F648" s="45"/>
      <c r="G648" s="56"/>
      <c r="H648" s="83"/>
      <c r="I648" s="35" t="str">
        <f t="shared" si="42"/>
        <v/>
      </c>
    </row>
    <row r="649" spans="1:9">
      <c r="A649" s="10" t="str">
        <f t="shared" si="43"/>
        <v/>
      </c>
      <c r="B649" s="53"/>
      <c r="C649" s="28" t="str">
        <f t="shared" si="40"/>
        <v/>
      </c>
      <c r="D649" s="28" t="str">
        <f t="shared" si="41"/>
        <v/>
      </c>
      <c r="E649" s="77"/>
      <c r="F649" s="45"/>
      <c r="G649" s="56"/>
      <c r="H649" s="83"/>
      <c r="I649" s="35" t="str">
        <f t="shared" si="42"/>
        <v/>
      </c>
    </row>
    <row r="650" spans="1:9">
      <c r="A650" s="10" t="str">
        <f t="shared" si="43"/>
        <v/>
      </c>
      <c r="B650" s="53"/>
      <c r="C650" s="28" t="str">
        <f t="shared" si="40"/>
        <v/>
      </c>
      <c r="D650" s="28" t="str">
        <f t="shared" si="41"/>
        <v/>
      </c>
      <c r="E650" s="77"/>
      <c r="F650" s="45"/>
      <c r="G650" s="56"/>
      <c r="H650" s="83"/>
      <c r="I650" s="35" t="str">
        <f t="shared" si="42"/>
        <v/>
      </c>
    </row>
    <row r="651" spans="1:9">
      <c r="A651" s="10" t="str">
        <f t="shared" si="43"/>
        <v/>
      </c>
      <c r="B651" s="53"/>
      <c r="C651" s="28" t="str">
        <f t="shared" si="40"/>
        <v/>
      </c>
      <c r="D651" s="28" t="str">
        <f t="shared" si="41"/>
        <v/>
      </c>
      <c r="E651" s="77"/>
      <c r="F651" s="45"/>
      <c r="G651" s="56"/>
      <c r="H651" s="83"/>
      <c r="I651" s="35" t="str">
        <f t="shared" si="42"/>
        <v/>
      </c>
    </row>
    <row r="652" spans="1:9">
      <c r="A652" s="10" t="str">
        <f t="shared" si="43"/>
        <v/>
      </c>
      <c r="B652" s="53"/>
      <c r="C652" s="28" t="str">
        <f t="shared" si="40"/>
        <v/>
      </c>
      <c r="D652" s="28" t="str">
        <f t="shared" si="41"/>
        <v/>
      </c>
      <c r="E652" s="77"/>
      <c r="F652" s="45"/>
      <c r="G652" s="56"/>
      <c r="H652" s="83"/>
      <c r="I652" s="35" t="str">
        <f t="shared" si="42"/>
        <v/>
      </c>
    </row>
    <row r="653" spans="1:9">
      <c r="A653" s="10" t="str">
        <f t="shared" si="43"/>
        <v/>
      </c>
      <c r="B653" s="53"/>
      <c r="C653" s="28" t="str">
        <f t="shared" si="40"/>
        <v/>
      </c>
      <c r="D653" s="28" t="str">
        <f t="shared" si="41"/>
        <v/>
      </c>
      <c r="E653" s="77"/>
      <c r="F653" s="45"/>
      <c r="G653" s="56"/>
      <c r="H653" s="83"/>
      <c r="I653" s="35" t="str">
        <f t="shared" si="42"/>
        <v/>
      </c>
    </row>
    <row r="654" spans="1:9">
      <c r="A654" s="10" t="str">
        <f t="shared" si="43"/>
        <v/>
      </c>
      <c r="B654" s="53"/>
      <c r="C654" s="28" t="str">
        <f t="shared" si="40"/>
        <v/>
      </c>
      <c r="D654" s="28" t="str">
        <f t="shared" si="41"/>
        <v/>
      </c>
      <c r="E654" s="77"/>
      <c r="F654" s="45"/>
      <c r="G654" s="56"/>
      <c r="H654" s="83"/>
      <c r="I654" s="35" t="str">
        <f t="shared" si="42"/>
        <v/>
      </c>
    </row>
    <row r="655" spans="1:9">
      <c r="A655" s="10" t="str">
        <f t="shared" si="43"/>
        <v/>
      </c>
      <c r="B655" s="53"/>
      <c r="C655" s="28" t="str">
        <f t="shared" si="40"/>
        <v/>
      </c>
      <c r="D655" s="28" t="str">
        <f t="shared" si="41"/>
        <v/>
      </c>
      <c r="E655" s="77"/>
      <c r="F655" s="45"/>
      <c r="G655" s="56"/>
      <c r="H655" s="83"/>
      <c r="I655" s="35" t="str">
        <f t="shared" si="42"/>
        <v/>
      </c>
    </row>
    <row r="656" spans="1:9">
      <c r="A656" s="10" t="str">
        <f t="shared" si="43"/>
        <v/>
      </c>
      <c r="B656" s="53"/>
      <c r="C656" s="28" t="str">
        <f t="shared" si="40"/>
        <v/>
      </c>
      <c r="D656" s="28" t="str">
        <f t="shared" si="41"/>
        <v/>
      </c>
      <c r="E656" s="77"/>
      <c r="F656" s="45"/>
      <c r="G656" s="56"/>
      <c r="H656" s="83"/>
      <c r="I656" s="35" t="str">
        <f t="shared" si="42"/>
        <v/>
      </c>
    </row>
    <row r="657" spans="1:9">
      <c r="A657" s="10" t="str">
        <f t="shared" si="43"/>
        <v/>
      </c>
      <c r="B657" s="53"/>
      <c r="C657" s="28" t="str">
        <f t="shared" si="40"/>
        <v/>
      </c>
      <c r="D657" s="28" t="str">
        <f t="shared" si="41"/>
        <v/>
      </c>
      <c r="E657" s="77"/>
      <c r="F657" s="45"/>
      <c r="G657" s="56"/>
      <c r="H657" s="83"/>
      <c r="I657" s="35" t="str">
        <f t="shared" si="42"/>
        <v/>
      </c>
    </row>
    <row r="658" spans="1:9">
      <c r="A658" s="10" t="str">
        <f t="shared" si="43"/>
        <v/>
      </c>
      <c r="B658" s="53"/>
      <c r="C658" s="28" t="str">
        <f t="shared" si="40"/>
        <v/>
      </c>
      <c r="D658" s="28" t="str">
        <f t="shared" si="41"/>
        <v/>
      </c>
      <c r="E658" s="77"/>
      <c r="F658" s="45"/>
      <c r="G658" s="56"/>
      <c r="H658" s="83"/>
      <c r="I658" s="35" t="str">
        <f t="shared" si="42"/>
        <v/>
      </c>
    </row>
    <row r="659" spans="1:9">
      <c r="A659" s="10" t="str">
        <f t="shared" si="43"/>
        <v/>
      </c>
      <c r="B659" s="53"/>
      <c r="C659" s="28" t="str">
        <f t="shared" si="40"/>
        <v/>
      </c>
      <c r="D659" s="28" t="str">
        <f t="shared" si="41"/>
        <v/>
      </c>
      <c r="E659" s="77"/>
      <c r="F659" s="45"/>
      <c r="G659" s="56"/>
      <c r="H659" s="83"/>
      <c r="I659" s="35" t="str">
        <f t="shared" si="42"/>
        <v/>
      </c>
    </row>
    <row r="660" spans="1:9">
      <c r="A660" s="10" t="str">
        <f t="shared" si="43"/>
        <v/>
      </c>
      <c r="B660" s="53"/>
      <c r="C660" s="28" t="str">
        <f t="shared" si="40"/>
        <v/>
      </c>
      <c r="D660" s="28" t="str">
        <f t="shared" si="41"/>
        <v/>
      </c>
      <c r="E660" s="77"/>
      <c r="F660" s="45"/>
      <c r="G660" s="56"/>
      <c r="H660" s="83"/>
      <c r="I660" s="35" t="str">
        <f t="shared" si="42"/>
        <v/>
      </c>
    </row>
    <row r="661" spans="1:9">
      <c r="A661" s="10" t="str">
        <f t="shared" si="43"/>
        <v/>
      </c>
      <c r="B661" s="53"/>
      <c r="C661" s="28" t="str">
        <f t="shared" si="40"/>
        <v/>
      </c>
      <c r="D661" s="28" t="str">
        <f t="shared" si="41"/>
        <v/>
      </c>
      <c r="E661" s="77"/>
      <c r="F661" s="45"/>
      <c r="G661" s="56"/>
      <c r="H661" s="83"/>
      <c r="I661" s="35" t="str">
        <f t="shared" si="42"/>
        <v/>
      </c>
    </row>
    <row r="662" spans="1:9">
      <c r="A662" s="10" t="str">
        <f t="shared" si="43"/>
        <v/>
      </c>
      <c r="B662" s="53"/>
      <c r="C662" s="28" t="str">
        <f t="shared" si="40"/>
        <v/>
      </c>
      <c r="D662" s="28" t="str">
        <f t="shared" si="41"/>
        <v/>
      </c>
      <c r="E662" s="77"/>
      <c r="F662" s="45"/>
      <c r="G662" s="56"/>
      <c r="H662" s="83"/>
      <c r="I662" s="35" t="str">
        <f t="shared" si="42"/>
        <v/>
      </c>
    </row>
    <row r="663" spans="1:9">
      <c r="A663" s="10" t="str">
        <f t="shared" si="43"/>
        <v/>
      </c>
      <c r="B663" s="53"/>
      <c r="C663" s="28" t="str">
        <f t="shared" si="40"/>
        <v/>
      </c>
      <c r="D663" s="28" t="str">
        <f t="shared" si="41"/>
        <v/>
      </c>
      <c r="E663" s="77"/>
      <c r="F663" s="45"/>
      <c r="G663" s="56"/>
      <c r="H663" s="83"/>
      <c r="I663" s="35" t="str">
        <f t="shared" si="42"/>
        <v/>
      </c>
    </row>
    <row r="664" spans="1:9">
      <c r="A664" s="10" t="str">
        <f t="shared" si="43"/>
        <v/>
      </c>
      <c r="B664" s="53"/>
      <c r="C664" s="28" t="str">
        <f t="shared" si="40"/>
        <v/>
      </c>
      <c r="D664" s="28" t="str">
        <f t="shared" si="41"/>
        <v/>
      </c>
      <c r="E664" s="77"/>
      <c r="F664" s="45"/>
      <c r="G664" s="56"/>
      <c r="H664" s="83"/>
      <c r="I664" s="35" t="str">
        <f t="shared" si="42"/>
        <v/>
      </c>
    </row>
    <row r="665" spans="1:9">
      <c r="A665" s="10" t="str">
        <f t="shared" si="43"/>
        <v/>
      </c>
      <c r="B665" s="53"/>
      <c r="C665" s="28" t="str">
        <f t="shared" si="40"/>
        <v/>
      </c>
      <c r="D665" s="28" t="str">
        <f t="shared" si="41"/>
        <v/>
      </c>
      <c r="E665" s="77"/>
      <c r="F665" s="45"/>
      <c r="G665" s="56"/>
      <c r="H665" s="83"/>
      <c r="I665" s="35" t="str">
        <f t="shared" si="42"/>
        <v/>
      </c>
    </row>
    <row r="666" spans="1:9">
      <c r="A666" s="10" t="str">
        <f t="shared" si="43"/>
        <v/>
      </c>
      <c r="B666" s="53"/>
      <c r="C666" s="28" t="str">
        <f t="shared" si="40"/>
        <v/>
      </c>
      <c r="D666" s="28" t="str">
        <f t="shared" si="41"/>
        <v/>
      </c>
      <c r="E666" s="77"/>
      <c r="F666" s="45"/>
      <c r="G666" s="56"/>
      <c r="H666" s="83"/>
      <c r="I666" s="35" t="str">
        <f t="shared" si="42"/>
        <v/>
      </c>
    </row>
    <row r="667" spans="1:9">
      <c r="A667" s="10" t="str">
        <f t="shared" si="43"/>
        <v/>
      </c>
      <c r="B667" s="53"/>
      <c r="C667" s="28" t="str">
        <f t="shared" si="40"/>
        <v/>
      </c>
      <c r="D667" s="28" t="str">
        <f t="shared" si="41"/>
        <v/>
      </c>
      <c r="E667" s="77"/>
      <c r="F667" s="45"/>
      <c r="G667" s="56"/>
      <c r="H667" s="83"/>
      <c r="I667" s="35" t="str">
        <f t="shared" si="42"/>
        <v/>
      </c>
    </row>
    <row r="668" spans="1:9">
      <c r="A668" s="10" t="str">
        <f t="shared" si="43"/>
        <v/>
      </c>
      <c r="B668" s="53"/>
      <c r="C668" s="28" t="str">
        <f t="shared" si="40"/>
        <v/>
      </c>
      <c r="D668" s="28" t="str">
        <f t="shared" si="41"/>
        <v/>
      </c>
      <c r="E668" s="77"/>
      <c r="F668" s="45"/>
      <c r="G668" s="56"/>
      <c r="H668" s="83"/>
      <c r="I668" s="35" t="str">
        <f t="shared" si="42"/>
        <v/>
      </c>
    </row>
    <row r="669" spans="1:9">
      <c r="A669" s="10" t="str">
        <f t="shared" si="43"/>
        <v/>
      </c>
      <c r="B669" s="53"/>
      <c r="C669" s="28" t="str">
        <f t="shared" si="40"/>
        <v/>
      </c>
      <c r="D669" s="28" t="str">
        <f t="shared" si="41"/>
        <v/>
      </c>
      <c r="E669" s="77"/>
      <c r="F669" s="45"/>
      <c r="G669" s="56"/>
      <c r="H669" s="83"/>
      <c r="I669" s="35" t="str">
        <f t="shared" si="42"/>
        <v/>
      </c>
    </row>
    <row r="670" spans="1:9">
      <c r="A670" s="10" t="str">
        <f t="shared" si="43"/>
        <v/>
      </c>
      <c r="B670" s="53"/>
      <c r="C670" s="28" t="str">
        <f t="shared" si="40"/>
        <v/>
      </c>
      <c r="D670" s="28" t="str">
        <f t="shared" si="41"/>
        <v/>
      </c>
      <c r="E670" s="77"/>
      <c r="F670" s="45"/>
      <c r="G670" s="56"/>
      <c r="H670" s="83"/>
      <c r="I670" s="35" t="str">
        <f t="shared" si="42"/>
        <v/>
      </c>
    </row>
    <row r="671" spans="1:9">
      <c r="A671" s="10" t="str">
        <f t="shared" si="43"/>
        <v/>
      </c>
      <c r="B671" s="53"/>
      <c r="C671" s="28" t="str">
        <f t="shared" si="40"/>
        <v/>
      </c>
      <c r="D671" s="28" t="str">
        <f t="shared" si="41"/>
        <v/>
      </c>
      <c r="E671" s="77"/>
      <c r="F671" s="45"/>
      <c r="G671" s="56"/>
      <c r="H671" s="83"/>
      <c r="I671" s="35" t="str">
        <f t="shared" si="42"/>
        <v/>
      </c>
    </row>
    <row r="672" spans="1:9">
      <c r="A672" s="10" t="str">
        <f t="shared" si="43"/>
        <v/>
      </c>
      <c r="B672" s="53"/>
      <c r="C672" s="28" t="str">
        <f t="shared" si="40"/>
        <v/>
      </c>
      <c r="D672" s="28" t="str">
        <f t="shared" si="41"/>
        <v/>
      </c>
      <c r="E672" s="77"/>
      <c r="F672" s="45"/>
      <c r="G672" s="56"/>
      <c r="H672" s="83"/>
      <c r="I672" s="35" t="str">
        <f t="shared" si="42"/>
        <v/>
      </c>
    </row>
    <row r="673" spans="1:9">
      <c r="A673" s="10" t="str">
        <f t="shared" si="43"/>
        <v/>
      </c>
      <c r="B673" s="53"/>
      <c r="C673" s="28" t="str">
        <f t="shared" si="40"/>
        <v/>
      </c>
      <c r="D673" s="28" t="str">
        <f t="shared" si="41"/>
        <v/>
      </c>
      <c r="E673" s="77"/>
      <c r="F673" s="45"/>
      <c r="G673" s="56"/>
      <c r="H673" s="83"/>
      <c r="I673" s="35" t="str">
        <f t="shared" si="42"/>
        <v/>
      </c>
    </row>
    <row r="674" spans="1:9">
      <c r="A674" s="10" t="str">
        <f t="shared" si="43"/>
        <v/>
      </c>
      <c r="B674" s="53"/>
      <c r="C674" s="28" t="str">
        <f t="shared" si="40"/>
        <v/>
      </c>
      <c r="D674" s="28" t="str">
        <f t="shared" si="41"/>
        <v/>
      </c>
      <c r="E674" s="77"/>
      <c r="F674" s="45"/>
      <c r="G674" s="56"/>
      <c r="H674" s="83"/>
      <c r="I674" s="35" t="str">
        <f t="shared" si="42"/>
        <v/>
      </c>
    </row>
    <row r="675" spans="1:9">
      <c r="A675" s="10" t="str">
        <f t="shared" si="43"/>
        <v/>
      </c>
      <c r="B675" s="53"/>
      <c r="C675" s="28" t="str">
        <f t="shared" si="40"/>
        <v/>
      </c>
      <c r="D675" s="28" t="str">
        <f t="shared" si="41"/>
        <v/>
      </c>
      <c r="E675" s="77"/>
      <c r="F675" s="45"/>
      <c r="G675" s="56"/>
      <c r="H675" s="83"/>
      <c r="I675" s="35" t="str">
        <f t="shared" si="42"/>
        <v/>
      </c>
    </row>
    <row r="676" spans="1:9">
      <c r="A676" s="10" t="str">
        <f t="shared" si="43"/>
        <v/>
      </c>
      <c r="B676" s="53"/>
      <c r="C676" s="28" t="str">
        <f t="shared" si="40"/>
        <v/>
      </c>
      <c r="D676" s="28" t="str">
        <f t="shared" si="41"/>
        <v/>
      </c>
      <c r="E676" s="77"/>
      <c r="F676" s="45"/>
      <c r="G676" s="56"/>
      <c r="H676" s="83"/>
      <c r="I676" s="35" t="str">
        <f t="shared" si="42"/>
        <v/>
      </c>
    </row>
    <row r="677" spans="1:9">
      <c r="A677" s="10" t="str">
        <f t="shared" si="43"/>
        <v/>
      </c>
      <c r="B677" s="53"/>
      <c r="C677" s="28" t="str">
        <f t="shared" si="40"/>
        <v/>
      </c>
      <c r="D677" s="28" t="str">
        <f t="shared" si="41"/>
        <v/>
      </c>
      <c r="E677" s="77"/>
      <c r="F677" s="45"/>
      <c r="G677" s="56"/>
      <c r="H677" s="83"/>
      <c r="I677" s="35" t="str">
        <f t="shared" si="42"/>
        <v/>
      </c>
    </row>
    <row r="678" spans="1:9">
      <c r="A678" s="10" t="str">
        <f t="shared" si="43"/>
        <v/>
      </c>
      <c r="B678" s="53"/>
      <c r="C678" s="28" t="str">
        <f t="shared" si="40"/>
        <v/>
      </c>
      <c r="D678" s="28" t="str">
        <f t="shared" si="41"/>
        <v/>
      </c>
      <c r="E678" s="77"/>
      <c r="F678" s="45"/>
      <c r="G678" s="56"/>
      <c r="H678" s="83"/>
      <c r="I678" s="35" t="str">
        <f t="shared" si="42"/>
        <v/>
      </c>
    </row>
    <row r="679" spans="1:9">
      <c r="A679" s="10" t="str">
        <f t="shared" si="43"/>
        <v/>
      </c>
      <c r="B679" s="53"/>
      <c r="C679" s="28" t="str">
        <f t="shared" si="40"/>
        <v/>
      </c>
      <c r="D679" s="28" t="str">
        <f t="shared" si="41"/>
        <v/>
      </c>
      <c r="E679" s="77"/>
      <c r="F679" s="45"/>
      <c r="G679" s="56"/>
      <c r="H679" s="83"/>
      <c r="I679" s="35" t="str">
        <f t="shared" si="42"/>
        <v/>
      </c>
    </row>
    <row r="680" spans="1:9">
      <c r="A680" s="10" t="str">
        <f t="shared" si="43"/>
        <v/>
      </c>
      <c r="B680" s="53"/>
      <c r="C680" s="28" t="str">
        <f t="shared" si="40"/>
        <v/>
      </c>
      <c r="D680" s="28" t="str">
        <f t="shared" si="41"/>
        <v/>
      </c>
      <c r="E680" s="77"/>
      <c r="F680" s="45"/>
      <c r="G680" s="56"/>
      <c r="H680" s="83"/>
      <c r="I680" s="35" t="str">
        <f t="shared" si="42"/>
        <v/>
      </c>
    </row>
    <row r="681" spans="1:9">
      <c r="A681" s="10" t="str">
        <f t="shared" si="43"/>
        <v/>
      </c>
      <c r="B681" s="53"/>
      <c r="C681" s="28" t="str">
        <f t="shared" si="40"/>
        <v/>
      </c>
      <c r="D681" s="28" t="str">
        <f t="shared" si="41"/>
        <v/>
      </c>
      <c r="E681" s="77"/>
      <c r="F681" s="45"/>
      <c r="G681" s="56"/>
      <c r="H681" s="83"/>
      <c r="I681" s="35" t="str">
        <f t="shared" si="42"/>
        <v/>
      </c>
    </row>
    <row r="682" spans="1:9">
      <c r="A682" s="10" t="str">
        <f t="shared" si="43"/>
        <v/>
      </c>
      <c r="B682" s="53"/>
      <c r="C682" s="28" t="str">
        <f t="shared" si="40"/>
        <v/>
      </c>
      <c r="D682" s="28" t="str">
        <f t="shared" si="41"/>
        <v/>
      </c>
      <c r="E682" s="77"/>
      <c r="F682" s="45"/>
      <c r="G682" s="56"/>
      <c r="H682" s="83"/>
      <c r="I682" s="35" t="str">
        <f t="shared" si="42"/>
        <v/>
      </c>
    </row>
    <row r="683" spans="1:9">
      <c r="A683" s="10" t="str">
        <f t="shared" si="43"/>
        <v/>
      </c>
      <c r="B683" s="53"/>
      <c r="C683" s="28" t="str">
        <f t="shared" si="40"/>
        <v/>
      </c>
      <c r="D683" s="28" t="str">
        <f t="shared" si="41"/>
        <v/>
      </c>
      <c r="E683" s="77"/>
      <c r="F683" s="45"/>
      <c r="G683" s="56"/>
      <c r="H683" s="83"/>
      <c r="I683" s="35" t="str">
        <f t="shared" si="42"/>
        <v/>
      </c>
    </row>
    <row r="684" spans="1:9">
      <c r="A684" s="10" t="str">
        <f t="shared" si="43"/>
        <v/>
      </c>
      <c r="B684" s="53"/>
      <c r="C684" s="28" t="str">
        <f t="shared" si="40"/>
        <v/>
      </c>
      <c r="D684" s="28" t="str">
        <f t="shared" si="41"/>
        <v/>
      </c>
      <c r="E684" s="77"/>
      <c r="F684" s="45"/>
      <c r="G684" s="56"/>
      <c r="H684" s="83"/>
      <c r="I684" s="35" t="str">
        <f t="shared" si="42"/>
        <v/>
      </c>
    </row>
    <row r="685" spans="1:9">
      <c r="A685" s="10" t="str">
        <f t="shared" si="43"/>
        <v/>
      </c>
      <c r="B685" s="53"/>
      <c r="C685" s="28" t="str">
        <f t="shared" si="40"/>
        <v/>
      </c>
      <c r="D685" s="28" t="str">
        <f t="shared" si="41"/>
        <v/>
      </c>
      <c r="E685" s="77"/>
      <c r="F685" s="45"/>
      <c r="G685" s="56"/>
      <c r="H685" s="83"/>
      <c r="I685" s="35" t="str">
        <f t="shared" si="42"/>
        <v/>
      </c>
    </row>
    <row r="686" spans="1:9">
      <c r="A686" s="10" t="str">
        <f t="shared" si="43"/>
        <v/>
      </c>
      <c r="B686" s="53"/>
      <c r="C686" s="28" t="str">
        <f t="shared" si="40"/>
        <v/>
      </c>
      <c r="D686" s="28" t="str">
        <f t="shared" si="41"/>
        <v/>
      </c>
      <c r="E686" s="77"/>
      <c r="F686" s="45"/>
      <c r="G686" s="56"/>
      <c r="H686" s="83"/>
      <c r="I686" s="35" t="str">
        <f t="shared" si="42"/>
        <v/>
      </c>
    </row>
    <row r="687" spans="1:9">
      <c r="A687" s="10" t="str">
        <f t="shared" si="43"/>
        <v/>
      </c>
      <c r="B687" s="53"/>
      <c r="C687" s="28" t="str">
        <f t="shared" si="40"/>
        <v/>
      </c>
      <c r="D687" s="28" t="str">
        <f t="shared" si="41"/>
        <v/>
      </c>
      <c r="E687" s="77"/>
      <c r="F687" s="45"/>
      <c r="G687" s="56"/>
      <c r="H687" s="83"/>
      <c r="I687" s="35" t="str">
        <f t="shared" si="42"/>
        <v/>
      </c>
    </row>
    <row r="688" spans="1:9">
      <c r="A688" s="10" t="str">
        <f t="shared" si="43"/>
        <v/>
      </c>
      <c r="B688" s="53"/>
      <c r="C688" s="28" t="str">
        <f t="shared" si="40"/>
        <v/>
      </c>
      <c r="D688" s="28" t="str">
        <f t="shared" si="41"/>
        <v/>
      </c>
      <c r="E688" s="77"/>
      <c r="F688" s="45"/>
      <c r="G688" s="56"/>
      <c r="H688" s="83"/>
      <c r="I688" s="35" t="str">
        <f t="shared" si="42"/>
        <v/>
      </c>
    </row>
    <row r="689" spans="1:9">
      <c r="A689" s="10" t="str">
        <f t="shared" si="43"/>
        <v/>
      </c>
      <c r="B689" s="53"/>
      <c r="C689" s="28" t="str">
        <f t="shared" si="40"/>
        <v/>
      </c>
      <c r="D689" s="28" t="str">
        <f t="shared" si="41"/>
        <v/>
      </c>
      <c r="E689" s="77"/>
      <c r="F689" s="45"/>
      <c r="G689" s="56"/>
      <c r="H689" s="83"/>
      <c r="I689" s="35" t="str">
        <f t="shared" si="42"/>
        <v/>
      </c>
    </row>
    <row r="690" spans="1:9">
      <c r="A690" s="10" t="str">
        <f t="shared" si="43"/>
        <v/>
      </c>
      <c r="B690" s="53"/>
      <c r="C690" s="28" t="str">
        <f t="shared" si="40"/>
        <v/>
      </c>
      <c r="D690" s="28" t="str">
        <f t="shared" si="41"/>
        <v/>
      </c>
      <c r="E690" s="77"/>
      <c r="F690" s="45"/>
      <c r="G690" s="56"/>
      <c r="H690" s="83"/>
      <c r="I690" s="35" t="str">
        <f t="shared" si="42"/>
        <v/>
      </c>
    </row>
    <row r="691" spans="1:9">
      <c r="A691" s="10" t="str">
        <f t="shared" si="43"/>
        <v/>
      </c>
      <c r="B691" s="53"/>
      <c r="C691" s="28" t="str">
        <f t="shared" si="40"/>
        <v/>
      </c>
      <c r="D691" s="28" t="str">
        <f t="shared" si="41"/>
        <v/>
      </c>
      <c r="E691" s="77"/>
      <c r="F691" s="45"/>
      <c r="G691" s="56"/>
      <c r="H691" s="83"/>
      <c r="I691" s="35" t="str">
        <f t="shared" si="42"/>
        <v/>
      </c>
    </row>
    <row r="692" spans="1:9">
      <c r="A692" s="10" t="str">
        <f t="shared" si="43"/>
        <v/>
      </c>
      <c r="B692" s="53"/>
      <c r="C692" s="28" t="str">
        <f t="shared" si="40"/>
        <v/>
      </c>
      <c r="D692" s="28" t="str">
        <f t="shared" si="41"/>
        <v/>
      </c>
      <c r="E692" s="77"/>
      <c r="F692" s="45"/>
      <c r="G692" s="56"/>
      <c r="H692" s="83"/>
      <c r="I692" s="35" t="str">
        <f t="shared" si="42"/>
        <v/>
      </c>
    </row>
    <row r="693" spans="1:9">
      <c r="A693" s="10" t="str">
        <f t="shared" si="43"/>
        <v/>
      </c>
      <c r="B693" s="53"/>
      <c r="C693" s="28" t="str">
        <f t="shared" si="40"/>
        <v/>
      </c>
      <c r="D693" s="28" t="str">
        <f t="shared" si="41"/>
        <v/>
      </c>
      <c r="E693" s="77"/>
      <c r="F693" s="45"/>
      <c r="G693" s="56"/>
      <c r="H693" s="83"/>
      <c r="I693" s="35" t="str">
        <f t="shared" si="42"/>
        <v/>
      </c>
    </row>
    <row r="694" spans="1:9">
      <c r="A694" s="10" t="str">
        <f t="shared" si="43"/>
        <v/>
      </c>
      <c r="B694" s="53"/>
      <c r="C694" s="28" t="str">
        <f t="shared" si="40"/>
        <v/>
      </c>
      <c r="D694" s="28" t="str">
        <f t="shared" si="41"/>
        <v/>
      </c>
      <c r="E694" s="77"/>
      <c r="F694" s="45"/>
      <c r="G694" s="56"/>
      <c r="H694" s="83"/>
      <c r="I694" s="35" t="str">
        <f t="shared" si="42"/>
        <v/>
      </c>
    </row>
    <row r="695" spans="1:9">
      <c r="A695" s="10" t="str">
        <f t="shared" si="43"/>
        <v/>
      </c>
      <c r="B695" s="53"/>
      <c r="C695" s="28" t="str">
        <f t="shared" si="40"/>
        <v/>
      </c>
      <c r="D695" s="28" t="str">
        <f t="shared" si="41"/>
        <v/>
      </c>
      <c r="E695" s="77"/>
      <c r="F695" s="45"/>
      <c r="G695" s="56"/>
      <c r="H695" s="83"/>
      <c r="I695" s="35" t="str">
        <f t="shared" si="42"/>
        <v/>
      </c>
    </row>
    <row r="696" spans="1:9">
      <c r="A696" s="10" t="str">
        <f t="shared" si="43"/>
        <v/>
      </c>
      <c r="B696" s="53"/>
      <c r="C696" s="28" t="str">
        <f t="shared" si="40"/>
        <v/>
      </c>
      <c r="D696" s="28" t="str">
        <f t="shared" si="41"/>
        <v/>
      </c>
      <c r="E696" s="77"/>
      <c r="F696" s="45"/>
      <c r="G696" s="56"/>
      <c r="H696" s="83"/>
      <c r="I696" s="35" t="str">
        <f t="shared" si="42"/>
        <v/>
      </c>
    </row>
    <row r="697" spans="1:9">
      <c r="A697" s="10" t="str">
        <f t="shared" si="43"/>
        <v/>
      </c>
      <c r="B697" s="53"/>
      <c r="C697" s="28" t="str">
        <f t="shared" si="40"/>
        <v/>
      </c>
      <c r="D697" s="28" t="str">
        <f t="shared" si="41"/>
        <v/>
      </c>
      <c r="E697" s="77"/>
      <c r="F697" s="45"/>
      <c r="G697" s="56"/>
      <c r="H697" s="83"/>
      <c r="I697" s="35" t="str">
        <f t="shared" si="42"/>
        <v/>
      </c>
    </row>
    <row r="698" spans="1:9">
      <c r="A698" s="10" t="str">
        <f t="shared" si="43"/>
        <v/>
      </c>
      <c r="B698" s="53"/>
      <c r="C698" s="28" t="str">
        <f t="shared" si="40"/>
        <v/>
      </c>
      <c r="D698" s="28" t="str">
        <f t="shared" si="41"/>
        <v/>
      </c>
      <c r="E698" s="77"/>
      <c r="F698" s="45"/>
      <c r="G698" s="56"/>
      <c r="H698" s="83"/>
      <c r="I698" s="35" t="str">
        <f t="shared" si="42"/>
        <v/>
      </c>
    </row>
    <row r="699" spans="1:9">
      <c r="A699" s="10" t="str">
        <f t="shared" si="43"/>
        <v/>
      </c>
      <c r="B699" s="53"/>
      <c r="C699" s="28" t="str">
        <f t="shared" si="40"/>
        <v/>
      </c>
      <c r="D699" s="28" t="str">
        <f t="shared" si="41"/>
        <v/>
      </c>
      <c r="E699" s="77"/>
      <c r="F699" s="45"/>
      <c r="G699" s="56"/>
      <c r="H699" s="83"/>
      <c r="I699" s="35" t="str">
        <f t="shared" si="42"/>
        <v/>
      </c>
    </row>
    <row r="700" spans="1:9">
      <c r="A700" s="10" t="str">
        <f t="shared" si="43"/>
        <v/>
      </c>
      <c r="B700" s="53"/>
      <c r="C700" s="28" t="str">
        <f t="shared" si="40"/>
        <v/>
      </c>
      <c r="D700" s="28" t="str">
        <f t="shared" si="41"/>
        <v/>
      </c>
      <c r="E700" s="77"/>
      <c r="F700" s="45"/>
      <c r="G700" s="56"/>
      <c r="H700" s="83"/>
      <c r="I700" s="35" t="str">
        <f t="shared" si="42"/>
        <v/>
      </c>
    </row>
    <row r="701" spans="1:9">
      <c r="A701" s="10" t="str">
        <f t="shared" si="43"/>
        <v/>
      </c>
      <c r="B701" s="53"/>
      <c r="C701" s="28" t="str">
        <f t="shared" si="40"/>
        <v/>
      </c>
      <c r="D701" s="28" t="str">
        <f t="shared" si="41"/>
        <v/>
      </c>
      <c r="E701" s="77"/>
      <c r="F701" s="45"/>
      <c r="G701" s="56"/>
      <c r="H701" s="83"/>
      <c r="I701" s="35" t="str">
        <f t="shared" si="42"/>
        <v/>
      </c>
    </row>
    <row r="702" spans="1:9">
      <c r="A702" s="10" t="str">
        <f t="shared" si="43"/>
        <v/>
      </c>
      <c r="B702" s="53"/>
      <c r="C702" s="28" t="str">
        <f t="shared" si="40"/>
        <v/>
      </c>
      <c r="D702" s="28" t="str">
        <f t="shared" si="41"/>
        <v/>
      </c>
      <c r="E702" s="77"/>
      <c r="F702" s="45"/>
      <c r="G702" s="56"/>
      <c r="H702" s="83"/>
      <c r="I702" s="35" t="str">
        <f t="shared" si="42"/>
        <v/>
      </c>
    </row>
    <row r="703" spans="1:9">
      <c r="A703" s="10" t="str">
        <f t="shared" si="43"/>
        <v/>
      </c>
      <c r="B703" s="53"/>
      <c r="C703" s="28" t="str">
        <f t="shared" si="40"/>
        <v/>
      </c>
      <c r="D703" s="28" t="str">
        <f t="shared" si="41"/>
        <v/>
      </c>
      <c r="E703" s="77"/>
      <c r="F703" s="45"/>
      <c r="G703" s="56"/>
      <c r="H703" s="83"/>
      <c r="I703" s="35" t="str">
        <f t="shared" si="42"/>
        <v/>
      </c>
    </row>
    <row r="704" spans="1:9">
      <c r="A704" s="10" t="str">
        <f t="shared" si="43"/>
        <v/>
      </c>
      <c r="B704" s="53"/>
      <c r="C704" s="28" t="str">
        <f t="shared" si="40"/>
        <v/>
      </c>
      <c r="D704" s="28" t="str">
        <f t="shared" si="41"/>
        <v/>
      </c>
      <c r="E704" s="77"/>
      <c r="F704" s="45"/>
      <c r="G704" s="56"/>
      <c r="H704" s="83"/>
      <c r="I704" s="35" t="str">
        <f t="shared" si="42"/>
        <v/>
      </c>
    </row>
    <row r="705" spans="1:9">
      <c r="A705" s="10" t="str">
        <f t="shared" si="43"/>
        <v/>
      </c>
      <c r="B705" s="53"/>
      <c r="C705" s="28" t="str">
        <f t="shared" si="40"/>
        <v/>
      </c>
      <c r="D705" s="28" t="str">
        <f t="shared" si="41"/>
        <v/>
      </c>
      <c r="E705" s="77"/>
      <c r="F705" s="45"/>
      <c r="G705" s="56"/>
      <c r="H705" s="83"/>
      <c r="I705" s="35" t="str">
        <f t="shared" si="42"/>
        <v/>
      </c>
    </row>
    <row r="706" spans="1:9">
      <c r="A706" s="10" t="str">
        <f t="shared" si="43"/>
        <v/>
      </c>
      <c r="B706" s="53"/>
      <c r="C706" s="28" t="str">
        <f t="shared" si="40"/>
        <v/>
      </c>
      <c r="D706" s="28" t="str">
        <f t="shared" si="41"/>
        <v/>
      </c>
      <c r="E706" s="77"/>
      <c r="F706" s="45"/>
      <c r="G706" s="56"/>
      <c r="H706" s="83"/>
      <c r="I706" s="35" t="str">
        <f t="shared" si="42"/>
        <v/>
      </c>
    </row>
    <row r="707" spans="1:9">
      <c r="A707" s="10" t="str">
        <f t="shared" si="43"/>
        <v/>
      </c>
      <c r="B707" s="53"/>
      <c r="C707" s="28" t="str">
        <f t="shared" ref="C707:C770" si="44">IF(B707=0,"",TEXT(B707,"mmmm"))</f>
        <v/>
      </c>
      <c r="D707" s="28" t="str">
        <f t="shared" ref="D707:D770" si="45">IF(B707=0,"",TEXT(B707,"yyyy"))</f>
        <v/>
      </c>
      <c r="E707" s="77"/>
      <c r="F707" s="45"/>
      <c r="G707" s="56"/>
      <c r="H707" s="83"/>
      <c r="I707" s="35" t="str">
        <f t="shared" ref="I707:I770" si="46">IF(G707*H707=0,"",G707*H707)</f>
        <v/>
      </c>
    </row>
    <row r="708" spans="1:9">
      <c r="A708" s="10" t="str">
        <f t="shared" ref="A708:A771" si="47">IF(E708&gt;0,A707+1,"")</f>
        <v/>
      </c>
      <c r="B708" s="53"/>
      <c r="C708" s="28" t="str">
        <f t="shared" si="44"/>
        <v/>
      </c>
      <c r="D708" s="28" t="str">
        <f t="shared" si="45"/>
        <v/>
      </c>
      <c r="E708" s="77"/>
      <c r="F708" s="45"/>
      <c r="G708" s="56"/>
      <c r="H708" s="83"/>
      <c r="I708" s="35" t="str">
        <f t="shared" si="46"/>
        <v/>
      </c>
    </row>
    <row r="709" spans="1:9">
      <c r="A709" s="10" t="str">
        <f t="shared" si="47"/>
        <v/>
      </c>
      <c r="B709" s="53"/>
      <c r="C709" s="28" t="str">
        <f t="shared" si="44"/>
        <v/>
      </c>
      <c r="D709" s="28" t="str">
        <f t="shared" si="45"/>
        <v/>
      </c>
      <c r="E709" s="77"/>
      <c r="F709" s="45"/>
      <c r="G709" s="56"/>
      <c r="H709" s="83"/>
      <c r="I709" s="35" t="str">
        <f t="shared" si="46"/>
        <v/>
      </c>
    </row>
    <row r="710" spans="1:9">
      <c r="A710" s="10" t="str">
        <f t="shared" si="47"/>
        <v/>
      </c>
      <c r="B710" s="53"/>
      <c r="C710" s="28" t="str">
        <f t="shared" si="44"/>
        <v/>
      </c>
      <c r="D710" s="28" t="str">
        <f t="shared" si="45"/>
        <v/>
      </c>
      <c r="E710" s="77"/>
      <c r="F710" s="45"/>
      <c r="G710" s="56"/>
      <c r="H710" s="83"/>
      <c r="I710" s="35" t="str">
        <f t="shared" si="46"/>
        <v/>
      </c>
    </row>
    <row r="711" spans="1:9">
      <c r="A711" s="10" t="str">
        <f t="shared" si="47"/>
        <v/>
      </c>
      <c r="B711" s="53"/>
      <c r="C711" s="28" t="str">
        <f t="shared" si="44"/>
        <v/>
      </c>
      <c r="D711" s="28" t="str">
        <f t="shared" si="45"/>
        <v/>
      </c>
      <c r="E711" s="77"/>
      <c r="F711" s="45"/>
      <c r="G711" s="56"/>
      <c r="H711" s="83"/>
      <c r="I711" s="35" t="str">
        <f t="shared" si="46"/>
        <v/>
      </c>
    </row>
    <row r="712" spans="1:9">
      <c r="A712" s="10" t="str">
        <f t="shared" si="47"/>
        <v/>
      </c>
      <c r="B712" s="53"/>
      <c r="C712" s="28" t="str">
        <f t="shared" si="44"/>
        <v/>
      </c>
      <c r="D712" s="28" t="str">
        <f t="shared" si="45"/>
        <v/>
      </c>
      <c r="E712" s="77"/>
      <c r="F712" s="45"/>
      <c r="G712" s="56"/>
      <c r="H712" s="83"/>
      <c r="I712" s="35" t="str">
        <f t="shared" si="46"/>
        <v/>
      </c>
    </row>
    <row r="713" spans="1:9">
      <c r="A713" s="10" t="str">
        <f t="shared" si="47"/>
        <v/>
      </c>
      <c r="B713" s="53"/>
      <c r="C713" s="28" t="str">
        <f t="shared" si="44"/>
        <v/>
      </c>
      <c r="D713" s="28" t="str">
        <f t="shared" si="45"/>
        <v/>
      </c>
      <c r="E713" s="77"/>
      <c r="F713" s="45"/>
      <c r="G713" s="56"/>
      <c r="H713" s="83"/>
      <c r="I713" s="35" t="str">
        <f t="shared" si="46"/>
        <v/>
      </c>
    </row>
    <row r="714" spans="1:9">
      <c r="A714" s="10" t="str">
        <f t="shared" si="47"/>
        <v/>
      </c>
      <c r="B714" s="53"/>
      <c r="C714" s="28" t="str">
        <f t="shared" si="44"/>
        <v/>
      </c>
      <c r="D714" s="28" t="str">
        <f t="shared" si="45"/>
        <v/>
      </c>
      <c r="E714" s="77"/>
      <c r="F714" s="45"/>
      <c r="G714" s="56"/>
      <c r="H714" s="83"/>
      <c r="I714" s="35" t="str">
        <f t="shared" si="46"/>
        <v/>
      </c>
    </row>
    <row r="715" spans="1:9">
      <c r="A715" s="10" t="str">
        <f t="shared" si="47"/>
        <v/>
      </c>
      <c r="B715" s="53"/>
      <c r="C715" s="28" t="str">
        <f t="shared" si="44"/>
        <v/>
      </c>
      <c r="D715" s="28" t="str">
        <f t="shared" si="45"/>
        <v/>
      </c>
      <c r="E715" s="77"/>
      <c r="F715" s="45"/>
      <c r="G715" s="56"/>
      <c r="H715" s="83"/>
      <c r="I715" s="35" t="str">
        <f t="shared" si="46"/>
        <v/>
      </c>
    </row>
    <row r="716" spans="1:9">
      <c r="A716" s="10" t="str">
        <f t="shared" si="47"/>
        <v/>
      </c>
      <c r="B716" s="53"/>
      <c r="C716" s="28" t="str">
        <f t="shared" si="44"/>
        <v/>
      </c>
      <c r="D716" s="28" t="str">
        <f t="shared" si="45"/>
        <v/>
      </c>
      <c r="E716" s="77"/>
      <c r="F716" s="45"/>
      <c r="G716" s="56"/>
      <c r="H716" s="83"/>
      <c r="I716" s="35" t="str">
        <f t="shared" si="46"/>
        <v/>
      </c>
    </row>
    <row r="717" spans="1:9">
      <c r="A717" s="10" t="str">
        <f t="shared" si="47"/>
        <v/>
      </c>
      <c r="B717" s="53"/>
      <c r="C717" s="28" t="str">
        <f t="shared" si="44"/>
        <v/>
      </c>
      <c r="D717" s="28" t="str">
        <f t="shared" si="45"/>
        <v/>
      </c>
      <c r="E717" s="77"/>
      <c r="F717" s="45"/>
      <c r="G717" s="56"/>
      <c r="H717" s="83"/>
      <c r="I717" s="35" t="str">
        <f t="shared" si="46"/>
        <v/>
      </c>
    </row>
    <row r="718" spans="1:9">
      <c r="A718" s="10" t="str">
        <f t="shared" si="47"/>
        <v/>
      </c>
      <c r="B718" s="53"/>
      <c r="C718" s="28" t="str">
        <f t="shared" si="44"/>
        <v/>
      </c>
      <c r="D718" s="28" t="str">
        <f t="shared" si="45"/>
        <v/>
      </c>
      <c r="E718" s="77"/>
      <c r="F718" s="45"/>
      <c r="G718" s="56"/>
      <c r="H718" s="83"/>
      <c r="I718" s="35" t="str">
        <f t="shared" si="46"/>
        <v/>
      </c>
    </row>
    <row r="719" spans="1:9">
      <c r="A719" s="10" t="str">
        <f t="shared" si="47"/>
        <v/>
      </c>
      <c r="B719" s="53"/>
      <c r="C719" s="28" t="str">
        <f t="shared" si="44"/>
        <v/>
      </c>
      <c r="D719" s="28" t="str">
        <f t="shared" si="45"/>
        <v/>
      </c>
      <c r="E719" s="77"/>
      <c r="F719" s="45"/>
      <c r="G719" s="56"/>
      <c r="H719" s="83"/>
      <c r="I719" s="35" t="str">
        <f t="shared" si="46"/>
        <v/>
      </c>
    </row>
    <row r="720" spans="1:9">
      <c r="A720" s="10" t="str">
        <f t="shared" si="47"/>
        <v/>
      </c>
      <c r="B720" s="53"/>
      <c r="C720" s="28" t="str">
        <f t="shared" si="44"/>
        <v/>
      </c>
      <c r="D720" s="28" t="str">
        <f t="shared" si="45"/>
        <v/>
      </c>
      <c r="E720" s="77"/>
      <c r="F720" s="45"/>
      <c r="G720" s="56"/>
      <c r="H720" s="83"/>
      <c r="I720" s="35" t="str">
        <f t="shared" si="46"/>
        <v/>
      </c>
    </row>
    <row r="721" spans="1:9">
      <c r="A721" s="10" t="str">
        <f t="shared" si="47"/>
        <v/>
      </c>
      <c r="B721" s="53"/>
      <c r="C721" s="28" t="str">
        <f t="shared" si="44"/>
        <v/>
      </c>
      <c r="D721" s="28" t="str">
        <f t="shared" si="45"/>
        <v/>
      </c>
      <c r="E721" s="77"/>
      <c r="F721" s="45"/>
      <c r="G721" s="56"/>
      <c r="H721" s="83"/>
      <c r="I721" s="35" t="str">
        <f t="shared" si="46"/>
        <v/>
      </c>
    </row>
    <row r="722" spans="1:9">
      <c r="A722" s="10" t="str">
        <f t="shared" si="47"/>
        <v/>
      </c>
      <c r="B722" s="53"/>
      <c r="C722" s="28" t="str">
        <f t="shared" si="44"/>
        <v/>
      </c>
      <c r="D722" s="28" t="str">
        <f t="shared" si="45"/>
        <v/>
      </c>
      <c r="E722" s="77"/>
      <c r="F722" s="45"/>
      <c r="G722" s="56"/>
      <c r="H722" s="83"/>
      <c r="I722" s="35" t="str">
        <f t="shared" si="46"/>
        <v/>
      </c>
    </row>
    <row r="723" spans="1:9">
      <c r="A723" s="10" t="str">
        <f t="shared" si="47"/>
        <v/>
      </c>
      <c r="B723" s="53"/>
      <c r="C723" s="28" t="str">
        <f t="shared" si="44"/>
        <v/>
      </c>
      <c r="D723" s="28" t="str">
        <f t="shared" si="45"/>
        <v/>
      </c>
      <c r="E723" s="77"/>
      <c r="F723" s="45"/>
      <c r="G723" s="56"/>
      <c r="H723" s="83"/>
      <c r="I723" s="35" t="str">
        <f t="shared" si="46"/>
        <v/>
      </c>
    </row>
    <row r="724" spans="1:9">
      <c r="A724" s="10" t="str">
        <f t="shared" si="47"/>
        <v/>
      </c>
      <c r="B724" s="53"/>
      <c r="C724" s="28" t="str">
        <f t="shared" si="44"/>
        <v/>
      </c>
      <c r="D724" s="28" t="str">
        <f t="shared" si="45"/>
        <v/>
      </c>
      <c r="E724" s="77"/>
      <c r="F724" s="45"/>
      <c r="G724" s="56"/>
      <c r="H724" s="83"/>
      <c r="I724" s="35" t="str">
        <f t="shared" si="46"/>
        <v/>
      </c>
    </row>
    <row r="725" spans="1:9">
      <c r="A725" s="10" t="str">
        <f t="shared" si="47"/>
        <v/>
      </c>
      <c r="B725" s="53"/>
      <c r="C725" s="28" t="str">
        <f t="shared" si="44"/>
        <v/>
      </c>
      <c r="D725" s="28" t="str">
        <f t="shared" si="45"/>
        <v/>
      </c>
      <c r="E725" s="77"/>
      <c r="F725" s="45"/>
      <c r="G725" s="56"/>
      <c r="H725" s="83"/>
      <c r="I725" s="35" t="str">
        <f t="shared" si="46"/>
        <v/>
      </c>
    </row>
    <row r="726" spans="1:9">
      <c r="A726" s="10" t="str">
        <f t="shared" si="47"/>
        <v/>
      </c>
      <c r="B726" s="53"/>
      <c r="C726" s="28" t="str">
        <f t="shared" si="44"/>
        <v/>
      </c>
      <c r="D726" s="28" t="str">
        <f t="shared" si="45"/>
        <v/>
      </c>
      <c r="E726" s="77"/>
      <c r="F726" s="45"/>
      <c r="G726" s="56"/>
      <c r="H726" s="83"/>
      <c r="I726" s="35" t="str">
        <f t="shared" si="46"/>
        <v/>
      </c>
    </row>
    <row r="727" spans="1:9">
      <c r="A727" s="10" t="str">
        <f t="shared" si="47"/>
        <v/>
      </c>
      <c r="B727" s="53"/>
      <c r="C727" s="28" t="str">
        <f t="shared" si="44"/>
        <v/>
      </c>
      <c r="D727" s="28" t="str">
        <f t="shared" si="45"/>
        <v/>
      </c>
      <c r="E727" s="77"/>
      <c r="F727" s="45"/>
      <c r="G727" s="56"/>
      <c r="H727" s="83"/>
      <c r="I727" s="35" t="str">
        <f t="shared" si="46"/>
        <v/>
      </c>
    </row>
    <row r="728" spans="1:9">
      <c r="A728" s="10" t="str">
        <f t="shared" si="47"/>
        <v/>
      </c>
      <c r="B728" s="53"/>
      <c r="C728" s="28" t="str">
        <f t="shared" si="44"/>
        <v/>
      </c>
      <c r="D728" s="28" t="str">
        <f t="shared" si="45"/>
        <v/>
      </c>
      <c r="E728" s="77"/>
      <c r="F728" s="45"/>
      <c r="G728" s="56"/>
      <c r="H728" s="83"/>
      <c r="I728" s="35" t="str">
        <f t="shared" si="46"/>
        <v/>
      </c>
    </row>
    <row r="729" spans="1:9">
      <c r="A729" s="10" t="str">
        <f t="shared" si="47"/>
        <v/>
      </c>
      <c r="B729" s="53"/>
      <c r="C729" s="28" t="str">
        <f t="shared" si="44"/>
        <v/>
      </c>
      <c r="D729" s="28" t="str">
        <f t="shared" si="45"/>
        <v/>
      </c>
      <c r="E729" s="77"/>
      <c r="F729" s="45"/>
      <c r="G729" s="56"/>
      <c r="H729" s="83"/>
      <c r="I729" s="35" t="str">
        <f t="shared" si="46"/>
        <v/>
      </c>
    </row>
    <row r="730" spans="1:9">
      <c r="A730" s="10" t="str">
        <f t="shared" si="47"/>
        <v/>
      </c>
      <c r="B730" s="53"/>
      <c r="C730" s="28" t="str">
        <f t="shared" si="44"/>
        <v/>
      </c>
      <c r="D730" s="28" t="str">
        <f t="shared" si="45"/>
        <v/>
      </c>
      <c r="E730" s="77"/>
      <c r="F730" s="45"/>
      <c r="G730" s="56"/>
      <c r="H730" s="83"/>
      <c r="I730" s="35" t="str">
        <f t="shared" si="46"/>
        <v/>
      </c>
    </row>
    <row r="731" spans="1:9">
      <c r="A731" s="10" t="str">
        <f t="shared" si="47"/>
        <v/>
      </c>
      <c r="B731" s="53"/>
      <c r="C731" s="28" t="str">
        <f t="shared" si="44"/>
        <v/>
      </c>
      <c r="D731" s="28" t="str">
        <f t="shared" si="45"/>
        <v/>
      </c>
      <c r="E731" s="77"/>
      <c r="F731" s="45"/>
      <c r="G731" s="56"/>
      <c r="H731" s="83"/>
      <c r="I731" s="35" t="str">
        <f t="shared" si="46"/>
        <v/>
      </c>
    </row>
    <row r="732" spans="1:9">
      <c r="A732" s="10" t="str">
        <f t="shared" si="47"/>
        <v/>
      </c>
      <c r="B732" s="53"/>
      <c r="C732" s="28" t="str">
        <f t="shared" si="44"/>
        <v/>
      </c>
      <c r="D732" s="28" t="str">
        <f t="shared" si="45"/>
        <v/>
      </c>
      <c r="E732" s="77"/>
      <c r="F732" s="45"/>
      <c r="G732" s="56"/>
      <c r="H732" s="83"/>
      <c r="I732" s="35" t="str">
        <f t="shared" si="46"/>
        <v/>
      </c>
    </row>
    <row r="733" spans="1:9">
      <c r="A733" s="10" t="str">
        <f t="shared" si="47"/>
        <v/>
      </c>
      <c r="B733" s="53"/>
      <c r="C733" s="28" t="str">
        <f t="shared" si="44"/>
        <v/>
      </c>
      <c r="D733" s="28" t="str">
        <f t="shared" si="45"/>
        <v/>
      </c>
      <c r="E733" s="77"/>
      <c r="F733" s="45"/>
      <c r="G733" s="56"/>
      <c r="H733" s="83"/>
      <c r="I733" s="35" t="str">
        <f t="shared" si="46"/>
        <v/>
      </c>
    </row>
    <row r="734" spans="1:9">
      <c r="A734" s="10" t="str">
        <f t="shared" si="47"/>
        <v/>
      </c>
      <c r="B734" s="53"/>
      <c r="C734" s="28" t="str">
        <f t="shared" si="44"/>
        <v/>
      </c>
      <c r="D734" s="28" t="str">
        <f t="shared" si="45"/>
        <v/>
      </c>
      <c r="E734" s="77"/>
      <c r="F734" s="45"/>
      <c r="G734" s="56"/>
      <c r="H734" s="83"/>
      <c r="I734" s="35" t="str">
        <f t="shared" si="46"/>
        <v/>
      </c>
    </row>
    <row r="735" spans="1:9">
      <c r="A735" s="10" t="str">
        <f t="shared" si="47"/>
        <v/>
      </c>
      <c r="B735" s="53"/>
      <c r="C735" s="28" t="str">
        <f t="shared" si="44"/>
        <v/>
      </c>
      <c r="D735" s="28" t="str">
        <f t="shared" si="45"/>
        <v/>
      </c>
      <c r="E735" s="77"/>
      <c r="F735" s="45"/>
      <c r="G735" s="56"/>
      <c r="H735" s="83"/>
      <c r="I735" s="35" t="str">
        <f t="shared" si="46"/>
        <v/>
      </c>
    </row>
    <row r="736" spans="1:9">
      <c r="A736" s="10" t="str">
        <f t="shared" si="47"/>
        <v/>
      </c>
      <c r="B736" s="53"/>
      <c r="C736" s="28" t="str">
        <f t="shared" si="44"/>
        <v/>
      </c>
      <c r="D736" s="28" t="str">
        <f t="shared" si="45"/>
        <v/>
      </c>
      <c r="E736" s="77"/>
      <c r="F736" s="45"/>
      <c r="G736" s="56"/>
      <c r="H736" s="83"/>
      <c r="I736" s="35" t="str">
        <f t="shared" si="46"/>
        <v/>
      </c>
    </row>
    <row r="737" spans="1:9">
      <c r="A737" s="10" t="str">
        <f t="shared" si="47"/>
        <v/>
      </c>
      <c r="B737" s="53"/>
      <c r="C737" s="28" t="str">
        <f t="shared" si="44"/>
        <v/>
      </c>
      <c r="D737" s="28" t="str">
        <f t="shared" si="45"/>
        <v/>
      </c>
      <c r="E737" s="77"/>
      <c r="F737" s="45"/>
      <c r="G737" s="56"/>
      <c r="H737" s="83"/>
      <c r="I737" s="35" t="str">
        <f t="shared" si="46"/>
        <v/>
      </c>
    </row>
    <row r="738" spans="1:9">
      <c r="A738" s="10" t="str">
        <f t="shared" si="47"/>
        <v/>
      </c>
      <c r="B738" s="53"/>
      <c r="C738" s="28" t="str">
        <f t="shared" si="44"/>
        <v/>
      </c>
      <c r="D738" s="28" t="str">
        <f t="shared" si="45"/>
        <v/>
      </c>
      <c r="E738" s="77"/>
      <c r="F738" s="45"/>
      <c r="G738" s="56"/>
      <c r="H738" s="83"/>
      <c r="I738" s="35" t="str">
        <f t="shared" si="46"/>
        <v/>
      </c>
    </row>
    <row r="739" spans="1:9">
      <c r="A739" s="10" t="str">
        <f t="shared" si="47"/>
        <v/>
      </c>
      <c r="B739" s="53"/>
      <c r="C739" s="28" t="str">
        <f t="shared" si="44"/>
        <v/>
      </c>
      <c r="D739" s="28" t="str">
        <f t="shared" si="45"/>
        <v/>
      </c>
      <c r="E739" s="77"/>
      <c r="F739" s="45"/>
      <c r="G739" s="56"/>
      <c r="H739" s="83"/>
      <c r="I739" s="35" t="str">
        <f t="shared" si="46"/>
        <v/>
      </c>
    </row>
    <row r="740" spans="1:9">
      <c r="A740" s="10" t="str">
        <f t="shared" si="47"/>
        <v/>
      </c>
      <c r="B740" s="53"/>
      <c r="C740" s="28" t="str">
        <f t="shared" si="44"/>
        <v/>
      </c>
      <c r="D740" s="28" t="str">
        <f t="shared" si="45"/>
        <v/>
      </c>
      <c r="E740" s="77"/>
      <c r="F740" s="45"/>
      <c r="G740" s="56"/>
      <c r="H740" s="83"/>
      <c r="I740" s="35" t="str">
        <f t="shared" si="46"/>
        <v/>
      </c>
    </row>
    <row r="741" spans="1:9">
      <c r="A741" s="10" t="str">
        <f t="shared" si="47"/>
        <v/>
      </c>
      <c r="B741" s="53"/>
      <c r="C741" s="28" t="str">
        <f t="shared" si="44"/>
        <v/>
      </c>
      <c r="D741" s="28" t="str">
        <f t="shared" si="45"/>
        <v/>
      </c>
      <c r="E741" s="77"/>
      <c r="F741" s="45"/>
      <c r="G741" s="56"/>
      <c r="H741" s="83"/>
      <c r="I741" s="35" t="str">
        <f t="shared" si="46"/>
        <v/>
      </c>
    </row>
    <row r="742" spans="1:9">
      <c r="A742" s="10" t="str">
        <f t="shared" si="47"/>
        <v/>
      </c>
      <c r="B742" s="53"/>
      <c r="C742" s="28" t="str">
        <f t="shared" si="44"/>
        <v/>
      </c>
      <c r="D742" s="28" t="str">
        <f t="shared" si="45"/>
        <v/>
      </c>
      <c r="E742" s="77"/>
      <c r="F742" s="45"/>
      <c r="G742" s="56"/>
      <c r="H742" s="83"/>
      <c r="I742" s="35" t="str">
        <f t="shared" si="46"/>
        <v/>
      </c>
    </row>
    <row r="743" spans="1:9">
      <c r="A743" s="10" t="str">
        <f t="shared" si="47"/>
        <v/>
      </c>
      <c r="B743" s="53"/>
      <c r="C743" s="28" t="str">
        <f t="shared" si="44"/>
        <v/>
      </c>
      <c r="D743" s="28" t="str">
        <f t="shared" si="45"/>
        <v/>
      </c>
      <c r="E743" s="77"/>
      <c r="F743" s="45"/>
      <c r="G743" s="56"/>
      <c r="H743" s="83"/>
      <c r="I743" s="35" t="str">
        <f t="shared" si="46"/>
        <v/>
      </c>
    </row>
    <row r="744" spans="1:9">
      <c r="A744" s="10" t="str">
        <f t="shared" si="47"/>
        <v/>
      </c>
      <c r="B744" s="53"/>
      <c r="C744" s="28" t="str">
        <f t="shared" si="44"/>
        <v/>
      </c>
      <c r="D744" s="28" t="str">
        <f t="shared" si="45"/>
        <v/>
      </c>
      <c r="E744" s="77"/>
      <c r="F744" s="45"/>
      <c r="G744" s="56"/>
      <c r="H744" s="83"/>
      <c r="I744" s="35" t="str">
        <f t="shared" si="46"/>
        <v/>
      </c>
    </row>
    <row r="745" spans="1:9">
      <c r="A745" s="10" t="str">
        <f t="shared" si="47"/>
        <v/>
      </c>
      <c r="B745" s="53"/>
      <c r="C745" s="28" t="str">
        <f t="shared" si="44"/>
        <v/>
      </c>
      <c r="D745" s="28" t="str">
        <f t="shared" si="45"/>
        <v/>
      </c>
      <c r="E745" s="77"/>
      <c r="F745" s="45"/>
      <c r="G745" s="56"/>
      <c r="H745" s="83"/>
      <c r="I745" s="35" t="str">
        <f t="shared" si="46"/>
        <v/>
      </c>
    </row>
    <row r="746" spans="1:9">
      <c r="A746" s="10" t="str">
        <f t="shared" si="47"/>
        <v/>
      </c>
      <c r="B746" s="53"/>
      <c r="C746" s="28" t="str">
        <f t="shared" si="44"/>
        <v/>
      </c>
      <c r="D746" s="28" t="str">
        <f t="shared" si="45"/>
        <v/>
      </c>
      <c r="E746" s="77"/>
      <c r="F746" s="45"/>
      <c r="G746" s="56"/>
      <c r="H746" s="83"/>
      <c r="I746" s="35" t="str">
        <f t="shared" si="46"/>
        <v/>
      </c>
    </row>
    <row r="747" spans="1:9">
      <c r="A747" s="10" t="str">
        <f t="shared" si="47"/>
        <v/>
      </c>
      <c r="B747" s="53"/>
      <c r="C747" s="28" t="str">
        <f t="shared" si="44"/>
        <v/>
      </c>
      <c r="D747" s="28" t="str">
        <f t="shared" si="45"/>
        <v/>
      </c>
      <c r="E747" s="77"/>
      <c r="F747" s="45"/>
      <c r="G747" s="56"/>
      <c r="H747" s="83"/>
      <c r="I747" s="35" t="str">
        <f t="shared" si="46"/>
        <v/>
      </c>
    </row>
    <row r="748" spans="1:9">
      <c r="A748" s="10" t="str">
        <f t="shared" si="47"/>
        <v/>
      </c>
      <c r="B748" s="53"/>
      <c r="C748" s="28" t="str">
        <f t="shared" si="44"/>
        <v/>
      </c>
      <c r="D748" s="28" t="str">
        <f t="shared" si="45"/>
        <v/>
      </c>
      <c r="E748" s="77"/>
      <c r="F748" s="45"/>
      <c r="G748" s="56"/>
      <c r="H748" s="83"/>
      <c r="I748" s="35" t="str">
        <f t="shared" si="46"/>
        <v/>
      </c>
    </row>
    <row r="749" spans="1:9">
      <c r="A749" s="10" t="str">
        <f t="shared" si="47"/>
        <v/>
      </c>
      <c r="B749" s="53"/>
      <c r="C749" s="28" t="str">
        <f t="shared" si="44"/>
        <v/>
      </c>
      <c r="D749" s="28" t="str">
        <f t="shared" si="45"/>
        <v/>
      </c>
      <c r="E749" s="77"/>
      <c r="F749" s="45"/>
      <c r="G749" s="56"/>
      <c r="H749" s="83"/>
      <c r="I749" s="35" t="str">
        <f t="shared" si="46"/>
        <v/>
      </c>
    </row>
    <row r="750" spans="1:9">
      <c r="A750" s="10" t="str">
        <f t="shared" si="47"/>
        <v/>
      </c>
      <c r="B750" s="53"/>
      <c r="C750" s="28" t="str">
        <f t="shared" si="44"/>
        <v/>
      </c>
      <c r="D750" s="28" t="str">
        <f t="shared" si="45"/>
        <v/>
      </c>
      <c r="E750" s="77"/>
      <c r="F750" s="45"/>
      <c r="G750" s="56"/>
      <c r="H750" s="83"/>
      <c r="I750" s="35" t="str">
        <f t="shared" si="46"/>
        <v/>
      </c>
    </row>
    <row r="751" spans="1:9">
      <c r="A751" s="10" t="str">
        <f t="shared" si="47"/>
        <v/>
      </c>
      <c r="B751" s="53"/>
      <c r="C751" s="28" t="str">
        <f t="shared" si="44"/>
        <v/>
      </c>
      <c r="D751" s="28" t="str">
        <f t="shared" si="45"/>
        <v/>
      </c>
      <c r="E751" s="77"/>
      <c r="F751" s="45"/>
      <c r="G751" s="56"/>
      <c r="H751" s="83"/>
      <c r="I751" s="35" t="str">
        <f t="shared" si="46"/>
        <v/>
      </c>
    </row>
    <row r="752" spans="1:9">
      <c r="A752" s="10" t="str">
        <f t="shared" si="47"/>
        <v/>
      </c>
      <c r="B752" s="53"/>
      <c r="C752" s="28" t="str">
        <f t="shared" si="44"/>
        <v/>
      </c>
      <c r="D752" s="28" t="str">
        <f t="shared" si="45"/>
        <v/>
      </c>
      <c r="E752" s="77"/>
      <c r="F752" s="45"/>
      <c r="G752" s="56"/>
      <c r="H752" s="83"/>
      <c r="I752" s="35" t="str">
        <f t="shared" si="46"/>
        <v/>
      </c>
    </row>
    <row r="753" spans="1:9">
      <c r="A753" s="10" t="str">
        <f t="shared" si="47"/>
        <v/>
      </c>
      <c r="B753" s="53"/>
      <c r="C753" s="28" t="str">
        <f t="shared" si="44"/>
        <v/>
      </c>
      <c r="D753" s="28" t="str">
        <f t="shared" si="45"/>
        <v/>
      </c>
      <c r="E753" s="77"/>
      <c r="F753" s="45"/>
      <c r="G753" s="56"/>
      <c r="H753" s="83"/>
      <c r="I753" s="35" t="str">
        <f t="shared" si="46"/>
        <v/>
      </c>
    </row>
    <row r="754" spans="1:9">
      <c r="A754" s="10" t="str">
        <f t="shared" si="47"/>
        <v/>
      </c>
      <c r="B754" s="53"/>
      <c r="C754" s="28" t="str">
        <f t="shared" si="44"/>
        <v/>
      </c>
      <c r="D754" s="28" t="str">
        <f t="shared" si="45"/>
        <v/>
      </c>
      <c r="E754" s="77"/>
      <c r="F754" s="45"/>
      <c r="G754" s="56"/>
      <c r="H754" s="83"/>
      <c r="I754" s="35" t="str">
        <f t="shared" si="46"/>
        <v/>
      </c>
    </row>
    <row r="755" spans="1:9">
      <c r="A755" s="10" t="str">
        <f t="shared" si="47"/>
        <v/>
      </c>
      <c r="B755" s="53"/>
      <c r="C755" s="28" t="str">
        <f t="shared" si="44"/>
        <v/>
      </c>
      <c r="D755" s="28" t="str">
        <f t="shared" si="45"/>
        <v/>
      </c>
      <c r="E755" s="77"/>
      <c r="F755" s="45"/>
      <c r="G755" s="56"/>
      <c r="H755" s="83"/>
      <c r="I755" s="35" t="str">
        <f t="shared" si="46"/>
        <v/>
      </c>
    </row>
    <row r="756" spans="1:9">
      <c r="A756" s="10" t="str">
        <f t="shared" si="47"/>
        <v/>
      </c>
      <c r="B756" s="53"/>
      <c r="C756" s="28" t="str">
        <f t="shared" si="44"/>
        <v/>
      </c>
      <c r="D756" s="28" t="str">
        <f t="shared" si="45"/>
        <v/>
      </c>
      <c r="E756" s="77"/>
      <c r="F756" s="45"/>
      <c r="G756" s="56"/>
      <c r="H756" s="83"/>
      <c r="I756" s="35" t="str">
        <f t="shared" si="46"/>
        <v/>
      </c>
    </row>
    <row r="757" spans="1:9">
      <c r="A757" s="10" t="str">
        <f t="shared" si="47"/>
        <v/>
      </c>
      <c r="B757" s="53"/>
      <c r="C757" s="28" t="str">
        <f t="shared" si="44"/>
        <v/>
      </c>
      <c r="D757" s="28" t="str">
        <f t="shared" si="45"/>
        <v/>
      </c>
      <c r="E757" s="77"/>
      <c r="F757" s="45"/>
      <c r="G757" s="56"/>
      <c r="H757" s="83"/>
      <c r="I757" s="35" t="str">
        <f t="shared" si="46"/>
        <v/>
      </c>
    </row>
    <row r="758" spans="1:9">
      <c r="A758" s="10" t="str">
        <f t="shared" si="47"/>
        <v/>
      </c>
      <c r="B758" s="53"/>
      <c r="C758" s="28" t="str">
        <f t="shared" si="44"/>
        <v/>
      </c>
      <c r="D758" s="28" t="str">
        <f t="shared" si="45"/>
        <v/>
      </c>
      <c r="E758" s="77"/>
      <c r="F758" s="45"/>
      <c r="G758" s="56"/>
      <c r="H758" s="83"/>
      <c r="I758" s="35" t="str">
        <f t="shared" si="46"/>
        <v/>
      </c>
    </row>
    <row r="759" spans="1:9">
      <c r="A759" s="10" t="str">
        <f t="shared" si="47"/>
        <v/>
      </c>
      <c r="B759" s="53"/>
      <c r="C759" s="28" t="str">
        <f t="shared" si="44"/>
        <v/>
      </c>
      <c r="D759" s="28" t="str">
        <f t="shared" si="45"/>
        <v/>
      </c>
      <c r="E759" s="77"/>
      <c r="F759" s="45"/>
      <c r="G759" s="56"/>
      <c r="H759" s="83"/>
      <c r="I759" s="35" t="str">
        <f t="shared" si="46"/>
        <v/>
      </c>
    </row>
    <row r="760" spans="1:9">
      <c r="A760" s="10" t="str">
        <f t="shared" si="47"/>
        <v/>
      </c>
      <c r="B760" s="53"/>
      <c r="C760" s="28" t="str">
        <f t="shared" si="44"/>
        <v/>
      </c>
      <c r="D760" s="28" t="str">
        <f t="shared" si="45"/>
        <v/>
      </c>
      <c r="E760" s="77"/>
      <c r="F760" s="45"/>
      <c r="G760" s="56"/>
      <c r="H760" s="83"/>
      <c r="I760" s="35" t="str">
        <f t="shared" si="46"/>
        <v/>
      </c>
    </row>
    <row r="761" spans="1:9">
      <c r="A761" s="10" t="str">
        <f t="shared" si="47"/>
        <v/>
      </c>
      <c r="B761" s="53"/>
      <c r="C761" s="28" t="str">
        <f t="shared" si="44"/>
        <v/>
      </c>
      <c r="D761" s="28" t="str">
        <f t="shared" si="45"/>
        <v/>
      </c>
      <c r="E761" s="77"/>
      <c r="F761" s="45"/>
      <c r="G761" s="56"/>
      <c r="H761" s="83"/>
      <c r="I761" s="35" t="str">
        <f t="shared" si="46"/>
        <v/>
      </c>
    </row>
    <row r="762" spans="1:9">
      <c r="A762" s="10" t="str">
        <f t="shared" si="47"/>
        <v/>
      </c>
      <c r="B762" s="53"/>
      <c r="C762" s="28" t="str">
        <f t="shared" si="44"/>
        <v/>
      </c>
      <c r="D762" s="28" t="str">
        <f t="shared" si="45"/>
        <v/>
      </c>
      <c r="E762" s="77"/>
      <c r="F762" s="45"/>
      <c r="G762" s="56"/>
      <c r="H762" s="83"/>
      <c r="I762" s="35" t="str">
        <f t="shared" si="46"/>
        <v/>
      </c>
    </row>
    <row r="763" spans="1:9">
      <c r="A763" s="10" t="str">
        <f t="shared" si="47"/>
        <v/>
      </c>
      <c r="B763" s="53"/>
      <c r="C763" s="28" t="str">
        <f t="shared" si="44"/>
        <v/>
      </c>
      <c r="D763" s="28" t="str">
        <f t="shared" si="45"/>
        <v/>
      </c>
      <c r="E763" s="77"/>
      <c r="F763" s="45"/>
      <c r="G763" s="56"/>
      <c r="H763" s="83"/>
      <c r="I763" s="35" t="str">
        <f t="shared" si="46"/>
        <v/>
      </c>
    </row>
    <row r="764" spans="1:9">
      <c r="A764" s="10" t="str">
        <f t="shared" si="47"/>
        <v/>
      </c>
      <c r="B764" s="53"/>
      <c r="C764" s="28" t="str">
        <f t="shared" si="44"/>
        <v/>
      </c>
      <c r="D764" s="28" t="str">
        <f t="shared" si="45"/>
        <v/>
      </c>
      <c r="E764" s="77"/>
      <c r="F764" s="45"/>
      <c r="G764" s="56"/>
      <c r="H764" s="83"/>
      <c r="I764" s="35" t="str">
        <f t="shared" si="46"/>
        <v/>
      </c>
    </row>
    <row r="765" spans="1:9">
      <c r="A765" s="10" t="str">
        <f t="shared" si="47"/>
        <v/>
      </c>
      <c r="B765" s="53"/>
      <c r="C765" s="28" t="str">
        <f t="shared" si="44"/>
        <v/>
      </c>
      <c r="D765" s="28" t="str">
        <f t="shared" si="45"/>
        <v/>
      </c>
      <c r="E765" s="77"/>
      <c r="F765" s="45"/>
      <c r="G765" s="56"/>
      <c r="H765" s="83"/>
      <c r="I765" s="35" t="str">
        <f t="shared" si="46"/>
        <v/>
      </c>
    </row>
    <row r="766" spans="1:9">
      <c r="A766" s="10" t="str">
        <f t="shared" si="47"/>
        <v/>
      </c>
      <c r="B766" s="53"/>
      <c r="C766" s="28" t="str">
        <f t="shared" si="44"/>
        <v/>
      </c>
      <c r="D766" s="28" t="str">
        <f t="shared" si="45"/>
        <v/>
      </c>
      <c r="E766" s="77"/>
      <c r="F766" s="45"/>
      <c r="G766" s="56"/>
      <c r="H766" s="83"/>
      <c r="I766" s="35" t="str">
        <f t="shared" si="46"/>
        <v/>
      </c>
    </row>
    <row r="767" spans="1:9">
      <c r="A767" s="10" t="str">
        <f t="shared" si="47"/>
        <v/>
      </c>
      <c r="B767" s="53"/>
      <c r="C767" s="28" t="str">
        <f t="shared" si="44"/>
        <v/>
      </c>
      <c r="D767" s="28" t="str">
        <f t="shared" si="45"/>
        <v/>
      </c>
      <c r="E767" s="77"/>
      <c r="F767" s="45"/>
      <c r="G767" s="56"/>
      <c r="H767" s="83"/>
      <c r="I767" s="35" t="str">
        <f t="shared" si="46"/>
        <v/>
      </c>
    </row>
    <row r="768" spans="1:9">
      <c r="A768" s="10" t="str">
        <f t="shared" si="47"/>
        <v/>
      </c>
      <c r="B768" s="53"/>
      <c r="C768" s="28" t="str">
        <f t="shared" si="44"/>
        <v/>
      </c>
      <c r="D768" s="28" t="str">
        <f t="shared" si="45"/>
        <v/>
      </c>
      <c r="E768" s="77"/>
      <c r="F768" s="45"/>
      <c r="G768" s="56"/>
      <c r="H768" s="83"/>
      <c r="I768" s="35" t="str">
        <f t="shared" si="46"/>
        <v/>
      </c>
    </row>
    <row r="769" spans="1:9">
      <c r="A769" s="10" t="str">
        <f t="shared" si="47"/>
        <v/>
      </c>
      <c r="B769" s="53"/>
      <c r="C769" s="28" t="str">
        <f t="shared" si="44"/>
        <v/>
      </c>
      <c r="D769" s="28" t="str">
        <f t="shared" si="45"/>
        <v/>
      </c>
      <c r="E769" s="77"/>
      <c r="F769" s="45"/>
      <c r="G769" s="56"/>
      <c r="H769" s="83"/>
      <c r="I769" s="35" t="str">
        <f t="shared" si="46"/>
        <v/>
      </c>
    </row>
    <row r="770" spans="1:9">
      <c r="A770" s="10" t="str">
        <f t="shared" si="47"/>
        <v/>
      </c>
      <c r="B770" s="53"/>
      <c r="C770" s="28" t="str">
        <f t="shared" si="44"/>
        <v/>
      </c>
      <c r="D770" s="28" t="str">
        <f t="shared" si="45"/>
        <v/>
      </c>
      <c r="E770" s="77"/>
      <c r="F770" s="45"/>
      <c r="G770" s="56"/>
      <c r="H770" s="83"/>
      <c r="I770" s="35" t="str">
        <f t="shared" si="46"/>
        <v/>
      </c>
    </row>
    <row r="771" spans="1:9">
      <c r="A771" s="10" t="str">
        <f t="shared" si="47"/>
        <v/>
      </c>
      <c r="B771" s="53"/>
      <c r="C771" s="28" t="str">
        <f t="shared" ref="C771:C834" si="48">IF(B771=0,"",TEXT(B771,"mmmm"))</f>
        <v/>
      </c>
      <c r="D771" s="28" t="str">
        <f t="shared" ref="D771:D834" si="49">IF(B771=0,"",TEXT(B771,"yyyy"))</f>
        <v/>
      </c>
      <c r="E771" s="77"/>
      <c r="F771" s="45"/>
      <c r="G771" s="56"/>
      <c r="H771" s="83"/>
      <c r="I771" s="35" t="str">
        <f t="shared" ref="I771:I834" si="50">IF(G771*H771=0,"",G771*H771)</f>
        <v/>
      </c>
    </row>
    <row r="772" spans="1:9">
      <c r="A772" s="10" t="str">
        <f t="shared" ref="A772:A835" si="51">IF(E772&gt;0,A771+1,"")</f>
        <v/>
      </c>
      <c r="B772" s="53"/>
      <c r="C772" s="28" t="str">
        <f t="shared" si="48"/>
        <v/>
      </c>
      <c r="D772" s="28" t="str">
        <f t="shared" si="49"/>
        <v/>
      </c>
      <c r="E772" s="77"/>
      <c r="F772" s="45"/>
      <c r="G772" s="56"/>
      <c r="H772" s="83"/>
      <c r="I772" s="35" t="str">
        <f t="shared" si="50"/>
        <v/>
      </c>
    </row>
    <row r="773" spans="1:9">
      <c r="A773" s="10" t="str">
        <f t="shared" si="51"/>
        <v/>
      </c>
      <c r="B773" s="53"/>
      <c r="C773" s="28" t="str">
        <f t="shared" si="48"/>
        <v/>
      </c>
      <c r="D773" s="28" t="str">
        <f t="shared" si="49"/>
        <v/>
      </c>
      <c r="E773" s="77"/>
      <c r="F773" s="45"/>
      <c r="G773" s="56"/>
      <c r="H773" s="83"/>
      <c r="I773" s="35" t="str">
        <f t="shared" si="50"/>
        <v/>
      </c>
    </row>
    <row r="774" spans="1:9">
      <c r="A774" s="10" t="str">
        <f t="shared" si="51"/>
        <v/>
      </c>
      <c r="B774" s="53"/>
      <c r="C774" s="28" t="str">
        <f t="shared" si="48"/>
        <v/>
      </c>
      <c r="D774" s="28" t="str">
        <f t="shared" si="49"/>
        <v/>
      </c>
      <c r="E774" s="77"/>
      <c r="F774" s="45"/>
      <c r="G774" s="56"/>
      <c r="H774" s="83"/>
      <c r="I774" s="35" t="str">
        <f t="shared" si="50"/>
        <v/>
      </c>
    </row>
    <row r="775" spans="1:9">
      <c r="A775" s="10" t="str">
        <f t="shared" si="51"/>
        <v/>
      </c>
      <c r="B775" s="53"/>
      <c r="C775" s="28" t="str">
        <f t="shared" si="48"/>
        <v/>
      </c>
      <c r="D775" s="28" t="str">
        <f t="shared" si="49"/>
        <v/>
      </c>
      <c r="E775" s="77"/>
      <c r="F775" s="45"/>
      <c r="G775" s="56"/>
      <c r="H775" s="83"/>
      <c r="I775" s="35" t="str">
        <f t="shared" si="50"/>
        <v/>
      </c>
    </row>
    <row r="776" spans="1:9">
      <c r="A776" s="10" t="str">
        <f t="shared" si="51"/>
        <v/>
      </c>
      <c r="B776" s="53"/>
      <c r="C776" s="28" t="str">
        <f t="shared" si="48"/>
        <v/>
      </c>
      <c r="D776" s="28" t="str">
        <f t="shared" si="49"/>
        <v/>
      </c>
      <c r="E776" s="77"/>
      <c r="F776" s="45"/>
      <c r="G776" s="56"/>
      <c r="H776" s="83"/>
      <c r="I776" s="35" t="str">
        <f t="shared" si="50"/>
        <v/>
      </c>
    </row>
    <row r="777" spans="1:9">
      <c r="A777" s="10" t="str">
        <f t="shared" si="51"/>
        <v/>
      </c>
      <c r="B777" s="53"/>
      <c r="C777" s="28" t="str">
        <f t="shared" si="48"/>
        <v/>
      </c>
      <c r="D777" s="28" t="str">
        <f t="shared" si="49"/>
        <v/>
      </c>
      <c r="E777" s="77"/>
      <c r="F777" s="45"/>
      <c r="G777" s="56"/>
      <c r="H777" s="83"/>
      <c r="I777" s="35" t="str">
        <f t="shared" si="50"/>
        <v/>
      </c>
    </row>
    <row r="778" spans="1:9">
      <c r="A778" s="10" t="str">
        <f t="shared" si="51"/>
        <v/>
      </c>
      <c r="B778" s="53"/>
      <c r="C778" s="28" t="str">
        <f t="shared" si="48"/>
        <v/>
      </c>
      <c r="D778" s="28" t="str">
        <f t="shared" si="49"/>
        <v/>
      </c>
      <c r="E778" s="77"/>
      <c r="F778" s="45"/>
      <c r="G778" s="56"/>
      <c r="H778" s="83"/>
      <c r="I778" s="35" t="str">
        <f t="shared" si="50"/>
        <v/>
      </c>
    </row>
    <row r="779" spans="1:9">
      <c r="A779" s="10" t="str">
        <f t="shared" si="51"/>
        <v/>
      </c>
      <c r="B779" s="53"/>
      <c r="C779" s="28" t="str">
        <f t="shared" si="48"/>
        <v/>
      </c>
      <c r="D779" s="28" t="str">
        <f t="shared" si="49"/>
        <v/>
      </c>
      <c r="E779" s="77"/>
      <c r="F779" s="45"/>
      <c r="G779" s="56"/>
      <c r="H779" s="83"/>
      <c r="I779" s="35" t="str">
        <f t="shared" si="50"/>
        <v/>
      </c>
    </row>
    <row r="780" spans="1:9">
      <c r="A780" s="10" t="str">
        <f t="shared" si="51"/>
        <v/>
      </c>
      <c r="B780" s="53"/>
      <c r="C780" s="28" t="str">
        <f t="shared" si="48"/>
        <v/>
      </c>
      <c r="D780" s="28" t="str">
        <f t="shared" si="49"/>
        <v/>
      </c>
      <c r="E780" s="77"/>
      <c r="F780" s="45"/>
      <c r="G780" s="56"/>
      <c r="H780" s="83"/>
      <c r="I780" s="35" t="str">
        <f t="shared" si="50"/>
        <v/>
      </c>
    </row>
    <row r="781" spans="1:9">
      <c r="A781" s="10" t="str">
        <f t="shared" si="51"/>
        <v/>
      </c>
      <c r="B781" s="53"/>
      <c r="C781" s="28" t="str">
        <f t="shared" si="48"/>
        <v/>
      </c>
      <c r="D781" s="28" t="str">
        <f t="shared" si="49"/>
        <v/>
      </c>
      <c r="E781" s="77"/>
      <c r="F781" s="45"/>
      <c r="G781" s="56"/>
      <c r="H781" s="83"/>
      <c r="I781" s="35" t="str">
        <f t="shared" si="50"/>
        <v/>
      </c>
    </row>
    <row r="782" spans="1:9">
      <c r="A782" s="10" t="str">
        <f t="shared" si="51"/>
        <v/>
      </c>
      <c r="B782" s="53"/>
      <c r="C782" s="28" t="str">
        <f t="shared" si="48"/>
        <v/>
      </c>
      <c r="D782" s="28" t="str">
        <f t="shared" si="49"/>
        <v/>
      </c>
      <c r="E782" s="77"/>
      <c r="F782" s="45"/>
      <c r="G782" s="56"/>
      <c r="H782" s="83"/>
      <c r="I782" s="35" t="str">
        <f t="shared" si="50"/>
        <v/>
      </c>
    </row>
    <row r="783" spans="1:9">
      <c r="A783" s="10" t="str">
        <f t="shared" si="51"/>
        <v/>
      </c>
      <c r="B783" s="53"/>
      <c r="C783" s="28" t="str">
        <f t="shared" si="48"/>
        <v/>
      </c>
      <c r="D783" s="28" t="str">
        <f t="shared" si="49"/>
        <v/>
      </c>
      <c r="E783" s="77"/>
      <c r="F783" s="45"/>
      <c r="G783" s="56"/>
      <c r="H783" s="83"/>
      <c r="I783" s="35" t="str">
        <f t="shared" si="50"/>
        <v/>
      </c>
    </row>
    <row r="784" spans="1:9">
      <c r="A784" s="10" t="str">
        <f t="shared" si="51"/>
        <v/>
      </c>
      <c r="B784" s="53"/>
      <c r="C784" s="28" t="str">
        <f t="shared" si="48"/>
        <v/>
      </c>
      <c r="D784" s="28" t="str">
        <f t="shared" si="49"/>
        <v/>
      </c>
      <c r="E784" s="77"/>
      <c r="F784" s="45"/>
      <c r="G784" s="56"/>
      <c r="H784" s="83"/>
      <c r="I784" s="35" t="str">
        <f t="shared" si="50"/>
        <v/>
      </c>
    </row>
    <row r="785" spans="1:9">
      <c r="A785" s="10" t="str">
        <f t="shared" si="51"/>
        <v/>
      </c>
      <c r="B785" s="53"/>
      <c r="C785" s="28" t="str">
        <f t="shared" si="48"/>
        <v/>
      </c>
      <c r="D785" s="28" t="str">
        <f t="shared" si="49"/>
        <v/>
      </c>
      <c r="E785" s="77"/>
      <c r="F785" s="45"/>
      <c r="G785" s="56"/>
      <c r="H785" s="83"/>
      <c r="I785" s="35" t="str">
        <f t="shared" si="50"/>
        <v/>
      </c>
    </row>
    <row r="786" spans="1:9">
      <c r="A786" s="10" t="str">
        <f t="shared" si="51"/>
        <v/>
      </c>
      <c r="B786" s="53"/>
      <c r="C786" s="28" t="str">
        <f t="shared" si="48"/>
        <v/>
      </c>
      <c r="D786" s="28" t="str">
        <f t="shared" si="49"/>
        <v/>
      </c>
      <c r="E786" s="77"/>
      <c r="F786" s="45"/>
      <c r="G786" s="56"/>
      <c r="H786" s="83"/>
      <c r="I786" s="35" t="str">
        <f t="shared" si="50"/>
        <v/>
      </c>
    </row>
    <row r="787" spans="1:9">
      <c r="A787" s="10" t="str">
        <f t="shared" si="51"/>
        <v/>
      </c>
      <c r="B787" s="53"/>
      <c r="C787" s="28" t="str">
        <f t="shared" si="48"/>
        <v/>
      </c>
      <c r="D787" s="28" t="str">
        <f t="shared" si="49"/>
        <v/>
      </c>
      <c r="E787" s="77"/>
      <c r="F787" s="45"/>
      <c r="G787" s="56"/>
      <c r="H787" s="83"/>
      <c r="I787" s="35" t="str">
        <f t="shared" si="50"/>
        <v/>
      </c>
    </row>
    <row r="788" spans="1:9">
      <c r="A788" s="10" t="str">
        <f t="shared" si="51"/>
        <v/>
      </c>
      <c r="B788" s="53"/>
      <c r="C788" s="28" t="str">
        <f t="shared" si="48"/>
        <v/>
      </c>
      <c r="D788" s="28" t="str">
        <f t="shared" si="49"/>
        <v/>
      </c>
      <c r="E788" s="77"/>
      <c r="F788" s="45"/>
      <c r="G788" s="56"/>
      <c r="H788" s="83"/>
      <c r="I788" s="35" t="str">
        <f t="shared" si="50"/>
        <v/>
      </c>
    </row>
    <row r="789" spans="1:9">
      <c r="A789" s="10" t="str">
        <f t="shared" si="51"/>
        <v/>
      </c>
      <c r="B789" s="53"/>
      <c r="C789" s="28" t="str">
        <f t="shared" si="48"/>
        <v/>
      </c>
      <c r="D789" s="28" t="str">
        <f t="shared" si="49"/>
        <v/>
      </c>
      <c r="E789" s="77"/>
      <c r="F789" s="45"/>
      <c r="G789" s="56"/>
      <c r="H789" s="83"/>
      <c r="I789" s="35" t="str">
        <f t="shared" si="50"/>
        <v/>
      </c>
    </row>
    <row r="790" spans="1:9">
      <c r="A790" s="10" t="str">
        <f t="shared" si="51"/>
        <v/>
      </c>
      <c r="B790" s="53"/>
      <c r="C790" s="28" t="str">
        <f t="shared" si="48"/>
        <v/>
      </c>
      <c r="D790" s="28" t="str">
        <f t="shared" si="49"/>
        <v/>
      </c>
      <c r="E790" s="77"/>
      <c r="F790" s="45"/>
      <c r="G790" s="56"/>
      <c r="H790" s="83"/>
      <c r="I790" s="35" t="str">
        <f t="shared" si="50"/>
        <v/>
      </c>
    </row>
    <row r="791" spans="1:9">
      <c r="A791" s="10" t="str">
        <f t="shared" si="51"/>
        <v/>
      </c>
      <c r="B791" s="53"/>
      <c r="C791" s="28" t="str">
        <f t="shared" si="48"/>
        <v/>
      </c>
      <c r="D791" s="28" t="str">
        <f t="shared" si="49"/>
        <v/>
      </c>
      <c r="E791" s="77"/>
      <c r="F791" s="45"/>
      <c r="G791" s="56"/>
      <c r="H791" s="83"/>
      <c r="I791" s="35" t="str">
        <f t="shared" si="50"/>
        <v/>
      </c>
    </row>
    <row r="792" spans="1:9">
      <c r="A792" s="10" t="str">
        <f t="shared" si="51"/>
        <v/>
      </c>
      <c r="B792" s="53"/>
      <c r="C792" s="28" t="str">
        <f t="shared" si="48"/>
        <v/>
      </c>
      <c r="D792" s="28" t="str">
        <f t="shared" si="49"/>
        <v/>
      </c>
      <c r="E792" s="77"/>
      <c r="F792" s="45"/>
      <c r="G792" s="56"/>
      <c r="H792" s="83"/>
      <c r="I792" s="35" t="str">
        <f t="shared" si="50"/>
        <v/>
      </c>
    </row>
    <row r="793" spans="1:9">
      <c r="A793" s="10" t="str">
        <f t="shared" si="51"/>
        <v/>
      </c>
      <c r="B793" s="53"/>
      <c r="C793" s="28" t="str">
        <f t="shared" si="48"/>
        <v/>
      </c>
      <c r="D793" s="28" t="str">
        <f t="shared" si="49"/>
        <v/>
      </c>
      <c r="E793" s="77"/>
      <c r="F793" s="45"/>
      <c r="G793" s="56"/>
      <c r="H793" s="83"/>
      <c r="I793" s="35" t="str">
        <f t="shared" si="50"/>
        <v/>
      </c>
    </row>
    <row r="794" spans="1:9">
      <c r="A794" s="10" t="str">
        <f t="shared" si="51"/>
        <v/>
      </c>
      <c r="B794" s="53"/>
      <c r="C794" s="28" t="str">
        <f t="shared" si="48"/>
        <v/>
      </c>
      <c r="D794" s="28" t="str">
        <f t="shared" si="49"/>
        <v/>
      </c>
      <c r="E794" s="77"/>
      <c r="F794" s="45"/>
      <c r="G794" s="56"/>
      <c r="H794" s="83"/>
      <c r="I794" s="35" t="str">
        <f t="shared" si="50"/>
        <v/>
      </c>
    </row>
    <row r="795" spans="1:9">
      <c r="A795" s="10" t="str">
        <f t="shared" si="51"/>
        <v/>
      </c>
      <c r="B795" s="53"/>
      <c r="C795" s="28" t="str">
        <f t="shared" si="48"/>
        <v/>
      </c>
      <c r="D795" s="28" t="str">
        <f t="shared" si="49"/>
        <v/>
      </c>
      <c r="E795" s="77"/>
      <c r="F795" s="45"/>
      <c r="G795" s="56"/>
      <c r="H795" s="83"/>
      <c r="I795" s="35" t="str">
        <f t="shared" si="50"/>
        <v/>
      </c>
    </row>
    <row r="796" spans="1:9">
      <c r="A796" s="10" t="str">
        <f t="shared" si="51"/>
        <v/>
      </c>
      <c r="B796" s="53"/>
      <c r="C796" s="28" t="str">
        <f t="shared" si="48"/>
        <v/>
      </c>
      <c r="D796" s="28" t="str">
        <f t="shared" si="49"/>
        <v/>
      </c>
      <c r="E796" s="77"/>
      <c r="F796" s="45"/>
      <c r="G796" s="56"/>
      <c r="H796" s="83"/>
      <c r="I796" s="35" t="str">
        <f t="shared" si="50"/>
        <v/>
      </c>
    </row>
    <row r="797" spans="1:9">
      <c r="A797" s="10" t="str">
        <f t="shared" si="51"/>
        <v/>
      </c>
      <c r="B797" s="53"/>
      <c r="C797" s="28" t="str">
        <f t="shared" si="48"/>
        <v/>
      </c>
      <c r="D797" s="28" t="str">
        <f t="shared" si="49"/>
        <v/>
      </c>
      <c r="E797" s="77"/>
      <c r="F797" s="45"/>
      <c r="G797" s="56"/>
      <c r="H797" s="83"/>
      <c r="I797" s="35" t="str">
        <f t="shared" si="50"/>
        <v/>
      </c>
    </row>
    <row r="798" spans="1:9">
      <c r="A798" s="10" t="str">
        <f t="shared" si="51"/>
        <v/>
      </c>
      <c r="B798" s="53"/>
      <c r="C798" s="28" t="str">
        <f t="shared" si="48"/>
        <v/>
      </c>
      <c r="D798" s="28" t="str">
        <f t="shared" si="49"/>
        <v/>
      </c>
      <c r="E798" s="77"/>
      <c r="F798" s="45"/>
      <c r="G798" s="56"/>
      <c r="H798" s="83"/>
      <c r="I798" s="35" t="str">
        <f t="shared" si="50"/>
        <v/>
      </c>
    </row>
    <row r="799" spans="1:9">
      <c r="A799" s="10" t="str">
        <f t="shared" si="51"/>
        <v/>
      </c>
      <c r="B799" s="53"/>
      <c r="C799" s="28" t="str">
        <f t="shared" si="48"/>
        <v/>
      </c>
      <c r="D799" s="28" t="str">
        <f t="shared" si="49"/>
        <v/>
      </c>
      <c r="E799" s="77"/>
      <c r="F799" s="45"/>
      <c r="G799" s="56"/>
      <c r="H799" s="83"/>
      <c r="I799" s="35" t="str">
        <f t="shared" si="50"/>
        <v/>
      </c>
    </row>
    <row r="800" spans="1:9">
      <c r="A800" s="10" t="str">
        <f t="shared" si="51"/>
        <v/>
      </c>
      <c r="B800" s="53"/>
      <c r="C800" s="28" t="str">
        <f t="shared" si="48"/>
        <v/>
      </c>
      <c r="D800" s="28" t="str">
        <f t="shared" si="49"/>
        <v/>
      </c>
      <c r="E800" s="77"/>
      <c r="F800" s="45"/>
      <c r="G800" s="56"/>
      <c r="H800" s="83"/>
      <c r="I800" s="35" t="str">
        <f t="shared" si="50"/>
        <v/>
      </c>
    </row>
    <row r="801" spans="1:9">
      <c r="A801" s="10" t="str">
        <f t="shared" si="51"/>
        <v/>
      </c>
      <c r="B801" s="53"/>
      <c r="C801" s="28" t="str">
        <f t="shared" si="48"/>
        <v/>
      </c>
      <c r="D801" s="28" t="str">
        <f t="shared" si="49"/>
        <v/>
      </c>
      <c r="E801" s="77"/>
      <c r="F801" s="45"/>
      <c r="G801" s="56"/>
      <c r="H801" s="83"/>
      <c r="I801" s="35" t="str">
        <f t="shared" si="50"/>
        <v/>
      </c>
    </row>
    <row r="802" spans="1:9">
      <c r="A802" s="10" t="str">
        <f t="shared" si="51"/>
        <v/>
      </c>
      <c r="B802" s="53"/>
      <c r="C802" s="28" t="str">
        <f t="shared" si="48"/>
        <v/>
      </c>
      <c r="D802" s="28" t="str">
        <f t="shared" si="49"/>
        <v/>
      </c>
      <c r="E802" s="77"/>
      <c r="F802" s="45"/>
      <c r="G802" s="56"/>
      <c r="H802" s="83"/>
      <c r="I802" s="35" t="str">
        <f t="shared" si="50"/>
        <v/>
      </c>
    </row>
    <row r="803" spans="1:9">
      <c r="A803" s="10" t="str">
        <f t="shared" si="51"/>
        <v/>
      </c>
      <c r="B803" s="53"/>
      <c r="C803" s="28" t="str">
        <f t="shared" si="48"/>
        <v/>
      </c>
      <c r="D803" s="28" t="str">
        <f t="shared" si="49"/>
        <v/>
      </c>
      <c r="E803" s="77"/>
      <c r="F803" s="45"/>
      <c r="G803" s="56"/>
      <c r="H803" s="83"/>
      <c r="I803" s="35" t="str">
        <f t="shared" si="50"/>
        <v/>
      </c>
    </row>
    <row r="804" spans="1:9">
      <c r="A804" s="10" t="str">
        <f t="shared" si="51"/>
        <v/>
      </c>
      <c r="B804" s="53"/>
      <c r="C804" s="28" t="str">
        <f t="shared" si="48"/>
        <v/>
      </c>
      <c r="D804" s="28" t="str">
        <f t="shared" si="49"/>
        <v/>
      </c>
      <c r="E804" s="77"/>
      <c r="F804" s="45"/>
      <c r="G804" s="56"/>
      <c r="H804" s="83"/>
      <c r="I804" s="35" t="str">
        <f t="shared" si="50"/>
        <v/>
      </c>
    </row>
    <row r="805" spans="1:9">
      <c r="A805" s="10" t="str">
        <f t="shared" si="51"/>
        <v/>
      </c>
      <c r="B805" s="53"/>
      <c r="C805" s="28" t="str">
        <f t="shared" si="48"/>
        <v/>
      </c>
      <c r="D805" s="28" t="str">
        <f t="shared" si="49"/>
        <v/>
      </c>
      <c r="E805" s="77"/>
      <c r="F805" s="45"/>
      <c r="G805" s="56"/>
      <c r="H805" s="83"/>
      <c r="I805" s="35" t="str">
        <f t="shared" si="50"/>
        <v/>
      </c>
    </row>
    <row r="806" spans="1:9">
      <c r="A806" s="10" t="str">
        <f t="shared" si="51"/>
        <v/>
      </c>
      <c r="B806" s="53"/>
      <c r="C806" s="28" t="str">
        <f t="shared" si="48"/>
        <v/>
      </c>
      <c r="D806" s="28" t="str">
        <f t="shared" si="49"/>
        <v/>
      </c>
      <c r="E806" s="77"/>
      <c r="F806" s="45"/>
      <c r="G806" s="56"/>
      <c r="H806" s="83"/>
      <c r="I806" s="35" t="str">
        <f t="shared" si="50"/>
        <v/>
      </c>
    </row>
    <row r="807" spans="1:9">
      <c r="A807" s="10" t="str">
        <f t="shared" si="51"/>
        <v/>
      </c>
      <c r="B807" s="53"/>
      <c r="C807" s="28" t="str">
        <f t="shared" si="48"/>
        <v/>
      </c>
      <c r="D807" s="28" t="str">
        <f t="shared" si="49"/>
        <v/>
      </c>
      <c r="E807" s="77"/>
      <c r="F807" s="45"/>
      <c r="G807" s="56"/>
      <c r="H807" s="83"/>
      <c r="I807" s="35" t="str">
        <f t="shared" si="50"/>
        <v/>
      </c>
    </row>
    <row r="808" spans="1:9">
      <c r="A808" s="10" t="str">
        <f t="shared" si="51"/>
        <v/>
      </c>
      <c r="B808" s="53"/>
      <c r="C808" s="28" t="str">
        <f t="shared" si="48"/>
        <v/>
      </c>
      <c r="D808" s="28" t="str">
        <f t="shared" si="49"/>
        <v/>
      </c>
      <c r="E808" s="77"/>
      <c r="F808" s="45"/>
      <c r="G808" s="56"/>
      <c r="H808" s="83"/>
      <c r="I808" s="35" t="str">
        <f t="shared" si="50"/>
        <v/>
      </c>
    </row>
    <row r="809" spans="1:9">
      <c r="A809" s="10" t="str">
        <f t="shared" si="51"/>
        <v/>
      </c>
      <c r="B809" s="53"/>
      <c r="C809" s="28" t="str">
        <f t="shared" si="48"/>
        <v/>
      </c>
      <c r="D809" s="28" t="str">
        <f t="shared" si="49"/>
        <v/>
      </c>
      <c r="E809" s="77"/>
      <c r="F809" s="45"/>
      <c r="G809" s="56"/>
      <c r="H809" s="83"/>
      <c r="I809" s="35" t="str">
        <f t="shared" si="50"/>
        <v/>
      </c>
    </row>
    <row r="810" spans="1:9">
      <c r="A810" s="10" t="str">
        <f t="shared" si="51"/>
        <v/>
      </c>
      <c r="B810" s="53"/>
      <c r="C810" s="28" t="str">
        <f t="shared" si="48"/>
        <v/>
      </c>
      <c r="D810" s="28" t="str">
        <f t="shared" si="49"/>
        <v/>
      </c>
      <c r="E810" s="77"/>
      <c r="F810" s="45"/>
      <c r="G810" s="56"/>
      <c r="H810" s="83"/>
      <c r="I810" s="35" t="str">
        <f t="shared" si="50"/>
        <v/>
      </c>
    </row>
    <row r="811" spans="1:9">
      <c r="A811" s="10" t="str">
        <f t="shared" si="51"/>
        <v/>
      </c>
      <c r="B811" s="53"/>
      <c r="C811" s="28" t="str">
        <f t="shared" si="48"/>
        <v/>
      </c>
      <c r="D811" s="28" t="str">
        <f t="shared" si="49"/>
        <v/>
      </c>
      <c r="E811" s="77"/>
      <c r="F811" s="45"/>
      <c r="G811" s="56"/>
      <c r="H811" s="83"/>
      <c r="I811" s="35" t="str">
        <f t="shared" si="50"/>
        <v/>
      </c>
    </row>
    <row r="812" spans="1:9">
      <c r="A812" s="10" t="str">
        <f t="shared" si="51"/>
        <v/>
      </c>
      <c r="B812" s="53"/>
      <c r="C812" s="28" t="str">
        <f t="shared" si="48"/>
        <v/>
      </c>
      <c r="D812" s="28" t="str">
        <f t="shared" si="49"/>
        <v/>
      </c>
      <c r="E812" s="77"/>
      <c r="F812" s="45"/>
      <c r="G812" s="56"/>
      <c r="H812" s="83"/>
      <c r="I812" s="35" t="str">
        <f t="shared" si="50"/>
        <v/>
      </c>
    </row>
    <row r="813" spans="1:9">
      <c r="A813" s="10" t="str">
        <f t="shared" si="51"/>
        <v/>
      </c>
      <c r="B813" s="53"/>
      <c r="C813" s="28" t="str">
        <f t="shared" si="48"/>
        <v/>
      </c>
      <c r="D813" s="28" t="str">
        <f t="shared" si="49"/>
        <v/>
      </c>
      <c r="E813" s="77"/>
      <c r="F813" s="45"/>
      <c r="G813" s="56"/>
      <c r="H813" s="83"/>
      <c r="I813" s="35" t="str">
        <f t="shared" si="50"/>
        <v/>
      </c>
    </row>
    <row r="814" spans="1:9">
      <c r="A814" s="10" t="str">
        <f t="shared" si="51"/>
        <v/>
      </c>
      <c r="B814" s="53"/>
      <c r="C814" s="28" t="str">
        <f t="shared" si="48"/>
        <v/>
      </c>
      <c r="D814" s="28" t="str">
        <f t="shared" si="49"/>
        <v/>
      </c>
      <c r="E814" s="77"/>
      <c r="F814" s="45"/>
      <c r="G814" s="56"/>
      <c r="H814" s="83"/>
      <c r="I814" s="35" t="str">
        <f t="shared" si="50"/>
        <v/>
      </c>
    </row>
    <row r="815" spans="1:9">
      <c r="A815" s="10" t="str">
        <f t="shared" si="51"/>
        <v/>
      </c>
      <c r="B815" s="53"/>
      <c r="C815" s="28" t="str">
        <f t="shared" si="48"/>
        <v/>
      </c>
      <c r="D815" s="28" t="str">
        <f t="shared" si="49"/>
        <v/>
      </c>
      <c r="E815" s="77"/>
      <c r="F815" s="45"/>
      <c r="G815" s="56"/>
      <c r="H815" s="83"/>
      <c r="I815" s="35" t="str">
        <f t="shared" si="50"/>
        <v/>
      </c>
    </row>
    <row r="816" spans="1:9">
      <c r="A816" s="10" t="str">
        <f t="shared" si="51"/>
        <v/>
      </c>
      <c r="B816" s="53"/>
      <c r="C816" s="28" t="str">
        <f t="shared" si="48"/>
        <v/>
      </c>
      <c r="D816" s="28" t="str">
        <f t="shared" si="49"/>
        <v/>
      </c>
      <c r="E816" s="77"/>
      <c r="F816" s="45"/>
      <c r="G816" s="56"/>
      <c r="H816" s="83"/>
      <c r="I816" s="35" t="str">
        <f t="shared" si="50"/>
        <v/>
      </c>
    </row>
    <row r="817" spans="1:9">
      <c r="A817" s="10" t="str">
        <f t="shared" si="51"/>
        <v/>
      </c>
      <c r="B817" s="53"/>
      <c r="C817" s="28" t="str">
        <f t="shared" si="48"/>
        <v/>
      </c>
      <c r="D817" s="28" t="str">
        <f t="shared" si="49"/>
        <v/>
      </c>
      <c r="E817" s="77"/>
      <c r="F817" s="45"/>
      <c r="G817" s="56"/>
      <c r="H817" s="83"/>
      <c r="I817" s="35" t="str">
        <f t="shared" si="50"/>
        <v/>
      </c>
    </row>
    <row r="818" spans="1:9">
      <c r="A818" s="10" t="str">
        <f t="shared" si="51"/>
        <v/>
      </c>
      <c r="B818" s="53"/>
      <c r="C818" s="28" t="str">
        <f t="shared" si="48"/>
        <v/>
      </c>
      <c r="D818" s="28" t="str">
        <f t="shared" si="49"/>
        <v/>
      </c>
      <c r="E818" s="77"/>
      <c r="F818" s="45"/>
      <c r="G818" s="56"/>
      <c r="H818" s="83"/>
      <c r="I818" s="35" t="str">
        <f t="shared" si="50"/>
        <v/>
      </c>
    </row>
    <row r="819" spans="1:9">
      <c r="A819" s="10" t="str">
        <f t="shared" si="51"/>
        <v/>
      </c>
      <c r="B819" s="53"/>
      <c r="C819" s="28" t="str">
        <f t="shared" si="48"/>
        <v/>
      </c>
      <c r="D819" s="28" t="str">
        <f t="shared" si="49"/>
        <v/>
      </c>
      <c r="E819" s="77"/>
      <c r="F819" s="45"/>
      <c r="G819" s="56"/>
      <c r="H819" s="83"/>
      <c r="I819" s="35" t="str">
        <f t="shared" si="50"/>
        <v/>
      </c>
    </row>
    <row r="820" spans="1:9">
      <c r="A820" s="10" t="str">
        <f t="shared" si="51"/>
        <v/>
      </c>
      <c r="B820" s="53"/>
      <c r="C820" s="28" t="str">
        <f t="shared" si="48"/>
        <v/>
      </c>
      <c r="D820" s="28" t="str">
        <f t="shared" si="49"/>
        <v/>
      </c>
      <c r="E820" s="77"/>
      <c r="F820" s="45"/>
      <c r="G820" s="56"/>
      <c r="H820" s="83"/>
      <c r="I820" s="35" t="str">
        <f t="shared" si="50"/>
        <v/>
      </c>
    </row>
    <row r="821" spans="1:9">
      <c r="A821" s="10" t="str">
        <f t="shared" si="51"/>
        <v/>
      </c>
      <c r="B821" s="53"/>
      <c r="C821" s="28" t="str">
        <f t="shared" si="48"/>
        <v/>
      </c>
      <c r="D821" s="28" t="str">
        <f t="shared" si="49"/>
        <v/>
      </c>
      <c r="E821" s="77"/>
      <c r="F821" s="45"/>
      <c r="G821" s="56"/>
      <c r="H821" s="83"/>
      <c r="I821" s="35" t="str">
        <f t="shared" si="50"/>
        <v/>
      </c>
    </row>
    <row r="822" spans="1:9">
      <c r="A822" s="10" t="str">
        <f t="shared" si="51"/>
        <v/>
      </c>
      <c r="B822" s="53"/>
      <c r="C822" s="28" t="str">
        <f t="shared" si="48"/>
        <v/>
      </c>
      <c r="D822" s="28" t="str">
        <f t="shared" si="49"/>
        <v/>
      </c>
      <c r="E822" s="77"/>
      <c r="F822" s="45"/>
      <c r="G822" s="56"/>
      <c r="H822" s="83"/>
      <c r="I822" s="35" t="str">
        <f t="shared" si="50"/>
        <v/>
      </c>
    </row>
    <row r="823" spans="1:9">
      <c r="A823" s="10" t="str">
        <f t="shared" si="51"/>
        <v/>
      </c>
      <c r="B823" s="53"/>
      <c r="C823" s="28" t="str">
        <f t="shared" si="48"/>
        <v/>
      </c>
      <c r="D823" s="28" t="str">
        <f t="shared" si="49"/>
        <v/>
      </c>
      <c r="E823" s="77"/>
      <c r="F823" s="45"/>
      <c r="G823" s="56"/>
      <c r="H823" s="83"/>
      <c r="I823" s="35" t="str">
        <f t="shared" si="50"/>
        <v/>
      </c>
    </row>
    <row r="824" spans="1:9">
      <c r="A824" s="10" t="str">
        <f t="shared" si="51"/>
        <v/>
      </c>
      <c r="B824" s="53"/>
      <c r="C824" s="28" t="str">
        <f t="shared" si="48"/>
        <v/>
      </c>
      <c r="D824" s="28" t="str">
        <f t="shared" si="49"/>
        <v/>
      </c>
      <c r="E824" s="77"/>
      <c r="F824" s="45"/>
      <c r="G824" s="56"/>
      <c r="H824" s="83"/>
      <c r="I824" s="35" t="str">
        <f t="shared" si="50"/>
        <v/>
      </c>
    </row>
    <row r="825" spans="1:9">
      <c r="A825" s="10" t="str">
        <f t="shared" si="51"/>
        <v/>
      </c>
      <c r="B825" s="53"/>
      <c r="C825" s="28" t="str">
        <f t="shared" si="48"/>
        <v/>
      </c>
      <c r="D825" s="28" t="str">
        <f t="shared" si="49"/>
        <v/>
      </c>
      <c r="E825" s="77"/>
      <c r="F825" s="45"/>
      <c r="G825" s="56"/>
      <c r="H825" s="83"/>
      <c r="I825" s="35" t="str">
        <f t="shared" si="50"/>
        <v/>
      </c>
    </row>
    <row r="826" spans="1:9">
      <c r="A826" s="10" t="str">
        <f t="shared" si="51"/>
        <v/>
      </c>
      <c r="B826" s="53"/>
      <c r="C826" s="28" t="str">
        <f t="shared" si="48"/>
        <v/>
      </c>
      <c r="D826" s="28" t="str">
        <f t="shared" si="49"/>
        <v/>
      </c>
      <c r="E826" s="77"/>
      <c r="F826" s="45"/>
      <c r="G826" s="56"/>
      <c r="H826" s="83"/>
      <c r="I826" s="35" t="str">
        <f t="shared" si="50"/>
        <v/>
      </c>
    </row>
    <row r="827" spans="1:9">
      <c r="A827" s="10" t="str">
        <f t="shared" si="51"/>
        <v/>
      </c>
      <c r="B827" s="53"/>
      <c r="C827" s="28" t="str">
        <f t="shared" si="48"/>
        <v/>
      </c>
      <c r="D827" s="28" t="str">
        <f t="shared" si="49"/>
        <v/>
      </c>
      <c r="E827" s="77"/>
      <c r="F827" s="45"/>
      <c r="G827" s="56"/>
      <c r="H827" s="83"/>
      <c r="I827" s="35" t="str">
        <f t="shared" si="50"/>
        <v/>
      </c>
    </row>
    <row r="828" spans="1:9">
      <c r="A828" s="10" t="str">
        <f t="shared" si="51"/>
        <v/>
      </c>
      <c r="B828" s="53"/>
      <c r="C828" s="28" t="str">
        <f t="shared" si="48"/>
        <v/>
      </c>
      <c r="D828" s="28" t="str">
        <f t="shared" si="49"/>
        <v/>
      </c>
      <c r="E828" s="77"/>
      <c r="F828" s="45"/>
      <c r="G828" s="56"/>
      <c r="H828" s="83"/>
      <c r="I828" s="35" t="str">
        <f t="shared" si="50"/>
        <v/>
      </c>
    </row>
    <row r="829" spans="1:9">
      <c r="A829" s="10" t="str">
        <f t="shared" si="51"/>
        <v/>
      </c>
      <c r="B829" s="53"/>
      <c r="C829" s="28" t="str">
        <f t="shared" si="48"/>
        <v/>
      </c>
      <c r="D829" s="28" t="str">
        <f t="shared" si="49"/>
        <v/>
      </c>
      <c r="E829" s="77"/>
      <c r="F829" s="45"/>
      <c r="G829" s="56"/>
      <c r="H829" s="83"/>
      <c r="I829" s="35" t="str">
        <f t="shared" si="50"/>
        <v/>
      </c>
    </row>
    <row r="830" spans="1:9">
      <c r="A830" s="10" t="str">
        <f t="shared" si="51"/>
        <v/>
      </c>
      <c r="B830" s="53"/>
      <c r="C830" s="28" t="str">
        <f t="shared" si="48"/>
        <v/>
      </c>
      <c r="D830" s="28" t="str">
        <f t="shared" si="49"/>
        <v/>
      </c>
      <c r="E830" s="77"/>
      <c r="F830" s="45"/>
      <c r="G830" s="56"/>
      <c r="H830" s="83"/>
      <c r="I830" s="35" t="str">
        <f t="shared" si="50"/>
        <v/>
      </c>
    </row>
    <row r="831" spans="1:9">
      <c r="A831" s="10" t="str">
        <f t="shared" si="51"/>
        <v/>
      </c>
      <c r="B831" s="53"/>
      <c r="C831" s="28" t="str">
        <f t="shared" si="48"/>
        <v/>
      </c>
      <c r="D831" s="28" t="str">
        <f t="shared" si="49"/>
        <v/>
      </c>
      <c r="E831" s="77"/>
      <c r="F831" s="45"/>
      <c r="G831" s="56"/>
      <c r="H831" s="83"/>
      <c r="I831" s="35" t="str">
        <f t="shared" si="50"/>
        <v/>
      </c>
    </row>
    <row r="832" spans="1:9">
      <c r="A832" s="10" t="str">
        <f t="shared" si="51"/>
        <v/>
      </c>
      <c r="B832" s="53"/>
      <c r="C832" s="28" t="str">
        <f t="shared" si="48"/>
        <v/>
      </c>
      <c r="D832" s="28" t="str">
        <f t="shared" si="49"/>
        <v/>
      </c>
      <c r="E832" s="77"/>
      <c r="F832" s="45"/>
      <c r="G832" s="56"/>
      <c r="H832" s="83"/>
      <c r="I832" s="35" t="str">
        <f t="shared" si="50"/>
        <v/>
      </c>
    </row>
    <row r="833" spans="1:9">
      <c r="A833" s="10" t="str">
        <f t="shared" si="51"/>
        <v/>
      </c>
      <c r="B833" s="53"/>
      <c r="C833" s="28" t="str">
        <f t="shared" si="48"/>
        <v/>
      </c>
      <c r="D833" s="28" t="str">
        <f t="shared" si="49"/>
        <v/>
      </c>
      <c r="E833" s="77"/>
      <c r="F833" s="45"/>
      <c r="G833" s="56"/>
      <c r="H833" s="83"/>
      <c r="I833" s="35" t="str">
        <f t="shared" si="50"/>
        <v/>
      </c>
    </row>
    <row r="834" spans="1:9">
      <c r="A834" s="10" t="str">
        <f t="shared" si="51"/>
        <v/>
      </c>
      <c r="B834" s="53"/>
      <c r="C834" s="28" t="str">
        <f t="shared" si="48"/>
        <v/>
      </c>
      <c r="D834" s="28" t="str">
        <f t="shared" si="49"/>
        <v/>
      </c>
      <c r="E834" s="77"/>
      <c r="F834" s="45"/>
      <c r="G834" s="56"/>
      <c r="H834" s="83"/>
      <c r="I834" s="35" t="str">
        <f t="shared" si="50"/>
        <v/>
      </c>
    </row>
    <row r="835" spans="1:9">
      <c r="A835" s="10" t="str">
        <f t="shared" si="51"/>
        <v/>
      </c>
      <c r="B835" s="53"/>
      <c r="C835" s="28" t="str">
        <f t="shared" ref="C835:C898" si="52">IF(B835=0,"",TEXT(B835,"mmmm"))</f>
        <v/>
      </c>
      <c r="D835" s="28" t="str">
        <f t="shared" ref="D835:D898" si="53">IF(B835=0,"",TEXT(B835,"yyyy"))</f>
        <v/>
      </c>
      <c r="E835" s="77"/>
      <c r="F835" s="45"/>
      <c r="G835" s="56"/>
      <c r="H835" s="83"/>
      <c r="I835" s="35" t="str">
        <f t="shared" ref="I835:I898" si="54">IF(G835*H835=0,"",G835*H835)</f>
        <v/>
      </c>
    </row>
    <row r="836" spans="1:9">
      <c r="A836" s="10" t="str">
        <f t="shared" ref="A836:A899" si="55">IF(E836&gt;0,A835+1,"")</f>
        <v/>
      </c>
      <c r="B836" s="53"/>
      <c r="C836" s="28" t="str">
        <f t="shared" si="52"/>
        <v/>
      </c>
      <c r="D836" s="28" t="str">
        <f t="shared" si="53"/>
        <v/>
      </c>
      <c r="E836" s="77"/>
      <c r="F836" s="45"/>
      <c r="G836" s="56"/>
      <c r="H836" s="83"/>
      <c r="I836" s="35" t="str">
        <f t="shared" si="54"/>
        <v/>
      </c>
    </row>
    <row r="837" spans="1:9">
      <c r="A837" s="10" t="str">
        <f t="shared" si="55"/>
        <v/>
      </c>
      <c r="B837" s="53"/>
      <c r="C837" s="28" t="str">
        <f t="shared" si="52"/>
        <v/>
      </c>
      <c r="D837" s="28" t="str">
        <f t="shared" si="53"/>
        <v/>
      </c>
      <c r="E837" s="77"/>
      <c r="F837" s="45"/>
      <c r="G837" s="56"/>
      <c r="H837" s="83"/>
      <c r="I837" s="35" t="str">
        <f t="shared" si="54"/>
        <v/>
      </c>
    </row>
    <row r="838" spans="1:9">
      <c r="A838" s="10" t="str">
        <f t="shared" si="55"/>
        <v/>
      </c>
      <c r="B838" s="53"/>
      <c r="C838" s="28" t="str">
        <f t="shared" si="52"/>
        <v/>
      </c>
      <c r="D838" s="28" t="str">
        <f t="shared" si="53"/>
        <v/>
      </c>
      <c r="E838" s="77"/>
      <c r="F838" s="45"/>
      <c r="G838" s="56"/>
      <c r="H838" s="83"/>
      <c r="I838" s="35" t="str">
        <f t="shared" si="54"/>
        <v/>
      </c>
    </row>
    <row r="839" spans="1:9">
      <c r="A839" s="10" t="str">
        <f t="shared" si="55"/>
        <v/>
      </c>
      <c r="B839" s="53"/>
      <c r="C839" s="28" t="str">
        <f t="shared" si="52"/>
        <v/>
      </c>
      <c r="D839" s="28" t="str">
        <f t="shared" si="53"/>
        <v/>
      </c>
      <c r="E839" s="77"/>
      <c r="F839" s="45"/>
      <c r="G839" s="56"/>
      <c r="H839" s="83"/>
      <c r="I839" s="35" t="str">
        <f t="shared" si="54"/>
        <v/>
      </c>
    </row>
    <row r="840" spans="1:9">
      <c r="A840" s="10" t="str">
        <f t="shared" si="55"/>
        <v/>
      </c>
      <c r="B840" s="53"/>
      <c r="C840" s="28" t="str">
        <f t="shared" si="52"/>
        <v/>
      </c>
      <c r="D840" s="28" t="str">
        <f t="shared" si="53"/>
        <v/>
      </c>
      <c r="E840" s="77"/>
      <c r="F840" s="45"/>
      <c r="G840" s="56"/>
      <c r="H840" s="83"/>
      <c r="I840" s="35" t="str">
        <f t="shared" si="54"/>
        <v/>
      </c>
    </row>
    <row r="841" spans="1:9">
      <c r="A841" s="10" t="str">
        <f t="shared" si="55"/>
        <v/>
      </c>
      <c r="B841" s="53"/>
      <c r="C841" s="28" t="str">
        <f t="shared" si="52"/>
        <v/>
      </c>
      <c r="D841" s="28" t="str">
        <f t="shared" si="53"/>
        <v/>
      </c>
      <c r="E841" s="77"/>
      <c r="F841" s="45"/>
      <c r="G841" s="56"/>
      <c r="H841" s="83"/>
      <c r="I841" s="35" t="str">
        <f t="shared" si="54"/>
        <v/>
      </c>
    </row>
    <row r="842" spans="1:9">
      <c r="A842" s="10" t="str">
        <f t="shared" si="55"/>
        <v/>
      </c>
      <c r="B842" s="53"/>
      <c r="C842" s="28" t="str">
        <f t="shared" si="52"/>
        <v/>
      </c>
      <c r="D842" s="28" t="str">
        <f t="shared" si="53"/>
        <v/>
      </c>
      <c r="E842" s="77"/>
      <c r="F842" s="45"/>
      <c r="G842" s="56"/>
      <c r="H842" s="83"/>
      <c r="I842" s="35" t="str">
        <f t="shared" si="54"/>
        <v/>
      </c>
    </row>
    <row r="843" spans="1:9">
      <c r="A843" s="10" t="str">
        <f t="shared" si="55"/>
        <v/>
      </c>
      <c r="B843" s="53"/>
      <c r="C843" s="28" t="str">
        <f t="shared" si="52"/>
        <v/>
      </c>
      <c r="D843" s="28" t="str">
        <f t="shared" si="53"/>
        <v/>
      </c>
      <c r="E843" s="77"/>
      <c r="F843" s="45"/>
      <c r="G843" s="56"/>
      <c r="H843" s="83"/>
      <c r="I843" s="35" t="str">
        <f t="shared" si="54"/>
        <v/>
      </c>
    </row>
    <row r="844" spans="1:9">
      <c r="A844" s="10" t="str">
        <f t="shared" si="55"/>
        <v/>
      </c>
      <c r="B844" s="53"/>
      <c r="C844" s="28" t="str">
        <f t="shared" si="52"/>
        <v/>
      </c>
      <c r="D844" s="28" t="str">
        <f t="shared" si="53"/>
        <v/>
      </c>
      <c r="E844" s="77"/>
      <c r="F844" s="45"/>
      <c r="G844" s="56"/>
      <c r="H844" s="83"/>
      <c r="I844" s="35" t="str">
        <f t="shared" si="54"/>
        <v/>
      </c>
    </row>
    <row r="845" spans="1:9">
      <c r="A845" s="10" t="str">
        <f t="shared" si="55"/>
        <v/>
      </c>
      <c r="B845" s="53"/>
      <c r="C845" s="28" t="str">
        <f t="shared" si="52"/>
        <v/>
      </c>
      <c r="D845" s="28" t="str">
        <f t="shared" si="53"/>
        <v/>
      </c>
      <c r="E845" s="77"/>
      <c r="F845" s="45"/>
      <c r="G845" s="56"/>
      <c r="H845" s="83"/>
      <c r="I845" s="35" t="str">
        <f t="shared" si="54"/>
        <v/>
      </c>
    </row>
    <row r="846" spans="1:9">
      <c r="A846" s="10" t="str">
        <f t="shared" si="55"/>
        <v/>
      </c>
      <c r="B846" s="53"/>
      <c r="C846" s="28" t="str">
        <f t="shared" si="52"/>
        <v/>
      </c>
      <c r="D846" s="28" t="str">
        <f t="shared" si="53"/>
        <v/>
      </c>
      <c r="E846" s="77"/>
      <c r="F846" s="45"/>
      <c r="G846" s="56"/>
      <c r="H846" s="83"/>
      <c r="I846" s="35" t="str">
        <f t="shared" si="54"/>
        <v/>
      </c>
    </row>
    <row r="847" spans="1:9">
      <c r="A847" s="10" t="str">
        <f t="shared" si="55"/>
        <v/>
      </c>
      <c r="B847" s="53"/>
      <c r="C847" s="28" t="str">
        <f t="shared" si="52"/>
        <v/>
      </c>
      <c r="D847" s="28" t="str">
        <f t="shared" si="53"/>
        <v/>
      </c>
      <c r="E847" s="77"/>
      <c r="F847" s="45"/>
      <c r="G847" s="56"/>
      <c r="H847" s="83"/>
      <c r="I847" s="35" t="str">
        <f t="shared" si="54"/>
        <v/>
      </c>
    </row>
    <row r="848" spans="1:9">
      <c r="A848" s="10" t="str">
        <f t="shared" si="55"/>
        <v/>
      </c>
      <c r="B848" s="53"/>
      <c r="C848" s="28" t="str">
        <f t="shared" si="52"/>
        <v/>
      </c>
      <c r="D848" s="28" t="str">
        <f t="shared" si="53"/>
        <v/>
      </c>
      <c r="E848" s="77"/>
      <c r="F848" s="45"/>
      <c r="G848" s="56"/>
      <c r="H848" s="83"/>
      <c r="I848" s="35" t="str">
        <f t="shared" si="54"/>
        <v/>
      </c>
    </row>
    <row r="849" spans="1:9">
      <c r="A849" s="10" t="str">
        <f t="shared" si="55"/>
        <v/>
      </c>
      <c r="B849" s="53"/>
      <c r="C849" s="28" t="str">
        <f t="shared" si="52"/>
        <v/>
      </c>
      <c r="D849" s="28" t="str">
        <f t="shared" si="53"/>
        <v/>
      </c>
      <c r="E849" s="77"/>
      <c r="F849" s="45"/>
      <c r="G849" s="56"/>
      <c r="H849" s="83"/>
      <c r="I849" s="35" t="str">
        <f t="shared" si="54"/>
        <v/>
      </c>
    </row>
    <row r="850" spans="1:9">
      <c r="A850" s="10" t="str">
        <f t="shared" si="55"/>
        <v/>
      </c>
      <c r="B850" s="53"/>
      <c r="C850" s="28" t="str">
        <f t="shared" si="52"/>
        <v/>
      </c>
      <c r="D850" s="28" t="str">
        <f t="shared" si="53"/>
        <v/>
      </c>
      <c r="E850" s="77"/>
      <c r="F850" s="45"/>
      <c r="G850" s="56"/>
      <c r="H850" s="83"/>
      <c r="I850" s="35" t="str">
        <f t="shared" si="54"/>
        <v/>
      </c>
    </row>
    <row r="851" spans="1:9">
      <c r="A851" s="10" t="str">
        <f t="shared" si="55"/>
        <v/>
      </c>
      <c r="B851" s="53"/>
      <c r="C851" s="28" t="str">
        <f t="shared" si="52"/>
        <v/>
      </c>
      <c r="D851" s="28" t="str">
        <f t="shared" si="53"/>
        <v/>
      </c>
      <c r="E851" s="77"/>
      <c r="F851" s="45"/>
      <c r="G851" s="56"/>
      <c r="H851" s="83"/>
      <c r="I851" s="35" t="str">
        <f t="shared" si="54"/>
        <v/>
      </c>
    </row>
    <row r="852" spans="1:9">
      <c r="A852" s="10" t="str">
        <f t="shared" si="55"/>
        <v/>
      </c>
      <c r="B852" s="53"/>
      <c r="C852" s="28" t="str">
        <f t="shared" si="52"/>
        <v/>
      </c>
      <c r="D852" s="28" t="str">
        <f t="shared" si="53"/>
        <v/>
      </c>
      <c r="E852" s="77"/>
      <c r="F852" s="45"/>
      <c r="G852" s="56"/>
      <c r="H852" s="83"/>
      <c r="I852" s="35" t="str">
        <f t="shared" si="54"/>
        <v/>
      </c>
    </row>
    <row r="853" spans="1:9">
      <c r="A853" s="10" t="str">
        <f t="shared" si="55"/>
        <v/>
      </c>
      <c r="B853" s="53"/>
      <c r="C853" s="28" t="str">
        <f t="shared" si="52"/>
        <v/>
      </c>
      <c r="D853" s="28" t="str">
        <f t="shared" si="53"/>
        <v/>
      </c>
      <c r="E853" s="77"/>
      <c r="F853" s="45"/>
      <c r="G853" s="56"/>
      <c r="H853" s="83"/>
      <c r="I853" s="35" t="str">
        <f t="shared" si="54"/>
        <v/>
      </c>
    </row>
    <row r="854" spans="1:9">
      <c r="A854" s="10" t="str">
        <f t="shared" si="55"/>
        <v/>
      </c>
      <c r="B854" s="53"/>
      <c r="C854" s="28" t="str">
        <f t="shared" si="52"/>
        <v/>
      </c>
      <c r="D854" s="28" t="str">
        <f t="shared" si="53"/>
        <v/>
      </c>
      <c r="E854" s="77"/>
      <c r="F854" s="45"/>
      <c r="G854" s="56"/>
      <c r="H854" s="83"/>
      <c r="I854" s="35" t="str">
        <f t="shared" si="54"/>
        <v/>
      </c>
    </row>
    <row r="855" spans="1:9">
      <c r="A855" s="10" t="str">
        <f t="shared" si="55"/>
        <v/>
      </c>
      <c r="B855" s="53"/>
      <c r="C855" s="28" t="str">
        <f t="shared" si="52"/>
        <v/>
      </c>
      <c r="D855" s="28" t="str">
        <f t="shared" si="53"/>
        <v/>
      </c>
      <c r="E855" s="77"/>
      <c r="F855" s="45"/>
      <c r="G855" s="56"/>
      <c r="H855" s="83"/>
      <c r="I855" s="35" t="str">
        <f t="shared" si="54"/>
        <v/>
      </c>
    </row>
    <row r="856" spans="1:9">
      <c r="A856" s="10" t="str">
        <f t="shared" si="55"/>
        <v/>
      </c>
      <c r="B856" s="53"/>
      <c r="C856" s="28" t="str">
        <f t="shared" si="52"/>
        <v/>
      </c>
      <c r="D856" s="28" t="str">
        <f t="shared" si="53"/>
        <v/>
      </c>
      <c r="E856" s="77"/>
      <c r="F856" s="45"/>
      <c r="G856" s="56"/>
      <c r="H856" s="83"/>
      <c r="I856" s="35" t="str">
        <f t="shared" si="54"/>
        <v/>
      </c>
    </row>
    <row r="857" spans="1:9">
      <c r="A857" s="10" t="str">
        <f t="shared" si="55"/>
        <v/>
      </c>
      <c r="B857" s="53"/>
      <c r="C857" s="28" t="str">
        <f t="shared" si="52"/>
        <v/>
      </c>
      <c r="D857" s="28" t="str">
        <f t="shared" si="53"/>
        <v/>
      </c>
      <c r="E857" s="77"/>
      <c r="F857" s="45"/>
      <c r="G857" s="56"/>
      <c r="H857" s="83"/>
      <c r="I857" s="35" t="str">
        <f t="shared" si="54"/>
        <v/>
      </c>
    </row>
    <row r="858" spans="1:9">
      <c r="A858" s="10" t="str">
        <f t="shared" si="55"/>
        <v/>
      </c>
      <c r="B858" s="53"/>
      <c r="C858" s="28" t="str">
        <f t="shared" si="52"/>
        <v/>
      </c>
      <c r="D858" s="28" t="str">
        <f t="shared" si="53"/>
        <v/>
      </c>
      <c r="E858" s="77"/>
      <c r="F858" s="45"/>
      <c r="G858" s="56"/>
      <c r="H858" s="83"/>
      <c r="I858" s="35" t="str">
        <f t="shared" si="54"/>
        <v/>
      </c>
    </row>
    <row r="859" spans="1:9">
      <c r="A859" s="10" t="str">
        <f t="shared" si="55"/>
        <v/>
      </c>
      <c r="B859" s="53"/>
      <c r="C859" s="28" t="str">
        <f t="shared" si="52"/>
        <v/>
      </c>
      <c r="D859" s="28" t="str">
        <f t="shared" si="53"/>
        <v/>
      </c>
      <c r="E859" s="77"/>
      <c r="F859" s="45"/>
      <c r="G859" s="56"/>
      <c r="H859" s="83"/>
      <c r="I859" s="35" t="str">
        <f t="shared" si="54"/>
        <v/>
      </c>
    </row>
    <row r="860" spans="1:9">
      <c r="A860" s="10" t="str">
        <f t="shared" si="55"/>
        <v/>
      </c>
      <c r="B860" s="53"/>
      <c r="C860" s="28" t="str">
        <f t="shared" si="52"/>
        <v/>
      </c>
      <c r="D860" s="28" t="str">
        <f t="shared" si="53"/>
        <v/>
      </c>
      <c r="E860" s="77"/>
      <c r="F860" s="45"/>
      <c r="G860" s="56"/>
      <c r="H860" s="83"/>
      <c r="I860" s="35" t="str">
        <f t="shared" si="54"/>
        <v/>
      </c>
    </row>
    <row r="861" spans="1:9">
      <c r="A861" s="10" t="str">
        <f t="shared" si="55"/>
        <v/>
      </c>
      <c r="B861" s="53"/>
      <c r="C861" s="28" t="str">
        <f t="shared" si="52"/>
        <v/>
      </c>
      <c r="D861" s="28" t="str">
        <f t="shared" si="53"/>
        <v/>
      </c>
      <c r="E861" s="77"/>
      <c r="F861" s="45"/>
      <c r="G861" s="56"/>
      <c r="H861" s="83"/>
      <c r="I861" s="35" t="str">
        <f t="shared" si="54"/>
        <v/>
      </c>
    </row>
    <row r="862" spans="1:9">
      <c r="A862" s="10" t="str">
        <f t="shared" si="55"/>
        <v/>
      </c>
      <c r="B862" s="53"/>
      <c r="C862" s="28" t="str">
        <f t="shared" si="52"/>
        <v/>
      </c>
      <c r="D862" s="28" t="str">
        <f t="shared" si="53"/>
        <v/>
      </c>
      <c r="E862" s="77"/>
      <c r="F862" s="45"/>
      <c r="G862" s="56"/>
      <c r="H862" s="83"/>
      <c r="I862" s="35" t="str">
        <f t="shared" si="54"/>
        <v/>
      </c>
    </row>
    <row r="863" spans="1:9">
      <c r="A863" s="10" t="str">
        <f t="shared" si="55"/>
        <v/>
      </c>
      <c r="B863" s="53"/>
      <c r="C863" s="28" t="str">
        <f t="shared" si="52"/>
        <v/>
      </c>
      <c r="D863" s="28" t="str">
        <f t="shared" si="53"/>
        <v/>
      </c>
      <c r="E863" s="77"/>
      <c r="F863" s="45"/>
      <c r="G863" s="56"/>
      <c r="H863" s="83"/>
      <c r="I863" s="35" t="str">
        <f t="shared" si="54"/>
        <v/>
      </c>
    </row>
    <row r="864" spans="1:9">
      <c r="A864" s="10" t="str">
        <f t="shared" si="55"/>
        <v/>
      </c>
      <c r="B864" s="53"/>
      <c r="C864" s="28" t="str">
        <f t="shared" si="52"/>
        <v/>
      </c>
      <c r="D864" s="28" t="str">
        <f t="shared" si="53"/>
        <v/>
      </c>
      <c r="E864" s="77"/>
      <c r="F864" s="45"/>
      <c r="G864" s="56"/>
      <c r="H864" s="83"/>
      <c r="I864" s="35" t="str">
        <f t="shared" si="54"/>
        <v/>
      </c>
    </row>
    <row r="865" spans="1:9">
      <c r="A865" s="10" t="str">
        <f t="shared" si="55"/>
        <v/>
      </c>
      <c r="B865" s="53"/>
      <c r="C865" s="28" t="str">
        <f t="shared" si="52"/>
        <v/>
      </c>
      <c r="D865" s="28" t="str">
        <f t="shared" si="53"/>
        <v/>
      </c>
      <c r="E865" s="77"/>
      <c r="F865" s="45"/>
      <c r="G865" s="56"/>
      <c r="H865" s="83"/>
      <c r="I865" s="35" t="str">
        <f t="shared" si="54"/>
        <v/>
      </c>
    </row>
    <row r="866" spans="1:9">
      <c r="A866" s="10" t="str">
        <f t="shared" si="55"/>
        <v/>
      </c>
      <c r="B866" s="53"/>
      <c r="C866" s="28" t="str">
        <f t="shared" si="52"/>
        <v/>
      </c>
      <c r="D866" s="28" t="str">
        <f t="shared" si="53"/>
        <v/>
      </c>
      <c r="E866" s="77"/>
      <c r="F866" s="45"/>
      <c r="G866" s="56"/>
      <c r="H866" s="83"/>
      <c r="I866" s="35" t="str">
        <f t="shared" si="54"/>
        <v/>
      </c>
    </row>
    <row r="867" spans="1:9">
      <c r="A867" s="10" t="str">
        <f t="shared" si="55"/>
        <v/>
      </c>
      <c r="B867" s="53"/>
      <c r="C867" s="28" t="str">
        <f t="shared" si="52"/>
        <v/>
      </c>
      <c r="D867" s="28" t="str">
        <f t="shared" si="53"/>
        <v/>
      </c>
      <c r="E867" s="77"/>
      <c r="F867" s="45"/>
      <c r="G867" s="56"/>
      <c r="H867" s="83"/>
      <c r="I867" s="35" t="str">
        <f t="shared" si="54"/>
        <v/>
      </c>
    </row>
    <row r="868" spans="1:9">
      <c r="A868" s="10" t="str">
        <f t="shared" si="55"/>
        <v/>
      </c>
      <c r="B868" s="53"/>
      <c r="C868" s="28" t="str">
        <f t="shared" si="52"/>
        <v/>
      </c>
      <c r="D868" s="28" t="str">
        <f t="shared" si="53"/>
        <v/>
      </c>
      <c r="E868" s="77"/>
      <c r="F868" s="45"/>
      <c r="G868" s="56"/>
      <c r="H868" s="83"/>
      <c r="I868" s="35" t="str">
        <f t="shared" si="54"/>
        <v/>
      </c>
    </row>
    <row r="869" spans="1:9">
      <c r="A869" s="10" t="str">
        <f t="shared" si="55"/>
        <v/>
      </c>
      <c r="B869" s="53"/>
      <c r="C869" s="28" t="str">
        <f t="shared" si="52"/>
        <v/>
      </c>
      <c r="D869" s="28" t="str">
        <f t="shared" si="53"/>
        <v/>
      </c>
      <c r="E869" s="77"/>
      <c r="F869" s="45"/>
      <c r="G869" s="56"/>
      <c r="H869" s="83"/>
      <c r="I869" s="35" t="str">
        <f t="shared" si="54"/>
        <v/>
      </c>
    </row>
    <row r="870" spans="1:9">
      <c r="A870" s="10" t="str">
        <f t="shared" si="55"/>
        <v/>
      </c>
      <c r="B870" s="53"/>
      <c r="C870" s="28" t="str">
        <f t="shared" si="52"/>
        <v/>
      </c>
      <c r="D870" s="28" t="str">
        <f t="shared" si="53"/>
        <v/>
      </c>
      <c r="E870" s="77"/>
      <c r="F870" s="45"/>
      <c r="G870" s="56"/>
      <c r="H870" s="83"/>
      <c r="I870" s="35" t="str">
        <f t="shared" si="54"/>
        <v/>
      </c>
    </row>
    <row r="871" spans="1:9">
      <c r="A871" s="10" t="str">
        <f t="shared" si="55"/>
        <v/>
      </c>
      <c r="B871" s="53"/>
      <c r="C871" s="28" t="str">
        <f t="shared" si="52"/>
        <v/>
      </c>
      <c r="D871" s="28" t="str">
        <f t="shared" si="53"/>
        <v/>
      </c>
      <c r="E871" s="77"/>
      <c r="F871" s="45"/>
      <c r="G871" s="56"/>
      <c r="H871" s="83"/>
      <c r="I871" s="35" t="str">
        <f t="shared" si="54"/>
        <v/>
      </c>
    </row>
    <row r="872" spans="1:9">
      <c r="A872" s="10" t="str">
        <f t="shared" si="55"/>
        <v/>
      </c>
      <c r="B872" s="53"/>
      <c r="C872" s="28" t="str">
        <f t="shared" si="52"/>
        <v/>
      </c>
      <c r="D872" s="28" t="str">
        <f t="shared" si="53"/>
        <v/>
      </c>
      <c r="E872" s="77"/>
      <c r="F872" s="45"/>
      <c r="G872" s="56"/>
      <c r="H872" s="83"/>
      <c r="I872" s="35" t="str">
        <f t="shared" si="54"/>
        <v/>
      </c>
    </row>
    <row r="873" spans="1:9">
      <c r="A873" s="10" t="str">
        <f t="shared" si="55"/>
        <v/>
      </c>
      <c r="B873" s="53"/>
      <c r="C873" s="28" t="str">
        <f t="shared" si="52"/>
        <v/>
      </c>
      <c r="D873" s="28" t="str">
        <f t="shared" si="53"/>
        <v/>
      </c>
      <c r="E873" s="77"/>
      <c r="F873" s="45"/>
      <c r="G873" s="56"/>
      <c r="H873" s="83"/>
      <c r="I873" s="35" t="str">
        <f t="shared" si="54"/>
        <v/>
      </c>
    </row>
    <row r="874" spans="1:9">
      <c r="A874" s="10" t="str">
        <f t="shared" si="55"/>
        <v/>
      </c>
      <c r="B874" s="53"/>
      <c r="C874" s="28" t="str">
        <f t="shared" si="52"/>
        <v/>
      </c>
      <c r="D874" s="28" t="str">
        <f t="shared" si="53"/>
        <v/>
      </c>
      <c r="E874" s="77"/>
      <c r="F874" s="45"/>
      <c r="G874" s="56"/>
      <c r="H874" s="83"/>
      <c r="I874" s="35" t="str">
        <f t="shared" si="54"/>
        <v/>
      </c>
    </row>
    <row r="875" spans="1:9">
      <c r="A875" s="10" t="str">
        <f t="shared" si="55"/>
        <v/>
      </c>
      <c r="B875" s="53"/>
      <c r="C875" s="28" t="str">
        <f t="shared" si="52"/>
        <v/>
      </c>
      <c r="D875" s="28" t="str">
        <f t="shared" si="53"/>
        <v/>
      </c>
      <c r="E875" s="77"/>
      <c r="F875" s="45"/>
      <c r="G875" s="56"/>
      <c r="H875" s="83"/>
      <c r="I875" s="35" t="str">
        <f t="shared" si="54"/>
        <v/>
      </c>
    </row>
    <row r="876" spans="1:9">
      <c r="A876" s="10" t="str">
        <f t="shared" si="55"/>
        <v/>
      </c>
      <c r="B876" s="53"/>
      <c r="C876" s="28" t="str">
        <f t="shared" si="52"/>
        <v/>
      </c>
      <c r="D876" s="28" t="str">
        <f t="shared" si="53"/>
        <v/>
      </c>
      <c r="E876" s="77"/>
      <c r="F876" s="45"/>
      <c r="G876" s="56"/>
      <c r="H876" s="83"/>
      <c r="I876" s="35" t="str">
        <f t="shared" si="54"/>
        <v/>
      </c>
    </row>
    <row r="877" spans="1:9">
      <c r="A877" s="10" t="str">
        <f t="shared" si="55"/>
        <v/>
      </c>
      <c r="B877" s="53"/>
      <c r="C877" s="28" t="str">
        <f t="shared" si="52"/>
        <v/>
      </c>
      <c r="D877" s="28" t="str">
        <f t="shared" si="53"/>
        <v/>
      </c>
      <c r="E877" s="77"/>
      <c r="F877" s="45"/>
      <c r="G877" s="56"/>
      <c r="H877" s="83"/>
      <c r="I877" s="35" t="str">
        <f t="shared" si="54"/>
        <v/>
      </c>
    </row>
    <row r="878" spans="1:9">
      <c r="A878" s="10" t="str">
        <f t="shared" si="55"/>
        <v/>
      </c>
      <c r="B878" s="53"/>
      <c r="C878" s="28" t="str">
        <f t="shared" si="52"/>
        <v/>
      </c>
      <c r="D878" s="28" t="str">
        <f t="shared" si="53"/>
        <v/>
      </c>
      <c r="E878" s="77"/>
      <c r="F878" s="45"/>
      <c r="G878" s="56"/>
      <c r="H878" s="83"/>
      <c r="I878" s="35" t="str">
        <f t="shared" si="54"/>
        <v/>
      </c>
    </row>
    <row r="879" spans="1:9">
      <c r="A879" s="10" t="str">
        <f t="shared" si="55"/>
        <v/>
      </c>
      <c r="B879" s="53"/>
      <c r="C879" s="28" t="str">
        <f t="shared" si="52"/>
        <v/>
      </c>
      <c r="D879" s="28" t="str">
        <f t="shared" si="53"/>
        <v/>
      </c>
      <c r="E879" s="77"/>
      <c r="F879" s="45"/>
      <c r="G879" s="56"/>
      <c r="H879" s="83"/>
      <c r="I879" s="35" t="str">
        <f t="shared" si="54"/>
        <v/>
      </c>
    </row>
    <row r="880" spans="1:9">
      <c r="A880" s="10" t="str">
        <f t="shared" si="55"/>
        <v/>
      </c>
      <c r="B880" s="53"/>
      <c r="C880" s="28" t="str">
        <f t="shared" si="52"/>
        <v/>
      </c>
      <c r="D880" s="28" t="str">
        <f t="shared" si="53"/>
        <v/>
      </c>
      <c r="E880" s="77"/>
      <c r="F880" s="45"/>
      <c r="G880" s="56"/>
      <c r="H880" s="83"/>
      <c r="I880" s="35" t="str">
        <f t="shared" si="54"/>
        <v/>
      </c>
    </row>
    <row r="881" spans="1:9">
      <c r="A881" s="10" t="str">
        <f t="shared" si="55"/>
        <v/>
      </c>
      <c r="B881" s="53"/>
      <c r="C881" s="28" t="str">
        <f t="shared" si="52"/>
        <v/>
      </c>
      <c r="D881" s="28" t="str">
        <f t="shared" si="53"/>
        <v/>
      </c>
      <c r="E881" s="77"/>
      <c r="F881" s="45"/>
      <c r="G881" s="56"/>
      <c r="H881" s="83"/>
      <c r="I881" s="35" t="str">
        <f t="shared" si="54"/>
        <v/>
      </c>
    </row>
    <row r="882" spans="1:9">
      <c r="A882" s="10" t="str">
        <f t="shared" si="55"/>
        <v/>
      </c>
      <c r="B882" s="53"/>
      <c r="C882" s="28" t="str">
        <f t="shared" si="52"/>
        <v/>
      </c>
      <c r="D882" s="28" t="str">
        <f t="shared" si="53"/>
        <v/>
      </c>
      <c r="E882" s="77"/>
      <c r="F882" s="45"/>
      <c r="G882" s="56"/>
      <c r="H882" s="83"/>
      <c r="I882" s="35" t="str">
        <f t="shared" si="54"/>
        <v/>
      </c>
    </row>
    <row r="883" spans="1:9">
      <c r="A883" s="10" t="str">
        <f t="shared" si="55"/>
        <v/>
      </c>
      <c r="B883" s="53"/>
      <c r="C883" s="28" t="str">
        <f t="shared" si="52"/>
        <v/>
      </c>
      <c r="D883" s="28" t="str">
        <f t="shared" si="53"/>
        <v/>
      </c>
      <c r="E883" s="77"/>
      <c r="F883" s="45"/>
      <c r="G883" s="56"/>
      <c r="H883" s="83"/>
      <c r="I883" s="35" t="str">
        <f t="shared" si="54"/>
        <v/>
      </c>
    </row>
    <row r="884" spans="1:9">
      <c r="A884" s="10" t="str">
        <f t="shared" si="55"/>
        <v/>
      </c>
      <c r="B884" s="53"/>
      <c r="C884" s="28" t="str">
        <f t="shared" si="52"/>
        <v/>
      </c>
      <c r="D884" s="28" t="str">
        <f t="shared" si="53"/>
        <v/>
      </c>
      <c r="E884" s="77"/>
      <c r="F884" s="45"/>
      <c r="G884" s="56"/>
      <c r="H884" s="83"/>
      <c r="I884" s="35" t="str">
        <f t="shared" si="54"/>
        <v/>
      </c>
    </row>
    <row r="885" spans="1:9">
      <c r="A885" s="10" t="str">
        <f t="shared" si="55"/>
        <v/>
      </c>
      <c r="B885" s="53"/>
      <c r="C885" s="28" t="str">
        <f t="shared" si="52"/>
        <v/>
      </c>
      <c r="D885" s="28" t="str">
        <f t="shared" si="53"/>
        <v/>
      </c>
      <c r="E885" s="77"/>
      <c r="F885" s="45"/>
      <c r="G885" s="56"/>
      <c r="H885" s="83"/>
      <c r="I885" s="35" t="str">
        <f t="shared" si="54"/>
        <v/>
      </c>
    </row>
    <row r="886" spans="1:9">
      <c r="A886" s="10" t="str">
        <f t="shared" si="55"/>
        <v/>
      </c>
      <c r="B886" s="53"/>
      <c r="C886" s="28" t="str">
        <f t="shared" si="52"/>
        <v/>
      </c>
      <c r="D886" s="28" t="str">
        <f t="shared" si="53"/>
        <v/>
      </c>
      <c r="E886" s="77"/>
      <c r="F886" s="45"/>
      <c r="G886" s="56"/>
      <c r="H886" s="83"/>
      <c r="I886" s="35" t="str">
        <f t="shared" si="54"/>
        <v/>
      </c>
    </row>
    <row r="887" spans="1:9">
      <c r="A887" s="10" t="str">
        <f t="shared" si="55"/>
        <v/>
      </c>
      <c r="B887" s="53"/>
      <c r="C887" s="28" t="str">
        <f t="shared" si="52"/>
        <v/>
      </c>
      <c r="D887" s="28" t="str">
        <f t="shared" si="53"/>
        <v/>
      </c>
      <c r="E887" s="77"/>
      <c r="F887" s="45"/>
      <c r="G887" s="56"/>
      <c r="H887" s="83"/>
      <c r="I887" s="35" t="str">
        <f t="shared" si="54"/>
        <v/>
      </c>
    </row>
    <row r="888" spans="1:9">
      <c r="A888" s="10" t="str">
        <f t="shared" si="55"/>
        <v/>
      </c>
      <c r="B888" s="53"/>
      <c r="C888" s="28" t="str">
        <f t="shared" si="52"/>
        <v/>
      </c>
      <c r="D888" s="28" t="str">
        <f t="shared" si="53"/>
        <v/>
      </c>
      <c r="E888" s="77"/>
      <c r="F888" s="45"/>
      <c r="G888" s="56"/>
      <c r="H888" s="83"/>
      <c r="I888" s="35" t="str">
        <f t="shared" si="54"/>
        <v/>
      </c>
    </row>
    <row r="889" spans="1:9">
      <c r="A889" s="10" t="str">
        <f t="shared" si="55"/>
        <v/>
      </c>
      <c r="B889" s="53"/>
      <c r="C889" s="28" t="str">
        <f t="shared" si="52"/>
        <v/>
      </c>
      <c r="D889" s="28" t="str">
        <f t="shared" si="53"/>
        <v/>
      </c>
      <c r="E889" s="77"/>
      <c r="F889" s="45"/>
      <c r="G889" s="56"/>
      <c r="H889" s="83"/>
      <c r="I889" s="35" t="str">
        <f t="shared" si="54"/>
        <v/>
      </c>
    </row>
    <row r="890" spans="1:9">
      <c r="A890" s="10" t="str">
        <f t="shared" si="55"/>
        <v/>
      </c>
      <c r="B890" s="53"/>
      <c r="C890" s="28" t="str">
        <f t="shared" si="52"/>
        <v/>
      </c>
      <c r="D890" s="28" t="str">
        <f t="shared" si="53"/>
        <v/>
      </c>
      <c r="E890" s="77"/>
      <c r="F890" s="45"/>
      <c r="G890" s="56"/>
      <c r="H890" s="83"/>
      <c r="I890" s="35" t="str">
        <f t="shared" si="54"/>
        <v/>
      </c>
    </row>
    <row r="891" spans="1:9">
      <c r="A891" s="10" t="str">
        <f t="shared" si="55"/>
        <v/>
      </c>
      <c r="B891" s="53"/>
      <c r="C891" s="28" t="str">
        <f t="shared" si="52"/>
        <v/>
      </c>
      <c r="D891" s="28" t="str">
        <f t="shared" si="53"/>
        <v/>
      </c>
      <c r="E891" s="77"/>
      <c r="F891" s="45"/>
      <c r="G891" s="56"/>
      <c r="H891" s="83"/>
      <c r="I891" s="35" t="str">
        <f t="shared" si="54"/>
        <v/>
      </c>
    </row>
    <row r="892" spans="1:9">
      <c r="A892" s="10" t="str">
        <f t="shared" si="55"/>
        <v/>
      </c>
      <c r="B892" s="53"/>
      <c r="C892" s="28" t="str">
        <f t="shared" si="52"/>
        <v/>
      </c>
      <c r="D892" s="28" t="str">
        <f t="shared" si="53"/>
        <v/>
      </c>
      <c r="E892" s="77"/>
      <c r="F892" s="45"/>
      <c r="G892" s="56"/>
      <c r="H892" s="83"/>
      <c r="I892" s="35" t="str">
        <f t="shared" si="54"/>
        <v/>
      </c>
    </row>
    <row r="893" spans="1:9">
      <c r="A893" s="10" t="str">
        <f t="shared" si="55"/>
        <v/>
      </c>
      <c r="B893" s="53"/>
      <c r="C893" s="28" t="str">
        <f t="shared" si="52"/>
        <v/>
      </c>
      <c r="D893" s="28" t="str">
        <f t="shared" si="53"/>
        <v/>
      </c>
      <c r="E893" s="77"/>
      <c r="F893" s="45"/>
      <c r="G893" s="56"/>
      <c r="H893" s="83"/>
      <c r="I893" s="35" t="str">
        <f t="shared" si="54"/>
        <v/>
      </c>
    </row>
    <row r="894" spans="1:9">
      <c r="A894" s="10" t="str">
        <f t="shared" si="55"/>
        <v/>
      </c>
      <c r="B894" s="53"/>
      <c r="C894" s="28" t="str">
        <f t="shared" si="52"/>
        <v/>
      </c>
      <c r="D894" s="28" t="str">
        <f t="shared" si="53"/>
        <v/>
      </c>
      <c r="E894" s="77"/>
      <c r="F894" s="45"/>
      <c r="G894" s="56"/>
      <c r="H894" s="83"/>
      <c r="I894" s="35" t="str">
        <f t="shared" si="54"/>
        <v/>
      </c>
    </row>
    <row r="895" spans="1:9">
      <c r="A895" s="10" t="str">
        <f t="shared" si="55"/>
        <v/>
      </c>
      <c r="B895" s="53"/>
      <c r="C895" s="28" t="str">
        <f t="shared" si="52"/>
        <v/>
      </c>
      <c r="D895" s="28" t="str">
        <f t="shared" si="53"/>
        <v/>
      </c>
      <c r="E895" s="77"/>
      <c r="F895" s="45"/>
      <c r="G895" s="56"/>
      <c r="H895" s="83"/>
      <c r="I895" s="35" t="str">
        <f t="shared" si="54"/>
        <v/>
      </c>
    </row>
    <row r="896" spans="1:9">
      <c r="A896" s="10" t="str">
        <f t="shared" si="55"/>
        <v/>
      </c>
      <c r="B896" s="53"/>
      <c r="C896" s="28" t="str">
        <f t="shared" si="52"/>
        <v/>
      </c>
      <c r="D896" s="28" t="str">
        <f t="shared" si="53"/>
        <v/>
      </c>
      <c r="E896" s="77"/>
      <c r="F896" s="45"/>
      <c r="G896" s="56"/>
      <c r="H896" s="83"/>
      <c r="I896" s="35" t="str">
        <f t="shared" si="54"/>
        <v/>
      </c>
    </row>
    <row r="897" spans="1:9">
      <c r="A897" s="10" t="str">
        <f t="shared" si="55"/>
        <v/>
      </c>
      <c r="B897" s="53"/>
      <c r="C897" s="28" t="str">
        <f t="shared" si="52"/>
        <v/>
      </c>
      <c r="D897" s="28" t="str">
        <f t="shared" si="53"/>
        <v/>
      </c>
      <c r="E897" s="77"/>
      <c r="F897" s="45"/>
      <c r="G897" s="56"/>
      <c r="H897" s="83"/>
      <c r="I897" s="35" t="str">
        <f t="shared" si="54"/>
        <v/>
      </c>
    </row>
    <row r="898" spans="1:9">
      <c r="A898" s="10" t="str">
        <f t="shared" si="55"/>
        <v/>
      </c>
      <c r="B898" s="53"/>
      <c r="C898" s="28" t="str">
        <f t="shared" si="52"/>
        <v/>
      </c>
      <c r="D898" s="28" t="str">
        <f t="shared" si="53"/>
        <v/>
      </c>
      <c r="E898" s="77"/>
      <c r="F898" s="45"/>
      <c r="G898" s="56"/>
      <c r="H898" s="83"/>
      <c r="I898" s="35" t="str">
        <f t="shared" si="54"/>
        <v/>
      </c>
    </row>
    <row r="899" spans="1:9">
      <c r="A899" s="10" t="str">
        <f t="shared" si="55"/>
        <v/>
      </c>
      <c r="B899" s="53"/>
      <c r="C899" s="28" t="str">
        <f t="shared" ref="C899:C962" si="56">IF(B899=0,"",TEXT(B899,"mmmm"))</f>
        <v/>
      </c>
      <c r="D899" s="28" t="str">
        <f t="shared" ref="D899:D962" si="57">IF(B899=0,"",TEXT(B899,"yyyy"))</f>
        <v/>
      </c>
      <c r="E899" s="77"/>
      <c r="F899" s="45"/>
      <c r="G899" s="56"/>
      <c r="H899" s="83"/>
      <c r="I899" s="35" t="str">
        <f t="shared" ref="I899:I962" si="58">IF(G899*H899=0,"",G899*H899)</f>
        <v/>
      </c>
    </row>
    <row r="900" spans="1:9">
      <c r="A900" s="10" t="str">
        <f t="shared" ref="A900:A963" si="59">IF(E900&gt;0,A899+1,"")</f>
        <v/>
      </c>
      <c r="B900" s="53"/>
      <c r="C900" s="28" t="str">
        <f t="shared" si="56"/>
        <v/>
      </c>
      <c r="D900" s="28" t="str">
        <f t="shared" si="57"/>
        <v/>
      </c>
      <c r="E900" s="77"/>
      <c r="F900" s="45"/>
      <c r="G900" s="56"/>
      <c r="H900" s="83"/>
      <c r="I900" s="35" t="str">
        <f t="shared" si="58"/>
        <v/>
      </c>
    </row>
    <row r="901" spans="1:9">
      <c r="A901" s="10" t="str">
        <f t="shared" si="59"/>
        <v/>
      </c>
      <c r="B901" s="53"/>
      <c r="C901" s="28" t="str">
        <f t="shared" si="56"/>
        <v/>
      </c>
      <c r="D901" s="28" t="str">
        <f t="shared" si="57"/>
        <v/>
      </c>
      <c r="E901" s="77"/>
      <c r="F901" s="45"/>
      <c r="G901" s="56"/>
      <c r="H901" s="83"/>
      <c r="I901" s="35" t="str">
        <f t="shared" si="58"/>
        <v/>
      </c>
    </row>
    <row r="902" spans="1:9">
      <c r="A902" s="10" t="str">
        <f t="shared" si="59"/>
        <v/>
      </c>
      <c r="B902" s="53"/>
      <c r="C902" s="28" t="str">
        <f t="shared" si="56"/>
        <v/>
      </c>
      <c r="D902" s="28" t="str">
        <f t="shared" si="57"/>
        <v/>
      </c>
      <c r="E902" s="77"/>
      <c r="F902" s="45"/>
      <c r="G902" s="56"/>
      <c r="H902" s="83"/>
      <c r="I902" s="35" t="str">
        <f t="shared" si="58"/>
        <v/>
      </c>
    </row>
    <row r="903" spans="1:9">
      <c r="A903" s="10" t="str">
        <f t="shared" si="59"/>
        <v/>
      </c>
      <c r="B903" s="53"/>
      <c r="C903" s="28" t="str">
        <f t="shared" si="56"/>
        <v/>
      </c>
      <c r="D903" s="28" t="str">
        <f t="shared" si="57"/>
        <v/>
      </c>
      <c r="E903" s="77"/>
      <c r="F903" s="45"/>
      <c r="G903" s="56"/>
      <c r="H903" s="83"/>
      <c r="I903" s="35" t="str">
        <f t="shared" si="58"/>
        <v/>
      </c>
    </row>
    <row r="904" spans="1:9">
      <c r="A904" s="10" t="str">
        <f t="shared" si="59"/>
        <v/>
      </c>
      <c r="B904" s="53"/>
      <c r="C904" s="28" t="str">
        <f t="shared" si="56"/>
        <v/>
      </c>
      <c r="D904" s="28" t="str">
        <f t="shared" si="57"/>
        <v/>
      </c>
      <c r="E904" s="77"/>
      <c r="F904" s="45"/>
      <c r="G904" s="56"/>
      <c r="H904" s="83"/>
      <c r="I904" s="35" t="str">
        <f t="shared" si="58"/>
        <v/>
      </c>
    </row>
    <row r="905" spans="1:9">
      <c r="A905" s="10" t="str">
        <f t="shared" si="59"/>
        <v/>
      </c>
      <c r="B905" s="53"/>
      <c r="C905" s="28" t="str">
        <f t="shared" si="56"/>
        <v/>
      </c>
      <c r="D905" s="28" t="str">
        <f t="shared" si="57"/>
        <v/>
      </c>
      <c r="E905" s="77"/>
      <c r="F905" s="45"/>
      <c r="G905" s="56"/>
      <c r="H905" s="83"/>
      <c r="I905" s="35" t="str">
        <f t="shared" si="58"/>
        <v/>
      </c>
    </row>
    <row r="906" spans="1:9">
      <c r="A906" s="10" t="str">
        <f t="shared" si="59"/>
        <v/>
      </c>
      <c r="B906" s="53"/>
      <c r="C906" s="28" t="str">
        <f t="shared" si="56"/>
        <v/>
      </c>
      <c r="D906" s="28" t="str">
        <f t="shared" si="57"/>
        <v/>
      </c>
      <c r="E906" s="77"/>
      <c r="F906" s="45"/>
      <c r="G906" s="56"/>
      <c r="H906" s="83"/>
      <c r="I906" s="35" t="str">
        <f t="shared" si="58"/>
        <v/>
      </c>
    </row>
    <row r="907" spans="1:9">
      <c r="A907" s="10" t="str">
        <f t="shared" si="59"/>
        <v/>
      </c>
      <c r="B907" s="53"/>
      <c r="C907" s="28" t="str">
        <f t="shared" si="56"/>
        <v/>
      </c>
      <c r="D907" s="28" t="str">
        <f t="shared" si="57"/>
        <v/>
      </c>
      <c r="E907" s="77"/>
      <c r="F907" s="45"/>
      <c r="G907" s="56"/>
      <c r="H907" s="83"/>
      <c r="I907" s="35" t="str">
        <f t="shared" si="58"/>
        <v/>
      </c>
    </row>
    <row r="908" spans="1:9">
      <c r="A908" s="10" t="str">
        <f t="shared" si="59"/>
        <v/>
      </c>
      <c r="B908" s="53"/>
      <c r="C908" s="28" t="str">
        <f t="shared" si="56"/>
        <v/>
      </c>
      <c r="D908" s="28" t="str">
        <f t="shared" si="57"/>
        <v/>
      </c>
      <c r="E908" s="77"/>
      <c r="F908" s="45"/>
      <c r="G908" s="56"/>
      <c r="H908" s="83"/>
      <c r="I908" s="35" t="str">
        <f t="shared" si="58"/>
        <v/>
      </c>
    </row>
    <row r="909" spans="1:9">
      <c r="A909" s="10" t="str">
        <f t="shared" si="59"/>
        <v/>
      </c>
      <c r="B909" s="53"/>
      <c r="C909" s="28" t="str">
        <f t="shared" si="56"/>
        <v/>
      </c>
      <c r="D909" s="28" t="str">
        <f t="shared" si="57"/>
        <v/>
      </c>
      <c r="E909" s="77"/>
      <c r="F909" s="45"/>
      <c r="G909" s="56"/>
      <c r="H909" s="83"/>
      <c r="I909" s="35" t="str">
        <f t="shared" si="58"/>
        <v/>
      </c>
    </row>
    <row r="910" spans="1:9">
      <c r="A910" s="10" t="str">
        <f t="shared" si="59"/>
        <v/>
      </c>
      <c r="B910" s="53"/>
      <c r="C910" s="28" t="str">
        <f t="shared" si="56"/>
        <v/>
      </c>
      <c r="D910" s="28" t="str">
        <f t="shared" si="57"/>
        <v/>
      </c>
      <c r="E910" s="77"/>
      <c r="F910" s="45"/>
      <c r="G910" s="56"/>
      <c r="H910" s="83"/>
      <c r="I910" s="35" t="str">
        <f t="shared" si="58"/>
        <v/>
      </c>
    </row>
    <row r="911" spans="1:9">
      <c r="A911" s="10" t="str">
        <f t="shared" si="59"/>
        <v/>
      </c>
      <c r="B911" s="53"/>
      <c r="C911" s="28" t="str">
        <f t="shared" si="56"/>
        <v/>
      </c>
      <c r="D911" s="28" t="str">
        <f t="shared" si="57"/>
        <v/>
      </c>
      <c r="E911" s="77"/>
      <c r="F911" s="45"/>
      <c r="G911" s="56"/>
      <c r="H911" s="83"/>
      <c r="I911" s="35" t="str">
        <f t="shared" si="58"/>
        <v/>
      </c>
    </row>
    <row r="912" spans="1:9">
      <c r="A912" s="10" t="str">
        <f t="shared" si="59"/>
        <v/>
      </c>
      <c r="B912" s="53"/>
      <c r="C912" s="28" t="str">
        <f t="shared" si="56"/>
        <v/>
      </c>
      <c r="D912" s="28" t="str">
        <f t="shared" si="57"/>
        <v/>
      </c>
      <c r="E912" s="77"/>
      <c r="F912" s="45"/>
      <c r="G912" s="56"/>
      <c r="H912" s="83"/>
      <c r="I912" s="35" t="str">
        <f t="shared" si="58"/>
        <v/>
      </c>
    </row>
    <row r="913" spans="1:9">
      <c r="A913" s="10" t="str">
        <f t="shared" si="59"/>
        <v/>
      </c>
      <c r="B913" s="53"/>
      <c r="C913" s="28" t="str">
        <f t="shared" si="56"/>
        <v/>
      </c>
      <c r="D913" s="28" t="str">
        <f t="shared" si="57"/>
        <v/>
      </c>
      <c r="E913" s="77"/>
      <c r="F913" s="45"/>
      <c r="G913" s="56"/>
      <c r="H913" s="83"/>
      <c r="I913" s="35" t="str">
        <f t="shared" si="58"/>
        <v/>
      </c>
    </row>
    <row r="914" spans="1:9">
      <c r="A914" s="10" t="str">
        <f t="shared" si="59"/>
        <v/>
      </c>
      <c r="B914" s="53"/>
      <c r="C914" s="28" t="str">
        <f t="shared" si="56"/>
        <v/>
      </c>
      <c r="D914" s="28" t="str">
        <f t="shared" si="57"/>
        <v/>
      </c>
      <c r="E914" s="77"/>
      <c r="F914" s="45"/>
      <c r="G914" s="56"/>
      <c r="H914" s="83"/>
      <c r="I914" s="35" t="str">
        <f t="shared" si="58"/>
        <v/>
      </c>
    </row>
    <row r="915" spans="1:9">
      <c r="A915" s="10" t="str">
        <f t="shared" si="59"/>
        <v/>
      </c>
      <c r="B915" s="53"/>
      <c r="C915" s="28" t="str">
        <f t="shared" si="56"/>
        <v/>
      </c>
      <c r="D915" s="28" t="str">
        <f t="shared" si="57"/>
        <v/>
      </c>
      <c r="E915" s="77"/>
      <c r="F915" s="45"/>
      <c r="G915" s="56"/>
      <c r="H915" s="83"/>
      <c r="I915" s="35" t="str">
        <f t="shared" si="58"/>
        <v/>
      </c>
    </row>
    <row r="916" spans="1:9">
      <c r="A916" s="10" t="str">
        <f t="shared" si="59"/>
        <v/>
      </c>
      <c r="B916" s="53"/>
      <c r="C916" s="28" t="str">
        <f t="shared" si="56"/>
        <v/>
      </c>
      <c r="D916" s="28" t="str">
        <f t="shared" si="57"/>
        <v/>
      </c>
      <c r="E916" s="77"/>
      <c r="F916" s="45"/>
      <c r="G916" s="56"/>
      <c r="H916" s="83"/>
      <c r="I916" s="35" t="str">
        <f t="shared" si="58"/>
        <v/>
      </c>
    </row>
    <row r="917" spans="1:9">
      <c r="A917" s="10" t="str">
        <f t="shared" si="59"/>
        <v/>
      </c>
      <c r="B917" s="53"/>
      <c r="C917" s="28" t="str">
        <f t="shared" si="56"/>
        <v/>
      </c>
      <c r="D917" s="28" t="str">
        <f t="shared" si="57"/>
        <v/>
      </c>
      <c r="E917" s="77"/>
      <c r="F917" s="45"/>
      <c r="G917" s="56"/>
      <c r="H917" s="83"/>
      <c r="I917" s="35" t="str">
        <f t="shared" si="58"/>
        <v/>
      </c>
    </row>
    <row r="918" spans="1:9">
      <c r="A918" s="10" t="str">
        <f t="shared" si="59"/>
        <v/>
      </c>
      <c r="B918" s="53"/>
      <c r="C918" s="28" t="str">
        <f t="shared" si="56"/>
        <v/>
      </c>
      <c r="D918" s="28" t="str">
        <f t="shared" si="57"/>
        <v/>
      </c>
      <c r="E918" s="77"/>
      <c r="F918" s="45"/>
      <c r="G918" s="56"/>
      <c r="H918" s="83"/>
      <c r="I918" s="35" t="str">
        <f t="shared" si="58"/>
        <v/>
      </c>
    </row>
    <row r="919" spans="1:9">
      <c r="A919" s="10" t="str">
        <f t="shared" si="59"/>
        <v/>
      </c>
      <c r="B919" s="53"/>
      <c r="C919" s="28" t="str">
        <f t="shared" si="56"/>
        <v/>
      </c>
      <c r="D919" s="28" t="str">
        <f t="shared" si="57"/>
        <v/>
      </c>
      <c r="E919" s="77"/>
      <c r="F919" s="45"/>
      <c r="G919" s="56"/>
      <c r="H919" s="83"/>
      <c r="I919" s="35" t="str">
        <f t="shared" si="58"/>
        <v/>
      </c>
    </row>
    <row r="920" spans="1:9">
      <c r="A920" s="10" t="str">
        <f t="shared" si="59"/>
        <v/>
      </c>
      <c r="B920" s="53"/>
      <c r="C920" s="28" t="str">
        <f t="shared" si="56"/>
        <v/>
      </c>
      <c r="D920" s="28" t="str">
        <f t="shared" si="57"/>
        <v/>
      </c>
      <c r="E920" s="77"/>
      <c r="F920" s="45"/>
      <c r="G920" s="56"/>
      <c r="H920" s="83"/>
      <c r="I920" s="35" t="str">
        <f t="shared" si="58"/>
        <v/>
      </c>
    </row>
    <row r="921" spans="1:9">
      <c r="A921" s="10" t="str">
        <f t="shared" si="59"/>
        <v/>
      </c>
      <c r="B921" s="53"/>
      <c r="C921" s="28" t="str">
        <f t="shared" si="56"/>
        <v/>
      </c>
      <c r="D921" s="28" t="str">
        <f t="shared" si="57"/>
        <v/>
      </c>
      <c r="E921" s="77"/>
      <c r="F921" s="45"/>
      <c r="G921" s="56"/>
      <c r="H921" s="83"/>
      <c r="I921" s="35" t="str">
        <f t="shared" si="58"/>
        <v/>
      </c>
    </row>
    <row r="922" spans="1:9">
      <c r="A922" s="10" t="str">
        <f t="shared" si="59"/>
        <v/>
      </c>
      <c r="B922" s="53"/>
      <c r="C922" s="28" t="str">
        <f t="shared" si="56"/>
        <v/>
      </c>
      <c r="D922" s="28" t="str">
        <f t="shared" si="57"/>
        <v/>
      </c>
      <c r="E922" s="77"/>
      <c r="F922" s="45"/>
      <c r="G922" s="56"/>
      <c r="H922" s="83"/>
      <c r="I922" s="35" t="str">
        <f t="shared" si="58"/>
        <v/>
      </c>
    </row>
    <row r="923" spans="1:9">
      <c r="A923" s="10" t="str">
        <f t="shared" si="59"/>
        <v/>
      </c>
      <c r="B923" s="53"/>
      <c r="C923" s="28" t="str">
        <f t="shared" si="56"/>
        <v/>
      </c>
      <c r="D923" s="28" t="str">
        <f t="shared" si="57"/>
        <v/>
      </c>
      <c r="E923" s="77"/>
      <c r="F923" s="45"/>
      <c r="G923" s="56"/>
      <c r="H923" s="83"/>
      <c r="I923" s="35" t="str">
        <f t="shared" si="58"/>
        <v/>
      </c>
    </row>
    <row r="924" spans="1:9">
      <c r="A924" s="10" t="str">
        <f t="shared" si="59"/>
        <v/>
      </c>
      <c r="B924" s="53"/>
      <c r="C924" s="28" t="str">
        <f t="shared" si="56"/>
        <v/>
      </c>
      <c r="D924" s="28" t="str">
        <f t="shared" si="57"/>
        <v/>
      </c>
      <c r="E924" s="77"/>
      <c r="F924" s="45"/>
      <c r="G924" s="56"/>
      <c r="H924" s="83"/>
      <c r="I924" s="35" t="str">
        <f t="shared" si="58"/>
        <v/>
      </c>
    </row>
    <row r="925" spans="1:9">
      <c r="A925" s="10" t="str">
        <f t="shared" si="59"/>
        <v/>
      </c>
      <c r="B925" s="53"/>
      <c r="C925" s="28" t="str">
        <f t="shared" si="56"/>
        <v/>
      </c>
      <c r="D925" s="28" t="str">
        <f t="shared" si="57"/>
        <v/>
      </c>
      <c r="E925" s="77"/>
      <c r="F925" s="45"/>
      <c r="G925" s="56"/>
      <c r="H925" s="83"/>
      <c r="I925" s="35" t="str">
        <f t="shared" si="58"/>
        <v/>
      </c>
    </row>
    <row r="926" spans="1:9">
      <c r="A926" s="10" t="str">
        <f t="shared" si="59"/>
        <v/>
      </c>
      <c r="B926" s="53"/>
      <c r="C926" s="28" t="str">
        <f t="shared" si="56"/>
        <v/>
      </c>
      <c r="D926" s="28" t="str">
        <f t="shared" si="57"/>
        <v/>
      </c>
      <c r="E926" s="77"/>
      <c r="F926" s="45"/>
      <c r="G926" s="56"/>
      <c r="H926" s="83"/>
      <c r="I926" s="35" t="str">
        <f t="shared" si="58"/>
        <v/>
      </c>
    </row>
    <row r="927" spans="1:9">
      <c r="A927" s="10" t="str">
        <f t="shared" si="59"/>
        <v/>
      </c>
      <c r="B927" s="53"/>
      <c r="C927" s="28" t="str">
        <f t="shared" si="56"/>
        <v/>
      </c>
      <c r="D927" s="28" t="str">
        <f t="shared" si="57"/>
        <v/>
      </c>
      <c r="E927" s="77"/>
      <c r="F927" s="45"/>
      <c r="G927" s="56"/>
      <c r="H927" s="83"/>
      <c r="I927" s="35" t="str">
        <f t="shared" si="58"/>
        <v/>
      </c>
    </row>
    <row r="928" spans="1:9">
      <c r="A928" s="10" t="str">
        <f t="shared" si="59"/>
        <v/>
      </c>
      <c r="B928" s="53"/>
      <c r="C928" s="28" t="str">
        <f t="shared" si="56"/>
        <v/>
      </c>
      <c r="D928" s="28" t="str">
        <f t="shared" si="57"/>
        <v/>
      </c>
      <c r="E928" s="77"/>
      <c r="F928" s="45"/>
      <c r="G928" s="56"/>
      <c r="H928" s="83"/>
      <c r="I928" s="35" t="str">
        <f t="shared" si="58"/>
        <v/>
      </c>
    </row>
    <row r="929" spans="1:9">
      <c r="A929" s="10" t="str">
        <f t="shared" si="59"/>
        <v/>
      </c>
      <c r="B929" s="53"/>
      <c r="C929" s="28" t="str">
        <f t="shared" si="56"/>
        <v/>
      </c>
      <c r="D929" s="28" t="str">
        <f t="shared" si="57"/>
        <v/>
      </c>
      <c r="E929" s="77"/>
      <c r="F929" s="45"/>
      <c r="G929" s="56"/>
      <c r="H929" s="83"/>
      <c r="I929" s="35" t="str">
        <f t="shared" si="58"/>
        <v/>
      </c>
    </row>
    <row r="930" spans="1:9">
      <c r="A930" s="10" t="str">
        <f t="shared" si="59"/>
        <v/>
      </c>
      <c r="B930" s="53"/>
      <c r="C930" s="28" t="str">
        <f t="shared" si="56"/>
        <v/>
      </c>
      <c r="D930" s="28" t="str">
        <f t="shared" si="57"/>
        <v/>
      </c>
      <c r="E930" s="77"/>
      <c r="F930" s="45"/>
      <c r="G930" s="56"/>
      <c r="H930" s="83"/>
      <c r="I930" s="35" t="str">
        <f t="shared" si="58"/>
        <v/>
      </c>
    </row>
    <row r="931" spans="1:9">
      <c r="A931" s="10" t="str">
        <f t="shared" si="59"/>
        <v/>
      </c>
      <c r="B931" s="53"/>
      <c r="C931" s="28" t="str">
        <f t="shared" si="56"/>
        <v/>
      </c>
      <c r="D931" s="28" t="str">
        <f t="shared" si="57"/>
        <v/>
      </c>
      <c r="E931" s="77"/>
      <c r="F931" s="45"/>
      <c r="G931" s="56"/>
      <c r="H931" s="83"/>
      <c r="I931" s="35" t="str">
        <f t="shared" si="58"/>
        <v/>
      </c>
    </row>
    <row r="932" spans="1:9">
      <c r="A932" s="10" t="str">
        <f t="shared" si="59"/>
        <v/>
      </c>
      <c r="B932" s="53"/>
      <c r="C932" s="28" t="str">
        <f t="shared" si="56"/>
        <v/>
      </c>
      <c r="D932" s="28" t="str">
        <f t="shared" si="57"/>
        <v/>
      </c>
      <c r="E932" s="77"/>
      <c r="F932" s="45"/>
      <c r="G932" s="56"/>
      <c r="H932" s="83"/>
      <c r="I932" s="35" t="str">
        <f t="shared" si="58"/>
        <v/>
      </c>
    </row>
    <row r="933" spans="1:9">
      <c r="A933" s="10" t="str">
        <f t="shared" si="59"/>
        <v/>
      </c>
      <c r="B933" s="53"/>
      <c r="C933" s="28" t="str">
        <f t="shared" si="56"/>
        <v/>
      </c>
      <c r="D933" s="28" t="str">
        <f t="shared" si="57"/>
        <v/>
      </c>
      <c r="E933" s="77"/>
      <c r="F933" s="45"/>
      <c r="G933" s="56"/>
      <c r="H933" s="83"/>
      <c r="I933" s="35" t="str">
        <f t="shared" si="58"/>
        <v/>
      </c>
    </row>
    <row r="934" spans="1:9">
      <c r="A934" s="10" t="str">
        <f t="shared" si="59"/>
        <v/>
      </c>
      <c r="B934" s="53"/>
      <c r="C934" s="28" t="str">
        <f t="shared" si="56"/>
        <v/>
      </c>
      <c r="D934" s="28" t="str">
        <f t="shared" si="57"/>
        <v/>
      </c>
      <c r="E934" s="77"/>
      <c r="F934" s="45"/>
      <c r="G934" s="56"/>
      <c r="H934" s="83"/>
      <c r="I934" s="35" t="str">
        <f t="shared" si="58"/>
        <v/>
      </c>
    </row>
    <row r="935" spans="1:9">
      <c r="A935" s="10" t="str">
        <f t="shared" si="59"/>
        <v/>
      </c>
      <c r="B935" s="53"/>
      <c r="C935" s="28" t="str">
        <f t="shared" si="56"/>
        <v/>
      </c>
      <c r="D935" s="28" t="str">
        <f t="shared" si="57"/>
        <v/>
      </c>
      <c r="E935" s="77"/>
      <c r="F935" s="45"/>
      <c r="G935" s="56"/>
      <c r="H935" s="83"/>
      <c r="I935" s="35" t="str">
        <f t="shared" si="58"/>
        <v/>
      </c>
    </row>
    <row r="936" spans="1:9">
      <c r="A936" s="10" t="str">
        <f t="shared" si="59"/>
        <v/>
      </c>
      <c r="B936" s="53"/>
      <c r="C936" s="28" t="str">
        <f t="shared" si="56"/>
        <v/>
      </c>
      <c r="D936" s="28" t="str">
        <f t="shared" si="57"/>
        <v/>
      </c>
      <c r="E936" s="77"/>
      <c r="F936" s="45"/>
      <c r="G936" s="56"/>
      <c r="H936" s="83"/>
      <c r="I936" s="35" t="str">
        <f t="shared" si="58"/>
        <v/>
      </c>
    </row>
    <row r="937" spans="1:9">
      <c r="A937" s="10" t="str">
        <f t="shared" si="59"/>
        <v/>
      </c>
      <c r="B937" s="53"/>
      <c r="C937" s="28" t="str">
        <f t="shared" si="56"/>
        <v/>
      </c>
      <c r="D937" s="28" t="str">
        <f t="shared" si="57"/>
        <v/>
      </c>
      <c r="E937" s="77"/>
      <c r="F937" s="45"/>
      <c r="G937" s="56"/>
      <c r="H937" s="83"/>
      <c r="I937" s="35" t="str">
        <f t="shared" si="58"/>
        <v/>
      </c>
    </row>
    <row r="938" spans="1:9">
      <c r="A938" s="10" t="str">
        <f t="shared" si="59"/>
        <v/>
      </c>
      <c r="B938" s="53"/>
      <c r="C938" s="28" t="str">
        <f t="shared" si="56"/>
        <v/>
      </c>
      <c r="D938" s="28" t="str">
        <f t="shared" si="57"/>
        <v/>
      </c>
      <c r="E938" s="77"/>
      <c r="F938" s="45"/>
      <c r="G938" s="56"/>
      <c r="H938" s="83"/>
      <c r="I938" s="35" t="str">
        <f t="shared" si="58"/>
        <v/>
      </c>
    </row>
    <row r="939" spans="1:9">
      <c r="A939" s="10" t="str">
        <f t="shared" si="59"/>
        <v/>
      </c>
      <c r="B939" s="53"/>
      <c r="C939" s="28" t="str">
        <f t="shared" si="56"/>
        <v/>
      </c>
      <c r="D939" s="28" t="str">
        <f t="shared" si="57"/>
        <v/>
      </c>
      <c r="E939" s="77"/>
      <c r="F939" s="45"/>
      <c r="G939" s="56"/>
      <c r="H939" s="83"/>
      <c r="I939" s="35" t="str">
        <f t="shared" si="58"/>
        <v/>
      </c>
    </row>
    <row r="940" spans="1:9">
      <c r="A940" s="10" t="str">
        <f t="shared" si="59"/>
        <v/>
      </c>
      <c r="B940" s="53"/>
      <c r="C940" s="28" t="str">
        <f t="shared" si="56"/>
        <v/>
      </c>
      <c r="D940" s="28" t="str">
        <f t="shared" si="57"/>
        <v/>
      </c>
      <c r="E940" s="77"/>
      <c r="F940" s="45"/>
      <c r="G940" s="56"/>
      <c r="H940" s="83"/>
      <c r="I940" s="35" t="str">
        <f t="shared" si="58"/>
        <v/>
      </c>
    </row>
    <row r="941" spans="1:9">
      <c r="A941" s="10" t="str">
        <f t="shared" si="59"/>
        <v/>
      </c>
      <c r="B941" s="53"/>
      <c r="C941" s="28" t="str">
        <f t="shared" si="56"/>
        <v/>
      </c>
      <c r="D941" s="28" t="str">
        <f t="shared" si="57"/>
        <v/>
      </c>
      <c r="E941" s="77"/>
      <c r="F941" s="45"/>
      <c r="G941" s="56"/>
      <c r="H941" s="83"/>
      <c r="I941" s="35" t="str">
        <f t="shared" si="58"/>
        <v/>
      </c>
    </row>
    <row r="942" spans="1:9">
      <c r="A942" s="10" t="str">
        <f t="shared" si="59"/>
        <v/>
      </c>
      <c r="B942" s="53"/>
      <c r="C942" s="28" t="str">
        <f t="shared" si="56"/>
        <v/>
      </c>
      <c r="D942" s="28" t="str">
        <f t="shared" si="57"/>
        <v/>
      </c>
      <c r="E942" s="77"/>
      <c r="F942" s="45"/>
      <c r="G942" s="56"/>
      <c r="H942" s="83"/>
      <c r="I942" s="35" t="str">
        <f t="shared" si="58"/>
        <v/>
      </c>
    </row>
    <row r="943" spans="1:9">
      <c r="A943" s="10" t="str">
        <f t="shared" si="59"/>
        <v/>
      </c>
      <c r="B943" s="53"/>
      <c r="C943" s="28" t="str">
        <f t="shared" si="56"/>
        <v/>
      </c>
      <c r="D943" s="28" t="str">
        <f t="shared" si="57"/>
        <v/>
      </c>
      <c r="E943" s="77"/>
      <c r="F943" s="45"/>
      <c r="G943" s="56"/>
      <c r="H943" s="83"/>
      <c r="I943" s="35" t="str">
        <f t="shared" si="58"/>
        <v/>
      </c>
    </row>
    <row r="944" spans="1:9">
      <c r="A944" s="10" t="str">
        <f t="shared" si="59"/>
        <v/>
      </c>
      <c r="B944" s="53"/>
      <c r="C944" s="28" t="str">
        <f t="shared" si="56"/>
        <v/>
      </c>
      <c r="D944" s="28" t="str">
        <f t="shared" si="57"/>
        <v/>
      </c>
      <c r="E944" s="77"/>
      <c r="F944" s="45"/>
      <c r="G944" s="56"/>
      <c r="H944" s="83"/>
      <c r="I944" s="35" t="str">
        <f t="shared" si="58"/>
        <v/>
      </c>
    </row>
    <row r="945" spans="1:9">
      <c r="A945" s="10" t="str">
        <f t="shared" si="59"/>
        <v/>
      </c>
      <c r="B945" s="53"/>
      <c r="C945" s="28" t="str">
        <f t="shared" si="56"/>
        <v/>
      </c>
      <c r="D945" s="28" t="str">
        <f t="shared" si="57"/>
        <v/>
      </c>
      <c r="E945" s="77"/>
      <c r="F945" s="45"/>
      <c r="G945" s="56"/>
      <c r="H945" s="83"/>
      <c r="I945" s="35" t="str">
        <f t="shared" si="58"/>
        <v/>
      </c>
    </row>
    <row r="946" spans="1:9">
      <c r="A946" s="10" t="str">
        <f t="shared" si="59"/>
        <v/>
      </c>
      <c r="B946" s="53"/>
      <c r="C946" s="28" t="str">
        <f t="shared" si="56"/>
        <v/>
      </c>
      <c r="D946" s="28" t="str">
        <f t="shared" si="57"/>
        <v/>
      </c>
      <c r="E946" s="77"/>
      <c r="F946" s="45"/>
      <c r="G946" s="56"/>
      <c r="H946" s="83"/>
      <c r="I946" s="35" t="str">
        <f t="shared" si="58"/>
        <v/>
      </c>
    </row>
    <row r="947" spans="1:9">
      <c r="A947" s="10" t="str">
        <f t="shared" si="59"/>
        <v/>
      </c>
      <c r="B947" s="53"/>
      <c r="C947" s="28" t="str">
        <f t="shared" si="56"/>
        <v/>
      </c>
      <c r="D947" s="28" t="str">
        <f t="shared" si="57"/>
        <v/>
      </c>
      <c r="E947" s="77"/>
      <c r="F947" s="45"/>
      <c r="G947" s="56"/>
      <c r="H947" s="83"/>
      <c r="I947" s="35" t="str">
        <f t="shared" si="58"/>
        <v/>
      </c>
    </row>
    <row r="948" spans="1:9">
      <c r="A948" s="10" t="str">
        <f t="shared" si="59"/>
        <v/>
      </c>
      <c r="B948" s="53"/>
      <c r="C948" s="28" t="str">
        <f t="shared" si="56"/>
        <v/>
      </c>
      <c r="D948" s="28" t="str">
        <f t="shared" si="57"/>
        <v/>
      </c>
      <c r="E948" s="77"/>
      <c r="F948" s="45"/>
      <c r="G948" s="56"/>
      <c r="H948" s="83"/>
      <c r="I948" s="35" t="str">
        <f t="shared" si="58"/>
        <v/>
      </c>
    </row>
    <row r="949" spans="1:9">
      <c r="A949" s="10" t="str">
        <f t="shared" si="59"/>
        <v/>
      </c>
      <c r="B949" s="53"/>
      <c r="C949" s="28" t="str">
        <f t="shared" si="56"/>
        <v/>
      </c>
      <c r="D949" s="28" t="str">
        <f t="shared" si="57"/>
        <v/>
      </c>
      <c r="E949" s="77"/>
      <c r="F949" s="45"/>
      <c r="G949" s="56"/>
      <c r="H949" s="83"/>
      <c r="I949" s="35" t="str">
        <f t="shared" si="58"/>
        <v/>
      </c>
    </row>
    <row r="950" spans="1:9">
      <c r="A950" s="10" t="str">
        <f t="shared" si="59"/>
        <v/>
      </c>
      <c r="B950" s="53"/>
      <c r="C950" s="28" t="str">
        <f t="shared" si="56"/>
        <v/>
      </c>
      <c r="D950" s="28" t="str">
        <f t="shared" si="57"/>
        <v/>
      </c>
      <c r="E950" s="77"/>
      <c r="F950" s="45"/>
      <c r="G950" s="56"/>
      <c r="H950" s="83"/>
      <c r="I950" s="35" t="str">
        <f t="shared" si="58"/>
        <v/>
      </c>
    </row>
    <row r="951" spans="1:9">
      <c r="A951" s="10" t="str">
        <f t="shared" si="59"/>
        <v/>
      </c>
      <c r="B951" s="53"/>
      <c r="C951" s="28" t="str">
        <f t="shared" si="56"/>
        <v/>
      </c>
      <c r="D951" s="28" t="str">
        <f t="shared" si="57"/>
        <v/>
      </c>
      <c r="E951" s="77"/>
      <c r="F951" s="45"/>
      <c r="G951" s="56"/>
      <c r="H951" s="83"/>
      <c r="I951" s="35" t="str">
        <f t="shared" si="58"/>
        <v/>
      </c>
    </row>
    <row r="952" spans="1:9">
      <c r="A952" s="10" t="str">
        <f t="shared" si="59"/>
        <v/>
      </c>
      <c r="B952" s="53"/>
      <c r="C952" s="28" t="str">
        <f t="shared" si="56"/>
        <v/>
      </c>
      <c r="D952" s="28" t="str">
        <f t="shared" si="57"/>
        <v/>
      </c>
      <c r="E952" s="77"/>
      <c r="F952" s="45"/>
      <c r="G952" s="56"/>
      <c r="H952" s="83"/>
      <c r="I952" s="35" t="str">
        <f t="shared" si="58"/>
        <v/>
      </c>
    </row>
    <row r="953" spans="1:9">
      <c r="A953" s="10" t="str">
        <f t="shared" si="59"/>
        <v/>
      </c>
      <c r="B953" s="53"/>
      <c r="C953" s="28" t="str">
        <f t="shared" si="56"/>
        <v/>
      </c>
      <c r="D953" s="28" t="str">
        <f t="shared" si="57"/>
        <v/>
      </c>
      <c r="E953" s="77"/>
      <c r="F953" s="45"/>
      <c r="G953" s="56"/>
      <c r="H953" s="83"/>
      <c r="I953" s="35" t="str">
        <f t="shared" si="58"/>
        <v/>
      </c>
    </row>
    <row r="954" spans="1:9">
      <c r="A954" s="10" t="str">
        <f t="shared" si="59"/>
        <v/>
      </c>
      <c r="B954" s="53"/>
      <c r="C954" s="28" t="str">
        <f t="shared" si="56"/>
        <v/>
      </c>
      <c r="D954" s="28" t="str">
        <f t="shared" si="57"/>
        <v/>
      </c>
      <c r="E954" s="77"/>
      <c r="F954" s="45"/>
      <c r="G954" s="56"/>
      <c r="H954" s="83"/>
      <c r="I954" s="35" t="str">
        <f t="shared" si="58"/>
        <v/>
      </c>
    </row>
    <row r="955" spans="1:9">
      <c r="A955" s="10" t="str">
        <f t="shared" si="59"/>
        <v/>
      </c>
      <c r="B955" s="53"/>
      <c r="C955" s="28" t="str">
        <f t="shared" si="56"/>
        <v/>
      </c>
      <c r="D955" s="28" t="str">
        <f t="shared" si="57"/>
        <v/>
      </c>
      <c r="E955" s="77"/>
      <c r="F955" s="45"/>
      <c r="G955" s="56"/>
      <c r="H955" s="83"/>
      <c r="I955" s="35" t="str">
        <f t="shared" si="58"/>
        <v/>
      </c>
    </row>
    <row r="956" spans="1:9">
      <c r="A956" s="10" t="str">
        <f t="shared" si="59"/>
        <v/>
      </c>
      <c r="B956" s="53"/>
      <c r="C956" s="28" t="str">
        <f t="shared" si="56"/>
        <v/>
      </c>
      <c r="D956" s="28" t="str">
        <f t="shared" si="57"/>
        <v/>
      </c>
      <c r="E956" s="77"/>
      <c r="F956" s="45"/>
      <c r="G956" s="56"/>
      <c r="H956" s="83"/>
      <c r="I956" s="35" t="str">
        <f t="shared" si="58"/>
        <v/>
      </c>
    </row>
    <row r="957" spans="1:9">
      <c r="A957" s="10" t="str">
        <f t="shared" si="59"/>
        <v/>
      </c>
      <c r="B957" s="53"/>
      <c r="C957" s="28" t="str">
        <f t="shared" si="56"/>
        <v/>
      </c>
      <c r="D957" s="28" t="str">
        <f t="shared" si="57"/>
        <v/>
      </c>
      <c r="E957" s="77"/>
      <c r="F957" s="45"/>
      <c r="G957" s="56"/>
      <c r="H957" s="83"/>
      <c r="I957" s="35" t="str">
        <f t="shared" si="58"/>
        <v/>
      </c>
    </row>
    <row r="958" spans="1:9">
      <c r="A958" s="10" t="str">
        <f t="shared" si="59"/>
        <v/>
      </c>
      <c r="B958" s="53"/>
      <c r="C958" s="28" t="str">
        <f t="shared" si="56"/>
        <v/>
      </c>
      <c r="D958" s="28" t="str">
        <f t="shared" si="57"/>
        <v/>
      </c>
      <c r="E958" s="77"/>
      <c r="F958" s="45"/>
      <c r="G958" s="56"/>
      <c r="H958" s="83"/>
      <c r="I958" s="35" t="str">
        <f t="shared" si="58"/>
        <v/>
      </c>
    </row>
    <row r="959" spans="1:9">
      <c r="A959" s="10" t="str">
        <f t="shared" si="59"/>
        <v/>
      </c>
      <c r="B959" s="53"/>
      <c r="C959" s="28" t="str">
        <f t="shared" si="56"/>
        <v/>
      </c>
      <c r="D959" s="28" t="str">
        <f t="shared" si="57"/>
        <v/>
      </c>
      <c r="E959" s="77"/>
      <c r="F959" s="45"/>
      <c r="G959" s="56"/>
      <c r="H959" s="83"/>
      <c r="I959" s="35" t="str">
        <f t="shared" si="58"/>
        <v/>
      </c>
    </row>
    <row r="960" spans="1:9">
      <c r="A960" s="10" t="str">
        <f t="shared" si="59"/>
        <v/>
      </c>
      <c r="B960" s="53"/>
      <c r="C960" s="28" t="str">
        <f t="shared" si="56"/>
        <v/>
      </c>
      <c r="D960" s="28" t="str">
        <f t="shared" si="57"/>
        <v/>
      </c>
      <c r="E960" s="77"/>
      <c r="F960" s="45"/>
      <c r="G960" s="56"/>
      <c r="H960" s="83"/>
      <c r="I960" s="35" t="str">
        <f t="shared" si="58"/>
        <v/>
      </c>
    </row>
    <row r="961" spans="1:9">
      <c r="A961" s="10" t="str">
        <f t="shared" si="59"/>
        <v/>
      </c>
      <c r="B961" s="53"/>
      <c r="C961" s="28" t="str">
        <f t="shared" si="56"/>
        <v/>
      </c>
      <c r="D961" s="28" t="str">
        <f t="shared" si="57"/>
        <v/>
      </c>
      <c r="E961" s="77"/>
      <c r="F961" s="45"/>
      <c r="G961" s="56"/>
      <c r="H961" s="83"/>
      <c r="I961" s="35" t="str">
        <f t="shared" si="58"/>
        <v/>
      </c>
    </row>
    <row r="962" spans="1:9">
      <c r="A962" s="10" t="str">
        <f t="shared" si="59"/>
        <v/>
      </c>
      <c r="B962" s="53"/>
      <c r="C962" s="28" t="str">
        <f t="shared" si="56"/>
        <v/>
      </c>
      <c r="D962" s="28" t="str">
        <f t="shared" si="57"/>
        <v/>
      </c>
      <c r="E962" s="77"/>
      <c r="F962" s="45"/>
      <c r="G962" s="56"/>
      <c r="H962" s="83"/>
      <c r="I962" s="35" t="str">
        <f t="shared" si="58"/>
        <v/>
      </c>
    </row>
    <row r="963" spans="1:9">
      <c r="A963" s="10" t="str">
        <f t="shared" si="59"/>
        <v/>
      </c>
      <c r="B963" s="53"/>
      <c r="C963" s="28" t="str">
        <f t="shared" ref="C963:C1026" si="60">IF(B963=0,"",TEXT(B963,"mmmm"))</f>
        <v/>
      </c>
      <c r="D963" s="28" t="str">
        <f t="shared" ref="D963:D1026" si="61">IF(B963=0,"",TEXT(B963,"yyyy"))</f>
        <v/>
      </c>
      <c r="E963" s="77"/>
      <c r="F963" s="45"/>
      <c r="G963" s="56"/>
      <c r="H963" s="83"/>
      <c r="I963" s="35" t="str">
        <f t="shared" ref="I963:I1026" si="62">IF(G963*H963=0,"",G963*H963)</f>
        <v/>
      </c>
    </row>
    <row r="964" spans="1:9">
      <c r="A964" s="10" t="str">
        <f t="shared" ref="A964:A1027" si="63">IF(E964&gt;0,A963+1,"")</f>
        <v/>
      </c>
      <c r="B964" s="53"/>
      <c r="C964" s="28" t="str">
        <f t="shared" si="60"/>
        <v/>
      </c>
      <c r="D964" s="28" t="str">
        <f t="shared" si="61"/>
        <v/>
      </c>
      <c r="E964" s="77"/>
      <c r="F964" s="45"/>
      <c r="G964" s="56"/>
      <c r="H964" s="83"/>
      <c r="I964" s="35" t="str">
        <f t="shared" si="62"/>
        <v/>
      </c>
    </row>
    <row r="965" spans="1:9">
      <c r="A965" s="10" t="str">
        <f t="shared" si="63"/>
        <v/>
      </c>
      <c r="B965" s="53"/>
      <c r="C965" s="28" t="str">
        <f t="shared" si="60"/>
        <v/>
      </c>
      <c r="D965" s="28" t="str">
        <f t="shared" si="61"/>
        <v/>
      </c>
      <c r="E965" s="77"/>
      <c r="F965" s="45"/>
      <c r="G965" s="56"/>
      <c r="H965" s="83"/>
      <c r="I965" s="35" t="str">
        <f t="shared" si="62"/>
        <v/>
      </c>
    </row>
    <row r="966" spans="1:9">
      <c r="A966" s="10" t="str">
        <f t="shared" si="63"/>
        <v/>
      </c>
      <c r="B966" s="53"/>
      <c r="C966" s="28" t="str">
        <f t="shared" si="60"/>
        <v/>
      </c>
      <c r="D966" s="28" t="str">
        <f t="shared" si="61"/>
        <v/>
      </c>
      <c r="E966" s="77"/>
      <c r="F966" s="45"/>
      <c r="G966" s="56"/>
      <c r="H966" s="83"/>
      <c r="I966" s="35" t="str">
        <f t="shared" si="62"/>
        <v/>
      </c>
    </row>
    <row r="967" spans="1:9">
      <c r="A967" s="10" t="str">
        <f t="shared" si="63"/>
        <v/>
      </c>
      <c r="B967" s="53"/>
      <c r="C967" s="28" t="str">
        <f t="shared" si="60"/>
        <v/>
      </c>
      <c r="D967" s="28" t="str">
        <f t="shared" si="61"/>
        <v/>
      </c>
      <c r="E967" s="77"/>
      <c r="F967" s="45"/>
      <c r="G967" s="56"/>
      <c r="H967" s="83"/>
      <c r="I967" s="35" t="str">
        <f t="shared" si="62"/>
        <v/>
      </c>
    </row>
    <row r="968" spans="1:9">
      <c r="A968" s="10" t="str">
        <f t="shared" si="63"/>
        <v/>
      </c>
      <c r="B968" s="53"/>
      <c r="C968" s="28" t="str">
        <f t="shared" si="60"/>
        <v/>
      </c>
      <c r="D968" s="28" t="str">
        <f t="shared" si="61"/>
        <v/>
      </c>
      <c r="E968" s="77"/>
      <c r="F968" s="45"/>
      <c r="G968" s="56"/>
      <c r="H968" s="83"/>
      <c r="I968" s="35" t="str">
        <f t="shared" si="62"/>
        <v/>
      </c>
    </row>
    <row r="969" spans="1:9">
      <c r="A969" s="10" t="str">
        <f t="shared" si="63"/>
        <v/>
      </c>
      <c r="B969" s="53"/>
      <c r="C969" s="28" t="str">
        <f t="shared" si="60"/>
        <v/>
      </c>
      <c r="D969" s="28" t="str">
        <f t="shared" si="61"/>
        <v/>
      </c>
      <c r="E969" s="77"/>
      <c r="F969" s="45"/>
      <c r="G969" s="56"/>
      <c r="H969" s="83"/>
      <c r="I969" s="35" t="str">
        <f t="shared" si="62"/>
        <v/>
      </c>
    </row>
    <row r="970" spans="1:9">
      <c r="A970" s="10" t="str">
        <f t="shared" si="63"/>
        <v/>
      </c>
      <c r="B970" s="53"/>
      <c r="C970" s="28" t="str">
        <f t="shared" si="60"/>
        <v/>
      </c>
      <c r="D970" s="28" t="str">
        <f t="shared" si="61"/>
        <v/>
      </c>
      <c r="E970" s="77"/>
      <c r="F970" s="45"/>
      <c r="G970" s="56"/>
      <c r="H970" s="83"/>
      <c r="I970" s="35" t="str">
        <f t="shared" si="62"/>
        <v/>
      </c>
    </row>
    <row r="971" spans="1:9">
      <c r="A971" s="10" t="str">
        <f t="shared" si="63"/>
        <v/>
      </c>
      <c r="B971" s="53"/>
      <c r="C971" s="28" t="str">
        <f t="shared" si="60"/>
        <v/>
      </c>
      <c r="D971" s="28" t="str">
        <f t="shared" si="61"/>
        <v/>
      </c>
      <c r="E971" s="77"/>
      <c r="F971" s="45"/>
      <c r="G971" s="56"/>
      <c r="H971" s="83"/>
      <c r="I971" s="35" t="str">
        <f t="shared" si="62"/>
        <v/>
      </c>
    </row>
    <row r="972" spans="1:9">
      <c r="A972" s="10" t="str">
        <f t="shared" si="63"/>
        <v/>
      </c>
      <c r="B972" s="53"/>
      <c r="C972" s="28" t="str">
        <f t="shared" si="60"/>
        <v/>
      </c>
      <c r="D972" s="28" t="str">
        <f t="shared" si="61"/>
        <v/>
      </c>
      <c r="E972" s="77"/>
      <c r="F972" s="45"/>
      <c r="G972" s="56"/>
      <c r="H972" s="83"/>
      <c r="I972" s="35" t="str">
        <f t="shared" si="62"/>
        <v/>
      </c>
    </row>
    <row r="973" spans="1:9">
      <c r="A973" s="10" t="str">
        <f t="shared" si="63"/>
        <v/>
      </c>
      <c r="B973" s="53"/>
      <c r="C973" s="28" t="str">
        <f t="shared" si="60"/>
        <v/>
      </c>
      <c r="D973" s="28" t="str">
        <f t="shared" si="61"/>
        <v/>
      </c>
      <c r="E973" s="77"/>
      <c r="F973" s="45"/>
      <c r="G973" s="56"/>
      <c r="H973" s="83"/>
      <c r="I973" s="35" t="str">
        <f t="shared" si="62"/>
        <v/>
      </c>
    </row>
    <row r="974" spans="1:9">
      <c r="A974" s="10" t="str">
        <f t="shared" si="63"/>
        <v/>
      </c>
      <c r="B974" s="53"/>
      <c r="C974" s="28" t="str">
        <f t="shared" si="60"/>
        <v/>
      </c>
      <c r="D974" s="28" t="str">
        <f t="shared" si="61"/>
        <v/>
      </c>
      <c r="E974" s="77"/>
      <c r="F974" s="45"/>
      <c r="G974" s="56"/>
      <c r="H974" s="83"/>
      <c r="I974" s="35" t="str">
        <f t="shared" si="62"/>
        <v/>
      </c>
    </row>
    <row r="975" spans="1:9">
      <c r="A975" s="10" t="str">
        <f t="shared" si="63"/>
        <v/>
      </c>
      <c r="B975" s="53"/>
      <c r="C975" s="28" t="str">
        <f t="shared" si="60"/>
        <v/>
      </c>
      <c r="D975" s="28" t="str">
        <f t="shared" si="61"/>
        <v/>
      </c>
      <c r="E975" s="77"/>
      <c r="F975" s="45"/>
      <c r="G975" s="56"/>
      <c r="H975" s="83"/>
      <c r="I975" s="35" t="str">
        <f t="shared" si="62"/>
        <v/>
      </c>
    </row>
    <row r="976" spans="1:9">
      <c r="A976" s="10" t="str">
        <f t="shared" si="63"/>
        <v/>
      </c>
      <c r="B976" s="53"/>
      <c r="C976" s="28" t="str">
        <f t="shared" si="60"/>
        <v/>
      </c>
      <c r="D976" s="28" t="str">
        <f t="shared" si="61"/>
        <v/>
      </c>
      <c r="E976" s="77"/>
      <c r="F976" s="45"/>
      <c r="G976" s="56"/>
      <c r="H976" s="83"/>
      <c r="I976" s="35" t="str">
        <f t="shared" si="62"/>
        <v/>
      </c>
    </row>
    <row r="977" spans="1:9">
      <c r="A977" s="10" t="str">
        <f t="shared" si="63"/>
        <v/>
      </c>
      <c r="B977" s="53"/>
      <c r="C977" s="28" t="str">
        <f t="shared" si="60"/>
        <v/>
      </c>
      <c r="D977" s="28" t="str">
        <f t="shared" si="61"/>
        <v/>
      </c>
      <c r="E977" s="77"/>
      <c r="F977" s="45"/>
      <c r="G977" s="56"/>
      <c r="H977" s="83"/>
      <c r="I977" s="35" t="str">
        <f t="shared" si="62"/>
        <v/>
      </c>
    </row>
    <row r="978" spans="1:9">
      <c r="A978" s="10" t="str">
        <f t="shared" si="63"/>
        <v/>
      </c>
      <c r="B978" s="53"/>
      <c r="C978" s="28" t="str">
        <f t="shared" si="60"/>
        <v/>
      </c>
      <c r="D978" s="28" t="str">
        <f t="shared" si="61"/>
        <v/>
      </c>
      <c r="E978" s="77"/>
      <c r="F978" s="45"/>
      <c r="G978" s="56"/>
      <c r="H978" s="83"/>
      <c r="I978" s="35" t="str">
        <f t="shared" si="62"/>
        <v/>
      </c>
    </row>
    <row r="979" spans="1:9">
      <c r="A979" s="10" t="str">
        <f t="shared" si="63"/>
        <v/>
      </c>
      <c r="B979" s="53"/>
      <c r="C979" s="28" t="str">
        <f t="shared" si="60"/>
        <v/>
      </c>
      <c r="D979" s="28" t="str">
        <f t="shared" si="61"/>
        <v/>
      </c>
      <c r="E979" s="77"/>
      <c r="F979" s="45"/>
      <c r="G979" s="56"/>
      <c r="H979" s="83"/>
      <c r="I979" s="35" t="str">
        <f t="shared" si="62"/>
        <v/>
      </c>
    </row>
    <row r="980" spans="1:9">
      <c r="A980" s="10" t="str">
        <f t="shared" si="63"/>
        <v/>
      </c>
      <c r="B980" s="53"/>
      <c r="C980" s="28" t="str">
        <f t="shared" si="60"/>
        <v/>
      </c>
      <c r="D980" s="28" t="str">
        <f t="shared" si="61"/>
        <v/>
      </c>
      <c r="E980" s="77"/>
      <c r="F980" s="45"/>
      <c r="G980" s="56"/>
      <c r="H980" s="83"/>
      <c r="I980" s="35" t="str">
        <f t="shared" si="62"/>
        <v/>
      </c>
    </row>
    <row r="981" spans="1:9">
      <c r="A981" s="10" t="str">
        <f t="shared" si="63"/>
        <v/>
      </c>
      <c r="B981" s="53"/>
      <c r="C981" s="28" t="str">
        <f t="shared" si="60"/>
        <v/>
      </c>
      <c r="D981" s="28" t="str">
        <f t="shared" si="61"/>
        <v/>
      </c>
      <c r="E981" s="77"/>
      <c r="F981" s="45"/>
      <c r="G981" s="56"/>
      <c r="H981" s="83"/>
      <c r="I981" s="35" t="str">
        <f t="shared" si="62"/>
        <v/>
      </c>
    </row>
    <row r="982" spans="1:9">
      <c r="A982" s="10" t="str">
        <f t="shared" si="63"/>
        <v/>
      </c>
      <c r="B982" s="53"/>
      <c r="C982" s="28" t="str">
        <f t="shared" si="60"/>
        <v/>
      </c>
      <c r="D982" s="28" t="str">
        <f t="shared" si="61"/>
        <v/>
      </c>
      <c r="E982" s="77"/>
      <c r="F982" s="45"/>
      <c r="G982" s="56"/>
      <c r="H982" s="83"/>
      <c r="I982" s="35" t="str">
        <f t="shared" si="62"/>
        <v/>
      </c>
    </row>
    <row r="983" spans="1:9">
      <c r="A983" s="10" t="str">
        <f t="shared" si="63"/>
        <v/>
      </c>
      <c r="B983" s="53"/>
      <c r="C983" s="28" t="str">
        <f t="shared" si="60"/>
        <v/>
      </c>
      <c r="D983" s="28" t="str">
        <f t="shared" si="61"/>
        <v/>
      </c>
      <c r="E983" s="77"/>
      <c r="F983" s="45"/>
      <c r="G983" s="56"/>
      <c r="H983" s="83"/>
      <c r="I983" s="35" t="str">
        <f t="shared" si="62"/>
        <v/>
      </c>
    </row>
    <row r="984" spans="1:9">
      <c r="A984" s="10" t="str">
        <f t="shared" si="63"/>
        <v/>
      </c>
      <c r="B984" s="53"/>
      <c r="C984" s="28" t="str">
        <f t="shared" si="60"/>
        <v/>
      </c>
      <c r="D984" s="28" t="str">
        <f t="shared" si="61"/>
        <v/>
      </c>
      <c r="E984" s="77"/>
      <c r="F984" s="45"/>
      <c r="G984" s="56"/>
      <c r="H984" s="83"/>
      <c r="I984" s="35" t="str">
        <f t="shared" si="62"/>
        <v/>
      </c>
    </row>
    <row r="985" spans="1:9">
      <c r="A985" s="10" t="str">
        <f t="shared" si="63"/>
        <v/>
      </c>
      <c r="B985" s="53"/>
      <c r="C985" s="28" t="str">
        <f t="shared" si="60"/>
        <v/>
      </c>
      <c r="D985" s="28" t="str">
        <f t="shared" si="61"/>
        <v/>
      </c>
      <c r="E985" s="77"/>
      <c r="F985" s="45"/>
      <c r="G985" s="56"/>
      <c r="H985" s="83"/>
      <c r="I985" s="35" t="str">
        <f t="shared" si="62"/>
        <v/>
      </c>
    </row>
    <row r="986" spans="1:9">
      <c r="A986" s="10" t="str">
        <f t="shared" si="63"/>
        <v/>
      </c>
      <c r="B986" s="53"/>
      <c r="C986" s="28" t="str">
        <f t="shared" si="60"/>
        <v/>
      </c>
      <c r="D986" s="28" t="str">
        <f t="shared" si="61"/>
        <v/>
      </c>
      <c r="E986" s="77"/>
      <c r="F986" s="45"/>
      <c r="G986" s="56"/>
      <c r="H986" s="83"/>
      <c r="I986" s="35" t="str">
        <f t="shared" si="62"/>
        <v/>
      </c>
    </row>
    <row r="987" spans="1:9">
      <c r="A987" s="10" t="str">
        <f t="shared" si="63"/>
        <v/>
      </c>
      <c r="B987" s="53"/>
      <c r="C987" s="28" t="str">
        <f t="shared" si="60"/>
        <v/>
      </c>
      <c r="D987" s="28" t="str">
        <f t="shared" si="61"/>
        <v/>
      </c>
      <c r="E987" s="77"/>
      <c r="F987" s="45"/>
      <c r="G987" s="56"/>
      <c r="H987" s="83"/>
      <c r="I987" s="35" t="str">
        <f t="shared" si="62"/>
        <v/>
      </c>
    </row>
    <row r="988" spans="1:9">
      <c r="A988" s="10" t="str">
        <f t="shared" si="63"/>
        <v/>
      </c>
      <c r="B988" s="53"/>
      <c r="C988" s="28" t="str">
        <f t="shared" si="60"/>
        <v/>
      </c>
      <c r="D988" s="28" t="str">
        <f t="shared" si="61"/>
        <v/>
      </c>
      <c r="E988" s="77"/>
      <c r="F988" s="45"/>
      <c r="G988" s="56"/>
      <c r="H988" s="83"/>
      <c r="I988" s="35" t="str">
        <f t="shared" si="62"/>
        <v/>
      </c>
    </row>
    <row r="989" spans="1:9">
      <c r="A989" s="10" t="str">
        <f t="shared" si="63"/>
        <v/>
      </c>
      <c r="B989" s="53"/>
      <c r="C989" s="28" t="str">
        <f t="shared" si="60"/>
        <v/>
      </c>
      <c r="D989" s="28" t="str">
        <f t="shared" si="61"/>
        <v/>
      </c>
      <c r="E989" s="77"/>
      <c r="F989" s="45"/>
      <c r="G989" s="56"/>
      <c r="H989" s="83"/>
      <c r="I989" s="35" t="str">
        <f t="shared" si="62"/>
        <v/>
      </c>
    </row>
    <row r="990" spans="1:9">
      <c r="A990" s="10" t="str">
        <f t="shared" si="63"/>
        <v/>
      </c>
      <c r="B990" s="53"/>
      <c r="C990" s="28" t="str">
        <f t="shared" si="60"/>
        <v/>
      </c>
      <c r="D990" s="28" t="str">
        <f t="shared" si="61"/>
        <v/>
      </c>
      <c r="E990" s="77"/>
      <c r="F990" s="45"/>
      <c r="G990" s="56"/>
      <c r="H990" s="83"/>
      <c r="I990" s="35" t="str">
        <f t="shared" si="62"/>
        <v/>
      </c>
    </row>
    <row r="991" spans="1:9">
      <c r="A991" s="10" t="str">
        <f t="shared" si="63"/>
        <v/>
      </c>
      <c r="B991" s="53"/>
      <c r="C991" s="28" t="str">
        <f t="shared" si="60"/>
        <v/>
      </c>
      <c r="D991" s="28" t="str">
        <f t="shared" si="61"/>
        <v/>
      </c>
      <c r="E991" s="77"/>
      <c r="F991" s="45"/>
      <c r="G991" s="56"/>
      <c r="H991" s="83"/>
      <c r="I991" s="35" t="str">
        <f t="shared" si="62"/>
        <v/>
      </c>
    </row>
    <row r="992" spans="1:9">
      <c r="A992" s="10" t="str">
        <f t="shared" si="63"/>
        <v/>
      </c>
      <c r="B992" s="53"/>
      <c r="C992" s="28" t="str">
        <f t="shared" si="60"/>
        <v/>
      </c>
      <c r="D992" s="28" t="str">
        <f t="shared" si="61"/>
        <v/>
      </c>
      <c r="E992" s="77"/>
      <c r="F992" s="45"/>
      <c r="G992" s="56"/>
      <c r="H992" s="83"/>
      <c r="I992" s="35" t="str">
        <f t="shared" si="62"/>
        <v/>
      </c>
    </row>
    <row r="993" spans="1:9">
      <c r="A993" s="10" t="str">
        <f t="shared" si="63"/>
        <v/>
      </c>
      <c r="B993" s="53"/>
      <c r="C993" s="28" t="str">
        <f t="shared" si="60"/>
        <v/>
      </c>
      <c r="D993" s="28" t="str">
        <f t="shared" si="61"/>
        <v/>
      </c>
      <c r="E993" s="77"/>
      <c r="F993" s="45"/>
      <c r="G993" s="56"/>
      <c r="H993" s="83"/>
      <c r="I993" s="35" t="str">
        <f t="shared" si="62"/>
        <v/>
      </c>
    </row>
    <row r="994" spans="1:9">
      <c r="A994" s="10" t="str">
        <f t="shared" si="63"/>
        <v/>
      </c>
      <c r="B994" s="53"/>
      <c r="C994" s="28" t="str">
        <f t="shared" si="60"/>
        <v/>
      </c>
      <c r="D994" s="28" t="str">
        <f t="shared" si="61"/>
        <v/>
      </c>
      <c r="E994" s="77"/>
      <c r="F994" s="45"/>
      <c r="G994" s="56"/>
      <c r="H994" s="83"/>
      <c r="I994" s="35" t="str">
        <f t="shared" si="62"/>
        <v/>
      </c>
    </row>
    <row r="995" spans="1:9">
      <c r="A995" s="10" t="str">
        <f t="shared" si="63"/>
        <v/>
      </c>
      <c r="B995" s="53"/>
      <c r="C995" s="28" t="str">
        <f t="shared" si="60"/>
        <v/>
      </c>
      <c r="D995" s="28" t="str">
        <f t="shared" si="61"/>
        <v/>
      </c>
      <c r="E995" s="77"/>
      <c r="F995" s="45"/>
      <c r="G995" s="56"/>
      <c r="H995" s="83"/>
      <c r="I995" s="35" t="str">
        <f t="shared" si="62"/>
        <v/>
      </c>
    </row>
    <row r="996" spans="1:9">
      <c r="A996" s="10" t="str">
        <f t="shared" si="63"/>
        <v/>
      </c>
      <c r="B996" s="53"/>
      <c r="C996" s="28" t="str">
        <f t="shared" si="60"/>
        <v/>
      </c>
      <c r="D996" s="28" t="str">
        <f t="shared" si="61"/>
        <v/>
      </c>
      <c r="E996" s="77"/>
      <c r="F996" s="45"/>
      <c r="G996" s="56"/>
      <c r="H996" s="83"/>
      <c r="I996" s="35" t="str">
        <f t="shared" si="62"/>
        <v/>
      </c>
    </row>
    <row r="997" spans="1:9">
      <c r="A997" s="10" t="str">
        <f t="shared" si="63"/>
        <v/>
      </c>
      <c r="B997" s="53"/>
      <c r="C997" s="28" t="str">
        <f t="shared" si="60"/>
        <v/>
      </c>
      <c r="D997" s="28" t="str">
        <f t="shared" si="61"/>
        <v/>
      </c>
      <c r="E997" s="77"/>
      <c r="F997" s="45"/>
      <c r="G997" s="56"/>
      <c r="H997" s="83"/>
      <c r="I997" s="35" t="str">
        <f t="shared" si="62"/>
        <v/>
      </c>
    </row>
    <row r="998" spans="1:9">
      <c r="A998" s="10" t="str">
        <f t="shared" si="63"/>
        <v/>
      </c>
      <c r="B998" s="53"/>
      <c r="C998" s="28" t="str">
        <f t="shared" si="60"/>
        <v/>
      </c>
      <c r="D998" s="28" t="str">
        <f t="shared" si="61"/>
        <v/>
      </c>
      <c r="E998" s="77"/>
      <c r="F998" s="45"/>
      <c r="G998" s="56"/>
      <c r="H998" s="83"/>
      <c r="I998" s="35" t="str">
        <f t="shared" si="62"/>
        <v/>
      </c>
    </row>
    <row r="999" spans="1:9">
      <c r="A999" s="10" t="str">
        <f t="shared" si="63"/>
        <v/>
      </c>
      <c r="B999" s="53"/>
      <c r="C999" s="28" t="str">
        <f t="shared" si="60"/>
        <v/>
      </c>
      <c r="D999" s="28" t="str">
        <f t="shared" si="61"/>
        <v/>
      </c>
      <c r="E999" s="77"/>
      <c r="F999" s="45"/>
      <c r="G999" s="56"/>
      <c r="H999" s="83"/>
      <c r="I999" s="35" t="str">
        <f t="shared" si="62"/>
        <v/>
      </c>
    </row>
    <row r="1000" spans="1:9">
      <c r="A1000" s="10" t="str">
        <f t="shared" si="63"/>
        <v/>
      </c>
      <c r="B1000" s="53"/>
      <c r="C1000" s="28" t="str">
        <f t="shared" si="60"/>
        <v/>
      </c>
      <c r="D1000" s="28" t="str">
        <f t="shared" si="61"/>
        <v/>
      </c>
      <c r="E1000" s="77"/>
      <c r="F1000" s="45"/>
      <c r="G1000" s="56"/>
      <c r="H1000" s="83"/>
      <c r="I1000" s="35" t="str">
        <f t="shared" si="62"/>
        <v/>
      </c>
    </row>
    <row r="1001" spans="1:9">
      <c r="A1001" s="10" t="str">
        <f t="shared" si="63"/>
        <v/>
      </c>
      <c r="B1001" s="53"/>
      <c r="C1001" s="28" t="str">
        <f t="shared" si="60"/>
        <v/>
      </c>
      <c r="D1001" s="28" t="str">
        <f t="shared" si="61"/>
        <v/>
      </c>
      <c r="E1001" s="77"/>
      <c r="F1001" s="45"/>
      <c r="G1001" s="56"/>
      <c r="H1001" s="83"/>
      <c r="I1001" s="35" t="str">
        <f t="shared" si="62"/>
        <v/>
      </c>
    </row>
    <row r="1002" spans="1:9">
      <c r="A1002" s="10" t="str">
        <f t="shared" si="63"/>
        <v/>
      </c>
      <c r="B1002" s="53"/>
      <c r="C1002" s="28" t="str">
        <f t="shared" si="60"/>
        <v/>
      </c>
      <c r="D1002" s="28" t="str">
        <f t="shared" si="61"/>
        <v/>
      </c>
      <c r="E1002" s="77"/>
      <c r="F1002" s="45"/>
      <c r="G1002" s="56"/>
      <c r="H1002" s="83"/>
      <c r="I1002" s="35" t="str">
        <f t="shared" si="62"/>
        <v/>
      </c>
    </row>
    <row r="1003" spans="1:9">
      <c r="A1003" s="10" t="str">
        <f t="shared" si="63"/>
        <v/>
      </c>
      <c r="B1003" s="53"/>
      <c r="C1003" s="28" t="str">
        <f t="shared" si="60"/>
        <v/>
      </c>
      <c r="D1003" s="28" t="str">
        <f t="shared" si="61"/>
        <v/>
      </c>
      <c r="E1003" s="77"/>
      <c r="F1003" s="45"/>
      <c r="G1003" s="56"/>
      <c r="H1003" s="83"/>
      <c r="I1003" s="35" t="str">
        <f t="shared" si="62"/>
        <v/>
      </c>
    </row>
    <row r="1004" spans="1:9">
      <c r="A1004" s="10" t="str">
        <f t="shared" si="63"/>
        <v/>
      </c>
      <c r="B1004" s="53"/>
      <c r="C1004" s="28" t="str">
        <f t="shared" si="60"/>
        <v/>
      </c>
      <c r="D1004" s="28" t="str">
        <f t="shared" si="61"/>
        <v/>
      </c>
      <c r="E1004" s="77"/>
      <c r="F1004" s="45"/>
      <c r="G1004" s="56"/>
      <c r="H1004" s="83"/>
      <c r="I1004" s="35" t="str">
        <f t="shared" si="62"/>
        <v/>
      </c>
    </row>
    <row r="1005" spans="1:9">
      <c r="A1005" s="10" t="str">
        <f t="shared" si="63"/>
        <v/>
      </c>
      <c r="B1005" s="53"/>
      <c r="C1005" s="28" t="str">
        <f t="shared" si="60"/>
        <v/>
      </c>
      <c r="D1005" s="28" t="str">
        <f t="shared" si="61"/>
        <v/>
      </c>
      <c r="E1005" s="77"/>
      <c r="F1005" s="45"/>
      <c r="G1005" s="56"/>
      <c r="H1005" s="83"/>
      <c r="I1005" s="35" t="str">
        <f t="shared" si="62"/>
        <v/>
      </c>
    </row>
    <row r="1006" spans="1:9">
      <c r="A1006" s="10" t="str">
        <f t="shared" si="63"/>
        <v/>
      </c>
      <c r="B1006" s="53"/>
      <c r="C1006" s="28" t="str">
        <f t="shared" si="60"/>
        <v/>
      </c>
      <c r="D1006" s="28" t="str">
        <f t="shared" si="61"/>
        <v/>
      </c>
      <c r="E1006" s="77"/>
      <c r="F1006" s="45"/>
      <c r="G1006" s="56"/>
      <c r="H1006" s="83"/>
      <c r="I1006" s="35" t="str">
        <f t="shared" si="62"/>
        <v/>
      </c>
    </row>
    <row r="1007" spans="1:9">
      <c r="A1007" s="10" t="str">
        <f t="shared" si="63"/>
        <v/>
      </c>
      <c r="B1007" s="53"/>
      <c r="C1007" s="28" t="str">
        <f t="shared" si="60"/>
        <v/>
      </c>
      <c r="D1007" s="28" t="str">
        <f t="shared" si="61"/>
        <v/>
      </c>
      <c r="E1007" s="77"/>
      <c r="F1007" s="45"/>
      <c r="G1007" s="56"/>
      <c r="H1007" s="83"/>
      <c r="I1007" s="35" t="str">
        <f t="shared" si="62"/>
        <v/>
      </c>
    </row>
    <row r="1008" spans="1:9">
      <c r="A1008" s="10" t="str">
        <f t="shared" si="63"/>
        <v/>
      </c>
      <c r="B1008" s="53"/>
      <c r="C1008" s="28" t="str">
        <f t="shared" si="60"/>
        <v/>
      </c>
      <c r="D1008" s="28" t="str">
        <f t="shared" si="61"/>
        <v/>
      </c>
      <c r="E1008" s="77"/>
      <c r="F1008" s="45"/>
      <c r="G1008" s="56"/>
      <c r="H1008" s="83"/>
      <c r="I1008" s="35" t="str">
        <f t="shared" si="62"/>
        <v/>
      </c>
    </row>
    <row r="1009" spans="1:9">
      <c r="A1009" s="10" t="str">
        <f t="shared" si="63"/>
        <v/>
      </c>
      <c r="B1009" s="53"/>
      <c r="C1009" s="28" t="str">
        <f t="shared" si="60"/>
        <v/>
      </c>
      <c r="D1009" s="28" t="str">
        <f t="shared" si="61"/>
        <v/>
      </c>
      <c r="E1009" s="77"/>
      <c r="F1009" s="45"/>
      <c r="G1009" s="56"/>
      <c r="H1009" s="83"/>
      <c r="I1009" s="35" t="str">
        <f t="shared" si="62"/>
        <v/>
      </c>
    </row>
    <row r="1010" spans="1:9">
      <c r="A1010" s="10" t="str">
        <f t="shared" si="63"/>
        <v/>
      </c>
      <c r="B1010" s="53"/>
      <c r="C1010" s="28" t="str">
        <f t="shared" si="60"/>
        <v/>
      </c>
      <c r="D1010" s="28" t="str">
        <f t="shared" si="61"/>
        <v/>
      </c>
      <c r="E1010" s="77"/>
      <c r="F1010" s="45"/>
      <c r="G1010" s="56"/>
      <c r="H1010" s="83"/>
      <c r="I1010" s="35" t="str">
        <f t="shared" si="62"/>
        <v/>
      </c>
    </row>
    <row r="1011" spans="1:9">
      <c r="A1011" s="10" t="str">
        <f t="shared" si="63"/>
        <v/>
      </c>
      <c r="B1011" s="53"/>
      <c r="C1011" s="28" t="str">
        <f t="shared" si="60"/>
        <v/>
      </c>
      <c r="D1011" s="28" t="str">
        <f t="shared" si="61"/>
        <v/>
      </c>
      <c r="E1011" s="77"/>
      <c r="F1011" s="45"/>
      <c r="G1011" s="56"/>
      <c r="H1011" s="83"/>
      <c r="I1011" s="35" t="str">
        <f t="shared" si="62"/>
        <v/>
      </c>
    </row>
    <row r="1012" spans="1:9">
      <c r="A1012" s="10" t="str">
        <f t="shared" si="63"/>
        <v/>
      </c>
      <c r="B1012" s="53"/>
      <c r="C1012" s="28" t="str">
        <f t="shared" si="60"/>
        <v/>
      </c>
      <c r="D1012" s="28" t="str">
        <f t="shared" si="61"/>
        <v/>
      </c>
      <c r="E1012" s="77"/>
      <c r="F1012" s="45"/>
      <c r="G1012" s="56"/>
      <c r="H1012" s="83"/>
      <c r="I1012" s="35" t="str">
        <f t="shared" si="62"/>
        <v/>
      </c>
    </row>
    <row r="1013" spans="1:9">
      <c r="A1013" s="10" t="str">
        <f t="shared" si="63"/>
        <v/>
      </c>
      <c r="B1013" s="53"/>
      <c r="C1013" s="28" t="str">
        <f t="shared" si="60"/>
        <v/>
      </c>
      <c r="D1013" s="28" t="str">
        <f t="shared" si="61"/>
        <v/>
      </c>
      <c r="E1013" s="77"/>
      <c r="F1013" s="45"/>
      <c r="G1013" s="56"/>
      <c r="H1013" s="83"/>
      <c r="I1013" s="35" t="str">
        <f t="shared" si="62"/>
        <v/>
      </c>
    </row>
    <row r="1014" spans="1:9">
      <c r="A1014" s="10" t="str">
        <f t="shared" si="63"/>
        <v/>
      </c>
      <c r="B1014" s="53"/>
      <c r="C1014" s="28" t="str">
        <f t="shared" si="60"/>
        <v/>
      </c>
      <c r="D1014" s="28" t="str">
        <f t="shared" si="61"/>
        <v/>
      </c>
      <c r="E1014" s="77"/>
      <c r="F1014" s="45"/>
      <c r="G1014" s="56"/>
      <c r="H1014" s="83"/>
      <c r="I1014" s="35" t="str">
        <f t="shared" si="62"/>
        <v/>
      </c>
    </row>
    <row r="1015" spans="1:9">
      <c r="A1015" s="10" t="str">
        <f t="shared" si="63"/>
        <v/>
      </c>
      <c r="B1015" s="53"/>
      <c r="C1015" s="28" t="str">
        <f t="shared" si="60"/>
        <v/>
      </c>
      <c r="D1015" s="28" t="str">
        <f t="shared" si="61"/>
        <v/>
      </c>
      <c r="E1015" s="77"/>
      <c r="F1015" s="45"/>
      <c r="G1015" s="56"/>
      <c r="H1015" s="83"/>
      <c r="I1015" s="35" t="str">
        <f t="shared" si="62"/>
        <v/>
      </c>
    </row>
    <row r="1016" spans="1:9">
      <c r="A1016" s="10" t="str">
        <f t="shared" si="63"/>
        <v/>
      </c>
      <c r="B1016" s="53"/>
      <c r="C1016" s="28" t="str">
        <f t="shared" si="60"/>
        <v/>
      </c>
      <c r="D1016" s="28" t="str">
        <f t="shared" si="61"/>
        <v/>
      </c>
      <c r="E1016" s="77"/>
      <c r="F1016" s="45"/>
      <c r="G1016" s="56"/>
      <c r="H1016" s="83"/>
      <c r="I1016" s="35" t="str">
        <f t="shared" si="62"/>
        <v/>
      </c>
    </row>
    <row r="1017" spans="1:9">
      <c r="A1017" s="10" t="str">
        <f t="shared" si="63"/>
        <v/>
      </c>
      <c r="B1017" s="53"/>
      <c r="C1017" s="28" t="str">
        <f t="shared" si="60"/>
        <v/>
      </c>
      <c r="D1017" s="28" t="str">
        <f t="shared" si="61"/>
        <v/>
      </c>
      <c r="E1017" s="77"/>
      <c r="F1017" s="45"/>
      <c r="G1017" s="56"/>
      <c r="H1017" s="83"/>
      <c r="I1017" s="35" t="str">
        <f t="shared" si="62"/>
        <v/>
      </c>
    </row>
    <row r="1018" spans="1:9">
      <c r="A1018" s="10" t="str">
        <f t="shared" si="63"/>
        <v/>
      </c>
      <c r="B1018" s="53"/>
      <c r="C1018" s="28" t="str">
        <f t="shared" si="60"/>
        <v/>
      </c>
      <c r="D1018" s="28" t="str">
        <f t="shared" si="61"/>
        <v/>
      </c>
      <c r="E1018" s="77"/>
      <c r="F1018" s="45"/>
      <c r="G1018" s="56"/>
      <c r="H1018" s="83"/>
      <c r="I1018" s="35" t="str">
        <f t="shared" si="62"/>
        <v/>
      </c>
    </row>
    <row r="1019" spans="1:9">
      <c r="A1019" s="10" t="str">
        <f t="shared" si="63"/>
        <v/>
      </c>
      <c r="B1019" s="53"/>
      <c r="C1019" s="28" t="str">
        <f t="shared" si="60"/>
        <v/>
      </c>
      <c r="D1019" s="28" t="str">
        <f t="shared" si="61"/>
        <v/>
      </c>
      <c r="E1019" s="77"/>
      <c r="F1019" s="45"/>
      <c r="G1019" s="56"/>
      <c r="H1019" s="83"/>
      <c r="I1019" s="35" t="str">
        <f t="shared" si="62"/>
        <v/>
      </c>
    </row>
    <row r="1020" spans="1:9">
      <c r="A1020" s="10" t="str">
        <f t="shared" si="63"/>
        <v/>
      </c>
      <c r="B1020" s="53"/>
      <c r="C1020" s="28" t="str">
        <f t="shared" si="60"/>
        <v/>
      </c>
      <c r="D1020" s="28" t="str">
        <f t="shared" si="61"/>
        <v/>
      </c>
      <c r="E1020" s="77"/>
      <c r="F1020" s="45"/>
      <c r="G1020" s="56"/>
      <c r="H1020" s="83"/>
      <c r="I1020" s="35" t="str">
        <f t="shared" si="62"/>
        <v/>
      </c>
    </row>
    <row r="1021" spans="1:9">
      <c r="A1021" s="10" t="str">
        <f t="shared" si="63"/>
        <v/>
      </c>
      <c r="B1021" s="53"/>
      <c r="C1021" s="28" t="str">
        <f t="shared" si="60"/>
        <v/>
      </c>
      <c r="D1021" s="28" t="str">
        <f t="shared" si="61"/>
        <v/>
      </c>
      <c r="E1021" s="77"/>
      <c r="F1021" s="45"/>
      <c r="G1021" s="56"/>
      <c r="H1021" s="83"/>
      <c r="I1021" s="35" t="str">
        <f t="shared" si="62"/>
        <v/>
      </c>
    </row>
    <row r="1022" spans="1:9">
      <c r="A1022" s="10" t="str">
        <f t="shared" si="63"/>
        <v/>
      </c>
      <c r="B1022" s="53"/>
      <c r="C1022" s="28" t="str">
        <f t="shared" si="60"/>
        <v/>
      </c>
      <c r="D1022" s="28" t="str">
        <f t="shared" si="61"/>
        <v/>
      </c>
      <c r="E1022" s="77"/>
      <c r="F1022" s="45"/>
      <c r="G1022" s="56"/>
      <c r="H1022" s="83"/>
      <c r="I1022" s="35" t="str">
        <f t="shared" si="62"/>
        <v/>
      </c>
    </row>
    <row r="1023" spans="1:9">
      <c r="A1023" s="10" t="str">
        <f t="shared" si="63"/>
        <v/>
      </c>
      <c r="B1023" s="53"/>
      <c r="C1023" s="28" t="str">
        <f t="shared" si="60"/>
        <v/>
      </c>
      <c r="D1023" s="28" t="str">
        <f t="shared" si="61"/>
        <v/>
      </c>
      <c r="E1023" s="77"/>
      <c r="F1023" s="45"/>
      <c r="G1023" s="56"/>
      <c r="H1023" s="83"/>
      <c r="I1023" s="35" t="str">
        <f t="shared" si="62"/>
        <v/>
      </c>
    </row>
    <row r="1024" spans="1:9">
      <c r="A1024" s="10" t="str">
        <f t="shared" si="63"/>
        <v/>
      </c>
      <c r="B1024" s="53"/>
      <c r="C1024" s="28" t="str">
        <f t="shared" si="60"/>
        <v/>
      </c>
      <c r="D1024" s="28" t="str">
        <f t="shared" si="61"/>
        <v/>
      </c>
      <c r="E1024" s="77"/>
      <c r="F1024" s="45"/>
      <c r="G1024" s="56"/>
      <c r="H1024" s="83"/>
      <c r="I1024" s="35" t="str">
        <f t="shared" si="62"/>
        <v/>
      </c>
    </row>
    <row r="1025" spans="1:9">
      <c r="A1025" s="10" t="str">
        <f t="shared" si="63"/>
        <v/>
      </c>
      <c r="B1025" s="53"/>
      <c r="C1025" s="28" t="str">
        <f t="shared" si="60"/>
        <v/>
      </c>
      <c r="D1025" s="28" t="str">
        <f t="shared" si="61"/>
        <v/>
      </c>
      <c r="E1025" s="77"/>
      <c r="F1025" s="45"/>
      <c r="G1025" s="56"/>
      <c r="H1025" s="83"/>
      <c r="I1025" s="35" t="str">
        <f t="shared" si="62"/>
        <v/>
      </c>
    </row>
    <row r="1026" spans="1:9">
      <c r="A1026" s="10" t="str">
        <f t="shared" si="63"/>
        <v/>
      </c>
      <c r="B1026" s="53"/>
      <c r="C1026" s="28" t="str">
        <f t="shared" si="60"/>
        <v/>
      </c>
      <c r="D1026" s="28" t="str">
        <f t="shared" si="61"/>
        <v/>
      </c>
      <c r="E1026" s="77"/>
      <c r="F1026" s="45"/>
      <c r="G1026" s="56"/>
      <c r="H1026" s="83"/>
      <c r="I1026" s="35" t="str">
        <f t="shared" si="62"/>
        <v/>
      </c>
    </row>
    <row r="1027" spans="1:9">
      <c r="A1027" s="10" t="str">
        <f t="shared" si="63"/>
        <v/>
      </c>
      <c r="B1027" s="53"/>
      <c r="C1027" s="28" t="str">
        <f t="shared" ref="C1027:C1090" si="64">IF(B1027=0,"",TEXT(B1027,"mmmm"))</f>
        <v/>
      </c>
      <c r="D1027" s="28" t="str">
        <f t="shared" ref="D1027:D1090" si="65">IF(B1027=0,"",TEXT(B1027,"yyyy"))</f>
        <v/>
      </c>
      <c r="E1027" s="77"/>
      <c r="F1027" s="45"/>
      <c r="G1027" s="56"/>
      <c r="H1027" s="83"/>
      <c r="I1027" s="35" t="str">
        <f t="shared" ref="I1027:I1090" si="66">IF(G1027*H1027=0,"",G1027*H1027)</f>
        <v/>
      </c>
    </row>
    <row r="1028" spans="1:9">
      <c r="A1028" s="10" t="str">
        <f t="shared" ref="A1028:A1091" si="67">IF(E1028&gt;0,A1027+1,"")</f>
        <v/>
      </c>
      <c r="B1028" s="53"/>
      <c r="C1028" s="28" t="str">
        <f t="shared" si="64"/>
        <v/>
      </c>
      <c r="D1028" s="28" t="str">
        <f t="shared" si="65"/>
        <v/>
      </c>
      <c r="E1028" s="77"/>
      <c r="F1028" s="45"/>
      <c r="G1028" s="56"/>
      <c r="H1028" s="83"/>
      <c r="I1028" s="35" t="str">
        <f t="shared" si="66"/>
        <v/>
      </c>
    </row>
    <row r="1029" spans="1:9">
      <c r="A1029" s="10" t="str">
        <f t="shared" si="67"/>
        <v/>
      </c>
      <c r="B1029" s="53"/>
      <c r="C1029" s="28" t="str">
        <f t="shared" si="64"/>
        <v/>
      </c>
      <c r="D1029" s="28" t="str">
        <f t="shared" si="65"/>
        <v/>
      </c>
      <c r="E1029" s="77"/>
      <c r="F1029" s="45"/>
      <c r="G1029" s="56"/>
      <c r="H1029" s="83"/>
      <c r="I1029" s="35" t="str">
        <f t="shared" si="66"/>
        <v/>
      </c>
    </row>
    <row r="1030" spans="1:9">
      <c r="A1030" s="10" t="str">
        <f t="shared" si="67"/>
        <v/>
      </c>
      <c r="B1030" s="53"/>
      <c r="C1030" s="28" t="str">
        <f t="shared" si="64"/>
        <v/>
      </c>
      <c r="D1030" s="28" t="str">
        <f t="shared" si="65"/>
        <v/>
      </c>
      <c r="E1030" s="77"/>
      <c r="F1030" s="45"/>
      <c r="G1030" s="56"/>
      <c r="H1030" s="83"/>
      <c r="I1030" s="35" t="str">
        <f t="shared" si="66"/>
        <v/>
      </c>
    </row>
    <row r="1031" spans="1:9">
      <c r="A1031" s="10" t="str">
        <f t="shared" si="67"/>
        <v/>
      </c>
      <c r="B1031" s="53"/>
      <c r="C1031" s="28" t="str">
        <f t="shared" si="64"/>
        <v/>
      </c>
      <c r="D1031" s="28" t="str">
        <f t="shared" si="65"/>
        <v/>
      </c>
      <c r="E1031" s="77"/>
      <c r="F1031" s="45"/>
      <c r="G1031" s="56"/>
      <c r="H1031" s="83"/>
      <c r="I1031" s="35" t="str">
        <f t="shared" si="66"/>
        <v/>
      </c>
    </row>
    <row r="1032" spans="1:9">
      <c r="A1032" s="10" t="str">
        <f t="shared" si="67"/>
        <v/>
      </c>
      <c r="B1032" s="53"/>
      <c r="C1032" s="28" t="str">
        <f t="shared" si="64"/>
        <v/>
      </c>
      <c r="D1032" s="28" t="str">
        <f t="shared" si="65"/>
        <v/>
      </c>
      <c r="E1032" s="77"/>
      <c r="F1032" s="45"/>
      <c r="G1032" s="56"/>
      <c r="H1032" s="83"/>
      <c r="I1032" s="35" t="str">
        <f t="shared" si="66"/>
        <v/>
      </c>
    </row>
    <row r="1033" spans="1:9">
      <c r="A1033" s="10" t="str">
        <f t="shared" si="67"/>
        <v/>
      </c>
      <c r="B1033" s="53"/>
      <c r="C1033" s="28" t="str">
        <f t="shared" si="64"/>
        <v/>
      </c>
      <c r="D1033" s="28" t="str">
        <f t="shared" si="65"/>
        <v/>
      </c>
      <c r="E1033" s="77"/>
      <c r="F1033" s="45"/>
      <c r="G1033" s="56"/>
      <c r="H1033" s="83"/>
      <c r="I1033" s="35" t="str">
        <f t="shared" si="66"/>
        <v/>
      </c>
    </row>
    <row r="1034" spans="1:9">
      <c r="A1034" s="10" t="str">
        <f t="shared" si="67"/>
        <v/>
      </c>
      <c r="B1034" s="53"/>
      <c r="C1034" s="28" t="str">
        <f t="shared" si="64"/>
        <v/>
      </c>
      <c r="D1034" s="28" t="str">
        <f t="shared" si="65"/>
        <v/>
      </c>
      <c r="E1034" s="77"/>
      <c r="F1034" s="45"/>
      <c r="G1034" s="56"/>
      <c r="H1034" s="83"/>
      <c r="I1034" s="35" t="str">
        <f t="shared" si="66"/>
        <v/>
      </c>
    </row>
    <row r="1035" spans="1:9">
      <c r="A1035" s="10" t="str">
        <f t="shared" si="67"/>
        <v/>
      </c>
      <c r="B1035" s="53"/>
      <c r="C1035" s="28" t="str">
        <f t="shared" si="64"/>
        <v/>
      </c>
      <c r="D1035" s="28" t="str">
        <f t="shared" si="65"/>
        <v/>
      </c>
      <c r="E1035" s="77"/>
      <c r="F1035" s="45"/>
      <c r="G1035" s="56"/>
      <c r="H1035" s="83"/>
      <c r="I1035" s="35" t="str">
        <f t="shared" si="66"/>
        <v/>
      </c>
    </row>
    <row r="1036" spans="1:9">
      <c r="A1036" s="10" t="str">
        <f t="shared" si="67"/>
        <v/>
      </c>
      <c r="B1036" s="53"/>
      <c r="C1036" s="28" t="str">
        <f t="shared" si="64"/>
        <v/>
      </c>
      <c r="D1036" s="28" t="str">
        <f t="shared" si="65"/>
        <v/>
      </c>
      <c r="E1036" s="77"/>
      <c r="F1036" s="45"/>
      <c r="G1036" s="56"/>
      <c r="H1036" s="83"/>
      <c r="I1036" s="35" t="str">
        <f t="shared" si="66"/>
        <v/>
      </c>
    </row>
    <row r="1037" spans="1:9">
      <c r="A1037" s="10" t="str">
        <f t="shared" si="67"/>
        <v/>
      </c>
      <c r="B1037" s="53"/>
      <c r="C1037" s="28" t="str">
        <f t="shared" si="64"/>
        <v/>
      </c>
      <c r="D1037" s="28" t="str">
        <f t="shared" si="65"/>
        <v/>
      </c>
      <c r="E1037" s="77"/>
      <c r="F1037" s="45"/>
      <c r="G1037" s="56"/>
      <c r="H1037" s="83"/>
      <c r="I1037" s="35" t="str">
        <f t="shared" si="66"/>
        <v/>
      </c>
    </row>
    <row r="1038" spans="1:9">
      <c r="A1038" s="10" t="str">
        <f t="shared" si="67"/>
        <v/>
      </c>
      <c r="B1038" s="53"/>
      <c r="C1038" s="28" t="str">
        <f t="shared" si="64"/>
        <v/>
      </c>
      <c r="D1038" s="28" t="str">
        <f t="shared" si="65"/>
        <v/>
      </c>
      <c r="E1038" s="77"/>
      <c r="F1038" s="45"/>
      <c r="G1038" s="56"/>
      <c r="H1038" s="83"/>
      <c r="I1038" s="35" t="str">
        <f t="shared" si="66"/>
        <v/>
      </c>
    </row>
    <row r="1039" spans="1:9">
      <c r="A1039" s="10" t="str">
        <f t="shared" si="67"/>
        <v/>
      </c>
      <c r="B1039" s="53"/>
      <c r="C1039" s="28" t="str">
        <f t="shared" si="64"/>
        <v/>
      </c>
      <c r="D1039" s="28" t="str">
        <f t="shared" si="65"/>
        <v/>
      </c>
      <c r="E1039" s="77"/>
      <c r="F1039" s="45"/>
      <c r="G1039" s="56"/>
      <c r="H1039" s="83"/>
      <c r="I1039" s="35" t="str">
        <f t="shared" si="66"/>
        <v/>
      </c>
    </row>
    <row r="1040" spans="1:9">
      <c r="A1040" s="10" t="str">
        <f t="shared" si="67"/>
        <v/>
      </c>
      <c r="B1040" s="53"/>
      <c r="C1040" s="28" t="str">
        <f t="shared" si="64"/>
        <v/>
      </c>
      <c r="D1040" s="28" t="str">
        <f t="shared" si="65"/>
        <v/>
      </c>
      <c r="E1040" s="77"/>
      <c r="F1040" s="45"/>
      <c r="G1040" s="56"/>
      <c r="H1040" s="83"/>
      <c r="I1040" s="35" t="str">
        <f t="shared" si="66"/>
        <v/>
      </c>
    </row>
    <row r="1041" spans="1:9">
      <c r="A1041" s="10" t="str">
        <f t="shared" si="67"/>
        <v/>
      </c>
      <c r="B1041" s="53"/>
      <c r="C1041" s="28" t="str">
        <f t="shared" si="64"/>
        <v/>
      </c>
      <c r="D1041" s="28" t="str">
        <f t="shared" si="65"/>
        <v/>
      </c>
      <c r="E1041" s="77"/>
      <c r="F1041" s="45"/>
      <c r="G1041" s="56"/>
      <c r="H1041" s="83"/>
      <c r="I1041" s="35" t="str">
        <f t="shared" si="66"/>
        <v/>
      </c>
    </row>
    <row r="1042" spans="1:9">
      <c r="A1042" s="10" t="str">
        <f t="shared" si="67"/>
        <v/>
      </c>
      <c r="B1042" s="53"/>
      <c r="C1042" s="28" t="str">
        <f t="shared" si="64"/>
        <v/>
      </c>
      <c r="D1042" s="28" t="str">
        <f t="shared" si="65"/>
        <v/>
      </c>
      <c r="E1042" s="77"/>
      <c r="F1042" s="45"/>
      <c r="G1042" s="56"/>
      <c r="H1042" s="83"/>
      <c r="I1042" s="35" t="str">
        <f t="shared" si="66"/>
        <v/>
      </c>
    </row>
    <row r="1043" spans="1:9">
      <c r="A1043" s="10" t="str">
        <f t="shared" si="67"/>
        <v/>
      </c>
      <c r="B1043" s="53"/>
      <c r="C1043" s="28" t="str">
        <f t="shared" si="64"/>
        <v/>
      </c>
      <c r="D1043" s="28" t="str">
        <f t="shared" si="65"/>
        <v/>
      </c>
      <c r="E1043" s="77"/>
      <c r="F1043" s="45"/>
      <c r="G1043" s="56"/>
      <c r="H1043" s="83"/>
      <c r="I1043" s="35" t="str">
        <f t="shared" si="66"/>
        <v/>
      </c>
    </row>
    <row r="1044" spans="1:9">
      <c r="A1044" s="10" t="str">
        <f t="shared" si="67"/>
        <v/>
      </c>
      <c r="B1044" s="53"/>
      <c r="C1044" s="28" t="str">
        <f t="shared" si="64"/>
        <v/>
      </c>
      <c r="D1044" s="28" t="str">
        <f t="shared" si="65"/>
        <v/>
      </c>
      <c r="E1044" s="77"/>
      <c r="F1044" s="45"/>
      <c r="G1044" s="56"/>
      <c r="H1044" s="83"/>
      <c r="I1044" s="35" t="str">
        <f t="shared" si="66"/>
        <v/>
      </c>
    </row>
    <row r="1045" spans="1:9">
      <c r="A1045" s="10" t="str">
        <f t="shared" si="67"/>
        <v/>
      </c>
      <c r="B1045" s="53"/>
      <c r="C1045" s="28" t="str">
        <f t="shared" si="64"/>
        <v/>
      </c>
      <c r="D1045" s="28" t="str">
        <f t="shared" si="65"/>
        <v/>
      </c>
      <c r="E1045" s="77"/>
      <c r="F1045" s="45"/>
      <c r="G1045" s="56"/>
      <c r="H1045" s="83"/>
      <c r="I1045" s="35" t="str">
        <f t="shared" si="66"/>
        <v/>
      </c>
    </row>
    <row r="1046" spans="1:9">
      <c r="A1046" s="10" t="str">
        <f t="shared" si="67"/>
        <v/>
      </c>
      <c r="B1046" s="53"/>
      <c r="C1046" s="28" t="str">
        <f t="shared" si="64"/>
        <v/>
      </c>
      <c r="D1046" s="28" t="str">
        <f t="shared" si="65"/>
        <v/>
      </c>
      <c r="E1046" s="77"/>
      <c r="F1046" s="45"/>
      <c r="G1046" s="56"/>
      <c r="H1046" s="83"/>
      <c r="I1046" s="35" t="str">
        <f t="shared" si="66"/>
        <v/>
      </c>
    </row>
    <row r="1047" spans="1:9">
      <c r="A1047" s="10" t="str">
        <f t="shared" si="67"/>
        <v/>
      </c>
      <c r="B1047" s="53"/>
      <c r="C1047" s="28" t="str">
        <f t="shared" si="64"/>
        <v/>
      </c>
      <c r="D1047" s="28" t="str">
        <f t="shared" si="65"/>
        <v/>
      </c>
      <c r="E1047" s="77"/>
      <c r="F1047" s="45"/>
      <c r="G1047" s="56"/>
      <c r="H1047" s="83"/>
      <c r="I1047" s="35" t="str">
        <f t="shared" si="66"/>
        <v/>
      </c>
    </row>
    <row r="1048" spans="1:9">
      <c r="A1048" s="10" t="str">
        <f t="shared" si="67"/>
        <v/>
      </c>
      <c r="B1048" s="53"/>
      <c r="C1048" s="28" t="str">
        <f t="shared" si="64"/>
        <v/>
      </c>
      <c r="D1048" s="28" t="str">
        <f t="shared" si="65"/>
        <v/>
      </c>
      <c r="E1048" s="77"/>
      <c r="F1048" s="45"/>
      <c r="G1048" s="56"/>
      <c r="H1048" s="83"/>
      <c r="I1048" s="35" t="str">
        <f t="shared" si="66"/>
        <v/>
      </c>
    </row>
    <row r="1049" spans="1:9">
      <c r="A1049" s="10" t="str">
        <f t="shared" si="67"/>
        <v/>
      </c>
      <c r="B1049" s="53"/>
      <c r="C1049" s="28" t="str">
        <f t="shared" si="64"/>
        <v/>
      </c>
      <c r="D1049" s="28" t="str">
        <f t="shared" si="65"/>
        <v/>
      </c>
      <c r="E1049" s="77"/>
      <c r="F1049" s="45"/>
      <c r="G1049" s="56"/>
      <c r="H1049" s="83"/>
      <c r="I1049" s="35" t="str">
        <f t="shared" si="66"/>
        <v/>
      </c>
    </row>
    <row r="1050" spans="1:9">
      <c r="A1050" s="10" t="str">
        <f t="shared" si="67"/>
        <v/>
      </c>
      <c r="B1050" s="53"/>
      <c r="C1050" s="28" t="str">
        <f t="shared" si="64"/>
        <v/>
      </c>
      <c r="D1050" s="28" t="str">
        <f t="shared" si="65"/>
        <v/>
      </c>
      <c r="E1050" s="77"/>
      <c r="F1050" s="45"/>
      <c r="G1050" s="56"/>
      <c r="H1050" s="83"/>
      <c r="I1050" s="35" t="str">
        <f t="shared" si="66"/>
        <v/>
      </c>
    </row>
    <row r="1051" spans="1:9">
      <c r="A1051" s="10" t="str">
        <f t="shared" si="67"/>
        <v/>
      </c>
      <c r="B1051" s="53"/>
      <c r="C1051" s="28" t="str">
        <f t="shared" si="64"/>
        <v/>
      </c>
      <c r="D1051" s="28" t="str">
        <f t="shared" si="65"/>
        <v/>
      </c>
      <c r="E1051" s="77"/>
      <c r="F1051" s="45"/>
      <c r="G1051" s="56"/>
      <c r="H1051" s="83"/>
      <c r="I1051" s="35" t="str">
        <f t="shared" si="66"/>
        <v/>
      </c>
    </row>
    <row r="1052" spans="1:9">
      <c r="A1052" s="10" t="str">
        <f t="shared" si="67"/>
        <v/>
      </c>
      <c r="B1052" s="53"/>
      <c r="C1052" s="28" t="str">
        <f t="shared" si="64"/>
        <v/>
      </c>
      <c r="D1052" s="28" t="str">
        <f t="shared" si="65"/>
        <v/>
      </c>
      <c r="E1052" s="77"/>
      <c r="F1052" s="45"/>
      <c r="G1052" s="56"/>
      <c r="H1052" s="83"/>
      <c r="I1052" s="35" t="str">
        <f t="shared" si="66"/>
        <v/>
      </c>
    </row>
    <row r="1053" spans="1:9">
      <c r="A1053" s="10" t="str">
        <f t="shared" si="67"/>
        <v/>
      </c>
      <c r="B1053" s="53"/>
      <c r="C1053" s="28" t="str">
        <f t="shared" si="64"/>
        <v/>
      </c>
      <c r="D1053" s="28" t="str">
        <f t="shared" si="65"/>
        <v/>
      </c>
      <c r="E1053" s="77"/>
      <c r="F1053" s="45"/>
      <c r="G1053" s="56"/>
      <c r="H1053" s="83"/>
      <c r="I1053" s="35" t="str">
        <f t="shared" si="66"/>
        <v/>
      </c>
    </row>
    <row r="1054" spans="1:9">
      <c r="A1054" s="10" t="str">
        <f t="shared" si="67"/>
        <v/>
      </c>
      <c r="B1054" s="53"/>
      <c r="C1054" s="28" t="str">
        <f t="shared" si="64"/>
        <v/>
      </c>
      <c r="D1054" s="28" t="str">
        <f t="shared" si="65"/>
        <v/>
      </c>
      <c r="E1054" s="77"/>
      <c r="F1054" s="45"/>
      <c r="G1054" s="56"/>
      <c r="H1054" s="83"/>
      <c r="I1054" s="35" t="str">
        <f t="shared" si="66"/>
        <v/>
      </c>
    </row>
    <row r="1055" spans="1:9">
      <c r="A1055" s="10" t="str">
        <f t="shared" si="67"/>
        <v/>
      </c>
      <c r="B1055" s="53"/>
      <c r="C1055" s="28" t="str">
        <f t="shared" si="64"/>
        <v/>
      </c>
      <c r="D1055" s="28" t="str">
        <f t="shared" si="65"/>
        <v/>
      </c>
      <c r="E1055" s="77"/>
      <c r="F1055" s="45"/>
      <c r="G1055" s="56"/>
      <c r="H1055" s="83"/>
      <c r="I1055" s="35" t="str">
        <f t="shared" si="66"/>
        <v/>
      </c>
    </row>
    <row r="1056" spans="1:9">
      <c r="A1056" s="10" t="str">
        <f t="shared" si="67"/>
        <v/>
      </c>
      <c r="B1056" s="53"/>
      <c r="C1056" s="28" t="str">
        <f t="shared" si="64"/>
        <v/>
      </c>
      <c r="D1056" s="28" t="str">
        <f t="shared" si="65"/>
        <v/>
      </c>
      <c r="E1056" s="77"/>
      <c r="F1056" s="45"/>
      <c r="G1056" s="56"/>
      <c r="H1056" s="83"/>
      <c r="I1056" s="35" t="str">
        <f t="shared" si="66"/>
        <v/>
      </c>
    </row>
    <row r="1057" spans="1:9">
      <c r="A1057" s="10" t="str">
        <f t="shared" si="67"/>
        <v/>
      </c>
      <c r="B1057" s="53"/>
      <c r="C1057" s="28" t="str">
        <f t="shared" si="64"/>
        <v/>
      </c>
      <c r="D1057" s="28" t="str">
        <f t="shared" si="65"/>
        <v/>
      </c>
      <c r="E1057" s="77"/>
      <c r="F1057" s="45"/>
      <c r="G1057" s="56"/>
      <c r="H1057" s="83"/>
      <c r="I1057" s="35" t="str">
        <f t="shared" si="66"/>
        <v/>
      </c>
    </row>
    <row r="1058" spans="1:9">
      <c r="A1058" s="10" t="str">
        <f t="shared" si="67"/>
        <v/>
      </c>
      <c r="B1058" s="53"/>
      <c r="C1058" s="28" t="str">
        <f t="shared" si="64"/>
        <v/>
      </c>
      <c r="D1058" s="28" t="str">
        <f t="shared" si="65"/>
        <v/>
      </c>
      <c r="E1058" s="77"/>
      <c r="F1058" s="45"/>
      <c r="G1058" s="56"/>
      <c r="H1058" s="83"/>
      <c r="I1058" s="35" t="str">
        <f t="shared" si="66"/>
        <v/>
      </c>
    </row>
    <row r="1059" spans="1:9">
      <c r="A1059" s="10" t="str">
        <f t="shared" si="67"/>
        <v/>
      </c>
      <c r="B1059" s="53"/>
      <c r="C1059" s="28" t="str">
        <f t="shared" si="64"/>
        <v/>
      </c>
      <c r="D1059" s="28" t="str">
        <f t="shared" si="65"/>
        <v/>
      </c>
      <c r="E1059" s="77"/>
      <c r="F1059" s="45"/>
      <c r="G1059" s="56"/>
      <c r="H1059" s="83"/>
      <c r="I1059" s="35" t="str">
        <f t="shared" si="66"/>
        <v/>
      </c>
    </row>
    <row r="1060" spans="1:9">
      <c r="A1060" s="10" t="str">
        <f t="shared" si="67"/>
        <v/>
      </c>
      <c r="B1060" s="53"/>
      <c r="C1060" s="28" t="str">
        <f t="shared" si="64"/>
        <v/>
      </c>
      <c r="D1060" s="28" t="str">
        <f t="shared" si="65"/>
        <v/>
      </c>
      <c r="E1060" s="77"/>
      <c r="F1060" s="45"/>
      <c r="G1060" s="56"/>
      <c r="H1060" s="83"/>
      <c r="I1060" s="35" t="str">
        <f t="shared" si="66"/>
        <v/>
      </c>
    </row>
    <row r="1061" spans="1:9">
      <c r="A1061" s="10" t="str">
        <f t="shared" si="67"/>
        <v/>
      </c>
      <c r="B1061" s="53"/>
      <c r="C1061" s="28" t="str">
        <f t="shared" si="64"/>
        <v/>
      </c>
      <c r="D1061" s="28" t="str">
        <f t="shared" si="65"/>
        <v/>
      </c>
      <c r="E1061" s="77"/>
      <c r="F1061" s="45"/>
      <c r="G1061" s="56"/>
      <c r="H1061" s="83"/>
      <c r="I1061" s="35" t="str">
        <f t="shared" si="66"/>
        <v/>
      </c>
    </row>
    <row r="1062" spans="1:9">
      <c r="A1062" s="10" t="str">
        <f t="shared" si="67"/>
        <v/>
      </c>
      <c r="B1062" s="53"/>
      <c r="C1062" s="28" t="str">
        <f t="shared" si="64"/>
        <v/>
      </c>
      <c r="D1062" s="28" t="str">
        <f t="shared" si="65"/>
        <v/>
      </c>
      <c r="E1062" s="77"/>
      <c r="F1062" s="45"/>
      <c r="G1062" s="56"/>
      <c r="H1062" s="83"/>
      <c r="I1062" s="35" t="str">
        <f t="shared" si="66"/>
        <v/>
      </c>
    </row>
    <row r="1063" spans="1:9">
      <c r="A1063" s="10" t="str">
        <f t="shared" si="67"/>
        <v/>
      </c>
      <c r="B1063" s="53"/>
      <c r="C1063" s="28" t="str">
        <f t="shared" si="64"/>
        <v/>
      </c>
      <c r="D1063" s="28" t="str">
        <f t="shared" si="65"/>
        <v/>
      </c>
      <c r="E1063" s="77"/>
      <c r="F1063" s="45"/>
      <c r="G1063" s="56"/>
      <c r="H1063" s="83"/>
      <c r="I1063" s="35" t="str">
        <f t="shared" si="66"/>
        <v/>
      </c>
    </row>
    <row r="1064" spans="1:9">
      <c r="A1064" s="10" t="str">
        <f t="shared" si="67"/>
        <v/>
      </c>
      <c r="B1064" s="53"/>
      <c r="C1064" s="28" t="str">
        <f t="shared" si="64"/>
        <v/>
      </c>
      <c r="D1064" s="28" t="str">
        <f t="shared" si="65"/>
        <v/>
      </c>
      <c r="E1064" s="77"/>
      <c r="F1064" s="45"/>
      <c r="G1064" s="56"/>
      <c r="H1064" s="83"/>
      <c r="I1064" s="35" t="str">
        <f t="shared" si="66"/>
        <v/>
      </c>
    </row>
    <row r="1065" spans="1:9">
      <c r="A1065" s="10" t="str">
        <f t="shared" si="67"/>
        <v/>
      </c>
      <c r="B1065" s="53"/>
      <c r="C1065" s="28" t="str">
        <f t="shared" si="64"/>
        <v/>
      </c>
      <c r="D1065" s="28" t="str">
        <f t="shared" si="65"/>
        <v/>
      </c>
      <c r="E1065" s="77"/>
      <c r="F1065" s="45"/>
      <c r="G1065" s="56"/>
      <c r="H1065" s="83"/>
      <c r="I1065" s="35" t="str">
        <f t="shared" si="66"/>
        <v/>
      </c>
    </row>
    <row r="1066" spans="1:9">
      <c r="A1066" s="10" t="str">
        <f t="shared" si="67"/>
        <v/>
      </c>
      <c r="B1066" s="53"/>
      <c r="C1066" s="28" t="str">
        <f t="shared" si="64"/>
        <v/>
      </c>
      <c r="D1066" s="28" t="str">
        <f t="shared" si="65"/>
        <v/>
      </c>
      <c r="E1066" s="77"/>
      <c r="F1066" s="45"/>
      <c r="G1066" s="56"/>
      <c r="H1066" s="83"/>
      <c r="I1066" s="35" t="str">
        <f t="shared" si="66"/>
        <v/>
      </c>
    </row>
    <row r="1067" spans="1:9">
      <c r="A1067" s="10" t="str">
        <f t="shared" si="67"/>
        <v/>
      </c>
      <c r="B1067" s="53"/>
      <c r="C1067" s="28" t="str">
        <f t="shared" si="64"/>
        <v/>
      </c>
      <c r="D1067" s="28" t="str">
        <f t="shared" si="65"/>
        <v/>
      </c>
      <c r="E1067" s="77"/>
      <c r="F1067" s="45"/>
      <c r="G1067" s="56"/>
      <c r="H1067" s="83"/>
      <c r="I1067" s="35" t="str">
        <f t="shared" si="66"/>
        <v/>
      </c>
    </row>
    <row r="1068" spans="1:9">
      <c r="A1068" s="10" t="str">
        <f t="shared" si="67"/>
        <v/>
      </c>
      <c r="B1068" s="53"/>
      <c r="C1068" s="28" t="str">
        <f t="shared" si="64"/>
        <v/>
      </c>
      <c r="D1068" s="28" t="str">
        <f t="shared" si="65"/>
        <v/>
      </c>
      <c r="E1068" s="77"/>
      <c r="F1068" s="45"/>
      <c r="G1068" s="56"/>
      <c r="H1068" s="83"/>
      <c r="I1068" s="35" t="str">
        <f t="shared" si="66"/>
        <v/>
      </c>
    </row>
    <row r="1069" spans="1:9">
      <c r="A1069" s="10" t="str">
        <f t="shared" si="67"/>
        <v/>
      </c>
      <c r="B1069" s="53"/>
      <c r="C1069" s="28" t="str">
        <f t="shared" si="64"/>
        <v/>
      </c>
      <c r="D1069" s="28" t="str">
        <f t="shared" si="65"/>
        <v/>
      </c>
      <c r="E1069" s="77"/>
      <c r="F1069" s="45"/>
      <c r="G1069" s="56"/>
      <c r="H1069" s="83"/>
      <c r="I1069" s="35" t="str">
        <f t="shared" si="66"/>
        <v/>
      </c>
    </row>
    <row r="1070" spans="1:9">
      <c r="A1070" s="10" t="str">
        <f t="shared" si="67"/>
        <v/>
      </c>
      <c r="B1070" s="53"/>
      <c r="C1070" s="28" t="str">
        <f t="shared" si="64"/>
        <v/>
      </c>
      <c r="D1070" s="28" t="str">
        <f t="shared" si="65"/>
        <v/>
      </c>
      <c r="E1070" s="77"/>
      <c r="F1070" s="45"/>
      <c r="G1070" s="56"/>
      <c r="H1070" s="83"/>
      <c r="I1070" s="35" t="str">
        <f t="shared" si="66"/>
        <v/>
      </c>
    </row>
    <row r="1071" spans="1:9">
      <c r="A1071" s="10" t="str">
        <f t="shared" si="67"/>
        <v/>
      </c>
      <c r="B1071" s="53"/>
      <c r="C1071" s="28" t="str">
        <f t="shared" si="64"/>
        <v/>
      </c>
      <c r="D1071" s="28" t="str">
        <f t="shared" si="65"/>
        <v/>
      </c>
      <c r="E1071" s="77"/>
      <c r="F1071" s="45"/>
      <c r="G1071" s="56"/>
      <c r="H1071" s="83"/>
      <c r="I1071" s="35" t="str">
        <f t="shared" si="66"/>
        <v/>
      </c>
    </row>
    <row r="1072" spans="1:9">
      <c r="A1072" s="10" t="str">
        <f t="shared" si="67"/>
        <v/>
      </c>
      <c r="B1072" s="53"/>
      <c r="C1072" s="28" t="str">
        <f t="shared" si="64"/>
        <v/>
      </c>
      <c r="D1072" s="28" t="str">
        <f t="shared" si="65"/>
        <v/>
      </c>
      <c r="E1072" s="77"/>
      <c r="F1072" s="45"/>
      <c r="G1072" s="56"/>
      <c r="H1072" s="83"/>
      <c r="I1072" s="35" t="str">
        <f t="shared" si="66"/>
        <v/>
      </c>
    </row>
    <row r="1073" spans="1:9">
      <c r="A1073" s="10" t="str">
        <f t="shared" si="67"/>
        <v/>
      </c>
      <c r="B1073" s="53"/>
      <c r="C1073" s="28" t="str">
        <f t="shared" si="64"/>
        <v/>
      </c>
      <c r="D1073" s="28" t="str">
        <f t="shared" si="65"/>
        <v/>
      </c>
      <c r="E1073" s="77"/>
      <c r="F1073" s="45"/>
      <c r="G1073" s="56"/>
      <c r="H1073" s="83"/>
      <c r="I1073" s="35" t="str">
        <f t="shared" si="66"/>
        <v/>
      </c>
    </row>
    <row r="1074" spans="1:9">
      <c r="A1074" s="10" t="str">
        <f t="shared" si="67"/>
        <v/>
      </c>
      <c r="B1074" s="53"/>
      <c r="C1074" s="28" t="str">
        <f t="shared" si="64"/>
        <v/>
      </c>
      <c r="D1074" s="28" t="str">
        <f t="shared" si="65"/>
        <v/>
      </c>
      <c r="E1074" s="77"/>
      <c r="F1074" s="45"/>
      <c r="G1074" s="56"/>
      <c r="H1074" s="83"/>
      <c r="I1074" s="35" t="str">
        <f t="shared" si="66"/>
        <v/>
      </c>
    </row>
    <row r="1075" spans="1:9">
      <c r="A1075" s="10" t="str">
        <f t="shared" si="67"/>
        <v/>
      </c>
      <c r="B1075" s="53"/>
      <c r="C1075" s="28" t="str">
        <f t="shared" si="64"/>
        <v/>
      </c>
      <c r="D1075" s="28" t="str">
        <f t="shared" si="65"/>
        <v/>
      </c>
      <c r="E1075" s="77"/>
      <c r="F1075" s="45"/>
      <c r="G1075" s="56"/>
      <c r="H1075" s="83"/>
      <c r="I1075" s="35" t="str">
        <f t="shared" si="66"/>
        <v/>
      </c>
    </row>
    <row r="1076" spans="1:9">
      <c r="A1076" s="10" t="str">
        <f t="shared" si="67"/>
        <v/>
      </c>
      <c r="B1076" s="53"/>
      <c r="C1076" s="28" t="str">
        <f t="shared" si="64"/>
        <v/>
      </c>
      <c r="D1076" s="28" t="str">
        <f t="shared" si="65"/>
        <v/>
      </c>
      <c r="E1076" s="77"/>
      <c r="F1076" s="45"/>
      <c r="G1076" s="56"/>
      <c r="H1076" s="83"/>
      <c r="I1076" s="35" t="str">
        <f t="shared" si="66"/>
        <v/>
      </c>
    </row>
    <row r="1077" spans="1:9">
      <c r="A1077" s="10" t="str">
        <f t="shared" si="67"/>
        <v/>
      </c>
      <c r="B1077" s="53"/>
      <c r="C1077" s="28" t="str">
        <f t="shared" si="64"/>
        <v/>
      </c>
      <c r="D1077" s="28" t="str">
        <f t="shared" si="65"/>
        <v/>
      </c>
      <c r="E1077" s="77"/>
      <c r="F1077" s="45"/>
      <c r="G1077" s="56"/>
      <c r="H1077" s="83"/>
      <c r="I1077" s="35" t="str">
        <f t="shared" si="66"/>
        <v/>
      </c>
    </row>
    <row r="1078" spans="1:9">
      <c r="A1078" s="10" t="str">
        <f t="shared" si="67"/>
        <v/>
      </c>
      <c r="B1078" s="53"/>
      <c r="C1078" s="28" t="str">
        <f t="shared" si="64"/>
        <v/>
      </c>
      <c r="D1078" s="28" t="str">
        <f t="shared" si="65"/>
        <v/>
      </c>
      <c r="E1078" s="77"/>
      <c r="F1078" s="45"/>
      <c r="G1078" s="56"/>
      <c r="H1078" s="83"/>
      <c r="I1078" s="35" t="str">
        <f t="shared" si="66"/>
        <v/>
      </c>
    </row>
    <row r="1079" spans="1:9">
      <c r="A1079" s="10" t="str">
        <f t="shared" si="67"/>
        <v/>
      </c>
      <c r="B1079" s="53"/>
      <c r="C1079" s="28" t="str">
        <f t="shared" si="64"/>
        <v/>
      </c>
      <c r="D1079" s="28" t="str">
        <f t="shared" si="65"/>
        <v/>
      </c>
      <c r="E1079" s="77"/>
      <c r="F1079" s="45"/>
      <c r="G1079" s="56"/>
      <c r="H1079" s="83"/>
      <c r="I1079" s="35" t="str">
        <f t="shared" si="66"/>
        <v/>
      </c>
    </row>
    <row r="1080" spans="1:9">
      <c r="A1080" s="10" t="str">
        <f t="shared" si="67"/>
        <v/>
      </c>
      <c r="B1080" s="53"/>
      <c r="C1080" s="28" t="str">
        <f t="shared" si="64"/>
        <v/>
      </c>
      <c r="D1080" s="28" t="str">
        <f t="shared" si="65"/>
        <v/>
      </c>
      <c r="E1080" s="77"/>
      <c r="F1080" s="45"/>
      <c r="G1080" s="56"/>
      <c r="H1080" s="83"/>
      <c r="I1080" s="35" t="str">
        <f t="shared" si="66"/>
        <v/>
      </c>
    </row>
    <row r="1081" spans="1:9">
      <c r="A1081" s="10" t="str">
        <f t="shared" si="67"/>
        <v/>
      </c>
      <c r="B1081" s="53"/>
      <c r="C1081" s="28" t="str">
        <f t="shared" si="64"/>
        <v/>
      </c>
      <c r="D1081" s="28" t="str">
        <f t="shared" si="65"/>
        <v/>
      </c>
      <c r="E1081" s="77"/>
      <c r="F1081" s="45"/>
      <c r="G1081" s="56"/>
      <c r="H1081" s="83"/>
      <c r="I1081" s="35" t="str">
        <f t="shared" si="66"/>
        <v/>
      </c>
    </row>
    <row r="1082" spans="1:9">
      <c r="A1082" s="10" t="str">
        <f t="shared" si="67"/>
        <v/>
      </c>
      <c r="B1082" s="53"/>
      <c r="C1082" s="28" t="str">
        <f t="shared" si="64"/>
        <v/>
      </c>
      <c r="D1082" s="28" t="str">
        <f t="shared" si="65"/>
        <v/>
      </c>
      <c r="E1082" s="77"/>
      <c r="F1082" s="45"/>
      <c r="G1082" s="56"/>
      <c r="H1082" s="83"/>
      <c r="I1082" s="35" t="str">
        <f t="shared" si="66"/>
        <v/>
      </c>
    </row>
    <row r="1083" spans="1:9">
      <c r="A1083" s="10" t="str">
        <f t="shared" si="67"/>
        <v/>
      </c>
      <c r="B1083" s="53"/>
      <c r="C1083" s="28" t="str">
        <f t="shared" si="64"/>
        <v/>
      </c>
      <c r="D1083" s="28" t="str">
        <f t="shared" si="65"/>
        <v/>
      </c>
      <c r="E1083" s="77"/>
      <c r="F1083" s="45"/>
      <c r="G1083" s="56"/>
      <c r="H1083" s="83"/>
      <c r="I1083" s="35" t="str">
        <f t="shared" si="66"/>
        <v/>
      </c>
    </row>
    <row r="1084" spans="1:9">
      <c r="A1084" s="10" t="str">
        <f t="shared" si="67"/>
        <v/>
      </c>
      <c r="B1084" s="53"/>
      <c r="C1084" s="28" t="str">
        <f t="shared" si="64"/>
        <v/>
      </c>
      <c r="D1084" s="28" t="str">
        <f t="shared" si="65"/>
        <v/>
      </c>
      <c r="E1084" s="77"/>
      <c r="F1084" s="45"/>
      <c r="G1084" s="56"/>
      <c r="H1084" s="83"/>
      <c r="I1084" s="35" t="str">
        <f t="shared" si="66"/>
        <v/>
      </c>
    </row>
    <row r="1085" spans="1:9">
      <c r="A1085" s="10" t="str">
        <f t="shared" si="67"/>
        <v/>
      </c>
      <c r="B1085" s="53"/>
      <c r="C1085" s="28" t="str">
        <f t="shared" si="64"/>
        <v/>
      </c>
      <c r="D1085" s="28" t="str">
        <f t="shared" si="65"/>
        <v/>
      </c>
      <c r="E1085" s="77"/>
      <c r="F1085" s="45"/>
      <c r="G1085" s="56"/>
      <c r="H1085" s="83"/>
      <c r="I1085" s="35" t="str">
        <f t="shared" si="66"/>
        <v/>
      </c>
    </row>
    <row r="1086" spans="1:9">
      <c r="A1086" s="10" t="str">
        <f t="shared" si="67"/>
        <v/>
      </c>
      <c r="B1086" s="53"/>
      <c r="C1086" s="28" t="str">
        <f t="shared" si="64"/>
        <v/>
      </c>
      <c r="D1086" s="28" t="str">
        <f t="shared" si="65"/>
        <v/>
      </c>
      <c r="E1086" s="77"/>
      <c r="F1086" s="45"/>
      <c r="G1086" s="56"/>
      <c r="H1086" s="83"/>
      <c r="I1086" s="35" t="str">
        <f t="shared" si="66"/>
        <v/>
      </c>
    </row>
    <row r="1087" spans="1:9">
      <c r="A1087" s="10" t="str">
        <f t="shared" si="67"/>
        <v/>
      </c>
      <c r="B1087" s="53"/>
      <c r="C1087" s="28" t="str">
        <f t="shared" si="64"/>
        <v/>
      </c>
      <c r="D1087" s="28" t="str">
        <f t="shared" si="65"/>
        <v/>
      </c>
      <c r="E1087" s="77"/>
      <c r="F1087" s="45"/>
      <c r="G1087" s="56"/>
      <c r="H1087" s="83"/>
      <c r="I1087" s="35" t="str">
        <f t="shared" si="66"/>
        <v/>
      </c>
    </row>
    <row r="1088" spans="1:9">
      <c r="A1088" s="10" t="str">
        <f t="shared" si="67"/>
        <v/>
      </c>
      <c r="B1088" s="53"/>
      <c r="C1088" s="28" t="str">
        <f t="shared" si="64"/>
        <v/>
      </c>
      <c r="D1088" s="28" t="str">
        <f t="shared" si="65"/>
        <v/>
      </c>
      <c r="E1088" s="77"/>
      <c r="F1088" s="45"/>
      <c r="G1088" s="56"/>
      <c r="H1088" s="83"/>
      <c r="I1088" s="35" t="str">
        <f t="shared" si="66"/>
        <v/>
      </c>
    </row>
    <row r="1089" spans="1:9">
      <c r="A1089" s="10" t="str">
        <f t="shared" si="67"/>
        <v/>
      </c>
      <c r="B1089" s="53"/>
      <c r="C1089" s="28" t="str">
        <f t="shared" si="64"/>
        <v/>
      </c>
      <c r="D1089" s="28" t="str">
        <f t="shared" si="65"/>
        <v/>
      </c>
      <c r="E1089" s="77"/>
      <c r="F1089" s="45"/>
      <c r="G1089" s="56"/>
      <c r="H1089" s="83"/>
      <c r="I1089" s="35" t="str">
        <f t="shared" si="66"/>
        <v/>
      </c>
    </row>
    <row r="1090" spans="1:9">
      <c r="A1090" s="10" t="str">
        <f t="shared" si="67"/>
        <v/>
      </c>
      <c r="B1090" s="53"/>
      <c r="C1090" s="28" t="str">
        <f t="shared" si="64"/>
        <v/>
      </c>
      <c r="D1090" s="28" t="str">
        <f t="shared" si="65"/>
        <v/>
      </c>
      <c r="E1090" s="77"/>
      <c r="F1090" s="45"/>
      <c r="G1090" s="56"/>
      <c r="H1090" s="83"/>
      <c r="I1090" s="35" t="str">
        <f t="shared" si="66"/>
        <v/>
      </c>
    </row>
    <row r="1091" spans="1:9">
      <c r="A1091" s="10" t="str">
        <f t="shared" si="67"/>
        <v/>
      </c>
      <c r="B1091" s="53"/>
      <c r="C1091" s="28" t="str">
        <f t="shared" ref="C1091:C1154" si="68">IF(B1091=0,"",TEXT(B1091,"mmmm"))</f>
        <v/>
      </c>
      <c r="D1091" s="28" t="str">
        <f t="shared" ref="D1091:D1154" si="69">IF(B1091=0,"",TEXT(B1091,"yyyy"))</f>
        <v/>
      </c>
      <c r="E1091" s="77"/>
      <c r="F1091" s="45"/>
      <c r="G1091" s="56"/>
      <c r="H1091" s="83"/>
      <c r="I1091" s="35" t="str">
        <f t="shared" ref="I1091:I1154" si="70">IF(G1091*H1091=0,"",G1091*H1091)</f>
        <v/>
      </c>
    </row>
    <row r="1092" spans="1:9">
      <c r="A1092" s="10" t="str">
        <f t="shared" ref="A1092:A1155" si="71">IF(E1092&gt;0,A1091+1,"")</f>
        <v/>
      </c>
      <c r="B1092" s="53"/>
      <c r="C1092" s="28" t="str">
        <f t="shared" si="68"/>
        <v/>
      </c>
      <c r="D1092" s="28" t="str">
        <f t="shared" si="69"/>
        <v/>
      </c>
      <c r="E1092" s="77"/>
      <c r="F1092" s="45"/>
      <c r="G1092" s="56"/>
      <c r="H1092" s="83"/>
      <c r="I1092" s="35" t="str">
        <f t="shared" si="70"/>
        <v/>
      </c>
    </row>
    <row r="1093" spans="1:9">
      <c r="A1093" s="10" t="str">
        <f t="shared" si="71"/>
        <v/>
      </c>
      <c r="B1093" s="53"/>
      <c r="C1093" s="28" t="str">
        <f t="shared" si="68"/>
        <v/>
      </c>
      <c r="D1093" s="28" t="str">
        <f t="shared" si="69"/>
        <v/>
      </c>
      <c r="E1093" s="77"/>
      <c r="F1093" s="45"/>
      <c r="G1093" s="56"/>
      <c r="H1093" s="83"/>
      <c r="I1093" s="35" t="str">
        <f t="shared" si="70"/>
        <v/>
      </c>
    </row>
    <row r="1094" spans="1:9">
      <c r="A1094" s="10" t="str">
        <f t="shared" si="71"/>
        <v/>
      </c>
      <c r="B1094" s="53"/>
      <c r="C1094" s="28" t="str">
        <f t="shared" si="68"/>
        <v/>
      </c>
      <c r="D1094" s="28" t="str">
        <f t="shared" si="69"/>
        <v/>
      </c>
      <c r="E1094" s="77"/>
      <c r="F1094" s="45"/>
      <c r="G1094" s="56"/>
      <c r="H1094" s="83"/>
      <c r="I1094" s="35" t="str">
        <f t="shared" si="70"/>
        <v/>
      </c>
    </row>
    <row r="1095" spans="1:9">
      <c r="A1095" s="10" t="str">
        <f t="shared" si="71"/>
        <v/>
      </c>
      <c r="B1095" s="53"/>
      <c r="C1095" s="28" t="str">
        <f t="shared" si="68"/>
        <v/>
      </c>
      <c r="D1095" s="28" t="str">
        <f t="shared" si="69"/>
        <v/>
      </c>
      <c r="E1095" s="77"/>
      <c r="F1095" s="45"/>
      <c r="G1095" s="56"/>
      <c r="H1095" s="83"/>
      <c r="I1095" s="35" t="str">
        <f t="shared" si="70"/>
        <v/>
      </c>
    </row>
    <row r="1096" spans="1:9">
      <c r="A1096" s="10" t="str">
        <f t="shared" si="71"/>
        <v/>
      </c>
      <c r="B1096" s="53"/>
      <c r="C1096" s="28" t="str">
        <f t="shared" si="68"/>
        <v/>
      </c>
      <c r="D1096" s="28" t="str">
        <f t="shared" si="69"/>
        <v/>
      </c>
      <c r="E1096" s="77"/>
      <c r="F1096" s="45"/>
      <c r="G1096" s="56"/>
      <c r="H1096" s="83"/>
      <c r="I1096" s="35" t="str">
        <f t="shared" si="70"/>
        <v/>
      </c>
    </row>
    <row r="1097" spans="1:9">
      <c r="A1097" s="10" t="str">
        <f t="shared" si="71"/>
        <v/>
      </c>
      <c r="B1097" s="53"/>
      <c r="C1097" s="28" t="str">
        <f t="shared" si="68"/>
        <v/>
      </c>
      <c r="D1097" s="28" t="str">
        <f t="shared" si="69"/>
        <v/>
      </c>
      <c r="E1097" s="77"/>
      <c r="F1097" s="45"/>
      <c r="G1097" s="56"/>
      <c r="H1097" s="83"/>
      <c r="I1097" s="35" t="str">
        <f t="shared" si="70"/>
        <v/>
      </c>
    </row>
    <row r="1098" spans="1:9">
      <c r="A1098" s="10" t="str">
        <f t="shared" si="71"/>
        <v/>
      </c>
      <c r="B1098" s="53"/>
      <c r="C1098" s="28" t="str">
        <f t="shared" si="68"/>
        <v/>
      </c>
      <c r="D1098" s="28" t="str">
        <f t="shared" si="69"/>
        <v/>
      </c>
      <c r="E1098" s="77"/>
      <c r="F1098" s="45"/>
      <c r="G1098" s="56"/>
      <c r="H1098" s="83"/>
      <c r="I1098" s="35" t="str">
        <f t="shared" si="70"/>
        <v/>
      </c>
    </row>
    <row r="1099" spans="1:9">
      <c r="A1099" s="10" t="str">
        <f t="shared" si="71"/>
        <v/>
      </c>
      <c r="B1099" s="53"/>
      <c r="C1099" s="28" t="str">
        <f t="shared" si="68"/>
        <v/>
      </c>
      <c r="D1099" s="28" t="str">
        <f t="shared" si="69"/>
        <v/>
      </c>
      <c r="E1099" s="77"/>
      <c r="F1099" s="45"/>
      <c r="G1099" s="56"/>
      <c r="H1099" s="83"/>
      <c r="I1099" s="35" t="str">
        <f t="shared" si="70"/>
        <v/>
      </c>
    </row>
    <row r="1100" spans="1:9">
      <c r="A1100" s="10" t="str">
        <f t="shared" si="71"/>
        <v/>
      </c>
      <c r="B1100" s="53"/>
      <c r="C1100" s="28" t="str">
        <f t="shared" si="68"/>
        <v/>
      </c>
      <c r="D1100" s="28" t="str">
        <f t="shared" si="69"/>
        <v/>
      </c>
      <c r="E1100" s="77"/>
      <c r="F1100" s="45"/>
      <c r="G1100" s="56"/>
      <c r="H1100" s="83"/>
      <c r="I1100" s="35" t="str">
        <f t="shared" si="70"/>
        <v/>
      </c>
    </row>
    <row r="1101" spans="1:9">
      <c r="A1101" s="10" t="str">
        <f t="shared" si="71"/>
        <v/>
      </c>
      <c r="B1101" s="53"/>
      <c r="C1101" s="28" t="str">
        <f t="shared" si="68"/>
        <v/>
      </c>
      <c r="D1101" s="28" t="str">
        <f t="shared" si="69"/>
        <v/>
      </c>
      <c r="E1101" s="77"/>
      <c r="F1101" s="45"/>
      <c r="G1101" s="56"/>
      <c r="H1101" s="83"/>
      <c r="I1101" s="35" t="str">
        <f t="shared" si="70"/>
        <v/>
      </c>
    </row>
    <row r="1102" spans="1:9">
      <c r="A1102" s="10" t="str">
        <f t="shared" si="71"/>
        <v/>
      </c>
      <c r="B1102" s="53"/>
      <c r="C1102" s="28" t="str">
        <f t="shared" si="68"/>
        <v/>
      </c>
      <c r="D1102" s="28" t="str">
        <f t="shared" si="69"/>
        <v/>
      </c>
      <c r="E1102" s="77"/>
      <c r="F1102" s="45"/>
      <c r="G1102" s="56"/>
      <c r="H1102" s="83"/>
      <c r="I1102" s="35" t="str">
        <f t="shared" si="70"/>
        <v/>
      </c>
    </row>
    <row r="1103" spans="1:9">
      <c r="A1103" s="10" t="str">
        <f t="shared" si="71"/>
        <v/>
      </c>
      <c r="B1103" s="53"/>
      <c r="C1103" s="28" t="str">
        <f t="shared" si="68"/>
        <v/>
      </c>
      <c r="D1103" s="28" t="str">
        <f t="shared" si="69"/>
        <v/>
      </c>
      <c r="E1103" s="77"/>
      <c r="F1103" s="45"/>
      <c r="G1103" s="56"/>
      <c r="H1103" s="83"/>
      <c r="I1103" s="35" t="str">
        <f t="shared" si="70"/>
        <v/>
      </c>
    </row>
    <row r="1104" spans="1:9">
      <c r="A1104" s="10" t="str">
        <f t="shared" si="71"/>
        <v/>
      </c>
      <c r="B1104" s="53"/>
      <c r="C1104" s="28" t="str">
        <f t="shared" si="68"/>
        <v/>
      </c>
      <c r="D1104" s="28" t="str">
        <f t="shared" si="69"/>
        <v/>
      </c>
      <c r="E1104" s="77"/>
      <c r="F1104" s="45"/>
      <c r="G1104" s="56"/>
      <c r="H1104" s="83"/>
      <c r="I1104" s="35" t="str">
        <f t="shared" si="70"/>
        <v/>
      </c>
    </row>
    <row r="1105" spans="1:9">
      <c r="A1105" s="10" t="str">
        <f t="shared" si="71"/>
        <v/>
      </c>
      <c r="B1105" s="53"/>
      <c r="C1105" s="28" t="str">
        <f t="shared" si="68"/>
        <v/>
      </c>
      <c r="D1105" s="28" t="str">
        <f t="shared" si="69"/>
        <v/>
      </c>
      <c r="E1105" s="77"/>
      <c r="F1105" s="45"/>
      <c r="G1105" s="56"/>
      <c r="H1105" s="83"/>
      <c r="I1105" s="35" t="str">
        <f t="shared" si="70"/>
        <v/>
      </c>
    </row>
    <row r="1106" spans="1:9">
      <c r="A1106" s="10" t="str">
        <f t="shared" si="71"/>
        <v/>
      </c>
      <c r="B1106" s="53"/>
      <c r="C1106" s="28" t="str">
        <f t="shared" si="68"/>
        <v/>
      </c>
      <c r="D1106" s="28" t="str">
        <f t="shared" si="69"/>
        <v/>
      </c>
      <c r="E1106" s="77"/>
      <c r="F1106" s="45"/>
      <c r="G1106" s="56"/>
      <c r="H1106" s="83"/>
      <c r="I1106" s="35" t="str">
        <f t="shared" si="70"/>
        <v/>
      </c>
    </row>
    <row r="1107" spans="1:9">
      <c r="A1107" s="10" t="str">
        <f t="shared" si="71"/>
        <v/>
      </c>
      <c r="B1107" s="53"/>
      <c r="C1107" s="28" t="str">
        <f t="shared" si="68"/>
        <v/>
      </c>
      <c r="D1107" s="28" t="str">
        <f t="shared" si="69"/>
        <v/>
      </c>
      <c r="E1107" s="77"/>
      <c r="F1107" s="45"/>
      <c r="G1107" s="56"/>
      <c r="H1107" s="83"/>
      <c r="I1107" s="35" t="str">
        <f t="shared" si="70"/>
        <v/>
      </c>
    </row>
    <row r="1108" spans="1:9">
      <c r="A1108" s="10" t="str">
        <f t="shared" si="71"/>
        <v/>
      </c>
      <c r="B1108" s="53"/>
      <c r="C1108" s="28" t="str">
        <f t="shared" si="68"/>
        <v/>
      </c>
      <c r="D1108" s="28" t="str">
        <f t="shared" si="69"/>
        <v/>
      </c>
      <c r="E1108" s="77"/>
      <c r="F1108" s="45"/>
      <c r="G1108" s="56"/>
      <c r="H1108" s="83"/>
      <c r="I1108" s="35" t="str">
        <f t="shared" si="70"/>
        <v/>
      </c>
    </row>
    <row r="1109" spans="1:9">
      <c r="A1109" s="10" t="str">
        <f t="shared" si="71"/>
        <v/>
      </c>
      <c r="B1109" s="53"/>
      <c r="C1109" s="28" t="str">
        <f t="shared" si="68"/>
        <v/>
      </c>
      <c r="D1109" s="28" t="str">
        <f t="shared" si="69"/>
        <v/>
      </c>
      <c r="E1109" s="77"/>
      <c r="F1109" s="45"/>
      <c r="G1109" s="56"/>
      <c r="H1109" s="83"/>
      <c r="I1109" s="35" t="str">
        <f t="shared" si="70"/>
        <v/>
      </c>
    </row>
    <row r="1110" spans="1:9">
      <c r="A1110" s="10" t="str">
        <f t="shared" si="71"/>
        <v/>
      </c>
      <c r="B1110" s="53"/>
      <c r="C1110" s="28" t="str">
        <f t="shared" si="68"/>
        <v/>
      </c>
      <c r="D1110" s="28" t="str">
        <f t="shared" si="69"/>
        <v/>
      </c>
      <c r="E1110" s="77"/>
      <c r="F1110" s="45"/>
      <c r="G1110" s="56"/>
      <c r="H1110" s="83"/>
      <c r="I1110" s="35" t="str">
        <f t="shared" si="70"/>
        <v/>
      </c>
    </row>
    <row r="1111" spans="1:9">
      <c r="A1111" s="10" t="str">
        <f t="shared" si="71"/>
        <v/>
      </c>
      <c r="B1111" s="53"/>
      <c r="C1111" s="28" t="str">
        <f t="shared" si="68"/>
        <v/>
      </c>
      <c r="D1111" s="28" t="str">
        <f t="shared" si="69"/>
        <v/>
      </c>
      <c r="E1111" s="77"/>
      <c r="F1111" s="45"/>
      <c r="G1111" s="56"/>
      <c r="H1111" s="83"/>
      <c r="I1111" s="35" t="str">
        <f t="shared" si="70"/>
        <v/>
      </c>
    </row>
    <row r="1112" spans="1:9">
      <c r="A1112" s="10" t="str">
        <f t="shared" si="71"/>
        <v/>
      </c>
      <c r="B1112" s="53"/>
      <c r="C1112" s="28" t="str">
        <f t="shared" si="68"/>
        <v/>
      </c>
      <c r="D1112" s="28" t="str">
        <f t="shared" si="69"/>
        <v/>
      </c>
      <c r="E1112" s="77"/>
      <c r="F1112" s="45"/>
      <c r="G1112" s="56"/>
      <c r="H1112" s="83"/>
      <c r="I1112" s="35" t="str">
        <f t="shared" si="70"/>
        <v/>
      </c>
    </row>
    <row r="1113" spans="1:9">
      <c r="A1113" s="10" t="str">
        <f t="shared" si="71"/>
        <v/>
      </c>
      <c r="B1113" s="53"/>
      <c r="C1113" s="28" t="str">
        <f t="shared" si="68"/>
        <v/>
      </c>
      <c r="D1113" s="28" t="str">
        <f t="shared" si="69"/>
        <v/>
      </c>
      <c r="E1113" s="77"/>
      <c r="F1113" s="45"/>
      <c r="G1113" s="56"/>
      <c r="H1113" s="83"/>
      <c r="I1113" s="35" t="str">
        <f t="shared" si="70"/>
        <v/>
      </c>
    </row>
    <row r="1114" spans="1:9">
      <c r="A1114" s="10" t="str">
        <f t="shared" si="71"/>
        <v/>
      </c>
      <c r="B1114" s="53"/>
      <c r="C1114" s="28" t="str">
        <f t="shared" si="68"/>
        <v/>
      </c>
      <c r="D1114" s="28" t="str">
        <f t="shared" si="69"/>
        <v/>
      </c>
      <c r="E1114" s="77"/>
      <c r="F1114" s="45"/>
      <c r="G1114" s="56"/>
      <c r="H1114" s="83"/>
      <c r="I1114" s="35" t="str">
        <f t="shared" si="70"/>
        <v/>
      </c>
    </row>
    <row r="1115" spans="1:9">
      <c r="A1115" s="10" t="str">
        <f t="shared" si="71"/>
        <v/>
      </c>
      <c r="B1115" s="53"/>
      <c r="C1115" s="28" t="str">
        <f t="shared" si="68"/>
        <v/>
      </c>
      <c r="D1115" s="28" t="str">
        <f t="shared" si="69"/>
        <v/>
      </c>
      <c r="E1115" s="77"/>
      <c r="F1115" s="45"/>
      <c r="G1115" s="56"/>
      <c r="H1115" s="83"/>
      <c r="I1115" s="35" t="str">
        <f t="shared" si="70"/>
        <v/>
      </c>
    </row>
    <row r="1116" spans="1:9">
      <c r="A1116" s="10" t="str">
        <f t="shared" si="71"/>
        <v/>
      </c>
      <c r="B1116" s="53"/>
      <c r="C1116" s="28" t="str">
        <f t="shared" si="68"/>
        <v/>
      </c>
      <c r="D1116" s="28" t="str">
        <f t="shared" si="69"/>
        <v/>
      </c>
      <c r="E1116" s="77"/>
      <c r="F1116" s="45"/>
      <c r="G1116" s="56"/>
      <c r="H1116" s="83"/>
      <c r="I1116" s="35" t="str">
        <f t="shared" si="70"/>
        <v/>
      </c>
    </row>
    <row r="1117" spans="1:9">
      <c r="A1117" s="10" t="str">
        <f t="shared" si="71"/>
        <v/>
      </c>
      <c r="B1117" s="53"/>
      <c r="C1117" s="28" t="str">
        <f t="shared" si="68"/>
        <v/>
      </c>
      <c r="D1117" s="28" t="str">
        <f t="shared" si="69"/>
        <v/>
      </c>
      <c r="E1117" s="77"/>
      <c r="F1117" s="45"/>
      <c r="G1117" s="56"/>
      <c r="H1117" s="83"/>
      <c r="I1117" s="35" t="str">
        <f t="shared" si="70"/>
        <v/>
      </c>
    </row>
    <row r="1118" spans="1:9">
      <c r="A1118" s="10" t="str">
        <f t="shared" si="71"/>
        <v/>
      </c>
      <c r="B1118" s="53"/>
      <c r="C1118" s="28" t="str">
        <f t="shared" si="68"/>
        <v/>
      </c>
      <c r="D1118" s="28" t="str">
        <f t="shared" si="69"/>
        <v/>
      </c>
      <c r="E1118" s="77"/>
      <c r="F1118" s="45"/>
      <c r="G1118" s="56"/>
      <c r="H1118" s="83"/>
      <c r="I1118" s="35" t="str">
        <f t="shared" si="70"/>
        <v/>
      </c>
    </row>
    <row r="1119" spans="1:9">
      <c r="A1119" s="10" t="str">
        <f t="shared" si="71"/>
        <v/>
      </c>
      <c r="B1119" s="53"/>
      <c r="C1119" s="28" t="str">
        <f t="shared" si="68"/>
        <v/>
      </c>
      <c r="D1119" s="28" t="str">
        <f t="shared" si="69"/>
        <v/>
      </c>
      <c r="E1119" s="77"/>
      <c r="F1119" s="45"/>
      <c r="G1119" s="56"/>
      <c r="H1119" s="83"/>
      <c r="I1119" s="35" t="str">
        <f t="shared" si="70"/>
        <v/>
      </c>
    </row>
    <row r="1120" spans="1:9">
      <c r="A1120" s="10" t="str">
        <f t="shared" si="71"/>
        <v/>
      </c>
      <c r="B1120" s="53"/>
      <c r="C1120" s="28" t="str">
        <f t="shared" si="68"/>
        <v/>
      </c>
      <c r="D1120" s="28" t="str">
        <f t="shared" si="69"/>
        <v/>
      </c>
      <c r="E1120" s="77"/>
      <c r="F1120" s="45"/>
      <c r="G1120" s="56"/>
      <c r="H1120" s="83"/>
      <c r="I1120" s="35" t="str">
        <f t="shared" si="70"/>
        <v/>
      </c>
    </row>
    <row r="1121" spans="1:9">
      <c r="A1121" s="10" t="str">
        <f t="shared" si="71"/>
        <v/>
      </c>
      <c r="B1121" s="53"/>
      <c r="C1121" s="28" t="str">
        <f t="shared" si="68"/>
        <v/>
      </c>
      <c r="D1121" s="28" t="str">
        <f t="shared" si="69"/>
        <v/>
      </c>
      <c r="E1121" s="77"/>
      <c r="F1121" s="45"/>
      <c r="G1121" s="56"/>
      <c r="H1121" s="83"/>
      <c r="I1121" s="35" t="str">
        <f t="shared" si="70"/>
        <v/>
      </c>
    </row>
    <row r="1122" spans="1:9">
      <c r="A1122" s="10" t="str">
        <f t="shared" si="71"/>
        <v/>
      </c>
      <c r="B1122" s="53"/>
      <c r="C1122" s="28" t="str">
        <f t="shared" si="68"/>
        <v/>
      </c>
      <c r="D1122" s="28" t="str">
        <f t="shared" si="69"/>
        <v/>
      </c>
      <c r="E1122" s="77"/>
      <c r="F1122" s="45"/>
      <c r="G1122" s="56"/>
      <c r="H1122" s="83"/>
      <c r="I1122" s="35" t="str">
        <f t="shared" si="70"/>
        <v/>
      </c>
    </row>
    <row r="1123" spans="1:9">
      <c r="A1123" s="10" t="str">
        <f t="shared" si="71"/>
        <v/>
      </c>
      <c r="B1123" s="53"/>
      <c r="C1123" s="28" t="str">
        <f t="shared" si="68"/>
        <v/>
      </c>
      <c r="D1123" s="28" t="str">
        <f t="shared" si="69"/>
        <v/>
      </c>
      <c r="E1123" s="77"/>
      <c r="F1123" s="45"/>
      <c r="G1123" s="56"/>
      <c r="H1123" s="83"/>
      <c r="I1123" s="35" t="str">
        <f t="shared" si="70"/>
        <v/>
      </c>
    </row>
    <row r="1124" spans="1:9">
      <c r="A1124" s="10" t="str">
        <f t="shared" si="71"/>
        <v/>
      </c>
      <c r="B1124" s="53"/>
      <c r="C1124" s="28" t="str">
        <f t="shared" si="68"/>
        <v/>
      </c>
      <c r="D1124" s="28" t="str">
        <f t="shared" si="69"/>
        <v/>
      </c>
      <c r="E1124" s="77"/>
      <c r="F1124" s="45"/>
      <c r="G1124" s="56"/>
      <c r="H1124" s="83"/>
      <c r="I1124" s="35" t="str">
        <f t="shared" si="70"/>
        <v/>
      </c>
    </row>
    <row r="1125" spans="1:9">
      <c r="A1125" s="10" t="str">
        <f t="shared" si="71"/>
        <v/>
      </c>
      <c r="B1125" s="53"/>
      <c r="C1125" s="28" t="str">
        <f t="shared" si="68"/>
        <v/>
      </c>
      <c r="D1125" s="28" t="str">
        <f t="shared" si="69"/>
        <v/>
      </c>
      <c r="E1125" s="77"/>
      <c r="F1125" s="45"/>
      <c r="G1125" s="56"/>
      <c r="H1125" s="83"/>
      <c r="I1125" s="35" t="str">
        <f t="shared" si="70"/>
        <v/>
      </c>
    </row>
    <row r="1126" spans="1:9">
      <c r="A1126" s="10" t="str">
        <f t="shared" si="71"/>
        <v/>
      </c>
      <c r="B1126" s="53"/>
      <c r="C1126" s="28" t="str">
        <f t="shared" si="68"/>
        <v/>
      </c>
      <c r="D1126" s="28" t="str">
        <f t="shared" si="69"/>
        <v/>
      </c>
      <c r="E1126" s="77"/>
      <c r="F1126" s="45"/>
      <c r="G1126" s="56"/>
      <c r="H1126" s="83"/>
      <c r="I1126" s="35" t="str">
        <f t="shared" si="70"/>
        <v/>
      </c>
    </row>
    <row r="1127" spans="1:9">
      <c r="A1127" s="10" t="str">
        <f t="shared" si="71"/>
        <v/>
      </c>
      <c r="B1127" s="53"/>
      <c r="C1127" s="28" t="str">
        <f t="shared" si="68"/>
        <v/>
      </c>
      <c r="D1127" s="28" t="str">
        <f t="shared" si="69"/>
        <v/>
      </c>
      <c r="E1127" s="77"/>
      <c r="F1127" s="45"/>
      <c r="G1127" s="56"/>
      <c r="H1127" s="83"/>
      <c r="I1127" s="35" t="str">
        <f t="shared" si="70"/>
        <v/>
      </c>
    </row>
    <row r="1128" spans="1:9">
      <c r="A1128" s="10" t="str">
        <f t="shared" si="71"/>
        <v/>
      </c>
      <c r="B1128" s="53"/>
      <c r="C1128" s="28" t="str">
        <f t="shared" si="68"/>
        <v/>
      </c>
      <c r="D1128" s="28" t="str">
        <f t="shared" si="69"/>
        <v/>
      </c>
      <c r="E1128" s="77"/>
      <c r="F1128" s="45"/>
      <c r="G1128" s="56"/>
      <c r="H1128" s="83"/>
      <c r="I1128" s="35" t="str">
        <f t="shared" si="70"/>
        <v/>
      </c>
    </row>
    <row r="1129" spans="1:9">
      <c r="A1129" s="10" t="str">
        <f t="shared" si="71"/>
        <v/>
      </c>
      <c r="B1129" s="53"/>
      <c r="C1129" s="28" t="str">
        <f t="shared" si="68"/>
        <v/>
      </c>
      <c r="D1129" s="28" t="str">
        <f t="shared" si="69"/>
        <v/>
      </c>
      <c r="E1129" s="77"/>
      <c r="F1129" s="45"/>
      <c r="G1129" s="56"/>
      <c r="H1129" s="83"/>
      <c r="I1129" s="35" t="str">
        <f t="shared" si="70"/>
        <v/>
      </c>
    </row>
    <row r="1130" spans="1:9">
      <c r="A1130" s="10" t="str">
        <f t="shared" si="71"/>
        <v/>
      </c>
      <c r="B1130" s="53"/>
      <c r="C1130" s="28" t="str">
        <f t="shared" si="68"/>
        <v/>
      </c>
      <c r="D1130" s="28" t="str">
        <f t="shared" si="69"/>
        <v/>
      </c>
      <c r="E1130" s="77"/>
      <c r="F1130" s="45"/>
      <c r="G1130" s="56"/>
      <c r="H1130" s="83"/>
      <c r="I1130" s="35" t="str">
        <f t="shared" si="70"/>
        <v/>
      </c>
    </row>
    <row r="1131" spans="1:9">
      <c r="A1131" s="10" t="str">
        <f t="shared" si="71"/>
        <v/>
      </c>
      <c r="B1131" s="53"/>
      <c r="C1131" s="28" t="str">
        <f t="shared" si="68"/>
        <v/>
      </c>
      <c r="D1131" s="28" t="str">
        <f t="shared" si="69"/>
        <v/>
      </c>
      <c r="E1131" s="77"/>
      <c r="F1131" s="45"/>
      <c r="G1131" s="56"/>
      <c r="H1131" s="83"/>
      <c r="I1131" s="35" t="str">
        <f t="shared" si="70"/>
        <v/>
      </c>
    </row>
    <row r="1132" spans="1:9">
      <c r="A1132" s="10" t="str">
        <f t="shared" si="71"/>
        <v/>
      </c>
      <c r="B1132" s="53"/>
      <c r="C1132" s="28" t="str">
        <f t="shared" si="68"/>
        <v/>
      </c>
      <c r="D1132" s="28" t="str">
        <f t="shared" si="69"/>
        <v/>
      </c>
      <c r="E1132" s="77"/>
      <c r="F1132" s="45"/>
      <c r="G1132" s="56"/>
      <c r="H1132" s="83"/>
      <c r="I1132" s="35" t="str">
        <f t="shared" si="70"/>
        <v/>
      </c>
    </row>
    <row r="1133" spans="1:9">
      <c r="A1133" s="10" t="str">
        <f t="shared" si="71"/>
        <v/>
      </c>
      <c r="B1133" s="53"/>
      <c r="C1133" s="28" t="str">
        <f t="shared" si="68"/>
        <v/>
      </c>
      <c r="D1133" s="28" t="str">
        <f t="shared" si="69"/>
        <v/>
      </c>
      <c r="E1133" s="77"/>
      <c r="F1133" s="45"/>
      <c r="G1133" s="56"/>
      <c r="H1133" s="83"/>
      <c r="I1133" s="35" t="str">
        <f t="shared" si="70"/>
        <v/>
      </c>
    </row>
    <row r="1134" spans="1:9">
      <c r="A1134" s="10" t="str">
        <f t="shared" si="71"/>
        <v/>
      </c>
      <c r="B1134" s="53"/>
      <c r="C1134" s="28" t="str">
        <f t="shared" si="68"/>
        <v/>
      </c>
      <c r="D1134" s="28" t="str">
        <f t="shared" si="69"/>
        <v/>
      </c>
      <c r="E1134" s="77"/>
      <c r="F1134" s="45"/>
      <c r="G1134" s="56"/>
      <c r="H1134" s="83"/>
      <c r="I1134" s="35" t="str">
        <f t="shared" si="70"/>
        <v/>
      </c>
    </row>
    <row r="1135" spans="1:9">
      <c r="A1135" s="10" t="str">
        <f t="shared" si="71"/>
        <v/>
      </c>
      <c r="B1135" s="53"/>
      <c r="C1135" s="28" t="str">
        <f t="shared" si="68"/>
        <v/>
      </c>
      <c r="D1135" s="28" t="str">
        <f t="shared" si="69"/>
        <v/>
      </c>
      <c r="E1135" s="77"/>
      <c r="F1135" s="45"/>
      <c r="G1135" s="56"/>
      <c r="H1135" s="83"/>
      <c r="I1135" s="35" t="str">
        <f t="shared" si="70"/>
        <v/>
      </c>
    </row>
    <row r="1136" spans="1:9">
      <c r="A1136" s="10" t="str">
        <f t="shared" si="71"/>
        <v/>
      </c>
      <c r="B1136" s="53"/>
      <c r="C1136" s="28" t="str">
        <f t="shared" si="68"/>
        <v/>
      </c>
      <c r="D1136" s="28" t="str">
        <f t="shared" si="69"/>
        <v/>
      </c>
      <c r="E1136" s="77"/>
      <c r="F1136" s="45"/>
      <c r="G1136" s="56"/>
      <c r="H1136" s="83"/>
      <c r="I1136" s="35" t="str">
        <f t="shared" si="70"/>
        <v/>
      </c>
    </row>
    <row r="1137" spans="1:9">
      <c r="A1137" s="10" t="str">
        <f t="shared" si="71"/>
        <v/>
      </c>
      <c r="B1137" s="53"/>
      <c r="C1137" s="28" t="str">
        <f t="shared" si="68"/>
        <v/>
      </c>
      <c r="D1137" s="28" t="str">
        <f t="shared" si="69"/>
        <v/>
      </c>
      <c r="E1137" s="77"/>
      <c r="F1137" s="45"/>
      <c r="G1137" s="56"/>
      <c r="H1137" s="83"/>
      <c r="I1137" s="35" t="str">
        <f t="shared" si="70"/>
        <v/>
      </c>
    </row>
    <row r="1138" spans="1:9">
      <c r="A1138" s="10" t="str">
        <f t="shared" si="71"/>
        <v/>
      </c>
      <c r="B1138" s="53"/>
      <c r="C1138" s="28" t="str">
        <f t="shared" si="68"/>
        <v/>
      </c>
      <c r="D1138" s="28" t="str">
        <f t="shared" si="69"/>
        <v/>
      </c>
      <c r="E1138" s="77"/>
      <c r="F1138" s="45"/>
      <c r="G1138" s="56"/>
      <c r="H1138" s="83"/>
      <c r="I1138" s="35" t="str">
        <f t="shared" si="70"/>
        <v/>
      </c>
    </row>
    <row r="1139" spans="1:9">
      <c r="A1139" s="10" t="str">
        <f t="shared" si="71"/>
        <v/>
      </c>
      <c r="B1139" s="53"/>
      <c r="C1139" s="28" t="str">
        <f t="shared" si="68"/>
        <v/>
      </c>
      <c r="D1139" s="28" t="str">
        <f t="shared" si="69"/>
        <v/>
      </c>
      <c r="E1139" s="77"/>
      <c r="F1139" s="45"/>
      <c r="G1139" s="56"/>
      <c r="H1139" s="83"/>
      <c r="I1139" s="35" t="str">
        <f t="shared" si="70"/>
        <v/>
      </c>
    </row>
    <row r="1140" spans="1:9">
      <c r="A1140" s="10" t="str">
        <f t="shared" si="71"/>
        <v/>
      </c>
      <c r="B1140" s="53"/>
      <c r="C1140" s="28" t="str">
        <f t="shared" si="68"/>
        <v/>
      </c>
      <c r="D1140" s="28" t="str">
        <f t="shared" si="69"/>
        <v/>
      </c>
      <c r="E1140" s="77"/>
      <c r="F1140" s="45"/>
      <c r="G1140" s="56"/>
      <c r="H1140" s="83"/>
      <c r="I1140" s="35" t="str">
        <f t="shared" si="70"/>
        <v/>
      </c>
    </row>
    <row r="1141" spans="1:9">
      <c r="A1141" s="10" t="str">
        <f t="shared" si="71"/>
        <v/>
      </c>
      <c r="B1141" s="53"/>
      <c r="C1141" s="28" t="str">
        <f t="shared" si="68"/>
        <v/>
      </c>
      <c r="D1141" s="28" t="str">
        <f t="shared" si="69"/>
        <v/>
      </c>
      <c r="E1141" s="77"/>
      <c r="F1141" s="45"/>
      <c r="G1141" s="56"/>
      <c r="H1141" s="83"/>
      <c r="I1141" s="35" t="str">
        <f t="shared" si="70"/>
        <v/>
      </c>
    </row>
    <row r="1142" spans="1:9">
      <c r="A1142" s="10" t="str">
        <f t="shared" si="71"/>
        <v/>
      </c>
      <c r="B1142" s="53"/>
      <c r="C1142" s="28" t="str">
        <f t="shared" si="68"/>
        <v/>
      </c>
      <c r="D1142" s="28" t="str">
        <f t="shared" si="69"/>
        <v/>
      </c>
      <c r="E1142" s="77"/>
      <c r="F1142" s="45"/>
      <c r="G1142" s="56"/>
      <c r="H1142" s="83"/>
      <c r="I1142" s="35" t="str">
        <f t="shared" si="70"/>
        <v/>
      </c>
    </row>
    <row r="1143" spans="1:9">
      <c r="A1143" s="10" t="str">
        <f t="shared" si="71"/>
        <v/>
      </c>
      <c r="B1143" s="53"/>
      <c r="C1143" s="28" t="str">
        <f t="shared" si="68"/>
        <v/>
      </c>
      <c r="D1143" s="28" t="str">
        <f t="shared" si="69"/>
        <v/>
      </c>
      <c r="E1143" s="77"/>
      <c r="F1143" s="45"/>
      <c r="G1143" s="56"/>
      <c r="H1143" s="83"/>
      <c r="I1143" s="35" t="str">
        <f t="shared" si="70"/>
        <v/>
      </c>
    </row>
    <row r="1144" spans="1:9">
      <c r="A1144" s="10" t="str">
        <f t="shared" si="71"/>
        <v/>
      </c>
      <c r="B1144" s="53"/>
      <c r="C1144" s="28" t="str">
        <f t="shared" si="68"/>
        <v/>
      </c>
      <c r="D1144" s="28" t="str">
        <f t="shared" si="69"/>
        <v/>
      </c>
      <c r="E1144" s="77"/>
      <c r="F1144" s="45"/>
      <c r="G1144" s="56"/>
      <c r="H1144" s="83"/>
      <c r="I1144" s="35" t="str">
        <f t="shared" si="70"/>
        <v/>
      </c>
    </row>
    <row r="1145" spans="1:9">
      <c r="A1145" s="10" t="str">
        <f t="shared" si="71"/>
        <v/>
      </c>
      <c r="B1145" s="53"/>
      <c r="C1145" s="28" t="str">
        <f t="shared" si="68"/>
        <v/>
      </c>
      <c r="D1145" s="28" t="str">
        <f t="shared" si="69"/>
        <v/>
      </c>
      <c r="E1145" s="77"/>
      <c r="F1145" s="45"/>
      <c r="G1145" s="56"/>
      <c r="H1145" s="83"/>
      <c r="I1145" s="35" t="str">
        <f t="shared" si="70"/>
        <v/>
      </c>
    </row>
    <row r="1146" spans="1:9">
      <c r="A1146" s="10" t="str">
        <f t="shared" si="71"/>
        <v/>
      </c>
      <c r="B1146" s="53"/>
      <c r="C1146" s="28" t="str">
        <f t="shared" si="68"/>
        <v/>
      </c>
      <c r="D1146" s="28" t="str">
        <f t="shared" si="69"/>
        <v/>
      </c>
      <c r="E1146" s="77"/>
      <c r="F1146" s="45"/>
      <c r="G1146" s="56"/>
      <c r="H1146" s="83"/>
      <c r="I1146" s="35" t="str">
        <f t="shared" si="70"/>
        <v/>
      </c>
    </row>
    <row r="1147" spans="1:9">
      <c r="A1147" s="10" t="str">
        <f t="shared" si="71"/>
        <v/>
      </c>
      <c r="B1147" s="53"/>
      <c r="C1147" s="28" t="str">
        <f t="shared" si="68"/>
        <v/>
      </c>
      <c r="D1147" s="28" t="str">
        <f t="shared" si="69"/>
        <v/>
      </c>
      <c r="E1147" s="77"/>
      <c r="F1147" s="45"/>
      <c r="G1147" s="56"/>
      <c r="H1147" s="83"/>
      <c r="I1147" s="35" t="str">
        <f t="shared" si="70"/>
        <v/>
      </c>
    </row>
    <row r="1148" spans="1:9">
      <c r="A1148" s="10" t="str">
        <f t="shared" si="71"/>
        <v/>
      </c>
      <c r="B1148" s="53"/>
      <c r="C1148" s="28" t="str">
        <f t="shared" si="68"/>
        <v/>
      </c>
      <c r="D1148" s="28" t="str">
        <f t="shared" si="69"/>
        <v/>
      </c>
      <c r="E1148" s="77"/>
      <c r="F1148" s="45"/>
      <c r="G1148" s="56"/>
      <c r="H1148" s="83"/>
      <c r="I1148" s="35" t="str">
        <f t="shared" si="70"/>
        <v/>
      </c>
    </row>
    <row r="1149" spans="1:9">
      <c r="A1149" s="10" t="str">
        <f t="shared" si="71"/>
        <v/>
      </c>
      <c r="B1149" s="53"/>
      <c r="C1149" s="28" t="str">
        <f t="shared" si="68"/>
        <v/>
      </c>
      <c r="D1149" s="28" t="str">
        <f t="shared" si="69"/>
        <v/>
      </c>
      <c r="E1149" s="77"/>
      <c r="F1149" s="45"/>
      <c r="G1149" s="56"/>
      <c r="H1149" s="83"/>
      <c r="I1149" s="35" t="str">
        <f t="shared" si="70"/>
        <v/>
      </c>
    </row>
    <row r="1150" spans="1:9">
      <c r="A1150" s="10" t="str">
        <f t="shared" si="71"/>
        <v/>
      </c>
      <c r="B1150" s="53"/>
      <c r="C1150" s="28" t="str">
        <f t="shared" si="68"/>
        <v/>
      </c>
      <c r="D1150" s="28" t="str">
        <f t="shared" si="69"/>
        <v/>
      </c>
      <c r="E1150" s="77"/>
      <c r="F1150" s="45"/>
      <c r="G1150" s="56"/>
      <c r="H1150" s="83"/>
      <c r="I1150" s="35" t="str">
        <f t="shared" si="70"/>
        <v/>
      </c>
    </row>
    <row r="1151" spans="1:9">
      <c r="A1151" s="10" t="str">
        <f t="shared" si="71"/>
        <v/>
      </c>
      <c r="B1151" s="53"/>
      <c r="C1151" s="28" t="str">
        <f t="shared" si="68"/>
        <v/>
      </c>
      <c r="D1151" s="28" t="str">
        <f t="shared" si="69"/>
        <v/>
      </c>
      <c r="E1151" s="77"/>
      <c r="F1151" s="45"/>
      <c r="G1151" s="56"/>
      <c r="H1151" s="83"/>
      <c r="I1151" s="35" t="str">
        <f t="shared" si="70"/>
        <v/>
      </c>
    </row>
    <row r="1152" spans="1:9">
      <c r="A1152" s="10" t="str">
        <f t="shared" si="71"/>
        <v/>
      </c>
      <c r="B1152" s="53"/>
      <c r="C1152" s="28" t="str">
        <f t="shared" si="68"/>
        <v/>
      </c>
      <c r="D1152" s="28" t="str">
        <f t="shared" si="69"/>
        <v/>
      </c>
      <c r="E1152" s="77"/>
      <c r="F1152" s="45"/>
      <c r="G1152" s="56"/>
      <c r="H1152" s="83"/>
      <c r="I1152" s="35" t="str">
        <f t="shared" si="70"/>
        <v/>
      </c>
    </row>
    <row r="1153" spans="1:9">
      <c r="A1153" s="10" t="str">
        <f t="shared" si="71"/>
        <v/>
      </c>
      <c r="B1153" s="53"/>
      <c r="C1153" s="28" t="str">
        <f t="shared" si="68"/>
        <v/>
      </c>
      <c r="D1153" s="28" t="str">
        <f t="shared" si="69"/>
        <v/>
      </c>
      <c r="E1153" s="77"/>
      <c r="F1153" s="45"/>
      <c r="G1153" s="56"/>
      <c r="H1153" s="83"/>
      <c r="I1153" s="35" t="str">
        <f t="shared" si="70"/>
        <v/>
      </c>
    </row>
    <row r="1154" spans="1:9">
      <c r="A1154" s="10" t="str">
        <f t="shared" si="71"/>
        <v/>
      </c>
      <c r="B1154" s="53"/>
      <c r="C1154" s="28" t="str">
        <f t="shared" si="68"/>
        <v/>
      </c>
      <c r="D1154" s="28" t="str">
        <f t="shared" si="69"/>
        <v/>
      </c>
      <c r="E1154" s="77"/>
      <c r="F1154" s="45"/>
      <c r="G1154" s="56"/>
      <c r="H1154" s="83"/>
      <c r="I1154" s="35" t="str">
        <f t="shared" si="70"/>
        <v/>
      </c>
    </row>
    <row r="1155" spans="1:9">
      <c r="A1155" s="10" t="str">
        <f t="shared" si="71"/>
        <v/>
      </c>
      <c r="B1155" s="53"/>
      <c r="C1155" s="28" t="str">
        <f t="shared" ref="C1155:C1218" si="72">IF(B1155=0,"",TEXT(B1155,"mmmm"))</f>
        <v/>
      </c>
      <c r="D1155" s="28" t="str">
        <f t="shared" ref="D1155:D1218" si="73">IF(B1155=0,"",TEXT(B1155,"yyyy"))</f>
        <v/>
      </c>
      <c r="E1155" s="77"/>
      <c r="F1155" s="45"/>
      <c r="G1155" s="56"/>
      <c r="H1155" s="83"/>
      <c r="I1155" s="35" t="str">
        <f t="shared" ref="I1155:I1218" si="74">IF(G1155*H1155=0,"",G1155*H1155)</f>
        <v/>
      </c>
    </row>
    <row r="1156" spans="1:9">
      <c r="A1156" s="10" t="str">
        <f t="shared" ref="A1156:A1219" si="75">IF(E1156&gt;0,A1155+1,"")</f>
        <v/>
      </c>
      <c r="B1156" s="53"/>
      <c r="C1156" s="28" t="str">
        <f t="shared" si="72"/>
        <v/>
      </c>
      <c r="D1156" s="28" t="str">
        <f t="shared" si="73"/>
        <v/>
      </c>
      <c r="E1156" s="77"/>
      <c r="F1156" s="45"/>
      <c r="G1156" s="56"/>
      <c r="H1156" s="83"/>
      <c r="I1156" s="35" t="str">
        <f t="shared" si="74"/>
        <v/>
      </c>
    </row>
    <row r="1157" spans="1:9">
      <c r="A1157" s="10" t="str">
        <f t="shared" si="75"/>
        <v/>
      </c>
      <c r="B1157" s="53"/>
      <c r="C1157" s="28" t="str">
        <f t="shared" si="72"/>
        <v/>
      </c>
      <c r="D1157" s="28" t="str">
        <f t="shared" si="73"/>
        <v/>
      </c>
      <c r="E1157" s="77"/>
      <c r="F1157" s="45"/>
      <c r="G1157" s="56"/>
      <c r="H1157" s="83"/>
      <c r="I1157" s="35" t="str">
        <f t="shared" si="74"/>
        <v/>
      </c>
    </row>
    <row r="1158" spans="1:9">
      <c r="A1158" s="10" t="str">
        <f t="shared" si="75"/>
        <v/>
      </c>
      <c r="B1158" s="53"/>
      <c r="C1158" s="28" t="str">
        <f t="shared" si="72"/>
        <v/>
      </c>
      <c r="D1158" s="28" t="str">
        <f t="shared" si="73"/>
        <v/>
      </c>
      <c r="E1158" s="77"/>
      <c r="F1158" s="45"/>
      <c r="G1158" s="56"/>
      <c r="H1158" s="83"/>
      <c r="I1158" s="35" t="str">
        <f t="shared" si="74"/>
        <v/>
      </c>
    </row>
    <row r="1159" spans="1:9">
      <c r="A1159" s="10" t="str">
        <f t="shared" si="75"/>
        <v/>
      </c>
      <c r="B1159" s="53"/>
      <c r="C1159" s="28" t="str">
        <f t="shared" si="72"/>
        <v/>
      </c>
      <c r="D1159" s="28" t="str">
        <f t="shared" si="73"/>
        <v/>
      </c>
      <c r="E1159" s="77"/>
      <c r="F1159" s="45"/>
      <c r="G1159" s="56"/>
      <c r="H1159" s="83"/>
      <c r="I1159" s="35" t="str">
        <f t="shared" si="74"/>
        <v/>
      </c>
    </row>
    <row r="1160" spans="1:9">
      <c r="A1160" s="10" t="str">
        <f t="shared" si="75"/>
        <v/>
      </c>
      <c r="B1160" s="53"/>
      <c r="C1160" s="28" t="str">
        <f t="shared" si="72"/>
        <v/>
      </c>
      <c r="D1160" s="28" t="str">
        <f t="shared" si="73"/>
        <v/>
      </c>
      <c r="E1160" s="77"/>
      <c r="F1160" s="45"/>
      <c r="G1160" s="56"/>
      <c r="H1160" s="83"/>
      <c r="I1160" s="35" t="str">
        <f t="shared" si="74"/>
        <v/>
      </c>
    </row>
    <row r="1161" spans="1:9">
      <c r="A1161" s="10" t="str">
        <f t="shared" si="75"/>
        <v/>
      </c>
      <c r="B1161" s="53"/>
      <c r="C1161" s="28" t="str">
        <f t="shared" si="72"/>
        <v/>
      </c>
      <c r="D1161" s="28" t="str">
        <f t="shared" si="73"/>
        <v/>
      </c>
      <c r="E1161" s="77"/>
      <c r="F1161" s="45"/>
      <c r="G1161" s="56"/>
      <c r="H1161" s="83"/>
      <c r="I1161" s="35" t="str">
        <f t="shared" si="74"/>
        <v/>
      </c>
    </row>
    <row r="1162" spans="1:9">
      <c r="A1162" s="10" t="str">
        <f t="shared" si="75"/>
        <v/>
      </c>
      <c r="B1162" s="53"/>
      <c r="C1162" s="28" t="str">
        <f t="shared" si="72"/>
        <v/>
      </c>
      <c r="D1162" s="28" t="str">
        <f t="shared" si="73"/>
        <v/>
      </c>
      <c r="E1162" s="77"/>
      <c r="F1162" s="45"/>
      <c r="G1162" s="56"/>
      <c r="H1162" s="83"/>
      <c r="I1162" s="35" t="str">
        <f t="shared" si="74"/>
        <v/>
      </c>
    </row>
    <row r="1163" spans="1:9">
      <c r="A1163" s="10" t="str">
        <f t="shared" si="75"/>
        <v/>
      </c>
      <c r="B1163" s="53"/>
      <c r="C1163" s="28" t="str">
        <f t="shared" si="72"/>
        <v/>
      </c>
      <c r="D1163" s="28" t="str">
        <f t="shared" si="73"/>
        <v/>
      </c>
      <c r="E1163" s="77"/>
      <c r="F1163" s="45"/>
      <c r="G1163" s="56"/>
      <c r="H1163" s="83"/>
      <c r="I1163" s="35" t="str">
        <f t="shared" si="74"/>
        <v/>
      </c>
    </row>
    <row r="1164" spans="1:9">
      <c r="A1164" s="10" t="str">
        <f t="shared" si="75"/>
        <v/>
      </c>
      <c r="B1164" s="53"/>
      <c r="C1164" s="28" t="str">
        <f t="shared" si="72"/>
        <v/>
      </c>
      <c r="D1164" s="28" t="str">
        <f t="shared" si="73"/>
        <v/>
      </c>
      <c r="E1164" s="77"/>
      <c r="F1164" s="45"/>
      <c r="G1164" s="56"/>
      <c r="H1164" s="83"/>
      <c r="I1164" s="35" t="str">
        <f t="shared" si="74"/>
        <v/>
      </c>
    </row>
    <row r="1165" spans="1:9">
      <c r="A1165" s="10" t="str">
        <f t="shared" si="75"/>
        <v/>
      </c>
      <c r="B1165" s="53"/>
      <c r="C1165" s="28" t="str">
        <f t="shared" si="72"/>
        <v/>
      </c>
      <c r="D1165" s="28" t="str">
        <f t="shared" si="73"/>
        <v/>
      </c>
      <c r="E1165" s="77"/>
      <c r="F1165" s="45"/>
      <c r="G1165" s="56"/>
      <c r="H1165" s="83"/>
      <c r="I1165" s="35" t="str">
        <f t="shared" si="74"/>
        <v/>
      </c>
    </row>
    <row r="1166" spans="1:9">
      <c r="A1166" s="10" t="str">
        <f t="shared" si="75"/>
        <v/>
      </c>
      <c r="B1166" s="53"/>
      <c r="C1166" s="28" t="str">
        <f t="shared" si="72"/>
        <v/>
      </c>
      <c r="D1166" s="28" t="str">
        <f t="shared" si="73"/>
        <v/>
      </c>
      <c r="E1166" s="77"/>
      <c r="F1166" s="45"/>
      <c r="G1166" s="56"/>
      <c r="H1166" s="83"/>
      <c r="I1166" s="35" t="str">
        <f t="shared" si="74"/>
        <v/>
      </c>
    </row>
    <row r="1167" spans="1:9">
      <c r="A1167" s="10" t="str">
        <f t="shared" si="75"/>
        <v/>
      </c>
      <c r="B1167" s="53"/>
      <c r="C1167" s="28" t="str">
        <f t="shared" si="72"/>
        <v/>
      </c>
      <c r="D1167" s="28" t="str">
        <f t="shared" si="73"/>
        <v/>
      </c>
      <c r="E1167" s="77"/>
      <c r="F1167" s="45"/>
      <c r="G1167" s="56"/>
      <c r="H1167" s="83"/>
      <c r="I1167" s="35" t="str">
        <f t="shared" si="74"/>
        <v/>
      </c>
    </row>
    <row r="1168" spans="1:9">
      <c r="A1168" s="10" t="str">
        <f t="shared" si="75"/>
        <v/>
      </c>
      <c r="B1168" s="53"/>
      <c r="C1168" s="28" t="str">
        <f t="shared" si="72"/>
        <v/>
      </c>
      <c r="D1168" s="28" t="str">
        <f t="shared" si="73"/>
        <v/>
      </c>
      <c r="E1168" s="77"/>
      <c r="F1168" s="45"/>
      <c r="G1168" s="56"/>
      <c r="H1168" s="83"/>
      <c r="I1168" s="35" t="str">
        <f t="shared" si="74"/>
        <v/>
      </c>
    </row>
    <row r="1169" spans="1:9">
      <c r="A1169" s="10" t="str">
        <f t="shared" si="75"/>
        <v/>
      </c>
      <c r="B1169" s="53"/>
      <c r="C1169" s="28" t="str">
        <f t="shared" si="72"/>
        <v/>
      </c>
      <c r="D1169" s="28" t="str">
        <f t="shared" si="73"/>
        <v/>
      </c>
      <c r="E1169" s="77"/>
      <c r="F1169" s="45"/>
      <c r="G1169" s="56"/>
      <c r="H1169" s="83"/>
      <c r="I1169" s="35" t="str">
        <f t="shared" si="74"/>
        <v/>
      </c>
    </row>
    <row r="1170" spans="1:9">
      <c r="A1170" s="10" t="str">
        <f t="shared" si="75"/>
        <v/>
      </c>
      <c r="B1170" s="53"/>
      <c r="C1170" s="28" t="str">
        <f t="shared" si="72"/>
        <v/>
      </c>
      <c r="D1170" s="28" t="str">
        <f t="shared" si="73"/>
        <v/>
      </c>
      <c r="E1170" s="77"/>
      <c r="F1170" s="45"/>
      <c r="G1170" s="56"/>
      <c r="H1170" s="83"/>
      <c r="I1170" s="35" t="str">
        <f t="shared" si="74"/>
        <v/>
      </c>
    </row>
    <row r="1171" spans="1:9">
      <c r="A1171" s="10" t="str">
        <f t="shared" si="75"/>
        <v/>
      </c>
      <c r="B1171" s="53"/>
      <c r="C1171" s="28" t="str">
        <f t="shared" si="72"/>
        <v/>
      </c>
      <c r="D1171" s="28" t="str">
        <f t="shared" si="73"/>
        <v/>
      </c>
      <c r="E1171" s="77"/>
      <c r="F1171" s="45"/>
      <c r="G1171" s="56"/>
      <c r="H1171" s="83"/>
      <c r="I1171" s="35" t="str">
        <f t="shared" si="74"/>
        <v/>
      </c>
    </row>
    <row r="1172" spans="1:9">
      <c r="A1172" s="10" t="str">
        <f t="shared" si="75"/>
        <v/>
      </c>
      <c r="B1172" s="53"/>
      <c r="C1172" s="28" t="str">
        <f t="shared" si="72"/>
        <v/>
      </c>
      <c r="D1172" s="28" t="str">
        <f t="shared" si="73"/>
        <v/>
      </c>
      <c r="E1172" s="77"/>
      <c r="F1172" s="45"/>
      <c r="G1172" s="56"/>
      <c r="H1172" s="83"/>
      <c r="I1172" s="35" t="str">
        <f t="shared" si="74"/>
        <v/>
      </c>
    </row>
    <row r="1173" spans="1:9">
      <c r="A1173" s="10" t="str">
        <f t="shared" si="75"/>
        <v/>
      </c>
      <c r="B1173" s="53"/>
      <c r="C1173" s="28" t="str">
        <f t="shared" si="72"/>
        <v/>
      </c>
      <c r="D1173" s="28" t="str">
        <f t="shared" si="73"/>
        <v/>
      </c>
      <c r="E1173" s="77"/>
      <c r="F1173" s="45"/>
      <c r="G1173" s="56"/>
      <c r="H1173" s="83"/>
      <c r="I1173" s="35" t="str">
        <f t="shared" si="74"/>
        <v/>
      </c>
    </row>
    <row r="1174" spans="1:9">
      <c r="A1174" s="10" t="str">
        <f t="shared" si="75"/>
        <v/>
      </c>
      <c r="B1174" s="53"/>
      <c r="C1174" s="28" t="str">
        <f t="shared" si="72"/>
        <v/>
      </c>
      <c r="D1174" s="28" t="str">
        <f t="shared" si="73"/>
        <v/>
      </c>
      <c r="E1174" s="77"/>
      <c r="F1174" s="45"/>
      <c r="G1174" s="56"/>
      <c r="H1174" s="83"/>
      <c r="I1174" s="35" t="str">
        <f t="shared" si="74"/>
        <v/>
      </c>
    </row>
    <row r="1175" spans="1:9">
      <c r="A1175" s="10" t="str">
        <f t="shared" si="75"/>
        <v/>
      </c>
      <c r="B1175" s="53"/>
      <c r="C1175" s="28" t="str">
        <f t="shared" si="72"/>
        <v/>
      </c>
      <c r="D1175" s="28" t="str">
        <f t="shared" si="73"/>
        <v/>
      </c>
      <c r="E1175" s="77"/>
      <c r="F1175" s="45"/>
      <c r="G1175" s="56"/>
      <c r="H1175" s="83"/>
      <c r="I1175" s="35" t="str">
        <f t="shared" si="74"/>
        <v/>
      </c>
    </row>
    <row r="1176" spans="1:9">
      <c r="A1176" s="10" t="str">
        <f t="shared" si="75"/>
        <v/>
      </c>
      <c r="B1176" s="53"/>
      <c r="C1176" s="28" t="str">
        <f t="shared" si="72"/>
        <v/>
      </c>
      <c r="D1176" s="28" t="str">
        <f t="shared" si="73"/>
        <v/>
      </c>
      <c r="E1176" s="77"/>
      <c r="F1176" s="45"/>
      <c r="G1176" s="56"/>
      <c r="H1176" s="83"/>
      <c r="I1176" s="35" t="str">
        <f t="shared" si="74"/>
        <v/>
      </c>
    </row>
    <row r="1177" spans="1:9">
      <c r="A1177" s="10" t="str">
        <f t="shared" si="75"/>
        <v/>
      </c>
      <c r="B1177" s="53"/>
      <c r="C1177" s="28" t="str">
        <f t="shared" si="72"/>
        <v/>
      </c>
      <c r="D1177" s="28" t="str">
        <f t="shared" si="73"/>
        <v/>
      </c>
      <c r="E1177" s="77"/>
      <c r="F1177" s="45"/>
      <c r="G1177" s="56"/>
      <c r="H1177" s="83"/>
      <c r="I1177" s="35" t="str">
        <f t="shared" si="74"/>
        <v/>
      </c>
    </row>
    <row r="1178" spans="1:9">
      <c r="A1178" s="10" t="str">
        <f t="shared" si="75"/>
        <v/>
      </c>
      <c r="B1178" s="53"/>
      <c r="C1178" s="28" t="str">
        <f t="shared" si="72"/>
        <v/>
      </c>
      <c r="D1178" s="28" t="str">
        <f t="shared" si="73"/>
        <v/>
      </c>
      <c r="E1178" s="77"/>
      <c r="F1178" s="45"/>
      <c r="G1178" s="56"/>
      <c r="H1178" s="83"/>
      <c r="I1178" s="35" t="str">
        <f t="shared" si="74"/>
        <v/>
      </c>
    </row>
    <row r="1179" spans="1:9">
      <c r="A1179" s="10" t="str">
        <f t="shared" si="75"/>
        <v/>
      </c>
      <c r="B1179" s="53"/>
      <c r="C1179" s="28" t="str">
        <f t="shared" si="72"/>
        <v/>
      </c>
      <c r="D1179" s="28" t="str">
        <f t="shared" si="73"/>
        <v/>
      </c>
      <c r="E1179" s="77"/>
      <c r="F1179" s="45"/>
      <c r="G1179" s="56"/>
      <c r="H1179" s="83"/>
      <c r="I1179" s="35" t="str">
        <f t="shared" si="74"/>
        <v/>
      </c>
    </row>
    <row r="1180" spans="1:9">
      <c r="A1180" s="10" t="str">
        <f t="shared" si="75"/>
        <v/>
      </c>
      <c r="B1180" s="53"/>
      <c r="C1180" s="28" t="str">
        <f t="shared" si="72"/>
        <v/>
      </c>
      <c r="D1180" s="28" t="str">
        <f t="shared" si="73"/>
        <v/>
      </c>
      <c r="E1180" s="77"/>
      <c r="F1180" s="45"/>
      <c r="G1180" s="56"/>
      <c r="H1180" s="83"/>
      <c r="I1180" s="35" t="str">
        <f t="shared" si="74"/>
        <v/>
      </c>
    </row>
    <row r="1181" spans="1:9">
      <c r="A1181" s="10" t="str">
        <f t="shared" si="75"/>
        <v/>
      </c>
      <c r="B1181" s="53"/>
      <c r="C1181" s="28" t="str">
        <f t="shared" si="72"/>
        <v/>
      </c>
      <c r="D1181" s="28" t="str">
        <f t="shared" si="73"/>
        <v/>
      </c>
      <c r="E1181" s="77"/>
      <c r="F1181" s="45"/>
      <c r="G1181" s="56"/>
      <c r="H1181" s="83"/>
      <c r="I1181" s="35" t="str">
        <f t="shared" si="74"/>
        <v/>
      </c>
    </row>
    <row r="1182" spans="1:9">
      <c r="A1182" s="10" t="str">
        <f t="shared" si="75"/>
        <v/>
      </c>
      <c r="B1182" s="53"/>
      <c r="C1182" s="28" t="str">
        <f t="shared" si="72"/>
        <v/>
      </c>
      <c r="D1182" s="28" t="str">
        <f t="shared" si="73"/>
        <v/>
      </c>
      <c r="E1182" s="77"/>
      <c r="F1182" s="45"/>
      <c r="G1182" s="56"/>
      <c r="H1182" s="83"/>
      <c r="I1182" s="35" t="str">
        <f t="shared" si="74"/>
        <v/>
      </c>
    </row>
    <row r="1183" spans="1:9">
      <c r="A1183" s="10" t="str">
        <f t="shared" si="75"/>
        <v/>
      </c>
      <c r="B1183" s="53"/>
      <c r="C1183" s="28" t="str">
        <f t="shared" si="72"/>
        <v/>
      </c>
      <c r="D1183" s="28" t="str">
        <f t="shared" si="73"/>
        <v/>
      </c>
      <c r="E1183" s="77"/>
      <c r="F1183" s="45"/>
      <c r="G1183" s="56"/>
      <c r="H1183" s="83"/>
      <c r="I1183" s="35" t="str">
        <f t="shared" si="74"/>
        <v/>
      </c>
    </row>
    <row r="1184" spans="1:9">
      <c r="A1184" s="10" t="str">
        <f t="shared" si="75"/>
        <v/>
      </c>
      <c r="B1184" s="53"/>
      <c r="C1184" s="28" t="str">
        <f t="shared" si="72"/>
        <v/>
      </c>
      <c r="D1184" s="28" t="str">
        <f t="shared" si="73"/>
        <v/>
      </c>
      <c r="E1184" s="77"/>
      <c r="F1184" s="45"/>
      <c r="G1184" s="56"/>
      <c r="H1184" s="83"/>
      <c r="I1184" s="35" t="str">
        <f t="shared" si="74"/>
        <v/>
      </c>
    </row>
    <row r="1185" spans="1:9">
      <c r="A1185" s="10" t="str">
        <f t="shared" si="75"/>
        <v/>
      </c>
      <c r="B1185" s="53"/>
      <c r="C1185" s="28" t="str">
        <f t="shared" si="72"/>
        <v/>
      </c>
      <c r="D1185" s="28" t="str">
        <f t="shared" si="73"/>
        <v/>
      </c>
      <c r="E1185" s="77"/>
      <c r="F1185" s="45"/>
      <c r="G1185" s="56"/>
      <c r="H1185" s="83"/>
      <c r="I1185" s="35" t="str">
        <f t="shared" si="74"/>
        <v/>
      </c>
    </row>
    <row r="1186" spans="1:9">
      <c r="A1186" s="10" t="str">
        <f t="shared" si="75"/>
        <v/>
      </c>
      <c r="B1186" s="53"/>
      <c r="C1186" s="28" t="str">
        <f t="shared" si="72"/>
        <v/>
      </c>
      <c r="D1186" s="28" t="str">
        <f t="shared" si="73"/>
        <v/>
      </c>
      <c r="E1186" s="77"/>
      <c r="F1186" s="45"/>
      <c r="G1186" s="56"/>
      <c r="H1186" s="83"/>
      <c r="I1186" s="35" t="str">
        <f t="shared" si="74"/>
        <v/>
      </c>
    </row>
    <row r="1187" spans="1:9">
      <c r="A1187" s="10" t="str">
        <f t="shared" si="75"/>
        <v/>
      </c>
      <c r="B1187" s="53"/>
      <c r="C1187" s="28" t="str">
        <f t="shared" si="72"/>
        <v/>
      </c>
      <c r="D1187" s="28" t="str">
        <f t="shared" si="73"/>
        <v/>
      </c>
      <c r="E1187" s="77"/>
      <c r="F1187" s="45"/>
      <c r="G1187" s="56"/>
      <c r="H1187" s="83"/>
      <c r="I1187" s="35" t="str">
        <f t="shared" si="74"/>
        <v/>
      </c>
    </row>
    <row r="1188" spans="1:9">
      <c r="A1188" s="10" t="str">
        <f t="shared" si="75"/>
        <v/>
      </c>
      <c r="B1188" s="53"/>
      <c r="C1188" s="28" t="str">
        <f t="shared" si="72"/>
        <v/>
      </c>
      <c r="D1188" s="28" t="str">
        <f t="shared" si="73"/>
        <v/>
      </c>
      <c r="E1188" s="77"/>
      <c r="F1188" s="45"/>
      <c r="G1188" s="56"/>
      <c r="H1188" s="83"/>
      <c r="I1188" s="35" t="str">
        <f t="shared" si="74"/>
        <v/>
      </c>
    </row>
    <row r="1189" spans="1:9">
      <c r="A1189" s="10" t="str">
        <f t="shared" si="75"/>
        <v/>
      </c>
      <c r="B1189" s="53"/>
      <c r="C1189" s="28" t="str">
        <f t="shared" si="72"/>
        <v/>
      </c>
      <c r="D1189" s="28" t="str">
        <f t="shared" si="73"/>
        <v/>
      </c>
      <c r="E1189" s="77"/>
      <c r="F1189" s="45"/>
      <c r="G1189" s="56"/>
      <c r="H1189" s="83"/>
      <c r="I1189" s="35" t="str">
        <f t="shared" si="74"/>
        <v/>
      </c>
    </row>
    <row r="1190" spans="1:9">
      <c r="A1190" s="10" t="str">
        <f t="shared" si="75"/>
        <v/>
      </c>
      <c r="B1190" s="53"/>
      <c r="C1190" s="28" t="str">
        <f t="shared" si="72"/>
        <v/>
      </c>
      <c r="D1190" s="28" t="str">
        <f t="shared" si="73"/>
        <v/>
      </c>
      <c r="E1190" s="77"/>
      <c r="F1190" s="45"/>
      <c r="G1190" s="56"/>
      <c r="H1190" s="83"/>
      <c r="I1190" s="35" t="str">
        <f t="shared" si="74"/>
        <v/>
      </c>
    </row>
    <row r="1191" spans="1:9">
      <c r="A1191" s="10" t="str">
        <f t="shared" si="75"/>
        <v/>
      </c>
      <c r="B1191" s="53"/>
      <c r="C1191" s="28" t="str">
        <f t="shared" si="72"/>
        <v/>
      </c>
      <c r="D1191" s="28" t="str">
        <f t="shared" si="73"/>
        <v/>
      </c>
      <c r="E1191" s="77"/>
      <c r="F1191" s="45"/>
      <c r="G1191" s="56"/>
      <c r="H1191" s="83"/>
      <c r="I1191" s="35" t="str">
        <f t="shared" si="74"/>
        <v/>
      </c>
    </row>
    <row r="1192" spans="1:9">
      <c r="A1192" s="10" t="str">
        <f t="shared" si="75"/>
        <v/>
      </c>
      <c r="B1192" s="53"/>
      <c r="C1192" s="28" t="str">
        <f t="shared" si="72"/>
        <v/>
      </c>
      <c r="D1192" s="28" t="str">
        <f t="shared" si="73"/>
        <v/>
      </c>
      <c r="E1192" s="77"/>
      <c r="F1192" s="45"/>
      <c r="G1192" s="56"/>
      <c r="H1192" s="83"/>
      <c r="I1192" s="35" t="str">
        <f t="shared" si="74"/>
        <v/>
      </c>
    </row>
    <row r="1193" spans="1:9">
      <c r="A1193" s="10" t="str">
        <f t="shared" si="75"/>
        <v/>
      </c>
      <c r="B1193" s="53"/>
      <c r="C1193" s="28" t="str">
        <f t="shared" si="72"/>
        <v/>
      </c>
      <c r="D1193" s="28" t="str">
        <f t="shared" si="73"/>
        <v/>
      </c>
      <c r="E1193" s="77"/>
      <c r="F1193" s="45"/>
      <c r="G1193" s="56"/>
      <c r="H1193" s="83"/>
      <c r="I1193" s="35" t="str">
        <f t="shared" si="74"/>
        <v/>
      </c>
    </row>
    <row r="1194" spans="1:9">
      <c r="A1194" s="10" t="str">
        <f t="shared" si="75"/>
        <v/>
      </c>
      <c r="B1194" s="53"/>
      <c r="C1194" s="28" t="str">
        <f t="shared" si="72"/>
        <v/>
      </c>
      <c r="D1194" s="28" t="str">
        <f t="shared" si="73"/>
        <v/>
      </c>
      <c r="E1194" s="77"/>
      <c r="F1194" s="45"/>
      <c r="G1194" s="56"/>
      <c r="H1194" s="83"/>
      <c r="I1194" s="35" t="str">
        <f t="shared" si="74"/>
        <v/>
      </c>
    </row>
    <row r="1195" spans="1:9">
      <c r="A1195" s="10" t="str">
        <f t="shared" si="75"/>
        <v/>
      </c>
      <c r="B1195" s="53"/>
      <c r="C1195" s="28" t="str">
        <f t="shared" si="72"/>
        <v/>
      </c>
      <c r="D1195" s="28" t="str">
        <f t="shared" si="73"/>
        <v/>
      </c>
      <c r="E1195" s="77"/>
      <c r="F1195" s="45"/>
      <c r="G1195" s="56"/>
      <c r="H1195" s="83"/>
      <c r="I1195" s="35" t="str">
        <f t="shared" si="74"/>
        <v/>
      </c>
    </row>
    <row r="1196" spans="1:9">
      <c r="A1196" s="10" t="str">
        <f t="shared" si="75"/>
        <v/>
      </c>
      <c r="B1196" s="53"/>
      <c r="C1196" s="28" t="str">
        <f t="shared" si="72"/>
        <v/>
      </c>
      <c r="D1196" s="28" t="str">
        <f t="shared" si="73"/>
        <v/>
      </c>
      <c r="E1196" s="77"/>
      <c r="F1196" s="45"/>
      <c r="G1196" s="56"/>
      <c r="H1196" s="83"/>
      <c r="I1196" s="35" t="str">
        <f t="shared" si="74"/>
        <v/>
      </c>
    </row>
    <row r="1197" spans="1:9">
      <c r="A1197" s="10" t="str">
        <f t="shared" si="75"/>
        <v/>
      </c>
      <c r="B1197" s="53"/>
      <c r="C1197" s="28" t="str">
        <f t="shared" si="72"/>
        <v/>
      </c>
      <c r="D1197" s="28" t="str">
        <f t="shared" si="73"/>
        <v/>
      </c>
      <c r="E1197" s="77"/>
      <c r="F1197" s="45"/>
      <c r="G1197" s="56"/>
      <c r="H1197" s="83"/>
      <c r="I1197" s="35" t="str">
        <f t="shared" si="74"/>
        <v/>
      </c>
    </row>
    <row r="1198" spans="1:9">
      <c r="A1198" s="10" t="str">
        <f t="shared" si="75"/>
        <v/>
      </c>
      <c r="B1198" s="53"/>
      <c r="C1198" s="28" t="str">
        <f t="shared" si="72"/>
        <v/>
      </c>
      <c r="D1198" s="28" t="str">
        <f t="shared" si="73"/>
        <v/>
      </c>
      <c r="E1198" s="77"/>
      <c r="F1198" s="45"/>
      <c r="G1198" s="56"/>
      <c r="H1198" s="83"/>
      <c r="I1198" s="35" t="str">
        <f t="shared" si="74"/>
        <v/>
      </c>
    </row>
    <row r="1199" spans="1:9">
      <c r="A1199" s="10" t="str">
        <f t="shared" si="75"/>
        <v/>
      </c>
      <c r="B1199" s="53"/>
      <c r="C1199" s="28" t="str">
        <f t="shared" si="72"/>
        <v/>
      </c>
      <c r="D1199" s="28" t="str">
        <f t="shared" si="73"/>
        <v/>
      </c>
      <c r="E1199" s="77"/>
      <c r="F1199" s="45"/>
      <c r="G1199" s="56"/>
      <c r="H1199" s="83"/>
      <c r="I1199" s="35" t="str">
        <f t="shared" si="74"/>
        <v/>
      </c>
    </row>
    <row r="1200" spans="1:9">
      <c r="A1200" s="10" t="str">
        <f t="shared" si="75"/>
        <v/>
      </c>
      <c r="B1200" s="53"/>
      <c r="C1200" s="28" t="str">
        <f t="shared" si="72"/>
        <v/>
      </c>
      <c r="D1200" s="28" t="str">
        <f t="shared" si="73"/>
        <v/>
      </c>
      <c r="E1200" s="77"/>
      <c r="F1200" s="45"/>
      <c r="G1200" s="56"/>
      <c r="H1200" s="83"/>
      <c r="I1200" s="35" t="str">
        <f t="shared" si="74"/>
        <v/>
      </c>
    </row>
    <row r="1201" spans="1:9">
      <c r="A1201" s="10" t="str">
        <f t="shared" si="75"/>
        <v/>
      </c>
      <c r="B1201" s="53"/>
      <c r="C1201" s="28" t="str">
        <f t="shared" si="72"/>
        <v/>
      </c>
      <c r="D1201" s="28" t="str">
        <f t="shared" si="73"/>
        <v/>
      </c>
      <c r="E1201" s="77"/>
      <c r="F1201" s="45"/>
      <c r="G1201" s="56"/>
      <c r="H1201" s="83"/>
      <c r="I1201" s="35" t="str">
        <f t="shared" si="74"/>
        <v/>
      </c>
    </row>
    <row r="1202" spans="1:9">
      <c r="A1202" s="10" t="str">
        <f t="shared" si="75"/>
        <v/>
      </c>
      <c r="B1202" s="53"/>
      <c r="C1202" s="28" t="str">
        <f t="shared" si="72"/>
        <v/>
      </c>
      <c r="D1202" s="28" t="str">
        <f t="shared" si="73"/>
        <v/>
      </c>
      <c r="E1202" s="77"/>
      <c r="F1202" s="45"/>
      <c r="G1202" s="56"/>
      <c r="H1202" s="83"/>
      <c r="I1202" s="35" t="str">
        <f t="shared" si="74"/>
        <v/>
      </c>
    </row>
    <row r="1203" spans="1:9">
      <c r="A1203" s="10" t="str">
        <f t="shared" si="75"/>
        <v/>
      </c>
      <c r="B1203" s="53"/>
      <c r="C1203" s="28" t="str">
        <f t="shared" si="72"/>
        <v/>
      </c>
      <c r="D1203" s="28" t="str">
        <f t="shared" si="73"/>
        <v/>
      </c>
      <c r="E1203" s="77"/>
      <c r="F1203" s="45"/>
      <c r="G1203" s="56"/>
      <c r="H1203" s="83"/>
      <c r="I1203" s="35" t="str">
        <f t="shared" si="74"/>
        <v/>
      </c>
    </row>
    <row r="1204" spans="1:9">
      <c r="A1204" s="10" t="str">
        <f t="shared" si="75"/>
        <v/>
      </c>
      <c r="B1204" s="53"/>
      <c r="C1204" s="28" t="str">
        <f t="shared" si="72"/>
        <v/>
      </c>
      <c r="D1204" s="28" t="str">
        <f t="shared" si="73"/>
        <v/>
      </c>
      <c r="E1204" s="77"/>
      <c r="F1204" s="45"/>
      <c r="G1204" s="56"/>
      <c r="H1204" s="83"/>
      <c r="I1204" s="35" t="str">
        <f t="shared" si="74"/>
        <v/>
      </c>
    </row>
    <row r="1205" spans="1:9">
      <c r="A1205" s="10" t="str">
        <f t="shared" si="75"/>
        <v/>
      </c>
      <c r="B1205" s="53"/>
      <c r="C1205" s="28" t="str">
        <f t="shared" si="72"/>
        <v/>
      </c>
      <c r="D1205" s="28" t="str">
        <f t="shared" si="73"/>
        <v/>
      </c>
      <c r="E1205" s="77"/>
      <c r="F1205" s="45"/>
      <c r="G1205" s="56"/>
      <c r="H1205" s="83"/>
      <c r="I1205" s="35" t="str">
        <f t="shared" si="74"/>
        <v/>
      </c>
    </row>
    <row r="1206" spans="1:9">
      <c r="A1206" s="10" t="str">
        <f t="shared" si="75"/>
        <v/>
      </c>
      <c r="B1206" s="53"/>
      <c r="C1206" s="28" t="str">
        <f t="shared" si="72"/>
        <v/>
      </c>
      <c r="D1206" s="28" t="str">
        <f t="shared" si="73"/>
        <v/>
      </c>
      <c r="E1206" s="77"/>
      <c r="F1206" s="45"/>
      <c r="G1206" s="56"/>
      <c r="H1206" s="83"/>
      <c r="I1206" s="35" t="str">
        <f t="shared" si="74"/>
        <v/>
      </c>
    </row>
    <row r="1207" spans="1:9">
      <c r="A1207" s="10" t="str">
        <f t="shared" si="75"/>
        <v/>
      </c>
      <c r="B1207" s="53"/>
      <c r="C1207" s="28" t="str">
        <f t="shared" si="72"/>
        <v/>
      </c>
      <c r="D1207" s="28" t="str">
        <f t="shared" si="73"/>
        <v/>
      </c>
      <c r="E1207" s="77"/>
      <c r="F1207" s="45"/>
      <c r="G1207" s="56"/>
      <c r="H1207" s="83"/>
      <c r="I1207" s="35" t="str">
        <f t="shared" si="74"/>
        <v/>
      </c>
    </row>
    <row r="1208" spans="1:9">
      <c r="A1208" s="10" t="str">
        <f t="shared" si="75"/>
        <v/>
      </c>
      <c r="B1208" s="53"/>
      <c r="C1208" s="28" t="str">
        <f t="shared" si="72"/>
        <v/>
      </c>
      <c r="D1208" s="28" t="str">
        <f t="shared" si="73"/>
        <v/>
      </c>
      <c r="E1208" s="77"/>
      <c r="F1208" s="45"/>
      <c r="G1208" s="56"/>
      <c r="H1208" s="83"/>
      <c r="I1208" s="35" t="str">
        <f t="shared" si="74"/>
        <v/>
      </c>
    </row>
    <row r="1209" spans="1:9">
      <c r="A1209" s="10" t="str">
        <f t="shared" si="75"/>
        <v/>
      </c>
      <c r="B1209" s="53"/>
      <c r="C1209" s="28" t="str">
        <f t="shared" si="72"/>
        <v/>
      </c>
      <c r="D1209" s="28" t="str">
        <f t="shared" si="73"/>
        <v/>
      </c>
      <c r="E1209" s="77"/>
      <c r="F1209" s="45"/>
      <c r="G1209" s="56"/>
      <c r="H1209" s="83"/>
      <c r="I1209" s="35" t="str">
        <f t="shared" si="74"/>
        <v/>
      </c>
    </row>
    <row r="1210" spans="1:9">
      <c r="A1210" s="10" t="str">
        <f t="shared" si="75"/>
        <v/>
      </c>
      <c r="B1210" s="53"/>
      <c r="C1210" s="28" t="str">
        <f t="shared" si="72"/>
        <v/>
      </c>
      <c r="D1210" s="28" t="str">
        <f t="shared" si="73"/>
        <v/>
      </c>
      <c r="E1210" s="77"/>
      <c r="F1210" s="45"/>
      <c r="G1210" s="56"/>
      <c r="H1210" s="83"/>
      <c r="I1210" s="35" t="str">
        <f t="shared" si="74"/>
        <v/>
      </c>
    </row>
    <row r="1211" spans="1:9">
      <c r="A1211" s="10" t="str">
        <f t="shared" si="75"/>
        <v/>
      </c>
      <c r="B1211" s="53"/>
      <c r="C1211" s="28" t="str">
        <f t="shared" si="72"/>
        <v/>
      </c>
      <c r="D1211" s="28" t="str">
        <f t="shared" si="73"/>
        <v/>
      </c>
      <c r="E1211" s="77"/>
      <c r="F1211" s="45"/>
      <c r="G1211" s="56"/>
      <c r="H1211" s="83"/>
      <c r="I1211" s="35" t="str">
        <f t="shared" si="74"/>
        <v/>
      </c>
    </row>
    <row r="1212" spans="1:9">
      <c r="A1212" s="10" t="str">
        <f t="shared" si="75"/>
        <v/>
      </c>
      <c r="B1212" s="53"/>
      <c r="C1212" s="28" t="str">
        <f t="shared" si="72"/>
        <v/>
      </c>
      <c r="D1212" s="28" t="str">
        <f t="shared" si="73"/>
        <v/>
      </c>
      <c r="E1212" s="77"/>
      <c r="F1212" s="45"/>
      <c r="G1212" s="56"/>
      <c r="H1212" s="83"/>
      <c r="I1212" s="35" t="str">
        <f t="shared" si="74"/>
        <v/>
      </c>
    </row>
    <row r="1213" spans="1:9">
      <c r="A1213" s="10" t="str">
        <f t="shared" si="75"/>
        <v/>
      </c>
      <c r="B1213" s="53"/>
      <c r="C1213" s="28" t="str">
        <f t="shared" si="72"/>
        <v/>
      </c>
      <c r="D1213" s="28" t="str">
        <f t="shared" si="73"/>
        <v/>
      </c>
      <c r="E1213" s="77"/>
      <c r="F1213" s="45"/>
      <c r="G1213" s="56"/>
      <c r="H1213" s="83"/>
      <c r="I1213" s="35" t="str">
        <f t="shared" si="74"/>
        <v/>
      </c>
    </row>
    <row r="1214" spans="1:9">
      <c r="A1214" s="10" t="str">
        <f t="shared" si="75"/>
        <v/>
      </c>
      <c r="B1214" s="53"/>
      <c r="C1214" s="28" t="str">
        <f t="shared" si="72"/>
        <v/>
      </c>
      <c r="D1214" s="28" t="str">
        <f t="shared" si="73"/>
        <v/>
      </c>
      <c r="E1214" s="77"/>
      <c r="F1214" s="45"/>
      <c r="G1214" s="56"/>
      <c r="H1214" s="83"/>
      <c r="I1214" s="35" t="str">
        <f t="shared" si="74"/>
        <v/>
      </c>
    </row>
    <row r="1215" spans="1:9">
      <c r="A1215" s="10" t="str">
        <f t="shared" si="75"/>
        <v/>
      </c>
      <c r="B1215" s="53"/>
      <c r="C1215" s="28" t="str">
        <f t="shared" si="72"/>
        <v/>
      </c>
      <c r="D1215" s="28" t="str">
        <f t="shared" si="73"/>
        <v/>
      </c>
      <c r="E1215" s="77"/>
      <c r="F1215" s="45"/>
      <c r="G1215" s="56"/>
      <c r="H1215" s="83"/>
      <c r="I1215" s="35" t="str">
        <f t="shared" si="74"/>
        <v/>
      </c>
    </row>
    <row r="1216" spans="1:9">
      <c r="A1216" s="10" t="str">
        <f t="shared" si="75"/>
        <v/>
      </c>
      <c r="B1216" s="53"/>
      <c r="C1216" s="28" t="str">
        <f t="shared" si="72"/>
        <v/>
      </c>
      <c r="D1216" s="28" t="str">
        <f t="shared" si="73"/>
        <v/>
      </c>
      <c r="E1216" s="77"/>
      <c r="F1216" s="45"/>
      <c r="G1216" s="56"/>
      <c r="H1216" s="83"/>
      <c r="I1216" s="35" t="str">
        <f t="shared" si="74"/>
        <v/>
      </c>
    </row>
    <row r="1217" spans="1:9">
      <c r="A1217" s="10" t="str">
        <f t="shared" si="75"/>
        <v/>
      </c>
      <c r="B1217" s="53"/>
      <c r="C1217" s="28" t="str">
        <f t="shared" si="72"/>
        <v/>
      </c>
      <c r="D1217" s="28" t="str">
        <f t="shared" si="73"/>
        <v/>
      </c>
      <c r="E1217" s="77"/>
      <c r="F1217" s="45"/>
      <c r="G1217" s="56"/>
      <c r="H1217" s="83"/>
      <c r="I1217" s="35" t="str">
        <f t="shared" si="74"/>
        <v/>
      </c>
    </row>
    <row r="1218" spans="1:9">
      <c r="A1218" s="10" t="str">
        <f t="shared" si="75"/>
        <v/>
      </c>
      <c r="B1218" s="53"/>
      <c r="C1218" s="28" t="str">
        <f t="shared" si="72"/>
        <v/>
      </c>
      <c r="D1218" s="28" t="str">
        <f t="shared" si="73"/>
        <v/>
      </c>
      <c r="E1218" s="77"/>
      <c r="F1218" s="45"/>
      <c r="G1218" s="56"/>
      <c r="H1218" s="83"/>
      <c r="I1218" s="35" t="str">
        <f t="shared" si="74"/>
        <v/>
      </c>
    </row>
    <row r="1219" spans="1:9">
      <c r="A1219" s="10" t="str">
        <f t="shared" si="75"/>
        <v/>
      </c>
      <c r="B1219" s="53"/>
      <c r="C1219" s="28" t="str">
        <f t="shared" ref="C1219:C1282" si="76">IF(B1219=0,"",TEXT(B1219,"mmmm"))</f>
        <v/>
      </c>
      <c r="D1219" s="28" t="str">
        <f t="shared" ref="D1219:D1282" si="77">IF(B1219=0,"",TEXT(B1219,"yyyy"))</f>
        <v/>
      </c>
      <c r="E1219" s="77"/>
      <c r="F1219" s="45"/>
      <c r="G1219" s="56"/>
      <c r="H1219" s="83"/>
      <c r="I1219" s="35" t="str">
        <f t="shared" ref="I1219:I1282" si="78">IF(G1219*H1219=0,"",G1219*H1219)</f>
        <v/>
      </c>
    </row>
    <row r="1220" spans="1:9">
      <c r="A1220" s="10" t="str">
        <f t="shared" ref="A1220:A1283" si="79">IF(E1220&gt;0,A1219+1,"")</f>
        <v/>
      </c>
      <c r="B1220" s="53"/>
      <c r="C1220" s="28" t="str">
        <f t="shared" si="76"/>
        <v/>
      </c>
      <c r="D1220" s="28" t="str">
        <f t="shared" si="77"/>
        <v/>
      </c>
      <c r="E1220" s="77"/>
      <c r="F1220" s="45"/>
      <c r="G1220" s="56"/>
      <c r="H1220" s="83"/>
      <c r="I1220" s="35" t="str">
        <f t="shared" si="78"/>
        <v/>
      </c>
    </row>
    <row r="1221" spans="1:9">
      <c r="A1221" s="10" t="str">
        <f t="shared" si="79"/>
        <v/>
      </c>
      <c r="B1221" s="53"/>
      <c r="C1221" s="28" t="str">
        <f t="shared" si="76"/>
        <v/>
      </c>
      <c r="D1221" s="28" t="str">
        <f t="shared" si="77"/>
        <v/>
      </c>
      <c r="E1221" s="77"/>
      <c r="F1221" s="45"/>
      <c r="G1221" s="56"/>
      <c r="H1221" s="83"/>
      <c r="I1221" s="35" t="str">
        <f t="shared" si="78"/>
        <v/>
      </c>
    </row>
    <row r="1222" spans="1:9">
      <c r="A1222" s="10" t="str">
        <f t="shared" si="79"/>
        <v/>
      </c>
      <c r="B1222" s="53"/>
      <c r="C1222" s="28" t="str">
        <f t="shared" si="76"/>
        <v/>
      </c>
      <c r="D1222" s="28" t="str">
        <f t="shared" si="77"/>
        <v/>
      </c>
      <c r="E1222" s="77"/>
      <c r="F1222" s="45"/>
      <c r="G1222" s="56"/>
      <c r="H1222" s="83"/>
      <c r="I1222" s="35" t="str">
        <f t="shared" si="78"/>
        <v/>
      </c>
    </row>
    <row r="1223" spans="1:9">
      <c r="A1223" s="10" t="str">
        <f t="shared" si="79"/>
        <v/>
      </c>
      <c r="B1223" s="53"/>
      <c r="C1223" s="28" t="str">
        <f t="shared" si="76"/>
        <v/>
      </c>
      <c r="D1223" s="28" t="str">
        <f t="shared" si="77"/>
        <v/>
      </c>
      <c r="E1223" s="77"/>
      <c r="F1223" s="45"/>
      <c r="G1223" s="56"/>
      <c r="H1223" s="83"/>
      <c r="I1223" s="35" t="str">
        <f t="shared" si="78"/>
        <v/>
      </c>
    </row>
    <row r="1224" spans="1:9">
      <c r="A1224" s="10" t="str">
        <f t="shared" si="79"/>
        <v/>
      </c>
      <c r="B1224" s="53"/>
      <c r="C1224" s="28" t="str">
        <f t="shared" si="76"/>
        <v/>
      </c>
      <c r="D1224" s="28" t="str">
        <f t="shared" si="77"/>
        <v/>
      </c>
      <c r="E1224" s="77"/>
      <c r="F1224" s="45"/>
      <c r="G1224" s="56"/>
      <c r="H1224" s="83"/>
      <c r="I1224" s="35" t="str">
        <f t="shared" si="78"/>
        <v/>
      </c>
    </row>
    <row r="1225" spans="1:9">
      <c r="A1225" s="10" t="str">
        <f t="shared" si="79"/>
        <v/>
      </c>
      <c r="B1225" s="53"/>
      <c r="C1225" s="28" t="str">
        <f t="shared" si="76"/>
        <v/>
      </c>
      <c r="D1225" s="28" t="str">
        <f t="shared" si="77"/>
        <v/>
      </c>
      <c r="E1225" s="77"/>
      <c r="F1225" s="45"/>
      <c r="G1225" s="56"/>
      <c r="H1225" s="83"/>
      <c r="I1225" s="35" t="str">
        <f t="shared" si="78"/>
        <v/>
      </c>
    </row>
    <row r="1226" spans="1:9">
      <c r="A1226" s="10" t="str">
        <f t="shared" si="79"/>
        <v/>
      </c>
      <c r="B1226" s="53"/>
      <c r="C1226" s="28" t="str">
        <f t="shared" si="76"/>
        <v/>
      </c>
      <c r="D1226" s="28" t="str">
        <f t="shared" si="77"/>
        <v/>
      </c>
      <c r="E1226" s="77"/>
      <c r="F1226" s="45"/>
      <c r="G1226" s="56"/>
      <c r="H1226" s="83"/>
      <c r="I1226" s="35" t="str">
        <f t="shared" si="78"/>
        <v/>
      </c>
    </row>
    <row r="1227" spans="1:9">
      <c r="A1227" s="10" t="str">
        <f t="shared" si="79"/>
        <v/>
      </c>
      <c r="B1227" s="53"/>
      <c r="C1227" s="28" t="str">
        <f t="shared" si="76"/>
        <v/>
      </c>
      <c r="D1227" s="28" t="str">
        <f t="shared" si="77"/>
        <v/>
      </c>
      <c r="E1227" s="77"/>
      <c r="F1227" s="45"/>
      <c r="G1227" s="56"/>
      <c r="H1227" s="83"/>
      <c r="I1227" s="35" t="str">
        <f t="shared" si="78"/>
        <v/>
      </c>
    </row>
    <row r="1228" spans="1:9">
      <c r="A1228" s="10" t="str">
        <f t="shared" si="79"/>
        <v/>
      </c>
      <c r="B1228" s="53"/>
      <c r="C1228" s="28" t="str">
        <f t="shared" si="76"/>
        <v/>
      </c>
      <c r="D1228" s="28" t="str">
        <f t="shared" si="77"/>
        <v/>
      </c>
      <c r="E1228" s="77"/>
      <c r="F1228" s="45"/>
      <c r="G1228" s="56"/>
      <c r="H1228" s="83"/>
      <c r="I1228" s="35" t="str">
        <f t="shared" si="78"/>
        <v/>
      </c>
    </row>
    <row r="1229" spans="1:9">
      <c r="A1229" s="10" t="str">
        <f t="shared" si="79"/>
        <v/>
      </c>
      <c r="B1229" s="53"/>
      <c r="C1229" s="28" t="str">
        <f t="shared" si="76"/>
        <v/>
      </c>
      <c r="D1229" s="28" t="str">
        <f t="shared" si="77"/>
        <v/>
      </c>
      <c r="E1229" s="77"/>
      <c r="F1229" s="45"/>
      <c r="G1229" s="56"/>
      <c r="H1229" s="83"/>
      <c r="I1229" s="35" t="str">
        <f t="shared" si="78"/>
        <v/>
      </c>
    </row>
    <row r="1230" spans="1:9">
      <c r="A1230" s="10" t="str">
        <f t="shared" si="79"/>
        <v/>
      </c>
      <c r="B1230" s="53"/>
      <c r="C1230" s="28" t="str">
        <f t="shared" si="76"/>
        <v/>
      </c>
      <c r="D1230" s="28" t="str">
        <f t="shared" si="77"/>
        <v/>
      </c>
      <c r="E1230" s="77"/>
      <c r="F1230" s="45"/>
      <c r="G1230" s="56"/>
      <c r="H1230" s="83"/>
      <c r="I1230" s="35" t="str">
        <f t="shared" si="78"/>
        <v/>
      </c>
    </row>
    <row r="1231" spans="1:9">
      <c r="A1231" s="10" t="str">
        <f t="shared" si="79"/>
        <v/>
      </c>
      <c r="B1231" s="53"/>
      <c r="C1231" s="28" t="str">
        <f t="shared" si="76"/>
        <v/>
      </c>
      <c r="D1231" s="28" t="str">
        <f t="shared" si="77"/>
        <v/>
      </c>
      <c r="E1231" s="77"/>
      <c r="F1231" s="45"/>
      <c r="G1231" s="56"/>
      <c r="H1231" s="83"/>
      <c r="I1231" s="35" t="str">
        <f t="shared" si="78"/>
        <v/>
      </c>
    </row>
    <row r="1232" spans="1:9">
      <c r="A1232" s="10" t="str">
        <f t="shared" si="79"/>
        <v/>
      </c>
      <c r="B1232" s="53"/>
      <c r="C1232" s="28" t="str">
        <f t="shared" si="76"/>
        <v/>
      </c>
      <c r="D1232" s="28" t="str">
        <f t="shared" si="77"/>
        <v/>
      </c>
      <c r="E1232" s="77"/>
      <c r="F1232" s="45"/>
      <c r="G1232" s="56"/>
      <c r="H1232" s="83"/>
      <c r="I1232" s="35" t="str">
        <f t="shared" si="78"/>
        <v/>
      </c>
    </row>
    <row r="1233" spans="1:9">
      <c r="A1233" s="10" t="str">
        <f t="shared" si="79"/>
        <v/>
      </c>
      <c r="B1233" s="53"/>
      <c r="C1233" s="28" t="str">
        <f t="shared" si="76"/>
        <v/>
      </c>
      <c r="D1233" s="28" t="str">
        <f t="shared" si="77"/>
        <v/>
      </c>
      <c r="E1233" s="77"/>
      <c r="F1233" s="45"/>
      <c r="G1233" s="56"/>
      <c r="H1233" s="83"/>
      <c r="I1233" s="35" t="str">
        <f t="shared" si="78"/>
        <v/>
      </c>
    </row>
    <row r="1234" spans="1:9">
      <c r="A1234" s="10" t="str">
        <f t="shared" si="79"/>
        <v/>
      </c>
      <c r="B1234" s="53"/>
      <c r="C1234" s="28" t="str">
        <f t="shared" si="76"/>
        <v/>
      </c>
      <c r="D1234" s="28" t="str">
        <f t="shared" si="77"/>
        <v/>
      </c>
      <c r="E1234" s="77"/>
      <c r="F1234" s="45"/>
      <c r="G1234" s="56"/>
      <c r="H1234" s="83"/>
      <c r="I1234" s="35" t="str">
        <f t="shared" si="78"/>
        <v/>
      </c>
    </row>
    <row r="1235" spans="1:9">
      <c r="A1235" s="10" t="str">
        <f t="shared" si="79"/>
        <v/>
      </c>
      <c r="B1235" s="53"/>
      <c r="C1235" s="28" t="str">
        <f t="shared" si="76"/>
        <v/>
      </c>
      <c r="D1235" s="28" t="str">
        <f t="shared" si="77"/>
        <v/>
      </c>
      <c r="E1235" s="77"/>
      <c r="F1235" s="45"/>
      <c r="G1235" s="56"/>
      <c r="H1235" s="83"/>
      <c r="I1235" s="35" t="str">
        <f t="shared" si="78"/>
        <v/>
      </c>
    </row>
    <row r="1236" spans="1:9">
      <c r="A1236" s="10" t="str">
        <f t="shared" si="79"/>
        <v/>
      </c>
      <c r="B1236" s="53"/>
      <c r="C1236" s="28" t="str">
        <f t="shared" si="76"/>
        <v/>
      </c>
      <c r="D1236" s="28" t="str">
        <f t="shared" si="77"/>
        <v/>
      </c>
      <c r="E1236" s="77"/>
      <c r="F1236" s="45"/>
      <c r="G1236" s="56"/>
      <c r="H1236" s="83"/>
      <c r="I1236" s="35" t="str">
        <f t="shared" si="78"/>
        <v/>
      </c>
    </row>
    <row r="1237" spans="1:9">
      <c r="A1237" s="10" t="str">
        <f t="shared" si="79"/>
        <v/>
      </c>
      <c r="B1237" s="53"/>
      <c r="C1237" s="28" t="str">
        <f t="shared" si="76"/>
        <v/>
      </c>
      <c r="D1237" s="28" t="str">
        <f t="shared" si="77"/>
        <v/>
      </c>
      <c r="E1237" s="77"/>
      <c r="F1237" s="45"/>
      <c r="G1237" s="56"/>
      <c r="H1237" s="83"/>
      <c r="I1237" s="35" t="str">
        <f t="shared" si="78"/>
        <v/>
      </c>
    </row>
    <row r="1238" spans="1:9">
      <c r="A1238" s="10" t="str">
        <f t="shared" si="79"/>
        <v/>
      </c>
      <c r="B1238" s="53"/>
      <c r="C1238" s="28" t="str">
        <f t="shared" si="76"/>
        <v/>
      </c>
      <c r="D1238" s="28" t="str">
        <f t="shared" si="77"/>
        <v/>
      </c>
      <c r="E1238" s="77"/>
      <c r="F1238" s="45"/>
      <c r="G1238" s="56"/>
      <c r="H1238" s="83"/>
      <c r="I1238" s="35" t="str">
        <f t="shared" si="78"/>
        <v/>
      </c>
    </row>
    <row r="1239" spans="1:9">
      <c r="A1239" s="10" t="str">
        <f t="shared" si="79"/>
        <v/>
      </c>
      <c r="B1239" s="53"/>
      <c r="C1239" s="28" t="str">
        <f t="shared" si="76"/>
        <v/>
      </c>
      <c r="D1239" s="28" t="str">
        <f t="shared" si="77"/>
        <v/>
      </c>
      <c r="E1239" s="77"/>
      <c r="F1239" s="45"/>
      <c r="G1239" s="56"/>
      <c r="H1239" s="83"/>
      <c r="I1239" s="35" t="str">
        <f t="shared" si="78"/>
        <v/>
      </c>
    </row>
    <row r="1240" spans="1:9">
      <c r="A1240" s="10" t="str">
        <f t="shared" si="79"/>
        <v/>
      </c>
      <c r="B1240" s="53"/>
      <c r="C1240" s="28" t="str">
        <f t="shared" si="76"/>
        <v/>
      </c>
      <c r="D1240" s="28" t="str">
        <f t="shared" si="77"/>
        <v/>
      </c>
      <c r="E1240" s="77"/>
      <c r="F1240" s="45"/>
      <c r="G1240" s="56"/>
      <c r="H1240" s="83"/>
      <c r="I1240" s="35" t="str">
        <f t="shared" si="78"/>
        <v/>
      </c>
    </row>
    <row r="1241" spans="1:9">
      <c r="A1241" s="10" t="str">
        <f t="shared" si="79"/>
        <v/>
      </c>
      <c r="B1241" s="53"/>
      <c r="C1241" s="28" t="str">
        <f t="shared" si="76"/>
        <v/>
      </c>
      <c r="D1241" s="28" t="str">
        <f t="shared" si="77"/>
        <v/>
      </c>
      <c r="E1241" s="77"/>
      <c r="F1241" s="45"/>
      <c r="G1241" s="56"/>
      <c r="H1241" s="83"/>
      <c r="I1241" s="35" t="str">
        <f t="shared" si="78"/>
        <v/>
      </c>
    </row>
    <row r="1242" spans="1:9">
      <c r="A1242" s="10" t="str">
        <f t="shared" si="79"/>
        <v/>
      </c>
      <c r="B1242" s="53"/>
      <c r="C1242" s="28" t="str">
        <f t="shared" si="76"/>
        <v/>
      </c>
      <c r="D1242" s="28" t="str">
        <f t="shared" si="77"/>
        <v/>
      </c>
      <c r="E1242" s="77"/>
      <c r="F1242" s="45"/>
      <c r="G1242" s="56"/>
      <c r="H1242" s="83"/>
      <c r="I1242" s="35" t="str">
        <f t="shared" si="78"/>
        <v/>
      </c>
    </row>
    <row r="1243" spans="1:9">
      <c r="A1243" s="10" t="str">
        <f t="shared" si="79"/>
        <v/>
      </c>
      <c r="B1243" s="53"/>
      <c r="C1243" s="28" t="str">
        <f t="shared" si="76"/>
        <v/>
      </c>
      <c r="D1243" s="28" t="str">
        <f t="shared" si="77"/>
        <v/>
      </c>
      <c r="E1243" s="77"/>
      <c r="F1243" s="45"/>
      <c r="G1243" s="56"/>
      <c r="H1243" s="83"/>
      <c r="I1243" s="35" t="str">
        <f t="shared" si="78"/>
        <v/>
      </c>
    </row>
    <row r="1244" spans="1:9">
      <c r="A1244" s="10" t="str">
        <f t="shared" si="79"/>
        <v/>
      </c>
      <c r="B1244" s="53"/>
      <c r="C1244" s="28" t="str">
        <f t="shared" si="76"/>
        <v/>
      </c>
      <c r="D1244" s="28" t="str">
        <f t="shared" si="77"/>
        <v/>
      </c>
      <c r="E1244" s="77"/>
      <c r="F1244" s="45"/>
      <c r="G1244" s="56"/>
      <c r="H1244" s="83"/>
      <c r="I1244" s="35" t="str">
        <f t="shared" si="78"/>
        <v/>
      </c>
    </row>
    <row r="1245" spans="1:9">
      <c r="A1245" s="10" t="str">
        <f t="shared" si="79"/>
        <v/>
      </c>
      <c r="B1245" s="53"/>
      <c r="C1245" s="28" t="str">
        <f t="shared" si="76"/>
        <v/>
      </c>
      <c r="D1245" s="28" t="str">
        <f t="shared" si="77"/>
        <v/>
      </c>
      <c r="E1245" s="77"/>
      <c r="F1245" s="45"/>
      <c r="G1245" s="56"/>
      <c r="H1245" s="83"/>
      <c r="I1245" s="35" t="str">
        <f t="shared" si="78"/>
        <v/>
      </c>
    </row>
    <row r="1246" spans="1:9">
      <c r="A1246" s="10" t="str">
        <f t="shared" si="79"/>
        <v/>
      </c>
      <c r="B1246" s="53"/>
      <c r="C1246" s="28" t="str">
        <f t="shared" si="76"/>
        <v/>
      </c>
      <c r="D1246" s="28" t="str">
        <f t="shared" si="77"/>
        <v/>
      </c>
      <c r="E1246" s="77"/>
      <c r="F1246" s="45"/>
      <c r="G1246" s="56"/>
      <c r="H1246" s="83"/>
      <c r="I1246" s="35" t="str">
        <f t="shared" si="78"/>
        <v/>
      </c>
    </row>
    <row r="1247" spans="1:9">
      <c r="A1247" s="10" t="str">
        <f t="shared" si="79"/>
        <v/>
      </c>
      <c r="B1247" s="53"/>
      <c r="C1247" s="28" t="str">
        <f t="shared" si="76"/>
        <v/>
      </c>
      <c r="D1247" s="28" t="str">
        <f t="shared" si="77"/>
        <v/>
      </c>
      <c r="E1247" s="77"/>
      <c r="F1247" s="45"/>
      <c r="G1247" s="56"/>
      <c r="H1247" s="83"/>
      <c r="I1247" s="35" t="str">
        <f t="shared" si="78"/>
        <v/>
      </c>
    </row>
    <row r="1248" spans="1:9">
      <c r="A1248" s="10" t="str">
        <f t="shared" si="79"/>
        <v/>
      </c>
      <c r="B1248" s="53"/>
      <c r="C1248" s="28" t="str">
        <f t="shared" si="76"/>
        <v/>
      </c>
      <c r="D1248" s="28" t="str">
        <f t="shared" si="77"/>
        <v/>
      </c>
      <c r="E1248" s="77"/>
      <c r="F1248" s="45"/>
      <c r="G1248" s="56"/>
      <c r="H1248" s="83"/>
      <c r="I1248" s="35" t="str">
        <f t="shared" si="78"/>
        <v/>
      </c>
    </row>
    <row r="1249" spans="1:9">
      <c r="A1249" s="10" t="str">
        <f t="shared" si="79"/>
        <v/>
      </c>
      <c r="B1249" s="53"/>
      <c r="C1249" s="28" t="str">
        <f t="shared" si="76"/>
        <v/>
      </c>
      <c r="D1249" s="28" t="str">
        <f t="shared" si="77"/>
        <v/>
      </c>
      <c r="E1249" s="77"/>
      <c r="F1249" s="45"/>
      <c r="G1249" s="56"/>
      <c r="H1249" s="83"/>
      <c r="I1249" s="35" t="str">
        <f t="shared" si="78"/>
        <v/>
      </c>
    </row>
    <row r="1250" spans="1:9">
      <c r="A1250" s="10" t="str">
        <f t="shared" si="79"/>
        <v/>
      </c>
      <c r="B1250" s="53"/>
      <c r="C1250" s="28" t="str">
        <f t="shared" si="76"/>
        <v/>
      </c>
      <c r="D1250" s="28" t="str">
        <f t="shared" si="77"/>
        <v/>
      </c>
      <c r="E1250" s="77"/>
      <c r="F1250" s="45"/>
      <c r="G1250" s="56"/>
      <c r="H1250" s="83"/>
      <c r="I1250" s="35" t="str">
        <f t="shared" si="78"/>
        <v/>
      </c>
    </row>
    <row r="1251" spans="1:9">
      <c r="A1251" s="10" t="str">
        <f t="shared" si="79"/>
        <v/>
      </c>
      <c r="B1251" s="53"/>
      <c r="C1251" s="28" t="str">
        <f t="shared" si="76"/>
        <v/>
      </c>
      <c r="D1251" s="28" t="str">
        <f t="shared" si="77"/>
        <v/>
      </c>
      <c r="E1251" s="77"/>
      <c r="F1251" s="45"/>
      <c r="G1251" s="56"/>
      <c r="H1251" s="83"/>
      <c r="I1251" s="35" t="str">
        <f t="shared" si="78"/>
        <v/>
      </c>
    </row>
    <row r="1252" spans="1:9">
      <c r="A1252" s="10" t="str">
        <f t="shared" si="79"/>
        <v/>
      </c>
      <c r="B1252" s="53"/>
      <c r="C1252" s="28" t="str">
        <f t="shared" si="76"/>
        <v/>
      </c>
      <c r="D1252" s="28" t="str">
        <f t="shared" si="77"/>
        <v/>
      </c>
      <c r="E1252" s="77"/>
      <c r="F1252" s="45"/>
      <c r="G1252" s="56"/>
      <c r="H1252" s="83"/>
      <c r="I1252" s="35" t="str">
        <f t="shared" si="78"/>
        <v/>
      </c>
    </row>
    <row r="1253" spans="1:9">
      <c r="A1253" s="10" t="str">
        <f t="shared" si="79"/>
        <v/>
      </c>
      <c r="B1253" s="53"/>
      <c r="C1253" s="28" t="str">
        <f t="shared" si="76"/>
        <v/>
      </c>
      <c r="D1253" s="28" t="str">
        <f t="shared" si="77"/>
        <v/>
      </c>
      <c r="E1253" s="77"/>
      <c r="F1253" s="45"/>
      <c r="G1253" s="56"/>
      <c r="H1253" s="83"/>
      <c r="I1253" s="35" t="str">
        <f t="shared" si="78"/>
        <v/>
      </c>
    </row>
    <row r="1254" spans="1:9">
      <c r="A1254" s="10" t="str">
        <f t="shared" si="79"/>
        <v/>
      </c>
      <c r="B1254" s="53"/>
      <c r="C1254" s="28" t="str">
        <f t="shared" si="76"/>
        <v/>
      </c>
      <c r="D1254" s="28" t="str">
        <f t="shared" si="77"/>
        <v/>
      </c>
      <c r="E1254" s="77"/>
      <c r="F1254" s="45"/>
      <c r="G1254" s="56"/>
      <c r="H1254" s="83"/>
      <c r="I1254" s="35" t="str">
        <f t="shared" si="78"/>
        <v/>
      </c>
    </row>
    <row r="1255" spans="1:9">
      <c r="A1255" s="10" t="str">
        <f t="shared" si="79"/>
        <v/>
      </c>
      <c r="B1255" s="53"/>
      <c r="C1255" s="28" t="str">
        <f t="shared" si="76"/>
        <v/>
      </c>
      <c r="D1255" s="28" t="str">
        <f t="shared" si="77"/>
        <v/>
      </c>
      <c r="E1255" s="77"/>
      <c r="F1255" s="45"/>
      <c r="G1255" s="56"/>
      <c r="H1255" s="83"/>
      <c r="I1255" s="35" t="str">
        <f t="shared" si="78"/>
        <v/>
      </c>
    </row>
    <row r="1256" spans="1:9">
      <c r="A1256" s="10" t="str">
        <f t="shared" si="79"/>
        <v/>
      </c>
      <c r="B1256" s="53"/>
      <c r="C1256" s="28" t="str">
        <f t="shared" si="76"/>
        <v/>
      </c>
      <c r="D1256" s="28" t="str">
        <f t="shared" si="77"/>
        <v/>
      </c>
      <c r="E1256" s="77"/>
      <c r="F1256" s="45"/>
      <c r="G1256" s="56"/>
      <c r="H1256" s="83"/>
      <c r="I1256" s="35" t="str">
        <f t="shared" si="78"/>
        <v/>
      </c>
    </row>
    <row r="1257" spans="1:9">
      <c r="A1257" s="10" t="str">
        <f t="shared" si="79"/>
        <v/>
      </c>
      <c r="B1257" s="53"/>
      <c r="C1257" s="28" t="str">
        <f t="shared" si="76"/>
        <v/>
      </c>
      <c r="D1257" s="28" t="str">
        <f t="shared" si="77"/>
        <v/>
      </c>
      <c r="E1257" s="77"/>
      <c r="F1257" s="45"/>
      <c r="G1257" s="56"/>
      <c r="H1257" s="83"/>
      <c r="I1257" s="35" t="str">
        <f t="shared" si="78"/>
        <v/>
      </c>
    </row>
    <row r="1258" spans="1:9">
      <c r="A1258" s="10" t="str">
        <f t="shared" si="79"/>
        <v/>
      </c>
      <c r="B1258" s="53"/>
      <c r="C1258" s="28" t="str">
        <f t="shared" si="76"/>
        <v/>
      </c>
      <c r="D1258" s="28" t="str">
        <f t="shared" si="77"/>
        <v/>
      </c>
      <c r="E1258" s="77"/>
      <c r="F1258" s="45"/>
      <c r="G1258" s="56"/>
      <c r="H1258" s="83"/>
      <c r="I1258" s="35" t="str">
        <f t="shared" si="78"/>
        <v/>
      </c>
    </row>
    <row r="1259" spans="1:9">
      <c r="A1259" s="10" t="str">
        <f t="shared" si="79"/>
        <v/>
      </c>
      <c r="B1259" s="53"/>
      <c r="C1259" s="28" t="str">
        <f t="shared" si="76"/>
        <v/>
      </c>
      <c r="D1259" s="28" t="str">
        <f t="shared" si="77"/>
        <v/>
      </c>
      <c r="E1259" s="77"/>
      <c r="F1259" s="45"/>
      <c r="G1259" s="56"/>
      <c r="H1259" s="83"/>
      <c r="I1259" s="35" t="str">
        <f t="shared" si="78"/>
        <v/>
      </c>
    </row>
    <row r="1260" spans="1:9">
      <c r="A1260" s="10" t="str">
        <f t="shared" si="79"/>
        <v/>
      </c>
      <c r="B1260" s="53"/>
      <c r="C1260" s="28" t="str">
        <f t="shared" si="76"/>
        <v/>
      </c>
      <c r="D1260" s="28" t="str">
        <f t="shared" si="77"/>
        <v/>
      </c>
      <c r="E1260" s="77"/>
      <c r="F1260" s="45"/>
      <c r="G1260" s="56"/>
      <c r="H1260" s="83"/>
      <c r="I1260" s="35" t="str">
        <f t="shared" si="78"/>
        <v/>
      </c>
    </row>
    <row r="1261" spans="1:9">
      <c r="A1261" s="10" t="str">
        <f t="shared" si="79"/>
        <v/>
      </c>
      <c r="B1261" s="53"/>
      <c r="C1261" s="28" t="str">
        <f t="shared" si="76"/>
        <v/>
      </c>
      <c r="D1261" s="28" t="str">
        <f t="shared" si="77"/>
        <v/>
      </c>
      <c r="E1261" s="77"/>
      <c r="F1261" s="45"/>
      <c r="G1261" s="56"/>
      <c r="H1261" s="83"/>
      <c r="I1261" s="35" t="str">
        <f t="shared" si="78"/>
        <v/>
      </c>
    </row>
    <row r="1262" spans="1:9">
      <c r="A1262" s="10" t="str">
        <f t="shared" si="79"/>
        <v/>
      </c>
      <c r="B1262" s="53"/>
      <c r="C1262" s="28" t="str">
        <f t="shared" si="76"/>
        <v/>
      </c>
      <c r="D1262" s="28" t="str">
        <f t="shared" si="77"/>
        <v/>
      </c>
      <c r="E1262" s="77"/>
      <c r="F1262" s="45"/>
      <c r="G1262" s="56"/>
      <c r="H1262" s="83"/>
      <c r="I1262" s="35" t="str">
        <f t="shared" si="78"/>
        <v/>
      </c>
    </row>
    <row r="1263" spans="1:9">
      <c r="A1263" s="10" t="str">
        <f t="shared" si="79"/>
        <v/>
      </c>
      <c r="B1263" s="53"/>
      <c r="C1263" s="28" t="str">
        <f t="shared" si="76"/>
        <v/>
      </c>
      <c r="D1263" s="28" t="str">
        <f t="shared" si="77"/>
        <v/>
      </c>
      <c r="E1263" s="77"/>
      <c r="F1263" s="45"/>
      <c r="G1263" s="56"/>
      <c r="H1263" s="83"/>
      <c r="I1263" s="35" t="str">
        <f t="shared" si="78"/>
        <v/>
      </c>
    </row>
    <row r="1264" spans="1:9">
      <c r="A1264" s="10" t="str">
        <f t="shared" si="79"/>
        <v/>
      </c>
      <c r="B1264" s="53"/>
      <c r="C1264" s="28" t="str">
        <f t="shared" si="76"/>
        <v/>
      </c>
      <c r="D1264" s="28" t="str">
        <f t="shared" si="77"/>
        <v/>
      </c>
      <c r="E1264" s="77"/>
      <c r="F1264" s="45"/>
      <c r="G1264" s="56"/>
      <c r="H1264" s="83"/>
      <c r="I1264" s="35" t="str">
        <f t="shared" si="78"/>
        <v/>
      </c>
    </row>
    <row r="1265" spans="1:9">
      <c r="A1265" s="10" t="str">
        <f t="shared" si="79"/>
        <v/>
      </c>
      <c r="B1265" s="53"/>
      <c r="C1265" s="28" t="str">
        <f t="shared" si="76"/>
        <v/>
      </c>
      <c r="D1265" s="28" t="str">
        <f t="shared" si="77"/>
        <v/>
      </c>
      <c r="E1265" s="77"/>
      <c r="F1265" s="45"/>
      <c r="G1265" s="56"/>
      <c r="H1265" s="83"/>
      <c r="I1265" s="35" t="str">
        <f t="shared" si="78"/>
        <v/>
      </c>
    </row>
    <row r="1266" spans="1:9">
      <c r="A1266" s="10" t="str">
        <f t="shared" si="79"/>
        <v/>
      </c>
      <c r="B1266" s="53"/>
      <c r="C1266" s="28" t="str">
        <f t="shared" si="76"/>
        <v/>
      </c>
      <c r="D1266" s="28" t="str">
        <f t="shared" si="77"/>
        <v/>
      </c>
      <c r="E1266" s="77"/>
      <c r="F1266" s="45"/>
      <c r="G1266" s="56"/>
      <c r="H1266" s="83"/>
      <c r="I1266" s="35" t="str">
        <f t="shared" si="78"/>
        <v/>
      </c>
    </row>
    <row r="1267" spans="1:9">
      <c r="A1267" s="10" t="str">
        <f t="shared" si="79"/>
        <v/>
      </c>
      <c r="B1267" s="53"/>
      <c r="C1267" s="28" t="str">
        <f t="shared" si="76"/>
        <v/>
      </c>
      <c r="D1267" s="28" t="str">
        <f t="shared" si="77"/>
        <v/>
      </c>
      <c r="E1267" s="77"/>
      <c r="F1267" s="45"/>
      <c r="G1267" s="56"/>
      <c r="H1267" s="83"/>
      <c r="I1267" s="35" t="str">
        <f t="shared" si="78"/>
        <v/>
      </c>
    </row>
    <row r="1268" spans="1:9">
      <c r="A1268" s="10" t="str">
        <f t="shared" si="79"/>
        <v/>
      </c>
      <c r="B1268" s="53"/>
      <c r="C1268" s="28" t="str">
        <f t="shared" si="76"/>
        <v/>
      </c>
      <c r="D1268" s="28" t="str">
        <f t="shared" si="77"/>
        <v/>
      </c>
      <c r="E1268" s="77"/>
      <c r="F1268" s="45"/>
      <c r="G1268" s="56"/>
      <c r="H1268" s="83"/>
      <c r="I1268" s="35" t="str">
        <f t="shared" si="78"/>
        <v/>
      </c>
    </row>
    <row r="1269" spans="1:9">
      <c r="A1269" s="10" t="str">
        <f t="shared" si="79"/>
        <v/>
      </c>
      <c r="B1269" s="53"/>
      <c r="C1269" s="28" t="str">
        <f t="shared" si="76"/>
        <v/>
      </c>
      <c r="D1269" s="28" t="str">
        <f t="shared" si="77"/>
        <v/>
      </c>
      <c r="E1269" s="77"/>
      <c r="F1269" s="45"/>
      <c r="G1269" s="56"/>
      <c r="H1269" s="83"/>
      <c r="I1269" s="35" t="str">
        <f t="shared" si="78"/>
        <v/>
      </c>
    </row>
    <row r="1270" spans="1:9">
      <c r="A1270" s="10" t="str">
        <f t="shared" si="79"/>
        <v/>
      </c>
      <c r="B1270" s="53"/>
      <c r="C1270" s="28" t="str">
        <f t="shared" si="76"/>
        <v/>
      </c>
      <c r="D1270" s="28" t="str">
        <f t="shared" si="77"/>
        <v/>
      </c>
      <c r="E1270" s="77"/>
      <c r="F1270" s="45"/>
      <c r="G1270" s="56"/>
      <c r="H1270" s="83"/>
      <c r="I1270" s="35" t="str">
        <f t="shared" si="78"/>
        <v/>
      </c>
    </row>
    <row r="1271" spans="1:9">
      <c r="A1271" s="10" t="str">
        <f t="shared" si="79"/>
        <v/>
      </c>
      <c r="B1271" s="53"/>
      <c r="C1271" s="28" t="str">
        <f t="shared" si="76"/>
        <v/>
      </c>
      <c r="D1271" s="28" t="str">
        <f t="shared" si="77"/>
        <v/>
      </c>
      <c r="E1271" s="77"/>
      <c r="F1271" s="45"/>
      <c r="G1271" s="56"/>
      <c r="H1271" s="83"/>
      <c r="I1271" s="35" t="str">
        <f t="shared" si="78"/>
        <v/>
      </c>
    </row>
    <row r="1272" spans="1:9">
      <c r="A1272" s="10" t="str">
        <f t="shared" si="79"/>
        <v/>
      </c>
      <c r="B1272" s="53"/>
      <c r="C1272" s="28" t="str">
        <f t="shared" si="76"/>
        <v/>
      </c>
      <c r="D1272" s="28" t="str">
        <f t="shared" si="77"/>
        <v/>
      </c>
      <c r="E1272" s="77"/>
      <c r="F1272" s="45"/>
      <c r="G1272" s="56"/>
      <c r="H1272" s="83"/>
      <c r="I1272" s="35" t="str">
        <f t="shared" si="78"/>
        <v/>
      </c>
    </row>
    <row r="1273" spans="1:9">
      <c r="A1273" s="10" t="str">
        <f t="shared" si="79"/>
        <v/>
      </c>
      <c r="B1273" s="53"/>
      <c r="C1273" s="28" t="str">
        <f t="shared" si="76"/>
        <v/>
      </c>
      <c r="D1273" s="28" t="str">
        <f t="shared" si="77"/>
        <v/>
      </c>
      <c r="E1273" s="77"/>
      <c r="F1273" s="45"/>
      <c r="G1273" s="56"/>
      <c r="H1273" s="83"/>
      <c r="I1273" s="35" t="str">
        <f t="shared" si="78"/>
        <v/>
      </c>
    </row>
    <row r="1274" spans="1:9">
      <c r="A1274" s="10" t="str">
        <f t="shared" si="79"/>
        <v/>
      </c>
      <c r="B1274" s="53"/>
      <c r="C1274" s="28" t="str">
        <f t="shared" si="76"/>
        <v/>
      </c>
      <c r="D1274" s="28" t="str">
        <f t="shared" si="77"/>
        <v/>
      </c>
      <c r="E1274" s="77"/>
      <c r="F1274" s="45"/>
      <c r="G1274" s="56"/>
      <c r="H1274" s="83"/>
      <c r="I1274" s="35" t="str">
        <f t="shared" si="78"/>
        <v/>
      </c>
    </row>
    <row r="1275" spans="1:9">
      <c r="A1275" s="10" t="str">
        <f t="shared" si="79"/>
        <v/>
      </c>
      <c r="B1275" s="53"/>
      <c r="C1275" s="28" t="str">
        <f t="shared" si="76"/>
        <v/>
      </c>
      <c r="D1275" s="28" t="str">
        <f t="shared" si="77"/>
        <v/>
      </c>
      <c r="E1275" s="77"/>
      <c r="F1275" s="45"/>
      <c r="G1275" s="56"/>
      <c r="H1275" s="83"/>
      <c r="I1275" s="35" t="str">
        <f t="shared" si="78"/>
        <v/>
      </c>
    </row>
    <row r="1276" spans="1:9">
      <c r="A1276" s="10" t="str">
        <f t="shared" si="79"/>
        <v/>
      </c>
      <c r="B1276" s="53"/>
      <c r="C1276" s="28" t="str">
        <f t="shared" si="76"/>
        <v/>
      </c>
      <c r="D1276" s="28" t="str">
        <f t="shared" si="77"/>
        <v/>
      </c>
      <c r="E1276" s="77"/>
      <c r="F1276" s="45"/>
      <c r="G1276" s="56"/>
      <c r="H1276" s="83"/>
      <c r="I1276" s="35" t="str">
        <f t="shared" si="78"/>
        <v/>
      </c>
    </row>
    <row r="1277" spans="1:9">
      <c r="A1277" s="10" t="str">
        <f t="shared" si="79"/>
        <v/>
      </c>
      <c r="B1277" s="53"/>
      <c r="C1277" s="28" t="str">
        <f t="shared" si="76"/>
        <v/>
      </c>
      <c r="D1277" s="28" t="str">
        <f t="shared" si="77"/>
        <v/>
      </c>
      <c r="E1277" s="77"/>
      <c r="F1277" s="45"/>
      <c r="G1277" s="56"/>
      <c r="H1277" s="83"/>
      <c r="I1277" s="35" t="str">
        <f t="shared" si="78"/>
        <v/>
      </c>
    </row>
    <row r="1278" spans="1:9">
      <c r="A1278" s="10" t="str">
        <f t="shared" si="79"/>
        <v/>
      </c>
      <c r="B1278" s="53"/>
      <c r="C1278" s="28" t="str">
        <f t="shared" si="76"/>
        <v/>
      </c>
      <c r="D1278" s="28" t="str">
        <f t="shared" si="77"/>
        <v/>
      </c>
      <c r="E1278" s="77"/>
      <c r="F1278" s="45"/>
      <c r="G1278" s="56"/>
      <c r="H1278" s="83"/>
      <c r="I1278" s="35" t="str">
        <f t="shared" si="78"/>
        <v/>
      </c>
    </row>
    <row r="1279" spans="1:9">
      <c r="A1279" s="10" t="str">
        <f t="shared" si="79"/>
        <v/>
      </c>
      <c r="B1279" s="53"/>
      <c r="C1279" s="28" t="str">
        <f t="shared" si="76"/>
        <v/>
      </c>
      <c r="D1279" s="28" t="str">
        <f t="shared" si="77"/>
        <v/>
      </c>
      <c r="E1279" s="77"/>
      <c r="F1279" s="45"/>
      <c r="G1279" s="56"/>
      <c r="H1279" s="83"/>
      <c r="I1279" s="35" t="str">
        <f t="shared" si="78"/>
        <v/>
      </c>
    </row>
    <row r="1280" spans="1:9">
      <c r="A1280" s="10" t="str">
        <f t="shared" si="79"/>
        <v/>
      </c>
      <c r="B1280" s="53"/>
      <c r="C1280" s="28" t="str">
        <f t="shared" si="76"/>
        <v/>
      </c>
      <c r="D1280" s="28" t="str">
        <f t="shared" si="77"/>
        <v/>
      </c>
      <c r="E1280" s="77"/>
      <c r="F1280" s="45"/>
      <c r="G1280" s="56"/>
      <c r="H1280" s="83"/>
      <c r="I1280" s="35" t="str">
        <f t="shared" si="78"/>
        <v/>
      </c>
    </row>
    <row r="1281" spans="1:9">
      <c r="A1281" s="10" t="str">
        <f t="shared" si="79"/>
        <v/>
      </c>
      <c r="B1281" s="53"/>
      <c r="C1281" s="28" t="str">
        <f t="shared" si="76"/>
        <v/>
      </c>
      <c r="D1281" s="28" t="str">
        <f t="shared" si="77"/>
        <v/>
      </c>
      <c r="E1281" s="77"/>
      <c r="F1281" s="45"/>
      <c r="G1281" s="56"/>
      <c r="H1281" s="83"/>
      <c r="I1281" s="35" t="str">
        <f t="shared" si="78"/>
        <v/>
      </c>
    </row>
    <row r="1282" spans="1:9">
      <c r="A1282" s="10" t="str">
        <f t="shared" si="79"/>
        <v/>
      </c>
      <c r="B1282" s="53"/>
      <c r="C1282" s="28" t="str">
        <f t="shared" si="76"/>
        <v/>
      </c>
      <c r="D1282" s="28" t="str">
        <f t="shared" si="77"/>
        <v/>
      </c>
      <c r="E1282" s="77"/>
      <c r="F1282" s="45"/>
      <c r="G1282" s="56"/>
      <c r="H1282" s="83"/>
      <c r="I1282" s="35" t="str">
        <f t="shared" si="78"/>
        <v/>
      </c>
    </row>
    <row r="1283" spans="1:9">
      <c r="A1283" s="10" t="str">
        <f t="shared" si="79"/>
        <v/>
      </c>
      <c r="B1283" s="53"/>
      <c r="C1283" s="28" t="str">
        <f t="shared" ref="C1283:C1345" si="80">IF(B1283=0,"",TEXT(B1283,"mmmm"))</f>
        <v/>
      </c>
      <c r="D1283" s="28" t="str">
        <f t="shared" ref="D1283:D1345" si="81">IF(B1283=0,"",TEXT(B1283,"yyyy"))</f>
        <v/>
      </c>
      <c r="E1283" s="77"/>
      <c r="F1283" s="45"/>
      <c r="G1283" s="56"/>
      <c r="H1283" s="83"/>
      <c r="I1283" s="35" t="str">
        <f t="shared" ref="I1283:I1345" si="82">IF(G1283*H1283=0,"",G1283*H1283)</f>
        <v/>
      </c>
    </row>
    <row r="1284" spans="1:9">
      <c r="A1284" s="10" t="str">
        <f t="shared" ref="A1284:A1347" si="83">IF(E1284&gt;0,A1283+1,"")</f>
        <v/>
      </c>
      <c r="B1284" s="53"/>
      <c r="C1284" s="28" t="str">
        <f t="shared" si="80"/>
        <v/>
      </c>
      <c r="D1284" s="28" t="str">
        <f t="shared" si="81"/>
        <v/>
      </c>
      <c r="E1284" s="77"/>
      <c r="F1284" s="45"/>
      <c r="G1284" s="56"/>
      <c r="H1284" s="83"/>
      <c r="I1284" s="35" t="str">
        <f t="shared" si="82"/>
        <v/>
      </c>
    </row>
    <row r="1285" spans="1:9">
      <c r="A1285" s="10" t="str">
        <f t="shared" si="83"/>
        <v/>
      </c>
      <c r="B1285" s="53"/>
      <c r="C1285" s="28" t="str">
        <f t="shared" si="80"/>
        <v/>
      </c>
      <c r="D1285" s="28" t="str">
        <f t="shared" si="81"/>
        <v/>
      </c>
      <c r="E1285" s="77"/>
      <c r="F1285" s="45"/>
      <c r="G1285" s="56"/>
      <c r="H1285" s="83"/>
      <c r="I1285" s="35" t="str">
        <f t="shared" si="82"/>
        <v/>
      </c>
    </row>
    <row r="1286" spans="1:9">
      <c r="A1286" s="10" t="str">
        <f t="shared" si="83"/>
        <v/>
      </c>
      <c r="B1286" s="53"/>
      <c r="C1286" s="28" t="str">
        <f t="shared" si="80"/>
        <v/>
      </c>
      <c r="D1286" s="28" t="str">
        <f t="shared" si="81"/>
        <v/>
      </c>
      <c r="E1286" s="77"/>
      <c r="F1286" s="45"/>
      <c r="G1286" s="56"/>
      <c r="H1286" s="83"/>
      <c r="I1286" s="35" t="str">
        <f t="shared" si="82"/>
        <v/>
      </c>
    </row>
    <row r="1287" spans="1:9">
      <c r="A1287" s="10" t="str">
        <f t="shared" si="83"/>
        <v/>
      </c>
      <c r="B1287" s="53"/>
      <c r="C1287" s="28" t="str">
        <f t="shared" si="80"/>
        <v/>
      </c>
      <c r="D1287" s="28" t="str">
        <f t="shared" si="81"/>
        <v/>
      </c>
      <c r="E1287" s="77"/>
      <c r="F1287" s="45"/>
      <c r="G1287" s="56"/>
      <c r="H1287" s="83"/>
      <c r="I1287" s="35" t="str">
        <f t="shared" si="82"/>
        <v/>
      </c>
    </row>
    <row r="1288" spans="1:9">
      <c r="A1288" s="10" t="str">
        <f t="shared" si="83"/>
        <v/>
      </c>
      <c r="B1288" s="53"/>
      <c r="C1288" s="28" t="str">
        <f t="shared" si="80"/>
        <v/>
      </c>
      <c r="D1288" s="28" t="str">
        <f t="shared" si="81"/>
        <v/>
      </c>
      <c r="E1288" s="77"/>
      <c r="F1288" s="45"/>
      <c r="G1288" s="56"/>
      <c r="H1288" s="83"/>
      <c r="I1288" s="35" t="str">
        <f t="shared" si="82"/>
        <v/>
      </c>
    </row>
    <row r="1289" spans="1:9">
      <c r="A1289" s="10" t="str">
        <f t="shared" si="83"/>
        <v/>
      </c>
      <c r="B1289" s="53"/>
      <c r="C1289" s="28" t="str">
        <f t="shared" si="80"/>
        <v/>
      </c>
      <c r="D1289" s="28" t="str">
        <f t="shared" si="81"/>
        <v/>
      </c>
      <c r="E1289" s="77"/>
      <c r="F1289" s="45"/>
      <c r="G1289" s="56"/>
      <c r="H1289" s="83"/>
      <c r="I1289" s="35" t="str">
        <f t="shared" si="82"/>
        <v/>
      </c>
    </row>
    <row r="1290" spans="1:9">
      <c r="A1290" s="10" t="str">
        <f t="shared" si="83"/>
        <v/>
      </c>
      <c r="B1290" s="53"/>
      <c r="C1290" s="28" t="str">
        <f t="shared" si="80"/>
        <v/>
      </c>
      <c r="D1290" s="28" t="str">
        <f t="shared" si="81"/>
        <v/>
      </c>
      <c r="E1290" s="77"/>
      <c r="F1290" s="45"/>
      <c r="G1290" s="56"/>
      <c r="H1290" s="83"/>
      <c r="I1290" s="35" t="str">
        <f t="shared" si="82"/>
        <v/>
      </c>
    </row>
    <row r="1291" spans="1:9">
      <c r="A1291" s="10" t="str">
        <f t="shared" si="83"/>
        <v/>
      </c>
      <c r="B1291" s="53"/>
      <c r="C1291" s="28" t="str">
        <f t="shared" si="80"/>
        <v/>
      </c>
      <c r="D1291" s="28" t="str">
        <f t="shared" si="81"/>
        <v/>
      </c>
      <c r="E1291" s="77"/>
      <c r="F1291" s="45"/>
      <c r="G1291" s="56"/>
      <c r="H1291" s="83"/>
      <c r="I1291" s="35" t="str">
        <f t="shared" si="82"/>
        <v/>
      </c>
    </row>
    <row r="1292" spans="1:9">
      <c r="A1292" s="10" t="str">
        <f t="shared" si="83"/>
        <v/>
      </c>
      <c r="B1292" s="53"/>
      <c r="C1292" s="28" t="str">
        <f t="shared" si="80"/>
        <v/>
      </c>
      <c r="D1292" s="28" t="str">
        <f t="shared" si="81"/>
        <v/>
      </c>
      <c r="E1292" s="77"/>
      <c r="F1292" s="45"/>
      <c r="G1292" s="56"/>
      <c r="H1292" s="83"/>
      <c r="I1292" s="35" t="str">
        <f t="shared" si="82"/>
        <v/>
      </c>
    </row>
    <row r="1293" spans="1:9">
      <c r="A1293" s="10" t="str">
        <f t="shared" si="83"/>
        <v/>
      </c>
      <c r="B1293" s="53"/>
      <c r="C1293" s="28" t="str">
        <f t="shared" si="80"/>
        <v/>
      </c>
      <c r="D1293" s="28" t="str">
        <f t="shared" si="81"/>
        <v/>
      </c>
      <c r="E1293" s="77"/>
      <c r="F1293" s="45"/>
      <c r="G1293" s="56"/>
      <c r="H1293" s="83"/>
      <c r="I1293" s="35" t="str">
        <f t="shared" si="82"/>
        <v/>
      </c>
    </row>
    <row r="1294" spans="1:9">
      <c r="A1294" s="10" t="str">
        <f t="shared" si="83"/>
        <v/>
      </c>
      <c r="B1294" s="53"/>
      <c r="C1294" s="28" t="str">
        <f t="shared" si="80"/>
        <v/>
      </c>
      <c r="D1294" s="28" t="str">
        <f t="shared" si="81"/>
        <v/>
      </c>
      <c r="E1294" s="77"/>
      <c r="F1294" s="45"/>
      <c r="G1294" s="56"/>
      <c r="H1294" s="83"/>
      <c r="I1294" s="35" t="str">
        <f t="shared" si="82"/>
        <v/>
      </c>
    </row>
    <row r="1295" spans="1:9">
      <c r="A1295" s="10" t="str">
        <f t="shared" si="83"/>
        <v/>
      </c>
      <c r="B1295" s="53"/>
      <c r="C1295" s="28" t="str">
        <f t="shared" si="80"/>
        <v/>
      </c>
      <c r="D1295" s="28" t="str">
        <f t="shared" si="81"/>
        <v/>
      </c>
      <c r="E1295" s="77"/>
      <c r="F1295" s="45"/>
      <c r="G1295" s="56"/>
      <c r="H1295" s="83"/>
      <c r="I1295" s="35" t="str">
        <f t="shared" si="82"/>
        <v/>
      </c>
    </row>
    <row r="1296" spans="1:9">
      <c r="A1296" s="10" t="str">
        <f t="shared" si="83"/>
        <v/>
      </c>
      <c r="B1296" s="53"/>
      <c r="C1296" s="28" t="str">
        <f t="shared" si="80"/>
        <v/>
      </c>
      <c r="D1296" s="28" t="str">
        <f t="shared" si="81"/>
        <v/>
      </c>
      <c r="E1296" s="77"/>
      <c r="F1296" s="45"/>
      <c r="G1296" s="56"/>
      <c r="H1296" s="83"/>
      <c r="I1296" s="35" t="str">
        <f t="shared" si="82"/>
        <v/>
      </c>
    </row>
    <row r="1297" spans="1:9">
      <c r="A1297" s="10" t="str">
        <f t="shared" si="83"/>
        <v/>
      </c>
      <c r="B1297" s="53"/>
      <c r="C1297" s="28" t="str">
        <f t="shared" si="80"/>
        <v/>
      </c>
      <c r="D1297" s="28" t="str">
        <f t="shared" si="81"/>
        <v/>
      </c>
      <c r="E1297" s="77"/>
      <c r="F1297" s="45"/>
      <c r="G1297" s="56"/>
      <c r="H1297" s="83"/>
      <c r="I1297" s="35" t="str">
        <f t="shared" si="82"/>
        <v/>
      </c>
    </row>
    <row r="1298" spans="1:9">
      <c r="A1298" s="10" t="str">
        <f t="shared" si="83"/>
        <v/>
      </c>
      <c r="B1298" s="53"/>
      <c r="C1298" s="28" t="str">
        <f t="shared" si="80"/>
        <v/>
      </c>
      <c r="D1298" s="28" t="str">
        <f t="shared" si="81"/>
        <v/>
      </c>
      <c r="E1298" s="77"/>
      <c r="F1298" s="45"/>
      <c r="G1298" s="56"/>
      <c r="H1298" s="83"/>
      <c r="I1298" s="35" t="str">
        <f t="shared" si="82"/>
        <v/>
      </c>
    </row>
    <row r="1299" spans="1:9">
      <c r="A1299" s="10" t="str">
        <f t="shared" si="83"/>
        <v/>
      </c>
      <c r="B1299" s="53"/>
      <c r="C1299" s="28" t="str">
        <f t="shared" si="80"/>
        <v/>
      </c>
      <c r="D1299" s="28" t="str">
        <f t="shared" si="81"/>
        <v/>
      </c>
      <c r="E1299" s="77"/>
      <c r="F1299" s="45"/>
      <c r="G1299" s="56"/>
      <c r="H1299" s="83"/>
      <c r="I1299" s="35" t="str">
        <f t="shared" si="82"/>
        <v/>
      </c>
    </row>
    <row r="1300" spans="1:9">
      <c r="A1300" s="10" t="str">
        <f t="shared" si="83"/>
        <v/>
      </c>
      <c r="B1300" s="53"/>
      <c r="C1300" s="28" t="str">
        <f t="shared" si="80"/>
        <v/>
      </c>
      <c r="D1300" s="28" t="str">
        <f t="shared" si="81"/>
        <v/>
      </c>
      <c r="E1300" s="77"/>
      <c r="F1300" s="45"/>
      <c r="G1300" s="56"/>
      <c r="H1300" s="83"/>
      <c r="I1300" s="35" t="str">
        <f t="shared" si="82"/>
        <v/>
      </c>
    </row>
    <row r="1301" spans="1:9">
      <c r="A1301" s="10" t="str">
        <f t="shared" si="83"/>
        <v/>
      </c>
      <c r="B1301" s="53"/>
      <c r="C1301" s="28" t="str">
        <f t="shared" si="80"/>
        <v/>
      </c>
      <c r="D1301" s="28" t="str">
        <f t="shared" si="81"/>
        <v/>
      </c>
      <c r="E1301" s="77"/>
      <c r="F1301" s="45"/>
      <c r="G1301" s="56"/>
      <c r="H1301" s="83"/>
      <c r="I1301" s="35" t="str">
        <f t="shared" si="82"/>
        <v/>
      </c>
    </row>
    <row r="1302" spans="1:9">
      <c r="A1302" s="10" t="str">
        <f t="shared" si="83"/>
        <v/>
      </c>
      <c r="B1302" s="53"/>
      <c r="C1302" s="28" t="str">
        <f t="shared" si="80"/>
        <v/>
      </c>
      <c r="D1302" s="28" t="str">
        <f t="shared" si="81"/>
        <v/>
      </c>
      <c r="E1302" s="77"/>
      <c r="F1302" s="45"/>
      <c r="G1302" s="56"/>
      <c r="H1302" s="83"/>
      <c r="I1302" s="35" t="str">
        <f t="shared" si="82"/>
        <v/>
      </c>
    </row>
    <row r="1303" spans="1:9">
      <c r="A1303" s="10" t="str">
        <f t="shared" si="83"/>
        <v/>
      </c>
      <c r="B1303" s="53"/>
      <c r="C1303" s="28" t="str">
        <f t="shared" si="80"/>
        <v/>
      </c>
      <c r="D1303" s="28" t="str">
        <f t="shared" si="81"/>
        <v/>
      </c>
      <c r="E1303" s="77"/>
      <c r="F1303" s="45"/>
      <c r="G1303" s="56"/>
      <c r="H1303" s="83"/>
      <c r="I1303" s="35" t="str">
        <f t="shared" si="82"/>
        <v/>
      </c>
    </row>
    <row r="1304" spans="1:9">
      <c r="A1304" s="10" t="str">
        <f t="shared" si="83"/>
        <v/>
      </c>
      <c r="B1304" s="53"/>
      <c r="C1304" s="28" t="str">
        <f t="shared" si="80"/>
        <v/>
      </c>
      <c r="D1304" s="28" t="str">
        <f t="shared" si="81"/>
        <v/>
      </c>
      <c r="E1304" s="77"/>
      <c r="F1304" s="45"/>
      <c r="G1304" s="56"/>
      <c r="H1304" s="83"/>
      <c r="I1304" s="35" t="str">
        <f t="shared" si="82"/>
        <v/>
      </c>
    </row>
    <row r="1305" spans="1:9">
      <c r="A1305" s="10" t="str">
        <f t="shared" si="83"/>
        <v/>
      </c>
      <c r="B1305" s="53"/>
      <c r="C1305" s="28" t="str">
        <f t="shared" si="80"/>
        <v/>
      </c>
      <c r="D1305" s="28" t="str">
        <f t="shared" si="81"/>
        <v/>
      </c>
      <c r="E1305" s="77"/>
      <c r="F1305" s="45"/>
      <c r="G1305" s="56"/>
      <c r="H1305" s="83"/>
      <c r="I1305" s="35" t="str">
        <f t="shared" si="82"/>
        <v/>
      </c>
    </row>
    <row r="1306" spans="1:9">
      <c r="A1306" s="10" t="str">
        <f t="shared" si="83"/>
        <v/>
      </c>
      <c r="B1306" s="53"/>
      <c r="C1306" s="28" t="str">
        <f t="shared" si="80"/>
        <v/>
      </c>
      <c r="D1306" s="28" t="str">
        <f t="shared" si="81"/>
        <v/>
      </c>
      <c r="E1306" s="77"/>
      <c r="F1306" s="45"/>
      <c r="G1306" s="56"/>
      <c r="H1306" s="83"/>
      <c r="I1306" s="35" t="str">
        <f t="shared" si="82"/>
        <v/>
      </c>
    </row>
    <row r="1307" spans="1:9">
      <c r="A1307" s="10" t="str">
        <f t="shared" si="83"/>
        <v/>
      </c>
      <c r="B1307" s="53"/>
      <c r="C1307" s="28" t="str">
        <f t="shared" si="80"/>
        <v/>
      </c>
      <c r="D1307" s="28" t="str">
        <f t="shared" si="81"/>
        <v/>
      </c>
      <c r="E1307" s="77"/>
      <c r="F1307" s="45"/>
      <c r="G1307" s="56"/>
      <c r="H1307" s="83"/>
      <c r="I1307" s="35" t="str">
        <f t="shared" si="82"/>
        <v/>
      </c>
    </row>
    <row r="1308" spans="1:9">
      <c r="A1308" s="10" t="str">
        <f t="shared" si="83"/>
        <v/>
      </c>
      <c r="B1308" s="53"/>
      <c r="C1308" s="28" t="str">
        <f t="shared" si="80"/>
        <v/>
      </c>
      <c r="D1308" s="28" t="str">
        <f t="shared" si="81"/>
        <v/>
      </c>
      <c r="E1308" s="77"/>
      <c r="F1308" s="45"/>
      <c r="G1308" s="56"/>
      <c r="H1308" s="83"/>
      <c r="I1308" s="35" t="str">
        <f t="shared" si="82"/>
        <v/>
      </c>
    </row>
    <row r="1309" spans="1:9">
      <c r="A1309" s="10" t="str">
        <f t="shared" si="83"/>
        <v/>
      </c>
      <c r="B1309" s="53"/>
      <c r="C1309" s="28" t="str">
        <f t="shared" si="80"/>
        <v/>
      </c>
      <c r="D1309" s="28" t="str">
        <f t="shared" si="81"/>
        <v/>
      </c>
      <c r="E1309" s="77"/>
      <c r="F1309" s="45"/>
      <c r="G1309" s="56"/>
      <c r="H1309" s="83"/>
      <c r="I1309" s="35" t="str">
        <f t="shared" si="82"/>
        <v/>
      </c>
    </row>
    <row r="1310" spans="1:9">
      <c r="A1310" s="10" t="str">
        <f t="shared" si="83"/>
        <v/>
      </c>
      <c r="B1310" s="53"/>
      <c r="C1310" s="28" t="str">
        <f t="shared" si="80"/>
        <v/>
      </c>
      <c r="D1310" s="28" t="str">
        <f t="shared" si="81"/>
        <v/>
      </c>
      <c r="E1310" s="77"/>
      <c r="F1310" s="45"/>
      <c r="G1310" s="56"/>
      <c r="H1310" s="83"/>
      <c r="I1310" s="35" t="str">
        <f t="shared" si="82"/>
        <v/>
      </c>
    </row>
    <row r="1311" spans="1:9">
      <c r="A1311" s="10" t="str">
        <f t="shared" si="83"/>
        <v/>
      </c>
      <c r="B1311" s="53"/>
      <c r="C1311" s="28" t="str">
        <f t="shared" si="80"/>
        <v/>
      </c>
      <c r="D1311" s="28" t="str">
        <f t="shared" si="81"/>
        <v/>
      </c>
      <c r="E1311" s="77"/>
      <c r="F1311" s="45"/>
      <c r="G1311" s="56"/>
      <c r="H1311" s="83"/>
      <c r="I1311" s="35" t="str">
        <f t="shared" si="82"/>
        <v/>
      </c>
    </row>
    <row r="1312" spans="1:9">
      <c r="A1312" s="10" t="str">
        <f t="shared" si="83"/>
        <v/>
      </c>
      <c r="B1312" s="53"/>
      <c r="C1312" s="28" t="str">
        <f t="shared" si="80"/>
        <v/>
      </c>
      <c r="D1312" s="28" t="str">
        <f t="shared" si="81"/>
        <v/>
      </c>
      <c r="E1312" s="77"/>
      <c r="F1312" s="45"/>
      <c r="G1312" s="56"/>
      <c r="H1312" s="83"/>
      <c r="I1312" s="35" t="str">
        <f t="shared" si="82"/>
        <v/>
      </c>
    </row>
    <row r="1313" spans="1:9">
      <c r="A1313" s="10" t="str">
        <f t="shared" si="83"/>
        <v/>
      </c>
      <c r="B1313" s="53"/>
      <c r="C1313" s="28" t="str">
        <f t="shared" si="80"/>
        <v/>
      </c>
      <c r="D1313" s="28" t="str">
        <f t="shared" si="81"/>
        <v/>
      </c>
      <c r="E1313" s="77"/>
      <c r="F1313" s="45"/>
      <c r="G1313" s="56"/>
      <c r="H1313" s="83"/>
      <c r="I1313" s="35" t="str">
        <f t="shared" si="82"/>
        <v/>
      </c>
    </row>
    <row r="1314" spans="1:9">
      <c r="A1314" s="10" t="str">
        <f t="shared" si="83"/>
        <v/>
      </c>
      <c r="B1314" s="53"/>
      <c r="C1314" s="28" t="str">
        <f t="shared" si="80"/>
        <v/>
      </c>
      <c r="D1314" s="28" t="str">
        <f t="shared" si="81"/>
        <v/>
      </c>
      <c r="E1314" s="77"/>
      <c r="F1314" s="45"/>
      <c r="G1314" s="56"/>
      <c r="H1314" s="83"/>
      <c r="I1314" s="35" t="str">
        <f t="shared" si="82"/>
        <v/>
      </c>
    </row>
    <row r="1315" spans="1:9">
      <c r="A1315" s="10" t="str">
        <f t="shared" si="83"/>
        <v/>
      </c>
      <c r="B1315" s="53"/>
      <c r="C1315" s="28" t="str">
        <f t="shared" si="80"/>
        <v/>
      </c>
      <c r="D1315" s="28" t="str">
        <f t="shared" si="81"/>
        <v/>
      </c>
      <c r="E1315" s="77"/>
      <c r="F1315" s="45"/>
      <c r="G1315" s="56"/>
      <c r="H1315" s="83"/>
      <c r="I1315" s="35" t="str">
        <f t="shared" si="82"/>
        <v/>
      </c>
    </row>
    <row r="1316" spans="1:9">
      <c r="A1316" s="10" t="str">
        <f t="shared" si="83"/>
        <v/>
      </c>
      <c r="B1316" s="53"/>
      <c r="C1316" s="28" t="str">
        <f t="shared" si="80"/>
        <v/>
      </c>
      <c r="D1316" s="28" t="str">
        <f t="shared" si="81"/>
        <v/>
      </c>
      <c r="E1316" s="77"/>
      <c r="F1316" s="45"/>
      <c r="G1316" s="56"/>
      <c r="H1316" s="83"/>
      <c r="I1316" s="35" t="str">
        <f t="shared" si="82"/>
        <v/>
      </c>
    </row>
    <row r="1317" spans="1:9">
      <c r="A1317" s="10" t="str">
        <f t="shared" si="83"/>
        <v/>
      </c>
      <c r="B1317" s="53"/>
      <c r="C1317" s="28" t="str">
        <f t="shared" si="80"/>
        <v/>
      </c>
      <c r="D1317" s="28" t="str">
        <f t="shared" si="81"/>
        <v/>
      </c>
      <c r="E1317" s="77"/>
      <c r="F1317" s="45"/>
      <c r="G1317" s="56"/>
      <c r="H1317" s="83"/>
      <c r="I1317" s="35" t="str">
        <f t="shared" si="82"/>
        <v/>
      </c>
    </row>
    <row r="1318" spans="1:9">
      <c r="A1318" s="10" t="str">
        <f t="shared" si="83"/>
        <v/>
      </c>
      <c r="B1318" s="53"/>
      <c r="C1318" s="28" t="str">
        <f t="shared" si="80"/>
        <v/>
      </c>
      <c r="D1318" s="28" t="str">
        <f t="shared" si="81"/>
        <v/>
      </c>
      <c r="E1318" s="77"/>
      <c r="F1318" s="45"/>
      <c r="G1318" s="56"/>
      <c r="H1318" s="83"/>
      <c r="I1318" s="35" t="str">
        <f t="shared" si="82"/>
        <v/>
      </c>
    </row>
    <row r="1319" spans="1:9">
      <c r="A1319" s="10" t="str">
        <f t="shared" si="83"/>
        <v/>
      </c>
      <c r="B1319" s="53"/>
      <c r="C1319" s="28" t="str">
        <f t="shared" si="80"/>
        <v/>
      </c>
      <c r="D1319" s="28" t="str">
        <f t="shared" si="81"/>
        <v/>
      </c>
      <c r="E1319" s="77"/>
      <c r="F1319" s="45"/>
      <c r="G1319" s="56"/>
      <c r="H1319" s="83"/>
      <c r="I1319" s="35" t="str">
        <f t="shared" si="82"/>
        <v/>
      </c>
    </row>
    <row r="1320" spans="1:9">
      <c r="A1320" s="10" t="str">
        <f t="shared" si="83"/>
        <v/>
      </c>
      <c r="B1320" s="53"/>
      <c r="C1320" s="28" t="str">
        <f t="shared" si="80"/>
        <v/>
      </c>
      <c r="D1320" s="28" t="str">
        <f t="shared" si="81"/>
        <v/>
      </c>
      <c r="E1320" s="77"/>
      <c r="F1320" s="45"/>
      <c r="G1320" s="56"/>
      <c r="H1320" s="83"/>
      <c r="I1320" s="35" t="str">
        <f t="shared" si="82"/>
        <v/>
      </c>
    </row>
    <row r="1321" spans="1:9">
      <c r="A1321" s="10" t="str">
        <f t="shared" si="83"/>
        <v/>
      </c>
      <c r="B1321" s="53"/>
      <c r="C1321" s="28" t="str">
        <f t="shared" si="80"/>
        <v/>
      </c>
      <c r="D1321" s="28" t="str">
        <f t="shared" si="81"/>
        <v/>
      </c>
      <c r="E1321" s="77"/>
      <c r="F1321" s="45"/>
      <c r="G1321" s="56"/>
      <c r="H1321" s="83"/>
      <c r="I1321" s="35" t="str">
        <f t="shared" si="82"/>
        <v/>
      </c>
    </row>
    <row r="1322" spans="1:9">
      <c r="A1322" s="10" t="str">
        <f t="shared" si="83"/>
        <v/>
      </c>
      <c r="B1322" s="53"/>
      <c r="C1322" s="28" t="str">
        <f t="shared" si="80"/>
        <v/>
      </c>
      <c r="D1322" s="28" t="str">
        <f t="shared" si="81"/>
        <v/>
      </c>
      <c r="E1322" s="77"/>
      <c r="F1322" s="45"/>
      <c r="G1322" s="56"/>
      <c r="H1322" s="83"/>
      <c r="I1322" s="35" t="str">
        <f t="shared" si="82"/>
        <v/>
      </c>
    </row>
    <row r="1323" spans="1:9">
      <c r="A1323" s="10" t="str">
        <f t="shared" si="83"/>
        <v/>
      </c>
      <c r="B1323" s="53"/>
      <c r="C1323" s="28" t="str">
        <f t="shared" si="80"/>
        <v/>
      </c>
      <c r="D1323" s="28" t="str">
        <f t="shared" si="81"/>
        <v/>
      </c>
      <c r="E1323" s="77"/>
      <c r="F1323" s="45"/>
      <c r="G1323" s="56"/>
      <c r="H1323" s="83"/>
      <c r="I1323" s="35" t="str">
        <f t="shared" si="82"/>
        <v/>
      </c>
    </row>
    <row r="1324" spans="1:9">
      <c r="A1324" s="10" t="str">
        <f t="shared" si="83"/>
        <v/>
      </c>
      <c r="B1324" s="53"/>
      <c r="C1324" s="28" t="str">
        <f t="shared" si="80"/>
        <v/>
      </c>
      <c r="D1324" s="28" t="str">
        <f t="shared" si="81"/>
        <v/>
      </c>
      <c r="E1324" s="77"/>
      <c r="F1324" s="45"/>
      <c r="G1324" s="56"/>
      <c r="H1324" s="83"/>
      <c r="I1324" s="35" t="str">
        <f t="shared" si="82"/>
        <v/>
      </c>
    </row>
    <row r="1325" spans="1:9">
      <c r="A1325" s="10" t="str">
        <f t="shared" si="83"/>
        <v/>
      </c>
      <c r="B1325" s="53"/>
      <c r="C1325" s="28" t="str">
        <f t="shared" si="80"/>
        <v/>
      </c>
      <c r="D1325" s="28" t="str">
        <f t="shared" si="81"/>
        <v/>
      </c>
      <c r="E1325" s="77"/>
      <c r="F1325" s="45"/>
      <c r="G1325" s="56"/>
      <c r="H1325" s="83"/>
      <c r="I1325" s="35" t="str">
        <f t="shared" si="82"/>
        <v/>
      </c>
    </row>
    <row r="1326" spans="1:9">
      <c r="A1326" s="10" t="str">
        <f t="shared" si="83"/>
        <v/>
      </c>
      <c r="B1326" s="53"/>
      <c r="C1326" s="28" t="str">
        <f t="shared" si="80"/>
        <v/>
      </c>
      <c r="D1326" s="28" t="str">
        <f t="shared" si="81"/>
        <v/>
      </c>
      <c r="E1326" s="77"/>
      <c r="F1326" s="45"/>
      <c r="G1326" s="56"/>
      <c r="H1326" s="83"/>
      <c r="I1326" s="35" t="str">
        <f t="shared" si="82"/>
        <v/>
      </c>
    </row>
    <row r="1327" spans="1:9">
      <c r="A1327" s="10" t="str">
        <f t="shared" si="83"/>
        <v/>
      </c>
      <c r="B1327" s="53"/>
      <c r="C1327" s="28" t="str">
        <f t="shared" si="80"/>
        <v/>
      </c>
      <c r="D1327" s="28" t="str">
        <f t="shared" si="81"/>
        <v/>
      </c>
      <c r="E1327" s="77"/>
      <c r="F1327" s="45"/>
      <c r="G1327" s="56"/>
      <c r="H1327" s="83"/>
      <c r="I1327" s="35" t="str">
        <f t="shared" si="82"/>
        <v/>
      </c>
    </row>
    <row r="1328" spans="1:9">
      <c r="A1328" s="10" t="str">
        <f t="shared" si="83"/>
        <v/>
      </c>
      <c r="B1328" s="53"/>
      <c r="C1328" s="28" t="str">
        <f t="shared" si="80"/>
        <v/>
      </c>
      <c r="D1328" s="28" t="str">
        <f t="shared" si="81"/>
        <v/>
      </c>
      <c r="E1328" s="77"/>
      <c r="F1328" s="45"/>
      <c r="G1328" s="56"/>
      <c r="H1328" s="83"/>
      <c r="I1328" s="35" t="str">
        <f t="shared" si="82"/>
        <v/>
      </c>
    </row>
    <row r="1329" spans="1:9">
      <c r="A1329" s="10" t="str">
        <f t="shared" si="83"/>
        <v/>
      </c>
      <c r="B1329" s="53"/>
      <c r="C1329" s="28" t="str">
        <f t="shared" si="80"/>
        <v/>
      </c>
      <c r="D1329" s="28" t="str">
        <f t="shared" si="81"/>
        <v/>
      </c>
      <c r="E1329" s="77"/>
      <c r="F1329" s="45"/>
      <c r="G1329" s="56"/>
      <c r="H1329" s="83"/>
      <c r="I1329" s="35" t="str">
        <f t="shared" si="82"/>
        <v/>
      </c>
    </row>
    <row r="1330" spans="1:9">
      <c r="A1330" s="10" t="str">
        <f t="shared" si="83"/>
        <v/>
      </c>
      <c r="B1330" s="53"/>
      <c r="C1330" s="28" t="str">
        <f t="shared" si="80"/>
        <v/>
      </c>
      <c r="D1330" s="28" t="str">
        <f t="shared" si="81"/>
        <v/>
      </c>
      <c r="E1330" s="77"/>
      <c r="F1330" s="45"/>
      <c r="G1330" s="56"/>
      <c r="H1330" s="83"/>
      <c r="I1330" s="35" t="str">
        <f t="shared" si="82"/>
        <v/>
      </c>
    </row>
    <row r="1331" spans="1:9">
      <c r="A1331" s="10" t="str">
        <f t="shared" si="83"/>
        <v/>
      </c>
      <c r="B1331" s="53"/>
      <c r="C1331" s="28" t="str">
        <f t="shared" si="80"/>
        <v/>
      </c>
      <c r="D1331" s="28" t="str">
        <f t="shared" si="81"/>
        <v/>
      </c>
      <c r="E1331" s="77"/>
      <c r="F1331" s="45"/>
      <c r="G1331" s="56"/>
      <c r="H1331" s="83"/>
      <c r="I1331" s="35" t="str">
        <f t="shared" si="82"/>
        <v/>
      </c>
    </row>
    <row r="1332" spans="1:9">
      <c r="A1332" s="10" t="str">
        <f t="shared" si="83"/>
        <v/>
      </c>
      <c r="B1332" s="53"/>
      <c r="C1332" s="28" t="str">
        <f t="shared" si="80"/>
        <v/>
      </c>
      <c r="D1332" s="28" t="str">
        <f t="shared" si="81"/>
        <v/>
      </c>
      <c r="E1332" s="77"/>
      <c r="F1332" s="45"/>
      <c r="G1332" s="56"/>
      <c r="H1332" s="83"/>
      <c r="I1332" s="35" t="str">
        <f t="shared" si="82"/>
        <v/>
      </c>
    </row>
    <row r="1333" spans="1:9">
      <c r="A1333" s="10" t="str">
        <f t="shared" si="83"/>
        <v/>
      </c>
      <c r="B1333" s="53"/>
      <c r="C1333" s="28" t="str">
        <f t="shared" si="80"/>
        <v/>
      </c>
      <c r="D1333" s="28" t="str">
        <f t="shared" si="81"/>
        <v/>
      </c>
      <c r="E1333" s="77"/>
      <c r="F1333" s="45"/>
      <c r="G1333" s="56"/>
      <c r="H1333" s="83"/>
      <c r="I1333" s="35" t="str">
        <f t="shared" si="82"/>
        <v/>
      </c>
    </row>
    <row r="1334" spans="1:9">
      <c r="A1334" s="10" t="str">
        <f t="shared" si="83"/>
        <v/>
      </c>
      <c r="B1334" s="53"/>
      <c r="C1334" s="28" t="str">
        <f t="shared" si="80"/>
        <v/>
      </c>
      <c r="D1334" s="28" t="str">
        <f t="shared" si="81"/>
        <v/>
      </c>
      <c r="E1334" s="77"/>
      <c r="F1334" s="45"/>
      <c r="G1334" s="56"/>
      <c r="H1334" s="83"/>
      <c r="I1334" s="35" t="str">
        <f t="shared" si="82"/>
        <v/>
      </c>
    </row>
    <row r="1335" spans="1:9">
      <c r="A1335" s="10" t="str">
        <f t="shared" si="83"/>
        <v/>
      </c>
      <c r="B1335" s="53"/>
      <c r="C1335" s="28" t="str">
        <f t="shared" si="80"/>
        <v/>
      </c>
      <c r="D1335" s="28" t="str">
        <f t="shared" si="81"/>
        <v/>
      </c>
      <c r="E1335" s="77"/>
      <c r="F1335" s="45"/>
      <c r="G1335" s="56"/>
      <c r="H1335" s="83"/>
      <c r="I1335" s="35" t="str">
        <f t="shared" si="82"/>
        <v/>
      </c>
    </row>
    <row r="1336" spans="1:9">
      <c r="A1336" s="10" t="str">
        <f t="shared" si="83"/>
        <v/>
      </c>
      <c r="B1336" s="53"/>
      <c r="C1336" s="28" t="str">
        <f t="shared" si="80"/>
        <v/>
      </c>
      <c r="D1336" s="28" t="str">
        <f t="shared" si="81"/>
        <v/>
      </c>
      <c r="E1336" s="77"/>
      <c r="F1336" s="45"/>
      <c r="G1336" s="56"/>
      <c r="H1336" s="83"/>
      <c r="I1336" s="35" t="str">
        <f t="shared" si="82"/>
        <v/>
      </c>
    </row>
    <row r="1337" spans="1:9">
      <c r="A1337" s="10" t="str">
        <f t="shared" si="83"/>
        <v/>
      </c>
      <c r="B1337" s="53"/>
      <c r="C1337" s="28" t="str">
        <f t="shared" si="80"/>
        <v/>
      </c>
      <c r="D1337" s="28" t="str">
        <f t="shared" si="81"/>
        <v/>
      </c>
      <c r="E1337" s="77"/>
      <c r="F1337" s="45"/>
      <c r="G1337" s="56"/>
      <c r="H1337" s="83"/>
      <c r="I1337" s="35" t="str">
        <f t="shared" si="82"/>
        <v/>
      </c>
    </row>
    <row r="1338" spans="1:9">
      <c r="A1338" s="10" t="str">
        <f t="shared" si="83"/>
        <v/>
      </c>
      <c r="B1338" s="53"/>
      <c r="C1338" s="28" t="str">
        <f t="shared" si="80"/>
        <v/>
      </c>
      <c r="D1338" s="28" t="str">
        <f t="shared" si="81"/>
        <v/>
      </c>
      <c r="E1338" s="77"/>
      <c r="F1338" s="45"/>
      <c r="G1338" s="56"/>
      <c r="H1338" s="83"/>
      <c r="I1338" s="35" t="str">
        <f t="shared" si="82"/>
        <v/>
      </c>
    </row>
    <row r="1339" spans="1:9">
      <c r="A1339" s="10" t="str">
        <f t="shared" si="83"/>
        <v/>
      </c>
      <c r="B1339" s="53"/>
      <c r="C1339" s="28" t="str">
        <f t="shared" si="80"/>
        <v/>
      </c>
      <c r="D1339" s="28" t="str">
        <f t="shared" si="81"/>
        <v/>
      </c>
      <c r="E1339" s="77"/>
      <c r="F1339" s="45"/>
      <c r="G1339" s="56"/>
      <c r="H1339" s="83"/>
      <c r="I1339" s="35" t="str">
        <f t="shared" si="82"/>
        <v/>
      </c>
    </row>
    <row r="1340" spans="1:9">
      <c r="A1340" s="10" t="str">
        <f t="shared" si="83"/>
        <v/>
      </c>
      <c r="B1340" s="53"/>
      <c r="C1340" s="28" t="str">
        <f t="shared" si="80"/>
        <v/>
      </c>
      <c r="D1340" s="28" t="str">
        <f t="shared" si="81"/>
        <v/>
      </c>
      <c r="E1340" s="77"/>
      <c r="F1340" s="45"/>
      <c r="G1340" s="56"/>
      <c r="H1340" s="83"/>
      <c r="I1340" s="35" t="str">
        <f t="shared" si="82"/>
        <v/>
      </c>
    </row>
    <row r="1341" spans="1:9">
      <c r="A1341" s="10" t="str">
        <f t="shared" si="83"/>
        <v/>
      </c>
      <c r="B1341" s="53"/>
      <c r="C1341" s="28" t="str">
        <f t="shared" si="80"/>
        <v/>
      </c>
      <c r="D1341" s="28" t="str">
        <f t="shared" si="81"/>
        <v/>
      </c>
      <c r="E1341" s="77"/>
      <c r="F1341" s="45"/>
      <c r="G1341" s="56"/>
      <c r="H1341" s="83"/>
      <c r="I1341" s="35" t="str">
        <f t="shared" si="82"/>
        <v/>
      </c>
    </row>
    <row r="1342" spans="1:9">
      <c r="A1342" s="10" t="str">
        <f t="shared" si="83"/>
        <v/>
      </c>
      <c r="B1342" s="53"/>
      <c r="C1342" s="28" t="str">
        <f t="shared" si="80"/>
        <v/>
      </c>
      <c r="D1342" s="28" t="str">
        <f t="shared" si="81"/>
        <v/>
      </c>
      <c r="E1342" s="77"/>
      <c r="F1342" s="45"/>
      <c r="G1342" s="56"/>
      <c r="H1342" s="83"/>
      <c r="I1342" s="35" t="str">
        <f t="shared" si="82"/>
        <v/>
      </c>
    </row>
    <row r="1343" spans="1:9">
      <c r="A1343" s="10" t="str">
        <f t="shared" si="83"/>
        <v/>
      </c>
      <c r="B1343" s="53"/>
      <c r="C1343" s="28" t="str">
        <f t="shared" si="80"/>
        <v/>
      </c>
      <c r="D1343" s="28" t="str">
        <f t="shared" si="81"/>
        <v/>
      </c>
      <c r="E1343" s="77"/>
      <c r="F1343" s="45"/>
      <c r="G1343" s="56"/>
      <c r="H1343" s="83"/>
      <c r="I1343" s="35" t="str">
        <f t="shared" si="82"/>
        <v/>
      </c>
    </row>
    <row r="1344" spans="1:9">
      <c r="A1344" s="10" t="str">
        <f t="shared" si="83"/>
        <v/>
      </c>
      <c r="B1344" s="53"/>
      <c r="C1344" s="28" t="str">
        <f t="shared" si="80"/>
        <v/>
      </c>
      <c r="D1344" s="28" t="str">
        <f t="shared" si="81"/>
        <v/>
      </c>
      <c r="E1344" s="77"/>
      <c r="F1344" s="45"/>
      <c r="G1344" s="56"/>
      <c r="H1344" s="83"/>
      <c r="I1344" s="35" t="str">
        <f t="shared" si="82"/>
        <v/>
      </c>
    </row>
    <row r="1345" spans="1:9">
      <c r="A1345" s="10" t="str">
        <f t="shared" si="83"/>
        <v/>
      </c>
      <c r="B1345" s="53"/>
      <c r="C1345" s="28" t="str">
        <f t="shared" si="80"/>
        <v/>
      </c>
      <c r="D1345" s="28" t="str">
        <f t="shared" si="81"/>
        <v/>
      </c>
      <c r="E1345" s="77"/>
      <c r="F1345" s="45"/>
      <c r="G1345" s="56"/>
      <c r="H1345" s="83"/>
      <c r="I1345" s="35" t="str">
        <f t="shared" si="82"/>
        <v/>
      </c>
    </row>
    <row r="1346" spans="1:9">
      <c r="A1346" s="10" t="str">
        <f t="shared" si="83"/>
        <v/>
      </c>
      <c r="B1346" s="53"/>
      <c r="C1346" s="28" t="str">
        <f>IF(B1346=0,"",TEXT(B1346,"mmmm"))</f>
        <v/>
      </c>
      <c r="D1346" s="28" t="str">
        <f>IF(B1346=0,"",TEXT(B1346,"yyyy"))</f>
        <v/>
      </c>
      <c r="E1346" s="77"/>
      <c r="F1346" s="45"/>
      <c r="G1346" s="56"/>
      <c r="H1346" s="83"/>
      <c r="I1346" s="35" t="str">
        <f>IF(G1346*H1346=0,"",G1346*H1346)</f>
        <v/>
      </c>
    </row>
    <row r="1347" spans="1:9">
      <c r="A1347" s="10" t="str">
        <f t="shared" si="83"/>
        <v/>
      </c>
      <c r="B1347" s="53"/>
      <c r="C1347" s="28" t="str">
        <f>IF(B1347=0,"",TEXT(B1347,"mmmm"))</f>
        <v/>
      </c>
      <c r="D1347" s="28" t="str">
        <f>IF(B1347=0,"",TEXT(B1347,"yyyy"))</f>
        <v/>
      </c>
      <c r="E1347" s="77"/>
      <c r="F1347" s="45"/>
      <c r="G1347" s="56"/>
      <c r="H1347" s="83"/>
      <c r="I1347" s="35" t="str">
        <f>IF(G1347*H1347=0,"",G1347*H1347)</f>
        <v/>
      </c>
    </row>
    <row r="1348" spans="1:9">
      <c r="A1348" s="10" t="str">
        <f t="shared" ref="A1348" si="84">IF(E1348&gt;0,A1347+1,"")</f>
        <v/>
      </c>
      <c r="B1348" s="53"/>
      <c r="C1348" s="28" t="str">
        <f>IF(B1348=0,"",TEXT(B1348,"mmmm"))</f>
        <v/>
      </c>
      <c r="D1348" s="28" t="str">
        <f>IF(B1348=0,"",TEXT(B1348,"yyyy"))</f>
        <v/>
      </c>
      <c r="E1348" s="77"/>
      <c r="F1348" s="45"/>
      <c r="G1348" s="56"/>
      <c r="H1348" s="83"/>
      <c r="I1348" s="35" t="str">
        <f>IF(G1348*H1348=0,"",G1348*H1348)</f>
        <v/>
      </c>
    </row>
  </sheetData>
  <sheetProtection algorithmName="SHA-512" hashValue="PtINF3vTGyHr0SwFf5RCBUh5MaJbLWVun8nE7otpUkkqUxCIQWvrXeiN/zFtRZkVZzVFs1stgxcz9TjXq6REfQ==" saltValue="g+1nBbLFK97Qd/pS4PF+sg==" spinCount="100000" sheet="1" objects="1" scenarios="1" selectLockedCells="1"/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888C0BA-22D0-CB40-A668-F7928A0B60F1}">
          <x14:formula1>
            <xm:f>Category!$Z$1:$Z$44</xm:f>
          </x14:formula1>
          <xm:sqref>E2:E1348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92CF9-E557-9745-A97F-78C5A6B16772}">
  <dimension ref="A1:F1348"/>
  <sheetViews>
    <sheetView zoomScale="190" zoomScaleNormal="190" workbookViewId="0">
      <selection activeCell="B9" sqref="B9"/>
    </sheetView>
  </sheetViews>
  <sheetFormatPr baseColWidth="10" defaultRowHeight="16"/>
  <cols>
    <col min="1" max="1" width="4.33203125" style="1" bestFit="1" customWidth="1"/>
    <col min="2" max="2" width="9.83203125" style="72" bestFit="1" customWidth="1"/>
    <col min="3" max="3" width="9.6640625" style="27" customWidth="1"/>
    <col min="4" max="4" width="5.1640625" style="27" bestFit="1" customWidth="1"/>
    <col min="5" max="5" width="37.33203125" style="89" customWidth="1"/>
    <col min="6" max="6" width="15" style="84" customWidth="1"/>
  </cols>
  <sheetData>
    <row r="1" spans="1:6" ht="17" thickBot="1">
      <c r="A1" s="32" t="s">
        <v>29</v>
      </c>
      <c r="B1" s="75" t="s">
        <v>25</v>
      </c>
      <c r="C1" s="19" t="s">
        <v>26</v>
      </c>
      <c r="D1" s="19" t="s">
        <v>18</v>
      </c>
      <c r="E1" s="86" t="s">
        <v>27</v>
      </c>
      <c r="F1" s="81" t="s">
        <v>99</v>
      </c>
    </row>
    <row r="2" spans="1:6">
      <c r="A2" s="12">
        <f>IF(E2&gt;0,1,"")</f>
        <v>1</v>
      </c>
      <c r="B2" s="53">
        <v>46243</v>
      </c>
      <c r="C2" s="31" t="str">
        <f>IF(B2=0,"",TEXT(B2,"mmmm"))</f>
        <v>August</v>
      </c>
      <c r="D2" s="31" t="str">
        <f>IF(B2=0,"",TEXT(B2,"yyyy"))</f>
        <v>2026</v>
      </c>
      <c r="E2" s="87" t="s">
        <v>134</v>
      </c>
      <c r="F2" s="82">
        <v>130000</v>
      </c>
    </row>
    <row r="3" spans="1:6">
      <c r="A3" s="10">
        <f t="shared" ref="A3:A66" si="0">IF(E3&gt;0,A2+1,"")</f>
        <v>2</v>
      </c>
      <c r="B3" s="53">
        <v>46243</v>
      </c>
      <c r="C3" s="28" t="str">
        <f t="shared" ref="C3:C66" si="1">IF(B3=0,"",TEXT(B3,"mmmm"))</f>
        <v>August</v>
      </c>
      <c r="D3" s="28" t="str">
        <f t="shared" ref="D3:D66" si="2">IF(B3=0,"",TEXT(B3,"yyyy"))</f>
        <v>2026</v>
      </c>
      <c r="E3" s="87" t="s">
        <v>114</v>
      </c>
      <c r="F3" s="83">
        <v>15182</v>
      </c>
    </row>
    <row r="4" spans="1:6">
      <c r="A4" s="10">
        <f t="shared" si="0"/>
        <v>3</v>
      </c>
      <c r="B4" s="53">
        <v>46243</v>
      </c>
      <c r="C4" s="28" t="str">
        <f t="shared" si="1"/>
        <v>August</v>
      </c>
      <c r="D4" s="28" t="str">
        <f t="shared" si="2"/>
        <v>2026</v>
      </c>
      <c r="E4" s="88" t="s">
        <v>116</v>
      </c>
      <c r="F4" s="83">
        <v>13500</v>
      </c>
    </row>
    <row r="5" spans="1:6">
      <c r="A5" s="10">
        <f t="shared" si="0"/>
        <v>4</v>
      </c>
      <c r="B5" s="53">
        <v>46244</v>
      </c>
      <c r="C5" s="28" t="str">
        <f>IF(B5=0,"",TEXT(B5,"mmmm"))</f>
        <v>August</v>
      </c>
      <c r="D5" s="28" t="str">
        <f>IF(B5=0,"",TEXT(B5,"yyyy"))</f>
        <v>2026</v>
      </c>
      <c r="E5" s="88" t="s">
        <v>135</v>
      </c>
      <c r="F5" s="83">
        <v>240000</v>
      </c>
    </row>
    <row r="6" spans="1:6">
      <c r="A6" s="10">
        <f t="shared" si="0"/>
        <v>5</v>
      </c>
      <c r="B6" s="53">
        <v>46245</v>
      </c>
      <c r="C6" s="28" t="str">
        <f t="shared" si="1"/>
        <v>August</v>
      </c>
      <c r="D6" s="28" t="str">
        <f t="shared" si="2"/>
        <v>2026</v>
      </c>
      <c r="E6" s="87" t="s">
        <v>136</v>
      </c>
      <c r="F6" s="82">
        <v>1318</v>
      </c>
    </row>
    <row r="7" spans="1:6">
      <c r="A7" s="10" t="str">
        <f t="shared" si="0"/>
        <v/>
      </c>
      <c r="B7" s="53"/>
      <c r="C7" s="28" t="str">
        <f t="shared" si="1"/>
        <v/>
      </c>
      <c r="D7" s="28" t="str">
        <f t="shared" si="2"/>
        <v/>
      </c>
      <c r="E7" s="88"/>
      <c r="F7" s="83"/>
    </row>
    <row r="8" spans="1:6">
      <c r="A8" s="10" t="str">
        <f t="shared" si="0"/>
        <v/>
      </c>
      <c r="B8" s="53"/>
      <c r="C8" s="28" t="str">
        <f t="shared" si="1"/>
        <v/>
      </c>
      <c r="D8" s="28" t="str">
        <f t="shared" si="2"/>
        <v/>
      </c>
      <c r="E8" s="88"/>
      <c r="F8" s="83"/>
    </row>
    <row r="9" spans="1:6">
      <c r="A9" s="10" t="str">
        <f t="shared" si="0"/>
        <v/>
      </c>
      <c r="B9" s="53"/>
      <c r="C9" s="28" t="str">
        <f t="shared" si="1"/>
        <v/>
      </c>
      <c r="D9" s="28" t="str">
        <f t="shared" si="2"/>
        <v/>
      </c>
      <c r="E9" s="87"/>
      <c r="F9" s="83"/>
    </row>
    <row r="10" spans="1:6">
      <c r="A10" s="10" t="str">
        <f t="shared" si="0"/>
        <v/>
      </c>
      <c r="B10" s="53"/>
      <c r="C10" s="28" t="str">
        <f t="shared" si="1"/>
        <v/>
      </c>
      <c r="D10" s="28" t="str">
        <f t="shared" si="2"/>
        <v/>
      </c>
      <c r="E10" s="87"/>
      <c r="F10" s="83"/>
    </row>
    <row r="11" spans="1:6">
      <c r="A11" s="10" t="str">
        <f t="shared" si="0"/>
        <v/>
      </c>
      <c r="B11" s="53"/>
      <c r="C11" s="28" t="str">
        <f t="shared" si="1"/>
        <v/>
      </c>
      <c r="D11" s="28" t="str">
        <f t="shared" si="2"/>
        <v/>
      </c>
      <c r="E11" s="88"/>
      <c r="F11" s="83"/>
    </row>
    <row r="12" spans="1:6">
      <c r="A12" s="10" t="str">
        <f t="shared" si="0"/>
        <v/>
      </c>
      <c r="B12" s="53"/>
      <c r="C12" s="28" t="str">
        <f t="shared" si="1"/>
        <v/>
      </c>
      <c r="D12" s="28" t="str">
        <f t="shared" si="2"/>
        <v/>
      </c>
      <c r="E12" s="88"/>
      <c r="F12" s="83"/>
    </row>
    <row r="13" spans="1:6">
      <c r="A13" s="10" t="str">
        <f t="shared" si="0"/>
        <v/>
      </c>
      <c r="B13" s="53"/>
      <c r="C13" s="28" t="str">
        <f t="shared" si="1"/>
        <v/>
      </c>
      <c r="D13" s="28" t="str">
        <f t="shared" si="2"/>
        <v/>
      </c>
      <c r="E13" s="88"/>
      <c r="F13" s="83"/>
    </row>
    <row r="14" spans="1:6">
      <c r="A14" s="10" t="str">
        <f t="shared" si="0"/>
        <v/>
      </c>
      <c r="B14" s="53"/>
      <c r="C14" s="28" t="str">
        <f t="shared" si="1"/>
        <v/>
      </c>
      <c r="D14" s="28" t="str">
        <f t="shared" si="2"/>
        <v/>
      </c>
      <c r="E14" s="88"/>
      <c r="F14" s="83"/>
    </row>
    <row r="15" spans="1:6">
      <c r="A15" s="10" t="str">
        <f t="shared" si="0"/>
        <v/>
      </c>
      <c r="B15" s="53"/>
      <c r="C15" s="28" t="str">
        <f t="shared" si="1"/>
        <v/>
      </c>
      <c r="D15" s="28" t="str">
        <f t="shared" si="2"/>
        <v/>
      </c>
      <c r="E15" s="88"/>
      <c r="F15" s="83"/>
    </row>
    <row r="16" spans="1:6">
      <c r="A16" s="10" t="str">
        <f t="shared" si="0"/>
        <v/>
      </c>
      <c r="B16" s="53"/>
      <c r="C16" s="28" t="str">
        <f t="shared" si="1"/>
        <v/>
      </c>
      <c r="D16" s="28" t="str">
        <f t="shared" si="2"/>
        <v/>
      </c>
      <c r="E16" s="88"/>
      <c r="F16" s="83"/>
    </row>
    <row r="17" spans="1:6">
      <c r="A17" s="10" t="str">
        <f t="shared" si="0"/>
        <v/>
      </c>
      <c r="B17" s="53"/>
      <c r="C17" s="28" t="str">
        <f t="shared" si="1"/>
        <v/>
      </c>
      <c r="D17" s="28" t="str">
        <f t="shared" si="2"/>
        <v/>
      </c>
      <c r="E17" s="88"/>
      <c r="F17" s="83"/>
    </row>
    <row r="18" spans="1:6">
      <c r="A18" s="10" t="str">
        <f t="shared" si="0"/>
        <v/>
      </c>
      <c r="B18" s="53"/>
      <c r="C18" s="28" t="str">
        <f t="shared" si="1"/>
        <v/>
      </c>
      <c r="D18" s="28" t="str">
        <f t="shared" si="2"/>
        <v/>
      </c>
      <c r="E18" s="88"/>
      <c r="F18" s="83"/>
    </row>
    <row r="19" spans="1:6">
      <c r="A19" s="10" t="str">
        <f t="shared" si="0"/>
        <v/>
      </c>
      <c r="B19" s="53"/>
      <c r="C19" s="28" t="str">
        <f t="shared" si="1"/>
        <v/>
      </c>
      <c r="D19" s="28" t="str">
        <f t="shared" si="2"/>
        <v/>
      </c>
      <c r="E19" s="88"/>
      <c r="F19" s="83"/>
    </row>
    <row r="20" spans="1:6">
      <c r="A20" s="10" t="str">
        <f t="shared" si="0"/>
        <v/>
      </c>
      <c r="B20" s="53"/>
      <c r="C20" s="28" t="str">
        <f t="shared" si="1"/>
        <v/>
      </c>
      <c r="D20" s="28" t="str">
        <f t="shared" si="2"/>
        <v/>
      </c>
      <c r="E20" s="88"/>
      <c r="F20" s="83"/>
    </row>
    <row r="21" spans="1:6">
      <c r="A21" s="10" t="str">
        <f t="shared" si="0"/>
        <v/>
      </c>
      <c r="B21" s="53"/>
      <c r="C21" s="28" t="str">
        <f t="shared" si="1"/>
        <v/>
      </c>
      <c r="D21" s="28" t="str">
        <f t="shared" si="2"/>
        <v/>
      </c>
      <c r="E21" s="88"/>
      <c r="F21" s="83"/>
    </row>
    <row r="22" spans="1:6">
      <c r="A22" s="10" t="str">
        <f t="shared" si="0"/>
        <v/>
      </c>
      <c r="B22" s="53"/>
      <c r="C22" s="28" t="str">
        <f t="shared" si="1"/>
        <v/>
      </c>
      <c r="D22" s="28" t="str">
        <f t="shared" si="2"/>
        <v/>
      </c>
      <c r="E22" s="88"/>
      <c r="F22" s="83"/>
    </row>
    <row r="23" spans="1:6">
      <c r="A23" s="10" t="str">
        <f t="shared" si="0"/>
        <v/>
      </c>
      <c r="B23" s="53"/>
      <c r="C23" s="28" t="str">
        <f t="shared" si="1"/>
        <v/>
      </c>
      <c r="D23" s="28" t="str">
        <f t="shared" si="2"/>
        <v/>
      </c>
      <c r="E23" s="88"/>
      <c r="F23" s="83"/>
    </row>
    <row r="24" spans="1:6">
      <c r="A24" s="10" t="str">
        <f t="shared" si="0"/>
        <v/>
      </c>
      <c r="B24" s="53"/>
      <c r="C24" s="28" t="str">
        <f t="shared" si="1"/>
        <v/>
      </c>
      <c r="D24" s="28" t="str">
        <f t="shared" si="2"/>
        <v/>
      </c>
      <c r="E24" s="88"/>
      <c r="F24" s="83"/>
    </row>
    <row r="25" spans="1:6">
      <c r="A25" s="10" t="str">
        <f t="shared" si="0"/>
        <v/>
      </c>
      <c r="B25" s="53"/>
      <c r="C25" s="28" t="str">
        <f t="shared" si="1"/>
        <v/>
      </c>
      <c r="D25" s="28" t="str">
        <f t="shared" si="2"/>
        <v/>
      </c>
      <c r="E25" s="88"/>
      <c r="F25" s="83"/>
    </row>
    <row r="26" spans="1:6">
      <c r="A26" s="10" t="str">
        <f t="shared" si="0"/>
        <v/>
      </c>
      <c r="B26" s="53"/>
      <c r="C26" s="28" t="str">
        <f t="shared" si="1"/>
        <v/>
      </c>
      <c r="D26" s="28" t="str">
        <f t="shared" si="2"/>
        <v/>
      </c>
      <c r="E26" s="88"/>
      <c r="F26" s="83"/>
    </row>
    <row r="27" spans="1:6">
      <c r="A27" s="10" t="str">
        <f t="shared" si="0"/>
        <v/>
      </c>
      <c r="B27" s="53"/>
      <c r="C27" s="28" t="str">
        <f t="shared" si="1"/>
        <v/>
      </c>
      <c r="D27" s="28" t="str">
        <f t="shared" si="2"/>
        <v/>
      </c>
      <c r="E27" s="88"/>
      <c r="F27" s="83"/>
    </row>
    <row r="28" spans="1:6">
      <c r="A28" s="10" t="str">
        <f t="shared" si="0"/>
        <v/>
      </c>
      <c r="B28" s="53"/>
      <c r="C28" s="28" t="str">
        <f t="shared" si="1"/>
        <v/>
      </c>
      <c r="D28" s="28" t="str">
        <f t="shared" si="2"/>
        <v/>
      </c>
      <c r="E28" s="88"/>
      <c r="F28" s="83"/>
    </row>
    <row r="29" spans="1:6">
      <c r="A29" s="10" t="str">
        <f t="shared" si="0"/>
        <v/>
      </c>
      <c r="B29" s="53"/>
      <c r="C29" s="28" t="str">
        <f t="shared" si="1"/>
        <v/>
      </c>
      <c r="D29" s="28" t="str">
        <f t="shared" si="2"/>
        <v/>
      </c>
      <c r="E29" s="88"/>
      <c r="F29" s="83"/>
    </row>
    <row r="30" spans="1:6">
      <c r="A30" s="10" t="str">
        <f t="shared" si="0"/>
        <v/>
      </c>
      <c r="B30" s="53"/>
      <c r="C30" s="28" t="str">
        <f t="shared" si="1"/>
        <v/>
      </c>
      <c r="D30" s="28" t="str">
        <f t="shared" si="2"/>
        <v/>
      </c>
      <c r="E30" s="88"/>
      <c r="F30" s="83"/>
    </row>
    <row r="31" spans="1:6">
      <c r="A31" s="10" t="str">
        <f t="shared" si="0"/>
        <v/>
      </c>
      <c r="B31" s="53"/>
      <c r="C31" s="28" t="str">
        <f t="shared" si="1"/>
        <v/>
      </c>
      <c r="D31" s="28" t="str">
        <f t="shared" si="2"/>
        <v/>
      </c>
      <c r="E31" s="88"/>
      <c r="F31" s="83"/>
    </row>
    <row r="32" spans="1:6">
      <c r="A32" s="10" t="str">
        <f t="shared" si="0"/>
        <v/>
      </c>
      <c r="B32" s="53"/>
      <c r="C32" s="28" t="str">
        <f t="shared" si="1"/>
        <v/>
      </c>
      <c r="D32" s="28" t="str">
        <f t="shared" si="2"/>
        <v/>
      </c>
      <c r="E32" s="88"/>
      <c r="F32" s="83"/>
    </row>
    <row r="33" spans="1:6">
      <c r="A33" s="10" t="str">
        <f t="shared" si="0"/>
        <v/>
      </c>
      <c r="B33" s="53"/>
      <c r="C33" s="28" t="str">
        <f t="shared" si="1"/>
        <v/>
      </c>
      <c r="D33" s="28" t="str">
        <f t="shared" si="2"/>
        <v/>
      </c>
      <c r="E33" s="88"/>
      <c r="F33" s="83"/>
    </row>
    <row r="34" spans="1:6">
      <c r="A34" s="10" t="str">
        <f t="shared" si="0"/>
        <v/>
      </c>
      <c r="B34" s="53"/>
      <c r="C34" s="28" t="str">
        <f t="shared" si="1"/>
        <v/>
      </c>
      <c r="D34" s="28" t="str">
        <f t="shared" si="2"/>
        <v/>
      </c>
      <c r="E34" s="88"/>
      <c r="F34" s="83"/>
    </row>
    <row r="35" spans="1:6">
      <c r="A35" s="10" t="str">
        <f t="shared" si="0"/>
        <v/>
      </c>
      <c r="B35" s="53"/>
      <c r="C35" s="28" t="str">
        <f t="shared" si="1"/>
        <v/>
      </c>
      <c r="D35" s="28" t="str">
        <f t="shared" si="2"/>
        <v/>
      </c>
      <c r="E35" s="88"/>
      <c r="F35" s="83"/>
    </row>
    <row r="36" spans="1:6">
      <c r="A36" s="10" t="str">
        <f t="shared" si="0"/>
        <v/>
      </c>
      <c r="B36" s="53"/>
      <c r="C36" s="28" t="str">
        <f t="shared" si="1"/>
        <v/>
      </c>
      <c r="D36" s="28" t="str">
        <f t="shared" si="2"/>
        <v/>
      </c>
      <c r="E36" s="88"/>
      <c r="F36" s="83"/>
    </row>
    <row r="37" spans="1:6">
      <c r="A37" s="10" t="str">
        <f t="shared" si="0"/>
        <v/>
      </c>
      <c r="B37" s="53"/>
      <c r="C37" s="28" t="str">
        <f t="shared" si="1"/>
        <v/>
      </c>
      <c r="D37" s="28" t="str">
        <f t="shared" si="2"/>
        <v/>
      </c>
      <c r="E37" s="88"/>
      <c r="F37" s="83"/>
    </row>
    <row r="38" spans="1:6">
      <c r="A38" s="10" t="str">
        <f t="shared" si="0"/>
        <v/>
      </c>
      <c r="B38" s="53"/>
      <c r="C38" s="28" t="str">
        <f t="shared" si="1"/>
        <v/>
      </c>
      <c r="D38" s="28" t="str">
        <f t="shared" si="2"/>
        <v/>
      </c>
      <c r="E38" s="88"/>
      <c r="F38" s="83"/>
    </row>
    <row r="39" spans="1:6">
      <c r="A39" s="10" t="str">
        <f t="shared" si="0"/>
        <v/>
      </c>
      <c r="B39" s="53"/>
      <c r="C39" s="28" t="str">
        <f t="shared" si="1"/>
        <v/>
      </c>
      <c r="D39" s="28" t="str">
        <f t="shared" si="2"/>
        <v/>
      </c>
      <c r="E39" s="88"/>
      <c r="F39" s="83"/>
    </row>
    <row r="40" spans="1:6">
      <c r="A40" s="10" t="str">
        <f t="shared" si="0"/>
        <v/>
      </c>
      <c r="B40" s="53"/>
      <c r="C40" s="28" t="str">
        <f t="shared" si="1"/>
        <v/>
      </c>
      <c r="D40" s="28" t="str">
        <f t="shared" si="2"/>
        <v/>
      </c>
      <c r="E40" s="88"/>
      <c r="F40" s="83"/>
    </row>
    <row r="41" spans="1:6">
      <c r="A41" s="10" t="str">
        <f t="shared" si="0"/>
        <v/>
      </c>
      <c r="B41" s="53"/>
      <c r="C41" s="28" t="str">
        <f t="shared" si="1"/>
        <v/>
      </c>
      <c r="D41" s="28" t="str">
        <f t="shared" si="2"/>
        <v/>
      </c>
      <c r="E41" s="88"/>
      <c r="F41" s="83"/>
    </row>
    <row r="42" spans="1:6">
      <c r="A42" s="10" t="str">
        <f t="shared" si="0"/>
        <v/>
      </c>
      <c r="B42" s="53"/>
      <c r="C42" s="28" t="str">
        <f t="shared" si="1"/>
        <v/>
      </c>
      <c r="D42" s="28" t="str">
        <f t="shared" si="2"/>
        <v/>
      </c>
      <c r="E42" s="88"/>
      <c r="F42" s="83"/>
    </row>
    <row r="43" spans="1:6">
      <c r="A43" s="10" t="str">
        <f t="shared" si="0"/>
        <v/>
      </c>
      <c r="B43" s="53"/>
      <c r="C43" s="28" t="str">
        <f t="shared" si="1"/>
        <v/>
      </c>
      <c r="D43" s="28" t="str">
        <f t="shared" si="2"/>
        <v/>
      </c>
      <c r="E43" s="88"/>
      <c r="F43" s="83"/>
    </row>
    <row r="44" spans="1:6">
      <c r="A44" s="10" t="str">
        <f t="shared" si="0"/>
        <v/>
      </c>
      <c r="B44" s="53"/>
      <c r="C44" s="28" t="str">
        <f t="shared" si="1"/>
        <v/>
      </c>
      <c r="D44" s="28" t="str">
        <f t="shared" si="2"/>
        <v/>
      </c>
      <c r="E44" s="88"/>
      <c r="F44" s="83"/>
    </row>
    <row r="45" spans="1:6">
      <c r="A45" s="10" t="str">
        <f t="shared" si="0"/>
        <v/>
      </c>
      <c r="B45" s="53"/>
      <c r="C45" s="28" t="str">
        <f t="shared" si="1"/>
        <v/>
      </c>
      <c r="D45" s="28" t="str">
        <f t="shared" si="2"/>
        <v/>
      </c>
      <c r="E45" s="88"/>
      <c r="F45" s="83"/>
    </row>
    <row r="46" spans="1:6">
      <c r="A46" s="10" t="str">
        <f t="shared" si="0"/>
        <v/>
      </c>
      <c r="B46" s="53"/>
      <c r="C46" s="28" t="str">
        <f t="shared" si="1"/>
        <v/>
      </c>
      <c r="D46" s="28" t="str">
        <f t="shared" si="2"/>
        <v/>
      </c>
      <c r="E46" s="88"/>
      <c r="F46" s="83"/>
    </row>
    <row r="47" spans="1:6">
      <c r="A47" s="10" t="str">
        <f t="shared" si="0"/>
        <v/>
      </c>
      <c r="B47" s="53"/>
      <c r="C47" s="28" t="str">
        <f t="shared" si="1"/>
        <v/>
      </c>
      <c r="D47" s="28" t="str">
        <f t="shared" si="2"/>
        <v/>
      </c>
      <c r="E47" s="88"/>
      <c r="F47" s="83"/>
    </row>
    <row r="48" spans="1:6">
      <c r="A48" s="10" t="str">
        <f t="shared" si="0"/>
        <v/>
      </c>
      <c r="B48" s="53"/>
      <c r="C48" s="28" t="str">
        <f t="shared" si="1"/>
        <v/>
      </c>
      <c r="D48" s="28" t="str">
        <f t="shared" si="2"/>
        <v/>
      </c>
      <c r="E48" s="88"/>
      <c r="F48" s="83"/>
    </row>
    <row r="49" spans="1:6">
      <c r="A49" s="10" t="str">
        <f t="shared" si="0"/>
        <v/>
      </c>
      <c r="B49" s="53"/>
      <c r="C49" s="28" t="str">
        <f t="shared" si="1"/>
        <v/>
      </c>
      <c r="D49" s="28" t="str">
        <f t="shared" si="2"/>
        <v/>
      </c>
      <c r="E49" s="88"/>
      <c r="F49" s="83"/>
    </row>
    <row r="50" spans="1:6">
      <c r="A50" s="10" t="str">
        <f t="shared" si="0"/>
        <v/>
      </c>
      <c r="B50" s="53"/>
      <c r="C50" s="28" t="str">
        <f t="shared" si="1"/>
        <v/>
      </c>
      <c r="D50" s="28" t="str">
        <f t="shared" si="2"/>
        <v/>
      </c>
      <c r="E50" s="88"/>
      <c r="F50" s="83"/>
    </row>
    <row r="51" spans="1:6">
      <c r="A51" s="10" t="str">
        <f t="shared" si="0"/>
        <v/>
      </c>
      <c r="B51" s="53"/>
      <c r="C51" s="28" t="str">
        <f t="shared" si="1"/>
        <v/>
      </c>
      <c r="D51" s="28" t="str">
        <f t="shared" si="2"/>
        <v/>
      </c>
      <c r="E51" s="88"/>
      <c r="F51" s="83"/>
    </row>
    <row r="52" spans="1:6">
      <c r="A52" s="10" t="str">
        <f t="shared" si="0"/>
        <v/>
      </c>
      <c r="B52" s="53"/>
      <c r="C52" s="28" t="str">
        <f t="shared" si="1"/>
        <v/>
      </c>
      <c r="D52" s="28" t="str">
        <f t="shared" si="2"/>
        <v/>
      </c>
      <c r="E52" s="88"/>
      <c r="F52" s="83"/>
    </row>
    <row r="53" spans="1:6">
      <c r="A53" s="10" t="str">
        <f t="shared" si="0"/>
        <v/>
      </c>
      <c r="B53" s="53"/>
      <c r="C53" s="28" t="str">
        <f t="shared" si="1"/>
        <v/>
      </c>
      <c r="D53" s="28" t="str">
        <f t="shared" si="2"/>
        <v/>
      </c>
      <c r="E53" s="88"/>
      <c r="F53" s="83"/>
    </row>
    <row r="54" spans="1:6">
      <c r="A54" s="10" t="str">
        <f t="shared" si="0"/>
        <v/>
      </c>
      <c r="B54" s="53"/>
      <c r="C54" s="28" t="str">
        <f t="shared" si="1"/>
        <v/>
      </c>
      <c r="D54" s="28" t="str">
        <f t="shared" si="2"/>
        <v/>
      </c>
      <c r="E54" s="88"/>
      <c r="F54" s="83"/>
    </row>
    <row r="55" spans="1:6">
      <c r="A55" s="10" t="str">
        <f t="shared" si="0"/>
        <v/>
      </c>
      <c r="B55" s="53"/>
      <c r="C55" s="28" t="str">
        <f t="shared" si="1"/>
        <v/>
      </c>
      <c r="D55" s="28" t="str">
        <f t="shared" si="2"/>
        <v/>
      </c>
      <c r="E55" s="88"/>
      <c r="F55" s="83"/>
    </row>
    <row r="56" spans="1:6">
      <c r="A56" s="10" t="str">
        <f t="shared" si="0"/>
        <v/>
      </c>
      <c r="B56" s="53"/>
      <c r="C56" s="28" t="str">
        <f t="shared" si="1"/>
        <v/>
      </c>
      <c r="D56" s="28" t="str">
        <f t="shared" si="2"/>
        <v/>
      </c>
      <c r="E56" s="88"/>
      <c r="F56" s="83"/>
    </row>
    <row r="57" spans="1:6">
      <c r="A57" s="10" t="str">
        <f t="shared" si="0"/>
        <v/>
      </c>
      <c r="B57" s="53"/>
      <c r="C57" s="28" t="str">
        <f t="shared" si="1"/>
        <v/>
      </c>
      <c r="D57" s="28" t="str">
        <f t="shared" si="2"/>
        <v/>
      </c>
      <c r="E57" s="88"/>
      <c r="F57" s="83"/>
    </row>
    <row r="58" spans="1:6">
      <c r="A58" s="10" t="str">
        <f t="shared" si="0"/>
        <v/>
      </c>
      <c r="B58" s="53"/>
      <c r="C58" s="28" t="str">
        <f t="shared" si="1"/>
        <v/>
      </c>
      <c r="D58" s="28" t="str">
        <f t="shared" si="2"/>
        <v/>
      </c>
      <c r="E58" s="88"/>
      <c r="F58" s="83"/>
    </row>
    <row r="59" spans="1:6">
      <c r="A59" s="10" t="str">
        <f t="shared" si="0"/>
        <v/>
      </c>
      <c r="B59" s="53"/>
      <c r="C59" s="28" t="str">
        <f t="shared" si="1"/>
        <v/>
      </c>
      <c r="D59" s="28" t="str">
        <f t="shared" si="2"/>
        <v/>
      </c>
      <c r="E59" s="88"/>
      <c r="F59" s="83"/>
    </row>
    <row r="60" spans="1:6">
      <c r="A60" s="10" t="str">
        <f t="shared" si="0"/>
        <v/>
      </c>
      <c r="B60" s="53"/>
      <c r="C60" s="28" t="str">
        <f t="shared" si="1"/>
        <v/>
      </c>
      <c r="D60" s="28" t="str">
        <f t="shared" si="2"/>
        <v/>
      </c>
      <c r="E60" s="88"/>
      <c r="F60" s="83"/>
    </row>
    <row r="61" spans="1:6">
      <c r="A61" s="10" t="str">
        <f t="shared" si="0"/>
        <v/>
      </c>
      <c r="B61" s="53"/>
      <c r="C61" s="28" t="str">
        <f t="shared" si="1"/>
        <v/>
      </c>
      <c r="D61" s="28" t="str">
        <f t="shared" si="2"/>
        <v/>
      </c>
      <c r="E61" s="88"/>
      <c r="F61" s="83"/>
    </row>
    <row r="62" spans="1:6">
      <c r="A62" s="10" t="str">
        <f t="shared" si="0"/>
        <v/>
      </c>
      <c r="B62" s="53"/>
      <c r="C62" s="28" t="str">
        <f t="shared" si="1"/>
        <v/>
      </c>
      <c r="D62" s="28" t="str">
        <f t="shared" si="2"/>
        <v/>
      </c>
      <c r="E62" s="88"/>
      <c r="F62" s="83"/>
    </row>
    <row r="63" spans="1:6">
      <c r="A63" s="10" t="str">
        <f t="shared" si="0"/>
        <v/>
      </c>
      <c r="B63" s="53"/>
      <c r="C63" s="28" t="str">
        <f t="shared" si="1"/>
        <v/>
      </c>
      <c r="D63" s="28" t="str">
        <f t="shared" si="2"/>
        <v/>
      </c>
      <c r="E63" s="88"/>
      <c r="F63" s="83"/>
    </row>
    <row r="64" spans="1:6">
      <c r="A64" s="10" t="str">
        <f t="shared" si="0"/>
        <v/>
      </c>
      <c r="B64" s="53"/>
      <c r="C64" s="28" t="str">
        <f t="shared" si="1"/>
        <v/>
      </c>
      <c r="D64" s="28" t="str">
        <f t="shared" si="2"/>
        <v/>
      </c>
      <c r="E64" s="88"/>
      <c r="F64" s="83"/>
    </row>
    <row r="65" spans="1:6">
      <c r="A65" s="10" t="str">
        <f t="shared" si="0"/>
        <v/>
      </c>
      <c r="B65" s="53"/>
      <c r="C65" s="28" t="str">
        <f t="shared" si="1"/>
        <v/>
      </c>
      <c r="D65" s="28" t="str">
        <f t="shared" si="2"/>
        <v/>
      </c>
      <c r="E65" s="88"/>
      <c r="F65" s="83"/>
    </row>
    <row r="66" spans="1:6">
      <c r="A66" s="10" t="str">
        <f t="shared" si="0"/>
        <v/>
      </c>
      <c r="B66" s="53"/>
      <c r="C66" s="28" t="str">
        <f t="shared" si="1"/>
        <v/>
      </c>
      <c r="D66" s="28" t="str">
        <f t="shared" si="2"/>
        <v/>
      </c>
      <c r="E66" s="88"/>
      <c r="F66" s="83"/>
    </row>
    <row r="67" spans="1:6">
      <c r="A67" s="10" t="str">
        <f t="shared" ref="A67:A130" si="3">IF(E67&gt;0,A66+1,"")</f>
        <v/>
      </c>
      <c r="B67" s="53"/>
      <c r="C67" s="28" t="str">
        <f t="shared" ref="C67:C130" si="4">IF(B67=0,"",TEXT(B67,"mmmm"))</f>
        <v/>
      </c>
      <c r="D67" s="28" t="str">
        <f t="shared" ref="D67:D130" si="5">IF(B67=0,"",TEXT(B67,"yyyy"))</f>
        <v/>
      </c>
      <c r="E67" s="88"/>
      <c r="F67" s="83"/>
    </row>
    <row r="68" spans="1:6">
      <c r="A68" s="10" t="str">
        <f t="shared" si="3"/>
        <v/>
      </c>
      <c r="B68" s="53"/>
      <c r="C68" s="28" t="str">
        <f t="shared" si="4"/>
        <v/>
      </c>
      <c r="D68" s="28" t="str">
        <f t="shared" si="5"/>
        <v/>
      </c>
      <c r="E68" s="88"/>
      <c r="F68" s="83"/>
    </row>
    <row r="69" spans="1:6">
      <c r="A69" s="10" t="str">
        <f t="shared" si="3"/>
        <v/>
      </c>
      <c r="B69" s="53"/>
      <c r="C69" s="28" t="str">
        <f t="shared" si="4"/>
        <v/>
      </c>
      <c r="D69" s="28" t="str">
        <f t="shared" si="5"/>
        <v/>
      </c>
      <c r="E69" s="88"/>
      <c r="F69" s="83"/>
    </row>
    <row r="70" spans="1:6">
      <c r="A70" s="10" t="str">
        <f t="shared" si="3"/>
        <v/>
      </c>
      <c r="B70" s="53"/>
      <c r="C70" s="28" t="str">
        <f t="shared" si="4"/>
        <v/>
      </c>
      <c r="D70" s="28" t="str">
        <f t="shared" si="5"/>
        <v/>
      </c>
      <c r="E70" s="88"/>
      <c r="F70" s="83"/>
    </row>
    <row r="71" spans="1:6">
      <c r="A71" s="10" t="str">
        <f t="shared" si="3"/>
        <v/>
      </c>
      <c r="B71" s="53"/>
      <c r="C71" s="28" t="str">
        <f t="shared" si="4"/>
        <v/>
      </c>
      <c r="D71" s="28" t="str">
        <f t="shared" si="5"/>
        <v/>
      </c>
      <c r="E71" s="88"/>
      <c r="F71" s="83"/>
    </row>
    <row r="72" spans="1:6">
      <c r="A72" s="10" t="str">
        <f t="shared" si="3"/>
        <v/>
      </c>
      <c r="B72" s="53"/>
      <c r="C72" s="28" t="str">
        <f t="shared" si="4"/>
        <v/>
      </c>
      <c r="D72" s="28" t="str">
        <f t="shared" si="5"/>
        <v/>
      </c>
      <c r="E72" s="88"/>
      <c r="F72" s="83"/>
    </row>
    <row r="73" spans="1:6">
      <c r="A73" s="10" t="str">
        <f t="shared" si="3"/>
        <v/>
      </c>
      <c r="B73" s="53"/>
      <c r="C73" s="28" t="str">
        <f t="shared" si="4"/>
        <v/>
      </c>
      <c r="D73" s="28" t="str">
        <f t="shared" si="5"/>
        <v/>
      </c>
      <c r="E73" s="88"/>
      <c r="F73" s="83"/>
    </row>
    <row r="74" spans="1:6">
      <c r="A74" s="10" t="str">
        <f t="shared" si="3"/>
        <v/>
      </c>
      <c r="B74" s="53"/>
      <c r="C74" s="28" t="str">
        <f t="shared" si="4"/>
        <v/>
      </c>
      <c r="D74" s="28" t="str">
        <f t="shared" si="5"/>
        <v/>
      </c>
      <c r="E74" s="88"/>
      <c r="F74" s="83"/>
    </row>
    <row r="75" spans="1:6">
      <c r="A75" s="10" t="str">
        <f t="shared" si="3"/>
        <v/>
      </c>
      <c r="B75" s="53"/>
      <c r="C75" s="28" t="str">
        <f t="shared" si="4"/>
        <v/>
      </c>
      <c r="D75" s="28" t="str">
        <f t="shared" si="5"/>
        <v/>
      </c>
      <c r="E75" s="88"/>
      <c r="F75" s="83"/>
    </row>
    <row r="76" spans="1:6">
      <c r="A76" s="10" t="str">
        <f t="shared" si="3"/>
        <v/>
      </c>
      <c r="B76" s="53"/>
      <c r="C76" s="28" t="str">
        <f t="shared" si="4"/>
        <v/>
      </c>
      <c r="D76" s="28" t="str">
        <f t="shared" si="5"/>
        <v/>
      </c>
      <c r="E76" s="88"/>
      <c r="F76" s="83"/>
    </row>
    <row r="77" spans="1:6">
      <c r="A77" s="10" t="str">
        <f t="shared" si="3"/>
        <v/>
      </c>
      <c r="B77" s="53"/>
      <c r="C77" s="28" t="str">
        <f t="shared" si="4"/>
        <v/>
      </c>
      <c r="D77" s="28" t="str">
        <f t="shared" si="5"/>
        <v/>
      </c>
      <c r="E77" s="88"/>
      <c r="F77" s="83"/>
    </row>
    <row r="78" spans="1:6">
      <c r="A78" s="10" t="str">
        <f t="shared" si="3"/>
        <v/>
      </c>
      <c r="B78" s="53"/>
      <c r="C78" s="28" t="str">
        <f t="shared" si="4"/>
        <v/>
      </c>
      <c r="D78" s="28" t="str">
        <f t="shared" si="5"/>
        <v/>
      </c>
      <c r="E78" s="88"/>
      <c r="F78" s="83"/>
    </row>
    <row r="79" spans="1:6">
      <c r="A79" s="10" t="str">
        <f t="shared" si="3"/>
        <v/>
      </c>
      <c r="B79" s="53"/>
      <c r="C79" s="28" t="str">
        <f t="shared" si="4"/>
        <v/>
      </c>
      <c r="D79" s="28" t="str">
        <f t="shared" si="5"/>
        <v/>
      </c>
      <c r="E79" s="88"/>
      <c r="F79" s="83"/>
    </row>
    <row r="80" spans="1:6">
      <c r="A80" s="10" t="str">
        <f t="shared" si="3"/>
        <v/>
      </c>
      <c r="B80" s="53"/>
      <c r="C80" s="28" t="str">
        <f t="shared" si="4"/>
        <v/>
      </c>
      <c r="D80" s="28" t="str">
        <f t="shared" si="5"/>
        <v/>
      </c>
      <c r="E80" s="88"/>
      <c r="F80" s="83"/>
    </row>
    <row r="81" spans="1:6">
      <c r="A81" s="10" t="str">
        <f t="shared" si="3"/>
        <v/>
      </c>
      <c r="B81" s="53"/>
      <c r="C81" s="28" t="str">
        <f t="shared" si="4"/>
        <v/>
      </c>
      <c r="D81" s="28" t="str">
        <f t="shared" si="5"/>
        <v/>
      </c>
      <c r="E81" s="88"/>
      <c r="F81" s="83"/>
    </row>
    <row r="82" spans="1:6">
      <c r="A82" s="10" t="str">
        <f t="shared" si="3"/>
        <v/>
      </c>
      <c r="B82" s="53"/>
      <c r="C82" s="28" t="str">
        <f t="shared" si="4"/>
        <v/>
      </c>
      <c r="D82" s="28" t="str">
        <f t="shared" si="5"/>
        <v/>
      </c>
      <c r="E82" s="88"/>
      <c r="F82" s="83"/>
    </row>
    <row r="83" spans="1:6">
      <c r="A83" s="10" t="str">
        <f t="shared" si="3"/>
        <v/>
      </c>
      <c r="B83" s="53"/>
      <c r="C83" s="28" t="str">
        <f t="shared" si="4"/>
        <v/>
      </c>
      <c r="D83" s="28" t="str">
        <f t="shared" si="5"/>
        <v/>
      </c>
      <c r="E83" s="88"/>
      <c r="F83" s="83"/>
    </row>
    <row r="84" spans="1:6">
      <c r="A84" s="10" t="str">
        <f t="shared" si="3"/>
        <v/>
      </c>
      <c r="B84" s="53"/>
      <c r="C84" s="28" t="str">
        <f t="shared" si="4"/>
        <v/>
      </c>
      <c r="D84" s="28" t="str">
        <f t="shared" si="5"/>
        <v/>
      </c>
      <c r="E84" s="88"/>
      <c r="F84" s="83"/>
    </row>
    <row r="85" spans="1:6">
      <c r="A85" s="10" t="str">
        <f t="shared" si="3"/>
        <v/>
      </c>
      <c r="B85" s="53"/>
      <c r="C85" s="28" t="str">
        <f t="shared" si="4"/>
        <v/>
      </c>
      <c r="D85" s="28" t="str">
        <f t="shared" si="5"/>
        <v/>
      </c>
      <c r="E85" s="88"/>
      <c r="F85" s="83"/>
    </row>
    <row r="86" spans="1:6">
      <c r="A86" s="10" t="str">
        <f t="shared" si="3"/>
        <v/>
      </c>
      <c r="B86" s="53"/>
      <c r="C86" s="28" t="str">
        <f t="shared" si="4"/>
        <v/>
      </c>
      <c r="D86" s="28" t="str">
        <f t="shared" si="5"/>
        <v/>
      </c>
      <c r="E86" s="88"/>
      <c r="F86" s="83"/>
    </row>
    <row r="87" spans="1:6">
      <c r="A87" s="10" t="str">
        <f t="shared" si="3"/>
        <v/>
      </c>
      <c r="B87" s="53"/>
      <c r="C87" s="28" t="str">
        <f t="shared" si="4"/>
        <v/>
      </c>
      <c r="D87" s="28" t="str">
        <f t="shared" si="5"/>
        <v/>
      </c>
      <c r="E87" s="88"/>
      <c r="F87" s="83"/>
    </row>
    <row r="88" spans="1:6">
      <c r="A88" s="10" t="str">
        <f t="shared" si="3"/>
        <v/>
      </c>
      <c r="B88" s="53"/>
      <c r="C88" s="28" t="str">
        <f t="shared" si="4"/>
        <v/>
      </c>
      <c r="D88" s="28" t="str">
        <f t="shared" si="5"/>
        <v/>
      </c>
      <c r="E88" s="88"/>
      <c r="F88" s="83"/>
    </row>
    <row r="89" spans="1:6">
      <c r="A89" s="10" t="str">
        <f t="shared" si="3"/>
        <v/>
      </c>
      <c r="B89" s="53"/>
      <c r="C89" s="28" t="str">
        <f t="shared" si="4"/>
        <v/>
      </c>
      <c r="D89" s="28" t="str">
        <f t="shared" si="5"/>
        <v/>
      </c>
      <c r="E89" s="88"/>
      <c r="F89" s="83"/>
    </row>
    <row r="90" spans="1:6">
      <c r="A90" s="10" t="str">
        <f t="shared" si="3"/>
        <v/>
      </c>
      <c r="B90" s="53"/>
      <c r="C90" s="28" t="str">
        <f t="shared" si="4"/>
        <v/>
      </c>
      <c r="D90" s="28" t="str">
        <f t="shared" si="5"/>
        <v/>
      </c>
      <c r="E90" s="88"/>
      <c r="F90" s="83"/>
    </row>
    <row r="91" spans="1:6">
      <c r="A91" s="10" t="str">
        <f t="shared" si="3"/>
        <v/>
      </c>
      <c r="B91" s="53"/>
      <c r="C91" s="28" t="str">
        <f t="shared" si="4"/>
        <v/>
      </c>
      <c r="D91" s="28" t="str">
        <f t="shared" si="5"/>
        <v/>
      </c>
      <c r="E91" s="88"/>
      <c r="F91" s="83"/>
    </row>
    <row r="92" spans="1:6">
      <c r="A92" s="10" t="str">
        <f t="shared" si="3"/>
        <v/>
      </c>
      <c r="B92" s="53"/>
      <c r="C92" s="28" t="str">
        <f t="shared" si="4"/>
        <v/>
      </c>
      <c r="D92" s="28" t="str">
        <f t="shared" si="5"/>
        <v/>
      </c>
      <c r="E92" s="88"/>
      <c r="F92" s="83"/>
    </row>
    <row r="93" spans="1:6">
      <c r="A93" s="10" t="str">
        <f t="shared" si="3"/>
        <v/>
      </c>
      <c r="B93" s="53"/>
      <c r="C93" s="28" t="str">
        <f t="shared" si="4"/>
        <v/>
      </c>
      <c r="D93" s="28" t="str">
        <f t="shared" si="5"/>
        <v/>
      </c>
      <c r="E93" s="88"/>
      <c r="F93" s="83"/>
    </row>
    <row r="94" spans="1:6">
      <c r="A94" s="10" t="str">
        <f t="shared" si="3"/>
        <v/>
      </c>
      <c r="B94" s="53"/>
      <c r="C94" s="28" t="str">
        <f t="shared" si="4"/>
        <v/>
      </c>
      <c r="D94" s="28" t="str">
        <f t="shared" si="5"/>
        <v/>
      </c>
      <c r="E94" s="88"/>
      <c r="F94" s="83"/>
    </row>
    <row r="95" spans="1:6">
      <c r="A95" s="10" t="str">
        <f t="shared" si="3"/>
        <v/>
      </c>
      <c r="B95" s="53"/>
      <c r="C95" s="28" t="str">
        <f t="shared" si="4"/>
        <v/>
      </c>
      <c r="D95" s="28" t="str">
        <f t="shared" si="5"/>
        <v/>
      </c>
      <c r="E95" s="88"/>
      <c r="F95" s="83"/>
    </row>
    <row r="96" spans="1:6">
      <c r="A96" s="10" t="str">
        <f t="shared" si="3"/>
        <v/>
      </c>
      <c r="B96" s="53"/>
      <c r="C96" s="28" t="str">
        <f t="shared" si="4"/>
        <v/>
      </c>
      <c r="D96" s="28" t="str">
        <f t="shared" si="5"/>
        <v/>
      </c>
      <c r="E96" s="88"/>
      <c r="F96" s="83"/>
    </row>
    <row r="97" spans="1:6">
      <c r="A97" s="10" t="str">
        <f t="shared" si="3"/>
        <v/>
      </c>
      <c r="B97" s="53"/>
      <c r="C97" s="28" t="str">
        <f t="shared" si="4"/>
        <v/>
      </c>
      <c r="D97" s="28" t="str">
        <f t="shared" si="5"/>
        <v/>
      </c>
      <c r="E97" s="88"/>
      <c r="F97" s="83"/>
    </row>
    <row r="98" spans="1:6">
      <c r="A98" s="10" t="str">
        <f t="shared" si="3"/>
        <v/>
      </c>
      <c r="B98" s="53"/>
      <c r="C98" s="28" t="str">
        <f t="shared" si="4"/>
        <v/>
      </c>
      <c r="D98" s="28" t="str">
        <f t="shared" si="5"/>
        <v/>
      </c>
      <c r="E98" s="88"/>
      <c r="F98" s="83"/>
    </row>
    <row r="99" spans="1:6">
      <c r="A99" s="10" t="str">
        <f t="shared" si="3"/>
        <v/>
      </c>
      <c r="B99" s="53"/>
      <c r="C99" s="28" t="str">
        <f t="shared" si="4"/>
        <v/>
      </c>
      <c r="D99" s="28" t="str">
        <f t="shared" si="5"/>
        <v/>
      </c>
      <c r="E99" s="88"/>
      <c r="F99" s="83"/>
    </row>
    <row r="100" spans="1:6">
      <c r="A100" s="10" t="str">
        <f t="shared" si="3"/>
        <v/>
      </c>
      <c r="B100" s="53"/>
      <c r="C100" s="28" t="str">
        <f t="shared" si="4"/>
        <v/>
      </c>
      <c r="D100" s="28" t="str">
        <f t="shared" si="5"/>
        <v/>
      </c>
      <c r="E100" s="88"/>
      <c r="F100" s="83"/>
    </row>
    <row r="101" spans="1:6">
      <c r="A101" s="10" t="str">
        <f t="shared" si="3"/>
        <v/>
      </c>
      <c r="B101" s="53"/>
      <c r="C101" s="28" t="str">
        <f t="shared" si="4"/>
        <v/>
      </c>
      <c r="D101" s="28" t="str">
        <f t="shared" si="5"/>
        <v/>
      </c>
      <c r="E101" s="88"/>
      <c r="F101" s="83"/>
    </row>
    <row r="102" spans="1:6">
      <c r="A102" s="10" t="str">
        <f t="shared" si="3"/>
        <v/>
      </c>
      <c r="B102" s="53"/>
      <c r="C102" s="28" t="str">
        <f t="shared" si="4"/>
        <v/>
      </c>
      <c r="D102" s="28" t="str">
        <f t="shared" si="5"/>
        <v/>
      </c>
      <c r="E102" s="88"/>
      <c r="F102" s="83"/>
    </row>
    <row r="103" spans="1:6">
      <c r="A103" s="10" t="str">
        <f t="shared" si="3"/>
        <v/>
      </c>
      <c r="B103" s="53"/>
      <c r="C103" s="28" t="str">
        <f t="shared" si="4"/>
        <v/>
      </c>
      <c r="D103" s="28" t="str">
        <f t="shared" si="5"/>
        <v/>
      </c>
      <c r="E103" s="88"/>
      <c r="F103" s="83"/>
    </row>
    <row r="104" spans="1:6">
      <c r="A104" s="10" t="str">
        <f t="shared" si="3"/>
        <v/>
      </c>
      <c r="B104" s="53"/>
      <c r="C104" s="28" t="str">
        <f t="shared" si="4"/>
        <v/>
      </c>
      <c r="D104" s="28" t="str">
        <f t="shared" si="5"/>
        <v/>
      </c>
      <c r="E104" s="88"/>
      <c r="F104" s="83"/>
    </row>
    <row r="105" spans="1:6">
      <c r="A105" s="10" t="str">
        <f t="shared" si="3"/>
        <v/>
      </c>
      <c r="B105" s="53"/>
      <c r="C105" s="28" t="str">
        <f t="shared" si="4"/>
        <v/>
      </c>
      <c r="D105" s="28" t="str">
        <f t="shared" si="5"/>
        <v/>
      </c>
      <c r="E105" s="88"/>
      <c r="F105" s="83"/>
    </row>
    <row r="106" spans="1:6">
      <c r="A106" s="10" t="str">
        <f t="shared" si="3"/>
        <v/>
      </c>
      <c r="B106" s="53"/>
      <c r="C106" s="28" t="str">
        <f t="shared" si="4"/>
        <v/>
      </c>
      <c r="D106" s="28" t="str">
        <f t="shared" si="5"/>
        <v/>
      </c>
      <c r="E106" s="88"/>
      <c r="F106" s="83"/>
    </row>
    <row r="107" spans="1:6">
      <c r="A107" s="10" t="str">
        <f t="shared" si="3"/>
        <v/>
      </c>
      <c r="B107" s="53"/>
      <c r="C107" s="28" t="str">
        <f t="shared" si="4"/>
        <v/>
      </c>
      <c r="D107" s="28" t="str">
        <f t="shared" si="5"/>
        <v/>
      </c>
      <c r="E107" s="88"/>
      <c r="F107" s="83"/>
    </row>
    <row r="108" spans="1:6">
      <c r="A108" s="10" t="str">
        <f t="shared" si="3"/>
        <v/>
      </c>
      <c r="B108" s="53"/>
      <c r="C108" s="28" t="str">
        <f t="shared" si="4"/>
        <v/>
      </c>
      <c r="D108" s="28" t="str">
        <f t="shared" si="5"/>
        <v/>
      </c>
      <c r="E108" s="88"/>
      <c r="F108" s="83"/>
    </row>
    <row r="109" spans="1:6">
      <c r="A109" s="10" t="str">
        <f t="shared" si="3"/>
        <v/>
      </c>
      <c r="B109" s="53"/>
      <c r="C109" s="28" t="str">
        <f t="shared" si="4"/>
        <v/>
      </c>
      <c r="D109" s="28" t="str">
        <f t="shared" si="5"/>
        <v/>
      </c>
      <c r="E109" s="88"/>
      <c r="F109" s="83"/>
    </row>
    <row r="110" spans="1:6">
      <c r="A110" s="10" t="str">
        <f t="shared" si="3"/>
        <v/>
      </c>
      <c r="B110" s="53"/>
      <c r="C110" s="28" t="str">
        <f t="shared" si="4"/>
        <v/>
      </c>
      <c r="D110" s="28" t="str">
        <f t="shared" si="5"/>
        <v/>
      </c>
      <c r="E110" s="88"/>
      <c r="F110" s="83"/>
    </row>
    <row r="111" spans="1:6">
      <c r="A111" s="10" t="str">
        <f t="shared" si="3"/>
        <v/>
      </c>
      <c r="B111" s="53"/>
      <c r="C111" s="28" t="str">
        <f t="shared" si="4"/>
        <v/>
      </c>
      <c r="D111" s="28" t="str">
        <f t="shared" si="5"/>
        <v/>
      </c>
      <c r="E111" s="88"/>
      <c r="F111" s="83"/>
    </row>
    <row r="112" spans="1:6">
      <c r="A112" s="10" t="str">
        <f t="shared" si="3"/>
        <v/>
      </c>
      <c r="B112" s="53"/>
      <c r="C112" s="28" t="str">
        <f t="shared" si="4"/>
        <v/>
      </c>
      <c r="D112" s="28" t="str">
        <f t="shared" si="5"/>
        <v/>
      </c>
      <c r="E112" s="88"/>
      <c r="F112" s="83"/>
    </row>
    <row r="113" spans="1:6">
      <c r="A113" s="10" t="str">
        <f t="shared" si="3"/>
        <v/>
      </c>
      <c r="B113" s="53"/>
      <c r="C113" s="28" t="str">
        <f t="shared" si="4"/>
        <v/>
      </c>
      <c r="D113" s="28" t="str">
        <f t="shared" si="5"/>
        <v/>
      </c>
      <c r="E113" s="88"/>
      <c r="F113" s="83"/>
    </row>
    <row r="114" spans="1:6">
      <c r="A114" s="10" t="str">
        <f t="shared" si="3"/>
        <v/>
      </c>
      <c r="B114" s="53"/>
      <c r="C114" s="28" t="str">
        <f t="shared" si="4"/>
        <v/>
      </c>
      <c r="D114" s="28" t="str">
        <f t="shared" si="5"/>
        <v/>
      </c>
      <c r="E114" s="88"/>
      <c r="F114" s="83"/>
    </row>
    <row r="115" spans="1:6">
      <c r="A115" s="10" t="str">
        <f t="shared" si="3"/>
        <v/>
      </c>
      <c r="B115" s="53"/>
      <c r="C115" s="28" t="str">
        <f t="shared" si="4"/>
        <v/>
      </c>
      <c r="D115" s="28" t="str">
        <f t="shared" si="5"/>
        <v/>
      </c>
      <c r="E115" s="88"/>
      <c r="F115" s="83"/>
    </row>
    <row r="116" spans="1:6">
      <c r="A116" s="10" t="str">
        <f t="shared" si="3"/>
        <v/>
      </c>
      <c r="B116" s="53"/>
      <c r="C116" s="28" t="str">
        <f t="shared" si="4"/>
        <v/>
      </c>
      <c r="D116" s="28" t="str">
        <f t="shared" si="5"/>
        <v/>
      </c>
      <c r="E116" s="88"/>
      <c r="F116" s="83"/>
    </row>
    <row r="117" spans="1:6">
      <c r="A117" s="10" t="str">
        <f t="shared" si="3"/>
        <v/>
      </c>
      <c r="B117" s="53"/>
      <c r="C117" s="28" t="str">
        <f t="shared" si="4"/>
        <v/>
      </c>
      <c r="D117" s="28" t="str">
        <f t="shared" si="5"/>
        <v/>
      </c>
      <c r="E117" s="88"/>
      <c r="F117" s="83"/>
    </row>
    <row r="118" spans="1:6">
      <c r="A118" s="10" t="str">
        <f t="shared" si="3"/>
        <v/>
      </c>
      <c r="B118" s="53"/>
      <c r="C118" s="28" t="str">
        <f t="shared" si="4"/>
        <v/>
      </c>
      <c r="D118" s="28" t="str">
        <f t="shared" si="5"/>
        <v/>
      </c>
      <c r="E118" s="88"/>
      <c r="F118" s="83"/>
    </row>
    <row r="119" spans="1:6">
      <c r="A119" s="10" t="str">
        <f t="shared" si="3"/>
        <v/>
      </c>
      <c r="B119" s="53"/>
      <c r="C119" s="28" t="str">
        <f t="shared" si="4"/>
        <v/>
      </c>
      <c r="D119" s="28" t="str">
        <f t="shared" si="5"/>
        <v/>
      </c>
      <c r="E119" s="88"/>
      <c r="F119" s="83"/>
    </row>
    <row r="120" spans="1:6">
      <c r="A120" s="10" t="str">
        <f t="shared" si="3"/>
        <v/>
      </c>
      <c r="B120" s="53"/>
      <c r="C120" s="28" t="str">
        <f t="shared" si="4"/>
        <v/>
      </c>
      <c r="D120" s="28" t="str">
        <f t="shared" si="5"/>
        <v/>
      </c>
      <c r="E120" s="88"/>
      <c r="F120" s="83"/>
    </row>
    <row r="121" spans="1:6">
      <c r="A121" s="10" t="str">
        <f t="shared" si="3"/>
        <v/>
      </c>
      <c r="B121" s="53"/>
      <c r="C121" s="28" t="str">
        <f t="shared" si="4"/>
        <v/>
      </c>
      <c r="D121" s="28" t="str">
        <f t="shared" si="5"/>
        <v/>
      </c>
      <c r="E121" s="88"/>
      <c r="F121" s="83"/>
    </row>
    <row r="122" spans="1:6">
      <c r="A122" s="10" t="str">
        <f t="shared" si="3"/>
        <v/>
      </c>
      <c r="B122" s="53"/>
      <c r="C122" s="28" t="str">
        <f t="shared" si="4"/>
        <v/>
      </c>
      <c r="D122" s="28" t="str">
        <f t="shared" si="5"/>
        <v/>
      </c>
      <c r="E122" s="88"/>
      <c r="F122" s="83"/>
    </row>
    <row r="123" spans="1:6">
      <c r="A123" s="10" t="str">
        <f t="shared" si="3"/>
        <v/>
      </c>
      <c r="B123" s="53"/>
      <c r="C123" s="28" t="str">
        <f t="shared" si="4"/>
        <v/>
      </c>
      <c r="D123" s="28" t="str">
        <f t="shared" si="5"/>
        <v/>
      </c>
      <c r="E123" s="88"/>
      <c r="F123" s="83"/>
    </row>
    <row r="124" spans="1:6">
      <c r="A124" s="10" t="str">
        <f t="shared" si="3"/>
        <v/>
      </c>
      <c r="B124" s="53"/>
      <c r="C124" s="28" t="str">
        <f t="shared" si="4"/>
        <v/>
      </c>
      <c r="D124" s="28" t="str">
        <f t="shared" si="5"/>
        <v/>
      </c>
      <c r="E124" s="88"/>
      <c r="F124" s="83"/>
    </row>
    <row r="125" spans="1:6">
      <c r="A125" s="10" t="str">
        <f t="shared" si="3"/>
        <v/>
      </c>
      <c r="B125" s="53"/>
      <c r="C125" s="28" t="str">
        <f t="shared" si="4"/>
        <v/>
      </c>
      <c r="D125" s="28" t="str">
        <f t="shared" si="5"/>
        <v/>
      </c>
      <c r="E125" s="88"/>
      <c r="F125" s="83"/>
    </row>
    <row r="126" spans="1:6">
      <c r="A126" s="10" t="str">
        <f t="shared" si="3"/>
        <v/>
      </c>
      <c r="B126" s="53"/>
      <c r="C126" s="28" t="str">
        <f t="shared" si="4"/>
        <v/>
      </c>
      <c r="D126" s="28" t="str">
        <f t="shared" si="5"/>
        <v/>
      </c>
      <c r="E126" s="88"/>
      <c r="F126" s="83"/>
    </row>
    <row r="127" spans="1:6">
      <c r="A127" s="10" t="str">
        <f t="shared" si="3"/>
        <v/>
      </c>
      <c r="B127" s="53"/>
      <c r="C127" s="28" t="str">
        <f t="shared" si="4"/>
        <v/>
      </c>
      <c r="D127" s="28" t="str">
        <f t="shared" si="5"/>
        <v/>
      </c>
      <c r="E127" s="88"/>
      <c r="F127" s="83"/>
    </row>
    <row r="128" spans="1:6">
      <c r="A128" s="10" t="str">
        <f t="shared" si="3"/>
        <v/>
      </c>
      <c r="B128" s="53"/>
      <c r="C128" s="28" t="str">
        <f t="shared" si="4"/>
        <v/>
      </c>
      <c r="D128" s="28" t="str">
        <f t="shared" si="5"/>
        <v/>
      </c>
      <c r="E128" s="88"/>
      <c r="F128" s="83"/>
    </row>
    <row r="129" spans="1:6">
      <c r="A129" s="10" t="str">
        <f t="shared" si="3"/>
        <v/>
      </c>
      <c r="B129" s="53"/>
      <c r="C129" s="28" t="str">
        <f t="shared" si="4"/>
        <v/>
      </c>
      <c r="D129" s="28" t="str">
        <f t="shared" si="5"/>
        <v/>
      </c>
      <c r="E129" s="88"/>
      <c r="F129" s="83"/>
    </row>
    <row r="130" spans="1:6">
      <c r="A130" s="10" t="str">
        <f t="shared" si="3"/>
        <v/>
      </c>
      <c r="B130" s="53"/>
      <c r="C130" s="28" t="str">
        <f t="shared" si="4"/>
        <v/>
      </c>
      <c r="D130" s="28" t="str">
        <f t="shared" si="5"/>
        <v/>
      </c>
      <c r="E130" s="88"/>
      <c r="F130" s="83"/>
    </row>
    <row r="131" spans="1:6">
      <c r="A131" s="10" t="str">
        <f t="shared" ref="A131:A194" si="6">IF(E131&gt;0,A130+1,"")</f>
        <v/>
      </c>
      <c r="B131" s="53"/>
      <c r="C131" s="28" t="str">
        <f t="shared" ref="C131:C194" si="7">IF(B131=0,"",TEXT(B131,"mmmm"))</f>
        <v/>
      </c>
      <c r="D131" s="28" t="str">
        <f t="shared" ref="D131:D194" si="8">IF(B131=0,"",TEXT(B131,"yyyy"))</f>
        <v/>
      </c>
      <c r="E131" s="88"/>
      <c r="F131" s="83"/>
    </row>
    <row r="132" spans="1:6">
      <c r="A132" s="10" t="str">
        <f t="shared" si="6"/>
        <v/>
      </c>
      <c r="B132" s="53"/>
      <c r="C132" s="28" t="str">
        <f t="shared" si="7"/>
        <v/>
      </c>
      <c r="D132" s="28" t="str">
        <f t="shared" si="8"/>
        <v/>
      </c>
      <c r="E132" s="88"/>
      <c r="F132" s="83"/>
    </row>
    <row r="133" spans="1:6">
      <c r="A133" s="10" t="str">
        <f t="shared" si="6"/>
        <v/>
      </c>
      <c r="B133" s="53"/>
      <c r="C133" s="28" t="str">
        <f t="shared" si="7"/>
        <v/>
      </c>
      <c r="D133" s="28" t="str">
        <f t="shared" si="8"/>
        <v/>
      </c>
      <c r="E133" s="88"/>
      <c r="F133" s="83"/>
    </row>
    <row r="134" spans="1:6">
      <c r="A134" s="10" t="str">
        <f t="shared" si="6"/>
        <v/>
      </c>
      <c r="B134" s="53"/>
      <c r="C134" s="28" t="str">
        <f t="shared" si="7"/>
        <v/>
      </c>
      <c r="D134" s="28" t="str">
        <f t="shared" si="8"/>
        <v/>
      </c>
      <c r="E134" s="88"/>
      <c r="F134" s="83"/>
    </row>
    <row r="135" spans="1:6">
      <c r="A135" s="10" t="str">
        <f t="shared" si="6"/>
        <v/>
      </c>
      <c r="B135" s="53"/>
      <c r="C135" s="28" t="str">
        <f t="shared" si="7"/>
        <v/>
      </c>
      <c r="D135" s="28" t="str">
        <f t="shared" si="8"/>
        <v/>
      </c>
      <c r="E135" s="88"/>
      <c r="F135" s="83"/>
    </row>
    <row r="136" spans="1:6">
      <c r="A136" s="10" t="str">
        <f t="shared" si="6"/>
        <v/>
      </c>
      <c r="B136" s="53"/>
      <c r="C136" s="28" t="str">
        <f t="shared" si="7"/>
        <v/>
      </c>
      <c r="D136" s="28" t="str">
        <f t="shared" si="8"/>
        <v/>
      </c>
      <c r="E136" s="88"/>
      <c r="F136" s="83"/>
    </row>
    <row r="137" spans="1:6">
      <c r="A137" s="10" t="str">
        <f t="shared" si="6"/>
        <v/>
      </c>
      <c r="B137" s="53"/>
      <c r="C137" s="28" t="str">
        <f t="shared" si="7"/>
        <v/>
      </c>
      <c r="D137" s="28" t="str">
        <f t="shared" si="8"/>
        <v/>
      </c>
      <c r="E137" s="88"/>
      <c r="F137" s="83"/>
    </row>
    <row r="138" spans="1:6">
      <c r="A138" s="10" t="str">
        <f t="shared" si="6"/>
        <v/>
      </c>
      <c r="B138" s="53"/>
      <c r="C138" s="28" t="str">
        <f t="shared" si="7"/>
        <v/>
      </c>
      <c r="D138" s="28" t="str">
        <f t="shared" si="8"/>
        <v/>
      </c>
      <c r="E138" s="88"/>
      <c r="F138" s="83"/>
    </row>
    <row r="139" spans="1:6">
      <c r="A139" s="10" t="str">
        <f t="shared" si="6"/>
        <v/>
      </c>
      <c r="B139" s="53"/>
      <c r="C139" s="28" t="str">
        <f t="shared" si="7"/>
        <v/>
      </c>
      <c r="D139" s="28" t="str">
        <f t="shared" si="8"/>
        <v/>
      </c>
      <c r="E139" s="88"/>
      <c r="F139" s="83"/>
    </row>
    <row r="140" spans="1:6">
      <c r="A140" s="10" t="str">
        <f t="shared" si="6"/>
        <v/>
      </c>
      <c r="B140" s="53"/>
      <c r="C140" s="28" t="str">
        <f t="shared" si="7"/>
        <v/>
      </c>
      <c r="D140" s="28" t="str">
        <f t="shared" si="8"/>
        <v/>
      </c>
      <c r="E140" s="88"/>
      <c r="F140" s="83"/>
    </row>
    <row r="141" spans="1:6">
      <c r="A141" s="10" t="str">
        <f t="shared" si="6"/>
        <v/>
      </c>
      <c r="B141" s="53"/>
      <c r="C141" s="28" t="str">
        <f t="shared" si="7"/>
        <v/>
      </c>
      <c r="D141" s="28" t="str">
        <f t="shared" si="8"/>
        <v/>
      </c>
      <c r="E141" s="88"/>
      <c r="F141" s="83"/>
    </row>
    <row r="142" spans="1:6">
      <c r="A142" s="10" t="str">
        <f t="shared" si="6"/>
        <v/>
      </c>
      <c r="B142" s="53"/>
      <c r="C142" s="28" t="str">
        <f t="shared" si="7"/>
        <v/>
      </c>
      <c r="D142" s="28" t="str">
        <f t="shared" si="8"/>
        <v/>
      </c>
      <c r="E142" s="88"/>
      <c r="F142" s="83"/>
    </row>
    <row r="143" spans="1:6">
      <c r="A143" s="10" t="str">
        <f t="shared" si="6"/>
        <v/>
      </c>
      <c r="B143" s="53"/>
      <c r="C143" s="28" t="str">
        <f t="shared" si="7"/>
        <v/>
      </c>
      <c r="D143" s="28" t="str">
        <f t="shared" si="8"/>
        <v/>
      </c>
      <c r="E143" s="88"/>
      <c r="F143" s="83"/>
    </row>
    <row r="144" spans="1:6">
      <c r="A144" s="10" t="str">
        <f t="shared" si="6"/>
        <v/>
      </c>
      <c r="B144" s="53"/>
      <c r="C144" s="28" t="str">
        <f t="shared" si="7"/>
        <v/>
      </c>
      <c r="D144" s="28" t="str">
        <f t="shared" si="8"/>
        <v/>
      </c>
      <c r="E144" s="88"/>
      <c r="F144" s="83"/>
    </row>
    <row r="145" spans="1:6">
      <c r="A145" s="10" t="str">
        <f t="shared" si="6"/>
        <v/>
      </c>
      <c r="B145" s="53"/>
      <c r="C145" s="28" t="str">
        <f t="shared" si="7"/>
        <v/>
      </c>
      <c r="D145" s="28" t="str">
        <f t="shared" si="8"/>
        <v/>
      </c>
      <c r="E145" s="88"/>
      <c r="F145" s="83"/>
    </row>
    <row r="146" spans="1:6">
      <c r="A146" s="10" t="str">
        <f t="shared" si="6"/>
        <v/>
      </c>
      <c r="B146" s="53"/>
      <c r="C146" s="28" t="str">
        <f t="shared" si="7"/>
        <v/>
      </c>
      <c r="D146" s="28" t="str">
        <f t="shared" si="8"/>
        <v/>
      </c>
      <c r="E146" s="88"/>
      <c r="F146" s="83"/>
    </row>
    <row r="147" spans="1:6">
      <c r="A147" s="10" t="str">
        <f t="shared" si="6"/>
        <v/>
      </c>
      <c r="B147" s="53"/>
      <c r="C147" s="28" t="str">
        <f t="shared" si="7"/>
        <v/>
      </c>
      <c r="D147" s="28" t="str">
        <f t="shared" si="8"/>
        <v/>
      </c>
      <c r="E147" s="88"/>
      <c r="F147" s="83"/>
    </row>
    <row r="148" spans="1:6">
      <c r="A148" s="10" t="str">
        <f t="shared" si="6"/>
        <v/>
      </c>
      <c r="B148" s="53"/>
      <c r="C148" s="28" t="str">
        <f t="shared" si="7"/>
        <v/>
      </c>
      <c r="D148" s="28" t="str">
        <f t="shared" si="8"/>
        <v/>
      </c>
      <c r="E148" s="88"/>
      <c r="F148" s="83"/>
    </row>
    <row r="149" spans="1:6">
      <c r="A149" s="10" t="str">
        <f t="shared" si="6"/>
        <v/>
      </c>
      <c r="B149" s="53"/>
      <c r="C149" s="28" t="str">
        <f t="shared" si="7"/>
        <v/>
      </c>
      <c r="D149" s="28" t="str">
        <f t="shared" si="8"/>
        <v/>
      </c>
      <c r="E149" s="88"/>
      <c r="F149" s="83"/>
    </row>
    <row r="150" spans="1:6">
      <c r="A150" s="10" t="str">
        <f t="shared" si="6"/>
        <v/>
      </c>
      <c r="B150" s="53"/>
      <c r="C150" s="28" t="str">
        <f t="shared" si="7"/>
        <v/>
      </c>
      <c r="D150" s="28" t="str">
        <f t="shared" si="8"/>
        <v/>
      </c>
      <c r="E150" s="88"/>
      <c r="F150" s="83"/>
    </row>
    <row r="151" spans="1:6">
      <c r="A151" s="10" t="str">
        <f t="shared" si="6"/>
        <v/>
      </c>
      <c r="B151" s="53"/>
      <c r="C151" s="28" t="str">
        <f t="shared" si="7"/>
        <v/>
      </c>
      <c r="D151" s="28" t="str">
        <f t="shared" si="8"/>
        <v/>
      </c>
      <c r="E151" s="88"/>
      <c r="F151" s="83"/>
    </row>
    <row r="152" spans="1:6">
      <c r="A152" s="10" t="str">
        <f t="shared" si="6"/>
        <v/>
      </c>
      <c r="B152" s="53"/>
      <c r="C152" s="28" t="str">
        <f t="shared" si="7"/>
        <v/>
      </c>
      <c r="D152" s="28" t="str">
        <f t="shared" si="8"/>
        <v/>
      </c>
      <c r="E152" s="88"/>
      <c r="F152" s="83"/>
    </row>
    <row r="153" spans="1:6">
      <c r="A153" s="10" t="str">
        <f t="shared" si="6"/>
        <v/>
      </c>
      <c r="B153" s="53"/>
      <c r="C153" s="28" t="str">
        <f t="shared" si="7"/>
        <v/>
      </c>
      <c r="D153" s="28" t="str">
        <f t="shared" si="8"/>
        <v/>
      </c>
      <c r="E153" s="88"/>
      <c r="F153" s="83"/>
    </row>
    <row r="154" spans="1:6">
      <c r="A154" s="10" t="str">
        <f t="shared" si="6"/>
        <v/>
      </c>
      <c r="B154" s="53"/>
      <c r="C154" s="28" t="str">
        <f t="shared" si="7"/>
        <v/>
      </c>
      <c r="D154" s="28" t="str">
        <f t="shared" si="8"/>
        <v/>
      </c>
      <c r="E154" s="88"/>
      <c r="F154" s="83"/>
    </row>
    <row r="155" spans="1:6">
      <c r="A155" s="10" t="str">
        <f t="shared" si="6"/>
        <v/>
      </c>
      <c r="B155" s="53"/>
      <c r="C155" s="28" t="str">
        <f t="shared" si="7"/>
        <v/>
      </c>
      <c r="D155" s="28" t="str">
        <f t="shared" si="8"/>
        <v/>
      </c>
      <c r="E155" s="88"/>
      <c r="F155" s="83"/>
    </row>
    <row r="156" spans="1:6">
      <c r="A156" s="10" t="str">
        <f t="shared" si="6"/>
        <v/>
      </c>
      <c r="B156" s="53"/>
      <c r="C156" s="28" t="str">
        <f t="shared" si="7"/>
        <v/>
      </c>
      <c r="D156" s="28" t="str">
        <f t="shared" si="8"/>
        <v/>
      </c>
      <c r="E156" s="88"/>
      <c r="F156" s="83"/>
    </row>
    <row r="157" spans="1:6">
      <c r="A157" s="10" t="str">
        <f t="shared" si="6"/>
        <v/>
      </c>
      <c r="B157" s="53"/>
      <c r="C157" s="28" t="str">
        <f t="shared" si="7"/>
        <v/>
      </c>
      <c r="D157" s="28" t="str">
        <f t="shared" si="8"/>
        <v/>
      </c>
      <c r="E157" s="88"/>
      <c r="F157" s="83"/>
    </row>
    <row r="158" spans="1:6">
      <c r="A158" s="10" t="str">
        <f t="shared" si="6"/>
        <v/>
      </c>
      <c r="B158" s="53"/>
      <c r="C158" s="28" t="str">
        <f t="shared" si="7"/>
        <v/>
      </c>
      <c r="D158" s="28" t="str">
        <f t="shared" si="8"/>
        <v/>
      </c>
      <c r="E158" s="88"/>
      <c r="F158" s="83"/>
    </row>
    <row r="159" spans="1:6">
      <c r="A159" s="10" t="str">
        <f t="shared" si="6"/>
        <v/>
      </c>
      <c r="B159" s="53"/>
      <c r="C159" s="28" t="str">
        <f t="shared" si="7"/>
        <v/>
      </c>
      <c r="D159" s="28" t="str">
        <f t="shared" si="8"/>
        <v/>
      </c>
      <c r="E159" s="88"/>
      <c r="F159" s="83"/>
    </row>
    <row r="160" spans="1:6">
      <c r="A160" s="10" t="str">
        <f t="shared" si="6"/>
        <v/>
      </c>
      <c r="B160" s="53"/>
      <c r="C160" s="28" t="str">
        <f t="shared" si="7"/>
        <v/>
      </c>
      <c r="D160" s="28" t="str">
        <f t="shared" si="8"/>
        <v/>
      </c>
      <c r="E160" s="88"/>
      <c r="F160" s="83"/>
    </row>
    <row r="161" spans="1:6">
      <c r="A161" s="10" t="str">
        <f t="shared" si="6"/>
        <v/>
      </c>
      <c r="B161" s="53"/>
      <c r="C161" s="28" t="str">
        <f t="shared" si="7"/>
        <v/>
      </c>
      <c r="D161" s="28" t="str">
        <f t="shared" si="8"/>
        <v/>
      </c>
      <c r="E161" s="88"/>
      <c r="F161" s="83"/>
    </row>
    <row r="162" spans="1:6">
      <c r="A162" s="10" t="str">
        <f t="shared" si="6"/>
        <v/>
      </c>
      <c r="B162" s="53"/>
      <c r="C162" s="28" t="str">
        <f t="shared" si="7"/>
        <v/>
      </c>
      <c r="D162" s="28" t="str">
        <f t="shared" si="8"/>
        <v/>
      </c>
      <c r="E162" s="88"/>
      <c r="F162" s="83"/>
    </row>
    <row r="163" spans="1:6">
      <c r="A163" s="10" t="str">
        <f t="shared" si="6"/>
        <v/>
      </c>
      <c r="B163" s="53"/>
      <c r="C163" s="28" t="str">
        <f t="shared" si="7"/>
        <v/>
      </c>
      <c r="D163" s="28" t="str">
        <f t="shared" si="8"/>
        <v/>
      </c>
      <c r="E163" s="88"/>
      <c r="F163" s="83"/>
    </row>
    <row r="164" spans="1:6">
      <c r="A164" s="10" t="str">
        <f t="shared" si="6"/>
        <v/>
      </c>
      <c r="B164" s="53"/>
      <c r="C164" s="28" t="str">
        <f t="shared" si="7"/>
        <v/>
      </c>
      <c r="D164" s="28" t="str">
        <f t="shared" si="8"/>
        <v/>
      </c>
      <c r="E164" s="88"/>
      <c r="F164" s="83"/>
    </row>
    <row r="165" spans="1:6">
      <c r="A165" s="10" t="str">
        <f t="shared" si="6"/>
        <v/>
      </c>
      <c r="B165" s="53"/>
      <c r="C165" s="28" t="str">
        <f t="shared" si="7"/>
        <v/>
      </c>
      <c r="D165" s="28" t="str">
        <f t="shared" si="8"/>
        <v/>
      </c>
      <c r="E165" s="88"/>
      <c r="F165" s="83"/>
    </row>
    <row r="166" spans="1:6">
      <c r="A166" s="10" t="str">
        <f t="shared" si="6"/>
        <v/>
      </c>
      <c r="B166" s="53"/>
      <c r="C166" s="28" t="str">
        <f t="shared" si="7"/>
        <v/>
      </c>
      <c r="D166" s="28" t="str">
        <f t="shared" si="8"/>
        <v/>
      </c>
      <c r="E166" s="88"/>
      <c r="F166" s="83"/>
    </row>
    <row r="167" spans="1:6">
      <c r="A167" s="10" t="str">
        <f t="shared" si="6"/>
        <v/>
      </c>
      <c r="B167" s="53"/>
      <c r="C167" s="28" t="str">
        <f t="shared" si="7"/>
        <v/>
      </c>
      <c r="D167" s="28" t="str">
        <f t="shared" si="8"/>
        <v/>
      </c>
      <c r="E167" s="88"/>
      <c r="F167" s="83"/>
    </row>
    <row r="168" spans="1:6">
      <c r="A168" s="10" t="str">
        <f t="shared" si="6"/>
        <v/>
      </c>
      <c r="B168" s="53"/>
      <c r="C168" s="28" t="str">
        <f t="shared" si="7"/>
        <v/>
      </c>
      <c r="D168" s="28" t="str">
        <f t="shared" si="8"/>
        <v/>
      </c>
      <c r="E168" s="88"/>
      <c r="F168" s="83"/>
    </row>
    <row r="169" spans="1:6">
      <c r="A169" s="10" t="str">
        <f t="shared" si="6"/>
        <v/>
      </c>
      <c r="B169" s="53"/>
      <c r="C169" s="28" t="str">
        <f t="shared" si="7"/>
        <v/>
      </c>
      <c r="D169" s="28" t="str">
        <f t="shared" si="8"/>
        <v/>
      </c>
      <c r="E169" s="88"/>
      <c r="F169" s="83"/>
    </row>
    <row r="170" spans="1:6">
      <c r="A170" s="10" t="str">
        <f t="shared" si="6"/>
        <v/>
      </c>
      <c r="B170" s="53"/>
      <c r="C170" s="28" t="str">
        <f t="shared" si="7"/>
        <v/>
      </c>
      <c r="D170" s="28" t="str">
        <f t="shared" si="8"/>
        <v/>
      </c>
      <c r="E170" s="88"/>
      <c r="F170" s="83"/>
    </row>
    <row r="171" spans="1:6">
      <c r="A171" s="10" t="str">
        <f t="shared" si="6"/>
        <v/>
      </c>
      <c r="B171" s="53"/>
      <c r="C171" s="28" t="str">
        <f t="shared" si="7"/>
        <v/>
      </c>
      <c r="D171" s="28" t="str">
        <f t="shared" si="8"/>
        <v/>
      </c>
      <c r="E171" s="88"/>
      <c r="F171" s="83"/>
    </row>
    <row r="172" spans="1:6">
      <c r="A172" s="10" t="str">
        <f t="shared" si="6"/>
        <v/>
      </c>
      <c r="B172" s="53"/>
      <c r="C172" s="28" t="str">
        <f t="shared" si="7"/>
        <v/>
      </c>
      <c r="D172" s="28" t="str">
        <f t="shared" si="8"/>
        <v/>
      </c>
      <c r="E172" s="88"/>
      <c r="F172" s="83"/>
    </row>
    <row r="173" spans="1:6">
      <c r="A173" s="10" t="str">
        <f t="shared" si="6"/>
        <v/>
      </c>
      <c r="B173" s="53"/>
      <c r="C173" s="28" t="str">
        <f t="shared" si="7"/>
        <v/>
      </c>
      <c r="D173" s="28" t="str">
        <f t="shared" si="8"/>
        <v/>
      </c>
      <c r="E173" s="88"/>
      <c r="F173" s="83"/>
    </row>
    <row r="174" spans="1:6">
      <c r="A174" s="10" t="str">
        <f t="shared" si="6"/>
        <v/>
      </c>
      <c r="B174" s="53"/>
      <c r="C174" s="28" t="str">
        <f t="shared" si="7"/>
        <v/>
      </c>
      <c r="D174" s="28" t="str">
        <f t="shared" si="8"/>
        <v/>
      </c>
      <c r="E174" s="88"/>
      <c r="F174" s="83"/>
    </row>
    <row r="175" spans="1:6">
      <c r="A175" s="10" t="str">
        <f t="shared" si="6"/>
        <v/>
      </c>
      <c r="B175" s="53"/>
      <c r="C175" s="28" t="str">
        <f t="shared" si="7"/>
        <v/>
      </c>
      <c r="D175" s="28" t="str">
        <f t="shared" si="8"/>
        <v/>
      </c>
      <c r="E175" s="88"/>
      <c r="F175" s="83"/>
    </row>
    <row r="176" spans="1:6">
      <c r="A176" s="10" t="str">
        <f t="shared" si="6"/>
        <v/>
      </c>
      <c r="B176" s="53"/>
      <c r="C176" s="28" t="str">
        <f t="shared" si="7"/>
        <v/>
      </c>
      <c r="D176" s="28" t="str">
        <f t="shared" si="8"/>
        <v/>
      </c>
      <c r="E176" s="88"/>
      <c r="F176" s="83"/>
    </row>
    <row r="177" spans="1:6">
      <c r="A177" s="10" t="str">
        <f t="shared" si="6"/>
        <v/>
      </c>
      <c r="B177" s="53"/>
      <c r="C177" s="28" t="str">
        <f t="shared" si="7"/>
        <v/>
      </c>
      <c r="D177" s="28" t="str">
        <f t="shared" si="8"/>
        <v/>
      </c>
      <c r="E177" s="88"/>
      <c r="F177" s="83"/>
    </row>
    <row r="178" spans="1:6">
      <c r="A178" s="10" t="str">
        <f t="shared" si="6"/>
        <v/>
      </c>
      <c r="B178" s="53"/>
      <c r="C178" s="28" t="str">
        <f t="shared" si="7"/>
        <v/>
      </c>
      <c r="D178" s="28" t="str">
        <f t="shared" si="8"/>
        <v/>
      </c>
      <c r="E178" s="88"/>
      <c r="F178" s="83"/>
    </row>
    <row r="179" spans="1:6">
      <c r="A179" s="10" t="str">
        <f t="shared" si="6"/>
        <v/>
      </c>
      <c r="B179" s="53"/>
      <c r="C179" s="28" t="str">
        <f t="shared" si="7"/>
        <v/>
      </c>
      <c r="D179" s="28" t="str">
        <f t="shared" si="8"/>
        <v/>
      </c>
      <c r="E179" s="88"/>
      <c r="F179" s="83"/>
    </row>
    <row r="180" spans="1:6">
      <c r="A180" s="10" t="str">
        <f t="shared" si="6"/>
        <v/>
      </c>
      <c r="B180" s="53"/>
      <c r="C180" s="28" t="str">
        <f t="shared" si="7"/>
        <v/>
      </c>
      <c r="D180" s="28" t="str">
        <f t="shared" si="8"/>
        <v/>
      </c>
      <c r="E180" s="88"/>
      <c r="F180" s="83"/>
    </row>
    <row r="181" spans="1:6">
      <c r="A181" s="10" t="str">
        <f t="shared" si="6"/>
        <v/>
      </c>
      <c r="B181" s="53"/>
      <c r="C181" s="28" t="str">
        <f t="shared" si="7"/>
        <v/>
      </c>
      <c r="D181" s="28" t="str">
        <f t="shared" si="8"/>
        <v/>
      </c>
      <c r="E181" s="88"/>
      <c r="F181" s="83"/>
    </row>
    <row r="182" spans="1:6">
      <c r="A182" s="10" t="str">
        <f t="shared" si="6"/>
        <v/>
      </c>
      <c r="B182" s="53"/>
      <c r="C182" s="28" t="str">
        <f t="shared" si="7"/>
        <v/>
      </c>
      <c r="D182" s="28" t="str">
        <f t="shared" si="8"/>
        <v/>
      </c>
      <c r="E182" s="88"/>
      <c r="F182" s="83"/>
    </row>
    <row r="183" spans="1:6">
      <c r="A183" s="10" t="str">
        <f t="shared" si="6"/>
        <v/>
      </c>
      <c r="B183" s="53"/>
      <c r="C183" s="28" t="str">
        <f t="shared" si="7"/>
        <v/>
      </c>
      <c r="D183" s="28" t="str">
        <f t="shared" si="8"/>
        <v/>
      </c>
      <c r="E183" s="88"/>
      <c r="F183" s="83"/>
    </row>
    <row r="184" spans="1:6">
      <c r="A184" s="10" t="str">
        <f t="shared" si="6"/>
        <v/>
      </c>
      <c r="B184" s="53"/>
      <c r="C184" s="28" t="str">
        <f t="shared" si="7"/>
        <v/>
      </c>
      <c r="D184" s="28" t="str">
        <f t="shared" si="8"/>
        <v/>
      </c>
      <c r="E184" s="88"/>
      <c r="F184" s="83"/>
    </row>
    <row r="185" spans="1:6">
      <c r="A185" s="10" t="str">
        <f t="shared" si="6"/>
        <v/>
      </c>
      <c r="B185" s="53"/>
      <c r="C185" s="28" t="str">
        <f t="shared" si="7"/>
        <v/>
      </c>
      <c r="D185" s="28" t="str">
        <f t="shared" si="8"/>
        <v/>
      </c>
      <c r="E185" s="88"/>
      <c r="F185" s="83"/>
    </row>
    <row r="186" spans="1:6">
      <c r="A186" s="10" t="str">
        <f t="shared" si="6"/>
        <v/>
      </c>
      <c r="B186" s="53"/>
      <c r="C186" s="28" t="str">
        <f t="shared" si="7"/>
        <v/>
      </c>
      <c r="D186" s="28" t="str">
        <f t="shared" si="8"/>
        <v/>
      </c>
      <c r="E186" s="88"/>
      <c r="F186" s="83"/>
    </row>
    <row r="187" spans="1:6">
      <c r="A187" s="10" t="str">
        <f t="shared" si="6"/>
        <v/>
      </c>
      <c r="B187" s="53"/>
      <c r="C187" s="28" t="str">
        <f t="shared" si="7"/>
        <v/>
      </c>
      <c r="D187" s="28" t="str">
        <f t="shared" si="8"/>
        <v/>
      </c>
      <c r="E187" s="88"/>
      <c r="F187" s="83"/>
    </row>
    <row r="188" spans="1:6">
      <c r="A188" s="10" t="str">
        <f t="shared" si="6"/>
        <v/>
      </c>
      <c r="B188" s="53"/>
      <c r="C188" s="28" t="str">
        <f t="shared" si="7"/>
        <v/>
      </c>
      <c r="D188" s="28" t="str">
        <f t="shared" si="8"/>
        <v/>
      </c>
      <c r="E188" s="88"/>
      <c r="F188" s="83"/>
    </row>
    <row r="189" spans="1:6">
      <c r="A189" s="10" t="str">
        <f t="shared" si="6"/>
        <v/>
      </c>
      <c r="B189" s="53"/>
      <c r="C189" s="28" t="str">
        <f t="shared" si="7"/>
        <v/>
      </c>
      <c r="D189" s="28" t="str">
        <f t="shared" si="8"/>
        <v/>
      </c>
      <c r="E189" s="88"/>
      <c r="F189" s="83"/>
    </row>
    <row r="190" spans="1:6">
      <c r="A190" s="10" t="str">
        <f t="shared" si="6"/>
        <v/>
      </c>
      <c r="B190" s="53"/>
      <c r="C190" s="28" t="str">
        <f t="shared" si="7"/>
        <v/>
      </c>
      <c r="D190" s="28" t="str">
        <f t="shared" si="8"/>
        <v/>
      </c>
      <c r="E190" s="88"/>
      <c r="F190" s="83"/>
    </row>
    <row r="191" spans="1:6">
      <c r="A191" s="10" t="str">
        <f t="shared" si="6"/>
        <v/>
      </c>
      <c r="B191" s="53"/>
      <c r="C191" s="28" t="str">
        <f t="shared" si="7"/>
        <v/>
      </c>
      <c r="D191" s="28" t="str">
        <f t="shared" si="8"/>
        <v/>
      </c>
      <c r="E191" s="88"/>
      <c r="F191" s="83"/>
    </row>
    <row r="192" spans="1:6">
      <c r="A192" s="10" t="str">
        <f t="shared" si="6"/>
        <v/>
      </c>
      <c r="B192" s="53"/>
      <c r="C192" s="28" t="str">
        <f t="shared" si="7"/>
        <v/>
      </c>
      <c r="D192" s="28" t="str">
        <f t="shared" si="8"/>
        <v/>
      </c>
      <c r="E192" s="88"/>
      <c r="F192" s="83"/>
    </row>
    <row r="193" spans="1:6">
      <c r="A193" s="10" t="str">
        <f t="shared" si="6"/>
        <v/>
      </c>
      <c r="B193" s="53"/>
      <c r="C193" s="28" t="str">
        <f t="shared" si="7"/>
        <v/>
      </c>
      <c r="D193" s="28" t="str">
        <f t="shared" si="8"/>
        <v/>
      </c>
      <c r="E193" s="88"/>
      <c r="F193" s="83"/>
    </row>
    <row r="194" spans="1:6">
      <c r="A194" s="10" t="str">
        <f t="shared" si="6"/>
        <v/>
      </c>
      <c r="B194" s="53"/>
      <c r="C194" s="28" t="str">
        <f t="shared" si="7"/>
        <v/>
      </c>
      <c r="D194" s="28" t="str">
        <f t="shared" si="8"/>
        <v/>
      </c>
      <c r="E194" s="88"/>
      <c r="F194" s="83"/>
    </row>
    <row r="195" spans="1:6">
      <c r="A195" s="10" t="str">
        <f t="shared" ref="A195:A258" si="9">IF(E195&gt;0,A194+1,"")</f>
        <v/>
      </c>
      <c r="B195" s="53"/>
      <c r="C195" s="28" t="str">
        <f t="shared" ref="C195:C258" si="10">IF(B195=0,"",TEXT(B195,"mmmm"))</f>
        <v/>
      </c>
      <c r="D195" s="28" t="str">
        <f t="shared" ref="D195:D258" si="11">IF(B195=0,"",TEXT(B195,"yyyy"))</f>
        <v/>
      </c>
      <c r="E195" s="88"/>
      <c r="F195" s="83"/>
    </row>
    <row r="196" spans="1:6">
      <c r="A196" s="10" t="str">
        <f t="shared" si="9"/>
        <v/>
      </c>
      <c r="B196" s="53"/>
      <c r="C196" s="28" t="str">
        <f t="shared" si="10"/>
        <v/>
      </c>
      <c r="D196" s="28" t="str">
        <f t="shared" si="11"/>
        <v/>
      </c>
      <c r="E196" s="88"/>
      <c r="F196" s="83"/>
    </row>
    <row r="197" spans="1:6">
      <c r="A197" s="10" t="str">
        <f t="shared" si="9"/>
        <v/>
      </c>
      <c r="B197" s="53"/>
      <c r="C197" s="28" t="str">
        <f t="shared" si="10"/>
        <v/>
      </c>
      <c r="D197" s="28" t="str">
        <f t="shared" si="11"/>
        <v/>
      </c>
      <c r="E197" s="88"/>
      <c r="F197" s="83"/>
    </row>
    <row r="198" spans="1:6">
      <c r="A198" s="10" t="str">
        <f t="shared" si="9"/>
        <v/>
      </c>
      <c r="B198" s="53"/>
      <c r="C198" s="28" t="str">
        <f t="shared" si="10"/>
        <v/>
      </c>
      <c r="D198" s="28" t="str">
        <f t="shared" si="11"/>
        <v/>
      </c>
      <c r="E198" s="88"/>
      <c r="F198" s="83"/>
    </row>
    <row r="199" spans="1:6">
      <c r="A199" s="10" t="str">
        <f t="shared" si="9"/>
        <v/>
      </c>
      <c r="B199" s="53"/>
      <c r="C199" s="28" t="str">
        <f t="shared" si="10"/>
        <v/>
      </c>
      <c r="D199" s="28" t="str">
        <f t="shared" si="11"/>
        <v/>
      </c>
      <c r="E199" s="88"/>
      <c r="F199" s="83"/>
    </row>
    <row r="200" spans="1:6">
      <c r="A200" s="10" t="str">
        <f t="shared" si="9"/>
        <v/>
      </c>
      <c r="B200" s="53"/>
      <c r="C200" s="28" t="str">
        <f t="shared" si="10"/>
        <v/>
      </c>
      <c r="D200" s="28" t="str">
        <f t="shared" si="11"/>
        <v/>
      </c>
      <c r="E200" s="88"/>
      <c r="F200" s="83"/>
    </row>
    <row r="201" spans="1:6">
      <c r="A201" s="10" t="str">
        <f t="shared" si="9"/>
        <v/>
      </c>
      <c r="B201" s="53"/>
      <c r="C201" s="28" t="str">
        <f t="shared" si="10"/>
        <v/>
      </c>
      <c r="D201" s="28" t="str">
        <f t="shared" si="11"/>
        <v/>
      </c>
      <c r="E201" s="88"/>
      <c r="F201" s="83"/>
    </row>
    <row r="202" spans="1:6">
      <c r="A202" s="10" t="str">
        <f t="shared" si="9"/>
        <v/>
      </c>
      <c r="B202" s="53"/>
      <c r="C202" s="28" t="str">
        <f t="shared" si="10"/>
        <v/>
      </c>
      <c r="D202" s="28" t="str">
        <f t="shared" si="11"/>
        <v/>
      </c>
      <c r="E202" s="88"/>
      <c r="F202" s="83"/>
    </row>
    <row r="203" spans="1:6">
      <c r="A203" s="10" t="str">
        <f t="shared" si="9"/>
        <v/>
      </c>
      <c r="B203" s="53"/>
      <c r="C203" s="28" t="str">
        <f t="shared" si="10"/>
        <v/>
      </c>
      <c r="D203" s="28" t="str">
        <f t="shared" si="11"/>
        <v/>
      </c>
      <c r="E203" s="88"/>
      <c r="F203" s="83"/>
    </row>
    <row r="204" spans="1:6">
      <c r="A204" s="10" t="str">
        <f t="shared" si="9"/>
        <v/>
      </c>
      <c r="B204" s="53"/>
      <c r="C204" s="28" t="str">
        <f t="shared" si="10"/>
        <v/>
      </c>
      <c r="D204" s="28" t="str">
        <f t="shared" si="11"/>
        <v/>
      </c>
      <c r="E204" s="88"/>
      <c r="F204" s="83"/>
    </row>
    <row r="205" spans="1:6">
      <c r="A205" s="10" t="str">
        <f t="shared" si="9"/>
        <v/>
      </c>
      <c r="B205" s="53"/>
      <c r="C205" s="28" t="str">
        <f t="shared" si="10"/>
        <v/>
      </c>
      <c r="D205" s="28" t="str">
        <f t="shared" si="11"/>
        <v/>
      </c>
      <c r="E205" s="88"/>
      <c r="F205" s="83"/>
    </row>
    <row r="206" spans="1:6">
      <c r="A206" s="10" t="str">
        <f t="shared" si="9"/>
        <v/>
      </c>
      <c r="B206" s="53"/>
      <c r="C206" s="28" t="str">
        <f t="shared" si="10"/>
        <v/>
      </c>
      <c r="D206" s="28" t="str">
        <f t="shared" si="11"/>
        <v/>
      </c>
      <c r="E206" s="88"/>
      <c r="F206" s="83"/>
    </row>
    <row r="207" spans="1:6">
      <c r="A207" s="10" t="str">
        <f t="shared" si="9"/>
        <v/>
      </c>
      <c r="B207" s="53"/>
      <c r="C207" s="28" t="str">
        <f t="shared" si="10"/>
        <v/>
      </c>
      <c r="D207" s="28" t="str">
        <f t="shared" si="11"/>
        <v/>
      </c>
      <c r="E207" s="88"/>
      <c r="F207" s="83"/>
    </row>
    <row r="208" spans="1:6">
      <c r="A208" s="10" t="str">
        <f t="shared" si="9"/>
        <v/>
      </c>
      <c r="B208" s="53"/>
      <c r="C208" s="28" t="str">
        <f t="shared" si="10"/>
        <v/>
      </c>
      <c r="D208" s="28" t="str">
        <f t="shared" si="11"/>
        <v/>
      </c>
      <c r="E208" s="88"/>
      <c r="F208" s="83"/>
    </row>
    <row r="209" spans="1:6">
      <c r="A209" s="10" t="str">
        <f t="shared" si="9"/>
        <v/>
      </c>
      <c r="B209" s="53"/>
      <c r="C209" s="28" t="str">
        <f t="shared" si="10"/>
        <v/>
      </c>
      <c r="D209" s="28" t="str">
        <f t="shared" si="11"/>
        <v/>
      </c>
      <c r="E209" s="88"/>
      <c r="F209" s="83"/>
    </row>
    <row r="210" spans="1:6">
      <c r="A210" s="10" t="str">
        <f t="shared" si="9"/>
        <v/>
      </c>
      <c r="B210" s="53"/>
      <c r="C210" s="28" t="str">
        <f t="shared" si="10"/>
        <v/>
      </c>
      <c r="D210" s="28" t="str">
        <f t="shared" si="11"/>
        <v/>
      </c>
      <c r="E210" s="88"/>
      <c r="F210" s="83"/>
    </row>
    <row r="211" spans="1:6">
      <c r="A211" s="10" t="str">
        <f t="shared" si="9"/>
        <v/>
      </c>
      <c r="B211" s="53"/>
      <c r="C211" s="28" t="str">
        <f t="shared" si="10"/>
        <v/>
      </c>
      <c r="D211" s="28" t="str">
        <f t="shared" si="11"/>
        <v/>
      </c>
      <c r="E211" s="88"/>
      <c r="F211" s="83"/>
    </row>
    <row r="212" spans="1:6">
      <c r="A212" s="10" t="str">
        <f t="shared" si="9"/>
        <v/>
      </c>
      <c r="B212" s="53"/>
      <c r="C212" s="28" t="str">
        <f t="shared" si="10"/>
        <v/>
      </c>
      <c r="D212" s="28" t="str">
        <f t="shared" si="11"/>
        <v/>
      </c>
      <c r="E212" s="88"/>
      <c r="F212" s="83"/>
    </row>
    <row r="213" spans="1:6">
      <c r="A213" s="10" t="str">
        <f t="shared" si="9"/>
        <v/>
      </c>
      <c r="B213" s="53"/>
      <c r="C213" s="28" t="str">
        <f t="shared" si="10"/>
        <v/>
      </c>
      <c r="D213" s="28" t="str">
        <f t="shared" si="11"/>
        <v/>
      </c>
      <c r="E213" s="88"/>
      <c r="F213" s="83"/>
    </row>
    <row r="214" spans="1:6">
      <c r="A214" s="10" t="str">
        <f t="shared" si="9"/>
        <v/>
      </c>
      <c r="B214" s="53"/>
      <c r="C214" s="28" t="str">
        <f t="shared" si="10"/>
        <v/>
      </c>
      <c r="D214" s="28" t="str">
        <f t="shared" si="11"/>
        <v/>
      </c>
      <c r="E214" s="88"/>
      <c r="F214" s="83"/>
    </row>
    <row r="215" spans="1:6">
      <c r="A215" s="10" t="str">
        <f t="shared" si="9"/>
        <v/>
      </c>
      <c r="B215" s="53"/>
      <c r="C215" s="28" t="str">
        <f t="shared" si="10"/>
        <v/>
      </c>
      <c r="D215" s="28" t="str">
        <f t="shared" si="11"/>
        <v/>
      </c>
      <c r="E215" s="88"/>
      <c r="F215" s="83"/>
    </row>
    <row r="216" spans="1:6">
      <c r="A216" s="10" t="str">
        <f t="shared" si="9"/>
        <v/>
      </c>
      <c r="B216" s="53"/>
      <c r="C216" s="28" t="str">
        <f t="shared" si="10"/>
        <v/>
      </c>
      <c r="D216" s="28" t="str">
        <f t="shared" si="11"/>
        <v/>
      </c>
      <c r="E216" s="88"/>
      <c r="F216" s="83"/>
    </row>
    <row r="217" spans="1:6">
      <c r="A217" s="10" t="str">
        <f t="shared" si="9"/>
        <v/>
      </c>
      <c r="B217" s="53"/>
      <c r="C217" s="28" t="str">
        <f t="shared" si="10"/>
        <v/>
      </c>
      <c r="D217" s="28" t="str">
        <f t="shared" si="11"/>
        <v/>
      </c>
      <c r="E217" s="88"/>
      <c r="F217" s="83"/>
    </row>
    <row r="218" spans="1:6">
      <c r="A218" s="10" t="str">
        <f t="shared" si="9"/>
        <v/>
      </c>
      <c r="B218" s="53"/>
      <c r="C218" s="28" t="str">
        <f t="shared" si="10"/>
        <v/>
      </c>
      <c r="D218" s="28" t="str">
        <f t="shared" si="11"/>
        <v/>
      </c>
      <c r="E218" s="88"/>
      <c r="F218" s="83"/>
    </row>
    <row r="219" spans="1:6">
      <c r="A219" s="10" t="str">
        <f t="shared" si="9"/>
        <v/>
      </c>
      <c r="B219" s="53"/>
      <c r="C219" s="28" t="str">
        <f t="shared" si="10"/>
        <v/>
      </c>
      <c r="D219" s="28" t="str">
        <f t="shared" si="11"/>
        <v/>
      </c>
      <c r="E219" s="88"/>
      <c r="F219" s="83"/>
    </row>
    <row r="220" spans="1:6">
      <c r="A220" s="10" t="str">
        <f t="shared" si="9"/>
        <v/>
      </c>
      <c r="B220" s="53"/>
      <c r="C220" s="28" t="str">
        <f t="shared" si="10"/>
        <v/>
      </c>
      <c r="D220" s="28" t="str">
        <f t="shared" si="11"/>
        <v/>
      </c>
      <c r="E220" s="88"/>
      <c r="F220" s="83"/>
    </row>
    <row r="221" spans="1:6">
      <c r="A221" s="10" t="str">
        <f t="shared" si="9"/>
        <v/>
      </c>
      <c r="B221" s="53"/>
      <c r="C221" s="28" t="str">
        <f t="shared" si="10"/>
        <v/>
      </c>
      <c r="D221" s="28" t="str">
        <f t="shared" si="11"/>
        <v/>
      </c>
      <c r="E221" s="88"/>
      <c r="F221" s="83"/>
    </row>
    <row r="222" spans="1:6">
      <c r="A222" s="10" t="str">
        <f t="shared" si="9"/>
        <v/>
      </c>
      <c r="B222" s="53"/>
      <c r="C222" s="28" t="str">
        <f t="shared" si="10"/>
        <v/>
      </c>
      <c r="D222" s="28" t="str">
        <f t="shared" si="11"/>
        <v/>
      </c>
      <c r="E222" s="88"/>
      <c r="F222" s="83"/>
    </row>
    <row r="223" spans="1:6">
      <c r="A223" s="10" t="str">
        <f t="shared" si="9"/>
        <v/>
      </c>
      <c r="B223" s="53"/>
      <c r="C223" s="28" t="str">
        <f t="shared" si="10"/>
        <v/>
      </c>
      <c r="D223" s="28" t="str">
        <f t="shared" si="11"/>
        <v/>
      </c>
      <c r="E223" s="88"/>
      <c r="F223" s="83"/>
    </row>
    <row r="224" spans="1:6">
      <c r="A224" s="10" t="str">
        <f t="shared" si="9"/>
        <v/>
      </c>
      <c r="B224" s="53"/>
      <c r="C224" s="28" t="str">
        <f t="shared" si="10"/>
        <v/>
      </c>
      <c r="D224" s="28" t="str">
        <f t="shared" si="11"/>
        <v/>
      </c>
      <c r="E224" s="88"/>
      <c r="F224" s="83"/>
    </row>
    <row r="225" spans="1:6">
      <c r="A225" s="10" t="str">
        <f t="shared" si="9"/>
        <v/>
      </c>
      <c r="B225" s="53"/>
      <c r="C225" s="28" t="str">
        <f t="shared" si="10"/>
        <v/>
      </c>
      <c r="D225" s="28" t="str">
        <f t="shared" si="11"/>
        <v/>
      </c>
      <c r="E225" s="88"/>
      <c r="F225" s="83"/>
    </row>
    <row r="226" spans="1:6">
      <c r="A226" s="10" t="str">
        <f t="shared" si="9"/>
        <v/>
      </c>
      <c r="B226" s="53"/>
      <c r="C226" s="28" t="str">
        <f t="shared" si="10"/>
        <v/>
      </c>
      <c r="D226" s="28" t="str">
        <f t="shared" si="11"/>
        <v/>
      </c>
      <c r="E226" s="88"/>
      <c r="F226" s="83"/>
    </row>
    <row r="227" spans="1:6">
      <c r="A227" s="10" t="str">
        <f t="shared" si="9"/>
        <v/>
      </c>
      <c r="B227" s="53"/>
      <c r="C227" s="28" t="str">
        <f t="shared" si="10"/>
        <v/>
      </c>
      <c r="D227" s="28" t="str">
        <f t="shared" si="11"/>
        <v/>
      </c>
      <c r="E227" s="88"/>
      <c r="F227" s="83"/>
    </row>
    <row r="228" spans="1:6">
      <c r="A228" s="10" t="str">
        <f t="shared" si="9"/>
        <v/>
      </c>
      <c r="B228" s="53"/>
      <c r="C228" s="28" t="str">
        <f t="shared" si="10"/>
        <v/>
      </c>
      <c r="D228" s="28" t="str">
        <f t="shared" si="11"/>
        <v/>
      </c>
      <c r="E228" s="88"/>
      <c r="F228" s="83"/>
    </row>
    <row r="229" spans="1:6">
      <c r="A229" s="10" t="str">
        <f t="shared" si="9"/>
        <v/>
      </c>
      <c r="B229" s="53"/>
      <c r="C229" s="28" t="str">
        <f t="shared" si="10"/>
        <v/>
      </c>
      <c r="D229" s="28" t="str">
        <f t="shared" si="11"/>
        <v/>
      </c>
      <c r="E229" s="88"/>
      <c r="F229" s="83"/>
    </row>
    <row r="230" spans="1:6">
      <c r="A230" s="10" t="str">
        <f t="shared" si="9"/>
        <v/>
      </c>
      <c r="B230" s="53"/>
      <c r="C230" s="28" t="str">
        <f t="shared" si="10"/>
        <v/>
      </c>
      <c r="D230" s="28" t="str">
        <f t="shared" si="11"/>
        <v/>
      </c>
      <c r="E230" s="88"/>
      <c r="F230" s="83"/>
    </row>
    <row r="231" spans="1:6">
      <c r="A231" s="10" t="str">
        <f t="shared" si="9"/>
        <v/>
      </c>
      <c r="B231" s="53"/>
      <c r="C231" s="28" t="str">
        <f t="shared" si="10"/>
        <v/>
      </c>
      <c r="D231" s="28" t="str">
        <f t="shared" si="11"/>
        <v/>
      </c>
      <c r="E231" s="88"/>
      <c r="F231" s="83"/>
    </row>
    <row r="232" spans="1:6">
      <c r="A232" s="10" t="str">
        <f t="shared" si="9"/>
        <v/>
      </c>
      <c r="B232" s="53"/>
      <c r="C232" s="28" t="str">
        <f t="shared" si="10"/>
        <v/>
      </c>
      <c r="D232" s="28" t="str">
        <f t="shared" si="11"/>
        <v/>
      </c>
      <c r="E232" s="88"/>
      <c r="F232" s="83"/>
    </row>
    <row r="233" spans="1:6">
      <c r="A233" s="10" t="str">
        <f t="shared" si="9"/>
        <v/>
      </c>
      <c r="B233" s="53"/>
      <c r="C233" s="28" t="str">
        <f t="shared" si="10"/>
        <v/>
      </c>
      <c r="D233" s="28" t="str">
        <f t="shared" si="11"/>
        <v/>
      </c>
      <c r="E233" s="88"/>
      <c r="F233" s="83"/>
    </row>
    <row r="234" spans="1:6">
      <c r="A234" s="10" t="str">
        <f t="shared" si="9"/>
        <v/>
      </c>
      <c r="B234" s="53"/>
      <c r="C234" s="28" t="str">
        <f t="shared" si="10"/>
        <v/>
      </c>
      <c r="D234" s="28" t="str">
        <f t="shared" si="11"/>
        <v/>
      </c>
      <c r="E234" s="88"/>
      <c r="F234" s="83"/>
    </row>
    <row r="235" spans="1:6">
      <c r="A235" s="10" t="str">
        <f t="shared" si="9"/>
        <v/>
      </c>
      <c r="B235" s="53"/>
      <c r="C235" s="28" t="str">
        <f t="shared" si="10"/>
        <v/>
      </c>
      <c r="D235" s="28" t="str">
        <f t="shared" si="11"/>
        <v/>
      </c>
      <c r="E235" s="88"/>
      <c r="F235" s="83"/>
    </row>
    <row r="236" spans="1:6">
      <c r="A236" s="10" t="str">
        <f t="shared" si="9"/>
        <v/>
      </c>
      <c r="B236" s="53"/>
      <c r="C236" s="28" t="str">
        <f t="shared" si="10"/>
        <v/>
      </c>
      <c r="D236" s="28" t="str">
        <f t="shared" si="11"/>
        <v/>
      </c>
      <c r="E236" s="88"/>
      <c r="F236" s="83"/>
    </row>
    <row r="237" spans="1:6">
      <c r="A237" s="10" t="str">
        <f t="shared" si="9"/>
        <v/>
      </c>
      <c r="B237" s="53"/>
      <c r="C237" s="28" t="str">
        <f t="shared" si="10"/>
        <v/>
      </c>
      <c r="D237" s="28" t="str">
        <f t="shared" si="11"/>
        <v/>
      </c>
      <c r="E237" s="88"/>
      <c r="F237" s="83"/>
    </row>
    <row r="238" spans="1:6">
      <c r="A238" s="10" t="str">
        <f t="shared" si="9"/>
        <v/>
      </c>
      <c r="B238" s="53"/>
      <c r="C238" s="28" t="str">
        <f t="shared" si="10"/>
        <v/>
      </c>
      <c r="D238" s="28" t="str">
        <f t="shared" si="11"/>
        <v/>
      </c>
      <c r="E238" s="88"/>
      <c r="F238" s="83"/>
    </row>
    <row r="239" spans="1:6">
      <c r="A239" s="10" t="str">
        <f t="shared" si="9"/>
        <v/>
      </c>
      <c r="B239" s="53"/>
      <c r="C239" s="28" t="str">
        <f t="shared" si="10"/>
        <v/>
      </c>
      <c r="D239" s="28" t="str">
        <f t="shared" si="11"/>
        <v/>
      </c>
      <c r="E239" s="88"/>
      <c r="F239" s="83"/>
    </row>
    <row r="240" spans="1:6">
      <c r="A240" s="10" t="str">
        <f t="shared" si="9"/>
        <v/>
      </c>
      <c r="B240" s="53"/>
      <c r="C240" s="28" t="str">
        <f t="shared" si="10"/>
        <v/>
      </c>
      <c r="D240" s="28" t="str">
        <f t="shared" si="11"/>
        <v/>
      </c>
      <c r="E240" s="88"/>
      <c r="F240" s="83"/>
    </row>
    <row r="241" spans="1:6">
      <c r="A241" s="10" t="str">
        <f t="shared" si="9"/>
        <v/>
      </c>
      <c r="B241" s="53"/>
      <c r="C241" s="28" t="str">
        <f t="shared" si="10"/>
        <v/>
      </c>
      <c r="D241" s="28" t="str">
        <f t="shared" si="11"/>
        <v/>
      </c>
      <c r="E241" s="88"/>
      <c r="F241" s="83"/>
    </row>
    <row r="242" spans="1:6">
      <c r="A242" s="10" t="str">
        <f t="shared" si="9"/>
        <v/>
      </c>
      <c r="B242" s="53"/>
      <c r="C242" s="28" t="str">
        <f t="shared" si="10"/>
        <v/>
      </c>
      <c r="D242" s="28" t="str">
        <f t="shared" si="11"/>
        <v/>
      </c>
      <c r="E242" s="88"/>
      <c r="F242" s="83"/>
    </row>
    <row r="243" spans="1:6">
      <c r="A243" s="10" t="str">
        <f t="shared" si="9"/>
        <v/>
      </c>
      <c r="B243" s="53"/>
      <c r="C243" s="28" t="str">
        <f t="shared" si="10"/>
        <v/>
      </c>
      <c r="D243" s="28" t="str">
        <f t="shared" si="11"/>
        <v/>
      </c>
      <c r="E243" s="88"/>
      <c r="F243" s="83"/>
    </row>
    <row r="244" spans="1:6">
      <c r="A244" s="10" t="str">
        <f t="shared" si="9"/>
        <v/>
      </c>
      <c r="B244" s="53"/>
      <c r="C244" s="28" t="str">
        <f t="shared" si="10"/>
        <v/>
      </c>
      <c r="D244" s="28" t="str">
        <f t="shared" si="11"/>
        <v/>
      </c>
      <c r="E244" s="88"/>
      <c r="F244" s="83"/>
    </row>
    <row r="245" spans="1:6">
      <c r="A245" s="10" t="str">
        <f t="shared" si="9"/>
        <v/>
      </c>
      <c r="B245" s="53"/>
      <c r="C245" s="28" t="str">
        <f t="shared" si="10"/>
        <v/>
      </c>
      <c r="D245" s="28" t="str">
        <f t="shared" si="11"/>
        <v/>
      </c>
      <c r="E245" s="88"/>
      <c r="F245" s="83"/>
    </row>
    <row r="246" spans="1:6">
      <c r="A246" s="10" t="str">
        <f t="shared" si="9"/>
        <v/>
      </c>
      <c r="B246" s="53"/>
      <c r="C246" s="28" t="str">
        <f t="shared" si="10"/>
        <v/>
      </c>
      <c r="D246" s="28" t="str">
        <f t="shared" si="11"/>
        <v/>
      </c>
      <c r="E246" s="88"/>
      <c r="F246" s="83"/>
    </row>
    <row r="247" spans="1:6">
      <c r="A247" s="10" t="str">
        <f t="shared" si="9"/>
        <v/>
      </c>
      <c r="B247" s="53"/>
      <c r="C247" s="28" t="str">
        <f t="shared" si="10"/>
        <v/>
      </c>
      <c r="D247" s="28" t="str">
        <f t="shared" si="11"/>
        <v/>
      </c>
      <c r="E247" s="88"/>
      <c r="F247" s="83"/>
    </row>
    <row r="248" spans="1:6">
      <c r="A248" s="10" t="str">
        <f t="shared" si="9"/>
        <v/>
      </c>
      <c r="B248" s="53"/>
      <c r="C248" s="28" t="str">
        <f t="shared" si="10"/>
        <v/>
      </c>
      <c r="D248" s="28" t="str">
        <f t="shared" si="11"/>
        <v/>
      </c>
      <c r="E248" s="88"/>
      <c r="F248" s="83"/>
    </row>
    <row r="249" spans="1:6">
      <c r="A249" s="10" t="str">
        <f t="shared" si="9"/>
        <v/>
      </c>
      <c r="B249" s="53"/>
      <c r="C249" s="28" t="str">
        <f t="shared" si="10"/>
        <v/>
      </c>
      <c r="D249" s="28" t="str">
        <f t="shared" si="11"/>
        <v/>
      </c>
      <c r="E249" s="88"/>
      <c r="F249" s="83"/>
    </row>
    <row r="250" spans="1:6">
      <c r="A250" s="10" t="str">
        <f t="shared" si="9"/>
        <v/>
      </c>
      <c r="B250" s="53"/>
      <c r="C250" s="28" t="str">
        <f t="shared" si="10"/>
        <v/>
      </c>
      <c r="D250" s="28" t="str">
        <f t="shared" si="11"/>
        <v/>
      </c>
      <c r="E250" s="88"/>
      <c r="F250" s="83"/>
    </row>
    <row r="251" spans="1:6">
      <c r="A251" s="10" t="str">
        <f t="shared" si="9"/>
        <v/>
      </c>
      <c r="B251" s="53"/>
      <c r="C251" s="28" t="str">
        <f t="shared" si="10"/>
        <v/>
      </c>
      <c r="D251" s="28" t="str">
        <f t="shared" si="11"/>
        <v/>
      </c>
      <c r="E251" s="88"/>
      <c r="F251" s="83"/>
    </row>
    <row r="252" spans="1:6">
      <c r="A252" s="10" t="str">
        <f t="shared" si="9"/>
        <v/>
      </c>
      <c r="B252" s="53"/>
      <c r="C252" s="28" t="str">
        <f t="shared" si="10"/>
        <v/>
      </c>
      <c r="D252" s="28" t="str">
        <f t="shared" si="11"/>
        <v/>
      </c>
      <c r="E252" s="88"/>
      <c r="F252" s="83"/>
    </row>
    <row r="253" spans="1:6">
      <c r="A253" s="10" t="str">
        <f t="shared" si="9"/>
        <v/>
      </c>
      <c r="B253" s="53"/>
      <c r="C253" s="28" t="str">
        <f t="shared" si="10"/>
        <v/>
      </c>
      <c r="D253" s="28" t="str">
        <f t="shared" si="11"/>
        <v/>
      </c>
      <c r="E253" s="88"/>
      <c r="F253" s="83"/>
    </row>
    <row r="254" spans="1:6">
      <c r="A254" s="10" t="str">
        <f t="shared" si="9"/>
        <v/>
      </c>
      <c r="B254" s="53"/>
      <c r="C254" s="28" t="str">
        <f t="shared" si="10"/>
        <v/>
      </c>
      <c r="D254" s="28" t="str">
        <f t="shared" si="11"/>
        <v/>
      </c>
      <c r="E254" s="88"/>
      <c r="F254" s="83"/>
    </row>
    <row r="255" spans="1:6">
      <c r="A255" s="10" t="str">
        <f t="shared" si="9"/>
        <v/>
      </c>
      <c r="B255" s="53"/>
      <c r="C255" s="28" t="str">
        <f t="shared" si="10"/>
        <v/>
      </c>
      <c r="D255" s="28" t="str">
        <f t="shared" si="11"/>
        <v/>
      </c>
      <c r="E255" s="88"/>
      <c r="F255" s="83"/>
    </row>
    <row r="256" spans="1:6">
      <c r="A256" s="10" t="str">
        <f t="shared" si="9"/>
        <v/>
      </c>
      <c r="B256" s="53"/>
      <c r="C256" s="28" t="str">
        <f t="shared" si="10"/>
        <v/>
      </c>
      <c r="D256" s="28" t="str">
        <f t="shared" si="11"/>
        <v/>
      </c>
      <c r="E256" s="88"/>
      <c r="F256" s="83"/>
    </row>
    <row r="257" spans="1:6">
      <c r="A257" s="10" t="str">
        <f t="shared" si="9"/>
        <v/>
      </c>
      <c r="B257" s="53"/>
      <c r="C257" s="28" t="str">
        <f t="shared" si="10"/>
        <v/>
      </c>
      <c r="D257" s="28" t="str">
        <f t="shared" si="11"/>
        <v/>
      </c>
      <c r="E257" s="88"/>
      <c r="F257" s="83"/>
    </row>
    <row r="258" spans="1:6">
      <c r="A258" s="10" t="str">
        <f t="shared" si="9"/>
        <v/>
      </c>
      <c r="B258" s="53"/>
      <c r="C258" s="28" t="str">
        <f t="shared" si="10"/>
        <v/>
      </c>
      <c r="D258" s="28" t="str">
        <f t="shared" si="11"/>
        <v/>
      </c>
      <c r="E258" s="88"/>
      <c r="F258" s="83"/>
    </row>
    <row r="259" spans="1:6">
      <c r="A259" s="10" t="str">
        <f t="shared" ref="A259:A322" si="12">IF(E259&gt;0,A258+1,"")</f>
        <v/>
      </c>
      <c r="B259" s="53"/>
      <c r="C259" s="28" t="str">
        <f t="shared" ref="C259:C322" si="13">IF(B259=0,"",TEXT(B259,"mmmm"))</f>
        <v/>
      </c>
      <c r="D259" s="28" t="str">
        <f t="shared" ref="D259:D322" si="14">IF(B259=0,"",TEXT(B259,"yyyy"))</f>
        <v/>
      </c>
      <c r="E259" s="88"/>
      <c r="F259" s="83"/>
    </row>
    <row r="260" spans="1:6">
      <c r="A260" s="10" t="str">
        <f t="shared" si="12"/>
        <v/>
      </c>
      <c r="B260" s="53"/>
      <c r="C260" s="28" t="str">
        <f t="shared" si="13"/>
        <v/>
      </c>
      <c r="D260" s="28" t="str">
        <f t="shared" si="14"/>
        <v/>
      </c>
      <c r="E260" s="88"/>
      <c r="F260" s="83"/>
    </row>
    <row r="261" spans="1:6">
      <c r="A261" s="10" t="str">
        <f t="shared" si="12"/>
        <v/>
      </c>
      <c r="B261" s="53"/>
      <c r="C261" s="28" t="str">
        <f t="shared" si="13"/>
        <v/>
      </c>
      <c r="D261" s="28" t="str">
        <f t="shared" si="14"/>
        <v/>
      </c>
      <c r="E261" s="88"/>
      <c r="F261" s="83"/>
    </row>
    <row r="262" spans="1:6">
      <c r="A262" s="10" t="str">
        <f t="shared" si="12"/>
        <v/>
      </c>
      <c r="B262" s="53"/>
      <c r="C262" s="28" t="str">
        <f t="shared" si="13"/>
        <v/>
      </c>
      <c r="D262" s="28" t="str">
        <f t="shared" si="14"/>
        <v/>
      </c>
      <c r="E262" s="88"/>
      <c r="F262" s="83"/>
    </row>
    <row r="263" spans="1:6">
      <c r="A263" s="10" t="str">
        <f t="shared" si="12"/>
        <v/>
      </c>
      <c r="B263" s="53"/>
      <c r="C263" s="28" t="str">
        <f t="shared" si="13"/>
        <v/>
      </c>
      <c r="D263" s="28" t="str">
        <f t="shared" si="14"/>
        <v/>
      </c>
      <c r="E263" s="88"/>
      <c r="F263" s="83"/>
    </row>
    <row r="264" spans="1:6">
      <c r="A264" s="10" t="str">
        <f t="shared" si="12"/>
        <v/>
      </c>
      <c r="B264" s="53"/>
      <c r="C264" s="28" t="str">
        <f t="shared" si="13"/>
        <v/>
      </c>
      <c r="D264" s="28" t="str">
        <f t="shared" si="14"/>
        <v/>
      </c>
      <c r="E264" s="88"/>
      <c r="F264" s="83"/>
    </row>
    <row r="265" spans="1:6">
      <c r="A265" s="10" t="str">
        <f t="shared" si="12"/>
        <v/>
      </c>
      <c r="B265" s="53"/>
      <c r="C265" s="28" t="str">
        <f t="shared" si="13"/>
        <v/>
      </c>
      <c r="D265" s="28" t="str">
        <f t="shared" si="14"/>
        <v/>
      </c>
      <c r="E265" s="88"/>
      <c r="F265" s="83"/>
    </row>
    <row r="266" spans="1:6">
      <c r="A266" s="10" t="str">
        <f t="shared" si="12"/>
        <v/>
      </c>
      <c r="B266" s="53"/>
      <c r="C266" s="28" t="str">
        <f t="shared" si="13"/>
        <v/>
      </c>
      <c r="D266" s="28" t="str">
        <f t="shared" si="14"/>
        <v/>
      </c>
      <c r="E266" s="88"/>
      <c r="F266" s="83"/>
    </row>
    <row r="267" spans="1:6">
      <c r="A267" s="10" t="str">
        <f t="shared" si="12"/>
        <v/>
      </c>
      <c r="B267" s="53"/>
      <c r="C267" s="28" t="str">
        <f t="shared" si="13"/>
        <v/>
      </c>
      <c r="D267" s="28" t="str">
        <f t="shared" si="14"/>
        <v/>
      </c>
      <c r="E267" s="88"/>
      <c r="F267" s="83"/>
    </row>
    <row r="268" spans="1:6">
      <c r="A268" s="10" t="str">
        <f t="shared" si="12"/>
        <v/>
      </c>
      <c r="B268" s="53"/>
      <c r="C268" s="28" t="str">
        <f t="shared" si="13"/>
        <v/>
      </c>
      <c r="D268" s="28" t="str">
        <f t="shared" si="14"/>
        <v/>
      </c>
      <c r="E268" s="88"/>
      <c r="F268" s="83"/>
    </row>
    <row r="269" spans="1:6">
      <c r="A269" s="10" t="str">
        <f t="shared" si="12"/>
        <v/>
      </c>
      <c r="B269" s="53"/>
      <c r="C269" s="28" t="str">
        <f t="shared" si="13"/>
        <v/>
      </c>
      <c r="D269" s="28" t="str">
        <f t="shared" si="14"/>
        <v/>
      </c>
      <c r="E269" s="88"/>
      <c r="F269" s="83"/>
    </row>
    <row r="270" spans="1:6">
      <c r="A270" s="10" t="str">
        <f t="shared" si="12"/>
        <v/>
      </c>
      <c r="B270" s="53"/>
      <c r="C270" s="28" t="str">
        <f t="shared" si="13"/>
        <v/>
      </c>
      <c r="D270" s="28" t="str">
        <f t="shared" si="14"/>
        <v/>
      </c>
      <c r="E270" s="88"/>
      <c r="F270" s="83"/>
    </row>
    <row r="271" spans="1:6">
      <c r="A271" s="10" t="str">
        <f t="shared" si="12"/>
        <v/>
      </c>
      <c r="B271" s="53"/>
      <c r="C271" s="28" t="str">
        <f t="shared" si="13"/>
        <v/>
      </c>
      <c r="D271" s="28" t="str">
        <f t="shared" si="14"/>
        <v/>
      </c>
      <c r="E271" s="88"/>
      <c r="F271" s="83"/>
    </row>
    <row r="272" spans="1:6">
      <c r="A272" s="10" t="str">
        <f t="shared" si="12"/>
        <v/>
      </c>
      <c r="B272" s="53"/>
      <c r="C272" s="28" t="str">
        <f t="shared" si="13"/>
        <v/>
      </c>
      <c r="D272" s="28" t="str">
        <f t="shared" si="14"/>
        <v/>
      </c>
      <c r="E272" s="88"/>
      <c r="F272" s="83"/>
    </row>
    <row r="273" spans="1:6">
      <c r="A273" s="10" t="str">
        <f t="shared" si="12"/>
        <v/>
      </c>
      <c r="B273" s="53"/>
      <c r="C273" s="28" t="str">
        <f t="shared" si="13"/>
        <v/>
      </c>
      <c r="D273" s="28" t="str">
        <f t="shared" si="14"/>
        <v/>
      </c>
      <c r="E273" s="88"/>
      <c r="F273" s="83"/>
    </row>
    <row r="274" spans="1:6">
      <c r="A274" s="10" t="str">
        <f t="shared" si="12"/>
        <v/>
      </c>
      <c r="B274" s="53"/>
      <c r="C274" s="28" t="str">
        <f t="shared" si="13"/>
        <v/>
      </c>
      <c r="D274" s="28" t="str">
        <f t="shared" si="14"/>
        <v/>
      </c>
      <c r="E274" s="88"/>
      <c r="F274" s="83"/>
    </row>
    <row r="275" spans="1:6">
      <c r="A275" s="10" t="str">
        <f t="shared" si="12"/>
        <v/>
      </c>
      <c r="B275" s="53"/>
      <c r="C275" s="28" t="str">
        <f t="shared" si="13"/>
        <v/>
      </c>
      <c r="D275" s="28" t="str">
        <f t="shared" si="14"/>
        <v/>
      </c>
      <c r="E275" s="88"/>
      <c r="F275" s="83"/>
    </row>
    <row r="276" spans="1:6">
      <c r="A276" s="10" t="str">
        <f t="shared" si="12"/>
        <v/>
      </c>
      <c r="B276" s="53"/>
      <c r="C276" s="28" t="str">
        <f t="shared" si="13"/>
        <v/>
      </c>
      <c r="D276" s="28" t="str">
        <f t="shared" si="14"/>
        <v/>
      </c>
      <c r="E276" s="88"/>
      <c r="F276" s="83"/>
    </row>
    <row r="277" spans="1:6">
      <c r="A277" s="10" t="str">
        <f t="shared" si="12"/>
        <v/>
      </c>
      <c r="B277" s="53"/>
      <c r="C277" s="28" t="str">
        <f t="shared" si="13"/>
        <v/>
      </c>
      <c r="D277" s="28" t="str">
        <f t="shared" si="14"/>
        <v/>
      </c>
      <c r="E277" s="88"/>
      <c r="F277" s="83"/>
    </row>
    <row r="278" spans="1:6">
      <c r="A278" s="10" t="str">
        <f t="shared" si="12"/>
        <v/>
      </c>
      <c r="B278" s="53"/>
      <c r="C278" s="28" t="str">
        <f t="shared" si="13"/>
        <v/>
      </c>
      <c r="D278" s="28" t="str">
        <f t="shared" si="14"/>
        <v/>
      </c>
      <c r="E278" s="88"/>
      <c r="F278" s="83"/>
    </row>
    <row r="279" spans="1:6">
      <c r="A279" s="10" t="str">
        <f t="shared" si="12"/>
        <v/>
      </c>
      <c r="B279" s="53"/>
      <c r="C279" s="28" t="str">
        <f t="shared" si="13"/>
        <v/>
      </c>
      <c r="D279" s="28" t="str">
        <f t="shared" si="14"/>
        <v/>
      </c>
      <c r="E279" s="88"/>
      <c r="F279" s="83"/>
    </row>
    <row r="280" spans="1:6">
      <c r="A280" s="10" t="str">
        <f t="shared" si="12"/>
        <v/>
      </c>
      <c r="B280" s="53"/>
      <c r="C280" s="28" t="str">
        <f t="shared" si="13"/>
        <v/>
      </c>
      <c r="D280" s="28" t="str">
        <f t="shared" si="14"/>
        <v/>
      </c>
      <c r="E280" s="88"/>
      <c r="F280" s="83"/>
    </row>
    <row r="281" spans="1:6">
      <c r="A281" s="10" t="str">
        <f t="shared" si="12"/>
        <v/>
      </c>
      <c r="B281" s="53"/>
      <c r="C281" s="28" t="str">
        <f t="shared" si="13"/>
        <v/>
      </c>
      <c r="D281" s="28" t="str">
        <f t="shared" si="14"/>
        <v/>
      </c>
      <c r="E281" s="88"/>
      <c r="F281" s="83"/>
    </row>
    <row r="282" spans="1:6">
      <c r="A282" s="10" t="str">
        <f t="shared" si="12"/>
        <v/>
      </c>
      <c r="B282" s="53"/>
      <c r="C282" s="28" t="str">
        <f t="shared" si="13"/>
        <v/>
      </c>
      <c r="D282" s="28" t="str">
        <f t="shared" si="14"/>
        <v/>
      </c>
      <c r="E282" s="88"/>
      <c r="F282" s="83"/>
    </row>
    <row r="283" spans="1:6">
      <c r="A283" s="10" t="str">
        <f t="shared" si="12"/>
        <v/>
      </c>
      <c r="B283" s="53"/>
      <c r="C283" s="28" t="str">
        <f t="shared" si="13"/>
        <v/>
      </c>
      <c r="D283" s="28" t="str">
        <f t="shared" si="14"/>
        <v/>
      </c>
      <c r="E283" s="88"/>
      <c r="F283" s="83"/>
    </row>
    <row r="284" spans="1:6">
      <c r="A284" s="10" t="str">
        <f t="shared" si="12"/>
        <v/>
      </c>
      <c r="B284" s="53"/>
      <c r="C284" s="28" t="str">
        <f t="shared" si="13"/>
        <v/>
      </c>
      <c r="D284" s="28" t="str">
        <f t="shared" si="14"/>
        <v/>
      </c>
      <c r="E284" s="88"/>
      <c r="F284" s="83"/>
    </row>
    <row r="285" spans="1:6">
      <c r="A285" s="10" t="str">
        <f t="shared" si="12"/>
        <v/>
      </c>
      <c r="B285" s="53"/>
      <c r="C285" s="28" t="str">
        <f t="shared" si="13"/>
        <v/>
      </c>
      <c r="D285" s="28" t="str">
        <f t="shared" si="14"/>
        <v/>
      </c>
      <c r="E285" s="88"/>
      <c r="F285" s="83"/>
    </row>
    <row r="286" spans="1:6">
      <c r="A286" s="10" t="str">
        <f t="shared" si="12"/>
        <v/>
      </c>
      <c r="B286" s="53"/>
      <c r="C286" s="28" t="str">
        <f t="shared" si="13"/>
        <v/>
      </c>
      <c r="D286" s="28" t="str">
        <f t="shared" si="14"/>
        <v/>
      </c>
      <c r="E286" s="88"/>
      <c r="F286" s="83"/>
    </row>
    <row r="287" spans="1:6">
      <c r="A287" s="10" t="str">
        <f t="shared" si="12"/>
        <v/>
      </c>
      <c r="B287" s="53"/>
      <c r="C287" s="28" t="str">
        <f t="shared" si="13"/>
        <v/>
      </c>
      <c r="D287" s="28" t="str">
        <f t="shared" si="14"/>
        <v/>
      </c>
      <c r="E287" s="88"/>
      <c r="F287" s="83"/>
    </row>
    <row r="288" spans="1:6">
      <c r="A288" s="10" t="str">
        <f t="shared" si="12"/>
        <v/>
      </c>
      <c r="B288" s="53"/>
      <c r="C288" s="28" t="str">
        <f t="shared" si="13"/>
        <v/>
      </c>
      <c r="D288" s="28" t="str">
        <f t="shared" si="14"/>
        <v/>
      </c>
      <c r="E288" s="88"/>
      <c r="F288" s="83"/>
    </row>
    <row r="289" spans="1:6">
      <c r="A289" s="10" t="str">
        <f t="shared" si="12"/>
        <v/>
      </c>
      <c r="B289" s="53"/>
      <c r="C289" s="28" t="str">
        <f t="shared" si="13"/>
        <v/>
      </c>
      <c r="D289" s="28" t="str">
        <f t="shared" si="14"/>
        <v/>
      </c>
      <c r="E289" s="88"/>
      <c r="F289" s="83"/>
    </row>
    <row r="290" spans="1:6">
      <c r="A290" s="10" t="str">
        <f t="shared" si="12"/>
        <v/>
      </c>
      <c r="B290" s="53"/>
      <c r="C290" s="28" t="str">
        <f t="shared" si="13"/>
        <v/>
      </c>
      <c r="D290" s="28" t="str">
        <f t="shared" si="14"/>
        <v/>
      </c>
      <c r="E290" s="88"/>
      <c r="F290" s="83"/>
    </row>
    <row r="291" spans="1:6">
      <c r="A291" s="10" t="str">
        <f t="shared" si="12"/>
        <v/>
      </c>
      <c r="B291" s="53"/>
      <c r="C291" s="28" t="str">
        <f t="shared" si="13"/>
        <v/>
      </c>
      <c r="D291" s="28" t="str">
        <f t="shared" si="14"/>
        <v/>
      </c>
      <c r="E291" s="88"/>
      <c r="F291" s="83"/>
    </row>
    <row r="292" spans="1:6">
      <c r="A292" s="10" t="str">
        <f t="shared" si="12"/>
        <v/>
      </c>
      <c r="B292" s="53"/>
      <c r="C292" s="28" t="str">
        <f t="shared" si="13"/>
        <v/>
      </c>
      <c r="D292" s="28" t="str">
        <f t="shared" si="14"/>
        <v/>
      </c>
      <c r="E292" s="88"/>
      <c r="F292" s="83"/>
    </row>
    <row r="293" spans="1:6">
      <c r="A293" s="10" t="str">
        <f t="shared" si="12"/>
        <v/>
      </c>
      <c r="B293" s="53"/>
      <c r="C293" s="28" t="str">
        <f t="shared" si="13"/>
        <v/>
      </c>
      <c r="D293" s="28" t="str">
        <f t="shared" si="14"/>
        <v/>
      </c>
      <c r="E293" s="88"/>
      <c r="F293" s="83"/>
    </row>
    <row r="294" spans="1:6">
      <c r="A294" s="10" t="str">
        <f t="shared" si="12"/>
        <v/>
      </c>
      <c r="B294" s="53"/>
      <c r="C294" s="28" t="str">
        <f t="shared" si="13"/>
        <v/>
      </c>
      <c r="D294" s="28" t="str">
        <f t="shared" si="14"/>
        <v/>
      </c>
      <c r="E294" s="88"/>
      <c r="F294" s="83"/>
    </row>
    <row r="295" spans="1:6">
      <c r="A295" s="10" t="str">
        <f t="shared" si="12"/>
        <v/>
      </c>
      <c r="B295" s="53"/>
      <c r="C295" s="28" t="str">
        <f t="shared" si="13"/>
        <v/>
      </c>
      <c r="D295" s="28" t="str">
        <f t="shared" si="14"/>
        <v/>
      </c>
      <c r="E295" s="88"/>
      <c r="F295" s="83"/>
    </row>
    <row r="296" spans="1:6">
      <c r="A296" s="10" t="str">
        <f t="shared" si="12"/>
        <v/>
      </c>
      <c r="B296" s="53"/>
      <c r="C296" s="28" t="str">
        <f t="shared" si="13"/>
        <v/>
      </c>
      <c r="D296" s="28" t="str">
        <f t="shared" si="14"/>
        <v/>
      </c>
      <c r="E296" s="88"/>
      <c r="F296" s="83"/>
    </row>
    <row r="297" spans="1:6">
      <c r="A297" s="10" t="str">
        <f t="shared" si="12"/>
        <v/>
      </c>
      <c r="B297" s="53"/>
      <c r="C297" s="28" t="str">
        <f t="shared" si="13"/>
        <v/>
      </c>
      <c r="D297" s="28" t="str">
        <f t="shared" si="14"/>
        <v/>
      </c>
      <c r="E297" s="88"/>
      <c r="F297" s="83"/>
    </row>
    <row r="298" spans="1:6">
      <c r="A298" s="10" t="str">
        <f t="shared" si="12"/>
        <v/>
      </c>
      <c r="B298" s="53"/>
      <c r="C298" s="28" t="str">
        <f t="shared" si="13"/>
        <v/>
      </c>
      <c r="D298" s="28" t="str">
        <f t="shared" si="14"/>
        <v/>
      </c>
      <c r="E298" s="88"/>
      <c r="F298" s="83"/>
    </row>
    <row r="299" spans="1:6">
      <c r="A299" s="10" t="str">
        <f t="shared" si="12"/>
        <v/>
      </c>
      <c r="B299" s="53"/>
      <c r="C299" s="28" t="str">
        <f t="shared" si="13"/>
        <v/>
      </c>
      <c r="D299" s="28" t="str">
        <f t="shared" si="14"/>
        <v/>
      </c>
      <c r="E299" s="88"/>
      <c r="F299" s="83"/>
    </row>
    <row r="300" spans="1:6">
      <c r="A300" s="10" t="str">
        <f t="shared" si="12"/>
        <v/>
      </c>
      <c r="B300" s="53"/>
      <c r="C300" s="28" t="str">
        <f t="shared" si="13"/>
        <v/>
      </c>
      <c r="D300" s="28" t="str">
        <f t="shared" si="14"/>
        <v/>
      </c>
      <c r="E300" s="88"/>
      <c r="F300" s="83"/>
    </row>
    <row r="301" spans="1:6">
      <c r="A301" s="10" t="str">
        <f t="shared" si="12"/>
        <v/>
      </c>
      <c r="B301" s="53"/>
      <c r="C301" s="28" t="str">
        <f t="shared" si="13"/>
        <v/>
      </c>
      <c r="D301" s="28" t="str">
        <f t="shared" si="14"/>
        <v/>
      </c>
      <c r="E301" s="88"/>
      <c r="F301" s="83"/>
    </row>
    <row r="302" spans="1:6">
      <c r="A302" s="10" t="str">
        <f t="shared" si="12"/>
        <v/>
      </c>
      <c r="B302" s="53"/>
      <c r="C302" s="28" t="str">
        <f t="shared" si="13"/>
        <v/>
      </c>
      <c r="D302" s="28" t="str">
        <f t="shared" si="14"/>
        <v/>
      </c>
      <c r="E302" s="88"/>
      <c r="F302" s="83"/>
    </row>
    <row r="303" spans="1:6">
      <c r="A303" s="10" t="str">
        <f t="shared" si="12"/>
        <v/>
      </c>
      <c r="B303" s="53"/>
      <c r="C303" s="28" t="str">
        <f t="shared" si="13"/>
        <v/>
      </c>
      <c r="D303" s="28" t="str">
        <f t="shared" si="14"/>
        <v/>
      </c>
      <c r="E303" s="88"/>
      <c r="F303" s="83"/>
    </row>
    <row r="304" spans="1:6">
      <c r="A304" s="10" t="str">
        <f t="shared" si="12"/>
        <v/>
      </c>
      <c r="B304" s="53"/>
      <c r="C304" s="28" t="str">
        <f t="shared" si="13"/>
        <v/>
      </c>
      <c r="D304" s="28" t="str">
        <f t="shared" si="14"/>
        <v/>
      </c>
      <c r="E304" s="88"/>
      <c r="F304" s="83"/>
    </row>
    <row r="305" spans="1:6">
      <c r="A305" s="10" t="str">
        <f t="shared" si="12"/>
        <v/>
      </c>
      <c r="B305" s="53"/>
      <c r="C305" s="28" t="str">
        <f t="shared" si="13"/>
        <v/>
      </c>
      <c r="D305" s="28" t="str">
        <f t="shared" si="14"/>
        <v/>
      </c>
      <c r="E305" s="88"/>
      <c r="F305" s="83"/>
    </row>
    <row r="306" spans="1:6">
      <c r="A306" s="10" t="str">
        <f t="shared" si="12"/>
        <v/>
      </c>
      <c r="B306" s="53"/>
      <c r="C306" s="28" t="str">
        <f t="shared" si="13"/>
        <v/>
      </c>
      <c r="D306" s="28" t="str">
        <f t="shared" si="14"/>
        <v/>
      </c>
      <c r="E306" s="88"/>
      <c r="F306" s="83"/>
    </row>
    <row r="307" spans="1:6">
      <c r="A307" s="10" t="str">
        <f t="shared" si="12"/>
        <v/>
      </c>
      <c r="B307" s="53"/>
      <c r="C307" s="28" t="str">
        <f t="shared" si="13"/>
        <v/>
      </c>
      <c r="D307" s="28" t="str">
        <f t="shared" si="14"/>
        <v/>
      </c>
      <c r="E307" s="88"/>
      <c r="F307" s="83"/>
    </row>
    <row r="308" spans="1:6">
      <c r="A308" s="10" t="str">
        <f t="shared" si="12"/>
        <v/>
      </c>
      <c r="B308" s="53"/>
      <c r="C308" s="28" t="str">
        <f t="shared" si="13"/>
        <v/>
      </c>
      <c r="D308" s="28" t="str">
        <f t="shared" si="14"/>
        <v/>
      </c>
      <c r="E308" s="88"/>
      <c r="F308" s="83"/>
    </row>
    <row r="309" spans="1:6">
      <c r="A309" s="10" t="str">
        <f t="shared" si="12"/>
        <v/>
      </c>
      <c r="B309" s="53"/>
      <c r="C309" s="28" t="str">
        <f t="shared" si="13"/>
        <v/>
      </c>
      <c r="D309" s="28" t="str">
        <f t="shared" si="14"/>
        <v/>
      </c>
      <c r="E309" s="88"/>
      <c r="F309" s="83"/>
    </row>
    <row r="310" spans="1:6">
      <c r="A310" s="10" t="str">
        <f t="shared" si="12"/>
        <v/>
      </c>
      <c r="B310" s="53"/>
      <c r="C310" s="28" t="str">
        <f t="shared" si="13"/>
        <v/>
      </c>
      <c r="D310" s="28" t="str">
        <f t="shared" si="14"/>
        <v/>
      </c>
      <c r="E310" s="88"/>
      <c r="F310" s="83"/>
    </row>
    <row r="311" spans="1:6">
      <c r="A311" s="10" t="str">
        <f t="shared" si="12"/>
        <v/>
      </c>
      <c r="B311" s="53"/>
      <c r="C311" s="28" t="str">
        <f t="shared" si="13"/>
        <v/>
      </c>
      <c r="D311" s="28" t="str">
        <f t="shared" si="14"/>
        <v/>
      </c>
      <c r="E311" s="88"/>
      <c r="F311" s="83"/>
    </row>
    <row r="312" spans="1:6">
      <c r="A312" s="10" t="str">
        <f t="shared" si="12"/>
        <v/>
      </c>
      <c r="B312" s="53"/>
      <c r="C312" s="28" t="str">
        <f t="shared" si="13"/>
        <v/>
      </c>
      <c r="D312" s="28" t="str">
        <f t="shared" si="14"/>
        <v/>
      </c>
      <c r="E312" s="88"/>
      <c r="F312" s="83"/>
    </row>
    <row r="313" spans="1:6">
      <c r="A313" s="10" t="str">
        <f t="shared" si="12"/>
        <v/>
      </c>
      <c r="B313" s="53"/>
      <c r="C313" s="28" t="str">
        <f t="shared" si="13"/>
        <v/>
      </c>
      <c r="D313" s="28" t="str">
        <f t="shared" si="14"/>
        <v/>
      </c>
      <c r="E313" s="88"/>
      <c r="F313" s="83"/>
    </row>
    <row r="314" spans="1:6">
      <c r="A314" s="10" t="str">
        <f t="shared" si="12"/>
        <v/>
      </c>
      <c r="B314" s="53"/>
      <c r="C314" s="28" t="str">
        <f t="shared" si="13"/>
        <v/>
      </c>
      <c r="D314" s="28" t="str">
        <f t="shared" si="14"/>
        <v/>
      </c>
      <c r="E314" s="88"/>
      <c r="F314" s="83"/>
    </row>
    <row r="315" spans="1:6">
      <c r="A315" s="10" t="str">
        <f t="shared" si="12"/>
        <v/>
      </c>
      <c r="B315" s="53"/>
      <c r="C315" s="28" t="str">
        <f t="shared" si="13"/>
        <v/>
      </c>
      <c r="D315" s="28" t="str">
        <f t="shared" si="14"/>
        <v/>
      </c>
      <c r="E315" s="88"/>
      <c r="F315" s="83"/>
    </row>
    <row r="316" spans="1:6">
      <c r="A316" s="10" t="str">
        <f t="shared" si="12"/>
        <v/>
      </c>
      <c r="B316" s="53"/>
      <c r="C316" s="28" t="str">
        <f t="shared" si="13"/>
        <v/>
      </c>
      <c r="D316" s="28" t="str">
        <f t="shared" si="14"/>
        <v/>
      </c>
      <c r="E316" s="88"/>
      <c r="F316" s="83"/>
    </row>
    <row r="317" spans="1:6">
      <c r="A317" s="10" t="str">
        <f t="shared" si="12"/>
        <v/>
      </c>
      <c r="B317" s="53"/>
      <c r="C317" s="28" t="str">
        <f t="shared" si="13"/>
        <v/>
      </c>
      <c r="D317" s="28" t="str">
        <f t="shared" si="14"/>
        <v/>
      </c>
      <c r="E317" s="88"/>
      <c r="F317" s="83"/>
    </row>
    <row r="318" spans="1:6">
      <c r="A318" s="10" t="str">
        <f t="shared" si="12"/>
        <v/>
      </c>
      <c r="B318" s="53"/>
      <c r="C318" s="28" t="str">
        <f t="shared" si="13"/>
        <v/>
      </c>
      <c r="D318" s="28" t="str">
        <f t="shared" si="14"/>
        <v/>
      </c>
      <c r="E318" s="88"/>
      <c r="F318" s="83"/>
    </row>
    <row r="319" spans="1:6">
      <c r="A319" s="10" t="str">
        <f t="shared" si="12"/>
        <v/>
      </c>
      <c r="B319" s="53"/>
      <c r="C319" s="28" t="str">
        <f t="shared" si="13"/>
        <v/>
      </c>
      <c r="D319" s="28" t="str">
        <f t="shared" si="14"/>
        <v/>
      </c>
      <c r="E319" s="88"/>
      <c r="F319" s="83"/>
    </row>
    <row r="320" spans="1:6">
      <c r="A320" s="10" t="str">
        <f t="shared" si="12"/>
        <v/>
      </c>
      <c r="B320" s="53"/>
      <c r="C320" s="28" t="str">
        <f t="shared" si="13"/>
        <v/>
      </c>
      <c r="D320" s="28" t="str">
        <f t="shared" si="14"/>
        <v/>
      </c>
      <c r="E320" s="88"/>
      <c r="F320" s="83"/>
    </row>
    <row r="321" spans="1:6">
      <c r="A321" s="10" t="str">
        <f t="shared" si="12"/>
        <v/>
      </c>
      <c r="B321" s="53"/>
      <c r="C321" s="28" t="str">
        <f t="shared" si="13"/>
        <v/>
      </c>
      <c r="D321" s="28" t="str">
        <f t="shared" si="14"/>
        <v/>
      </c>
      <c r="E321" s="88"/>
      <c r="F321" s="83"/>
    </row>
    <row r="322" spans="1:6">
      <c r="A322" s="10" t="str">
        <f t="shared" si="12"/>
        <v/>
      </c>
      <c r="B322" s="53"/>
      <c r="C322" s="28" t="str">
        <f t="shared" si="13"/>
        <v/>
      </c>
      <c r="D322" s="28" t="str">
        <f t="shared" si="14"/>
        <v/>
      </c>
      <c r="E322" s="88"/>
      <c r="F322" s="83"/>
    </row>
    <row r="323" spans="1:6">
      <c r="A323" s="10" t="str">
        <f t="shared" ref="A323:A386" si="15">IF(E323&gt;0,A322+1,"")</f>
        <v/>
      </c>
      <c r="B323" s="53"/>
      <c r="C323" s="28" t="str">
        <f t="shared" ref="C323:C386" si="16">IF(B323=0,"",TEXT(B323,"mmmm"))</f>
        <v/>
      </c>
      <c r="D323" s="28" t="str">
        <f t="shared" ref="D323:D386" si="17">IF(B323=0,"",TEXT(B323,"yyyy"))</f>
        <v/>
      </c>
      <c r="E323" s="88"/>
      <c r="F323" s="83"/>
    </row>
    <row r="324" spans="1:6">
      <c r="A324" s="10" t="str">
        <f t="shared" si="15"/>
        <v/>
      </c>
      <c r="B324" s="53"/>
      <c r="C324" s="28" t="str">
        <f t="shared" si="16"/>
        <v/>
      </c>
      <c r="D324" s="28" t="str">
        <f t="shared" si="17"/>
        <v/>
      </c>
      <c r="E324" s="88"/>
      <c r="F324" s="83"/>
    </row>
    <row r="325" spans="1:6">
      <c r="A325" s="10" t="str">
        <f t="shared" si="15"/>
        <v/>
      </c>
      <c r="B325" s="53"/>
      <c r="C325" s="28" t="str">
        <f t="shared" si="16"/>
        <v/>
      </c>
      <c r="D325" s="28" t="str">
        <f t="shared" si="17"/>
        <v/>
      </c>
      <c r="E325" s="88"/>
      <c r="F325" s="83"/>
    </row>
    <row r="326" spans="1:6">
      <c r="A326" s="10" t="str">
        <f t="shared" si="15"/>
        <v/>
      </c>
      <c r="B326" s="53"/>
      <c r="C326" s="28" t="str">
        <f t="shared" si="16"/>
        <v/>
      </c>
      <c r="D326" s="28" t="str">
        <f t="shared" si="17"/>
        <v/>
      </c>
      <c r="E326" s="88"/>
      <c r="F326" s="83"/>
    </row>
    <row r="327" spans="1:6">
      <c r="A327" s="10" t="str">
        <f t="shared" si="15"/>
        <v/>
      </c>
      <c r="B327" s="53"/>
      <c r="C327" s="28" t="str">
        <f t="shared" si="16"/>
        <v/>
      </c>
      <c r="D327" s="28" t="str">
        <f t="shared" si="17"/>
        <v/>
      </c>
      <c r="E327" s="88"/>
      <c r="F327" s="83"/>
    </row>
    <row r="328" spans="1:6">
      <c r="A328" s="10" t="str">
        <f t="shared" si="15"/>
        <v/>
      </c>
      <c r="B328" s="53"/>
      <c r="C328" s="28" t="str">
        <f t="shared" si="16"/>
        <v/>
      </c>
      <c r="D328" s="28" t="str">
        <f t="shared" si="17"/>
        <v/>
      </c>
      <c r="E328" s="88"/>
      <c r="F328" s="83"/>
    </row>
    <row r="329" spans="1:6">
      <c r="A329" s="10" t="str">
        <f t="shared" si="15"/>
        <v/>
      </c>
      <c r="B329" s="53"/>
      <c r="C329" s="28" t="str">
        <f t="shared" si="16"/>
        <v/>
      </c>
      <c r="D329" s="28" t="str">
        <f t="shared" si="17"/>
        <v/>
      </c>
      <c r="E329" s="88"/>
      <c r="F329" s="83"/>
    </row>
    <row r="330" spans="1:6">
      <c r="A330" s="10" t="str">
        <f t="shared" si="15"/>
        <v/>
      </c>
      <c r="B330" s="53"/>
      <c r="C330" s="28" t="str">
        <f t="shared" si="16"/>
        <v/>
      </c>
      <c r="D330" s="28" t="str">
        <f t="shared" si="17"/>
        <v/>
      </c>
      <c r="E330" s="88"/>
      <c r="F330" s="83"/>
    </row>
    <row r="331" spans="1:6">
      <c r="A331" s="10" t="str">
        <f t="shared" si="15"/>
        <v/>
      </c>
      <c r="B331" s="53"/>
      <c r="C331" s="28" t="str">
        <f t="shared" si="16"/>
        <v/>
      </c>
      <c r="D331" s="28" t="str">
        <f t="shared" si="17"/>
        <v/>
      </c>
      <c r="E331" s="88"/>
      <c r="F331" s="83"/>
    </row>
    <row r="332" spans="1:6">
      <c r="A332" s="10" t="str">
        <f t="shared" si="15"/>
        <v/>
      </c>
      <c r="B332" s="53"/>
      <c r="C332" s="28" t="str">
        <f t="shared" si="16"/>
        <v/>
      </c>
      <c r="D332" s="28" t="str">
        <f t="shared" si="17"/>
        <v/>
      </c>
      <c r="E332" s="88"/>
      <c r="F332" s="83"/>
    </row>
    <row r="333" spans="1:6">
      <c r="A333" s="10" t="str">
        <f t="shared" si="15"/>
        <v/>
      </c>
      <c r="B333" s="53"/>
      <c r="C333" s="28" t="str">
        <f t="shared" si="16"/>
        <v/>
      </c>
      <c r="D333" s="28" t="str">
        <f t="shared" si="17"/>
        <v/>
      </c>
      <c r="E333" s="88"/>
      <c r="F333" s="83"/>
    </row>
    <row r="334" spans="1:6">
      <c r="A334" s="10" t="str">
        <f t="shared" si="15"/>
        <v/>
      </c>
      <c r="B334" s="53"/>
      <c r="C334" s="28" t="str">
        <f t="shared" si="16"/>
        <v/>
      </c>
      <c r="D334" s="28" t="str">
        <f t="shared" si="17"/>
        <v/>
      </c>
      <c r="E334" s="88"/>
      <c r="F334" s="83"/>
    </row>
    <row r="335" spans="1:6">
      <c r="A335" s="10" t="str">
        <f t="shared" si="15"/>
        <v/>
      </c>
      <c r="B335" s="53"/>
      <c r="C335" s="28" t="str">
        <f t="shared" si="16"/>
        <v/>
      </c>
      <c r="D335" s="28" t="str">
        <f t="shared" si="17"/>
        <v/>
      </c>
      <c r="E335" s="88"/>
      <c r="F335" s="83"/>
    </row>
    <row r="336" spans="1:6">
      <c r="A336" s="10" t="str">
        <f t="shared" si="15"/>
        <v/>
      </c>
      <c r="B336" s="53"/>
      <c r="C336" s="28" t="str">
        <f t="shared" si="16"/>
        <v/>
      </c>
      <c r="D336" s="28" t="str">
        <f t="shared" si="17"/>
        <v/>
      </c>
      <c r="E336" s="88"/>
      <c r="F336" s="83"/>
    </row>
    <row r="337" spans="1:6">
      <c r="A337" s="10" t="str">
        <f t="shared" si="15"/>
        <v/>
      </c>
      <c r="B337" s="53"/>
      <c r="C337" s="28" t="str">
        <f t="shared" si="16"/>
        <v/>
      </c>
      <c r="D337" s="28" t="str">
        <f t="shared" si="17"/>
        <v/>
      </c>
      <c r="E337" s="88"/>
      <c r="F337" s="83"/>
    </row>
    <row r="338" spans="1:6">
      <c r="A338" s="10" t="str">
        <f t="shared" si="15"/>
        <v/>
      </c>
      <c r="B338" s="53"/>
      <c r="C338" s="28" t="str">
        <f t="shared" si="16"/>
        <v/>
      </c>
      <c r="D338" s="28" t="str">
        <f t="shared" si="17"/>
        <v/>
      </c>
      <c r="E338" s="88"/>
      <c r="F338" s="83"/>
    </row>
    <row r="339" spans="1:6">
      <c r="A339" s="10" t="str">
        <f t="shared" si="15"/>
        <v/>
      </c>
      <c r="B339" s="53"/>
      <c r="C339" s="28" t="str">
        <f t="shared" si="16"/>
        <v/>
      </c>
      <c r="D339" s="28" t="str">
        <f t="shared" si="17"/>
        <v/>
      </c>
      <c r="E339" s="88"/>
      <c r="F339" s="83"/>
    </row>
    <row r="340" spans="1:6">
      <c r="A340" s="10" t="str">
        <f t="shared" si="15"/>
        <v/>
      </c>
      <c r="B340" s="53"/>
      <c r="C340" s="28" t="str">
        <f t="shared" si="16"/>
        <v/>
      </c>
      <c r="D340" s="28" t="str">
        <f t="shared" si="17"/>
        <v/>
      </c>
      <c r="E340" s="88"/>
      <c r="F340" s="83"/>
    </row>
    <row r="341" spans="1:6">
      <c r="A341" s="10" t="str">
        <f t="shared" si="15"/>
        <v/>
      </c>
      <c r="B341" s="53"/>
      <c r="C341" s="28" t="str">
        <f t="shared" si="16"/>
        <v/>
      </c>
      <c r="D341" s="28" t="str">
        <f t="shared" si="17"/>
        <v/>
      </c>
      <c r="E341" s="88"/>
      <c r="F341" s="83"/>
    </row>
    <row r="342" spans="1:6">
      <c r="A342" s="10" t="str">
        <f t="shared" si="15"/>
        <v/>
      </c>
      <c r="B342" s="53"/>
      <c r="C342" s="28" t="str">
        <f t="shared" si="16"/>
        <v/>
      </c>
      <c r="D342" s="28" t="str">
        <f t="shared" si="17"/>
        <v/>
      </c>
      <c r="E342" s="88"/>
      <c r="F342" s="83"/>
    </row>
    <row r="343" spans="1:6">
      <c r="A343" s="10" t="str">
        <f t="shared" si="15"/>
        <v/>
      </c>
      <c r="B343" s="53"/>
      <c r="C343" s="28" t="str">
        <f t="shared" si="16"/>
        <v/>
      </c>
      <c r="D343" s="28" t="str">
        <f t="shared" si="17"/>
        <v/>
      </c>
      <c r="E343" s="88"/>
      <c r="F343" s="83"/>
    </row>
    <row r="344" spans="1:6">
      <c r="A344" s="10" t="str">
        <f t="shared" si="15"/>
        <v/>
      </c>
      <c r="B344" s="53"/>
      <c r="C344" s="28" t="str">
        <f t="shared" si="16"/>
        <v/>
      </c>
      <c r="D344" s="28" t="str">
        <f t="shared" si="17"/>
        <v/>
      </c>
      <c r="E344" s="88"/>
      <c r="F344" s="83"/>
    </row>
    <row r="345" spans="1:6">
      <c r="A345" s="10" t="str">
        <f t="shared" si="15"/>
        <v/>
      </c>
      <c r="B345" s="53"/>
      <c r="C345" s="28" t="str">
        <f t="shared" si="16"/>
        <v/>
      </c>
      <c r="D345" s="28" t="str">
        <f t="shared" si="17"/>
        <v/>
      </c>
      <c r="E345" s="88"/>
      <c r="F345" s="83"/>
    </row>
    <row r="346" spans="1:6">
      <c r="A346" s="10" t="str">
        <f t="shared" si="15"/>
        <v/>
      </c>
      <c r="B346" s="53"/>
      <c r="C346" s="28" t="str">
        <f t="shared" si="16"/>
        <v/>
      </c>
      <c r="D346" s="28" t="str">
        <f t="shared" si="17"/>
        <v/>
      </c>
      <c r="E346" s="88"/>
      <c r="F346" s="83"/>
    </row>
    <row r="347" spans="1:6">
      <c r="A347" s="10" t="str">
        <f t="shared" si="15"/>
        <v/>
      </c>
      <c r="B347" s="53"/>
      <c r="C347" s="28" t="str">
        <f t="shared" si="16"/>
        <v/>
      </c>
      <c r="D347" s="28" t="str">
        <f t="shared" si="17"/>
        <v/>
      </c>
      <c r="E347" s="88"/>
      <c r="F347" s="83"/>
    </row>
    <row r="348" spans="1:6">
      <c r="A348" s="10" t="str">
        <f t="shared" si="15"/>
        <v/>
      </c>
      <c r="B348" s="53"/>
      <c r="C348" s="28" t="str">
        <f t="shared" si="16"/>
        <v/>
      </c>
      <c r="D348" s="28" t="str">
        <f t="shared" si="17"/>
        <v/>
      </c>
      <c r="E348" s="88"/>
      <c r="F348" s="83"/>
    </row>
    <row r="349" spans="1:6">
      <c r="A349" s="10" t="str">
        <f t="shared" si="15"/>
        <v/>
      </c>
      <c r="B349" s="53"/>
      <c r="C349" s="28" t="str">
        <f t="shared" si="16"/>
        <v/>
      </c>
      <c r="D349" s="28" t="str">
        <f t="shared" si="17"/>
        <v/>
      </c>
      <c r="E349" s="88"/>
      <c r="F349" s="83"/>
    </row>
    <row r="350" spans="1:6">
      <c r="A350" s="10" t="str">
        <f t="shared" si="15"/>
        <v/>
      </c>
      <c r="B350" s="53"/>
      <c r="C350" s="28" t="str">
        <f t="shared" si="16"/>
        <v/>
      </c>
      <c r="D350" s="28" t="str">
        <f t="shared" si="17"/>
        <v/>
      </c>
      <c r="E350" s="88"/>
      <c r="F350" s="83"/>
    </row>
    <row r="351" spans="1:6">
      <c r="A351" s="10" t="str">
        <f t="shared" si="15"/>
        <v/>
      </c>
      <c r="B351" s="53"/>
      <c r="C351" s="28" t="str">
        <f t="shared" si="16"/>
        <v/>
      </c>
      <c r="D351" s="28" t="str">
        <f t="shared" si="17"/>
        <v/>
      </c>
      <c r="E351" s="88"/>
      <c r="F351" s="83"/>
    </row>
    <row r="352" spans="1:6">
      <c r="A352" s="10" t="str">
        <f t="shared" si="15"/>
        <v/>
      </c>
      <c r="B352" s="53"/>
      <c r="C352" s="28" t="str">
        <f t="shared" si="16"/>
        <v/>
      </c>
      <c r="D352" s="28" t="str">
        <f t="shared" si="17"/>
        <v/>
      </c>
      <c r="E352" s="88"/>
      <c r="F352" s="83"/>
    </row>
    <row r="353" spans="1:6">
      <c r="A353" s="10" t="str">
        <f t="shared" si="15"/>
        <v/>
      </c>
      <c r="B353" s="53"/>
      <c r="C353" s="28" t="str">
        <f t="shared" si="16"/>
        <v/>
      </c>
      <c r="D353" s="28" t="str">
        <f t="shared" si="17"/>
        <v/>
      </c>
      <c r="E353" s="88"/>
      <c r="F353" s="83"/>
    </row>
    <row r="354" spans="1:6">
      <c r="A354" s="10" t="str">
        <f t="shared" si="15"/>
        <v/>
      </c>
      <c r="B354" s="53"/>
      <c r="C354" s="28" t="str">
        <f t="shared" si="16"/>
        <v/>
      </c>
      <c r="D354" s="28" t="str">
        <f t="shared" si="17"/>
        <v/>
      </c>
      <c r="E354" s="88"/>
      <c r="F354" s="83"/>
    </row>
    <row r="355" spans="1:6">
      <c r="A355" s="10" t="str">
        <f t="shared" si="15"/>
        <v/>
      </c>
      <c r="B355" s="53"/>
      <c r="C355" s="28" t="str">
        <f t="shared" si="16"/>
        <v/>
      </c>
      <c r="D355" s="28" t="str">
        <f t="shared" si="17"/>
        <v/>
      </c>
      <c r="E355" s="88"/>
      <c r="F355" s="83"/>
    </row>
    <row r="356" spans="1:6">
      <c r="A356" s="10" t="str">
        <f t="shared" si="15"/>
        <v/>
      </c>
      <c r="B356" s="53"/>
      <c r="C356" s="28" t="str">
        <f t="shared" si="16"/>
        <v/>
      </c>
      <c r="D356" s="28" t="str">
        <f t="shared" si="17"/>
        <v/>
      </c>
      <c r="E356" s="88"/>
      <c r="F356" s="83"/>
    </row>
    <row r="357" spans="1:6">
      <c r="A357" s="10" t="str">
        <f t="shared" si="15"/>
        <v/>
      </c>
      <c r="B357" s="53"/>
      <c r="C357" s="28" t="str">
        <f t="shared" si="16"/>
        <v/>
      </c>
      <c r="D357" s="28" t="str">
        <f t="shared" si="17"/>
        <v/>
      </c>
      <c r="E357" s="88"/>
      <c r="F357" s="83"/>
    </row>
    <row r="358" spans="1:6">
      <c r="A358" s="10" t="str">
        <f t="shared" si="15"/>
        <v/>
      </c>
      <c r="B358" s="53"/>
      <c r="C358" s="28" t="str">
        <f t="shared" si="16"/>
        <v/>
      </c>
      <c r="D358" s="28" t="str">
        <f t="shared" si="17"/>
        <v/>
      </c>
      <c r="E358" s="88"/>
      <c r="F358" s="83"/>
    </row>
    <row r="359" spans="1:6">
      <c r="A359" s="10" t="str">
        <f t="shared" si="15"/>
        <v/>
      </c>
      <c r="B359" s="53"/>
      <c r="C359" s="28" t="str">
        <f t="shared" si="16"/>
        <v/>
      </c>
      <c r="D359" s="28" t="str">
        <f t="shared" si="17"/>
        <v/>
      </c>
      <c r="E359" s="88"/>
      <c r="F359" s="83"/>
    </row>
    <row r="360" spans="1:6">
      <c r="A360" s="10" t="str">
        <f t="shared" si="15"/>
        <v/>
      </c>
      <c r="B360" s="53"/>
      <c r="C360" s="28" t="str">
        <f t="shared" si="16"/>
        <v/>
      </c>
      <c r="D360" s="28" t="str">
        <f t="shared" si="17"/>
        <v/>
      </c>
      <c r="E360" s="88"/>
      <c r="F360" s="83"/>
    </row>
    <row r="361" spans="1:6">
      <c r="A361" s="10" t="str">
        <f t="shared" si="15"/>
        <v/>
      </c>
      <c r="B361" s="53"/>
      <c r="C361" s="28" t="str">
        <f t="shared" si="16"/>
        <v/>
      </c>
      <c r="D361" s="28" t="str">
        <f t="shared" si="17"/>
        <v/>
      </c>
      <c r="E361" s="88"/>
      <c r="F361" s="83"/>
    </row>
    <row r="362" spans="1:6">
      <c r="A362" s="10" t="str">
        <f t="shared" si="15"/>
        <v/>
      </c>
      <c r="B362" s="53"/>
      <c r="C362" s="28" t="str">
        <f t="shared" si="16"/>
        <v/>
      </c>
      <c r="D362" s="28" t="str">
        <f t="shared" si="17"/>
        <v/>
      </c>
      <c r="E362" s="88"/>
      <c r="F362" s="83"/>
    </row>
    <row r="363" spans="1:6">
      <c r="A363" s="10" t="str">
        <f t="shared" si="15"/>
        <v/>
      </c>
      <c r="B363" s="53"/>
      <c r="C363" s="28" t="str">
        <f t="shared" si="16"/>
        <v/>
      </c>
      <c r="D363" s="28" t="str">
        <f t="shared" si="17"/>
        <v/>
      </c>
      <c r="E363" s="88"/>
      <c r="F363" s="83"/>
    </row>
    <row r="364" spans="1:6">
      <c r="A364" s="10" t="str">
        <f t="shared" si="15"/>
        <v/>
      </c>
      <c r="B364" s="53"/>
      <c r="C364" s="28" t="str">
        <f t="shared" si="16"/>
        <v/>
      </c>
      <c r="D364" s="28" t="str">
        <f t="shared" si="17"/>
        <v/>
      </c>
      <c r="E364" s="88"/>
      <c r="F364" s="83"/>
    </row>
    <row r="365" spans="1:6">
      <c r="A365" s="10" t="str">
        <f t="shared" si="15"/>
        <v/>
      </c>
      <c r="B365" s="53"/>
      <c r="C365" s="28" t="str">
        <f t="shared" si="16"/>
        <v/>
      </c>
      <c r="D365" s="28" t="str">
        <f t="shared" si="17"/>
        <v/>
      </c>
      <c r="E365" s="88"/>
      <c r="F365" s="83"/>
    </row>
    <row r="366" spans="1:6">
      <c r="A366" s="10" t="str">
        <f t="shared" si="15"/>
        <v/>
      </c>
      <c r="B366" s="53"/>
      <c r="C366" s="28" t="str">
        <f t="shared" si="16"/>
        <v/>
      </c>
      <c r="D366" s="28" t="str">
        <f t="shared" si="17"/>
        <v/>
      </c>
      <c r="E366" s="88"/>
      <c r="F366" s="83"/>
    </row>
    <row r="367" spans="1:6">
      <c r="A367" s="10" t="str">
        <f t="shared" si="15"/>
        <v/>
      </c>
      <c r="B367" s="53"/>
      <c r="C367" s="28" t="str">
        <f t="shared" si="16"/>
        <v/>
      </c>
      <c r="D367" s="28" t="str">
        <f t="shared" si="17"/>
        <v/>
      </c>
      <c r="E367" s="88"/>
      <c r="F367" s="83"/>
    </row>
    <row r="368" spans="1:6">
      <c r="A368" s="10" t="str">
        <f t="shared" si="15"/>
        <v/>
      </c>
      <c r="B368" s="53"/>
      <c r="C368" s="28" t="str">
        <f t="shared" si="16"/>
        <v/>
      </c>
      <c r="D368" s="28" t="str">
        <f t="shared" si="17"/>
        <v/>
      </c>
      <c r="E368" s="88"/>
      <c r="F368" s="83"/>
    </row>
    <row r="369" spans="1:6">
      <c r="A369" s="10" t="str">
        <f t="shared" si="15"/>
        <v/>
      </c>
      <c r="B369" s="53"/>
      <c r="C369" s="28" t="str">
        <f t="shared" si="16"/>
        <v/>
      </c>
      <c r="D369" s="28" t="str">
        <f t="shared" si="17"/>
        <v/>
      </c>
      <c r="E369" s="88"/>
      <c r="F369" s="83"/>
    </row>
    <row r="370" spans="1:6">
      <c r="A370" s="10" t="str">
        <f t="shared" si="15"/>
        <v/>
      </c>
      <c r="B370" s="53"/>
      <c r="C370" s="28" t="str">
        <f t="shared" si="16"/>
        <v/>
      </c>
      <c r="D370" s="28" t="str">
        <f t="shared" si="17"/>
        <v/>
      </c>
      <c r="E370" s="88"/>
      <c r="F370" s="83"/>
    </row>
    <row r="371" spans="1:6">
      <c r="A371" s="10" t="str">
        <f t="shared" si="15"/>
        <v/>
      </c>
      <c r="B371" s="53"/>
      <c r="C371" s="28" t="str">
        <f t="shared" si="16"/>
        <v/>
      </c>
      <c r="D371" s="28" t="str">
        <f t="shared" si="17"/>
        <v/>
      </c>
      <c r="E371" s="88"/>
      <c r="F371" s="83"/>
    </row>
    <row r="372" spans="1:6">
      <c r="A372" s="10" t="str">
        <f t="shared" si="15"/>
        <v/>
      </c>
      <c r="B372" s="53"/>
      <c r="C372" s="28" t="str">
        <f t="shared" si="16"/>
        <v/>
      </c>
      <c r="D372" s="28" t="str">
        <f t="shared" si="17"/>
        <v/>
      </c>
      <c r="E372" s="88"/>
      <c r="F372" s="83"/>
    </row>
    <row r="373" spans="1:6">
      <c r="A373" s="10" t="str">
        <f t="shared" si="15"/>
        <v/>
      </c>
      <c r="B373" s="53"/>
      <c r="C373" s="28" t="str">
        <f t="shared" si="16"/>
        <v/>
      </c>
      <c r="D373" s="28" t="str">
        <f t="shared" si="17"/>
        <v/>
      </c>
      <c r="E373" s="88"/>
      <c r="F373" s="83"/>
    </row>
    <row r="374" spans="1:6">
      <c r="A374" s="10" t="str">
        <f t="shared" si="15"/>
        <v/>
      </c>
      <c r="B374" s="53"/>
      <c r="C374" s="28" t="str">
        <f t="shared" si="16"/>
        <v/>
      </c>
      <c r="D374" s="28" t="str">
        <f t="shared" si="17"/>
        <v/>
      </c>
      <c r="E374" s="88"/>
      <c r="F374" s="83"/>
    </row>
    <row r="375" spans="1:6">
      <c r="A375" s="10" t="str">
        <f t="shared" si="15"/>
        <v/>
      </c>
      <c r="B375" s="53"/>
      <c r="C375" s="28" t="str">
        <f t="shared" si="16"/>
        <v/>
      </c>
      <c r="D375" s="28" t="str">
        <f t="shared" si="17"/>
        <v/>
      </c>
      <c r="E375" s="88"/>
      <c r="F375" s="83"/>
    </row>
    <row r="376" spans="1:6">
      <c r="A376" s="10" t="str">
        <f t="shared" si="15"/>
        <v/>
      </c>
      <c r="B376" s="53"/>
      <c r="C376" s="28" t="str">
        <f t="shared" si="16"/>
        <v/>
      </c>
      <c r="D376" s="28" t="str">
        <f t="shared" si="17"/>
        <v/>
      </c>
      <c r="E376" s="88"/>
      <c r="F376" s="83"/>
    </row>
    <row r="377" spans="1:6">
      <c r="A377" s="10" t="str">
        <f t="shared" si="15"/>
        <v/>
      </c>
      <c r="B377" s="53"/>
      <c r="C377" s="28" t="str">
        <f t="shared" si="16"/>
        <v/>
      </c>
      <c r="D377" s="28" t="str">
        <f t="shared" si="17"/>
        <v/>
      </c>
      <c r="E377" s="88"/>
      <c r="F377" s="83"/>
    </row>
    <row r="378" spans="1:6">
      <c r="A378" s="10" t="str">
        <f t="shared" si="15"/>
        <v/>
      </c>
      <c r="B378" s="53"/>
      <c r="C378" s="28" t="str">
        <f t="shared" si="16"/>
        <v/>
      </c>
      <c r="D378" s="28" t="str">
        <f t="shared" si="17"/>
        <v/>
      </c>
      <c r="E378" s="88"/>
      <c r="F378" s="83"/>
    </row>
    <row r="379" spans="1:6">
      <c r="A379" s="10" t="str">
        <f t="shared" si="15"/>
        <v/>
      </c>
      <c r="B379" s="53"/>
      <c r="C379" s="28" t="str">
        <f t="shared" si="16"/>
        <v/>
      </c>
      <c r="D379" s="28" t="str">
        <f t="shared" si="17"/>
        <v/>
      </c>
      <c r="E379" s="88"/>
      <c r="F379" s="83"/>
    </row>
    <row r="380" spans="1:6">
      <c r="A380" s="10" t="str">
        <f t="shared" si="15"/>
        <v/>
      </c>
      <c r="B380" s="53"/>
      <c r="C380" s="28" t="str">
        <f t="shared" si="16"/>
        <v/>
      </c>
      <c r="D380" s="28" t="str">
        <f t="shared" si="17"/>
        <v/>
      </c>
      <c r="E380" s="88"/>
      <c r="F380" s="83"/>
    </row>
    <row r="381" spans="1:6">
      <c r="A381" s="10" t="str">
        <f t="shared" si="15"/>
        <v/>
      </c>
      <c r="B381" s="53"/>
      <c r="C381" s="28" t="str">
        <f t="shared" si="16"/>
        <v/>
      </c>
      <c r="D381" s="28" t="str">
        <f t="shared" si="17"/>
        <v/>
      </c>
      <c r="E381" s="88"/>
      <c r="F381" s="83"/>
    </row>
    <row r="382" spans="1:6">
      <c r="A382" s="10" t="str">
        <f t="shared" si="15"/>
        <v/>
      </c>
      <c r="B382" s="53"/>
      <c r="C382" s="28" t="str">
        <f t="shared" si="16"/>
        <v/>
      </c>
      <c r="D382" s="28" t="str">
        <f t="shared" si="17"/>
        <v/>
      </c>
      <c r="E382" s="88"/>
      <c r="F382" s="83"/>
    </row>
    <row r="383" spans="1:6">
      <c r="A383" s="10" t="str">
        <f t="shared" si="15"/>
        <v/>
      </c>
      <c r="B383" s="53"/>
      <c r="C383" s="28" t="str">
        <f t="shared" si="16"/>
        <v/>
      </c>
      <c r="D383" s="28" t="str">
        <f t="shared" si="17"/>
        <v/>
      </c>
      <c r="E383" s="88"/>
      <c r="F383" s="83"/>
    </row>
    <row r="384" spans="1:6">
      <c r="A384" s="10" t="str">
        <f t="shared" si="15"/>
        <v/>
      </c>
      <c r="B384" s="53"/>
      <c r="C384" s="28" t="str">
        <f t="shared" si="16"/>
        <v/>
      </c>
      <c r="D384" s="28" t="str">
        <f t="shared" si="17"/>
        <v/>
      </c>
      <c r="E384" s="88"/>
      <c r="F384" s="83"/>
    </row>
    <row r="385" spans="1:6">
      <c r="A385" s="10" t="str">
        <f t="shared" si="15"/>
        <v/>
      </c>
      <c r="B385" s="53"/>
      <c r="C385" s="28" t="str">
        <f t="shared" si="16"/>
        <v/>
      </c>
      <c r="D385" s="28" t="str">
        <f t="shared" si="17"/>
        <v/>
      </c>
      <c r="E385" s="88"/>
      <c r="F385" s="83"/>
    </row>
    <row r="386" spans="1:6">
      <c r="A386" s="10" t="str">
        <f t="shared" si="15"/>
        <v/>
      </c>
      <c r="B386" s="53"/>
      <c r="C386" s="28" t="str">
        <f t="shared" si="16"/>
        <v/>
      </c>
      <c r="D386" s="28" t="str">
        <f t="shared" si="17"/>
        <v/>
      </c>
      <c r="E386" s="88"/>
      <c r="F386" s="83"/>
    </row>
    <row r="387" spans="1:6">
      <c r="A387" s="10" t="str">
        <f t="shared" ref="A387:A450" si="18">IF(E387&gt;0,A386+1,"")</f>
        <v/>
      </c>
      <c r="B387" s="53"/>
      <c r="C387" s="28" t="str">
        <f t="shared" ref="C387:C450" si="19">IF(B387=0,"",TEXT(B387,"mmmm"))</f>
        <v/>
      </c>
      <c r="D387" s="28" t="str">
        <f t="shared" ref="D387:D450" si="20">IF(B387=0,"",TEXT(B387,"yyyy"))</f>
        <v/>
      </c>
      <c r="E387" s="88"/>
      <c r="F387" s="83"/>
    </row>
    <row r="388" spans="1:6">
      <c r="A388" s="10" t="str">
        <f t="shared" si="18"/>
        <v/>
      </c>
      <c r="B388" s="53"/>
      <c r="C388" s="28" t="str">
        <f t="shared" si="19"/>
        <v/>
      </c>
      <c r="D388" s="28" t="str">
        <f t="shared" si="20"/>
        <v/>
      </c>
      <c r="E388" s="88"/>
      <c r="F388" s="83"/>
    </row>
    <row r="389" spans="1:6">
      <c r="A389" s="10" t="str">
        <f t="shared" si="18"/>
        <v/>
      </c>
      <c r="B389" s="53"/>
      <c r="C389" s="28" t="str">
        <f t="shared" si="19"/>
        <v/>
      </c>
      <c r="D389" s="28" t="str">
        <f t="shared" si="20"/>
        <v/>
      </c>
      <c r="E389" s="88"/>
      <c r="F389" s="83"/>
    </row>
    <row r="390" spans="1:6">
      <c r="A390" s="10" t="str">
        <f t="shared" si="18"/>
        <v/>
      </c>
      <c r="B390" s="53"/>
      <c r="C390" s="28" t="str">
        <f t="shared" si="19"/>
        <v/>
      </c>
      <c r="D390" s="28" t="str">
        <f t="shared" si="20"/>
        <v/>
      </c>
      <c r="E390" s="88"/>
      <c r="F390" s="83"/>
    </row>
    <row r="391" spans="1:6">
      <c r="A391" s="10" t="str">
        <f t="shared" si="18"/>
        <v/>
      </c>
      <c r="B391" s="53"/>
      <c r="C391" s="28" t="str">
        <f t="shared" si="19"/>
        <v/>
      </c>
      <c r="D391" s="28" t="str">
        <f t="shared" si="20"/>
        <v/>
      </c>
      <c r="E391" s="88"/>
      <c r="F391" s="83"/>
    </row>
    <row r="392" spans="1:6">
      <c r="A392" s="10" t="str">
        <f t="shared" si="18"/>
        <v/>
      </c>
      <c r="B392" s="53"/>
      <c r="C392" s="28" t="str">
        <f t="shared" si="19"/>
        <v/>
      </c>
      <c r="D392" s="28" t="str">
        <f t="shared" si="20"/>
        <v/>
      </c>
      <c r="E392" s="88"/>
      <c r="F392" s="83"/>
    </row>
    <row r="393" spans="1:6">
      <c r="A393" s="10" t="str">
        <f t="shared" si="18"/>
        <v/>
      </c>
      <c r="B393" s="53"/>
      <c r="C393" s="28" t="str">
        <f t="shared" si="19"/>
        <v/>
      </c>
      <c r="D393" s="28" t="str">
        <f t="shared" si="20"/>
        <v/>
      </c>
      <c r="E393" s="88"/>
      <c r="F393" s="83"/>
    </row>
    <row r="394" spans="1:6">
      <c r="A394" s="10" t="str">
        <f t="shared" si="18"/>
        <v/>
      </c>
      <c r="B394" s="53"/>
      <c r="C394" s="28" t="str">
        <f t="shared" si="19"/>
        <v/>
      </c>
      <c r="D394" s="28" t="str">
        <f t="shared" si="20"/>
        <v/>
      </c>
      <c r="E394" s="88"/>
      <c r="F394" s="83"/>
    </row>
    <row r="395" spans="1:6">
      <c r="A395" s="10" t="str">
        <f t="shared" si="18"/>
        <v/>
      </c>
      <c r="B395" s="53"/>
      <c r="C395" s="28" t="str">
        <f t="shared" si="19"/>
        <v/>
      </c>
      <c r="D395" s="28" t="str">
        <f t="shared" si="20"/>
        <v/>
      </c>
      <c r="E395" s="88"/>
      <c r="F395" s="83"/>
    </row>
    <row r="396" spans="1:6">
      <c r="A396" s="10" t="str">
        <f t="shared" si="18"/>
        <v/>
      </c>
      <c r="B396" s="53"/>
      <c r="C396" s="28" t="str">
        <f t="shared" si="19"/>
        <v/>
      </c>
      <c r="D396" s="28" t="str">
        <f t="shared" si="20"/>
        <v/>
      </c>
      <c r="E396" s="88"/>
      <c r="F396" s="83"/>
    </row>
    <row r="397" spans="1:6">
      <c r="A397" s="10" t="str">
        <f t="shared" si="18"/>
        <v/>
      </c>
      <c r="B397" s="53"/>
      <c r="C397" s="28" t="str">
        <f t="shared" si="19"/>
        <v/>
      </c>
      <c r="D397" s="28" t="str">
        <f t="shared" si="20"/>
        <v/>
      </c>
      <c r="E397" s="88"/>
      <c r="F397" s="83"/>
    </row>
    <row r="398" spans="1:6">
      <c r="A398" s="10" t="str">
        <f t="shared" si="18"/>
        <v/>
      </c>
      <c r="B398" s="53"/>
      <c r="C398" s="28" t="str">
        <f t="shared" si="19"/>
        <v/>
      </c>
      <c r="D398" s="28" t="str">
        <f t="shared" si="20"/>
        <v/>
      </c>
      <c r="E398" s="88"/>
      <c r="F398" s="83"/>
    </row>
    <row r="399" spans="1:6">
      <c r="A399" s="10" t="str">
        <f t="shared" si="18"/>
        <v/>
      </c>
      <c r="B399" s="53"/>
      <c r="C399" s="28" t="str">
        <f t="shared" si="19"/>
        <v/>
      </c>
      <c r="D399" s="28" t="str">
        <f t="shared" si="20"/>
        <v/>
      </c>
      <c r="E399" s="88"/>
      <c r="F399" s="83"/>
    </row>
    <row r="400" spans="1:6">
      <c r="A400" s="10" t="str">
        <f t="shared" si="18"/>
        <v/>
      </c>
      <c r="B400" s="53"/>
      <c r="C400" s="28" t="str">
        <f t="shared" si="19"/>
        <v/>
      </c>
      <c r="D400" s="28" t="str">
        <f t="shared" si="20"/>
        <v/>
      </c>
      <c r="E400" s="88"/>
      <c r="F400" s="83"/>
    </row>
    <row r="401" spans="1:6">
      <c r="A401" s="10" t="str">
        <f t="shared" si="18"/>
        <v/>
      </c>
      <c r="B401" s="53"/>
      <c r="C401" s="28" t="str">
        <f t="shared" si="19"/>
        <v/>
      </c>
      <c r="D401" s="28" t="str">
        <f t="shared" si="20"/>
        <v/>
      </c>
      <c r="E401" s="88"/>
      <c r="F401" s="83"/>
    </row>
    <row r="402" spans="1:6">
      <c r="A402" s="10" t="str">
        <f t="shared" si="18"/>
        <v/>
      </c>
      <c r="B402" s="53"/>
      <c r="C402" s="28" t="str">
        <f t="shared" si="19"/>
        <v/>
      </c>
      <c r="D402" s="28" t="str">
        <f t="shared" si="20"/>
        <v/>
      </c>
      <c r="E402" s="88"/>
      <c r="F402" s="83"/>
    </row>
    <row r="403" spans="1:6">
      <c r="A403" s="10" t="str">
        <f t="shared" si="18"/>
        <v/>
      </c>
      <c r="B403" s="53"/>
      <c r="C403" s="28" t="str">
        <f t="shared" si="19"/>
        <v/>
      </c>
      <c r="D403" s="28" t="str">
        <f t="shared" si="20"/>
        <v/>
      </c>
      <c r="E403" s="88"/>
      <c r="F403" s="83"/>
    </row>
    <row r="404" spans="1:6">
      <c r="A404" s="10" t="str">
        <f t="shared" si="18"/>
        <v/>
      </c>
      <c r="B404" s="53"/>
      <c r="C404" s="28" t="str">
        <f t="shared" si="19"/>
        <v/>
      </c>
      <c r="D404" s="28" t="str">
        <f t="shared" si="20"/>
        <v/>
      </c>
      <c r="E404" s="88"/>
      <c r="F404" s="83"/>
    </row>
    <row r="405" spans="1:6">
      <c r="A405" s="10" t="str">
        <f t="shared" si="18"/>
        <v/>
      </c>
      <c r="B405" s="53"/>
      <c r="C405" s="28" t="str">
        <f t="shared" si="19"/>
        <v/>
      </c>
      <c r="D405" s="28" t="str">
        <f t="shared" si="20"/>
        <v/>
      </c>
      <c r="E405" s="88"/>
      <c r="F405" s="83"/>
    </row>
    <row r="406" spans="1:6">
      <c r="A406" s="10" t="str">
        <f t="shared" si="18"/>
        <v/>
      </c>
      <c r="B406" s="53"/>
      <c r="C406" s="28" t="str">
        <f t="shared" si="19"/>
        <v/>
      </c>
      <c r="D406" s="28" t="str">
        <f t="shared" si="20"/>
        <v/>
      </c>
      <c r="E406" s="88"/>
      <c r="F406" s="83"/>
    </row>
    <row r="407" spans="1:6">
      <c r="A407" s="10" t="str">
        <f t="shared" si="18"/>
        <v/>
      </c>
      <c r="B407" s="53"/>
      <c r="C407" s="28" t="str">
        <f t="shared" si="19"/>
        <v/>
      </c>
      <c r="D407" s="28" t="str">
        <f t="shared" si="20"/>
        <v/>
      </c>
      <c r="E407" s="88"/>
      <c r="F407" s="83"/>
    </row>
    <row r="408" spans="1:6">
      <c r="A408" s="10" t="str">
        <f t="shared" si="18"/>
        <v/>
      </c>
      <c r="B408" s="53"/>
      <c r="C408" s="28" t="str">
        <f t="shared" si="19"/>
        <v/>
      </c>
      <c r="D408" s="28" t="str">
        <f t="shared" si="20"/>
        <v/>
      </c>
      <c r="E408" s="88"/>
      <c r="F408" s="83"/>
    </row>
    <row r="409" spans="1:6">
      <c r="A409" s="10" t="str">
        <f t="shared" si="18"/>
        <v/>
      </c>
      <c r="B409" s="53"/>
      <c r="C409" s="28" t="str">
        <f t="shared" si="19"/>
        <v/>
      </c>
      <c r="D409" s="28" t="str">
        <f t="shared" si="20"/>
        <v/>
      </c>
      <c r="E409" s="88"/>
      <c r="F409" s="83"/>
    </row>
    <row r="410" spans="1:6">
      <c r="A410" s="10" t="str">
        <f t="shared" si="18"/>
        <v/>
      </c>
      <c r="B410" s="53"/>
      <c r="C410" s="28" t="str">
        <f t="shared" si="19"/>
        <v/>
      </c>
      <c r="D410" s="28" t="str">
        <f t="shared" si="20"/>
        <v/>
      </c>
      <c r="E410" s="88"/>
      <c r="F410" s="83"/>
    </row>
    <row r="411" spans="1:6">
      <c r="A411" s="10" t="str">
        <f t="shared" si="18"/>
        <v/>
      </c>
      <c r="B411" s="53"/>
      <c r="C411" s="28" t="str">
        <f t="shared" si="19"/>
        <v/>
      </c>
      <c r="D411" s="28" t="str">
        <f t="shared" si="20"/>
        <v/>
      </c>
      <c r="E411" s="88"/>
      <c r="F411" s="83"/>
    </row>
    <row r="412" spans="1:6">
      <c r="A412" s="10" t="str">
        <f t="shared" si="18"/>
        <v/>
      </c>
      <c r="B412" s="53"/>
      <c r="C412" s="28" t="str">
        <f t="shared" si="19"/>
        <v/>
      </c>
      <c r="D412" s="28" t="str">
        <f t="shared" si="20"/>
        <v/>
      </c>
      <c r="E412" s="88"/>
      <c r="F412" s="83"/>
    </row>
    <row r="413" spans="1:6">
      <c r="A413" s="10" t="str">
        <f t="shared" si="18"/>
        <v/>
      </c>
      <c r="B413" s="53"/>
      <c r="C413" s="28" t="str">
        <f t="shared" si="19"/>
        <v/>
      </c>
      <c r="D413" s="28" t="str">
        <f t="shared" si="20"/>
        <v/>
      </c>
      <c r="E413" s="88"/>
      <c r="F413" s="83"/>
    </row>
    <row r="414" spans="1:6">
      <c r="A414" s="10" t="str">
        <f t="shared" si="18"/>
        <v/>
      </c>
      <c r="B414" s="53"/>
      <c r="C414" s="28" t="str">
        <f t="shared" si="19"/>
        <v/>
      </c>
      <c r="D414" s="28" t="str">
        <f t="shared" si="20"/>
        <v/>
      </c>
      <c r="E414" s="88"/>
      <c r="F414" s="83"/>
    </row>
    <row r="415" spans="1:6">
      <c r="A415" s="10" t="str">
        <f t="shared" si="18"/>
        <v/>
      </c>
      <c r="B415" s="53"/>
      <c r="C415" s="28" t="str">
        <f t="shared" si="19"/>
        <v/>
      </c>
      <c r="D415" s="28" t="str">
        <f t="shared" si="20"/>
        <v/>
      </c>
      <c r="E415" s="88"/>
      <c r="F415" s="83"/>
    </row>
    <row r="416" spans="1:6">
      <c r="A416" s="10" t="str">
        <f t="shared" si="18"/>
        <v/>
      </c>
      <c r="B416" s="53"/>
      <c r="C416" s="28" t="str">
        <f t="shared" si="19"/>
        <v/>
      </c>
      <c r="D416" s="28" t="str">
        <f t="shared" si="20"/>
        <v/>
      </c>
      <c r="E416" s="88"/>
      <c r="F416" s="83"/>
    </row>
    <row r="417" spans="1:6">
      <c r="A417" s="10" t="str">
        <f t="shared" si="18"/>
        <v/>
      </c>
      <c r="B417" s="53"/>
      <c r="C417" s="28" t="str">
        <f t="shared" si="19"/>
        <v/>
      </c>
      <c r="D417" s="28" t="str">
        <f t="shared" si="20"/>
        <v/>
      </c>
      <c r="E417" s="88"/>
      <c r="F417" s="83"/>
    </row>
    <row r="418" spans="1:6">
      <c r="A418" s="10" t="str">
        <f t="shared" si="18"/>
        <v/>
      </c>
      <c r="B418" s="53"/>
      <c r="C418" s="28" t="str">
        <f t="shared" si="19"/>
        <v/>
      </c>
      <c r="D418" s="28" t="str">
        <f t="shared" si="20"/>
        <v/>
      </c>
      <c r="E418" s="88"/>
      <c r="F418" s="83"/>
    </row>
    <row r="419" spans="1:6">
      <c r="A419" s="10" t="str">
        <f t="shared" si="18"/>
        <v/>
      </c>
      <c r="B419" s="53"/>
      <c r="C419" s="28" t="str">
        <f t="shared" si="19"/>
        <v/>
      </c>
      <c r="D419" s="28" t="str">
        <f t="shared" si="20"/>
        <v/>
      </c>
      <c r="E419" s="88"/>
      <c r="F419" s="83"/>
    </row>
    <row r="420" spans="1:6">
      <c r="A420" s="10" t="str">
        <f t="shared" si="18"/>
        <v/>
      </c>
      <c r="B420" s="53"/>
      <c r="C420" s="28" t="str">
        <f t="shared" si="19"/>
        <v/>
      </c>
      <c r="D420" s="28" t="str">
        <f t="shared" si="20"/>
        <v/>
      </c>
      <c r="E420" s="88"/>
      <c r="F420" s="83"/>
    </row>
    <row r="421" spans="1:6">
      <c r="A421" s="10" t="str">
        <f t="shared" si="18"/>
        <v/>
      </c>
      <c r="B421" s="53"/>
      <c r="C421" s="28" t="str">
        <f t="shared" si="19"/>
        <v/>
      </c>
      <c r="D421" s="28" t="str">
        <f t="shared" si="20"/>
        <v/>
      </c>
      <c r="E421" s="88"/>
      <c r="F421" s="83"/>
    </row>
    <row r="422" spans="1:6">
      <c r="A422" s="10" t="str">
        <f t="shared" si="18"/>
        <v/>
      </c>
      <c r="B422" s="53"/>
      <c r="C422" s="28" t="str">
        <f t="shared" si="19"/>
        <v/>
      </c>
      <c r="D422" s="28" t="str">
        <f t="shared" si="20"/>
        <v/>
      </c>
      <c r="E422" s="88"/>
      <c r="F422" s="83"/>
    </row>
    <row r="423" spans="1:6">
      <c r="A423" s="10" t="str">
        <f t="shared" si="18"/>
        <v/>
      </c>
      <c r="B423" s="53"/>
      <c r="C423" s="28" t="str">
        <f t="shared" si="19"/>
        <v/>
      </c>
      <c r="D423" s="28" t="str">
        <f t="shared" si="20"/>
        <v/>
      </c>
      <c r="E423" s="88"/>
      <c r="F423" s="83"/>
    </row>
    <row r="424" spans="1:6">
      <c r="A424" s="10" t="str">
        <f t="shared" si="18"/>
        <v/>
      </c>
      <c r="B424" s="53"/>
      <c r="C424" s="28" t="str">
        <f t="shared" si="19"/>
        <v/>
      </c>
      <c r="D424" s="28" t="str">
        <f t="shared" si="20"/>
        <v/>
      </c>
      <c r="E424" s="88"/>
      <c r="F424" s="83"/>
    </row>
    <row r="425" spans="1:6">
      <c r="A425" s="10" t="str">
        <f t="shared" si="18"/>
        <v/>
      </c>
      <c r="B425" s="53"/>
      <c r="C425" s="28" t="str">
        <f t="shared" si="19"/>
        <v/>
      </c>
      <c r="D425" s="28" t="str">
        <f t="shared" si="20"/>
        <v/>
      </c>
      <c r="E425" s="88"/>
      <c r="F425" s="83"/>
    </row>
    <row r="426" spans="1:6">
      <c r="A426" s="10" t="str">
        <f t="shared" si="18"/>
        <v/>
      </c>
      <c r="B426" s="53"/>
      <c r="C426" s="28" t="str">
        <f t="shared" si="19"/>
        <v/>
      </c>
      <c r="D426" s="28" t="str">
        <f t="shared" si="20"/>
        <v/>
      </c>
      <c r="E426" s="88"/>
      <c r="F426" s="83"/>
    </row>
    <row r="427" spans="1:6">
      <c r="A427" s="10" t="str">
        <f t="shared" si="18"/>
        <v/>
      </c>
      <c r="B427" s="53"/>
      <c r="C427" s="28" t="str">
        <f t="shared" si="19"/>
        <v/>
      </c>
      <c r="D427" s="28" t="str">
        <f t="shared" si="20"/>
        <v/>
      </c>
      <c r="E427" s="88"/>
      <c r="F427" s="83"/>
    </row>
    <row r="428" spans="1:6">
      <c r="A428" s="10" t="str">
        <f t="shared" si="18"/>
        <v/>
      </c>
      <c r="B428" s="53"/>
      <c r="C428" s="28" t="str">
        <f t="shared" si="19"/>
        <v/>
      </c>
      <c r="D428" s="28" t="str">
        <f t="shared" si="20"/>
        <v/>
      </c>
      <c r="E428" s="88"/>
      <c r="F428" s="83"/>
    </row>
    <row r="429" spans="1:6">
      <c r="A429" s="10" t="str">
        <f t="shared" si="18"/>
        <v/>
      </c>
      <c r="B429" s="53"/>
      <c r="C429" s="28" t="str">
        <f t="shared" si="19"/>
        <v/>
      </c>
      <c r="D429" s="28" t="str">
        <f t="shared" si="20"/>
        <v/>
      </c>
      <c r="E429" s="88"/>
      <c r="F429" s="83"/>
    </row>
    <row r="430" spans="1:6">
      <c r="A430" s="10" t="str">
        <f t="shared" si="18"/>
        <v/>
      </c>
      <c r="B430" s="53"/>
      <c r="C430" s="28" t="str">
        <f t="shared" si="19"/>
        <v/>
      </c>
      <c r="D430" s="28" t="str">
        <f t="shared" si="20"/>
        <v/>
      </c>
      <c r="E430" s="88"/>
      <c r="F430" s="83"/>
    </row>
    <row r="431" spans="1:6">
      <c r="A431" s="10" t="str">
        <f t="shared" si="18"/>
        <v/>
      </c>
      <c r="B431" s="53"/>
      <c r="C431" s="28" t="str">
        <f t="shared" si="19"/>
        <v/>
      </c>
      <c r="D431" s="28" t="str">
        <f t="shared" si="20"/>
        <v/>
      </c>
      <c r="E431" s="88"/>
      <c r="F431" s="83"/>
    </row>
    <row r="432" spans="1:6">
      <c r="A432" s="10" t="str">
        <f t="shared" si="18"/>
        <v/>
      </c>
      <c r="B432" s="53"/>
      <c r="C432" s="28" t="str">
        <f t="shared" si="19"/>
        <v/>
      </c>
      <c r="D432" s="28" t="str">
        <f t="shared" si="20"/>
        <v/>
      </c>
      <c r="E432" s="88"/>
      <c r="F432" s="83"/>
    </row>
    <row r="433" spans="1:6">
      <c r="A433" s="10" t="str">
        <f t="shared" si="18"/>
        <v/>
      </c>
      <c r="B433" s="53"/>
      <c r="C433" s="28" t="str">
        <f t="shared" si="19"/>
        <v/>
      </c>
      <c r="D433" s="28" t="str">
        <f t="shared" si="20"/>
        <v/>
      </c>
      <c r="E433" s="88"/>
      <c r="F433" s="83"/>
    </row>
    <row r="434" spans="1:6">
      <c r="A434" s="10" t="str">
        <f t="shared" si="18"/>
        <v/>
      </c>
      <c r="B434" s="53"/>
      <c r="C434" s="28" t="str">
        <f t="shared" si="19"/>
        <v/>
      </c>
      <c r="D434" s="28" t="str">
        <f t="shared" si="20"/>
        <v/>
      </c>
      <c r="E434" s="88"/>
      <c r="F434" s="83"/>
    </row>
    <row r="435" spans="1:6">
      <c r="A435" s="10" t="str">
        <f t="shared" si="18"/>
        <v/>
      </c>
      <c r="B435" s="53"/>
      <c r="C435" s="28" t="str">
        <f t="shared" si="19"/>
        <v/>
      </c>
      <c r="D435" s="28" t="str">
        <f t="shared" si="20"/>
        <v/>
      </c>
      <c r="E435" s="88"/>
      <c r="F435" s="83"/>
    </row>
    <row r="436" spans="1:6">
      <c r="A436" s="10" t="str">
        <f t="shared" si="18"/>
        <v/>
      </c>
      <c r="B436" s="53"/>
      <c r="C436" s="28" t="str">
        <f t="shared" si="19"/>
        <v/>
      </c>
      <c r="D436" s="28" t="str">
        <f t="shared" si="20"/>
        <v/>
      </c>
      <c r="E436" s="88"/>
      <c r="F436" s="83"/>
    </row>
    <row r="437" spans="1:6">
      <c r="A437" s="10" t="str">
        <f t="shared" si="18"/>
        <v/>
      </c>
      <c r="B437" s="53"/>
      <c r="C437" s="28" t="str">
        <f t="shared" si="19"/>
        <v/>
      </c>
      <c r="D437" s="28" t="str">
        <f t="shared" si="20"/>
        <v/>
      </c>
      <c r="E437" s="88"/>
      <c r="F437" s="83"/>
    </row>
    <row r="438" spans="1:6">
      <c r="A438" s="10" t="str">
        <f t="shared" si="18"/>
        <v/>
      </c>
      <c r="B438" s="53"/>
      <c r="C438" s="28" t="str">
        <f t="shared" si="19"/>
        <v/>
      </c>
      <c r="D438" s="28" t="str">
        <f t="shared" si="20"/>
        <v/>
      </c>
      <c r="E438" s="88"/>
      <c r="F438" s="83"/>
    </row>
    <row r="439" spans="1:6">
      <c r="A439" s="10" t="str">
        <f t="shared" si="18"/>
        <v/>
      </c>
      <c r="B439" s="53"/>
      <c r="C439" s="28" t="str">
        <f t="shared" si="19"/>
        <v/>
      </c>
      <c r="D439" s="28" t="str">
        <f t="shared" si="20"/>
        <v/>
      </c>
      <c r="E439" s="88"/>
      <c r="F439" s="83"/>
    </row>
    <row r="440" spans="1:6">
      <c r="A440" s="10" t="str">
        <f t="shared" si="18"/>
        <v/>
      </c>
      <c r="B440" s="53"/>
      <c r="C440" s="28" t="str">
        <f t="shared" si="19"/>
        <v/>
      </c>
      <c r="D440" s="28" t="str">
        <f t="shared" si="20"/>
        <v/>
      </c>
      <c r="E440" s="88"/>
      <c r="F440" s="83"/>
    </row>
    <row r="441" spans="1:6">
      <c r="A441" s="10" t="str">
        <f t="shared" si="18"/>
        <v/>
      </c>
      <c r="B441" s="53"/>
      <c r="C441" s="28" t="str">
        <f t="shared" si="19"/>
        <v/>
      </c>
      <c r="D441" s="28" t="str">
        <f t="shared" si="20"/>
        <v/>
      </c>
      <c r="E441" s="88"/>
      <c r="F441" s="83"/>
    </row>
    <row r="442" spans="1:6">
      <c r="A442" s="10" t="str">
        <f t="shared" si="18"/>
        <v/>
      </c>
      <c r="B442" s="53"/>
      <c r="C442" s="28" t="str">
        <f t="shared" si="19"/>
        <v/>
      </c>
      <c r="D442" s="28" t="str">
        <f t="shared" si="20"/>
        <v/>
      </c>
      <c r="E442" s="88"/>
      <c r="F442" s="83"/>
    </row>
    <row r="443" spans="1:6">
      <c r="A443" s="10" t="str">
        <f t="shared" si="18"/>
        <v/>
      </c>
      <c r="B443" s="53"/>
      <c r="C443" s="28" t="str">
        <f t="shared" si="19"/>
        <v/>
      </c>
      <c r="D443" s="28" t="str">
        <f t="shared" si="20"/>
        <v/>
      </c>
      <c r="E443" s="88"/>
      <c r="F443" s="83"/>
    </row>
    <row r="444" spans="1:6">
      <c r="A444" s="10" t="str">
        <f t="shared" si="18"/>
        <v/>
      </c>
      <c r="B444" s="53"/>
      <c r="C444" s="28" t="str">
        <f t="shared" si="19"/>
        <v/>
      </c>
      <c r="D444" s="28" t="str">
        <f t="shared" si="20"/>
        <v/>
      </c>
      <c r="E444" s="88"/>
      <c r="F444" s="83"/>
    </row>
    <row r="445" spans="1:6">
      <c r="A445" s="10" t="str">
        <f t="shared" si="18"/>
        <v/>
      </c>
      <c r="B445" s="53"/>
      <c r="C445" s="28" t="str">
        <f t="shared" si="19"/>
        <v/>
      </c>
      <c r="D445" s="28" t="str">
        <f t="shared" si="20"/>
        <v/>
      </c>
      <c r="E445" s="88"/>
      <c r="F445" s="83"/>
    </row>
    <row r="446" spans="1:6">
      <c r="A446" s="10" t="str">
        <f t="shared" si="18"/>
        <v/>
      </c>
      <c r="B446" s="53"/>
      <c r="C446" s="28" t="str">
        <f t="shared" si="19"/>
        <v/>
      </c>
      <c r="D446" s="28" t="str">
        <f t="shared" si="20"/>
        <v/>
      </c>
      <c r="E446" s="88"/>
      <c r="F446" s="83"/>
    </row>
    <row r="447" spans="1:6">
      <c r="A447" s="10" t="str">
        <f t="shared" si="18"/>
        <v/>
      </c>
      <c r="B447" s="53"/>
      <c r="C447" s="28" t="str">
        <f t="shared" si="19"/>
        <v/>
      </c>
      <c r="D447" s="28" t="str">
        <f t="shared" si="20"/>
        <v/>
      </c>
      <c r="E447" s="88"/>
      <c r="F447" s="83"/>
    </row>
    <row r="448" spans="1:6">
      <c r="A448" s="10" t="str">
        <f t="shared" si="18"/>
        <v/>
      </c>
      <c r="B448" s="53"/>
      <c r="C448" s="28" t="str">
        <f t="shared" si="19"/>
        <v/>
      </c>
      <c r="D448" s="28" t="str">
        <f t="shared" si="20"/>
        <v/>
      </c>
      <c r="E448" s="88"/>
      <c r="F448" s="83"/>
    </row>
    <row r="449" spans="1:6">
      <c r="A449" s="10" t="str">
        <f t="shared" si="18"/>
        <v/>
      </c>
      <c r="B449" s="53"/>
      <c r="C449" s="28" t="str">
        <f t="shared" si="19"/>
        <v/>
      </c>
      <c r="D449" s="28" t="str">
        <f t="shared" si="20"/>
        <v/>
      </c>
      <c r="E449" s="88"/>
      <c r="F449" s="83"/>
    </row>
    <row r="450" spans="1:6">
      <c r="A450" s="10" t="str">
        <f t="shared" si="18"/>
        <v/>
      </c>
      <c r="B450" s="53"/>
      <c r="C450" s="28" t="str">
        <f t="shared" si="19"/>
        <v/>
      </c>
      <c r="D450" s="28" t="str">
        <f t="shared" si="20"/>
        <v/>
      </c>
      <c r="E450" s="88"/>
      <c r="F450" s="83"/>
    </row>
    <row r="451" spans="1:6">
      <c r="A451" s="10" t="str">
        <f t="shared" ref="A451:A514" si="21">IF(E451&gt;0,A450+1,"")</f>
        <v/>
      </c>
      <c r="B451" s="53"/>
      <c r="C451" s="28" t="str">
        <f t="shared" ref="C451:C514" si="22">IF(B451=0,"",TEXT(B451,"mmmm"))</f>
        <v/>
      </c>
      <c r="D451" s="28" t="str">
        <f t="shared" ref="D451:D514" si="23">IF(B451=0,"",TEXT(B451,"yyyy"))</f>
        <v/>
      </c>
      <c r="E451" s="88"/>
      <c r="F451" s="83"/>
    </row>
    <row r="452" spans="1:6">
      <c r="A452" s="10" t="str">
        <f t="shared" si="21"/>
        <v/>
      </c>
      <c r="B452" s="53"/>
      <c r="C452" s="28" t="str">
        <f t="shared" si="22"/>
        <v/>
      </c>
      <c r="D452" s="28" t="str">
        <f t="shared" si="23"/>
        <v/>
      </c>
      <c r="E452" s="88"/>
      <c r="F452" s="83"/>
    </row>
    <row r="453" spans="1:6">
      <c r="A453" s="10" t="str">
        <f t="shared" si="21"/>
        <v/>
      </c>
      <c r="B453" s="53"/>
      <c r="C453" s="28" t="str">
        <f t="shared" si="22"/>
        <v/>
      </c>
      <c r="D453" s="28" t="str">
        <f t="shared" si="23"/>
        <v/>
      </c>
      <c r="E453" s="88"/>
      <c r="F453" s="83"/>
    </row>
    <row r="454" spans="1:6">
      <c r="A454" s="10" t="str">
        <f t="shared" si="21"/>
        <v/>
      </c>
      <c r="B454" s="53"/>
      <c r="C454" s="28" t="str">
        <f t="shared" si="22"/>
        <v/>
      </c>
      <c r="D454" s="28" t="str">
        <f t="shared" si="23"/>
        <v/>
      </c>
      <c r="E454" s="88"/>
      <c r="F454" s="83"/>
    </row>
    <row r="455" spans="1:6">
      <c r="A455" s="10" t="str">
        <f t="shared" si="21"/>
        <v/>
      </c>
      <c r="B455" s="53"/>
      <c r="C455" s="28" t="str">
        <f t="shared" si="22"/>
        <v/>
      </c>
      <c r="D455" s="28" t="str">
        <f t="shared" si="23"/>
        <v/>
      </c>
      <c r="E455" s="88"/>
      <c r="F455" s="83"/>
    </row>
    <row r="456" spans="1:6">
      <c r="A456" s="10" t="str">
        <f t="shared" si="21"/>
        <v/>
      </c>
      <c r="B456" s="53"/>
      <c r="C456" s="28" t="str">
        <f t="shared" si="22"/>
        <v/>
      </c>
      <c r="D456" s="28" t="str">
        <f t="shared" si="23"/>
        <v/>
      </c>
      <c r="E456" s="88"/>
      <c r="F456" s="83"/>
    </row>
    <row r="457" spans="1:6">
      <c r="A457" s="10" t="str">
        <f t="shared" si="21"/>
        <v/>
      </c>
      <c r="B457" s="53"/>
      <c r="C457" s="28" t="str">
        <f t="shared" si="22"/>
        <v/>
      </c>
      <c r="D457" s="28" t="str">
        <f t="shared" si="23"/>
        <v/>
      </c>
      <c r="E457" s="88"/>
      <c r="F457" s="83"/>
    </row>
    <row r="458" spans="1:6">
      <c r="A458" s="10" t="str">
        <f t="shared" si="21"/>
        <v/>
      </c>
      <c r="B458" s="53"/>
      <c r="C458" s="28" t="str">
        <f t="shared" si="22"/>
        <v/>
      </c>
      <c r="D458" s="28" t="str">
        <f t="shared" si="23"/>
        <v/>
      </c>
      <c r="E458" s="88"/>
      <c r="F458" s="83"/>
    </row>
    <row r="459" spans="1:6">
      <c r="A459" s="10" t="str">
        <f t="shared" si="21"/>
        <v/>
      </c>
      <c r="B459" s="53"/>
      <c r="C459" s="28" t="str">
        <f t="shared" si="22"/>
        <v/>
      </c>
      <c r="D459" s="28" t="str">
        <f t="shared" si="23"/>
        <v/>
      </c>
      <c r="E459" s="88"/>
      <c r="F459" s="83"/>
    </row>
    <row r="460" spans="1:6">
      <c r="A460" s="10" t="str">
        <f t="shared" si="21"/>
        <v/>
      </c>
      <c r="B460" s="53"/>
      <c r="C460" s="28" t="str">
        <f t="shared" si="22"/>
        <v/>
      </c>
      <c r="D460" s="28" t="str">
        <f t="shared" si="23"/>
        <v/>
      </c>
      <c r="E460" s="88"/>
      <c r="F460" s="83"/>
    </row>
    <row r="461" spans="1:6">
      <c r="A461" s="10" t="str">
        <f t="shared" si="21"/>
        <v/>
      </c>
      <c r="B461" s="53"/>
      <c r="C461" s="28" t="str">
        <f t="shared" si="22"/>
        <v/>
      </c>
      <c r="D461" s="28" t="str">
        <f t="shared" si="23"/>
        <v/>
      </c>
      <c r="E461" s="88"/>
      <c r="F461" s="83"/>
    </row>
    <row r="462" spans="1:6">
      <c r="A462" s="10" t="str">
        <f t="shared" si="21"/>
        <v/>
      </c>
      <c r="B462" s="53"/>
      <c r="C462" s="28" t="str">
        <f t="shared" si="22"/>
        <v/>
      </c>
      <c r="D462" s="28" t="str">
        <f t="shared" si="23"/>
        <v/>
      </c>
      <c r="E462" s="88"/>
      <c r="F462" s="83"/>
    </row>
    <row r="463" spans="1:6">
      <c r="A463" s="10" t="str">
        <f t="shared" si="21"/>
        <v/>
      </c>
      <c r="B463" s="53"/>
      <c r="C463" s="28" t="str">
        <f t="shared" si="22"/>
        <v/>
      </c>
      <c r="D463" s="28" t="str">
        <f t="shared" si="23"/>
        <v/>
      </c>
      <c r="E463" s="88"/>
      <c r="F463" s="83"/>
    </row>
    <row r="464" spans="1:6">
      <c r="A464" s="10" t="str">
        <f t="shared" si="21"/>
        <v/>
      </c>
      <c r="B464" s="53"/>
      <c r="C464" s="28" t="str">
        <f t="shared" si="22"/>
        <v/>
      </c>
      <c r="D464" s="28" t="str">
        <f t="shared" si="23"/>
        <v/>
      </c>
      <c r="E464" s="88"/>
      <c r="F464" s="83"/>
    </row>
    <row r="465" spans="1:6">
      <c r="A465" s="10" t="str">
        <f t="shared" si="21"/>
        <v/>
      </c>
      <c r="B465" s="53"/>
      <c r="C465" s="28" t="str">
        <f t="shared" si="22"/>
        <v/>
      </c>
      <c r="D465" s="28" t="str">
        <f t="shared" si="23"/>
        <v/>
      </c>
      <c r="E465" s="88"/>
      <c r="F465" s="83"/>
    </row>
    <row r="466" spans="1:6">
      <c r="A466" s="10" t="str">
        <f t="shared" si="21"/>
        <v/>
      </c>
      <c r="B466" s="53"/>
      <c r="C466" s="28" t="str">
        <f t="shared" si="22"/>
        <v/>
      </c>
      <c r="D466" s="28" t="str">
        <f t="shared" si="23"/>
        <v/>
      </c>
      <c r="E466" s="88"/>
      <c r="F466" s="83"/>
    </row>
    <row r="467" spans="1:6">
      <c r="A467" s="10" t="str">
        <f t="shared" si="21"/>
        <v/>
      </c>
      <c r="B467" s="53"/>
      <c r="C467" s="28" t="str">
        <f t="shared" si="22"/>
        <v/>
      </c>
      <c r="D467" s="28" t="str">
        <f t="shared" si="23"/>
        <v/>
      </c>
      <c r="E467" s="88"/>
      <c r="F467" s="83"/>
    </row>
    <row r="468" spans="1:6">
      <c r="A468" s="10" t="str">
        <f t="shared" si="21"/>
        <v/>
      </c>
      <c r="B468" s="53"/>
      <c r="C468" s="28" t="str">
        <f t="shared" si="22"/>
        <v/>
      </c>
      <c r="D468" s="28" t="str">
        <f t="shared" si="23"/>
        <v/>
      </c>
      <c r="E468" s="88"/>
      <c r="F468" s="83"/>
    </row>
    <row r="469" spans="1:6">
      <c r="A469" s="10" t="str">
        <f t="shared" si="21"/>
        <v/>
      </c>
      <c r="B469" s="53"/>
      <c r="C469" s="28" t="str">
        <f t="shared" si="22"/>
        <v/>
      </c>
      <c r="D469" s="28" t="str">
        <f t="shared" si="23"/>
        <v/>
      </c>
      <c r="E469" s="88"/>
      <c r="F469" s="83"/>
    </row>
    <row r="470" spans="1:6">
      <c r="A470" s="10" t="str">
        <f t="shared" si="21"/>
        <v/>
      </c>
      <c r="B470" s="53"/>
      <c r="C470" s="28" t="str">
        <f t="shared" si="22"/>
        <v/>
      </c>
      <c r="D470" s="28" t="str">
        <f t="shared" si="23"/>
        <v/>
      </c>
      <c r="E470" s="88"/>
      <c r="F470" s="83"/>
    </row>
    <row r="471" spans="1:6">
      <c r="A471" s="10" t="str">
        <f t="shared" si="21"/>
        <v/>
      </c>
      <c r="B471" s="53"/>
      <c r="C471" s="28" t="str">
        <f t="shared" si="22"/>
        <v/>
      </c>
      <c r="D471" s="28" t="str">
        <f t="shared" si="23"/>
        <v/>
      </c>
      <c r="E471" s="88"/>
      <c r="F471" s="83"/>
    </row>
    <row r="472" spans="1:6">
      <c r="A472" s="10" t="str">
        <f t="shared" si="21"/>
        <v/>
      </c>
      <c r="B472" s="53"/>
      <c r="C472" s="28" t="str">
        <f t="shared" si="22"/>
        <v/>
      </c>
      <c r="D472" s="28" t="str">
        <f t="shared" si="23"/>
        <v/>
      </c>
      <c r="E472" s="88"/>
      <c r="F472" s="83"/>
    </row>
    <row r="473" spans="1:6">
      <c r="A473" s="10" t="str">
        <f t="shared" si="21"/>
        <v/>
      </c>
      <c r="B473" s="53"/>
      <c r="C473" s="28" t="str">
        <f t="shared" si="22"/>
        <v/>
      </c>
      <c r="D473" s="28" t="str">
        <f t="shared" si="23"/>
        <v/>
      </c>
      <c r="E473" s="88"/>
      <c r="F473" s="83"/>
    </row>
    <row r="474" spans="1:6">
      <c r="A474" s="10" t="str">
        <f t="shared" si="21"/>
        <v/>
      </c>
      <c r="B474" s="53"/>
      <c r="C474" s="28" t="str">
        <f t="shared" si="22"/>
        <v/>
      </c>
      <c r="D474" s="28" t="str">
        <f t="shared" si="23"/>
        <v/>
      </c>
      <c r="E474" s="88"/>
      <c r="F474" s="83"/>
    </row>
    <row r="475" spans="1:6">
      <c r="A475" s="10" t="str">
        <f t="shared" si="21"/>
        <v/>
      </c>
      <c r="B475" s="53"/>
      <c r="C475" s="28" t="str">
        <f t="shared" si="22"/>
        <v/>
      </c>
      <c r="D475" s="28" t="str">
        <f t="shared" si="23"/>
        <v/>
      </c>
      <c r="E475" s="88"/>
      <c r="F475" s="83"/>
    </row>
    <row r="476" spans="1:6">
      <c r="A476" s="10" t="str">
        <f t="shared" si="21"/>
        <v/>
      </c>
      <c r="B476" s="53"/>
      <c r="C476" s="28" t="str">
        <f t="shared" si="22"/>
        <v/>
      </c>
      <c r="D476" s="28" t="str">
        <f t="shared" si="23"/>
        <v/>
      </c>
      <c r="E476" s="88"/>
      <c r="F476" s="83"/>
    </row>
    <row r="477" spans="1:6">
      <c r="A477" s="10" t="str">
        <f t="shared" si="21"/>
        <v/>
      </c>
      <c r="B477" s="53"/>
      <c r="C477" s="28" t="str">
        <f t="shared" si="22"/>
        <v/>
      </c>
      <c r="D477" s="28" t="str">
        <f t="shared" si="23"/>
        <v/>
      </c>
      <c r="E477" s="88"/>
      <c r="F477" s="83"/>
    </row>
    <row r="478" spans="1:6">
      <c r="A478" s="10" t="str">
        <f t="shared" si="21"/>
        <v/>
      </c>
      <c r="B478" s="53"/>
      <c r="C478" s="28" t="str">
        <f t="shared" si="22"/>
        <v/>
      </c>
      <c r="D478" s="28" t="str">
        <f t="shared" si="23"/>
        <v/>
      </c>
      <c r="E478" s="88"/>
      <c r="F478" s="83"/>
    </row>
    <row r="479" spans="1:6">
      <c r="A479" s="10" t="str">
        <f t="shared" si="21"/>
        <v/>
      </c>
      <c r="B479" s="53"/>
      <c r="C479" s="28" t="str">
        <f t="shared" si="22"/>
        <v/>
      </c>
      <c r="D479" s="28" t="str">
        <f t="shared" si="23"/>
        <v/>
      </c>
      <c r="E479" s="88"/>
      <c r="F479" s="83"/>
    </row>
    <row r="480" spans="1:6">
      <c r="A480" s="10" t="str">
        <f t="shared" si="21"/>
        <v/>
      </c>
      <c r="B480" s="53"/>
      <c r="C480" s="28" t="str">
        <f t="shared" si="22"/>
        <v/>
      </c>
      <c r="D480" s="28" t="str">
        <f t="shared" si="23"/>
        <v/>
      </c>
      <c r="E480" s="88"/>
      <c r="F480" s="83"/>
    </row>
    <row r="481" spans="1:6">
      <c r="A481" s="10" t="str">
        <f t="shared" si="21"/>
        <v/>
      </c>
      <c r="B481" s="53"/>
      <c r="C481" s="28" t="str">
        <f t="shared" si="22"/>
        <v/>
      </c>
      <c r="D481" s="28" t="str">
        <f t="shared" si="23"/>
        <v/>
      </c>
      <c r="E481" s="88"/>
      <c r="F481" s="83"/>
    </row>
    <row r="482" spans="1:6">
      <c r="A482" s="10" t="str">
        <f t="shared" si="21"/>
        <v/>
      </c>
      <c r="B482" s="53"/>
      <c r="C482" s="28" t="str">
        <f t="shared" si="22"/>
        <v/>
      </c>
      <c r="D482" s="28" t="str">
        <f t="shared" si="23"/>
        <v/>
      </c>
      <c r="E482" s="88"/>
      <c r="F482" s="83"/>
    </row>
    <row r="483" spans="1:6">
      <c r="A483" s="10" t="str">
        <f t="shared" si="21"/>
        <v/>
      </c>
      <c r="B483" s="53"/>
      <c r="C483" s="28" t="str">
        <f t="shared" si="22"/>
        <v/>
      </c>
      <c r="D483" s="28" t="str">
        <f t="shared" si="23"/>
        <v/>
      </c>
      <c r="E483" s="88"/>
      <c r="F483" s="83"/>
    </row>
    <row r="484" spans="1:6">
      <c r="A484" s="10" t="str">
        <f t="shared" si="21"/>
        <v/>
      </c>
      <c r="B484" s="53"/>
      <c r="C484" s="28" t="str">
        <f t="shared" si="22"/>
        <v/>
      </c>
      <c r="D484" s="28" t="str">
        <f t="shared" si="23"/>
        <v/>
      </c>
      <c r="E484" s="88"/>
      <c r="F484" s="83"/>
    </row>
    <row r="485" spans="1:6">
      <c r="A485" s="10" t="str">
        <f t="shared" si="21"/>
        <v/>
      </c>
      <c r="B485" s="53"/>
      <c r="C485" s="28" t="str">
        <f t="shared" si="22"/>
        <v/>
      </c>
      <c r="D485" s="28" t="str">
        <f t="shared" si="23"/>
        <v/>
      </c>
      <c r="E485" s="88"/>
      <c r="F485" s="83"/>
    </row>
    <row r="486" spans="1:6">
      <c r="A486" s="10" t="str">
        <f t="shared" si="21"/>
        <v/>
      </c>
      <c r="B486" s="53"/>
      <c r="C486" s="28" t="str">
        <f t="shared" si="22"/>
        <v/>
      </c>
      <c r="D486" s="28" t="str">
        <f t="shared" si="23"/>
        <v/>
      </c>
      <c r="E486" s="88"/>
      <c r="F486" s="83"/>
    </row>
    <row r="487" spans="1:6">
      <c r="A487" s="10" t="str">
        <f t="shared" si="21"/>
        <v/>
      </c>
      <c r="B487" s="53"/>
      <c r="C487" s="28" t="str">
        <f t="shared" si="22"/>
        <v/>
      </c>
      <c r="D487" s="28" t="str">
        <f t="shared" si="23"/>
        <v/>
      </c>
      <c r="E487" s="88"/>
      <c r="F487" s="83"/>
    </row>
    <row r="488" spans="1:6">
      <c r="A488" s="10" t="str">
        <f t="shared" si="21"/>
        <v/>
      </c>
      <c r="B488" s="53"/>
      <c r="C488" s="28" t="str">
        <f t="shared" si="22"/>
        <v/>
      </c>
      <c r="D488" s="28" t="str">
        <f t="shared" si="23"/>
        <v/>
      </c>
      <c r="E488" s="88"/>
      <c r="F488" s="83"/>
    </row>
    <row r="489" spans="1:6">
      <c r="A489" s="10" t="str">
        <f t="shared" si="21"/>
        <v/>
      </c>
      <c r="B489" s="53"/>
      <c r="C489" s="28" t="str">
        <f t="shared" si="22"/>
        <v/>
      </c>
      <c r="D489" s="28" t="str">
        <f t="shared" si="23"/>
        <v/>
      </c>
      <c r="E489" s="88"/>
      <c r="F489" s="83"/>
    </row>
    <row r="490" spans="1:6">
      <c r="A490" s="10" t="str">
        <f t="shared" si="21"/>
        <v/>
      </c>
      <c r="B490" s="53"/>
      <c r="C490" s="28" t="str">
        <f t="shared" si="22"/>
        <v/>
      </c>
      <c r="D490" s="28" t="str">
        <f t="shared" si="23"/>
        <v/>
      </c>
      <c r="E490" s="88"/>
      <c r="F490" s="83"/>
    </row>
    <row r="491" spans="1:6">
      <c r="A491" s="10" t="str">
        <f t="shared" si="21"/>
        <v/>
      </c>
      <c r="B491" s="53"/>
      <c r="C491" s="28" t="str">
        <f t="shared" si="22"/>
        <v/>
      </c>
      <c r="D491" s="28" t="str">
        <f t="shared" si="23"/>
        <v/>
      </c>
      <c r="E491" s="88"/>
      <c r="F491" s="83"/>
    </row>
    <row r="492" spans="1:6">
      <c r="A492" s="10" t="str">
        <f t="shared" si="21"/>
        <v/>
      </c>
      <c r="B492" s="53"/>
      <c r="C492" s="28" t="str">
        <f t="shared" si="22"/>
        <v/>
      </c>
      <c r="D492" s="28" t="str">
        <f t="shared" si="23"/>
        <v/>
      </c>
      <c r="E492" s="88"/>
      <c r="F492" s="83"/>
    </row>
    <row r="493" spans="1:6">
      <c r="A493" s="10" t="str">
        <f t="shared" si="21"/>
        <v/>
      </c>
      <c r="B493" s="53"/>
      <c r="C493" s="28" t="str">
        <f t="shared" si="22"/>
        <v/>
      </c>
      <c r="D493" s="28" t="str">
        <f t="shared" si="23"/>
        <v/>
      </c>
      <c r="E493" s="88"/>
      <c r="F493" s="83"/>
    </row>
    <row r="494" spans="1:6">
      <c r="A494" s="10" t="str">
        <f t="shared" si="21"/>
        <v/>
      </c>
      <c r="B494" s="53"/>
      <c r="C494" s="28" t="str">
        <f t="shared" si="22"/>
        <v/>
      </c>
      <c r="D494" s="28" t="str">
        <f t="shared" si="23"/>
        <v/>
      </c>
      <c r="E494" s="88"/>
      <c r="F494" s="83"/>
    </row>
    <row r="495" spans="1:6">
      <c r="A495" s="10" t="str">
        <f t="shared" si="21"/>
        <v/>
      </c>
      <c r="B495" s="53"/>
      <c r="C495" s="28" t="str">
        <f t="shared" si="22"/>
        <v/>
      </c>
      <c r="D495" s="28" t="str">
        <f t="shared" si="23"/>
        <v/>
      </c>
      <c r="E495" s="88"/>
      <c r="F495" s="83"/>
    </row>
    <row r="496" spans="1:6">
      <c r="A496" s="10" t="str">
        <f t="shared" si="21"/>
        <v/>
      </c>
      <c r="B496" s="53"/>
      <c r="C496" s="28" t="str">
        <f t="shared" si="22"/>
        <v/>
      </c>
      <c r="D496" s="28" t="str">
        <f t="shared" si="23"/>
        <v/>
      </c>
      <c r="E496" s="88"/>
      <c r="F496" s="83"/>
    </row>
    <row r="497" spans="1:6">
      <c r="A497" s="10" t="str">
        <f t="shared" si="21"/>
        <v/>
      </c>
      <c r="B497" s="53"/>
      <c r="C497" s="28" t="str">
        <f t="shared" si="22"/>
        <v/>
      </c>
      <c r="D497" s="28" t="str">
        <f t="shared" si="23"/>
        <v/>
      </c>
      <c r="E497" s="88"/>
      <c r="F497" s="83"/>
    </row>
    <row r="498" spans="1:6">
      <c r="A498" s="10" t="str">
        <f t="shared" si="21"/>
        <v/>
      </c>
      <c r="B498" s="53"/>
      <c r="C498" s="28" t="str">
        <f t="shared" si="22"/>
        <v/>
      </c>
      <c r="D498" s="28" t="str">
        <f t="shared" si="23"/>
        <v/>
      </c>
      <c r="E498" s="88"/>
      <c r="F498" s="83"/>
    </row>
    <row r="499" spans="1:6">
      <c r="A499" s="10" t="str">
        <f t="shared" si="21"/>
        <v/>
      </c>
      <c r="B499" s="53"/>
      <c r="C499" s="28" t="str">
        <f t="shared" si="22"/>
        <v/>
      </c>
      <c r="D499" s="28" t="str">
        <f t="shared" si="23"/>
        <v/>
      </c>
      <c r="E499" s="88"/>
      <c r="F499" s="83"/>
    </row>
    <row r="500" spans="1:6">
      <c r="A500" s="10" t="str">
        <f t="shared" si="21"/>
        <v/>
      </c>
      <c r="B500" s="53"/>
      <c r="C500" s="28" t="str">
        <f t="shared" si="22"/>
        <v/>
      </c>
      <c r="D500" s="28" t="str">
        <f t="shared" si="23"/>
        <v/>
      </c>
      <c r="E500" s="88"/>
      <c r="F500" s="83"/>
    </row>
    <row r="501" spans="1:6">
      <c r="A501" s="10" t="str">
        <f t="shared" si="21"/>
        <v/>
      </c>
      <c r="B501" s="53"/>
      <c r="C501" s="28" t="str">
        <f t="shared" si="22"/>
        <v/>
      </c>
      <c r="D501" s="28" t="str">
        <f t="shared" si="23"/>
        <v/>
      </c>
      <c r="E501" s="88"/>
      <c r="F501" s="83"/>
    </row>
    <row r="502" spans="1:6">
      <c r="A502" s="10" t="str">
        <f t="shared" si="21"/>
        <v/>
      </c>
      <c r="B502" s="53"/>
      <c r="C502" s="28" t="str">
        <f t="shared" si="22"/>
        <v/>
      </c>
      <c r="D502" s="28" t="str">
        <f t="shared" si="23"/>
        <v/>
      </c>
      <c r="E502" s="88"/>
      <c r="F502" s="83"/>
    </row>
    <row r="503" spans="1:6">
      <c r="A503" s="10" t="str">
        <f t="shared" si="21"/>
        <v/>
      </c>
      <c r="B503" s="53"/>
      <c r="C503" s="28" t="str">
        <f t="shared" si="22"/>
        <v/>
      </c>
      <c r="D503" s="28" t="str">
        <f t="shared" si="23"/>
        <v/>
      </c>
      <c r="E503" s="88"/>
      <c r="F503" s="83"/>
    </row>
    <row r="504" spans="1:6">
      <c r="A504" s="10" t="str">
        <f t="shared" si="21"/>
        <v/>
      </c>
      <c r="B504" s="53"/>
      <c r="C504" s="28" t="str">
        <f t="shared" si="22"/>
        <v/>
      </c>
      <c r="D504" s="28" t="str">
        <f t="shared" si="23"/>
        <v/>
      </c>
      <c r="E504" s="88"/>
      <c r="F504" s="83"/>
    </row>
    <row r="505" spans="1:6">
      <c r="A505" s="10" t="str">
        <f t="shared" si="21"/>
        <v/>
      </c>
      <c r="B505" s="53"/>
      <c r="C505" s="28" t="str">
        <f t="shared" si="22"/>
        <v/>
      </c>
      <c r="D505" s="28" t="str">
        <f t="shared" si="23"/>
        <v/>
      </c>
      <c r="E505" s="88"/>
      <c r="F505" s="83"/>
    </row>
    <row r="506" spans="1:6">
      <c r="A506" s="10" t="str">
        <f t="shared" si="21"/>
        <v/>
      </c>
      <c r="B506" s="53"/>
      <c r="C506" s="28" t="str">
        <f t="shared" si="22"/>
        <v/>
      </c>
      <c r="D506" s="28" t="str">
        <f t="shared" si="23"/>
        <v/>
      </c>
      <c r="E506" s="88"/>
      <c r="F506" s="83"/>
    </row>
    <row r="507" spans="1:6">
      <c r="A507" s="10" t="str">
        <f t="shared" si="21"/>
        <v/>
      </c>
      <c r="B507" s="53"/>
      <c r="C507" s="28" t="str">
        <f t="shared" si="22"/>
        <v/>
      </c>
      <c r="D507" s="28" t="str">
        <f t="shared" si="23"/>
        <v/>
      </c>
      <c r="E507" s="88"/>
      <c r="F507" s="83"/>
    </row>
    <row r="508" spans="1:6">
      <c r="A508" s="10" t="str">
        <f t="shared" si="21"/>
        <v/>
      </c>
      <c r="B508" s="53"/>
      <c r="C508" s="28" t="str">
        <f t="shared" si="22"/>
        <v/>
      </c>
      <c r="D508" s="28" t="str">
        <f t="shared" si="23"/>
        <v/>
      </c>
      <c r="E508" s="88"/>
      <c r="F508" s="83"/>
    </row>
    <row r="509" spans="1:6">
      <c r="A509" s="10" t="str">
        <f t="shared" si="21"/>
        <v/>
      </c>
      <c r="B509" s="53"/>
      <c r="C509" s="28" t="str">
        <f t="shared" si="22"/>
        <v/>
      </c>
      <c r="D509" s="28" t="str">
        <f t="shared" si="23"/>
        <v/>
      </c>
      <c r="E509" s="88"/>
      <c r="F509" s="83"/>
    </row>
    <row r="510" spans="1:6">
      <c r="A510" s="10" t="str">
        <f t="shared" si="21"/>
        <v/>
      </c>
      <c r="B510" s="53"/>
      <c r="C510" s="28" t="str">
        <f t="shared" si="22"/>
        <v/>
      </c>
      <c r="D510" s="28" t="str">
        <f t="shared" si="23"/>
        <v/>
      </c>
      <c r="E510" s="88"/>
      <c r="F510" s="83"/>
    </row>
    <row r="511" spans="1:6">
      <c r="A511" s="10" t="str">
        <f t="shared" si="21"/>
        <v/>
      </c>
      <c r="B511" s="53"/>
      <c r="C511" s="28" t="str">
        <f t="shared" si="22"/>
        <v/>
      </c>
      <c r="D511" s="28" t="str">
        <f t="shared" si="23"/>
        <v/>
      </c>
      <c r="E511" s="88"/>
      <c r="F511" s="83"/>
    </row>
    <row r="512" spans="1:6">
      <c r="A512" s="10" t="str">
        <f t="shared" si="21"/>
        <v/>
      </c>
      <c r="B512" s="53"/>
      <c r="C512" s="28" t="str">
        <f t="shared" si="22"/>
        <v/>
      </c>
      <c r="D512" s="28" t="str">
        <f t="shared" si="23"/>
        <v/>
      </c>
      <c r="E512" s="88"/>
      <c r="F512" s="83"/>
    </row>
    <row r="513" spans="1:6">
      <c r="A513" s="10" t="str">
        <f t="shared" si="21"/>
        <v/>
      </c>
      <c r="B513" s="53"/>
      <c r="C513" s="28" t="str">
        <f t="shared" si="22"/>
        <v/>
      </c>
      <c r="D513" s="28" t="str">
        <f t="shared" si="23"/>
        <v/>
      </c>
      <c r="E513" s="88"/>
      <c r="F513" s="83"/>
    </row>
    <row r="514" spans="1:6">
      <c r="A514" s="10" t="str">
        <f t="shared" si="21"/>
        <v/>
      </c>
      <c r="B514" s="53"/>
      <c r="C514" s="28" t="str">
        <f t="shared" si="22"/>
        <v/>
      </c>
      <c r="D514" s="28" t="str">
        <f t="shared" si="23"/>
        <v/>
      </c>
      <c r="E514" s="88"/>
      <c r="F514" s="83"/>
    </row>
    <row r="515" spans="1:6">
      <c r="A515" s="10" t="str">
        <f t="shared" ref="A515:A578" si="24">IF(E515&gt;0,A514+1,"")</f>
        <v/>
      </c>
      <c r="B515" s="53"/>
      <c r="C515" s="28" t="str">
        <f t="shared" ref="C515:C578" si="25">IF(B515=0,"",TEXT(B515,"mmmm"))</f>
        <v/>
      </c>
      <c r="D515" s="28" t="str">
        <f t="shared" ref="D515:D578" si="26">IF(B515=0,"",TEXT(B515,"yyyy"))</f>
        <v/>
      </c>
      <c r="E515" s="88"/>
      <c r="F515" s="83"/>
    </row>
    <row r="516" spans="1:6">
      <c r="A516" s="10" t="str">
        <f t="shared" si="24"/>
        <v/>
      </c>
      <c r="B516" s="53"/>
      <c r="C516" s="28" t="str">
        <f t="shared" si="25"/>
        <v/>
      </c>
      <c r="D516" s="28" t="str">
        <f t="shared" si="26"/>
        <v/>
      </c>
      <c r="E516" s="88"/>
      <c r="F516" s="83"/>
    </row>
    <row r="517" spans="1:6">
      <c r="A517" s="10" t="str">
        <f t="shared" si="24"/>
        <v/>
      </c>
      <c r="B517" s="53"/>
      <c r="C517" s="28" t="str">
        <f t="shared" si="25"/>
        <v/>
      </c>
      <c r="D517" s="28" t="str">
        <f t="shared" si="26"/>
        <v/>
      </c>
      <c r="E517" s="88"/>
      <c r="F517" s="83"/>
    </row>
    <row r="518" spans="1:6">
      <c r="A518" s="10" t="str">
        <f t="shared" si="24"/>
        <v/>
      </c>
      <c r="B518" s="53"/>
      <c r="C518" s="28" t="str">
        <f t="shared" si="25"/>
        <v/>
      </c>
      <c r="D518" s="28" t="str">
        <f t="shared" si="26"/>
        <v/>
      </c>
      <c r="E518" s="88"/>
      <c r="F518" s="83"/>
    </row>
    <row r="519" spans="1:6">
      <c r="A519" s="10" t="str">
        <f t="shared" si="24"/>
        <v/>
      </c>
      <c r="B519" s="53"/>
      <c r="C519" s="28" t="str">
        <f t="shared" si="25"/>
        <v/>
      </c>
      <c r="D519" s="28" t="str">
        <f t="shared" si="26"/>
        <v/>
      </c>
      <c r="E519" s="88"/>
      <c r="F519" s="83"/>
    </row>
    <row r="520" spans="1:6">
      <c r="A520" s="10" t="str">
        <f t="shared" si="24"/>
        <v/>
      </c>
      <c r="B520" s="53"/>
      <c r="C520" s="28" t="str">
        <f t="shared" si="25"/>
        <v/>
      </c>
      <c r="D520" s="28" t="str">
        <f t="shared" si="26"/>
        <v/>
      </c>
      <c r="E520" s="88"/>
      <c r="F520" s="83"/>
    </row>
    <row r="521" spans="1:6">
      <c r="A521" s="10" t="str">
        <f t="shared" si="24"/>
        <v/>
      </c>
      <c r="B521" s="53"/>
      <c r="C521" s="28" t="str">
        <f t="shared" si="25"/>
        <v/>
      </c>
      <c r="D521" s="28" t="str">
        <f t="shared" si="26"/>
        <v/>
      </c>
      <c r="E521" s="88"/>
      <c r="F521" s="83"/>
    </row>
    <row r="522" spans="1:6">
      <c r="A522" s="10" t="str">
        <f t="shared" si="24"/>
        <v/>
      </c>
      <c r="B522" s="53"/>
      <c r="C522" s="28" t="str">
        <f t="shared" si="25"/>
        <v/>
      </c>
      <c r="D522" s="28" t="str">
        <f t="shared" si="26"/>
        <v/>
      </c>
      <c r="E522" s="88"/>
      <c r="F522" s="83"/>
    </row>
    <row r="523" spans="1:6">
      <c r="A523" s="10" t="str">
        <f t="shared" si="24"/>
        <v/>
      </c>
      <c r="B523" s="53"/>
      <c r="C523" s="28" t="str">
        <f t="shared" si="25"/>
        <v/>
      </c>
      <c r="D523" s="28" t="str">
        <f t="shared" si="26"/>
        <v/>
      </c>
      <c r="E523" s="88"/>
      <c r="F523" s="83"/>
    </row>
    <row r="524" spans="1:6">
      <c r="A524" s="10" t="str">
        <f t="shared" si="24"/>
        <v/>
      </c>
      <c r="B524" s="53"/>
      <c r="C524" s="28" t="str">
        <f t="shared" si="25"/>
        <v/>
      </c>
      <c r="D524" s="28" t="str">
        <f t="shared" si="26"/>
        <v/>
      </c>
      <c r="E524" s="88"/>
      <c r="F524" s="83"/>
    </row>
    <row r="525" spans="1:6">
      <c r="A525" s="10" t="str">
        <f t="shared" si="24"/>
        <v/>
      </c>
      <c r="B525" s="53"/>
      <c r="C525" s="28" t="str">
        <f t="shared" si="25"/>
        <v/>
      </c>
      <c r="D525" s="28" t="str">
        <f t="shared" si="26"/>
        <v/>
      </c>
      <c r="E525" s="88"/>
      <c r="F525" s="83"/>
    </row>
    <row r="526" spans="1:6">
      <c r="A526" s="10" t="str">
        <f t="shared" si="24"/>
        <v/>
      </c>
      <c r="B526" s="53"/>
      <c r="C526" s="28" t="str">
        <f t="shared" si="25"/>
        <v/>
      </c>
      <c r="D526" s="28" t="str">
        <f t="shared" si="26"/>
        <v/>
      </c>
      <c r="E526" s="88"/>
      <c r="F526" s="83"/>
    </row>
    <row r="527" spans="1:6">
      <c r="A527" s="10" t="str">
        <f t="shared" si="24"/>
        <v/>
      </c>
      <c r="B527" s="53"/>
      <c r="C527" s="28" t="str">
        <f t="shared" si="25"/>
        <v/>
      </c>
      <c r="D527" s="28" t="str">
        <f t="shared" si="26"/>
        <v/>
      </c>
      <c r="E527" s="88"/>
      <c r="F527" s="83"/>
    </row>
    <row r="528" spans="1:6">
      <c r="A528" s="10" t="str">
        <f t="shared" si="24"/>
        <v/>
      </c>
      <c r="B528" s="53"/>
      <c r="C528" s="28" t="str">
        <f t="shared" si="25"/>
        <v/>
      </c>
      <c r="D528" s="28" t="str">
        <f t="shared" si="26"/>
        <v/>
      </c>
      <c r="E528" s="88"/>
      <c r="F528" s="83"/>
    </row>
    <row r="529" spans="1:6">
      <c r="A529" s="10" t="str">
        <f t="shared" si="24"/>
        <v/>
      </c>
      <c r="B529" s="53"/>
      <c r="C529" s="28" t="str">
        <f t="shared" si="25"/>
        <v/>
      </c>
      <c r="D529" s="28" t="str">
        <f t="shared" si="26"/>
        <v/>
      </c>
      <c r="E529" s="88"/>
      <c r="F529" s="83"/>
    </row>
    <row r="530" spans="1:6">
      <c r="A530" s="10" t="str">
        <f t="shared" si="24"/>
        <v/>
      </c>
      <c r="B530" s="53"/>
      <c r="C530" s="28" t="str">
        <f t="shared" si="25"/>
        <v/>
      </c>
      <c r="D530" s="28" t="str">
        <f t="shared" si="26"/>
        <v/>
      </c>
      <c r="E530" s="88"/>
      <c r="F530" s="83"/>
    </row>
    <row r="531" spans="1:6">
      <c r="A531" s="10" t="str">
        <f t="shared" si="24"/>
        <v/>
      </c>
      <c r="B531" s="53"/>
      <c r="C531" s="28" t="str">
        <f t="shared" si="25"/>
        <v/>
      </c>
      <c r="D531" s="28" t="str">
        <f t="shared" si="26"/>
        <v/>
      </c>
      <c r="E531" s="88"/>
      <c r="F531" s="83"/>
    </row>
    <row r="532" spans="1:6">
      <c r="A532" s="10" t="str">
        <f t="shared" si="24"/>
        <v/>
      </c>
      <c r="B532" s="53"/>
      <c r="C532" s="28" t="str">
        <f t="shared" si="25"/>
        <v/>
      </c>
      <c r="D532" s="28" t="str">
        <f t="shared" si="26"/>
        <v/>
      </c>
      <c r="E532" s="88"/>
      <c r="F532" s="83"/>
    </row>
    <row r="533" spans="1:6">
      <c r="A533" s="10" t="str">
        <f t="shared" si="24"/>
        <v/>
      </c>
      <c r="B533" s="53"/>
      <c r="C533" s="28" t="str">
        <f t="shared" si="25"/>
        <v/>
      </c>
      <c r="D533" s="28" t="str">
        <f t="shared" si="26"/>
        <v/>
      </c>
      <c r="E533" s="88"/>
      <c r="F533" s="83"/>
    </row>
    <row r="534" spans="1:6">
      <c r="A534" s="10" t="str">
        <f t="shared" si="24"/>
        <v/>
      </c>
      <c r="B534" s="53"/>
      <c r="C534" s="28" t="str">
        <f t="shared" si="25"/>
        <v/>
      </c>
      <c r="D534" s="28" t="str">
        <f t="shared" si="26"/>
        <v/>
      </c>
      <c r="E534" s="88"/>
      <c r="F534" s="83"/>
    </row>
    <row r="535" spans="1:6">
      <c r="A535" s="10" t="str">
        <f t="shared" si="24"/>
        <v/>
      </c>
      <c r="B535" s="53"/>
      <c r="C535" s="28" t="str">
        <f t="shared" si="25"/>
        <v/>
      </c>
      <c r="D535" s="28" t="str">
        <f t="shared" si="26"/>
        <v/>
      </c>
      <c r="E535" s="88"/>
      <c r="F535" s="83"/>
    </row>
    <row r="536" spans="1:6">
      <c r="A536" s="10" t="str">
        <f t="shared" si="24"/>
        <v/>
      </c>
      <c r="B536" s="53"/>
      <c r="C536" s="28" t="str">
        <f t="shared" si="25"/>
        <v/>
      </c>
      <c r="D536" s="28" t="str">
        <f t="shared" si="26"/>
        <v/>
      </c>
      <c r="E536" s="88"/>
      <c r="F536" s="83"/>
    </row>
    <row r="537" spans="1:6">
      <c r="A537" s="10" t="str">
        <f t="shared" si="24"/>
        <v/>
      </c>
      <c r="B537" s="53"/>
      <c r="C537" s="28" t="str">
        <f t="shared" si="25"/>
        <v/>
      </c>
      <c r="D537" s="28" t="str">
        <f t="shared" si="26"/>
        <v/>
      </c>
      <c r="E537" s="88"/>
      <c r="F537" s="83"/>
    </row>
    <row r="538" spans="1:6">
      <c r="A538" s="10" t="str">
        <f t="shared" si="24"/>
        <v/>
      </c>
      <c r="B538" s="53"/>
      <c r="C538" s="28" t="str">
        <f t="shared" si="25"/>
        <v/>
      </c>
      <c r="D538" s="28" t="str">
        <f t="shared" si="26"/>
        <v/>
      </c>
      <c r="E538" s="88"/>
      <c r="F538" s="83"/>
    </row>
    <row r="539" spans="1:6">
      <c r="A539" s="10" t="str">
        <f t="shared" si="24"/>
        <v/>
      </c>
      <c r="B539" s="53"/>
      <c r="C539" s="28" t="str">
        <f t="shared" si="25"/>
        <v/>
      </c>
      <c r="D539" s="28" t="str">
        <f t="shared" si="26"/>
        <v/>
      </c>
      <c r="E539" s="88"/>
      <c r="F539" s="83"/>
    </row>
    <row r="540" spans="1:6">
      <c r="A540" s="10" t="str">
        <f t="shared" si="24"/>
        <v/>
      </c>
      <c r="B540" s="53"/>
      <c r="C540" s="28" t="str">
        <f t="shared" si="25"/>
        <v/>
      </c>
      <c r="D540" s="28" t="str">
        <f t="shared" si="26"/>
        <v/>
      </c>
      <c r="E540" s="88"/>
      <c r="F540" s="83"/>
    </row>
    <row r="541" spans="1:6">
      <c r="A541" s="10" t="str">
        <f t="shared" si="24"/>
        <v/>
      </c>
      <c r="B541" s="53"/>
      <c r="C541" s="28" t="str">
        <f t="shared" si="25"/>
        <v/>
      </c>
      <c r="D541" s="28" t="str">
        <f t="shared" si="26"/>
        <v/>
      </c>
      <c r="E541" s="88"/>
      <c r="F541" s="83"/>
    </row>
    <row r="542" spans="1:6">
      <c r="A542" s="10" t="str">
        <f t="shared" si="24"/>
        <v/>
      </c>
      <c r="B542" s="53"/>
      <c r="C542" s="28" t="str">
        <f t="shared" si="25"/>
        <v/>
      </c>
      <c r="D542" s="28" t="str">
        <f t="shared" si="26"/>
        <v/>
      </c>
      <c r="E542" s="88"/>
      <c r="F542" s="83"/>
    </row>
    <row r="543" spans="1:6">
      <c r="A543" s="10" t="str">
        <f t="shared" si="24"/>
        <v/>
      </c>
      <c r="B543" s="53"/>
      <c r="C543" s="28" t="str">
        <f t="shared" si="25"/>
        <v/>
      </c>
      <c r="D543" s="28" t="str">
        <f t="shared" si="26"/>
        <v/>
      </c>
      <c r="E543" s="88"/>
      <c r="F543" s="83"/>
    </row>
    <row r="544" spans="1:6">
      <c r="A544" s="10" t="str">
        <f t="shared" si="24"/>
        <v/>
      </c>
      <c r="B544" s="53"/>
      <c r="C544" s="28" t="str">
        <f t="shared" si="25"/>
        <v/>
      </c>
      <c r="D544" s="28" t="str">
        <f t="shared" si="26"/>
        <v/>
      </c>
      <c r="E544" s="88"/>
      <c r="F544" s="83"/>
    </row>
    <row r="545" spans="1:6">
      <c r="A545" s="10" t="str">
        <f t="shared" si="24"/>
        <v/>
      </c>
      <c r="B545" s="53"/>
      <c r="C545" s="28" t="str">
        <f t="shared" si="25"/>
        <v/>
      </c>
      <c r="D545" s="28" t="str">
        <f t="shared" si="26"/>
        <v/>
      </c>
      <c r="E545" s="88"/>
      <c r="F545" s="83"/>
    </row>
    <row r="546" spans="1:6">
      <c r="A546" s="10" t="str">
        <f t="shared" si="24"/>
        <v/>
      </c>
      <c r="B546" s="53"/>
      <c r="C546" s="28" t="str">
        <f t="shared" si="25"/>
        <v/>
      </c>
      <c r="D546" s="28" t="str">
        <f t="shared" si="26"/>
        <v/>
      </c>
      <c r="E546" s="88"/>
      <c r="F546" s="83"/>
    </row>
    <row r="547" spans="1:6">
      <c r="A547" s="10" t="str">
        <f t="shared" si="24"/>
        <v/>
      </c>
      <c r="B547" s="53"/>
      <c r="C547" s="28" t="str">
        <f t="shared" si="25"/>
        <v/>
      </c>
      <c r="D547" s="28" t="str">
        <f t="shared" si="26"/>
        <v/>
      </c>
      <c r="E547" s="88"/>
      <c r="F547" s="83"/>
    </row>
    <row r="548" spans="1:6">
      <c r="A548" s="10" t="str">
        <f t="shared" si="24"/>
        <v/>
      </c>
      <c r="B548" s="53"/>
      <c r="C548" s="28" t="str">
        <f t="shared" si="25"/>
        <v/>
      </c>
      <c r="D548" s="28" t="str">
        <f t="shared" si="26"/>
        <v/>
      </c>
      <c r="E548" s="88"/>
      <c r="F548" s="83"/>
    </row>
    <row r="549" spans="1:6">
      <c r="A549" s="10" t="str">
        <f t="shared" si="24"/>
        <v/>
      </c>
      <c r="B549" s="53"/>
      <c r="C549" s="28" t="str">
        <f t="shared" si="25"/>
        <v/>
      </c>
      <c r="D549" s="28" t="str">
        <f t="shared" si="26"/>
        <v/>
      </c>
      <c r="E549" s="88"/>
      <c r="F549" s="83"/>
    </row>
    <row r="550" spans="1:6">
      <c r="A550" s="10" t="str">
        <f t="shared" si="24"/>
        <v/>
      </c>
      <c r="B550" s="53"/>
      <c r="C550" s="28" t="str">
        <f t="shared" si="25"/>
        <v/>
      </c>
      <c r="D550" s="28" t="str">
        <f t="shared" si="26"/>
        <v/>
      </c>
      <c r="E550" s="88"/>
      <c r="F550" s="83"/>
    </row>
    <row r="551" spans="1:6">
      <c r="A551" s="10" t="str">
        <f t="shared" si="24"/>
        <v/>
      </c>
      <c r="B551" s="53"/>
      <c r="C551" s="28" t="str">
        <f t="shared" si="25"/>
        <v/>
      </c>
      <c r="D551" s="28" t="str">
        <f t="shared" si="26"/>
        <v/>
      </c>
      <c r="E551" s="88"/>
      <c r="F551" s="83"/>
    </row>
    <row r="552" spans="1:6">
      <c r="A552" s="10" t="str">
        <f t="shared" si="24"/>
        <v/>
      </c>
      <c r="B552" s="53"/>
      <c r="C552" s="28" t="str">
        <f t="shared" si="25"/>
        <v/>
      </c>
      <c r="D552" s="28" t="str">
        <f t="shared" si="26"/>
        <v/>
      </c>
      <c r="E552" s="88"/>
      <c r="F552" s="83"/>
    </row>
    <row r="553" spans="1:6">
      <c r="A553" s="10" t="str">
        <f t="shared" si="24"/>
        <v/>
      </c>
      <c r="B553" s="53"/>
      <c r="C553" s="28" t="str">
        <f t="shared" si="25"/>
        <v/>
      </c>
      <c r="D553" s="28" t="str">
        <f t="shared" si="26"/>
        <v/>
      </c>
      <c r="E553" s="88"/>
      <c r="F553" s="83"/>
    </row>
    <row r="554" spans="1:6">
      <c r="A554" s="10" t="str">
        <f t="shared" si="24"/>
        <v/>
      </c>
      <c r="B554" s="53"/>
      <c r="C554" s="28" t="str">
        <f t="shared" si="25"/>
        <v/>
      </c>
      <c r="D554" s="28" t="str">
        <f t="shared" si="26"/>
        <v/>
      </c>
      <c r="E554" s="88"/>
      <c r="F554" s="83"/>
    </row>
    <row r="555" spans="1:6">
      <c r="A555" s="10" t="str">
        <f t="shared" si="24"/>
        <v/>
      </c>
      <c r="B555" s="53"/>
      <c r="C555" s="28" t="str">
        <f t="shared" si="25"/>
        <v/>
      </c>
      <c r="D555" s="28" t="str">
        <f t="shared" si="26"/>
        <v/>
      </c>
      <c r="E555" s="88"/>
      <c r="F555" s="83"/>
    </row>
    <row r="556" spans="1:6">
      <c r="A556" s="10" t="str">
        <f t="shared" si="24"/>
        <v/>
      </c>
      <c r="B556" s="53"/>
      <c r="C556" s="28" t="str">
        <f t="shared" si="25"/>
        <v/>
      </c>
      <c r="D556" s="28" t="str">
        <f t="shared" si="26"/>
        <v/>
      </c>
      <c r="E556" s="88"/>
      <c r="F556" s="83"/>
    </row>
    <row r="557" spans="1:6">
      <c r="A557" s="10" t="str">
        <f t="shared" si="24"/>
        <v/>
      </c>
      <c r="B557" s="53"/>
      <c r="C557" s="28" t="str">
        <f t="shared" si="25"/>
        <v/>
      </c>
      <c r="D557" s="28" t="str">
        <f t="shared" si="26"/>
        <v/>
      </c>
      <c r="E557" s="88"/>
      <c r="F557" s="83"/>
    </row>
    <row r="558" spans="1:6">
      <c r="A558" s="10" t="str">
        <f t="shared" si="24"/>
        <v/>
      </c>
      <c r="B558" s="53"/>
      <c r="C558" s="28" t="str">
        <f t="shared" si="25"/>
        <v/>
      </c>
      <c r="D558" s="28" t="str">
        <f t="shared" si="26"/>
        <v/>
      </c>
      <c r="E558" s="88"/>
      <c r="F558" s="83"/>
    </row>
    <row r="559" spans="1:6">
      <c r="A559" s="10" t="str">
        <f t="shared" si="24"/>
        <v/>
      </c>
      <c r="B559" s="53"/>
      <c r="C559" s="28" t="str">
        <f t="shared" si="25"/>
        <v/>
      </c>
      <c r="D559" s="28" t="str">
        <f t="shared" si="26"/>
        <v/>
      </c>
      <c r="E559" s="88"/>
      <c r="F559" s="83"/>
    </row>
    <row r="560" spans="1:6">
      <c r="A560" s="10" t="str">
        <f t="shared" si="24"/>
        <v/>
      </c>
      <c r="B560" s="53"/>
      <c r="C560" s="28" t="str">
        <f t="shared" si="25"/>
        <v/>
      </c>
      <c r="D560" s="28" t="str">
        <f t="shared" si="26"/>
        <v/>
      </c>
      <c r="E560" s="88"/>
      <c r="F560" s="83"/>
    </row>
    <row r="561" spans="1:6">
      <c r="A561" s="10" t="str">
        <f t="shared" si="24"/>
        <v/>
      </c>
      <c r="B561" s="53"/>
      <c r="C561" s="28" t="str">
        <f t="shared" si="25"/>
        <v/>
      </c>
      <c r="D561" s="28" t="str">
        <f t="shared" si="26"/>
        <v/>
      </c>
      <c r="E561" s="88"/>
      <c r="F561" s="83"/>
    </row>
    <row r="562" spans="1:6">
      <c r="A562" s="10" t="str">
        <f t="shared" si="24"/>
        <v/>
      </c>
      <c r="B562" s="53"/>
      <c r="C562" s="28" t="str">
        <f t="shared" si="25"/>
        <v/>
      </c>
      <c r="D562" s="28" t="str">
        <f t="shared" si="26"/>
        <v/>
      </c>
      <c r="E562" s="88"/>
      <c r="F562" s="83"/>
    </row>
    <row r="563" spans="1:6">
      <c r="A563" s="10" t="str">
        <f t="shared" si="24"/>
        <v/>
      </c>
      <c r="B563" s="53"/>
      <c r="C563" s="28" t="str">
        <f t="shared" si="25"/>
        <v/>
      </c>
      <c r="D563" s="28" t="str">
        <f t="shared" si="26"/>
        <v/>
      </c>
      <c r="E563" s="88"/>
      <c r="F563" s="83"/>
    </row>
    <row r="564" spans="1:6">
      <c r="A564" s="10" t="str">
        <f t="shared" si="24"/>
        <v/>
      </c>
      <c r="B564" s="53"/>
      <c r="C564" s="28" t="str">
        <f t="shared" si="25"/>
        <v/>
      </c>
      <c r="D564" s="28" t="str">
        <f t="shared" si="26"/>
        <v/>
      </c>
      <c r="E564" s="88"/>
      <c r="F564" s="83"/>
    </row>
    <row r="565" spans="1:6">
      <c r="A565" s="10" t="str">
        <f t="shared" si="24"/>
        <v/>
      </c>
      <c r="B565" s="53"/>
      <c r="C565" s="28" t="str">
        <f t="shared" si="25"/>
        <v/>
      </c>
      <c r="D565" s="28" t="str">
        <f t="shared" si="26"/>
        <v/>
      </c>
      <c r="E565" s="88"/>
      <c r="F565" s="83"/>
    </row>
    <row r="566" spans="1:6">
      <c r="A566" s="10" t="str">
        <f t="shared" si="24"/>
        <v/>
      </c>
      <c r="B566" s="53"/>
      <c r="C566" s="28" t="str">
        <f t="shared" si="25"/>
        <v/>
      </c>
      <c r="D566" s="28" t="str">
        <f t="shared" si="26"/>
        <v/>
      </c>
      <c r="E566" s="88"/>
      <c r="F566" s="83"/>
    </row>
    <row r="567" spans="1:6">
      <c r="A567" s="10" t="str">
        <f t="shared" si="24"/>
        <v/>
      </c>
      <c r="B567" s="53"/>
      <c r="C567" s="28" t="str">
        <f t="shared" si="25"/>
        <v/>
      </c>
      <c r="D567" s="28" t="str">
        <f t="shared" si="26"/>
        <v/>
      </c>
      <c r="E567" s="88"/>
      <c r="F567" s="83"/>
    </row>
    <row r="568" spans="1:6">
      <c r="A568" s="10" t="str">
        <f t="shared" si="24"/>
        <v/>
      </c>
      <c r="B568" s="53"/>
      <c r="C568" s="28" t="str">
        <f t="shared" si="25"/>
        <v/>
      </c>
      <c r="D568" s="28" t="str">
        <f t="shared" si="26"/>
        <v/>
      </c>
      <c r="E568" s="88"/>
      <c r="F568" s="83"/>
    </row>
    <row r="569" spans="1:6">
      <c r="A569" s="10" t="str">
        <f t="shared" si="24"/>
        <v/>
      </c>
      <c r="B569" s="53"/>
      <c r="C569" s="28" t="str">
        <f t="shared" si="25"/>
        <v/>
      </c>
      <c r="D569" s="28" t="str">
        <f t="shared" si="26"/>
        <v/>
      </c>
      <c r="E569" s="88"/>
      <c r="F569" s="83"/>
    </row>
    <row r="570" spans="1:6">
      <c r="A570" s="10" t="str">
        <f t="shared" si="24"/>
        <v/>
      </c>
      <c r="B570" s="53"/>
      <c r="C570" s="28" t="str">
        <f t="shared" si="25"/>
        <v/>
      </c>
      <c r="D570" s="28" t="str">
        <f t="shared" si="26"/>
        <v/>
      </c>
      <c r="E570" s="88"/>
      <c r="F570" s="83"/>
    </row>
    <row r="571" spans="1:6">
      <c r="A571" s="10" t="str">
        <f t="shared" si="24"/>
        <v/>
      </c>
      <c r="B571" s="53"/>
      <c r="C571" s="28" t="str">
        <f t="shared" si="25"/>
        <v/>
      </c>
      <c r="D571" s="28" t="str">
        <f t="shared" si="26"/>
        <v/>
      </c>
      <c r="E571" s="88"/>
      <c r="F571" s="83"/>
    </row>
    <row r="572" spans="1:6">
      <c r="A572" s="10" t="str">
        <f t="shared" si="24"/>
        <v/>
      </c>
      <c r="B572" s="53"/>
      <c r="C572" s="28" t="str">
        <f t="shared" si="25"/>
        <v/>
      </c>
      <c r="D572" s="28" t="str">
        <f t="shared" si="26"/>
        <v/>
      </c>
      <c r="E572" s="88"/>
      <c r="F572" s="83"/>
    </row>
    <row r="573" spans="1:6">
      <c r="A573" s="10" t="str">
        <f t="shared" si="24"/>
        <v/>
      </c>
      <c r="B573" s="53"/>
      <c r="C573" s="28" t="str">
        <f t="shared" si="25"/>
        <v/>
      </c>
      <c r="D573" s="28" t="str">
        <f t="shared" si="26"/>
        <v/>
      </c>
      <c r="E573" s="88"/>
      <c r="F573" s="83"/>
    </row>
    <row r="574" spans="1:6">
      <c r="A574" s="10" t="str">
        <f t="shared" si="24"/>
        <v/>
      </c>
      <c r="B574" s="53"/>
      <c r="C574" s="28" t="str">
        <f t="shared" si="25"/>
        <v/>
      </c>
      <c r="D574" s="28" t="str">
        <f t="shared" si="26"/>
        <v/>
      </c>
      <c r="E574" s="88"/>
      <c r="F574" s="83"/>
    </row>
    <row r="575" spans="1:6">
      <c r="A575" s="10" t="str">
        <f t="shared" si="24"/>
        <v/>
      </c>
      <c r="B575" s="53"/>
      <c r="C575" s="28" t="str">
        <f t="shared" si="25"/>
        <v/>
      </c>
      <c r="D575" s="28" t="str">
        <f t="shared" si="26"/>
        <v/>
      </c>
      <c r="E575" s="88"/>
      <c r="F575" s="83"/>
    </row>
    <row r="576" spans="1:6">
      <c r="A576" s="10" t="str">
        <f t="shared" si="24"/>
        <v/>
      </c>
      <c r="B576" s="53"/>
      <c r="C576" s="28" t="str">
        <f t="shared" si="25"/>
        <v/>
      </c>
      <c r="D576" s="28" t="str">
        <f t="shared" si="26"/>
        <v/>
      </c>
      <c r="E576" s="88"/>
      <c r="F576" s="83"/>
    </row>
    <row r="577" spans="1:6">
      <c r="A577" s="10" t="str">
        <f t="shared" si="24"/>
        <v/>
      </c>
      <c r="B577" s="53"/>
      <c r="C577" s="28" t="str">
        <f t="shared" si="25"/>
        <v/>
      </c>
      <c r="D577" s="28" t="str">
        <f t="shared" si="26"/>
        <v/>
      </c>
      <c r="E577" s="88"/>
      <c r="F577" s="83"/>
    </row>
    <row r="578" spans="1:6">
      <c r="A578" s="10" t="str">
        <f t="shared" si="24"/>
        <v/>
      </c>
      <c r="B578" s="53"/>
      <c r="C578" s="28" t="str">
        <f t="shared" si="25"/>
        <v/>
      </c>
      <c r="D578" s="28" t="str">
        <f t="shared" si="26"/>
        <v/>
      </c>
      <c r="E578" s="88"/>
      <c r="F578" s="83"/>
    </row>
    <row r="579" spans="1:6">
      <c r="A579" s="10" t="str">
        <f t="shared" ref="A579:A642" si="27">IF(E579&gt;0,A578+1,"")</f>
        <v/>
      </c>
      <c r="B579" s="53"/>
      <c r="C579" s="28" t="str">
        <f t="shared" ref="C579:C642" si="28">IF(B579=0,"",TEXT(B579,"mmmm"))</f>
        <v/>
      </c>
      <c r="D579" s="28" t="str">
        <f t="shared" ref="D579:D642" si="29">IF(B579=0,"",TEXT(B579,"yyyy"))</f>
        <v/>
      </c>
      <c r="E579" s="88"/>
      <c r="F579" s="83"/>
    </row>
    <row r="580" spans="1:6">
      <c r="A580" s="10" t="str">
        <f t="shared" si="27"/>
        <v/>
      </c>
      <c r="B580" s="53"/>
      <c r="C580" s="28" t="str">
        <f t="shared" si="28"/>
        <v/>
      </c>
      <c r="D580" s="28" t="str">
        <f t="shared" si="29"/>
        <v/>
      </c>
      <c r="E580" s="88"/>
      <c r="F580" s="83"/>
    </row>
    <row r="581" spans="1:6">
      <c r="A581" s="10" t="str">
        <f t="shared" si="27"/>
        <v/>
      </c>
      <c r="B581" s="53"/>
      <c r="C581" s="28" t="str">
        <f t="shared" si="28"/>
        <v/>
      </c>
      <c r="D581" s="28" t="str">
        <f t="shared" si="29"/>
        <v/>
      </c>
      <c r="E581" s="88"/>
      <c r="F581" s="83"/>
    </row>
    <row r="582" spans="1:6">
      <c r="A582" s="10" t="str">
        <f t="shared" si="27"/>
        <v/>
      </c>
      <c r="B582" s="53"/>
      <c r="C582" s="28" t="str">
        <f t="shared" si="28"/>
        <v/>
      </c>
      <c r="D582" s="28" t="str">
        <f t="shared" si="29"/>
        <v/>
      </c>
      <c r="E582" s="88"/>
      <c r="F582" s="83"/>
    </row>
    <row r="583" spans="1:6">
      <c r="A583" s="10" t="str">
        <f t="shared" si="27"/>
        <v/>
      </c>
      <c r="B583" s="53"/>
      <c r="C583" s="28" t="str">
        <f t="shared" si="28"/>
        <v/>
      </c>
      <c r="D583" s="28" t="str">
        <f t="shared" si="29"/>
        <v/>
      </c>
      <c r="E583" s="88"/>
      <c r="F583" s="83"/>
    </row>
    <row r="584" spans="1:6">
      <c r="A584" s="10" t="str">
        <f t="shared" si="27"/>
        <v/>
      </c>
      <c r="B584" s="53"/>
      <c r="C584" s="28" t="str">
        <f t="shared" si="28"/>
        <v/>
      </c>
      <c r="D584" s="28" t="str">
        <f t="shared" si="29"/>
        <v/>
      </c>
      <c r="E584" s="88"/>
      <c r="F584" s="83"/>
    </row>
    <row r="585" spans="1:6">
      <c r="A585" s="10" t="str">
        <f t="shared" si="27"/>
        <v/>
      </c>
      <c r="B585" s="53"/>
      <c r="C585" s="28" t="str">
        <f t="shared" si="28"/>
        <v/>
      </c>
      <c r="D585" s="28" t="str">
        <f t="shared" si="29"/>
        <v/>
      </c>
      <c r="E585" s="88"/>
      <c r="F585" s="83"/>
    </row>
    <row r="586" spans="1:6">
      <c r="A586" s="10" t="str">
        <f t="shared" si="27"/>
        <v/>
      </c>
      <c r="B586" s="53"/>
      <c r="C586" s="28" t="str">
        <f t="shared" si="28"/>
        <v/>
      </c>
      <c r="D586" s="28" t="str">
        <f t="shared" si="29"/>
        <v/>
      </c>
      <c r="E586" s="88"/>
      <c r="F586" s="83"/>
    </row>
    <row r="587" spans="1:6">
      <c r="A587" s="10" t="str">
        <f t="shared" si="27"/>
        <v/>
      </c>
      <c r="B587" s="53"/>
      <c r="C587" s="28" t="str">
        <f t="shared" si="28"/>
        <v/>
      </c>
      <c r="D587" s="28" t="str">
        <f t="shared" si="29"/>
        <v/>
      </c>
      <c r="E587" s="88"/>
      <c r="F587" s="83"/>
    </row>
    <row r="588" spans="1:6">
      <c r="A588" s="10" t="str">
        <f t="shared" si="27"/>
        <v/>
      </c>
      <c r="B588" s="53"/>
      <c r="C588" s="28" t="str">
        <f t="shared" si="28"/>
        <v/>
      </c>
      <c r="D588" s="28" t="str">
        <f t="shared" si="29"/>
        <v/>
      </c>
      <c r="E588" s="88"/>
      <c r="F588" s="83"/>
    </row>
    <row r="589" spans="1:6">
      <c r="A589" s="10" t="str">
        <f t="shared" si="27"/>
        <v/>
      </c>
      <c r="B589" s="53"/>
      <c r="C589" s="28" t="str">
        <f t="shared" si="28"/>
        <v/>
      </c>
      <c r="D589" s="28" t="str">
        <f t="shared" si="29"/>
        <v/>
      </c>
      <c r="E589" s="88"/>
      <c r="F589" s="83"/>
    </row>
    <row r="590" spans="1:6">
      <c r="A590" s="10" t="str">
        <f t="shared" si="27"/>
        <v/>
      </c>
      <c r="B590" s="53"/>
      <c r="C590" s="28" t="str">
        <f t="shared" si="28"/>
        <v/>
      </c>
      <c r="D590" s="28" t="str">
        <f t="shared" si="29"/>
        <v/>
      </c>
      <c r="E590" s="88"/>
      <c r="F590" s="83"/>
    </row>
    <row r="591" spans="1:6">
      <c r="A591" s="10" t="str">
        <f t="shared" si="27"/>
        <v/>
      </c>
      <c r="B591" s="53"/>
      <c r="C591" s="28" t="str">
        <f t="shared" si="28"/>
        <v/>
      </c>
      <c r="D591" s="28" t="str">
        <f t="shared" si="29"/>
        <v/>
      </c>
      <c r="E591" s="88"/>
      <c r="F591" s="83"/>
    </row>
    <row r="592" spans="1:6">
      <c r="A592" s="10" t="str">
        <f t="shared" si="27"/>
        <v/>
      </c>
      <c r="B592" s="53"/>
      <c r="C592" s="28" t="str">
        <f t="shared" si="28"/>
        <v/>
      </c>
      <c r="D592" s="28" t="str">
        <f t="shared" si="29"/>
        <v/>
      </c>
      <c r="E592" s="88"/>
      <c r="F592" s="83"/>
    </row>
    <row r="593" spans="1:6">
      <c r="A593" s="10" t="str">
        <f t="shared" si="27"/>
        <v/>
      </c>
      <c r="B593" s="53"/>
      <c r="C593" s="28" t="str">
        <f t="shared" si="28"/>
        <v/>
      </c>
      <c r="D593" s="28" t="str">
        <f t="shared" si="29"/>
        <v/>
      </c>
      <c r="E593" s="88"/>
      <c r="F593" s="83"/>
    </row>
    <row r="594" spans="1:6">
      <c r="A594" s="10" t="str">
        <f t="shared" si="27"/>
        <v/>
      </c>
      <c r="B594" s="53"/>
      <c r="C594" s="28" t="str">
        <f t="shared" si="28"/>
        <v/>
      </c>
      <c r="D594" s="28" t="str">
        <f t="shared" si="29"/>
        <v/>
      </c>
      <c r="E594" s="88"/>
      <c r="F594" s="83"/>
    </row>
    <row r="595" spans="1:6">
      <c r="A595" s="10" t="str">
        <f t="shared" si="27"/>
        <v/>
      </c>
      <c r="B595" s="53"/>
      <c r="C595" s="28" t="str">
        <f t="shared" si="28"/>
        <v/>
      </c>
      <c r="D595" s="28" t="str">
        <f t="shared" si="29"/>
        <v/>
      </c>
      <c r="E595" s="88"/>
      <c r="F595" s="83"/>
    </row>
    <row r="596" spans="1:6">
      <c r="A596" s="10" t="str">
        <f t="shared" si="27"/>
        <v/>
      </c>
      <c r="B596" s="53"/>
      <c r="C596" s="28" t="str">
        <f t="shared" si="28"/>
        <v/>
      </c>
      <c r="D596" s="28" t="str">
        <f t="shared" si="29"/>
        <v/>
      </c>
      <c r="E596" s="88"/>
      <c r="F596" s="83"/>
    </row>
    <row r="597" spans="1:6">
      <c r="A597" s="10" t="str">
        <f t="shared" si="27"/>
        <v/>
      </c>
      <c r="B597" s="53"/>
      <c r="C597" s="28" t="str">
        <f t="shared" si="28"/>
        <v/>
      </c>
      <c r="D597" s="28" t="str">
        <f t="shared" si="29"/>
        <v/>
      </c>
      <c r="E597" s="88"/>
      <c r="F597" s="83"/>
    </row>
    <row r="598" spans="1:6">
      <c r="A598" s="10" t="str">
        <f t="shared" si="27"/>
        <v/>
      </c>
      <c r="B598" s="53"/>
      <c r="C598" s="28" t="str">
        <f t="shared" si="28"/>
        <v/>
      </c>
      <c r="D598" s="28" t="str">
        <f t="shared" si="29"/>
        <v/>
      </c>
      <c r="E598" s="88"/>
      <c r="F598" s="83"/>
    </row>
    <row r="599" spans="1:6">
      <c r="A599" s="10" t="str">
        <f t="shared" si="27"/>
        <v/>
      </c>
      <c r="B599" s="53"/>
      <c r="C599" s="28" t="str">
        <f t="shared" si="28"/>
        <v/>
      </c>
      <c r="D599" s="28" t="str">
        <f t="shared" si="29"/>
        <v/>
      </c>
      <c r="E599" s="88"/>
      <c r="F599" s="83"/>
    </row>
    <row r="600" spans="1:6">
      <c r="A600" s="10" t="str">
        <f t="shared" si="27"/>
        <v/>
      </c>
      <c r="B600" s="53"/>
      <c r="C600" s="28" t="str">
        <f t="shared" si="28"/>
        <v/>
      </c>
      <c r="D600" s="28" t="str">
        <f t="shared" si="29"/>
        <v/>
      </c>
      <c r="E600" s="88"/>
      <c r="F600" s="83"/>
    </row>
    <row r="601" spans="1:6">
      <c r="A601" s="10" t="str">
        <f t="shared" si="27"/>
        <v/>
      </c>
      <c r="B601" s="53"/>
      <c r="C601" s="28" t="str">
        <f t="shared" si="28"/>
        <v/>
      </c>
      <c r="D601" s="28" t="str">
        <f t="shared" si="29"/>
        <v/>
      </c>
      <c r="E601" s="88"/>
      <c r="F601" s="83"/>
    </row>
    <row r="602" spans="1:6">
      <c r="A602" s="10" t="str">
        <f t="shared" si="27"/>
        <v/>
      </c>
      <c r="B602" s="53"/>
      <c r="C602" s="28" t="str">
        <f t="shared" si="28"/>
        <v/>
      </c>
      <c r="D602" s="28" t="str">
        <f t="shared" si="29"/>
        <v/>
      </c>
      <c r="E602" s="88"/>
      <c r="F602" s="83"/>
    </row>
    <row r="603" spans="1:6">
      <c r="A603" s="10" t="str">
        <f t="shared" si="27"/>
        <v/>
      </c>
      <c r="B603" s="53"/>
      <c r="C603" s="28" t="str">
        <f t="shared" si="28"/>
        <v/>
      </c>
      <c r="D603" s="28" t="str">
        <f t="shared" si="29"/>
        <v/>
      </c>
      <c r="E603" s="88"/>
      <c r="F603" s="83"/>
    </row>
    <row r="604" spans="1:6">
      <c r="A604" s="10" t="str">
        <f t="shared" si="27"/>
        <v/>
      </c>
      <c r="B604" s="53"/>
      <c r="C604" s="28" t="str">
        <f t="shared" si="28"/>
        <v/>
      </c>
      <c r="D604" s="28" t="str">
        <f t="shared" si="29"/>
        <v/>
      </c>
      <c r="E604" s="88"/>
      <c r="F604" s="83"/>
    </row>
    <row r="605" spans="1:6">
      <c r="A605" s="10" t="str">
        <f t="shared" si="27"/>
        <v/>
      </c>
      <c r="B605" s="53"/>
      <c r="C605" s="28" t="str">
        <f t="shared" si="28"/>
        <v/>
      </c>
      <c r="D605" s="28" t="str">
        <f t="shared" si="29"/>
        <v/>
      </c>
      <c r="E605" s="88"/>
      <c r="F605" s="83"/>
    </row>
    <row r="606" spans="1:6">
      <c r="A606" s="10" t="str">
        <f t="shared" si="27"/>
        <v/>
      </c>
      <c r="B606" s="53"/>
      <c r="C606" s="28" t="str">
        <f t="shared" si="28"/>
        <v/>
      </c>
      <c r="D606" s="28" t="str">
        <f t="shared" si="29"/>
        <v/>
      </c>
      <c r="E606" s="88"/>
      <c r="F606" s="83"/>
    </row>
    <row r="607" spans="1:6">
      <c r="A607" s="10" t="str">
        <f t="shared" si="27"/>
        <v/>
      </c>
      <c r="B607" s="53"/>
      <c r="C607" s="28" t="str">
        <f t="shared" si="28"/>
        <v/>
      </c>
      <c r="D607" s="28" t="str">
        <f t="shared" si="29"/>
        <v/>
      </c>
      <c r="E607" s="88"/>
      <c r="F607" s="83"/>
    </row>
    <row r="608" spans="1:6">
      <c r="A608" s="10" t="str">
        <f t="shared" si="27"/>
        <v/>
      </c>
      <c r="B608" s="53"/>
      <c r="C608" s="28" t="str">
        <f t="shared" si="28"/>
        <v/>
      </c>
      <c r="D608" s="28" t="str">
        <f t="shared" si="29"/>
        <v/>
      </c>
      <c r="E608" s="88"/>
      <c r="F608" s="83"/>
    </row>
    <row r="609" spans="1:6">
      <c r="A609" s="10" t="str">
        <f t="shared" si="27"/>
        <v/>
      </c>
      <c r="B609" s="53"/>
      <c r="C609" s="28" t="str">
        <f t="shared" si="28"/>
        <v/>
      </c>
      <c r="D609" s="28" t="str">
        <f t="shared" si="29"/>
        <v/>
      </c>
      <c r="E609" s="88"/>
      <c r="F609" s="83"/>
    </row>
    <row r="610" spans="1:6">
      <c r="A610" s="10" t="str">
        <f t="shared" si="27"/>
        <v/>
      </c>
      <c r="B610" s="53"/>
      <c r="C610" s="28" t="str">
        <f t="shared" si="28"/>
        <v/>
      </c>
      <c r="D610" s="28" t="str">
        <f t="shared" si="29"/>
        <v/>
      </c>
      <c r="E610" s="88"/>
      <c r="F610" s="83"/>
    </row>
    <row r="611" spans="1:6">
      <c r="A611" s="10" t="str">
        <f t="shared" si="27"/>
        <v/>
      </c>
      <c r="B611" s="53"/>
      <c r="C611" s="28" t="str">
        <f t="shared" si="28"/>
        <v/>
      </c>
      <c r="D611" s="28" t="str">
        <f t="shared" si="29"/>
        <v/>
      </c>
      <c r="E611" s="88"/>
      <c r="F611" s="83"/>
    </row>
    <row r="612" spans="1:6">
      <c r="A612" s="10" t="str">
        <f t="shared" si="27"/>
        <v/>
      </c>
      <c r="B612" s="53"/>
      <c r="C612" s="28" t="str">
        <f t="shared" si="28"/>
        <v/>
      </c>
      <c r="D612" s="28" t="str">
        <f t="shared" si="29"/>
        <v/>
      </c>
      <c r="E612" s="88"/>
      <c r="F612" s="83"/>
    </row>
    <row r="613" spans="1:6">
      <c r="A613" s="10" t="str">
        <f t="shared" si="27"/>
        <v/>
      </c>
      <c r="B613" s="53"/>
      <c r="C613" s="28" t="str">
        <f t="shared" si="28"/>
        <v/>
      </c>
      <c r="D613" s="28" t="str">
        <f t="shared" si="29"/>
        <v/>
      </c>
      <c r="E613" s="88"/>
      <c r="F613" s="83"/>
    </row>
    <row r="614" spans="1:6">
      <c r="A614" s="10" t="str">
        <f t="shared" si="27"/>
        <v/>
      </c>
      <c r="B614" s="53"/>
      <c r="C614" s="28" t="str">
        <f t="shared" si="28"/>
        <v/>
      </c>
      <c r="D614" s="28" t="str">
        <f t="shared" si="29"/>
        <v/>
      </c>
      <c r="E614" s="88"/>
      <c r="F614" s="83"/>
    </row>
    <row r="615" spans="1:6">
      <c r="A615" s="10" t="str">
        <f t="shared" si="27"/>
        <v/>
      </c>
      <c r="B615" s="53"/>
      <c r="C615" s="28" t="str">
        <f t="shared" si="28"/>
        <v/>
      </c>
      <c r="D615" s="28" t="str">
        <f t="shared" si="29"/>
        <v/>
      </c>
      <c r="E615" s="88"/>
      <c r="F615" s="83"/>
    </row>
    <row r="616" spans="1:6">
      <c r="A616" s="10" t="str">
        <f t="shared" si="27"/>
        <v/>
      </c>
      <c r="B616" s="53"/>
      <c r="C616" s="28" t="str">
        <f t="shared" si="28"/>
        <v/>
      </c>
      <c r="D616" s="28" t="str">
        <f t="shared" si="29"/>
        <v/>
      </c>
      <c r="E616" s="88"/>
      <c r="F616" s="83"/>
    </row>
    <row r="617" spans="1:6">
      <c r="A617" s="10" t="str">
        <f t="shared" si="27"/>
        <v/>
      </c>
      <c r="B617" s="53"/>
      <c r="C617" s="28" t="str">
        <f t="shared" si="28"/>
        <v/>
      </c>
      <c r="D617" s="28" t="str">
        <f t="shared" si="29"/>
        <v/>
      </c>
      <c r="E617" s="88"/>
      <c r="F617" s="83"/>
    </row>
    <row r="618" spans="1:6">
      <c r="A618" s="10" t="str">
        <f t="shared" si="27"/>
        <v/>
      </c>
      <c r="B618" s="53"/>
      <c r="C618" s="28" t="str">
        <f t="shared" si="28"/>
        <v/>
      </c>
      <c r="D618" s="28" t="str">
        <f t="shared" si="29"/>
        <v/>
      </c>
      <c r="E618" s="88"/>
      <c r="F618" s="83"/>
    </row>
    <row r="619" spans="1:6">
      <c r="A619" s="10" t="str">
        <f t="shared" si="27"/>
        <v/>
      </c>
      <c r="B619" s="53"/>
      <c r="C619" s="28" t="str">
        <f t="shared" si="28"/>
        <v/>
      </c>
      <c r="D619" s="28" t="str">
        <f t="shared" si="29"/>
        <v/>
      </c>
      <c r="E619" s="88"/>
      <c r="F619" s="83"/>
    </row>
    <row r="620" spans="1:6">
      <c r="A620" s="10" t="str">
        <f t="shared" si="27"/>
        <v/>
      </c>
      <c r="B620" s="53"/>
      <c r="C620" s="28" t="str">
        <f t="shared" si="28"/>
        <v/>
      </c>
      <c r="D620" s="28" t="str">
        <f t="shared" si="29"/>
        <v/>
      </c>
      <c r="E620" s="88"/>
      <c r="F620" s="83"/>
    </row>
    <row r="621" spans="1:6">
      <c r="A621" s="10" t="str">
        <f t="shared" si="27"/>
        <v/>
      </c>
      <c r="B621" s="53"/>
      <c r="C621" s="28" t="str">
        <f t="shared" si="28"/>
        <v/>
      </c>
      <c r="D621" s="28" t="str">
        <f t="shared" si="29"/>
        <v/>
      </c>
      <c r="E621" s="88"/>
      <c r="F621" s="83"/>
    </row>
    <row r="622" spans="1:6">
      <c r="A622" s="10" t="str">
        <f t="shared" si="27"/>
        <v/>
      </c>
      <c r="B622" s="53"/>
      <c r="C622" s="28" t="str">
        <f t="shared" si="28"/>
        <v/>
      </c>
      <c r="D622" s="28" t="str">
        <f t="shared" si="29"/>
        <v/>
      </c>
      <c r="E622" s="88"/>
      <c r="F622" s="83"/>
    </row>
    <row r="623" spans="1:6">
      <c r="A623" s="10" t="str">
        <f t="shared" si="27"/>
        <v/>
      </c>
      <c r="B623" s="53"/>
      <c r="C623" s="28" t="str">
        <f t="shared" si="28"/>
        <v/>
      </c>
      <c r="D623" s="28" t="str">
        <f t="shared" si="29"/>
        <v/>
      </c>
      <c r="E623" s="88"/>
      <c r="F623" s="83"/>
    </row>
    <row r="624" spans="1:6">
      <c r="A624" s="10" t="str">
        <f t="shared" si="27"/>
        <v/>
      </c>
      <c r="B624" s="53"/>
      <c r="C624" s="28" t="str">
        <f t="shared" si="28"/>
        <v/>
      </c>
      <c r="D624" s="28" t="str">
        <f t="shared" si="29"/>
        <v/>
      </c>
      <c r="E624" s="88"/>
      <c r="F624" s="83"/>
    </row>
    <row r="625" spans="1:6">
      <c r="A625" s="10" t="str">
        <f t="shared" si="27"/>
        <v/>
      </c>
      <c r="B625" s="53"/>
      <c r="C625" s="28" t="str">
        <f t="shared" si="28"/>
        <v/>
      </c>
      <c r="D625" s="28" t="str">
        <f t="shared" si="29"/>
        <v/>
      </c>
      <c r="E625" s="88"/>
      <c r="F625" s="83"/>
    </row>
    <row r="626" spans="1:6">
      <c r="A626" s="10" t="str">
        <f t="shared" si="27"/>
        <v/>
      </c>
      <c r="B626" s="53"/>
      <c r="C626" s="28" t="str">
        <f t="shared" si="28"/>
        <v/>
      </c>
      <c r="D626" s="28" t="str">
        <f t="shared" si="29"/>
        <v/>
      </c>
      <c r="E626" s="88"/>
      <c r="F626" s="83"/>
    </row>
    <row r="627" spans="1:6">
      <c r="A627" s="10" t="str">
        <f t="shared" si="27"/>
        <v/>
      </c>
      <c r="B627" s="53"/>
      <c r="C627" s="28" t="str">
        <f t="shared" si="28"/>
        <v/>
      </c>
      <c r="D627" s="28" t="str">
        <f t="shared" si="29"/>
        <v/>
      </c>
      <c r="E627" s="88"/>
      <c r="F627" s="83"/>
    </row>
    <row r="628" spans="1:6">
      <c r="A628" s="10" t="str">
        <f t="shared" si="27"/>
        <v/>
      </c>
      <c r="B628" s="53"/>
      <c r="C628" s="28" t="str">
        <f t="shared" si="28"/>
        <v/>
      </c>
      <c r="D628" s="28" t="str">
        <f t="shared" si="29"/>
        <v/>
      </c>
      <c r="E628" s="88"/>
      <c r="F628" s="83"/>
    </row>
    <row r="629" spans="1:6">
      <c r="A629" s="10" t="str">
        <f t="shared" si="27"/>
        <v/>
      </c>
      <c r="B629" s="53"/>
      <c r="C629" s="28" t="str">
        <f t="shared" si="28"/>
        <v/>
      </c>
      <c r="D629" s="28" t="str">
        <f t="shared" si="29"/>
        <v/>
      </c>
      <c r="E629" s="88"/>
      <c r="F629" s="83"/>
    </row>
    <row r="630" spans="1:6">
      <c r="A630" s="10" t="str">
        <f t="shared" si="27"/>
        <v/>
      </c>
      <c r="B630" s="53"/>
      <c r="C630" s="28" t="str">
        <f t="shared" si="28"/>
        <v/>
      </c>
      <c r="D630" s="28" t="str">
        <f t="shared" si="29"/>
        <v/>
      </c>
      <c r="E630" s="88"/>
      <c r="F630" s="83"/>
    </row>
    <row r="631" spans="1:6">
      <c r="A631" s="10" t="str">
        <f t="shared" si="27"/>
        <v/>
      </c>
      <c r="B631" s="53"/>
      <c r="C631" s="28" t="str">
        <f t="shared" si="28"/>
        <v/>
      </c>
      <c r="D631" s="28" t="str">
        <f t="shared" si="29"/>
        <v/>
      </c>
      <c r="E631" s="88"/>
      <c r="F631" s="83"/>
    </row>
    <row r="632" spans="1:6">
      <c r="A632" s="10" t="str">
        <f t="shared" si="27"/>
        <v/>
      </c>
      <c r="B632" s="53"/>
      <c r="C632" s="28" t="str">
        <f t="shared" si="28"/>
        <v/>
      </c>
      <c r="D632" s="28" t="str">
        <f t="shared" si="29"/>
        <v/>
      </c>
      <c r="E632" s="88"/>
      <c r="F632" s="83"/>
    </row>
    <row r="633" spans="1:6">
      <c r="A633" s="10" t="str">
        <f t="shared" si="27"/>
        <v/>
      </c>
      <c r="B633" s="53"/>
      <c r="C633" s="28" t="str">
        <f t="shared" si="28"/>
        <v/>
      </c>
      <c r="D633" s="28" t="str">
        <f t="shared" si="29"/>
        <v/>
      </c>
      <c r="E633" s="88"/>
      <c r="F633" s="83"/>
    </row>
    <row r="634" spans="1:6">
      <c r="A634" s="10" t="str">
        <f t="shared" si="27"/>
        <v/>
      </c>
      <c r="B634" s="53"/>
      <c r="C634" s="28" t="str">
        <f t="shared" si="28"/>
        <v/>
      </c>
      <c r="D634" s="28" t="str">
        <f t="shared" si="29"/>
        <v/>
      </c>
      <c r="E634" s="88"/>
      <c r="F634" s="83"/>
    </row>
    <row r="635" spans="1:6">
      <c r="A635" s="10" t="str">
        <f t="shared" si="27"/>
        <v/>
      </c>
      <c r="B635" s="53"/>
      <c r="C635" s="28" t="str">
        <f t="shared" si="28"/>
        <v/>
      </c>
      <c r="D635" s="28" t="str">
        <f t="shared" si="29"/>
        <v/>
      </c>
      <c r="E635" s="88"/>
      <c r="F635" s="83"/>
    </row>
    <row r="636" spans="1:6">
      <c r="A636" s="10" t="str">
        <f t="shared" si="27"/>
        <v/>
      </c>
      <c r="B636" s="53"/>
      <c r="C636" s="28" t="str">
        <f t="shared" si="28"/>
        <v/>
      </c>
      <c r="D636" s="28" t="str">
        <f t="shared" si="29"/>
        <v/>
      </c>
      <c r="E636" s="88"/>
      <c r="F636" s="83"/>
    </row>
    <row r="637" spans="1:6">
      <c r="A637" s="10" t="str">
        <f t="shared" si="27"/>
        <v/>
      </c>
      <c r="B637" s="53"/>
      <c r="C637" s="28" t="str">
        <f t="shared" si="28"/>
        <v/>
      </c>
      <c r="D637" s="28" t="str">
        <f t="shared" si="29"/>
        <v/>
      </c>
      <c r="E637" s="88"/>
      <c r="F637" s="83"/>
    </row>
    <row r="638" spans="1:6">
      <c r="A638" s="10" t="str">
        <f t="shared" si="27"/>
        <v/>
      </c>
      <c r="B638" s="53"/>
      <c r="C638" s="28" t="str">
        <f t="shared" si="28"/>
        <v/>
      </c>
      <c r="D638" s="28" t="str">
        <f t="shared" si="29"/>
        <v/>
      </c>
      <c r="E638" s="88"/>
      <c r="F638" s="83"/>
    </row>
    <row r="639" spans="1:6">
      <c r="A639" s="10" t="str">
        <f t="shared" si="27"/>
        <v/>
      </c>
      <c r="B639" s="53"/>
      <c r="C639" s="28" t="str">
        <f t="shared" si="28"/>
        <v/>
      </c>
      <c r="D639" s="28" t="str">
        <f t="shared" si="29"/>
        <v/>
      </c>
      <c r="E639" s="88"/>
      <c r="F639" s="83"/>
    </row>
    <row r="640" spans="1:6">
      <c r="A640" s="10" t="str">
        <f t="shared" si="27"/>
        <v/>
      </c>
      <c r="B640" s="53"/>
      <c r="C640" s="28" t="str">
        <f t="shared" si="28"/>
        <v/>
      </c>
      <c r="D640" s="28" t="str">
        <f t="shared" si="29"/>
        <v/>
      </c>
      <c r="E640" s="88"/>
      <c r="F640" s="83"/>
    </row>
    <row r="641" spans="1:6">
      <c r="A641" s="10" t="str">
        <f t="shared" si="27"/>
        <v/>
      </c>
      <c r="B641" s="53"/>
      <c r="C641" s="28" t="str">
        <f t="shared" si="28"/>
        <v/>
      </c>
      <c r="D641" s="28" t="str">
        <f t="shared" si="29"/>
        <v/>
      </c>
      <c r="E641" s="88"/>
      <c r="F641" s="83"/>
    </row>
    <row r="642" spans="1:6">
      <c r="A642" s="10" t="str">
        <f t="shared" si="27"/>
        <v/>
      </c>
      <c r="B642" s="53"/>
      <c r="C642" s="28" t="str">
        <f t="shared" si="28"/>
        <v/>
      </c>
      <c r="D642" s="28" t="str">
        <f t="shared" si="29"/>
        <v/>
      </c>
      <c r="E642" s="88"/>
      <c r="F642" s="83"/>
    </row>
    <row r="643" spans="1:6">
      <c r="A643" s="10" t="str">
        <f t="shared" ref="A643:A706" si="30">IF(E643&gt;0,A642+1,"")</f>
        <v/>
      </c>
      <c r="B643" s="53"/>
      <c r="C643" s="28" t="str">
        <f t="shared" ref="C643:C706" si="31">IF(B643=0,"",TEXT(B643,"mmmm"))</f>
        <v/>
      </c>
      <c r="D643" s="28" t="str">
        <f t="shared" ref="D643:D706" si="32">IF(B643=0,"",TEXT(B643,"yyyy"))</f>
        <v/>
      </c>
      <c r="E643" s="88"/>
      <c r="F643" s="83"/>
    </row>
    <row r="644" spans="1:6">
      <c r="A644" s="10" t="str">
        <f t="shared" si="30"/>
        <v/>
      </c>
      <c r="B644" s="53"/>
      <c r="C644" s="28" t="str">
        <f t="shared" si="31"/>
        <v/>
      </c>
      <c r="D644" s="28" t="str">
        <f t="shared" si="32"/>
        <v/>
      </c>
      <c r="E644" s="88"/>
      <c r="F644" s="83"/>
    </row>
    <row r="645" spans="1:6">
      <c r="A645" s="10" t="str">
        <f t="shared" si="30"/>
        <v/>
      </c>
      <c r="B645" s="53"/>
      <c r="C645" s="28" t="str">
        <f t="shared" si="31"/>
        <v/>
      </c>
      <c r="D645" s="28" t="str">
        <f t="shared" si="32"/>
        <v/>
      </c>
      <c r="E645" s="88"/>
      <c r="F645" s="83"/>
    </row>
    <row r="646" spans="1:6">
      <c r="A646" s="10" t="str">
        <f t="shared" si="30"/>
        <v/>
      </c>
      <c r="B646" s="53"/>
      <c r="C646" s="28" t="str">
        <f t="shared" si="31"/>
        <v/>
      </c>
      <c r="D646" s="28" t="str">
        <f t="shared" si="32"/>
        <v/>
      </c>
      <c r="E646" s="88"/>
      <c r="F646" s="83"/>
    </row>
    <row r="647" spans="1:6">
      <c r="A647" s="10" t="str">
        <f t="shared" si="30"/>
        <v/>
      </c>
      <c r="B647" s="53"/>
      <c r="C647" s="28" t="str">
        <f t="shared" si="31"/>
        <v/>
      </c>
      <c r="D647" s="28" t="str">
        <f t="shared" si="32"/>
        <v/>
      </c>
      <c r="E647" s="88"/>
      <c r="F647" s="83"/>
    </row>
    <row r="648" spans="1:6">
      <c r="A648" s="10" t="str">
        <f t="shared" si="30"/>
        <v/>
      </c>
      <c r="B648" s="53"/>
      <c r="C648" s="28" t="str">
        <f t="shared" si="31"/>
        <v/>
      </c>
      <c r="D648" s="28" t="str">
        <f t="shared" si="32"/>
        <v/>
      </c>
      <c r="E648" s="88"/>
      <c r="F648" s="83"/>
    </row>
    <row r="649" spans="1:6">
      <c r="A649" s="10" t="str">
        <f t="shared" si="30"/>
        <v/>
      </c>
      <c r="B649" s="53"/>
      <c r="C649" s="28" t="str">
        <f t="shared" si="31"/>
        <v/>
      </c>
      <c r="D649" s="28" t="str">
        <f t="shared" si="32"/>
        <v/>
      </c>
      <c r="E649" s="88"/>
      <c r="F649" s="83"/>
    </row>
    <row r="650" spans="1:6">
      <c r="A650" s="10" t="str">
        <f t="shared" si="30"/>
        <v/>
      </c>
      <c r="B650" s="53"/>
      <c r="C650" s="28" t="str">
        <f t="shared" si="31"/>
        <v/>
      </c>
      <c r="D650" s="28" t="str">
        <f t="shared" si="32"/>
        <v/>
      </c>
      <c r="E650" s="88"/>
      <c r="F650" s="83"/>
    </row>
    <row r="651" spans="1:6">
      <c r="A651" s="10" t="str">
        <f t="shared" si="30"/>
        <v/>
      </c>
      <c r="B651" s="53"/>
      <c r="C651" s="28" t="str">
        <f t="shared" si="31"/>
        <v/>
      </c>
      <c r="D651" s="28" t="str">
        <f t="shared" si="32"/>
        <v/>
      </c>
      <c r="E651" s="88"/>
      <c r="F651" s="83"/>
    </row>
    <row r="652" spans="1:6">
      <c r="A652" s="10" t="str">
        <f t="shared" si="30"/>
        <v/>
      </c>
      <c r="B652" s="53"/>
      <c r="C652" s="28" t="str">
        <f t="shared" si="31"/>
        <v/>
      </c>
      <c r="D652" s="28" t="str">
        <f t="shared" si="32"/>
        <v/>
      </c>
      <c r="E652" s="88"/>
      <c r="F652" s="83"/>
    </row>
    <row r="653" spans="1:6">
      <c r="A653" s="10" t="str">
        <f t="shared" si="30"/>
        <v/>
      </c>
      <c r="B653" s="53"/>
      <c r="C653" s="28" t="str">
        <f t="shared" si="31"/>
        <v/>
      </c>
      <c r="D653" s="28" t="str">
        <f t="shared" si="32"/>
        <v/>
      </c>
      <c r="E653" s="88"/>
      <c r="F653" s="83"/>
    </row>
    <row r="654" spans="1:6">
      <c r="A654" s="10" t="str">
        <f t="shared" si="30"/>
        <v/>
      </c>
      <c r="B654" s="53"/>
      <c r="C654" s="28" t="str">
        <f t="shared" si="31"/>
        <v/>
      </c>
      <c r="D654" s="28" t="str">
        <f t="shared" si="32"/>
        <v/>
      </c>
      <c r="E654" s="88"/>
      <c r="F654" s="83"/>
    </row>
    <row r="655" spans="1:6">
      <c r="A655" s="10" t="str">
        <f t="shared" si="30"/>
        <v/>
      </c>
      <c r="B655" s="53"/>
      <c r="C655" s="28" t="str">
        <f t="shared" si="31"/>
        <v/>
      </c>
      <c r="D655" s="28" t="str">
        <f t="shared" si="32"/>
        <v/>
      </c>
      <c r="E655" s="88"/>
      <c r="F655" s="83"/>
    </row>
    <row r="656" spans="1:6">
      <c r="A656" s="10" t="str">
        <f t="shared" si="30"/>
        <v/>
      </c>
      <c r="B656" s="53"/>
      <c r="C656" s="28" t="str">
        <f t="shared" si="31"/>
        <v/>
      </c>
      <c r="D656" s="28" t="str">
        <f t="shared" si="32"/>
        <v/>
      </c>
      <c r="E656" s="88"/>
      <c r="F656" s="83"/>
    </row>
    <row r="657" spans="1:6">
      <c r="A657" s="10" t="str">
        <f t="shared" si="30"/>
        <v/>
      </c>
      <c r="B657" s="53"/>
      <c r="C657" s="28" t="str">
        <f t="shared" si="31"/>
        <v/>
      </c>
      <c r="D657" s="28" t="str">
        <f t="shared" si="32"/>
        <v/>
      </c>
      <c r="E657" s="88"/>
      <c r="F657" s="83"/>
    </row>
    <row r="658" spans="1:6">
      <c r="A658" s="10" t="str">
        <f t="shared" si="30"/>
        <v/>
      </c>
      <c r="B658" s="53"/>
      <c r="C658" s="28" t="str">
        <f t="shared" si="31"/>
        <v/>
      </c>
      <c r="D658" s="28" t="str">
        <f t="shared" si="32"/>
        <v/>
      </c>
      <c r="E658" s="88"/>
      <c r="F658" s="83"/>
    </row>
    <row r="659" spans="1:6">
      <c r="A659" s="10" t="str">
        <f t="shared" si="30"/>
        <v/>
      </c>
      <c r="B659" s="53"/>
      <c r="C659" s="28" t="str">
        <f t="shared" si="31"/>
        <v/>
      </c>
      <c r="D659" s="28" t="str">
        <f t="shared" si="32"/>
        <v/>
      </c>
      <c r="E659" s="88"/>
      <c r="F659" s="83"/>
    </row>
    <row r="660" spans="1:6">
      <c r="A660" s="10" t="str">
        <f t="shared" si="30"/>
        <v/>
      </c>
      <c r="B660" s="53"/>
      <c r="C660" s="28" t="str">
        <f t="shared" si="31"/>
        <v/>
      </c>
      <c r="D660" s="28" t="str">
        <f t="shared" si="32"/>
        <v/>
      </c>
      <c r="E660" s="88"/>
      <c r="F660" s="83"/>
    </row>
    <row r="661" spans="1:6">
      <c r="A661" s="10" t="str">
        <f t="shared" si="30"/>
        <v/>
      </c>
      <c r="B661" s="53"/>
      <c r="C661" s="28" t="str">
        <f t="shared" si="31"/>
        <v/>
      </c>
      <c r="D661" s="28" t="str">
        <f t="shared" si="32"/>
        <v/>
      </c>
      <c r="E661" s="88"/>
      <c r="F661" s="83"/>
    </row>
    <row r="662" spans="1:6">
      <c r="A662" s="10" t="str">
        <f t="shared" si="30"/>
        <v/>
      </c>
      <c r="B662" s="53"/>
      <c r="C662" s="28" t="str">
        <f t="shared" si="31"/>
        <v/>
      </c>
      <c r="D662" s="28" t="str">
        <f t="shared" si="32"/>
        <v/>
      </c>
      <c r="E662" s="88"/>
      <c r="F662" s="83"/>
    </row>
    <row r="663" spans="1:6">
      <c r="A663" s="10" t="str">
        <f t="shared" si="30"/>
        <v/>
      </c>
      <c r="B663" s="53"/>
      <c r="C663" s="28" t="str">
        <f t="shared" si="31"/>
        <v/>
      </c>
      <c r="D663" s="28" t="str">
        <f t="shared" si="32"/>
        <v/>
      </c>
      <c r="E663" s="88"/>
      <c r="F663" s="83"/>
    </row>
    <row r="664" spans="1:6">
      <c r="A664" s="10" t="str">
        <f t="shared" si="30"/>
        <v/>
      </c>
      <c r="B664" s="53"/>
      <c r="C664" s="28" t="str">
        <f t="shared" si="31"/>
        <v/>
      </c>
      <c r="D664" s="28" t="str">
        <f t="shared" si="32"/>
        <v/>
      </c>
      <c r="E664" s="88"/>
      <c r="F664" s="83"/>
    </row>
    <row r="665" spans="1:6">
      <c r="A665" s="10" t="str">
        <f t="shared" si="30"/>
        <v/>
      </c>
      <c r="B665" s="53"/>
      <c r="C665" s="28" t="str">
        <f t="shared" si="31"/>
        <v/>
      </c>
      <c r="D665" s="28" t="str">
        <f t="shared" si="32"/>
        <v/>
      </c>
      <c r="E665" s="88"/>
      <c r="F665" s="83"/>
    </row>
    <row r="666" spans="1:6">
      <c r="A666" s="10" t="str">
        <f t="shared" si="30"/>
        <v/>
      </c>
      <c r="B666" s="53"/>
      <c r="C666" s="28" t="str">
        <f t="shared" si="31"/>
        <v/>
      </c>
      <c r="D666" s="28" t="str">
        <f t="shared" si="32"/>
        <v/>
      </c>
      <c r="E666" s="88"/>
      <c r="F666" s="83"/>
    </row>
    <row r="667" spans="1:6">
      <c r="A667" s="10" t="str">
        <f t="shared" si="30"/>
        <v/>
      </c>
      <c r="B667" s="53"/>
      <c r="C667" s="28" t="str">
        <f t="shared" si="31"/>
        <v/>
      </c>
      <c r="D667" s="28" t="str">
        <f t="shared" si="32"/>
        <v/>
      </c>
      <c r="E667" s="88"/>
      <c r="F667" s="83"/>
    </row>
    <row r="668" spans="1:6">
      <c r="A668" s="10" t="str">
        <f t="shared" si="30"/>
        <v/>
      </c>
      <c r="B668" s="53"/>
      <c r="C668" s="28" t="str">
        <f t="shared" si="31"/>
        <v/>
      </c>
      <c r="D668" s="28" t="str">
        <f t="shared" si="32"/>
        <v/>
      </c>
      <c r="E668" s="88"/>
      <c r="F668" s="83"/>
    </row>
    <row r="669" spans="1:6">
      <c r="A669" s="10" t="str">
        <f t="shared" si="30"/>
        <v/>
      </c>
      <c r="B669" s="53"/>
      <c r="C669" s="28" t="str">
        <f t="shared" si="31"/>
        <v/>
      </c>
      <c r="D669" s="28" t="str">
        <f t="shared" si="32"/>
        <v/>
      </c>
      <c r="E669" s="88"/>
      <c r="F669" s="83"/>
    </row>
    <row r="670" spans="1:6">
      <c r="A670" s="10" t="str">
        <f t="shared" si="30"/>
        <v/>
      </c>
      <c r="B670" s="53"/>
      <c r="C670" s="28" t="str">
        <f t="shared" si="31"/>
        <v/>
      </c>
      <c r="D670" s="28" t="str">
        <f t="shared" si="32"/>
        <v/>
      </c>
      <c r="E670" s="88"/>
      <c r="F670" s="83"/>
    </row>
    <row r="671" spans="1:6">
      <c r="A671" s="10" t="str">
        <f t="shared" si="30"/>
        <v/>
      </c>
      <c r="B671" s="53"/>
      <c r="C671" s="28" t="str">
        <f t="shared" si="31"/>
        <v/>
      </c>
      <c r="D671" s="28" t="str">
        <f t="shared" si="32"/>
        <v/>
      </c>
      <c r="E671" s="88"/>
      <c r="F671" s="83"/>
    </row>
    <row r="672" spans="1:6">
      <c r="A672" s="10" t="str">
        <f t="shared" si="30"/>
        <v/>
      </c>
      <c r="B672" s="53"/>
      <c r="C672" s="28" t="str">
        <f t="shared" si="31"/>
        <v/>
      </c>
      <c r="D672" s="28" t="str">
        <f t="shared" si="32"/>
        <v/>
      </c>
      <c r="E672" s="88"/>
      <c r="F672" s="83"/>
    </row>
    <row r="673" spans="1:6">
      <c r="A673" s="10" t="str">
        <f t="shared" si="30"/>
        <v/>
      </c>
      <c r="B673" s="53"/>
      <c r="C673" s="28" t="str">
        <f t="shared" si="31"/>
        <v/>
      </c>
      <c r="D673" s="28" t="str">
        <f t="shared" si="32"/>
        <v/>
      </c>
      <c r="E673" s="88"/>
      <c r="F673" s="83"/>
    </row>
    <row r="674" spans="1:6">
      <c r="A674" s="10" t="str">
        <f t="shared" si="30"/>
        <v/>
      </c>
      <c r="B674" s="53"/>
      <c r="C674" s="28" t="str">
        <f t="shared" si="31"/>
        <v/>
      </c>
      <c r="D674" s="28" t="str">
        <f t="shared" si="32"/>
        <v/>
      </c>
      <c r="E674" s="88"/>
      <c r="F674" s="83"/>
    </row>
    <row r="675" spans="1:6">
      <c r="A675" s="10" t="str">
        <f t="shared" si="30"/>
        <v/>
      </c>
      <c r="B675" s="53"/>
      <c r="C675" s="28" t="str">
        <f t="shared" si="31"/>
        <v/>
      </c>
      <c r="D675" s="28" t="str">
        <f t="shared" si="32"/>
        <v/>
      </c>
      <c r="E675" s="88"/>
      <c r="F675" s="83"/>
    </row>
    <row r="676" spans="1:6">
      <c r="A676" s="10" t="str">
        <f t="shared" si="30"/>
        <v/>
      </c>
      <c r="B676" s="53"/>
      <c r="C676" s="28" t="str">
        <f t="shared" si="31"/>
        <v/>
      </c>
      <c r="D676" s="28" t="str">
        <f t="shared" si="32"/>
        <v/>
      </c>
      <c r="E676" s="88"/>
      <c r="F676" s="83"/>
    </row>
    <row r="677" spans="1:6">
      <c r="A677" s="10" t="str">
        <f t="shared" si="30"/>
        <v/>
      </c>
      <c r="B677" s="53"/>
      <c r="C677" s="28" t="str">
        <f t="shared" si="31"/>
        <v/>
      </c>
      <c r="D677" s="28" t="str">
        <f t="shared" si="32"/>
        <v/>
      </c>
      <c r="E677" s="88"/>
      <c r="F677" s="83"/>
    </row>
    <row r="678" spans="1:6">
      <c r="A678" s="10" t="str">
        <f t="shared" si="30"/>
        <v/>
      </c>
      <c r="B678" s="53"/>
      <c r="C678" s="28" t="str">
        <f t="shared" si="31"/>
        <v/>
      </c>
      <c r="D678" s="28" t="str">
        <f t="shared" si="32"/>
        <v/>
      </c>
      <c r="E678" s="88"/>
      <c r="F678" s="83"/>
    </row>
    <row r="679" spans="1:6">
      <c r="A679" s="10" t="str">
        <f t="shared" si="30"/>
        <v/>
      </c>
      <c r="B679" s="53"/>
      <c r="C679" s="28" t="str">
        <f t="shared" si="31"/>
        <v/>
      </c>
      <c r="D679" s="28" t="str">
        <f t="shared" si="32"/>
        <v/>
      </c>
      <c r="E679" s="88"/>
      <c r="F679" s="83"/>
    </row>
    <row r="680" spans="1:6">
      <c r="A680" s="10" t="str">
        <f t="shared" si="30"/>
        <v/>
      </c>
      <c r="B680" s="53"/>
      <c r="C680" s="28" t="str">
        <f t="shared" si="31"/>
        <v/>
      </c>
      <c r="D680" s="28" t="str">
        <f t="shared" si="32"/>
        <v/>
      </c>
      <c r="E680" s="88"/>
      <c r="F680" s="83"/>
    </row>
    <row r="681" spans="1:6">
      <c r="A681" s="10" t="str">
        <f t="shared" si="30"/>
        <v/>
      </c>
      <c r="B681" s="53"/>
      <c r="C681" s="28" t="str">
        <f t="shared" si="31"/>
        <v/>
      </c>
      <c r="D681" s="28" t="str">
        <f t="shared" si="32"/>
        <v/>
      </c>
      <c r="E681" s="88"/>
      <c r="F681" s="83"/>
    </row>
    <row r="682" spans="1:6">
      <c r="A682" s="10" t="str">
        <f t="shared" si="30"/>
        <v/>
      </c>
      <c r="B682" s="53"/>
      <c r="C682" s="28" t="str">
        <f t="shared" si="31"/>
        <v/>
      </c>
      <c r="D682" s="28" t="str">
        <f t="shared" si="32"/>
        <v/>
      </c>
      <c r="E682" s="88"/>
      <c r="F682" s="83"/>
    </row>
    <row r="683" spans="1:6">
      <c r="A683" s="10" t="str">
        <f t="shared" si="30"/>
        <v/>
      </c>
      <c r="B683" s="53"/>
      <c r="C683" s="28" t="str">
        <f t="shared" si="31"/>
        <v/>
      </c>
      <c r="D683" s="28" t="str">
        <f t="shared" si="32"/>
        <v/>
      </c>
      <c r="E683" s="88"/>
      <c r="F683" s="83"/>
    </row>
    <row r="684" spans="1:6">
      <c r="A684" s="10" t="str">
        <f t="shared" si="30"/>
        <v/>
      </c>
      <c r="B684" s="53"/>
      <c r="C684" s="28" t="str">
        <f t="shared" si="31"/>
        <v/>
      </c>
      <c r="D684" s="28" t="str">
        <f t="shared" si="32"/>
        <v/>
      </c>
      <c r="E684" s="88"/>
      <c r="F684" s="83"/>
    </row>
    <row r="685" spans="1:6">
      <c r="A685" s="10" t="str">
        <f t="shared" si="30"/>
        <v/>
      </c>
      <c r="B685" s="53"/>
      <c r="C685" s="28" t="str">
        <f t="shared" si="31"/>
        <v/>
      </c>
      <c r="D685" s="28" t="str">
        <f t="shared" si="32"/>
        <v/>
      </c>
      <c r="E685" s="88"/>
      <c r="F685" s="83"/>
    </row>
    <row r="686" spans="1:6">
      <c r="A686" s="10" t="str">
        <f t="shared" si="30"/>
        <v/>
      </c>
      <c r="B686" s="53"/>
      <c r="C686" s="28" t="str">
        <f t="shared" si="31"/>
        <v/>
      </c>
      <c r="D686" s="28" t="str">
        <f t="shared" si="32"/>
        <v/>
      </c>
      <c r="E686" s="88"/>
      <c r="F686" s="83"/>
    </row>
    <row r="687" spans="1:6">
      <c r="A687" s="10" t="str">
        <f t="shared" si="30"/>
        <v/>
      </c>
      <c r="B687" s="53"/>
      <c r="C687" s="28" t="str">
        <f t="shared" si="31"/>
        <v/>
      </c>
      <c r="D687" s="28" t="str">
        <f t="shared" si="32"/>
        <v/>
      </c>
      <c r="E687" s="88"/>
      <c r="F687" s="83"/>
    </row>
    <row r="688" spans="1:6">
      <c r="A688" s="10" t="str">
        <f t="shared" si="30"/>
        <v/>
      </c>
      <c r="B688" s="53"/>
      <c r="C688" s="28" t="str">
        <f t="shared" si="31"/>
        <v/>
      </c>
      <c r="D688" s="28" t="str">
        <f t="shared" si="32"/>
        <v/>
      </c>
      <c r="E688" s="88"/>
      <c r="F688" s="83"/>
    </row>
    <row r="689" spans="1:6">
      <c r="A689" s="10" t="str">
        <f t="shared" si="30"/>
        <v/>
      </c>
      <c r="B689" s="53"/>
      <c r="C689" s="28" t="str">
        <f t="shared" si="31"/>
        <v/>
      </c>
      <c r="D689" s="28" t="str">
        <f t="shared" si="32"/>
        <v/>
      </c>
      <c r="E689" s="88"/>
      <c r="F689" s="83"/>
    </row>
    <row r="690" spans="1:6">
      <c r="A690" s="10" t="str">
        <f t="shared" si="30"/>
        <v/>
      </c>
      <c r="B690" s="53"/>
      <c r="C690" s="28" t="str">
        <f t="shared" si="31"/>
        <v/>
      </c>
      <c r="D690" s="28" t="str">
        <f t="shared" si="32"/>
        <v/>
      </c>
      <c r="E690" s="88"/>
      <c r="F690" s="83"/>
    </row>
    <row r="691" spans="1:6">
      <c r="A691" s="10" t="str">
        <f t="shared" si="30"/>
        <v/>
      </c>
      <c r="B691" s="53"/>
      <c r="C691" s="28" t="str">
        <f t="shared" si="31"/>
        <v/>
      </c>
      <c r="D691" s="28" t="str">
        <f t="shared" si="32"/>
        <v/>
      </c>
      <c r="E691" s="88"/>
      <c r="F691" s="83"/>
    </row>
    <row r="692" spans="1:6">
      <c r="A692" s="10" t="str">
        <f t="shared" si="30"/>
        <v/>
      </c>
      <c r="B692" s="53"/>
      <c r="C692" s="28" t="str">
        <f t="shared" si="31"/>
        <v/>
      </c>
      <c r="D692" s="28" t="str">
        <f t="shared" si="32"/>
        <v/>
      </c>
      <c r="E692" s="88"/>
      <c r="F692" s="83"/>
    </row>
    <row r="693" spans="1:6">
      <c r="A693" s="10" t="str">
        <f t="shared" si="30"/>
        <v/>
      </c>
      <c r="B693" s="53"/>
      <c r="C693" s="28" t="str">
        <f t="shared" si="31"/>
        <v/>
      </c>
      <c r="D693" s="28" t="str">
        <f t="shared" si="32"/>
        <v/>
      </c>
      <c r="E693" s="88"/>
      <c r="F693" s="83"/>
    </row>
    <row r="694" spans="1:6">
      <c r="A694" s="10" t="str">
        <f t="shared" si="30"/>
        <v/>
      </c>
      <c r="B694" s="53"/>
      <c r="C694" s="28" t="str">
        <f t="shared" si="31"/>
        <v/>
      </c>
      <c r="D694" s="28" t="str">
        <f t="shared" si="32"/>
        <v/>
      </c>
      <c r="E694" s="88"/>
      <c r="F694" s="83"/>
    </row>
    <row r="695" spans="1:6">
      <c r="A695" s="10" t="str">
        <f t="shared" si="30"/>
        <v/>
      </c>
      <c r="B695" s="53"/>
      <c r="C695" s="28" t="str">
        <f t="shared" si="31"/>
        <v/>
      </c>
      <c r="D695" s="28" t="str">
        <f t="shared" si="32"/>
        <v/>
      </c>
      <c r="E695" s="88"/>
      <c r="F695" s="83"/>
    </row>
    <row r="696" spans="1:6">
      <c r="A696" s="10" t="str">
        <f t="shared" si="30"/>
        <v/>
      </c>
      <c r="B696" s="53"/>
      <c r="C696" s="28" t="str">
        <f t="shared" si="31"/>
        <v/>
      </c>
      <c r="D696" s="28" t="str">
        <f t="shared" si="32"/>
        <v/>
      </c>
      <c r="E696" s="88"/>
      <c r="F696" s="83"/>
    </row>
    <row r="697" spans="1:6">
      <c r="A697" s="10" t="str">
        <f t="shared" si="30"/>
        <v/>
      </c>
      <c r="B697" s="53"/>
      <c r="C697" s="28" t="str">
        <f t="shared" si="31"/>
        <v/>
      </c>
      <c r="D697" s="28" t="str">
        <f t="shared" si="32"/>
        <v/>
      </c>
      <c r="E697" s="88"/>
      <c r="F697" s="83"/>
    </row>
    <row r="698" spans="1:6">
      <c r="A698" s="10" t="str">
        <f t="shared" si="30"/>
        <v/>
      </c>
      <c r="B698" s="53"/>
      <c r="C698" s="28" t="str">
        <f t="shared" si="31"/>
        <v/>
      </c>
      <c r="D698" s="28" t="str">
        <f t="shared" si="32"/>
        <v/>
      </c>
      <c r="E698" s="88"/>
      <c r="F698" s="83"/>
    </row>
    <row r="699" spans="1:6">
      <c r="A699" s="10" t="str">
        <f t="shared" si="30"/>
        <v/>
      </c>
      <c r="B699" s="53"/>
      <c r="C699" s="28" t="str">
        <f t="shared" si="31"/>
        <v/>
      </c>
      <c r="D699" s="28" t="str">
        <f t="shared" si="32"/>
        <v/>
      </c>
      <c r="E699" s="88"/>
      <c r="F699" s="83"/>
    </row>
    <row r="700" spans="1:6">
      <c r="A700" s="10" t="str">
        <f t="shared" si="30"/>
        <v/>
      </c>
      <c r="B700" s="53"/>
      <c r="C700" s="28" t="str">
        <f t="shared" si="31"/>
        <v/>
      </c>
      <c r="D700" s="28" t="str">
        <f t="shared" si="32"/>
        <v/>
      </c>
      <c r="E700" s="88"/>
      <c r="F700" s="83"/>
    </row>
    <row r="701" spans="1:6">
      <c r="A701" s="10" t="str">
        <f t="shared" si="30"/>
        <v/>
      </c>
      <c r="B701" s="53"/>
      <c r="C701" s="28" t="str">
        <f t="shared" si="31"/>
        <v/>
      </c>
      <c r="D701" s="28" t="str">
        <f t="shared" si="32"/>
        <v/>
      </c>
      <c r="E701" s="88"/>
      <c r="F701" s="83"/>
    </row>
    <row r="702" spans="1:6">
      <c r="A702" s="10" t="str">
        <f t="shared" si="30"/>
        <v/>
      </c>
      <c r="B702" s="53"/>
      <c r="C702" s="28" t="str">
        <f t="shared" si="31"/>
        <v/>
      </c>
      <c r="D702" s="28" t="str">
        <f t="shared" si="32"/>
        <v/>
      </c>
      <c r="E702" s="88"/>
      <c r="F702" s="83"/>
    </row>
    <row r="703" spans="1:6">
      <c r="A703" s="10" t="str">
        <f t="shared" si="30"/>
        <v/>
      </c>
      <c r="B703" s="53"/>
      <c r="C703" s="28" t="str">
        <f t="shared" si="31"/>
        <v/>
      </c>
      <c r="D703" s="28" t="str">
        <f t="shared" si="32"/>
        <v/>
      </c>
      <c r="E703" s="88"/>
      <c r="F703" s="83"/>
    </row>
    <row r="704" spans="1:6">
      <c r="A704" s="10" t="str">
        <f t="shared" si="30"/>
        <v/>
      </c>
      <c r="B704" s="53"/>
      <c r="C704" s="28" t="str">
        <f t="shared" si="31"/>
        <v/>
      </c>
      <c r="D704" s="28" t="str">
        <f t="shared" si="32"/>
        <v/>
      </c>
      <c r="E704" s="88"/>
      <c r="F704" s="83"/>
    </row>
    <row r="705" spans="1:6">
      <c r="A705" s="10" t="str">
        <f t="shared" si="30"/>
        <v/>
      </c>
      <c r="B705" s="53"/>
      <c r="C705" s="28" t="str">
        <f t="shared" si="31"/>
        <v/>
      </c>
      <c r="D705" s="28" t="str">
        <f t="shared" si="32"/>
        <v/>
      </c>
      <c r="E705" s="88"/>
      <c r="F705" s="83"/>
    </row>
    <row r="706" spans="1:6">
      <c r="A706" s="10" t="str">
        <f t="shared" si="30"/>
        <v/>
      </c>
      <c r="B706" s="53"/>
      <c r="C706" s="28" t="str">
        <f t="shared" si="31"/>
        <v/>
      </c>
      <c r="D706" s="28" t="str">
        <f t="shared" si="32"/>
        <v/>
      </c>
      <c r="E706" s="88"/>
      <c r="F706" s="83"/>
    </row>
    <row r="707" spans="1:6">
      <c r="A707" s="10" t="str">
        <f t="shared" ref="A707:A770" si="33">IF(E707&gt;0,A706+1,"")</f>
        <v/>
      </c>
      <c r="B707" s="53"/>
      <c r="C707" s="28" t="str">
        <f t="shared" ref="C707:C770" si="34">IF(B707=0,"",TEXT(B707,"mmmm"))</f>
        <v/>
      </c>
      <c r="D707" s="28" t="str">
        <f t="shared" ref="D707:D770" si="35">IF(B707=0,"",TEXT(B707,"yyyy"))</f>
        <v/>
      </c>
      <c r="E707" s="88"/>
      <c r="F707" s="83"/>
    </row>
    <row r="708" spans="1:6">
      <c r="A708" s="10" t="str">
        <f t="shared" si="33"/>
        <v/>
      </c>
      <c r="B708" s="53"/>
      <c r="C708" s="28" t="str">
        <f t="shared" si="34"/>
        <v/>
      </c>
      <c r="D708" s="28" t="str">
        <f t="shared" si="35"/>
        <v/>
      </c>
      <c r="E708" s="88"/>
      <c r="F708" s="83"/>
    </row>
    <row r="709" spans="1:6">
      <c r="A709" s="10" t="str">
        <f t="shared" si="33"/>
        <v/>
      </c>
      <c r="B709" s="53"/>
      <c r="C709" s="28" t="str">
        <f t="shared" si="34"/>
        <v/>
      </c>
      <c r="D709" s="28" t="str">
        <f t="shared" si="35"/>
        <v/>
      </c>
      <c r="E709" s="88"/>
      <c r="F709" s="83"/>
    </row>
    <row r="710" spans="1:6">
      <c r="A710" s="10" t="str">
        <f t="shared" si="33"/>
        <v/>
      </c>
      <c r="B710" s="53"/>
      <c r="C710" s="28" t="str">
        <f t="shared" si="34"/>
        <v/>
      </c>
      <c r="D710" s="28" t="str">
        <f t="shared" si="35"/>
        <v/>
      </c>
      <c r="E710" s="88"/>
      <c r="F710" s="83"/>
    </row>
    <row r="711" spans="1:6">
      <c r="A711" s="10" t="str">
        <f t="shared" si="33"/>
        <v/>
      </c>
      <c r="B711" s="53"/>
      <c r="C711" s="28" t="str">
        <f t="shared" si="34"/>
        <v/>
      </c>
      <c r="D711" s="28" t="str">
        <f t="shared" si="35"/>
        <v/>
      </c>
      <c r="E711" s="88"/>
      <c r="F711" s="83"/>
    </row>
    <row r="712" spans="1:6">
      <c r="A712" s="10" t="str">
        <f t="shared" si="33"/>
        <v/>
      </c>
      <c r="B712" s="53"/>
      <c r="C712" s="28" t="str">
        <f t="shared" si="34"/>
        <v/>
      </c>
      <c r="D712" s="28" t="str">
        <f t="shared" si="35"/>
        <v/>
      </c>
      <c r="E712" s="88"/>
      <c r="F712" s="83"/>
    </row>
    <row r="713" spans="1:6">
      <c r="A713" s="10" t="str">
        <f t="shared" si="33"/>
        <v/>
      </c>
      <c r="B713" s="53"/>
      <c r="C713" s="28" t="str">
        <f t="shared" si="34"/>
        <v/>
      </c>
      <c r="D713" s="28" t="str">
        <f t="shared" si="35"/>
        <v/>
      </c>
      <c r="E713" s="88"/>
      <c r="F713" s="83"/>
    </row>
    <row r="714" spans="1:6">
      <c r="A714" s="10" t="str">
        <f t="shared" si="33"/>
        <v/>
      </c>
      <c r="B714" s="53"/>
      <c r="C714" s="28" t="str">
        <f t="shared" si="34"/>
        <v/>
      </c>
      <c r="D714" s="28" t="str">
        <f t="shared" si="35"/>
        <v/>
      </c>
      <c r="E714" s="88"/>
      <c r="F714" s="83"/>
    </row>
    <row r="715" spans="1:6">
      <c r="A715" s="10" t="str">
        <f t="shared" si="33"/>
        <v/>
      </c>
      <c r="B715" s="53"/>
      <c r="C715" s="28" t="str">
        <f t="shared" si="34"/>
        <v/>
      </c>
      <c r="D715" s="28" t="str">
        <f t="shared" si="35"/>
        <v/>
      </c>
      <c r="E715" s="88"/>
      <c r="F715" s="83"/>
    </row>
    <row r="716" spans="1:6">
      <c r="A716" s="10" t="str">
        <f t="shared" si="33"/>
        <v/>
      </c>
      <c r="B716" s="53"/>
      <c r="C716" s="28" t="str">
        <f t="shared" si="34"/>
        <v/>
      </c>
      <c r="D716" s="28" t="str">
        <f t="shared" si="35"/>
        <v/>
      </c>
      <c r="E716" s="88"/>
      <c r="F716" s="83"/>
    </row>
    <row r="717" spans="1:6">
      <c r="A717" s="10" t="str">
        <f t="shared" si="33"/>
        <v/>
      </c>
      <c r="B717" s="53"/>
      <c r="C717" s="28" t="str">
        <f t="shared" si="34"/>
        <v/>
      </c>
      <c r="D717" s="28" t="str">
        <f t="shared" si="35"/>
        <v/>
      </c>
      <c r="E717" s="88"/>
      <c r="F717" s="83"/>
    </row>
    <row r="718" spans="1:6">
      <c r="A718" s="10" t="str">
        <f t="shared" si="33"/>
        <v/>
      </c>
      <c r="B718" s="53"/>
      <c r="C718" s="28" t="str">
        <f t="shared" si="34"/>
        <v/>
      </c>
      <c r="D718" s="28" t="str">
        <f t="shared" si="35"/>
        <v/>
      </c>
      <c r="E718" s="88"/>
      <c r="F718" s="83"/>
    </row>
    <row r="719" spans="1:6">
      <c r="A719" s="10" t="str">
        <f t="shared" si="33"/>
        <v/>
      </c>
      <c r="B719" s="53"/>
      <c r="C719" s="28" t="str">
        <f t="shared" si="34"/>
        <v/>
      </c>
      <c r="D719" s="28" t="str">
        <f t="shared" si="35"/>
        <v/>
      </c>
      <c r="E719" s="88"/>
      <c r="F719" s="83"/>
    </row>
    <row r="720" spans="1:6">
      <c r="A720" s="10" t="str">
        <f t="shared" si="33"/>
        <v/>
      </c>
      <c r="B720" s="53"/>
      <c r="C720" s="28" t="str">
        <f t="shared" si="34"/>
        <v/>
      </c>
      <c r="D720" s="28" t="str">
        <f t="shared" si="35"/>
        <v/>
      </c>
      <c r="E720" s="88"/>
      <c r="F720" s="83"/>
    </row>
    <row r="721" spans="1:6">
      <c r="A721" s="10" t="str">
        <f t="shared" si="33"/>
        <v/>
      </c>
      <c r="B721" s="53"/>
      <c r="C721" s="28" t="str">
        <f t="shared" si="34"/>
        <v/>
      </c>
      <c r="D721" s="28" t="str">
        <f t="shared" si="35"/>
        <v/>
      </c>
      <c r="E721" s="88"/>
      <c r="F721" s="83"/>
    </row>
    <row r="722" spans="1:6">
      <c r="A722" s="10" t="str">
        <f t="shared" si="33"/>
        <v/>
      </c>
      <c r="B722" s="53"/>
      <c r="C722" s="28" t="str">
        <f t="shared" si="34"/>
        <v/>
      </c>
      <c r="D722" s="28" t="str">
        <f t="shared" si="35"/>
        <v/>
      </c>
      <c r="E722" s="88"/>
      <c r="F722" s="83"/>
    </row>
    <row r="723" spans="1:6">
      <c r="A723" s="10" t="str">
        <f t="shared" si="33"/>
        <v/>
      </c>
      <c r="B723" s="53"/>
      <c r="C723" s="28" t="str">
        <f t="shared" si="34"/>
        <v/>
      </c>
      <c r="D723" s="28" t="str">
        <f t="shared" si="35"/>
        <v/>
      </c>
      <c r="E723" s="88"/>
      <c r="F723" s="83"/>
    </row>
    <row r="724" spans="1:6">
      <c r="A724" s="10" t="str">
        <f t="shared" si="33"/>
        <v/>
      </c>
      <c r="B724" s="53"/>
      <c r="C724" s="28" t="str">
        <f t="shared" si="34"/>
        <v/>
      </c>
      <c r="D724" s="28" t="str">
        <f t="shared" si="35"/>
        <v/>
      </c>
      <c r="E724" s="88"/>
      <c r="F724" s="83"/>
    </row>
    <row r="725" spans="1:6">
      <c r="A725" s="10" t="str">
        <f t="shared" si="33"/>
        <v/>
      </c>
      <c r="B725" s="53"/>
      <c r="C725" s="28" t="str">
        <f t="shared" si="34"/>
        <v/>
      </c>
      <c r="D725" s="28" t="str">
        <f t="shared" si="35"/>
        <v/>
      </c>
      <c r="E725" s="88"/>
      <c r="F725" s="83"/>
    </row>
    <row r="726" spans="1:6">
      <c r="A726" s="10" t="str">
        <f t="shared" si="33"/>
        <v/>
      </c>
      <c r="B726" s="53"/>
      <c r="C726" s="28" t="str">
        <f t="shared" si="34"/>
        <v/>
      </c>
      <c r="D726" s="28" t="str">
        <f t="shared" si="35"/>
        <v/>
      </c>
      <c r="E726" s="88"/>
      <c r="F726" s="83"/>
    </row>
    <row r="727" spans="1:6">
      <c r="A727" s="10" t="str">
        <f t="shared" si="33"/>
        <v/>
      </c>
      <c r="B727" s="53"/>
      <c r="C727" s="28" t="str">
        <f t="shared" si="34"/>
        <v/>
      </c>
      <c r="D727" s="28" t="str">
        <f t="shared" si="35"/>
        <v/>
      </c>
      <c r="E727" s="88"/>
      <c r="F727" s="83"/>
    </row>
    <row r="728" spans="1:6">
      <c r="A728" s="10" t="str">
        <f t="shared" si="33"/>
        <v/>
      </c>
      <c r="B728" s="53"/>
      <c r="C728" s="28" t="str">
        <f t="shared" si="34"/>
        <v/>
      </c>
      <c r="D728" s="28" t="str">
        <f t="shared" si="35"/>
        <v/>
      </c>
      <c r="E728" s="88"/>
      <c r="F728" s="83"/>
    </row>
    <row r="729" spans="1:6">
      <c r="A729" s="10" t="str">
        <f t="shared" si="33"/>
        <v/>
      </c>
      <c r="B729" s="53"/>
      <c r="C729" s="28" t="str">
        <f t="shared" si="34"/>
        <v/>
      </c>
      <c r="D729" s="28" t="str">
        <f t="shared" si="35"/>
        <v/>
      </c>
      <c r="E729" s="88"/>
      <c r="F729" s="83"/>
    </row>
    <row r="730" spans="1:6">
      <c r="A730" s="10" t="str">
        <f t="shared" si="33"/>
        <v/>
      </c>
      <c r="B730" s="53"/>
      <c r="C730" s="28" t="str">
        <f t="shared" si="34"/>
        <v/>
      </c>
      <c r="D730" s="28" t="str">
        <f t="shared" si="35"/>
        <v/>
      </c>
      <c r="E730" s="88"/>
      <c r="F730" s="83"/>
    </row>
    <row r="731" spans="1:6">
      <c r="A731" s="10" t="str">
        <f t="shared" si="33"/>
        <v/>
      </c>
      <c r="B731" s="53"/>
      <c r="C731" s="28" t="str">
        <f t="shared" si="34"/>
        <v/>
      </c>
      <c r="D731" s="28" t="str">
        <f t="shared" si="35"/>
        <v/>
      </c>
      <c r="E731" s="88"/>
      <c r="F731" s="83"/>
    </row>
    <row r="732" spans="1:6">
      <c r="A732" s="10" t="str">
        <f t="shared" si="33"/>
        <v/>
      </c>
      <c r="B732" s="53"/>
      <c r="C732" s="28" t="str">
        <f t="shared" si="34"/>
        <v/>
      </c>
      <c r="D732" s="28" t="str">
        <f t="shared" si="35"/>
        <v/>
      </c>
      <c r="E732" s="88"/>
      <c r="F732" s="83"/>
    </row>
    <row r="733" spans="1:6">
      <c r="A733" s="10" t="str">
        <f t="shared" si="33"/>
        <v/>
      </c>
      <c r="B733" s="53"/>
      <c r="C733" s="28" t="str">
        <f t="shared" si="34"/>
        <v/>
      </c>
      <c r="D733" s="28" t="str">
        <f t="shared" si="35"/>
        <v/>
      </c>
      <c r="E733" s="88"/>
      <c r="F733" s="83"/>
    </row>
    <row r="734" spans="1:6">
      <c r="A734" s="10" t="str">
        <f t="shared" si="33"/>
        <v/>
      </c>
      <c r="B734" s="53"/>
      <c r="C734" s="28" t="str">
        <f t="shared" si="34"/>
        <v/>
      </c>
      <c r="D734" s="28" t="str">
        <f t="shared" si="35"/>
        <v/>
      </c>
      <c r="E734" s="88"/>
      <c r="F734" s="83"/>
    </row>
    <row r="735" spans="1:6">
      <c r="A735" s="10" t="str">
        <f t="shared" si="33"/>
        <v/>
      </c>
      <c r="B735" s="53"/>
      <c r="C735" s="28" t="str">
        <f t="shared" si="34"/>
        <v/>
      </c>
      <c r="D735" s="28" t="str">
        <f t="shared" si="35"/>
        <v/>
      </c>
      <c r="E735" s="88"/>
      <c r="F735" s="83"/>
    </row>
    <row r="736" spans="1:6">
      <c r="A736" s="10" t="str">
        <f t="shared" si="33"/>
        <v/>
      </c>
      <c r="B736" s="53"/>
      <c r="C736" s="28" t="str">
        <f t="shared" si="34"/>
        <v/>
      </c>
      <c r="D736" s="28" t="str">
        <f t="shared" si="35"/>
        <v/>
      </c>
      <c r="E736" s="88"/>
      <c r="F736" s="83"/>
    </row>
    <row r="737" spans="1:6">
      <c r="A737" s="10" t="str">
        <f t="shared" si="33"/>
        <v/>
      </c>
      <c r="B737" s="53"/>
      <c r="C737" s="28" t="str">
        <f t="shared" si="34"/>
        <v/>
      </c>
      <c r="D737" s="28" t="str">
        <f t="shared" si="35"/>
        <v/>
      </c>
      <c r="E737" s="88"/>
      <c r="F737" s="83"/>
    </row>
    <row r="738" spans="1:6">
      <c r="A738" s="10" t="str">
        <f t="shared" si="33"/>
        <v/>
      </c>
      <c r="B738" s="53"/>
      <c r="C738" s="28" t="str">
        <f t="shared" si="34"/>
        <v/>
      </c>
      <c r="D738" s="28" t="str">
        <f t="shared" si="35"/>
        <v/>
      </c>
      <c r="E738" s="88"/>
      <c r="F738" s="83"/>
    </row>
    <row r="739" spans="1:6">
      <c r="A739" s="10" t="str">
        <f t="shared" si="33"/>
        <v/>
      </c>
      <c r="B739" s="53"/>
      <c r="C739" s="28" t="str">
        <f t="shared" si="34"/>
        <v/>
      </c>
      <c r="D739" s="28" t="str">
        <f t="shared" si="35"/>
        <v/>
      </c>
      <c r="E739" s="88"/>
      <c r="F739" s="83"/>
    </row>
    <row r="740" spans="1:6">
      <c r="A740" s="10" t="str">
        <f t="shared" si="33"/>
        <v/>
      </c>
      <c r="B740" s="53"/>
      <c r="C740" s="28" t="str">
        <f t="shared" si="34"/>
        <v/>
      </c>
      <c r="D740" s="28" t="str">
        <f t="shared" si="35"/>
        <v/>
      </c>
      <c r="E740" s="88"/>
      <c r="F740" s="83"/>
    </row>
    <row r="741" spans="1:6">
      <c r="A741" s="10" t="str">
        <f t="shared" si="33"/>
        <v/>
      </c>
      <c r="B741" s="53"/>
      <c r="C741" s="28" t="str">
        <f t="shared" si="34"/>
        <v/>
      </c>
      <c r="D741" s="28" t="str">
        <f t="shared" si="35"/>
        <v/>
      </c>
      <c r="E741" s="88"/>
      <c r="F741" s="83"/>
    </row>
    <row r="742" spans="1:6">
      <c r="A742" s="10" t="str">
        <f t="shared" si="33"/>
        <v/>
      </c>
      <c r="B742" s="53"/>
      <c r="C742" s="28" t="str">
        <f t="shared" si="34"/>
        <v/>
      </c>
      <c r="D742" s="28" t="str">
        <f t="shared" si="35"/>
        <v/>
      </c>
      <c r="E742" s="88"/>
      <c r="F742" s="83"/>
    </row>
    <row r="743" spans="1:6">
      <c r="A743" s="10" t="str">
        <f t="shared" si="33"/>
        <v/>
      </c>
      <c r="B743" s="53"/>
      <c r="C743" s="28" t="str">
        <f t="shared" si="34"/>
        <v/>
      </c>
      <c r="D743" s="28" t="str">
        <f t="shared" si="35"/>
        <v/>
      </c>
      <c r="E743" s="88"/>
      <c r="F743" s="83"/>
    </row>
    <row r="744" spans="1:6">
      <c r="A744" s="10" t="str">
        <f t="shared" si="33"/>
        <v/>
      </c>
      <c r="B744" s="53"/>
      <c r="C744" s="28" t="str">
        <f t="shared" si="34"/>
        <v/>
      </c>
      <c r="D744" s="28" t="str">
        <f t="shared" si="35"/>
        <v/>
      </c>
      <c r="E744" s="88"/>
      <c r="F744" s="83"/>
    </row>
    <row r="745" spans="1:6">
      <c r="A745" s="10" t="str">
        <f t="shared" si="33"/>
        <v/>
      </c>
      <c r="B745" s="53"/>
      <c r="C745" s="28" t="str">
        <f t="shared" si="34"/>
        <v/>
      </c>
      <c r="D745" s="28" t="str">
        <f t="shared" si="35"/>
        <v/>
      </c>
      <c r="E745" s="88"/>
      <c r="F745" s="83"/>
    </row>
    <row r="746" spans="1:6">
      <c r="A746" s="10" t="str">
        <f t="shared" si="33"/>
        <v/>
      </c>
      <c r="B746" s="53"/>
      <c r="C746" s="28" t="str">
        <f t="shared" si="34"/>
        <v/>
      </c>
      <c r="D746" s="28" t="str">
        <f t="shared" si="35"/>
        <v/>
      </c>
      <c r="E746" s="88"/>
      <c r="F746" s="83"/>
    </row>
    <row r="747" spans="1:6">
      <c r="A747" s="10" t="str">
        <f t="shared" si="33"/>
        <v/>
      </c>
      <c r="B747" s="53"/>
      <c r="C747" s="28" t="str">
        <f t="shared" si="34"/>
        <v/>
      </c>
      <c r="D747" s="28" t="str">
        <f t="shared" si="35"/>
        <v/>
      </c>
      <c r="E747" s="88"/>
      <c r="F747" s="83"/>
    </row>
    <row r="748" spans="1:6">
      <c r="A748" s="10" t="str">
        <f t="shared" si="33"/>
        <v/>
      </c>
      <c r="B748" s="53"/>
      <c r="C748" s="28" t="str">
        <f t="shared" si="34"/>
        <v/>
      </c>
      <c r="D748" s="28" t="str">
        <f t="shared" si="35"/>
        <v/>
      </c>
      <c r="E748" s="88"/>
      <c r="F748" s="83"/>
    </row>
    <row r="749" spans="1:6">
      <c r="A749" s="10" t="str">
        <f t="shared" si="33"/>
        <v/>
      </c>
      <c r="B749" s="53"/>
      <c r="C749" s="28" t="str">
        <f t="shared" si="34"/>
        <v/>
      </c>
      <c r="D749" s="28" t="str">
        <f t="shared" si="35"/>
        <v/>
      </c>
      <c r="E749" s="88"/>
      <c r="F749" s="83"/>
    </row>
    <row r="750" spans="1:6">
      <c r="A750" s="10" t="str">
        <f t="shared" si="33"/>
        <v/>
      </c>
      <c r="B750" s="53"/>
      <c r="C750" s="28" t="str">
        <f t="shared" si="34"/>
        <v/>
      </c>
      <c r="D750" s="28" t="str">
        <f t="shared" si="35"/>
        <v/>
      </c>
      <c r="E750" s="88"/>
      <c r="F750" s="83"/>
    </row>
    <row r="751" spans="1:6">
      <c r="A751" s="10" t="str">
        <f t="shared" si="33"/>
        <v/>
      </c>
      <c r="B751" s="53"/>
      <c r="C751" s="28" t="str">
        <f t="shared" si="34"/>
        <v/>
      </c>
      <c r="D751" s="28" t="str">
        <f t="shared" si="35"/>
        <v/>
      </c>
      <c r="E751" s="88"/>
      <c r="F751" s="83"/>
    </row>
    <row r="752" spans="1:6">
      <c r="A752" s="10" t="str">
        <f t="shared" si="33"/>
        <v/>
      </c>
      <c r="B752" s="53"/>
      <c r="C752" s="28" t="str">
        <f t="shared" si="34"/>
        <v/>
      </c>
      <c r="D752" s="28" t="str">
        <f t="shared" si="35"/>
        <v/>
      </c>
      <c r="E752" s="88"/>
      <c r="F752" s="83"/>
    </row>
    <row r="753" spans="1:6">
      <c r="A753" s="10" t="str">
        <f t="shared" si="33"/>
        <v/>
      </c>
      <c r="B753" s="53"/>
      <c r="C753" s="28" t="str">
        <f t="shared" si="34"/>
        <v/>
      </c>
      <c r="D753" s="28" t="str">
        <f t="shared" si="35"/>
        <v/>
      </c>
      <c r="E753" s="88"/>
      <c r="F753" s="83"/>
    </row>
    <row r="754" spans="1:6">
      <c r="A754" s="10" t="str">
        <f t="shared" si="33"/>
        <v/>
      </c>
      <c r="B754" s="53"/>
      <c r="C754" s="28" t="str">
        <f t="shared" si="34"/>
        <v/>
      </c>
      <c r="D754" s="28" t="str">
        <f t="shared" si="35"/>
        <v/>
      </c>
      <c r="E754" s="88"/>
      <c r="F754" s="83"/>
    </row>
    <row r="755" spans="1:6">
      <c r="A755" s="10" t="str">
        <f t="shared" si="33"/>
        <v/>
      </c>
      <c r="B755" s="53"/>
      <c r="C755" s="28" t="str">
        <f t="shared" si="34"/>
        <v/>
      </c>
      <c r="D755" s="28" t="str">
        <f t="shared" si="35"/>
        <v/>
      </c>
      <c r="E755" s="88"/>
      <c r="F755" s="83"/>
    </row>
    <row r="756" spans="1:6">
      <c r="A756" s="10" t="str">
        <f t="shared" si="33"/>
        <v/>
      </c>
      <c r="B756" s="53"/>
      <c r="C756" s="28" t="str">
        <f t="shared" si="34"/>
        <v/>
      </c>
      <c r="D756" s="28" t="str">
        <f t="shared" si="35"/>
        <v/>
      </c>
      <c r="E756" s="88"/>
      <c r="F756" s="83"/>
    </row>
    <row r="757" spans="1:6">
      <c r="A757" s="10" t="str">
        <f t="shared" si="33"/>
        <v/>
      </c>
      <c r="B757" s="53"/>
      <c r="C757" s="28" t="str">
        <f t="shared" si="34"/>
        <v/>
      </c>
      <c r="D757" s="28" t="str">
        <f t="shared" si="35"/>
        <v/>
      </c>
      <c r="E757" s="88"/>
      <c r="F757" s="83"/>
    </row>
    <row r="758" spans="1:6">
      <c r="A758" s="10" t="str">
        <f t="shared" si="33"/>
        <v/>
      </c>
      <c r="B758" s="53"/>
      <c r="C758" s="28" t="str">
        <f t="shared" si="34"/>
        <v/>
      </c>
      <c r="D758" s="28" t="str">
        <f t="shared" si="35"/>
        <v/>
      </c>
      <c r="E758" s="88"/>
      <c r="F758" s="83"/>
    </row>
    <row r="759" spans="1:6">
      <c r="A759" s="10" t="str">
        <f t="shared" si="33"/>
        <v/>
      </c>
      <c r="B759" s="53"/>
      <c r="C759" s="28" t="str">
        <f t="shared" si="34"/>
        <v/>
      </c>
      <c r="D759" s="28" t="str">
        <f t="shared" si="35"/>
        <v/>
      </c>
      <c r="E759" s="88"/>
      <c r="F759" s="83"/>
    </row>
    <row r="760" spans="1:6">
      <c r="A760" s="10" t="str">
        <f t="shared" si="33"/>
        <v/>
      </c>
      <c r="B760" s="53"/>
      <c r="C760" s="28" t="str">
        <f t="shared" si="34"/>
        <v/>
      </c>
      <c r="D760" s="28" t="str">
        <f t="shared" si="35"/>
        <v/>
      </c>
      <c r="E760" s="88"/>
      <c r="F760" s="83"/>
    </row>
    <row r="761" spans="1:6">
      <c r="A761" s="10" t="str">
        <f t="shared" si="33"/>
        <v/>
      </c>
      <c r="B761" s="53"/>
      <c r="C761" s="28" t="str">
        <f t="shared" si="34"/>
        <v/>
      </c>
      <c r="D761" s="28" t="str">
        <f t="shared" si="35"/>
        <v/>
      </c>
      <c r="E761" s="88"/>
      <c r="F761" s="83"/>
    </row>
    <row r="762" spans="1:6">
      <c r="A762" s="10" t="str">
        <f t="shared" si="33"/>
        <v/>
      </c>
      <c r="B762" s="53"/>
      <c r="C762" s="28" t="str">
        <f t="shared" si="34"/>
        <v/>
      </c>
      <c r="D762" s="28" t="str">
        <f t="shared" si="35"/>
        <v/>
      </c>
      <c r="E762" s="88"/>
      <c r="F762" s="83"/>
    </row>
    <row r="763" spans="1:6">
      <c r="A763" s="10" t="str">
        <f t="shared" si="33"/>
        <v/>
      </c>
      <c r="B763" s="53"/>
      <c r="C763" s="28" t="str">
        <f t="shared" si="34"/>
        <v/>
      </c>
      <c r="D763" s="28" t="str">
        <f t="shared" si="35"/>
        <v/>
      </c>
      <c r="E763" s="88"/>
      <c r="F763" s="83"/>
    </row>
    <row r="764" spans="1:6">
      <c r="A764" s="10" t="str">
        <f t="shared" si="33"/>
        <v/>
      </c>
      <c r="B764" s="53"/>
      <c r="C764" s="28" t="str">
        <f t="shared" si="34"/>
        <v/>
      </c>
      <c r="D764" s="28" t="str">
        <f t="shared" si="35"/>
        <v/>
      </c>
      <c r="E764" s="88"/>
      <c r="F764" s="83"/>
    </row>
    <row r="765" spans="1:6">
      <c r="A765" s="10" t="str">
        <f t="shared" si="33"/>
        <v/>
      </c>
      <c r="B765" s="53"/>
      <c r="C765" s="28" t="str">
        <f t="shared" si="34"/>
        <v/>
      </c>
      <c r="D765" s="28" t="str">
        <f t="shared" si="35"/>
        <v/>
      </c>
      <c r="E765" s="88"/>
      <c r="F765" s="83"/>
    </row>
    <row r="766" spans="1:6">
      <c r="A766" s="10" t="str">
        <f t="shared" si="33"/>
        <v/>
      </c>
      <c r="B766" s="53"/>
      <c r="C766" s="28" t="str">
        <f t="shared" si="34"/>
        <v/>
      </c>
      <c r="D766" s="28" t="str">
        <f t="shared" si="35"/>
        <v/>
      </c>
      <c r="E766" s="88"/>
      <c r="F766" s="83"/>
    </row>
    <row r="767" spans="1:6">
      <c r="A767" s="10" t="str">
        <f t="shared" si="33"/>
        <v/>
      </c>
      <c r="B767" s="53"/>
      <c r="C767" s="28" t="str">
        <f t="shared" si="34"/>
        <v/>
      </c>
      <c r="D767" s="28" t="str">
        <f t="shared" si="35"/>
        <v/>
      </c>
      <c r="E767" s="88"/>
      <c r="F767" s="83"/>
    </row>
    <row r="768" spans="1:6">
      <c r="A768" s="10" t="str">
        <f t="shared" si="33"/>
        <v/>
      </c>
      <c r="B768" s="53"/>
      <c r="C768" s="28" t="str">
        <f t="shared" si="34"/>
        <v/>
      </c>
      <c r="D768" s="28" t="str">
        <f t="shared" si="35"/>
        <v/>
      </c>
      <c r="E768" s="88"/>
      <c r="F768" s="83"/>
    </row>
    <row r="769" spans="1:6">
      <c r="A769" s="10" t="str">
        <f t="shared" si="33"/>
        <v/>
      </c>
      <c r="B769" s="53"/>
      <c r="C769" s="28" t="str">
        <f t="shared" si="34"/>
        <v/>
      </c>
      <c r="D769" s="28" t="str">
        <f t="shared" si="35"/>
        <v/>
      </c>
      <c r="E769" s="88"/>
      <c r="F769" s="83"/>
    </row>
    <row r="770" spans="1:6">
      <c r="A770" s="10" t="str">
        <f t="shared" si="33"/>
        <v/>
      </c>
      <c r="B770" s="53"/>
      <c r="C770" s="28" t="str">
        <f t="shared" si="34"/>
        <v/>
      </c>
      <c r="D770" s="28" t="str">
        <f t="shared" si="35"/>
        <v/>
      </c>
      <c r="E770" s="88"/>
      <c r="F770" s="83"/>
    </row>
    <row r="771" spans="1:6">
      <c r="A771" s="10" t="str">
        <f t="shared" ref="A771:A834" si="36">IF(E771&gt;0,A770+1,"")</f>
        <v/>
      </c>
      <c r="B771" s="53"/>
      <c r="C771" s="28" t="str">
        <f t="shared" ref="C771:C834" si="37">IF(B771=0,"",TEXT(B771,"mmmm"))</f>
        <v/>
      </c>
      <c r="D771" s="28" t="str">
        <f t="shared" ref="D771:D834" si="38">IF(B771=0,"",TEXT(B771,"yyyy"))</f>
        <v/>
      </c>
      <c r="E771" s="88"/>
      <c r="F771" s="83"/>
    </row>
    <row r="772" spans="1:6">
      <c r="A772" s="10" t="str">
        <f t="shared" si="36"/>
        <v/>
      </c>
      <c r="B772" s="53"/>
      <c r="C772" s="28" t="str">
        <f t="shared" si="37"/>
        <v/>
      </c>
      <c r="D772" s="28" t="str">
        <f t="shared" si="38"/>
        <v/>
      </c>
      <c r="E772" s="88"/>
      <c r="F772" s="83"/>
    </row>
    <row r="773" spans="1:6">
      <c r="A773" s="10" t="str">
        <f t="shared" si="36"/>
        <v/>
      </c>
      <c r="B773" s="53"/>
      <c r="C773" s="28" t="str">
        <f t="shared" si="37"/>
        <v/>
      </c>
      <c r="D773" s="28" t="str">
        <f t="shared" si="38"/>
        <v/>
      </c>
      <c r="E773" s="88"/>
      <c r="F773" s="83"/>
    </row>
    <row r="774" spans="1:6">
      <c r="A774" s="10" t="str">
        <f t="shared" si="36"/>
        <v/>
      </c>
      <c r="B774" s="53"/>
      <c r="C774" s="28" t="str">
        <f t="shared" si="37"/>
        <v/>
      </c>
      <c r="D774" s="28" t="str">
        <f t="shared" si="38"/>
        <v/>
      </c>
      <c r="E774" s="88"/>
      <c r="F774" s="83"/>
    </row>
    <row r="775" spans="1:6">
      <c r="A775" s="10" t="str">
        <f t="shared" si="36"/>
        <v/>
      </c>
      <c r="B775" s="53"/>
      <c r="C775" s="28" t="str">
        <f t="shared" si="37"/>
        <v/>
      </c>
      <c r="D775" s="28" t="str">
        <f t="shared" si="38"/>
        <v/>
      </c>
      <c r="E775" s="88"/>
      <c r="F775" s="83"/>
    </row>
    <row r="776" spans="1:6">
      <c r="A776" s="10" t="str">
        <f t="shared" si="36"/>
        <v/>
      </c>
      <c r="B776" s="53"/>
      <c r="C776" s="28" t="str">
        <f t="shared" si="37"/>
        <v/>
      </c>
      <c r="D776" s="28" t="str">
        <f t="shared" si="38"/>
        <v/>
      </c>
      <c r="E776" s="88"/>
      <c r="F776" s="83"/>
    </row>
    <row r="777" spans="1:6">
      <c r="A777" s="10" t="str">
        <f t="shared" si="36"/>
        <v/>
      </c>
      <c r="B777" s="53"/>
      <c r="C777" s="28" t="str">
        <f t="shared" si="37"/>
        <v/>
      </c>
      <c r="D777" s="28" t="str">
        <f t="shared" si="38"/>
        <v/>
      </c>
      <c r="E777" s="88"/>
      <c r="F777" s="83"/>
    </row>
    <row r="778" spans="1:6">
      <c r="A778" s="10" t="str">
        <f t="shared" si="36"/>
        <v/>
      </c>
      <c r="B778" s="53"/>
      <c r="C778" s="28" t="str">
        <f t="shared" si="37"/>
        <v/>
      </c>
      <c r="D778" s="28" t="str">
        <f t="shared" si="38"/>
        <v/>
      </c>
      <c r="E778" s="88"/>
      <c r="F778" s="83"/>
    </row>
    <row r="779" spans="1:6">
      <c r="A779" s="10" t="str">
        <f t="shared" si="36"/>
        <v/>
      </c>
      <c r="B779" s="53"/>
      <c r="C779" s="28" t="str">
        <f t="shared" si="37"/>
        <v/>
      </c>
      <c r="D779" s="28" t="str">
        <f t="shared" si="38"/>
        <v/>
      </c>
      <c r="E779" s="88"/>
      <c r="F779" s="83"/>
    </row>
    <row r="780" spans="1:6">
      <c r="A780" s="10" t="str">
        <f t="shared" si="36"/>
        <v/>
      </c>
      <c r="B780" s="53"/>
      <c r="C780" s="28" t="str">
        <f t="shared" si="37"/>
        <v/>
      </c>
      <c r="D780" s="28" t="str">
        <f t="shared" si="38"/>
        <v/>
      </c>
      <c r="E780" s="88"/>
      <c r="F780" s="83"/>
    </row>
    <row r="781" spans="1:6">
      <c r="A781" s="10" t="str">
        <f t="shared" si="36"/>
        <v/>
      </c>
      <c r="B781" s="53"/>
      <c r="C781" s="28" t="str">
        <f t="shared" si="37"/>
        <v/>
      </c>
      <c r="D781" s="28" t="str">
        <f t="shared" si="38"/>
        <v/>
      </c>
      <c r="E781" s="88"/>
      <c r="F781" s="83"/>
    </row>
    <row r="782" spans="1:6">
      <c r="A782" s="10" t="str">
        <f t="shared" si="36"/>
        <v/>
      </c>
      <c r="B782" s="53"/>
      <c r="C782" s="28" t="str">
        <f t="shared" si="37"/>
        <v/>
      </c>
      <c r="D782" s="28" t="str">
        <f t="shared" si="38"/>
        <v/>
      </c>
      <c r="E782" s="88"/>
      <c r="F782" s="83"/>
    </row>
    <row r="783" spans="1:6">
      <c r="A783" s="10" t="str">
        <f t="shared" si="36"/>
        <v/>
      </c>
      <c r="B783" s="53"/>
      <c r="C783" s="28" t="str">
        <f t="shared" si="37"/>
        <v/>
      </c>
      <c r="D783" s="28" t="str">
        <f t="shared" si="38"/>
        <v/>
      </c>
      <c r="E783" s="88"/>
      <c r="F783" s="83"/>
    </row>
    <row r="784" spans="1:6">
      <c r="A784" s="10" t="str">
        <f t="shared" si="36"/>
        <v/>
      </c>
      <c r="B784" s="53"/>
      <c r="C784" s="28" t="str">
        <f t="shared" si="37"/>
        <v/>
      </c>
      <c r="D784" s="28" t="str">
        <f t="shared" si="38"/>
        <v/>
      </c>
      <c r="E784" s="88"/>
      <c r="F784" s="83"/>
    </row>
    <row r="785" spans="1:6">
      <c r="A785" s="10" t="str">
        <f t="shared" si="36"/>
        <v/>
      </c>
      <c r="B785" s="53"/>
      <c r="C785" s="28" t="str">
        <f t="shared" si="37"/>
        <v/>
      </c>
      <c r="D785" s="28" t="str">
        <f t="shared" si="38"/>
        <v/>
      </c>
      <c r="E785" s="88"/>
      <c r="F785" s="83"/>
    </row>
    <row r="786" spans="1:6">
      <c r="A786" s="10" t="str">
        <f t="shared" si="36"/>
        <v/>
      </c>
      <c r="B786" s="53"/>
      <c r="C786" s="28" t="str">
        <f t="shared" si="37"/>
        <v/>
      </c>
      <c r="D786" s="28" t="str">
        <f t="shared" si="38"/>
        <v/>
      </c>
      <c r="E786" s="88"/>
      <c r="F786" s="83"/>
    </row>
    <row r="787" spans="1:6">
      <c r="A787" s="10" t="str">
        <f t="shared" si="36"/>
        <v/>
      </c>
      <c r="B787" s="53"/>
      <c r="C787" s="28" t="str">
        <f t="shared" si="37"/>
        <v/>
      </c>
      <c r="D787" s="28" t="str">
        <f t="shared" si="38"/>
        <v/>
      </c>
      <c r="E787" s="88"/>
      <c r="F787" s="83"/>
    </row>
    <row r="788" spans="1:6">
      <c r="A788" s="10" t="str">
        <f t="shared" si="36"/>
        <v/>
      </c>
      <c r="B788" s="53"/>
      <c r="C788" s="28" t="str">
        <f t="shared" si="37"/>
        <v/>
      </c>
      <c r="D788" s="28" t="str">
        <f t="shared" si="38"/>
        <v/>
      </c>
      <c r="E788" s="88"/>
      <c r="F788" s="83"/>
    </row>
    <row r="789" spans="1:6">
      <c r="A789" s="10" t="str">
        <f t="shared" si="36"/>
        <v/>
      </c>
      <c r="B789" s="53"/>
      <c r="C789" s="28" t="str">
        <f t="shared" si="37"/>
        <v/>
      </c>
      <c r="D789" s="28" t="str">
        <f t="shared" si="38"/>
        <v/>
      </c>
      <c r="E789" s="88"/>
      <c r="F789" s="83"/>
    </row>
    <row r="790" spans="1:6">
      <c r="A790" s="10" t="str">
        <f t="shared" si="36"/>
        <v/>
      </c>
      <c r="B790" s="53"/>
      <c r="C790" s="28" t="str">
        <f t="shared" si="37"/>
        <v/>
      </c>
      <c r="D790" s="28" t="str">
        <f t="shared" si="38"/>
        <v/>
      </c>
      <c r="E790" s="88"/>
      <c r="F790" s="83"/>
    </row>
    <row r="791" spans="1:6">
      <c r="A791" s="10" t="str">
        <f t="shared" si="36"/>
        <v/>
      </c>
      <c r="B791" s="53"/>
      <c r="C791" s="28" t="str">
        <f t="shared" si="37"/>
        <v/>
      </c>
      <c r="D791" s="28" t="str">
        <f t="shared" si="38"/>
        <v/>
      </c>
      <c r="E791" s="88"/>
      <c r="F791" s="83"/>
    </row>
    <row r="792" spans="1:6">
      <c r="A792" s="10" t="str">
        <f t="shared" si="36"/>
        <v/>
      </c>
      <c r="B792" s="53"/>
      <c r="C792" s="28" t="str">
        <f t="shared" si="37"/>
        <v/>
      </c>
      <c r="D792" s="28" t="str">
        <f t="shared" si="38"/>
        <v/>
      </c>
      <c r="E792" s="88"/>
      <c r="F792" s="83"/>
    </row>
    <row r="793" spans="1:6">
      <c r="A793" s="10" t="str">
        <f t="shared" si="36"/>
        <v/>
      </c>
      <c r="B793" s="53"/>
      <c r="C793" s="28" t="str">
        <f t="shared" si="37"/>
        <v/>
      </c>
      <c r="D793" s="28" t="str">
        <f t="shared" si="38"/>
        <v/>
      </c>
      <c r="E793" s="88"/>
      <c r="F793" s="83"/>
    </row>
    <row r="794" spans="1:6">
      <c r="A794" s="10" t="str">
        <f t="shared" si="36"/>
        <v/>
      </c>
      <c r="B794" s="53"/>
      <c r="C794" s="28" t="str">
        <f t="shared" si="37"/>
        <v/>
      </c>
      <c r="D794" s="28" t="str">
        <f t="shared" si="38"/>
        <v/>
      </c>
      <c r="E794" s="88"/>
      <c r="F794" s="83"/>
    </row>
    <row r="795" spans="1:6">
      <c r="A795" s="10" t="str">
        <f t="shared" si="36"/>
        <v/>
      </c>
      <c r="B795" s="53"/>
      <c r="C795" s="28" t="str">
        <f t="shared" si="37"/>
        <v/>
      </c>
      <c r="D795" s="28" t="str">
        <f t="shared" si="38"/>
        <v/>
      </c>
      <c r="E795" s="88"/>
      <c r="F795" s="83"/>
    </row>
    <row r="796" spans="1:6">
      <c r="A796" s="10" t="str">
        <f t="shared" si="36"/>
        <v/>
      </c>
      <c r="B796" s="53"/>
      <c r="C796" s="28" t="str">
        <f t="shared" si="37"/>
        <v/>
      </c>
      <c r="D796" s="28" t="str">
        <f t="shared" si="38"/>
        <v/>
      </c>
      <c r="E796" s="88"/>
      <c r="F796" s="83"/>
    </row>
    <row r="797" spans="1:6">
      <c r="A797" s="10" t="str">
        <f t="shared" si="36"/>
        <v/>
      </c>
      <c r="B797" s="53"/>
      <c r="C797" s="28" t="str">
        <f t="shared" si="37"/>
        <v/>
      </c>
      <c r="D797" s="28" t="str">
        <f t="shared" si="38"/>
        <v/>
      </c>
      <c r="E797" s="88"/>
      <c r="F797" s="83"/>
    </row>
    <row r="798" spans="1:6">
      <c r="A798" s="10" t="str">
        <f t="shared" si="36"/>
        <v/>
      </c>
      <c r="B798" s="53"/>
      <c r="C798" s="28" t="str">
        <f t="shared" si="37"/>
        <v/>
      </c>
      <c r="D798" s="28" t="str">
        <f t="shared" si="38"/>
        <v/>
      </c>
      <c r="E798" s="88"/>
      <c r="F798" s="83"/>
    </row>
    <row r="799" spans="1:6">
      <c r="A799" s="10" t="str">
        <f t="shared" si="36"/>
        <v/>
      </c>
      <c r="B799" s="53"/>
      <c r="C799" s="28" t="str">
        <f t="shared" si="37"/>
        <v/>
      </c>
      <c r="D799" s="28" t="str">
        <f t="shared" si="38"/>
        <v/>
      </c>
      <c r="E799" s="88"/>
      <c r="F799" s="83"/>
    </row>
    <row r="800" spans="1:6">
      <c r="A800" s="10" t="str">
        <f t="shared" si="36"/>
        <v/>
      </c>
      <c r="B800" s="53"/>
      <c r="C800" s="28" t="str">
        <f t="shared" si="37"/>
        <v/>
      </c>
      <c r="D800" s="28" t="str">
        <f t="shared" si="38"/>
        <v/>
      </c>
      <c r="E800" s="88"/>
      <c r="F800" s="83"/>
    </row>
    <row r="801" spans="1:6">
      <c r="A801" s="10" t="str">
        <f t="shared" si="36"/>
        <v/>
      </c>
      <c r="B801" s="53"/>
      <c r="C801" s="28" t="str">
        <f t="shared" si="37"/>
        <v/>
      </c>
      <c r="D801" s="28" t="str">
        <f t="shared" si="38"/>
        <v/>
      </c>
      <c r="E801" s="88"/>
      <c r="F801" s="83"/>
    </row>
    <row r="802" spans="1:6">
      <c r="A802" s="10" t="str">
        <f t="shared" si="36"/>
        <v/>
      </c>
      <c r="B802" s="53"/>
      <c r="C802" s="28" t="str">
        <f t="shared" si="37"/>
        <v/>
      </c>
      <c r="D802" s="28" t="str">
        <f t="shared" si="38"/>
        <v/>
      </c>
      <c r="E802" s="88"/>
      <c r="F802" s="83"/>
    </row>
    <row r="803" spans="1:6">
      <c r="A803" s="10" t="str">
        <f t="shared" si="36"/>
        <v/>
      </c>
      <c r="B803" s="53"/>
      <c r="C803" s="28" t="str">
        <f t="shared" si="37"/>
        <v/>
      </c>
      <c r="D803" s="28" t="str">
        <f t="shared" si="38"/>
        <v/>
      </c>
      <c r="E803" s="88"/>
      <c r="F803" s="83"/>
    </row>
    <row r="804" spans="1:6">
      <c r="A804" s="10" t="str">
        <f t="shared" si="36"/>
        <v/>
      </c>
      <c r="B804" s="53"/>
      <c r="C804" s="28" t="str">
        <f t="shared" si="37"/>
        <v/>
      </c>
      <c r="D804" s="28" t="str">
        <f t="shared" si="38"/>
        <v/>
      </c>
      <c r="E804" s="88"/>
      <c r="F804" s="83"/>
    </row>
    <row r="805" spans="1:6">
      <c r="A805" s="10" t="str">
        <f t="shared" si="36"/>
        <v/>
      </c>
      <c r="B805" s="53"/>
      <c r="C805" s="28" t="str">
        <f t="shared" si="37"/>
        <v/>
      </c>
      <c r="D805" s="28" t="str">
        <f t="shared" si="38"/>
        <v/>
      </c>
      <c r="E805" s="88"/>
      <c r="F805" s="83"/>
    </row>
    <row r="806" spans="1:6">
      <c r="A806" s="10" t="str">
        <f t="shared" si="36"/>
        <v/>
      </c>
      <c r="B806" s="53"/>
      <c r="C806" s="28" t="str">
        <f t="shared" si="37"/>
        <v/>
      </c>
      <c r="D806" s="28" t="str">
        <f t="shared" si="38"/>
        <v/>
      </c>
      <c r="E806" s="88"/>
      <c r="F806" s="83"/>
    </row>
    <row r="807" spans="1:6">
      <c r="A807" s="10" t="str">
        <f t="shared" si="36"/>
        <v/>
      </c>
      <c r="B807" s="53"/>
      <c r="C807" s="28" t="str">
        <f t="shared" si="37"/>
        <v/>
      </c>
      <c r="D807" s="28" t="str">
        <f t="shared" si="38"/>
        <v/>
      </c>
      <c r="E807" s="88"/>
      <c r="F807" s="83"/>
    </row>
    <row r="808" spans="1:6">
      <c r="A808" s="10" t="str">
        <f t="shared" si="36"/>
        <v/>
      </c>
      <c r="B808" s="53"/>
      <c r="C808" s="28" t="str">
        <f t="shared" si="37"/>
        <v/>
      </c>
      <c r="D808" s="28" t="str">
        <f t="shared" si="38"/>
        <v/>
      </c>
      <c r="E808" s="88"/>
      <c r="F808" s="83"/>
    </row>
    <row r="809" spans="1:6">
      <c r="A809" s="10" t="str">
        <f t="shared" si="36"/>
        <v/>
      </c>
      <c r="B809" s="53"/>
      <c r="C809" s="28" t="str">
        <f t="shared" si="37"/>
        <v/>
      </c>
      <c r="D809" s="28" t="str">
        <f t="shared" si="38"/>
        <v/>
      </c>
      <c r="E809" s="88"/>
      <c r="F809" s="83"/>
    </row>
    <row r="810" spans="1:6">
      <c r="A810" s="10" t="str">
        <f t="shared" si="36"/>
        <v/>
      </c>
      <c r="B810" s="53"/>
      <c r="C810" s="28" t="str">
        <f t="shared" si="37"/>
        <v/>
      </c>
      <c r="D810" s="28" t="str">
        <f t="shared" si="38"/>
        <v/>
      </c>
      <c r="E810" s="88"/>
      <c r="F810" s="83"/>
    </row>
    <row r="811" spans="1:6">
      <c r="A811" s="10" t="str">
        <f t="shared" si="36"/>
        <v/>
      </c>
      <c r="B811" s="53"/>
      <c r="C811" s="28" t="str">
        <f t="shared" si="37"/>
        <v/>
      </c>
      <c r="D811" s="28" t="str">
        <f t="shared" si="38"/>
        <v/>
      </c>
      <c r="E811" s="88"/>
      <c r="F811" s="83"/>
    </row>
    <row r="812" spans="1:6">
      <c r="A812" s="10" t="str">
        <f t="shared" si="36"/>
        <v/>
      </c>
      <c r="B812" s="53"/>
      <c r="C812" s="28" t="str">
        <f t="shared" si="37"/>
        <v/>
      </c>
      <c r="D812" s="28" t="str">
        <f t="shared" si="38"/>
        <v/>
      </c>
      <c r="E812" s="88"/>
      <c r="F812" s="83"/>
    </row>
    <row r="813" spans="1:6">
      <c r="A813" s="10" t="str">
        <f t="shared" si="36"/>
        <v/>
      </c>
      <c r="B813" s="53"/>
      <c r="C813" s="28" t="str">
        <f t="shared" si="37"/>
        <v/>
      </c>
      <c r="D813" s="28" t="str">
        <f t="shared" si="38"/>
        <v/>
      </c>
      <c r="E813" s="88"/>
      <c r="F813" s="83"/>
    </row>
    <row r="814" spans="1:6">
      <c r="A814" s="10" t="str">
        <f t="shared" si="36"/>
        <v/>
      </c>
      <c r="B814" s="53"/>
      <c r="C814" s="28" t="str">
        <f t="shared" si="37"/>
        <v/>
      </c>
      <c r="D814" s="28" t="str">
        <f t="shared" si="38"/>
        <v/>
      </c>
      <c r="E814" s="88"/>
      <c r="F814" s="83"/>
    </row>
    <row r="815" spans="1:6">
      <c r="A815" s="10" t="str">
        <f t="shared" si="36"/>
        <v/>
      </c>
      <c r="B815" s="53"/>
      <c r="C815" s="28" t="str">
        <f t="shared" si="37"/>
        <v/>
      </c>
      <c r="D815" s="28" t="str">
        <f t="shared" si="38"/>
        <v/>
      </c>
      <c r="E815" s="88"/>
      <c r="F815" s="83"/>
    </row>
    <row r="816" spans="1:6">
      <c r="A816" s="10" t="str">
        <f t="shared" si="36"/>
        <v/>
      </c>
      <c r="B816" s="53"/>
      <c r="C816" s="28" t="str">
        <f t="shared" si="37"/>
        <v/>
      </c>
      <c r="D816" s="28" t="str">
        <f t="shared" si="38"/>
        <v/>
      </c>
      <c r="E816" s="88"/>
      <c r="F816" s="83"/>
    </row>
    <row r="817" spans="1:6">
      <c r="A817" s="10" t="str">
        <f t="shared" si="36"/>
        <v/>
      </c>
      <c r="B817" s="53"/>
      <c r="C817" s="28" t="str">
        <f t="shared" si="37"/>
        <v/>
      </c>
      <c r="D817" s="28" t="str">
        <f t="shared" si="38"/>
        <v/>
      </c>
      <c r="E817" s="88"/>
      <c r="F817" s="83"/>
    </row>
    <row r="818" spans="1:6">
      <c r="A818" s="10" t="str">
        <f t="shared" si="36"/>
        <v/>
      </c>
      <c r="B818" s="53"/>
      <c r="C818" s="28" t="str">
        <f t="shared" si="37"/>
        <v/>
      </c>
      <c r="D818" s="28" t="str">
        <f t="shared" si="38"/>
        <v/>
      </c>
      <c r="E818" s="88"/>
      <c r="F818" s="83"/>
    </row>
    <row r="819" spans="1:6">
      <c r="A819" s="10" t="str">
        <f t="shared" si="36"/>
        <v/>
      </c>
      <c r="B819" s="53"/>
      <c r="C819" s="28" t="str">
        <f t="shared" si="37"/>
        <v/>
      </c>
      <c r="D819" s="28" t="str">
        <f t="shared" si="38"/>
        <v/>
      </c>
      <c r="E819" s="88"/>
      <c r="F819" s="83"/>
    </row>
    <row r="820" spans="1:6">
      <c r="A820" s="10" t="str">
        <f t="shared" si="36"/>
        <v/>
      </c>
      <c r="B820" s="53"/>
      <c r="C820" s="28" t="str">
        <f t="shared" si="37"/>
        <v/>
      </c>
      <c r="D820" s="28" t="str">
        <f t="shared" si="38"/>
        <v/>
      </c>
      <c r="E820" s="88"/>
      <c r="F820" s="83"/>
    </row>
    <row r="821" spans="1:6">
      <c r="A821" s="10" t="str">
        <f t="shared" si="36"/>
        <v/>
      </c>
      <c r="B821" s="53"/>
      <c r="C821" s="28" t="str">
        <f t="shared" si="37"/>
        <v/>
      </c>
      <c r="D821" s="28" t="str">
        <f t="shared" si="38"/>
        <v/>
      </c>
      <c r="E821" s="88"/>
      <c r="F821" s="83"/>
    </row>
    <row r="822" spans="1:6">
      <c r="A822" s="10" t="str">
        <f t="shared" si="36"/>
        <v/>
      </c>
      <c r="B822" s="53"/>
      <c r="C822" s="28" t="str">
        <f t="shared" si="37"/>
        <v/>
      </c>
      <c r="D822" s="28" t="str">
        <f t="shared" si="38"/>
        <v/>
      </c>
      <c r="E822" s="88"/>
      <c r="F822" s="83"/>
    </row>
    <row r="823" spans="1:6">
      <c r="A823" s="10" t="str">
        <f t="shared" si="36"/>
        <v/>
      </c>
      <c r="B823" s="53"/>
      <c r="C823" s="28" t="str">
        <f t="shared" si="37"/>
        <v/>
      </c>
      <c r="D823" s="28" t="str">
        <f t="shared" si="38"/>
        <v/>
      </c>
      <c r="E823" s="88"/>
      <c r="F823" s="83"/>
    </row>
    <row r="824" spans="1:6">
      <c r="A824" s="10" t="str">
        <f t="shared" si="36"/>
        <v/>
      </c>
      <c r="B824" s="53"/>
      <c r="C824" s="28" t="str">
        <f t="shared" si="37"/>
        <v/>
      </c>
      <c r="D824" s="28" t="str">
        <f t="shared" si="38"/>
        <v/>
      </c>
      <c r="E824" s="88"/>
      <c r="F824" s="83"/>
    </row>
    <row r="825" spans="1:6">
      <c r="A825" s="10" t="str">
        <f t="shared" si="36"/>
        <v/>
      </c>
      <c r="B825" s="53"/>
      <c r="C825" s="28" t="str">
        <f t="shared" si="37"/>
        <v/>
      </c>
      <c r="D825" s="28" t="str">
        <f t="shared" si="38"/>
        <v/>
      </c>
      <c r="E825" s="88"/>
      <c r="F825" s="83"/>
    </row>
    <row r="826" spans="1:6">
      <c r="A826" s="10" t="str">
        <f t="shared" si="36"/>
        <v/>
      </c>
      <c r="B826" s="53"/>
      <c r="C826" s="28" t="str">
        <f t="shared" si="37"/>
        <v/>
      </c>
      <c r="D826" s="28" t="str">
        <f t="shared" si="38"/>
        <v/>
      </c>
      <c r="E826" s="88"/>
      <c r="F826" s="83"/>
    </row>
    <row r="827" spans="1:6">
      <c r="A827" s="10" t="str">
        <f t="shared" si="36"/>
        <v/>
      </c>
      <c r="B827" s="53"/>
      <c r="C827" s="28" t="str">
        <f t="shared" si="37"/>
        <v/>
      </c>
      <c r="D827" s="28" t="str">
        <f t="shared" si="38"/>
        <v/>
      </c>
      <c r="E827" s="88"/>
      <c r="F827" s="83"/>
    </row>
    <row r="828" spans="1:6">
      <c r="A828" s="10" t="str">
        <f t="shared" si="36"/>
        <v/>
      </c>
      <c r="B828" s="53"/>
      <c r="C828" s="28" t="str">
        <f t="shared" si="37"/>
        <v/>
      </c>
      <c r="D828" s="28" t="str">
        <f t="shared" si="38"/>
        <v/>
      </c>
      <c r="E828" s="88"/>
      <c r="F828" s="83"/>
    </row>
    <row r="829" spans="1:6">
      <c r="A829" s="10" t="str">
        <f t="shared" si="36"/>
        <v/>
      </c>
      <c r="B829" s="53"/>
      <c r="C829" s="28" t="str">
        <f t="shared" si="37"/>
        <v/>
      </c>
      <c r="D829" s="28" t="str">
        <f t="shared" si="38"/>
        <v/>
      </c>
      <c r="E829" s="88"/>
      <c r="F829" s="83"/>
    </row>
    <row r="830" spans="1:6">
      <c r="A830" s="10" t="str">
        <f t="shared" si="36"/>
        <v/>
      </c>
      <c r="B830" s="53"/>
      <c r="C830" s="28" t="str">
        <f t="shared" si="37"/>
        <v/>
      </c>
      <c r="D830" s="28" t="str">
        <f t="shared" si="38"/>
        <v/>
      </c>
      <c r="E830" s="88"/>
      <c r="F830" s="83"/>
    </row>
    <row r="831" spans="1:6">
      <c r="A831" s="10" t="str">
        <f t="shared" si="36"/>
        <v/>
      </c>
      <c r="B831" s="53"/>
      <c r="C831" s="28" t="str">
        <f t="shared" si="37"/>
        <v/>
      </c>
      <c r="D831" s="28" t="str">
        <f t="shared" si="38"/>
        <v/>
      </c>
      <c r="E831" s="88"/>
      <c r="F831" s="83"/>
    </row>
    <row r="832" spans="1:6">
      <c r="A832" s="10" t="str">
        <f t="shared" si="36"/>
        <v/>
      </c>
      <c r="B832" s="53"/>
      <c r="C832" s="28" t="str">
        <f t="shared" si="37"/>
        <v/>
      </c>
      <c r="D832" s="28" t="str">
        <f t="shared" si="38"/>
        <v/>
      </c>
      <c r="E832" s="88"/>
      <c r="F832" s="83"/>
    </row>
    <row r="833" spans="1:6">
      <c r="A833" s="10" t="str">
        <f t="shared" si="36"/>
        <v/>
      </c>
      <c r="B833" s="53"/>
      <c r="C833" s="28" t="str">
        <f t="shared" si="37"/>
        <v/>
      </c>
      <c r="D833" s="28" t="str">
        <f t="shared" si="38"/>
        <v/>
      </c>
      <c r="E833" s="88"/>
      <c r="F833" s="83"/>
    </row>
    <row r="834" spans="1:6">
      <c r="A834" s="10" t="str">
        <f t="shared" si="36"/>
        <v/>
      </c>
      <c r="B834" s="53"/>
      <c r="C834" s="28" t="str">
        <f t="shared" si="37"/>
        <v/>
      </c>
      <c r="D834" s="28" t="str">
        <f t="shared" si="38"/>
        <v/>
      </c>
      <c r="E834" s="88"/>
      <c r="F834" s="83"/>
    </row>
    <row r="835" spans="1:6">
      <c r="A835" s="10" t="str">
        <f t="shared" ref="A835:A898" si="39">IF(E835&gt;0,A834+1,"")</f>
        <v/>
      </c>
      <c r="B835" s="53"/>
      <c r="C835" s="28" t="str">
        <f t="shared" ref="C835:C898" si="40">IF(B835=0,"",TEXT(B835,"mmmm"))</f>
        <v/>
      </c>
      <c r="D835" s="28" t="str">
        <f t="shared" ref="D835:D898" si="41">IF(B835=0,"",TEXT(B835,"yyyy"))</f>
        <v/>
      </c>
      <c r="E835" s="88"/>
      <c r="F835" s="83"/>
    </row>
    <row r="836" spans="1:6">
      <c r="A836" s="10" t="str">
        <f t="shared" si="39"/>
        <v/>
      </c>
      <c r="B836" s="53"/>
      <c r="C836" s="28" t="str">
        <f t="shared" si="40"/>
        <v/>
      </c>
      <c r="D836" s="28" t="str">
        <f t="shared" si="41"/>
        <v/>
      </c>
      <c r="E836" s="88"/>
      <c r="F836" s="83"/>
    </row>
    <row r="837" spans="1:6">
      <c r="A837" s="10" t="str">
        <f t="shared" si="39"/>
        <v/>
      </c>
      <c r="B837" s="53"/>
      <c r="C837" s="28" t="str">
        <f t="shared" si="40"/>
        <v/>
      </c>
      <c r="D837" s="28" t="str">
        <f t="shared" si="41"/>
        <v/>
      </c>
      <c r="E837" s="88"/>
      <c r="F837" s="83"/>
    </row>
    <row r="838" spans="1:6">
      <c r="A838" s="10" t="str">
        <f t="shared" si="39"/>
        <v/>
      </c>
      <c r="B838" s="53"/>
      <c r="C838" s="28" t="str">
        <f t="shared" si="40"/>
        <v/>
      </c>
      <c r="D838" s="28" t="str">
        <f t="shared" si="41"/>
        <v/>
      </c>
      <c r="E838" s="88"/>
      <c r="F838" s="83"/>
    </row>
    <row r="839" spans="1:6">
      <c r="A839" s="10" t="str">
        <f t="shared" si="39"/>
        <v/>
      </c>
      <c r="B839" s="53"/>
      <c r="C839" s="28" t="str">
        <f t="shared" si="40"/>
        <v/>
      </c>
      <c r="D839" s="28" t="str">
        <f t="shared" si="41"/>
        <v/>
      </c>
      <c r="E839" s="88"/>
      <c r="F839" s="83"/>
    </row>
    <row r="840" spans="1:6">
      <c r="A840" s="10" t="str">
        <f t="shared" si="39"/>
        <v/>
      </c>
      <c r="B840" s="53"/>
      <c r="C840" s="28" t="str">
        <f t="shared" si="40"/>
        <v/>
      </c>
      <c r="D840" s="28" t="str">
        <f t="shared" si="41"/>
        <v/>
      </c>
      <c r="E840" s="88"/>
      <c r="F840" s="83"/>
    </row>
    <row r="841" spans="1:6">
      <c r="A841" s="10" t="str">
        <f t="shared" si="39"/>
        <v/>
      </c>
      <c r="B841" s="53"/>
      <c r="C841" s="28" t="str">
        <f t="shared" si="40"/>
        <v/>
      </c>
      <c r="D841" s="28" t="str">
        <f t="shared" si="41"/>
        <v/>
      </c>
      <c r="E841" s="88"/>
      <c r="F841" s="83"/>
    </row>
    <row r="842" spans="1:6">
      <c r="A842" s="10" t="str">
        <f t="shared" si="39"/>
        <v/>
      </c>
      <c r="B842" s="53"/>
      <c r="C842" s="28" t="str">
        <f t="shared" si="40"/>
        <v/>
      </c>
      <c r="D842" s="28" t="str">
        <f t="shared" si="41"/>
        <v/>
      </c>
      <c r="E842" s="88"/>
      <c r="F842" s="83"/>
    </row>
    <row r="843" spans="1:6">
      <c r="A843" s="10" t="str">
        <f t="shared" si="39"/>
        <v/>
      </c>
      <c r="B843" s="53"/>
      <c r="C843" s="28" t="str">
        <f t="shared" si="40"/>
        <v/>
      </c>
      <c r="D843" s="28" t="str">
        <f t="shared" si="41"/>
        <v/>
      </c>
      <c r="E843" s="88"/>
      <c r="F843" s="83"/>
    </row>
    <row r="844" spans="1:6">
      <c r="A844" s="10" t="str">
        <f t="shared" si="39"/>
        <v/>
      </c>
      <c r="B844" s="53"/>
      <c r="C844" s="28" t="str">
        <f t="shared" si="40"/>
        <v/>
      </c>
      <c r="D844" s="28" t="str">
        <f t="shared" si="41"/>
        <v/>
      </c>
      <c r="E844" s="88"/>
      <c r="F844" s="83"/>
    </row>
    <row r="845" spans="1:6">
      <c r="A845" s="10" t="str">
        <f t="shared" si="39"/>
        <v/>
      </c>
      <c r="B845" s="53"/>
      <c r="C845" s="28" t="str">
        <f t="shared" si="40"/>
        <v/>
      </c>
      <c r="D845" s="28" t="str">
        <f t="shared" si="41"/>
        <v/>
      </c>
      <c r="E845" s="88"/>
      <c r="F845" s="83"/>
    </row>
    <row r="846" spans="1:6">
      <c r="A846" s="10" t="str">
        <f t="shared" si="39"/>
        <v/>
      </c>
      <c r="B846" s="53"/>
      <c r="C846" s="28" t="str">
        <f t="shared" si="40"/>
        <v/>
      </c>
      <c r="D846" s="28" t="str">
        <f t="shared" si="41"/>
        <v/>
      </c>
      <c r="E846" s="88"/>
      <c r="F846" s="83"/>
    </row>
    <row r="847" spans="1:6">
      <c r="A847" s="10" t="str">
        <f t="shared" si="39"/>
        <v/>
      </c>
      <c r="B847" s="53"/>
      <c r="C847" s="28" t="str">
        <f t="shared" si="40"/>
        <v/>
      </c>
      <c r="D847" s="28" t="str">
        <f t="shared" si="41"/>
        <v/>
      </c>
      <c r="E847" s="88"/>
      <c r="F847" s="83"/>
    </row>
    <row r="848" spans="1:6">
      <c r="A848" s="10" t="str">
        <f t="shared" si="39"/>
        <v/>
      </c>
      <c r="B848" s="53"/>
      <c r="C848" s="28" t="str">
        <f t="shared" si="40"/>
        <v/>
      </c>
      <c r="D848" s="28" t="str">
        <f t="shared" si="41"/>
        <v/>
      </c>
      <c r="E848" s="88"/>
      <c r="F848" s="83"/>
    </row>
    <row r="849" spans="1:6">
      <c r="A849" s="10" t="str">
        <f t="shared" si="39"/>
        <v/>
      </c>
      <c r="B849" s="53"/>
      <c r="C849" s="28" t="str">
        <f t="shared" si="40"/>
        <v/>
      </c>
      <c r="D849" s="28" t="str">
        <f t="shared" si="41"/>
        <v/>
      </c>
      <c r="E849" s="88"/>
      <c r="F849" s="83"/>
    </row>
    <row r="850" spans="1:6">
      <c r="A850" s="10" t="str">
        <f t="shared" si="39"/>
        <v/>
      </c>
      <c r="B850" s="53"/>
      <c r="C850" s="28" t="str">
        <f t="shared" si="40"/>
        <v/>
      </c>
      <c r="D850" s="28" t="str">
        <f t="shared" si="41"/>
        <v/>
      </c>
      <c r="E850" s="88"/>
      <c r="F850" s="83"/>
    </row>
    <row r="851" spans="1:6">
      <c r="A851" s="10" t="str">
        <f t="shared" si="39"/>
        <v/>
      </c>
      <c r="B851" s="53"/>
      <c r="C851" s="28" t="str">
        <f t="shared" si="40"/>
        <v/>
      </c>
      <c r="D851" s="28" t="str">
        <f t="shared" si="41"/>
        <v/>
      </c>
      <c r="E851" s="88"/>
      <c r="F851" s="83"/>
    </row>
    <row r="852" spans="1:6">
      <c r="A852" s="10" t="str">
        <f t="shared" si="39"/>
        <v/>
      </c>
      <c r="B852" s="53"/>
      <c r="C852" s="28" t="str">
        <f t="shared" si="40"/>
        <v/>
      </c>
      <c r="D852" s="28" t="str">
        <f t="shared" si="41"/>
        <v/>
      </c>
      <c r="E852" s="88"/>
      <c r="F852" s="83"/>
    </row>
    <row r="853" spans="1:6">
      <c r="A853" s="10" t="str">
        <f t="shared" si="39"/>
        <v/>
      </c>
      <c r="B853" s="53"/>
      <c r="C853" s="28" t="str">
        <f t="shared" si="40"/>
        <v/>
      </c>
      <c r="D853" s="28" t="str">
        <f t="shared" si="41"/>
        <v/>
      </c>
      <c r="E853" s="88"/>
      <c r="F853" s="83"/>
    </row>
    <row r="854" spans="1:6">
      <c r="A854" s="10" t="str">
        <f t="shared" si="39"/>
        <v/>
      </c>
      <c r="B854" s="53"/>
      <c r="C854" s="28" t="str">
        <f t="shared" si="40"/>
        <v/>
      </c>
      <c r="D854" s="28" t="str">
        <f t="shared" si="41"/>
        <v/>
      </c>
      <c r="E854" s="88"/>
      <c r="F854" s="83"/>
    </row>
    <row r="855" spans="1:6">
      <c r="A855" s="10" t="str">
        <f t="shared" si="39"/>
        <v/>
      </c>
      <c r="B855" s="53"/>
      <c r="C855" s="28" t="str">
        <f t="shared" si="40"/>
        <v/>
      </c>
      <c r="D855" s="28" t="str">
        <f t="shared" si="41"/>
        <v/>
      </c>
      <c r="E855" s="88"/>
      <c r="F855" s="83"/>
    </row>
    <row r="856" spans="1:6">
      <c r="A856" s="10" t="str">
        <f t="shared" si="39"/>
        <v/>
      </c>
      <c r="B856" s="53"/>
      <c r="C856" s="28" t="str">
        <f t="shared" si="40"/>
        <v/>
      </c>
      <c r="D856" s="28" t="str">
        <f t="shared" si="41"/>
        <v/>
      </c>
      <c r="E856" s="88"/>
      <c r="F856" s="83"/>
    </row>
    <row r="857" spans="1:6">
      <c r="A857" s="10" t="str">
        <f t="shared" si="39"/>
        <v/>
      </c>
      <c r="B857" s="53"/>
      <c r="C857" s="28" t="str">
        <f t="shared" si="40"/>
        <v/>
      </c>
      <c r="D857" s="28" t="str">
        <f t="shared" si="41"/>
        <v/>
      </c>
      <c r="E857" s="88"/>
      <c r="F857" s="83"/>
    </row>
    <row r="858" spans="1:6">
      <c r="A858" s="10" t="str">
        <f t="shared" si="39"/>
        <v/>
      </c>
      <c r="B858" s="53"/>
      <c r="C858" s="28" t="str">
        <f t="shared" si="40"/>
        <v/>
      </c>
      <c r="D858" s="28" t="str">
        <f t="shared" si="41"/>
        <v/>
      </c>
      <c r="E858" s="88"/>
      <c r="F858" s="83"/>
    </row>
    <row r="859" spans="1:6">
      <c r="A859" s="10" t="str">
        <f t="shared" si="39"/>
        <v/>
      </c>
      <c r="B859" s="53"/>
      <c r="C859" s="28" t="str">
        <f t="shared" si="40"/>
        <v/>
      </c>
      <c r="D859" s="28" t="str">
        <f t="shared" si="41"/>
        <v/>
      </c>
      <c r="E859" s="88"/>
      <c r="F859" s="83"/>
    </row>
    <row r="860" spans="1:6">
      <c r="A860" s="10" t="str">
        <f t="shared" si="39"/>
        <v/>
      </c>
      <c r="B860" s="53"/>
      <c r="C860" s="28" t="str">
        <f t="shared" si="40"/>
        <v/>
      </c>
      <c r="D860" s="28" t="str">
        <f t="shared" si="41"/>
        <v/>
      </c>
      <c r="E860" s="88"/>
      <c r="F860" s="83"/>
    </row>
    <row r="861" spans="1:6">
      <c r="A861" s="10" t="str">
        <f t="shared" si="39"/>
        <v/>
      </c>
      <c r="B861" s="53"/>
      <c r="C861" s="28" t="str">
        <f t="shared" si="40"/>
        <v/>
      </c>
      <c r="D861" s="28" t="str">
        <f t="shared" si="41"/>
        <v/>
      </c>
      <c r="E861" s="88"/>
      <c r="F861" s="83"/>
    </row>
    <row r="862" spans="1:6">
      <c r="A862" s="10" t="str">
        <f t="shared" si="39"/>
        <v/>
      </c>
      <c r="B862" s="53"/>
      <c r="C862" s="28" t="str">
        <f t="shared" si="40"/>
        <v/>
      </c>
      <c r="D862" s="28" t="str">
        <f t="shared" si="41"/>
        <v/>
      </c>
      <c r="E862" s="88"/>
      <c r="F862" s="83"/>
    </row>
    <row r="863" spans="1:6">
      <c r="A863" s="10" t="str">
        <f t="shared" si="39"/>
        <v/>
      </c>
      <c r="B863" s="53"/>
      <c r="C863" s="28" t="str">
        <f t="shared" si="40"/>
        <v/>
      </c>
      <c r="D863" s="28" t="str">
        <f t="shared" si="41"/>
        <v/>
      </c>
      <c r="E863" s="88"/>
      <c r="F863" s="83"/>
    </row>
    <row r="864" spans="1:6">
      <c r="A864" s="10" t="str">
        <f t="shared" si="39"/>
        <v/>
      </c>
      <c r="B864" s="53"/>
      <c r="C864" s="28" t="str">
        <f t="shared" si="40"/>
        <v/>
      </c>
      <c r="D864" s="28" t="str">
        <f t="shared" si="41"/>
        <v/>
      </c>
      <c r="E864" s="88"/>
      <c r="F864" s="83"/>
    </row>
    <row r="865" spans="1:6">
      <c r="A865" s="10" t="str">
        <f t="shared" si="39"/>
        <v/>
      </c>
      <c r="B865" s="53"/>
      <c r="C865" s="28" t="str">
        <f t="shared" si="40"/>
        <v/>
      </c>
      <c r="D865" s="28" t="str">
        <f t="shared" si="41"/>
        <v/>
      </c>
      <c r="E865" s="88"/>
      <c r="F865" s="83"/>
    </row>
    <row r="866" spans="1:6">
      <c r="A866" s="10" t="str">
        <f t="shared" si="39"/>
        <v/>
      </c>
      <c r="B866" s="53"/>
      <c r="C866" s="28" t="str">
        <f t="shared" si="40"/>
        <v/>
      </c>
      <c r="D866" s="28" t="str">
        <f t="shared" si="41"/>
        <v/>
      </c>
      <c r="E866" s="88"/>
      <c r="F866" s="83"/>
    </row>
    <row r="867" spans="1:6">
      <c r="A867" s="10" t="str">
        <f t="shared" si="39"/>
        <v/>
      </c>
      <c r="B867" s="53"/>
      <c r="C867" s="28" t="str">
        <f t="shared" si="40"/>
        <v/>
      </c>
      <c r="D867" s="28" t="str">
        <f t="shared" si="41"/>
        <v/>
      </c>
      <c r="E867" s="88"/>
      <c r="F867" s="83"/>
    </row>
    <row r="868" spans="1:6">
      <c r="A868" s="10" t="str">
        <f t="shared" si="39"/>
        <v/>
      </c>
      <c r="B868" s="53"/>
      <c r="C868" s="28" t="str">
        <f t="shared" si="40"/>
        <v/>
      </c>
      <c r="D868" s="28" t="str">
        <f t="shared" si="41"/>
        <v/>
      </c>
      <c r="E868" s="88"/>
      <c r="F868" s="83"/>
    </row>
    <row r="869" spans="1:6">
      <c r="A869" s="10" t="str">
        <f t="shared" si="39"/>
        <v/>
      </c>
      <c r="B869" s="53"/>
      <c r="C869" s="28" t="str">
        <f t="shared" si="40"/>
        <v/>
      </c>
      <c r="D869" s="28" t="str">
        <f t="shared" si="41"/>
        <v/>
      </c>
      <c r="E869" s="88"/>
      <c r="F869" s="83"/>
    </row>
    <row r="870" spans="1:6">
      <c r="A870" s="10" t="str">
        <f t="shared" si="39"/>
        <v/>
      </c>
      <c r="B870" s="53"/>
      <c r="C870" s="28" t="str">
        <f t="shared" si="40"/>
        <v/>
      </c>
      <c r="D870" s="28" t="str">
        <f t="shared" si="41"/>
        <v/>
      </c>
      <c r="E870" s="88"/>
      <c r="F870" s="83"/>
    </row>
    <row r="871" spans="1:6">
      <c r="A871" s="10" t="str">
        <f t="shared" si="39"/>
        <v/>
      </c>
      <c r="B871" s="53"/>
      <c r="C871" s="28" t="str">
        <f t="shared" si="40"/>
        <v/>
      </c>
      <c r="D871" s="28" t="str">
        <f t="shared" si="41"/>
        <v/>
      </c>
      <c r="E871" s="88"/>
      <c r="F871" s="83"/>
    </row>
    <row r="872" spans="1:6">
      <c r="A872" s="10" t="str">
        <f t="shared" si="39"/>
        <v/>
      </c>
      <c r="B872" s="53"/>
      <c r="C872" s="28" t="str">
        <f t="shared" si="40"/>
        <v/>
      </c>
      <c r="D872" s="28" t="str">
        <f t="shared" si="41"/>
        <v/>
      </c>
      <c r="E872" s="88"/>
      <c r="F872" s="83"/>
    </row>
    <row r="873" spans="1:6">
      <c r="A873" s="10" t="str">
        <f t="shared" si="39"/>
        <v/>
      </c>
      <c r="B873" s="53"/>
      <c r="C873" s="28" t="str">
        <f t="shared" si="40"/>
        <v/>
      </c>
      <c r="D873" s="28" t="str">
        <f t="shared" si="41"/>
        <v/>
      </c>
      <c r="E873" s="88"/>
      <c r="F873" s="83"/>
    </row>
    <row r="874" spans="1:6">
      <c r="A874" s="10" t="str">
        <f t="shared" si="39"/>
        <v/>
      </c>
      <c r="B874" s="53"/>
      <c r="C874" s="28" t="str">
        <f t="shared" si="40"/>
        <v/>
      </c>
      <c r="D874" s="28" t="str">
        <f t="shared" si="41"/>
        <v/>
      </c>
      <c r="E874" s="88"/>
      <c r="F874" s="83"/>
    </row>
    <row r="875" spans="1:6">
      <c r="A875" s="10" t="str">
        <f t="shared" si="39"/>
        <v/>
      </c>
      <c r="B875" s="53"/>
      <c r="C875" s="28" t="str">
        <f t="shared" si="40"/>
        <v/>
      </c>
      <c r="D875" s="28" t="str">
        <f t="shared" si="41"/>
        <v/>
      </c>
      <c r="E875" s="88"/>
      <c r="F875" s="83"/>
    </row>
    <row r="876" spans="1:6">
      <c r="A876" s="10" t="str">
        <f t="shared" si="39"/>
        <v/>
      </c>
      <c r="B876" s="53"/>
      <c r="C876" s="28" t="str">
        <f t="shared" si="40"/>
        <v/>
      </c>
      <c r="D876" s="28" t="str">
        <f t="shared" si="41"/>
        <v/>
      </c>
      <c r="E876" s="88"/>
      <c r="F876" s="83"/>
    </row>
    <row r="877" spans="1:6">
      <c r="A877" s="10" t="str">
        <f t="shared" si="39"/>
        <v/>
      </c>
      <c r="B877" s="53"/>
      <c r="C877" s="28" t="str">
        <f t="shared" si="40"/>
        <v/>
      </c>
      <c r="D877" s="28" t="str">
        <f t="shared" si="41"/>
        <v/>
      </c>
      <c r="E877" s="88"/>
      <c r="F877" s="83"/>
    </row>
    <row r="878" spans="1:6">
      <c r="A878" s="10" t="str">
        <f t="shared" si="39"/>
        <v/>
      </c>
      <c r="B878" s="53"/>
      <c r="C878" s="28" t="str">
        <f t="shared" si="40"/>
        <v/>
      </c>
      <c r="D878" s="28" t="str">
        <f t="shared" si="41"/>
        <v/>
      </c>
      <c r="E878" s="88"/>
      <c r="F878" s="83"/>
    </row>
    <row r="879" spans="1:6">
      <c r="A879" s="10" t="str">
        <f t="shared" si="39"/>
        <v/>
      </c>
      <c r="B879" s="53"/>
      <c r="C879" s="28" t="str">
        <f t="shared" si="40"/>
        <v/>
      </c>
      <c r="D879" s="28" t="str">
        <f t="shared" si="41"/>
        <v/>
      </c>
      <c r="E879" s="88"/>
      <c r="F879" s="83"/>
    </row>
    <row r="880" spans="1:6">
      <c r="A880" s="10" t="str">
        <f t="shared" si="39"/>
        <v/>
      </c>
      <c r="B880" s="53"/>
      <c r="C880" s="28" t="str">
        <f t="shared" si="40"/>
        <v/>
      </c>
      <c r="D880" s="28" t="str">
        <f t="shared" si="41"/>
        <v/>
      </c>
      <c r="E880" s="88"/>
      <c r="F880" s="83"/>
    </row>
    <row r="881" spans="1:6">
      <c r="A881" s="10" t="str">
        <f t="shared" si="39"/>
        <v/>
      </c>
      <c r="B881" s="53"/>
      <c r="C881" s="28" t="str">
        <f t="shared" si="40"/>
        <v/>
      </c>
      <c r="D881" s="28" t="str">
        <f t="shared" si="41"/>
        <v/>
      </c>
      <c r="E881" s="88"/>
      <c r="F881" s="83"/>
    </row>
    <row r="882" spans="1:6">
      <c r="A882" s="10" t="str">
        <f t="shared" si="39"/>
        <v/>
      </c>
      <c r="B882" s="53"/>
      <c r="C882" s="28" t="str">
        <f t="shared" si="40"/>
        <v/>
      </c>
      <c r="D882" s="28" t="str">
        <f t="shared" si="41"/>
        <v/>
      </c>
      <c r="E882" s="88"/>
      <c r="F882" s="83"/>
    </row>
    <row r="883" spans="1:6">
      <c r="A883" s="10" t="str">
        <f t="shared" si="39"/>
        <v/>
      </c>
      <c r="B883" s="53"/>
      <c r="C883" s="28" t="str">
        <f t="shared" si="40"/>
        <v/>
      </c>
      <c r="D883" s="28" t="str">
        <f t="shared" si="41"/>
        <v/>
      </c>
      <c r="E883" s="88"/>
      <c r="F883" s="83"/>
    </row>
    <row r="884" spans="1:6">
      <c r="A884" s="10" t="str">
        <f t="shared" si="39"/>
        <v/>
      </c>
      <c r="B884" s="53"/>
      <c r="C884" s="28" t="str">
        <f t="shared" si="40"/>
        <v/>
      </c>
      <c r="D884" s="28" t="str">
        <f t="shared" si="41"/>
        <v/>
      </c>
      <c r="E884" s="88"/>
      <c r="F884" s="83"/>
    </row>
    <row r="885" spans="1:6">
      <c r="A885" s="10" t="str">
        <f t="shared" si="39"/>
        <v/>
      </c>
      <c r="B885" s="53"/>
      <c r="C885" s="28" t="str">
        <f t="shared" si="40"/>
        <v/>
      </c>
      <c r="D885" s="28" t="str">
        <f t="shared" si="41"/>
        <v/>
      </c>
      <c r="E885" s="88"/>
      <c r="F885" s="83"/>
    </row>
    <row r="886" spans="1:6">
      <c r="A886" s="10" t="str">
        <f t="shared" si="39"/>
        <v/>
      </c>
      <c r="B886" s="53"/>
      <c r="C886" s="28" t="str">
        <f t="shared" si="40"/>
        <v/>
      </c>
      <c r="D886" s="28" t="str">
        <f t="shared" si="41"/>
        <v/>
      </c>
      <c r="E886" s="88"/>
      <c r="F886" s="83"/>
    </row>
    <row r="887" spans="1:6">
      <c r="A887" s="10" t="str">
        <f t="shared" si="39"/>
        <v/>
      </c>
      <c r="B887" s="53"/>
      <c r="C887" s="28" t="str">
        <f t="shared" si="40"/>
        <v/>
      </c>
      <c r="D887" s="28" t="str">
        <f t="shared" si="41"/>
        <v/>
      </c>
      <c r="E887" s="88"/>
      <c r="F887" s="83"/>
    </row>
    <row r="888" spans="1:6">
      <c r="A888" s="10" t="str">
        <f t="shared" si="39"/>
        <v/>
      </c>
      <c r="B888" s="53"/>
      <c r="C888" s="28" t="str">
        <f t="shared" si="40"/>
        <v/>
      </c>
      <c r="D888" s="28" t="str">
        <f t="shared" si="41"/>
        <v/>
      </c>
      <c r="E888" s="88"/>
      <c r="F888" s="83"/>
    </row>
    <row r="889" spans="1:6">
      <c r="A889" s="10" t="str">
        <f t="shared" si="39"/>
        <v/>
      </c>
      <c r="B889" s="53"/>
      <c r="C889" s="28" t="str">
        <f t="shared" si="40"/>
        <v/>
      </c>
      <c r="D889" s="28" t="str">
        <f t="shared" si="41"/>
        <v/>
      </c>
      <c r="E889" s="88"/>
      <c r="F889" s="83"/>
    </row>
    <row r="890" spans="1:6">
      <c r="A890" s="10" t="str">
        <f t="shared" si="39"/>
        <v/>
      </c>
      <c r="B890" s="53"/>
      <c r="C890" s="28" t="str">
        <f t="shared" si="40"/>
        <v/>
      </c>
      <c r="D890" s="28" t="str">
        <f t="shared" si="41"/>
        <v/>
      </c>
      <c r="E890" s="88"/>
      <c r="F890" s="83"/>
    </row>
    <row r="891" spans="1:6">
      <c r="A891" s="10" t="str">
        <f t="shared" si="39"/>
        <v/>
      </c>
      <c r="B891" s="53"/>
      <c r="C891" s="28" t="str">
        <f t="shared" si="40"/>
        <v/>
      </c>
      <c r="D891" s="28" t="str">
        <f t="shared" si="41"/>
        <v/>
      </c>
      <c r="E891" s="88"/>
      <c r="F891" s="83"/>
    </row>
    <row r="892" spans="1:6">
      <c r="A892" s="10" t="str">
        <f t="shared" si="39"/>
        <v/>
      </c>
      <c r="B892" s="53"/>
      <c r="C892" s="28" t="str">
        <f t="shared" si="40"/>
        <v/>
      </c>
      <c r="D892" s="28" t="str">
        <f t="shared" si="41"/>
        <v/>
      </c>
      <c r="E892" s="88"/>
      <c r="F892" s="83"/>
    </row>
    <row r="893" spans="1:6">
      <c r="A893" s="10" t="str">
        <f t="shared" si="39"/>
        <v/>
      </c>
      <c r="B893" s="53"/>
      <c r="C893" s="28" t="str">
        <f t="shared" si="40"/>
        <v/>
      </c>
      <c r="D893" s="28" t="str">
        <f t="shared" si="41"/>
        <v/>
      </c>
      <c r="E893" s="88"/>
      <c r="F893" s="83"/>
    </row>
    <row r="894" spans="1:6">
      <c r="A894" s="10" t="str">
        <f t="shared" si="39"/>
        <v/>
      </c>
      <c r="B894" s="53"/>
      <c r="C894" s="28" t="str">
        <f t="shared" si="40"/>
        <v/>
      </c>
      <c r="D894" s="28" t="str">
        <f t="shared" si="41"/>
        <v/>
      </c>
      <c r="E894" s="88"/>
      <c r="F894" s="83"/>
    </row>
    <row r="895" spans="1:6">
      <c r="A895" s="10" t="str">
        <f t="shared" si="39"/>
        <v/>
      </c>
      <c r="B895" s="53"/>
      <c r="C895" s="28" t="str">
        <f t="shared" si="40"/>
        <v/>
      </c>
      <c r="D895" s="28" t="str">
        <f t="shared" si="41"/>
        <v/>
      </c>
      <c r="E895" s="88"/>
      <c r="F895" s="83"/>
    </row>
    <row r="896" spans="1:6">
      <c r="A896" s="10" t="str">
        <f t="shared" si="39"/>
        <v/>
      </c>
      <c r="B896" s="53"/>
      <c r="C896" s="28" t="str">
        <f t="shared" si="40"/>
        <v/>
      </c>
      <c r="D896" s="28" t="str">
        <f t="shared" si="41"/>
        <v/>
      </c>
      <c r="E896" s="88"/>
      <c r="F896" s="83"/>
    </row>
    <row r="897" spans="1:6">
      <c r="A897" s="10" t="str">
        <f t="shared" si="39"/>
        <v/>
      </c>
      <c r="B897" s="53"/>
      <c r="C897" s="28" t="str">
        <f t="shared" si="40"/>
        <v/>
      </c>
      <c r="D897" s="28" t="str">
        <f t="shared" si="41"/>
        <v/>
      </c>
      <c r="E897" s="88"/>
      <c r="F897" s="83"/>
    </row>
    <row r="898" spans="1:6">
      <c r="A898" s="10" t="str">
        <f t="shared" si="39"/>
        <v/>
      </c>
      <c r="B898" s="53"/>
      <c r="C898" s="28" t="str">
        <f t="shared" si="40"/>
        <v/>
      </c>
      <c r="D898" s="28" t="str">
        <f t="shared" si="41"/>
        <v/>
      </c>
      <c r="E898" s="88"/>
      <c r="F898" s="83"/>
    </row>
    <row r="899" spans="1:6">
      <c r="A899" s="10" t="str">
        <f t="shared" ref="A899:A962" si="42">IF(E899&gt;0,A898+1,"")</f>
        <v/>
      </c>
      <c r="B899" s="53"/>
      <c r="C899" s="28" t="str">
        <f t="shared" ref="C899:C962" si="43">IF(B899=0,"",TEXT(B899,"mmmm"))</f>
        <v/>
      </c>
      <c r="D899" s="28" t="str">
        <f t="shared" ref="D899:D962" si="44">IF(B899=0,"",TEXT(B899,"yyyy"))</f>
        <v/>
      </c>
      <c r="E899" s="88"/>
      <c r="F899" s="83"/>
    </row>
    <row r="900" spans="1:6">
      <c r="A900" s="10" t="str">
        <f t="shared" si="42"/>
        <v/>
      </c>
      <c r="B900" s="53"/>
      <c r="C900" s="28" t="str">
        <f t="shared" si="43"/>
        <v/>
      </c>
      <c r="D900" s="28" t="str">
        <f t="shared" si="44"/>
        <v/>
      </c>
      <c r="E900" s="88"/>
      <c r="F900" s="83"/>
    </row>
    <row r="901" spans="1:6">
      <c r="A901" s="10" t="str">
        <f t="shared" si="42"/>
        <v/>
      </c>
      <c r="B901" s="53"/>
      <c r="C901" s="28" t="str">
        <f t="shared" si="43"/>
        <v/>
      </c>
      <c r="D901" s="28" t="str">
        <f t="shared" si="44"/>
        <v/>
      </c>
      <c r="E901" s="88"/>
      <c r="F901" s="83"/>
    </row>
    <row r="902" spans="1:6">
      <c r="A902" s="10" t="str">
        <f t="shared" si="42"/>
        <v/>
      </c>
      <c r="B902" s="53"/>
      <c r="C902" s="28" t="str">
        <f t="shared" si="43"/>
        <v/>
      </c>
      <c r="D902" s="28" t="str">
        <f t="shared" si="44"/>
        <v/>
      </c>
      <c r="E902" s="88"/>
      <c r="F902" s="83"/>
    </row>
    <row r="903" spans="1:6">
      <c r="A903" s="10" t="str">
        <f t="shared" si="42"/>
        <v/>
      </c>
      <c r="B903" s="53"/>
      <c r="C903" s="28" t="str">
        <f t="shared" si="43"/>
        <v/>
      </c>
      <c r="D903" s="28" t="str">
        <f t="shared" si="44"/>
        <v/>
      </c>
      <c r="E903" s="88"/>
      <c r="F903" s="83"/>
    </row>
    <row r="904" spans="1:6">
      <c r="A904" s="10" t="str">
        <f t="shared" si="42"/>
        <v/>
      </c>
      <c r="B904" s="53"/>
      <c r="C904" s="28" t="str">
        <f t="shared" si="43"/>
        <v/>
      </c>
      <c r="D904" s="28" t="str">
        <f t="shared" si="44"/>
        <v/>
      </c>
      <c r="E904" s="88"/>
      <c r="F904" s="83"/>
    </row>
    <row r="905" spans="1:6">
      <c r="A905" s="10" t="str">
        <f t="shared" si="42"/>
        <v/>
      </c>
      <c r="B905" s="53"/>
      <c r="C905" s="28" t="str">
        <f t="shared" si="43"/>
        <v/>
      </c>
      <c r="D905" s="28" t="str">
        <f t="shared" si="44"/>
        <v/>
      </c>
      <c r="E905" s="88"/>
      <c r="F905" s="83"/>
    </row>
    <row r="906" spans="1:6">
      <c r="A906" s="10" t="str">
        <f t="shared" si="42"/>
        <v/>
      </c>
      <c r="B906" s="53"/>
      <c r="C906" s="28" t="str">
        <f t="shared" si="43"/>
        <v/>
      </c>
      <c r="D906" s="28" t="str">
        <f t="shared" si="44"/>
        <v/>
      </c>
      <c r="E906" s="88"/>
      <c r="F906" s="83"/>
    </row>
    <row r="907" spans="1:6">
      <c r="A907" s="10" t="str">
        <f t="shared" si="42"/>
        <v/>
      </c>
      <c r="B907" s="53"/>
      <c r="C907" s="28" t="str">
        <f t="shared" si="43"/>
        <v/>
      </c>
      <c r="D907" s="28" t="str">
        <f t="shared" si="44"/>
        <v/>
      </c>
      <c r="E907" s="88"/>
      <c r="F907" s="83"/>
    </row>
    <row r="908" spans="1:6">
      <c r="A908" s="10" t="str">
        <f t="shared" si="42"/>
        <v/>
      </c>
      <c r="B908" s="53"/>
      <c r="C908" s="28" t="str">
        <f t="shared" si="43"/>
        <v/>
      </c>
      <c r="D908" s="28" t="str">
        <f t="shared" si="44"/>
        <v/>
      </c>
      <c r="E908" s="88"/>
      <c r="F908" s="83"/>
    </row>
    <row r="909" spans="1:6">
      <c r="A909" s="10" t="str">
        <f t="shared" si="42"/>
        <v/>
      </c>
      <c r="B909" s="53"/>
      <c r="C909" s="28" t="str">
        <f t="shared" si="43"/>
        <v/>
      </c>
      <c r="D909" s="28" t="str">
        <f t="shared" si="44"/>
        <v/>
      </c>
      <c r="E909" s="88"/>
      <c r="F909" s="83"/>
    </row>
    <row r="910" spans="1:6">
      <c r="A910" s="10" t="str">
        <f t="shared" si="42"/>
        <v/>
      </c>
      <c r="B910" s="53"/>
      <c r="C910" s="28" t="str">
        <f t="shared" si="43"/>
        <v/>
      </c>
      <c r="D910" s="28" t="str">
        <f t="shared" si="44"/>
        <v/>
      </c>
      <c r="E910" s="88"/>
      <c r="F910" s="83"/>
    </row>
    <row r="911" spans="1:6">
      <c r="A911" s="10" t="str">
        <f t="shared" si="42"/>
        <v/>
      </c>
      <c r="B911" s="53"/>
      <c r="C911" s="28" t="str">
        <f t="shared" si="43"/>
        <v/>
      </c>
      <c r="D911" s="28" t="str">
        <f t="shared" si="44"/>
        <v/>
      </c>
      <c r="E911" s="88"/>
      <c r="F911" s="83"/>
    </row>
    <row r="912" spans="1:6">
      <c r="A912" s="10" t="str">
        <f t="shared" si="42"/>
        <v/>
      </c>
      <c r="B912" s="53"/>
      <c r="C912" s="28" t="str">
        <f t="shared" si="43"/>
        <v/>
      </c>
      <c r="D912" s="28" t="str">
        <f t="shared" si="44"/>
        <v/>
      </c>
      <c r="E912" s="88"/>
      <c r="F912" s="83"/>
    </row>
    <row r="913" spans="1:6">
      <c r="A913" s="10" t="str">
        <f t="shared" si="42"/>
        <v/>
      </c>
      <c r="B913" s="53"/>
      <c r="C913" s="28" t="str">
        <f t="shared" si="43"/>
        <v/>
      </c>
      <c r="D913" s="28" t="str">
        <f t="shared" si="44"/>
        <v/>
      </c>
      <c r="E913" s="88"/>
      <c r="F913" s="83"/>
    </row>
    <row r="914" spans="1:6">
      <c r="A914" s="10" t="str">
        <f t="shared" si="42"/>
        <v/>
      </c>
      <c r="B914" s="53"/>
      <c r="C914" s="28" t="str">
        <f t="shared" si="43"/>
        <v/>
      </c>
      <c r="D914" s="28" t="str">
        <f t="shared" si="44"/>
        <v/>
      </c>
      <c r="E914" s="88"/>
      <c r="F914" s="83"/>
    </row>
    <row r="915" spans="1:6">
      <c r="A915" s="10" t="str">
        <f t="shared" si="42"/>
        <v/>
      </c>
      <c r="B915" s="53"/>
      <c r="C915" s="28" t="str">
        <f t="shared" si="43"/>
        <v/>
      </c>
      <c r="D915" s="28" t="str">
        <f t="shared" si="44"/>
        <v/>
      </c>
      <c r="E915" s="88"/>
      <c r="F915" s="83"/>
    </row>
    <row r="916" spans="1:6">
      <c r="A916" s="10" t="str">
        <f t="shared" si="42"/>
        <v/>
      </c>
      <c r="B916" s="53"/>
      <c r="C916" s="28" t="str">
        <f t="shared" si="43"/>
        <v/>
      </c>
      <c r="D916" s="28" t="str">
        <f t="shared" si="44"/>
        <v/>
      </c>
      <c r="E916" s="88"/>
      <c r="F916" s="83"/>
    </row>
    <row r="917" spans="1:6">
      <c r="A917" s="10" t="str">
        <f t="shared" si="42"/>
        <v/>
      </c>
      <c r="B917" s="53"/>
      <c r="C917" s="28" t="str">
        <f t="shared" si="43"/>
        <v/>
      </c>
      <c r="D917" s="28" t="str">
        <f t="shared" si="44"/>
        <v/>
      </c>
      <c r="E917" s="88"/>
      <c r="F917" s="83"/>
    </row>
    <row r="918" spans="1:6">
      <c r="A918" s="10" t="str">
        <f t="shared" si="42"/>
        <v/>
      </c>
      <c r="B918" s="53"/>
      <c r="C918" s="28" t="str">
        <f t="shared" si="43"/>
        <v/>
      </c>
      <c r="D918" s="28" t="str">
        <f t="shared" si="44"/>
        <v/>
      </c>
      <c r="E918" s="88"/>
      <c r="F918" s="83"/>
    </row>
    <row r="919" spans="1:6">
      <c r="A919" s="10" t="str">
        <f t="shared" si="42"/>
        <v/>
      </c>
      <c r="B919" s="53"/>
      <c r="C919" s="28" t="str">
        <f t="shared" si="43"/>
        <v/>
      </c>
      <c r="D919" s="28" t="str">
        <f t="shared" si="44"/>
        <v/>
      </c>
      <c r="E919" s="88"/>
      <c r="F919" s="83"/>
    </row>
    <row r="920" spans="1:6">
      <c r="A920" s="10" t="str">
        <f t="shared" si="42"/>
        <v/>
      </c>
      <c r="B920" s="53"/>
      <c r="C920" s="28" t="str">
        <f t="shared" si="43"/>
        <v/>
      </c>
      <c r="D920" s="28" t="str">
        <f t="shared" si="44"/>
        <v/>
      </c>
      <c r="E920" s="88"/>
      <c r="F920" s="83"/>
    </row>
    <row r="921" spans="1:6">
      <c r="A921" s="10" t="str">
        <f t="shared" si="42"/>
        <v/>
      </c>
      <c r="B921" s="53"/>
      <c r="C921" s="28" t="str">
        <f t="shared" si="43"/>
        <v/>
      </c>
      <c r="D921" s="28" t="str">
        <f t="shared" si="44"/>
        <v/>
      </c>
      <c r="E921" s="88"/>
      <c r="F921" s="83"/>
    </row>
    <row r="922" spans="1:6">
      <c r="A922" s="10" t="str">
        <f t="shared" si="42"/>
        <v/>
      </c>
      <c r="B922" s="53"/>
      <c r="C922" s="28" t="str">
        <f t="shared" si="43"/>
        <v/>
      </c>
      <c r="D922" s="28" t="str">
        <f t="shared" si="44"/>
        <v/>
      </c>
      <c r="E922" s="88"/>
      <c r="F922" s="83"/>
    </row>
    <row r="923" spans="1:6">
      <c r="A923" s="10" t="str">
        <f t="shared" si="42"/>
        <v/>
      </c>
      <c r="B923" s="53"/>
      <c r="C923" s="28" t="str">
        <f t="shared" si="43"/>
        <v/>
      </c>
      <c r="D923" s="28" t="str">
        <f t="shared" si="44"/>
        <v/>
      </c>
      <c r="E923" s="88"/>
      <c r="F923" s="83"/>
    </row>
    <row r="924" spans="1:6">
      <c r="A924" s="10" t="str">
        <f t="shared" si="42"/>
        <v/>
      </c>
      <c r="B924" s="53"/>
      <c r="C924" s="28" t="str">
        <f t="shared" si="43"/>
        <v/>
      </c>
      <c r="D924" s="28" t="str">
        <f t="shared" si="44"/>
        <v/>
      </c>
      <c r="E924" s="88"/>
      <c r="F924" s="83"/>
    </row>
    <row r="925" spans="1:6">
      <c r="A925" s="10" t="str">
        <f t="shared" si="42"/>
        <v/>
      </c>
      <c r="B925" s="53"/>
      <c r="C925" s="28" t="str">
        <f t="shared" si="43"/>
        <v/>
      </c>
      <c r="D925" s="28" t="str">
        <f t="shared" si="44"/>
        <v/>
      </c>
      <c r="E925" s="88"/>
      <c r="F925" s="83"/>
    </row>
    <row r="926" spans="1:6">
      <c r="A926" s="10" t="str">
        <f t="shared" si="42"/>
        <v/>
      </c>
      <c r="B926" s="53"/>
      <c r="C926" s="28" t="str">
        <f t="shared" si="43"/>
        <v/>
      </c>
      <c r="D926" s="28" t="str">
        <f t="shared" si="44"/>
        <v/>
      </c>
      <c r="E926" s="88"/>
      <c r="F926" s="83"/>
    </row>
    <row r="927" spans="1:6">
      <c r="A927" s="10" t="str">
        <f t="shared" si="42"/>
        <v/>
      </c>
      <c r="B927" s="53"/>
      <c r="C927" s="28" t="str">
        <f t="shared" si="43"/>
        <v/>
      </c>
      <c r="D927" s="28" t="str">
        <f t="shared" si="44"/>
        <v/>
      </c>
      <c r="E927" s="88"/>
      <c r="F927" s="83"/>
    </row>
    <row r="928" spans="1:6">
      <c r="A928" s="10" t="str">
        <f t="shared" si="42"/>
        <v/>
      </c>
      <c r="B928" s="53"/>
      <c r="C928" s="28" t="str">
        <f t="shared" si="43"/>
        <v/>
      </c>
      <c r="D928" s="28" t="str">
        <f t="shared" si="44"/>
        <v/>
      </c>
      <c r="E928" s="88"/>
      <c r="F928" s="83"/>
    </row>
    <row r="929" spans="1:6">
      <c r="A929" s="10" t="str">
        <f t="shared" si="42"/>
        <v/>
      </c>
      <c r="B929" s="53"/>
      <c r="C929" s="28" t="str">
        <f t="shared" si="43"/>
        <v/>
      </c>
      <c r="D929" s="28" t="str">
        <f t="shared" si="44"/>
        <v/>
      </c>
      <c r="E929" s="88"/>
      <c r="F929" s="83"/>
    </row>
    <row r="930" spans="1:6">
      <c r="A930" s="10" t="str">
        <f t="shared" si="42"/>
        <v/>
      </c>
      <c r="B930" s="53"/>
      <c r="C930" s="28" t="str">
        <f t="shared" si="43"/>
        <v/>
      </c>
      <c r="D930" s="28" t="str">
        <f t="shared" si="44"/>
        <v/>
      </c>
      <c r="E930" s="88"/>
      <c r="F930" s="83"/>
    </row>
    <row r="931" spans="1:6">
      <c r="A931" s="10" t="str">
        <f t="shared" si="42"/>
        <v/>
      </c>
      <c r="B931" s="53"/>
      <c r="C931" s="28" t="str">
        <f t="shared" si="43"/>
        <v/>
      </c>
      <c r="D931" s="28" t="str">
        <f t="shared" si="44"/>
        <v/>
      </c>
      <c r="E931" s="88"/>
      <c r="F931" s="83"/>
    </row>
    <row r="932" spans="1:6">
      <c r="A932" s="10" t="str">
        <f t="shared" si="42"/>
        <v/>
      </c>
      <c r="B932" s="53"/>
      <c r="C932" s="28" t="str">
        <f t="shared" si="43"/>
        <v/>
      </c>
      <c r="D932" s="28" t="str">
        <f t="shared" si="44"/>
        <v/>
      </c>
      <c r="E932" s="88"/>
      <c r="F932" s="83"/>
    </row>
    <row r="933" spans="1:6">
      <c r="A933" s="10" t="str">
        <f t="shared" si="42"/>
        <v/>
      </c>
      <c r="B933" s="53"/>
      <c r="C933" s="28" t="str">
        <f t="shared" si="43"/>
        <v/>
      </c>
      <c r="D933" s="28" t="str">
        <f t="shared" si="44"/>
        <v/>
      </c>
      <c r="E933" s="88"/>
      <c r="F933" s="83"/>
    </row>
    <row r="934" spans="1:6">
      <c r="A934" s="10" t="str">
        <f t="shared" si="42"/>
        <v/>
      </c>
      <c r="B934" s="53"/>
      <c r="C934" s="28" t="str">
        <f t="shared" si="43"/>
        <v/>
      </c>
      <c r="D934" s="28" t="str">
        <f t="shared" si="44"/>
        <v/>
      </c>
      <c r="E934" s="88"/>
      <c r="F934" s="83"/>
    </row>
    <row r="935" spans="1:6">
      <c r="A935" s="10" t="str">
        <f t="shared" si="42"/>
        <v/>
      </c>
      <c r="B935" s="53"/>
      <c r="C935" s="28" t="str">
        <f t="shared" si="43"/>
        <v/>
      </c>
      <c r="D935" s="28" t="str">
        <f t="shared" si="44"/>
        <v/>
      </c>
      <c r="E935" s="88"/>
      <c r="F935" s="83"/>
    </row>
    <row r="936" spans="1:6">
      <c r="A936" s="10" t="str">
        <f t="shared" si="42"/>
        <v/>
      </c>
      <c r="B936" s="53"/>
      <c r="C936" s="28" t="str">
        <f t="shared" si="43"/>
        <v/>
      </c>
      <c r="D936" s="28" t="str">
        <f t="shared" si="44"/>
        <v/>
      </c>
      <c r="E936" s="88"/>
      <c r="F936" s="83"/>
    </row>
    <row r="937" spans="1:6">
      <c r="A937" s="10" t="str">
        <f t="shared" si="42"/>
        <v/>
      </c>
      <c r="B937" s="53"/>
      <c r="C937" s="28" t="str">
        <f t="shared" si="43"/>
        <v/>
      </c>
      <c r="D937" s="28" t="str">
        <f t="shared" si="44"/>
        <v/>
      </c>
      <c r="E937" s="88"/>
      <c r="F937" s="83"/>
    </row>
    <row r="938" spans="1:6">
      <c r="A938" s="10" t="str">
        <f t="shared" si="42"/>
        <v/>
      </c>
      <c r="B938" s="53"/>
      <c r="C938" s="28" t="str">
        <f t="shared" si="43"/>
        <v/>
      </c>
      <c r="D938" s="28" t="str">
        <f t="shared" si="44"/>
        <v/>
      </c>
      <c r="E938" s="88"/>
      <c r="F938" s="83"/>
    </row>
    <row r="939" spans="1:6">
      <c r="A939" s="10" t="str">
        <f t="shared" si="42"/>
        <v/>
      </c>
      <c r="B939" s="53"/>
      <c r="C939" s="28" t="str">
        <f t="shared" si="43"/>
        <v/>
      </c>
      <c r="D939" s="28" t="str">
        <f t="shared" si="44"/>
        <v/>
      </c>
      <c r="E939" s="88"/>
      <c r="F939" s="83"/>
    </row>
    <row r="940" spans="1:6">
      <c r="A940" s="10" t="str">
        <f t="shared" si="42"/>
        <v/>
      </c>
      <c r="B940" s="53"/>
      <c r="C940" s="28" t="str">
        <f t="shared" si="43"/>
        <v/>
      </c>
      <c r="D940" s="28" t="str">
        <f t="shared" si="44"/>
        <v/>
      </c>
      <c r="E940" s="88"/>
      <c r="F940" s="83"/>
    </row>
    <row r="941" spans="1:6">
      <c r="A941" s="10" t="str">
        <f t="shared" si="42"/>
        <v/>
      </c>
      <c r="B941" s="53"/>
      <c r="C941" s="28" t="str">
        <f t="shared" si="43"/>
        <v/>
      </c>
      <c r="D941" s="28" t="str">
        <f t="shared" si="44"/>
        <v/>
      </c>
      <c r="E941" s="88"/>
      <c r="F941" s="83"/>
    </row>
    <row r="942" spans="1:6">
      <c r="A942" s="10" t="str">
        <f t="shared" si="42"/>
        <v/>
      </c>
      <c r="B942" s="53"/>
      <c r="C942" s="28" t="str">
        <f t="shared" si="43"/>
        <v/>
      </c>
      <c r="D942" s="28" t="str">
        <f t="shared" si="44"/>
        <v/>
      </c>
      <c r="E942" s="88"/>
      <c r="F942" s="83"/>
    </row>
    <row r="943" spans="1:6">
      <c r="A943" s="10" t="str">
        <f t="shared" si="42"/>
        <v/>
      </c>
      <c r="B943" s="53"/>
      <c r="C943" s="28" t="str">
        <f t="shared" si="43"/>
        <v/>
      </c>
      <c r="D943" s="28" t="str">
        <f t="shared" si="44"/>
        <v/>
      </c>
      <c r="E943" s="88"/>
      <c r="F943" s="83"/>
    </row>
    <row r="944" spans="1:6">
      <c r="A944" s="10" t="str">
        <f t="shared" si="42"/>
        <v/>
      </c>
      <c r="B944" s="53"/>
      <c r="C944" s="28" t="str">
        <f t="shared" si="43"/>
        <v/>
      </c>
      <c r="D944" s="28" t="str">
        <f t="shared" si="44"/>
        <v/>
      </c>
      <c r="E944" s="88"/>
      <c r="F944" s="83"/>
    </row>
    <row r="945" spans="1:6">
      <c r="A945" s="10" t="str">
        <f t="shared" si="42"/>
        <v/>
      </c>
      <c r="B945" s="53"/>
      <c r="C945" s="28" t="str">
        <f t="shared" si="43"/>
        <v/>
      </c>
      <c r="D945" s="28" t="str">
        <f t="shared" si="44"/>
        <v/>
      </c>
      <c r="E945" s="88"/>
      <c r="F945" s="83"/>
    </row>
    <row r="946" spans="1:6">
      <c r="A946" s="10" t="str">
        <f t="shared" si="42"/>
        <v/>
      </c>
      <c r="B946" s="53"/>
      <c r="C946" s="28" t="str">
        <f t="shared" si="43"/>
        <v/>
      </c>
      <c r="D946" s="28" t="str">
        <f t="shared" si="44"/>
        <v/>
      </c>
      <c r="E946" s="88"/>
      <c r="F946" s="83"/>
    </row>
    <row r="947" spans="1:6">
      <c r="A947" s="10" t="str">
        <f t="shared" si="42"/>
        <v/>
      </c>
      <c r="B947" s="53"/>
      <c r="C947" s="28" t="str">
        <f t="shared" si="43"/>
        <v/>
      </c>
      <c r="D947" s="28" t="str">
        <f t="shared" si="44"/>
        <v/>
      </c>
      <c r="E947" s="88"/>
      <c r="F947" s="83"/>
    </row>
    <row r="948" spans="1:6">
      <c r="A948" s="10" t="str">
        <f t="shared" si="42"/>
        <v/>
      </c>
      <c r="B948" s="53"/>
      <c r="C948" s="28" t="str">
        <f t="shared" si="43"/>
        <v/>
      </c>
      <c r="D948" s="28" t="str">
        <f t="shared" si="44"/>
        <v/>
      </c>
      <c r="E948" s="88"/>
      <c r="F948" s="83"/>
    </row>
    <row r="949" spans="1:6">
      <c r="A949" s="10" t="str">
        <f t="shared" si="42"/>
        <v/>
      </c>
      <c r="B949" s="53"/>
      <c r="C949" s="28" t="str">
        <f t="shared" si="43"/>
        <v/>
      </c>
      <c r="D949" s="28" t="str">
        <f t="shared" si="44"/>
        <v/>
      </c>
      <c r="E949" s="88"/>
      <c r="F949" s="83"/>
    </row>
    <row r="950" spans="1:6">
      <c r="A950" s="10" t="str">
        <f t="shared" si="42"/>
        <v/>
      </c>
      <c r="B950" s="53"/>
      <c r="C950" s="28" t="str">
        <f t="shared" si="43"/>
        <v/>
      </c>
      <c r="D950" s="28" t="str">
        <f t="shared" si="44"/>
        <v/>
      </c>
      <c r="E950" s="88"/>
      <c r="F950" s="83"/>
    </row>
    <row r="951" spans="1:6">
      <c r="A951" s="10" t="str">
        <f t="shared" si="42"/>
        <v/>
      </c>
      <c r="B951" s="53"/>
      <c r="C951" s="28" t="str">
        <f t="shared" si="43"/>
        <v/>
      </c>
      <c r="D951" s="28" t="str">
        <f t="shared" si="44"/>
        <v/>
      </c>
      <c r="E951" s="88"/>
      <c r="F951" s="83"/>
    </row>
    <row r="952" spans="1:6">
      <c r="A952" s="10" t="str">
        <f t="shared" si="42"/>
        <v/>
      </c>
      <c r="B952" s="53"/>
      <c r="C952" s="28" t="str">
        <f t="shared" si="43"/>
        <v/>
      </c>
      <c r="D952" s="28" t="str">
        <f t="shared" si="44"/>
        <v/>
      </c>
      <c r="E952" s="88"/>
      <c r="F952" s="83"/>
    </row>
    <row r="953" spans="1:6">
      <c r="A953" s="10" t="str">
        <f t="shared" si="42"/>
        <v/>
      </c>
      <c r="B953" s="53"/>
      <c r="C953" s="28" t="str">
        <f t="shared" si="43"/>
        <v/>
      </c>
      <c r="D953" s="28" t="str">
        <f t="shared" si="44"/>
        <v/>
      </c>
      <c r="E953" s="88"/>
      <c r="F953" s="83"/>
    </row>
    <row r="954" spans="1:6">
      <c r="A954" s="10" t="str">
        <f t="shared" si="42"/>
        <v/>
      </c>
      <c r="B954" s="53"/>
      <c r="C954" s="28" t="str">
        <f t="shared" si="43"/>
        <v/>
      </c>
      <c r="D954" s="28" t="str">
        <f t="shared" si="44"/>
        <v/>
      </c>
      <c r="E954" s="88"/>
      <c r="F954" s="83"/>
    </row>
    <row r="955" spans="1:6">
      <c r="A955" s="10" t="str">
        <f t="shared" si="42"/>
        <v/>
      </c>
      <c r="B955" s="53"/>
      <c r="C955" s="28" t="str">
        <f t="shared" si="43"/>
        <v/>
      </c>
      <c r="D955" s="28" t="str">
        <f t="shared" si="44"/>
        <v/>
      </c>
      <c r="E955" s="88"/>
      <c r="F955" s="83"/>
    </row>
    <row r="956" spans="1:6">
      <c r="A956" s="10" t="str">
        <f t="shared" si="42"/>
        <v/>
      </c>
      <c r="B956" s="53"/>
      <c r="C956" s="28" t="str">
        <f t="shared" si="43"/>
        <v/>
      </c>
      <c r="D956" s="28" t="str">
        <f t="shared" si="44"/>
        <v/>
      </c>
      <c r="E956" s="88"/>
      <c r="F956" s="83"/>
    </row>
    <row r="957" spans="1:6">
      <c r="A957" s="10" t="str">
        <f t="shared" si="42"/>
        <v/>
      </c>
      <c r="B957" s="53"/>
      <c r="C957" s="28" t="str">
        <f t="shared" si="43"/>
        <v/>
      </c>
      <c r="D957" s="28" t="str">
        <f t="shared" si="44"/>
        <v/>
      </c>
      <c r="E957" s="88"/>
      <c r="F957" s="83"/>
    </row>
    <row r="958" spans="1:6">
      <c r="A958" s="10" t="str">
        <f t="shared" si="42"/>
        <v/>
      </c>
      <c r="B958" s="53"/>
      <c r="C958" s="28" t="str">
        <f t="shared" si="43"/>
        <v/>
      </c>
      <c r="D958" s="28" t="str">
        <f t="shared" si="44"/>
        <v/>
      </c>
      <c r="E958" s="88"/>
      <c r="F958" s="83"/>
    </row>
    <row r="959" spans="1:6">
      <c r="A959" s="10" t="str">
        <f t="shared" si="42"/>
        <v/>
      </c>
      <c r="B959" s="53"/>
      <c r="C959" s="28" t="str">
        <f t="shared" si="43"/>
        <v/>
      </c>
      <c r="D959" s="28" t="str">
        <f t="shared" si="44"/>
        <v/>
      </c>
      <c r="E959" s="88"/>
      <c r="F959" s="83"/>
    </row>
    <row r="960" spans="1:6">
      <c r="A960" s="10" t="str">
        <f t="shared" si="42"/>
        <v/>
      </c>
      <c r="B960" s="53"/>
      <c r="C960" s="28" t="str">
        <f t="shared" si="43"/>
        <v/>
      </c>
      <c r="D960" s="28" t="str">
        <f t="shared" si="44"/>
        <v/>
      </c>
      <c r="E960" s="88"/>
      <c r="F960" s="83"/>
    </row>
    <row r="961" spans="1:6">
      <c r="A961" s="10" t="str">
        <f t="shared" si="42"/>
        <v/>
      </c>
      <c r="B961" s="53"/>
      <c r="C961" s="28" t="str">
        <f t="shared" si="43"/>
        <v/>
      </c>
      <c r="D961" s="28" t="str">
        <f t="shared" si="44"/>
        <v/>
      </c>
      <c r="E961" s="88"/>
      <c r="F961" s="83"/>
    </row>
    <row r="962" spans="1:6">
      <c r="A962" s="10" t="str">
        <f t="shared" si="42"/>
        <v/>
      </c>
      <c r="B962" s="53"/>
      <c r="C962" s="28" t="str">
        <f t="shared" si="43"/>
        <v/>
      </c>
      <c r="D962" s="28" t="str">
        <f t="shared" si="44"/>
        <v/>
      </c>
      <c r="E962" s="88"/>
      <c r="F962" s="83"/>
    </row>
    <row r="963" spans="1:6">
      <c r="A963" s="10" t="str">
        <f t="shared" ref="A963:A1026" si="45">IF(E963&gt;0,A962+1,"")</f>
        <v/>
      </c>
      <c r="B963" s="53"/>
      <c r="C963" s="28" t="str">
        <f t="shared" ref="C963:C1026" si="46">IF(B963=0,"",TEXT(B963,"mmmm"))</f>
        <v/>
      </c>
      <c r="D963" s="28" t="str">
        <f t="shared" ref="D963:D1026" si="47">IF(B963=0,"",TEXT(B963,"yyyy"))</f>
        <v/>
      </c>
      <c r="E963" s="88"/>
      <c r="F963" s="83"/>
    </row>
    <row r="964" spans="1:6">
      <c r="A964" s="10" t="str">
        <f t="shared" si="45"/>
        <v/>
      </c>
      <c r="B964" s="53"/>
      <c r="C964" s="28" t="str">
        <f t="shared" si="46"/>
        <v/>
      </c>
      <c r="D964" s="28" t="str">
        <f t="shared" si="47"/>
        <v/>
      </c>
      <c r="E964" s="88"/>
      <c r="F964" s="83"/>
    </row>
    <row r="965" spans="1:6">
      <c r="A965" s="10" t="str">
        <f t="shared" si="45"/>
        <v/>
      </c>
      <c r="B965" s="53"/>
      <c r="C965" s="28" t="str">
        <f t="shared" si="46"/>
        <v/>
      </c>
      <c r="D965" s="28" t="str">
        <f t="shared" si="47"/>
        <v/>
      </c>
      <c r="E965" s="88"/>
      <c r="F965" s="83"/>
    </row>
    <row r="966" spans="1:6">
      <c r="A966" s="10" t="str">
        <f t="shared" si="45"/>
        <v/>
      </c>
      <c r="B966" s="53"/>
      <c r="C966" s="28" t="str">
        <f t="shared" si="46"/>
        <v/>
      </c>
      <c r="D966" s="28" t="str">
        <f t="shared" si="47"/>
        <v/>
      </c>
      <c r="E966" s="88"/>
      <c r="F966" s="83"/>
    </row>
    <row r="967" spans="1:6">
      <c r="A967" s="10" t="str">
        <f t="shared" si="45"/>
        <v/>
      </c>
      <c r="B967" s="53"/>
      <c r="C967" s="28" t="str">
        <f t="shared" si="46"/>
        <v/>
      </c>
      <c r="D967" s="28" t="str">
        <f t="shared" si="47"/>
        <v/>
      </c>
      <c r="E967" s="88"/>
      <c r="F967" s="83"/>
    </row>
    <row r="968" spans="1:6">
      <c r="A968" s="10" t="str">
        <f t="shared" si="45"/>
        <v/>
      </c>
      <c r="B968" s="53"/>
      <c r="C968" s="28" t="str">
        <f t="shared" si="46"/>
        <v/>
      </c>
      <c r="D968" s="28" t="str">
        <f t="shared" si="47"/>
        <v/>
      </c>
      <c r="E968" s="88"/>
      <c r="F968" s="83"/>
    </row>
    <row r="969" spans="1:6">
      <c r="A969" s="10" t="str">
        <f t="shared" si="45"/>
        <v/>
      </c>
      <c r="B969" s="53"/>
      <c r="C969" s="28" t="str">
        <f t="shared" si="46"/>
        <v/>
      </c>
      <c r="D969" s="28" t="str">
        <f t="shared" si="47"/>
        <v/>
      </c>
      <c r="E969" s="88"/>
      <c r="F969" s="83"/>
    </row>
    <row r="970" spans="1:6">
      <c r="A970" s="10" t="str">
        <f t="shared" si="45"/>
        <v/>
      </c>
      <c r="B970" s="53"/>
      <c r="C970" s="28" t="str">
        <f t="shared" si="46"/>
        <v/>
      </c>
      <c r="D970" s="28" t="str">
        <f t="shared" si="47"/>
        <v/>
      </c>
      <c r="E970" s="88"/>
      <c r="F970" s="83"/>
    </row>
    <row r="971" spans="1:6">
      <c r="A971" s="10" t="str">
        <f t="shared" si="45"/>
        <v/>
      </c>
      <c r="B971" s="53"/>
      <c r="C971" s="28" t="str">
        <f t="shared" si="46"/>
        <v/>
      </c>
      <c r="D971" s="28" t="str">
        <f t="shared" si="47"/>
        <v/>
      </c>
      <c r="E971" s="88"/>
      <c r="F971" s="83"/>
    </row>
    <row r="972" spans="1:6">
      <c r="A972" s="10" t="str">
        <f t="shared" si="45"/>
        <v/>
      </c>
      <c r="B972" s="53"/>
      <c r="C972" s="28" t="str">
        <f t="shared" si="46"/>
        <v/>
      </c>
      <c r="D972" s="28" t="str">
        <f t="shared" si="47"/>
        <v/>
      </c>
      <c r="E972" s="88"/>
      <c r="F972" s="83"/>
    </row>
    <row r="973" spans="1:6">
      <c r="A973" s="10" t="str">
        <f t="shared" si="45"/>
        <v/>
      </c>
      <c r="B973" s="53"/>
      <c r="C973" s="28" t="str">
        <f t="shared" si="46"/>
        <v/>
      </c>
      <c r="D973" s="28" t="str">
        <f t="shared" si="47"/>
        <v/>
      </c>
      <c r="E973" s="88"/>
      <c r="F973" s="83"/>
    </row>
    <row r="974" spans="1:6">
      <c r="A974" s="10" t="str">
        <f t="shared" si="45"/>
        <v/>
      </c>
      <c r="B974" s="53"/>
      <c r="C974" s="28" t="str">
        <f t="shared" si="46"/>
        <v/>
      </c>
      <c r="D974" s="28" t="str">
        <f t="shared" si="47"/>
        <v/>
      </c>
      <c r="E974" s="88"/>
      <c r="F974" s="83"/>
    </row>
    <row r="975" spans="1:6">
      <c r="A975" s="10" t="str">
        <f t="shared" si="45"/>
        <v/>
      </c>
      <c r="B975" s="53"/>
      <c r="C975" s="28" t="str">
        <f t="shared" si="46"/>
        <v/>
      </c>
      <c r="D975" s="28" t="str">
        <f t="shared" si="47"/>
        <v/>
      </c>
      <c r="E975" s="88"/>
      <c r="F975" s="83"/>
    </row>
    <row r="976" spans="1:6">
      <c r="A976" s="10" t="str">
        <f t="shared" si="45"/>
        <v/>
      </c>
      <c r="B976" s="53"/>
      <c r="C976" s="28" t="str">
        <f t="shared" si="46"/>
        <v/>
      </c>
      <c r="D976" s="28" t="str">
        <f t="shared" si="47"/>
        <v/>
      </c>
      <c r="E976" s="88"/>
      <c r="F976" s="83"/>
    </row>
    <row r="977" spans="1:6">
      <c r="A977" s="10" t="str">
        <f t="shared" si="45"/>
        <v/>
      </c>
      <c r="B977" s="53"/>
      <c r="C977" s="28" t="str">
        <f t="shared" si="46"/>
        <v/>
      </c>
      <c r="D977" s="28" t="str">
        <f t="shared" si="47"/>
        <v/>
      </c>
      <c r="E977" s="88"/>
      <c r="F977" s="83"/>
    </row>
    <row r="978" spans="1:6">
      <c r="A978" s="10" t="str">
        <f t="shared" si="45"/>
        <v/>
      </c>
      <c r="B978" s="53"/>
      <c r="C978" s="28" t="str">
        <f t="shared" si="46"/>
        <v/>
      </c>
      <c r="D978" s="28" t="str">
        <f t="shared" si="47"/>
        <v/>
      </c>
      <c r="E978" s="88"/>
      <c r="F978" s="83"/>
    </row>
    <row r="979" spans="1:6">
      <c r="A979" s="10" t="str">
        <f t="shared" si="45"/>
        <v/>
      </c>
      <c r="B979" s="53"/>
      <c r="C979" s="28" t="str">
        <f t="shared" si="46"/>
        <v/>
      </c>
      <c r="D979" s="28" t="str">
        <f t="shared" si="47"/>
        <v/>
      </c>
      <c r="E979" s="88"/>
      <c r="F979" s="83"/>
    </row>
    <row r="980" spans="1:6">
      <c r="A980" s="10" t="str">
        <f t="shared" si="45"/>
        <v/>
      </c>
      <c r="B980" s="53"/>
      <c r="C980" s="28" t="str">
        <f t="shared" si="46"/>
        <v/>
      </c>
      <c r="D980" s="28" t="str">
        <f t="shared" si="47"/>
        <v/>
      </c>
      <c r="E980" s="88"/>
      <c r="F980" s="83"/>
    </row>
    <row r="981" spans="1:6">
      <c r="A981" s="10" t="str">
        <f t="shared" si="45"/>
        <v/>
      </c>
      <c r="B981" s="53"/>
      <c r="C981" s="28" t="str">
        <f t="shared" si="46"/>
        <v/>
      </c>
      <c r="D981" s="28" t="str">
        <f t="shared" si="47"/>
        <v/>
      </c>
      <c r="E981" s="88"/>
      <c r="F981" s="83"/>
    </row>
    <row r="982" spans="1:6">
      <c r="A982" s="10" t="str">
        <f t="shared" si="45"/>
        <v/>
      </c>
      <c r="B982" s="53"/>
      <c r="C982" s="28" t="str">
        <f t="shared" si="46"/>
        <v/>
      </c>
      <c r="D982" s="28" t="str">
        <f t="shared" si="47"/>
        <v/>
      </c>
      <c r="E982" s="88"/>
      <c r="F982" s="83"/>
    </row>
    <row r="983" spans="1:6">
      <c r="A983" s="10" t="str">
        <f t="shared" si="45"/>
        <v/>
      </c>
      <c r="B983" s="53"/>
      <c r="C983" s="28" t="str">
        <f t="shared" si="46"/>
        <v/>
      </c>
      <c r="D983" s="28" t="str">
        <f t="shared" si="47"/>
        <v/>
      </c>
      <c r="E983" s="88"/>
      <c r="F983" s="83"/>
    </row>
    <row r="984" spans="1:6">
      <c r="A984" s="10" t="str">
        <f t="shared" si="45"/>
        <v/>
      </c>
      <c r="B984" s="53"/>
      <c r="C984" s="28" t="str">
        <f t="shared" si="46"/>
        <v/>
      </c>
      <c r="D984" s="28" t="str">
        <f t="shared" si="47"/>
        <v/>
      </c>
      <c r="E984" s="88"/>
      <c r="F984" s="83"/>
    </row>
    <row r="985" spans="1:6">
      <c r="A985" s="10" t="str">
        <f t="shared" si="45"/>
        <v/>
      </c>
      <c r="B985" s="53"/>
      <c r="C985" s="28" t="str">
        <f t="shared" si="46"/>
        <v/>
      </c>
      <c r="D985" s="28" t="str">
        <f t="shared" si="47"/>
        <v/>
      </c>
      <c r="E985" s="88"/>
      <c r="F985" s="83"/>
    </row>
    <row r="986" spans="1:6">
      <c r="A986" s="10" t="str">
        <f t="shared" si="45"/>
        <v/>
      </c>
      <c r="B986" s="53"/>
      <c r="C986" s="28" t="str">
        <f t="shared" si="46"/>
        <v/>
      </c>
      <c r="D986" s="28" t="str">
        <f t="shared" si="47"/>
        <v/>
      </c>
      <c r="E986" s="88"/>
      <c r="F986" s="83"/>
    </row>
    <row r="987" spans="1:6">
      <c r="A987" s="10" t="str">
        <f t="shared" si="45"/>
        <v/>
      </c>
      <c r="B987" s="53"/>
      <c r="C987" s="28" t="str">
        <f t="shared" si="46"/>
        <v/>
      </c>
      <c r="D987" s="28" t="str">
        <f t="shared" si="47"/>
        <v/>
      </c>
      <c r="E987" s="88"/>
      <c r="F987" s="83"/>
    </row>
    <row r="988" spans="1:6">
      <c r="A988" s="10" t="str">
        <f t="shared" si="45"/>
        <v/>
      </c>
      <c r="B988" s="53"/>
      <c r="C988" s="28" t="str">
        <f t="shared" si="46"/>
        <v/>
      </c>
      <c r="D988" s="28" t="str">
        <f t="shared" si="47"/>
        <v/>
      </c>
      <c r="E988" s="88"/>
      <c r="F988" s="83"/>
    </row>
    <row r="989" spans="1:6">
      <c r="A989" s="10" t="str">
        <f t="shared" si="45"/>
        <v/>
      </c>
      <c r="B989" s="53"/>
      <c r="C989" s="28" t="str">
        <f t="shared" si="46"/>
        <v/>
      </c>
      <c r="D989" s="28" t="str">
        <f t="shared" si="47"/>
        <v/>
      </c>
      <c r="E989" s="88"/>
      <c r="F989" s="83"/>
    </row>
    <row r="990" spans="1:6">
      <c r="A990" s="10" t="str">
        <f t="shared" si="45"/>
        <v/>
      </c>
      <c r="B990" s="53"/>
      <c r="C990" s="28" t="str">
        <f t="shared" si="46"/>
        <v/>
      </c>
      <c r="D990" s="28" t="str">
        <f t="shared" si="47"/>
        <v/>
      </c>
      <c r="E990" s="88"/>
      <c r="F990" s="83"/>
    </row>
    <row r="991" spans="1:6">
      <c r="A991" s="10" t="str">
        <f t="shared" si="45"/>
        <v/>
      </c>
      <c r="B991" s="53"/>
      <c r="C991" s="28" t="str">
        <f t="shared" si="46"/>
        <v/>
      </c>
      <c r="D991" s="28" t="str">
        <f t="shared" si="47"/>
        <v/>
      </c>
      <c r="E991" s="88"/>
      <c r="F991" s="83"/>
    </row>
    <row r="992" spans="1:6">
      <c r="A992" s="10" t="str">
        <f t="shared" si="45"/>
        <v/>
      </c>
      <c r="B992" s="53"/>
      <c r="C992" s="28" t="str">
        <f t="shared" si="46"/>
        <v/>
      </c>
      <c r="D992" s="28" t="str">
        <f t="shared" si="47"/>
        <v/>
      </c>
      <c r="E992" s="88"/>
      <c r="F992" s="83"/>
    </row>
    <row r="993" spans="1:6">
      <c r="A993" s="10" t="str">
        <f t="shared" si="45"/>
        <v/>
      </c>
      <c r="B993" s="53"/>
      <c r="C993" s="28" t="str">
        <f t="shared" si="46"/>
        <v/>
      </c>
      <c r="D993" s="28" t="str">
        <f t="shared" si="47"/>
        <v/>
      </c>
      <c r="E993" s="88"/>
      <c r="F993" s="83"/>
    </row>
    <row r="994" spans="1:6">
      <c r="A994" s="10" t="str">
        <f t="shared" si="45"/>
        <v/>
      </c>
      <c r="B994" s="53"/>
      <c r="C994" s="28" t="str">
        <f t="shared" si="46"/>
        <v/>
      </c>
      <c r="D994" s="28" t="str">
        <f t="shared" si="47"/>
        <v/>
      </c>
      <c r="E994" s="88"/>
      <c r="F994" s="83"/>
    </row>
    <row r="995" spans="1:6">
      <c r="A995" s="10" t="str">
        <f t="shared" si="45"/>
        <v/>
      </c>
      <c r="B995" s="53"/>
      <c r="C995" s="28" t="str">
        <f t="shared" si="46"/>
        <v/>
      </c>
      <c r="D995" s="28" t="str">
        <f t="shared" si="47"/>
        <v/>
      </c>
      <c r="E995" s="88"/>
      <c r="F995" s="83"/>
    </row>
    <row r="996" spans="1:6">
      <c r="A996" s="10" t="str">
        <f t="shared" si="45"/>
        <v/>
      </c>
      <c r="B996" s="53"/>
      <c r="C996" s="28" t="str">
        <f t="shared" si="46"/>
        <v/>
      </c>
      <c r="D996" s="28" t="str">
        <f t="shared" si="47"/>
        <v/>
      </c>
      <c r="E996" s="88"/>
      <c r="F996" s="83"/>
    </row>
    <row r="997" spans="1:6">
      <c r="A997" s="10" t="str">
        <f t="shared" si="45"/>
        <v/>
      </c>
      <c r="B997" s="53"/>
      <c r="C997" s="28" t="str">
        <f t="shared" si="46"/>
        <v/>
      </c>
      <c r="D997" s="28" t="str">
        <f t="shared" si="47"/>
        <v/>
      </c>
      <c r="E997" s="88"/>
      <c r="F997" s="83"/>
    </row>
    <row r="998" spans="1:6">
      <c r="A998" s="10" t="str">
        <f t="shared" si="45"/>
        <v/>
      </c>
      <c r="B998" s="53"/>
      <c r="C998" s="28" t="str">
        <f t="shared" si="46"/>
        <v/>
      </c>
      <c r="D998" s="28" t="str">
        <f t="shared" si="47"/>
        <v/>
      </c>
      <c r="E998" s="88"/>
      <c r="F998" s="83"/>
    </row>
    <row r="999" spans="1:6">
      <c r="A999" s="10" t="str">
        <f t="shared" si="45"/>
        <v/>
      </c>
      <c r="B999" s="53"/>
      <c r="C999" s="28" t="str">
        <f t="shared" si="46"/>
        <v/>
      </c>
      <c r="D999" s="28" t="str">
        <f t="shared" si="47"/>
        <v/>
      </c>
      <c r="E999" s="88"/>
      <c r="F999" s="83"/>
    </row>
    <row r="1000" spans="1:6">
      <c r="A1000" s="10" t="str">
        <f t="shared" si="45"/>
        <v/>
      </c>
      <c r="B1000" s="53"/>
      <c r="C1000" s="28" t="str">
        <f t="shared" si="46"/>
        <v/>
      </c>
      <c r="D1000" s="28" t="str">
        <f t="shared" si="47"/>
        <v/>
      </c>
      <c r="E1000" s="88"/>
      <c r="F1000" s="83"/>
    </row>
    <row r="1001" spans="1:6">
      <c r="A1001" s="10" t="str">
        <f t="shared" si="45"/>
        <v/>
      </c>
      <c r="B1001" s="53"/>
      <c r="C1001" s="28" t="str">
        <f t="shared" si="46"/>
        <v/>
      </c>
      <c r="D1001" s="28" t="str">
        <f t="shared" si="47"/>
        <v/>
      </c>
      <c r="E1001" s="88"/>
      <c r="F1001" s="83"/>
    </row>
    <row r="1002" spans="1:6">
      <c r="A1002" s="10" t="str">
        <f t="shared" si="45"/>
        <v/>
      </c>
      <c r="B1002" s="53"/>
      <c r="C1002" s="28" t="str">
        <f t="shared" si="46"/>
        <v/>
      </c>
      <c r="D1002" s="28" t="str">
        <f t="shared" si="47"/>
        <v/>
      </c>
      <c r="E1002" s="88"/>
      <c r="F1002" s="83"/>
    </row>
    <row r="1003" spans="1:6">
      <c r="A1003" s="10" t="str">
        <f t="shared" si="45"/>
        <v/>
      </c>
      <c r="B1003" s="53"/>
      <c r="C1003" s="28" t="str">
        <f t="shared" si="46"/>
        <v/>
      </c>
      <c r="D1003" s="28" t="str">
        <f t="shared" si="47"/>
        <v/>
      </c>
      <c r="E1003" s="88"/>
      <c r="F1003" s="83"/>
    </row>
    <row r="1004" spans="1:6">
      <c r="A1004" s="10" t="str">
        <f t="shared" si="45"/>
        <v/>
      </c>
      <c r="B1004" s="53"/>
      <c r="C1004" s="28" t="str">
        <f t="shared" si="46"/>
        <v/>
      </c>
      <c r="D1004" s="28" t="str">
        <f t="shared" si="47"/>
        <v/>
      </c>
      <c r="E1004" s="88"/>
      <c r="F1004" s="83"/>
    </row>
    <row r="1005" spans="1:6">
      <c r="A1005" s="10" t="str">
        <f t="shared" si="45"/>
        <v/>
      </c>
      <c r="B1005" s="53"/>
      <c r="C1005" s="28" t="str">
        <f t="shared" si="46"/>
        <v/>
      </c>
      <c r="D1005" s="28" t="str">
        <f t="shared" si="47"/>
        <v/>
      </c>
      <c r="E1005" s="88"/>
      <c r="F1005" s="83"/>
    </row>
    <row r="1006" spans="1:6">
      <c r="A1006" s="10" t="str">
        <f t="shared" si="45"/>
        <v/>
      </c>
      <c r="B1006" s="53"/>
      <c r="C1006" s="28" t="str">
        <f t="shared" si="46"/>
        <v/>
      </c>
      <c r="D1006" s="28" t="str">
        <f t="shared" si="47"/>
        <v/>
      </c>
      <c r="E1006" s="88"/>
      <c r="F1006" s="83"/>
    </row>
    <row r="1007" spans="1:6">
      <c r="A1007" s="10" t="str">
        <f t="shared" si="45"/>
        <v/>
      </c>
      <c r="B1007" s="53"/>
      <c r="C1007" s="28" t="str">
        <f t="shared" si="46"/>
        <v/>
      </c>
      <c r="D1007" s="28" t="str">
        <f t="shared" si="47"/>
        <v/>
      </c>
      <c r="E1007" s="88"/>
      <c r="F1007" s="83"/>
    </row>
    <row r="1008" spans="1:6">
      <c r="A1008" s="10" t="str">
        <f t="shared" si="45"/>
        <v/>
      </c>
      <c r="B1008" s="53"/>
      <c r="C1008" s="28" t="str">
        <f t="shared" si="46"/>
        <v/>
      </c>
      <c r="D1008" s="28" t="str">
        <f t="shared" si="47"/>
        <v/>
      </c>
      <c r="E1008" s="88"/>
      <c r="F1008" s="83"/>
    </row>
    <row r="1009" spans="1:6">
      <c r="A1009" s="10" t="str">
        <f t="shared" si="45"/>
        <v/>
      </c>
      <c r="B1009" s="53"/>
      <c r="C1009" s="28" t="str">
        <f t="shared" si="46"/>
        <v/>
      </c>
      <c r="D1009" s="28" t="str">
        <f t="shared" si="47"/>
        <v/>
      </c>
      <c r="E1009" s="88"/>
      <c r="F1009" s="83"/>
    </row>
    <row r="1010" spans="1:6">
      <c r="A1010" s="10" t="str">
        <f t="shared" si="45"/>
        <v/>
      </c>
      <c r="B1010" s="53"/>
      <c r="C1010" s="28" t="str">
        <f t="shared" si="46"/>
        <v/>
      </c>
      <c r="D1010" s="28" t="str">
        <f t="shared" si="47"/>
        <v/>
      </c>
      <c r="E1010" s="88"/>
      <c r="F1010" s="83"/>
    </row>
    <row r="1011" spans="1:6">
      <c r="A1011" s="10" t="str">
        <f t="shared" si="45"/>
        <v/>
      </c>
      <c r="B1011" s="53"/>
      <c r="C1011" s="28" t="str">
        <f t="shared" si="46"/>
        <v/>
      </c>
      <c r="D1011" s="28" t="str">
        <f t="shared" si="47"/>
        <v/>
      </c>
      <c r="E1011" s="88"/>
      <c r="F1011" s="83"/>
    </row>
    <row r="1012" spans="1:6">
      <c r="A1012" s="10" t="str">
        <f t="shared" si="45"/>
        <v/>
      </c>
      <c r="B1012" s="53"/>
      <c r="C1012" s="28" t="str">
        <f t="shared" si="46"/>
        <v/>
      </c>
      <c r="D1012" s="28" t="str">
        <f t="shared" si="47"/>
        <v/>
      </c>
      <c r="E1012" s="88"/>
      <c r="F1012" s="83"/>
    </row>
    <row r="1013" spans="1:6">
      <c r="A1013" s="10" t="str">
        <f t="shared" si="45"/>
        <v/>
      </c>
      <c r="B1013" s="53"/>
      <c r="C1013" s="28" t="str">
        <f t="shared" si="46"/>
        <v/>
      </c>
      <c r="D1013" s="28" t="str">
        <f t="shared" si="47"/>
        <v/>
      </c>
      <c r="E1013" s="88"/>
      <c r="F1013" s="83"/>
    </row>
    <row r="1014" spans="1:6">
      <c r="A1014" s="10" t="str">
        <f t="shared" si="45"/>
        <v/>
      </c>
      <c r="B1014" s="53"/>
      <c r="C1014" s="28" t="str">
        <f t="shared" si="46"/>
        <v/>
      </c>
      <c r="D1014" s="28" t="str">
        <f t="shared" si="47"/>
        <v/>
      </c>
      <c r="E1014" s="88"/>
      <c r="F1014" s="83"/>
    </row>
    <row r="1015" spans="1:6">
      <c r="A1015" s="10" t="str">
        <f t="shared" si="45"/>
        <v/>
      </c>
      <c r="B1015" s="53"/>
      <c r="C1015" s="28" t="str">
        <f t="shared" si="46"/>
        <v/>
      </c>
      <c r="D1015" s="28" t="str">
        <f t="shared" si="47"/>
        <v/>
      </c>
      <c r="E1015" s="88"/>
      <c r="F1015" s="83"/>
    </row>
    <row r="1016" spans="1:6">
      <c r="A1016" s="10" t="str">
        <f t="shared" si="45"/>
        <v/>
      </c>
      <c r="B1016" s="53"/>
      <c r="C1016" s="28" t="str">
        <f t="shared" si="46"/>
        <v/>
      </c>
      <c r="D1016" s="28" t="str">
        <f t="shared" si="47"/>
        <v/>
      </c>
      <c r="E1016" s="88"/>
      <c r="F1016" s="83"/>
    </row>
    <row r="1017" spans="1:6">
      <c r="A1017" s="10" t="str">
        <f t="shared" si="45"/>
        <v/>
      </c>
      <c r="B1017" s="53"/>
      <c r="C1017" s="28" t="str">
        <f t="shared" si="46"/>
        <v/>
      </c>
      <c r="D1017" s="28" t="str">
        <f t="shared" si="47"/>
        <v/>
      </c>
      <c r="E1017" s="88"/>
      <c r="F1017" s="83"/>
    </row>
    <row r="1018" spans="1:6">
      <c r="A1018" s="10" t="str">
        <f t="shared" si="45"/>
        <v/>
      </c>
      <c r="B1018" s="53"/>
      <c r="C1018" s="28" t="str">
        <f t="shared" si="46"/>
        <v/>
      </c>
      <c r="D1018" s="28" t="str">
        <f t="shared" si="47"/>
        <v/>
      </c>
      <c r="E1018" s="88"/>
      <c r="F1018" s="83"/>
    </row>
    <row r="1019" spans="1:6">
      <c r="A1019" s="10" t="str">
        <f t="shared" si="45"/>
        <v/>
      </c>
      <c r="B1019" s="53"/>
      <c r="C1019" s="28" t="str">
        <f t="shared" si="46"/>
        <v/>
      </c>
      <c r="D1019" s="28" t="str">
        <f t="shared" si="47"/>
        <v/>
      </c>
      <c r="E1019" s="88"/>
      <c r="F1019" s="83"/>
    </row>
    <row r="1020" spans="1:6">
      <c r="A1020" s="10" t="str">
        <f t="shared" si="45"/>
        <v/>
      </c>
      <c r="B1020" s="53"/>
      <c r="C1020" s="28" t="str">
        <f t="shared" si="46"/>
        <v/>
      </c>
      <c r="D1020" s="28" t="str">
        <f t="shared" si="47"/>
        <v/>
      </c>
      <c r="E1020" s="88"/>
      <c r="F1020" s="83"/>
    </row>
    <row r="1021" spans="1:6">
      <c r="A1021" s="10" t="str">
        <f t="shared" si="45"/>
        <v/>
      </c>
      <c r="B1021" s="53"/>
      <c r="C1021" s="28" t="str">
        <f t="shared" si="46"/>
        <v/>
      </c>
      <c r="D1021" s="28" t="str">
        <f t="shared" si="47"/>
        <v/>
      </c>
      <c r="E1021" s="88"/>
      <c r="F1021" s="83"/>
    </row>
    <row r="1022" spans="1:6">
      <c r="A1022" s="10" t="str">
        <f t="shared" si="45"/>
        <v/>
      </c>
      <c r="B1022" s="53"/>
      <c r="C1022" s="28" t="str">
        <f t="shared" si="46"/>
        <v/>
      </c>
      <c r="D1022" s="28" t="str">
        <f t="shared" si="47"/>
        <v/>
      </c>
      <c r="E1022" s="88"/>
      <c r="F1022" s="83"/>
    </row>
    <row r="1023" spans="1:6">
      <c r="A1023" s="10" t="str">
        <f t="shared" si="45"/>
        <v/>
      </c>
      <c r="B1023" s="53"/>
      <c r="C1023" s="28" t="str">
        <f t="shared" si="46"/>
        <v/>
      </c>
      <c r="D1023" s="28" t="str">
        <f t="shared" si="47"/>
        <v/>
      </c>
      <c r="E1023" s="88"/>
      <c r="F1023" s="83"/>
    </row>
    <row r="1024" spans="1:6">
      <c r="A1024" s="10" t="str">
        <f t="shared" si="45"/>
        <v/>
      </c>
      <c r="B1024" s="53"/>
      <c r="C1024" s="28" t="str">
        <f t="shared" si="46"/>
        <v/>
      </c>
      <c r="D1024" s="28" t="str">
        <f t="shared" si="47"/>
        <v/>
      </c>
      <c r="E1024" s="88"/>
      <c r="F1024" s="83"/>
    </row>
    <row r="1025" spans="1:6">
      <c r="A1025" s="10" t="str">
        <f t="shared" si="45"/>
        <v/>
      </c>
      <c r="B1025" s="53"/>
      <c r="C1025" s="28" t="str">
        <f t="shared" si="46"/>
        <v/>
      </c>
      <c r="D1025" s="28" t="str">
        <f t="shared" si="47"/>
        <v/>
      </c>
      <c r="E1025" s="88"/>
      <c r="F1025" s="83"/>
    </row>
    <row r="1026" spans="1:6">
      <c r="A1026" s="10" t="str">
        <f t="shared" si="45"/>
        <v/>
      </c>
      <c r="B1026" s="53"/>
      <c r="C1026" s="28" t="str">
        <f t="shared" si="46"/>
        <v/>
      </c>
      <c r="D1026" s="28" t="str">
        <f t="shared" si="47"/>
        <v/>
      </c>
      <c r="E1026" s="88"/>
      <c r="F1026" s="83"/>
    </row>
    <row r="1027" spans="1:6">
      <c r="A1027" s="10" t="str">
        <f t="shared" ref="A1027:A1090" si="48">IF(E1027&gt;0,A1026+1,"")</f>
        <v/>
      </c>
      <c r="B1027" s="53"/>
      <c r="C1027" s="28" t="str">
        <f t="shared" ref="C1027:C1090" si="49">IF(B1027=0,"",TEXT(B1027,"mmmm"))</f>
        <v/>
      </c>
      <c r="D1027" s="28" t="str">
        <f t="shared" ref="D1027:D1090" si="50">IF(B1027=0,"",TEXT(B1027,"yyyy"))</f>
        <v/>
      </c>
      <c r="E1027" s="88"/>
      <c r="F1027" s="83"/>
    </row>
    <row r="1028" spans="1:6">
      <c r="A1028" s="10" t="str">
        <f t="shared" si="48"/>
        <v/>
      </c>
      <c r="B1028" s="53"/>
      <c r="C1028" s="28" t="str">
        <f t="shared" si="49"/>
        <v/>
      </c>
      <c r="D1028" s="28" t="str">
        <f t="shared" si="50"/>
        <v/>
      </c>
      <c r="E1028" s="88"/>
      <c r="F1028" s="83"/>
    </row>
    <row r="1029" spans="1:6">
      <c r="A1029" s="10" t="str">
        <f t="shared" si="48"/>
        <v/>
      </c>
      <c r="B1029" s="53"/>
      <c r="C1029" s="28" t="str">
        <f t="shared" si="49"/>
        <v/>
      </c>
      <c r="D1029" s="28" t="str">
        <f t="shared" si="50"/>
        <v/>
      </c>
      <c r="E1029" s="88"/>
      <c r="F1029" s="83"/>
    </row>
    <row r="1030" spans="1:6">
      <c r="A1030" s="10" t="str">
        <f t="shared" si="48"/>
        <v/>
      </c>
      <c r="B1030" s="53"/>
      <c r="C1030" s="28" t="str">
        <f t="shared" si="49"/>
        <v/>
      </c>
      <c r="D1030" s="28" t="str">
        <f t="shared" si="50"/>
        <v/>
      </c>
      <c r="E1030" s="88"/>
      <c r="F1030" s="83"/>
    </row>
    <row r="1031" spans="1:6">
      <c r="A1031" s="10" t="str">
        <f t="shared" si="48"/>
        <v/>
      </c>
      <c r="B1031" s="53"/>
      <c r="C1031" s="28" t="str">
        <f t="shared" si="49"/>
        <v/>
      </c>
      <c r="D1031" s="28" t="str">
        <f t="shared" si="50"/>
        <v/>
      </c>
      <c r="E1031" s="88"/>
      <c r="F1031" s="83"/>
    </row>
    <row r="1032" spans="1:6">
      <c r="A1032" s="10" t="str">
        <f t="shared" si="48"/>
        <v/>
      </c>
      <c r="B1032" s="53"/>
      <c r="C1032" s="28" t="str">
        <f t="shared" si="49"/>
        <v/>
      </c>
      <c r="D1032" s="28" t="str">
        <f t="shared" si="50"/>
        <v/>
      </c>
      <c r="E1032" s="88"/>
      <c r="F1032" s="83"/>
    </row>
    <row r="1033" spans="1:6">
      <c r="A1033" s="10" t="str">
        <f t="shared" si="48"/>
        <v/>
      </c>
      <c r="B1033" s="53"/>
      <c r="C1033" s="28" t="str">
        <f t="shared" si="49"/>
        <v/>
      </c>
      <c r="D1033" s="28" t="str">
        <f t="shared" si="50"/>
        <v/>
      </c>
      <c r="E1033" s="88"/>
      <c r="F1033" s="83"/>
    </row>
    <row r="1034" spans="1:6">
      <c r="A1034" s="10" t="str">
        <f t="shared" si="48"/>
        <v/>
      </c>
      <c r="B1034" s="53"/>
      <c r="C1034" s="28" t="str">
        <f t="shared" si="49"/>
        <v/>
      </c>
      <c r="D1034" s="28" t="str">
        <f t="shared" si="50"/>
        <v/>
      </c>
      <c r="E1034" s="88"/>
      <c r="F1034" s="83"/>
    </row>
    <row r="1035" spans="1:6">
      <c r="A1035" s="10" t="str">
        <f t="shared" si="48"/>
        <v/>
      </c>
      <c r="B1035" s="53"/>
      <c r="C1035" s="28" t="str">
        <f t="shared" si="49"/>
        <v/>
      </c>
      <c r="D1035" s="28" t="str">
        <f t="shared" si="50"/>
        <v/>
      </c>
      <c r="E1035" s="88"/>
      <c r="F1035" s="83"/>
    </row>
    <row r="1036" spans="1:6">
      <c r="A1036" s="10" t="str">
        <f t="shared" si="48"/>
        <v/>
      </c>
      <c r="B1036" s="53"/>
      <c r="C1036" s="28" t="str">
        <f t="shared" si="49"/>
        <v/>
      </c>
      <c r="D1036" s="28" t="str">
        <f t="shared" si="50"/>
        <v/>
      </c>
      <c r="E1036" s="88"/>
      <c r="F1036" s="83"/>
    </row>
    <row r="1037" spans="1:6">
      <c r="A1037" s="10" t="str">
        <f t="shared" si="48"/>
        <v/>
      </c>
      <c r="B1037" s="53"/>
      <c r="C1037" s="28" t="str">
        <f t="shared" si="49"/>
        <v/>
      </c>
      <c r="D1037" s="28" t="str">
        <f t="shared" si="50"/>
        <v/>
      </c>
      <c r="E1037" s="88"/>
      <c r="F1037" s="83"/>
    </row>
    <row r="1038" spans="1:6">
      <c r="A1038" s="10" t="str">
        <f t="shared" si="48"/>
        <v/>
      </c>
      <c r="B1038" s="53"/>
      <c r="C1038" s="28" t="str">
        <f t="shared" si="49"/>
        <v/>
      </c>
      <c r="D1038" s="28" t="str">
        <f t="shared" si="50"/>
        <v/>
      </c>
      <c r="E1038" s="88"/>
      <c r="F1038" s="83"/>
    </row>
    <row r="1039" spans="1:6">
      <c r="A1039" s="10" t="str">
        <f t="shared" si="48"/>
        <v/>
      </c>
      <c r="B1039" s="53"/>
      <c r="C1039" s="28" t="str">
        <f t="shared" si="49"/>
        <v/>
      </c>
      <c r="D1039" s="28" t="str">
        <f t="shared" si="50"/>
        <v/>
      </c>
      <c r="E1039" s="88"/>
      <c r="F1039" s="83"/>
    </row>
    <row r="1040" spans="1:6">
      <c r="A1040" s="10" t="str">
        <f t="shared" si="48"/>
        <v/>
      </c>
      <c r="B1040" s="53"/>
      <c r="C1040" s="28" t="str">
        <f t="shared" si="49"/>
        <v/>
      </c>
      <c r="D1040" s="28" t="str">
        <f t="shared" si="50"/>
        <v/>
      </c>
      <c r="E1040" s="88"/>
      <c r="F1040" s="83"/>
    </row>
    <row r="1041" spans="1:6">
      <c r="A1041" s="10" t="str">
        <f t="shared" si="48"/>
        <v/>
      </c>
      <c r="B1041" s="53"/>
      <c r="C1041" s="28" t="str">
        <f t="shared" si="49"/>
        <v/>
      </c>
      <c r="D1041" s="28" t="str">
        <f t="shared" si="50"/>
        <v/>
      </c>
      <c r="E1041" s="88"/>
      <c r="F1041" s="83"/>
    </row>
    <row r="1042" spans="1:6">
      <c r="A1042" s="10" t="str">
        <f t="shared" si="48"/>
        <v/>
      </c>
      <c r="B1042" s="53"/>
      <c r="C1042" s="28" t="str">
        <f t="shared" si="49"/>
        <v/>
      </c>
      <c r="D1042" s="28" t="str">
        <f t="shared" si="50"/>
        <v/>
      </c>
      <c r="E1042" s="88"/>
      <c r="F1042" s="83"/>
    </row>
    <row r="1043" spans="1:6">
      <c r="A1043" s="10" t="str">
        <f t="shared" si="48"/>
        <v/>
      </c>
      <c r="B1043" s="53"/>
      <c r="C1043" s="28" t="str">
        <f t="shared" si="49"/>
        <v/>
      </c>
      <c r="D1043" s="28" t="str">
        <f t="shared" si="50"/>
        <v/>
      </c>
      <c r="E1043" s="88"/>
      <c r="F1043" s="83"/>
    </row>
    <row r="1044" spans="1:6">
      <c r="A1044" s="10" t="str">
        <f t="shared" si="48"/>
        <v/>
      </c>
      <c r="B1044" s="53"/>
      <c r="C1044" s="28" t="str">
        <f t="shared" si="49"/>
        <v/>
      </c>
      <c r="D1044" s="28" t="str">
        <f t="shared" si="50"/>
        <v/>
      </c>
      <c r="E1044" s="88"/>
      <c r="F1044" s="83"/>
    </row>
    <row r="1045" spans="1:6">
      <c r="A1045" s="10" t="str">
        <f t="shared" si="48"/>
        <v/>
      </c>
      <c r="B1045" s="53"/>
      <c r="C1045" s="28" t="str">
        <f t="shared" si="49"/>
        <v/>
      </c>
      <c r="D1045" s="28" t="str">
        <f t="shared" si="50"/>
        <v/>
      </c>
      <c r="E1045" s="88"/>
      <c r="F1045" s="83"/>
    </row>
    <row r="1046" spans="1:6">
      <c r="A1046" s="10" t="str">
        <f t="shared" si="48"/>
        <v/>
      </c>
      <c r="B1046" s="53"/>
      <c r="C1046" s="28" t="str">
        <f t="shared" si="49"/>
        <v/>
      </c>
      <c r="D1046" s="28" t="str">
        <f t="shared" si="50"/>
        <v/>
      </c>
      <c r="E1046" s="88"/>
      <c r="F1046" s="83"/>
    </row>
    <row r="1047" spans="1:6">
      <c r="A1047" s="10" t="str">
        <f t="shared" si="48"/>
        <v/>
      </c>
      <c r="B1047" s="53"/>
      <c r="C1047" s="28" t="str">
        <f t="shared" si="49"/>
        <v/>
      </c>
      <c r="D1047" s="28" t="str">
        <f t="shared" si="50"/>
        <v/>
      </c>
      <c r="E1047" s="88"/>
      <c r="F1047" s="83"/>
    </row>
    <row r="1048" spans="1:6">
      <c r="A1048" s="10" t="str">
        <f t="shared" si="48"/>
        <v/>
      </c>
      <c r="B1048" s="53"/>
      <c r="C1048" s="28" t="str">
        <f t="shared" si="49"/>
        <v/>
      </c>
      <c r="D1048" s="28" t="str">
        <f t="shared" si="50"/>
        <v/>
      </c>
      <c r="E1048" s="88"/>
      <c r="F1048" s="83"/>
    </row>
    <row r="1049" spans="1:6">
      <c r="A1049" s="10" t="str">
        <f t="shared" si="48"/>
        <v/>
      </c>
      <c r="B1049" s="53"/>
      <c r="C1049" s="28" t="str">
        <f t="shared" si="49"/>
        <v/>
      </c>
      <c r="D1049" s="28" t="str">
        <f t="shared" si="50"/>
        <v/>
      </c>
      <c r="E1049" s="88"/>
      <c r="F1049" s="83"/>
    </row>
    <row r="1050" spans="1:6">
      <c r="A1050" s="10" t="str">
        <f t="shared" si="48"/>
        <v/>
      </c>
      <c r="B1050" s="53"/>
      <c r="C1050" s="28" t="str">
        <f t="shared" si="49"/>
        <v/>
      </c>
      <c r="D1050" s="28" t="str">
        <f t="shared" si="50"/>
        <v/>
      </c>
      <c r="E1050" s="88"/>
      <c r="F1050" s="83"/>
    </row>
    <row r="1051" spans="1:6">
      <c r="A1051" s="10" t="str">
        <f t="shared" si="48"/>
        <v/>
      </c>
      <c r="B1051" s="53"/>
      <c r="C1051" s="28" t="str">
        <f t="shared" si="49"/>
        <v/>
      </c>
      <c r="D1051" s="28" t="str">
        <f t="shared" si="50"/>
        <v/>
      </c>
      <c r="E1051" s="88"/>
      <c r="F1051" s="83"/>
    </row>
    <row r="1052" spans="1:6">
      <c r="A1052" s="10" t="str">
        <f t="shared" si="48"/>
        <v/>
      </c>
      <c r="B1052" s="53"/>
      <c r="C1052" s="28" t="str">
        <f t="shared" si="49"/>
        <v/>
      </c>
      <c r="D1052" s="28" t="str">
        <f t="shared" si="50"/>
        <v/>
      </c>
      <c r="E1052" s="88"/>
      <c r="F1052" s="83"/>
    </row>
    <row r="1053" spans="1:6">
      <c r="A1053" s="10" t="str">
        <f t="shared" si="48"/>
        <v/>
      </c>
      <c r="B1053" s="53"/>
      <c r="C1053" s="28" t="str">
        <f t="shared" si="49"/>
        <v/>
      </c>
      <c r="D1053" s="28" t="str">
        <f t="shared" si="50"/>
        <v/>
      </c>
      <c r="E1053" s="88"/>
      <c r="F1053" s="83"/>
    </row>
    <row r="1054" spans="1:6">
      <c r="A1054" s="10" t="str">
        <f t="shared" si="48"/>
        <v/>
      </c>
      <c r="B1054" s="53"/>
      <c r="C1054" s="28" t="str">
        <f t="shared" si="49"/>
        <v/>
      </c>
      <c r="D1054" s="28" t="str">
        <f t="shared" si="50"/>
        <v/>
      </c>
      <c r="E1054" s="88"/>
      <c r="F1054" s="83"/>
    </row>
    <row r="1055" spans="1:6">
      <c r="A1055" s="10" t="str">
        <f t="shared" si="48"/>
        <v/>
      </c>
      <c r="B1055" s="53"/>
      <c r="C1055" s="28" t="str">
        <f t="shared" si="49"/>
        <v/>
      </c>
      <c r="D1055" s="28" t="str">
        <f t="shared" si="50"/>
        <v/>
      </c>
      <c r="E1055" s="88"/>
      <c r="F1055" s="83"/>
    </row>
    <row r="1056" spans="1:6">
      <c r="A1056" s="10" t="str">
        <f t="shared" si="48"/>
        <v/>
      </c>
      <c r="B1056" s="53"/>
      <c r="C1056" s="28" t="str">
        <f t="shared" si="49"/>
        <v/>
      </c>
      <c r="D1056" s="28" t="str">
        <f t="shared" si="50"/>
        <v/>
      </c>
      <c r="E1056" s="88"/>
      <c r="F1056" s="83"/>
    </row>
    <row r="1057" spans="1:6">
      <c r="A1057" s="10" t="str">
        <f t="shared" si="48"/>
        <v/>
      </c>
      <c r="B1057" s="53"/>
      <c r="C1057" s="28" t="str">
        <f t="shared" si="49"/>
        <v/>
      </c>
      <c r="D1057" s="28" t="str">
        <f t="shared" si="50"/>
        <v/>
      </c>
      <c r="E1057" s="88"/>
      <c r="F1057" s="83"/>
    </row>
    <row r="1058" spans="1:6">
      <c r="A1058" s="10" t="str">
        <f t="shared" si="48"/>
        <v/>
      </c>
      <c r="B1058" s="53"/>
      <c r="C1058" s="28" t="str">
        <f t="shared" si="49"/>
        <v/>
      </c>
      <c r="D1058" s="28" t="str">
        <f t="shared" si="50"/>
        <v/>
      </c>
      <c r="E1058" s="88"/>
      <c r="F1058" s="83"/>
    </row>
    <row r="1059" spans="1:6">
      <c r="A1059" s="10" t="str">
        <f t="shared" si="48"/>
        <v/>
      </c>
      <c r="B1059" s="53"/>
      <c r="C1059" s="28" t="str">
        <f t="shared" si="49"/>
        <v/>
      </c>
      <c r="D1059" s="28" t="str">
        <f t="shared" si="50"/>
        <v/>
      </c>
      <c r="E1059" s="88"/>
      <c r="F1059" s="83"/>
    </row>
    <row r="1060" spans="1:6">
      <c r="A1060" s="10" t="str">
        <f t="shared" si="48"/>
        <v/>
      </c>
      <c r="B1060" s="53"/>
      <c r="C1060" s="28" t="str">
        <f t="shared" si="49"/>
        <v/>
      </c>
      <c r="D1060" s="28" t="str">
        <f t="shared" si="50"/>
        <v/>
      </c>
      <c r="E1060" s="88"/>
      <c r="F1060" s="83"/>
    </row>
    <row r="1061" spans="1:6">
      <c r="A1061" s="10" t="str">
        <f t="shared" si="48"/>
        <v/>
      </c>
      <c r="B1061" s="53"/>
      <c r="C1061" s="28" t="str">
        <f t="shared" si="49"/>
        <v/>
      </c>
      <c r="D1061" s="28" t="str">
        <f t="shared" si="50"/>
        <v/>
      </c>
      <c r="E1061" s="88"/>
      <c r="F1061" s="83"/>
    </row>
    <row r="1062" spans="1:6">
      <c r="A1062" s="10" t="str">
        <f t="shared" si="48"/>
        <v/>
      </c>
      <c r="B1062" s="53"/>
      <c r="C1062" s="28" t="str">
        <f t="shared" si="49"/>
        <v/>
      </c>
      <c r="D1062" s="28" t="str">
        <f t="shared" si="50"/>
        <v/>
      </c>
      <c r="E1062" s="88"/>
      <c r="F1062" s="83"/>
    </row>
    <row r="1063" spans="1:6">
      <c r="A1063" s="10" t="str">
        <f t="shared" si="48"/>
        <v/>
      </c>
      <c r="B1063" s="53"/>
      <c r="C1063" s="28" t="str">
        <f t="shared" si="49"/>
        <v/>
      </c>
      <c r="D1063" s="28" t="str">
        <f t="shared" si="50"/>
        <v/>
      </c>
      <c r="E1063" s="88"/>
      <c r="F1063" s="83"/>
    </row>
    <row r="1064" spans="1:6">
      <c r="A1064" s="10" t="str">
        <f t="shared" si="48"/>
        <v/>
      </c>
      <c r="B1064" s="53"/>
      <c r="C1064" s="28" t="str">
        <f t="shared" si="49"/>
        <v/>
      </c>
      <c r="D1064" s="28" t="str">
        <f t="shared" si="50"/>
        <v/>
      </c>
      <c r="E1064" s="88"/>
      <c r="F1064" s="83"/>
    </row>
    <row r="1065" spans="1:6">
      <c r="A1065" s="10" t="str">
        <f t="shared" si="48"/>
        <v/>
      </c>
      <c r="B1065" s="53"/>
      <c r="C1065" s="28" t="str">
        <f t="shared" si="49"/>
        <v/>
      </c>
      <c r="D1065" s="28" t="str">
        <f t="shared" si="50"/>
        <v/>
      </c>
      <c r="E1065" s="88"/>
      <c r="F1065" s="83"/>
    </row>
    <row r="1066" spans="1:6">
      <c r="A1066" s="10" t="str">
        <f t="shared" si="48"/>
        <v/>
      </c>
      <c r="B1066" s="53"/>
      <c r="C1066" s="28" t="str">
        <f t="shared" si="49"/>
        <v/>
      </c>
      <c r="D1066" s="28" t="str">
        <f t="shared" si="50"/>
        <v/>
      </c>
      <c r="E1066" s="88"/>
      <c r="F1066" s="83"/>
    </row>
    <row r="1067" spans="1:6">
      <c r="A1067" s="10" t="str">
        <f t="shared" si="48"/>
        <v/>
      </c>
      <c r="B1067" s="53"/>
      <c r="C1067" s="28" t="str">
        <f t="shared" si="49"/>
        <v/>
      </c>
      <c r="D1067" s="28" t="str">
        <f t="shared" si="50"/>
        <v/>
      </c>
      <c r="E1067" s="88"/>
      <c r="F1067" s="83"/>
    </row>
    <row r="1068" spans="1:6">
      <c r="A1068" s="10" t="str">
        <f t="shared" si="48"/>
        <v/>
      </c>
      <c r="B1068" s="53"/>
      <c r="C1068" s="28" t="str">
        <f t="shared" si="49"/>
        <v/>
      </c>
      <c r="D1068" s="28" t="str">
        <f t="shared" si="50"/>
        <v/>
      </c>
      <c r="E1068" s="88"/>
      <c r="F1068" s="83"/>
    </row>
    <row r="1069" spans="1:6">
      <c r="A1069" s="10" t="str">
        <f t="shared" si="48"/>
        <v/>
      </c>
      <c r="B1069" s="53"/>
      <c r="C1069" s="28" t="str">
        <f t="shared" si="49"/>
        <v/>
      </c>
      <c r="D1069" s="28" t="str">
        <f t="shared" si="50"/>
        <v/>
      </c>
      <c r="E1069" s="88"/>
      <c r="F1069" s="83"/>
    </row>
    <row r="1070" spans="1:6">
      <c r="A1070" s="10" t="str">
        <f t="shared" si="48"/>
        <v/>
      </c>
      <c r="B1070" s="53"/>
      <c r="C1070" s="28" t="str">
        <f t="shared" si="49"/>
        <v/>
      </c>
      <c r="D1070" s="28" t="str">
        <f t="shared" si="50"/>
        <v/>
      </c>
      <c r="E1070" s="88"/>
      <c r="F1070" s="83"/>
    </row>
    <row r="1071" spans="1:6">
      <c r="A1071" s="10" t="str">
        <f t="shared" si="48"/>
        <v/>
      </c>
      <c r="B1071" s="53"/>
      <c r="C1071" s="28" t="str">
        <f t="shared" si="49"/>
        <v/>
      </c>
      <c r="D1071" s="28" t="str">
        <f t="shared" si="50"/>
        <v/>
      </c>
      <c r="E1071" s="88"/>
      <c r="F1071" s="83"/>
    </row>
    <row r="1072" spans="1:6">
      <c r="A1072" s="10" t="str">
        <f t="shared" si="48"/>
        <v/>
      </c>
      <c r="B1072" s="53"/>
      <c r="C1072" s="28" t="str">
        <f t="shared" si="49"/>
        <v/>
      </c>
      <c r="D1072" s="28" t="str">
        <f t="shared" si="50"/>
        <v/>
      </c>
      <c r="E1072" s="88"/>
      <c r="F1072" s="83"/>
    </row>
    <row r="1073" spans="1:6">
      <c r="A1073" s="10" t="str">
        <f t="shared" si="48"/>
        <v/>
      </c>
      <c r="B1073" s="53"/>
      <c r="C1073" s="28" t="str">
        <f t="shared" si="49"/>
        <v/>
      </c>
      <c r="D1073" s="28" t="str">
        <f t="shared" si="50"/>
        <v/>
      </c>
      <c r="E1073" s="88"/>
      <c r="F1073" s="83"/>
    </row>
    <row r="1074" spans="1:6">
      <c r="A1074" s="10" t="str">
        <f t="shared" si="48"/>
        <v/>
      </c>
      <c r="B1074" s="53"/>
      <c r="C1074" s="28" t="str">
        <f t="shared" si="49"/>
        <v/>
      </c>
      <c r="D1074" s="28" t="str">
        <f t="shared" si="50"/>
        <v/>
      </c>
      <c r="E1074" s="88"/>
      <c r="F1074" s="83"/>
    </row>
    <row r="1075" spans="1:6">
      <c r="A1075" s="10" t="str">
        <f t="shared" si="48"/>
        <v/>
      </c>
      <c r="B1075" s="53"/>
      <c r="C1075" s="28" t="str">
        <f t="shared" si="49"/>
        <v/>
      </c>
      <c r="D1075" s="28" t="str">
        <f t="shared" si="50"/>
        <v/>
      </c>
      <c r="E1075" s="88"/>
      <c r="F1075" s="83"/>
    </row>
    <row r="1076" spans="1:6">
      <c r="A1076" s="10" t="str">
        <f t="shared" si="48"/>
        <v/>
      </c>
      <c r="B1076" s="53"/>
      <c r="C1076" s="28" t="str">
        <f t="shared" si="49"/>
        <v/>
      </c>
      <c r="D1076" s="28" t="str">
        <f t="shared" si="50"/>
        <v/>
      </c>
      <c r="E1076" s="88"/>
      <c r="F1076" s="83"/>
    </row>
    <row r="1077" spans="1:6">
      <c r="A1077" s="10" t="str">
        <f t="shared" si="48"/>
        <v/>
      </c>
      <c r="B1077" s="53"/>
      <c r="C1077" s="28" t="str">
        <f t="shared" si="49"/>
        <v/>
      </c>
      <c r="D1077" s="28" t="str">
        <f t="shared" si="50"/>
        <v/>
      </c>
      <c r="E1077" s="88"/>
      <c r="F1077" s="83"/>
    </row>
    <row r="1078" spans="1:6">
      <c r="A1078" s="10" t="str">
        <f t="shared" si="48"/>
        <v/>
      </c>
      <c r="B1078" s="53"/>
      <c r="C1078" s="28" t="str">
        <f t="shared" si="49"/>
        <v/>
      </c>
      <c r="D1078" s="28" t="str">
        <f t="shared" si="50"/>
        <v/>
      </c>
      <c r="E1078" s="88"/>
      <c r="F1078" s="83"/>
    </row>
    <row r="1079" spans="1:6">
      <c r="A1079" s="10" t="str">
        <f t="shared" si="48"/>
        <v/>
      </c>
      <c r="B1079" s="53"/>
      <c r="C1079" s="28" t="str">
        <f t="shared" si="49"/>
        <v/>
      </c>
      <c r="D1079" s="28" t="str">
        <f t="shared" si="50"/>
        <v/>
      </c>
      <c r="E1079" s="88"/>
      <c r="F1079" s="83"/>
    </row>
    <row r="1080" spans="1:6">
      <c r="A1080" s="10" t="str">
        <f t="shared" si="48"/>
        <v/>
      </c>
      <c r="B1080" s="53"/>
      <c r="C1080" s="28" t="str">
        <f t="shared" si="49"/>
        <v/>
      </c>
      <c r="D1080" s="28" t="str">
        <f t="shared" si="50"/>
        <v/>
      </c>
      <c r="E1080" s="88"/>
      <c r="F1080" s="83"/>
    </row>
    <row r="1081" spans="1:6">
      <c r="A1081" s="10" t="str">
        <f t="shared" si="48"/>
        <v/>
      </c>
      <c r="B1081" s="53"/>
      <c r="C1081" s="28" t="str">
        <f t="shared" si="49"/>
        <v/>
      </c>
      <c r="D1081" s="28" t="str">
        <f t="shared" si="50"/>
        <v/>
      </c>
      <c r="E1081" s="88"/>
      <c r="F1081" s="83"/>
    </row>
    <row r="1082" spans="1:6">
      <c r="A1082" s="10" t="str">
        <f t="shared" si="48"/>
        <v/>
      </c>
      <c r="B1082" s="53"/>
      <c r="C1082" s="28" t="str">
        <f t="shared" si="49"/>
        <v/>
      </c>
      <c r="D1082" s="28" t="str">
        <f t="shared" si="50"/>
        <v/>
      </c>
      <c r="E1082" s="88"/>
      <c r="F1082" s="83"/>
    </row>
    <row r="1083" spans="1:6">
      <c r="A1083" s="10" t="str">
        <f t="shared" si="48"/>
        <v/>
      </c>
      <c r="B1083" s="53"/>
      <c r="C1083" s="28" t="str">
        <f t="shared" si="49"/>
        <v/>
      </c>
      <c r="D1083" s="28" t="str">
        <f t="shared" si="50"/>
        <v/>
      </c>
      <c r="E1083" s="88"/>
      <c r="F1083" s="83"/>
    </row>
    <row r="1084" spans="1:6">
      <c r="A1084" s="10" t="str">
        <f t="shared" si="48"/>
        <v/>
      </c>
      <c r="B1084" s="53"/>
      <c r="C1084" s="28" t="str">
        <f t="shared" si="49"/>
        <v/>
      </c>
      <c r="D1084" s="28" t="str">
        <f t="shared" si="50"/>
        <v/>
      </c>
      <c r="E1084" s="88"/>
      <c r="F1084" s="83"/>
    </row>
    <row r="1085" spans="1:6">
      <c r="A1085" s="10" t="str">
        <f t="shared" si="48"/>
        <v/>
      </c>
      <c r="B1085" s="53"/>
      <c r="C1085" s="28" t="str">
        <f t="shared" si="49"/>
        <v/>
      </c>
      <c r="D1085" s="28" t="str">
        <f t="shared" si="50"/>
        <v/>
      </c>
      <c r="E1085" s="88"/>
      <c r="F1085" s="83"/>
    </row>
    <row r="1086" spans="1:6">
      <c r="A1086" s="10" t="str">
        <f t="shared" si="48"/>
        <v/>
      </c>
      <c r="B1086" s="53"/>
      <c r="C1086" s="28" t="str">
        <f t="shared" si="49"/>
        <v/>
      </c>
      <c r="D1086" s="28" t="str">
        <f t="shared" si="50"/>
        <v/>
      </c>
      <c r="E1086" s="88"/>
      <c r="F1086" s="83"/>
    </row>
    <row r="1087" spans="1:6">
      <c r="A1087" s="10" t="str">
        <f t="shared" si="48"/>
        <v/>
      </c>
      <c r="B1087" s="53"/>
      <c r="C1087" s="28" t="str">
        <f t="shared" si="49"/>
        <v/>
      </c>
      <c r="D1087" s="28" t="str">
        <f t="shared" si="50"/>
        <v/>
      </c>
      <c r="E1087" s="88"/>
      <c r="F1087" s="83"/>
    </row>
    <row r="1088" spans="1:6">
      <c r="A1088" s="10" t="str">
        <f t="shared" si="48"/>
        <v/>
      </c>
      <c r="B1088" s="53"/>
      <c r="C1088" s="28" t="str">
        <f t="shared" si="49"/>
        <v/>
      </c>
      <c r="D1088" s="28" t="str">
        <f t="shared" si="50"/>
        <v/>
      </c>
      <c r="E1088" s="88"/>
      <c r="F1088" s="83"/>
    </row>
    <row r="1089" spans="1:6">
      <c r="A1089" s="10" t="str">
        <f t="shared" si="48"/>
        <v/>
      </c>
      <c r="B1089" s="53"/>
      <c r="C1089" s="28" t="str">
        <f t="shared" si="49"/>
        <v/>
      </c>
      <c r="D1089" s="28" t="str">
        <f t="shared" si="50"/>
        <v/>
      </c>
      <c r="E1089" s="88"/>
      <c r="F1089" s="83"/>
    </row>
    <row r="1090" spans="1:6">
      <c r="A1090" s="10" t="str">
        <f t="shared" si="48"/>
        <v/>
      </c>
      <c r="B1090" s="53"/>
      <c r="C1090" s="28" t="str">
        <f t="shared" si="49"/>
        <v/>
      </c>
      <c r="D1090" s="28" t="str">
        <f t="shared" si="50"/>
        <v/>
      </c>
      <c r="E1090" s="88"/>
      <c r="F1090" s="83"/>
    </row>
    <row r="1091" spans="1:6">
      <c r="A1091" s="10" t="str">
        <f t="shared" ref="A1091:A1154" si="51">IF(E1091&gt;0,A1090+1,"")</f>
        <v/>
      </c>
      <c r="B1091" s="53"/>
      <c r="C1091" s="28" t="str">
        <f t="shared" ref="C1091:C1154" si="52">IF(B1091=0,"",TEXT(B1091,"mmmm"))</f>
        <v/>
      </c>
      <c r="D1091" s="28" t="str">
        <f t="shared" ref="D1091:D1154" si="53">IF(B1091=0,"",TEXT(B1091,"yyyy"))</f>
        <v/>
      </c>
      <c r="E1091" s="88"/>
      <c r="F1091" s="83"/>
    </row>
    <row r="1092" spans="1:6">
      <c r="A1092" s="10" t="str">
        <f t="shared" si="51"/>
        <v/>
      </c>
      <c r="B1092" s="53"/>
      <c r="C1092" s="28" t="str">
        <f t="shared" si="52"/>
        <v/>
      </c>
      <c r="D1092" s="28" t="str">
        <f t="shared" si="53"/>
        <v/>
      </c>
      <c r="E1092" s="88"/>
      <c r="F1092" s="83"/>
    </row>
    <row r="1093" spans="1:6">
      <c r="A1093" s="10" t="str">
        <f t="shared" si="51"/>
        <v/>
      </c>
      <c r="B1093" s="53"/>
      <c r="C1093" s="28" t="str">
        <f t="shared" si="52"/>
        <v/>
      </c>
      <c r="D1093" s="28" t="str">
        <f t="shared" si="53"/>
        <v/>
      </c>
      <c r="E1093" s="88"/>
      <c r="F1093" s="83"/>
    </row>
    <row r="1094" spans="1:6">
      <c r="A1094" s="10" t="str">
        <f t="shared" si="51"/>
        <v/>
      </c>
      <c r="B1094" s="53"/>
      <c r="C1094" s="28" t="str">
        <f t="shared" si="52"/>
        <v/>
      </c>
      <c r="D1094" s="28" t="str">
        <f t="shared" si="53"/>
        <v/>
      </c>
      <c r="E1094" s="88"/>
      <c r="F1094" s="83"/>
    </row>
    <row r="1095" spans="1:6">
      <c r="A1095" s="10" t="str">
        <f t="shared" si="51"/>
        <v/>
      </c>
      <c r="B1095" s="53"/>
      <c r="C1095" s="28" t="str">
        <f t="shared" si="52"/>
        <v/>
      </c>
      <c r="D1095" s="28" t="str">
        <f t="shared" si="53"/>
        <v/>
      </c>
      <c r="E1095" s="88"/>
      <c r="F1095" s="83"/>
    </row>
    <row r="1096" spans="1:6">
      <c r="A1096" s="10" t="str">
        <f t="shared" si="51"/>
        <v/>
      </c>
      <c r="B1096" s="53"/>
      <c r="C1096" s="28" t="str">
        <f t="shared" si="52"/>
        <v/>
      </c>
      <c r="D1096" s="28" t="str">
        <f t="shared" si="53"/>
        <v/>
      </c>
      <c r="E1096" s="88"/>
      <c r="F1096" s="83"/>
    </row>
    <row r="1097" spans="1:6">
      <c r="A1097" s="10" t="str">
        <f t="shared" si="51"/>
        <v/>
      </c>
      <c r="B1097" s="53"/>
      <c r="C1097" s="28" t="str">
        <f t="shared" si="52"/>
        <v/>
      </c>
      <c r="D1097" s="28" t="str">
        <f t="shared" si="53"/>
        <v/>
      </c>
      <c r="E1097" s="88"/>
      <c r="F1097" s="83"/>
    </row>
    <row r="1098" spans="1:6">
      <c r="A1098" s="10" t="str">
        <f t="shared" si="51"/>
        <v/>
      </c>
      <c r="B1098" s="53"/>
      <c r="C1098" s="28" t="str">
        <f t="shared" si="52"/>
        <v/>
      </c>
      <c r="D1098" s="28" t="str">
        <f t="shared" si="53"/>
        <v/>
      </c>
      <c r="E1098" s="88"/>
      <c r="F1098" s="83"/>
    </row>
    <row r="1099" spans="1:6">
      <c r="A1099" s="10" t="str">
        <f t="shared" si="51"/>
        <v/>
      </c>
      <c r="B1099" s="53"/>
      <c r="C1099" s="28" t="str">
        <f t="shared" si="52"/>
        <v/>
      </c>
      <c r="D1099" s="28" t="str">
        <f t="shared" si="53"/>
        <v/>
      </c>
      <c r="E1099" s="88"/>
      <c r="F1099" s="83"/>
    </row>
    <row r="1100" spans="1:6">
      <c r="A1100" s="10" t="str">
        <f t="shared" si="51"/>
        <v/>
      </c>
      <c r="B1100" s="53"/>
      <c r="C1100" s="28" t="str">
        <f t="shared" si="52"/>
        <v/>
      </c>
      <c r="D1100" s="28" t="str">
        <f t="shared" si="53"/>
        <v/>
      </c>
      <c r="E1100" s="88"/>
      <c r="F1100" s="83"/>
    </row>
    <row r="1101" spans="1:6">
      <c r="A1101" s="10" t="str">
        <f t="shared" si="51"/>
        <v/>
      </c>
      <c r="B1101" s="53"/>
      <c r="C1101" s="28" t="str">
        <f t="shared" si="52"/>
        <v/>
      </c>
      <c r="D1101" s="28" t="str">
        <f t="shared" si="53"/>
        <v/>
      </c>
      <c r="E1101" s="88"/>
      <c r="F1101" s="83"/>
    </row>
    <row r="1102" spans="1:6">
      <c r="A1102" s="10" t="str">
        <f t="shared" si="51"/>
        <v/>
      </c>
      <c r="B1102" s="53"/>
      <c r="C1102" s="28" t="str">
        <f t="shared" si="52"/>
        <v/>
      </c>
      <c r="D1102" s="28" t="str">
        <f t="shared" si="53"/>
        <v/>
      </c>
      <c r="E1102" s="88"/>
      <c r="F1102" s="83"/>
    </row>
    <row r="1103" spans="1:6">
      <c r="A1103" s="10" t="str">
        <f t="shared" si="51"/>
        <v/>
      </c>
      <c r="B1103" s="53"/>
      <c r="C1103" s="28" t="str">
        <f t="shared" si="52"/>
        <v/>
      </c>
      <c r="D1103" s="28" t="str">
        <f t="shared" si="53"/>
        <v/>
      </c>
      <c r="E1103" s="88"/>
      <c r="F1103" s="83"/>
    </row>
    <row r="1104" spans="1:6">
      <c r="A1104" s="10" t="str">
        <f t="shared" si="51"/>
        <v/>
      </c>
      <c r="B1104" s="53"/>
      <c r="C1104" s="28" t="str">
        <f t="shared" si="52"/>
        <v/>
      </c>
      <c r="D1104" s="28" t="str">
        <f t="shared" si="53"/>
        <v/>
      </c>
      <c r="E1104" s="88"/>
      <c r="F1104" s="83"/>
    </row>
    <row r="1105" spans="1:6">
      <c r="A1105" s="10" t="str">
        <f t="shared" si="51"/>
        <v/>
      </c>
      <c r="B1105" s="53"/>
      <c r="C1105" s="28" t="str">
        <f t="shared" si="52"/>
        <v/>
      </c>
      <c r="D1105" s="28" t="str">
        <f t="shared" si="53"/>
        <v/>
      </c>
      <c r="E1105" s="88"/>
      <c r="F1105" s="83"/>
    </row>
    <row r="1106" spans="1:6">
      <c r="A1106" s="10" t="str">
        <f t="shared" si="51"/>
        <v/>
      </c>
      <c r="B1106" s="53"/>
      <c r="C1106" s="28" t="str">
        <f t="shared" si="52"/>
        <v/>
      </c>
      <c r="D1106" s="28" t="str">
        <f t="shared" si="53"/>
        <v/>
      </c>
      <c r="E1106" s="88"/>
      <c r="F1106" s="83"/>
    </row>
    <row r="1107" spans="1:6">
      <c r="A1107" s="10" t="str">
        <f t="shared" si="51"/>
        <v/>
      </c>
      <c r="B1107" s="53"/>
      <c r="C1107" s="28" t="str">
        <f t="shared" si="52"/>
        <v/>
      </c>
      <c r="D1107" s="28" t="str">
        <f t="shared" si="53"/>
        <v/>
      </c>
      <c r="E1107" s="88"/>
      <c r="F1107" s="83"/>
    </row>
    <row r="1108" spans="1:6">
      <c r="A1108" s="10" t="str">
        <f t="shared" si="51"/>
        <v/>
      </c>
      <c r="B1108" s="53"/>
      <c r="C1108" s="28" t="str">
        <f t="shared" si="52"/>
        <v/>
      </c>
      <c r="D1108" s="28" t="str">
        <f t="shared" si="53"/>
        <v/>
      </c>
      <c r="E1108" s="88"/>
      <c r="F1108" s="83"/>
    </row>
    <row r="1109" spans="1:6">
      <c r="A1109" s="10" t="str">
        <f t="shared" si="51"/>
        <v/>
      </c>
      <c r="B1109" s="53"/>
      <c r="C1109" s="28" t="str">
        <f t="shared" si="52"/>
        <v/>
      </c>
      <c r="D1109" s="28" t="str">
        <f t="shared" si="53"/>
        <v/>
      </c>
      <c r="E1109" s="88"/>
      <c r="F1109" s="83"/>
    </row>
    <row r="1110" spans="1:6">
      <c r="A1110" s="10" t="str">
        <f t="shared" si="51"/>
        <v/>
      </c>
      <c r="B1110" s="53"/>
      <c r="C1110" s="28" t="str">
        <f t="shared" si="52"/>
        <v/>
      </c>
      <c r="D1110" s="28" t="str">
        <f t="shared" si="53"/>
        <v/>
      </c>
      <c r="E1110" s="88"/>
      <c r="F1110" s="83"/>
    </row>
    <row r="1111" spans="1:6">
      <c r="A1111" s="10" t="str">
        <f t="shared" si="51"/>
        <v/>
      </c>
      <c r="B1111" s="53"/>
      <c r="C1111" s="28" t="str">
        <f t="shared" si="52"/>
        <v/>
      </c>
      <c r="D1111" s="28" t="str">
        <f t="shared" si="53"/>
        <v/>
      </c>
      <c r="E1111" s="88"/>
      <c r="F1111" s="83"/>
    </row>
    <row r="1112" spans="1:6">
      <c r="A1112" s="10" t="str">
        <f t="shared" si="51"/>
        <v/>
      </c>
      <c r="B1112" s="53"/>
      <c r="C1112" s="28" t="str">
        <f t="shared" si="52"/>
        <v/>
      </c>
      <c r="D1112" s="28" t="str">
        <f t="shared" si="53"/>
        <v/>
      </c>
      <c r="E1112" s="88"/>
      <c r="F1112" s="83"/>
    </row>
    <row r="1113" spans="1:6">
      <c r="A1113" s="10" t="str">
        <f t="shared" si="51"/>
        <v/>
      </c>
      <c r="B1113" s="53"/>
      <c r="C1113" s="28" t="str">
        <f t="shared" si="52"/>
        <v/>
      </c>
      <c r="D1113" s="28" t="str">
        <f t="shared" si="53"/>
        <v/>
      </c>
      <c r="E1113" s="88"/>
      <c r="F1113" s="83"/>
    </row>
    <row r="1114" spans="1:6">
      <c r="A1114" s="10" t="str">
        <f t="shared" si="51"/>
        <v/>
      </c>
      <c r="B1114" s="53"/>
      <c r="C1114" s="28" t="str">
        <f t="shared" si="52"/>
        <v/>
      </c>
      <c r="D1114" s="28" t="str">
        <f t="shared" si="53"/>
        <v/>
      </c>
      <c r="E1114" s="88"/>
      <c r="F1114" s="83"/>
    </row>
    <row r="1115" spans="1:6">
      <c r="A1115" s="10" t="str">
        <f t="shared" si="51"/>
        <v/>
      </c>
      <c r="B1115" s="53"/>
      <c r="C1115" s="28" t="str">
        <f t="shared" si="52"/>
        <v/>
      </c>
      <c r="D1115" s="28" t="str">
        <f t="shared" si="53"/>
        <v/>
      </c>
      <c r="E1115" s="88"/>
      <c r="F1115" s="83"/>
    </row>
    <row r="1116" spans="1:6">
      <c r="A1116" s="10" t="str">
        <f t="shared" si="51"/>
        <v/>
      </c>
      <c r="B1116" s="53"/>
      <c r="C1116" s="28" t="str">
        <f t="shared" si="52"/>
        <v/>
      </c>
      <c r="D1116" s="28" t="str">
        <f t="shared" si="53"/>
        <v/>
      </c>
      <c r="E1116" s="88"/>
      <c r="F1116" s="83"/>
    </row>
    <row r="1117" spans="1:6">
      <c r="A1117" s="10" t="str">
        <f t="shared" si="51"/>
        <v/>
      </c>
      <c r="B1117" s="53"/>
      <c r="C1117" s="28" t="str">
        <f t="shared" si="52"/>
        <v/>
      </c>
      <c r="D1117" s="28" t="str">
        <f t="shared" si="53"/>
        <v/>
      </c>
      <c r="E1117" s="88"/>
      <c r="F1117" s="83"/>
    </row>
    <row r="1118" spans="1:6">
      <c r="A1118" s="10" t="str">
        <f t="shared" si="51"/>
        <v/>
      </c>
      <c r="B1118" s="53"/>
      <c r="C1118" s="28" t="str">
        <f t="shared" si="52"/>
        <v/>
      </c>
      <c r="D1118" s="28" t="str">
        <f t="shared" si="53"/>
        <v/>
      </c>
      <c r="E1118" s="88"/>
      <c r="F1118" s="83"/>
    </row>
    <row r="1119" spans="1:6">
      <c r="A1119" s="10" t="str">
        <f t="shared" si="51"/>
        <v/>
      </c>
      <c r="B1119" s="53"/>
      <c r="C1119" s="28" t="str">
        <f t="shared" si="52"/>
        <v/>
      </c>
      <c r="D1119" s="28" t="str">
        <f t="shared" si="53"/>
        <v/>
      </c>
      <c r="E1119" s="88"/>
      <c r="F1119" s="83"/>
    </row>
    <row r="1120" spans="1:6">
      <c r="A1120" s="10" t="str">
        <f t="shared" si="51"/>
        <v/>
      </c>
      <c r="B1120" s="53"/>
      <c r="C1120" s="28" t="str">
        <f t="shared" si="52"/>
        <v/>
      </c>
      <c r="D1120" s="28" t="str">
        <f t="shared" si="53"/>
        <v/>
      </c>
      <c r="E1120" s="88"/>
      <c r="F1120" s="83"/>
    </row>
    <row r="1121" spans="1:6">
      <c r="A1121" s="10" t="str">
        <f t="shared" si="51"/>
        <v/>
      </c>
      <c r="B1121" s="53"/>
      <c r="C1121" s="28" t="str">
        <f t="shared" si="52"/>
        <v/>
      </c>
      <c r="D1121" s="28" t="str">
        <f t="shared" si="53"/>
        <v/>
      </c>
      <c r="E1121" s="88"/>
      <c r="F1121" s="83"/>
    </row>
    <row r="1122" spans="1:6">
      <c r="A1122" s="10" t="str">
        <f t="shared" si="51"/>
        <v/>
      </c>
      <c r="B1122" s="53"/>
      <c r="C1122" s="28" t="str">
        <f t="shared" si="52"/>
        <v/>
      </c>
      <c r="D1122" s="28" t="str">
        <f t="shared" si="53"/>
        <v/>
      </c>
      <c r="E1122" s="88"/>
      <c r="F1122" s="83"/>
    </row>
    <row r="1123" spans="1:6">
      <c r="A1123" s="10" t="str">
        <f t="shared" si="51"/>
        <v/>
      </c>
      <c r="B1123" s="53"/>
      <c r="C1123" s="28" t="str">
        <f t="shared" si="52"/>
        <v/>
      </c>
      <c r="D1123" s="28" t="str">
        <f t="shared" si="53"/>
        <v/>
      </c>
      <c r="E1123" s="88"/>
      <c r="F1123" s="83"/>
    </row>
    <row r="1124" spans="1:6">
      <c r="A1124" s="10" t="str">
        <f t="shared" si="51"/>
        <v/>
      </c>
      <c r="B1124" s="53"/>
      <c r="C1124" s="28" t="str">
        <f t="shared" si="52"/>
        <v/>
      </c>
      <c r="D1124" s="28" t="str">
        <f t="shared" si="53"/>
        <v/>
      </c>
      <c r="E1124" s="88"/>
      <c r="F1124" s="83"/>
    </row>
    <row r="1125" spans="1:6">
      <c r="A1125" s="10" t="str">
        <f t="shared" si="51"/>
        <v/>
      </c>
      <c r="B1125" s="53"/>
      <c r="C1125" s="28" t="str">
        <f t="shared" si="52"/>
        <v/>
      </c>
      <c r="D1125" s="28" t="str">
        <f t="shared" si="53"/>
        <v/>
      </c>
      <c r="E1125" s="88"/>
      <c r="F1125" s="83"/>
    </row>
    <row r="1126" spans="1:6">
      <c r="A1126" s="10" t="str">
        <f t="shared" si="51"/>
        <v/>
      </c>
      <c r="B1126" s="53"/>
      <c r="C1126" s="28" t="str">
        <f t="shared" si="52"/>
        <v/>
      </c>
      <c r="D1126" s="28" t="str">
        <f t="shared" si="53"/>
        <v/>
      </c>
      <c r="E1126" s="88"/>
      <c r="F1126" s="83"/>
    </row>
    <row r="1127" spans="1:6">
      <c r="A1127" s="10" t="str">
        <f t="shared" si="51"/>
        <v/>
      </c>
      <c r="B1127" s="53"/>
      <c r="C1127" s="28" t="str">
        <f t="shared" si="52"/>
        <v/>
      </c>
      <c r="D1127" s="28" t="str">
        <f t="shared" si="53"/>
        <v/>
      </c>
      <c r="E1127" s="88"/>
      <c r="F1127" s="83"/>
    </row>
    <row r="1128" spans="1:6">
      <c r="A1128" s="10" t="str">
        <f t="shared" si="51"/>
        <v/>
      </c>
      <c r="B1128" s="53"/>
      <c r="C1128" s="28" t="str">
        <f t="shared" si="52"/>
        <v/>
      </c>
      <c r="D1128" s="28" t="str">
        <f t="shared" si="53"/>
        <v/>
      </c>
      <c r="E1128" s="88"/>
      <c r="F1128" s="83"/>
    </row>
    <row r="1129" spans="1:6">
      <c r="A1129" s="10" t="str">
        <f t="shared" si="51"/>
        <v/>
      </c>
      <c r="B1129" s="53"/>
      <c r="C1129" s="28" t="str">
        <f t="shared" si="52"/>
        <v/>
      </c>
      <c r="D1129" s="28" t="str">
        <f t="shared" si="53"/>
        <v/>
      </c>
      <c r="E1129" s="88"/>
      <c r="F1129" s="83"/>
    </row>
    <row r="1130" spans="1:6">
      <c r="A1130" s="10" t="str">
        <f t="shared" si="51"/>
        <v/>
      </c>
      <c r="B1130" s="53"/>
      <c r="C1130" s="28" t="str">
        <f t="shared" si="52"/>
        <v/>
      </c>
      <c r="D1130" s="28" t="str">
        <f t="shared" si="53"/>
        <v/>
      </c>
      <c r="E1130" s="88"/>
      <c r="F1130" s="83"/>
    </row>
    <row r="1131" spans="1:6">
      <c r="A1131" s="10" t="str">
        <f t="shared" si="51"/>
        <v/>
      </c>
      <c r="B1131" s="53"/>
      <c r="C1131" s="28" t="str">
        <f t="shared" si="52"/>
        <v/>
      </c>
      <c r="D1131" s="28" t="str">
        <f t="shared" si="53"/>
        <v/>
      </c>
      <c r="E1131" s="88"/>
      <c r="F1131" s="83"/>
    </row>
    <row r="1132" spans="1:6">
      <c r="A1132" s="10" t="str">
        <f t="shared" si="51"/>
        <v/>
      </c>
      <c r="B1132" s="53"/>
      <c r="C1132" s="28" t="str">
        <f t="shared" si="52"/>
        <v/>
      </c>
      <c r="D1132" s="28" t="str">
        <f t="shared" si="53"/>
        <v/>
      </c>
      <c r="E1132" s="88"/>
      <c r="F1132" s="83"/>
    </row>
    <row r="1133" spans="1:6">
      <c r="A1133" s="10" t="str">
        <f t="shared" si="51"/>
        <v/>
      </c>
      <c r="B1133" s="53"/>
      <c r="C1133" s="28" t="str">
        <f t="shared" si="52"/>
        <v/>
      </c>
      <c r="D1133" s="28" t="str">
        <f t="shared" si="53"/>
        <v/>
      </c>
      <c r="E1133" s="88"/>
      <c r="F1133" s="83"/>
    </row>
    <row r="1134" spans="1:6">
      <c r="A1134" s="10" t="str">
        <f t="shared" si="51"/>
        <v/>
      </c>
      <c r="B1134" s="53"/>
      <c r="C1134" s="28" t="str">
        <f t="shared" si="52"/>
        <v/>
      </c>
      <c r="D1134" s="28" t="str">
        <f t="shared" si="53"/>
        <v/>
      </c>
      <c r="E1134" s="88"/>
      <c r="F1134" s="83"/>
    </row>
    <row r="1135" spans="1:6">
      <c r="A1135" s="10" t="str">
        <f t="shared" si="51"/>
        <v/>
      </c>
      <c r="B1135" s="53"/>
      <c r="C1135" s="28" t="str">
        <f t="shared" si="52"/>
        <v/>
      </c>
      <c r="D1135" s="28" t="str">
        <f t="shared" si="53"/>
        <v/>
      </c>
      <c r="E1135" s="88"/>
      <c r="F1135" s="83"/>
    </row>
    <row r="1136" spans="1:6">
      <c r="A1136" s="10" t="str">
        <f t="shared" si="51"/>
        <v/>
      </c>
      <c r="B1136" s="53"/>
      <c r="C1136" s="28" t="str">
        <f t="shared" si="52"/>
        <v/>
      </c>
      <c r="D1136" s="28" t="str">
        <f t="shared" si="53"/>
        <v/>
      </c>
      <c r="E1136" s="88"/>
      <c r="F1136" s="83"/>
    </row>
    <row r="1137" spans="1:6">
      <c r="A1137" s="10" t="str">
        <f t="shared" si="51"/>
        <v/>
      </c>
      <c r="B1137" s="53"/>
      <c r="C1137" s="28" t="str">
        <f t="shared" si="52"/>
        <v/>
      </c>
      <c r="D1137" s="28" t="str">
        <f t="shared" si="53"/>
        <v/>
      </c>
      <c r="E1137" s="88"/>
      <c r="F1137" s="83"/>
    </row>
    <row r="1138" spans="1:6">
      <c r="A1138" s="10" t="str">
        <f t="shared" si="51"/>
        <v/>
      </c>
      <c r="B1138" s="53"/>
      <c r="C1138" s="28" t="str">
        <f t="shared" si="52"/>
        <v/>
      </c>
      <c r="D1138" s="28" t="str">
        <f t="shared" si="53"/>
        <v/>
      </c>
      <c r="E1138" s="88"/>
      <c r="F1138" s="83"/>
    </row>
    <row r="1139" spans="1:6">
      <c r="A1139" s="10" t="str">
        <f t="shared" si="51"/>
        <v/>
      </c>
      <c r="B1139" s="53"/>
      <c r="C1139" s="28" t="str">
        <f t="shared" si="52"/>
        <v/>
      </c>
      <c r="D1139" s="28" t="str">
        <f t="shared" si="53"/>
        <v/>
      </c>
      <c r="E1139" s="88"/>
      <c r="F1139" s="83"/>
    </row>
    <row r="1140" spans="1:6">
      <c r="A1140" s="10" t="str">
        <f t="shared" si="51"/>
        <v/>
      </c>
      <c r="B1140" s="53"/>
      <c r="C1140" s="28" t="str">
        <f t="shared" si="52"/>
        <v/>
      </c>
      <c r="D1140" s="28" t="str">
        <f t="shared" si="53"/>
        <v/>
      </c>
      <c r="E1140" s="88"/>
      <c r="F1140" s="83"/>
    </row>
    <row r="1141" spans="1:6">
      <c r="A1141" s="10" t="str">
        <f t="shared" si="51"/>
        <v/>
      </c>
      <c r="B1141" s="53"/>
      <c r="C1141" s="28" t="str">
        <f t="shared" si="52"/>
        <v/>
      </c>
      <c r="D1141" s="28" t="str">
        <f t="shared" si="53"/>
        <v/>
      </c>
      <c r="E1141" s="88"/>
      <c r="F1141" s="83"/>
    </row>
    <row r="1142" spans="1:6">
      <c r="A1142" s="10" t="str">
        <f t="shared" si="51"/>
        <v/>
      </c>
      <c r="B1142" s="53"/>
      <c r="C1142" s="28" t="str">
        <f t="shared" si="52"/>
        <v/>
      </c>
      <c r="D1142" s="28" t="str">
        <f t="shared" si="53"/>
        <v/>
      </c>
      <c r="E1142" s="88"/>
      <c r="F1142" s="83"/>
    </row>
    <row r="1143" spans="1:6">
      <c r="A1143" s="10" t="str">
        <f t="shared" si="51"/>
        <v/>
      </c>
      <c r="B1143" s="53"/>
      <c r="C1143" s="28" t="str">
        <f t="shared" si="52"/>
        <v/>
      </c>
      <c r="D1143" s="28" t="str">
        <f t="shared" si="53"/>
        <v/>
      </c>
      <c r="E1143" s="88"/>
      <c r="F1143" s="83"/>
    </row>
    <row r="1144" spans="1:6">
      <c r="A1144" s="10" t="str">
        <f t="shared" si="51"/>
        <v/>
      </c>
      <c r="B1144" s="53"/>
      <c r="C1144" s="28" t="str">
        <f t="shared" si="52"/>
        <v/>
      </c>
      <c r="D1144" s="28" t="str">
        <f t="shared" si="53"/>
        <v/>
      </c>
      <c r="E1144" s="88"/>
      <c r="F1144" s="83"/>
    </row>
    <row r="1145" spans="1:6">
      <c r="A1145" s="10" t="str">
        <f t="shared" si="51"/>
        <v/>
      </c>
      <c r="B1145" s="53"/>
      <c r="C1145" s="28" t="str">
        <f t="shared" si="52"/>
        <v/>
      </c>
      <c r="D1145" s="28" t="str">
        <f t="shared" si="53"/>
        <v/>
      </c>
      <c r="E1145" s="88"/>
      <c r="F1145" s="83"/>
    </row>
    <row r="1146" spans="1:6">
      <c r="A1146" s="10" t="str">
        <f t="shared" si="51"/>
        <v/>
      </c>
      <c r="B1146" s="53"/>
      <c r="C1146" s="28" t="str">
        <f t="shared" si="52"/>
        <v/>
      </c>
      <c r="D1146" s="28" t="str">
        <f t="shared" si="53"/>
        <v/>
      </c>
      <c r="E1146" s="88"/>
      <c r="F1146" s="83"/>
    </row>
    <row r="1147" spans="1:6">
      <c r="A1147" s="10" t="str">
        <f t="shared" si="51"/>
        <v/>
      </c>
      <c r="B1147" s="53"/>
      <c r="C1147" s="28" t="str">
        <f t="shared" si="52"/>
        <v/>
      </c>
      <c r="D1147" s="28" t="str">
        <f t="shared" si="53"/>
        <v/>
      </c>
      <c r="E1147" s="88"/>
      <c r="F1147" s="83"/>
    </row>
    <row r="1148" spans="1:6">
      <c r="A1148" s="10" t="str">
        <f t="shared" si="51"/>
        <v/>
      </c>
      <c r="B1148" s="53"/>
      <c r="C1148" s="28" t="str">
        <f t="shared" si="52"/>
        <v/>
      </c>
      <c r="D1148" s="28" t="str">
        <f t="shared" si="53"/>
        <v/>
      </c>
      <c r="E1148" s="88"/>
      <c r="F1148" s="83"/>
    </row>
    <row r="1149" spans="1:6">
      <c r="A1149" s="10" t="str">
        <f t="shared" si="51"/>
        <v/>
      </c>
      <c r="B1149" s="53"/>
      <c r="C1149" s="28" t="str">
        <f t="shared" si="52"/>
        <v/>
      </c>
      <c r="D1149" s="28" t="str">
        <f t="shared" si="53"/>
        <v/>
      </c>
      <c r="E1149" s="88"/>
      <c r="F1149" s="83"/>
    </row>
    <row r="1150" spans="1:6">
      <c r="A1150" s="10" t="str">
        <f t="shared" si="51"/>
        <v/>
      </c>
      <c r="B1150" s="53"/>
      <c r="C1150" s="28" t="str">
        <f t="shared" si="52"/>
        <v/>
      </c>
      <c r="D1150" s="28" t="str">
        <f t="shared" si="53"/>
        <v/>
      </c>
      <c r="E1150" s="88"/>
      <c r="F1150" s="83"/>
    </row>
    <row r="1151" spans="1:6">
      <c r="A1151" s="10" t="str">
        <f t="shared" si="51"/>
        <v/>
      </c>
      <c r="B1151" s="53"/>
      <c r="C1151" s="28" t="str">
        <f t="shared" si="52"/>
        <v/>
      </c>
      <c r="D1151" s="28" t="str">
        <f t="shared" si="53"/>
        <v/>
      </c>
      <c r="E1151" s="88"/>
      <c r="F1151" s="83"/>
    </row>
    <row r="1152" spans="1:6">
      <c r="A1152" s="10" t="str">
        <f t="shared" si="51"/>
        <v/>
      </c>
      <c r="B1152" s="53"/>
      <c r="C1152" s="28" t="str">
        <f t="shared" si="52"/>
        <v/>
      </c>
      <c r="D1152" s="28" t="str">
        <f t="shared" si="53"/>
        <v/>
      </c>
      <c r="E1152" s="88"/>
      <c r="F1152" s="83"/>
    </row>
    <row r="1153" spans="1:6">
      <c r="A1153" s="10" t="str">
        <f t="shared" si="51"/>
        <v/>
      </c>
      <c r="B1153" s="53"/>
      <c r="C1153" s="28" t="str">
        <f t="shared" si="52"/>
        <v/>
      </c>
      <c r="D1153" s="28" t="str">
        <f t="shared" si="53"/>
        <v/>
      </c>
      <c r="E1153" s="88"/>
      <c r="F1153" s="83"/>
    </row>
    <row r="1154" spans="1:6">
      <c r="A1154" s="10" t="str">
        <f t="shared" si="51"/>
        <v/>
      </c>
      <c r="B1154" s="53"/>
      <c r="C1154" s="28" t="str">
        <f t="shared" si="52"/>
        <v/>
      </c>
      <c r="D1154" s="28" t="str">
        <f t="shared" si="53"/>
        <v/>
      </c>
      <c r="E1154" s="88"/>
      <c r="F1154" s="83"/>
    </row>
    <row r="1155" spans="1:6">
      <c r="A1155" s="10" t="str">
        <f t="shared" ref="A1155:A1218" si="54">IF(E1155&gt;0,A1154+1,"")</f>
        <v/>
      </c>
      <c r="B1155" s="53"/>
      <c r="C1155" s="28" t="str">
        <f t="shared" ref="C1155:C1218" si="55">IF(B1155=0,"",TEXT(B1155,"mmmm"))</f>
        <v/>
      </c>
      <c r="D1155" s="28" t="str">
        <f t="shared" ref="D1155:D1218" si="56">IF(B1155=0,"",TEXT(B1155,"yyyy"))</f>
        <v/>
      </c>
      <c r="E1155" s="88"/>
      <c r="F1155" s="83"/>
    </row>
    <row r="1156" spans="1:6">
      <c r="A1156" s="10" t="str">
        <f t="shared" si="54"/>
        <v/>
      </c>
      <c r="B1156" s="53"/>
      <c r="C1156" s="28" t="str">
        <f t="shared" si="55"/>
        <v/>
      </c>
      <c r="D1156" s="28" t="str">
        <f t="shared" si="56"/>
        <v/>
      </c>
      <c r="E1156" s="88"/>
      <c r="F1156" s="83"/>
    </row>
    <row r="1157" spans="1:6">
      <c r="A1157" s="10" t="str">
        <f t="shared" si="54"/>
        <v/>
      </c>
      <c r="B1157" s="53"/>
      <c r="C1157" s="28" t="str">
        <f t="shared" si="55"/>
        <v/>
      </c>
      <c r="D1157" s="28" t="str">
        <f t="shared" si="56"/>
        <v/>
      </c>
      <c r="E1157" s="88"/>
      <c r="F1157" s="83"/>
    </row>
    <row r="1158" spans="1:6">
      <c r="A1158" s="10" t="str">
        <f t="shared" si="54"/>
        <v/>
      </c>
      <c r="B1158" s="53"/>
      <c r="C1158" s="28" t="str">
        <f t="shared" si="55"/>
        <v/>
      </c>
      <c r="D1158" s="28" t="str">
        <f t="shared" si="56"/>
        <v/>
      </c>
      <c r="E1158" s="88"/>
      <c r="F1158" s="83"/>
    </row>
    <row r="1159" spans="1:6">
      <c r="A1159" s="10" t="str">
        <f t="shared" si="54"/>
        <v/>
      </c>
      <c r="B1159" s="53"/>
      <c r="C1159" s="28" t="str">
        <f t="shared" si="55"/>
        <v/>
      </c>
      <c r="D1159" s="28" t="str">
        <f t="shared" si="56"/>
        <v/>
      </c>
      <c r="E1159" s="88"/>
      <c r="F1159" s="83"/>
    </row>
    <row r="1160" spans="1:6">
      <c r="A1160" s="10" t="str">
        <f t="shared" si="54"/>
        <v/>
      </c>
      <c r="B1160" s="53"/>
      <c r="C1160" s="28" t="str">
        <f t="shared" si="55"/>
        <v/>
      </c>
      <c r="D1160" s="28" t="str">
        <f t="shared" si="56"/>
        <v/>
      </c>
      <c r="E1160" s="88"/>
      <c r="F1160" s="83"/>
    </row>
    <row r="1161" spans="1:6">
      <c r="A1161" s="10" t="str">
        <f t="shared" si="54"/>
        <v/>
      </c>
      <c r="B1161" s="53"/>
      <c r="C1161" s="28" t="str">
        <f t="shared" si="55"/>
        <v/>
      </c>
      <c r="D1161" s="28" t="str">
        <f t="shared" si="56"/>
        <v/>
      </c>
      <c r="E1161" s="88"/>
      <c r="F1161" s="83"/>
    </row>
    <row r="1162" spans="1:6">
      <c r="A1162" s="10" t="str">
        <f t="shared" si="54"/>
        <v/>
      </c>
      <c r="B1162" s="53"/>
      <c r="C1162" s="28" t="str">
        <f t="shared" si="55"/>
        <v/>
      </c>
      <c r="D1162" s="28" t="str">
        <f t="shared" si="56"/>
        <v/>
      </c>
      <c r="E1162" s="88"/>
      <c r="F1162" s="83"/>
    </row>
    <row r="1163" spans="1:6">
      <c r="A1163" s="10" t="str">
        <f t="shared" si="54"/>
        <v/>
      </c>
      <c r="B1163" s="53"/>
      <c r="C1163" s="28" t="str">
        <f t="shared" si="55"/>
        <v/>
      </c>
      <c r="D1163" s="28" t="str">
        <f t="shared" si="56"/>
        <v/>
      </c>
      <c r="E1163" s="88"/>
      <c r="F1163" s="83"/>
    </row>
    <row r="1164" spans="1:6">
      <c r="A1164" s="10" t="str">
        <f t="shared" si="54"/>
        <v/>
      </c>
      <c r="B1164" s="53"/>
      <c r="C1164" s="28" t="str">
        <f t="shared" si="55"/>
        <v/>
      </c>
      <c r="D1164" s="28" t="str">
        <f t="shared" si="56"/>
        <v/>
      </c>
      <c r="E1164" s="88"/>
      <c r="F1164" s="83"/>
    </row>
    <row r="1165" spans="1:6">
      <c r="A1165" s="10" t="str">
        <f t="shared" si="54"/>
        <v/>
      </c>
      <c r="B1165" s="53"/>
      <c r="C1165" s="28" t="str">
        <f t="shared" si="55"/>
        <v/>
      </c>
      <c r="D1165" s="28" t="str">
        <f t="shared" si="56"/>
        <v/>
      </c>
      <c r="E1165" s="88"/>
      <c r="F1165" s="83"/>
    </row>
    <row r="1166" spans="1:6">
      <c r="A1166" s="10" t="str">
        <f t="shared" si="54"/>
        <v/>
      </c>
      <c r="B1166" s="53"/>
      <c r="C1166" s="28" t="str">
        <f t="shared" si="55"/>
        <v/>
      </c>
      <c r="D1166" s="28" t="str">
        <f t="shared" si="56"/>
        <v/>
      </c>
      <c r="E1166" s="88"/>
      <c r="F1166" s="83"/>
    </row>
    <row r="1167" spans="1:6">
      <c r="A1167" s="10" t="str">
        <f t="shared" si="54"/>
        <v/>
      </c>
      <c r="B1167" s="53"/>
      <c r="C1167" s="28" t="str">
        <f t="shared" si="55"/>
        <v/>
      </c>
      <c r="D1167" s="28" t="str">
        <f t="shared" si="56"/>
        <v/>
      </c>
      <c r="E1167" s="88"/>
      <c r="F1167" s="83"/>
    </row>
    <row r="1168" spans="1:6">
      <c r="A1168" s="10" t="str">
        <f t="shared" si="54"/>
        <v/>
      </c>
      <c r="B1168" s="53"/>
      <c r="C1168" s="28" t="str">
        <f t="shared" si="55"/>
        <v/>
      </c>
      <c r="D1168" s="28" t="str">
        <f t="shared" si="56"/>
        <v/>
      </c>
      <c r="E1168" s="88"/>
      <c r="F1168" s="83"/>
    </row>
    <row r="1169" spans="1:6">
      <c r="A1169" s="10" t="str">
        <f t="shared" si="54"/>
        <v/>
      </c>
      <c r="B1169" s="53"/>
      <c r="C1169" s="28" t="str">
        <f t="shared" si="55"/>
        <v/>
      </c>
      <c r="D1169" s="28" t="str">
        <f t="shared" si="56"/>
        <v/>
      </c>
      <c r="E1169" s="88"/>
      <c r="F1169" s="83"/>
    </row>
    <row r="1170" spans="1:6">
      <c r="A1170" s="10" t="str">
        <f t="shared" si="54"/>
        <v/>
      </c>
      <c r="B1170" s="53"/>
      <c r="C1170" s="28" t="str">
        <f t="shared" si="55"/>
        <v/>
      </c>
      <c r="D1170" s="28" t="str">
        <f t="shared" si="56"/>
        <v/>
      </c>
      <c r="E1170" s="88"/>
      <c r="F1170" s="83"/>
    </row>
    <row r="1171" spans="1:6">
      <c r="A1171" s="10" t="str">
        <f t="shared" si="54"/>
        <v/>
      </c>
      <c r="B1171" s="53"/>
      <c r="C1171" s="28" t="str">
        <f t="shared" si="55"/>
        <v/>
      </c>
      <c r="D1171" s="28" t="str">
        <f t="shared" si="56"/>
        <v/>
      </c>
      <c r="E1171" s="88"/>
      <c r="F1171" s="83"/>
    </row>
    <row r="1172" spans="1:6">
      <c r="A1172" s="10" t="str">
        <f t="shared" si="54"/>
        <v/>
      </c>
      <c r="B1172" s="53"/>
      <c r="C1172" s="28" t="str">
        <f t="shared" si="55"/>
        <v/>
      </c>
      <c r="D1172" s="28" t="str">
        <f t="shared" si="56"/>
        <v/>
      </c>
      <c r="E1172" s="88"/>
      <c r="F1172" s="83"/>
    </row>
    <row r="1173" spans="1:6">
      <c r="A1173" s="10" t="str">
        <f t="shared" si="54"/>
        <v/>
      </c>
      <c r="B1173" s="53"/>
      <c r="C1173" s="28" t="str">
        <f t="shared" si="55"/>
        <v/>
      </c>
      <c r="D1173" s="28" t="str">
        <f t="shared" si="56"/>
        <v/>
      </c>
      <c r="E1173" s="88"/>
      <c r="F1173" s="83"/>
    </row>
    <row r="1174" spans="1:6">
      <c r="A1174" s="10" t="str">
        <f t="shared" si="54"/>
        <v/>
      </c>
      <c r="B1174" s="53"/>
      <c r="C1174" s="28" t="str">
        <f t="shared" si="55"/>
        <v/>
      </c>
      <c r="D1174" s="28" t="str">
        <f t="shared" si="56"/>
        <v/>
      </c>
      <c r="E1174" s="88"/>
      <c r="F1174" s="83"/>
    </row>
    <row r="1175" spans="1:6">
      <c r="A1175" s="10" t="str">
        <f t="shared" si="54"/>
        <v/>
      </c>
      <c r="B1175" s="53"/>
      <c r="C1175" s="28" t="str">
        <f t="shared" si="55"/>
        <v/>
      </c>
      <c r="D1175" s="28" t="str">
        <f t="shared" si="56"/>
        <v/>
      </c>
      <c r="E1175" s="88"/>
      <c r="F1175" s="83"/>
    </row>
    <row r="1176" spans="1:6">
      <c r="A1176" s="10" t="str">
        <f t="shared" si="54"/>
        <v/>
      </c>
      <c r="B1176" s="53"/>
      <c r="C1176" s="28" t="str">
        <f t="shared" si="55"/>
        <v/>
      </c>
      <c r="D1176" s="28" t="str">
        <f t="shared" si="56"/>
        <v/>
      </c>
      <c r="E1176" s="88"/>
      <c r="F1176" s="83"/>
    </row>
    <row r="1177" spans="1:6">
      <c r="A1177" s="10" t="str">
        <f t="shared" si="54"/>
        <v/>
      </c>
      <c r="B1177" s="53"/>
      <c r="C1177" s="28" t="str">
        <f t="shared" si="55"/>
        <v/>
      </c>
      <c r="D1177" s="28" t="str">
        <f t="shared" si="56"/>
        <v/>
      </c>
      <c r="E1177" s="88"/>
      <c r="F1177" s="83"/>
    </row>
    <row r="1178" spans="1:6">
      <c r="A1178" s="10" t="str">
        <f t="shared" si="54"/>
        <v/>
      </c>
      <c r="B1178" s="53"/>
      <c r="C1178" s="28" t="str">
        <f t="shared" si="55"/>
        <v/>
      </c>
      <c r="D1178" s="28" t="str">
        <f t="shared" si="56"/>
        <v/>
      </c>
      <c r="E1178" s="88"/>
      <c r="F1178" s="83"/>
    </row>
    <row r="1179" spans="1:6">
      <c r="A1179" s="10" t="str">
        <f t="shared" si="54"/>
        <v/>
      </c>
      <c r="B1179" s="53"/>
      <c r="C1179" s="28" t="str">
        <f t="shared" si="55"/>
        <v/>
      </c>
      <c r="D1179" s="28" t="str">
        <f t="shared" si="56"/>
        <v/>
      </c>
      <c r="E1179" s="88"/>
      <c r="F1179" s="83"/>
    </row>
    <row r="1180" spans="1:6">
      <c r="A1180" s="10" t="str">
        <f t="shared" si="54"/>
        <v/>
      </c>
      <c r="B1180" s="53"/>
      <c r="C1180" s="28" t="str">
        <f t="shared" si="55"/>
        <v/>
      </c>
      <c r="D1180" s="28" t="str">
        <f t="shared" si="56"/>
        <v/>
      </c>
      <c r="E1180" s="88"/>
      <c r="F1180" s="83"/>
    </row>
    <row r="1181" spans="1:6">
      <c r="A1181" s="10" t="str">
        <f t="shared" si="54"/>
        <v/>
      </c>
      <c r="B1181" s="53"/>
      <c r="C1181" s="28" t="str">
        <f t="shared" si="55"/>
        <v/>
      </c>
      <c r="D1181" s="28" t="str">
        <f t="shared" si="56"/>
        <v/>
      </c>
      <c r="E1181" s="88"/>
      <c r="F1181" s="83"/>
    </row>
    <row r="1182" spans="1:6">
      <c r="A1182" s="10" t="str">
        <f t="shared" si="54"/>
        <v/>
      </c>
      <c r="B1182" s="53"/>
      <c r="C1182" s="28" t="str">
        <f t="shared" si="55"/>
        <v/>
      </c>
      <c r="D1182" s="28" t="str">
        <f t="shared" si="56"/>
        <v/>
      </c>
      <c r="E1182" s="88"/>
      <c r="F1182" s="83"/>
    </row>
    <row r="1183" spans="1:6">
      <c r="A1183" s="10" t="str">
        <f t="shared" si="54"/>
        <v/>
      </c>
      <c r="B1183" s="53"/>
      <c r="C1183" s="28" t="str">
        <f t="shared" si="55"/>
        <v/>
      </c>
      <c r="D1183" s="28" t="str">
        <f t="shared" si="56"/>
        <v/>
      </c>
      <c r="E1183" s="88"/>
      <c r="F1183" s="83"/>
    </row>
    <row r="1184" spans="1:6">
      <c r="A1184" s="10" t="str">
        <f t="shared" si="54"/>
        <v/>
      </c>
      <c r="B1184" s="53"/>
      <c r="C1184" s="28" t="str">
        <f t="shared" si="55"/>
        <v/>
      </c>
      <c r="D1184" s="28" t="str">
        <f t="shared" si="56"/>
        <v/>
      </c>
      <c r="E1184" s="88"/>
      <c r="F1184" s="83"/>
    </row>
    <row r="1185" spans="1:6">
      <c r="A1185" s="10" t="str">
        <f t="shared" si="54"/>
        <v/>
      </c>
      <c r="B1185" s="53"/>
      <c r="C1185" s="28" t="str">
        <f t="shared" si="55"/>
        <v/>
      </c>
      <c r="D1185" s="28" t="str">
        <f t="shared" si="56"/>
        <v/>
      </c>
      <c r="E1185" s="88"/>
      <c r="F1185" s="83"/>
    </row>
    <row r="1186" spans="1:6">
      <c r="A1186" s="10" t="str">
        <f t="shared" si="54"/>
        <v/>
      </c>
      <c r="B1186" s="53"/>
      <c r="C1186" s="28" t="str">
        <f t="shared" si="55"/>
        <v/>
      </c>
      <c r="D1186" s="28" t="str">
        <f t="shared" si="56"/>
        <v/>
      </c>
      <c r="E1186" s="88"/>
      <c r="F1186" s="83"/>
    </row>
    <row r="1187" spans="1:6">
      <c r="A1187" s="10" t="str">
        <f t="shared" si="54"/>
        <v/>
      </c>
      <c r="B1187" s="53"/>
      <c r="C1187" s="28" t="str">
        <f t="shared" si="55"/>
        <v/>
      </c>
      <c r="D1187" s="28" t="str">
        <f t="shared" si="56"/>
        <v/>
      </c>
      <c r="E1187" s="88"/>
      <c r="F1187" s="83"/>
    </row>
    <row r="1188" spans="1:6">
      <c r="A1188" s="10" t="str">
        <f t="shared" si="54"/>
        <v/>
      </c>
      <c r="B1188" s="53"/>
      <c r="C1188" s="28" t="str">
        <f t="shared" si="55"/>
        <v/>
      </c>
      <c r="D1188" s="28" t="str">
        <f t="shared" si="56"/>
        <v/>
      </c>
      <c r="E1188" s="88"/>
      <c r="F1188" s="83"/>
    </row>
    <row r="1189" spans="1:6">
      <c r="A1189" s="10" t="str">
        <f t="shared" si="54"/>
        <v/>
      </c>
      <c r="B1189" s="53"/>
      <c r="C1189" s="28" t="str">
        <f t="shared" si="55"/>
        <v/>
      </c>
      <c r="D1189" s="28" t="str">
        <f t="shared" si="56"/>
        <v/>
      </c>
      <c r="E1189" s="88"/>
      <c r="F1189" s="83"/>
    </row>
    <row r="1190" spans="1:6">
      <c r="A1190" s="10" t="str">
        <f t="shared" si="54"/>
        <v/>
      </c>
      <c r="B1190" s="53"/>
      <c r="C1190" s="28" t="str">
        <f t="shared" si="55"/>
        <v/>
      </c>
      <c r="D1190" s="28" t="str">
        <f t="shared" si="56"/>
        <v/>
      </c>
      <c r="E1190" s="88"/>
      <c r="F1190" s="83"/>
    </row>
    <row r="1191" spans="1:6">
      <c r="A1191" s="10" t="str">
        <f t="shared" si="54"/>
        <v/>
      </c>
      <c r="B1191" s="53"/>
      <c r="C1191" s="28" t="str">
        <f t="shared" si="55"/>
        <v/>
      </c>
      <c r="D1191" s="28" t="str">
        <f t="shared" si="56"/>
        <v/>
      </c>
      <c r="E1191" s="88"/>
      <c r="F1191" s="83"/>
    </row>
    <row r="1192" spans="1:6">
      <c r="A1192" s="10" t="str">
        <f t="shared" si="54"/>
        <v/>
      </c>
      <c r="B1192" s="53"/>
      <c r="C1192" s="28" t="str">
        <f t="shared" si="55"/>
        <v/>
      </c>
      <c r="D1192" s="28" t="str">
        <f t="shared" si="56"/>
        <v/>
      </c>
      <c r="E1192" s="88"/>
      <c r="F1192" s="83"/>
    </row>
    <row r="1193" spans="1:6">
      <c r="A1193" s="10" t="str">
        <f t="shared" si="54"/>
        <v/>
      </c>
      <c r="B1193" s="53"/>
      <c r="C1193" s="28" t="str">
        <f t="shared" si="55"/>
        <v/>
      </c>
      <c r="D1193" s="28" t="str">
        <f t="shared" si="56"/>
        <v/>
      </c>
      <c r="E1193" s="88"/>
      <c r="F1193" s="83"/>
    </row>
    <row r="1194" spans="1:6">
      <c r="A1194" s="10" t="str">
        <f t="shared" si="54"/>
        <v/>
      </c>
      <c r="B1194" s="53"/>
      <c r="C1194" s="28" t="str">
        <f t="shared" si="55"/>
        <v/>
      </c>
      <c r="D1194" s="28" t="str">
        <f t="shared" si="56"/>
        <v/>
      </c>
      <c r="E1194" s="88"/>
      <c r="F1194" s="83"/>
    </row>
    <row r="1195" spans="1:6">
      <c r="A1195" s="10" t="str">
        <f t="shared" si="54"/>
        <v/>
      </c>
      <c r="B1195" s="53"/>
      <c r="C1195" s="28" t="str">
        <f t="shared" si="55"/>
        <v/>
      </c>
      <c r="D1195" s="28" t="str">
        <f t="shared" si="56"/>
        <v/>
      </c>
      <c r="E1195" s="88"/>
      <c r="F1195" s="83"/>
    </row>
    <row r="1196" spans="1:6">
      <c r="A1196" s="10" t="str">
        <f t="shared" si="54"/>
        <v/>
      </c>
      <c r="B1196" s="53"/>
      <c r="C1196" s="28" t="str">
        <f t="shared" si="55"/>
        <v/>
      </c>
      <c r="D1196" s="28" t="str">
        <f t="shared" si="56"/>
        <v/>
      </c>
      <c r="E1196" s="88"/>
      <c r="F1196" s="83"/>
    </row>
    <row r="1197" spans="1:6">
      <c r="A1197" s="10" t="str">
        <f t="shared" si="54"/>
        <v/>
      </c>
      <c r="B1197" s="53"/>
      <c r="C1197" s="28" t="str">
        <f t="shared" si="55"/>
        <v/>
      </c>
      <c r="D1197" s="28" t="str">
        <f t="shared" si="56"/>
        <v/>
      </c>
      <c r="E1197" s="88"/>
      <c r="F1197" s="83"/>
    </row>
    <row r="1198" spans="1:6">
      <c r="A1198" s="10" t="str">
        <f t="shared" si="54"/>
        <v/>
      </c>
      <c r="B1198" s="53"/>
      <c r="C1198" s="28" t="str">
        <f t="shared" si="55"/>
        <v/>
      </c>
      <c r="D1198" s="28" t="str">
        <f t="shared" si="56"/>
        <v/>
      </c>
      <c r="E1198" s="88"/>
      <c r="F1198" s="83"/>
    </row>
    <row r="1199" spans="1:6">
      <c r="A1199" s="10" t="str">
        <f t="shared" si="54"/>
        <v/>
      </c>
      <c r="B1199" s="53"/>
      <c r="C1199" s="28" t="str">
        <f t="shared" si="55"/>
        <v/>
      </c>
      <c r="D1199" s="28" t="str">
        <f t="shared" si="56"/>
        <v/>
      </c>
      <c r="E1199" s="88"/>
      <c r="F1199" s="83"/>
    </row>
    <row r="1200" spans="1:6">
      <c r="A1200" s="10" t="str">
        <f t="shared" si="54"/>
        <v/>
      </c>
      <c r="B1200" s="53"/>
      <c r="C1200" s="28" t="str">
        <f t="shared" si="55"/>
        <v/>
      </c>
      <c r="D1200" s="28" t="str">
        <f t="shared" si="56"/>
        <v/>
      </c>
      <c r="E1200" s="88"/>
      <c r="F1200" s="83"/>
    </row>
    <row r="1201" spans="1:6">
      <c r="A1201" s="10" t="str">
        <f t="shared" si="54"/>
        <v/>
      </c>
      <c r="B1201" s="53"/>
      <c r="C1201" s="28" t="str">
        <f t="shared" si="55"/>
        <v/>
      </c>
      <c r="D1201" s="28" t="str">
        <f t="shared" si="56"/>
        <v/>
      </c>
      <c r="E1201" s="88"/>
      <c r="F1201" s="83"/>
    </row>
    <row r="1202" spans="1:6">
      <c r="A1202" s="10" t="str">
        <f t="shared" si="54"/>
        <v/>
      </c>
      <c r="B1202" s="53"/>
      <c r="C1202" s="28" t="str">
        <f t="shared" si="55"/>
        <v/>
      </c>
      <c r="D1202" s="28" t="str">
        <f t="shared" si="56"/>
        <v/>
      </c>
      <c r="E1202" s="88"/>
      <c r="F1202" s="83"/>
    </row>
    <row r="1203" spans="1:6">
      <c r="A1203" s="10" t="str">
        <f t="shared" si="54"/>
        <v/>
      </c>
      <c r="B1203" s="53"/>
      <c r="C1203" s="28" t="str">
        <f t="shared" si="55"/>
        <v/>
      </c>
      <c r="D1203" s="28" t="str">
        <f t="shared" si="56"/>
        <v/>
      </c>
      <c r="E1203" s="88"/>
      <c r="F1203" s="83"/>
    </row>
    <row r="1204" spans="1:6">
      <c r="A1204" s="10" t="str">
        <f t="shared" si="54"/>
        <v/>
      </c>
      <c r="B1204" s="53"/>
      <c r="C1204" s="28" t="str">
        <f t="shared" si="55"/>
        <v/>
      </c>
      <c r="D1204" s="28" t="str">
        <f t="shared" si="56"/>
        <v/>
      </c>
      <c r="E1204" s="88"/>
      <c r="F1204" s="83"/>
    </row>
    <row r="1205" spans="1:6">
      <c r="A1205" s="10" t="str">
        <f t="shared" si="54"/>
        <v/>
      </c>
      <c r="B1205" s="53"/>
      <c r="C1205" s="28" t="str">
        <f t="shared" si="55"/>
        <v/>
      </c>
      <c r="D1205" s="28" t="str">
        <f t="shared" si="56"/>
        <v/>
      </c>
      <c r="E1205" s="88"/>
      <c r="F1205" s="83"/>
    </row>
    <row r="1206" spans="1:6">
      <c r="A1206" s="10" t="str">
        <f t="shared" si="54"/>
        <v/>
      </c>
      <c r="B1206" s="53"/>
      <c r="C1206" s="28" t="str">
        <f t="shared" si="55"/>
        <v/>
      </c>
      <c r="D1206" s="28" t="str">
        <f t="shared" si="56"/>
        <v/>
      </c>
      <c r="E1206" s="88"/>
      <c r="F1206" s="83"/>
    </row>
    <row r="1207" spans="1:6">
      <c r="A1207" s="10" t="str">
        <f t="shared" si="54"/>
        <v/>
      </c>
      <c r="B1207" s="53"/>
      <c r="C1207" s="28" t="str">
        <f t="shared" si="55"/>
        <v/>
      </c>
      <c r="D1207" s="28" t="str">
        <f t="shared" si="56"/>
        <v/>
      </c>
      <c r="E1207" s="88"/>
      <c r="F1207" s="83"/>
    </row>
    <row r="1208" spans="1:6">
      <c r="A1208" s="10" t="str">
        <f t="shared" si="54"/>
        <v/>
      </c>
      <c r="B1208" s="53"/>
      <c r="C1208" s="28" t="str">
        <f t="shared" si="55"/>
        <v/>
      </c>
      <c r="D1208" s="28" t="str">
        <f t="shared" si="56"/>
        <v/>
      </c>
      <c r="E1208" s="88"/>
      <c r="F1208" s="83"/>
    </row>
    <row r="1209" spans="1:6">
      <c r="A1209" s="10" t="str">
        <f t="shared" si="54"/>
        <v/>
      </c>
      <c r="B1209" s="53"/>
      <c r="C1209" s="28" t="str">
        <f t="shared" si="55"/>
        <v/>
      </c>
      <c r="D1209" s="28" t="str">
        <f t="shared" si="56"/>
        <v/>
      </c>
      <c r="E1209" s="88"/>
      <c r="F1209" s="83"/>
    </row>
    <row r="1210" spans="1:6">
      <c r="A1210" s="10" t="str">
        <f t="shared" si="54"/>
        <v/>
      </c>
      <c r="B1210" s="53"/>
      <c r="C1210" s="28" t="str">
        <f t="shared" si="55"/>
        <v/>
      </c>
      <c r="D1210" s="28" t="str">
        <f t="shared" si="56"/>
        <v/>
      </c>
      <c r="E1210" s="88"/>
      <c r="F1210" s="83"/>
    </row>
    <row r="1211" spans="1:6">
      <c r="A1211" s="10" t="str">
        <f t="shared" si="54"/>
        <v/>
      </c>
      <c r="B1211" s="53"/>
      <c r="C1211" s="28" t="str">
        <f t="shared" si="55"/>
        <v/>
      </c>
      <c r="D1211" s="28" t="str">
        <f t="shared" si="56"/>
        <v/>
      </c>
      <c r="E1211" s="88"/>
      <c r="F1211" s="83"/>
    </row>
    <row r="1212" spans="1:6">
      <c r="A1212" s="10" t="str">
        <f t="shared" si="54"/>
        <v/>
      </c>
      <c r="B1212" s="53"/>
      <c r="C1212" s="28" t="str">
        <f t="shared" si="55"/>
        <v/>
      </c>
      <c r="D1212" s="28" t="str">
        <f t="shared" si="56"/>
        <v/>
      </c>
      <c r="E1212" s="88"/>
      <c r="F1212" s="83"/>
    </row>
    <row r="1213" spans="1:6">
      <c r="A1213" s="10" t="str">
        <f t="shared" si="54"/>
        <v/>
      </c>
      <c r="B1213" s="53"/>
      <c r="C1213" s="28" t="str">
        <f t="shared" si="55"/>
        <v/>
      </c>
      <c r="D1213" s="28" t="str">
        <f t="shared" si="56"/>
        <v/>
      </c>
      <c r="E1213" s="88"/>
      <c r="F1213" s="83"/>
    </row>
    <row r="1214" spans="1:6">
      <c r="A1214" s="10" t="str">
        <f t="shared" si="54"/>
        <v/>
      </c>
      <c r="B1214" s="53"/>
      <c r="C1214" s="28" t="str">
        <f t="shared" si="55"/>
        <v/>
      </c>
      <c r="D1214" s="28" t="str">
        <f t="shared" si="56"/>
        <v/>
      </c>
      <c r="E1214" s="88"/>
      <c r="F1214" s="83"/>
    </row>
    <row r="1215" spans="1:6">
      <c r="A1215" s="10" t="str">
        <f t="shared" si="54"/>
        <v/>
      </c>
      <c r="B1215" s="53"/>
      <c r="C1215" s="28" t="str">
        <f t="shared" si="55"/>
        <v/>
      </c>
      <c r="D1215" s="28" t="str">
        <f t="shared" si="56"/>
        <v/>
      </c>
      <c r="E1215" s="88"/>
      <c r="F1215" s="83"/>
    </row>
    <row r="1216" spans="1:6">
      <c r="A1216" s="10" t="str">
        <f t="shared" si="54"/>
        <v/>
      </c>
      <c r="B1216" s="53"/>
      <c r="C1216" s="28" t="str">
        <f t="shared" si="55"/>
        <v/>
      </c>
      <c r="D1216" s="28" t="str">
        <f t="shared" si="56"/>
        <v/>
      </c>
      <c r="E1216" s="88"/>
      <c r="F1216" s="83"/>
    </row>
    <row r="1217" spans="1:6">
      <c r="A1217" s="10" t="str">
        <f t="shared" si="54"/>
        <v/>
      </c>
      <c r="B1217" s="53"/>
      <c r="C1217" s="28" t="str">
        <f t="shared" si="55"/>
        <v/>
      </c>
      <c r="D1217" s="28" t="str">
        <f t="shared" si="56"/>
        <v/>
      </c>
      <c r="E1217" s="88"/>
      <c r="F1217" s="83"/>
    </row>
    <row r="1218" spans="1:6">
      <c r="A1218" s="10" t="str">
        <f t="shared" si="54"/>
        <v/>
      </c>
      <c r="B1218" s="53"/>
      <c r="C1218" s="28" t="str">
        <f t="shared" si="55"/>
        <v/>
      </c>
      <c r="D1218" s="28" t="str">
        <f t="shared" si="56"/>
        <v/>
      </c>
      <c r="E1218" s="88"/>
      <c r="F1218" s="83"/>
    </row>
    <row r="1219" spans="1:6">
      <c r="A1219" s="10" t="str">
        <f t="shared" ref="A1219:A1282" si="57">IF(E1219&gt;0,A1218+1,"")</f>
        <v/>
      </c>
      <c r="B1219" s="53"/>
      <c r="C1219" s="28" t="str">
        <f t="shared" ref="C1219:C1282" si="58">IF(B1219=0,"",TEXT(B1219,"mmmm"))</f>
        <v/>
      </c>
      <c r="D1219" s="28" t="str">
        <f t="shared" ref="D1219:D1282" si="59">IF(B1219=0,"",TEXT(B1219,"yyyy"))</f>
        <v/>
      </c>
      <c r="E1219" s="88"/>
      <c r="F1219" s="83"/>
    </row>
    <row r="1220" spans="1:6">
      <c r="A1220" s="10" t="str">
        <f t="shared" si="57"/>
        <v/>
      </c>
      <c r="B1220" s="53"/>
      <c r="C1220" s="28" t="str">
        <f t="shared" si="58"/>
        <v/>
      </c>
      <c r="D1220" s="28" t="str">
        <f t="shared" si="59"/>
        <v/>
      </c>
      <c r="E1220" s="88"/>
      <c r="F1220" s="83"/>
    </row>
    <row r="1221" spans="1:6">
      <c r="A1221" s="10" t="str">
        <f t="shared" si="57"/>
        <v/>
      </c>
      <c r="B1221" s="53"/>
      <c r="C1221" s="28" t="str">
        <f t="shared" si="58"/>
        <v/>
      </c>
      <c r="D1221" s="28" t="str">
        <f t="shared" si="59"/>
        <v/>
      </c>
      <c r="E1221" s="88"/>
      <c r="F1221" s="83"/>
    </row>
    <row r="1222" spans="1:6">
      <c r="A1222" s="10" t="str">
        <f t="shared" si="57"/>
        <v/>
      </c>
      <c r="B1222" s="53"/>
      <c r="C1222" s="28" t="str">
        <f t="shared" si="58"/>
        <v/>
      </c>
      <c r="D1222" s="28" t="str">
        <f t="shared" si="59"/>
        <v/>
      </c>
      <c r="E1222" s="88"/>
      <c r="F1222" s="83"/>
    </row>
    <row r="1223" spans="1:6">
      <c r="A1223" s="10" t="str">
        <f t="shared" si="57"/>
        <v/>
      </c>
      <c r="B1223" s="53"/>
      <c r="C1223" s="28" t="str">
        <f t="shared" si="58"/>
        <v/>
      </c>
      <c r="D1223" s="28" t="str">
        <f t="shared" si="59"/>
        <v/>
      </c>
      <c r="E1223" s="88"/>
      <c r="F1223" s="83"/>
    </row>
    <row r="1224" spans="1:6">
      <c r="A1224" s="10" t="str">
        <f t="shared" si="57"/>
        <v/>
      </c>
      <c r="B1224" s="53"/>
      <c r="C1224" s="28" t="str">
        <f t="shared" si="58"/>
        <v/>
      </c>
      <c r="D1224" s="28" t="str">
        <f t="shared" si="59"/>
        <v/>
      </c>
      <c r="E1224" s="88"/>
      <c r="F1224" s="83"/>
    </row>
    <row r="1225" spans="1:6">
      <c r="A1225" s="10" t="str">
        <f t="shared" si="57"/>
        <v/>
      </c>
      <c r="B1225" s="53"/>
      <c r="C1225" s="28" t="str">
        <f t="shared" si="58"/>
        <v/>
      </c>
      <c r="D1225" s="28" t="str">
        <f t="shared" si="59"/>
        <v/>
      </c>
      <c r="E1225" s="88"/>
      <c r="F1225" s="83"/>
    </row>
    <row r="1226" spans="1:6">
      <c r="A1226" s="10" t="str">
        <f t="shared" si="57"/>
        <v/>
      </c>
      <c r="B1226" s="53"/>
      <c r="C1226" s="28" t="str">
        <f t="shared" si="58"/>
        <v/>
      </c>
      <c r="D1226" s="28" t="str">
        <f t="shared" si="59"/>
        <v/>
      </c>
      <c r="E1226" s="88"/>
      <c r="F1226" s="83"/>
    </row>
    <row r="1227" spans="1:6">
      <c r="A1227" s="10" t="str">
        <f t="shared" si="57"/>
        <v/>
      </c>
      <c r="B1227" s="53"/>
      <c r="C1227" s="28" t="str">
        <f t="shared" si="58"/>
        <v/>
      </c>
      <c r="D1227" s="28" t="str">
        <f t="shared" si="59"/>
        <v/>
      </c>
      <c r="E1227" s="88"/>
      <c r="F1227" s="83"/>
    </row>
    <row r="1228" spans="1:6">
      <c r="A1228" s="10" t="str">
        <f t="shared" si="57"/>
        <v/>
      </c>
      <c r="B1228" s="53"/>
      <c r="C1228" s="28" t="str">
        <f t="shared" si="58"/>
        <v/>
      </c>
      <c r="D1228" s="28" t="str">
        <f t="shared" si="59"/>
        <v/>
      </c>
      <c r="E1228" s="88"/>
      <c r="F1228" s="83"/>
    </row>
    <row r="1229" spans="1:6">
      <c r="A1229" s="10" t="str">
        <f t="shared" si="57"/>
        <v/>
      </c>
      <c r="B1229" s="53"/>
      <c r="C1229" s="28" t="str">
        <f t="shared" si="58"/>
        <v/>
      </c>
      <c r="D1229" s="28" t="str">
        <f t="shared" si="59"/>
        <v/>
      </c>
      <c r="E1229" s="88"/>
      <c r="F1229" s="83"/>
    </row>
    <row r="1230" spans="1:6">
      <c r="A1230" s="10" t="str">
        <f t="shared" si="57"/>
        <v/>
      </c>
      <c r="B1230" s="53"/>
      <c r="C1230" s="28" t="str">
        <f t="shared" si="58"/>
        <v/>
      </c>
      <c r="D1230" s="28" t="str">
        <f t="shared" si="59"/>
        <v/>
      </c>
      <c r="E1230" s="88"/>
      <c r="F1230" s="83"/>
    </row>
    <row r="1231" spans="1:6">
      <c r="A1231" s="10" t="str">
        <f t="shared" si="57"/>
        <v/>
      </c>
      <c r="B1231" s="53"/>
      <c r="C1231" s="28" t="str">
        <f t="shared" si="58"/>
        <v/>
      </c>
      <c r="D1231" s="28" t="str">
        <f t="shared" si="59"/>
        <v/>
      </c>
      <c r="E1231" s="88"/>
      <c r="F1231" s="83"/>
    </row>
    <row r="1232" spans="1:6">
      <c r="A1232" s="10" t="str">
        <f t="shared" si="57"/>
        <v/>
      </c>
      <c r="B1232" s="53"/>
      <c r="C1232" s="28" t="str">
        <f t="shared" si="58"/>
        <v/>
      </c>
      <c r="D1232" s="28" t="str">
        <f t="shared" si="59"/>
        <v/>
      </c>
      <c r="E1232" s="88"/>
      <c r="F1232" s="83"/>
    </row>
    <row r="1233" spans="1:6">
      <c r="A1233" s="10" t="str">
        <f t="shared" si="57"/>
        <v/>
      </c>
      <c r="B1233" s="53"/>
      <c r="C1233" s="28" t="str">
        <f t="shared" si="58"/>
        <v/>
      </c>
      <c r="D1233" s="28" t="str">
        <f t="shared" si="59"/>
        <v/>
      </c>
      <c r="E1233" s="88"/>
      <c r="F1233" s="83"/>
    </row>
    <row r="1234" spans="1:6">
      <c r="A1234" s="10" t="str">
        <f t="shared" si="57"/>
        <v/>
      </c>
      <c r="B1234" s="53"/>
      <c r="C1234" s="28" t="str">
        <f t="shared" si="58"/>
        <v/>
      </c>
      <c r="D1234" s="28" t="str">
        <f t="shared" si="59"/>
        <v/>
      </c>
      <c r="E1234" s="88"/>
      <c r="F1234" s="83"/>
    </row>
    <row r="1235" spans="1:6">
      <c r="A1235" s="10" t="str">
        <f t="shared" si="57"/>
        <v/>
      </c>
      <c r="B1235" s="53"/>
      <c r="C1235" s="28" t="str">
        <f t="shared" si="58"/>
        <v/>
      </c>
      <c r="D1235" s="28" t="str">
        <f t="shared" si="59"/>
        <v/>
      </c>
      <c r="E1235" s="88"/>
      <c r="F1235" s="83"/>
    </row>
    <row r="1236" spans="1:6">
      <c r="A1236" s="10" t="str">
        <f t="shared" si="57"/>
        <v/>
      </c>
      <c r="B1236" s="53"/>
      <c r="C1236" s="28" t="str">
        <f t="shared" si="58"/>
        <v/>
      </c>
      <c r="D1236" s="28" t="str">
        <f t="shared" si="59"/>
        <v/>
      </c>
      <c r="E1236" s="88"/>
      <c r="F1236" s="83"/>
    </row>
    <row r="1237" spans="1:6">
      <c r="A1237" s="10" t="str">
        <f t="shared" si="57"/>
        <v/>
      </c>
      <c r="B1237" s="53"/>
      <c r="C1237" s="28" t="str">
        <f t="shared" si="58"/>
        <v/>
      </c>
      <c r="D1237" s="28" t="str">
        <f t="shared" si="59"/>
        <v/>
      </c>
      <c r="E1237" s="88"/>
      <c r="F1237" s="83"/>
    </row>
    <row r="1238" spans="1:6">
      <c r="A1238" s="10" t="str">
        <f t="shared" si="57"/>
        <v/>
      </c>
      <c r="B1238" s="53"/>
      <c r="C1238" s="28" t="str">
        <f t="shared" si="58"/>
        <v/>
      </c>
      <c r="D1238" s="28" t="str">
        <f t="shared" si="59"/>
        <v/>
      </c>
      <c r="E1238" s="88"/>
      <c r="F1238" s="83"/>
    </row>
    <row r="1239" spans="1:6">
      <c r="A1239" s="10" t="str">
        <f t="shared" si="57"/>
        <v/>
      </c>
      <c r="B1239" s="53"/>
      <c r="C1239" s="28" t="str">
        <f t="shared" si="58"/>
        <v/>
      </c>
      <c r="D1239" s="28" t="str">
        <f t="shared" si="59"/>
        <v/>
      </c>
      <c r="E1239" s="88"/>
      <c r="F1239" s="83"/>
    </row>
    <row r="1240" spans="1:6">
      <c r="A1240" s="10" t="str">
        <f t="shared" si="57"/>
        <v/>
      </c>
      <c r="B1240" s="53"/>
      <c r="C1240" s="28" t="str">
        <f t="shared" si="58"/>
        <v/>
      </c>
      <c r="D1240" s="28" t="str">
        <f t="shared" si="59"/>
        <v/>
      </c>
      <c r="E1240" s="88"/>
      <c r="F1240" s="83"/>
    </row>
    <row r="1241" spans="1:6">
      <c r="A1241" s="10" t="str">
        <f t="shared" si="57"/>
        <v/>
      </c>
      <c r="B1241" s="53"/>
      <c r="C1241" s="28" t="str">
        <f t="shared" si="58"/>
        <v/>
      </c>
      <c r="D1241" s="28" t="str">
        <f t="shared" si="59"/>
        <v/>
      </c>
      <c r="E1241" s="88"/>
      <c r="F1241" s="83"/>
    </row>
    <row r="1242" spans="1:6">
      <c r="A1242" s="10" t="str">
        <f t="shared" si="57"/>
        <v/>
      </c>
      <c r="B1242" s="53"/>
      <c r="C1242" s="28" t="str">
        <f t="shared" si="58"/>
        <v/>
      </c>
      <c r="D1242" s="28" t="str">
        <f t="shared" si="59"/>
        <v/>
      </c>
      <c r="E1242" s="88"/>
      <c r="F1242" s="83"/>
    </row>
    <row r="1243" spans="1:6">
      <c r="A1243" s="10" t="str">
        <f t="shared" si="57"/>
        <v/>
      </c>
      <c r="B1243" s="53"/>
      <c r="C1243" s="28" t="str">
        <f t="shared" si="58"/>
        <v/>
      </c>
      <c r="D1243" s="28" t="str">
        <f t="shared" si="59"/>
        <v/>
      </c>
      <c r="E1243" s="88"/>
      <c r="F1243" s="83"/>
    </row>
    <row r="1244" spans="1:6">
      <c r="A1244" s="10" t="str">
        <f t="shared" si="57"/>
        <v/>
      </c>
      <c r="B1244" s="53"/>
      <c r="C1244" s="28" t="str">
        <f t="shared" si="58"/>
        <v/>
      </c>
      <c r="D1244" s="28" t="str">
        <f t="shared" si="59"/>
        <v/>
      </c>
      <c r="E1244" s="88"/>
      <c r="F1244" s="83"/>
    </row>
    <row r="1245" spans="1:6">
      <c r="A1245" s="10" t="str">
        <f t="shared" si="57"/>
        <v/>
      </c>
      <c r="B1245" s="53"/>
      <c r="C1245" s="28" t="str">
        <f t="shared" si="58"/>
        <v/>
      </c>
      <c r="D1245" s="28" t="str">
        <f t="shared" si="59"/>
        <v/>
      </c>
      <c r="E1245" s="88"/>
      <c r="F1245" s="83"/>
    </row>
    <row r="1246" spans="1:6">
      <c r="A1246" s="10" t="str">
        <f t="shared" si="57"/>
        <v/>
      </c>
      <c r="B1246" s="53"/>
      <c r="C1246" s="28" t="str">
        <f t="shared" si="58"/>
        <v/>
      </c>
      <c r="D1246" s="28" t="str">
        <f t="shared" si="59"/>
        <v/>
      </c>
      <c r="E1246" s="88"/>
      <c r="F1246" s="83"/>
    </row>
    <row r="1247" spans="1:6">
      <c r="A1247" s="10" t="str">
        <f t="shared" si="57"/>
        <v/>
      </c>
      <c r="B1247" s="53"/>
      <c r="C1247" s="28" t="str">
        <f t="shared" si="58"/>
        <v/>
      </c>
      <c r="D1247" s="28" t="str">
        <f t="shared" si="59"/>
        <v/>
      </c>
      <c r="E1247" s="88"/>
      <c r="F1247" s="83"/>
    </row>
    <row r="1248" spans="1:6">
      <c r="A1248" s="10" t="str">
        <f t="shared" si="57"/>
        <v/>
      </c>
      <c r="B1248" s="53"/>
      <c r="C1248" s="28" t="str">
        <f t="shared" si="58"/>
        <v/>
      </c>
      <c r="D1248" s="28" t="str">
        <f t="shared" si="59"/>
        <v/>
      </c>
      <c r="E1248" s="88"/>
      <c r="F1248" s="83"/>
    </row>
    <row r="1249" spans="1:6">
      <c r="A1249" s="10" t="str">
        <f t="shared" si="57"/>
        <v/>
      </c>
      <c r="B1249" s="53"/>
      <c r="C1249" s="28" t="str">
        <f t="shared" si="58"/>
        <v/>
      </c>
      <c r="D1249" s="28" t="str">
        <f t="shared" si="59"/>
        <v/>
      </c>
      <c r="E1249" s="88"/>
      <c r="F1249" s="83"/>
    </row>
    <row r="1250" spans="1:6">
      <c r="A1250" s="10" t="str">
        <f t="shared" si="57"/>
        <v/>
      </c>
      <c r="B1250" s="53"/>
      <c r="C1250" s="28" t="str">
        <f t="shared" si="58"/>
        <v/>
      </c>
      <c r="D1250" s="28" t="str">
        <f t="shared" si="59"/>
        <v/>
      </c>
      <c r="E1250" s="88"/>
      <c r="F1250" s="83"/>
    </row>
    <row r="1251" spans="1:6">
      <c r="A1251" s="10" t="str">
        <f t="shared" si="57"/>
        <v/>
      </c>
      <c r="B1251" s="53"/>
      <c r="C1251" s="28" t="str">
        <f t="shared" si="58"/>
        <v/>
      </c>
      <c r="D1251" s="28" t="str">
        <f t="shared" si="59"/>
        <v/>
      </c>
      <c r="E1251" s="88"/>
      <c r="F1251" s="83"/>
    </row>
    <row r="1252" spans="1:6">
      <c r="A1252" s="10" t="str">
        <f t="shared" si="57"/>
        <v/>
      </c>
      <c r="B1252" s="53"/>
      <c r="C1252" s="28" t="str">
        <f t="shared" si="58"/>
        <v/>
      </c>
      <c r="D1252" s="28" t="str">
        <f t="shared" si="59"/>
        <v/>
      </c>
      <c r="E1252" s="88"/>
      <c r="F1252" s="83"/>
    </row>
    <row r="1253" spans="1:6">
      <c r="A1253" s="10" t="str">
        <f t="shared" si="57"/>
        <v/>
      </c>
      <c r="B1253" s="53"/>
      <c r="C1253" s="28" t="str">
        <f t="shared" si="58"/>
        <v/>
      </c>
      <c r="D1253" s="28" t="str">
        <f t="shared" si="59"/>
        <v/>
      </c>
      <c r="E1253" s="88"/>
      <c r="F1253" s="83"/>
    </row>
    <row r="1254" spans="1:6">
      <c r="A1254" s="10" t="str">
        <f t="shared" si="57"/>
        <v/>
      </c>
      <c r="B1254" s="53"/>
      <c r="C1254" s="28" t="str">
        <f t="shared" si="58"/>
        <v/>
      </c>
      <c r="D1254" s="28" t="str">
        <f t="shared" si="59"/>
        <v/>
      </c>
      <c r="E1254" s="88"/>
      <c r="F1254" s="83"/>
    </row>
    <row r="1255" spans="1:6">
      <c r="A1255" s="10" t="str">
        <f t="shared" si="57"/>
        <v/>
      </c>
      <c r="B1255" s="53"/>
      <c r="C1255" s="28" t="str">
        <f t="shared" si="58"/>
        <v/>
      </c>
      <c r="D1255" s="28" t="str">
        <f t="shared" si="59"/>
        <v/>
      </c>
      <c r="E1255" s="88"/>
      <c r="F1255" s="83"/>
    </row>
    <row r="1256" spans="1:6">
      <c r="A1256" s="10" t="str">
        <f t="shared" si="57"/>
        <v/>
      </c>
      <c r="B1256" s="53"/>
      <c r="C1256" s="28" t="str">
        <f t="shared" si="58"/>
        <v/>
      </c>
      <c r="D1256" s="28" t="str">
        <f t="shared" si="59"/>
        <v/>
      </c>
      <c r="E1256" s="88"/>
      <c r="F1256" s="83"/>
    </row>
    <row r="1257" spans="1:6">
      <c r="A1257" s="10" t="str">
        <f t="shared" si="57"/>
        <v/>
      </c>
      <c r="B1257" s="53"/>
      <c r="C1257" s="28" t="str">
        <f t="shared" si="58"/>
        <v/>
      </c>
      <c r="D1257" s="28" t="str">
        <f t="shared" si="59"/>
        <v/>
      </c>
      <c r="E1257" s="88"/>
      <c r="F1257" s="83"/>
    </row>
    <row r="1258" spans="1:6">
      <c r="A1258" s="10" t="str">
        <f t="shared" si="57"/>
        <v/>
      </c>
      <c r="B1258" s="53"/>
      <c r="C1258" s="28" t="str">
        <f t="shared" si="58"/>
        <v/>
      </c>
      <c r="D1258" s="28" t="str">
        <f t="shared" si="59"/>
        <v/>
      </c>
      <c r="E1258" s="88"/>
      <c r="F1258" s="83"/>
    </row>
    <row r="1259" spans="1:6">
      <c r="A1259" s="10" t="str">
        <f t="shared" si="57"/>
        <v/>
      </c>
      <c r="B1259" s="53"/>
      <c r="C1259" s="28" t="str">
        <f t="shared" si="58"/>
        <v/>
      </c>
      <c r="D1259" s="28" t="str">
        <f t="shared" si="59"/>
        <v/>
      </c>
      <c r="E1259" s="88"/>
      <c r="F1259" s="83"/>
    </row>
    <row r="1260" spans="1:6">
      <c r="A1260" s="10" t="str">
        <f t="shared" si="57"/>
        <v/>
      </c>
      <c r="B1260" s="53"/>
      <c r="C1260" s="28" t="str">
        <f t="shared" si="58"/>
        <v/>
      </c>
      <c r="D1260" s="28" t="str">
        <f t="shared" si="59"/>
        <v/>
      </c>
      <c r="E1260" s="88"/>
      <c r="F1260" s="83"/>
    </row>
    <row r="1261" spans="1:6">
      <c r="A1261" s="10" t="str">
        <f t="shared" si="57"/>
        <v/>
      </c>
      <c r="B1261" s="53"/>
      <c r="C1261" s="28" t="str">
        <f t="shared" si="58"/>
        <v/>
      </c>
      <c r="D1261" s="28" t="str">
        <f t="shared" si="59"/>
        <v/>
      </c>
      <c r="E1261" s="88"/>
      <c r="F1261" s="83"/>
    </row>
    <row r="1262" spans="1:6">
      <c r="A1262" s="10" t="str">
        <f t="shared" si="57"/>
        <v/>
      </c>
      <c r="B1262" s="53"/>
      <c r="C1262" s="28" t="str">
        <f t="shared" si="58"/>
        <v/>
      </c>
      <c r="D1262" s="28" t="str">
        <f t="shared" si="59"/>
        <v/>
      </c>
      <c r="E1262" s="88"/>
      <c r="F1262" s="83"/>
    </row>
    <row r="1263" spans="1:6">
      <c r="A1263" s="10" t="str">
        <f t="shared" si="57"/>
        <v/>
      </c>
      <c r="B1263" s="53"/>
      <c r="C1263" s="28" t="str">
        <f t="shared" si="58"/>
        <v/>
      </c>
      <c r="D1263" s="28" t="str">
        <f t="shared" si="59"/>
        <v/>
      </c>
      <c r="E1263" s="88"/>
      <c r="F1263" s="83"/>
    </row>
    <row r="1264" spans="1:6">
      <c r="A1264" s="10" t="str">
        <f t="shared" si="57"/>
        <v/>
      </c>
      <c r="B1264" s="53"/>
      <c r="C1264" s="28" t="str">
        <f t="shared" si="58"/>
        <v/>
      </c>
      <c r="D1264" s="28" t="str">
        <f t="shared" si="59"/>
        <v/>
      </c>
      <c r="E1264" s="88"/>
      <c r="F1264" s="83"/>
    </row>
    <row r="1265" spans="1:6">
      <c r="A1265" s="10" t="str">
        <f t="shared" si="57"/>
        <v/>
      </c>
      <c r="B1265" s="53"/>
      <c r="C1265" s="28" t="str">
        <f t="shared" si="58"/>
        <v/>
      </c>
      <c r="D1265" s="28" t="str">
        <f t="shared" si="59"/>
        <v/>
      </c>
      <c r="E1265" s="88"/>
      <c r="F1265" s="83"/>
    </row>
    <row r="1266" spans="1:6">
      <c r="A1266" s="10" t="str">
        <f t="shared" si="57"/>
        <v/>
      </c>
      <c r="B1266" s="53"/>
      <c r="C1266" s="28" t="str">
        <f t="shared" si="58"/>
        <v/>
      </c>
      <c r="D1266" s="28" t="str">
        <f t="shared" si="59"/>
        <v/>
      </c>
      <c r="E1266" s="88"/>
      <c r="F1266" s="83"/>
    </row>
    <row r="1267" spans="1:6">
      <c r="A1267" s="10" t="str">
        <f t="shared" si="57"/>
        <v/>
      </c>
      <c r="B1267" s="53"/>
      <c r="C1267" s="28" t="str">
        <f t="shared" si="58"/>
        <v/>
      </c>
      <c r="D1267" s="28" t="str">
        <f t="shared" si="59"/>
        <v/>
      </c>
      <c r="E1267" s="88"/>
      <c r="F1267" s="83"/>
    </row>
    <row r="1268" spans="1:6">
      <c r="A1268" s="10" t="str">
        <f t="shared" si="57"/>
        <v/>
      </c>
      <c r="B1268" s="53"/>
      <c r="C1268" s="28" t="str">
        <f t="shared" si="58"/>
        <v/>
      </c>
      <c r="D1268" s="28" t="str">
        <f t="shared" si="59"/>
        <v/>
      </c>
      <c r="E1268" s="88"/>
      <c r="F1268" s="83"/>
    </row>
    <row r="1269" spans="1:6">
      <c r="A1269" s="10" t="str">
        <f t="shared" si="57"/>
        <v/>
      </c>
      <c r="B1269" s="53"/>
      <c r="C1269" s="28" t="str">
        <f t="shared" si="58"/>
        <v/>
      </c>
      <c r="D1269" s="28" t="str">
        <f t="shared" si="59"/>
        <v/>
      </c>
      <c r="E1269" s="88"/>
      <c r="F1269" s="83"/>
    </row>
    <row r="1270" spans="1:6">
      <c r="A1270" s="10" t="str">
        <f t="shared" si="57"/>
        <v/>
      </c>
      <c r="B1270" s="53"/>
      <c r="C1270" s="28" t="str">
        <f t="shared" si="58"/>
        <v/>
      </c>
      <c r="D1270" s="28" t="str">
        <f t="shared" si="59"/>
        <v/>
      </c>
      <c r="E1270" s="88"/>
      <c r="F1270" s="83"/>
    </row>
    <row r="1271" spans="1:6">
      <c r="A1271" s="10" t="str">
        <f t="shared" si="57"/>
        <v/>
      </c>
      <c r="B1271" s="53"/>
      <c r="C1271" s="28" t="str">
        <f t="shared" si="58"/>
        <v/>
      </c>
      <c r="D1271" s="28" t="str">
        <f t="shared" si="59"/>
        <v/>
      </c>
      <c r="E1271" s="88"/>
      <c r="F1271" s="83"/>
    </row>
    <row r="1272" spans="1:6">
      <c r="A1272" s="10" t="str">
        <f t="shared" si="57"/>
        <v/>
      </c>
      <c r="B1272" s="53"/>
      <c r="C1272" s="28" t="str">
        <f t="shared" si="58"/>
        <v/>
      </c>
      <c r="D1272" s="28" t="str">
        <f t="shared" si="59"/>
        <v/>
      </c>
      <c r="E1272" s="88"/>
      <c r="F1272" s="83"/>
    </row>
    <row r="1273" spans="1:6">
      <c r="A1273" s="10" t="str">
        <f t="shared" si="57"/>
        <v/>
      </c>
      <c r="B1273" s="53"/>
      <c r="C1273" s="28" t="str">
        <f t="shared" si="58"/>
        <v/>
      </c>
      <c r="D1273" s="28" t="str">
        <f t="shared" si="59"/>
        <v/>
      </c>
      <c r="E1273" s="88"/>
      <c r="F1273" s="83"/>
    </row>
    <row r="1274" spans="1:6">
      <c r="A1274" s="10" t="str">
        <f t="shared" si="57"/>
        <v/>
      </c>
      <c r="B1274" s="53"/>
      <c r="C1274" s="28" t="str">
        <f t="shared" si="58"/>
        <v/>
      </c>
      <c r="D1274" s="28" t="str">
        <f t="shared" si="59"/>
        <v/>
      </c>
      <c r="E1274" s="88"/>
      <c r="F1274" s="83"/>
    </row>
    <row r="1275" spans="1:6">
      <c r="A1275" s="10" t="str">
        <f t="shared" si="57"/>
        <v/>
      </c>
      <c r="B1275" s="53"/>
      <c r="C1275" s="28" t="str">
        <f t="shared" si="58"/>
        <v/>
      </c>
      <c r="D1275" s="28" t="str">
        <f t="shared" si="59"/>
        <v/>
      </c>
      <c r="E1275" s="88"/>
      <c r="F1275" s="83"/>
    </row>
    <row r="1276" spans="1:6">
      <c r="A1276" s="10" t="str">
        <f t="shared" si="57"/>
        <v/>
      </c>
      <c r="B1276" s="53"/>
      <c r="C1276" s="28" t="str">
        <f t="shared" si="58"/>
        <v/>
      </c>
      <c r="D1276" s="28" t="str">
        <f t="shared" si="59"/>
        <v/>
      </c>
      <c r="E1276" s="88"/>
      <c r="F1276" s="83"/>
    </row>
    <row r="1277" spans="1:6">
      <c r="A1277" s="10" t="str">
        <f t="shared" si="57"/>
        <v/>
      </c>
      <c r="B1277" s="53"/>
      <c r="C1277" s="28" t="str">
        <f t="shared" si="58"/>
        <v/>
      </c>
      <c r="D1277" s="28" t="str">
        <f t="shared" si="59"/>
        <v/>
      </c>
      <c r="E1277" s="88"/>
      <c r="F1277" s="83"/>
    </row>
    <row r="1278" spans="1:6">
      <c r="A1278" s="10" t="str">
        <f t="shared" si="57"/>
        <v/>
      </c>
      <c r="B1278" s="53"/>
      <c r="C1278" s="28" t="str">
        <f t="shared" si="58"/>
        <v/>
      </c>
      <c r="D1278" s="28" t="str">
        <f t="shared" si="59"/>
        <v/>
      </c>
      <c r="E1278" s="88"/>
      <c r="F1278" s="83"/>
    </row>
    <row r="1279" spans="1:6">
      <c r="A1279" s="10" t="str">
        <f t="shared" si="57"/>
        <v/>
      </c>
      <c r="B1279" s="53"/>
      <c r="C1279" s="28" t="str">
        <f t="shared" si="58"/>
        <v/>
      </c>
      <c r="D1279" s="28" t="str">
        <f t="shared" si="59"/>
        <v/>
      </c>
      <c r="E1279" s="88"/>
      <c r="F1279" s="83"/>
    </row>
    <row r="1280" spans="1:6">
      <c r="A1280" s="10" t="str">
        <f t="shared" si="57"/>
        <v/>
      </c>
      <c r="B1280" s="53"/>
      <c r="C1280" s="28" t="str">
        <f t="shared" si="58"/>
        <v/>
      </c>
      <c r="D1280" s="28" t="str">
        <f t="shared" si="59"/>
        <v/>
      </c>
      <c r="E1280" s="88"/>
      <c r="F1280" s="83"/>
    </row>
    <row r="1281" spans="1:6">
      <c r="A1281" s="10" t="str">
        <f t="shared" si="57"/>
        <v/>
      </c>
      <c r="B1281" s="53"/>
      <c r="C1281" s="28" t="str">
        <f t="shared" si="58"/>
        <v/>
      </c>
      <c r="D1281" s="28" t="str">
        <f t="shared" si="59"/>
        <v/>
      </c>
      <c r="E1281" s="88"/>
      <c r="F1281" s="83"/>
    </row>
    <row r="1282" spans="1:6">
      <c r="A1282" s="10" t="str">
        <f t="shared" si="57"/>
        <v/>
      </c>
      <c r="B1282" s="53"/>
      <c r="C1282" s="28" t="str">
        <f t="shared" si="58"/>
        <v/>
      </c>
      <c r="D1282" s="28" t="str">
        <f t="shared" si="59"/>
        <v/>
      </c>
      <c r="E1282" s="88"/>
      <c r="F1282" s="83"/>
    </row>
    <row r="1283" spans="1:6">
      <c r="A1283" s="10" t="str">
        <f t="shared" ref="A1283:A1348" si="60">IF(E1283&gt;0,A1282+1,"")</f>
        <v/>
      </c>
      <c r="B1283" s="53"/>
      <c r="C1283" s="28" t="str">
        <f t="shared" ref="C1283:C1345" si="61">IF(B1283=0,"",TEXT(B1283,"mmmm"))</f>
        <v/>
      </c>
      <c r="D1283" s="28" t="str">
        <f t="shared" ref="D1283:D1345" si="62">IF(B1283=0,"",TEXT(B1283,"yyyy"))</f>
        <v/>
      </c>
      <c r="E1283" s="88"/>
      <c r="F1283" s="83"/>
    </row>
    <row r="1284" spans="1:6">
      <c r="A1284" s="10" t="str">
        <f t="shared" si="60"/>
        <v/>
      </c>
      <c r="B1284" s="53"/>
      <c r="C1284" s="28" t="str">
        <f t="shared" si="61"/>
        <v/>
      </c>
      <c r="D1284" s="28" t="str">
        <f t="shared" si="62"/>
        <v/>
      </c>
      <c r="E1284" s="88"/>
      <c r="F1284" s="83"/>
    </row>
    <row r="1285" spans="1:6">
      <c r="A1285" s="10" t="str">
        <f t="shared" si="60"/>
        <v/>
      </c>
      <c r="B1285" s="53"/>
      <c r="C1285" s="28" t="str">
        <f t="shared" si="61"/>
        <v/>
      </c>
      <c r="D1285" s="28" t="str">
        <f t="shared" si="62"/>
        <v/>
      </c>
      <c r="E1285" s="88"/>
      <c r="F1285" s="83"/>
    </row>
    <row r="1286" spans="1:6">
      <c r="A1286" s="10" t="str">
        <f t="shared" si="60"/>
        <v/>
      </c>
      <c r="B1286" s="53"/>
      <c r="C1286" s="28" t="str">
        <f t="shared" si="61"/>
        <v/>
      </c>
      <c r="D1286" s="28" t="str">
        <f t="shared" si="62"/>
        <v/>
      </c>
      <c r="E1286" s="88"/>
      <c r="F1286" s="83"/>
    </row>
    <row r="1287" spans="1:6">
      <c r="A1287" s="10" t="str">
        <f t="shared" si="60"/>
        <v/>
      </c>
      <c r="B1287" s="53"/>
      <c r="C1287" s="28" t="str">
        <f t="shared" si="61"/>
        <v/>
      </c>
      <c r="D1287" s="28" t="str">
        <f t="shared" si="62"/>
        <v/>
      </c>
      <c r="E1287" s="88"/>
      <c r="F1287" s="83"/>
    </row>
    <row r="1288" spans="1:6">
      <c r="A1288" s="10" t="str">
        <f t="shared" si="60"/>
        <v/>
      </c>
      <c r="B1288" s="53"/>
      <c r="C1288" s="28" t="str">
        <f t="shared" si="61"/>
        <v/>
      </c>
      <c r="D1288" s="28" t="str">
        <f t="shared" si="62"/>
        <v/>
      </c>
      <c r="E1288" s="88"/>
      <c r="F1288" s="83"/>
    </row>
    <row r="1289" spans="1:6">
      <c r="A1289" s="10" t="str">
        <f t="shared" si="60"/>
        <v/>
      </c>
      <c r="B1289" s="53"/>
      <c r="C1289" s="28" t="str">
        <f t="shared" si="61"/>
        <v/>
      </c>
      <c r="D1289" s="28" t="str">
        <f t="shared" si="62"/>
        <v/>
      </c>
      <c r="E1289" s="88"/>
      <c r="F1289" s="83"/>
    </row>
    <row r="1290" spans="1:6">
      <c r="A1290" s="10" t="str">
        <f t="shared" si="60"/>
        <v/>
      </c>
      <c r="B1290" s="53"/>
      <c r="C1290" s="28" t="str">
        <f t="shared" si="61"/>
        <v/>
      </c>
      <c r="D1290" s="28" t="str">
        <f t="shared" si="62"/>
        <v/>
      </c>
      <c r="E1290" s="88"/>
      <c r="F1290" s="83"/>
    </row>
    <row r="1291" spans="1:6">
      <c r="A1291" s="10" t="str">
        <f t="shared" si="60"/>
        <v/>
      </c>
      <c r="B1291" s="53"/>
      <c r="C1291" s="28" t="str">
        <f t="shared" si="61"/>
        <v/>
      </c>
      <c r="D1291" s="28" t="str">
        <f t="shared" si="62"/>
        <v/>
      </c>
      <c r="E1291" s="88"/>
      <c r="F1291" s="83"/>
    </row>
    <row r="1292" spans="1:6">
      <c r="A1292" s="10" t="str">
        <f t="shared" si="60"/>
        <v/>
      </c>
      <c r="B1292" s="53"/>
      <c r="C1292" s="28" t="str">
        <f t="shared" si="61"/>
        <v/>
      </c>
      <c r="D1292" s="28" t="str">
        <f t="shared" si="62"/>
        <v/>
      </c>
      <c r="E1292" s="88"/>
      <c r="F1292" s="83"/>
    </row>
    <row r="1293" spans="1:6">
      <c r="A1293" s="10" t="str">
        <f t="shared" si="60"/>
        <v/>
      </c>
      <c r="B1293" s="53"/>
      <c r="C1293" s="28" t="str">
        <f t="shared" si="61"/>
        <v/>
      </c>
      <c r="D1293" s="28" t="str">
        <f t="shared" si="62"/>
        <v/>
      </c>
      <c r="E1293" s="88"/>
      <c r="F1293" s="83"/>
    </row>
    <row r="1294" spans="1:6">
      <c r="A1294" s="10" t="str">
        <f t="shared" si="60"/>
        <v/>
      </c>
      <c r="B1294" s="53"/>
      <c r="C1294" s="28" t="str">
        <f t="shared" si="61"/>
        <v/>
      </c>
      <c r="D1294" s="28" t="str">
        <f t="shared" si="62"/>
        <v/>
      </c>
      <c r="E1294" s="88"/>
      <c r="F1294" s="83"/>
    </row>
    <row r="1295" spans="1:6">
      <c r="A1295" s="10" t="str">
        <f t="shared" si="60"/>
        <v/>
      </c>
      <c r="B1295" s="53"/>
      <c r="C1295" s="28" t="str">
        <f t="shared" si="61"/>
        <v/>
      </c>
      <c r="D1295" s="28" t="str">
        <f t="shared" si="62"/>
        <v/>
      </c>
      <c r="E1295" s="88"/>
      <c r="F1295" s="83"/>
    </row>
    <row r="1296" spans="1:6">
      <c r="A1296" s="10" t="str">
        <f t="shared" si="60"/>
        <v/>
      </c>
      <c r="B1296" s="53"/>
      <c r="C1296" s="28" t="str">
        <f t="shared" si="61"/>
        <v/>
      </c>
      <c r="D1296" s="28" t="str">
        <f t="shared" si="62"/>
        <v/>
      </c>
      <c r="E1296" s="88"/>
      <c r="F1296" s="83"/>
    </row>
    <row r="1297" spans="1:6">
      <c r="A1297" s="10" t="str">
        <f t="shared" si="60"/>
        <v/>
      </c>
      <c r="B1297" s="53"/>
      <c r="C1297" s="28" t="str">
        <f t="shared" si="61"/>
        <v/>
      </c>
      <c r="D1297" s="28" t="str">
        <f t="shared" si="62"/>
        <v/>
      </c>
      <c r="E1297" s="88"/>
      <c r="F1297" s="83"/>
    </row>
    <row r="1298" spans="1:6">
      <c r="A1298" s="10" t="str">
        <f t="shared" si="60"/>
        <v/>
      </c>
      <c r="B1298" s="53"/>
      <c r="C1298" s="28" t="str">
        <f t="shared" si="61"/>
        <v/>
      </c>
      <c r="D1298" s="28" t="str">
        <f t="shared" si="62"/>
        <v/>
      </c>
      <c r="E1298" s="88"/>
      <c r="F1298" s="83"/>
    </row>
    <row r="1299" spans="1:6">
      <c r="A1299" s="10" t="str">
        <f t="shared" si="60"/>
        <v/>
      </c>
      <c r="B1299" s="53"/>
      <c r="C1299" s="28" t="str">
        <f t="shared" si="61"/>
        <v/>
      </c>
      <c r="D1299" s="28" t="str">
        <f t="shared" si="62"/>
        <v/>
      </c>
      <c r="E1299" s="88"/>
      <c r="F1299" s="83"/>
    </row>
    <row r="1300" spans="1:6">
      <c r="A1300" s="10" t="str">
        <f t="shared" si="60"/>
        <v/>
      </c>
      <c r="B1300" s="53"/>
      <c r="C1300" s="28" t="str">
        <f t="shared" si="61"/>
        <v/>
      </c>
      <c r="D1300" s="28" t="str">
        <f t="shared" si="62"/>
        <v/>
      </c>
      <c r="E1300" s="88"/>
      <c r="F1300" s="83"/>
    </row>
    <row r="1301" spans="1:6">
      <c r="A1301" s="10" t="str">
        <f t="shared" si="60"/>
        <v/>
      </c>
      <c r="B1301" s="53"/>
      <c r="C1301" s="28" t="str">
        <f t="shared" si="61"/>
        <v/>
      </c>
      <c r="D1301" s="28" t="str">
        <f t="shared" si="62"/>
        <v/>
      </c>
      <c r="E1301" s="88"/>
      <c r="F1301" s="83"/>
    </row>
    <row r="1302" spans="1:6">
      <c r="A1302" s="10" t="str">
        <f t="shared" si="60"/>
        <v/>
      </c>
      <c r="B1302" s="53"/>
      <c r="C1302" s="28" t="str">
        <f t="shared" si="61"/>
        <v/>
      </c>
      <c r="D1302" s="28" t="str">
        <f t="shared" si="62"/>
        <v/>
      </c>
      <c r="E1302" s="88"/>
      <c r="F1302" s="83"/>
    </row>
    <row r="1303" spans="1:6">
      <c r="A1303" s="10" t="str">
        <f t="shared" si="60"/>
        <v/>
      </c>
      <c r="B1303" s="53"/>
      <c r="C1303" s="28" t="str">
        <f t="shared" si="61"/>
        <v/>
      </c>
      <c r="D1303" s="28" t="str">
        <f t="shared" si="62"/>
        <v/>
      </c>
      <c r="E1303" s="88"/>
      <c r="F1303" s="83"/>
    </row>
    <row r="1304" spans="1:6">
      <c r="A1304" s="10" t="str">
        <f t="shared" si="60"/>
        <v/>
      </c>
      <c r="B1304" s="53"/>
      <c r="C1304" s="28" t="str">
        <f t="shared" si="61"/>
        <v/>
      </c>
      <c r="D1304" s="28" t="str">
        <f t="shared" si="62"/>
        <v/>
      </c>
      <c r="E1304" s="88"/>
      <c r="F1304" s="83"/>
    </row>
    <row r="1305" spans="1:6">
      <c r="A1305" s="10" t="str">
        <f t="shared" si="60"/>
        <v/>
      </c>
      <c r="B1305" s="53"/>
      <c r="C1305" s="28" t="str">
        <f t="shared" si="61"/>
        <v/>
      </c>
      <c r="D1305" s="28" t="str">
        <f t="shared" si="62"/>
        <v/>
      </c>
      <c r="E1305" s="88"/>
      <c r="F1305" s="83"/>
    </row>
    <row r="1306" spans="1:6">
      <c r="A1306" s="10" t="str">
        <f t="shared" si="60"/>
        <v/>
      </c>
      <c r="B1306" s="53"/>
      <c r="C1306" s="28" t="str">
        <f t="shared" si="61"/>
        <v/>
      </c>
      <c r="D1306" s="28" t="str">
        <f t="shared" si="62"/>
        <v/>
      </c>
      <c r="E1306" s="88"/>
      <c r="F1306" s="83"/>
    </row>
    <row r="1307" spans="1:6">
      <c r="A1307" s="10" t="str">
        <f t="shared" si="60"/>
        <v/>
      </c>
      <c r="B1307" s="53"/>
      <c r="C1307" s="28" t="str">
        <f t="shared" si="61"/>
        <v/>
      </c>
      <c r="D1307" s="28" t="str">
        <f t="shared" si="62"/>
        <v/>
      </c>
      <c r="E1307" s="88"/>
      <c r="F1307" s="83"/>
    </row>
    <row r="1308" spans="1:6">
      <c r="A1308" s="10" t="str">
        <f t="shared" si="60"/>
        <v/>
      </c>
      <c r="B1308" s="53"/>
      <c r="C1308" s="28" t="str">
        <f t="shared" si="61"/>
        <v/>
      </c>
      <c r="D1308" s="28" t="str">
        <f t="shared" si="62"/>
        <v/>
      </c>
      <c r="E1308" s="88"/>
      <c r="F1308" s="83"/>
    </row>
    <row r="1309" spans="1:6">
      <c r="A1309" s="10" t="str">
        <f t="shared" si="60"/>
        <v/>
      </c>
      <c r="B1309" s="53"/>
      <c r="C1309" s="28" t="str">
        <f t="shared" si="61"/>
        <v/>
      </c>
      <c r="D1309" s="28" t="str">
        <f t="shared" si="62"/>
        <v/>
      </c>
      <c r="E1309" s="88"/>
      <c r="F1309" s="83"/>
    </row>
    <row r="1310" spans="1:6">
      <c r="A1310" s="10" t="str">
        <f t="shared" si="60"/>
        <v/>
      </c>
      <c r="B1310" s="53"/>
      <c r="C1310" s="28" t="str">
        <f t="shared" si="61"/>
        <v/>
      </c>
      <c r="D1310" s="28" t="str">
        <f t="shared" si="62"/>
        <v/>
      </c>
      <c r="E1310" s="88"/>
      <c r="F1310" s="83"/>
    </row>
    <row r="1311" spans="1:6">
      <c r="A1311" s="10" t="str">
        <f t="shared" si="60"/>
        <v/>
      </c>
      <c r="B1311" s="53"/>
      <c r="C1311" s="28" t="str">
        <f t="shared" si="61"/>
        <v/>
      </c>
      <c r="D1311" s="28" t="str">
        <f t="shared" si="62"/>
        <v/>
      </c>
      <c r="E1311" s="88"/>
      <c r="F1311" s="83"/>
    </row>
    <row r="1312" spans="1:6">
      <c r="A1312" s="10" t="str">
        <f t="shared" si="60"/>
        <v/>
      </c>
      <c r="B1312" s="53"/>
      <c r="C1312" s="28" t="str">
        <f t="shared" si="61"/>
        <v/>
      </c>
      <c r="D1312" s="28" t="str">
        <f t="shared" si="62"/>
        <v/>
      </c>
      <c r="E1312" s="88"/>
      <c r="F1312" s="83"/>
    </row>
    <row r="1313" spans="1:6">
      <c r="A1313" s="10" t="str">
        <f t="shared" si="60"/>
        <v/>
      </c>
      <c r="B1313" s="53"/>
      <c r="C1313" s="28" t="str">
        <f t="shared" si="61"/>
        <v/>
      </c>
      <c r="D1313" s="28" t="str">
        <f t="shared" si="62"/>
        <v/>
      </c>
      <c r="E1313" s="88"/>
      <c r="F1313" s="83"/>
    </row>
    <row r="1314" spans="1:6">
      <c r="A1314" s="10" t="str">
        <f t="shared" si="60"/>
        <v/>
      </c>
      <c r="B1314" s="53"/>
      <c r="C1314" s="28" t="str">
        <f t="shared" si="61"/>
        <v/>
      </c>
      <c r="D1314" s="28" t="str">
        <f t="shared" si="62"/>
        <v/>
      </c>
      <c r="E1314" s="88"/>
      <c r="F1314" s="83"/>
    </row>
    <row r="1315" spans="1:6">
      <c r="A1315" s="10" t="str">
        <f t="shared" si="60"/>
        <v/>
      </c>
      <c r="B1315" s="53"/>
      <c r="C1315" s="28" t="str">
        <f t="shared" si="61"/>
        <v/>
      </c>
      <c r="D1315" s="28" t="str">
        <f t="shared" si="62"/>
        <v/>
      </c>
      <c r="E1315" s="88"/>
      <c r="F1315" s="83"/>
    </row>
    <row r="1316" spans="1:6">
      <c r="A1316" s="10" t="str">
        <f t="shared" si="60"/>
        <v/>
      </c>
      <c r="B1316" s="53"/>
      <c r="C1316" s="28" t="str">
        <f t="shared" si="61"/>
        <v/>
      </c>
      <c r="D1316" s="28" t="str">
        <f t="shared" si="62"/>
        <v/>
      </c>
      <c r="E1316" s="88"/>
      <c r="F1316" s="83"/>
    </row>
    <row r="1317" spans="1:6">
      <c r="A1317" s="10" t="str">
        <f t="shared" si="60"/>
        <v/>
      </c>
      <c r="B1317" s="53"/>
      <c r="C1317" s="28" t="str">
        <f t="shared" si="61"/>
        <v/>
      </c>
      <c r="D1317" s="28" t="str">
        <f t="shared" si="62"/>
        <v/>
      </c>
      <c r="E1317" s="88"/>
      <c r="F1317" s="83"/>
    </row>
    <row r="1318" spans="1:6">
      <c r="A1318" s="10" t="str">
        <f t="shared" si="60"/>
        <v/>
      </c>
      <c r="B1318" s="53"/>
      <c r="C1318" s="28" t="str">
        <f t="shared" si="61"/>
        <v/>
      </c>
      <c r="D1318" s="28" t="str">
        <f t="shared" si="62"/>
        <v/>
      </c>
      <c r="E1318" s="88"/>
      <c r="F1318" s="83"/>
    </row>
    <row r="1319" spans="1:6">
      <c r="A1319" s="10" t="str">
        <f t="shared" si="60"/>
        <v/>
      </c>
      <c r="B1319" s="53"/>
      <c r="C1319" s="28" t="str">
        <f t="shared" si="61"/>
        <v/>
      </c>
      <c r="D1319" s="28" t="str">
        <f t="shared" si="62"/>
        <v/>
      </c>
      <c r="E1319" s="88"/>
      <c r="F1319" s="83"/>
    </row>
    <row r="1320" spans="1:6">
      <c r="A1320" s="10" t="str">
        <f t="shared" si="60"/>
        <v/>
      </c>
      <c r="B1320" s="53"/>
      <c r="C1320" s="28" t="str">
        <f t="shared" si="61"/>
        <v/>
      </c>
      <c r="D1320" s="28" t="str">
        <f t="shared" si="62"/>
        <v/>
      </c>
      <c r="E1320" s="88"/>
      <c r="F1320" s="83"/>
    </row>
    <row r="1321" spans="1:6">
      <c r="A1321" s="10" t="str">
        <f t="shared" si="60"/>
        <v/>
      </c>
      <c r="B1321" s="53"/>
      <c r="C1321" s="28" t="str">
        <f t="shared" si="61"/>
        <v/>
      </c>
      <c r="D1321" s="28" t="str">
        <f t="shared" si="62"/>
        <v/>
      </c>
      <c r="E1321" s="88"/>
      <c r="F1321" s="83"/>
    </row>
    <row r="1322" spans="1:6">
      <c r="A1322" s="10" t="str">
        <f t="shared" si="60"/>
        <v/>
      </c>
      <c r="B1322" s="53"/>
      <c r="C1322" s="28" t="str">
        <f t="shared" si="61"/>
        <v/>
      </c>
      <c r="D1322" s="28" t="str">
        <f t="shared" si="62"/>
        <v/>
      </c>
      <c r="E1322" s="88"/>
      <c r="F1322" s="83"/>
    </row>
    <row r="1323" spans="1:6">
      <c r="A1323" s="10" t="str">
        <f t="shared" si="60"/>
        <v/>
      </c>
      <c r="B1323" s="53"/>
      <c r="C1323" s="28" t="str">
        <f t="shared" si="61"/>
        <v/>
      </c>
      <c r="D1323" s="28" t="str">
        <f t="shared" si="62"/>
        <v/>
      </c>
      <c r="E1323" s="88"/>
      <c r="F1323" s="83"/>
    </row>
    <row r="1324" spans="1:6">
      <c r="A1324" s="10" t="str">
        <f t="shared" si="60"/>
        <v/>
      </c>
      <c r="B1324" s="53"/>
      <c r="C1324" s="28" t="str">
        <f t="shared" si="61"/>
        <v/>
      </c>
      <c r="D1324" s="28" t="str">
        <f t="shared" si="62"/>
        <v/>
      </c>
      <c r="E1324" s="88"/>
      <c r="F1324" s="83"/>
    </row>
    <row r="1325" spans="1:6">
      <c r="A1325" s="10" t="str">
        <f t="shared" si="60"/>
        <v/>
      </c>
      <c r="B1325" s="53"/>
      <c r="C1325" s="28" t="str">
        <f t="shared" si="61"/>
        <v/>
      </c>
      <c r="D1325" s="28" t="str">
        <f t="shared" si="62"/>
        <v/>
      </c>
      <c r="E1325" s="88"/>
      <c r="F1325" s="83"/>
    </row>
    <row r="1326" spans="1:6">
      <c r="A1326" s="10" t="str">
        <f t="shared" si="60"/>
        <v/>
      </c>
      <c r="B1326" s="53"/>
      <c r="C1326" s="28" t="str">
        <f t="shared" si="61"/>
        <v/>
      </c>
      <c r="D1326" s="28" t="str">
        <f t="shared" si="62"/>
        <v/>
      </c>
      <c r="E1326" s="88"/>
      <c r="F1326" s="83"/>
    </row>
    <row r="1327" spans="1:6">
      <c r="A1327" s="10" t="str">
        <f t="shared" si="60"/>
        <v/>
      </c>
      <c r="B1327" s="53"/>
      <c r="C1327" s="28" t="str">
        <f t="shared" si="61"/>
        <v/>
      </c>
      <c r="D1327" s="28" t="str">
        <f t="shared" si="62"/>
        <v/>
      </c>
      <c r="E1327" s="88"/>
      <c r="F1327" s="83"/>
    </row>
    <row r="1328" spans="1:6">
      <c r="A1328" s="10" t="str">
        <f t="shared" si="60"/>
        <v/>
      </c>
      <c r="B1328" s="53"/>
      <c r="C1328" s="28" t="str">
        <f t="shared" si="61"/>
        <v/>
      </c>
      <c r="D1328" s="28" t="str">
        <f t="shared" si="62"/>
        <v/>
      </c>
      <c r="E1328" s="88"/>
      <c r="F1328" s="83"/>
    </row>
    <row r="1329" spans="1:6">
      <c r="A1329" s="10" t="str">
        <f t="shared" si="60"/>
        <v/>
      </c>
      <c r="B1329" s="53"/>
      <c r="C1329" s="28" t="str">
        <f t="shared" si="61"/>
        <v/>
      </c>
      <c r="D1329" s="28" t="str">
        <f t="shared" si="62"/>
        <v/>
      </c>
      <c r="E1329" s="88"/>
      <c r="F1329" s="83"/>
    </row>
    <row r="1330" spans="1:6">
      <c r="A1330" s="10" t="str">
        <f t="shared" si="60"/>
        <v/>
      </c>
      <c r="B1330" s="53"/>
      <c r="C1330" s="28" t="str">
        <f t="shared" si="61"/>
        <v/>
      </c>
      <c r="D1330" s="28" t="str">
        <f t="shared" si="62"/>
        <v/>
      </c>
      <c r="E1330" s="88"/>
      <c r="F1330" s="83"/>
    </row>
    <row r="1331" spans="1:6">
      <c r="A1331" s="10" t="str">
        <f t="shared" si="60"/>
        <v/>
      </c>
      <c r="B1331" s="53"/>
      <c r="C1331" s="28" t="str">
        <f t="shared" si="61"/>
        <v/>
      </c>
      <c r="D1331" s="28" t="str">
        <f t="shared" si="62"/>
        <v/>
      </c>
      <c r="E1331" s="88"/>
      <c r="F1331" s="83"/>
    </row>
    <row r="1332" spans="1:6">
      <c r="A1332" s="10" t="str">
        <f t="shared" si="60"/>
        <v/>
      </c>
      <c r="B1332" s="53"/>
      <c r="C1332" s="28" t="str">
        <f t="shared" si="61"/>
        <v/>
      </c>
      <c r="D1332" s="28" t="str">
        <f t="shared" si="62"/>
        <v/>
      </c>
      <c r="E1332" s="88"/>
      <c r="F1332" s="83"/>
    </row>
    <row r="1333" spans="1:6">
      <c r="A1333" s="10" t="str">
        <f t="shared" si="60"/>
        <v/>
      </c>
      <c r="B1333" s="53"/>
      <c r="C1333" s="28" t="str">
        <f t="shared" si="61"/>
        <v/>
      </c>
      <c r="D1333" s="28" t="str">
        <f t="shared" si="62"/>
        <v/>
      </c>
      <c r="E1333" s="88"/>
      <c r="F1333" s="83"/>
    </row>
    <row r="1334" spans="1:6">
      <c r="A1334" s="10" t="str">
        <f t="shared" si="60"/>
        <v/>
      </c>
      <c r="B1334" s="53"/>
      <c r="C1334" s="28" t="str">
        <f t="shared" si="61"/>
        <v/>
      </c>
      <c r="D1334" s="28" t="str">
        <f t="shared" si="62"/>
        <v/>
      </c>
      <c r="E1334" s="88"/>
      <c r="F1334" s="83"/>
    </row>
    <row r="1335" spans="1:6">
      <c r="A1335" s="10" t="str">
        <f t="shared" si="60"/>
        <v/>
      </c>
      <c r="B1335" s="53"/>
      <c r="C1335" s="28" t="str">
        <f t="shared" si="61"/>
        <v/>
      </c>
      <c r="D1335" s="28" t="str">
        <f t="shared" si="62"/>
        <v/>
      </c>
      <c r="E1335" s="88"/>
      <c r="F1335" s="83"/>
    </row>
    <row r="1336" spans="1:6">
      <c r="A1336" s="10" t="str">
        <f t="shared" si="60"/>
        <v/>
      </c>
      <c r="B1336" s="53"/>
      <c r="C1336" s="28" t="str">
        <f t="shared" si="61"/>
        <v/>
      </c>
      <c r="D1336" s="28" t="str">
        <f t="shared" si="62"/>
        <v/>
      </c>
      <c r="E1336" s="88"/>
      <c r="F1336" s="83"/>
    </row>
    <row r="1337" spans="1:6">
      <c r="A1337" s="10" t="str">
        <f t="shared" si="60"/>
        <v/>
      </c>
      <c r="B1337" s="53"/>
      <c r="C1337" s="28" t="str">
        <f t="shared" si="61"/>
        <v/>
      </c>
      <c r="D1337" s="28" t="str">
        <f t="shared" si="62"/>
        <v/>
      </c>
      <c r="E1337" s="88"/>
      <c r="F1337" s="83"/>
    </row>
    <row r="1338" spans="1:6">
      <c r="A1338" s="10" t="str">
        <f t="shared" si="60"/>
        <v/>
      </c>
      <c r="B1338" s="53"/>
      <c r="C1338" s="28" t="str">
        <f t="shared" si="61"/>
        <v/>
      </c>
      <c r="D1338" s="28" t="str">
        <f t="shared" si="62"/>
        <v/>
      </c>
      <c r="E1338" s="88"/>
      <c r="F1338" s="83"/>
    </row>
    <row r="1339" spans="1:6">
      <c r="A1339" s="10" t="str">
        <f t="shared" si="60"/>
        <v/>
      </c>
      <c r="B1339" s="53"/>
      <c r="C1339" s="28" t="str">
        <f t="shared" si="61"/>
        <v/>
      </c>
      <c r="D1339" s="28" t="str">
        <f t="shared" si="62"/>
        <v/>
      </c>
      <c r="E1339" s="88"/>
      <c r="F1339" s="83"/>
    </row>
    <row r="1340" spans="1:6">
      <c r="A1340" s="10" t="str">
        <f t="shared" si="60"/>
        <v/>
      </c>
      <c r="B1340" s="53"/>
      <c r="C1340" s="28" t="str">
        <f t="shared" si="61"/>
        <v/>
      </c>
      <c r="D1340" s="28" t="str">
        <f t="shared" si="62"/>
        <v/>
      </c>
      <c r="E1340" s="88"/>
      <c r="F1340" s="83"/>
    </row>
    <row r="1341" spans="1:6">
      <c r="A1341" s="10" t="str">
        <f t="shared" si="60"/>
        <v/>
      </c>
      <c r="B1341" s="53"/>
      <c r="C1341" s="28" t="str">
        <f t="shared" si="61"/>
        <v/>
      </c>
      <c r="D1341" s="28" t="str">
        <f t="shared" si="62"/>
        <v/>
      </c>
      <c r="E1341" s="88"/>
      <c r="F1341" s="83"/>
    </row>
    <row r="1342" spans="1:6">
      <c r="A1342" s="10" t="str">
        <f t="shared" si="60"/>
        <v/>
      </c>
      <c r="B1342" s="53"/>
      <c r="C1342" s="28" t="str">
        <f t="shared" si="61"/>
        <v/>
      </c>
      <c r="D1342" s="28" t="str">
        <f t="shared" si="62"/>
        <v/>
      </c>
      <c r="E1342" s="88"/>
      <c r="F1342" s="83"/>
    </row>
    <row r="1343" spans="1:6">
      <c r="A1343" s="10" t="str">
        <f t="shared" si="60"/>
        <v/>
      </c>
      <c r="B1343" s="53"/>
      <c r="C1343" s="28" t="str">
        <f t="shared" si="61"/>
        <v/>
      </c>
      <c r="D1343" s="28" t="str">
        <f t="shared" si="62"/>
        <v/>
      </c>
      <c r="E1343" s="88"/>
      <c r="F1343" s="83"/>
    </row>
    <row r="1344" spans="1:6">
      <c r="A1344" s="10" t="str">
        <f t="shared" si="60"/>
        <v/>
      </c>
      <c r="B1344" s="53"/>
      <c r="C1344" s="28" t="str">
        <f t="shared" si="61"/>
        <v/>
      </c>
      <c r="D1344" s="28" t="str">
        <f t="shared" si="62"/>
        <v/>
      </c>
      <c r="E1344" s="88"/>
      <c r="F1344" s="83"/>
    </row>
    <row r="1345" spans="1:6">
      <c r="A1345" s="10" t="str">
        <f t="shared" si="60"/>
        <v/>
      </c>
      <c r="B1345" s="53"/>
      <c r="C1345" s="28" t="str">
        <f t="shared" si="61"/>
        <v/>
      </c>
      <c r="D1345" s="28" t="str">
        <f t="shared" si="62"/>
        <v/>
      </c>
      <c r="E1345" s="88"/>
      <c r="F1345" s="83"/>
    </row>
    <row r="1346" spans="1:6">
      <c r="A1346" s="10" t="str">
        <f t="shared" si="60"/>
        <v/>
      </c>
      <c r="B1346" s="53"/>
      <c r="C1346" s="28" t="str">
        <f>IF(B1346=0,"",TEXT(B1346,"mmmm"))</f>
        <v/>
      </c>
      <c r="D1346" s="28" t="str">
        <f>IF(B1346=0,"",TEXT(B1346,"yyyy"))</f>
        <v/>
      </c>
      <c r="E1346" s="88"/>
      <c r="F1346" s="83"/>
    </row>
    <row r="1347" spans="1:6">
      <c r="A1347" s="10" t="str">
        <f t="shared" si="60"/>
        <v/>
      </c>
      <c r="B1347" s="53"/>
      <c r="C1347" s="28" t="str">
        <f>IF(B1347=0,"",TEXT(B1347,"mmmm"))</f>
        <v/>
      </c>
      <c r="D1347" s="28" t="str">
        <f>IF(B1347=0,"",TEXT(B1347,"yyyy"))</f>
        <v/>
      </c>
      <c r="E1347" s="88"/>
      <c r="F1347" s="83"/>
    </row>
    <row r="1348" spans="1:6">
      <c r="A1348" s="10" t="str">
        <f t="shared" si="60"/>
        <v/>
      </c>
      <c r="B1348" s="53"/>
      <c r="C1348" s="28" t="str">
        <f>IF(B1348=0,"",TEXT(B1348,"mmmm"))</f>
        <v/>
      </c>
      <c r="D1348" s="28" t="str">
        <f>IF(B1348=0,"",TEXT(B1348,"yyyy"))</f>
        <v/>
      </c>
      <c r="E1348" s="88"/>
      <c r="F1348" s="83"/>
    </row>
  </sheetData>
  <sheetProtection algorithmName="SHA-512" hashValue="1KGwQXMSSl7ES18x8zgu+TvSb4vpoYN5REdNHHz8EFMg0hfnh6esbDLIYtMGjGODmq5TgK/BQ5akjXTBRyYsqQ==" saltValue="1feOYTd8I0zGPvBb61LTkQ==" spinCount="100000" sheet="1" objects="1" scenarios="1" selectLockedCell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2FADD-2A29-2044-9162-185EF3290881}">
  <sheetPr codeName="Sheet9"/>
  <dimension ref="A1:AB2944"/>
  <sheetViews>
    <sheetView zoomScale="150" workbookViewId="0">
      <selection activeCell="A8" sqref="A8"/>
    </sheetView>
  </sheetViews>
  <sheetFormatPr baseColWidth="10" defaultRowHeight="16"/>
  <cols>
    <col min="1" max="1" width="14.1640625" style="107" bestFit="1" customWidth="1"/>
    <col min="2" max="2" width="10.83203125" style="107"/>
    <col min="3" max="3" width="10.83203125" style="90"/>
    <col min="4" max="4" width="26.1640625" style="90" bestFit="1" customWidth="1"/>
    <col min="5" max="6" width="10.83203125" style="90"/>
    <col min="7" max="7" width="13.33203125" style="90" bestFit="1" customWidth="1"/>
    <col min="8" max="8" width="14" style="90" bestFit="1" customWidth="1"/>
    <col min="9" max="9" width="10.83203125" style="90"/>
    <col min="10" max="10" width="14" style="90" bestFit="1" customWidth="1"/>
    <col min="11" max="19" width="10.83203125" style="90"/>
    <col min="20" max="20" width="15.1640625" style="90" bestFit="1" customWidth="1"/>
    <col min="21" max="21" width="16" style="90" bestFit="1" customWidth="1"/>
    <col min="22" max="22" width="16" style="90" customWidth="1"/>
    <col min="23" max="25" width="10.83203125" style="90"/>
    <col min="26" max="26" width="14" style="90" bestFit="1" customWidth="1"/>
    <col min="27" max="16384" width="10.83203125" style="90"/>
  </cols>
  <sheetData>
    <row r="1" spans="1:28">
      <c r="A1" s="107" t="s">
        <v>3</v>
      </c>
      <c r="B1" s="107" t="s">
        <v>9</v>
      </c>
      <c r="D1" s="90" t="str">
        <f>IF('Product List'!C1="","",'Product List'!C1)</f>
        <v>Product Name</v>
      </c>
      <c r="E1" s="90" t="str">
        <f>IF('Product List'!B1="","",'Product List'!B1)</f>
        <v>Product ID</v>
      </c>
      <c r="G1" s="90" t="s">
        <v>4</v>
      </c>
      <c r="H1" s="90" t="s">
        <v>16</v>
      </c>
      <c r="I1" s="90" t="s">
        <v>22</v>
      </c>
      <c r="J1" s="91" t="s">
        <v>3</v>
      </c>
      <c r="M1" s="92" t="s">
        <v>33</v>
      </c>
      <c r="N1" s="93"/>
      <c r="O1" s="93"/>
      <c r="P1" s="94"/>
      <c r="T1" s="90" t="s">
        <v>15</v>
      </c>
      <c r="U1" s="95" t="s">
        <v>57</v>
      </c>
      <c r="V1" s="95"/>
      <c r="Z1" s="91" t="s">
        <v>3</v>
      </c>
      <c r="AA1" s="90" t="s">
        <v>121</v>
      </c>
    </row>
    <row r="2" spans="1:28">
      <c r="A2" s="107" t="s">
        <v>8</v>
      </c>
      <c r="B2" s="107" t="s">
        <v>10</v>
      </c>
      <c r="D2" s="90" t="str">
        <f>IF('Product List'!C2="","",'Product List'!C2)</f>
        <v xml:space="preserve">JW PIE Mini Hana - Light Brown </v>
      </c>
      <c r="E2" s="90" t="str">
        <f>IF('Product List'!B2="","",'Product List'!B2)</f>
        <v>TB-001</v>
      </c>
      <c r="G2" s="90" t="s">
        <v>19</v>
      </c>
      <c r="H2" s="90" t="s">
        <v>20</v>
      </c>
      <c r="I2" s="90" t="s">
        <v>23</v>
      </c>
      <c r="J2" s="90" t="s">
        <v>31</v>
      </c>
      <c r="M2" s="96" t="s">
        <v>34</v>
      </c>
      <c r="N2" s="97">
        <f>IF(AND(Q6="All",Q5="All"),
    SUM('Purchase Record'!I:I),
IF(Q6="All",
    SUMIFS('Purchase Record'!I:I,'Purchase Record'!C:C,Q5),
IF(Q5="All",
    SUMIFS('Purchase Record'!I:I,'Purchase Record'!D:D,Q6),
    SUMIFS('Purchase Record'!I:I,
           'Purchase Record'!C:C,Q5,
           'Purchase Record'!D:D,Q6)
)))</f>
        <v>160000</v>
      </c>
      <c r="O2" s="96" t="s">
        <v>35</v>
      </c>
      <c r="P2" s="97">
        <f>IF(AND(Q6="All",Q5="All"),
    SUMIF(SocialEXP!E:E,"&lt;&gt;Capital invested",SocialEXP!I:I),
IF(Q6="All",
    SUMIFS(SocialEXP!I:I,SocialEXP!C:C,Q5,SocialEXP!E:E,"&lt;&gt;Capital invested"),
IF(Q5="All",
    SUMIFS(SocialEXP!I:I,SocialEXP!D:D,Q6,SocialEXP!E:E,"&lt;&gt;Capital invested"),
    SUMIFS(SocialEXP!I:I,
           SocialEXP!C:C,Q5,
           SocialEXP!D:D,Q6,SocialEXP!E:E,"&lt;&gt;Capital invested")
)))</f>
        <v>13000</v>
      </c>
      <c r="Q2" s="98">
        <f>IF(AND(Q6="All",Q5="All"),
    SUMIF(SocialEXP!E:E,"&lt;&gt;Capital invested",SocialEXP!I:I),
IF(Q6="All",
    SUMIFS(SocialEXP!I:I,SocialEXP!C:C,Q5,SocialEXP!E:E,"&lt;&gt;Capital invested"),
IF(Q5="All",
    SUMIFS(SocialEXP!I:I,SocialEXP!D:D,Q6,SocialEXP!E:E,"&lt;&gt;Capital invested"),
    SUMIFS(SocialEXP!I:I,
           SocialEXP!C:C,Q5,
           SocialEXP!D:D,Q6,SocialEXP!E:E,"&lt;&gt;Capital invested")
)))</f>
        <v>13000</v>
      </c>
      <c r="T2" s="90" t="s">
        <v>58</v>
      </c>
      <c r="U2" s="90" t="s">
        <v>61</v>
      </c>
      <c r="Z2" s="90" t="s">
        <v>105</v>
      </c>
      <c r="AA2" s="90" t="s">
        <v>131</v>
      </c>
      <c r="AB2" s="90" t="s">
        <v>122</v>
      </c>
    </row>
    <row r="3" spans="1:28">
      <c r="A3" s="107" t="s">
        <v>51</v>
      </c>
      <c r="B3" s="107" t="s">
        <v>52</v>
      </c>
      <c r="D3" s="90" t="str">
        <f>IF('Product List'!C3="","",'Product List'!C3)</f>
        <v>JW PIE Mini Hana - Black</v>
      </c>
      <c r="E3" s="90" t="str">
        <f>IF('Product List'!B3="","",'Product List'!B3)</f>
        <v>TB-002</v>
      </c>
      <c r="G3" s="90" t="s">
        <v>113</v>
      </c>
      <c r="H3" s="90" t="s">
        <v>21</v>
      </c>
      <c r="I3" s="90" t="s">
        <v>24</v>
      </c>
      <c r="J3" s="90" t="s">
        <v>96</v>
      </c>
      <c r="L3" s="99" t="s">
        <v>78</v>
      </c>
      <c r="M3" s="97">
        <f>N2-O27</f>
        <v>160000</v>
      </c>
      <c r="O3" s="90" t="s">
        <v>101</v>
      </c>
      <c r="P3" s="98">
        <f>IF(AND(Q6="All",Q5="All"),
    SUM('Other EXP'!E:E),
IF(Q6="All",
    SUMIFS('Other EXP'!I:I,'Other EXP'!C:C,Q5),
IF(Q5="All",
    SUMIFS('Other EXP'!I:I,'Other EXP'!D:D,Q6),
    SUMIFS('Other EXP'!I:I,
           'Other EXP'!C:C,Q5,
          'Other EXP'!D:D,Q6)
)))</f>
        <v>13000</v>
      </c>
      <c r="T3" s="90" t="s">
        <v>59</v>
      </c>
      <c r="Z3" s="90" t="s">
        <v>106</v>
      </c>
      <c r="AA3" s="90" t="s">
        <v>132</v>
      </c>
      <c r="AB3" s="90" t="s">
        <v>123</v>
      </c>
    </row>
    <row r="4" spans="1:28">
      <c r="A4" s="47" t="s">
        <v>111</v>
      </c>
      <c r="B4" s="107" t="s">
        <v>112</v>
      </c>
      <c r="D4" s="90" t="str">
        <f>IF('Product List'!C4="","",'Product List'!C4)</f>
        <v>JW PIE Elora Woven - Black</v>
      </c>
      <c r="E4" s="90" t="str">
        <f>IF('Product List'!B4="","",'Product List'!B4)</f>
        <v>TB-003</v>
      </c>
      <c r="M4" s="90" t="s">
        <v>32</v>
      </c>
      <c r="O4" s="97">
        <f>N2+P2-O27</f>
        <v>173000</v>
      </c>
      <c r="AA4" s="90" t="s">
        <v>133</v>
      </c>
    </row>
    <row r="5" spans="1:28">
      <c r="D5" s="90" t="str">
        <f>IF('Product List'!C5="","",'Product List'!C5)</f>
        <v>JW PIE Elora Woven - Brown</v>
      </c>
      <c r="E5" s="90" t="str">
        <f>IF('Product List'!B5="","",'Product List'!B5)</f>
        <v>TB-004</v>
      </c>
      <c r="M5" s="100">
        <f>N2+P3</f>
        <v>173000</v>
      </c>
      <c r="N5" s="100"/>
      <c r="Q5" s="90" t="str">
        <f>INDEX(O$7:O$19,Q7)</f>
        <v>All</v>
      </c>
      <c r="R5" s="90" t="s">
        <v>26</v>
      </c>
    </row>
    <row r="6" spans="1:28">
      <c r="D6" s="90" t="str">
        <f>IF('Product List'!C6="","",'Product List'!C6)</f>
        <v/>
      </c>
      <c r="E6" s="90" t="str">
        <f>IF('Product List'!B6="","",'Product List'!B6)</f>
        <v/>
      </c>
      <c r="Q6" s="90">
        <f>INDEX(P$7:P$19,Q8)</f>
        <v>2026</v>
      </c>
      <c r="R6" s="90" t="s">
        <v>18</v>
      </c>
    </row>
    <row r="7" spans="1:28">
      <c r="D7" s="90" t="str">
        <f>IF('Product List'!C7="","",'Product List'!C7)</f>
        <v/>
      </c>
      <c r="E7" s="90" t="str">
        <f>IF('Product List'!B7="","",'Product List'!B7)</f>
        <v/>
      </c>
      <c r="L7" s="90" t="s">
        <v>68</v>
      </c>
      <c r="M7" s="90" t="s">
        <v>80</v>
      </c>
      <c r="N7" s="90" t="s">
        <v>81</v>
      </c>
      <c r="O7" s="90" t="s">
        <v>36</v>
      </c>
      <c r="P7" s="90" t="s">
        <v>36</v>
      </c>
      <c r="Q7" s="90">
        <v>1</v>
      </c>
      <c r="R7" s="90" t="s">
        <v>26</v>
      </c>
      <c r="S7" s="96" t="s">
        <v>34</v>
      </c>
      <c r="T7" s="96" t="s">
        <v>35</v>
      </c>
      <c r="U7" s="90" t="s">
        <v>70</v>
      </c>
      <c r="V7" s="90" t="s">
        <v>104</v>
      </c>
      <c r="W7" s="90" t="s">
        <v>94</v>
      </c>
      <c r="X7" s="90" t="s">
        <v>75</v>
      </c>
    </row>
    <row r="8" spans="1:28" ht="17" thickBot="1">
      <c r="D8" s="90" t="str">
        <f>IF('Product List'!C8="","",'Product List'!C8)</f>
        <v/>
      </c>
      <c r="E8" s="90" t="str">
        <f>IF('Product List'!B8="","",'Product List'!B8)</f>
        <v/>
      </c>
      <c r="K8" s="90" t="s">
        <v>82</v>
      </c>
      <c r="L8" s="100">
        <f>N(IF(IF($Q$6="All",
    SUMIFS('Sales Return'!I:I,'Sales Return'!C:C,O8),
    SUMIFS('Sales Return'!I:I,
           'Sales Return'!C:C,O8,
           'Sales Return'!D:D,$Q$6)
)=0,"",IF($Q$6="All",
    SUMIFS('Sales Return'!I:I,'Sales Return'!C:C,O8),
    SUMIFS('Sales Return'!I:I,
           'Sales Return'!C:C,O8,
           'Sales Return'!D:D,$Q$6)
)))</f>
        <v>0</v>
      </c>
      <c r="M8" s="100">
        <f>N(IF(IF($Q$6="All",
SUMIFS('Sales Record'!O:O,'Sales Record'!C:C,O8),
SUMIFS('Sales Record'!O:O,
'Sales Record'!C:C,O8,
'Sales Record'!D:D,$Q$6)
)=0,"",(IF($Q$6="All",
SUMIFS('Sales Record'!O:O,'Sales Record'!C:C,O8),
SUMIFS('Sales Record'!O:O,
'Sales Record'!C:C,O8,
'Sales Record'!D:D,$Q$6)
))))</f>
        <v>0</v>
      </c>
      <c r="N8" s="100" t="str">
        <f>IFERROR(IF(M8-L8=0,"",M8-L8),"")</f>
        <v/>
      </c>
      <c r="O8" s="90" t="s">
        <v>37</v>
      </c>
      <c r="P8" s="90">
        <v>2026</v>
      </c>
      <c r="Q8" s="90">
        <v>2</v>
      </c>
      <c r="R8" s="90" t="s">
        <v>18</v>
      </c>
      <c r="S8" s="100">
        <f>IF($Q$6="All",
SUMIFS('Purchase Record'!I:I,'Purchase Record'!C:C,O8),
SUMIFS('Purchase Record'!I:I,
'Purchase Record'!C:C,O8,
'Purchase Record'!D:D,$Q$6)
)</f>
        <v>0</v>
      </c>
      <c r="T8" s="100">
        <f>IF($Q$6="All",
SUMIFS(SocialEXP!I:I,SocialEXP!C:C,O8,SocialEXP!E:E,"&lt;&gt;Capital invested"),
SUMIFS(SocialEXP!I:I,
SocialEXP!C:C,O8,SocialEXP!E:E,"&lt;&gt;Capital invested",
SocialEXP!D:D,$Q$6))</f>
        <v>0</v>
      </c>
      <c r="U8" s="100">
        <f>IF($Q$6="All",
SUMIFS('Purchase Return'!I:I,'Purchase Return'!C:C,O8),
SUMIFS('Purchase Return'!I:I,
'Purchase Return'!C:C,O8,
'Purchase Return'!D:D,$Q$6))</f>
        <v>0</v>
      </c>
      <c r="V8" s="100">
        <f>IF($Q$6="All",
SUMIFS('Other EXP'!I:I,'Other EXP'!C:C,O8),
SUMIFS('Other EXP'!I:I,
'Other EXP'!C:C,O8,
'Other EXP'!D:D,$Q$6))</f>
        <v>0</v>
      </c>
      <c r="W8" s="100" t="str">
        <f>IF(S8+V8-U8=0,"",S8+V8-U8)</f>
        <v/>
      </c>
      <c r="X8" s="100" t="str">
        <f>IF(N(N8)-N(W8)=0,"",N(N8)-N(W8))</f>
        <v/>
      </c>
    </row>
    <row r="9" spans="1:28">
      <c r="D9" s="90" t="str">
        <f>IF('Product List'!C9="","",'Product List'!C9)</f>
        <v/>
      </c>
      <c r="E9" s="90" t="str">
        <f>IF('Product List'!B9="","",'Product List'!B9)</f>
        <v/>
      </c>
      <c r="K9" s="90" t="s">
        <v>83</v>
      </c>
      <c r="L9" s="100">
        <f>N(IF(IF($Q$6="All",
    SUMIFS('Sales Return'!I:I,'Sales Return'!C:C,O9),
    SUMIFS('Sales Return'!I:I,
           'Sales Return'!C:C,O9,
           'Sales Return'!D:D,$Q$6)
)=0,"",IF($Q$6="All",
    SUMIFS('Sales Return'!I:I,'Sales Return'!C:C,O9),
    SUMIFS('Sales Return'!I:I,
           'Sales Return'!C:C,O9,
           'Sales Return'!D:D,$Q$6)
)))</f>
        <v>0</v>
      </c>
      <c r="M9" s="100">
        <f>N(IF(IF($Q$6="All",
SUMIFS('Sales Record'!O:O,'Sales Record'!C:C,O9),
SUMIFS('Sales Record'!O:O,
'Sales Record'!C:C,O9,
'Sales Record'!D:D,$Q$6)
)=0,"",(IF($Q$6="All",
SUMIFS('Sales Record'!O:O,'Sales Record'!C:C,O9),
SUMIFS('Sales Record'!O:O,
'Sales Record'!C:C,O9,
'Sales Record'!D:D,$Q$6)
))))</f>
        <v>0</v>
      </c>
      <c r="N9" s="100" t="str">
        <f t="shared" ref="N9:N19" si="0">IFERROR(IF(M9-L9=0,"",M9-L9),"")</f>
        <v/>
      </c>
      <c r="O9" s="90" t="s">
        <v>38</v>
      </c>
      <c r="P9" s="90">
        <v>2027</v>
      </c>
      <c r="Q9" s="101" t="s">
        <v>100</v>
      </c>
      <c r="R9" s="102"/>
      <c r="S9" s="100">
        <f>IF($Q$6="All",
SUMIFS('Purchase Record'!I:I,'Purchase Record'!C:C,O9),
SUMIFS('Purchase Record'!I:I,
'Purchase Record'!C:C,O9,
'Purchase Record'!D:D,$Q$6)
)</f>
        <v>0</v>
      </c>
      <c r="T9" s="100">
        <f>IF($Q$6="All",
SUMIFS(SocialEXP!I:I,SocialEXP!C:C,O9,SocialEXP!E:E,"&lt;&gt;Capital invested"),
SUMIFS(SocialEXP!I:I,
SocialEXP!C:C,O9,SocialEXP!E:E,"&lt;&gt;Capital invested",
SocialEXP!D:D,$Q$6))</f>
        <v>0</v>
      </c>
      <c r="U9" s="100">
        <f>IF($Q$6="All",
SUMIFS('Purchase Return'!I:I,'Purchase Return'!C:C,O9),
SUMIFS('Purchase Return'!I:I,
'Purchase Return'!C:C,O9,
'Purchase Return'!D:D,$Q$6))</f>
        <v>0</v>
      </c>
      <c r="V9" s="100">
        <f>IF($Q$6="All",
SUMIFS('Other EXP'!I:I,'Other EXP'!C:C,O9),
SUMIFS('Other EXP'!I:I,
'Other EXP'!C:C,O9,
'Other EXP'!D:D,$Q$6))</f>
        <v>0</v>
      </c>
      <c r="W9" s="100" t="str">
        <f t="shared" ref="W9:W19" si="1">IF(S9+V9-U9=0,"",S9+V9-U9)</f>
        <v/>
      </c>
      <c r="X9" s="100" t="str">
        <f t="shared" ref="X9:X19" si="2">IF(N(N9)-N(W9)=0,"",N(N9)-N(W9))</f>
        <v/>
      </c>
    </row>
    <row r="10" spans="1:28" ht="17" thickBot="1">
      <c r="D10" s="90" t="str">
        <f>IF('Product List'!C10="","",'Product List'!C10)</f>
        <v/>
      </c>
      <c r="E10" s="90" t="str">
        <f>IF('Product List'!B10="","",'Product List'!B10)</f>
        <v/>
      </c>
      <c r="K10" s="90" t="s">
        <v>84</v>
      </c>
      <c r="L10" s="100">
        <f>N(IF(IF($Q$6="All",
    SUMIFS('Sales Return'!I:I,'Sales Return'!C:C,O10),
    SUMIFS('Sales Return'!I:I,
           'Sales Return'!C:C,O10,
           'Sales Return'!D:D,$Q$6)
)=0,"",IF($Q$6="All",
    SUMIFS('Sales Return'!I:I,'Sales Return'!C:C,O10),
    SUMIFS('Sales Return'!I:I,
           'Sales Return'!C:C,O10,
           'Sales Return'!D:D,$Q$6)
)))</f>
        <v>0</v>
      </c>
      <c r="M10" s="100">
        <f>N(IF(IF($Q$6="All",
SUMIFS('Sales Record'!O:O,'Sales Record'!C:C,O10),
SUMIFS('Sales Record'!O:O,
'Sales Record'!C:C,O10,
'Sales Record'!D:D,$Q$6)
)=0,"",(IF($Q$6="All",
SUMIFS('Sales Record'!O:O,'Sales Record'!C:C,O10),
SUMIFS('Sales Record'!O:O,
'Sales Record'!C:C,O10,
'Sales Record'!D:D,$Q$6)
))))</f>
        <v>0</v>
      </c>
      <c r="N10" s="100" t="str">
        <f t="shared" si="0"/>
        <v/>
      </c>
      <c r="O10" s="90" t="s">
        <v>39</v>
      </c>
      <c r="P10" s="90">
        <v>2028</v>
      </c>
      <c r="Q10" s="103">
        <f>(IF(AND(Q6="All",Q5="All"),
SUM('Ads investment'!F:F),
IF(Q6="All",
SUMIFS('Ads investment'!F:F,'Ads investment'!C:C,Q5),
IF(Q5="All",
SUMIFS('Ads investment'!F:F,'Ads investment'!D:D,Q6),
SUMIFS('Ads investment'!F:F,
'Ads investment'!C:C,Q5,
'Ads investment'!D:D,Q6)
))))</f>
        <v>13000</v>
      </c>
      <c r="R10" s="104"/>
      <c r="S10" s="100">
        <f>IF($Q$6="All",
SUMIFS('Purchase Record'!I:I,'Purchase Record'!C:C,O10),
SUMIFS('Purchase Record'!I:I,
'Purchase Record'!C:C,O10,
'Purchase Record'!D:D,$Q$6)
)</f>
        <v>0</v>
      </c>
      <c r="T10" s="100">
        <f>IF($Q$6="All",
SUMIFS(SocialEXP!I:I,SocialEXP!C:C,O10,SocialEXP!E:E,"&lt;&gt;Capital invested"),
SUMIFS(SocialEXP!I:I,
SocialEXP!C:C,O10,SocialEXP!E:E,"&lt;&gt;Capital invested",
SocialEXP!D:D,$Q$6))</f>
        <v>0</v>
      </c>
      <c r="U10" s="100">
        <f>IF($Q$6="All",
SUMIFS('Purchase Return'!I:I,'Purchase Return'!C:C,O10),
SUMIFS('Purchase Return'!I:I,
'Purchase Return'!C:C,O10,
'Purchase Return'!D:D,$Q$6))</f>
        <v>0</v>
      </c>
      <c r="V10" s="100">
        <f>IF($Q$6="All",
SUMIFS('Other EXP'!I:I,'Other EXP'!C:C,O10),
SUMIFS('Other EXP'!I:I,
'Other EXP'!C:C,O10,
'Other EXP'!D:D,$Q$6))</f>
        <v>0</v>
      </c>
      <c r="W10" s="100" t="str">
        <f t="shared" si="1"/>
        <v/>
      </c>
      <c r="X10" s="100" t="str">
        <f t="shared" si="2"/>
        <v/>
      </c>
    </row>
    <row r="11" spans="1:28">
      <c r="D11" s="90" t="str">
        <f>IF('Product List'!C11="","",'Product List'!C11)</f>
        <v/>
      </c>
      <c r="E11" s="90" t="str">
        <f>IF('Product List'!B11="","",'Product List'!B11)</f>
        <v/>
      </c>
      <c r="K11" s="90" t="s">
        <v>85</v>
      </c>
      <c r="L11" s="100">
        <f>N(IF(IF($Q$6="All",
    SUMIFS('Sales Return'!I:I,'Sales Return'!C:C,O11),
    SUMIFS('Sales Return'!I:I,
           'Sales Return'!C:C,O11,
           'Sales Return'!D:D,$Q$6)
)=0,"",IF($Q$6="All",
    SUMIFS('Sales Return'!I:I,'Sales Return'!C:C,O11),
    SUMIFS('Sales Return'!I:I,
           'Sales Return'!C:C,O11,
           'Sales Return'!D:D,$Q$6)
)))</f>
        <v>0</v>
      </c>
      <c r="M11" s="100">
        <f>N(IF(IF($Q$6="All",
SUMIFS('Sales Record'!O:O,'Sales Record'!C:C,O11),
SUMIFS('Sales Record'!O:O,
'Sales Record'!C:C,O11,
'Sales Record'!D:D,$Q$6)
)=0,"",(IF($Q$6="All",
SUMIFS('Sales Record'!O:O,'Sales Record'!C:C,O11),
SUMIFS('Sales Record'!O:O,
'Sales Record'!C:C,O11,
'Sales Record'!D:D,$Q$6)
))))</f>
        <v>0</v>
      </c>
      <c r="N11" s="100" t="str">
        <f t="shared" si="0"/>
        <v/>
      </c>
      <c r="O11" s="90" t="s">
        <v>40</v>
      </c>
      <c r="P11" s="90">
        <v>2029</v>
      </c>
      <c r="S11" s="100">
        <f>IF($Q$6="All",
SUMIFS('Purchase Record'!I:I,'Purchase Record'!C:C,O11),
SUMIFS('Purchase Record'!I:I,
'Purchase Record'!C:C,O11,
'Purchase Record'!D:D,$Q$6)
)</f>
        <v>160000</v>
      </c>
      <c r="T11" s="100">
        <f>IF($Q$6="All",
SUMIFS(SocialEXP!I:I,SocialEXP!C:C,O11,SocialEXP!E:E,"&lt;&gt;Capital invested"),
SUMIFS(SocialEXP!I:I,
SocialEXP!C:C,O11,SocialEXP!E:E,"&lt;&gt;Capital invested",
SocialEXP!D:D,$Q$6))</f>
        <v>0</v>
      </c>
      <c r="U11" s="100">
        <f>IF($Q$6="All",
SUMIFS('Purchase Return'!I:I,'Purchase Return'!C:C,O11),
SUMIFS('Purchase Return'!I:I,
'Purchase Return'!C:C,O11,
'Purchase Return'!D:D,$Q$6))</f>
        <v>0</v>
      </c>
      <c r="V11" s="100">
        <f>IF($Q$6="All",
SUMIFS('Other EXP'!I:I,'Other EXP'!C:C,O11),
SUMIFS('Other EXP'!I:I,
'Other EXP'!C:C,O11,
'Other EXP'!D:D,$Q$6))</f>
        <v>0</v>
      </c>
      <c r="W11" s="100">
        <f t="shared" si="1"/>
        <v>160000</v>
      </c>
      <c r="X11" s="100">
        <f>IF(N(N11)-N(W11)=0,"",N(N11)-N(W11))</f>
        <v>-160000</v>
      </c>
    </row>
    <row r="12" spans="1:28">
      <c r="D12" s="90" t="str">
        <f>IF('Product List'!C12="","",'Product List'!C12)</f>
        <v/>
      </c>
      <c r="E12" s="90" t="str">
        <f>IF('Product List'!B12="","",'Product List'!B12)</f>
        <v/>
      </c>
      <c r="K12" s="90" t="s">
        <v>41</v>
      </c>
      <c r="L12" s="100">
        <f>N(IF(IF($Q$6="All",
    SUMIFS('Sales Return'!I:I,'Sales Return'!C:C,O12),
    SUMIFS('Sales Return'!I:I,
           'Sales Return'!C:C,O12,
           'Sales Return'!D:D,$Q$6)
)=0,"",IF($Q$6="All",
    SUMIFS('Sales Return'!I:I,'Sales Return'!C:C,O12),
    SUMIFS('Sales Return'!I:I,
           'Sales Return'!C:C,O12,
           'Sales Return'!D:D,$Q$6)
)))</f>
        <v>0</v>
      </c>
      <c r="M12" s="100">
        <f>N(IF(IF($Q$6="All",
SUMIFS('Sales Record'!O:O,'Sales Record'!C:C,O12),
SUMIFS('Sales Record'!O:O,
'Sales Record'!C:C,O12,
'Sales Record'!D:D,$Q$6)
)=0,"",(IF($Q$6="All",
SUMIFS('Sales Record'!O:O,'Sales Record'!C:C,O12),
SUMIFS('Sales Record'!O:O,
'Sales Record'!C:C,O12,
'Sales Record'!D:D,$Q$6)
))))</f>
        <v>0</v>
      </c>
      <c r="N12" s="100" t="str">
        <f t="shared" si="0"/>
        <v/>
      </c>
      <c r="O12" s="90" t="s">
        <v>41</v>
      </c>
      <c r="P12" s="90">
        <v>2030</v>
      </c>
      <c r="Q12" s="105">
        <f>SUMIF(SocialEXP!E:E,"&lt;&gt;Capital invested",SocialEXP!I:I)</f>
        <v>13000</v>
      </c>
      <c r="R12" s="100">
        <f>Q10-Q12</f>
        <v>0</v>
      </c>
      <c r="S12" s="100">
        <f>IF($Q$6="All",
SUMIFS('Purchase Record'!I:I,'Purchase Record'!C:C,O12),
SUMIFS('Purchase Record'!I:I,
'Purchase Record'!C:C,O12,
'Purchase Record'!D:D,$Q$6)
)</f>
        <v>0</v>
      </c>
      <c r="T12" s="100">
        <f>IF($Q$6="All",
SUMIFS(SocialEXP!I:I,SocialEXP!C:C,O12,SocialEXP!E:E,"&lt;&gt;Capital invested"),
SUMIFS(SocialEXP!I:I,
SocialEXP!C:C,O12,SocialEXP!E:E,"&lt;&gt;Capital invested",
SocialEXP!D:D,$Q$6))</f>
        <v>0</v>
      </c>
      <c r="U12" s="100">
        <f>IF($Q$6="All",
SUMIFS('Purchase Return'!I:I,'Purchase Return'!C:C,O12),
SUMIFS('Purchase Return'!I:I,
'Purchase Return'!C:C,O12,
'Purchase Return'!D:D,$Q$6))</f>
        <v>0</v>
      </c>
      <c r="V12" s="100">
        <f>IF($Q$6="All",
SUMIFS('Other EXP'!I:I,'Other EXP'!C:C,O12),
SUMIFS('Other EXP'!I:I,
'Other EXP'!C:C,O12,
'Other EXP'!D:D,$Q$6))</f>
        <v>0</v>
      </c>
      <c r="W12" s="100" t="str">
        <f t="shared" si="1"/>
        <v/>
      </c>
      <c r="X12" s="100" t="str">
        <f t="shared" si="2"/>
        <v/>
      </c>
    </row>
    <row r="13" spans="1:28" ht="17" thickBot="1">
      <c r="D13" s="90" t="str">
        <f>IF('Product List'!C13="","",'Product List'!C13)</f>
        <v/>
      </c>
      <c r="E13" s="90" t="str">
        <f>IF('Product List'!B13="","",'Product List'!B13)</f>
        <v/>
      </c>
      <c r="K13" s="90" t="s">
        <v>86</v>
      </c>
      <c r="L13" s="100">
        <f>N(IF(IF($Q$6="All",
    SUMIFS('Sales Return'!I:I,'Sales Return'!C:C,O13),
    SUMIFS('Sales Return'!I:I,
           'Sales Return'!C:C,O13,
           'Sales Return'!D:D,$Q$6)
)=0,"",IF($Q$6="All",
    SUMIFS('Sales Return'!I:I,'Sales Return'!C:C,O13),
    SUMIFS('Sales Return'!I:I,
           'Sales Return'!C:C,O13,
           'Sales Return'!D:D,$Q$6)
)))</f>
        <v>0</v>
      </c>
      <c r="M13" s="100">
        <f>N(IF(IF($Q$6="All",
SUMIFS('Sales Record'!O:O,'Sales Record'!C:C,O13),
SUMIFS('Sales Record'!O:O,
'Sales Record'!C:C,O13,
'Sales Record'!D:D,$Q$6)
)=0,"",(IF($Q$6="All",
SUMIFS('Sales Record'!O:O,'Sales Record'!C:C,O13),
SUMIFS('Sales Record'!O:O,
'Sales Record'!C:C,O13,
'Sales Record'!D:D,$Q$6)
))))</f>
        <v>0</v>
      </c>
      <c r="N13" s="100" t="str">
        <f t="shared" si="0"/>
        <v/>
      </c>
      <c r="O13" s="90" t="s">
        <v>42</v>
      </c>
      <c r="P13" s="90">
        <v>2031</v>
      </c>
      <c r="S13" s="100">
        <f>IF($Q$6="All",
SUMIFS('Purchase Record'!I:I,'Purchase Record'!C:C,O13),
SUMIFS('Purchase Record'!I:I,
'Purchase Record'!C:C,O13,
'Purchase Record'!D:D,$Q$6)
)</f>
        <v>0</v>
      </c>
      <c r="T13" s="100">
        <f>IF($Q$6="All",
SUMIFS(SocialEXP!I:I,SocialEXP!C:C,O13,SocialEXP!E:E,"&lt;&gt;Capital invested"),
SUMIFS(SocialEXP!I:I,
SocialEXP!C:C,O13,SocialEXP!E:E,"&lt;&gt;Capital invested",
SocialEXP!D:D,$Q$6))</f>
        <v>0</v>
      </c>
      <c r="U13" s="100">
        <f>IF($Q$6="All",
SUMIFS('Purchase Return'!I:I,'Purchase Return'!C:C,O13),
SUMIFS('Purchase Return'!I:I,
'Purchase Return'!C:C,O13,
'Purchase Return'!D:D,$Q$6))</f>
        <v>0</v>
      </c>
      <c r="V13" s="100">
        <f>IF($Q$6="All",
SUMIFS('Other EXP'!I:I,'Other EXP'!C:C,O13),
SUMIFS('Other EXP'!I:I,
'Other EXP'!C:C,O13,
'Other EXP'!D:D,$Q$6))</f>
        <v>0</v>
      </c>
      <c r="W13" s="100" t="str">
        <f t="shared" si="1"/>
        <v/>
      </c>
      <c r="X13" s="100" t="str">
        <f t="shared" si="2"/>
        <v/>
      </c>
    </row>
    <row r="14" spans="1:28">
      <c r="D14" s="90" t="str">
        <f>IF('Product List'!C14="","",'Product List'!C14)</f>
        <v/>
      </c>
      <c r="E14" s="90" t="str">
        <f>IF('Product List'!B14="","",'Product List'!B14)</f>
        <v/>
      </c>
      <c r="K14" s="90" t="s">
        <v>87</v>
      </c>
      <c r="L14" s="100">
        <f>N(IF(IF($Q$6="All",
    SUMIFS('Sales Return'!I:I,'Sales Return'!C:C,O14),
    SUMIFS('Sales Return'!I:I,
           'Sales Return'!C:C,O14,
           'Sales Return'!D:D,$Q$6)
)=0,"",IF($Q$6="All",
    SUMIFS('Sales Return'!I:I,'Sales Return'!C:C,O14),
    SUMIFS('Sales Return'!I:I,
           'Sales Return'!C:C,O14,
           'Sales Return'!D:D,$Q$6)
)))</f>
        <v>0</v>
      </c>
      <c r="M14" s="100">
        <f>N(IF(IF($Q$6="All",
SUMIFS('Sales Record'!O:O,'Sales Record'!C:C,O14),
SUMIFS('Sales Record'!O:O,
'Sales Record'!C:C,O14,
'Sales Record'!D:D,$Q$6)
)=0,"",(IF($Q$6="All",
SUMIFS('Sales Record'!O:O,'Sales Record'!C:C,O14),
SUMIFS('Sales Record'!O:O,
'Sales Record'!C:C,O14,
'Sales Record'!D:D,$Q$6)
))))</f>
        <v>0</v>
      </c>
      <c r="N14" s="100" t="str">
        <f t="shared" si="0"/>
        <v/>
      </c>
      <c r="O14" s="90" t="s">
        <v>43</v>
      </c>
      <c r="P14" s="90">
        <v>2032</v>
      </c>
      <c r="Q14" s="101" t="s">
        <v>100</v>
      </c>
      <c r="R14" s="102"/>
      <c r="S14" s="100">
        <f>IF($Q$6="All",
SUMIFS('Purchase Record'!I:I,'Purchase Record'!C:C,O14),
SUMIFS('Purchase Record'!I:I,
'Purchase Record'!C:C,O14,
'Purchase Record'!D:D,$Q$6)
)</f>
        <v>0</v>
      </c>
      <c r="T14" s="100">
        <f>IF($Q$6="All",
SUMIFS(SocialEXP!I:I,SocialEXP!C:C,O14,SocialEXP!E:E,"&lt;&gt;Capital invested"),
SUMIFS(SocialEXP!I:I,
SocialEXP!C:C,O14,SocialEXP!E:E,"&lt;&gt;Capital invested",
SocialEXP!D:D,$Q$6))</f>
        <v>0</v>
      </c>
      <c r="U14" s="100">
        <f>IF($Q$6="All",
SUMIFS('Purchase Return'!I:I,'Purchase Return'!C:C,O14),
SUMIFS('Purchase Return'!I:I,
'Purchase Return'!C:C,O14,
'Purchase Return'!D:D,$Q$6))</f>
        <v>0</v>
      </c>
      <c r="V14" s="100">
        <f>IF($Q$6="All",
SUMIFS('Other EXP'!I:I,'Other EXP'!C:C,O14),
SUMIFS('Other EXP'!I:I,
'Other EXP'!C:C,O14,
'Other EXP'!D:D,$Q$6))</f>
        <v>0</v>
      </c>
      <c r="W14" s="100" t="str">
        <f t="shared" si="1"/>
        <v/>
      </c>
      <c r="X14" s="100" t="str">
        <f t="shared" si="2"/>
        <v/>
      </c>
    </row>
    <row r="15" spans="1:28" ht="17" thickBot="1">
      <c r="D15" s="90" t="str">
        <f>IF('Product List'!C15="","",'Product List'!C15)</f>
        <v/>
      </c>
      <c r="E15" s="90" t="str">
        <f>IF('Product List'!B15="","",'Product List'!B15)</f>
        <v/>
      </c>
      <c r="K15" s="90" t="s">
        <v>88</v>
      </c>
      <c r="L15" s="100">
        <f>N(IF(IF($Q$6="All",
    SUMIFS('Sales Return'!I:I,'Sales Return'!C:C,O15),
    SUMIFS('Sales Return'!I:I,
           'Sales Return'!C:C,O15,
           'Sales Return'!D:D,$Q$6)
)=0,"",IF($Q$6="All",
    SUMIFS('Sales Return'!I:I,'Sales Return'!C:C,O15),
    SUMIFS('Sales Return'!I:I,
           'Sales Return'!C:C,O15,
           'Sales Return'!D:D,$Q$6)
)))</f>
        <v>0</v>
      </c>
      <c r="M15" s="100">
        <f>N(IF(IF($Q$6="All",
SUMIFS('Sales Record'!O:O,'Sales Record'!C:C,O15),
SUMIFS('Sales Record'!O:O,
'Sales Record'!C:C,O15,
'Sales Record'!D:D,$Q$6)
)=0,"",(IF($Q$6="All",
SUMIFS('Sales Record'!O:O,'Sales Record'!C:C,O15),
SUMIFS('Sales Record'!O:O,
'Sales Record'!C:C,O15,
'Sales Record'!D:D,$Q$6)
))))</f>
        <v>220000</v>
      </c>
      <c r="N15" s="100">
        <f t="shared" si="0"/>
        <v>220000</v>
      </c>
      <c r="O15" s="90" t="s">
        <v>44</v>
      </c>
      <c r="P15" s="90">
        <v>2033</v>
      </c>
      <c r="Q15" s="103">
        <f>(IF(AND(Q6="All",Q5="All"),
SUM(Investment!F:F),
IF(Q6="All",
SUMIFS(Investment!F:F,Investment!C:C,Q5),
IF(Q5="All",
SUMIFS(Investment!F:F,Investment!D:D,Q6),
SUMIFS(Investment!F:F,
Investment!C:C,Q5,
Investment!D:D,Q6)
))))</f>
        <v>400000</v>
      </c>
      <c r="R15" s="104"/>
      <c r="S15" s="100">
        <f>IF($Q$6="All",
SUMIFS('Purchase Record'!I:I,'Purchase Record'!C:C,O15),
SUMIFS('Purchase Record'!I:I,
'Purchase Record'!C:C,O15,
'Purchase Record'!D:D,$Q$6)
)</f>
        <v>0</v>
      </c>
      <c r="T15" s="100">
        <f>IF($Q$6="All",
SUMIFS(SocialEXP!I:I,SocialEXP!C:C,O15,SocialEXP!E:E,"&lt;&gt;Capital invested"),
SUMIFS(SocialEXP!I:I,
SocialEXP!C:C,O15,SocialEXP!E:E,"&lt;&gt;Capital invested",
SocialEXP!D:D,$Q$6))</f>
        <v>13000</v>
      </c>
      <c r="U15" s="100">
        <f>IF($Q$6="All",
SUMIFS('Purchase Return'!I:I,'Purchase Return'!C:C,O15),
SUMIFS('Purchase Return'!I:I,
'Purchase Return'!C:C,O15,
'Purchase Return'!D:D,$Q$6))</f>
        <v>0</v>
      </c>
      <c r="V15" s="100">
        <f>IF($Q$6="All",
SUMIFS('Other EXP'!I:I,'Other EXP'!C:C,O15),
SUMIFS('Other EXP'!I:I,
'Other EXP'!C:C,O15,
'Other EXP'!D:D,$Q$6))</f>
        <v>13000</v>
      </c>
      <c r="W15" s="100">
        <f t="shared" si="1"/>
        <v>13000</v>
      </c>
      <c r="X15" s="100">
        <f t="shared" si="2"/>
        <v>207000</v>
      </c>
    </row>
    <row r="16" spans="1:28">
      <c r="D16" s="90" t="str">
        <f>IF('Product List'!C16="","",'Product List'!C16)</f>
        <v/>
      </c>
      <c r="E16" s="90" t="str">
        <f>IF('Product List'!B16="","",'Product List'!B16)</f>
        <v/>
      </c>
      <c r="K16" s="90" t="s">
        <v>89</v>
      </c>
      <c r="L16" s="100">
        <f>N(IF(IF($Q$6="All",
    SUMIFS('Sales Return'!I:I,'Sales Return'!C:C,O16),
    SUMIFS('Sales Return'!I:I,
           'Sales Return'!C:C,O16,
           'Sales Return'!D:D,$Q$6)
)=0,"",IF($Q$6="All",
    SUMIFS('Sales Return'!I:I,'Sales Return'!C:C,O16),
    SUMIFS('Sales Return'!I:I,
           'Sales Return'!C:C,O16,
           'Sales Return'!D:D,$Q$6)
)))</f>
        <v>0</v>
      </c>
      <c r="M16" s="100">
        <f>N(IF(IF($Q$6="All",
SUMIFS('Sales Record'!O:O,'Sales Record'!C:C,O16),
SUMIFS('Sales Record'!O:O,
'Sales Record'!C:C,O16,
'Sales Record'!D:D,$Q$6)
)=0,"",(IF($Q$6="All",
SUMIFS('Sales Record'!O:O,'Sales Record'!C:C,O16),
SUMIFS('Sales Record'!O:O,
'Sales Record'!C:C,O16,
'Sales Record'!D:D,$Q$6)
))))</f>
        <v>0</v>
      </c>
      <c r="N16" s="100" t="str">
        <f t="shared" si="0"/>
        <v/>
      </c>
      <c r="O16" s="90" t="s">
        <v>45</v>
      </c>
      <c r="P16" s="90">
        <v>2034</v>
      </c>
      <c r="S16" s="100">
        <f>IF($Q$6="All",
SUMIFS('Purchase Record'!I:I,'Purchase Record'!C:C,O16),
SUMIFS('Purchase Record'!I:I,
'Purchase Record'!C:C,O16,
'Purchase Record'!D:D,$Q$6)
)</f>
        <v>0</v>
      </c>
      <c r="T16" s="100">
        <f>IF($Q$6="All",
SUMIFS(SocialEXP!I:I,SocialEXP!C:C,O16,SocialEXP!E:E,"&lt;&gt;Capital invested"),
SUMIFS(SocialEXP!I:I,
SocialEXP!C:C,O16,SocialEXP!E:E,"&lt;&gt;Capital invested",
SocialEXP!D:D,$Q$6))</f>
        <v>0</v>
      </c>
      <c r="U16" s="100">
        <f>IF($Q$6="All",
SUMIFS('Purchase Return'!I:I,'Purchase Return'!C:C,O16),
SUMIFS('Purchase Return'!I:I,
'Purchase Return'!C:C,O16,
'Purchase Return'!D:D,$Q$6))</f>
        <v>0</v>
      </c>
      <c r="V16" s="100">
        <f>IF($Q$6="All",
SUMIFS('Other EXP'!I:I,'Other EXP'!C:C,O16),
SUMIFS('Other EXP'!I:I,
'Other EXP'!C:C,O16,
'Other EXP'!D:D,$Q$6))</f>
        <v>0</v>
      </c>
      <c r="W16" s="100" t="str">
        <f t="shared" si="1"/>
        <v/>
      </c>
      <c r="X16" s="100" t="str">
        <f t="shared" si="2"/>
        <v/>
      </c>
    </row>
    <row r="17" spans="4:24">
      <c r="D17" s="90" t="str">
        <f>IF('Product List'!C17="","",'Product List'!C17)</f>
        <v/>
      </c>
      <c r="E17" s="90" t="str">
        <f>IF('Product List'!B17="","",'Product List'!B17)</f>
        <v/>
      </c>
      <c r="K17" s="90" t="s">
        <v>90</v>
      </c>
      <c r="L17" s="100">
        <f>N(IF(IF($Q$6="All",
    SUMIFS('Sales Return'!I:I,'Sales Return'!C:C,O17),
    SUMIFS('Sales Return'!I:I,
           'Sales Return'!C:C,O17,
           'Sales Return'!D:D,$Q$6)
)=0,"",IF($Q$6="All",
    SUMIFS('Sales Return'!I:I,'Sales Return'!C:C,O17),
    SUMIFS('Sales Return'!I:I,
           'Sales Return'!C:C,O17,
           'Sales Return'!D:D,$Q$6)
)))</f>
        <v>0</v>
      </c>
      <c r="M17" s="100">
        <f>N(IF(IF($Q$6="All",
SUMIFS('Sales Record'!O:O,'Sales Record'!C:C,O17),
SUMIFS('Sales Record'!O:O,
'Sales Record'!C:C,O17,
'Sales Record'!D:D,$Q$6)
)=0,"",(IF($Q$6="All",
SUMIFS('Sales Record'!O:O,'Sales Record'!C:C,O17),
SUMIFS('Sales Record'!O:O,
'Sales Record'!C:C,O17,
'Sales Record'!D:D,$Q$6)
))))</f>
        <v>0</v>
      </c>
      <c r="N17" s="100" t="str">
        <f t="shared" si="0"/>
        <v/>
      </c>
      <c r="O17" s="90" t="s">
        <v>46</v>
      </c>
      <c r="P17" s="90">
        <v>2035</v>
      </c>
      <c r="S17" s="100">
        <f>IF($Q$6="All",
SUMIFS('Purchase Record'!I:I,'Purchase Record'!C:C,O17),
SUMIFS('Purchase Record'!I:I,
'Purchase Record'!C:C,O17,
'Purchase Record'!D:D,$Q$6)
)</f>
        <v>0</v>
      </c>
      <c r="T17" s="100">
        <f>IF($Q$6="All",
SUMIFS(SocialEXP!I:I,SocialEXP!C:C,O17,SocialEXP!E:E,"&lt;&gt;Capital invested"),
SUMIFS(SocialEXP!I:I,
SocialEXP!C:C,O17,SocialEXP!E:E,"&lt;&gt;Capital invested",
SocialEXP!D:D,$Q$6))</f>
        <v>0</v>
      </c>
      <c r="U17" s="100">
        <f>IF($Q$6="All",
SUMIFS('Purchase Return'!I:I,'Purchase Return'!C:C,O17),
SUMIFS('Purchase Return'!I:I,
'Purchase Return'!C:C,O17,
'Purchase Return'!D:D,$Q$6))</f>
        <v>0</v>
      </c>
      <c r="V17" s="100">
        <f>IF($Q$6="All",
SUMIFS('Other EXP'!I:I,'Other EXP'!C:C,O17),
SUMIFS('Other EXP'!I:I,
'Other EXP'!C:C,O17,
'Other EXP'!D:D,$Q$6))</f>
        <v>0</v>
      </c>
      <c r="W17" s="100" t="str">
        <f t="shared" si="1"/>
        <v/>
      </c>
      <c r="X17" s="100" t="str">
        <f t="shared" si="2"/>
        <v/>
      </c>
    </row>
    <row r="18" spans="4:24">
      <c r="D18" s="90" t="str">
        <f>IF('Product List'!C18="","",'Product List'!C18)</f>
        <v/>
      </c>
      <c r="E18" s="90" t="str">
        <f>IF('Product List'!B18="","",'Product List'!B18)</f>
        <v/>
      </c>
      <c r="K18" s="90" t="s">
        <v>91</v>
      </c>
      <c r="L18" s="100">
        <f>N(IF(IF($Q$6="All",
    SUMIFS('Sales Return'!I:I,'Sales Return'!C:C,O18),
    SUMIFS('Sales Return'!I:I,
           'Sales Return'!C:C,O18,
           'Sales Return'!D:D,$Q$6)
)=0,"",IF($Q$6="All",
    SUMIFS('Sales Return'!I:I,'Sales Return'!C:C,O18),
    SUMIFS('Sales Return'!I:I,
           'Sales Return'!C:C,O18,
           'Sales Return'!D:D,$Q$6)
)))</f>
        <v>0</v>
      </c>
      <c r="M18" s="100">
        <f>N(IF(IF($Q$6="All",
SUMIFS('Sales Record'!O:O,'Sales Record'!C:C,O18),
SUMIFS('Sales Record'!O:O,
'Sales Record'!C:C,O18,
'Sales Record'!D:D,$Q$6)
)=0,"",(IF($Q$6="All",
SUMIFS('Sales Record'!O:O,'Sales Record'!C:C,O18),
SUMIFS('Sales Record'!O:O,
'Sales Record'!C:C,O18,
'Sales Record'!D:D,$Q$6)
))))</f>
        <v>0</v>
      </c>
      <c r="N18" s="100" t="str">
        <f t="shared" si="0"/>
        <v/>
      </c>
      <c r="O18" s="90" t="s">
        <v>47</v>
      </c>
      <c r="P18" s="90">
        <v>2036</v>
      </c>
      <c r="S18" s="100">
        <f>IF($Q$6="All",
SUMIFS('Purchase Record'!I:I,'Purchase Record'!C:C,O18),
SUMIFS('Purchase Record'!I:I,
'Purchase Record'!C:C,O18,
'Purchase Record'!D:D,$Q$6)
)</f>
        <v>0</v>
      </c>
      <c r="T18" s="100">
        <f>IF($Q$6="All",
SUMIFS(SocialEXP!I:I,SocialEXP!C:C,O18,SocialEXP!E:E,"&lt;&gt;Capital invested"),
SUMIFS(SocialEXP!I:I,
SocialEXP!C:C,O18,SocialEXP!E:E,"&lt;&gt;Capital invested",
SocialEXP!D:D,$Q$6))</f>
        <v>0</v>
      </c>
      <c r="U18" s="100">
        <f>IF($Q$6="All",
SUMIFS('Purchase Return'!I:I,'Purchase Return'!C:C,O18),
SUMIFS('Purchase Return'!I:I,
'Purchase Return'!C:C,O18,
'Purchase Return'!D:D,$Q$6))</f>
        <v>0</v>
      </c>
      <c r="V18" s="100">
        <f>IF($Q$6="All",
SUMIFS('Other EXP'!I:I,'Other EXP'!C:C,O18),
SUMIFS('Other EXP'!I:I,
'Other EXP'!C:C,O18,
'Other EXP'!D:D,$Q$6))</f>
        <v>0</v>
      </c>
      <c r="W18" s="100" t="str">
        <f t="shared" si="1"/>
        <v/>
      </c>
      <c r="X18" s="100" t="str">
        <f t="shared" si="2"/>
        <v/>
      </c>
    </row>
    <row r="19" spans="4:24">
      <c r="D19" s="90" t="str">
        <f>IF('Product List'!C19="","",'Product List'!C19)</f>
        <v/>
      </c>
      <c r="E19" s="90" t="str">
        <f>IF('Product List'!B19="","",'Product List'!B19)</f>
        <v/>
      </c>
      <c r="K19" s="90" t="s">
        <v>92</v>
      </c>
      <c r="L19" s="100">
        <f>N(IF(IF($Q$6="All",
    SUMIFS('Sales Return'!I:I,'Sales Return'!C:C,O19),
    SUMIFS('Sales Return'!I:I,
           'Sales Return'!C:C,O19,
           'Sales Return'!D:D,$Q$6)
)=0,"",IF($Q$6="All",
    SUMIFS('Sales Return'!I:I,'Sales Return'!C:C,O19),
    SUMIFS('Sales Return'!I:I,
           'Sales Return'!C:C,O19,
           'Sales Return'!D:D,$Q$6)
)))</f>
        <v>0</v>
      </c>
      <c r="M19" s="100">
        <f>N(IF(IF($Q$6="All",
SUMIFS('Sales Record'!O:O,'Sales Record'!C:C,O19),
SUMIFS('Sales Record'!O:O,
'Sales Record'!C:C,O19,
'Sales Record'!D:D,$Q$6)
)=0,"",(IF($Q$6="All",
SUMIFS('Sales Record'!O:O,'Sales Record'!C:C,O19),
SUMIFS('Sales Record'!O:O,
'Sales Record'!C:C,O19,
'Sales Record'!D:D,$Q$6)
))))</f>
        <v>0</v>
      </c>
      <c r="N19" s="100" t="str">
        <f t="shared" si="0"/>
        <v/>
      </c>
      <c r="O19" s="90" t="s">
        <v>48</v>
      </c>
      <c r="P19" s="90">
        <v>2037</v>
      </c>
      <c r="S19" s="100">
        <f>IF($Q$6="All",
SUMIFS('Purchase Record'!I:I,'Purchase Record'!C:C,O19),
SUMIFS('Purchase Record'!I:I,
'Purchase Record'!C:C,O19,
'Purchase Record'!D:D,$Q$6)
)</f>
        <v>0</v>
      </c>
      <c r="T19" s="100">
        <f>IF($Q$6="All",
SUMIFS(SocialEXP!I:I,SocialEXP!C:C,O19,SocialEXP!E:E,"&lt;&gt;Capital invested"),
SUMIFS(SocialEXP!I:I,
SocialEXP!C:C,O19,SocialEXP!E:E,"&lt;&gt;Capital invested",
SocialEXP!D:D,$Q$6))</f>
        <v>0</v>
      </c>
      <c r="U19" s="100">
        <f>IF($Q$6="All",
SUMIFS('Purchase Return'!I:I,'Purchase Return'!C:C,O19),
SUMIFS('Purchase Return'!I:I,
'Purchase Return'!C:C,O19,
'Purchase Return'!D:D,$Q$6))</f>
        <v>0</v>
      </c>
      <c r="V19" s="100">
        <f>IF($Q$6="All",
SUMIFS('Other EXP'!I:I,'Other EXP'!C:C,O19),
SUMIFS('Other EXP'!I:I,
'Other EXP'!C:C,O19,
'Other EXP'!D:D,$Q$6))</f>
        <v>0</v>
      </c>
      <c r="W19" s="100" t="str">
        <f t="shared" si="1"/>
        <v/>
      </c>
      <c r="X19" s="100" t="str">
        <f t="shared" si="2"/>
        <v/>
      </c>
    </row>
    <row r="20" spans="4:24">
      <c r="D20" s="90" t="str">
        <f>IF('Product List'!C20="","",'Product List'!C20)</f>
        <v/>
      </c>
      <c r="E20" s="90" t="str">
        <f>IF('Product List'!B20="","",'Product List'!B20)</f>
        <v/>
      </c>
      <c r="T20" s="90" t="s">
        <v>95</v>
      </c>
      <c r="V20" s="90" t="s">
        <v>95</v>
      </c>
      <c r="W20" s="100"/>
    </row>
    <row r="21" spans="4:24">
      <c r="D21" s="90" t="str">
        <f>IF('Product List'!C21="","",'Product List'!C21)</f>
        <v/>
      </c>
      <c r="E21" s="90" t="str">
        <f>IF('Product List'!B21="","",'Product List'!B21)</f>
        <v/>
      </c>
      <c r="M21" s="92" t="s">
        <v>62</v>
      </c>
      <c r="N21" s="93"/>
      <c r="O21" s="93"/>
      <c r="P21" s="94"/>
      <c r="Q21" s="100">
        <f>O22-O25</f>
        <v>215000</v>
      </c>
      <c r="T21" s="100">
        <f>MAX(T8:T19)</f>
        <v>13000</v>
      </c>
      <c r="V21" s="100">
        <f>MAX(V8:V19)</f>
        <v>13000</v>
      </c>
    </row>
    <row r="22" spans="4:24">
      <c r="D22" s="90" t="str">
        <f>IF('Product List'!C22="","",'Product List'!C22)</f>
        <v/>
      </c>
      <c r="E22" s="90" t="str">
        <f>IF('Product List'!B22="","",'Product List'!B22)</f>
        <v/>
      </c>
      <c r="N22" s="90" t="s">
        <v>63</v>
      </c>
      <c r="O22" s="100">
        <f>IF(AND(Q6="All",Q5="All"),
SUMIFS('Sales Record'!O:O,'Sales Record'!R:R,"Paid")+
SUMIFS('Sales Record'!J:J,'Sales Record'!R:R,"&lt;&gt;Paid"),
IF(Q6="All",
SUMIFS('Sales Record'!O:O,'Sales Record'!C:C,Q5,'Sales Record'!R:R,"Paid")+
SUMIFS('Sales Record'!J:J,'Sales Record'!C:C,Q5,'Sales Record'!R:R,"&lt;&gt;Paid"),
IF(Q5="All",
SUMIFS('Sales Record'!O:O,'Sales Record'!D:D,Q6,'Sales Record'!R:R,"Paid")+
SUMIFS('Sales Record'!J:J,'Sales Record'!D:D,Q6,'Sales Record'!R:R,"&lt;&gt;Paid"),
SUMIFS('Sales Record'!O:O,'Sales Record'!C:C,Q5,'Sales Record'!D:D,Q6,'Sales Record'!R:R,"Paid")+
SUMIFS('Sales Record'!J:J,'Sales Record'!C:C,Q5,'Sales Record'!D:D,Q6,'Sales Record'!R:R,"&lt;&gt;Paid")
)))</f>
        <v>215000</v>
      </c>
      <c r="T22" s="90">
        <f>MATCH(T21,T8:T19,0)</f>
        <v>8</v>
      </c>
      <c r="V22" s="90">
        <f>MATCH(V21,V8:V19,0)</f>
        <v>8</v>
      </c>
    </row>
    <row r="23" spans="4:24">
      <c r="D23" s="90" t="str">
        <f>IF('Product List'!C23="","",'Product List'!C23)</f>
        <v/>
      </c>
      <c r="E23" s="90" t="str">
        <f>IF('Product List'!B23="","",'Product List'!B23)</f>
        <v/>
      </c>
      <c r="T23" s="100" t="str">
        <f>INDEX(O8:O19,T22)</f>
        <v>August</v>
      </c>
      <c r="V23" s="100" t="str">
        <f>INDEX(O8:O19,V22)</f>
        <v>August</v>
      </c>
    </row>
    <row r="24" spans="4:24">
      <c r="D24" s="90" t="str">
        <f>IF('Product List'!C24="","",'Product List'!C24)</f>
        <v/>
      </c>
      <c r="E24" s="90" t="str">
        <f>IF('Product List'!B24="","",'Product List'!B24)</f>
        <v/>
      </c>
      <c r="M24" s="92" t="s">
        <v>68</v>
      </c>
      <c r="N24" s="93"/>
      <c r="O24" s="93"/>
      <c r="P24" s="94"/>
      <c r="V24" s="100"/>
    </row>
    <row r="25" spans="4:24">
      <c r="D25" s="90" t="str">
        <f>IF('Product List'!C25="","",'Product List'!C25)</f>
        <v/>
      </c>
      <c r="E25" s="90" t="str">
        <f>IF('Product List'!B25="","",'Product List'!B25)</f>
        <v/>
      </c>
      <c r="M25" s="90" t="s">
        <v>69</v>
      </c>
      <c r="O25" s="100">
        <f>IF(AND(Q6="All",Q5="All"),
    SUM('Sales Return'!I:I),
IF(Q6="All",
    SUMIFS('Sales Return'!I:I,'Sales Return'!C:C,Q5),
IF(Q5="All",
    SUMIFS('Sales Return'!I:I,'Sales Return'!D:D,Q6),
    SUMIFS('Sales Return'!I:I,
           'Sales Return'!C:C,Q5,
           'Sales Return'!D:D,Q6)
)))</f>
        <v>0</v>
      </c>
      <c r="V25" s="100"/>
    </row>
    <row r="26" spans="4:24">
      <c r="D26" s="90" t="str">
        <f>IF('Product List'!C26="","",'Product List'!C26)</f>
        <v/>
      </c>
      <c r="E26" s="90" t="str">
        <f>IF('Product List'!B26="","",'Product List'!B26)</f>
        <v/>
      </c>
      <c r="M26" s="92" t="s">
        <v>70</v>
      </c>
      <c r="N26" s="93"/>
      <c r="O26" s="93"/>
      <c r="P26" s="94"/>
      <c r="V26" s="100"/>
    </row>
    <row r="27" spans="4:24">
      <c r="D27" s="90" t="str">
        <f>IF('Product List'!C27="","",'Product List'!C27)</f>
        <v/>
      </c>
      <c r="E27" s="90" t="str">
        <f>IF('Product List'!B27="","",'Product List'!B27)</f>
        <v/>
      </c>
      <c r="M27" s="90" t="s">
        <v>71</v>
      </c>
      <c r="O27" s="100">
        <f>IF(AND(Q6="All",Q5="All"),
    SUM('Purchase Return'!I:I),
IF(Q6="All",
    SUMIFS('Purchase Return'!I:I,'Purchase Return'!C:C,Q5),
IF(Q5="All",
    SUMIFS('Purchase Return'!I:I,'Purchase Return'!D:D,Q6),
    SUMIFS('Purchase Return'!I:I,
           'Purchase Return'!C:C,Q5,
           'Purchase Return'!D:D,Q6)
)))</f>
        <v>0</v>
      </c>
      <c r="V27" s="100"/>
    </row>
    <row r="28" spans="4:24">
      <c r="D28" s="90" t="str">
        <f>IF('Product List'!C28="","",'Product List'!C28)</f>
        <v/>
      </c>
      <c r="E28" s="90" t="str">
        <f>IF('Product List'!B28="","",'Product List'!B28)</f>
        <v/>
      </c>
    </row>
    <row r="29" spans="4:24">
      <c r="D29" s="90" t="str">
        <f>IF('Product List'!C29="","",'Product List'!C29)</f>
        <v/>
      </c>
      <c r="E29" s="90" t="str">
        <f>IF('Product List'!B29="","",'Product List'!B29)</f>
        <v/>
      </c>
      <c r="N29" s="90" t="str">
        <f>M30</f>
        <v>Profit</v>
      </c>
      <c r="O29" s="90" t="str">
        <f>L3</f>
        <v>Net Purchases</v>
      </c>
      <c r="P29" s="90" t="s">
        <v>102</v>
      </c>
      <c r="Q29" s="90" t="s">
        <v>93</v>
      </c>
      <c r="R29" s="90" t="s">
        <v>103</v>
      </c>
    </row>
    <row r="30" spans="4:24">
      <c r="D30" s="90" t="str">
        <f>IF('Product List'!C30="","",'Product List'!C30)</f>
        <v/>
      </c>
      <c r="E30" s="90" t="str">
        <f>IF('Product List'!B30="","",'Product List'!B30)</f>
        <v/>
      </c>
      <c r="M30" s="90" t="s">
        <v>75</v>
      </c>
      <c r="N30" s="100">
        <f>O22+O27-O25-M5</f>
        <v>42000</v>
      </c>
      <c r="O30" s="100">
        <f>M3</f>
        <v>160000</v>
      </c>
      <c r="P30" s="100">
        <f>P2</f>
        <v>13000</v>
      </c>
      <c r="Q30" s="100">
        <f>Q21</f>
        <v>215000</v>
      </c>
      <c r="R30" s="98">
        <f>P3</f>
        <v>13000</v>
      </c>
      <c r="S30" s="100">
        <f>Q30-O30</f>
        <v>55000</v>
      </c>
    </row>
    <row r="31" spans="4:24">
      <c r="D31" s="90" t="str">
        <f>IF('Product List'!C31="","",'Product List'!C31)</f>
        <v/>
      </c>
      <c r="E31" s="90" t="str">
        <f>IF('Product List'!B31="","",'Product List'!B31)</f>
        <v/>
      </c>
      <c r="M31" s="90" t="s">
        <v>79</v>
      </c>
      <c r="N31" s="106">
        <f>IFERROR(IF(IF(Q21=0,"-",N30/Q21)&lt;0,"-",IF(Q21=0,"-",N30/Q21)),"-")</f>
        <v>0.19534883720930232</v>
      </c>
    </row>
    <row r="32" spans="4:24">
      <c r="D32" s="90" t="str">
        <f>IF('Product List'!C32="","",'Product List'!C32)</f>
        <v/>
      </c>
      <c r="E32" s="90" t="str">
        <f>IF('Product List'!B32="","",'Product List'!B32)</f>
        <v/>
      </c>
      <c r="M32" s="90" t="s">
        <v>130</v>
      </c>
      <c r="N32" s="100">
        <f>O22+O27-O25-M5+Q15</f>
        <v>442000</v>
      </c>
    </row>
    <row r="33" spans="4:5">
      <c r="D33" s="90" t="str">
        <f>IF('Product List'!C33="","",'Product List'!C33)</f>
        <v/>
      </c>
      <c r="E33" s="90" t="str">
        <f>IF('Product List'!B33="","",'Product List'!B33)</f>
        <v/>
      </c>
    </row>
    <row r="34" spans="4:5">
      <c r="D34" s="90" t="str">
        <f>IF('Product List'!C34="","",'Product List'!C34)</f>
        <v/>
      </c>
      <c r="E34" s="90" t="str">
        <f>IF('Product List'!B34="","",'Product List'!B34)</f>
        <v/>
      </c>
    </row>
    <row r="35" spans="4:5">
      <c r="D35" s="90" t="str">
        <f>IF('Product List'!C35="","",'Product List'!C35)</f>
        <v/>
      </c>
      <c r="E35" s="90" t="str">
        <f>IF('Product List'!B35="","",'Product List'!B35)</f>
        <v/>
      </c>
    </row>
    <row r="36" spans="4:5">
      <c r="D36" s="90" t="str">
        <f>IF('Product List'!C36="","",'Product List'!C36)</f>
        <v/>
      </c>
      <c r="E36" s="90" t="str">
        <f>IF('Product List'!B36="","",'Product List'!B36)</f>
        <v/>
      </c>
    </row>
    <row r="37" spans="4:5">
      <c r="D37" s="90" t="str">
        <f>IF('Product List'!C37="","",'Product List'!C37)</f>
        <v/>
      </c>
      <c r="E37" s="90" t="str">
        <f>IF('Product List'!B37="","",'Product List'!B37)</f>
        <v/>
      </c>
    </row>
    <row r="38" spans="4:5">
      <c r="D38" s="90" t="str">
        <f>IF('Product List'!C38="","",'Product List'!C38)</f>
        <v/>
      </c>
      <c r="E38" s="90" t="str">
        <f>IF('Product List'!B38="","",'Product List'!B38)</f>
        <v/>
      </c>
    </row>
    <row r="39" spans="4:5">
      <c r="D39" s="90" t="str">
        <f>IF('Product List'!C39="","",'Product List'!C39)</f>
        <v/>
      </c>
      <c r="E39" s="90" t="str">
        <f>IF('Product List'!B39="","",'Product List'!B39)</f>
        <v/>
      </c>
    </row>
    <row r="40" spans="4:5">
      <c r="D40" s="90" t="str">
        <f>IF('Product List'!C40="","",'Product List'!C40)</f>
        <v/>
      </c>
      <c r="E40" s="90" t="str">
        <f>IF('Product List'!B40="","",'Product List'!B40)</f>
        <v/>
      </c>
    </row>
    <row r="41" spans="4:5">
      <c r="D41" s="90" t="str">
        <f>IF('Product List'!C41="","",'Product List'!C41)</f>
        <v/>
      </c>
      <c r="E41" s="90" t="str">
        <f>IF('Product List'!B41="","",'Product List'!B41)</f>
        <v/>
      </c>
    </row>
    <row r="42" spans="4:5">
      <c r="D42" s="90" t="str">
        <f>IF('Product List'!C42="","",'Product List'!C42)</f>
        <v/>
      </c>
      <c r="E42" s="90" t="str">
        <f>IF('Product List'!B42="","",'Product List'!B42)</f>
        <v/>
      </c>
    </row>
    <row r="43" spans="4:5">
      <c r="D43" s="90" t="str">
        <f>IF('Product List'!C43="","",'Product List'!C43)</f>
        <v/>
      </c>
      <c r="E43" s="90" t="str">
        <f>IF('Product List'!B43="","",'Product List'!B43)</f>
        <v/>
      </c>
    </row>
    <row r="44" spans="4:5">
      <c r="D44" s="90" t="str">
        <f>IF('Product List'!C44="","",'Product List'!C44)</f>
        <v/>
      </c>
      <c r="E44" s="90" t="str">
        <f>IF('Product List'!B44="","",'Product List'!B44)</f>
        <v/>
      </c>
    </row>
    <row r="45" spans="4:5">
      <c r="D45" s="90" t="str">
        <f>IF('Product List'!C45="","",'Product List'!C45)</f>
        <v/>
      </c>
      <c r="E45" s="90" t="str">
        <f>IF('Product List'!B45="","",'Product List'!B45)</f>
        <v/>
      </c>
    </row>
    <row r="46" spans="4:5">
      <c r="D46" s="90" t="str">
        <f>IF('Product List'!C46="","",'Product List'!C46)</f>
        <v/>
      </c>
      <c r="E46" s="90" t="str">
        <f>IF('Product List'!B46="","",'Product List'!B46)</f>
        <v/>
      </c>
    </row>
    <row r="47" spans="4:5">
      <c r="D47" s="90" t="str">
        <f>IF('Product List'!C47="","",'Product List'!C47)</f>
        <v/>
      </c>
      <c r="E47" s="90" t="str">
        <f>IF('Product List'!B47="","",'Product List'!B47)</f>
        <v/>
      </c>
    </row>
    <row r="48" spans="4:5">
      <c r="D48" s="90" t="str">
        <f>IF('Product List'!C48="","",'Product List'!C48)</f>
        <v/>
      </c>
      <c r="E48" s="90" t="str">
        <f>IF('Product List'!B48="","",'Product List'!B48)</f>
        <v/>
      </c>
    </row>
    <row r="49" spans="4:5">
      <c r="D49" s="90" t="str">
        <f>IF('Product List'!C49="","",'Product List'!C49)</f>
        <v/>
      </c>
      <c r="E49" s="90" t="str">
        <f>IF('Product List'!B49="","",'Product List'!B49)</f>
        <v/>
      </c>
    </row>
    <row r="50" spans="4:5">
      <c r="D50" s="90" t="str">
        <f>IF('Product List'!C50="","",'Product List'!C50)</f>
        <v/>
      </c>
      <c r="E50" s="90" t="str">
        <f>IF('Product List'!B50="","",'Product List'!B50)</f>
        <v/>
      </c>
    </row>
    <row r="51" spans="4:5">
      <c r="D51" s="90" t="str">
        <f>IF('Product List'!C51="","",'Product List'!C51)</f>
        <v/>
      </c>
      <c r="E51" s="90" t="str">
        <f>IF('Product List'!B51="","",'Product List'!B51)</f>
        <v/>
      </c>
    </row>
    <row r="52" spans="4:5">
      <c r="D52" s="90" t="str">
        <f>IF('Product List'!C52="","",'Product List'!C52)</f>
        <v/>
      </c>
      <c r="E52" s="90" t="str">
        <f>IF('Product List'!B52="","",'Product List'!B52)</f>
        <v/>
      </c>
    </row>
    <row r="53" spans="4:5">
      <c r="D53" s="90" t="str">
        <f>IF('Product List'!C53="","",'Product List'!C53)</f>
        <v/>
      </c>
      <c r="E53" s="90" t="str">
        <f>IF('Product List'!B53="","",'Product List'!B53)</f>
        <v/>
      </c>
    </row>
    <row r="54" spans="4:5">
      <c r="D54" s="90" t="str">
        <f>IF('Product List'!C54="","",'Product List'!C54)</f>
        <v/>
      </c>
      <c r="E54" s="90" t="str">
        <f>IF('Product List'!B54="","",'Product List'!B54)</f>
        <v/>
      </c>
    </row>
    <row r="55" spans="4:5">
      <c r="D55" s="90" t="str">
        <f>IF('Product List'!C55="","",'Product List'!C55)</f>
        <v/>
      </c>
      <c r="E55" s="90" t="str">
        <f>IF('Product List'!B55="","",'Product List'!B55)</f>
        <v/>
      </c>
    </row>
    <row r="56" spans="4:5">
      <c r="D56" s="90" t="str">
        <f>IF('Product List'!C56="","",'Product List'!C56)</f>
        <v/>
      </c>
      <c r="E56" s="90" t="str">
        <f>IF('Product List'!B56="","",'Product List'!B56)</f>
        <v/>
      </c>
    </row>
    <row r="57" spans="4:5">
      <c r="D57" s="90" t="str">
        <f>IF('Product List'!C57="","",'Product List'!C57)</f>
        <v/>
      </c>
      <c r="E57" s="90" t="str">
        <f>IF('Product List'!B57="","",'Product List'!B57)</f>
        <v/>
      </c>
    </row>
    <row r="58" spans="4:5">
      <c r="D58" s="90" t="str">
        <f>IF('Product List'!C58="","",'Product List'!C58)</f>
        <v/>
      </c>
      <c r="E58" s="90" t="str">
        <f>IF('Product List'!B58="","",'Product List'!B58)</f>
        <v/>
      </c>
    </row>
    <row r="59" spans="4:5">
      <c r="D59" s="90" t="str">
        <f>IF('Product List'!C59="","",'Product List'!C59)</f>
        <v/>
      </c>
      <c r="E59" s="90" t="str">
        <f>IF('Product List'!B59="","",'Product List'!B59)</f>
        <v/>
      </c>
    </row>
    <row r="60" spans="4:5">
      <c r="D60" s="90" t="str">
        <f>IF('Product List'!C60="","",'Product List'!C60)</f>
        <v/>
      </c>
      <c r="E60" s="90" t="str">
        <f>IF('Product List'!B60="","",'Product List'!B60)</f>
        <v/>
      </c>
    </row>
    <row r="61" spans="4:5">
      <c r="D61" s="90" t="str">
        <f>IF('Product List'!C61="","",'Product List'!C61)</f>
        <v/>
      </c>
      <c r="E61" s="90" t="str">
        <f>IF('Product List'!B61="","",'Product List'!B61)</f>
        <v/>
      </c>
    </row>
    <row r="62" spans="4:5">
      <c r="D62" s="90" t="str">
        <f>IF('Product List'!C62="","",'Product List'!C62)</f>
        <v/>
      </c>
      <c r="E62" s="90" t="str">
        <f>IF('Product List'!B62="","",'Product List'!B62)</f>
        <v/>
      </c>
    </row>
    <row r="63" spans="4:5">
      <c r="D63" s="90" t="str">
        <f>IF('Product List'!C63="","",'Product List'!C63)</f>
        <v/>
      </c>
      <c r="E63" s="90" t="str">
        <f>IF('Product List'!B63="","",'Product List'!B63)</f>
        <v/>
      </c>
    </row>
    <row r="64" spans="4:5">
      <c r="D64" s="90" t="str">
        <f>IF('Product List'!C64="","",'Product List'!C64)</f>
        <v/>
      </c>
      <c r="E64" s="90" t="str">
        <f>IF('Product List'!B64="","",'Product List'!B64)</f>
        <v/>
      </c>
    </row>
    <row r="65" spans="4:5">
      <c r="D65" s="90" t="str">
        <f>IF('Product List'!C65="","",'Product List'!C65)</f>
        <v/>
      </c>
      <c r="E65" s="90" t="str">
        <f>IF('Product List'!B65="","",'Product List'!B65)</f>
        <v/>
      </c>
    </row>
    <row r="66" spans="4:5">
      <c r="D66" s="90" t="str">
        <f>IF('Product List'!C66="","",'Product List'!C66)</f>
        <v/>
      </c>
      <c r="E66" s="90" t="str">
        <f>IF('Product List'!B66="","",'Product List'!B66)</f>
        <v/>
      </c>
    </row>
    <row r="67" spans="4:5">
      <c r="D67" s="90" t="str">
        <f>IF('Product List'!C67="","",'Product List'!C67)</f>
        <v/>
      </c>
      <c r="E67" s="90" t="str">
        <f>IF('Product List'!B67="","",'Product List'!B67)</f>
        <v/>
      </c>
    </row>
    <row r="68" spans="4:5">
      <c r="D68" s="90" t="str">
        <f>IF('Product List'!C68="","",'Product List'!C68)</f>
        <v/>
      </c>
      <c r="E68" s="90" t="str">
        <f>IF('Product List'!B68="","",'Product List'!B68)</f>
        <v/>
      </c>
    </row>
    <row r="69" spans="4:5">
      <c r="D69" s="90" t="str">
        <f>IF('Product List'!C69="","",'Product List'!C69)</f>
        <v/>
      </c>
      <c r="E69" s="90" t="str">
        <f>IF('Product List'!B69="","",'Product List'!B69)</f>
        <v/>
      </c>
    </row>
    <row r="70" spans="4:5">
      <c r="D70" s="90" t="str">
        <f>IF('Product List'!C70="","",'Product List'!C70)</f>
        <v/>
      </c>
      <c r="E70" s="90" t="str">
        <f>IF('Product List'!B70="","",'Product List'!B70)</f>
        <v/>
      </c>
    </row>
    <row r="71" spans="4:5">
      <c r="D71" s="90" t="str">
        <f>IF('Product List'!C71="","",'Product List'!C71)</f>
        <v/>
      </c>
      <c r="E71" s="90" t="str">
        <f>IF('Product List'!B71="","",'Product List'!B71)</f>
        <v/>
      </c>
    </row>
    <row r="72" spans="4:5">
      <c r="D72" s="90" t="str">
        <f>IF('Product List'!C72="","",'Product List'!C72)</f>
        <v/>
      </c>
      <c r="E72" s="90" t="str">
        <f>IF('Product List'!B72="","",'Product List'!B72)</f>
        <v/>
      </c>
    </row>
    <row r="73" spans="4:5">
      <c r="D73" s="90" t="str">
        <f>IF('Product List'!C73="","",'Product List'!C73)</f>
        <v/>
      </c>
      <c r="E73" s="90" t="str">
        <f>IF('Product List'!B73="","",'Product List'!B73)</f>
        <v/>
      </c>
    </row>
    <row r="74" spans="4:5">
      <c r="D74" s="90" t="str">
        <f>IF('Product List'!C74="","",'Product List'!C74)</f>
        <v/>
      </c>
      <c r="E74" s="90" t="str">
        <f>IF('Product List'!B74="","",'Product List'!B74)</f>
        <v/>
      </c>
    </row>
    <row r="75" spans="4:5">
      <c r="D75" s="90" t="str">
        <f>IF('Product List'!C75="","",'Product List'!C75)</f>
        <v/>
      </c>
      <c r="E75" s="90" t="str">
        <f>IF('Product List'!B75="","",'Product List'!B75)</f>
        <v/>
      </c>
    </row>
    <row r="76" spans="4:5">
      <c r="D76" s="90" t="str">
        <f>IF('Product List'!C76="","",'Product List'!C76)</f>
        <v/>
      </c>
      <c r="E76" s="90" t="str">
        <f>IF('Product List'!B76="","",'Product List'!B76)</f>
        <v/>
      </c>
    </row>
    <row r="77" spans="4:5">
      <c r="D77" s="90" t="str">
        <f>IF('Product List'!C77="","",'Product List'!C77)</f>
        <v/>
      </c>
      <c r="E77" s="90" t="str">
        <f>IF('Product List'!B77="","",'Product List'!B77)</f>
        <v/>
      </c>
    </row>
    <row r="78" spans="4:5">
      <c r="D78" s="90" t="str">
        <f>IF('Product List'!C78="","",'Product List'!C78)</f>
        <v/>
      </c>
      <c r="E78" s="90" t="str">
        <f>IF('Product List'!B78="","",'Product List'!B78)</f>
        <v/>
      </c>
    </row>
    <row r="79" spans="4:5">
      <c r="D79" s="90" t="str">
        <f>IF('Product List'!C79="","",'Product List'!C79)</f>
        <v/>
      </c>
      <c r="E79" s="90" t="str">
        <f>IF('Product List'!B79="","",'Product List'!B79)</f>
        <v/>
      </c>
    </row>
    <row r="80" spans="4:5">
      <c r="D80" s="90" t="str">
        <f>IF('Product List'!C80="","",'Product List'!C80)</f>
        <v/>
      </c>
      <c r="E80" s="90" t="str">
        <f>IF('Product List'!B80="","",'Product List'!B80)</f>
        <v/>
      </c>
    </row>
    <row r="81" spans="4:5">
      <c r="D81" s="90" t="str">
        <f>IF('Product List'!C81="","",'Product List'!C81)</f>
        <v/>
      </c>
      <c r="E81" s="90" t="str">
        <f>IF('Product List'!B81="","",'Product List'!B81)</f>
        <v/>
      </c>
    </row>
    <row r="82" spans="4:5">
      <c r="D82" s="90" t="str">
        <f>IF('Product List'!C82="","",'Product List'!C82)</f>
        <v/>
      </c>
      <c r="E82" s="90" t="str">
        <f>IF('Product List'!B82="","",'Product List'!B82)</f>
        <v/>
      </c>
    </row>
    <row r="83" spans="4:5">
      <c r="D83" s="90" t="str">
        <f>IF('Product List'!C83="","",'Product List'!C83)</f>
        <v/>
      </c>
      <c r="E83" s="90" t="str">
        <f>IF('Product List'!B83="","",'Product List'!B83)</f>
        <v/>
      </c>
    </row>
    <row r="84" spans="4:5">
      <c r="D84" s="90" t="str">
        <f>IF('Product List'!C84="","",'Product List'!C84)</f>
        <v/>
      </c>
      <c r="E84" s="90" t="str">
        <f>IF('Product List'!B84="","",'Product List'!B84)</f>
        <v/>
      </c>
    </row>
    <row r="85" spans="4:5">
      <c r="D85" s="90" t="str">
        <f>IF('Product List'!C85="","",'Product List'!C85)</f>
        <v/>
      </c>
      <c r="E85" s="90" t="str">
        <f>IF('Product List'!B85="","",'Product List'!B85)</f>
        <v/>
      </c>
    </row>
    <row r="86" spans="4:5">
      <c r="D86" s="90" t="str">
        <f>IF('Product List'!C86="","",'Product List'!C86)</f>
        <v/>
      </c>
      <c r="E86" s="90" t="str">
        <f>IF('Product List'!B86="","",'Product List'!B86)</f>
        <v/>
      </c>
    </row>
    <row r="87" spans="4:5">
      <c r="D87" s="90" t="str">
        <f>IF('Product List'!C87="","",'Product List'!C87)</f>
        <v/>
      </c>
      <c r="E87" s="90" t="str">
        <f>IF('Product List'!B87="","",'Product List'!B87)</f>
        <v/>
      </c>
    </row>
    <row r="88" spans="4:5">
      <c r="D88" s="90" t="str">
        <f>IF('Product List'!C88="","",'Product List'!C88)</f>
        <v/>
      </c>
      <c r="E88" s="90" t="str">
        <f>IF('Product List'!B88="","",'Product List'!B88)</f>
        <v/>
      </c>
    </row>
    <row r="89" spans="4:5">
      <c r="D89" s="90" t="str">
        <f>IF('Product List'!C89="","",'Product List'!C89)</f>
        <v/>
      </c>
      <c r="E89" s="90" t="str">
        <f>IF('Product List'!B89="","",'Product List'!B89)</f>
        <v/>
      </c>
    </row>
    <row r="90" spans="4:5">
      <c r="D90" s="90" t="str">
        <f>IF('Product List'!C90="","",'Product List'!C90)</f>
        <v/>
      </c>
      <c r="E90" s="90" t="str">
        <f>IF('Product List'!B90="","",'Product List'!B90)</f>
        <v/>
      </c>
    </row>
    <row r="91" spans="4:5">
      <c r="D91" s="90" t="str">
        <f>IF('Product List'!C91="","",'Product List'!C91)</f>
        <v/>
      </c>
      <c r="E91" s="90" t="str">
        <f>IF('Product List'!B91="","",'Product List'!B91)</f>
        <v/>
      </c>
    </row>
    <row r="92" spans="4:5">
      <c r="D92" s="90" t="str">
        <f>IF('Product List'!C92="","",'Product List'!C92)</f>
        <v/>
      </c>
      <c r="E92" s="90" t="str">
        <f>IF('Product List'!B92="","",'Product List'!B92)</f>
        <v/>
      </c>
    </row>
    <row r="93" spans="4:5">
      <c r="D93" s="90" t="str">
        <f>IF('Product List'!C93="","",'Product List'!C93)</f>
        <v/>
      </c>
      <c r="E93" s="90" t="str">
        <f>IF('Product List'!B93="","",'Product List'!B93)</f>
        <v/>
      </c>
    </row>
    <row r="94" spans="4:5">
      <c r="D94" s="90" t="str">
        <f>IF('Product List'!C94="","",'Product List'!C94)</f>
        <v/>
      </c>
      <c r="E94" s="90" t="str">
        <f>IF('Product List'!B94="","",'Product List'!B94)</f>
        <v/>
      </c>
    </row>
    <row r="95" spans="4:5">
      <c r="D95" s="90" t="str">
        <f>IF('Product List'!C95="","",'Product List'!C95)</f>
        <v/>
      </c>
      <c r="E95" s="90" t="str">
        <f>IF('Product List'!B95="","",'Product List'!B95)</f>
        <v/>
      </c>
    </row>
    <row r="96" spans="4:5">
      <c r="D96" s="90" t="str">
        <f>IF('Product List'!C96="","",'Product List'!C96)</f>
        <v/>
      </c>
      <c r="E96" s="90" t="str">
        <f>IF('Product List'!B96="","",'Product List'!B96)</f>
        <v/>
      </c>
    </row>
    <row r="97" spans="4:5">
      <c r="D97" s="90" t="str">
        <f>IF('Product List'!C97="","",'Product List'!C97)</f>
        <v/>
      </c>
      <c r="E97" s="90" t="str">
        <f>IF('Product List'!B97="","",'Product List'!B97)</f>
        <v/>
      </c>
    </row>
    <row r="98" spans="4:5">
      <c r="D98" s="90" t="str">
        <f>IF('Product List'!C98="","",'Product List'!C98)</f>
        <v/>
      </c>
      <c r="E98" s="90" t="str">
        <f>IF('Product List'!B98="","",'Product List'!B98)</f>
        <v/>
      </c>
    </row>
    <row r="99" spans="4:5">
      <c r="D99" s="90" t="str">
        <f>IF('Product List'!C99="","",'Product List'!C99)</f>
        <v/>
      </c>
      <c r="E99" s="90" t="str">
        <f>IF('Product List'!B99="","",'Product List'!B99)</f>
        <v/>
      </c>
    </row>
    <row r="100" spans="4:5">
      <c r="D100" s="90" t="str">
        <f>IF('Product List'!C100="","",'Product List'!C100)</f>
        <v/>
      </c>
      <c r="E100" s="90" t="str">
        <f>IF('Product List'!B100="","",'Product List'!B100)</f>
        <v/>
      </c>
    </row>
    <row r="101" spans="4:5">
      <c r="D101" s="90" t="str">
        <f>IF('Product List'!C101="","",'Product List'!C101)</f>
        <v/>
      </c>
      <c r="E101" s="90" t="str">
        <f>IF('Product List'!B101="","",'Product List'!B101)</f>
        <v/>
      </c>
    </row>
    <row r="102" spans="4:5">
      <c r="D102" s="90" t="str">
        <f>IF('Product List'!C102="","",'Product List'!C102)</f>
        <v/>
      </c>
      <c r="E102" s="90" t="str">
        <f>IF('Product List'!B102="","",'Product List'!B102)</f>
        <v/>
      </c>
    </row>
    <row r="103" spans="4:5">
      <c r="D103" s="90" t="str">
        <f>IF('Product List'!C103="","",'Product List'!C103)</f>
        <v/>
      </c>
      <c r="E103" s="90" t="str">
        <f>IF('Product List'!B103="","",'Product List'!B103)</f>
        <v/>
      </c>
    </row>
    <row r="104" spans="4:5">
      <c r="D104" s="90" t="str">
        <f>IF('Product List'!C104="","",'Product List'!C104)</f>
        <v/>
      </c>
      <c r="E104" s="90" t="str">
        <f>IF('Product List'!B104="","",'Product List'!B104)</f>
        <v/>
      </c>
    </row>
    <row r="105" spans="4:5">
      <c r="D105" s="90" t="str">
        <f>IF('Product List'!C105="","",'Product List'!C105)</f>
        <v/>
      </c>
      <c r="E105" s="90" t="str">
        <f>IF('Product List'!B105="","",'Product List'!B105)</f>
        <v/>
      </c>
    </row>
    <row r="106" spans="4:5">
      <c r="D106" s="90" t="str">
        <f>IF('Product List'!C106="","",'Product List'!C106)</f>
        <v/>
      </c>
      <c r="E106" s="90" t="str">
        <f>IF('Product List'!B106="","",'Product List'!B106)</f>
        <v/>
      </c>
    </row>
    <row r="107" spans="4:5">
      <c r="D107" s="90" t="str">
        <f>IF('Product List'!C107="","",'Product List'!C107)</f>
        <v/>
      </c>
      <c r="E107" s="90" t="str">
        <f>IF('Product List'!B107="","",'Product List'!B107)</f>
        <v/>
      </c>
    </row>
    <row r="108" spans="4:5">
      <c r="D108" s="90" t="str">
        <f>IF('Product List'!C108="","",'Product List'!C108)</f>
        <v/>
      </c>
      <c r="E108" s="90" t="str">
        <f>IF('Product List'!B108="","",'Product List'!B108)</f>
        <v/>
      </c>
    </row>
    <row r="109" spans="4:5">
      <c r="D109" s="90" t="str">
        <f>IF('Product List'!C109="","",'Product List'!C109)</f>
        <v/>
      </c>
      <c r="E109" s="90" t="str">
        <f>IF('Product List'!B109="","",'Product List'!B109)</f>
        <v/>
      </c>
    </row>
    <row r="110" spans="4:5">
      <c r="D110" s="90" t="str">
        <f>IF('Product List'!C110="","",'Product List'!C110)</f>
        <v/>
      </c>
      <c r="E110" s="90" t="str">
        <f>IF('Product List'!B110="","",'Product List'!B110)</f>
        <v/>
      </c>
    </row>
    <row r="111" spans="4:5">
      <c r="D111" s="90" t="str">
        <f>IF('Product List'!C111="","",'Product List'!C111)</f>
        <v/>
      </c>
      <c r="E111" s="90" t="str">
        <f>IF('Product List'!B111="","",'Product List'!B111)</f>
        <v/>
      </c>
    </row>
    <row r="112" spans="4:5">
      <c r="D112" s="90" t="str">
        <f>IF('Product List'!C112="","",'Product List'!C112)</f>
        <v/>
      </c>
      <c r="E112" s="90" t="str">
        <f>IF('Product List'!B112="","",'Product List'!B112)</f>
        <v/>
      </c>
    </row>
    <row r="113" spans="4:5">
      <c r="D113" s="90" t="str">
        <f>IF('Product List'!C113="","",'Product List'!C113)</f>
        <v/>
      </c>
      <c r="E113" s="90" t="str">
        <f>IF('Product List'!B113="","",'Product List'!B113)</f>
        <v/>
      </c>
    </row>
    <row r="114" spans="4:5">
      <c r="D114" s="90" t="str">
        <f>IF('Product List'!C114="","",'Product List'!C114)</f>
        <v/>
      </c>
      <c r="E114" s="90" t="str">
        <f>IF('Product List'!B114="","",'Product List'!B114)</f>
        <v/>
      </c>
    </row>
    <row r="115" spans="4:5">
      <c r="D115" s="90" t="str">
        <f>IF('Product List'!C115="","",'Product List'!C115)</f>
        <v/>
      </c>
      <c r="E115" s="90" t="str">
        <f>IF('Product List'!B115="","",'Product List'!B115)</f>
        <v/>
      </c>
    </row>
    <row r="116" spans="4:5">
      <c r="D116" s="90" t="str">
        <f>IF('Product List'!C116="","",'Product List'!C116)</f>
        <v/>
      </c>
      <c r="E116" s="90" t="str">
        <f>IF('Product List'!B116="","",'Product List'!B116)</f>
        <v/>
      </c>
    </row>
    <row r="117" spans="4:5">
      <c r="D117" s="90" t="str">
        <f>IF('Product List'!C117="","",'Product List'!C117)</f>
        <v/>
      </c>
      <c r="E117" s="90" t="str">
        <f>IF('Product List'!B117="","",'Product List'!B117)</f>
        <v/>
      </c>
    </row>
    <row r="118" spans="4:5">
      <c r="D118" s="90" t="str">
        <f>IF('Product List'!C118="","",'Product List'!C118)</f>
        <v/>
      </c>
      <c r="E118" s="90" t="str">
        <f>IF('Product List'!B118="","",'Product List'!B118)</f>
        <v/>
      </c>
    </row>
    <row r="119" spans="4:5">
      <c r="D119" s="90" t="str">
        <f>IF('Product List'!C119="","",'Product List'!C119)</f>
        <v/>
      </c>
      <c r="E119" s="90" t="str">
        <f>IF('Product List'!B119="","",'Product List'!B119)</f>
        <v/>
      </c>
    </row>
    <row r="120" spans="4:5">
      <c r="D120" s="90" t="str">
        <f>IF('Product List'!C120="","",'Product List'!C120)</f>
        <v/>
      </c>
      <c r="E120" s="90" t="str">
        <f>IF('Product List'!B120="","",'Product List'!B120)</f>
        <v/>
      </c>
    </row>
    <row r="121" spans="4:5">
      <c r="D121" s="90" t="str">
        <f>IF('Product List'!C121="","",'Product List'!C121)</f>
        <v/>
      </c>
      <c r="E121" s="90" t="str">
        <f>IF('Product List'!B121="","",'Product List'!B121)</f>
        <v/>
      </c>
    </row>
    <row r="122" spans="4:5">
      <c r="D122" s="90" t="str">
        <f>IF('Product List'!C122="","",'Product List'!C122)</f>
        <v/>
      </c>
      <c r="E122" s="90" t="str">
        <f>IF('Product List'!B122="","",'Product List'!B122)</f>
        <v/>
      </c>
    </row>
    <row r="123" spans="4:5">
      <c r="D123" s="90" t="str">
        <f>IF('Product List'!C123="","",'Product List'!C123)</f>
        <v/>
      </c>
      <c r="E123" s="90" t="str">
        <f>IF('Product List'!B123="","",'Product List'!B123)</f>
        <v/>
      </c>
    </row>
    <row r="124" spans="4:5">
      <c r="D124" s="90" t="str">
        <f>IF('Product List'!C124="","",'Product List'!C124)</f>
        <v/>
      </c>
      <c r="E124" s="90" t="str">
        <f>IF('Product List'!B124="","",'Product List'!B124)</f>
        <v/>
      </c>
    </row>
    <row r="125" spans="4:5">
      <c r="D125" s="90" t="str">
        <f>IF('Product List'!C125="","",'Product List'!C125)</f>
        <v/>
      </c>
      <c r="E125" s="90" t="str">
        <f>IF('Product List'!B125="","",'Product List'!B125)</f>
        <v/>
      </c>
    </row>
    <row r="126" spans="4:5">
      <c r="D126" s="90" t="str">
        <f>IF('Product List'!C126="","",'Product List'!C126)</f>
        <v/>
      </c>
      <c r="E126" s="90" t="str">
        <f>IF('Product List'!B126="","",'Product List'!B126)</f>
        <v/>
      </c>
    </row>
    <row r="127" spans="4:5">
      <c r="D127" s="90" t="str">
        <f>IF('Product List'!C127="","",'Product List'!C127)</f>
        <v/>
      </c>
      <c r="E127" s="90" t="str">
        <f>IF('Product List'!B127="","",'Product List'!B127)</f>
        <v/>
      </c>
    </row>
    <row r="128" spans="4:5">
      <c r="D128" s="90" t="str">
        <f>IF('Product List'!C128="","",'Product List'!C128)</f>
        <v/>
      </c>
      <c r="E128" s="90" t="str">
        <f>IF('Product List'!B128="","",'Product List'!B128)</f>
        <v/>
      </c>
    </row>
    <row r="129" spans="4:5">
      <c r="D129" s="90" t="str">
        <f>IF('Product List'!C129="","",'Product List'!C129)</f>
        <v/>
      </c>
      <c r="E129" s="90" t="str">
        <f>IF('Product List'!B129="","",'Product List'!B129)</f>
        <v/>
      </c>
    </row>
    <row r="130" spans="4:5">
      <c r="D130" s="90" t="str">
        <f>IF('Product List'!C130="","",'Product List'!C130)</f>
        <v/>
      </c>
      <c r="E130" s="90" t="str">
        <f>IF('Product List'!B130="","",'Product List'!B130)</f>
        <v/>
      </c>
    </row>
    <row r="131" spans="4:5">
      <c r="D131" s="90" t="str">
        <f>IF('Product List'!C131="","",'Product List'!C131)</f>
        <v/>
      </c>
      <c r="E131" s="90" t="str">
        <f>IF('Product List'!B131="","",'Product List'!B131)</f>
        <v/>
      </c>
    </row>
    <row r="132" spans="4:5">
      <c r="D132" s="90" t="str">
        <f>IF('Product List'!C132="","",'Product List'!C132)</f>
        <v/>
      </c>
      <c r="E132" s="90" t="str">
        <f>IF('Product List'!B132="","",'Product List'!B132)</f>
        <v/>
      </c>
    </row>
    <row r="133" spans="4:5">
      <c r="D133" s="90" t="str">
        <f>IF('Product List'!C133="","",'Product List'!C133)</f>
        <v/>
      </c>
      <c r="E133" s="90" t="str">
        <f>IF('Product List'!B133="","",'Product List'!B133)</f>
        <v/>
      </c>
    </row>
    <row r="134" spans="4:5">
      <c r="D134" s="90" t="str">
        <f>IF('Product List'!C134="","",'Product List'!C134)</f>
        <v/>
      </c>
      <c r="E134" s="90" t="str">
        <f>IF('Product List'!B134="","",'Product List'!B134)</f>
        <v/>
      </c>
    </row>
    <row r="135" spans="4:5">
      <c r="D135" s="90" t="str">
        <f>IF('Product List'!C135="","",'Product List'!C135)</f>
        <v/>
      </c>
      <c r="E135" s="90" t="str">
        <f>IF('Product List'!B135="","",'Product List'!B135)</f>
        <v/>
      </c>
    </row>
    <row r="136" spans="4:5">
      <c r="D136" s="90" t="str">
        <f>IF('Product List'!C136="","",'Product List'!C136)</f>
        <v/>
      </c>
      <c r="E136" s="90" t="str">
        <f>IF('Product List'!B136="","",'Product List'!B136)</f>
        <v/>
      </c>
    </row>
    <row r="137" spans="4:5">
      <c r="D137" s="90" t="str">
        <f>IF('Product List'!C137="","",'Product List'!C137)</f>
        <v/>
      </c>
      <c r="E137" s="90" t="str">
        <f>IF('Product List'!B137="","",'Product List'!B137)</f>
        <v/>
      </c>
    </row>
    <row r="138" spans="4:5">
      <c r="D138" s="90" t="str">
        <f>IF('Product List'!C138="","",'Product List'!C138)</f>
        <v/>
      </c>
      <c r="E138" s="90" t="str">
        <f>IF('Product List'!B138="","",'Product List'!B138)</f>
        <v/>
      </c>
    </row>
    <row r="139" spans="4:5">
      <c r="D139" s="90" t="str">
        <f>IF('Product List'!C139="","",'Product List'!C139)</f>
        <v/>
      </c>
      <c r="E139" s="90" t="str">
        <f>IF('Product List'!B139="","",'Product List'!B139)</f>
        <v/>
      </c>
    </row>
    <row r="140" spans="4:5">
      <c r="D140" s="90" t="str">
        <f>IF('Product List'!C140="","",'Product List'!C140)</f>
        <v/>
      </c>
      <c r="E140" s="90" t="str">
        <f>IF('Product List'!B140="","",'Product List'!B140)</f>
        <v/>
      </c>
    </row>
    <row r="141" spans="4:5">
      <c r="D141" s="90" t="str">
        <f>IF('Product List'!C141="","",'Product List'!C141)</f>
        <v/>
      </c>
      <c r="E141" s="90" t="str">
        <f>IF('Product List'!B141="","",'Product List'!B141)</f>
        <v/>
      </c>
    </row>
    <row r="142" spans="4:5">
      <c r="D142" s="90" t="str">
        <f>IF('Product List'!C142="","",'Product List'!C142)</f>
        <v/>
      </c>
      <c r="E142" s="90" t="str">
        <f>IF('Product List'!B142="","",'Product List'!B142)</f>
        <v/>
      </c>
    </row>
    <row r="143" spans="4:5">
      <c r="D143" s="90" t="str">
        <f>IF('Product List'!C143="","",'Product List'!C143)</f>
        <v/>
      </c>
      <c r="E143" s="90" t="str">
        <f>IF('Product List'!B143="","",'Product List'!B143)</f>
        <v/>
      </c>
    </row>
    <row r="144" spans="4:5">
      <c r="D144" s="90" t="str">
        <f>IF('Product List'!C144="","",'Product List'!C144)</f>
        <v/>
      </c>
      <c r="E144" s="90" t="str">
        <f>IF('Product List'!B144="","",'Product List'!B144)</f>
        <v/>
      </c>
    </row>
    <row r="145" spans="4:5">
      <c r="D145" s="90" t="str">
        <f>IF('Product List'!C145="","",'Product List'!C145)</f>
        <v/>
      </c>
      <c r="E145" s="90" t="str">
        <f>IF('Product List'!B145="","",'Product List'!B145)</f>
        <v/>
      </c>
    </row>
    <row r="146" spans="4:5">
      <c r="D146" s="90" t="str">
        <f>IF('Product List'!C146="","",'Product List'!C146)</f>
        <v/>
      </c>
      <c r="E146" s="90" t="str">
        <f>IF('Product List'!B146="","",'Product List'!B146)</f>
        <v/>
      </c>
    </row>
    <row r="147" spans="4:5">
      <c r="D147" s="90" t="str">
        <f>IF('Product List'!C147="","",'Product List'!C147)</f>
        <v/>
      </c>
      <c r="E147" s="90" t="str">
        <f>IF('Product List'!B147="","",'Product List'!B147)</f>
        <v/>
      </c>
    </row>
    <row r="148" spans="4:5">
      <c r="D148" s="90" t="str">
        <f>IF('Product List'!C148="","",'Product List'!C148)</f>
        <v/>
      </c>
      <c r="E148" s="90" t="str">
        <f>IF('Product List'!B148="","",'Product List'!B148)</f>
        <v/>
      </c>
    </row>
    <row r="149" spans="4:5">
      <c r="D149" s="90" t="str">
        <f>IF('Product List'!C149="","",'Product List'!C149)</f>
        <v/>
      </c>
      <c r="E149" s="90" t="str">
        <f>IF('Product List'!B149="","",'Product List'!B149)</f>
        <v/>
      </c>
    </row>
    <row r="150" spans="4:5">
      <c r="D150" s="90" t="str">
        <f>IF('Product List'!C150="","",'Product List'!C150)</f>
        <v/>
      </c>
      <c r="E150" s="90" t="str">
        <f>IF('Product List'!B150="","",'Product List'!B150)</f>
        <v/>
      </c>
    </row>
    <row r="151" spans="4:5">
      <c r="D151" s="90" t="str">
        <f>IF('Product List'!C151="","",'Product List'!C151)</f>
        <v/>
      </c>
      <c r="E151" s="90" t="str">
        <f>IF('Product List'!B151="","",'Product List'!B151)</f>
        <v/>
      </c>
    </row>
    <row r="152" spans="4:5">
      <c r="D152" s="90" t="str">
        <f>IF('Product List'!C152="","",'Product List'!C152)</f>
        <v/>
      </c>
      <c r="E152" s="90" t="str">
        <f>IF('Product List'!B152="","",'Product List'!B152)</f>
        <v/>
      </c>
    </row>
    <row r="153" spans="4:5">
      <c r="D153" s="90" t="str">
        <f>IF('Product List'!C153="","",'Product List'!C153)</f>
        <v/>
      </c>
      <c r="E153" s="90" t="str">
        <f>IF('Product List'!B153="","",'Product List'!B153)</f>
        <v/>
      </c>
    </row>
    <row r="154" spans="4:5">
      <c r="D154" s="90" t="str">
        <f>IF('Product List'!C154="","",'Product List'!C154)</f>
        <v/>
      </c>
      <c r="E154" s="90" t="str">
        <f>IF('Product List'!B154="","",'Product List'!B154)</f>
        <v/>
      </c>
    </row>
    <row r="155" spans="4:5">
      <c r="D155" s="90" t="str">
        <f>IF('Product List'!C155="","",'Product List'!C155)</f>
        <v/>
      </c>
      <c r="E155" s="90" t="str">
        <f>IF('Product List'!B155="","",'Product List'!B155)</f>
        <v/>
      </c>
    </row>
    <row r="156" spans="4:5">
      <c r="D156" s="90" t="str">
        <f>IF('Product List'!C156="","",'Product List'!C156)</f>
        <v/>
      </c>
      <c r="E156" s="90" t="str">
        <f>IF('Product List'!B156="","",'Product List'!B156)</f>
        <v/>
      </c>
    </row>
    <row r="157" spans="4:5">
      <c r="D157" s="90" t="str">
        <f>IF('Product List'!C157="","",'Product List'!C157)</f>
        <v/>
      </c>
      <c r="E157" s="90" t="str">
        <f>IF('Product List'!B157="","",'Product List'!B157)</f>
        <v/>
      </c>
    </row>
    <row r="158" spans="4:5">
      <c r="D158" s="90" t="str">
        <f>IF('Product List'!C158="","",'Product List'!C158)</f>
        <v/>
      </c>
      <c r="E158" s="90" t="str">
        <f>IF('Product List'!B158="","",'Product List'!B158)</f>
        <v/>
      </c>
    </row>
    <row r="159" spans="4:5">
      <c r="D159" s="90" t="str">
        <f>IF('Product List'!C159="","",'Product List'!C159)</f>
        <v/>
      </c>
      <c r="E159" s="90" t="str">
        <f>IF('Product List'!B159="","",'Product List'!B159)</f>
        <v/>
      </c>
    </row>
    <row r="160" spans="4:5">
      <c r="D160" s="90" t="str">
        <f>IF('Product List'!C160="","",'Product List'!C160)</f>
        <v/>
      </c>
      <c r="E160" s="90" t="str">
        <f>IF('Product List'!B160="","",'Product List'!B160)</f>
        <v/>
      </c>
    </row>
    <row r="161" spans="4:5">
      <c r="D161" s="90" t="str">
        <f>IF('Product List'!C161="","",'Product List'!C161)</f>
        <v/>
      </c>
      <c r="E161" s="90" t="str">
        <f>IF('Product List'!B161="","",'Product List'!B161)</f>
        <v/>
      </c>
    </row>
    <row r="162" spans="4:5">
      <c r="D162" s="90" t="str">
        <f>IF('Product List'!C162="","",'Product List'!C162)</f>
        <v/>
      </c>
      <c r="E162" s="90" t="str">
        <f>IF('Product List'!B162="","",'Product List'!B162)</f>
        <v/>
      </c>
    </row>
    <row r="163" spans="4:5">
      <c r="D163" s="90" t="str">
        <f>IF('Product List'!C163="","",'Product List'!C163)</f>
        <v/>
      </c>
      <c r="E163" s="90" t="str">
        <f>IF('Product List'!B163="","",'Product List'!B163)</f>
        <v/>
      </c>
    </row>
    <row r="164" spans="4:5">
      <c r="D164" s="90" t="str">
        <f>IF('Product List'!C164="","",'Product List'!C164)</f>
        <v/>
      </c>
      <c r="E164" s="90" t="str">
        <f>IF('Product List'!B164="","",'Product List'!B164)</f>
        <v/>
      </c>
    </row>
    <row r="165" spans="4:5">
      <c r="D165" s="90" t="str">
        <f>IF('Product List'!C165="","",'Product List'!C165)</f>
        <v/>
      </c>
      <c r="E165" s="90" t="str">
        <f>IF('Product List'!B165="","",'Product List'!B165)</f>
        <v/>
      </c>
    </row>
    <row r="166" spans="4:5">
      <c r="D166" s="90" t="str">
        <f>IF('Product List'!C166="","",'Product List'!C166)</f>
        <v/>
      </c>
      <c r="E166" s="90" t="str">
        <f>IF('Product List'!B166="","",'Product List'!B166)</f>
        <v/>
      </c>
    </row>
    <row r="167" spans="4:5">
      <c r="D167" s="90" t="str">
        <f>IF('Product List'!C167="","",'Product List'!C167)</f>
        <v/>
      </c>
      <c r="E167" s="90" t="str">
        <f>IF('Product List'!B167="","",'Product List'!B167)</f>
        <v/>
      </c>
    </row>
    <row r="168" spans="4:5">
      <c r="D168" s="90" t="str">
        <f>IF('Product List'!C168="","",'Product List'!C168)</f>
        <v/>
      </c>
      <c r="E168" s="90" t="str">
        <f>IF('Product List'!B168="","",'Product List'!B168)</f>
        <v/>
      </c>
    </row>
    <row r="169" spans="4:5">
      <c r="D169" s="90" t="str">
        <f>IF('Product List'!C169="","",'Product List'!C169)</f>
        <v/>
      </c>
      <c r="E169" s="90" t="str">
        <f>IF('Product List'!B169="","",'Product List'!B169)</f>
        <v/>
      </c>
    </row>
    <row r="170" spans="4:5">
      <c r="D170" s="90" t="str">
        <f>IF('Product List'!C170="","",'Product List'!C170)</f>
        <v/>
      </c>
      <c r="E170" s="90" t="str">
        <f>IF('Product List'!B170="","",'Product List'!B170)</f>
        <v/>
      </c>
    </row>
    <row r="171" spans="4:5">
      <c r="D171" s="90" t="str">
        <f>IF('Product List'!C171="","",'Product List'!C171)</f>
        <v/>
      </c>
      <c r="E171" s="90" t="str">
        <f>IF('Product List'!B171="","",'Product List'!B171)</f>
        <v/>
      </c>
    </row>
    <row r="172" spans="4:5">
      <c r="D172" s="90" t="str">
        <f>IF('Product List'!C172="","",'Product List'!C172)</f>
        <v/>
      </c>
      <c r="E172" s="90" t="str">
        <f>IF('Product List'!B172="","",'Product List'!B172)</f>
        <v/>
      </c>
    </row>
    <row r="173" spans="4:5">
      <c r="D173" s="90" t="str">
        <f>IF('Product List'!C173="","",'Product List'!C173)</f>
        <v/>
      </c>
      <c r="E173" s="90" t="str">
        <f>IF('Product List'!B173="","",'Product List'!B173)</f>
        <v/>
      </c>
    </row>
    <row r="174" spans="4:5">
      <c r="D174" s="90" t="str">
        <f>IF('Product List'!C174="","",'Product List'!C174)</f>
        <v/>
      </c>
      <c r="E174" s="90" t="str">
        <f>IF('Product List'!B174="","",'Product List'!B174)</f>
        <v/>
      </c>
    </row>
    <row r="175" spans="4:5">
      <c r="D175" s="90" t="str">
        <f>IF('Product List'!C175="","",'Product List'!C175)</f>
        <v/>
      </c>
      <c r="E175" s="90" t="str">
        <f>IF('Product List'!B175="","",'Product List'!B175)</f>
        <v/>
      </c>
    </row>
    <row r="176" spans="4:5">
      <c r="D176" s="90" t="str">
        <f>IF('Product List'!C176="","",'Product List'!C176)</f>
        <v/>
      </c>
      <c r="E176" s="90" t="str">
        <f>IF('Product List'!B176="","",'Product List'!B176)</f>
        <v/>
      </c>
    </row>
    <row r="177" spans="4:5">
      <c r="D177" s="90" t="str">
        <f>IF('Product List'!C177="","",'Product List'!C177)</f>
        <v/>
      </c>
      <c r="E177" s="90" t="str">
        <f>IF('Product List'!B177="","",'Product List'!B177)</f>
        <v/>
      </c>
    </row>
    <row r="178" spans="4:5">
      <c r="D178" s="90" t="str">
        <f>IF('Product List'!C178="","",'Product List'!C178)</f>
        <v/>
      </c>
      <c r="E178" s="90" t="str">
        <f>IF('Product List'!B178="","",'Product List'!B178)</f>
        <v/>
      </c>
    </row>
    <row r="179" spans="4:5">
      <c r="D179" s="90" t="str">
        <f>IF('Product List'!C179="","",'Product List'!C179)</f>
        <v/>
      </c>
      <c r="E179" s="90" t="str">
        <f>IF('Product List'!B179="","",'Product List'!B179)</f>
        <v/>
      </c>
    </row>
    <row r="180" spans="4:5">
      <c r="D180" s="90" t="str">
        <f>IF('Product List'!C180="","",'Product List'!C180)</f>
        <v/>
      </c>
      <c r="E180" s="90" t="str">
        <f>IF('Product List'!B180="","",'Product List'!B180)</f>
        <v/>
      </c>
    </row>
    <row r="181" spans="4:5">
      <c r="D181" s="90" t="str">
        <f>IF('Product List'!C181="","",'Product List'!C181)</f>
        <v/>
      </c>
      <c r="E181" s="90" t="str">
        <f>IF('Product List'!B181="","",'Product List'!B181)</f>
        <v/>
      </c>
    </row>
    <row r="182" spans="4:5">
      <c r="D182" s="90" t="str">
        <f>IF('Product List'!C182="","",'Product List'!C182)</f>
        <v/>
      </c>
      <c r="E182" s="90" t="str">
        <f>IF('Product List'!B182="","",'Product List'!B182)</f>
        <v/>
      </c>
    </row>
    <row r="183" spans="4:5">
      <c r="D183" s="90" t="str">
        <f>IF('Product List'!C183="","",'Product List'!C183)</f>
        <v/>
      </c>
      <c r="E183" s="90" t="str">
        <f>IF('Product List'!B183="","",'Product List'!B183)</f>
        <v/>
      </c>
    </row>
    <row r="184" spans="4:5">
      <c r="D184" s="90" t="str">
        <f>IF('Product List'!C184="","",'Product List'!C184)</f>
        <v/>
      </c>
      <c r="E184" s="90" t="str">
        <f>IF('Product List'!B184="","",'Product List'!B184)</f>
        <v/>
      </c>
    </row>
    <row r="185" spans="4:5">
      <c r="D185" s="90" t="str">
        <f>IF('Product List'!C185="","",'Product List'!C185)</f>
        <v/>
      </c>
      <c r="E185" s="90" t="str">
        <f>IF('Product List'!B185="","",'Product List'!B185)</f>
        <v/>
      </c>
    </row>
    <row r="186" spans="4:5">
      <c r="D186" s="90" t="str">
        <f>IF('Product List'!C186="","",'Product List'!C186)</f>
        <v/>
      </c>
      <c r="E186" s="90" t="str">
        <f>IF('Product List'!B186="","",'Product List'!B186)</f>
        <v/>
      </c>
    </row>
    <row r="187" spans="4:5">
      <c r="D187" s="90" t="str">
        <f>IF('Product List'!C187="","",'Product List'!C187)</f>
        <v/>
      </c>
      <c r="E187" s="90" t="str">
        <f>IF('Product List'!B187="","",'Product List'!B187)</f>
        <v/>
      </c>
    </row>
    <row r="188" spans="4:5">
      <c r="D188" s="90" t="str">
        <f>IF('Product List'!C188="","",'Product List'!C188)</f>
        <v/>
      </c>
      <c r="E188" s="90" t="str">
        <f>IF('Product List'!B188="","",'Product List'!B188)</f>
        <v/>
      </c>
    </row>
    <row r="189" spans="4:5">
      <c r="D189" s="90" t="str">
        <f>IF('Product List'!C189="","",'Product List'!C189)</f>
        <v/>
      </c>
      <c r="E189" s="90" t="str">
        <f>IF('Product List'!B189="","",'Product List'!B189)</f>
        <v/>
      </c>
    </row>
    <row r="190" spans="4:5">
      <c r="D190" s="90" t="str">
        <f>IF('Product List'!C190="","",'Product List'!C190)</f>
        <v/>
      </c>
      <c r="E190" s="90" t="str">
        <f>IF('Product List'!B190="","",'Product List'!B190)</f>
        <v/>
      </c>
    </row>
    <row r="191" spans="4:5">
      <c r="D191" s="90" t="str">
        <f>IF('Product List'!C191="","",'Product List'!C191)</f>
        <v/>
      </c>
      <c r="E191" s="90" t="str">
        <f>IF('Product List'!B191="","",'Product List'!B191)</f>
        <v/>
      </c>
    </row>
    <row r="192" spans="4:5">
      <c r="D192" s="90" t="str">
        <f>IF('Product List'!C192="","",'Product List'!C192)</f>
        <v/>
      </c>
      <c r="E192" s="90" t="str">
        <f>IF('Product List'!B192="","",'Product List'!B192)</f>
        <v/>
      </c>
    </row>
    <row r="193" spans="4:5">
      <c r="D193" s="90" t="str">
        <f>IF('Product List'!C193="","",'Product List'!C193)</f>
        <v/>
      </c>
      <c r="E193" s="90" t="str">
        <f>IF('Product List'!B193="","",'Product List'!B193)</f>
        <v/>
      </c>
    </row>
    <row r="194" spans="4:5">
      <c r="D194" s="90" t="str">
        <f>IF('Product List'!C194="","",'Product List'!C194)</f>
        <v/>
      </c>
      <c r="E194" s="90" t="str">
        <f>IF('Product List'!B194="","",'Product List'!B194)</f>
        <v/>
      </c>
    </row>
    <row r="195" spans="4:5">
      <c r="D195" s="90" t="str">
        <f>IF('Product List'!C195="","",'Product List'!C195)</f>
        <v/>
      </c>
      <c r="E195" s="90" t="str">
        <f>IF('Product List'!B195="","",'Product List'!B195)</f>
        <v/>
      </c>
    </row>
    <row r="196" spans="4:5">
      <c r="D196" s="90" t="str">
        <f>IF('Product List'!C196="","",'Product List'!C196)</f>
        <v/>
      </c>
      <c r="E196" s="90" t="str">
        <f>IF('Product List'!B196="","",'Product List'!B196)</f>
        <v/>
      </c>
    </row>
    <row r="197" spans="4:5">
      <c r="D197" s="90" t="str">
        <f>IF('Product List'!C197="","",'Product List'!C197)</f>
        <v/>
      </c>
      <c r="E197" s="90" t="str">
        <f>IF('Product List'!B197="","",'Product List'!B197)</f>
        <v/>
      </c>
    </row>
    <row r="198" spans="4:5">
      <c r="D198" s="90" t="str">
        <f>IF('Product List'!C198="","",'Product List'!C198)</f>
        <v/>
      </c>
      <c r="E198" s="90" t="str">
        <f>IF('Product List'!B198="","",'Product List'!B198)</f>
        <v/>
      </c>
    </row>
    <row r="199" spans="4:5">
      <c r="D199" s="90" t="str">
        <f>IF('Product List'!C199="","",'Product List'!C199)</f>
        <v/>
      </c>
      <c r="E199" s="90" t="str">
        <f>IF('Product List'!B199="","",'Product List'!B199)</f>
        <v/>
      </c>
    </row>
    <row r="200" spans="4:5">
      <c r="D200" s="90" t="str">
        <f>IF('Product List'!C200="","",'Product List'!C200)</f>
        <v/>
      </c>
      <c r="E200" s="90" t="str">
        <f>IF('Product List'!B200="","",'Product List'!B200)</f>
        <v/>
      </c>
    </row>
    <row r="201" spans="4:5">
      <c r="D201" s="90" t="str">
        <f>IF('Product List'!C201="","",'Product List'!C201)</f>
        <v/>
      </c>
      <c r="E201" s="90" t="str">
        <f>IF('Product List'!B201="","",'Product List'!B201)</f>
        <v/>
      </c>
    </row>
    <row r="202" spans="4:5">
      <c r="D202" s="90" t="str">
        <f>IF('Product List'!C202="","",'Product List'!C202)</f>
        <v/>
      </c>
      <c r="E202" s="90" t="str">
        <f>IF('Product List'!B202="","",'Product List'!B202)</f>
        <v/>
      </c>
    </row>
    <row r="203" spans="4:5">
      <c r="D203" s="90" t="str">
        <f>IF('Product List'!C203="","",'Product List'!C203)</f>
        <v/>
      </c>
      <c r="E203" s="90" t="str">
        <f>IF('Product List'!B203="","",'Product List'!B203)</f>
        <v/>
      </c>
    </row>
    <row r="204" spans="4:5">
      <c r="D204" s="90" t="str">
        <f>IF('Product List'!C204="","",'Product List'!C204)</f>
        <v/>
      </c>
      <c r="E204" s="90" t="str">
        <f>IF('Product List'!B204="","",'Product List'!B204)</f>
        <v/>
      </c>
    </row>
    <row r="205" spans="4:5">
      <c r="D205" s="90" t="str">
        <f>IF('Product List'!C205="","",'Product List'!C205)</f>
        <v/>
      </c>
      <c r="E205" s="90" t="str">
        <f>IF('Product List'!B205="","",'Product List'!B205)</f>
        <v/>
      </c>
    </row>
    <row r="206" spans="4:5">
      <c r="D206" s="90" t="str">
        <f>IF('Product List'!C206="","",'Product List'!C206)</f>
        <v/>
      </c>
      <c r="E206" s="90" t="str">
        <f>IF('Product List'!B206="","",'Product List'!B206)</f>
        <v/>
      </c>
    </row>
    <row r="207" spans="4:5">
      <c r="D207" s="90" t="str">
        <f>IF('Product List'!C207="","",'Product List'!C207)</f>
        <v/>
      </c>
      <c r="E207" s="90" t="str">
        <f>IF('Product List'!B207="","",'Product List'!B207)</f>
        <v/>
      </c>
    </row>
    <row r="208" spans="4:5">
      <c r="D208" s="90" t="str">
        <f>IF('Product List'!C208="","",'Product List'!C208)</f>
        <v/>
      </c>
      <c r="E208" s="90" t="str">
        <f>IF('Product List'!B208="","",'Product List'!B208)</f>
        <v/>
      </c>
    </row>
    <row r="209" spans="4:5">
      <c r="D209" s="90" t="str">
        <f>IF('Product List'!C209="","",'Product List'!C209)</f>
        <v/>
      </c>
      <c r="E209" s="90" t="str">
        <f>IF('Product List'!B209="","",'Product List'!B209)</f>
        <v/>
      </c>
    </row>
    <row r="210" spans="4:5">
      <c r="D210" s="90" t="str">
        <f>IF('Product List'!C210="","",'Product List'!C210)</f>
        <v/>
      </c>
      <c r="E210" s="90" t="str">
        <f>IF('Product List'!B210="","",'Product List'!B210)</f>
        <v/>
      </c>
    </row>
    <row r="211" spans="4:5">
      <c r="D211" s="90" t="str">
        <f>IF('Product List'!C211="","",'Product List'!C211)</f>
        <v/>
      </c>
      <c r="E211" s="90" t="str">
        <f>IF('Product List'!B211="","",'Product List'!B211)</f>
        <v/>
      </c>
    </row>
    <row r="212" spans="4:5">
      <c r="D212" s="90" t="str">
        <f>IF('Product List'!C212="","",'Product List'!C212)</f>
        <v/>
      </c>
      <c r="E212" s="90" t="str">
        <f>IF('Product List'!B212="","",'Product List'!B212)</f>
        <v/>
      </c>
    </row>
    <row r="213" spans="4:5">
      <c r="D213" s="90" t="str">
        <f>IF('Product List'!C213="","",'Product List'!C213)</f>
        <v/>
      </c>
      <c r="E213" s="90" t="str">
        <f>IF('Product List'!B213="","",'Product List'!B213)</f>
        <v/>
      </c>
    </row>
    <row r="214" spans="4:5">
      <c r="D214" s="90" t="str">
        <f>IF('Product List'!C214="","",'Product List'!C214)</f>
        <v/>
      </c>
      <c r="E214" s="90" t="str">
        <f>IF('Product List'!B214="","",'Product List'!B214)</f>
        <v/>
      </c>
    </row>
    <row r="215" spans="4:5">
      <c r="D215" s="90" t="str">
        <f>IF('Product List'!C215="","",'Product List'!C215)</f>
        <v/>
      </c>
      <c r="E215" s="90" t="str">
        <f>IF('Product List'!B215="","",'Product List'!B215)</f>
        <v/>
      </c>
    </row>
    <row r="216" spans="4:5">
      <c r="D216" s="90" t="str">
        <f>IF('Product List'!C216="","",'Product List'!C216)</f>
        <v/>
      </c>
      <c r="E216" s="90" t="str">
        <f>IF('Product List'!B216="","",'Product List'!B216)</f>
        <v/>
      </c>
    </row>
    <row r="217" spans="4:5">
      <c r="D217" s="90" t="str">
        <f>IF('Product List'!C217="","",'Product List'!C217)</f>
        <v/>
      </c>
      <c r="E217" s="90" t="str">
        <f>IF('Product List'!B217="","",'Product List'!B217)</f>
        <v/>
      </c>
    </row>
    <row r="218" spans="4:5">
      <c r="D218" s="90" t="str">
        <f>IF('Product List'!C218="","",'Product List'!C218)</f>
        <v/>
      </c>
      <c r="E218" s="90" t="str">
        <f>IF('Product List'!B218="","",'Product List'!B218)</f>
        <v/>
      </c>
    </row>
    <row r="219" spans="4:5">
      <c r="D219" s="90" t="str">
        <f>IF('Product List'!C219="","",'Product List'!C219)</f>
        <v/>
      </c>
      <c r="E219" s="90" t="str">
        <f>IF('Product List'!B219="","",'Product List'!B219)</f>
        <v/>
      </c>
    </row>
    <row r="220" spans="4:5">
      <c r="D220" s="90" t="str">
        <f>IF('Product List'!C220="","",'Product List'!C220)</f>
        <v/>
      </c>
      <c r="E220" s="90" t="str">
        <f>IF('Product List'!B220="","",'Product List'!B220)</f>
        <v/>
      </c>
    </row>
    <row r="221" spans="4:5">
      <c r="D221" s="90" t="str">
        <f>IF('Product List'!C221="","",'Product List'!C221)</f>
        <v/>
      </c>
      <c r="E221" s="90" t="str">
        <f>IF('Product List'!B221="","",'Product List'!B221)</f>
        <v/>
      </c>
    </row>
    <row r="222" spans="4:5">
      <c r="D222" s="90" t="str">
        <f>IF('Product List'!C222="","",'Product List'!C222)</f>
        <v/>
      </c>
      <c r="E222" s="90" t="str">
        <f>IF('Product List'!B222="","",'Product List'!B222)</f>
        <v/>
      </c>
    </row>
    <row r="223" spans="4:5">
      <c r="D223" s="90" t="str">
        <f>IF('Product List'!C223="","",'Product List'!C223)</f>
        <v/>
      </c>
      <c r="E223" s="90" t="str">
        <f>IF('Product List'!B223="","",'Product List'!B223)</f>
        <v/>
      </c>
    </row>
    <row r="224" spans="4:5">
      <c r="D224" s="90" t="str">
        <f>IF('Product List'!C224="","",'Product List'!C224)</f>
        <v/>
      </c>
      <c r="E224" s="90" t="str">
        <f>IF('Product List'!B224="","",'Product List'!B224)</f>
        <v/>
      </c>
    </row>
    <row r="225" spans="4:5">
      <c r="D225" s="90" t="str">
        <f>IF('Product List'!C225="","",'Product List'!C225)</f>
        <v/>
      </c>
      <c r="E225" s="90" t="str">
        <f>IF('Product List'!B225="","",'Product List'!B225)</f>
        <v/>
      </c>
    </row>
    <row r="226" spans="4:5">
      <c r="D226" s="90" t="str">
        <f>IF('Product List'!C226="","",'Product List'!C226)</f>
        <v/>
      </c>
      <c r="E226" s="90" t="str">
        <f>IF('Product List'!B226="","",'Product List'!B226)</f>
        <v/>
      </c>
    </row>
    <row r="227" spans="4:5">
      <c r="D227" s="90" t="str">
        <f>IF('Product List'!C227="","",'Product List'!C227)</f>
        <v/>
      </c>
      <c r="E227" s="90" t="str">
        <f>IF('Product List'!B227="","",'Product List'!B227)</f>
        <v/>
      </c>
    </row>
    <row r="228" spans="4:5">
      <c r="D228" s="90" t="str">
        <f>IF('Product List'!C228="","",'Product List'!C228)</f>
        <v/>
      </c>
      <c r="E228" s="90" t="str">
        <f>IF('Product List'!B228="","",'Product List'!B228)</f>
        <v/>
      </c>
    </row>
    <row r="229" spans="4:5">
      <c r="D229" s="90" t="str">
        <f>IF('Product List'!C229="","",'Product List'!C229)</f>
        <v/>
      </c>
      <c r="E229" s="90" t="str">
        <f>IF('Product List'!B229="","",'Product List'!B229)</f>
        <v/>
      </c>
    </row>
    <row r="230" spans="4:5">
      <c r="D230" s="90" t="str">
        <f>IF('Product List'!C230="","",'Product List'!C230)</f>
        <v/>
      </c>
      <c r="E230" s="90" t="str">
        <f>IF('Product List'!B230="","",'Product List'!B230)</f>
        <v/>
      </c>
    </row>
    <row r="231" spans="4:5">
      <c r="D231" s="90" t="str">
        <f>IF('Product List'!C231="","",'Product List'!C231)</f>
        <v/>
      </c>
      <c r="E231" s="90" t="str">
        <f>IF('Product List'!B231="","",'Product List'!B231)</f>
        <v/>
      </c>
    </row>
    <row r="232" spans="4:5">
      <c r="D232" s="90" t="str">
        <f>IF('Product List'!C232="","",'Product List'!C232)</f>
        <v/>
      </c>
      <c r="E232" s="90" t="str">
        <f>IF('Product List'!B232="","",'Product List'!B232)</f>
        <v/>
      </c>
    </row>
    <row r="233" spans="4:5">
      <c r="D233" s="90" t="str">
        <f>IF('Product List'!C233="","",'Product List'!C233)</f>
        <v/>
      </c>
      <c r="E233" s="90" t="str">
        <f>IF('Product List'!B233="","",'Product List'!B233)</f>
        <v/>
      </c>
    </row>
    <row r="234" spans="4:5">
      <c r="D234" s="90" t="str">
        <f>IF('Product List'!C234="","",'Product List'!C234)</f>
        <v/>
      </c>
      <c r="E234" s="90" t="str">
        <f>IF('Product List'!B234="","",'Product List'!B234)</f>
        <v/>
      </c>
    </row>
    <row r="235" spans="4:5">
      <c r="D235" s="90" t="str">
        <f>IF('Product List'!C235="","",'Product List'!C235)</f>
        <v/>
      </c>
      <c r="E235" s="90" t="str">
        <f>IF('Product List'!B235="","",'Product List'!B235)</f>
        <v/>
      </c>
    </row>
    <row r="236" spans="4:5">
      <c r="D236" s="90" t="str">
        <f>IF('Product List'!C236="","",'Product List'!C236)</f>
        <v/>
      </c>
      <c r="E236" s="90" t="str">
        <f>IF('Product List'!B236="","",'Product List'!B236)</f>
        <v/>
      </c>
    </row>
    <row r="237" spans="4:5">
      <c r="D237" s="90" t="str">
        <f>IF('Product List'!C237="","",'Product List'!C237)</f>
        <v/>
      </c>
      <c r="E237" s="90" t="str">
        <f>IF('Product List'!B237="","",'Product List'!B237)</f>
        <v/>
      </c>
    </row>
    <row r="238" spans="4:5">
      <c r="D238" s="90" t="str">
        <f>IF('Product List'!C238="","",'Product List'!C238)</f>
        <v/>
      </c>
      <c r="E238" s="90" t="str">
        <f>IF('Product List'!B238="","",'Product List'!B238)</f>
        <v/>
      </c>
    </row>
    <row r="239" spans="4:5">
      <c r="D239" s="90" t="str">
        <f>IF('Product List'!C239="","",'Product List'!C239)</f>
        <v/>
      </c>
      <c r="E239" s="90" t="str">
        <f>IF('Product List'!B239="","",'Product List'!B239)</f>
        <v/>
      </c>
    </row>
    <row r="240" spans="4:5">
      <c r="D240" s="90" t="str">
        <f>IF('Product List'!C240="","",'Product List'!C240)</f>
        <v/>
      </c>
      <c r="E240" s="90" t="str">
        <f>IF('Product List'!B240="","",'Product List'!B240)</f>
        <v/>
      </c>
    </row>
    <row r="241" spans="4:5">
      <c r="D241" s="90" t="str">
        <f>IF('Product List'!C241="","",'Product List'!C241)</f>
        <v/>
      </c>
      <c r="E241" s="90" t="str">
        <f>IF('Product List'!B241="","",'Product List'!B241)</f>
        <v/>
      </c>
    </row>
    <row r="242" spans="4:5">
      <c r="D242" s="90" t="str">
        <f>IF('Product List'!C242="","",'Product List'!C242)</f>
        <v/>
      </c>
      <c r="E242" s="90" t="str">
        <f>IF('Product List'!B242="","",'Product List'!B242)</f>
        <v/>
      </c>
    </row>
    <row r="243" spans="4:5">
      <c r="D243" s="90" t="str">
        <f>IF('Product List'!C243="","",'Product List'!C243)</f>
        <v/>
      </c>
      <c r="E243" s="90" t="str">
        <f>IF('Product List'!B243="","",'Product List'!B243)</f>
        <v/>
      </c>
    </row>
    <row r="244" spans="4:5">
      <c r="D244" s="90" t="str">
        <f>IF('Product List'!C244="","",'Product List'!C244)</f>
        <v/>
      </c>
      <c r="E244" s="90" t="str">
        <f>IF('Product List'!B244="","",'Product List'!B244)</f>
        <v/>
      </c>
    </row>
    <row r="245" spans="4:5">
      <c r="D245" s="90" t="str">
        <f>IF('Product List'!C245="","",'Product List'!C245)</f>
        <v/>
      </c>
      <c r="E245" s="90" t="str">
        <f>IF('Product List'!B245="","",'Product List'!B245)</f>
        <v/>
      </c>
    </row>
    <row r="246" spans="4:5">
      <c r="D246" s="90" t="str">
        <f>IF('Product List'!C246="","",'Product List'!C246)</f>
        <v/>
      </c>
      <c r="E246" s="90" t="str">
        <f>IF('Product List'!B246="","",'Product List'!B246)</f>
        <v/>
      </c>
    </row>
    <row r="247" spans="4:5">
      <c r="D247" s="90" t="str">
        <f>IF('Product List'!C247="","",'Product List'!C247)</f>
        <v/>
      </c>
      <c r="E247" s="90" t="str">
        <f>IF('Product List'!B247="","",'Product List'!B247)</f>
        <v/>
      </c>
    </row>
    <row r="248" spans="4:5">
      <c r="D248" s="90" t="str">
        <f>IF('Product List'!C248="","",'Product List'!C248)</f>
        <v/>
      </c>
      <c r="E248" s="90" t="str">
        <f>IF('Product List'!B248="","",'Product List'!B248)</f>
        <v/>
      </c>
    </row>
    <row r="249" spans="4:5">
      <c r="D249" s="90" t="str">
        <f>IF('Product List'!C249="","",'Product List'!C249)</f>
        <v/>
      </c>
      <c r="E249" s="90" t="str">
        <f>IF('Product List'!B249="","",'Product List'!B249)</f>
        <v/>
      </c>
    </row>
    <row r="250" spans="4:5">
      <c r="D250" s="90" t="str">
        <f>IF('Product List'!C250="","",'Product List'!C250)</f>
        <v/>
      </c>
      <c r="E250" s="90" t="str">
        <f>IF('Product List'!B250="","",'Product List'!B250)</f>
        <v/>
      </c>
    </row>
    <row r="251" spans="4:5">
      <c r="D251" s="90" t="str">
        <f>IF('Product List'!C251="","",'Product List'!C251)</f>
        <v/>
      </c>
      <c r="E251" s="90" t="str">
        <f>IF('Product List'!B251="","",'Product List'!B251)</f>
        <v/>
      </c>
    </row>
    <row r="252" spans="4:5">
      <c r="D252" s="90" t="str">
        <f>IF('Product List'!C252="","",'Product List'!C252)</f>
        <v/>
      </c>
      <c r="E252" s="90" t="str">
        <f>IF('Product List'!B252="","",'Product List'!B252)</f>
        <v/>
      </c>
    </row>
    <row r="253" spans="4:5">
      <c r="D253" s="90" t="str">
        <f>IF('Product List'!C253="","",'Product List'!C253)</f>
        <v/>
      </c>
      <c r="E253" s="90" t="str">
        <f>IF('Product List'!B253="","",'Product List'!B253)</f>
        <v/>
      </c>
    </row>
    <row r="254" spans="4:5">
      <c r="D254" s="90" t="str">
        <f>IF('Product List'!C254="","",'Product List'!C254)</f>
        <v/>
      </c>
      <c r="E254" s="90" t="str">
        <f>IF('Product List'!B254="","",'Product List'!B254)</f>
        <v/>
      </c>
    </row>
    <row r="255" spans="4:5">
      <c r="D255" s="90" t="str">
        <f>IF('Product List'!C255="","",'Product List'!C255)</f>
        <v/>
      </c>
      <c r="E255" s="90" t="str">
        <f>IF('Product List'!B255="","",'Product List'!B255)</f>
        <v/>
      </c>
    </row>
    <row r="256" spans="4:5">
      <c r="D256" s="90" t="str">
        <f>IF('Product List'!C256="","",'Product List'!C256)</f>
        <v/>
      </c>
      <c r="E256" s="90" t="str">
        <f>IF('Product List'!B256="","",'Product List'!B256)</f>
        <v/>
      </c>
    </row>
    <row r="257" spans="4:5">
      <c r="D257" s="90" t="str">
        <f>IF('Product List'!C257="","",'Product List'!C257)</f>
        <v/>
      </c>
      <c r="E257" s="90" t="str">
        <f>IF('Product List'!B257="","",'Product List'!B257)</f>
        <v/>
      </c>
    </row>
    <row r="258" spans="4:5">
      <c r="D258" s="90" t="str">
        <f>IF('Product List'!C258="","",'Product List'!C258)</f>
        <v/>
      </c>
      <c r="E258" s="90" t="str">
        <f>IF('Product List'!B258="","",'Product List'!B258)</f>
        <v/>
      </c>
    </row>
    <row r="259" spans="4:5">
      <c r="D259" s="90" t="str">
        <f>IF('Product List'!C259="","",'Product List'!C259)</f>
        <v/>
      </c>
      <c r="E259" s="90" t="str">
        <f>IF('Product List'!B259="","",'Product List'!B259)</f>
        <v/>
      </c>
    </row>
    <row r="260" spans="4:5">
      <c r="D260" s="90" t="str">
        <f>IF('Product List'!C260="","",'Product List'!C260)</f>
        <v/>
      </c>
      <c r="E260" s="90" t="str">
        <f>IF('Product List'!B260="","",'Product List'!B260)</f>
        <v/>
      </c>
    </row>
    <row r="261" spans="4:5">
      <c r="D261" s="90" t="str">
        <f>IF('Product List'!C261="","",'Product List'!C261)</f>
        <v/>
      </c>
      <c r="E261" s="90" t="str">
        <f>IF('Product List'!B261="","",'Product List'!B261)</f>
        <v/>
      </c>
    </row>
    <row r="262" spans="4:5">
      <c r="D262" s="90" t="str">
        <f>IF('Product List'!C262="","",'Product List'!C262)</f>
        <v/>
      </c>
      <c r="E262" s="90" t="str">
        <f>IF('Product List'!B262="","",'Product List'!B262)</f>
        <v/>
      </c>
    </row>
    <row r="263" spans="4:5">
      <c r="D263" s="90" t="str">
        <f>IF('Product List'!C263="","",'Product List'!C263)</f>
        <v/>
      </c>
      <c r="E263" s="90" t="str">
        <f>IF('Product List'!B263="","",'Product List'!B263)</f>
        <v/>
      </c>
    </row>
    <row r="264" spans="4:5">
      <c r="D264" s="90" t="str">
        <f>IF('Product List'!C264="","",'Product List'!C264)</f>
        <v/>
      </c>
      <c r="E264" s="90" t="str">
        <f>IF('Product List'!B264="","",'Product List'!B264)</f>
        <v/>
      </c>
    </row>
    <row r="265" spans="4:5">
      <c r="D265" s="90" t="str">
        <f>IF('Product List'!C265="","",'Product List'!C265)</f>
        <v/>
      </c>
      <c r="E265" s="90" t="str">
        <f>IF('Product List'!B265="","",'Product List'!B265)</f>
        <v/>
      </c>
    </row>
    <row r="266" spans="4:5">
      <c r="D266" s="90" t="str">
        <f>IF('Product List'!C266="","",'Product List'!C266)</f>
        <v/>
      </c>
      <c r="E266" s="90" t="str">
        <f>IF('Product List'!B266="","",'Product List'!B266)</f>
        <v/>
      </c>
    </row>
    <row r="267" spans="4:5">
      <c r="D267" s="90" t="str">
        <f>IF('Product List'!C267="","",'Product List'!C267)</f>
        <v/>
      </c>
      <c r="E267" s="90" t="str">
        <f>IF('Product List'!B267="","",'Product List'!B267)</f>
        <v/>
      </c>
    </row>
    <row r="268" spans="4:5">
      <c r="D268" s="90" t="str">
        <f>IF('Product List'!C268="","",'Product List'!C268)</f>
        <v/>
      </c>
      <c r="E268" s="90" t="str">
        <f>IF('Product List'!B268="","",'Product List'!B268)</f>
        <v/>
      </c>
    </row>
    <row r="269" spans="4:5">
      <c r="D269" s="90" t="str">
        <f>IF('Product List'!C269="","",'Product List'!C269)</f>
        <v/>
      </c>
      <c r="E269" s="90" t="str">
        <f>IF('Product List'!B269="","",'Product List'!B269)</f>
        <v/>
      </c>
    </row>
    <row r="270" spans="4:5">
      <c r="D270" s="90" t="str">
        <f>IF('Product List'!C270="","",'Product List'!C270)</f>
        <v/>
      </c>
      <c r="E270" s="90" t="str">
        <f>IF('Product List'!B270="","",'Product List'!B270)</f>
        <v/>
      </c>
    </row>
    <row r="271" spans="4:5">
      <c r="D271" s="90" t="str">
        <f>IF('Product List'!C271="","",'Product List'!C271)</f>
        <v/>
      </c>
      <c r="E271" s="90" t="str">
        <f>IF('Product List'!B271="","",'Product List'!B271)</f>
        <v/>
      </c>
    </row>
    <row r="272" spans="4:5">
      <c r="D272" s="90" t="str">
        <f>IF('Product List'!C272="","",'Product List'!C272)</f>
        <v/>
      </c>
      <c r="E272" s="90" t="str">
        <f>IF('Product List'!B272="","",'Product List'!B272)</f>
        <v/>
      </c>
    </row>
    <row r="273" spans="4:5">
      <c r="D273" s="90" t="str">
        <f>IF('Product List'!C273="","",'Product List'!C273)</f>
        <v/>
      </c>
      <c r="E273" s="90" t="str">
        <f>IF('Product List'!B273="","",'Product List'!B273)</f>
        <v/>
      </c>
    </row>
    <row r="274" spans="4:5">
      <c r="D274" s="90" t="str">
        <f>IF('Product List'!C274="","",'Product List'!C274)</f>
        <v/>
      </c>
      <c r="E274" s="90" t="str">
        <f>IF('Product List'!B274="","",'Product List'!B274)</f>
        <v/>
      </c>
    </row>
    <row r="275" spans="4:5">
      <c r="D275" s="90" t="str">
        <f>IF('Product List'!C275="","",'Product List'!C275)</f>
        <v/>
      </c>
      <c r="E275" s="90" t="str">
        <f>IF('Product List'!B275="","",'Product List'!B275)</f>
        <v/>
      </c>
    </row>
    <row r="276" spans="4:5">
      <c r="D276" s="90" t="str">
        <f>IF('Product List'!C276="","",'Product List'!C276)</f>
        <v/>
      </c>
      <c r="E276" s="90" t="str">
        <f>IF('Product List'!B276="","",'Product List'!B276)</f>
        <v/>
      </c>
    </row>
    <row r="277" spans="4:5">
      <c r="D277" s="90" t="str">
        <f>IF('Product List'!C277="","",'Product List'!C277)</f>
        <v/>
      </c>
      <c r="E277" s="90" t="str">
        <f>IF('Product List'!B277="","",'Product List'!B277)</f>
        <v/>
      </c>
    </row>
    <row r="278" spans="4:5">
      <c r="D278" s="90" t="str">
        <f>IF('Product List'!C278="","",'Product List'!C278)</f>
        <v/>
      </c>
      <c r="E278" s="90" t="str">
        <f>IF('Product List'!B278="","",'Product List'!B278)</f>
        <v/>
      </c>
    </row>
    <row r="279" spans="4:5">
      <c r="D279" s="90" t="str">
        <f>IF('Product List'!C279="","",'Product List'!C279)</f>
        <v/>
      </c>
      <c r="E279" s="90" t="str">
        <f>IF('Product List'!B279="","",'Product List'!B279)</f>
        <v/>
      </c>
    </row>
    <row r="280" spans="4:5">
      <c r="D280" s="90" t="str">
        <f>IF('Product List'!C280="","",'Product List'!C280)</f>
        <v/>
      </c>
      <c r="E280" s="90" t="str">
        <f>IF('Product List'!B280="","",'Product List'!B280)</f>
        <v/>
      </c>
    </row>
    <row r="281" spans="4:5">
      <c r="D281" s="90" t="str">
        <f>IF('Product List'!C281="","",'Product List'!C281)</f>
        <v/>
      </c>
      <c r="E281" s="90" t="str">
        <f>IF('Product List'!B281="","",'Product List'!B281)</f>
        <v/>
      </c>
    </row>
    <row r="282" spans="4:5">
      <c r="D282" s="90" t="str">
        <f>IF('Product List'!C282="","",'Product List'!C282)</f>
        <v/>
      </c>
      <c r="E282" s="90" t="str">
        <f>IF('Product List'!B282="","",'Product List'!B282)</f>
        <v/>
      </c>
    </row>
    <row r="283" spans="4:5">
      <c r="D283" s="90" t="str">
        <f>IF('Product List'!C283="","",'Product List'!C283)</f>
        <v/>
      </c>
      <c r="E283" s="90" t="str">
        <f>IF('Product List'!B283="","",'Product List'!B283)</f>
        <v/>
      </c>
    </row>
    <row r="284" spans="4:5">
      <c r="D284" s="90" t="str">
        <f>IF('Product List'!C284="","",'Product List'!C284)</f>
        <v/>
      </c>
      <c r="E284" s="90" t="str">
        <f>IF('Product List'!B284="","",'Product List'!B284)</f>
        <v/>
      </c>
    </row>
    <row r="285" spans="4:5">
      <c r="D285" s="90" t="str">
        <f>IF('Product List'!C285="","",'Product List'!C285)</f>
        <v/>
      </c>
      <c r="E285" s="90" t="str">
        <f>IF('Product List'!B285="","",'Product List'!B285)</f>
        <v/>
      </c>
    </row>
    <row r="286" spans="4:5">
      <c r="D286" s="90" t="str">
        <f>IF('Product List'!C286="","",'Product List'!C286)</f>
        <v/>
      </c>
      <c r="E286" s="90" t="str">
        <f>IF('Product List'!B286="","",'Product List'!B286)</f>
        <v/>
      </c>
    </row>
    <row r="287" spans="4:5">
      <c r="D287" s="90" t="str">
        <f>IF('Product List'!C287="","",'Product List'!C287)</f>
        <v/>
      </c>
      <c r="E287" s="90" t="str">
        <f>IF('Product List'!B287="","",'Product List'!B287)</f>
        <v/>
      </c>
    </row>
    <row r="288" spans="4:5">
      <c r="D288" s="90" t="str">
        <f>IF('Product List'!C288="","",'Product List'!C288)</f>
        <v/>
      </c>
      <c r="E288" s="90" t="str">
        <f>IF('Product List'!B288="","",'Product List'!B288)</f>
        <v/>
      </c>
    </row>
    <row r="289" spans="4:5">
      <c r="D289" s="90" t="str">
        <f>IF('Product List'!C289="","",'Product List'!C289)</f>
        <v/>
      </c>
      <c r="E289" s="90" t="str">
        <f>IF('Product List'!B289="","",'Product List'!B289)</f>
        <v/>
      </c>
    </row>
    <row r="290" spans="4:5">
      <c r="D290" s="90" t="str">
        <f>IF('Product List'!C290="","",'Product List'!C290)</f>
        <v/>
      </c>
      <c r="E290" s="90" t="str">
        <f>IF('Product List'!B290="","",'Product List'!B290)</f>
        <v/>
      </c>
    </row>
    <row r="291" spans="4:5">
      <c r="D291" s="90" t="str">
        <f>IF('Product List'!C291="","",'Product List'!C291)</f>
        <v/>
      </c>
      <c r="E291" s="90" t="str">
        <f>IF('Product List'!B291="","",'Product List'!B291)</f>
        <v/>
      </c>
    </row>
    <row r="292" spans="4:5">
      <c r="D292" s="90" t="str">
        <f>IF('Product List'!C292="","",'Product List'!C292)</f>
        <v/>
      </c>
      <c r="E292" s="90" t="str">
        <f>IF('Product List'!B292="","",'Product List'!B292)</f>
        <v/>
      </c>
    </row>
    <row r="293" spans="4:5">
      <c r="D293" s="90" t="str">
        <f>IF('Product List'!C293="","",'Product List'!C293)</f>
        <v/>
      </c>
      <c r="E293" s="90" t="str">
        <f>IF('Product List'!B293="","",'Product List'!B293)</f>
        <v/>
      </c>
    </row>
    <row r="294" spans="4:5">
      <c r="D294" s="90" t="str">
        <f>IF('Product List'!C294="","",'Product List'!C294)</f>
        <v/>
      </c>
      <c r="E294" s="90" t="str">
        <f>IF('Product List'!B294="","",'Product List'!B294)</f>
        <v/>
      </c>
    </row>
    <row r="295" spans="4:5">
      <c r="D295" s="90" t="str">
        <f>IF('Product List'!C295="","",'Product List'!C295)</f>
        <v/>
      </c>
      <c r="E295" s="90" t="str">
        <f>IF('Product List'!B295="","",'Product List'!B295)</f>
        <v/>
      </c>
    </row>
    <row r="296" spans="4:5">
      <c r="D296" s="90" t="str">
        <f>IF('Product List'!C296="","",'Product List'!C296)</f>
        <v/>
      </c>
      <c r="E296" s="90" t="str">
        <f>IF('Product List'!B296="","",'Product List'!B296)</f>
        <v/>
      </c>
    </row>
    <row r="297" spans="4:5">
      <c r="D297" s="90" t="str">
        <f>IF('Product List'!C297="","",'Product List'!C297)</f>
        <v/>
      </c>
      <c r="E297" s="90" t="str">
        <f>IF('Product List'!B297="","",'Product List'!B297)</f>
        <v/>
      </c>
    </row>
    <row r="298" spans="4:5">
      <c r="D298" s="90" t="str">
        <f>IF('Product List'!C298="","",'Product List'!C298)</f>
        <v/>
      </c>
      <c r="E298" s="90" t="str">
        <f>IF('Product List'!B298="","",'Product List'!B298)</f>
        <v/>
      </c>
    </row>
    <row r="299" spans="4:5">
      <c r="D299" s="90" t="str">
        <f>IF('Product List'!C299="","",'Product List'!C299)</f>
        <v/>
      </c>
      <c r="E299" s="90" t="str">
        <f>IF('Product List'!B299="","",'Product List'!B299)</f>
        <v/>
      </c>
    </row>
    <row r="300" spans="4:5">
      <c r="D300" s="90" t="str">
        <f>IF('Product List'!C300="","",'Product List'!C300)</f>
        <v/>
      </c>
      <c r="E300" s="90" t="str">
        <f>IF('Product List'!B300="","",'Product List'!B300)</f>
        <v/>
      </c>
    </row>
    <row r="301" spans="4:5">
      <c r="D301" s="90" t="str">
        <f>IF('Product List'!C301="","",'Product List'!C301)</f>
        <v/>
      </c>
      <c r="E301" s="90" t="str">
        <f>IF('Product List'!B301="","",'Product List'!B301)</f>
        <v/>
      </c>
    </row>
    <row r="302" spans="4:5">
      <c r="D302" s="90" t="str">
        <f>IF('Product List'!C302="","",'Product List'!C302)</f>
        <v/>
      </c>
      <c r="E302" s="90" t="str">
        <f>IF('Product List'!B302="","",'Product List'!B302)</f>
        <v/>
      </c>
    </row>
    <row r="303" spans="4:5">
      <c r="D303" s="90" t="str">
        <f>IF('Product List'!C303="","",'Product List'!C303)</f>
        <v/>
      </c>
      <c r="E303" s="90" t="str">
        <f>IF('Product List'!B303="","",'Product List'!B303)</f>
        <v/>
      </c>
    </row>
    <row r="304" spans="4:5">
      <c r="D304" s="90" t="str">
        <f>IF('Product List'!C304="","",'Product List'!C304)</f>
        <v/>
      </c>
      <c r="E304" s="90" t="str">
        <f>IF('Product List'!B304="","",'Product List'!B304)</f>
        <v/>
      </c>
    </row>
    <row r="305" spans="4:5">
      <c r="D305" s="90" t="str">
        <f>IF('Product List'!C305="","",'Product List'!C305)</f>
        <v/>
      </c>
      <c r="E305" s="90" t="str">
        <f>IF('Product List'!B305="","",'Product List'!B305)</f>
        <v/>
      </c>
    </row>
    <row r="306" spans="4:5">
      <c r="D306" s="90" t="str">
        <f>IF('Product List'!C306="","",'Product List'!C306)</f>
        <v/>
      </c>
      <c r="E306" s="90" t="str">
        <f>IF('Product List'!B306="","",'Product List'!B306)</f>
        <v/>
      </c>
    </row>
    <row r="307" spans="4:5">
      <c r="D307" s="90" t="str">
        <f>IF('Product List'!C307="","",'Product List'!C307)</f>
        <v/>
      </c>
      <c r="E307" s="90" t="str">
        <f>IF('Product List'!B307="","",'Product List'!B307)</f>
        <v/>
      </c>
    </row>
    <row r="308" spans="4:5">
      <c r="D308" s="90" t="str">
        <f>IF('Product List'!C308="","",'Product List'!C308)</f>
        <v/>
      </c>
      <c r="E308" s="90" t="str">
        <f>IF('Product List'!B308="","",'Product List'!B308)</f>
        <v/>
      </c>
    </row>
    <row r="309" spans="4:5">
      <c r="D309" s="90" t="str">
        <f>IF('Product List'!C309="","",'Product List'!C309)</f>
        <v/>
      </c>
      <c r="E309" s="90" t="str">
        <f>IF('Product List'!B309="","",'Product List'!B309)</f>
        <v/>
      </c>
    </row>
    <row r="310" spans="4:5">
      <c r="D310" s="90" t="str">
        <f>IF('Product List'!C310="","",'Product List'!C310)</f>
        <v/>
      </c>
      <c r="E310" s="90" t="str">
        <f>IF('Product List'!B310="","",'Product List'!B310)</f>
        <v/>
      </c>
    </row>
    <row r="311" spans="4:5">
      <c r="D311" s="90" t="str">
        <f>IF('Product List'!C311="","",'Product List'!C311)</f>
        <v/>
      </c>
      <c r="E311" s="90" t="str">
        <f>IF('Product List'!B311="","",'Product List'!B311)</f>
        <v/>
      </c>
    </row>
    <row r="312" spans="4:5">
      <c r="D312" s="90" t="str">
        <f>IF('Product List'!C312="","",'Product List'!C312)</f>
        <v/>
      </c>
      <c r="E312" s="90" t="str">
        <f>IF('Product List'!B312="","",'Product List'!B312)</f>
        <v/>
      </c>
    </row>
    <row r="313" spans="4:5">
      <c r="D313" s="90" t="str">
        <f>IF('Product List'!C313="","",'Product List'!C313)</f>
        <v/>
      </c>
      <c r="E313" s="90" t="str">
        <f>IF('Product List'!B313="","",'Product List'!B313)</f>
        <v/>
      </c>
    </row>
    <row r="314" spans="4:5">
      <c r="D314" s="90" t="str">
        <f>IF('Product List'!C314="","",'Product List'!C314)</f>
        <v/>
      </c>
      <c r="E314" s="90" t="str">
        <f>IF('Product List'!B314="","",'Product List'!B314)</f>
        <v/>
      </c>
    </row>
    <row r="315" spans="4:5">
      <c r="D315" s="90" t="str">
        <f>IF('Product List'!C315="","",'Product List'!C315)</f>
        <v/>
      </c>
      <c r="E315" s="90" t="str">
        <f>IF('Product List'!B315="","",'Product List'!B315)</f>
        <v/>
      </c>
    </row>
    <row r="316" spans="4:5">
      <c r="D316" s="90" t="str">
        <f>IF('Product List'!C316="","",'Product List'!C316)</f>
        <v/>
      </c>
      <c r="E316" s="90" t="str">
        <f>IF('Product List'!B316="","",'Product List'!B316)</f>
        <v/>
      </c>
    </row>
    <row r="317" spans="4:5">
      <c r="D317" s="90" t="str">
        <f>IF('Product List'!C317="","",'Product List'!C317)</f>
        <v/>
      </c>
      <c r="E317" s="90" t="str">
        <f>IF('Product List'!B317="","",'Product List'!B317)</f>
        <v/>
      </c>
    </row>
    <row r="318" spans="4:5">
      <c r="D318" s="90" t="str">
        <f>IF('Product List'!C318="","",'Product List'!C318)</f>
        <v/>
      </c>
      <c r="E318" s="90" t="str">
        <f>IF('Product List'!B318="","",'Product List'!B318)</f>
        <v/>
      </c>
    </row>
    <row r="319" spans="4:5">
      <c r="D319" s="90" t="str">
        <f>IF('Product List'!C319="","",'Product List'!C319)</f>
        <v/>
      </c>
      <c r="E319" s="90" t="str">
        <f>IF('Product List'!B319="","",'Product List'!B319)</f>
        <v/>
      </c>
    </row>
    <row r="320" spans="4:5">
      <c r="D320" s="90" t="str">
        <f>IF('Product List'!C320="","",'Product List'!C320)</f>
        <v/>
      </c>
      <c r="E320" s="90" t="str">
        <f>IF('Product List'!B320="","",'Product List'!B320)</f>
        <v/>
      </c>
    </row>
    <row r="321" spans="4:5">
      <c r="D321" s="90" t="str">
        <f>IF('Product List'!C321="","",'Product List'!C321)</f>
        <v/>
      </c>
      <c r="E321" s="90" t="str">
        <f>IF('Product List'!B321="","",'Product List'!B321)</f>
        <v/>
      </c>
    </row>
    <row r="322" spans="4:5">
      <c r="D322" s="90" t="str">
        <f>IF('Product List'!C322="","",'Product List'!C322)</f>
        <v/>
      </c>
      <c r="E322" s="90" t="str">
        <f>IF('Product List'!B322="","",'Product List'!B322)</f>
        <v/>
      </c>
    </row>
    <row r="323" spans="4:5">
      <c r="D323" s="90" t="str">
        <f>IF('Product List'!C323="","",'Product List'!C323)</f>
        <v/>
      </c>
      <c r="E323" s="90" t="str">
        <f>IF('Product List'!B323="","",'Product List'!B323)</f>
        <v/>
      </c>
    </row>
    <row r="324" spans="4:5">
      <c r="D324" s="90" t="str">
        <f>IF('Product List'!C324="","",'Product List'!C324)</f>
        <v/>
      </c>
      <c r="E324" s="90" t="str">
        <f>IF('Product List'!B324="","",'Product List'!B324)</f>
        <v/>
      </c>
    </row>
    <row r="325" spans="4:5">
      <c r="D325" s="90" t="str">
        <f>IF('Product List'!C325="","",'Product List'!C325)</f>
        <v/>
      </c>
      <c r="E325" s="90" t="str">
        <f>IF('Product List'!B325="","",'Product List'!B325)</f>
        <v/>
      </c>
    </row>
    <row r="326" spans="4:5">
      <c r="D326" s="90" t="str">
        <f>IF('Product List'!C326="","",'Product List'!C326)</f>
        <v/>
      </c>
      <c r="E326" s="90" t="str">
        <f>IF('Product List'!B326="","",'Product List'!B326)</f>
        <v/>
      </c>
    </row>
    <row r="327" spans="4:5">
      <c r="D327" s="90" t="str">
        <f>IF('Product List'!C327="","",'Product List'!C327)</f>
        <v/>
      </c>
      <c r="E327" s="90" t="str">
        <f>IF('Product List'!B327="","",'Product List'!B327)</f>
        <v/>
      </c>
    </row>
    <row r="328" spans="4:5">
      <c r="D328" s="90" t="str">
        <f>IF('Product List'!C328="","",'Product List'!C328)</f>
        <v/>
      </c>
      <c r="E328" s="90" t="str">
        <f>IF('Product List'!B328="","",'Product List'!B328)</f>
        <v/>
      </c>
    </row>
    <row r="329" spans="4:5">
      <c r="D329" s="90" t="str">
        <f>IF('Product List'!C329="","",'Product List'!C329)</f>
        <v/>
      </c>
      <c r="E329" s="90" t="str">
        <f>IF('Product List'!B329="","",'Product List'!B329)</f>
        <v/>
      </c>
    </row>
    <row r="330" spans="4:5">
      <c r="D330" s="90" t="str">
        <f>IF('Product List'!C330="","",'Product List'!C330)</f>
        <v/>
      </c>
      <c r="E330" s="90" t="str">
        <f>IF('Product List'!B330="","",'Product List'!B330)</f>
        <v/>
      </c>
    </row>
    <row r="331" spans="4:5">
      <c r="D331" s="90" t="str">
        <f>IF('Product List'!C331="","",'Product List'!C331)</f>
        <v/>
      </c>
      <c r="E331" s="90" t="str">
        <f>IF('Product List'!B331="","",'Product List'!B331)</f>
        <v/>
      </c>
    </row>
    <row r="332" spans="4:5">
      <c r="D332" s="90" t="str">
        <f>IF('Product List'!C332="","",'Product List'!C332)</f>
        <v/>
      </c>
      <c r="E332" s="90" t="str">
        <f>IF('Product List'!B332="","",'Product List'!B332)</f>
        <v/>
      </c>
    </row>
    <row r="333" spans="4:5">
      <c r="D333" s="90" t="str">
        <f>IF('Product List'!C333="","",'Product List'!C333)</f>
        <v/>
      </c>
      <c r="E333" s="90" t="str">
        <f>IF('Product List'!B333="","",'Product List'!B333)</f>
        <v/>
      </c>
    </row>
    <row r="334" spans="4:5">
      <c r="D334" s="90" t="str">
        <f>IF('Product List'!C334="","",'Product List'!C334)</f>
        <v/>
      </c>
      <c r="E334" s="90" t="str">
        <f>IF('Product List'!B334="","",'Product List'!B334)</f>
        <v/>
      </c>
    </row>
    <row r="335" spans="4:5">
      <c r="D335" s="90" t="str">
        <f>IF('Product List'!C335="","",'Product List'!C335)</f>
        <v/>
      </c>
      <c r="E335" s="90" t="str">
        <f>IF('Product List'!B335="","",'Product List'!B335)</f>
        <v/>
      </c>
    </row>
    <row r="336" spans="4:5">
      <c r="D336" s="90" t="str">
        <f>IF('Product List'!C336="","",'Product List'!C336)</f>
        <v/>
      </c>
      <c r="E336" s="90" t="str">
        <f>IF('Product List'!B336="","",'Product List'!B336)</f>
        <v/>
      </c>
    </row>
    <row r="337" spans="4:5">
      <c r="D337" s="90" t="str">
        <f>IF('Product List'!C337="","",'Product List'!C337)</f>
        <v/>
      </c>
      <c r="E337" s="90" t="str">
        <f>IF('Product List'!B337="","",'Product List'!B337)</f>
        <v/>
      </c>
    </row>
    <row r="338" spans="4:5">
      <c r="D338" s="90" t="str">
        <f>IF('Product List'!C338="","",'Product List'!C338)</f>
        <v/>
      </c>
      <c r="E338" s="90" t="str">
        <f>IF('Product List'!B338="","",'Product List'!B338)</f>
        <v/>
      </c>
    </row>
    <row r="339" spans="4:5">
      <c r="D339" s="90" t="str">
        <f>IF('Product List'!C339="","",'Product List'!C339)</f>
        <v/>
      </c>
      <c r="E339" s="90" t="str">
        <f>IF('Product List'!B339="","",'Product List'!B339)</f>
        <v/>
      </c>
    </row>
    <row r="340" spans="4:5">
      <c r="D340" s="90" t="str">
        <f>IF('Product List'!C340="","",'Product List'!C340)</f>
        <v/>
      </c>
      <c r="E340" s="90" t="str">
        <f>IF('Product List'!B340="","",'Product List'!B340)</f>
        <v/>
      </c>
    </row>
    <row r="341" spans="4:5">
      <c r="D341" s="90" t="str">
        <f>IF('Product List'!C341="","",'Product List'!C341)</f>
        <v/>
      </c>
      <c r="E341" s="90" t="str">
        <f>IF('Product List'!B341="","",'Product List'!B341)</f>
        <v/>
      </c>
    </row>
    <row r="342" spans="4:5">
      <c r="D342" s="90" t="str">
        <f>IF('Product List'!C342="","",'Product List'!C342)</f>
        <v/>
      </c>
      <c r="E342" s="90" t="str">
        <f>IF('Product List'!B342="","",'Product List'!B342)</f>
        <v/>
      </c>
    </row>
    <row r="343" spans="4:5">
      <c r="D343" s="90" t="str">
        <f>IF('Product List'!C343="","",'Product List'!C343)</f>
        <v/>
      </c>
      <c r="E343" s="90" t="str">
        <f>IF('Product List'!B343="","",'Product List'!B343)</f>
        <v/>
      </c>
    </row>
    <row r="344" spans="4:5">
      <c r="D344" s="90" t="str">
        <f>IF('Product List'!C344="","",'Product List'!C344)</f>
        <v/>
      </c>
      <c r="E344" s="90" t="str">
        <f>IF('Product List'!B344="","",'Product List'!B344)</f>
        <v/>
      </c>
    </row>
    <row r="345" spans="4:5">
      <c r="D345" s="90" t="str">
        <f>IF('Product List'!C345="","",'Product List'!C345)</f>
        <v/>
      </c>
      <c r="E345" s="90" t="str">
        <f>IF('Product List'!B345="","",'Product List'!B345)</f>
        <v/>
      </c>
    </row>
    <row r="346" spans="4:5">
      <c r="D346" s="90" t="str">
        <f>IF('Product List'!C346="","",'Product List'!C346)</f>
        <v/>
      </c>
      <c r="E346" s="90" t="str">
        <f>IF('Product List'!B346="","",'Product List'!B346)</f>
        <v/>
      </c>
    </row>
    <row r="347" spans="4:5">
      <c r="D347" s="90" t="str">
        <f>IF('Product List'!C347="","",'Product List'!C347)</f>
        <v/>
      </c>
      <c r="E347" s="90" t="str">
        <f>IF('Product List'!B347="","",'Product List'!B347)</f>
        <v/>
      </c>
    </row>
    <row r="348" spans="4:5">
      <c r="D348" s="90" t="str">
        <f>IF('Product List'!C348="","",'Product List'!C348)</f>
        <v/>
      </c>
      <c r="E348" s="90" t="str">
        <f>IF('Product List'!B348="","",'Product List'!B348)</f>
        <v/>
      </c>
    </row>
    <row r="349" spans="4:5">
      <c r="D349" s="90" t="str">
        <f>IF('Product List'!C349="","",'Product List'!C349)</f>
        <v/>
      </c>
      <c r="E349" s="90" t="str">
        <f>IF('Product List'!B349="","",'Product List'!B349)</f>
        <v/>
      </c>
    </row>
    <row r="350" spans="4:5">
      <c r="D350" s="90" t="str">
        <f>IF('Product List'!C350="","",'Product List'!C350)</f>
        <v/>
      </c>
      <c r="E350" s="90" t="str">
        <f>IF('Product List'!B350="","",'Product List'!B350)</f>
        <v/>
      </c>
    </row>
    <row r="351" spans="4:5">
      <c r="D351" s="90" t="str">
        <f>IF('Product List'!C351="","",'Product List'!C351)</f>
        <v/>
      </c>
      <c r="E351" s="90" t="str">
        <f>IF('Product List'!B351="","",'Product List'!B351)</f>
        <v/>
      </c>
    </row>
    <row r="352" spans="4:5">
      <c r="D352" s="90" t="str">
        <f>IF('Product List'!C352="","",'Product List'!C352)</f>
        <v/>
      </c>
      <c r="E352" s="90" t="str">
        <f>IF('Product List'!B352="","",'Product List'!B352)</f>
        <v/>
      </c>
    </row>
    <row r="353" spans="4:5">
      <c r="D353" s="90" t="str">
        <f>IF('Product List'!C353="","",'Product List'!C353)</f>
        <v/>
      </c>
      <c r="E353" s="90" t="str">
        <f>IF('Product List'!B353="","",'Product List'!B353)</f>
        <v/>
      </c>
    </row>
    <row r="354" spans="4:5">
      <c r="D354" s="90" t="str">
        <f>IF('Product List'!C354="","",'Product List'!C354)</f>
        <v/>
      </c>
      <c r="E354" s="90" t="str">
        <f>IF('Product List'!B354="","",'Product List'!B354)</f>
        <v/>
      </c>
    </row>
    <row r="355" spans="4:5">
      <c r="D355" s="90" t="str">
        <f>IF('Product List'!C355="","",'Product List'!C355)</f>
        <v/>
      </c>
      <c r="E355" s="90" t="str">
        <f>IF('Product List'!B355="","",'Product List'!B355)</f>
        <v/>
      </c>
    </row>
    <row r="356" spans="4:5">
      <c r="D356" s="90" t="str">
        <f>IF('Product List'!C356="","",'Product List'!C356)</f>
        <v/>
      </c>
      <c r="E356" s="90" t="str">
        <f>IF('Product List'!B356="","",'Product List'!B356)</f>
        <v/>
      </c>
    </row>
    <row r="357" spans="4:5">
      <c r="D357" s="90" t="str">
        <f>IF('Product List'!C357="","",'Product List'!C357)</f>
        <v/>
      </c>
      <c r="E357" s="90" t="str">
        <f>IF('Product List'!B357="","",'Product List'!B357)</f>
        <v/>
      </c>
    </row>
    <row r="358" spans="4:5">
      <c r="D358" s="90" t="str">
        <f>IF('Product List'!C358="","",'Product List'!C358)</f>
        <v/>
      </c>
      <c r="E358" s="90" t="str">
        <f>IF('Product List'!B358="","",'Product List'!B358)</f>
        <v/>
      </c>
    </row>
    <row r="359" spans="4:5">
      <c r="D359" s="90" t="str">
        <f>IF('Product List'!C359="","",'Product List'!C359)</f>
        <v/>
      </c>
      <c r="E359" s="90" t="str">
        <f>IF('Product List'!B359="","",'Product List'!B359)</f>
        <v/>
      </c>
    </row>
    <row r="360" spans="4:5">
      <c r="D360" s="90" t="str">
        <f>IF('Product List'!C360="","",'Product List'!C360)</f>
        <v/>
      </c>
      <c r="E360" s="90" t="str">
        <f>IF('Product List'!B360="","",'Product List'!B360)</f>
        <v/>
      </c>
    </row>
    <row r="361" spans="4:5">
      <c r="D361" s="90" t="str">
        <f>IF('Product List'!C361="","",'Product List'!C361)</f>
        <v/>
      </c>
      <c r="E361" s="90" t="str">
        <f>IF('Product List'!B361="","",'Product List'!B361)</f>
        <v/>
      </c>
    </row>
    <row r="362" spans="4:5">
      <c r="D362" s="90" t="str">
        <f>IF('Product List'!C362="","",'Product List'!C362)</f>
        <v/>
      </c>
      <c r="E362" s="90" t="str">
        <f>IF('Product List'!B362="","",'Product List'!B362)</f>
        <v/>
      </c>
    </row>
    <row r="363" spans="4:5">
      <c r="D363" s="90" t="str">
        <f>IF('Product List'!C363="","",'Product List'!C363)</f>
        <v/>
      </c>
      <c r="E363" s="90" t="str">
        <f>IF('Product List'!B363="","",'Product List'!B363)</f>
        <v/>
      </c>
    </row>
    <row r="364" spans="4:5">
      <c r="D364" s="90" t="str">
        <f>IF('Product List'!C364="","",'Product List'!C364)</f>
        <v/>
      </c>
      <c r="E364" s="90" t="str">
        <f>IF('Product List'!B364="","",'Product List'!B364)</f>
        <v/>
      </c>
    </row>
    <row r="365" spans="4:5">
      <c r="D365" s="90" t="str">
        <f>IF('Product List'!C365="","",'Product List'!C365)</f>
        <v/>
      </c>
      <c r="E365" s="90" t="str">
        <f>IF('Product List'!B365="","",'Product List'!B365)</f>
        <v/>
      </c>
    </row>
    <row r="366" spans="4:5">
      <c r="D366" s="90" t="str">
        <f>IF('Product List'!C366="","",'Product List'!C366)</f>
        <v/>
      </c>
      <c r="E366" s="90" t="str">
        <f>IF('Product List'!B366="","",'Product List'!B366)</f>
        <v/>
      </c>
    </row>
    <row r="367" spans="4:5">
      <c r="D367" s="90" t="str">
        <f>IF('Product List'!C367="","",'Product List'!C367)</f>
        <v/>
      </c>
      <c r="E367" s="90" t="str">
        <f>IF('Product List'!B367="","",'Product List'!B367)</f>
        <v/>
      </c>
    </row>
    <row r="368" spans="4:5">
      <c r="D368" s="90" t="str">
        <f>IF('Product List'!C368="","",'Product List'!C368)</f>
        <v/>
      </c>
      <c r="E368" s="90" t="str">
        <f>IF('Product List'!B368="","",'Product List'!B368)</f>
        <v/>
      </c>
    </row>
    <row r="369" spans="4:5">
      <c r="D369" s="90" t="str">
        <f>IF('Product List'!C369="","",'Product List'!C369)</f>
        <v/>
      </c>
      <c r="E369" s="90" t="str">
        <f>IF('Product List'!B369="","",'Product List'!B369)</f>
        <v/>
      </c>
    </row>
    <row r="370" spans="4:5">
      <c r="D370" s="90" t="str">
        <f>IF('Product List'!C370="","",'Product List'!C370)</f>
        <v/>
      </c>
      <c r="E370" s="90" t="str">
        <f>IF('Product List'!B370="","",'Product List'!B370)</f>
        <v/>
      </c>
    </row>
    <row r="371" spans="4:5">
      <c r="D371" s="90" t="str">
        <f>IF('Product List'!C371="","",'Product List'!C371)</f>
        <v/>
      </c>
      <c r="E371" s="90" t="str">
        <f>IF('Product List'!B371="","",'Product List'!B371)</f>
        <v/>
      </c>
    </row>
    <row r="372" spans="4:5">
      <c r="D372" s="90" t="str">
        <f>IF('Product List'!C372="","",'Product List'!C372)</f>
        <v/>
      </c>
      <c r="E372" s="90" t="str">
        <f>IF('Product List'!B372="","",'Product List'!B372)</f>
        <v/>
      </c>
    </row>
    <row r="373" spans="4:5">
      <c r="D373" s="90" t="str">
        <f>IF('Product List'!C373="","",'Product List'!C373)</f>
        <v/>
      </c>
      <c r="E373" s="90" t="str">
        <f>IF('Product List'!B373="","",'Product List'!B373)</f>
        <v/>
      </c>
    </row>
    <row r="374" spans="4:5">
      <c r="D374" s="90" t="str">
        <f>IF('Product List'!C374="","",'Product List'!C374)</f>
        <v/>
      </c>
      <c r="E374" s="90" t="str">
        <f>IF('Product List'!B374="","",'Product List'!B374)</f>
        <v/>
      </c>
    </row>
    <row r="375" spans="4:5">
      <c r="D375" s="90" t="str">
        <f>IF('Product List'!C375="","",'Product List'!C375)</f>
        <v/>
      </c>
      <c r="E375" s="90" t="str">
        <f>IF('Product List'!B375="","",'Product List'!B375)</f>
        <v/>
      </c>
    </row>
    <row r="376" spans="4:5">
      <c r="D376" s="90" t="str">
        <f>IF('Product List'!C376="","",'Product List'!C376)</f>
        <v/>
      </c>
      <c r="E376" s="90" t="str">
        <f>IF('Product List'!B376="","",'Product List'!B376)</f>
        <v/>
      </c>
    </row>
    <row r="377" spans="4:5">
      <c r="D377" s="90" t="str">
        <f>IF('Product List'!C377="","",'Product List'!C377)</f>
        <v/>
      </c>
      <c r="E377" s="90" t="str">
        <f>IF('Product List'!B377="","",'Product List'!B377)</f>
        <v/>
      </c>
    </row>
    <row r="378" spans="4:5">
      <c r="D378" s="90" t="str">
        <f>IF('Product List'!C378="","",'Product List'!C378)</f>
        <v/>
      </c>
      <c r="E378" s="90" t="str">
        <f>IF('Product List'!B378="","",'Product List'!B378)</f>
        <v/>
      </c>
    </row>
    <row r="379" spans="4:5">
      <c r="D379" s="90" t="str">
        <f>IF('Product List'!C379="","",'Product List'!C379)</f>
        <v/>
      </c>
      <c r="E379" s="90" t="str">
        <f>IF('Product List'!B379="","",'Product List'!B379)</f>
        <v/>
      </c>
    </row>
    <row r="380" spans="4:5">
      <c r="D380" s="90" t="str">
        <f>IF('Product List'!C380="","",'Product List'!C380)</f>
        <v/>
      </c>
      <c r="E380" s="90" t="str">
        <f>IF('Product List'!B380="","",'Product List'!B380)</f>
        <v/>
      </c>
    </row>
    <row r="381" spans="4:5">
      <c r="D381" s="90" t="str">
        <f>IF('Product List'!C381="","",'Product List'!C381)</f>
        <v/>
      </c>
      <c r="E381" s="90" t="str">
        <f>IF('Product List'!B381="","",'Product List'!B381)</f>
        <v/>
      </c>
    </row>
    <row r="382" spans="4:5">
      <c r="D382" s="90" t="str">
        <f>IF('Product List'!C382="","",'Product List'!C382)</f>
        <v/>
      </c>
      <c r="E382" s="90" t="str">
        <f>IF('Product List'!B382="","",'Product List'!B382)</f>
        <v/>
      </c>
    </row>
    <row r="383" spans="4:5">
      <c r="D383" s="90" t="str">
        <f>IF('Product List'!C383="","",'Product List'!C383)</f>
        <v/>
      </c>
      <c r="E383" s="90" t="str">
        <f>IF('Product List'!B383="","",'Product List'!B383)</f>
        <v/>
      </c>
    </row>
    <row r="384" spans="4:5">
      <c r="D384" s="90" t="str">
        <f>IF('Product List'!C384="","",'Product List'!C384)</f>
        <v/>
      </c>
      <c r="E384" s="90" t="str">
        <f>IF('Product List'!B384="","",'Product List'!B384)</f>
        <v/>
      </c>
    </row>
    <row r="385" spans="4:5">
      <c r="D385" s="90" t="str">
        <f>IF('Product List'!C385="","",'Product List'!C385)</f>
        <v/>
      </c>
      <c r="E385" s="90" t="str">
        <f>IF('Product List'!B385="","",'Product List'!B385)</f>
        <v/>
      </c>
    </row>
    <row r="386" spans="4:5">
      <c r="D386" s="90" t="str">
        <f>IF('Product List'!C386="","",'Product List'!C386)</f>
        <v/>
      </c>
      <c r="E386" s="90" t="str">
        <f>IF('Product List'!B386="","",'Product List'!B386)</f>
        <v/>
      </c>
    </row>
    <row r="387" spans="4:5">
      <c r="D387" s="90" t="str">
        <f>IF('Product List'!C387="","",'Product List'!C387)</f>
        <v/>
      </c>
      <c r="E387" s="90" t="str">
        <f>IF('Product List'!B387="","",'Product List'!B387)</f>
        <v/>
      </c>
    </row>
    <row r="388" spans="4:5">
      <c r="D388" s="90" t="str">
        <f>IF('Product List'!C388="","",'Product List'!C388)</f>
        <v/>
      </c>
      <c r="E388" s="90" t="str">
        <f>IF('Product List'!B388="","",'Product List'!B388)</f>
        <v/>
      </c>
    </row>
    <row r="389" spans="4:5">
      <c r="D389" s="90" t="str">
        <f>IF('Product List'!C389="","",'Product List'!C389)</f>
        <v/>
      </c>
      <c r="E389" s="90" t="str">
        <f>IF('Product List'!B389="","",'Product List'!B389)</f>
        <v/>
      </c>
    </row>
    <row r="390" spans="4:5">
      <c r="D390" s="90" t="str">
        <f>IF('Product List'!C390="","",'Product List'!C390)</f>
        <v/>
      </c>
      <c r="E390" s="90" t="str">
        <f>IF('Product List'!B390="","",'Product List'!B390)</f>
        <v/>
      </c>
    </row>
    <row r="391" spans="4:5">
      <c r="D391" s="90" t="str">
        <f>IF('Product List'!C391="","",'Product List'!C391)</f>
        <v/>
      </c>
      <c r="E391" s="90" t="str">
        <f>IF('Product List'!B391="","",'Product List'!B391)</f>
        <v/>
      </c>
    </row>
    <row r="392" spans="4:5">
      <c r="D392" s="90" t="str">
        <f>IF('Product List'!C392="","",'Product List'!C392)</f>
        <v/>
      </c>
      <c r="E392" s="90" t="str">
        <f>IF('Product List'!B392="","",'Product List'!B392)</f>
        <v/>
      </c>
    </row>
    <row r="393" spans="4:5">
      <c r="D393" s="90" t="str">
        <f>IF('Product List'!C393="","",'Product List'!C393)</f>
        <v/>
      </c>
      <c r="E393" s="90" t="str">
        <f>IF('Product List'!B393="","",'Product List'!B393)</f>
        <v/>
      </c>
    </row>
    <row r="394" spans="4:5">
      <c r="D394" s="90" t="str">
        <f>IF('Product List'!C394="","",'Product List'!C394)</f>
        <v/>
      </c>
      <c r="E394" s="90" t="str">
        <f>IF('Product List'!B394="","",'Product List'!B394)</f>
        <v/>
      </c>
    </row>
    <row r="395" spans="4:5">
      <c r="D395" s="90" t="str">
        <f>IF('Product List'!C395="","",'Product List'!C395)</f>
        <v/>
      </c>
      <c r="E395" s="90" t="str">
        <f>IF('Product List'!B395="","",'Product List'!B395)</f>
        <v/>
      </c>
    </row>
    <row r="396" spans="4:5">
      <c r="D396" s="90" t="str">
        <f>IF('Product List'!C396="","",'Product List'!C396)</f>
        <v/>
      </c>
      <c r="E396" s="90" t="str">
        <f>IF('Product List'!B396="","",'Product List'!B396)</f>
        <v/>
      </c>
    </row>
    <row r="397" spans="4:5">
      <c r="D397" s="90" t="str">
        <f>IF('Product List'!C397="","",'Product List'!C397)</f>
        <v/>
      </c>
      <c r="E397" s="90" t="str">
        <f>IF('Product List'!B397="","",'Product List'!B397)</f>
        <v/>
      </c>
    </row>
    <row r="398" spans="4:5">
      <c r="D398" s="90" t="str">
        <f>IF('Product List'!C398="","",'Product List'!C398)</f>
        <v/>
      </c>
      <c r="E398" s="90" t="str">
        <f>IF('Product List'!B398="","",'Product List'!B398)</f>
        <v/>
      </c>
    </row>
    <row r="399" spans="4:5">
      <c r="D399" s="90" t="str">
        <f>IF('Product List'!C399="","",'Product List'!C399)</f>
        <v/>
      </c>
      <c r="E399" s="90" t="str">
        <f>IF('Product List'!B399="","",'Product List'!B399)</f>
        <v/>
      </c>
    </row>
    <row r="400" spans="4:5">
      <c r="D400" s="90" t="str">
        <f>IF('Product List'!C400="","",'Product List'!C400)</f>
        <v/>
      </c>
      <c r="E400" s="90" t="str">
        <f>IF('Product List'!B400="","",'Product List'!B400)</f>
        <v/>
      </c>
    </row>
    <row r="401" spans="4:5">
      <c r="D401" s="90" t="str">
        <f>IF('Product List'!C401="","",'Product List'!C401)</f>
        <v/>
      </c>
      <c r="E401" s="90" t="str">
        <f>IF('Product List'!B401="","",'Product List'!B401)</f>
        <v/>
      </c>
    </row>
    <row r="402" spans="4:5">
      <c r="D402" s="90" t="str">
        <f>IF('Product List'!C402="","",'Product List'!C402)</f>
        <v/>
      </c>
      <c r="E402" s="90" t="str">
        <f>IF('Product List'!B402="","",'Product List'!B402)</f>
        <v/>
      </c>
    </row>
    <row r="403" spans="4:5">
      <c r="D403" s="90" t="str">
        <f>IF('Product List'!C403="","",'Product List'!C403)</f>
        <v/>
      </c>
      <c r="E403" s="90" t="str">
        <f>IF('Product List'!B403="","",'Product List'!B403)</f>
        <v/>
      </c>
    </row>
    <row r="404" spans="4:5">
      <c r="D404" s="90" t="str">
        <f>IF('Product List'!C404="","",'Product List'!C404)</f>
        <v/>
      </c>
      <c r="E404" s="90" t="str">
        <f>IF('Product List'!B404="","",'Product List'!B404)</f>
        <v/>
      </c>
    </row>
    <row r="405" spans="4:5">
      <c r="D405" s="90" t="str">
        <f>IF('Product List'!C405="","",'Product List'!C405)</f>
        <v/>
      </c>
      <c r="E405" s="90" t="str">
        <f>IF('Product List'!B405="","",'Product List'!B405)</f>
        <v/>
      </c>
    </row>
    <row r="406" spans="4:5">
      <c r="D406" s="90" t="str">
        <f>IF('Product List'!C406="","",'Product List'!C406)</f>
        <v/>
      </c>
      <c r="E406" s="90" t="str">
        <f>IF('Product List'!B406="","",'Product List'!B406)</f>
        <v/>
      </c>
    </row>
    <row r="407" spans="4:5">
      <c r="D407" s="90" t="str">
        <f>IF('Product List'!C407="","",'Product List'!C407)</f>
        <v/>
      </c>
      <c r="E407" s="90" t="str">
        <f>IF('Product List'!B407="","",'Product List'!B407)</f>
        <v/>
      </c>
    </row>
    <row r="408" spans="4:5">
      <c r="D408" s="90" t="str">
        <f>IF('Product List'!C408="","",'Product List'!C408)</f>
        <v/>
      </c>
      <c r="E408" s="90" t="str">
        <f>IF('Product List'!B408="","",'Product List'!B408)</f>
        <v/>
      </c>
    </row>
    <row r="409" spans="4:5">
      <c r="D409" s="90" t="str">
        <f>IF('Product List'!C409="","",'Product List'!C409)</f>
        <v/>
      </c>
      <c r="E409" s="90" t="str">
        <f>IF('Product List'!B409="","",'Product List'!B409)</f>
        <v/>
      </c>
    </row>
    <row r="410" spans="4:5">
      <c r="D410" s="90" t="str">
        <f>IF('Product List'!C410="","",'Product List'!C410)</f>
        <v/>
      </c>
      <c r="E410" s="90" t="str">
        <f>IF('Product List'!B410="","",'Product List'!B410)</f>
        <v/>
      </c>
    </row>
    <row r="411" spans="4:5">
      <c r="D411" s="90" t="str">
        <f>IF('Product List'!C411="","",'Product List'!C411)</f>
        <v/>
      </c>
      <c r="E411" s="90" t="str">
        <f>IF('Product List'!B411="","",'Product List'!B411)</f>
        <v/>
      </c>
    </row>
    <row r="412" spans="4:5">
      <c r="D412" s="90" t="str">
        <f>IF('Product List'!C412="","",'Product List'!C412)</f>
        <v/>
      </c>
      <c r="E412" s="90" t="str">
        <f>IF('Product List'!B412="","",'Product List'!B412)</f>
        <v/>
      </c>
    </row>
    <row r="413" spans="4:5">
      <c r="D413" s="90" t="str">
        <f>IF('Product List'!C413="","",'Product List'!C413)</f>
        <v/>
      </c>
      <c r="E413" s="90" t="str">
        <f>IF('Product List'!B413="","",'Product List'!B413)</f>
        <v/>
      </c>
    </row>
    <row r="414" spans="4:5">
      <c r="D414" s="90" t="str">
        <f>IF('Product List'!C414="","",'Product List'!C414)</f>
        <v/>
      </c>
      <c r="E414" s="90" t="str">
        <f>IF('Product List'!B414="","",'Product List'!B414)</f>
        <v/>
      </c>
    </row>
    <row r="415" spans="4:5">
      <c r="D415" s="90" t="str">
        <f>IF('Product List'!C415="","",'Product List'!C415)</f>
        <v/>
      </c>
      <c r="E415" s="90" t="str">
        <f>IF('Product List'!B415="","",'Product List'!B415)</f>
        <v/>
      </c>
    </row>
    <row r="416" spans="4:5">
      <c r="D416" s="90" t="str">
        <f>IF('Product List'!C416="","",'Product List'!C416)</f>
        <v/>
      </c>
      <c r="E416" s="90" t="str">
        <f>IF('Product List'!B416="","",'Product List'!B416)</f>
        <v/>
      </c>
    </row>
    <row r="417" spans="4:5">
      <c r="D417" s="90" t="str">
        <f>IF('Product List'!C417="","",'Product List'!C417)</f>
        <v/>
      </c>
      <c r="E417" s="90" t="str">
        <f>IF('Product List'!B417="","",'Product List'!B417)</f>
        <v/>
      </c>
    </row>
    <row r="418" spans="4:5">
      <c r="D418" s="90" t="str">
        <f>IF('Product List'!C418="","",'Product List'!C418)</f>
        <v/>
      </c>
      <c r="E418" s="90" t="str">
        <f>IF('Product List'!B418="","",'Product List'!B418)</f>
        <v/>
      </c>
    </row>
    <row r="419" spans="4:5">
      <c r="D419" s="90" t="str">
        <f>IF('Product List'!C419="","",'Product List'!C419)</f>
        <v/>
      </c>
      <c r="E419" s="90" t="str">
        <f>IF('Product List'!B419="","",'Product List'!B419)</f>
        <v/>
      </c>
    </row>
    <row r="420" spans="4:5">
      <c r="D420" s="90" t="str">
        <f>IF('Product List'!C420="","",'Product List'!C420)</f>
        <v/>
      </c>
      <c r="E420" s="90" t="str">
        <f>IF('Product List'!B420="","",'Product List'!B420)</f>
        <v/>
      </c>
    </row>
    <row r="421" spans="4:5">
      <c r="D421" s="90" t="str">
        <f>IF('Product List'!C421="","",'Product List'!C421)</f>
        <v/>
      </c>
      <c r="E421" s="90" t="str">
        <f>IF('Product List'!B421="","",'Product List'!B421)</f>
        <v/>
      </c>
    </row>
    <row r="422" spans="4:5">
      <c r="D422" s="90" t="str">
        <f>IF('Product List'!C422="","",'Product List'!C422)</f>
        <v/>
      </c>
      <c r="E422" s="90" t="str">
        <f>IF('Product List'!B422="","",'Product List'!B422)</f>
        <v/>
      </c>
    </row>
    <row r="423" spans="4:5">
      <c r="D423" s="90" t="str">
        <f>IF('Product List'!C423="","",'Product List'!C423)</f>
        <v/>
      </c>
      <c r="E423" s="90" t="str">
        <f>IF('Product List'!B423="","",'Product List'!B423)</f>
        <v/>
      </c>
    </row>
    <row r="424" spans="4:5">
      <c r="D424" s="90" t="str">
        <f>IF('Product List'!C424="","",'Product List'!C424)</f>
        <v/>
      </c>
      <c r="E424" s="90" t="str">
        <f>IF('Product List'!B424="","",'Product List'!B424)</f>
        <v/>
      </c>
    </row>
    <row r="425" spans="4:5">
      <c r="D425" s="90" t="str">
        <f>IF('Product List'!C425="","",'Product List'!C425)</f>
        <v/>
      </c>
      <c r="E425" s="90" t="str">
        <f>IF('Product List'!B425="","",'Product List'!B425)</f>
        <v/>
      </c>
    </row>
    <row r="426" spans="4:5">
      <c r="D426" s="90" t="str">
        <f>IF('Product List'!C426="","",'Product List'!C426)</f>
        <v/>
      </c>
      <c r="E426" s="90" t="str">
        <f>IF('Product List'!B426="","",'Product List'!B426)</f>
        <v/>
      </c>
    </row>
    <row r="427" spans="4:5">
      <c r="D427" s="90" t="str">
        <f>IF('Product List'!C427="","",'Product List'!C427)</f>
        <v/>
      </c>
      <c r="E427" s="90" t="str">
        <f>IF('Product List'!B427="","",'Product List'!B427)</f>
        <v/>
      </c>
    </row>
    <row r="428" spans="4:5">
      <c r="D428" s="90" t="str">
        <f>IF('Product List'!C428="","",'Product List'!C428)</f>
        <v/>
      </c>
      <c r="E428" s="90" t="str">
        <f>IF('Product List'!B428="","",'Product List'!B428)</f>
        <v/>
      </c>
    </row>
    <row r="429" spans="4:5">
      <c r="D429" s="90" t="str">
        <f>IF('Product List'!C429="","",'Product List'!C429)</f>
        <v/>
      </c>
      <c r="E429" s="90" t="str">
        <f>IF('Product List'!B429="","",'Product List'!B429)</f>
        <v/>
      </c>
    </row>
    <row r="430" spans="4:5">
      <c r="D430" s="90" t="str">
        <f>IF('Product List'!C430="","",'Product List'!C430)</f>
        <v/>
      </c>
      <c r="E430" s="90" t="str">
        <f>IF('Product List'!B430="","",'Product List'!B430)</f>
        <v/>
      </c>
    </row>
    <row r="431" spans="4:5">
      <c r="D431" s="90" t="str">
        <f>IF('Product List'!C431="","",'Product List'!C431)</f>
        <v/>
      </c>
      <c r="E431" s="90" t="str">
        <f>IF('Product List'!B431="","",'Product List'!B431)</f>
        <v/>
      </c>
    </row>
    <row r="432" spans="4:5">
      <c r="D432" s="90" t="str">
        <f>IF('Product List'!C432="","",'Product List'!C432)</f>
        <v/>
      </c>
      <c r="E432" s="90" t="str">
        <f>IF('Product List'!B432="","",'Product List'!B432)</f>
        <v/>
      </c>
    </row>
    <row r="433" spans="4:5">
      <c r="D433" s="90" t="str">
        <f>IF('Product List'!C433="","",'Product List'!C433)</f>
        <v/>
      </c>
      <c r="E433" s="90" t="str">
        <f>IF('Product List'!B433="","",'Product List'!B433)</f>
        <v/>
      </c>
    </row>
    <row r="434" spans="4:5">
      <c r="D434" s="90" t="str">
        <f>IF('Product List'!C434="","",'Product List'!C434)</f>
        <v/>
      </c>
      <c r="E434" s="90" t="str">
        <f>IF('Product List'!B434="","",'Product List'!B434)</f>
        <v/>
      </c>
    </row>
    <row r="435" spans="4:5">
      <c r="D435" s="90" t="str">
        <f>IF('Product List'!C435="","",'Product List'!C435)</f>
        <v/>
      </c>
      <c r="E435" s="90" t="str">
        <f>IF('Product List'!B435="","",'Product List'!B435)</f>
        <v/>
      </c>
    </row>
    <row r="436" spans="4:5">
      <c r="D436" s="90" t="str">
        <f>IF('Product List'!C436="","",'Product List'!C436)</f>
        <v/>
      </c>
      <c r="E436" s="90" t="str">
        <f>IF('Product List'!B436="","",'Product List'!B436)</f>
        <v/>
      </c>
    </row>
    <row r="437" spans="4:5">
      <c r="D437" s="90" t="str">
        <f>IF('Product List'!C437="","",'Product List'!C437)</f>
        <v/>
      </c>
      <c r="E437" s="90" t="str">
        <f>IF('Product List'!B437="","",'Product List'!B437)</f>
        <v/>
      </c>
    </row>
    <row r="438" spans="4:5">
      <c r="D438" s="90" t="str">
        <f>IF('Product List'!C438="","",'Product List'!C438)</f>
        <v/>
      </c>
      <c r="E438" s="90" t="str">
        <f>IF('Product List'!B438="","",'Product List'!B438)</f>
        <v/>
      </c>
    </row>
    <row r="439" spans="4:5">
      <c r="D439" s="90" t="str">
        <f>IF('Product List'!C439="","",'Product List'!C439)</f>
        <v/>
      </c>
      <c r="E439" s="90" t="str">
        <f>IF('Product List'!B439="","",'Product List'!B439)</f>
        <v/>
      </c>
    </row>
    <row r="440" spans="4:5">
      <c r="D440" s="90" t="str">
        <f>IF('Product List'!C440="","",'Product List'!C440)</f>
        <v/>
      </c>
      <c r="E440" s="90" t="str">
        <f>IF('Product List'!B440="","",'Product List'!B440)</f>
        <v/>
      </c>
    </row>
    <row r="441" spans="4:5">
      <c r="D441" s="90" t="str">
        <f>IF('Product List'!C441="","",'Product List'!C441)</f>
        <v/>
      </c>
      <c r="E441" s="90" t="str">
        <f>IF('Product List'!B441="","",'Product List'!B441)</f>
        <v/>
      </c>
    </row>
    <row r="442" spans="4:5">
      <c r="D442" s="90" t="str">
        <f>IF('Product List'!C442="","",'Product List'!C442)</f>
        <v/>
      </c>
      <c r="E442" s="90" t="str">
        <f>IF('Product List'!B442="","",'Product List'!B442)</f>
        <v/>
      </c>
    </row>
    <row r="443" spans="4:5">
      <c r="D443" s="90" t="str">
        <f>IF('Product List'!C443="","",'Product List'!C443)</f>
        <v/>
      </c>
      <c r="E443" s="90" t="str">
        <f>IF('Product List'!B443="","",'Product List'!B443)</f>
        <v/>
      </c>
    </row>
    <row r="444" spans="4:5">
      <c r="D444" s="90" t="str">
        <f>IF('Product List'!C444="","",'Product List'!C444)</f>
        <v/>
      </c>
      <c r="E444" s="90" t="str">
        <f>IF('Product List'!B444="","",'Product List'!B444)</f>
        <v/>
      </c>
    </row>
    <row r="445" spans="4:5">
      <c r="D445" s="90" t="str">
        <f>IF('Product List'!C445="","",'Product List'!C445)</f>
        <v/>
      </c>
      <c r="E445" s="90" t="str">
        <f>IF('Product List'!B445="","",'Product List'!B445)</f>
        <v/>
      </c>
    </row>
    <row r="446" spans="4:5">
      <c r="D446" s="90" t="str">
        <f>IF('Product List'!C446="","",'Product List'!C446)</f>
        <v/>
      </c>
      <c r="E446" s="90" t="str">
        <f>IF('Product List'!B446="","",'Product List'!B446)</f>
        <v/>
      </c>
    </row>
    <row r="447" spans="4:5">
      <c r="D447" s="90" t="str">
        <f>IF('Product List'!C447="","",'Product List'!C447)</f>
        <v/>
      </c>
      <c r="E447" s="90" t="str">
        <f>IF('Product List'!B447="","",'Product List'!B447)</f>
        <v/>
      </c>
    </row>
    <row r="448" spans="4:5">
      <c r="D448" s="90" t="str">
        <f>IF('Product List'!C448="","",'Product List'!C448)</f>
        <v/>
      </c>
      <c r="E448" s="90" t="str">
        <f>IF('Product List'!B448="","",'Product List'!B448)</f>
        <v/>
      </c>
    </row>
    <row r="449" spans="4:5">
      <c r="D449" s="90" t="str">
        <f>IF('Product List'!C449="","",'Product List'!C449)</f>
        <v/>
      </c>
      <c r="E449" s="90" t="str">
        <f>IF('Product List'!B449="","",'Product List'!B449)</f>
        <v/>
      </c>
    </row>
    <row r="450" spans="4:5">
      <c r="D450" s="90" t="str">
        <f>IF('Product List'!C450="","",'Product List'!C450)</f>
        <v/>
      </c>
      <c r="E450" s="90" t="str">
        <f>IF('Product List'!B450="","",'Product List'!B450)</f>
        <v/>
      </c>
    </row>
    <row r="451" spans="4:5">
      <c r="D451" s="90" t="str">
        <f>IF('Product List'!C451="","",'Product List'!C451)</f>
        <v/>
      </c>
      <c r="E451" s="90" t="str">
        <f>IF('Product List'!B451="","",'Product List'!B451)</f>
        <v/>
      </c>
    </row>
    <row r="452" spans="4:5">
      <c r="D452" s="90" t="str">
        <f>IF('Product List'!C452="","",'Product List'!C452)</f>
        <v/>
      </c>
      <c r="E452" s="90" t="str">
        <f>IF('Product List'!B452="","",'Product List'!B452)</f>
        <v/>
      </c>
    </row>
    <row r="453" spans="4:5">
      <c r="D453" s="90" t="str">
        <f>IF('Product List'!C453="","",'Product List'!C453)</f>
        <v/>
      </c>
      <c r="E453" s="90" t="str">
        <f>IF('Product List'!B453="","",'Product List'!B453)</f>
        <v/>
      </c>
    </row>
    <row r="454" spans="4:5">
      <c r="D454" s="90" t="str">
        <f>IF('Product List'!C454="","",'Product List'!C454)</f>
        <v/>
      </c>
      <c r="E454" s="90" t="str">
        <f>IF('Product List'!B454="","",'Product List'!B454)</f>
        <v/>
      </c>
    </row>
    <row r="455" spans="4:5">
      <c r="D455" s="90" t="str">
        <f>IF('Product List'!C455="","",'Product List'!C455)</f>
        <v/>
      </c>
      <c r="E455" s="90" t="str">
        <f>IF('Product List'!B455="","",'Product List'!B455)</f>
        <v/>
      </c>
    </row>
    <row r="456" spans="4:5">
      <c r="D456" s="90" t="str">
        <f>IF('Product List'!C456="","",'Product List'!C456)</f>
        <v/>
      </c>
      <c r="E456" s="90" t="str">
        <f>IF('Product List'!B456="","",'Product List'!B456)</f>
        <v/>
      </c>
    </row>
    <row r="457" spans="4:5">
      <c r="D457" s="90" t="str">
        <f>IF('Product List'!C457="","",'Product List'!C457)</f>
        <v/>
      </c>
      <c r="E457" s="90" t="str">
        <f>IF('Product List'!B457="","",'Product List'!B457)</f>
        <v/>
      </c>
    </row>
    <row r="458" spans="4:5">
      <c r="D458" s="90" t="str">
        <f>IF('Product List'!C458="","",'Product List'!C458)</f>
        <v/>
      </c>
      <c r="E458" s="90" t="str">
        <f>IF('Product List'!B458="","",'Product List'!B458)</f>
        <v/>
      </c>
    </row>
    <row r="459" spans="4:5">
      <c r="D459" s="90" t="str">
        <f>IF('Product List'!C459="","",'Product List'!C459)</f>
        <v/>
      </c>
      <c r="E459" s="90" t="str">
        <f>IF('Product List'!B459="","",'Product List'!B459)</f>
        <v/>
      </c>
    </row>
    <row r="460" spans="4:5">
      <c r="D460" s="90" t="str">
        <f>IF('Product List'!C460="","",'Product List'!C460)</f>
        <v/>
      </c>
      <c r="E460" s="90" t="str">
        <f>IF('Product List'!B460="","",'Product List'!B460)</f>
        <v/>
      </c>
    </row>
    <row r="461" spans="4:5">
      <c r="D461" s="90" t="str">
        <f>IF('Product List'!C461="","",'Product List'!C461)</f>
        <v/>
      </c>
      <c r="E461" s="90" t="str">
        <f>IF('Product List'!B461="","",'Product List'!B461)</f>
        <v/>
      </c>
    </row>
    <row r="462" spans="4:5">
      <c r="D462" s="90" t="str">
        <f>IF('Product List'!C462="","",'Product List'!C462)</f>
        <v/>
      </c>
      <c r="E462" s="90" t="str">
        <f>IF('Product List'!B462="","",'Product List'!B462)</f>
        <v/>
      </c>
    </row>
    <row r="463" spans="4:5">
      <c r="D463" s="90" t="str">
        <f>IF('Product List'!C463="","",'Product List'!C463)</f>
        <v/>
      </c>
      <c r="E463" s="90" t="str">
        <f>IF('Product List'!B463="","",'Product List'!B463)</f>
        <v/>
      </c>
    </row>
    <row r="464" spans="4:5">
      <c r="D464" s="90" t="str">
        <f>IF('Product List'!C464="","",'Product List'!C464)</f>
        <v/>
      </c>
      <c r="E464" s="90" t="str">
        <f>IF('Product List'!B464="","",'Product List'!B464)</f>
        <v/>
      </c>
    </row>
    <row r="465" spans="4:5">
      <c r="D465" s="90" t="str">
        <f>IF('Product List'!C465="","",'Product List'!C465)</f>
        <v/>
      </c>
      <c r="E465" s="90" t="str">
        <f>IF('Product List'!B465="","",'Product List'!B465)</f>
        <v/>
      </c>
    </row>
    <row r="466" spans="4:5">
      <c r="D466" s="90" t="str">
        <f>IF('Product List'!C466="","",'Product List'!C466)</f>
        <v/>
      </c>
      <c r="E466" s="90" t="str">
        <f>IF('Product List'!B466="","",'Product List'!B466)</f>
        <v/>
      </c>
    </row>
    <row r="467" spans="4:5">
      <c r="D467" s="90" t="str">
        <f>IF('Product List'!C467="","",'Product List'!C467)</f>
        <v/>
      </c>
      <c r="E467" s="90" t="str">
        <f>IF('Product List'!B467="","",'Product List'!B467)</f>
        <v/>
      </c>
    </row>
    <row r="468" spans="4:5">
      <c r="D468" s="90" t="str">
        <f>IF('Product List'!C468="","",'Product List'!C468)</f>
        <v/>
      </c>
      <c r="E468" s="90" t="str">
        <f>IF('Product List'!B468="","",'Product List'!B468)</f>
        <v/>
      </c>
    </row>
    <row r="469" spans="4:5">
      <c r="D469" s="90" t="str">
        <f>IF('Product List'!C469="","",'Product List'!C469)</f>
        <v/>
      </c>
      <c r="E469" s="90" t="str">
        <f>IF('Product List'!B469="","",'Product List'!B469)</f>
        <v/>
      </c>
    </row>
    <row r="470" spans="4:5">
      <c r="D470" s="90" t="str">
        <f>IF('Product List'!C470="","",'Product List'!C470)</f>
        <v/>
      </c>
      <c r="E470" s="90" t="str">
        <f>IF('Product List'!B470="","",'Product List'!B470)</f>
        <v/>
      </c>
    </row>
    <row r="471" spans="4:5">
      <c r="D471" s="90" t="str">
        <f>IF('Product List'!C471="","",'Product List'!C471)</f>
        <v/>
      </c>
      <c r="E471" s="90" t="str">
        <f>IF('Product List'!B471="","",'Product List'!B471)</f>
        <v/>
      </c>
    </row>
    <row r="472" spans="4:5">
      <c r="D472" s="90" t="str">
        <f>IF('Product List'!C472="","",'Product List'!C472)</f>
        <v/>
      </c>
      <c r="E472" s="90" t="str">
        <f>IF('Product List'!B472="","",'Product List'!B472)</f>
        <v/>
      </c>
    </row>
    <row r="473" spans="4:5">
      <c r="D473" s="90" t="str">
        <f>IF('Product List'!C473="","",'Product List'!C473)</f>
        <v/>
      </c>
      <c r="E473" s="90" t="str">
        <f>IF('Product List'!B473="","",'Product List'!B473)</f>
        <v/>
      </c>
    </row>
    <row r="474" spans="4:5">
      <c r="D474" s="90" t="str">
        <f>IF('Product List'!C474="","",'Product List'!C474)</f>
        <v/>
      </c>
      <c r="E474" s="90" t="str">
        <f>IF('Product List'!B474="","",'Product List'!B474)</f>
        <v/>
      </c>
    </row>
    <row r="475" spans="4:5">
      <c r="D475" s="90" t="str">
        <f>IF('Product List'!C475="","",'Product List'!C475)</f>
        <v/>
      </c>
      <c r="E475" s="90" t="str">
        <f>IF('Product List'!B475="","",'Product List'!B475)</f>
        <v/>
      </c>
    </row>
    <row r="476" spans="4:5">
      <c r="D476" s="90" t="str">
        <f>IF('Product List'!C476="","",'Product List'!C476)</f>
        <v/>
      </c>
      <c r="E476" s="90" t="str">
        <f>IF('Product List'!B476="","",'Product List'!B476)</f>
        <v/>
      </c>
    </row>
    <row r="477" spans="4:5">
      <c r="D477" s="90" t="str">
        <f>IF('Product List'!C477="","",'Product List'!C477)</f>
        <v/>
      </c>
      <c r="E477" s="90" t="str">
        <f>IF('Product List'!B477="","",'Product List'!B477)</f>
        <v/>
      </c>
    </row>
    <row r="478" spans="4:5">
      <c r="D478" s="90" t="str">
        <f>IF('Product List'!C478="","",'Product List'!C478)</f>
        <v/>
      </c>
      <c r="E478" s="90" t="str">
        <f>IF('Product List'!B478="","",'Product List'!B478)</f>
        <v/>
      </c>
    </row>
    <row r="479" spans="4:5">
      <c r="D479" s="90" t="str">
        <f>IF('Product List'!C479="","",'Product List'!C479)</f>
        <v/>
      </c>
      <c r="E479" s="90" t="str">
        <f>IF('Product List'!B479="","",'Product List'!B479)</f>
        <v/>
      </c>
    </row>
    <row r="480" spans="4:5">
      <c r="D480" s="90" t="str">
        <f>IF('Product List'!C480="","",'Product List'!C480)</f>
        <v/>
      </c>
      <c r="E480" s="90" t="str">
        <f>IF('Product List'!B480="","",'Product List'!B480)</f>
        <v/>
      </c>
    </row>
    <row r="481" spans="4:5">
      <c r="D481" s="90" t="str">
        <f>IF('Product List'!C481="","",'Product List'!C481)</f>
        <v/>
      </c>
      <c r="E481" s="90" t="str">
        <f>IF('Product List'!B481="","",'Product List'!B481)</f>
        <v/>
      </c>
    </row>
    <row r="482" spans="4:5">
      <c r="D482" s="90" t="str">
        <f>IF('Product List'!C482="","",'Product List'!C482)</f>
        <v/>
      </c>
      <c r="E482" s="90" t="str">
        <f>IF('Product List'!B482="","",'Product List'!B482)</f>
        <v/>
      </c>
    </row>
    <row r="483" spans="4:5">
      <c r="D483" s="90" t="str">
        <f>IF('Product List'!C483="","",'Product List'!C483)</f>
        <v/>
      </c>
      <c r="E483" s="90" t="str">
        <f>IF('Product List'!B483="","",'Product List'!B483)</f>
        <v/>
      </c>
    </row>
    <row r="484" spans="4:5">
      <c r="D484" s="90" t="str">
        <f>IF('Product List'!C484="","",'Product List'!C484)</f>
        <v/>
      </c>
      <c r="E484" s="90" t="str">
        <f>IF('Product List'!B484="","",'Product List'!B484)</f>
        <v/>
      </c>
    </row>
    <row r="485" spans="4:5">
      <c r="D485" s="90" t="str">
        <f>IF('Product List'!C485="","",'Product List'!C485)</f>
        <v/>
      </c>
      <c r="E485" s="90" t="str">
        <f>IF('Product List'!B485="","",'Product List'!B485)</f>
        <v/>
      </c>
    </row>
    <row r="486" spans="4:5">
      <c r="D486" s="90" t="str">
        <f>IF('Product List'!C486="","",'Product List'!C486)</f>
        <v/>
      </c>
      <c r="E486" s="90" t="str">
        <f>IF('Product List'!B486="","",'Product List'!B486)</f>
        <v/>
      </c>
    </row>
    <row r="487" spans="4:5">
      <c r="D487" s="90" t="str">
        <f>IF('Product List'!C487="","",'Product List'!C487)</f>
        <v/>
      </c>
      <c r="E487" s="90" t="str">
        <f>IF('Product List'!B487="","",'Product List'!B487)</f>
        <v/>
      </c>
    </row>
    <row r="488" spans="4:5">
      <c r="D488" s="90" t="str">
        <f>IF('Product List'!C488="","",'Product List'!C488)</f>
        <v/>
      </c>
      <c r="E488" s="90" t="str">
        <f>IF('Product List'!B488="","",'Product List'!B488)</f>
        <v/>
      </c>
    </row>
    <row r="489" spans="4:5">
      <c r="D489" s="90" t="str">
        <f>IF('Product List'!C489="","",'Product List'!C489)</f>
        <v/>
      </c>
      <c r="E489" s="90" t="str">
        <f>IF('Product List'!B489="","",'Product List'!B489)</f>
        <v/>
      </c>
    </row>
    <row r="490" spans="4:5">
      <c r="D490" s="90" t="str">
        <f>IF('Product List'!C490="","",'Product List'!C490)</f>
        <v/>
      </c>
      <c r="E490" s="90" t="str">
        <f>IF('Product List'!B490="","",'Product List'!B490)</f>
        <v/>
      </c>
    </row>
    <row r="491" spans="4:5">
      <c r="D491" s="90" t="str">
        <f>IF('Product List'!C491="","",'Product List'!C491)</f>
        <v/>
      </c>
      <c r="E491" s="90" t="str">
        <f>IF('Product List'!B491="","",'Product List'!B491)</f>
        <v/>
      </c>
    </row>
    <row r="492" spans="4:5">
      <c r="D492" s="90" t="str">
        <f>IF('Product List'!C492="","",'Product List'!C492)</f>
        <v/>
      </c>
      <c r="E492" s="90" t="str">
        <f>IF('Product List'!B492="","",'Product List'!B492)</f>
        <v/>
      </c>
    </row>
    <row r="493" spans="4:5">
      <c r="D493" s="90" t="str">
        <f>IF('Product List'!C493="","",'Product List'!C493)</f>
        <v/>
      </c>
      <c r="E493" s="90" t="str">
        <f>IF('Product List'!B493="","",'Product List'!B493)</f>
        <v/>
      </c>
    </row>
    <row r="494" spans="4:5">
      <c r="D494" s="90" t="str">
        <f>IF('Product List'!C494="","",'Product List'!C494)</f>
        <v/>
      </c>
      <c r="E494" s="90" t="str">
        <f>IF('Product List'!B494="","",'Product List'!B494)</f>
        <v/>
      </c>
    </row>
    <row r="495" spans="4:5">
      <c r="D495" s="90" t="str">
        <f>IF('Product List'!C495="","",'Product List'!C495)</f>
        <v/>
      </c>
      <c r="E495" s="90" t="str">
        <f>IF('Product List'!B495="","",'Product List'!B495)</f>
        <v/>
      </c>
    </row>
    <row r="496" spans="4:5">
      <c r="D496" s="90" t="str">
        <f>IF('Product List'!C496="","",'Product List'!C496)</f>
        <v/>
      </c>
      <c r="E496" s="90" t="str">
        <f>IF('Product List'!B496="","",'Product List'!B496)</f>
        <v/>
      </c>
    </row>
    <row r="497" spans="4:5">
      <c r="D497" s="90" t="str">
        <f>IF('Product List'!C497="","",'Product List'!C497)</f>
        <v/>
      </c>
      <c r="E497" s="90" t="str">
        <f>IF('Product List'!B497="","",'Product List'!B497)</f>
        <v/>
      </c>
    </row>
    <row r="498" spans="4:5">
      <c r="D498" s="90" t="str">
        <f>IF('Product List'!C498="","",'Product List'!C498)</f>
        <v/>
      </c>
      <c r="E498" s="90" t="str">
        <f>IF('Product List'!B498="","",'Product List'!B498)</f>
        <v/>
      </c>
    </row>
    <row r="499" spans="4:5">
      <c r="D499" s="90" t="str">
        <f>IF('Product List'!C499="","",'Product List'!C499)</f>
        <v/>
      </c>
      <c r="E499" s="90" t="str">
        <f>IF('Product List'!B499="","",'Product List'!B499)</f>
        <v/>
      </c>
    </row>
    <row r="500" spans="4:5">
      <c r="D500" s="90" t="str">
        <f>IF('Product List'!C500="","",'Product List'!C500)</f>
        <v/>
      </c>
      <c r="E500" s="90" t="str">
        <f>IF('Product List'!B500="","",'Product List'!B500)</f>
        <v/>
      </c>
    </row>
    <row r="501" spans="4:5">
      <c r="D501" s="90" t="str">
        <f>IF('Product List'!C501="","",'Product List'!C501)</f>
        <v/>
      </c>
      <c r="E501" s="90" t="str">
        <f>IF('Product List'!B501="","",'Product List'!B501)</f>
        <v/>
      </c>
    </row>
    <row r="502" spans="4:5">
      <c r="D502" s="90" t="str">
        <f>IF('Product List'!C502="","",'Product List'!C502)</f>
        <v/>
      </c>
      <c r="E502" s="90" t="str">
        <f>IF('Product List'!B502="","",'Product List'!B502)</f>
        <v/>
      </c>
    </row>
    <row r="503" spans="4:5">
      <c r="D503" s="90" t="str">
        <f>IF('Product List'!C503="","",'Product List'!C503)</f>
        <v/>
      </c>
      <c r="E503" s="90" t="str">
        <f>IF('Product List'!B503="","",'Product List'!B503)</f>
        <v/>
      </c>
    </row>
    <row r="504" spans="4:5">
      <c r="D504" s="90" t="str">
        <f>IF('Product List'!C504="","",'Product List'!C504)</f>
        <v/>
      </c>
      <c r="E504" s="90" t="str">
        <f>IF('Product List'!B504="","",'Product List'!B504)</f>
        <v/>
      </c>
    </row>
    <row r="505" spans="4:5">
      <c r="D505" s="90" t="str">
        <f>IF('Product List'!C505="","",'Product List'!C505)</f>
        <v/>
      </c>
      <c r="E505" s="90" t="str">
        <f>IF('Product List'!B505="","",'Product List'!B505)</f>
        <v/>
      </c>
    </row>
    <row r="506" spans="4:5">
      <c r="D506" s="90" t="str">
        <f>IF('Product List'!C506="","",'Product List'!C506)</f>
        <v/>
      </c>
      <c r="E506" s="90" t="str">
        <f>IF('Product List'!B506="","",'Product List'!B506)</f>
        <v/>
      </c>
    </row>
    <row r="507" spans="4:5">
      <c r="D507" s="90" t="str">
        <f>IF('Product List'!C507="","",'Product List'!C507)</f>
        <v/>
      </c>
      <c r="E507" s="90" t="str">
        <f>IF('Product List'!B507="","",'Product List'!B507)</f>
        <v/>
      </c>
    </row>
    <row r="508" spans="4:5">
      <c r="D508" s="90" t="str">
        <f>IF('Product List'!C508="","",'Product List'!C508)</f>
        <v/>
      </c>
      <c r="E508" s="90" t="str">
        <f>IF('Product List'!B508="","",'Product List'!B508)</f>
        <v/>
      </c>
    </row>
    <row r="509" spans="4:5">
      <c r="D509" s="90" t="str">
        <f>IF('Product List'!C509="","",'Product List'!C509)</f>
        <v/>
      </c>
      <c r="E509" s="90" t="str">
        <f>IF('Product List'!B509="","",'Product List'!B509)</f>
        <v/>
      </c>
    </row>
    <row r="510" spans="4:5">
      <c r="D510" s="90" t="str">
        <f>IF('Product List'!C510="","",'Product List'!C510)</f>
        <v/>
      </c>
      <c r="E510" s="90" t="str">
        <f>IF('Product List'!B510="","",'Product List'!B510)</f>
        <v/>
      </c>
    </row>
    <row r="511" spans="4:5">
      <c r="D511" s="90" t="str">
        <f>IF('Product List'!C511="","",'Product List'!C511)</f>
        <v/>
      </c>
      <c r="E511" s="90" t="str">
        <f>IF('Product List'!B511="","",'Product List'!B511)</f>
        <v/>
      </c>
    </row>
    <row r="512" spans="4:5">
      <c r="D512" s="90" t="str">
        <f>IF('Product List'!C512="","",'Product List'!C512)</f>
        <v/>
      </c>
      <c r="E512" s="90" t="str">
        <f>IF('Product List'!B512="","",'Product List'!B512)</f>
        <v/>
      </c>
    </row>
    <row r="513" spans="4:5">
      <c r="D513" s="90" t="str">
        <f>IF('Product List'!C513="","",'Product List'!C513)</f>
        <v/>
      </c>
      <c r="E513" s="90" t="str">
        <f>IF('Product List'!B513="","",'Product List'!B513)</f>
        <v/>
      </c>
    </row>
    <row r="514" spans="4:5">
      <c r="D514" s="90" t="str">
        <f>IF('Product List'!C514="","",'Product List'!C514)</f>
        <v/>
      </c>
      <c r="E514" s="90" t="str">
        <f>IF('Product List'!B514="","",'Product List'!B514)</f>
        <v/>
      </c>
    </row>
    <row r="515" spans="4:5">
      <c r="D515" s="90" t="str">
        <f>IF('Product List'!C515="","",'Product List'!C515)</f>
        <v/>
      </c>
      <c r="E515" s="90" t="str">
        <f>IF('Product List'!B515="","",'Product List'!B515)</f>
        <v/>
      </c>
    </row>
    <row r="516" spans="4:5">
      <c r="D516" s="90" t="str">
        <f>IF('Product List'!C516="","",'Product List'!C516)</f>
        <v/>
      </c>
      <c r="E516" s="90" t="str">
        <f>IF('Product List'!B516="","",'Product List'!B516)</f>
        <v/>
      </c>
    </row>
    <row r="517" spans="4:5">
      <c r="D517" s="90" t="str">
        <f>IF('Product List'!C517="","",'Product List'!C517)</f>
        <v/>
      </c>
      <c r="E517" s="90" t="str">
        <f>IF('Product List'!B517="","",'Product List'!B517)</f>
        <v/>
      </c>
    </row>
    <row r="518" spans="4:5">
      <c r="D518" s="90" t="str">
        <f>IF('Product List'!C518="","",'Product List'!C518)</f>
        <v/>
      </c>
      <c r="E518" s="90" t="str">
        <f>IF('Product List'!B518="","",'Product List'!B518)</f>
        <v/>
      </c>
    </row>
    <row r="519" spans="4:5">
      <c r="D519" s="90" t="str">
        <f>IF('Product List'!C519="","",'Product List'!C519)</f>
        <v/>
      </c>
      <c r="E519" s="90" t="str">
        <f>IF('Product List'!B519="","",'Product List'!B519)</f>
        <v/>
      </c>
    </row>
    <row r="520" spans="4:5">
      <c r="D520" s="90" t="str">
        <f>IF('Product List'!C520="","",'Product List'!C520)</f>
        <v/>
      </c>
      <c r="E520" s="90" t="str">
        <f>IF('Product List'!B520="","",'Product List'!B520)</f>
        <v/>
      </c>
    </row>
    <row r="521" spans="4:5">
      <c r="D521" s="90" t="str">
        <f>IF('Product List'!C521="","",'Product List'!C521)</f>
        <v/>
      </c>
      <c r="E521" s="90" t="str">
        <f>IF('Product List'!B521="","",'Product List'!B521)</f>
        <v/>
      </c>
    </row>
    <row r="522" spans="4:5">
      <c r="D522" s="90" t="str">
        <f>IF('Product List'!C522="","",'Product List'!C522)</f>
        <v/>
      </c>
      <c r="E522" s="90" t="str">
        <f>IF('Product List'!B522="","",'Product List'!B522)</f>
        <v/>
      </c>
    </row>
    <row r="523" spans="4:5">
      <c r="D523" s="90" t="str">
        <f>IF('Product List'!C523="","",'Product List'!C523)</f>
        <v/>
      </c>
      <c r="E523" s="90" t="str">
        <f>IF('Product List'!B523="","",'Product List'!B523)</f>
        <v/>
      </c>
    </row>
    <row r="524" spans="4:5">
      <c r="D524" s="90" t="str">
        <f>IF('Product List'!C524="","",'Product List'!C524)</f>
        <v/>
      </c>
      <c r="E524" s="90" t="str">
        <f>IF('Product List'!B524="","",'Product List'!B524)</f>
        <v/>
      </c>
    </row>
    <row r="525" spans="4:5">
      <c r="D525" s="90" t="str">
        <f>IF('Product List'!C525="","",'Product List'!C525)</f>
        <v/>
      </c>
      <c r="E525" s="90" t="str">
        <f>IF('Product List'!B525="","",'Product List'!B525)</f>
        <v/>
      </c>
    </row>
    <row r="526" spans="4:5">
      <c r="D526" s="90" t="str">
        <f>IF('Product List'!C526="","",'Product List'!C526)</f>
        <v/>
      </c>
      <c r="E526" s="90" t="str">
        <f>IF('Product List'!B526="","",'Product List'!B526)</f>
        <v/>
      </c>
    </row>
    <row r="527" spans="4:5">
      <c r="D527" s="90" t="str">
        <f>IF('Product List'!C527="","",'Product List'!C527)</f>
        <v/>
      </c>
      <c r="E527" s="90" t="str">
        <f>IF('Product List'!B527="","",'Product List'!B527)</f>
        <v/>
      </c>
    </row>
    <row r="528" spans="4:5">
      <c r="D528" s="90" t="str">
        <f>IF('Product List'!C528="","",'Product List'!C528)</f>
        <v/>
      </c>
      <c r="E528" s="90" t="str">
        <f>IF('Product List'!B528="","",'Product List'!B528)</f>
        <v/>
      </c>
    </row>
    <row r="529" spans="4:5">
      <c r="D529" s="90" t="str">
        <f>IF('Product List'!C529="","",'Product List'!C529)</f>
        <v/>
      </c>
      <c r="E529" s="90" t="str">
        <f>IF('Product List'!B529="","",'Product List'!B529)</f>
        <v/>
      </c>
    </row>
    <row r="530" spans="4:5">
      <c r="D530" s="90" t="str">
        <f>IF('Product List'!C530="","",'Product List'!C530)</f>
        <v/>
      </c>
      <c r="E530" s="90" t="str">
        <f>IF('Product List'!B530="","",'Product List'!B530)</f>
        <v/>
      </c>
    </row>
    <row r="531" spans="4:5">
      <c r="D531" s="90" t="str">
        <f>IF('Product List'!C531="","",'Product List'!C531)</f>
        <v/>
      </c>
      <c r="E531" s="90" t="str">
        <f>IF('Product List'!B531="","",'Product List'!B531)</f>
        <v/>
      </c>
    </row>
    <row r="532" spans="4:5">
      <c r="D532" s="90" t="str">
        <f>IF('Product List'!C532="","",'Product List'!C532)</f>
        <v/>
      </c>
      <c r="E532" s="90" t="str">
        <f>IF('Product List'!B532="","",'Product List'!B532)</f>
        <v/>
      </c>
    </row>
    <row r="533" spans="4:5">
      <c r="D533" s="90" t="str">
        <f>IF('Product List'!C533="","",'Product List'!C533)</f>
        <v/>
      </c>
      <c r="E533" s="90" t="str">
        <f>IF('Product List'!B533="","",'Product List'!B533)</f>
        <v/>
      </c>
    </row>
    <row r="534" spans="4:5">
      <c r="D534" s="90" t="str">
        <f>IF('Product List'!C534="","",'Product List'!C534)</f>
        <v/>
      </c>
      <c r="E534" s="90" t="str">
        <f>IF('Product List'!B534="","",'Product List'!B534)</f>
        <v/>
      </c>
    </row>
    <row r="535" spans="4:5">
      <c r="D535" s="90" t="str">
        <f>IF('Product List'!C535="","",'Product List'!C535)</f>
        <v/>
      </c>
      <c r="E535" s="90" t="str">
        <f>IF('Product List'!B535="","",'Product List'!B535)</f>
        <v/>
      </c>
    </row>
    <row r="536" spans="4:5">
      <c r="D536" s="90" t="str">
        <f>IF('Product List'!C536="","",'Product List'!C536)</f>
        <v/>
      </c>
      <c r="E536" s="90" t="str">
        <f>IF('Product List'!B536="","",'Product List'!B536)</f>
        <v/>
      </c>
    </row>
    <row r="537" spans="4:5">
      <c r="D537" s="90" t="str">
        <f>IF('Product List'!C537="","",'Product List'!C537)</f>
        <v/>
      </c>
      <c r="E537" s="90" t="str">
        <f>IF('Product List'!B537="","",'Product List'!B537)</f>
        <v/>
      </c>
    </row>
    <row r="538" spans="4:5">
      <c r="D538" s="90" t="str">
        <f>IF('Product List'!C538="","",'Product List'!C538)</f>
        <v/>
      </c>
      <c r="E538" s="90" t="str">
        <f>IF('Product List'!B538="","",'Product List'!B538)</f>
        <v/>
      </c>
    </row>
    <row r="539" spans="4:5">
      <c r="D539" s="90" t="str">
        <f>IF('Product List'!C539="","",'Product List'!C539)</f>
        <v/>
      </c>
      <c r="E539" s="90" t="str">
        <f>IF('Product List'!B539="","",'Product List'!B539)</f>
        <v/>
      </c>
    </row>
    <row r="540" spans="4:5">
      <c r="D540" s="90" t="str">
        <f>IF('Product List'!C540="","",'Product List'!C540)</f>
        <v/>
      </c>
      <c r="E540" s="90" t="str">
        <f>IF('Product List'!B540="","",'Product List'!B540)</f>
        <v/>
      </c>
    </row>
    <row r="541" spans="4:5">
      <c r="D541" s="90" t="str">
        <f>IF('Product List'!C541="","",'Product List'!C541)</f>
        <v/>
      </c>
      <c r="E541" s="90" t="str">
        <f>IF('Product List'!B541="","",'Product List'!B541)</f>
        <v/>
      </c>
    </row>
    <row r="542" spans="4:5">
      <c r="D542" s="90" t="str">
        <f>IF('Product List'!C542="","",'Product List'!C542)</f>
        <v/>
      </c>
      <c r="E542" s="90" t="str">
        <f>IF('Product List'!B542="","",'Product List'!B542)</f>
        <v/>
      </c>
    </row>
    <row r="543" spans="4:5">
      <c r="D543" s="90" t="str">
        <f>IF('Product List'!C543="","",'Product List'!C543)</f>
        <v/>
      </c>
      <c r="E543" s="90" t="str">
        <f>IF('Product List'!B543="","",'Product List'!B543)</f>
        <v/>
      </c>
    </row>
    <row r="544" spans="4:5">
      <c r="D544" s="90" t="str">
        <f>IF('Product List'!C544="","",'Product List'!C544)</f>
        <v/>
      </c>
      <c r="E544" s="90" t="str">
        <f>IF('Product List'!B544="","",'Product List'!B544)</f>
        <v/>
      </c>
    </row>
    <row r="545" spans="4:5">
      <c r="D545" s="90" t="str">
        <f>IF('Product List'!C545="","",'Product List'!C545)</f>
        <v/>
      </c>
      <c r="E545" s="90" t="str">
        <f>IF('Product List'!B545="","",'Product List'!B545)</f>
        <v/>
      </c>
    </row>
    <row r="546" spans="4:5">
      <c r="D546" s="90" t="str">
        <f>IF('Product List'!C546="","",'Product List'!C546)</f>
        <v/>
      </c>
      <c r="E546" s="90" t="str">
        <f>IF('Product List'!B546="","",'Product List'!B546)</f>
        <v/>
      </c>
    </row>
    <row r="547" spans="4:5">
      <c r="D547" s="90" t="str">
        <f>IF('Product List'!C547="","",'Product List'!C547)</f>
        <v/>
      </c>
      <c r="E547" s="90" t="str">
        <f>IF('Product List'!B547="","",'Product List'!B547)</f>
        <v/>
      </c>
    </row>
    <row r="548" spans="4:5">
      <c r="D548" s="90" t="str">
        <f>IF('Product List'!C548="","",'Product List'!C548)</f>
        <v/>
      </c>
      <c r="E548" s="90" t="str">
        <f>IF('Product List'!B548="","",'Product List'!B548)</f>
        <v/>
      </c>
    </row>
    <row r="549" spans="4:5">
      <c r="D549" s="90" t="str">
        <f>IF('Product List'!C549="","",'Product List'!C549)</f>
        <v/>
      </c>
      <c r="E549" s="90" t="str">
        <f>IF('Product List'!B549="","",'Product List'!B549)</f>
        <v/>
      </c>
    </row>
    <row r="550" spans="4:5">
      <c r="D550" s="90" t="str">
        <f>IF('Product List'!C550="","",'Product List'!C550)</f>
        <v/>
      </c>
      <c r="E550" s="90" t="str">
        <f>IF('Product List'!B550="","",'Product List'!B550)</f>
        <v/>
      </c>
    </row>
    <row r="551" spans="4:5">
      <c r="D551" s="90" t="str">
        <f>IF('Product List'!C551="","",'Product List'!C551)</f>
        <v/>
      </c>
      <c r="E551" s="90" t="str">
        <f>IF('Product List'!B551="","",'Product List'!B551)</f>
        <v/>
      </c>
    </row>
    <row r="552" spans="4:5">
      <c r="D552" s="90" t="str">
        <f>IF('Product List'!C552="","",'Product List'!C552)</f>
        <v/>
      </c>
      <c r="E552" s="90" t="str">
        <f>IF('Product List'!B552="","",'Product List'!B552)</f>
        <v/>
      </c>
    </row>
    <row r="553" spans="4:5">
      <c r="D553" s="90" t="str">
        <f>IF('Product List'!C553="","",'Product List'!C553)</f>
        <v/>
      </c>
      <c r="E553" s="90" t="str">
        <f>IF('Product List'!B553="","",'Product List'!B553)</f>
        <v/>
      </c>
    </row>
    <row r="554" spans="4:5">
      <c r="D554" s="90" t="str">
        <f>IF('Product List'!C554="","",'Product List'!C554)</f>
        <v/>
      </c>
      <c r="E554" s="90" t="str">
        <f>IF('Product List'!B554="","",'Product List'!B554)</f>
        <v/>
      </c>
    </row>
    <row r="555" spans="4:5">
      <c r="D555" s="90" t="str">
        <f>IF('Product List'!C555="","",'Product List'!C555)</f>
        <v/>
      </c>
      <c r="E555" s="90" t="str">
        <f>IF('Product List'!B555="","",'Product List'!B555)</f>
        <v/>
      </c>
    </row>
    <row r="556" spans="4:5">
      <c r="D556" s="90" t="str">
        <f>IF('Product List'!C556="","",'Product List'!C556)</f>
        <v/>
      </c>
      <c r="E556" s="90" t="str">
        <f>IF('Product List'!B556="","",'Product List'!B556)</f>
        <v/>
      </c>
    </row>
    <row r="557" spans="4:5">
      <c r="D557" s="90" t="str">
        <f>IF('Product List'!C557="","",'Product List'!C557)</f>
        <v/>
      </c>
      <c r="E557" s="90" t="str">
        <f>IF('Product List'!B557="","",'Product List'!B557)</f>
        <v/>
      </c>
    </row>
    <row r="558" spans="4:5">
      <c r="D558" s="90" t="str">
        <f>IF('Product List'!C558="","",'Product List'!C558)</f>
        <v/>
      </c>
      <c r="E558" s="90" t="str">
        <f>IF('Product List'!B558="","",'Product List'!B558)</f>
        <v/>
      </c>
    </row>
    <row r="559" spans="4:5">
      <c r="D559" s="90" t="str">
        <f>IF('Product List'!C559="","",'Product List'!C559)</f>
        <v/>
      </c>
      <c r="E559" s="90" t="str">
        <f>IF('Product List'!B559="","",'Product List'!B559)</f>
        <v/>
      </c>
    </row>
    <row r="560" spans="4:5">
      <c r="D560" s="90" t="str">
        <f>IF('Product List'!C560="","",'Product List'!C560)</f>
        <v/>
      </c>
      <c r="E560" s="90" t="str">
        <f>IF('Product List'!B560="","",'Product List'!B560)</f>
        <v/>
      </c>
    </row>
    <row r="561" spans="4:5">
      <c r="D561" s="90" t="str">
        <f>IF('Product List'!C561="","",'Product List'!C561)</f>
        <v/>
      </c>
      <c r="E561" s="90" t="str">
        <f>IF('Product List'!B561="","",'Product List'!B561)</f>
        <v/>
      </c>
    </row>
    <row r="562" spans="4:5">
      <c r="D562" s="90" t="str">
        <f>IF('Product List'!C562="","",'Product List'!C562)</f>
        <v/>
      </c>
      <c r="E562" s="90" t="str">
        <f>IF('Product List'!B562="","",'Product List'!B562)</f>
        <v/>
      </c>
    </row>
    <row r="563" spans="4:5">
      <c r="D563" s="90" t="str">
        <f>IF('Product List'!C563="","",'Product List'!C563)</f>
        <v/>
      </c>
      <c r="E563" s="90" t="str">
        <f>IF('Product List'!B563="","",'Product List'!B563)</f>
        <v/>
      </c>
    </row>
    <row r="564" spans="4:5">
      <c r="D564" s="90" t="str">
        <f>IF('Product List'!C564="","",'Product List'!C564)</f>
        <v/>
      </c>
      <c r="E564" s="90" t="str">
        <f>IF('Product List'!B564="","",'Product List'!B564)</f>
        <v/>
      </c>
    </row>
    <row r="565" spans="4:5">
      <c r="D565" s="90" t="str">
        <f>IF('Product List'!C565="","",'Product List'!C565)</f>
        <v/>
      </c>
      <c r="E565" s="90" t="str">
        <f>IF('Product List'!B565="","",'Product List'!B565)</f>
        <v/>
      </c>
    </row>
    <row r="566" spans="4:5">
      <c r="D566" s="90" t="str">
        <f>IF('Product List'!C566="","",'Product List'!C566)</f>
        <v/>
      </c>
      <c r="E566" s="90" t="str">
        <f>IF('Product List'!B566="","",'Product List'!B566)</f>
        <v/>
      </c>
    </row>
    <row r="567" spans="4:5">
      <c r="D567" s="90" t="str">
        <f>IF('Product List'!C567="","",'Product List'!C567)</f>
        <v/>
      </c>
      <c r="E567" s="90" t="str">
        <f>IF('Product List'!B567="","",'Product List'!B567)</f>
        <v/>
      </c>
    </row>
    <row r="568" spans="4:5">
      <c r="D568" s="90" t="str">
        <f>IF('Product List'!C568="","",'Product List'!C568)</f>
        <v/>
      </c>
      <c r="E568" s="90" t="str">
        <f>IF('Product List'!B568="","",'Product List'!B568)</f>
        <v/>
      </c>
    </row>
    <row r="569" spans="4:5">
      <c r="D569" s="90" t="str">
        <f>IF('Product List'!C569="","",'Product List'!C569)</f>
        <v/>
      </c>
      <c r="E569" s="90" t="str">
        <f>IF('Product List'!B569="","",'Product List'!B569)</f>
        <v/>
      </c>
    </row>
    <row r="570" spans="4:5">
      <c r="D570" s="90" t="str">
        <f>IF('Product List'!C570="","",'Product List'!C570)</f>
        <v/>
      </c>
      <c r="E570" s="90" t="str">
        <f>IF('Product List'!B570="","",'Product List'!B570)</f>
        <v/>
      </c>
    </row>
    <row r="571" spans="4:5">
      <c r="D571" s="90" t="str">
        <f>IF('Product List'!C571="","",'Product List'!C571)</f>
        <v/>
      </c>
      <c r="E571" s="90" t="str">
        <f>IF('Product List'!B571="","",'Product List'!B571)</f>
        <v/>
      </c>
    </row>
    <row r="572" spans="4:5">
      <c r="D572" s="90" t="str">
        <f>IF('Product List'!C572="","",'Product List'!C572)</f>
        <v/>
      </c>
      <c r="E572" s="90" t="str">
        <f>IF('Product List'!B572="","",'Product List'!B572)</f>
        <v/>
      </c>
    </row>
    <row r="573" spans="4:5">
      <c r="D573" s="90" t="str">
        <f>IF('Product List'!C573="","",'Product List'!C573)</f>
        <v/>
      </c>
      <c r="E573" s="90" t="str">
        <f>IF('Product List'!B573="","",'Product List'!B573)</f>
        <v/>
      </c>
    </row>
    <row r="574" spans="4:5">
      <c r="D574" s="90" t="str">
        <f>IF('Product List'!C574="","",'Product List'!C574)</f>
        <v/>
      </c>
      <c r="E574" s="90" t="str">
        <f>IF('Product List'!B574="","",'Product List'!B574)</f>
        <v/>
      </c>
    </row>
    <row r="575" spans="4:5">
      <c r="D575" s="90" t="str">
        <f>IF('Product List'!C575="","",'Product List'!C575)</f>
        <v/>
      </c>
      <c r="E575" s="90" t="str">
        <f>IF('Product List'!B575="","",'Product List'!B575)</f>
        <v/>
      </c>
    </row>
    <row r="576" spans="4:5">
      <c r="D576" s="90" t="str">
        <f>IF('Product List'!C576="","",'Product List'!C576)</f>
        <v/>
      </c>
      <c r="E576" s="90" t="str">
        <f>IF('Product List'!B576="","",'Product List'!B576)</f>
        <v/>
      </c>
    </row>
    <row r="577" spans="4:5">
      <c r="D577" s="90" t="str">
        <f>IF('Product List'!C577="","",'Product List'!C577)</f>
        <v/>
      </c>
      <c r="E577" s="90" t="str">
        <f>IF('Product List'!B577="","",'Product List'!B577)</f>
        <v/>
      </c>
    </row>
    <row r="578" spans="4:5">
      <c r="D578" s="90" t="str">
        <f>IF('Product List'!C578="","",'Product List'!C578)</f>
        <v/>
      </c>
      <c r="E578" s="90" t="str">
        <f>IF('Product List'!B578="","",'Product List'!B578)</f>
        <v/>
      </c>
    </row>
    <row r="579" spans="4:5">
      <c r="D579" s="90" t="str">
        <f>IF('Product List'!C579="","",'Product List'!C579)</f>
        <v/>
      </c>
      <c r="E579" s="90" t="str">
        <f>IF('Product List'!B579="","",'Product List'!B579)</f>
        <v/>
      </c>
    </row>
    <row r="580" spans="4:5">
      <c r="D580" s="90" t="str">
        <f>IF('Product List'!C580="","",'Product List'!C580)</f>
        <v/>
      </c>
      <c r="E580" s="90" t="str">
        <f>IF('Product List'!B580="","",'Product List'!B580)</f>
        <v/>
      </c>
    </row>
    <row r="581" spans="4:5">
      <c r="D581" s="90" t="str">
        <f>IF('Product List'!C581="","",'Product List'!C581)</f>
        <v/>
      </c>
      <c r="E581" s="90" t="str">
        <f>IF('Product List'!B581="","",'Product List'!B581)</f>
        <v/>
      </c>
    </row>
    <row r="582" spans="4:5">
      <c r="D582" s="90" t="str">
        <f>IF('Product List'!C582="","",'Product List'!C582)</f>
        <v/>
      </c>
      <c r="E582" s="90" t="str">
        <f>IF('Product List'!B582="","",'Product List'!B582)</f>
        <v/>
      </c>
    </row>
    <row r="583" spans="4:5">
      <c r="D583" s="90" t="str">
        <f>IF('Product List'!C583="","",'Product List'!C583)</f>
        <v/>
      </c>
      <c r="E583" s="90" t="str">
        <f>IF('Product List'!B583="","",'Product List'!B583)</f>
        <v/>
      </c>
    </row>
    <row r="584" spans="4:5">
      <c r="D584" s="90" t="str">
        <f>IF('Product List'!C584="","",'Product List'!C584)</f>
        <v/>
      </c>
      <c r="E584" s="90" t="str">
        <f>IF('Product List'!B584="","",'Product List'!B584)</f>
        <v/>
      </c>
    </row>
    <row r="585" spans="4:5">
      <c r="D585" s="90" t="str">
        <f>IF('Product List'!C585="","",'Product List'!C585)</f>
        <v/>
      </c>
      <c r="E585" s="90" t="str">
        <f>IF('Product List'!B585="","",'Product List'!B585)</f>
        <v/>
      </c>
    </row>
    <row r="586" spans="4:5">
      <c r="D586" s="90" t="str">
        <f>IF('Product List'!C586="","",'Product List'!C586)</f>
        <v/>
      </c>
      <c r="E586" s="90" t="str">
        <f>IF('Product List'!B586="","",'Product List'!B586)</f>
        <v/>
      </c>
    </row>
    <row r="587" spans="4:5">
      <c r="D587" s="90" t="str">
        <f>IF('Product List'!C587="","",'Product List'!C587)</f>
        <v/>
      </c>
      <c r="E587" s="90" t="str">
        <f>IF('Product List'!B587="","",'Product List'!B587)</f>
        <v/>
      </c>
    </row>
    <row r="588" spans="4:5">
      <c r="D588" s="90" t="str">
        <f>IF('Product List'!C588="","",'Product List'!C588)</f>
        <v/>
      </c>
      <c r="E588" s="90" t="str">
        <f>IF('Product List'!B588="","",'Product List'!B588)</f>
        <v/>
      </c>
    </row>
    <row r="589" spans="4:5">
      <c r="D589" s="90" t="str">
        <f>IF('Product List'!C589="","",'Product List'!C589)</f>
        <v/>
      </c>
      <c r="E589" s="90" t="str">
        <f>IF('Product List'!B589="","",'Product List'!B589)</f>
        <v/>
      </c>
    </row>
    <row r="590" spans="4:5">
      <c r="D590" s="90" t="str">
        <f>IF('Product List'!C590="","",'Product List'!C590)</f>
        <v/>
      </c>
      <c r="E590" s="90" t="str">
        <f>IF('Product List'!B590="","",'Product List'!B590)</f>
        <v/>
      </c>
    </row>
    <row r="591" spans="4:5">
      <c r="D591" s="90" t="str">
        <f>IF('Product List'!C591="","",'Product List'!C591)</f>
        <v/>
      </c>
      <c r="E591" s="90" t="str">
        <f>IF('Product List'!B591="","",'Product List'!B591)</f>
        <v/>
      </c>
    </row>
    <row r="592" spans="4:5">
      <c r="D592" s="90" t="str">
        <f>IF('Product List'!C592="","",'Product List'!C592)</f>
        <v/>
      </c>
      <c r="E592" s="90" t="str">
        <f>IF('Product List'!B592="","",'Product List'!B592)</f>
        <v/>
      </c>
    </row>
    <row r="593" spans="4:5">
      <c r="D593" s="90" t="str">
        <f>IF('Product List'!C593="","",'Product List'!C593)</f>
        <v/>
      </c>
      <c r="E593" s="90" t="str">
        <f>IF('Product List'!B593="","",'Product List'!B593)</f>
        <v/>
      </c>
    </row>
    <row r="594" spans="4:5">
      <c r="D594" s="90" t="str">
        <f>IF('Product List'!C594="","",'Product List'!C594)</f>
        <v/>
      </c>
      <c r="E594" s="90" t="str">
        <f>IF('Product List'!B594="","",'Product List'!B594)</f>
        <v/>
      </c>
    </row>
    <row r="595" spans="4:5">
      <c r="D595" s="90" t="str">
        <f>IF('Product List'!C595="","",'Product List'!C595)</f>
        <v/>
      </c>
      <c r="E595" s="90" t="str">
        <f>IF('Product List'!B595="","",'Product List'!B595)</f>
        <v/>
      </c>
    </row>
    <row r="596" spans="4:5">
      <c r="D596" s="90" t="str">
        <f>IF('Product List'!C596="","",'Product List'!C596)</f>
        <v/>
      </c>
      <c r="E596" s="90" t="str">
        <f>IF('Product List'!B596="","",'Product List'!B596)</f>
        <v/>
      </c>
    </row>
    <row r="597" spans="4:5">
      <c r="D597" s="90" t="str">
        <f>IF('Product List'!C597="","",'Product List'!C597)</f>
        <v/>
      </c>
      <c r="E597" s="90" t="str">
        <f>IF('Product List'!B597="","",'Product List'!B597)</f>
        <v/>
      </c>
    </row>
    <row r="598" spans="4:5">
      <c r="D598" s="90" t="str">
        <f>IF('Product List'!C598="","",'Product List'!C598)</f>
        <v/>
      </c>
      <c r="E598" s="90" t="str">
        <f>IF('Product List'!B598="","",'Product List'!B598)</f>
        <v/>
      </c>
    </row>
    <row r="599" spans="4:5">
      <c r="D599" s="90" t="str">
        <f>IF('Product List'!C599="","",'Product List'!C599)</f>
        <v/>
      </c>
      <c r="E599" s="90" t="str">
        <f>IF('Product List'!B599="","",'Product List'!B599)</f>
        <v/>
      </c>
    </row>
    <row r="600" spans="4:5">
      <c r="D600" s="90" t="str">
        <f>IF('Product List'!C600="","",'Product List'!C600)</f>
        <v/>
      </c>
      <c r="E600" s="90" t="str">
        <f>IF('Product List'!B600="","",'Product List'!B600)</f>
        <v/>
      </c>
    </row>
    <row r="601" spans="4:5">
      <c r="D601" s="90" t="str">
        <f>IF('Product List'!C601="","",'Product List'!C601)</f>
        <v/>
      </c>
      <c r="E601" s="90" t="str">
        <f>IF('Product List'!B601="","",'Product List'!B601)</f>
        <v/>
      </c>
    </row>
    <row r="602" spans="4:5">
      <c r="D602" s="90" t="str">
        <f>IF('Product List'!C602="","",'Product List'!C602)</f>
        <v/>
      </c>
      <c r="E602" s="90" t="str">
        <f>IF('Product List'!B602="","",'Product List'!B602)</f>
        <v/>
      </c>
    </row>
    <row r="603" spans="4:5">
      <c r="D603" s="90" t="str">
        <f>IF('Product List'!C603="","",'Product List'!C603)</f>
        <v/>
      </c>
      <c r="E603" s="90" t="str">
        <f>IF('Product List'!B603="","",'Product List'!B603)</f>
        <v/>
      </c>
    </row>
    <row r="604" spans="4:5">
      <c r="D604" s="90" t="str">
        <f>IF('Product List'!C604="","",'Product List'!C604)</f>
        <v/>
      </c>
      <c r="E604" s="90" t="str">
        <f>IF('Product List'!B604="","",'Product List'!B604)</f>
        <v/>
      </c>
    </row>
    <row r="605" spans="4:5">
      <c r="D605" s="90" t="str">
        <f>IF('Product List'!C605="","",'Product List'!C605)</f>
        <v/>
      </c>
      <c r="E605" s="90" t="str">
        <f>IF('Product List'!B605="","",'Product List'!B605)</f>
        <v/>
      </c>
    </row>
    <row r="606" spans="4:5">
      <c r="D606" s="90" t="str">
        <f>IF('Product List'!C606="","",'Product List'!C606)</f>
        <v/>
      </c>
      <c r="E606" s="90" t="str">
        <f>IF('Product List'!B606="","",'Product List'!B606)</f>
        <v/>
      </c>
    </row>
    <row r="607" spans="4:5">
      <c r="D607" s="90" t="str">
        <f>IF('Product List'!C607="","",'Product List'!C607)</f>
        <v/>
      </c>
      <c r="E607" s="90" t="str">
        <f>IF('Product List'!B607="","",'Product List'!B607)</f>
        <v/>
      </c>
    </row>
    <row r="608" spans="4:5">
      <c r="D608" s="90" t="str">
        <f>IF('Product List'!C608="","",'Product List'!C608)</f>
        <v/>
      </c>
      <c r="E608" s="90" t="str">
        <f>IF('Product List'!B608="","",'Product List'!B608)</f>
        <v/>
      </c>
    </row>
    <row r="609" spans="4:5">
      <c r="D609" s="90" t="str">
        <f>IF('Product List'!C609="","",'Product List'!C609)</f>
        <v/>
      </c>
      <c r="E609" s="90" t="str">
        <f>IF('Product List'!B609="","",'Product List'!B609)</f>
        <v/>
      </c>
    </row>
    <row r="610" spans="4:5">
      <c r="D610" s="90" t="str">
        <f>IF('Product List'!C610="","",'Product List'!C610)</f>
        <v/>
      </c>
      <c r="E610" s="90" t="str">
        <f>IF('Product List'!B610="","",'Product List'!B610)</f>
        <v/>
      </c>
    </row>
    <row r="611" spans="4:5">
      <c r="D611" s="90" t="str">
        <f>IF('Product List'!C611="","",'Product List'!C611)</f>
        <v/>
      </c>
      <c r="E611" s="90" t="str">
        <f>IF('Product List'!B611="","",'Product List'!B611)</f>
        <v/>
      </c>
    </row>
    <row r="612" spans="4:5">
      <c r="D612" s="90" t="str">
        <f>IF('Product List'!C612="","",'Product List'!C612)</f>
        <v/>
      </c>
      <c r="E612" s="90" t="str">
        <f>IF('Product List'!B612="","",'Product List'!B612)</f>
        <v/>
      </c>
    </row>
    <row r="613" spans="4:5">
      <c r="D613" s="90" t="str">
        <f>IF('Product List'!C613="","",'Product List'!C613)</f>
        <v/>
      </c>
      <c r="E613" s="90" t="str">
        <f>IF('Product List'!B613="","",'Product List'!B613)</f>
        <v/>
      </c>
    </row>
    <row r="614" spans="4:5">
      <c r="D614" s="90" t="str">
        <f>IF('Product List'!C614="","",'Product List'!C614)</f>
        <v/>
      </c>
      <c r="E614" s="90" t="str">
        <f>IF('Product List'!B614="","",'Product List'!B614)</f>
        <v/>
      </c>
    </row>
    <row r="615" spans="4:5">
      <c r="D615" s="90" t="str">
        <f>IF('Product List'!C615="","",'Product List'!C615)</f>
        <v/>
      </c>
      <c r="E615" s="90" t="str">
        <f>IF('Product List'!B615="","",'Product List'!B615)</f>
        <v/>
      </c>
    </row>
    <row r="616" spans="4:5">
      <c r="D616" s="90" t="str">
        <f>IF('Product List'!C616="","",'Product List'!C616)</f>
        <v/>
      </c>
      <c r="E616" s="90" t="str">
        <f>IF('Product List'!B616="","",'Product List'!B616)</f>
        <v/>
      </c>
    </row>
    <row r="617" spans="4:5">
      <c r="D617" s="90" t="str">
        <f>IF('Product List'!C617="","",'Product List'!C617)</f>
        <v/>
      </c>
      <c r="E617" s="90" t="str">
        <f>IF('Product List'!B617="","",'Product List'!B617)</f>
        <v/>
      </c>
    </row>
    <row r="618" spans="4:5">
      <c r="D618" s="90" t="str">
        <f>IF('Product List'!C618="","",'Product List'!C618)</f>
        <v/>
      </c>
      <c r="E618" s="90" t="str">
        <f>IF('Product List'!B618="","",'Product List'!B618)</f>
        <v/>
      </c>
    </row>
    <row r="619" spans="4:5">
      <c r="D619" s="90" t="str">
        <f>IF('Product List'!C619="","",'Product List'!C619)</f>
        <v/>
      </c>
      <c r="E619" s="90" t="str">
        <f>IF('Product List'!B619="","",'Product List'!B619)</f>
        <v/>
      </c>
    </row>
    <row r="620" spans="4:5">
      <c r="D620" s="90" t="str">
        <f>IF('Product List'!C620="","",'Product List'!C620)</f>
        <v/>
      </c>
      <c r="E620" s="90" t="str">
        <f>IF('Product List'!B620="","",'Product List'!B620)</f>
        <v/>
      </c>
    </row>
    <row r="621" spans="4:5">
      <c r="D621" s="90" t="str">
        <f>IF('Product List'!C621="","",'Product List'!C621)</f>
        <v/>
      </c>
      <c r="E621" s="90" t="str">
        <f>IF('Product List'!B621="","",'Product List'!B621)</f>
        <v/>
      </c>
    </row>
    <row r="622" spans="4:5">
      <c r="D622" s="90" t="str">
        <f>IF('Product List'!C622="","",'Product List'!C622)</f>
        <v/>
      </c>
      <c r="E622" s="90" t="str">
        <f>IF('Product List'!B622="","",'Product List'!B622)</f>
        <v/>
      </c>
    </row>
    <row r="623" spans="4:5">
      <c r="D623" s="90" t="str">
        <f>IF('Product List'!C623="","",'Product List'!C623)</f>
        <v/>
      </c>
      <c r="E623" s="90" t="str">
        <f>IF('Product List'!B623="","",'Product List'!B623)</f>
        <v/>
      </c>
    </row>
    <row r="624" spans="4:5">
      <c r="D624" s="90" t="str">
        <f>IF('Product List'!C624="","",'Product List'!C624)</f>
        <v/>
      </c>
      <c r="E624" s="90" t="str">
        <f>IF('Product List'!B624="","",'Product List'!B624)</f>
        <v/>
      </c>
    </row>
    <row r="625" spans="4:5">
      <c r="D625" s="90" t="str">
        <f>IF('Product List'!C625="","",'Product List'!C625)</f>
        <v/>
      </c>
      <c r="E625" s="90" t="str">
        <f>IF('Product List'!B625="","",'Product List'!B625)</f>
        <v/>
      </c>
    </row>
    <row r="626" spans="4:5">
      <c r="D626" s="90" t="str">
        <f>IF('Product List'!C626="","",'Product List'!C626)</f>
        <v/>
      </c>
      <c r="E626" s="90" t="str">
        <f>IF('Product List'!B626="","",'Product List'!B626)</f>
        <v/>
      </c>
    </row>
    <row r="627" spans="4:5">
      <c r="D627" s="90" t="str">
        <f>IF('Product List'!C627="","",'Product List'!C627)</f>
        <v/>
      </c>
      <c r="E627" s="90" t="str">
        <f>IF('Product List'!B627="","",'Product List'!B627)</f>
        <v/>
      </c>
    </row>
    <row r="628" spans="4:5">
      <c r="D628" s="90" t="str">
        <f>IF('Product List'!C628="","",'Product List'!C628)</f>
        <v/>
      </c>
      <c r="E628" s="90" t="str">
        <f>IF('Product List'!B628="","",'Product List'!B628)</f>
        <v/>
      </c>
    </row>
    <row r="629" spans="4:5">
      <c r="D629" s="90" t="str">
        <f>IF('Product List'!C629="","",'Product List'!C629)</f>
        <v/>
      </c>
      <c r="E629" s="90" t="str">
        <f>IF('Product List'!B629="","",'Product List'!B629)</f>
        <v/>
      </c>
    </row>
    <row r="630" spans="4:5">
      <c r="D630" s="90" t="str">
        <f>IF('Product List'!C630="","",'Product List'!C630)</f>
        <v/>
      </c>
      <c r="E630" s="90" t="str">
        <f>IF('Product List'!B630="","",'Product List'!B630)</f>
        <v/>
      </c>
    </row>
    <row r="631" spans="4:5">
      <c r="D631" s="90" t="str">
        <f>IF('Product List'!C631="","",'Product List'!C631)</f>
        <v/>
      </c>
      <c r="E631" s="90" t="str">
        <f>IF('Product List'!B631="","",'Product List'!B631)</f>
        <v/>
      </c>
    </row>
    <row r="632" spans="4:5">
      <c r="D632" s="90" t="str">
        <f>IF('Product List'!C632="","",'Product List'!C632)</f>
        <v/>
      </c>
      <c r="E632" s="90" t="str">
        <f>IF('Product List'!B632="","",'Product List'!B632)</f>
        <v/>
      </c>
    </row>
    <row r="633" spans="4:5">
      <c r="D633" s="90" t="str">
        <f>IF('Product List'!C633="","",'Product List'!C633)</f>
        <v/>
      </c>
      <c r="E633" s="90" t="str">
        <f>IF('Product List'!B633="","",'Product List'!B633)</f>
        <v/>
      </c>
    </row>
    <row r="634" spans="4:5">
      <c r="D634" s="90" t="str">
        <f>IF('Product List'!C634="","",'Product List'!C634)</f>
        <v/>
      </c>
      <c r="E634" s="90" t="str">
        <f>IF('Product List'!B634="","",'Product List'!B634)</f>
        <v/>
      </c>
    </row>
    <row r="635" spans="4:5">
      <c r="D635" s="90" t="str">
        <f>IF('Product List'!C635="","",'Product List'!C635)</f>
        <v/>
      </c>
      <c r="E635" s="90" t="str">
        <f>IF('Product List'!B635="","",'Product List'!B635)</f>
        <v/>
      </c>
    </row>
    <row r="636" spans="4:5">
      <c r="D636" s="90" t="str">
        <f>IF('Product List'!C636="","",'Product List'!C636)</f>
        <v/>
      </c>
      <c r="E636" s="90" t="str">
        <f>IF('Product List'!B636="","",'Product List'!B636)</f>
        <v/>
      </c>
    </row>
    <row r="637" spans="4:5">
      <c r="D637" s="90" t="str">
        <f>IF('Product List'!C637="","",'Product List'!C637)</f>
        <v/>
      </c>
      <c r="E637" s="90" t="str">
        <f>IF('Product List'!B637="","",'Product List'!B637)</f>
        <v/>
      </c>
    </row>
    <row r="638" spans="4:5">
      <c r="D638" s="90" t="str">
        <f>IF('Product List'!C638="","",'Product List'!C638)</f>
        <v/>
      </c>
      <c r="E638" s="90" t="str">
        <f>IF('Product List'!B638="","",'Product List'!B638)</f>
        <v/>
      </c>
    </row>
    <row r="639" spans="4:5">
      <c r="D639" s="90" t="str">
        <f>IF('Product List'!C639="","",'Product List'!C639)</f>
        <v/>
      </c>
      <c r="E639" s="90" t="str">
        <f>IF('Product List'!B639="","",'Product List'!B639)</f>
        <v/>
      </c>
    </row>
    <row r="640" spans="4:5">
      <c r="D640" s="90" t="str">
        <f>IF('Product List'!C640="","",'Product List'!C640)</f>
        <v/>
      </c>
      <c r="E640" s="90" t="str">
        <f>IF('Product List'!B640="","",'Product List'!B640)</f>
        <v/>
      </c>
    </row>
    <row r="641" spans="4:5">
      <c r="D641" s="90" t="str">
        <f>IF('Product List'!C641="","",'Product List'!C641)</f>
        <v/>
      </c>
      <c r="E641" s="90" t="str">
        <f>IF('Product List'!B641="","",'Product List'!B641)</f>
        <v/>
      </c>
    </row>
    <row r="642" spans="4:5">
      <c r="D642" s="90" t="str">
        <f>IF('Product List'!C642="","",'Product List'!C642)</f>
        <v/>
      </c>
      <c r="E642" s="90" t="str">
        <f>IF('Product List'!B642="","",'Product List'!B642)</f>
        <v/>
      </c>
    </row>
    <row r="643" spans="4:5">
      <c r="D643" s="90" t="str">
        <f>IF('Product List'!C643="","",'Product List'!C643)</f>
        <v/>
      </c>
      <c r="E643" s="90" t="str">
        <f>IF('Product List'!B643="","",'Product List'!B643)</f>
        <v/>
      </c>
    </row>
    <row r="644" spans="4:5">
      <c r="D644" s="90" t="str">
        <f>IF('Product List'!C644="","",'Product List'!C644)</f>
        <v/>
      </c>
      <c r="E644" s="90" t="str">
        <f>IF('Product List'!B644="","",'Product List'!B644)</f>
        <v/>
      </c>
    </row>
    <row r="645" spans="4:5">
      <c r="D645" s="90" t="str">
        <f>IF('Product List'!C645="","",'Product List'!C645)</f>
        <v/>
      </c>
      <c r="E645" s="90" t="str">
        <f>IF('Product List'!B645="","",'Product List'!B645)</f>
        <v/>
      </c>
    </row>
    <row r="646" spans="4:5">
      <c r="D646" s="90" t="str">
        <f>IF('Product List'!C646="","",'Product List'!C646)</f>
        <v/>
      </c>
      <c r="E646" s="90" t="str">
        <f>IF('Product List'!B646="","",'Product List'!B646)</f>
        <v/>
      </c>
    </row>
    <row r="647" spans="4:5">
      <c r="D647" s="90" t="str">
        <f>IF('Product List'!C647="","",'Product List'!C647)</f>
        <v/>
      </c>
      <c r="E647" s="90" t="str">
        <f>IF('Product List'!B647="","",'Product List'!B647)</f>
        <v/>
      </c>
    </row>
    <row r="648" spans="4:5">
      <c r="D648" s="90" t="str">
        <f>IF('Product List'!C648="","",'Product List'!C648)</f>
        <v/>
      </c>
      <c r="E648" s="90" t="str">
        <f>IF('Product List'!B648="","",'Product List'!B648)</f>
        <v/>
      </c>
    </row>
    <row r="649" spans="4:5">
      <c r="D649" s="90" t="str">
        <f>IF('Product List'!C649="","",'Product List'!C649)</f>
        <v/>
      </c>
      <c r="E649" s="90" t="str">
        <f>IF('Product List'!B649="","",'Product List'!B649)</f>
        <v/>
      </c>
    </row>
    <row r="650" spans="4:5">
      <c r="D650" s="90" t="str">
        <f>IF('Product List'!C650="","",'Product List'!C650)</f>
        <v/>
      </c>
      <c r="E650" s="90" t="str">
        <f>IF('Product List'!B650="","",'Product List'!B650)</f>
        <v/>
      </c>
    </row>
    <row r="651" spans="4:5">
      <c r="D651" s="90" t="str">
        <f>IF('Product List'!C651="","",'Product List'!C651)</f>
        <v/>
      </c>
      <c r="E651" s="90" t="str">
        <f>IF('Product List'!B651="","",'Product List'!B651)</f>
        <v/>
      </c>
    </row>
    <row r="652" spans="4:5">
      <c r="D652" s="90" t="str">
        <f>IF('Product List'!C652="","",'Product List'!C652)</f>
        <v/>
      </c>
      <c r="E652" s="90" t="str">
        <f>IF('Product List'!B652="","",'Product List'!B652)</f>
        <v/>
      </c>
    </row>
    <row r="653" spans="4:5">
      <c r="D653" s="90" t="str">
        <f>IF('Product List'!C653="","",'Product List'!C653)</f>
        <v/>
      </c>
      <c r="E653" s="90" t="str">
        <f>IF('Product List'!B653="","",'Product List'!B653)</f>
        <v/>
      </c>
    </row>
    <row r="654" spans="4:5">
      <c r="D654" s="90" t="str">
        <f>IF('Product List'!C654="","",'Product List'!C654)</f>
        <v/>
      </c>
      <c r="E654" s="90" t="str">
        <f>IF('Product List'!B654="","",'Product List'!B654)</f>
        <v/>
      </c>
    </row>
    <row r="655" spans="4:5">
      <c r="D655" s="90" t="str">
        <f>IF('Product List'!C655="","",'Product List'!C655)</f>
        <v/>
      </c>
      <c r="E655" s="90" t="str">
        <f>IF('Product List'!B655="","",'Product List'!B655)</f>
        <v/>
      </c>
    </row>
    <row r="656" spans="4:5">
      <c r="D656" s="90" t="str">
        <f>IF('Product List'!C656="","",'Product List'!C656)</f>
        <v/>
      </c>
      <c r="E656" s="90" t="str">
        <f>IF('Product List'!B656="","",'Product List'!B656)</f>
        <v/>
      </c>
    </row>
    <row r="657" spans="4:5">
      <c r="D657" s="90" t="str">
        <f>IF('Product List'!C657="","",'Product List'!C657)</f>
        <v/>
      </c>
      <c r="E657" s="90" t="str">
        <f>IF('Product List'!B657="","",'Product List'!B657)</f>
        <v/>
      </c>
    </row>
    <row r="658" spans="4:5">
      <c r="D658" s="90" t="str">
        <f>IF('Product List'!C658="","",'Product List'!C658)</f>
        <v/>
      </c>
      <c r="E658" s="90" t="str">
        <f>IF('Product List'!B658="","",'Product List'!B658)</f>
        <v/>
      </c>
    </row>
    <row r="659" spans="4:5">
      <c r="D659" s="90" t="str">
        <f>IF('Product List'!C659="","",'Product List'!C659)</f>
        <v/>
      </c>
      <c r="E659" s="90" t="str">
        <f>IF('Product List'!B659="","",'Product List'!B659)</f>
        <v/>
      </c>
    </row>
    <row r="660" spans="4:5">
      <c r="D660" s="90" t="str">
        <f>IF('Product List'!C660="","",'Product List'!C660)</f>
        <v/>
      </c>
      <c r="E660" s="90" t="str">
        <f>IF('Product List'!B660="","",'Product List'!B660)</f>
        <v/>
      </c>
    </row>
    <row r="661" spans="4:5">
      <c r="D661" s="90" t="str">
        <f>IF('Product List'!C661="","",'Product List'!C661)</f>
        <v/>
      </c>
      <c r="E661" s="90" t="str">
        <f>IF('Product List'!B661="","",'Product List'!B661)</f>
        <v/>
      </c>
    </row>
    <row r="662" spans="4:5">
      <c r="D662" s="90" t="str">
        <f>IF('Product List'!C662="","",'Product List'!C662)</f>
        <v/>
      </c>
      <c r="E662" s="90" t="str">
        <f>IF('Product List'!B662="","",'Product List'!B662)</f>
        <v/>
      </c>
    </row>
    <row r="663" spans="4:5">
      <c r="D663" s="90" t="str">
        <f>IF('Product List'!C663="","",'Product List'!C663)</f>
        <v/>
      </c>
      <c r="E663" s="90" t="str">
        <f>IF('Product List'!B663="","",'Product List'!B663)</f>
        <v/>
      </c>
    </row>
    <row r="664" spans="4:5">
      <c r="D664" s="90" t="str">
        <f>IF('Product List'!C664="","",'Product List'!C664)</f>
        <v/>
      </c>
      <c r="E664" s="90" t="str">
        <f>IF('Product List'!B664="","",'Product List'!B664)</f>
        <v/>
      </c>
    </row>
    <row r="665" spans="4:5">
      <c r="D665" s="90" t="str">
        <f>IF('Product List'!C665="","",'Product List'!C665)</f>
        <v/>
      </c>
      <c r="E665" s="90" t="str">
        <f>IF('Product List'!B665="","",'Product List'!B665)</f>
        <v/>
      </c>
    </row>
    <row r="666" spans="4:5">
      <c r="D666" s="90" t="str">
        <f>IF('Product List'!C666="","",'Product List'!C666)</f>
        <v/>
      </c>
      <c r="E666" s="90" t="str">
        <f>IF('Product List'!B666="","",'Product List'!B666)</f>
        <v/>
      </c>
    </row>
    <row r="667" spans="4:5">
      <c r="D667" s="90" t="str">
        <f>IF('Product List'!C667="","",'Product List'!C667)</f>
        <v/>
      </c>
      <c r="E667" s="90" t="str">
        <f>IF('Product List'!B667="","",'Product List'!B667)</f>
        <v/>
      </c>
    </row>
    <row r="668" spans="4:5">
      <c r="D668" s="90" t="str">
        <f>IF('Product List'!C668="","",'Product List'!C668)</f>
        <v/>
      </c>
      <c r="E668" s="90" t="str">
        <f>IF('Product List'!B668="","",'Product List'!B668)</f>
        <v/>
      </c>
    </row>
    <row r="669" spans="4:5">
      <c r="D669" s="90" t="str">
        <f>IF('Product List'!C669="","",'Product List'!C669)</f>
        <v/>
      </c>
      <c r="E669" s="90" t="str">
        <f>IF('Product List'!B669="","",'Product List'!B669)</f>
        <v/>
      </c>
    </row>
    <row r="670" spans="4:5">
      <c r="D670" s="90" t="str">
        <f>IF('Product List'!C670="","",'Product List'!C670)</f>
        <v/>
      </c>
      <c r="E670" s="90" t="str">
        <f>IF('Product List'!B670="","",'Product List'!B670)</f>
        <v/>
      </c>
    </row>
    <row r="671" spans="4:5">
      <c r="D671" s="90" t="str">
        <f>IF('Product List'!C671="","",'Product List'!C671)</f>
        <v/>
      </c>
      <c r="E671" s="90" t="str">
        <f>IF('Product List'!B671="","",'Product List'!B671)</f>
        <v/>
      </c>
    </row>
    <row r="672" spans="4:5">
      <c r="D672" s="90" t="str">
        <f>IF('Product List'!C672="","",'Product List'!C672)</f>
        <v/>
      </c>
      <c r="E672" s="90" t="str">
        <f>IF('Product List'!B672="","",'Product List'!B672)</f>
        <v/>
      </c>
    </row>
    <row r="673" spans="4:5">
      <c r="D673" s="90" t="str">
        <f>IF('Product List'!C673="","",'Product List'!C673)</f>
        <v/>
      </c>
      <c r="E673" s="90" t="str">
        <f>IF('Product List'!B673="","",'Product List'!B673)</f>
        <v/>
      </c>
    </row>
    <row r="674" spans="4:5">
      <c r="D674" s="90" t="str">
        <f>IF('Product List'!C674="","",'Product List'!C674)</f>
        <v/>
      </c>
      <c r="E674" s="90" t="str">
        <f>IF('Product List'!B674="","",'Product List'!B674)</f>
        <v/>
      </c>
    </row>
    <row r="675" spans="4:5">
      <c r="D675" s="90" t="str">
        <f>IF('Product List'!C675="","",'Product List'!C675)</f>
        <v/>
      </c>
      <c r="E675" s="90" t="str">
        <f>IF('Product List'!B675="","",'Product List'!B675)</f>
        <v/>
      </c>
    </row>
    <row r="676" spans="4:5">
      <c r="D676" s="90" t="str">
        <f>IF('Product List'!C676="","",'Product List'!C676)</f>
        <v/>
      </c>
      <c r="E676" s="90" t="str">
        <f>IF('Product List'!B676="","",'Product List'!B676)</f>
        <v/>
      </c>
    </row>
    <row r="677" spans="4:5">
      <c r="D677" s="90" t="str">
        <f>IF('Product List'!C677="","",'Product List'!C677)</f>
        <v/>
      </c>
      <c r="E677" s="90" t="str">
        <f>IF('Product List'!B677="","",'Product List'!B677)</f>
        <v/>
      </c>
    </row>
    <row r="678" spans="4:5">
      <c r="D678" s="90" t="str">
        <f>IF('Product List'!C678="","",'Product List'!C678)</f>
        <v/>
      </c>
      <c r="E678" s="90" t="str">
        <f>IF('Product List'!B678="","",'Product List'!B678)</f>
        <v/>
      </c>
    </row>
    <row r="679" spans="4:5">
      <c r="D679" s="90" t="str">
        <f>IF('Product List'!C679="","",'Product List'!C679)</f>
        <v/>
      </c>
      <c r="E679" s="90" t="str">
        <f>IF('Product List'!B679="","",'Product List'!B679)</f>
        <v/>
      </c>
    </row>
    <row r="680" spans="4:5">
      <c r="D680" s="90" t="str">
        <f>IF('Product List'!C680="","",'Product List'!C680)</f>
        <v/>
      </c>
      <c r="E680" s="90" t="str">
        <f>IF('Product List'!B680="","",'Product List'!B680)</f>
        <v/>
      </c>
    </row>
    <row r="681" spans="4:5">
      <c r="D681" s="90" t="str">
        <f>IF('Product List'!C681="","",'Product List'!C681)</f>
        <v/>
      </c>
      <c r="E681" s="90" t="str">
        <f>IF('Product List'!B681="","",'Product List'!B681)</f>
        <v/>
      </c>
    </row>
    <row r="682" spans="4:5">
      <c r="D682" s="90" t="str">
        <f>IF('Product List'!C682="","",'Product List'!C682)</f>
        <v/>
      </c>
      <c r="E682" s="90" t="str">
        <f>IF('Product List'!B682="","",'Product List'!B682)</f>
        <v/>
      </c>
    </row>
    <row r="683" spans="4:5">
      <c r="D683" s="90" t="str">
        <f>IF('Product List'!C683="","",'Product List'!C683)</f>
        <v/>
      </c>
      <c r="E683" s="90" t="str">
        <f>IF('Product List'!B683="","",'Product List'!B683)</f>
        <v/>
      </c>
    </row>
    <row r="684" spans="4:5">
      <c r="D684" s="90" t="str">
        <f>IF('Product List'!C684="","",'Product List'!C684)</f>
        <v/>
      </c>
      <c r="E684" s="90" t="str">
        <f>IF('Product List'!B684="","",'Product List'!B684)</f>
        <v/>
      </c>
    </row>
    <row r="685" spans="4:5">
      <c r="D685" s="90" t="str">
        <f>IF('Product List'!C685="","",'Product List'!C685)</f>
        <v/>
      </c>
      <c r="E685" s="90" t="str">
        <f>IF('Product List'!B685="","",'Product List'!B685)</f>
        <v/>
      </c>
    </row>
    <row r="686" spans="4:5">
      <c r="D686" s="90" t="str">
        <f>IF('Product List'!C686="","",'Product List'!C686)</f>
        <v/>
      </c>
      <c r="E686" s="90" t="str">
        <f>IF('Product List'!B686="","",'Product List'!B686)</f>
        <v/>
      </c>
    </row>
    <row r="687" spans="4:5">
      <c r="D687" s="90" t="str">
        <f>IF('Product List'!C687="","",'Product List'!C687)</f>
        <v/>
      </c>
      <c r="E687" s="90" t="str">
        <f>IF('Product List'!B687="","",'Product List'!B687)</f>
        <v/>
      </c>
    </row>
    <row r="688" spans="4:5">
      <c r="D688" s="90" t="str">
        <f>IF('Product List'!C688="","",'Product List'!C688)</f>
        <v/>
      </c>
      <c r="E688" s="90" t="str">
        <f>IF('Product List'!B688="","",'Product List'!B688)</f>
        <v/>
      </c>
    </row>
    <row r="689" spans="4:5">
      <c r="D689" s="90" t="str">
        <f>IF('Product List'!C689="","",'Product List'!C689)</f>
        <v/>
      </c>
      <c r="E689" s="90" t="str">
        <f>IF('Product List'!B689="","",'Product List'!B689)</f>
        <v/>
      </c>
    </row>
    <row r="690" spans="4:5">
      <c r="D690" s="90" t="str">
        <f>IF('Product List'!C690="","",'Product List'!C690)</f>
        <v/>
      </c>
      <c r="E690" s="90" t="str">
        <f>IF('Product List'!B690="","",'Product List'!B690)</f>
        <v/>
      </c>
    </row>
    <row r="691" spans="4:5">
      <c r="D691" s="90" t="str">
        <f>IF('Product List'!C691="","",'Product List'!C691)</f>
        <v/>
      </c>
      <c r="E691" s="90" t="str">
        <f>IF('Product List'!B691="","",'Product List'!B691)</f>
        <v/>
      </c>
    </row>
    <row r="692" spans="4:5">
      <c r="D692" s="90" t="str">
        <f>IF('Product List'!C692="","",'Product List'!C692)</f>
        <v/>
      </c>
      <c r="E692" s="90" t="str">
        <f>IF('Product List'!B692="","",'Product List'!B692)</f>
        <v/>
      </c>
    </row>
    <row r="693" spans="4:5">
      <c r="D693" s="90" t="str">
        <f>IF('Product List'!C693="","",'Product List'!C693)</f>
        <v/>
      </c>
      <c r="E693" s="90" t="str">
        <f>IF('Product List'!B693="","",'Product List'!B693)</f>
        <v/>
      </c>
    </row>
    <row r="694" spans="4:5">
      <c r="D694" s="90" t="str">
        <f>IF('Product List'!C694="","",'Product List'!C694)</f>
        <v/>
      </c>
      <c r="E694" s="90" t="str">
        <f>IF('Product List'!B694="","",'Product List'!B694)</f>
        <v/>
      </c>
    </row>
    <row r="695" spans="4:5">
      <c r="D695" s="90" t="str">
        <f>IF('Product List'!C695="","",'Product List'!C695)</f>
        <v/>
      </c>
      <c r="E695" s="90" t="str">
        <f>IF('Product List'!B695="","",'Product List'!B695)</f>
        <v/>
      </c>
    </row>
    <row r="696" spans="4:5">
      <c r="D696" s="90" t="str">
        <f>IF('Product List'!C696="","",'Product List'!C696)</f>
        <v/>
      </c>
      <c r="E696" s="90" t="str">
        <f>IF('Product List'!B696="","",'Product List'!B696)</f>
        <v/>
      </c>
    </row>
    <row r="697" spans="4:5">
      <c r="D697" s="90" t="str">
        <f>IF('Product List'!C697="","",'Product List'!C697)</f>
        <v/>
      </c>
      <c r="E697" s="90" t="str">
        <f>IF('Product List'!B697="","",'Product List'!B697)</f>
        <v/>
      </c>
    </row>
    <row r="698" spans="4:5">
      <c r="D698" s="90" t="str">
        <f>IF('Product List'!C698="","",'Product List'!C698)</f>
        <v/>
      </c>
      <c r="E698" s="90" t="str">
        <f>IF('Product List'!B698="","",'Product List'!B698)</f>
        <v/>
      </c>
    </row>
    <row r="699" spans="4:5">
      <c r="D699" s="90" t="str">
        <f>IF('Product List'!C699="","",'Product List'!C699)</f>
        <v/>
      </c>
      <c r="E699" s="90" t="str">
        <f>IF('Product List'!B699="","",'Product List'!B699)</f>
        <v/>
      </c>
    </row>
    <row r="700" spans="4:5">
      <c r="D700" s="90" t="str">
        <f>IF('Product List'!C700="","",'Product List'!C700)</f>
        <v/>
      </c>
      <c r="E700" s="90" t="str">
        <f>IF('Product List'!B700="","",'Product List'!B700)</f>
        <v/>
      </c>
    </row>
    <row r="701" spans="4:5">
      <c r="D701" s="90" t="str">
        <f>IF('Product List'!C701="","",'Product List'!C701)</f>
        <v/>
      </c>
      <c r="E701" s="90" t="str">
        <f>IF('Product List'!B701="","",'Product List'!B701)</f>
        <v/>
      </c>
    </row>
    <row r="702" spans="4:5">
      <c r="D702" s="90" t="str">
        <f>IF('Product List'!C702="","",'Product List'!C702)</f>
        <v/>
      </c>
      <c r="E702" s="90" t="str">
        <f>IF('Product List'!B702="","",'Product List'!B702)</f>
        <v/>
      </c>
    </row>
    <row r="703" spans="4:5">
      <c r="D703" s="90" t="str">
        <f>IF('Product List'!C703="","",'Product List'!C703)</f>
        <v/>
      </c>
      <c r="E703" s="90" t="str">
        <f>IF('Product List'!B703="","",'Product List'!B703)</f>
        <v/>
      </c>
    </row>
    <row r="704" spans="4:5">
      <c r="D704" s="90" t="str">
        <f>IF('Product List'!C704="","",'Product List'!C704)</f>
        <v/>
      </c>
      <c r="E704" s="90" t="str">
        <f>IF('Product List'!B704="","",'Product List'!B704)</f>
        <v/>
      </c>
    </row>
    <row r="705" spans="4:5">
      <c r="D705" s="90" t="str">
        <f>IF('Product List'!C705="","",'Product List'!C705)</f>
        <v/>
      </c>
      <c r="E705" s="90" t="str">
        <f>IF('Product List'!B705="","",'Product List'!B705)</f>
        <v/>
      </c>
    </row>
    <row r="706" spans="4:5">
      <c r="D706" s="90" t="str">
        <f>IF('Product List'!C706="","",'Product List'!C706)</f>
        <v/>
      </c>
      <c r="E706" s="90" t="str">
        <f>IF('Product List'!B706="","",'Product List'!B706)</f>
        <v/>
      </c>
    </row>
    <row r="707" spans="4:5">
      <c r="D707" s="90" t="str">
        <f>IF('Product List'!C707="","",'Product List'!C707)</f>
        <v/>
      </c>
      <c r="E707" s="90" t="str">
        <f>IF('Product List'!B707="","",'Product List'!B707)</f>
        <v/>
      </c>
    </row>
    <row r="708" spans="4:5">
      <c r="D708" s="90" t="str">
        <f>IF('Product List'!C708="","",'Product List'!C708)</f>
        <v/>
      </c>
      <c r="E708" s="90" t="str">
        <f>IF('Product List'!B708="","",'Product List'!B708)</f>
        <v/>
      </c>
    </row>
    <row r="709" spans="4:5">
      <c r="D709" s="90" t="str">
        <f>IF('Product List'!C709="","",'Product List'!C709)</f>
        <v/>
      </c>
      <c r="E709" s="90" t="str">
        <f>IF('Product List'!B709="","",'Product List'!B709)</f>
        <v/>
      </c>
    </row>
    <row r="710" spans="4:5">
      <c r="D710" s="90" t="str">
        <f>IF('Product List'!C710="","",'Product List'!C710)</f>
        <v/>
      </c>
      <c r="E710" s="90" t="str">
        <f>IF('Product List'!B710="","",'Product List'!B710)</f>
        <v/>
      </c>
    </row>
    <row r="711" spans="4:5">
      <c r="D711" s="90" t="str">
        <f>IF('Product List'!C711="","",'Product List'!C711)</f>
        <v/>
      </c>
      <c r="E711" s="90" t="str">
        <f>IF('Product List'!B711="","",'Product List'!B711)</f>
        <v/>
      </c>
    </row>
    <row r="712" spans="4:5">
      <c r="D712" s="90" t="str">
        <f>IF('Product List'!C712="","",'Product List'!C712)</f>
        <v/>
      </c>
      <c r="E712" s="90" t="str">
        <f>IF('Product List'!B712="","",'Product List'!B712)</f>
        <v/>
      </c>
    </row>
    <row r="713" spans="4:5">
      <c r="D713" s="90" t="str">
        <f>IF('Product List'!C713="","",'Product List'!C713)</f>
        <v/>
      </c>
      <c r="E713" s="90" t="str">
        <f>IF('Product List'!B713="","",'Product List'!B713)</f>
        <v/>
      </c>
    </row>
    <row r="714" spans="4:5">
      <c r="D714" s="90" t="str">
        <f>IF('Product List'!C714="","",'Product List'!C714)</f>
        <v/>
      </c>
      <c r="E714" s="90" t="str">
        <f>IF('Product List'!B714="","",'Product List'!B714)</f>
        <v/>
      </c>
    </row>
    <row r="715" spans="4:5">
      <c r="D715" s="90" t="str">
        <f>IF('Product List'!C715="","",'Product List'!C715)</f>
        <v/>
      </c>
      <c r="E715" s="90" t="str">
        <f>IF('Product List'!B715="","",'Product List'!B715)</f>
        <v/>
      </c>
    </row>
    <row r="716" spans="4:5">
      <c r="D716" s="90" t="str">
        <f>IF('Product List'!C716="","",'Product List'!C716)</f>
        <v/>
      </c>
      <c r="E716" s="90" t="str">
        <f>IF('Product List'!B716="","",'Product List'!B716)</f>
        <v/>
      </c>
    </row>
    <row r="717" spans="4:5">
      <c r="D717" s="90" t="str">
        <f>IF('Product List'!C717="","",'Product List'!C717)</f>
        <v/>
      </c>
      <c r="E717" s="90" t="str">
        <f>IF('Product List'!B717="","",'Product List'!B717)</f>
        <v/>
      </c>
    </row>
    <row r="718" spans="4:5">
      <c r="D718" s="90" t="str">
        <f>IF('Product List'!C718="","",'Product List'!C718)</f>
        <v/>
      </c>
      <c r="E718" s="90" t="str">
        <f>IF('Product List'!B718="","",'Product List'!B718)</f>
        <v/>
      </c>
    </row>
    <row r="719" spans="4:5">
      <c r="D719" s="90" t="str">
        <f>IF('Product List'!C719="","",'Product List'!C719)</f>
        <v/>
      </c>
      <c r="E719" s="90" t="str">
        <f>IF('Product List'!B719="","",'Product List'!B719)</f>
        <v/>
      </c>
    </row>
    <row r="720" spans="4:5">
      <c r="D720" s="90" t="str">
        <f>IF('Product List'!C720="","",'Product List'!C720)</f>
        <v/>
      </c>
      <c r="E720" s="90" t="str">
        <f>IF('Product List'!B720="","",'Product List'!B720)</f>
        <v/>
      </c>
    </row>
    <row r="721" spans="4:5">
      <c r="D721" s="90" t="str">
        <f>IF('Product List'!C721="","",'Product List'!C721)</f>
        <v/>
      </c>
      <c r="E721" s="90" t="str">
        <f>IF('Product List'!B721="","",'Product List'!B721)</f>
        <v/>
      </c>
    </row>
    <row r="722" spans="4:5">
      <c r="D722" s="90" t="str">
        <f>IF('Product List'!C722="","",'Product List'!C722)</f>
        <v/>
      </c>
      <c r="E722" s="90" t="str">
        <f>IF('Product List'!B722="","",'Product List'!B722)</f>
        <v/>
      </c>
    </row>
    <row r="723" spans="4:5">
      <c r="D723" s="90" t="str">
        <f>IF('Product List'!C723="","",'Product List'!C723)</f>
        <v/>
      </c>
      <c r="E723" s="90" t="str">
        <f>IF('Product List'!B723="","",'Product List'!B723)</f>
        <v/>
      </c>
    </row>
    <row r="724" spans="4:5">
      <c r="D724" s="90" t="str">
        <f>IF('Product List'!C724="","",'Product List'!C724)</f>
        <v/>
      </c>
      <c r="E724" s="90" t="str">
        <f>IF('Product List'!B724="","",'Product List'!B724)</f>
        <v/>
      </c>
    </row>
    <row r="725" spans="4:5">
      <c r="D725" s="90" t="str">
        <f>IF('Product List'!C725="","",'Product List'!C725)</f>
        <v/>
      </c>
      <c r="E725" s="90" t="str">
        <f>IF('Product List'!B725="","",'Product List'!B725)</f>
        <v/>
      </c>
    </row>
    <row r="726" spans="4:5">
      <c r="D726" s="90" t="str">
        <f>IF('Product List'!C726="","",'Product List'!C726)</f>
        <v/>
      </c>
      <c r="E726" s="90" t="str">
        <f>IF('Product List'!B726="","",'Product List'!B726)</f>
        <v/>
      </c>
    </row>
    <row r="727" spans="4:5">
      <c r="D727" s="90" t="str">
        <f>IF('Product List'!C727="","",'Product List'!C727)</f>
        <v/>
      </c>
      <c r="E727" s="90" t="str">
        <f>IF('Product List'!B727="","",'Product List'!B727)</f>
        <v/>
      </c>
    </row>
    <row r="728" spans="4:5">
      <c r="D728" s="90" t="str">
        <f>IF('Product List'!C728="","",'Product List'!C728)</f>
        <v/>
      </c>
      <c r="E728" s="90" t="str">
        <f>IF('Product List'!B728="","",'Product List'!B728)</f>
        <v/>
      </c>
    </row>
    <row r="729" spans="4:5">
      <c r="D729" s="90" t="str">
        <f>IF('Product List'!C729="","",'Product List'!C729)</f>
        <v/>
      </c>
      <c r="E729" s="90" t="str">
        <f>IF('Product List'!B729="","",'Product List'!B729)</f>
        <v/>
      </c>
    </row>
    <row r="730" spans="4:5">
      <c r="D730" s="90" t="str">
        <f>IF('Product List'!C730="","",'Product List'!C730)</f>
        <v/>
      </c>
      <c r="E730" s="90" t="str">
        <f>IF('Product List'!B730="","",'Product List'!B730)</f>
        <v/>
      </c>
    </row>
    <row r="731" spans="4:5">
      <c r="D731" s="90" t="str">
        <f>IF('Product List'!C731="","",'Product List'!C731)</f>
        <v/>
      </c>
      <c r="E731" s="90" t="str">
        <f>IF('Product List'!B731="","",'Product List'!B731)</f>
        <v/>
      </c>
    </row>
    <row r="732" spans="4:5">
      <c r="D732" s="90" t="str">
        <f>IF('Product List'!C732="","",'Product List'!C732)</f>
        <v/>
      </c>
      <c r="E732" s="90" t="str">
        <f>IF('Product List'!B732="","",'Product List'!B732)</f>
        <v/>
      </c>
    </row>
    <row r="733" spans="4:5">
      <c r="D733" s="90" t="str">
        <f>IF('Product List'!C733="","",'Product List'!C733)</f>
        <v/>
      </c>
      <c r="E733" s="90" t="str">
        <f>IF('Product List'!B733="","",'Product List'!B733)</f>
        <v/>
      </c>
    </row>
    <row r="734" spans="4:5">
      <c r="D734" s="90" t="str">
        <f>IF('Product List'!C734="","",'Product List'!C734)</f>
        <v/>
      </c>
      <c r="E734" s="90" t="str">
        <f>IF('Product List'!B734="","",'Product List'!B734)</f>
        <v/>
      </c>
    </row>
    <row r="735" spans="4:5">
      <c r="D735" s="90" t="str">
        <f>IF('Product List'!C735="","",'Product List'!C735)</f>
        <v/>
      </c>
      <c r="E735" s="90" t="str">
        <f>IF('Product List'!B735="","",'Product List'!B735)</f>
        <v/>
      </c>
    </row>
    <row r="736" spans="4:5">
      <c r="D736" s="90" t="str">
        <f>IF('Product List'!C736="","",'Product List'!C736)</f>
        <v/>
      </c>
      <c r="E736" s="90" t="str">
        <f>IF('Product List'!B736="","",'Product List'!B736)</f>
        <v/>
      </c>
    </row>
    <row r="737" spans="4:5">
      <c r="D737" s="90" t="str">
        <f>IF('Product List'!C737="","",'Product List'!C737)</f>
        <v/>
      </c>
      <c r="E737" s="90" t="str">
        <f>IF('Product List'!B737="","",'Product List'!B737)</f>
        <v/>
      </c>
    </row>
    <row r="738" spans="4:5">
      <c r="D738" s="90" t="str">
        <f>IF('Product List'!C738="","",'Product List'!C738)</f>
        <v/>
      </c>
      <c r="E738" s="90" t="str">
        <f>IF('Product List'!B738="","",'Product List'!B738)</f>
        <v/>
      </c>
    </row>
    <row r="739" spans="4:5">
      <c r="D739" s="90" t="str">
        <f>IF('Product List'!C739="","",'Product List'!C739)</f>
        <v/>
      </c>
      <c r="E739" s="90" t="str">
        <f>IF('Product List'!B739="","",'Product List'!B739)</f>
        <v/>
      </c>
    </row>
    <row r="740" spans="4:5">
      <c r="D740" s="90" t="str">
        <f>IF('Product List'!C740="","",'Product List'!C740)</f>
        <v/>
      </c>
      <c r="E740" s="90" t="str">
        <f>IF('Product List'!B740="","",'Product List'!B740)</f>
        <v/>
      </c>
    </row>
    <row r="741" spans="4:5">
      <c r="D741" s="90" t="str">
        <f>IF('Product List'!C741="","",'Product List'!C741)</f>
        <v/>
      </c>
      <c r="E741" s="90" t="str">
        <f>IF('Product List'!B741="","",'Product List'!B741)</f>
        <v/>
      </c>
    </row>
    <row r="742" spans="4:5">
      <c r="D742" s="90" t="str">
        <f>IF('Product List'!C742="","",'Product List'!C742)</f>
        <v/>
      </c>
      <c r="E742" s="90" t="str">
        <f>IF('Product List'!B742="","",'Product List'!B742)</f>
        <v/>
      </c>
    </row>
    <row r="743" spans="4:5">
      <c r="D743" s="90" t="str">
        <f>IF('Product List'!C743="","",'Product List'!C743)</f>
        <v/>
      </c>
      <c r="E743" s="90" t="str">
        <f>IF('Product List'!B743="","",'Product List'!B743)</f>
        <v/>
      </c>
    </row>
    <row r="744" spans="4:5">
      <c r="D744" s="90" t="str">
        <f>IF('Product List'!C744="","",'Product List'!C744)</f>
        <v/>
      </c>
      <c r="E744" s="90" t="str">
        <f>IF('Product List'!B744="","",'Product List'!B744)</f>
        <v/>
      </c>
    </row>
    <row r="745" spans="4:5">
      <c r="D745" s="90" t="str">
        <f>IF('Product List'!C745="","",'Product List'!C745)</f>
        <v/>
      </c>
      <c r="E745" s="90" t="str">
        <f>IF('Product List'!B745="","",'Product List'!B745)</f>
        <v/>
      </c>
    </row>
    <row r="746" spans="4:5">
      <c r="D746" s="90" t="str">
        <f>IF('Product List'!C746="","",'Product List'!C746)</f>
        <v/>
      </c>
      <c r="E746" s="90" t="str">
        <f>IF('Product List'!B746="","",'Product List'!B746)</f>
        <v/>
      </c>
    </row>
    <row r="747" spans="4:5">
      <c r="D747" s="90" t="str">
        <f>IF('Product List'!C747="","",'Product List'!C747)</f>
        <v/>
      </c>
      <c r="E747" s="90" t="str">
        <f>IF('Product List'!B747="","",'Product List'!B747)</f>
        <v/>
      </c>
    </row>
    <row r="748" spans="4:5">
      <c r="D748" s="90" t="str">
        <f>IF('Product List'!C748="","",'Product List'!C748)</f>
        <v/>
      </c>
      <c r="E748" s="90" t="str">
        <f>IF('Product List'!B748="","",'Product List'!B748)</f>
        <v/>
      </c>
    </row>
    <row r="749" spans="4:5">
      <c r="D749" s="90" t="str">
        <f>IF('Product List'!C749="","",'Product List'!C749)</f>
        <v/>
      </c>
      <c r="E749" s="90" t="str">
        <f>IF('Product List'!B749="","",'Product List'!B749)</f>
        <v/>
      </c>
    </row>
    <row r="750" spans="4:5">
      <c r="D750" s="90" t="str">
        <f>IF('Product List'!C750="","",'Product List'!C750)</f>
        <v/>
      </c>
      <c r="E750" s="90" t="str">
        <f>IF('Product List'!B750="","",'Product List'!B750)</f>
        <v/>
      </c>
    </row>
    <row r="751" spans="4:5">
      <c r="D751" s="90" t="str">
        <f>IF('Product List'!C751="","",'Product List'!C751)</f>
        <v/>
      </c>
      <c r="E751" s="90" t="str">
        <f>IF('Product List'!B751="","",'Product List'!B751)</f>
        <v/>
      </c>
    </row>
    <row r="752" spans="4:5">
      <c r="D752" s="90" t="str">
        <f>IF('Product List'!C752="","",'Product List'!C752)</f>
        <v/>
      </c>
      <c r="E752" s="90" t="str">
        <f>IF('Product List'!B752="","",'Product List'!B752)</f>
        <v/>
      </c>
    </row>
    <row r="753" spans="4:5">
      <c r="D753" s="90" t="str">
        <f>IF('Product List'!C753="","",'Product List'!C753)</f>
        <v/>
      </c>
      <c r="E753" s="90" t="str">
        <f>IF('Product List'!B753="","",'Product List'!B753)</f>
        <v/>
      </c>
    </row>
    <row r="754" spans="4:5">
      <c r="D754" s="90" t="str">
        <f>IF('Product List'!C754="","",'Product List'!C754)</f>
        <v/>
      </c>
      <c r="E754" s="90" t="str">
        <f>IF('Product List'!B754="","",'Product List'!B754)</f>
        <v/>
      </c>
    </row>
    <row r="755" spans="4:5">
      <c r="D755" s="90" t="str">
        <f>IF('Product List'!C755="","",'Product List'!C755)</f>
        <v/>
      </c>
      <c r="E755" s="90" t="str">
        <f>IF('Product List'!B755="","",'Product List'!B755)</f>
        <v/>
      </c>
    </row>
    <row r="756" spans="4:5">
      <c r="D756" s="90" t="str">
        <f>IF('Product List'!C756="","",'Product List'!C756)</f>
        <v/>
      </c>
      <c r="E756" s="90" t="str">
        <f>IF('Product List'!B756="","",'Product List'!B756)</f>
        <v/>
      </c>
    </row>
    <row r="757" spans="4:5">
      <c r="D757" s="90" t="str">
        <f>IF('Product List'!C757="","",'Product List'!C757)</f>
        <v/>
      </c>
      <c r="E757" s="90" t="str">
        <f>IF('Product List'!B757="","",'Product List'!B757)</f>
        <v/>
      </c>
    </row>
    <row r="758" spans="4:5">
      <c r="D758" s="90" t="str">
        <f>IF('Product List'!C758="","",'Product List'!C758)</f>
        <v/>
      </c>
      <c r="E758" s="90" t="str">
        <f>IF('Product List'!B758="","",'Product List'!B758)</f>
        <v/>
      </c>
    </row>
    <row r="759" spans="4:5">
      <c r="D759" s="90" t="str">
        <f>IF('Product List'!C759="","",'Product List'!C759)</f>
        <v/>
      </c>
      <c r="E759" s="90" t="str">
        <f>IF('Product List'!B759="","",'Product List'!B759)</f>
        <v/>
      </c>
    </row>
    <row r="760" spans="4:5">
      <c r="D760" s="90" t="str">
        <f>IF('Product List'!C760="","",'Product List'!C760)</f>
        <v/>
      </c>
      <c r="E760" s="90" t="str">
        <f>IF('Product List'!B760="","",'Product List'!B760)</f>
        <v/>
      </c>
    </row>
    <row r="761" spans="4:5">
      <c r="D761" s="90" t="str">
        <f>IF('Product List'!C761="","",'Product List'!C761)</f>
        <v/>
      </c>
      <c r="E761" s="90" t="str">
        <f>IF('Product List'!B761="","",'Product List'!B761)</f>
        <v/>
      </c>
    </row>
    <row r="762" spans="4:5">
      <c r="D762" s="90" t="str">
        <f>IF('Product List'!C762="","",'Product List'!C762)</f>
        <v/>
      </c>
      <c r="E762" s="90" t="str">
        <f>IF('Product List'!B762="","",'Product List'!B762)</f>
        <v/>
      </c>
    </row>
    <row r="763" spans="4:5">
      <c r="D763" s="90" t="str">
        <f>IF('Product List'!C763="","",'Product List'!C763)</f>
        <v/>
      </c>
      <c r="E763" s="90" t="str">
        <f>IF('Product List'!B763="","",'Product List'!B763)</f>
        <v/>
      </c>
    </row>
    <row r="764" spans="4:5">
      <c r="D764" s="90" t="str">
        <f>IF('Product List'!C764="","",'Product List'!C764)</f>
        <v/>
      </c>
      <c r="E764" s="90" t="str">
        <f>IF('Product List'!B764="","",'Product List'!B764)</f>
        <v/>
      </c>
    </row>
    <row r="765" spans="4:5">
      <c r="D765" s="90" t="str">
        <f>IF('Product List'!C765="","",'Product List'!C765)</f>
        <v/>
      </c>
      <c r="E765" s="90" t="str">
        <f>IF('Product List'!B765="","",'Product List'!B765)</f>
        <v/>
      </c>
    </row>
    <row r="766" spans="4:5">
      <c r="D766" s="90" t="str">
        <f>IF('Product List'!C766="","",'Product List'!C766)</f>
        <v/>
      </c>
      <c r="E766" s="90" t="str">
        <f>IF('Product List'!B766="","",'Product List'!B766)</f>
        <v/>
      </c>
    </row>
    <row r="767" spans="4:5">
      <c r="D767" s="90" t="str">
        <f>IF('Product List'!C767="","",'Product List'!C767)</f>
        <v/>
      </c>
      <c r="E767" s="90" t="str">
        <f>IF('Product List'!B767="","",'Product List'!B767)</f>
        <v/>
      </c>
    </row>
    <row r="768" spans="4:5">
      <c r="D768" s="90" t="str">
        <f>IF('Product List'!C768="","",'Product List'!C768)</f>
        <v/>
      </c>
      <c r="E768" s="90" t="str">
        <f>IF('Product List'!B768="","",'Product List'!B768)</f>
        <v/>
      </c>
    </row>
    <row r="769" spans="4:5">
      <c r="D769" s="90" t="str">
        <f>IF('Product List'!C769="","",'Product List'!C769)</f>
        <v/>
      </c>
      <c r="E769" s="90" t="str">
        <f>IF('Product List'!B769="","",'Product List'!B769)</f>
        <v/>
      </c>
    </row>
    <row r="770" spans="4:5">
      <c r="D770" s="90" t="str">
        <f>IF('Product List'!C770="","",'Product List'!C770)</f>
        <v/>
      </c>
      <c r="E770" s="90" t="str">
        <f>IF('Product List'!B770="","",'Product List'!B770)</f>
        <v/>
      </c>
    </row>
    <row r="771" spans="4:5">
      <c r="D771" s="90" t="str">
        <f>IF('Product List'!C771="","",'Product List'!C771)</f>
        <v/>
      </c>
      <c r="E771" s="90" t="str">
        <f>IF('Product List'!B771="","",'Product List'!B771)</f>
        <v/>
      </c>
    </row>
    <row r="772" spans="4:5">
      <c r="D772" s="90" t="str">
        <f>IF('Product List'!C772="","",'Product List'!C772)</f>
        <v/>
      </c>
      <c r="E772" s="90" t="str">
        <f>IF('Product List'!B772="","",'Product List'!B772)</f>
        <v/>
      </c>
    </row>
    <row r="773" spans="4:5">
      <c r="D773" s="90" t="str">
        <f>IF('Product List'!C773="","",'Product List'!C773)</f>
        <v/>
      </c>
      <c r="E773" s="90" t="str">
        <f>IF('Product List'!B773="","",'Product List'!B773)</f>
        <v/>
      </c>
    </row>
    <row r="774" spans="4:5">
      <c r="D774" s="90" t="str">
        <f>IF('Product List'!C774="","",'Product List'!C774)</f>
        <v/>
      </c>
      <c r="E774" s="90" t="str">
        <f>IF('Product List'!B774="","",'Product List'!B774)</f>
        <v/>
      </c>
    </row>
    <row r="775" spans="4:5">
      <c r="D775" s="90" t="str">
        <f>IF('Product List'!C775="","",'Product List'!C775)</f>
        <v/>
      </c>
      <c r="E775" s="90" t="str">
        <f>IF('Product List'!B775="","",'Product List'!B775)</f>
        <v/>
      </c>
    </row>
    <row r="776" spans="4:5">
      <c r="D776" s="90" t="str">
        <f>IF('Product List'!C776="","",'Product List'!C776)</f>
        <v/>
      </c>
      <c r="E776" s="90" t="str">
        <f>IF('Product List'!B776="","",'Product List'!B776)</f>
        <v/>
      </c>
    </row>
    <row r="777" spans="4:5">
      <c r="D777" s="90" t="str">
        <f>IF('Product List'!C777="","",'Product List'!C777)</f>
        <v/>
      </c>
      <c r="E777" s="90" t="str">
        <f>IF('Product List'!B777="","",'Product List'!B777)</f>
        <v/>
      </c>
    </row>
    <row r="778" spans="4:5">
      <c r="D778" s="90" t="str">
        <f>IF('Product List'!C778="","",'Product List'!C778)</f>
        <v/>
      </c>
      <c r="E778" s="90" t="str">
        <f>IF('Product List'!B778="","",'Product List'!B778)</f>
        <v/>
      </c>
    </row>
    <row r="779" spans="4:5">
      <c r="D779" s="90" t="str">
        <f>IF('Product List'!C779="","",'Product List'!C779)</f>
        <v/>
      </c>
      <c r="E779" s="90" t="str">
        <f>IF('Product List'!B779="","",'Product List'!B779)</f>
        <v/>
      </c>
    </row>
    <row r="780" spans="4:5">
      <c r="D780" s="90" t="str">
        <f>IF('Product List'!C780="","",'Product List'!C780)</f>
        <v/>
      </c>
      <c r="E780" s="90" t="str">
        <f>IF('Product List'!B780="","",'Product List'!B780)</f>
        <v/>
      </c>
    </row>
    <row r="781" spans="4:5">
      <c r="D781" s="90" t="str">
        <f>IF('Product List'!C781="","",'Product List'!C781)</f>
        <v/>
      </c>
      <c r="E781" s="90" t="str">
        <f>IF('Product List'!B781="","",'Product List'!B781)</f>
        <v/>
      </c>
    </row>
    <row r="782" spans="4:5">
      <c r="D782" s="90" t="str">
        <f>IF('Product List'!C782="","",'Product List'!C782)</f>
        <v/>
      </c>
      <c r="E782" s="90" t="str">
        <f>IF('Product List'!B782="","",'Product List'!B782)</f>
        <v/>
      </c>
    </row>
    <row r="783" spans="4:5">
      <c r="D783" s="90" t="str">
        <f>IF('Product List'!C783="","",'Product List'!C783)</f>
        <v/>
      </c>
      <c r="E783" s="90" t="str">
        <f>IF('Product List'!B783="","",'Product List'!B783)</f>
        <v/>
      </c>
    </row>
    <row r="784" spans="4:5">
      <c r="D784" s="90" t="str">
        <f>IF('Product List'!C784="","",'Product List'!C784)</f>
        <v/>
      </c>
      <c r="E784" s="90" t="str">
        <f>IF('Product List'!B784="","",'Product List'!B784)</f>
        <v/>
      </c>
    </row>
    <row r="785" spans="4:5">
      <c r="D785" s="90" t="str">
        <f>IF('Product List'!C785="","",'Product List'!C785)</f>
        <v/>
      </c>
      <c r="E785" s="90" t="str">
        <f>IF('Product List'!B785="","",'Product List'!B785)</f>
        <v/>
      </c>
    </row>
    <row r="786" spans="4:5">
      <c r="D786" s="90" t="str">
        <f>IF('Product List'!C786="","",'Product List'!C786)</f>
        <v/>
      </c>
      <c r="E786" s="90" t="str">
        <f>IF('Product List'!B786="","",'Product List'!B786)</f>
        <v/>
      </c>
    </row>
    <row r="787" spans="4:5">
      <c r="D787" s="90" t="str">
        <f>IF('Product List'!C787="","",'Product List'!C787)</f>
        <v/>
      </c>
      <c r="E787" s="90" t="str">
        <f>IF('Product List'!B787="","",'Product List'!B787)</f>
        <v/>
      </c>
    </row>
    <row r="788" spans="4:5">
      <c r="D788" s="90" t="str">
        <f>IF('Product List'!C788="","",'Product List'!C788)</f>
        <v/>
      </c>
      <c r="E788" s="90" t="str">
        <f>IF('Product List'!B788="","",'Product List'!B788)</f>
        <v/>
      </c>
    </row>
    <row r="789" spans="4:5">
      <c r="D789" s="90" t="str">
        <f>IF('Product List'!C789="","",'Product List'!C789)</f>
        <v/>
      </c>
      <c r="E789" s="90" t="str">
        <f>IF('Product List'!B789="","",'Product List'!B789)</f>
        <v/>
      </c>
    </row>
    <row r="790" spans="4:5">
      <c r="D790" s="90" t="str">
        <f>IF('Product List'!C790="","",'Product List'!C790)</f>
        <v/>
      </c>
      <c r="E790" s="90" t="str">
        <f>IF('Product List'!B790="","",'Product List'!B790)</f>
        <v/>
      </c>
    </row>
    <row r="791" spans="4:5">
      <c r="D791" s="90" t="str">
        <f>IF('Product List'!C791="","",'Product List'!C791)</f>
        <v/>
      </c>
      <c r="E791" s="90" t="str">
        <f>IF('Product List'!B791="","",'Product List'!B791)</f>
        <v/>
      </c>
    </row>
    <row r="792" spans="4:5">
      <c r="D792" s="90" t="str">
        <f>IF('Product List'!C792="","",'Product List'!C792)</f>
        <v/>
      </c>
      <c r="E792" s="90" t="str">
        <f>IF('Product List'!B792="","",'Product List'!B792)</f>
        <v/>
      </c>
    </row>
    <row r="793" spans="4:5">
      <c r="D793" s="90" t="str">
        <f>IF('Product List'!C793="","",'Product List'!C793)</f>
        <v/>
      </c>
      <c r="E793" s="90" t="str">
        <f>IF('Product List'!B793="","",'Product List'!B793)</f>
        <v/>
      </c>
    </row>
    <row r="794" spans="4:5">
      <c r="D794" s="90" t="str">
        <f>IF('Product List'!C794="","",'Product List'!C794)</f>
        <v/>
      </c>
      <c r="E794" s="90" t="str">
        <f>IF('Product List'!B794="","",'Product List'!B794)</f>
        <v/>
      </c>
    </row>
    <row r="795" spans="4:5">
      <c r="D795" s="90" t="str">
        <f>IF('Product List'!C795="","",'Product List'!C795)</f>
        <v/>
      </c>
      <c r="E795" s="90" t="str">
        <f>IF('Product List'!B795="","",'Product List'!B795)</f>
        <v/>
      </c>
    </row>
    <row r="796" spans="4:5">
      <c r="D796" s="90" t="str">
        <f>IF('Product List'!C796="","",'Product List'!C796)</f>
        <v/>
      </c>
      <c r="E796" s="90" t="str">
        <f>IF('Product List'!B796="","",'Product List'!B796)</f>
        <v/>
      </c>
    </row>
    <row r="797" spans="4:5">
      <c r="D797" s="90" t="str">
        <f>IF('Product List'!C797="","",'Product List'!C797)</f>
        <v/>
      </c>
      <c r="E797" s="90" t="str">
        <f>IF('Product List'!B797="","",'Product List'!B797)</f>
        <v/>
      </c>
    </row>
    <row r="798" spans="4:5">
      <c r="D798" s="90" t="str">
        <f>IF('Product List'!C798="","",'Product List'!C798)</f>
        <v/>
      </c>
      <c r="E798" s="90" t="str">
        <f>IF('Product List'!B798="","",'Product List'!B798)</f>
        <v/>
      </c>
    </row>
    <row r="799" spans="4:5">
      <c r="D799" s="90" t="str">
        <f>IF('Product List'!C799="","",'Product List'!C799)</f>
        <v/>
      </c>
      <c r="E799" s="90" t="str">
        <f>IF('Product List'!B799="","",'Product List'!B799)</f>
        <v/>
      </c>
    </row>
    <row r="800" spans="4:5">
      <c r="D800" s="90" t="str">
        <f>IF('Product List'!C800="","",'Product List'!C800)</f>
        <v/>
      </c>
      <c r="E800" s="90" t="str">
        <f>IF('Product List'!B800="","",'Product List'!B800)</f>
        <v/>
      </c>
    </row>
    <row r="801" spans="4:5">
      <c r="D801" s="90" t="str">
        <f>IF('Product List'!C801="","",'Product List'!C801)</f>
        <v/>
      </c>
      <c r="E801" s="90" t="str">
        <f>IF('Product List'!B801="","",'Product List'!B801)</f>
        <v/>
      </c>
    </row>
    <row r="802" spans="4:5">
      <c r="D802" s="90" t="str">
        <f>IF('Product List'!C802="","",'Product List'!C802)</f>
        <v/>
      </c>
      <c r="E802" s="90" t="str">
        <f>IF('Product List'!B802="","",'Product List'!B802)</f>
        <v/>
      </c>
    </row>
    <row r="803" spans="4:5">
      <c r="D803" s="90" t="str">
        <f>IF('Product List'!C803="","",'Product List'!C803)</f>
        <v/>
      </c>
      <c r="E803" s="90" t="str">
        <f>IF('Product List'!B803="","",'Product List'!B803)</f>
        <v/>
      </c>
    </row>
    <row r="804" spans="4:5">
      <c r="D804" s="90" t="str">
        <f>IF('Product List'!C804="","",'Product List'!C804)</f>
        <v/>
      </c>
      <c r="E804" s="90" t="str">
        <f>IF('Product List'!B804="","",'Product List'!B804)</f>
        <v/>
      </c>
    </row>
    <row r="805" spans="4:5">
      <c r="D805" s="90" t="str">
        <f>IF('Product List'!C805="","",'Product List'!C805)</f>
        <v/>
      </c>
      <c r="E805" s="90" t="str">
        <f>IF('Product List'!B805="","",'Product List'!B805)</f>
        <v/>
      </c>
    </row>
    <row r="806" spans="4:5">
      <c r="D806" s="90" t="str">
        <f>IF('Product List'!C806="","",'Product List'!C806)</f>
        <v/>
      </c>
      <c r="E806" s="90" t="str">
        <f>IF('Product List'!B806="","",'Product List'!B806)</f>
        <v/>
      </c>
    </row>
    <row r="807" spans="4:5">
      <c r="D807" s="90" t="str">
        <f>IF('Product List'!C807="","",'Product List'!C807)</f>
        <v/>
      </c>
      <c r="E807" s="90" t="str">
        <f>IF('Product List'!B807="","",'Product List'!B807)</f>
        <v/>
      </c>
    </row>
    <row r="808" spans="4:5">
      <c r="D808" s="90" t="str">
        <f>IF('Product List'!C808="","",'Product List'!C808)</f>
        <v/>
      </c>
      <c r="E808" s="90" t="str">
        <f>IF('Product List'!B808="","",'Product List'!B808)</f>
        <v/>
      </c>
    </row>
    <row r="809" spans="4:5">
      <c r="D809" s="90" t="str">
        <f>IF('Product List'!C809="","",'Product List'!C809)</f>
        <v/>
      </c>
      <c r="E809" s="90" t="str">
        <f>IF('Product List'!B809="","",'Product List'!B809)</f>
        <v/>
      </c>
    </row>
    <row r="810" spans="4:5">
      <c r="D810" s="90" t="str">
        <f>IF('Product List'!C810="","",'Product List'!C810)</f>
        <v/>
      </c>
      <c r="E810" s="90" t="str">
        <f>IF('Product List'!B810="","",'Product List'!B810)</f>
        <v/>
      </c>
    </row>
    <row r="811" spans="4:5">
      <c r="D811" s="90" t="str">
        <f>IF('Product List'!C811="","",'Product List'!C811)</f>
        <v/>
      </c>
      <c r="E811" s="90" t="str">
        <f>IF('Product List'!B811="","",'Product List'!B811)</f>
        <v/>
      </c>
    </row>
    <row r="812" spans="4:5">
      <c r="D812" s="90" t="str">
        <f>IF('Product List'!C812="","",'Product List'!C812)</f>
        <v/>
      </c>
      <c r="E812" s="90" t="str">
        <f>IF('Product List'!B812="","",'Product List'!B812)</f>
        <v/>
      </c>
    </row>
    <row r="813" spans="4:5">
      <c r="D813" s="90" t="str">
        <f>IF('Product List'!C813="","",'Product List'!C813)</f>
        <v/>
      </c>
      <c r="E813" s="90" t="str">
        <f>IF('Product List'!B813="","",'Product List'!B813)</f>
        <v/>
      </c>
    </row>
    <row r="814" spans="4:5">
      <c r="D814" s="90" t="str">
        <f>IF('Product List'!C814="","",'Product List'!C814)</f>
        <v/>
      </c>
      <c r="E814" s="90" t="str">
        <f>IF('Product List'!B814="","",'Product List'!B814)</f>
        <v/>
      </c>
    </row>
    <row r="815" spans="4:5">
      <c r="D815" s="90" t="str">
        <f>IF('Product List'!C815="","",'Product List'!C815)</f>
        <v/>
      </c>
      <c r="E815" s="90" t="str">
        <f>IF('Product List'!B815="","",'Product List'!B815)</f>
        <v/>
      </c>
    </row>
    <row r="816" spans="4:5">
      <c r="D816" s="90" t="str">
        <f>IF('Product List'!C816="","",'Product List'!C816)</f>
        <v/>
      </c>
      <c r="E816" s="90" t="str">
        <f>IF('Product List'!B816="","",'Product List'!B816)</f>
        <v/>
      </c>
    </row>
    <row r="817" spans="4:5">
      <c r="D817" s="90" t="str">
        <f>IF('Product List'!C817="","",'Product List'!C817)</f>
        <v/>
      </c>
      <c r="E817" s="90" t="str">
        <f>IF('Product List'!B817="","",'Product List'!B817)</f>
        <v/>
      </c>
    </row>
    <row r="818" spans="4:5">
      <c r="D818" s="90" t="str">
        <f>IF('Product List'!C818="","",'Product List'!C818)</f>
        <v/>
      </c>
      <c r="E818" s="90" t="str">
        <f>IF('Product List'!B818="","",'Product List'!B818)</f>
        <v/>
      </c>
    </row>
    <row r="819" spans="4:5">
      <c r="D819" s="90" t="str">
        <f>IF('Product List'!C819="","",'Product List'!C819)</f>
        <v/>
      </c>
      <c r="E819" s="90" t="str">
        <f>IF('Product List'!B819="","",'Product List'!B819)</f>
        <v/>
      </c>
    </row>
    <row r="820" spans="4:5">
      <c r="D820" s="90" t="str">
        <f>IF('Product List'!C820="","",'Product List'!C820)</f>
        <v/>
      </c>
      <c r="E820" s="90" t="str">
        <f>IF('Product List'!B820="","",'Product List'!B820)</f>
        <v/>
      </c>
    </row>
    <row r="821" spans="4:5">
      <c r="D821" s="90" t="str">
        <f>IF('Product List'!C821="","",'Product List'!C821)</f>
        <v/>
      </c>
      <c r="E821" s="90" t="str">
        <f>IF('Product List'!B821="","",'Product List'!B821)</f>
        <v/>
      </c>
    </row>
    <row r="822" spans="4:5">
      <c r="D822" s="90" t="str">
        <f>IF('Product List'!C822="","",'Product List'!C822)</f>
        <v/>
      </c>
      <c r="E822" s="90" t="str">
        <f>IF('Product List'!B822="","",'Product List'!B822)</f>
        <v/>
      </c>
    </row>
    <row r="823" spans="4:5">
      <c r="D823" s="90" t="str">
        <f>IF('Product List'!C823="","",'Product List'!C823)</f>
        <v/>
      </c>
      <c r="E823" s="90" t="str">
        <f>IF('Product List'!B823="","",'Product List'!B823)</f>
        <v/>
      </c>
    </row>
    <row r="824" spans="4:5">
      <c r="D824" s="90" t="str">
        <f>IF('Product List'!C824="","",'Product List'!C824)</f>
        <v/>
      </c>
      <c r="E824" s="90" t="str">
        <f>IF('Product List'!B824="","",'Product List'!B824)</f>
        <v/>
      </c>
    </row>
    <row r="825" spans="4:5">
      <c r="D825" s="90" t="str">
        <f>IF('Product List'!C825="","",'Product List'!C825)</f>
        <v/>
      </c>
      <c r="E825" s="90" t="str">
        <f>IF('Product List'!B825="","",'Product List'!B825)</f>
        <v/>
      </c>
    </row>
    <row r="826" spans="4:5">
      <c r="D826" s="90" t="str">
        <f>IF('Product List'!C826="","",'Product List'!C826)</f>
        <v/>
      </c>
      <c r="E826" s="90" t="str">
        <f>IF('Product List'!B826="","",'Product List'!B826)</f>
        <v/>
      </c>
    </row>
    <row r="827" spans="4:5">
      <c r="D827" s="90" t="str">
        <f>IF('Product List'!C827="","",'Product List'!C827)</f>
        <v/>
      </c>
      <c r="E827" s="90" t="str">
        <f>IF('Product List'!B827="","",'Product List'!B827)</f>
        <v/>
      </c>
    </row>
    <row r="828" spans="4:5">
      <c r="D828" s="90" t="str">
        <f>IF('Product List'!C828="","",'Product List'!C828)</f>
        <v/>
      </c>
      <c r="E828" s="90" t="str">
        <f>IF('Product List'!B828="","",'Product List'!B828)</f>
        <v/>
      </c>
    </row>
    <row r="829" spans="4:5">
      <c r="D829" s="90" t="str">
        <f>IF('Product List'!C829="","",'Product List'!C829)</f>
        <v/>
      </c>
      <c r="E829" s="90" t="str">
        <f>IF('Product List'!B829="","",'Product List'!B829)</f>
        <v/>
      </c>
    </row>
    <row r="830" spans="4:5">
      <c r="D830" s="90" t="str">
        <f>IF('Product List'!C830="","",'Product List'!C830)</f>
        <v/>
      </c>
      <c r="E830" s="90" t="str">
        <f>IF('Product List'!B830="","",'Product List'!B830)</f>
        <v/>
      </c>
    </row>
    <row r="831" spans="4:5">
      <c r="D831" s="90" t="str">
        <f>IF('Product List'!C831="","",'Product List'!C831)</f>
        <v/>
      </c>
      <c r="E831" s="90" t="str">
        <f>IF('Product List'!B831="","",'Product List'!B831)</f>
        <v/>
      </c>
    </row>
    <row r="832" spans="4:5">
      <c r="D832" s="90" t="str">
        <f>IF('Product List'!C832="","",'Product List'!C832)</f>
        <v/>
      </c>
      <c r="E832" s="90" t="str">
        <f>IF('Product List'!B832="","",'Product List'!B832)</f>
        <v/>
      </c>
    </row>
    <row r="833" spans="4:5">
      <c r="D833" s="90" t="str">
        <f>IF('Product List'!C833="","",'Product List'!C833)</f>
        <v/>
      </c>
      <c r="E833" s="90" t="str">
        <f>IF('Product List'!B833="","",'Product List'!B833)</f>
        <v/>
      </c>
    </row>
    <row r="834" spans="4:5">
      <c r="D834" s="90" t="str">
        <f>IF('Product List'!C834="","",'Product List'!C834)</f>
        <v/>
      </c>
      <c r="E834" s="90" t="str">
        <f>IF('Product List'!B834="","",'Product List'!B834)</f>
        <v/>
      </c>
    </row>
    <row r="835" spans="4:5">
      <c r="D835" s="90" t="str">
        <f>IF('Product List'!C835="","",'Product List'!C835)</f>
        <v/>
      </c>
      <c r="E835" s="90" t="str">
        <f>IF('Product List'!B835="","",'Product List'!B835)</f>
        <v/>
      </c>
    </row>
    <row r="836" spans="4:5">
      <c r="D836" s="90" t="str">
        <f>IF('Product List'!C836="","",'Product List'!C836)</f>
        <v/>
      </c>
      <c r="E836" s="90" t="str">
        <f>IF('Product List'!B836="","",'Product List'!B836)</f>
        <v/>
      </c>
    </row>
    <row r="837" spans="4:5">
      <c r="D837" s="90" t="str">
        <f>IF('Product List'!C837="","",'Product List'!C837)</f>
        <v/>
      </c>
      <c r="E837" s="90" t="str">
        <f>IF('Product List'!B837="","",'Product List'!B837)</f>
        <v/>
      </c>
    </row>
    <row r="838" spans="4:5">
      <c r="D838" s="90" t="str">
        <f>IF('Product List'!C838="","",'Product List'!C838)</f>
        <v/>
      </c>
      <c r="E838" s="90" t="str">
        <f>IF('Product List'!B838="","",'Product List'!B838)</f>
        <v/>
      </c>
    </row>
    <row r="839" spans="4:5">
      <c r="D839" s="90" t="str">
        <f>IF('Product List'!C839="","",'Product List'!C839)</f>
        <v/>
      </c>
      <c r="E839" s="90" t="str">
        <f>IF('Product List'!B839="","",'Product List'!B839)</f>
        <v/>
      </c>
    </row>
    <row r="840" spans="4:5">
      <c r="D840" s="90" t="str">
        <f>IF('Product List'!C840="","",'Product List'!C840)</f>
        <v/>
      </c>
      <c r="E840" s="90" t="str">
        <f>IF('Product List'!B840="","",'Product List'!B840)</f>
        <v/>
      </c>
    </row>
    <row r="841" spans="4:5">
      <c r="D841" s="90" t="str">
        <f>IF('Product List'!C841="","",'Product List'!C841)</f>
        <v/>
      </c>
      <c r="E841" s="90" t="str">
        <f>IF('Product List'!B841="","",'Product List'!B841)</f>
        <v/>
      </c>
    </row>
    <row r="842" spans="4:5">
      <c r="D842" s="90" t="str">
        <f>IF('Product List'!C842="","",'Product List'!C842)</f>
        <v/>
      </c>
      <c r="E842" s="90" t="str">
        <f>IF('Product List'!B842="","",'Product List'!B842)</f>
        <v/>
      </c>
    </row>
    <row r="843" spans="4:5">
      <c r="D843" s="90" t="str">
        <f>IF('Product List'!C843="","",'Product List'!C843)</f>
        <v/>
      </c>
      <c r="E843" s="90" t="str">
        <f>IF('Product List'!B843="","",'Product List'!B843)</f>
        <v/>
      </c>
    </row>
    <row r="844" spans="4:5">
      <c r="D844" s="90" t="str">
        <f>IF('Product List'!C844="","",'Product List'!C844)</f>
        <v/>
      </c>
      <c r="E844" s="90" t="str">
        <f>IF('Product List'!B844="","",'Product List'!B844)</f>
        <v/>
      </c>
    </row>
    <row r="845" spans="4:5">
      <c r="D845" s="90" t="str">
        <f>IF('Product List'!C845="","",'Product List'!C845)</f>
        <v/>
      </c>
      <c r="E845" s="90" t="str">
        <f>IF('Product List'!B845="","",'Product List'!B845)</f>
        <v/>
      </c>
    </row>
    <row r="846" spans="4:5">
      <c r="D846" s="90" t="str">
        <f>IF('Product List'!C846="","",'Product List'!C846)</f>
        <v/>
      </c>
      <c r="E846" s="90" t="str">
        <f>IF('Product List'!B846="","",'Product List'!B846)</f>
        <v/>
      </c>
    </row>
    <row r="847" spans="4:5">
      <c r="D847" s="90" t="str">
        <f>IF('Product List'!C847="","",'Product List'!C847)</f>
        <v/>
      </c>
      <c r="E847" s="90" t="str">
        <f>IF('Product List'!B847="","",'Product List'!B847)</f>
        <v/>
      </c>
    </row>
    <row r="848" spans="4:5">
      <c r="D848" s="90" t="str">
        <f>IF('Product List'!C848="","",'Product List'!C848)</f>
        <v/>
      </c>
      <c r="E848" s="90" t="str">
        <f>IF('Product List'!B848="","",'Product List'!B848)</f>
        <v/>
      </c>
    </row>
    <row r="849" spans="4:5">
      <c r="D849" s="90" t="str">
        <f>IF('Product List'!C849="","",'Product List'!C849)</f>
        <v/>
      </c>
      <c r="E849" s="90" t="str">
        <f>IF('Product List'!B849="","",'Product List'!B849)</f>
        <v/>
      </c>
    </row>
    <row r="850" spans="4:5">
      <c r="D850" s="90" t="str">
        <f>IF('Product List'!C850="","",'Product List'!C850)</f>
        <v/>
      </c>
      <c r="E850" s="90" t="str">
        <f>IF('Product List'!B850="","",'Product List'!B850)</f>
        <v/>
      </c>
    </row>
    <row r="851" spans="4:5">
      <c r="D851" s="90" t="str">
        <f>IF('Product List'!C851="","",'Product List'!C851)</f>
        <v/>
      </c>
      <c r="E851" s="90" t="str">
        <f>IF('Product List'!B851="","",'Product List'!B851)</f>
        <v/>
      </c>
    </row>
    <row r="852" spans="4:5">
      <c r="D852" s="90" t="str">
        <f>IF('Product List'!C852="","",'Product List'!C852)</f>
        <v/>
      </c>
      <c r="E852" s="90" t="str">
        <f>IF('Product List'!B852="","",'Product List'!B852)</f>
        <v/>
      </c>
    </row>
    <row r="853" spans="4:5">
      <c r="D853" s="90" t="str">
        <f>IF('Product List'!C853="","",'Product List'!C853)</f>
        <v/>
      </c>
      <c r="E853" s="90" t="str">
        <f>IF('Product List'!B853="","",'Product List'!B853)</f>
        <v/>
      </c>
    </row>
    <row r="854" spans="4:5">
      <c r="D854" s="90" t="str">
        <f>IF('Product List'!C854="","",'Product List'!C854)</f>
        <v/>
      </c>
      <c r="E854" s="90" t="str">
        <f>IF('Product List'!B854="","",'Product List'!B854)</f>
        <v/>
      </c>
    </row>
    <row r="855" spans="4:5">
      <c r="D855" s="90" t="str">
        <f>IF('Product List'!C855="","",'Product List'!C855)</f>
        <v/>
      </c>
      <c r="E855" s="90" t="str">
        <f>IF('Product List'!B855="","",'Product List'!B855)</f>
        <v/>
      </c>
    </row>
    <row r="856" spans="4:5">
      <c r="D856" s="90" t="str">
        <f>IF('Product List'!C856="","",'Product List'!C856)</f>
        <v/>
      </c>
      <c r="E856" s="90" t="str">
        <f>IF('Product List'!B856="","",'Product List'!B856)</f>
        <v/>
      </c>
    </row>
    <row r="857" spans="4:5">
      <c r="D857" s="90" t="str">
        <f>IF('Product List'!C857="","",'Product List'!C857)</f>
        <v/>
      </c>
      <c r="E857" s="90" t="str">
        <f>IF('Product List'!B857="","",'Product List'!B857)</f>
        <v/>
      </c>
    </row>
    <row r="858" spans="4:5">
      <c r="D858" s="90" t="str">
        <f>IF('Product List'!C858="","",'Product List'!C858)</f>
        <v/>
      </c>
      <c r="E858" s="90" t="str">
        <f>IF('Product List'!B858="","",'Product List'!B858)</f>
        <v/>
      </c>
    </row>
    <row r="859" spans="4:5">
      <c r="D859" s="90" t="str">
        <f>IF('Product List'!C859="","",'Product List'!C859)</f>
        <v/>
      </c>
      <c r="E859" s="90" t="str">
        <f>IF('Product List'!B859="","",'Product List'!B859)</f>
        <v/>
      </c>
    </row>
    <row r="860" spans="4:5">
      <c r="D860" s="90" t="str">
        <f>IF('Product List'!C860="","",'Product List'!C860)</f>
        <v/>
      </c>
      <c r="E860" s="90" t="str">
        <f>IF('Product List'!B860="","",'Product List'!B860)</f>
        <v/>
      </c>
    </row>
    <row r="861" spans="4:5">
      <c r="D861" s="90" t="str">
        <f>IF('Product List'!C861="","",'Product List'!C861)</f>
        <v/>
      </c>
      <c r="E861" s="90" t="str">
        <f>IF('Product List'!B861="","",'Product List'!B861)</f>
        <v/>
      </c>
    </row>
    <row r="862" spans="4:5">
      <c r="D862" s="90" t="str">
        <f>IF('Product List'!C862="","",'Product List'!C862)</f>
        <v/>
      </c>
      <c r="E862" s="90" t="str">
        <f>IF('Product List'!B862="","",'Product List'!B862)</f>
        <v/>
      </c>
    </row>
    <row r="863" spans="4:5">
      <c r="D863" s="90" t="str">
        <f>IF('Product List'!C863="","",'Product List'!C863)</f>
        <v/>
      </c>
      <c r="E863" s="90" t="str">
        <f>IF('Product List'!B863="","",'Product List'!B863)</f>
        <v/>
      </c>
    </row>
    <row r="864" spans="4:5">
      <c r="D864" s="90" t="str">
        <f>IF('Product List'!C864="","",'Product List'!C864)</f>
        <v/>
      </c>
      <c r="E864" s="90" t="str">
        <f>IF('Product List'!B864="","",'Product List'!B864)</f>
        <v/>
      </c>
    </row>
    <row r="865" spans="4:5">
      <c r="D865" s="90" t="str">
        <f>IF('Product List'!C865="","",'Product List'!C865)</f>
        <v/>
      </c>
      <c r="E865" s="90" t="str">
        <f>IF('Product List'!B865="","",'Product List'!B865)</f>
        <v/>
      </c>
    </row>
    <row r="866" spans="4:5">
      <c r="D866" s="90" t="str">
        <f>IF('Product List'!C866="","",'Product List'!C866)</f>
        <v/>
      </c>
      <c r="E866" s="90" t="str">
        <f>IF('Product List'!B866="","",'Product List'!B866)</f>
        <v/>
      </c>
    </row>
    <row r="867" spans="4:5">
      <c r="D867" s="90" t="str">
        <f>IF('Product List'!C867="","",'Product List'!C867)</f>
        <v/>
      </c>
      <c r="E867" s="90" t="str">
        <f>IF('Product List'!B867="","",'Product List'!B867)</f>
        <v/>
      </c>
    </row>
    <row r="868" spans="4:5">
      <c r="D868" s="90" t="str">
        <f>IF('Product List'!C868="","",'Product List'!C868)</f>
        <v/>
      </c>
      <c r="E868" s="90" t="str">
        <f>IF('Product List'!B868="","",'Product List'!B868)</f>
        <v/>
      </c>
    </row>
    <row r="869" spans="4:5">
      <c r="D869" s="90" t="str">
        <f>IF('Product List'!C869="","",'Product List'!C869)</f>
        <v/>
      </c>
      <c r="E869" s="90" t="str">
        <f>IF('Product List'!B869="","",'Product List'!B869)</f>
        <v/>
      </c>
    </row>
    <row r="870" spans="4:5">
      <c r="D870" s="90" t="str">
        <f>IF('Product List'!C870="","",'Product List'!C870)</f>
        <v/>
      </c>
      <c r="E870" s="90" t="str">
        <f>IF('Product List'!B870="","",'Product List'!B870)</f>
        <v/>
      </c>
    </row>
    <row r="871" spans="4:5">
      <c r="D871" s="90" t="str">
        <f>IF('Product List'!C871="","",'Product List'!C871)</f>
        <v/>
      </c>
      <c r="E871" s="90" t="str">
        <f>IF('Product List'!B871="","",'Product List'!B871)</f>
        <v/>
      </c>
    </row>
    <row r="872" spans="4:5">
      <c r="D872" s="90" t="str">
        <f>IF('Product List'!C872="","",'Product List'!C872)</f>
        <v/>
      </c>
      <c r="E872" s="90" t="str">
        <f>IF('Product List'!B872="","",'Product List'!B872)</f>
        <v/>
      </c>
    </row>
    <row r="873" spans="4:5">
      <c r="D873" s="90" t="str">
        <f>IF('Product List'!C873="","",'Product List'!C873)</f>
        <v/>
      </c>
      <c r="E873" s="90" t="str">
        <f>IF('Product List'!B873="","",'Product List'!B873)</f>
        <v/>
      </c>
    </row>
    <row r="874" spans="4:5">
      <c r="D874" s="90" t="str">
        <f>IF('Product List'!C874="","",'Product List'!C874)</f>
        <v/>
      </c>
      <c r="E874" s="90" t="str">
        <f>IF('Product List'!B874="","",'Product List'!B874)</f>
        <v/>
      </c>
    </row>
    <row r="875" spans="4:5">
      <c r="D875" s="90" t="str">
        <f>IF('Product List'!C875="","",'Product List'!C875)</f>
        <v/>
      </c>
      <c r="E875" s="90" t="str">
        <f>IF('Product List'!B875="","",'Product List'!B875)</f>
        <v/>
      </c>
    </row>
    <row r="876" spans="4:5">
      <c r="D876" s="90" t="str">
        <f>IF('Product List'!C876="","",'Product List'!C876)</f>
        <v/>
      </c>
      <c r="E876" s="90" t="str">
        <f>IF('Product List'!B876="","",'Product List'!B876)</f>
        <v/>
      </c>
    </row>
    <row r="877" spans="4:5">
      <c r="D877" s="90" t="str">
        <f>IF('Product List'!C877="","",'Product List'!C877)</f>
        <v/>
      </c>
      <c r="E877" s="90" t="str">
        <f>IF('Product List'!B877="","",'Product List'!B877)</f>
        <v/>
      </c>
    </row>
    <row r="878" spans="4:5">
      <c r="D878" s="90" t="str">
        <f>IF('Product List'!C878="","",'Product List'!C878)</f>
        <v/>
      </c>
      <c r="E878" s="90" t="str">
        <f>IF('Product List'!B878="","",'Product List'!B878)</f>
        <v/>
      </c>
    </row>
    <row r="879" spans="4:5">
      <c r="D879" s="90" t="str">
        <f>IF('Product List'!C879="","",'Product List'!C879)</f>
        <v/>
      </c>
      <c r="E879" s="90" t="str">
        <f>IF('Product List'!B879="","",'Product List'!B879)</f>
        <v/>
      </c>
    </row>
    <row r="880" spans="4:5">
      <c r="D880" s="90" t="str">
        <f>IF('Product List'!C880="","",'Product List'!C880)</f>
        <v/>
      </c>
      <c r="E880" s="90" t="str">
        <f>IF('Product List'!B880="","",'Product List'!B880)</f>
        <v/>
      </c>
    </row>
    <row r="881" spans="4:5">
      <c r="D881" s="90" t="str">
        <f>IF('Product List'!C881="","",'Product List'!C881)</f>
        <v/>
      </c>
      <c r="E881" s="90" t="str">
        <f>IF('Product List'!B881="","",'Product List'!B881)</f>
        <v/>
      </c>
    </row>
    <row r="882" spans="4:5">
      <c r="D882" s="90" t="str">
        <f>IF('Product List'!C882="","",'Product List'!C882)</f>
        <v/>
      </c>
      <c r="E882" s="90" t="str">
        <f>IF('Product List'!B882="","",'Product List'!B882)</f>
        <v/>
      </c>
    </row>
    <row r="883" spans="4:5">
      <c r="D883" s="90" t="str">
        <f>IF('Product List'!C883="","",'Product List'!C883)</f>
        <v/>
      </c>
      <c r="E883" s="90" t="str">
        <f>IF('Product List'!B883="","",'Product List'!B883)</f>
        <v/>
      </c>
    </row>
    <row r="884" spans="4:5">
      <c r="D884" s="90" t="str">
        <f>IF('Product List'!C884="","",'Product List'!C884)</f>
        <v/>
      </c>
      <c r="E884" s="90" t="str">
        <f>IF('Product List'!B884="","",'Product List'!B884)</f>
        <v/>
      </c>
    </row>
    <row r="885" spans="4:5">
      <c r="D885" s="90" t="str">
        <f>IF('Product List'!C885="","",'Product List'!C885)</f>
        <v/>
      </c>
      <c r="E885" s="90" t="str">
        <f>IF('Product List'!B885="","",'Product List'!B885)</f>
        <v/>
      </c>
    </row>
    <row r="886" spans="4:5">
      <c r="D886" s="90" t="str">
        <f>IF('Product List'!C886="","",'Product List'!C886)</f>
        <v/>
      </c>
      <c r="E886" s="90" t="str">
        <f>IF('Product List'!B886="","",'Product List'!B886)</f>
        <v/>
      </c>
    </row>
    <row r="887" spans="4:5">
      <c r="D887" s="90" t="str">
        <f>IF('Product List'!C887="","",'Product List'!C887)</f>
        <v/>
      </c>
      <c r="E887" s="90" t="str">
        <f>IF('Product List'!B887="","",'Product List'!B887)</f>
        <v/>
      </c>
    </row>
    <row r="888" spans="4:5">
      <c r="D888" s="90" t="str">
        <f>IF('Product List'!C888="","",'Product List'!C888)</f>
        <v/>
      </c>
      <c r="E888" s="90" t="str">
        <f>IF('Product List'!B888="","",'Product List'!B888)</f>
        <v/>
      </c>
    </row>
    <row r="889" spans="4:5">
      <c r="D889" s="90" t="str">
        <f>IF('Product List'!C889="","",'Product List'!C889)</f>
        <v/>
      </c>
      <c r="E889" s="90" t="str">
        <f>IF('Product List'!B889="","",'Product List'!B889)</f>
        <v/>
      </c>
    </row>
    <row r="890" spans="4:5">
      <c r="D890" s="90" t="str">
        <f>IF('Product List'!C890="","",'Product List'!C890)</f>
        <v/>
      </c>
      <c r="E890" s="90" t="str">
        <f>IF('Product List'!B890="","",'Product List'!B890)</f>
        <v/>
      </c>
    </row>
    <row r="891" spans="4:5">
      <c r="D891" s="90" t="str">
        <f>IF('Product List'!C891="","",'Product List'!C891)</f>
        <v/>
      </c>
      <c r="E891" s="90" t="str">
        <f>IF('Product List'!B891="","",'Product List'!B891)</f>
        <v/>
      </c>
    </row>
    <row r="892" spans="4:5">
      <c r="D892" s="90" t="str">
        <f>IF('Product List'!C892="","",'Product List'!C892)</f>
        <v/>
      </c>
      <c r="E892" s="90" t="str">
        <f>IF('Product List'!B892="","",'Product List'!B892)</f>
        <v/>
      </c>
    </row>
    <row r="893" spans="4:5">
      <c r="D893" s="90" t="str">
        <f>IF('Product List'!C893="","",'Product List'!C893)</f>
        <v/>
      </c>
      <c r="E893" s="90" t="str">
        <f>IF('Product List'!B893="","",'Product List'!B893)</f>
        <v/>
      </c>
    </row>
    <row r="894" spans="4:5">
      <c r="D894" s="90" t="str">
        <f>IF('Product List'!C894="","",'Product List'!C894)</f>
        <v/>
      </c>
      <c r="E894" s="90" t="str">
        <f>IF('Product List'!B894="","",'Product List'!B894)</f>
        <v/>
      </c>
    </row>
    <row r="895" spans="4:5">
      <c r="D895" s="90" t="str">
        <f>IF('Product List'!C895="","",'Product List'!C895)</f>
        <v/>
      </c>
      <c r="E895" s="90" t="str">
        <f>IF('Product List'!B895="","",'Product List'!B895)</f>
        <v/>
      </c>
    </row>
    <row r="896" spans="4:5">
      <c r="D896" s="90" t="str">
        <f>IF('Product List'!C896="","",'Product List'!C896)</f>
        <v/>
      </c>
      <c r="E896" s="90" t="str">
        <f>IF('Product List'!B896="","",'Product List'!B896)</f>
        <v/>
      </c>
    </row>
    <row r="897" spans="4:5">
      <c r="D897" s="90" t="str">
        <f>IF('Product List'!C897="","",'Product List'!C897)</f>
        <v/>
      </c>
      <c r="E897" s="90" t="str">
        <f>IF('Product List'!B897="","",'Product List'!B897)</f>
        <v/>
      </c>
    </row>
    <row r="898" spans="4:5">
      <c r="D898" s="90" t="str">
        <f>IF('Product List'!C898="","",'Product List'!C898)</f>
        <v/>
      </c>
      <c r="E898" s="90" t="str">
        <f>IF('Product List'!B898="","",'Product List'!B898)</f>
        <v/>
      </c>
    </row>
    <row r="899" spans="4:5">
      <c r="D899" s="90" t="str">
        <f>IF('Product List'!C899="","",'Product List'!C899)</f>
        <v/>
      </c>
      <c r="E899" s="90" t="str">
        <f>IF('Product List'!B899="","",'Product List'!B899)</f>
        <v/>
      </c>
    </row>
    <row r="900" spans="4:5">
      <c r="D900" s="90" t="str">
        <f>IF('Product List'!C900="","",'Product List'!C900)</f>
        <v/>
      </c>
      <c r="E900" s="90" t="str">
        <f>IF('Product List'!B900="","",'Product List'!B900)</f>
        <v/>
      </c>
    </row>
    <row r="901" spans="4:5">
      <c r="D901" s="90" t="str">
        <f>IF('Product List'!C901="","",'Product List'!C901)</f>
        <v/>
      </c>
      <c r="E901" s="90" t="str">
        <f>IF('Product List'!B901="","",'Product List'!B901)</f>
        <v/>
      </c>
    </row>
    <row r="902" spans="4:5">
      <c r="D902" s="90" t="str">
        <f>IF('Product List'!C902="","",'Product List'!C902)</f>
        <v/>
      </c>
      <c r="E902" s="90" t="str">
        <f>IF('Product List'!B902="","",'Product List'!B902)</f>
        <v/>
      </c>
    </row>
    <row r="903" spans="4:5">
      <c r="D903" s="90" t="str">
        <f>IF('Product List'!C903="","",'Product List'!C903)</f>
        <v/>
      </c>
      <c r="E903" s="90" t="str">
        <f>IF('Product List'!B903="","",'Product List'!B903)</f>
        <v/>
      </c>
    </row>
    <row r="904" spans="4:5">
      <c r="D904" s="90" t="str">
        <f>IF('Product List'!C904="","",'Product List'!C904)</f>
        <v/>
      </c>
      <c r="E904" s="90" t="str">
        <f>IF('Product List'!B904="","",'Product List'!B904)</f>
        <v/>
      </c>
    </row>
    <row r="905" spans="4:5">
      <c r="D905" s="90" t="str">
        <f>IF('Product List'!C905="","",'Product List'!C905)</f>
        <v/>
      </c>
      <c r="E905" s="90" t="str">
        <f>IF('Product List'!B905="","",'Product List'!B905)</f>
        <v/>
      </c>
    </row>
    <row r="906" spans="4:5">
      <c r="D906" s="90" t="str">
        <f>IF('Product List'!C906="","",'Product List'!C906)</f>
        <v/>
      </c>
      <c r="E906" s="90" t="str">
        <f>IF('Product List'!B906="","",'Product List'!B906)</f>
        <v/>
      </c>
    </row>
    <row r="907" spans="4:5">
      <c r="D907" s="90" t="str">
        <f>IF('Product List'!C907="","",'Product List'!C907)</f>
        <v/>
      </c>
      <c r="E907" s="90" t="str">
        <f>IF('Product List'!B907="","",'Product List'!B907)</f>
        <v/>
      </c>
    </row>
    <row r="908" spans="4:5">
      <c r="D908" s="90" t="str">
        <f>IF('Product List'!C908="","",'Product List'!C908)</f>
        <v/>
      </c>
      <c r="E908" s="90" t="str">
        <f>IF('Product List'!B908="","",'Product List'!B908)</f>
        <v/>
      </c>
    </row>
    <row r="909" spans="4:5">
      <c r="D909" s="90" t="str">
        <f>IF('Product List'!C909="","",'Product List'!C909)</f>
        <v/>
      </c>
      <c r="E909" s="90" t="str">
        <f>IF('Product List'!B909="","",'Product List'!B909)</f>
        <v/>
      </c>
    </row>
    <row r="910" spans="4:5">
      <c r="D910" s="90" t="str">
        <f>IF('Product List'!C910="","",'Product List'!C910)</f>
        <v/>
      </c>
      <c r="E910" s="90" t="str">
        <f>IF('Product List'!B910="","",'Product List'!B910)</f>
        <v/>
      </c>
    </row>
    <row r="911" spans="4:5">
      <c r="D911" s="90" t="str">
        <f>IF('Product List'!C911="","",'Product List'!C911)</f>
        <v/>
      </c>
      <c r="E911" s="90" t="str">
        <f>IF('Product List'!B911="","",'Product List'!B911)</f>
        <v/>
      </c>
    </row>
    <row r="912" spans="4:5">
      <c r="D912" s="90" t="str">
        <f>IF('Product List'!C912="","",'Product List'!C912)</f>
        <v/>
      </c>
      <c r="E912" s="90" t="str">
        <f>IF('Product List'!B912="","",'Product List'!B912)</f>
        <v/>
      </c>
    </row>
    <row r="913" spans="4:5">
      <c r="D913" s="90" t="str">
        <f>IF('Product List'!C913="","",'Product List'!C913)</f>
        <v/>
      </c>
      <c r="E913" s="90" t="str">
        <f>IF('Product List'!B913="","",'Product List'!B913)</f>
        <v/>
      </c>
    </row>
    <row r="914" spans="4:5">
      <c r="D914" s="90" t="str">
        <f>IF('Product List'!C914="","",'Product List'!C914)</f>
        <v/>
      </c>
      <c r="E914" s="90" t="str">
        <f>IF('Product List'!B914="","",'Product List'!B914)</f>
        <v/>
      </c>
    </row>
    <row r="915" spans="4:5">
      <c r="D915" s="90" t="str">
        <f>IF('Product List'!C915="","",'Product List'!C915)</f>
        <v/>
      </c>
      <c r="E915" s="90" t="str">
        <f>IF('Product List'!B915="","",'Product List'!B915)</f>
        <v/>
      </c>
    </row>
    <row r="916" spans="4:5">
      <c r="D916" s="90" t="str">
        <f>IF('Product List'!C916="","",'Product List'!C916)</f>
        <v/>
      </c>
      <c r="E916" s="90" t="str">
        <f>IF('Product List'!B916="","",'Product List'!B916)</f>
        <v/>
      </c>
    </row>
    <row r="917" spans="4:5">
      <c r="D917" s="90" t="str">
        <f>IF('Product List'!C917="","",'Product List'!C917)</f>
        <v/>
      </c>
      <c r="E917" s="90" t="str">
        <f>IF('Product List'!B917="","",'Product List'!B917)</f>
        <v/>
      </c>
    </row>
    <row r="918" spans="4:5">
      <c r="D918" s="90" t="str">
        <f>IF('Product List'!C918="","",'Product List'!C918)</f>
        <v/>
      </c>
      <c r="E918" s="90" t="str">
        <f>IF('Product List'!B918="","",'Product List'!B918)</f>
        <v/>
      </c>
    </row>
    <row r="919" spans="4:5">
      <c r="D919" s="90" t="str">
        <f>IF('Product List'!C919="","",'Product List'!C919)</f>
        <v/>
      </c>
      <c r="E919" s="90" t="str">
        <f>IF('Product List'!B919="","",'Product List'!B919)</f>
        <v/>
      </c>
    </row>
    <row r="920" spans="4:5">
      <c r="D920" s="90" t="str">
        <f>IF('Product List'!C920="","",'Product List'!C920)</f>
        <v/>
      </c>
      <c r="E920" s="90" t="str">
        <f>IF('Product List'!B920="","",'Product List'!B920)</f>
        <v/>
      </c>
    </row>
    <row r="921" spans="4:5">
      <c r="D921" s="90" t="str">
        <f>IF('Product List'!C921="","",'Product List'!C921)</f>
        <v/>
      </c>
      <c r="E921" s="90" t="str">
        <f>IF('Product List'!B921="","",'Product List'!B921)</f>
        <v/>
      </c>
    </row>
    <row r="922" spans="4:5">
      <c r="D922" s="90" t="str">
        <f>IF('Product List'!C922="","",'Product List'!C922)</f>
        <v/>
      </c>
      <c r="E922" s="90" t="str">
        <f>IF('Product List'!B922="","",'Product List'!B922)</f>
        <v/>
      </c>
    </row>
    <row r="923" spans="4:5">
      <c r="D923" s="90" t="str">
        <f>IF('Product List'!C923="","",'Product List'!C923)</f>
        <v/>
      </c>
      <c r="E923" s="90" t="str">
        <f>IF('Product List'!B923="","",'Product List'!B923)</f>
        <v/>
      </c>
    </row>
    <row r="924" spans="4:5">
      <c r="D924" s="90" t="str">
        <f>IF('Product List'!C924="","",'Product List'!C924)</f>
        <v/>
      </c>
      <c r="E924" s="90" t="str">
        <f>IF('Product List'!B924="","",'Product List'!B924)</f>
        <v/>
      </c>
    </row>
    <row r="925" spans="4:5">
      <c r="D925" s="90" t="str">
        <f>IF('Product List'!C925="","",'Product List'!C925)</f>
        <v/>
      </c>
      <c r="E925" s="90" t="str">
        <f>IF('Product List'!B925="","",'Product List'!B925)</f>
        <v/>
      </c>
    </row>
    <row r="926" spans="4:5">
      <c r="D926" s="90" t="str">
        <f>IF('Product List'!C926="","",'Product List'!C926)</f>
        <v/>
      </c>
      <c r="E926" s="90" t="str">
        <f>IF('Product List'!B926="","",'Product List'!B926)</f>
        <v/>
      </c>
    </row>
    <row r="927" spans="4:5">
      <c r="D927" s="90" t="str">
        <f>IF('Product List'!C927="","",'Product List'!C927)</f>
        <v/>
      </c>
      <c r="E927" s="90" t="str">
        <f>IF('Product List'!B927="","",'Product List'!B927)</f>
        <v/>
      </c>
    </row>
    <row r="928" spans="4:5">
      <c r="D928" s="90" t="str">
        <f>IF('Product List'!C928="","",'Product List'!C928)</f>
        <v/>
      </c>
      <c r="E928" s="90" t="str">
        <f>IF('Product List'!B928="","",'Product List'!B928)</f>
        <v/>
      </c>
    </row>
    <row r="929" spans="4:5">
      <c r="D929" s="90" t="str">
        <f>IF('Product List'!C929="","",'Product List'!C929)</f>
        <v/>
      </c>
      <c r="E929" s="90" t="str">
        <f>IF('Product List'!B929="","",'Product List'!B929)</f>
        <v/>
      </c>
    </row>
    <row r="930" spans="4:5">
      <c r="D930" s="90" t="str">
        <f>IF('Product List'!C930="","",'Product List'!C930)</f>
        <v/>
      </c>
      <c r="E930" s="90" t="str">
        <f>IF('Product List'!B930="","",'Product List'!B930)</f>
        <v/>
      </c>
    </row>
    <row r="931" spans="4:5">
      <c r="D931" s="90" t="str">
        <f>IF('Product List'!C931="","",'Product List'!C931)</f>
        <v/>
      </c>
      <c r="E931" s="90" t="str">
        <f>IF('Product List'!B931="","",'Product List'!B931)</f>
        <v/>
      </c>
    </row>
    <row r="932" spans="4:5">
      <c r="D932" s="90" t="str">
        <f>IF('Product List'!C932="","",'Product List'!C932)</f>
        <v/>
      </c>
      <c r="E932" s="90" t="str">
        <f>IF('Product List'!B932="","",'Product List'!B932)</f>
        <v/>
      </c>
    </row>
    <row r="933" spans="4:5">
      <c r="D933" s="90" t="str">
        <f>IF('Product List'!C933="","",'Product List'!C933)</f>
        <v/>
      </c>
      <c r="E933" s="90" t="str">
        <f>IF('Product List'!B933="","",'Product List'!B933)</f>
        <v/>
      </c>
    </row>
    <row r="934" spans="4:5">
      <c r="D934" s="90" t="str">
        <f>IF('Product List'!C934="","",'Product List'!C934)</f>
        <v/>
      </c>
      <c r="E934" s="90" t="str">
        <f>IF('Product List'!B934="","",'Product List'!B934)</f>
        <v/>
      </c>
    </row>
    <row r="935" spans="4:5">
      <c r="D935" s="90" t="str">
        <f>IF('Product List'!C935="","",'Product List'!C935)</f>
        <v/>
      </c>
      <c r="E935" s="90" t="str">
        <f>IF('Product List'!B935="","",'Product List'!B935)</f>
        <v/>
      </c>
    </row>
    <row r="936" spans="4:5">
      <c r="D936" s="90" t="str">
        <f>IF('Product List'!C936="","",'Product List'!C936)</f>
        <v/>
      </c>
      <c r="E936" s="90" t="str">
        <f>IF('Product List'!B936="","",'Product List'!B936)</f>
        <v/>
      </c>
    </row>
    <row r="937" spans="4:5">
      <c r="D937" s="90" t="str">
        <f>IF('Product List'!C937="","",'Product List'!C937)</f>
        <v/>
      </c>
      <c r="E937" s="90" t="str">
        <f>IF('Product List'!B937="","",'Product List'!B937)</f>
        <v/>
      </c>
    </row>
    <row r="938" spans="4:5">
      <c r="D938" s="90" t="str">
        <f>IF('Product List'!C938="","",'Product List'!C938)</f>
        <v/>
      </c>
      <c r="E938" s="90" t="str">
        <f>IF('Product List'!B938="","",'Product List'!B938)</f>
        <v/>
      </c>
    </row>
    <row r="939" spans="4:5">
      <c r="D939" s="90" t="str">
        <f>IF('Product List'!C939="","",'Product List'!C939)</f>
        <v/>
      </c>
      <c r="E939" s="90" t="str">
        <f>IF('Product List'!B939="","",'Product List'!B939)</f>
        <v/>
      </c>
    </row>
    <row r="940" spans="4:5">
      <c r="D940" s="90" t="str">
        <f>IF('Product List'!C940="","",'Product List'!C940)</f>
        <v/>
      </c>
      <c r="E940" s="90" t="str">
        <f>IF('Product List'!B940="","",'Product List'!B940)</f>
        <v/>
      </c>
    </row>
    <row r="941" spans="4:5">
      <c r="D941" s="90" t="str">
        <f>IF('Product List'!C941="","",'Product List'!C941)</f>
        <v/>
      </c>
      <c r="E941" s="90" t="str">
        <f>IF('Product List'!B941="","",'Product List'!B941)</f>
        <v/>
      </c>
    </row>
    <row r="942" spans="4:5">
      <c r="D942" s="90" t="str">
        <f>IF('Product List'!C942="","",'Product List'!C942)</f>
        <v/>
      </c>
      <c r="E942" s="90" t="str">
        <f>IF('Product List'!B942="","",'Product List'!B942)</f>
        <v/>
      </c>
    </row>
    <row r="943" spans="4:5">
      <c r="D943" s="90" t="str">
        <f>IF('Product List'!C943="","",'Product List'!C943)</f>
        <v/>
      </c>
      <c r="E943" s="90" t="str">
        <f>IF('Product List'!B943="","",'Product List'!B943)</f>
        <v/>
      </c>
    </row>
    <row r="944" spans="4:5">
      <c r="D944" s="90" t="str">
        <f>IF('Product List'!C944="","",'Product List'!C944)</f>
        <v/>
      </c>
      <c r="E944" s="90" t="str">
        <f>IF('Product List'!B944="","",'Product List'!B944)</f>
        <v/>
      </c>
    </row>
    <row r="945" spans="4:5">
      <c r="D945" s="90" t="str">
        <f>IF('Product List'!C945="","",'Product List'!C945)</f>
        <v/>
      </c>
      <c r="E945" s="90" t="str">
        <f>IF('Product List'!B945="","",'Product List'!B945)</f>
        <v/>
      </c>
    </row>
    <row r="946" spans="4:5">
      <c r="D946" s="90" t="str">
        <f>IF('Product List'!C946="","",'Product List'!C946)</f>
        <v/>
      </c>
      <c r="E946" s="90" t="str">
        <f>IF('Product List'!B946="","",'Product List'!B946)</f>
        <v/>
      </c>
    </row>
    <row r="947" spans="4:5">
      <c r="D947" s="90" t="str">
        <f>IF('Product List'!C947="","",'Product List'!C947)</f>
        <v/>
      </c>
      <c r="E947" s="90" t="str">
        <f>IF('Product List'!B947="","",'Product List'!B947)</f>
        <v/>
      </c>
    </row>
    <row r="948" spans="4:5">
      <c r="D948" s="90" t="str">
        <f>IF('Product List'!C948="","",'Product List'!C948)</f>
        <v/>
      </c>
      <c r="E948" s="90" t="str">
        <f>IF('Product List'!B948="","",'Product List'!B948)</f>
        <v/>
      </c>
    </row>
    <row r="949" spans="4:5">
      <c r="D949" s="90" t="str">
        <f>IF('Product List'!C949="","",'Product List'!C949)</f>
        <v/>
      </c>
      <c r="E949" s="90" t="str">
        <f>IF('Product List'!B949="","",'Product List'!B949)</f>
        <v/>
      </c>
    </row>
    <row r="950" spans="4:5">
      <c r="D950" s="90" t="str">
        <f>IF('Product List'!C950="","",'Product List'!C950)</f>
        <v/>
      </c>
      <c r="E950" s="90" t="str">
        <f>IF('Product List'!B950="","",'Product List'!B950)</f>
        <v/>
      </c>
    </row>
    <row r="951" spans="4:5">
      <c r="D951" s="90" t="str">
        <f>IF('Product List'!C951="","",'Product List'!C951)</f>
        <v/>
      </c>
      <c r="E951" s="90" t="str">
        <f>IF('Product List'!B951="","",'Product List'!B951)</f>
        <v/>
      </c>
    </row>
    <row r="952" spans="4:5">
      <c r="D952" s="90" t="str">
        <f>IF('Product List'!C952="","",'Product List'!C952)</f>
        <v/>
      </c>
      <c r="E952" s="90" t="str">
        <f>IF('Product List'!B952="","",'Product List'!B952)</f>
        <v/>
      </c>
    </row>
    <row r="953" spans="4:5">
      <c r="D953" s="90" t="str">
        <f>IF('Product List'!C953="","",'Product List'!C953)</f>
        <v/>
      </c>
      <c r="E953" s="90" t="str">
        <f>IF('Product List'!B953="","",'Product List'!B953)</f>
        <v/>
      </c>
    </row>
    <row r="954" spans="4:5">
      <c r="D954" s="90" t="str">
        <f>IF('Product List'!C954="","",'Product List'!C954)</f>
        <v/>
      </c>
      <c r="E954" s="90" t="str">
        <f>IF('Product List'!B954="","",'Product List'!B954)</f>
        <v/>
      </c>
    </row>
    <row r="955" spans="4:5">
      <c r="D955" s="90" t="str">
        <f>IF('Product List'!C955="","",'Product List'!C955)</f>
        <v/>
      </c>
      <c r="E955" s="90" t="str">
        <f>IF('Product List'!B955="","",'Product List'!B955)</f>
        <v/>
      </c>
    </row>
    <row r="956" spans="4:5">
      <c r="D956" s="90" t="str">
        <f>IF('Product List'!C956="","",'Product List'!C956)</f>
        <v/>
      </c>
      <c r="E956" s="90" t="str">
        <f>IF('Product List'!B956="","",'Product List'!B956)</f>
        <v/>
      </c>
    </row>
    <row r="957" spans="4:5">
      <c r="D957" s="90" t="str">
        <f>IF('Product List'!C957="","",'Product List'!C957)</f>
        <v/>
      </c>
      <c r="E957" s="90" t="str">
        <f>IF('Product List'!B957="","",'Product List'!B957)</f>
        <v/>
      </c>
    </row>
    <row r="958" spans="4:5">
      <c r="D958" s="90" t="str">
        <f>IF('Product List'!C958="","",'Product List'!C958)</f>
        <v/>
      </c>
      <c r="E958" s="90" t="str">
        <f>IF('Product List'!B958="","",'Product List'!B958)</f>
        <v/>
      </c>
    </row>
    <row r="959" spans="4:5">
      <c r="D959" s="90" t="str">
        <f>IF('Product List'!C959="","",'Product List'!C959)</f>
        <v/>
      </c>
      <c r="E959" s="90" t="str">
        <f>IF('Product List'!B959="","",'Product List'!B959)</f>
        <v/>
      </c>
    </row>
    <row r="960" spans="4:5">
      <c r="D960" s="90" t="str">
        <f>IF('Product List'!C960="","",'Product List'!C960)</f>
        <v/>
      </c>
      <c r="E960" s="90" t="str">
        <f>IF('Product List'!B960="","",'Product List'!B960)</f>
        <v/>
      </c>
    </row>
    <row r="961" spans="4:5">
      <c r="D961" s="90" t="str">
        <f>IF('Product List'!C961="","",'Product List'!C961)</f>
        <v/>
      </c>
      <c r="E961" s="90" t="str">
        <f>IF('Product List'!B961="","",'Product List'!B961)</f>
        <v/>
      </c>
    </row>
    <row r="962" spans="4:5">
      <c r="D962" s="90" t="str">
        <f>IF('Product List'!C962="","",'Product List'!C962)</f>
        <v/>
      </c>
      <c r="E962" s="90" t="str">
        <f>IF('Product List'!B962="","",'Product List'!B962)</f>
        <v/>
      </c>
    </row>
    <row r="963" spans="4:5">
      <c r="D963" s="90" t="str">
        <f>IF('Product List'!C963="","",'Product List'!C963)</f>
        <v/>
      </c>
      <c r="E963" s="90" t="str">
        <f>IF('Product List'!B963="","",'Product List'!B963)</f>
        <v/>
      </c>
    </row>
    <row r="964" spans="4:5">
      <c r="D964" s="90" t="str">
        <f>IF('Product List'!C964="","",'Product List'!C964)</f>
        <v/>
      </c>
      <c r="E964" s="90" t="str">
        <f>IF('Product List'!B964="","",'Product List'!B964)</f>
        <v/>
      </c>
    </row>
    <row r="965" spans="4:5">
      <c r="D965" s="90" t="str">
        <f>IF('Product List'!C965="","",'Product List'!C965)</f>
        <v/>
      </c>
      <c r="E965" s="90" t="str">
        <f>IF('Product List'!B965="","",'Product List'!B965)</f>
        <v/>
      </c>
    </row>
    <row r="966" spans="4:5">
      <c r="D966" s="90" t="str">
        <f>IF('Product List'!C966="","",'Product List'!C966)</f>
        <v/>
      </c>
      <c r="E966" s="90" t="str">
        <f>IF('Product List'!B966="","",'Product List'!B966)</f>
        <v/>
      </c>
    </row>
    <row r="967" spans="4:5">
      <c r="D967" s="90" t="str">
        <f>IF('Product List'!C967="","",'Product List'!C967)</f>
        <v/>
      </c>
      <c r="E967" s="90" t="str">
        <f>IF('Product List'!B967="","",'Product List'!B967)</f>
        <v/>
      </c>
    </row>
    <row r="968" spans="4:5">
      <c r="D968" s="90" t="str">
        <f>IF('Product List'!C968="","",'Product List'!C968)</f>
        <v/>
      </c>
      <c r="E968" s="90" t="str">
        <f>IF('Product List'!B968="","",'Product List'!B968)</f>
        <v/>
      </c>
    </row>
    <row r="969" spans="4:5">
      <c r="D969" s="90" t="str">
        <f>IF('Product List'!C969="","",'Product List'!C969)</f>
        <v/>
      </c>
      <c r="E969" s="90" t="str">
        <f>IF('Product List'!B969="","",'Product List'!B969)</f>
        <v/>
      </c>
    </row>
    <row r="970" spans="4:5">
      <c r="D970" s="90" t="str">
        <f>IF('Product List'!C970="","",'Product List'!C970)</f>
        <v/>
      </c>
      <c r="E970" s="90" t="str">
        <f>IF('Product List'!B970="","",'Product List'!B970)</f>
        <v/>
      </c>
    </row>
    <row r="971" spans="4:5">
      <c r="D971" s="90" t="str">
        <f>IF('Product List'!C971="","",'Product List'!C971)</f>
        <v/>
      </c>
      <c r="E971" s="90" t="str">
        <f>IF('Product List'!B971="","",'Product List'!B971)</f>
        <v/>
      </c>
    </row>
    <row r="972" spans="4:5">
      <c r="D972" s="90" t="str">
        <f>IF('Product List'!C972="","",'Product List'!C972)</f>
        <v/>
      </c>
      <c r="E972" s="90" t="str">
        <f>IF('Product List'!B972="","",'Product List'!B972)</f>
        <v/>
      </c>
    </row>
    <row r="973" spans="4:5">
      <c r="D973" s="90" t="str">
        <f>IF('Product List'!C973="","",'Product List'!C973)</f>
        <v/>
      </c>
      <c r="E973" s="90" t="str">
        <f>IF('Product List'!B973="","",'Product List'!B973)</f>
        <v/>
      </c>
    </row>
    <row r="974" spans="4:5">
      <c r="D974" s="90" t="str">
        <f>IF('Product List'!C974="","",'Product List'!C974)</f>
        <v/>
      </c>
      <c r="E974" s="90" t="str">
        <f>IF('Product List'!B974="","",'Product List'!B974)</f>
        <v/>
      </c>
    </row>
    <row r="975" spans="4:5">
      <c r="D975" s="90" t="str">
        <f>IF('Product List'!C975="","",'Product List'!C975)</f>
        <v/>
      </c>
      <c r="E975" s="90" t="str">
        <f>IF('Product List'!B975="","",'Product List'!B975)</f>
        <v/>
      </c>
    </row>
    <row r="976" spans="4:5">
      <c r="D976" s="90" t="str">
        <f>IF('Product List'!C976="","",'Product List'!C976)</f>
        <v/>
      </c>
      <c r="E976" s="90" t="str">
        <f>IF('Product List'!B976="","",'Product List'!B976)</f>
        <v/>
      </c>
    </row>
    <row r="977" spans="4:5">
      <c r="D977" s="90" t="str">
        <f>IF('Product List'!C977="","",'Product List'!C977)</f>
        <v/>
      </c>
      <c r="E977" s="90" t="str">
        <f>IF('Product List'!B977="","",'Product List'!B977)</f>
        <v/>
      </c>
    </row>
    <row r="978" spans="4:5">
      <c r="D978" s="90" t="str">
        <f>IF('Product List'!C978="","",'Product List'!C978)</f>
        <v/>
      </c>
      <c r="E978" s="90" t="str">
        <f>IF('Product List'!B978="","",'Product List'!B978)</f>
        <v/>
      </c>
    </row>
    <row r="979" spans="4:5">
      <c r="D979" s="90" t="str">
        <f>IF('Product List'!C979="","",'Product List'!C979)</f>
        <v/>
      </c>
      <c r="E979" s="90" t="str">
        <f>IF('Product List'!B979="","",'Product List'!B979)</f>
        <v/>
      </c>
    </row>
    <row r="980" spans="4:5">
      <c r="D980" s="90" t="str">
        <f>IF('Product List'!C980="","",'Product List'!C980)</f>
        <v/>
      </c>
      <c r="E980" s="90" t="str">
        <f>IF('Product List'!B980="","",'Product List'!B980)</f>
        <v/>
      </c>
    </row>
    <row r="981" spans="4:5">
      <c r="D981" s="90" t="str">
        <f>IF('Product List'!C981="","",'Product List'!C981)</f>
        <v/>
      </c>
      <c r="E981" s="90" t="str">
        <f>IF('Product List'!B981="","",'Product List'!B981)</f>
        <v/>
      </c>
    </row>
    <row r="982" spans="4:5">
      <c r="D982" s="90" t="str">
        <f>IF('Product List'!C982="","",'Product List'!C982)</f>
        <v/>
      </c>
      <c r="E982" s="90" t="str">
        <f>IF('Product List'!B982="","",'Product List'!B982)</f>
        <v/>
      </c>
    </row>
    <row r="983" spans="4:5">
      <c r="D983" s="90" t="str">
        <f>IF('Product List'!C983="","",'Product List'!C983)</f>
        <v/>
      </c>
      <c r="E983" s="90" t="str">
        <f>IF('Product List'!B983="","",'Product List'!B983)</f>
        <v/>
      </c>
    </row>
    <row r="984" spans="4:5">
      <c r="D984" s="90" t="str">
        <f>IF('Product List'!C984="","",'Product List'!C984)</f>
        <v/>
      </c>
      <c r="E984" s="90" t="str">
        <f>IF('Product List'!B984="","",'Product List'!B984)</f>
        <v/>
      </c>
    </row>
    <row r="985" spans="4:5">
      <c r="D985" s="90" t="str">
        <f>IF('Product List'!C985="","",'Product List'!C985)</f>
        <v/>
      </c>
      <c r="E985" s="90" t="str">
        <f>IF('Product List'!B985="","",'Product List'!B985)</f>
        <v/>
      </c>
    </row>
    <row r="986" spans="4:5">
      <c r="D986" s="90" t="str">
        <f>IF('Product List'!C986="","",'Product List'!C986)</f>
        <v/>
      </c>
      <c r="E986" s="90" t="str">
        <f>IF('Product List'!B986="","",'Product List'!B986)</f>
        <v/>
      </c>
    </row>
    <row r="987" spans="4:5">
      <c r="D987" s="90" t="str">
        <f>IF('Product List'!C987="","",'Product List'!C987)</f>
        <v/>
      </c>
      <c r="E987" s="90" t="str">
        <f>IF('Product List'!B987="","",'Product List'!B987)</f>
        <v/>
      </c>
    </row>
    <row r="988" spans="4:5">
      <c r="D988" s="90" t="str">
        <f>IF('Product List'!C988="","",'Product List'!C988)</f>
        <v/>
      </c>
      <c r="E988" s="90" t="str">
        <f>IF('Product List'!B988="","",'Product List'!B988)</f>
        <v/>
      </c>
    </row>
    <row r="989" spans="4:5">
      <c r="D989" s="90" t="str">
        <f>IF('Product List'!C989="","",'Product List'!C989)</f>
        <v/>
      </c>
      <c r="E989" s="90" t="str">
        <f>IF('Product List'!B989="","",'Product List'!B989)</f>
        <v/>
      </c>
    </row>
    <row r="990" spans="4:5">
      <c r="D990" s="90" t="str">
        <f>IF('Product List'!C990="","",'Product List'!C990)</f>
        <v/>
      </c>
      <c r="E990" s="90" t="str">
        <f>IF('Product List'!B990="","",'Product List'!B990)</f>
        <v/>
      </c>
    </row>
    <row r="991" spans="4:5">
      <c r="D991" s="90" t="str">
        <f>IF('Product List'!C991="","",'Product List'!C991)</f>
        <v/>
      </c>
      <c r="E991" s="90" t="str">
        <f>IF('Product List'!B991="","",'Product List'!B991)</f>
        <v/>
      </c>
    </row>
    <row r="992" spans="4:5">
      <c r="D992" s="90" t="str">
        <f>IF('Product List'!C992="","",'Product List'!C992)</f>
        <v/>
      </c>
      <c r="E992" s="90" t="str">
        <f>IF('Product List'!B992="","",'Product List'!B992)</f>
        <v/>
      </c>
    </row>
    <row r="993" spans="4:5">
      <c r="D993" s="90" t="str">
        <f>IF('Product List'!C993="","",'Product List'!C993)</f>
        <v/>
      </c>
      <c r="E993" s="90" t="str">
        <f>IF('Product List'!B993="","",'Product List'!B993)</f>
        <v/>
      </c>
    </row>
    <row r="994" spans="4:5">
      <c r="D994" s="90" t="str">
        <f>IF('Product List'!C994="","",'Product List'!C994)</f>
        <v/>
      </c>
      <c r="E994" s="90" t="str">
        <f>IF('Product List'!B994="","",'Product List'!B994)</f>
        <v/>
      </c>
    </row>
    <row r="995" spans="4:5">
      <c r="D995" s="90" t="str">
        <f>IF('Product List'!C995="","",'Product List'!C995)</f>
        <v/>
      </c>
      <c r="E995" s="90" t="str">
        <f>IF('Product List'!B995="","",'Product List'!B995)</f>
        <v/>
      </c>
    </row>
    <row r="996" spans="4:5">
      <c r="D996" s="90" t="str">
        <f>IF('Product List'!C996="","",'Product List'!C996)</f>
        <v/>
      </c>
      <c r="E996" s="90" t="str">
        <f>IF('Product List'!B996="","",'Product List'!B996)</f>
        <v/>
      </c>
    </row>
    <row r="997" spans="4:5">
      <c r="D997" s="90" t="str">
        <f>IF('Product List'!C997="","",'Product List'!C997)</f>
        <v/>
      </c>
      <c r="E997" s="90" t="str">
        <f>IF('Product List'!B997="","",'Product List'!B997)</f>
        <v/>
      </c>
    </row>
    <row r="998" spans="4:5">
      <c r="D998" s="90" t="str">
        <f>IF('Product List'!C998="","",'Product List'!C998)</f>
        <v/>
      </c>
      <c r="E998" s="90" t="str">
        <f>IF('Product List'!B998="","",'Product List'!B998)</f>
        <v/>
      </c>
    </row>
    <row r="999" spans="4:5">
      <c r="D999" s="90" t="str">
        <f>IF('Product List'!C999="","",'Product List'!C999)</f>
        <v/>
      </c>
      <c r="E999" s="90" t="str">
        <f>IF('Product List'!B999="","",'Product List'!B999)</f>
        <v/>
      </c>
    </row>
    <row r="1000" spans="4:5">
      <c r="D1000" s="90" t="str">
        <f>IF('Product List'!C1000="","",'Product List'!C1000)</f>
        <v/>
      </c>
      <c r="E1000" s="90" t="str">
        <f>IF('Product List'!B1000="","",'Product List'!B1000)</f>
        <v/>
      </c>
    </row>
    <row r="1001" spans="4:5">
      <c r="D1001" s="90" t="str">
        <f>IF('Product List'!C1001="","",'Product List'!C1001)</f>
        <v/>
      </c>
      <c r="E1001" s="90" t="str">
        <f>IF('Product List'!B1001="","",'Product List'!B1001)</f>
        <v/>
      </c>
    </row>
    <row r="1002" spans="4:5">
      <c r="D1002" s="90" t="str">
        <f>IF('Product List'!C1002="","",'Product List'!C1002)</f>
        <v/>
      </c>
      <c r="E1002" s="90" t="str">
        <f>IF('Product List'!B1002="","",'Product List'!B1002)</f>
        <v/>
      </c>
    </row>
    <row r="1003" spans="4:5">
      <c r="D1003" s="90" t="str">
        <f>IF('Product List'!C1003="","",'Product List'!C1003)</f>
        <v/>
      </c>
      <c r="E1003" s="90" t="str">
        <f>IF('Product List'!B1003="","",'Product List'!B1003)</f>
        <v/>
      </c>
    </row>
    <row r="1004" spans="4:5">
      <c r="D1004" s="90" t="str">
        <f>IF('Product List'!C1004="","",'Product List'!C1004)</f>
        <v/>
      </c>
      <c r="E1004" s="90" t="str">
        <f>IF('Product List'!B1004="","",'Product List'!B1004)</f>
        <v/>
      </c>
    </row>
    <row r="1005" spans="4:5">
      <c r="D1005" s="90" t="str">
        <f>IF('Product List'!C1005="","",'Product List'!C1005)</f>
        <v/>
      </c>
      <c r="E1005" s="90" t="str">
        <f>IF('Product List'!B1005="","",'Product List'!B1005)</f>
        <v/>
      </c>
    </row>
    <row r="1006" spans="4:5">
      <c r="D1006" s="90" t="str">
        <f>IF('Product List'!C1006="","",'Product List'!C1006)</f>
        <v/>
      </c>
      <c r="E1006" s="90" t="str">
        <f>IF('Product List'!B1006="","",'Product List'!B1006)</f>
        <v/>
      </c>
    </row>
    <row r="1007" spans="4:5">
      <c r="D1007" s="90" t="str">
        <f>IF('Product List'!C1007="","",'Product List'!C1007)</f>
        <v/>
      </c>
      <c r="E1007" s="90" t="str">
        <f>IF('Product List'!B1007="","",'Product List'!B1007)</f>
        <v/>
      </c>
    </row>
    <row r="1008" spans="4:5">
      <c r="D1008" s="90" t="str">
        <f>IF('Product List'!C1008="","",'Product List'!C1008)</f>
        <v/>
      </c>
      <c r="E1008" s="90" t="str">
        <f>IF('Product List'!B1008="","",'Product List'!B1008)</f>
        <v/>
      </c>
    </row>
    <row r="1009" spans="4:5">
      <c r="D1009" s="90" t="str">
        <f>IF('Product List'!C1009="","",'Product List'!C1009)</f>
        <v/>
      </c>
      <c r="E1009" s="90" t="str">
        <f>IF('Product List'!B1009="","",'Product List'!B1009)</f>
        <v/>
      </c>
    </row>
    <row r="1010" spans="4:5">
      <c r="D1010" s="90" t="str">
        <f>IF('Product List'!C1010="","",'Product List'!C1010)</f>
        <v/>
      </c>
      <c r="E1010" s="90" t="str">
        <f>IF('Product List'!B1010="","",'Product List'!B1010)</f>
        <v/>
      </c>
    </row>
    <row r="1011" spans="4:5">
      <c r="D1011" s="90" t="str">
        <f>IF('Product List'!C1011="","",'Product List'!C1011)</f>
        <v/>
      </c>
      <c r="E1011" s="90" t="str">
        <f>IF('Product List'!B1011="","",'Product List'!B1011)</f>
        <v/>
      </c>
    </row>
    <row r="1012" spans="4:5">
      <c r="D1012" s="90" t="str">
        <f>IF('Product List'!C1012="","",'Product List'!C1012)</f>
        <v/>
      </c>
      <c r="E1012" s="90" t="str">
        <f>IF('Product List'!B1012="","",'Product List'!B1012)</f>
        <v/>
      </c>
    </row>
    <row r="1013" spans="4:5">
      <c r="D1013" s="90" t="str">
        <f>IF('Product List'!C1013="","",'Product List'!C1013)</f>
        <v/>
      </c>
      <c r="E1013" s="90" t="str">
        <f>IF('Product List'!B1013="","",'Product List'!B1013)</f>
        <v/>
      </c>
    </row>
    <row r="1014" spans="4:5">
      <c r="D1014" s="90" t="str">
        <f>IF('Product List'!C1014="","",'Product List'!C1014)</f>
        <v/>
      </c>
      <c r="E1014" s="90" t="str">
        <f>IF('Product List'!B1014="","",'Product List'!B1014)</f>
        <v/>
      </c>
    </row>
    <row r="1015" spans="4:5">
      <c r="D1015" s="90" t="str">
        <f>IF('Product List'!C1015="","",'Product List'!C1015)</f>
        <v/>
      </c>
      <c r="E1015" s="90" t="str">
        <f>IF('Product List'!B1015="","",'Product List'!B1015)</f>
        <v/>
      </c>
    </row>
    <row r="1016" spans="4:5">
      <c r="D1016" s="90" t="str">
        <f>IF('Product List'!C1016="","",'Product List'!C1016)</f>
        <v/>
      </c>
      <c r="E1016" s="90" t="str">
        <f>IF('Product List'!B1016="","",'Product List'!B1016)</f>
        <v/>
      </c>
    </row>
    <row r="1017" spans="4:5">
      <c r="D1017" s="90" t="str">
        <f>IF('Product List'!C1017="","",'Product List'!C1017)</f>
        <v/>
      </c>
      <c r="E1017" s="90" t="str">
        <f>IF('Product List'!B1017="","",'Product List'!B1017)</f>
        <v/>
      </c>
    </row>
    <row r="1018" spans="4:5">
      <c r="D1018" s="90" t="str">
        <f>IF('Product List'!C1018="","",'Product List'!C1018)</f>
        <v/>
      </c>
      <c r="E1018" s="90" t="str">
        <f>IF('Product List'!B1018="","",'Product List'!B1018)</f>
        <v/>
      </c>
    </row>
    <row r="1019" spans="4:5">
      <c r="D1019" s="90" t="str">
        <f>IF('Product List'!C1019="","",'Product List'!C1019)</f>
        <v/>
      </c>
      <c r="E1019" s="90" t="str">
        <f>IF('Product List'!B1019="","",'Product List'!B1019)</f>
        <v/>
      </c>
    </row>
    <row r="1020" spans="4:5">
      <c r="D1020" s="90" t="str">
        <f>IF('Product List'!C1020="","",'Product List'!C1020)</f>
        <v/>
      </c>
      <c r="E1020" s="90" t="str">
        <f>IF('Product List'!B1020="","",'Product List'!B1020)</f>
        <v/>
      </c>
    </row>
    <row r="1021" spans="4:5">
      <c r="D1021" s="90" t="str">
        <f>IF('Product List'!C1021="","",'Product List'!C1021)</f>
        <v/>
      </c>
      <c r="E1021" s="90" t="str">
        <f>IF('Product List'!B1021="","",'Product List'!B1021)</f>
        <v/>
      </c>
    </row>
    <row r="1022" spans="4:5">
      <c r="D1022" s="90" t="str">
        <f>IF('Product List'!C1022="","",'Product List'!C1022)</f>
        <v/>
      </c>
      <c r="E1022" s="90" t="str">
        <f>IF('Product List'!B1022="","",'Product List'!B1022)</f>
        <v/>
      </c>
    </row>
    <row r="1023" spans="4:5">
      <c r="D1023" s="90" t="str">
        <f>IF('Product List'!C1023="","",'Product List'!C1023)</f>
        <v/>
      </c>
      <c r="E1023" s="90" t="str">
        <f>IF('Product List'!B1023="","",'Product List'!B1023)</f>
        <v/>
      </c>
    </row>
    <row r="1024" spans="4:5">
      <c r="D1024" s="90" t="str">
        <f>IF('Product List'!C1024="","",'Product List'!C1024)</f>
        <v/>
      </c>
      <c r="E1024" s="90" t="str">
        <f>IF('Product List'!B1024="","",'Product List'!B1024)</f>
        <v/>
      </c>
    </row>
    <row r="1025" spans="4:5">
      <c r="D1025" s="90" t="str">
        <f>IF('Product List'!C1025="","",'Product List'!C1025)</f>
        <v/>
      </c>
      <c r="E1025" s="90" t="str">
        <f>IF('Product List'!B1025="","",'Product List'!B1025)</f>
        <v/>
      </c>
    </row>
    <row r="1026" spans="4:5">
      <c r="D1026" s="90" t="str">
        <f>IF('Product List'!C1026="","",'Product List'!C1026)</f>
        <v/>
      </c>
      <c r="E1026" s="90" t="str">
        <f>IF('Product List'!B1026="","",'Product List'!B1026)</f>
        <v/>
      </c>
    </row>
    <row r="1027" spans="4:5">
      <c r="D1027" s="90" t="str">
        <f>IF('Product List'!C1027="","",'Product List'!C1027)</f>
        <v/>
      </c>
      <c r="E1027" s="90" t="str">
        <f>IF('Product List'!B1027="","",'Product List'!B1027)</f>
        <v/>
      </c>
    </row>
    <row r="1028" spans="4:5">
      <c r="D1028" s="90" t="str">
        <f>IF('Product List'!C1028="","",'Product List'!C1028)</f>
        <v/>
      </c>
      <c r="E1028" s="90" t="str">
        <f>IF('Product List'!B1028="","",'Product List'!B1028)</f>
        <v/>
      </c>
    </row>
    <row r="1029" spans="4:5">
      <c r="D1029" s="90" t="str">
        <f>IF('Product List'!C1029="","",'Product List'!C1029)</f>
        <v/>
      </c>
      <c r="E1029" s="90" t="str">
        <f>IF('Product List'!B1029="","",'Product List'!B1029)</f>
        <v/>
      </c>
    </row>
    <row r="1030" spans="4:5">
      <c r="D1030" s="90" t="str">
        <f>IF('Product List'!C1030="","",'Product List'!C1030)</f>
        <v/>
      </c>
      <c r="E1030" s="90" t="str">
        <f>IF('Product List'!B1030="","",'Product List'!B1030)</f>
        <v/>
      </c>
    </row>
    <row r="1031" spans="4:5">
      <c r="D1031" s="90" t="str">
        <f>IF('Product List'!C1031="","",'Product List'!C1031)</f>
        <v/>
      </c>
      <c r="E1031" s="90" t="str">
        <f>IF('Product List'!B1031="","",'Product List'!B1031)</f>
        <v/>
      </c>
    </row>
    <row r="1032" spans="4:5">
      <c r="D1032" s="90" t="str">
        <f>IF('Product List'!C1032="","",'Product List'!C1032)</f>
        <v/>
      </c>
      <c r="E1032" s="90" t="str">
        <f>IF('Product List'!B1032="","",'Product List'!B1032)</f>
        <v/>
      </c>
    </row>
    <row r="1033" spans="4:5">
      <c r="D1033" s="90" t="str">
        <f>IF('Product List'!C1033="","",'Product List'!C1033)</f>
        <v/>
      </c>
      <c r="E1033" s="90" t="str">
        <f>IF('Product List'!B1033="","",'Product List'!B1033)</f>
        <v/>
      </c>
    </row>
    <row r="1034" spans="4:5">
      <c r="D1034" s="90" t="str">
        <f>IF('Product List'!C1034="","",'Product List'!C1034)</f>
        <v/>
      </c>
      <c r="E1034" s="90" t="str">
        <f>IF('Product List'!B1034="","",'Product List'!B1034)</f>
        <v/>
      </c>
    </row>
    <row r="1035" spans="4:5">
      <c r="D1035" s="90" t="str">
        <f>IF('Product List'!C1035="","",'Product List'!C1035)</f>
        <v/>
      </c>
      <c r="E1035" s="90" t="str">
        <f>IF('Product List'!B1035="","",'Product List'!B1035)</f>
        <v/>
      </c>
    </row>
    <row r="1036" spans="4:5">
      <c r="D1036" s="90" t="str">
        <f>IF('Product List'!C1036="","",'Product List'!C1036)</f>
        <v/>
      </c>
      <c r="E1036" s="90" t="str">
        <f>IF('Product List'!B1036="","",'Product List'!B1036)</f>
        <v/>
      </c>
    </row>
    <row r="1037" spans="4:5">
      <c r="D1037" s="90" t="str">
        <f>IF('Product List'!C1037="","",'Product List'!C1037)</f>
        <v/>
      </c>
      <c r="E1037" s="90" t="str">
        <f>IF('Product List'!B1037="","",'Product List'!B1037)</f>
        <v/>
      </c>
    </row>
    <row r="1038" spans="4:5">
      <c r="D1038" s="90" t="str">
        <f>IF('Product List'!C1038="","",'Product List'!C1038)</f>
        <v/>
      </c>
      <c r="E1038" s="90" t="str">
        <f>IF('Product List'!B1038="","",'Product List'!B1038)</f>
        <v/>
      </c>
    </row>
    <row r="1039" spans="4:5">
      <c r="D1039" s="90" t="str">
        <f>IF('Product List'!C1039="","",'Product List'!C1039)</f>
        <v/>
      </c>
      <c r="E1039" s="90" t="str">
        <f>IF('Product List'!B1039="","",'Product List'!B1039)</f>
        <v/>
      </c>
    </row>
    <row r="1040" spans="4:5">
      <c r="D1040" s="90" t="str">
        <f>IF('Product List'!C1040="","",'Product List'!C1040)</f>
        <v/>
      </c>
      <c r="E1040" s="90" t="str">
        <f>IF('Product List'!B1040="","",'Product List'!B1040)</f>
        <v/>
      </c>
    </row>
    <row r="1041" spans="4:5">
      <c r="D1041" s="90" t="str">
        <f>IF('Product List'!C1041="","",'Product List'!C1041)</f>
        <v/>
      </c>
      <c r="E1041" s="90" t="str">
        <f>IF('Product List'!B1041="","",'Product List'!B1041)</f>
        <v/>
      </c>
    </row>
    <row r="1042" spans="4:5">
      <c r="D1042" s="90" t="str">
        <f>IF('Product List'!C1042="","",'Product List'!C1042)</f>
        <v/>
      </c>
      <c r="E1042" s="90" t="str">
        <f>IF('Product List'!B1042="","",'Product List'!B1042)</f>
        <v/>
      </c>
    </row>
    <row r="1043" spans="4:5">
      <c r="D1043" s="90" t="str">
        <f>IF('Product List'!C1043="","",'Product List'!C1043)</f>
        <v/>
      </c>
      <c r="E1043" s="90" t="str">
        <f>IF('Product List'!B1043="","",'Product List'!B1043)</f>
        <v/>
      </c>
    </row>
    <row r="1044" spans="4:5">
      <c r="D1044" s="90" t="str">
        <f>IF('Product List'!C1044="","",'Product List'!C1044)</f>
        <v/>
      </c>
      <c r="E1044" s="90" t="str">
        <f>IF('Product List'!B1044="","",'Product List'!B1044)</f>
        <v/>
      </c>
    </row>
    <row r="1045" spans="4:5">
      <c r="D1045" s="90" t="str">
        <f>IF('Product List'!C1045="","",'Product List'!C1045)</f>
        <v/>
      </c>
      <c r="E1045" s="90" t="str">
        <f>IF('Product List'!B1045="","",'Product List'!B1045)</f>
        <v/>
      </c>
    </row>
    <row r="1046" spans="4:5">
      <c r="D1046" s="90" t="str">
        <f>IF('Product List'!C1046="","",'Product List'!C1046)</f>
        <v/>
      </c>
      <c r="E1046" s="90" t="str">
        <f>IF('Product List'!B1046="","",'Product List'!B1046)</f>
        <v/>
      </c>
    </row>
    <row r="1047" spans="4:5">
      <c r="D1047" s="90" t="str">
        <f>IF('Product List'!C1047="","",'Product List'!C1047)</f>
        <v/>
      </c>
      <c r="E1047" s="90" t="str">
        <f>IF('Product List'!B1047="","",'Product List'!B1047)</f>
        <v/>
      </c>
    </row>
    <row r="1048" spans="4:5">
      <c r="D1048" s="90" t="str">
        <f>IF('Product List'!C1048="","",'Product List'!C1048)</f>
        <v/>
      </c>
      <c r="E1048" s="90" t="str">
        <f>IF('Product List'!B1048="","",'Product List'!B1048)</f>
        <v/>
      </c>
    </row>
    <row r="1049" spans="4:5">
      <c r="D1049" s="90" t="str">
        <f>IF('Product List'!C1049="","",'Product List'!C1049)</f>
        <v/>
      </c>
      <c r="E1049" s="90" t="str">
        <f>IF('Product List'!B1049="","",'Product List'!B1049)</f>
        <v/>
      </c>
    </row>
    <row r="1050" spans="4:5">
      <c r="D1050" s="90" t="str">
        <f>IF('Product List'!C1050="","",'Product List'!C1050)</f>
        <v/>
      </c>
      <c r="E1050" s="90" t="str">
        <f>IF('Product List'!B1050="","",'Product List'!B1050)</f>
        <v/>
      </c>
    </row>
    <row r="1051" spans="4:5">
      <c r="D1051" s="90" t="str">
        <f>IF('Product List'!C1051="","",'Product List'!C1051)</f>
        <v/>
      </c>
      <c r="E1051" s="90" t="str">
        <f>IF('Product List'!B1051="","",'Product List'!B1051)</f>
        <v/>
      </c>
    </row>
    <row r="1052" spans="4:5">
      <c r="D1052" s="90" t="str">
        <f>IF('Product List'!C1052="","",'Product List'!C1052)</f>
        <v/>
      </c>
      <c r="E1052" s="90" t="str">
        <f>IF('Product List'!B1052="","",'Product List'!B1052)</f>
        <v/>
      </c>
    </row>
    <row r="1053" spans="4:5">
      <c r="D1053" s="90" t="str">
        <f>IF('Product List'!C1053="","",'Product List'!C1053)</f>
        <v/>
      </c>
      <c r="E1053" s="90" t="str">
        <f>IF('Product List'!B1053="","",'Product List'!B1053)</f>
        <v/>
      </c>
    </row>
    <row r="1054" spans="4:5">
      <c r="D1054" s="90" t="str">
        <f>IF('Product List'!C1054="","",'Product List'!C1054)</f>
        <v/>
      </c>
      <c r="E1054" s="90" t="str">
        <f>IF('Product List'!B1054="","",'Product List'!B1054)</f>
        <v/>
      </c>
    </row>
    <row r="1055" spans="4:5">
      <c r="D1055" s="90" t="str">
        <f>IF('Product List'!C1055="","",'Product List'!C1055)</f>
        <v/>
      </c>
      <c r="E1055" s="90" t="str">
        <f>IF('Product List'!B1055="","",'Product List'!B1055)</f>
        <v/>
      </c>
    </row>
    <row r="1056" spans="4:5">
      <c r="D1056" s="90" t="str">
        <f>IF('Product List'!C1056="","",'Product List'!C1056)</f>
        <v/>
      </c>
      <c r="E1056" s="90" t="str">
        <f>IF('Product List'!B1056="","",'Product List'!B1056)</f>
        <v/>
      </c>
    </row>
    <row r="1057" spans="4:5">
      <c r="D1057" s="90" t="str">
        <f>IF('Product List'!C1057="","",'Product List'!C1057)</f>
        <v/>
      </c>
      <c r="E1057" s="90" t="str">
        <f>IF('Product List'!B1057="","",'Product List'!B1057)</f>
        <v/>
      </c>
    </row>
    <row r="1058" spans="4:5">
      <c r="D1058" s="90" t="str">
        <f>IF('Product List'!C1058="","",'Product List'!C1058)</f>
        <v/>
      </c>
      <c r="E1058" s="90" t="str">
        <f>IF('Product List'!B1058="","",'Product List'!B1058)</f>
        <v/>
      </c>
    </row>
    <row r="1059" spans="4:5">
      <c r="D1059" s="90" t="str">
        <f>IF('Product List'!C1059="","",'Product List'!C1059)</f>
        <v/>
      </c>
      <c r="E1059" s="90" t="str">
        <f>IF('Product List'!B1059="","",'Product List'!B1059)</f>
        <v/>
      </c>
    </row>
    <row r="1060" spans="4:5">
      <c r="D1060" s="90" t="str">
        <f>IF('Product List'!C1060="","",'Product List'!C1060)</f>
        <v/>
      </c>
      <c r="E1060" s="90" t="str">
        <f>IF('Product List'!B1060="","",'Product List'!B1060)</f>
        <v/>
      </c>
    </row>
    <row r="1061" spans="4:5">
      <c r="D1061" s="90" t="str">
        <f>IF('Product List'!C1061="","",'Product List'!C1061)</f>
        <v/>
      </c>
      <c r="E1061" s="90" t="str">
        <f>IF('Product List'!B1061="","",'Product List'!B1061)</f>
        <v/>
      </c>
    </row>
    <row r="1062" spans="4:5">
      <c r="D1062" s="90" t="str">
        <f>IF('Product List'!C1062="","",'Product List'!C1062)</f>
        <v/>
      </c>
      <c r="E1062" s="90" t="str">
        <f>IF('Product List'!B1062="","",'Product List'!B1062)</f>
        <v/>
      </c>
    </row>
    <row r="1063" spans="4:5">
      <c r="D1063" s="90" t="str">
        <f>IF('Product List'!C1063="","",'Product List'!C1063)</f>
        <v/>
      </c>
      <c r="E1063" s="90" t="str">
        <f>IF('Product List'!B1063="","",'Product List'!B1063)</f>
        <v/>
      </c>
    </row>
    <row r="1064" spans="4:5">
      <c r="D1064" s="90" t="str">
        <f>IF('Product List'!C1064="","",'Product List'!C1064)</f>
        <v/>
      </c>
      <c r="E1064" s="90" t="str">
        <f>IF('Product List'!B1064="","",'Product List'!B1064)</f>
        <v/>
      </c>
    </row>
    <row r="1065" spans="4:5">
      <c r="D1065" s="90" t="str">
        <f>IF('Product List'!C1065="","",'Product List'!C1065)</f>
        <v/>
      </c>
      <c r="E1065" s="90" t="str">
        <f>IF('Product List'!B1065="","",'Product List'!B1065)</f>
        <v/>
      </c>
    </row>
    <row r="1066" spans="4:5">
      <c r="D1066" s="90" t="str">
        <f>IF('Product List'!C1066="","",'Product List'!C1066)</f>
        <v/>
      </c>
      <c r="E1066" s="90" t="str">
        <f>IF('Product List'!B1066="","",'Product List'!B1066)</f>
        <v/>
      </c>
    </row>
    <row r="1067" spans="4:5">
      <c r="D1067" s="90" t="str">
        <f>IF('Product List'!C1067="","",'Product List'!C1067)</f>
        <v/>
      </c>
      <c r="E1067" s="90" t="str">
        <f>IF('Product List'!B1067="","",'Product List'!B1067)</f>
        <v/>
      </c>
    </row>
    <row r="1068" spans="4:5">
      <c r="D1068" s="90" t="str">
        <f>IF('Product List'!C1068="","",'Product List'!C1068)</f>
        <v/>
      </c>
      <c r="E1068" s="90" t="str">
        <f>IF('Product List'!B1068="","",'Product List'!B1068)</f>
        <v/>
      </c>
    </row>
    <row r="1069" spans="4:5">
      <c r="D1069" s="90" t="str">
        <f>IF('Product List'!C1069="","",'Product List'!C1069)</f>
        <v/>
      </c>
      <c r="E1069" s="90" t="str">
        <f>IF('Product List'!B1069="","",'Product List'!B1069)</f>
        <v/>
      </c>
    </row>
    <row r="1070" spans="4:5">
      <c r="D1070" s="90" t="str">
        <f>IF('Product List'!C1070="","",'Product List'!C1070)</f>
        <v/>
      </c>
      <c r="E1070" s="90" t="str">
        <f>IF('Product List'!B1070="","",'Product List'!B1070)</f>
        <v/>
      </c>
    </row>
    <row r="1071" spans="4:5">
      <c r="D1071" s="90" t="str">
        <f>IF('Product List'!C1071="","",'Product List'!C1071)</f>
        <v/>
      </c>
      <c r="E1071" s="90" t="str">
        <f>IF('Product List'!B1071="","",'Product List'!B1071)</f>
        <v/>
      </c>
    </row>
    <row r="1072" spans="4:5">
      <c r="D1072" s="90" t="str">
        <f>IF('Product List'!C1072="","",'Product List'!C1072)</f>
        <v/>
      </c>
      <c r="E1072" s="90" t="str">
        <f>IF('Product List'!B1072="","",'Product List'!B1072)</f>
        <v/>
      </c>
    </row>
    <row r="1073" spans="4:5">
      <c r="D1073" s="90" t="str">
        <f>IF('Product List'!C1073="","",'Product List'!C1073)</f>
        <v/>
      </c>
      <c r="E1073" s="90" t="str">
        <f>IF('Product List'!B1073="","",'Product List'!B1073)</f>
        <v/>
      </c>
    </row>
    <row r="1074" spans="4:5">
      <c r="D1074" s="90" t="str">
        <f>IF('Product List'!C1074="","",'Product List'!C1074)</f>
        <v/>
      </c>
      <c r="E1074" s="90" t="str">
        <f>IF('Product List'!B1074="","",'Product List'!B1074)</f>
        <v/>
      </c>
    </row>
    <row r="1075" spans="4:5">
      <c r="D1075" s="90" t="str">
        <f>IF('Product List'!C1075="","",'Product List'!C1075)</f>
        <v/>
      </c>
      <c r="E1075" s="90" t="str">
        <f>IF('Product List'!B1075="","",'Product List'!B1075)</f>
        <v/>
      </c>
    </row>
    <row r="1076" spans="4:5">
      <c r="D1076" s="90" t="str">
        <f>IF('Product List'!C1076="","",'Product List'!C1076)</f>
        <v/>
      </c>
      <c r="E1076" s="90" t="str">
        <f>IF('Product List'!B1076="","",'Product List'!B1076)</f>
        <v/>
      </c>
    </row>
    <row r="1077" spans="4:5">
      <c r="D1077" s="90" t="str">
        <f>IF('Product List'!C1077="","",'Product List'!C1077)</f>
        <v/>
      </c>
      <c r="E1077" s="90" t="str">
        <f>IF('Product List'!B1077="","",'Product List'!B1077)</f>
        <v/>
      </c>
    </row>
    <row r="1078" spans="4:5">
      <c r="D1078" s="90" t="str">
        <f>IF('Product List'!C1078="","",'Product List'!C1078)</f>
        <v/>
      </c>
      <c r="E1078" s="90" t="str">
        <f>IF('Product List'!B1078="","",'Product List'!B1078)</f>
        <v/>
      </c>
    </row>
    <row r="1079" spans="4:5">
      <c r="D1079" s="90" t="str">
        <f>IF('Product List'!C1079="","",'Product List'!C1079)</f>
        <v/>
      </c>
      <c r="E1079" s="90" t="str">
        <f>IF('Product List'!B1079="","",'Product List'!B1079)</f>
        <v/>
      </c>
    </row>
    <row r="1080" spans="4:5">
      <c r="D1080" s="90" t="str">
        <f>IF('Product List'!C1080="","",'Product List'!C1080)</f>
        <v/>
      </c>
      <c r="E1080" s="90" t="str">
        <f>IF('Product List'!B1080="","",'Product List'!B1080)</f>
        <v/>
      </c>
    </row>
    <row r="1081" spans="4:5">
      <c r="D1081" s="90" t="str">
        <f>IF('Product List'!C1081="","",'Product List'!C1081)</f>
        <v/>
      </c>
      <c r="E1081" s="90" t="str">
        <f>IF('Product List'!B1081="","",'Product List'!B1081)</f>
        <v/>
      </c>
    </row>
    <row r="1082" spans="4:5">
      <c r="D1082" s="90" t="str">
        <f>IF('Product List'!C1082="","",'Product List'!C1082)</f>
        <v/>
      </c>
      <c r="E1082" s="90" t="str">
        <f>IF('Product List'!B1082="","",'Product List'!B1082)</f>
        <v/>
      </c>
    </row>
    <row r="1083" spans="4:5">
      <c r="D1083" s="90" t="str">
        <f>IF('Product List'!C1083="","",'Product List'!C1083)</f>
        <v/>
      </c>
      <c r="E1083" s="90" t="str">
        <f>IF('Product List'!B1083="","",'Product List'!B1083)</f>
        <v/>
      </c>
    </row>
    <row r="1084" spans="4:5">
      <c r="D1084" s="90" t="str">
        <f>IF('Product List'!C1084="","",'Product List'!C1084)</f>
        <v/>
      </c>
      <c r="E1084" s="90" t="str">
        <f>IF('Product List'!B1084="","",'Product List'!B1084)</f>
        <v/>
      </c>
    </row>
    <row r="1085" spans="4:5">
      <c r="D1085" s="90" t="str">
        <f>IF('Product List'!C1085="","",'Product List'!C1085)</f>
        <v/>
      </c>
      <c r="E1085" s="90" t="str">
        <f>IF('Product List'!B1085="","",'Product List'!B1085)</f>
        <v/>
      </c>
    </row>
    <row r="1086" spans="4:5">
      <c r="D1086" s="90" t="str">
        <f>IF('Product List'!C1086="","",'Product List'!C1086)</f>
        <v/>
      </c>
      <c r="E1086" s="90" t="str">
        <f>IF('Product List'!B1086="","",'Product List'!B1086)</f>
        <v/>
      </c>
    </row>
    <row r="1087" spans="4:5">
      <c r="D1087" s="90" t="str">
        <f>IF('Product List'!C1087="","",'Product List'!C1087)</f>
        <v/>
      </c>
      <c r="E1087" s="90" t="str">
        <f>IF('Product List'!B1087="","",'Product List'!B1087)</f>
        <v/>
      </c>
    </row>
    <row r="1088" spans="4:5">
      <c r="D1088" s="90" t="str">
        <f>IF('Product List'!C1088="","",'Product List'!C1088)</f>
        <v/>
      </c>
      <c r="E1088" s="90" t="str">
        <f>IF('Product List'!B1088="","",'Product List'!B1088)</f>
        <v/>
      </c>
    </row>
    <row r="1089" spans="4:5">
      <c r="D1089" s="90" t="str">
        <f>IF('Product List'!C1089="","",'Product List'!C1089)</f>
        <v/>
      </c>
      <c r="E1089" s="90" t="str">
        <f>IF('Product List'!B1089="","",'Product List'!B1089)</f>
        <v/>
      </c>
    </row>
    <row r="1090" spans="4:5">
      <c r="D1090" s="90" t="str">
        <f>IF('Product List'!C1090="","",'Product List'!C1090)</f>
        <v/>
      </c>
      <c r="E1090" s="90" t="str">
        <f>IF('Product List'!B1090="","",'Product List'!B1090)</f>
        <v/>
      </c>
    </row>
    <row r="1091" spans="4:5">
      <c r="D1091" s="90" t="str">
        <f>IF('Product List'!C1091="","",'Product List'!C1091)</f>
        <v/>
      </c>
      <c r="E1091" s="90" t="str">
        <f>IF('Product List'!B1091="","",'Product List'!B1091)</f>
        <v/>
      </c>
    </row>
    <row r="1092" spans="4:5">
      <c r="D1092" s="90" t="str">
        <f>IF('Product List'!C1092="","",'Product List'!C1092)</f>
        <v/>
      </c>
      <c r="E1092" s="90" t="str">
        <f>IF('Product List'!B1092="","",'Product List'!B1092)</f>
        <v/>
      </c>
    </row>
    <row r="1093" spans="4:5">
      <c r="D1093" s="90" t="str">
        <f>IF('Product List'!C1093="","",'Product List'!C1093)</f>
        <v/>
      </c>
      <c r="E1093" s="90" t="str">
        <f>IF('Product List'!B1093="","",'Product List'!B1093)</f>
        <v/>
      </c>
    </row>
    <row r="1094" spans="4:5">
      <c r="D1094" s="90" t="str">
        <f>IF('Product List'!C1094="","",'Product List'!C1094)</f>
        <v/>
      </c>
      <c r="E1094" s="90" t="str">
        <f>IF('Product List'!B1094="","",'Product List'!B1094)</f>
        <v/>
      </c>
    </row>
    <row r="1095" spans="4:5">
      <c r="D1095" s="90" t="str">
        <f>IF('Product List'!C1095="","",'Product List'!C1095)</f>
        <v/>
      </c>
      <c r="E1095" s="90" t="str">
        <f>IF('Product List'!B1095="","",'Product List'!B1095)</f>
        <v/>
      </c>
    </row>
    <row r="1096" spans="4:5">
      <c r="D1096" s="90" t="str">
        <f>IF('Product List'!C1096="","",'Product List'!C1096)</f>
        <v/>
      </c>
      <c r="E1096" s="90" t="str">
        <f>IF('Product List'!B1096="","",'Product List'!B1096)</f>
        <v/>
      </c>
    </row>
    <row r="1097" spans="4:5">
      <c r="D1097" s="90" t="str">
        <f>IF('Product List'!C1097="","",'Product List'!C1097)</f>
        <v/>
      </c>
      <c r="E1097" s="90" t="str">
        <f>IF('Product List'!B1097="","",'Product List'!B1097)</f>
        <v/>
      </c>
    </row>
    <row r="1098" spans="4:5">
      <c r="D1098" s="90" t="str">
        <f>IF('Product List'!C1098="","",'Product List'!C1098)</f>
        <v/>
      </c>
      <c r="E1098" s="90" t="str">
        <f>IF('Product List'!B1098="","",'Product List'!B1098)</f>
        <v/>
      </c>
    </row>
    <row r="1099" spans="4:5">
      <c r="D1099" s="90" t="str">
        <f>IF('Product List'!C1099="","",'Product List'!C1099)</f>
        <v/>
      </c>
      <c r="E1099" s="90" t="str">
        <f>IF('Product List'!B1099="","",'Product List'!B1099)</f>
        <v/>
      </c>
    </row>
    <row r="1100" spans="4:5">
      <c r="D1100" s="90" t="str">
        <f>IF('Product List'!C1100="","",'Product List'!C1100)</f>
        <v/>
      </c>
      <c r="E1100" s="90" t="str">
        <f>IF('Product List'!B1100="","",'Product List'!B1100)</f>
        <v/>
      </c>
    </row>
    <row r="1101" spans="4:5">
      <c r="D1101" s="90" t="str">
        <f>IF('Product List'!C1101="","",'Product List'!C1101)</f>
        <v/>
      </c>
      <c r="E1101" s="90" t="str">
        <f>IF('Product List'!B1101="","",'Product List'!B1101)</f>
        <v/>
      </c>
    </row>
    <row r="1102" spans="4:5">
      <c r="D1102" s="90" t="str">
        <f>IF('Product List'!C1102="","",'Product List'!C1102)</f>
        <v/>
      </c>
      <c r="E1102" s="90" t="str">
        <f>IF('Product List'!B1102="","",'Product List'!B1102)</f>
        <v/>
      </c>
    </row>
    <row r="1103" spans="4:5">
      <c r="D1103" s="90" t="str">
        <f>IF('Product List'!C1103="","",'Product List'!C1103)</f>
        <v/>
      </c>
      <c r="E1103" s="90" t="str">
        <f>IF('Product List'!B1103="","",'Product List'!B1103)</f>
        <v/>
      </c>
    </row>
    <row r="1104" spans="4:5">
      <c r="D1104" s="90" t="str">
        <f>IF('Product List'!C1104="","",'Product List'!C1104)</f>
        <v/>
      </c>
      <c r="E1104" s="90" t="str">
        <f>IF('Product List'!B1104="","",'Product List'!B1104)</f>
        <v/>
      </c>
    </row>
    <row r="1105" spans="4:5">
      <c r="D1105" s="90" t="str">
        <f>IF('Product List'!C1105="","",'Product List'!C1105)</f>
        <v/>
      </c>
      <c r="E1105" s="90" t="str">
        <f>IF('Product List'!B1105="","",'Product List'!B1105)</f>
        <v/>
      </c>
    </row>
    <row r="1106" spans="4:5">
      <c r="D1106" s="90" t="str">
        <f>IF('Product List'!C1106="","",'Product List'!C1106)</f>
        <v/>
      </c>
      <c r="E1106" s="90" t="str">
        <f>IF('Product List'!B1106="","",'Product List'!B1106)</f>
        <v/>
      </c>
    </row>
    <row r="1107" spans="4:5">
      <c r="D1107" s="90" t="str">
        <f>IF('Product List'!C1107="","",'Product List'!C1107)</f>
        <v/>
      </c>
      <c r="E1107" s="90" t="str">
        <f>IF('Product List'!B1107="","",'Product List'!B1107)</f>
        <v/>
      </c>
    </row>
    <row r="1108" spans="4:5">
      <c r="D1108" s="90" t="str">
        <f>IF('Product List'!C1108="","",'Product List'!C1108)</f>
        <v/>
      </c>
      <c r="E1108" s="90" t="str">
        <f>IF('Product List'!B1108="","",'Product List'!B1108)</f>
        <v/>
      </c>
    </row>
    <row r="1109" spans="4:5">
      <c r="D1109" s="90" t="str">
        <f>IF('Product List'!C1109="","",'Product List'!C1109)</f>
        <v/>
      </c>
      <c r="E1109" s="90" t="str">
        <f>IF('Product List'!B1109="","",'Product List'!B1109)</f>
        <v/>
      </c>
    </row>
    <row r="1110" spans="4:5">
      <c r="D1110" s="90" t="str">
        <f>IF('Product List'!C1110="","",'Product List'!C1110)</f>
        <v/>
      </c>
      <c r="E1110" s="90" t="str">
        <f>IF('Product List'!B1110="","",'Product List'!B1110)</f>
        <v/>
      </c>
    </row>
    <row r="1111" spans="4:5">
      <c r="D1111" s="90" t="str">
        <f>IF('Product List'!C1111="","",'Product List'!C1111)</f>
        <v/>
      </c>
      <c r="E1111" s="90" t="str">
        <f>IF('Product List'!B1111="","",'Product List'!B1111)</f>
        <v/>
      </c>
    </row>
    <row r="1112" spans="4:5">
      <c r="D1112" s="90" t="str">
        <f>IF('Product List'!C1112="","",'Product List'!C1112)</f>
        <v/>
      </c>
      <c r="E1112" s="90" t="str">
        <f>IF('Product List'!B1112="","",'Product List'!B1112)</f>
        <v/>
      </c>
    </row>
    <row r="1113" spans="4:5">
      <c r="D1113" s="90" t="str">
        <f>IF('Product List'!C1113="","",'Product List'!C1113)</f>
        <v/>
      </c>
      <c r="E1113" s="90" t="str">
        <f>IF('Product List'!B1113="","",'Product List'!B1113)</f>
        <v/>
      </c>
    </row>
    <row r="1114" spans="4:5">
      <c r="D1114" s="90" t="str">
        <f>IF('Product List'!C1114="","",'Product List'!C1114)</f>
        <v/>
      </c>
      <c r="E1114" s="90" t="str">
        <f>IF('Product List'!B1114="","",'Product List'!B1114)</f>
        <v/>
      </c>
    </row>
    <row r="1115" spans="4:5">
      <c r="D1115" s="90" t="str">
        <f>IF('Product List'!C1115="","",'Product List'!C1115)</f>
        <v/>
      </c>
      <c r="E1115" s="90" t="str">
        <f>IF('Product List'!B1115="","",'Product List'!B1115)</f>
        <v/>
      </c>
    </row>
    <row r="1116" spans="4:5">
      <c r="D1116" s="90" t="str">
        <f>IF('Product List'!C1116="","",'Product List'!C1116)</f>
        <v/>
      </c>
      <c r="E1116" s="90" t="str">
        <f>IF('Product List'!B1116="","",'Product List'!B1116)</f>
        <v/>
      </c>
    </row>
    <row r="1117" spans="4:5">
      <c r="D1117" s="90" t="str">
        <f>IF('Product List'!C1117="","",'Product List'!C1117)</f>
        <v/>
      </c>
      <c r="E1117" s="90" t="str">
        <f>IF('Product List'!B1117="","",'Product List'!B1117)</f>
        <v/>
      </c>
    </row>
    <row r="1118" spans="4:5">
      <c r="D1118" s="90" t="str">
        <f>IF('Product List'!C1118="","",'Product List'!C1118)</f>
        <v/>
      </c>
      <c r="E1118" s="90" t="str">
        <f>IF('Product List'!B1118="","",'Product List'!B1118)</f>
        <v/>
      </c>
    </row>
    <row r="1119" spans="4:5">
      <c r="D1119" s="90" t="str">
        <f>IF('Product List'!C1119="","",'Product List'!C1119)</f>
        <v/>
      </c>
      <c r="E1119" s="90" t="str">
        <f>IF('Product List'!B1119="","",'Product List'!B1119)</f>
        <v/>
      </c>
    </row>
    <row r="1120" spans="4:5">
      <c r="D1120" s="90" t="str">
        <f>IF('Product List'!C1120="","",'Product List'!C1120)</f>
        <v/>
      </c>
      <c r="E1120" s="90" t="str">
        <f>IF('Product List'!B1120="","",'Product List'!B1120)</f>
        <v/>
      </c>
    </row>
    <row r="1121" spans="4:5">
      <c r="D1121" s="90" t="str">
        <f>IF('Product List'!C1121="","",'Product List'!C1121)</f>
        <v/>
      </c>
      <c r="E1121" s="90" t="str">
        <f>IF('Product List'!B1121="","",'Product List'!B1121)</f>
        <v/>
      </c>
    </row>
    <row r="1122" spans="4:5">
      <c r="D1122" s="90" t="str">
        <f>IF('Product List'!C1122="","",'Product List'!C1122)</f>
        <v/>
      </c>
      <c r="E1122" s="90" t="str">
        <f>IF('Product List'!B1122="","",'Product List'!B1122)</f>
        <v/>
      </c>
    </row>
    <row r="1123" spans="4:5">
      <c r="D1123" s="90" t="str">
        <f>IF('Product List'!C1123="","",'Product List'!C1123)</f>
        <v/>
      </c>
      <c r="E1123" s="90" t="str">
        <f>IF('Product List'!B1123="","",'Product List'!B1123)</f>
        <v/>
      </c>
    </row>
    <row r="1124" spans="4:5">
      <c r="D1124" s="90" t="str">
        <f>IF('Product List'!C1124="","",'Product List'!C1124)</f>
        <v/>
      </c>
      <c r="E1124" s="90" t="str">
        <f>IF('Product List'!B1124="","",'Product List'!B1124)</f>
        <v/>
      </c>
    </row>
    <row r="1125" spans="4:5">
      <c r="D1125" s="90" t="str">
        <f>IF('Product List'!C1125="","",'Product List'!C1125)</f>
        <v/>
      </c>
      <c r="E1125" s="90" t="str">
        <f>IF('Product List'!B1125="","",'Product List'!B1125)</f>
        <v/>
      </c>
    </row>
    <row r="1126" spans="4:5">
      <c r="D1126" s="90" t="str">
        <f>IF('Product List'!C1126="","",'Product List'!C1126)</f>
        <v/>
      </c>
      <c r="E1126" s="90" t="str">
        <f>IF('Product List'!B1126="","",'Product List'!B1126)</f>
        <v/>
      </c>
    </row>
    <row r="1127" spans="4:5">
      <c r="D1127" s="90" t="str">
        <f>IF('Product List'!C1127="","",'Product List'!C1127)</f>
        <v/>
      </c>
      <c r="E1127" s="90" t="str">
        <f>IF('Product List'!B1127="","",'Product List'!B1127)</f>
        <v/>
      </c>
    </row>
    <row r="1128" spans="4:5">
      <c r="D1128" s="90" t="str">
        <f>IF('Product List'!C1128="","",'Product List'!C1128)</f>
        <v/>
      </c>
      <c r="E1128" s="90" t="str">
        <f>IF('Product List'!B1128="","",'Product List'!B1128)</f>
        <v/>
      </c>
    </row>
    <row r="1129" spans="4:5">
      <c r="D1129" s="90" t="str">
        <f>IF('Product List'!C1129="","",'Product List'!C1129)</f>
        <v/>
      </c>
      <c r="E1129" s="90" t="str">
        <f>IF('Product List'!B1129="","",'Product List'!B1129)</f>
        <v/>
      </c>
    </row>
    <row r="1130" spans="4:5">
      <c r="D1130" s="90" t="str">
        <f>IF('Product List'!C1130="","",'Product List'!C1130)</f>
        <v/>
      </c>
      <c r="E1130" s="90" t="str">
        <f>IF('Product List'!B1130="","",'Product List'!B1130)</f>
        <v/>
      </c>
    </row>
    <row r="1131" spans="4:5">
      <c r="D1131" s="90" t="str">
        <f>IF('Product List'!C1131="","",'Product List'!C1131)</f>
        <v/>
      </c>
      <c r="E1131" s="90" t="str">
        <f>IF('Product List'!B1131="","",'Product List'!B1131)</f>
        <v/>
      </c>
    </row>
    <row r="1132" spans="4:5">
      <c r="D1132" s="90" t="str">
        <f>IF('Product List'!C1132="","",'Product List'!C1132)</f>
        <v/>
      </c>
      <c r="E1132" s="90" t="str">
        <f>IF('Product List'!B1132="","",'Product List'!B1132)</f>
        <v/>
      </c>
    </row>
    <row r="1133" spans="4:5">
      <c r="D1133" s="90" t="str">
        <f>IF('Product List'!C1133="","",'Product List'!C1133)</f>
        <v/>
      </c>
      <c r="E1133" s="90" t="str">
        <f>IF('Product List'!B1133="","",'Product List'!B1133)</f>
        <v/>
      </c>
    </row>
    <row r="1134" spans="4:5">
      <c r="D1134" s="90" t="str">
        <f>IF('Product List'!C1134="","",'Product List'!C1134)</f>
        <v/>
      </c>
      <c r="E1134" s="90" t="str">
        <f>IF('Product List'!B1134="","",'Product List'!B1134)</f>
        <v/>
      </c>
    </row>
    <row r="1135" spans="4:5">
      <c r="D1135" s="90" t="str">
        <f>IF('Product List'!C1135="","",'Product List'!C1135)</f>
        <v/>
      </c>
      <c r="E1135" s="90" t="str">
        <f>IF('Product List'!B1135="","",'Product List'!B1135)</f>
        <v/>
      </c>
    </row>
    <row r="1136" spans="4:5">
      <c r="D1136" s="90" t="str">
        <f>IF('Product List'!C1136="","",'Product List'!C1136)</f>
        <v/>
      </c>
      <c r="E1136" s="90" t="str">
        <f>IF('Product List'!B1136="","",'Product List'!B1136)</f>
        <v/>
      </c>
    </row>
    <row r="1137" spans="4:5">
      <c r="D1137" s="90" t="str">
        <f>IF('Product List'!C1137="","",'Product List'!C1137)</f>
        <v/>
      </c>
      <c r="E1137" s="90" t="str">
        <f>IF('Product List'!B1137="","",'Product List'!B1137)</f>
        <v/>
      </c>
    </row>
    <row r="1138" spans="4:5">
      <c r="D1138" s="90" t="str">
        <f>IF('Product List'!C1138="","",'Product List'!C1138)</f>
        <v/>
      </c>
      <c r="E1138" s="90" t="str">
        <f>IF('Product List'!B1138="","",'Product List'!B1138)</f>
        <v/>
      </c>
    </row>
    <row r="1139" spans="4:5">
      <c r="D1139" s="90" t="str">
        <f>IF('Product List'!C1139="","",'Product List'!C1139)</f>
        <v/>
      </c>
      <c r="E1139" s="90" t="str">
        <f>IF('Product List'!B1139="","",'Product List'!B1139)</f>
        <v/>
      </c>
    </row>
    <row r="1140" spans="4:5">
      <c r="D1140" s="90" t="str">
        <f>IF('Product List'!C1140="","",'Product List'!C1140)</f>
        <v/>
      </c>
      <c r="E1140" s="90" t="str">
        <f>IF('Product List'!B1140="","",'Product List'!B1140)</f>
        <v/>
      </c>
    </row>
    <row r="1141" spans="4:5">
      <c r="D1141" s="90" t="str">
        <f>IF('Product List'!C1141="","",'Product List'!C1141)</f>
        <v/>
      </c>
      <c r="E1141" s="90" t="str">
        <f>IF('Product List'!B1141="","",'Product List'!B1141)</f>
        <v/>
      </c>
    </row>
    <row r="1142" spans="4:5">
      <c r="D1142" s="90" t="str">
        <f>IF('Product List'!C1142="","",'Product List'!C1142)</f>
        <v/>
      </c>
      <c r="E1142" s="90" t="str">
        <f>IF('Product List'!B1142="","",'Product List'!B1142)</f>
        <v/>
      </c>
    </row>
    <row r="1143" spans="4:5">
      <c r="D1143" s="90" t="str">
        <f>IF('Product List'!C1143="","",'Product List'!C1143)</f>
        <v/>
      </c>
      <c r="E1143" s="90" t="str">
        <f>IF('Product List'!B1143="","",'Product List'!B1143)</f>
        <v/>
      </c>
    </row>
    <row r="1144" spans="4:5">
      <c r="D1144" s="90" t="str">
        <f>IF('Product List'!C1144="","",'Product List'!C1144)</f>
        <v/>
      </c>
      <c r="E1144" s="90" t="str">
        <f>IF('Product List'!B1144="","",'Product List'!B1144)</f>
        <v/>
      </c>
    </row>
    <row r="1145" spans="4:5">
      <c r="D1145" s="90" t="str">
        <f>IF('Product List'!C1145="","",'Product List'!C1145)</f>
        <v/>
      </c>
      <c r="E1145" s="90" t="str">
        <f>IF('Product List'!B1145="","",'Product List'!B1145)</f>
        <v/>
      </c>
    </row>
    <row r="1146" spans="4:5">
      <c r="D1146" s="90" t="str">
        <f>IF('Product List'!C1146="","",'Product List'!C1146)</f>
        <v/>
      </c>
      <c r="E1146" s="90" t="str">
        <f>IF('Product List'!B1146="","",'Product List'!B1146)</f>
        <v/>
      </c>
    </row>
    <row r="1147" spans="4:5">
      <c r="D1147" s="90" t="str">
        <f>IF('Product List'!C1147="","",'Product List'!C1147)</f>
        <v/>
      </c>
      <c r="E1147" s="90" t="str">
        <f>IF('Product List'!B1147="","",'Product List'!B1147)</f>
        <v/>
      </c>
    </row>
    <row r="1148" spans="4:5">
      <c r="D1148" s="90" t="str">
        <f>IF('Product List'!C1148="","",'Product List'!C1148)</f>
        <v/>
      </c>
      <c r="E1148" s="90" t="str">
        <f>IF('Product List'!B1148="","",'Product List'!B1148)</f>
        <v/>
      </c>
    </row>
    <row r="1149" spans="4:5">
      <c r="D1149" s="90" t="str">
        <f>IF('Product List'!C1149="","",'Product List'!C1149)</f>
        <v/>
      </c>
      <c r="E1149" s="90" t="str">
        <f>IF('Product List'!B1149="","",'Product List'!B1149)</f>
        <v/>
      </c>
    </row>
    <row r="1150" spans="4:5">
      <c r="D1150" s="90" t="str">
        <f>IF('Product List'!C1150="","",'Product List'!C1150)</f>
        <v/>
      </c>
      <c r="E1150" s="90" t="str">
        <f>IF('Product List'!B1150="","",'Product List'!B1150)</f>
        <v/>
      </c>
    </row>
    <row r="1151" spans="4:5">
      <c r="D1151" s="90" t="str">
        <f>IF('Product List'!C1151="","",'Product List'!C1151)</f>
        <v/>
      </c>
      <c r="E1151" s="90" t="str">
        <f>IF('Product List'!B1151="","",'Product List'!B1151)</f>
        <v/>
      </c>
    </row>
    <row r="1152" spans="4:5">
      <c r="D1152" s="90" t="str">
        <f>IF('Product List'!C1152="","",'Product List'!C1152)</f>
        <v/>
      </c>
      <c r="E1152" s="90" t="str">
        <f>IF('Product List'!B1152="","",'Product List'!B1152)</f>
        <v/>
      </c>
    </row>
    <row r="1153" spans="4:5">
      <c r="D1153" s="90" t="str">
        <f>IF('Product List'!C1153="","",'Product List'!C1153)</f>
        <v/>
      </c>
      <c r="E1153" s="90" t="str">
        <f>IF('Product List'!B1153="","",'Product List'!B1153)</f>
        <v/>
      </c>
    </row>
    <row r="1154" spans="4:5">
      <c r="D1154" s="90" t="str">
        <f>IF('Product List'!C1154="","",'Product List'!C1154)</f>
        <v/>
      </c>
      <c r="E1154" s="90" t="str">
        <f>IF('Product List'!B1154="","",'Product List'!B1154)</f>
        <v/>
      </c>
    </row>
    <row r="1155" spans="4:5">
      <c r="D1155" s="90" t="str">
        <f>IF('Product List'!C1155="","",'Product List'!C1155)</f>
        <v/>
      </c>
      <c r="E1155" s="90" t="str">
        <f>IF('Product List'!B1155="","",'Product List'!B1155)</f>
        <v/>
      </c>
    </row>
    <row r="1156" spans="4:5">
      <c r="D1156" s="90" t="str">
        <f>IF('Product List'!C1156="","",'Product List'!C1156)</f>
        <v/>
      </c>
      <c r="E1156" s="90" t="str">
        <f>IF('Product List'!B1156="","",'Product List'!B1156)</f>
        <v/>
      </c>
    </row>
    <row r="1157" spans="4:5">
      <c r="D1157" s="90" t="str">
        <f>IF('Product List'!C1157="","",'Product List'!C1157)</f>
        <v/>
      </c>
      <c r="E1157" s="90" t="str">
        <f>IF('Product List'!B1157="","",'Product List'!B1157)</f>
        <v/>
      </c>
    </row>
    <row r="1158" spans="4:5">
      <c r="D1158" s="90" t="str">
        <f>IF('Product List'!C1158="","",'Product List'!C1158)</f>
        <v/>
      </c>
      <c r="E1158" s="90" t="str">
        <f>IF('Product List'!B1158="","",'Product List'!B1158)</f>
        <v/>
      </c>
    </row>
    <row r="1159" spans="4:5">
      <c r="D1159" s="90" t="str">
        <f>IF('Product List'!C1159="","",'Product List'!C1159)</f>
        <v/>
      </c>
      <c r="E1159" s="90" t="str">
        <f>IF('Product List'!B1159="","",'Product List'!B1159)</f>
        <v/>
      </c>
    </row>
    <row r="1160" spans="4:5">
      <c r="D1160" s="90" t="str">
        <f>IF('Product List'!C1160="","",'Product List'!C1160)</f>
        <v/>
      </c>
      <c r="E1160" s="90" t="str">
        <f>IF('Product List'!B1160="","",'Product List'!B1160)</f>
        <v/>
      </c>
    </row>
    <row r="1161" spans="4:5">
      <c r="D1161" s="90" t="str">
        <f>IF('Product List'!C1161="","",'Product List'!C1161)</f>
        <v/>
      </c>
      <c r="E1161" s="90" t="str">
        <f>IF('Product List'!B1161="","",'Product List'!B1161)</f>
        <v/>
      </c>
    </row>
    <row r="1162" spans="4:5">
      <c r="D1162" s="90" t="str">
        <f>IF('Product List'!C1162="","",'Product List'!C1162)</f>
        <v/>
      </c>
      <c r="E1162" s="90" t="str">
        <f>IF('Product List'!B1162="","",'Product List'!B1162)</f>
        <v/>
      </c>
    </row>
    <row r="1163" spans="4:5">
      <c r="D1163" s="90" t="str">
        <f>IF('Product List'!C1163="","",'Product List'!C1163)</f>
        <v/>
      </c>
      <c r="E1163" s="90" t="str">
        <f>IF('Product List'!B1163="","",'Product List'!B1163)</f>
        <v/>
      </c>
    </row>
    <row r="1164" spans="4:5">
      <c r="D1164" s="90" t="str">
        <f>IF('Product List'!C1164="","",'Product List'!C1164)</f>
        <v/>
      </c>
      <c r="E1164" s="90" t="str">
        <f>IF('Product List'!B1164="","",'Product List'!B1164)</f>
        <v/>
      </c>
    </row>
    <row r="1165" spans="4:5">
      <c r="D1165" s="90" t="str">
        <f>IF('Product List'!C1165="","",'Product List'!C1165)</f>
        <v/>
      </c>
      <c r="E1165" s="90" t="str">
        <f>IF('Product List'!B1165="","",'Product List'!B1165)</f>
        <v/>
      </c>
    </row>
    <row r="1166" spans="4:5">
      <c r="D1166" s="90" t="str">
        <f>IF('Product List'!C1166="","",'Product List'!C1166)</f>
        <v/>
      </c>
      <c r="E1166" s="90" t="str">
        <f>IF('Product List'!B1166="","",'Product List'!B1166)</f>
        <v/>
      </c>
    </row>
    <row r="1167" spans="4:5">
      <c r="D1167" s="90" t="str">
        <f>IF('Product List'!C1167="","",'Product List'!C1167)</f>
        <v/>
      </c>
      <c r="E1167" s="90" t="str">
        <f>IF('Product List'!B1167="","",'Product List'!B1167)</f>
        <v/>
      </c>
    </row>
    <row r="1168" spans="4:5">
      <c r="D1168" s="90" t="str">
        <f>IF('Product List'!C1168="","",'Product List'!C1168)</f>
        <v/>
      </c>
      <c r="E1168" s="90" t="str">
        <f>IF('Product List'!B1168="","",'Product List'!B1168)</f>
        <v/>
      </c>
    </row>
    <row r="1169" spans="4:5">
      <c r="D1169" s="90" t="str">
        <f>IF('Product List'!C1169="","",'Product List'!C1169)</f>
        <v/>
      </c>
      <c r="E1169" s="90" t="str">
        <f>IF('Product List'!B1169="","",'Product List'!B1169)</f>
        <v/>
      </c>
    </row>
    <row r="1170" spans="4:5">
      <c r="D1170" s="90" t="str">
        <f>IF('Product List'!C1170="","",'Product List'!C1170)</f>
        <v/>
      </c>
      <c r="E1170" s="90" t="str">
        <f>IF('Product List'!B1170="","",'Product List'!B1170)</f>
        <v/>
      </c>
    </row>
    <row r="1171" spans="4:5">
      <c r="D1171" s="90" t="str">
        <f>IF('Product List'!C1171="","",'Product List'!C1171)</f>
        <v/>
      </c>
      <c r="E1171" s="90" t="str">
        <f>IF('Product List'!B1171="","",'Product List'!B1171)</f>
        <v/>
      </c>
    </row>
    <row r="1172" spans="4:5">
      <c r="D1172" s="90" t="str">
        <f>IF('Product List'!C1172="","",'Product List'!C1172)</f>
        <v/>
      </c>
      <c r="E1172" s="90" t="str">
        <f>IF('Product List'!B1172="","",'Product List'!B1172)</f>
        <v/>
      </c>
    </row>
    <row r="1173" spans="4:5">
      <c r="D1173" s="90" t="str">
        <f>IF('Product List'!C1173="","",'Product List'!C1173)</f>
        <v/>
      </c>
      <c r="E1173" s="90" t="str">
        <f>IF('Product List'!B1173="","",'Product List'!B1173)</f>
        <v/>
      </c>
    </row>
    <row r="1174" spans="4:5">
      <c r="D1174" s="90" t="str">
        <f>IF('Product List'!C1174="","",'Product List'!C1174)</f>
        <v/>
      </c>
      <c r="E1174" s="90" t="str">
        <f>IF('Product List'!B1174="","",'Product List'!B1174)</f>
        <v/>
      </c>
    </row>
    <row r="1175" spans="4:5">
      <c r="D1175" s="90" t="str">
        <f>IF('Product List'!C1175="","",'Product List'!C1175)</f>
        <v/>
      </c>
      <c r="E1175" s="90" t="str">
        <f>IF('Product List'!B1175="","",'Product List'!B1175)</f>
        <v/>
      </c>
    </row>
    <row r="1176" spans="4:5">
      <c r="D1176" s="90" t="str">
        <f>IF('Product List'!C1176="","",'Product List'!C1176)</f>
        <v/>
      </c>
      <c r="E1176" s="90" t="str">
        <f>IF('Product List'!B1176="","",'Product List'!B1176)</f>
        <v/>
      </c>
    </row>
    <row r="1177" spans="4:5">
      <c r="D1177" s="90" t="str">
        <f>IF('Product List'!C1177="","",'Product List'!C1177)</f>
        <v/>
      </c>
      <c r="E1177" s="90" t="str">
        <f>IF('Product List'!B1177="","",'Product List'!B1177)</f>
        <v/>
      </c>
    </row>
    <row r="1178" spans="4:5">
      <c r="D1178" s="90" t="str">
        <f>IF('Product List'!C1178="","",'Product List'!C1178)</f>
        <v/>
      </c>
      <c r="E1178" s="90" t="str">
        <f>IF('Product List'!B1178="","",'Product List'!B1178)</f>
        <v/>
      </c>
    </row>
    <row r="1179" spans="4:5">
      <c r="D1179" s="90" t="str">
        <f>IF('Product List'!C1179="","",'Product List'!C1179)</f>
        <v/>
      </c>
      <c r="E1179" s="90" t="str">
        <f>IF('Product List'!B1179="","",'Product List'!B1179)</f>
        <v/>
      </c>
    </row>
    <row r="1180" spans="4:5">
      <c r="D1180" s="90" t="str">
        <f>IF('Product List'!C1180="","",'Product List'!C1180)</f>
        <v/>
      </c>
      <c r="E1180" s="90" t="str">
        <f>IF('Product List'!B1180="","",'Product List'!B1180)</f>
        <v/>
      </c>
    </row>
    <row r="1181" spans="4:5">
      <c r="D1181" s="90" t="str">
        <f>IF('Product List'!C1181="","",'Product List'!C1181)</f>
        <v/>
      </c>
      <c r="E1181" s="90" t="str">
        <f>IF('Product List'!B1181="","",'Product List'!B1181)</f>
        <v/>
      </c>
    </row>
    <row r="1182" spans="4:5">
      <c r="D1182" s="90" t="str">
        <f>IF('Product List'!C1182="","",'Product List'!C1182)</f>
        <v/>
      </c>
      <c r="E1182" s="90" t="str">
        <f>IF('Product List'!B1182="","",'Product List'!B1182)</f>
        <v/>
      </c>
    </row>
    <row r="1183" spans="4:5">
      <c r="D1183" s="90" t="str">
        <f>IF('Product List'!C1183="","",'Product List'!C1183)</f>
        <v/>
      </c>
      <c r="E1183" s="90" t="str">
        <f>IF('Product List'!B1183="","",'Product List'!B1183)</f>
        <v/>
      </c>
    </row>
    <row r="1184" spans="4:5">
      <c r="D1184" s="90" t="str">
        <f>IF('Product List'!C1184="","",'Product List'!C1184)</f>
        <v/>
      </c>
      <c r="E1184" s="90" t="str">
        <f>IF('Product List'!B1184="","",'Product List'!B1184)</f>
        <v/>
      </c>
    </row>
    <row r="1185" spans="4:5">
      <c r="D1185" s="90" t="str">
        <f>IF('Product List'!C1185="","",'Product List'!C1185)</f>
        <v/>
      </c>
      <c r="E1185" s="90" t="str">
        <f>IF('Product List'!B1185="","",'Product List'!B1185)</f>
        <v/>
      </c>
    </row>
    <row r="1186" spans="4:5">
      <c r="D1186" s="90" t="str">
        <f>IF('Product List'!C1186="","",'Product List'!C1186)</f>
        <v/>
      </c>
      <c r="E1186" s="90" t="str">
        <f>IF('Product List'!B1186="","",'Product List'!B1186)</f>
        <v/>
      </c>
    </row>
    <row r="1187" spans="4:5">
      <c r="D1187" s="90" t="str">
        <f>IF('Product List'!C1187="","",'Product List'!C1187)</f>
        <v/>
      </c>
      <c r="E1187" s="90" t="str">
        <f>IF('Product List'!B1187="","",'Product List'!B1187)</f>
        <v/>
      </c>
    </row>
    <row r="1188" spans="4:5">
      <c r="D1188" s="90" t="str">
        <f>IF('Product List'!C1188="","",'Product List'!C1188)</f>
        <v/>
      </c>
      <c r="E1188" s="90" t="str">
        <f>IF('Product List'!B1188="","",'Product List'!B1188)</f>
        <v/>
      </c>
    </row>
    <row r="1189" spans="4:5">
      <c r="D1189" s="90" t="str">
        <f>IF('Product List'!C1189="","",'Product List'!C1189)</f>
        <v/>
      </c>
      <c r="E1189" s="90" t="str">
        <f>IF('Product List'!B1189="","",'Product List'!B1189)</f>
        <v/>
      </c>
    </row>
    <row r="1190" spans="4:5">
      <c r="D1190" s="90" t="str">
        <f>IF('Product List'!C1190="","",'Product List'!C1190)</f>
        <v/>
      </c>
      <c r="E1190" s="90" t="str">
        <f>IF('Product List'!B1190="","",'Product List'!B1190)</f>
        <v/>
      </c>
    </row>
    <row r="1191" spans="4:5">
      <c r="D1191" s="90" t="str">
        <f>IF('Product List'!C1191="","",'Product List'!C1191)</f>
        <v/>
      </c>
      <c r="E1191" s="90" t="str">
        <f>IF('Product List'!B1191="","",'Product List'!B1191)</f>
        <v/>
      </c>
    </row>
    <row r="1192" spans="4:5">
      <c r="D1192" s="90" t="str">
        <f>IF('Product List'!C1192="","",'Product List'!C1192)</f>
        <v/>
      </c>
      <c r="E1192" s="90" t="str">
        <f>IF('Product List'!B1192="","",'Product List'!B1192)</f>
        <v/>
      </c>
    </row>
    <row r="1193" spans="4:5">
      <c r="D1193" s="90" t="str">
        <f>IF('Product List'!C1193="","",'Product List'!C1193)</f>
        <v/>
      </c>
      <c r="E1193" s="90" t="str">
        <f>IF('Product List'!B1193="","",'Product List'!B1193)</f>
        <v/>
      </c>
    </row>
    <row r="1194" spans="4:5">
      <c r="D1194" s="90" t="str">
        <f>IF('Product List'!C1194="","",'Product List'!C1194)</f>
        <v/>
      </c>
      <c r="E1194" s="90" t="str">
        <f>IF('Product List'!B1194="","",'Product List'!B1194)</f>
        <v/>
      </c>
    </row>
    <row r="1195" spans="4:5">
      <c r="D1195" s="90" t="str">
        <f>IF('Product List'!C1195="","",'Product List'!C1195)</f>
        <v/>
      </c>
      <c r="E1195" s="90" t="str">
        <f>IF('Product List'!B1195="","",'Product List'!B1195)</f>
        <v/>
      </c>
    </row>
    <row r="1196" spans="4:5">
      <c r="D1196" s="90" t="str">
        <f>IF('Product List'!C1196="","",'Product List'!C1196)</f>
        <v/>
      </c>
      <c r="E1196" s="90" t="str">
        <f>IF('Product List'!B1196="","",'Product List'!B1196)</f>
        <v/>
      </c>
    </row>
    <row r="1197" spans="4:5">
      <c r="D1197" s="90" t="str">
        <f>IF('Product List'!C1197="","",'Product List'!C1197)</f>
        <v/>
      </c>
      <c r="E1197" s="90" t="str">
        <f>IF('Product List'!B1197="","",'Product List'!B1197)</f>
        <v/>
      </c>
    </row>
    <row r="1198" spans="4:5">
      <c r="D1198" s="90" t="str">
        <f>IF('Product List'!C1198="","",'Product List'!C1198)</f>
        <v/>
      </c>
      <c r="E1198" s="90" t="str">
        <f>IF('Product List'!B1198="","",'Product List'!B1198)</f>
        <v/>
      </c>
    </row>
    <row r="1199" spans="4:5">
      <c r="D1199" s="90" t="str">
        <f>IF('Product List'!C1199="","",'Product List'!C1199)</f>
        <v/>
      </c>
      <c r="E1199" s="90" t="str">
        <f>IF('Product List'!B1199="","",'Product List'!B1199)</f>
        <v/>
      </c>
    </row>
    <row r="1200" spans="4:5">
      <c r="D1200" s="90" t="str">
        <f>IF('Product List'!C1200="","",'Product List'!C1200)</f>
        <v/>
      </c>
      <c r="E1200" s="90" t="str">
        <f>IF('Product List'!B1200="","",'Product List'!B1200)</f>
        <v/>
      </c>
    </row>
    <row r="1201" spans="4:5">
      <c r="D1201" s="90" t="str">
        <f>IF('Product List'!C1201="","",'Product List'!C1201)</f>
        <v/>
      </c>
      <c r="E1201" s="90" t="str">
        <f>IF('Product List'!B1201="","",'Product List'!B1201)</f>
        <v/>
      </c>
    </row>
    <row r="1202" spans="4:5">
      <c r="D1202" s="90" t="str">
        <f>IF('Product List'!C1202="","",'Product List'!C1202)</f>
        <v/>
      </c>
      <c r="E1202" s="90" t="str">
        <f>IF('Product List'!B1202="","",'Product List'!B1202)</f>
        <v/>
      </c>
    </row>
    <row r="1203" spans="4:5">
      <c r="D1203" s="90" t="str">
        <f>IF('Product List'!C1203="","",'Product List'!C1203)</f>
        <v/>
      </c>
      <c r="E1203" s="90" t="str">
        <f>IF('Product List'!B1203="","",'Product List'!B1203)</f>
        <v/>
      </c>
    </row>
    <row r="1204" spans="4:5">
      <c r="D1204" s="90" t="str">
        <f>IF('Product List'!C1204="","",'Product List'!C1204)</f>
        <v/>
      </c>
      <c r="E1204" s="90" t="str">
        <f>IF('Product List'!B1204="","",'Product List'!B1204)</f>
        <v/>
      </c>
    </row>
    <row r="1205" spans="4:5">
      <c r="D1205" s="90" t="str">
        <f>IF('Product List'!C1205="","",'Product List'!C1205)</f>
        <v/>
      </c>
      <c r="E1205" s="90" t="str">
        <f>IF('Product List'!B1205="","",'Product List'!B1205)</f>
        <v/>
      </c>
    </row>
    <row r="1206" spans="4:5">
      <c r="D1206" s="90" t="str">
        <f>IF('Product List'!C1206="","",'Product List'!C1206)</f>
        <v/>
      </c>
      <c r="E1206" s="90" t="str">
        <f>IF('Product List'!B1206="","",'Product List'!B1206)</f>
        <v/>
      </c>
    </row>
    <row r="1207" spans="4:5">
      <c r="D1207" s="90" t="str">
        <f>IF('Product List'!C1207="","",'Product List'!C1207)</f>
        <v/>
      </c>
      <c r="E1207" s="90" t="str">
        <f>IF('Product List'!B1207="","",'Product List'!B1207)</f>
        <v/>
      </c>
    </row>
    <row r="1208" spans="4:5">
      <c r="D1208" s="90" t="str">
        <f>IF('Product List'!C1208="","",'Product List'!C1208)</f>
        <v/>
      </c>
      <c r="E1208" s="90" t="str">
        <f>IF('Product List'!B1208="","",'Product List'!B1208)</f>
        <v/>
      </c>
    </row>
    <row r="1209" spans="4:5">
      <c r="D1209" s="90" t="str">
        <f>IF('Product List'!C1209="","",'Product List'!C1209)</f>
        <v/>
      </c>
      <c r="E1209" s="90" t="str">
        <f>IF('Product List'!B1209="","",'Product List'!B1209)</f>
        <v/>
      </c>
    </row>
    <row r="1210" spans="4:5">
      <c r="D1210" s="90" t="str">
        <f>IF('Product List'!C1210="","",'Product List'!C1210)</f>
        <v/>
      </c>
      <c r="E1210" s="90" t="str">
        <f>IF('Product List'!B1210="","",'Product List'!B1210)</f>
        <v/>
      </c>
    </row>
    <row r="1211" spans="4:5">
      <c r="D1211" s="90" t="str">
        <f>IF('Product List'!C1211="","",'Product List'!C1211)</f>
        <v/>
      </c>
      <c r="E1211" s="90" t="str">
        <f>IF('Product List'!B1211="","",'Product List'!B1211)</f>
        <v/>
      </c>
    </row>
    <row r="1212" spans="4:5">
      <c r="D1212" s="90" t="str">
        <f>IF('Product List'!C1212="","",'Product List'!C1212)</f>
        <v/>
      </c>
      <c r="E1212" s="90" t="str">
        <f>IF('Product List'!B1212="","",'Product List'!B1212)</f>
        <v/>
      </c>
    </row>
    <row r="1213" spans="4:5">
      <c r="D1213" s="90" t="str">
        <f>IF('Product List'!C1213="","",'Product List'!C1213)</f>
        <v/>
      </c>
      <c r="E1213" s="90" t="str">
        <f>IF('Product List'!B1213="","",'Product List'!B1213)</f>
        <v/>
      </c>
    </row>
    <row r="1214" spans="4:5">
      <c r="D1214" s="90" t="str">
        <f>IF('Product List'!C1214="","",'Product List'!C1214)</f>
        <v/>
      </c>
      <c r="E1214" s="90" t="str">
        <f>IF('Product List'!B1214="","",'Product List'!B1214)</f>
        <v/>
      </c>
    </row>
    <row r="1215" spans="4:5">
      <c r="D1215" s="90" t="str">
        <f>IF('Product List'!C1215="","",'Product List'!C1215)</f>
        <v/>
      </c>
      <c r="E1215" s="90" t="str">
        <f>IF('Product List'!B1215="","",'Product List'!B1215)</f>
        <v/>
      </c>
    </row>
    <row r="1216" spans="4:5">
      <c r="D1216" s="90" t="str">
        <f>IF('Product List'!C1216="","",'Product List'!C1216)</f>
        <v/>
      </c>
      <c r="E1216" s="90" t="str">
        <f>IF('Product List'!B1216="","",'Product List'!B1216)</f>
        <v/>
      </c>
    </row>
    <row r="1217" spans="4:5">
      <c r="D1217" s="90" t="str">
        <f>IF('Product List'!C1217="","",'Product List'!C1217)</f>
        <v/>
      </c>
      <c r="E1217" s="90" t="str">
        <f>IF('Product List'!B1217="","",'Product List'!B1217)</f>
        <v/>
      </c>
    </row>
    <row r="1218" spans="4:5">
      <c r="D1218" s="90" t="str">
        <f>IF('Product List'!C1218="","",'Product List'!C1218)</f>
        <v/>
      </c>
      <c r="E1218" s="90" t="str">
        <f>IF('Product List'!B1218="","",'Product List'!B1218)</f>
        <v/>
      </c>
    </row>
    <row r="1219" spans="4:5">
      <c r="D1219" s="90" t="str">
        <f>IF('Product List'!C1219="","",'Product List'!C1219)</f>
        <v/>
      </c>
      <c r="E1219" s="90" t="str">
        <f>IF('Product List'!B1219="","",'Product List'!B1219)</f>
        <v/>
      </c>
    </row>
    <row r="1220" spans="4:5">
      <c r="D1220" s="90" t="str">
        <f>IF('Product List'!C1220="","",'Product List'!C1220)</f>
        <v/>
      </c>
      <c r="E1220" s="90" t="str">
        <f>IF('Product List'!B1220="","",'Product List'!B1220)</f>
        <v/>
      </c>
    </row>
    <row r="1221" spans="4:5">
      <c r="D1221" s="90" t="str">
        <f>IF('Product List'!C1221="","",'Product List'!C1221)</f>
        <v/>
      </c>
      <c r="E1221" s="90" t="str">
        <f>IF('Product List'!B1221="","",'Product List'!B1221)</f>
        <v/>
      </c>
    </row>
    <row r="1222" spans="4:5">
      <c r="D1222" s="90" t="str">
        <f>IF('Product List'!C1222="","",'Product List'!C1222)</f>
        <v/>
      </c>
      <c r="E1222" s="90" t="str">
        <f>IF('Product List'!B1222="","",'Product List'!B1222)</f>
        <v/>
      </c>
    </row>
    <row r="1223" spans="4:5">
      <c r="D1223" s="90" t="str">
        <f>IF('Product List'!C1223="","",'Product List'!C1223)</f>
        <v/>
      </c>
      <c r="E1223" s="90" t="str">
        <f>IF('Product List'!B1223="","",'Product List'!B1223)</f>
        <v/>
      </c>
    </row>
    <row r="1224" spans="4:5">
      <c r="D1224" s="90" t="str">
        <f>IF('Product List'!C1224="","",'Product List'!C1224)</f>
        <v/>
      </c>
      <c r="E1224" s="90" t="str">
        <f>IF('Product List'!B1224="","",'Product List'!B1224)</f>
        <v/>
      </c>
    </row>
    <row r="1225" spans="4:5">
      <c r="D1225" s="90" t="str">
        <f>IF('Product List'!C1225="","",'Product List'!C1225)</f>
        <v/>
      </c>
      <c r="E1225" s="90" t="str">
        <f>IF('Product List'!B1225="","",'Product List'!B1225)</f>
        <v/>
      </c>
    </row>
    <row r="1226" spans="4:5">
      <c r="D1226" s="90" t="str">
        <f>IF('Product List'!C1226="","",'Product List'!C1226)</f>
        <v/>
      </c>
      <c r="E1226" s="90" t="str">
        <f>IF('Product List'!B1226="","",'Product List'!B1226)</f>
        <v/>
      </c>
    </row>
    <row r="1227" spans="4:5">
      <c r="D1227" s="90" t="str">
        <f>IF('Product List'!C1227="","",'Product List'!C1227)</f>
        <v/>
      </c>
      <c r="E1227" s="90" t="str">
        <f>IF('Product List'!B1227="","",'Product List'!B1227)</f>
        <v/>
      </c>
    </row>
    <row r="1228" spans="4:5">
      <c r="D1228" s="90" t="str">
        <f>IF('Product List'!C1228="","",'Product List'!C1228)</f>
        <v/>
      </c>
      <c r="E1228" s="90" t="str">
        <f>IF('Product List'!B1228="","",'Product List'!B1228)</f>
        <v/>
      </c>
    </row>
    <row r="1229" spans="4:5">
      <c r="D1229" s="90" t="str">
        <f>IF('Product List'!C1229="","",'Product List'!C1229)</f>
        <v/>
      </c>
      <c r="E1229" s="90" t="str">
        <f>IF('Product List'!B1229="","",'Product List'!B1229)</f>
        <v/>
      </c>
    </row>
    <row r="1230" spans="4:5">
      <c r="D1230" s="90" t="str">
        <f>IF('Product List'!C1230="","",'Product List'!C1230)</f>
        <v/>
      </c>
      <c r="E1230" s="90" t="str">
        <f>IF('Product List'!B1230="","",'Product List'!B1230)</f>
        <v/>
      </c>
    </row>
    <row r="1231" spans="4:5">
      <c r="D1231" s="90" t="str">
        <f>IF('Product List'!C1231="","",'Product List'!C1231)</f>
        <v/>
      </c>
      <c r="E1231" s="90" t="str">
        <f>IF('Product List'!B1231="","",'Product List'!B1231)</f>
        <v/>
      </c>
    </row>
    <row r="1232" spans="4:5">
      <c r="D1232" s="90" t="str">
        <f>IF('Product List'!C1232="","",'Product List'!C1232)</f>
        <v/>
      </c>
      <c r="E1232" s="90" t="str">
        <f>IF('Product List'!B1232="","",'Product List'!B1232)</f>
        <v/>
      </c>
    </row>
    <row r="1233" spans="4:5">
      <c r="D1233" s="90" t="str">
        <f>IF('Product List'!C1233="","",'Product List'!C1233)</f>
        <v/>
      </c>
      <c r="E1233" s="90" t="str">
        <f>IF('Product List'!B1233="","",'Product List'!B1233)</f>
        <v/>
      </c>
    </row>
    <row r="1234" spans="4:5">
      <c r="D1234" s="90" t="str">
        <f>IF('Product List'!C1234="","",'Product List'!C1234)</f>
        <v/>
      </c>
      <c r="E1234" s="90" t="str">
        <f>IF('Product List'!B1234="","",'Product List'!B1234)</f>
        <v/>
      </c>
    </row>
    <row r="1235" spans="4:5">
      <c r="D1235" s="90" t="str">
        <f>IF('Product List'!C1235="","",'Product List'!C1235)</f>
        <v/>
      </c>
      <c r="E1235" s="90" t="str">
        <f>IF('Product List'!B1235="","",'Product List'!B1235)</f>
        <v/>
      </c>
    </row>
    <row r="1236" spans="4:5">
      <c r="D1236" s="90" t="str">
        <f>IF('Product List'!C1236="","",'Product List'!C1236)</f>
        <v/>
      </c>
      <c r="E1236" s="90" t="str">
        <f>IF('Product List'!B1236="","",'Product List'!B1236)</f>
        <v/>
      </c>
    </row>
    <row r="1237" spans="4:5">
      <c r="D1237" s="90" t="str">
        <f>IF('Product List'!C1237="","",'Product List'!C1237)</f>
        <v/>
      </c>
      <c r="E1237" s="90" t="str">
        <f>IF('Product List'!B1237="","",'Product List'!B1237)</f>
        <v/>
      </c>
    </row>
    <row r="1238" spans="4:5">
      <c r="D1238" s="90" t="str">
        <f>IF('Product List'!C1238="","",'Product List'!C1238)</f>
        <v/>
      </c>
      <c r="E1238" s="90" t="str">
        <f>IF('Product List'!B1238="","",'Product List'!B1238)</f>
        <v/>
      </c>
    </row>
    <row r="1239" spans="4:5">
      <c r="D1239" s="90" t="str">
        <f>IF('Product List'!C1239="","",'Product List'!C1239)</f>
        <v/>
      </c>
      <c r="E1239" s="90" t="str">
        <f>IF('Product List'!B1239="","",'Product List'!B1239)</f>
        <v/>
      </c>
    </row>
    <row r="1240" spans="4:5">
      <c r="D1240" s="90" t="str">
        <f>IF('Product List'!C1240="","",'Product List'!C1240)</f>
        <v/>
      </c>
      <c r="E1240" s="90" t="str">
        <f>IF('Product List'!B1240="","",'Product List'!B1240)</f>
        <v/>
      </c>
    </row>
    <row r="1241" spans="4:5">
      <c r="D1241" s="90" t="str">
        <f>IF('Product List'!C1241="","",'Product List'!C1241)</f>
        <v/>
      </c>
      <c r="E1241" s="90" t="str">
        <f>IF('Product List'!B1241="","",'Product List'!B1241)</f>
        <v/>
      </c>
    </row>
    <row r="1242" spans="4:5">
      <c r="D1242" s="90" t="str">
        <f>IF('Product List'!C1242="","",'Product List'!C1242)</f>
        <v/>
      </c>
      <c r="E1242" s="90" t="str">
        <f>IF('Product List'!B1242="","",'Product List'!B1242)</f>
        <v/>
      </c>
    </row>
    <row r="1243" spans="4:5">
      <c r="D1243" s="90" t="str">
        <f>IF('Product List'!C1243="","",'Product List'!C1243)</f>
        <v/>
      </c>
      <c r="E1243" s="90" t="str">
        <f>IF('Product List'!B1243="","",'Product List'!B1243)</f>
        <v/>
      </c>
    </row>
    <row r="1244" spans="4:5">
      <c r="D1244" s="90" t="str">
        <f>IF('Product List'!C1244="","",'Product List'!C1244)</f>
        <v/>
      </c>
      <c r="E1244" s="90" t="str">
        <f>IF('Product List'!B1244="","",'Product List'!B1244)</f>
        <v/>
      </c>
    </row>
    <row r="1245" spans="4:5">
      <c r="D1245" s="90" t="str">
        <f>IF('Product List'!C1245="","",'Product List'!C1245)</f>
        <v/>
      </c>
      <c r="E1245" s="90" t="str">
        <f>IF('Product List'!B1245="","",'Product List'!B1245)</f>
        <v/>
      </c>
    </row>
    <row r="1246" spans="4:5">
      <c r="D1246" s="90" t="str">
        <f>IF('Product List'!C1246="","",'Product List'!C1246)</f>
        <v/>
      </c>
      <c r="E1246" s="90" t="str">
        <f>IF('Product List'!B1246="","",'Product List'!B1246)</f>
        <v/>
      </c>
    </row>
    <row r="1247" spans="4:5">
      <c r="D1247" s="90" t="str">
        <f>IF('Product List'!C1247="","",'Product List'!C1247)</f>
        <v/>
      </c>
      <c r="E1247" s="90" t="str">
        <f>IF('Product List'!B1247="","",'Product List'!B1247)</f>
        <v/>
      </c>
    </row>
    <row r="1248" spans="4:5">
      <c r="D1248" s="90" t="str">
        <f>IF('Product List'!C1248="","",'Product List'!C1248)</f>
        <v/>
      </c>
      <c r="E1248" s="90" t="str">
        <f>IF('Product List'!B1248="","",'Product List'!B1248)</f>
        <v/>
      </c>
    </row>
    <row r="1249" spans="4:5">
      <c r="D1249" s="90" t="str">
        <f>IF('Product List'!C1249="","",'Product List'!C1249)</f>
        <v/>
      </c>
      <c r="E1249" s="90" t="str">
        <f>IF('Product List'!B1249="","",'Product List'!B1249)</f>
        <v/>
      </c>
    </row>
    <row r="1250" spans="4:5">
      <c r="D1250" s="90" t="str">
        <f>IF('Product List'!C1250="","",'Product List'!C1250)</f>
        <v/>
      </c>
      <c r="E1250" s="90" t="str">
        <f>IF('Product List'!B1250="","",'Product List'!B1250)</f>
        <v/>
      </c>
    </row>
    <row r="1251" spans="4:5">
      <c r="D1251" s="90" t="str">
        <f>IF('Product List'!C1251="","",'Product List'!C1251)</f>
        <v/>
      </c>
      <c r="E1251" s="90" t="str">
        <f>IF('Product List'!B1251="","",'Product List'!B1251)</f>
        <v/>
      </c>
    </row>
    <row r="1252" spans="4:5">
      <c r="D1252" s="90" t="str">
        <f>IF('Product List'!C1252="","",'Product List'!C1252)</f>
        <v/>
      </c>
      <c r="E1252" s="90" t="str">
        <f>IF('Product List'!B1252="","",'Product List'!B1252)</f>
        <v/>
      </c>
    </row>
    <row r="1253" spans="4:5">
      <c r="D1253" s="90" t="str">
        <f>IF('Product List'!C1253="","",'Product List'!C1253)</f>
        <v/>
      </c>
      <c r="E1253" s="90" t="str">
        <f>IF('Product List'!B1253="","",'Product List'!B1253)</f>
        <v/>
      </c>
    </row>
    <row r="1254" spans="4:5">
      <c r="D1254" s="90" t="str">
        <f>IF('Product List'!C1254="","",'Product List'!C1254)</f>
        <v/>
      </c>
      <c r="E1254" s="90" t="str">
        <f>IF('Product List'!B1254="","",'Product List'!B1254)</f>
        <v/>
      </c>
    </row>
    <row r="1255" spans="4:5">
      <c r="D1255" s="90" t="str">
        <f>IF('Product List'!C1255="","",'Product List'!C1255)</f>
        <v/>
      </c>
      <c r="E1255" s="90" t="str">
        <f>IF('Product List'!B1255="","",'Product List'!B1255)</f>
        <v/>
      </c>
    </row>
    <row r="1256" spans="4:5">
      <c r="D1256" s="90" t="str">
        <f>IF('Product List'!C1256="","",'Product List'!C1256)</f>
        <v/>
      </c>
      <c r="E1256" s="90" t="str">
        <f>IF('Product List'!B1256="","",'Product List'!B1256)</f>
        <v/>
      </c>
    </row>
    <row r="1257" spans="4:5">
      <c r="D1257" s="90" t="str">
        <f>IF('Product List'!C1257="","",'Product List'!C1257)</f>
        <v/>
      </c>
      <c r="E1257" s="90" t="str">
        <f>IF('Product List'!B1257="","",'Product List'!B1257)</f>
        <v/>
      </c>
    </row>
    <row r="1258" spans="4:5">
      <c r="D1258" s="90" t="str">
        <f>IF('Product List'!C1258="","",'Product List'!C1258)</f>
        <v/>
      </c>
      <c r="E1258" s="90" t="str">
        <f>IF('Product List'!B1258="","",'Product List'!B1258)</f>
        <v/>
      </c>
    </row>
    <row r="1259" spans="4:5">
      <c r="D1259" s="90" t="str">
        <f>IF('Product List'!C1259="","",'Product List'!C1259)</f>
        <v/>
      </c>
      <c r="E1259" s="90" t="str">
        <f>IF('Product List'!B1259="","",'Product List'!B1259)</f>
        <v/>
      </c>
    </row>
    <row r="1260" spans="4:5">
      <c r="D1260" s="90" t="str">
        <f>IF('Product List'!C1260="","",'Product List'!C1260)</f>
        <v/>
      </c>
      <c r="E1260" s="90" t="str">
        <f>IF('Product List'!B1260="","",'Product List'!B1260)</f>
        <v/>
      </c>
    </row>
    <row r="1261" spans="4:5">
      <c r="D1261" s="90" t="str">
        <f>IF('Product List'!C1261="","",'Product List'!C1261)</f>
        <v/>
      </c>
      <c r="E1261" s="90" t="str">
        <f>IF('Product List'!B1261="","",'Product List'!B1261)</f>
        <v/>
      </c>
    </row>
    <row r="1262" spans="4:5">
      <c r="D1262" s="90" t="str">
        <f>IF('Product List'!C1262="","",'Product List'!C1262)</f>
        <v/>
      </c>
      <c r="E1262" s="90" t="str">
        <f>IF('Product List'!B1262="","",'Product List'!B1262)</f>
        <v/>
      </c>
    </row>
    <row r="1263" spans="4:5">
      <c r="D1263" s="90" t="str">
        <f>IF('Product List'!C1263="","",'Product List'!C1263)</f>
        <v/>
      </c>
      <c r="E1263" s="90" t="str">
        <f>IF('Product List'!B1263="","",'Product List'!B1263)</f>
        <v/>
      </c>
    </row>
    <row r="1264" spans="4:5">
      <c r="D1264" s="90" t="str">
        <f>IF('Product List'!C1264="","",'Product List'!C1264)</f>
        <v/>
      </c>
      <c r="E1264" s="90" t="str">
        <f>IF('Product List'!B1264="","",'Product List'!B1264)</f>
        <v/>
      </c>
    </row>
    <row r="1265" spans="4:5">
      <c r="D1265" s="90" t="str">
        <f>IF('Product List'!C1265="","",'Product List'!C1265)</f>
        <v/>
      </c>
      <c r="E1265" s="90" t="str">
        <f>IF('Product List'!B1265="","",'Product List'!B1265)</f>
        <v/>
      </c>
    </row>
    <row r="1266" spans="4:5">
      <c r="D1266" s="90" t="str">
        <f>IF('Product List'!C1266="","",'Product List'!C1266)</f>
        <v/>
      </c>
      <c r="E1266" s="90" t="str">
        <f>IF('Product List'!B1266="","",'Product List'!B1266)</f>
        <v/>
      </c>
    </row>
    <row r="1267" spans="4:5">
      <c r="D1267" s="90" t="str">
        <f>IF('Product List'!C1267="","",'Product List'!C1267)</f>
        <v/>
      </c>
      <c r="E1267" s="90" t="str">
        <f>IF('Product List'!B1267="","",'Product List'!B1267)</f>
        <v/>
      </c>
    </row>
    <row r="1268" spans="4:5">
      <c r="D1268" s="90" t="str">
        <f>IF('Product List'!C1268="","",'Product List'!C1268)</f>
        <v/>
      </c>
      <c r="E1268" s="90" t="str">
        <f>IF('Product List'!B1268="","",'Product List'!B1268)</f>
        <v/>
      </c>
    </row>
    <row r="1269" spans="4:5">
      <c r="D1269" s="90" t="str">
        <f>IF('Product List'!C1269="","",'Product List'!C1269)</f>
        <v/>
      </c>
      <c r="E1269" s="90" t="str">
        <f>IF('Product List'!B1269="","",'Product List'!B1269)</f>
        <v/>
      </c>
    </row>
    <row r="1270" spans="4:5">
      <c r="D1270" s="90" t="str">
        <f>IF('Product List'!C1270="","",'Product List'!C1270)</f>
        <v/>
      </c>
      <c r="E1270" s="90" t="str">
        <f>IF('Product List'!B1270="","",'Product List'!B1270)</f>
        <v/>
      </c>
    </row>
    <row r="1271" spans="4:5">
      <c r="D1271" s="90" t="str">
        <f>IF('Product List'!C1271="","",'Product List'!C1271)</f>
        <v/>
      </c>
      <c r="E1271" s="90" t="str">
        <f>IF('Product List'!B1271="","",'Product List'!B1271)</f>
        <v/>
      </c>
    </row>
    <row r="1272" spans="4:5">
      <c r="D1272" s="90" t="str">
        <f>IF('Product List'!C1272="","",'Product List'!C1272)</f>
        <v/>
      </c>
      <c r="E1272" s="90" t="str">
        <f>IF('Product List'!B1272="","",'Product List'!B1272)</f>
        <v/>
      </c>
    </row>
    <row r="1273" spans="4:5">
      <c r="D1273" s="90" t="str">
        <f>IF('Product List'!C1273="","",'Product List'!C1273)</f>
        <v/>
      </c>
      <c r="E1273" s="90" t="str">
        <f>IF('Product List'!B1273="","",'Product List'!B1273)</f>
        <v/>
      </c>
    </row>
    <row r="1274" spans="4:5">
      <c r="D1274" s="90" t="str">
        <f>IF('Product List'!C1274="","",'Product List'!C1274)</f>
        <v/>
      </c>
      <c r="E1274" s="90" t="str">
        <f>IF('Product List'!B1274="","",'Product List'!B1274)</f>
        <v/>
      </c>
    </row>
    <row r="1275" spans="4:5">
      <c r="D1275" s="90" t="str">
        <f>IF('Product List'!C1275="","",'Product List'!C1275)</f>
        <v/>
      </c>
      <c r="E1275" s="90" t="str">
        <f>IF('Product List'!B1275="","",'Product List'!B1275)</f>
        <v/>
      </c>
    </row>
    <row r="1276" spans="4:5">
      <c r="D1276" s="90" t="str">
        <f>IF('Product List'!C1276="","",'Product List'!C1276)</f>
        <v/>
      </c>
      <c r="E1276" s="90" t="str">
        <f>IF('Product List'!B1276="","",'Product List'!B1276)</f>
        <v/>
      </c>
    </row>
    <row r="1277" spans="4:5">
      <c r="D1277" s="90" t="str">
        <f>IF('Product List'!C1277="","",'Product List'!C1277)</f>
        <v/>
      </c>
      <c r="E1277" s="90" t="str">
        <f>IF('Product List'!B1277="","",'Product List'!B1277)</f>
        <v/>
      </c>
    </row>
    <row r="1278" spans="4:5">
      <c r="D1278" s="90" t="str">
        <f>IF('Product List'!C1278="","",'Product List'!C1278)</f>
        <v/>
      </c>
      <c r="E1278" s="90" t="str">
        <f>IF('Product List'!B1278="","",'Product List'!B1278)</f>
        <v/>
      </c>
    </row>
    <row r="1279" spans="4:5">
      <c r="D1279" s="90" t="str">
        <f>IF('Product List'!C1279="","",'Product List'!C1279)</f>
        <v/>
      </c>
      <c r="E1279" s="90" t="str">
        <f>IF('Product List'!B1279="","",'Product List'!B1279)</f>
        <v/>
      </c>
    </row>
    <row r="1280" spans="4:5">
      <c r="D1280" s="90" t="str">
        <f>IF('Product List'!C1280="","",'Product List'!C1280)</f>
        <v/>
      </c>
      <c r="E1280" s="90" t="str">
        <f>IF('Product List'!B1280="","",'Product List'!B1280)</f>
        <v/>
      </c>
    </row>
    <row r="1281" spans="4:5">
      <c r="D1281" s="90" t="str">
        <f>IF('Product List'!C1281="","",'Product List'!C1281)</f>
        <v/>
      </c>
      <c r="E1281" s="90" t="str">
        <f>IF('Product List'!B1281="","",'Product List'!B1281)</f>
        <v/>
      </c>
    </row>
    <row r="1282" spans="4:5">
      <c r="D1282" s="90" t="str">
        <f>IF('Product List'!C1282="","",'Product List'!C1282)</f>
        <v/>
      </c>
      <c r="E1282" s="90" t="str">
        <f>IF('Product List'!B1282="","",'Product List'!B1282)</f>
        <v/>
      </c>
    </row>
    <row r="1283" spans="4:5">
      <c r="D1283" s="90" t="str">
        <f>IF('Product List'!C1283="","",'Product List'!C1283)</f>
        <v/>
      </c>
      <c r="E1283" s="90" t="str">
        <f>IF('Product List'!B1283="","",'Product List'!B1283)</f>
        <v/>
      </c>
    </row>
    <row r="1284" spans="4:5">
      <c r="D1284" s="90" t="str">
        <f>IF('Product List'!C1284="","",'Product List'!C1284)</f>
        <v/>
      </c>
      <c r="E1284" s="90" t="str">
        <f>IF('Product List'!B1284="","",'Product List'!B1284)</f>
        <v/>
      </c>
    </row>
    <row r="1285" spans="4:5">
      <c r="D1285" s="90" t="str">
        <f>IF('Product List'!C1285="","",'Product List'!C1285)</f>
        <v/>
      </c>
      <c r="E1285" s="90" t="str">
        <f>IF('Product List'!B1285="","",'Product List'!B1285)</f>
        <v/>
      </c>
    </row>
    <row r="1286" spans="4:5">
      <c r="D1286" s="90" t="str">
        <f>IF('Product List'!C1286="","",'Product List'!C1286)</f>
        <v/>
      </c>
      <c r="E1286" s="90" t="str">
        <f>IF('Product List'!B1286="","",'Product List'!B1286)</f>
        <v/>
      </c>
    </row>
    <row r="1287" spans="4:5">
      <c r="D1287" s="90" t="str">
        <f>IF('Product List'!C1287="","",'Product List'!C1287)</f>
        <v/>
      </c>
      <c r="E1287" s="90" t="str">
        <f>IF('Product List'!B1287="","",'Product List'!B1287)</f>
        <v/>
      </c>
    </row>
    <row r="1288" spans="4:5">
      <c r="D1288" s="90" t="str">
        <f>IF('Product List'!C1288="","",'Product List'!C1288)</f>
        <v/>
      </c>
      <c r="E1288" s="90" t="str">
        <f>IF('Product List'!B1288="","",'Product List'!B1288)</f>
        <v/>
      </c>
    </row>
    <row r="1289" spans="4:5">
      <c r="D1289" s="90" t="str">
        <f>IF('Product List'!C1289="","",'Product List'!C1289)</f>
        <v/>
      </c>
      <c r="E1289" s="90" t="str">
        <f>IF('Product List'!B1289="","",'Product List'!B1289)</f>
        <v/>
      </c>
    </row>
    <row r="1290" spans="4:5">
      <c r="D1290" s="90" t="str">
        <f>IF('Product List'!C1290="","",'Product List'!C1290)</f>
        <v/>
      </c>
      <c r="E1290" s="90" t="str">
        <f>IF('Product List'!B1290="","",'Product List'!B1290)</f>
        <v/>
      </c>
    </row>
    <row r="1291" spans="4:5">
      <c r="D1291" s="90" t="str">
        <f>IF('Product List'!C1291="","",'Product List'!C1291)</f>
        <v/>
      </c>
      <c r="E1291" s="90" t="str">
        <f>IF('Product List'!B1291="","",'Product List'!B1291)</f>
        <v/>
      </c>
    </row>
    <row r="1292" spans="4:5">
      <c r="D1292" s="90" t="str">
        <f>IF('Product List'!C1292="","",'Product List'!C1292)</f>
        <v/>
      </c>
      <c r="E1292" s="90" t="str">
        <f>IF('Product List'!B1292="","",'Product List'!B1292)</f>
        <v/>
      </c>
    </row>
    <row r="1293" spans="4:5">
      <c r="D1293" s="90" t="str">
        <f>IF('Product List'!C1293="","",'Product List'!C1293)</f>
        <v/>
      </c>
      <c r="E1293" s="90" t="str">
        <f>IF('Product List'!B1293="","",'Product List'!B1293)</f>
        <v/>
      </c>
    </row>
    <row r="1294" spans="4:5">
      <c r="D1294" s="90" t="str">
        <f>IF('Product List'!C1294="","",'Product List'!C1294)</f>
        <v/>
      </c>
      <c r="E1294" s="90" t="str">
        <f>IF('Product List'!B1294="","",'Product List'!B1294)</f>
        <v/>
      </c>
    </row>
    <row r="1295" spans="4:5">
      <c r="D1295" s="90" t="str">
        <f>IF('Product List'!C1295="","",'Product List'!C1295)</f>
        <v/>
      </c>
      <c r="E1295" s="90" t="str">
        <f>IF('Product List'!B1295="","",'Product List'!B1295)</f>
        <v/>
      </c>
    </row>
    <row r="1296" spans="4:5">
      <c r="D1296" s="90" t="str">
        <f>IF('Product List'!C1296="","",'Product List'!C1296)</f>
        <v/>
      </c>
      <c r="E1296" s="90" t="str">
        <f>IF('Product List'!B1296="","",'Product List'!B1296)</f>
        <v/>
      </c>
    </row>
    <row r="1297" spans="4:5">
      <c r="D1297" s="90" t="str">
        <f>IF('Product List'!C1297="","",'Product List'!C1297)</f>
        <v/>
      </c>
      <c r="E1297" s="90" t="str">
        <f>IF('Product List'!B1297="","",'Product List'!B1297)</f>
        <v/>
      </c>
    </row>
    <row r="1298" spans="4:5">
      <c r="D1298" s="90" t="str">
        <f>IF('Product List'!C1298="","",'Product List'!C1298)</f>
        <v/>
      </c>
      <c r="E1298" s="90" t="str">
        <f>IF('Product List'!B1298="","",'Product List'!B1298)</f>
        <v/>
      </c>
    </row>
    <row r="1299" spans="4:5">
      <c r="D1299" s="90" t="str">
        <f>IF('Product List'!C1299="","",'Product List'!C1299)</f>
        <v/>
      </c>
      <c r="E1299" s="90" t="str">
        <f>IF('Product List'!B1299="","",'Product List'!B1299)</f>
        <v/>
      </c>
    </row>
    <row r="1300" spans="4:5">
      <c r="D1300" s="90" t="str">
        <f>IF('Product List'!C1300="","",'Product List'!C1300)</f>
        <v/>
      </c>
      <c r="E1300" s="90" t="str">
        <f>IF('Product List'!B1300="","",'Product List'!B1300)</f>
        <v/>
      </c>
    </row>
    <row r="1301" spans="4:5">
      <c r="D1301" s="90" t="str">
        <f>IF('Product List'!C1301="","",'Product List'!C1301)</f>
        <v/>
      </c>
      <c r="E1301" s="90" t="str">
        <f>IF('Product List'!B1301="","",'Product List'!B1301)</f>
        <v/>
      </c>
    </row>
    <row r="1302" spans="4:5">
      <c r="D1302" s="90" t="str">
        <f>IF('Product List'!C1302="","",'Product List'!C1302)</f>
        <v/>
      </c>
      <c r="E1302" s="90" t="str">
        <f>IF('Product List'!B1302="","",'Product List'!B1302)</f>
        <v/>
      </c>
    </row>
    <row r="1303" spans="4:5">
      <c r="D1303" s="90" t="str">
        <f>IF('Product List'!C1303="","",'Product List'!C1303)</f>
        <v/>
      </c>
      <c r="E1303" s="90" t="str">
        <f>IF('Product List'!B1303="","",'Product List'!B1303)</f>
        <v/>
      </c>
    </row>
    <row r="1304" spans="4:5">
      <c r="D1304" s="90" t="str">
        <f>IF('Product List'!C1304="","",'Product List'!C1304)</f>
        <v/>
      </c>
      <c r="E1304" s="90" t="str">
        <f>IF('Product List'!B1304="","",'Product List'!B1304)</f>
        <v/>
      </c>
    </row>
    <row r="1305" spans="4:5">
      <c r="D1305" s="90" t="str">
        <f>IF('Product List'!C1305="","",'Product List'!C1305)</f>
        <v/>
      </c>
      <c r="E1305" s="90" t="str">
        <f>IF('Product List'!B1305="","",'Product List'!B1305)</f>
        <v/>
      </c>
    </row>
    <row r="1306" spans="4:5">
      <c r="D1306" s="90" t="str">
        <f>IF('Product List'!C1306="","",'Product List'!C1306)</f>
        <v/>
      </c>
      <c r="E1306" s="90" t="str">
        <f>IF('Product List'!B1306="","",'Product List'!B1306)</f>
        <v/>
      </c>
    </row>
    <row r="1307" spans="4:5">
      <c r="D1307" s="90" t="str">
        <f>IF('Product List'!C1307="","",'Product List'!C1307)</f>
        <v/>
      </c>
      <c r="E1307" s="90" t="str">
        <f>IF('Product List'!B1307="","",'Product List'!B1307)</f>
        <v/>
      </c>
    </row>
    <row r="1308" spans="4:5">
      <c r="D1308" s="90" t="str">
        <f>IF('Product List'!C1308="","",'Product List'!C1308)</f>
        <v/>
      </c>
      <c r="E1308" s="90" t="str">
        <f>IF('Product List'!B1308="","",'Product List'!B1308)</f>
        <v/>
      </c>
    </row>
    <row r="1309" spans="4:5">
      <c r="D1309" s="90" t="str">
        <f>IF('Product List'!C1309="","",'Product List'!C1309)</f>
        <v/>
      </c>
      <c r="E1309" s="90" t="str">
        <f>IF('Product List'!B1309="","",'Product List'!B1309)</f>
        <v/>
      </c>
    </row>
    <row r="1310" spans="4:5">
      <c r="D1310" s="90" t="str">
        <f>IF('Product List'!C1310="","",'Product List'!C1310)</f>
        <v/>
      </c>
      <c r="E1310" s="90" t="str">
        <f>IF('Product List'!B1310="","",'Product List'!B1310)</f>
        <v/>
      </c>
    </row>
    <row r="1311" spans="4:5">
      <c r="D1311" s="90" t="str">
        <f>IF('Product List'!C1311="","",'Product List'!C1311)</f>
        <v/>
      </c>
      <c r="E1311" s="90" t="str">
        <f>IF('Product List'!B1311="","",'Product List'!B1311)</f>
        <v/>
      </c>
    </row>
    <row r="1312" spans="4:5">
      <c r="D1312" s="90" t="str">
        <f>IF('Product List'!C1312="","",'Product List'!C1312)</f>
        <v/>
      </c>
      <c r="E1312" s="90" t="str">
        <f>IF('Product List'!B1312="","",'Product List'!B1312)</f>
        <v/>
      </c>
    </row>
    <row r="1313" spans="4:5">
      <c r="D1313" s="90" t="str">
        <f>IF('Product List'!C1313="","",'Product List'!C1313)</f>
        <v/>
      </c>
      <c r="E1313" s="90" t="str">
        <f>IF('Product List'!B1313="","",'Product List'!B1313)</f>
        <v/>
      </c>
    </row>
    <row r="1314" spans="4:5">
      <c r="D1314" s="90" t="str">
        <f>IF('Product List'!C1314="","",'Product List'!C1314)</f>
        <v/>
      </c>
      <c r="E1314" s="90" t="str">
        <f>IF('Product List'!B1314="","",'Product List'!B1314)</f>
        <v/>
      </c>
    </row>
    <row r="1315" spans="4:5">
      <c r="D1315" s="90" t="str">
        <f>IF('Product List'!C1315="","",'Product List'!C1315)</f>
        <v/>
      </c>
      <c r="E1315" s="90" t="str">
        <f>IF('Product List'!B1315="","",'Product List'!B1315)</f>
        <v/>
      </c>
    </row>
    <row r="1316" spans="4:5">
      <c r="D1316" s="90" t="str">
        <f>IF('Product List'!C1316="","",'Product List'!C1316)</f>
        <v/>
      </c>
      <c r="E1316" s="90" t="str">
        <f>IF('Product List'!B1316="","",'Product List'!B1316)</f>
        <v/>
      </c>
    </row>
    <row r="1317" spans="4:5">
      <c r="D1317" s="90" t="str">
        <f>IF('Product List'!C1317="","",'Product List'!C1317)</f>
        <v/>
      </c>
      <c r="E1317" s="90" t="str">
        <f>IF('Product List'!B1317="","",'Product List'!B1317)</f>
        <v/>
      </c>
    </row>
    <row r="1318" spans="4:5">
      <c r="D1318" s="90" t="str">
        <f>IF('Product List'!C1318="","",'Product List'!C1318)</f>
        <v/>
      </c>
      <c r="E1318" s="90" t="str">
        <f>IF('Product List'!B1318="","",'Product List'!B1318)</f>
        <v/>
      </c>
    </row>
    <row r="1319" spans="4:5">
      <c r="D1319" s="90" t="str">
        <f>IF('Product List'!C1319="","",'Product List'!C1319)</f>
        <v/>
      </c>
      <c r="E1319" s="90" t="str">
        <f>IF('Product List'!B1319="","",'Product List'!B1319)</f>
        <v/>
      </c>
    </row>
    <row r="1320" spans="4:5">
      <c r="D1320" s="90" t="str">
        <f>IF('Product List'!C1320="","",'Product List'!C1320)</f>
        <v/>
      </c>
      <c r="E1320" s="90" t="str">
        <f>IF('Product List'!B1320="","",'Product List'!B1320)</f>
        <v/>
      </c>
    </row>
    <row r="1321" spans="4:5">
      <c r="D1321" s="90" t="str">
        <f>IF('Product List'!C1321="","",'Product List'!C1321)</f>
        <v/>
      </c>
      <c r="E1321" s="90" t="str">
        <f>IF('Product List'!B1321="","",'Product List'!B1321)</f>
        <v/>
      </c>
    </row>
    <row r="1322" spans="4:5">
      <c r="D1322" s="90" t="str">
        <f>IF('Product List'!C1322="","",'Product List'!C1322)</f>
        <v/>
      </c>
      <c r="E1322" s="90" t="str">
        <f>IF('Product List'!B1322="","",'Product List'!B1322)</f>
        <v/>
      </c>
    </row>
    <row r="1323" spans="4:5">
      <c r="D1323" s="90" t="str">
        <f>IF('Product List'!C1323="","",'Product List'!C1323)</f>
        <v/>
      </c>
      <c r="E1323" s="90" t="str">
        <f>IF('Product List'!B1323="","",'Product List'!B1323)</f>
        <v/>
      </c>
    </row>
    <row r="1324" spans="4:5">
      <c r="D1324" s="90" t="str">
        <f>IF('Product List'!C1324="","",'Product List'!C1324)</f>
        <v/>
      </c>
      <c r="E1324" s="90" t="str">
        <f>IF('Product List'!B1324="","",'Product List'!B1324)</f>
        <v/>
      </c>
    </row>
    <row r="1325" spans="4:5">
      <c r="D1325" s="90" t="str">
        <f>IF('Product List'!C1325="","",'Product List'!C1325)</f>
        <v/>
      </c>
      <c r="E1325" s="90" t="str">
        <f>IF('Product List'!B1325="","",'Product List'!B1325)</f>
        <v/>
      </c>
    </row>
    <row r="1326" spans="4:5">
      <c r="D1326" s="90" t="str">
        <f>IF('Product List'!C1326="","",'Product List'!C1326)</f>
        <v/>
      </c>
      <c r="E1326" s="90" t="str">
        <f>IF('Product List'!B1326="","",'Product List'!B1326)</f>
        <v/>
      </c>
    </row>
    <row r="1327" spans="4:5">
      <c r="D1327" s="90" t="str">
        <f>IF('Product List'!C1327="","",'Product List'!C1327)</f>
        <v/>
      </c>
      <c r="E1327" s="90" t="str">
        <f>IF('Product List'!B1327="","",'Product List'!B1327)</f>
        <v/>
      </c>
    </row>
    <row r="1328" spans="4:5">
      <c r="D1328" s="90" t="str">
        <f>IF('Product List'!C1328="","",'Product List'!C1328)</f>
        <v/>
      </c>
      <c r="E1328" s="90" t="str">
        <f>IF('Product List'!B1328="","",'Product List'!B1328)</f>
        <v/>
      </c>
    </row>
    <row r="1329" spans="4:5">
      <c r="D1329" s="90" t="str">
        <f>IF('Product List'!C1329="","",'Product List'!C1329)</f>
        <v/>
      </c>
      <c r="E1329" s="90" t="str">
        <f>IF('Product List'!B1329="","",'Product List'!B1329)</f>
        <v/>
      </c>
    </row>
    <row r="1330" spans="4:5">
      <c r="D1330" s="90" t="str">
        <f>IF('Product List'!C1330="","",'Product List'!C1330)</f>
        <v/>
      </c>
      <c r="E1330" s="90" t="str">
        <f>IF('Product List'!B1330="","",'Product List'!B1330)</f>
        <v/>
      </c>
    </row>
    <row r="1331" spans="4:5">
      <c r="D1331" s="90" t="str">
        <f>IF('Product List'!C1331="","",'Product List'!C1331)</f>
        <v/>
      </c>
      <c r="E1331" s="90" t="str">
        <f>IF('Product List'!B1331="","",'Product List'!B1331)</f>
        <v/>
      </c>
    </row>
    <row r="1332" spans="4:5">
      <c r="D1332" s="90" t="str">
        <f>IF('Product List'!C1332="","",'Product List'!C1332)</f>
        <v/>
      </c>
      <c r="E1332" s="90" t="str">
        <f>IF('Product List'!B1332="","",'Product List'!B1332)</f>
        <v/>
      </c>
    </row>
    <row r="1333" spans="4:5">
      <c r="D1333" s="90" t="str">
        <f>IF('Product List'!C1333="","",'Product List'!C1333)</f>
        <v/>
      </c>
      <c r="E1333" s="90" t="str">
        <f>IF('Product List'!B1333="","",'Product List'!B1333)</f>
        <v/>
      </c>
    </row>
    <row r="1334" spans="4:5">
      <c r="D1334" s="90" t="str">
        <f>IF('Product List'!C1334="","",'Product List'!C1334)</f>
        <v/>
      </c>
      <c r="E1334" s="90" t="str">
        <f>IF('Product List'!B1334="","",'Product List'!B1334)</f>
        <v/>
      </c>
    </row>
    <row r="1335" spans="4:5">
      <c r="D1335" s="90" t="str">
        <f>IF('Product List'!C1335="","",'Product List'!C1335)</f>
        <v/>
      </c>
      <c r="E1335" s="90" t="str">
        <f>IF('Product List'!B1335="","",'Product List'!B1335)</f>
        <v/>
      </c>
    </row>
    <row r="1336" spans="4:5">
      <c r="D1336" s="90" t="str">
        <f>IF('Product List'!C1336="","",'Product List'!C1336)</f>
        <v/>
      </c>
      <c r="E1336" s="90" t="str">
        <f>IF('Product List'!B1336="","",'Product List'!B1336)</f>
        <v/>
      </c>
    </row>
    <row r="1337" spans="4:5">
      <c r="D1337" s="90" t="str">
        <f>IF('Product List'!C1337="","",'Product List'!C1337)</f>
        <v/>
      </c>
      <c r="E1337" s="90" t="str">
        <f>IF('Product List'!B1337="","",'Product List'!B1337)</f>
        <v/>
      </c>
    </row>
    <row r="1338" spans="4:5">
      <c r="D1338" s="90" t="str">
        <f>IF('Product List'!C1338="","",'Product List'!C1338)</f>
        <v/>
      </c>
      <c r="E1338" s="90" t="str">
        <f>IF('Product List'!B1338="","",'Product List'!B1338)</f>
        <v/>
      </c>
    </row>
    <row r="1339" spans="4:5">
      <c r="D1339" s="90" t="str">
        <f>IF('Product List'!C1339="","",'Product List'!C1339)</f>
        <v/>
      </c>
      <c r="E1339" s="90" t="str">
        <f>IF('Product List'!B1339="","",'Product List'!B1339)</f>
        <v/>
      </c>
    </row>
    <row r="1340" spans="4:5">
      <c r="D1340" s="90" t="str">
        <f>IF('Product List'!C1340="","",'Product List'!C1340)</f>
        <v/>
      </c>
      <c r="E1340" s="90" t="str">
        <f>IF('Product List'!B1340="","",'Product List'!B1340)</f>
        <v/>
      </c>
    </row>
    <row r="1341" spans="4:5">
      <c r="D1341" s="90" t="str">
        <f>IF('Product List'!C1341="","",'Product List'!C1341)</f>
        <v/>
      </c>
      <c r="E1341" s="90" t="str">
        <f>IF('Product List'!B1341="","",'Product List'!B1341)</f>
        <v/>
      </c>
    </row>
    <row r="1342" spans="4:5">
      <c r="D1342" s="90" t="str">
        <f>IF('Product List'!C1342="","",'Product List'!C1342)</f>
        <v/>
      </c>
      <c r="E1342" s="90" t="str">
        <f>IF('Product List'!B1342="","",'Product List'!B1342)</f>
        <v/>
      </c>
    </row>
    <row r="1343" spans="4:5">
      <c r="D1343" s="90" t="str">
        <f>IF('Product List'!C1343="","",'Product List'!C1343)</f>
        <v/>
      </c>
      <c r="E1343" s="90" t="str">
        <f>IF('Product List'!B1343="","",'Product List'!B1343)</f>
        <v/>
      </c>
    </row>
    <row r="1344" spans="4:5">
      <c r="D1344" s="90" t="str">
        <f>IF('Product List'!C1344="","",'Product List'!C1344)</f>
        <v/>
      </c>
      <c r="E1344" s="90" t="str">
        <f>IF('Product List'!B1344="","",'Product List'!B1344)</f>
        <v/>
      </c>
    </row>
    <row r="1345" spans="4:5">
      <c r="D1345" s="90" t="str">
        <f>IF('Product List'!C1345="","",'Product List'!C1345)</f>
        <v/>
      </c>
      <c r="E1345" s="90" t="str">
        <f>IF('Product List'!B1345="","",'Product List'!B1345)</f>
        <v/>
      </c>
    </row>
    <row r="1346" spans="4:5">
      <c r="D1346" s="90" t="str">
        <f>IF('Product List'!C1346="","",'Product List'!C1346)</f>
        <v/>
      </c>
      <c r="E1346" s="90" t="str">
        <f>IF('Product List'!B1346="","",'Product List'!B1346)</f>
        <v/>
      </c>
    </row>
    <row r="1347" spans="4:5">
      <c r="D1347" s="90" t="str">
        <f>IF('Product List'!C1347="","",'Product List'!C1347)</f>
        <v/>
      </c>
      <c r="E1347" s="90" t="str">
        <f>IF('Product List'!B1347="","",'Product List'!B1347)</f>
        <v/>
      </c>
    </row>
    <row r="1348" spans="4:5">
      <c r="D1348" s="90" t="str">
        <f>IF('Product List'!C1348="","",'Product List'!C1348)</f>
        <v/>
      </c>
      <c r="E1348" s="90" t="str">
        <f>IF('Product List'!B1348="","",'Product List'!B1348)</f>
        <v/>
      </c>
    </row>
    <row r="1349" spans="4:5">
      <c r="D1349" s="90" t="str">
        <f>IF('Product List'!C1349="","",'Product List'!C1349)</f>
        <v/>
      </c>
      <c r="E1349" s="90" t="str">
        <f>IF('Product List'!B1349="","",'Product List'!B1349)</f>
        <v/>
      </c>
    </row>
    <row r="1350" spans="4:5">
      <c r="D1350" s="90" t="str">
        <f>IF('Product List'!C1350="","",'Product List'!C1350)</f>
        <v/>
      </c>
      <c r="E1350" s="90" t="str">
        <f>IF('Product List'!B1350="","",'Product List'!B1350)</f>
        <v/>
      </c>
    </row>
    <row r="1351" spans="4:5">
      <c r="D1351" s="90" t="str">
        <f>IF('Product List'!C1351="","",'Product List'!C1351)</f>
        <v/>
      </c>
      <c r="E1351" s="90" t="str">
        <f>IF('Product List'!B1351="","",'Product List'!B1351)</f>
        <v/>
      </c>
    </row>
    <row r="1352" spans="4:5">
      <c r="D1352" s="90" t="str">
        <f>IF('Product List'!C1352="","",'Product List'!C1352)</f>
        <v/>
      </c>
      <c r="E1352" s="90" t="str">
        <f>IF('Product List'!B1352="","",'Product List'!B1352)</f>
        <v/>
      </c>
    </row>
    <row r="1353" spans="4:5">
      <c r="D1353" s="90" t="str">
        <f>IF('Product List'!C1353="","",'Product List'!C1353)</f>
        <v/>
      </c>
      <c r="E1353" s="90" t="str">
        <f>IF('Product List'!B1353="","",'Product List'!B1353)</f>
        <v/>
      </c>
    </row>
    <row r="1354" spans="4:5">
      <c r="D1354" s="90" t="str">
        <f>IF('Product List'!C1354="","",'Product List'!C1354)</f>
        <v/>
      </c>
      <c r="E1354" s="90" t="str">
        <f>IF('Product List'!B1354="","",'Product List'!B1354)</f>
        <v/>
      </c>
    </row>
    <row r="1355" spans="4:5">
      <c r="D1355" s="90" t="str">
        <f>IF('Product List'!C1355="","",'Product List'!C1355)</f>
        <v/>
      </c>
      <c r="E1355" s="90" t="str">
        <f>IF('Product List'!B1355="","",'Product List'!B1355)</f>
        <v/>
      </c>
    </row>
    <row r="1356" spans="4:5">
      <c r="D1356" s="90" t="str">
        <f>IF('Product List'!C1356="","",'Product List'!C1356)</f>
        <v/>
      </c>
      <c r="E1356" s="90" t="str">
        <f>IF('Product List'!B1356="","",'Product List'!B1356)</f>
        <v/>
      </c>
    </row>
    <row r="1357" spans="4:5">
      <c r="D1357" s="90" t="str">
        <f>IF('Product List'!C1357="","",'Product List'!C1357)</f>
        <v/>
      </c>
      <c r="E1357" s="90" t="str">
        <f>IF('Product List'!B1357="","",'Product List'!B1357)</f>
        <v/>
      </c>
    </row>
    <row r="1358" spans="4:5">
      <c r="D1358" s="90" t="str">
        <f>IF('Product List'!C1358="","",'Product List'!C1358)</f>
        <v/>
      </c>
      <c r="E1358" s="90" t="str">
        <f>IF('Product List'!B1358="","",'Product List'!B1358)</f>
        <v/>
      </c>
    </row>
    <row r="1359" spans="4:5">
      <c r="D1359" s="90" t="str">
        <f>IF('Product List'!C1359="","",'Product List'!C1359)</f>
        <v/>
      </c>
      <c r="E1359" s="90" t="str">
        <f>IF('Product List'!B1359="","",'Product List'!B1359)</f>
        <v/>
      </c>
    </row>
    <row r="1360" spans="4:5">
      <c r="D1360" s="90" t="str">
        <f>IF('Product List'!C1360="","",'Product List'!C1360)</f>
        <v/>
      </c>
      <c r="E1360" s="90" t="str">
        <f>IF('Product List'!B1360="","",'Product List'!B1360)</f>
        <v/>
      </c>
    </row>
    <row r="1361" spans="4:5">
      <c r="D1361" s="90" t="str">
        <f>IF('Product List'!C1361="","",'Product List'!C1361)</f>
        <v/>
      </c>
      <c r="E1361" s="90" t="str">
        <f>IF('Product List'!B1361="","",'Product List'!B1361)</f>
        <v/>
      </c>
    </row>
    <row r="1362" spans="4:5">
      <c r="D1362" s="90" t="str">
        <f>IF('Product List'!C1362="","",'Product List'!C1362)</f>
        <v/>
      </c>
      <c r="E1362" s="90" t="str">
        <f>IF('Product List'!B1362="","",'Product List'!B1362)</f>
        <v/>
      </c>
    </row>
    <row r="1363" spans="4:5">
      <c r="D1363" s="90" t="str">
        <f>IF('Product List'!C1363="","",'Product List'!C1363)</f>
        <v/>
      </c>
      <c r="E1363" s="90" t="str">
        <f>IF('Product List'!B1363="","",'Product List'!B1363)</f>
        <v/>
      </c>
    </row>
    <row r="1364" spans="4:5">
      <c r="D1364" s="90" t="str">
        <f>IF('Product List'!C1364="","",'Product List'!C1364)</f>
        <v/>
      </c>
      <c r="E1364" s="90" t="str">
        <f>IF('Product List'!B1364="","",'Product List'!B1364)</f>
        <v/>
      </c>
    </row>
    <row r="1365" spans="4:5">
      <c r="D1365" s="90" t="str">
        <f>IF('Product List'!C1365="","",'Product List'!C1365)</f>
        <v/>
      </c>
      <c r="E1365" s="90" t="str">
        <f>IF('Product List'!B1365="","",'Product List'!B1365)</f>
        <v/>
      </c>
    </row>
    <row r="1366" spans="4:5">
      <c r="D1366" s="90" t="str">
        <f>IF('Product List'!C1366="","",'Product List'!C1366)</f>
        <v/>
      </c>
      <c r="E1366" s="90" t="str">
        <f>IF('Product List'!B1366="","",'Product List'!B1366)</f>
        <v/>
      </c>
    </row>
    <row r="1367" spans="4:5">
      <c r="D1367" s="90" t="str">
        <f>IF('Product List'!C1367="","",'Product List'!C1367)</f>
        <v/>
      </c>
      <c r="E1367" s="90" t="str">
        <f>IF('Product List'!B1367="","",'Product List'!B1367)</f>
        <v/>
      </c>
    </row>
    <row r="1368" spans="4:5">
      <c r="D1368" s="90" t="str">
        <f>IF('Product List'!C1368="","",'Product List'!C1368)</f>
        <v/>
      </c>
      <c r="E1368" s="90" t="str">
        <f>IF('Product List'!B1368="","",'Product List'!B1368)</f>
        <v/>
      </c>
    </row>
    <row r="1369" spans="4:5">
      <c r="D1369" s="90" t="str">
        <f>IF('Product List'!C1369="","",'Product List'!C1369)</f>
        <v/>
      </c>
      <c r="E1369" s="90" t="str">
        <f>IF('Product List'!B1369="","",'Product List'!B1369)</f>
        <v/>
      </c>
    </row>
    <row r="1370" spans="4:5">
      <c r="D1370" s="90" t="str">
        <f>IF('Product List'!C1370="","",'Product List'!C1370)</f>
        <v/>
      </c>
      <c r="E1370" s="90" t="str">
        <f>IF('Product List'!B1370="","",'Product List'!B1370)</f>
        <v/>
      </c>
    </row>
    <row r="1371" spans="4:5">
      <c r="D1371" s="90" t="str">
        <f>IF('Product List'!C1371="","",'Product List'!C1371)</f>
        <v/>
      </c>
      <c r="E1371" s="90" t="str">
        <f>IF('Product List'!B1371="","",'Product List'!B1371)</f>
        <v/>
      </c>
    </row>
    <row r="1372" spans="4:5">
      <c r="D1372" s="90" t="str">
        <f>IF('Product List'!C1372="","",'Product List'!C1372)</f>
        <v/>
      </c>
      <c r="E1372" s="90" t="str">
        <f>IF('Product List'!B1372="","",'Product List'!B1372)</f>
        <v/>
      </c>
    </row>
    <row r="1373" spans="4:5">
      <c r="D1373" s="90" t="str">
        <f>IF('Product List'!C1373="","",'Product List'!C1373)</f>
        <v/>
      </c>
      <c r="E1373" s="90" t="str">
        <f>IF('Product List'!B1373="","",'Product List'!B1373)</f>
        <v/>
      </c>
    </row>
    <row r="1374" spans="4:5">
      <c r="D1374" s="90" t="str">
        <f>IF('Product List'!C1374="","",'Product List'!C1374)</f>
        <v/>
      </c>
      <c r="E1374" s="90" t="str">
        <f>IF('Product List'!B1374="","",'Product List'!B1374)</f>
        <v/>
      </c>
    </row>
    <row r="1375" spans="4:5">
      <c r="D1375" s="90" t="str">
        <f>IF('Product List'!C1375="","",'Product List'!C1375)</f>
        <v/>
      </c>
      <c r="E1375" s="90" t="str">
        <f>IF('Product List'!B1375="","",'Product List'!B1375)</f>
        <v/>
      </c>
    </row>
    <row r="1376" spans="4:5">
      <c r="D1376" s="90" t="str">
        <f>IF('Product List'!C1376="","",'Product List'!C1376)</f>
        <v/>
      </c>
      <c r="E1376" s="90" t="str">
        <f>IF('Product List'!B1376="","",'Product List'!B1376)</f>
        <v/>
      </c>
    </row>
    <row r="1377" spans="4:5">
      <c r="D1377" s="90" t="str">
        <f>IF('Product List'!C1377="","",'Product List'!C1377)</f>
        <v/>
      </c>
      <c r="E1377" s="90" t="str">
        <f>IF('Product List'!B1377="","",'Product List'!B1377)</f>
        <v/>
      </c>
    </row>
    <row r="1378" spans="4:5">
      <c r="D1378" s="90" t="str">
        <f>IF('Product List'!C1378="","",'Product List'!C1378)</f>
        <v/>
      </c>
      <c r="E1378" s="90" t="str">
        <f>IF('Product List'!B1378="","",'Product List'!B1378)</f>
        <v/>
      </c>
    </row>
    <row r="1379" spans="4:5">
      <c r="D1379" s="90" t="str">
        <f>IF('Product List'!C1379="","",'Product List'!C1379)</f>
        <v/>
      </c>
      <c r="E1379" s="90" t="str">
        <f>IF('Product List'!B1379="","",'Product List'!B1379)</f>
        <v/>
      </c>
    </row>
    <row r="1380" spans="4:5">
      <c r="D1380" s="90" t="str">
        <f>IF('Product List'!C1380="","",'Product List'!C1380)</f>
        <v/>
      </c>
      <c r="E1380" s="90" t="str">
        <f>IF('Product List'!B1380="","",'Product List'!B1380)</f>
        <v/>
      </c>
    </row>
    <row r="1381" spans="4:5">
      <c r="D1381" s="90" t="str">
        <f>IF('Product List'!C1381="","",'Product List'!C1381)</f>
        <v/>
      </c>
      <c r="E1381" s="90" t="str">
        <f>IF('Product List'!B1381="","",'Product List'!B1381)</f>
        <v/>
      </c>
    </row>
    <row r="1382" spans="4:5">
      <c r="D1382" s="90" t="str">
        <f>IF('Product List'!C1382="","",'Product List'!C1382)</f>
        <v/>
      </c>
      <c r="E1382" s="90" t="str">
        <f>IF('Product List'!B1382="","",'Product List'!B1382)</f>
        <v/>
      </c>
    </row>
    <row r="1383" spans="4:5">
      <c r="D1383" s="90" t="str">
        <f>IF('Product List'!C1383="","",'Product List'!C1383)</f>
        <v/>
      </c>
      <c r="E1383" s="90" t="str">
        <f>IF('Product List'!B1383="","",'Product List'!B1383)</f>
        <v/>
      </c>
    </row>
    <row r="1384" spans="4:5">
      <c r="D1384" s="90" t="str">
        <f>IF('Product List'!C1384="","",'Product List'!C1384)</f>
        <v/>
      </c>
      <c r="E1384" s="90" t="str">
        <f>IF('Product List'!B1384="","",'Product List'!B1384)</f>
        <v/>
      </c>
    </row>
    <row r="1385" spans="4:5">
      <c r="D1385" s="90" t="str">
        <f>IF('Product List'!C1385="","",'Product List'!C1385)</f>
        <v/>
      </c>
      <c r="E1385" s="90" t="str">
        <f>IF('Product List'!B1385="","",'Product List'!B1385)</f>
        <v/>
      </c>
    </row>
    <row r="1386" spans="4:5">
      <c r="D1386" s="90" t="str">
        <f>IF('Product List'!C1386="","",'Product List'!C1386)</f>
        <v/>
      </c>
      <c r="E1386" s="90" t="str">
        <f>IF('Product List'!B1386="","",'Product List'!B1386)</f>
        <v/>
      </c>
    </row>
    <row r="1387" spans="4:5">
      <c r="D1387" s="90" t="str">
        <f>IF('Product List'!C1387="","",'Product List'!C1387)</f>
        <v/>
      </c>
      <c r="E1387" s="90" t="str">
        <f>IF('Product List'!B1387="","",'Product List'!B1387)</f>
        <v/>
      </c>
    </row>
    <row r="1388" spans="4:5">
      <c r="D1388" s="90" t="str">
        <f>IF('Product List'!C1388="","",'Product List'!C1388)</f>
        <v/>
      </c>
      <c r="E1388" s="90" t="str">
        <f>IF('Product List'!B1388="","",'Product List'!B1388)</f>
        <v/>
      </c>
    </row>
    <row r="1389" spans="4:5">
      <c r="D1389" s="90" t="str">
        <f>IF('Product List'!C1389="","",'Product List'!C1389)</f>
        <v/>
      </c>
      <c r="E1389" s="90" t="str">
        <f>IF('Product List'!B1389="","",'Product List'!B1389)</f>
        <v/>
      </c>
    </row>
    <row r="1390" spans="4:5">
      <c r="D1390" s="90" t="str">
        <f>IF('Product List'!C1390="","",'Product List'!C1390)</f>
        <v/>
      </c>
      <c r="E1390" s="90" t="str">
        <f>IF('Product List'!B1390="","",'Product List'!B1390)</f>
        <v/>
      </c>
    </row>
    <row r="1391" spans="4:5">
      <c r="D1391" s="90" t="str">
        <f>IF('Product List'!C1391="","",'Product List'!C1391)</f>
        <v/>
      </c>
      <c r="E1391" s="90" t="str">
        <f>IF('Product List'!B1391="","",'Product List'!B1391)</f>
        <v/>
      </c>
    </row>
    <row r="1392" spans="4:5">
      <c r="D1392" s="90" t="str">
        <f>IF('Product List'!C1392="","",'Product List'!C1392)</f>
        <v/>
      </c>
      <c r="E1392" s="90" t="str">
        <f>IF('Product List'!B1392="","",'Product List'!B1392)</f>
        <v/>
      </c>
    </row>
    <row r="1393" spans="4:5">
      <c r="D1393" s="90" t="str">
        <f>IF('Product List'!C1393="","",'Product List'!C1393)</f>
        <v/>
      </c>
      <c r="E1393" s="90" t="str">
        <f>IF('Product List'!B1393="","",'Product List'!B1393)</f>
        <v/>
      </c>
    </row>
    <row r="1394" spans="4:5">
      <c r="D1394" s="90" t="str">
        <f>IF('Product List'!C1394="","",'Product List'!C1394)</f>
        <v/>
      </c>
      <c r="E1394" s="90" t="str">
        <f>IF('Product List'!B1394="","",'Product List'!B1394)</f>
        <v/>
      </c>
    </row>
    <row r="1395" spans="4:5">
      <c r="D1395" s="90" t="str">
        <f>IF('Product List'!C1395="","",'Product List'!C1395)</f>
        <v/>
      </c>
      <c r="E1395" s="90" t="str">
        <f>IF('Product List'!B1395="","",'Product List'!B1395)</f>
        <v/>
      </c>
    </row>
    <row r="1396" spans="4:5">
      <c r="D1396" s="90" t="str">
        <f>IF('Product List'!C1396="","",'Product List'!C1396)</f>
        <v/>
      </c>
      <c r="E1396" s="90" t="str">
        <f>IF('Product List'!B1396="","",'Product List'!B1396)</f>
        <v/>
      </c>
    </row>
    <row r="1397" spans="4:5">
      <c r="D1397" s="90" t="str">
        <f>IF('Product List'!C1397="","",'Product List'!C1397)</f>
        <v/>
      </c>
      <c r="E1397" s="90" t="str">
        <f>IF('Product List'!B1397="","",'Product List'!B1397)</f>
        <v/>
      </c>
    </row>
    <row r="1398" spans="4:5">
      <c r="D1398" s="90" t="str">
        <f>IF('Product List'!C1398="","",'Product List'!C1398)</f>
        <v/>
      </c>
      <c r="E1398" s="90" t="str">
        <f>IF('Product List'!B1398="","",'Product List'!B1398)</f>
        <v/>
      </c>
    </row>
    <row r="1399" spans="4:5">
      <c r="D1399" s="90" t="str">
        <f>IF('Product List'!C1399="","",'Product List'!C1399)</f>
        <v/>
      </c>
      <c r="E1399" s="90" t="str">
        <f>IF('Product List'!B1399="","",'Product List'!B1399)</f>
        <v/>
      </c>
    </row>
    <row r="1400" spans="4:5">
      <c r="D1400" s="90" t="str">
        <f>IF('Product List'!C1400="","",'Product List'!C1400)</f>
        <v/>
      </c>
      <c r="E1400" s="90" t="str">
        <f>IF('Product List'!B1400="","",'Product List'!B1400)</f>
        <v/>
      </c>
    </row>
    <row r="1401" spans="4:5">
      <c r="D1401" s="90" t="str">
        <f>IF('Product List'!C1401="","",'Product List'!C1401)</f>
        <v/>
      </c>
      <c r="E1401" s="90" t="str">
        <f>IF('Product List'!B1401="","",'Product List'!B1401)</f>
        <v/>
      </c>
    </row>
    <row r="1402" spans="4:5">
      <c r="D1402" s="90" t="str">
        <f>IF('Product List'!C1402="","",'Product List'!C1402)</f>
        <v/>
      </c>
      <c r="E1402" s="90" t="str">
        <f>IF('Product List'!B1402="","",'Product List'!B1402)</f>
        <v/>
      </c>
    </row>
    <row r="1403" spans="4:5">
      <c r="D1403" s="90" t="str">
        <f>IF('Product List'!C1403="","",'Product List'!C1403)</f>
        <v/>
      </c>
      <c r="E1403" s="90" t="str">
        <f>IF('Product List'!B1403="","",'Product List'!B1403)</f>
        <v/>
      </c>
    </row>
    <row r="1404" spans="4:5">
      <c r="D1404" s="90" t="str">
        <f>IF('Product List'!C1404="","",'Product List'!C1404)</f>
        <v/>
      </c>
      <c r="E1404" s="90" t="str">
        <f>IF('Product List'!B1404="","",'Product List'!B1404)</f>
        <v/>
      </c>
    </row>
    <row r="1405" spans="4:5">
      <c r="D1405" s="90" t="str">
        <f>IF('Product List'!C1405="","",'Product List'!C1405)</f>
        <v/>
      </c>
      <c r="E1405" s="90" t="str">
        <f>IF('Product List'!B1405="","",'Product List'!B1405)</f>
        <v/>
      </c>
    </row>
    <row r="1406" spans="4:5">
      <c r="D1406" s="90" t="str">
        <f>IF('Product List'!C1406="","",'Product List'!C1406)</f>
        <v/>
      </c>
      <c r="E1406" s="90" t="str">
        <f>IF('Product List'!B1406="","",'Product List'!B1406)</f>
        <v/>
      </c>
    </row>
    <row r="1407" spans="4:5">
      <c r="D1407" s="90" t="str">
        <f>IF('Product List'!C1407="","",'Product List'!C1407)</f>
        <v/>
      </c>
      <c r="E1407" s="90" t="str">
        <f>IF('Product List'!B1407="","",'Product List'!B1407)</f>
        <v/>
      </c>
    </row>
    <row r="1408" spans="4:5">
      <c r="D1408" s="90" t="str">
        <f>IF('Product List'!C1408="","",'Product List'!C1408)</f>
        <v/>
      </c>
      <c r="E1408" s="90" t="str">
        <f>IF('Product List'!B1408="","",'Product List'!B1408)</f>
        <v/>
      </c>
    </row>
    <row r="1409" spans="4:5">
      <c r="D1409" s="90" t="str">
        <f>IF('Product List'!C1409="","",'Product List'!C1409)</f>
        <v/>
      </c>
      <c r="E1409" s="90" t="str">
        <f>IF('Product List'!B1409="","",'Product List'!B1409)</f>
        <v/>
      </c>
    </row>
    <row r="1410" spans="4:5">
      <c r="D1410" s="90" t="str">
        <f>IF('Product List'!C1410="","",'Product List'!C1410)</f>
        <v/>
      </c>
      <c r="E1410" s="90" t="str">
        <f>IF('Product List'!B1410="","",'Product List'!B1410)</f>
        <v/>
      </c>
    </row>
    <row r="1411" spans="4:5">
      <c r="D1411" s="90" t="str">
        <f>IF('Product List'!C1411="","",'Product List'!C1411)</f>
        <v/>
      </c>
      <c r="E1411" s="90" t="str">
        <f>IF('Product List'!B1411="","",'Product List'!B1411)</f>
        <v/>
      </c>
    </row>
    <row r="1412" spans="4:5">
      <c r="D1412" s="90" t="str">
        <f>IF('Product List'!C1412="","",'Product List'!C1412)</f>
        <v/>
      </c>
      <c r="E1412" s="90" t="str">
        <f>IF('Product List'!B1412="","",'Product List'!B1412)</f>
        <v/>
      </c>
    </row>
    <row r="1413" spans="4:5">
      <c r="D1413" s="90" t="str">
        <f>IF('Product List'!C1413="","",'Product List'!C1413)</f>
        <v/>
      </c>
      <c r="E1413" s="90" t="str">
        <f>IF('Product List'!B1413="","",'Product List'!B1413)</f>
        <v/>
      </c>
    </row>
    <row r="1414" spans="4:5">
      <c r="D1414" s="90" t="str">
        <f>IF('Product List'!C1414="","",'Product List'!C1414)</f>
        <v/>
      </c>
      <c r="E1414" s="90" t="str">
        <f>IF('Product List'!B1414="","",'Product List'!B1414)</f>
        <v/>
      </c>
    </row>
    <row r="1415" spans="4:5">
      <c r="D1415" s="90" t="str">
        <f>IF('Product List'!C1415="","",'Product List'!C1415)</f>
        <v/>
      </c>
      <c r="E1415" s="90" t="str">
        <f>IF('Product List'!B1415="","",'Product List'!B1415)</f>
        <v/>
      </c>
    </row>
    <row r="1416" spans="4:5">
      <c r="D1416" s="90" t="str">
        <f>IF('Product List'!C1416="","",'Product List'!C1416)</f>
        <v/>
      </c>
      <c r="E1416" s="90" t="str">
        <f>IF('Product List'!B1416="","",'Product List'!B1416)</f>
        <v/>
      </c>
    </row>
    <row r="1417" spans="4:5">
      <c r="D1417" s="90" t="str">
        <f>IF('Product List'!C1417="","",'Product List'!C1417)</f>
        <v/>
      </c>
      <c r="E1417" s="90" t="str">
        <f>IF('Product List'!B1417="","",'Product List'!B1417)</f>
        <v/>
      </c>
    </row>
    <row r="1418" spans="4:5">
      <c r="D1418" s="90" t="str">
        <f>IF('Product List'!C1418="","",'Product List'!C1418)</f>
        <v/>
      </c>
      <c r="E1418" s="90" t="str">
        <f>IF('Product List'!B1418="","",'Product List'!B1418)</f>
        <v/>
      </c>
    </row>
    <row r="1419" spans="4:5">
      <c r="D1419" s="90" t="str">
        <f>IF('Product List'!C1419="","",'Product List'!C1419)</f>
        <v/>
      </c>
      <c r="E1419" s="90" t="str">
        <f>IF('Product List'!B1419="","",'Product List'!B1419)</f>
        <v/>
      </c>
    </row>
    <row r="1420" spans="4:5">
      <c r="D1420" s="90" t="str">
        <f>IF('Product List'!C1420="","",'Product List'!C1420)</f>
        <v/>
      </c>
      <c r="E1420" s="90" t="str">
        <f>IF('Product List'!B1420="","",'Product List'!B1420)</f>
        <v/>
      </c>
    </row>
    <row r="1421" spans="4:5">
      <c r="D1421" s="90" t="str">
        <f>IF('Product List'!C1421="","",'Product List'!C1421)</f>
        <v/>
      </c>
      <c r="E1421" s="90" t="str">
        <f>IF('Product List'!B1421="","",'Product List'!B1421)</f>
        <v/>
      </c>
    </row>
    <row r="1422" spans="4:5">
      <c r="D1422" s="90" t="str">
        <f>IF('Product List'!C1422="","",'Product List'!C1422)</f>
        <v/>
      </c>
      <c r="E1422" s="90" t="str">
        <f>IF('Product List'!B1422="","",'Product List'!B1422)</f>
        <v/>
      </c>
    </row>
    <row r="1423" spans="4:5">
      <c r="D1423" s="90" t="str">
        <f>IF('Product List'!C1423="","",'Product List'!C1423)</f>
        <v/>
      </c>
      <c r="E1423" s="90" t="str">
        <f>IF('Product List'!B1423="","",'Product List'!B1423)</f>
        <v/>
      </c>
    </row>
    <row r="1424" spans="4:5">
      <c r="D1424" s="90" t="str">
        <f>IF('Product List'!C1424="","",'Product List'!C1424)</f>
        <v/>
      </c>
      <c r="E1424" s="90" t="str">
        <f>IF('Product List'!B1424="","",'Product List'!B1424)</f>
        <v/>
      </c>
    </row>
    <row r="1425" spans="4:5">
      <c r="D1425" s="90" t="str">
        <f>IF('Product List'!C1425="","",'Product List'!C1425)</f>
        <v/>
      </c>
      <c r="E1425" s="90" t="str">
        <f>IF('Product List'!B1425="","",'Product List'!B1425)</f>
        <v/>
      </c>
    </row>
    <row r="1426" spans="4:5">
      <c r="D1426" s="90" t="str">
        <f>IF('Product List'!C1426="","",'Product List'!C1426)</f>
        <v/>
      </c>
      <c r="E1426" s="90" t="str">
        <f>IF('Product List'!B1426="","",'Product List'!B1426)</f>
        <v/>
      </c>
    </row>
    <row r="1427" spans="4:5">
      <c r="D1427" s="90" t="str">
        <f>IF('Product List'!C1427="","",'Product List'!C1427)</f>
        <v/>
      </c>
      <c r="E1427" s="90" t="str">
        <f>IF('Product List'!B1427="","",'Product List'!B1427)</f>
        <v/>
      </c>
    </row>
    <row r="1428" spans="4:5">
      <c r="D1428" s="90" t="str">
        <f>IF('Product List'!C1428="","",'Product List'!C1428)</f>
        <v/>
      </c>
      <c r="E1428" s="90" t="str">
        <f>IF('Product List'!B1428="","",'Product List'!B1428)</f>
        <v/>
      </c>
    </row>
    <row r="1429" spans="4:5">
      <c r="D1429" s="90" t="str">
        <f>IF('Product List'!C1429="","",'Product List'!C1429)</f>
        <v/>
      </c>
      <c r="E1429" s="90" t="str">
        <f>IF('Product List'!B1429="","",'Product List'!B1429)</f>
        <v/>
      </c>
    </row>
    <row r="1430" spans="4:5">
      <c r="D1430" s="90" t="str">
        <f>IF('Product List'!C1430="","",'Product List'!C1430)</f>
        <v/>
      </c>
      <c r="E1430" s="90" t="str">
        <f>IF('Product List'!B1430="","",'Product List'!B1430)</f>
        <v/>
      </c>
    </row>
    <row r="1431" spans="4:5">
      <c r="D1431" s="90" t="str">
        <f>IF('Product List'!C1431="","",'Product List'!C1431)</f>
        <v/>
      </c>
      <c r="E1431" s="90" t="str">
        <f>IF('Product List'!B1431="","",'Product List'!B1431)</f>
        <v/>
      </c>
    </row>
    <row r="1432" spans="4:5">
      <c r="D1432" s="90" t="str">
        <f>IF('Product List'!C1432="","",'Product List'!C1432)</f>
        <v/>
      </c>
      <c r="E1432" s="90" t="str">
        <f>IF('Product List'!B1432="","",'Product List'!B1432)</f>
        <v/>
      </c>
    </row>
    <row r="1433" spans="4:5">
      <c r="D1433" s="90" t="str">
        <f>IF('Product List'!C1433="","",'Product List'!C1433)</f>
        <v/>
      </c>
      <c r="E1433" s="90" t="str">
        <f>IF('Product List'!B1433="","",'Product List'!B1433)</f>
        <v/>
      </c>
    </row>
    <row r="1434" spans="4:5">
      <c r="D1434" s="90" t="str">
        <f>IF('Product List'!C1434="","",'Product List'!C1434)</f>
        <v/>
      </c>
      <c r="E1434" s="90" t="str">
        <f>IF('Product List'!B1434="","",'Product List'!B1434)</f>
        <v/>
      </c>
    </row>
    <row r="1435" spans="4:5">
      <c r="D1435" s="90" t="str">
        <f>IF('Product List'!C1435="","",'Product List'!C1435)</f>
        <v/>
      </c>
      <c r="E1435" s="90" t="str">
        <f>IF('Product List'!B1435="","",'Product List'!B1435)</f>
        <v/>
      </c>
    </row>
    <row r="1436" spans="4:5">
      <c r="D1436" s="90" t="str">
        <f>IF('Product List'!C1436="","",'Product List'!C1436)</f>
        <v/>
      </c>
      <c r="E1436" s="90" t="str">
        <f>IF('Product List'!B1436="","",'Product List'!B1436)</f>
        <v/>
      </c>
    </row>
    <row r="1437" spans="4:5">
      <c r="D1437" s="90" t="str">
        <f>IF('Product List'!C1437="","",'Product List'!C1437)</f>
        <v/>
      </c>
      <c r="E1437" s="90" t="str">
        <f>IF('Product List'!B1437="","",'Product List'!B1437)</f>
        <v/>
      </c>
    </row>
    <row r="1438" spans="4:5">
      <c r="D1438" s="90" t="str">
        <f>IF('Product List'!C1438="","",'Product List'!C1438)</f>
        <v/>
      </c>
      <c r="E1438" s="90" t="str">
        <f>IF('Product List'!B1438="","",'Product List'!B1438)</f>
        <v/>
      </c>
    </row>
    <row r="1439" spans="4:5">
      <c r="D1439" s="90" t="str">
        <f>IF('Product List'!C1439="","",'Product List'!C1439)</f>
        <v/>
      </c>
      <c r="E1439" s="90" t="str">
        <f>IF('Product List'!B1439="","",'Product List'!B1439)</f>
        <v/>
      </c>
    </row>
    <row r="1440" spans="4:5">
      <c r="D1440" s="90" t="str">
        <f>IF('Product List'!C1440="","",'Product List'!C1440)</f>
        <v/>
      </c>
      <c r="E1440" s="90" t="str">
        <f>IF('Product List'!B1440="","",'Product List'!B1440)</f>
        <v/>
      </c>
    </row>
    <row r="1441" spans="4:5">
      <c r="D1441" s="90" t="str">
        <f>IF('Product List'!C1441="","",'Product List'!C1441)</f>
        <v/>
      </c>
      <c r="E1441" s="90" t="str">
        <f>IF('Product List'!B1441="","",'Product List'!B1441)</f>
        <v/>
      </c>
    </row>
    <row r="1442" spans="4:5">
      <c r="D1442" s="90" t="str">
        <f>IF('Product List'!C1442="","",'Product List'!C1442)</f>
        <v/>
      </c>
      <c r="E1442" s="90" t="str">
        <f>IF('Product List'!B1442="","",'Product List'!B1442)</f>
        <v/>
      </c>
    </row>
    <row r="1443" spans="4:5">
      <c r="D1443" s="90" t="str">
        <f>IF('Product List'!C1443="","",'Product List'!C1443)</f>
        <v/>
      </c>
      <c r="E1443" s="90" t="str">
        <f>IF('Product List'!B1443="","",'Product List'!B1443)</f>
        <v/>
      </c>
    </row>
    <row r="1444" spans="4:5">
      <c r="D1444" s="90" t="str">
        <f>IF('Product List'!C1444="","",'Product List'!C1444)</f>
        <v/>
      </c>
      <c r="E1444" s="90" t="str">
        <f>IF('Product List'!B1444="","",'Product List'!B1444)</f>
        <v/>
      </c>
    </row>
    <row r="1445" spans="4:5">
      <c r="D1445" s="90" t="str">
        <f>IF('Product List'!C1445="","",'Product List'!C1445)</f>
        <v/>
      </c>
      <c r="E1445" s="90" t="str">
        <f>IF('Product List'!B1445="","",'Product List'!B1445)</f>
        <v/>
      </c>
    </row>
    <row r="1446" spans="4:5">
      <c r="D1446" s="90" t="str">
        <f>IF('Product List'!C1446="","",'Product List'!C1446)</f>
        <v/>
      </c>
      <c r="E1446" s="90" t="str">
        <f>IF('Product List'!B1446="","",'Product List'!B1446)</f>
        <v/>
      </c>
    </row>
    <row r="1447" spans="4:5">
      <c r="D1447" s="90" t="str">
        <f>IF('Product List'!C1447="","",'Product List'!C1447)</f>
        <v/>
      </c>
      <c r="E1447" s="90" t="str">
        <f>IF('Product List'!B1447="","",'Product List'!B1447)</f>
        <v/>
      </c>
    </row>
    <row r="1448" spans="4:5">
      <c r="D1448" s="90" t="str">
        <f>IF('Product List'!C1448="","",'Product List'!C1448)</f>
        <v/>
      </c>
      <c r="E1448" s="90" t="str">
        <f>IF('Product List'!B1448="","",'Product List'!B1448)</f>
        <v/>
      </c>
    </row>
    <row r="1449" spans="4:5">
      <c r="D1449" s="90" t="str">
        <f>IF('Product List'!C1449="","",'Product List'!C1449)</f>
        <v/>
      </c>
      <c r="E1449" s="90" t="str">
        <f>IF('Product List'!B1449="","",'Product List'!B1449)</f>
        <v/>
      </c>
    </row>
    <row r="1450" spans="4:5">
      <c r="D1450" s="90" t="str">
        <f>IF('Product List'!C1450="","",'Product List'!C1450)</f>
        <v/>
      </c>
      <c r="E1450" s="90" t="str">
        <f>IF('Product List'!B1450="","",'Product List'!B1450)</f>
        <v/>
      </c>
    </row>
    <row r="1451" spans="4:5">
      <c r="D1451" s="90" t="str">
        <f>IF('Product List'!C1451="","",'Product List'!C1451)</f>
        <v/>
      </c>
      <c r="E1451" s="90" t="str">
        <f>IF('Product List'!B1451="","",'Product List'!B1451)</f>
        <v/>
      </c>
    </row>
    <row r="1452" spans="4:5">
      <c r="D1452" s="90" t="str">
        <f>IF('Product List'!C1452="","",'Product List'!C1452)</f>
        <v/>
      </c>
      <c r="E1452" s="90" t="str">
        <f>IF('Product List'!B1452="","",'Product List'!B1452)</f>
        <v/>
      </c>
    </row>
    <row r="1453" spans="4:5">
      <c r="D1453" s="90" t="str">
        <f>IF('Product List'!C1453="","",'Product List'!C1453)</f>
        <v/>
      </c>
      <c r="E1453" s="90" t="str">
        <f>IF('Product List'!B1453="","",'Product List'!B1453)</f>
        <v/>
      </c>
    </row>
    <row r="1454" spans="4:5">
      <c r="D1454" s="90" t="str">
        <f>IF('Product List'!C1454="","",'Product List'!C1454)</f>
        <v/>
      </c>
      <c r="E1454" s="90" t="str">
        <f>IF('Product List'!B1454="","",'Product List'!B1454)</f>
        <v/>
      </c>
    </row>
    <row r="1455" spans="4:5">
      <c r="D1455" s="90" t="str">
        <f>IF('Product List'!C1455="","",'Product List'!C1455)</f>
        <v/>
      </c>
      <c r="E1455" s="90" t="str">
        <f>IF('Product List'!B1455="","",'Product List'!B1455)</f>
        <v/>
      </c>
    </row>
    <row r="1456" spans="4:5">
      <c r="D1456" s="90" t="str">
        <f>IF('Product List'!C1456="","",'Product List'!C1456)</f>
        <v/>
      </c>
      <c r="E1456" s="90" t="str">
        <f>IF('Product List'!B1456="","",'Product List'!B1456)</f>
        <v/>
      </c>
    </row>
    <row r="1457" spans="4:5">
      <c r="D1457" s="90" t="str">
        <f>IF('Product List'!C1457="","",'Product List'!C1457)</f>
        <v/>
      </c>
      <c r="E1457" s="90" t="str">
        <f>IF('Product List'!B1457="","",'Product List'!B1457)</f>
        <v/>
      </c>
    </row>
    <row r="1458" spans="4:5">
      <c r="D1458" s="90" t="str">
        <f>IF('Product List'!C1458="","",'Product List'!C1458)</f>
        <v/>
      </c>
      <c r="E1458" s="90" t="str">
        <f>IF('Product List'!B1458="","",'Product List'!B1458)</f>
        <v/>
      </c>
    </row>
    <row r="1459" spans="4:5">
      <c r="D1459" s="90" t="str">
        <f>IF('Product List'!C1459="","",'Product List'!C1459)</f>
        <v/>
      </c>
      <c r="E1459" s="90" t="str">
        <f>IF('Product List'!B1459="","",'Product List'!B1459)</f>
        <v/>
      </c>
    </row>
    <row r="1460" spans="4:5">
      <c r="D1460" s="90" t="str">
        <f>IF('Product List'!C1460="","",'Product List'!C1460)</f>
        <v/>
      </c>
      <c r="E1460" s="90" t="str">
        <f>IF('Product List'!B1460="","",'Product List'!B1460)</f>
        <v/>
      </c>
    </row>
    <row r="1461" spans="4:5">
      <c r="D1461" s="90" t="str">
        <f>IF('Product List'!C1461="","",'Product List'!C1461)</f>
        <v/>
      </c>
      <c r="E1461" s="90" t="str">
        <f>IF('Product List'!B1461="","",'Product List'!B1461)</f>
        <v/>
      </c>
    </row>
    <row r="1462" spans="4:5">
      <c r="D1462" s="90" t="str">
        <f>IF('Product List'!C1462="","",'Product List'!C1462)</f>
        <v/>
      </c>
      <c r="E1462" s="90" t="str">
        <f>IF('Product List'!B1462="","",'Product List'!B1462)</f>
        <v/>
      </c>
    </row>
    <row r="1463" spans="4:5">
      <c r="D1463" s="90" t="str">
        <f>IF('Product List'!C1463="","",'Product List'!C1463)</f>
        <v/>
      </c>
      <c r="E1463" s="90" t="str">
        <f>IF('Product List'!B1463="","",'Product List'!B1463)</f>
        <v/>
      </c>
    </row>
    <row r="1464" spans="4:5">
      <c r="D1464" s="90" t="str">
        <f>IF('Product List'!C1464="","",'Product List'!C1464)</f>
        <v/>
      </c>
      <c r="E1464" s="90" t="str">
        <f>IF('Product List'!B1464="","",'Product List'!B1464)</f>
        <v/>
      </c>
    </row>
    <row r="1465" spans="4:5">
      <c r="D1465" s="90" t="str">
        <f>IF('Product List'!C1465="","",'Product List'!C1465)</f>
        <v/>
      </c>
      <c r="E1465" s="90" t="str">
        <f>IF('Product List'!B1465="","",'Product List'!B1465)</f>
        <v/>
      </c>
    </row>
    <row r="1466" spans="4:5">
      <c r="D1466" s="90" t="str">
        <f>IF('Product List'!C1466="","",'Product List'!C1466)</f>
        <v/>
      </c>
      <c r="E1466" s="90" t="str">
        <f>IF('Product List'!B1466="","",'Product List'!B1466)</f>
        <v/>
      </c>
    </row>
    <row r="1467" spans="4:5">
      <c r="D1467" s="90" t="str">
        <f>IF('Product List'!C1467="","",'Product List'!C1467)</f>
        <v/>
      </c>
      <c r="E1467" s="90" t="str">
        <f>IF('Product List'!B1467="","",'Product List'!B1467)</f>
        <v/>
      </c>
    </row>
    <row r="1468" spans="4:5">
      <c r="D1468" s="90" t="str">
        <f>IF('Product List'!C1468="","",'Product List'!C1468)</f>
        <v/>
      </c>
      <c r="E1468" s="90" t="str">
        <f>IF('Product List'!B1468="","",'Product List'!B1468)</f>
        <v/>
      </c>
    </row>
    <row r="1469" spans="4:5">
      <c r="D1469" s="90" t="str">
        <f>IF('Product List'!C1469="","",'Product List'!C1469)</f>
        <v/>
      </c>
      <c r="E1469" s="90" t="str">
        <f>IF('Product List'!B1469="","",'Product List'!B1469)</f>
        <v/>
      </c>
    </row>
    <row r="1470" spans="4:5">
      <c r="D1470" s="90" t="str">
        <f>IF('Product List'!C1470="","",'Product List'!C1470)</f>
        <v/>
      </c>
      <c r="E1470" s="90" t="str">
        <f>IF('Product List'!B1470="","",'Product List'!B1470)</f>
        <v/>
      </c>
    </row>
    <row r="1471" spans="4:5">
      <c r="D1471" s="90" t="str">
        <f>IF('Product List'!C1471="","",'Product List'!C1471)</f>
        <v/>
      </c>
      <c r="E1471" s="90" t="str">
        <f>IF('Product List'!B1471="","",'Product List'!B1471)</f>
        <v/>
      </c>
    </row>
    <row r="1472" spans="4:5">
      <c r="D1472" s="90" t="str">
        <f>IF('Product List'!C1472="","",'Product List'!C1472)</f>
        <v/>
      </c>
      <c r="E1472" s="90" t="str">
        <f>IF('Product List'!B1472="","",'Product List'!B1472)</f>
        <v/>
      </c>
    </row>
    <row r="1473" spans="4:5">
      <c r="D1473" s="90" t="str">
        <f>IF('Product List'!C1473="","",'Product List'!C1473)</f>
        <v/>
      </c>
      <c r="E1473" s="90" t="str">
        <f>IF('Product List'!B1473="","",'Product List'!B1473)</f>
        <v/>
      </c>
    </row>
    <row r="1474" spans="4:5">
      <c r="D1474" s="90" t="str">
        <f>IF('Product List'!C1474="","",'Product List'!C1474)</f>
        <v/>
      </c>
      <c r="E1474" s="90" t="str">
        <f>IF('Product List'!B1474="","",'Product List'!B1474)</f>
        <v/>
      </c>
    </row>
    <row r="1475" spans="4:5">
      <c r="D1475" s="90" t="str">
        <f>IF('Product List'!C1475="","",'Product List'!C1475)</f>
        <v/>
      </c>
      <c r="E1475" s="90" t="str">
        <f>IF('Product List'!B1475="","",'Product List'!B1475)</f>
        <v/>
      </c>
    </row>
    <row r="1476" spans="4:5">
      <c r="D1476" s="90" t="str">
        <f>IF('Product List'!C1476="","",'Product List'!C1476)</f>
        <v/>
      </c>
      <c r="E1476" s="90" t="str">
        <f>IF('Product List'!B1476="","",'Product List'!B1476)</f>
        <v/>
      </c>
    </row>
    <row r="1477" spans="4:5">
      <c r="D1477" s="90" t="str">
        <f>IF('Product List'!C1477="","",'Product List'!C1477)</f>
        <v/>
      </c>
      <c r="E1477" s="90" t="str">
        <f>IF('Product List'!B1477="","",'Product List'!B1477)</f>
        <v/>
      </c>
    </row>
    <row r="1478" spans="4:5">
      <c r="D1478" s="90" t="str">
        <f>IF('Product List'!C1478="","",'Product List'!C1478)</f>
        <v/>
      </c>
      <c r="E1478" s="90" t="str">
        <f>IF('Product List'!B1478="","",'Product List'!B1478)</f>
        <v/>
      </c>
    </row>
    <row r="1479" spans="4:5">
      <c r="D1479" s="90" t="str">
        <f>IF('Product List'!C1479="","",'Product List'!C1479)</f>
        <v/>
      </c>
      <c r="E1479" s="90" t="str">
        <f>IF('Product List'!B1479="","",'Product List'!B1479)</f>
        <v/>
      </c>
    </row>
    <row r="1480" spans="4:5">
      <c r="D1480" s="90" t="str">
        <f>IF('Product List'!C1480="","",'Product List'!C1480)</f>
        <v/>
      </c>
      <c r="E1480" s="90" t="str">
        <f>IF('Product List'!B1480="","",'Product List'!B1480)</f>
        <v/>
      </c>
    </row>
    <row r="1481" spans="4:5">
      <c r="D1481" s="90" t="str">
        <f>IF('Product List'!C1481="","",'Product List'!C1481)</f>
        <v/>
      </c>
      <c r="E1481" s="90" t="str">
        <f>IF('Product List'!B1481="","",'Product List'!B1481)</f>
        <v/>
      </c>
    </row>
    <row r="1482" spans="4:5">
      <c r="D1482" s="90" t="str">
        <f>IF('Product List'!C1482="","",'Product List'!C1482)</f>
        <v/>
      </c>
      <c r="E1482" s="90" t="str">
        <f>IF('Product List'!B1482="","",'Product List'!B1482)</f>
        <v/>
      </c>
    </row>
    <row r="1483" spans="4:5">
      <c r="D1483" s="90" t="str">
        <f>IF('Product List'!C1483="","",'Product List'!C1483)</f>
        <v/>
      </c>
      <c r="E1483" s="90" t="str">
        <f>IF('Product List'!B1483="","",'Product List'!B1483)</f>
        <v/>
      </c>
    </row>
    <row r="1484" spans="4:5">
      <c r="D1484" s="90" t="str">
        <f>IF('Product List'!C1484="","",'Product List'!C1484)</f>
        <v/>
      </c>
      <c r="E1484" s="90" t="str">
        <f>IF('Product List'!B1484="","",'Product List'!B1484)</f>
        <v/>
      </c>
    </row>
    <row r="1485" spans="4:5">
      <c r="D1485" s="90" t="str">
        <f>IF('Product List'!C1485="","",'Product List'!C1485)</f>
        <v/>
      </c>
      <c r="E1485" s="90" t="str">
        <f>IF('Product List'!B1485="","",'Product List'!B1485)</f>
        <v/>
      </c>
    </row>
    <row r="1486" spans="4:5">
      <c r="D1486" s="90" t="str">
        <f>IF('Product List'!C1486="","",'Product List'!C1486)</f>
        <v/>
      </c>
      <c r="E1486" s="90" t="str">
        <f>IF('Product List'!B1486="","",'Product List'!B1486)</f>
        <v/>
      </c>
    </row>
    <row r="1487" spans="4:5">
      <c r="D1487" s="90" t="str">
        <f>IF('Product List'!C1487="","",'Product List'!C1487)</f>
        <v/>
      </c>
      <c r="E1487" s="90" t="str">
        <f>IF('Product List'!B1487="","",'Product List'!B1487)</f>
        <v/>
      </c>
    </row>
    <row r="1488" spans="4:5">
      <c r="D1488" s="90" t="str">
        <f>IF('Product List'!C1488="","",'Product List'!C1488)</f>
        <v/>
      </c>
      <c r="E1488" s="90" t="str">
        <f>IF('Product List'!B1488="","",'Product List'!B1488)</f>
        <v/>
      </c>
    </row>
    <row r="1489" spans="4:5">
      <c r="D1489" s="90" t="str">
        <f>IF('Product List'!C1489="","",'Product List'!C1489)</f>
        <v/>
      </c>
      <c r="E1489" s="90" t="str">
        <f>IF('Product List'!B1489="","",'Product List'!B1489)</f>
        <v/>
      </c>
    </row>
    <row r="1490" spans="4:5">
      <c r="D1490" s="90" t="str">
        <f>IF('Product List'!C1490="","",'Product List'!C1490)</f>
        <v/>
      </c>
      <c r="E1490" s="90" t="str">
        <f>IF('Product List'!B1490="","",'Product List'!B1490)</f>
        <v/>
      </c>
    </row>
    <row r="1491" spans="4:5">
      <c r="D1491" s="90" t="str">
        <f>IF('Product List'!C1491="","",'Product List'!C1491)</f>
        <v/>
      </c>
      <c r="E1491" s="90" t="str">
        <f>IF('Product List'!B1491="","",'Product List'!B1491)</f>
        <v/>
      </c>
    </row>
    <row r="1492" spans="4:5">
      <c r="D1492" s="90" t="str">
        <f>IF('Product List'!C1492="","",'Product List'!C1492)</f>
        <v/>
      </c>
      <c r="E1492" s="90" t="str">
        <f>IF('Product List'!B1492="","",'Product List'!B1492)</f>
        <v/>
      </c>
    </row>
    <row r="1493" spans="4:5">
      <c r="D1493" s="90" t="str">
        <f>IF('Product List'!C1493="","",'Product List'!C1493)</f>
        <v/>
      </c>
      <c r="E1493" s="90" t="str">
        <f>IF('Product List'!B1493="","",'Product List'!B1493)</f>
        <v/>
      </c>
    </row>
    <row r="1494" spans="4:5">
      <c r="D1494" s="90" t="str">
        <f>IF('Product List'!C1494="","",'Product List'!C1494)</f>
        <v/>
      </c>
      <c r="E1494" s="90" t="str">
        <f>IF('Product List'!B1494="","",'Product List'!B1494)</f>
        <v/>
      </c>
    </row>
    <row r="1495" spans="4:5">
      <c r="D1495" s="90" t="str">
        <f>IF('Product List'!C1495="","",'Product List'!C1495)</f>
        <v/>
      </c>
      <c r="E1495" s="90" t="str">
        <f>IF('Product List'!B1495="","",'Product List'!B1495)</f>
        <v/>
      </c>
    </row>
    <row r="1496" spans="4:5">
      <c r="D1496" s="90" t="str">
        <f>IF('Product List'!C1496="","",'Product List'!C1496)</f>
        <v/>
      </c>
      <c r="E1496" s="90" t="str">
        <f>IF('Product List'!B1496="","",'Product List'!B1496)</f>
        <v/>
      </c>
    </row>
    <row r="1497" spans="4:5">
      <c r="D1497" s="90" t="str">
        <f>IF('Product List'!C1497="","",'Product List'!C1497)</f>
        <v/>
      </c>
      <c r="E1497" s="90" t="str">
        <f>IF('Product List'!B1497="","",'Product List'!B1497)</f>
        <v/>
      </c>
    </row>
    <row r="1498" spans="4:5">
      <c r="D1498" s="90" t="str">
        <f>IF('Product List'!C1498="","",'Product List'!C1498)</f>
        <v/>
      </c>
      <c r="E1498" s="90" t="str">
        <f>IF('Product List'!B1498="","",'Product List'!B1498)</f>
        <v/>
      </c>
    </row>
    <row r="1499" spans="4:5">
      <c r="D1499" s="90" t="str">
        <f>IF('Product List'!C1499="","",'Product List'!C1499)</f>
        <v/>
      </c>
      <c r="E1499" s="90" t="str">
        <f>IF('Product List'!B1499="","",'Product List'!B1499)</f>
        <v/>
      </c>
    </row>
    <row r="1500" spans="4:5">
      <c r="D1500" s="90" t="str">
        <f>IF('Product List'!C1500="","",'Product List'!C1500)</f>
        <v/>
      </c>
      <c r="E1500" s="90" t="str">
        <f>IF('Product List'!B1500="","",'Product List'!B1500)</f>
        <v/>
      </c>
    </row>
    <row r="1501" spans="4:5">
      <c r="D1501" s="90" t="str">
        <f>IF('Product List'!C1501="","",'Product List'!C1501)</f>
        <v/>
      </c>
      <c r="E1501" s="90" t="str">
        <f>IF('Product List'!B1501="","",'Product List'!B1501)</f>
        <v/>
      </c>
    </row>
    <row r="1502" spans="4:5">
      <c r="D1502" s="90" t="str">
        <f>IF('Product List'!C1502="","",'Product List'!C1502)</f>
        <v/>
      </c>
      <c r="E1502" s="90" t="str">
        <f>IF('Product List'!B1502="","",'Product List'!B1502)</f>
        <v/>
      </c>
    </row>
    <row r="1503" spans="4:5">
      <c r="D1503" s="90" t="str">
        <f>IF('Product List'!C1503="","",'Product List'!C1503)</f>
        <v/>
      </c>
      <c r="E1503" s="90" t="str">
        <f>IF('Product List'!B1503="","",'Product List'!B1503)</f>
        <v/>
      </c>
    </row>
    <row r="1504" spans="4:5">
      <c r="D1504" s="90" t="str">
        <f>IF('Product List'!C1504="","",'Product List'!C1504)</f>
        <v/>
      </c>
      <c r="E1504" s="90" t="str">
        <f>IF('Product List'!B1504="","",'Product List'!B1504)</f>
        <v/>
      </c>
    </row>
    <row r="1505" spans="4:5">
      <c r="D1505" s="90" t="str">
        <f>IF('Product List'!C1505="","",'Product List'!C1505)</f>
        <v/>
      </c>
      <c r="E1505" s="90" t="str">
        <f>IF('Product List'!B1505="","",'Product List'!B1505)</f>
        <v/>
      </c>
    </row>
    <row r="1506" spans="4:5">
      <c r="D1506" s="90" t="str">
        <f>IF('Product List'!C1506="","",'Product List'!C1506)</f>
        <v/>
      </c>
      <c r="E1506" s="90" t="str">
        <f>IF('Product List'!B1506="","",'Product List'!B1506)</f>
        <v/>
      </c>
    </row>
    <row r="1507" spans="4:5">
      <c r="D1507" s="90" t="str">
        <f>IF('Product List'!C1507="","",'Product List'!C1507)</f>
        <v/>
      </c>
      <c r="E1507" s="90" t="str">
        <f>IF('Product List'!B1507="","",'Product List'!B1507)</f>
        <v/>
      </c>
    </row>
    <row r="1508" spans="4:5">
      <c r="D1508" s="90" t="str">
        <f>IF('Product List'!C1508="","",'Product List'!C1508)</f>
        <v/>
      </c>
      <c r="E1508" s="90" t="str">
        <f>IF('Product List'!B1508="","",'Product List'!B1508)</f>
        <v/>
      </c>
    </row>
    <row r="1509" spans="4:5">
      <c r="D1509" s="90" t="str">
        <f>IF('Product List'!C1509="","",'Product List'!C1509)</f>
        <v/>
      </c>
      <c r="E1509" s="90" t="str">
        <f>IF('Product List'!B1509="","",'Product List'!B1509)</f>
        <v/>
      </c>
    </row>
    <row r="1510" spans="4:5">
      <c r="D1510" s="90" t="str">
        <f>IF('Product List'!C1510="","",'Product List'!C1510)</f>
        <v/>
      </c>
      <c r="E1510" s="90" t="str">
        <f>IF('Product List'!B1510="","",'Product List'!B1510)</f>
        <v/>
      </c>
    </row>
    <row r="1511" spans="4:5">
      <c r="D1511" s="90" t="str">
        <f>IF('Product List'!C1511="","",'Product List'!C1511)</f>
        <v/>
      </c>
      <c r="E1511" s="90" t="str">
        <f>IF('Product List'!B1511="","",'Product List'!B1511)</f>
        <v/>
      </c>
    </row>
    <row r="1512" spans="4:5">
      <c r="D1512" s="90" t="str">
        <f>IF('Product List'!C1512="","",'Product List'!C1512)</f>
        <v/>
      </c>
      <c r="E1512" s="90" t="str">
        <f>IF('Product List'!B1512="","",'Product List'!B1512)</f>
        <v/>
      </c>
    </row>
    <row r="1513" spans="4:5">
      <c r="D1513" s="90" t="str">
        <f>IF('Product List'!C1513="","",'Product List'!C1513)</f>
        <v/>
      </c>
      <c r="E1513" s="90" t="str">
        <f>IF('Product List'!B1513="","",'Product List'!B1513)</f>
        <v/>
      </c>
    </row>
    <row r="1514" spans="4:5">
      <c r="D1514" s="90" t="str">
        <f>IF('Product List'!C1514="","",'Product List'!C1514)</f>
        <v/>
      </c>
      <c r="E1514" s="90" t="str">
        <f>IF('Product List'!B1514="","",'Product List'!B1514)</f>
        <v/>
      </c>
    </row>
    <row r="1515" spans="4:5">
      <c r="D1515" s="90" t="str">
        <f>IF('Product List'!C1515="","",'Product List'!C1515)</f>
        <v/>
      </c>
      <c r="E1515" s="90" t="str">
        <f>IF('Product List'!B1515="","",'Product List'!B1515)</f>
        <v/>
      </c>
    </row>
    <row r="1516" spans="4:5">
      <c r="D1516" s="90" t="str">
        <f>IF('Product List'!C1516="","",'Product List'!C1516)</f>
        <v/>
      </c>
      <c r="E1516" s="90" t="str">
        <f>IF('Product List'!B1516="","",'Product List'!B1516)</f>
        <v/>
      </c>
    </row>
    <row r="1517" spans="4:5">
      <c r="D1517" s="90" t="str">
        <f>IF('Product List'!C1517="","",'Product List'!C1517)</f>
        <v/>
      </c>
      <c r="E1517" s="90" t="str">
        <f>IF('Product List'!B1517="","",'Product List'!B1517)</f>
        <v/>
      </c>
    </row>
    <row r="1518" spans="4:5">
      <c r="D1518" s="90" t="str">
        <f>IF('Product List'!C1518="","",'Product List'!C1518)</f>
        <v/>
      </c>
      <c r="E1518" s="90" t="str">
        <f>IF('Product List'!B1518="","",'Product List'!B1518)</f>
        <v/>
      </c>
    </row>
    <row r="1519" spans="4:5">
      <c r="D1519" s="90" t="str">
        <f>IF('Product List'!C1519="","",'Product List'!C1519)</f>
        <v/>
      </c>
      <c r="E1519" s="90" t="str">
        <f>IF('Product List'!B1519="","",'Product List'!B1519)</f>
        <v/>
      </c>
    </row>
    <row r="1520" spans="4:5">
      <c r="D1520" s="90" t="str">
        <f>IF('Product List'!C1520="","",'Product List'!C1520)</f>
        <v/>
      </c>
      <c r="E1520" s="90" t="str">
        <f>IF('Product List'!B1520="","",'Product List'!B1520)</f>
        <v/>
      </c>
    </row>
    <row r="1521" spans="4:5">
      <c r="D1521" s="90" t="str">
        <f>IF('Product List'!C1521="","",'Product List'!C1521)</f>
        <v/>
      </c>
      <c r="E1521" s="90" t="str">
        <f>IF('Product List'!B1521="","",'Product List'!B1521)</f>
        <v/>
      </c>
    </row>
    <row r="1522" spans="4:5">
      <c r="D1522" s="90" t="str">
        <f>IF('Product List'!C1522="","",'Product List'!C1522)</f>
        <v/>
      </c>
      <c r="E1522" s="90" t="str">
        <f>IF('Product List'!B1522="","",'Product List'!B1522)</f>
        <v/>
      </c>
    </row>
    <row r="1523" spans="4:5">
      <c r="D1523" s="90" t="str">
        <f>IF('Product List'!C1523="","",'Product List'!C1523)</f>
        <v/>
      </c>
      <c r="E1523" s="90" t="str">
        <f>IF('Product List'!B1523="","",'Product List'!B1523)</f>
        <v/>
      </c>
    </row>
    <row r="1524" spans="4:5">
      <c r="D1524" s="90" t="str">
        <f>IF('Product List'!C1524="","",'Product List'!C1524)</f>
        <v/>
      </c>
      <c r="E1524" s="90" t="str">
        <f>IF('Product List'!B1524="","",'Product List'!B1524)</f>
        <v/>
      </c>
    </row>
    <row r="1525" spans="4:5">
      <c r="D1525" s="90" t="str">
        <f>IF('Product List'!C1525="","",'Product List'!C1525)</f>
        <v/>
      </c>
      <c r="E1525" s="90" t="str">
        <f>IF('Product List'!B1525="","",'Product List'!B1525)</f>
        <v/>
      </c>
    </row>
    <row r="1526" spans="4:5">
      <c r="D1526" s="90" t="str">
        <f>IF('Product List'!C1526="","",'Product List'!C1526)</f>
        <v/>
      </c>
      <c r="E1526" s="90" t="str">
        <f>IF('Product List'!B1526="","",'Product List'!B1526)</f>
        <v/>
      </c>
    </row>
    <row r="1527" spans="4:5">
      <c r="D1527" s="90" t="str">
        <f>IF('Product List'!C1527="","",'Product List'!C1527)</f>
        <v/>
      </c>
      <c r="E1527" s="90" t="str">
        <f>IF('Product List'!B1527="","",'Product List'!B1527)</f>
        <v/>
      </c>
    </row>
    <row r="1528" spans="4:5">
      <c r="D1528" s="90" t="str">
        <f>IF('Product List'!C1528="","",'Product List'!C1528)</f>
        <v/>
      </c>
      <c r="E1528" s="90" t="str">
        <f>IF('Product List'!B1528="","",'Product List'!B1528)</f>
        <v/>
      </c>
    </row>
    <row r="1529" spans="4:5">
      <c r="D1529" s="90" t="str">
        <f>IF('Product List'!C1529="","",'Product List'!C1529)</f>
        <v/>
      </c>
      <c r="E1529" s="90" t="str">
        <f>IF('Product List'!B1529="","",'Product List'!B1529)</f>
        <v/>
      </c>
    </row>
    <row r="1530" spans="4:5">
      <c r="D1530" s="90" t="str">
        <f>IF('Product List'!C1530="","",'Product List'!C1530)</f>
        <v/>
      </c>
      <c r="E1530" s="90" t="str">
        <f>IF('Product List'!B1530="","",'Product List'!B1530)</f>
        <v/>
      </c>
    </row>
    <row r="1531" spans="4:5">
      <c r="D1531" s="90" t="str">
        <f>IF('Product List'!C1531="","",'Product List'!C1531)</f>
        <v/>
      </c>
      <c r="E1531" s="90" t="str">
        <f>IF('Product List'!B1531="","",'Product List'!B1531)</f>
        <v/>
      </c>
    </row>
    <row r="1532" spans="4:5">
      <c r="D1532" s="90" t="str">
        <f>IF('Product List'!C1532="","",'Product List'!C1532)</f>
        <v/>
      </c>
      <c r="E1532" s="90" t="str">
        <f>IF('Product List'!B1532="","",'Product List'!B1532)</f>
        <v/>
      </c>
    </row>
    <row r="1533" spans="4:5">
      <c r="D1533" s="90" t="str">
        <f>IF('Product List'!C1533="","",'Product List'!C1533)</f>
        <v/>
      </c>
      <c r="E1533" s="90" t="str">
        <f>IF('Product List'!B1533="","",'Product List'!B1533)</f>
        <v/>
      </c>
    </row>
    <row r="1534" spans="4:5">
      <c r="D1534" s="90" t="str">
        <f>IF('Product List'!C1534="","",'Product List'!C1534)</f>
        <v/>
      </c>
      <c r="E1534" s="90" t="str">
        <f>IF('Product List'!B1534="","",'Product List'!B1534)</f>
        <v/>
      </c>
    </row>
    <row r="1535" spans="4:5">
      <c r="D1535" s="90" t="str">
        <f>IF('Product List'!C1535="","",'Product List'!C1535)</f>
        <v/>
      </c>
      <c r="E1535" s="90" t="str">
        <f>IF('Product List'!B1535="","",'Product List'!B1535)</f>
        <v/>
      </c>
    </row>
    <row r="1536" spans="4:5">
      <c r="D1536" s="90" t="str">
        <f>IF('Product List'!C1536="","",'Product List'!C1536)</f>
        <v/>
      </c>
      <c r="E1536" s="90" t="str">
        <f>IF('Product List'!B1536="","",'Product List'!B1536)</f>
        <v/>
      </c>
    </row>
    <row r="1537" spans="4:5">
      <c r="D1537" s="90" t="str">
        <f>IF('Product List'!C1537="","",'Product List'!C1537)</f>
        <v/>
      </c>
      <c r="E1537" s="90" t="str">
        <f>IF('Product List'!B1537="","",'Product List'!B1537)</f>
        <v/>
      </c>
    </row>
    <row r="1538" spans="4:5">
      <c r="D1538" s="90" t="str">
        <f>IF('Product List'!C1538="","",'Product List'!C1538)</f>
        <v/>
      </c>
      <c r="E1538" s="90" t="str">
        <f>IF('Product List'!B1538="","",'Product List'!B1538)</f>
        <v/>
      </c>
    </row>
    <row r="1539" spans="4:5">
      <c r="D1539" s="90" t="str">
        <f>IF('Product List'!C1539="","",'Product List'!C1539)</f>
        <v/>
      </c>
      <c r="E1539" s="90" t="str">
        <f>IF('Product List'!B1539="","",'Product List'!B1539)</f>
        <v/>
      </c>
    </row>
    <row r="1540" spans="4:5">
      <c r="D1540" s="90" t="str">
        <f>IF('Product List'!C1540="","",'Product List'!C1540)</f>
        <v/>
      </c>
      <c r="E1540" s="90" t="str">
        <f>IF('Product List'!B1540="","",'Product List'!B1540)</f>
        <v/>
      </c>
    </row>
    <row r="1541" spans="4:5">
      <c r="D1541" s="90" t="str">
        <f>IF('Product List'!C1541="","",'Product List'!C1541)</f>
        <v/>
      </c>
      <c r="E1541" s="90" t="str">
        <f>IF('Product List'!B1541="","",'Product List'!B1541)</f>
        <v/>
      </c>
    </row>
    <row r="1542" spans="4:5">
      <c r="D1542" s="90" t="str">
        <f>IF('Product List'!C1542="","",'Product List'!C1542)</f>
        <v/>
      </c>
      <c r="E1542" s="90" t="str">
        <f>IF('Product List'!B1542="","",'Product List'!B1542)</f>
        <v/>
      </c>
    </row>
    <row r="1543" spans="4:5">
      <c r="D1543" s="90" t="str">
        <f>IF('Product List'!C1543="","",'Product List'!C1543)</f>
        <v/>
      </c>
      <c r="E1543" s="90" t="str">
        <f>IF('Product List'!B1543="","",'Product List'!B1543)</f>
        <v/>
      </c>
    </row>
    <row r="1544" spans="4:5">
      <c r="D1544" s="90" t="str">
        <f>IF('Product List'!C1544="","",'Product List'!C1544)</f>
        <v/>
      </c>
      <c r="E1544" s="90" t="str">
        <f>IF('Product List'!B1544="","",'Product List'!B1544)</f>
        <v/>
      </c>
    </row>
    <row r="1545" spans="4:5">
      <c r="D1545" s="90" t="str">
        <f>IF('Product List'!C1545="","",'Product List'!C1545)</f>
        <v/>
      </c>
      <c r="E1545" s="90" t="str">
        <f>IF('Product List'!B1545="","",'Product List'!B1545)</f>
        <v/>
      </c>
    </row>
    <row r="1546" spans="4:5">
      <c r="D1546" s="90" t="str">
        <f>IF('Product List'!C1546="","",'Product List'!C1546)</f>
        <v/>
      </c>
      <c r="E1546" s="90" t="str">
        <f>IF('Product List'!B1546="","",'Product List'!B1546)</f>
        <v/>
      </c>
    </row>
    <row r="1547" spans="4:5">
      <c r="D1547" s="90" t="str">
        <f>IF('Product List'!C1547="","",'Product List'!C1547)</f>
        <v/>
      </c>
      <c r="E1547" s="90" t="str">
        <f>IF('Product List'!B1547="","",'Product List'!B1547)</f>
        <v/>
      </c>
    </row>
    <row r="1548" spans="4:5">
      <c r="D1548" s="90" t="str">
        <f>IF('Product List'!C1548="","",'Product List'!C1548)</f>
        <v/>
      </c>
      <c r="E1548" s="90" t="str">
        <f>IF('Product List'!B1548="","",'Product List'!B1548)</f>
        <v/>
      </c>
    </row>
    <row r="1549" spans="4:5">
      <c r="D1549" s="90" t="str">
        <f>IF('Product List'!C1549="","",'Product List'!C1549)</f>
        <v/>
      </c>
      <c r="E1549" s="90" t="str">
        <f>IF('Product List'!B1549="","",'Product List'!B1549)</f>
        <v/>
      </c>
    </row>
    <row r="1550" spans="4:5">
      <c r="D1550" s="90" t="str">
        <f>IF('Product List'!C1550="","",'Product List'!C1550)</f>
        <v/>
      </c>
      <c r="E1550" s="90" t="str">
        <f>IF('Product List'!B1550="","",'Product List'!B1550)</f>
        <v/>
      </c>
    </row>
    <row r="1551" spans="4:5">
      <c r="D1551" s="90" t="str">
        <f>IF('Product List'!C1551="","",'Product List'!C1551)</f>
        <v/>
      </c>
      <c r="E1551" s="90" t="str">
        <f>IF('Product List'!B1551="","",'Product List'!B1551)</f>
        <v/>
      </c>
    </row>
    <row r="1552" spans="4:5">
      <c r="D1552" s="90" t="str">
        <f>IF('Product List'!C1552="","",'Product List'!C1552)</f>
        <v/>
      </c>
      <c r="E1552" s="90" t="str">
        <f>IF('Product List'!B1552="","",'Product List'!B1552)</f>
        <v/>
      </c>
    </row>
    <row r="1553" spans="4:5">
      <c r="D1553" s="90" t="str">
        <f>IF('Product List'!C1553="","",'Product List'!C1553)</f>
        <v/>
      </c>
      <c r="E1553" s="90" t="str">
        <f>IF('Product List'!B1553="","",'Product List'!B1553)</f>
        <v/>
      </c>
    </row>
    <row r="1554" spans="4:5">
      <c r="D1554" s="90" t="str">
        <f>IF('Product List'!C1554="","",'Product List'!C1554)</f>
        <v/>
      </c>
      <c r="E1554" s="90" t="str">
        <f>IF('Product List'!B1554="","",'Product List'!B1554)</f>
        <v/>
      </c>
    </row>
    <row r="1555" spans="4:5">
      <c r="D1555" s="90" t="str">
        <f>IF('Product List'!C1555="","",'Product List'!C1555)</f>
        <v/>
      </c>
      <c r="E1555" s="90" t="str">
        <f>IF('Product List'!B1555="","",'Product List'!B1555)</f>
        <v/>
      </c>
    </row>
    <row r="1556" spans="4:5">
      <c r="D1556" s="90" t="str">
        <f>IF('Product List'!C1556="","",'Product List'!C1556)</f>
        <v/>
      </c>
      <c r="E1556" s="90" t="str">
        <f>IF('Product List'!B1556="","",'Product List'!B1556)</f>
        <v/>
      </c>
    </row>
    <row r="1557" spans="4:5">
      <c r="D1557" s="90" t="str">
        <f>IF('Product List'!C1557="","",'Product List'!C1557)</f>
        <v/>
      </c>
      <c r="E1557" s="90" t="str">
        <f>IF('Product List'!B1557="","",'Product List'!B1557)</f>
        <v/>
      </c>
    </row>
    <row r="1558" spans="4:5">
      <c r="D1558" s="90" t="str">
        <f>IF('Product List'!C1558="","",'Product List'!C1558)</f>
        <v/>
      </c>
      <c r="E1558" s="90" t="str">
        <f>IF('Product List'!B1558="","",'Product List'!B1558)</f>
        <v/>
      </c>
    </row>
    <row r="1559" spans="4:5">
      <c r="D1559" s="90" t="str">
        <f>IF('Product List'!C1559="","",'Product List'!C1559)</f>
        <v/>
      </c>
      <c r="E1559" s="90" t="str">
        <f>IF('Product List'!B1559="","",'Product List'!B1559)</f>
        <v/>
      </c>
    </row>
    <row r="1560" spans="4:5">
      <c r="D1560" s="90" t="str">
        <f>IF('Product List'!C1560="","",'Product List'!C1560)</f>
        <v/>
      </c>
      <c r="E1560" s="90" t="str">
        <f>IF('Product List'!B1560="","",'Product List'!B1560)</f>
        <v/>
      </c>
    </row>
    <row r="1561" spans="4:5">
      <c r="D1561" s="90" t="str">
        <f>IF('Product List'!C1561="","",'Product List'!C1561)</f>
        <v/>
      </c>
      <c r="E1561" s="90" t="str">
        <f>IF('Product List'!B1561="","",'Product List'!B1561)</f>
        <v/>
      </c>
    </row>
    <row r="1562" spans="4:5">
      <c r="D1562" s="90" t="str">
        <f>IF('Product List'!C1562="","",'Product List'!C1562)</f>
        <v/>
      </c>
      <c r="E1562" s="90" t="str">
        <f>IF('Product List'!B1562="","",'Product List'!B1562)</f>
        <v/>
      </c>
    </row>
    <row r="1563" spans="4:5">
      <c r="D1563" s="90" t="str">
        <f>IF('Product List'!C1563="","",'Product List'!C1563)</f>
        <v/>
      </c>
      <c r="E1563" s="90" t="str">
        <f>IF('Product List'!B1563="","",'Product List'!B1563)</f>
        <v/>
      </c>
    </row>
    <row r="1564" spans="4:5">
      <c r="D1564" s="90" t="str">
        <f>IF('Product List'!C1564="","",'Product List'!C1564)</f>
        <v/>
      </c>
      <c r="E1564" s="90" t="str">
        <f>IF('Product List'!B1564="","",'Product List'!B1564)</f>
        <v/>
      </c>
    </row>
    <row r="1565" spans="4:5">
      <c r="D1565" s="90" t="str">
        <f>IF('Product List'!C1565="","",'Product List'!C1565)</f>
        <v/>
      </c>
      <c r="E1565" s="90" t="str">
        <f>IF('Product List'!B1565="","",'Product List'!B1565)</f>
        <v/>
      </c>
    </row>
    <row r="1566" spans="4:5">
      <c r="D1566" s="90" t="str">
        <f>IF('Product List'!C1566="","",'Product List'!C1566)</f>
        <v/>
      </c>
      <c r="E1566" s="90" t="str">
        <f>IF('Product List'!B1566="","",'Product List'!B1566)</f>
        <v/>
      </c>
    </row>
    <row r="1567" spans="4:5">
      <c r="D1567" s="90" t="str">
        <f>IF('Product List'!C1567="","",'Product List'!C1567)</f>
        <v/>
      </c>
      <c r="E1567" s="90" t="str">
        <f>IF('Product List'!B1567="","",'Product List'!B1567)</f>
        <v/>
      </c>
    </row>
    <row r="1568" spans="4:5">
      <c r="D1568" s="90" t="str">
        <f>IF('Product List'!C1568="","",'Product List'!C1568)</f>
        <v/>
      </c>
      <c r="E1568" s="90" t="str">
        <f>IF('Product List'!B1568="","",'Product List'!B1568)</f>
        <v/>
      </c>
    </row>
    <row r="1569" spans="4:5">
      <c r="D1569" s="90" t="str">
        <f>IF('Product List'!C1569="","",'Product List'!C1569)</f>
        <v/>
      </c>
      <c r="E1569" s="90" t="str">
        <f>IF('Product List'!B1569="","",'Product List'!B1569)</f>
        <v/>
      </c>
    </row>
    <row r="1570" spans="4:5">
      <c r="D1570" s="90" t="str">
        <f>IF('Product List'!C1570="","",'Product List'!C1570)</f>
        <v/>
      </c>
      <c r="E1570" s="90" t="str">
        <f>IF('Product List'!B1570="","",'Product List'!B1570)</f>
        <v/>
      </c>
    </row>
    <row r="1571" spans="4:5">
      <c r="D1571" s="90" t="str">
        <f>IF('Product List'!C1571="","",'Product List'!C1571)</f>
        <v/>
      </c>
      <c r="E1571" s="90" t="str">
        <f>IF('Product List'!B1571="","",'Product List'!B1571)</f>
        <v/>
      </c>
    </row>
    <row r="1572" spans="4:5">
      <c r="D1572" s="90" t="str">
        <f>IF('Product List'!C1572="","",'Product List'!C1572)</f>
        <v/>
      </c>
      <c r="E1572" s="90" t="str">
        <f>IF('Product List'!B1572="","",'Product List'!B1572)</f>
        <v/>
      </c>
    </row>
    <row r="1573" spans="4:5">
      <c r="D1573" s="90" t="str">
        <f>IF('Product List'!C1573="","",'Product List'!C1573)</f>
        <v/>
      </c>
      <c r="E1573" s="90" t="str">
        <f>IF('Product List'!B1573="","",'Product List'!B1573)</f>
        <v/>
      </c>
    </row>
    <row r="1574" spans="4:5">
      <c r="D1574" s="90" t="str">
        <f>IF('Product List'!C1574="","",'Product List'!C1574)</f>
        <v/>
      </c>
      <c r="E1574" s="90" t="str">
        <f>IF('Product List'!B1574="","",'Product List'!B1574)</f>
        <v/>
      </c>
    </row>
    <row r="1575" spans="4:5">
      <c r="D1575" s="90" t="str">
        <f>IF('Product List'!C1575="","",'Product List'!C1575)</f>
        <v/>
      </c>
      <c r="E1575" s="90" t="str">
        <f>IF('Product List'!B1575="","",'Product List'!B1575)</f>
        <v/>
      </c>
    </row>
    <row r="1576" spans="4:5">
      <c r="D1576" s="90" t="str">
        <f>IF('Product List'!C1576="","",'Product List'!C1576)</f>
        <v/>
      </c>
      <c r="E1576" s="90" t="str">
        <f>IF('Product List'!B1576="","",'Product List'!B1576)</f>
        <v/>
      </c>
    </row>
    <row r="1577" spans="4:5">
      <c r="D1577" s="90" t="str">
        <f>IF('Product List'!C1577="","",'Product List'!C1577)</f>
        <v/>
      </c>
      <c r="E1577" s="90" t="str">
        <f>IF('Product List'!B1577="","",'Product List'!B1577)</f>
        <v/>
      </c>
    </row>
    <row r="1578" spans="4:5">
      <c r="D1578" s="90" t="str">
        <f>IF('Product List'!C1578="","",'Product List'!C1578)</f>
        <v/>
      </c>
      <c r="E1578" s="90" t="str">
        <f>IF('Product List'!B1578="","",'Product List'!B1578)</f>
        <v/>
      </c>
    </row>
    <row r="1579" spans="4:5">
      <c r="D1579" s="90" t="str">
        <f>IF('Product List'!C1579="","",'Product List'!C1579)</f>
        <v/>
      </c>
      <c r="E1579" s="90" t="str">
        <f>IF('Product List'!B1579="","",'Product List'!B1579)</f>
        <v/>
      </c>
    </row>
    <row r="1580" spans="4:5">
      <c r="D1580" s="90" t="str">
        <f>IF('Product List'!C1580="","",'Product List'!C1580)</f>
        <v/>
      </c>
      <c r="E1580" s="90" t="str">
        <f>IF('Product List'!B1580="","",'Product List'!B1580)</f>
        <v/>
      </c>
    </row>
    <row r="1581" spans="4:5">
      <c r="D1581" s="90" t="str">
        <f>IF('Product List'!C1581="","",'Product List'!C1581)</f>
        <v/>
      </c>
      <c r="E1581" s="90" t="str">
        <f>IF('Product List'!B1581="","",'Product List'!B1581)</f>
        <v/>
      </c>
    </row>
    <row r="1582" spans="4:5">
      <c r="D1582" s="90" t="str">
        <f>IF('Product List'!C1582="","",'Product List'!C1582)</f>
        <v/>
      </c>
      <c r="E1582" s="90" t="str">
        <f>IF('Product List'!B1582="","",'Product List'!B1582)</f>
        <v/>
      </c>
    </row>
    <row r="1583" spans="4:5">
      <c r="D1583" s="90" t="str">
        <f>IF('Product List'!C1583="","",'Product List'!C1583)</f>
        <v/>
      </c>
      <c r="E1583" s="90" t="str">
        <f>IF('Product List'!B1583="","",'Product List'!B1583)</f>
        <v/>
      </c>
    </row>
    <row r="1584" spans="4:5">
      <c r="D1584" s="90" t="str">
        <f>IF('Product List'!C1584="","",'Product List'!C1584)</f>
        <v/>
      </c>
      <c r="E1584" s="90" t="str">
        <f>IF('Product List'!B1584="","",'Product List'!B1584)</f>
        <v/>
      </c>
    </row>
    <row r="1585" spans="4:5">
      <c r="D1585" s="90" t="str">
        <f>IF('Product List'!C1585="","",'Product List'!C1585)</f>
        <v/>
      </c>
      <c r="E1585" s="90" t="str">
        <f>IF('Product List'!B1585="","",'Product List'!B1585)</f>
        <v/>
      </c>
    </row>
    <row r="1586" spans="4:5">
      <c r="D1586" s="90" t="str">
        <f>IF('Product List'!C1586="","",'Product List'!C1586)</f>
        <v/>
      </c>
      <c r="E1586" s="90" t="str">
        <f>IF('Product List'!B1586="","",'Product List'!B1586)</f>
        <v/>
      </c>
    </row>
    <row r="1587" spans="4:5">
      <c r="D1587" s="90" t="str">
        <f>IF('Product List'!C1587="","",'Product List'!C1587)</f>
        <v/>
      </c>
      <c r="E1587" s="90" t="str">
        <f>IF('Product List'!B1587="","",'Product List'!B1587)</f>
        <v/>
      </c>
    </row>
    <row r="1588" spans="4:5">
      <c r="D1588" s="90" t="str">
        <f>IF('Product List'!C1588="","",'Product List'!C1588)</f>
        <v/>
      </c>
      <c r="E1588" s="90" t="str">
        <f>IF('Product List'!B1588="","",'Product List'!B1588)</f>
        <v/>
      </c>
    </row>
    <row r="1589" spans="4:5">
      <c r="D1589" s="90" t="str">
        <f>IF('Product List'!C1589="","",'Product List'!C1589)</f>
        <v/>
      </c>
      <c r="E1589" s="90" t="str">
        <f>IF('Product List'!B1589="","",'Product List'!B1589)</f>
        <v/>
      </c>
    </row>
    <row r="1590" spans="4:5">
      <c r="D1590" s="90" t="str">
        <f>IF('Product List'!C1590="","",'Product List'!C1590)</f>
        <v/>
      </c>
      <c r="E1590" s="90" t="str">
        <f>IF('Product List'!B1590="","",'Product List'!B1590)</f>
        <v/>
      </c>
    </row>
    <row r="1591" spans="4:5">
      <c r="D1591" s="90" t="str">
        <f>IF('Product List'!C1591="","",'Product List'!C1591)</f>
        <v/>
      </c>
      <c r="E1591" s="90" t="str">
        <f>IF('Product List'!B1591="","",'Product List'!B1591)</f>
        <v/>
      </c>
    </row>
    <row r="1592" spans="4:5">
      <c r="D1592" s="90" t="str">
        <f>IF('Product List'!C1592="","",'Product List'!C1592)</f>
        <v/>
      </c>
      <c r="E1592" s="90" t="str">
        <f>IF('Product List'!B1592="","",'Product List'!B1592)</f>
        <v/>
      </c>
    </row>
    <row r="1593" spans="4:5">
      <c r="D1593" s="90" t="str">
        <f>IF('Product List'!C1593="","",'Product List'!C1593)</f>
        <v/>
      </c>
      <c r="E1593" s="90" t="str">
        <f>IF('Product List'!B1593="","",'Product List'!B1593)</f>
        <v/>
      </c>
    </row>
    <row r="1594" spans="4:5">
      <c r="D1594" s="90" t="str">
        <f>IF('Product List'!C1594="","",'Product List'!C1594)</f>
        <v/>
      </c>
      <c r="E1594" s="90" t="str">
        <f>IF('Product List'!B1594="","",'Product List'!B1594)</f>
        <v/>
      </c>
    </row>
    <row r="1595" spans="4:5">
      <c r="D1595" s="90" t="str">
        <f>IF('Product List'!C1595="","",'Product List'!C1595)</f>
        <v/>
      </c>
      <c r="E1595" s="90" t="str">
        <f>IF('Product List'!B1595="","",'Product List'!B1595)</f>
        <v/>
      </c>
    </row>
    <row r="1596" spans="4:5">
      <c r="D1596" s="90" t="str">
        <f>IF('Product List'!C1596="","",'Product List'!C1596)</f>
        <v/>
      </c>
      <c r="E1596" s="90" t="str">
        <f>IF('Product List'!B1596="","",'Product List'!B1596)</f>
        <v/>
      </c>
    </row>
    <row r="1597" spans="4:5">
      <c r="D1597" s="90" t="str">
        <f>IF('Product List'!C1597="","",'Product List'!C1597)</f>
        <v/>
      </c>
      <c r="E1597" s="90" t="str">
        <f>IF('Product List'!B1597="","",'Product List'!B1597)</f>
        <v/>
      </c>
    </row>
    <row r="1598" spans="4:5">
      <c r="D1598" s="90" t="str">
        <f>IF('Product List'!C1598="","",'Product List'!C1598)</f>
        <v/>
      </c>
      <c r="E1598" s="90" t="str">
        <f>IF('Product List'!B1598="","",'Product List'!B1598)</f>
        <v/>
      </c>
    </row>
    <row r="1599" spans="4:5">
      <c r="D1599" s="90" t="str">
        <f>IF('Product List'!C1599="","",'Product List'!C1599)</f>
        <v/>
      </c>
      <c r="E1599" s="90" t="str">
        <f>IF('Product List'!B1599="","",'Product List'!B1599)</f>
        <v/>
      </c>
    </row>
    <row r="1600" spans="4:5">
      <c r="D1600" s="90" t="str">
        <f>IF('Product List'!C1600="","",'Product List'!C1600)</f>
        <v/>
      </c>
      <c r="E1600" s="90" t="str">
        <f>IF('Product List'!B1600="","",'Product List'!B1600)</f>
        <v/>
      </c>
    </row>
    <row r="1601" spans="4:5">
      <c r="D1601" s="90" t="str">
        <f>IF('Product List'!C1601="","",'Product List'!C1601)</f>
        <v/>
      </c>
      <c r="E1601" s="90" t="str">
        <f>IF('Product List'!B1601="","",'Product List'!B1601)</f>
        <v/>
      </c>
    </row>
    <row r="1602" spans="4:5">
      <c r="D1602" s="90" t="str">
        <f>IF('Product List'!C1602="","",'Product List'!C1602)</f>
        <v/>
      </c>
      <c r="E1602" s="90" t="str">
        <f>IF('Product List'!B1602="","",'Product List'!B1602)</f>
        <v/>
      </c>
    </row>
    <row r="1603" spans="4:5">
      <c r="D1603" s="90" t="str">
        <f>IF('Product List'!C1603="","",'Product List'!C1603)</f>
        <v/>
      </c>
      <c r="E1603" s="90" t="str">
        <f>IF('Product List'!B1603="","",'Product List'!B1603)</f>
        <v/>
      </c>
    </row>
    <row r="1604" spans="4:5">
      <c r="D1604" s="90" t="str">
        <f>IF('Product List'!C1604="","",'Product List'!C1604)</f>
        <v/>
      </c>
      <c r="E1604" s="90" t="str">
        <f>IF('Product List'!B1604="","",'Product List'!B1604)</f>
        <v/>
      </c>
    </row>
    <row r="1605" spans="4:5">
      <c r="D1605" s="90" t="str">
        <f>IF('Product List'!C1605="","",'Product List'!C1605)</f>
        <v/>
      </c>
      <c r="E1605" s="90" t="str">
        <f>IF('Product List'!B1605="","",'Product List'!B1605)</f>
        <v/>
      </c>
    </row>
    <row r="1606" spans="4:5">
      <c r="D1606" s="90" t="str">
        <f>IF('Product List'!C1606="","",'Product List'!C1606)</f>
        <v/>
      </c>
      <c r="E1606" s="90" t="str">
        <f>IF('Product List'!B1606="","",'Product List'!B1606)</f>
        <v/>
      </c>
    </row>
    <row r="1607" spans="4:5">
      <c r="D1607" s="90" t="str">
        <f>IF('Product List'!C1607="","",'Product List'!C1607)</f>
        <v/>
      </c>
      <c r="E1607" s="90" t="str">
        <f>IF('Product List'!B1607="","",'Product List'!B1607)</f>
        <v/>
      </c>
    </row>
    <row r="1608" spans="4:5">
      <c r="D1608" s="90" t="str">
        <f>IF('Product List'!C1608="","",'Product List'!C1608)</f>
        <v/>
      </c>
      <c r="E1608" s="90" t="str">
        <f>IF('Product List'!B1608="","",'Product List'!B1608)</f>
        <v/>
      </c>
    </row>
    <row r="1609" spans="4:5">
      <c r="D1609" s="90" t="str">
        <f>IF('Product List'!C1609="","",'Product List'!C1609)</f>
        <v/>
      </c>
      <c r="E1609" s="90" t="str">
        <f>IF('Product List'!B1609="","",'Product List'!B1609)</f>
        <v/>
      </c>
    </row>
    <row r="1610" spans="4:5">
      <c r="D1610" s="90" t="str">
        <f>IF('Product List'!C1610="","",'Product List'!C1610)</f>
        <v/>
      </c>
      <c r="E1610" s="90" t="str">
        <f>IF('Product List'!B1610="","",'Product List'!B1610)</f>
        <v/>
      </c>
    </row>
    <row r="1611" spans="4:5">
      <c r="D1611" s="90" t="str">
        <f>IF('Product List'!C1611="","",'Product List'!C1611)</f>
        <v/>
      </c>
      <c r="E1611" s="90" t="str">
        <f>IF('Product List'!B1611="","",'Product List'!B1611)</f>
        <v/>
      </c>
    </row>
    <row r="1612" spans="4:5">
      <c r="D1612" s="90" t="str">
        <f>IF('Product List'!C1612="","",'Product List'!C1612)</f>
        <v/>
      </c>
      <c r="E1612" s="90" t="str">
        <f>IF('Product List'!B1612="","",'Product List'!B1612)</f>
        <v/>
      </c>
    </row>
    <row r="1613" spans="4:5">
      <c r="D1613" s="90" t="str">
        <f>IF('Product List'!C1613="","",'Product List'!C1613)</f>
        <v/>
      </c>
      <c r="E1613" s="90" t="str">
        <f>IF('Product List'!B1613="","",'Product List'!B1613)</f>
        <v/>
      </c>
    </row>
    <row r="1614" spans="4:5">
      <c r="D1614" s="90" t="str">
        <f>IF('Product List'!C1614="","",'Product List'!C1614)</f>
        <v/>
      </c>
      <c r="E1614" s="90" t="str">
        <f>IF('Product List'!B1614="","",'Product List'!B1614)</f>
        <v/>
      </c>
    </row>
    <row r="1615" spans="4:5">
      <c r="D1615" s="90" t="str">
        <f>IF('Product List'!C1615="","",'Product List'!C1615)</f>
        <v/>
      </c>
      <c r="E1615" s="90" t="str">
        <f>IF('Product List'!B1615="","",'Product List'!B1615)</f>
        <v/>
      </c>
    </row>
    <row r="1616" spans="4:5">
      <c r="D1616" s="90" t="str">
        <f>IF('Product List'!C1616="","",'Product List'!C1616)</f>
        <v/>
      </c>
      <c r="E1616" s="90" t="str">
        <f>IF('Product List'!B1616="","",'Product List'!B1616)</f>
        <v/>
      </c>
    </row>
    <row r="1617" spans="4:5">
      <c r="D1617" s="90" t="str">
        <f>IF('Product List'!C1617="","",'Product List'!C1617)</f>
        <v/>
      </c>
      <c r="E1617" s="90" t="str">
        <f>IF('Product List'!B1617="","",'Product List'!B1617)</f>
        <v/>
      </c>
    </row>
    <row r="1618" spans="4:5">
      <c r="D1618" s="90" t="str">
        <f>IF('Product List'!C1618="","",'Product List'!C1618)</f>
        <v/>
      </c>
      <c r="E1618" s="90" t="str">
        <f>IF('Product List'!B1618="","",'Product List'!B1618)</f>
        <v/>
      </c>
    </row>
    <row r="1619" spans="4:5">
      <c r="D1619" s="90" t="str">
        <f>IF('Product List'!C1619="","",'Product List'!C1619)</f>
        <v/>
      </c>
      <c r="E1619" s="90" t="str">
        <f>IF('Product List'!B1619="","",'Product List'!B1619)</f>
        <v/>
      </c>
    </row>
    <row r="1620" spans="4:5">
      <c r="D1620" s="90" t="str">
        <f>IF('Product List'!C1620="","",'Product List'!C1620)</f>
        <v/>
      </c>
      <c r="E1620" s="90" t="str">
        <f>IF('Product List'!B1620="","",'Product List'!B1620)</f>
        <v/>
      </c>
    </row>
    <row r="1621" spans="4:5">
      <c r="D1621" s="90" t="str">
        <f>IF('Product List'!C1621="","",'Product List'!C1621)</f>
        <v/>
      </c>
      <c r="E1621" s="90" t="str">
        <f>IF('Product List'!B1621="","",'Product List'!B1621)</f>
        <v/>
      </c>
    </row>
    <row r="1622" spans="4:5">
      <c r="D1622" s="90" t="str">
        <f>IF('Product List'!C1622="","",'Product List'!C1622)</f>
        <v/>
      </c>
      <c r="E1622" s="90" t="str">
        <f>IF('Product List'!B1622="","",'Product List'!B1622)</f>
        <v/>
      </c>
    </row>
    <row r="1623" spans="4:5">
      <c r="D1623" s="90" t="str">
        <f>IF('Product List'!C1623="","",'Product List'!C1623)</f>
        <v/>
      </c>
      <c r="E1623" s="90" t="str">
        <f>IF('Product List'!B1623="","",'Product List'!B1623)</f>
        <v/>
      </c>
    </row>
    <row r="1624" spans="4:5">
      <c r="D1624" s="90" t="str">
        <f>IF('Product List'!C1624="","",'Product List'!C1624)</f>
        <v/>
      </c>
      <c r="E1624" s="90" t="str">
        <f>IF('Product List'!B1624="","",'Product List'!B1624)</f>
        <v/>
      </c>
    </row>
    <row r="1625" spans="4:5">
      <c r="D1625" s="90" t="str">
        <f>IF('Product List'!C1625="","",'Product List'!C1625)</f>
        <v/>
      </c>
      <c r="E1625" s="90" t="str">
        <f>IF('Product List'!B1625="","",'Product List'!B1625)</f>
        <v/>
      </c>
    </row>
    <row r="1626" spans="4:5">
      <c r="D1626" s="90" t="str">
        <f>IF('Product List'!C1626="","",'Product List'!C1626)</f>
        <v/>
      </c>
      <c r="E1626" s="90" t="str">
        <f>IF('Product List'!B1626="","",'Product List'!B1626)</f>
        <v/>
      </c>
    </row>
    <row r="1627" spans="4:5">
      <c r="D1627" s="90" t="str">
        <f>IF('Product List'!C1627="","",'Product List'!C1627)</f>
        <v/>
      </c>
      <c r="E1627" s="90" t="str">
        <f>IF('Product List'!B1627="","",'Product List'!B1627)</f>
        <v/>
      </c>
    </row>
    <row r="1628" spans="4:5">
      <c r="D1628" s="90" t="str">
        <f>IF('Product List'!C1628="","",'Product List'!C1628)</f>
        <v/>
      </c>
      <c r="E1628" s="90" t="str">
        <f>IF('Product List'!B1628="","",'Product List'!B1628)</f>
        <v/>
      </c>
    </row>
    <row r="1629" spans="4:5">
      <c r="D1629" s="90" t="str">
        <f>IF('Product List'!C1629="","",'Product List'!C1629)</f>
        <v/>
      </c>
      <c r="E1629" s="90" t="str">
        <f>IF('Product List'!B1629="","",'Product List'!B1629)</f>
        <v/>
      </c>
    </row>
    <row r="1630" spans="4:5">
      <c r="D1630" s="90" t="str">
        <f>IF('Product List'!C1630="","",'Product List'!C1630)</f>
        <v/>
      </c>
      <c r="E1630" s="90" t="str">
        <f>IF('Product List'!B1630="","",'Product List'!B1630)</f>
        <v/>
      </c>
    </row>
    <row r="1631" spans="4:5">
      <c r="D1631" s="90" t="str">
        <f>IF('Product List'!C1631="","",'Product List'!C1631)</f>
        <v/>
      </c>
      <c r="E1631" s="90" t="str">
        <f>IF('Product List'!B1631="","",'Product List'!B1631)</f>
        <v/>
      </c>
    </row>
    <row r="1632" spans="4:5">
      <c r="D1632" s="90" t="str">
        <f>IF('Product List'!C1632="","",'Product List'!C1632)</f>
        <v/>
      </c>
      <c r="E1632" s="90" t="str">
        <f>IF('Product List'!B1632="","",'Product List'!B1632)</f>
        <v/>
      </c>
    </row>
    <row r="1633" spans="4:5">
      <c r="D1633" s="90" t="str">
        <f>IF('Product List'!C1633="","",'Product List'!C1633)</f>
        <v/>
      </c>
      <c r="E1633" s="90" t="str">
        <f>IF('Product List'!B1633="","",'Product List'!B1633)</f>
        <v/>
      </c>
    </row>
    <row r="1634" spans="4:5">
      <c r="D1634" s="90" t="str">
        <f>IF('Product List'!C1634="","",'Product List'!C1634)</f>
        <v/>
      </c>
      <c r="E1634" s="90" t="str">
        <f>IF('Product List'!B1634="","",'Product List'!B1634)</f>
        <v/>
      </c>
    </row>
    <row r="1635" spans="4:5">
      <c r="D1635" s="90" t="str">
        <f>IF('Product List'!C1635="","",'Product List'!C1635)</f>
        <v/>
      </c>
      <c r="E1635" s="90" t="str">
        <f>IF('Product List'!B1635="","",'Product List'!B1635)</f>
        <v/>
      </c>
    </row>
    <row r="1636" spans="4:5">
      <c r="D1636" s="90" t="str">
        <f>IF('Product List'!C1636="","",'Product List'!C1636)</f>
        <v/>
      </c>
      <c r="E1636" s="90" t="str">
        <f>IF('Product List'!B1636="","",'Product List'!B1636)</f>
        <v/>
      </c>
    </row>
    <row r="1637" spans="4:5">
      <c r="D1637" s="90" t="str">
        <f>IF('Product List'!C1637="","",'Product List'!C1637)</f>
        <v/>
      </c>
      <c r="E1637" s="90" t="str">
        <f>IF('Product List'!B1637="","",'Product List'!B1637)</f>
        <v/>
      </c>
    </row>
    <row r="1638" spans="4:5">
      <c r="D1638" s="90" t="str">
        <f>IF('Product List'!C1638="","",'Product List'!C1638)</f>
        <v/>
      </c>
      <c r="E1638" s="90" t="str">
        <f>IF('Product List'!B1638="","",'Product List'!B1638)</f>
        <v/>
      </c>
    </row>
    <row r="1639" spans="4:5">
      <c r="D1639" s="90" t="str">
        <f>IF('Product List'!C1639="","",'Product List'!C1639)</f>
        <v/>
      </c>
      <c r="E1639" s="90" t="str">
        <f>IF('Product List'!B1639="","",'Product List'!B1639)</f>
        <v/>
      </c>
    </row>
    <row r="1640" spans="4:5">
      <c r="D1640" s="90" t="str">
        <f>IF('Product List'!C1640="","",'Product List'!C1640)</f>
        <v/>
      </c>
      <c r="E1640" s="90" t="str">
        <f>IF('Product List'!B1640="","",'Product List'!B1640)</f>
        <v/>
      </c>
    </row>
    <row r="1641" spans="4:5">
      <c r="D1641" s="90" t="str">
        <f>IF('Product List'!C1641="","",'Product List'!C1641)</f>
        <v/>
      </c>
      <c r="E1641" s="90" t="str">
        <f>IF('Product List'!B1641="","",'Product List'!B1641)</f>
        <v/>
      </c>
    </row>
    <row r="1642" spans="4:5">
      <c r="D1642" s="90" t="str">
        <f>IF('Product List'!C1642="","",'Product List'!C1642)</f>
        <v/>
      </c>
      <c r="E1642" s="90" t="str">
        <f>IF('Product List'!B1642="","",'Product List'!B1642)</f>
        <v/>
      </c>
    </row>
    <row r="1643" spans="4:5">
      <c r="D1643" s="90" t="str">
        <f>IF('Product List'!C1643="","",'Product List'!C1643)</f>
        <v/>
      </c>
      <c r="E1643" s="90" t="str">
        <f>IF('Product List'!B1643="","",'Product List'!B1643)</f>
        <v/>
      </c>
    </row>
    <row r="1644" spans="4:5">
      <c r="D1644" s="90" t="str">
        <f>IF('Product List'!C1644="","",'Product List'!C1644)</f>
        <v/>
      </c>
      <c r="E1644" s="90" t="str">
        <f>IF('Product List'!B1644="","",'Product List'!B1644)</f>
        <v/>
      </c>
    </row>
    <row r="1645" spans="4:5">
      <c r="D1645" s="90" t="str">
        <f>IF('Product List'!C1645="","",'Product List'!C1645)</f>
        <v/>
      </c>
      <c r="E1645" s="90" t="str">
        <f>IF('Product List'!B1645="","",'Product List'!B1645)</f>
        <v/>
      </c>
    </row>
    <row r="1646" spans="4:5">
      <c r="D1646" s="90" t="str">
        <f>IF('Product List'!C1646="","",'Product List'!C1646)</f>
        <v/>
      </c>
      <c r="E1646" s="90" t="str">
        <f>IF('Product List'!B1646="","",'Product List'!B1646)</f>
        <v/>
      </c>
    </row>
    <row r="1647" spans="4:5">
      <c r="D1647" s="90" t="str">
        <f>IF('Product List'!C1647="","",'Product List'!C1647)</f>
        <v/>
      </c>
      <c r="E1647" s="90" t="str">
        <f>IF('Product List'!B1647="","",'Product List'!B1647)</f>
        <v/>
      </c>
    </row>
    <row r="1648" spans="4:5">
      <c r="D1648" s="90" t="str">
        <f>IF('Product List'!C1648="","",'Product List'!C1648)</f>
        <v/>
      </c>
      <c r="E1648" s="90" t="str">
        <f>IF('Product List'!B1648="","",'Product List'!B1648)</f>
        <v/>
      </c>
    </row>
    <row r="1649" spans="4:5">
      <c r="D1649" s="90" t="str">
        <f>IF('Product List'!C1649="","",'Product List'!C1649)</f>
        <v/>
      </c>
      <c r="E1649" s="90" t="str">
        <f>IF('Product List'!B1649="","",'Product List'!B1649)</f>
        <v/>
      </c>
    </row>
    <row r="1650" spans="4:5">
      <c r="D1650" s="90" t="str">
        <f>IF('Product List'!C1650="","",'Product List'!C1650)</f>
        <v/>
      </c>
      <c r="E1650" s="90" t="str">
        <f>IF('Product List'!B1650="","",'Product List'!B1650)</f>
        <v/>
      </c>
    </row>
    <row r="1651" spans="4:5">
      <c r="D1651" s="90" t="str">
        <f>IF('Product List'!C1651="","",'Product List'!C1651)</f>
        <v/>
      </c>
      <c r="E1651" s="90" t="str">
        <f>IF('Product List'!B1651="","",'Product List'!B1651)</f>
        <v/>
      </c>
    </row>
    <row r="1652" spans="4:5">
      <c r="D1652" s="90" t="str">
        <f>IF('Product List'!C1652="","",'Product List'!C1652)</f>
        <v/>
      </c>
      <c r="E1652" s="90" t="str">
        <f>IF('Product List'!B1652="","",'Product List'!B1652)</f>
        <v/>
      </c>
    </row>
    <row r="1653" spans="4:5">
      <c r="D1653" s="90" t="str">
        <f>IF('Product List'!C1653="","",'Product List'!C1653)</f>
        <v/>
      </c>
      <c r="E1653" s="90" t="str">
        <f>IF('Product List'!B1653="","",'Product List'!B1653)</f>
        <v/>
      </c>
    </row>
    <row r="1654" spans="4:5">
      <c r="D1654" s="90" t="str">
        <f>IF('Product List'!C1654="","",'Product List'!C1654)</f>
        <v/>
      </c>
      <c r="E1654" s="90" t="str">
        <f>IF('Product List'!B1654="","",'Product List'!B1654)</f>
        <v/>
      </c>
    </row>
    <row r="1655" spans="4:5">
      <c r="D1655" s="90" t="str">
        <f>IF('Product List'!C1655="","",'Product List'!C1655)</f>
        <v/>
      </c>
      <c r="E1655" s="90" t="str">
        <f>IF('Product List'!B1655="","",'Product List'!B1655)</f>
        <v/>
      </c>
    </row>
    <row r="1656" spans="4:5">
      <c r="D1656" s="90" t="str">
        <f>IF('Product List'!C1656="","",'Product List'!C1656)</f>
        <v/>
      </c>
      <c r="E1656" s="90" t="str">
        <f>IF('Product List'!B1656="","",'Product List'!B1656)</f>
        <v/>
      </c>
    </row>
    <row r="1657" spans="4:5">
      <c r="D1657" s="90" t="str">
        <f>IF('Product List'!C1657="","",'Product List'!C1657)</f>
        <v/>
      </c>
      <c r="E1657" s="90" t="str">
        <f>IF('Product List'!B1657="","",'Product List'!B1657)</f>
        <v/>
      </c>
    </row>
    <row r="1658" spans="4:5">
      <c r="D1658" s="90" t="str">
        <f>IF('Product List'!C1658="","",'Product List'!C1658)</f>
        <v/>
      </c>
      <c r="E1658" s="90" t="str">
        <f>IF('Product List'!B1658="","",'Product List'!B1658)</f>
        <v/>
      </c>
    </row>
    <row r="1659" spans="4:5">
      <c r="D1659" s="90" t="str">
        <f>IF('Product List'!C1659="","",'Product List'!C1659)</f>
        <v/>
      </c>
      <c r="E1659" s="90" t="str">
        <f>IF('Product List'!B1659="","",'Product List'!B1659)</f>
        <v/>
      </c>
    </row>
    <row r="1660" spans="4:5">
      <c r="D1660" s="90" t="str">
        <f>IF('Product List'!C1660="","",'Product List'!C1660)</f>
        <v/>
      </c>
      <c r="E1660" s="90" t="str">
        <f>IF('Product List'!B1660="","",'Product List'!B1660)</f>
        <v/>
      </c>
    </row>
    <row r="1661" spans="4:5">
      <c r="D1661" s="90" t="str">
        <f>IF('Product List'!C1661="","",'Product List'!C1661)</f>
        <v/>
      </c>
      <c r="E1661" s="90" t="str">
        <f>IF('Product List'!B1661="","",'Product List'!B1661)</f>
        <v/>
      </c>
    </row>
    <row r="1662" spans="4:5">
      <c r="D1662" s="90" t="str">
        <f>IF('Product List'!C1662="","",'Product List'!C1662)</f>
        <v/>
      </c>
      <c r="E1662" s="90" t="str">
        <f>IF('Product List'!B1662="","",'Product List'!B1662)</f>
        <v/>
      </c>
    </row>
    <row r="1663" spans="4:5">
      <c r="D1663" s="90" t="str">
        <f>IF('Product List'!C1663="","",'Product List'!C1663)</f>
        <v/>
      </c>
      <c r="E1663" s="90" t="str">
        <f>IF('Product List'!B1663="","",'Product List'!B1663)</f>
        <v/>
      </c>
    </row>
    <row r="1664" spans="4:5">
      <c r="D1664" s="90" t="str">
        <f>IF('Product List'!C1664="","",'Product List'!C1664)</f>
        <v/>
      </c>
      <c r="E1664" s="90" t="str">
        <f>IF('Product List'!B1664="","",'Product List'!B1664)</f>
        <v/>
      </c>
    </row>
    <row r="1665" spans="4:5">
      <c r="D1665" s="90" t="str">
        <f>IF('Product List'!C1665="","",'Product List'!C1665)</f>
        <v/>
      </c>
      <c r="E1665" s="90" t="str">
        <f>IF('Product List'!B1665="","",'Product List'!B1665)</f>
        <v/>
      </c>
    </row>
    <row r="1666" spans="4:5">
      <c r="D1666" s="90" t="str">
        <f>IF('Product List'!C1666="","",'Product List'!C1666)</f>
        <v/>
      </c>
      <c r="E1666" s="90" t="str">
        <f>IF('Product List'!B1666="","",'Product List'!B1666)</f>
        <v/>
      </c>
    </row>
    <row r="1667" spans="4:5">
      <c r="D1667" s="90" t="str">
        <f>IF('Product List'!C1667="","",'Product List'!C1667)</f>
        <v/>
      </c>
      <c r="E1667" s="90" t="str">
        <f>IF('Product List'!B1667="","",'Product List'!B1667)</f>
        <v/>
      </c>
    </row>
    <row r="1668" spans="4:5">
      <c r="D1668" s="90" t="str">
        <f>IF('Product List'!C1668="","",'Product List'!C1668)</f>
        <v/>
      </c>
      <c r="E1668" s="90" t="str">
        <f>IF('Product List'!B1668="","",'Product List'!B1668)</f>
        <v/>
      </c>
    </row>
    <row r="1669" spans="4:5">
      <c r="D1669" s="90" t="str">
        <f>IF('Product List'!C1669="","",'Product List'!C1669)</f>
        <v/>
      </c>
      <c r="E1669" s="90" t="str">
        <f>IF('Product List'!B1669="","",'Product List'!B1669)</f>
        <v/>
      </c>
    </row>
    <row r="1670" spans="4:5">
      <c r="D1670" s="90" t="str">
        <f>IF('Product List'!C1670="","",'Product List'!C1670)</f>
        <v/>
      </c>
      <c r="E1670" s="90" t="str">
        <f>IF('Product List'!B1670="","",'Product List'!B1670)</f>
        <v/>
      </c>
    </row>
    <row r="1671" spans="4:5">
      <c r="D1671" s="90" t="str">
        <f>IF('Product List'!C1671="","",'Product List'!C1671)</f>
        <v/>
      </c>
      <c r="E1671" s="90" t="str">
        <f>IF('Product List'!B1671="","",'Product List'!B1671)</f>
        <v/>
      </c>
    </row>
    <row r="1672" spans="4:5">
      <c r="D1672" s="90" t="str">
        <f>IF('Product List'!C1672="","",'Product List'!C1672)</f>
        <v/>
      </c>
      <c r="E1672" s="90" t="str">
        <f>IF('Product List'!B1672="","",'Product List'!B1672)</f>
        <v/>
      </c>
    </row>
    <row r="1673" spans="4:5">
      <c r="D1673" s="90" t="str">
        <f>IF('Product List'!C1673="","",'Product List'!C1673)</f>
        <v/>
      </c>
      <c r="E1673" s="90" t="str">
        <f>IF('Product List'!B1673="","",'Product List'!B1673)</f>
        <v/>
      </c>
    </row>
    <row r="1674" spans="4:5">
      <c r="D1674" s="90" t="str">
        <f>IF('Product List'!C1674="","",'Product List'!C1674)</f>
        <v/>
      </c>
      <c r="E1674" s="90" t="str">
        <f>IF('Product List'!B1674="","",'Product List'!B1674)</f>
        <v/>
      </c>
    </row>
    <row r="1675" spans="4:5">
      <c r="D1675" s="90" t="str">
        <f>IF('Product List'!C1675="","",'Product List'!C1675)</f>
        <v/>
      </c>
      <c r="E1675" s="90" t="str">
        <f>IF('Product List'!B1675="","",'Product List'!B1675)</f>
        <v/>
      </c>
    </row>
    <row r="1676" spans="4:5">
      <c r="D1676" s="90" t="str">
        <f>IF('Product List'!C1676="","",'Product List'!C1676)</f>
        <v/>
      </c>
      <c r="E1676" s="90" t="str">
        <f>IF('Product List'!B1676="","",'Product List'!B1676)</f>
        <v/>
      </c>
    </row>
    <row r="1677" spans="4:5">
      <c r="D1677" s="90" t="str">
        <f>IF('Product List'!C1677="","",'Product List'!C1677)</f>
        <v/>
      </c>
      <c r="E1677" s="90" t="str">
        <f>IF('Product List'!B1677="","",'Product List'!B1677)</f>
        <v/>
      </c>
    </row>
    <row r="1678" spans="4:5">
      <c r="D1678" s="90" t="str">
        <f>IF('Product List'!C1678="","",'Product List'!C1678)</f>
        <v/>
      </c>
      <c r="E1678" s="90" t="str">
        <f>IF('Product List'!B1678="","",'Product List'!B1678)</f>
        <v/>
      </c>
    </row>
    <row r="1679" spans="4:5">
      <c r="D1679" s="90" t="str">
        <f>IF('Product List'!C1679="","",'Product List'!C1679)</f>
        <v/>
      </c>
      <c r="E1679" s="90" t="str">
        <f>IF('Product List'!B1679="","",'Product List'!B1679)</f>
        <v/>
      </c>
    </row>
    <row r="1680" spans="4:5">
      <c r="D1680" s="90" t="str">
        <f>IF('Product List'!C1680="","",'Product List'!C1680)</f>
        <v/>
      </c>
      <c r="E1680" s="90" t="str">
        <f>IF('Product List'!B1680="","",'Product List'!B1680)</f>
        <v/>
      </c>
    </row>
    <row r="1681" spans="4:5">
      <c r="D1681" s="90" t="str">
        <f>IF('Product List'!C1681="","",'Product List'!C1681)</f>
        <v/>
      </c>
      <c r="E1681" s="90" t="str">
        <f>IF('Product List'!B1681="","",'Product List'!B1681)</f>
        <v/>
      </c>
    </row>
    <row r="1682" spans="4:5">
      <c r="D1682" s="90" t="str">
        <f>IF('Product List'!C1682="","",'Product List'!C1682)</f>
        <v/>
      </c>
      <c r="E1682" s="90" t="str">
        <f>IF('Product List'!B1682="","",'Product List'!B1682)</f>
        <v/>
      </c>
    </row>
    <row r="1683" spans="4:5">
      <c r="D1683" s="90" t="str">
        <f>IF('Product List'!C1683="","",'Product List'!C1683)</f>
        <v/>
      </c>
      <c r="E1683" s="90" t="str">
        <f>IF('Product List'!B1683="","",'Product List'!B1683)</f>
        <v/>
      </c>
    </row>
    <row r="1684" spans="4:5">
      <c r="D1684" s="90" t="str">
        <f>IF('Product List'!C1684="","",'Product List'!C1684)</f>
        <v/>
      </c>
      <c r="E1684" s="90" t="str">
        <f>IF('Product List'!B1684="","",'Product List'!B1684)</f>
        <v/>
      </c>
    </row>
    <row r="1685" spans="4:5">
      <c r="D1685" s="90" t="str">
        <f>IF('Product List'!C1685="","",'Product List'!C1685)</f>
        <v/>
      </c>
      <c r="E1685" s="90" t="str">
        <f>IF('Product List'!B1685="","",'Product List'!B1685)</f>
        <v/>
      </c>
    </row>
    <row r="1686" spans="4:5">
      <c r="D1686" s="90" t="str">
        <f>IF('Product List'!C1686="","",'Product List'!C1686)</f>
        <v/>
      </c>
      <c r="E1686" s="90" t="str">
        <f>IF('Product List'!B1686="","",'Product List'!B1686)</f>
        <v/>
      </c>
    </row>
    <row r="1687" spans="4:5">
      <c r="D1687" s="90" t="str">
        <f>IF('Product List'!C1687="","",'Product List'!C1687)</f>
        <v/>
      </c>
      <c r="E1687" s="90" t="str">
        <f>IF('Product List'!B1687="","",'Product List'!B1687)</f>
        <v/>
      </c>
    </row>
    <row r="1688" spans="4:5">
      <c r="D1688" s="90" t="str">
        <f>IF('Product List'!C1688="","",'Product List'!C1688)</f>
        <v/>
      </c>
      <c r="E1688" s="90" t="str">
        <f>IF('Product List'!B1688="","",'Product List'!B1688)</f>
        <v/>
      </c>
    </row>
    <row r="1689" spans="4:5">
      <c r="D1689" s="90" t="str">
        <f>IF('Product List'!C1689="","",'Product List'!C1689)</f>
        <v/>
      </c>
      <c r="E1689" s="90" t="str">
        <f>IF('Product List'!B1689="","",'Product List'!B1689)</f>
        <v/>
      </c>
    </row>
    <row r="1690" spans="4:5">
      <c r="D1690" s="90" t="str">
        <f>IF('Product List'!C1690="","",'Product List'!C1690)</f>
        <v/>
      </c>
      <c r="E1690" s="90" t="str">
        <f>IF('Product List'!B1690="","",'Product List'!B1690)</f>
        <v/>
      </c>
    </row>
    <row r="1691" spans="4:5">
      <c r="D1691" s="90" t="str">
        <f>IF('Product List'!C1691="","",'Product List'!C1691)</f>
        <v/>
      </c>
      <c r="E1691" s="90" t="str">
        <f>IF('Product List'!B1691="","",'Product List'!B1691)</f>
        <v/>
      </c>
    </row>
    <row r="1692" spans="4:5">
      <c r="D1692" s="90" t="str">
        <f>IF('Product List'!C1692="","",'Product List'!C1692)</f>
        <v/>
      </c>
      <c r="E1692" s="90" t="str">
        <f>IF('Product List'!B1692="","",'Product List'!B1692)</f>
        <v/>
      </c>
    </row>
    <row r="1693" spans="4:5">
      <c r="D1693" s="90" t="str">
        <f>IF('Product List'!C1693="","",'Product List'!C1693)</f>
        <v/>
      </c>
      <c r="E1693" s="90" t="str">
        <f>IF('Product List'!B1693="","",'Product List'!B1693)</f>
        <v/>
      </c>
    </row>
    <row r="1694" spans="4:5">
      <c r="D1694" s="90" t="str">
        <f>IF('Product List'!C1694="","",'Product List'!C1694)</f>
        <v/>
      </c>
      <c r="E1694" s="90" t="str">
        <f>IF('Product List'!B1694="","",'Product List'!B1694)</f>
        <v/>
      </c>
    </row>
    <row r="1695" spans="4:5">
      <c r="D1695" s="90" t="str">
        <f>IF('Product List'!C1695="","",'Product List'!C1695)</f>
        <v/>
      </c>
      <c r="E1695" s="90" t="str">
        <f>IF('Product List'!B1695="","",'Product List'!B1695)</f>
        <v/>
      </c>
    </row>
    <row r="1696" spans="4:5">
      <c r="D1696" s="90" t="str">
        <f>IF('Product List'!C1696="","",'Product List'!C1696)</f>
        <v/>
      </c>
      <c r="E1696" s="90" t="str">
        <f>IF('Product List'!B1696="","",'Product List'!B1696)</f>
        <v/>
      </c>
    </row>
    <row r="1697" spans="4:5">
      <c r="D1697" s="90" t="str">
        <f>IF('Product List'!C1697="","",'Product List'!C1697)</f>
        <v/>
      </c>
      <c r="E1697" s="90" t="str">
        <f>IF('Product List'!B1697="","",'Product List'!B1697)</f>
        <v/>
      </c>
    </row>
    <row r="1698" spans="4:5">
      <c r="D1698" s="90" t="str">
        <f>IF('Product List'!C1698="","",'Product List'!C1698)</f>
        <v/>
      </c>
      <c r="E1698" s="90" t="str">
        <f>IF('Product List'!B1698="","",'Product List'!B1698)</f>
        <v/>
      </c>
    </row>
    <row r="1699" spans="4:5">
      <c r="D1699" s="90" t="str">
        <f>IF('Product List'!C1699="","",'Product List'!C1699)</f>
        <v/>
      </c>
      <c r="E1699" s="90" t="str">
        <f>IF('Product List'!B1699="","",'Product List'!B1699)</f>
        <v/>
      </c>
    </row>
    <row r="1700" spans="4:5">
      <c r="D1700" s="90" t="str">
        <f>IF('Product List'!C1700="","",'Product List'!C1700)</f>
        <v/>
      </c>
      <c r="E1700" s="90" t="str">
        <f>IF('Product List'!B1700="","",'Product List'!B1700)</f>
        <v/>
      </c>
    </row>
    <row r="1701" spans="4:5">
      <c r="D1701" s="90" t="str">
        <f>IF('Product List'!C1701="","",'Product List'!C1701)</f>
        <v/>
      </c>
      <c r="E1701" s="90" t="str">
        <f>IF('Product List'!B1701="","",'Product List'!B1701)</f>
        <v/>
      </c>
    </row>
    <row r="1702" spans="4:5">
      <c r="D1702" s="90" t="str">
        <f>IF('Product List'!C1702="","",'Product List'!C1702)</f>
        <v/>
      </c>
      <c r="E1702" s="90" t="str">
        <f>IF('Product List'!B1702="","",'Product List'!B1702)</f>
        <v/>
      </c>
    </row>
    <row r="1703" spans="4:5">
      <c r="D1703" s="90" t="str">
        <f>IF('Product List'!C1703="","",'Product List'!C1703)</f>
        <v/>
      </c>
      <c r="E1703" s="90" t="str">
        <f>IF('Product List'!B1703="","",'Product List'!B1703)</f>
        <v/>
      </c>
    </row>
    <row r="1704" spans="4:5">
      <c r="D1704" s="90" t="str">
        <f>IF('Product List'!C1704="","",'Product List'!C1704)</f>
        <v/>
      </c>
      <c r="E1704" s="90" t="str">
        <f>IF('Product List'!B1704="","",'Product List'!B1704)</f>
        <v/>
      </c>
    </row>
    <row r="1705" spans="4:5">
      <c r="D1705" s="90" t="str">
        <f>IF('Product List'!C1705="","",'Product List'!C1705)</f>
        <v/>
      </c>
      <c r="E1705" s="90" t="str">
        <f>IF('Product List'!B1705="","",'Product List'!B1705)</f>
        <v/>
      </c>
    </row>
    <row r="1706" spans="4:5">
      <c r="D1706" s="90" t="str">
        <f>IF('Product List'!C1706="","",'Product List'!C1706)</f>
        <v/>
      </c>
      <c r="E1706" s="90" t="str">
        <f>IF('Product List'!B1706="","",'Product List'!B1706)</f>
        <v/>
      </c>
    </row>
    <row r="1707" spans="4:5">
      <c r="D1707" s="90" t="str">
        <f>IF('Product List'!C1707="","",'Product List'!C1707)</f>
        <v/>
      </c>
      <c r="E1707" s="90" t="str">
        <f>IF('Product List'!B1707="","",'Product List'!B1707)</f>
        <v/>
      </c>
    </row>
    <row r="1708" spans="4:5">
      <c r="D1708" s="90" t="str">
        <f>IF('Product List'!C1708="","",'Product List'!C1708)</f>
        <v/>
      </c>
      <c r="E1708" s="90" t="str">
        <f>IF('Product List'!B1708="","",'Product List'!B1708)</f>
        <v/>
      </c>
    </row>
    <row r="1709" spans="4:5">
      <c r="D1709" s="90" t="str">
        <f>IF('Product List'!C1709="","",'Product List'!C1709)</f>
        <v/>
      </c>
      <c r="E1709" s="90" t="str">
        <f>IF('Product List'!B1709="","",'Product List'!B1709)</f>
        <v/>
      </c>
    </row>
    <row r="1710" spans="4:5">
      <c r="D1710" s="90" t="str">
        <f>IF('Product List'!C1710="","",'Product List'!C1710)</f>
        <v/>
      </c>
      <c r="E1710" s="90" t="str">
        <f>IF('Product List'!B1710="","",'Product List'!B1710)</f>
        <v/>
      </c>
    </row>
    <row r="1711" spans="4:5">
      <c r="D1711" s="90" t="str">
        <f>IF('Product List'!C1711="","",'Product List'!C1711)</f>
        <v/>
      </c>
      <c r="E1711" s="90" t="str">
        <f>IF('Product List'!B1711="","",'Product List'!B1711)</f>
        <v/>
      </c>
    </row>
    <row r="1712" spans="4:5">
      <c r="D1712" s="90" t="str">
        <f>IF('Product List'!C1712="","",'Product List'!C1712)</f>
        <v/>
      </c>
      <c r="E1712" s="90" t="str">
        <f>IF('Product List'!B1712="","",'Product List'!B1712)</f>
        <v/>
      </c>
    </row>
    <row r="1713" spans="4:5">
      <c r="D1713" s="90" t="str">
        <f>IF('Product List'!C1713="","",'Product List'!C1713)</f>
        <v/>
      </c>
      <c r="E1713" s="90" t="str">
        <f>IF('Product List'!B1713="","",'Product List'!B1713)</f>
        <v/>
      </c>
    </row>
    <row r="1714" spans="4:5">
      <c r="D1714" s="90" t="str">
        <f>IF('Product List'!C1714="","",'Product List'!C1714)</f>
        <v/>
      </c>
      <c r="E1714" s="90" t="str">
        <f>IF('Product List'!B1714="","",'Product List'!B1714)</f>
        <v/>
      </c>
    </row>
    <row r="1715" spans="4:5">
      <c r="D1715" s="90" t="str">
        <f>IF('Product List'!C1715="","",'Product List'!C1715)</f>
        <v/>
      </c>
      <c r="E1715" s="90" t="str">
        <f>IF('Product List'!B1715="","",'Product List'!B1715)</f>
        <v/>
      </c>
    </row>
    <row r="1716" spans="4:5">
      <c r="D1716" s="90" t="str">
        <f>IF('Product List'!C1716="","",'Product List'!C1716)</f>
        <v/>
      </c>
      <c r="E1716" s="90" t="str">
        <f>IF('Product List'!B1716="","",'Product List'!B1716)</f>
        <v/>
      </c>
    </row>
    <row r="1717" spans="4:5">
      <c r="D1717" s="90" t="str">
        <f>IF('Product List'!C1717="","",'Product List'!C1717)</f>
        <v/>
      </c>
      <c r="E1717" s="90" t="str">
        <f>IF('Product List'!B1717="","",'Product List'!B1717)</f>
        <v/>
      </c>
    </row>
    <row r="1718" spans="4:5">
      <c r="D1718" s="90" t="str">
        <f>IF('Product List'!C1718="","",'Product List'!C1718)</f>
        <v/>
      </c>
      <c r="E1718" s="90" t="str">
        <f>IF('Product List'!B1718="","",'Product List'!B1718)</f>
        <v/>
      </c>
    </row>
    <row r="1719" spans="4:5">
      <c r="D1719" s="90" t="str">
        <f>IF('Product List'!C1719="","",'Product List'!C1719)</f>
        <v/>
      </c>
      <c r="E1719" s="90" t="str">
        <f>IF('Product List'!B1719="","",'Product List'!B1719)</f>
        <v/>
      </c>
    </row>
    <row r="1720" spans="4:5">
      <c r="D1720" s="90" t="str">
        <f>IF('Product List'!C1720="","",'Product List'!C1720)</f>
        <v/>
      </c>
      <c r="E1720" s="90" t="str">
        <f>IF('Product List'!B1720="","",'Product List'!B1720)</f>
        <v/>
      </c>
    </row>
    <row r="1721" spans="4:5">
      <c r="D1721" s="90" t="str">
        <f>IF('Product List'!C1721="","",'Product List'!C1721)</f>
        <v/>
      </c>
      <c r="E1721" s="90" t="str">
        <f>IF('Product List'!B1721="","",'Product List'!B1721)</f>
        <v/>
      </c>
    </row>
    <row r="1722" spans="4:5">
      <c r="D1722" s="90" t="str">
        <f>IF('Product List'!C1722="","",'Product List'!C1722)</f>
        <v/>
      </c>
      <c r="E1722" s="90" t="str">
        <f>IF('Product List'!B1722="","",'Product List'!B1722)</f>
        <v/>
      </c>
    </row>
    <row r="1723" spans="4:5">
      <c r="D1723" s="90" t="str">
        <f>IF('Product List'!C1723="","",'Product List'!C1723)</f>
        <v/>
      </c>
      <c r="E1723" s="90" t="str">
        <f>IF('Product List'!B1723="","",'Product List'!B1723)</f>
        <v/>
      </c>
    </row>
    <row r="1724" spans="4:5">
      <c r="D1724" s="90" t="str">
        <f>IF('Product List'!C1724="","",'Product List'!C1724)</f>
        <v/>
      </c>
      <c r="E1724" s="90" t="str">
        <f>IF('Product List'!B1724="","",'Product List'!B1724)</f>
        <v/>
      </c>
    </row>
    <row r="1725" spans="4:5">
      <c r="D1725" s="90" t="str">
        <f>IF('Product List'!C1725="","",'Product List'!C1725)</f>
        <v/>
      </c>
      <c r="E1725" s="90" t="str">
        <f>IF('Product List'!B1725="","",'Product List'!B1725)</f>
        <v/>
      </c>
    </row>
    <row r="1726" spans="4:5">
      <c r="D1726" s="90" t="str">
        <f>IF('Product List'!C1726="","",'Product List'!C1726)</f>
        <v/>
      </c>
      <c r="E1726" s="90" t="str">
        <f>IF('Product List'!B1726="","",'Product List'!B1726)</f>
        <v/>
      </c>
    </row>
    <row r="1727" spans="4:5">
      <c r="D1727" s="90" t="str">
        <f>IF('Product List'!C1727="","",'Product List'!C1727)</f>
        <v/>
      </c>
      <c r="E1727" s="90" t="str">
        <f>IF('Product List'!B1727="","",'Product List'!B1727)</f>
        <v/>
      </c>
    </row>
    <row r="1728" spans="4:5">
      <c r="D1728" s="90" t="str">
        <f>IF('Product List'!C1728="","",'Product List'!C1728)</f>
        <v/>
      </c>
      <c r="E1728" s="90" t="str">
        <f>IF('Product List'!B1728="","",'Product List'!B1728)</f>
        <v/>
      </c>
    </row>
    <row r="1729" spans="4:5">
      <c r="D1729" s="90" t="str">
        <f>IF('Product List'!C1729="","",'Product List'!C1729)</f>
        <v/>
      </c>
      <c r="E1729" s="90" t="str">
        <f>IF('Product List'!B1729="","",'Product List'!B1729)</f>
        <v/>
      </c>
    </row>
    <row r="1730" spans="4:5">
      <c r="D1730" s="90" t="str">
        <f>IF('Product List'!C1730="","",'Product List'!C1730)</f>
        <v/>
      </c>
      <c r="E1730" s="90" t="str">
        <f>IF('Product List'!B1730="","",'Product List'!B1730)</f>
        <v/>
      </c>
    </row>
    <row r="1731" spans="4:5">
      <c r="D1731" s="90" t="str">
        <f>IF('Product List'!C1731="","",'Product List'!C1731)</f>
        <v/>
      </c>
      <c r="E1731" s="90" t="str">
        <f>IF('Product List'!B1731="","",'Product List'!B1731)</f>
        <v/>
      </c>
    </row>
    <row r="1732" spans="4:5">
      <c r="D1732" s="90" t="str">
        <f>IF('Product List'!C1732="","",'Product List'!C1732)</f>
        <v/>
      </c>
      <c r="E1732" s="90" t="str">
        <f>IF('Product List'!B1732="","",'Product List'!B1732)</f>
        <v/>
      </c>
    </row>
    <row r="1733" spans="4:5">
      <c r="D1733" s="90" t="str">
        <f>IF('Product List'!C1733="","",'Product List'!C1733)</f>
        <v/>
      </c>
      <c r="E1733" s="90" t="str">
        <f>IF('Product List'!B1733="","",'Product List'!B1733)</f>
        <v/>
      </c>
    </row>
    <row r="1734" spans="4:5">
      <c r="D1734" s="90" t="str">
        <f>IF('Product List'!C1734="","",'Product List'!C1734)</f>
        <v/>
      </c>
      <c r="E1734" s="90" t="str">
        <f>IF('Product List'!B1734="","",'Product List'!B1734)</f>
        <v/>
      </c>
    </row>
    <row r="1735" spans="4:5">
      <c r="D1735" s="90" t="str">
        <f>IF('Product List'!C1735="","",'Product List'!C1735)</f>
        <v/>
      </c>
      <c r="E1735" s="90" t="str">
        <f>IF('Product List'!B1735="","",'Product List'!B1735)</f>
        <v/>
      </c>
    </row>
    <row r="1736" spans="4:5">
      <c r="D1736" s="90" t="str">
        <f>IF('Product List'!C1736="","",'Product List'!C1736)</f>
        <v/>
      </c>
      <c r="E1736" s="90" t="str">
        <f>IF('Product List'!B1736="","",'Product List'!B1736)</f>
        <v/>
      </c>
    </row>
    <row r="1737" spans="4:5">
      <c r="D1737" s="90" t="str">
        <f>IF('Product List'!C1737="","",'Product List'!C1737)</f>
        <v/>
      </c>
      <c r="E1737" s="90" t="str">
        <f>IF('Product List'!B1737="","",'Product List'!B1737)</f>
        <v/>
      </c>
    </row>
    <row r="1738" spans="4:5">
      <c r="D1738" s="90" t="str">
        <f>IF('Product List'!C1738="","",'Product List'!C1738)</f>
        <v/>
      </c>
      <c r="E1738" s="90" t="str">
        <f>IF('Product List'!B1738="","",'Product List'!B1738)</f>
        <v/>
      </c>
    </row>
    <row r="1739" spans="4:5">
      <c r="D1739" s="90" t="str">
        <f>IF('Product List'!C1739="","",'Product List'!C1739)</f>
        <v/>
      </c>
      <c r="E1739" s="90" t="str">
        <f>IF('Product List'!B1739="","",'Product List'!B1739)</f>
        <v/>
      </c>
    </row>
    <row r="1740" spans="4:5">
      <c r="D1740" s="90" t="str">
        <f>IF('Product List'!C1740="","",'Product List'!C1740)</f>
        <v/>
      </c>
      <c r="E1740" s="90" t="str">
        <f>IF('Product List'!B1740="","",'Product List'!B1740)</f>
        <v/>
      </c>
    </row>
    <row r="1741" spans="4:5">
      <c r="D1741" s="90" t="str">
        <f>IF('Product List'!C1741="","",'Product List'!C1741)</f>
        <v/>
      </c>
      <c r="E1741" s="90" t="str">
        <f>IF('Product List'!B1741="","",'Product List'!B1741)</f>
        <v/>
      </c>
    </row>
    <row r="1742" spans="4:5">
      <c r="D1742" s="90" t="str">
        <f>IF('Product List'!C1742="","",'Product List'!C1742)</f>
        <v/>
      </c>
      <c r="E1742" s="90" t="str">
        <f>IF('Product List'!B1742="","",'Product List'!B1742)</f>
        <v/>
      </c>
    </row>
    <row r="1743" spans="4:5">
      <c r="D1743" s="90" t="str">
        <f>IF('Product List'!C1743="","",'Product List'!C1743)</f>
        <v/>
      </c>
      <c r="E1743" s="90" t="str">
        <f>IF('Product List'!B1743="","",'Product List'!B1743)</f>
        <v/>
      </c>
    </row>
    <row r="1744" spans="4:5">
      <c r="D1744" s="90" t="str">
        <f>IF('Product List'!C1744="","",'Product List'!C1744)</f>
        <v/>
      </c>
      <c r="E1744" s="90" t="str">
        <f>IF('Product List'!B1744="","",'Product List'!B1744)</f>
        <v/>
      </c>
    </row>
    <row r="1745" spans="4:5">
      <c r="D1745" s="90" t="str">
        <f>IF('Product List'!C1745="","",'Product List'!C1745)</f>
        <v/>
      </c>
      <c r="E1745" s="90" t="str">
        <f>IF('Product List'!B1745="","",'Product List'!B1745)</f>
        <v/>
      </c>
    </row>
    <row r="1746" spans="4:5">
      <c r="D1746" s="90" t="str">
        <f>IF('Product List'!C1746="","",'Product List'!C1746)</f>
        <v/>
      </c>
      <c r="E1746" s="90" t="str">
        <f>IF('Product List'!B1746="","",'Product List'!B1746)</f>
        <v/>
      </c>
    </row>
    <row r="1747" spans="4:5">
      <c r="D1747" s="90" t="str">
        <f>IF('Product List'!C1747="","",'Product List'!C1747)</f>
        <v/>
      </c>
      <c r="E1747" s="90" t="str">
        <f>IF('Product List'!B1747="","",'Product List'!B1747)</f>
        <v/>
      </c>
    </row>
    <row r="1748" spans="4:5">
      <c r="D1748" s="90" t="str">
        <f>IF('Product List'!C1748="","",'Product List'!C1748)</f>
        <v/>
      </c>
      <c r="E1748" s="90" t="str">
        <f>IF('Product List'!B1748="","",'Product List'!B1748)</f>
        <v/>
      </c>
    </row>
    <row r="1749" spans="4:5">
      <c r="D1749" s="90" t="str">
        <f>IF('Product List'!C1749="","",'Product List'!C1749)</f>
        <v/>
      </c>
      <c r="E1749" s="90" t="str">
        <f>IF('Product List'!B1749="","",'Product List'!B1749)</f>
        <v/>
      </c>
    </row>
    <row r="1750" spans="4:5">
      <c r="D1750" s="90" t="str">
        <f>IF('Product List'!C1750="","",'Product List'!C1750)</f>
        <v/>
      </c>
      <c r="E1750" s="90" t="str">
        <f>IF('Product List'!B1750="","",'Product List'!B1750)</f>
        <v/>
      </c>
    </row>
    <row r="1751" spans="4:5">
      <c r="D1751" s="90" t="str">
        <f>IF('Product List'!C1751="","",'Product List'!C1751)</f>
        <v/>
      </c>
      <c r="E1751" s="90" t="str">
        <f>IF('Product List'!B1751="","",'Product List'!B1751)</f>
        <v/>
      </c>
    </row>
    <row r="1752" spans="4:5">
      <c r="D1752" s="90" t="str">
        <f>IF('Product List'!C1752="","",'Product List'!C1752)</f>
        <v/>
      </c>
      <c r="E1752" s="90" t="str">
        <f>IF('Product List'!B1752="","",'Product List'!B1752)</f>
        <v/>
      </c>
    </row>
    <row r="1753" spans="4:5">
      <c r="D1753" s="90" t="str">
        <f>IF('Product List'!C1753="","",'Product List'!C1753)</f>
        <v/>
      </c>
      <c r="E1753" s="90" t="str">
        <f>IF('Product List'!B1753="","",'Product List'!B1753)</f>
        <v/>
      </c>
    </row>
    <row r="1754" spans="4:5">
      <c r="D1754" s="90" t="str">
        <f>IF('Product List'!C1754="","",'Product List'!C1754)</f>
        <v/>
      </c>
      <c r="E1754" s="90" t="str">
        <f>IF('Product List'!B1754="","",'Product List'!B1754)</f>
        <v/>
      </c>
    </row>
    <row r="1755" spans="4:5">
      <c r="D1755" s="90" t="str">
        <f>IF('Product List'!C1755="","",'Product List'!C1755)</f>
        <v/>
      </c>
      <c r="E1755" s="90" t="str">
        <f>IF('Product List'!B1755="","",'Product List'!B1755)</f>
        <v/>
      </c>
    </row>
    <row r="1756" spans="4:5">
      <c r="D1756" s="90" t="str">
        <f>IF('Product List'!C1756="","",'Product List'!C1756)</f>
        <v/>
      </c>
      <c r="E1756" s="90" t="str">
        <f>IF('Product List'!B1756="","",'Product List'!B1756)</f>
        <v/>
      </c>
    </row>
    <row r="1757" spans="4:5">
      <c r="D1757" s="90" t="str">
        <f>IF('Product List'!C1757="","",'Product List'!C1757)</f>
        <v/>
      </c>
      <c r="E1757" s="90" t="str">
        <f>IF('Product List'!B1757="","",'Product List'!B1757)</f>
        <v/>
      </c>
    </row>
    <row r="1758" spans="4:5">
      <c r="D1758" s="90" t="str">
        <f>IF('Product List'!C1758="","",'Product List'!C1758)</f>
        <v/>
      </c>
      <c r="E1758" s="90" t="str">
        <f>IF('Product List'!B1758="","",'Product List'!B1758)</f>
        <v/>
      </c>
    </row>
    <row r="1759" spans="4:5">
      <c r="D1759" s="90" t="str">
        <f>IF('Product List'!C1759="","",'Product List'!C1759)</f>
        <v/>
      </c>
      <c r="E1759" s="90" t="str">
        <f>IF('Product List'!B1759="","",'Product List'!B1759)</f>
        <v/>
      </c>
    </row>
    <row r="1760" spans="4:5">
      <c r="D1760" s="90" t="str">
        <f>IF('Product List'!C1760="","",'Product List'!C1760)</f>
        <v/>
      </c>
      <c r="E1760" s="90" t="str">
        <f>IF('Product List'!B1760="","",'Product List'!B1760)</f>
        <v/>
      </c>
    </row>
    <row r="1761" spans="4:5">
      <c r="D1761" s="90" t="str">
        <f>IF('Product List'!C1761="","",'Product List'!C1761)</f>
        <v/>
      </c>
      <c r="E1761" s="90" t="str">
        <f>IF('Product List'!B1761="","",'Product List'!B1761)</f>
        <v/>
      </c>
    </row>
    <row r="1762" spans="4:5">
      <c r="D1762" s="90" t="str">
        <f>IF('Product List'!C1762="","",'Product List'!C1762)</f>
        <v/>
      </c>
      <c r="E1762" s="90" t="str">
        <f>IF('Product List'!B1762="","",'Product List'!B1762)</f>
        <v/>
      </c>
    </row>
    <row r="1763" spans="4:5">
      <c r="D1763" s="90" t="str">
        <f>IF('Product List'!C1763="","",'Product List'!C1763)</f>
        <v/>
      </c>
      <c r="E1763" s="90" t="str">
        <f>IF('Product List'!B1763="","",'Product List'!B1763)</f>
        <v/>
      </c>
    </row>
    <row r="1764" spans="4:5">
      <c r="D1764" s="90" t="str">
        <f>IF('Product List'!C1764="","",'Product List'!C1764)</f>
        <v/>
      </c>
      <c r="E1764" s="90" t="str">
        <f>IF('Product List'!B1764="","",'Product List'!B1764)</f>
        <v/>
      </c>
    </row>
    <row r="1765" spans="4:5">
      <c r="D1765" s="90" t="str">
        <f>IF('Product List'!C1765="","",'Product List'!C1765)</f>
        <v/>
      </c>
      <c r="E1765" s="90" t="str">
        <f>IF('Product List'!B1765="","",'Product List'!B1765)</f>
        <v/>
      </c>
    </row>
    <row r="1766" spans="4:5">
      <c r="D1766" s="90" t="str">
        <f>IF('Product List'!C1766="","",'Product List'!C1766)</f>
        <v/>
      </c>
      <c r="E1766" s="90" t="str">
        <f>IF('Product List'!B1766="","",'Product List'!B1766)</f>
        <v/>
      </c>
    </row>
    <row r="1767" spans="4:5">
      <c r="D1767" s="90" t="str">
        <f>IF('Product List'!C1767="","",'Product List'!C1767)</f>
        <v/>
      </c>
      <c r="E1767" s="90" t="str">
        <f>IF('Product List'!B1767="","",'Product List'!B1767)</f>
        <v/>
      </c>
    </row>
    <row r="1768" spans="4:5">
      <c r="D1768" s="90" t="str">
        <f>IF('Product List'!C1768="","",'Product List'!C1768)</f>
        <v/>
      </c>
      <c r="E1768" s="90" t="str">
        <f>IF('Product List'!B1768="","",'Product List'!B1768)</f>
        <v/>
      </c>
    </row>
    <row r="1769" spans="4:5">
      <c r="D1769" s="90" t="str">
        <f>IF('Product List'!C1769="","",'Product List'!C1769)</f>
        <v/>
      </c>
      <c r="E1769" s="90" t="str">
        <f>IF('Product List'!B1769="","",'Product List'!B1769)</f>
        <v/>
      </c>
    </row>
    <row r="1770" spans="4:5">
      <c r="D1770" s="90" t="str">
        <f>IF('Product List'!C1770="","",'Product List'!C1770)</f>
        <v/>
      </c>
      <c r="E1770" s="90" t="str">
        <f>IF('Product List'!B1770="","",'Product List'!B1770)</f>
        <v/>
      </c>
    </row>
    <row r="1771" spans="4:5">
      <c r="D1771" s="90" t="str">
        <f>IF('Product List'!C1771="","",'Product List'!C1771)</f>
        <v/>
      </c>
      <c r="E1771" s="90" t="str">
        <f>IF('Product List'!B1771="","",'Product List'!B1771)</f>
        <v/>
      </c>
    </row>
    <row r="1772" spans="4:5">
      <c r="D1772" s="90" t="str">
        <f>IF('Product List'!C1772="","",'Product List'!C1772)</f>
        <v/>
      </c>
      <c r="E1772" s="90" t="str">
        <f>IF('Product List'!B1772="","",'Product List'!B1772)</f>
        <v/>
      </c>
    </row>
    <row r="1773" spans="4:5">
      <c r="D1773" s="90" t="str">
        <f>IF('Product List'!C1773="","",'Product List'!C1773)</f>
        <v/>
      </c>
      <c r="E1773" s="90" t="str">
        <f>IF('Product List'!B1773="","",'Product List'!B1773)</f>
        <v/>
      </c>
    </row>
    <row r="1774" spans="4:5">
      <c r="D1774" s="90" t="str">
        <f>IF('Product List'!C1774="","",'Product List'!C1774)</f>
        <v/>
      </c>
      <c r="E1774" s="90" t="str">
        <f>IF('Product List'!B1774="","",'Product List'!B1774)</f>
        <v/>
      </c>
    </row>
    <row r="1775" spans="4:5">
      <c r="D1775" s="90" t="str">
        <f>IF('Product List'!C1775="","",'Product List'!C1775)</f>
        <v/>
      </c>
      <c r="E1775" s="90" t="str">
        <f>IF('Product List'!B1775="","",'Product List'!B1775)</f>
        <v/>
      </c>
    </row>
    <row r="1776" spans="4:5">
      <c r="D1776" s="90" t="str">
        <f>IF('Product List'!C1776="","",'Product List'!C1776)</f>
        <v/>
      </c>
      <c r="E1776" s="90" t="str">
        <f>IF('Product List'!B1776="","",'Product List'!B1776)</f>
        <v/>
      </c>
    </row>
    <row r="1777" spans="4:5">
      <c r="D1777" s="90" t="str">
        <f>IF('Product List'!C1777="","",'Product List'!C1777)</f>
        <v/>
      </c>
      <c r="E1777" s="90" t="str">
        <f>IF('Product List'!B1777="","",'Product List'!B1777)</f>
        <v/>
      </c>
    </row>
    <row r="1778" spans="4:5">
      <c r="D1778" s="90" t="str">
        <f>IF('Product List'!C1778="","",'Product List'!C1778)</f>
        <v/>
      </c>
      <c r="E1778" s="90" t="str">
        <f>IF('Product List'!B1778="","",'Product List'!B1778)</f>
        <v/>
      </c>
    </row>
    <row r="1779" spans="4:5">
      <c r="D1779" s="90" t="str">
        <f>IF('Product List'!C1779="","",'Product List'!C1779)</f>
        <v/>
      </c>
      <c r="E1779" s="90" t="str">
        <f>IF('Product List'!B1779="","",'Product List'!B1779)</f>
        <v/>
      </c>
    </row>
    <row r="1780" spans="4:5">
      <c r="D1780" s="90" t="str">
        <f>IF('Product List'!C1780="","",'Product List'!C1780)</f>
        <v/>
      </c>
      <c r="E1780" s="90" t="str">
        <f>IF('Product List'!B1780="","",'Product List'!B1780)</f>
        <v/>
      </c>
    </row>
    <row r="1781" spans="4:5">
      <c r="D1781" s="90" t="str">
        <f>IF('Product List'!C1781="","",'Product List'!C1781)</f>
        <v/>
      </c>
      <c r="E1781" s="90" t="str">
        <f>IF('Product List'!B1781="","",'Product List'!B1781)</f>
        <v/>
      </c>
    </row>
    <row r="1782" spans="4:5">
      <c r="D1782" s="90" t="str">
        <f>IF('Product List'!C1782="","",'Product List'!C1782)</f>
        <v/>
      </c>
      <c r="E1782" s="90" t="str">
        <f>IF('Product List'!B1782="","",'Product List'!B1782)</f>
        <v/>
      </c>
    </row>
    <row r="1783" spans="4:5">
      <c r="D1783" s="90" t="str">
        <f>IF('Product List'!C1783="","",'Product List'!C1783)</f>
        <v/>
      </c>
      <c r="E1783" s="90" t="str">
        <f>IF('Product List'!B1783="","",'Product List'!B1783)</f>
        <v/>
      </c>
    </row>
    <row r="1784" spans="4:5">
      <c r="D1784" s="90" t="str">
        <f>IF('Product List'!C1784="","",'Product List'!C1784)</f>
        <v/>
      </c>
      <c r="E1784" s="90" t="str">
        <f>IF('Product List'!B1784="","",'Product List'!B1784)</f>
        <v/>
      </c>
    </row>
    <row r="1785" spans="4:5">
      <c r="D1785" s="90" t="str">
        <f>IF('Product List'!C1785="","",'Product List'!C1785)</f>
        <v/>
      </c>
      <c r="E1785" s="90" t="str">
        <f>IF('Product List'!B1785="","",'Product List'!B1785)</f>
        <v/>
      </c>
    </row>
    <row r="1786" spans="4:5">
      <c r="D1786" s="90" t="str">
        <f>IF('Product List'!C1786="","",'Product List'!C1786)</f>
        <v/>
      </c>
      <c r="E1786" s="90" t="str">
        <f>IF('Product List'!B1786="","",'Product List'!B1786)</f>
        <v/>
      </c>
    </row>
    <row r="1787" spans="4:5">
      <c r="D1787" s="90" t="str">
        <f>IF('Product List'!C1787="","",'Product List'!C1787)</f>
        <v/>
      </c>
      <c r="E1787" s="90" t="str">
        <f>IF('Product List'!B1787="","",'Product List'!B1787)</f>
        <v/>
      </c>
    </row>
    <row r="1788" spans="4:5">
      <c r="D1788" s="90" t="str">
        <f>IF('Product List'!C1788="","",'Product List'!C1788)</f>
        <v/>
      </c>
      <c r="E1788" s="90" t="str">
        <f>IF('Product List'!B1788="","",'Product List'!B1788)</f>
        <v/>
      </c>
    </row>
    <row r="1789" spans="4:5">
      <c r="D1789" s="90" t="str">
        <f>IF('Product List'!C1789="","",'Product List'!C1789)</f>
        <v/>
      </c>
      <c r="E1789" s="90" t="str">
        <f>IF('Product List'!B1789="","",'Product List'!B1789)</f>
        <v/>
      </c>
    </row>
    <row r="1790" spans="4:5">
      <c r="D1790" s="90" t="str">
        <f>IF('Product List'!C1790="","",'Product List'!C1790)</f>
        <v/>
      </c>
      <c r="E1790" s="90" t="str">
        <f>IF('Product List'!B1790="","",'Product List'!B1790)</f>
        <v/>
      </c>
    </row>
    <row r="1791" spans="4:5">
      <c r="D1791" s="90" t="str">
        <f>IF('Product List'!C1791="","",'Product List'!C1791)</f>
        <v/>
      </c>
      <c r="E1791" s="90" t="str">
        <f>IF('Product List'!B1791="","",'Product List'!B1791)</f>
        <v/>
      </c>
    </row>
    <row r="1792" spans="4:5">
      <c r="D1792" s="90" t="str">
        <f>IF('Product List'!C1792="","",'Product List'!C1792)</f>
        <v/>
      </c>
      <c r="E1792" s="90" t="str">
        <f>IF('Product List'!B1792="","",'Product List'!B1792)</f>
        <v/>
      </c>
    </row>
    <row r="1793" spans="4:5">
      <c r="D1793" s="90" t="str">
        <f>IF('Product List'!C1793="","",'Product List'!C1793)</f>
        <v/>
      </c>
      <c r="E1793" s="90" t="str">
        <f>IF('Product List'!B1793="","",'Product List'!B1793)</f>
        <v/>
      </c>
    </row>
    <row r="1794" spans="4:5">
      <c r="D1794" s="90" t="str">
        <f>IF('Product List'!C1794="","",'Product List'!C1794)</f>
        <v/>
      </c>
      <c r="E1794" s="90" t="str">
        <f>IF('Product List'!B1794="","",'Product List'!B1794)</f>
        <v/>
      </c>
    </row>
    <row r="1795" spans="4:5">
      <c r="D1795" s="90" t="str">
        <f>IF('Product List'!C1795="","",'Product List'!C1795)</f>
        <v/>
      </c>
      <c r="E1795" s="90" t="str">
        <f>IF('Product List'!B1795="","",'Product List'!B1795)</f>
        <v/>
      </c>
    </row>
    <row r="1796" spans="4:5">
      <c r="D1796" s="90" t="str">
        <f>IF('Product List'!C1796="","",'Product List'!C1796)</f>
        <v/>
      </c>
      <c r="E1796" s="90" t="str">
        <f>IF('Product List'!B1796="","",'Product List'!B1796)</f>
        <v/>
      </c>
    </row>
    <row r="1797" spans="4:5">
      <c r="D1797" s="90" t="str">
        <f>IF('Product List'!C1797="","",'Product List'!C1797)</f>
        <v/>
      </c>
      <c r="E1797" s="90" t="str">
        <f>IF('Product List'!B1797="","",'Product List'!B1797)</f>
        <v/>
      </c>
    </row>
    <row r="1798" spans="4:5">
      <c r="D1798" s="90" t="str">
        <f>IF('Product List'!C1798="","",'Product List'!C1798)</f>
        <v/>
      </c>
      <c r="E1798" s="90" t="str">
        <f>IF('Product List'!B1798="","",'Product List'!B1798)</f>
        <v/>
      </c>
    </row>
    <row r="1799" spans="4:5">
      <c r="D1799" s="90" t="str">
        <f>IF('Product List'!C1799="","",'Product List'!C1799)</f>
        <v/>
      </c>
      <c r="E1799" s="90" t="str">
        <f>IF('Product List'!B1799="","",'Product List'!B1799)</f>
        <v/>
      </c>
    </row>
    <row r="1800" spans="4:5">
      <c r="D1800" s="90" t="str">
        <f>IF('Product List'!C1800="","",'Product List'!C1800)</f>
        <v/>
      </c>
      <c r="E1800" s="90" t="str">
        <f>IF('Product List'!B1800="","",'Product List'!B1800)</f>
        <v/>
      </c>
    </row>
    <row r="1801" spans="4:5">
      <c r="D1801" s="90" t="str">
        <f>IF('Product List'!C1801="","",'Product List'!C1801)</f>
        <v/>
      </c>
      <c r="E1801" s="90" t="str">
        <f>IF('Product List'!B1801="","",'Product List'!B1801)</f>
        <v/>
      </c>
    </row>
    <row r="1802" spans="4:5">
      <c r="D1802" s="90" t="str">
        <f>IF('Product List'!C1802="","",'Product List'!C1802)</f>
        <v/>
      </c>
      <c r="E1802" s="90" t="str">
        <f>IF('Product List'!B1802="","",'Product List'!B1802)</f>
        <v/>
      </c>
    </row>
    <row r="1803" spans="4:5">
      <c r="D1803" s="90" t="str">
        <f>IF('Product List'!C1803="","",'Product List'!C1803)</f>
        <v/>
      </c>
      <c r="E1803" s="90" t="str">
        <f>IF('Product List'!B1803="","",'Product List'!B1803)</f>
        <v/>
      </c>
    </row>
    <row r="1804" spans="4:5">
      <c r="D1804" s="90" t="str">
        <f>IF('Product List'!C1804="","",'Product List'!C1804)</f>
        <v/>
      </c>
      <c r="E1804" s="90" t="str">
        <f>IF('Product List'!B1804="","",'Product List'!B1804)</f>
        <v/>
      </c>
    </row>
    <row r="1805" spans="4:5">
      <c r="D1805" s="90" t="str">
        <f>IF('Product List'!C1805="","",'Product List'!C1805)</f>
        <v/>
      </c>
      <c r="E1805" s="90" t="str">
        <f>IF('Product List'!B1805="","",'Product List'!B1805)</f>
        <v/>
      </c>
    </row>
    <row r="1806" spans="4:5">
      <c r="D1806" s="90" t="str">
        <f>IF('Product List'!C1806="","",'Product List'!C1806)</f>
        <v/>
      </c>
      <c r="E1806" s="90" t="str">
        <f>IF('Product List'!B1806="","",'Product List'!B1806)</f>
        <v/>
      </c>
    </row>
    <row r="1807" spans="4:5">
      <c r="D1807" s="90" t="str">
        <f>IF('Product List'!C1807="","",'Product List'!C1807)</f>
        <v/>
      </c>
      <c r="E1807" s="90" t="str">
        <f>IF('Product List'!B1807="","",'Product List'!B1807)</f>
        <v/>
      </c>
    </row>
    <row r="1808" spans="4:5">
      <c r="D1808" s="90" t="str">
        <f>IF('Product List'!C1808="","",'Product List'!C1808)</f>
        <v/>
      </c>
      <c r="E1808" s="90" t="str">
        <f>IF('Product List'!B1808="","",'Product List'!B1808)</f>
        <v/>
      </c>
    </row>
    <row r="1809" spans="4:5">
      <c r="D1809" s="90" t="str">
        <f>IF('Product List'!C1809="","",'Product List'!C1809)</f>
        <v/>
      </c>
      <c r="E1809" s="90" t="str">
        <f>IF('Product List'!B1809="","",'Product List'!B1809)</f>
        <v/>
      </c>
    </row>
    <row r="1810" spans="4:5">
      <c r="D1810" s="90" t="str">
        <f>IF('Product List'!C1810="","",'Product List'!C1810)</f>
        <v/>
      </c>
      <c r="E1810" s="90" t="str">
        <f>IF('Product List'!B1810="","",'Product List'!B1810)</f>
        <v/>
      </c>
    </row>
    <row r="1811" spans="4:5">
      <c r="D1811" s="90" t="str">
        <f>IF('Product List'!C1811="","",'Product List'!C1811)</f>
        <v/>
      </c>
      <c r="E1811" s="90" t="str">
        <f>IF('Product List'!B1811="","",'Product List'!B1811)</f>
        <v/>
      </c>
    </row>
    <row r="1812" spans="4:5">
      <c r="D1812" s="90" t="str">
        <f>IF('Product List'!C1812="","",'Product List'!C1812)</f>
        <v/>
      </c>
      <c r="E1812" s="90" t="str">
        <f>IF('Product List'!B1812="","",'Product List'!B1812)</f>
        <v/>
      </c>
    </row>
    <row r="1813" spans="4:5">
      <c r="D1813" s="90" t="str">
        <f>IF('Product List'!C1813="","",'Product List'!C1813)</f>
        <v/>
      </c>
      <c r="E1813" s="90" t="str">
        <f>IF('Product List'!B1813="","",'Product List'!B1813)</f>
        <v/>
      </c>
    </row>
    <row r="1814" spans="4:5">
      <c r="D1814" s="90" t="str">
        <f>IF('Product List'!C1814="","",'Product List'!C1814)</f>
        <v/>
      </c>
      <c r="E1814" s="90" t="str">
        <f>IF('Product List'!B1814="","",'Product List'!B1814)</f>
        <v/>
      </c>
    </row>
    <row r="1815" spans="4:5">
      <c r="D1815" s="90" t="str">
        <f>IF('Product List'!C1815="","",'Product List'!C1815)</f>
        <v/>
      </c>
      <c r="E1815" s="90" t="str">
        <f>IF('Product List'!B1815="","",'Product List'!B1815)</f>
        <v/>
      </c>
    </row>
    <row r="1816" spans="4:5">
      <c r="D1816" s="90" t="str">
        <f>IF('Product List'!C1816="","",'Product List'!C1816)</f>
        <v/>
      </c>
      <c r="E1816" s="90" t="str">
        <f>IF('Product List'!B1816="","",'Product List'!B1816)</f>
        <v/>
      </c>
    </row>
    <row r="1817" spans="4:5">
      <c r="D1817" s="90" t="str">
        <f>IF('Product List'!C1817="","",'Product List'!C1817)</f>
        <v/>
      </c>
      <c r="E1817" s="90" t="str">
        <f>IF('Product List'!B1817="","",'Product List'!B1817)</f>
        <v/>
      </c>
    </row>
    <row r="1818" spans="4:5">
      <c r="D1818" s="90" t="str">
        <f>IF('Product List'!C1818="","",'Product List'!C1818)</f>
        <v/>
      </c>
      <c r="E1818" s="90" t="str">
        <f>IF('Product List'!B1818="","",'Product List'!B1818)</f>
        <v/>
      </c>
    </row>
    <row r="1819" spans="4:5">
      <c r="D1819" s="90" t="str">
        <f>IF('Product List'!C1819="","",'Product List'!C1819)</f>
        <v/>
      </c>
      <c r="E1819" s="90" t="str">
        <f>IF('Product List'!B1819="","",'Product List'!B1819)</f>
        <v/>
      </c>
    </row>
    <row r="1820" spans="4:5">
      <c r="D1820" s="90" t="str">
        <f>IF('Product List'!C1820="","",'Product List'!C1820)</f>
        <v/>
      </c>
      <c r="E1820" s="90" t="str">
        <f>IF('Product List'!B1820="","",'Product List'!B1820)</f>
        <v/>
      </c>
    </row>
    <row r="1821" spans="4:5">
      <c r="D1821" s="90" t="str">
        <f>IF('Product List'!C1821="","",'Product List'!C1821)</f>
        <v/>
      </c>
      <c r="E1821" s="90" t="str">
        <f>IF('Product List'!B1821="","",'Product List'!B1821)</f>
        <v/>
      </c>
    </row>
    <row r="1822" spans="4:5">
      <c r="D1822" s="90" t="str">
        <f>IF('Product List'!C1822="","",'Product List'!C1822)</f>
        <v/>
      </c>
      <c r="E1822" s="90" t="str">
        <f>IF('Product List'!B1822="","",'Product List'!B1822)</f>
        <v/>
      </c>
    </row>
    <row r="1823" spans="4:5">
      <c r="D1823" s="90" t="str">
        <f>IF('Product List'!C1823="","",'Product List'!C1823)</f>
        <v/>
      </c>
      <c r="E1823" s="90" t="str">
        <f>IF('Product List'!B1823="","",'Product List'!B1823)</f>
        <v/>
      </c>
    </row>
    <row r="1824" spans="4:5">
      <c r="D1824" s="90" t="str">
        <f>IF('Product List'!C1824="","",'Product List'!C1824)</f>
        <v/>
      </c>
      <c r="E1824" s="90" t="str">
        <f>IF('Product List'!B1824="","",'Product List'!B1824)</f>
        <v/>
      </c>
    </row>
    <row r="1825" spans="4:5">
      <c r="D1825" s="90" t="str">
        <f>IF('Product List'!C1825="","",'Product List'!C1825)</f>
        <v/>
      </c>
      <c r="E1825" s="90" t="str">
        <f>IF('Product List'!B1825="","",'Product List'!B1825)</f>
        <v/>
      </c>
    </row>
    <row r="1826" spans="4:5">
      <c r="D1826" s="90" t="str">
        <f>IF('Product List'!C1826="","",'Product List'!C1826)</f>
        <v/>
      </c>
      <c r="E1826" s="90" t="str">
        <f>IF('Product List'!B1826="","",'Product List'!B1826)</f>
        <v/>
      </c>
    </row>
    <row r="1827" spans="4:5">
      <c r="D1827" s="90" t="str">
        <f>IF('Product List'!C1827="","",'Product List'!C1827)</f>
        <v/>
      </c>
      <c r="E1827" s="90" t="str">
        <f>IF('Product List'!B1827="","",'Product List'!B1827)</f>
        <v/>
      </c>
    </row>
    <row r="1828" spans="4:5">
      <c r="D1828" s="90" t="str">
        <f>IF('Product List'!C1828="","",'Product List'!C1828)</f>
        <v/>
      </c>
      <c r="E1828" s="90" t="str">
        <f>IF('Product List'!B1828="","",'Product List'!B1828)</f>
        <v/>
      </c>
    </row>
    <row r="1829" spans="4:5">
      <c r="D1829" s="90" t="str">
        <f>IF('Product List'!C1829="","",'Product List'!C1829)</f>
        <v/>
      </c>
      <c r="E1829" s="90" t="str">
        <f>IF('Product List'!B1829="","",'Product List'!B1829)</f>
        <v/>
      </c>
    </row>
    <row r="1830" spans="4:5">
      <c r="D1830" s="90" t="str">
        <f>IF('Product List'!C1830="","",'Product List'!C1830)</f>
        <v/>
      </c>
      <c r="E1830" s="90" t="str">
        <f>IF('Product List'!B1830="","",'Product List'!B1830)</f>
        <v/>
      </c>
    </row>
    <row r="1831" spans="4:5">
      <c r="D1831" s="90" t="str">
        <f>IF('Product List'!C1831="","",'Product List'!C1831)</f>
        <v/>
      </c>
      <c r="E1831" s="90" t="str">
        <f>IF('Product List'!B1831="","",'Product List'!B1831)</f>
        <v/>
      </c>
    </row>
    <row r="1832" spans="4:5">
      <c r="D1832" s="90" t="str">
        <f>IF('Product List'!C1832="","",'Product List'!C1832)</f>
        <v/>
      </c>
      <c r="E1832" s="90" t="str">
        <f>IF('Product List'!B1832="","",'Product List'!B1832)</f>
        <v/>
      </c>
    </row>
    <row r="1833" spans="4:5">
      <c r="D1833" s="90" t="str">
        <f>IF('Product List'!C1833="","",'Product List'!C1833)</f>
        <v/>
      </c>
      <c r="E1833" s="90" t="str">
        <f>IF('Product List'!B1833="","",'Product List'!B1833)</f>
        <v/>
      </c>
    </row>
    <row r="1834" spans="4:5">
      <c r="D1834" s="90" t="str">
        <f>IF('Product List'!C1834="","",'Product List'!C1834)</f>
        <v/>
      </c>
      <c r="E1834" s="90" t="str">
        <f>IF('Product List'!B1834="","",'Product List'!B1834)</f>
        <v/>
      </c>
    </row>
    <row r="1835" spans="4:5">
      <c r="D1835" s="90" t="str">
        <f>IF('Product List'!C1835="","",'Product List'!C1835)</f>
        <v/>
      </c>
      <c r="E1835" s="90" t="str">
        <f>IF('Product List'!B1835="","",'Product List'!B1835)</f>
        <v/>
      </c>
    </row>
    <row r="1836" spans="4:5">
      <c r="D1836" s="90" t="str">
        <f>IF('Product List'!C1836="","",'Product List'!C1836)</f>
        <v/>
      </c>
      <c r="E1836" s="90" t="str">
        <f>IF('Product List'!B1836="","",'Product List'!B1836)</f>
        <v/>
      </c>
    </row>
    <row r="1837" spans="4:5">
      <c r="D1837" s="90" t="str">
        <f>IF('Product List'!C1837="","",'Product List'!C1837)</f>
        <v/>
      </c>
      <c r="E1837" s="90" t="str">
        <f>IF('Product List'!B1837="","",'Product List'!B1837)</f>
        <v/>
      </c>
    </row>
    <row r="1838" spans="4:5">
      <c r="D1838" s="90" t="str">
        <f>IF('Product List'!C1838="","",'Product List'!C1838)</f>
        <v/>
      </c>
      <c r="E1838" s="90" t="str">
        <f>IF('Product List'!B1838="","",'Product List'!B1838)</f>
        <v/>
      </c>
    </row>
    <row r="1839" spans="4:5">
      <c r="D1839" s="90" t="str">
        <f>IF('Product List'!C1839="","",'Product List'!C1839)</f>
        <v/>
      </c>
      <c r="E1839" s="90" t="str">
        <f>IF('Product List'!B1839="","",'Product List'!B1839)</f>
        <v/>
      </c>
    </row>
    <row r="1840" spans="4:5">
      <c r="D1840" s="90" t="str">
        <f>IF('Product List'!C1840="","",'Product List'!C1840)</f>
        <v/>
      </c>
      <c r="E1840" s="90" t="str">
        <f>IF('Product List'!B1840="","",'Product List'!B1840)</f>
        <v/>
      </c>
    </row>
    <row r="1841" spans="4:5">
      <c r="D1841" s="90" t="str">
        <f>IF('Product List'!C1841="","",'Product List'!C1841)</f>
        <v/>
      </c>
      <c r="E1841" s="90" t="str">
        <f>IF('Product List'!B1841="","",'Product List'!B1841)</f>
        <v/>
      </c>
    </row>
    <row r="1842" spans="4:5">
      <c r="D1842" s="90" t="str">
        <f>IF('Product List'!C1842="","",'Product List'!C1842)</f>
        <v/>
      </c>
      <c r="E1842" s="90" t="str">
        <f>IF('Product List'!B1842="","",'Product List'!B1842)</f>
        <v/>
      </c>
    </row>
    <row r="1843" spans="4:5">
      <c r="D1843" s="90" t="str">
        <f>IF('Product List'!C1843="","",'Product List'!C1843)</f>
        <v/>
      </c>
      <c r="E1843" s="90" t="str">
        <f>IF('Product List'!B1843="","",'Product List'!B1843)</f>
        <v/>
      </c>
    </row>
    <row r="1844" spans="4:5">
      <c r="D1844" s="90" t="str">
        <f>IF('Product List'!C1844="","",'Product List'!C1844)</f>
        <v/>
      </c>
      <c r="E1844" s="90" t="str">
        <f>IF('Product List'!B1844="","",'Product List'!B1844)</f>
        <v/>
      </c>
    </row>
    <row r="1845" spans="4:5">
      <c r="D1845" s="90" t="str">
        <f>IF('Product List'!C1845="","",'Product List'!C1845)</f>
        <v/>
      </c>
      <c r="E1845" s="90" t="str">
        <f>IF('Product List'!B1845="","",'Product List'!B1845)</f>
        <v/>
      </c>
    </row>
    <row r="1846" spans="4:5">
      <c r="D1846" s="90" t="str">
        <f>IF('Product List'!C1846="","",'Product List'!C1846)</f>
        <v/>
      </c>
      <c r="E1846" s="90" t="str">
        <f>IF('Product List'!B1846="","",'Product List'!B1846)</f>
        <v/>
      </c>
    </row>
    <row r="1847" spans="4:5">
      <c r="D1847" s="90" t="str">
        <f>IF('Product List'!C1847="","",'Product List'!C1847)</f>
        <v/>
      </c>
      <c r="E1847" s="90" t="str">
        <f>IF('Product List'!B1847="","",'Product List'!B1847)</f>
        <v/>
      </c>
    </row>
    <row r="1848" spans="4:5">
      <c r="D1848" s="90" t="str">
        <f>IF('Product List'!C1848="","",'Product List'!C1848)</f>
        <v/>
      </c>
      <c r="E1848" s="90" t="str">
        <f>IF('Product List'!B1848="","",'Product List'!B1848)</f>
        <v/>
      </c>
    </row>
    <row r="1849" spans="4:5">
      <c r="D1849" s="90" t="str">
        <f>IF('Product List'!C1849="","",'Product List'!C1849)</f>
        <v/>
      </c>
      <c r="E1849" s="90" t="str">
        <f>IF('Product List'!B1849="","",'Product List'!B1849)</f>
        <v/>
      </c>
    </row>
    <row r="1850" spans="4:5">
      <c r="D1850" s="90" t="str">
        <f>IF('Product List'!C1850="","",'Product List'!C1850)</f>
        <v/>
      </c>
      <c r="E1850" s="90" t="str">
        <f>IF('Product List'!B1850="","",'Product List'!B1850)</f>
        <v/>
      </c>
    </row>
    <row r="1851" spans="4:5">
      <c r="D1851" s="90" t="str">
        <f>IF('Product List'!C1851="","",'Product List'!C1851)</f>
        <v/>
      </c>
      <c r="E1851" s="90" t="str">
        <f>IF('Product List'!B1851="","",'Product List'!B1851)</f>
        <v/>
      </c>
    </row>
    <row r="1852" spans="4:5">
      <c r="D1852" s="90" t="str">
        <f>IF('Product List'!C1852="","",'Product List'!C1852)</f>
        <v/>
      </c>
      <c r="E1852" s="90" t="str">
        <f>IF('Product List'!B1852="","",'Product List'!B1852)</f>
        <v/>
      </c>
    </row>
    <row r="1853" spans="4:5">
      <c r="D1853" s="90" t="str">
        <f>IF('Product List'!C1853="","",'Product List'!C1853)</f>
        <v/>
      </c>
      <c r="E1853" s="90" t="str">
        <f>IF('Product List'!B1853="","",'Product List'!B1853)</f>
        <v/>
      </c>
    </row>
    <row r="1854" spans="4:5">
      <c r="D1854" s="90" t="str">
        <f>IF('Product List'!C1854="","",'Product List'!C1854)</f>
        <v/>
      </c>
      <c r="E1854" s="90" t="str">
        <f>IF('Product List'!B1854="","",'Product List'!B1854)</f>
        <v/>
      </c>
    </row>
    <row r="1855" spans="4:5">
      <c r="D1855" s="90" t="str">
        <f>IF('Product List'!C1855="","",'Product List'!C1855)</f>
        <v/>
      </c>
      <c r="E1855" s="90" t="str">
        <f>IF('Product List'!B1855="","",'Product List'!B1855)</f>
        <v/>
      </c>
    </row>
    <row r="1856" spans="4:5">
      <c r="D1856" s="90" t="str">
        <f>IF('Product List'!C1856="","",'Product List'!C1856)</f>
        <v/>
      </c>
      <c r="E1856" s="90" t="str">
        <f>IF('Product List'!B1856="","",'Product List'!B1856)</f>
        <v/>
      </c>
    </row>
    <row r="1857" spans="4:5">
      <c r="D1857" s="90" t="str">
        <f>IF('Product List'!C1857="","",'Product List'!C1857)</f>
        <v/>
      </c>
      <c r="E1857" s="90" t="str">
        <f>IF('Product List'!B1857="","",'Product List'!B1857)</f>
        <v/>
      </c>
    </row>
    <row r="1858" spans="4:5">
      <c r="D1858" s="90" t="str">
        <f>IF('Product List'!C1858="","",'Product List'!C1858)</f>
        <v/>
      </c>
      <c r="E1858" s="90" t="str">
        <f>IF('Product List'!B1858="","",'Product List'!B1858)</f>
        <v/>
      </c>
    </row>
    <row r="1859" spans="4:5">
      <c r="D1859" s="90" t="str">
        <f>IF('Product List'!C1859="","",'Product List'!C1859)</f>
        <v/>
      </c>
      <c r="E1859" s="90" t="str">
        <f>IF('Product List'!B1859="","",'Product List'!B1859)</f>
        <v/>
      </c>
    </row>
    <row r="1860" spans="4:5">
      <c r="D1860" s="90" t="str">
        <f>IF('Product List'!C1860="","",'Product List'!C1860)</f>
        <v/>
      </c>
      <c r="E1860" s="90" t="str">
        <f>IF('Product List'!B1860="","",'Product List'!B1860)</f>
        <v/>
      </c>
    </row>
    <row r="1861" spans="4:5">
      <c r="D1861" s="90" t="str">
        <f>IF('Product List'!C1861="","",'Product List'!C1861)</f>
        <v/>
      </c>
      <c r="E1861" s="90" t="str">
        <f>IF('Product List'!B1861="","",'Product List'!B1861)</f>
        <v/>
      </c>
    </row>
    <row r="1862" spans="4:5">
      <c r="D1862" s="90" t="str">
        <f>IF('Product List'!C1862="","",'Product List'!C1862)</f>
        <v/>
      </c>
      <c r="E1862" s="90" t="str">
        <f>IF('Product List'!B1862="","",'Product List'!B1862)</f>
        <v/>
      </c>
    </row>
    <row r="1863" spans="4:5">
      <c r="D1863" s="90" t="str">
        <f>IF('Product List'!C1863="","",'Product List'!C1863)</f>
        <v/>
      </c>
      <c r="E1863" s="90" t="str">
        <f>IF('Product List'!B1863="","",'Product List'!B1863)</f>
        <v/>
      </c>
    </row>
    <row r="1864" spans="4:5">
      <c r="D1864" s="90" t="str">
        <f>IF('Product List'!C1864="","",'Product List'!C1864)</f>
        <v/>
      </c>
      <c r="E1864" s="90" t="str">
        <f>IF('Product List'!B1864="","",'Product List'!B1864)</f>
        <v/>
      </c>
    </row>
    <row r="1865" spans="4:5">
      <c r="D1865" s="90" t="str">
        <f>IF('Product List'!C1865="","",'Product List'!C1865)</f>
        <v/>
      </c>
      <c r="E1865" s="90" t="str">
        <f>IF('Product List'!B1865="","",'Product List'!B1865)</f>
        <v/>
      </c>
    </row>
    <row r="1866" spans="4:5">
      <c r="D1866" s="90" t="str">
        <f>IF('Product List'!C1866="","",'Product List'!C1866)</f>
        <v/>
      </c>
      <c r="E1866" s="90" t="str">
        <f>IF('Product List'!B1866="","",'Product List'!B1866)</f>
        <v/>
      </c>
    </row>
    <row r="1867" spans="4:5">
      <c r="D1867" s="90" t="str">
        <f>IF('Product List'!C1867="","",'Product List'!C1867)</f>
        <v/>
      </c>
      <c r="E1867" s="90" t="str">
        <f>IF('Product List'!B1867="","",'Product List'!B1867)</f>
        <v/>
      </c>
    </row>
    <row r="1868" spans="4:5">
      <c r="D1868" s="90" t="str">
        <f>IF('Product List'!C1868="","",'Product List'!C1868)</f>
        <v/>
      </c>
      <c r="E1868" s="90" t="str">
        <f>IF('Product List'!B1868="","",'Product List'!B1868)</f>
        <v/>
      </c>
    </row>
    <row r="1869" spans="4:5">
      <c r="D1869" s="90" t="str">
        <f>IF('Product List'!C1869="","",'Product List'!C1869)</f>
        <v/>
      </c>
      <c r="E1869" s="90" t="str">
        <f>IF('Product List'!B1869="","",'Product List'!B1869)</f>
        <v/>
      </c>
    </row>
    <row r="1870" spans="4:5">
      <c r="D1870" s="90" t="str">
        <f>IF('Product List'!C1870="","",'Product List'!C1870)</f>
        <v/>
      </c>
      <c r="E1870" s="90" t="str">
        <f>IF('Product List'!B1870="","",'Product List'!B1870)</f>
        <v/>
      </c>
    </row>
    <row r="1871" spans="4:5">
      <c r="D1871" s="90" t="str">
        <f>IF('Product List'!C1871="","",'Product List'!C1871)</f>
        <v/>
      </c>
      <c r="E1871" s="90" t="str">
        <f>IF('Product List'!B1871="","",'Product List'!B1871)</f>
        <v/>
      </c>
    </row>
    <row r="1872" spans="4:5">
      <c r="D1872" s="90" t="str">
        <f>IF('Product List'!C1872="","",'Product List'!C1872)</f>
        <v/>
      </c>
      <c r="E1872" s="90" t="str">
        <f>IF('Product List'!B1872="","",'Product List'!B1872)</f>
        <v/>
      </c>
    </row>
    <row r="1873" spans="4:5">
      <c r="D1873" s="90" t="str">
        <f>IF('Product List'!C1873="","",'Product List'!C1873)</f>
        <v/>
      </c>
      <c r="E1873" s="90" t="str">
        <f>IF('Product List'!B1873="","",'Product List'!B1873)</f>
        <v/>
      </c>
    </row>
    <row r="1874" spans="4:5">
      <c r="D1874" s="90" t="str">
        <f>IF('Product List'!C1874="","",'Product List'!C1874)</f>
        <v/>
      </c>
      <c r="E1874" s="90" t="str">
        <f>IF('Product List'!B1874="","",'Product List'!B1874)</f>
        <v/>
      </c>
    </row>
    <row r="1875" spans="4:5">
      <c r="D1875" s="90" t="str">
        <f>IF('Product List'!C1875="","",'Product List'!C1875)</f>
        <v/>
      </c>
      <c r="E1875" s="90" t="str">
        <f>IF('Product List'!B1875="","",'Product List'!B1875)</f>
        <v/>
      </c>
    </row>
    <row r="1876" spans="4:5">
      <c r="D1876" s="90" t="str">
        <f>IF('Product List'!C1876="","",'Product List'!C1876)</f>
        <v/>
      </c>
      <c r="E1876" s="90" t="str">
        <f>IF('Product List'!B1876="","",'Product List'!B1876)</f>
        <v/>
      </c>
    </row>
    <row r="1877" spans="4:5">
      <c r="D1877" s="90" t="str">
        <f>IF('Product List'!C1877="","",'Product List'!C1877)</f>
        <v/>
      </c>
      <c r="E1877" s="90" t="str">
        <f>IF('Product List'!B1877="","",'Product List'!B1877)</f>
        <v/>
      </c>
    </row>
    <row r="1878" spans="4:5">
      <c r="D1878" s="90" t="str">
        <f>IF('Product List'!C1878="","",'Product List'!C1878)</f>
        <v/>
      </c>
      <c r="E1878" s="90" t="str">
        <f>IF('Product List'!B1878="","",'Product List'!B1878)</f>
        <v/>
      </c>
    </row>
    <row r="1879" spans="4:5">
      <c r="D1879" s="90" t="str">
        <f>IF('Product List'!C1879="","",'Product List'!C1879)</f>
        <v/>
      </c>
      <c r="E1879" s="90" t="str">
        <f>IF('Product List'!B1879="","",'Product List'!B1879)</f>
        <v/>
      </c>
    </row>
    <row r="1880" spans="4:5">
      <c r="D1880" s="90" t="str">
        <f>IF('Product List'!C1880="","",'Product List'!C1880)</f>
        <v/>
      </c>
      <c r="E1880" s="90" t="str">
        <f>IF('Product List'!B1880="","",'Product List'!B1880)</f>
        <v/>
      </c>
    </row>
    <row r="1881" spans="4:5">
      <c r="D1881" s="90" t="str">
        <f>IF('Product List'!C1881="","",'Product List'!C1881)</f>
        <v/>
      </c>
      <c r="E1881" s="90" t="str">
        <f>IF('Product List'!B1881="","",'Product List'!B1881)</f>
        <v/>
      </c>
    </row>
    <row r="1882" spans="4:5">
      <c r="D1882" s="90" t="str">
        <f>IF('Product List'!C1882="","",'Product List'!C1882)</f>
        <v/>
      </c>
      <c r="E1882" s="90" t="str">
        <f>IF('Product List'!B1882="","",'Product List'!B1882)</f>
        <v/>
      </c>
    </row>
    <row r="1883" spans="4:5">
      <c r="D1883" s="90" t="str">
        <f>IF('Product List'!C1883="","",'Product List'!C1883)</f>
        <v/>
      </c>
      <c r="E1883" s="90" t="str">
        <f>IF('Product List'!B1883="","",'Product List'!B1883)</f>
        <v/>
      </c>
    </row>
    <row r="1884" spans="4:5">
      <c r="D1884" s="90" t="str">
        <f>IF('Product List'!C1884="","",'Product List'!C1884)</f>
        <v/>
      </c>
      <c r="E1884" s="90" t="str">
        <f>IF('Product List'!B1884="","",'Product List'!B1884)</f>
        <v/>
      </c>
    </row>
    <row r="1885" spans="4:5">
      <c r="D1885" s="90" t="str">
        <f>IF('Product List'!C1885="","",'Product List'!C1885)</f>
        <v/>
      </c>
      <c r="E1885" s="90" t="str">
        <f>IF('Product List'!B1885="","",'Product List'!B1885)</f>
        <v/>
      </c>
    </row>
    <row r="1886" spans="4:5">
      <c r="D1886" s="90" t="str">
        <f>IF('Product List'!C1886="","",'Product List'!C1886)</f>
        <v/>
      </c>
      <c r="E1886" s="90" t="str">
        <f>IF('Product List'!B1886="","",'Product List'!B1886)</f>
        <v/>
      </c>
    </row>
    <row r="1887" spans="4:5">
      <c r="D1887" s="90" t="str">
        <f>IF('Product List'!C1887="","",'Product List'!C1887)</f>
        <v/>
      </c>
      <c r="E1887" s="90" t="str">
        <f>IF('Product List'!B1887="","",'Product List'!B1887)</f>
        <v/>
      </c>
    </row>
    <row r="1888" spans="4:5">
      <c r="D1888" s="90" t="str">
        <f>IF('Product List'!C1888="","",'Product List'!C1888)</f>
        <v/>
      </c>
      <c r="E1888" s="90" t="str">
        <f>IF('Product List'!B1888="","",'Product List'!B1888)</f>
        <v/>
      </c>
    </row>
    <row r="1889" spans="4:5">
      <c r="D1889" s="90" t="str">
        <f>IF('Product List'!C1889="","",'Product List'!C1889)</f>
        <v/>
      </c>
      <c r="E1889" s="90" t="str">
        <f>IF('Product List'!B1889="","",'Product List'!B1889)</f>
        <v/>
      </c>
    </row>
    <row r="1890" spans="4:5">
      <c r="D1890" s="90" t="str">
        <f>IF('Product List'!C1890="","",'Product List'!C1890)</f>
        <v/>
      </c>
      <c r="E1890" s="90" t="str">
        <f>IF('Product List'!B1890="","",'Product List'!B1890)</f>
        <v/>
      </c>
    </row>
    <row r="1891" spans="4:5">
      <c r="D1891" s="90" t="str">
        <f>IF('Product List'!C1891="","",'Product List'!C1891)</f>
        <v/>
      </c>
      <c r="E1891" s="90" t="str">
        <f>IF('Product List'!B1891="","",'Product List'!B1891)</f>
        <v/>
      </c>
    </row>
    <row r="1892" spans="4:5">
      <c r="D1892" s="90" t="str">
        <f>IF('Product List'!C1892="","",'Product List'!C1892)</f>
        <v/>
      </c>
      <c r="E1892" s="90" t="str">
        <f>IF('Product List'!B1892="","",'Product List'!B1892)</f>
        <v/>
      </c>
    </row>
    <row r="1893" spans="4:5">
      <c r="D1893" s="90" t="str">
        <f>IF('Product List'!C1893="","",'Product List'!C1893)</f>
        <v/>
      </c>
      <c r="E1893" s="90" t="str">
        <f>IF('Product List'!B1893="","",'Product List'!B1893)</f>
        <v/>
      </c>
    </row>
    <row r="1894" spans="4:5">
      <c r="D1894" s="90" t="str">
        <f>IF('Product List'!C1894="","",'Product List'!C1894)</f>
        <v/>
      </c>
      <c r="E1894" s="90" t="str">
        <f>IF('Product List'!B1894="","",'Product List'!B1894)</f>
        <v/>
      </c>
    </row>
    <row r="1895" spans="4:5">
      <c r="D1895" s="90" t="str">
        <f>IF('Product List'!C1895="","",'Product List'!C1895)</f>
        <v/>
      </c>
      <c r="E1895" s="90" t="str">
        <f>IF('Product List'!B1895="","",'Product List'!B1895)</f>
        <v/>
      </c>
    </row>
    <row r="1896" spans="4:5">
      <c r="D1896" s="90" t="str">
        <f>IF('Product List'!C1896="","",'Product List'!C1896)</f>
        <v/>
      </c>
      <c r="E1896" s="90" t="str">
        <f>IF('Product List'!B1896="","",'Product List'!B1896)</f>
        <v/>
      </c>
    </row>
    <row r="1897" spans="4:5">
      <c r="D1897" s="90" t="str">
        <f>IF('Product List'!C1897="","",'Product List'!C1897)</f>
        <v/>
      </c>
      <c r="E1897" s="90" t="str">
        <f>IF('Product List'!B1897="","",'Product List'!B1897)</f>
        <v/>
      </c>
    </row>
    <row r="1898" spans="4:5">
      <c r="D1898" s="90" t="str">
        <f>IF('Product List'!C1898="","",'Product List'!C1898)</f>
        <v/>
      </c>
      <c r="E1898" s="90" t="str">
        <f>IF('Product List'!B1898="","",'Product List'!B1898)</f>
        <v/>
      </c>
    </row>
    <row r="1899" spans="4:5">
      <c r="D1899" s="90" t="str">
        <f>IF('Product List'!C1899="","",'Product List'!C1899)</f>
        <v/>
      </c>
      <c r="E1899" s="90" t="str">
        <f>IF('Product List'!B1899="","",'Product List'!B1899)</f>
        <v/>
      </c>
    </row>
    <row r="1900" spans="4:5">
      <c r="D1900" s="90" t="str">
        <f>IF('Product List'!C1900="","",'Product List'!C1900)</f>
        <v/>
      </c>
      <c r="E1900" s="90" t="str">
        <f>IF('Product List'!B1900="","",'Product List'!B1900)</f>
        <v/>
      </c>
    </row>
    <row r="1901" spans="4:5">
      <c r="D1901" s="90" t="str">
        <f>IF('Product List'!C1901="","",'Product List'!C1901)</f>
        <v/>
      </c>
      <c r="E1901" s="90" t="str">
        <f>IF('Product List'!B1901="","",'Product List'!B1901)</f>
        <v/>
      </c>
    </row>
    <row r="1902" spans="4:5">
      <c r="D1902" s="90" t="str">
        <f>IF('Product List'!C1902="","",'Product List'!C1902)</f>
        <v/>
      </c>
      <c r="E1902" s="90" t="str">
        <f>IF('Product List'!B1902="","",'Product List'!B1902)</f>
        <v/>
      </c>
    </row>
    <row r="1903" spans="4:5">
      <c r="D1903" s="90" t="str">
        <f>IF('Product List'!C1903="","",'Product List'!C1903)</f>
        <v/>
      </c>
      <c r="E1903" s="90" t="str">
        <f>IF('Product List'!B1903="","",'Product List'!B1903)</f>
        <v/>
      </c>
    </row>
    <row r="1904" spans="4:5">
      <c r="D1904" s="90" t="str">
        <f>IF('Product List'!C1904="","",'Product List'!C1904)</f>
        <v/>
      </c>
      <c r="E1904" s="90" t="str">
        <f>IF('Product List'!B1904="","",'Product List'!B1904)</f>
        <v/>
      </c>
    </row>
    <row r="1905" spans="4:5">
      <c r="D1905" s="90" t="str">
        <f>IF('Product List'!C1905="","",'Product List'!C1905)</f>
        <v/>
      </c>
      <c r="E1905" s="90" t="str">
        <f>IF('Product List'!B1905="","",'Product List'!B1905)</f>
        <v/>
      </c>
    </row>
    <row r="1906" spans="4:5">
      <c r="D1906" s="90" t="str">
        <f>IF('Product List'!C1906="","",'Product List'!C1906)</f>
        <v/>
      </c>
      <c r="E1906" s="90" t="str">
        <f>IF('Product List'!B1906="","",'Product List'!B1906)</f>
        <v/>
      </c>
    </row>
    <row r="1907" spans="4:5">
      <c r="D1907" s="90" t="str">
        <f>IF('Product List'!C1907="","",'Product List'!C1907)</f>
        <v/>
      </c>
      <c r="E1907" s="90" t="str">
        <f>IF('Product List'!B1907="","",'Product List'!B1907)</f>
        <v/>
      </c>
    </row>
    <row r="1908" spans="4:5">
      <c r="D1908" s="90" t="str">
        <f>IF('Product List'!C1908="","",'Product List'!C1908)</f>
        <v/>
      </c>
      <c r="E1908" s="90" t="str">
        <f>IF('Product List'!B1908="","",'Product List'!B1908)</f>
        <v/>
      </c>
    </row>
    <row r="1909" spans="4:5">
      <c r="D1909" s="90" t="str">
        <f>IF('Product List'!C1909="","",'Product List'!C1909)</f>
        <v/>
      </c>
      <c r="E1909" s="90" t="str">
        <f>IF('Product List'!B1909="","",'Product List'!B1909)</f>
        <v/>
      </c>
    </row>
    <row r="1910" spans="4:5">
      <c r="D1910" s="90" t="str">
        <f>IF('Product List'!C1910="","",'Product List'!C1910)</f>
        <v/>
      </c>
      <c r="E1910" s="90" t="str">
        <f>IF('Product List'!B1910="","",'Product List'!B1910)</f>
        <v/>
      </c>
    </row>
    <row r="1911" spans="4:5">
      <c r="D1911" s="90" t="str">
        <f>IF('Product List'!C1911="","",'Product List'!C1911)</f>
        <v/>
      </c>
      <c r="E1911" s="90" t="str">
        <f>IF('Product List'!B1911="","",'Product List'!B1911)</f>
        <v/>
      </c>
    </row>
    <row r="1912" spans="4:5">
      <c r="D1912" s="90" t="str">
        <f>IF('Product List'!C1912="","",'Product List'!C1912)</f>
        <v/>
      </c>
      <c r="E1912" s="90" t="str">
        <f>IF('Product List'!B1912="","",'Product List'!B1912)</f>
        <v/>
      </c>
    </row>
    <row r="1913" spans="4:5">
      <c r="D1913" s="90" t="str">
        <f>IF('Product List'!C1913="","",'Product List'!C1913)</f>
        <v/>
      </c>
      <c r="E1913" s="90" t="str">
        <f>IF('Product List'!B1913="","",'Product List'!B1913)</f>
        <v/>
      </c>
    </row>
    <row r="1914" spans="4:5">
      <c r="D1914" s="90" t="str">
        <f>IF('Product List'!C1914="","",'Product List'!C1914)</f>
        <v/>
      </c>
      <c r="E1914" s="90" t="str">
        <f>IF('Product List'!B1914="","",'Product List'!B1914)</f>
        <v/>
      </c>
    </row>
    <row r="1915" spans="4:5">
      <c r="D1915" s="90" t="str">
        <f>IF('Product List'!C1915="","",'Product List'!C1915)</f>
        <v/>
      </c>
      <c r="E1915" s="90" t="str">
        <f>IF('Product List'!B1915="","",'Product List'!B1915)</f>
        <v/>
      </c>
    </row>
    <row r="1916" spans="4:5">
      <c r="D1916" s="90" t="str">
        <f>IF('Product List'!C1916="","",'Product List'!C1916)</f>
        <v/>
      </c>
      <c r="E1916" s="90" t="str">
        <f>IF('Product List'!B1916="","",'Product List'!B1916)</f>
        <v/>
      </c>
    </row>
    <row r="1917" spans="4:5">
      <c r="D1917" s="90" t="str">
        <f>IF('Product List'!C1917="","",'Product List'!C1917)</f>
        <v/>
      </c>
      <c r="E1917" s="90" t="str">
        <f>IF('Product List'!B1917="","",'Product List'!B1917)</f>
        <v/>
      </c>
    </row>
    <row r="1918" spans="4:5">
      <c r="D1918" s="90" t="str">
        <f>IF('Product List'!C1918="","",'Product List'!C1918)</f>
        <v/>
      </c>
      <c r="E1918" s="90" t="str">
        <f>IF('Product List'!B1918="","",'Product List'!B1918)</f>
        <v/>
      </c>
    </row>
    <row r="1919" spans="4:5">
      <c r="D1919" s="90" t="str">
        <f>IF('Product List'!C1919="","",'Product List'!C1919)</f>
        <v/>
      </c>
      <c r="E1919" s="90" t="str">
        <f>IF('Product List'!B1919="","",'Product List'!B1919)</f>
        <v/>
      </c>
    </row>
    <row r="1920" spans="4:5">
      <c r="D1920" s="90" t="str">
        <f>IF('Product List'!C1920="","",'Product List'!C1920)</f>
        <v/>
      </c>
      <c r="E1920" s="90" t="str">
        <f>IF('Product List'!B1920="","",'Product List'!B1920)</f>
        <v/>
      </c>
    </row>
    <row r="1921" spans="4:5">
      <c r="D1921" s="90" t="str">
        <f>IF('Product List'!C1921="","",'Product List'!C1921)</f>
        <v/>
      </c>
      <c r="E1921" s="90" t="str">
        <f>IF('Product List'!B1921="","",'Product List'!B1921)</f>
        <v/>
      </c>
    </row>
    <row r="1922" spans="4:5">
      <c r="D1922" s="90" t="str">
        <f>IF('Product List'!C1922="","",'Product List'!C1922)</f>
        <v/>
      </c>
      <c r="E1922" s="90" t="str">
        <f>IF('Product List'!B1922="","",'Product List'!B1922)</f>
        <v/>
      </c>
    </row>
    <row r="1923" spans="4:5">
      <c r="D1923" s="90" t="str">
        <f>IF('Product List'!C1923="","",'Product List'!C1923)</f>
        <v/>
      </c>
      <c r="E1923" s="90" t="str">
        <f>IF('Product List'!B1923="","",'Product List'!B1923)</f>
        <v/>
      </c>
    </row>
    <row r="1924" spans="4:5">
      <c r="D1924" s="90" t="str">
        <f>IF('Product List'!C1924="","",'Product List'!C1924)</f>
        <v/>
      </c>
      <c r="E1924" s="90" t="str">
        <f>IF('Product List'!B1924="","",'Product List'!B1924)</f>
        <v/>
      </c>
    </row>
    <row r="1925" spans="4:5">
      <c r="D1925" s="90" t="str">
        <f>IF('Product List'!C1925="","",'Product List'!C1925)</f>
        <v/>
      </c>
      <c r="E1925" s="90" t="str">
        <f>IF('Product List'!B1925="","",'Product List'!B1925)</f>
        <v/>
      </c>
    </row>
    <row r="1926" spans="4:5">
      <c r="D1926" s="90" t="str">
        <f>IF('Product List'!C1926="","",'Product List'!C1926)</f>
        <v/>
      </c>
      <c r="E1926" s="90" t="str">
        <f>IF('Product List'!B1926="","",'Product List'!B1926)</f>
        <v/>
      </c>
    </row>
    <row r="1927" spans="4:5">
      <c r="D1927" s="90" t="str">
        <f>IF('Product List'!C1927="","",'Product List'!C1927)</f>
        <v/>
      </c>
      <c r="E1927" s="90" t="str">
        <f>IF('Product List'!B1927="","",'Product List'!B1927)</f>
        <v/>
      </c>
    </row>
    <row r="1928" spans="4:5">
      <c r="D1928" s="90" t="str">
        <f>IF('Product List'!C1928="","",'Product List'!C1928)</f>
        <v/>
      </c>
      <c r="E1928" s="90" t="str">
        <f>IF('Product List'!B1928="","",'Product List'!B1928)</f>
        <v/>
      </c>
    </row>
    <row r="1929" spans="4:5">
      <c r="D1929" s="90" t="str">
        <f>IF('Product List'!C1929="","",'Product List'!C1929)</f>
        <v/>
      </c>
      <c r="E1929" s="90" t="str">
        <f>IF('Product List'!B1929="","",'Product List'!B1929)</f>
        <v/>
      </c>
    </row>
    <row r="1930" spans="4:5">
      <c r="D1930" s="90" t="str">
        <f>IF('Product List'!C1930="","",'Product List'!C1930)</f>
        <v/>
      </c>
      <c r="E1930" s="90" t="str">
        <f>IF('Product List'!B1930="","",'Product List'!B1930)</f>
        <v/>
      </c>
    </row>
    <row r="1931" spans="4:5">
      <c r="D1931" s="90" t="str">
        <f>IF('Product List'!C1931="","",'Product List'!C1931)</f>
        <v/>
      </c>
      <c r="E1931" s="90" t="str">
        <f>IF('Product List'!B1931="","",'Product List'!B1931)</f>
        <v/>
      </c>
    </row>
    <row r="1932" spans="4:5">
      <c r="D1932" s="90" t="str">
        <f>IF('Product List'!C1932="","",'Product List'!C1932)</f>
        <v/>
      </c>
      <c r="E1932" s="90" t="str">
        <f>IF('Product List'!B1932="","",'Product List'!B1932)</f>
        <v/>
      </c>
    </row>
    <row r="1933" spans="4:5">
      <c r="D1933" s="90" t="str">
        <f>IF('Product List'!C1933="","",'Product List'!C1933)</f>
        <v/>
      </c>
      <c r="E1933" s="90" t="str">
        <f>IF('Product List'!B1933="","",'Product List'!B1933)</f>
        <v/>
      </c>
    </row>
    <row r="1934" spans="4:5">
      <c r="D1934" s="90" t="str">
        <f>IF('Product List'!C1934="","",'Product List'!C1934)</f>
        <v/>
      </c>
      <c r="E1934" s="90" t="str">
        <f>IF('Product List'!B1934="","",'Product List'!B1934)</f>
        <v/>
      </c>
    </row>
    <row r="1935" spans="4:5">
      <c r="D1935" s="90" t="str">
        <f>IF('Product List'!C1935="","",'Product List'!C1935)</f>
        <v/>
      </c>
      <c r="E1935" s="90" t="str">
        <f>IF('Product List'!B1935="","",'Product List'!B1935)</f>
        <v/>
      </c>
    </row>
    <row r="1936" spans="4:5">
      <c r="D1936" s="90" t="str">
        <f>IF('Product List'!C1936="","",'Product List'!C1936)</f>
        <v/>
      </c>
      <c r="E1936" s="90" t="str">
        <f>IF('Product List'!B1936="","",'Product List'!B1936)</f>
        <v/>
      </c>
    </row>
    <row r="1937" spans="4:5">
      <c r="D1937" s="90" t="str">
        <f>IF('Product List'!C1937="","",'Product List'!C1937)</f>
        <v/>
      </c>
      <c r="E1937" s="90" t="str">
        <f>IF('Product List'!B1937="","",'Product List'!B1937)</f>
        <v/>
      </c>
    </row>
    <row r="1938" spans="4:5">
      <c r="D1938" s="90" t="str">
        <f>IF('Product List'!C1938="","",'Product List'!C1938)</f>
        <v/>
      </c>
      <c r="E1938" s="90" t="str">
        <f>IF('Product List'!B1938="","",'Product List'!B1938)</f>
        <v/>
      </c>
    </row>
    <row r="1939" spans="4:5">
      <c r="D1939" s="90" t="str">
        <f>IF('Product List'!C1939="","",'Product List'!C1939)</f>
        <v/>
      </c>
      <c r="E1939" s="90" t="str">
        <f>IF('Product List'!B1939="","",'Product List'!B1939)</f>
        <v/>
      </c>
    </row>
    <row r="1940" spans="4:5">
      <c r="D1940" s="90" t="str">
        <f>IF('Product List'!C1940="","",'Product List'!C1940)</f>
        <v/>
      </c>
      <c r="E1940" s="90" t="str">
        <f>IF('Product List'!B1940="","",'Product List'!B1940)</f>
        <v/>
      </c>
    </row>
    <row r="1941" spans="4:5">
      <c r="D1941" s="90" t="str">
        <f>IF('Product List'!C1941="","",'Product List'!C1941)</f>
        <v/>
      </c>
      <c r="E1941" s="90" t="str">
        <f>IF('Product List'!B1941="","",'Product List'!B1941)</f>
        <v/>
      </c>
    </row>
    <row r="1942" spans="4:5">
      <c r="D1942" s="90" t="str">
        <f>IF('Product List'!C1942="","",'Product List'!C1942)</f>
        <v/>
      </c>
      <c r="E1942" s="90" t="str">
        <f>IF('Product List'!B1942="","",'Product List'!B1942)</f>
        <v/>
      </c>
    </row>
    <row r="1943" spans="4:5">
      <c r="D1943" s="90" t="str">
        <f>IF('Product List'!C1943="","",'Product List'!C1943)</f>
        <v/>
      </c>
      <c r="E1943" s="90" t="str">
        <f>IF('Product List'!B1943="","",'Product List'!B1943)</f>
        <v/>
      </c>
    </row>
    <row r="1944" spans="4:5">
      <c r="D1944" s="90" t="str">
        <f>IF('Product List'!C1944="","",'Product List'!C1944)</f>
        <v/>
      </c>
      <c r="E1944" s="90" t="str">
        <f>IF('Product List'!B1944="","",'Product List'!B1944)</f>
        <v/>
      </c>
    </row>
    <row r="1945" spans="4:5">
      <c r="D1945" s="90" t="str">
        <f>IF('Product List'!C1945="","",'Product List'!C1945)</f>
        <v/>
      </c>
      <c r="E1945" s="90" t="str">
        <f>IF('Product List'!B1945="","",'Product List'!B1945)</f>
        <v/>
      </c>
    </row>
    <row r="1946" spans="4:5">
      <c r="D1946" s="90" t="str">
        <f>IF('Product List'!C1946="","",'Product List'!C1946)</f>
        <v/>
      </c>
      <c r="E1946" s="90" t="str">
        <f>IF('Product List'!B1946="","",'Product List'!B1946)</f>
        <v/>
      </c>
    </row>
    <row r="1947" spans="4:5">
      <c r="D1947" s="90" t="str">
        <f>IF('Product List'!C1947="","",'Product List'!C1947)</f>
        <v/>
      </c>
      <c r="E1947" s="90" t="str">
        <f>IF('Product List'!B1947="","",'Product List'!B1947)</f>
        <v/>
      </c>
    </row>
    <row r="1948" spans="4:5">
      <c r="D1948" s="90" t="str">
        <f>IF('Product List'!C1948="","",'Product List'!C1948)</f>
        <v/>
      </c>
      <c r="E1948" s="90" t="str">
        <f>IF('Product List'!B1948="","",'Product List'!B1948)</f>
        <v/>
      </c>
    </row>
    <row r="1949" spans="4:5">
      <c r="D1949" s="90" t="str">
        <f>IF('Product List'!C1949="","",'Product List'!C1949)</f>
        <v/>
      </c>
      <c r="E1949" s="90" t="str">
        <f>IF('Product List'!B1949="","",'Product List'!B1949)</f>
        <v/>
      </c>
    </row>
    <row r="1950" spans="4:5">
      <c r="D1950" s="90" t="str">
        <f>IF('Product List'!C1950="","",'Product List'!C1950)</f>
        <v/>
      </c>
      <c r="E1950" s="90" t="str">
        <f>IF('Product List'!B1950="","",'Product List'!B1950)</f>
        <v/>
      </c>
    </row>
    <row r="1951" spans="4:5">
      <c r="D1951" s="90" t="str">
        <f>IF('Product List'!C1951="","",'Product List'!C1951)</f>
        <v/>
      </c>
      <c r="E1951" s="90" t="str">
        <f>IF('Product List'!B1951="","",'Product List'!B1951)</f>
        <v/>
      </c>
    </row>
    <row r="1952" spans="4:5">
      <c r="D1952" s="90" t="str">
        <f>IF('Product List'!C1952="","",'Product List'!C1952)</f>
        <v/>
      </c>
      <c r="E1952" s="90" t="str">
        <f>IF('Product List'!B1952="","",'Product List'!B1952)</f>
        <v/>
      </c>
    </row>
    <row r="1953" spans="4:5">
      <c r="D1953" s="90" t="str">
        <f>IF('Product List'!C1953="","",'Product List'!C1953)</f>
        <v/>
      </c>
      <c r="E1953" s="90" t="str">
        <f>IF('Product List'!B1953="","",'Product List'!B1953)</f>
        <v/>
      </c>
    </row>
    <row r="1954" spans="4:5">
      <c r="D1954" s="90" t="str">
        <f>IF('Product List'!C1954="","",'Product List'!C1954)</f>
        <v/>
      </c>
      <c r="E1954" s="90" t="str">
        <f>IF('Product List'!B1954="","",'Product List'!B1954)</f>
        <v/>
      </c>
    </row>
    <row r="1955" spans="4:5">
      <c r="D1955" s="90" t="str">
        <f>IF('Product List'!C1955="","",'Product List'!C1955)</f>
        <v/>
      </c>
      <c r="E1955" s="90" t="str">
        <f>IF('Product List'!B1955="","",'Product List'!B1955)</f>
        <v/>
      </c>
    </row>
    <row r="1956" spans="4:5">
      <c r="D1956" s="90" t="str">
        <f>IF('Product List'!C1956="","",'Product List'!C1956)</f>
        <v/>
      </c>
      <c r="E1956" s="90" t="str">
        <f>IF('Product List'!B1956="","",'Product List'!B1956)</f>
        <v/>
      </c>
    </row>
    <row r="1957" spans="4:5">
      <c r="D1957" s="90" t="str">
        <f>IF('Product List'!C1957="","",'Product List'!C1957)</f>
        <v/>
      </c>
      <c r="E1957" s="90" t="str">
        <f>IF('Product List'!B1957="","",'Product List'!B1957)</f>
        <v/>
      </c>
    </row>
    <row r="1958" spans="4:5">
      <c r="D1958" s="90" t="str">
        <f>IF('Product List'!C1958="","",'Product List'!C1958)</f>
        <v/>
      </c>
      <c r="E1958" s="90" t="str">
        <f>IF('Product List'!B1958="","",'Product List'!B1958)</f>
        <v/>
      </c>
    </row>
    <row r="1959" spans="4:5">
      <c r="D1959" s="90" t="str">
        <f>IF('Product List'!C1959="","",'Product List'!C1959)</f>
        <v/>
      </c>
      <c r="E1959" s="90" t="str">
        <f>IF('Product List'!B1959="","",'Product List'!B1959)</f>
        <v/>
      </c>
    </row>
    <row r="1960" spans="4:5">
      <c r="D1960" s="90" t="str">
        <f>IF('Product List'!C1960="","",'Product List'!C1960)</f>
        <v/>
      </c>
      <c r="E1960" s="90" t="str">
        <f>IF('Product List'!B1960="","",'Product List'!B1960)</f>
        <v/>
      </c>
    </row>
    <row r="1961" spans="4:5">
      <c r="D1961" s="90" t="str">
        <f>IF('Product List'!C1961="","",'Product List'!C1961)</f>
        <v/>
      </c>
      <c r="E1961" s="90" t="str">
        <f>IF('Product List'!B1961="","",'Product List'!B1961)</f>
        <v/>
      </c>
    </row>
    <row r="1962" spans="4:5">
      <c r="D1962" s="90" t="str">
        <f>IF('Product List'!C1962="","",'Product List'!C1962)</f>
        <v/>
      </c>
      <c r="E1962" s="90" t="str">
        <f>IF('Product List'!B1962="","",'Product List'!B1962)</f>
        <v/>
      </c>
    </row>
    <row r="1963" spans="4:5">
      <c r="D1963" s="90" t="str">
        <f>IF('Product List'!C1963="","",'Product List'!C1963)</f>
        <v/>
      </c>
      <c r="E1963" s="90" t="str">
        <f>IF('Product List'!B1963="","",'Product List'!B1963)</f>
        <v/>
      </c>
    </row>
    <row r="1964" spans="4:5">
      <c r="D1964" s="90" t="str">
        <f>IF('Product List'!C1964="","",'Product List'!C1964)</f>
        <v/>
      </c>
      <c r="E1964" s="90" t="str">
        <f>IF('Product List'!B1964="","",'Product List'!B1964)</f>
        <v/>
      </c>
    </row>
    <row r="1965" spans="4:5">
      <c r="D1965" s="90" t="str">
        <f>IF('Product List'!C1965="","",'Product List'!C1965)</f>
        <v/>
      </c>
      <c r="E1965" s="90" t="str">
        <f>IF('Product List'!B1965="","",'Product List'!B1965)</f>
        <v/>
      </c>
    </row>
    <row r="1966" spans="4:5">
      <c r="D1966" s="90" t="str">
        <f>IF('Product List'!C1966="","",'Product List'!C1966)</f>
        <v/>
      </c>
      <c r="E1966" s="90" t="str">
        <f>IF('Product List'!B1966="","",'Product List'!B1966)</f>
        <v/>
      </c>
    </row>
    <row r="1967" spans="4:5">
      <c r="D1967" s="90" t="str">
        <f>IF('Product List'!C1967="","",'Product List'!C1967)</f>
        <v/>
      </c>
      <c r="E1967" s="90" t="str">
        <f>IF('Product List'!B1967="","",'Product List'!B1967)</f>
        <v/>
      </c>
    </row>
    <row r="1968" spans="4:5">
      <c r="D1968" s="90" t="str">
        <f>IF('Product List'!C1968="","",'Product List'!C1968)</f>
        <v/>
      </c>
      <c r="E1968" s="90" t="str">
        <f>IF('Product List'!B1968="","",'Product List'!B1968)</f>
        <v/>
      </c>
    </row>
    <row r="1969" spans="4:5">
      <c r="D1969" s="90" t="str">
        <f>IF('Product List'!C1969="","",'Product List'!C1969)</f>
        <v/>
      </c>
      <c r="E1969" s="90" t="str">
        <f>IF('Product List'!B1969="","",'Product List'!B1969)</f>
        <v/>
      </c>
    </row>
    <row r="1970" spans="4:5">
      <c r="D1970" s="90" t="str">
        <f>IF('Product List'!C1970="","",'Product List'!C1970)</f>
        <v/>
      </c>
      <c r="E1970" s="90" t="str">
        <f>IF('Product List'!B1970="","",'Product List'!B1970)</f>
        <v/>
      </c>
    </row>
    <row r="1971" spans="4:5">
      <c r="D1971" s="90" t="str">
        <f>IF('Product List'!C1971="","",'Product List'!C1971)</f>
        <v/>
      </c>
      <c r="E1971" s="90" t="str">
        <f>IF('Product List'!B1971="","",'Product List'!B1971)</f>
        <v/>
      </c>
    </row>
    <row r="1972" spans="4:5">
      <c r="D1972" s="90" t="str">
        <f>IF('Product List'!C1972="","",'Product List'!C1972)</f>
        <v/>
      </c>
      <c r="E1972" s="90" t="str">
        <f>IF('Product List'!B1972="","",'Product List'!B1972)</f>
        <v/>
      </c>
    </row>
    <row r="1973" spans="4:5">
      <c r="D1973" s="90" t="str">
        <f>IF('Product List'!C1973="","",'Product List'!C1973)</f>
        <v/>
      </c>
      <c r="E1973" s="90" t="str">
        <f>IF('Product List'!B1973="","",'Product List'!B1973)</f>
        <v/>
      </c>
    </row>
    <row r="1974" spans="4:5">
      <c r="D1974" s="90" t="str">
        <f>IF('Product List'!C1974="","",'Product List'!C1974)</f>
        <v/>
      </c>
      <c r="E1974" s="90" t="str">
        <f>IF('Product List'!B1974="","",'Product List'!B1974)</f>
        <v/>
      </c>
    </row>
    <row r="1975" spans="4:5">
      <c r="D1975" s="90" t="str">
        <f>IF('Product List'!C1975="","",'Product List'!C1975)</f>
        <v/>
      </c>
      <c r="E1975" s="90" t="str">
        <f>IF('Product List'!B1975="","",'Product List'!B1975)</f>
        <v/>
      </c>
    </row>
    <row r="1976" spans="4:5">
      <c r="D1976" s="90" t="str">
        <f>IF('Product List'!C1976="","",'Product List'!C1976)</f>
        <v/>
      </c>
      <c r="E1976" s="90" t="str">
        <f>IF('Product List'!B1976="","",'Product List'!B1976)</f>
        <v/>
      </c>
    </row>
    <row r="1977" spans="4:5">
      <c r="D1977" s="90" t="str">
        <f>IF('Product List'!C1977="","",'Product List'!C1977)</f>
        <v/>
      </c>
      <c r="E1977" s="90" t="str">
        <f>IF('Product List'!B1977="","",'Product List'!B1977)</f>
        <v/>
      </c>
    </row>
    <row r="1978" spans="4:5">
      <c r="D1978" s="90" t="str">
        <f>IF('Product List'!C1978="","",'Product List'!C1978)</f>
        <v/>
      </c>
      <c r="E1978" s="90" t="str">
        <f>IF('Product List'!B1978="","",'Product List'!B1978)</f>
        <v/>
      </c>
    </row>
    <row r="1979" spans="4:5">
      <c r="D1979" s="90" t="str">
        <f>IF('Product List'!C1979="","",'Product List'!C1979)</f>
        <v/>
      </c>
      <c r="E1979" s="90" t="str">
        <f>IF('Product List'!B1979="","",'Product List'!B1979)</f>
        <v/>
      </c>
    </row>
    <row r="1980" spans="4:5">
      <c r="D1980" s="90" t="str">
        <f>IF('Product List'!C1980="","",'Product List'!C1980)</f>
        <v/>
      </c>
      <c r="E1980" s="90" t="str">
        <f>IF('Product List'!B1980="","",'Product List'!B1980)</f>
        <v/>
      </c>
    </row>
    <row r="1981" spans="4:5">
      <c r="D1981" s="90" t="str">
        <f>IF('Product List'!C1981="","",'Product List'!C1981)</f>
        <v/>
      </c>
      <c r="E1981" s="90" t="str">
        <f>IF('Product List'!B1981="","",'Product List'!B1981)</f>
        <v/>
      </c>
    </row>
    <row r="1982" spans="4:5">
      <c r="D1982" s="90" t="str">
        <f>IF('Product List'!C1982="","",'Product List'!C1982)</f>
        <v/>
      </c>
      <c r="E1982" s="90" t="str">
        <f>IF('Product List'!B1982="","",'Product List'!B1982)</f>
        <v/>
      </c>
    </row>
    <row r="1983" spans="4:5">
      <c r="D1983" s="90" t="str">
        <f>IF('Product List'!C1983="","",'Product List'!C1983)</f>
        <v/>
      </c>
      <c r="E1983" s="90" t="str">
        <f>IF('Product List'!B1983="","",'Product List'!B1983)</f>
        <v/>
      </c>
    </row>
    <row r="1984" spans="4:5">
      <c r="D1984" s="90" t="str">
        <f>IF('Product List'!C1984="","",'Product List'!C1984)</f>
        <v/>
      </c>
      <c r="E1984" s="90" t="str">
        <f>IF('Product List'!B1984="","",'Product List'!B1984)</f>
        <v/>
      </c>
    </row>
    <row r="1985" spans="4:5">
      <c r="D1985" s="90" t="str">
        <f>IF('Product List'!C1985="","",'Product List'!C1985)</f>
        <v/>
      </c>
      <c r="E1985" s="90" t="str">
        <f>IF('Product List'!B1985="","",'Product List'!B1985)</f>
        <v/>
      </c>
    </row>
    <row r="1986" spans="4:5">
      <c r="D1986" s="90" t="str">
        <f>IF('Product List'!C1986="","",'Product List'!C1986)</f>
        <v/>
      </c>
      <c r="E1986" s="90" t="str">
        <f>IF('Product List'!B1986="","",'Product List'!B1986)</f>
        <v/>
      </c>
    </row>
    <row r="1987" spans="4:5">
      <c r="D1987" s="90" t="str">
        <f>IF('Product List'!C1987="","",'Product List'!C1987)</f>
        <v/>
      </c>
      <c r="E1987" s="90" t="str">
        <f>IF('Product List'!B1987="","",'Product List'!B1987)</f>
        <v/>
      </c>
    </row>
    <row r="1988" spans="4:5">
      <c r="D1988" s="90" t="str">
        <f>IF('Product List'!C1988="","",'Product List'!C1988)</f>
        <v/>
      </c>
      <c r="E1988" s="90" t="str">
        <f>IF('Product List'!B1988="","",'Product List'!B1988)</f>
        <v/>
      </c>
    </row>
    <row r="1989" spans="4:5">
      <c r="D1989" s="90" t="str">
        <f>IF('Product List'!C1989="","",'Product List'!C1989)</f>
        <v/>
      </c>
      <c r="E1989" s="90" t="str">
        <f>IF('Product List'!B1989="","",'Product List'!B1989)</f>
        <v/>
      </c>
    </row>
    <row r="1990" spans="4:5">
      <c r="D1990" s="90" t="str">
        <f>IF('Product List'!C1990="","",'Product List'!C1990)</f>
        <v/>
      </c>
      <c r="E1990" s="90" t="str">
        <f>IF('Product List'!B1990="","",'Product List'!B1990)</f>
        <v/>
      </c>
    </row>
    <row r="1991" spans="4:5">
      <c r="D1991" s="90" t="str">
        <f>IF('Product List'!C1991="","",'Product List'!C1991)</f>
        <v/>
      </c>
      <c r="E1991" s="90" t="str">
        <f>IF('Product List'!B1991="","",'Product List'!B1991)</f>
        <v/>
      </c>
    </row>
    <row r="1992" spans="4:5">
      <c r="D1992" s="90" t="str">
        <f>IF('Product List'!C1992="","",'Product List'!C1992)</f>
        <v/>
      </c>
      <c r="E1992" s="90" t="str">
        <f>IF('Product List'!B1992="","",'Product List'!B1992)</f>
        <v/>
      </c>
    </row>
    <row r="1993" spans="4:5">
      <c r="D1993" s="90" t="str">
        <f>IF('Product List'!C1993="","",'Product List'!C1993)</f>
        <v/>
      </c>
      <c r="E1993" s="90" t="str">
        <f>IF('Product List'!B1993="","",'Product List'!B1993)</f>
        <v/>
      </c>
    </row>
    <row r="1994" spans="4:5">
      <c r="D1994" s="90" t="str">
        <f>IF('Product List'!C1994="","",'Product List'!C1994)</f>
        <v/>
      </c>
      <c r="E1994" s="90" t="str">
        <f>IF('Product List'!B1994="","",'Product List'!B1994)</f>
        <v/>
      </c>
    </row>
    <row r="1995" spans="4:5">
      <c r="D1995" s="90" t="str">
        <f>IF('Product List'!C1995="","",'Product List'!C1995)</f>
        <v/>
      </c>
      <c r="E1995" s="90" t="str">
        <f>IF('Product List'!B1995="","",'Product List'!B1995)</f>
        <v/>
      </c>
    </row>
    <row r="1996" spans="4:5">
      <c r="D1996" s="90" t="str">
        <f>IF('Product List'!C1996="","",'Product List'!C1996)</f>
        <v/>
      </c>
      <c r="E1996" s="90" t="str">
        <f>IF('Product List'!B1996="","",'Product List'!B1996)</f>
        <v/>
      </c>
    </row>
    <row r="1997" spans="4:5">
      <c r="D1997" s="90" t="str">
        <f>IF('Product List'!C1997="","",'Product List'!C1997)</f>
        <v/>
      </c>
      <c r="E1997" s="90" t="str">
        <f>IF('Product List'!B1997="","",'Product List'!B1997)</f>
        <v/>
      </c>
    </row>
    <row r="1998" spans="4:5">
      <c r="D1998" s="90" t="str">
        <f>IF('Product List'!C1998="","",'Product List'!C1998)</f>
        <v/>
      </c>
      <c r="E1998" s="90" t="str">
        <f>IF('Product List'!B1998="","",'Product List'!B1998)</f>
        <v/>
      </c>
    </row>
    <row r="1999" spans="4:5">
      <c r="D1999" s="90" t="str">
        <f>IF('Product List'!C1999="","",'Product List'!C1999)</f>
        <v/>
      </c>
      <c r="E1999" s="90" t="str">
        <f>IF('Product List'!B1999="","",'Product List'!B1999)</f>
        <v/>
      </c>
    </row>
    <row r="2000" spans="4:5">
      <c r="D2000" s="90" t="str">
        <f>IF('Product List'!C2000="","",'Product List'!C2000)</f>
        <v/>
      </c>
      <c r="E2000" s="90" t="str">
        <f>IF('Product List'!B2000="","",'Product List'!B2000)</f>
        <v/>
      </c>
    </row>
    <row r="2001" spans="4:5">
      <c r="D2001" s="90" t="str">
        <f>IF('Product List'!C2001="","",'Product List'!C2001)</f>
        <v/>
      </c>
      <c r="E2001" s="90" t="str">
        <f>IF('Product List'!B2001="","",'Product List'!B2001)</f>
        <v/>
      </c>
    </row>
    <row r="2002" spans="4:5">
      <c r="D2002" s="90" t="str">
        <f>IF('Product List'!C2002="","",'Product List'!C2002)</f>
        <v/>
      </c>
      <c r="E2002" s="90" t="str">
        <f>IF('Product List'!B2002="","",'Product List'!B2002)</f>
        <v/>
      </c>
    </row>
    <row r="2003" spans="4:5">
      <c r="D2003" s="90" t="str">
        <f>IF('Product List'!C2003="","",'Product List'!C2003)</f>
        <v/>
      </c>
      <c r="E2003" s="90" t="str">
        <f>IF('Product List'!B2003="","",'Product List'!B2003)</f>
        <v/>
      </c>
    </row>
    <row r="2004" spans="4:5">
      <c r="D2004" s="90" t="str">
        <f>IF('Product List'!C2004="","",'Product List'!C2004)</f>
        <v/>
      </c>
      <c r="E2004" s="90" t="str">
        <f>IF('Product List'!B2004="","",'Product List'!B2004)</f>
        <v/>
      </c>
    </row>
    <row r="2005" spans="4:5">
      <c r="D2005" s="90" t="str">
        <f>IF('Product List'!C2005="","",'Product List'!C2005)</f>
        <v/>
      </c>
      <c r="E2005" s="90" t="str">
        <f>IF('Product List'!B2005="","",'Product List'!B2005)</f>
        <v/>
      </c>
    </row>
    <row r="2006" spans="4:5">
      <c r="D2006" s="90" t="str">
        <f>IF('Product List'!C2006="","",'Product List'!C2006)</f>
        <v/>
      </c>
      <c r="E2006" s="90" t="str">
        <f>IF('Product List'!B2006="","",'Product List'!B2006)</f>
        <v/>
      </c>
    </row>
    <row r="2007" spans="4:5">
      <c r="D2007" s="90" t="str">
        <f>IF('Product List'!C2007="","",'Product List'!C2007)</f>
        <v/>
      </c>
      <c r="E2007" s="90" t="str">
        <f>IF('Product List'!B2007="","",'Product List'!B2007)</f>
        <v/>
      </c>
    </row>
    <row r="2008" spans="4:5">
      <c r="D2008" s="90" t="str">
        <f>IF('Product List'!C2008="","",'Product List'!C2008)</f>
        <v/>
      </c>
      <c r="E2008" s="90" t="str">
        <f>IF('Product List'!B2008="","",'Product List'!B2008)</f>
        <v/>
      </c>
    </row>
    <row r="2009" spans="4:5">
      <c r="D2009" s="90" t="str">
        <f>IF('Product List'!C2009="","",'Product List'!C2009)</f>
        <v/>
      </c>
      <c r="E2009" s="90" t="str">
        <f>IF('Product List'!B2009="","",'Product List'!B2009)</f>
        <v/>
      </c>
    </row>
    <row r="2010" spans="4:5">
      <c r="D2010" s="90" t="str">
        <f>IF('Product List'!C2010="","",'Product List'!C2010)</f>
        <v/>
      </c>
      <c r="E2010" s="90" t="str">
        <f>IF('Product List'!B2010="","",'Product List'!B2010)</f>
        <v/>
      </c>
    </row>
    <row r="2011" spans="4:5">
      <c r="D2011" s="90" t="str">
        <f>IF('Product List'!C2011="","",'Product List'!C2011)</f>
        <v/>
      </c>
      <c r="E2011" s="90" t="str">
        <f>IF('Product List'!B2011="","",'Product List'!B2011)</f>
        <v/>
      </c>
    </row>
    <row r="2012" spans="4:5">
      <c r="D2012" s="90" t="str">
        <f>IF('Product List'!C2012="","",'Product List'!C2012)</f>
        <v/>
      </c>
      <c r="E2012" s="90" t="str">
        <f>IF('Product List'!B2012="","",'Product List'!B2012)</f>
        <v/>
      </c>
    </row>
    <row r="2013" spans="4:5">
      <c r="D2013" s="90" t="str">
        <f>IF('Product List'!C2013="","",'Product List'!C2013)</f>
        <v/>
      </c>
      <c r="E2013" s="90" t="str">
        <f>IF('Product List'!B2013="","",'Product List'!B2013)</f>
        <v/>
      </c>
    </row>
    <row r="2014" spans="4:5">
      <c r="D2014" s="90" t="str">
        <f>IF('Product List'!C2014="","",'Product List'!C2014)</f>
        <v/>
      </c>
      <c r="E2014" s="90" t="str">
        <f>IF('Product List'!B2014="","",'Product List'!B2014)</f>
        <v/>
      </c>
    </row>
    <row r="2015" spans="4:5">
      <c r="D2015" s="90" t="str">
        <f>IF('Product List'!C2015="","",'Product List'!C2015)</f>
        <v/>
      </c>
      <c r="E2015" s="90" t="str">
        <f>IF('Product List'!B2015="","",'Product List'!B2015)</f>
        <v/>
      </c>
    </row>
    <row r="2016" spans="4:5">
      <c r="D2016" s="90" t="str">
        <f>IF('Product List'!C2016="","",'Product List'!C2016)</f>
        <v/>
      </c>
      <c r="E2016" s="90" t="str">
        <f>IF('Product List'!B2016="","",'Product List'!B2016)</f>
        <v/>
      </c>
    </row>
    <row r="2017" spans="4:5">
      <c r="D2017" s="90" t="str">
        <f>IF('Product List'!C2017="","",'Product List'!C2017)</f>
        <v/>
      </c>
      <c r="E2017" s="90" t="str">
        <f>IF('Product List'!B2017="","",'Product List'!B2017)</f>
        <v/>
      </c>
    </row>
    <row r="2018" spans="4:5">
      <c r="D2018" s="90" t="str">
        <f>IF('Product List'!C2018="","",'Product List'!C2018)</f>
        <v/>
      </c>
      <c r="E2018" s="90" t="str">
        <f>IF('Product List'!B2018="","",'Product List'!B2018)</f>
        <v/>
      </c>
    </row>
    <row r="2019" spans="4:5">
      <c r="D2019" s="90" t="str">
        <f>IF('Product List'!C2019="","",'Product List'!C2019)</f>
        <v/>
      </c>
      <c r="E2019" s="90" t="str">
        <f>IF('Product List'!B2019="","",'Product List'!B2019)</f>
        <v/>
      </c>
    </row>
    <row r="2020" spans="4:5">
      <c r="D2020" s="90" t="str">
        <f>IF('Product List'!C2020="","",'Product List'!C2020)</f>
        <v/>
      </c>
      <c r="E2020" s="90" t="str">
        <f>IF('Product List'!B2020="","",'Product List'!B2020)</f>
        <v/>
      </c>
    </row>
    <row r="2021" spans="4:5">
      <c r="D2021" s="90" t="str">
        <f>IF('Product List'!C2021="","",'Product List'!C2021)</f>
        <v/>
      </c>
      <c r="E2021" s="90" t="str">
        <f>IF('Product List'!B2021="","",'Product List'!B2021)</f>
        <v/>
      </c>
    </row>
    <row r="2022" spans="4:5">
      <c r="D2022" s="90" t="str">
        <f>IF('Product List'!C2022="","",'Product List'!C2022)</f>
        <v/>
      </c>
      <c r="E2022" s="90" t="str">
        <f>IF('Product List'!B2022="","",'Product List'!B2022)</f>
        <v/>
      </c>
    </row>
    <row r="2023" spans="4:5">
      <c r="D2023" s="90" t="str">
        <f>IF('Product List'!C2023="","",'Product List'!C2023)</f>
        <v/>
      </c>
      <c r="E2023" s="90" t="str">
        <f>IF('Product List'!B2023="","",'Product List'!B2023)</f>
        <v/>
      </c>
    </row>
    <row r="2024" spans="4:5">
      <c r="D2024" s="90" t="str">
        <f>IF('Product List'!C2024="","",'Product List'!C2024)</f>
        <v/>
      </c>
      <c r="E2024" s="90" t="str">
        <f>IF('Product List'!B2024="","",'Product List'!B2024)</f>
        <v/>
      </c>
    </row>
    <row r="2025" spans="4:5">
      <c r="D2025" s="90" t="str">
        <f>IF('Product List'!C2025="","",'Product List'!C2025)</f>
        <v/>
      </c>
      <c r="E2025" s="90" t="str">
        <f>IF('Product List'!B2025="","",'Product List'!B2025)</f>
        <v/>
      </c>
    </row>
    <row r="2026" spans="4:5">
      <c r="D2026" s="90" t="str">
        <f>IF('Product List'!C2026="","",'Product List'!C2026)</f>
        <v/>
      </c>
      <c r="E2026" s="90" t="str">
        <f>IF('Product List'!B2026="","",'Product List'!B2026)</f>
        <v/>
      </c>
    </row>
    <row r="2027" spans="4:5">
      <c r="D2027" s="90" t="str">
        <f>IF('Product List'!C2027="","",'Product List'!C2027)</f>
        <v/>
      </c>
      <c r="E2027" s="90" t="str">
        <f>IF('Product List'!B2027="","",'Product List'!B2027)</f>
        <v/>
      </c>
    </row>
    <row r="2028" spans="4:5">
      <c r="D2028" s="90" t="str">
        <f>IF('Product List'!C2028="","",'Product List'!C2028)</f>
        <v/>
      </c>
      <c r="E2028" s="90" t="str">
        <f>IF('Product List'!B2028="","",'Product List'!B2028)</f>
        <v/>
      </c>
    </row>
    <row r="2029" spans="4:5">
      <c r="D2029" s="90" t="str">
        <f>IF('Product List'!C2029="","",'Product List'!C2029)</f>
        <v/>
      </c>
      <c r="E2029" s="90" t="str">
        <f>IF('Product List'!B2029="","",'Product List'!B2029)</f>
        <v/>
      </c>
    </row>
    <row r="2030" spans="4:5">
      <c r="D2030" s="90" t="str">
        <f>IF('Product List'!C2030="","",'Product List'!C2030)</f>
        <v/>
      </c>
      <c r="E2030" s="90" t="str">
        <f>IF('Product List'!B2030="","",'Product List'!B2030)</f>
        <v/>
      </c>
    </row>
    <row r="2031" spans="4:5">
      <c r="D2031" s="90" t="str">
        <f>IF('Product List'!C2031="","",'Product List'!C2031)</f>
        <v/>
      </c>
      <c r="E2031" s="90" t="str">
        <f>IF('Product List'!B2031="","",'Product List'!B2031)</f>
        <v/>
      </c>
    </row>
    <row r="2032" spans="4:5">
      <c r="D2032" s="90" t="str">
        <f>IF('Product List'!C2032="","",'Product List'!C2032)</f>
        <v/>
      </c>
      <c r="E2032" s="90" t="str">
        <f>IF('Product List'!B2032="","",'Product List'!B2032)</f>
        <v/>
      </c>
    </row>
    <row r="2033" spans="4:5">
      <c r="D2033" s="90" t="str">
        <f>IF('Product List'!C2033="","",'Product List'!C2033)</f>
        <v/>
      </c>
      <c r="E2033" s="90" t="str">
        <f>IF('Product List'!B2033="","",'Product List'!B2033)</f>
        <v/>
      </c>
    </row>
    <row r="2034" spans="4:5">
      <c r="D2034" s="90" t="str">
        <f>IF('Product List'!C2034="","",'Product List'!C2034)</f>
        <v/>
      </c>
      <c r="E2034" s="90" t="str">
        <f>IF('Product List'!B2034="","",'Product List'!B2034)</f>
        <v/>
      </c>
    </row>
    <row r="2035" spans="4:5">
      <c r="D2035" s="90" t="str">
        <f>IF('Product List'!C2035="","",'Product List'!C2035)</f>
        <v/>
      </c>
      <c r="E2035" s="90" t="str">
        <f>IF('Product List'!B2035="","",'Product List'!B2035)</f>
        <v/>
      </c>
    </row>
    <row r="2036" spans="4:5">
      <c r="D2036" s="90" t="str">
        <f>IF('Product List'!C2036="","",'Product List'!C2036)</f>
        <v/>
      </c>
      <c r="E2036" s="90" t="str">
        <f>IF('Product List'!B2036="","",'Product List'!B2036)</f>
        <v/>
      </c>
    </row>
    <row r="2037" spans="4:5">
      <c r="D2037" s="90" t="str">
        <f>IF('Product List'!C2037="","",'Product List'!C2037)</f>
        <v/>
      </c>
      <c r="E2037" s="90" t="str">
        <f>IF('Product List'!B2037="","",'Product List'!B2037)</f>
        <v/>
      </c>
    </row>
    <row r="2038" spans="4:5">
      <c r="D2038" s="90" t="str">
        <f>IF('Product List'!C2038="","",'Product List'!C2038)</f>
        <v/>
      </c>
      <c r="E2038" s="90" t="str">
        <f>IF('Product List'!B2038="","",'Product List'!B2038)</f>
        <v/>
      </c>
    </row>
    <row r="2039" spans="4:5">
      <c r="D2039" s="90" t="str">
        <f>IF('Product List'!C2039="","",'Product List'!C2039)</f>
        <v/>
      </c>
      <c r="E2039" s="90" t="str">
        <f>IF('Product List'!B2039="","",'Product List'!B2039)</f>
        <v/>
      </c>
    </row>
    <row r="2040" spans="4:5">
      <c r="D2040" s="90" t="str">
        <f>IF('Product List'!C2040="","",'Product List'!C2040)</f>
        <v/>
      </c>
      <c r="E2040" s="90" t="str">
        <f>IF('Product List'!B2040="","",'Product List'!B2040)</f>
        <v/>
      </c>
    </row>
    <row r="2041" spans="4:5">
      <c r="D2041" s="90" t="str">
        <f>IF('Product List'!C2041="","",'Product List'!C2041)</f>
        <v/>
      </c>
      <c r="E2041" s="90" t="str">
        <f>IF('Product List'!B2041="","",'Product List'!B2041)</f>
        <v/>
      </c>
    </row>
    <row r="2042" spans="4:5">
      <c r="D2042" s="90" t="str">
        <f>IF('Product List'!C2042="","",'Product List'!C2042)</f>
        <v/>
      </c>
      <c r="E2042" s="90" t="str">
        <f>IF('Product List'!B2042="","",'Product List'!B2042)</f>
        <v/>
      </c>
    </row>
    <row r="2043" spans="4:5">
      <c r="D2043" s="90" t="str">
        <f>IF('Product List'!C2043="","",'Product List'!C2043)</f>
        <v/>
      </c>
      <c r="E2043" s="90" t="str">
        <f>IF('Product List'!B2043="","",'Product List'!B2043)</f>
        <v/>
      </c>
    </row>
    <row r="2044" spans="4:5">
      <c r="D2044" s="90" t="str">
        <f>IF('Product List'!C2044="","",'Product List'!C2044)</f>
        <v/>
      </c>
      <c r="E2044" s="90" t="str">
        <f>IF('Product List'!B2044="","",'Product List'!B2044)</f>
        <v/>
      </c>
    </row>
    <row r="2045" spans="4:5">
      <c r="D2045" s="90" t="str">
        <f>IF('Product List'!C2045="","",'Product List'!C2045)</f>
        <v/>
      </c>
      <c r="E2045" s="90" t="str">
        <f>IF('Product List'!B2045="","",'Product List'!B2045)</f>
        <v/>
      </c>
    </row>
    <row r="2046" spans="4:5">
      <c r="D2046" s="90" t="str">
        <f>IF('Product List'!C2046="","",'Product List'!C2046)</f>
        <v/>
      </c>
      <c r="E2046" s="90" t="str">
        <f>IF('Product List'!B2046="","",'Product List'!B2046)</f>
        <v/>
      </c>
    </row>
    <row r="2047" spans="4:5">
      <c r="D2047" s="90" t="str">
        <f>IF('Product List'!C2047="","",'Product List'!C2047)</f>
        <v/>
      </c>
      <c r="E2047" s="90" t="str">
        <f>IF('Product List'!B2047="","",'Product List'!B2047)</f>
        <v/>
      </c>
    </row>
    <row r="2048" spans="4:5">
      <c r="D2048" s="90" t="str">
        <f>IF('Product List'!C2048="","",'Product List'!C2048)</f>
        <v/>
      </c>
      <c r="E2048" s="90" t="str">
        <f>IF('Product List'!B2048="","",'Product List'!B2048)</f>
        <v/>
      </c>
    </row>
    <row r="2049" spans="4:5">
      <c r="D2049" s="90" t="str">
        <f>IF('Product List'!C2049="","",'Product List'!C2049)</f>
        <v/>
      </c>
      <c r="E2049" s="90" t="str">
        <f>IF('Product List'!B2049="","",'Product List'!B2049)</f>
        <v/>
      </c>
    </row>
    <row r="2050" spans="4:5">
      <c r="D2050" s="90" t="str">
        <f>IF('Product List'!C2050="","",'Product List'!C2050)</f>
        <v/>
      </c>
      <c r="E2050" s="90" t="str">
        <f>IF('Product List'!B2050="","",'Product List'!B2050)</f>
        <v/>
      </c>
    </row>
    <row r="2051" spans="4:5">
      <c r="D2051" s="90" t="str">
        <f>IF('Product List'!C2051="","",'Product List'!C2051)</f>
        <v/>
      </c>
      <c r="E2051" s="90" t="str">
        <f>IF('Product List'!B2051="","",'Product List'!B2051)</f>
        <v/>
      </c>
    </row>
    <row r="2052" spans="4:5">
      <c r="D2052" s="90" t="str">
        <f>IF('Product List'!C2052="","",'Product List'!C2052)</f>
        <v/>
      </c>
      <c r="E2052" s="90" t="str">
        <f>IF('Product List'!B2052="","",'Product List'!B2052)</f>
        <v/>
      </c>
    </row>
    <row r="2053" spans="4:5">
      <c r="D2053" s="90" t="str">
        <f>IF('Product List'!C2053="","",'Product List'!C2053)</f>
        <v/>
      </c>
      <c r="E2053" s="90" t="str">
        <f>IF('Product List'!B2053="","",'Product List'!B2053)</f>
        <v/>
      </c>
    </row>
    <row r="2054" spans="4:5">
      <c r="D2054" s="90" t="str">
        <f>IF('Product List'!C2054="","",'Product List'!C2054)</f>
        <v/>
      </c>
      <c r="E2054" s="90" t="str">
        <f>IF('Product List'!B2054="","",'Product List'!B2054)</f>
        <v/>
      </c>
    </row>
    <row r="2055" spans="4:5">
      <c r="D2055" s="90" t="str">
        <f>IF('Product List'!C2055="","",'Product List'!C2055)</f>
        <v/>
      </c>
      <c r="E2055" s="90" t="str">
        <f>IF('Product List'!B2055="","",'Product List'!B2055)</f>
        <v/>
      </c>
    </row>
    <row r="2056" spans="4:5">
      <c r="D2056" s="90" t="str">
        <f>IF('Product List'!C2056="","",'Product List'!C2056)</f>
        <v/>
      </c>
      <c r="E2056" s="90" t="str">
        <f>IF('Product List'!B2056="","",'Product List'!B2056)</f>
        <v/>
      </c>
    </row>
    <row r="2057" spans="4:5">
      <c r="D2057" s="90" t="str">
        <f>IF('Product List'!C2057="","",'Product List'!C2057)</f>
        <v/>
      </c>
      <c r="E2057" s="90" t="str">
        <f>IF('Product List'!B2057="","",'Product List'!B2057)</f>
        <v/>
      </c>
    </row>
    <row r="2058" spans="4:5">
      <c r="D2058" s="90" t="str">
        <f>IF('Product List'!C2058="","",'Product List'!C2058)</f>
        <v/>
      </c>
      <c r="E2058" s="90" t="str">
        <f>IF('Product List'!B2058="","",'Product List'!B2058)</f>
        <v/>
      </c>
    </row>
    <row r="2059" spans="4:5">
      <c r="D2059" s="90" t="str">
        <f>IF('Product List'!C2059="","",'Product List'!C2059)</f>
        <v/>
      </c>
      <c r="E2059" s="90" t="str">
        <f>IF('Product List'!B2059="","",'Product List'!B2059)</f>
        <v/>
      </c>
    </row>
    <row r="2060" spans="4:5">
      <c r="D2060" s="90" t="str">
        <f>IF('Product List'!C2060="","",'Product List'!C2060)</f>
        <v/>
      </c>
      <c r="E2060" s="90" t="str">
        <f>IF('Product List'!B2060="","",'Product List'!B2060)</f>
        <v/>
      </c>
    </row>
    <row r="2061" spans="4:5">
      <c r="D2061" s="90" t="str">
        <f>IF('Product List'!C2061="","",'Product List'!C2061)</f>
        <v/>
      </c>
      <c r="E2061" s="90" t="str">
        <f>IF('Product List'!B2061="","",'Product List'!B2061)</f>
        <v/>
      </c>
    </row>
    <row r="2062" spans="4:5">
      <c r="D2062" s="90" t="str">
        <f>IF('Product List'!C2062="","",'Product List'!C2062)</f>
        <v/>
      </c>
      <c r="E2062" s="90" t="str">
        <f>IF('Product List'!B2062="","",'Product List'!B2062)</f>
        <v/>
      </c>
    </row>
    <row r="2063" spans="4:5">
      <c r="D2063" s="90" t="str">
        <f>IF('Product List'!C2063="","",'Product List'!C2063)</f>
        <v/>
      </c>
      <c r="E2063" s="90" t="str">
        <f>IF('Product List'!B2063="","",'Product List'!B2063)</f>
        <v/>
      </c>
    </row>
    <row r="2064" spans="4:5">
      <c r="D2064" s="90" t="str">
        <f>IF('Product List'!C2064="","",'Product List'!C2064)</f>
        <v/>
      </c>
      <c r="E2064" s="90" t="str">
        <f>IF('Product List'!B2064="","",'Product List'!B2064)</f>
        <v/>
      </c>
    </row>
    <row r="2065" spans="4:5">
      <c r="D2065" s="90" t="str">
        <f>IF('Product List'!C2065="","",'Product List'!C2065)</f>
        <v/>
      </c>
      <c r="E2065" s="90" t="str">
        <f>IF('Product List'!B2065="","",'Product List'!B2065)</f>
        <v/>
      </c>
    </row>
    <row r="2066" spans="4:5">
      <c r="D2066" s="90" t="str">
        <f>IF('Product List'!C2066="","",'Product List'!C2066)</f>
        <v/>
      </c>
      <c r="E2066" s="90" t="str">
        <f>IF('Product List'!B2066="","",'Product List'!B2066)</f>
        <v/>
      </c>
    </row>
    <row r="2067" spans="4:5">
      <c r="D2067" s="90" t="str">
        <f>IF('Product List'!C2067="","",'Product List'!C2067)</f>
        <v/>
      </c>
      <c r="E2067" s="90" t="str">
        <f>IF('Product List'!B2067="","",'Product List'!B2067)</f>
        <v/>
      </c>
    </row>
    <row r="2068" spans="4:5">
      <c r="D2068" s="90" t="str">
        <f>IF('Product List'!C2068="","",'Product List'!C2068)</f>
        <v/>
      </c>
      <c r="E2068" s="90" t="str">
        <f>IF('Product List'!B2068="","",'Product List'!B2068)</f>
        <v/>
      </c>
    </row>
    <row r="2069" spans="4:5">
      <c r="D2069" s="90" t="str">
        <f>IF('Product List'!C2069="","",'Product List'!C2069)</f>
        <v/>
      </c>
      <c r="E2069" s="90" t="str">
        <f>IF('Product List'!B2069="","",'Product List'!B2069)</f>
        <v/>
      </c>
    </row>
    <row r="2070" spans="4:5">
      <c r="D2070" s="90" t="str">
        <f>IF('Product List'!C2070="","",'Product List'!C2070)</f>
        <v/>
      </c>
      <c r="E2070" s="90" t="str">
        <f>IF('Product List'!B2070="","",'Product List'!B2070)</f>
        <v/>
      </c>
    </row>
    <row r="2071" spans="4:5">
      <c r="D2071" s="90" t="str">
        <f>IF('Product List'!C2071="","",'Product List'!C2071)</f>
        <v/>
      </c>
      <c r="E2071" s="90" t="str">
        <f>IF('Product List'!B2071="","",'Product List'!B2071)</f>
        <v/>
      </c>
    </row>
    <row r="2072" spans="4:5">
      <c r="D2072" s="90" t="str">
        <f>IF('Product List'!C2072="","",'Product List'!C2072)</f>
        <v/>
      </c>
      <c r="E2072" s="90" t="str">
        <f>IF('Product List'!B2072="","",'Product List'!B2072)</f>
        <v/>
      </c>
    </row>
    <row r="2073" spans="4:5">
      <c r="D2073" s="90" t="str">
        <f>IF('Product List'!C2073="","",'Product List'!C2073)</f>
        <v/>
      </c>
      <c r="E2073" s="90" t="str">
        <f>IF('Product List'!B2073="","",'Product List'!B2073)</f>
        <v/>
      </c>
    </row>
    <row r="2074" spans="4:5">
      <c r="D2074" s="90" t="str">
        <f>IF('Product List'!C2074="","",'Product List'!C2074)</f>
        <v/>
      </c>
      <c r="E2074" s="90" t="str">
        <f>IF('Product List'!B2074="","",'Product List'!B2074)</f>
        <v/>
      </c>
    </row>
    <row r="2075" spans="4:5">
      <c r="D2075" s="90" t="str">
        <f>IF('Product List'!C2075="","",'Product List'!C2075)</f>
        <v/>
      </c>
      <c r="E2075" s="90" t="str">
        <f>IF('Product List'!B2075="","",'Product List'!B2075)</f>
        <v/>
      </c>
    </row>
    <row r="2076" spans="4:5">
      <c r="D2076" s="90" t="str">
        <f>IF('Product List'!C2076="","",'Product List'!C2076)</f>
        <v/>
      </c>
      <c r="E2076" s="90" t="str">
        <f>IF('Product List'!B2076="","",'Product List'!B2076)</f>
        <v/>
      </c>
    </row>
    <row r="2077" spans="4:5">
      <c r="D2077" s="90" t="str">
        <f>IF('Product List'!C2077="","",'Product List'!C2077)</f>
        <v/>
      </c>
      <c r="E2077" s="90" t="str">
        <f>IF('Product List'!B2077="","",'Product List'!B2077)</f>
        <v/>
      </c>
    </row>
    <row r="2078" spans="4:5">
      <c r="D2078" s="90" t="str">
        <f>IF('Product List'!C2078="","",'Product List'!C2078)</f>
        <v/>
      </c>
      <c r="E2078" s="90" t="str">
        <f>IF('Product List'!B2078="","",'Product List'!B2078)</f>
        <v/>
      </c>
    </row>
    <row r="2079" spans="4:5">
      <c r="D2079" s="90" t="str">
        <f>IF('Product List'!C2079="","",'Product List'!C2079)</f>
        <v/>
      </c>
      <c r="E2079" s="90" t="str">
        <f>IF('Product List'!B2079="","",'Product List'!B2079)</f>
        <v/>
      </c>
    </row>
    <row r="2080" spans="4:5">
      <c r="D2080" s="90" t="str">
        <f>IF('Product List'!C2080="","",'Product List'!C2080)</f>
        <v/>
      </c>
      <c r="E2080" s="90" t="str">
        <f>IF('Product List'!B2080="","",'Product List'!B2080)</f>
        <v/>
      </c>
    </row>
    <row r="2081" spans="4:5">
      <c r="D2081" s="90" t="str">
        <f>IF('Product List'!C2081="","",'Product List'!C2081)</f>
        <v/>
      </c>
      <c r="E2081" s="90" t="str">
        <f>IF('Product List'!B2081="","",'Product List'!B2081)</f>
        <v/>
      </c>
    </row>
    <row r="2082" spans="4:5">
      <c r="D2082" s="90" t="str">
        <f>IF('Product List'!C2082="","",'Product List'!C2082)</f>
        <v/>
      </c>
      <c r="E2082" s="90" t="str">
        <f>IF('Product List'!B2082="","",'Product List'!B2082)</f>
        <v/>
      </c>
    </row>
    <row r="2083" spans="4:5">
      <c r="D2083" s="90" t="str">
        <f>IF('Product List'!C2083="","",'Product List'!C2083)</f>
        <v/>
      </c>
      <c r="E2083" s="90" t="str">
        <f>IF('Product List'!B2083="","",'Product List'!B2083)</f>
        <v/>
      </c>
    </row>
    <row r="2084" spans="4:5">
      <c r="D2084" s="90" t="str">
        <f>IF('Product List'!C2084="","",'Product List'!C2084)</f>
        <v/>
      </c>
      <c r="E2084" s="90" t="str">
        <f>IF('Product List'!B2084="","",'Product List'!B2084)</f>
        <v/>
      </c>
    </row>
    <row r="2085" spans="4:5">
      <c r="D2085" s="90" t="str">
        <f>IF('Product List'!C2085="","",'Product List'!C2085)</f>
        <v/>
      </c>
      <c r="E2085" s="90" t="str">
        <f>IF('Product List'!B2085="","",'Product List'!B2085)</f>
        <v/>
      </c>
    </row>
    <row r="2086" spans="4:5">
      <c r="D2086" s="90" t="str">
        <f>IF('Product List'!C2086="","",'Product List'!C2086)</f>
        <v/>
      </c>
      <c r="E2086" s="90" t="str">
        <f>IF('Product List'!B2086="","",'Product List'!B2086)</f>
        <v/>
      </c>
    </row>
    <row r="2087" spans="4:5">
      <c r="D2087" s="90" t="str">
        <f>IF('Product List'!C2087="","",'Product List'!C2087)</f>
        <v/>
      </c>
      <c r="E2087" s="90" t="str">
        <f>IF('Product List'!B2087="","",'Product List'!B2087)</f>
        <v/>
      </c>
    </row>
    <row r="2088" spans="4:5">
      <c r="D2088" s="90" t="str">
        <f>IF('Product List'!C2088="","",'Product List'!C2088)</f>
        <v/>
      </c>
      <c r="E2088" s="90" t="str">
        <f>IF('Product List'!B2088="","",'Product List'!B2088)</f>
        <v/>
      </c>
    </row>
    <row r="2089" spans="4:5">
      <c r="D2089" s="90" t="str">
        <f>IF('Product List'!C2089="","",'Product List'!C2089)</f>
        <v/>
      </c>
      <c r="E2089" s="90" t="str">
        <f>IF('Product List'!B2089="","",'Product List'!B2089)</f>
        <v/>
      </c>
    </row>
    <row r="2090" spans="4:5">
      <c r="D2090" s="90" t="str">
        <f>IF('Product List'!C2090="","",'Product List'!C2090)</f>
        <v/>
      </c>
      <c r="E2090" s="90" t="str">
        <f>IF('Product List'!B2090="","",'Product List'!B2090)</f>
        <v/>
      </c>
    </row>
    <row r="2091" spans="4:5">
      <c r="D2091" s="90" t="str">
        <f>IF('Product List'!C2091="","",'Product List'!C2091)</f>
        <v/>
      </c>
      <c r="E2091" s="90" t="str">
        <f>IF('Product List'!B2091="","",'Product List'!B2091)</f>
        <v/>
      </c>
    </row>
    <row r="2092" spans="4:5">
      <c r="D2092" s="90" t="str">
        <f>IF('Product List'!C2092="","",'Product List'!C2092)</f>
        <v/>
      </c>
      <c r="E2092" s="90" t="str">
        <f>IF('Product List'!B2092="","",'Product List'!B2092)</f>
        <v/>
      </c>
    </row>
    <row r="2093" spans="4:5">
      <c r="D2093" s="90" t="str">
        <f>IF('Product List'!C2093="","",'Product List'!C2093)</f>
        <v/>
      </c>
      <c r="E2093" s="90" t="str">
        <f>IF('Product List'!B2093="","",'Product List'!B2093)</f>
        <v/>
      </c>
    </row>
    <row r="2094" spans="4:5">
      <c r="D2094" s="90" t="str">
        <f>IF('Product List'!C2094="","",'Product List'!C2094)</f>
        <v/>
      </c>
      <c r="E2094" s="90" t="str">
        <f>IF('Product List'!B2094="","",'Product List'!B2094)</f>
        <v/>
      </c>
    </row>
    <row r="2095" spans="4:5">
      <c r="D2095" s="90" t="str">
        <f>IF('Product List'!C2095="","",'Product List'!C2095)</f>
        <v/>
      </c>
      <c r="E2095" s="90" t="str">
        <f>IF('Product List'!B2095="","",'Product List'!B2095)</f>
        <v/>
      </c>
    </row>
    <row r="2096" spans="4:5">
      <c r="D2096" s="90" t="str">
        <f>IF('Product List'!C2096="","",'Product List'!C2096)</f>
        <v/>
      </c>
      <c r="E2096" s="90" t="str">
        <f>IF('Product List'!B2096="","",'Product List'!B2096)</f>
        <v/>
      </c>
    </row>
    <row r="2097" spans="4:5">
      <c r="D2097" s="90" t="str">
        <f>IF('Product List'!C2097="","",'Product List'!C2097)</f>
        <v/>
      </c>
      <c r="E2097" s="90" t="str">
        <f>IF('Product List'!B2097="","",'Product List'!B2097)</f>
        <v/>
      </c>
    </row>
    <row r="2098" spans="4:5">
      <c r="D2098" s="90" t="str">
        <f>IF('Product List'!C2098="","",'Product List'!C2098)</f>
        <v/>
      </c>
      <c r="E2098" s="90" t="str">
        <f>IF('Product List'!B2098="","",'Product List'!B2098)</f>
        <v/>
      </c>
    </row>
    <row r="2099" spans="4:5">
      <c r="D2099" s="90" t="str">
        <f>IF('Product List'!C2099="","",'Product List'!C2099)</f>
        <v/>
      </c>
      <c r="E2099" s="90" t="str">
        <f>IF('Product List'!B2099="","",'Product List'!B2099)</f>
        <v/>
      </c>
    </row>
    <row r="2100" spans="4:5">
      <c r="D2100" s="90" t="str">
        <f>IF('Product List'!C2100="","",'Product List'!C2100)</f>
        <v/>
      </c>
      <c r="E2100" s="90" t="str">
        <f>IF('Product List'!B2100="","",'Product List'!B2100)</f>
        <v/>
      </c>
    </row>
    <row r="2101" spans="4:5">
      <c r="D2101" s="90" t="str">
        <f>IF('Product List'!C2101="","",'Product List'!C2101)</f>
        <v/>
      </c>
      <c r="E2101" s="90" t="str">
        <f>IF('Product List'!B2101="","",'Product List'!B2101)</f>
        <v/>
      </c>
    </row>
    <row r="2102" spans="4:5">
      <c r="D2102" s="90" t="str">
        <f>IF('Product List'!C2102="","",'Product List'!C2102)</f>
        <v/>
      </c>
      <c r="E2102" s="90" t="str">
        <f>IF('Product List'!B2102="","",'Product List'!B2102)</f>
        <v/>
      </c>
    </row>
    <row r="2103" spans="4:5">
      <c r="D2103" s="90" t="str">
        <f>IF('Product List'!C2103="","",'Product List'!C2103)</f>
        <v/>
      </c>
      <c r="E2103" s="90" t="str">
        <f>IF('Product List'!B2103="","",'Product List'!B2103)</f>
        <v/>
      </c>
    </row>
    <row r="2104" spans="4:5">
      <c r="D2104" s="90" t="str">
        <f>IF('Product List'!C2104="","",'Product List'!C2104)</f>
        <v/>
      </c>
      <c r="E2104" s="90" t="str">
        <f>IF('Product List'!B2104="","",'Product List'!B2104)</f>
        <v/>
      </c>
    </row>
    <row r="2105" spans="4:5">
      <c r="D2105" s="90" t="str">
        <f>IF('Product List'!C2105="","",'Product List'!C2105)</f>
        <v/>
      </c>
      <c r="E2105" s="90" t="str">
        <f>IF('Product List'!B2105="","",'Product List'!B2105)</f>
        <v/>
      </c>
    </row>
    <row r="2106" spans="4:5">
      <c r="D2106" s="90" t="str">
        <f>IF('Product List'!C2106="","",'Product List'!C2106)</f>
        <v/>
      </c>
      <c r="E2106" s="90" t="str">
        <f>IF('Product List'!B2106="","",'Product List'!B2106)</f>
        <v/>
      </c>
    </row>
    <row r="2107" spans="4:5">
      <c r="D2107" s="90" t="str">
        <f>IF('Product List'!C2107="","",'Product List'!C2107)</f>
        <v/>
      </c>
      <c r="E2107" s="90" t="str">
        <f>IF('Product List'!B2107="","",'Product List'!B2107)</f>
        <v/>
      </c>
    </row>
    <row r="2108" spans="4:5">
      <c r="D2108" s="90" t="str">
        <f>IF('Product List'!C2108="","",'Product List'!C2108)</f>
        <v/>
      </c>
      <c r="E2108" s="90" t="str">
        <f>IF('Product List'!B2108="","",'Product List'!B2108)</f>
        <v/>
      </c>
    </row>
    <row r="2109" spans="4:5">
      <c r="D2109" s="90" t="str">
        <f>IF('Product List'!C2109="","",'Product List'!C2109)</f>
        <v/>
      </c>
      <c r="E2109" s="90" t="str">
        <f>IF('Product List'!B2109="","",'Product List'!B2109)</f>
        <v/>
      </c>
    </row>
    <row r="2110" spans="4:5">
      <c r="D2110" s="90" t="str">
        <f>IF('Product List'!C2110="","",'Product List'!C2110)</f>
        <v/>
      </c>
      <c r="E2110" s="90" t="str">
        <f>IF('Product List'!B2110="","",'Product List'!B2110)</f>
        <v/>
      </c>
    </row>
    <row r="2111" spans="4:5">
      <c r="D2111" s="90" t="str">
        <f>IF('Product List'!C2111="","",'Product List'!C2111)</f>
        <v/>
      </c>
      <c r="E2111" s="90" t="str">
        <f>IF('Product List'!B2111="","",'Product List'!B2111)</f>
        <v/>
      </c>
    </row>
    <row r="2112" spans="4:5">
      <c r="D2112" s="90" t="str">
        <f>IF('Product List'!C2112="","",'Product List'!C2112)</f>
        <v/>
      </c>
      <c r="E2112" s="90" t="str">
        <f>IF('Product List'!B2112="","",'Product List'!B2112)</f>
        <v/>
      </c>
    </row>
    <row r="2113" spans="4:5">
      <c r="D2113" s="90" t="str">
        <f>IF('Product List'!C2113="","",'Product List'!C2113)</f>
        <v/>
      </c>
      <c r="E2113" s="90" t="str">
        <f>IF('Product List'!B2113="","",'Product List'!B2113)</f>
        <v/>
      </c>
    </row>
    <row r="2114" spans="4:5">
      <c r="D2114" s="90" t="str">
        <f>IF('Product List'!C2114="","",'Product List'!C2114)</f>
        <v/>
      </c>
      <c r="E2114" s="90" t="str">
        <f>IF('Product List'!B2114="","",'Product List'!B2114)</f>
        <v/>
      </c>
    </row>
    <row r="2115" spans="4:5">
      <c r="D2115" s="90" t="str">
        <f>IF('Product List'!C2115="","",'Product List'!C2115)</f>
        <v/>
      </c>
      <c r="E2115" s="90" t="str">
        <f>IF('Product List'!B2115="","",'Product List'!B2115)</f>
        <v/>
      </c>
    </row>
    <row r="2116" spans="4:5">
      <c r="D2116" s="90" t="str">
        <f>IF('Product List'!C2116="","",'Product List'!C2116)</f>
        <v/>
      </c>
      <c r="E2116" s="90" t="str">
        <f>IF('Product List'!B2116="","",'Product List'!B2116)</f>
        <v/>
      </c>
    </row>
    <row r="2117" spans="4:5">
      <c r="D2117" s="90" t="str">
        <f>IF('Product List'!C2117="","",'Product List'!C2117)</f>
        <v/>
      </c>
      <c r="E2117" s="90" t="str">
        <f>IF('Product List'!B2117="","",'Product List'!B2117)</f>
        <v/>
      </c>
    </row>
    <row r="2118" spans="4:5">
      <c r="D2118" s="90" t="str">
        <f>IF('Product List'!C2118="","",'Product List'!C2118)</f>
        <v/>
      </c>
      <c r="E2118" s="90" t="str">
        <f>IF('Product List'!B2118="","",'Product List'!B2118)</f>
        <v/>
      </c>
    </row>
    <row r="2119" spans="4:5">
      <c r="D2119" s="90" t="str">
        <f>IF('Product List'!C2119="","",'Product List'!C2119)</f>
        <v/>
      </c>
      <c r="E2119" s="90" t="str">
        <f>IF('Product List'!B2119="","",'Product List'!B2119)</f>
        <v/>
      </c>
    </row>
    <row r="2120" spans="4:5">
      <c r="D2120" s="90" t="str">
        <f>IF('Product List'!C2120="","",'Product List'!C2120)</f>
        <v/>
      </c>
      <c r="E2120" s="90" t="str">
        <f>IF('Product List'!B2120="","",'Product List'!B2120)</f>
        <v/>
      </c>
    </row>
    <row r="2121" spans="4:5">
      <c r="D2121" s="90" t="str">
        <f>IF('Product List'!C2121="","",'Product List'!C2121)</f>
        <v/>
      </c>
      <c r="E2121" s="90" t="str">
        <f>IF('Product List'!B2121="","",'Product List'!B2121)</f>
        <v/>
      </c>
    </row>
    <row r="2122" spans="4:5">
      <c r="D2122" s="90" t="str">
        <f>IF('Product List'!C2122="","",'Product List'!C2122)</f>
        <v/>
      </c>
      <c r="E2122" s="90" t="str">
        <f>IF('Product List'!B2122="","",'Product List'!B2122)</f>
        <v/>
      </c>
    </row>
    <row r="2123" spans="4:5">
      <c r="D2123" s="90" t="str">
        <f>IF('Product List'!C2123="","",'Product List'!C2123)</f>
        <v/>
      </c>
      <c r="E2123" s="90" t="str">
        <f>IF('Product List'!B2123="","",'Product List'!B2123)</f>
        <v/>
      </c>
    </row>
    <row r="2124" spans="4:5">
      <c r="D2124" s="90" t="str">
        <f>IF('Product List'!C2124="","",'Product List'!C2124)</f>
        <v/>
      </c>
      <c r="E2124" s="90" t="str">
        <f>IF('Product List'!B2124="","",'Product List'!B2124)</f>
        <v/>
      </c>
    </row>
    <row r="2125" spans="4:5">
      <c r="D2125" s="90" t="str">
        <f>IF('Product List'!C2125="","",'Product List'!C2125)</f>
        <v/>
      </c>
      <c r="E2125" s="90" t="str">
        <f>IF('Product List'!B2125="","",'Product List'!B2125)</f>
        <v/>
      </c>
    </row>
    <row r="2126" spans="4:5">
      <c r="D2126" s="90" t="str">
        <f>IF('Product List'!C2126="","",'Product List'!C2126)</f>
        <v/>
      </c>
      <c r="E2126" s="90" t="str">
        <f>IF('Product List'!B2126="","",'Product List'!B2126)</f>
        <v/>
      </c>
    </row>
    <row r="2127" spans="4:5">
      <c r="D2127" s="90" t="str">
        <f>IF('Product List'!C2127="","",'Product List'!C2127)</f>
        <v/>
      </c>
      <c r="E2127" s="90" t="str">
        <f>IF('Product List'!B2127="","",'Product List'!B2127)</f>
        <v/>
      </c>
    </row>
    <row r="2128" spans="4:5">
      <c r="D2128" s="90" t="str">
        <f>IF('Product List'!C2128="","",'Product List'!C2128)</f>
        <v/>
      </c>
      <c r="E2128" s="90" t="str">
        <f>IF('Product List'!B2128="","",'Product List'!B2128)</f>
        <v/>
      </c>
    </row>
    <row r="2129" spans="4:5">
      <c r="D2129" s="90" t="str">
        <f>IF('Product List'!C2129="","",'Product List'!C2129)</f>
        <v/>
      </c>
      <c r="E2129" s="90" t="str">
        <f>IF('Product List'!B2129="","",'Product List'!B2129)</f>
        <v/>
      </c>
    </row>
    <row r="2130" spans="4:5">
      <c r="D2130" s="90" t="str">
        <f>IF('Product List'!C2130="","",'Product List'!C2130)</f>
        <v/>
      </c>
      <c r="E2130" s="90" t="str">
        <f>IF('Product List'!B2130="","",'Product List'!B2130)</f>
        <v/>
      </c>
    </row>
    <row r="2131" spans="4:5">
      <c r="D2131" s="90" t="str">
        <f>IF('Product List'!C2131="","",'Product List'!C2131)</f>
        <v/>
      </c>
      <c r="E2131" s="90" t="str">
        <f>IF('Product List'!B2131="","",'Product List'!B2131)</f>
        <v/>
      </c>
    </row>
    <row r="2132" spans="4:5">
      <c r="D2132" s="90" t="str">
        <f>IF('Product List'!C2132="","",'Product List'!C2132)</f>
        <v/>
      </c>
      <c r="E2132" s="90" t="str">
        <f>IF('Product List'!B2132="","",'Product List'!B2132)</f>
        <v/>
      </c>
    </row>
    <row r="2133" spans="4:5">
      <c r="D2133" s="90" t="str">
        <f>IF('Product List'!C2133="","",'Product List'!C2133)</f>
        <v/>
      </c>
      <c r="E2133" s="90" t="str">
        <f>IF('Product List'!B2133="","",'Product List'!B2133)</f>
        <v/>
      </c>
    </row>
    <row r="2134" spans="4:5">
      <c r="D2134" s="90" t="str">
        <f>IF('Product List'!C2134="","",'Product List'!C2134)</f>
        <v/>
      </c>
      <c r="E2134" s="90" t="str">
        <f>IF('Product List'!B2134="","",'Product List'!B2134)</f>
        <v/>
      </c>
    </row>
    <row r="2135" spans="4:5">
      <c r="D2135" s="90" t="str">
        <f>IF('Product List'!C2135="","",'Product List'!C2135)</f>
        <v/>
      </c>
      <c r="E2135" s="90" t="str">
        <f>IF('Product List'!B2135="","",'Product List'!B2135)</f>
        <v/>
      </c>
    </row>
    <row r="2136" spans="4:5">
      <c r="D2136" s="90" t="str">
        <f>IF('Product List'!C2136="","",'Product List'!C2136)</f>
        <v/>
      </c>
      <c r="E2136" s="90" t="str">
        <f>IF('Product List'!B2136="","",'Product List'!B2136)</f>
        <v/>
      </c>
    </row>
    <row r="2137" spans="4:5">
      <c r="D2137" s="90" t="str">
        <f>IF('Product List'!C2137="","",'Product List'!C2137)</f>
        <v/>
      </c>
      <c r="E2137" s="90" t="str">
        <f>IF('Product List'!B2137="","",'Product List'!B2137)</f>
        <v/>
      </c>
    </row>
    <row r="2138" spans="4:5">
      <c r="D2138" s="90" t="str">
        <f>IF('Product List'!C2138="","",'Product List'!C2138)</f>
        <v/>
      </c>
      <c r="E2138" s="90" t="str">
        <f>IF('Product List'!B2138="","",'Product List'!B2138)</f>
        <v/>
      </c>
    </row>
    <row r="2139" spans="4:5">
      <c r="D2139" s="90" t="str">
        <f>IF('Product List'!C2139="","",'Product List'!C2139)</f>
        <v/>
      </c>
      <c r="E2139" s="90" t="str">
        <f>IF('Product List'!B2139="","",'Product List'!B2139)</f>
        <v/>
      </c>
    </row>
    <row r="2140" spans="4:5">
      <c r="D2140" s="90" t="str">
        <f>IF('Product List'!C2140="","",'Product List'!C2140)</f>
        <v/>
      </c>
      <c r="E2140" s="90" t="str">
        <f>IF('Product List'!B2140="","",'Product List'!B2140)</f>
        <v/>
      </c>
    </row>
    <row r="2141" spans="4:5">
      <c r="D2141" s="90" t="str">
        <f>IF('Product List'!C2141="","",'Product List'!C2141)</f>
        <v/>
      </c>
      <c r="E2141" s="90" t="str">
        <f>IF('Product List'!B2141="","",'Product List'!B2141)</f>
        <v/>
      </c>
    </row>
    <row r="2142" spans="4:5">
      <c r="D2142" s="90" t="str">
        <f>IF('Product List'!C2142="","",'Product List'!C2142)</f>
        <v/>
      </c>
      <c r="E2142" s="90" t="str">
        <f>IF('Product List'!B2142="","",'Product List'!B2142)</f>
        <v/>
      </c>
    </row>
    <row r="2143" spans="4:5">
      <c r="D2143" s="90" t="str">
        <f>IF('Product List'!C2143="","",'Product List'!C2143)</f>
        <v/>
      </c>
      <c r="E2143" s="90" t="str">
        <f>IF('Product List'!B2143="","",'Product List'!B2143)</f>
        <v/>
      </c>
    </row>
    <row r="2144" spans="4:5">
      <c r="D2144" s="90" t="str">
        <f>IF('Product List'!C2144="","",'Product List'!C2144)</f>
        <v/>
      </c>
      <c r="E2144" s="90" t="str">
        <f>IF('Product List'!B2144="","",'Product List'!B2144)</f>
        <v/>
      </c>
    </row>
    <row r="2145" spans="4:5">
      <c r="D2145" s="90" t="str">
        <f>IF('Product List'!C2145="","",'Product List'!C2145)</f>
        <v/>
      </c>
      <c r="E2145" s="90" t="str">
        <f>IF('Product List'!B2145="","",'Product List'!B2145)</f>
        <v/>
      </c>
    </row>
    <row r="2146" spans="4:5">
      <c r="D2146" s="90" t="str">
        <f>IF('Product List'!C2146="","",'Product List'!C2146)</f>
        <v/>
      </c>
      <c r="E2146" s="90" t="str">
        <f>IF('Product List'!B2146="","",'Product List'!B2146)</f>
        <v/>
      </c>
    </row>
    <row r="2147" spans="4:5">
      <c r="D2147" s="90" t="str">
        <f>IF('Product List'!C2147="","",'Product List'!C2147)</f>
        <v/>
      </c>
      <c r="E2147" s="90" t="str">
        <f>IF('Product List'!B2147="","",'Product List'!B2147)</f>
        <v/>
      </c>
    </row>
    <row r="2148" spans="4:5">
      <c r="D2148" s="90" t="str">
        <f>IF('Product List'!C2148="","",'Product List'!C2148)</f>
        <v/>
      </c>
      <c r="E2148" s="90" t="str">
        <f>IF('Product List'!B2148="","",'Product List'!B2148)</f>
        <v/>
      </c>
    </row>
    <row r="2149" spans="4:5">
      <c r="D2149" s="90" t="str">
        <f>IF('Product List'!C2149="","",'Product List'!C2149)</f>
        <v/>
      </c>
      <c r="E2149" s="90" t="str">
        <f>IF('Product List'!B2149="","",'Product List'!B2149)</f>
        <v/>
      </c>
    </row>
    <row r="2150" spans="4:5">
      <c r="D2150" s="90" t="str">
        <f>IF('Product List'!C2150="","",'Product List'!C2150)</f>
        <v/>
      </c>
      <c r="E2150" s="90" t="str">
        <f>IF('Product List'!B2150="","",'Product List'!B2150)</f>
        <v/>
      </c>
    </row>
    <row r="2151" spans="4:5">
      <c r="D2151" s="90" t="str">
        <f>IF('Product List'!C2151="","",'Product List'!C2151)</f>
        <v/>
      </c>
      <c r="E2151" s="90" t="str">
        <f>IF('Product List'!B2151="","",'Product List'!B2151)</f>
        <v/>
      </c>
    </row>
    <row r="2152" spans="4:5">
      <c r="D2152" s="90" t="str">
        <f>IF('Product List'!C2152="","",'Product List'!C2152)</f>
        <v/>
      </c>
      <c r="E2152" s="90" t="str">
        <f>IF('Product List'!B2152="","",'Product List'!B2152)</f>
        <v/>
      </c>
    </row>
    <row r="2153" spans="4:5">
      <c r="D2153" s="90" t="str">
        <f>IF('Product List'!C2153="","",'Product List'!C2153)</f>
        <v/>
      </c>
      <c r="E2153" s="90" t="str">
        <f>IF('Product List'!B2153="","",'Product List'!B2153)</f>
        <v/>
      </c>
    </row>
    <row r="2154" spans="4:5">
      <c r="D2154" s="90" t="str">
        <f>IF('Product List'!C2154="","",'Product List'!C2154)</f>
        <v/>
      </c>
      <c r="E2154" s="90" t="str">
        <f>IF('Product List'!B2154="","",'Product List'!B2154)</f>
        <v/>
      </c>
    </row>
    <row r="2155" spans="4:5">
      <c r="D2155" s="90" t="str">
        <f>IF('Product List'!C2155="","",'Product List'!C2155)</f>
        <v/>
      </c>
      <c r="E2155" s="90" t="str">
        <f>IF('Product List'!B2155="","",'Product List'!B2155)</f>
        <v/>
      </c>
    </row>
    <row r="2156" spans="4:5">
      <c r="D2156" s="90" t="str">
        <f>IF('Product List'!C2156="","",'Product List'!C2156)</f>
        <v/>
      </c>
      <c r="E2156" s="90" t="str">
        <f>IF('Product List'!B2156="","",'Product List'!B2156)</f>
        <v/>
      </c>
    </row>
    <row r="2157" spans="4:5">
      <c r="D2157" s="90" t="str">
        <f>IF('Product List'!C2157="","",'Product List'!C2157)</f>
        <v/>
      </c>
      <c r="E2157" s="90" t="str">
        <f>IF('Product List'!B2157="","",'Product List'!B2157)</f>
        <v/>
      </c>
    </row>
    <row r="2158" spans="4:5">
      <c r="D2158" s="90" t="str">
        <f>IF('Product List'!C2158="","",'Product List'!C2158)</f>
        <v/>
      </c>
      <c r="E2158" s="90" t="str">
        <f>IF('Product List'!B2158="","",'Product List'!B2158)</f>
        <v/>
      </c>
    </row>
    <row r="2159" spans="4:5">
      <c r="D2159" s="90" t="str">
        <f>IF('Product List'!C2159="","",'Product List'!C2159)</f>
        <v/>
      </c>
      <c r="E2159" s="90" t="str">
        <f>IF('Product List'!B2159="","",'Product List'!B2159)</f>
        <v/>
      </c>
    </row>
    <row r="2160" spans="4:5">
      <c r="D2160" s="90" t="str">
        <f>IF('Product List'!C2160="","",'Product List'!C2160)</f>
        <v/>
      </c>
      <c r="E2160" s="90" t="str">
        <f>IF('Product List'!B2160="","",'Product List'!B2160)</f>
        <v/>
      </c>
    </row>
    <row r="2161" spans="4:5">
      <c r="D2161" s="90" t="str">
        <f>IF('Product List'!C2161="","",'Product List'!C2161)</f>
        <v/>
      </c>
      <c r="E2161" s="90" t="str">
        <f>IF('Product List'!B2161="","",'Product List'!B2161)</f>
        <v/>
      </c>
    </row>
    <row r="2162" spans="4:5">
      <c r="D2162" s="90" t="str">
        <f>IF('Product List'!C2162="","",'Product List'!C2162)</f>
        <v/>
      </c>
      <c r="E2162" s="90" t="str">
        <f>IF('Product List'!B2162="","",'Product List'!B2162)</f>
        <v/>
      </c>
    </row>
    <row r="2163" spans="4:5">
      <c r="D2163" s="90" t="str">
        <f>IF('Product List'!C2163="","",'Product List'!C2163)</f>
        <v/>
      </c>
      <c r="E2163" s="90" t="str">
        <f>IF('Product List'!B2163="","",'Product List'!B2163)</f>
        <v/>
      </c>
    </row>
    <row r="2164" spans="4:5">
      <c r="D2164" s="90" t="str">
        <f>IF('Product List'!C2164="","",'Product List'!C2164)</f>
        <v/>
      </c>
      <c r="E2164" s="90" t="str">
        <f>IF('Product List'!B2164="","",'Product List'!B2164)</f>
        <v/>
      </c>
    </row>
    <row r="2165" spans="4:5">
      <c r="D2165" s="90" t="str">
        <f>IF('Product List'!C2165="","",'Product List'!C2165)</f>
        <v/>
      </c>
      <c r="E2165" s="90" t="str">
        <f>IF('Product List'!B2165="","",'Product List'!B2165)</f>
        <v/>
      </c>
    </row>
    <row r="2166" spans="4:5">
      <c r="D2166" s="90" t="str">
        <f>IF('Product List'!C2166="","",'Product List'!C2166)</f>
        <v/>
      </c>
      <c r="E2166" s="90" t="str">
        <f>IF('Product List'!B2166="","",'Product List'!B2166)</f>
        <v/>
      </c>
    </row>
    <row r="2167" spans="4:5">
      <c r="D2167" s="90" t="str">
        <f>IF('Product List'!C2167="","",'Product List'!C2167)</f>
        <v/>
      </c>
      <c r="E2167" s="90" t="str">
        <f>IF('Product List'!B2167="","",'Product List'!B2167)</f>
        <v/>
      </c>
    </row>
    <row r="2168" spans="4:5">
      <c r="D2168" s="90" t="str">
        <f>IF('Product List'!C2168="","",'Product List'!C2168)</f>
        <v/>
      </c>
      <c r="E2168" s="90" t="str">
        <f>IF('Product List'!B2168="","",'Product List'!B2168)</f>
        <v/>
      </c>
    </row>
    <row r="2169" spans="4:5">
      <c r="D2169" s="90" t="str">
        <f>IF('Product List'!C2169="","",'Product List'!C2169)</f>
        <v/>
      </c>
      <c r="E2169" s="90" t="str">
        <f>IF('Product List'!B2169="","",'Product List'!B2169)</f>
        <v/>
      </c>
    </row>
    <row r="2170" spans="4:5">
      <c r="D2170" s="90" t="str">
        <f>IF('Product List'!C2170="","",'Product List'!C2170)</f>
        <v/>
      </c>
      <c r="E2170" s="90" t="str">
        <f>IF('Product List'!B2170="","",'Product List'!B2170)</f>
        <v/>
      </c>
    </row>
    <row r="2171" spans="4:5">
      <c r="D2171" s="90" t="str">
        <f>IF('Product List'!C2171="","",'Product List'!C2171)</f>
        <v/>
      </c>
      <c r="E2171" s="90" t="str">
        <f>IF('Product List'!B2171="","",'Product List'!B2171)</f>
        <v/>
      </c>
    </row>
    <row r="2172" spans="4:5">
      <c r="D2172" s="90" t="str">
        <f>IF('Product List'!C2172="","",'Product List'!C2172)</f>
        <v/>
      </c>
      <c r="E2172" s="90" t="str">
        <f>IF('Product List'!B2172="","",'Product List'!B2172)</f>
        <v/>
      </c>
    </row>
    <row r="2173" spans="4:5">
      <c r="D2173" s="90" t="str">
        <f>IF('Product List'!C2173="","",'Product List'!C2173)</f>
        <v/>
      </c>
      <c r="E2173" s="90" t="str">
        <f>IF('Product List'!B2173="","",'Product List'!B2173)</f>
        <v/>
      </c>
    </row>
    <row r="2174" spans="4:5">
      <c r="D2174" s="90" t="str">
        <f>IF('Product List'!C2174="","",'Product List'!C2174)</f>
        <v/>
      </c>
      <c r="E2174" s="90" t="str">
        <f>IF('Product List'!B2174="","",'Product List'!B2174)</f>
        <v/>
      </c>
    </row>
    <row r="2175" spans="4:5">
      <c r="D2175" s="90" t="str">
        <f>IF('Product List'!C2175="","",'Product List'!C2175)</f>
        <v/>
      </c>
      <c r="E2175" s="90" t="str">
        <f>IF('Product List'!B2175="","",'Product List'!B2175)</f>
        <v/>
      </c>
    </row>
    <row r="2176" spans="4:5">
      <c r="D2176" s="90" t="str">
        <f>IF('Product List'!C2176="","",'Product List'!C2176)</f>
        <v/>
      </c>
      <c r="E2176" s="90" t="str">
        <f>IF('Product List'!B2176="","",'Product List'!B2176)</f>
        <v/>
      </c>
    </row>
    <row r="2177" spans="4:5">
      <c r="D2177" s="90" t="str">
        <f>IF('Product List'!C2177="","",'Product List'!C2177)</f>
        <v/>
      </c>
      <c r="E2177" s="90" t="str">
        <f>IF('Product List'!B2177="","",'Product List'!B2177)</f>
        <v/>
      </c>
    </row>
    <row r="2178" spans="4:5">
      <c r="D2178" s="90" t="str">
        <f>IF('Product List'!C2178="","",'Product List'!C2178)</f>
        <v/>
      </c>
      <c r="E2178" s="90" t="str">
        <f>IF('Product List'!B2178="","",'Product List'!B2178)</f>
        <v/>
      </c>
    </row>
    <row r="2179" spans="4:5">
      <c r="D2179" s="90" t="str">
        <f>IF('Product List'!C2179="","",'Product List'!C2179)</f>
        <v/>
      </c>
      <c r="E2179" s="90" t="str">
        <f>IF('Product List'!B2179="","",'Product List'!B2179)</f>
        <v/>
      </c>
    </row>
    <row r="2180" spans="4:5">
      <c r="D2180" s="90" t="str">
        <f>IF('Product List'!C2180="","",'Product List'!C2180)</f>
        <v/>
      </c>
      <c r="E2180" s="90" t="str">
        <f>IF('Product List'!B2180="","",'Product List'!B2180)</f>
        <v/>
      </c>
    </row>
    <row r="2181" spans="4:5">
      <c r="D2181" s="90" t="str">
        <f>IF('Product List'!C2181="","",'Product List'!C2181)</f>
        <v/>
      </c>
      <c r="E2181" s="90" t="str">
        <f>IF('Product List'!B2181="","",'Product List'!B2181)</f>
        <v/>
      </c>
    </row>
    <row r="2182" spans="4:5">
      <c r="D2182" s="90" t="str">
        <f>IF('Product List'!C2182="","",'Product List'!C2182)</f>
        <v/>
      </c>
      <c r="E2182" s="90" t="str">
        <f>IF('Product List'!B2182="","",'Product List'!B2182)</f>
        <v/>
      </c>
    </row>
    <row r="2183" spans="4:5">
      <c r="D2183" s="90" t="str">
        <f>IF('Product List'!C2183="","",'Product List'!C2183)</f>
        <v/>
      </c>
      <c r="E2183" s="90" t="str">
        <f>IF('Product List'!B2183="","",'Product List'!B2183)</f>
        <v/>
      </c>
    </row>
    <row r="2184" spans="4:5">
      <c r="D2184" s="90" t="str">
        <f>IF('Product List'!C2184="","",'Product List'!C2184)</f>
        <v/>
      </c>
      <c r="E2184" s="90" t="str">
        <f>IF('Product List'!B2184="","",'Product List'!B2184)</f>
        <v/>
      </c>
    </row>
    <row r="2185" spans="4:5">
      <c r="D2185" s="90" t="str">
        <f>IF('Product List'!C2185="","",'Product List'!C2185)</f>
        <v/>
      </c>
      <c r="E2185" s="90" t="str">
        <f>IF('Product List'!B2185="","",'Product List'!B2185)</f>
        <v/>
      </c>
    </row>
    <row r="2186" spans="4:5">
      <c r="D2186" s="90" t="str">
        <f>IF('Product List'!C2186="","",'Product List'!C2186)</f>
        <v/>
      </c>
      <c r="E2186" s="90" t="str">
        <f>IF('Product List'!B2186="","",'Product List'!B2186)</f>
        <v/>
      </c>
    </row>
    <row r="2187" spans="4:5">
      <c r="D2187" s="90" t="str">
        <f>IF('Product List'!C2187="","",'Product List'!C2187)</f>
        <v/>
      </c>
      <c r="E2187" s="90" t="str">
        <f>IF('Product List'!B2187="","",'Product List'!B2187)</f>
        <v/>
      </c>
    </row>
    <row r="2188" spans="4:5">
      <c r="D2188" s="90" t="str">
        <f>IF('Product List'!C2188="","",'Product List'!C2188)</f>
        <v/>
      </c>
      <c r="E2188" s="90" t="str">
        <f>IF('Product List'!B2188="","",'Product List'!B2188)</f>
        <v/>
      </c>
    </row>
    <row r="2189" spans="4:5">
      <c r="D2189" s="90" t="str">
        <f>IF('Product List'!C2189="","",'Product List'!C2189)</f>
        <v/>
      </c>
      <c r="E2189" s="90" t="str">
        <f>IF('Product List'!B2189="","",'Product List'!B2189)</f>
        <v/>
      </c>
    </row>
    <row r="2190" spans="4:5">
      <c r="D2190" s="90" t="str">
        <f>IF('Product List'!C2190="","",'Product List'!C2190)</f>
        <v/>
      </c>
      <c r="E2190" s="90" t="str">
        <f>IF('Product List'!B2190="","",'Product List'!B2190)</f>
        <v/>
      </c>
    </row>
    <row r="2191" spans="4:5">
      <c r="D2191" s="90" t="str">
        <f>IF('Product List'!C2191="","",'Product List'!C2191)</f>
        <v/>
      </c>
      <c r="E2191" s="90" t="str">
        <f>IF('Product List'!B2191="","",'Product List'!B2191)</f>
        <v/>
      </c>
    </row>
    <row r="2192" spans="4:5">
      <c r="D2192" s="90" t="str">
        <f>IF('Product List'!C2192="","",'Product List'!C2192)</f>
        <v/>
      </c>
      <c r="E2192" s="90" t="str">
        <f>IF('Product List'!B2192="","",'Product List'!B2192)</f>
        <v/>
      </c>
    </row>
    <row r="2193" spans="4:5">
      <c r="D2193" s="90" t="str">
        <f>IF('Product List'!C2193="","",'Product List'!C2193)</f>
        <v/>
      </c>
      <c r="E2193" s="90" t="str">
        <f>IF('Product List'!B2193="","",'Product List'!B2193)</f>
        <v/>
      </c>
    </row>
    <row r="2194" spans="4:5">
      <c r="D2194" s="90" t="str">
        <f>IF('Product List'!C2194="","",'Product List'!C2194)</f>
        <v/>
      </c>
      <c r="E2194" s="90" t="str">
        <f>IF('Product List'!B2194="","",'Product List'!B2194)</f>
        <v/>
      </c>
    </row>
    <row r="2195" spans="4:5">
      <c r="D2195" s="90" t="str">
        <f>IF('Product List'!C2195="","",'Product List'!C2195)</f>
        <v/>
      </c>
      <c r="E2195" s="90" t="str">
        <f>IF('Product List'!B2195="","",'Product List'!B2195)</f>
        <v/>
      </c>
    </row>
    <row r="2196" spans="4:5">
      <c r="D2196" s="90" t="str">
        <f>IF('Product List'!C2196="","",'Product List'!C2196)</f>
        <v/>
      </c>
      <c r="E2196" s="90" t="str">
        <f>IF('Product List'!B2196="","",'Product List'!B2196)</f>
        <v/>
      </c>
    </row>
    <row r="2197" spans="4:5">
      <c r="D2197" s="90" t="str">
        <f>IF('Product List'!C2197="","",'Product List'!C2197)</f>
        <v/>
      </c>
      <c r="E2197" s="90" t="str">
        <f>IF('Product List'!B2197="","",'Product List'!B2197)</f>
        <v/>
      </c>
    </row>
    <row r="2198" spans="4:5">
      <c r="D2198" s="90" t="str">
        <f>IF('Product List'!C2198="","",'Product List'!C2198)</f>
        <v/>
      </c>
      <c r="E2198" s="90" t="str">
        <f>IF('Product List'!B2198="","",'Product List'!B2198)</f>
        <v/>
      </c>
    </row>
    <row r="2199" spans="4:5">
      <c r="D2199" s="90" t="str">
        <f>IF('Product List'!C2199="","",'Product List'!C2199)</f>
        <v/>
      </c>
      <c r="E2199" s="90" t="str">
        <f>IF('Product List'!B2199="","",'Product List'!B2199)</f>
        <v/>
      </c>
    </row>
    <row r="2200" spans="4:5">
      <c r="D2200" s="90" t="str">
        <f>IF('Product List'!C2200="","",'Product List'!C2200)</f>
        <v/>
      </c>
      <c r="E2200" s="90" t="str">
        <f>IF('Product List'!B2200="","",'Product List'!B2200)</f>
        <v/>
      </c>
    </row>
    <row r="2201" spans="4:5">
      <c r="D2201" s="90" t="str">
        <f>IF('Product List'!C2201="","",'Product List'!C2201)</f>
        <v/>
      </c>
      <c r="E2201" s="90" t="str">
        <f>IF('Product List'!B2201="","",'Product List'!B2201)</f>
        <v/>
      </c>
    </row>
    <row r="2202" spans="4:5">
      <c r="D2202" s="90" t="str">
        <f>IF('Product List'!C2202="","",'Product List'!C2202)</f>
        <v/>
      </c>
      <c r="E2202" s="90" t="str">
        <f>IF('Product List'!B2202="","",'Product List'!B2202)</f>
        <v/>
      </c>
    </row>
    <row r="2203" spans="4:5">
      <c r="D2203" s="90" t="str">
        <f>IF('Product List'!C2203="","",'Product List'!C2203)</f>
        <v/>
      </c>
      <c r="E2203" s="90" t="str">
        <f>IF('Product List'!B2203="","",'Product List'!B2203)</f>
        <v/>
      </c>
    </row>
    <row r="2204" spans="4:5">
      <c r="D2204" s="90" t="str">
        <f>IF('Product List'!C2204="","",'Product List'!C2204)</f>
        <v/>
      </c>
      <c r="E2204" s="90" t="str">
        <f>IF('Product List'!B2204="","",'Product List'!B2204)</f>
        <v/>
      </c>
    </row>
    <row r="2205" spans="4:5">
      <c r="D2205" s="90" t="str">
        <f>IF('Product List'!C2205="","",'Product List'!C2205)</f>
        <v/>
      </c>
      <c r="E2205" s="90" t="str">
        <f>IF('Product List'!B2205="","",'Product List'!B2205)</f>
        <v/>
      </c>
    </row>
    <row r="2206" spans="4:5">
      <c r="D2206" s="90" t="str">
        <f>IF('Product List'!C2206="","",'Product List'!C2206)</f>
        <v/>
      </c>
      <c r="E2206" s="90" t="str">
        <f>IF('Product List'!B2206="","",'Product List'!B2206)</f>
        <v/>
      </c>
    </row>
    <row r="2207" spans="4:5">
      <c r="D2207" s="90" t="str">
        <f>IF('Product List'!C2207="","",'Product List'!C2207)</f>
        <v/>
      </c>
      <c r="E2207" s="90" t="str">
        <f>IF('Product List'!B2207="","",'Product List'!B2207)</f>
        <v/>
      </c>
    </row>
    <row r="2208" spans="4:5">
      <c r="D2208" s="90" t="str">
        <f>IF('Product List'!C2208="","",'Product List'!C2208)</f>
        <v/>
      </c>
      <c r="E2208" s="90" t="str">
        <f>IF('Product List'!B2208="","",'Product List'!B2208)</f>
        <v/>
      </c>
    </row>
    <row r="2209" spans="4:5">
      <c r="D2209" s="90" t="str">
        <f>IF('Product List'!C2209="","",'Product List'!C2209)</f>
        <v/>
      </c>
      <c r="E2209" s="90" t="str">
        <f>IF('Product List'!B2209="","",'Product List'!B2209)</f>
        <v/>
      </c>
    </row>
    <row r="2210" spans="4:5">
      <c r="D2210" s="90" t="str">
        <f>IF('Product List'!C2210="","",'Product List'!C2210)</f>
        <v/>
      </c>
      <c r="E2210" s="90" t="str">
        <f>IF('Product List'!B2210="","",'Product List'!B2210)</f>
        <v/>
      </c>
    </row>
    <row r="2211" spans="4:5">
      <c r="D2211" s="90" t="str">
        <f>IF('Product List'!C2211="","",'Product List'!C2211)</f>
        <v/>
      </c>
      <c r="E2211" s="90" t="str">
        <f>IF('Product List'!B2211="","",'Product List'!B2211)</f>
        <v/>
      </c>
    </row>
    <row r="2212" spans="4:5">
      <c r="D2212" s="90" t="str">
        <f>IF('Product List'!C2212="","",'Product List'!C2212)</f>
        <v/>
      </c>
      <c r="E2212" s="90" t="str">
        <f>IF('Product List'!B2212="","",'Product List'!B2212)</f>
        <v/>
      </c>
    </row>
    <row r="2213" spans="4:5">
      <c r="D2213" s="90" t="str">
        <f>IF('Product List'!C2213="","",'Product List'!C2213)</f>
        <v/>
      </c>
      <c r="E2213" s="90" t="str">
        <f>IF('Product List'!B2213="","",'Product List'!B2213)</f>
        <v/>
      </c>
    </row>
    <row r="2214" spans="4:5">
      <c r="D2214" s="90" t="str">
        <f>IF('Product List'!C2214="","",'Product List'!C2214)</f>
        <v/>
      </c>
      <c r="E2214" s="90" t="str">
        <f>IF('Product List'!B2214="","",'Product List'!B2214)</f>
        <v/>
      </c>
    </row>
    <row r="2215" spans="4:5">
      <c r="D2215" s="90" t="str">
        <f>IF('Product List'!C2215="","",'Product List'!C2215)</f>
        <v/>
      </c>
      <c r="E2215" s="90" t="str">
        <f>IF('Product List'!B2215="","",'Product List'!B2215)</f>
        <v/>
      </c>
    </row>
    <row r="2216" spans="4:5">
      <c r="D2216" s="90" t="str">
        <f>IF('Product List'!C2216="","",'Product List'!C2216)</f>
        <v/>
      </c>
      <c r="E2216" s="90" t="str">
        <f>IF('Product List'!B2216="","",'Product List'!B2216)</f>
        <v/>
      </c>
    </row>
    <row r="2217" spans="4:5">
      <c r="D2217" s="90" t="str">
        <f>IF('Product List'!C2217="","",'Product List'!C2217)</f>
        <v/>
      </c>
      <c r="E2217" s="90" t="str">
        <f>IF('Product List'!B2217="","",'Product List'!B2217)</f>
        <v/>
      </c>
    </row>
    <row r="2218" spans="4:5">
      <c r="D2218" s="90" t="str">
        <f>IF('Product List'!C2218="","",'Product List'!C2218)</f>
        <v/>
      </c>
      <c r="E2218" s="90" t="str">
        <f>IF('Product List'!B2218="","",'Product List'!B2218)</f>
        <v/>
      </c>
    </row>
    <row r="2219" spans="4:5">
      <c r="D2219" s="90" t="str">
        <f>IF('Product List'!C2219="","",'Product List'!C2219)</f>
        <v/>
      </c>
      <c r="E2219" s="90" t="str">
        <f>IF('Product List'!B2219="","",'Product List'!B2219)</f>
        <v/>
      </c>
    </row>
    <row r="2220" spans="4:5">
      <c r="D2220" s="90" t="str">
        <f>IF('Product List'!C2220="","",'Product List'!C2220)</f>
        <v/>
      </c>
      <c r="E2220" s="90" t="str">
        <f>IF('Product List'!B2220="","",'Product List'!B2220)</f>
        <v/>
      </c>
    </row>
    <row r="2221" spans="4:5">
      <c r="D2221" s="90" t="str">
        <f>IF('Product List'!C2221="","",'Product List'!C2221)</f>
        <v/>
      </c>
      <c r="E2221" s="90" t="str">
        <f>IF('Product List'!B2221="","",'Product List'!B2221)</f>
        <v/>
      </c>
    </row>
    <row r="2222" spans="4:5">
      <c r="D2222" s="90" t="str">
        <f>IF('Product List'!C2222="","",'Product List'!C2222)</f>
        <v/>
      </c>
      <c r="E2222" s="90" t="str">
        <f>IF('Product List'!B2222="","",'Product List'!B2222)</f>
        <v/>
      </c>
    </row>
    <row r="2223" spans="4:5">
      <c r="D2223" s="90" t="str">
        <f>IF('Product List'!C2223="","",'Product List'!C2223)</f>
        <v/>
      </c>
      <c r="E2223" s="90" t="str">
        <f>IF('Product List'!B2223="","",'Product List'!B2223)</f>
        <v/>
      </c>
    </row>
    <row r="2224" spans="4:5">
      <c r="D2224" s="90" t="str">
        <f>IF('Product List'!C2224="","",'Product List'!C2224)</f>
        <v/>
      </c>
      <c r="E2224" s="90" t="str">
        <f>IF('Product List'!B2224="","",'Product List'!B2224)</f>
        <v/>
      </c>
    </row>
    <row r="2225" spans="4:5">
      <c r="D2225" s="90" t="str">
        <f>IF('Product List'!C2225="","",'Product List'!C2225)</f>
        <v/>
      </c>
      <c r="E2225" s="90" t="str">
        <f>IF('Product List'!B2225="","",'Product List'!B2225)</f>
        <v/>
      </c>
    </row>
    <row r="2226" spans="4:5">
      <c r="D2226" s="90" t="str">
        <f>IF('Product List'!C2226="","",'Product List'!C2226)</f>
        <v/>
      </c>
      <c r="E2226" s="90" t="str">
        <f>IF('Product List'!B2226="","",'Product List'!B2226)</f>
        <v/>
      </c>
    </row>
    <row r="2227" spans="4:5">
      <c r="D2227" s="90" t="str">
        <f>IF('Product List'!C2227="","",'Product List'!C2227)</f>
        <v/>
      </c>
      <c r="E2227" s="90" t="str">
        <f>IF('Product List'!B2227="","",'Product List'!B2227)</f>
        <v/>
      </c>
    </row>
    <row r="2228" spans="4:5">
      <c r="D2228" s="90" t="str">
        <f>IF('Product List'!C2228="","",'Product List'!C2228)</f>
        <v/>
      </c>
      <c r="E2228" s="90" t="str">
        <f>IF('Product List'!B2228="","",'Product List'!B2228)</f>
        <v/>
      </c>
    </row>
    <row r="2229" spans="4:5">
      <c r="D2229" s="90" t="str">
        <f>IF('Product List'!C2229="","",'Product List'!C2229)</f>
        <v/>
      </c>
      <c r="E2229" s="90" t="str">
        <f>IF('Product List'!B2229="","",'Product List'!B2229)</f>
        <v/>
      </c>
    </row>
    <row r="2230" spans="4:5">
      <c r="D2230" s="90" t="str">
        <f>IF('Product List'!C2230="","",'Product List'!C2230)</f>
        <v/>
      </c>
      <c r="E2230" s="90" t="str">
        <f>IF('Product List'!B2230="","",'Product List'!B2230)</f>
        <v/>
      </c>
    </row>
    <row r="2231" spans="4:5">
      <c r="D2231" s="90" t="str">
        <f>IF('Product List'!C2231="","",'Product List'!C2231)</f>
        <v/>
      </c>
      <c r="E2231" s="90" t="str">
        <f>IF('Product List'!B2231="","",'Product List'!B2231)</f>
        <v/>
      </c>
    </row>
    <row r="2232" spans="4:5">
      <c r="D2232" s="90" t="str">
        <f>IF('Product List'!C2232="","",'Product List'!C2232)</f>
        <v/>
      </c>
      <c r="E2232" s="90" t="str">
        <f>IF('Product List'!B2232="","",'Product List'!B2232)</f>
        <v/>
      </c>
    </row>
    <row r="2233" spans="4:5">
      <c r="D2233" s="90" t="str">
        <f>IF('Product List'!C2233="","",'Product List'!C2233)</f>
        <v/>
      </c>
      <c r="E2233" s="90" t="str">
        <f>IF('Product List'!B2233="","",'Product List'!B2233)</f>
        <v/>
      </c>
    </row>
    <row r="2234" spans="4:5">
      <c r="D2234" s="90" t="str">
        <f>IF('Product List'!C2234="","",'Product List'!C2234)</f>
        <v/>
      </c>
      <c r="E2234" s="90" t="str">
        <f>IF('Product List'!B2234="","",'Product List'!B2234)</f>
        <v/>
      </c>
    </row>
    <row r="2235" spans="4:5">
      <c r="D2235" s="90" t="str">
        <f>IF('Product List'!C2235="","",'Product List'!C2235)</f>
        <v/>
      </c>
      <c r="E2235" s="90" t="str">
        <f>IF('Product List'!B2235="","",'Product List'!B2235)</f>
        <v/>
      </c>
    </row>
    <row r="2236" spans="4:5">
      <c r="D2236" s="90" t="str">
        <f>IF('Product List'!C2236="","",'Product List'!C2236)</f>
        <v/>
      </c>
      <c r="E2236" s="90" t="str">
        <f>IF('Product List'!B2236="","",'Product List'!B2236)</f>
        <v/>
      </c>
    </row>
    <row r="2237" spans="4:5">
      <c r="D2237" s="90" t="str">
        <f>IF('Product List'!C2237="","",'Product List'!C2237)</f>
        <v/>
      </c>
      <c r="E2237" s="90" t="str">
        <f>IF('Product List'!B2237="","",'Product List'!B2237)</f>
        <v/>
      </c>
    </row>
    <row r="2238" spans="4:5">
      <c r="D2238" s="90" t="str">
        <f>IF('Product List'!C2238="","",'Product List'!C2238)</f>
        <v/>
      </c>
      <c r="E2238" s="90" t="str">
        <f>IF('Product List'!B2238="","",'Product List'!B2238)</f>
        <v/>
      </c>
    </row>
    <row r="2239" spans="4:5">
      <c r="D2239" s="90" t="str">
        <f>IF('Product List'!C2239="","",'Product List'!C2239)</f>
        <v/>
      </c>
      <c r="E2239" s="90" t="str">
        <f>IF('Product List'!B2239="","",'Product List'!B2239)</f>
        <v/>
      </c>
    </row>
    <row r="2240" spans="4:5">
      <c r="D2240" s="90" t="str">
        <f>IF('Product List'!C2240="","",'Product List'!C2240)</f>
        <v/>
      </c>
      <c r="E2240" s="90" t="str">
        <f>IF('Product List'!B2240="","",'Product List'!B2240)</f>
        <v/>
      </c>
    </row>
    <row r="2241" spans="4:5">
      <c r="D2241" s="90" t="str">
        <f>IF('Product List'!C2241="","",'Product List'!C2241)</f>
        <v/>
      </c>
      <c r="E2241" s="90" t="str">
        <f>IF('Product List'!B2241="","",'Product List'!B2241)</f>
        <v/>
      </c>
    </row>
    <row r="2242" spans="4:5">
      <c r="D2242" s="90" t="str">
        <f>IF('Product List'!C2242="","",'Product List'!C2242)</f>
        <v/>
      </c>
      <c r="E2242" s="90" t="str">
        <f>IF('Product List'!B2242="","",'Product List'!B2242)</f>
        <v/>
      </c>
    </row>
    <row r="2243" spans="4:5">
      <c r="D2243" s="90" t="str">
        <f>IF('Product List'!C2243="","",'Product List'!C2243)</f>
        <v/>
      </c>
      <c r="E2243" s="90" t="str">
        <f>IF('Product List'!B2243="","",'Product List'!B2243)</f>
        <v/>
      </c>
    </row>
    <row r="2244" spans="4:5">
      <c r="D2244" s="90" t="str">
        <f>IF('Product List'!C2244="","",'Product List'!C2244)</f>
        <v/>
      </c>
      <c r="E2244" s="90" t="str">
        <f>IF('Product List'!B2244="","",'Product List'!B2244)</f>
        <v/>
      </c>
    </row>
    <row r="2245" spans="4:5">
      <c r="D2245" s="90" t="str">
        <f>IF('Product List'!C2245="","",'Product List'!C2245)</f>
        <v/>
      </c>
      <c r="E2245" s="90" t="str">
        <f>IF('Product List'!B2245="","",'Product List'!B2245)</f>
        <v/>
      </c>
    </row>
    <row r="2246" spans="4:5">
      <c r="D2246" s="90" t="str">
        <f>IF('Product List'!C2246="","",'Product List'!C2246)</f>
        <v/>
      </c>
      <c r="E2246" s="90" t="str">
        <f>IF('Product List'!B2246="","",'Product List'!B2246)</f>
        <v/>
      </c>
    </row>
    <row r="2247" spans="4:5">
      <c r="D2247" s="90" t="str">
        <f>IF('Product List'!C2247="","",'Product List'!C2247)</f>
        <v/>
      </c>
      <c r="E2247" s="90" t="str">
        <f>IF('Product List'!B2247="","",'Product List'!B2247)</f>
        <v/>
      </c>
    </row>
    <row r="2248" spans="4:5">
      <c r="D2248" s="90" t="str">
        <f>IF('Product List'!C2248="","",'Product List'!C2248)</f>
        <v/>
      </c>
      <c r="E2248" s="90" t="str">
        <f>IF('Product List'!B2248="","",'Product List'!B2248)</f>
        <v/>
      </c>
    </row>
    <row r="2249" spans="4:5">
      <c r="D2249" s="90" t="str">
        <f>IF('Product List'!C2249="","",'Product List'!C2249)</f>
        <v/>
      </c>
      <c r="E2249" s="90" t="str">
        <f>IF('Product List'!B2249="","",'Product List'!B2249)</f>
        <v/>
      </c>
    </row>
    <row r="2250" spans="4:5">
      <c r="D2250" s="90" t="str">
        <f>IF('Product List'!C2250="","",'Product List'!C2250)</f>
        <v/>
      </c>
      <c r="E2250" s="90" t="str">
        <f>IF('Product List'!B2250="","",'Product List'!B2250)</f>
        <v/>
      </c>
    </row>
    <row r="2251" spans="4:5">
      <c r="D2251" s="90" t="str">
        <f>IF('Product List'!C2251="","",'Product List'!C2251)</f>
        <v/>
      </c>
      <c r="E2251" s="90" t="str">
        <f>IF('Product List'!B2251="","",'Product List'!B2251)</f>
        <v/>
      </c>
    </row>
    <row r="2252" spans="4:5">
      <c r="D2252" s="90" t="str">
        <f>IF('Product List'!C2252="","",'Product List'!C2252)</f>
        <v/>
      </c>
      <c r="E2252" s="90" t="str">
        <f>IF('Product List'!B2252="","",'Product List'!B2252)</f>
        <v/>
      </c>
    </row>
    <row r="2253" spans="4:5">
      <c r="D2253" s="90" t="str">
        <f>IF('Product List'!C2253="","",'Product List'!C2253)</f>
        <v/>
      </c>
      <c r="E2253" s="90" t="str">
        <f>IF('Product List'!B2253="","",'Product List'!B2253)</f>
        <v/>
      </c>
    </row>
    <row r="2254" spans="4:5">
      <c r="D2254" s="90" t="str">
        <f>IF('Product List'!C2254="","",'Product List'!C2254)</f>
        <v/>
      </c>
      <c r="E2254" s="90" t="str">
        <f>IF('Product List'!B2254="","",'Product List'!B2254)</f>
        <v/>
      </c>
    </row>
    <row r="2255" spans="4:5">
      <c r="D2255" s="90" t="str">
        <f>IF('Product List'!C2255="","",'Product List'!C2255)</f>
        <v/>
      </c>
      <c r="E2255" s="90" t="str">
        <f>IF('Product List'!B2255="","",'Product List'!B2255)</f>
        <v/>
      </c>
    </row>
    <row r="2256" spans="4:5">
      <c r="D2256" s="90" t="str">
        <f>IF('Product List'!C2256="","",'Product List'!C2256)</f>
        <v/>
      </c>
      <c r="E2256" s="90" t="str">
        <f>IF('Product List'!B2256="","",'Product List'!B2256)</f>
        <v/>
      </c>
    </row>
    <row r="2257" spans="4:5">
      <c r="D2257" s="90" t="str">
        <f>IF('Product List'!C2257="","",'Product List'!C2257)</f>
        <v/>
      </c>
      <c r="E2257" s="90" t="str">
        <f>IF('Product List'!B2257="","",'Product List'!B2257)</f>
        <v/>
      </c>
    </row>
    <row r="2258" spans="4:5">
      <c r="D2258" s="90" t="str">
        <f>IF('Product List'!C2258="","",'Product List'!C2258)</f>
        <v/>
      </c>
      <c r="E2258" s="90" t="str">
        <f>IF('Product List'!B2258="","",'Product List'!B2258)</f>
        <v/>
      </c>
    </row>
    <row r="2259" spans="4:5">
      <c r="D2259" s="90" t="str">
        <f>IF('Product List'!C2259="","",'Product List'!C2259)</f>
        <v/>
      </c>
      <c r="E2259" s="90" t="str">
        <f>IF('Product List'!B2259="","",'Product List'!B2259)</f>
        <v/>
      </c>
    </row>
    <row r="2260" spans="4:5">
      <c r="D2260" s="90" t="str">
        <f>IF('Product List'!C2260="","",'Product List'!C2260)</f>
        <v/>
      </c>
      <c r="E2260" s="90" t="str">
        <f>IF('Product List'!B2260="","",'Product List'!B2260)</f>
        <v/>
      </c>
    </row>
    <row r="2261" spans="4:5">
      <c r="D2261" s="90" t="str">
        <f>IF('Product List'!C2261="","",'Product List'!C2261)</f>
        <v/>
      </c>
      <c r="E2261" s="90" t="str">
        <f>IF('Product List'!B2261="","",'Product List'!B2261)</f>
        <v/>
      </c>
    </row>
    <row r="2262" spans="4:5">
      <c r="D2262" s="90" t="str">
        <f>IF('Product List'!C2262="","",'Product List'!C2262)</f>
        <v/>
      </c>
      <c r="E2262" s="90" t="str">
        <f>IF('Product List'!B2262="","",'Product List'!B2262)</f>
        <v/>
      </c>
    </row>
    <row r="2263" spans="4:5">
      <c r="D2263" s="90" t="str">
        <f>IF('Product List'!C2263="","",'Product List'!C2263)</f>
        <v/>
      </c>
      <c r="E2263" s="90" t="str">
        <f>IF('Product List'!B2263="","",'Product List'!B2263)</f>
        <v/>
      </c>
    </row>
    <row r="2264" spans="4:5">
      <c r="D2264" s="90" t="str">
        <f>IF('Product List'!C2264="","",'Product List'!C2264)</f>
        <v/>
      </c>
      <c r="E2264" s="90" t="str">
        <f>IF('Product List'!B2264="","",'Product List'!B2264)</f>
        <v/>
      </c>
    </row>
    <row r="2265" spans="4:5">
      <c r="D2265" s="90" t="str">
        <f>IF('Product List'!C2265="","",'Product List'!C2265)</f>
        <v/>
      </c>
      <c r="E2265" s="90" t="str">
        <f>IF('Product List'!B2265="","",'Product List'!B2265)</f>
        <v/>
      </c>
    </row>
    <row r="2266" spans="4:5">
      <c r="D2266" s="90" t="str">
        <f>IF('Product List'!C2266="","",'Product List'!C2266)</f>
        <v/>
      </c>
      <c r="E2266" s="90" t="str">
        <f>IF('Product List'!B2266="","",'Product List'!B2266)</f>
        <v/>
      </c>
    </row>
    <row r="2267" spans="4:5">
      <c r="D2267" s="90" t="str">
        <f>IF('Product List'!C2267="","",'Product List'!C2267)</f>
        <v/>
      </c>
      <c r="E2267" s="90" t="str">
        <f>IF('Product List'!B2267="","",'Product List'!B2267)</f>
        <v/>
      </c>
    </row>
    <row r="2268" spans="4:5">
      <c r="D2268" s="90" t="str">
        <f>IF('Product List'!C2268="","",'Product List'!C2268)</f>
        <v/>
      </c>
      <c r="E2268" s="90" t="str">
        <f>IF('Product List'!B2268="","",'Product List'!B2268)</f>
        <v/>
      </c>
    </row>
    <row r="2269" spans="4:5">
      <c r="D2269" s="90" t="str">
        <f>IF('Product List'!C2269="","",'Product List'!C2269)</f>
        <v/>
      </c>
      <c r="E2269" s="90" t="str">
        <f>IF('Product List'!B2269="","",'Product List'!B2269)</f>
        <v/>
      </c>
    </row>
    <row r="2270" spans="4:5">
      <c r="D2270" s="90" t="str">
        <f>IF('Product List'!C2270="","",'Product List'!C2270)</f>
        <v/>
      </c>
      <c r="E2270" s="90" t="str">
        <f>IF('Product List'!B2270="","",'Product List'!B2270)</f>
        <v/>
      </c>
    </row>
    <row r="2271" spans="4:5">
      <c r="D2271" s="90" t="str">
        <f>IF('Product List'!C2271="","",'Product List'!C2271)</f>
        <v/>
      </c>
      <c r="E2271" s="90" t="str">
        <f>IF('Product List'!B2271="","",'Product List'!B2271)</f>
        <v/>
      </c>
    </row>
    <row r="2272" spans="4:5">
      <c r="D2272" s="90" t="str">
        <f>IF('Product List'!C2272="","",'Product List'!C2272)</f>
        <v/>
      </c>
      <c r="E2272" s="90" t="str">
        <f>IF('Product List'!B2272="","",'Product List'!B2272)</f>
        <v/>
      </c>
    </row>
    <row r="2273" spans="4:5">
      <c r="D2273" s="90" t="str">
        <f>IF('Product List'!C2273="","",'Product List'!C2273)</f>
        <v/>
      </c>
      <c r="E2273" s="90" t="str">
        <f>IF('Product List'!B2273="","",'Product List'!B2273)</f>
        <v/>
      </c>
    </row>
    <row r="2274" spans="4:5">
      <c r="D2274" s="90" t="str">
        <f>IF('Product List'!C2274="","",'Product List'!C2274)</f>
        <v/>
      </c>
      <c r="E2274" s="90" t="str">
        <f>IF('Product List'!B2274="","",'Product List'!B2274)</f>
        <v/>
      </c>
    </row>
    <row r="2275" spans="4:5">
      <c r="D2275" s="90" t="str">
        <f>IF('Product List'!C2275="","",'Product List'!C2275)</f>
        <v/>
      </c>
      <c r="E2275" s="90" t="str">
        <f>IF('Product List'!B2275="","",'Product List'!B2275)</f>
        <v/>
      </c>
    </row>
    <row r="2276" spans="4:5">
      <c r="D2276" s="90" t="str">
        <f>IF('Product List'!C2276="","",'Product List'!C2276)</f>
        <v/>
      </c>
      <c r="E2276" s="90" t="str">
        <f>IF('Product List'!B2276="","",'Product List'!B2276)</f>
        <v/>
      </c>
    </row>
    <row r="2277" spans="4:5">
      <c r="D2277" s="90" t="str">
        <f>IF('Product List'!C2277="","",'Product List'!C2277)</f>
        <v/>
      </c>
      <c r="E2277" s="90" t="str">
        <f>IF('Product List'!B2277="","",'Product List'!B2277)</f>
        <v/>
      </c>
    </row>
    <row r="2278" spans="4:5">
      <c r="D2278" s="90" t="str">
        <f>IF('Product List'!C2278="","",'Product List'!C2278)</f>
        <v/>
      </c>
      <c r="E2278" s="90" t="str">
        <f>IF('Product List'!B2278="","",'Product List'!B2278)</f>
        <v/>
      </c>
    </row>
    <row r="2279" spans="4:5">
      <c r="D2279" s="90" t="str">
        <f>IF('Product List'!C2279="","",'Product List'!C2279)</f>
        <v/>
      </c>
      <c r="E2279" s="90" t="str">
        <f>IF('Product List'!B2279="","",'Product List'!B2279)</f>
        <v/>
      </c>
    </row>
    <row r="2280" spans="4:5">
      <c r="D2280" s="90" t="str">
        <f>IF('Product List'!C2280="","",'Product List'!C2280)</f>
        <v/>
      </c>
      <c r="E2280" s="90" t="str">
        <f>IF('Product List'!B2280="","",'Product List'!B2280)</f>
        <v/>
      </c>
    </row>
    <row r="2281" spans="4:5">
      <c r="D2281" s="90" t="str">
        <f>IF('Product List'!C2281="","",'Product List'!C2281)</f>
        <v/>
      </c>
      <c r="E2281" s="90" t="str">
        <f>IF('Product List'!B2281="","",'Product List'!B2281)</f>
        <v/>
      </c>
    </row>
    <row r="2282" spans="4:5">
      <c r="D2282" s="90" t="str">
        <f>IF('Product List'!C2282="","",'Product List'!C2282)</f>
        <v/>
      </c>
      <c r="E2282" s="90" t="str">
        <f>IF('Product List'!B2282="","",'Product List'!B2282)</f>
        <v/>
      </c>
    </row>
    <row r="2283" spans="4:5">
      <c r="D2283" s="90" t="str">
        <f>IF('Product List'!C2283="","",'Product List'!C2283)</f>
        <v/>
      </c>
      <c r="E2283" s="90" t="str">
        <f>IF('Product List'!B2283="","",'Product List'!B2283)</f>
        <v/>
      </c>
    </row>
    <row r="2284" spans="4:5">
      <c r="D2284" s="90" t="str">
        <f>IF('Product List'!C2284="","",'Product List'!C2284)</f>
        <v/>
      </c>
      <c r="E2284" s="90" t="str">
        <f>IF('Product List'!B2284="","",'Product List'!B2284)</f>
        <v/>
      </c>
    </row>
    <row r="2285" spans="4:5">
      <c r="D2285" s="90" t="str">
        <f>IF('Product List'!C2285="","",'Product List'!C2285)</f>
        <v/>
      </c>
      <c r="E2285" s="90" t="str">
        <f>IF('Product List'!B2285="","",'Product List'!B2285)</f>
        <v/>
      </c>
    </row>
    <row r="2286" spans="4:5">
      <c r="D2286" s="90" t="str">
        <f>IF('Product List'!C2286="","",'Product List'!C2286)</f>
        <v/>
      </c>
      <c r="E2286" s="90" t="str">
        <f>IF('Product List'!B2286="","",'Product List'!B2286)</f>
        <v/>
      </c>
    </row>
    <row r="2287" spans="4:5">
      <c r="D2287" s="90" t="str">
        <f>IF('Product List'!C2287="","",'Product List'!C2287)</f>
        <v/>
      </c>
      <c r="E2287" s="90" t="str">
        <f>IF('Product List'!B2287="","",'Product List'!B2287)</f>
        <v/>
      </c>
    </row>
    <row r="2288" spans="4:5">
      <c r="D2288" s="90" t="str">
        <f>IF('Product List'!C2288="","",'Product List'!C2288)</f>
        <v/>
      </c>
      <c r="E2288" s="90" t="str">
        <f>IF('Product List'!B2288="","",'Product List'!B2288)</f>
        <v/>
      </c>
    </row>
    <row r="2289" spans="4:5">
      <c r="D2289" s="90" t="str">
        <f>IF('Product List'!C2289="","",'Product List'!C2289)</f>
        <v/>
      </c>
      <c r="E2289" s="90" t="str">
        <f>IF('Product List'!B2289="","",'Product List'!B2289)</f>
        <v/>
      </c>
    </row>
    <row r="2290" spans="4:5">
      <c r="D2290" s="90" t="str">
        <f>IF('Product List'!C2290="","",'Product List'!C2290)</f>
        <v/>
      </c>
      <c r="E2290" s="90" t="str">
        <f>IF('Product List'!B2290="","",'Product List'!B2290)</f>
        <v/>
      </c>
    </row>
    <row r="2291" spans="4:5">
      <c r="D2291" s="90" t="str">
        <f>IF('Product List'!C2291="","",'Product List'!C2291)</f>
        <v/>
      </c>
      <c r="E2291" s="90" t="str">
        <f>IF('Product List'!B2291="","",'Product List'!B2291)</f>
        <v/>
      </c>
    </row>
    <row r="2292" spans="4:5">
      <c r="D2292" s="90" t="str">
        <f>IF('Product List'!C2292="","",'Product List'!C2292)</f>
        <v/>
      </c>
      <c r="E2292" s="90" t="str">
        <f>IF('Product List'!B2292="","",'Product List'!B2292)</f>
        <v/>
      </c>
    </row>
    <row r="2293" spans="4:5">
      <c r="D2293" s="90" t="str">
        <f>IF('Product List'!C2293="","",'Product List'!C2293)</f>
        <v/>
      </c>
      <c r="E2293" s="90" t="str">
        <f>IF('Product List'!B2293="","",'Product List'!B2293)</f>
        <v/>
      </c>
    </row>
    <row r="2294" spans="4:5">
      <c r="D2294" s="90" t="str">
        <f>IF('Product List'!C2294="","",'Product List'!C2294)</f>
        <v/>
      </c>
      <c r="E2294" s="90" t="str">
        <f>IF('Product List'!B2294="","",'Product List'!B2294)</f>
        <v/>
      </c>
    </row>
    <row r="2295" spans="4:5">
      <c r="D2295" s="90" t="str">
        <f>IF('Product List'!C2295="","",'Product List'!C2295)</f>
        <v/>
      </c>
      <c r="E2295" s="90" t="str">
        <f>IF('Product List'!B2295="","",'Product List'!B2295)</f>
        <v/>
      </c>
    </row>
    <row r="2296" spans="4:5">
      <c r="D2296" s="90" t="str">
        <f>IF('Product List'!C2296="","",'Product List'!C2296)</f>
        <v/>
      </c>
      <c r="E2296" s="90" t="str">
        <f>IF('Product List'!B2296="","",'Product List'!B2296)</f>
        <v/>
      </c>
    </row>
    <row r="2297" spans="4:5">
      <c r="D2297" s="90" t="str">
        <f>IF('Product List'!C2297="","",'Product List'!C2297)</f>
        <v/>
      </c>
      <c r="E2297" s="90" t="str">
        <f>IF('Product List'!B2297="","",'Product List'!B2297)</f>
        <v/>
      </c>
    </row>
    <row r="2298" spans="4:5">
      <c r="D2298" s="90" t="str">
        <f>IF('Product List'!C2298="","",'Product List'!C2298)</f>
        <v/>
      </c>
      <c r="E2298" s="90" t="str">
        <f>IF('Product List'!B2298="","",'Product List'!B2298)</f>
        <v/>
      </c>
    </row>
    <row r="2299" spans="4:5">
      <c r="D2299" s="90" t="str">
        <f>IF('Product List'!C2299="","",'Product List'!C2299)</f>
        <v/>
      </c>
      <c r="E2299" s="90" t="str">
        <f>IF('Product List'!B2299="","",'Product List'!B2299)</f>
        <v/>
      </c>
    </row>
    <row r="2300" spans="4:5">
      <c r="D2300" s="90" t="str">
        <f>IF('Product List'!C2300="","",'Product List'!C2300)</f>
        <v/>
      </c>
      <c r="E2300" s="90" t="str">
        <f>IF('Product List'!B2300="","",'Product List'!B2300)</f>
        <v/>
      </c>
    </row>
    <row r="2301" spans="4:5">
      <c r="D2301" s="90" t="str">
        <f>IF('Product List'!C2301="","",'Product List'!C2301)</f>
        <v/>
      </c>
      <c r="E2301" s="90" t="str">
        <f>IF('Product List'!B2301="","",'Product List'!B2301)</f>
        <v/>
      </c>
    </row>
    <row r="2302" spans="4:5">
      <c r="D2302" s="90" t="str">
        <f>IF('Product List'!C2302="","",'Product List'!C2302)</f>
        <v/>
      </c>
      <c r="E2302" s="90" t="str">
        <f>IF('Product List'!B2302="","",'Product List'!B2302)</f>
        <v/>
      </c>
    </row>
    <row r="2303" spans="4:5">
      <c r="D2303" s="90" t="str">
        <f>IF('Product List'!C2303="","",'Product List'!C2303)</f>
        <v/>
      </c>
      <c r="E2303" s="90" t="str">
        <f>IF('Product List'!B2303="","",'Product List'!B2303)</f>
        <v/>
      </c>
    </row>
    <row r="2304" spans="4:5">
      <c r="D2304" s="90" t="str">
        <f>IF('Product List'!C2304="","",'Product List'!C2304)</f>
        <v/>
      </c>
      <c r="E2304" s="90" t="str">
        <f>IF('Product List'!B2304="","",'Product List'!B2304)</f>
        <v/>
      </c>
    </row>
    <row r="2305" spans="4:5">
      <c r="D2305" s="90" t="str">
        <f>IF('Product List'!C2305="","",'Product List'!C2305)</f>
        <v/>
      </c>
      <c r="E2305" s="90" t="str">
        <f>IF('Product List'!B2305="","",'Product List'!B2305)</f>
        <v/>
      </c>
    </row>
    <row r="2306" spans="4:5">
      <c r="D2306" s="90" t="str">
        <f>IF('Product List'!C2306="","",'Product List'!C2306)</f>
        <v/>
      </c>
      <c r="E2306" s="90" t="str">
        <f>IF('Product List'!B2306="","",'Product List'!B2306)</f>
        <v/>
      </c>
    </row>
    <row r="2307" spans="4:5">
      <c r="D2307" s="90" t="str">
        <f>IF('Product List'!C2307="","",'Product List'!C2307)</f>
        <v/>
      </c>
      <c r="E2307" s="90" t="str">
        <f>IF('Product List'!B2307="","",'Product List'!B2307)</f>
        <v/>
      </c>
    </row>
    <row r="2308" spans="4:5">
      <c r="D2308" s="90" t="str">
        <f>IF('Product List'!C2308="","",'Product List'!C2308)</f>
        <v/>
      </c>
      <c r="E2308" s="90" t="str">
        <f>IF('Product List'!B2308="","",'Product List'!B2308)</f>
        <v/>
      </c>
    </row>
    <row r="2309" spans="4:5">
      <c r="D2309" s="90" t="str">
        <f>IF('Product List'!C2309="","",'Product List'!C2309)</f>
        <v/>
      </c>
      <c r="E2309" s="90" t="str">
        <f>IF('Product List'!B2309="","",'Product List'!B2309)</f>
        <v/>
      </c>
    </row>
    <row r="2310" spans="4:5">
      <c r="D2310" s="90" t="str">
        <f>IF('Product List'!C2310="","",'Product List'!C2310)</f>
        <v/>
      </c>
      <c r="E2310" s="90" t="str">
        <f>IF('Product List'!B2310="","",'Product List'!B2310)</f>
        <v/>
      </c>
    </row>
    <row r="2311" spans="4:5">
      <c r="D2311" s="90" t="str">
        <f>IF('Product List'!C2311="","",'Product List'!C2311)</f>
        <v/>
      </c>
      <c r="E2311" s="90" t="str">
        <f>IF('Product List'!B2311="","",'Product List'!B2311)</f>
        <v/>
      </c>
    </row>
    <row r="2312" spans="4:5">
      <c r="D2312" s="90" t="str">
        <f>IF('Product List'!C2312="","",'Product List'!C2312)</f>
        <v/>
      </c>
      <c r="E2312" s="90" t="str">
        <f>IF('Product List'!B2312="","",'Product List'!B2312)</f>
        <v/>
      </c>
    </row>
    <row r="2313" spans="4:5">
      <c r="D2313" s="90" t="str">
        <f>IF('Product List'!C2313="","",'Product List'!C2313)</f>
        <v/>
      </c>
      <c r="E2313" s="90" t="str">
        <f>IF('Product List'!B2313="","",'Product List'!B2313)</f>
        <v/>
      </c>
    </row>
    <row r="2314" spans="4:5">
      <c r="D2314" s="90" t="str">
        <f>IF('Product List'!C2314="","",'Product List'!C2314)</f>
        <v/>
      </c>
      <c r="E2314" s="90" t="str">
        <f>IF('Product List'!B2314="","",'Product List'!B2314)</f>
        <v/>
      </c>
    </row>
    <row r="2315" spans="4:5">
      <c r="D2315" s="90" t="str">
        <f>IF('Product List'!C2315="","",'Product List'!C2315)</f>
        <v/>
      </c>
      <c r="E2315" s="90" t="str">
        <f>IF('Product List'!B2315="","",'Product List'!B2315)</f>
        <v/>
      </c>
    </row>
    <row r="2316" spans="4:5">
      <c r="D2316" s="90" t="str">
        <f>IF('Product List'!C2316="","",'Product List'!C2316)</f>
        <v/>
      </c>
      <c r="E2316" s="90" t="str">
        <f>IF('Product List'!B2316="","",'Product List'!B2316)</f>
        <v/>
      </c>
    </row>
    <row r="2317" spans="4:5">
      <c r="D2317" s="90" t="str">
        <f>IF('Product List'!C2317="","",'Product List'!C2317)</f>
        <v/>
      </c>
      <c r="E2317" s="90" t="str">
        <f>IF('Product List'!B2317="","",'Product List'!B2317)</f>
        <v/>
      </c>
    </row>
    <row r="2318" spans="4:5">
      <c r="D2318" s="90" t="str">
        <f>IF('Product List'!C2318="","",'Product List'!C2318)</f>
        <v/>
      </c>
      <c r="E2318" s="90" t="str">
        <f>IF('Product List'!B2318="","",'Product List'!B2318)</f>
        <v/>
      </c>
    </row>
    <row r="2319" spans="4:5">
      <c r="D2319" s="90" t="str">
        <f>IF('Product List'!C2319="","",'Product List'!C2319)</f>
        <v/>
      </c>
      <c r="E2319" s="90" t="str">
        <f>IF('Product List'!B2319="","",'Product List'!B2319)</f>
        <v/>
      </c>
    </row>
    <row r="2320" spans="4:5">
      <c r="D2320" s="90" t="str">
        <f>IF('Product List'!C2320="","",'Product List'!C2320)</f>
        <v/>
      </c>
      <c r="E2320" s="90" t="str">
        <f>IF('Product List'!B2320="","",'Product List'!B2320)</f>
        <v/>
      </c>
    </row>
    <row r="2321" spans="4:5">
      <c r="D2321" s="90" t="str">
        <f>IF('Product List'!C2321="","",'Product List'!C2321)</f>
        <v/>
      </c>
      <c r="E2321" s="90" t="str">
        <f>IF('Product List'!B2321="","",'Product List'!B2321)</f>
        <v/>
      </c>
    </row>
    <row r="2322" spans="4:5">
      <c r="D2322" s="90" t="str">
        <f>IF('Product List'!C2322="","",'Product List'!C2322)</f>
        <v/>
      </c>
      <c r="E2322" s="90" t="str">
        <f>IF('Product List'!B2322="","",'Product List'!B2322)</f>
        <v/>
      </c>
    </row>
    <row r="2323" spans="4:5">
      <c r="D2323" s="90" t="str">
        <f>IF('Product List'!C2323="","",'Product List'!C2323)</f>
        <v/>
      </c>
      <c r="E2323" s="90" t="str">
        <f>IF('Product List'!B2323="","",'Product List'!B2323)</f>
        <v/>
      </c>
    </row>
    <row r="2324" spans="4:5">
      <c r="D2324" s="90" t="str">
        <f>IF('Product List'!C2324="","",'Product List'!C2324)</f>
        <v/>
      </c>
      <c r="E2324" s="90" t="str">
        <f>IF('Product List'!B2324="","",'Product List'!B2324)</f>
        <v/>
      </c>
    </row>
    <row r="2325" spans="4:5">
      <c r="D2325" s="90" t="str">
        <f>IF('Product List'!C2325="","",'Product List'!C2325)</f>
        <v/>
      </c>
      <c r="E2325" s="90" t="str">
        <f>IF('Product List'!B2325="","",'Product List'!B2325)</f>
        <v/>
      </c>
    </row>
    <row r="2326" spans="4:5">
      <c r="D2326" s="90" t="str">
        <f>IF('Product List'!C2326="","",'Product List'!C2326)</f>
        <v/>
      </c>
      <c r="E2326" s="90" t="str">
        <f>IF('Product List'!B2326="","",'Product List'!B2326)</f>
        <v/>
      </c>
    </row>
    <row r="2327" spans="4:5">
      <c r="D2327" s="90" t="str">
        <f>IF('Product List'!C2327="","",'Product List'!C2327)</f>
        <v/>
      </c>
      <c r="E2327" s="90" t="str">
        <f>IF('Product List'!B2327="","",'Product List'!B2327)</f>
        <v/>
      </c>
    </row>
    <row r="2328" spans="4:5">
      <c r="D2328" s="90" t="str">
        <f>IF('Product List'!C2328="","",'Product List'!C2328)</f>
        <v/>
      </c>
      <c r="E2328" s="90" t="str">
        <f>IF('Product List'!B2328="","",'Product List'!B2328)</f>
        <v/>
      </c>
    </row>
    <row r="2329" spans="4:5">
      <c r="D2329" s="90" t="str">
        <f>IF('Product List'!C2329="","",'Product List'!C2329)</f>
        <v/>
      </c>
      <c r="E2329" s="90" t="str">
        <f>IF('Product List'!B2329="","",'Product List'!B2329)</f>
        <v/>
      </c>
    </row>
    <row r="2330" spans="4:5">
      <c r="D2330" s="90" t="str">
        <f>IF('Product List'!C2330="","",'Product List'!C2330)</f>
        <v/>
      </c>
      <c r="E2330" s="90" t="str">
        <f>IF('Product List'!B2330="","",'Product List'!B2330)</f>
        <v/>
      </c>
    </row>
    <row r="2331" spans="4:5">
      <c r="D2331" s="90" t="str">
        <f>IF('Product List'!C2331="","",'Product List'!C2331)</f>
        <v/>
      </c>
      <c r="E2331" s="90" t="str">
        <f>IF('Product List'!B2331="","",'Product List'!B2331)</f>
        <v/>
      </c>
    </row>
    <row r="2332" spans="4:5">
      <c r="D2332" s="90" t="str">
        <f>IF('Product List'!C2332="","",'Product List'!C2332)</f>
        <v/>
      </c>
      <c r="E2332" s="90" t="str">
        <f>IF('Product List'!B2332="","",'Product List'!B2332)</f>
        <v/>
      </c>
    </row>
    <row r="2333" spans="4:5">
      <c r="D2333" s="90" t="str">
        <f>IF('Product List'!C2333="","",'Product List'!C2333)</f>
        <v/>
      </c>
      <c r="E2333" s="90" t="str">
        <f>IF('Product List'!B2333="","",'Product List'!B2333)</f>
        <v/>
      </c>
    </row>
    <row r="2334" spans="4:5">
      <c r="D2334" s="90" t="str">
        <f>IF('Product List'!C2334="","",'Product List'!C2334)</f>
        <v/>
      </c>
      <c r="E2334" s="90" t="str">
        <f>IF('Product List'!B2334="","",'Product List'!B2334)</f>
        <v/>
      </c>
    </row>
    <row r="2335" spans="4:5">
      <c r="D2335" s="90" t="str">
        <f>IF('Product List'!C2335="","",'Product List'!C2335)</f>
        <v/>
      </c>
      <c r="E2335" s="90" t="str">
        <f>IF('Product List'!B2335="","",'Product List'!B2335)</f>
        <v/>
      </c>
    </row>
    <row r="2336" spans="4:5">
      <c r="D2336" s="90" t="str">
        <f>IF('Product List'!C2336="","",'Product List'!C2336)</f>
        <v/>
      </c>
      <c r="E2336" s="90" t="str">
        <f>IF('Product List'!B2336="","",'Product List'!B2336)</f>
        <v/>
      </c>
    </row>
    <row r="2337" spans="4:5">
      <c r="D2337" s="90" t="str">
        <f>IF('Product List'!C2337="","",'Product List'!C2337)</f>
        <v/>
      </c>
      <c r="E2337" s="90" t="str">
        <f>IF('Product List'!B2337="","",'Product List'!B2337)</f>
        <v/>
      </c>
    </row>
    <row r="2338" spans="4:5">
      <c r="D2338" s="90" t="str">
        <f>IF('Product List'!C2338="","",'Product List'!C2338)</f>
        <v/>
      </c>
      <c r="E2338" s="90" t="str">
        <f>IF('Product List'!B2338="","",'Product List'!B2338)</f>
        <v/>
      </c>
    </row>
    <row r="2339" spans="4:5">
      <c r="D2339" s="90" t="str">
        <f>IF('Product List'!C2339="","",'Product List'!C2339)</f>
        <v/>
      </c>
      <c r="E2339" s="90" t="str">
        <f>IF('Product List'!B2339="","",'Product List'!B2339)</f>
        <v/>
      </c>
    </row>
    <row r="2340" spans="4:5">
      <c r="D2340" s="90" t="str">
        <f>IF('Product List'!C2340="","",'Product List'!C2340)</f>
        <v/>
      </c>
      <c r="E2340" s="90" t="str">
        <f>IF('Product List'!B2340="","",'Product List'!B2340)</f>
        <v/>
      </c>
    </row>
    <row r="2341" spans="4:5">
      <c r="D2341" s="90" t="str">
        <f>IF('Product List'!C2341="","",'Product List'!C2341)</f>
        <v/>
      </c>
      <c r="E2341" s="90" t="str">
        <f>IF('Product List'!B2341="","",'Product List'!B2341)</f>
        <v/>
      </c>
    </row>
    <row r="2342" spans="4:5">
      <c r="D2342" s="90" t="str">
        <f>IF('Product List'!C2342="","",'Product List'!C2342)</f>
        <v/>
      </c>
      <c r="E2342" s="90" t="str">
        <f>IF('Product List'!B2342="","",'Product List'!B2342)</f>
        <v/>
      </c>
    </row>
    <row r="2343" spans="4:5">
      <c r="D2343" s="90" t="str">
        <f>IF('Product List'!C2343="","",'Product List'!C2343)</f>
        <v/>
      </c>
      <c r="E2343" s="90" t="str">
        <f>IF('Product List'!B2343="","",'Product List'!B2343)</f>
        <v/>
      </c>
    </row>
    <row r="2344" spans="4:5">
      <c r="D2344" s="90" t="str">
        <f>IF('Product List'!C2344="","",'Product List'!C2344)</f>
        <v/>
      </c>
      <c r="E2344" s="90" t="str">
        <f>IF('Product List'!B2344="","",'Product List'!B2344)</f>
        <v/>
      </c>
    </row>
    <row r="2345" spans="4:5">
      <c r="D2345" s="90" t="str">
        <f>IF('Product List'!C2345="","",'Product List'!C2345)</f>
        <v/>
      </c>
      <c r="E2345" s="90" t="str">
        <f>IF('Product List'!B2345="","",'Product List'!B2345)</f>
        <v/>
      </c>
    </row>
    <row r="2346" spans="4:5">
      <c r="D2346" s="90" t="str">
        <f>IF('Product List'!C2346="","",'Product List'!C2346)</f>
        <v/>
      </c>
      <c r="E2346" s="90" t="str">
        <f>IF('Product List'!B2346="","",'Product List'!B2346)</f>
        <v/>
      </c>
    </row>
    <row r="2347" spans="4:5">
      <c r="D2347" s="90" t="str">
        <f>IF('Product List'!C2347="","",'Product List'!C2347)</f>
        <v/>
      </c>
      <c r="E2347" s="90" t="str">
        <f>IF('Product List'!B2347="","",'Product List'!B2347)</f>
        <v/>
      </c>
    </row>
    <row r="2348" spans="4:5">
      <c r="D2348" s="90" t="str">
        <f>IF('Product List'!C2348="","",'Product List'!C2348)</f>
        <v/>
      </c>
      <c r="E2348" s="90" t="str">
        <f>IF('Product List'!B2348="","",'Product List'!B2348)</f>
        <v/>
      </c>
    </row>
    <row r="2349" spans="4:5">
      <c r="D2349" s="90" t="str">
        <f>IF('Product List'!C2349="","",'Product List'!C2349)</f>
        <v/>
      </c>
      <c r="E2349" s="90" t="str">
        <f>IF('Product List'!B2349="","",'Product List'!B2349)</f>
        <v/>
      </c>
    </row>
    <row r="2350" spans="4:5">
      <c r="D2350" s="90" t="str">
        <f>IF('Product List'!C2350="","",'Product List'!C2350)</f>
        <v/>
      </c>
      <c r="E2350" s="90" t="str">
        <f>IF('Product List'!B2350="","",'Product List'!B2350)</f>
        <v/>
      </c>
    </row>
    <row r="2351" spans="4:5">
      <c r="D2351" s="90" t="str">
        <f>IF('Product List'!C2351="","",'Product List'!C2351)</f>
        <v/>
      </c>
      <c r="E2351" s="90" t="str">
        <f>IF('Product List'!B2351="","",'Product List'!B2351)</f>
        <v/>
      </c>
    </row>
    <row r="2352" spans="4:5">
      <c r="D2352" s="90" t="str">
        <f>IF('Product List'!C2352="","",'Product List'!C2352)</f>
        <v/>
      </c>
      <c r="E2352" s="90" t="str">
        <f>IF('Product List'!B2352="","",'Product List'!B2352)</f>
        <v/>
      </c>
    </row>
    <row r="2353" spans="4:5">
      <c r="D2353" s="90" t="str">
        <f>IF('Product List'!C2353="","",'Product List'!C2353)</f>
        <v/>
      </c>
      <c r="E2353" s="90" t="str">
        <f>IF('Product List'!B2353="","",'Product List'!B2353)</f>
        <v/>
      </c>
    </row>
    <row r="2354" spans="4:5">
      <c r="D2354" s="90" t="str">
        <f>IF('Product List'!C2354="","",'Product List'!C2354)</f>
        <v/>
      </c>
      <c r="E2354" s="90" t="str">
        <f>IF('Product List'!B2354="","",'Product List'!B2354)</f>
        <v/>
      </c>
    </row>
    <row r="2355" spans="4:5">
      <c r="D2355" s="90" t="str">
        <f>IF('Product List'!C2355="","",'Product List'!C2355)</f>
        <v/>
      </c>
      <c r="E2355" s="90" t="str">
        <f>IF('Product List'!B2355="","",'Product List'!B2355)</f>
        <v/>
      </c>
    </row>
    <row r="2356" spans="4:5">
      <c r="D2356" s="90" t="str">
        <f>IF('Product List'!C2356="","",'Product List'!C2356)</f>
        <v/>
      </c>
      <c r="E2356" s="90" t="str">
        <f>IF('Product List'!B2356="","",'Product List'!B2356)</f>
        <v/>
      </c>
    </row>
    <row r="2357" spans="4:5">
      <c r="D2357" s="90" t="str">
        <f>IF('Product List'!C2357="","",'Product List'!C2357)</f>
        <v/>
      </c>
      <c r="E2357" s="90" t="str">
        <f>IF('Product List'!B2357="","",'Product List'!B2357)</f>
        <v/>
      </c>
    </row>
    <row r="2358" spans="4:5">
      <c r="D2358" s="90" t="str">
        <f>IF('Product List'!C2358="","",'Product List'!C2358)</f>
        <v/>
      </c>
      <c r="E2358" s="90" t="str">
        <f>IF('Product List'!B2358="","",'Product List'!B2358)</f>
        <v/>
      </c>
    </row>
    <row r="2359" spans="4:5">
      <c r="D2359" s="90" t="str">
        <f>IF('Product List'!C2359="","",'Product List'!C2359)</f>
        <v/>
      </c>
      <c r="E2359" s="90" t="str">
        <f>IF('Product List'!B2359="","",'Product List'!B2359)</f>
        <v/>
      </c>
    </row>
    <row r="2360" spans="4:5">
      <c r="D2360" s="90" t="str">
        <f>IF('Product List'!C2360="","",'Product List'!C2360)</f>
        <v/>
      </c>
      <c r="E2360" s="90" t="str">
        <f>IF('Product List'!B2360="","",'Product List'!B2360)</f>
        <v/>
      </c>
    </row>
    <row r="2361" spans="4:5">
      <c r="D2361" s="90" t="str">
        <f>IF('Product List'!C2361="","",'Product List'!C2361)</f>
        <v/>
      </c>
      <c r="E2361" s="90" t="str">
        <f>IF('Product List'!B2361="","",'Product List'!B2361)</f>
        <v/>
      </c>
    </row>
    <row r="2362" spans="4:5">
      <c r="D2362" s="90" t="str">
        <f>IF('Product List'!C2362="","",'Product List'!C2362)</f>
        <v/>
      </c>
      <c r="E2362" s="90" t="str">
        <f>IF('Product List'!B2362="","",'Product List'!B2362)</f>
        <v/>
      </c>
    </row>
    <row r="2363" spans="4:5">
      <c r="D2363" s="90" t="str">
        <f>IF('Product List'!C2363="","",'Product List'!C2363)</f>
        <v/>
      </c>
      <c r="E2363" s="90" t="str">
        <f>IF('Product List'!B2363="","",'Product List'!B2363)</f>
        <v/>
      </c>
    </row>
    <row r="2364" spans="4:5">
      <c r="D2364" s="90" t="str">
        <f>IF('Product List'!C2364="","",'Product List'!C2364)</f>
        <v/>
      </c>
      <c r="E2364" s="90" t="str">
        <f>IF('Product List'!B2364="","",'Product List'!B2364)</f>
        <v/>
      </c>
    </row>
    <row r="2365" spans="4:5">
      <c r="D2365" s="90" t="str">
        <f>IF('Product List'!C2365="","",'Product List'!C2365)</f>
        <v/>
      </c>
      <c r="E2365" s="90" t="str">
        <f>IF('Product List'!B2365="","",'Product List'!B2365)</f>
        <v/>
      </c>
    </row>
    <row r="2366" spans="4:5">
      <c r="D2366" s="90" t="str">
        <f>IF('Product List'!C2366="","",'Product List'!C2366)</f>
        <v/>
      </c>
      <c r="E2366" s="90" t="str">
        <f>IF('Product List'!B2366="","",'Product List'!B2366)</f>
        <v/>
      </c>
    </row>
    <row r="2367" spans="4:5">
      <c r="D2367" s="90" t="str">
        <f>IF('Product List'!C2367="","",'Product List'!C2367)</f>
        <v/>
      </c>
      <c r="E2367" s="90" t="str">
        <f>IF('Product List'!B2367="","",'Product List'!B2367)</f>
        <v/>
      </c>
    </row>
    <row r="2368" spans="4:5">
      <c r="D2368" s="90" t="str">
        <f>IF('Product List'!C2368="","",'Product List'!C2368)</f>
        <v/>
      </c>
      <c r="E2368" s="90" t="str">
        <f>IF('Product List'!B2368="","",'Product List'!B2368)</f>
        <v/>
      </c>
    </row>
    <row r="2369" spans="4:5">
      <c r="D2369" s="90" t="str">
        <f>IF('Product List'!C2369="","",'Product List'!C2369)</f>
        <v/>
      </c>
      <c r="E2369" s="90" t="str">
        <f>IF('Product List'!B2369="","",'Product List'!B2369)</f>
        <v/>
      </c>
    </row>
    <row r="2370" spans="4:5">
      <c r="D2370" s="90" t="str">
        <f>IF('Product List'!C2370="","",'Product List'!C2370)</f>
        <v/>
      </c>
      <c r="E2370" s="90" t="str">
        <f>IF('Product List'!B2370="","",'Product List'!B2370)</f>
        <v/>
      </c>
    </row>
    <row r="2371" spans="4:5">
      <c r="D2371" s="90" t="str">
        <f>IF('Product List'!C2371="","",'Product List'!C2371)</f>
        <v/>
      </c>
      <c r="E2371" s="90" t="str">
        <f>IF('Product List'!B2371="","",'Product List'!B2371)</f>
        <v/>
      </c>
    </row>
    <row r="2372" spans="4:5">
      <c r="D2372" s="90" t="str">
        <f>IF('Product List'!C2372="","",'Product List'!C2372)</f>
        <v/>
      </c>
      <c r="E2372" s="90" t="str">
        <f>IF('Product List'!B2372="","",'Product List'!B2372)</f>
        <v/>
      </c>
    </row>
    <row r="2373" spans="4:5">
      <c r="D2373" s="90" t="str">
        <f>IF('Product List'!C2373="","",'Product List'!C2373)</f>
        <v/>
      </c>
      <c r="E2373" s="90" t="str">
        <f>IF('Product List'!B2373="","",'Product List'!B2373)</f>
        <v/>
      </c>
    </row>
    <row r="2374" spans="4:5">
      <c r="D2374" s="90" t="str">
        <f>IF('Product List'!C2374="","",'Product List'!C2374)</f>
        <v/>
      </c>
      <c r="E2374" s="90" t="str">
        <f>IF('Product List'!B2374="","",'Product List'!B2374)</f>
        <v/>
      </c>
    </row>
    <row r="2375" spans="4:5">
      <c r="D2375" s="90" t="str">
        <f>IF('Product List'!C2375="","",'Product List'!C2375)</f>
        <v/>
      </c>
      <c r="E2375" s="90" t="str">
        <f>IF('Product List'!B2375="","",'Product List'!B2375)</f>
        <v/>
      </c>
    </row>
    <row r="2376" spans="4:5">
      <c r="D2376" s="90" t="str">
        <f>IF('Product List'!C2376="","",'Product List'!C2376)</f>
        <v/>
      </c>
      <c r="E2376" s="90" t="str">
        <f>IF('Product List'!B2376="","",'Product List'!B2376)</f>
        <v/>
      </c>
    </row>
    <row r="2377" spans="4:5">
      <c r="D2377" s="90" t="str">
        <f>IF('Product List'!C2377="","",'Product List'!C2377)</f>
        <v/>
      </c>
      <c r="E2377" s="90" t="str">
        <f>IF('Product List'!B2377="","",'Product List'!B2377)</f>
        <v/>
      </c>
    </row>
    <row r="2378" spans="4:5">
      <c r="D2378" s="90" t="str">
        <f>IF('Product List'!C2378="","",'Product List'!C2378)</f>
        <v/>
      </c>
      <c r="E2378" s="90" t="str">
        <f>IF('Product List'!B2378="","",'Product List'!B2378)</f>
        <v/>
      </c>
    </row>
    <row r="2379" spans="4:5">
      <c r="D2379" s="90" t="str">
        <f>IF('Product List'!C2379="","",'Product List'!C2379)</f>
        <v/>
      </c>
      <c r="E2379" s="90" t="str">
        <f>IF('Product List'!B2379="","",'Product List'!B2379)</f>
        <v/>
      </c>
    </row>
    <row r="2380" spans="4:5">
      <c r="D2380" s="90" t="str">
        <f>IF('Product List'!C2380="","",'Product List'!C2380)</f>
        <v/>
      </c>
      <c r="E2380" s="90" t="str">
        <f>IF('Product List'!B2380="","",'Product List'!B2380)</f>
        <v/>
      </c>
    </row>
    <row r="2381" spans="4:5">
      <c r="D2381" s="90" t="str">
        <f>IF('Product List'!C2381="","",'Product List'!C2381)</f>
        <v/>
      </c>
      <c r="E2381" s="90" t="str">
        <f>IF('Product List'!B2381="","",'Product List'!B2381)</f>
        <v/>
      </c>
    </row>
    <row r="2382" spans="4:5">
      <c r="D2382" s="90" t="str">
        <f>IF('Product List'!C2382="","",'Product List'!C2382)</f>
        <v/>
      </c>
      <c r="E2382" s="90" t="str">
        <f>IF('Product List'!B2382="","",'Product List'!B2382)</f>
        <v/>
      </c>
    </row>
    <row r="2383" spans="4:5">
      <c r="D2383" s="90" t="str">
        <f>IF('Product List'!C2383="","",'Product List'!C2383)</f>
        <v/>
      </c>
      <c r="E2383" s="90" t="str">
        <f>IF('Product List'!B2383="","",'Product List'!B2383)</f>
        <v/>
      </c>
    </row>
    <row r="2384" spans="4:5">
      <c r="D2384" s="90" t="str">
        <f>IF('Product List'!C2384="","",'Product List'!C2384)</f>
        <v/>
      </c>
      <c r="E2384" s="90" t="str">
        <f>IF('Product List'!B2384="","",'Product List'!B2384)</f>
        <v/>
      </c>
    </row>
    <row r="2385" spans="4:5">
      <c r="D2385" s="90" t="str">
        <f>IF('Product List'!C2385="","",'Product List'!C2385)</f>
        <v/>
      </c>
      <c r="E2385" s="90" t="str">
        <f>IF('Product List'!B2385="","",'Product List'!B2385)</f>
        <v/>
      </c>
    </row>
    <row r="2386" spans="4:5">
      <c r="D2386" s="90" t="str">
        <f>IF('Product List'!C2386="","",'Product List'!C2386)</f>
        <v/>
      </c>
      <c r="E2386" s="90" t="str">
        <f>IF('Product List'!B2386="","",'Product List'!B2386)</f>
        <v/>
      </c>
    </row>
    <row r="2387" spans="4:5">
      <c r="D2387" s="90" t="str">
        <f>IF('Product List'!C2387="","",'Product List'!C2387)</f>
        <v/>
      </c>
      <c r="E2387" s="90" t="str">
        <f>IF('Product List'!B2387="","",'Product List'!B2387)</f>
        <v/>
      </c>
    </row>
    <row r="2388" spans="4:5">
      <c r="D2388" s="90" t="str">
        <f>IF('Product List'!C2388="","",'Product List'!C2388)</f>
        <v/>
      </c>
      <c r="E2388" s="90" t="str">
        <f>IF('Product List'!B2388="","",'Product List'!B2388)</f>
        <v/>
      </c>
    </row>
    <row r="2389" spans="4:5">
      <c r="D2389" s="90" t="str">
        <f>IF('Product List'!C2389="","",'Product List'!C2389)</f>
        <v/>
      </c>
      <c r="E2389" s="90" t="str">
        <f>IF('Product List'!B2389="","",'Product List'!B2389)</f>
        <v/>
      </c>
    </row>
    <row r="2390" spans="4:5">
      <c r="D2390" s="90" t="str">
        <f>IF('Product List'!C2390="","",'Product List'!C2390)</f>
        <v/>
      </c>
      <c r="E2390" s="90" t="str">
        <f>IF('Product List'!B2390="","",'Product List'!B2390)</f>
        <v/>
      </c>
    </row>
    <row r="2391" spans="4:5">
      <c r="D2391" s="90" t="str">
        <f>IF('Product List'!C2391="","",'Product List'!C2391)</f>
        <v/>
      </c>
      <c r="E2391" s="90" t="str">
        <f>IF('Product List'!B2391="","",'Product List'!B2391)</f>
        <v/>
      </c>
    </row>
    <row r="2392" spans="4:5">
      <c r="D2392" s="90" t="str">
        <f>IF('Product List'!C2392="","",'Product List'!C2392)</f>
        <v/>
      </c>
      <c r="E2392" s="90" t="str">
        <f>IF('Product List'!B2392="","",'Product List'!B2392)</f>
        <v/>
      </c>
    </row>
    <row r="2393" spans="4:5">
      <c r="D2393" s="90" t="str">
        <f>IF('Product List'!C2393="","",'Product List'!C2393)</f>
        <v/>
      </c>
      <c r="E2393" s="90" t="str">
        <f>IF('Product List'!B2393="","",'Product List'!B2393)</f>
        <v/>
      </c>
    </row>
    <row r="2394" spans="4:5">
      <c r="D2394" s="90" t="str">
        <f>IF('Product List'!C2394="","",'Product List'!C2394)</f>
        <v/>
      </c>
      <c r="E2394" s="90" t="str">
        <f>IF('Product List'!B2394="","",'Product List'!B2394)</f>
        <v/>
      </c>
    </row>
    <row r="2395" spans="4:5">
      <c r="D2395" s="90" t="str">
        <f>IF('Product List'!C2395="","",'Product List'!C2395)</f>
        <v/>
      </c>
      <c r="E2395" s="90" t="str">
        <f>IF('Product List'!B2395="","",'Product List'!B2395)</f>
        <v/>
      </c>
    </row>
    <row r="2396" spans="4:5">
      <c r="D2396" s="90" t="str">
        <f>IF('Product List'!C2396="","",'Product List'!C2396)</f>
        <v/>
      </c>
      <c r="E2396" s="90" t="str">
        <f>IF('Product List'!B2396="","",'Product List'!B2396)</f>
        <v/>
      </c>
    </row>
    <row r="2397" spans="4:5">
      <c r="D2397" s="90" t="str">
        <f>IF('Product List'!C2397="","",'Product List'!C2397)</f>
        <v/>
      </c>
      <c r="E2397" s="90" t="str">
        <f>IF('Product List'!B2397="","",'Product List'!B2397)</f>
        <v/>
      </c>
    </row>
    <row r="2398" spans="4:5">
      <c r="D2398" s="90" t="str">
        <f>IF('Product List'!C2398="","",'Product List'!C2398)</f>
        <v/>
      </c>
      <c r="E2398" s="90" t="str">
        <f>IF('Product List'!B2398="","",'Product List'!B2398)</f>
        <v/>
      </c>
    </row>
    <row r="2399" spans="4:5">
      <c r="D2399" s="90" t="str">
        <f>IF('Product List'!C2399="","",'Product List'!C2399)</f>
        <v/>
      </c>
      <c r="E2399" s="90" t="str">
        <f>IF('Product List'!B2399="","",'Product List'!B2399)</f>
        <v/>
      </c>
    </row>
    <row r="2400" spans="4:5">
      <c r="D2400" s="90" t="str">
        <f>IF('Product List'!C2400="","",'Product List'!C2400)</f>
        <v/>
      </c>
      <c r="E2400" s="90" t="str">
        <f>IF('Product List'!B2400="","",'Product List'!B2400)</f>
        <v/>
      </c>
    </row>
    <row r="2401" spans="4:5">
      <c r="D2401" s="90" t="str">
        <f>IF('Product List'!C2401="","",'Product List'!C2401)</f>
        <v/>
      </c>
      <c r="E2401" s="90" t="str">
        <f>IF('Product List'!B2401="","",'Product List'!B2401)</f>
        <v/>
      </c>
    </row>
    <row r="2402" spans="4:5">
      <c r="D2402" s="90" t="str">
        <f>IF('Product List'!C2402="","",'Product List'!C2402)</f>
        <v/>
      </c>
      <c r="E2402" s="90" t="str">
        <f>IF('Product List'!B2402="","",'Product List'!B2402)</f>
        <v/>
      </c>
    </row>
    <row r="2403" spans="4:5">
      <c r="D2403" s="90" t="str">
        <f>IF('Product List'!C2403="","",'Product List'!C2403)</f>
        <v/>
      </c>
      <c r="E2403" s="90" t="str">
        <f>IF('Product List'!B2403="","",'Product List'!B2403)</f>
        <v/>
      </c>
    </row>
    <row r="2404" spans="4:5">
      <c r="D2404" s="90" t="str">
        <f>IF('Product List'!C2404="","",'Product List'!C2404)</f>
        <v/>
      </c>
      <c r="E2404" s="90" t="str">
        <f>IF('Product List'!B2404="","",'Product List'!B2404)</f>
        <v/>
      </c>
    </row>
    <row r="2405" spans="4:5">
      <c r="D2405" s="90" t="str">
        <f>IF('Product List'!C2405="","",'Product List'!C2405)</f>
        <v/>
      </c>
      <c r="E2405" s="90" t="str">
        <f>IF('Product List'!B2405="","",'Product List'!B2405)</f>
        <v/>
      </c>
    </row>
    <row r="2406" spans="4:5">
      <c r="D2406" s="90" t="str">
        <f>IF('Product List'!C2406="","",'Product List'!C2406)</f>
        <v/>
      </c>
      <c r="E2406" s="90" t="str">
        <f>IF('Product List'!B2406="","",'Product List'!B2406)</f>
        <v/>
      </c>
    </row>
    <row r="2407" spans="4:5">
      <c r="D2407" s="90" t="str">
        <f>IF('Product List'!C2407="","",'Product List'!C2407)</f>
        <v/>
      </c>
      <c r="E2407" s="90" t="str">
        <f>IF('Product List'!B2407="","",'Product List'!B2407)</f>
        <v/>
      </c>
    </row>
    <row r="2408" spans="4:5">
      <c r="D2408" s="90" t="str">
        <f>IF('Product List'!C2408="","",'Product List'!C2408)</f>
        <v/>
      </c>
      <c r="E2408" s="90" t="str">
        <f>IF('Product List'!B2408="","",'Product List'!B2408)</f>
        <v/>
      </c>
    </row>
    <row r="2409" spans="4:5">
      <c r="D2409" s="90" t="str">
        <f>IF('Product List'!C2409="","",'Product List'!C2409)</f>
        <v/>
      </c>
      <c r="E2409" s="90" t="str">
        <f>IF('Product List'!B2409="","",'Product List'!B2409)</f>
        <v/>
      </c>
    </row>
    <row r="2410" spans="4:5">
      <c r="D2410" s="90" t="str">
        <f>IF('Product List'!C2410="","",'Product List'!C2410)</f>
        <v/>
      </c>
      <c r="E2410" s="90" t="str">
        <f>IF('Product List'!B2410="","",'Product List'!B2410)</f>
        <v/>
      </c>
    </row>
    <row r="2411" spans="4:5">
      <c r="D2411" s="90" t="str">
        <f>IF('Product List'!C2411="","",'Product List'!C2411)</f>
        <v/>
      </c>
      <c r="E2411" s="90" t="str">
        <f>IF('Product List'!B2411="","",'Product List'!B2411)</f>
        <v/>
      </c>
    </row>
    <row r="2412" spans="4:5">
      <c r="D2412" s="90" t="str">
        <f>IF('Product List'!C2412="","",'Product List'!C2412)</f>
        <v/>
      </c>
      <c r="E2412" s="90" t="str">
        <f>IF('Product List'!B2412="","",'Product List'!B2412)</f>
        <v/>
      </c>
    </row>
    <row r="2413" spans="4:5">
      <c r="D2413" s="90" t="str">
        <f>IF('Product List'!C2413="","",'Product List'!C2413)</f>
        <v/>
      </c>
      <c r="E2413" s="90" t="str">
        <f>IF('Product List'!B2413="","",'Product List'!B2413)</f>
        <v/>
      </c>
    </row>
    <row r="2414" spans="4:5">
      <c r="D2414" s="90" t="str">
        <f>IF('Product List'!C2414="","",'Product List'!C2414)</f>
        <v/>
      </c>
      <c r="E2414" s="90" t="str">
        <f>IF('Product List'!B2414="","",'Product List'!B2414)</f>
        <v/>
      </c>
    </row>
    <row r="2415" spans="4:5">
      <c r="D2415" s="90" t="str">
        <f>IF('Product List'!C2415="","",'Product List'!C2415)</f>
        <v/>
      </c>
      <c r="E2415" s="90" t="str">
        <f>IF('Product List'!B2415="","",'Product List'!B2415)</f>
        <v/>
      </c>
    </row>
    <row r="2416" spans="4:5">
      <c r="D2416" s="90" t="str">
        <f>IF('Product List'!C2416="","",'Product List'!C2416)</f>
        <v/>
      </c>
      <c r="E2416" s="90" t="str">
        <f>IF('Product List'!B2416="","",'Product List'!B2416)</f>
        <v/>
      </c>
    </row>
    <row r="2417" spans="4:5">
      <c r="D2417" s="90" t="str">
        <f>IF('Product List'!C2417="","",'Product List'!C2417)</f>
        <v/>
      </c>
      <c r="E2417" s="90" t="str">
        <f>IF('Product List'!B2417="","",'Product List'!B2417)</f>
        <v/>
      </c>
    </row>
    <row r="2418" spans="4:5">
      <c r="D2418" s="90" t="str">
        <f>IF('Product List'!C2418="","",'Product List'!C2418)</f>
        <v/>
      </c>
      <c r="E2418" s="90" t="str">
        <f>IF('Product List'!B2418="","",'Product List'!B2418)</f>
        <v/>
      </c>
    </row>
    <row r="2419" spans="4:5">
      <c r="D2419" s="90" t="str">
        <f>IF('Product List'!C2419="","",'Product List'!C2419)</f>
        <v/>
      </c>
      <c r="E2419" s="90" t="str">
        <f>IF('Product List'!B2419="","",'Product List'!B2419)</f>
        <v/>
      </c>
    </row>
    <row r="2420" spans="4:5">
      <c r="D2420" s="90" t="str">
        <f>IF('Product List'!C2420="","",'Product List'!C2420)</f>
        <v/>
      </c>
      <c r="E2420" s="90" t="str">
        <f>IF('Product List'!B2420="","",'Product List'!B2420)</f>
        <v/>
      </c>
    </row>
    <row r="2421" spans="4:5">
      <c r="D2421" s="90" t="str">
        <f>IF('Product List'!C2421="","",'Product List'!C2421)</f>
        <v/>
      </c>
      <c r="E2421" s="90" t="str">
        <f>IF('Product List'!B2421="","",'Product List'!B2421)</f>
        <v/>
      </c>
    </row>
    <row r="2422" spans="4:5">
      <c r="D2422" s="90" t="str">
        <f>IF('Product List'!C2422="","",'Product List'!C2422)</f>
        <v/>
      </c>
      <c r="E2422" s="90" t="str">
        <f>IF('Product List'!B2422="","",'Product List'!B2422)</f>
        <v/>
      </c>
    </row>
    <row r="2423" spans="4:5">
      <c r="D2423" s="90" t="str">
        <f>IF('Product List'!C2423="","",'Product List'!C2423)</f>
        <v/>
      </c>
      <c r="E2423" s="90" t="str">
        <f>IF('Product List'!B2423="","",'Product List'!B2423)</f>
        <v/>
      </c>
    </row>
    <row r="2424" spans="4:5">
      <c r="D2424" s="90" t="str">
        <f>IF('Product List'!C2424="","",'Product List'!C2424)</f>
        <v/>
      </c>
      <c r="E2424" s="90" t="str">
        <f>IF('Product List'!B2424="","",'Product List'!B2424)</f>
        <v/>
      </c>
    </row>
    <row r="2425" spans="4:5">
      <c r="D2425" s="90" t="str">
        <f>IF('Product List'!C2425="","",'Product List'!C2425)</f>
        <v/>
      </c>
      <c r="E2425" s="90" t="str">
        <f>IF('Product List'!B2425="","",'Product List'!B2425)</f>
        <v/>
      </c>
    </row>
    <row r="2426" spans="4:5">
      <c r="D2426" s="90" t="str">
        <f>IF('Product List'!C2426="","",'Product List'!C2426)</f>
        <v/>
      </c>
      <c r="E2426" s="90" t="str">
        <f>IF('Product List'!B2426="","",'Product List'!B2426)</f>
        <v/>
      </c>
    </row>
    <row r="2427" spans="4:5">
      <c r="D2427" s="90" t="str">
        <f>IF('Product List'!C2427="","",'Product List'!C2427)</f>
        <v/>
      </c>
      <c r="E2427" s="90" t="str">
        <f>IF('Product List'!B2427="","",'Product List'!B2427)</f>
        <v/>
      </c>
    </row>
    <row r="2428" spans="4:5">
      <c r="D2428" s="90" t="str">
        <f>IF('Product List'!C2428="","",'Product List'!C2428)</f>
        <v/>
      </c>
      <c r="E2428" s="90" t="str">
        <f>IF('Product List'!B2428="","",'Product List'!B2428)</f>
        <v/>
      </c>
    </row>
    <row r="2429" spans="4:5">
      <c r="D2429" s="90" t="str">
        <f>IF('Product List'!C2429="","",'Product List'!C2429)</f>
        <v/>
      </c>
      <c r="E2429" s="90" t="str">
        <f>IF('Product List'!B2429="","",'Product List'!B2429)</f>
        <v/>
      </c>
    </row>
    <row r="2430" spans="4:5">
      <c r="D2430" s="90" t="str">
        <f>IF('Product List'!C2430="","",'Product List'!C2430)</f>
        <v/>
      </c>
      <c r="E2430" s="90" t="str">
        <f>IF('Product List'!B2430="","",'Product List'!B2430)</f>
        <v/>
      </c>
    </row>
    <row r="2431" spans="4:5">
      <c r="D2431" s="90" t="str">
        <f>IF('Product List'!C2431="","",'Product List'!C2431)</f>
        <v/>
      </c>
      <c r="E2431" s="90" t="str">
        <f>IF('Product List'!B2431="","",'Product List'!B2431)</f>
        <v/>
      </c>
    </row>
    <row r="2432" spans="4:5">
      <c r="D2432" s="90" t="str">
        <f>IF('Product List'!C2432="","",'Product List'!C2432)</f>
        <v/>
      </c>
      <c r="E2432" s="90" t="str">
        <f>IF('Product List'!B2432="","",'Product List'!B2432)</f>
        <v/>
      </c>
    </row>
    <row r="2433" spans="4:5">
      <c r="D2433" s="90" t="str">
        <f>IF('Product List'!C2433="","",'Product List'!C2433)</f>
        <v/>
      </c>
      <c r="E2433" s="90" t="str">
        <f>IF('Product List'!B2433="","",'Product List'!B2433)</f>
        <v/>
      </c>
    </row>
    <row r="2434" spans="4:5">
      <c r="D2434" s="90" t="str">
        <f>IF('Product List'!C2434="","",'Product List'!C2434)</f>
        <v/>
      </c>
      <c r="E2434" s="90" t="str">
        <f>IF('Product List'!B2434="","",'Product List'!B2434)</f>
        <v/>
      </c>
    </row>
    <row r="2435" spans="4:5">
      <c r="D2435" s="90" t="str">
        <f>IF('Product List'!C2435="","",'Product List'!C2435)</f>
        <v/>
      </c>
      <c r="E2435" s="90" t="str">
        <f>IF('Product List'!B2435="","",'Product List'!B2435)</f>
        <v/>
      </c>
    </row>
    <row r="2436" spans="4:5">
      <c r="D2436" s="90" t="str">
        <f>IF('Product List'!C2436="","",'Product List'!C2436)</f>
        <v/>
      </c>
      <c r="E2436" s="90" t="str">
        <f>IF('Product List'!B2436="","",'Product List'!B2436)</f>
        <v/>
      </c>
    </row>
    <row r="2437" spans="4:5">
      <c r="D2437" s="90" t="str">
        <f>IF('Product List'!C2437="","",'Product List'!C2437)</f>
        <v/>
      </c>
      <c r="E2437" s="90" t="str">
        <f>IF('Product List'!B2437="","",'Product List'!B2437)</f>
        <v/>
      </c>
    </row>
    <row r="2438" spans="4:5">
      <c r="D2438" s="90" t="str">
        <f>IF('Product List'!C2438="","",'Product List'!C2438)</f>
        <v/>
      </c>
      <c r="E2438" s="90" t="str">
        <f>IF('Product List'!B2438="","",'Product List'!B2438)</f>
        <v/>
      </c>
    </row>
    <row r="2439" spans="4:5">
      <c r="D2439" s="90" t="str">
        <f>IF('Product List'!C2439="","",'Product List'!C2439)</f>
        <v/>
      </c>
      <c r="E2439" s="90" t="str">
        <f>IF('Product List'!B2439="","",'Product List'!B2439)</f>
        <v/>
      </c>
    </row>
    <row r="2440" spans="4:5">
      <c r="D2440" s="90" t="str">
        <f>IF('Product List'!C2440="","",'Product List'!C2440)</f>
        <v/>
      </c>
      <c r="E2440" s="90" t="str">
        <f>IF('Product List'!B2440="","",'Product List'!B2440)</f>
        <v/>
      </c>
    </row>
    <row r="2441" spans="4:5">
      <c r="D2441" s="90" t="str">
        <f>IF('Product List'!C2441="","",'Product List'!C2441)</f>
        <v/>
      </c>
      <c r="E2441" s="90" t="str">
        <f>IF('Product List'!B2441="","",'Product List'!B2441)</f>
        <v/>
      </c>
    </row>
    <row r="2442" spans="4:5">
      <c r="D2442" s="90" t="str">
        <f>IF('Product List'!C2442="","",'Product List'!C2442)</f>
        <v/>
      </c>
      <c r="E2442" s="90" t="str">
        <f>IF('Product List'!B2442="","",'Product List'!B2442)</f>
        <v/>
      </c>
    </row>
    <row r="2443" spans="4:5">
      <c r="D2443" s="90" t="str">
        <f>IF('Product List'!C2443="","",'Product List'!C2443)</f>
        <v/>
      </c>
      <c r="E2443" s="90" t="str">
        <f>IF('Product List'!B2443="","",'Product List'!B2443)</f>
        <v/>
      </c>
    </row>
    <row r="2444" spans="4:5">
      <c r="D2444" s="90" t="str">
        <f>IF('Product List'!C2444="","",'Product List'!C2444)</f>
        <v/>
      </c>
      <c r="E2444" s="90" t="str">
        <f>IF('Product List'!B2444="","",'Product List'!B2444)</f>
        <v/>
      </c>
    </row>
    <row r="2445" spans="4:5">
      <c r="D2445" s="90" t="str">
        <f>IF('Product List'!C2445="","",'Product List'!C2445)</f>
        <v/>
      </c>
      <c r="E2445" s="90" t="str">
        <f>IF('Product List'!B2445="","",'Product List'!B2445)</f>
        <v/>
      </c>
    </row>
    <row r="2446" spans="4:5">
      <c r="D2446" s="90" t="str">
        <f>IF('Product List'!C2446="","",'Product List'!C2446)</f>
        <v/>
      </c>
      <c r="E2446" s="90" t="str">
        <f>IF('Product List'!B2446="","",'Product List'!B2446)</f>
        <v/>
      </c>
    </row>
    <row r="2447" spans="4:5">
      <c r="D2447" s="90" t="str">
        <f>IF('Product List'!C2447="","",'Product List'!C2447)</f>
        <v/>
      </c>
      <c r="E2447" s="90" t="str">
        <f>IF('Product List'!B2447="","",'Product List'!B2447)</f>
        <v/>
      </c>
    </row>
    <row r="2448" spans="4:5">
      <c r="D2448" s="90" t="str">
        <f>IF('Product List'!C2448="","",'Product List'!C2448)</f>
        <v/>
      </c>
      <c r="E2448" s="90" t="str">
        <f>IF('Product List'!B2448="","",'Product List'!B2448)</f>
        <v/>
      </c>
    </row>
    <row r="2449" spans="4:5">
      <c r="D2449" s="90" t="str">
        <f>IF('Product List'!C2449="","",'Product List'!C2449)</f>
        <v/>
      </c>
      <c r="E2449" s="90" t="str">
        <f>IF('Product List'!B2449="","",'Product List'!B2449)</f>
        <v/>
      </c>
    </row>
    <row r="2450" spans="4:5">
      <c r="D2450" s="90" t="str">
        <f>IF('Product List'!C2450="","",'Product List'!C2450)</f>
        <v/>
      </c>
      <c r="E2450" s="90" t="str">
        <f>IF('Product List'!B2450="","",'Product List'!B2450)</f>
        <v/>
      </c>
    </row>
    <row r="2451" spans="4:5">
      <c r="D2451" s="90" t="str">
        <f>IF('Product List'!C2451="","",'Product List'!C2451)</f>
        <v/>
      </c>
      <c r="E2451" s="90" t="str">
        <f>IF('Product List'!B2451="","",'Product List'!B2451)</f>
        <v/>
      </c>
    </row>
    <row r="2452" spans="4:5">
      <c r="D2452" s="90" t="str">
        <f>IF('Product List'!C2452="","",'Product List'!C2452)</f>
        <v/>
      </c>
      <c r="E2452" s="90" t="str">
        <f>IF('Product List'!B2452="","",'Product List'!B2452)</f>
        <v/>
      </c>
    </row>
    <row r="2453" spans="4:5">
      <c r="D2453" s="90" t="str">
        <f>IF('Product List'!C2453="","",'Product List'!C2453)</f>
        <v/>
      </c>
      <c r="E2453" s="90" t="str">
        <f>IF('Product List'!B2453="","",'Product List'!B2453)</f>
        <v/>
      </c>
    </row>
    <row r="2454" spans="4:5">
      <c r="D2454" s="90" t="str">
        <f>IF('Product List'!C2454="","",'Product List'!C2454)</f>
        <v/>
      </c>
      <c r="E2454" s="90" t="str">
        <f>IF('Product List'!B2454="","",'Product List'!B2454)</f>
        <v/>
      </c>
    </row>
    <row r="2455" spans="4:5">
      <c r="D2455" s="90" t="str">
        <f>IF('Product List'!C2455="","",'Product List'!C2455)</f>
        <v/>
      </c>
      <c r="E2455" s="90" t="str">
        <f>IF('Product List'!B2455="","",'Product List'!B2455)</f>
        <v/>
      </c>
    </row>
    <row r="2456" spans="4:5">
      <c r="D2456" s="90" t="str">
        <f>IF('Product List'!C2456="","",'Product List'!C2456)</f>
        <v/>
      </c>
      <c r="E2456" s="90" t="str">
        <f>IF('Product List'!B2456="","",'Product List'!B2456)</f>
        <v/>
      </c>
    </row>
    <row r="2457" spans="4:5">
      <c r="D2457" s="90" t="str">
        <f>IF('Product List'!C2457="","",'Product List'!C2457)</f>
        <v/>
      </c>
      <c r="E2457" s="90" t="str">
        <f>IF('Product List'!B2457="","",'Product List'!B2457)</f>
        <v/>
      </c>
    </row>
    <row r="2458" spans="4:5">
      <c r="D2458" s="90" t="str">
        <f>IF('Product List'!C2458="","",'Product List'!C2458)</f>
        <v/>
      </c>
      <c r="E2458" s="90" t="str">
        <f>IF('Product List'!B2458="","",'Product List'!B2458)</f>
        <v/>
      </c>
    </row>
    <row r="2459" spans="4:5">
      <c r="D2459" s="90" t="str">
        <f>IF('Product List'!C2459="","",'Product List'!C2459)</f>
        <v/>
      </c>
      <c r="E2459" s="90" t="str">
        <f>IF('Product List'!B2459="","",'Product List'!B2459)</f>
        <v/>
      </c>
    </row>
    <row r="2460" spans="4:5">
      <c r="D2460" s="90" t="str">
        <f>IF('Product List'!C2460="","",'Product List'!C2460)</f>
        <v/>
      </c>
      <c r="E2460" s="90" t="str">
        <f>IF('Product List'!B2460="","",'Product List'!B2460)</f>
        <v/>
      </c>
    </row>
    <row r="2461" spans="4:5">
      <c r="D2461" s="90" t="str">
        <f>IF('Product List'!C2461="","",'Product List'!C2461)</f>
        <v/>
      </c>
      <c r="E2461" s="90" t="str">
        <f>IF('Product List'!B2461="","",'Product List'!B2461)</f>
        <v/>
      </c>
    </row>
    <row r="2462" spans="4:5">
      <c r="D2462" s="90" t="str">
        <f>IF('Product List'!C2462="","",'Product List'!C2462)</f>
        <v/>
      </c>
      <c r="E2462" s="90" t="str">
        <f>IF('Product List'!B2462="","",'Product List'!B2462)</f>
        <v/>
      </c>
    </row>
    <row r="2463" spans="4:5">
      <c r="D2463" s="90" t="str">
        <f>IF('Product List'!C2463="","",'Product List'!C2463)</f>
        <v/>
      </c>
      <c r="E2463" s="90" t="str">
        <f>IF('Product List'!B2463="","",'Product List'!B2463)</f>
        <v/>
      </c>
    </row>
    <row r="2464" spans="4:5">
      <c r="D2464" s="90" t="str">
        <f>IF('Product List'!C2464="","",'Product List'!C2464)</f>
        <v/>
      </c>
      <c r="E2464" s="90" t="str">
        <f>IF('Product List'!B2464="","",'Product List'!B2464)</f>
        <v/>
      </c>
    </row>
    <row r="2465" spans="4:5">
      <c r="D2465" s="90" t="str">
        <f>IF('Product List'!C2465="","",'Product List'!C2465)</f>
        <v/>
      </c>
      <c r="E2465" s="90" t="str">
        <f>IF('Product List'!B2465="","",'Product List'!B2465)</f>
        <v/>
      </c>
    </row>
    <row r="2466" spans="4:5">
      <c r="D2466" s="90" t="str">
        <f>IF('Product List'!C2466="","",'Product List'!C2466)</f>
        <v/>
      </c>
      <c r="E2466" s="90" t="str">
        <f>IF('Product List'!B2466="","",'Product List'!B2466)</f>
        <v/>
      </c>
    </row>
    <row r="2467" spans="4:5">
      <c r="D2467" s="90" t="str">
        <f>IF('Product List'!C2467="","",'Product List'!C2467)</f>
        <v/>
      </c>
      <c r="E2467" s="90" t="str">
        <f>IF('Product List'!B2467="","",'Product List'!B2467)</f>
        <v/>
      </c>
    </row>
    <row r="2468" spans="4:5">
      <c r="D2468" s="90" t="str">
        <f>IF('Product List'!C2468="","",'Product List'!C2468)</f>
        <v/>
      </c>
      <c r="E2468" s="90" t="str">
        <f>IF('Product List'!B2468="","",'Product List'!B2468)</f>
        <v/>
      </c>
    </row>
    <row r="2469" spans="4:5">
      <c r="D2469" s="90" t="str">
        <f>IF('Product List'!C2469="","",'Product List'!C2469)</f>
        <v/>
      </c>
      <c r="E2469" s="90" t="str">
        <f>IF('Product List'!B2469="","",'Product List'!B2469)</f>
        <v/>
      </c>
    </row>
    <row r="2470" spans="4:5">
      <c r="D2470" s="90" t="str">
        <f>IF('Product List'!C2470="","",'Product List'!C2470)</f>
        <v/>
      </c>
      <c r="E2470" s="90" t="str">
        <f>IF('Product List'!B2470="","",'Product List'!B2470)</f>
        <v/>
      </c>
    </row>
    <row r="2471" spans="4:5">
      <c r="D2471" s="90" t="str">
        <f>IF('Product List'!C2471="","",'Product List'!C2471)</f>
        <v/>
      </c>
      <c r="E2471" s="90" t="str">
        <f>IF('Product List'!B2471="","",'Product List'!B2471)</f>
        <v/>
      </c>
    </row>
    <row r="2472" spans="4:5">
      <c r="D2472" s="90" t="str">
        <f>IF('Product List'!C2472="","",'Product List'!C2472)</f>
        <v/>
      </c>
      <c r="E2472" s="90" t="str">
        <f>IF('Product List'!B2472="","",'Product List'!B2472)</f>
        <v/>
      </c>
    </row>
    <row r="2473" spans="4:5">
      <c r="D2473" s="90" t="str">
        <f>IF('Product List'!C2473="","",'Product List'!C2473)</f>
        <v/>
      </c>
      <c r="E2473" s="90" t="str">
        <f>IF('Product List'!B2473="","",'Product List'!B2473)</f>
        <v/>
      </c>
    </row>
    <row r="2474" spans="4:5">
      <c r="D2474" s="90" t="str">
        <f>IF('Product List'!C2474="","",'Product List'!C2474)</f>
        <v/>
      </c>
      <c r="E2474" s="90" t="str">
        <f>IF('Product List'!B2474="","",'Product List'!B2474)</f>
        <v/>
      </c>
    </row>
    <row r="2475" spans="4:5">
      <c r="D2475" s="90" t="str">
        <f>IF('Product List'!C2475="","",'Product List'!C2475)</f>
        <v/>
      </c>
      <c r="E2475" s="90" t="str">
        <f>IF('Product List'!B2475="","",'Product List'!B2475)</f>
        <v/>
      </c>
    </row>
    <row r="2476" spans="4:5">
      <c r="D2476" s="90" t="str">
        <f>IF('Product List'!C2476="","",'Product List'!C2476)</f>
        <v/>
      </c>
      <c r="E2476" s="90" t="str">
        <f>IF('Product List'!B2476="","",'Product List'!B2476)</f>
        <v/>
      </c>
    </row>
    <row r="2477" spans="4:5">
      <c r="D2477" s="90" t="str">
        <f>IF('Product List'!C2477="","",'Product List'!C2477)</f>
        <v/>
      </c>
      <c r="E2477" s="90" t="str">
        <f>IF('Product List'!B2477="","",'Product List'!B2477)</f>
        <v/>
      </c>
    </row>
    <row r="2478" spans="4:5">
      <c r="D2478" s="90" t="str">
        <f>IF('Product List'!C2478="","",'Product List'!C2478)</f>
        <v/>
      </c>
      <c r="E2478" s="90" t="str">
        <f>IF('Product List'!B2478="","",'Product List'!B2478)</f>
        <v/>
      </c>
    </row>
    <row r="2479" spans="4:5">
      <c r="D2479" s="90" t="str">
        <f>IF('Product List'!C2479="","",'Product List'!C2479)</f>
        <v/>
      </c>
      <c r="E2479" s="90" t="str">
        <f>IF('Product List'!B2479="","",'Product List'!B2479)</f>
        <v/>
      </c>
    </row>
    <row r="2480" spans="4:5">
      <c r="D2480" s="90" t="str">
        <f>IF('Product List'!C2480="","",'Product List'!C2480)</f>
        <v/>
      </c>
      <c r="E2480" s="90" t="str">
        <f>IF('Product List'!B2480="","",'Product List'!B2480)</f>
        <v/>
      </c>
    </row>
    <row r="2481" spans="4:5">
      <c r="D2481" s="90" t="str">
        <f>IF('Product List'!C2481="","",'Product List'!C2481)</f>
        <v/>
      </c>
      <c r="E2481" s="90" t="str">
        <f>IF('Product List'!B2481="","",'Product List'!B2481)</f>
        <v/>
      </c>
    </row>
    <row r="2482" spans="4:5">
      <c r="D2482" s="90" t="str">
        <f>IF('Product List'!C2482="","",'Product List'!C2482)</f>
        <v/>
      </c>
      <c r="E2482" s="90" t="str">
        <f>IF('Product List'!B2482="","",'Product List'!B2482)</f>
        <v/>
      </c>
    </row>
    <row r="2483" spans="4:5">
      <c r="D2483" s="90" t="str">
        <f>IF('Product List'!C2483="","",'Product List'!C2483)</f>
        <v/>
      </c>
      <c r="E2483" s="90" t="str">
        <f>IF('Product List'!B2483="","",'Product List'!B2483)</f>
        <v/>
      </c>
    </row>
    <row r="2484" spans="4:5">
      <c r="D2484" s="90" t="str">
        <f>IF('Product List'!C2484="","",'Product List'!C2484)</f>
        <v/>
      </c>
      <c r="E2484" s="90" t="str">
        <f>IF('Product List'!B2484="","",'Product List'!B2484)</f>
        <v/>
      </c>
    </row>
    <row r="2485" spans="4:5">
      <c r="D2485" s="90" t="str">
        <f>IF('Product List'!C2485="","",'Product List'!C2485)</f>
        <v/>
      </c>
      <c r="E2485" s="90" t="str">
        <f>IF('Product List'!B2485="","",'Product List'!B2485)</f>
        <v/>
      </c>
    </row>
    <row r="2486" spans="4:5">
      <c r="D2486" s="90" t="str">
        <f>IF('Product List'!C2486="","",'Product List'!C2486)</f>
        <v/>
      </c>
      <c r="E2486" s="90" t="str">
        <f>IF('Product List'!B2486="","",'Product List'!B2486)</f>
        <v/>
      </c>
    </row>
    <row r="2487" spans="4:5">
      <c r="D2487" s="90" t="str">
        <f>IF('Product List'!C2487="","",'Product List'!C2487)</f>
        <v/>
      </c>
      <c r="E2487" s="90" t="str">
        <f>IF('Product List'!B2487="","",'Product List'!B2487)</f>
        <v/>
      </c>
    </row>
    <row r="2488" spans="4:5">
      <c r="D2488" s="90" t="str">
        <f>IF('Product List'!C2488="","",'Product List'!C2488)</f>
        <v/>
      </c>
      <c r="E2488" s="90" t="str">
        <f>IF('Product List'!B2488="","",'Product List'!B2488)</f>
        <v/>
      </c>
    </row>
    <row r="2489" spans="4:5">
      <c r="D2489" s="90" t="str">
        <f>IF('Product List'!C2489="","",'Product List'!C2489)</f>
        <v/>
      </c>
      <c r="E2489" s="90" t="str">
        <f>IF('Product List'!B2489="","",'Product List'!B2489)</f>
        <v/>
      </c>
    </row>
    <row r="2490" spans="4:5">
      <c r="D2490" s="90" t="str">
        <f>IF('Product List'!C2490="","",'Product List'!C2490)</f>
        <v/>
      </c>
      <c r="E2490" s="90" t="str">
        <f>IF('Product List'!B2490="","",'Product List'!B2490)</f>
        <v/>
      </c>
    </row>
    <row r="2491" spans="4:5">
      <c r="D2491" s="90" t="str">
        <f>IF('Product List'!C2491="","",'Product List'!C2491)</f>
        <v/>
      </c>
      <c r="E2491" s="90" t="str">
        <f>IF('Product List'!B2491="","",'Product List'!B2491)</f>
        <v/>
      </c>
    </row>
    <row r="2492" spans="4:5">
      <c r="D2492" s="90" t="str">
        <f>IF('Product List'!C2492="","",'Product List'!C2492)</f>
        <v/>
      </c>
      <c r="E2492" s="90" t="str">
        <f>IF('Product List'!B2492="","",'Product List'!B2492)</f>
        <v/>
      </c>
    </row>
    <row r="2493" spans="4:5">
      <c r="D2493" s="90" t="str">
        <f>IF('Product List'!C2493="","",'Product List'!C2493)</f>
        <v/>
      </c>
      <c r="E2493" s="90" t="str">
        <f>IF('Product List'!B2493="","",'Product List'!B2493)</f>
        <v/>
      </c>
    </row>
    <row r="2494" spans="4:5">
      <c r="D2494" s="90" t="str">
        <f>IF('Product List'!C2494="","",'Product List'!C2494)</f>
        <v/>
      </c>
      <c r="E2494" s="90" t="str">
        <f>IF('Product List'!B2494="","",'Product List'!B2494)</f>
        <v/>
      </c>
    </row>
    <row r="2495" spans="4:5">
      <c r="D2495" s="90" t="str">
        <f>IF('Product List'!C2495="","",'Product List'!C2495)</f>
        <v/>
      </c>
      <c r="E2495" s="90" t="str">
        <f>IF('Product List'!B2495="","",'Product List'!B2495)</f>
        <v/>
      </c>
    </row>
    <row r="2496" spans="4:5">
      <c r="D2496" s="90" t="str">
        <f>IF('Product List'!C2496="","",'Product List'!C2496)</f>
        <v/>
      </c>
      <c r="E2496" s="90" t="str">
        <f>IF('Product List'!B2496="","",'Product List'!B2496)</f>
        <v/>
      </c>
    </row>
    <row r="2497" spans="4:5">
      <c r="D2497" s="90" t="str">
        <f>IF('Product List'!C2497="","",'Product List'!C2497)</f>
        <v/>
      </c>
      <c r="E2497" s="90" t="str">
        <f>IF('Product List'!B2497="","",'Product List'!B2497)</f>
        <v/>
      </c>
    </row>
    <row r="2498" spans="4:5">
      <c r="D2498" s="90" t="str">
        <f>IF('Product List'!C2498="","",'Product List'!C2498)</f>
        <v/>
      </c>
      <c r="E2498" s="90" t="str">
        <f>IF('Product List'!B2498="","",'Product List'!B2498)</f>
        <v/>
      </c>
    </row>
    <row r="2499" spans="4:5">
      <c r="D2499" s="90" t="str">
        <f>IF('Product List'!C2499="","",'Product List'!C2499)</f>
        <v/>
      </c>
      <c r="E2499" s="90" t="str">
        <f>IF('Product List'!B2499="","",'Product List'!B2499)</f>
        <v/>
      </c>
    </row>
    <row r="2500" spans="4:5">
      <c r="D2500" s="90" t="str">
        <f>IF('Product List'!C2500="","",'Product List'!C2500)</f>
        <v/>
      </c>
      <c r="E2500" s="90" t="str">
        <f>IF('Product List'!B2500="","",'Product List'!B2500)</f>
        <v/>
      </c>
    </row>
    <row r="2501" spans="4:5">
      <c r="D2501" s="90" t="str">
        <f>IF('Product List'!C2501="","",'Product List'!C2501)</f>
        <v/>
      </c>
      <c r="E2501" s="90" t="str">
        <f>IF('Product List'!B2501="","",'Product List'!B2501)</f>
        <v/>
      </c>
    </row>
    <row r="2502" spans="4:5">
      <c r="D2502" s="90" t="str">
        <f>IF('Product List'!C2502="","",'Product List'!C2502)</f>
        <v/>
      </c>
      <c r="E2502" s="90" t="str">
        <f>IF('Product List'!B2502="","",'Product List'!B2502)</f>
        <v/>
      </c>
    </row>
    <row r="2503" spans="4:5">
      <c r="D2503" s="90" t="str">
        <f>IF('Product List'!C2503="","",'Product List'!C2503)</f>
        <v/>
      </c>
      <c r="E2503" s="90" t="str">
        <f>IF('Product List'!B2503="","",'Product List'!B2503)</f>
        <v/>
      </c>
    </row>
    <row r="2504" spans="4:5">
      <c r="D2504" s="90" t="str">
        <f>IF('Product List'!C2504="","",'Product List'!C2504)</f>
        <v/>
      </c>
      <c r="E2504" s="90" t="str">
        <f>IF('Product List'!B2504="","",'Product List'!B2504)</f>
        <v/>
      </c>
    </row>
    <row r="2505" spans="4:5">
      <c r="D2505" s="90" t="str">
        <f>IF('Product List'!C2505="","",'Product List'!C2505)</f>
        <v/>
      </c>
      <c r="E2505" s="90" t="str">
        <f>IF('Product List'!B2505="","",'Product List'!B2505)</f>
        <v/>
      </c>
    </row>
    <row r="2506" spans="4:5">
      <c r="D2506" s="90" t="str">
        <f>IF('Product List'!C2506="","",'Product List'!C2506)</f>
        <v/>
      </c>
      <c r="E2506" s="90" t="str">
        <f>IF('Product List'!B2506="","",'Product List'!B2506)</f>
        <v/>
      </c>
    </row>
    <row r="2507" spans="4:5">
      <c r="D2507" s="90" t="str">
        <f>IF('Product List'!C2507="","",'Product List'!C2507)</f>
        <v/>
      </c>
      <c r="E2507" s="90" t="str">
        <f>IF('Product List'!B2507="","",'Product List'!B2507)</f>
        <v/>
      </c>
    </row>
    <row r="2508" spans="4:5">
      <c r="D2508" s="90" t="str">
        <f>IF('Product List'!C2508="","",'Product List'!C2508)</f>
        <v/>
      </c>
      <c r="E2508" s="90" t="str">
        <f>IF('Product List'!B2508="","",'Product List'!B2508)</f>
        <v/>
      </c>
    </row>
    <row r="2509" spans="4:5">
      <c r="D2509" s="90" t="str">
        <f>IF('Product List'!C2509="","",'Product List'!C2509)</f>
        <v/>
      </c>
      <c r="E2509" s="90" t="str">
        <f>IF('Product List'!B2509="","",'Product List'!B2509)</f>
        <v/>
      </c>
    </row>
    <row r="2510" spans="4:5">
      <c r="D2510" s="90" t="str">
        <f>IF('Product List'!C2510="","",'Product List'!C2510)</f>
        <v/>
      </c>
      <c r="E2510" s="90" t="str">
        <f>IF('Product List'!B2510="","",'Product List'!B2510)</f>
        <v/>
      </c>
    </row>
    <row r="2511" spans="4:5">
      <c r="D2511" s="90" t="str">
        <f>IF('Product List'!C2511="","",'Product List'!C2511)</f>
        <v/>
      </c>
      <c r="E2511" s="90" t="str">
        <f>IF('Product List'!B2511="","",'Product List'!B2511)</f>
        <v/>
      </c>
    </row>
    <row r="2512" spans="4:5">
      <c r="D2512" s="90" t="str">
        <f>IF('Product List'!C2512="","",'Product List'!C2512)</f>
        <v/>
      </c>
      <c r="E2512" s="90" t="str">
        <f>IF('Product List'!B2512="","",'Product List'!B2512)</f>
        <v/>
      </c>
    </row>
    <row r="2513" spans="4:5">
      <c r="D2513" s="90" t="str">
        <f>IF('Product List'!C2513="","",'Product List'!C2513)</f>
        <v/>
      </c>
      <c r="E2513" s="90" t="str">
        <f>IF('Product List'!B2513="","",'Product List'!B2513)</f>
        <v/>
      </c>
    </row>
    <row r="2514" spans="4:5">
      <c r="D2514" s="90" t="str">
        <f>IF('Product List'!C2514="","",'Product List'!C2514)</f>
        <v/>
      </c>
      <c r="E2514" s="90" t="str">
        <f>IF('Product List'!B2514="","",'Product List'!B2514)</f>
        <v/>
      </c>
    </row>
    <row r="2515" spans="4:5">
      <c r="D2515" s="90" t="str">
        <f>IF('Product List'!C2515="","",'Product List'!C2515)</f>
        <v/>
      </c>
      <c r="E2515" s="90" t="str">
        <f>IF('Product List'!B2515="","",'Product List'!B2515)</f>
        <v/>
      </c>
    </row>
    <row r="2516" spans="4:5">
      <c r="D2516" s="90" t="str">
        <f>IF('Product List'!C2516="","",'Product List'!C2516)</f>
        <v/>
      </c>
      <c r="E2516" s="90" t="str">
        <f>IF('Product List'!B2516="","",'Product List'!B2516)</f>
        <v/>
      </c>
    </row>
    <row r="2517" spans="4:5">
      <c r="D2517" s="90" t="str">
        <f>IF('Product List'!C2517="","",'Product List'!C2517)</f>
        <v/>
      </c>
      <c r="E2517" s="90" t="str">
        <f>IF('Product List'!B2517="","",'Product List'!B2517)</f>
        <v/>
      </c>
    </row>
    <row r="2518" spans="4:5">
      <c r="D2518" s="90" t="str">
        <f>IF('Product List'!C2518="","",'Product List'!C2518)</f>
        <v/>
      </c>
      <c r="E2518" s="90" t="str">
        <f>IF('Product List'!B2518="","",'Product List'!B2518)</f>
        <v/>
      </c>
    </row>
    <row r="2519" spans="4:5">
      <c r="D2519" s="90" t="str">
        <f>IF('Product List'!C2519="","",'Product List'!C2519)</f>
        <v/>
      </c>
      <c r="E2519" s="90" t="str">
        <f>IF('Product List'!B2519="","",'Product List'!B2519)</f>
        <v/>
      </c>
    </row>
    <row r="2520" spans="4:5">
      <c r="D2520" s="90" t="str">
        <f>IF('Product List'!C2520="","",'Product List'!C2520)</f>
        <v/>
      </c>
      <c r="E2520" s="90" t="str">
        <f>IF('Product List'!B2520="","",'Product List'!B2520)</f>
        <v/>
      </c>
    </row>
    <row r="2521" spans="4:5">
      <c r="D2521" s="90" t="str">
        <f>IF('Product List'!C2521="","",'Product List'!C2521)</f>
        <v/>
      </c>
      <c r="E2521" s="90" t="str">
        <f>IF('Product List'!B2521="","",'Product List'!B2521)</f>
        <v/>
      </c>
    </row>
    <row r="2522" spans="4:5">
      <c r="D2522" s="90" t="str">
        <f>IF('Product List'!C2522="","",'Product List'!C2522)</f>
        <v/>
      </c>
      <c r="E2522" s="90" t="str">
        <f>IF('Product List'!B2522="","",'Product List'!B2522)</f>
        <v/>
      </c>
    </row>
    <row r="2523" spans="4:5">
      <c r="D2523" s="90" t="str">
        <f>IF('Product List'!C2523="","",'Product List'!C2523)</f>
        <v/>
      </c>
      <c r="E2523" s="90" t="str">
        <f>IF('Product List'!B2523="","",'Product List'!B2523)</f>
        <v/>
      </c>
    </row>
    <row r="2524" spans="4:5">
      <c r="D2524" s="90" t="str">
        <f>IF('Product List'!C2524="","",'Product List'!C2524)</f>
        <v/>
      </c>
      <c r="E2524" s="90" t="str">
        <f>IF('Product List'!B2524="","",'Product List'!B2524)</f>
        <v/>
      </c>
    </row>
    <row r="2525" spans="4:5">
      <c r="D2525" s="90" t="str">
        <f>IF('Product List'!C2525="","",'Product List'!C2525)</f>
        <v/>
      </c>
      <c r="E2525" s="90" t="str">
        <f>IF('Product List'!B2525="","",'Product List'!B2525)</f>
        <v/>
      </c>
    </row>
    <row r="2526" spans="4:5">
      <c r="D2526" s="90" t="str">
        <f>IF('Product List'!C2526="","",'Product List'!C2526)</f>
        <v/>
      </c>
      <c r="E2526" s="90" t="str">
        <f>IF('Product List'!B2526="","",'Product List'!B2526)</f>
        <v/>
      </c>
    </row>
    <row r="2527" spans="4:5">
      <c r="D2527" s="90" t="str">
        <f>IF('Product List'!C2527="","",'Product List'!C2527)</f>
        <v/>
      </c>
      <c r="E2527" s="90" t="str">
        <f>IF('Product List'!B2527="","",'Product List'!B2527)</f>
        <v/>
      </c>
    </row>
    <row r="2528" spans="4:5">
      <c r="D2528" s="90" t="str">
        <f>IF('Product List'!C2528="","",'Product List'!C2528)</f>
        <v/>
      </c>
      <c r="E2528" s="90" t="str">
        <f>IF('Product List'!B2528="","",'Product List'!B2528)</f>
        <v/>
      </c>
    </row>
    <row r="2529" spans="4:5">
      <c r="D2529" s="90" t="str">
        <f>IF('Product List'!C2529="","",'Product List'!C2529)</f>
        <v/>
      </c>
      <c r="E2529" s="90" t="str">
        <f>IF('Product List'!B2529="","",'Product List'!B2529)</f>
        <v/>
      </c>
    </row>
    <row r="2530" spans="4:5">
      <c r="D2530" s="90" t="str">
        <f>IF('Product List'!C2530="","",'Product List'!C2530)</f>
        <v/>
      </c>
      <c r="E2530" s="90" t="str">
        <f>IF('Product List'!B2530="","",'Product List'!B2530)</f>
        <v/>
      </c>
    </row>
    <row r="2531" spans="4:5">
      <c r="D2531" s="90" t="str">
        <f>IF('Product List'!C2531="","",'Product List'!C2531)</f>
        <v/>
      </c>
      <c r="E2531" s="90" t="str">
        <f>IF('Product List'!B2531="","",'Product List'!B2531)</f>
        <v/>
      </c>
    </row>
    <row r="2532" spans="4:5">
      <c r="D2532" s="90" t="str">
        <f>IF('Product List'!C2532="","",'Product List'!C2532)</f>
        <v/>
      </c>
      <c r="E2532" s="90" t="str">
        <f>IF('Product List'!B2532="","",'Product List'!B2532)</f>
        <v/>
      </c>
    </row>
    <row r="2533" spans="4:5">
      <c r="D2533" s="90" t="str">
        <f>IF('Product List'!C2533="","",'Product List'!C2533)</f>
        <v/>
      </c>
      <c r="E2533" s="90" t="str">
        <f>IF('Product List'!B2533="","",'Product List'!B2533)</f>
        <v/>
      </c>
    </row>
    <row r="2534" spans="4:5">
      <c r="D2534" s="90" t="str">
        <f>IF('Product List'!C2534="","",'Product List'!C2534)</f>
        <v/>
      </c>
      <c r="E2534" s="90" t="str">
        <f>IF('Product List'!B2534="","",'Product List'!B2534)</f>
        <v/>
      </c>
    </row>
    <row r="2535" spans="4:5">
      <c r="D2535" s="90" t="str">
        <f>IF('Product List'!C2535="","",'Product List'!C2535)</f>
        <v/>
      </c>
      <c r="E2535" s="90" t="str">
        <f>IF('Product List'!B2535="","",'Product List'!B2535)</f>
        <v/>
      </c>
    </row>
    <row r="2536" spans="4:5">
      <c r="D2536" s="90" t="str">
        <f>IF('Product List'!C2536="","",'Product List'!C2536)</f>
        <v/>
      </c>
      <c r="E2536" s="90" t="str">
        <f>IF('Product List'!B2536="","",'Product List'!B2536)</f>
        <v/>
      </c>
    </row>
    <row r="2537" spans="4:5">
      <c r="D2537" s="90" t="str">
        <f>IF('Product List'!C2537="","",'Product List'!C2537)</f>
        <v/>
      </c>
      <c r="E2537" s="90" t="str">
        <f>IF('Product List'!B2537="","",'Product List'!B2537)</f>
        <v/>
      </c>
    </row>
    <row r="2538" spans="4:5">
      <c r="D2538" s="90" t="str">
        <f>IF('Product List'!C2538="","",'Product List'!C2538)</f>
        <v/>
      </c>
      <c r="E2538" s="90" t="str">
        <f>IF('Product List'!B2538="","",'Product List'!B2538)</f>
        <v/>
      </c>
    </row>
    <row r="2539" spans="4:5">
      <c r="D2539" s="90" t="str">
        <f>IF('Product List'!C2539="","",'Product List'!C2539)</f>
        <v/>
      </c>
      <c r="E2539" s="90" t="str">
        <f>IF('Product List'!B2539="","",'Product List'!B2539)</f>
        <v/>
      </c>
    </row>
    <row r="2540" spans="4:5">
      <c r="D2540" s="90" t="str">
        <f>IF('Product List'!C2540="","",'Product List'!C2540)</f>
        <v/>
      </c>
      <c r="E2540" s="90" t="str">
        <f>IF('Product List'!B2540="","",'Product List'!B2540)</f>
        <v/>
      </c>
    </row>
    <row r="2541" spans="4:5">
      <c r="D2541" s="90" t="str">
        <f>IF('Product List'!C2541="","",'Product List'!C2541)</f>
        <v/>
      </c>
      <c r="E2541" s="90" t="str">
        <f>IF('Product List'!B2541="","",'Product List'!B2541)</f>
        <v/>
      </c>
    </row>
    <row r="2542" spans="4:5">
      <c r="D2542" s="90" t="str">
        <f>IF('Product List'!C2542="","",'Product List'!C2542)</f>
        <v/>
      </c>
      <c r="E2542" s="90" t="str">
        <f>IF('Product List'!B2542="","",'Product List'!B2542)</f>
        <v/>
      </c>
    </row>
    <row r="2543" spans="4:5">
      <c r="D2543" s="90" t="str">
        <f>IF('Product List'!C2543="","",'Product List'!C2543)</f>
        <v/>
      </c>
      <c r="E2543" s="90" t="str">
        <f>IF('Product List'!B2543="","",'Product List'!B2543)</f>
        <v/>
      </c>
    </row>
    <row r="2544" spans="4:5">
      <c r="D2544" s="90" t="str">
        <f>IF('Product List'!C2544="","",'Product List'!C2544)</f>
        <v/>
      </c>
      <c r="E2544" s="90" t="str">
        <f>IF('Product List'!B2544="","",'Product List'!B2544)</f>
        <v/>
      </c>
    </row>
    <row r="2545" spans="4:5">
      <c r="D2545" s="90" t="str">
        <f>IF('Product List'!C2545="","",'Product List'!C2545)</f>
        <v/>
      </c>
      <c r="E2545" s="90" t="str">
        <f>IF('Product List'!B2545="","",'Product List'!B2545)</f>
        <v/>
      </c>
    </row>
    <row r="2546" spans="4:5">
      <c r="D2546" s="90" t="str">
        <f>IF('Product List'!C2546="","",'Product List'!C2546)</f>
        <v/>
      </c>
      <c r="E2546" s="90" t="str">
        <f>IF('Product List'!B2546="","",'Product List'!B2546)</f>
        <v/>
      </c>
    </row>
    <row r="2547" spans="4:5">
      <c r="D2547" s="90" t="str">
        <f>IF('Product List'!C2547="","",'Product List'!C2547)</f>
        <v/>
      </c>
      <c r="E2547" s="90" t="str">
        <f>IF('Product List'!B2547="","",'Product List'!B2547)</f>
        <v/>
      </c>
    </row>
    <row r="2548" spans="4:5">
      <c r="D2548" s="90" t="str">
        <f>IF('Product List'!C2548="","",'Product List'!C2548)</f>
        <v/>
      </c>
      <c r="E2548" s="90" t="str">
        <f>IF('Product List'!B2548="","",'Product List'!B2548)</f>
        <v/>
      </c>
    </row>
    <row r="2549" spans="4:5">
      <c r="D2549" s="90" t="str">
        <f>IF('Product List'!C2549="","",'Product List'!C2549)</f>
        <v/>
      </c>
      <c r="E2549" s="90" t="str">
        <f>IF('Product List'!B2549="","",'Product List'!B2549)</f>
        <v/>
      </c>
    </row>
    <row r="2550" spans="4:5">
      <c r="D2550" s="90" t="str">
        <f>IF('Product List'!C2550="","",'Product List'!C2550)</f>
        <v/>
      </c>
      <c r="E2550" s="90" t="str">
        <f>IF('Product List'!B2550="","",'Product List'!B2550)</f>
        <v/>
      </c>
    </row>
    <row r="2551" spans="4:5">
      <c r="D2551" s="90" t="str">
        <f>IF('Product List'!C2551="","",'Product List'!C2551)</f>
        <v/>
      </c>
      <c r="E2551" s="90" t="str">
        <f>IF('Product List'!B2551="","",'Product List'!B2551)</f>
        <v/>
      </c>
    </row>
    <row r="2552" spans="4:5">
      <c r="D2552" s="90" t="str">
        <f>IF('Product List'!C2552="","",'Product List'!C2552)</f>
        <v/>
      </c>
      <c r="E2552" s="90" t="str">
        <f>IF('Product List'!B2552="","",'Product List'!B2552)</f>
        <v/>
      </c>
    </row>
    <row r="2553" spans="4:5">
      <c r="D2553" s="90" t="str">
        <f>IF('Product List'!C2553="","",'Product List'!C2553)</f>
        <v/>
      </c>
      <c r="E2553" s="90" t="str">
        <f>IF('Product List'!B2553="","",'Product List'!B2553)</f>
        <v/>
      </c>
    </row>
    <row r="2554" spans="4:5">
      <c r="D2554" s="90" t="str">
        <f>IF('Product List'!C2554="","",'Product List'!C2554)</f>
        <v/>
      </c>
      <c r="E2554" s="90" t="str">
        <f>IF('Product List'!B2554="","",'Product List'!B2554)</f>
        <v/>
      </c>
    </row>
    <row r="2555" spans="4:5">
      <c r="D2555" s="90" t="str">
        <f>IF('Product List'!C2555="","",'Product List'!C2555)</f>
        <v/>
      </c>
      <c r="E2555" s="90" t="str">
        <f>IF('Product List'!B2555="","",'Product List'!B2555)</f>
        <v/>
      </c>
    </row>
    <row r="2556" spans="4:5">
      <c r="D2556" s="90" t="str">
        <f>IF('Product List'!C2556="","",'Product List'!C2556)</f>
        <v/>
      </c>
      <c r="E2556" s="90" t="str">
        <f>IF('Product List'!B2556="","",'Product List'!B2556)</f>
        <v/>
      </c>
    </row>
    <row r="2557" spans="4:5">
      <c r="D2557" s="90" t="str">
        <f>IF('Product List'!C2557="","",'Product List'!C2557)</f>
        <v/>
      </c>
      <c r="E2557" s="90" t="str">
        <f>IF('Product List'!B2557="","",'Product List'!B2557)</f>
        <v/>
      </c>
    </row>
    <row r="2558" spans="4:5">
      <c r="D2558" s="90" t="str">
        <f>IF('Product List'!C2558="","",'Product List'!C2558)</f>
        <v/>
      </c>
      <c r="E2558" s="90" t="str">
        <f>IF('Product List'!B2558="","",'Product List'!B2558)</f>
        <v/>
      </c>
    </row>
    <row r="2559" spans="4:5">
      <c r="D2559" s="90" t="str">
        <f>IF('Product List'!C2559="","",'Product List'!C2559)</f>
        <v/>
      </c>
      <c r="E2559" s="90" t="str">
        <f>IF('Product List'!B2559="","",'Product List'!B2559)</f>
        <v/>
      </c>
    </row>
    <row r="2560" spans="4:5">
      <c r="D2560" s="90" t="str">
        <f>IF('Product List'!C2560="","",'Product List'!C2560)</f>
        <v/>
      </c>
      <c r="E2560" s="90" t="str">
        <f>IF('Product List'!B2560="","",'Product List'!B2560)</f>
        <v/>
      </c>
    </row>
    <row r="2561" spans="4:5">
      <c r="D2561" s="90" t="str">
        <f>IF('Product List'!C2561="","",'Product List'!C2561)</f>
        <v/>
      </c>
      <c r="E2561" s="90" t="str">
        <f>IF('Product List'!B2561="","",'Product List'!B2561)</f>
        <v/>
      </c>
    </row>
    <row r="2562" spans="4:5">
      <c r="D2562" s="90" t="str">
        <f>IF('Product List'!C2562="","",'Product List'!C2562)</f>
        <v/>
      </c>
      <c r="E2562" s="90" t="str">
        <f>IF('Product List'!B2562="","",'Product List'!B2562)</f>
        <v/>
      </c>
    </row>
    <row r="2563" spans="4:5">
      <c r="D2563" s="90" t="str">
        <f>IF('Product List'!C2563="","",'Product List'!C2563)</f>
        <v/>
      </c>
      <c r="E2563" s="90" t="str">
        <f>IF('Product List'!B2563="","",'Product List'!B2563)</f>
        <v/>
      </c>
    </row>
    <row r="2564" spans="4:5">
      <c r="D2564" s="90" t="str">
        <f>IF('Product List'!C2564="","",'Product List'!C2564)</f>
        <v/>
      </c>
      <c r="E2564" s="90" t="str">
        <f>IF('Product List'!B2564="","",'Product List'!B2564)</f>
        <v/>
      </c>
    </row>
    <row r="2565" spans="4:5">
      <c r="D2565" s="90" t="str">
        <f>IF('Product List'!C2565="","",'Product List'!C2565)</f>
        <v/>
      </c>
      <c r="E2565" s="90" t="str">
        <f>IF('Product List'!B2565="","",'Product List'!B2565)</f>
        <v/>
      </c>
    </row>
    <row r="2566" spans="4:5">
      <c r="D2566" s="90" t="str">
        <f>IF('Product List'!C2566="","",'Product List'!C2566)</f>
        <v/>
      </c>
      <c r="E2566" s="90" t="str">
        <f>IF('Product List'!B2566="","",'Product List'!B2566)</f>
        <v/>
      </c>
    </row>
    <row r="2567" spans="4:5">
      <c r="D2567" s="90" t="str">
        <f>IF('Product List'!C2567="","",'Product List'!C2567)</f>
        <v/>
      </c>
      <c r="E2567" s="90" t="str">
        <f>IF('Product List'!B2567="","",'Product List'!B2567)</f>
        <v/>
      </c>
    </row>
    <row r="2568" spans="4:5">
      <c r="D2568" s="90" t="str">
        <f>IF('Product List'!C2568="","",'Product List'!C2568)</f>
        <v/>
      </c>
      <c r="E2568" s="90" t="str">
        <f>IF('Product List'!B2568="","",'Product List'!B2568)</f>
        <v/>
      </c>
    </row>
    <row r="2569" spans="4:5">
      <c r="D2569" s="90" t="str">
        <f>IF('Product List'!C2569="","",'Product List'!C2569)</f>
        <v/>
      </c>
      <c r="E2569" s="90" t="str">
        <f>IF('Product List'!B2569="","",'Product List'!B2569)</f>
        <v/>
      </c>
    </row>
    <row r="2570" spans="4:5">
      <c r="D2570" s="90" t="str">
        <f>IF('Product List'!C2570="","",'Product List'!C2570)</f>
        <v/>
      </c>
      <c r="E2570" s="90" t="str">
        <f>IF('Product List'!B2570="","",'Product List'!B2570)</f>
        <v/>
      </c>
    </row>
    <row r="2571" spans="4:5">
      <c r="D2571" s="90" t="str">
        <f>IF('Product List'!C2571="","",'Product List'!C2571)</f>
        <v/>
      </c>
      <c r="E2571" s="90" t="str">
        <f>IF('Product List'!B2571="","",'Product List'!B2571)</f>
        <v/>
      </c>
    </row>
    <row r="2572" spans="4:5">
      <c r="D2572" s="90" t="str">
        <f>IF('Product List'!C2572="","",'Product List'!C2572)</f>
        <v/>
      </c>
      <c r="E2572" s="90" t="str">
        <f>IF('Product List'!B2572="","",'Product List'!B2572)</f>
        <v/>
      </c>
    </row>
    <row r="2573" spans="4:5">
      <c r="D2573" s="90" t="str">
        <f>IF('Product List'!C2573="","",'Product List'!C2573)</f>
        <v/>
      </c>
      <c r="E2573" s="90" t="str">
        <f>IF('Product List'!B2573="","",'Product List'!B2573)</f>
        <v/>
      </c>
    </row>
    <row r="2574" spans="4:5">
      <c r="D2574" s="90" t="str">
        <f>IF('Product List'!C2574="","",'Product List'!C2574)</f>
        <v/>
      </c>
      <c r="E2574" s="90" t="str">
        <f>IF('Product List'!B2574="","",'Product List'!B2574)</f>
        <v/>
      </c>
    </row>
    <row r="2575" spans="4:5">
      <c r="D2575" s="90" t="str">
        <f>IF('Product List'!C2575="","",'Product List'!C2575)</f>
        <v/>
      </c>
      <c r="E2575" s="90" t="str">
        <f>IF('Product List'!B2575="","",'Product List'!B2575)</f>
        <v/>
      </c>
    </row>
    <row r="2576" spans="4:5">
      <c r="D2576" s="90" t="str">
        <f>IF('Product List'!C2576="","",'Product List'!C2576)</f>
        <v/>
      </c>
      <c r="E2576" s="90" t="str">
        <f>IF('Product List'!B2576="","",'Product List'!B2576)</f>
        <v/>
      </c>
    </row>
    <row r="2577" spans="4:5">
      <c r="D2577" s="90" t="str">
        <f>IF('Product List'!C2577="","",'Product List'!C2577)</f>
        <v/>
      </c>
      <c r="E2577" s="90" t="str">
        <f>IF('Product List'!B2577="","",'Product List'!B2577)</f>
        <v/>
      </c>
    </row>
    <row r="2578" spans="4:5">
      <c r="D2578" s="90" t="str">
        <f>IF('Product List'!C2578="","",'Product List'!C2578)</f>
        <v/>
      </c>
      <c r="E2578" s="90" t="str">
        <f>IF('Product List'!B2578="","",'Product List'!B2578)</f>
        <v/>
      </c>
    </row>
    <row r="2579" spans="4:5">
      <c r="D2579" s="90" t="str">
        <f>IF('Product List'!C2579="","",'Product List'!C2579)</f>
        <v/>
      </c>
      <c r="E2579" s="90" t="str">
        <f>IF('Product List'!B2579="","",'Product List'!B2579)</f>
        <v/>
      </c>
    </row>
    <row r="2580" spans="4:5">
      <c r="D2580" s="90" t="str">
        <f>IF('Product List'!C2580="","",'Product List'!C2580)</f>
        <v/>
      </c>
      <c r="E2580" s="90" t="str">
        <f>IF('Product List'!B2580="","",'Product List'!B2580)</f>
        <v/>
      </c>
    </row>
    <row r="2581" spans="4:5">
      <c r="D2581" s="90" t="str">
        <f>IF('Product List'!C2581="","",'Product List'!C2581)</f>
        <v/>
      </c>
      <c r="E2581" s="90" t="str">
        <f>IF('Product List'!B2581="","",'Product List'!B2581)</f>
        <v/>
      </c>
    </row>
    <row r="2582" spans="4:5">
      <c r="D2582" s="90" t="str">
        <f>IF('Product List'!C2582="","",'Product List'!C2582)</f>
        <v/>
      </c>
      <c r="E2582" s="90" t="str">
        <f>IF('Product List'!B2582="","",'Product List'!B2582)</f>
        <v/>
      </c>
    </row>
    <row r="2583" spans="4:5">
      <c r="D2583" s="90" t="str">
        <f>IF('Product List'!C2583="","",'Product List'!C2583)</f>
        <v/>
      </c>
      <c r="E2583" s="90" t="str">
        <f>IF('Product List'!B2583="","",'Product List'!B2583)</f>
        <v/>
      </c>
    </row>
    <row r="2584" spans="4:5">
      <c r="D2584" s="90" t="str">
        <f>IF('Product List'!C2584="","",'Product List'!C2584)</f>
        <v/>
      </c>
      <c r="E2584" s="90" t="str">
        <f>IF('Product List'!B2584="","",'Product List'!B2584)</f>
        <v/>
      </c>
    </row>
    <row r="2585" spans="4:5">
      <c r="D2585" s="90" t="str">
        <f>IF('Product List'!C2585="","",'Product List'!C2585)</f>
        <v/>
      </c>
      <c r="E2585" s="90" t="str">
        <f>IF('Product List'!B2585="","",'Product List'!B2585)</f>
        <v/>
      </c>
    </row>
    <row r="2586" spans="4:5">
      <c r="D2586" s="90" t="str">
        <f>IF('Product List'!C2586="","",'Product List'!C2586)</f>
        <v/>
      </c>
      <c r="E2586" s="90" t="str">
        <f>IF('Product List'!B2586="","",'Product List'!B2586)</f>
        <v/>
      </c>
    </row>
    <row r="2587" spans="4:5">
      <c r="D2587" s="90" t="str">
        <f>IF('Product List'!C2587="","",'Product List'!C2587)</f>
        <v/>
      </c>
      <c r="E2587" s="90" t="str">
        <f>IF('Product List'!B2587="","",'Product List'!B2587)</f>
        <v/>
      </c>
    </row>
    <row r="2588" spans="4:5">
      <c r="D2588" s="90" t="str">
        <f>IF('Product List'!C2588="","",'Product List'!C2588)</f>
        <v/>
      </c>
      <c r="E2588" s="90" t="str">
        <f>IF('Product List'!B2588="","",'Product List'!B2588)</f>
        <v/>
      </c>
    </row>
    <row r="2589" spans="4:5">
      <c r="D2589" s="90" t="str">
        <f>IF('Product List'!C2589="","",'Product List'!C2589)</f>
        <v/>
      </c>
      <c r="E2589" s="90" t="str">
        <f>IF('Product List'!B2589="","",'Product List'!B2589)</f>
        <v/>
      </c>
    </row>
    <row r="2590" spans="4:5">
      <c r="D2590" s="90" t="str">
        <f>IF('Product List'!C2590="","",'Product List'!C2590)</f>
        <v/>
      </c>
      <c r="E2590" s="90" t="str">
        <f>IF('Product List'!B2590="","",'Product List'!B2590)</f>
        <v/>
      </c>
    </row>
    <row r="2591" spans="4:5">
      <c r="D2591" s="90" t="str">
        <f>IF('Product List'!C2591="","",'Product List'!C2591)</f>
        <v/>
      </c>
      <c r="E2591" s="90" t="str">
        <f>IF('Product List'!B2591="","",'Product List'!B2591)</f>
        <v/>
      </c>
    </row>
    <row r="2592" spans="4:5">
      <c r="D2592" s="90" t="str">
        <f>IF('Product List'!C2592="","",'Product List'!C2592)</f>
        <v/>
      </c>
      <c r="E2592" s="90" t="str">
        <f>IF('Product List'!B2592="","",'Product List'!B2592)</f>
        <v/>
      </c>
    </row>
    <row r="2593" spans="4:5">
      <c r="D2593" s="90" t="str">
        <f>IF('Product List'!C2593="","",'Product List'!C2593)</f>
        <v/>
      </c>
      <c r="E2593" s="90" t="str">
        <f>IF('Product List'!B2593="","",'Product List'!B2593)</f>
        <v/>
      </c>
    </row>
    <row r="2594" spans="4:5">
      <c r="D2594" s="90" t="str">
        <f>IF('Product List'!C2594="","",'Product List'!C2594)</f>
        <v/>
      </c>
      <c r="E2594" s="90" t="str">
        <f>IF('Product List'!B2594="","",'Product List'!B2594)</f>
        <v/>
      </c>
    </row>
    <row r="2595" spans="4:5">
      <c r="D2595" s="90" t="str">
        <f>IF('Product List'!C2595="","",'Product List'!C2595)</f>
        <v/>
      </c>
      <c r="E2595" s="90" t="str">
        <f>IF('Product List'!B2595="","",'Product List'!B2595)</f>
        <v/>
      </c>
    </row>
    <row r="2596" spans="4:5">
      <c r="D2596" s="90" t="str">
        <f>IF('Product List'!C2596="","",'Product List'!C2596)</f>
        <v/>
      </c>
      <c r="E2596" s="90" t="str">
        <f>IF('Product List'!B2596="","",'Product List'!B2596)</f>
        <v/>
      </c>
    </row>
    <row r="2597" spans="4:5">
      <c r="D2597" s="90" t="str">
        <f>IF('Product List'!C2597="","",'Product List'!C2597)</f>
        <v/>
      </c>
      <c r="E2597" s="90" t="str">
        <f>IF('Product List'!B2597="","",'Product List'!B2597)</f>
        <v/>
      </c>
    </row>
    <row r="2598" spans="4:5">
      <c r="D2598" s="90" t="str">
        <f>IF('Product List'!C2598="","",'Product List'!C2598)</f>
        <v/>
      </c>
      <c r="E2598" s="90" t="str">
        <f>IF('Product List'!B2598="","",'Product List'!B2598)</f>
        <v/>
      </c>
    </row>
    <row r="2599" spans="4:5">
      <c r="D2599" s="90" t="str">
        <f>IF('Product List'!C2599="","",'Product List'!C2599)</f>
        <v/>
      </c>
      <c r="E2599" s="90" t="str">
        <f>IF('Product List'!B2599="","",'Product List'!B2599)</f>
        <v/>
      </c>
    </row>
    <row r="2600" spans="4:5">
      <c r="D2600" s="90" t="str">
        <f>IF('Product List'!C2600="","",'Product List'!C2600)</f>
        <v/>
      </c>
      <c r="E2600" s="90" t="str">
        <f>IF('Product List'!B2600="","",'Product List'!B2600)</f>
        <v/>
      </c>
    </row>
    <row r="2601" spans="4:5">
      <c r="D2601" s="90" t="str">
        <f>IF('Product List'!C2601="","",'Product List'!C2601)</f>
        <v/>
      </c>
      <c r="E2601" s="90" t="str">
        <f>IF('Product List'!B2601="","",'Product List'!B2601)</f>
        <v/>
      </c>
    </row>
    <row r="2602" spans="4:5">
      <c r="D2602" s="90" t="str">
        <f>IF('Product List'!C2602="","",'Product List'!C2602)</f>
        <v/>
      </c>
      <c r="E2602" s="90" t="str">
        <f>IF('Product List'!B2602="","",'Product List'!B2602)</f>
        <v/>
      </c>
    </row>
    <row r="2603" spans="4:5">
      <c r="D2603" s="90" t="str">
        <f>IF('Product List'!C2603="","",'Product List'!C2603)</f>
        <v/>
      </c>
      <c r="E2603" s="90" t="str">
        <f>IF('Product List'!B2603="","",'Product List'!B2603)</f>
        <v/>
      </c>
    </row>
    <row r="2604" spans="4:5">
      <c r="D2604" s="90" t="str">
        <f>IF('Product List'!C2604="","",'Product List'!C2604)</f>
        <v/>
      </c>
      <c r="E2604" s="90" t="str">
        <f>IF('Product List'!B2604="","",'Product List'!B2604)</f>
        <v/>
      </c>
    </row>
    <row r="2605" spans="4:5">
      <c r="D2605" s="90" t="str">
        <f>IF('Product List'!C2605="","",'Product List'!C2605)</f>
        <v/>
      </c>
      <c r="E2605" s="90" t="str">
        <f>IF('Product List'!B2605="","",'Product List'!B2605)</f>
        <v/>
      </c>
    </row>
    <row r="2606" spans="4:5">
      <c r="D2606" s="90" t="str">
        <f>IF('Product List'!C2606="","",'Product List'!C2606)</f>
        <v/>
      </c>
      <c r="E2606" s="90" t="str">
        <f>IF('Product List'!B2606="","",'Product List'!B2606)</f>
        <v/>
      </c>
    </row>
    <row r="2607" spans="4:5">
      <c r="D2607" s="90" t="str">
        <f>IF('Product List'!C2607="","",'Product List'!C2607)</f>
        <v/>
      </c>
      <c r="E2607" s="90" t="str">
        <f>IF('Product List'!B2607="","",'Product List'!B2607)</f>
        <v/>
      </c>
    </row>
    <row r="2608" spans="4:5">
      <c r="D2608" s="90" t="str">
        <f>IF('Product List'!C2608="","",'Product List'!C2608)</f>
        <v/>
      </c>
      <c r="E2608" s="90" t="str">
        <f>IF('Product List'!B2608="","",'Product List'!B2608)</f>
        <v/>
      </c>
    </row>
    <row r="2609" spans="4:5">
      <c r="D2609" s="90" t="str">
        <f>IF('Product List'!C2609="","",'Product List'!C2609)</f>
        <v/>
      </c>
      <c r="E2609" s="90" t="str">
        <f>IF('Product List'!B2609="","",'Product List'!B2609)</f>
        <v/>
      </c>
    </row>
    <row r="2610" spans="4:5">
      <c r="D2610" s="90" t="str">
        <f>IF('Product List'!C2610="","",'Product List'!C2610)</f>
        <v/>
      </c>
      <c r="E2610" s="90" t="str">
        <f>IF('Product List'!B2610="","",'Product List'!B2610)</f>
        <v/>
      </c>
    </row>
    <row r="2611" spans="4:5">
      <c r="D2611" s="90" t="str">
        <f>IF('Product List'!C2611="","",'Product List'!C2611)</f>
        <v/>
      </c>
      <c r="E2611" s="90" t="str">
        <f>IF('Product List'!B2611="","",'Product List'!B2611)</f>
        <v/>
      </c>
    </row>
    <row r="2612" spans="4:5">
      <c r="D2612" s="90" t="str">
        <f>IF('Product List'!C2612="","",'Product List'!C2612)</f>
        <v/>
      </c>
      <c r="E2612" s="90" t="str">
        <f>IF('Product List'!B2612="","",'Product List'!B2612)</f>
        <v/>
      </c>
    </row>
    <row r="2613" spans="4:5">
      <c r="D2613" s="90" t="str">
        <f>IF('Product List'!C2613="","",'Product List'!C2613)</f>
        <v/>
      </c>
      <c r="E2613" s="90" t="str">
        <f>IF('Product List'!B2613="","",'Product List'!B2613)</f>
        <v/>
      </c>
    </row>
    <row r="2614" spans="4:5">
      <c r="D2614" s="90" t="str">
        <f>IF('Product List'!C2614="","",'Product List'!C2614)</f>
        <v/>
      </c>
      <c r="E2614" s="90" t="str">
        <f>IF('Product List'!B2614="","",'Product List'!B2614)</f>
        <v/>
      </c>
    </row>
    <row r="2615" spans="4:5">
      <c r="D2615" s="90" t="str">
        <f>IF('Product List'!C2615="","",'Product List'!C2615)</f>
        <v/>
      </c>
      <c r="E2615" s="90" t="str">
        <f>IF('Product List'!B2615="","",'Product List'!B2615)</f>
        <v/>
      </c>
    </row>
    <row r="2616" spans="4:5">
      <c r="D2616" s="90" t="str">
        <f>IF('Product List'!C2616="","",'Product List'!C2616)</f>
        <v/>
      </c>
      <c r="E2616" s="90" t="str">
        <f>IF('Product List'!B2616="","",'Product List'!B2616)</f>
        <v/>
      </c>
    </row>
    <row r="2617" spans="4:5">
      <c r="D2617" s="90" t="str">
        <f>IF('Product List'!C2617="","",'Product List'!C2617)</f>
        <v/>
      </c>
      <c r="E2617" s="90" t="str">
        <f>IF('Product List'!B2617="","",'Product List'!B2617)</f>
        <v/>
      </c>
    </row>
    <row r="2618" spans="4:5">
      <c r="D2618" s="90" t="str">
        <f>IF('Product List'!C2618="","",'Product List'!C2618)</f>
        <v/>
      </c>
      <c r="E2618" s="90" t="str">
        <f>IF('Product List'!B2618="","",'Product List'!B2618)</f>
        <v/>
      </c>
    </row>
    <row r="2619" spans="4:5">
      <c r="D2619" s="90" t="str">
        <f>IF('Product List'!C2619="","",'Product List'!C2619)</f>
        <v/>
      </c>
      <c r="E2619" s="90" t="str">
        <f>IF('Product List'!B2619="","",'Product List'!B2619)</f>
        <v/>
      </c>
    </row>
    <row r="2620" spans="4:5">
      <c r="D2620" s="90" t="str">
        <f>IF('Product List'!C2620="","",'Product List'!C2620)</f>
        <v/>
      </c>
      <c r="E2620" s="90" t="str">
        <f>IF('Product List'!B2620="","",'Product List'!B2620)</f>
        <v/>
      </c>
    </row>
    <row r="2621" spans="4:5">
      <c r="D2621" s="90" t="str">
        <f>IF('Product List'!C2621="","",'Product List'!C2621)</f>
        <v/>
      </c>
      <c r="E2621" s="90" t="str">
        <f>IF('Product List'!B2621="","",'Product List'!B2621)</f>
        <v/>
      </c>
    </row>
    <row r="2622" spans="4:5">
      <c r="D2622" s="90" t="str">
        <f>IF('Product List'!C2622="","",'Product List'!C2622)</f>
        <v/>
      </c>
      <c r="E2622" s="90" t="str">
        <f>IF('Product List'!B2622="","",'Product List'!B2622)</f>
        <v/>
      </c>
    </row>
    <row r="2623" spans="4:5">
      <c r="D2623" s="90" t="str">
        <f>IF('Product List'!C2623="","",'Product List'!C2623)</f>
        <v/>
      </c>
      <c r="E2623" s="90" t="str">
        <f>IF('Product List'!B2623="","",'Product List'!B2623)</f>
        <v/>
      </c>
    </row>
    <row r="2624" spans="4:5">
      <c r="D2624" s="90" t="str">
        <f>IF('Product List'!C2624="","",'Product List'!C2624)</f>
        <v/>
      </c>
      <c r="E2624" s="90" t="str">
        <f>IF('Product List'!B2624="","",'Product List'!B2624)</f>
        <v/>
      </c>
    </row>
    <row r="2625" spans="4:5">
      <c r="D2625" s="90" t="str">
        <f>IF('Product List'!C2625="","",'Product List'!C2625)</f>
        <v/>
      </c>
      <c r="E2625" s="90" t="str">
        <f>IF('Product List'!B2625="","",'Product List'!B2625)</f>
        <v/>
      </c>
    </row>
    <row r="2626" spans="4:5">
      <c r="D2626" s="90" t="str">
        <f>IF('Product List'!C2626="","",'Product List'!C2626)</f>
        <v/>
      </c>
      <c r="E2626" s="90" t="str">
        <f>IF('Product List'!B2626="","",'Product List'!B2626)</f>
        <v/>
      </c>
    </row>
    <row r="2627" spans="4:5">
      <c r="D2627" s="90" t="str">
        <f>IF('Product List'!C2627="","",'Product List'!C2627)</f>
        <v/>
      </c>
      <c r="E2627" s="90" t="str">
        <f>IF('Product List'!B2627="","",'Product List'!B2627)</f>
        <v/>
      </c>
    </row>
    <row r="2628" spans="4:5">
      <c r="D2628" s="90" t="str">
        <f>IF('Product List'!C2628="","",'Product List'!C2628)</f>
        <v/>
      </c>
      <c r="E2628" s="90" t="str">
        <f>IF('Product List'!B2628="","",'Product List'!B2628)</f>
        <v/>
      </c>
    </row>
    <row r="2629" spans="4:5">
      <c r="D2629" s="90" t="str">
        <f>IF('Product List'!C2629="","",'Product List'!C2629)</f>
        <v/>
      </c>
      <c r="E2629" s="90" t="str">
        <f>IF('Product List'!B2629="","",'Product List'!B2629)</f>
        <v/>
      </c>
    </row>
    <row r="2630" spans="4:5">
      <c r="D2630" s="90" t="str">
        <f>IF('Product List'!C2630="","",'Product List'!C2630)</f>
        <v/>
      </c>
      <c r="E2630" s="90" t="str">
        <f>IF('Product List'!B2630="","",'Product List'!B2630)</f>
        <v/>
      </c>
    </row>
    <row r="2631" spans="4:5">
      <c r="D2631" s="90" t="str">
        <f>IF('Product List'!C2631="","",'Product List'!C2631)</f>
        <v/>
      </c>
      <c r="E2631" s="90" t="str">
        <f>IF('Product List'!B2631="","",'Product List'!B2631)</f>
        <v/>
      </c>
    </row>
    <row r="2632" spans="4:5">
      <c r="D2632" s="90" t="str">
        <f>IF('Product List'!C2632="","",'Product List'!C2632)</f>
        <v/>
      </c>
      <c r="E2632" s="90" t="str">
        <f>IF('Product List'!B2632="","",'Product List'!B2632)</f>
        <v/>
      </c>
    </row>
    <row r="2633" spans="4:5">
      <c r="D2633" s="90" t="str">
        <f>IF('Product List'!C2633="","",'Product List'!C2633)</f>
        <v/>
      </c>
      <c r="E2633" s="90" t="str">
        <f>IF('Product List'!B2633="","",'Product List'!B2633)</f>
        <v/>
      </c>
    </row>
    <row r="2634" spans="4:5">
      <c r="D2634" s="90" t="str">
        <f>IF('Product List'!C2634="","",'Product List'!C2634)</f>
        <v/>
      </c>
      <c r="E2634" s="90" t="str">
        <f>IF('Product List'!B2634="","",'Product List'!B2634)</f>
        <v/>
      </c>
    </row>
    <row r="2635" spans="4:5">
      <c r="D2635" s="90" t="str">
        <f>IF('Product List'!C2635="","",'Product List'!C2635)</f>
        <v/>
      </c>
      <c r="E2635" s="90" t="str">
        <f>IF('Product List'!B2635="","",'Product List'!B2635)</f>
        <v/>
      </c>
    </row>
    <row r="2636" spans="4:5">
      <c r="D2636" s="90" t="str">
        <f>IF('Product List'!C2636="","",'Product List'!C2636)</f>
        <v/>
      </c>
      <c r="E2636" s="90" t="str">
        <f>IF('Product List'!B2636="","",'Product List'!B2636)</f>
        <v/>
      </c>
    </row>
    <row r="2637" spans="4:5">
      <c r="D2637" s="90" t="str">
        <f>IF('Product List'!C2637="","",'Product List'!C2637)</f>
        <v/>
      </c>
      <c r="E2637" s="90" t="str">
        <f>IF('Product List'!B2637="","",'Product List'!B2637)</f>
        <v/>
      </c>
    </row>
    <row r="2638" spans="4:5">
      <c r="D2638" s="90" t="str">
        <f>IF('Product List'!C2638="","",'Product List'!C2638)</f>
        <v/>
      </c>
      <c r="E2638" s="90" t="str">
        <f>IF('Product List'!B2638="","",'Product List'!B2638)</f>
        <v/>
      </c>
    </row>
    <row r="2639" spans="4:5">
      <c r="D2639" s="90" t="str">
        <f>IF('Product List'!C2639="","",'Product List'!C2639)</f>
        <v/>
      </c>
      <c r="E2639" s="90" t="str">
        <f>IF('Product List'!B2639="","",'Product List'!B2639)</f>
        <v/>
      </c>
    </row>
    <row r="2640" spans="4:5">
      <c r="D2640" s="90" t="str">
        <f>IF('Product List'!C2640="","",'Product List'!C2640)</f>
        <v/>
      </c>
      <c r="E2640" s="90" t="str">
        <f>IF('Product List'!B2640="","",'Product List'!B2640)</f>
        <v/>
      </c>
    </row>
    <row r="2641" spans="4:5">
      <c r="D2641" s="90" t="str">
        <f>IF('Product List'!C2641="","",'Product List'!C2641)</f>
        <v/>
      </c>
      <c r="E2641" s="90" t="str">
        <f>IF('Product List'!B2641="","",'Product List'!B2641)</f>
        <v/>
      </c>
    </row>
    <row r="2642" spans="4:5">
      <c r="D2642" s="90" t="str">
        <f>IF('Product List'!C2642="","",'Product List'!C2642)</f>
        <v/>
      </c>
      <c r="E2642" s="90" t="str">
        <f>IF('Product List'!B2642="","",'Product List'!B2642)</f>
        <v/>
      </c>
    </row>
    <row r="2643" spans="4:5">
      <c r="D2643" s="90" t="str">
        <f>IF('Product List'!C2643="","",'Product List'!C2643)</f>
        <v/>
      </c>
      <c r="E2643" s="90" t="str">
        <f>IF('Product List'!B2643="","",'Product List'!B2643)</f>
        <v/>
      </c>
    </row>
    <row r="2644" spans="4:5">
      <c r="D2644" s="90" t="str">
        <f>IF('Product List'!C2644="","",'Product List'!C2644)</f>
        <v/>
      </c>
      <c r="E2644" s="90" t="str">
        <f>IF('Product List'!B2644="","",'Product List'!B2644)</f>
        <v/>
      </c>
    </row>
    <row r="2645" spans="4:5">
      <c r="D2645" s="90" t="str">
        <f>IF('Product List'!C2645="","",'Product List'!C2645)</f>
        <v/>
      </c>
      <c r="E2645" s="90" t="str">
        <f>IF('Product List'!B2645="","",'Product List'!B2645)</f>
        <v/>
      </c>
    </row>
    <row r="2646" spans="4:5">
      <c r="D2646" s="90" t="str">
        <f>IF('Product List'!C2646="","",'Product List'!C2646)</f>
        <v/>
      </c>
      <c r="E2646" s="90" t="str">
        <f>IF('Product List'!B2646="","",'Product List'!B2646)</f>
        <v/>
      </c>
    </row>
    <row r="2647" spans="4:5">
      <c r="D2647" s="90" t="str">
        <f>IF('Product List'!C2647="","",'Product List'!C2647)</f>
        <v/>
      </c>
      <c r="E2647" s="90" t="str">
        <f>IF('Product List'!B2647="","",'Product List'!B2647)</f>
        <v/>
      </c>
    </row>
    <row r="2648" spans="4:5">
      <c r="D2648" s="90" t="str">
        <f>IF('Product List'!C2648="","",'Product List'!C2648)</f>
        <v/>
      </c>
      <c r="E2648" s="90" t="str">
        <f>IF('Product List'!B2648="","",'Product List'!B2648)</f>
        <v/>
      </c>
    </row>
    <row r="2649" spans="4:5">
      <c r="D2649" s="90" t="str">
        <f>IF('Product List'!C2649="","",'Product List'!C2649)</f>
        <v/>
      </c>
      <c r="E2649" s="90" t="str">
        <f>IF('Product List'!B2649="","",'Product List'!B2649)</f>
        <v/>
      </c>
    </row>
    <row r="2650" spans="4:5">
      <c r="D2650" s="90" t="str">
        <f>IF('Product List'!C2650="","",'Product List'!C2650)</f>
        <v/>
      </c>
      <c r="E2650" s="90" t="str">
        <f>IF('Product List'!B2650="","",'Product List'!B2650)</f>
        <v/>
      </c>
    </row>
    <row r="2651" spans="4:5">
      <c r="D2651" s="90" t="str">
        <f>IF('Product List'!C2651="","",'Product List'!C2651)</f>
        <v/>
      </c>
      <c r="E2651" s="90" t="str">
        <f>IF('Product List'!B2651="","",'Product List'!B2651)</f>
        <v/>
      </c>
    </row>
    <row r="2652" spans="4:5">
      <c r="D2652" s="90" t="str">
        <f>IF('Product List'!C2652="","",'Product List'!C2652)</f>
        <v/>
      </c>
      <c r="E2652" s="90" t="str">
        <f>IF('Product List'!B2652="","",'Product List'!B2652)</f>
        <v/>
      </c>
    </row>
    <row r="2653" spans="4:5">
      <c r="D2653" s="90" t="str">
        <f>IF('Product List'!C2653="","",'Product List'!C2653)</f>
        <v/>
      </c>
      <c r="E2653" s="90" t="str">
        <f>IF('Product List'!B2653="","",'Product List'!B2653)</f>
        <v/>
      </c>
    </row>
    <row r="2654" spans="4:5">
      <c r="D2654" s="90" t="str">
        <f>IF('Product List'!C2654="","",'Product List'!C2654)</f>
        <v/>
      </c>
      <c r="E2654" s="90" t="str">
        <f>IF('Product List'!B2654="","",'Product List'!B2654)</f>
        <v/>
      </c>
    </row>
    <row r="2655" spans="4:5">
      <c r="D2655" s="90" t="str">
        <f>IF('Product List'!C2655="","",'Product List'!C2655)</f>
        <v/>
      </c>
      <c r="E2655" s="90" t="str">
        <f>IF('Product List'!B2655="","",'Product List'!B2655)</f>
        <v/>
      </c>
    </row>
    <row r="2656" spans="4:5">
      <c r="D2656" s="90" t="str">
        <f>IF('Product List'!C2656="","",'Product List'!C2656)</f>
        <v/>
      </c>
      <c r="E2656" s="90" t="str">
        <f>IF('Product List'!B2656="","",'Product List'!B2656)</f>
        <v/>
      </c>
    </row>
    <row r="2657" spans="4:5">
      <c r="D2657" s="90" t="str">
        <f>IF('Product List'!C2657="","",'Product List'!C2657)</f>
        <v/>
      </c>
      <c r="E2657" s="90" t="str">
        <f>IF('Product List'!B2657="","",'Product List'!B2657)</f>
        <v/>
      </c>
    </row>
    <row r="2658" spans="4:5">
      <c r="D2658" s="90" t="str">
        <f>IF('Product List'!C2658="","",'Product List'!C2658)</f>
        <v/>
      </c>
      <c r="E2658" s="90" t="str">
        <f>IF('Product List'!B2658="","",'Product List'!B2658)</f>
        <v/>
      </c>
    </row>
    <row r="2659" spans="4:5">
      <c r="D2659" s="90" t="str">
        <f>IF('Product List'!C2659="","",'Product List'!C2659)</f>
        <v/>
      </c>
      <c r="E2659" s="90" t="str">
        <f>IF('Product List'!B2659="","",'Product List'!B2659)</f>
        <v/>
      </c>
    </row>
    <row r="2660" spans="4:5">
      <c r="D2660" s="90" t="str">
        <f>IF('Product List'!C2660="","",'Product List'!C2660)</f>
        <v/>
      </c>
      <c r="E2660" s="90" t="str">
        <f>IF('Product List'!B2660="","",'Product List'!B2660)</f>
        <v/>
      </c>
    </row>
    <row r="2661" spans="4:5">
      <c r="D2661" s="90" t="str">
        <f>IF('Product List'!C2661="","",'Product List'!C2661)</f>
        <v/>
      </c>
      <c r="E2661" s="90" t="str">
        <f>IF('Product List'!B2661="","",'Product List'!B2661)</f>
        <v/>
      </c>
    </row>
    <row r="2662" spans="4:5">
      <c r="D2662" s="90" t="str">
        <f>IF('Product List'!C2662="","",'Product List'!C2662)</f>
        <v/>
      </c>
      <c r="E2662" s="90" t="str">
        <f>IF('Product List'!B2662="","",'Product List'!B2662)</f>
        <v/>
      </c>
    </row>
    <row r="2663" spans="4:5">
      <c r="D2663" s="90" t="str">
        <f>IF('Product List'!C2663="","",'Product List'!C2663)</f>
        <v/>
      </c>
      <c r="E2663" s="90" t="str">
        <f>IF('Product List'!B2663="","",'Product List'!B2663)</f>
        <v/>
      </c>
    </row>
    <row r="2664" spans="4:5">
      <c r="D2664" s="90" t="str">
        <f>IF('Product List'!C2664="","",'Product List'!C2664)</f>
        <v/>
      </c>
      <c r="E2664" s="90" t="str">
        <f>IF('Product List'!B2664="","",'Product List'!B2664)</f>
        <v/>
      </c>
    </row>
    <row r="2665" spans="4:5">
      <c r="D2665" s="90" t="str">
        <f>IF('Product List'!C2665="","",'Product List'!C2665)</f>
        <v/>
      </c>
      <c r="E2665" s="90" t="str">
        <f>IF('Product List'!B2665="","",'Product List'!B2665)</f>
        <v/>
      </c>
    </row>
    <row r="2666" spans="4:5">
      <c r="D2666" s="90" t="str">
        <f>IF('Product List'!C2666="","",'Product List'!C2666)</f>
        <v/>
      </c>
      <c r="E2666" s="90" t="str">
        <f>IF('Product List'!B2666="","",'Product List'!B2666)</f>
        <v/>
      </c>
    </row>
    <row r="2667" spans="4:5">
      <c r="D2667" s="90" t="str">
        <f>IF('Product List'!C2667="","",'Product List'!C2667)</f>
        <v/>
      </c>
      <c r="E2667" s="90" t="str">
        <f>IF('Product List'!B2667="","",'Product List'!B2667)</f>
        <v/>
      </c>
    </row>
    <row r="2668" spans="4:5">
      <c r="D2668" s="90" t="str">
        <f>IF('Product List'!C2668="","",'Product List'!C2668)</f>
        <v/>
      </c>
      <c r="E2668" s="90" t="str">
        <f>IF('Product List'!B2668="","",'Product List'!B2668)</f>
        <v/>
      </c>
    </row>
    <row r="2669" spans="4:5">
      <c r="D2669" s="90" t="str">
        <f>IF('Product List'!C2669="","",'Product List'!C2669)</f>
        <v/>
      </c>
      <c r="E2669" s="90" t="str">
        <f>IF('Product List'!B2669="","",'Product List'!B2669)</f>
        <v/>
      </c>
    </row>
    <row r="2670" spans="4:5">
      <c r="D2670" s="90" t="str">
        <f>IF('Product List'!C2670="","",'Product List'!C2670)</f>
        <v/>
      </c>
      <c r="E2670" s="90" t="str">
        <f>IF('Product List'!B2670="","",'Product List'!B2670)</f>
        <v/>
      </c>
    </row>
    <row r="2671" spans="4:5">
      <c r="D2671" s="90" t="str">
        <f>IF('Product List'!C2671="","",'Product List'!C2671)</f>
        <v/>
      </c>
      <c r="E2671" s="90" t="str">
        <f>IF('Product List'!B2671="","",'Product List'!B2671)</f>
        <v/>
      </c>
    </row>
    <row r="2672" spans="4:5">
      <c r="D2672" s="90" t="str">
        <f>IF('Product List'!C2672="","",'Product List'!C2672)</f>
        <v/>
      </c>
      <c r="E2672" s="90" t="str">
        <f>IF('Product List'!B2672="","",'Product List'!B2672)</f>
        <v/>
      </c>
    </row>
    <row r="2673" spans="4:5">
      <c r="D2673" s="90" t="str">
        <f>IF('Product List'!C2673="","",'Product List'!C2673)</f>
        <v/>
      </c>
      <c r="E2673" s="90" t="str">
        <f>IF('Product List'!B2673="","",'Product List'!B2673)</f>
        <v/>
      </c>
    </row>
    <row r="2674" spans="4:5">
      <c r="D2674" s="90" t="str">
        <f>IF('Product List'!C2674="","",'Product List'!C2674)</f>
        <v/>
      </c>
      <c r="E2674" s="90" t="str">
        <f>IF('Product List'!B2674="","",'Product List'!B2674)</f>
        <v/>
      </c>
    </row>
    <row r="2675" spans="4:5">
      <c r="D2675" s="90" t="str">
        <f>IF('Product List'!C2675="","",'Product List'!C2675)</f>
        <v/>
      </c>
      <c r="E2675" s="90" t="str">
        <f>IF('Product List'!B2675="","",'Product List'!B2675)</f>
        <v/>
      </c>
    </row>
    <row r="2676" spans="4:5">
      <c r="D2676" s="90" t="str">
        <f>IF('Product List'!C2676="","",'Product List'!C2676)</f>
        <v/>
      </c>
      <c r="E2676" s="90" t="str">
        <f>IF('Product List'!B2676="","",'Product List'!B2676)</f>
        <v/>
      </c>
    </row>
    <row r="2677" spans="4:5">
      <c r="D2677" s="90" t="str">
        <f>IF('Product List'!C2677="","",'Product List'!C2677)</f>
        <v/>
      </c>
      <c r="E2677" s="90" t="str">
        <f>IF('Product List'!B2677="","",'Product List'!B2677)</f>
        <v/>
      </c>
    </row>
    <row r="2678" spans="4:5">
      <c r="D2678" s="90" t="str">
        <f>IF('Product List'!C2678="","",'Product List'!C2678)</f>
        <v/>
      </c>
      <c r="E2678" s="90" t="str">
        <f>IF('Product List'!B2678="","",'Product List'!B2678)</f>
        <v/>
      </c>
    </row>
    <row r="2679" spans="4:5">
      <c r="D2679" s="90" t="str">
        <f>IF('Product List'!C2679="","",'Product List'!C2679)</f>
        <v/>
      </c>
      <c r="E2679" s="90" t="str">
        <f>IF('Product List'!B2679="","",'Product List'!B2679)</f>
        <v/>
      </c>
    </row>
    <row r="2680" spans="4:5">
      <c r="D2680" s="90" t="str">
        <f>IF('Product List'!C2680="","",'Product List'!C2680)</f>
        <v/>
      </c>
      <c r="E2680" s="90" t="str">
        <f>IF('Product List'!B2680="","",'Product List'!B2680)</f>
        <v/>
      </c>
    </row>
    <row r="2681" spans="4:5">
      <c r="D2681" s="90" t="str">
        <f>IF('Product List'!C2681="","",'Product List'!C2681)</f>
        <v/>
      </c>
      <c r="E2681" s="90" t="str">
        <f>IF('Product List'!B2681="","",'Product List'!B2681)</f>
        <v/>
      </c>
    </row>
    <row r="2682" spans="4:5">
      <c r="D2682" s="90" t="str">
        <f>IF('Product List'!C2682="","",'Product List'!C2682)</f>
        <v/>
      </c>
      <c r="E2682" s="90" t="str">
        <f>IF('Product List'!B2682="","",'Product List'!B2682)</f>
        <v/>
      </c>
    </row>
    <row r="2683" spans="4:5">
      <c r="D2683" s="90" t="str">
        <f>IF('Product List'!C2683="","",'Product List'!C2683)</f>
        <v/>
      </c>
      <c r="E2683" s="90" t="str">
        <f>IF('Product List'!B2683="","",'Product List'!B2683)</f>
        <v/>
      </c>
    </row>
    <row r="2684" spans="4:5">
      <c r="D2684" s="90" t="str">
        <f>IF('Product List'!C2684="","",'Product List'!C2684)</f>
        <v/>
      </c>
      <c r="E2684" s="90" t="str">
        <f>IF('Product List'!B2684="","",'Product List'!B2684)</f>
        <v/>
      </c>
    </row>
    <row r="2685" spans="4:5">
      <c r="D2685" s="90" t="str">
        <f>IF('Product List'!C2685="","",'Product List'!C2685)</f>
        <v/>
      </c>
      <c r="E2685" s="90" t="str">
        <f>IF('Product List'!B2685="","",'Product List'!B2685)</f>
        <v/>
      </c>
    </row>
    <row r="2686" spans="4:5">
      <c r="D2686" s="90" t="str">
        <f>IF('Product List'!C2686="","",'Product List'!C2686)</f>
        <v/>
      </c>
      <c r="E2686" s="90" t="str">
        <f>IF('Product List'!B2686="","",'Product List'!B2686)</f>
        <v/>
      </c>
    </row>
    <row r="2687" spans="4:5">
      <c r="D2687" s="90" t="str">
        <f>IF('Product List'!C2687="","",'Product List'!C2687)</f>
        <v/>
      </c>
      <c r="E2687" s="90" t="str">
        <f>IF('Product List'!B2687="","",'Product List'!B2687)</f>
        <v/>
      </c>
    </row>
    <row r="2688" spans="4:5">
      <c r="D2688" s="90" t="str">
        <f>IF('Product List'!C2688="","",'Product List'!C2688)</f>
        <v/>
      </c>
      <c r="E2688" s="90" t="str">
        <f>IF('Product List'!B2688="","",'Product List'!B2688)</f>
        <v/>
      </c>
    </row>
    <row r="2689" spans="4:5">
      <c r="D2689" s="90" t="str">
        <f>IF('Product List'!C2689="","",'Product List'!C2689)</f>
        <v/>
      </c>
      <c r="E2689" s="90" t="str">
        <f>IF('Product List'!B2689="","",'Product List'!B2689)</f>
        <v/>
      </c>
    </row>
    <row r="2690" spans="4:5">
      <c r="D2690" s="90" t="str">
        <f>IF('Product List'!C2690="","",'Product List'!C2690)</f>
        <v/>
      </c>
      <c r="E2690" s="90" t="str">
        <f>IF('Product List'!B2690="","",'Product List'!B2690)</f>
        <v/>
      </c>
    </row>
    <row r="2691" spans="4:5">
      <c r="D2691" s="90" t="str">
        <f>IF('Product List'!C2691="","",'Product List'!C2691)</f>
        <v/>
      </c>
      <c r="E2691" s="90" t="str">
        <f>IF('Product List'!B2691="","",'Product List'!B2691)</f>
        <v/>
      </c>
    </row>
    <row r="2692" spans="4:5">
      <c r="D2692" s="90" t="str">
        <f>IF('Product List'!C2692="","",'Product List'!C2692)</f>
        <v/>
      </c>
      <c r="E2692" s="90" t="str">
        <f>IF('Product List'!B2692="","",'Product List'!B2692)</f>
        <v/>
      </c>
    </row>
    <row r="2693" spans="4:5">
      <c r="D2693" s="90" t="str">
        <f>IF('Product List'!C2693="","",'Product List'!C2693)</f>
        <v/>
      </c>
      <c r="E2693" s="90" t="str">
        <f>IF('Product List'!B2693="","",'Product List'!B2693)</f>
        <v/>
      </c>
    </row>
    <row r="2694" spans="4:5">
      <c r="D2694" s="90" t="str">
        <f>IF('Product List'!C2694="","",'Product List'!C2694)</f>
        <v/>
      </c>
      <c r="E2694" s="90" t="str">
        <f>IF('Product List'!B2694="","",'Product List'!B2694)</f>
        <v/>
      </c>
    </row>
    <row r="2695" spans="4:5">
      <c r="D2695" s="90" t="str">
        <f>IF('Product List'!C2695="","",'Product List'!C2695)</f>
        <v/>
      </c>
      <c r="E2695" s="90" t="str">
        <f>IF('Product List'!B2695="","",'Product List'!B2695)</f>
        <v/>
      </c>
    </row>
    <row r="2696" spans="4:5">
      <c r="D2696" s="90" t="str">
        <f>IF('Product List'!C2696="","",'Product List'!C2696)</f>
        <v/>
      </c>
      <c r="E2696" s="90" t="str">
        <f>IF('Product List'!B2696="","",'Product List'!B2696)</f>
        <v/>
      </c>
    </row>
    <row r="2697" spans="4:5">
      <c r="D2697" s="90" t="str">
        <f>IF('Product List'!C2697="","",'Product List'!C2697)</f>
        <v/>
      </c>
      <c r="E2697" s="90" t="str">
        <f>IF('Product List'!B2697="","",'Product List'!B2697)</f>
        <v/>
      </c>
    </row>
    <row r="2698" spans="4:5">
      <c r="D2698" s="90" t="str">
        <f>IF('Product List'!C2698="","",'Product List'!C2698)</f>
        <v/>
      </c>
      <c r="E2698" s="90" t="str">
        <f>IF('Product List'!B2698="","",'Product List'!B2698)</f>
        <v/>
      </c>
    </row>
    <row r="2699" spans="4:5">
      <c r="D2699" s="90" t="str">
        <f>IF('Product List'!C2699="","",'Product List'!C2699)</f>
        <v/>
      </c>
      <c r="E2699" s="90" t="str">
        <f>IF('Product List'!B2699="","",'Product List'!B2699)</f>
        <v/>
      </c>
    </row>
    <row r="2700" spans="4:5">
      <c r="D2700" s="90" t="str">
        <f>IF('Product List'!C2700="","",'Product List'!C2700)</f>
        <v/>
      </c>
      <c r="E2700" s="90" t="str">
        <f>IF('Product List'!B2700="","",'Product List'!B2700)</f>
        <v/>
      </c>
    </row>
    <row r="2701" spans="4:5">
      <c r="D2701" s="90" t="str">
        <f>IF('Product List'!C2701="","",'Product List'!C2701)</f>
        <v/>
      </c>
      <c r="E2701" s="90" t="str">
        <f>IF('Product List'!B2701="","",'Product List'!B2701)</f>
        <v/>
      </c>
    </row>
    <row r="2702" spans="4:5">
      <c r="D2702" s="90" t="str">
        <f>IF('Product List'!C2702="","",'Product List'!C2702)</f>
        <v/>
      </c>
      <c r="E2702" s="90" t="str">
        <f>IF('Product List'!B2702="","",'Product List'!B2702)</f>
        <v/>
      </c>
    </row>
    <row r="2703" spans="4:5">
      <c r="D2703" s="90" t="str">
        <f>IF('Product List'!C2703="","",'Product List'!C2703)</f>
        <v/>
      </c>
      <c r="E2703" s="90" t="str">
        <f>IF('Product List'!B2703="","",'Product List'!B2703)</f>
        <v/>
      </c>
    </row>
    <row r="2704" spans="4:5">
      <c r="D2704" s="90" t="str">
        <f>IF('Product List'!C2704="","",'Product List'!C2704)</f>
        <v/>
      </c>
      <c r="E2704" s="90" t="str">
        <f>IF('Product List'!B2704="","",'Product List'!B2704)</f>
        <v/>
      </c>
    </row>
    <row r="2705" spans="4:5">
      <c r="D2705" s="90" t="str">
        <f>IF('Product List'!C2705="","",'Product List'!C2705)</f>
        <v/>
      </c>
      <c r="E2705" s="90" t="str">
        <f>IF('Product List'!B2705="","",'Product List'!B2705)</f>
        <v/>
      </c>
    </row>
    <row r="2706" spans="4:5">
      <c r="D2706" s="90" t="str">
        <f>IF('Product List'!C2706="","",'Product List'!C2706)</f>
        <v/>
      </c>
      <c r="E2706" s="90" t="str">
        <f>IF('Product List'!B2706="","",'Product List'!B2706)</f>
        <v/>
      </c>
    </row>
    <row r="2707" spans="4:5">
      <c r="D2707" s="90" t="str">
        <f>IF('Product List'!C2707="","",'Product List'!C2707)</f>
        <v/>
      </c>
      <c r="E2707" s="90" t="str">
        <f>IF('Product List'!B2707="","",'Product List'!B2707)</f>
        <v/>
      </c>
    </row>
    <row r="2708" spans="4:5">
      <c r="D2708" s="90" t="str">
        <f>IF('Product List'!C2708="","",'Product List'!C2708)</f>
        <v/>
      </c>
      <c r="E2708" s="90" t="str">
        <f>IF('Product List'!B2708="","",'Product List'!B2708)</f>
        <v/>
      </c>
    </row>
    <row r="2709" spans="4:5">
      <c r="D2709" s="90" t="str">
        <f>IF('Product List'!C2709="","",'Product List'!C2709)</f>
        <v/>
      </c>
      <c r="E2709" s="90" t="str">
        <f>IF('Product List'!B2709="","",'Product List'!B2709)</f>
        <v/>
      </c>
    </row>
    <row r="2710" spans="4:5">
      <c r="D2710" s="90" t="str">
        <f>IF('Product List'!C2710="","",'Product List'!C2710)</f>
        <v/>
      </c>
      <c r="E2710" s="90" t="str">
        <f>IF('Product List'!B2710="","",'Product List'!B2710)</f>
        <v/>
      </c>
    </row>
    <row r="2711" spans="4:5">
      <c r="D2711" s="90" t="str">
        <f>IF('Product List'!C2711="","",'Product List'!C2711)</f>
        <v/>
      </c>
      <c r="E2711" s="90" t="str">
        <f>IF('Product List'!B2711="","",'Product List'!B2711)</f>
        <v/>
      </c>
    </row>
    <row r="2712" spans="4:5">
      <c r="D2712" s="90" t="str">
        <f>IF('Product List'!C2712="","",'Product List'!C2712)</f>
        <v/>
      </c>
      <c r="E2712" s="90" t="str">
        <f>IF('Product List'!B2712="","",'Product List'!B2712)</f>
        <v/>
      </c>
    </row>
    <row r="2713" spans="4:5">
      <c r="D2713" s="90" t="str">
        <f>IF('Product List'!C2713="","",'Product List'!C2713)</f>
        <v/>
      </c>
      <c r="E2713" s="90" t="str">
        <f>IF('Product List'!B2713="","",'Product List'!B2713)</f>
        <v/>
      </c>
    </row>
    <row r="2714" spans="4:5">
      <c r="D2714" s="90" t="str">
        <f>IF('Product List'!C2714="","",'Product List'!C2714)</f>
        <v/>
      </c>
      <c r="E2714" s="90" t="str">
        <f>IF('Product List'!B2714="","",'Product List'!B2714)</f>
        <v/>
      </c>
    </row>
    <row r="2715" spans="4:5">
      <c r="D2715" s="90" t="str">
        <f>IF('Product List'!C2715="","",'Product List'!C2715)</f>
        <v/>
      </c>
      <c r="E2715" s="90" t="str">
        <f>IF('Product List'!B2715="","",'Product List'!B2715)</f>
        <v/>
      </c>
    </row>
    <row r="2716" spans="4:5">
      <c r="D2716" s="90" t="str">
        <f>IF('Product List'!C2716="","",'Product List'!C2716)</f>
        <v/>
      </c>
      <c r="E2716" s="90" t="str">
        <f>IF('Product List'!B2716="","",'Product List'!B2716)</f>
        <v/>
      </c>
    </row>
    <row r="2717" spans="4:5">
      <c r="D2717" s="90" t="str">
        <f>IF('Product List'!C2717="","",'Product List'!C2717)</f>
        <v/>
      </c>
      <c r="E2717" s="90" t="str">
        <f>IF('Product List'!B2717="","",'Product List'!B2717)</f>
        <v/>
      </c>
    </row>
    <row r="2718" spans="4:5">
      <c r="D2718" s="90" t="str">
        <f>IF('Product List'!C2718="","",'Product List'!C2718)</f>
        <v/>
      </c>
      <c r="E2718" s="90" t="str">
        <f>IF('Product List'!B2718="","",'Product List'!B2718)</f>
        <v/>
      </c>
    </row>
    <row r="2719" spans="4:5">
      <c r="D2719" s="90" t="str">
        <f>IF('Product List'!C2719="","",'Product List'!C2719)</f>
        <v/>
      </c>
      <c r="E2719" s="90" t="str">
        <f>IF('Product List'!B2719="","",'Product List'!B2719)</f>
        <v/>
      </c>
    </row>
    <row r="2720" spans="4:5">
      <c r="D2720" s="90" t="str">
        <f>IF('Product List'!C2720="","",'Product List'!C2720)</f>
        <v/>
      </c>
      <c r="E2720" s="90" t="str">
        <f>IF('Product List'!B2720="","",'Product List'!B2720)</f>
        <v/>
      </c>
    </row>
    <row r="2721" spans="4:5">
      <c r="D2721" s="90" t="str">
        <f>IF('Product List'!C2721="","",'Product List'!C2721)</f>
        <v/>
      </c>
      <c r="E2721" s="90" t="str">
        <f>IF('Product List'!B2721="","",'Product List'!B2721)</f>
        <v/>
      </c>
    </row>
    <row r="2722" spans="4:5">
      <c r="D2722" s="90" t="str">
        <f>IF('Product List'!C2722="","",'Product List'!C2722)</f>
        <v/>
      </c>
      <c r="E2722" s="90" t="str">
        <f>IF('Product List'!B2722="","",'Product List'!B2722)</f>
        <v/>
      </c>
    </row>
    <row r="2723" spans="4:5">
      <c r="D2723" s="90" t="str">
        <f>IF('Product List'!C2723="","",'Product List'!C2723)</f>
        <v/>
      </c>
      <c r="E2723" s="90" t="str">
        <f>IF('Product List'!B2723="","",'Product List'!B2723)</f>
        <v/>
      </c>
    </row>
    <row r="2724" spans="4:5">
      <c r="D2724" s="90" t="str">
        <f>IF('Product List'!C2724="","",'Product List'!C2724)</f>
        <v/>
      </c>
      <c r="E2724" s="90" t="str">
        <f>IF('Product List'!B2724="","",'Product List'!B2724)</f>
        <v/>
      </c>
    </row>
    <row r="2725" spans="4:5">
      <c r="D2725" s="90" t="str">
        <f>IF('Product List'!C2725="","",'Product List'!C2725)</f>
        <v/>
      </c>
      <c r="E2725" s="90" t="str">
        <f>IF('Product List'!B2725="","",'Product List'!B2725)</f>
        <v/>
      </c>
    </row>
    <row r="2726" spans="4:5">
      <c r="D2726" s="90" t="str">
        <f>IF('Product List'!C2726="","",'Product List'!C2726)</f>
        <v/>
      </c>
      <c r="E2726" s="90" t="str">
        <f>IF('Product List'!B2726="","",'Product List'!B2726)</f>
        <v/>
      </c>
    </row>
    <row r="2727" spans="4:5">
      <c r="D2727" s="90" t="str">
        <f>IF('Product List'!C2727="","",'Product List'!C2727)</f>
        <v/>
      </c>
      <c r="E2727" s="90" t="str">
        <f>IF('Product List'!B2727="","",'Product List'!B2727)</f>
        <v/>
      </c>
    </row>
    <row r="2728" spans="4:5">
      <c r="D2728" s="90" t="str">
        <f>IF('Product List'!C2728="","",'Product List'!C2728)</f>
        <v/>
      </c>
      <c r="E2728" s="90" t="str">
        <f>IF('Product List'!B2728="","",'Product List'!B2728)</f>
        <v/>
      </c>
    </row>
    <row r="2729" spans="4:5">
      <c r="D2729" s="90" t="str">
        <f>IF('Product List'!C2729="","",'Product List'!C2729)</f>
        <v/>
      </c>
      <c r="E2729" s="90" t="str">
        <f>IF('Product List'!B2729="","",'Product List'!B2729)</f>
        <v/>
      </c>
    </row>
    <row r="2730" spans="4:5">
      <c r="D2730" s="90" t="str">
        <f>IF('Product List'!C2730="","",'Product List'!C2730)</f>
        <v/>
      </c>
      <c r="E2730" s="90" t="str">
        <f>IF('Product List'!B2730="","",'Product List'!B2730)</f>
        <v/>
      </c>
    </row>
    <row r="2731" spans="4:5">
      <c r="D2731" s="90" t="str">
        <f>IF('Product List'!C2731="","",'Product List'!C2731)</f>
        <v/>
      </c>
      <c r="E2731" s="90" t="str">
        <f>IF('Product List'!B2731="","",'Product List'!B2731)</f>
        <v/>
      </c>
    </row>
    <row r="2732" spans="4:5">
      <c r="D2732" s="90" t="str">
        <f>IF('Product List'!C2732="","",'Product List'!C2732)</f>
        <v/>
      </c>
      <c r="E2732" s="90" t="str">
        <f>IF('Product List'!B2732="","",'Product List'!B2732)</f>
        <v/>
      </c>
    </row>
    <row r="2733" spans="4:5">
      <c r="D2733" s="90" t="str">
        <f>IF('Product List'!C2733="","",'Product List'!C2733)</f>
        <v/>
      </c>
      <c r="E2733" s="90" t="str">
        <f>IF('Product List'!B2733="","",'Product List'!B2733)</f>
        <v/>
      </c>
    </row>
    <row r="2734" spans="4:5">
      <c r="D2734" s="90" t="str">
        <f>IF('Product List'!C2734="","",'Product List'!C2734)</f>
        <v/>
      </c>
      <c r="E2734" s="90" t="str">
        <f>IF('Product List'!B2734="","",'Product List'!B2734)</f>
        <v/>
      </c>
    </row>
    <row r="2735" spans="4:5">
      <c r="D2735" s="90" t="str">
        <f>IF('Product List'!C2735="","",'Product List'!C2735)</f>
        <v/>
      </c>
      <c r="E2735" s="90" t="str">
        <f>IF('Product List'!B2735="","",'Product List'!B2735)</f>
        <v/>
      </c>
    </row>
    <row r="2736" spans="4:5">
      <c r="D2736" s="90" t="str">
        <f>IF('Product List'!C2736="","",'Product List'!C2736)</f>
        <v/>
      </c>
      <c r="E2736" s="90" t="str">
        <f>IF('Product List'!B2736="","",'Product List'!B2736)</f>
        <v/>
      </c>
    </row>
    <row r="2737" spans="4:5">
      <c r="D2737" s="90" t="str">
        <f>IF('Product List'!C2737="","",'Product List'!C2737)</f>
        <v/>
      </c>
      <c r="E2737" s="90" t="str">
        <f>IF('Product List'!B2737="","",'Product List'!B2737)</f>
        <v/>
      </c>
    </row>
    <row r="2738" spans="4:5">
      <c r="D2738" s="90" t="str">
        <f>IF('Product List'!C2738="","",'Product List'!C2738)</f>
        <v/>
      </c>
      <c r="E2738" s="90" t="str">
        <f>IF('Product List'!B2738="","",'Product List'!B2738)</f>
        <v/>
      </c>
    </row>
    <row r="2739" spans="4:5">
      <c r="D2739" s="90" t="str">
        <f>IF('Product List'!C2739="","",'Product List'!C2739)</f>
        <v/>
      </c>
      <c r="E2739" s="90" t="str">
        <f>IF('Product List'!B2739="","",'Product List'!B2739)</f>
        <v/>
      </c>
    </row>
    <row r="2740" spans="4:5">
      <c r="D2740" s="90" t="str">
        <f>IF('Product List'!C2740="","",'Product List'!C2740)</f>
        <v/>
      </c>
      <c r="E2740" s="90" t="str">
        <f>IF('Product List'!B2740="","",'Product List'!B2740)</f>
        <v/>
      </c>
    </row>
    <row r="2741" spans="4:5">
      <c r="D2741" s="90" t="str">
        <f>IF('Product List'!C2741="","",'Product List'!C2741)</f>
        <v/>
      </c>
      <c r="E2741" s="90" t="str">
        <f>IF('Product List'!B2741="","",'Product List'!B2741)</f>
        <v/>
      </c>
    </row>
    <row r="2742" spans="4:5">
      <c r="D2742" s="90" t="str">
        <f>IF('Product List'!C2742="","",'Product List'!C2742)</f>
        <v/>
      </c>
      <c r="E2742" s="90" t="str">
        <f>IF('Product List'!B2742="","",'Product List'!B2742)</f>
        <v/>
      </c>
    </row>
    <row r="2743" spans="4:5">
      <c r="D2743" s="90" t="str">
        <f>IF('Product List'!C2743="","",'Product List'!C2743)</f>
        <v/>
      </c>
      <c r="E2743" s="90" t="str">
        <f>IF('Product List'!B2743="","",'Product List'!B2743)</f>
        <v/>
      </c>
    </row>
    <row r="2744" spans="4:5">
      <c r="D2744" s="90" t="str">
        <f>IF('Product List'!C2744="","",'Product List'!C2744)</f>
        <v/>
      </c>
      <c r="E2744" s="90" t="str">
        <f>IF('Product List'!B2744="","",'Product List'!B2744)</f>
        <v/>
      </c>
    </row>
    <row r="2745" spans="4:5">
      <c r="D2745" s="90" t="str">
        <f>IF('Product List'!C2745="","",'Product List'!C2745)</f>
        <v/>
      </c>
      <c r="E2745" s="90" t="str">
        <f>IF('Product List'!B2745="","",'Product List'!B2745)</f>
        <v/>
      </c>
    </row>
    <row r="2746" spans="4:5">
      <c r="D2746" s="90" t="str">
        <f>IF('Product List'!C2746="","",'Product List'!C2746)</f>
        <v/>
      </c>
      <c r="E2746" s="90" t="str">
        <f>IF('Product List'!B2746="","",'Product List'!B2746)</f>
        <v/>
      </c>
    </row>
    <row r="2747" spans="4:5">
      <c r="D2747" s="90" t="str">
        <f>IF('Product List'!C2747="","",'Product List'!C2747)</f>
        <v/>
      </c>
      <c r="E2747" s="90" t="str">
        <f>IF('Product List'!B2747="","",'Product List'!B2747)</f>
        <v/>
      </c>
    </row>
    <row r="2748" spans="4:5">
      <c r="D2748" s="90" t="str">
        <f>IF('Product List'!C2748="","",'Product List'!C2748)</f>
        <v/>
      </c>
      <c r="E2748" s="90" t="str">
        <f>IF('Product List'!B2748="","",'Product List'!B2748)</f>
        <v/>
      </c>
    </row>
    <row r="2749" spans="4:5">
      <c r="D2749" s="90" t="str">
        <f>IF('Product List'!C2749="","",'Product List'!C2749)</f>
        <v/>
      </c>
      <c r="E2749" s="90" t="str">
        <f>IF('Product List'!B2749="","",'Product List'!B2749)</f>
        <v/>
      </c>
    </row>
    <row r="2750" spans="4:5">
      <c r="D2750" s="90" t="str">
        <f>IF('Product List'!C2750="","",'Product List'!C2750)</f>
        <v/>
      </c>
      <c r="E2750" s="90" t="str">
        <f>IF('Product List'!B2750="","",'Product List'!B2750)</f>
        <v/>
      </c>
    </row>
    <row r="2751" spans="4:5">
      <c r="D2751" s="90" t="str">
        <f>IF('Product List'!C2751="","",'Product List'!C2751)</f>
        <v/>
      </c>
      <c r="E2751" s="90" t="str">
        <f>IF('Product List'!B2751="","",'Product List'!B2751)</f>
        <v/>
      </c>
    </row>
    <row r="2752" spans="4:5">
      <c r="D2752" s="90" t="str">
        <f>IF('Product List'!C2752="","",'Product List'!C2752)</f>
        <v/>
      </c>
      <c r="E2752" s="90" t="str">
        <f>IF('Product List'!B2752="","",'Product List'!B2752)</f>
        <v/>
      </c>
    </row>
    <row r="2753" spans="4:5">
      <c r="D2753" s="90" t="str">
        <f>IF('Product List'!C2753="","",'Product List'!C2753)</f>
        <v/>
      </c>
      <c r="E2753" s="90" t="str">
        <f>IF('Product List'!B2753="","",'Product List'!B2753)</f>
        <v/>
      </c>
    </row>
    <row r="2754" spans="4:5">
      <c r="D2754" s="90" t="str">
        <f>IF('Product List'!C2754="","",'Product List'!C2754)</f>
        <v/>
      </c>
      <c r="E2754" s="90" t="str">
        <f>IF('Product List'!B2754="","",'Product List'!B2754)</f>
        <v/>
      </c>
    </row>
    <row r="2755" spans="4:5">
      <c r="D2755" s="90" t="str">
        <f>IF('Product List'!C2755="","",'Product List'!C2755)</f>
        <v/>
      </c>
      <c r="E2755" s="90" t="str">
        <f>IF('Product List'!B2755="","",'Product List'!B2755)</f>
        <v/>
      </c>
    </row>
    <row r="2756" spans="4:5">
      <c r="D2756" s="90" t="str">
        <f>IF('Product List'!C2756="","",'Product List'!C2756)</f>
        <v/>
      </c>
      <c r="E2756" s="90" t="str">
        <f>IF('Product List'!B2756="","",'Product List'!B2756)</f>
        <v/>
      </c>
    </row>
    <row r="2757" spans="4:5">
      <c r="D2757" s="90" t="str">
        <f>IF('Product List'!C2757="","",'Product List'!C2757)</f>
        <v/>
      </c>
      <c r="E2757" s="90" t="str">
        <f>IF('Product List'!B2757="","",'Product List'!B2757)</f>
        <v/>
      </c>
    </row>
    <row r="2758" spans="4:5">
      <c r="D2758" s="90" t="str">
        <f>IF('Product List'!C2758="","",'Product List'!C2758)</f>
        <v/>
      </c>
      <c r="E2758" s="90" t="str">
        <f>IF('Product List'!B2758="","",'Product List'!B2758)</f>
        <v/>
      </c>
    </row>
    <row r="2759" spans="4:5">
      <c r="D2759" s="90" t="str">
        <f>IF('Product List'!C2759="","",'Product List'!C2759)</f>
        <v/>
      </c>
      <c r="E2759" s="90" t="str">
        <f>IF('Product List'!B2759="","",'Product List'!B2759)</f>
        <v/>
      </c>
    </row>
    <row r="2760" spans="4:5">
      <c r="D2760" s="90" t="str">
        <f>IF('Product List'!C2760="","",'Product List'!C2760)</f>
        <v/>
      </c>
      <c r="E2760" s="90" t="str">
        <f>IF('Product List'!B2760="","",'Product List'!B2760)</f>
        <v/>
      </c>
    </row>
    <row r="2761" spans="4:5">
      <c r="D2761" s="90" t="str">
        <f>IF('Product List'!C2761="","",'Product List'!C2761)</f>
        <v/>
      </c>
      <c r="E2761" s="90" t="str">
        <f>IF('Product List'!B2761="","",'Product List'!B2761)</f>
        <v/>
      </c>
    </row>
    <row r="2762" spans="4:5">
      <c r="D2762" s="90" t="str">
        <f>IF('Product List'!C2762="","",'Product List'!C2762)</f>
        <v/>
      </c>
      <c r="E2762" s="90" t="str">
        <f>IF('Product List'!B2762="","",'Product List'!B2762)</f>
        <v/>
      </c>
    </row>
    <row r="2763" spans="4:5">
      <c r="D2763" s="90" t="str">
        <f>IF('Product List'!C2763="","",'Product List'!C2763)</f>
        <v/>
      </c>
      <c r="E2763" s="90" t="str">
        <f>IF('Product List'!B2763="","",'Product List'!B2763)</f>
        <v/>
      </c>
    </row>
    <row r="2764" spans="4:5">
      <c r="D2764" s="90" t="str">
        <f>IF('Product List'!C2764="","",'Product List'!C2764)</f>
        <v/>
      </c>
      <c r="E2764" s="90" t="str">
        <f>IF('Product List'!B2764="","",'Product List'!B2764)</f>
        <v/>
      </c>
    </row>
    <row r="2765" spans="4:5">
      <c r="D2765" s="90" t="str">
        <f>IF('Product List'!C2765="","",'Product List'!C2765)</f>
        <v/>
      </c>
      <c r="E2765" s="90" t="str">
        <f>IF('Product List'!B2765="","",'Product List'!B2765)</f>
        <v/>
      </c>
    </row>
    <row r="2766" spans="4:5">
      <c r="D2766" s="90" t="str">
        <f>IF('Product List'!C2766="","",'Product List'!C2766)</f>
        <v/>
      </c>
      <c r="E2766" s="90" t="str">
        <f>IF('Product List'!B2766="","",'Product List'!B2766)</f>
        <v/>
      </c>
    </row>
    <row r="2767" spans="4:5">
      <c r="D2767" s="90" t="str">
        <f>IF('Product List'!C2767="","",'Product List'!C2767)</f>
        <v/>
      </c>
      <c r="E2767" s="90" t="str">
        <f>IF('Product List'!B2767="","",'Product List'!B2767)</f>
        <v/>
      </c>
    </row>
    <row r="2768" spans="4:5">
      <c r="D2768" s="90" t="str">
        <f>IF('Product List'!C2768="","",'Product List'!C2768)</f>
        <v/>
      </c>
      <c r="E2768" s="90" t="str">
        <f>IF('Product List'!B2768="","",'Product List'!B2768)</f>
        <v/>
      </c>
    </row>
    <row r="2769" spans="4:5">
      <c r="D2769" s="90" t="str">
        <f>IF('Product List'!C2769="","",'Product List'!C2769)</f>
        <v/>
      </c>
      <c r="E2769" s="90" t="str">
        <f>IF('Product List'!B2769="","",'Product List'!B2769)</f>
        <v/>
      </c>
    </row>
    <row r="2770" spans="4:5">
      <c r="D2770" s="90" t="str">
        <f>IF('Product List'!C2770="","",'Product List'!C2770)</f>
        <v/>
      </c>
      <c r="E2770" s="90" t="str">
        <f>IF('Product List'!B2770="","",'Product List'!B2770)</f>
        <v/>
      </c>
    </row>
    <row r="2771" spans="4:5">
      <c r="D2771" s="90" t="str">
        <f>IF('Product List'!C2771="","",'Product List'!C2771)</f>
        <v/>
      </c>
      <c r="E2771" s="90" t="str">
        <f>IF('Product List'!B2771="","",'Product List'!B2771)</f>
        <v/>
      </c>
    </row>
    <row r="2772" spans="4:5">
      <c r="D2772" s="90" t="str">
        <f>IF('Product List'!C2772="","",'Product List'!C2772)</f>
        <v/>
      </c>
      <c r="E2772" s="90" t="str">
        <f>IF('Product List'!B2772="","",'Product List'!B2772)</f>
        <v/>
      </c>
    </row>
    <row r="2773" spans="4:5">
      <c r="D2773" s="90" t="str">
        <f>IF('Product List'!C2773="","",'Product List'!C2773)</f>
        <v/>
      </c>
      <c r="E2773" s="90" t="str">
        <f>IF('Product List'!B2773="","",'Product List'!B2773)</f>
        <v/>
      </c>
    </row>
    <row r="2774" spans="4:5">
      <c r="D2774" s="90" t="str">
        <f>IF('Product List'!C2774="","",'Product List'!C2774)</f>
        <v/>
      </c>
      <c r="E2774" s="90" t="str">
        <f>IF('Product List'!B2774="","",'Product List'!B2774)</f>
        <v/>
      </c>
    </row>
    <row r="2775" spans="4:5">
      <c r="D2775" s="90" t="str">
        <f>IF('Product List'!C2775="","",'Product List'!C2775)</f>
        <v/>
      </c>
      <c r="E2775" s="90" t="str">
        <f>IF('Product List'!B2775="","",'Product List'!B2775)</f>
        <v/>
      </c>
    </row>
    <row r="2776" spans="4:5">
      <c r="D2776" s="90" t="str">
        <f>IF('Product List'!C2776="","",'Product List'!C2776)</f>
        <v/>
      </c>
      <c r="E2776" s="90" t="str">
        <f>IF('Product List'!B2776="","",'Product List'!B2776)</f>
        <v/>
      </c>
    </row>
    <row r="2777" spans="4:5">
      <c r="D2777" s="90" t="str">
        <f>IF('Product List'!C2777="","",'Product List'!C2777)</f>
        <v/>
      </c>
      <c r="E2777" s="90" t="str">
        <f>IF('Product List'!B2777="","",'Product List'!B2777)</f>
        <v/>
      </c>
    </row>
    <row r="2778" spans="4:5">
      <c r="D2778" s="90" t="str">
        <f>IF('Product List'!C2778="","",'Product List'!C2778)</f>
        <v/>
      </c>
      <c r="E2778" s="90" t="str">
        <f>IF('Product List'!B2778="","",'Product List'!B2778)</f>
        <v/>
      </c>
    </row>
    <row r="2779" spans="4:5">
      <c r="D2779" s="90" t="str">
        <f>IF('Product List'!C2779="","",'Product List'!C2779)</f>
        <v/>
      </c>
      <c r="E2779" s="90" t="str">
        <f>IF('Product List'!B2779="","",'Product List'!B2779)</f>
        <v/>
      </c>
    </row>
    <row r="2780" spans="4:5">
      <c r="D2780" s="90" t="str">
        <f>IF('Product List'!C2780="","",'Product List'!C2780)</f>
        <v/>
      </c>
      <c r="E2780" s="90" t="str">
        <f>IF('Product List'!B2780="","",'Product List'!B2780)</f>
        <v/>
      </c>
    </row>
    <row r="2781" spans="4:5">
      <c r="D2781" s="90" t="str">
        <f>IF('Product List'!C2781="","",'Product List'!C2781)</f>
        <v/>
      </c>
      <c r="E2781" s="90" t="str">
        <f>IF('Product List'!B2781="","",'Product List'!B2781)</f>
        <v/>
      </c>
    </row>
    <row r="2782" spans="4:5">
      <c r="D2782" s="90" t="str">
        <f>IF('Product List'!C2782="","",'Product List'!C2782)</f>
        <v/>
      </c>
      <c r="E2782" s="90" t="str">
        <f>IF('Product List'!B2782="","",'Product List'!B2782)</f>
        <v/>
      </c>
    </row>
    <row r="2783" spans="4:5">
      <c r="D2783" s="90" t="str">
        <f>IF('Product List'!C2783="","",'Product List'!C2783)</f>
        <v/>
      </c>
      <c r="E2783" s="90" t="str">
        <f>IF('Product List'!B2783="","",'Product List'!B2783)</f>
        <v/>
      </c>
    </row>
    <row r="2784" spans="4:5">
      <c r="D2784" s="90" t="str">
        <f>IF('Product List'!C2784="","",'Product List'!C2784)</f>
        <v/>
      </c>
      <c r="E2784" s="90" t="str">
        <f>IF('Product List'!B2784="","",'Product List'!B2784)</f>
        <v/>
      </c>
    </row>
    <row r="2785" spans="4:5">
      <c r="D2785" s="90" t="str">
        <f>IF('Product List'!C2785="","",'Product List'!C2785)</f>
        <v/>
      </c>
      <c r="E2785" s="90" t="str">
        <f>IF('Product List'!B2785="","",'Product List'!B2785)</f>
        <v/>
      </c>
    </row>
    <row r="2786" spans="4:5">
      <c r="D2786" s="90" t="str">
        <f>IF('Product List'!C2786="","",'Product List'!C2786)</f>
        <v/>
      </c>
      <c r="E2786" s="90" t="str">
        <f>IF('Product List'!B2786="","",'Product List'!B2786)</f>
        <v/>
      </c>
    </row>
    <row r="2787" spans="4:5">
      <c r="D2787" s="90" t="str">
        <f>IF('Product List'!C2787="","",'Product List'!C2787)</f>
        <v/>
      </c>
      <c r="E2787" s="90" t="str">
        <f>IF('Product List'!B2787="","",'Product List'!B2787)</f>
        <v/>
      </c>
    </row>
    <row r="2788" spans="4:5">
      <c r="D2788" s="90" t="str">
        <f>IF('Product List'!C2788="","",'Product List'!C2788)</f>
        <v/>
      </c>
      <c r="E2788" s="90" t="str">
        <f>IF('Product List'!B2788="","",'Product List'!B2788)</f>
        <v/>
      </c>
    </row>
    <row r="2789" spans="4:5">
      <c r="D2789" s="90" t="str">
        <f>IF('Product List'!C2789="","",'Product List'!C2789)</f>
        <v/>
      </c>
      <c r="E2789" s="90" t="str">
        <f>IF('Product List'!B2789="","",'Product List'!B2789)</f>
        <v/>
      </c>
    </row>
    <row r="2790" spans="4:5">
      <c r="D2790" s="90" t="str">
        <f>IF('Product List'!C2790="","",'Product List'!C2790)</f>
        <v/>
      </c>
      <c r="E2790" s="90" t="str">
        <f>IF('Product List'!B2790="","",'Product List'!B2790)</f>
        <v/>
      </c>
    </row>
    <row r="2791" spans="4:5">
      <c r="D2791" s="90" t="str">
        <f>IF('Product List'!C2791="","",'Product List'!C2791)</f>
        <v/>
      </c>
      <c r="E2791" s="90" t="str">
        <f>IF('Product List'!B2791="","",'Product List'!B2791)</f>
        <v/>
      </c>
    </row>
    <row r="2792" spans="4:5">
      <c r="D2792" s="90" t="str">
        <f>IF('Product List'!C2792="","",'Product List'!C2792)</f>
        <v/>
      </c>
      <c r="E2792" s="90" t="str">
        <f>IF('Product List'!B2792="","",'Product List'!B2792)</f>
        <v/>
      </c>
    </row>
    <row r="2793" spans="4:5">
      <c r="D2793" s="90" t="str">
        <f>IF('Product List'!C2793="","",'Product List'!C2793)</f>
        <v/>
      </c>
      <c r="E2793" s="90" t="str">
        <f>IF('Product List'!B2793="","",'Product List'!B2793)</f>
        <v/>
      </c>
    </row>
    <row r="2794" spans="4:5">
      <c r="D2794" s="90" t="str">
        <f>IF('Product List'!C2794="","",'Product List'!C2794)</f>
        <v/>
      </c>
      <c r="E2794" s="90" t="str">
        <f>IF('Product List'!B2794="","",'Product List'!B2794)</f>
        <v/>
      </c>
    </row>
    <row r="2795" spans="4:5">
      <c r="D2795" s="90" t="str">
        <f>IF('Product List'!C2795="","",'Product List'!C2795)</f>
        <v/>
      </c>
      <c r="E2795" s="90" t="str">
        <f>IF('Product List'!B2795="","",'Product List'!B2795)</f>
        <v/>
      </c>
    </row>
    <row r="2796" spans="4:5">
      <c r="D2796" s="90" t="str">
        <f>IF('Product List'!C2796="","",'Product List'!C2796)</f>
        <v/>
      </c>
      <c r="E2796" s="90" t="str">
        <f>IF('Product List'!B2796="","",'Product List'!B2796)</f>
        <v/>
      </c>
    </row>
    <row r="2797" spans="4:5">
      <c r="D2797" s="90" t="str">
        <f>IF('Product List'!C2797="","",'Product List'!C2797)</f>
        <v/>
      </c>
      <c r="E2797" s="90" t="str">
        <f>IF('Product List'!B2797="","",'Product List'!B2797)</f>
        <v/>
      </c>
    </row>
    <row r="2798" spans="4:5">
      <c r="D2798" s="90" t="str">
        <f>IF('Product List'!C2798="","",'Product List'!C2798)</f>
        <v/>
      </c>
      <c r="E2798" s="90" t="str">
        <f>IF('Product List'!B2798="","",'Product List'!B2798)</f>
        <v/>
      </c>
    </row>
    <row r="2799" spans="4:5">
      <c r="D2799" s="90" t="str">
        <f>IF('Product List'!C2799="","",'Product List'!C2799)</f>
        <v/>
      </c>
      <c r="E2799" s="90" t="str">
        <f>IF('Product List'!B2799="","",'Product List'!B2799)</f>
        <v/>
      </c>
    </row>
    <row r="2800" spans="4:5">
      <c r="D2800" s="90" t="str">
        <f>IF('Product List'!C2800="","",'Product List'!C2800)</f>
        <v/>
      </c>
      <c r="E2800" s="90" t="str">
        <f>IF('Product List'!B2800="","",'Product List'!B2800)</f>
        <v/>
      </c>
    </row>
    <row r="2801" spans="4:5">
      <c r="D2801" s="90" t="str">
        <f>IF('Product List'!C2801="","",'Product List'!C2801)</f>
        <v/>
      </c>
      <c r="E2801" s="90" t="str">
        <f>IF('Product List'!B2801="","",'Product List'!B2801)</f>
        <v/>
      </c>
    </row>
    <row r="2802" spans="4:5">
      <c r="D2802" s="90" t="str">
        <f>IF('Product List'!C2802="","",'Product List'!C2802)</f>
        <v/>
      </c>
      <c r="E2802" s="90" t="str">
        <f>IF('Product List'!B2802="","",'Product List'!B2802)</f>
        <v/>
      </c>
    </row>
    <row r="2803" spans="4:5">
      <c r="D2803" s="90" t="str">
        <f>IF('Product List'!C2803="","",'Product List'!C2803)</f>
        <v/>
      </c>
      <c r="E2803" s="90" t="str">
        <f>IF('Product List'!B2803="","",'Product List'!B2803)</f>
        <v/>
      </c>
    </row>
    <row r="2804" spans="4:5">
      <c r="D2804" s="90" t="str">
        <f>IF('Product List'!C2804="","",'Product List'!C2804)</f>
        <v/>
      </c>
      <c r="E2804" s="90" t="str">
        <f>IF('Product List'!B2804="","",'Product List'!B2804)</f>
        <v/>
      </c>
    </row>
    <row r="2805" spans="4:5">
      <c r="D2805" s="90" t="str">
        <f>IF('Product List'!C2805="","",'Product List'!C2805)</f>
        <v/>
      </c>
      <c r="E2805" s="90" t="str">
        <f>IF('Product List'!B2805="","",'Product List'!B2805)</f>
        <v/>
      </c>
    </row>
    <row r="2806" spans="4:5">
      <c r="D2806" s="90" t="str">
        <f>IF('Product List'!C2806="","",'Product List'!C2806)</f>
        <v/>
      </c>
      <c r="E2806" s="90" t="str">
        <f>IF('Product List'!B2806="","",'Product List'!B2806)</f>
        <v/>
      </c>
    </row>
    <row r="2807" spans="4:5">
      <c r="D2807" s="90" t="str">
        <f>IF('Product List'!C2807="","",'Product List'!C2807)</f>
        <v/>
      </c>
      <c r="E2807" s="90" t="str">
        <f>IF('Product List'!B2807="","",'Product List'!B2807)</f>
        <v/>
      </c>
    </row>
    <row r="2808" spans="4:5">
      <c r="D2808" s="90" t="str">
        <f>IF('Product List'!C2808="","",'Product List'!C2808)</f>
        <v/>
      </c>
      <c r="E2808" s="90" t="str">
        <f>IF('Product List'!B2808="","",'Product List'!B2808)</f>
        <v/>
      </c>
    </row>
    <row r="2809" spans="4:5">
      <c r="D2809" s="90" t="str">
        <f>IF('Product List'!C2809="","",'Product List'!C2809)</f>
        <v/>
      </c>
      <c r="E2809" s="90" t="str">
        <f>IF('Product List'!B2809="","",'Product List'!B2809)</f>
        <v/>
      </c>
    </row>
    <row r="2810" spans="4:5">
      <c r="D2810" s="90" t="str">
        <f>IF('Product List'!C2810="","",'Product List'!C2810)</f>
        <v/>
      </c>
      <c r="E2810" s="90" t="str">
        <f>IF('Product List'!B2810="","",'Product List'!B2810)</f>
        <v/>
      </c>
    </row>
    <row r="2811" spans="4:5">
      <c r="D2811" s="90" t="str">
        <f>IF('Product List'!C2811="","",'Product List'!C2811)</f>
        <v/>
      </c>
      <c r="E2811" s="90" t="str">
        <f>IF('Product List'!B2811="","",'Product List'!B2811)</f>
        <v/>
      </c>
    </row>
    <row r="2812" spans="4:5">
      <c r="D2812" s="90" t="str">
        <f>IF('Product List'!C2812="","",'Product List'!C2812)</f>
        <v/>
      </c>
      <c r="E2812" s="90" t="str">
        <f>IF('Product List'!B2812="","",'Product List'!B2812)</f>
        <v/>
      </c>
    </row>
    <row r="2813" spans="4:5">
      <c r="D2813" s="90" t="str">
        <f>IF('Product List'!C2813="","",'Product List'!C2813)</f>
        <v/>
      </c>
      <c r="E2813" s="90" t="str">
        <f>IF('Product List'!B2813="","",'Product List'!B2813)</f>
        <v/>
      </c>
    </row>
    <row r="2814" spans="4:5">
      <c r="D2814" s="90" t="str">
        <f>IF('Product List'!C2814="","",'Product List'!C2814)</f>
        <v/>
      </c>
      <c r="E2814" s="90" t="str">
        <f>IF('Product List'!B2814="","",'Product List'!B2814)</f>
        <v/>
      </c>
    </row>
    <row r="2815" spans="4:5">
      <c r="D2815" s="90" t="str">
        <f>IF('Product List'!C2815="","",'Product List'!C2815)</f>
        <v/>
      </c>
      <c r="E2815" s="90" t="str">
        <f>IF('Product List'!B2815="","",'Product List'!B2815)</f>
        <v/>
      </c>
    </row>
    <row r="2816" spans="4:5">
      <c r="D2816" s="90" t="str">
        <f>IF('Product List'!C2816="","",'Product List'!C2816)</f>
        <v/>
      </c>
      <c r="E2816" s="90" t="str">
        <f>IF('Product List'!B2816="","",'Product List'!B2816)</f>
        <v/>
      </c>
    </row>
    <row r="2817" spans="4:5">
      <c r="D2817" s="90" t="str">
        <f>IF('Product List'!C2817="","",'Product List'!C2817)</f>
        <v/>
      </c>
      <c r="E2817" s="90" t="str">
        <f>IF('Product List'!B2817="","",'Product List'!B2817)</f>
        <v/>
      </c>
    </row>
    <row r="2818" spans="4:5">
      <c r="D2818" s="90" t="str">
        <f>IF('Product List'!C2818="","",'Product List'!C2818)</f>
        <v/>
      </c>
      <c r="E2818" s="90" t="str">
        <f>IF('Product List'!B2818="","",'Product List'!B2818)</f>
        <v/>
      </c>
    </row>
    <row r="2819" spans="4:5">
      <c r="D2819" s="90" t="str">
        <f>IF('Product List'!C2819="","",'Product List'!C2819)</f>
        <v/>
      </c>
      <c r="E2819" s="90" t="str">
        <f>IF('Product List'!B2819="","",'Product List'!B2819)</f>
        <v/>
      </c>
    </row>
    <row r="2820" spans="4:5">
      <c r="D2820" s="90" t="str">
        <f>IF('Product List'!C2820="","",'Product List'!C2820)</f>
        <v/>
      </c>
      <c r="E2820" s="90" t="str">
        <f>IF('Product List'!B2820="","",'Product List'!B2820)</f>
        <v/>
      </c>
    </row>
    <row r="2821" spans="4:5">
      <c r="D2821" s="90" t="str">
        <f>IF('Product List'!C2821="","",'Product List'!C2821)</f>
        <v/>
      </c>
      <c r="E2821" s="90" t="str">
        <f>IF('Product List'!B2821="","",'Product List'!B2821)</f>
        <v/>
      </c>
    </row>
    <row r="2822" spans="4:5">
      <c r="D2822" s="90" t="str">
        <f>IF('Product List'!C2822="","",'Product List'!C2822)</f>
        <v/>
      </c>
      <c r="E2822" s="90" t="str">
        <f>IF('Product List'!B2822="","",'Product List'!B2822)</f>
        <v/>
      </c>
    </row>
    <row r="2823" spans="4:5">
      <c r="D2823" s="90" t="str">
        <f>IF('Product List'!C2823="","",'Product List'!C2823)</f>
        <v/>
      </c>
      <c r="E2823" s="90" t="str">
        <f>IF('Product List'!B2823="","",'Product List'!B2823)</f>
        <v/>
      </c>
    </row>
    <row r="2824" spans="4:5">
      <c r="D2824" s="90" t="str">
        <f>IF('Product List'!C2824="","",'Product List'!C2824)</f>
        <v/>
      </c>
      <c r="E2824" s="90" t="str">
        <f>IF('Product List'!B2824="","",'Product List'!B2824)</f>
        <v/>
      </c>
    </row>
    <row r="2825" spans="4:5">
      <c r="D2825" s="90" t="str">
        <f>IF('Product List'!C2825="","",'Product List'!C2825)</f>
        <v/>
      </c>
      <c r="E2825" s="90" t="str">
        <f>IF('Product List'!B2825="","",'Product List'!B2825)</f>
        <v/>
      </c>
    </row>
    <row r="2826" spans="4:5">
      <c r="D2826" s="90" t="str">
        <f>IF('Product List'!C2826="","",'Product List'!C2826)</f>
        <v/>
      </c>
      <c r="E2826" s="90" t="str">
        <f>IF('Product List'!B2826="","",'Product List'!B2826)</f>
        <v/>
      </c>
    </row>
    <row r="2827" spans="4:5">
      <c r="D2827" s="90" t="str">
        <f>IF('Product List'!C2827="","",'Product List'!C2827)</f>
        <v/>
      </c>
      <c r="E2827" s="90" t="str">
        <f>IF('Product List'!B2827="","",'Product List'!B2827)</f>
        <v/>
      </c>
    </row>
    <row r="2828" spans="4:5">
      <c r="D2828" s="90" t="str">
        <f>IF('Product List'!C2828="","",'Product List'!C2828)</f>
        <v/>
      </c>
      <c r="E2828" s="90" t="str">
        <f>IF('Product List'!B2828="","",'Product List'!B2828)</f>
        <v/>
      </c>
    </row>
    <row r="2829" spans="4:5">
      <c r="D2829" s="90" t="str">
        <f>IF('Product List'!C2829="","",'Product List'!C2829)</f>
        <v/>
      </c>
      <c r="E2829" s="90" t="str">
        <f>IF('Product List'!B2829="","",'Product List'!B2829)</f>
        <v/>
      </c>
    </row>
    <row r="2830" spans="4:5">
      <c r="D2830" s="90" t="str">
        <f>IF('Product List'!C2830="","",'Product List'!C2830)</f>
        <v/>
      </c>
      <c r="E2830" s="90" t="str">
        <f>IF('Product List'!B2830="","",'Product List'!B2830)</f>
        <v/>
      </c>
    </row>
    <row r="2831" spans="4:5">
      <c r="D2831" s="90" t="str">
        <f>IF('Product List'!C2831="","",'Product List'!C2831)</f>
        <v/>
      </c>
      <c r="E2831" s="90" t="str">
        <f>IF('Product List'!B2831="","",'Product List'!B2831)</f>
        <v/>
      </c>
    </row>
    <row r="2832" spans="4:5">
      <c r="D2832" s="90" t="str">
        <f>IF('Product List'!C2832="","",'Product List'!C2832)</f>
        <v/>
      </c>
      <c r="E2832" s="90" t="str">
        <f>IF('Product List'!B2832="","",'Product List'!B2832)</f>
        <v/>
      </c>
    </row>
    <row r="2833" spans="4:5">
      <c r="D2833" s="90" t="str">
        <f>IF('Product List'!C2833="","",'Product List'!C2833)</f>
        <v/>
      </c>
      <c r="E2833" s="90" t="str">
        <f>IF('Product List'!B2833="","",'Product List'!B2833)</f>
        <v/>
      </c>
    </row>
    <row r="2834" spans="4:5">
      <c r="D2834" s="90" t="str">
        <f>IF('Product List'!C2834="","",'Product List'!C2834)</f>
        <v/>
      </c>
      <c r="E2834" s="90" t="str">
        <f>IF('Product List'!B2834="","",'Product List'!B2834)</f>
        <v/>
      </c>
    </row>
    <row r="2835" spans="4:5">
      <c r="D2835" s="90" t="str">
        <f>IF('Product List'!C2835="","",'Product List'!C2835)</f>
        <v/>
      </c>
      <c r="E2835" s="90" t="str">
        <f>IF('Product List'!B2835="","",'Product List'!B2835)</f>
        <v/>
      </c>
    </row>
    <row r="2836" spans="4:5">
      <c r="D2836" s="90" t="str">
        <f>IF('Product List'!C2836="","",'Product List'!C2836)</f>
        <v/>
      </c>
      <c r="E2836" s="90" t="str">
        <f>IF('Product List'!B2836="","",'Product List'!B2836)</f>
        <v/>
      </c>
    </row>
    <row r="2837" spans="4:5">
      <c r="D2837" s="90" t="str">
        <f>IF('Product List'!C2837="","",'Product List'!C2837)</f>
        <v/>
      </c>
      <c r="E2837" s="90" t="str">
        <f>IF('Product List'!B2837="","",'Product List'!B2837)</f>
        <v/>
      </c>
    </row>
    <row r="2838" spans="4:5">
      <c r="D2838" s="90" t="str">
        <f>IF('Product List'!C2838="","",'Product List'!C2838)</f>
        <v/>
      </c>
      <c r="E2838" s="90" t="str">
        <f>IF('Product List'!B2838="","",'Product List'!B2838)</f>
        <v/>
      </c>
    </row>
    <row r="2839" spans="4:5">
      <c r="D2839" s="90" t="str">
        <f>IF('Product List'!C2839="","",'Product List'!C2839)</f>
        <v/>
      </c>
      <c r="E2839" s="90" t="str">
        <f>IF('Product List'!B2839="","",'Product List'!B2839)</f>
        <v/>
      </c>
    </row>
    <row r="2840" spans="4:5">
      <c r="D2840" s="90" t="str">
        <f>IF('Product List'!C2840="","",'Product List'!C2840)</f>
        <v/>
      </c>
      <c r="E2840" s="90" t="str">
        <f>IF('Product List'!B2840="","",'Product List'!B2840)</f>
        <v/>
      </c>
    </row>
    <row r="2841" spans="4:5">
      <c r="D2841" s="90" t="str">
        <f>IF('Product List'!C2841="","",'Product List'!C2841)</f>
        <v/>
      </c>
      <c r="E2841" s="90" t="str">
        <f>IF('Product List'!B2841="","",'Product List'!B2841)</f>
        <v/>
      </c>
    </row>
    <row r="2842" spans="4:5">
      <c r="D2842" s="90" t="str">
        <f>IF('Product List'!C2842="","",'Product List'!C2842)</f>
        <v/>
      </c>
      <c r="E2842" s="90" t="str">
        <f>IF('Product List'!B2842="","",'Product List'!B2842)</f>
        <v/>
      </c>
    </row>
    <row r="2843" spans="4:5">
      <c r="D2843" s="90" t="str">
        <f>IF('Product List'!C2843="","",'Product List'!C2843)</f>
        <v/>
      </c>
      <c r="E2843" s="90" t="str">
        <f>IF('Product List'!B2843="","",'Product List'!B2843)</f>
        <v/>
      </c>
    </row>
    <row r="2844" spans="4:5">
      <c r="D2844" s="90" t="str">
        <f>IF('Product List'!C2844="","",'Product List'!C2844)</f>
        <v/>
      </c>
      <c r="E2844" s="90" t="str">
        <f>IF('Product List'!B2844="","",'Product List'!B2844)</f>
        <v/>
      </c>
    </row>
    <row r="2845" spans="4:5">
      <c r="D2845" s="90" t="str">
        <f>IF('Product List'!C2845="","",'Product List'!C2845)</f>
        <v/>
      </c>
      <c r="E2845" s="90" t="str">
        <f>IF('Product List'!B2845="","",'Product List'!B2845)</f>
        <v/>
      </c>
    </row>
    <row r="2846" spans="4:5">
      <c r="D2846" s="90" t="str">
        <f>IF('Product List'!C2846="","",'Product List'!C2846)</f>
        <v/>
      </c>
      <c r="E2846" s="90" t="str">
        <f>IF('Product List'!B2846="","",'Product List'!B2846)</f>
        <v/>
      </c>
    </row>
    <row r="2847" spans="4:5">
      <c r="D2847" s="90" t="str">
        <f>IF('Product List'!C2847="","",'Product List'!C2847)</f>
        <v/>
      </c>
      <c r="E2847" s="90" t="str">
        <f>IF('Product List'!B2847="","",'Product List'!B2847)</f>
        <v/>
      </c>
    </row>
    <row r="2848" spans="4:5">
      <c r="D2848" s="90" t="str">
        <f>IF('Product List'!C2848="","",'Product List'!C2848)</f>
        <v/>
      </c>
      <c r="E2848" s="90" t="str">
        <f>IF('Product List'!B2848="","",'Product List'!B2848)</f>
        <v/>
      </c>
    </row>
    <row r="2849" spans="4:5">
      <c r="D2849" s="90" t="str">
        <f>IF('Product List'!C2849="","",'Product List'!C2849)</f>
        <v/>
      </c>
      <c r="E2849" s="90" t="str">
        <f>IF('Product List'!B2849="","",'Product List'!B2849)</f>
        <v/>
      </c>
    </row>
    <row r="2850" spans="4:5">
      <c r="D2850" s="90" t="str">
        <f>IF('Product List'!C2850="","",'Product List'!C2850)</f>
        <v/>
      </c>
      <c r="E2850" s="90" t="str">
        <f>IF('Product List'!B2850="","",'Product List'!B2850)</f>
        <v/>
      </c>
    </row>
    <row r="2851" spans="4:5">
      <c r="D2851" s="90" t="str">
        <f>IF('Product List'!C2851="","",'Product List'!C2851)</f>
        <v/>
      </c>
      <c r="E2851" s="90" t="str">
        <f>IF('Product List'!B2851="","",'Product List'!B2851)</f>
        <v/>
      </c>
    </row>
    <row r="2852" spans="4:5">
      <c r="D2852" s="90" t="str">
        <f>IF('Product List'!C2852="","",'Product List'!C2852)</f>
        <v/>
      </c>
      <c r="E2852" s="90" t="str">
        <f>IF('Product List'!B2852="","",'Product List'!B2852)</f>
        <v/>
      </c>
    </row>
    <row r="2853" spans="4:5">
      <c r="D2853" s="90" t="str">
        <f>IF('Product List'!C2853="","",'Product List'!C2853)</f>
        <v/>
      </c>
      <c r="E2853" s="90" t="str">
        <f>IF('Product List'!B2853="","",'Product List'!B2853)</f>
        <v/>
      </c>
    </row>
    <row r="2854" spans="4:5">
      <c r="D2854" s="90" t="str">
        <f>IF('Product List'!C2854="","",'Product List'!C2854)</f>
        <v/>
      </c>
      <c r="E2854" s="90" t="str">
        <f>IF('Product List'!B2854="","",'Product List'!B2854)</f>
        <v/>
      </c>
    </row>
    <row r="2855" spans="4:5">
      <c r="D2855" s="90" t="str">
        <f>IF('Product List'!C2855="","",'Product List'!C2855)</f>
        <v/>
      </c>
      <c r="E2855" s="90" t="str">
        <f>IF('Product List'!B2855="","",'Product List'!B2855)</f>
        <v/>
      </c>
    </row>
    <row r="2856" spans="4:5">
      <c r="D2856" s="90" t="str">
        <f>IF('Product List'!C2856="","",'Product List'!C2856)</f>
        <v/>
      </c>
      <c r="E2856" s="90" t="str">
        <f>IF('Product List'!B2856="","",'Product List'!B2856)</f>
        <v/>
      </c>
    </row>
    <row r="2857" spans="4:5">
      <c r="D2857" s="90" t="str">
        <f>IF('Product List'!C2857="","",'Product List'!C2857)</f>
        <v/>
      </c>
      <c r="E2857" s="90" t="str">
        <f>IF('Product List'!B2857="","",'Product List'!B2857)</f>
        <v/>
      </c>
    </row>
    <row r="2858" spans="4:5">
      <c r="D2858" s="90" t="str">
        <f>IF('Product List'!C2858="","",'Product List'!C2858)</f>
        <v/>
      </c>
      <c r="E2858" s="90" t="str">
        <f>IF('Product List'!B2858="","",'Product List'!B2858)</f>
        <v/>
      </c>
    </row>
    <row r="2859" spans="4:5">
      <c r="D2859" s="90" t="str">
        <f>IF('Product List'!C2859="","",'Product List'!C2859)</f>
        <v/>
      </c>
      <c r="E2859" s="90" t="str">
        <f>IF('Product List'!B2859="","",'Product List'!B2859)</f>
        <v/>
      </c>
    </row>
    <row r="2860" spans="4:5">
      <c r="D2860" s="90" t="str">
        <f>IF('Product List'!C2860="","",'Product List'!C2860)</f>
        <v/>
      </c>
      <c r="E2860" s="90" t="str">
        <f>IF('Product List'!B2860="","",'Product List'!B2860)</f>
        <v/>
      </c>
    </row>
    <row r="2861" spans="4:5">
      <c r="D2861" s="90" t="str">
        <f>IF('Product List'!C2861="","",'Product List'!C2861)</f>
        <v/>
      </c>
      <c r="E2861" s="90" t="str">
        <f>IF('Product List'!B2861="","",'Product List'!B2861)</f>
        <v/>
      </c>
    </row>
    <row r="2862" spans="4:5">
      <c r="D2862" s="90" t="str">
        <f>IF('Product List'!C2862="","",'Product List'!C2862)</f>
        <v/>
      </c>
      <c r="E2862" s="90" t="str">
        <f>IF('Product List'!B2862="","",'Product List'!B2862)</f>
        <v/>
      </c>
    </row>
    <row r="2863" spans="4:5">
      <c r="D2863" s="90" t="str">
        <f>IF('Product List'!C2863="","",'Product List'!C2863)</f>
        <v/>
      </c>
      <c r="E2863" s="90" t="str">
        <f>IF('Product List'!B2863="","",'Product List'!B2863)</f>
        <v/>
      </c>
    </row>
    <row r="2864" spans="4:5">
      <c r="D2864" s="90" t="str">
        <f>IF('Product List'!C2864="","",'Product List'!C2864)</f>
        <v/>
      </c>
      <c r="E2864" s="90" t="str">
        <f>IF('Product List'!B2864="","",'Product List'!B2864)</f>
        <v/>
      </c>
    </row>
    <row r="2865" spans="4:5">
      <c r="D2865" s="90" t="str">
        <f>IF('Product List'!C2865="","",'Product List'!C2865)</f>
        <v/>
      </c>
      <c r="E2865" s="90" t="str">
        <f>IF('Product List'!B2865="","",'Product List'!B2865)</f>
        <v/>
      </c>
    </row>
    <row r="2866" spans="4:5">
      <c r="D2866" s="90" t="str">
        <f>IF('Product List'!C2866="","",'Product List'!C2866)</f>
        <v/>
      </c>
      <c r="E2866" s="90" t="str">
        <f>IF('Product List'!B2866="","",'Product List'!B2866)</f>
        <v/>
      </c>
    </row>
    <row r="2867" spans="4:5">
      <c r="D2867" s="90" t="str">
        <f>IF('Product List'!C2867="","",'Product List'!C2867)</f>
        <v/>
      </c>
      <c r="E2867" s="90" t="str">
        <f>IF('Product List'!B2867="","",'Product List'!B2867)</f>
        <v/>
      </c>
    </row>
    <row r="2868" spans="4:5">
      <c r="D2868" s="90" t="str">
        <f>IF('Product List'!C2868="","",'Product List'!C2868)</f>
        <v/>
      </c>
      <c r="E2868" s="90" t="str">
        <f>IF('Product List'!B2868="","",'Product List'!B2868)</f>
        <v/>
      </c>
    </row>
    <row r="2869" spans="4:5">
      <c r="D2869" s="90" t="str">
        <f>IF('Product List'!C2869="","",'Product List'!C2869)</f>
        <v/>
      </c>
      <c r="E2869" s="90" t="str">
        <f>IF('Product List'!B2869="","",'Product List'!B2869)</f>
        <v/>
      </c>
    </row>
    <row r="2870" spans="4:5">
      <c r="D2870" s="90" t="str">
        <f>IF('Product List'!C2870="","",'Product List'!C2870)</f>
        <v/>
      </c>
      <c r="E2870" s="90" t="str">
        <f>IF('Product List'!B2870="","",'Product List'!B2870)</f>
        <v/>
      </c>
    </row>
    <row r="2871" spans="4:5">
      <c r="D2871" s="90" t="str">
        <f>IF('Product List'!C2871="","",'Product List'!C2871)</f>
        <v/>
      </c>
      <c r="E2871" s="90" t="str">
        <f>IF('Product List'!B2871="","",'Product List'!B2871)</f>
        <v/>
      </c>
    </row>
    <row r="2872" spans="4:5">
      <c r="D2872" s="90" t="str">
        <f>IF('Product List'!C2872="","",'Product List'!C2872)</f>
        <v/>
      </c>
      <c r="E2872" s="90" t="str">
        <f>IF('Product List'!B2872="","",'Product List'!B2872)</f>
        <v/>
      </c>
    </row>
    <row r="2873" spans="4:5">
      <c r="D2873" s="90" t="str">
        <f>IF('Product List'!C2873="","",'Product List'!C2873)</f>
        <v/>
      </c>
      <c r="E2873" s="90" t="str">
        <f>IF('Product List'!B2873="","",'Product List'!B2873)</f>
        <v/>
      </c>
    </row>
    <row r="2874" spans="4:5">
      <c r="D2874" s="90" t="str">
        <f>IF('Product List'!C2874="","",'Product List'!C2874)</f>
        <v/>
      </c>
      <c r="E2874" s="90" t="str">
        <f>IF('Product List'!B2874="","",'Product List'!B2874)</f>
        <v/>
      </c>
    </row>
    <row r="2875" spans="4:5">
      <c r="D2875" s="90" t="str">
        <f>IF('Product List'!C2875="","",'Product List'!C2875)</f>
        <v/>
      </c>
      <c r="E2875" s="90" t="str">
        <f>IF('Product List'!B2875="","",'Product List'!B2875)</f>
        <v/>
      </c>
    </row>
    <row r="2876" spans="4:5">
      <c r="D2876" s="90" t="str">
        <f>IF('Product List'!C2876="","",'Product List'!C2876)</f>
        <v/>
      </c>
      <c r="E2876" s="90" t="str">
        <f>IF('Product List'!B2876="","",'Product List'!B2876)</f>
        <v/>
      </c>
    </row>
    <row r="2877" spans="4:5">
      <c r="D2877" s="90" t="str">
        <f>IF('Product List'!C2877="","",'Product List'!C2877)</f>
        <v/>
      </c>
      <c r="E2877" s="90" t="str">
        <f>IF('Product List'!B2877="","",'Product List'!B2877)</f>
        <v/>
      </c>
    </row>
    <row r="2878" spans="4:5">
      <c r="D2878" s="90" t="str">
        <f>IF('Product List'!C2878="","",'Product List'!C2878)</f>
        <v/>
      </c>
      <c r="E2878" s="90" t="str">
        <f>IF('Product List'!B2878="","",'Product List'!B2878)</f>
        <v/>
      </c>
    </row>
    <row r="2879" spans="4:5">
      <c r="D2879" s="90" t="str">
        <f>IF('Product List'!C2879="","",'Product List'!C2879)</f>
        <v/>
      </c>
      <c r="E2879" s="90" t="str">
        <f>IF('Product List'!B2879="","",'Product List'!B2879)</f>
        <v/>
      </c>
    </row>
    <row r="2880" spans="4:5">
      <c r="D2880" s="90" t="str">
        <f>IF('Product List'!C2880="","",'Product List'!C2880)</f>
        <v/>
      </c>
      <c r="E2880" s="90" t="str">
        <f>IF('Product List'!B2880="","",'Product List'!B2880)</f>
        <v/>
      </c>
    </row>
    <row r="2881" spans="4:5">
      <c r="D2881" s="90" t="str">
        <f>IF('Product List'!C2881="","",'Product List'!C2881)</f>
        <v/>
      </c>
      <c r="E2881" s="90" t="str">
        <f>IF('Product List'!B2881="","",'Product List'!B2881)</f>
        <v/>
      </c>
    </row>
    <row r="2882" spans="4:5">
      <c r="D2882" s="90" t="str">
        <f>IF('Product List'!C2882="","",'Product List'!C2882)</f>
        <v/>
      </c>
      <c r="E2882" s="90" t="str">
        <f>IF('Product List'!B2882="","",'Product List'!B2882)</f>
        <v/>
      </c>
    </row>
    <row r="2883" spans="4:5">
      <c r="D2883" s="90" t="str">
        <f>IF('Product List'!C2883="","",'Product List'!C2883)</f>
        <v/>
      </c>
      <c r="E2883" s="90" t="str">
        <f>IF('Product List'!B2883="","",'Product List'!B2883)</f>
        <v/>
      </c>
    </row>
    <row r="2884" spans="4:5">
      <c r="D2884" s="90" t="str">
        <f>IF('Product List'!C2884="","",'Product List'!C2884)</f>
        <v/>
      </c>
      <c r="E2884" s="90" t="str">
        <f>IF('Product List'!B2884="","",'Product List'!B2884)</f>
        <v/>
      </c>
    </row>
    <row r="2885" spans="4:5">
      <c r="D2885" s="90" t="str">
        <f>IF('Product List'!C2885="","",'Product List'!C2885)</f>
        <v/>
      </c>
      <c r="E2885" s="90" t="str">
        <f>IF('Product List'!B2885="","",'Product List'!B2885)</f>
        <v/>
      </c>
    </row>
    <row r="2886" spans="4:5">
      <c r="D2886" s="90" t="str">
        <f>IF('Product List'!C2886="","",'Product List'!C2886)</f>
        <v/>
      </c>
      <c r="E2886" s="90" t="str">
        <f>IF('Product List'!B2886="","",'Product List'!B2886)</f>
        <v/>
      </c>
    </row>
    <row r="2887" spans="4:5">
      <c r="D2887" s="90" t="str">
        <f>IF('Product List'!C2887="","",'Product List'!C2887)</f>
        <v/>
      </c>
      <c r="E2887" s="90" t="str">
        <f>IF('Product List'!B2887="","",'Product List'!B2887)</f>
        <v/>
      </c>
    </row>
    <row r="2888" spans="4:5">
      <c r="D2888" s="90" t="str">
        <f>IF('Product List'!C2888="","",'Product List'!C2888)</f>
        <v/>
      </c>
      <c r="E2888" s="90" t="str">
        <f>IF('Product List'!B2888="","",'Product List'!B2888)</f>
        <v/>
      </c>
    </row>
    <row r="2889" spans="4:5">
      <c r="D2889" s="90" t="str">
        <f>IF('Product List'!C2889="","",'Product List'!C2889)</f>
        <v/>
      </c>
      <c r="E2889" s="90" t="str">
        <f>IF('Product List'!B2889="","",'Product List'!B2889)</f>
        <v/>
      </c>
    </row>
    <row r="2890" spans="4:5">
      <c r="D2890" s="90" t="str">
        <f>IF('Product List'!C2890="","",'Product List'!C2890)</f>
        <v/>
      </c>
      <c r="E2890" s="90" t="str">
        <f>IF('Product List'!B2890="","",'Product List'!B2890)</f>
        <v/>
      </c>
    </row>
    <row r="2891" spans="4:5">
      <c r="D2891" s="90" t="str">
        <f>IF('Product List'!C2891="","",'Product List'!C2891)</f>
        <v/>
      </c>
      <c r="E2891" s="90" t="str">
        <f>IF('Product List'!B2891="","",'Product List'!B2891)</f>
        <v/>
      </c>
    </row>
    <row r="2892" spans="4:5">
      <c r="D2892" s="90" t="str">
        <f>IF('Product List'!C2892="","",'Product List'!C2892)</f>
        <v/>
      </c>
      <c r="E2892" s="90" t="str">
        <f>IF('Product List'!B2892="","",'Product List'!B2892)</f>
        <v/>
      </c>
    </row>
    <row r="2893" spans="4:5">
      <c r="D2893" s="90" t="str">
        <f>IF('Product List'!C2893="","",'Product List'!C2893)</f>
        <v/>
      </c>
      <c r="E2893" s="90" t="str">
        <f>IF('Product List'!B2893="","",'Product List'!B2893)</f>
        <v/>
      </c>
    </row>
    <row r="2894" spans="4:5">
      <c r="D2894" s="90" t="str">
        <f>IF('Product List'!C2894="","",'Product List'!C2894)</f>
        <v/>
      </c>
      <c r="E2894" s="90" t="str">
        <f>IF('Product List'!B2894="","",'Product List'!B2894)</f>
        <v/>
      </c>
    </row>
    <row r="2895" spans="4:5">
      <c r="D2895" s="90" t="str">
        <f>IF('Product List'!C2895="","",'Product List'!C2895)</f>
        <v/>
      </c>
      <c r="E2895" s="90" t="str">
        <f>IF('Product List'!B2895="","",'Product List'!B2895)</f>
        <v/>
      </c>
    </row>
    <row r="2896" spans="4:5">
      <c r="D2896" s="90" t="str">
        <f>IF('Product List'!C2896="","",'Product List'!C2896)</f>
        <v/>
      </c>
      <c r="E2896" s="90" t="str">
        <f>IF('Product List'!B2896="","",'Product List'!B2896)</f>
        <v/>
      </c>
    </row>
    <row r="2897" spans="4:5">
      <c r="D2897" s="90" t="str">
        <f>IF('Product List'!C2897="","",'Product List'!C2897)</f>
        <v/>
      </c>
      <c r="E2897" s="90" t="str">
        <f>IF('Product List'!B2897="","",'Product List'!B2897)</f>
        <v/>
      </c>
    </row>
    <row r="2898" spans="4:5">
      <c r="D2898" s="90" t="str">
        <f>IF('Product List'!C2898="","",'Product List'!C2898)</f>
        <v/>
      </c>
      <c r="E2898" s="90" t="str">
        <f>IF('Product List'!B2898="","",'Product List'!B2898)</f>
        <v/>
      </c>
    </row>
    <row r="2899" spans="4:5">
      <c r="D2899" s="90" t="str">
        <f>IF('Product List'!C2899="","",'Product List'!C2899)</f>
        <v/>
      </c>
      <c r="E2899" s="90" t="str">
        <f>IF('Product List'!B2899="","",'Product List'!B2899)</f>
        <v/>
      </c>
    </row>
    <row r="2900" spans="4:5">
      <c r="D2900" s="90" t="str">
        <f>IF('Product List'!C2900="","",'Product List'!C2900)</f>
        <v/>
      </c>
      <c r="E2900" s="90" t="str">
        <f>IF('Product List'!B2900="","",'Product List'!B2900)</f>
        <v/>
      </c>
    </row>
    <row r="2901" spans="4:5">
      <c r="D2901" s="90" t="str">
        <f>IF('Product List'!C2901="","",'Product List'!C2901)</f>
        <v/>
      </c>
      <c r="E2901" s="90" t="str">
        <f>IF('Product List'!B2901="","",'Product List'!B2901)</f>
        <v/>
      </c>
    </row>
    <row r="2902" spans="4:5">
      <c r="D2902" s="90" t="str">
        <f>IF('Product List'!C2902="","",'Product List'!C2902)</f>
        <v/>
      </c>
      <c r="E2902" s="90" t="str">
        <f>IF('Product List'!B2902="","",'Product List'!B2902)</f>
        <v/>
      </c>
    </row>
    <row r="2903" spans="4:5">
      <c r="D2903" s="90" t="str">
        <f>IF('Product List'!C2903="","",'Product List'!C2903)</f>
        <v/>
      </c>
      <c r="E2903" s="90" t="str">
        <f>IF('Product List'!B2903="","",'Product List'!B2903)</f>
        <v/>
      </c>
    </row>
    <row r="2904" spans="4:5">
      <c r="D2904" s="90" t="str">
        <f>IF('Product List'!C2904="","",'Product List'!C2904)</f>
        <v/>
      </c>
      <c r="E2904" s="90" t="str">
        <f>IF('Product List'!B2904="","",'Product List'!B2904)</f>
        <v/>
      </c>
    </row>
    <row r="2905" spans="4:5">
      <c r="D2905" s="90" t="str">
        <f>IF('Product List'!C2905="","",'Product List'!C2905)</f>
        <v/>
      </c>
      <c r="E2905" s="90" t="str">
        <f>IF('Product List'!B2905="","",'Product List'!B2905)</f>
        <v/>
      </c>
    </row>
    <row r="2906" spans="4:5">
      <c r="D2906" s="90" t="str">
        <f>IF('Product List'!C2906="","",'Product List'!C2906)</f>
        <v/>
      </c>
      <c r="E2906" s="90" t="str">
        <f>IF('Product List'!B2906="","",'Product List'!B2906)</f>
        <v/>
      </c>
    </row>
    <row r="2907" spans="4:5">
      <c r="D2907" s="90" t="str">
        <f>IF('Product List'!C2907="","",'Product List'!C2907)</f>
        <v/>
      </c>
      <c r="E2907" s="90" t="str">
        <f>IF('Product List'!B2907="","",'Product List'!B2907)</f>
        <v/>
      </c>
    </row>
    <row r="2908" spans="4:5">
      <c r="D2908" s="90" t="str">
        <f>IF('Product List'!C2908="","",'Product List'!C2908)</f>
        <v/>
      </c>
      <c r="E2908" s="90" t="str">
        <f>IF('Product List'!B2908="","",'Product List'!B2908)</f>
        <v/>
      </c>
    </row>
    <row r="2909" spans="4:5">
      <c r="D2909" s="90" t="str">
        <f>IF('Product List'!C2909="","",'Product List'!C2909)</f>
        <v/>
      </c>
      <c r="E2909" s="90" t="str">
        <f>IF('Product List'!B2909="","",'Product List'!B2909)</f>
        <v/>
      </c>
    </row>
    <row r="2910" spans="4:5">
      <c r="D2910" s="90" t="str">
        <f>IF('Product List'!C2910="","",'Product List'!C2910)</f>
        <v/>
      </c>
      <c r="E2910" s="90" t="str">
        <f>IF('Product List'!B2910="","",'Product List'!B2910)</f>
        <v/>
      </c>
    </row>
    <row r="2911" spans="4:5">
      <c r="D2911" s="90" t="str">
        <f>IF('Product List'!C2911="","",'Product List'!C2911)</f>
        <v/>
      </c>
      <c r="E2911" s="90" t="str">
        <f>IF('Product List'!B2911="","",'Product List'!B2911)</f>
        <v/>
      </c>
    </row>
    <row r="2912" spans="4:5">
      <c r="D2912" s="90" t="str">
        <f>IF('Product List'!C2912="","",'Product List'!C2912)</f>
        <v/>
      </c>
      <c r="E2912" s="90" t="str">
        <f>IF('Product List'!B2912="","",'Product List'!B2912)</f>
        <v/>
      </c>
    </row>
    <row r="2913" spans="4:5">
      <c r="D2913" s="90" t="str">
        <f>IF('Product List'!C2913="","",'Product List'!C2913)</f>
        <v/>
      </c>
      <c r="E2913" s="90" t="str">
        <f>IF('Product List'!B2913="","",'Product List'!B2913)</f>
        <v/>
      </c>
    </row>
    <row r="2914" spans="4:5">
      <c r="D2914" s="90" t="str">
        <f>IF('Product List'!C2914="","",'Product List'!C2914)</f>
        <v/>
      </c>
      <c r="E2914" s="90" t="str">
        <f>IF('Product List'!B2914="","",'Product List'!B2914)</f>
        <v/>
      </c>
    </row>
    <row r="2915" spans="4:5">
      <c r="D2915" s="90" t="str">
        <f>IF('Product List'!C2915="","",'Product List'!C2915)</f>
        <v/>
      </c>
      <c r="E2915" s="90" t="str">
        <f>IF('Product List'!B2915="","",'Product List'!B2915)</f>
        <v/>
      </c>
    </row>
    <row r="2916" spans="4:5">
      <c r="D2916" s="90" t="str">
        <f>IF('Product List'!C2916="","",'Product List'!C2916)</f>
        <v/>
      </c>
      <c r="E2916" s="90" t="str">
        <f>IF('Product List'!B2916="","",'Product List'!B2916)</f>
        <v/>
      </c>
    </row>
    <row r="2917" spans="4:5">
      <c r="D2917" s="90" t="str">
        <f>IF('Product List'!C2917="","",'Product List'!C2917)</f>
        <v/>
      </c>
      <c r="E2917" s="90" t="str">
        <f>IF('Product List'!B2917="","",'Product List'!B2917)</f>
        <v/>
      </c>
    </row>
    <row r="2918" spans="4:5">
      <c r="D2918" s="90" t="str">
        <f>IF('Product List'!C2918="","",'Product List'!C2918)</f>
        <v/>
      </c>
      <c r="E2918" s="90" t="str">
        <f>IF('Product List'!B2918="","",'Product List'!B2918)</f>
        <v/>
      </c>
    </row>
    <row r="2919" spans="4:5">
      <c r="D2919" s="90" t="str">
        <f>IF('Product List'!C2919="","",'Product List'!C2919)</f>
        <v/>
      </c>
      <c r="E2919" s="90" t="str">
        <f>IF('Product List'!B2919="","",'Product List'!B2919)</f>
        <v/>
      </c>
    </row>
    <row r="2920" spans="4:5">
      <c r="D2920" s="90" t="str">
        <f>IF('Product List'!C2920="","",'Product List'!C2920)</f>
        <v/>
      </c>
      <c r="E2920" s="90" t="str">
        <f>IF('Product List'!B2920="","",'Product List'!B2920)</f>
        <v/>
      </c>
    </row>
    <row r="2921" spans="4:5">
      <c r="D2921" s="90" t="str">
        <f>IF('Product List'!C2921="","",'Product List'!C2921)</f>
        <v/>
      </c>
      <c r="E2921" s="90" t="str">
        <f>IF('Product List'!B2921="","",'Product List'!B2921)</f>
        <v/>
      </c>
    </row>
    <row r="2922" spans="4:5">
      <c r="D2922" s="90" t="str">
        <f>IF('Product List'!C2922="","",'Product List'!C2922)</f>
        <v/>
      </c>
      <c r="E2922" s="90" t="str">
        <f>IF('Product List'!B2922="","",'Product List'!B2922)</f>
        <v/>
      </c>
    </row>
    <row r="2923" spans="4:5">
      <c r="D2923" s="90" t="str">
        <f>IF('Product List'!C2923="","",'Product List'!C2923)</f>
        <v/>
      </c>
      <c r="E2923" s="90" t="str">
        <f>IF('Product List'!B2923="","",'Product List'!B2923)</f>
        <v/>
      </c>
    </row>
    <row r="2924" spans="4:5">
      <c r="D2924" s="90" t="str">
        <f>IF('Product List'!C2924="","",'Product List'!C2924)</f>
        <v/>
      </c>
      <c r="E2924" s="90" t="str">
        <f>IF('Product List'!B2924="","",'Product List'!B2924)</f>
        <v/>
      </c>
    </row>
    <row r="2925" spans="4:5">
      <c r="D2925" s="90" t="str">
        <f>IF('Product List'!C2925="","",'Product List'!C2925)</f>
        <v/>
      </c>
      <c r="E2925" s="90" t="str">
        <f>IF('Product List'!B2925="","",'Product List'!B2925)</f>
        <v/>
      </c>
    </row>
    <row r="2926" spans="4:5">
      <c r="D2926" s="90" t="str">
        <f>IF('Product List'!C2926="","",'Product List'!C2926)</f>
        <v/>
      </c>
      <c r="E2926" s="90" t="str">
        <f>IF('Product List'!B2926="","",'Product List'!B2926)</f>
        <v/>
      </c>
    </row>
    <row r="2927" spans="4:5">
      <c r="D2927" s="90" t="str">
        <f>IF('Product List'!C2927="","",'Product List'!C2927)</f>
        <v/>
      </c>
      <c r="E2927" s="90" t="str">
        <f>IF('Product List'!B2927="","",'Product List'!B2927)</f>
        <v/>
      </c>
    </row>
    <row r="2928" spans="4:5">
      <c r="D2928" s="90" t="str">
        <f>IF('Product List'!C2928="","",'Product List'!C2928)</f>
        <v/>
      </c>
      <c r="E2928" s="90" t="str">
        <f>IF('Product List'!B2928="","",'Product List'!B2928)</f>
        <v/>
      </c>
    </row>
    <row r="2929" spans="4:5">
      <c r="D2929" s="90" t="str">
        <f>IF('Product List'!C2929="","",'Product List'!C2929)</f>
        <v/>
      </c>
      <c r="E2929" s="90" t="str">
        <f>IF('Product List'!B2929="","",'Product List'!B2929)</f>
        <v/>
      </c>
    </row>
    <row r="2930" spans="4:5">
      <c r="D2930" s="90" t="str">
        <f>IF('Product List'!C2930="","",'Product List'!C2930)</f>
        <v/>
      </c>
      <c r="E2930" s="90" t="str">
        <f>IF('Product List'!B2930="","",'Product List'!B2930)</f>
        <v/>
      </c>
    </row>
    <row r="2931" spans="4:5">
      <c r="D2931" s="90" t="str">
        <f>IF('Product List'!C2931="","",'Product List'!C2931)</f>
        <v/>
      </c>
      <c r="E2931" s="90" t="str">
        <f>IF('Product List'!B2931="","",'Product List'!B2931)</f>
        <v/>
      </c>
    </row>
    <row r="2932" spans="4:5">
      <c r="D2932" s="90" t="str">
        <f>IF('Product List'!C2932="","",'Product List'!C2932)</f>
        <v/>
      </c>
      <c r="E2932" s="90" t="str">
        <f>IF('Product List'!B2932="","",'Product List'!B2932)</f>
        <v/>
      </c>
    </row>
    <row r="2933" spans="4:5">
      <c r="D2933" s="90" t="str">
        <f>IF('Product List'!C2933="","",'Product List'!C2933)</f>
        <v/>
      </c>
      <c r="E2933" s="90" t="str">
        <f>IF('Product List'!B2933="","",'Product List'!B2933)</f>
        <v/>
      </c>
    </row>
    <row r="2934" spans="4:5">
      <c r="D2934" s="90" t="str">
        <f>IF('Product List'!C2934="","",'Product List'!C2934)</f>
        <v/>
      </c>
      <c r="E2934" s="90" t="str">
        <f>IF('Product List'!B2934="","",'Product List'!B2934)</f>
        <v/>
      </c>
    </row>
    <row r="2935" spans="4:5">
      <c r="D2935" s="90" t="str">
        <f>IF('Product List'!C2935="","",'Product List'!C2935)</f>
        <v/>
      </c>
      <c r="E2935" s="90" t="str">
        <f>IF('Product List'!B2935="","",'Product List'!B2935)</f>
        <v/>
      </c>
    </row>
    <row r="2936" spans="4:5">
      <c r="D2936" s="90" t="str">
        <f>IF('Product List'!C2936="","",'Product List'!C2936)</f>
        <v/>
      </c>
      <c r="E2936" s="90" t="str">
        <f>IF('Product List'!B2936="","",'Product List'!B2936)</f>
        <v/>
      </c>
    </row>
    <row r="2937" spans="4:5">
      <c r="D2937" s="90" t="str">
        <f>IF('Product List'!C2937="","",'Product List'!C2937)</f>
        <v/>
      </c>
      <c r="E2937" s="90" t="str">
        <f>IF('Product List'!B2937="","",'Product List'!B2937)</f>
        <v/>
      </c>
    </row>
    <row r="2938" spans="4:5">
      <c r="D2938" s="90" t="str">
        <f>IF('Product List'!C2938="","",'Product List'!C2938)</f>
        <v/>
      </c>
      <c r="E2938" s="90" t="str">
        <f>IF('Product List'!B2938="","",'Product List'!B2938)</f>
        <v/>
      </c>
    </row>
    <row r="2939" spans="4:5">
      <c r="D2939" s="90" t="str">
        <f>IF('Product List'!C2939="","",'Product List'!C2939)</f>
        <v/>
      </c>
      <c r="E2939" s="90" t="str">
        <f>IF('Product List'!B2939="","",'Product List'!B2939)</f>
        <v/>
      </c>
    </row>
    <row r="2940" spans="4:5">
      <c r="D2940" s="90" t="str">
        <f>IF('Product List'!C2940="","",'Product List'!C2940)</f>
        <v/>
      </c>
      <c r="E2940" s="90" t="str">
        <f>IF('Product List'!B2940="","",'Product List'!B2940)</f>
        <v/>
      </c>
    </row>
    <row r="2941" spans="4:5">
      <c r="D2941" s="90" t="str">
        <f>IF('Product List'!C2941="","",'Product List'!C2941)</f>
        <v/>
      </c>
      <c r="E2941" s="90" t="str">
        <f>IF('Product List'!B2941="","",'Product List'!B2941)</f>
        <v/>
      </c>
    </row>
    <row r="2942" spans="4:5">
      <c r="D2942" s="90" t="str">
        <f>IF('Product List'!C2942="","",'Product List'!C2942)</f>
        <v/>
      </c>
      <c r="E2942" s="90" t="str">
        <f>IF('Product List'!B2942="","",'Product List'!B2942)</f>
        <v/>
      </c>
    </row>
    <row r="2943" spans="4:5">
      <c r="D2943" s="90" t="str">
        <f>IF('Product List'!C2943="","",'Product List'!C2943)</f>
        <v/>
      </c>
      <c r="E2943" s="90" t="str">
        <f>IF('Product List'!B2943="","",'Product List'!B2943)</f>
        <v/>
      </c>
    </row>
    <row r="2944" spans="4:5">
      <c r="D2944" s="90" t="str">
        <f>IF('Product List'!C2944="","",'Product List'!C2944)</f>
        <v/>
      </c>
      <c r="E2944" s="90" t="str">
        <f>IF('Product List'!B2944="","",'Product List'!B2944)</f>
        <v/>
      </c>
    </row>
  </sheetData>
  <sheetProtection algorithmName="SHA-512" hashValue="q/T47zJiZYTsrESZaIkfMKqPsisEI/hQZ6XMRN0QfvZDRW1Fs+rzmaLYFDglJMdc204LpHKTJSVlgXhulKEEog==" saltValue="o74g4lR9Mtyu9QTSMltLLw==" spinCount="100000" sheet="1" objects="1" scenarios="1" selectLockedCells="1"/>
  <mergeCells count="8">
    <mergeCell ref="M1:P1"/>
    <mergeCell ref="M21:P21"/>
    <mergeCell ref="M24:P24"/>
    <mergeCell ref="M26:P26"/>
    <mergeCell ref="Q9:R9"/>
    <mergeCell ref="Q10:R10"/>
    <mergeCell ref="Q14:R14"/>
    <mergeCell ref="Q15:R15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48C59-22BE-B04B-94C1-8DE0492DFD28}">
  <sheetPr codeName="Sheet8"/>
  <dimension ref="A1:G1047"/>
  <sheetViews>
    <sheetView workbookViewId="0">
      <selection activeCell="G2" sqref="G2"/>
    </sheetView>
  </sheetViews>
  <sheetFormatPr baseColWidth="10" defaultRowHeight="16"/>
  <cols>
    <col min="1" max="1" width="9.5" bestFit="1" customWidth="1"/>
    <col min="2" max="2" width="26.1640625" bestFit="1" customWidth="1"/>
    <col min="3" max="3" width="14.1640625" bestFit="1" customWidth="1"/>
    <col min="4" max="4" width="9.1640625" bestFit="1" customWidth="1"/>
    <col min="5" max="5" width="18.33203125" bestFit="1" customWidth="1"/>
    <col min="6" max="6" width="20.6640625" bestFit="1" customWidth="1"/>
  </cols>
  <sheetData>
    <row r="1" spans="1:7">
      <c r="A1" t="str">
        <f>IF('Product List'!B1="","",'Product List'!B1)</f>
        <v>Product ID</v>
      </c>
      <c r="B1" t="str">
        <f>IF('Product List'!C1="","",'Product List'!C1)</f>
        <v>Product Name</v>
      </c>
      <c r="C1" t="s">
        <v>49</v>
      </c>
      <c r="D1" t="s">
        <v>50</v>
      </c>
      <c r="E1" t="s">
        <v>76</v>
      </c>
      <c r="F1" t="s">
        <v>77</v>
      </c>
      <c r="G1" t="s">
        <v>64</v>
      </c>
    </row>
    <row r="2" spans="1:7">
      <c r="A2" t="str">
        <f>IF('Product List'!B2="","",'Product List'!B2)</f>
        <v>TB-001</v>
      </c>
      <c r="B2" t="str">
        <f>IF('Product List'!C2="","",'Product List'!C2)</f>
        <v xml:space="preserve">JW PIE Mini Hana - Light Brown </v>
      </c>
      <c r="C2">
        <f>IF(SUMIFS('Purchase Record'!G:G,'Purchase Record'!F:F,Sheet4!A2)=0,"",SUMIFS('Purchase Record'!G:G,'Purchase Record'!F:F,Sheet4!A2))</f>
        <v>1</v>
      </c>
      <c r="D2" t="str">
        <f>IF(SUMIFS('Sales Record'!H:H,'Sales Record'!F:F,Sheet4!A2)=0,"",SUMIFS('Sales Record'!H:H,'Sales Record'!F:F,Sheet4!A2))</f>
        <v/>
      </c>
      <c r="E2" t="str">
        <f>IF(SUMIFS('Sales Return'!G:G,'Sales Return'!F:F,Sheet4!A2)=0,"",SUMIFS('Sales Return'!G:G,'Sales Return'!F:F,Sheet4!A2))</f>
        <v/>
      </c>
      <c r="F2" t="str">
        <f>IF(SUMIFS('Purchase Return'!G:G,'Purchase Return'!F:F,Sheet4!A2)=0,"",SUMIFS('Purchase Return'!G:G,'Purchase Return'!F:F,Sheet4!A2))</f>
        <v/>
      </c>
      <c r="G2">
        <f>IF(C2="","",N(C2)-N(D2)+N(E2)-N(F2))</f>
        <v>1</v>
      </c>
    </row>
    <row r="3" spans="1:7">
      <c r="A3" t="str">
        <f>IF('Product List'!B3="","",'Product List'!B3)</f>
        <v>TB-002</v>
      </c>
      <c r="B3" t="str">
        <f>IF('Product List'!C3="","",'Product List'!C3)</f>
        <v>JW PIE Mini Hana - Black</v>
      </c>
      <c r="C3">
        <f>IF(SUMIFS('Purchase Record'!G:G,'Purchase Record'!F:F,Sheet4!A3)=0,"",SUMIFS('Purchase Record'!G:G,'Purchase Record'!F:F,Sheet4!A3))</f>
        <v>2</v>
      </c>
      <c r="D3">
        <f>IF(SUMIFS('Sales Record'!H:H,'Sales Record'!F:F,Sheet4!A3)=0,"",SUMIFS('Sales Record'!H:H,'Sales Record'!F:F,Sheet4!A3))</f>
        <v>2</v>
      </c>
      <c r="E3" t="str">
        <f>IF(SUMIFS('Sales Return'!G:G,'Sales Return'!F:F,Sheet4!A3)=0,"",SUMIFS('Sales Return'!G:G,'Sales Return'!F:F,Sheet4!A3))</f>
        <v/>
      </c>
      <c r="F3" t="str">
        <f>IF(SUMIFS('Purchase Return'!G:G,'Purchase Return'!F:F,Sheet4!A3)=0,"",SUMIFS('Purchase Return'!G:G,'Purchase Return'!F:F,Sheet4!A3))</f>
        <v/>
      </c>
      <c r="G3">
        <f t="shared" ref="G3:G66" si="0">IF(C3="","",N(C3)-N(D3)+N(E3)-N(F3))</f>
        <v>0</v>
      </c>
    </row>
    <row r="4" spans="1:7">
      <c r="A4" t="str">
        <f>IF('Product List'!B4="","",'Product List'!B4)</f>
        <v>TB-003</v>
      </c>
      <c r="B4" t="str">
        <f>IF('Product List'!C4="","",'Product List'!C4)</f>
        <v>JW PIE Elora Woven - Black</v>
      </c>
      <c r="C4">
        <f>IF(SUMIFS('Purchase Record'!G:G,'Purchase Record'!F:F,Sheet4!A4)=0,"",SUMIFS('Purchase Record'!G:G,'Purchase Record'!F:F,Sheet4!A4))</f>
        <v>2</v>
      </c>
      <c r="D4">
        <f>IF(SUMIFS('Sales Record'!H:H,'Sales Record'!F:F,Sheet4!A4)=0,"",SUMIFS('Sales Record'!H:H,'Sales Record'!F:F,Sheet4!A4))</f>
        <v>1</v>
      </c>
      <c r="E4" t="str">
        <f>IF(SUMIFS('Sales Return'!G:G,'Sales Return'!F:F,Sheet4!A4)=0,"",SUMIFS('Sales Return'!G:G,'Sales Return'!F:F,Sheet4!A4))</f>
        <v/>
      </c>
      <c r="F4" t="str">
        <f>IF(SUMIFS('Purchase Return'!G:G,'Purchase Return'!F:F,Sheet4!A4)=0,"",SUMIFS('Purchase Return'!G:G,'Purchase Return'!F:F,Sheet4!A4))</f>
        <v/>
      </c>
      <c r="G4">
        <f t="shared" si="0"/>
        <v>1</v>
      </c>
    </row>
    <row r="5" spans="1:7">
      <c r="A5" t="str">
        <f>IF('Product List'!B5="","",'Product List'!B5)</f>
        <v>TB-004</v>
      </c>
      <c r="B5" t="str">
        <f>IF('Product List'!C5="","",'Product List'!C5)</f>
        <v>JW PIE Elora Woven - Brown</v>
      </c>
      <c r="C5">
        <f>IF(SUMIFS('Purchase Record'!G:G,'Purchase Record'!F:F,Sheet4!A5)=0,"",SUMIFS('Purchase Record'!G:G,'Purchase Record'!F:F,Sheet4!A5))</f>
        <v>2</v>
      </c>
      <c r="D5">
        <f>IF(SUMIFS('Sales Record'!H:H,'Sales Record'!F:F,Sheet4!A5)=0,"",SUMIFS('Sales Record'!H:H,'Sales Record'!F:F,Sheet4!A5))</f>
        <v>1</v>
      </c>
      <c r="E5" t="str">
        <f>IF(SUMIFS('Sales Return'!G:G,'Sales Return'!F:F,Sheet4!A5)=0,"",SUMIFS('Sales Return'!G:G,'Sales Return'!F:F,Sheet4!A5))</f>
        <v/>
      </c>
      <c r="F5" t="str">
        <f>IF(SUMIFS('Purchase Return'!G:G,'Purchase Return'!F:F,Sheet4!A5)=0,"",SUMIFS('Purchase Return'!G:G,'Purchase Return'!F:F,Sheet4!A5))</f>
        <v/>
      </c>
      <c r="G5">
        <f t="shared" si="0"/>
        <v>1</v>
      </c>
    </row>
    <row r="6" spans="1:7">
      <c r="A6" t="str">
        <f>IF('Product List'!B6="","",'Product List'!B6)</f>
        <v/>
      </c>
      <c r="B6" t="str">
        <f>IF('Product List'!C6="","",'Product List'!C6)</f>
        <v/>
      </c>
      <c r="C6" t="str">
        <f>IF(SUMIFS('Purchase Record'!G:G,'Purchase Record'!F:F,Sheet4!A6)=0,"",SUMIFS('Purchase Record'!G:G,'Purchase Record'!F:F,Sheet4!A6))</f>
        <v/>
      </c>
      <c r="D6" t="str">
        <f>IF(SUMIFS('Sales Record'!H:H,'Sales Record'!F:F,Sheet4!A6)=0,"",SUMIFS('Sales Record'!H:H,'Sales Record'!F:F,Sheet4!A6))</f>
        <v/>
      </c>
      <c r="E6" t="str">
        <f>IF(SUMIFS('Sales Return'!G:G,'Sales Return'!F:F,Sheet4!A6)=0,"",SUMIFS('Sales Return'!G:G,'Sales Return'!F:F,Sheet4!A6))</f>
        <v/>
      </c>
      <c r="F6" t="str">
        <f>IF(SUMIFS('Purchase Return'!G:G,'Purchase Return'!F:F,Sheet4!A6)=0,"",SUMIFS('Purchase Return'!G:G,'Purchase Return'!F:F,Sheet4!A6))</f>
        <v/>
      </c>
      <c r="G6" t="str">
        <f t="shared" si="0"/>
        <v/>
      </c>
    </row>
    <row r="7" spans="1:7">
      <c r="A7" t="str">
        <f>IF('Product List'!B7="","",'Product List'!B7)</f>
        <v/>
      </c>
      <c r="B7" t="str">
        <f>IF('Product List'!C7="","",'Product List'!C7)</f>
        <v/>
      </c>
      <c r="C7" t="str">
        <f>IF(SUMIFS('Purchase Record'!G:G,'Purchase Record'!F:F,Sheet4!A7)=0,"",SUMIFS('Purchase Record'!G:G,'Purchase Record'!F:F,Sheet4!A7))</f>
        <v/>
      </c>
      <c r="D7" t="str">
        <f>IF(SUMIFS('Sales Record'!H:H,'Sales Record'!F:F,Sheet4!A7)=0,"",SUMIFS('Sales Record'!H:H,'Sales Record'!F:F,Sheet4!A7))</f>
        <v/>
      </c>
      <c r="E7" t="str">
        <f>IF(SUMIFS('Sales Return'!G:G,'Sales Return'!F:F,Sheet4!A7)=0,"",SUMIFS('Sales Return'!G:G,'Sales Return'!F:F,Sheet4!A7))</f>
        <v/>
      </c>
      <c r="F7" t="str">
        <f>IF(SUMIFS('Purchase Return'!G:G,'Purchase Return'!F:F,Sheet4!A7)=0,"",SUMIFS('Purchase Return'!G:G,'Purchase Return'!F:F,Sheet4!A7))</f>
        <v/>
      </c>
      <c r="G7" t="str">
        <f t="shared" si="0"/>
        <v/>
      </c>
    </row>
    <row r="8" spans="1:7">
      <c r="A8" t="str">
        <f>IF('Product List'!B8="","",'Product List'!B8)</f>
        <v/>
      </c>
      <c r="B8" t="str">
        <f>IF('Product List'!C8="","",'Product List'!C8)</f>
        <v/>
      </c>
      <c r="C8" t="str">
        <f>IF(SUMIFS('Purchase Record'!G:G,'Purchase Record'!F:F,Sheet4!A8)=0,"",SUMIFS('Purchase Record'!G:G,'Purchase Record'!F:F,Sheet4!A8))</f>
        <v/>
      </c>
      <c r="D8" t="str">
        <f>IF(SUMIFS('Sales Record'!H:H,'Sales Record'!F:F,Sheet4!A8)=0,"",SUMIFS('Sales Record'!H:H,'Sales Record'!F:F,Sheet4!A8))</f>
        <v/>
      </c>
      <c r="E8" t="str">
        <f>IF(SUMIFS('Sales Return'!G:G,'Sales Return'!F:F,Sheet4!A8)=0,"",SUMIFS('Sales Return'!G:G,'Sales Return'!F:F,Sheet4!A8))</f>
        <v/>
      </c>
      <c r="F8" t="str">
        <f>IF(SUMIFS('Purchase Return'!G:G,'Purchase Return'!F:F,Sheet4!A8)=0,"",SUMIFS('Purchase Return'!G:G,'Purchase Return'!F:F,Sheet4!A8))</f>
        <v/>
      </c>
      <c r="G8" t="str">
        <f t="shared" si="0"/>
        <v/>
      </c>
    </row>
    <row r="9" spans="1:7">
      <c r="A9" t="str">
        <f>IF('Product List'!B9="","",'Product List'!B9)</f>
        <v/>
      </c>
      <c r="B9" t="str">
        <f>IF('Product List'!C9="","",'Product List'!C9)</f>
        <v/>
      </c>
      <c r="C9" t="str">
        <f>IF(SUMIFS('Purchase Record'!G:G,'Purchase Record'!F:F,Sheet4!A9)=0,"",SUMIFS('Purchase Record'!G:G,'Purchase Record'!F:F,Sheet4!A9))</f>
        <v/>
      </c>
      <c r="D9" t="str">
        <f>IF(SUMIFS('Sales Record'!H:H,'Sales Record'!F:F,Sheet4!A9)=0,"",SUMIFS('Sales Record'!H:H,'Sales Record'!F:F,Sheet4!A9))</f>
        <v/>
      </c>
      <c r="E9" t="str">
        <f>IF(SUMIFS('Sales Return'!G:G,'Sales Return'!F:F,Sheet4!A9)=0,"",SUMIFS('Sales Return'!G:G,'Sales Return'!F:F,Sheet4!A9))</f>
        <v/>
      </c>
      <c r="F9" t="str">
        <f>IF(SUMIFS('Purchase Return'!G:G,'Purchase Return'!F:F,Sheet4!A9)=0,"",SUMIFS('Purchase Return'!G:G,'Purchase Return'!F:F,Sheet4!A9))</f>
        <v/>
      </c>
      <c r="G9" t="str">
        <f t="shared" si="0"/>
        <v/>
      </c>
    </row>
    <row r="10" spans="1:7">
      <c r="A10" t="str">
        <f>IF('Product List'!B10="","",'Product List'!B10)</f>
        <v/>
      </c>
      <c r="B10" t="str">
        <f>IF('Product List'!C10="","",'Product List'!C10)</f>
        <v/>
      </c>
      <c r="C10" t="str">
        <f>IF(SUMIFS('Purchase Record'!G:G,'Purchase Record'!F:F,Sheet4!A10)=0,"",SUMIFS('Purchase Record'!G:G,'Purchase Record'!F:F,Sheet4!A10))</f>
        <v/>
      </c>
      <c r="D10" t="str">
        <f>IF(SUMIFS('Sales Record'!H:H,'Sales Record'!F:F,Sheet4!A10)=0,"",SUMIFS('Sales Record'!H:H,'Sales Record'!F:F,Sheet4!A10))</f>
        <v/>
      </c>
      <c r="E10" t="str">
        <f>IF(SUMIFS('Sales Return'!G:G,'Sales Return'!F:F,Sheet4!A10)=0,"",SUMIFS('Sales Return'!G:G,'Sales Return'!F:F,Sheet4!A10))</f>
        <v/>
      </c>
      <c r="F10" t="str">
        <f>IF(SUMIFS('Purchase Return'!G:G,'Purchase Return'!F:F,Sheet4!A10)=0,"",SUMIFS('Purchase Return'!G:G,'Purchase Return'!F:F,Sheet4!A10))</f>
        <v/>
      </c>
      <c r="G10" t="str">
        <f t="shared" si="0"/>
        <v/>
      </c>
    </row>
    <row r="11" spans="1:7">
      <c r="A11" t="str">
        <f>IF('Product List'!B11="","",'Product List'!B11)</f>
        <v/>
      </c>
      <c r="B11" t="str">
        <f>IF('Product List'!C11="","",'Product List'!C11)</f>
        <v/>
      </c>
      <c r="C11" t="str">
        <f>IF(SUMIFS('Purchase Record'!G:G,'Purchase Record'!F:F,Sheet4!A11)=0,"",SUMIFS('Purchase Record'!G:G,'Purchase Record'!F:F,Sheet4!A11))</f>
        <v/>
      </c>
      <c r="D11" t="str">
        <f>IF(SUMIFS('Sales Record'!H:H,'Sales Record'!F:F,Sheet4!A11)=0,"",SUMIFS('Sales Record'!H:H,'Sales Record'!F:F,Sheet4!A11))</f>
        <v/>
      </c>
      <c r="E11" t="str">
        <f>IF(SUMIFS('Sales Return'!G:G,'Sales Return'!F:F,Sheet4!A11)=0,"",SUMIFS('Sales Return'!G:G,'Sales Return'!F:F,Sheet4!A11))</f>
        <v/>
      </c>
      <c r="F11" t="str">
        <f>IF(SUMIFS('Purchase Return'!G:G,'Purchase Return'!F:F,Sheet4!A11)=0,"",SUMIFS('Purchase Return'!G:G,'Purchase Return'!F:F,Sheet4!A11))</f>
        <v/>
      </c>
      <c r="G11" t="str">
        <f t="shared" si="0"/>
        <v/>
      </c>
    </row>
    <row r="12" spans="1:7">
      <c r="A12" t="str">
        <f>IF('Product List'!B12="","",'Product List'!B12)</f>
        <v/>
      </c>
      <c r="B12" t="str">
        <f>IF('Product List'!C12="","",'Product List'!C12)</f>
        <v/>
      </c>
      <c r="C12" t="str">
        <f>IF(SUMIFS('Purchase Record'!G:G,'Purchase Record'!F:F,Sheet4!A12)=0,"",SUMIFS('Purchase Record'!G:G,'Purchase Record'!F:F,Sheet4!A12))</f>
        <v/>
      </c>
      <c r="D12" t="str">
        <f>IF(SUMIFS('Sales Record'!H:H,'Sales Record'!F:F,Sheet4!A12)=0,"",SUMIFS('Sales Record'!H:H,'Sales Record'!F:F,Sheet4!A12))</f>
        <v/>
      </c>
      <c r="E12" t="str">
        <f>IF(SUMIFS('Sales Return'!G:G,'Sales Return'!F:F,Sheet4!A12)=0,"",SUMIFS('Sales Return'!G:G,'Sales Return'!F:F,Sheet4!A12))</f>
        <v/>
      </c>
      <c r="F12" t="str">
        <f>IF(SUMIFS('Purchase Return'!G:G,'Purchase Return'!F:F,Sheet4!A12)=0,"",SUMIFS('Purchase Return'!G:G,'Purchase Return'!F:F,Sheet4!A12))</f>
        <v/>
      </c>
      <c r="G12" t="str">
        <f t="shared" si="0"/>
        <v/>
      </c>
    </row>
    <row r="13" spans="1:7">
      <c r="A13" t="str">
        <f>IF('Product List'!B13="","",'Product List'!B13)</f>
        <v/>
      </c>
      <c r="B13" t="str">
        <f>IF('Product List'!C13="","",'Product List'!C13)</f>
        <v/>
      </c>
      <c r="C13" t="str">
        <f>IF(SUMIFS('Purchase Record'!G:G,'Purchase Record'!F:F,Sheet4!A13)=0,"",SUMIFS('Purchase Record'!G:G,'Purchase Record'!F:F,Sheet4!A13))</f>
        <v/>
      </c>
      <c r="D13" t="str">
        <f>IF(SUMIFS('Sales Record'!H:H,'Sales Record'!F:F,Sheet4!A13)=0,"",SUMIFS('Sales Record'!H:H,'Sales Record'!F:F,Sheet4!A13))</f>
        <v/>
      </c>
      <c r="E13" t="str">
        <f>IF(SUMIFS('Sales Return'!G:G,'Sales Return'!F:F,Sheet4!A13)=0,"",SUMIFS('Sales Return'!G:G,'Sales Return'!F:F,Sheet4!A13))</f>
        <v/>
      </c>
      <c r="F13" t="str">
        <f>IF(SUMIFS('Purchase Return'!G:G,'Purchase Return'!F:F,Sheet4!A13)=0,"",SUMIFS('Purchase Return'!G:G,'Purchase Return'!F:F,Sheet4!A13))</f>
        <v/>
      </c>
      <c r="G13" t="str">
        <f t="shared" si="0"/>
        <v/>
      </c>
    </row>
    <row r="14" spans="1:7">
      <c r="A14" t="str">
        <f>IF('Product List'!B14="","",'Product List'!B14)</f>
        <v/>
      </c>
      <c r="B14" t="str">
        <f>IF('Product List'!C14="","",'Product List'!C14)</f>
        <v/>
      </c>
      <c r="C14" t="str">
        <f>IF(SUMIFS('Purchase Record'!G:G,'Purchase Record'!F:F,Sheet4!A14)=0,"",SUMIFS('Purchase Record'!G:G,'Purchase Record'!F:F,Sheet4!A14))</f>
        <v/>
      </c>
      <c r="D14" t="str">
        <f>IF(SUMIFS('Sales Record'!H:H,'Sales Record'!F:F,Sheet4!A14)=0,"",SUMIFS('Sales Record'!H:H,'Sales Record'!F:F,Sheet4!A14))</f>
        <v/>
      </c>
      <c r="E14" t="str">
        <f>IF(SUMIFS('Sales Return'!G:G,'Sales Return'!F:F,Sheet4!A14)=0,"",SUMIFS('Sales Return'!G:G,'Sales Return'!F:F,Sheet4!A14))</f>
        <v/>
      </c>
      <c r="F14" t="str">
        <f>IF(SUMIFS('Purchase Return'!G:G,'Purchase Return'!F:F,Sheet4!A14)=0,"",SUMIFS('Purchase Return'!G:G,'Purchase Return'!F:F,Sheet4!A14))</f>
        <v/>
      </c>
      <c r="G14" t="str">
        <f t="shared" si="0"/>
        <v/>
      </c>
    </row>
    <row r="15" spans="1:7">
      <c r="A15" t="str">
        <f>IF('Product List'!B15="","",'Product List'!B15)</f>
        <v/>
      </c>
      <c r="B15" t="str">
        <f>IF('Product List'!C15="","",'Product List'!C15)</f>
        <v/>
      </c>
      <c r="C15" t="str">
        <f>IF(SUMIFS('Purchase Record'!G:G,'Purchase Record'!F:F,Sheet4!A15)=0,"",SUMIFS('Purchase Record'!G:G,'Purchase Record'!F:F,Sheet4!A15))</f>
        <v/>
      </c>
      <c r="D15" t="str">
        <f>IF(SUMIFS('Sales Record'!H:H,'Sales Record'!F:F,Sheet4!A15)=0,"",SUMIFS('Sales Record'!H:H,'Sales Record'!F:F,Sheet4!A15))</f>
        <v/>
      </c>
      <c r="E15" t="str">
        <f>IF(SUMIFS('Sales Return'!G:G,'Sales Return'!F:F,Sheet4!A15)=0,"",SUMIFS('Sales Return'!G:G,'Sales Return'!F:F,Sheet4!A15))</f>
        <v/>
      </c>
      <c r="F15" t="str">
        <f>IF(SUMIFS('Purchase Return'!G:G,'Purchase Return'!F:F,Sheet4!A15)=0,"",SUMIFS('Purchase Return'!G:G,'Purchase Return'!F:F,Sheet4!A15))</f>
        <v/>
      </c>
      <c r="G15" t="str">
        <f t="shared" si="0"/>
        <v/>
      </c>
    </row>
    <row r="16" spans="1:7">
      <c r="A16" t="str">
        <f>IF('Product List'!B16="","",'Product List'!B16)</f>
        <v/>
      </c>
      <c r="B16" t="str">
        <f>IF('Product List'!C16="","",'Product List'!C16)</f>
        <v/>
      </c>
      <c r="C16" t="str">
        <f>IF(SUMIFS('Purchase Record'!G:G,'Purchase Record'!F:F,Sheet4!A16)=0,"",SUMIFS('Purchase Record'!G:G,'Purchase Record'!F:F,Sheet4!A16))</f>
        <v/>
      </c>
      <c r="D16" t="str">
        <f>IF(SUMIFS('Sales Record'!H:H,'Sales Record'!F:F,Sheet4!A16)=0,"",SUMIFS('Sales Record'!H:H,'Sales Record'!F:F,Sheet4!A16))</f>
        <v/>
      </c>
      <c r="E16" t="str">
        <f>IF(SUMIFS('Sales Return'!G:G,'Sales Return'!F:F,Sheet4!A16)=0,"",SUMIFS('Sales Return'!G:G,'Sales Return'!F:F,Sheet4!A16))</f>
        <v/>
      </c>
      <c r="F16" t="str">
        <f>IF(SUMIFS('Purchase Return'!G:G,'Purchase Return'!F:F,Sheet4!A16)=0,"",SUMIFS('Purchase Return'!G:G,'Purchase Return'!F:F,Sheet4!A16))</f>
        <v/>
      </c>
      <c r="G16" t="str">
        <f t="shared" si="0"/>
        <v/>
      </c>
    </row>
    <row r="17" spans="1:7">
      <c r="A17" t="str">
        <f>IF('Product List'!B17="","",'Product List'!B17)</f>
        <v/>
      </c>
      <c r="B17" t="str">
        <f>IF('Product List'!C17="","",'Product List'!C17)</f>
        <v/>
      </c>
      <c r="C17" t="str">
        <f>IF(SUMIFS('Purchase Record'!G:G,'Purchase Record'!F:F,Sheet4!A17)=0,"",SUMIFS('Purchase Record'!G:G,'Purchase Record'!F:F,Sheet4!A17))</f>
        <v/>
      </c>
      <c r="D17" t="str">
        <f>IF(SUMIFS('Sales Record'!H:H,'Sales Record'!F:F,Sheet4!A17)=0,"",SUMIFS('Sales Record'!H:H,'Sales Record'!F:F,Sheet4!A17))</f>
        <v/>
      </c>
      <c r="E17" t="str">
        <f>IF(SUMIFS('Sales Return'!G:G,'Sales Return'!F:F,Sheet4!A17)=0,"",SUMIFS('Sales Return'!G:G,'Sales Return'!F:F,Sheet4!A17))</f>
        <v/>
      </c>
      <c r="F17" t="str">
        <f>IF(SUMIFS('Purchase Return'!G:G,'Purchase Return'!F:F,Sheet4!A17)=0,"",SUMIFS('Purchase Return'!G:G,'Purchase Return'!F:F,Sheet4!A17))</f>
        <v/>
      </c>
      <c r="G17" t="str">
        <f t="shared" si="0"/>
        <v/>
      </c>
    </row>
    <row r="18" spans="1:7">
      <c r="A18" t="str">
        <f>IF('Product List'!B18="","",'Product List'!B18)</f>
        <v/>
      </c>
      <c r="B18" t="str">
        <f>IF('Product List'!C18="","",'Product List'!C18)</f>
        <v/>
      </c>
      <c r="C18" t="str">
        <f>IF(SUMIFS('Purchase Record'!G:G,'Purchase Record'!F:F,Sheet4!A18)=0,"",SUMIFS('Purchase Record'!G:G,'Purchase Record'!F:F,Sheet4!A18))</f>
        <v/>
      </c>
      <c r="D18" t="str">
        <f>IF(SUMIFS('Sales Record'!H:H,'Sales Record'!F:F,Sheet4!A18)=0,"",SUMIFS('Sales Record'!H:H,'Sales Record'!F:F,Sheet4!A18))</f>
        <v/>
      </c>
      <c r="E18" t="str">
        <f>IF(SUMIFS('Sales Return'!G:G,'Sales Return'!F:F,Sheet4!A18)=0,"",SUMIFS('Sales Return'!G:G,'Sales Return'!F:F,Sheet4!A18))</f>
        <v/>
      </c>
      <c r="F18" t="str">
        <f>IF(SUMIFS('Purchase Return'!G:G,'Purchase Return'!F:F,Sheet4!A18)=0,"",SUMIFS('Purchase Return'!G:G,'Purchase Return'!F:F,Sheet4!A18))</f>
        <v/>
      </c>
      <c r="G18" t="str">
        <f t="shared" si="0"/>
        <v/>
      </c>
    </row>
    <row r="19" spans="1:7">
      <c r="A19" t="str">
        <f>IF('Product List'!B19="","",'Product List'!B19)</f>
        <v/>
      </c>
      <c r="B19" t="str">
        <f>IF('Product List'!C19="","",'Product List'!C19)</f>
        <v/>
      </c>
      <c r="C19" t="str">
        <f>IF(SUMIFS('Purchase Record'!G:G,'Purchase Record'!F:F,Sheet4!A19)=0,"",SUMIFS('Purchase Record'!G:G,'Purchase Record'!F:F,Sheet4!A19))</f>
        <v/>
      </c>
      <c r="D19" t="str">
        <f>IF(SUMIFS('Sales Record'!H:H,'Sales Record'!F:F,Sheet4!A19)=0,"",SUMIFS('Sales Record'!H:H,'Sales Record'!F:F,Sheet4!A19))</f>
        <v/>
      </c>
      <c r="E19" t="str">
        <f>IF(SUMIFS('Sales Return'!G:G,'Sales Return'!F:F,Sheet4!A19)=0,"",SUMIFS('Sales Return'!G:G,'Sales Return'!F:F,Sheet4!A19))</f>
        <v/>
      </c>
      <c r="F19" t="str">
        <f>IF(SUMIFS('Purchase Return'!G:G,'Purchase Return'!F:F,Sheet4!A19)=0,"",SUMIFS('Purchase Return'!G:G,'Purchase Return'!F:F,Sheet4!A19))</f>
        <v/>
      </c>
      <c r="G19" t="str">
        <f t="shared" si="0"/>
        <v/>
      </c>
    </row>
    <row r="20" spans="1:7">
      <c r="A20" t="str">
        <f>IF('Product List'!B20="","",'Product List'!B20)</f>
        <v/>
      </c>
      <c r="B20" t="str">
        <f>IF('Product List'!C20="","",'Product List'!C20)</f>
        <v/>
      </c>
      <c r="C20" t="str">
        <f>IF(SUMIFS('Purchase Record'!G:G,'Purchase Record'!F:F,Sheet4!A20)=0,"",SUMIFS('Purchase Record'!G:G,'Purchase Record'!F:F,Sheet4!A20))</f>
        <v/>
      </c>
      <c r="D20" t="str">
        <f>IF(SUMIFS('Sales Record'!H:H,'Sales Record'!F:F,Sheet4!A20)=0,"",SUMIFS('Sales Record'!H:H,'Sales Record'!F:F,Sheet4!A20))</f>
        <v/>
      </c>
      <c r="E20" t="str">
        <f>IF(SUMIFS('Sales Return'!G:G,'Sales Return'!F:F,Sheet4!A20)=0,"",SUMIFS('Sales Return'!G:G,'Sales Return'!F:F,Sheet4!A20))</f>
        <v/>
      </c>
      <c r="F20" t="str">
        <f>IF(SUMIFS('Purchase Return'!G:G,'Purchase Return'!F:F,Sheet4!A20)=0,"",SUMIFS('Purchase Return'!G:G,'Purchase Return'!F:F,Sheet4!A20))</f>
        <v/>
      </c>
      <c r="G20" t="str">
        <f t="shared" si="0"/>
        <v/>
      </c>
    </row>
    <row r="21" spans="1:7">
      <c r="A21" t="str">
        <f>IF('Product List'!B21="","",'Product List'!B21)</f>
        <v/>
      </c>
      <c r="B21" t="str">
        <f>IF('Product List'!C21="","",'Product List'!C21)</f>
        <v/>
      </c>
      <c r="C21" t="str">
        <f>IF(SUMIFS('Purchase Record'!G:G,'Purchase Record'!F:F,Sheet4!A21)=0,"",SUMIFS('Purchase Record'!G:G,'Purchase Record'!F:F,Sheet4!A21))</f>
        <v/>
      </c>
      <c r="D21" t="str">
        <f>IF(SUMIFS('Sales Record'!H:H,'Sales Record'!F:F,Sheet4!A21)=0,"",SUMIFS('Sales Record'!H:H,'Sales Record'!F:F,Sheet4!A21))</f>
        <v/>
      </c>
      <c r="E21" t="str">
        <f>IF(SUMIFS('Sales Return'!G:G,'Sales Return'!F:F,Sheet4!A21)=0,"",SUMIFS('Sales Return'!G:G,'Sales Return'!F:F,Sheet4!A21))</f>
        <v/>
      </c>
      <c r="F21" t="str">
        <f>IF(SUMIFS('Purchase Return'!G:G,'Purchase Return'!F:F,Sheet4!A21)=0,"",SUMIFS('Purchase Return'!G:G,'Purchase Return'!F:F,Sheet4!A21))</f>
        <v/>
      </c>
      <c r="G21" t="str">
        <f t="shared" si="0"/>
        <v/>
      </c>
    </row>
    <row r="22" spans="1:7">
      <c r="A22" t="str">
        <f>IF('Product List'!B22="","",'Product List'!B22)</f>
        <v/>
      </c>
      <c r="B22" t="str">
        <f>IF('Product List'!C22="","",'Product List'!C22)</f>
        <v/>
      </c>
      <c r="C22" t="str">
        <f>IF(SUMIFS('Purchase Record'!G:G,'Purchase Record'!F:F,Sheet4!A22)=0,"",SUMIFS('Purchase Record'!G:G,'Purchase Record'!F:F,Sheet4!A22))</f>
        <v/>
      </c>
      <c r="D22" t="str">
        <f>IF(SUMIFS('Sales Record'!H:H,'Sales Record'!F:F,Sheet4!A22)=0,"",SUMIFS('Sales Record'!H:H,'Sales Record'!F:F,Sheet4!A22))</f>
        <v/>
      </c>
      <c r="E22" t="str">
        <f>IF(SUMIFS('Sales Return'!G:G,'Sales Return'!F:F,Sheet4!A22)=0,"",SUMIFS('Sales Return'!G:G,'Sales Return'!F:F,Sheet4!A22))</f>
        <v/>
      </c>
      <c r="F22" t="str">
        <f>IF(SUMIFS('Purchase Return'!G:G,'Purchase Return'!F:F,Sheet4!A22)=0,"",SUMIFS('Purchase Return'!G:G,'Purchase Return'!F:F,Sheet4!A22))</f>
        <v/>
      </c>
      <c r="G22" t="str">
        <f t="shared" si="0"/>
        <v/>
      </c>
    </row>
    <row r="23" spans="1:7">
      <c r="A23" t="str">
        <f>IF('Product List'!B23="","",'Product List'!B23)</f>
        <v/>
      </c>
      <c r="B23" t="str">
        <f>IF('Product List'!C23="","",'Product List'!C23)</f>
        <v/>
      </c>
      <c r="C23" t="str">
        <f>IF(SUMIFS('Purchase Record'!G:G,'Purchase Record'!F:F,Sheet4!A23)=0,"",SUMIFS('Purchase Record'!G:G,'Purchase Record'!F:F,Sheet4!A23))</f>
        <v/>
      </c>
      <c r="D23" t="str">
        <f>IF(SUMIFS('Sales Record'!H:H,'Sales Record'!F:F,Sheet4!A23)=0,"",SUMIFS('Sales Record'!H:H,'Sales Record'!F:F,Sheet4!A23))</f>
        <v/>
      </c>
      <c r="E23" t="str">
        <f>IF(SUMIFS('Sales Return'!G:G,'Sales Return'!F:F,Sheet4!A23)=0,"",SUMIFS('Sales Return'!G:G,'Sales Return'!F:F,Sheet4!A23))</f>
        <v/>
      </c>
      <c r="F23" t="str">
        <f>IF(SUMIFS('Purchase Return'!G:G,'Purchase Return'!F:F,Sheet4!A23)=0,"",SUMIFS('Purchase Return'!G:G,'Purchase Return'!F:F,Sheet4!A23))</f>
        <v/>
      </c>
      <c r="G23" t="str">
        <f t="shared" si="0"/>
        <v/>
      </c>
    </row>
    <row r="24" spans="1:7">
      <c r="A24" t="str">
        <f>IF('Product List'!B24="","",'Product List'!B24)</f>
        <v/>
      </c>
      <c r="B24" t="str">
        <f>IF('Product List'!C24="","",'Product List'!C24)</f>
        <v/>
      </c>
      <c r="C24" t="str">
        <f>IF(SUMIFS('Purchase Record'!G:G,'Purchase Record'!F:F,Sheet4!A24)=0,"",SUMIFS('Purchase Record'!G:G,'Purchase Record'!F:F,Sheet4!A24))</f>
        <v/>
      </c>
      <c r="D24" t="str">
        <f>IF(SUMIFS('Sales Record'!H:H,'Sales Record'!F:F,Sheet4!A24)=0,"",SUMIFS('Sales Record'!H:H,'Sales Record'!F:F,Sheet4!A24))</f>
        <v/>
      </c>
      <c r="E24" t="str">
        <f>IF(SUMIFS('Sales Return'!G:G,'Sales Return'!F:F,Sheet4!A24)=0,"",SUMIFS('Sales Return'!G:G,'Sales Return'!F:F,Sheet4!A24))</f>
        <v/>
      </c>
      <c r="F24" t="str">
        <f>IF(SUMIFS('Purchase Return'!G:G,'Purchase Return'!F:F,Sheet4!A24)=0,"",SUMIFS('Purchase Return'!G:G,'Purchase Return'!F:F,Sheet4!A24))</f>
        <v/>
      </c>
      <c r="G24" t="str">
        <f t="shared" si="0"/>
        <v/>
      </c>
    </row>
    <row r="25" spans="1:7">
      <c r="A25" t="str">
        <f>IF('Product List'!B25="","",'Product List'!B25)</f>
        <v/>
      </c>
      <c r="B25" t="str">
        <f>IF('Product List'!C25="","",'Product List'!C25)</f>
        <v/>
      </c>
      <c r="C25" t="str">
        <f>IF(SUMIFS('Purchase Record'!G:G,'Purchase Record'!F:F,Sheet4!A25)=0,"",SUMIFS('Purchase Record'!G:G,'Purchase Record'!F:F,Sheet4!A25))</f>
        <v/>
      </c>
      <c r="D25" t="str">
        <f>IF(SUMIFS('Sales Record'!H:H,'Sales Record'!F:F,Sheet4!A25)=0,"",SUMIFS('Sales Record'!H:H,'Sales Record'!F:F,Sheet4!A25))</f>
        <v/>
      </c>
      <c r="E25" t="str">
        <f>IF(SUMIFS('Sales Return'!G:G,'Sales Return'!F:F,Sheet4!A25)=0,"",SUMIFS('Sales Return'!G:G,'Sales Return'!F:F,Sheet4!A25))</f>
        <v/>
      </c>
      <c r="F25" t="str">
        <f>IF(SUMIFS('Purchase Return'!G:G,'Purchase Return'!F:F,Sheet4!A25)=0,"",SUMIFS('Purchase Return'!G:G,'Purchase Return'!F:F,Sheet4!A25))</f>
        <v/>
      </c>
      <c r="G25" t="str">
        <f t="shared" si="0"/>
        <v/>
      </c>
    </row>
    <row r="26" spans="1:7">
      <c r="A26" t="str">
        <f>IF('Product List'!B26="","",'Product List'!B26)</f>
        <v/>
      </c>
      <c r="B26" t="str">
        <f>IF('Product List'!C26="","",'Product List'!C26)</f>
        <v/>
      </c>
      <c r="C26" t="str">
        <f>IF(SUMIFS('Purchase Record'!G:G,'Purchase Record'!F:F,Sheet4!A26)=0,"",SUMIFS('Purchase Record'!G:G,'Purchase Record'!F:F,Sheet4!A26))</f>
        <v/>
      </c>
      <c r="D26" t="str">
        <f>IF(SUMIFS('Sales Record'!H:H,'Sales Record'!F:F,Sheet4!A26)=0,"",SUMIFS('Sales Record'!H:H,'Sales Record'!F:F,Sheet4!A26))</f>
        <v/>
      </c>
      <c r="E26" t="str">
        <f>IF(SUMIFS('Sales Return'!G:G,'Sales Return'!F:F,Sheet4!A26)=0,"",SUMIFS('Sales Return'!G:G,'Sales Return'!F:F,Sheet4!A26))</f>
        <v/>
      </c>
      <c r="F26" t="str">
        <f>IF(SUMIFS('Purchase Return'!G:G,'Purchase Return'!F:F,Sheet4!A26)=0,"",SUMIFS('Purchase Return'!G:G,'Purchase Return'!F:F,Sheet4!A26))</f>
        <v/>
      </c>
      <c r="G26" t="str">
        <f t="shared" si="0"/>
        <v/>
      </c>
    </row>
    <row r="27" spans="1:7">
      <c r="A27" t="str">
        <f>IF('Product List'!B27="","",'Product List'!B27)</f>
        <v/>
      </c>
      <c r="B27" t="str">
        <f>IF('Product List'!C27="","",'Product List'!C27)</f>
        <v/>
      </c>
      <c r="C27" t="str">
        <f>IF(SUMIFS('Purchase Record'!G:G,'Purchase Record'!F:F,Sheet4!A27)=0,"",SUMIFS('Purchase Record'!G:G,'Purchase Record'!F:F,Sheet4!A27))</f>
        <v/>
      </c>
      <c r="D27" t="str">
        <f>IF(SUMIFS('Sales Record'!H:H,'Sales Record'!F:F,Sheet4!A27)=0,"",SUMIFS('Sales Record'!H:H,'Sales Record'!F:F,Sheet4!A27))</f>
        <v/>
      </c>
      <c r="E27" t="str">
        <f>IF(SUMIFS('Sales Return'!G:G,'Sales Return'!F:F,Sheet4!A27)=0,"",SUMIFS('Sales Return'!G:G,'Sales Return'!F:F,Sheet4!A27))</f>
        <v/>
      </c>
      <c r="F27" t="str">
        <f>IF(SUMIFS('Purchase Return'!G:G,'Purchase Return'!F:F,Sheet4!A27)=0,"",SUMIFS('Purchase Return'!G:G,'Purchase Return'!F:F,Sheet4!A27))</f>
        <v/>
      </c>
      <c r="G27" t="str">
        <f t="shared" si="0"/>
        <v/>
      </c>
    </row>
    <row r="28" spans="1:7">
      <c r="A28" t="str">
        <f>IF('Product List'!B28="","",'Product List'!B28)</f>
        <v/>
      </c>
      <c r="B28" t="str">
        <f>IF('Product List'!C28="","",'Product List'!C28)</f>
        <v/>
      </c>
      <c r="C28" t="str">
        <f>IF(SUMIFS('Purchase Record'!G:G,'Purchase Record'!F:F,Sheet4!A28)=0,"",SUMIFS('Purchase Record'!G:G,'Purchase Record'!F:F,Sheet4!A28))</f>
        <v/>
      </c>
      <c r="D28" t="str">
        <f>IF(SUMIFS('Sales Record'!H:H,'Sales Record'!F:F,Sheet4!A28)=0,"",SUMIFS('Sales Record'!H:H,'Sales Record'!F:F,Sheet4!A28))</f>
        <v/>
      </c>
      <c r="E28" t="str">
        <f>IF(SUMIFS('Sales Return'!G:G,'Sales Return'!F:F,Sheet4!A28)=0,"",SUMIFS('Sales Return'!G:G,'Sales Return'!F:F,Sheet4!A28))</f>
        <v/>
      </c>
      <c r="F28" t="str">
        <f>IF(SUMIFS('Purchase Return'!G:G,'Purchase Return'!F:F,Sheet4!A28)=0,"",SUMIFS('Purchase Return'!G:G,'Purchase Return'!F:F,Sheet4!A28))</f>
        <v/>
      </c>
      <c r="G28" t="str">
        <f t="shared" si="0"/>
        <v/>
      </c>
    </row>
    <row r="29" spans="1:7">
      <c r="A29" t="str">
        <f>IF('Product List'!B29="","",'Product List'!B29)</f>
        <v/>
      </c>
      <c r="B29" t="str">
        <f>IF('Product List'!C29="","",'Product List'!C29)</f>
        <v/>
      </c>
      <c r="C29" t="str">
        <f>IF(SUMIFS('Purchase Record'!G:G,'Purchase Record'!F:F,Sheet4!A29)=0,"",SUMIFS('Purchase Record'!G:G,'Purchase Record'!F:F,Sheet4!A29))</f>
        <v/>
      </c>
      <c r="D29" t="str">
        <f>IF(SUMIFS('Sales Record'!H:H,'Sales Record'!F:F,Sheet4!A29)=0,"",SUMIFS('Sales Record'!H:H,'Sales Record'!F:F,Sheet4!A29))</f>
        <v/>
      </c>
      <c r="E29" t="str">
        <f>IF(SUMIFS('Sales Return'!G:G,'Sales Return'!F:F,Sheet4!A29)=0,"",SUMIFS('Sales Return'!G:G,'Sales Return'!F:F,Sheet4!A29))</f>
        <v/>
      </c>
      <c r="F29" t="str">
        <f>IF(SUMIFS('Purchase Return'!G:G,'Purchase Return'!F:F,Sheet4!A29)=0,"",SUMIFS('Purchase Return'!G:G,'Purchase Return'!F:F,Sheet4!A29))</f>
        <v/>
      </c>
      <c r="G29" t="str">
        <f t="shared" si="0"/>
        <v/>
      </c>
    </row>
    <row r="30" spans="1:7">
      <c r="A30" t="str">
        <f>IF('Product List'!B30="","",'Product List'!B30)</f>
        <v/>
      </c>
      <c r="B30" t="str">
        <f>IF('Product List'!C30="","",'Product List'!C30)</f>
        <v/>
      </c>
      <c r="C30" t="str">
        <f>IF(SUMIFS('Purchase Record'!G:G,'Purchase Record'!F:F,Sheet4!A30)=0,"",SUMIFS('Purchase Record'!G:G,'Purchase Record'!F:F,Sheet4!A30))</f>
        <v/>
      </c>
      <c r="D30" t="str">
        <f>IF(SUMIFS('Sales Record'!H:H,'Sales Record'!F:F,Sheet4!A30)=0,"",SUMIFS('Sales Record'!H:H,'Sales Record'!F:F,Sheet4!A30))</f>
        <v/>
      </c>
      <c r="E30" t="str">
        <f>IF(SUMIFS('Sales Return'!G:G,'Sales Return'!F:F,Sheet4!A30)=0,"",SUMIFS('Sales Return'!G:G,'Sales Return'!F:F,Sheet4!A30))</f>
        <v/>
      </c>
      <c r="F30" t="str">
        <f>IF(SUMIFS('Purchase Return'!G:G,'Purchase Return'!F:F,Sheet4!A30)=0,"",SUMIFS('Purchase Return'!G:G,'Purchase Return'!F:F,Sheet4!A30))</f>
        <v/>
      </c>
      <c r="G30" t="str">
        <f t="shared" si="0"/>
        <v/>
      </c>
    </row>
    <row r="31" spans="1:7">
      <c r="A31" t="str">
        <f>IF('Product List'!B31="","",'Product List'!B31)</f>
        <v/>
      </c>
      <c r="B31" t="str">
        <f>IF('Product List'!C31="","",'Product List'!C31)</f>
        <v/>
      </c>
      <c r="C31" t="str">
        <f>IF(SUMIFS('Purchase Record'!G:G,'Purchase Record'!F:F,Sheet4!A31)=0,"",SUMIFS('Purchase Record'!G:G,'Purchase Record'!F:F,Sheet4!A31))</f>
        <v/>
      </c>
      <c r="D31" t="str">
        <f>IF(SUMIFS('Sales Record'!H:H,'Sales Record'!F:F,Sheet4!A31)=0,"",SUMIFS('Sales Record'!H:H,'Sales Record'!F:F,Sheet4!A31))</f>
        <v/>
      </c>
      <c r="E31" t="str">
        <f>IF(SUMIFS('Sales Return'!G:G,'Sales Return'!F:F,Sheet4!A31)=0,"",SUMIFS('Sales Return'!G:G,'Sales Return'!F:F,Sheet4!A31))</f>
        <v/>
      </c>
      <c r="F31" t="str">
        <f>IF(SUMIFS('Purchase Return'!G:G,'Purchase Return'!F:F,Sheet4!A31)=0,"",SUMIFS('Purchase Return'!G:G,'Purchase Return'!F:F,Sheet4!A31))</f>
        <v/>
      </c>
      <c r="G31" t="str">
        <f t="shared" si="0"/>
        <v/>
      </c>
    </row>
    <row r="32" spans="1:7">
      <c r="A32" t="str">
        <f>IF('Product List'!B32="","",'Product List'!B32)</f>
        <v/>
      </c>
      <c r="B32" t="str">
        <f>IF('Product List'!C32="","",'Product List'!C32)</f>
        <v/>
      </c>
      <c r="C32" t="str">
        <f>IF(SUMIFS('Purchase Record'!G:G,'Purchase Record'!F:F,Sheet4!A32)=0,"",SUMIFS('Purchase Record'!G:G,'Purchase Record'!F:F,Sheet4!A32))</f>
        <v/>
      </c>
      <c r="D32" t="str">
        <f>IF(SUMIFS('Sales Record'!H:H,'Sales Record'!F:F,Sheet4!A32)=0,"",SUMIFS('Sales Record'!H:H,'Sales Record'!F:F,Sheet4!A32))</f>
        <v/>
      </c>
      <c r="E32" t="str">
        <f>IF(SUMIFS('Sales Return'!G:G,'Sales Return'!F:F,Sheet4!A32)=0,"",SUMIFS('Sales Return'!G:G,'Sales Return'!F:F,Sheet4!A32))</f>
        <v/>
      </c>
      <c r="F32" t="str">
        <f>IF(SUMIFS('Purchase Return'!G:G,'Purchase Return'!F:F,Sheet4!A32)=0,"",SUMIFS('Purchase Return'!G:G,'Purchase Return'!F:F,Sheet4!A32))</f>
        <v/>
      </c>
      <c r="G32" t="str">
        <f t="shared" si="0"/>
        <v/>
      </c>
    </row>
    <row r="33" spans="1:7">
      <c r="A33" t="str">
        <f>IF('Product List'!B33="","",'Product List'!B33)</f>
        <v/>
      </c>
      <c r="B33" t="str">
        <f>IF('Product List'!C33="","",'Product List'!C33)</f>
        <v/>
      </c>
      <c r="C33" t="str">
        <f>IF(SUMIFS('Purchase Record'!G:G,'Purchase Record'!F:F,Sheet4!A33)=0,"",SUMIFS('Purchase Record'!G:G,'Purchase Record'!F:F,Sheet4!A33))</f>
        <v/>
      </c>
      <c r="D33" t="str">
        <f>IF(SUMIFS('Sales Record'!H:H,'Sales Record'!F:F,Sheet4!A33)=0,"",SUMIFS('Sales Record'!H:H,'Sales Record'!F:F,Sheet4!A33))</f>
        <v/>
      </c>
      <c r="E33" t="str">
        <f>IF(SUMIFS('Sales Return'!G:G,'Sales Return'!F:F,Sheet4!A33)=0,"",SUMIFS('Sales Return'!G:G,'Sales Return'!F:F,Sheet4!A33))</f>
        <v/>
      </c>
      <c r="F33" t="str">
        <f>IF(SUMIFS('Purchase Return'!G:G,'Purchase Return'!F:F,Sheet4!A33)=0,"",SUMIFS('Purchase Return'!G:G,'Purchase Return'!F:F,Sheet4!A33))</f>
        <v/>
      </c>
      <c r="G33" t="str">
        <f t="shared" si="0"/>
        <v/>
      </c>
    </row>
    <row r="34" spans="1:7">
      <c r="A34" t="str">
        <f>IF('Product List'!B34="","",'Product List'!B34)</f>
        <v/>
      </c>
      <c r="B34" t="str">
        <f>IF('Product List'!C34="","",'Product List'!C34)</f>
        <v/>
      </c>
      <c r="C34" t="str">
        <f>IF(SUMIFS('Purchase Record'!G:G,'Purchase Record'!F:F,Sheet4!A34)=0,"",SUMIFS('Purchase Record'!G:G,'Purchase Record'!F:F,Sheet4!A34))</f>
        <v/>
      </c>
      <c r="D34" t="str">
        <f>IF(SUMIFS('Sales Record'!H:H,'Sales Record'!F:F,Sheet4!A34)=0,"",SUMIFS('Sales Record'!H:H,'Sales Record'!F:F,Sheet4!A34))</f>
        <v/>
      </c>
      <c r="E34" t="str">
        <f>IF(SUMIFS('Sales Return'!G:G,'Sales Return'!F:F,Sheet4!A34)=0,"",SUMIFS('Sales Return'!G:G,'Sales Return'!F:F,Sheet4!A34))</f>
        <v/>
      </c>
      <c r="F34" t="str">
        <f>IF(SUMIFS('Purchase Return'!G:G,'Purchase Return'!F:F,Sheet4!A34)=0,"",SUMIFS('Purchase Return'!G:G,'Purchase Return'!F:F,Sheet4!A34))</f>
        <v/>
      </c>
      <c r="G34" t="str">
        <f t="shared" si="0"/>
        <v/>
      </c>
    </row>
    <row r="35" spans="1:7">
      <c r="A35" t="str">
        <f>IF('Product List'!B35="","",'Product List'!B35)</f>
        <v/>
      </c>
      <c r="B35" t="str">
        <f>IF('Product List'!C35="","",'Product List'!C35)</f>
        <v/>
      </c>
      <c r="C35" t="str">
        <f>IF(SUMIFS('Purchase Record'!G:G,'Purchase Record'!F:F,Sheet4!A35)=0,"",SUMIFS('Purchase Record'!G:G,'Purchase Record'!F:F,Sheet4!A35))</f>
        <v/>
      </c>
      <c r="D35" t="str">
        <f>IF(SUMIFS('Sales Record'!H:H,'Sales Record'!F:F,Sheet4!A35)=0,"",SUMIFS('Sales Record'!H:H,'Sales Record'!F:F,Sheet4!A35))</f>
        <v/>
      </c>
      <c r="E35" t="str">
        <f>IF(SUMIFS('Sales Return'!G:G,'Sales Return'!F:F,Sheet4!A35)=0,"",SUMIFS('Sales Return'!G:G,'Sales Return'!F:F,Sheet4!A35))</f>
        <v/>
      </c>
      <c r="F35" t="str">
        <f>IF(SUMIFS('Purchase Return'!G:G,'Purchase Return'!F:F,Sheet4!A35)=0,"",SUMIFS('Purchase Return'!G:G,'Purchase Return'!F:F,Sheet4!A35))</f>
        <v/>
      </c>
      <c r="G35" t="str">
        <f t="shared" si="0"/>
        <v/>
      </c>
    </row>
    <row r="36" spans="1:7">
      <c r="A36" t="str">
        <f>IF('Product List'!B36="","",'Product List'!B36)</f>
        <v/>
      </c>
      <c r="B36" t="str">
        <f>IF('Product List'!C36="","",'Product List'!C36)</f>
        <v/>
      </c>
      <c r="C36" t="str">
        <f>IF(SUMIFS('Purchase Record'!G:G,'Purchase Record'!F:F,Sheet4!A36)=0,"",SUMIFS('Purchase Record'!G:G,'Purchase Record'!F:F,Sheet4!A36))</f>
        <v/>
      </c>
      <c r="D36" t="str">
        <f>IF(SUMIFS('Sales Record'!H:H,'Sales Record'!F:F,Sheet4!A36)=0,"",SUMIFS('Sales Record'!H:H,'Sales Record'!F:F,Sheet4!A36))</f>
        <v/>
      </c>
      <c r="E36" t="str">
        <f>IF(SUMIFS('Sales Return'!G:G,'Sales Return'!F:F,Sheet4!A36)=0,"",SUMIFS('Sales Return'!G:G,'Sales Return'!F:F,Sheet4!A36))</f>
        <v/>
      </c>
      <c r="F36" t="str">
        <f>IF(SUMIFS('Purchase Return'!G:G,'Purchase Return'!F:F,Sheet4!A36)=0,"",SUMIFS('Purchase Return'!G:G,'Purchase Return'!F:F,Sheet4!A36))</f>
        <v/>
      </c>
      <c r="G36" t="str">
        <f t="shared" si="0"/>
        <v/>
      </c>
    </row>
    <row r="37" spans="1:7">
      <c r="A37" t="str">
        <f>IF('Product List'!B37="","",'Product List'!B37)</f>
        <v/>
      </c>
      <c r="B37" t="str">
        <f>IF('Product List'!C37="","",'Product List'!C37)</f>
        <v/>
      </c>
      <c r="C37" t="str">
        <f>IF(SUMIFS('Purchase Record'!G:G,'Purchase Record'!F:F,Sheet4!A37)=0,"",SUMIFS('Purchase Record'!G:G,'Purchase Record'!F:F,Sheet4!A37))</f>
        <v/>
      </c>
      <c r="D37" t="str">
        <f>IF(SUMIFS('Sales Record'!H:H,'Sales Record'!F:F,Sheet4!A37)=0,"",SUMIFS('Sales Record'!H:H,'Sales Record'!F:F,Sheet4!A37))</f>
        <v/>
      </c>
      <c r="E37" t="str">
        <f>IF(SUMIFS('Sales Return'!G:G,'Sales Return'!F:F,Sheet4!A37)=0,"",SUMIFS('Sales Return'!G:G,'Sales Return'!F:F,Sheet4!A37))</f>
        <v/>
      </c>
      <c r="F37" t="str">
        <f>IF(SUMIFS('Purchase Return'!G:G,'Purchase Return'!F:F,Sheet4!A37)=0,"",SUMIFS('Purchase Return'!G:G,'Purchase Return'!F:F,Sheet4!A37))</f>
        <v/>
      </c>
      <c r="G37" t="str">
        <f t="shared" si="0"/>
        <v/>
      </c>
    </row>
    <row r="38" spans="1:7">
      <c r="A38" t="str">
        <f>IF('Product List'!B38="","",'Product List'!B38)</f>
        <v/>
      </c>
      <c r="B38" t="str">
        <f>IF('Product List'!C38="","",'Product List'!C38)</f>
        <v/>
      </c>
      <c r="C38" t="str">
        <f>IF(SUMIFS('Purchase Record'!G:G,'Purchase Record'!F:F,Sheet4!A38)=0,"",SUMIFS('Purchase Record'!G:G,'Purchase Record'!F:F,Sheet4!A38))</f>
        <v/>
      </c>
      <c r="D38" t="str">
        <f>IF(SUMIFS('Sales Record'!H:H,'Sales Record'!F:F,Sheet4!A38)=0,"",SUMIFS('Sales Record'!H:H,'Sales Record'!F:F,Sheet4!A38))</f>
        <v/>
      </c>
      <c r="E38" t="str">
        <f>IF(SUMIFS('Sales Return'!G:G,'Sales Return'!F:F,Sheet4!A38)=0,"",SUMIFS('Sales Return'!G:G,'Sales Return'!F:F,Sheet4!A38))</f>
        <v/>
      </c>
      <c r="F38" t="str">
        <f>IF(SUMIFS('Purchase Return'!G:G,'Purchase Return'!F:F,Sheet4!A38)=0,"",SUMIFS('Purchase Return'!G:G,'Purchase Return'!F:F,Sheet4!A38))</f>
        <v/>
      </c>
      <c r="G38" t="str">
        <f t="shared" si="0"/>
        <v/>
      </c>
    </row>
    <row r="39" spans="1:7">
      <c r="A39" t="str">
        <f>IF('Product List'!B39="","",'Product List'!B39)</f>
        <v/>
      </c>
      <c r="B39" t="str">
        <f>IF('Product List'!C39="","",'Product List'!C39)</f>
        <v/>
      </c>
      <c r="C39" t="str">
        <f>IF(SUMIFS('Purchase Record'!G:G,'Purchase Record'!F:F,Sheet4!A39)=0,"",SUMIFS('Purchase Record'!G:G,'Purchase Record'!F:F,Sheet4!A39))</f>
        <v/>
      </c>
      <c r="D39" t="str">
        <f>IF(SUMIFS('Sales Record'!H:H,'Sales Record'!F:F,Sheet4!A39)=0,"",SUMIFS('Sales Record'!H:H,'Sales Record'!F:F,Sheet4!A39))</f>
        <v/>
      </c>
      <c r="E39" t="str">
        <f>IF(SUMIFS('Sales Return'!G:G,'Sales Return'!F:F,Sheet4!A39)=0,"",SUMIFS('Sales Return'!G:G,'Sales Return'!F:F,Sheet4!A39))</f>
        <v/>
      </c>
      <c r="F39" t="str">
        <f>IF(SUMIFS('Purchase Return'!G:G,'Purchase Return'!F:F,Sheet4!A39)=0,"",SUMIFS('Purchase Return'!G:G,'Purchase Return'!F:F,Sheet4!A39))</f>
        <v/>
      </c>
      <c r="G39" t="str">
        <f t="shared" si="0"/>
        <v/>
      </c>
    </row>
    <row r="40" spans="1:7">
      <c r="A40" t="str">
        <f>IF('Product List'!B40="","",'Product List'!B40)</f>
        <v/>
      </c>
      <c r="B40" t="str">
        <f>IF('Product List'!C40="","",'Product List'!C40)</f>
        <v/>
      </c>
      <c r="C40" t="str">
        <f>IF(SUMIFS('Purchase Record'!G:G,'Purchase Record'!F:F,Sheet4!A40)=0,"",SUMIFS('Purchase Record'!G:G,'Purchase Record'!F:F,Sheet4!A40))</f>
        <v/>
      </c>
      <c r="D40" t="str">
        <f>IF(SUMIFS('Sales Record'!H:H,'Sales Record'!F:F,Sheet4!A40)=0,"",SUMIFS('Sales Record'!H:H,'Sales Record'!F:F,Sheet4!A40))</f>
        <v/>
      </c>
      <c r="E40" t="str">
        <f>IF(SUMIFS('Sales Return'!G:G,'Sales Return'!F:F,Sheet4!A40)=0,"",SUMIFS('Sales Return'!G:G,'Sales Return'!F:F,Sheet4!A40))</f>
        <v/>
      </c>
      <c r="F40" t="str">
        <f>IF(SUMIFS('Purchase Return'!G:G,'Purchase Return'!F:F,Sheet4!A40)=0,"",SUMIFS('Purchase Return'!G:G,'Purchase Return'!F:F,Sheet4!A40))</f>
        <v/>
      </c>
      <c r="G40" t="str">
        <f t="shared" si="0"/>
        <v/>
      </c>
    </row>
    <row r="41" spans="1:7">
      <c r="A41" t="str">
        <f>IF('Product List'!B41="","",'Product List'!B41)</f>
        <v/>
      </c>
      <c r="B41" t="str">
        <f>IF('Product List'!C41="","",'Product List'!C41)</f>
        <v/>
      </c>
      <c r="C41" t="str">
        <f>IF(SUMIFS('Purchase Record'!G:G,'Purchase Record'!F:F,Sheet4!A41)=0,"",SUMIFS('Purchase Record'!G:G,'Purchase Record'!F:F,Sheet4!A41))</f>
        <v/>
      </c>
      <c r="D41" t="str">
        <f>IF(SUMIFS('Sales Record'!H:H,'Sales Record'!F:F,Sheet4!A41)=0,"",SUMIFS('Sales Record'!H:H,'Sales Record'!F:F,Sheet4!A41))</f>
        <v/>
      </c>
      <c r="E41" t="str">
        <f>IF(SUMIFS('Sales Return'!G:G,'Sales Return'!F:F,Sheet4!A41)=0,"",SUMIFS('Sales Return'!G:G,'Sales Return'!F:F,Sheet4!A41))</f>
        <v/>
      </c>
      <c r="F41" t="str">
        <f>IF(SUMIFS('Purchase Return'!G:G,'Purchase Return'!F:F,Sheet4!A41)=0,"",SUMIFS('Purchase Return'!G:G,'Purchase Return'!F:F,Sheet4!A41))</f>
        <v/>
      </c>
      <c r="G41" t="str">
        <f t="shared" si="0"/>
        <v/>
      </c>
    </row>
    <row r="42" spans="1:7">
      <c r="A42" t="str">
        <f>IF('Product List'!B42="","",'Product List'!B42)</f>
        <v/>
      </c>
      <c r="B42" t="str">
        <f>IF('Product List'!C42="","",'Product List'!C42)</f>
        <v/>
      </c>
      <c r="C42" t="str">
        <f>IF(SUMIFS('Purchase Record'!G:G,'Purchase Record'!F:F,Sheet4!A42)=0,"",SUMIFS('Purchase Record'!G:G,'Purchase Record'!F:F,Sheet4!A42))</f>
        <v/>
      </c>
      <c r="D42" t="str">
        <f>IF(SUMIFS('Sales Record'!H:H,'Sales Record'!F:F,Sheet4!A42)=0,"",SUMIFS('Sales Record'!H:H,'Sales Record'!F:F,Sheet4!A42))</f>
        <v/>
      </c>
      <c r="E42" t="str">
        <f>IF(SUMIFS('Sales Return'!G:G,'Sales Return'!F:F,Sheet4!A42)=0,"",SUMIFS('Sales Return'!G:G,'Sales Return'!F:F,Sheet4!A42))</f>
        <v/>
      </c>
      <c r="F42" t="str">
        <f>IF(SUMIFS('Purchase Return'!G:G,'Purchase Return'!F:F,Sheet4!A42)=0,"",SUMIFS('Purchase Return'!G:G,'Purchase Return'!F:F,Sheet4!A42))</f>
        <v/>
      </c>
      <c r="G42" t="str">
        <f t="shared" si="0"/>
        <v/>
      </c>
    </row>
    <row r="43" spans="1:7">
      <c r="A43" t="str">
        <f>IF('Product List'!B43="","",'Product List'!B43)</f>
        <v/>
      </c>
      <c r="B43" t="str">
        <f>IF('Product List'!C43="","",'Product List'!C43)</f>
        <v/>
      </c>
      <c r="C43" t="str">
        <f>IF(SUMIFS('Purchase Record'!G:G,'Purchase Record'!F:F,Sheet4!A43)=0,"",SUMIFS('Purchase Record'!G:G,'Purchase Record'!F:F,Sheet4!A43))</f>
        <v/>
      </c>
      <c r="D43" t="str">
        <f>IF(SUMIFS('Sales Record'!H:H,'Sales Record'!F:F,Sheet4!A43)=0,"",SUMIFS('Sales Record'!H:H,'Sales Record'!F:F,Sheet4!A43))</f>
        <v/>
      </c>
      <c r="E43" t="str">
        <f>IF(SUMIFS('Sales Return'!G:G,'Sales Return'!F:F,Sheet4!A43)=0,"",SUMIFS('Sales Return'!G:G,'Sales Return'!F:F,Sheet4!A43))</f>
        <v/>
      </c>
      <c r="F43" t="str">
        <f>IF(SUMIFS('Purchase Return'!G:G,'Purchase Return'!F:F,Sheet4!A43)=0,"",SUMIFS('Purchase Return'!G:G,'Purchase Return'!F:F,Sheet4!A43))</f>
        <v/>
      </c>
      <c r="G43" t="str">
        <f t="shared" si="0"/>
        <v/>
      </c>
    </row>
    <row r="44" spans="1:7">
      <c r="A44" t="str">
        <f>IF('Product List'!B44="","",'Product List'!B44)</f>
        <v/>
      </c>
      <c r="B44" t="str">
        <f>IF('Product List'!C44="","",'Product List'!C44)</f>
        <v/>
      </c>
      <c r="C44" t="str">
        <f>IF(SUMIFS('Purchase Record'!G:G,'Purchase Record'!F:F,Sheet4!A44)=0,"",SUMIFS('Purchase Record'!G:G,'Purchase Record'!F:F,Sheet4!A44))</f>
        <v/>
      </c>
      <c r="D44" t="str">
        <f>IF(SUMIFS('Sales Record'!H:H,'Sales Record'!F:F,Sheet4!A44)=0,"",SUMIFS('Sales Record'!H:H,'Sales Record'!F:F,Sheet4!A44))</f>
        <v/>
      </c>
      <c r="E44" t="str">
        <f>IF(SUMIFS('Sales Return'!G:G,'Sales Return'!F:F,Sheet4!A44)=0,"",SUMIFS('Sales Return'!G:G,'Sales Return'!F:F,Sheet4!A44))</f>
        <v/>
      </c>
      <c r="F44" t="str">
        <f>IF(SUMIFS('Purchase Return'!G:G,'Purchase Return'!F:F,Sheet4!A44)=0,"",SUMIFS('Purchase Return'!G:G,'Purchase Return'!F:F,Sheet4!A44))</f>
        <v/>
      </c>
      <c r="G44" t="str">
        <f t="shared" si="0"/>
        <v/>
      </c>
    </row>
    <row r="45" spans="1:7">
      <c r="A45" t="str">
        <f>IF('Product List'!B45="","",'Product List'!B45)</f>
        <v/>
      </c>
      <c r="B45" t="str">
        <f>IF('Product List'!C45="","",'Product List'!C45)</f>
        <v/>
      </c>
      <c r="C45" t="str">
        <f>IF(SUMIFS('Purchase Record'!G:G,'Purchase Record'!F:F,Sheet4!A45)=0,"",SUMIFS('Purchase Record'!G:G,'Purchase Record'!F:F,Sheet4!A45))</f>
        <v/>
      </c>
      <c r="D45" t="str">
        <f>IF(SUMIFS('Sales Record'!H:H,'Sales Record'!F:F,Sheet4!A45)=0,"",SUMIFS('Sales Record'!H:H,'Sales Record'!F:F,Sheet4!A45))</f>
        <v/>
      </c>
      <c r="E45" t="str">
        <f>IF(SUMIFS('Sales Return'!G:G,'Sales Return'!F:F,Sheet4!A45)=0,"",SUMIFS('Sales Return'!G:G,'Sales Return'!F:F,Sheet4!A45))</f>
        <v/>
      </c>
      <c r="F45" t="str">
        <f>IF(SUMIFS('Purchase Return'!G:G,'Purchase Return'!F:F,Sheet4!A45)=0,"",SUMIFS('Purchase Return'!G:G,'Purchase Return'!F:F,Sheet4!A45))</f>
        <v/>
      </c>
      <c r="G45" t="str">
        <f t="shared" si="0"/>
        <v/>
      </c>
    </row>
    <row r="46" spans="1:7">
      <c r="A46" t="str">
        <f>IF('Product List'!B46="","",'Product List'!B46)</f>
        <v/>
      </c>
      <c r="B46" t="str">
        <f>IF('Product List'!C46="","",'Product List'!C46)</f>
        <v/>
      </c>
      <c r="C46" t="str">
        <f>IF(SUMIFS('Purchase Record'!G:G,'Purchase Record'!F:F,Sheet4!A46)=0,"",SUMIFS('Purchase Record'!G:G,'Purchase Record'!F:F,Sheet4!A46))</f>
        <v/>
      </c>
      <c r="D46" t="str">
        <f>IF(SUMIFS('Sales Record'!H:H,'Sales Record'!F:F,Sheet4!A46)=0,"",SUMIFS('Sales Record'!H:H,'Sales Record'!F:F,Sheet4!A46))</f>
        <v/>
      </c>
      <c r="E46" t="str">
        <f>IF(SUMIFS('Sales Return'!G:G,'Sales Return'!F:F,Sheet4!A46)=0,"",SUMIFS('Sales Return'!G:G,'Sales Return'!F:F,Sheet4!A46))</f>
        <v/>
      </c>
      <c r="F46" t="str">
        <f>IF(SUMIFS('Purchase Return'!G:G,'Purchase Return'!F:F,Sheet4!A46)=0,"",SUMIFS('Purchase Return'!G:G,'Purchase Return'!F:F,Sheet4!A46))</f>
        <v/>
      </c>
      <c r="G46" t="str">
        <f t="shared" si="0"/>
        <v/>
      </c>
    </row>
    <row r="47" spans="1:7">
      <c r="A47" t="str">
        <f>IF('Product List'!B47="","",'Product List'!B47)</f>
        <v/>
      </c>
      <c r="B47" t="str">
        <f>IF('Product List'!C47="","",'Product List'!C47)</f>
        <v/>
      </c>
      <c r="C47" t="str">
        <f>IF(SUMIFS('Purchase Record'!G:G,'Purchase Record'!F:F,Sheet4!A47)=0,"",SUMIFS('Purchase Record'!G:G,'Purchase Record'!F:F,Sheet4!A47))</f>
        <v/>
      </c>
      <c r="D47" t="str">
        <f>IF(SUMIFS('Sales Record'!H:H,'Sales Record'!F:F,Sheet4!A47)=0,"",SUMIFS('Sales Record'!H:H,'Sales Record'!F:F,Sheet4!A47))</f>
        <v/>
      </c>
      <c r="E47" t="str">
        <f>IF(SUMIFS('Sales Return'!G:G,'Sales Return'!F:F,Sheet4!A47)=0,"",SUMIFS('Sales Return'!G:G,'Sales Return'!F:F,Sheet4!A47))</f>
        <v/>
      </c>
      <c r="F47" t="str">
        <f>IF(SUMIFS('Purchase Return'!G:G,'Purchase Return'!F:F,Sheet4!A47)=0,"",SUMIFS('Purchase Return'!G:G,'Purchase Return'!F:F,Sheet4!A47))</f>
        <v/>
      </c>
      <c r="G47" t="str">
        <f t="shared" si="0"/>
        <v/>
      </c>
    </row>
    <row r="48" spans="1:7">
      <c r="A48" t="str">
        <f>IF('Product List'!B48="","",'Product List'!B48)</f>
        <v/>
      </c>
      <c r="B48" t="str">
        <f>IF('Product List'!C48="","",'Product List'!C48)</f>
        <v/>
      </c>
      <c r="C48" t="str">
        <f>IF(SUMIFS('Purchase Record'!G:G,'Purchase Record'!F:F,Sheet4!A48)=0,"",SUMIFS('Purchase Record'!G:G,'Purchase Record'!F:F,Sheet4!A48))</f>
        <v/>
      </c>
      <c r="D48" t="str">
        <f>IF(SUMIFS('Sales Record'!H:H,'Sales Record'!F:F,Sheet4!A48)=0,"",SUMIFS('Sales Record'!H:H,'Sales Record'!F:F,Sheet4!A48))</f>
        <v/>
      </c>
      <c r="E48" t="str">
        <f>IF(SUMIFS('Sales Return'!G:G,'Sales Return'!F:F,Sheet4!A48)=0,"",SUMIFS('Sales Return'!G:G,'Sales Return'!F:F,Sheet4!A48))</f>
        <v/>
      </c>
      <c r="F48" t="str">
        <f>IF(SUMIFS('Purchase Return'!G:G,'Purchase Return'!F:F,Sheet4!A48)=0,"",SUMIFS('Purchase Return'!G:G,'Purchase Return'!F:F,Sheet4!A48))</f>
        <v/>
      </c>
      <c r="G48" t="str">
        <f t="shared" si="0"/>
        <v/>
      </c>
    </row>
    <row r="49" spans="1:7">
      <c r="A49" t="str">
        <f>IF('Product List'!B49="","",'Product List'!B49)</f>
        <v/>
      </c>
      <c r="B49" t="str">
        <f>IF('Product List'!C49="","",'Product List'!C49)</f>
        <v/>
      </c>
      <c r="C49" t="str">
        <f>IF(SUMIFS('Purchase Record'!G:G,'Purchase Record'!F:F,Sheet4!A49)=0,"",SUMIFS('Purchase Record'!G:G,'Purchase Record'!F:F,Sheet4!A49))</f>
        <v/>
      </c>
      <c r="D49" t="str">
        <f>IF(SUMIFS('Sales Record'!H:H,'Sales Record'!F:F,Sheet4!A49)=0,"",SUMIFS('Sales Record'!H:H,'Sales Record'!F:F,Sheet4!A49))</f>
        <v/>
      </c>
      <c r="E49" t="str">
        <f>IF(SUMIFS('Sales Return'!G:G,'Sales Return'!F:F,Sheet4!A49)=0,"",SUMIFS('Sales Return'!G:G,'Sales Return'!F:F,Sheet4!A49))</f>
        <v/>
      </c>
      <c r="F49" t="str">
        <f>IF(SUMIFS('Purchase Return'!G:G,'Purchase Return'!F:F,Sheet4!A49)=0,"",SUMIFS('Purchase Return'!G:G,'Purchase Return'!F:F,Sheet4!A49))</f>
        <v/>
      </c>
      <c r="G49" t="str">
        <f t="shared" si="0"/>
        <v/>
      </c>
    </row>
    <row r="50" spans="1:7">
      <c r="A50" t="str">
        <f>IF('Product List'!B50="","",'Product List'!B50)</f>
        <v/>
      </c>
      <c r="B50" t="str">
        <f>IF('Product List'!C50="","",'Product List'!C50)</f>
        <v/>
      </c>
      <c r="C50" t="str">
        <f>IF(SUMIFS('Purchase Record'!G:G,'Purchase Record'!F:F,Sheet4!A50)=0,"",SUMIFS('Purchase Record'!G:G,'Purchase Record'!F:F,Sheet4!A50))</f>
        <v/>
      </c>
      <c r="D50" t="str">
        <f>IF(SUMIFS('Sales Record'!H:H,'Sales Record'!F:F,Sheet4!A50)=0,"",SUMIFS('Sales Record'!H:H,'Sales Record'!F:F,Sheet4!A50))</f>
        <v/>
      </c>
      <c r="E50" t="str">
        <f>IF(SUMIFS('Sales Return'!G:G,'Sales Return'!F:F,Sheet4!A50)=0,"",SUMIFS('Sales Return'!G:G,'Sales Return'!F:F,Sheet4!A50))</f>
        <v/>
      </c>
      <c r="F50" t="str">
        <f>IF(SUMIFS('Purchase Return'!G:G,'Purchase Return'!F:F,Sheet4!A50)=0,"",SUMIFS('Purchase Return'!G:G,'Purchase Return'!F:F,Sheet4!A50))</f>
        <v/>
      </c>
      <c r="G50" t="str">
        <f t="shared" si="0"/>
        <v/>
      </c>
    </row>
    <row r="51" spans="1:7">
      <c r="A51" t="str">
        <f>IF('Product List'!B51="","",'Product List'!B51)</f>
        <v/>
      </c>
      <c r="B51" t="str">
        <f>IF('Product List'!C51="","",'Product List'!C51)</f>
        <v/>
      </c>
      <c r="C51" t="str">
        <f>IF(SUMIFS('Purchase Record'!G:G,'Purchase Record'!F:F,Sheet4!A51)=0,"",SUMIFS('Purchase Record'!G:G,'Purchase Record'!F:F,Sheet4!A51))</f>
        <v/>
      </c>
      <c r="D51" t="str">
        <f>IF(SUMIFS('Sales Record'!H:H,'Sales Record'!F:F,Sheet4!A51)=0,"",SUMIFS('Sales Record'!H:H,'Sales Record'!F:F,Sheet4!A51))</f>
        <v/>
      </c>
      <c r="E51" t="str">
        <f>IF(SUMIFS('Sales Return'!G:G,'Sales Return'!F:F,Sheet4!A51)=0,"",SUMIFS('Sales Return'!G:G,'Sales Return'!F:F,Sheet4!A51))</f>
        <v/>
      </c>
      <c r="F51" t="str">
        <f>IF(SUMIFS('Purchase Return'!G:G,'Purchase Return'!F:F,Sheet4!A51)=0,"",SUMIFS('Purchase Return'!G:G,'Purchase Return'!F:F,Sheet4!A51))</f>
        <v/>
      </c>
      <c r="G51" t="str">
        <f t="shared" si="0"/>
        <v/>
      </c>
    </row>
    <row r="52" spans="1:7">
      <c r="A52" t="str">
        <f>IF('Product List'!B52="","",'Product List'!B52)</f>
        <v/>
      </c>
      <c r="B52" t="str">
        <f>IF('Product List'!C52="","",'Product List'!C52)</f>
        <v/>
      </c>
      <c r="C52" t="str">
        <f>IF(SUMIFS('Purchase Record'!G:G,'Purchase Record'!F:F,Sheet4!A52)=0,"",SUMIFS('Purchase Record'!G:G,'Purchase Record'!F:F,Sheet4!A52))</f>
        <v/>
      </c>
      <c r="D52" t="str">
        <f>IF(SUMIFS('Sales Record'!H:H,'Sales Record'!F:F,Sheet4!A52)=0,"",SUMIFS('Sales Record'!H:H,'Sales Record'!F:F,Sheet4!A52))</f>
        <v/>
      </c>
      <c r="E52" t="str">
        <f>IF(SUMIFS('Sales Return'!G:G,'Sales Return'!F:F,Sheet4!A52)=0,"",SUMIFS('Sales Return'!G:G,'Sales Return'!F:F,Sheet4!A52))</f>
        <v/>
      </c>
      <c r="F52" t="str">
        <f>IF(SUMIFS('Purchase Return'!G:G,'Purchase Return'!F:F,Sheet4!A52)=0,"",SUMIFS('Purchase Return'!G:G,'Purchase Return'!F:F,Sheet4!A52))</f>
        <v/>
      </c>
      <c r="G52" t="str">
        <f t="shared" si="0"/>
        <v/>
      </c>
    </row>
    <row r="53" spans="1:7">
      <c r="A53" t="str">
        <f>IF('Product List'!B53="","",'Product List'!B53)</f>
        <v/>
      </c>
      <c r="B53" t="str">
        <f>IF('Product List'!C53="","",'Product List'!C53)</f>
        <v/>
      </c>
      <c r="C53" t="str">
        <f>IF(SUMIFS('Purchase Record'!G:G,'Purchase Record'!F:F,Sheet4!A53)=0,"",SUMIFS('Purchase Record'!G:G,'Purchase Record'!F:F,Sheet4!A53))</f>
        <v/>
      </c>
      <c r="D53" t="str">
        <f>IF(SUMIFS('Sales Record'!H:H,'Sales Record'!F:F,Sheet4!A53)=0,"",SUMIFS('Sales Record'!H:H,'Sales Record'!F:F,Sheet4!A53))</f>
        <v/>
      </c>
      <c r="E53" t="str">
        <f>IF(SUMIFS('Sales Return'!G:G,'Sales Return'!F:F,Sheet4!A53)=0,"",SUMIFS('Sales Return'!G:G,'Sales Return'!F:F,Sheet4!A53))</f>
        <v/>
      </c>
      <c r="F53" t="str">
        <f>IF(SUMIFS('Purchase Return'!G:G,'Purchase Return'!F:F,Sheet4!A53)=0,"",SUMIFS('Purchase Return'!G:G,'Purchase Return'!F:F,Sheet4!A53))</f>
        <v/>
      </c>
      <c r="G53" t="str">
        <f t="shared" si="0"/>
        <v/>
      </c>
    </row>
    <row r="54" spans="1:7">
      <c r="A54" t="str">
        <f>IF('Product List'!B54="","",'Product List'!B54)</f>
        <v/>
      </c>
      <c r="B54" t="str">
        <f>IF('Product List'!C54="","",'Product List'!C54)</f>
        <v/>
      </c>
      <c r="C54" t="str">
        <f>IF(SUMIFS('Purchase Record'!G:G,'Purchase Record'!F:F,Sheet4!A54)=0,"",SUMIFS('Purchase Record'!G:G,'Purchase Record'!F:F,Sheet4!A54))</f>
        <v/>
      </c>
      <c r="D54" t="str">
        <f>IF(SUMIFS('Sales Record'!H:H,'Sales Record'!F:F,Sheet4!A54)=0,"",SUMIFS('Sales Record'!H:H,'Sales Record'!F:F,Sheet4!A54))</f>
        <v/>
      </c>
      <c r="E54" t="str">
        <f>IF(SUMIFS('Sales Return'!G:G,'Sales Return'!F:F,Sheet4!A54)=0,"",SUMIFS('Sales Return'!G:G,'Sales Return'!F:F,Sheet4!A54))</f>
        <v/>
      </c>
      <c r="F54" t="str">
        <f>IF(SUMIFS('Purchase Return'!G:G,'Purchase Return'!F:F,Sheet4!A54)=0,"",SUMIFS('Purchase Return'!G:G,'Purchase Return'!F:F,Sheet4!A54))</f>
        <v/>
      </c>
      <c r="G54" t="str">
        <f t="shared" si="0"/>
        <v/>
      </c>
    </row>
    <row r="55" spans="1:7">
      <c r="A55" t="str">
        <f>IF('Product List'!B55="","",'Product List'!B55)</f>
        <v/>
      </c>
      <c r="B55" t="str">
        <f>IF('Product List'!C55="","",'Product List'!C55)</f>
        <v/>
      </c>
      <c r="C55" t="str">
        <f>IF(SUMIFS('Purchase Record'!G:G,'Purchase Record'!F:F,Sheet4!A55)=0,"",SUMIFS('Purchase Record'!G:G,'Purchase Record'!F:F,Sheet4!A55))</f>
        <v/>
      </c>
      <c r="D55" t="str">
        <f>IF(SUMIFS('Sales Record'!H:H,'Sales Record'!F:F,Sheet4!A55)=0,"",SUMIFS('Sales Record'!H:H,'Sales Record'!F:F,Sheet4!A55))</f>
        <v/>
      </c>
      <c r="E55" t="str">
        <f>IF(SUMIFS('Sales Return'!G:G,'Sales Return'!F:F,Sheet4!A55)=0,"",SUMIFS('Sales Return'!G:G,'Sales Return'!F:F,Sheet4!A55))</f>
        <v/>
      </c>
      <c r="F55" t="str">
        <f>IF(SUMIFS('Purchase Return'!G:G,'Purchase Return'!F:F,Sheet4!A55)=0,"",SUMIFS('Purchase Return'!G:G,'Purchase Return'!F:F,Sheet4!A55))</f>
        <v/>
      </c>
      <c r="G55" t="str">
        <f t="shared" si="0"/>
        <v/>
      </c>
    </row>
    <row r="56" spans="1:7">
      <c r="A56" t="str">
        <f>IF('Product List'!B56="","",'Product List'!B56)</f>
        <v/>
      </c>
      <c r="B56" t="str">
        <f>IF('Product List'!C56="","",'Product List'!C56)</f>
        <v/>
      </c>
      <c r="C56" t="str">
        <f>IF(SUMIFS('Purchase Record'!G:G,'Purchase Record'!F:F,Sheet4!A56)=0,"",SUMIFS('Purchase Record'!G:G,'Purchase Record'!F:F,Sheet4!A56))</f>
        <v/>
      </c>
      <c r="D56" t="str">
        <f>IF(SUMIFS('Sales Record'!H:H,'Sales Record'!F:F,Sheet4!A56)=0,"",SUMIFS('Sales Record'!H:H,'Sales Record'!F:F,Sheet4!A56))</f>
        <v/>
      </c>
      <c r="E56" t="str">
        <f>IF(SUMIFS('Sales Return'!G:G,'Sales Return'!F:F,Sheet4!A56)=0,"",SUMIFS('Sales Return'!G:G,'Sales Return'!F:F,Sheet4!A56))</f>
        <v/>
      </c>
      <c r="F56" t="str">
        <f>IF(SUMIFS('Purchase Return'!G:G,'Purchase Return'!F:F,Sheet4!A56)=0,"",SUMIFS('Purchase Return'!G:G,'Purchase Return'!F:F,Sheet4!A56))</f>
        <v/>
      </c>
      <c r="G56" t="str">
        <f t="shared" si="0"/>
        <v/>
      </c>
    </row>
    <row r="57" spans="1:7">
      <c r="A57" t="str">
        <f>IF('Product List'!B57="","",'Product List'!B57)</f>
        <v/>
      </c>
      <c r="B57" t="str">
        <f>IF('Product List'!C57="","",'Product List'!C57)</f>
        <v/>
      </c>
      <c r="C57" t="str">
        <f>IF(SUMIFS('Purchase Record'!G:G,'Purchase Record'!F:F,Sheet4!A57)=0,"",SUMIFS('Purchase Record'!G:G,'Purchase Record'!F:F,Sheet4!A57))</f>
        <v/>
      </c>
      <c r="D57" t="str">
        <f>IF(SUMIFS('Sales Record'!H:H,'Sales Record'!F:F,Sheet4!A57)=0,"",SUMIFS('Sales Record'!H:H,'Sales Record'!F:F,Sheet4!A57))</f>
        <v/>
      </c>
      <c r="E57" t="str">
        <f>IF(SUMIFS('Sales Return'!G:G,'Sales Return'!F:F,Sheet4!A57)=0,"",SUMIFS('Sales Return'!G:G,'Sales Return'!F:F,Sheet4!A57))</f>
        <v/>
      </c>
      <c r="F57" t="str">
        <f>IF(SUMIFS('Purchase Return'!G:G,'Purchase Return'!F:F,Sheet4!A57)=0,"",SUMIFS('Purchase Return'!G:G,'Purchase Return'!F:F,Sheet4!A57))</f>
        <v/>
      </c>
      <c r="G57" t="str">
        <f t="shared" si="0"/>
        <v/>
      </c>
    </row>
    <row r="58" spans="1:7">
      <c r="A58" t="str">
        <f>IF('Product List'!B58="","",'Product List'!B58)</f>
        <v/>
      </c>
      <c r="B58" t="str">
        <f>IF('Product List'!C58="","",'Product List'!C58)</f>
        <v/>
      </c>
      <c r="C58" t="str">
        <f>IF(SUMIFS('Purchase Record'!G:G,'Purchase Record'!F:F,Sheet4!A58)=0,"",SUMIFS('Purchase Record'!G:G,'Purchase Record'!F:F,Sheet4!A58))</f>
        <v/>
      </c>
      <c r="D58" t="str">
        <f>IF(SUMIFS('Sales Record'!H:H,'Sales Record'!F:F,Sheet4!A58)=0,"",SUMIFS('Sales Record'!H:H,'Sales Record'!F:F,Sheet4!A58))</f>
        <v/>
      </c>
      <c r="E58" t="str">
        <f>IF(SUMIFS('Sales Return'!G:G,'Sales Return'!F:F,Sheet4!A58)=0,"",SUMIFS('Sales Return'!G:G,'Sales Return'!F:F,Sheet4!A58))</f>
        <v/>
      </c>
      <c r="F58" t="str">
        <f>IF(SUMIFS('Purchase Return'!G:G,'Purchase Return'!F:F,Sheet4!A58)=0,"",SUMIFS('Purchase Return'!G:G,'Purchase Return'!F:F,Sheet4!A58))</f>
        <v/>
      </c>
      <c r="G58" t="str">
        <f t="shared" si="0"/>
        <v/>
      </c>
    </row>
    <row r="59" spans="1:7">
      <c r="A59" t="str">
        <f>IF('Product List'!B59="","",'Product List'!B59)</f>
        <v/>
      </c>
      <c r="B59" t="str">
        <f>IF('Product List'!C59="","",'Product List'!C59)</f>
        <v/>
      </c>
      <c r="C59" t="str">
        <f>IF(SUMIFS('Purchase Record'!G:G,'Purchase Record'!F:F,Sheet4!A59)=0,"",SUMIFS('Purchase Record'!G:G,'Purchase Record'!F:F,Sheet4!A59))</f>
        <v/>
      </c>
      <c r="D59" t="str">
        <f>IF(SUMIFS('Sales Record'!H:H,'Sales Record'!F:F,Sheet4!A59)=0,"",SUMIFS('Sales Record'!H:H,'Sales Record'!F:F,Sheet4!A59))</f>
        <v/>
      </c>
      <c r="E59" t="str">
        <f>IF(SUMIFS('Sales Return'!G:G,'Sales Return'!F:F,Sheet4!A59)=0,"",SUMIFS('Sales Return'!G:G,'Sales Return'!F:F,Sheet4!A59))</f>
        <v/>
      </c>
      <c r="F59" t="str">
        <f>IF(SUMIFS('Purchase Return'!G:G,'Purchase Return'!F:F,Sheet4!A59)=0,"",SUMIFS('Purchase Return'!G:G,'Purchase Return'!F:F,Sheet4!A59))</f>
        <v/>
      </c>
      <c r="G59" t="str">
        <f t="shared" si="0"/>
        <v/>
      </c>
    </row>
    <row r="60" spans="1:7">
      <c r="A60" t="str">
        <f>IF('Product List'!B60="","",'Product List'!B60)</f>
        <v/>
      </c>
      <c r="B60" t="str">
        <f>IF('Product List'!C60="","",'Product List'!C60)</f>
        <v/>
      </c>
      <c r="C60" t="str">
        <f>IF(SUMIFS('Purchase Record'!G:G,'Purchase Record'!F:F,Sheet4!A60)=0,"",SUMIFS('Purchase Record'!G:G,'Purchase Record'!F:F,Sheet4!A60))</f>
        <v/>
      </c>
      <c r="D60" t="str">
        <f>IF(SUMIFS('Sales Record'!H:H,'Sales Record'!F:F,Sheet4!A60)=0,"",SUMIFS('Sales Record'!H:H,'Sales Record'!F:F,Sheet4!A60))</f>
        <v/>
      </c>
      <c r="E60" t="str">
        <f>IF(SUMIFS('Sales Return'!G:G,'Sales Return'!F:F,Sheet4!A60)=0,"",SUMIFS('Sales Return'!G:G,'Sales Return'!F:F,Sheet4!A60))</f>
        <v/>
      </c>
      <c r="F60" t="str">
        <f>IF(SUMIFS('Purchase Return'!G:G,'Purchase Return'!F:F,Sheet4!A60)=0,"",SUMIFS('Purchase Return'!G:G,'Purchase Return'!F:F,Sheet4!A60))</f>
        <v/>
      </c>
      <c r="G60" t="str">
        <f t="shared" si="0"/>
        <v/>
      </c>
    </row>
    <row r="61" spans="1:7">
      <c r="A61" t="str">
        <f>IF('Product List'!B61="","",'Product List'!B61)</f>
        <v/>
      </c>
      <c r="B61" t="str">
        <f>IF('Product List'!C61="","",'Product List'!C61)</f>
        <v/>
      </c>
      <c r="C61" t="str">
        <f>IF(SUMIFS('Purchase Record'!G:G,'Purchase Record'!F:F,Sheet4!A61)=0,"",SUMIFS('Purchase Record'!G:G,'Purchase Record'!F:F,Sheet4!A61))</f>
        <v/>
      </c>
      <c r="D61" t="str">
        <f>IF(SUMIFS('Sales Record'!H:H,'Sales Record'!F:F,Sheet4!A61)=0,"",SUMIFS('Sales Record'!H:H,'Sales Record'!F:F,Sheet4!A61))</f>
        <v/>
      </c>
      <c r="E61" t="str">
        <f>IF(SUMIFS('Sales Return'!G:G,'Sales Return'!F:F,Sheet4!A61)=0,"",SUMIFS('Sales Return'!G:G,'Sales Return'!F:F,Sheet4!A61))</f>
        <v/>
      </c>
      <c r="F61" t="str">
        <f>IF(SUMIFS('Purchase Return'!G:G,'Purchase Return'!F:F,Sheet4!A61)=0,"",SUMIFS('Purchase Return'!G:G,'Purchase Return'!F:F,Sheet4!A61))</f>
        <v/>
      </c>
      <c r="G61" t="str">
        <f t="shared" si="0"/>
        <v/>
      </c>
    </row>
    <row r="62" spans="1:7">
      <c r="A62" t="str">
        <f>IF('Product List'!B62="","",'Product List'!B62)</f>
        <v/>
      </c>
      <c r="B62" t="str">
        <f>IF('Product List'!C62="","",'Product List'!C62)</f>
        <v/>
      </c>
      <c r="C62" t="str">
        <f>IF(SUMIFS('Purchase Record'!G:G,'Purchase Record'!F:F,Sheet4!A62)=0,"",SUMIFS('Purchase Record'!G:G,'Purchase Record'!F:F,Sheet4!A62))</f>
        <v/>
      </c>
      <c r="D62" t="str">
        <f>IF(SUMIFS('Sales Record'!H:H,'Sales Record'!F:F,Sheet4!A62)=0,"",SUMIFS('Sales Record'!H:H,'Sales Record'!F:F,Sheet4!A62))</f>
        <v/>
      </c>
      <c r="E62" t="str">
        <f>IF(SUMIFS('Sales Return'!G:G,'Sales Return'!F:F,Sheet4!A62)=0,"",SUMIFS('Sales Return'!G:G,'Sales Return'!F:F,Sheet4!A62))</f>
        <v/>
      </c>
      <c r="F62" t="str">
        <f>IF(SUMIFS('Purchase Return'!G:G,'Purchase Return'!F:F,Sheet4!A62)=0,"",SUMIFS('Purchase Return'!G:G,'Purchase Return'!F:F,Sheet4!A62))</f>
        <v/>
      </c>
      <c r="G62" t="str">
        <f t="shared" si="0"/>
        <v/>
      </c>
    </row>
    <row r="63" spans="1:7">
      <c r="A63" t="str">
        <f>IF('Product List'!B63="","",'Product List'!B63)</f>
        <v/>
      </c>
      <c r="B63" t="str">
        <f>IF('Product List'!C63="","",'Product List'!C63)</f>
        <v/>
      </c>
      <c r="C63" t="str">
        <f>IF(SUMIFS('Purchase Record'!G:G,'Purchase Record'!F:F,Sheet4!A63)=0,"",SUMIFS('Purchase Record'!G:G,'Purchase Record'!F:F,Sheet4!A63))</f>
        <v/>
      </c>
      <c r="D63" t="str">
        <f>IF(SUMIFS('Sales Record'!H:H,'Sales Record'!F:F,Sheet4!A63)=0,"",SUMIFS('Sales Record'!H:H,'Sales Record'!F:F,Sheet4!A63))</f>
        <v/>
      </c>
      <c r="E63" t="str">
        <f>IF(SUMIFS('Sales Return'!G:G,'Sales Return'!F:F,Sheet4!A63)=0,"",SUMIFS('Sales Return'!G:G,'Sales Return'!F:F,Sheet4!A63))</f>
        <v/>
      </c>
      <c r="F63" t="str">
        <f>IF(SUMIFS('Purchase Return'!G:G,'Purchase Return'!F:F,Sheet4!A63)=0,"",SUMIFS('Purchase Return'!G:G,'Purchase Return'!F:F,Sheet4!A63))</f>
        <v/>
      </c>
      <c r="G63" t="str">
        <f t="shared" si="0"/>
        <v/>
      </c>
    </row>
    <row r="64" spans="1:7">
      <c r="A64" t="str">
        <f>IF('Product List'!B64="","",'Product List'!B64)</f>
        <v/>
      </c>
      <c r="B64" t="str">
        <f>IF('Product List'!C64="","",'Product List'!C64)</f>
        <v/>
      </c>
      <c r="C64" t="str">
        <f>IF(SUMIFS('Purchase Record'!G:G,'Purchase Record'!F:F,Sheet4!A64)=0,"",SUMIFS('Purchase Record'!G:G,'Purchase Record'!F:F,Sheet4!A64))</f>
        <v/>
      </c>
      <c r="D64" t="str">
        <f>IF(SUMIFS('Sales Record'!H:H,'Sales Record'!F:F,Sheet4!A64)=0,"",SUMIFS('Sales Record'!H:H,'Sales Record'!F:F,Sheet4!A64))</f>
        <v/>
      </c>
      <c r="E64" t="str">
        <f>IF(SUMIFS('Sales Return'!G:G,'Sales Return'!F:F,Sheet4!A64)=0,"",SUMIFS('Sales Return'!G:G,'Sales Return'!F:F,Sheet4!A64))</f>
        <v/>
      </c>
      <c r="F64" t="str">
        <f>IF(SUMIFS('Purchase Return'!G:G,'Purchase Return'!F:F,Sheet4!A64)=0,"",SUMIFS('Purchase Return'!G:G,'Purchase Return'!F:F,Sheet4!A64))</f>
        <v/>
      </c>
      <c r="G64" t="str">
        <f t="shared" si="0"/>
        <v/>
      </c>
    </row>
    <row r="65" spans="1:7">
      <c r="A65" t="str">
        <f>IF('Product List'!B65="","",'Product List'!B65)</f>
        <v/>
      </c>
      <c r="B65" t="str">
        <f>IF('Product List'!C65="","",'Product List'!C65)</f>
        <v/>
      </c>
      <c r="C65" t="str">
        <f>IF(SUMIFS('Purchase Record'!G:G,'Purchase Record'!F:F,Sheet4!A65)=0,"",SUMIFS('Purchase Record'!G:G,'Purchase Record'!F:F,Sheet4!A65))</f>
        <v/>
      </c>
      <c r="D65" t="str">
        <f>IF(SUMIFS('Sales Record'!H:H,'Sales Record'!F:F,Sheet4!A65)=0,"",SUMIFS('Sales Record'!H:H,'Sales Record'!F:F,Sheet4!A65))</f>
        <v/>
      </c>
      <c r="E65" t="str">
        <f>IF(SUMIFS('Sales Return'!G:G,'Sales Return'!F:F,Sheet4!A65)=0,"",SUMIFS('Sales Return'!G:G,'Sales Return'!F:F,Sheet4!A65))</f>
        <v/>
      </c>
      <c r="F65" t="str">
        <f>IF(SUMIFS('Purchase Return'!G:G,'Purchase Return'!F:F,Sheet4!A65)=0,"",SUMIFS('Purchase Return'!G:G,'Purchase Return'!F:F,Sheet4!A65))</f>
        <v/>
      </c>
      <c r="G65" t="str">
        <f t="shared" si="0"/>
        <v/>
      </c>
    </row>
    <row r="66" spans="1:7">
      <c r="A66" t="str">
        <f>IF('Product List'!B66="","",'Product List'!B66)</f>
        <v/>
      </c>
      <c r="B66" t="str">
        <f>IF('Product List'!C66="","",'Product List'!C66)</f>
        <v/>
      </c>
      <c r="C66" t="str">
        <f>IF(SUMIFS('Purchase Record'!G:G,'Purchase Record'!F:F,Sheet4!A66)=0,"",SUMIFS('Purchase Record'!G:G,'Purchase Record'!F:F,Sheet4!A66))</f>
        <v/>
      </c>
      <c r="D66" t="str">
        <f>IF(SUMIFS('Sales Record'!H:H,'Sales Record'!F:F,Sheet4!A66)=0,"",SUMIFS('Sales Record'!H:H,'Sales Record'!F:F,Sheet4!A66))</f>
        <v/>
      </c>
      <c r="E66" t="str">
        <f>IF(SUMIFS('Sales Return'!G:G,'Sales Return'!F:F,Sheet4!A66)=0,"",SUMIFS('Sales Return'!G:G,'Sales Return'!F:F,Sheet4!A66))</f>
        <v/>
      </c>
      <c r="F66" t="str">
        <f>IF(SUMIFS('Purchase Return'!G:G,'Purchase Return'!F:F,Sheet4!A66)=0,"",SUMIFS('Purchase Return'!G:G,'Purchase Return'!F:F,Sheet4!A66))</f>
        <v/>
      </c>
      <c r="G66" t="str">
        <f t="shared" si="0"/>
        <v/>
      </c>
    </row>
    <row r="67" spans="1:7">
      <c r="A67" t="str">
        <f>IF('Product List'!B67="","",'Product List'!B67)</f>
        <v/>
      </c>
      <c r="B67" t="str">
        <f>IF('Product List'!C67="","",'Product List'!C67)</f>
        <v/>
      </c>
      <c r="C67" t="str">
        <f>IF(SUMIFS('Purchase Record'!G:G,'Purchase Record'!F:F,Sheet4!A67)=0,"",SUMIFS('Purchase Record'!G:G,'Purchase Record'!F:F,Sheet4!A67))</f>
        <v/>
      </c>
      <c r="D67" t="str">
        <f>IF(SUMIFS('Sales Record'!H:H,'Sales Record'!F:F,Sheet4!A67)=0,"",SUMIFS('Sales Record'!H:H,'Sales Record'!F:F,Sheet4!A67))</f>
        <v/>
      </c>
      <c r="E67" t="str">
        <f>IF(SUMIFS('Sales Return'!G:G,'Sales Return'!F:F,Sheet4!A67)=0,"",SUMIFS('Sales Return'!G:G,'Sales Return'!F:F,Sheet4!A67))</f>
        <v/>
      </c>
      <c r="F67" t="str">
        <f>IF(SUMIFS('Purchase Return'!G:G,'Purchase Return'!F:F,Sheet4!A67)=0,"",SUMIFS('Purchase Return'!G:G,'Purchase Return'!F:F,Sheet4!A67))</f>
        <v/>
      </c>
      <c r="G67" t="str">
        <f t="shared" ref="G67:G130" si="1">IF(C67="","",N(C67)-N(D67)+N(E67)-N(F67))</f>
        <v/>
      </c>
    </row>
    <row r="68" spans="1:7">
      <c r="A68" t="str">
        <f>IF('Product List'!B68="","",'Product List'!B68)</f>
        <v/>
      </c>
      <c r="B68" t="str">
        <f>IF('Product List'!C68="","",'Product List'!C68)</f>
        <v/>
      </c>
      <c r="C68" t="str">
        <f>IF(SUMIFS('Purchase Record'!G:G,'Purchase Record'!F:F,Sheet4!A68)=0,"",SUMIFS('Purchase Record'!G:G,'Purchase Record'!F:F,Sheet4!A68))</f>
        <v/>
      </c>
      <c r="D68" t="str">
        <f>IF(SUMIFS('Sales Record'!H:H,'Sales Record'!F:F,Sheet4!A68)=0,"",SUMIFS('Sales Record'!H:H,'Sales Record'!F:F,Sheet4!A68))</f>
        <v/>
      </c>
      <c r="E68" t="str">
        <f>IF(SUMIFS('Sales Return'!G:G,'Sales Return'!F:F,Sheet4!A68)=0,"",SUMIFS('Sales Return'!G:G,'Sales Return'!F:F,Sheet4!A68))</f>
        <v/>
      </c>
      <c r="F68" t="str">
        <f>IF(SUMIFS('Purchase Return'!G:G,'Purchase Return'!F:F,Sheet4!A68)=0,"",SUMIFS('Purchase Return'!G:G,'Purchase Return'!F:F,Sheet4!A68))</f>
        <v/>
      </c>
      <c r="G68" t="str">
        <f t="shared" si="1"/>
        <v/>
      </c>
    </row>
    <row r="69" spans="1:7">
      <c r="A69" t="str">
        <f>IF('Product List'!B69="","",'Product List'!B69)</f>
        <v/>
      </c>
      <c r="B69" t="str">
        <f>IF('Product List'!C69="","",'Product List'!C69)</f>
        <v/>
      </c>
      <c r="C69" t="str">
        <f>IF(SUMIFS('Purchase Record'!G:G,'Purchase Record'!F:F,Sheet4!A69)=0,"",SUMIFS('Purchase Record'!G:G,'Purchase Record'!F:F,Sheet4!A69))</f>
        <v/>
      </c>
      <c r="D69" t="str">
        <f>IF(SUMIFS('Sales Record'!H:H,'Sales Record'!F:F,Sheet4!A69)=0,"",SUMIFS('Sales Record'!H:H,'Sales Record'!F:F,Sheet4!A69))</f>
        <v/>
      </c>
      <c r="E69" t="str">
        <f>IF(SUMIFS('Sales Return'!G:G,'Sales Return'!F:F,Sheet4!A69)=0,"",SUMIFS('Sales Return'!G:G,'Sales Return'!F:F,Sheet4!A69))</f>
        <v/>
      </c>
      <c r="F69" t="str">
        <f>IF(SUMIFS('Purchase Return'!G:G,'Purchase Return'!F:F,Sheet4!A69)=0,"",SUMIFS('Purchase Return'!G:G,'Purchase Return'!F:F,Sheet4!A69))</f>
        <v/>
      </c>
      <c r="G69" t="str">
        <f t="shared" si="1"/>
        <v/>
      </c>
    </row>
    <row r="70" spans="1:7">
      <c r="A70" t="str">
        <f>IF('Product List'!B70="","",'Product List'!B70)</f>
        <v/>
      </c>
      <c r="B70" t="str">
        <f>IF('Product List'!C70="","",'Product List'!C70)</f>
        <v/>
      </c>
      <c r="C70" t="str">
        <f>IF(SUMIFS('Purchase Record'!G:G,'Purchase Record'!F:F,Sheet4!A70)=0,"",SUMIFS('Purchase Record'!G:G,'Purchase Record'!F:F,Sheet4!A70))</f>
        <v/>
      </c>
      <c r="D70" t="str">
        <f>IF(SUMIFS('Sales Record'!H:H,'Sales Record'!F:F,Sheet4!A70)=0,"",SUMIFS('Sales Record'!H:H,'Sales Record'!F:F,Sheet4!A70))</f>
        <v/>
      </c>
      <c r="E70" t="str">
        <f>IF(SUMIFS('Sales Return'!G:G,'Sales Return'!F:F,Sheet4!A70)=0,"",SUMIFS('Sales Return'!G:G,'Sales Return'!F:F,Sheet4!A70))</f>
        <v/>
      </c>
      <c r="F70" t="str">
        <f>IF(SUMIFS('Purchase Return'!G:G,'Purchase Return'!F:F,Sheet4!A70)=0,"",SUMIFS('Purchase Return'!G:G,'Purchase Return'!F:F,Sheet4!A70))</f>
        <v/>
      </c>
      <c r="G70" t="str">
        <f t="shared" si="1"/>
        <v/>
      </c>
    </row>
    <row r="71" spans="1:7">
      <c r="A71" t="str">
        <f>IF('Product List'!B71="","",'Product List'!B71)</f>
        <v/>
      </c>
      <c r="B71" t="str">
        <f>IF('Product List'!C71="","",'Product List'!C71)</f>
        <v/>
      </c>
      <c r="C71" t="str">
        <f>IF(SUMIFS('Purchase Record'!G:G,'Purchase Record'!F:F,Sheet4!A71)=0,"",SUMIFS('Purchase Record'!G:G,'Purchase Record'!F:F,Sheet4!A71))</f>
        <v/>
      </c>
      <c r="D71" t="str">
        <f>IF(SUMIFS('Sales Record'!H:H,'Sales Record'!F:F,Sheet4!A71)=0,"",SUMIFS('Sales Record'!H:H,'Sales Record'!F:F,Sheet4!A71))</f>
        <v/>
      </c>
      <c r="E71" t="str">
        <f>IF(SUMIFS('Sales Return'!G:G,'Sales Return'!F:F,Sheet4!A71)=0,"",SUMIFS('Sales Return'!G:G,'Sales Return'!F:F,Sheet4!A71))</f>
        <v/>
      </c>
      <c r="F71" t="str">
        <f>IF(SUMIFS('Purchase Return'!G:G,'Purchase Return'!F:F,Sheet4!A71)=0,"",SUMIFS('Purchase Return'!G:G,'Purchase Return'!F:F,Sheet4!A71))</f>
        <v/>
      </c>
      <c r="G71" t="str">
        <f t="shared" si="1"/>
        <v/>
      </c>
    </row>
    <row r="72" spans="1:7">
      <c r="A72" t="str">
        <f>IF('Product List'!B72="","",'Product List'!B72)</f>
        <v/>
      </c>
      <c r="B72" t="str">
        <f>IF('Product List'!C72="","",'Product List'!C72)</f>
        <v/>
      </c>
      <c r="C72" t="str">
        <f>IF(SUMIFS('Purchase Record'!G:G,'Purchase Record'!F:F,Sheet4!A72)=0,"",SUMIFS('Purchase Record'!G:G,'Purchase Record'!F:F,Sheet4!A72))</f>
        <v/>
      </c>
      <c r="D72" t="str">
        <f>IF(SUMIFS('Sales Record'!H:H,'Sales Record'!F:F,Sheet4!A72)=0,"",SUMIFS('Sales Record'!H:H,'Sales Record'!F:F,Sheet4!A72))</f>
        <v/>
      </c>
      <c r="E72" t="str">
        <f>IF(SUMIFS('Sales Return'!G:G,'Sales Return'!F:F,Sheet4!A72)=0,"",SUMIFS('Sales Return'!G:G,'Sales Return'!F:F,Sheet4!A72))</f>
        <v/>
      </c>
      <c r="F72" t="str">
        <f>IF(SUMIFS('Purchase Return'!G:G,'Purchase Return'!F:F,Sheet4!A72)=0,"",SUMIFS('Purchase Return'!G:G,'Purchase Return'!F:F,Sheet4!A72))</f>
        <v/>
      </c>
      <c r="G72" t="str">
        <f t="shared" si="1"/>
        <v/>
      </c>
    </row>
    <row r="73" spans="1:7">
      <c r="A73" t="str">
        <f>IF('Product List'!B73="","",'Product List'!B73)</f>
        <v/>
      </c>
      <c r="B73" t="str">
        <f>IF('Product List'!C73="","",'Product List'!C73)</f>
        <v/>
      </c>
      <c r="C73" t="str">
        <f>IF(SUMIFS('Purchase Record'!G:G,'Purchase Record'!F:F,Sheet4!A73)=0,"",SUMIFS('Purchase Record'!G:G,'Purchase Record'!F:F,Sheet4!A73))</f>
        <v/>
      </c>
      <c r="D73" t="str">
        <f>IF(SUMIFS('Sales Record'!H:H,'Sales Record'!F:F,Sheet4!A73)=0,"",SUMIFS('Sales Record'!H:H,'Sales Record'!F:F,Sheet4!A73))</f>
        <v/>
      </c>
      <c r="E73" t="str">
        <f>IF(SUMIFS('Sales Return'!G:G,'Sales Return'!F:F,Sheet4!A73)=0,"",SUMIFS('Sales Return'!G:G,'Sales Return'!F:F,Sheet4!A73))</f>
        <v/>
      </c>
      <c r="F73" t="str">
        <f>IF(SUMIFS('Purchase Return'!G:G,'Purchase Return'!F:F,Sheet4!A73)=0,"",SUMIFS('Purchase Return'!G:G,'Purchase Return'!F:F,Sheet4!A73))</f>
        <v/>
      </c>
      <c r="G73" t="str">
        <f t="shared" si="1"/>
        <v/>
      </c>
    </row>
    <row r="74" spans="1:7">
      <c r="A74" t="str">
        <f>IF('Product List'!B74="","",'Product List'!B74)</f>
        <v/>
      </c>
      <c r="B74" t="str">
        <f>IF('Product List'!C74="","",'Product List'!C74)</f>
        <v/>
      </c>
      <c r="C74" t="str">
        <f>IF(SUMIFS('Purchase Record'!G:G,'Purchase Record'!F:F,Sheet4!A74)=0,"",SUMIFS('Purchase Record'!G:G,'Purchase Record'!F:F,Sheet4!A74))</f>
        <v/>
      </c>
      <c r="D74" t="str">
        <f>IF(SUMIFS('Sales Record'!H:H,'Sales Record'!F:F,Sheet4!A74)=0,"",SUMIFS('Sales Record'!H:H,'Sales Record'!F:F,Sheet4!A74))</f>
        <v/>
      </c>
      <c r="E74" t="str">
        <f>IF(SUMIFS('Sales Return'!G:G,'Sales Return'!F:F,Sheet4!A74)=0,"",SUMIFS('Sales Return'!G:G,'Sales Return'!F:F,Sheet4!A74))</f>
        <v/>
      </c>
      <c r="F74" t="str">
        <f>IF(SUMIFS('Purchase Return'!G:G,'Purchase Return'!F:F,Sheet4!A74)=0,"",SUMIFS('Purchase Return'!G:G,'Purchase Return'!F:F,Sheet4!A74))</f>
        <v/>
      </c>
      <c r="G74" t="str">
        <f t="shared" si="1"/>
        <v/>
      </c>
    </row>
    <row r="75" spans="1:7">
      <c r="A75" t="str">
        <f>IF('Product List'!B75="","",'Product List'!B75)</f>
        <v/>
      </c>
      <c r="B75" t="str">
        <f>IF('Product List'!C75="","",'Product List'!C75)</f>
        <v/>
      </c>
      <c r="C75" t="str">
        <f>IF(SUMIFS('Purchase Record'!G:G,'Purchase Record'!F:F,Sheet4!A75)=0,"",SUMIFS('Purchase Record'!G:G,'Purchase Record'!F:F,Sheet4!A75))</f>
        <v/>
      </c>
      <c r="D75" t="str">
        <f>IF(SUMIFS('Sales Record'!H:H,'Sales Record'!F:F,Sheet4!A75)=0,"",SUMIFS('Sales Record'!H:H,'Sales Record'!F:F,Sheet4!A75))</f>
        <v/>
      </c>
      <c r="E75" t="str">
        <f>IF(SUMIFS('Sales Return'!G:G,'Sales Return'!F:F,Sheet4!A75)=0,"",SUMIFS('Sales Return'!G:G,'Sales Return'!F:F,Sheet4!A75))</f>
        <v/>
      </c>
      <c r="F75" t="str">
        <f>IF(SUMIFS('Purchase Return'!G:G,'Purchase Return'!F:F,Sheet4!A75)=0,"",SUMIFS('Purchase Return'!G:G,'Purchase Return'!F:F,Sheet4!A75))</f>
        <v/>
      </c>
      <c r="G75" t="str">
        <f t="shared" si="1"/>
        <v/>
      </c>
    </row>
    <row r="76" spans="1:7">
      <c r="A76" t="str">
        <f>IF('Product List'!B76="","",'Product List'!B76)</f>
        <v/>
      </c>
      <c r="B76" t="str">
        <f>IF('Product List'!C76="","",'Product List'!C76)</f>
        <v/>
      </c>
      <c r="C76" t="str">
        <f>IF(SUMIFS('Purchase Record'!G:G,'Purchase Record'!F:F,Sheet4!A76)=0,"",SUMIFS('Purchase Record'!G:G,'Purchase Record'!F:F,Sheet4!A76))</f>
        <v/>
      </c>
      <c r="D76" t="str">
        <f>IF(SUMIFS('Sales Record'!H:H,'Sales Record'!F:F,Sheet4!A76)=0,"",SUMIFS('Sales Record'!H:H,'Sales Record'!F:F,Sheet4!A76))</f>
        <v/>
      </c>
      <c r="E76" t="str">
        <f>IF(SUMIFS('Sales Return'!G:G,'Sales Return'!F:F,Sheet4!A76)=0,"",SUMIFS('Sales Return'!G:G,'Sales Return'!F:F,Sheet4!A76))</f>
        <v/>
      </c>
      <c r="F76" t="str">
        <f>IF(SUMIFS('Purchase Return'!G:G,'Purchase Return'!F:F,Sheet4!A76)=0,"",SUMIFS('Purchase Return'!G:G,'Purchase Return'!F:F,Sheet4!A76))</f>
        <v/>
      </c>
      <c r="G76" t="str">
        <f t="shared" si="1"/>
        <v/>
      </c>
    </row>
    <row r="77" spans="1:7">
      <c r="A77" t="str">
        <f>IF('Product List'!B77="","",'Product List'!B77)</f>
        <v/>
      </c>
      <c r="B77" t="str">
        <f>IF('Product List'!C77="","",'Product List'!C77)</f>
        <v/>
      </c>
      <c r="C77" t="str">
        <f>IF(SUMIFS('Purchase Record'!G:G,'Purchase Record'!F:F,Sheet4!A77)=0,"",SUMIFS('Purchase Record'!G:G,'Purchase Record'!F:F,Sheet4!A77))</f>
        <v/>
      </c>
      <c r="D77" t="str">
        <f>IF(SUMIFS('Sales Record'!H:H,'Sales Record'!F:F,Sheet4!A77)=0,"",SUMIFS('Sales Record'!H:H,'Sales Record'!F:F,Sheet4!A77))</f>
        <v/>
      </c>
      <c r="E77" t="str">
        <f>IF(SUMIFS('Sales Return'!G:G,'Sales Return'!F:F,Sheet4!A77)=0,"",SUMIFS('Sales Return'!G:G,'Sales Return'!F:F,Sheet4!A77))</f>
        <v/>
      </c>
      <c r="F77" t="str">
        <f>IF(SUMIFS('Purchase Return'!G:G,'Purchase Return'!F:F,Sheet4!A77)=0,"",SUMIFS('Purchase Return'!G:G,'Purchase Return'!F:F,Sheet4!A77))</f>
        <v/>
      </c>
      <c r="G77" t="str">
        <f t="shared" si="1"/>
        <v/>
      </c>
    </row>
    <row r="78" spans="1:7">
      <c r="A78" t="str">
        <f>IF('Product List'!B78="","",'Product List'!B78)</f>
        <v/>
      </c>
      <c r="B78" t="str">
        <f>IF('Product List'!C78="","",'Product List'!C78)</f>
        <v/>
      </c>
      <c r="C78" t="str">
        <f>IF(SUMIFS('Purchase Record'!G:G,'Purchase Record'!F:F,Sheet4!A78)=0,"",SUMIFS('Purchase Record'!G:G,'Purchase Record'!F:F,Sheet4!A78))</f>
        <v/>
      </c>
      <c r="D78" t="str">
        <f>IF(SUMIFS('Sales Record'!H:H,'Sales Record'!F:F,Sheet4!A78)=0,"",SUMIFS('Sales Record'!H:H,'Sales Record'!F:F,Sheet4!A78))</f>
        <v/>
      </c>
      <c r="E78" t="str">
        <f>IF(SUMIFS('Sales Return'!G:G,'Sales Return'!F:F,Sheet4!A78)=0,"",SUMIFS('Sales Return'!G:G,'Sales Return'!F:F,Sheet4!A78))</f>
        <v/>
      </c>
      <c r="F78" t="str">
        <f>IF(SUMIFS('Purchase Return'!G:G,'Purchase Return'!F:F,Sheet4!A78)=0,"",SUMIFS('Purchase Return'!G:G,'Purchase Return'!F:F,Sheet4!A78))</f>
        <v/>
      </c>
      <c r="G78" t="str">
        <f t="shared" si="1"/>
        <v/>
      </c>
    </row>
    <row r="79" spans="1:7">
      <c r="A79" t="str">
        <f>IF('Product List'!B79="","",'Product List'!B79)</f>
        <v/>
      </c>
      <c r="B79" t="str">
        <f>IF('Product List'!C79="","",'Product List'!C79)</f>
        <v/>
      </c>
      <c r="C79" t="str">
        <f>IF(SUMIFS('Purchase Record'!G:G,'Purchase Record'!F:F,Sheet4!A79)=0,"",SUMIFS('Purchase Record'!G:G,'Purchase Record'!F:F,Sheet4!A79))</f>
        <v/>
      </c>
      <c r="D79" t="str">
        <f>IF(SUMIFS('Sales Record'!H:H,'Sales Record'!F:F,Sheet4!A79)=0,"",SUMIFS('Sales Record'!H:H,'Sales Record'!F:F,Sheet4!A79))</f>
        <v/>
      </c>
      <c r="E79" t="str">
        <f>IF(SUMIFS('Sales Return'!G:G,'Sales Return'!F:F,Sheet4!A79)=0,"",SUMIFS('Sales Return'!G:G,'Sales Return'!F:F,Sheet4!A79))</f>
        <v/>
      </c>
      <c r="F79" t="str">
        <f>IF(SUMIFS('Purchase Return'!G:G,'Purchase Return'!F:F,Sheet4!A79)=0,"",SUMIFS('Purchase Return'!G:G,'Purchase Return'!F:F,Sheet4!A79))</f>
        <v/>
      </c>
      <c r="G79" t="str">
        <f t="shared" si="1"/>
        <v/>
      </c>
    </row>
    <row r="80" spans="1:7">
      <c r="A80" t="str">
        <f>IF('Product List'!B80="","",'Product List'!B80)</f>
        <v/>
      </c>
      <c r="B80" t="str">
        <f>IF('Product List'!C80="","",'Product List'!C80)</f>
        <v/>
      </c>
      <c r="C80" t="str">
        <f>IF(SUMIFS('Purchase Record'!G:G,'Purchase Record'!F:F,Sheet4!A80)=0,"",SUMIFS('Purchase Record'!G:G,'Purchase Record'!F:F,Sheet4!A80))</f>
        <v/>
      </c>
      <c r="D80" t="str">
        <f>IF(SUMIFS('Sales Record'!H:H,'Sales Record'!F:F,Sheet4!A80)=0,"",SUMIFS('Sales Record'!H:H,'Sales Record'!F:F,Sheet4!A80))</f>
        <v/>
      </c>
      <c r="E80" t="str">
        <f>IF(SUMIFS('Sales Return'!G:G,'Sales Return'!F:F,Sheet4!A80)=0,"",SUMIFS('Sales Return'!G:G,'Sales Return'!F:F,Sheet4!A80))</f>
        <v/>
      </c>
      <c r="F80" t="str">
        <f>IF(SUMIFS('Purchase Return'!G:G,'Purchase Return'!F:F,Sheet4!A80)=0,"",SUMIFS('Purchase Return'!G:G,'Purchase Return'!F:F,Sheet4!A80))</f>
        <v/>
      </c>
      <c r="G80" t="str">
        <f t="shared" si="1"/>
        <v/>
      </c>
    </row>
    <row r="81" spans="1:7">
      <c r="A81" t="str">
        <f>IF('Product List'!B81="","",'Product List'!B81)</f>
        <v/>
      </c>
      <c r="B81" t="str">
        <f>IF('Product List'!C81="","",'Product List'!C81)</f>
        <v/>
      </c>
      <c r="C81" t="str">
        <f>IF(SUMIFS('Purchase Record'!G:G,'Purchase Record'!F:F,Sheet4!A81)=0,"",SUMIFS('Purchase Record'!G:G,'Purchase Record'!F:F,Sheet4!A81))</f>
        <v/>
      </c>
      <c r="D81" t="str">
        <f>IF(SUMIFS('Sales Record'!H:H,'Sales Record'!F:F,Sheet4!A81)=0,"",SUMIFS('Sales Record'!H:H,'Sales Record'!F:F,Sheet4!A81))</f>
        <v/>
      </c>
      <c r="E81" t="str">
        <f>IF(SUMIFS('Sales Return'!G:G,'Sales Return'!F:F,Sheet4!A81)=0,"",SUMIFS('Sales Return'!G:G,'Sales Return'!F:F,Sheet4!A81))</f>
        <v/>
      </c>
      <c r="F81" t="str">
        <f>IF(SUMIFS('Purchase Return'!G:G,'Purchase Return'!F:F,Sheet4!A81)=0,"",SUMIFS('Purchase Return'!G:G,'Purchase Return'!F:F,Sheet4!A81))</f>
        <v/>
      </c>
      <c r="G81" t="str">
        <f t="shared" si="1"/>
        <v/>
      </c>
    </row>
    <row r="82" spans="1:7">
      <c r="A82" t="str">
        <f>IF('Product List'!B82="","",'Product List'!B82)</f>
        <v/>
      </c>
      <c r="B82" t="str">
        <f>IF('Product List'!C82="","",'Product List'!C82)</f>
        <v/>
      </c>
      <c r="C82" t="str">
        <f>IF(SUMIFS('Purchase Record'!G:G,'Purchase Record'!F:F,Sheet4!A82)=0,"",SUMIFS('Purchase Record'!G:G,'Purchase Record'!F:F,Sheet4!A82))</f>
        <v/>
      </c>
      <c r="D82" t="str">
        <f>IF(SUMIFS('Sales Record'!H:H,'Sales Record'!F:F,Sheet4!A82)=0,"",SUMIFS('Sales Record'!H:H,'Sales Record'!F:F,Sheet4!A82))</f>
        <v/>
      </c>
      <c r="E82" t="str">
        <f>IF(SUMIFS('Sales Return'!G:G,'Sales Return'!F:F,Sheet4!A82)=0,"",SUMIFS('Sales Return'!G:G,'Sales Return'!F:F,Sheet4!A82))</f>
        <v/>
      </c>
      <c r="F82" t="str">
        <f>IF(SUMIFS('Purchase Return'!G:G,'Purchase Return'!F:F,Sheet4!A82)=0,"",SUMIFS('Purchase Return'!G:G,'Purchase Return'!F:F,Sheet4!A82))</f>
        <v/>
      </c>
      <c r="G82" t="str">
        <f t="shared" si="1"/>
        <v/>
      </c>
    </row>
    <row r="83" spans="1:7">
      <c r="A83" t="str">
        <f>IF('Product List'!B83="","",'Product List'!B83)</f>
        <v/>
      </c>
      <c r="B83" t="str">
        <f>IF('Product List'!C83="","",'Product List'!C83)</f>
        <v/>
      </c>
      <c r="C83" t="str">
        <f>IF(SUMIFS('Purchase Record'!G:G,'Purchase Record'!F:F,Sheet4!A83)=0,"",SUMIFS('Purchase Record'!G:G,'Purchase Record'!F:F,Sheet4!A83))</f>
        <v/>
      </c>
      <c r="D83" t="str">
        <f>IF(SUMIFS('Sales Record'!H:H,'Sales Record'!F:F,Sheet4!A83)=0,"",SUMIFS('Sales Record'!H:H,'Sales Record'!F:F,Sheet4!A83))</f>
        <v/>
      </c>
      <c r="E83" t="str">
        <f>IF(SUMIFS('Sales Return'!G:G,'Sales Return'!F:F,Sheet4!A83)=0,"",SUMIFS('Sales Return'!G:G,'Sales Return'!F:F,Sheet4!A83))</f>
        <v/>
      </c>
      <c r="F83" t="str">
        <f>IF(SUMIFS('Purchase Return'!G:G,'Purchase Return'!F:F,Sheet4!A83)=0,"",SUMIFS('Purchase Return'!G:G,'Purchase Return'!F:F,Sheet4!A83))</f>
        <v/>
      </c>
      <c r="G83" t="str">
        <f t="shared" si="1"/>
        <v/>
      </c>
    </row>
    <row r="84" spans="1:7">
      <c r="A84" t="str">
        <f>IF('Product List'!B84="","",'Product List'!B84)</f>
        <v/>
      </c>
      <c r="B84" t="str">
        <f>IF('Product List'!C84="","",'Product List'!C84)</f>
        <v/>
      </c>
      <c r="C84" t="str">
        <f>IF(SUMIFS('Purchase Record'!G:G,'Purchase Record'!F:F,Sheet4!A84)=0,"",SUMIFS('Purchase Record'!G:G,'Purchase Record'!F:F,Sheet4!A84))</f>
        <v/>
      </c>
      <c r="D84" t="str">
        <f>IF(SUMIFS('Sales Record'!H:H,'Sales Record'!F:F,Sheet4!A84)=0,"",SUMIFS('Sales Record'!H:H,'Sales Record'!F:F,Sheet4!A84))</f>
        <v/>
      </c>
      <c r="E84" t="str">
        <f>IF(SUMIFS('Sales Return'!G:G,'Sales Return'!F:F,Sheet4!A84)=0,"",SUMIFS('Sales Return'!G:G,'Sales Return'!F:F,Sheet4!A84))</f>
        <v/>
      </c>
      <c r="F84" t="str">
        <f>IF(SUMIFS('Purchase Return'!G:G,'Purchase Return'!F:F,Sheet4!A84)=0,"",SUMIFS('Purchase Return'!G:G,'Purchase Return'!F:F,Sheet4!A84))</f>
        <v/>
      </c>
      <c r="G84" t="str">
        <f t="shared" si="1"/>
        <v/>
      </c>
    </row>
    <row r="85" spans="1:7">
      <c r="A85" t="str">
        <f>IF('Product List'!B85="","",'Product List'!B85)</f>
        <v/>
      </c>
      <c r="B85" t="str">
        <f>IF('Product List'!C85="","",'Product List'!C85)</f>
        <v/>
      </c>
      <c r="C85" t="str">
        <f>IF(SUMIFS('Purchase Record'!G:G,'Purchase Record'!F:F,Sheet4!A85)=0,"",SUMIFS('Purchase Record'!G:G,'Purchase Record'!F:F,Sheet4!A85))</f>
        <v/>
      </c>
      <c r="D85" t="str">
        <f>IF(SUMIFS('Sales Record'!H:H,'Sales Record'!F:F,Sheet4!A85)=0,"",SUMIFS('Sales Record'!H:H,'Sales Record'!F:F,Sheet4!A85))</f>
        <v/>
      </c>
      <c r="E85" t="str">
        <f>IF(SUMIFS('Sales Return'!G:G,'Sales Return'!F:F,Sheet4!A85)=0,"",SUMIFS('Sales Return'!G:G,'Sales Return'!F:F,Sheet4!A85))</f>
        <v/>
      </c>
      <c r="F85" t="str">
        <f>IF(SUMIFS('Purchase Return'!G:G,'Purchase Return'!F:F,Sheet4!A85)=0,"",SUMIFS('Purchase Return'!G:G,'Purchase Return'!F:F,Sheet4!A85))</f>
        <v/>
      </c>
      <c r="G85" t="str">
        <f t="shared" si="1"/>
        <v/>
      </c>
    </row>
    <row r="86" spans="1:7">
      <c r="A86" t="str">
        <f>IF('Product List'!B86="","",'Product List'!B86)</f>
        <v/>
      </c>
      <c r="B86" t="str">
        <f>IF('Product List'!C86="","",'Product List'!C86)</f>
        <v/>
      </c>
      <c r="C86" t="str">
        <f>IF(SUMIFS('Purchase Record'!G:G,'Purchase Record'!F:F,Sheet4!A86)=0,"",SUMIFS('Purchase Record'!G:G,'Purchase Record'!F:F,Sheet4!A86))</f>
        <v/>
      </c>
      <c r="D86" t="str">
        <f>IF(SUMIFS('Sales Record'!H:H,'Sales Record'!F:F,Sheet4!A86)=0,"",SUMIFS('Sales Record'!H:H,'Sales Record'!F:F,Sheet4!A86))</f>
        <v/>
      </c>
      <c r="E86" t="str">
        <f>IF(SUMIFS('Sales Return'!G:G,'Sales Return'!F:F,Sheet4!A86)=0,"",SUMIFS('Sales Return'!G:G,'Sales Return'!F:F,Sheet4!A86))</f>
        <v/>
      </c>
      <c r="F86" t="str">
        <f>IF(SUMIFS('Purchase Return'!G:G,'Purchase Return'!F:F,Sheet4!A86)=0,"",SUMIFS('Purchase Return'!G:G,'Purchase Return'!F:F,Sheet4!A86))</f>
        <v/>
      </c>
      <c r="G86" t="str">
        <f t="shared" si="1"/>
        <v/>
      </c>
    </row>
    <row r="87" spans="1:7">
      <c r="A87" t="str">
        <f>IF('Product List'!B87="","",'Product List'!B87)</f>
        <v/>
      </c>
      <c r="B87" t="str">
        <f>IF('Product List'!C87="","",'Product List'!C87)</f>
        <v/>
      </c>
      <c r="C87" t="str">
        <f>IF(SUMIFS('Purchase Record'!G:G,'Purchase Record'!F:F,Sheet4!A87)=0,"",SUMIFS('Purchase Record'!G:G,'Purchase Record'!F:F,Sheet4!A87))</f>
        <v/>
      </c>
      <c r="D87" t="str">
        <f>IF(SUMIFS('Sales Record'!H:H,'Sales Record'!F:F,Sheet4!A87)=0,"",SUMIFS('Sales Record'!H:H,'Sales Record'!F:F,Sheet4!A87))</f>
        <v/>
      </c>
      <c r="E87" t="str">
        <f>IF(SUMIFS('Sales Return'!G:G,'Sales Return'!F:F,Sheet4!A87)=0,"",SUMIFS('Sales Return'!G:G,'Sales Return'!F:F,Sheet4!A87))</f>
        <v/>
      </c>
      <c r="F87" t="str">
        <f>IF(SUMIFS('Purchase Return'!G:G,'Purchase Return'!F:F,Sheet4!A87)=0,"",SUMIFS('Purchase Return'!G:G,'Purchase Return'!F:F,Sheet4!A87))</f>
        <v/>
      </c>
      <c r="G87" t="str">
        <f t="shared" si="1"/>
        <v/>
      </c>
    </row>
    <row r="88" spans="1:7">
      <c r="A88" t="str">
        <f>IF('Product List'!B88="","",'Product List'!B88)</f>
        <v/>
      </c>
      <c r="B88" t="str">
        <f>IF('Product List'!C88="","",'Product List'!C88)</f>
        <v/>
      </c>
      <c r="C88" t="str">
        <f>IF(SUMIFS('Purchase Record'!G:G,'Purchase Record'!F:F,Sheet4!A88)=0,"",SUMIFS('Purchase Record'!G:G,'Purchase Record'!F:F,Sheet4!A88))</f>
        <v/>
      </c>
      <c r="D88" t="str">
        <f>IF(SUMIFS('Sales Record'!H:H,'Sales Record'!F:F,Sheet4!A88)=0,"",SUMIFS('Sales Record'!H:H,'Sales Record'!F:F,Sheet4!A88))</f>
        <v/>
      </c>
      <c r="E88" t="str">
        <f>IF(SUMIFS('Sales Return'!G:G,'Sales Return'!F:F,Sheet4!A88)=0,"",SUMIFS('Sales Return'!G:G,'Sales Return'!F:F,Sheet4!A88))</f>
        <v/>
      </c>
      <c r="F88" t="str">
        <f>IF(SUMIFS('Purchase Return'!G:G,'Purchase Return'!F:F,Sheet4!A88)=0,"",SUMIFS('Purchase Return'!G:G,'Purchase Return'!F:F,Sheet4!A88))</f>
        <v/>
      </c>
      <c r="G88" t="str">
        <f t="shared" si="1"/>
        <v/>
      </c>
    </row>
    <row r="89" spans="1:7">
      <c r="A89" t="str">
        <f>IF('Product List'!B89="","",'Product List'!B89)</f>
        <v/>
      </c>
      <c r="B89" t="str">
        <f>IF('Product List'!C89="","",'Product List'!C89)</f>
        <v/>
      </c>
      <c r="C89" t="str">
        <f>IF(SUMIFS('Purchase Record'!G:G,'Purchase Record'!F:F,Sheet4!A89)=0,"",SUMIFS('Purchase Record'!G:G,'Purchase Record'!F:F,Sheet4!A89))</f>
        <v/>
      </c>
      <c r="D89" t="str">
        <f>IF(SUMIFS('Sales Record'!H:H,'Sales Record'!F:F,Sheet4!A89)=0,"",SUMIFS('Sales Record'!H:H,'Sales Record'!F:F,Sheet4!A89))</f>
        <v/>
      </c>
      <c r="E89" t="str">
        <f>IF(SUMIFS('Sales Return'!G:G,'Sales Return'!F:F,Sheet4!A89)=0,"",SUMIFS('Sales Return'!G:G,'Sales Return'!F:F,Sheet4!A89))</f>
        <v/>
      </c>
      <c r="F89" t="str">
        <f>IF(SUMIFS('Purchase Return'!G:G,'Purchase Return'!F:F,Sheet4!A89)=0,"",SUMIFS('Purchase Return'!G:G,'Purchase Return'!F:F,Sheet4!A89))</f>
        <v/>
      </c>
      <c r="G89" t="str">
        <f t="shared" si="1"/>
        <v/>
      </c>
    </row>
    <row r="90" spans="1:7">
      <c r="A90" t="str">
        <f>IF('Product List'!B90="","",'Product List'!B90)</f>
        <v/>
      </c>
      <c r="B90" t="str">
        <f>IF('Product List'!C90="","",'Product List'!C90)</f>
        <v/>
      </c>
      <c r="C90" t="str">
        <f>IF(SUMIFS('Purchase Record'!G:G,'Purchase Record'!F:F,Sheet4!A90)=0,"",SUMIFS('Purchase Record'!G:G,'Purchase Record'!F:F,Sheet4!A90))</f>
        <v/>
      </c>
      <c r="D90" t="str">
        <f>IF(SUMIFS('Sales Record'!H:H,'Sales Record'!F:F,Sheet4!A90)=0,"",SUMIFS('Sales Record'!H:H,'Sales Record'!F:F,Sheet4!A90))</f>
        <v/>
      </c>
      <c r="E90" t="str">
        <f>IF(SUMIFS('Sales Return'!G:G,'Sales Return'!F:F,Sheet4!A90)=0,"",SUMIFS('Sales Return'!G:G,'Sales Return'!F:F,Sheet4!A90))</f>
        <v/>
      </c>
      <c r="F90" t="str">
        <f>IF(SUMIFS('Purchase Return'!G:G,'Purchase Return'!F:F,Sheet4!A90)=0,"",SUMIFS('Purchase Return'!G:G,'Purchase Return'!F:F,Sheet4!A90))</f>
        <v/>
      </c>
      <c r="G90" t="str">
        <f t="shared" si="1"/>
        <v/>
      </c>
    </row>
    <row r="91" spans="1:7">
      <c r="A91" t="str">
        <f>IF('Product List'!B91="","",'Product List'!B91)</f>
        <v/>
      </c>
      <c r="B91" t="str">
        <f>IF('Product List'!C91="","",'Product List'!C91)</f>
        <v/>
      </c>
      <c r="C91" t="str">
        <f>IF(SUMIFS('Purchase Record'!G:G,'Purchase Record'!F:F,Sheet4!A91)=0,"",SUMIFS('Purchase Record'!G:G,'Purchase Record'!F:F,Sheet4!A91))</f>
        <v/>
      </c>
      <c r="D91" t="str">
        <f>IF(SUMIFS('Sales Record'!H:H,'Sales Record'!F:F,Sheet4!A91)=0,"",SUMIFS('Sales Record'!H:H,'Sales Record'!F:F,Sheet4!A91))</f>
        <v/>
      </c>
      <c r="E91" t="str">
        <f>IF(SUMIFS('Sales Return'!G:G,'Sales Return'!F:F,Sheet4!A91)=0,"",SUMIFS('Sales Return'!G:G,'Sales Return'!F:F,Sheet4!A91))</f>
        <v/>
      </c>
      <c r="F91" t="str">
        <f>IF(SUMIFS('Purchase Return'!G:G,'Purchase Return'!F:F,Sheet4!A91)=0,"",SUMIFS('Purchase Return'!G:G,'Purchase Return'!F:F,Sheet4!A91))</f>
        <v/>
      </c>
      <c r="G91" t="str">
        <f t="shared" si="1"/>
        <v/>
      </c>
    </row>
    <row r="92" spans="1:7">
      <c r="A92" t="str">
        <f>IF('Product List'!B92="","",'Product List'!B92)</f>
        <v/>
      </c>
      <c r="B92" t="str">
        <f>IF('Product List'!C92="","",'Product List'!C92)</f>
        <v/>
      </c>
      <c r="C92" t="str">
        <f>IF(SUMIFS('Purchase Record'!G:G,'Purchase Record'!F:F,Sheet4!A92)=0,"",SUMIFS('Purchase Record'!G:G,'Purchase Record'!F:F,Sheet4!A92))</f>
        <v/>
      </c>
      <c r="D92" t="str">
        <f>IF(SUMIFS('Sales Record'!H:H,'Sales Record'!F:F,Sheet4!A92)=0,"",SUMIFS('Sales Record'!H:H,'Sales Record'!F:F,Sheet4!A92))</f>
        <v/>
      </c>
      <c r="E92" t="str">
        <f>IF(SUMIFS('Sales Return'!G:G,'Sales Return'!F:F,Sheet4!A92)=0,"",SUMIFS('Sales Return'!G:G,'Sales Return'!F:F,Sheet4!A92))</f>
        <v/>
      </c>
      <c r="F92" t="str">
        <f>IF(SUMIFS('Purchase Return'!G:G,'Purchase Return'!F:F,Sheet4!A92)=0,"",SUMIFS('Purchase Return'!G:G,'Purchase Return'!F:F,Sheet4!A92))</f>
        <v/>
      </c>
      <c r="G92" t="str">
        <f t="shared" si="1"/>
        <v/>
      </c>
    </row>
    <row r="93" spans="1:7">
      <c r="A93" t="str">
        <f>IF('Product List'!B93="","",'Product List'!B93)</f>
        <v/>
      </c>
      <c r="B93" t="str">
        <f>IF('Product List'!C93="","",'Product List'!C93)</f>
        <v/>
      </c>
      <c r="C93" t="str">
        <f>IF(SUMIFS('Purchase Record'!G:G,'Purchase Record'!F:F,Sheet4!A93)=0,"",SUMIFS('Purchase Record'!G:G,'Purchase Record'!F:F,Sheet4!A93))</f>
        <v/>
      </c>
      <c r="D93" t="str">
        <f>IF(SUMIFS('Sales Record'!H:H,'Sales Record'!F:F,Sheet4!A93)=0,"",SUMIFS('Sales Record'!H:H,'Sales Record'!F:F,Sheet4!A93))</f>
        <v/>
      </c>
      <c r="E93" t="str">
        <f>IF(SUMIFS('Sales Return'!G:G,'Sales Return'!F:F,Sheet4!A93)=0,"",SUMIFS('Sales Return'!G:G,'Sales Return'!F:F,Sheet4!A93))</f>
        <v/>
      </c>
      <c r="F93" t="str">
        <f>IF(SUMIFS('Purchase Return'!G:G,'Purchase Return'!F:F,Sheet4!A93)=0,"",SUMIFS('Purchase Return'!G:G,'Purchase Return'!F:F,Sheet4!A93))</f>
        <v/>
      </c>
      <c r="G93" t="str">
        <f t="shared" si="1"/>
        <v/>
      </c>
    </row>
    <row r="94" spans="1:7">
      <c r="A94" t="str">
        <f>IF('Product List'!B94="","",'Product List'!B94)</f>
        <v/>
      </c>
      <c r="B94" t="str">
        <f>IF('Product List'!C94="","",'Product List'!C94)</f>
        <v/>
      </c>
      <c r="C94" t="str">
        <f>IF(SUMIFS('Purchase Record'!G:G,'Purchase Record'!F:F,Sheet4!A94)=0,"",SUMIFS('Purchase Record'!G:G,'Purchase Record'!F:F,Sheet4!A94))</f>
        <v/>
      </c>
      <c r="D94" t="str">
        <f>IF(SUMIFS('Sales Record'!H:H,'Sales Record'!F:F,Sheet4!A94)=0,"",SUMIFS('Sales Record'!H:H,'Sales Record'!F:F,Sheet4!A94))</f>
        <v/>
      </c>
      <c r="E94" t="str">
        <f>IF(SUMIFS('Sales Return'!G:G,'Sales Return'!F:F,Sheet4!A94)=0,"",SUMIFS('Sales Return'!G:G,'Sales Return'!F:F,Sheet4!A94))</f>
        <v/>
      </c>
      <c r="F94" t="str">
        <f>IF(SUMIFS('Purchase Return'!G:G,'Purchase Return'!F:F,Sheet4!A94)=0,"",SUMIFS('Purchase Return'!G:G,'Purchase Return'!F:F,Sheet4!A94))</f>
        <v/>
      </c>
      <c r="G94" t="str">
        <f t="shared" si="1"/>
        <v/>
      </c>
    </row>
    <row r="95" spans="1:7">
      <c r="A95" t="str">
        <f>IF('Product List'!B95="","",'Product List'!B95)</f>
        <v/>
      </c>
      <c r="B95" t="str">
        <f>IF('Product List'!C95="","",'Product List'!C95)</f>
        <v/>
      </c>
      <c r="C95" t="str">
        <f>IF(SUMIFS('Purchase Record'!G:G,'Purchase Record'!F:F,Sheet4!A95)=0,"",SUMIFS('Purchase Record'!G:G,'Purchase Record'!F:F,Sheet4!A95))</f>
        <v/>
      </c>
      <c r="D95" t="str">
        <f>IF(SUMIFS('Sales Record'!H:H,'Sales Record'!F:F,Sheet4!A95)=0,"",SUMIFS('Sales Record'!H:H,'Sales Record'!F:F,Sheet4!A95))</f>
        <v/>
      </c>
      <c r="E95" t="str">
        <f>IF(SUMIFS('Sales Return'!G:G,'Sales Return'!F:F,Sheet4!A95)=0,"",SUMIFS('Sales Return'!G:G,'Sales Return'!F:F,Sheet4!A95))</f>
        <v/>
      </c>
      <c r="F95" t="str">
        <f>IF(SUMIFS('Purchase Return'!G:G,'Purchase Return'!F:F,Sheet4!A95)=0,"",SUMIFS('Purchase Return'!G:G,'Purchase Return'!F:F,Sheet4!A95))</f>
        <v/>
      </c>
      <c r="G95" t="str">
        <f t="shared" si="1"/>
        <v/>
      </c>
    </row>
    <row r="96" spans="1:7">
      <c r="A96" t="str">
        <f>IF('Product List'!B96="","",'Product List'!B96)</f>
        <v/>
      </c>
      <c r="B96" t="str">
        <f>IF('Product List'!C96="","",'Product List'!C96)</f>
        <v/>
      </c>
      <c r="C96" t="str">
        <f>IF(SUMIFS('Purchase Record'!G:G,'Purchase Record'!F:F,Sheet4!A96)=0,"",SUMIFS('Purchase Record'!G:G,'Purchase Record'!F:F,Sheet4!A96))</f>
        <v/>
      </c>
      <c r="D96" t="str">
        <f>IF(SUMIFS('Sales Record'!H:H,'Sales Record'!F:F,Sheet4!A96)=0,"",SUMIFS('Sales Record'!H:H,'Sales Record'!F:F,Sheet4!A96))</f>
        <v/>
      </c>
      <c r="E96" t="str">
        <f>IF(SUMIFS('Sales Return'!G:G,'Sales Return'!F:F,Sheet4!A96)=0,"",SUMIFS('Sales Return'!G:G,'Sales Return'!F:F,Sheet4!A96))</f>
        <v/>
      </c>
      <c r="F96" t="str">
        <f>IF(SUMIFS('Purchase Return'!G:G,'Purchase Return'!F:F,Sheet4!A96)=0,"",SUMIFS('Purchase Return'!G:G,'Purchase Return'!F:F,Sheet4!A96))</f>
        <v/>
      </c>
      <c r="G96" t="str">
        <f t="shared" si="1"/>
        <v/>
      </c>
    </row>
    <row r="97" spans="1:7">
      <c r="A97" t="str">
        <f>IF('Product List'!B97="","",'Product List'!B97)</f>
        <v/>
      </c>
      <c r="B97" t="str">
        <f>IF('Product List'!C97="","",'Product List'!C97)</f>
        <v/>
      </c>
      <c r="C97" t="str">
        <f>IF(SUMIFS('Purchase Record'!G:G,'Purchase Record'!F:F,Sheet4!A97)=0,"",SUMIFS('Purchase Record'!G:G,'Purchase Record'!F:F,Sheet4!A97))</f>
        <v/>
      </c>
      <c r="D97" t="str">
        <f>IF(SUMIFS('Sales Record'!H:H,'Sales Record'!F:F,Sheet4!A97)=0,"",SUMIFS('Sales Record'!H:H,'Sales Record'!F:F,Sheet4!A97))</f>
        <v/>
      </c>
      <c r="E97" t="str">
        <f>IF(SUMIFS('Sales Return'!G:G,'Sales Return'!F:F,Sheet4!A97)=0,"",SUMIFS('Sales Return'!G:G,'Sales Return'!F:F,Sheet4!A97))</f>
        <v/>
      </c>
      <c r="F97" t="str">
        <f>IF(SUMIFS('Purchase Return'!G:G,'Purchase Return'!F:F,Sheet4!A97)=0,"",SUMIFS('Purchase Return'!G:G,'Purchase Return'!F:F,Sheet4!A97))</f>
        <v/>
      </c>
      <c r="G97" t="str">
        <f t="shared" si="1"/>
        <v/>
      </c>
    </row>
    <row r="98" spans="1:7">
      <c r="A98" t="str">
        <f>IF('Product List'!B98="","",'Product List'!B98)</f>
        <v/>
      </c>
      <c r="B98" t="str">
        <f>IF('Product List'!C98="","",'Product List'!C98)</f>
        <v/>
      </c>
      <c r="C98" t="str">
        <f>IF(SUMIFS('Purchase Record'!G:G,'Purchase Record'!F:F,Sheet4!A98)=0,"",SUMIFS('Purchase Record'!G:G,'Purchase Record'!F:F,Sheet4!A98))</f>
        <v/>
      </c>
      <c r="D98" t="str">
        <f>IF(SUMIFS('Sales Record'!H:H,'Sales Record'!F:F,Sheet4!A98)=0,"",SUMIFS('Sales Record'!H:H,'Sales Record'!F:F,Sheet4!A98))</f>
        <v/>
      </c>
      <c r="E98" t="str">
        <f>IF(SUMIFS('Sales Return'!G:G,'Sales Return'!F:F,Sheet4!A98)=0,"",SUMIFS('Sales Return'!G:G,'Sales Return'!F:F,Sheet4!A98))</f>
        <v/>
      </c>
      <c r="F98" t="str">
        <f>IF(SUMIFS('Purchase Return'!G:G,'Purchase Return'!F:F,Sheet4!A98)=0,"",SUMIFS('Purchase Return'!G:G,'Purchase Return'!F:F,Sheet4!A98))</f>
        <v/>
      </c>
      <c r="G98" t="str">
        <f t="shared" si="1"/>
        <v/>
      </c>
    </row>
    <row r="99" spans="1:7">
      <c r="A99" t="str">
        <f>IF('Product List'!B99="","",'Product List'!B99)</f>
        <v/>
      </c>
      <c r="B99" t="str">
        <f>IF('Product List'!C99="","",'Product List'!C99)</f>
        <v/>
      </c>
      <c r="C99" t="str">
        <f>IF(SUMIFS('Purchase Record'!G:G,'Purchase Record'!F:F,Sheet4!A99)=0,"",SUMIFS('Purchase Record'!G:G,'Purchase Record'!F:F,Sheet4!A99))</f>
        <v/>
      </c>
      <c r="D99" t="str">
        <f>IF(SUMIFS('Sales Record'!H:H,'Sales Record'!F:F,Sheet4!A99)=0,"",SUMIFS('Sales Record'!H:H,'Sales Record'!F:F,Sheet4!A99))</f>
        <v/>
      </c>
      <c r="E99" t="str">
        <f>IF(SUMIFS('Sales Return'!G:G,'Sales Return'!F:F,Sheet4!A99)=0,"",SUMIFS('Sales Return'!G:G,'Sales Return'!F:F,Sheet4!A99))</f>
        <v/>
      </c>
      <c r="F99" t="str">
        <f>IF(SUMIFS('Purchase Return'!G:G,'Purchase Return'!F:F,Sheet4!A99)=0,"",SUMIFS('Purchase Return'!G:G,'Purchase Return'!F:F,Sheet4!A99))</f>
        <v/>
      </c>
      <c r="G99" t="str">
        <f t="shared" si="1"/>
        <v/>
      </c>
    </row>
    <row r="100" spans="1:7">
      <c r="A100" t="str">
        <f>IF('Product List'!B100="","",'Product List'!B100)</f>
        <v/>
      </c>
      <c r="B100" t="str">
        <f>IF('Product List'!C100="","",'Product List'!C100)</f>
        <v/>
      </c>
      <c r="C100" t="str">
        <f>IF(SUMIFS('Purchase Record'!G:G,'Purchase Record'!F:F,Sheet4!A100)=0,"",SUMIFS('Purchase Record'!G:G,'Purchase Record'!F:F,Sheet4!A100))</f>
        <v/>
      </c>
      <c r="D100" t="str">
        <f>IF(SUMIFS('Sales Record'!H:H,'Sales Record'!F:F,Sheet4!A100)=0,"",SUMIFS('Sales Record'!H:H,'Sales Record'!F:F,Sheet4!A100))</f>
        <v/>
      </c>
      <c r="E100" t="str">
        <f>IF(SUMIFS('Sales Return'!G:G,'Sales Return'!F:F,Sheet4!A100)=0,"",SUMIFS('Sales Return'!G:G,'Sales Return'!F:F,Sheet4!A100))</f>
        <v/>
      </c>
      <c r="F100" t="str">
        <f>IF(SUMIFS('Purchase Return'!G:G,'Purchase Return'!F:F,Sheet4!A100)=0,"",SUMIFS('Purchase Return'!G:G,'Purchase Return'!F:F,Sheet4!A100))</f>
        <v/>
      </c>
      <c r="G100" t="str">
        <f t="shared" si="1"/>
        <v/>
      </c>
    </row>
    <row r="101" spans="1:7">
      <c r="A101" t="str">
        <f>IF('Product List'!B101="","",'Product List'!B101)</f>
        <v/>
      </c>
      <c r="B101" t="str">
        <f>IF('Product List'!C101="","",'Product List'!C101)</f>
        <v/>
      </c>
      <c r="C101" t="str">
        <f>IF(SUMIFS('Purchase Record'!G:G,'Purchase Record'!F:F,Sheet4!A101)=0,"",SUMIFS('Purchase Record'!G:G,'Purchase Record'!F:F,Sheet4!A101))</f>
        <v/>
      </c>
      <c r="D101" t="str">
        <f>IF(SUMIFS('Sales Record'!H:H,'Sales Record'!F:F,Sheet4!A101)=0,"",SUMIFS('Sales Record'!H:H,'Sales Record'!F:F,Sheet4!A101))</f>
        <v/>
      </c>
      <c r="E101" t="str">
        <f>IF(SUMIFS('Sales Return'!G:G,'Sales Return'!F:F,Sheet4!A101)=0,"",SUMIFS('Sales Return'!G:G,'Sales Return'!F:F,Sheet4!A101))</f>
        <v/>
      </c>
      <c r="F101" t="str">
        <f>IF(SUMIFS('Purchase Return'!G:G,'Purchase Return'!F:F,Sheet4!A101)=0,"",SUMIFS('Purchase Return'!G:G,'Purchase Return'!F:F,Sheet4!A101))</f>
        <v/>
      </c>
      <c r="G101" t="str">
        <f t="shared" si="1"/>
        <v/>
      </c>
    </row>
    <row r="102" spans="1:7">
      <c r="A102" t="str">
        <f>IF('Product List'!B102="","",'Product List'!B102)</f>
        <v/>
      </c>
      <c r="B102" t="str">
        <f>IF('Product List'!C102="","",'Product List'!C102)</f>
        <v/>
      </c>
      <c r="C102" t="str">
        <f>IF(SUMIFS('Purchase Record'!G:G,'Purchase Record'!F:F,Sheet4!A102)=0,"",SUMIFS('Purchase Record'!G:G,'Purchase Record'!F:F,Sheet4!A102))</f>
        <v/>
      </c>
      <c r="D102" t="str">
        <f>IF(SUMIFS('Sales Record'!H:H,'Sales Record'!F:F,Sheet4!A102)=0,"",SUMIFS('Sales Record'!H:H,'Sales Record'!F:F,Sheet4!A102))</f>
        <v/>
      </c>
      <c r="E102" t="str">
        <f>IF(SUMIFS('Sales Return'!G:G,'Sales Return'!F:F,Sheet4!A102)=0,"",SUMIFS('Sales Return'!G:G,'Sales Return'!F:F,Sheet4!A102))</f>
        <v/>
      </c>
      <c r="F102" t="str">
        <f>IF(SUMIFS('Purchase Return'!G:G,'Purchase Return'!F:F,Sheet4!A102)=0,"",SUMIFS('Purchase Return'!G:G,'Purchase Return'!F:F,Sheet4!A102))</f>
        <v/>
      </c>
      <c r="G102" t="str">
        <f t="shared" si="1"/>
        <v/>
      </c>
    </row>
    <row r="103" spans="1:7">
      <c r="A103" t="str">
        <f>IF('Product List'!B103="","",'Product List'!B103)</f>
        <v/>
      </c>
      <c r="B103" t="str">
        <f>IF('Product List'!C103="","",'Product List'!C103)</f>
        <v/>
      </c>
      <c r="C103" t="str">
        <f>IF(SUMIFS('Purchase Record'!G:G,'Purchase Record'!F:F,Sheet4!A103)=0,"",SUMIFS('Purchase Record'!G:G,'Purchase Record'!F:F,Sheet4!A103))</f>
        <v/>
      </c>
      <c r="D103" t="str">
        <f>IF(SUMIFS('Sales Record'!H:H,'Sales Record'!F:F,Sheet4!A103)=0,"",SUMIFS('Sales Record'!H:H,'Sales Record'!F:F,Sheet4!A103))</f>
        <v/>
      </c>
      <c r="E103" t="str">
        <f>IF(SUMIFS('Sales Return'!G:G,'Sales Return'!F:F,Sheet4!A103)=0,"",SUMIFS('Sales Return'!G:G,'Sales Return'!F:F,Sheet4!A103))</f>
        <v/>
      </c>
      <c r="F103" t="str">
        <f>IF(SUMIFS('Purchase Return'!G:G,'Purchase Return'!F:F,Sheet4!A103)=0,"",SUMIFS('Purchase Return'!G:G,'Purchase Return'!F:F,Sheet4!A103))</f>
        <v/>
      </c>
      <c r="G103" t="str">
        <f t="shared" si="1"/>
        <v/>
      </c>
    </row>
    <row r="104" spans="1:7">
      <c r="A104" t="str">
        <f>IF('Product List'!B104="","",'Product List'!B104)</f>
        <v/>
      </c>
      <c r="B104" t="str">
        <f>IF('Product List'!C104="","",'Product List'!C104)</f>
        <v/>
      </c>
      <c r="C104" t="str">
        <f>IF(SUMIFS('Purchase Record'!G:G,'Purchase Record'!F:F,Sheet4!A104)=0,"",SUMIFS('Purchase Record'!G:G,'Purchase Record'!F:F,Sheet4!A104))</f>
        <v/>
      </c>
      <c r="D104" t="str">
        <f>IF(SUMIFS('Sales Record'!H:H,'Sales Record'!F:F,Sheet4!A104)=0,"",SUMIFS('Sales Record'!H:H,'Sales Record'!F:F,Sheet4!A104))</f>
        <v/>
      </c>
      <c r="E104" t="str">
        <f>IF(SUMIFS('Sales Return'!G:G,'Sales Return'!F:F,Sheet4!A104)=0,"",SUMIFS('Sales Return'!G:G,'Sales Return'!F:F,Sheet4!A104))</f>
        <v/>
      </c>
      <c r="F104" t="str">
        <f>IF(SUMIFS('Purchase Return'!G:G,'Purchase Return'!F:F,Sheet4!A104)=0,"",SUMIFS('Purchase Return'!G:G,'Purchase Return'!F:F,Sheet4!A104))</f>
        <v/>
      </c>
      <c r="G104" t="str">
        <f t="shared" si="1"/>
        <v/>
      </c>
    </row>
    <row r="105" spans="1:7">
      <c r="A105" t="str">
        <f>IF('Product List'!B105="","",'Product List'!B105)</f>
        <v/>
      </c>
      <c r="B105" t="str">
        <f>IF('Product List'!C105="","",'Product List'!C105)</f>
        <v/>
      </c>
      <c r="C105" t="str">
        <f>IF(SUMIFS('Purchase Record'!G:G,'Purchase Record'!F:F,Sheet4!A105)=0,"",SUMIFS('Purchase Record'!G:G,'Purchase Record'!F:F,Sheet4!A105))</f>
        <v/>
      </c>
      <c r="D105" t="str">
        <f>IF(SUMIFS('Sales Record'!H:H,'Sales Record'!F:F,Sheet4!A105)=0,"",SUMIFS('Sales Record'!H:H,'Sales Record'!F:F,Sheet4!A105))</f>
        <v/>
      </c>
      <c r="E105" t="str">
        <f>IF(SUMIFS('Sales Return'!G:G,'Sales Return'!F:F,Sheet4!A105)=0,"",SUMIFS('Sales Return'!G:G,'Sales Return'!F:F,Sheet4!A105))</f>
        <v/>
      </c>
      <c r="F105" t="str">
        <f>IF(SUMIFS('Purchase Return'!G:G,'Purchase Return'!F:F,Sheet4!A105)=0,"",SUMIFS('Purchase Return'!G:G,'Purchase Return'!F:F,Sheet4!A105))</f>
        <v/>
      </c>
      <c r="G105" t="str">
        <f t="shared" si="1"/>
        <v/>
      </c>
    </row>
    <row r="106" spans="1:7">
      <c r="A106" t="str">
        <f>IF('Product List'!B106="","",'Product List'!B106)</f>
        <v/>
      </c>
      <c r="B106" t="str">
        <f>IF('Product List'!C106="","",'Product List'!C106)</f>
        <v/>
      </c>
      <c r="C106" t="str">
        <f>IF(SUMIFS('Purchase Record'!G:G,'Purchase Record'!F:F,Sheet4!A106)=0,"",SUMIFS('Purchase Record'!G:G,'Purchase Record'!F:F,Sheet4!A106))</f>
        <v/>
      </c>
      <c r="D106" t="str">
        <f>IF(SUMIFS('Sales Record'!H:H,'Sales Record'!F:F,Sheet4!A106)=0,"",SUMIFS('Sales Record'!H:H,'Sales Record'!F:F,Sheet4!A106))</f>
        <v/>
      </c>
      <c r="E106" t="str">
        <f>IF(SUMIFS('Sales Return'!G:G,'Sales Return'!F:F,Sheet4!A106)=0,"",SUMIFS('Sales Return'!G:G,'Sales Return'!F:F,Sheet4!A106))</f>
        <v/>
      </c>
      <c r="F106" t="str">
        <f>IF(SUMIFS('Purchase Return'!G:G,'Purchase Return'!F:F,Sheet4!A106)=0,"",SUMIFS('Purchase Return'!G:G,'Purchase Return'!F:F,Sheet4!A106))</f>
        <v/>
      </c>
      <c r="G106" t="str">
        <f t="shared" si="1"/>
        <v/>
      </c>
    </row>
    <row r="107" spans="1:7">
      <c r="A107" t="str">
        <f>IF('Product List'!B107="","",'Product List'!B107)</f>
        <v/>
      </c>
      <c r="B107" t="str">
        <f>IF('Product List'!C107="","",'Product List'!C107)</f>
        <v/>
      </c>
      <c r="C107" t="str">
        <f>IF(SUMIFS('Purchase Record'!G:G,'Purchase Record'!F:F,Sheet4!A107)=0,"",SUMIFS('Purchase Record'!G:G,'Purchase Record'!F:F,Sheet4!A107))</f>
        <v/>
      </c>
      <c r="D107" t="str">
        <f>IF(SUMIFS('Sales Record'!H:H,'Sales Record'!F:F,Sheet4!A107)=0,"",SUMIFS('Sales Record'!H:H,'Sales Record'!F:F,Sheet4!A107))</f>
        <v/>
      </c>
      <c r="E107" t="str">
        <f>IF(SUMIFS('Sales Return'!G:G,'Sales Return'!F:F,Sheet4!A107)=0,"",SUMIFS('Sales Return'!G:G,'Sales Return'!F:F,Sheet4!A107))</f>
        <v/>
      </c>
      <c r="F107" t="str">
        <f>IF(SUMIFS('Purchase Return'!G:G,'Purchase Return'!F:F,Sheet4!A107)=0,"",SUMIFS('Purchase Return'!G:G,'Purchase Return'!F:F,Sheet4!A107))</f>
        <v/>
      </c>
      <c r="G107" t="str">
        <f t="shared" si="1"/>
        <v/>
      </c>
    </row>
    <row r="108" spans="1:7">
      <c r="A108" t="str">
        <f>IF('Product List'!B108="","",'Product List'!B108)</f>
        <v/>
      </c>
      <c r="B108" t="str">
        <f>IF('Product List'!C108="","",'Product List'!C108)</f>
        <v/>
      </c>
      <c r="C108" t="str">
        <f>IF(SUMIFS('Purchase Record'!G:G,'Purchase Record'!F:F,Sheet4!A108)=0,"",SUMIFS('Purchase Record'!G:G,'Purchase Record'!F:F,Sheet4!A108))</f>
        <v/>
      </c>
      <c r="D108" t="str">
        <f>IF(SUMIFS('Sales Record'!H:H,'Sales Record'!F:F,Sheet4!A108)=0,"",SUMIFS('Sales Record'!H:H,'Sales Record'!F:F,Sheet4!A108))</f>
        <v/>
      </c>
      <c r="E108" t="str">
        <f>IF(SUMIFS('Sales Return'!G:G,'Sales Return'!F:F,Sheet4!A108)=0,"",SUMIFS('Sales Return'!G:G,'Sales Return'!F:F,Sheet4!A108))</f>
        <v/>
      </c>
      <c r="F108" t="str">
        <f>IF(SUMIFS('Purchase Return'!G:G,'Purchase Return'!F:F,Sheet4!A108)=0,"",SUMIFS('Purchase Return'!G:G,'Purchase Return'!F:F,Sheet4!A108))</f>
        <v/>
      </c>
      <c r="G108" t="str">
        <f t="shared" si="1"/>
        <v/>
      </c>
    </row>
    <row r="109" spans="1:7">
      <c r="A109" t="str">
        <f>IF('Product List'!B109="","",'Product List'!B109)</f>
        <v/>
      </c>
      <c r="B109" t="str">
        <f>IF('Product List'!C109="","",'Product List'!C109)</f>
        <v/>
      </c>
      <c r="C109" t="str">
        <f>IF(SUMIFS('Purchase Record'!G:G,'Purchase Record'!F:F,Sheet4!A109)=0,"",SUMIFS('Purchase Record'!G:G,'Purchase Record'!F:F,Sheet4!A109))</f>
        <v/>
      </c>
      <c r="D109" t="str">
        <f>IF(SUMIFS('Sales Record'!H:H,'Sales Record'!F:F,Sheet4!A109)=0,"",SUMIFS('Sales Record'!H:H,'Sales Record'!F:F,Sheet4!A109))</f>
        <v/>
      </c>
      <c r="E109" t="str">
        <f>IF(SUMIFS('Sales Return'!G:G,'Sales Return'!F:F,Sheet4!A109)=0,"",SUMIFS('Sales Return'!G:G,'Sales Return'!F:F,Sheet4!A109))</f>
        <v/>
      </c>
      <c r="F109" t="str">
        <f>IF(SUMIFS('Purchase Return'!G:G,'Purchase Return'!F:F,Sheet4!A109)=0,"",SUMIFS('Purchase Return'!G:G,'Purchase Return'!F:F,Sheet4!A109))</f>
        <v/>
      </c>
      <c r="G109" t="str">
        <f t="shared" si="1"/>
        <v/>
      </c>
    </row>
    <row r="110" spans="1:7">
      <c r="A110" t="str">
        <f>IF('Product List'!B110="","",'Product List'!B110)</f>
        <v/>
      </c>
      <c r="B110" t="str">
        <f>IF('Product List'!C110="","",'Product List'!C110)</f>
        <v/>
      </c>
      <c r="C110" t="str">
        <f>IF(SUMIFS('Purchase Record'!G:G,'Purchase Record'!F:F,Sheet4!A110)=0,"",SUMIFS('Purchase Record'!G:G,'Purchase Record'!F:F,Sheet4!A110))</f>
        <v/>
      </c>
      <c r="D110" t="str">
        <f>IF(SUMIFS('Sales Record'!H:H,'Sales Record'!F:F,Sheet4!A110)=0,"",SUMIFS('Sales Record'!H:H,'Sales Record'!F:F,Sheet4!A110))</f>
        <v/>
      </c>
      <c r="E110" t="str">
        <f>IF(SUMIFS('Sales Return'!G:G,'Sales Return'!F:F,Sheet4!A110)=0,"",SUMIFS('Sales Return'!G:G,'Sales Return'!F:F,Sheet4!A110))</f>
        <v/>
      </c>
      <c r="F110" t="str">
        <f>IF(SUMIFS('Purchase Return'!G:G,'Purchase Return'!F:F,Sheet4!A110)=0,"",SUMIFS('Purchase Return'!G:G,'Purchase Return'!F:F,Sheet4!A110))</f>
        <v/>
      </c>
      <c r="G110" t="str">
        <f t="shared" si="1"/>
        <v/>
      </c>
    </row>
    <row r="111" spans="1:7">
      <c r="A111" t="str">
        <f>IF('Product List'!B111="","",'Product List'!B111)</f>
        <v/>
      </c>
      <c r="B111" t="str">
        <f>IF('Product List'!C111="","",'Product List'!C111)</f>
        <v/>
      </c>
      <c r="C111" t="str">
        <f>IF(SUMIFS('Purchase Record'!G:G,'Purchase Record'!F:F,Sheet4!A111)=0,"",SUMIFS('Purchase Record'!G:G,'Purchase Record'!F:F,Sheet4!A111))</f>
        <v/>
      </c>
      <c r="D111" t="str">
        <f>IF(SUMIFS('Sales Record'!H:H,'Sales Record'!F:F,Sheet4!A111)=0,"",SUMIFS('Sales Record'!H:H,'Sales Record'!F:F,Sheet4!A111))</f>
        <v/>
      </c>
      <c r="E111" t="str">
        <f>IF(SUMIFS('Sales Return'!G:G,'Sales Return'!F:F,Sheet4!A111)=0,"",SUMIFS('Sales Return'!G:G,'Sales Return'!F:F,Sheet4!A111))</f>
        <v/>
      </c>
      <c r="F111" t="str">
        <f>IF(SUMIFS('Purchase Return'!G:G,'Purchase Return'!F:F,Sheet4!A111)=0,"",SUMIFS('Purchase Return'!G:G,'Purchase Return'!F:F,Sheet4!A111))</f>
        <v/>
      </c>
      <c r="G111" t="str">
        <f t="shared" si="1"/>
        <v/>
      </c>
    </row>
    <row r="112" spans="1:7">
      <c r="A112" t="str">
        <f>IF('Product List'!B112="","",'Product List'!B112)</f>
        <v/>
      </c>
      <c r="B112" t="str">
        <f>IF('Product List'!C112="","",'Product List'!C112)</f>
        <v/>
      </c>
      <c r="C112" t="str">
        <f>IF(SUMIFS('Purchase Record'!G:G,'Purchase Record'!F:F,Sheet4!A112)=0,"",SUMIFS('Purchase Record'!G:G,'Purchase Record'!F:F,Sheet4!A112))</f>
        <v/>
      </c>
      <c r="D112" t="str">
        <f>IF(SUMIFS('Sales Record'!H:H,'Sales Record'!F:F,Sheet4!A112)=0,"",SUMIFS('Sales Record'!H:H,'Sales Record'!F:F,Sheet4!A112))</f>
        <v/>
      </c>
      <c r="E112" t="str">
        <f>IF(SUMIFS('Sales Return'!G:G,'Sales Return'!F:F,Sheet4!A112)=0,"",SUMIFS('Sales Return'!G:G,'Sales Return'!F:F,Sheet4!A112))</f>
        <v/>
      </c>
      <c r="F112" t="str">
        <f>IF(SUMIFS('Purchase Return'!G:G,'Purchase Return'!F:F,Sheet4!A112)=0,"",SUMIFS('Purchase Return'!G:G,'Purchase Return'!F:F,Sheet4!A112))</f>
        <v/>
      </c>
      <c r="G112" t="str">
        <f t="shared" si="1"/>
        <v/>
      </c>
    </row>
    <row r="113" spans="1:7">
      <c r="A113" t="str">
        <f>IF('Product List'!B113="","",'Product List'!B113)</f>
        <v/>
      </c>
      <c r="B113" t="str">
        <f>IF('Product List'!C113="","",'Product List'!C113)</f>
        <v/>
      </c>
      <c r="C113" t="str">
        <f>IF(SUMIFS('Purchase Record'!G:G,'Purchase Record'!F:F,Sheet4!A113)=0,"",SUMIFS('Purchase Record'!G:G,'Purchase Record'!F:F,Sheet4!A113))</f>
        <v/>
      </c>
      <c r="D113" t="str">
        <f>IF(SUMIFS('Sales Record'!H:H,'Sales Record'!F:F,Sheet4!A113)=0,"",SUMIFS('Sales Record'!H:H,'Sales Record'!F:F,Sheet4!A113))</f>
        <v/>
      </c>
      <c r="E113" t="str">
        <f>IF(SUMIFS('Sales Return'!G:G,'Sales Return'!F:F,Sheet4!A113)=0,"",SUMIFS('Sales Return'!G:G,'Sales Return'!F:F,Sheet4!A113))</f>
        <v/>
      </c>
      <c r="F113" t="str">
        <f>IF(SUMIFS('Purchase Return'!G:G,'Purchase Return'!F:F,Sheet4!A113)=0,"",SUMIFS('Purchase Return'!G:G,'Purchase Return'!F:F,Sheet4!A113))</f>
        <v/>
      </c>
      <c r="G113" t="str">
        <f t="shared" si="1"/>
        <v/>
      </c>
    </row>
    <row r="114" spans="1:7">
      <c r="A114" t="str">
        <f>IF('Product List'!B114="","",'Product List'!B114)</f>
        <v/>
      </c>
      <c r="B114" t="str">
        <f>IF('Product List'!C114="","",'Product List'!C114)</f>
        <v/>
      </c>
      <c r="C114" t="str">
        <f>IF(SUMIFS('Purchase Record'!G:G,'Purchase Record'!F:F,Sheet4!A114)=0,"",SUMIFS('Purchase Record'!G:G,'Purchase Record'!F:F,Sheet4!A114))</f>
        <v/>
      </c>
      <c r="D114" t="str">
        <f>IF(SUMIFS('Sales Record'!H:H,'Sales Record'!F:F,Sheet4!A114)=0,"",SUMIFS('Sales Record'!H:H,'Sales Record'!F:F,Sheet4!A114))</f>
        <v/>
      </c>
      <c r="E114" t="str">
        <f>IF(SUMIFS('Sales Return'!G:G,'Sales Return'!F:F,Sheet4!A114)=0,"",SUMIFS('Sales Return'!G:G,'Sales Return'!F:F,Sheet4!A114))</f>
        <v/>
      </c>
      <c r="F114" t="str">
        <f>IF(SUMIFS('Purchase Return'!G:G,'Purchase Return'!F:F,Sheet4!A114)=0,"",SUMIFS('Purchase Return'!G:G,'Purchase Return'!F:F,Sheet4!A114))</f>
        <v/>
      </c>
      <c r="G114" t="str">
        <f t="shared" si="1"/>
        <v/>
      </c>
    </row>
    <row r="115" spans="1:7">
      <c r="A115" t="str">
        <f>IF('Product List'!B115="","",'Product List'!B115)</f>
        <v/>
      </c>
      <c r="B115" t="str">
        <f>IF('Product List'!C115="","",'Product List'!C115)</f>
        <v/>
      </c>
      <c r="C115" t="str">
        <f>IF(SUMIFS('Purchase Record'!G:G,'Purchase Record'!F:F,Sheet4!A115)=0,"",SUMIFS('Purchase Record'!G:G,'Purchase Record'!F:F,Sheet4!A115))</f>
        <v/>
      </c>
      <c r="D115" t="str">
        <f>IF(SUMIFS('Sales Record'!H:H,'Sales Record'!F:F,Sheet4!A115)=0,"",SUMIFS('Sales Record'!H:H,'Sales Record'!F:F,Sheet4!A115))</f>
        <v/>
      </c>
      <c r="E115" t="str">
        <f>IF(SUMIFS('Sales Return'!G:G,'Sales Return'!F:F,Sheet4!A115)=0,"",SUMIFS('Sales Return'!G:G,'Sales Return'!F:F,Sheet4!A115))</f>
        <v/>
      </c>
      <c r="F115" t="str">
        <f>IF(SUMIFS('Purchase Return'!G:G,'Purchase Return'!F:F,Sheet4!A115)=0,"",SUMIFS('Purchase Return'!G:G,'Purchase Return'!F:F,Sheet4!A115))</f>
        <v/>
      </c>
      <c r="G115" t="str">
        <f t="shared" si="1"/>
        <v/>
      </c>
    </row>
    <row r="116" spans="1:7">
      <c r="A116" t="str">
        <f>IF('Product List'!B116="","",'Product List'!B116)</f>
        <v/>
      </c>
      <c r="B116" t="str">
        <f>IF('Product List'!C116="","",'Product List'!C116)</f>
        <v/>
      </c>
      <c r="C116" t="str">
        <f>IF(SUMIFS('Purchase Record'!G:G,'Purchase Record'!F:F,Sheet4!A116)=0,"",SUMIFS('Purchase Record'!G:G,'Purchase Record'!F:F,Sheet4!A116))</f>
        <v/>
      </c>
      <c r="D116" t="str">
        <f>IF(SUMIFS('Sales Record'!H:H,'Sales Record'!F:F,Sheet4!A116)=0,"",SUMIFS('Sales Record'!H:H,'Sales Record'!F:F,Sheet4!A116))</f>
        <v/>
      </c>
      <c r="E116" t="str">
        <f>IF(SUMIFS('Sales Return'!G:G,'Sales Return'!F:F,Sheet4!A116)=0,"",SUMIFS('Sales Return'!G:G,'Sales Return'!F:F,Sheet4!A116))</f>
        <v/>
      </c>
      <c r="F116" t="str">
        <f>IF(SUMIFS('Purchase Return'!G:G,'Purchase Return'!F:F,Sheet4!A116)=0,"",SUMIFS('Purchase Return'!G:G,'Purchase Return'!F:F,Sheet4!A116))</f>
        <v/>
      </c>
      <c r="G116" t="str">
        <f t="shared" si="1"/>
        <v/>
      </c>
    </row>
    <row r="117" spans="1:7">
      <c r="A117" t="str">
        <f>IF('Product List'!B117="","",'Product List'!B117)</f>
        <v/>
      </c>
      <c r="B117" t="str">
        <f>IF('Product List'!C117="","",'Product List'!C117)</f>
        <v/>
      </c>
      <c r="C117" t="str">
        <f>IF(SUMIFS('Purchase Record'!G:G,'Purchase Record'!F:F,Sheet4!A117)=0,"",SUMIFS('Purchase Record'!G:G,'Purchase Record'!F:F,Sheet4!A117))</f>
        <v/>
      </c>
      <c r="D117" t="str">
        <f>IF(SUMIFS('Sales Record'!H:H,'Sales Record'!F:F,Sheet4!A117)=0,"",SUMIFS('Sales Record'!H:H,'Sales Record'!F:F,Sheet4!A117))</f>
        <v/>
      </c>
      <c r="E117" t="str">
        <f>IF(SUMIFS('Sales Return'!G:G,'Sales Return'!F:F,Sheet4!A117)=0,"",SUMIFS('Sales Return'!G:G,'Sales Return'!F:F,Sheet4!A117))</f>
        <v/>
      </c>
      <c r="F117" t="str">
        <f>IF(SUMIFS('Purchase Return'!G:G,'Purchase Return'!F:F,Sheet4!A117)=0,"",SUMIFS('Purchase Return'!G:G,'Purchase Return'!F:F,Sheet4!A117))</f>
        <v/>
      </c>
      <c r="G117" t="str">
        <f t="shared" si="1"/>
        <v/>
      </c>
    </row>
    <row r="118" spans="1:7">
      <c r="A118" t="str">
        <f>IF('Product List'!B118="","",'Product List'!B118)</f>
        <v/>
      </c>
      <c r="B118" t="str">
        <f>IF('Product List'!C118="","",'Product List'!C118)</f>
        <v/>
      </c>
      <c r="C118" t="str">
        <f>IF(SUMIFS('Purchase Record'!G:G,'Purchase Record'!F:F,Sheet4!A118)=0,"",SUMIFS('Purchase Record'!G:G,'Purchase Record'!F:F,Sheet4!A118))</f>
        <v/>
      </c>
      <c r="D118" t="str">
        <f>IF(SUMIFS('Sales Record'!H:H,'Sales Record'!F:F,Sheet4!A118)=0,"",SUMIFS('Sales Record'!H:H,'Sales Record'!F:F,Sheet4!A118))</f>
        <v/>
      </c>
      <c r="E118" t="str">
        <f>IF(SUMIFS('Sales Return'!G:G,'Sales Return'!F:F,Sheet4!A118)=0,"",SUMIFS('Sales Return'!G:G,'Sales Return'!F:F,Sheet4!A118))</f>
        <v/>
      </c>
      <c r="F118" t="str">
        <f>IF(SUMIFS('Purchase Return'!G:G,'Purchase Return'!F:F,Sheet4!A118)=0,"",SUMIFS('Purchase Return'!G:G,'Purchase Return'!F:F,Sheet4!A118))</f>
        <v/>
      </c>
      <c r="G118" t="str">
        <f t="shared" si="1"/>
        <v/>
      </c>
    </row>
    <row r="119" spans="1:7">
      <c r="A119" t="str">
        <f>IF('Product List'!B119="","",'Product List'!B119)</f>
        <v/>
      </c>
      <c r="B119" t="str">
        <f>IF('Product List'!C119="","",'Product List'!C119)</f>
        <v/>
      </c>
      <c r="C119" t="str">
        <f>IF(SUMIFS('Purchase Record'!G:G,'Purchase Record'!F:F,Sheet4!A119)=0,"",SUMIFS('Purchase Record'!G:G,'Purchase Record'!F:F,Sheet4!A119))</f>
        <v/>
      </c>
      <c r="D119" t="str">
        <f>IF(SUMIFS('Sales Record'!H:H,'Sales Record'!F:F,Sheet4!A119)=0,"",SUMIFS('Sales Record'!H:H,'Sales Record'!F:F,Sheet4!A119))</f>
        <v/>
      </c>
      <c r="E119" t="str">
        <f>IF(SUMIFS('Sales Return'!G:G,'Sales Return'!F:F,Sheet4!A119)=0,"",SUMIFS('Sales Return'!G:G,'Sales Return'!F:F,Sheet4!A119))</f>
        <v/>
      </c>
      <c r="F119" t="str">
        <f>IF(SUMIFS('Purchase Return'!G:G,'Purchase Return'!F:F,Sheet4!A119)=0,"",SUMIFS('Purchase Return'!G:G,'Purchase Return'!F:F,Sheet4!A119))</f>
        <v/>
      </c>
      <c r="G119" t="str">
        <f t="shared" si="1"/>
        <v/>
      </c>
    </row>
    <row r="120" spans="1:7">
      <c r="A120" t="str">
        <f>IF('Product List'!B120="","",'Product List'!B120)</f>
        <v/>
      </c>
      <c r="B120" t="str">
        <f>IF('Product List'!C120="","",'Product List'!C120)</f>
        <v/>
      </c>
      <c r="C120" t="str">
        <f>IF(SUMIFS('Purchase Record'!G:G,'Purchase Record'!F:F,Sheet4!A120)=0,"",SUMIFS('Purchase Record'!G:G,'Purchase Record'!F:F,Sheet4!A120))</f>
        <v/>
      </c>
      <c r="D120" t="str">
        <f>IF(SUMIFS('Sales Record'!H:H,'Sales Record'!F:F,Sheet4!A120)=0,"",SUMIFS('Sales Record'!H:H,'Sales Record'!F:F,Sheet4!A120))</f>
        <v/>
      </c>
      <c r="E120" t="str">
        <f>IF(SUMIFS('Sales Return'!G:G,'Sales Return'!F:F,Sheet4!A120)=0,"",SUMIFS('Sales Return'!G:G,'Sales Return'!F:F,Sheet4!A120))</f>
        <v/>
      </c>
      <c r="F120" t="str">
        <f>IF(SUMIFS('Purchase Return'!G:G,'Purchase Return'!F:F,Sheet4!A120)=0,"",SUMIFS('Purchase Return'!G:G,'Purchase Return'!F:F,Sheet4!A120))</f>
        <v/>
      </c>
      <c r="G120" t="str">
        <f t="shared" si="1"/>
        <v/>
      </c>
    </row>
    <row r="121" spans="1:7">
      <c r="A121" t="str">
        <f>IF('Product List'!B121="","",'Product List'!B121)</f>
        <v/>
      </c>
      <c r="B121" t="str">
        <f>IF('Product List'!C121="","",'Product List'!C121)</f>
        <v/>
      </c>
      <c r="C121" t="str">
        <f>IF(SUMIFS('Purchase Record'!G:G,'Purchase Record'!F:F,Sheet4!A121)=0,"",SUMIFS('Purchase Record'!G:G,'Purchase Record'!F:F,Sheet4!A121))</f>
        <v/>
      </c>
      <c r="D121" t="str">
        <f>IF(SUMIFS('Sales Record'!H:H,'Sales Record'!F:F,Sheet4!A121)=0,"",SUMIFS('Sales Record'!H:H,'Sales Record'!F:F,Sheet4!A121))</f>
        <v/>
      </c>
      <c r="E121" t="str">
        <f>IF(SUMIFS('Sales Return'!G:G,'Sales Return'!F:F,Sheet4!A121)=0,"",SUMIFS('Sales Return'!G:G,'Sales Return'!F:F,Sheet4!A121))</f>
        <v/>
      </c>
      <c r="F121" t="str">
        <f>IF(SUMIFS('Purchase Return'!G:G,'Purchase Return'!F:F,Sheet4!A121)=0,"",SUMIFS('Purchase Return'!G:G,'Purchase Return'!F:F,Sheet4!A121))</f>
        <v/>
      </c>
      <c r="G121" t="str">
        <f t="shared" si="1"/>
        <v/>
      </c>
    </row>
    <row r="122" spans="1:7">
      <c r="A122" t="str">
        <f>IF('Product List'!B122="","",'Product List'!B122)</f>
        <v/>
      </c>
      <c r="B122" t="str">
        <f>IF('Product List'!C122="","",'Product List'!C122)</f>
        <v/>
      </c>
      <c r="C122" t="str">
        <f>IF(SUMIFS('Purchase Record'!G:G,'Purchase Record'!F:F,Sheet4!A122)=0,"",SUMIFS('Purchase Record'!G:G,'Purchase Record'!F:F,Sheet4!A122))</f>
        <v/>
      </c>
      <c r="D122" t="str">
        <f>IF(SUMIFS('Sales Record'!H:H,'Sales Record'!F:F,Sheet4!A122)=0,"",SUMIFS('Sales Record'!H:H,'Sales Record'!F:F,Sheet4!A122))</f>
        <v/>
      </c>
      <c r="E122" t="str">
        <f>IF(SUMIFS('Sales Return'!G:G,'Sales Return'!F:F,Sheet4!A122)=0,"",SUMIFS('Sales Return'!G:G,'Sales Return'!F:F,Sheet4!A122))</f>
        <v/>
      </c>
      <c r="F122" t="str">
        <f>IF(SUMIFS('Purchase Return'!G:G,'Purchase Return'!F:F,Sheet4!A122)=0,"",SUMIFS('Purchase Return'!G:G,'Purchase Return'!F:F,Sheet4!A122))</f>
        <v/>
      </c>
      <c r="G122" t="str">
        <f t="shared" si="1"/>
        <v/>
      </c>
    </row>
    <row r="123" spans="1:7">
      <c r="A123" t="str">
        <f>IF('Product List'!B123="","",'Product List'!B123)</f>
        <v/>
      </c>
      <c r="B123" t="str">
        <f>IF('Product List'!C123="","",'Product List'!C123)</f>
        <v/>
      </c>
      <c r="C123" t="str">
        <f>IF(SUMIFS('Purchase Record'!G:G,'Purchase Record'!F:F,Sheet4!A123)=0,"",SUMIFS('Purchase Record'!G:G,'Purchase Record'!F:F,Sheet4!A123))</f>
        <v/>
      </c>
      <c r="D123" t="str">
        <f>IF(SUMIFS('Sales Record'!H:H,'Sales Record'!F:F,Sheet4!A123)=0,"",SUMIFS('Sales Record'!H:H,'Sales Record'!F:F,Sheet4!A123))</f>
        <v/>
      </c>
      <c r="E123" t="str">
        <f>IF(SUMIFS('Sales Return'!G:G,'Sales Return'!F:F,Sheet4!A123)=0,"",SUMIFS('Sales Return'!G:G,'Sales Return'!F:F,Sheet4!A123))</f>
        <v/>
      </c>
      <c r="F123" t="str">
        <f>IF(SUMIFS('Purchase Return'!G:G,'Purchase Return'!F:F,Sheet4!A123)=0,"",SUMIFS('Purchase Return'!G:G,'Purchase Return'!F:F,Sheet4!A123))</f>
        <v/>
      </c>
      <c r="G123" t="str">
        <f t="shared" si="1"/>
        <v/>
      </c>
    </row>
    <row r="124" spans="1:7">
      <c r="A124" t="str">
        <f>IF('Product List'!B124="","",'Product List'!B124)</f>
        <v/>
      </c>
      <c r="B124" t="str">
        <f>IF('Product List'!C124="","",'Product List'!C124)</f>
        <v/>
      </c>
      <c r="C124" t="str">
        <f>IF(SUMIFS('Purchase Record'!G:G,'Purchase Record'!F:F,Sheet4!A124)=0,"",SUMIFS('Purchase Record'!G:G,'Purchase Record'!F:F,Sheet4!A124))</f>
        <v/>
      </c>
      <c r="D124" t="str">
        <f>IF(SUMIFS('Sales Record'!H:H,'Sales Record'!F:F,Sheet4!A124)=0,"",SUMIFS('Sales Record'!H:H,'Sales Record'!F:F,Sheet4!A124))</f>
        <v/>
      </c>
      <c r="E124" t="str">
        <f>IF(SUMIFS('Sales Return'!G:G,'Sales Return'!F:F,Sheet4!A124)=0,"",SUMIFS('Sales Return'!G:G,'Sales Return'!F:F,Sheet4!A124))</f>
        <v/>
      </c>
      <c r="F124" t="str">
        <f>IF(SUMIFS('Purchase Return'!G:G,'Purchase Return'!F:F,Sheet4!A124)=0,"",SUMIFS('Purchase Return'!G:G,'Purchase Return'!F:F,Sheet4!A124))</f>
        <v/>
      </c>
      <c r="G124" t="str">
        <f t="shared" si="1"/>
        <v/>
      </c>
    </row>
    <row r="125" spans="1:7">
      <c r="A125" t="str">
        <f>IF('Product List'!B125="","",'Product List'!B125)</f>
        <v/>
      </c>
      <c r="B125" t="str">
        <f>IF('Product List'!C125="","",'Product List'!C125)</f>
        <v/>
      </c>
      <c r="C125" t="str">
        <f>IF(SUMIFS('Purchase Record'!G:G,'Purchase Record'!F:F,Sheet4!A125)=0,"",SUMIFS('Purchase Record'!G:G,'Purchase Record'!F:F,Sheet4!A125))</f>
        <v/>
      </c>
      <c r="D125" t="str">
        <f>IF(SUMIFS('Sales Record'!H:H,'Sales Record'!F:F,Sheet4!A125)=0,"",SUMIFS('Sales Record'!H:H,'Sales Record'!F:F,Sheet4!A125))</f>
        <v/>
      </c>
      <c r="E125" t="str">
        <f>IF(SUMIFS('Sales Return'!G:G,'Sales Return'!F:F,Sheet4!A125)=0,"",SUMIFS('Sales Return'!G:G,'Sales Return'!F:F,Sheet4!A125))</f>
        <v/>
      </c>
      <c r="F125" t="str">
        <f>IF(SUMIFS('Purchase Return'!G:G,'Purchase Return'!F:F,Sheet4!A125)=0,"",SUMIFS('Purchase Return'!G:G,'Purchase Return'!F:F,Sheet4!A125))</f>
        <v/>
      </c>
      <c r="G125" t="str">
        <f t="shared" si="1"/>
        <v/>
      </c>
    </row>
    <row r="126" spans="1:7">
      <c r="A126" t="str">
        <f>IF('Product List'!B126="","",'Product List'!B126)</f>
        <v/>
      </c>
      <c r="B126" t="str">
        <f>IF('Product List'!C126="","",'Product List'!C126)</f>
        <v/>
      </c>
      <c r="C126" t="str">
        <f>IF(SUMIFS('Purchase Record'!G:G,'Purchase Record'!F:F,Sheet4!A126)=0,"",SUMIFS('Purchase Record'!G:G,'Purchase Record'!F:F,Sheet4!A126))</f>
        <v/>
      </c>
      <c r="D126" t="str">
        <f>IF(SUMIFS('Sales Record'!H:H,'Sales Record'!F:F,Sheet4!A126)=0,"",SUMIFS('Sales Record'!H:H,'Sales Record'!F:F,Sheet4!A126))</f>
        <v/>
      </c>
      <c r="E126" t="str">
        <f>IF(SUMIFS('Sales Return'!G:G,'Sales Return'!F:F,Sheet4!A126)=0,"",SUMIFS('Sales Return'!G:G,'Sales Return'!F:F,Sheet4!A126))</f>
        <v/>
      </c>
      <c r="F126" t="str">
        <f>IF(SUMIFS('Purchase Return'!G:G,'Purchase Return'!F:F,Sheet4!A126)=0,"",SUMIFS('Purchase Return'!G:G,'Purchase Return'!F:F,Sheet4!A126))</f>
        <v/>
      </c>
      <c r="G126" t="str">
        <f t="shared" si="1"/>
        <v/>
      </c>
    </row>
    <row r="127" spans="1:7">
      <c r="A127" t="str">
        <f>IF('Product List'!B127="","",'Product List'!B127)</f>
        <v/>
      </c>
      <c r="B127" t="str">
        <f>IF('Product List'!C127="","",'Product List'!C127)</f>
        <v/>
      </c>
      <c r="C127" t="str">
        <f>IF(SUMIFS('Purchase Record'!G:G,'Purchase Record'!F:F,Sheet4!A127)=0,"",SUMIFS('Purchase Record'!G:G,'Purchase Record'!F:F,Sheet4!A127))</f>
        <v/>
      </c>
      <c r="D127" t="str">
        <f>IF(SUMIFS('Sales Record'!H:H,'Sales Record'!F:F,Sheet4!A127)=0,"",SUMIFS('Sales Record'!H:H,'Sales Record'!F:F,Sheet4!A127))</f>
        <v/>
      </c>
      <c r="E127" t="str">
        <f>IF(SUMIFS('Sales Return'!G:G,'Sales Return'!F:F,Sheet4!A127)=0,"",SUMIFS('Sales Return'!G:G,'Sales Return'!F:F,Sheet4!A127))</f>
        <v/>
      </c>
      <c r="F127" t="str">
        <f>IF(SUMIFS('Purchase Return'!G:G,'Purchase Return'!F:F,Sheet4!A127)=0,"",SUMIFS('Purchase Return'!G:G,'Purchase Return'!F:F,Sheet4!A127))</f>
        <v/>
      </c>
      <c r="G127" t="str">
        <f t="shared" si="1"/>
        <v/>
      </c>
    </row>
    <row r="128" spans="1:7">
      <c r="A128" t="str">
        <f>IF('Product List'!B128="","",'Product List'!B128)</f>
        <v/>
      </c>
      <c r="B128" t="str">
        <f>IF('Product List'!C128="","",'Product List'!C128)</f>
        <v/>
      </c>
      <c r="C128" t="str">
        <f>IF(SUMIFS('Purchase Record'!G:G,'Purchase Record'!F:F,Sheet4!A128)=0,"",SUMIFS('Purchase Record'!G:G,'Purchase Record'!F:F,Sheet4!A128))</f>
        <v/>
      </c>
      <c r="D128" t="str">
        <f>IF(SUMIFS('Sales Record'!H:H,'Sales Record'!F:F,Sheet4!A128)=0,"",SUMIFS('Sales Record'!H:H,'Sales Record'!F:F,Sheet4!A128))</f>
        <v/>
      </c>
      <c r="E128" t="str">
        <f>IF(SUMIFS('Sales Return'!G:G,'Sales Return'!F:F,Sheet4!A128)=0,"",SUMIFS('Sales Return'!G:G,'Sales Return'!F:F,Sheet4!A128))</f>
        <v/>
      </c>
      <c r="F128" t="str">
        <f>IF(SUMIFS('Purchase Return'!G:G,'Purchase Return'!F:F,Sheet4!A128)=0,"",SUMIFS('Purchase Return'!G:G,'Purchase Return'!F:F,Sheet4!A128))</f>
        <v/>
      </c>
      <c r="G128" t="str">
        <f t="shared" si="1"/>
        <v/>
      </c>
    </row>
    <row r="129" spans="1:7">
      <c r="A129" t="str">
        <f>IF('Product List'!B129="","",'Product List'!B129)</f>
        <v/>
      </c>
      <c r="B129" t="str">
        <f>IF('Product List'!C129="","",'Product List'!C129)</f>
        <v/>
      </c>
      <c r="C129" t="str">
        <f>IF(SUMIFS('Purchase Record'!G:G,'Purchase Record'!F:F,Sheet4!A129)=0,"",SUMIFS('Purchase Record'!G:G,'Purchase Record'!F:F,Sheet4!A129))</f>
        <v/>
      </c>
      <c r="D129" t="str">
        <f>IF(SUMIFS('Sales Record'!H:H,'Sales Record'!F:F,Sheet4!A129)=0,"",SUMIFS('Sales Record'!H:H,'Sales Record'!F:F,Sheet4!A129))</f>
        <v/>
      </c>
      <c r="E129" t="str">
        <f>IF(SUMIFS('Sales Return'!G:G,'Sales Return'!F:F,Sheet4!A129)=0,"",SUMIFS('Sales Return'!G:G,'Sales Return'!F:F,Sheet4!A129))</f>
        <v/>
      </c>
      <c r="F129" t="str">
        <f>IF(SUMIFS('Purchase Return'!G:G,'Purchase Return'!F:F,Sheet4!A129)=0,"",SUMIFS('Purchase Return'!G:G,'Purchase Return'!F:F,Sheet4!A129))</f>
        <v/>
      </c>
      <c r="G129" t="str">
        <f t="shared" si="1"/>
        <v/>
      </c>
    </row>
    <row r="130" spans="1:7">
      <c r="A130" t="str">
        <f>IF('Product List'!B130="","",'Product List'!B130)</f>
        <v/>
      </c>
      <c r="B130" t="str">
        <f>IF('Product List'!C130="","",'Product List'!C130)</f>
        <v/>
      </c>
      <c r="C130" t="str">
        <f>IF(SUMIFS('Purchase Record'!G:G,'Purchase Record'!F:F,Sheet4!A130)=0,"",SUMIFS('Purchase Record'!G:G,'Purchase Record'!F:F,Sheet4!A130))</f>
        <v/>
      </c>
      <c r="D130" t="str">
        <f>IF(SUMIFS('Sales Record'!H:H,'Sales Record'!F:F,Sheet4!A130)=0,"",SUMIFS('Sales Record'!H:H,'Sales Record'!F:F,Sheet4!A130))</f>
        <v/>
      </c>
      <c r="E130" t="str">
        <f>IF(SUMIFS('Sales Return'!G:G,'Sales Return'!F:F,Sheet4!A130)=0,"",SUMIFS('Sales Return'!G:G,'Sales Return'!F:F,Sheet4!A130))</f>
        <v/>
      </c>
      <c r="F130" t="str">
        <f>IF(SUMIFS('Purchase Return'!G:G,'Purchase Return'!F:F,Sheet4!A130)=0,"",SUMIFS('Purchase Return'!G:G,'Purchase Return'!F:F,Sheet4!A130))</f>
        <v/>
      </c>
      <c r="G130" t="str">
        <f t="shared" si="1"/>
        <v/>
      </c>
    </row>
    <row r="131" spans="1:7">
      <c r="A131" t="str">
        <f>IF('Product List'!B131="","",'Product List'!B131)</f>
        <v/>
      </c>
      <c r="B131" t="str">
        <f>IF('Product List'!C131="","",'Product List'!C131)</f>
        <v/>
      </c>
      <c r="C131" t="str">
        <f>IF(SUMIFS('Purchase Record'!G:G,'Purchase Record'!F:F,Sheet4!A131)=0,"",SUMIFS('Purchase Record'!G:G,'Purchase Record'!F:F,Sheet4!A131))</f>
        <v/>
      </c>
      <c r="D131" t="str">
        <f>IF(SUMIFS('Sales Record'!H:H,'Sales Record'!F:F,Sheet4!A131)=0,"",SUMIFS('Sales Record'!H:H,'Sales Record'!F:F,Sheet4!A131))</f>
        <v/>
      </c>
      <c r="E131" t="str">
        <f>IF(SUMIFS('Sales Return'!G:G,'Sales Return'!F:F,Sheet4!A131)=0,"",SUMIFS('Sales Return'!G:G,'Sales Return'!F:F,Sheet4!A131))</f>
        <v/>
      </c>
      <c r="F131" t="str">
        <f>IF(SUMIFS('Purchase Return'!G:G,'Purchase Return'!F:F,Sheet4!A131)=0,"",SUMIFS('Purchase Return'!G:G,'Purchase Return'!F:F,Sheet4!A131))</f>
        <v/>
      </c>
      <c r="G131" t="str">
        <f t="shared" ref="G131:G194" si="2">IF(C131="","",N(C131)-N(D131)+N(E131)-N(F131))</f>
        <v/>
      </c>
    </row>
    <row r="132" spans="1:7">
      <c r="A132" t="str">
        <f>IF('Product List'!B132="","",'Product List'!B132)</f>
        <v/>
      </c>
      <c r="B132" t="str">
        <f>IF('Product List'!C132="","",'Product List'!C132)</f>
        <v/>
      </c>
      <c r="C132" t="str">
        <f>IF(SUMIFS('Purchase Record'!G:G,'Purchase Record'!F:F,Sheet4!A132)=0,"",SUMIFS('Purchase Record'!G:G,'Purchase Record'!F:F,Sheet4!A132))</f>
        <v/>
      </c>
      <c r="D132" t="str">
        <f>IF(SUMIFS('Sales Record'!H:H,'Sales Record'!F:F,Sheet4!A132)=0,"",SUMIFS('Sales Record'!H:H,'Sales Record'!F:F,Sheet4!A132))</f>
        <v/>
      </c>
      <c r="E132" t="str">
        <f>IF(SUMIFS('Sales Return'!G:G,'Sales Return'!F:F,Sheet4!A132)=0,"",SUMIFS('Sales Return'!G:G,'Sales Return'!F:F,Sheet4!A132))</f>
        <v/>
      </c>
      <c r="F132" t="str">
        <f>IF(SUMIFS('Purchase Return'!G:G,'Purchase Return'!F:F,Sheet4!A132)=0,"",SUMIFS('Purchase Return'!G:G,'Purchase Return'!F:F,Sheet4!A132))</f>
        <v/>
      </c>
      <c r="G132" t="str">
        <f t="shared" si="2"/>
        <v/>
      </c>
    </row>
    <row r="133" spans="1:7">
      <c r="A133" t="str">
        <f>IF('Product List'!B133="","",'Product List'!B133)</f>
        <v/>
      </c>
      <c r="B133" t="str">
        <f>IF('Product List'!C133="","",'Product List'!C133)</f>
        <v/>
      </c>
      <c r="C133" t="str">
        <f>IF(SUMIFS('Purchase Record'!G:G,'Purchase Record'!F:F,Sheet4!A133)=0,"",SUMIFS('Purchase Record'!G:G,'Purchase Record'!F:F,Sheet4!A133))</f>
        <v/>
      </c>
      <c r="D133" t="str">
        <f>IF(SUMIFS('Sales Record'!H:H,'Sales Record'!F:F,Sheet4!A133)=0,"",SUMIFS('Sales Record'!H:H,'Sales Record'!F:F,Sheet4!A133))</f>
        <v/>
      </c>
      <c r="E133" t="str">
        <f>IF(SUMIFS('Sales Return'!G:G,'Sales Return'!F:F,Sheet4!A133)=0,"",SUMIFS('Sales Return'!G:G,'Sales Return'!F:F,Sheet4!A133))</f>
        <v/>
      </c>
      <c r="F133" t="str">
        <f>IF(SUMIFS('Purchase Return'!G:G,'Purchase Return'!F:F,Sheet4!A133)=0,"",SUMIFS('Purchase Return'!G:G,'Purchase Return'!F:F,Sheet4!A133))</f>
        <v/>
      </c>
      <c r="G133" t="str">
        <f t="shared" si="2"/>
        <v/>
      </c>
    </row>
    <row r="134" spans="1:7">
      <c r="A134" t="str">
        <f>IF('Product List'!B134="","",'Product List'!B134)</f>
        <v/>
      </c>
      <c r="B134" t="str">
        <f>IF('Product List'!C134="","",'Product List'!C134)</f>
        <v/>
      </c>
      <c r="C134" t="str">
        <f>IF(SUMIFS('Purchase Record'!G:G,'Purchase Record'!F:F,Sheet4!A134)=0,"",SUMIFS('Purchase Record'!G:G,'Purchase Record'!F:F,Sheet4!A134))</f>
        <v/>
      </c>
      <c r="D134" t="str">
        <f>IF(SUMIFS('Sales Record'!H:H,'Sales Record'!F:F,Sheet4!A134)=0,"",SUMIFS('Sales Record'!H:H,'Sales Record'!F:F,Sheet4!A134))</f>
        <v/>
      </c>
      <c r="E134" t="str">
        <f>IF(SUMIFS('Sales Return'!G:G,'Sales Return'!F:F,Sheet4!A134)=0,"",SUMIFS('Sales Return'!G:G,'Sales Return'!F:F,Sheet4!A134))</f>
        <v/>
      </c>
      <c r="F134" t="str">
        <f>IF(SUMIFS('Purchase Return'!G:G,'Purchase Return'!F:F,Sheet4!A134)=0,"",SUMIFS('Purchase Return'!G:G,'Purchase Return'!F:F,Sheet4!A134))</f>
        <v/>
      </c>
      <c r="G134" t="str">
        <f t="shared" si="2"/>
        <v/>
      </c>
    </row>
    <row r="135" spans="1:7">
      <c r="A135" t="str">
        <f>IF('Product List'!B135="","",'Product List'!B135)</f>
        <v/>
      </c>
      <c r="B135" t="str">
        <f>IF('Product List'!C135="","",'Product List'!C135)</f>
        <v/>
      </c>
      <c r="C135" t="str">
        <f>IF(SUMIFS('Purchase Record'!G:G,'Purchase Record'!F:F,Sheet4!A135)=0,"",SUMIFS('Purchase Record'!G:G,'Purchase Record'!F:F,Sheet4!A135))</f>
        <v/>
      </c>
      <c r="D135" t="str">
        <f>IF(SUMIFS('Sales Record'!H:H,'Sales Record'!F:F,Sheet4!A135)=0,"",SUMIFS('Sales Record'!H:H,'Sales Record'!F:F,Sheet4!A135))</f>
        <v/>
      </c>
      <c r="E135" t="str">
        <f>IF(SUMIFS('Sales Return'!G:G,'Sales Return'!F:F,Sheet4!A135)=0,"",SUMIFS('Sales Return'!G:G,'Sales Return'!F:F,Sheet4!A135))</f>
        <v/>
      </c>
      <c r="F135" t="str">
        <f>IF(SUMIFS('Purchase Return'!G:G,'Purchase Return'!F:F,Sheet4!A135)=0,"",SUMIFS('Purchase Return'!G:G,'Purchase Return'!F:F,Sheet4!A135))</f>
        <v/>
      </c>
      <c r="G135" t="str">
        <f t="shared" si="2"/>
        <v/>
      </c>
    </row>
    <row r="136" spans="1:7">
      <c r="A136" t="str">
        <f>IF('Product List'!B136="","",'Product List'!B136)</f>
        <v/>
      </c>
      <c r="B136" t="str">
        <f>IF('Product List'!C136="","",'Product List'!C136)</f>
        <v/>
      </c>
      <c r="C136" t="str">
        <f>IF(SUMIFS('Purchase Record'!G:G,'Purchase Record'!F:F,Sheet4!A136)=0,"",SUMIFS('Purchase Record'!G:G,'Purchase Record'!F:F,Sheet4!A136))</f>
        <v/>
      </c>
      <c r="D136" t="str">
        <f>IF(SUMIFS('Sales Record'!H:H,'Sales Record'!F:F,Sheet4!A136)=0,"",SUMIFS('Sales Record'!H:H,'Sales Record'!F:F,Sheet4!A136))</f>
        <v/>
      </c>
      <c r="E136" t="str">
        <f>IF(SUMIFS('Sales Return'!G:G,'Sales Return'!F:F,Sheet4!A136)=0,"",SUMIFS('Sales Return'!G:G,'Sales Return'!F:F,Sheet4!A136))</f>
        <v/>
      </c>
      <c r="F136" t="str">
        <f>IF(SUMIFS('Purchase Return'!G:G,'Purchase Return'!F:F,Sheet4!A136)=0,"",SUMIFS('Purchase Return'!G:G,'Purchase Return'!F:F,Sheet4!A136))</f>
        <v/>
      </c>
      <c r="G136" t="str">
        <f t="shared" si="2"/>
        <v/>
      </c>
    </row>
    <row r="137" spans="1:7">
      <c r="A137" t="str">
        <f>IF('Product List'!B137="","",'Product List'!B137)</f>
        <v/>
      </c>
      <c r="B137" t="str">
        <f>IF('Product List'!C137="","",'Product List'!C137)</f>
        <v/>
      </c>
      <c r="C137" t="str">
        <f>IF(SUMIFS('Purchase Record'!G:G,'Purchase Record'!F:F,Sheet4!A137)=0,"",SUMIFS('Purchase Record'!G:G,'Purchase Record'!F:F,Sheet4!A137))</f>
        <v/>
      </c>
      <c r="D137" t="str">
        <f>IF(SUMIFS('Sales Record'!H:H,'Sales Record'!F:F,Sheet4!A137)=0,"",SUMIFS('Sales Record'!H:H,'Sales Record'!F:F,Sheet4!A137))</f>
        <v/>
      </c>
      <c r="E137" t="str">
        <f>IF(SUMIFS('Sales Return'!G:G,'Sales Return'!F:F,Sheet4!A137)=0,"",SUMIFS('Sales Return'!G:G,'Sales Return'!F:F,Sheet4!A137))</f>
        <v/>
      </c>
      <c r="F137" t="str">
        <f>IF(SUMIFS('Purchase Return'!G:G,'Purchase Return'!F:F,Sheet4!A137)=0,"",SUMIFS('Purchase Return'!G:G,'Purchase Return'!F:F,Sheet4!A137))</f>
        <v/>
      </c>
      <c r="G137" t="str">
        <f t="shared" si="2"/>
        <v/>
      </c>
    </row>
    <row r="138" spans="1:7">
      <c r="A138" t="str">
        <f>IF('Product List'!B138="","",'Product List'!B138)</f>
        <v/>
      </c>
      <c r="B138" t="str">
        <f>IF('Product List'!C138="","",'Product List'!C138)</f>
        <v/>
      </c>
      <c r="C138" t="str">
        <f>IF(SUMIFS('Purchase Record'!G:G,'Purchase Record'!F:F,Sheet4!A138)=0,"",SUMIFS('Purchase Record'!G:G,'Purchase Record'!F:F,Sheet4!A138))</f>
        <v/>
      </c>
      <c r="D138" t="str">
        <f>IF(SUMIFS('Sales Record'!H:H,'Sales Record'!F:F,Sheet4!A138)=0,"",SUMIFS('Sales Record'!H:H,'Sales Record'!F:F,Sheet4!A138))</f>
        <v/>
      </c>
      <c r="E138" t="str">
        <f>IF(SUMIFS('Sales Return'!G:G,'Sales Return'!F:F,Sheet4!A138)=0,"",SUMIFS('Sales Return'!G:G,'Sales Return'!F:F,Sheet4!A138))</f>
        <v/>
      </c>
      <c r="F138" t="str">
        <f>IF(SUMIFS('Purchase Return'!G:G,'Purchase Return'!F:F,Sheet4!A138)=0,"",SUMIFS('Purchase Return'!G:G,'Purchase Return'!F:F,Sheet4!A138))</f>
        <v/>
      </c>
      <c r="G138" t="str">
        <f t="shared" si="2"/>
        <v/>
      </c>
    </row>
    <row r="139" spans="1:7">
      <c r="A139" t="str">
        <f>IF('Product List'!B139="","",'Product List'!B139)</f>
        <v/>
      </c>
      <c r="B139" t="str">
        <f>IF('Product List'!C139="","",'Product List'!C139)</f>
        <v/>
      </c>
      <c r="C139" t="str">
        <f>IF(SUMIFS('Purchase Record'!G:G,'Purchase Record'!F:F,Sheet4!A139)=0,"",SUMIFS('Purchase Record'!G:G,'Purchase Record'!F:F,Sheet4!A139))</f>
        <v/>
      </c>
      <c r="D139" t="str">
        <f>IF(SUMIFS('Sales Record'!H:H,'Sales Record'!F:F,Sheet4!A139)=0,"",SUMIFS('Sales Record'!H:H,'Sales Record'!F:F,Sheet4!A139))</f>
        <v/>
      </c>
      <c r="E139" t="str">
        <f>IF(SUMIFS('Sales Return'!G:G,'Sales Return'!F:F,Sheet4!A139)=0,"",SUMIFS('Sales Return'!G:G,'Sales Return'!F:F,Sheet4!A139))</f>
        <v/>
      </c>
      <c r="F139" t="str">
        <f>IF(SUMIFS('Purchase Return'!G:G,'Purchase Return'!F:F,Sheet4!A139)=0,"",SUMIFS('Purchase Return'!G:G,'Purchase Return'!F:F,Sheet4!A139))</f>
        <v/>
      </c>
      <c r="G139" t="str">
        <f t="shared" si="2"/>
        <v/>
      </c>
    </row>
    <row r="140" spans="1:7">
      <c r="A140" t="str">
        <f>IF('Product List'!B140="","",'Product List'!B140)</f>
        <v/>
      </c>
      <c r="B140" t="str">
        <f>IF('Product List'!C140="","",'Product List'!C140)</f>
        <v/>
      </c>
      <c r="C140" t="str">
        <f>IF(SUMIFS('Purchase Record'!G:G,'Purchase Record'!F:F,Sheet4!A140)=0,"",SUMIFS('Purchase Record'!G:G,'Purchase Record'!F:F,Sheet4!A140))</f>
        <v/>
      </c>
      <c r="D140" t="str">
        <f>IF(SUMIFS('Sales Record'!H:H,'Sales Record'!F:F,Sheet4!A140)=0,"",SUMIFS('Sales Record'!H:H,'Sales Record'!F:F,Sheet4!A140))</f>
        <v/>
      </c>
      <c r="E140" t="str">
        <f>IF(SUMIFS('Sales Return'!G:G,'Sales Return'!F:F,Sheet4!A140)=0,"",SUMIFS('Sales Return'!G:G,'Sales Return'!F:F,Sheet4!A140))</f>
        <v/>
      </c>
      <c r="F140" t="str">
        <f>IF(SUMIFS('Purchase Return'!G:G,'Purchase Return'!F:F,Sheet4!A140)=0,"",SUMIFS('Purchase Return'!G:G,'Purchase Return'!F:F,Sheet4!A140))</f>
        <v/>
      </c>
      <c r="G140" t="str">
        <f t="shared" si="2"/>
        <v/>
      </c>
    </row>
    <row r="141" spans="1:7">
      <c r="A141" t="str">
        <f>IF('Product List'!B141="","",'Product List'!B141)</f>
        <v/>
      </c>
      <c r="B141" t="str">
        <f>IF('Product List'!C141="","",'Product List'!C141)</f>
        <v/>
      </c>
      <c r="C141" t="str">
        <f>IF(SUMIFS('Purchase Record'!G:G,'Purchase Record'!F:F,Sheet4!A141)=0,"",SUMIFS('Purchase Record'!G:G,'Purchase Record'!F:F,Sheet4!A141))</f>
        <v/>
      </c>
      <c r="D141" t="str">
        <f>IF(SUMIFS('Sales Record'!H:H,'Sales Record'!F:F,Sheet4!A141)=0,"",SUMIFS('Sales Record'!H:H,'Sales Record'!F:F,Sheet4!A141))</f>
        <v/>
      </c>
      <c r="E141" t="str">
        <f>IF(SUMIFS('Sales Return'!G:G,'Sales Return'!F:F,Sheet4!A141)=0,"",SUMIFS('Sales Return'!G:G,'Sales Return'!F:F,Sheet4!A141))</f>
        <v/>
      </c>
      <c r="F141" t="str">
        <f>IF(SUMIFS('Purchase Return'!G:G,'Purchase Return'!F:F,Sheet4!A141)=0,"",SUMIFS('Purchase Return'!G:G,'Purchase Return'!F:F,Sheet4!A141))</f>
        <v/>
      </c>
      <c r="G141" t="str">
        <f t="shared" si="2"/>
        <v/>
      </c>
    </row>
    <row r="142" spans="1:7">
      <c r="A142" t="str">
        <f>IF('Product List'!B142="","",'Product List'!B142)</f>
        <v/>
      </c>
      <c r="B142" t="str">
        <f>IF('Product List'!C142="","",'Product List'!C142)</f>
        <v/>
      </c>
      <c r="C142" t="str">
        <f>IF(SUMIFS('Purchase Record'!G:G,'Purchase Record'!F:F,Sheet4!A142)=0,"",SUMIFS('Purchase Record'!G:G,'Purchase Record'!F:F,Sheet4!A142))</f>
        <v/>
      </c>
      <c r="D142" t="str">
        <f>IF(SUMIFS('Sales Record'!H:H,'Sales Record'!F:F,Sheet4!A142)=0,"",SUMIFS('Sales Record'!H:H,'Sales Record'!F:F,Sheet4!A142))</f>
        <v/>
      </c>
      <c r="E142" t="str">
        <f>IF(SUMIFS('Sales Return'!G:G,'Sales Return'!F:F,Sheet4!A142)=0,"",SUMIFS('Sales Return'!G:G,'Sales Return'!F:F,Sheet4!A142))</f>
        <v/>
      </c>
      <c r="F142" t="str">
        <f>IF(SUMIFS('Purchase Return'!G:G,'Purchase Return'!F:F,Sheet4!A142)=0,"",SUMIFS('Purchase Return'!G:G,'Purchase Return'!F:F,Sheet4!A142))</f>
        <v/>
      </c>
      <c r="G142" t="str">
        <f t="shared" si="2"/>
        <v/>
      </c>
    </row>
    <row r="143" spans="1:7">
      <c r="A143" t="str">
        <f>IF('Product List'!B143="","",'Product List'!B143)</f>
        <v/>
      </c>
      <c r="B143" t="str">
        <f>IF('Product List'!C143="","",'Product List'!C143)</f>
        <v/>
      </c>
      <c r="C143" t="str">
        <f>IF(SUMIFS('Purchase Record'!G:G,'Purchase Record'!F:F,Sheet4!A143)=0,"",SUMIFS('Purchase Record'!G:G,'Purchase Record'!F:F,Sheet4!A143))</f>
        <v/>
      </c>
      <c r="D143" t="str">
        <f>IF(SUMIFS('Sales Record'!H:H,'Sales Record'!F:F,Sheet4!A143)=0,"",SUMIFS('Sales Record'!H:H,'Sales Record'!F:F,Sheet4!A143))</f>
        <v/>
      </c>
      <c r="E143" t="str">
        <f>IF(SUMIFS('Sales Return'!G:G,'Sales Return'!F:F,Sheet4!A143)=0,"",SUMIFS('Sales Return'!G:G,'Sales Return'!F:F,Sheet4!A143))</f>
        <v/>
      </c>
      <c r="F143" t="str">
        <f>IF(SUMIFS('Purchase Return'!G:G,'Purchase Return'!F:F,Sheet4!A143)=0,"",SUMIFS('Purchase Return'!G:G,'Purchase Return'!F:F,Sheet4!A143))</f>
        <v/>
      </c>
      <c r="G143" t="str">
        <f t="shared" si="2"/>
        <v/>
      </c>
    </row>
    <row r="144" spans="1:7">
      <c r="A144" t="str">
        <f>IF('Product List'!B144="","",'Product List'!B144)</f>
        <v/>
      </c>
      <c r="B144" t="str">
        <f>IF('Product List'!C144="","",'Product List'!C144)</f>
        <v/>
      </c>
      <c r="C144" t="str">
        <f>IF(SUMIFS('Purchase Record'!G:G,'Purchase Record'!F:F,Sheet4!A144)=0,"",SUMIFS('Purchase Record'!G:G,'Purchase Record'!F:F,Sheet4!A144))</f>
        <v/>
      </c>
      <c r="D144" t="str">
        <f>IF(SUMIFS('Sales Record'!H:H,'Sales Record'!F:F,Sheet4!A144)=0,"",SUMIFS('Sales Record'!H:H,'Sales Record'!F:F,Sheet4!A144))</f>
        <v/>
      </c>
      <c r="E144" t="str">
        <f>IF(SUMIFS('Sales Return'!G:G,'Sales Return'!F:F,Sheet4!A144)=0,"",SUMIFS('Sales Return'!G:G,'Sales Return'!F:F,Sheet4!A144))</f>
        <v/>
      </c>
      <c r="F144" t="str">
        <f>IF(SUMIFS('Purchase Return'!G:G,'Purchase Return'!F:F,Sheet4!A144)=0,"",SUMIFS('Purchase Return'!G:G,'Purchase Return'!F:F,Sheet4!A144))</f>
        <v/>
      </c>
      <c r="G144" t="str">
        <f t="shared" si="2"/>
        <v/>
      </c>
    </row>
    <row r="145" spans="1:7">
      <c r="A145" t="str">
        <f>IF('Product List'!B145="","",'Product List'!B145)</f>
        <v/>
      </c>
      <c r="B145" t="str">
        <f>IF('Product List'!C145="","",'Product List'!C145)</f>
        <v/>
      </c>
      <c r="C145" t="str">
        <f>IF(SUMIFS('Purchase Record'!G:G,'Purchase Record'!F:F,Sheet4!A145)=0,"",SUMIFS('Purchase Record'!G:G,'Purchase Record'!F:F,Sheet4!A145))</f>
        <v/>
      </c>
      <c r="D145" t="str">
        <f>IF(SUMIFS('Sales Record'!H:H,'Sales Record'!F:F,Sheet4!A145)=0,"",SUMIFS('Sales Record'!H:H,'Sales Record'!F:F,Sheet4!A145))</f>
        <v/>
      </c>
      <c r="E145" t="str">
        <f>IF(SUMIFS('Sales Return'!G:G,'Sales Return'!F:F,Sheet4!A145)=0,"",SUMIFS('Sales Return'!G:G,'Sales Return'!F:F,Sheet4!A145))</f>
        <v/>
      </c>
      <c r="F145" t="str">
        <f>IF(SUMIFS('Purchase Return'!G:G,'Purchase Return'!F:F,Sheet4!A145)=0,"",SUMIFS('Purchase Return'!G:G,'Purchase Return'!F:F,Sheet4!A145))</f>
        <v/>
      </c>
      <c r="G145" t="str">
        <f t="shared" si="2"/>
        <v/>
      </c>
    </row>
    <row r="146" spans="1:7">
      <c r="A146" t="str">
        <f>IF('Product List'!B146="","",'Product List'!B146)</f>
        <v/>
      </c>
      <c r="B146" t="str">
        <f>IF('Product List'!C146="","",'Product List'!C146)</f>
        <v/>
      </c>
      <c r="C146" t="str">
        <f>IF(SUMIFS('Purchase Record'!G:G,'Purchase Record'!F:F,Sheet4!A146)=0,"",SUMIFS('Purchase Record'!G:G,'Purchase Record'!F:F,Sheet4!A146))</f>
        <v/>
      </c>
      <c r="D146" t="str">
        <f>IF(SUMIFS('Sales Record'!H:H,'Sales Record'!F:F,Sheet4!A146)=0,"",SUMIFS('Sales Record'!H:H,'Sales Record'!F:F,Sheet4!A146))</f>
        <v/>
      </c>
      <c r="E146" t="str">
        <f>IF(SUMIFS('Sales Return'!G:G,'Sales Return'!F:F,Sheet4!A146)=0,"",SUMIFS('Sales Return'!G:G,'Sales Return'!F:F,Sheet4!A146))</f>
        <v/>
      </c>
      <c r="F146" t="str">
        <f>IF(SUMIFS('Purchase Return'!G:G,'Purchase Return'!F:F,Sheet4!A146)=0,"",SUMIFS('Purchase Return'!G:G,'Purchase Return'!F:F,Sheet4!A146))</f>
        <v/>
      </c>
      <c r="G146" t="str">
        <f t="shared" si="2"/>
        <v/>
      </c>
    </row>
    <row r="147" spans="1:7">
      <c r="A147" t="str">
        <f>IF('Product List'!B147="","",'Product List'!B147)</f>
        <v/>
      </c>
      <c r="B147" t="str">
        <f>IF('Product List'!C147="","",'Product List'!C147)</f>
        <v/>
      </c>
      <c r="C147" t="str">
        <f>IF(SUMIFS('Purchase Record'!G:G,'Purchase Record'!F:F,Sheet4!A147)=0,"",SUMIFS('Purchase Record'!G:G,'Purchase Record'!F:F,Sheet4!A147))</f>
        <v/>
      </c>
      <c r="D147" t="str">
        <f>IF(SUMIFS('Sales Record'!H:H,'Sales Record'!F:F,Sheet4!A147)=0,"",SUMIFS('Sales Record'!H:H,'Sales Record'!F:F,Sheet4!A147))</f>
        <v/>
      </c>
      <c r="E147" t="str">
        <f>IF(SUMIFS('Sales Return'!G:G,'Sales Return'!F:F,Sheet4!A147)=0,"",SUMIFS('Sales Return'!G:G,'Sales Return'!F:F,Sheet4!A147))</f>
        <v/>
      </c>
      <c r="F147" t="str">
        <f>IF(SUMIFS('Purchase Return'!G:G,'Purchase Return'!F:F,Sheet4!A147)=0,"",SUMIFS('Purchase Return'!G:G,'Purchase Return'!F:F,Sheet4!A147))</f>
        <v/>
      </c>
      <c r="G147" t="str">
        <f t="shared" si="2"/>
        <v/>
      </c>
    </row>
    <row r="148" spans="1:7">
      <c r="A148" t="str">
        <f>IF('Product List'!B148="","",'Product List'!B148)</f>
        <v/>
      </c>
      <c r="B148" t="str">
        <f>IF('Product List'!C148="","",'Product List'!C148)</f>
        <v/>
      </c>
      <c r="C148" t="str">
        <f>IF(SUMIFS('Purchase Record'!G:G,'Purchase Record'!F:F,Sheet4!A148)=0,"",SUMIFS('Purchase Record'!G:G,'Purchase Record'!F:F,Sheet4!A148))</f>
        <v/>
      </c>
      <c r="D148" t="str">
        <f>IF(SUMIFS('Sales Record'!H:H,'Sales Record'!F:F,Sheet4!A148)=0,"",SUMIFS('Sales Record'!H:H,'Sales Record'!F:F,Sheet4!A148))</f>
        <v/>
      </c>
      <c r="E148" t="str">
        <f>IF(SUMIFS('Sales Return'!G:G,'Sales Return'!F:F,Sheet4!A148)=0,"",SUMIFS('Sales Return'!G:G,'Sales Return'!F:F,Sheet4!A148))</f>
        <v/>
      </c>
      <c r="F148" t="str">
        <f>IF(SUMIFS('Purchase Return'!G:G,'Purchase Return'!F:F,Sheet4!A148)=0,"",SUMIFS('Purchase Return'!G:G,'Purchase Return'!F:F,Sheet4!A148))</f>
        <v/>
      </c>
      <c r="G148" t="str">
        <f t="shared" si="2"/>
        <v/>
      </c>
    </row>
    <row r="149" spans="1:7">
      <c r="A149" t="str">
        <f>IF('Product List'!B149="","",'Product List'!B149)</f>
        <v/>
      </c>
      <c r="B149" t="str">
        <f>IF('Product List'!C149="","",'Product List'!C149)</f>
        <v/>
      </c>
      <c r="C149" t="str">
        <f>IF(SUMIFS('Purchase Record'!G:G,'Purchase Record'!F:F,Sheet4!A149)=0,"",SUMIFS('Purchase Record'!G:G,'Purchase Record'!F:F,Sheet4!A149))</f>
        <v/>
      </c>
      <c r="D149" t="str">
        <f>IF(SUMIFS('Sales Record'!H:H,'Sales Record'!F:F,Sheet4!A149)=0,"",SUMIFS('Sales Record'!H:H,'Sales Record'!F:F,Sheet4!A149))</f>
        <v/>
      </c>
      <c r="E149" t="str">
        <f>IF(SUMIFS('Sales Return'!G:G,'Sales Return'!F:F,Sheet4!A149)=0,"",SUMIFS('Sales Return'!G:G,'Sales Return'!F:F,Sheet4!A149))</f>
        <v/>
      </c>
      <c r="F149" t="str">
        <f>IF(SUMIFS('Purchase Return'!G:G,'Purchase Return'!F:F,Sheet4!A149)=0,"",SUMIFS('Purchase Return'!G:G,'Purchase Return'!F:F,Sheet4!A149))</f>
        <v/>
      </c>
      <c r="G149" t="str">
        <f t="shared" si="2"/>
        <v/>
      </c>
    </row>
    <row r="150" spans="1:7">
      <c r="A150" t="str">
        <f>IF('Product List'!B150="","",'Product List'!B150)</f>
        <v/>
      </c>
      <c r="B150" t="str">
        <f>IF('Product List'!C150="","",'Product List'!C150)</f>
        <v/>
      </c>
      <c r="C150" t="str">
        <f>IF(SUMIFS('Purchase Record'!G:G,'Purchase Record'!F:F,Sheet4!A150)=0,"",SUMIFS('Purchase Record'!G:G,'Purchase Record'!F:F,Sheet4!A150))</f>
        <v/>
      </c>
      <c r="D150" t="str">
        <f>IF(SUMIFS('Sales Record'!H:H,'Sales Record'!F:F,Sheet4!A150)=0,"",SUMIFS('Sales Record'!H:H,'Sales Record'!F:F,Sheet4!A150))</f>
        <v/>
      </c>
      <c r="E150" t="str">
        <f>IF(SUMIFS('Sales Return'!G:G,'Sales Return'!F:F,Sheet4!A150)=0,"",SUMIFS('Sales Return'!G:G,'Sales Return'!F:F,Sheet4!A150))</f>
        <v/>
      </c>
      <c r="F150" t="str">
        <f>IF(SUMIFS('Purchase Return'!G:G,'Purchase Return'!F:F,Sheet4!A150)=0,"",SUMIFS('Purchase Return'!G:G,'Purchase Return'!F:F,Sheet4!A150))</f>
        <v/>
      </c>
      <c r="G150" t="str">
        <f t="shared" si="2"/>
        <v/>
      </c>
    </row>
    <row r="151" spans="1:7">
      <c r="A151" t="str">
        <f>IF('Product List'!B151="","",'Product List'!B151)</f>
        <v/>
      </c>
      <c r="B151" t="str">
        <f>IF('Product List'!C151="","",'Product List'!C151)</f>
        <v/>
      </c>
      <c r="C151" t="str">
        <f>IF(SUMIFS('Purchase Record'!G:G,'Purchase Record'!F:F,Sheet4!A151)=0,"",SUMIFS('Purchase Record'!G:G,'Purchase Record'!F:F,Sheet4!A151))</f>
        <v/>
      </c>
      <c r="D151" t="str">
        <f>IF(SUMIFS('Sales Record'!H:H,'Sales Record'!F:F,Sheet4!A151)=0,"",SUMIFS('Sales Record'!H:H,'Sales Record'!F:F,Sheet4!A151))</f>
        <v/>
      </c>
      <c r="E151" t="str">
        <f>IF(SUMIFS('Sales Return'!G:G,'Sales Return'!F:F,Sheet4!A151)=0,"",SUMIFS('Sales Return'!G:G,'Sales Return'!F:F,Sheet4!A151))</f>
        <v/>
      </c>
      <c r="F151" t="str">
        <f>IF(SUMIFS('Purchase Return'!G:G,'Purchase Return'!F:F,Sheet4!A151)=0,"",SUMIFS('Purchase Return'!G:G,'Purchase Return'!F:F,Sheet4!A151))</f>
        <v/>
      </c>
      <c r="G151" t="str">
        <f t="shared" si="2"/>
        <v/>
      </c>
    </row>
    <row r="152" spans="1:7">
      <c r="A152" t="str">
        <f>IF('Product List'!B152="","",'Product List'!B152)</f>
        <v/>
      </c>
      <c r="B152" t="str">
        <f>IF('Product List'!C152="","",'Product List'!C152)</f>
        <v/>
      </c>
      <c r="C152" t="str">
        <f>IF(SUMIFS('Purchase Record'!G:G,'Purchase Record'!F:F,Sheet4!A152)=0,"",SUMIFS('Purchase Record'!G:G,'Purchase Record'!F:F,Sheet4!A152))</f>
        <v/>
      </c>
      <c r="D152" t="str">
        <f>IF(SUMIFS('Sales Record'!H:H,'Sales Record'!F:F,Sheet4!A152)=0,"",SUMIFS('Sales Record'!H:H,'Sales Record'!F:F,Sheet4!A152))</f>
        <v/>
      </c>
      <c r="E152" t="str">
        <f>IF(SUMIFS('Sales Return'!G:G,'Sales Return'!F:F,Sheet4!A152)=0,"",SUMIFS('Sales Return'!G:G,'Sales Return'!F:F,Sheet4!A152))</f>
        <v/>
      </c>
      <c r="F152" t="str">
        <f>IF(SUMIFS('Purchase Return'!G:G,'Purchase Return'!F:F,Sheet4!A152)=0,"",SUMIFS('Purchase Return'!G:G,'Purchase Return'!F:F,Sheet4!A152))</f>
        <v/>
      </c>
      <c r="G152" t="str">
        <f t="shared" si="2"/>
        <v/>
      </c>
    </row>
    <row r="153" spans="1:7">
      <c r="A153" t="str">
        <f>IF('Product List'!B153="","",'Product List'!B153)</f>
        <v/>
      </c>
      <c r="B153" t="str">
        <f>IF('Product List'!C153="","",'Product List'!C153)</f>
        <v/>
      </c>
      <c r="C153" t="str">
        <f>IF(SUMIFS('Purchase Record'!G:G,'Purchase Record'!F:F,Sheet4!A153)=0,"",SUMIFS('Purchase Record'!G:G,'Purchase Record'!F:F,Sheet4!A153))</f>
        <v/>
      </c>
      <c r="D153" t="str">
        <f>IF(SUMIFS('Sales Record'!H:H,'Sales Record'!F:F,Sheet4!A153)=0,"",SUMIFS('Sales Record'!H:H,'Sales Record'!F:F,Sheet4!A153))</f>
        <v/>
      </c>
      <c r="E153" t="str">
        <f>IF(SUMIFS('Sales Return'!G:G,'Sales Return'!F:F,Sheet4!A153)=0,"",SUMIFS('Sales Return'!G:G,'Sales Return'!F:F,Sheet4!A153))</f>
        <v/>
      </c>
      <c r="F153" t="str">
        <f>IF(SUMIFS('Purchase Return'!G:G,'Purchase Return'!F:F,Sheet4!A153)=0,"",SUMIFS('Purchase Return'!G:G,'Purchase Return'!F:F,Sheet4!A153))</f>
        <v/>
      </c>
      <c r="G153" t="str">
        <f t="shared" si="2"/>
        <v/>
      </c>
    </row>
    <row r="154" spans="1:7">
      <c r="A154" t="str">
        <f>IF('Product List'!B154="","",'Product List'!B154)</f>
        <v/>
      </c>
      <c r="B154" t="str">
        <f>IF('Product List'!C154="","",'Product List'!C154)</f>
        <v/>
      </c>
      <c r="C154" t="str">
        <f>IF(SUMIFS('Purchase Record'!G:G,'Purchase Record'!F:F,Sheet4!A154)=0,"",SUMIFS('Purchase Record'!G:G,'Purchase Record'!F:F,Sheet4!A154))</f>
        <v/>
      </c>
      <c r="D154" t="str">
        <f>IF(SUMIFS('Sales Record'!H:H,'Sales Record'!F:F,Sheet4!A154)=0,"",SUMIFS('Sales Record'!H:H,'Sales Record'!F:F,Sheet4!A154))</f>
        <v/>
      </c>
      <c r="E154" t="str">
        <f>IF(SUMIFS('Sales Return'!G:G,'Sales Return'!F:F,Sheet4!A154)=0,"",SUMIFS('Sales Return'!G:G,'Sales Return'!F:F,Sheet4!A154))</f>
        <v/>
      </c>
      <c r="F154" t="str">
        <f>IF(SUMIFS('Purchase Return'!G:G,'Purchase Return'!F:F,Sheet4!A154)=0,"",SUMIFS('Purchase Return'!G:G,'Purchase Return'!F:F,Sheet4!A154))</f>
        <v/>
      </c>
      <c r="G154" t="str">
        <f t="shared" si="2"/>
        <v/>
      </c>
    </row>
    <row r="155" spans="1:7">
      <c r="A155" t="str">
        <f>IF('Product List'!B155="","",'Product List'!B155)</f>
        <v/>
      </c>
      <c r="B155" t="str">
        <f>IF('Product List'!C155="","",'Product List'!C155)</f>
        <v/>
      </c>
      <c r="C155" t="str">
        <f>IF(SUMIFS('Purchase Record'!G:G,'Purchase Record'!F:F,Sheet4!A155)=0,"",SUMIFS('Purchase Record'!G:G,'Purchase Record'!F:F,Sheet4!A155))</f>
        <v/>
      </c>
      <c r="D155" t="str">
        <f>IF(SUMIFS('Sales Record'!H:H,'Sales Record'!F:F,Sheet4!A155)=0,"",SUMIFS('Sales Record'!H:H,'Sales Record'!F:F,Sheet4!A155))</f>
        <v/>
      </c>
      <c r="E155" t="str">
        <f>IF(SUMIFS('Sales Return'!G:G,'Sales Return'!F:F,Sheet4!A155)=0,"",SUMIFS('Sales Return'!G:G,'Sales Return'!F:F,Sheet4!A155))</f>
        <v/>
      </c>
      <c r="F155" t="str">
        <f>IF(SUMIFS('Purchase Return'!G:G,'Purchase Return'!F:F,Sheet4!A155)=0,"",SUMIFS('Purchase Return'!G:G,'Purchase Return'!F:F,Sheet4!A155))</f>
        <v/>
      </c>
      <c r="G155" t="str">
        <f t="shared" si="2"/>
        <v/>
      </c>
    </row>
    <row r="156" spans="1:7">
      <c r="A156" t="str">
        <f>IF('Product List'!B156="","",'Product List'!B156)</f>
        <v/>
      </c>
      <c r="B156" t="str">
        <f>IF('Product List'!C156="","",'Product List'!C156)</f>
        <v/>
      </c>
      <c r="C156" t="str">
        <f>IF(SUMIFS('Purchase Record'!G:G,'Purchase Record'!F:F,Sheet4!A156)=0,"",SUMIFS('Purchase Record'!G:G,'Purchase Record'!F:F,Sheet4!A156))</f>
        <v/>
      </c>
      <c r="D156" t="str">
        <f>IF(SUMIFS('Sales Record'!H:H,'Sales Record'!F:F,Sheet4!A156)=0,"",SUMIFS('Sales Record'!H:H,'Sales Record'!F:F,Sheet4!A156))</f>
        <v/>
      </c>
      <c r="E156" t="str">
        <f>IF(SUMIFS('Sales Return'!G:G,'Sales Return'!F:F,Sheet4!A156)=0,"",SUMIFS('Sales Return'!G:G,'Sales Return'!F:F,Sheet4!A156))</f>
        <v/>
      </c>
      <c r="F156" t="str">
        <f>IF(SUMIFS('Purchase Return'!G:G,'Purchase Return'!F:F,Sheet4!A156)=0,"",SUMIFS('Purchase Return'!G:G,'Purchase Return'!F:F,Sheet4!A156))</f>
        <v/>
      </c>
      <c r="G156" t="str">
        <f t="shared" si="2"/>
        <v/>
      </c>
    </row>
    <row r="157" spans="1:7">
      <c r="A157" t="str">
        <f>IF('Product List'!B157="","",'Product List'!B157)</f>
        <v/>
      </c>
      <c r="B157" t="str">
        <f>IF('Product List'!C157="","",'Product List'!C157)</f>
        <v/>
      </c>
      <c r="C157" t="str">
        <f>IF(SUMIFS('Purchase Record'!G:G,'Purchase Record'!F:F,Sheet4!A157)=0,"",SUMIFS('Purchase Record'!G:G,'Purchase Record'!F:F,Sheet4!A157))</f>
        <v/>
      </c>
      <c r="D157" t="str">
        <f>IF(SUMIFS('Sales Record'!H:H,'Sales Record'!F:F,Sheet4!A157)=0,"",SUMIFS('Sales Record'!H:H,'Sales Record'!F:F,Sheet4!A157))</f>
        <v/>
      </c>
      <c r="E157" t="str">
        <f>IF(SUMIFS('Sales Return'!G:G,'Sales Return'!F:F,Sheet4!A157)=0,"",SUMIFS('Sales Return'!G:G,'Sales Return'!F:F,Sheet4!A157))</f>
        <v/>
      </c>
      <c r="F157" t="str">
        <f>IF(SUMIFS('Purchase Return'!G:G,'Purchase Return'!F:F,Sheet4!A157)=0,"",SUMIFS('Purchase Return'!G:G,'Purchase Return'!F:F,Sheet4!A157))</f>
        <v/>
      </c>
      <c r="G157" t="str">
        <f t="shared" si="2"/>
        <v/>
      </c>
    </row>
    <row r="158" spans="1:7">
      <c r="A158" t="str">
        <f>IF('Product List'!B158="","",'Product List'!B158)</f>
        <v/>
      </c>
      <c r="B158" t="str">
        <f>IF('Product List'!C158="","",'Product List'!C158)</f>
        <v/>
      </c>
      <c r="C158" t="str">
        <f>IF(SUMIFS('Purchase Record'!G:G,'Purchase Record'!F:F,Sheet4!A158)=0,"",SUMIFS('Purchase Record'!G:G,'Purchase Record'!F:F,Sheet4!A158))</f>
        <v/>
      </c>
      <c r="D158" t="str">
        <f>IF(SUMIFS('Sales Record'!H:H,'Sales Record'!F:F,Sheet4!A158)=0,"",SUMIFS('Sales Record'!H:H,'Sales Record'!F:F,Sheet4!A158))</f>
        <v/>
      </c>
      <c r="E158" t="str">
        <f>IF(SUMIFS('Sales Return'!G:G,'Sales Return'!F:F,Sheet4!A158)=0,"",SUMIFS('Sales Return'!G:G,'Sales Return'!F:F,Sheet4!A158))</f>
        <v/>
      </c>
      <c r="F158" t="str">
        <f>IF(SUMIFS('Purchase Return'!G:G,'Purchase Return'!F:F,Sheet4!A158)=0,"",SUMIFS('Purchase Return'!G:G,'Purchase Return'!F:F,Sheet4!A158))</f>
        <v/>
      </c>
      <c r="G158" t="str">
        <f t="shared" si="2"/>
        <v/>
      </c>
    </row>
    <row r="159" spans="1:7">
      <c r="A159" t="str">
        <f>IF('Product List'!B159="","",'Product List'!B159)</f>
        <v/>
      </c>
      <c r="B159" t="str">
        <f>IF('Product List'!C159="","",'Product List'!C159)</f>
        <v/>
      </c>
      <c r="C159" t="str">
        <f>IF(SUMIFS('Purchase Record'!G:G,'Purchase Record'!F:F,Sheet4!A159)=0,"",SUMIFS('Purchase Record'!G:G,'Purchase Record'!F:F,Sheet4!A159))</f>
        <v/>
      </c>
      <c r="D159" t="str">
        <f>IF(SUMIFS('Sales Record'!H:H,'Sales Record'!F:F,Sheet4!A159)=0,"",SUMIFS('Sales Record'!H:H,'Sales Record'!F:F,Sheet4!A159))</f>
        <v/>
      </c>
      <c r="E159" t="str">
        <f>IF(SUMIFS('Sales Return'!G:G,'Sales Return'!F:F,Sheet4!A159)=0,"",SUMIFS('Sales Return'!G:G,'Sales Return'!F:F,Sheet4!A159))</f>
        <v/>
      </c>
      <c r="F159" t="str">
        <f>IF(SUMIFS('Purchase Return'!G:G,'Purchase Return'!F:F,Sheet4!A159)=0,"",SUMIFS('Purchase Return'!G:G,'Purchase Return'!F:F,Sheet4!A159))</f>
        <v/>
      </c>
      <c r="G159" t="str">
        <f t="shared" si="2"/>
        <v/>
      </c>
    </row>
    <row r="160" spans="1:7">
      <c r="A160" t="str">
        <f>IF('Product List'!B160="","",'Product List'!B160)</f>
        <v/>
      </c>
      <c r="B160" t="str">
        <f>IF('Product List'!C160="","",'Product List'!C160)</f>
        <v/>
      </c>
      <c r="C160" t="str">
        <f>IF(SUMIFS('Purchase Record'!G:G,'Purchase Record'!F:F,Sheet4!A160)=0,"",SUMIFS('Purchase Record'!G:G,'Purchase Record'!F:F,Sheet4!A160))</f>
        <v/>
      </c>
      <c r="D160" t="str">
        <f>IF(SUMIFS('Sales Record'!H:H,'Sales Record'!F:F,Sheet4!A160)=0,"",SUMIFS('Sales Record'!H:H,'Sales Record'!F:F,Sheet4!A160))</f>
        <v/>
      </c>
      <c r="E160" t="str">
        <f>IF(SUMIFS('Sales Return'!G:G,'Sales Return'!F:F,Sheet4!A160)=0,"",SUMIFS('Sales Return'!G:G,'Sales Return'!F:F,Sheet4!A160))</f>
        <v/>
      </c>
      <c r="F160" t="str">
        <f>IF(SUMIFS('Purchase Return'!G:G,'Purchase Return'!F:F,Sheet4!A160)=0,"",SUMIFS('Purchase Return'!G:G,'Purchase Return'!F:F,Sheet4!A160))</f>
        <v/>
      </c>
      <c r="G160" t="str">
        <f t="shared" si="2"/>
        <v/>
      </c>
    </row>
    <row r="161" spans="1:7">
      <c r="A161" t="str">
        <f>IF('Product List'!B161="","",'Product List'!B161)</f>
        <v/>
      </c>
      <c r="B161" t="str">
        <f>IF('Product List'!C161="","",'Product List'!C161)</f>
        <v/>
      </c>
      <c r="C161" t="str">
        <f>IF(SUMIFS('Purchase Record'!G:G,'Purchase Record'!F:F,Sheet4!A161)=0,"",SUMIFS('Purchase Record'!G:G,'Purchase Record'!F:F,Sheet4!A161))</f>
        <v/>
      </c>
      <c r="D161" t="str">
        <f>IF(SUMIFS('Sales Record'!H:H,'Sales Record'!F:F,Sheet4!A161)=0,"",SUMIFS('Sales Record'!H:H,'Sales Record'!F:F,Sheet4!A161))</f>
        <v/>
      </c>
      <c r="E161" t="str">
        <f>IF(SUMIFS('Sales Return'!G:G,'Sales Return'!F:F,Sheet4!A161)=0,"",SUMIFS('Sales Return'!G:G,'Sales Return'!F:F,Sheet4!A161))</f>
        <v/>
      </c>
      <c r="F161" t="str">
        <f>IF(SUMIFS('Purchase Return'!G:G,'Purchase Return'!F:F,Sheet4!A161)=0,"",SUMIFS('Purchase Return'!G:G,'Purchase Return'!F:F,Sheet4!A161))</f>
        <v/>
      </c>
      <c r="G161" t="str">
        <f t="shared" si="2"/>
        <v/>
      </c>
    </row>
    <row r="162" spans="1:7">
      <c r="A162" t="str">
        <f>IF('Product List'!B162="","",'Product List'!B162)</f>
        <v/>
      </c>
      <c r="B162" t="str">
        <f>IF('Product List'!C162="","",'Product List'!C162)</f>
        <v/>
      </c>
      <c r="C162" t="str">
        <f>IF(SUMIFS('Purchase Record'!G:G,'Purchase Record'!F:F,Sheet4!A162)=0,"",SUMIFS('Purchase Record'!G:G,'Purchase Record'!F:F,Sheet4!A162))</f>
        <v/>
      </c>
      <c r="D162" t="str">
        <f>IF(SUMIFS('Sales Record'!H:H,'Sales Record'!F:F,Sheet4!A162)=0,"",SUMIFS('Sales Record'!H:H,'Sales Record'!F:F,Sheet4!A162))</f>
        <v/>
      </c>
      <c r="E162" t="str">
        <f>IF(SUMIFS('Sales Return'!G:G,'Sales Return'!F:F,Sheet4!A162)=0,"",SUMIFS('Sales Return'!G:G,'Sales Return'!F:F,Sheet4!A162))</f>
        <v/>
      </c>
      <c r="F162" t="str">
        <f>IF(SUMIFS('Purchase Return'!G:G,'Purchase Return'!F:F,Sheet4!A162)=0,"",SUMIFS('Purchase Return'!G:G,'Purchase Return'!F:F,Sheet4!A162))</f>
        <v/>
      </c>
      <c r="G162" t="str">
        <f t="shared" si="2"/>
        <v/>
      </c>
    </row>
    <row r="163" spans="1:7">
      <c r="A163" t="str">
        <f>IF('Product List'!B163="","",'Product List'!B163)</f>
        <v/>
      </c>
      <c r="B163" t="str">
        <f>IF('Product List'!C163="","",'Product List'!C163)</f>
        <v/>
      </c>
      <c r="C163" t="str">
        <f>IF(SUMIFS('Purchase Record'!G:G,'Purchase Record'!F:F,Sheet4!A163)=0,"",SUMIFS('Purchase Record'!G:G,'Purchase Record'!F:F,Sheet4!A163))</f>
        <v/>
      </c>
      <c r="D163" t="str">
        <f>IF(SUMIFS('Sales Record'!H:H,'Sales Record'!F:F,Sheet4!A163)=0,"",SUMIFS('Sales Record'!H:H,'Sales Record'!F:F,Sheet4!A163))</f>
        <v/>
      </c>
      <c r="E163" t="str">
        <f>IF(SUMIFS('Sales Return'!G:G,'Sales Return'!F:F,Sheet4!A163)=0,"",SUMIFS('Sales Return'!G:G,'Sales Return'!F:F,Sheet4!A163))</f>
        <v/>
      </c>
      <c r="F163" t="str">
        <f>IF(SUMIFS('Purchase Return'!G:G,'Purchase Return'!F:F,Sheet4!A163)=0,"",SUMIFS('Purchase Return'!G:G,'Purchase Return'!F:F,Sheet4!A163))</f>
        <v/>
      </c>
      <c r="G163" t="str">
        <f t="shared" si="2"/>
        <v/>
      </c>
    </row>
    <row r="164" spans="1:7">
      <c r="A164" t="str">
        <f>IF('Product List'!B164="","",'Product List'!B164)</f>
        <v/>
      </c>
      <c r="B164" t="str">
        <f>IF('Product List'!C164="","",'Product List'!C164)</f>
        <v/>
      </c>
      <c r="C164" t="str">
        <f>IF(SUMIFS('Purchase Record'!G:G,'Purchase Record'!F:F,Sheet4!A164)=0,"",SUMIFS('Purchase Record'!G:G,'Purchase Record'!F:F,Sheet4!A164))</f>
        <v/>
      </c>
      <c r="D164" t="str">
        <f>IF(SUMIFS('Sales Record'!H:H,'Sales Record'!F:F,Sheet4!A164)=0,"",SUMIFS('Sales Record'!H:H,'Sales Record'!F:F,Sheet4!A164))</f>
        <v/>
      </c>
      <c r="E164" t="str">
        <f>IF(SUMIFS('Sales Return'!G:G,'Sales Return'!F:F,Sheet4!A164)=0,"",SUMIFS('Sales Return'!G:G,'Sales Return'!F:F,Sheet4!A164))</f>
        <v/>
      </c>
      <c r="F164" t="str">
        <f>IF(SUMIFS('Purchase Return'!G:G,'Purchase Return'!F:F,Sheet4!A164)=0,"",SUMIFS('Purchase Return'!G:G,'Purchase Return'!F:F,Sheet4!A164))</f>
        <v/>
      </c>
      <c r="G164" t="str">
        <f t="shared" si="2"/>
        <v/>
      </c>
    </row>
    <row r="165" spans="1:7">
      <c r="A165" t="str">
        <f>IF('Product List'!B165="","",'Product List'!B165)</f>
        <v/>
      </c>
      <c r="B165" t="str">
        <f>IF('Product List'!C165="","",'Product List'!C165)</f>
        <v/>
      </c>
      <c r="C165" t="str">
        <f>IF(SUMIFS('Purchase Record'!G:G,'Purchase Record'!F:F,Sheet4!A165)=0,"",SUMIFS('Purchase Record'!G:G,'Purchase Record'!F:F,Sheet4!A165))</f>
        <v/>
      </c>
      <c r="D165" t="str">
        <f>IF(SUMIFS('Sales Record'!H:H,'Sales Record'!F:F,Sheet4!A165)=0,"",SUMIFS('Sales Record'!H:H,'Sales Record'!F:F,Sheet4!A165))</f>
        <v/>
      </c>
      <c r="E165" t="str">
        <f>IF(SUMIFS('Sales Return'!G:G,'Sales Return'!F:F,Sheet4!A165)=0,"",SUMIFS('Sales Return'!G:G,'Sales Return'!F:F,Sheet4!A165))</f>
        <v/>
      </c>
      <c r="F165" t="str">
        <f>IF(SUMIFS('Purchase Return'!G:G,'Purchase Return'!F:F,Sheet4!A165)=0,"",SUMIFS('Purchase Return'!G:G,'Purchase Return'!F:F,Sheet4!A165))</f>
        <v/>
      </c>
      <c r="G165" t="str">
        <f t="shared" si="2"/>
        <v/>
      </c>
    </row>
    <row r="166" spans="1:7">
      <c r="A166" t="str">
        <f>IF('Product List'!B166="","",'Product List'!B166)</f>
        <v/>
      </c>
      <c r="B166" t="str">
        <f>IF('Product List'!C166="","",'Product List'!C166)</f>
        <v/>
      </c>
      <c r="C166" t="str">
        <f>IF(SUMIFS('Purchase Record'!G:G,'Purchase Record'!F:F,Sheet4!A166)=0,"",SUMIFS('Purchase Record'!G:G,'Purchase Record'!F:F,Sheet4!A166))</f>
        <v/>
      </c>
      <c r="D166" t="str">
        <f>IF(SUMIFS('Sales Record'!H:H,'Sales Record'!F:F,Sheet4!A166)=0,"",SUMIFS('Sales Record'!H:H,'Sales Record'!F:F,Sheet4!A166))</f>
        <v/>
      </c>
      <c r="E166" t="str">
        <f>IF(SUMIFS('Sales Return'!G:G,'Sales Return'!F:F,Sheet4!A166)=0,"",SUMIFS('Sales Return'!G:G,'Sales Return'!F:F,Sheet4!A166))</f>
        <v/>
      </c>
      <c r="F166" t="str">
        <f>IF(SUMIFS('Purchase Return'!G:G,'Purchase Return'!F:F,Sheet4!A166)=0,"",SUMIFS('Purchase Return'!G:G,'Purchase Return'!F:F,Sheet4!A166))</f>
        <v/>
      </c>
      <c r="G166" t="str">
        <f t="shared" si="2"/>
        <v/>
      </c>
    </row>
    <row r="167" spans="1:7">
      <c r="A167" t="str">
        <f>IF('Product List'!B167="","",'Product List'!B167)</f>
        <v/>
      </c>
      <c r="B167" t="str">
        <f>IF('Product List'!C167="","",'Product List'!C167)</f>
        <v/>
      </c>
      <c r="C167" t="str">
        <f>IF(SUMIFS('Purchase Record'!G:G,'Purchase Record'!F:F,Sheet4!A167)=0,"",SUMIFS('Purchase Record'!G:G,'Purchase Record'!F:F,Sheet4!A167))</f>
        <v/>
      </c>
      <c r="D167" t="str">
        <f>IF(SUMIFS('Sales Record'!H:H,'Sales Record'!F:F,Sheet4!A167)=0,"",SUMIFS('Sales Record'!H:H,'Sales Record'!F:F,Sheet4!A167))</f>
        <v/>
      </c>
      <c r="E167" t="str">
        <f>IF(SUMIFS('Sales Return'!G:G,'Sales Return'!F:F,Sheet4!A167)=0,"",SUMIFS('Sales Return'!G:G,'Sales Return'!F:F,Sheet4!A167))</f>
        <v/>
      </c>
      <c r="F167" t="str">
        <f>IF(SUMIFS('Purchase Return'!G:G,'Purchase Return'!F:F,Sheet4!A167)=0,"",SUMIFS('Purchase Return'!G:G,'Purchase Return'!F:F,Sheet4!A167))</f>
        <v/>
      </c>
      <c r="G167" t="str">
        <f t="shared" si="2"/>
        <v/>
      </c>
    </row>
    <row r="168" spans="1:7">
      <c r="A168" t="str">
        <f>IF('Product List'!B168="","",'Product List'!B168)</f>
        <v/>
      </c>
      <c r="B168" t="str">
        <f>IF('Product List'!C168="","",'Product List'!C168)</f>
        <v/>
      </c>
      <c r="C168" t="str">
        <f>IF(SUMIFS('Purchase Record'!G:G,'Purchase Record'!F:F,Sheet4!A168)=0,"",SUMIFS('Purchase Record'!G:G,'Purchase Record'!F:F,Sheet4!A168))</f>
        <v/>
      </c>
      <c r="D168" t="str">
        <f>IF(SUMIFS('Sales Record'!H:H,'Sales Record'!F:F,Sheet4!A168)=0,"",SUMIFS('Sales Record'!H:H,'Sales Record'!F:F,Sheet4!A168))</f>
        <v/>
      </c>
      <c r="E168" t="str">
        <f>IF(SUMIFS('Sales Return'!G:G,'Sales Return'!F:F,Sheet4!A168)=0,"",SUMIFS('Sales Return'!G:G,'Sales Return'!F:F,Sheet4!A168))</f>
        <v/>
      </c>
      <c r="F168" t="str">
        <f>IF(SUMIFS('Purchase Return'!G:G,'Purchase Return'!F:F,Sheet4!A168)=0,"",SUMIFS('Purchase Return'!G:G,'Purchase Return'!F:F,Sheet4!A168))</f>
        <v/>
      </c>
      <c r="G168" t="str">
        <f t="shared" si="2"/>
        <v/>
      </c>
    </row>
    <row r="169" spans="1:7">
      <c r="A169" t="str">
        <f>IF('Product List'!B169="","",'Product List'!B169)</f>
        <v/>
      </c>
      <c r="B169" t="str">
        <f>IF('Product List'!C169="","",'Product List'!C169)</f>
        <v/>
      </c>
      <c r="C169" t="str">
        <f>IF(SUMIFS('Purchase Record'!G:G,'Purchase Record'!F:F,Sheet4!A169)=0,"",SUMIFS('Purchase Record'!G:G,'Purchase Record'!F:F,Sheet4!A169))</f>
        <v/>
      </c>
      <c r="D169" t="str">
        <f>IF(SUMIFS('Sales Record'!H:H,'Sales Record'!F:F,Sheet4!A169)=0,"",SUMIFS('Sales Record'!H:H,'Sales Record'!F:F,Sheet4!A169))</f>
        <v/>
      </c>
      <c r="E169" t="str">
        <f>IF(SUMIFS('Sales Return'!G:G,'Sales Return'!F:F,Sheet4!A169)=0,"",SUMIFS('Sales Return'!G:G,'Sales Return'!F:F,Sheet4!A169))</f>
        <v/>
      </c>
      <c r="F169" t="str">
        <f>IF(SUMIFS('Purchase Return'!G:G,'Purchase Return'!F:F,Sheet4!A169)=0,"",SUMIFS('Purchase Return'!G:G,'Purchase Return'!F:F,Sheet4!A169))</f>
        <v/>
      </c>
      <c r="G169" t="str">
        <f t="shared" si="2"/>
        <v/>
      </c>
    </row>
    <row r="170" spans="1:7">
      <c r="A170" t="str">
        <f>IF('Product List'!B170="","",'Product List'!B170)</f>
        <v/>
      </c>
      <c r="B170" t="str">
        <f>IF('Product List'!C170="","",'Product List'!C170)</f>
        <v/>
      </c>
      <c r="C170" t="str">
        <f>IF(SUMIFS('Purchase Record'!G:G,'Purchase Record'!F:F,Sheet4!A170)=0,"",SUMIFS('Purchase Record'!G:G,'Purchase Record'!F:F,Sheet4!A170))</f>
        <v/>
      </c>
      <c r="D170" t="str">
        <f>IF(SUMIFS('Sales Record'!H:H,'Sales Record'!F:F,Sheet4!A170)=0,"",SUMIFS('Sales Record'!H:H,'Sales Record'!F:F,Sheet4!A170))</f>
        <v/>
      </c>
      <c r="E170" t="str">
        <f>IF(SUMIFS('Sales Return'!G:G,'Sales Return'!F:F,Sheet4!A170)=0,"",SUMIFS('Sales Return'!G:G,'Sales Return'!F:F,Sheet4!A170))</f>
        <v/>
      </c>
      <c r="F170" t="str">
        <f>IF(SUMIFS('Purchase Return'!G:G,'Purchase Return'!F:F,Sheet4!A170)=0,"",SUMIFS('Purchase Return'!G:G,'Purchase Return'!F:F,Sheet4!A170))</f>
        <v/>
      </c>
      <c r="G170" t="str">
        <f t="shared" si="2"/>
        <v/>
      </c>
    </row>
    <row r="171" spans="1:7">
      <c r="A171" t="str">
        <f>IF('Product List'!B171="","",'Product List'!B171)</f>
        <v/>
      </c>
      <c r="B171" t="str">
        <f>IF('Product List'!C171="","",'Product List'!C171)</f>
        <v/>
      </c>
      <c r="C171" t="str">
        <f>IF(SUMIFS('Purchase Record'!G:G,'Purchase Record'!F:F,Sheet4!A171)=0,"",SUMIFS('Purchase Record'!G:G,'Purchase Record'!F:F,Sheet4!A171))</f>
        <v/>
      </c>
      <c r="D171" t="str">
        <f>IF(SUMIFS('Sales Record'!H:H,'Sales Record'!F:F,Sheet4!A171)=0,"",SUMIFS('Sales Record'!H:H,'Sales Record'!F:F,Sheet4!A171))</f>
        <v/>
      </c>
      <c r="E171" t="str">
        <f>IF(SUMIFS('Sales Return'!G:G,'Sales Return'!F:F,Sheet4!A171)=0,"",SUMIFS('Sales Return'!G:G,'Sales Return'!F:F,Sheet4!A171))</f>
        <v/>
      </c>
      <c r="F171" t="str">
        <f>IF(SUMIFS('Purchase Return'!G:G,'Purchase Return'!F:F,Sheet4!A171)=0,"",SUMIFS('Purchase Return'!G:G,'Purchase Return'!F:F,Sheet4!A171))</f>
        <v/>
      </c>
      <c r="G171" t="str">
        <f t="shared" si="2"/>
        <v/>
      </c>
    </row>
    <row r="172" spans="1:7">
      <c r="A172" t="str">
        <f>IF('Product List'!B172="","",'Product List'!B172)</f>
        <v/>
      </c>
      <c r="B172" t="str">
        <f>IF('Product List'!C172="","",'Product List'!C172)</f>
        <v/>
      </c>
      <c r="C172" t="str">
        <f>IF(SUMIFS('Purchase Record'!G:G,'Purchase Record'!F:F,Sheet4!A172)=0,"",SUMIFS('Purchase Record'!G:G,'Purchase Record'!F:F,Sheet4!A172))</f>
        <v/>
      </c>
      <c r="D172" t="str">
        <f>IF(SUMIFS('Sales Record'!H:H,'Sales Record'!F:F,Sheet4!A172)=0,"",SUMIFS('Sales Record'!H:H,'Sales Record'!F:F,Sheet4!A172))</f>
        <v/>
      </c>
      <c r="E172" t="str">
        <f>IF(SUMIFS('Sales Return'!G:G,'Sales Return'!F:F,Sheet4!A172)=0,"",SUMIFS('Sales Return'!G:G,'Sales Return'!F:F,Sheet4!A172))</f>
        <v/>
      </c>
      <c r="F172" t="str">
        <f>IF(SUMIFS('Purchase Return'!G:G,'Purchase Return'!F:F,Sheet4!A172)=0,"",SUMIFS('Purchase Return'!G:G,'Purchase Return'!F:F,Sheet4!A172))</f>
        <v/>
      </c>
      <c r="G172" t="str">
        <f t="shared" si="2"/>
        <v/>
      </c>
    </row>
    <row r="173" spans="1:7">
      <c r="A173" t="str">
        <f>IF('Product List'!B173="","",'Product List'!B173)</f>
        <v/>
      </c>
      <c r="B173" t="str">
        <f>IF('Product List'!C173="","",'Product List'!C173)</f>
        <v/>
      </c>
      <c r="C173" t="str">
        <f>IF(SUMIFS('Purchase Record'!G:G,'Purchase Record'!F:F,Sheet4!A173)=0,"",SUMIFS('Purchase Record'!G:G,'Purchase Record'!F:F,Sheet4!A173))</f>
        <v/>
      </c>
      <c r="D173" t="str">
        <f>IF(SUMIFS('Sales Record'!H:H,'Sales Record'!F:F,Sheet4!A173)=0,"",SUMIFS('Sales Record'!H:H,'Sales Record'!F:F,Sheet4!A173))</f>
        <v/>
      </c>
      <c r="E173" t="str">
        <f>IF(SUMIFS('Sales Return'!G:G,'Sales Return'!F:F,Sheet4!A173)=0,"",SUMIFS('Sales Return'!G:G,'Sales Return'!F:F,Sheet4!A173))</f>
        <v/>
      </c>
      <c r="F173" t="str">
        <f>IF(SUMIFS('Purchase Return'!G:G,'Purchase Return'!F:F,Sheet4!A173)=0,"",SUMIFS('Purchase Return'!G:G,'Purchase Return'!F:F,Sheet4!A173))</f>
        <v/>
      </c>
      <c r="G173" t="str">
        <f t="shared" si="2"/>
        <v/>
      </c>
    </row>
    <row r="174" spans="1:7">
      <c r="A174" t="str">
        <f>IF('Product List'!B174="","",'Product List'!B174)</f>
        <v/>
      </c>
      <c r="B174" t="str">
        <f>IF('Product List'!C174="","",'Product List'!C174)</f>
        <v/>
      </c>
      <c r="C174" t="str">
        <f>IF(SUMIFS('Purchase Record'!G:G,'Purchase Record'!F:F,Sheet4!A174)=0,"",SUMIFS('Purchase Record'!G:G,'Purchase Record'!F:F,Sheet4!A174))</f>
        <v/>
      </c>
      <c r="D174" t="str">
        <f>IF(SUMIFS('Sales Record'!H:H,'Sales Record'!F:F,Sheet4!A174)=0,"",SUMIFS('Sales Record'!H:H,'Sales Record'!F:F,Sheet4!A174))</f>
        <v/>
      </c>
      <c r="E174" t="str">
        <f>IF(SUMIFS('Sales Return'!G:G,'Sales Return'!F:F,Sheet4!A174)=0,"",SUMIFS('Sales Return'!G:G,'Sales Return'!F:F,Sheet4!A174))</f>
        <v/>
      </c>
      <c r="F174" t="str">
        <f>IF(SUMIFS('Purchase Return'!G:G,'Purchase Return'!F:F,Sheet4!A174)=0,"",SUMIFS('Purchase Return'!G:G,'Purchase Return'!F:F,Sheet4!A174))</f>
        <v/>
      </c>
      <c r="G174" t="str">
        <f t="shared" si="2"/>
        <v/>
      </c>
    </row>
    <row r="175" spans="1:7">
      <c r="A175" t="str">
        <f>IF('Product List'!B175="","",'Product List'!B175)</f>
        <v/>
      </c>
      <c r="B175" t="str">
        <f>IF('Product List'!C175="","",'Product List'!C175)</f>
        <v/>
      </c>
      <c r="C175" t="str">
        <f>IF(SUMIFS('Purchase Record'!G:G,'Purchase Record'!F:F,Sheet4!A175)=0,"",SUMIFS('Purchase Record'!G:G,'Purchase Record'!F:F,Sheet4!A175))</f>
        <v/>
      </c>
      <c r="D175" t="str">
        <f>IF(SUMIFS('Sales Record'!H:H,'Sales Record'!F:F,Sheet4!A175)=0,"",SUMIFS('Sales Record'!H:H,'Sales Record'!F:F,Sheet4!A175))</f>
        <v/>
      </c>
      <c r="E175" t="str">
        <f>IF(SUMIFS('Sales Return'!G:G,'Sales Return'!F:F,Sheet4!A175)=0,"",SUMIFS('Sales Return'!G:G,'Sales Return'!F:F,Sheet4!A175))</f>
        <v/>
      </c>
      <c r="F175" t="str">
        <f>IF(SUMIFS('Purchase Return'!G:G,'Purchase Return'!F:F,Sheet4!A175)=0,"",SUMIFS('Purchase Return'!G:G,'Purchase Return'!F:F,Sheet4!A175))</f>
        <v/>
      </c>
      <c r="G175" t="str">
        <f t="shared" si="2"/>
        <v/>
      </c>
    </row>
    <row r="176" spans="1:7">
      <c r="A176" t="str">
        <f>IF('Product List'!B176="","",'Product List'!B176)</f>
        <v/>
      </c>
      <c r="B176" t="str">
        <f>IF('Product List'!C176="","",'Product List'!C176)</f>
        <v/>
      </c>
      <c r="C176" t="str">
        <f>IF(SUMIFS('Purchase Record'!G:G,'Purchase Record'!F:F,Sheet4!A176)=0,"",SUMIFS('Purchase Record'!G:G,'Purchase Record'!F:F,Sheet4!A176))</f>
        <v/>
      </c>
      <c r="D176" t="str">
        <f>IF(SUMIFS('Sales Record'!H:H,'Sales Record'!F:F,Sheet4!A176)=0,"",SUMIFS('Sales Record'!H:H,'Sales Record'!F:F,Sheet4!A176))</f>
        <v/>
      </c>
      <c r="E176" t="str">
        <f>IF(SUMIFS('Sales Return'!G:G,'Sales Return'!F:F,Sheet4!A176)=0,"",SUMIFS('Sales Return'!G:G,'Sales Return'!F:F,Sheet4!A176))</f>
        <v/>
      </c>
      <c r="F176" t="str">
        <f>IF(SUMIFS('Purchase Return'!G:G,'Purchase Return'!F:F,Sheet4!A176)=0,"",SUMIFS('Purchase Return'!G:G,'Purchase Return'!F:F,Sheet4!A176))</f>
        <v/>
      </c>
      <c r="G176" t="str">
        <f t="shared" si="2"/>
        <v/>
      </c>
    </row>
    <row r="177" spans="1:7">
      <c r="A177" t="str">
        <f>IF('Product List'!B177="","",'Product List'!B177)</f>
        <v/>
      </c>
      <c r="B177" t="str">
        <f>IF('Product List'!C177="","",'Product List'!C177)</f>
        <v/>
      </c>
      <c r="C177" t="str">
        <f>IF(SUMIFS('Purchase Record'!G:G,'Purchase Record'!F:F,Sheet4!A177)=0,"",SUMIFS('Purchase Record'!G:G,'Purchase Record'!F:F,Sheet4!A177))</f>
        <v/>
      </c>
      <c r="D177" t="str">
        <f>IF(SUMIFS('Sales Record'!H:H,'Sales Record'!F:F,Sheet4!A177)=0,"",SUMIFS('Sales Record'!H:H,'Sales Record'!F:F,Sheet4!A177))</f>
        <v/>
      </c>
      <c r="E177" t="str">
        <f>IF(SUMIFS('Sales Return'!G:G,'Sales Return'!F:F,Sheet4!A177)=0,"",SUMIFS('Sales Return'!G:G,'Sales Return'!F:F,Sheet4!A177))</f>
        <v/>
      </c>
      <c r="F177" t="str">
        <f>IF(SUMIFS('Purchase Return'!G:G,'Purchase Return'!F:F,Sheet4!A177)=0,"",SUMIFS('Purchase Return'!G:G,'Purchase Return'!F:F,Sheet4!A177))</f>
        <v/>
      </c>
      <c r="G177" t="str">
        <f t="shared" si="2"/>
        <v/>
      </c>
    </row>
    <row r="178" spans="1:7">
      <c r="A178" t="str">
        <f>IF('Product List'!B178="","",'Product List'!B178)</f>
        <v/>
      </c>
      <c r="B178" t="str">
        <f>IF('Product List'!C178="","",'Product List'!C178)</f>
        <v/>
      </c>
      <c r="C178" t="str">
        <f>IF(SUMIFS('Purchase Record'!G:G,'Purchase Record'!F:F,Sheet4!A178)=0,"",SUMIFS('Purchase Record'!G:G,'Purchase Record'!F:F,Sheet4!A178))</f>
        <v/>
      </c>
      <c r="D178" t="str">
        <f>IF(SUMIFS('Sales Record'!H:H,'Sales Record'!F:F,Sheet4!A178)=0,"",SUMIFS('Sales Record'!H:H,'Sales Record'!F:F,Sheet4!A178))</f>
        <v/>
      </c>
      <c r="E178" t="str">
        <f>IF(SUMIFS('Sales Return'!G:G,'Sales Return'!F:F,Sheet4!A178)=0,"",SUMIFS('Sales Return'!G:G,'Sales Return'!F:F,Sheet4!A178))</f>
        <v/>
      </c>
      <c r="F178" t="str">
        <f>IF(SUMIFS('Purchase Return'!G:G,'Purchase Return'!F:F,Sheet4!A178)=0,"",SUMIFS('Purchase Return'!G:G,'Purchase Return'!F:F,Sheet4!A178))</f>
        <v/>
      </c>
      <c r="G178" t="str">
        <f t="shared" si="2"/>
        <v/>
      </c>
    </row>
    <row r="179" spans="1:7">
      <c r="A179" t="str">
        <f>IF('Product List'!B179="","",'Product List'!B179)</f>
        <v/>
      </c>
      <c r="B179" t="str">
        <f>IF('Product List'!C179="","",'Product List'!C179)</f>
        <v/>
      </c>
      <c r="C179" t="str">
        <f>IF(SUMIFS('Purchase Record'!G:G,'Purchase Record'!F:F,Sheet4!A179)=0,"",SUMIFS('Purchase Record'!G:G,'Purchase Record'!F:F,Sheet4!A179))</f>
        <v/>
      </c>
      <c r="D179" t="str">
        <f>IF(SUMIFS('Sales Record'!H:H,'Sales Record'!F:F,Sheet4!A179)=0,"",SUMIFS('Sales Record'!H:H,'Sales Record'!F:F,Sheet4!A179))</f>
        <v/>
      </c>
      <c r="E179" t="str">
        <f>IF(SUMIFS('Sales Return'!G:G,'Sales Return'!F:F,Sheet4!A179)=0,"",SUMIFS('Sales Return'!G:G,'Sales Return'!F:F,Sheet4!A179))</f>
        <v/>
      </c>
      <c r="F179" t="str">
        <f>IF(SUMIFS('Purchase Return'!G:G,'Purchase Return'!F:F,Sheet4!A179)=0,"",SUMIFS('Purchase Return'!G:G,'Purchase Return'!F:F,Sheet4!A179))</f>
        <v/>
      </c>
      <c r="G179" t="str">
        <f t="shared" si="2"/>
        <v/>
      </c>
    </row>
    <row r="180" spans="1:7">
      <c r="A180" t="str">
        <f>IF('Product List'!B180="","",'Product List'!B180)</f>
        <v/>
      </c>
      <c r="B180" t="str">
        <f>IF('Product List'!C180="","",'Product List'!C180)</f>
        <v/>
      </c>
      <c r="C180" t="str">
        <f>IF(SUMIFS('Purchase Record'!G:G,'Purchase Record'!F:F,Sheet4!A180)=0,"",SUMIFS('Purchase Record'!G:G,'Purchase Record'!F:F,Sheet4!A180))</f>
        <v/>
      </c>
      <c r="D180" t="str">
        <f>IF(SUMIFS('Sales Record'!H:H,'Sales Record'!F:F,Sheet4!A180)=0,"",SUMIFS('Sales Record'!H:H,'Sales Record'!F:F,Sheet4!A180))</f>
        <v/>
      </c>
      <c r="E180" t="str">
        <f>IF(SUMIFS('Sales Return'!G:G,'Sales Return'!F:F,Sheet4!A180)=0,"",SUMIFS('Sales Return'!G:G,'Sales Return'!F:F,Sheet4!A180))</f>
        <v/>
      </c>
      <c r="F180" t="str">
        <f>IF(SUMIFS('Purchase Return'!G:G,'Purchase Return'!F:F,Sheet4!A180)=0,"",SUMIFS('Purchase Return'!G:G,'Purchase Return'!F:F,Sheet4!A180))</f>
        <v/>
      </c>
      <c r="G180" t="str">
        <f t="shared" si="2"/>
        <v/>
      </c>
    </row>
    <row r="181" spans="1:7">
      <c r="A181" t="str">
        <f>IF('Product List'!B181="","",'Product List'!B181)</f>
        <v/>
      </c>
      <c r="B181" t="str">
        <f>IF('Product List'!C181="","",'Product List'!C181)</f>
        <v/>
      </c>
      <c r="C181" t="str">
        <f>IF(SUMIFS('Purchase Record'!G:G,'Purchase Record'!F:F,Sheet4!A181)=0,"",SUMIFS('Purchase Record'!G:G,'Purchase Record'!F:F,Sheet4!A181))</f>
        <v/>
      </c>
      <c r="D181" t="str">
        <f>IF(SUMIFS('Sales Record'!H:H,'Sales Record'!F:F,Sheet4!A181)=0,"",SUMIFS('Sales Record'!H:H,'Sales Record'!F:F,Sheet4!A181))</f>
        <v/>
      </c>
      <c r="E181" t="str">
        <f>IF(SUMIFS('Sales Return'!G:G,'Sales Return'!F:F,Sheet4!A181)=0,"",SUMIFS('Sales Return'!G:G,'Sales Return'!F:F,Sheet4!A181))</f>
        <v/>
      </c>
      <c r="F181" t="str">
        <f>IF(SUMIFS('Purchase Return'!G:G,'Purchase Return'!F:F,Sheet4!A181)=0,"",SUMIFS('Purchase Return'!G:G,'Purchase Return'!F:F,Sheet4!A181))</f>
        <v/>
      </c>
      <c r="G181" t="str">
        <f t="shared" si="2"/>
        <v/>
      </c>
    </row>
    <row r="182" spans="1:7">
      <c r="A182" t="str">
        <f>IF('Product List'!B182="","",'Product List'!B182)</f>
        <v/>
      </c>
      <c r="B182" t="str">
        <f>IF('Product List'!C182="","",'Product List'!C182)</f>
        <v/>
      </c>
      <c r="C182" t="str">
        <f>IF(SUMIFS('Purchase Record'!G:G,'Purchase Record'!F:F,Sheet4!A182)=0,"",SUMIFS('Purchase Record'!G:G,'Purchase Record'!F:F,Sheet4!A182))</f>
        <v/>
      </c>
      <c r="D182" t="str">
        <f>IF(SUMIFS('Sales Record'!H:H,'Sales Record'!F:F,Sheet4!A182)=0,"",SUMIFS('Sales Record'!H:H,'Sales Record'!F:F,Sheet4!A182))</f>
        <v/>
      </c>
      <c r="E182" t="str">
        <f>IF(SUMIFS('Sales Return'!G:G,'Sales Return'!F:F,Sheet4!A182)=0,"",SUMIFS('Sales Return'!G:G,'Sales Return'!F:F,Sheet4!A182))</f>
        <v/>
      </c>
      <c r="F182" t="str">
        <f>IF(SUMIFS('Purchase Return'!G:G,'Purchase Return'!F:F,Sheet4!A182)=0,"",SUMIFS('Purchase Return'!G:G,'Purchase Return'!F:F,Sheet4!A182))</f>
        <v/>
      </c>
      <c r="G182" t="str">
        <f t="shared" si="2"/>
        <v/>
      </c>
    </row>
    <row r="183" spans="1:7">
      <c r="A183" t="str">
        <f>IF('Product List'!B183="","",'Product List'!B183)</f>
        <v/>
      </c>
      <c r="B183" t="str">
        <f>IF('Product List'!C183="","",'Product List'!C183)</f>
        <v/>
      </c>
      <c r="C183" t="str">
        <f>IF(SUMIFS('Purchase Record'!G:G,'Purchase Record'!F:F,Sheet4!A183)=0,"",SUMIFS('Purchase Record'!G:G,'Purchase Record'!F:F,Sheet4!A183))</f>
        <v/>
      </c>
      <c r="D183" t="str">
        <f>IF(SUMIFS('Sales Record'!H:H,'Sales Record'!F:F,Sheet4!A183)=0,"",SUMIFS('Sales Record'!H:H,'Sales Record'!F:F,Sheet4!A183))</f>
        <v/>
      </c>
      <c r="E183" t="str">
        <f>IF(SUMIFS('Sales Return'!G:G,'Sales Return'!F:F,Sheet4!A183)=0,"",SUMIFS('Sales Return'!G:G,'Sales Return'!F:F,Sheet4!A183))</f>
        <v/>
      </c>
      <c r="F183" t="str">
        <f>IF(SUMIFS('Purchase Return'!G:G,'Purchase Return'!F:F,Sheet4!A183)=0,"",SUMIFS('Purchase Return'!G:G,'Purchase Return'!F:F,Sheet4!A183))</f>
        <v/>
      </c>
      <c r="G183" t="str">
        <f t="shared" si="2"/>
        <v/>
      </c>
    </row>
    <row r="184" spans="1:7">
      <c r="A184" t="str">
        <f>IF('Product List'!B184="","",'Product List'!B184)</f>
        <v/>
      </c>
      <c r="B184" t="str">
        <f>IF('Product List'!C184="","",'Product List'!C184)</f>
        <v/>
      </c>
      <c r="C184" t="str">
        <f>IF(SUMIFS('Purchase Record'!G:G,'Purchase Record'!F:F,Sheet4!A184)=0,"",SUMIFS('Purchase Record'!G:G,'Purchase Record'!F:F,Sheet4!A184))</f>
        <v/>
      </c>
      <c r="D184" t="str">
        <f>IF(SUMIFS('Sales Record'!H:H,'Sales Record'!F:F,Sheet4!A184)=0,"",SUMIFS('Sales Record'!H:H,'Sales Record'!F:F,Sheet4!A184))</f>
        <v/>
      </c>
      <c r="E184" t="str">
        <f>IF(SUMIFS('Sales Return'!G:G,'Sales Return'!F:F,Sheet4!A184)=0,"",SUMIFS('Sales Return'!G:G,'Sales Return'!F:F,Sheet4!A184))</f>
        <v/>
      </c>
      <c r="F184" t="str">
        <f>IF(SUMIFS('Purchase Return'!G:G,'Purchase Return'!F:F,Sheet4!A184)=0,"",SUMIFS('Purchase Return'!G:G,'Purchase Return'!F:F,Sheet4!A184))</f>
        <v/>
      </c>
      <c r="G184" t="str">
        <f t="shared" si="2"/>
        <v/>
      </c>
    </row>
    <row r="185" spans="1:7">
      <c r="A185" t="str">
        <f>IF('Product List'!B185="","",'Product List'!B185)</f>
        <v/>
      </c>
      <c r="B185" t="str">
        <f>IF('Product List'!C185="","",'Product List'!C185)</f>
        <v/>
      </c>
      <c r="C185" t="str">
        <f>IF(SUMIFS('Purchase Record'!G:G,'Purchase Record'!F:F,Sheet4!A185)=0,"",SUMIFS('Purchase Record'!G:G,'Purchase Record'!F:F,Sheet4!A185))</f>
        <v/>
      </c>
      <c r="D185" t="str">
        <f>IF(SUMIFS('Sales Record'!H:H,'Sales Record'!F:F,Sheet4!A185)=0,"",SUMIFS('Sales Record'!H:H,'Sales Record'!F:F,Sheet4!A185))</f>
        <v/>
      </c>
      <c r="E185" t="str">
        <f>IF(SUMIFS('Sales Return'!G:G,'Sales Return'!F:F,Sheet4!A185)=0,"",SUMIFS('Sales Return'!G:G,'Sales Return'!F:F,Sheet4!A185))</f>
        <v/>
      </c>
      <c r="F185" t="str">
        <f>IF(SUMIFS('Purchase Return'!G:G,'Purchase Return'!F:F,Sheet4!A185)=0,"",SUMIFS('Purchase Return'!G:G,'Purchase Return'!F:F,Sheet4!A185))</f>
        <v/>
      </c>
      <c r="G185" t="str">
        <f t="shared" si="2"/>
        <v/>
      </c>
    </row>
    <row r="186" spans="1:7">
      <c r="A186" t="str">
        <f>IF('Product List'!B186="","",'Product List'!B186)</f>
        <v/>
      </c>
      <c r="B186" t="str">
        <f>IF('Product List'!C186="","",'Product List'!C186)</f>
        <v/>
      </c>
      <c r="C186" t="str">
        <f>IF(SUMIFS('Purchase Record'!G:G,'Purchase Record'!F:F,Sheet4!A186)=0,"",SUMIFS('Purchase Record'!G:G,'Purchase Record'!F:F,Sheet4!A186))</f>
        <v/>
      </c>
      <c r="D186" t="str">
        <f>IF(SUMIFS('Sales Record'!H:H,'Sales Record'!F:F,Sheet4!A186)=0,"",SUMIFS('Sales Record'!H:H,'Sales Record'!F:F,Sheet4!A186))</f>
        <v/>
      </c>
      <c r="E186" t="str">
        <f>IF(SUMIFS('Sales Return'!G:G,'Sales Return'!F:F,Sheet4!A186)=0,"",SUMIFS('Sales Return'!G:G,'Sales Return'!F:F,Sheet4!A186))</f>
        <v/>
      </c>
      <c r="F186" t="str">
        <f>IF(SUMIFS('Purchase Return'!G:G,'Purchase Return'!F:F,Sheet4!A186)=0,"",SUMIFS('Purchase Return'!G:G,'Purchase Return'!F:F,Sheet4!A186))</f>
        <v/>
      </c>
      <c r="G186" t="str">
        <f t="shared" si="2"/>
        <v/>
      </c>
    </row>
    <row r="187" spans="1:7">
      <c r="A187" t="str">
        <f>IF('Product List'!B187="","",'Product List'!B187)</f>
        <v/>
      </c>
      <c r="B187" t="str">
        <f>IF('Product List'!C187="","",'Product List'!C187)</f>
        <v/>
      </c>
      <c r="C187" t="str">
        <f>IF(SUMIFS('Purchase Record'!G:G,'Purchase Record'!F:F,Sheet4!A187)=0,"",SUMIFS('Purchase Record'!G:G,'Purchase Record'!F:F,Sheet4!A187))</f>
        <v/>
      </c>
      <c r="D187" t="str">
        <f>IF(SUMIFS('Sales Record'!H:H,'Sales Record'!F:F,Sheet4!A187)=0,"",SUMIFS('Sales Record'!H:H,'Sales Record'!F:F,Sheet4!A187))</f>
        <v/>
      </c>
      <c r="E187" t="str">
        <f>IF(SUMIFS('Sales Return'!G:G,'Sales Return'!F:F,Sheet4!A187)=0,"",SUMIFS('Sales Return'!G:G,'Sales Return'!F:F,Sheet4!A187))</f>
        <v/>
      </c>
      <c r="F187" t="str">
        <f>IF(SUMIFS('Purchase Return'!G:G,'Purchase Return'!F:F,Sheet4!A187)=0,"",SUMIFS('Purchase Return'!G:G,'Purchase Return'!F:F,Sheet4!A187))</f>
        <v/>
      </c>
      <c r="G187" t="str">
        <f t="shared" si="2"/>
        <v/>
      </c>
    </row>
    <row r="188" spans="1:7">
      <c r="A188" t="str">
        <f>IF('Product List'!B188="","",'Product List'!B188)</f>
        <v/>
      </c>
      <c r="B188" t="str">
        <f>IF('Product List'!C188="","",'Product List'!C188)</f>
        <v/>
      </c>
      <c r="C188" t="str">
        <f>IF(SUMIFS('Purchase Record'!G:G,'Purchase Record'!F:F,Sheet4!A188)=0,"",SUMIFS('Purchase Record'!G:G,'Purchase Record'!F:F,Sheet4!A188))</f>
        <v/>
      </c>
      <c r="D188" t="str">
        <f>IF(SUMIFS('Sales Record'!H:H,'Sales Record'!F:F,Sheet4!A188)=0,"",SUMIFS('Sales Record'!H:H,'Sales Record'!F:F,Sheet4!A188))</f>
        <v/>
      </c>
      <c r="E188" t="str">
        <f>IF(SUMIFS('Sales Return'!G:G,'Sales Return'!F:F,Sheet4!A188)=0,"",SUMIFS('Sales Return'!G:G,'Sales Return'!F:F,Sheet4!A188))</f>
        <v/>
      </c>
      <c r="F188" t="str">
        <f>IF(SUMIFS('Purchase Return'!G:G,'Purchase Return'!F:F,Sheet4!A188)=0,"",SUMIFS('Purchase Return'!G:G,'Purchase Return'!F:F,Sheet4!A188))</f>
        <v/>
      </c>
      <c r="G188" t="str">
        <f t="shared" si="2"/>
        <v/>
      </c>
    </row>
    <row r="189" spans="1:7">
      <c r="A189" t="str">
        <f>IF('Product List'!B189="","",'Product List'!B189)</f>
        <v/>
      </c>
      <c r="B189" t="str">
        <f>IF('Product List'!C189="","",'Product List'!C189)</f>
        <v/>
      </c>
      <c r="C189" t="str">
        <f>IF(SUMIFS('Purchase Record'!G:G,'Purchase Record'!F:F,Sheet4!A189)=0,"",SUMIFS('Purchase Record'!G:G,'Purchase Record'!F:F,Sheet4!A189))</f>
        <v/>
      </c>
      <c r="D189" t="str">
        <f>IF(SUMIFS('Sales Record'!H:H,'Sales Record'!F:F,Sheet4!A189)=0,"",SUMIFS('Sales Record'!H:H,'Sales Record'!F:F,Sheet4!A189))</f>
        <v/>
      </c>
      <c r="E189" t="str">
        <f>IF(SUMIFS('Sales Return'!G:G,'Sales Return'!F:F,Sheet4!A189)=0,"",SUMIFS('Sales Return'!G:G,'Sales Return'!F:F,Sheet4!A189))</f>
        <v/>
      </c>
      <c r="F189" t="str">
        <f>IF(SUMIFS('Purchase Return'!G:G,'Purchase Return'!F:F,Sheet4!A189)=0,"",SUMIFS('Purchase Return'!G:G,'Purchase Return'!F:F,Sheet4!A189))</f>
        <v/>
      </c>
      <c r="G189" t="str">
        <f t="shared" si="2"/>
        <v/>
      </c>
    </row>
    <row r="190" spans="1:7">
      <c r="A190" t="str">
        <f>IF('Product List'!B190="","",'Product List'!B190)</f>
        <v/>
      </c>
      <c r="B190" t="str">
        <f>IF('Product List'!C190="","",'Product List'!C190)</f>
        <v/>
      </c>
      <c r="C190" t="str">
        <f>IF(SUMIFS('Purchase Record'!G:G,'Purchase Record'!F:F,Sheet4!A190)=0,"",SUMIFS('Purchase Record'!G:G,'Purchase Record'!F:F,Sheet4!A190))</f>
        <v/>
      </c>
      <c r="D190" t="str">
        <f>IF(SUMIFS('Sales Record'!H:H,'Sales Record'!F:F,Sheet4!A190)=0,"",SUMIFS('Sales Record'!H:H,'Sales Record'!F:F,Sheet4!A190))</f>
        <v/>
      </c>
      <c r="E190" t="str">
        <f>IF(SUMIFS('Sales Return'!G:G,'Sales Return'!F:F,Sheet4!A190)=0,"",SUMIFS('Sales Return'!G:G,'Sales Return'!F:F,Sheet4!A190))</f>
        <v/>
      </c>
      <c r="F190" t="str">
        <f>IF(SUMIFS('Purchase Return'!G:G,'Purchase Return'!F:F,Sheet4!A190)=0,"",SUMIFS('Purchase Return'!G:G,'Purchase Return'!F:F,Sheet4!A190))</f>
        <v/>
      </c>
      <c r="G190" t="str">
        <f t="shared" si="2"/>
        <v/>
      </c>
    </row>
    <row r="191" spans="1:7">
      <c r="A191" t="str">
        <f>IF('Product List'!B191="","",'Product List'!B191)</f>
        <v/>
      </c>
      <c r="B191" t="str">
        <f>IF('Product List'!C191="","",'Product List'!C191)</f>
        <v/>
      </c>
      <c r="C191" t="str">
        <f>IF(SUMIFS('Purchase Record'!G:G,'Purchase Record'!F:F,Sheet4!A191)=0,"",SUMIFS('Purchase Record'!G:G,'Purchase Record'!F:F,Sheet4!A191))</f>
        <v/>
      </c>
      <c r="D191" t="str">
        <f>IF(SUMIFS('Sales Record'!H:H,'Sales Record'!F:F,Sheet4!A191)=0,"",SUMIFS('Sales Record'!H:H,'Sales Record'!F:F,Sheet4!A191))</f>
        <v/>
      </c>
      <c r="E191" t="str">
        <f>IF(SUMIFS('Sales Return'!G:G,'Sales Return'!F:F,Sheet4!A191)=0,"",SUMIFS('Sales Return'!G:G,'Sales Return'!F:F,Sheet4!A191))</f>
        <v/>
      </c>
      <c r="F191" t="str">
        <f>IF(SUMIFS('Purchase Return'!G:G,'Purchase Return'!F:F,Sheet4!A191)=0,"",SUMIFS('Purchase Return'!G:G,'Purchase Return'!F:F,Sheet4!A191))</f>
        <v/>
      </c>
      <c r="G191" t="str">
        <f t="shared" si="2"/>
        <v/>
      </c>
    </row>
    <row r="192" spans="1:7">
      <c r="A192" t="str">
        <f>IF('Product List'!B192="","",'Product List'!B192)</f>
        <v/>
      </c>
      <c r="B192" t="str">
        <f>IF('Product List'!C192="","",'Product List'!C192)</f>
        <v/>
      </c>
      <c r="C192" t="str">
        <f>IF(SUMIFS('Purchase Record'!G:G,'Purchase Record'!F:F,Sheet4!A192)=0,"",SUMIFS('Purchase Record'!G:G,'Purchase Record'!F:F,Sheet4!A192))</f>
        <v/>
      </c>
      <c r="D192" t="str">
        <f>IF(SUMIFS('Sales Record'!H:H,'Sales Record'!F:F,Sheet4!A192)=0,"",SUMIFS('Sales Record'!H:H,'Sales Record'!F:F,Sheet4!A192))</f>
        <v/>
      </c>
      <c r="E192" t="str">
        <f>IF(SUMIFS('Sales Return'!G:G,'Sales Return'!F:F,Sheet4!A192)=0,"",SUMIFS('Sales Return'!G:G,'Sales Return'!F:F,Sheet4!A192))</f>
        <v/>
      </c>
      <c r="F192" t="str">
        <f>IF(SUMIFS('Purchase Return'!G:G,'Purchase Return'!F:F,Sheet4!A192)=0,"",SUMIFS('Purchase Return'!G:G,'Purchase Return'!F:F,Sheet4!A192))</f>
        <v/>
      </c>
      <c r="G192" t="str">
        <f t="shared" si="2"/>
        <v/>
      </c>
    </row>
    <row r="193" spans="1:7">
      <c r="A193" t="str">
        <f>IF('Product List'!B193="","",'Product List'!B193)</f>
        <v/>
      </c>
      <c r="B193" t="str">
        <f>IF('Product List'!C193="","",'Product List'!C193)</f>
        <v/>
      </c>
      <c r="C193" t="str">
        <f>IF(SUMIFS('Purchase Record'!G:G,'Purchase Record'!F:F,Sheet4!A193)=0,"",SUMIFS('Purchase Record'!G:G,'Purchase Record'!F:F,Sheet4!A193))</f>
        <v/>
      </c>
      <c r="D193" t="str">
        <f>IF(SUMIFS('Sales Record'!H:H,'Sales Record'!F:F,Sheet4!A193)=0,"",SUMIFS('Sales Record'!H:H,'Sales Record'!F:F,Sheet4!A193))</f>
        <v/>
      </c>
      <c r="E193" t="str">
        <f>IF(SUMIFS('Sales Return'!G:G,'Sales Return'!F:F,Sheet4!A193)=0,"",SUMIFS('Sales Return'!G:G,'Sales Return'!F:F,Sheet4!A193))</f>
        <v/>
      </c>
      <c r="F193" t="str">
        <f>IF(SUMIFS('Purchase Return'!G:G,'Purchase Return'!F:F,Sheet4!A193)=0,"",SUMIFS('Purchase Return'!G:G,'Purchase Return'!F:F,Sheet4!A193))</f>
        <v/>
      </c>
      <c r="G193" t="str">
        <f t="shared" si="2"/>
        <v/>
      </c>
    </row>
    <row r="194" spans="1:7">
      <c r="A194" t="str">
        <f>IF('Product List'!B194="","",'Product List'!B194)</f>
        <v/>
      </c>
      <c r="B194" t="str">
        <f>IF('Product List'!C194="","",'Product List'!C194)</f>
        <v/>
      </c>
      <c r="C194" t="str">
        <f>IF(SUMIFS('Purchase Record'!G:G,'Purchase Record'!F:F,Sheet4!A194)=0,"",SUMIFS('Purchase Record'!G:G,'Purchase Record'!F:F,Sheet4!A194))</f>
        <v/>
      </c>
      <c r="D194" t="str">
        <f>IF(SUMIFS('Sales Record'!H:H,'Sales Record'!F:F,Sheet4!A194)=0,"",SUMIFS('Sales Record'!H:H,'Sales Record'!F:F,Sheet4!A194))</f>
        <v/>
      </c>
      <c r="E194" t="str">
        <f>IF(SUMIFS('Sales Return'!G:G,'Sales Return'!F:F,Sheet4!A194)=0,"",SUMIFS('Sales Return'!G:G,'Sales Return'!F:F,Sheet4!A194))</f>
        <v/>
      </c>
      <c r="F194" t="str">
        <f>IF(SUMIFS('Purchase Return'!G:G,'Purchase Return'!F:F,Sheet4!A194)=0,"",SUMIFS('Purchase Return'!G:G,'Purchase Return'!F:F,Sheet4!A194))</f>
        <v/>
      </c>
      <c r="G194" t="str">
        <f t="shared" si="2"/>
        <v/>
      </c>
    </row>
    <row r="195" spans="1:7">
      <c r="A195" t="str">
        <f>IF('Product List'!B195="","",'Product List'!B195)</f>
        <v/>
      </c>
      <c r="B195" t="str">
        <f>IF('Product List'!C195="","",'Product List'!C195)</f>
        <v/>
      </c>
      <c r="C195" t="str">
        <f>IF(SUMIFS('Purchase Record'!G:G,'Purchase Record'!F:F,Sheet4!A195)=0,"",SUMIFS('Purchase Record'!G:G,'Purchase Record'!F:F,Sheet4!A195))</f>
        <v/>
      </c>
      <c r="D195" t="str">
        <f>IF(SUMIFS('Sales Record'!H:H,'Sales Record'!F:F,Sheet4!A195)=0,"",SUMIFS('Sales Record'!H:H,'Sales Record'!F:F,Sheet4!A195))</f>
        <v/>
      </c>
      <c r="E195" t="str">
        <f>IF(SUMIFS('Sales Return'!G:G,'Sales Return'!F:F,Sheet4!A195)=0,"",SUMIFS('Sales Return'!G:G,'Sales Return'!F:F,Sheet4!A195))</f>
        <v/>
      </c>
      <c r="F195" t="str">
        <f>IF(SUMIFS('Purchase Return'!G:G,'Purchase Return'!F:F,Sheet4!A195)=0,"",SUMIFS('Purchase Return'!G:G,'Purchase Return'!F:F,Sheet4!A195))</f>
        <v/>
      </c>
      <c r="G195" t="str">
        <f t="shared" ref="G195:G258" si="3">IF(C195="","",N(C195)-N(D195)+N(E195)-N(F195))</f>
        <v/>
      </c>
    </row>
    <row r="196" spans="1:7">
      <c r="A196" t="str">
        <f>IF('Product List'!B196="","",'Product List'!B196)</f>
        <v/>
      </c>
      <c r="B196" t="str">
        <f>IF('Product List'!C196="","",'Product List'!C196)</f>
        <v/>
      </c>
      <c r="C196" t="str">
        <f>IF(SUMIFS('Purchase Record'!G:G,'Purchase Record'!F:F,Sheet4!A196)=0,"",SUMIFS('Purchase Record'!G:G,'Purchase Record'!F:F,Sheet4!A196))</f>
        <v/>
      </c>
      <c r="D196" t="str">
        <f>IF(SUMIFS('Sales Record'!H:H,'Sales Record'!F:F,Sheet4!A196)=0,"",SUMIFS('Sales Record'!H:H,'Sales Record'!F:F,Sheet4!A196))</f>
        <v/>
      </c>
      <c r="E196" t="str">
        <f>IF(SUMIFS('Sales Return'!G:G,'Sales Return'!F:F,Sheet4!A196)=0,"",SUMIFS('Sales Return'!G:G,'Sales Return'!F:F,Sheet4!A196))</f>
        <v/>
      </c>
      <c r="F196" t="str">
        <f>IF(SUMIFS('Purchase Return'!G:G,'Purchase Return'!F:F,Sheet4!A196)=0,"",SUMIFS('Purchase Return'!G:G,'Purchase Return'!F:F,Sheet4!A196))</f>
        <v/>
      </c>
      <c r="G196" t="str">
        <f t="shared" si="3"/>
        <v/>
      </c>
    </row>
    <row r="197" spans="1:7">
      <c r="A197" t="str">
        <f>IF('Product List'!B197="","",'Product List'!B197)</f>
        <v/>
      </c>
      <c r="B197" t="str">
        <f>IF('Product List'!C197="","",'Product List'!C197)</f>
        <v/>
      </c>
      <c r="C197" t="str">
        <f>IF(SUMIFS('Purchase Record'!G:G,'Purchase Record'!F:F,Sheet4!A197)=0,"",SUMIFS('Purchase Record'!G:G,'Purchase Record'!F:F,Sheet4!A197))</f>
        <v/>
      </c>
      <c r="D197" t="str">
        <f>IF(SUMIFS('Sales Record'!H:H,'Sales Record'!F:F,Sheet4!A197)=0,"",SUMIFS('Sales Record'!H:H,'Sales Record'!F:F,Sheet4!A197))</f>
        <v/>
      </c>
      <c r="E197" t="str">
        <f>IF(SUMIFS('Sales Return'!G:G,'Sales Return'!F:F,Sheet4!A197)=0,"",SUMIFS('Sales Return'!G:G,'Sales Return'!F:F,Sheet4!A197))</f>
        <v/>
      </c>
      <c r="F197" t="str">
        <f>IF(SUMIFS('Purchase Return'!G:G,'Purchase Return'!F:F,Sheet4!A197)=0,"",SUMIFS('Purchase Return'!G:G,'Purchase Return'!F:F,Sheet4!A197))</f>
        <v/>
      </c>
      <c r="G197" t="str">
        <f t="shared" si="3"/>
        <v/>
      </c>
    </row>
    <row r="198" spans="1:7">
      <c r="A198" t="str">
        <f>IF('Product List'!B198="","",'Product List'!B198)</f>
        <v/>
      </c>
      <c r="B198" t="str">
        <f>IF('Product List'!C198="","",'Product List'!C198)</f>
        <v/>
      </c>
      <c r="C198" t="str">
        <f>IF(SUMIFS('Purchase Record'!G:G,'Purchase Record'!F:F,Sheet4!A198)=0,"",SUMIFS('Purchase Record'!G:G,'Purchase Record'!F:F,Sheet4!A198))</f>
        <v/>
      </c>
      <c r="D198" t="str">
        <f>IF(SUMIFS('Sales Record'!H:H,'Sales Record'!F:F,Sheet4!A198)=0,"",SUMIFS('Sales Record'!H:H,'Sales Record'!F:F,Sheet4!A198))</f>
        <v/>
      </c>
      <c r="E198" t="str">
        <f>IF(SUMIFS('Sales Return'!G:G,'Sales Return'!F:F,Sheet4!A198)=0,"",SUMIFS('Sales Return'!G:G,'Sales Return'!F:F,Sheet4!A198))</f>
        <v/>
      </c>
      <c r="F198" t="str">
        <f>IF(SUMIFS('Purchase Return'!G:G,'Purchase Return'!F:F,Sheet4!A198)=0,"",SUMIFS('Purchase Return'!G:G,'Purchase Return'!F:F,Sheet4!A198))</f>
        <v/>
      </c>
      <c r="G198" t="str">
        <f t="shared" si="3"/>
        <v/>
      </c>
    </row>
    <row r="199" spans="1:7">
      <c r="A199" t="str">
        <f>IF('Product List'!B199="","",'Product List'!B199)</f>
        <v/>
      </c>
      <c r="B199" t="str">
        <f>IF('Product List'!C199="","",'Product List'!C199)</f>
        <v/>
      </c>
      <c r="C199" t="str">
        <f>IF(SUMIFS('Purchase Record'!G:G,'Purchase Record'!F:F,Sheet4!A199)=0,"",SUMIFS('Purchase Record'!G:G,'Purchase Record'!F:F,Sheet4!A199))</f>
        <v/>
      </c>
      <c r="D199" t="str">
        <f>IF(SUMIFS('Sales Record'!H:H,'Sales Record'!F:F,Sheet4!A199)=0,"",SUMIFS('Sales Record'!H:H,'Sales Record'!F:F,Sheet4!A199))</f>
        <v/>
      </c>
      <c r="E199" t="str">
        <f>IF(SUMIFS('Sales Return'!G:G,'Sales Return'!F:F,Sheet4!A199)=0,"",SUMIFS('Sales Return'!G:G,'Sales Return'!F:F,Sheet4!A199))</f>
        <v/>
      </c>
      <c r="F199" t="str">
        <f>IF(SUMIFS('Purchase Return'!G:G,'Purchase Return'!F:F,Sheet4!A199)=0,"",SUMIFS('Purchase Return'!G:G,'Purchase Return'!F:F,Sheet4!A199))</f>
        <v/>
      </c>
      <c r="G199" t="str">
        <f t="shared" si="3"/>
        <v/>
      </c>
    </row>
    <row r="200" spans="1:7">
      <c r="A200" t="str">
        <f>IF('Product List'!B200="","",'Product List'!B200)</f>
        <v/>
      </c>
      <c r="B200" t="str">
        <f>IF('Product List'!C200="","",'Product List'!C200)</f>
        <v/>
      </c>
      <c r="C200" t="str">
        <f>IF(SUMIFS('Purchase Record'!G:G,'Purchase Record'!F:F,Sheet4!A200)=0,"",SUMIFS('Purchase Record'!G:G,'Purchase Record'!F:F,Sheet4!A200))</f>
        <v/>
      </c>
      <c r="D200" t="str">
        <f>IF(SUMIFS('Sales Record'!H:H,'Sales Record'!F:F,Sheet4!A200)=0,"",SUMIFS('Sales Record'!H:H,'Sales Record'!F:F,Sheet4!A200))</f>
        <v/>
      </c>
      <c r="E200" t="str">
        <f>IF(SUMIFS('Sales Return'!G:G,'Sales Return'!F:F,Sheet4!A200)=0,"",SUMIFS('Sales Return'!G:G,'Sales Return'!F:F,Sheet4!A200))</f>
        <v/>
      </c>
      <c r="F200" t="str">
        <f>IF(SUMIFS('Purchase Return'!G:G,'Purchase Return'!F:F,Sheet4!A200)=0,"",SUMIFS('Purchase Return'!G:G,'Purchase Return'!F:F,Sheet4!A200))</f>
        <v/>
      </c>
      <c r="G200" t="str">
        <f t="shared" si="3"/>
        <v/>
      </c>
    </row>
    <row r="201" spans="1:7">
      <c r="A201" t="str">
        <f>IF('Product List'!B201="","",'Product List'!B201)</f>
        <v/>
      </c>
      <c r="B201" t="str">
        <f>IF('Product List'!C201="","",'Product List'!C201)</f>
        <v/>
      </c>
      <c r="C201" t="str">
        <f>IF(SUMIFS('Purchase Record'!G:G,'Purchase Record'!F:F,Sheet4!A201)=0,"",SUMIFS('Purchase Record'!G:G,'Purchase Record'!F:F,Sheet4!A201))</f>
        <v/>
      </c>
      <c r="D201" t="str">
        <f>IF(SUMIFS('Sales Record'!H:H,'Sales Record'!F:F,Sheet4!A201)=0,"",SUMIFS('Sales Record'!H:H,'Sales Record'!F:F,Sheet4!A201))</f>
        <v/>
      </c>
      <c r="E201" t="str">
        <f>IF(SUMIFS('Sales Return'!G:G,'Sales Return'!F:F,Sheet4!A201)=0,"",SUMIFS('Sales Return'!G:G,'Sales Return'!F:F,Sheet4!A201))</f>
        <v/>
      </c>
      <c r="F201" t="str">
        <f>IF(SUMIFS('Purchase Return'!G:G,'Purchase Return'!F:F,Sheet4!A201)=0,"",SUMIFS('Purchase Return'!G:G,'Purchase Return'!F:F,Sheet4!A201))</f>
        <v/>
      </c>
      <c r="G201" t="str">
        <f t="shared" si="3"/>
        <v/>
      </c>
    </row>
    <row r="202" spans="1:7">
      <c r="A202" t="str">
        <f>IF('Product List'!B202="","",'Product List'!B202)</f>
        <v/>
      </c>
      <c r="B202" t="str">
        <f>IF('Product List'!C202="","",'Product List'!C202)</f>
        <v/>
      </c>
      <c r="C202" t="str">
        <f>IF(SUMIFS('Purchase Record'!G:G,'Purchase Record'!F:F,Sheet4!A202)=0,"",SUMIFS('Purchase Record'!G:G,'Purchase Record'!F:F,Sheet4!A202))</f>
        <v/>
      </c>
      <c r="D202" t="str">
        <f>IF(SUMIFS('Sales Record'!H:H,'Sales Record'!F:F,Sheet4!A202)=0,"",SUMIFS('Sales Record'!H:H,'Sales Record'!F:F,Sheet4!A202))</f>
        <v/>
      </c>
      <c r="E202" t="str">
        <f>IF(SUMIFS('Sales Return'!G:G,'Sales Return'!F:F,Sheet4!A202)=0,"",SUMIFS('Sales Return'!G:G,'Sales Return'!F:F,Sheet4!A202))</f>
        <v/>
      </c>
      <c r="F202" t="str">
        <f>IF(SUMIFS('Purchase Return'!G:G,'Purchase Return'!F:F,Sheet4!A202)=0,"",SUMIFS('Purchase Return'!G:G,'Purchase Return'!F:F,Sheet4!A202))</f>
        <v/>
      </c>
      <c r="G202" t="str">
        <f t="shared" si="3"/>
        <v/>
      </c>
    </row>
    <row r="203" spans="1:7">
      <c r="A203" t="str">
        <f>IF('Product List'!B203="","",'Product List'!B203)</f>
        <v/>
      </c>
      <c r="B203" t="str">
        <f>IF('Product List'!C203="","",'Product List'!C203)</f>
        <v/>
      </c>
      <c r="C203" t="str">
        <f>IF(SUMIFS('Purchase Record'!G:G,'Purchase Record'!F:F,Sheet4!A203)=0,"",SUMIFS('Purchase Record'!G:G,'Purchase Record'!F:F,Sheet4!A203))</f>
        <v/>
      </c>
      <c r="D203" t="str">
        <f>IF(SUMIFS('Sales Record'!H:H,'Sales Record'!F:F,Sheet4!A203)=0,"",SUMIFS('Sales Record'!H:H,'Sales Record'!F:F,Sheet4!A203))</f>
        <v/>
      </c>
      <c r="E203" t="str">
        <f>IF(SUMIFS('Sales Return'!G:G,'Sales Return'!F:F,Sheet4!A203)=0,"",SUMIFS('Sales Return'!G:G,'Sales Return'!F:F,Sheet4!A203))</f>
        <v/>
      </c>
      <c r="F203" t="str">
        <f>IF(SUMIFS('Purchase Return'!G:G,'Purchase Return'!F:F,Sheet4!A203)=0,"",SUMIFS('Purchase Return'!G:G,'Purchase Return'!F:F,Sheet4!A203))</f>
        <v/>
      </c>
      <c r="G203" t="str">
        <f t="shared" si="3"/>
        <v/>
      </c>
    </row>
    <row r="204" spans="1:7">
      <c r="A204" t="str">
        <f>IF('Product List'!B204="","",'Product List'!B204)</f>
        <v/>
      </c>
      <c r="B204" t="str">
        <f>IF('Product List'!C204="","",'Product List'!C204)</f>
        <v/>
      </c>
      <c r="C204" t="str">
        <f>IF(SUMIFS('Purchase Record'!G:G,'Purchase Record'!F:F,Sheet4!A204)=0,"",SUMIFS('Purchase Record'!G:G,'Purchase Record'!F:F,Sheet4!A204))</f>
        <v/>
      </c>
      <c r="D204" t="str">
        <f>IF(SUMIFS('Sales Record'!H:H,'Sales Record'!F:F,Sheet4!A204)=0,"",SUMIFS('Sales Record'!H:H,'Sales Record'!F:F,Sheet4!A204))</f>
        <v/>
      </c>
      <c r="E204" t="str">
        <f>IF(SUMIFS('Sales Return'!G:G,'Sales Return'!F:F,Sheet4!A204)=0,"",SUMIFS('Sales Return'!G:G,'Sales Return'!F:F,Sheet4!A204))</f>
        <v/>
      </c>
      <c r="F204" t="str">
        <f>IF(SUMIFS('Purchase Return'!G:G,'Purchase Return'!F:F,Sheet4!A204)=0,"",SUMIFS('Purchase Return'!G:G,'Purchase Return'!F:F,Sheet4!A204))</f>
        <v/>
      </c>
      <c r="G204" t="str">
        <f t="shared" si="3"/>
        <v/>
      </c>
    </row>
    <row r="205" spans="1:7">
      <c r="A205" t="str">
        <f>IF('Product List'!B205="","",'Product List'!B205)</f>
        <v/>
      </c>
      <c r="B205" t="str">
        <f>IF('Product List'!C205="","",'Product List'!C205)</f>
        <v/>
      </c>
      <c r="C205" t="str">
        <f>IF(SUMIFS('Purchase Record'!G:G,'Purchase Record'!F:F,Sheet4!A205)=0,"",SUMIFS('Purchase Record'!G:G,'Purchase Record'!F:F,Sheet4!A205))</f>
        <v/>
      </c>
      <c r="D205" t="str">
        <f>IF(SUMIFS('Sales Record'!H:H,'Sales Record'!F:F,Sheet4!A205)=0,"",SUMIFS('Sales Record'!H:H,'Sales Record'!F:F,Sheet4!A205))</f>
        <v/>
      </c>
      <c r="E205" t="str">
        <f>IF(SUMIFS('Sales Return'!G:G,'Sales Return'!F:F,Sheet4!A205)=0,"",SUMIFS('Sales Return'!G:G,'Sales Return'!F:F,Sheet4!A205))</f>
        <v/>
      </c>
      <c r="F205" t="str">
        <f>IF(SUMIFS('Purchase Return'!G:G,'Purchase Return'!F:F,Sheet4!A205)=0,"",SUMIFS('Purchase Return'!G:G,'Purchase Return'!F:F,Sheet4!A205))</f>
        <v/>
      </c>
      <c r="G205" t="str">
        <f t="shared" si="3"/>
        <v/>
      </c>
    </row>
    <row r="206" spans="1:7">
      <c r="A206" t="str">
        <f>IF('Product List'!B206="","",'Product List'!B206)</f>
        <v/>
      </c>
      <c r="B206" t="str">
        <f>IF('Product List'!C206="","",'Product List'!C206)</f>
        <v/>
      </c>
      <c r="C206" t="str">
        <f>IF(SUMIFS('Purchase Record'!G:G,'Purchase Record'!F:F,Sheet4!A206)=0,"",SUMIFS('Purchase Record'!G:G,'Purchase Record'!F:F,Sheet4!A206))</f>
        <v/>
      </c>
      <c r="D206" t="str">
        <f>IF(SUMIFS('Sales Record'!H:H,'Sales Record'!F:F,Sheet4!A206)=0,"",SUMIFS('Sales Record'!H:H,'Sales Record'!F:F,Sheet4!A206))</f>
        <v/>
      </c>
      <c r="E206" t="str">
        <f>IF(SUMIFS('Sales Return'!G:G,'Sales Return'!F:F,Sheet4!A206)=0,"",SUMIFS('Sales Return'!G:G,'Sales Return'!F:F,Sheet4!A206))</f>
        <v/>
      </c>
      <c r="F206" t="str">
        <f>IF(SUMIFS('Purchase Return'!G:G,'Purchase Return'!F:F,Sheet4!A206)=0,"",SUMIFS('Purchase Return'!G:G,'Purchase Return'!F:F,Sheet4!A206))</f>
        <v/>
      </c>
      <c r="G206" t="str">
        <f t="shared" si="3"/>
        <v/>
      </c>
    </row>
    <row r="207" spans="1:7">
      <c r="A207" t="str">
        <f>IF('Product List'!B207="","",'Product List'!B207)</f>
        <v/>
      </c>
      <c r="B207" t="str">
        <f>IF('Product List'!C207="","",'Product List'!C207)</f>
        <v/>
      </c>
      <c r="C207" t="str">
        <f>IF(SUMIFS('Purchase Record'!G:G,'Purchase Record'!F:F,Sheet4!A207)=0,"",SUMIFS('Purchase Record'!G:G,'Purchase Record'!F:F,Sheet4!A207))</f>
        <v/>
      </c>
      <c r="D207" t="str">
        <f>IF(SUMIFS('Sales Record'!H:H,'Sales Record'!F:F,Sheet4!A207)=0,"",SUMIFS('Sales Record'!H:H,'Sales Record'!F:F,Sheet4!A207))</f>
        <v/>
      </c>
      <c r="E207" t="str">
        <f>IF(SUMIFS('Sales Return'!G:G,'Sales Return'!F:F,Sheet4!A207)=0,"",SUMIFS('Sales Return'!G:G,'Sales Return'!F:F,Sheet4!A207))</f>
        <v/>
      </c>
      <c r="F207" t="str">
        <f>IF(SUMIFS('Purchase Return'!G:G,'Purchase Return'!F:F,Sheet4!A207)=0,"",SUMIFS('Purchase Return'!G:G,'Purchase Return'!F:F,Sheet4!A207))</f>
        <v/>
      </c>
      <c r="G207" t="str">
        <f t="shared" si="3"/>
        <v/>
      </c>
    </row>
    <row r="208" spans="1:7">
      <c r="A208" t="str">
        <f>IF('Product List'!B208="","",'Product List'!B208)</f>
        <v/>
      </c>
      <c r="B208" t="str">
        <f>IF('Product List'!C208="","",'Product List'!C208)</f>
        <v/>
      </c>
      <c r="C208" t="str">
        <f>IF(SUMIFS('Purchase Record'!G:G,'Purchase Record'!F:F,Sheet4!A208)=0,"",SUMIFS('Purchase Record'!G:G,'Purchase Record'!F:F,Sheet4!A208))</f>
        <v/>
      </c>
      <c r="D208" t="str">
        <f>IF(SUMIFS('Sales Record'!H:H,'Sales Record'!F:F,Sheet4!A208)=0,"",SUMIFS('Sales Record'!H:H,'Sales Record'!F:F,Sheet4!A208))</f>
        <v/>
      </c>
      <c r="E208" t="str">
        <f>IF(SUMIFS('Sales Return'!G:G,'Sales Return'!F:F,Sheet4!A208)=0,"",SUMIFS('Sales Return'!G:G,'Sales Return'!F:F,Sheet4!A208))</f>
        <v/>
      </c>
      <c r="F208" t="str">
        <f>IF(SUMIFS('Purchase Return'!G:G,'Purchase Return'!F:F,Sheet4!A208)=0,"",SUMIFS('Purchase Return'!G:G,'Purchase Return'!F:F,Sheet4!A208))</f>
        <v/>
      </c>
      <c r="G208" t="str">
        <f t="shared" si="3"/>
        <v/>
      </c>
    </row>
    <row r="209" spans="1:7">
      <c r="A209" t="str">
        <f>IF('Product List'!B209="","",'Product List'!B209)</f>
        <v/>
      </c>
      <c r="B209" t="str">
        <f>IF('Product List'!C209="","",'Product List'!C209)</f>
        <v/>
      </c>
      <c r="C209" t="str">
        <f>IF(SUMIFS('Purchase Record'!G:G,'Purchase Record'!F:F,Sheet4!A209)=0,"",SUMIFS('Purchase Record'!G:G,'Purchase Record'!F:F,Sheet4!A209))</f>
        <v/>
      </c>
      <c r="D209" t="str">
        <f>IF(SUMIFS('Sales Record'!H:H,'Sales Record'!F:F,Sheet4!A209)=0,"",SUMIFS('Sales Record'!H:H,'Sales Record'!F:F,Sheet4!A209))</f>
        <v/>
      </c>
      <c r="E209" t="str">
        <f>IF(SUMIFS('Sales Return'!G:G,'Sales Return'!F:F,Sheet4!A209)=0,"",SUMIFS('Sales Return'!G:G,'Sales Return'!F:F,Sheet4!A209))</f>
        <v/>
      </c>
      <c r="F209" t="str">
        <f>IF(SUMIFS('Purchase Return'!G:G,'Purchase Return'!F:F,Sheet4!A209)=0,"",SUMIFS('Purchase Return'!G:G,'Purchase Return'!F:F,Sheet4!A209))</f>
        <v/>
      </c>
      <c r="G209" t="str">
        <f t="shared" si="3"/>
        <v/>
      </c>
    </row>
    <row r="210" spans="1:7">
      <c r="A210" t="str">
        <f>IF('Product List'!B210="","",'Product List'!B210)</f>
        <v/>
      </c>
      <c r="B210" t="str">
        <f>IF('Product List'!C210="","",'Product List'!C210)</f>
        <v/>
      </c>
      <c r="C210" t="str">
        <f>IF(SUMIFS('Purchase Record'!G:G,'Purchase Record'!F:F,Sheet4!A210)=0,"",SUMIFS('Purchase Record'!G:G,'Purchase Record'!F:F,Sheet4!A210))</f>
        <v/>
      </c>
      <c r="D210" t="str">
        <f>IF(SUMIFS('Sales Record'!H:H,'Sales Record'!F:F,Sheet4!A210)=0,"",SUMIFS('Sales Record'!H:H,'Sales Record'!F:F,Sheet4!A210))</f>
        <v/>
      </c>
      <c r="E210" t="str">
        <f>IF(SUMIFS('Sales Return'!G:G,'Sales Return'!F:F,Sheet4!A210)=0,"",SUMIFS('Sales Return'!G:G,'Sales Return'!F:F,Sheet4!A210))</f>
        <v/>
      </c>
      <c r="F210" t="str">
        <f>IF(SUMIFS('Purchase Return'!G:G,'Purchase Return'!F:F,Sheet4!A210)=0,"",SUMIFS('Purchase Return'!G:G,'Purchase Return'!F:F,Sheet4!A210))</f>
        <v/>
      </c>
      <c r="G210" t="str">
        <f t="shared" si="3"/>
        <v/>
      </c>
    </row>
    <row r="211" spans="1:7">
      <c r="A211" t="str">
        <f>IF('Product List'!B211="","",'Product List'!B211)</f>
        <v/>
      </c>
      <c r="B211" t="str">
        <f>IF('Product List'!C211="","",'Product List'!C211)</f>
        <v/>
      </c>
      <c r="C211" t="str">
        <f>IF(SUMIFS('Purchase Record'!G:G,'Purchase Record'!F:F,Sheet4!A211)=0,"",SUMIFS('Purchase Record'!G:G,'Purchase Record'!F:F,Sheet4!A211))</f>
        <v/>
      </c>
      <c r="D211" t="str">
        <f>IF(SUMIFS('Sales Record'!H:H,'Sales Record'!F:F,Sheet4!A211)=0,"",SUMIFS('Sales Record'!H:H,'Sales Record'!F:F,Sheet4!A211))</f>
        <v/>
      </c>
      <c r="E211" t="str">
        <f>IF(SUMIFS('Sales Return'!G:G,'Sales Return'!F:F,Sheet4!A211)=0,"",SUMIFS('Sales Return'!G:G,'Sales Return'!F:F,Sheet4!A211))</f>
        <v/>
      </c>
      <c r="F211" t="str">
        <f>IF(SUMIFS('Purchase Return'!G:G,'Purchase Return'!F:F,Sheet4!A211)=0,"",SUMIFS('Purchase Return'!G:G,'Purchase Return'!F:F,Sheet4!A211))</f>
        <v/>
      </c>
      <c r="G211" t="str">
        <f t="shared" si="3"/>
        <v/>
      </c>
    </row>
    <row r="212" spans="1:7">
      <c r="A212" t="str">
        <f>IF('Product List'!B212="","",'Product List'!B212)</f>
        <v/>
      </c>
      <c r="B212" t="str">
        <f>IF('Product List'!C212="","",'Product List'!C212)</f>
        <v/>
      </c>
      <c r="C212" t="str">
        <f>IF(SUMIFS('Purchase Record'!G:G,'Purchase Record'!F:F,Sheet4!A212)=0,"",SUMIFS('Purchase Record'!G:G,'Purchase Record'!F:F,Sheet4!A212))</f>
        <v/>
      </c>
      <c r="D212" t="str">
        <f>IF(SUMIFS('Sales Record'!H:H,'Sales Record'!F:F,Sheet4!A212)=0,"",SUMIFS('Sales Record'!H:H,'Sales Record'!F:F,Sheet4!A212))</f>
        <v/>
      </c>
      <c r="E212" t="str">
        <f>IF(SUMIFS('Sales Return'!G:G,'Sales Return'!F:F,Sheet4!A212)=0,"",SUMIFS('Sales Return'!G:G,'Sales Return'!F:F,Sheet4!A212))</f>
        <v/>
      </c>
      <c r="F212" t="str">
        <f>IF(SUMIFS('Purchase Return'!G:G,'Purchase Return'!F:F,Sheet4!A212)=0,"",SUMIFS('Purchase Return'!G:G,'Purchase Return'!F:F,Sheet4!A212))</f>
        <v/>
      </c>
      <c r="G212" t="str">
        <f t="shared" si="3"/>
        <v/>
      </c>
    </row>
    <row r="213" spans="1:7">
      <c r="A213" t="str">
        <f>IF('Product List'!B213="","",'Product List'!B213)</f>
        <v/>
      </c>
      <c r="B213" t="str">
        <f>IF('Product List'!C213="","",'Product List'!C213)</f>
        <v/>
      </c>
      <c r="C213" t="str">
        <f>IF(SUMIFS('Purchase Record'!G:G,'Purchase Record'!F:F,Sheet4!A213)=0,"",SUMIFS('Purchase Record'!G:G,'Purchase Record'!F:F,Sheet4!A213))</f>
        <v/>
      </c>
      <c r="D213" t="str">
        <f>IF(SUMIFS('Sales Record'!H:H,'Sales Record'!F:F,Sheet4!A213)=0,"",SUMIFS('Sales Record'!H:H,'Sales Record'!F:F,Sheet4!A213))</f>
        <v/>
      </c>
      <c r="E213" t="str">
        <f>IF(SUMIFS('Sales Return'!G:G,'Sales Return'!F:F,Sheet4!A213)=0,"",SUMIFS('Sales Return'!G:G,'Sales Return'!F:F,Sheet4!A213))</f>
        <v/>
      </c>
      <c r="F213" t="str">
        <f>IF(SUMIFS('Purchase Return'!G:G,'Purchase Return'!F:F,Sheet4!A213)=0,"",SUMIFS('Purchase Return'!G:G,'Purchase Return'!F:F,Sheet4!A213))</f>
        <v/>
      </c>
      <c r="G213" t="str">
        <f t="shared" si="3"/>
        <v/>
      </c>
    </row>
    <row r="214" spans="1:7">
      <c r="A214" t="str">
        <f>IF('Product List'!B214="","",'Product List'!B214)</f>
        <v/>
      </c>
      <c r="B214" t="str">
        <f>IF('Product List'!C214="","",'Product List'!C214)</f>
        <v/>
      </c>
      <c r="C214" t="str">
        <f>IF(SUMIFS('Purchase Record'!G:G,'Purchase Record'!F:F,Sheet4!A214)=0,"",SUMIFS('Purchase Record'!G:G,'Purchase Record'!F:F,Sheet4!A214))</f>
        <v/>
      </c>
      <c r="D214" t="str">
        <f>IF(SUMIFS('Sales Record'!H:H,'Sales Record'!F:F,Sheet4!A214)=0,"",SUMIFS('Sales Record'!H:H,'Sales Record'!F:F,Sheet4!A214))</f>
        <v/>
      </c>
      <c r="E214" t="str">
        <f>IF(SUMIFS('Sales Return'!G:G,'Sales Return'!F:F,Sheet4!A214)=0,"",SUMIFS('Sales Return'!G:G,'Sales Return'!F:F,Sheet4!A214))</f>
        <v/>
      </c>
      <c r="F214" t="str">
        <f>IF(SUMIFS('Purchase Return'!G:G,'Purchase Return'!F:F,Sheet4!A214)=0,"",SUMIFS('Purchase Return'!G:G,'Purchase Return'!F:F,Sheet4!A214))</f>
        <v/>
      </c>
      <c r="G214" t="str">
        <f t="shared" si="3"/>
        <v/>
      </c>
    </row>
    <row r="215" spans="1:7">
      <c r="A215" t="str">
        <f>IF('Product List'!B215="","",'Product List'!B215)</f>
        <v/>
      </c>
      <c r="B215" t="str">
        <f>IF('Product List'!C215="","",'Product List'!C215)</f>
        <v/>
      </c>
      <c r="C215" t="str">
        <f>IF(SUMIFS('Purchase Record'!G:G,'Purchase Record'!F:F,Sheet4!A215)=0,"",SUMIFS('Purchase Record'!G:G,'Purchase Record'!F:F,Sheet4!A215))</f>
        <v/>
      </c>
      <c r="D215" t="str">
        <f>IF(SUMIFS('Sales Record'!H:H,'Sales Record'!F:F,Sheet4!A215)=0,"",SUMIFS('Sales Record'!H:H,'Sales Record'!F:F,Sheet4!A215))</f>
        <v/>
      </c>
      <c r="E215" t="str">
        <f>IF(SUMIFS('Sales Return'!G:G,'Sales Return'!F:F,Sheet4!A215)=0,"",SUMIFS('Sales Return'!G:G,'Sales Return'!F:F,Sheet4!A215))</f>
        <v/>
      </c>
      <c r="F215" t="str">
        <f>IF(SUMIFS('Purchase Return'!G:G,'Purchase Return'!F:F,Sheet4!A215)=0,"",SUMIFS('Purchase Return'!G:G,'Purchase Return'!F:F,Sheet4!A215))</f>
        <v/>
      </c>
      <c r="G215" t="str">
        <f t="shared" si="3"/>
        <v/>
      </c>
    </row>
    <row r="216" spans="1:7">
      <c r="A216" t="str">
        <f>IF('Product List'!B216="","",'Product List'!B216)</f>
        <v/>
      </c>
      <c r="B216" t="str">
        <f>IF('Product List'!C216="","",'Product List'!C216)</f>
        <v/>
      </c>
      <c r="C216" t="str">
        <f>IF(SUMIFS('Purchase Record'!G:G,'Purchase Record'!F:F,Sheet4!A216)=0,"",SUMIFS('Purchase Record'!G:G,'Purchase Record'!F:F,Sheet4!A216))</f>
        <v/>
      </c>
      <c r="D216" t="str">
        <f>IF(SUMIFS('Sales Record'!H:H,'Sales Record'!F:F,Sheet4!A216)=0,"",SUMIFS('Sales Record'!H:H,'Sales Record'!F:F,Sheet4!A216))</f>
        <v/>
      </c>
      <c r="E216" t="str">
        <f>IF(SUMIFS('Sales Return'!G:G,'Sales Return'!F:F,Sheet4!A216)=0,"",SUMIFS('Sales Return'!G:G,'Sales Return'!F:F,Sheet4!A216))</f>
        <v/>
      </c>
      <c r="F216" t="str">
        <f>IF(SUMIFS('Purchase Return'!G:G,'Purchase Return'!F:F,Sheet4!A216)=0,"",SUMIFS('Purchase Return'!G:G,'Purchase Return'!F:F,Sheet4!A216))</f>
        <v/>
      </c>
      <c r="G216" t="str">
        <f t="shared" si="3"/>
        <v/>
      </c>
    </row>
    <row r="217" spans="1:7">
      <c r="A217" t="str">
        <f>IF('Product List'!B217="","",'Product List'!B217)</f>
        <v/>
      </c>
      <c r="B217" t="str">
        <f>IF('Product List'!C217="","",'Product List'!C217)</f>
        <v/>
      </c>
      <c r="C217" t="str">
        <f>IF(SUMIFS('Purchase Record'!G:G,'Purchase Record'!F:F,Sheet4!A217)=0,"",SUMIFS('Purchase Record'!G:G,'Purchase Record'!F:F,Sheet4!A217))</f>
        <v/>
      </c>
      <c r="D217" t="str">
        <f>IF(SUMIFS('Sales Record'!H:H,'Sales Record'!F:F,Sheet4!A217)=0,"",SUMIFS('Sales Record'!H:H,'Sales Record'!F:F,Sheet4!A217))</f>
        <v/>
      </c>
      <c r="E217" t="str">
        <f>IF(SUMIFS('Sales Return'!G:G,'Sales Return'!F:F,Sheet4!A217)=0,"",SUMIFS('Sales Return'!G:G,'Sales Return'!F:F,Sheet4!A217))</f>
        <v/>
      </c>
      <c r="F217" t="str">
        <f>IF(SUMIFS('Purchase Return'!G:G,'Purchase Return'!F:F,Sheet4!A217)=0,"",SUMIFS('Purchase Return'!G:G,'Purchase Return'!F:F,Sheet4!A217))</f>
        <v/>
      </c>
      <c r="G217" t="str">
        <f t="shared" si="3"/>
        <v/>
      </c>
    </row>
    <row r="218" spans="1:7">
      <c r="A218" t="str">
        <f>IF('Product List'!B218="","",'Product List'!B218)</f>
        <v/>
      </c>
      <c r="B218" t="str">
        <f>IF('Product List'!C218="","",'Product List'!C218)</f>
        <v/>
      </c>
      <c r="C218" t="str">
        <f>IF(SUMIFS('Purchase Record'!G:G,'Purchase Record'!F:F,Sheet4!A218)=0,"",SUMIFS('Purchase Record'!G:G,'Purchase Record'!F:F,Sheet4!A218))</f>
        <v/>
      </c>
      <c r="D218" t="str">
        <f>IF(SUMIFS('Sales Record'!H:H,'Sales Record'!F:F,Sheet4!A218)=0,"",SUMIFS('Sales Record'!H:H,'Sales Record'!F:F,Sheet4!A218))</f>
        <v/>
      </c>
      <c r="E218" t="str">
        <f>IF(SUMIFS('Sales Return'!G:G,'Sales Return'!F:F,Sheet4!A218)=0,"",SUMIFS('Sales Return'!G:G,'Sales Return'!F:F,Sheet4!A218))</f>
        <v/>
      </c>
      <c r="F218" t="str">
        <f>IF(SUMIFS('Purchase Return'!G:G,'Purchase Return'!F:F,Sheet4!A218)=0,"",SUMIFS('Purchase Return'!G:G,'Purchase Return'!F:F,Sheet4!A218))</f>
        <v/>
      </c>
      <c r="G218" t="str">
        <f t="shared" si="3"/>
        <v/>
      </c>
    </row>
    <row r="219" spans="1:7">
      <c r="A219" t="str">
        <f>IF('Product List'!B219="","",'Product List'!B219)</f>
        <v/>
      </c>
      <c r="B219" t="str">
        <f>IF('Product List'!C219="","",'Product List'!C219)</f>
        <v/>
      </c>
      <c r="C219" t="str">
        <f>IF(SUMIFS('Purchase Record'!G:G,'Purchase Record'!F:F,Sheet4!A219)=0,"",SUMIFS('Purchase Record'!G:G,'Purchase Record'!F:F,Sheet4!A219))</f>
        <v/>
      </c>
      <c r="D219" t="str">
        <f>IF(SUMIFS('Sales Record'!H:H,'Sales Record'!F:F,Sheet4!A219)=0,"",SUMIFS('Sales Record'!H:H,'Sales Record'!F:F,Sheet4!A219))</f>
        <v/>
      </c>
      <c r="E219" t="str">
        <f>IF(SUMIFS('Sales Return'!G:G,'Sales Return'!F:F,Sheet4!A219)=0,"",SUMIFS('Sales Return'!G:G,'Sales Return'!F:F,Sheet4!A219))</f>
        <v/>
      </c>
      <c r="F219" t="str">
        <f>IF(SUMIFS('Purchase Return'!G:G,'Purchase Return'!F:F,Sheet4!A219)=0,"",SUMIFS('Purchase Return'!G:G,'Purchase Return'!F:F,Sheet4!A219))</f>
        <v/>
      </c>
      <c r="G219" t="str">
        <f t="shared" si="3"/>
        <v/>
      </c>
    </row>
    <row r="220" spans="1:7">
      <c r="A220" t="str">
        <f>IF('Product List'!B220="","",'Product List'!B220)</f>
        <v/>
      </c>
      <c r="B220" t="str">
        <f>IF('Product List'!C220="","",'Product List'!C220)</f>
        <v/>
      </c>
      <c r="C220" t="str">
        <f>IF(SUMIFS('Purchase Record'!G:G,'Purchase Record'!F:F,Sheet4!A220)=0,"",SUMIFS('Purchase Record'!G:G,'Purchase Record'!F:F,Sheet4!A220))</f>
        <v/>
      </c>
      <c r="D220" t="str">
        <f>IF(SUMIFS('Sales Record'!H:H,'Sales Record'!F:F,Sheet4!A220)=0,"",SUMIFS('Sales Record'!H:H,'Sales Record'!F:F,Sheet4!A220))</f>
        <v/>
      </c>
      <c r="E220" t="str">
        <f>IF(SUMIFS('Sales Return'!G:G,'Sales Return'!F:F,Sheet4!A220)=0,"",SUMIFS('Sales Return'!G:G,'Sales Return'!F:F,Sheet4!A220))</f>
        <v/>
      </c>
      <c r="F220" t="str">
        <f>IF(SUMIFS('Purchase Return'!G:G,'Purchase Return'!F:F,Sheet4!A220)=0,"",SUMIFS('Purchase Return'!G:G,'Purchase Return'!F:F,Sheet4!A220))</f>
        <v/>
      </c>
      <c r="G220" t="str">
        <f t="shared" si="3"/>
        <v/>
      </c>
    </row>
    <row r="221" spans="1:7">
      <c r="A221" t="str">
        <f>IF('Product List'!B221="","",'Product List'!B221)</f>
        <v/>
      </c>
      <c r="B221" t="str">
        <f>IF('Product List'!C221="","",'Product List'!C221)</f>
        <v/>
      </c>
      <c r="C221" t="str">
        <f>IF(SUMIFS('Purchase Record'!G:G,'Purchase Record'!F:F,Sheet4!A221)=0,"",SUMIFS('Purchase Record'!G:G,'Purchase Record'!F:F,Sheet4!A221))</f>
        <v/>
      </c>
      <c r="D221" t="str">
        <f>IF(SUMIFS('Sales Record'!H:H,'Sales Record'!F:F,Sheet4!A221)=0,"",SUMIFS('Sales Record'!H:H,'Sales Record'!F:F,Sheet4!A221))</f>
        <v/>
      </c>
      <c r="E221" t="str">
        <f>IF(SUMIFS('Sales Return'!G:G,'Sales Return'!F:F,Sheet4!A221)=0,"",SUMIFS('Sales Return'!G:G,'Sales Return'!F:F,Sheet4!A221))</f>
        <v/>
      </c>
      <c r="F221" t="str">
        <f>IF(SUMIFS('Purchase Return'!G:G,'Purchase Return'!F:F,Sheet4!A221)=0,"",SUMIFS('Purchase Return'!G:G,'Purchase Return'!F:F,Sheet4!A221))</f>
        <v/>
      </c>
      <c r="G221" t="str">
        <f t="shared" si="3"/>
        <v/>
      </c>
    </row>
    <row r="222" spans="1:7">
      <c r="A222" t="str">
        <f>IF('Product List'!B222="","",'Product List'!B222)</f>
        <v/>
      </c>
      <c r="B222" t="str">
        <f>IF('Product List'!C222="","",'Product List'!C222)</f>
        <v/>
      </c>
      <c r="C222" t="str">
        <f>IF(SUMIFS('Purchase Record'!G:G,'Purchase Record'!F:F,Sheet4!A222)=0,"",SUMIFS('Purchase Record'!G:G,'Purchase Record'!F:F,Sheet4!A222))</f>
        <v/>
      </c>
      <c r="D222" t="str">
        <f>IF(SUMIFS('Sales Record'!H:H,'Sales Record'!F:F,Sheet4!A222)=0,"",SUMIFS('Sales Record'!H:H,'Sales Record'!F:F,Sheet4!A222))</f>
        <v/>
      </c>
      <c r="E222" t="str">
        <f>IF(SUMIFS('Sales Return'!G:G,'Sales Return'!F:F,Sheet4!A222)=0,"",SUMIFS('Sales Return'!G:G,'Sales Return'!F:F,Sheet4!A222))</f>
        <v/>
      </c>
      <c r="F222" t="str">
        <f>IF(SUMIFS('Purchase Return'!G:G,'Purchase Return'!F:F,Sheet4!A222)=0,"",SUMIFS('Purchase Return'!G:G,'Purchase Return'!F:F,Sheet4!A222))</f>
        <v/>
      </c>
      <c r="G222" t="str">
        <f t="shared" si="3"/>
        <v/>
      </c>
    </row>
    <row r="223" spans="1:7">
      <c r="A223" t="str">
        <f>IF('Product List'!B223="","",'Product List'!B223)</f>
        <v/>
      </c>
      <c r="B223" t="str">
        <f>IF('Product List'!C223="","",'Product List'!C223)</f>
        <v/>
      </c>
      <c r="C223" t="str">
        <f>IF(SUMIFS('Purchase Record'!G:G,'Purchase Record'!F:F,Sheet4!A223)=0,"",SUMIFS('Purchase Record'!G:G,'Purchase Record'!F:F,Sheet4!A223))</f>
        <v/>
      </c>
      <c r="D223" t="str">
        <f>IF(SUMIFS('Sales Record'!H:H,'Sales Record'!F:F,Sheet4!A223)=0,"",SUMIFS('Sales Record'!H:H,'Sales Record'!F:F,Sheet4!A223))</f>
        <v/>
      </c>
      <c r="E223" t="str">
        <f>IF(SUMIFS('Sales Return'!G:G,'Sales Return'!F:F,Sheet4!A223)=0,"",SUMIFS('Sales Return'!G:G,'Sales Return'!F:F,Sheet4!A223))</f>
        <v/>
      </c>
      <c r="F223" t="str">
        <f>IF(SUMIFS('Purchase Return'!G:G,'Purchase Return'!F:F,Sheet4!A223)=0,"",SUMIFS('Purchase Return'!G:G,'Purchase Return'!F:F,Sheet4!A223))</f>
        <v/>
      </c>
      <c r="G223" t="str">
        <f t="shared" si="3"/>
        <v/>
      </c>
    </row>
    <row r="224" spans="1:7">
      <c r="A224" t="str">
        <f>IF('Product List'!B224="","",'Product List'!B224)</f>
        <v/>
      </c>
      <c r="B224" t="str">
        <f>IF('Product List'!C224="","",'Product List'!C224)</f>
        <v/>
      </c>
      <c r="C224" t="str">
        <f>IF(SUMIFS('Purchase Record'!G:G,'Purchase Record'!F:F,Sheet4!A224)=0,"",SUMIFS('Purchase Record'!G:G,'Purchase Record'!F:F,Sheet4!A224))</f>
        <v/>
      </c>
      <c r="D224" t="str">
        <f>IF(SUMIFS('Sales Record'!H:H,'Sales Record'!F:F,Sheet4!A224)=0,"",SUMIFS('Sales Record'!H:H,'Sales Record'!F:F,Sheet4!A224))</f>
        <v/>
      </c>
      <c r="E224" t="str">
        <f>IF(SUMIFS('Sales Return'!G:G,'Sales Return'!F:F,Sheet4!A224)=0,"",SUMIFS('Sales Return'!G:G,'Sales Return'!F:F,Sheet4!A224))</f>
        <v/>
      </c>
      <c r="F224" t="str">
        <f>IF(SUMIFS('Purchase Return'!G:G,'Purchase Return'!F:F,Sheet4!A224)=0,"",SUMIFS('Purchase Return'!G:G,'Purchase Return'!F:F,Sheet4!A224))</f>
        <v/>
      </c>
      <c r="G224" t="str">
        <f t="shared" si="3"/>
        <v/>
      </c>
    </row>
    <row r="225" spans="1:7">
      <c r="A225" t="str">
        <f>IF('Product List'!B225="","",'Product List'!B225)</f>
        <v/>
      </c>
      <c r="B225" t="str">
        <f>IF('Product List'!C225="","",'Product List'!C225)</f>
        <v/>
      </c>
      <c r="C225" t="str">
        <f>IF(SUMIFS('Purchase Record'!G:G,'Purchase Record'!F:F,Sheet4!A225)=0,"",SUMIFS('Purchase Record'!G:G,'Purchase Record'!F:F,Sheet4!A225))</f>
        <v/>
      </c>
      <c r="D225" t="str">
        <f>IF(SUMIFS('Sales Record'!H:H,'Sales Record'!F:F,Sheet4!A225)=0,"",SUMIFS('Sales Record'!H:H,'Sales Record'!F:F,Sheet4!A225))</f>
        <v/>
      </c>
      <c r="E225" t="str">
        <f>IF(SUMIFS('Sales Return'!G:G,'Sales Return'!F:F,Sheet4!A225)=0,"",SUMIFS('Sales Return'!G:G,'Sales Return'!F:F,Sheet4!A225))</f>
        <v/>
      </c>
      <c r="F225" t="str">
        <f>IF(SUMIFS('Purchase Return'!G:G,'Purchase Return'!F:F,Sheet4!A225)=0,"",SUMIFS('Purchase Return'!G:G,'Purchase Return'!F:F,Sheet4!A225))</f>
        <v/>
      </c>
      <c r="G225" t="str">
        <f t="shared" si="3"/>
        <v/>
      </c>
    </row>
    <row r="226" spans="1:7">
      <c r="A226" t="str">
        <f>IF('Product List'!B226="","",'Product List'!B226)</f>
        <v/>
      </c>
      <c r="B226" t="str">
        <f>IF('Product List'!C226="","",'Product List'!C226)</f>
        <v/>
      </c>
      <c r="C226" t="str">
        <f>IF(SUMIFS('Purchase Record'!G:G,'Purchase Record'!F:F,Sheet4!A226)=0,"",SUMIFS('Purchase Record'!G:G,'Purchase Record'!F:F,Sheet4!A226))</f>
        <v/>
      </c>
      <c r="D226" t="str">
        <f>IF(SUMIFS('Sales Record'!H:H,'Sales Record'!F:F,Sheet4!A226)=0,"",SUMIFS('Sales Record'!H:H,'Sales Record'!F:F,Sheet4!A226))</f>
        <v/>
      </c>
      <c r="E226" t="str">
        <f>IF(SUMIFS('Sales Return'!G:G,'Sales Return'!F:F,Sheet4!A226)=0,"",SUMIFS('Sales Return'!G:G,'Sales Return'!F:F,Sheet4!A226))</f>
        <v/>
      </c>
      <c r="F226" t="str">
        <f>IF(SUMIFS('Purchase Return'!G:G,'Purchase Return'!F:F,Sheet4!A226)=0,"",SUMIFS('Purchase Return'!G:G,'Purchase Return'!F:F,Sheet4!A226))</f>
        <v/>
      </c>
      <c r="G226" t="str">
        <f t="shared" si="3"/>
        <v/>
      </c>
    </row>
    <row r="227" spans="1:7">
      <c r="A227" t="str">
        <f>IF('Product List'!B227="","",'Product List'!B227)</f>
        <v/>
      </c>
      <c r="B227" t="str">
        <f>IF('Product List'!C227="","",'Product List'!C227)</f>
        <v/>
      </c>
      <c r="C227" t="str">
        <f>IF(SUMIFS('Purchase Record'!G:G,'Purchase Record'!F:F,Sheet4!A227)=0,"",SUMIFS('Purchase Record'!G:G,'Purchase Record'!F:F,Sheet4!A227))</f>
        <v/>
      </c>
      <c r="D227" t="str">
        <f>IF(SUMIFS('Sales Record'!H:H,'Sales Record'!F:F,Sheet4!A227)=0,"",SUMIFS('Sales Record'!H:H,'Sales Record'!F:F,Sheet4!A227))</f>
        <v/>
      </c>
      <c r="E227" t="str">
        <f>IF(SUMIFS('Sales Return'!G:G,'Sales Return'!F:F,Sheet4!A227)=0,"",SUMIFS('Sales Return'!G:G,'Sales Return'!F:F,Sheet4!A227))</f>
        <v/>
      </c>
      <c r="F227" t="str">
        <f>IF(SUMIFS('Purchase Return'!G:G,'Purchase Return'!F:F,Sheet4!A227)=0,"",SUMIFS('Purchase Return'!G:G,'Purchase Return'!F:F,Sheet4!A227))</f>
        <v/>
      </c>
      <c r="G227" t="str">
        <f t="shared" si="3"/>
        <v/>
      </c>
    </row>
    <row r="228" spans="1:7">
      <c r="A228" t="str">
        <f>IF('Product List'!B228="","",'Product List'!B228)</f>
        <v/>
      </c>
      <c r="B228" t="str">
        <f>IF('Product List'!C228="","",'Product List'!C228)</f>
        <v/>
      </c>
      <c r="C228" t="str">
        <f>IF(SUMIFS('Purchase Record'!G:G,'Purchase Record'!F:F,Sheet4!A228)=0,"",SUMIFS('Purchase Record'!G:G,'Purchase Record'!F:F,Sheet4!A228))</f>
        <v/>
      </c>
      <c r="D228" t="str">
        <f>IF(SUMIFS('Sales Record'!H:H,'Sales Record'!F:F,Sheet4!A228)=0,"",SUMIFS('Sales Record'!H:H,'Sales Record'!F:F,Sheet4!A228))</f>
        <v/>
      </c>
      <c r="E228" t="str">
        <f>IF(SUMIFS('Sales Return'!G:G,'Sales Return'!F:F,Sheet4!A228)=0,"",SUMIFS('Sales Return'!G:G,'Sales Return'!F:F,Sheet4!A228))</f>
        <v/>
      </c>
      <c r="F228" t="str">
        <f>IF(SUMIFS('Purchase Return'!G:G,'Purchase Return'!F:F,Sheet4!A228)=0,"",SUMIFS('Purchase Return'!G:G,'Purchase Return'!F:F,Sheet4!A228))</f>
        <v/>
      </c>
      <c r="G228" t="str">
        <f t="shared" si="3"/>
        <v/>
      </c>
    </row>
    <row r="229" spans="1:7">
      <c r="A229" t="str">
        <f>IF('Product List'!B229="","",'Product List'!B229)</f>
        <v/>
      </c>
      <c r="B229" t="str">
        <f>IF('Product List'!C229="","",'Product List'!C229)</f>
        <v/>
      </c>
      <c r="C229" t="str">
        <f>IF(SUMIFS('Purchase Record'!G:G,'Purchase Record'!F:F,Sheet4!A229)=0,"",SUMIFS('Purchase Record'!G:G,'Purchase Record'!F:F,Sheet4!A229))</f>
        <v/>
      </c>
      <c r="D229" t="str">
        <f>IF(SUMIFS('Sales Record'!H:H,'Sales Record'!F:F,Sheet4!A229)=0,"",SUMIFS('Sales Record'!H:H,'Sales Record'!F:F,Sheet4!A229))</f>
        <v/>
      </c>
      <c r="E229" t="str">
        <f>IF(SUMIFS('Sales Return'!G:G,'Sales Return'!F:F,Sheet4!A229)=0,"",SUMIFS('Sales Return'!G:G,'Sales Return'!F:F,Sheet4!A229))</f>
        <v/>
      </c>
      <c r="F229" t="str">
        <f>IF(SUMIFS('Purchase Return'!G:G,'Purchase Return'!F:F,Sheet4!A229)=0,"",SUMIFS('Purchase Return'!G:G,'Purchase Return'!F:F,Sheet4!A229))</f>
        <v/>
      </c>
      <c r="G229" t="str">
        <f t="shared" si="3"/>
        <v/>
      </c>
    </row>
    <row r="230" spans="1:7">
      <c r="A230" t="str">
        <f>IF('Product List'!B230="","",'Product List'!B230)</f>
        <v/>
      </c>
      <c r="B230" t="str">
        <f>IF('Product List'!C230="","",'Product List'!C230)</f>
        <v/>
      </c>
      <c r="C230" t="str">
        <f>IF(SUMIFS('Purchase Record'!G:G,'Purchase Record'!F:F,Sheet4!A230)=0,"",SUMIFS('Purchase Record'!G:G,'Purchase Record'!F:F,Sheet4!A230))</f>
        <v/>
      </c>
      <c r="D230" t="str">
        <f>IF(SUMIFS('Sales Record'!H:H,'Sales Record'!F:F,Sheet4!A230)=0,"",SUMIFS('Sales Record'!H:H,'Sales Record'!F:F,Sheet4!A230))</f>
        <v/>
      </c>
      <c r="E230" t="str">
        <f>IF(SUMIFS('Sales Return'!G:G,'Sales Return'!F:F,Sheet4!A230)=0,"",SUMIFS('Sales Return'!G:G,'Sales Return'!F:F,Sheet4!A230))</f>
        <v/>
      </c>
      <c r="F230" t="str">
        <f>IF(SUMIFS('Purchase Return'!G:G,'Purchase Return'!F:F,Sheet4!A230)=0,"",SUMIFS('Purchase Return'!G:G,'Purchase Return'!F:F,Sheet4!A230))</f>
        <v/>
      </c>
      <c r="G230" t="str">
        <f t="shared" si="3"/>
        <v/>
      </c>
    </row>
    <row r="231" spans="1:7">
      <c r="A231" t="str">
        <f>IF('Product List'!B231="","",'Product List'!B231)</f>
        <v/>
      </c>
      <c r="B231" t="str">
        <f>IF('Product List'!C231="","",'Product List'!C231)</f>
        <v/>
      </c>
      <c r="C231" t="str">
        <f>IF(SUMIFS('Purchase Record'!G:G,'Purchase Record'!F:F,Sheet4!A231)=0,"",SUMIFS('Purchase Record'!G:G,'Purchase Record'!F:F,Sheet4!A231))</f>
        <v/>
      </c>
      <c r="D231" t="str">
        <f>IF(SUMIFS('Sales Record'!H:H,'Sales Record'!F:F,Sheet4!A231)=0,"",SUMIFS('Sales Record'!H:H,'Sales Record'!F:F,Sheet4!A231))</f>
        <v/>
      </c>
      <c r="E231" t="str">
        <f>IF(SUMIFS('Sales Return'!G:G,'Sales Return'!F:F,Sheet4!A231)=0,"",SUMIFS('Sales Return'!G:G,'Sales Return'!F:F,Sheet4!A231))</f>
        <v/>
      </c>
      <c r="F231" t="str">
        <f>IF(SUMIFS('Purchase Return'!G:G,'Purchase Return'!F:F,Sheet4!A231)=0,"",SUMIFS('Purchase Return'!G:G,'Purchase Return'!F:F,Sheet4!A231))</f>
        <v/>
      </c>
      <c r="G231" t="str">
        <f t="shared" si="3"/>
        <v/>
      </c>
    </row>
    <row r="232" spans="1:7">
      <c r="A232" t="str">
        <f>IF('Product List'!B232="","",'Product List'!B232)</f>
        <v/>
      </c>
      <c r="B232" t="str">
        <f>IF('Product List'!C232="","",'Product List'!C232)</f>
        <v/>
      </c>
      <c r="C232" t="str">
        <f>IF(SUMIFS('Purchase Record'!G:G,'Purchase Record'!F:F,Sheet4!A232)=0,"",SUMIFS('Purchase Record'!G:G,'Purchase Record'!F:F,Sheet4!A232))</f>
        <v/>
      </c>
      <c r="D232" t="str">
        <f>IF(SUMIFS('Sales Record'!H:H,'Sales Record'!F:F,Sheet4!A232)=0,"",SUMIFS('Sales Record'!H:H,'Sales Record'!F:F,Sheet4!A232))</f>
        <v/>
      </c>
      <c r="E232" t="str">
        <f>IF(SUMIFS('Sales Return'!G:G,'Sales Return'!F:F,Sheet4!A232)=0,"",SUMIFS('Sales Return'!G:G,'Sales Return'!F:F,Sheet4!A232))</f>
        <v/>
      </c>
      <c r="F232" t="str">
        <f>IF(SUMIFS('Purchase Return'!G:G,'Purchase Return'!F:F,Sheet4!A232)=0,"",SUMIFS('Purchase Return'!G:G,'Purchase Return'!F:F,Sheet4!A232))</f>
        <v/>
      </c>
      <c r="G232" t="str">
        <f t="shared" si="3"/>
        <v/>
      </c>
    </row>
    <row r="233" spans="1:7">
      <c r="A233" t="str">
        <f>IF('Product List'!B233="","",'Product List'!B233)</f>
        <v/>
      </c>
      <c r="B233" t="str">
        <f>IF('Product List'!C233="","",'Product List'!C233)</f>
        <v/>
      </c>
      <c r="C233" t="str">
        <f>IF(SUMIFS('Purchase Record'!G:G,'Purchase Record'!F:F,Sheet4!A233)=0,"",SUMIFS('Purchase Record'!G:G,'Purchase Record'!F:F,Sheet4!A233))</f>
        <v/>
      </c>
      <c r="D233" t="str">
        <f>IF(SUMIFS('Sales Record'!H:H,'Sales Record'!F:F,Sheet4!A233)=0,"",SUMIFS('Sales Record'!H:H,'Sales Record'!F:F,Sheet4!A233))</f>
        <v/>
      </c>
      <c r="E233" t="str">
        <f>IF(SUMIFS('Sales Return'!G:G,'Sales Return'!F:F,Sheet4!A233)=0,"",SUMIFS('Sales Return'!G:G,'Sales Return'!F:F,Sheet4!A233))</f>
        <v/>
      </c>
      <c r="F233" t="str">
        <f>IF(SUMIFS('Purchase Return'!G:G,'Purchase Return'!F:F,Sheet4!A233)=0,"",SUMIFS('Purchase Return'!G:G,'Purchase Return'!F:F,Sheet4!A233))</f>
        <v/>
      </c>
      <c r="G233" t="str">
        <f t="shared" si="3"/>
        <v/>
      </c>
    </row>
    <row r="234" spans="1:7">
      <c r="A234" t="str">
        <f>IF('Product List'!B234="","",'Product List'!B234)</f>
        <v/>
      </c>
      <c r="B234" t="str">
        <f>IF('Product List'!C234="","",'Product List'!C234)</f>
        <v/>
      </c>
      <c r="C234" t="str">
        <f>IF(SUMIFS('Purchase Record'!G:G,'Purchase Record'!F:F,Sheet4!A234)=0,"",SUMIFS('Purchase Record'!G:G,'Purchase Record'!F:F,Sheet4!A234))</f>
        <v/>
      </c>
      <c r="D234" t="str">
        <f>IF(SUMIFS('Sales Record'!H:H,'Sales Record'!F:F,Sheet4!A234)=0,"",SUMIFS('Sales Record'!H:H,'Sales Record'!F:F,Sheet4!A234))</f>
        <v/>
      </c>
      <c r="E234" t="str">
        <f>IF(SUMIFS('Sales Return'!G:G,'Sales Return'!F:F,Sheet4!A234)=0,"",SUMIFS('Sales Return'!G:G,'Sales Return'!F:F,Sheet4!A234))</f>
        <v/>
      </c>
      <c r="F234" t="str">
        <f>IF(SUMIFS('Purchase Return'!G:G,'Purchase Return'!F:F,Sheet4!A234)=0,"",SUMIFS('Purchase Return'!G:G,'Purchase Return'!F:F,Sheet4!A234))</f>
        <v/>
      </c>
      <c r="G234" t="str">
        <f t="shared" si="3"/>
        <v/>
      </c>
    </row>
    <row r="235" spans="1:7">
      <c r="A235" t="str">
        <f>IF('Product List'!B235="","",'Product List'!B235)</f>
        <v/>
      </c>
      <c r="B235" t="str">
        <f>IF('Product List'!C235="","",'Product List'!C235)</f>
        <v/>
      </c>
      <c r="C235" t="str">
        <f>IF(SUMIFS('Purchase Record'!G:G,'Purchase Record'!F:F,Sheet4!A235)=0,"",SUMIFS('Purchase Record'!G:G,'Purchase Record'!F:F,Sheet4!A235))</f>
        <v/>
      </c>
      <c r="D235" t="str">
        <f>IF(SUMIFS('Sales Record'!H:H,'Sales Record'!F:F,Sheet4!A235)=0,"",SUMIFS('Sales Record'!H:H,'Sales Record'!F:F,Sheet4!A235))</f>
        <v/>
      </c>
      <c r="E235" t="str">
        <f>IF(SUMIFS('Sales Return'!G:G,'Sales Return'!F:F,Sheet4!A235)=0,"",SUMIFS('Sales Return'!G:G,'Sales Return'!F:F,Sheet4!A235))</f>
        <v/>
      </c>
      <c r="F235" t="str">
        <f>IF(SUMIFS('Purchase Return'!G:G,'Purchase Return'!F:F,Sheet4!A235)=0,"",SUMIFS('Purchase Return'!G:G,'Purchase Return'!F:F,Sheet4!A235))</f>
        <v/>
      </c>
      <c r="G235" t="str">
        <f t="shared" si="3"/>
        <v/>
      </c>
    </row>
    <row r="236" spans="1:7">
      <c r="A236" t="str">
        <f>IF('Product List'!B236="","",'Product List'!B236)</f>
        <v/>
      </c>
      <c r="B236" t="str">
        <f>IF('Product List'!C236="","",'Product List'!C236)</f>
        <v/>
      </c>
      <c r="C236" t="str">
        <f>IF(SUMIFS('Purchase Record'!G:G,'Purchase Record'!F:F,Sheet4!A236)=0,"",SUMIFS('Purchase Record'!G:G,'Purchase Record'!F:F,Sheet4!A236))</f>
        <v/>
      </c>
      <c r="D236" t="str">
        <f>IF(SUMIFS('Sales Record'!H:H,'Sales Record'!F:F,Sheet4!A236)=0,"",SUMIFS('Sales Record'!H:H,'Sales Record'!F:F,Sheet4!A236))</f>
        <v/>
      </c>
      <c r="E236" t="str">
        <f>IF(SUMIFS('Sales Return'!G:G,'Sales Return'!F:F,Sheet4!A236)=0,"",SUMIFS('Sales Return'!G:G,'Sales Return'!F:F,Sheet4!A236))</f>
        <v/>
      </c>
      <c r="F236" t="str">
        <f>IF(SUMIFS('Purchase Return'!G:G,'Purchase Return'!F:F,Sheet4!A236)=0,"",SUMIFS('Purchase Return'!G:G,'Purchase Return'!F:F,Sheet4!A236))</f>
        <v/>
      </c>
      <c r="G236" t="str">
        <f t="shared" si="3"/>
        <v/>
      </c>
    </row>
    <row r="237" spans="1:7">
      <c r="A237" t="str">
        <f>IF('Product List'!B237="","",'Product List'!B237)</f>
        <v/>
      </c>
      <c r="B237" t="str">
        <f>IF('Product List'!C237="","",'Product List'!C237)</f>
        <v/>
      </c>
      <c r="C237" t="str">
        <f>IF(SUMIFS('Purchase Record'!G:G,'Purchase Record'!F:F,Sheet4!A237)=0,"",SUMIFS('Purchase Record'!G:G,'Purchase Record'!F:F,Sheet4!A237))</f>
        <v/>
      </c>
      <c r="D237" t="str">
        <f>IF(SUMIFS('Sales Record'!H:H,'Sales Record'!F:F,Sheet4!A237)=0,"",SUMIFS('Sales Record'!H:H,'Sales Record'!F:F,Sheet4!A237))</f>
        <v/>
      </c>
      <c r="E237" t="str">
        <f>IF(SUMIFS('Sales Return'!G:G,'Sales Return'!F:F,Sheet4!A237)=0,"",SUMIFS('Sales Return'!G:G,'Sales Return'!F:F,Sheet4!A237))</f>
        <v/>
      </c>
      <c r="F237" t="str">
        <f>IF(SUMIFS('Purchase Return'!G:G,'Purchase Return'!F:F,Sheet4!A237)=0,"",SUMIFS('Purchase Return'!G:G,'Purchase Return'!F:F,Sheet4!A237))</f>
        <v/>
      </c>
      <c r="G237" t="str">
        <f t="shared" si="3"/>
        <v/>
      </c>
    </row>
    <row r="238" spans="1:7">
      <c r="A238" t="str">
        <f>IF('Product List'!B238="","",'Product List'!B238)</f>
        <v/>
      </c>
      <c r="B238" t="str">
        <f>IF('Product List'!C238="","",'Product List'!C238)</f>
        <v/>
      </c>
      <c r="C238" t="str">
        <f>IF(SUMIFS('Purchase Record'!G:G,'Purchase Record'!F:F,Sheet4!A238)=0,"",SUMIFS('Purchase Record'!G:G,'Purchase Record'!F:F,Sheet4!A238))</f>
        <v/>
      </c>
      <c r="D238" t="str">
        <f>IF(SUMIFS('Sales Record'!H:H,'Sales Record'!F:F,Sheet4!A238)=0,"",SUMIFS('Sales Record'!H:H,'Sales Record'!F:F,Sheet4!A238))</f>
        <v/>
      </c>
      <c r="E238" t="str">
        <f>IF(SUMIFS('Sales Return'!G:G,'Sales Return'!F:F,Sheet4!A238)=0,"",SUMIFS('Sales Return'!G:G,'Sales Return'!F:F,Sheet4!A238))</f>
        <v/>
      </c>
      <c r="F238" t="str">
        <f>IF(SUMIFS('Purchase Return'!G:G,'Purchase Return'!F:F,Sheet4!A238)=0,"",SUMIFS('Purchase Return'!G:G,'Purchase Return'!F:F,Sheet4!A238))</f>
        <v/>
      </c>
      <c r="G238" t="str">
        <f t="shared" si="3"/>
        <v/>
      </c>
    </row>
    <row r="239" spans="1:7">
      <c r="A239" t="str">
        <f>IF('Product List'!B239="","",'Product List'!B239)</f>
        <v/>
      </c>
      <c r="B239" t="str">
        <f>IF('Product List'!C239="","",'Product List'!C239)</f>
        <v/>
      </c>
      <c r="C239" t="str">
        <f>IF(SUMIFS('Purchase Record'!G:G,'Purchase Record'!F:F,Sheet4!A239)=0,"",SUMIFS('Purchase Record'!G:G,'Purchase Record'!F:F,Sheet4!A239))</f>
        <v/>
      </c>
      <c r="D239" t="str">
        <f>IF(SUMIFS('Sales Record'!H:H,'Sales Record'!F:F,Sheet4!A239)=0,"",SUMIFS('Sales Record'!H:H,'Sales Record'!F:F,Sheet4!A239))</f>
        <v/>
      </c>
      <c r="E239" t="str">
        <f>IF(SUMIFS('Sales Return'!G:G,'Sales Return'!F:F,Sheet4!A239)=0,"",SUMIFS('Sales Return'!G:G,'Sales Return'!F:F,Sheet4!A239))</f>
        <v/>
      </c>
      <c r="F239" t="str">
        <f>IF(SUMIFS('Purchase Return'!G:G,'Purchase Return'!F:F,Sheet4!A239)=0,"",SUMIFS('Purchase Return'!G:G,'Purchase Return'!F:F,Sheet4!A239))</f>
        <v/>
      </c>
      <c r="G239" t="str">
        <f t="shared" si="3"/>
        <v/>
      </c>
    </row>
    <row r="240" spans="1:7">
      <c r="A240" t="str">
        <f>IF('Product List'!B240="","",'Product List'!B240)</f>
        <v/>
      </c>
      <c r="B240" t="str">
        <f>IF('Product List'!C240="","",'Product List'!C240)</f>
        <v/>
      </c>
      <c r="C240" t="str">
        <f>IF(SUMIFS('Purchase Record'!G:G,'Purchase Record'!F:F,Sheet4!A240)=0,"",SUMIFS('Purchase Record'!G:G,'Purchase Record'!F:F,Sheet4!A240))</f>
        <v/>
      </c>
      <c r="D240" t="str">
        <f>IF(SUMIFS('Sales Record'!H:H,'Sales Record'!F:F,Sheet4!A240)=0,"",SUMIFS('Sales Record'!H:H,'Sales Record'!F:F,Sheet4!A240))</f>
        <v/>
      </c>
      <c r="E240" t="str">
        <f>IF(SUMIFS('Sales Return'!G:G,'Sales Return'!F:F,Sheet4!A240)=0,"",SUMIFS('Sales Return'!G:G,'Sales Return'!F:F,Sheet4!A240))</f>
        <v/>
      </c>
      <c r="F240" t="str">
        <f>IF(SUMIFS('Purchase Return'!G:G,'Purchase Return'!F:F,Sheet4!A240)=0,"",SUMIFS('Purchase Return'!G:G,'Purchase Return'!F:F,Sheet4!A240))</f>
        <v/>
      </c>
      <c r="G240" t="str">
        <f t="shared" si="3"/>
        <v/>
      </c>
    </row>
    <row r="241" spans="1:7">
      <c r="A241" t="str">
        <f>IF('Product List'!B241="","",'Product List'!B241)</f>
        <v/>
      </c>
      <c r="B241" t="str">
        <f>IF('Product List'!C241="","",'Product List'!C241)</f>
        <v/>
      </c>
      <c r="C241" t="str">
        <f>IF(SUMIFS('Purchase Record'!G:G,'Purchase Record'!F:F,Sheet4!A241)=0,"",SUMIFS('Purchase Record'!G:G,'Purchase Record'!F:F,Sheet4!A241))</f>
        <v/>
      </c>
      <c r="D241" t="str">
        <f>IF(SUMIFS('Sales Record'!H:H,'Sales Record'!F:F,Sheet4!A241)=0,"",SUMIFS('Sales Record'!H:H,'Sales Record'!F:F,Sheet4!A241))</f>
        <v/>
      </c>
      <c r="E241" t="str">
        <f>IF(SUMIFS('Sales Return'!G:G,'Sales Return'!F:F,Sheet4!A241)=0,"",SUMIFS('Sales Return'!G:G,'Sales Return'!F:F,Sheet4!A241))</f>
        <v/>
      </c>
      <c r="F241" t="str">
        <f>IF(SUMIFS('Purchase Return'!G:G,'Purchase Return'!F:F,Sheet4!A241)=0,"",SUMIFS('Purchase Return'!G:G,'Purchase Return'!F:F,Sheet4!A241))</f>
        <v/>
      </c>
      <c r="G241" t="str">
        <f t="shared" si="3"/>
        <v/>
      </c>
    </row>
    <row r="242" spans="1:7">
      <c r="A242" t="str">
        <f>IF('Product List'!B242="","",'Product List'!B242)</f>
        <v/>
      </c>
      <c r="B242" t="str">
        <f>IF('Product List'!C242="","",'Product List'!C242)</f>
        <v/>
      </c>
      <c r="C242" t="str">
        <f>IF(SUMIFS('Purchase Record'!G:G,'Purchase Record'!F:F,Sheet4!A242)=0,"",SUMIFS('Purchase Record'!G:G,'Purchase Record'!F:F,Sheet4!A242))</f>
        <v/>
      </c>
      <c r="D242" t="str">
        <f>IF(SUMIFS('Sales Record'!H:H,'Sales Record'!F:F,Sheet4!A242)=0,"",SUMIFS('Sales Record'!H:H,'Sales Record'!F:F,Sheet4!A242))</f>
        <v/>
      </c>
      <c r="E242" t="str">
        <f>IF(SUMIFS('Sales Return'!G:G,'Sales Return'!F:F,Sheet4!A242)=0,"",SUMIFS('Sales Return'!G:G,'Sales Return'!F:F,Sheet4!A242))</f>
        <v/>
      </c>
      <c r="F242" t="str">
        <f>IF(SUMIFS('Purchase Return'!G:G,'Purchase Return'!F:F,Sheet4!A242)=0,"",SUMIFS('Purchase Return'!G:G,'Purchase Return'!F:F,Sheet4!A242))</f>
        <v/>
      </c>
      <c r="G242" t="str">
        <f t="shared" si="3"/>
        <v/>
      </c>
    </row>
    <row r="243" spans="1:7">
      <c r="A243" t="str">
        <f>IF('Product List'!B243="","",'Product List'!B243)</f>
        <v/>
      </c>
      <c r="B243" t="str">
        <f>IF('Product List'!C243="","",'Product List'!C243)</f>
        <v/>
      </c>
      <c r="C243" t="str">
        <f>IF(SUMIFS('Purchase Record'!G:G,'Purchase Record'!F:F,Sheet4!A243)=0,"",SUMIFS('Purchase Record'!G:G,'Purchase Record'!F:F,Sheet4!A243))</f>
        <v/>
      </c>
      <c r="D243" t="str">
        <f>IF(SUMIFS('Sales Record'!H:H,'Sales Record'!F:F,Sheet4!A243)=0,"",SUMIFS('Sales Record'!H:H,'Sales Record'!F:F,Sheet4!A243))</f>
        <v/>
      </c>
      <c r="E243" t="str">
        <f>IF(SUMIFS('Sales Return'!G:G,'Sales Return'!F:F,Sheet4!A243)=0,"",SUMIFS('Sales Return'!G:G,'Sales Return'!F:F,Sheet4!A243))</f>
        <v/>
      </c>
      <c r="F243" t="str">
        <f>IF(SUMIFS('Purchase Return'!G:G,'Purchase Return'!F:F,Sheet4!A243)=0,"",SUMIFS('Purchase Return'!G:G,'Purchase Return'!F:F,Sheet4!A243))</f>
        <v/>
      </c>
      <c r="G243" t="str">
        <f t="shared" si="3"/>
        <v/>
      </c>
    </row>
    <row r="244" spans="1:7">
      <c r="A244" t="str">
        <f>IF('Product List'!B244="","",'Product List'!B244)</f>
        <v/>
      </c>
      <c r="B244" t="str">
        <f>IF('Product List'!C244="","",'Product List'!C244)</f>
        <v/>
      </c>
      <c r="C244" t="str">
        <f>IF(SUMIFS('Purchase Record'!G:G,'Purchase Record'!F:F,Sheet4!A244)=0,"",SUMIFS('Purchase Record'!G:G,'Purchase Record'!F:F,Sheet4!A244))</f>
        <v/>
      </c>
      <c r="D244" t="str">
        <f>IF(SUMIFS('Sales Record'!H:H,'Sales Record'!F:F,Sheet4!A244)=0,"",SUMIFS('Sales Record'!H:H,'Sales Record'!F:F,Sheet4!A244))</f>
        <v/>
      </c>
      <c r="E244" t="str">
        <f>IF(SUMIFS('Sales Return'!G:G,'Sales Return'!F:F,Sheet4!A244)=0,"",SUMIFS('Sales Return'!G:G,'Sales Return'!F:F,Sheet4!A244))</f>
        <v/>
      </c>
      <c r="F244" t="str">
        <f>IF(SUMIFS('Purchase Return'!G:G,'Purchase Return'!F:F,Sheet4!A244)=0,"",SUMIFS('Purchase Return'!G:G,'Purchase Return'!F:F,Sheet4!A244))</f>
        <v/>
      </c>
      <c r="G244" t="str">
        <f t="shared" si="3"/>
        <v/>
      </c>
    </row>
    <row r="245" spans="1:7">
      <c r="A245" t="str">
        <f>IF('Product List'!B245="","",'Product List'!B245)</f>
        <v/>
      </c>
      <c r="B245" t="str">
        <f>IF('Product List'!C245="","",'Product List'!C245)</f>
        <v/>
      </c>
      <c r="C245" t="str">
        <f>IF(SUMIFS('Purchase Record'!G:G,'Purchase Record'!F:F,Sheet4!A245)=0,"",SUMIFS('Purchase Record'!G:G,'Purchase Record'!F:F,Sheet4!A245))</f>
        <v/>
      </c>
      <c r="D245" t="str">
        <f>IF(SUMIFS('Sales Record'!H:H,'Sales Record'!F:F,Sheet4!A245)=0,"",SUMIFS('Sales Record'!H:H,'Sales Record'!F:F,Sheet4!A245))</f>
        <v/>
      </c>
      <c r="E245" t="str">
        <f>IF(SUMIFS('Sales Return'!G:G,'Sales Return'!F:F,Sheet4!A245)=0,"",SUMIFS('Sales Return'!G:G,'Sales Return'!F:F,Sheet4!A245))</f>
        <v/>
      </c>
      <c r="F245" t="str">
        <f>IF(SUMIFS('Purchase Return'!G:G,'Purchase Return'!F:F,Sheet4!A245)=0,"",SUMIFS('Purchase Return'!G:G,'Purchase Return'!F:F,Sheet4!A245))</f>
        <v/>
      </c>
      <c r="G245" t="str">
        <f t="shared" si="3"/>
        <v/>
      </c>
    </row>
    <row r="246" spans="1:7">
      <c r="A246" t="str">
        <f>IF('Product List'!B246="","",'Product List'!B246)</f>
        <v/>
      </c>
      <c r="B246" t="str">
        <f>IF('Product List'!C246="","",'Product List'!C246)</f>
        <v/>
      </c>
      <c r="C246" t="str">
        <f>IF(SUMIFS('Purchase Record'!G:G,'Purchase Record'!F:F,Sheet4!A246)=0,"",SUMIFS('Purchase Record'!G:G,'Purchase Record'!F:F,Sheet4!A246))</f>
        <v/>
      </c>
      <c r="D246" t="str">
        <f>IF(SUMIFS('Sales Record'!H:H,'Sales Record'!F:F,Sheet4!A246)=0,"",SUMIFS('Sales Record'!H:H,'Sales Record'!F:F,Sheet4!A246))</f>
        <v/>
      </c>
      <c r="E246" t="str">
        <f>IF(SUMIFS('Sales Return'!G:G,'Sales Return'!F:F,Sheet4!A246)=0,"",SUMIFS('Sales Return'!G:G,'Sales Return'!F:F,Sheet4!A246))</f>
        <v/>
      </c>
      <c r="F246" t="str">
        <f>IF(SUMIFS('Purchase Return'!G:G,'Purchase Return'!F:F,Sheet4!A246)=0,"",SUMIFS('Purchase Return'!G:G,'Purchase Return'!F:F,Sheet4!A246))</f>
        <v/>
      </c>
      <c r="G246" t="str">
        <f t="shared" si="3"/>
        <v/>
      </c>
    </row>
    <row r="247" spans="1:7">
      <c r="A247" t="str">
        <f>IF('Product List'!B247="","",'Product List'!B247)</f>
        <v/>
      </c>
      <c r="B247" t="str">
        <f>IF('Product List'!C247="","",'Product List'!C247)</f>
        <v/>
      </c>
      <c r="C247" t="str">
        <f>IF(SUMIFS('Purchase Record'!G:G,'Purchase Record'!F:F,Sheet4!A247)=0,"",SUMIFS('Purchase Record'!G:G,'Purchase Record'!F:F,Sheet4!A247))</f>
        <v/>
      </c>
      <c r="D247" t="str">
        <f>IF(SUMIFS('Sales Record'!H:H,'Sales Record'!F:F,Sheet4!A247)=0,"",SUMIFS('Sales Record'!H:H,'Sales Record'!F:F,Sheet4!A247))</f>
        <v/>
      </c>
      <c r="E247" t="str">
        <f>IF(SUMIFS('Sales Return'!G:G,'Sales Return'!F:F,Sheet4!A247)=0,"",SUMIFS('Sales Return'!G:G,'Sales Return'!F:F,Sheet4!A247))</f>
        <v/>
      </c>
      <c r="F247" t="str">
        <f>IF(SUMIFS('Purchase Return'!G:G,'Purchase Return'!F:F,Sheet4!A247)=0,"",SUMIFS('Purchase Return'!G:G,'Purchase Return'!F:F,Sheet4!A247))</f>
        <v/>
      </c>
      <c r="G247" t="str">
        <f t="shared" si="3"/>
        <v/>
      </c>
    </row>
    <row r="248" spans="1:7">
      <c r="A248" t="str">
        <f>IF('Product List'!B248="","",'Product List'!B248)</f>
        <v/>
      </c>
      <c r="B248" t="str">
        <f>IF('Product List'!C248="","",'Product List'!C248)</f>
        <v/>
      </c>
      <c r="C248" t="str">
        <f>IF(SUMIFS('Purchase Record'!G:G,'Purchase Record'!F:F,Sheet4!A248)=0,"",SUMIFS('Purchase Record'!G:G,'Purchase Record'!F:F,Sheet4!A248))</f>
        <v/>
      </c>
      <c r="D248" t="str">
        <f>IF(SUMIFS('Sales Record'!H:H,'Sales Record'!F:F,Sheet4!A248)=0,"",SUMIFS('Sales Record'!H:H,'Sales Record'!F:F,Sheet4!A248))</f>
        <v/>
      </c>
      <c r="E248" t="str">
        <f>IF(SUMIFS('Sales Return'!G:G,'Sales Return'!F:F,Sheet4!A248)=0,"",SUMIFS('Sales Return'!G:G,'Sales Return'!F:F,Sheet4!A248))</f>
        <v/>
      </c>
      <c r="F248" t="str">
        <f>IF(SUMIFS('Purchase Return'!G:G,'Purchase Return'!F:F,Sheet4!A248)=0,"",SUMIFS('Purchase Return'!G:G,'Purchase Return'!F:F,Sheet4!A248))</f>
        <v/>
      </c>
      <c r="G248" t="str">
        <f t="shared" si="3"/>
        <v/>
      </c>
    </row>
    <row r="249" spans="1:7">
      <c r="A249" t="str">
        <f>IF('Product List'!B249="","",'Product List'!B249)</f>
        <v/>
      </c>
      <c r="B249" t="str">
        <f>IF('Product List'!C249="","",'Product List'!C249)</f>
        <v/>
      </c>
      <c r="C249" t="str">
        <f>IF(SUMIFS('Purchase Record'!G:G,'Purchase Record'!F:F,Sheet4!A249)=0,"",SUMIFS('Purchase Record'!G:G,'Purchase Record'!F:F,Sheet4!A249))</f>
        <v/>
      </c>
      <c r="D249" t="str">
        <f>IF(SUMIFS('Sales Record'!H:H,'Sales Record'!F:F,Sheet4!A249)=0,"",SUMIFS('Sales Record'!H:H,'Sales Record'!F:F,Sheet4!A249))</f>
        <v/>
      </c>
      <c r="E249" t="str">
        <f>IF(SUMIFS('Sales Return'!G:G,'Sales Return'!F:F,Sheet4!A249)=0,"",SUMIFS('Sales Return'!G:G,'Sales Return'!F:F,Sheet4!A249))</f>
        <v/>
      </c>
      <c r="F249" t="str">
        <f>IF(SUMIFS('Purchase Return'!G:G,'Purchase Return'!F:F,Sheet4!A249)=0,"",SUMIFS('Purchase Return'!G:G,'Purchase Return'!F:F,Sheet4!A249))</f>
        <v/>
      </c>
      <c r="G249" t="str">
        <f t="shared" si="3"/>
        <v/>
      </c>
    </row>
    <row r="250" spans="1:7">
      <c r="A250" t="str">
        <f>IF('Product List'!B250="","",'Product List'!B250)</f>
        <v/>
      </c>
      <c r="B250" t="str">
        <f>IF('Product List'!C250="","",'Product List'!C250)</f>
        <v/>
      </c>
      <c r="C250" t="str">
        <f>IF(SUMIFS('Purchase Record'!G:G,'Purchase Record'!F:F,Sheet4!A250)=0,"",SUMIFS('Purchase Record'!G:G,'Purchase Record'!F:F,Sheet4!A250))</f>
        <v/>
      </c>
      <c r="D250" t="str">
        <f>IF(SUMIFS('Sales Record'!H:H,'Sales Record'!F:F,Sheet4!A250)=0,"",SUMIFS('Sales Record'!H:H,'Sales Record'!F:F,Sheet4!A250))</f>
        <v/>
      </c>
      <c r="E250" t="str">
        <f>IF(SUMIFS('Sales Return'!G:G,'Sales Return'!F:F,Sheet4!A250)=0,"",SUMIFS('Sales Return'!G:G,'Sales Return'!F:F,Sheet4!A250))</f>
        <v/>
      </c>
      <c r="F250" t="str">
        <f>IF(SUMIFS('Purchase Return'!G:G,'Purchase Return'!F:F,Sheet4!A250)=0,"",SUMIFS('Purchase Return'!G:G,'Purchase Return'!F:F,Sheet4!A250))</f>
        <v/>
      </c>
      <c r="G250" t="str">
        <f t="shared" si="3"/>
        <v/>
      </c>
    </row>
    <row r="251" spans="1:7">
      <c r="A251" t="str">
        <f>IF('Product List'!B251="","",'Product List'!B251)</f>
        <v/>
      </c>
      <c r="B251" t="str">
        <f>IF('Product List'!C251="","",'Product List'!C251)</f>
        <v/>
      </c>
      <c r="C251" t="str">
        <f>IF(SUMIFS('Purchase Record'!G:G,'Purchase Record'!F:F,Sheet4!A251)=0,"",SUMIFS('Purchase Record'!G:G,'Purchase Record'!F:F,Sheet4!A251))</f>
        <v/>
      </c>
      <c r="D251" t="str">
        <f>IF(SUMIFS('Sales Record'!H:H,'Sales Record'!F:F,Sheet4!A251)=0,"",SUMIFS('Sales Record'!H:H,'Sales Record'!F:F,Sheet4!A251))</f>
        <v/>
      </c>
      <c r="E251" t="str">
        <f>IF(SUMIFS('Sales Return'!G:G,'Sales Return'!F:F,Sheet4!A251)=0,"",SUMIFS('Sales Return'!G:G,'Sales Return'!F:F,Sheet4!A251))</f>
        <v/>
      </c>
      <c r="F251" t="str">
        <f>IF(SUMIFS('Purchase Return'!G:G,'Purchase Return'!F:F,Sheet4!A251)=0,"",SUMIFS('Purchase Return'!G:G,'Purchase Return'!F:F,Sheet4!A251))</f>
        <v/>
      </c>
      <c r="G251" t="str">
        <f t="shared" si="3"/>
        <v/>
      </c>
    </row>
    <row r="252" spans="1:7">
      <c r="A252" t="str">
        <f>IF('Product List'!B252="","",'Product List'!B252)</f>
        <v/>
      </c>
      <c r="B252" t="str">
        <f>IF('Product List'!C252="","",'Product List'!C252)</f>
        <v/>
      </c>
      <c r="C252" t="str">
        <f>IF(SUMIFS('Purchase Record'!G:G,'Purchase Record'!F:F,Sheet4!A252)=0,"",SUMIFS('Purchase Record'!G:G,'Purchase Record'!F:F,Sheet4!A252))</f>
        <v/>
      </c>
      <c r="D252" t="str">
        <f>IF(SUMIFS('Sales Record'!H:H,'Sales Record'!F:F,Sheet4!A252)=0,"",SUMIFS('Sales Record'!H:H,'Sales Record'!F:F,Sheet4!A252))</f>
        <v/>
      </c>
      <c r="E252" t="str">
        <f>IF(SUMIFS('Sales Return'!G:G,'Sales Return'!F:F,Sheet4!A252)=0,"",SUMIFS('Sales Return'!G:G,'Sales Return'!F:F,Sheet4!A252))</f>
        <v/>
      </c>
      <c r="F252" t="str">
        <f>IF(SUMIFS('Purchase Return'!G:G,'Purchase Return'!F:F,Sheet4!A252)=0,"",SUMIFS('Purchase Return'!G:G,'Purchase Return'!F:F,Sheet4!A252))</f>
        <v/>
      </c>
      <c r="G252" t="str">
        <f t="shared" si="3"/>
        <v/>
      </c>
    </row>
    <row r="253" spans="1:7">
      <c r="A253" t="str">
        <f>IF('Product List'!B253="","",'Product List'!B253)</f>
        <v/>
      </c>
      <c r="B253" t="str">
        <f>IF('Product List'!C253="","",'Product List'!C253)</f>
        <v/>
      </c>
      <c r="C253" t="str">
        <f>IF(SUMIFS('Purchase Record'!G:G,'Purchase Record'!F:F,Sheet4!A253)=0,"",SUMIFS('Purchase Record'!G:G,'Purchase Record'!F:F,Sheet4!A253))</f>
        <v/>
      </c>
      <c r="D253" t="str">
        <f>IF(SUMIFS('Sales Record'!H:H,'Sales Record'!F:F,Sheet4!A253)=0,"",SUMIFS('Sales Record'!H:H,'Sales Record'!F:F,Sheet4!A253))</f>
        <v/>
      </c>
      <c r="E253" t="str">
        <f>IF(SUMIFS('Sales Return'!G:G,'Sales Return'!F:F,Sheet4!A253)=0,"",SUMIFS('Sales Return'!G:G,'Sales Return'!F:F,Sheet4!A253))</f>
        <v/>
      </c>
      <c r="F253" t="str">
        <f>IF(SUMIFS('Purchase Return'!G:G,'Purchase Return'!F:F,Sheet4!A253)=0,"",SUMIFS('Purchase Return'!G:G,'Purchase Return'!F:F,Sheet4!A253))</f>
        <v/>
      </c>
      <c r="G253" t="str">
        <f t="shared" si="3"/>
        <v/>
      </c>
    </row>
    <row r="254" spans="1:7">
      <c r="A254" t="str">
        <f>IF('Product List'!B254="","",'Product List'!B254)</f>
        <v/>
      </c>
      <c r="B254" t="str">
        <f>IF('Product List'!C254="","",'Product List'!C254)</f>
        <v/>
      </c>
      <c r="C254" t="str">
        <f>IF(SUMIFS('Purchase Record'!G:G,'Purchase Record'!F:F,Sheet4!A254)=0,"",SUMIFS('Purchase Record'!G:G,'Purchase Record'!F:F,Sheet4!A254))</f>
        <v/>
      </c>
      <c r="D254" t="str">
        <f>IF(SUMIFS('Sales Record'!H:H,'Sales Record'!F:F,Sheet4!A254)=0,"",SUMIFS('Sales Record'!H:H,'Sales Record'!F:F,Sheet4!A254))</f>
        <v/>
      </c>
      <c r="E254" t="str">
        <f>IF(SUMIFS('Sales Return'!G:G,'Sales Return'!F:F,Sheet4!A254)=0,"",SUMIFS('Sales Return'!G:G,'Sales Return'!F:F,Sheet4!A254))</f>
        <v/>
      </c>
      <c r="F254" t="str">
        <f>IF(SUMIFS('Purchase Return'!G:G,'Purchase Return'!F:F,Sheet4!A254)=0,"",SUMIFS('Purchase Return'!G:G,'Purchase Return'!F:F,Sheet4!A254))</f>
        <v/>
      </c>
      <c r="G254" t="str">
        <f t="shared" si="3"/>
        <v/>
      </c>
    </row>
    <row r="255" spans="1:7">
      <c r="A255" t="str">
        <f>IF('Product List'!B255="","",'Product List'!B255)</f>
        <v/>
      </c>
      <c r="B255" t="str">
        <f>IF('Product List'!C255="","",'Product List'!C255)</f>
        <v/>
      </c>
      <c r="C255" t="str">
        <f>IF(SUMIFS('Purchase Record'!G:G,'Purchase Record'!F:F,Sheet4!A255)=0,"",SUMIFS('Purchase Record'!G:G,'Purchase Record'!F:F,Sheet4!A255))</f>
        <v/>
      </c>
      <c r="D255" t="str">
        <f>IF(SUMIFS('Sales Record'!H:H,'Sales Record'!F:F,Sheet4!A255)=0,"",SUMIFS('Sales Record'!H:H,'Sales Record'!F:F,Sheet4!A255))</f>
        <v/>
      </c>
      <c r="E255" t="str">
        <f>IF(SUMIFS('Sales Return'!G:G,'Sales Return'!F:F,Sheet4!A255)=0,"",SUMIFS('Sales Return'!G:G,'Sales Return'!F:F,Sheet4!A255))</f>
        <v/>
      </c>
      <c r="F255" t="str">
        <f>IF(SUMIFS('Purchase Return'!G:G,'Purchase Return'!F:F,Sheet4!A255)=0,"",SUMIFS('Purchase Return'!G:G,'Purchase Return'!F:F,Sheet4!A255))</f>
        <v/>
      </c>
      <c r="G255" t="str">
        <f t="shared" si="3"/>
        <v/>
      </c>
    </row>
    <row r="256" spans="1:7">
      <c r="A256" t="str">
        <f>IF('Product List'!B256="","",'Product List'!B256)</f>
        <v/>
      </c>
      <c r="B256" t="str">
        <f>IF('Product List'!C256="","",'Product List'!C256)</f>
        <v/>
      </c>
      <c r="C256" t="str">
        <f>IF(SUMIFS('Purchase Record'!G:G,'Purchase Record'!F:F,Sheet4!A256)=0,"",SUMIFS('Purchase Record'!G:G,'Purchase Record'!F:F,Sheet4!A256))</f>
        <v/>
      </c>
      <c r="D256" t="str">
        <f>IF(SUMIFS('Sales Record'!H:H,'Sales Record'!F:F,Sheet4!A256)=0,"",SUMIFS('Sales Record'!H:H,'Sales Record'!F:F,Sheet4!A256))</f>
        <v/>
      </c>
      <c r="E256" t="str">
        <f>IF(SUMIFS('Sales Return'!G:G,'Sales Return'!F:F,Sheet4!A256)=0,"",SUMIFS('Sales Return'!G:G,'Sales Return'!F:F,Sheet4!A256))</f>
        <v/>
      </c>
      <c r="F256" t="str">
        <f>IF(SUMIFS('Purchase Return'!G:G,'Purchase Return'!F:F,Sheet4!A256)=0,"",SUMIFS('Purchase Return'!G:G,'Purchase Return'!F:F,Sheet4!A256))</f>
        <v/>
      </c>
      <c r="G256" t="str">
        <f t="shared" si="3"/>
        <v/>
      </c>
    </row>
    <row r="257" spans="1:7">
      <c r="A257" t="str">
        <f>IF('Product List'!B257="","",'Product List'!B257)</f>
        <v/>
      </c>
      <c r="B257" t="str">
        <f>IF('Product List'!C257="","",'Product List'!C257)</f>
        <v/>
      </c>
      <c r="C257" t="str">
        <f>IF(SUMIFS('Purchase Record'!G:G,'Purchase Record'!F:F,Sheet4!A257)=0,"",SUMIFS('Purchase Record'!G:G,'Purchase Record'!F:F,Sheet4!A257))</f>
        <v/>
      </c>
      <c r="D257" t="str">
        <f>IF(SUMIFS('Sales Record'!H:H,'Sales Record'!F:F,Sheet4!A257)=0,"",SUMIFS('Sales Record'!H:H,'Sales Record'!F:F,Sheet4!A257))</f>
        <v/>
      </c>
      <c r="E257" t="str">
        <f>IF(SUMIFS('Sales Return'!G:G,'Sales Return'!F:F,Sheet4!A257)=0,"",SUMIFS('Sales Return'!G:G,'Sales Return'!F:F,Sheet4!A257))</f>
        <v/>
      </c>
      <c r="F257" t="str">
        <f>IF(SUMIFS('Purchase Return'!G:G,'Purchase Return'!F:F,Sheet4!A257)=0,"",SUMIFS('Purchase Return'!G:G,'Purchase Return'!F:F,Sheet4!A257))</f>
        <v/>
      </c>
      <c r="G257" t="str">
        <f t="shared" si="3"/>
        <v/>
      </c>
    </row>
    <row r="258" spans="1:7">
      <c r="A258" t="str">
        <f>IF('Product List'!B258="","",'Product List'!B258)</f>
        <v/>
      </c>
      <c r="B258" t="str">
        <f>IF('Product List'!C258="","",'Product List'!C258)</f>
        <v/>
      </c>
      <c r="C258" t="str">
        <f>IF(SUMIFS('Purchase Record'!G:G,'Purchase Record'!F:F,Sheet4!A258)=0,"",SUMIFS('Purchase Record'!G:G,'Purchase Record'!F:F,Sheet4!A258))</f>
        <v/>
      </c>
      <c r="D258" t="str">
        <f>IF(SUMIFS('Sales Record'!H:H,'Sales Record'!F:F,Sheet4!A258)=0,"",SUMIFS('Sales Record'!H:H,'Sales Record'!F:F,Sheet4!A258))</f>
        <v/>
      </c>
      <c r="E258" t="str">
        <f>IF(SUMIFS('Sales Return'!G:G,'Sales Return'!F:F,Sheet4!A258)=0,"",SUMIFS('Sales Return'!G:G,'Sales Return'!F:F,Sheet4!A258))</f>
        <v/>
      </c>
      <c r="F258" t="str">
        <f>IF(SUMIFS('Purchase Return'!G:G,'Purchase Return'!F:F,Sheet4!A258)=0,"",SUMIFS('Purchase Return'!G:G,'Purchase Return'!F:F,Sheet4!A258))</f>
        <v/>
      </c>
      <c r="G258" t="str">
        <f t="shared" si="3"/>
        <v/>
      </c>
    </row>
    <row r="259" spans="1:7">
      <c r="A259" t="str">
        <f>IF('Product List'!B259="","",'Product List'!B259)</f>
        <v/>
      </c>
      <c r="B259" t="str">
        <f>IF('Product List'!C259="","",'Product List'!C259)</f>
        <v/>
      </c>
      <c r="C259" t="str">
        <f>IF(SUMIFS('Purchase Record'!G:G,'Purchase Record'!F:F,Sheet4!A259)=0,"",SUMIFS('Purchase Record'!G:G,'Purchase Record'!F:F,Sheet4!A259))</f>
        <v/>
      </c>
      <c r="D259" t="str">
        <f>IF(SUMIFS('Sales Record'!H:H,'Sales Record'!F:F,Sheet4!A259)=0,"",SUMIFS('Sales Record'!H:H,'Sales Record'!F:F,Sheet4!A259))</f>
        <v/>
      </c>
      <c r="E259" t="str">
        <f>IF(SUMIFS('Sales Return'!G:G,'Sales Return'!F:F,Sheet4!A259)=0,"",SUMIFS('Sales Return'!G:G,'Sales Return'!F:F,Sheet4!A259))</f>
        <v/>
      </c>
      <c r="F259" t="str">
        <f>IF(SUMIFS('Purchase Return'!G:G,'Purchase Return'!F:F,Sheet4!A259)=0,"",SUMIFS('Purchase Return'!G:G,'Purchase Return'!F:F,Sheet4!A259))</f>
        <v/>
      </c>
      <c r="G259" t="str">
        <f t="shared" ref="G259:G322" si="4">IF(C259="","",N(C259)-N(D259)+N(E259)-N(F259))</f>
        <v/>
      </c>
    </row>
    <row r="260" spans="1:7">
      <c r="A260" t="str">
        <f>IF('Product List'!B260="","",'Product List'!B260)</f>
        <v/>
      </c>
      <c r="B260" t="str">
        <f>IF('Product List'!C260="","",'Product List'!C260)</f>
        <v/>
      </c>
      <c r="C260" t="str">
        <f>IF(SUMIFS('Purchase Record'!G:G,'Purchase Record'!F:F,Sheet4!A260)=0,"",SUMIFS('Purchase Record'!G:G,'Purchase Record'!F:F,Sheet4!A260))</f>
        <v/>
      </c>
      <c r="D260" t="str">
        <f>IF(SUMIFS('Sales Record'!H:H,'Sales Record'!F:F,Sheet4!A260)=0,"",SUMIFS('Sales Record'!H:H,'Sales Record'!F:F,Sheet4!A260))</f>
        <v/>
      </c>
      <c r="E260" t="str">
        <f>IF(SUMIFS('Sales Return'!G:G,'Sales Return'!F:F,Sheet4!A260)=0,"",SUMIFS('Sales Return'!G:G,'Sales Return'!F:F,Sheet4!A260))</f>
        <v/>
      </c>
      <c r="F260" t="str">
        <f>IF(SUMIFS('Purchase Return'!G:G,'Purchase Return'!F:F,Sheet4!A260)=0,"",SUMIFS('Purchase Return'!G:G,'Purchase Return'!F:F,Sheet4!A260))</f>
        <v/>
      </c>
      <c r="G260" t="str">
        <f t="shared" si="4"/>
        <v/>
      </c>
    </row>
    <row r="261" spans="1:7">
      <c r="A261" t="str">
        <f>IF('Product List'!B261="","",'Product List'!B261)</f>
        <v/>
      </c>
      <c r="B261" t="str">
        <f>IF('Product List'!C261="","",'Product List'!C261)</f>
        <v/>
      </c>
      <c r="C261" t="str">
        <f>IF(SUMIFS('Purchase Record'!G:G,'Purchase Record'!F:F,Sheet4!A261)=0,"",SUMIFS('Purchase Record'!G:G,'Purchase Record'!F:F,Sheet4!A261))</f>
        <v/>
      </c>
      <c r="D261" t="str">
        <f>IF(SUMIFS('Sales Record'!H:H,'Sales Record'!F:F,Sheet4!A261)=0,"",SUMIFS('Sales Record'!H:H,'Sales Record'!F:F,Sheet4!A261))</f>
        <v/>
      </c>
      <c r="E261" t="str">
        <f>IF(SUMIFS('Sales Return'!G:G,'Sales Return'!F:F,Sheet4!A261)=0,"",SUMIFS('Sales Return'!G:G,'Sales Return'!F:F,Sheet4!A261))</f>
        <v/>
      </c>
      <c r="F261" t="str">
        <f>IF(SUMIFS('Purchase Return'!G:G,'Purchase Return'!F:F,Sheet4!A261)=0,"",SUMIFS('Purchase Return'!G:G,'Purchase Return'!F:F,Sheet4!A261))</f>
        <v/>
      </c>
      <c r="G261" t="str">
        <f t="shared" si="4"/>
        <v/>
      </c>
    </row>
    <row r="262" spans="1:7">
      <c r="A262" t="str">
        <f>IF('Product List'!B262="","",'Product List'!B262)</f>
        <v/>
      </c>
      <c r="B262" t="str">
        <f>IF('Product List'!C262="","",'Product List'!C262)</f>
        <v/>
      </c>
      <c r="C262" t="str">
        <f>IF(SUMIFS('Purchase Record'!G:G,'Purchase Record'!F:F,Sheet4!A262)=0,"",SUMIFS('Purchase Record'!G:G,'Purchase Record'!F:F,Sheet4!A262))</f>
        <v/>
      </c>
      <c r="D262" t="str">
        <f>IF(SUMIFS('Sales Record'!H:H,'Sales Record'!F:F,Sheet4!A262)=0,"",SUMIFS('Sales Record'!H:H,'Sales Record'!F:F,Sheet4!A262))</f>
        <v/>
      </c>
      <c r="E262" t="str">
        <f>IF(SUMIFS('Sales Return'!G:G,'Sales Return'!F:F,Sheet4!A262)=0,"",SUMIFS('Sales Return'!G:G,'Sales Return'!F:F,Sheet4!A262))</f>
        <v/>
      </c>
      <c r="F262" t="str">
        <f>IF(SUMIFS('Purchase Return'!G:G,'Purchase Return'!F:F,Sheet4!A262)=0,"",SUMIFS('Purchase Return'!G:G,'Purchase Return'!F:F,Sheet4!A262))</f>
        <v/>
      </c>
      <c r="G262" t="str">
        <f t="shared" si="4"/>
        <v/>
      </c>
    </row>
    <row r="263" spans="1:7">
      <c r="A263" t="str">
        <f>IF('Product List'!B263="","",'Product List'!B263)</f>
        <v/>
      </c>
      <c r="B263" t="str">
        <f>IF('Product List'!C263="","",'Product List'!C263)</f>
        <v/>
      </c>
      <c r="C263" t="str">
        <f>IF(SUMIFS('Purchase Record'!G:G,'Purchase Record'!F:F,Sheet4!A263)=0,"",SUMIFS('Purchase Record'!G:G,'Purchase Record'!F:F,Sheet4!A263))</f>
        <v/>
      </c>
      <c r="D263" t="str">
        <f>IF(SUMIFS('Sales Record'!H:H,'Sales Record'!F:F,Sheet4!A263)=0,"",SUMIFS('Sales Record'!H:H,'Sales Record'!F:F,Sheet4!A263))</f>
        <v/>
      </c>
      <c r="E263" t="str">
        <f>IF(SUMIFS('Sales Return'!G:G,'Sales Return'!F:F,Sheet4!A263)=0,"",SUMIFS('Sales Return'!G:G,'Sales Return'!F:F,Sheet4!A263))</f>
        <v/>
      </c>
      <c r="F263" t="str">
        <f>IF(SUMIFS('Purchase Return'!G:G,'Purchase Return'!F:F,Sheet4!A263)=0,"",SUMIFS('Purchase Return'!G:G,'Purchase Return'!F:F,Sheet4!A263))</f>
        <v/>
      </c>
      <c r="G263" t="str">
        <f t="shared" si="4"/>
        <v/>
      </c>
    </row>
    <row r="264" spans="1:7">
      <c r="A264" t="str">
        <f>IF('Product List'!B264="","",'Product List'!B264)</f>
        <v/>
      </c>
      <c r="B264" t="str">
        <f>IF('Product List'!C264="","",'Product List'!C264)</f>
        <v/>
      </c>
      <c r="C264" t="str">
        <f>IF(SUMIFS('Purchase Record'!G:G,'Purchase Record'!F:F,Sheet4!A264)=0,"",SUMIFS('Purchase Record'!G:G,'Purchase Record'!F:F,Sheet4!A264))</f>
        <v/>
      </c>
      <c r="D264" t="str">
        <f>IF(SUMIFS('Sales Record'!H:H,'Sales Record'!F:F,Sheet4!A264)=0,"",SUMIFS('Sales Record'!H:H,'Sales Record'!F:F,Sheet4!A264))</f>
        <v/>
      </c>
      <c r="E264" t="str">
        <f>IF(SUMIFS('Sales Return'!G:G,'Sales Return'!F:F,Sheet4!A264)=0,"",SUMIFS('Sales Return'!G:G,'Sales Return'!F:F,Sheet4!A264))</f>
        <v/>
      </c>
      <c r="F264" t="str">
        <f>IF(SUMIFS('Purchase Return'!G:G,'Purchase Return'!F:F,Sheet4!A264)=0,"",SUMIFS('Purchase Return'!G:G,'Purchase Return'!F:F,Sheet4!A264))</f>
        <v/>
      </c>
      <c r="G264" t="str">
        <f t="shared" si="4"/>
        <v/>
      </c>
    </row>
    <row r="265" spans="1:7">
      <c r="A265" t="str">
        <f>IF('Product List'!B265="","",'Product List'!B265)</f>
        <v/>
      </c>
      <c r="B265" t="str">
        <f>IF('Product List'!C265="","",'Product List'!C265)</f>
        <v/>
      </c>
      <c r="C265" t="str">
        <f>IF(SUMIFS('Purchase Record'!G:G,'Purchase Record'!F:F,Sheet4!A265)=0,"",SUMIFS('Purchase Record'!G:G,'Purchase Record'!F:F,Sheet4!A265))</f>
        <v/>
      </c>
      <c r="D265" t="str">
        <f>IF(SUMIFS('Sales Record'!H:H,'Sales Record'!F:F,Sheet4!A265)=0,"",SUMIFS('Sales Record'!H:H,'Sales Record'!F:F,Sheet4!A265))</f>
        <v/>
      </c>
      <c r="E265" t="str">
        <f>IF(SUMIFS('Sales Return'!G:G,'Sales Return'!F:F,Sheet4!A265)=0,"",SUMIFS('Sales Return'!G:G,'Sales Return'!F:F,Sheet4!A265))</f>
        <v/>
      </c>
      <c r="F265" t="str">
        <f>IF(SUMIFS('Purchase Return'!G:G,'Purchase Return'!F:F,Sheet4!A265)=0,"",SUMIFS('Purchase Return'!G:G,'Purchase Return'!F:F,Sheet4!A265))</f>
        <v/>
      </c>
      <c r="G265" t="str">
        <f t="shared" si="4"/>
        <v/>
      </c>
    </row>
    <row r="266" spans="1:7">
      <c r="A266" t="str">
        <f>IF('Product List'!B266="","",'Product List'!B266)</f>
        <v/>
      </c>
      <c r="B266" t="str">
        <f>IF('Product List'!C266="","",'Product List'!C266)</f>
        <v/>
      </c>
      <c r="C266" t="str">
        <f>IF(SUMIFS('Purchase Record'!G:G,'Purchase Record'!F:F,Sheet4!A266)=0,"",SUMIFS('Purchase Record'!G:G,'Purchase Record'!F:F,Sheet4!A266))</f>
        <v/>
      </c>
      <c r="D266" t="str">
        <f>IF(SUMIFS('Sales Record'!H:H,'Sales Record'!F:F,Sheet4!A266)=0,"",SUMIFS('Sales Record'!H:H,'Sales Record'!F:F,Sheet4!A266))</f>
        <v/>
      </c>
      <c r="E266" t="str">
        <f>IF(SUMIFS('Sales Return'!G:G,'Sales Return'!F:F,Sheet4!A266)=0,"",SUMIFS('Sales Return'!G:G,'Sales Return'!F:F,Sheet4!A266))</f>
        <v/>
      </c>
      <c r="F266" t="str">
        <f>IF(SUMIFS('Purchase Return'!G:G,'Purchase Return'!F:F,Sheet4!A266)=0,"",SUMIFS('Purchase Return'!G:G,'Purchase Return'!F:F,Sheet4!A266))</f>
        <v/>
      </c>
      <c r="G266" t="str">
        <f t="shared" si="4"/>
        <v/>
      </c>
    </row>
    <row r="267" spans="1:7">
      <c r="A267" t="str">
        <f>IF('Product List'!B267="","",'Product List'!B267)</f>
        <v/>
      </c>
      <c r="B267" t="str">
        <f>IF('Product List'!C267="","",'Product List'!C267)</f>
        <v/>
      </c>
      <c r="C267" t="str">
        <f>IF(SUMIFS('Purchase Record'!G:G,'Purchase Record'!F:F,Sheet4!A267)=0,"",SUMIFS('Purchase Record'!G:G,'Purchase Record'!F:F,Sheet4!A267))</f>
        <v/>
      </c>
      <c r="D267" t="str">
        <f>IF(SUMIFS('Sales Record'!H:H,'Sales Record'!F:F,Sheet4!A267)=0,"",SUMIFS('Sales Record'!H:H,'Sales Record'!F:F,Sheet4!A267))</f>
        <v/>
      </c>
      <c r="E267" t="str">
        <f>IF(SUMIFS('Sales Return'!G:G,'Sales Return'!F:F,Sheet4!A267)=0,"",SUMIFS('Sales Return'!G:G,'Sales Return'!F:F,Sheet4!A267))</f>
        <v/>
      </c>
      <c r="F267" t="str">
        <f>IF(SUMIFS('Purchase Return'!G:G,'Purchase Return'!F:F,Sheet4!A267)=0,"",SUMIFS('Purchase Return'!G:G,'Purchase Return'!F:F,Sheet4!A267))</f>
        <v/>
      </c>
      <c r="G267" t="str">
        <f t="shared" si="4"/>
        <v/>
      </c>
    </row>
    <row r="268" spans="1:7">
      <c r="A268" t="str">
        <f>IF('Product List'!B268="","",'Product List'!B268)</f>
        <v/>
      </c>
      <c r="B268" t="str">
        <f>IF('Product List'!C268="","",'Product List'!C268)</f>
        <v/>
      </c>
      <c r="C268" t="str">
        <f>IF(SUMIFS('Purchase Record'!G:G,'Purchase Record'!F:F,Sheet4!A268)=0,"",SUMIFS('Purchase Record'!G:G,'Purchase Record'!F:F,Sheet4!A268))</f>
        <v/>
      </c>
      <c r="D268" t="str">
        <f>IF(SUMIFS('Sales Record'!H:H,'Sales Record'!F:F,Sheet4!A268)=0,"",SUMIFS('Sales Record'!H:H,'Sales Record'!F:F,Sheet4!A268))</f>
        <v/>
      </c>
      <c r="E268" t="str">
        <f>IF(SUMIFS('Sales Return'!G:G,'Sales Return'!F:F,Sheet4!A268)=0,"",SUMIFS('Sales Return'!G:G,'Sales Return'!F:F,Sheet4!A268))</f>
        <v/>
      </c>
      <c r="F268" t="str">
        <f>IF(SUMIFS('Purchase Return'!G:G,'Purchase Return'!F:F,Sheet4!A268)=0,"",SUMIFS('Purchase Return'!G:G,'Purchase Return'!F:F,Sheet4!A268))</f>
        <v/>
      </c>
      <c r="G268" t="str">
        <f t="shared" si="4"/>
        <v/>
      </c>
    </row>
    <row r="269" spans="1:7">
      <c r="A269" t="str">
        <f>IF('Product List'!B269="","",'Product List'!B269)</f>
        <v/>
      </c>
      <c r="B269" t="str">
        <f>IF('Product List'!C269="","",'Product List'!C269)</f>
        <v/>
      </c>
      <c r="C269" t="str">
        <f>IF(SUMIFS('Purchase Record'!G:G,'Purchase Record'!F:F,Sheet4!A269)=0,"",SUMIFS('Purchase Record'!G:G,'Purchase Record'!F:F,Sheet4!A269))</f>
        <v/>
      </c>
      <c r="D269" t="str">
        <f>IF(SUMIFS('Sales Record'!H:H,'Sales Record'!F:F,Sheet4!A269)=0,"",SUMIFS('Sales Record'!H:H,'Sales Record'!F:F,Sheet4!A269))</f>
        <v/>
      </c>
      <c r="E269" t="str">
        <f>IF(SUMIFS('Sales Return'!G:G,'Sales Return'!F:F,Sheet4!A269)=0,"",SUMIFS('Sales Return'!G:G,'Sales Return'!F:F,Sheet4!A269))</f>
        <v/>
      </c>
      <c r="F269" t="str">
        <f>IF(SUMIFS('Purchase Return'!G:G,'Purchase Return'!F:F,Sheet4!A269)=0,"",SUMIFS('Purchase Return'!G:G,'Purchase Return'!F:F,Sheet4!A269))</f>
        <v/>
      </c>
      <c r="G269" t="str">
        <f t="shared" si="4"/>
        <v/>
      </c>
    </row>
    <row r="270" spans="1:7">
      <c r="A270" t="str">
        <f>IF('Product List'!B270="","",'Product List'!B270)</f>
        <v/>
      </c>
      <c r="B270" t="str">
        <f>IF('Product List'!C270="","",'Product List'!C270)</f>
        <v/>
      </c>
      <c r="C270" t="str">
        <f>IF(SUMIFS('Purchase Record'!G:G,'Purchase Record'!F:F,Sheet4!A270)=0,"",SUMIFS('Purchase Record'!G:G,'Purchase Record'!F:F,Sheet4!A270))</f>
        <v/>
      </c>
      <c r="D270" t="str">
        <f>IF(SUMIFS('Sales Record'!H:H,'Sales Record'!F:F,Sheet4!A270)=0,"",SUMIFS('Sales Record'!H:H,'Sales Record'!F:F,Sheet4!A270))</f>
        <v/>
      </c>
      <c r="E270" t="str">
        <f>IF(SUMIFS('Sales Return'!G:G,'Sales Return'!F:F,Sheet4!A270)=0,"",SUMIFS('Sales Return'!G:G,'Sales Return'!F:F,Sheet4!A270))</f>
        <v/>
      </c>
      <c r="F270" t="str">
        <f>IF(SUMIFS('Purchase Return'!G:G,'Purchase Return'!F:F,Sheet4!A270)=0,"",SUMIFS('Purchase Return'!G:G,'Purchase Return'!F:F,Sheet4!A270))</f>
        <v/>
      </c>
      <c r="G270" t="str">
        <f t="shared" si="4"/>
        <v/>
      </c>
    </row>
    <row r="271" spans="1:7">
      <c r="A271" t="str">
        <f>IF('Product List'!B271="","",'Product List'!B271)</f>
        <v/>
      </c>
      <c r="B271" t="str">
        <f>IF('Product List'!C271="","",'Product List'!C271)</f>
        <v/>
      </c>
      <c r="C271" t="str">
        <f>IF(SUMIFS('Purchase Record'!G:G,'Purchase Record'!F:F,Sheet4!A271)=0,"",SUMIFS('Purchase Record'!G:G,'Purchase Record'!F:F,Sheet4!A271))</f>
        <v/>
      </c>
      <c r="D271" t="str">
        <f>IF(SUMIFS('Sales Record'!H:H,'Sales Record'!F:F,Sheet4!A271)=0,"",SUMIFS('Sales Record'!H:H,'Sales Record'!F:F,Sheet4!A271))</f>
        <v/>
      </c>
      <c r="E271" t="str">
        <f>IF(SUMIFS('Sales Return'!G:G,'Sales Return'!F:F,Sheet4!A271)=0,"",SUMIFS('Sales Return'!G:G,'Sales Return'!F:F,Sheet4!A271))</f>
        <v/>
      </c>
      <c r="F271" t="str">
        <f>IF(SUMIFS('Purchase Return'!G:G,'Purchase Return'!F:F,Sheet4!A271)=0,"",SUMIFS('Purchase Return'!G:G,'Purchase Return'!F:F,Sheet4!A271))</f>
        <v/>
      </c>
      <c r="G271" t="str">
        <f t="shared" si="4"/>
        <v/>
      </c>
    </row>
    <row r="272" spans="1:7">
      <c r="A272" t="str">
        <f>IF('Product List'!B272="","",'Product List'!B272)</f>
        <v/>
      </c>
      <c r="B272" t="str">
        <f>IF('Product List'!C272="","",'Product List'!C272)</f>
        <v/>
      </c>
      <c r="C272" t="str">
        <f>IF(SUMIFS('Purchase Record'!G:G,'Purchase Record'!F:F,Sheet4!A272)=0,"",SUMIFS('Purchase Record'!G:G,'Purchase Record'!F:F,Sheet4!A272))</f>
        <v/>
      </c>
      <c r="D272" t="str">
        <f>IF(SUMIFS('Sales Record'!H:H,'Sales Record'!F:F,Sheet4!A272)=0,"",SUMIFS('Sales Record'!H:H,'Sales Record'!F:F,Sheet4!A272))</f>
        <v/>
      </c>
      <c r="E272" t="str">
        <f>IF(SUMIFS('Sales Return'!G:G,'Sales Return'!F:F,Sheet4!A272)=0,"",SUMIFS('Sales Return'!G:G,'Sales Return'!F:F,Sheet4!A272))</f>
        <v/>
      </c>
      <c r="F272" t="str">
        <f>IF(SUMIFS('Purchase Return'!G:G,'Purchase Return'!F:F,Sheet4!A272)=0,"",SUMIFS('Purchase Return'!G:G,'Purchase Return'!F:F,Sheet4!A272))</f>
        <v/>
      </c>
      <c r="G272" t="str">
        <f t="shared" si="4"/>
        <v/>
      </c>
    </row>
    <row r="273" spans="1:7">
      <c r="A273" t="str">
        <f>IF('Product List'!B273="","",'Product List'!B273)</f>
        <v/>
      </c>
      <c r="B273" t="str">
        <f>IF('Product List'!C273="","",'Product List'!C273)</f>
        <v/>
      </c>
      <c r="C273" t="str">
        <f>IF(SUMIFS('Purchase Record'!G:G,'Purchase Record'!F:F,Sheet4!A273)=0,"",SUMIFS('Purchase Record'!G:G,'Purchase Record'!F:F,Sheet4!A273))</f>
        <v/>
      </c>
      <c r="D273" t="str">
        <f>IF(SUMIFS('Sales Record'!H:H,'Sales Record'!F:F,Sheet4!A273)=0,"",SUMIFS('Sales Record'!H:H,'Sales Record'!F:F,Sheet4!A273))</f>
        <v/>
      </c>
      <c r="E273" t="str">
        <f>IF(SUMIFS('Sales Return'!G:G,'Sales Return'!F:F,Sheet4!A273)=0,"",SUMIFS('Sales Return'!G:G,'Sales Return'!F:F,Sheet4!A273))</f>
        <v/>
      </c>
      <c r="F273" t="str">
        <f>IF(SUMIFS('Purchase Return'!G:G,'Purchase Return'!F:F,Sheet4!A273)=0,"",SUMIFS('Purchase Return'!G:G,'Purchase Return'!F:F,Sheet4!A273))</f>
        <v/>
      </c>
      <c r="G273" t="str">
        <f t="shared" si="4"/>
        <v/>
      </c>
    </row>
    <row r="274" spans="1:7">
      <c r="A274" t="str">
        <f>IF('Product List'!B274="","",'Product List'!B274)</f>
        <v/>
      </c>
      <c r="B274" t="str">
        <f>IF('Product List'!C274="","",'Product List'!C274)</f>
        <v/>
      </c>
      <c r="C274" t="str">
        <f>IF(SUMIFS('Purchase Record'!G:G,'Purchase Record'!F:F,Sheet4!A274)=0,"",SUMIFS('Purchase Record'!G:G,'Purchase Record'!F:F,Sheet4!A274))</f>
        <v/>
      </c>
      <c r="D274" t="str">
        <f>IF(SUMIFS('Sales Record'!H:H,'Sales Record'!F:F,Sheet4!A274)=0,"",SUMIFS('Sales Record'!H:H,'Sales Record'!F:F,Sheet4!A274))</f>
        <v/>
      </c>
      <c r="E274" t="str">
        <f>IF(SUMIFS('Sales Return'!G:G,'Sales Return'!F:F,Sheet4!A274)=0,"",SUMIFS('Sales Return'!G:G,'Sales Return'!F:F,Sheet4!A274))</f>
        <v/>
      </c>
      <c r="F274" t="str">
        <f>IF(SUMIFS('Purchase Return'!G:G,'Purchase Return'!F:F,Sheet4!A274)=0,"",SUMIFS('Purchase Return'!G:G,'Purchase Return'!F:F,Sheet4!A274))</f>
        <v/>
      </c>
      <c r="G274" t="str">
        <f t="shared" si="4"/>
        <v/>
      </c>
    </row>
    <row r="275" spans="1:7">
      <c r="A275" t="str">
        <f>IF('Product List'!B275="","",'Product List'!B275)</f>
        <v/>
      </c>
      <c r="B275" t="str">
        <f>IF('Product List'!C275="","",'Product List'!C275)</f>
        <v/>
      </c>
      <c r="C275" t="str">
        <f>IF(SUMIFS('Purchase Record'!G:G,'Purchase Record'!F:F,Sheet4!A275)=0,"",SUMIFS('Purchase Record'!G:G,'Purchase Record'!F:F,Sheet4!A275))</f>
        <v/>
      </c>
      <c r="D275" t="str">
        <f>IF(SUMIFS('Sales Record'!H:H,'Sales Record'!F:F,Sheet4!A275)=0,"",SUMIFS('Sales Record'!H:H,'Sales Record'!F:F,Sheet4!A275))</f>
        <v/>
      </c>
      <c r="E275" t="str">
        <f>IF(SUMIFS('Sales Return'!G:G,'Sales Return'!F:F,Sheet4!A275)=0,"",SUMIFS('Sales Return'!G:G,'Sales Return'!F:F,Sheet4!A275))</f>
        <v/>
      </c>
      <c r="F275" t="str">
        <f>IF(SUMIFS('Purchase Return'!G:G,'Purchase Return'!F:F,Sheet4!A275)=0,"",SUMIFS('Purchase Return'!G:G,'Purchase Return'!F:F,Sheet4!A275))</f>
        <v/>
      </c>
      <c r="G275" t="str">
        <f t="shared" si="4"/>
        <v/>
      </c>
    </row>
    <row r="276" spans="1:7">
      <c r="A276" t="str">
        <f>IF('Product List'!B276="","",'Product List'!B276)</f>
        <v/>
      </c>
      <c r="B276" t="str">
        <f>IF('Product List'!C276="","",'Product List'!C276)</f>
        <v/>
      </c>
      <c r="C276" t="str">
        <f>IF(SUMIFS('Purchase Record'!G:G,'Purchase Record'!F:F,Sheet4!A276)=0,"",SUMIFS('Purchase Record'!G:G,'Purchase Record'!F:F,Sheet4!A276))</f>
        <v/>
      </c>
      <c r="D276" t="str">
        <f>IF(SUMIFS('Sales Record'!H:H,'Sales Record'!F:F,Sheet4!A276)=0,"",SUMIFS('Sales Record'!H:H,'Sales Record'!F:F,Sheet4!A276))</f>
        <v/>
      </c>
      <c r="E276" t="str">
        <f>IF(SUMIFS('Sales Return'!G:G,'Sales Return'!F:F,Sheet4!A276)=0,"",SUMIFS('Sales Return'!G:G,'Sales Return'!F:F,Sheet4!A276))</f>
        <v/>
      </c>
      <c r="F276" t="str">
        <f>IF(SUMIFS('Purchase Return'!G:G,'Purchase Return'!F:F,Sheet4!A276)=0,"",SUMIFS('Purchase Return'!G:G,'Purchase Return'!F:F,Sheet4!A276))</f>
        <v/>
      </c>
      <c r="G276" t="str">
        <f t="shared" si="4"/>
        <v/>
      </c>
    </row>
    <row r="277" spans="1:7">
      <c r="A277" t="str">
        <f>IF('Product List'!B277="","",'Product List'!B277)</f>
        <v/>
      </c>
      <c r="B277" t="str">
        <f>IF('Product List'!C277="","",'Product List'!C277)</f>
        <v/>
      </c>
      <c r="C277" t="str">
        <f>IF(SUMIFS('Purchase Record'!G:G,'Purchase Record'!F:F,Sheet4!A277)=0,"",SUMIFS('Purchase Record'!G:G,'Purchase Record'!F:F,Sheet4!A277))</f>
        <v/>
      </c>
      <c r="D277" t="str">
        <f>IF(SUMIFS('Sales Record'!H:H,'Sales Record'!F:F,Sheet4!A277)=0,"",SUMIFS('Sales Record'!H:H,'Sales Record'!F:F,Sheet4!A277))</f>
        <v/>
      </c>
      <c r="E277" t="str">
        <f>IF(SUMIFS('Sales Return'!G:G,'Sales Return'!F:F,Sheet4!A277)=0,"",SUMIFS('Sales Return'!G:G,'Sales Return'!F:F,Sheet4!A277))</f>
        <v/>
      </c>
      <c r="F277" t="str">
        <f>IF(SUMIFS('Purchase Return'!G:G,'Purchase Return'!F:F,Sheet4!A277)=0,"",SUMIFS('Purchase Return'!G:G,'Purchase Return'!F:F,Sheet4!A277))</f>
        <v/>
      </c>
      <c r="G277" t="str">
        <f t="shared" si="4"/>
        <v/>
      </c>
    </row>
    <row r="278" spans="1:7">
      <c r="A278" t="str">
        <f>IF('Product List'!B278="","",'Product List'!B278)</f>
        <v/>
      </c>
      <c r="B278" t="str">
        <f>IF('Product List'!C278="","",'Product List'!C278)</f>
        <v/>
      </c>
      <c r="C278" t="str">
        <f>IF(SUMIFS('Purchase Record'!G:G,'Purchase Record'!F:F,Sheet4!A278)=0,"",SUMIFS('Purchase Record'!G:G,'Purchase Record'!F:F,Sheet4!A278))</f>
        <v/>
      </c>
      <c r="D278" t="str">
        <f>IF(SUMIFS('Sales Record'!H:H,'Sales Record'!F:F,Sheet4!A278)=0,"",SUMIFS('Sales Record'!H:H,'Sales Record'!F:F,Sheet4!A278))</f>
        <v/>
      </c>
      <c r="E278" t="str">
        <f>IF(SUMIFS('Sales Return'!G:G,'Sales Return'!F:F,Sheet4!A278)=0,"",SUMIFS('Sales Return'!G:G,'Sales Return'!F:F,Sheet4!A278))</f>
        <v/>
      </c>
      <c r="F278" t="str">
        <f>IF(SUMIFS('Purchase Return'!G:G,'Purchase Return'!F:F,Sheet4!A278)=0,"",SUMIFS('Purchase Return'!G:G,'Purchase Return'!F:F,Sheet4!A278))</f>
        <v/>
      </c>
      <c r="G278" t="str">
        <f t="shared" si="4"/>
        <v/>
      </c>
    </row>
    <row r="279" spans="1:7">
      <c r="A279" t="str">
        <f>IF('Product List'!B279="","",'Product List'!B279)</f>
        <v/>
      </c>
      <c r="B279" t="str">
        <f>IF('Product List'!C279="","",'Product List'!C279)</f>
        <v/>
      </c>
      <c r="C279" t="str">
        <f>IF(SUMIFS('Purchase Record'!G:G,'Purchase Record'!F:F,Sheet4!A279)=0,"",SUMIFS('Purchase Record'!G:G,'Purchase Record'!F:F,Sheet4!A279))</f>
        <v/>
      </c>
      <c r="D279" t="str">
        <f>IF(SUMIFS('Sales Record'!H:H,'Sales Record'!F:F,Sheet4!A279)=0,"",SUMIFS('Sales Record'!H:H,'Sales Record'!F:F,Sheet4!A279))</f>
        <v/>
      </c>
      <c r="E279" t="str">
        <f>IF(SUMIFS('Sales Return'!G:G,'Sales Return'!F:F,Sheet4!A279)=0,"",SUMIFS('Sales Return'!G:G,'Sales Return'!F:F,Sheet4!A279))</f>
        <v/>
      </c>
      <c r="F279" t="str">
        <f>IF(SUMIFS('Purchase Return'!G:G,'Purchase Return'!F:F,Sheet4!A279)=0,"",SUMIFS('Purchase Return'!G:G,'Purchase Return'!F:F,Sheet4!A279))</f>
        <v/>
      </c>
      <c r="G279" t="str">
        <f t="shared" si="4"/>
        <v/>
      </c>
    </row>
    <row r="280" spans="1:7">
      <c r="A280" t="str">
        <f>IF('Product List'!B280="","",'Product List'!B280)</f>
        <v/>
      </c>
      <c r="B280" t="str">
        <f>IF('Product List'!C280="","",'Product List'!C280)</f>
        <v/>
      </c>
      <c r="C280" t="str">
        <f>IF(SUMIFS('Purchase Record'!G:G,'Purchase Record'!F:F,Sheet4!A280)=0,"",SUMIFS('Purchase Record'!G:G,'Purchase Record'!F:F,Sheet4!A280))</f>
        <v/>
      </c>
      <c r="D280" t="str">
        <f>IF(SUMIFS('Sales Record'!H:H,'Sales Record'!F:F,Sheet4!A280)=0,"",SUMIFS('Sales Record'!H:H,'Sales Record'!F:F,Sheet4!A280))</f>
        <v/>
      </c>
      <c r="E280" t="str">
        <f>IF(SUMIFS('Sales Return'!G:G,'Sales Return'!F:F,Sheet4!A280)=0,"",SUMIFS('Sales Return'!G:G,'Sales Return'!F:F,Sheet4!A280))</f>
        <v/>
      </c>
      <c r="F280" t="str">
        <f>IF(SUMIFS('Purchase Return'!G:G,'Purchase Return'!F:F,Sheet4!A280)=0,"",SUMIFS('Purchase Return'!G:G,'Purchase Return'!F:F,Sheet4!A280))</f>
        <v/>
      </c>
      <c r="G280" t="str">
        <f t="shared" si="4"/>
        <v/>
      </c>
    </row>
    <row r="281" spans="1:7">
      <c r="A281" t="str">
        <f>IF('Product List'!B281="","",'Product List'!B281)</f>
        <v/>
      </c>
      <c r="B281" t="str">
        <f>IF('Product List'!C281="","",'Product List'!C281)</f>
        <v/>
      </c>
      <c r="C281" t="str">
        <f>IF(SUMIFS('Purchase Record'!G:G,'Purchase Record'!F:F,Sheet4!A281)=0,"",SUMIFS('Purchase Record'!G:G,'Purchase Record'!F:F,Sheet4!A281))</f>
        <v/>
      </c>
      <c r="D281" t="str">
        <f>IF(SUMIFS('Sales Record'!H:H,'Sales Record'!F:F,Sheet4!A281)=0,"",SUMIFS('Sales Record'!H:H,'Sales Record'!F:F,Sheet4!A281))</f>
        <v/>
      </c>
      <c r="E281" t="str">
        <f>IF(SUMIFS('Sales Return'!G:G,'Sales Return'!F:F,Sheet4!A281)=0,"",SUMIFS('Sales Return'!G:G,'Sales Return'!F:F,Sheet4!A281))</f>
        <v/>
      </c>
      <c r="F281" t="str">
        <f>IF(SUMIFS('Purchase Return'!G:G,'Purchase Return'!F:F,Sheet4!A281)=0,"",SUMIFS('Purchase Return'!G:G,'Purchase Return'!F:F,Sheet4!A281))</f>
        <v/>
      </c>
      <c r="G281" t="str">
        <f t="shared" si="4"/>
        <v/>
      </c>
    </row>
    <row r="282" spans="1:7">
      <c r="A282" t="str">
        <f>IF('Product List'!B282="","",'Product List'!B282)</f>
        <v/>
      </c>
      <c r="B282" t="str">
        <f>IF('Product List'!C282="","",'Product List'!C282)</f>
        <v/>
      </c>
      <c r="C282" t="str">
        <f>IF(SUMIFS('Purchase Record'!G:G,'Purchase Record'!F:F,Sheet4!A282)=0,"",SUMIFS('Purchase Record'!G:G,'Purchase Record'!F:F,Sheet4!A282))</f>
        <v/>
      </c>
      <c r="D282" t="str">
        <f>IF(SUMIFS('Sales Record'!H:H,'Sales Record'!F:F,Sheet4!A282)=0,"",SUMIFS('Sales Record'!H:H,'Sales Record'!F:F,Sheet4!A282))</f>
        <v/>
      </c>
      <c r="E282" t="str">
        <f>IF(SUMIFS('Sales Return'!G:G,'Sales Return'!F:F,Sheet4!A282)=0,"",SUMIFS('Sales Return'!G:G,'Sales Return'!F:F,Sheet4!A282))</f>
        <v/>
      </c>
      <c r="F282" t="str">
        <f>IF(SUMIFS('Purchase Return'!G:G,'Purchase Return'!F:F,Sheet4!A282)=0,"",SUMIFS('Purchase Return'!G:G,'Purchase Return'!F:F,Sheet4!A282))</f>
        <v/>
      </c>
      <c r="G282" t="str">
        <f t="shared" si="4"/>
        <v/>
      </c>
    </row>
    <row r="283" spans="1:7">
      <c r="A283" t="str">
        <f>IF('Product List'!B283="","",'Product List'!B283)</f>
        <v/>
      </c>
      <c r="B283" t="str">
        <f>IF('Product List'!C283="","",'Product List'!C283)</f>
        <v/>
      </c>
      <c r="C283" t="str">
        <f>IF(SUMIFS('Purchase Record'!G:G,'Purchase Record'!F:F,Sheet4!A283)=0,"",SUMIFS('Purchase Record'!G:G,'Purchase Record'!F:F,Sheet4!A283))</f>
        <v/>
      </c>
      <c r="D283" t="str">
        <f>IF(SUMIFS('Sales Record'!H:H,'Sales Record'!F:F,Sheet4!A283)=0,"",SUMIFS('Sales Record'!H:H,'Sales Record'!F:F,Sheet4!A283))</f>
        <v/>
      </c>
      <c r="E283" t="str">
        <f>IF(SUMIFS('Sales Return'!G:G,'Sales Return'!F:F,Sheet4!A283)=0,"",SUMIFS('Sales Return'!G:G,'Sales Return'!F:F,Sheet4!A283))</f>
        <v/>
      </c>
      <c r="F283" t="str">
        <f>IF(SUMIFS('Purchase Return'!G:G,'Purchase Return'!F:F,Sheet4!A283)=0,"",SUMIFS('Purchase Return'!G:G,'Purchase Return'!F:F,Sheet4!A283))</f>
        <v/>
      </c>
      <c r="G283" t="str">
        <f t="shared" si="4"/>
        <v/>
      </c>
    </row>
    <row r="284" spans="1:7">
      <c r="A284" t="str">
        <f>IF('Product List'!B284="","",'Product List'!B284)</f>
        <v/>
      </c>
      <c r="B284" t="str">
        <f>IF('Product List'!C284="","",'Product List'!C284)</f>
        <v/>
      </c>
      <c r="C284" t="str">
        <f>IF(SUMIFS('Purchase Record'!G:G,'Purchase Record'!F:F,Sheet4!A284)=0,"",SUMIFS('Purchase Record'!G:G,'Purchase Record'!F:F,Sheet4!A284))</f>
        <v/>
      </c>
      <c r="D284" t="str">
        <f>IF(SUMIFS('Sales Record'!H:H,'Sales Record'!F:F,Sheet4!A284)=0,"",SUMIFS('Sales Record'!H:H,'Sales Record'!F:F,Sheet4!A284))</f>
        <v/>
      </c>
      <c r="E284" t="str">
        <f>IF(SUMIFS('Sales Return'!G:G,'Sales Return'!F:F,Sheet4!A284)=0,"",SUMIFS('Sales Return'!G:G,'Sales Return'!F:F,Sheet4!A284))</f>
        <v/>
      </c>
      <c r="F284" t="str">
        <f>IF(SUMIFS('Purchase Return'!G:G,'Purchase Return'!F:F,Sheet4!A284)=0,"",SUMIFS('Purchase Return'!G:G,'Purchase Return'!F:F,Sheet4!A284))</f>
        <v/>
      </c>
      <c r="G284" t="str">
        <f t="shared" si="4"/>
        <v/>
      </c>
    </row>
    <row r="285" spans="1:7">
      <c r="A285" t="str">
        <f>IF('Product List'!B285="","",'Product List'!B285)</f>
        <v/>
      </c>
      <c r="B285" t="str">
        <f>IF('Product List'!C285="","",'Product List'!C285)</f>
        <v/>
      </c>
      <c r="C285" t="str">
        <f>IF(SUMIFS('Purchase Record'!G:G,'Purchase Record'!F:F,Sheet4!A285)=0,"",SUMIFS('Purchase Record'!G:G,'Purchase Record'!F:F,Sheet4!A285))</f>
        <v/>
      </c>
      <c r="D285" t="str">
        <f>IF(SUMIFS('Sales Record'!H:H,'Sales Record'!F:F,Sheet4!A285)=0,"",SUMIFS('Sales Record'!H:H,'Sales Record'!F:F,Sheet4!A285))</f>
        <v/>
      </c>
      <c r="E285" t="str">
        <f>IF(SUMIFS('Sales Return'!G:G,'Sales Return'!F:F,Sheet4!A285)=0,"",SUMIFS('Sales Return'!G:G,'Sales Return'!F:F,Sheet4!A285))</f>
        <v/>
      </c>
      <c r="F285" t="str">
        <f>IF(SUMIFS('Purchase Return'!G:G,'Purchase Return'!F:F,Sheet4!A285)=0,"",SUMIFS('Purchase Return'!G:G,'Purchase Return'!F:F,Sheet4!A285))</f>
        <v/>
      </c>
      <c r="G285" t="str">
        <f t="shared" si="4"/>
        <v/>
      </c>
    </row>
    <row r="286" spans="1:7">
      <c r="A286" t="str">
        <f>IF('Product List'!B286="","",'Product List'!B286)</f>
        <v/>
      </c>
      <c r="B286" t="str">
        <f>IF('Product List'!C286="","",'Product List'!C286)</f>
        <v/>
      </c>
      <c r="C286" t="str">
        <f>IF(SUMIFS('Purchase Record'!G:G,'Purchase Record'!F:F,Sheet4!A286)=0,"",SUMIFS('Purchase Record'!G:G,'Purchase Record'!F:F,Sheet4!A286))</f>
        <v/>
      </c>
      <c r="D286" t="str">
        <f>IF(SUMIFS('Sales Record'!H:H,'Sales Record'!F:F,Sheet4!A286)=0,"",SUMIFS('Sales Record'!H:H,'Sales Record'!F:F,Sheet4!A286))</f>
        <v/>
      </c>
      <c r="E286" t="str">
        <f>IF(SUMIFS('Sales Return'!G:G,'Sales Return'!F:F,Sheet4!A286)=0,"",SUMIFS('Sales Return'!G:G,'Sales Return'!F:F,Sheet4!A286))</f>
        <v/>
      </c>
      <c r="F286" t="str">
        <f>IF(SUMIFS('Purchase Return'!G:G,'Purchase Return'!F:F,Sheet4!A286)=0,"",SUMIFS('Purchase Return'!G:G,'Purchase Return'!F:F,Sheet4!A286))</f>
        <v/>
      </c>
      <c r="G286" t="str">
        <f t="shared" si="4"/>
        <v/>
      </c>
    </row>
    <row r="287" spans="1:7">
      <c r="A287" t="str">
        <f>IF('Product List'!B287="","",'Product List'!B287)</f>
        <v/>
      </c>
      <c r="B287" t="str">
        <f>IF('Product List'!C287="","",'Product List'!C287)</f>
        <v/>
      </c>
      <c r="C287" t="str">
        <f>IF(SUMIFS('Purchase Record'!G:G,'Purchase Record'!F:F,Sheet4!A287)=0,"",SUMIFS('Purchase Record'!G:G,'Purchase Record'!F:F,Sheet4!A287))</f>
        <v/>
      </c>
      <c r="D287" t="str">
        <f>IF(SUMIFS('Sales Record'!H:H,'Sales Record'!F:F,Sheet4!A287)=0,"",SUMIFS('Sales Record'!H:H,'Sales Record'!F:F,Sheet4!A287))</f>
        <v/>
      </c>
      <c r="E287" t="str">
        <f>IF(SUMIFS('Sales Return'!G:G,'Sales Return'!F:F,Sheet4!A287)=0,"",SUMIFS('Sales Return'!G:G,'Sales Return'!F:F,Sheet4!A287))</f>
        <v/>
      </c>
      <c r="F287" t="str">
        <f>IF(SUMIFS('Purchase Return'!G:G,'Purchase Return'!F:F,Sheet4!A287)=0,"",SUMIFS('Purchase Return'!G:G,'Purchase Return'!F:F,Sheet4!A287))</f>
        <v/>
      </c>
      <c r="G287" t="str">
        <f t="shared" si="4"/>
        <v/>
      </c>
    </row>
    <row r="288" spans="1:7">
      <c r="A288" t="str">
        <f>IF('Product List'!B288="","",'Product List'!B288)</f>
        <v/>
      </c>
      <c r="B288" t="str">
        <f>IF('Product List'!C288="","",'Product List'!C288)</f>
        <v/>
      </c>
      <c r="C288" t="str">
        <f>IF(SUMIFS('Purchase Record'!G:G,'Purchase Record'!F:F,Sheet4!A288)=0,"",SUMIFS('Purchase Record'!G:G,'Purchase Record'!F:F,Sheet4!A288))</f>
        <v/>
      </c>
      <c r="D288" t="str">
        <f>IF(SUMIFS('Sales Record'!H:H,'Sales Record'!F:F,Sheet4!A288)=0,"",SUMIFS('Sales Record'!H:H,'Sales Record'!F:F,Sheet4!A288))</f>
        <v/>
      </c>
      <c r="E288" t="str">
        <f>IF(SUMIFS('Sales Return'!G:G,'Sales Return'!F:F,Sheet4!A288)=0,"",SUMIFS('Sales Return'!G:G,'Sales Return'!F:F,Sheet4!A288))</f>
        <v/>
      </c>
      <c r="F288" t="str">
        <f>IF(SUMIFS('Purchase Return'!G:G,'Purchase Return'!F:F,Sheet4!A288)=0,"",SUMIFS('Purchase Return'!G:G,'Purchase Return'!F:F,Sheet4!A288))</f>
        <v/>
      </c>
      <c r="G288" t="str">
        <f t="shared" si="4"/>
        <v/>
      </c>
    </row>
    <row r="289" spans="1:7">
      <c r="A289" t="str">
        <f>IF('Product List'!B289="","",'Product List'!B289)</f>
        <v/>
      </c>
      <c r="B289" t="str">
        <f>IF('Product List'!C289="","",'Product List'!C289)</f>
        <v/>
      </c>
      <c r="C289" t="str">
        <f>IF(SUMIFS('Purchase Record'!G:G,'Purchase Record'!F:F,Sheet4!A289)=0,"",SUMIFS('Purchase Record'!G:G,'Purchase Record'!F:F,Sheet4!A289))</f>
        <v/>
      </c>
      <c r="D289" t="str">
        <f>IF(SUMIFS('Sales Record'!H:H,'Sales Record'!F:F,Sheet4!A289)=0,"",SUMIFS('Sales Record'!H:H,'Sales Record'!F:F,Sheet4!A289))</f>
        <v/>
      </c>
      <c r="E289" t="str">
        <f>IF(SUMIFS('Sales Return'!G:G,'Sales Return'!F:F,Sheet4!A289)=0,"",SUMIFS('Sales Return'!G:G,'Sales Return'!F:F,Sheet4!A289))</f>
        <v/>
      </c>
      <c r="F289" t="str">
        <f>IF(SUMIFS('Purchase Return'!G:G,'Purchase Return'!F:F,Sheet4!A289)=0,"",SUMIFS('Purchase Return'!G:G,'Purchase Return'!F:F,Sheet4!A289))</f>
        <v/>
      </c>
      <c r="G289" t="str">
        <f t="shared" si="4"/>
        <v/>
      </c>
    </row>
    <row r="290" spans="1:7">
      <c r="A290" t="str">
        <f>IF('Product List'!B290="","",'Product List'!B290)</f>
        <v/>
      </c>
      <c r="B290" t="str">
        <f>IF('Product List'!C290="","",'Product List'!C290)</f>
        <v/>
      </c>
      <c r="C290" t="str">
        <f>IF(SUMIFS('Purchase Record'!G:G,'Purchase Record'!F:F,Sheet4!A290)=0,"",SUMIFS('Purchase Record'!G:G,'Purchase Record'!F:F,Sheet4!A290))</f>
        <v/>
      </c>
      <c r="D290" t="str">
        <f>IF(SUMIFS('Sales Record'!H:H,'Sales Record'!F:F,Sheet4!A290)=0,"",SUMIFS('Sales Record'!H:H,'Sales Record'!F:F,Sheet4!A290))</f>
        <v/>
      </c>
      <c r="E290" t="str">
        <f>IF(SUMIFS('Sales Return'!G:G,'Sales Return'!F:F,Sheet4!A290)=0,"",SUMIFS('Sales Return'!G:G,'Sales Return'!F:F,Sheet4!A290))</f>
        <v/>
      </c>
      <c r="F290" t="str">
        <f>IF(SUMIFS('Purchase Return'!G:G,'Purchase Return'!F:F,Sheet4!A290)=0,"",SUMIFS('Purchase Return'!G:G,'Purchase Return'!F:F,Sheet4!A290))</f>
        <v/>
      </c>
      <c r="G290" t="str">
        <f t="shared" si="4"/>
        <v/>
      </c>
    </row>
    <row r="291" spans="1:7">
      <c r="A291" t="str">
        <f>IF('Product List'!B291="","",'Product List'!B291)</f>
        <v/>
      </c>
      <c r="B291" t="str">
        <f>IF('Product List'!C291="","",'Product List'!C291)</f>
        <v/>
      </c>
      <c r="C291" t="str">
        <f>IF(SUMIFS('Purchase Record'!G:G,'Purchase Record'!F:F,Sheet4!A291)=0,"",SUMIFS('Purchase Record'!G:G,'Purchase Record'!F:F,Sheet4!A291))</f>
        <v/>
      </c>
      <c r="D291" t="str">
        <f>IF(SUMIFS('Sales Record'!H:H,'Sales Record'!F:F,Sheet4!A291)=0,"",SUMIFS('Sales Record'!H:H,'Sales Record'!F:F,Sheet4!A291))</f>
        <v/>
      </c>
      <c r="E291" t="str">
        <f>IF(SUMIFS('Sales Return'!G:G,'Sales Return'!F:F,Sheet4!A291)=0,"",SUMIFS('Sales Return'!G:G,'Sales Return'!F:F,Sheet4!A291))</f>
        <v/>
      </c>
      <c r="F291" t="str">
        <f>IF(SUMIFS('Purchase Return'!G:G,'Purchase Return'!F:F,Sheet4!A291)=0,"",SUMIFS('Purchase Return'!G:G,'Purchase Return'!F:F,Sheet4!A291))</f>
        <v/>
      </c>
      <c r="G291" t="str">
        <f t="shared" si="4"/>
        <v/>
      </c>
    </row>
    <row r="292" spans="1:7">
      <c r="A292" t="str">
        <f>IF('Product List'!B292="","",'Product List'!B292)</f>
        <v/>
      </c>
      <c r="B292" t="str">
        <f>IF('Product List'!C292="","",'Product List'!C292)</f>
        <v/>
      </c>
      <c r="C292" t="str">
        <f>IF(SUMIFS('Purchase Record'!G:G,'Purchase Record'!F:F,Sheet4!A292)=0,"",SUMIFS('Purchase Record'!G:G,'Purchase Record'!F:F,Sheet4!A292))</f>
        <v/>
      </c>
      <c r="D292" t="str">
        <f>IF(SUMIFS('Sales Record'!H:H,'Sales Record'!F:F,Sheet4!A292)=0,"",SUMIFS('Sales Record'!H:H,'Sales Record'!F:F,Sheet4!A292))</f>
        <v/>
      </c>
      <c r="E292" t="str">
        <f>IF(SUMIFS('Sales Return'!G:G,'Sales Return'!F:F,Sheet4!A292)=0,"",SUMIFS('Sales Return'!G:G,'Sales Return'!F:F,Sheet4!A292))</f>
        <v/>
      </c>
      <c r="F292" t="str">
        <f>IF(SUMIFS('Purchase Return'!G:G,'Purchase Return'!F:F,Sheet4!A292)=0,"",SUMIFS('Purchase Return'!G:G,'Purchase Return'!F:F,Sheet4!A292))</f>
        <v/>
      </c>
      <c r="G292" t="str">
        <f t="shared" si="4"/>
        <v/>
      </c>
    </row>
    <row r="293" spans="1:7">
      <c r="A293" t="str">
        <f>IF('Product List'!B293="","",'Product List'!B293)</f>
        <v/>
      </c>
      <c r="B293" t="str">
        <f>IF('Product List'!C293="","",'Product List'!C293)</f>
        <v/>
      </c>
      <c r="C293" t="str">
        <f>IF(SUMIFS('Purchase Record'!G:G,'Purchase Record'!F:F,Sheet4!A293)=0,"",SUMIFS('Purchase Record'!G:G,'Purchase Record'!F:F,Sheet4!A293))</f>
        <v/>
      </c>
      <c r="D293" t="str">
        <f>IF(SUMIFS('Sales Record'!H:H,'Sales Record'!F:F,Sheet4!A293)=0,"",SUMIFS('Sales Record'!H:H,'Sales Record'!F:F,Sheet4!A293))</f>
        <v/>
      </c>
      <c r="E293" t="str">
        <f>IF(SUMIFS('Sales Return'!G:G,'Sales Return'!F:F,Sheet4!A293)=0,"",SUMIFS('Sales Return'!G:G,'Sales Return'!F:F,Sheet4!A293))</f>
        <v/>
      </c>
      <c r="F293" t="str">
        <f>IF(SUMIFS('Purchase Return'!G:G,'Purchase Return'!F:F,Sheet4!A293)=0,"",SUMIFS('Purchase Return'!G:G,'Purchase Return'!F:F,Sheet4!A293))</f>
        <v/>
      </c>
      <c r="G293" t="str">
        <f t="shared" si="4"/>
        <v/>
      </c>
    </row>
    <row r="294" spans="1:7">
      <c r="A294" t="str">
        <f>IF('Product List'!B294="","",'Product List'!B294)</f>
        <v/>
      </c>
      <c r="B294" t="str">
        <f>IF('Product List'!C294="","",'Product List'!C294)</f>
        <v/>
      </c>
      <c r="C294" t="str">
        <f>IF(SUMIFS('Purchase Record'!G:G,'Purchase Record'!F:F,Sheet4!A294)=0,"",SUMIFS('Purchase Record'!G:G,'Purchase Record'!F:F,Sheet4!A294))</f>
        <v/>
      </c>
      <c r="D294" t="str">
        <f>IF(SUMIFS('Sales Record'!H:H,'Sales Record'!F:F,Sheet4!A294)=0,"",SUMIFS('Sales Record'!H:H,'Sales Record'!F:F,Sheet4!A294))</f>
        <v/>
      </c>
      <c r="E294" t="str">
        <f>IF(SUMIFS('Sales Return'!G:G,'Sales Return'!F:F,Sheet4!A294)=0,"",SUMIFS('Sales Return'!G:G,'Sales Return'!F:F,Sheet4!A294))</f>
        <v/>
      </c>
      <c r="F294" t="str">
        <f>IF(SUMIFS('Purchase Return'!G:G,'Purchase Return'!F:F,Sheet4!A294)=0,"",SUMIFS('Purchase Return'!G:G,'Purchase Return'!F:F,Sheet4!A294))</f>
        <v/>
      </c>
      <c r="G294" t="str">
        <f t="shared" si="4"/>
        <v/>
      </c>
    </row>
    <row r="295" spans="1:7">
      <c r="A295" t="str">
        <f>IF('Product List'!B295="","",'Product List'!B295)</f>
        <v/>
      </c>
      <c r="B295" t="str">
        <f>IF('Product List'!C295="","",'Product List'!C295)</f>
        <v/>
      </c>
      <c r="C295" t="str">
        <f>IF(SUMIFS('Purchase Record'!G:G,'Purchase Record'!F:F,Sheet4!A295)=0,"",SUMIFS('Purchase Record'!G:G,'Purchase Record'!F:F,Sheet4!A295))</f>
        <v/>
      </c>
      <c r="D295" t="str">
        <f>IF(SUMIFS('Sales Record'!H:H,'Sales Record'!F:F,Sheet4!A295)=0,"",SUMIFS('Sales Record'!H:H,'Sales Record'!F:F,Sheet4!A295))</f>
        <v/>
      </c>
      <c r="E295" t="str">
        <f>IF(SUMIFS('Sales Return'!G:G,'Sales Return'!F:F,Sheet4!A295)=0,"",SUMIFS('Sales Return'!G:G,'Sales Return'!F:F,Sheet4!A295))</f>
        <v/>
      </c>
      <c r="F295" t="str">
        <f>IF(SUMIFS('Purchase Return'!G:G,'Purchase Return'!F:F,Sheet4!A295)=0,"",SUMIFS('Purchase Return'!G:G,'Purchase Return'!F:F,Sheet4!A295))</f>
        <v/>
      </c>
      <c r="G295" t="str">
        <f t="shared" si="4"/>
        <v/>
      </c>
    </row>
    <row r="296" spans="1:7">
      <c r="A296" t="str">
        <f>IF('Product List'!B296="","",'Product List'!B296)</f>
        <v/>
      </c>
      <c r="B296" t="str">
        <f>IF('Product List'!C296="","",'Product List'!C296)</f>
        <v/>
      </c>
      <c r="C296" t="str">
        <f>IF(SUMIFS('Purchase Record'!G:G,'Purchase Record'!F:F,Sheet4!A296)=0,"",SUMIFS('Purchase Record'!G:G,'Purchase Record'!F:F,Sheet4!A296))</f>
        <v/>
      </c>
      <c r="D296" t="str">
        <f>IF(SUMIFS('Sales Record'!H:H,'Sales Record'!F:F,Sheet4!A296)=0,"",SUMIFS('Sales Record'!H:H,'Sales Record'!F:F,Sheet4!A296))</f>
        <v/>
      </c>
      <c r="E296" t="str">
        <f>IF(SUMIFS('Sales Return'!G:G,'Sales Return'!F:F,Sheet4!A296)=0,"",SUMIFS('Sales Return'!G:G,'Sales Return'!F:F,Sheet4!A296))</f>
        <v/>
      </c>
      <c r="F296" t="str">
        <f>IF(SUMIFS('Purchase Return'!G:G,'Purchase Return'!F:F,Sheet4!A296)=0,"",SUMIFS('Purchase Return'!G:G,'Purchase Return'!F:F,Sheet4!A296))</f>
        <v/>
      </c>
      <c r="G296" t="str">
        <f t="shared" si="4"/>
        <v/>
      </c>
    </row>
    <row r="297" spans="1:7">
      <c r="A297" t="str">
        <f>IF('Product List'!B297="","",'Product List'!B297)</f>
        <v/>
      </c>
      <c r="B297" t="str">
        <f>IF('Product List'!C297="","",'Product List'!C297)</f>
        <v/>
      </c>
      <c r="C297" t="str">
        <f>IF(SUMIFS('Purchase Record'!G:G,'Purchase Record'!F:F,Sheet4!A297)=0,"",SUMIFS('Purchase Record'!G:G,'Purchase Record'!F:F,Sheet4!A297))</f>
        <v/>
      </c>
      <c r="D297" t="str">
        <f>IF(SUMIFS('Sales Record'!H:H,'Sales Record'!F:F,Sheet4!A297)=0,"",SUMIFS('Sales Record'!H:H,'Sales Record'!F:F,Sheet4!A297))</f>
        <v/>
      </c>
      <c r="E297" t="str">
        <f>IF(SUMIFS('Sales Return'!G:G,'Sales Return'!F:F,Sheet4!A297)=0,"",SUMIFS('Sales Return'!G:G,'Sales Return'!F:F,Sheet4!A297))</f>
        <v/>
      </c>
      <c r="F297" t="str">
        <f>IF(SUMIFS('Purchase Return'!G:G,'Purchase Return'!F:F,Sheet4!A297)=0,"",SUMIFS('Purchase Return'!G:G,'Purchase Return'!F:F,Sheet4!A297))</f>
        <v/>
      </c>
      <c r="G297" t="str">
        <f t="shared" si="4"/>
        <v/>
      </c>
    </row>
    <row r="298" spans="1:7">
      <c r="A298" t="str">
        <f>IF('Product List'!B298="","",'Product List'!B298)</f>
        <v/>
      </c>
      <c r="B298" t="str">
        <f>IF('Product List'!C298="","",'Product List'!C298)</f>
        <v/>
      </c>
      <c r="C298" t="str">
        <f>IF(SUMIFS('Purchase Record'!G:G,'Purchase Record'!F:F,Sheet4!A298)=0,"",SUMIFS('Purchase Record'!G:G,'Purchase Record'!F:F,Sheet4!A298))</f>
        <v/>
      </c>
      <c r="D298" t="str">
        <f>IF(SUMIFS('Sales Record'!H:H,'Sales Record'!F:F,Sheet4!A298)=0,"",SUMIFS('Sales Record'!H:H,'Sales Record'!F:F,Sheet4!A298))</f>
        <v/>
      </c>
      <c r="E298" t="str">
        <f>IF(SUMIFS('Sales Return'!G:G,'Sales Return'!F:F,Sheet4!A298)=0,"",SUMIFS('Sales Return'!G:G,'Sales Return'!F:F,Sheet4!A298))</f>
        <v/>
      </c>
      <c r="F298" t="str">
        <f>IF(SUMIFS('Purchase Return'!G:G,'Purchase Return'!F:F,Sheet4!A298)=0,"",SUMIFS('Purchase Return'!G:G,'Purchase Return'!F:F,Sheet4!A298))</f>
        <v/>
      </c>
      <c r="G298" t="str">
        <f t="shared" si="4"/>
        <v/>
      </c>
    </row>
    <row r="299" spans="1:7">
      <c r="A299" t="str">
        <f>IF('Product List'!B299="","",'Product List'!B299)</f>
        <v/>
      </c>
      <c r="B299" t="str">
        <f>IF('Product List'!C299="","",'Product List'!C299)</f>
        <v/>
      </c>
      <c r="C299" t="str">
        <f>IF(SUMIFS('Purchase Record'!G:G,'Purchase Record'!F:F,Sheet4!A299)=0,"",SUMIFS('Purchase Record'!G:G,'Purchase Record'!F:F,Sheet4!A299))</f>
        <v/>
      </c>
      <c r="D299" t="str">
        <f>IF(SUMIFS('Sales Record'!H:H,'Sales Record'!F:F,Sheet4!A299)=0,"",SUMIFS('Sales Record'!H:H,'Sales Record'!F:F,Sheet4!A299))</f>
        <v/>
      </c>
      <c r="E299" t="str">
        <f>IF(SUMIFS('Sales Return'!G:G,'Sales Return'!F:F,Sheet4!A299)=0,"",SUMIFS('Sales Return'!G:G,'Sales Return'!F:F,Sheet4!A299))</f>
        <v/>
      </c>
      <c r="F299" t="str">
        <f>IF(SUMIFS('Purchase Return'!G:G,'Purchase Return'!F:F,Sheet4!A299)=0,"",SUMIFS('Purchase Return'!G:G,'Purchase Return'!F:F,Sheet4!A299))</f>
        <v/>
      </c>
      <c r="G299" t="str">
        <f t="shared" si="4"/>
        <v/>
      </c>
    </row>
    <row r="300" spans="1:7">
      <c r="A300" t="str">
        <f>IF('Product List'!B300="","",'Product List'!B300)</f>
        <v/>
      </c>
      <c r="B300" t="str">
        <f>IF('Product List'!C300="","",'Product List'!C300)</f>
        <v/>
      </c>
      <c r="C300" t="str">
        <f>IF(SUMIFS('Purchase Record'!G:G,'Purchase Record'!F:F,Sheet4!A300)=0,"",SUMIFS('Purchase Record'!G:G,'Purchase Record'!F:F,Sheet4!A300))</f>
        <v/>
      </c>
      <c r="D300" t="str">
        <f>IF(SUMIFS('Sales Record'!H:H,'Sales Record'!F:F,Sheet4!A300)=0,"",SUMIFS('Sales Record'!H:H,'Sales Record'!F:F,Sheet4!A300))</f>
        <v/>
      </c>
      <c r="E300" t="str">
        <f>IF(SUMIFS('Sales Return'!G:G,'Sales Return'!F:F,Sheet4!A300)=0,"",SUMIFS('Sales Return'!G:G,'Sales Return'!F:F,Sheet4!A300))</f>
        <v/>
      </c>
      <c r="F300" t="str">
        <f>IF(SUMIFS('Purchase Return'!G:G,'Purchase Return'!F:F,Sheet4!A300)=0,"",SUMIFS('Purchase Return'!G:G,'Purchase Return'!F:F,Sheet4!A300))</f>
        <v/>
      </c>
      <c r="G300" t="str">
        <f t="shared" si="4"/>
        <v/>
      </c>
    </row>
    <row r="301" spans="1:7">
      <c r="A301" t="str">
        <f>IF('Product List'!B301="","",'Product List'!B301)</f>
        <v/>
      </c>
      <c r="B301" t="str">
        <f>IF('Product List'!C301="","",'Product List'!C301)</f>
        <v/>
      </c>
      <c r="C301" t="str">
        <f>IF(SUMIFS('Purchase Record'!G:G,'Purchase Record'!F:F,Sheet4!A301)=0,"",SUMIFS('Purchase Record'!G:G,'Purchase Record'!F:F,Sheet4!A301))</f>
        <v/>
      </c>
      <c r="D301" t="str">
        <f>IF(SUMIFS('Sales Record'!H:H,'Sales Record'!F:F,Sheet4!A301)=0,"",SUMIFS('Sales Record'!H:H,'Sales Record'!F:F,Sheet4!A301))</f>
        <v/>
      </c>
      <c r="E301" t="str">
        <f>IF(SUMIFS('Sales Return'!G:G,'Sales Return'!F:F,Sheet4!A301)=0,"",SUMIFS('Sales Return'!G:G,'Sales Return'!F:F,Sheet4!A301))</f>
        <v/>
      </c>
      <c r="F301" t="str">
        <f>IF(SUMIFS('Purchase Return'!G:G,'Purchase Return'!F:F,Sheet4!A301)=0,"",SUMIFS('Purchase Return'!G:G,'Purchase Return'!F:F,Sheet4!A301))</f>
        <v/>
      </c>
      <c r="G301" t="str">
        <f t="shared" si="4"/>
        <v/>
      </c>
    </row>
    <row r="302" spans="1:7">
      <c r="A302" t="str">
        <f>IF('Product List'!B302="","",'Product List'!B302)</f>
        <v/>
      </c>
      <c r="B302" t="str">
        <f>IF('Product List'!C302="","",'Product List'!C302)</f>
        <v/>
      </c>
      <c r="C302" t="str">
        <f>IF(SUMIFS('Purchase Record'!G:G,'Purchase Record'!F:F,Sheet4!A302)=0,"",SUMIFS('Purchase Record'!G:G,'Purchase Record'!F:F,Sheet4!A302))</f>
        <v/>
      </c>
      <c r="D302" t="str">
        <f>IF(SUMIFS('Sales Record'!H:H,'Sales Record'!F:F,Sheet4!A302)=0,"",SUMIFS('Sales Record'!H:H,'Sales Record'!F:F,Sheet4!A302))</f>
        <v/>
      </c>
      <c r="E302" t="str">
        <f>IF(SUMIFS('Sales Return'!G:G,'Sales Return'!F:F,Sheet4!A302)=0,"",SUMIFS('Sales Return'!G:G,'Sales Return'!F:F,Sheet4!A302))</f>
        <v/>
      </c>
      <c r="F302" t="str">
        <f>IF(SUMIFS('Purchase Return'!G:G,'Purchase Return'!F:F,Sheet4!A302)=0,"",SUMIFS('Purchase Return'!G:G,'Purchase Return'!F:F,Sheet4!A302))</f>
        <v/>
      </c>
      <c r="G302" t="str">
        <f t="shared" si="4"/>
        <v/>
      </c>
    </row>
    <row r="303" spans="1:7">
      <c r="A303" t="str">
        <f>IF('Product List'!B303="","",'Product List'!B303)</f>
        <v/>
      </c>
      <c r="B303" t="str">
        <f>IF('Product List'!C303="","",'Product List'!C303)</f>
        <v/>
      </c>
      <c r="C303" t="str">
        <f>IF(SUMIFS('Purchase Record'!G:G,'Purchase Record'!F:F,Sheet4!A303)=0,"",SUMIFS('Purchase Record'!G:G,'Purchase Record'!F:F,Sheet4!A303))</f>
        <v/>
      </c>
      <c r="D303" t="str">
        <f>IF(SUMIFS('Sales Record'!H:H,'Sales Record'!F:F,Sheet4!A303)=0,"",SUMIFS('Sales Record'!H:H,'Sales Record'!F:F,Sheet4!A303))</f>
        <v/>
      </c>
      <c r="E303" t="str">
        <f>IF(SUMIFS('Sales Return'!G:G,'Sales Return'!F:F,Sheet4!A303)=0,"",SUMIFS('Sales Return'!G:G,'Sales Return'!F:F,Sheet4!A303))</f>
        <v/>
      </c>
      <c r="F303" t="str">
        <f>IF(SUMIFS('Purchase Return'!G:G,'Purchase Return'!F:F,Sheet4!A303)=0,"",SUMIFS('Purchase Return'!G:G,'Purchase Return'!F:F,Sheet4!A303))</f>
        <v/>
      </c>
      <c r="G303" t="str">
        <f t="shared" si="4"/>
        <v/>
      </c>
    </row>
    <row r="304" spans="1:7">
      <c r="A304" t="str">
        <f>IF('Product List'!B304="","",'Product List'!B304)</f>
        <v/>
      </c>
      <c r="B304" t="str">
        <f>IF('Product List'!C304="","",'Product List'!C304)</f>
        <v/>
      </c>
      <c r="C304" t="str">
        <f>IF(SUMIFS('Purchase Record'!G:G,'Purchase Record'!F:F,Sheet4!A304)=0,"",SUMIFS('Purchase Record'!G:G,'Purchase Record'!F:F,Sheet4!A304))</f>
        <v/>
      </c>
      <c r="D304" t="str">
        <f>IF(SUMIFS('Sales Record'!H:H,'Sales Record'!F:F,Sheet4!A304)=0,"",SUMIFS('Sales Record'!H:H,'Sales Record'!F:F,Sheet4!A304))</f>
        <v/>
      </c>
      <c r="E304" t="str">
        <f>IF(SUMIFS('Sales Return'!G:G,'Sales Return'!F:F,Sheet4!A304)=0,"",SUMIFS('Sales Return'!G:G,'Sales Return'!F:F,Sheet4!A304))</f>
        <v/>
      </c>
      <c r="F304" t="str">
        <f>IF(SUMIFS('Purchase Return'!G:G,'Purchase Return'!F:F,Sheet4!A304)=0,"",SUMIFS('Purchase Return'!G:G,'Purchase Return'!F:F,Sheet4!A304))</f>
        <v/>
      </c>
      <c r="G304" t="str">
        <f t="shared" si="4"/>
        <v/>
      </c>
    </row>
    <row r="305" spans="1:7">
      <c r="A305" t="str">
        <f>IF('Product List'!B305="","",'Product List'!B305)</f>
        <v/>
      </c>
      <c r="B305" t="str">
        <f>IF('Product List'!C305="","",'Product List'!C305)</f>
        <v/>
      </c>
      <c r="C305" t="str">
        <f>IF(SUMIFS('Purchase Record'!G:G,'Purchase Record'!F:F,Sheet4!A305)=0,"",SUMIFS('Purchase Record'!G:G,'Purchase Record'!F:F,Sheet4!A305))</f>
        <v/>
      </c>
      <c r="D305" t="str">
        <f>IF(SUMIFS('Sales Record'!H:H,'Sales Record'!F:F,Sheet4!A305)=0,"",SUMIFS('Sales Record'!H:H,'Sales Record'!F:F,Sheet4!A305))</f>
        <v/>
      </c>
      <c r="E305" t="str">
        <f>IF(SUMIFS('Sales Return'!G:G,'Sales Return'!F:F,Sheet4!A305)=0,"",SUMIFS('Sales Return'!G:G,'Sales Return'!F:F,Sheet4!A305))</f>
        <v/>
      </c>
      <c r="F305" t="str">
        <f>IF(SUMIFS('Purchase Return'!G:G,'Purchase Return'!F:F,Sheet4!A305)=0,"",SUMIFS('Purchase Return'!G:G,'Purchase Return'!F:F,Sheet4!A305))</f>
        <v/>
      </c>
      <c r="G305" t="str">
        <f t="shared" si="4"/>
        <v/>
      </c>
    </row>
    <row r="306" spans="1:7">
      <c r="A306" t="str">
        <f>IF('Product List'!B306="","",'Product List'!B306)</f>
        <v/>
      </c>
      <c r="B306" t="str">
        <f>IF('Product List'!C306="","",'Product List'!C306)</f>
        <v/>
      </c>
      <c r="C306" t="str">
        <f>IF(SUMIFS('Purchase Record'!G:G,'Purchase Record'!F:F,Sheet4!A306)=0,"",SUMIFS('Purchase Record'!G:G,'Purchase Record'!F:F,Sheet4!A306))</f>
        <v/>
      </c>
      <c r="D306" t="str">
        <f>IF(SUMIFS('Sales Record'!H:H,'Sales Record'!F:F,Sheet4!A306)=0,"",SUMIFS('Sales Record'!H:H,'Sales Record'!F:F,Sheet4!A306))</f>
        <v/>
      </c>
      <c r="E306" t="str">
        <f>IF(SUMIFS('Sales Return'!G:G,'Sales Return'!F:F,Sheet4!A306)=0,"",SUMIFS('Sales Return'!G:G,'Sales Return'!F:F,Sheet4!A306))</f>
        <v/>
      </c>
      <c r="F306" t="str">
        <f>IF(SUMIFS('Purchase Return'!G:G,'Purchase Return'!F:F,Sheet4!A306)=0,"",SUMIFS('Purchase Return'!G:G,'Purchase Return'!F:F,Sheet4!A306))</f>
        <v/>
      </c>
      <c r="G306" t="str">
        <f t="shared" si="4"/>
        <v/>
      </c>
    </row>
    <row r="307" spans="1:7">
      <c r="A307" t="str">
        <f>IF('Product List'!B307="","",'Product List'!B307)</f>
        <v/>
      </c>
      <c r="B307" t="str">
        <f>IF('Product List'!C307="","",'Product List'!C307)</f>
        <v/>
      </c>
      <c r="C307" t="str">
        <f>IF(SUMIFS('Purchase Record'!G:G,'Purchase Record'!F:F,Sheet4!A307)=0,"",SUMIFS('Purchase Record'!G:G,'Purchase Record'!F:F,Sheet4!A307))</f>
        <v/>
      </c>
      <c r="D307" t="str">
        <f>IF(SUMIFS('Sales Record'!H:H,'Sales Record'!F:F,Sheet4!A307)=0,"",SUMIFS('Sales Record'!H:H,'Sales Record'!F:F,Sheet4!A307))</f>
        <v/>
      </c>
      <c r="E307" t="str">
        <f>IF(SUMIFS('Sales Return'!G:G,'Sales Return'!F:F,Sheet4!A307)=0,"",SUMIFS('Sales Return'!G:G,'Sales Return'!F:F,Sheet4!A307))</f>
        <v/>
      </c>
      <c r="F307" t="str">
        <f>IF(SUMIFS('Purchase Return'!G:G,'Purchase Return'!F:F,Sheet4!A307)=0,"",SUMIFS('Purchase Return'!G:G,'Purchase Return'!F:F,Sheet4!A307))</f>
        <v/>
      </c>
      <c r="G307" t="str">
        <f t="shared" si="4"/>
        <v/>
      </c>
    </row>
    <row r="308" spans="1:7">
      <c r="A308" t="str">
        <f>IF('Product List'!B308="","",'Product List'!B308)</f>
        <v/>
      </c>
      <c r="B308" t="str">
        <f>IF('Product List'!C308="","",'Product List'!C308)</f>
        <v/>
      </c>
      <c r="C308" t="str">
        <f>IF(SUMIFS('Purchase Record'!G:G,'Purchase Record'!F:F,Sheet4!A308)=0,"",SUMIFS('Purchase Record'!G:G,'Purchase Record'!F:F,Sheet4!A308))</f>
        <v/>
      </c>
      <c r="D308" t="str">
        <f>IF(SUMIFS('Sales Record'!H:H,'Sales Record'!F:F,Sheet4!A308)=0,"",SUMIFS('Sales Record'!H:H,'Sales Record'!F:F,Sheet4!A308))</f>
        <v/>
      </c>
      <c r="E308" t="str">
        <f>IF(SUMIFS('Sales Return'!G:G,'Sales Return'!F:F,Sheet4!A308)=0,"",SUMIFS('Sales Return'!G:G,'Sales Return'!F:F,Sheet4!A308))</f>
        <v/>
      </c>
      <c r="F308" t="str">
        <f>IF(SUMIFS('Purchase Return'!G:G,'Purchase Return'!F:F,Sheet4!A308)=0,"",SUMIFS('Purchase Return'!G:G,'Purchase Return'!F:F,Sheet4!A308))</f>
        <v/>
      </c>
      <c r="G308" t="str">
        <f t="shared" si="4"/>
        <v/>
      </c>
    </row>
    <row r="309" spans="1:7">
      <c r="A309" t="str">
        <f>IF('Product List'!B309="","",'Product List'!B309)</f>
        <v/>
      </c>
      <c r="B309" t="str">
        <f>IF('Product List'!C309="","",'Product List'!C309)</f>
        <v/>
      </c>
      <c r="C309" t="str">
        <f>IF(SUMIFS('Purchase Record'!G:G,'Purchase Record'!F:F,Sheet4!A309)=0,"",SUMIFS('Purchase Record'!G:G,'Purchase Record'!F:F,Sheet4!A309))</f>
        <v/>
      </c>
      <c r="D309" t="str">
        <f>IF(SUMIFS('Sales Record'!H:H,'Sales Record'!F:F,Sheet4!A309)=0,"",SUMIFS('Sales Record'!H:H,'Sales Record'!F:F,Sheet4!A309))</f>
        <v/>
      </c>
      <c r="E309" t="str">
        <f>IF(SUMIFS('Sales Return'!G:G,'Sales Return'!F:F,Sheet4!A309)=0,"",SUMIFS('Sales Return'!G:G,'Sales Return'!F:F,Sheet4!A309))</f>
        <v/>
      </c>
      <c r="F309" t="str">
        <f>IF(SUMIFS('Purchase Return'!G:G,'Purchase Return'!F:F,Sheet4!A309)=0,"",SUMIFS('Purchase Return'!G:G,'Purchase Return'!F:F,Sheet4!A309))</f>
        <v/>
      </c>
      <c r="G309" t="str">
        <f t="shared" si="4"/>
        <v/>
      </c>
    </row>
    <row r="310" spans="1:7">
      <c r="A310" t="str">
        <f>IF('Product List'!B310="","",'Product List'!B310)</f>
        <v/>
      </c>
      <c r="B310" t="str">
        <f>IF('Product List'!C310="","",'Product List'!C310)</f>
        <v/>
      </c>
      <c r="C310" t="str">
        <f>IF(SUMIFS('Purchase Record'!G:G,'Purchase Record'!F:F,Sheet4!A310)=0,"",SUMIFS('Purchase Record'!G:G,'Purchase Record'!F:F,Sheet4!A310))</f>
        <v/>
      </c>
      <c r="D310" t="str">
        <f>IF(SUMIFS('Sales Record'!H:H,'Sales Record'!F:F,Sheet4!A310)=0,"",SUMIFS('Sales Record'!H:H,'Sales Record'!F:F,Sheet4!A310))</f>
        <v/>
      </c>
      <c r="E310" t="str">
        <f>IF(SUMIFS('Sales Return'!G:G,'Sales Return'!F:F,Sheet4!A310)=0,"",SUMIFS('Sales Return'!G:G,'Sales Return'!F:F,Sheet4!A310))</f>
        <v/>
      </c>
      <c r="F310" t="str">
        <f>IF(SUMIFS('Purchase Return'!G:G,'Purchase Return'!F:F,Sheet4!A310)=0,"",SUMIFS('Purchase Return'!G:G,'Purchase Return'!F:F,Sheet4!A310))</f>
        <v/>
      </c>
      <c r="G310" t="str">
        <f t="shared" si="4"/>
        <v/>
      </c>
    </row>
    <row r="311" spans="1:7">
      <c r="A311" t="str">
        <f>IF('Product List'!B311="","",'Product List'!B311)</f>
        <v/>
      </c>
      <c r="B311" t="str">
        <f>IF('Product List'!C311="","",'Product List'!C311)</f>
        <v/>
      </c>
      <c r="C311" t="str">
        <f>IF(SUMIFS('Purchase Record'!G:G,'Purchase Record'!F:F,Sheet4!A311)=0,"",SUMIFS('Purchase Record'!G:G,'Purchase Record'!F:F,Sheet4!A311))</f>
        <v/>
      </c>
      <c r="D311" t="str">
        <f>IF(SUMIFS('Sales Record'!H:H,'Sales Record'!F:F,Sheet4!A311)=0,"",SUMIFS('Sales Record'!H:H,'Sales Record'!F:F,Sheet4!A311))</f>
        <v/>
      </c>
      <c r="E311" t="str">
        <f>IF(SUMIFS('Sales Return'!G:G,'Sales Return'!F:F,Sheet4!A311)=0,"",SUMIFS('Sales Return'!G:G,'Sales Return'!F:F,Sheet4!A311))</f>
        <v/>
      </c>
      <c r="F311" t="str">
        <f>IF(SUMIFS('Purchase Return'!G:G,'Purchase Return'!F:F,Sheet4!A311)=0,"",SUMIFS('Purchase Return'!G:G,'Purchase Return'!F:F,Sheet4!A311))</f>
        <v/>
      </c>
      <c r="G311" t="str">
        <f t="shared" si="4"/>
        <v/>
      </c>
    </row>
    <row r="312" spans="1:7">
      <c r="A312" t="str">
        <f>IF('Product List'!B312="","",'Product List'!B312)</f>
        <v/>
      </c>
      <c r="B312" t="str">
        <f>IF('Product List'!C312="","",'Product List'!C312)</f>
        <v/>
      </c>
      <c r="C312" t="str">
        <f>IF(SUMIFS('Purchase Record'!G:G,'Purchase Record'!F:F,Sheet4!A312)=0,"",SUMIFS('Purchase Record'!G:G,'Purchase Record'!F:F,Sheet4!A312))</f>
        <v/>
      </c>
      <c r="D312" t="str">
        <f>IF(SUMIFS('Sales Record'!H:H,'Sales Record'!F:F,Sheet4!A312)=0,"",SUMIFS('Sales Record'!H:H,'Sales Record'!F:F,Sheet4!A312))</f>
        <v/>
      </c>
      <c r="E312" t="str">
        <f>IF(SUMIFS('Sales Return'!G:G,'Sales Return'!F:F,Sheet4!A312)=0,"",SUMIFS('Sales Return'!G:G,'Sales Return'!F:F,Sheet4!A312))</f>
        <v/>
      </c>
      <c r="F312" t="str">
        <f>IF(SUMIFS('Purchase Return'!G:G,'Purchase Return'!F:F,Sheet4!A312)=0,"",SUMIFS('Purchase Return'!G:G,'Purchase Return'!F:F,Sheet4!A312))</f>
        <v/>
      </c>
      <c r="G312" t="str">
        <f t="shared" si="4"/>
        <v/>
      </c>
    </row>
    <row r="313" spans="1:7">
      <c r="A313" t="str">
        <f>IF('Product List'!B313="","",'Product List'!B313)</f>
        <v/>
      </c>
      <c r="B313" t="str">
        <f>IF('Product List'!C313="","",'Product List'!C313)</f>
        <v/>
      </c>
      <c r="C313" t="str">
        <f>IF(SUMIFS('Purchase Record'!G:G,'Purchase Record'!F:F,Sheet4!A313)=0,"",SUMIFS('Purchase Record'!G:G,'Purchase Record'!F:F,Sheet4!A313))</f>
        <v/>
      </c>
      <c r="D313" t="str">
        <f>IF(SUMIFS('Sales Record'!H:H,'Sales Record'!F:F,Sheet4!A313)=0,"",SUMIFS('Sales Record'!H:H,'Sales Record'!F:F,Sheet4!A313))</f>
        <v/>
      </c>
      <c r="E313" t="str">
        <f>IF(SUMIFS('Sales Return'!G:G,'Sales Return'!F:F,Sheet4!A313)=0,"",SUMIFS('Sales Return'!G:G,'Sales Return'!F:F,Sheet4!A313))</f>
        <v/>
      </c>
      <c r="F313" t="str">
        <f>IF(SUMIFS('Purchase Return'!G:G,'Purchase Return'!F:F,Sheet4!A313)=0,"",SUMIFS('Purchase Return'!G:G,'Purchase Return'!F:F,Sheet4!A313))</f>
        <v/>
      </c>
      <c r="G313" t="str">
        <f t="shared" si="4"/>
        <v/>
      </c>
    </row>
    <row r="314" spans="1:7">
      <c r="A314" t="str">
        <f>IF('Product List'!B314="","",'Product List'!B314)</f>
        <v/>
      </c>
      <c r="B314" t="str">
        <f>IF('Product List'!C314="","",'Product List'!C314)</f>
        <v/>
      </c>
      <c r="C314" t="str">
        <f>IF(SUMIFS('Purchase Record'!G:G,'Purchase Record'!F:F,Sheet4!A314)=0,"",SUMIFS('Purchase Record'!G:G,'Purchase Record'!F:F,Sheet4!A314))</f>
        <v/>
      </c>
      <c r="D314" t="str">
        <f>IF(SUMIFS('Sales Record'!H:H,'Sales Record'!F:F,Sheet4!A314)=0,"",SUMIFS('Sales Record'!H:H,'Sales Record'!F:F,Sheet4!A314))</f>
        <v/>
      </c>
      <c r="E314" t="str">
        <f>IF(SUMIFS('Sales Return'!G:G,'Sales Return'!F:F,Sheet4!A314)=0,"",SUMIFS('Sales Return'!G:G,'Sales Return'!F:F,Sheet4!A314))</f>
        <v/>
      </c>
      <c r="F314" t="str">
        <f>IF(SUMIFS('Purchase Return'!G:G,'Purchase Return'!F:F,Sheet4!A314)=0,"",SUMIFS('Purchase Return'!G:G,'Purchase Return'!F:F,Sheet4!A314))</f>
        <v/>
      </c>
      <c r="G314" t="str">
        <f t="shared" si="4"/>
        <v/>
      </c>
    </row>
    <row r="315" spans="1:7">
      <c r="A315" t="str">
        <f>IF('Product List'!B315="","",'Product List'!B315)</f>
        <v/>
      </c>
      <c r="B315" t="str">
        <f>IF('Product List'!C315="","",'Product List'!C315)</f>
        <v/>
      </c>
      <c r="C315" t="str">
        <f>IF(SUMIFS('Purchase Record'!G:G,'Purchase Record'!F:F,Sheet4!A315)=0,"",SUMIFS('Purchase Record'!G:G,'Purchase Record'!F:F,Sheet4!A315))</f>
        <v/>
      </c>
      <c r="D315" t="str">
        <f>IF(SUMIFS('Sales Record'!H:H,'Sales Record'!F:F,Sheet4!A315)=0,"",SUMIFS('Sales Record'!H:H,'Sales Record'!F:F,Sheet4!A315))</f>
        <v/>
      </c>
      <c r="E315" t="str">
        <f>IF(SUMIFS('Sales Return'!G:G,'Sales Return'!F:F,Sheet4!A315)=0,"",SUMIFS('Sales Return'!G:G,'Sales Return'!F:F,Sheet4!A315))</f>
        <v/>
      </c>
      <c r="F315" t="str">
        <f>IF(SUMIFS('Purchase Return'!G:G,'Purchase Return'!F:F,Sheet4!A315)=0,"",SUMIFS('Purchase Return'!G:G,'Purchase Return'!F:F,Sheet4!A315))</f>
        <v/>
      </c>
      <c r="G315" t="str">
        <f t="shared" si="4"/>
        <v/>
      </c>
    </row>
    <row r="316" spans="1:7">
      <c r="A316" t="str">
        <f>IF('Product List'!B316="","",'Product List'!B316)</f>
        <v/>
      </c>
      <c r="B316" t="str">
        <f>IF('Product List'!C316="","",'Product List'!C316)</f>
        <v/>
      </c>
      <c r="C316" t="str">
        <f>IF(SUMIFS('Purchase Record'!G:G,'Purchase Record'!F:F,Sheet4!A316)=0,"",SUMIFS('Purchase Record'!G:G,'Purchase Record'!F:F,Sheet4!A316))</f>
        <v/>
      </c>
      <c r="D316" t="str">
        <f>IF(SUMIFS('Sales Record'!H:H,'Sales Record'!F:F,Sheet4!A316)=0,"",SUMIFS('Sales Record'!H:H,'Sales Record'!F:F,Sheet4!A316))</f>
        <v/>
      </c>
      <c r="E316" t="str">
        <f>IF(SUMIFS('Sales Return'!G:G,'Sales Return'!F:F,Sheet4!A316)=0,"",SUMIFS('Sales Return'!G:G,'Sales Return'!F:F,Sheet4!A316))</f>
        <v/>
      </c>
      <c r="F316" t="str">
        <f>IF(SUMIFS('Purchase Return'!G:G,'Purchase Return'!F:F,Sheet4!A316)=0,"",SUMIFS('Purchase Return'!G:G,'Purchase Return'!F:F,Sheet4!A316))</f>
        <v/>
      </c>
      <c r="G316" t="str">
        <f t="shared" si="4"/>
        <v/>
      </c>
    </row>
    <row r="317" spans="1:7">
      <c r="A317" t="str">
        <f>IF('Product List'!B317="","",'Product List'!B317)</f>
        <v/>
      </c>
      <c r="B317" t="str">
        <f>IF('Product List'!C317="","",'Product List'!C317)</f>
        <v/>
      </c>
      <c r="C317" t="str">
        <f>IF(SUMIFS('Purchase Record'!G:G,'Purchase Record'!F:F,Sheet4!A317)=0,"",SUMIFS('Purchase Record'!G:G,'Purchase Record'!F:F,Sheet4!A317))</f>
        <v/>
      </c>
      <c r="D317" t="str">
        <f>IF(SUMIFS('Sales Record'!H:H,'Sales Record'!F:F,Sheet4!A317)=0,"",SUMIFS('Sales Record'!H:H,'Sales Record'!F:F,Sheet4!A317))</f>
        <v/>
      </c>
      <c r="E317" t="str">
        <f>IF(SUMIFS('Sales Return'!G:G,'Sales Return'!F:F,Sheet4!A317)=0,"",SUMIFS('Sales Return'!G:G,'Sales Return'!F:F,Sheet4!A317))</f>
        <v/>
      </c>
      <c r="F317" t="str">
        <f>IF(SUMIFS('Purchase Return'!G:G,'Purchase Return'!F:F,Sheet4!A317)=0,"",SUMIFS('Purchase Return'!G:G,'Purchase Return'!F:F,Sheet4!A317))</f>
        <v/>
      </c>
      <c r="G317" t="str">
        <f t="shared" si="4"/>
        <v/>
      </c>
    </row>
    <row r="318" spans="1:7">
      <c r="A318" t="str">
        <f>IF('Product List'!B318="","",'Product List'!B318)</f>
        <v/>
      </c>
      <c r="B318" t="str">
        <f>IF('Product List'!C318="","",'Product List'!C318)</f>
        <v/>
      </c>
      <c r="C318" t="str">
        <f>IF(SUMIFS('Purchase Record'!G:G,'Purchase Record'!F:F,Sheet4!A318)=0,"",SUMIFS('Purchase Record'!G:G,'Purchase Record'!F:F,Sheet4!A318))</f>
        <v/>
      </c>
      <c r="D318" t="str">
        <f>IF(SUMIFS('Sales Record'!H:H,'Sales Record'!F:F,Sheet4!A318)=0,"",SUMIFS('Sales Record'!H:H,'Sales Record'!F:F,Sheet4!A318))</f>
        <v/>
      </c>
      <c r="E318" t="str">
        <f>IF(SUMIFS('Sales Return'!G:G,'Sales Return'!F:F,Sheet4!A318)=0,"",SUMIFS('Sales Return'!G:G,'Sales Return'!F:F,Sheet4!A318))</f>
        <v/>
      </c>
      <c r="F318" t="str">
        <f>IF(SUMIFS('Purchase Return'!G:G,'Purchase Return'!F:F,Sheet4!A318)=0,"",SUMIFS('Purchase Return'!G:G,'Purchase Return'!F:F,Sheet4!A318))</f>
        <v/>
      </c>
      <c r="G318" t="str">
        <f t="shared" si="4"/>
        <v/>
      </c>
    </row>
    <row r="319" spans="1:7">
      <c r="A319" t="str">
        <f>IF('Product List'!B319="","",'Product List'!B319)</f>
        <v/>
      </c>
      <c r="B319" t="str">
        <f>IF('Product List'!C319="","",'Product List'!C319)</f>
        <v/>
      </c>
      <c r="C319" t="str">
        <f>IF(SUMIFS('Purchase Record'!G:G,'Purchase Record'!F:F,Sheet4!A319)=0,"",SUMIFS('Purchase Record'!G:G,'Purchase Record'!F:F,Sheet4!A319))</f>
        <v/>
      </c>
      <c r="D319" t="str">
        <f>IF(SUMIFS('Sales Record'!H:H,'Sales Record'!F:F,Sheet4!A319)=0,"",SUMIFS('Sales Record'!H:H,'Sales Record'!F:F,Sheet4!A319))</f>
        <v/>
      </c>
      <c r="E319" t="str">
        <f>IF(SUMIFS('Sales Return'!G:G,'Sales Return'!F:F,Sheet4!A319)=0,"",SUMIFS('Sales Return'!G:G,'Sales Return'!F:F,Sheet4!A319))</f>
        <v/>
      </c>
      <c r="F319" t="str">
        <f>IF(SUMIFS('Purchase Return'!G:G,'Purchase Return'!F:F,Sheet4!A319)=0,"",SUMIFS('Purchase Return'!G:G,'Purchase Return'!F:F,Sheet4!A319))</f>
        <v/>
      </c>
      <c r="G319" t="str">
        <f t="shared" si="4"/>
        <v/>
      </c>
    </row>
    <row r="320" spans="1:7">
      <c r="A320" t="str">
        <f>IF('Product List'!B320="","",'Product List'!B320)</f>
        <v/>
      </c>
      <c r="B320" t="str">
        <f>IF('Product List'!C320="","",'Product List'!C320)</f>
        <v/>
      </c>
      <c r="C320" t="str">
        <f>IF(SUMIFS('Purchase Record'!G:G,'Purchase Record'!F:F,Sheet4!A320)=0,"",SUMIFS('Purchase Record'!G:G,'Purchase Record'!F:F,Sheet4!A320))</f>
        <v/>
      </c>
      <c r="D320" t="str">
        <f>IF(SUMIFS('Sales Record'!H:H,'Sales Record'!F:F,Sheet4!A320)=0,"",SUMIFS('Sales Record'!H:H,'Sales Record'!F:F,Sheet4!A320))</f>
        <v/>
      </c>
      <c r="E320" t="str">
        <f>IF(SUMIFS('Sales Return'!G:G,'Sales Return'!F:F,Sheet4!A320)=0,"",SUMIFS('Sales Return'!G:G,'Sales Return'!F:F,Sheet4!A320))</f>
        <v/>
      </c>
      <c r="F320" t="str">
        <f>IF(SUMIFS('Purchase Return'!G:G,'Purchase Return'!F:F,Sheet4!A320)=0,"",SUMIFS('Purchase Return'!G:G,'Purchase Return'!F:F,Sheet4!A320))</f>
        <v/>
      </c>
      <c r="G320" t="str">
        <f t="shared" si="4"/>
        <v/>
      </c>
    </row>
    <row r="321" spans="1:7">
      <c r="A321" t="str">
        <f>IF('Product List'!B321="","",'Product List'!B321)</f>
        <v/>
      </c>
      <c r="B321" t="str">
        <f>IF('Product List'!C321="","",'Product List'!C321)</f>
        <v/>
      </c>
      <c r="C321" t="str">
        <f>IF(SUMIFS('Purchase Record'!G:G,'Purchase Record'!F:F,Sheet4!A321)=0,"",SUMIFS('Purchase Record'!G:G,'Purchase Record'!F:F,Sheet4!A321))</f>
        <v/>
      </c>
      <c r="D321" t="str">
        <f>IF(SUMIFS('Sales Record'!H:H,'Sales Record'!F:F,Sheet4!A321)=0,"",SUMIFS('Sales Record'!H:H,'Sales Record'!F:F,Sheet4!A321))</f>
        <v/>
      </c>
      <c r="E321" t="str">
        <f>IF(SUMIFS('Sales Return'!G:G,'Sales Return'!F:F,Sheet4!A321)=0,"",SUMIFS('Sales Return'!G:G,'Sales Return'!F:F,Sheet4!A321))</f>
        <v/>
      </c>
      <c r="F321" t="str">
        <f>IF(SUMIFS('Purchase Return'!G:G,'Purchase Return'!F:F,Sheet4!A321)=0,"",SUMIFS('Purchase Return'!G:G,'Purchase Return'!F:F,Sheet4!A321))</f>
        <v/>
      </c>
      <c r="G321" t="str">
        <f t="shared" si="4"/>
        <v/>
      </c>
    </row>
    <row r="322" spans="1:7">
      <c r="A322" t="str">
        <f>IF('Product List'!B322="","",'Product List'!B322)</f>
        <v/>
      </c>
      <c r="B322" t="str">
        <f>IF('Product List'!C322="","",'Product List'!C322)</f>
        <v/>
      </c>
      <c r="C322" t="str">
        <f>IF(SUMIFS('Purchase Record'!G:G,'Purchase Record'!F:F,Sheet4!A322)=0,"",SUMIFS('Purchase Record'!G:G,'Purchase Record'!F:F,Sheet4!A322))</f>
        <v/>
      </c>
      <c r="D322" t="str">
        <f>IF(SUMIFS('Sales Record'!H:H,'Sales Record'!F:F,Sheet4!A322)=0,"",SUMIFS('Sales Record'!H:H,'Sales Record'!F:F,Sheet4!A322))</f>
        <v/>
      </c>
      <c r="E322" t="str">
        <f>IF(SUMIFS('Sales Return'!G:G,'Sales Return'!F:F,Sheet4!A322)=0,"",SUMIFS('Sales Return'!G:G,'Sales Return'!F:F,Sheet4!A322))</f>
        <v/>
      </c>
      <c r="F322" t="str">
        <f>IF(SUMIFS('Purchase Return'!G:G,'Purchase Return'!F:F,Sheet4!A322)=0,"",SUMIFS('Purchase Return'!G:G,'Purchase Return'!F:F,Sheet4!A322))</f>
        <v/>
      </c>
      <c r="G322" t="str">
        <f t="shared" si="4"/>
        <v/>
      </c>
    </row>
    <row r="323" spans="1:7">
      <c r="A323" t="str">
        <f>IF('Product List'!B323="","",'Product List'!B323)</f>
        <v/>
      </c>
      <c r="B323" t="str">
        <f>IF('Product List'!C323="","",'Product List'!C323)</f>
        <v/>
      </c>
      <c r="C323" t="str">
        <f>IF(SUMIFS('Purchase Record'!G:G,'Purchase Record'!F:F,Sheet4!A323)=0,"",SUMIFS('Purchase Record'!G:G,'Purchase Record'!F:F,Sheet4!A323))</f>
        <v/>
      </c>
      <c r="D323" t="str">
        <f>IF(SUMIFS('Sales Record'!H:H,'Sales Record'!F:F,Sheet4!A323)=0,"",SUMIFS('Sales Record'!H:H,'Sales Record'!F:F,Sheet4!A323))</f>
        <v/>
      </c>
      <c r="E323" t="str">
        <f>IF(SUMIFS('Sales Return'!G:G,'Sales Return'!F:F,Sheet4!A323)=0,"",SUMIFS('Sales Return'!G:G,'Sales Return'!F:F,Sheet4!A323))</f>
        <v/>
      </c>
      <c r="F323" t="str">
        <f>IF(SUMIFS('Purchase Return'!G:G,'Purchase Return'!F:F,Sheet4!A323)=0,"",SUMIFS('Purchase Return'!G:G,'Purchase Return'!F:F,Sheet4!A323))</f>
        <v/>
      </c>
      <c r="G323" t="str">
        <f t="shared" ref="G323:G386" si="5">IF(C323="","",N(C323)-N(D323)+N(E323)-N(F323))</f>
        <v/>
      </c>
    </row>
    <row r="324" spans="1:7">
      <c r="A324" t="str">
        <f>IF('Product List'!B324="","",'Product List'!B324)</f>
        <v/>
      </c>
      <c r="B324" t="str">
        <f>IF('Product List'!C324="","",'Product List'!C324)</f>
        <v/>
      </c>
      <c r="C324" t="str">
        <f>IF(SUMIFS('Purchase Record'!G:G,'Purchase Record'!F:F,Sheet4!A324)=0,"",SUMIFS('Purchase Record'!G:G,'Purchase Record'!F:F,Sheet4!A324))</f>
        <v/>
      </c>
      <c r="D324" t="str">
        <f>IF(SUMIFS('Sales Record'!H:H,'Sales Record'!F:F,Sheet4!A324)=0,"",SUMIFS('Sales Record'!H:H,'Sales Record'!F:F,Sheet4!A324))</f>
        <v/>
      </c>
      <c r="E324" t="str">
        <f>IF(SUMIFS('Sales Return'!G:G,'Sales Return'!F:F,Sheet4!A324)=0,"",SUMIFS('Sales Return'!G:G,'Sales Return'!F:F,Sheet4!A324))</f>
        <v/>
      </c>
      <c r="F324" t="str">
        <f>IF(SUMIFS('Purchase Return'!G:G,'Purchase Return'!F:F,Sheet4!A324)=0,"",SUMIFS('Purchase Return'!G:G,'Purchase Return'!F:F,Sheet4!A324))</f>
        <v/>
      </c>
      <c r="G324" t="str">
        <f t="shared" si="5"/>
        <v/>
      </c>
    </row>
    <row r="325" spans="1:7">
      <c r="A325" t="str">
        <f>IF('Product List'!B325="","",'Product List'!B325)</f>
        <v/>
      </c>
      <c r="B325" t="str">
        <f>IF('Product List'!C325="","",'Product List'!C325)</f>
        <v/>
      </c>
      <c r="C325" t="str">
        <f>IF(SUMIFS('Purchase Record'!G:G,'Purchase Record'!F:F,Sheet4!A325)=0,"",SUMIFS('Purchase Record'!G:G,'Purchase Record'!F:F,Sheet4!A325))</f>
        <v/>
      </c>
      <c r="D325" t="str">
        <f>IF(SUMIFS('Sales Record'!H:H,'Sales Record'!F:F,Sheet4!A325)=0,"",SUMIFS('Sales Record'!H:H,'Sales Record'!F:F,Sheet4!A325))</f>
        <v/>
      </c>
      <c r="E325" t="str">
        <f>IF(SUMIFS('Sales Return'!G:G,'Sales Return'!F:F,Sheet4!A325)=0,"",SUMIFS('Sales Return'!G:G,'Sales Return'!F:F,Sheet4!A325))</f>
        <v/>
      </c>
      <c r="F325" t="str">
        <f>IF(SUMIFS('Purchase Return'!G:G,'Purchase Return'!F:F,Sheet4!A325)=0,"",SUMIFS('Purchase Return'!G:G,'Purchase Return'!F:F,Sheet4!A325))</f>
        <v/>
      </c>
      <c r="G325" t="str">
        <f t="shared" si="5"/>
        <v/>
      </c>
    </row>
    <row r="326" spans="1:7">
      <c r="A326" t="str">
        <f>IF('Product List'!B326="","",'Product List'!B326)</f>
        <v/>
      </c>
      <c r="B326" t="str">
        <f>IF('Product List'!C326="","",'Product List'!C326)</f>
        <v/>
      </c>
      <c r="C326" t="str">
        <f>IF(SUMIFS('Purchase Record'!G:G,'Purchase Record'!F:F,Sheet4!A326)=0,"",SUMIFS('Purchase Record'!G:G,'Purchase Record'!F:F,Sheet4!A326))</f>
        <v/>
      </c>
      <c r="D326" t="str">
        <f>IF(SUMIFS('Sales Record'!H:H,'Sales Record'!F:F,Sheet4!A326)=0,"",SUMIFS('Sales Record'!H:H,'Sales Record'!F:F,Sheet4!A326))</f>
        <v/>
      </c>
      <c r="E326" t="str">
        <f>IF(SUMIFS('Sales Return'!G:G,'Sales Return'!F:F,Sheet4!A326)=0,"",SUMIFS('Sales Return'!G:G,'Sales Return'!F:F,Sheet4!A326))</f>
        <v/>
      </c>
      <c r="F326" t="str">
        <f>IF(SUMIFS('Purchase Return'!G:G,'Purchase Return'!F:F,Sheet4!A326)=0,"",SUMIFS('Purchase Return'!G:G,'Purchase Return'!F:F,Sheet4!A326))</f>
        <v/>
      </c>
      <c r="G326" t="str">
        <f t="shared" si="5"/>
        <v/>
      </c>
    </row>
    <row r="327" spans="1:7">
      <c r="A327" t="str">
        <f>IF('Product List'!B327="","",'Product List'!B327)</f>
        <v/>
      </c>
      <c r="B327" t="str">
        <f>IF('Product List'!C327="","",'Product List'!C327)</f>
        <v/>
      </c>
      <c r="C327" t="str">
        <f>IF(SUMIFS('Purchase Record'!G:G,'Purchase Record'!F:F,Sheet4!A327)=0,"",SUMIFS('Purchase Record'!G:G,'Purchase Record'!F:F,Sheet4!A327))</f>
        <v/>
      </c>
      <c r="D327" t="str">
        <f>IF(SUMIFS('Sales Record'!H:H,'Sales Record'!F:F,Sheet4!A327)=0,"",SUMIFS('Sales Record'!H:H,'Sales Record'!F:F,Sheet4!A327))</f>
        <v/>
      </c>
      <c r="E327" t="str">
        <f>IF(SUMIFS('Sales Return'!G:G,'Sales Return'!F:F,Sheet4!A327)=0,"",SUMIFS('Sales Return'!G:G,'Sales Return'!F:F,Sheet4!A327))</f>
        <v/>
      </c>
      <c r="F327" t="str">
        <f>IF(SUMIFS('Purchase Return'!G:G,'Purchase Return'!F:F,Sheet4!A327)=0,"",SUMIFS('Purchase Return'!G:G,'Purchase Return'!F:F,Sheet4!A327))</f>
        <v/>
      </c>
      <c r="G327" t="str">
        <f t="shared" si="5"/>
        <v/>
      </c>
    </row>
    <row r="328" spans="1:7">
      <c r="A328" t="str">
        <f>IF('Product List'!B328="","",'Product List'!B328)</f>
        <v/>
      </c>
      <c r="B328" t="str">
        <f>IF('Product List'!C328="","",'Product List'!C328)</f>
        <v/>
      </c>
      <c r="C328" t="str">
        <f>IF(SUMIFS('Purchase Record'!G:G,'Purchase Record'!F:F,Sheet4!A328)=0,"",SUMIFS('Purchase Record'!G:G,'Purchase Record'!F:F,Sheet4!A328))</f>
        <v/>
      </c>
      <c r="D328" t="str">
        <f>IF(SUMIFS('Sales Record'!H:H,'Sales Record'!F:F,Sheet4!A328)=0,"",SUMIFS('Sales Record'!H:H,'Sales Record'!F:F,Sheet4!A328))</f>
        <v/>
      </c>
      <c r="E328" t="str">
        <f>IF(SUMIFS('Sales Return'!G:G,'Sales Return'!F:F,Sheet4!A328)=0,"",SUMIFS('Sales Return'!G:G,'Sales Return'!F:F,Sheet4!A328))</f>
        <v/>
      </c>
      <c r="F328" t="str">
        <f>IF(SUMIFS('Purchase Return'!G:G,'Purchase Return'!F:F,Sheet4!A328)=0,"",SUMIFS('Purchase Return'!G:G,'Purchase Return'!F:F,Sheet4!A328))</f>
        <v/>
      </c>
      <c r="G328" t="str">
        <f t="shared" si="5"/>
        <v/>
      </c>
    </row>
    <row r="329" spans="1:7">
      <c r="A329" t="str">
        <f>IF('Product List'!B329="","",'Product List'!B329)</f>
        <v/>
      </c>
      <c r="B329" t="str">
        <f>IF('Product List'!C329="","",'Product List'!C329)</f>
        <v/>
      </c>
      <c r="C329" t="str">
        <f>IF(SUMIFS('Purchase Record'!G:G,'Purchase Record'!F:F,Sheet4!A329)=0,"",SUMIFS('Purchase Record'!G:G,'Purchase Record'!F:F,Sheet4!A329))</f>
        <v/>
      </c>
      <c r="D329" t="str">
        <f>IF(SUMIFS('Sales Record'!H:H,'Sales Record'!F:F,Sheet4!A329)=0,"",SUMIFS('Sales Record'!H:H,'Sales Record'!F:F,Sheet4!A329))</f>
        <v/>
      </c>
      <c r="E329" t="str">
        <f>IF(SUMIFS('Sales Return'!G:G,'Sales Return'!F:F,Sheet4!A329)=0,"",SUMIFS('Sales Return'!G:G,'Sales Return'!F:F,Sheet4!A329))</f>
        <v/>
      </c>
      <c r="F329" t="str">
        <f>IF(SUMIFS('Purchase Return'!G:G,'Purchase Return'!F:F,Sheet4!A329)=0,"",SUMIFS('Purchase Return'!G:G,'Purchase Return'!F:F,Sheet4!A329))</f>
        <v/>
      </c>
      <c r="G329" t="str">
        <f t="shared" si="5"/>
        <v/>
      </c>
    </row>
    <row r="330" spans="1:7">
      <c r="A330" t="str">
        <f>IF('Product List'!B330="","",'Product List'!B330)</f>
        <v/>
      </c>
      <c r="B330" t="str">
        <f>IF('Product List'!C330="","",'Product List'!C330)</f>
        <v/>
      </c>
      <c r="C330" t="str">
        <f>IF(SUMIFS('Purchase Record'!G:G,'Purchase Record'!F:F,Sheet4!A330)=0,"",SUMIFS('Purchase Record'!G:G,'Purchase Record'!F:F,Sheet4!A330))</f>
        <v/>
      </c>
      <c r="D330" t="str">
        <f>IF(SUMIFS('Sales Record'!H:H,'Sales Record'!F:F,Sheet4!A330)=0,"",SUMIFS('Sales Record'!H:H,'Sales Record'!F:F,Sheet4!A330))</f>
        <v/>
      </c>
      <c r="E330" t="str">
        <f>IF(SUMIFS('Sales Return'!G:G,'Sales Return'!F:F,Sheet4!A330)=0,"",SUMIFS('Sales Return'!G:G,'Sales Return'!F:F,Sheet4!A330))</f>
        <v/>
      </c>
      <c r="F330" t="str">
        <f>IF(SUMIFS('Purchase Return'!G:G,'Purchase Return'!F:F,Sheet4!A330)=0,"",SUMIFS('Purchase Return'!G:G,'Purchase Return'!F:F,Sheet4!A330))</f>
        <v/>
      </c>
      <c r="G330" t="str">
        <f t="shared" si="5"/>
        <v/>
      </c>
    </row>
    <row r="331" spans="1:7">
      <c r="A331" t="str">
        <f>IF('Product List'!B331="","",'Product List'!B331)</f>
        <v/>
      </c>
      <c r="B331" t="str">
        <f>IF('Product List'!C331="","",'Product List'!C331)</f>
        <v/>
      </c>
      <c r="C331" t="str">
        <f>IF(SUMIFS('Purchase Record'!G:G,'Purchase Record'!F:F,Sheet4!A331)=0,"",SUMIFS('Purchase Record'!G:G,'Purchase Record'!F:F,Sheet4!A331))</f>
        <v/>
      </c>
      <c r="D331" t="str">
        <f>IF(SUMIFS('Sales Record'!H:H,'Sales Record'!F:F,Sheet4!A331)=0,"",SUMIFS('Sales Record'!H:H,'Sales Record'!F:F,Sheet4!A331))</f>
        <v/>
      </c>
      <c r="E331" t="str">
        <f>IF(SUMIFS('Sales Return'!G:G,'Sales Return'!F:F,Sheet4!A331)=0,"",SUMIFS('Sales Return'!G:G,'Sales Return'!F:F,Sheet4!A331))</f>
        <v/>
      </c>
      <c r="F331" t="str">
        <f>IF(SUMIFS('Purchase Return'!G:G,'Purchase Return'!F:F,Sheet4!A331)=0,"",SUMIFS('Purchase Return'!G:G,'Purchase Return'!F:F,Sheet4!A331))</f>
        <v/>
      </c>
      <c r="G331" t="str">
        <f t="shared" si="5"/>
        <v/>
      </c>
    </row>
    <row r="332" spans="1:7">
      <c r="A332" t="str">
        <f>IF('Product List'!B332="","",'Product List'!B332)</f>
        <v/>
      </c>
      <c r="B332" t="str">
        <f>IF('Product List'!C332="","",'Product List'!C332)</f>
        <v/>
      </c>
      <c r="C332" t="str">
        <f>IF(SUMIFS('Purchase Record'!G:G,'Purchase Record'!F:F,Sheet4!A332)=0,"",SUMIFS('Purchase Record'!G:G,'Purchase Record'!F:F,Sheet4!A332))</f>
        <v/>
      </c>
      <c r="D332" t="str">
        <f>IF(SUMIFS('Sales Record'!H:H,'Sales Record'!F:F,Sheet4!A332)=0,"",SUMIFS('Sales Record'!H:H,'Sales Record'!F:F,Sheet4!A332))</f>
        <v/>
      </c>
      <c r="E332" t="str">
        <f>IF(SUMIFS('Sales Return'!G:G,'Sales Return'!F:F,Sheet4!A332)=0,"",SUMIFS('Sales Return'!G:G,'Sales Return'!F:F,Sheet4!A332))</f>
        <v/>
      </c>
      <c r="F332" t="str">
        <f>IF(SUMIFS('Purchase Return'!G:G,'Purchase Return'!F:F,Sheet4!A332)=0,"",SUMIFS('Purchase Return'!G:G,'Purchase Return'!F:F,Sheet4!A332))</f>
        <v/>
      </c>
      <c r="G332" t="str">
        <f t="shared" si="5"/>
        <v/>
      </c>
    </row>
    <row r="333" spans="1:7">
      <c r="A333" t="str">
        <f>IF('Product List'!B333="","",'Product List'!B333)</f>
        <v/>
      </c>
      <c r="B333" t="str">
        <f>IF('Product List'!C333="","",'Product List'!C333)</f>
        <v/>
      </c>
      <c r="C333" t="str">
        <f>IF(SUMIFS('Purchase Record'!G:G,'Purchase Record'!F:F,Sheet4!A333)=0,"",SUMIFS('Purchase Record'!G:G,'Purchase Record'!F:F,Sheet4!A333))</f>
        <v/>
      </c>
      <c r="D333" t="str">
        <f>IF(SUMIFS('Sales Record'!H:H,'Sales Record'!F:F,Sheet4!A333)=0,"",SUMIFS('Sales Record'!H:H,'Sales Record'!F:F,Sheet4!A333))</f>
        <v/>
      </c>
      <c r="E333" t="str">
        <f>IF(SUMIFS('Sales Return'!G:G,'Sales Return'!F:F,Sheet4!A333)=0,"",SUMIFS('Sales Return'!G:G,'Sales Return'!F:F,Sheet4!A333))</f>
        <v/>
      </c>
      <c r="F333" t="str">
        <f>IF(SUMIFS('Purchase Return'!G:G,'Purchase Return'!F:F,Sheet4!A333)=0,"",SUMIFS('Purchase Return'!G:G,'Purchase Return'!F:F,Sheet4!A333))</f>
        <v/>
      </c>
      <c r="G333" t="str">
        <f t="shared" si="5"/>
        <v/>
      </c>
    </row>
    <row r="334" spans="1:7">
      <c r="A334" t="str">
        <f>IF('Product List'!B334="","",'Product List'!B334)</f>
        <v/>
      </c>
      <c r="B334" t="str">
        <f>IF('Product List'!C334="","",'Product List'!C334)</f>
        <v/>
      </c>
      <c r="C334" t="str">
        <f>IF(SUMIFS('Purchase Record'!G:G,'Purchase Record'!F:F,Sheet4!A334)=0,"",SUMIFS('Purchase Record'!G:G,'Purchase Record'!F:F,Sheet4!A334))</f>
        <v/>
      </c>
      <c r="D334" t="str">
        <f>IF(SUMIFS('Sales Record'!H:H,'Sales Record'!F:F,Sheet4!A334)=0,"",SUMIFS('Sales Record'!H:H,'Sales Record'!F:F,Sheet4!A334))</f>
        <v/>
      </c>
      <c r="E334" t="str">
        <f>IF(SUMIFS('Sales Return'!G:G,'Sales Return'!F:F,Sheet4!A334)=0,"",SUMIFS('Sales Return'!G:G,'Sales Return'!F:F,Sheet4!A334))</f>
        <v/>
      </c>
      <c r="F334" t="str">
        <f>IF(SUMIFS('Purchase Return'!G:G,'Purchase Return'!F:F,Sheet4!A334)=0,"",SUMIFS('Purchase Return'!G:G,'Purchase Return'!F:F,Sheet4!A334))</f>
        <v/>
      </c>
      <c r="G334" t="str">
        <f t="shared" si="5"/>
        <v/>
      </c>
    </row>
    <row r="335" spans="1:7">
      <c r="A335" t="str">
        <f>IF('Product List'!B335="","",'Product List'!B335)</f>
        <v/>
      </c>
      <c r="B335" t="str">
        <f>IF('Product List'!C335="","",'Product List'!C335)</f>
        <v/>
      </c>
      <c r="C335" t="str">
        <f>IF(SUMIFS('Purchase Record'!G:G,'Purchase Record'!F:F,Sheet4!A335)=0,"",SUMIFS('Purchase Record'!G:G,'Purchase Record'!F:F,Sheet4!A335))</f>
        <v/>
      </c>
      <c r="D335" t="str">
        <f>IF(SUMIFS('Sales Record'!H:H,'Sales Record'!F:F,Sheet4!A335)=0,"",SUMIFS('Sales Record'!H:H,'Sales Record'!F:F,Sheet4!A335))</f>
        <v/>
      </c>
      <c r="E335" t="str">
        <f>IF(SUMIFS('Sales Return'!G:G,'Sales Return'!F:F,Sheet4!A335)=0,"",SUMIFS('Sales Return'!G:G,'Sales Return'!F:F,Sheet4!A335))</f>
        <v/>
      </c>
      <c r="F335" t="str">
        <f>IF(SUMIFS('Purchase Return'!G:G,'Purchase Return'!F:F,Sheet4!A335)=0,"",SUMIFS('Purchase Return'!G:G,'Purchase Return'!F:F,Sheet4!A335))</f>
        <v/>
      </c>
      <c r="G335" t="str">
        <f t="shared" si="5"/>
        <v/>
      </c>
    </row>
    <row r="336" spans="1:7">
      <c r="A336" t="str">
        <f>IF('Product List'!B336="","",'Product List'!B336)</f>
        <v/>
      </c>
      <c r="B336" t="str">
        <f>IF('Product List'!C336="","",'Product List'!C336)</f>
        <v/>
      </c>
      <c r="C336" t="str">
        <f>IF(SUMIFS('Purchase Record'!G:G,'Purchase Record'!F:F,Sheet4!A336)=0,"",SUMIFS('Purchase Record'!G:G,'Purchase Record'!F:F,Sheet4!A336))</f>
        <v/>
      </c>
      <c r="D336" t="str">
        <f>IF(SUMIFS('Sales Record'!H:H,'Sales Record'!F:F,Sheet4!A336)=0,"",SUMIFS('Sales Record'!H:H,'Sales Record'!F:F,Sheet4!A336))</f>
        <v/>
      </c>
      <c r="E336" t="str">
        <f>IF(SUMIFS('Sales Return'!G:G,'Sales Return'!F:F,Sheet4!A336)=0,"",SUMIFS('Sales Return'!G:G,'Sales Return'!F:F,Sheet4!A336))</f>
        <v/>
      </c>
      <c r="F336" t="str">
        <f>IF(SUMIFS('Purchase Return'!G:G,'Purchase Return'!F:F,Sheet4!A336)=0,"",SUMIFS('Purchase Return'!G:G,'Purchase Return'!F:F,Sheet4!A336))</f>
        <v/>
      </c>
      <c r="G336" t="str">
        <f t="shared" si="5"/>
        <v/>
      </c>
    </row>
    <row r="337" spans="1:7">
      <c r="A337" t="str">
        <f>IF('Product List'!B337="","",'Product List'!B337)</f>
        <v/>
      </c>
      <c r="B337" t="str">
        <f>IF('Product List'!C337="","",'Product List'!C337)</f>
        <v/>
      </c>
      <c r="C337" t="str">
        <f>IF(SUMIFS('Purchase Record'!G:G,'Purchase Record'!F:F,Sheet4!A337)=0,"",SUMIFS('Purchase Record'!G:G,'Purchase Record'!F:F,Sheet4!A337))</f>
        <v/>
      </c>
      <c r="D337" t="str">
        <f>IF(SUMIFS('Sales Record'!H:H,'Sales Record'!F:F,Sheet4!A337)=0,"",SUMIFS('Sales Record'!H:H,'Sales Record'!F:F,Sheet4!A337))</f>
        <v/>
      </c>
      <c r="E337" t="str">
        <f>IF(SUMIFS('Sales Return'!G:G,'Sales Return'!F:F,Sheet4!A337)=0,"",SUMIFS('Sales Return'!G:G,'Sales Return'!F:F,Sheet4!A337))</f>
        <v/>
      </c>
      <c r="F337" t="str">
        <f>IF(SUMIFS('Purchase Return'!G:G,'Purchase Return'!F:F,Sheet4!A337)=0,"",SUMIFS('Purchase Return'!G:G,'Purchase Return'!F:F,Sheet4!A337))</f>
        <v/>
      </c>
      <c r="G337" t="str">
        <f t="shared" si="5"/>
        <v/>
      </c>
    </row>
    <row r="338" spans="1:7">
      <c r="A338" t="str">
        <f>IF('Product List'!B338="","",'Product List'!B338)</f>
        <v/>
      </c>
      <c r="B338" t="str">
        <f>IF('Product List'!C338="","",'Product List'!C338)</f>
        <v/>
      </c>
      <c r="C338" t="str">
        <f>IF(SUMIFS('Purchase Record'!G:G,'Purchase Record'!F:F,Sheet4!A338)=0,"",SUMIFS('Purchase Record'!G:G,'Purchase Record'!F:F,Sheet4!A338))</f>
        <v/>
      </c>
      <c r="D338" t="str">
        <f>IF(SUMIFS('Sales Record'!H:H,'Sales Record'!F:F,Sheet4!A338)=0,"",SUMIFS('Sales Record'!H:H,'Sales Record'!F:F,Sheet4!A338))</f>
        <v/>
      </c>
      <c r="E338" t="str">
        <f>IF(SUMIFS('Sales Return'!G:G,'Sales Return'!F:F,Sheet4!A338)=0,"",SUMIFS('Sales Return'!G:G,'Sales Return'!F:F,Sheet4!A338))</f>
        <v/>
      </c>
      <c r="F338" t="str">
        <f>IF(SUMIFS('Purchase Return'!G:G,'Purchase Return'!F:F,Sheet4!A338)=0,"",SUMIFS('Purchase Return'!G:G,'Purchase Return'!F:F,Sheet4!A338))</f>
        <v/>
      </c>
      <c r="G338" t="str">
        <f t="shared" si="5"/>
        <v/>
      </c>
    </row>
    <row r="339" spans="1:7">
      <c r="A339" t="str">
        <f>IF('Product List'!B339="","",'Product List'!B339)</f>
        <v/>
      </c>
      <c r="B339" t="str">
        <f>IF('Product List'!C339="","",'Product List'!C339)</f>
        <v/>
      </c>
      <c r="C339" t="str">
        <f>IF(SUMIFS('Purchase Record'!G:G,'Purchase Record'!F:F,Sheet4!A339)=0,"",SUMIFS('Purchase Record'!G:G,'Purchase Record'!F:F,Sheet4!A339))</f>
        <v/>
      </c>
      <c r="D339" t="str">
        <f>IF(SUMIFS('Sales Record'!H:H,'Sales Record'!F:F,Sheet4!A339)=0,"",SUMIFS('Sales Record'!H:H,'Sales Record'!F:F,Sheet4!A339))</f>
        <v/>
      </c>
      <c r="E339" t="str">
        <f>IF(SUMIFS('Sales Return'!G:G,'Sales Return'!F:F,Sheet4!A339)=0,"",SUMIFS('Sales Return'!G:G,'Sales Return'!F:F,Sheet4!A339))</f>
        <v/>
      </c>
      <c r="F339" t="str">
        <f>IF(SUMIFS('Purchase Return'!G:G,'Purchase Return'!F:F,Sheet4!A339)=0,"",SUMIFS('Purchase Return'!G:G,'Purchase Return'!F:F,Sheet4!A339))</f>
        <v/>
      </c>
      <c r="G339" t="str">
        <f t="shared" si="5"/>
        <v/>
      </c>
    </row>
    <row r="340" spans="1:7">
      <c r="A340" t="str">
        <f>IF('Product List'!B340="","",'Product List'!B340)</f>
        <v/>
      </c>
      <c r="B340" t="str">
        <f>IF('Product List'!C340="","",'Product List'!C340)</f>
        <v/>
      </c>
      <c r="C340" t="str">
        <f>IF(SUMIFS('Purchase Record'!G:G,'Purchase Record'!F:F,Sheet4!A340)=0,"",SUMIFS('Purchase Record'!G:G,'Purchase Record'!F:F,Sheet4!A340))</f>
        <v/>
      </c>
      <c r="D340" t="str">
        <f>IF(SUMIFS('Sales Record'!H:H,'Sales Record'!F:F,Sheet4!A340)=0,"",SUMIFS('Sales Record'!H:H,'Sales Record'!F:F,Sheet4!A340))</f>
        <v/>
      </c>
      <c r="E340" t="str">
        <f>IF(SUMIFS('Sales Return'!G:G,'Sales Return'!F:F,Sheet4!A340)=0,"",SUMIFS('Sales Return'!G:G,'Sales Return'!F:F,Sheet4!A340))</f>
        <v/>
      </c>
      <c r="F340" t="str">
        <f>IF(SUMIFS('Purchase Return'!G:G,'Purchase Return'!F:F,Sheet4!A340)=0,"",SUMIFS('Purchase Return'!G:G,'Purchase Return'!F:F,Sheet4!A340))</f>
        <v/>
      </c>
      <c r="G340" t="str">
        <f t="shared" si="5"/>
        <v/>
      </c>
    </row>
    <row r="341" spans="1:7">
      <c r="A341" t="str">
        <f>IF('Product List'!B341="","",'Product List'!B341)</f>
        <v/>
      </c>
      <c r="B341" t="str">
        <f>IF('Product List'!C341="","",'Product List'!C341)</f>
        <v/>
      </c>
      <c r="C341" t="str">
        <f>IF(SUMIFS('Purchase Record'!G:G,'Purchase Record'!F:F,Sheet4!A341)=0,"",SUMIFS('Purchase Record'!G:G,'Purchase Record'!F:F,Sheet4!A341))</f>
        <v/>
      </c>
      <c r="D341" t="str">
        <f>IF(SUMIFS('Sales Record'!H:H,'Sales Record'!F:F,Sheet4!A341)=0,"",SUMIFS('Sales Record'!H:H,'Sales Record'!F:F,Sheet4!A341))</f>
        <v/>
      </c>
      <c r="E341" t="str">
        <f>IF(SUMIFS('Sales Return'!G:G,'Sales Return'!F:F,Sheet4!A341)=0,"",SUMIFS('Sales Return'!G:G,'Sales Return'!F:F,Sheet4!A341))</f>
        <v/>
      </c>
      <c r="F341" t="str">
        <f>IF(SUMIFS('Purchase Return'!G:G,'Purchase Return'!F:F,Sheet4!A341)=0,"",SUMIFS('Purchase Return'!G:G,'Purchase Return'!F:F,Sheet4!A341))</f>
        <v/>
      </c>
      <c r="G341" t="str">
        <f t="shared" si="5"/>
        <v/>
      </c>
    </row>
    <row r="342" spans="1:7">
      <c r="A342" t="str">
        <f>IF('Product List'!B342="","",'Product List'!B342)</f>
        <v/>
      </c>
      <c r="B342" t="str">
        <f>IF('Product List'!C342="","",'Product List'!C342)</f>
        <v/>
      </c>
      <c r="C342" t="str">
        <f>IF(SUMIFS('Purchase Record'!G:G,'Purchase Record'!F:F,Sheet4!A342)=0,"",SUMIFS('Purchase Record'!G:G,'Purchase Record'!F:F,Sheet4!A342))</f>
        <v/>
      </c>
      <c r="D342" t="str">
        <f>IF(SUMIFS('Sales Record'!H:H,'Sales Record'!F:F,Sheet4!A342)=0,"",SUMIFS('Sales Record'!H:H,'Sales Record'!F:F,Sheet4!A342))</f>
        <v/>
      </c>
      <c r="E342" t="str">
        <f>IF(SUMIFS('Sales Return'!G:G,'Sales Return'!F:F,Sheet4!A342)=0,"",SUMIFS('Sales Return'!G:G,'Sales Return'!F:F,Sheet4!A342))</f>
        <v/>
      </c>
      <c r="F342" t="str">
        <f>IF(SUMIFS('Purchase Return'!G:G,'Purchase Return'!F:F,Sheet4!A342)=0,"",SUMIFS('Purchase Return'!G:G,'Purchase Return'!F:F,Sheet4!A342))</f>
        <v/>
      </c>
      <c r="G342" t="str">
        <f t="shared" si="5"/>
        <v/>
      </c>
    </row>
    <row r="343" spans="1:7">
      <c r="A343" t="str">
        <f>IF('Product List'!B343="","",'Product List'!B343)</f>
        <v/>
      </c>
      <c r="B343" t="str">
        <f>IF('Product List'!C343="","",'Product List'!C343)</f>
        <v/>
      </c>
      <c r="C343" t="str">
        <f>IF(SUMIFS('Purchase Record'!G:G,'Purchase Record'!F:F,Sheet4!A343)=0,"",SUMIFS('Purchase Record'!G:G,'Purchase Record'!F:F,Sheet4!A343))</f>
        <v/>
      </c>
      <c r="D343" t="str">
        <f>IF(SUMIFS('Sales Record'!H:H,'Sales Record'!F:F,Sheet4!A343)=0,"",SUMIFS('Sales Record'!H:H,'Sales Record'!F:F,Sheet4!A343))</f>
        <v/>
      </c>
      <c r="E343" t="str">
        <f>IF(SUMIFS('Sales Return'!G:G,'Sales Return'!F:F,Sheet4!A343)=0,"",SUMIFS('Sales Return'!G:G,'Sales Return'!F:F,Sheet4!A343))</f>
        <v/>
      </c>
      <c r="F343" t="str">
        <f>IF(SUMIFS('Purchase Return'!G:G,'Purchase Return'!F:F,Sheet4!A343)=0,"",SUMIFS('Purchase Return'!G:G,'Purchase Return'!F:F,Sheet4!A343))</f>
        <v/>
      </c>
      <c r="G343" t="str">
        <f t="shared" si="5"/>
        <v/>
      </c>
    </row>
    <row r="344" spans="1:7">
      <c r="A344" t="str">
        <f>IF('Product List'!B344="","",'Product List'!B344)</f>
        <v/>
      </c>
      <c r="B344" t="str">
        <f>IF('Product List'!C344="","",'Product List'!C344)</f>
        <v/>
      </c>
      <c r="C344" t="str">
        <f>IF(SUMIFS('Purchase Record'!G:G,'Purchase Record'!F:F,Sheet4!A344)=0,"",SUMIFS('Purchase Record'!G:G,'Purchase Record'!F:F,Sheet4!A344))</f>
        <v/>
      </c>
      <c r="D344" t="str">
        <f>IF(SUMIFS('Sales Record'!H:H,'Sales Record'!F:F,Sheet4!A344)=0,"",SUMIFS('Sales Record'!H:H,'Sales Record'!F:F,Sheet4!A344))</f>
        <v/>
      </c>
      <c r="E344" t="str">
        <f>IF(SUMIFS('Sales Return'!G:G,'Sales Return'!F:F,Sheet4!A344)=0,"",SUMIFS('Sales Return'!G:G,'Sales Return'!F:F,Sheet4!A344))</f>
        <v/>
      </c>
      <c r="F344" t="str">
        <f>IF(SUMIFS('Purchase Return'!G:G,'Purchase Return'!F:F,Sheet4!A344)=0,"",SUMIFS('Purchase Return'!G:G,'Purchase Return'!F:F,Sheet4!A344))</f>
        <v/>
      </c>
      <c r="G344" t="str">
        <f t="shared" si="5"/>
        <v/>
      </c>
    </row>
    <row r="345" spans="1:7">
      <c r="A345" t="str">
        <f>IF('Product List'!B345="","",'Product List'!B345)</f>
        <v/>
      </c>
      <c r="B345" t="str">
        <f>IF('Product List'!C345="","",'Product List'!C345)</f>
        <v/>
      </c>
      <c r="C345" t="str">
        <f>IF(SUMIFS('Purchase Record'!G:G,'Purchase Record'!F:F,Sheet4!A345)=0,"",SUMIFS('Purchase Record'!G:G,'Purchase Record'!F:F,Sheet4!A345))</f>
        <v/>
      </c>
      <c r="D345" t="str">
        <f>IF(SUMIFS('Sales Record'!H:H,'Sales Record'!F:F,Sheet4!A345)=0,"",SUMIFS('Sales Record'!H:H,'Sales Record'!F:F,Sheet4!A345))</f>
        <v/>
      </c>
      <c r="E345" t="str">
        <f>IF(SUMIFS('Sales Return'!G:G,'Sales Return'!F:F,Sheet4!A345)=0,"",SUMIFS('Sales Return'!G:G,'Sales Return'!F:F,Sheet4!A345))</f>
        <v/>
      </c>
      <c r="F345" t="str">
        <f>IF(SUMIFS('Purchase Return'!G:G,'Purchase Return'!F:F,Sheet4!A345)=0,"",SUMIFS('Purchase Return'!G:G,'Purchase Return'!F:F,Sheet4!A345))</f>
        <v/>
      </c>
      <c r="G345" t="str">
        <f t="shared" si="5"/>
        <v/>
      </c>
    </row>
    <row r="346" spans="1:7">
      <c r="A346" t="str">
        <f>IF('Product List'!B346="","",'Product List'!B346)</f>
        <v/>
      </c>
      <c r="B346" t="str">
        <f>IF('Product List'!C346="","",'Product List'!C346)</f>
        <v/>
      </c>
      <c r="C346" t="str">
        <f>IF(SUMIFS('Purchase Record'!G:G,'Purchase Record'!F:F,Sheet4!A346)=0,"",SUMIFS('Purchase Record'!G:G,'Purchase Record'!F:F,Sheet4!A346))</f>
        <v/>
      </c>
      <c r="D346" t="str">
        <f>IF(SUMIFS('Sales Record'!H:H,'Sales Record'!F:F,Sheet4!A346)=0,"",SUMIFS('Sales Record'!H:H,'Sales Record'!F:F,Sheet4!A346))</f>
        <v/>
      </c>
      <c r="E346" t="str">
        <f>IF(SUMIFS('Sales Return'!G:G,'Sales Return'!F:F,Sheet4!A346)=0,"",SUMIFS('Sales Return'!G:G,'Sales Return'!F:F,Sheet4!A346))</f>
        <v/>
      </c>
      <c r="F346" t="str">
        <f>IF(SUMIFS('Purchase Return'!G:G,'Purchase Return'!F:F,Sheet4!A346)=0,"",SUMIFS('Purchase Return'!G:G,'Purchase Return'!F:F,Sheet4!A346))</f>
        <v/>
      </c>
      <c r="G346" t="str">
        <f t="shared" si="5"/>
        <v/>
      </c>
    </row>
    <row r="347" spans="1:7">
      <c r="A347" t="str">
        <f>IF('Product List'!B347="","",'Product List'!B347)</f>
        <v/>
      </c>
      <c r="B347" t="str">
        <f>IF('Product List'!C347="","",'Product List'!C347)</f>
        <v/>
      </c>
      <c r="C347" t="str">
        <f>IF(SUMIFS('Purchase Record'!G:G,'Purchase Record'!F:F,Sheet4!A347)=0,"",SUMIFS('Purchase Record'!G:G,'Purchase Record'!F:F,Sheet4!A347))</f>
        <v/>
      </c>
      <c r="D347" t="str">
        <f>IF(SUMIFS('Sales Record'!H:H,'Sales Record'!F:F,Sheet4!A347)=0,"",SUMIFS('Sales Record'!H:H,'Sales Record'!F:F,Sheet4!A347))</f>
        <v/>
      </c>
      <c r="E347" t="str">
        <f>IF(SUMIFS('Sales Return'!G:G,'Sales Return'!F:F,Sheet4!A347)=0,"",SUMIFS('Sales Return'!G:G,'Sales Return'!F:F,Sheet4!A347))</f>
        <v/>
      </c>
      <c r="F347" t="str">
        <f>IF(SUMIFS('Purchase Return'!G:G,'Purchase Return'!F:F,Sheet4!A347)=0,"",SUMIFS('Purchase Return'!G:G,'Purchase Return'!F:F,Sheet4!A347))</f>
        <v/>
      </c>
      <c r="G347" t="str">
        <f t="shared" si="5"/>
        <v/>
      </c>
    </row>
    <row r="348" spans="1:7">
      <c r="A348" t="str">
        <f>IF('Product List'!B348="","",'Product List'!B348)</f>
        <v/>
      </c>
      <c r="B348" t="str">
        <f>IF('Product List'!C348="","",'Product List'!C348)</f>
        <v/>
      </c>
      <c r="C348" t="str">
        <f>IF(SUMIFS('Purchase Record'!G:G,'Purchase Record'!F:F,Sheet4!A348)=0,"",SUMIFS('Purchase Record'!G:G,'Purchase Record'!F:F,Sheet4!A348))</f>
        <v/>
      </c>
      <c r="D348" t="str">
        <f>IF(SUMIFS('Sales Record'!H:H,'Sales Record'!F:F,Sheet4!A348)=0,"",SUMIFS('Sales Record'!H:H,'Sales Record'!F:F,Sheet4!A348))</f>
        <v/>
      </c>
      <c r="E348" t="str">
        <f>IF(SUMIFS('Sales Return'!G:G,'Sales Return'!F:F,Sheet4!A348)=0,"",SUMIFS('Sales Return'!G:G,'Sales Return'!F:F,Sheet4!A348))</f>
        <v/>
      </c>
      <c r="F348" t="str">
        <f>IF(SUMIFS('Purchase Return'!G:G,'Purchase Return'!F:F,Sheet4!A348)=0,"",SUMIFS('Purchase Return'!G:G,'Purchase Return'!F:F,Sheet4!A348))</f>
        <v/>
      </c>
      <c r="G348" t="str">
        <f t="shared" si="5"/>
        <v/>
      </c>
    </row>
    <row r="349" spans="1:7">
      <c r="A349" t="str">
        <f>IF('Product List'!B349="","",'Product List'!B349)</f>
        <v/>
      </c>
      <c r="B349" t="str">
        <f>IF('Product List'!C349="","",'Product List'!C349)</f>
        <v/>
      </c>
      <c r="C349" t="str">
        <f>IF(SUMIFS('Purchase Record'!G:G,'Purchase Record'!F:F,Sheet4!A349)=0,"",SUMIFS('Purchase Record'!G:G,'Purchase Record'!F:F,Sheet4!A349))</f>
        <v/>
      </c>
      <c r="D349" t="str">
        <f>IF(SUMIFS('Sales Record'!H:H,'Sales Record'!F:F,Sheet4!A349)=0,"",SUMIFS('Sales Record'!H:H,'Sales Record'!F:F,Sheet4!A349))</f>
        <v/>
      </c>
      <c r="E349" t="str">
        <f>IF(SUMIFS('Sales Return'!G:G,'Sales Return'!F:F,Sheet4!A349)=0,"",SUMIFS('Sales Return'!G:G,'Sales Return'!F:F,Sheet4!A349))</f>
        <v/>
      </c>
      <c r="F349" t="str">
        <f>IF(SUMIFS('Purchase Return'!G:G,'Purchase Return'!F:F,Sheet4!A349)=0,"",SUMIFS('Purchase Return'!G:G,'Purchase Return'!F:F,Sheet4!A349))</f>
        <v/>
      </c>
      <c r="G349" t="str">
        <f t="shared" si="5"/>
        <v/>
      </c>
    </row>
    <row r="350" spans="1:7">
      <c r="A350" t="str">
        <f>IF('Product List'!B350="","",'Product List'!B350)</f>
        <v/>
      </c>
      <c r="B350" t="str">
        <f>IF('Product List'!C350="","",'Product List'!C350)</f>
        <v/>
      </c>
      <c r="C350" t="str">
        <f>IF(SUMIFS('Purchase Record'!G:G,'Purchase Record'!F:F,Sheet4!A350)=0,"",SUMIFS('Purchase Record'!G:G,'Purchase Record'!F:F,Sheet4!A350))</f>
        <v/>
      </c>
      <c r="D350" t="str">
        <f>IF(SUMIFS('Sales Record'!H:H,'Sales Record'!F:F,Sheet4!A350)=0,"",SUMIFS('Sales Record'!H:H,'Sales Record'!F:F,Sheet4!A350))</f>
        <v/>
      </c>
      <c r="E350" t="str">
        <f>IF(SUMIFS('Sales Return'!G:G,'Sales Return'!F:F,Sheet4!A350)=0,"",SUMIFS('Sales Return'!G:G,'Sales Return'!F:F,Sheet4!A350))</f>
        <v/>
      </c>
      <c r="F350" t="str">
        <f>IF(SUMIFS('Purchase Return'!G:G,'Purchase Return'!F:F,Sheet4!A350)=0,"",SUMIFS('Purchase Return'!G:G,'Purchase Return'!F:F,Sheet4!A350))</f>
        <v/>
      </c>
      <c r="G350" t="str">
        <f t="shared" si="5"/>
        <v/>
      </c>
    </row>
    <row r="351" spans="1:7">
      <c r="A351" t="str">
        <f>IF('Product List'!B351="","",'Product List'!B351)</f>
        <v/>
      </c>
      <c r="B351" t="str">
        <f>IF('Product List'!C351="","",'Product List'!C351)</f>
        <v/>
      </c>
      <c r="C351" t="str">
        <f>IF(SUMIFS('Purchase Record'!G:G,'Purchase Record'!F:F,Sheet4!A351)=0,"",SUMIFS('Purchase Record'!G:G,'Purchase Record'!F:F,Sheet4!A351))</f>
        <v/>
      </c>
      <c r="D351" t="str">
        <f>IF(SUMIFS('Sales Record'!H:H,'Sales Record'!F:F,Sheet4!A351)=0,"",SUMIFS('Sales Record'!H:H,'Sales Record'!F:F,Sheet4!A351))</f>
        <v/>
      </c>
      <c r="E351" t="str">
        <f>IF(SUMIFS('Sales Return'!G:G,'Sales Return'!F:F,Sheet4!A351)=0,"",SUMIFS('Sales Return'!G:G,'Sales Return'!F:F,Sheet4!A351))</f>
        <v/>
      </c>
      <c r="F351" t="str">
        <f>IF(SUMIFS('Purchase Return'!G:G,'Purchase Return'!F:F,Sheet4!A351)=0,"",SUMIFS('Purchase Return'!G:G,'Purchase Return'!F:F,Sheet4!A351))</f>
        <v/>
      </c>
      <c r="G351" t="str">
        <f t="shared" si="5"/>
        <v/>
      </c>
    </row>
    <row r="352" spans="1:7">
      <c r="A352" t="str">
        <f>IF('Product List'!B352="","",'Product List'!B352)</f>
        <v/>
      </c>
      <c r="B352" t="str">
        <f>IF('Product List'!C352="","",'Product List'!C352)</f>
        <v/>
      </c>
      <c r="C352" t="str">
        <f>IF(SUMIFS('Purchase Record'!G:G,'Purchase Record'!F:F,Sheet4!A352)=0,"",SUMIFS('Purchase Record'!G:G,'Purchase Record'!F:F,Sheet4!A352))</f>
        <v/>
      </c>
      <c r="D352" t="str">
        <f>IF(SUMIFS('Sales Record'!H:H,'Sales Record'!F:F,Sheet4!A352)=0,"",SUMIFS('Sales Record'!H:H,'Sales Record'!F:F,Sheet4!A352))</f>
        <v/>
      </c>
      <c r="E352" t="str">
        <f>IF(SUMIFS('Sales Return'!G:G,'Sales Return'!F:F,Sheet4!A352)=0,"",SUMIFS('Sales Return'!G:G,'Sales Return'!F:F,Sheet4!A352))</f>
        <v/>
      </c>
      <c r="F352" t="str">
        <f>IF(SUMIFS('Purchase Return'!G:G,'Purchase Return'!F:F,Sheet4!A352)=0,"",SUMIFS('Purchase Return'!G:G,'Purchase Return'!F:F,Sheet4!A352))</f>
        <v/>
      </c>
      <c r="G352" t="str">
        <f t="shared" si="5"/>
        <v/>
      </c>
    </row>
    <row r="353" spans="1:7">
      <c r="A353" t="str">
        <f>IF('Product List'!B353="","",'Product List'!B353)</f>
        <v/>
      </c>
      <c r="B353" t="str">
        <f>IF('Product List'!C353="","",'Product List'!C353)</f>
        <v/>
      </c>
      <c r="C353" t="str">
        <f>IF(SUMIFS('Purchase Record'!G:G,'Purchase Record'!F:F,Sheet4!A353)=0,"",SUMIFS('Purchase Record'!G:G,'Purchase Record'!F:F,Sheet4!A353))</f>
        <v/>
      </c>
      <c r="D353" t="str">
        <f>IF(SUMIFS('Sales Record'!H:H,'Sales Record'!F:F,Sheet4!A353)=0,"",SUMIFS('Sales Record'!H:H,'Sales Record'!F:F,Sheet4!A353))</f>
        <v/>
      </c>
      <c r="E353" t="str">
        <f>IF(SUMIFS('Sales Return'!G:G,'Sales Return'!F:F,Sheet4!A353)=0,"",SUMIFS('Sales Return'!G:G,'Sales Return'!F:F,Sheet4!A353))</f>
        <v/>
      </c>
      <c r="F353" t="str">
        <f>IF(SUMIFS('Purchase Return'!G:G,'Purchase Return'!F:F,Sheet4!A353)=0,"",SUMIFS('Purchase Return'!G:G,'Purchase Return'!F:F,Sheet4!A353))</f>
        <v/>
      </c>
      <c r="G353" t="str">
        <f t="shared" si="5"/>
        <v/>
      </c>
    </row>
    <row r="354" spans="1:7">
      <c r="A354" t="str">
        <f>IF('Product List'!B354="","",'Product List'!B354)</f>
        <v/>
      </c>
      <c r="B354" t="str">
        <f>IF('Product List'!C354="","",'Product List'!C354)</f>
        <v/>
      </c>
      <c r="C354" t="str">
        <f>IF(SUMIFS('Purchase Record'!G:G,'Purchase Record'!F:F,Sheet4!A354)=0,"",SUMIFS('Purchase Record'!G:G,'Purchase Record'!F:F,Sheet4!A354))</f>
        <v/>
      </c>
      <c r="D354" t="str">
        <f>IF(SUMIFS('Sales Record'!H:H,'Sales Record'!F:F,Sheet4!A354)=0,"",SUMIFS('Sales Record'!H:H,'Sales Record'!F:F,Sheet4!A354))</f>
        <v/>
      </c>
      <c r="E354" t="str">
        <f>IF(SUMIFS('Sales Return'!G:G,'Sales Return'!F:F,Sheet4!A354)=0,"",SUMIFS('Sales Return'!G:G,'Sales Return'!F:F,Sheet4!A354))</f>
        <v/>
      </c>
      <c r="F354" t="str">
        <f>IF(SUMIFS('Purchase Return'!G:G,'Purchase Return'!F:F,Sheet4!A354)=0,"",SUMIFS('Purchase Return'!G:G,'Purchase Return'!F:F,Sheet4!A354))</f>
        <v/>
      </c>
      <c r="G354" t="str">
        <f t="shared" si="5"/>
        <v/>
      </c>
    </row>
    <row r="355" spans="1:7">
      <c r="A355" t="str">
        <f>IF('Product List'!B355="","",'Product List'!B355)</f>
        <v/>
      </c>
      <c r="B355" t="str">
        <f>IF('Product List'!C355="","",'Product List'!C355)</f>
        <v/>
      </c>
      <c r="C355" t="str">
        <f>IF(SUMIFS('Purchase Record'!G:G,'Purchase Record'!F:F,Sheet4!A355)=0,"",SUMIFS('Purchase Record'!G:G,'Purchase Record'!F:F,Sheet4!A355))</f>
        <v/>
      </c>
      <c r="D355" t="str">
        <f>IF(SUMIFS('Sales Record'!H:H,'Sales Record'!F:F,Sheet4!A355)=0,"",SUMIFS('Sales Record'!H:H,'Sales Record'!F:F,Sheet4!A355))</f>
        <v/>
      </c>
      <c r="E355" t="str">
        <f>IF(SUMIFS('Sales Return'!G:G,'Sales Return'!F:F,Sheet4!A355)=0,"",SUMIFS('Sales Return'!G:G,'Sales Return'!F:F,Sheet4!A355))</f>
        <v/>
      </c>
      <c r="F355" t="str">
        <f>IF(SUMIFS('Purchase Return'!G:G,'Purchase Return'!F:F,Sheet4!A355)=0,"",SUMIFS('Purchase Return'!G:G,'Purchase Return'!F:F,Sheet4!A355))</f>
        <v/>
      </c>
      <c r="G355" t="str">
        <f t="shared" si="5"/>
        <v/>
      </c>
    </row>
    <row r="356" spans="1:7">
      <c r="A356" t="str">
        <f>IF('Product List'!B356="","",'Product List'!B356)</f>
        <v/>
      </c>
      <c r="B356" t="str">
        <f>IF('Product List'!C356="","",'Product List'!C356)</f>
        <v/>
      </c>
      <c r="C356" t="str">
        <f>IF(SUMIFS('Purchase Record'!G:G,'Purchase Record'!F:F,Sheet4!A356)=0,"",SUMIFS('Purchase Record'!G:G,'Purchase Record'!F:F,Sheet4!A356))</f>
        <v/>
      </c>
      <c r="D356" t="str">
        <f>IF(SUMIFS('Sales Record'!H:H,'Sales Record'!F:F,Sheet4!A356)=0,"",SUMIFS('Sales Record'!H:H,'Sales Record'!F:F,Sheet4!A356))</f>
        <v/>
      </c>
      <c r="E356" t="str">
        <f>IF(SUMIFS('Sales Return'!G:G,'Sales Return'!F:F,Sheet4!A356)=0,"",SUMIFS('Sales Return'!G:G,'Sales Return'!F:F,Sheet4!A356))</f>
        <v/>
      </c>
      <c r="F356" t="str">
        <f>IF(SUMIFS('Purchase Return'!G:G,'Purchase Return'!F:F,Sheet4!A356)=0,"",SUMIFS('Purchase Return'!G:G,'Purchase Return'!F:F,Sheet4!A356))</f>
        <v/>
      </c>
      <c r="G356" t="str">
        <f t="shared" si="5"/>
        <v/>
      </c>
    </row>
    <row r="357" spans="1:7">
      <c r="A357" t="str">
        <f>IF('Product List'!B357="","",'Product List'!B357)</f>
        <v/>
      </c>
      <c r="B357" t="str">
        <f>IF('Product List'!C357="","",'Product List'!C357)</f>
        <v/>
      </c>
      <c r="C357" t="str">
        <f>IF(SUMIFS('Purchase Record'!G:G,'Purchase Record'!F:F,Sheet4!A357)=0,"",SUMIFS('Purchase Record'!G:G,'Purchase Record'!F:F,Sheet4!A357))</f>
        <v/>
      </c>
      <c r="D357" t="str">
        <f>IF(SUMIFS('Sales Record'!H:H,'Sales Record'!F:F,Sheet4!A357)=0,"",SUMIFS('Sales Record'!H:H,'Sales Record'!F:F,Sheet4!A357))</f>
        <v/>
      </c>
      <c r="E357" t="str">
        <f>IF(SUMIFS('Sales Return'!G:G,'Sales Return'!F:F,Sheet4!A357)=0,"",SUMIFS('Sales Return'!G:G,'Sales Return'!F:F,Sheet4!A357))</f>
        <v/>
      </c>
      <c r="F357" t="str">
        <f>IF(SUMIFS('Purchase Return'!G:G,'Purchase Return'!F:F,Sheet4!A357)=0,"",SUMIFS('Purchase Return'!G:G,'Purchase Return'!F:F,Sheet4!A357))</f>
        <v/>
      </c>
      <c r="G357" t="str">
        <f t="shared" si="5"/>
        <v/>
      </c>
    </row>
    <row r="358" spans="1:7">
      <c r="A358" t="str">
        <f>IF('Product List'!B358="","",'Product List'!B358)</f>
        <v/>
      </c>
      <c r="B358" t="str">
        <f>IF('Product List'!C358="","",'Product List'!C358)</f>
        <v/>
      </c>
      <c r="C358" t="str">
        <f>IF(SUMIFS('Purchase Record'!G:G,'Purchase Record'!F:F,Sheet4!A358)=0,"",SUMIFS('Purchase Record'!G:G,'Purchase Record'!F:F,Sheet4!A358))</f>
        <v/>
      </c>
      <c r="D358" t="str">
        <f>IF(SUMIFS('Sales Record'!H:H,'Sales Record'!F:F,Sheet4!A358)=0,"",SUMIFS('Sales Record'!H:H,'Sales Record'!F:F,Sheet4!A358))</f>
        <v/>
      </c>
      <c r="E358" t="str">
        <f>IF(SUMIFS('Sales Return'!G:G,'Sales Return'!F:F,Sheet4!A358)=0,"",SUMIFS('Sales Return'!G:G,'Sales Return'!F:F,Sheet4!A358))</f>
        <v/>
      </c>
      <c r="F358" t="str">
        <f>IF(SUMIFS('Purchase Return'!G:G,'Purchase Return'!F:F,Sheet4!A358)=0,"",SUMIFS('Purchase Return'!G:G,'Purchase Return'!F:F,Sheet4!A358))</f>
        <v/>
      </c>
      <c r="G358" t="str">
        <f t="shared" si="5"/>
        <v/>
      </c>
    </row>
    <row r="359" spans="1:7">
      <c r="A359" t="str">
        <f>IF('Product List'!B359="","",'Product List'!B359)</f>
        <v/>
      </c>
      <c r="B359" t="str">
        <f>IF('Product List'!C359="","",'Product List'!C359)</f>
        <v/>
      </c>
      <c r="C359" t="str">
        <f>IF(SUMIFS('Purchase Record'!G:G,'Purchase Record'!F:F,Sheet4!A359)=0,"",SUMIFS('Purchase Record'!G:G,'Purchase Record'!F:F,Sheet4!A359))</f>
        <v/>
      </c>
      <c r="D359" t="str">
        <f>IF(SUMIFS('Sales Record'!H:H,'Sales Record'!F:F,Sheet4!A359)=0,"",SUMIFS('Sales Record'!H:H,'Sales Record'!F:F,Sheet4!A359))</f>
        <v/>
      </c>
      <c r="E359" t="str">
        <f>IF(SUMIFS('Sales Return'!G:G,'Sales Return'!F:F,Sheet4!A359)=0,"",SUMIFS('Sales Return'!G:G,'Sales Return'!F:F,Sheet4!A359))</f>
        <v/>
      </c>
      <c r="F359" t="str">
        <f>IF(SUMIFS('Purchase Return'!G:G,'Purchase Return'!F:F,Sheet4!A359)=0,"",SUMIFS('Purchase Return'!G:G,'Purchase Return'!F:F,Sheet4!A359))</f>
        <v/>
      </c>
      <c r="G359" t="str">
        <f t="shared" si="5"/>
        <v/>
      </c>
    </row>
    <row r="360" spans="1:7">
      <c r="A360" t="str">
        <f>IF('Product List'!B360="","",'Product List'!B360)</f>
        <v/>
      </c>
      <c r="B360" t="str">
        <f>IF('Product List'!C360="","",'Product List'!C360)</f>
        <v/>
      </c>
      <c r="C360" t="str">
        <f>IF(SUMIFS('Purchase Record'!G:G,'Purchase Record'!F:F,Sheet4!A360)=0,"",SUMIFS('Purchase Record'!G:G,'Purchase Record'!F:F,Sheet4!A360))</f>
        <v/>
      </c>
      <c r="D360" t="str">
        <f>IF(SUMIFS('Sales Record'!H:H,'Sales Record'!F:F,Sheet4!A360)=0,"",SUMIFS('Sales Record'!H:H,'Sales Record'!F:F,Sheet4!A360))</f>
        <v/>
      </c>
      <c r="E360" t="str">
        <f>IF(SUMIFS('Sales Return'!G:G,'Sales Return'!F:F,Sheet4!A360)=0,"",SUMIFS('Sales Return'!G:G,'Sales Return'!F:F,Sheet4!A360))</f>
        <v/>
      </c>
      <c r="F360" t="str">
        <f>IF(SUMIFS('Purchase Return'!G:G,'Purchase Return'!F:F,Sheet4!A360)=0,"",SUMIFS('Purchase Return'!G:G,'Purchase Return'!F:F,Sheet4!A360))</f>
        <v/>
      </c>
      <c r="G360" t="str">
        <f t="shared" si="5"/>
        <v/>
      </c>
    </row>
    <row r="361" spans="1:7">
      <c r="A361" t="str">
        <f>IF('Product List'!B361="","",'Product List'!B361)</f>
        <v/>
      </c>
      <c r="B361" t="str">
        <f>IF('Product List'!C361="","",'Product List'!C361)</f>
        <v/>
      </c>
      <c r="C361" t="str">
        <f>IF(SUMIFS('Purchase Record'!G:G,'Purchase Record'!F:F,Sheet4!A361)=0,"",SUMIFS('Purchase Record'!G:G,'Purchase Record'!F:F,Sheet4!A361))</f>
        <v/>
      </c>
      <c r="D361" t="str">
        <f>IF(SUMIFS('Sales Record'!H:H,'Sales Record'!F:F,Sheet4!A361)=0,"",SUMIFS('Sales Record'!H:H,'Sales Record'!F:F,Sheet4!A361))</f>
        <v/>
      </c>
      <c r="E361" t="str">
        <f>IF(SUMIFS('Sales Return'!G:G,'Sales Return'!F:F,Sheet4!A361)=0,"",SUMIFS('Sales Return'!G:G,'Sales Return'!F:F,Sheet4!A361))</f>
        <v/>
      </c>
      <c r="F361" t="str">
        <f>IF(SUMIFS('Purchase Return'!G:G,'Purchase Return'!F:F,Sheet4!A361)=0,"",SUMIFS('Purchase Return'!G:G,'Purchase Return'!F:F,Sheet4!A361))</f>
        <v/>
      </c>
      <c r="G361" t="str">
        <f t="shared" si="5"/>
        <v/>
      </c>
    </row>
    <row r="362" spans="1:7">
      <c r="A362" t="str">
        <f>IF('Product List'!B362="","",'Product List'!B362)</f>
        <v/>
      </c>
      <c r="B362" t="str">
        <f>IF('Product List'!C362="","",'Product List'!C362)</f>
        <v/>
      </c>
      <c r="C362" t="str">
        <f>IF(SUMIFS('Purchase Record'!G:G,'Purchase Record'!F:F,Sheet4!A362)=0,"",SUMIFS('Purchase Record'!G:G,'Purchase Record'!F:F,Sheet4!A362))</f>
        <v/>
      </c>
      <c r="D362" t="str">
        <f>IF(SUMIFS('Sales Record'!H:H,'Sales Record'!F:F,Sheet4!A362)=0,"",SUMIFS('Sales Record'!H:H,'Sales Record'!F:F,Sheet4!A362))</f>
        <v/>
      </c>
      <c r="E362" t="str">
        <f>IF(SUMIFS('Sales Return'!G:G,'Sales Return'!F:F,Sheet4!A362)=0,"",SUMIFS('Sales Return'!G:G,'Sales Return'!F:F,Sheet4!A362))</f>
        <v/>
      </c>
      <c r="F362" t="str">
        <f>IF(SUMIFS('Purchase Return'!G:G,'Purchase Return'!F:F,Sheet4!A362)=0,"",SUMIFS('Purchase Return'!G:G,'Purchase Return'!F:F,Sheet4!A362))</f>
        <v/>
      </c>
      <c r="G362" t="str">
        <f t="shared" si="5"/>
        <v/>
      </c>
    </row>
    <row r="363" spans="1:7">
      <c r="A363" t="str">
        <f>IF('Product List'!B363="","",'Product List'!B363)</f>
        <v/>
      </c>
      <c r="B363" t="str">
        <f>IF('Product List'!C363="","",'Product List'!C363)</f>
        <v/>
      </c>
      <c r="C363" t="str">
        <f>IF(SUMIFS('Purchase Record'!G:G,'Purchase Record'!F:F,Sheet4!A363)=0,"",SUMIFS('Purchase Record'!G:G,'Purchase Record'!F:F,Sheet4!A363))</f>
        <v/>
      </c>
      <c r="D363" t="str">
        <f>IF(SUMIFS('Sales Record'!H:H,'Sales Record'!F:F,Sheet4!A363)=0,"",SUMIFS('Sales Record'!H:H,'Sales Record'!F:F,Sheet4!A363))</f>
        <v/>
      </c>
      <c r="E363" t="str">
        <f>IF(SUMIFS('Sales Return'!G:G,'Sales Return'!F:F,Sheet4!A363)=0,"",SUMIFS('Sales Return'!G:G,'Sales Return'!F:F,Sheet4!A363))</f>
        <v/>
      </c>
      <c r="F363" t="str">
        <f>IF(SUMIFS('Purchase Return'!G:G,'Purchase Return'!F:F,Sheet4!A363)=0,"",SUMIFS('Purchase Return'!G:G,'Purchase Return'!F:F,Sheet4!A363))</f>
        <v/>
      </c>
      <c r="G363" t="str">
        <f t="shared" si="5"/>
        <v/>
      </c>
    </row>
    <row r="364" spans="1:7">
      <c r="A364" t="str">
        <f>IF('Product List'!B364="","",'Product List'!B364)</f>
        <v/>
      </c>
      <c r="B364" t="str">
        <f>IF('Product List'!C364="","",'Product List'!C364)</f>
        <v/>
      </c>
      <c r="C364" t="str">
        <f>IF(SUMIFS('Purchase Record'!G:G,'Purchase Record'!F:F,Sheet4!A364)=0,"",SUMIFS('Purchase Record'!G:G,'Purchase Record'!F:F,Sheet4!A364))</f>
        <v/>
      </c>
      <c r="D364" t="str">
        <f>IF(SUMIFS('Sales Record'!H:H,'Sales Record'!F:F,Sheet4!A364)=0,"",SUMIFS('Sales Record'!H:H,'Sales Record'!F:F,Sheet4!A364))</f>
        <v/>
      </c>
      <c r="E364" t="str">
        <f>IF(SUMIFS('Sales Return'!G:G,'Sales Return'!F:F,Sheet4!A364)=0,"",SUMIFS('Sales Return'!G:G,'Sales Return'!F:F,Sheet4!A364))</f>
        <v/>
      </c>
      <c r="F364" t="str">
        <f>IF(SUMIFS('Purchase Return'!G:G,'Purchase Return'!F:F,Sheet4!A364)=0,"",SUMIFS('Purchase Return'!G:G,'Purchase Return'!F:F,Sheet4!A364))</f>
        <v/>
      </c>
      <c r="G364" t="str">
        <f t="shared" si="5"/>
        <v/>
      </c>
    </row>
    <row r="365" spans="1:7">
      <c r="A365" t="str">
        <f>IF('Product List'!B365="","",'Product List'!B365)</f>
        <v/>
      </c>
      <c r="B365" t="str">
        <f>IF('Product List'!C365="","",'Product List'!C365)</f>
        <v/>
      </c>
      <c r="C365" t="str">
        <f>IF(SUMIFS('Purchase Record'!G:G,'Purchase Record'!F:F,Sheet4!A365)=0,"",SUMIFS('Purchase Record'!G:G,'Purchase Record'!F:F,Sheet4!A365))</f>
        <v/>
      </c>
      <c r="D365" t="str">
        <f>IF(SUMIFS('Sales Record'!H:H,'Sales Record'!F:F,Sheet4!A365)=0,"",SUMIFS('Sales Record'!H:H,'Sales Record'!F:F,Sheet4!A365))</f>
        <v/>
      </c>
      <c r="E365" t="str">
        <f>IF(SUMIFS('Sales Return'!G:G,'Sales Return'!F:F,Sheet4!A365)=0,"",SUMIFS('Sales Return'!G:G,'Sales Return'!F:F,Sheet4!A365))</f>
        <v/>
      </c>
      <c r="F365" t="str">
        <f>IF(SUMIFS('Purchase Return'!G:G,'Purchase Return'!F:F,Sheet4!A365)=0,"",SUMIFS('Purchase Return'!G:G,'Purchase Return'!F:F,Sheet4!A365))</f>
        <v/>
      </c>
      <c r="G365" t="str">
        <f t="shared" si="5"/>
        <v/>
      </c>
    </row>
    <row r="366" spans="1:7">
      <c r="A366" t="str">
        <f>IF('Product List'!B366="","",'Product List'!B366)</f>
        <v/>
      </c>
      <c r="B366" t="str">
        <f>IF('Product List'!C366="","",'Product List'!C366)</f>
        <v/>
      </c>
      <c r="C366" t="str">
        <f>IF(SUMIFS('Purchase Record'!G:G,'Purchase Record'!F:F,Sheet4!A366)=0,"",SUMIFS('Purchase Record'!G:G,'Purchase Record'!F:F,Sheet4!A366))</f>
        <v/>
      </c>
      <c r="D366" t="str">
        <f>IF(SUMIFS('Sales Record'!H:H,'Sales Record'!F:F,Sheet4!A366)=0,"",SUMIFS('Sales Record'!H:H,'Sales Record'!F:F,Sheet4!A366))</f>
        <v/>
      </c>
      <c r="E366" t="str">
        <f>IF(SUMIFS('Sales Return'!G:G,'Sales Return'!F:F,Sheet4!A366)=0,"",SUMIFS('Sales Return'!G:G,'Sales Return'!F:F,Sheet4!A366))</f>
        <v/>
      </c>
      <c r="F366" t="str">
        <f>IF(SUMIFS('Purchase Return'!G:G,'Purchase Return'!F:F,Sheet4!A366)=0,"",SUMIFS('Purchase Return'!G:G,'Purchase Return'!F:F,Sheet4!A366))</f>
        <v/>
      </c>
      <c r="G366" t="str">
        <f t="shared" si="5"/>
        <v/>
      </c>
    </row>
    <row r="367" spans="1:7">
      <c r="A367" t="str">
        <f>IF('Product List'!B367="","",'Product List'!B367)</f>
        <v/>
      </c>
      <c r="B367" t="str">
        <f>IF('Product List'!C367="","",'Product List'!C367)</f>
        <v/>
      </c>
      <c r="C367" t="str">
        <f>IF(SUMIFS('Purchase Record'!G:G,'Purchase Record'!F:F,Sheet4!A367)=0,"",SUMIFS('Purchase Record'!G:G,'Purchase Record'!F:F,Sheet4!A367))</f>
        <v/>
      </c>
      <c r="D367" t="str">
        <f>IF(SUMIFS('Sales Record'!H:H,'Sales Record'!F:F,Sheet4!A367)=0,"",SUMIFS('Sales Record'!H:H,'Sales Record'!F:F,Sheet4!A367))</f>
        <v/>
      </c>
      <c r="E367" t="str">
        <f>IF(SUMIFS('Sales Return'!G:G,'Sales Return'!F:F,Sheet4!A367)=0,"",SUMIFS('Sales Return'!G:G,'Sales Return'!F:F,Sheet4!A367))</f>
        <v/>
      </c>
      <c r="F367" t="str">
        <f>IF(SUMIFS('Purchase Return'!G:G,'Purchase Return'!F:F,Sheet4!A367)=0,"",SUMIFS('Purchase Return'!G:G,'Purchase Return'!F:F,Sheet4!A367))</f>
        <v/>
      </c>
      <c r="G367" t="str">
        <f t="shared" si="5"/>
        <v/>
      </c>
    </row>
    <row r="368" spans="1:7">
      <c r="A368" t="str">
        <f>IF('Product List'!B368="","",'Product List'!B368)</f>
        <v/>
      </c>
      <c r="B368" t="str">
        <f>IF('Product List'!C368="","",'Product List'!C368)</f>
        <v/>
      </c>
      <c r="C368" t="str">
        <f>IF(SUMIFS('Purchase Record'!G:G,'Purchase Record'!F:F,Sheet4!A368)=0,"",SUMIFS('Purchase Record'!G:G,'Purchase Record'!F:F,Sheet4!A368))</f>
        <v/>
      </c>
      <c r="D368" t="str">
        <f>IF(SUMIFS('Sales Record'!H:H,'Sales Record'!F:F,Sheet4!A368)=0,"",SUMIFS('Sales Record'!H:H,'Sales Record'!F:F,Sheet4!A368))</f>
        <v/>
      </c>
      <c r="E368" t="str">
        <f>IF(SUMIFS('Sales Return'!G:G,'Sales Return'!F:F,Sheet4!A368)=0,"",SUMIFS('Sales Return'!G:G,'Sales Return'!F:F,Sheet4!A368))</f>
        <v/>
      </c>
      <c r="F368" t="str">
        <f>IF(SUMIFS('Purchase Return'!G:G,'Purchase Return'!F:F,Sheet4!A368)=0,"",SUMIFS('Purchase Return'!G:G,'Purchase Return'!F:F,Sheet4!A368))</f>
        <v/>
      </c>
      <c r="G368" t="str">
        <f t="shared" si="5"/>
        <v/>
      </c>
    </row>
    <row r="369" spans="1:7">
      <c r="A369" t="str">
        <f>IF('Product List'!B369="","",'Product List'!B369)</f>
        <v/>
      </c>
      <c r="B369" t="str">
        <f>IF('Product List'!C369="","",'Product List'!C369)</f>
        <v/>
      </c>
      <c r="C369" t="str">
        <f>IF(SUMIFS('Purchase Record'!G:G,'Purchase Record'!F:F,Sheet4!A369)=0,"",SUMIFS('Purchase Record'!G:G,'Purchase Record'!F:F,Sheet4!A369))</f>
        <v/>
      </c>
      <c r="D369" t="str">
        <f>IF(SUMIFS('Sales Record'!H:H,'Sales Record'!F:F,Sheet4!A369)=0,"",SUMIFS('Sales Record'!H:H,'Sales Record'!F:F,Sheet4!A369))</f>
        <v/>
      </c>
      <c r="E369" t="str">
        <f>IF(SUMIFS('Sales Return'!G:G,'Sales Return'!F:F,Sheet4!A369)=0,"",SUMIFS('Sales Return'!G:G,'Sales Return'!F:F,Sheet4!A369))</f>
        <v/>
      </c>
      <c r="F369" t="str">
        <f>IF(SUMIFS('Purchase Return'!G:G,'Purchase Return'!F:F,Sheet4!A369)=0,"",SUMIFS('Purchase Return'!G:G,'Purchase Return'!F:F,Sheet4!A369))</f>
        <v/>
      </c>
      <c r="G369" t="str">
        <f t="shared" si="5"/>
        <v/>
      </c>
    </row>
    <row r="370" spans="1:7">
      <c r="A370" t="str">
        <f>IF('Product List'!B370="","",'Product List'!B370)</f>
        <v/>
      </c>
      <c r="B370" t="str">
        <f>IF('Product List'!C370="","",'Product List'!C370)</f>
        <v/>
      </c>
      <c r="C370" t="str">
        <f>IF(SUMIFS('Purchase Record'!G:G,'Purchase Record'!F:F,Sheet4!A370)=0,"",SUMIFS('Purchase Record'!G:G,'Purchase Record'!F:F,Sheet4!A370))</f>
        <v/>
      </c>
      <c r="D370" t="str">
        <f>IF(SUMIFS('Sales Record'!H:H,'Sales Record'!F:F,Sheet4!A370)=0,"",SUMIFS('Sales Record'!H:H,'Sales Record'!F:F,Sheet4!A370))</f>
        <v/>
      </c>
      <c r="E370" t="str">
        <f>IF(SUMIFS('Sales Return'!G:G,'Sales Return'!F:F,Sheet4!A370)=0,"",SUMIFS('Sales Return'!G:G,'Sales Return'!F:F,Sheet4!A370))</f>
        <v/>
      </c>
      <c r="F370" t="str">
        <f>IF(SUMIFS('Purchase Return'!G:G,'Purchase Return'!F:F,Sheet4!A370)=0,"",SUMIFS('Purchase Return'!G:G,'Purchase Return'!F:F,Sheet4!A370))</f>
        <v/>
      </c>
      <c r="G370" t="str">
        <f t="shared" si="5"/>
        <v/>
      </c>
    </row>
    <row r="371" spans="1:7">
      <c r="A371" t="str">
        <f>IF('Product List'!B371="","",'Product List'!B371)</f>
        <v/>
      </c>
      <c r="B371" t="str">
        <f>IF('Product List'!C371="","",'Product List'!C371)</f>
        <v/>
      </c>
      <c r="C371" t="str">
        <f>IF(SUMIFS('Purchase Record'!G:G,'Purchase Record'!F:F,Sheet4!A371)=0,"",SUMIFS('Purchase Record'!G:G,'Purchase Record'!F:F,Sheet4!A371))</f>
        <v/>
      </c>
      <c r="D371" t="str">
        <f>IF(SUMIFS('Sales Record'!H:H,'Sales Record'!F:F,Sheet4!A371)=0,"",SUMIFS('Sales Record'!H:H,'Sales Record'!F:F,Sheet4!A371))</f>
        <v/>
      </c>
      <c r="E371" t="str">
        <f>IF(SUMIFS('Sales Return'!G:G,'Sales Return'!F:F,Sheet4!A371)=0,"",SUMIFS('Sales Return'!G:G,'Sales Return'!F:F,Sheet4!A371))</f>
        <v/>
      </c>
      <c r="F371" t="str">
        <f>IF(SUMIFS('Purchase Return'!G:G,'Purchase Return'!F:F,Sheet4!A371)=0,"",SUMIFS('Purchase Return'!G:G,'Purchase Return'!F:F,Sheet4!A371))</f>
        <v/>
      </c>
      <c r="G371" t="str">
        <f t="shared" si="5"/>
        <v/>
      </c>
    </row>
    <row r="372" spans="1:7">
      <c r="A372" t="str">
        <f>IF('Product List'!B372="","",'Product List'!B372)</f>
        <v/>
      </c>
      <c r="B372" t="str">
        <f>IF('Product List'!C372="","",'Product List'!C372)</f>
        <v/>
      </c>
      <c r="C372" t="str">
        <f>IF(SUMIFS('Purchase Record'!G:G,'Purchase Record'!F:F,Sheet4!A372)=0,"",SUMIFS('Purchase Record'!G:G,'Purchase Record'!F:F,Sheet4!A372))</f>
        <v/>
      </c>
      <c r="D372" t="str">
        <f>IF(SUMIFS('Sales Record'!H:H,'Sales Record'!F:F,Sheet4!A372)=0,"",SUMIFS('Sales Record'!H:H,'Sales Record'!F:F,Sheet4!A372))</f>
        <v/>
      </c>
      <c r="E372" t="str">
        <f>IF(SUMIFS('Sales Return'!G:G,'Sales Return'!F:F,Sheet4!A372)=0,"",SUMIFS('Sales Return'!G:G,'Sales Return'!F:F,Sheet4!A372))</f>
        <v/>
      </c>
      <c r="F372" t="str">
        <f>IF(SUMIFS('Purchase Return'!G:G,'Purchase Return'!F:F,Sheet4!A372)=0,"",SUMIFS('Purchase Return'!G:G,'Purchase Return'!F:F,Sheet4!A372))</f>
        <v/>
      </c>
      <c r="G372" t="str">
        <f t="shared" si="5"/>
        <v/>
      </c>
    </row>
    <row r="373" spans="1:7">
      <c r="A373" t="str">
        <f>IF('Product List'!B373="","",'Product List'!B373)</f>
        <v/>
      </c>
      <c r="B373" t="str">
        <f>IF('Product List'!C373="","",'Product List'!C373)</f>
        <v/>
      </c>
      <c r="C373" t="str">
        <f>IF(SUMIFS('Purchase Record'!G:G,'Purchase Record'!F:F,Sheet4!A373)=0,"",SUMIFS('Purchase Record'!G:G,'Purchase Record'!F:F,Sheet4!A373))</f>
        <v/>
      </c>
      <c r="D373" t="str">
        <f>IF(SUMIFS('Sales Record'!H:H,'Sales Record'!F:F,Sheet4!A373)=0,"",SUMIFS('Sales Record'!H:H,'Sales Record'!F:F,Sheet4!A373))</f>
        <v/>
      </c>
      <c r="E373" t="str">
        <f>IF(SUMIFS('Sales Return'!G:G,'Sales Return'!F:F,Sheet4!A373)=0,"",SUMIFS('Sales Return'!G:G,'Sales Return'!F:F,Sheet4!A373))</f>
        <v/>
      </c>
      <c r="F373" t="str">
        <f>IF(SUMIFS('Purchase Return'!G:G,'Purchase Return'!F:F,Sheet4!A373)=0,"",SUMIFS('Purchase Return'!G:G,'Purchase Return'!F:F,Sheet4!A373))</f>
        <v/>
      </c>
      <c r="G373" t="str">
        <f t="shared" si="5"/>
        <v/>
      </c>
    </row>
    <row r="374" spans="1:7">
      <c r="A374" t="str">
        <f>IF('Product List'!B374="","",'Product List'!B374)</f>
        <v/>
      </c>
      <c r="B374" t="str">
        <f>IF('Product List'!C374="","",'Product List'!C374)</f>
        <v/>
      </c>
      <c r="C374" t="str">
        <f>IF(SUMIFS('Purchase Record'!G:G,'Purchase Record'!F:F,Sheet4!A374)=0,"",SUMIFS('Purchase Record'!G:G,'Purchase Record'!F:F,Sheet4!A374))</f>
        <v/>
      </c>
      <c r="D374" t="str">
        <f>IF(SUMIFS('Sales Record'!H:H,'Sales Record'!F:F,Sheet4!A374)=0,"",SUMIFS('Sales Record'!H:H,'Sales Record'!F:F,Sheet4!A374))</f>
        <v/>
      </c>
      <c r="E374" t="str">
        <f>IF(SUMIFS('Sales Return'!G:G,'Sales Return'!F:F,Sheet4!A374)=0,"",SUMIFS('Sales Return'!G:G,'Sales Return'!F:F,Sheet4!A374))</f>
        <v/>
      </c>
      <c r="F374" t="str">
        <f>IF(SUMIFS('Purchase Return'!G:G,'Purchase Return'!F:F,Sheet4!A374)=0,"",SUMIFS('Purchase Return'!G:G,'Purchase Return'!F:F,Sheet4!A374))</f>
        <v/>
      </c>
      <c r="G374" t="str">
        <f t="shared" si="5"/>
        <v/>
      </c>
    </row>
    <row r="375" spans="1:7">
      <c r="A375" t="str">
        <f>IF('Product List'!B375="","",'Product List'!B375)</f>
        <v/>
      </c>
      <c r="B375" t="str">
        <f>IF('Product List'!C375="","",'Product List'!C375)</f>
        <v/>
      </c>
      <c r="C375" t="str">
        <f>IF(SUMIFS('Purchase Record'!G:G,'Purchase Record'!F:F,Sheet4!A375)=0,"",SUMIFS('Purchase Record'!G:G,'Purchase Record'!F:F,Sheet4!A375))</f>
        <v/>
      </c>
      <c r="D375" t="str">
        <f>IF(SUMIFS('Sales Record'!H:H,'Sales Record'!F:F,Sheet4!A375)=0,"",SUMIFS('Sales Record'!H:H,'Sales Record'!F:F,Sheet4!A375))</f>
        <v/>
      </c>
      <c r="E375" t="str">
        <f>IF(SUMIFS('Sales Return'!G:G,'Sales Return'!F:F,Sheet4!A375)=0,"",SUMIFS('Sales Return'!G:G,'Sales Return'!F:F,Sheet4!A375))</f>
        <v/>
      </c>
      <c r="F375" t="str">
        <f>IF(SUMIFS('Purchase Return'!G:G,'Purchase Return'!F:F,Sheet4!A375)=0,"",SUMIFS('Purchase Return'!G:G,'Purchase Return'!F:F,Sheet4!A375))</f>
        <v/>
      </c>
      <c r="G375" t="str">
        <f t="shared" si="5"/>
        <v/>
      </c>
    </row>
    <row r="376" spans="1:7">
      <c r="A376" t="str">
        <f>IF('Product List'!B376="","",'Product List'!B376)</f>
        <v/>
      </c>
      <c r="B376" t="str">
        <f>IF('Product List'!C376="","",'Product List'!C376)</f>
        <v/>
      </c>
      <c r="C376" t="str">
        <f>IF(SUMIFS('Purchase Record'!G:G,'Purchase Record'!F:F,Sheet4!A376)=0,"",SUMIFS('Purchase Record'!G:G,'Purchase Record'!F:F,Sheet4!A376))</f>
        <v/>
      </c>
      <c r="D376" t="str">
        <f>IF(SUMIFS('Sales Record'!H:H,'Sales Record'!F:F,Sheet4!A376)=0,"",SUMIFS('Sales Record'!H:H,'Sales Record'!F:F,Sheet4!A376))</f>
        <v/>
      </c>
      <c r="E376" t="str">
        <f>IF(SUMIFS('Sales Return'!G:G,'Sales Return'!F:F,Sheet4!A376)=0,"",SUMIFS('Sales Return'!G:G,'Sales Return'!F:F,Sheet4!A376))</f>
        <v/>
      </c>
      <c r="F376" t="str">
        <f>IF(SUMIFS('Purchase Return'!G:G,'Purchase Return'!F:F,Sheet4!A376)=0,"",SUMIFS('Purchase Return'!G:G,'Purchase Return'!F:F,Sheet4!A376))</f>
        <v/>
      </c>
      <c r="G376" t="str">
        <f t="shared" si="5"/>
        <v/>
      </c>
    </row>
    <row r="377" spans="1:7">
      <c r="A377" t="str">
        <f>IF('Product List'!B377="","",'Product List'!B377)</f>
        <v/>
      </c>
      <c r="B377" t="str">
        <f>IF('Product List'!C377="","",'Product List'!C377)</f>
        <v/>
      </c>
      <c r="C377" t="str">
        <f>IF(SUMIFS('Purchase Record'!G:G,'Purchase Record'!F:F,Sheet4!A377)=0,"",SUMIFS('Purchase Record'!G:G,'Purchase Record'!F:F,Sheet4!A377))</f>
        <v/>
      </c>
      <c r="D377" t="str">
        <f>IF(SUMIFS('Sales Record'!H:H,'Sales Record'!F:F,Sheet4!A377)=0,"",SUMIFS('Sales Record'!H:H,'Sales Record'!F:F,Sheet4!A377))</f>
        <v/>
      </c>
      <c r="E377" t="str">
        <f>IF(SUMIFS('Sales Return'!G:G,'Sales Return'!F:F,Sheet4!A377)=0,"",SUMIFS('Sales Return'!G:G,'Sales Return'!F:F,Sheet4!A377))</f>
        <v/>
      </c>
      <c r="F377" t="str">
        <f>IF(SUMIFS('Purchase Return'!G:G,'Purchase Return'!F:F,Sheet4!A377)=0,"",SUMIFS('Purchase Return'!G:G,'Purchase Return'!F:F,Sheet4!A377))</f>
        <v/>
      </c>
      <c r="G377" t="str">
        <f t="shared" si="5"/>
        <v/>
      </c>
    </row>
    <row r="378" spans="1:7">
      <c r="A378" t="str">
        <f>IF('Product List'!B378="","",'Product List'!B378)</f>
        <v/>
      </c>
      <c r="B378" t="str">
        <f>IF('Product List'!C378="","",'Product List'!C378)</f>
        <v/>
      </c>
      <c r="C378" t="str">
        <f>IF(SUMIFS('Purchase Record'!G:G,'Purchase Record'!F:F,Sheet4!A378)=0,"",SUMIFS('Purchase Record'!G:G,'Purchase Record'!F:F,Sheet4!A378))</f>
        <v/>
      </c>
      <c r="D378" t="str">
        <f>IF(SUMIFS('Sales Record'!H:H,'Sales Record'!F:F,Sheet4!A378)=0,"",SUMIFS('Sales Record'!H:H,'Sales Record'!F:F,Sheet4!A378))</f>
        <v/>
      </c>
      <c r="E378" t="str">
        <f>IF(SUMIFS('Sales Return'!G:G,'Sales Return'!F:F,Sheet4!A378)=0,"",SUMIFS('Sales Return'!G:G,'Sales Return'!F:F,Sheet4!A378))</f>
        <v/>
      </c>
      <c r="F378" t="str">
        <f>IF(SUMIFS('Purchase Return'!G:G,'Purchase Return'!F:F,Sheet4!A378)=0,"",SUMIFS('Purchase Return'!G:G,'Purchase Return'!F:F,Sheet4!A378))</f>
        <v/>
      </c>
      <c r="G378" t="str">
        <f t="shared" si="5"/>
        <v/>
      </c>
    </row>
    <row r="379" spans="1:7">
      <c r="A379" t="str">
        <f>IF('Product List'!B379="","",'Product List'!B379)</f>
        <v/>
      </c>
      <c r="B379" t="str">
        <f>IF('Product List'!C379="","",'Product List'!C379)</f>
        <v/>
      </c>
      <c r="C379" t="str">
        <f>IF(SUMIFS('Purchase Record'!G:G,'Purchase Record'!F:F,Sheet4!A379)=0,"",SUMIFS('Purchase Record'!G:G,'Purchase Record'!F:F,Sheet4!A379))</f>
        <v/>
      </c>
      <c r="D379" t="str">
        <f>IF(SUMIFS('Sales Record'!H:H,'Sales Record'!F:F,Sheet4!A379)=0,"",SUMIFS('Sales Record'!H:H,'Sales Record'!F:F,Sheet4!A379))</f>
        <v/>
      </c>
      <c r="E379" t="str">
        <f>IF(SUMIFS('Sales Return'!G:G,'Sales Return'!F:F,Sheet4!A379)=0,"",SUMIFS('Sales Return'!G:G,'Sales Return'!F:F,Sheet4!A379))</f>
        <v/>
      </c>
      <c r="F379" t="str">
        <f>IF(SUMIFS('Purchase Return'!G:G,'Purchase Return'!F:F,Sheet4!A379)=0,"",SUMIFS('Purchase Return'!G:G,'Purchase Return'!F:F,Sheet4!A379))</f>
        <v/>
      </c>
      <c r="G379" t="str">
        <f t="shared" si="5"/>
        <v/>
      </c>
    </row>
    <row r="380" spans="1:7">
      <c r="A380" t="str">
        <f>IF('Product List'!B380="","",'Product List'!B380)</f>
        <v/>
      </c>
      <c r="B380" t="str">
        <f>IF('Product List'!C380="","",'Product List'!C380)</f>
        <v/>
      </c>
      <c r="C380" t="str">
        <f>IF(SUMIFS('Purchase Record'!G:G,'Purchase Record'!F:F,Sheet4!A380)=0,"",SUMIFS('Purchase Record'!G:G,'Purchase Record'!F:F,Sheet4!A380))</f>
        <v/>
      </c>
      <c r="D380" t="str">
        <f>IF(SUMIFS('Sales Record'!H:H,'Sales Record'!F:F,Sheet4!A380)=0,"",SUMIFS('Sales Record'!H:H,'Sales Record'!F:F,Sheet4!A380))</f>
        <v/>
      </c>
      <c r="E380" t="str">
        <f>IF(SUMIFS('Sales Return'!G:G,'Sales Return'!F:F,Sheet4!A380)=0,"",SUMIFS('Sales Return'!G:G,'Sales Return'!F:F,Sheet4!A380))</f>
        <v/>
      </c>
      <c r="F380" t="str">
        <f>IF(SUMIFS('Purchase Return'!G:G,'Purchase Return'!F:F,Sheet4!A380)=0,"",SUMIFS('Purchase Return'!G:G,'Purchase Return'!F:F,Sheet4!A380))</f>
        <v/>
      </c>
      <c r="G380" t="str">
        <f t="shared" si="5"/>
        <v/>
      </c>
    </row>
    <row r="381" spans="1:7">
      <c r="A381" t="str">
        <f>IF('Product List'!B381="","",'Product List'!B381)</f>
        <v/>
      </c>
      <c r="B381" t="str">
        <f>IF('Product List'!C381="","",'Product List'!C381)</f>
        <v/>
      </c>
      <c r="C381" t="str">
        <f>IF(SUMIFS('Purchase Record'!G:G,'Purchase Record'!F:F,Sheet4!A381)=0,"",SUMIFS('Purchase Record'!G:G,'Purchase Record'!F:F,Sheet4!A381))</f>
        <v/>
      </c>
      <c r="D381" t="str">
        <f>IF(SUMIFS('Sales Record'!H:H,'Sales Record'!F:F,Sheet4!A381)=0,"",SUMIFS('Sales Record'!H:H,'Sales Record'!F:F,Sheet4!A381))</f>
        <v/>
      </c>
      <c r="E381" t="str">
        <f>IF(SUMIFS('Sales Return'!G:G,'Sales Return'!F:F,Sheet4!A381)=0,"",SUMIFS('Sales Return'!G:G,'Sales Return'!F:F,Sheet4!A381))</f>
        <v/>
      </c>
      <c r="F381" t="str">
        <f>IF(SUMIFS('Purchase Return'!G:G,'Purchase Return'!F:F,Sheet4!A381)=0,"",SUMIFS('Purchase Return'!G:G,'Purchase Return'!F:F,Sheet4!A381))</f>
        <v/>
      </c>
      <c r="G381" t="str">
        <f t="shared" si="5"/>
        <v/>
      </c>
    </row>
    <row r="382" spans="1:7">
      <c r="A382" t="str">
        <f>IF('Product List'!B382="","",'Product List'!B382)</f>
        <v/>
      </c>
      <c r="B382" t="str">
        <f>IF('Product List'!C382="","",'Product List'!C382)</f>
        <v/>
      </c>
      <c r="C382" t="str">
        <f>IF(SUMIFS('Purchase Record'!G:G,'Purchase Record'!F:F,Sheet4!A382)=0,"",SUMIFS('Purchase Record'!G:G,'Purchase Record'!F:F,Sheet4!A382))</f>
        <v/>
      </c>
      <c r="D382" t="str">
        <f>IF(SUMIFS('Sales Record'!H:H,'Sales Record'!F:F,Sheet4!A382)=0,"",SUMIFS('Sales Record'!H:H,'Sales Record'!F:F,Sheet4!A382))</f>
        <v/>
      </c>
      <c r="E382" t="str">
        <f>IF(SUMIFS('Sales Return'!G:G,'Sales Return'!F:F,Sheet4!A382)=0,"",SUMIFS('Sales Return'!G:G,'Sales Return'!F:F,Sheet4!A382))</f>
        <v/>
      </c>
      <c r="F382" t="str">
        <f>IF(SUMIFS('Purchase Return'!G:G,'Purchase Return'!F:F,Sheet4!A382)=0,"",SUMIFS('Purchase Return'!G:G,'Purchase Return'!F:F,Sheet4!A382))</f>
        <v/>
      </c>
      <c r="G382" t="str">
        <f t="shared" si="5"/>
        <v/>
      </c>
    </row>
    <row r="383" spans="1:7">
      <c r="A383" t="str">
        <f>IF('Product List'!B383="","",'Product List'!B383)</f>
        <v/>
      </c>
      <c r="B383" t="str">
        <f>IF('Product List'!C383="","",'Product List'!C383)</f>
        <v/>
      </c>
      <c r="C383" t="str">
        <f>IF(SUMIFS('Purchase Record'!G:G,'Purchase Record'!F:F,Sheet4!A383)=0,"",SUMIFS('Purchase Record'!G:G,'Purchase Record'!F:F,Sheet4!A383))</f>
        <v/>
      </c>
      <c r="D383" t="str">
        <f>IF(SUMIFS('Sales Record'!H:H,'Sales Record'!F:F,Sheet4!A383)=0,"",SUMIFS('Sales Record'!H:H,'Sales Record'!F:F,Sheet4!A383))</f>
        <v/>
      </c>
      <c r="E383" t="str">
        <f>IF(SUMIFS('Sales Return'!G:G,'Sales Return'!F:F,Sheet4!A383)=0,"",SUMIFS('Sales Return'!G:G,'Sales Return'!F:F,Sheet4!A383))</f>
        <v/>
      </c>
      <c r="F383" t="str">
        <f>IF(SUMIFS('Purchase Return'!G:G,'Purchase Return'!F:F,Sheet4!A383)=0,"",SUMIFS('Purchase Return'!G:G,'Purchase Return'!F:F,Sheet4!A383))</f>
        <v/>
      </c>
      <c r="G383" t="str">
        <f t="shared" si="5"/>
        <v/>
      </c>
    </row>
    <row r="384" spans="1:7">
      <c r="A384" t="str">
        <f>IF('Product List'!B384="","",'Product List'!B384)</f>
        <v/>
      </c>
      <c r="B384" t="str">
        <f>IF('Product List'!C384="","",'Product List'!C384)</f>
        <v/>
      </c>
      <c r="C384" t="str">
        <f>IF(SUMIFS('Purchase Record'!G:G,'Purchase Record'!F:F,Sheet4!A384)=0,"",SUMIFS('Purchase Record'!G:G,'Purchase Record'!F:F,Sheet4!A384))</f>
        <v/>
      </c>
      <c r="D384" t="str">
        <f>IF(SUMIFS('Sales Record'!H:H,'Sales Record'!F:F,Sheet4!A384)=0,"",SUMIFS('Sales Record'!H:H,'Sales Record'!F:F,Sheet4!A384))</f>
        <v/>
      </c>
      <c r="E384" t="str">
        <f>IF(SUMIFS('Sales Return'!G:G,'Sales Return'!F:F,Sheet4!A384)=0,"",SUMIFS('Sales Return'!G:G,'Sales Return'!F:F,Sheet4!A384))</f>
        <v/>
      </c>
      <c r="F384" t="str">
        <f>IF(SUMIFS('Purchase Return'!G:G,'Purchase Return'!F:F,Sheet4!A384)=0,"",SUMIFS('Purchase Return'!G:G,'Purchase Return'!F:F,Sheet4!A384))</f>
        <v/>
      </c>
      <c r="G384" t="str">
        <f t="shared" si="5"/>
        <v/>
      </c>
    </row>
    <row r="385" spans="1:7">
      <c r="A385" t="str">
        <f>IF('Product List'!B385="","",'Product List'!B385)</f>
        <v/>
      </c>
      <c r="B385" t="str">
        <f>IF('Product List'!C385="","",'Product List'!C385)</f>
        <v/>
      </c>
      <c r="C385" t="str">
        <f>IF(SUMIFS('Purchase Record'!G:G,'Purchase Record'!F:F,Sheet4!A385)=0,"",SUMIFS('Purchase Record'!G:G,'Purchase Record'!F:F,Sheet4!A385))</f>
        <v/>
      </c>
      <c r="D385" t="str">
        <f>IF(SUMIFS('Sales Record'!H:H,'Sales Record'!F:F,Sheet4!A385)=0,"",SUMIFS('Sales Record'!H:H,'Sales Record'!F:F,Sheet4!A385))</f>
        <v/>
      </c>
      <c r="E385" t="str">
        <f>IF(SUMIFS('Sales Return'!G:G,'Sales Return'!F:F,Sheet4!A385)=0,"",SUMIFS('Sales Return'!G:G,'Sales Return'!F:F,Sheet4!A385))</f>
        <v/>
      </c>
      <c r="F385" t="str">
        <f>IF(SUMIFS('Purchase Return'!G:G,'Purchase Return'!F:F,Sheet4!A385)=0,"",SUMIFS('Purchase Return'!G:G,'Purchase Return'!F:F,Sheet4!A385))</f>
        <v/>
      </c>
      <c r="G385" t="str">
        <f t="shared" si="5"/>
        <v/>
      </c>
    </row>
    <row r="386" spans="1:7">
      <c r="A386" t="str">
        <f>IF('Product List'!B386="","",'Product List'!B386)</f>
        <v/>
      </c>
      <c r="B386" t="str">
        <f>IF('Product List'!C386="","",'Product List'!C386)</f>
        <v/>
      </c>
      <c r="C386" t="str">
        <f>IF(SUMIFS('Purchase Record'!G:G,'Purchase Record'!F:F,Sheet4!A386)=0,"",SUMIFS('Purchase Record'!G:G,'Purchase Record'!F:F,Sheet4!A386))</f>
        <v/>
      </c>
      <c r="D386" t="str">
        <f>IF(SUMIFS('Sales Record'!H:H,'Sales Record'!F:F,Sheet4!A386)=0,"",SUMIFS('Sales Record'!H:H,'Sales Record'!F:F,Sheet4!A386))</f>
        <v/>
      </c>
      <c r="E386" t="str">
        <f>IF(SUMIFS('Sales Return'!G:G,'Sales Return'!F:F,Sheet4!A386)=0,"",SUMIFS('Sales Return'!G:G,'Sales Return'!F:F,Sheet4!A386))</f>
        <v/>
      </c>
      <c r="F386" t="str">
        <f>IF(SUMIFS('Purchase Return'!G:G,'Purchase Return'!F:F,Sheet4!A386)=0,"",SUMIFS('Purchase Return'!G:G,'Purchase Return'!F:F,Sheet4!A386))</f>
        <v/>
      </c>
      <c r="G386" t="str">
        <f t="shared" si="5"/>
        <v/>
      </c>
    </row>
    <row r="387" spans="1:7">
      <c r="A387" t="str">
        <f>IF('Product List'!B387="","",'Product List'!B387)</f>
        <v/>
      </c>
      <c r="B387" t="str">
        <f>IF('Product List'!C387="","",'Product List'!C387)</f>
        <v/>
      </c>
      <c r="C387" t="str">
        <f>IF(SUMIFS('Purchase Record'!G:G,'Purchase Record'!F:F,Sheet4!A387)=0,"",SUMIFS('Purchase Record'!G:G,'Purchase Record'!F:F,Sheet4!A387))</f>
        <v/>
      </c>
      <c r="D387" t="str">
        <f>IF(SUMIFS('Sales Record'!H:H,'Sales Record'!F:F,Sheet4!A387)=0,"",SUMIFS('Sales Record'!H:H,'Sales Record'!F:F,Sheet4!A387))</f>
        <v/>
      </c>
      <c r="E387" t="str">
        <f>IF(SUMIFS('Sales Return'!G:G,'Sales Return'!F:F,Sheet4!A387)=0,"",SUMIFS('Sales Return'!G:G,'Sales Return'!F:F,Sheet4!A387))</f>
        <v/>
      </c>
      <c r="F387" t="str">
        <f>IF(SUMIFS('Purchase Return'!G:G,'Purchase Return'!F:F,Sheet4!A387)=0,"",SUMIFS('Purchase Return'!G:G,'Purchase Return'!F:F,Sheet4!A387))</f>
        <v/>
      </c>
      <c r="G387" t="str">
        <f t="shared" ref="G387:G450" si="6">IF(C387="","",N(C387)-N(D387)+N(E387)-N(F387))</f>
        <v/>
      </c>
    </row>
    <row r="388" spans="1:7">
      <c r="A388" t="str">
        <f>IF('Product List'!B388="","",'Product List'!B388)</f>
        <v/>
      </c>
      <c r="B388" t="str">
        <f>IF('Product List'!C388="","",'Product List'!C388)</f>
        <v/>
      </c>
      <c r="C388" t="str">
        <f>IF(SUMIFS('Purchase Record'!G:G,'Purchase Record'!F:F,Sheet4!A388)=0,"",SUMIFS('Purchase Record'!G:G,'Purchase Record'!F:F,Sheet4!A388))</f>
        <v/>
      </c>
      <c r="D388" t="str">
        <f>IF(SUMIFS('Sales Record'!H:H,'Sales Record'!F:F,Sheet4!A388)=0,"",SUMIFS('Sales Record'!H:H,'Sales Record'!F:F,Sheet4!A388))</f>
        <v/>
      </c>
      <c r="E388" t="str">
        <f>IF(SUMIFS('Sales Return'!G:G,'Sales Return'!F:F,Sheet4!A388)=0,"",SUMIFS('Sales Return'!G:G,'Sales Return'!F:F,Sheet4!A388))</f>
        <v/>
      </c>
      <c r="F388" t="str">
        <f>IF(SUMIFS('Purchase Return'!G:G,'Purchase Return'!F:F,Sheet4!A388)=0,"",SUMIFS('Purchase Return'!G:G,'Purchase Return'!F:F,Sheet4!A388))</f>
        <v/>
      </c>
      <c r="G388" t="str">
        <f t="shared" si="6"/>
        <v/>
      </c>
    </row>
    <row r="389" spans="1:7">
      <c r="A389" t="str">
        <f>IF('Product List'!B389="","",'Product List'!B389)</f>
        <v/>
      </c>
      <c r="B389" t="str">
        <f>IF('Product List'!C389="","",'Product List'!C389)</f>
        <v/>
      </c>
      <c r="C389" t="str">
        <f>IF(SUMIFS('Purchase Record'!G:G,'Purchase Record'!F:F,Sheet4!A389)=0,"",SUMIFS('Purchase Record'!G:G,'Purchase Record'!F:F,Sheet4!A389))</f>
        <v/>
      </c>
      <c r="D389" t="str">
        <f>IF(SUMIFS('Sales Record'!H:H,'Sales Record'!F:F,Sheet4!A389)=0,"",SUMIFS('Sales Record'!H:H,'Sales Record'!F:F,Sheet4!A389))</f>
        <v/>
      </c>
      <c r="E389" t="str">
        <f>IF(SUMIFS('Sales Return'!G:G,'Sales Return'!F:F,Sheet4!A389)=0,"",SUMIFS('Sales Return'!G:G,'Sales Return'!F:F,Sheet4!A389))</f>
        <v/>
      </c>
      <c r="F389" t="str">
        <f>IF(SUMIFS('Purchase Return'!G:G,'Purchase Return'!F:F,Sheet4!A389)=0,"",SUMIFS('Purchase Return'!G:G,'Purchase Return'!F:F,Sheet4!A389))</f>
        <v/>
      </c>
      <c r="G389" t="str">
        <f t="shared" si="6"/>
        <v/>
      </c>
    </row>
    <row r="390" spans="1:7">
      <c r="A390" t="str">
        <f>IF('Product List'!B390="","",'Product List'!B390)</f>
        <v/>
      </c>
      <c r="B390" t="str">
        <f>IF('Product List'!C390="","",'Product List'!C390)</f>
        <v/>
      </c>
      <c r="C390" t="str">
        <f>IF(SUMIFS('Purchase Record'!G:G,'Purchase Record'!F:F,Sheet4!A390)=0,"",SUMIFS('Purchase Record'!G:G,'Purchase Record'!F:F,Sheet4!A390))</f>
        <v/>
      </c>
      <c r="D390" t="str">
        <f>IF(SUMIFS('Sales Record'!H:H,'Sales Record'!F:F,Sheet4!A390)=0,"",SUMIFS('Sales Record'!H:H,'Sales Record'!F:F,Sheet4!A390))</f>
        <v/>
      </c>
      <c r="E390" t="str">
        <f>IF(SUMIFS('Sales Return'!G:G,'Sales Return'!F:F,Sheet4!A390)=0,"",SUMIFS('Sales Return'!G:G,'Sales Return'!F:F,Sheet4!A390))</f>
        <v/>
      </c>
      <c r="F390" t="str">
        <f>IF(SUMIFS('Purchase Return'!G:G,'Purchase Return'!F:F,Sheet4!A390)=0,"",SUMIFS('Purchase Return'!G:G,'Purchase Return'!F:F,Sheet4!A390))</f>
        <v/>
      </c>
      <c r="G390" t="str">
        <f t="shared" si="6"/>
        <v/>
      </c>
    </row>
    <row r="391" spans="1:7">
      <c r="A391" t="str">
        <f>IF('Product List'!B391="","",'Product List'!B391)</f>
        <v/>
      </c>
      <c r="B391" t="str">
        <f>IF('Product List'!C391="","",'Product List'!C391)</f>
        <v/>
      </c>
      <c r="C391" t="str">
        <f>IF(SUMIFS('Purchase Record'!G:G,'Purchase Record'!F:F,Sheet4!A391)=0,"",SUMIFS('Purchase Record'!G:G,'Purchase Record'!F:F,Sheet4!A391))</f>
        <v/>
      </c>
      <c r="D391" t="str">
        <f>IF(SUMIFS('Sales Record'!H:H,'Sales Record'!F:F,Sheet4!A391)=0,"",SUMIFS('Sales Record'!H:H,'Sales Record'!F:F,Sheet4!A391))</f>
        <v/>
      </c>
      <c r="E391" t="str">
        <f>IF(SUMIFS('Sales Return'!G:G,'Sales Return'!F:F,Sheet4!A391)=0,"",SUMIFS('Sales Return'!G:G,'Sales Return'!F:F,Sheet4!A391))</f>
        <v/>
      </c>
      <c r="F391" t="str">
        <f>IF(SUMIFS('Purchase Return'!G:G,'Purchase Return'!F:F,Sheet4!A391)=0,"",SUMIFS('Purchase Return'!G:G,'Purchase Return'!F:F,Sheet4!A391))</f>
        <v/>
      </c>
      <c r="G391" t="str">
        <f t="shared" si="6"/>
        <v/>
      </c>
    </row>
    <row r="392" spans="1:7">
      <c r="A392" t="str">
        <f>IF('Product List'!B392="","",'Product List'!B392)</f>
        <v/>
      </c>
      <c r="B392" t="str">
        <f>IF('Product List'!C392="","",'Product List'!C392)</f>
        <v/>
      </c>
      <c r="C392" t="str">
        <f>IF(SUMIFS('Purchase Record'!G:G,'Purchase Record'!F:F,Sheet4!A392)=0,"",SUMIFS('Purchase Record'!G:G,'Purchase Record'!F:F,Sheet4!A392))</f>
        <v/>
      </c>
      <c r="D392" t="str">
        <f>IF(SUMIFS('Sales Record'!H:H,'Sales Record'!F:F,Sheet4!A392)=0,"",SUMIFS('Sales Record'!H:H,'Sales Record'!F:F,Sheet4!A392))</f>
        <v/>
      </c>
      <c r="E392" t="str">
        <f>IF(SUMIFS('Sales Return'!G:G,'Sales Return'!F:F,Sheet4!A392)=0,"",SUMIFS('Sales Return'!G:G,'Sales Return'!F:F,Sheet4!A392))</f>
        <v/>
      </c>
      <c r="F392" t="str">
        <f>IF(SUMIFS('Purchase Return'!G:G,'Purchase Return'!F:F,Sheet4!A392)=0,"",SUMIFS('Purchase Return'!G:G,'Purchase Return'!F:F,Sheet4!A392))</f>
        <v/>
      </c>
      <c r="G392" t="str">
        <f t="shared" si="6"/>
        <v/>
      </c>
    </row>
    <row r="393" spans="1:7">
      <c r="A393" t="str">
        <f>IF('Product List'!B393="","",'Product List'!B393)</f>
        <v/>
      </c>
      <c r="B393" t="str">
        <f>IF('Product List'!C393="","",'Product List'!C393)</f>
        <v/>
      </c>
      <c r="C393" t="str">
        <f>IF(SUMIFS('Purchase Record'!G:G,'Purchase Record'!F:F,Sheet4!A393)=0,"",SUMIFS('Purchase Record'!G:G,'Purchase Record'!F:F,Sheet4!A393))</f>
        <v/>
      </c>
      <c r="D393" t="str">
        <f>IF(SUMIFS('Sales Record'!H:H,'Sales Record'!F:F,Sheet4!A393)=0,"",SUMIFS('Sales Record'!H:H,'Sales Record'!F:F,Sheet4!A393))</f>
        <v/>
      </c>
      <c r="E393" t="str">
        <f>IF(SUMIFS('Sales Return'!G:G,'Sales Return'!F:F,Sheet4!A393)=0,"",SUMIFS('Sales Return'!G:G,'Sales Return'!F:F,Sheet4!A393))</f>
        <v/>
      </c>
      <c r="F393" t="str">
        <f>IF(SUMIFS('Purchase Return'!G:G,'Purchase Return'!F:F,Sheet4!A393)=0,"",SUMIFS('Purchase Return'!G:G,'Purchase Return'!F:F,Sheet4!A393))</f>
        <v/>
      </c>
      <c r="G393" t="str">
        <f t="shared" si="6"/>
        <v/>
      </c>
    </row>
    <row r="394" spans="1:7">
      <c r="A394" t="str">
        <f>IF('Product List'!B394="","",'Product List'!B394)</f>
        <v/>
      </c>
      <c r="B394" t="str">
        <f>IF('Product List'!C394="","",'Product List'!C394)</f>
        <v/>
      </c>
      <c r="C394" t="str">
        <f>IF(SUMIFS('Purchase Record'!G:G,'Purchase Record'!F:F,Sheet4!A394)=0,"",SUMIFS('Purchase Record'!G:G,'Purchase Record'!F:F,Sheet4!A394))</f>
        <v/>
      </c>
      <c r="D394" t="str">
        <f>IF(SUMIFS('Sales Record'!H:H,'Sales Record'!F:F,Sheet4!A394)=0,"",SUMIFS('Sales Record'!H:H,'Sales Record'!F:F,Sheet4!A394))</f>
        <v/>
      </c>
      <c r="E394" t="str">
        <f>IF(SUMIFS('Sales Return'!G:G,'Sales Return'!F:F,Sheet4!A394)=0,"",SUMIFS('Sales Return'!G:G,'Sales Return'!F:F,Sheet4!A394))</f>
        <v/>
      </c>
      <c r="F394" t="str">
        <f>IF(SUMIFS('Purchase Return'!G:G,'Purchase Return'!F:F,Sheet4!A394)=0,"",SUMIFS('Purchase Return'!G:G,'Purchase Return'!F:F,Sheet4!A394))</f>
        <v/>
      </c>
      <c r="G394" t="str">
        <f t="shared" si="6"/>
        <v/>
      </c>
    </row>
    <row r="395" spans="1:7">
      <c r="A395" t="str">
        <f>IF('Product List'!B395="","",'Product List'!B395)</f>
        <v/>
      </c>
      <c r="B395" t="str">
        <f>IF('Product List'!C395="","",'Product List'!C395)</f>
        <v/>
      </c>
      <c r="C395" t="str">
        <f>IF(SUMIFS('Purchase Record'!G:G,'Purchase Record'!F:F,Sheet4!A395)=0,"",SUMIFS('Purchase Record'!G:G,'Purchase Record'!F:F,Sheet4!A395))</f>
        <v/>
      </c>
      <c r="D395" t="str">
        <f>IF(SUMIFS('Sales Record'!H:H,'Sales Record'!F:F,Sheet4!A395)=0,"",SUMIFS('Sales Record'!H:H,'Sales Record'!F:F,Sheet4!A395))</f>
        <v/>
      </c>
      <c r="E395" t="str">
        <f>IF(SUMIFS('Sales Return'!G:G,'Sales Return'!F:F,Sheet4!A395)=0,"",SUMIFS('Sales Return'!G:G,'Sales Return'!F:F,Sheet4!A395))</f>
        <v/>
      </c>
      <c r="F395" t="str">
        <f>IF(SUMIFS('Purchase Return'!G:G,'Purchase Return'!F:F,Sheet4!A395)=0,"",SUMIFS('Purchase Return'!G:G,'Purchase Return'!F:F,Sheet4!A395))</f>
        <v/>
      </c>
      <c r="G395" t="str">
        <f t="shared" si="6"/>
        <v/>
      </c>
    </row>
    <row r="396" spans="1:7">
      <c r="A396" t="str">
        <f>IF('Product List'!B396="","",'Product List'!B396)</f>
        <v/>
      </c>
      <c r="B396" t="str">
        <f>IF('Product List'!C396="","",'Product List'!C396)</f>
        <v/>
      </c>
      <c r="C396" t="str">
        <f>IF(SUMIFS('Purchase Record'!G:G,'Purchase Record'!F:F,Sheet4!A396)=0,"",SUMIFS('Purchase Record'!G:G,'Purchase Record'!F:F,Sheet4!A396))</f>
        <v/>
      </c>
      <c r="D396" t="str">
        <f>IF(SUMIFS('Sales Record'!H:H,'Sales Record'!F:F,Sheet4!A396)=0,"",SUMIFS('Sales Record'!H:H,'Sales Record'!F:F,Sheet4!A396))</f>
        <v/>
      </c>
      <c r="E396" t="str">
        <f>IF(SUMIFS('Sales Return'!G:G,'Sales Return'!F:F,Sheet4!A396)=0,"",SUMIFS('Sales Return'!G:G,'Sales Return'!F:F,Sheet4!A396))</f>
        <v/>
      </c>
      <c r="F396" t="str">
        <f>IF(SUMIFS('Purchase Return'!G:G,'Purchase Return'!F:F,Sheet4!A396)=0,"",SUMIFS('Purchase Return'!G:G,'Purchase Return'!F:F,Sheet4!A396))</f>
        <v/>
      </c>
      <c r="G396" t="str">
        <f t="shared" si="6"/>
        <v/>
      </c>
    </row>
    <row r="397" spans="1:7">
      <c r="A397" t="str">
        <f>IF('Product List'!B397="","",'Product List'!B397)</f>
        <v/>
      </c>
      <c r="B397" t="str">
        <f>IF('Product List'!C397="","",'Product List'!C397)</f>
        <v/>
      </c>
      <c r="C397" t="str">
        <f>IF(SUMIFS('Purchase Record'!G:G,'Purchase Record'!F:F,Sheet4!A397)=0,"",SUMIFS('Purchase Record'!G:G,'Purchase Record'!F:F,Sheet4!A397))</f>
        <v/>
      </c>
      <c r="D397" t="str">
        <f>IF(SUMIFS('Sales Record'!H:H,'Sales Record'!F:F,Sheet4!A397)=0,"",SUMIFS('Sales Record'!H:H,'Sales Record'!F:F,Sheet4!A397))</f>
        <v/>
      </c>
      <c r="E397" t="str">
        <f>IF(SUMIFS('Sales Return'!G:G,'Sales Return'!F:F,Sheet4!A397)=0,"",SUMIFS('Sales Return'!G:G,'Sales Return'!F:F,Sheet4!A397))</f>
        <v/>
      </c>
      <c r="F397" t="str">
        <f>IF(SUMIFS('Purchase Return'!G:G,'Purchase Return'!F:F,Sheet4!A397)=0,"",SUMIFS('Purchase Return'!G:G,'Purchase Return'!F:F,Sheet4!A397))</f>
        <v/>
      </c>
      <c r="G397" t="str">
        <f t="shared" si="6"/>
        <v/>
      </c>
    </row>
    <row r="398" spans="1:7">
      <c r="A398" t="str">
        <f>IF('Product List'!B398="","",'Product List'!B398)</f>
        <v/>
      </c>
      <c r="B398" t="str">
        <f>IF('Product List'!C398="","",'Product List'!C398)</f>
        <v/>
      </c>
      <c r="C398" t="str">
        <f>IF(SUMIFS('Purchase Record'!G:G,'Purchase Record'!F:F,Sheet4!A398)=0,"",SUMIFS('Purchase Record'!G:G,'Purchase Record'!F:F,Sheet4!A398))</f>
        <v/>
      </c>
      <c r="D398" t="str">
        <f>IF(SUMIFS('Sales Record'!H:H,'Sales Record'!F:F,Sheet4!A398)=0,"",SUMIFS('Sales Record'!H:H,'Sales Record'!F:F,Sheet4!A398))</f>
        <v/>
      </c>
      <c r="E398" t="str">
        <f>IF(SUMIFS('Sales Return'!G:G,'Sales Return'!F:F,Sheet4!A398)=0,"",SUMIFS('Sales Return'!G:G,'Sales Return'!F:F,Sheet4!A398))</f>
        <v/>
      </c>
      <c r="F398" t="str">
        <f>IF(SUMIFS('Purchase Return'!G:G,'Purchase Return'!F:F,Sheet4!A398)=0,"",SUMIFS('Purchase Return'!G:G,'Purchase Return'!F:F,Sheet4!A398))</f>
        <v/>
      </c>
      <c r="G398" t="str">
        <f t="shared" si="6"/>
        <v/>
      </c>
    </row>
    <row r="399" spans="1:7">
      <c r="A399" t="str">
        <f>IF('Product List'!B399="","",'Product List'!B399)</f>
        <v/>
      </c>
      <c r="B399" t="str">
        <f>IF('Product List'!C399="","",'Product List'!C399)</f>
        <v/>
      </c>
      <c r="C399" t="str">
        <f>IF(SUMIFS('Purchase Record'!G:G,'Purchase Record'!F:F,Sheet4!A399)=0,"",SUMIFS('Purchase Record'!G:G,'Purchase Record'!F:F,Sheet4!A399))</f>
        <v/>
      </c>
      <c r="D399" t="str">
        <f>IF(SUMIFS('Sales Record'!H:H,'Sales Record'!F:F,Sheet4!A399)=0,"",SUMIFS('Sales Record'!H:H,'Sales Record'!F:F,Sheet4!A399))</f>
        <v/>
      </c>
      <c r="E399" t="str">
        <f>IF(SUMIFS('Sales Return'!G:G,'Sales Return'!F:F,Sheet4!A399)=0,"",SUMIFS('Sales Return'!G:G,'Sales Return'!F:F,Sheet4!A399))</f>
        <v/>
      </c>
      <c r="F399" t="str">
        <f>IF(SUMIFS('Purchase Return'!G:G,'Purchase Return'!F:F,Sheet4!A399)=0,"",SUMIFS('Purchase Return'!G:G,'Purchase Return'!F:F,Sheet4!A399))</f>
        <v/>
      </c>
      <c r="G399" t="str">
        <f t="shared" si="6"/>
        <v/>
      </c>
    </row>
    <row r="400" spans="1:7">
      <c r="A400" t="str">
        <f>IF('Product List'!B400="","",'Product List'!B400)</f>
        <v/>
      </c>
      <c r="B400" t="str">
        <f>IF('Product List'!C400="","",'Product List'!C400)</f>
        <v/>
      </c>
      <c r="C400" t="str">
        <f>IF(SUMIFS('Purchase Record'!G:G,'Purchase Record'!F:F,Sheet4!A400)=0,"",SUMIFS('Purchase Record'!G:G,'Purchase Record'!F:F,Sheet4!A400))</f>
        <v/>
      </c>
      <c r="D400" t="str">
        <f>IF(SUMIFS('Sales Record'!H:H,'Sales Record'!F:F,Sheet4!A400)=0,"",SUMIFS('Sales Record'!H:H,'Sales Record'!F:F,Sheet4!A400))</f>
        <v/>
      </c>
      <c r="E400" t="str">
        <f>IF(SUMIFS('Sales Return'!G:G,'Sales Return'!F:F,Sheet4!A400)=0,"",SUMIFS('Sales Return'!G:G,'Sales Return'!F:F,Sheet4!A400))</f>
        <v/>
      </c>
      <c r="F400" t="str">
        <f>IF(SUMIFS('Purchase Return'!G:G,'Purchase Return'!F:F,Sheet4!A400)=0,"",SUMIFS('Purchase Return'!G:G,'Purchase Return'!F:F,Sheet4!A400))</f>
        <v/>
      </c>
      <c r="G400" t="str">
        <f t="shared" si="6"/>
        <v/>
      </c>
    </row>
    <row r="401" spans="1:7">
      <c r="A401" t="str">
        <f>IF('Product List'!B401="","",'Product List'!B401)</f>
        <v/>
      </c>
      <c r="B401" t="str">
        <f>IF('Product List'!C401="","",'Product List'!C401)</f>
        <v/>
      </c>
      <c r="C401" t="str">
        <f>IF(SUMIFS('Purchase Record'!G:G,'Purchase Record'!F:F,Sheet4!A401)=0,"",SUMIFS('Purchase Record'!G:G,'Purchase Record'!F:F,Sheet4!A401))</f>
        <v/>
      </c>
      <c r="D401" t="str">
        <f>IF(SUMIFS('Sales Record'!H:H,'Sales Record'!F:F,Sheet4!A401)=0,"",SUMIFS('Sales Record'!H:H,'Sales Record'!F:F,Sheet4!A401))</f>
        <v/>
      </c>
      <c r="E401" t="str">
        <f>IF(SUMIFS('Sales Return'!G:G,'Sales Return'!F:F,Sheet4!A401)=0,"",SUMIFS('Sales Return'!G:G,'Sales Return'!F:F,Sheet4!A401))</f>
        <v/>
      </c>
      <c r="F401" t="str">
        <f>IF(SUMIFS('Purchase Return'!G:G,'Purchase Return'!F:F,Sheet4!A401)=0,"",SUMIFS('Purchase Return'!G:G,'Purchase Return'!F:F,Sheet4!A401))</f>
        <v/>
      </c>
      <c r="G401" t="str">
        <f t="shared" si="6"/>
        <v/>
      </c>
    </row>
    <row r="402" spans="1:7">
      <c r="A402" t="str">
        <f>IF('Product List'!B402="","",'Product List'!B402)</f>
        <v/>
      </c>
      <c r="B402" t="str">
        <f>IF('Product List'!C402="","",'Product List'!C402)</f>
        <v/>
      </c>
      <c r="C402" t="str">
        <f>IF(SUMIFS('Purchase Record'!G:G,'Purchase Record'!F:F,Sheet4!A402)=0,"",SUMIFS('Purchase Record'!G:G,'Purchase Record'!F:F,Sheet4!A402))</f>
        <v/>
      </c>
      <c r="D402" t="str">
        <f>IF(SUMIFS('Sales Record'!H:H,'Sales Record'!F:F,Sheet4!A402)=0,"",SUMIFS('Sales Record'!H:H,'Sales Record'!F:F,Sheet4!A402))</f>
        <v/>
      </c>
      <c r="E402" t="str">
        <f>IF(SUMIFS('Sales Return'!G:G,'Sales Return'!F:F,Sheet4!A402)=0,"",SUMIFS('Sales Return'!G:G,'Sales Return'!F:F,Sheet4!A402))</f>
        <v/>
      </c>
      <c r="F402" t="str">
        <f>IF(SUMIFS('Purchase Return'!G:G,'Purchase Return'!F:F,Sheet4!A402)=0,"",SUMIFS('Purchase Return'!G:G,'Purchase Return'!F:F,Sheet4!A402))</f>
        <v/>
      </c>
      <c r="G402" t="str">
        <f t="shared" si="6"/>
        <v/>
      </c>
    </row>
    <row r="403" spans="1:7">
      <c r="A403" t="str">
        <f>IF('Product List'!B403="","",'Product List'!B403)</f>
        <v/>
      </c>
      <c r="B403" t="str">
        <f>IF('Product List'!C403="","",'Product List'!C403)</f>
        <v/>
      </c>
      <c r="C403" t="str">
        <f>IF(SUMIFS('Purchase Record'!G:G,'Purchase Record'!F:F,Sheet4!A403)=0,"",SUMIFS('Purchase Record'!G:G,'Purchase Record'!F:F,Sheet4!A403))</f>
        <v/>
      </c>
      <c r="D403" t="str">
        <f>IF(SUMIFS('Sales Record'!H:H,'Sales Record'!F:F,Sheet4!A403)=0,"",SUMIFS('Sales Record'!H:H,'Sales Record'!F:F,Sheet4!A403))</f>
        <v/>
      </c>
      <c r="E403" t="str">
        <f>IF(SUMIFS('Sales Return'!G:G,'Sales Return'!F:F,Sheet4!A403)=0,"",SUMIFS('Sales Return'!G:G,'Sales Return'!F:F,Sheet4!A403))</f>
        <v/>
      </c>
      <c r="F403" t="str">
        <f>IF(SUMIFS('Purchase Return'!G:G,'Purchase Return'!F:F,Sheet4!A403)=0,"",SUMIFS('Purchase Return'!G:G,'Purchase Return'!F:F,Sheet4!A403))</f>
        <v/>
      </c>
      <c r="G403" t="str">
        <f t="shared" si="6"/>
        <v/>
      </c>
    </row>
    <row r="404" spans="1:7">
      <c r="A404" t="str">
        <f>IF('Product List'!B404="","",'Product List'!B404)</f>
        <v/>
      </c>
      <c r="B404" t="str">
        <f>IF('Product List'!C404="","",'Product List'!C404)</f>
        <v/>
      </c>
      <c r="C404" t="str">
        <f>IF(SUMIFS('Purchase Record'!G:G,'Purchase Record'!F:F,Sheet4!A404)=0,"",SUMIFS('Purchase Record'!G:G,'Purchase Record'!F:F,Sheet4!A404))</f>
        <v/>
      </c>
      <c r="D404" t="str">
        <f>IF(SUMIFS('Sales Record'!H:H,'Sales Record'!F:F,Sheet4!A404)=0,"",SUMIFS('Sales Record'!H:H,'Sales Record'!F:F,Sheet4!A404))</f>
        <v/>
      </c>
      <c r="E404" t="str">
        <f>IF(SUMIFS('Sales Return'!G:G,'Sales Return'!F:F,Sheet4!A404)=0,"",SUMIFS('Sales Return'!G:G,'Sales Return'!F:F,Sheet4!A404))</f>
        <v/>
      </c>
      <c r="F404" t="str">
        <f>IF(SUMIFS('Purchase Return'!G:G,'Purchase Return'!F:F,Sheet4!A404)=0,"",SUMIFS('Purchase Return'!G:G,'Purchase Return'!F:F,Sheet4!A404))</f>
        <v/>
      </c>
      <c r="G404" t="str">
        <f t="shared" si="6"/>
        <v/>
      </c>
    </row>
    <row r="405" spans="1:7">
      <c r="A405" t="str">
        <f>IF('Product List'!B405="","",'Product List'!B405)</f>
        <v/>
      </c>
      <c r="B405" t="str">
        <f>IF('Product List'!C405="","",'Product List'!C405)</f>
        <v/>
      </c>
      <c r="C405" t="str">
        <f>IF(SUMIFS('Purchase Record'!G:G,'Purchase Record'!F:F,Sheet4!A405)=0,"",SUMIFS('Purchase Record'!G:G,'Purchase Record'!F:F,Sheet4!A405))</f>
        <v/>
      </c>
      <c r="D405" t="str">
        <f>IF(SUMIFS('Sales Record'!H:H,'Sales Record'!F:F,Sheet4!A405)=0,"",SUMIFS('Sales Record'!H:H,'Sales Record'!F:F,Sheet4!A405))</f>
        <v/>
      </c>
      <c r="E405" t="str">
        <f>IF(SUMIFS('Sales Return'!G:G,'Sales Return'!F:F,Sheet4!A405)=0,"",SUMIFS('Sales Return'!G:G,'Sales Return'!F:F,Sheet4!A405))</f>
        <v/>
      </c>
      <c r="F405" t="str">
        <f>IF(SUMIFS('Purchase Return'!G:G,'Purchase Return'!F:F,Sheet4!A405)=0,"",SUMIFS('Purchase Return'!G:G,'Purchase Return'!F:F,Sheet4!A405))</f>
        <v/>
      </c>
      <c r="G405" t="str">
        <f t="shared" si="6"/>
        <v/>
      </c>
    </row>
    <row r="406" spans="1:7">
      <c r="A406" t="str">
        <f>IF('Product List'!B406="","",'Product List'!B406)</f>
        <v/>
      </c>
      <c r="B406" t="str">
        <f>IF('Product List'!C406="","",'Product List'!C406)</f>
        <v/>
      </c>
      <c r="C406" t="str">
        <f>IF(SUMIFS('Purchase Record'!G:G,'Purchase Record'!F:F,Sheet4!A406)=0,"",SUMIFS('Purchase Record'!G:G,'Purchase Record'!F:F,Sheet4!A406))</f>
        <v/>
      </c>
      <c r="D406" t="str">
        <f>IF(SUMIFS('Sales Record'!H:H,'Sales Record'!F:F,Sheet4!A406)=0,"",SUMIFS('Sales Record'!H:H,'Sales Record'!F:F,Sheet4!A406))</f>
        <v/>
      </c>
      <c r="E406" t="str">
        <f>IF(SUMIFS('Sales Return'!G:G,'Sales Return'!F:F,Sheet4!A406)=0,"",SUMIFS('Sales Return'!G:G,'Sales Return'!F:F,Sheet4!A406))</f>
        <v/>
      </c>
      <c r="F406" t="str">
        <f>IF(SUMIFS('Purchase Return'!G:G,'Purchase Return'!F:F,Sheet4!A406)=0,"",SUMIFS('Purchase Return'!G:G,'Purchase Return'!F:F,Sheet4!A406))</f>
        <v/>
      </c>
      <c r="G406" t="str">
        <f t="shared" si="6"/>
        <v/>
      </c>
    </row>
    <row r="407" spans="1:7">
      <c r="A407" t="str">
        <f>IF('Product List'!B407="","",'Product List'!B407)</f>
        <v/>
      </c>
      <c r="B407" t="str">
        <f>IF('Product List'!C407="","",'Product List'!C407)</f>
        <v/>
      </c>
      <c r="C407" t="str">
        <f>IF(SUMIFS('Purchase Record'!G:G,'Purchase Record'!F:F,Sheet4!A407)=0,"",SUMIFS('Purchase Record'!G:G,'Purchase Record'!F:F,Sheet4!A407))</f>
        <v/>
      </c>
      <c r="D407" t="str">
        <f>IF(SUMIFS('Sales Record'!H:H,'Sales Record'!F:F,Sheet4!A407)=0,"",SUMIFS('Sales Record'!H:H,'Sales Record'!F:F,Sheet4!A407))</f>
        <v/>
      </c>
      <c r="E407" t="str">
        <f>IF(SUMIFS('Sales Return'!G:G,'Sales Return'!F:F,Sheet4!A407)=0,"",SUMIFS('Sales Return'!G:G,'Sales Return'!F:F,Sheet4!A407))</f>
        <v/>
      </c>
      <c r="F407" t="str">
        <f>IF(SUMIFS('Purchase Return'!G:G,'Purchase Return'!F:F,Sheet4!A407)=0,"",SUMIFS('Purchase Return'!G:G,'Purchase Return'!F:F,Sheet4!A407))</f>
        <v/>
      </c>
      <c r="G407" t="str">
        <f t="shared" si="6"/>
        <v/>
      </c>
    </row>
    <row r="408" spans="1:7">
      <c r="A408" t="str">
        <f>IF('Product List'!B408="","",'Product List'!B408)</f>
        <v/>
      </c>
      <c r="B408" t="str">
        <f>IF('Product List'!C408="","",'Product List'!C408)</f>
        <v/>
      </c>
      <c r="C408" t="str">
        <f>IF(SUMIFS('Purchase Record'!G:G,'Purchase Record'!F:F,Sheet4!A408)=0,"",SUMIFS('Purchase Record'!G:G,'Purchase Record'!F:F,Sheet4!A408))</f>
        <v/>
      </c>
      <c r="D408" t="str">
        <f>IF(SUMIFS('Sales Record'!H:H,'Sales Record'!F:F,Sheet4!A408)=0,"",SUMIFS('Sales Record'!H:H,'Sales Record'!F:F,Sheet4!A408))</f>
        <v/>
      </c>
      <c r="E408" t="str">
        <f>IF(SUMIFS('Sales Return'!G:G,'Sales Return'!F:F,Sheet4!A408)=0,"",SUMIFS('Sales Return'!G:G,'Sales Return'!F:F,Sheet4!A408))</f>
        <v/>
      </c>
      <c r="F408" t="str">
        <f>IF(SUMIFS('Purchase Return'!G:G,'Purchase Return'!F:F,Sheet4!A408)=0,"",SUMIFS('Purchase Return'!G:G,'Purchase Return'!F:F,Sheet4!A408))</f>
        <v/>
      </c>
      <c r="G408" t="str">
        <f t="shared" si="6"/>
        <v/>
      </c>
    </row>
    <row r="409" spans="1:7">
      <c r="A409" t="str">
        <f>IF('Product List'!B409="","",'Product List'!B409)</f>
        <v/>
      </c>
      <c r="B409" t="str">
        <f>IF('Product List'!C409="","",'Product List'!C409)</f>
        <v/>
      </c>
      <c r="C409" t="str">
        <f>IF(SUMIFS('Purchase Record'!G:G,'Purchase Record'!F:F,Sheet4!A409)=0,"",SUMIFS('Purchase Record'!G:G,'Purchase Record'!F:F,Sheet4!A409))</f>
        <v/>
      </c>
      <c r="D409" t="str">
        <f>IF(SUMIFS('Sales Record'!H:H,'Sales Record'!F:F,Sheet4!A409)=0,"",SUMIFS('Sales Record'!H:H,'Sales Record'!F:F,Sheet4!A409))</f>
        <v/>
      </c>
      <c r="E409" t="str">
        <f>IF(SUMIFS('Sales Return'!G:G,'Sales Return'!F:F,Sheet4!A409)=0,"",SUMIFS('Sales Return'!G:G,'Sales Return'!F:F,Sheet4!A409))</f>
        <v/>
      </c>
      <c r="F409" t="str">
        <f>IF(SUMIFS('Purchase Return'!G:G,'Purchase Return'!F:F,Sheet4!A409)=0,"",SUMIFS('Purchase Return'!G:G,'Purchase Return'!F:F,Sheet4!A409))</f>
        <v/>
      </c>
      <c r="G409" t="str">
        <f t="shared" si="6"/>
        <v/>
      </c>
    </row>
    <row r="410" spans="1:7">
      <c r="A410" t="str">
        <f>IF('Product List'!B410="","",'Product List'!B410)</f>
        <v/>
      </c>
      <c r="B410" t="str">
        <f>IF('Product List'!C410="","",'Product List'!C410)</f>
        <v/>
      </c>
      <c r="C410" t="str">
        <f>IF(SUMIFS('Purchase Record'!G:G,'Purchase Record'!F:F,Sheet4!A410)=0,"",SUMIFS('Purchase Record'!G:G,'Purchase Record'!F:F,Sheet4!A410))</f>
        <v/>
      </c>
      <c r="D410" t="str">
        <f>IF(SUMIFS('Sales Record'!H:H,'Sales Record'!F:F,Sheet4!A410)=0,"",SUMIFS('Sales Record'!H:H,'Sales Record'!F:F,Sheet4!A410))</f>
        <v/>
      </c>
      <c r="E410" t="str">
        <f>IF(SUMIFS('Sales Return'!G:G,'Sales Return'!F:F,Sheet4!A410)=0,"",SUMIFS('Sales Return'!G:G,'Sales Return'!F:F,Sheet4!A410))</f>
        <v/>
      </c>
      <c r="F410" t="str">
        <f>IF(SUMIFS('Purchase Return'!G:G,'Purchase Return'!F:F,Sheet4!A410)=0,"",SUMIFS('Purchase Return'!G:G,'Purchase Return'!F:F,Sheet4!A410))</f>
        <v/>
      </c>
      <c r="G410" t="str">
        <f t="shared" si="6"/>
        <v/>
      </c>
    </row>
    <row r="411" spans="1:7">
      <c r="A411" t="str">
        <f>IF('Product List'!B411="","",'Product List'!B411)</f>
        <v/>
      </c>
      <c r="B411" t="str">
        <f>IF('Product List'!C411="","",'Product List'!C411)</f>
        <v/>
      </c>
      <c r="C411" t="str">
        <f>IF(SUMIFS('Purchase Record'!G:G,'Purchase Record'!F:F,Sheet4!A411)=0,"",SUMIFS('Purchase Record'!G:G,'Purchase Record'!F:F,Sheet4!A411))</f>
        <v/>
      </c>
      <c r="D411" t="str">
        <f>IF(SUMIFS('Sales Record'!H:H,'Sales Record'!F:F,Sheet4!A411)=0,"",SUMIFS('Sales Record'!H:H,'Sales Record'!F:F,Sheet4!A411))</f>
        <v/>
      </c>
      <c r="E411" t="str">
        <f>IF(SUMIFS('Sales Return'!G:G,'Sales Return'!F:F,Sheet4!A411)=0,"",SUMIFS('Sales Return'!G:G,'Sales Return'!F:F,Sheet4!A411))</f>
        <v/>
      </c>
      <c r="F411" t="str">
        <f>IF(SUMIFS('Purchase Return'!G:G,'Purchase Return'!F:F,Sheet4!A411)=0,"",SUMIFS('Purchase Return'!G:G,'Purchase Return'!F:F,Sheet4!A411))</f>
        <v/>
      </c>
      <c r="G411" t="str">
        <f t="shared" si="6"/>
        <v/>
      </c>
    </row>
    <row r="412" spans="1:7">
      <c r="A412" t="str">
        <f>IF('Product List'!B412="","",'Product List'!B412)</f>
        <v/>
      </c>
      <c r="B412" t="str">
        <f>IF('Product List'!C412="","",'Product List'!C412)</f>
        <v/>
      </c>
      <c r="C412" t="str">
        <f>IF(SUMIFS('Purchase Record'!G:G,'Purchase Record'!F:F,Sheet4!A412)=0,"",SUMIFS('Purchase Record'!G:G,'Purchase Record'!F:F,Sheet4!A412))</f>
        <v/>
      </c>
      <c r="D412" t="str">
        <f>IF(SUMIFS('Sales Record'!H:H,'Sales Record'!F:F,Sheet4!A412)=0,"",SUMIFS('Sales Record'!H:H,'Sales Record'!F:F,Sheet4!A412))</f>
        <v/>
      </c>
      <c r="E412" t="str">
        <f>IF(SUMIFS('Sales Return'!G:G,'Sales Return'!F:F,Sheet4!A412)=0,"",SUMIFS('Sales Return'!G:G,'Sales Return'!F:F,Sheet4!A412))</f>
        <v/>
      </c>
      <c r="F412" t="str">
        <f>IF(SUMIFS('Purchase Return'!G:G,'Purchase Return'!F:F,Sheet4!A412)=0,"",SUMIFS('Purchase Return'!G:G,'Purchase Return'!F:F,Sheet4!A412))</f>
        <v/>
      </c>
      <c r="G412" t="str">
        <f t="shared" si="6"/>
        <v/>
      </c>
    </row>
    <row r="413" spans="1:7">
      <c r="A413" t="str">
        <f>IF('Product List'!B413="","",'Product List'!B413)</f>
        <v/>
      </c>
      <c r="B413" t="str">
        <f>IF('Product List'!C413="","",'Product List'!C413)</f>
        <v/>
      </c>
      <c r="C413" t="str">
        <f>IF(SUMIFS('Purchase Record'!G:G,'Purchase Record'!F:F,Sheet4!A413)=0,"",SUMIFS('Purchase Record'!G:G,'Purchase Record'!F:F,Sheet4!A413))</f>
        <v/>
      </c>
      <c r="D413" t="str">
        <f>IF(SUMIFS('Sales Record'!H:H,'Sales Record'!F:F,Sheet4!A413)=0,"",SUMIFS('Sales Record'!H:H,'Sales Record'!F:F,Sheet4!A413))</f>
        <v/>
      </c>
      <c r="E413" t="str">
        <f>IF(SUMIFS('Sales Return'!G:G,'Sales Return'!F:F,Sheet4!A413)=0,"",SUMIFS('Sales Return'!G:G,'Sales Return'!F:F,Sheet4!A413))</f>
        <v/>
      </c>
      <c r="F413" t="str">
        <f>IF(SUMIFS('Purchase Return'!G:G,'Purchase Return'!F:F,Sheet4!A413)=0,"",SUMIFS('Purchase Return'!G:G,'Purchase Return'!F:F,Sheet4!A413))</f>
        <v/>
      </c>
      <c r="G413" t="str">
        <f t="shared" si="6"/>
        <v/>
      </c>
    </row>
    <row r="414" spans="1:7">
      <c r="A414" t="str">
        <f>IF('Product List'!B414="","",'Product List'!B414)</f>
        <v/>
      </c>
      <c r="B414" t="str">
        <f>IF('Product List'!C414="","",'Product List'!C414)</f>
        <v/>
      </c>
      <c r="C414" t="str">
        <f>IF(SUMIFS('Purchase Record'!G:G,'Purchase Record'!F:F,Sheet4!A414)=0,"",SUMIFS('Purchase Record'!G:G,'Purchase Record'!F:F,Sheet4!A414))</f>
        <v/>
      </c>
      <c r="D414" t="str">
        <f>IF(SUMIFS('Sales Record'!H:H,'Sales Record'!F:F,Sheet4!A414)=0,"",SUMIFS('Sales Record'!H:H,'Sales Record'!F:F,Sheet4!A414))</f>
        <v/>
      </c>
      <c r="E414" t="str">
        <f>IF(SUMIFS('Sales Return'!G:G,'Sales Return'!F:F,Sheet4!A414)=0,"",SUMIFS('Sales Return'!G:G,'Sales Return'!F:F,Sheet4!A414))</f>
        <v/>
      </c>
      <c r="F414" t="str">
        <f>IF(SUMIFS('Purchase Return'!G:G,'Purchase Return'!F:F,Sheet4!A414)=0,"",SUMIFS('Purchase Return'!G:G,'Purchase Return'!F:F,Sheet4!A414))</f>
        <v/>
      </c>
      <c r="G414" t="str">
        <f t="shared" si="6"/>
        <v/>
      </c>
    </row>
    <row r="415" spans="1:7">
      <c r="A415" t="str">
        <f>IF('Product List'!B415="","",'Product List'!B415)</f>
        <v/>
      </c>
      <c r="B415" t="str">
        <f>IF('Product List'!C415="","",'Product List'!C415)</f>
        <v/>
      </c>
      <c r="C415" t="str">
        <f>IF(SUMIFS('Purchase Record'!G:G,'Purchase Record'!F:F,Sheet4!A415)=0,"",SUMIFS('Purchase Record'!G:G,'Purchase Record'!F:F,Sheet4!A415))</f>
        <v/>
      </c>
      <c r="D415" t="str">
        <f>IF(SUMIFS('Sales Record'!H:H,'Sales Record'!F:F,Sheet4!A415)=0,"",SUMIFS('Sales Record'!H:H,'Sales Record'!F:F,Sheet4!A415))</f>
        <v/>
      </c>
      <c r="E415" t="str">
        <f>IF(SUMIFS('Sales Return'!G:G,'Sales Return'!F:F,Sheet4!A415)=0,"",SUMIFS('Sales Return'!G:G,'Sales Return'!F:F,Sheet4!A415))</f>
        <v/>
      </c>
      <c r="F415" t="str">
        <f>IF(SUMIFS('Purchase Return'!G:G,'Purchase Return'!F:F,Sheet4!A415)=0,"",SUMIFS('Purchase Return'!G:G,'Purchase Return'!F:F,Sheet4!A415))</f>
        <v/>
      </c>
      <c r="G415" t="str">
        <f t="shared" si="6"/>
        <v/>
      </c>
    </row>
    <row r="416" spans="1:7">
      <c r="A416" t="str">
        <f>IF('Product List'!B416="","",'Product List'!B416)</f>
        <v/>
      </c>
      <c r="B416" t="str">
        <f>IF('Product List'!C416="","",'Product List'!C416)</f>
        <v/>
      </c>
      <c r="C416" t="str">
        <f>IF(SUMIFS('Purchase Record'!G:G,'Purchase Record'!F:F,Sheet4!A416)=0,"",SUMIFS('Purchase Record'!G:G,'Purchase Record'!F:F,Sheet4!A416))</f>
        <v/>
      </c>
      <c r="D416" t="str">
        <f>IF(SUMIFS('Sales Record'!H:H,'Sales Record'!F:F,Sheet4!A416)=0,"",SUMIFS('Sales Record'!H:H,'Sales Record'!F:F,Sheet4!A416))</f>
        <v/>
      </c>
      <c r="E416" t="str">
        <f>IF(SUMIFS('Sales Return'!G:G,'Sales Return'!F:F,Sheet4!A416)=0,"",SUMIFS('Sales Return'!G:G,'Sales Return'!F:F,Sheet4!A416))</f>
        <v/>
      </c>
      <c r="F416" t="str">
        <f>IF(SUMIFS('Purchase Return'!G:G,'Purchase Return'!F:F,Sheet4!A416)=0,"",SUMIFS('Purchase Return'!G:G,'Purchase Return'!F:F,Sheet4!A416))</f>
        <v/>
      </c>
      <c r="G416" t="str">
        <f t="shared" si="6"/>
        <v/>
      </c>
    </row>
    <row r="417" spans="1:7">
      <c r="A417" t="str">
        <f>IF('Product List'!B417="","",'Product List'!B417)</f>
        <v/>
      </c>
      <c r="B417" t="str">
        <f>IF('Product List'!C417="","",'Product List'!C417)</f>
        <v/>
      </c>
      <c r="C417" t="str">
        <f>IF(SUMIFS('Purchase Record'!G:G,'Purchase Record'!F:F,Sheet4!A417)=0,"",SUMIFS('Purchase Record'!G:G,'Purchase Record'!F:F,Sheet4!A417))</f>
        <v/>
      </c>
      <c r="D417" t="str">
        <f>IF(SUMIFS('Sales Record'!H:H,'Sales Record'!F:F,Sheet4!A417)=0,"",SUMIFS('Sales Record'!H:H,'Sales Record'!F:F,Sheet4!A417))</f>
        <v/>
      </c>
      <c r="E417" t="str">
        <f>IF(SUMIFS('Sales Return'!G:G,'Sales Return'!F:F,Sheet4!A417)=0,"",SUMIFS('Sales Return'!G:G,'Sales Return'!F:F,Sheet4!A417))</f>
        <v/>
      </c>
      <c r="F417" t="str">
        <f>IF(SUMIFS('Purchase Return'!G:G,'Purchase Return'!F:F,Sheet4!A417)=0,"",SUMIFS('Purchase Return'!G:G,'Purchase Return'!F:F,Sheet4!A417))</f>
        <v/>
      </c>
      <c r="G417" t="str">
        <f t="shared" si="6"/>
        <v/>
      </c>
    </row>
    <row r="418" spans="1:7">
      <c r="A418" t="str">
        <f>IF('Product List'!B418="","",'Product List'!B418)</f>
        <v/>
      </c>
      <c r="B418" t="str">
        <f>IF('Product List'!C418="","",'Product List'!C418)</f>
        <v/>
      </c>
      <c r="C418" t="str">
        <f>IF(SUMIFS('Purchase Record'!G:G,'Purchase Record'!F:F,Sheet4!A418)=0,"",SUMIFS('Purchase Record'!G:G,'Purchase Record'!F:F,Sheet4!A418))</f>
        <v/>
      </c>
      <c r="D418" t="str">
        <f>IF(SUMIFS('Sales Record'!H:H,'Sales Record'!F:F,Sheet4!A418)=0,"",SUMIFS('Sales Record'!H:H,'Sales Record'!F:F,Sheet4!A418))</f>
        <v/>
      </c>
      <c r="E418" t="str">
        <f>IF(SUMIFS('Sales Return'!G:G,'Sales Return'!F:F,Sheet4!A418)=0,"",SUMIFS('Sales Return'!G:G,'Sales Return'!F:F,Sheet4!A418))</f>
        <v/>
      </c>
      <c r="F418" t="str">
        <f>IF(SUMIFS('Purchase Return'!G:G,'Purchase Return'!F:F,Sheet4!A418)=0,"",SUMIFS('Purchase Return'!G:G,'Purchase Return'!F:F,Sheet4!A418))</f>
        <v/>
      </c>
      <c r="G418" t="str">
        <f t="shared" si="6"/>
        <v/>
      </c>
    </row>
    <row r="419" spans="1:7">
      <c r="A419" t="str">
        <f>IF('Product List'!B419="","",'Product List'!B419)</f>
        <v/>
      </c>
      <c r="B419" t="str">
        <f>IF('Product List'!C419="","",'Product List'!C419)</f>
        <v/>
      </c>
      <c r="C419" t="str">
        <f>IF(SUMIFS('Purchase Record'!G:G,'Purchase Record'!F:F,Sheet4!A419)=0,"",SUMIFS('Purchase Record'!G:G,'Purchase Record'!F:F,Sheet4!A419))</f>
        <v/>
      </c>
      <c r="D419" t="str">
        <f>IF(SUMIFS('Sales Record'!H:H,'Sales Record'!F:F,Sheet4!A419)=0,"",SUMIFS('Sales Record'!H:H,'Sales Record'!F:F,Sheet4!A419))</f>
        <v/>
      </c>
      <c r="E419" t="str">
        <f>IF(SUMIFS('Sales Return'!G:G,'Sales Return'!F:F,Sheet4!A419)=0,"",SUMIFS('Sales Return'!G:G,'Sales Return'!F:F,Sheet4!A419))</f>
        <v/>
      </c>
      <c r="F419" t="str">
        <f>IF(SUMIFS('Purchase Return'!G:G,'Purchase Return'!F:F,Sheet4!A419)=0,"",SUMIFS('Purchase Return'!G:G,'Purchase Return'!F:F,Sheet4!A419))</f>
        <v/>
      </c>
      <c r="G419" t="str">
        <f t="shared" si="6"/>
        <v/>
      </c>
    </row>
    <row r="420" spans="1:7">
      <c r="A420" t="str">
        <f>IF('Product List'!B420="","",'Product List'!B420)</f>
        <v/>
      </c>
      <c r="B420" t="str">
        <f>IF('Product List'!C420="","",'Product List'!C420)</f>
        <v/>
      </c>
      <c r="C420" t="str">
        <f>IF(SUMIFS('Purchase Record'!G:G,'Purchase Record'!F:F,Sheet4!A420)=0,"",SUMIFS('Purchase Record'!G:G,'Purchase Record'!F:F,Sheet4!A420))</f>
        <v/>
      </c>
      <c r="D420" t="str">
        <f>IF(SUMIFS('Sales Record'!H:H,'Sales Record'!F:F,Sheet4!A420)=0,"",SUMIFS('Sales Record'!H:H,'Sales Record'!F:F,Sheet4!A420))</f>
        <v/>
      </c>
      <c r="E420" t="str">
        <f>IF(SUMIFS('Sales Return'!G:G,'Sales Return'!F:F,Sheet4!A420)=0,"",SUMIFS('Sales Return'!G:G,'Sales Return'!F:F,Sheet4!A420))</f>
        <v/>
      </c>
      <c r="F420" t="str">
        <f>IF(SUMIFS('Purchase Return'!G:G,'Purchase Return'!F:F,Sheet4!A420)=0,"",SUMIFS('Purchase Return'!G:G,'Purchase Return'!F:F,Sheet4!A420))</f>
        <v/>
      </c>
      <c r="G420" t="str">
        <f t="shared" si="6"/>
        <v/>
      </c>
    </row>
    <row r="421" spans="1:7">
      <c r="A421" t="str">
        <f>IF('Product List'!B421="","",'Product List'!B421)</f>
        <v/>
      </c>
      <c r="B421" t="str">
        <f>IF('Product List'!C421="","",'Product List'!C421)</f>
        <v/>
      </c>
      <c r="C421" t="str">
        <f>IF(SUMIFS('Purchase Record'!G:G,'Purchase Record'!F:F,Sheet4!A421)=0,"",SUMIFS('Purchase Record'!G:G,'Purchase Record'!F:F,Sheet4!A421))</f>
        <v/>
      </c>
      <c r="D421" t="str">
        <f>IF(SUMIFS('Sales Record'!H:H,'Sales Record'!F:F,Sheet4!A421)=0,"",SUMIFS('Sales Record'!H:H,'Sales Record'!F:F,Sheet4!A421))</f>
        <v/>
      </c>
      <c r="E421" t="str">
        <f>IF(SUMIFS('Sales Return'!G:G,'Sales Return'!F:F,Sheet4!A421)=0,"",SUMIFS('Sales Return'!G:G,'Sales Return'!F:F,Sheet4!A421))</f>
        <v/>
      </c>
      <c r="F421" t="str">
        <f>IF(SUMIFS('Purchase Return'!G:G,'Purchase Return'!F:F,Sheet4!A421)=0,"",SUMIFS('Purchase Return'!G:G,'Purchase Return'!F:F,Sheet4!A421))</f>
        <v/>
      </c>
      <c r="G421" t="str">
        <f t="shared" si="6"/>
        <v/>
      </c>
    </row>
    <row r="422" spans="1:7">
      <c r="A422" t="str">
        <f>IF('Product List'!B422="","",'Product List'!B422)</f>
        <v/>
      </c>
      <c r="B422" t="str">
        <f>IF('Product List'!C422="","",'Product List'!C422)</f>
        <v/>
      </c>
      <c r="C422" t="str">
        <f>IF(SUMIFS('Purchase Record'!G:G,'Purchase Record'!F:F,Sheet4!A422)=0,"",SUMIFS('Purchase Record'!G:G,'Purchase Record'!F:F,Sheet4!A422))</f>
        <v/>
      </c>
      <c r="D422" t="str">
        <f>IF(SUMIFS('Sales Record'!H:H,'Sales Record'!F:F,Sheet4!A422)=0,"",SUMIFS('Sales Record'!H:H,'Sales Record'!F:F,Sheet4!A422))</f>
        <v/>
      </c>
      <c r="E422" t="str">
        <f>IF(SUMIFS('Sales Return'!G:G,'Sales Return'!F:F,Sheet4!A422)=0,"",SUMIFS('Sales Return'!G:G,'Sales Return'!F:F,Sheet4!A422))</f>
        <v/>
      </c>
      <c r="F422" t="str">
        <f>IF(SUMIFS('Purchase Return'!G:G,'Purchase Return'!F:F,Sheet4!A422)=0,"",SUMIFS('Purchase Return'!G:G,'Purchase Return'!F:F,Sheet4!A422))</f>
        <v/>
      </c>
      <c r="G422" t="str">
        <f t="shared" si="6"/>
        <v/>
      </c>
    </row>
    <row r="423" spans="1:7">
      <c r="A423" t="str">
        <f>IF('Product List'!B423="","",'Product List'!B423)</f>
        <v/>
      </c>
      <c r="B423" t="str">
        <f>IF('Product List'!C423="","",'Product List'!C423)</f>
        <v/>
      </c>
      <c r="C423" t="str">
        <f>IF(SUMIFS('Purchase Record'!G:G,'Purchase Record'!F:F,Sheet4!A423)=0,"",SUMIFS('Purchase Record'!G:G,'Purchase Record'!F:F,Sheet4!A423))</f>
        <v/>
      </c>
      <c r="D423" t="str">
        <f>IF(SUMIFS('Sales Record'!H:H,'Sales Record'!F:F,Sheet4!A423)=0,"",SUMIFS('Sales Record'!H:H,'Sales Record'!F:F,Sheet4!A423))</f>
        <v/>
      </c>
      <c r="E423" t="str">
        <f>IF(SUMIFS('Sales Return'!G:G,'Sales Return'!F:F,Sheet4!A423)=0,"",SUMIFS('Sales Return'!G:G,'Sales Return'!F:F,Sheet4!A423))</f>
        <v/>
      </c>
      <c r="F423" t="str">
        <f>IF(SUMIFS('Purchase Return'!G:G,'Purchase Return'!F:F,Sheet4!A423)=0,"",SUMIFS('Purchase Return'!G:G,'Purchase Return'!F:F,Sheet4!A423))</f>
        <v/>
      </c>
      <c r="G423" t="str">
        <f t="shared" si="6"/>
        <v/>
      </c>
    </row>
    <row r="424" spans="1:7">
      <c r="A424" t="str">
        <f>IF('Product List'!B424="","",'Product List'!B424)</f>
        <v/>
      </c>
      <c r="B424" t="str">
        <f>IF('Product List'!C424="","",'Product List'!C424)</f>
        <v/>
      </c>
      <c r="C424" t="str">
        <f>IF(SUMIFS('Purchase Record'!G:G,'Purchase Record'!F:F,Sheet4!A424)=0,"",SUMIFS('Purchase Record'!G:G,'Purchase Record'!F:F,Sheet4!A424))</f>
        <v/>
      </c>
      <c r="D424" t="str">
        <f>IF(SUMIFS('Sales Record'!H:H,'Sales Record'!F:F,Sheet4!A424)=0,"",SUMIFS('Sales Record'!H:H,'Sales Record'!F:F,Sheet4!A424))</f>
        <v/>
      </c>
      <c r="E424" t="str">
        <f>IF(SUMIFS('Sales Return'!G:G,'Sales Return'!F:F,Sheet4!A424)=0,"",SUMIFS('Sales Return'!G:G,'Sales Return'!F:F,Sheet4!A424))</f>
        <v/>
      </c>
      <c r="F424" t="str">
        <f>IF(SUMIFS('Purchase Return'!G:G,'Purchase Return'!F:F,Sheet4!A424)=0,"",SUMIFS('Purchase Return'!G:G,'Purchase Return'!F:F,Sheet4!A424))</f>
        <v/>
      </c>
      <c r="G424" t="str">
        <f t="shared" si="6"/>
        <v/>
      </c>
    </row>
    <row r="425" spans="1:7">
      <c r="A425" t="str">
        <f>IF('Product List'!B425="","",'Product List'!B425)</f>
        <v/>
      </c>
      <c r="B425" t="str">
        <f>IF('Product List'!C425="","",'Product List'!C425)</f>
        <v/>
      </c>
      <c r="C425" t="str">
        <f>IF(SUMIFS('Purchase Record'!G:G,'Purchase Record'!F:F,Sheet4!A425)=0,"",SUMIFS('Purchase Record'!G:G,'Purchase Record'!F:F,Sheet4!A425))</f>
        <v/>
      </c>
      <c r="D425" t="str">
        <f>IF(SUMIFS('Sales Record'!H:H,'Sales Record'!F:F,Sheet4!A425)=0,"",SUMIFS('Sales Record'!H:H,'Sales Record'!F:F,Sheet4!A425))</f>
        <v/>
      </c>
      <c r="E425" t="str">
        <f>IF(SUMIFS('Sales Return'!G:G,'Sales Return'!F:F,Sheet4!A425)=0,"",SUMIFS('Sales Return'!G:G,'Sales Return'!F:F,Sheet4!A425))</f>
        <v/>
      </c>
      <c r="F425" t="str">
        <f>IF(SUMIFS('Purchase Return'!G:G,'Purchase Return'!F:F,Sheet4!A425)=0,"",SUMIFS('Purchase Return'!G:G,'Purchase Return'!F:F,Sheet4!A425))</f>
        <v/>
      </c>
      <c r="G425" t="str">
        <f t="shared" si="6"/>
        <v/>
      </c>
    </row>
    <row r="426" spans="1:7">
      <c r="A426" t="str">
        <f>IF('Product List'!B426="","",'Product List'!B426)</f>
        <v/>
      </c>
      <c r="B426" t="str">
        <f>IF('Product List'!C426="","",'Product List'!C426)</f>
        <v/>
      </c>
      <c r="C426" t="str">
        <f>IF(SUMIFS('Purchase Record'!G:G,'Purchase Record'!F:F,Sheet4!A426)=0,"",SUMIFS('Purchase Record'!G:G,'Purchase Record'!F:F,Sheet4!A426))</f>
        <v/>
      </c>
      <c r="D426" t="str">
        <f>IF(SUMIFS('Sales Record'!H:H,'Sales Record'!F:F,Sheet4!A426)=0,"",SUMIFS('Sales Record'!H:H,'Sales Record'!F:F,Sheet4!A426))</f>
        <v/>
      </c>
      <c r="E426" t="str">
        <f>IF(SUMIFS('Sales Return'!G:G,'Sales Return'!F:F,Sheet4!A426)=0,"",SUMIFS('Sales Return'!G:G,'Sales Return'!F:F,Sheet4!A426))</f>
        <v/>
      </c>
      <c r="F426" t="str">
        <f>IF(SUMIFS('Purchase Return'!G:G,'Purchase Return'!F:F,Sheet4!A426)=0,"",SUMIFS('Purchase Return'!G:G,'Purchase Return'!F:F,Sheet4!A426))</f>
        <v/>
      </c>
      <c r="G426" t="str">
        <f t="shared" si="6"/>
        <v/>
      </c>
    </row>
    <row r="427" spans="1:7">
      <c r="A427" t="str">
        <f>IF('Product List'!B427="","",'Product List'!B427)</f>
        <v/>
      </c>
      <c r="B427" t="str">
        <f>IF('Product List'!C427="","",'Product List'!C427)</f>
        <v/>
      </c>
      <c r="C427" t="str">
        <f>IF(SUMIFS('Purchase Record'!G:G,'Purchase Record'!F:F,Sheet4!A427)=0,"",SUMIFS('Purchase Record'!G:G,'Purchase Record'!F:F,Sheet4!A427))</f>
        <v/>
      </c>
      <c r="D427" t="str">
        <f>IF(SUMIFS('Sales Record'!H:H,'Sales Record'!F:F,Sheet4!A427)=0,"",SUMIFS('Sales Record'!H:H,'Sales Record'!F:F,Sheet4!A427))</f>
        <v/>
      </c>
      <c r="E427" t="str">
        <f>IF(SUMIFS('Sales Return'!G:G,'Sales Return'!F:F,Sheet4!A427)=0,"",SUMIFS('Sales Return'!G:G,'Sales Return'!F:F,Sheet4!A427))</f>
        <v/>
      </c>
      <c r="F427" t="str">
        <f>IF(SUMIFS('Purchase Return'!G:G,'Purchase Return'!F:F,Sheet4!A427)=0,"",SUMIFS('Purchase Return'!G:G,'Purchase Return'!F:F,Sheet4!A427))</f>
        <v/>
      </c>
      <c r="G427" t="str">
        <f t="shared" si="6"/>
        <v/>
      </c>
    </row>
    <row r="428" spans="1:7">
      <c r="A428" t="str">
        <f>IF('Product List'!B428="","",'Product List'!B428)</f>
        <v/>
      </c>
      <c r="B428" t="str">
        <f>IF('Product List'!C428="","",'Product List'!C428)</f>
        <v/>
      </c>
      <c r="C428" t="str">
        <f>IF(SUMIFS('Purchase Record'!G:G,'Purchase Record'!F:F,Sheet4!A428)=0,"",SUMIFS('Purchase Record'!G:G,'Purchase Record'!F:F,Sheet4!A428))</f>
        <v/>
      </c>
      <c r="D428" t="str">
        <f>IF(SUMIFS('Sales Record'!H:H,'Sales Record'!F:F,Sheet4!A428)=0,"",SUMIFS('Sales Record'!H:H,'Sales Record'!F:F,Sheet4!A428))</f>
        <v/>
      </c>
      <c r="E428" t="str">
        <f>IF(SUMIFS('Sales Return'!G:G,'Sales Return'!F:F,Sheet4!A428)=0,"",SUMIFS('Sales Return'!G:G,'Sales Return'!F:F,Sheet4!A428))</f>
        <v/>
      </c>
      <c r="F428" t="str">
        <f>IF(SUMIFS('Purchase Return'!G:G,'Purchase Return'!F:F,Sheet4!A428)=0,"",SUMIFS('Purchase Return'!G:G,'Purchase Return'!F:F,Sheet4!A428))</f>
        <v/>
      </c>
      <c r="G428" t="str">
        <f t="shared" si="6"/>
        <v/>
      </c>
    </row>
    <row r="429" spans="1:7">
      <c r="A429" t="str">
        <f>IF('Product List'!B429="","",'Product List'!B429)</f>
        <v/>
      </c>
      <c r="B429" t="str">
        <f>IF('Product List'!C429="","",'Product List'!C429)</f>
        <v/>
      </c>
      <c r="C429" t="str">
        <f>IF(SUMIFS('Purchase Record'!G:G,'Purchase Record'!F:F,Sheet4!A429)=0,"",SUMIFS('Purchase Record'!G:G,'Purchase Record'!F:F,Sheet4!A429))</f>
        <v/>
      </c>
      <c r="D429" t="str">
        <f>IF(SUMIFS('Sales Record'!H:H,'Sales Record'!F:F,Sheet4!A429)=0,"",SUMIFS('Sales Record'!H:H,'Sales Record'!F:F,Sheet4!A429))</f>
        <v/>
      </c>
      <c r="E429" t="str">
        <f>IF(SUMIFS('Sales Return'!G:G,'Sales Return'!F:F,Sheet4!A429)=0,"",SUMIFS('Sales Return'!G:G,'Sales Return'!F:F,Sheet4!A429))</f>
        <v/>
      </c>
      <c r="F429" t="str">
        <f>IF(SUMIFS('Purchase Return'!G:G,'Purchase Return'!F:F,Sheet4!A429)=0,"",SUMIFS('Purchase Return'!G:G,'Purchase Return'!F:F,Sheet4!A429))</f>
        <v/>
      </c>
      <c r="G429" t="str">
        <f t="shared" si="6"/>
        <v/>
      </c>
    </row>
    <row r="430" spans="1:7">
      <c r="A430" t="str">
        <f>IF('Product List'!B430="","",'Product List'!B430)</f>
        <v/>
      </c>
      <c r="B430" t="str">
        <f>IF('Product List'!C430="","",'Product List'!C430)</f>
        <v/>
      </c>
      <c r="C430" t="str">
        <f>IF(SUMIFS('Purchase Record'!G:G,'Purchase Record'!F:F,Sheet4!A430)=0,"",SUMIFS('Purchase Record'!G:G,'Purchase Record'!F:F,Sheet4!A430))</f>
        <v/>
      </c>
      <c r="D430" t="str">
        <f>IF(SUMIFS('Sales Record'!H:H,'Sales Record'!F:F,Sheet4!A430)=0,"",SUMIFS('Sales Record'!H:H,'Sales Record'!F:F,Sheet4!A430))</f>
        <v/>
      </c>
      <c r="E430" t="str">
        <f>IF(SUMIFS('Sales Return'!G:G,'Sales Return'!F:F,Sheet4!A430)=0,"",SUMIFS('Sales Return'!G:G,'Sales Return'!F:F,Sheet4!A430))</f>
        <v/>
      </c>
      <c r="F430" t="str">
        <f>IF(SUMIFS('Purchase Return'!G:G,'Purchase Return'!F:F,Sheet4!A430)=0,"",SUMIFS('Purchase Return'!G:G,'Purchase Return'!F:F,Sheet4!A430))</f>
        <v/>
      </c>
      <c r="G430" t="str">
        <f t="shared" si="6"/>
        <v/>
      </c>
    </row>
    <row r="431" spans="1:7">
      <c r="A431" t="str">
        <f>IF('Product List'!B431="","",'Product List'!B431)</f>
        <v/>
      </c>
      <c r="B431" t="str">
        <f>IF('Product List'!C431="","",'Product List'!C431)</f>
        <v/>
      </c>
      <c r="C431" t="str">
        <f>IF(SUMIFS('Purchase Record'!G:G,'Purchase Record'!F:F,Sheet4!A431)=0,"",SUMIFS('Purchase Record'!G:G,'Purchase Record'!F:F,Sheet4!A431))</f>
        <v/>
      </c>
      <c r="D431" t="str">
        <f>IF(SUMIFS('Sales Record'!H:H,'Sales Record'!F:F,Sheet4!A431)=0,"",SUMIFS('Sales Record'!H:H,'Sales Record'!F:F,Sheet4!A431))</f>
        <v/>
      </c>
      <c r="E431" t="str">
        <f>IF(SUMIFS('Sales Return'!G:G,'Sales Return'!F:F,Sheet4!A431)=0,"",SUMIFS('Sales Return'!G:G,'Sales Return'!F:F,Sheet4!A431))</f>
        <v/>
      </c>
      <c r="F431" t="str">
        <f>IF(SUMIFS('Purchase Return'!G:G,'Purchase Return'!F:F,Sheet4!A431)=0,"",SUMIFS('Purchase Return'!G:G,'Purchase Return'!F:F,Sheet4!A431))</f>
        <v/>
      </c>
      <c r="G431" t="str">
        <f t="shared" si="6"/>
        <v/>
      </c>
    </row>
    <row r="432" spans="1:7">
      <c r="A432" t="str">
        <f>IF('Product List'!B432="","",'Product List'!B432)</f>
        <v/>
      </c>
      <c r="B432" t="str">
        <f>IF('Product List'!C432="","",'Product List'!C432)</f>
        <v/>
      </c>
      <c r="C432" t="str">
        <f>IF(SUMIFS('Purchase Record'!G:G,'Purchase Record'!F:F,Sheet4!A432)=0,"",SUMIFS('Purchase Record'!G:G,'Purchase Record'!F:F,Sheet4!A432))</f>
        <v/>
      </c>
      <c r="D432" t="str">
        <f>IF(SUMIFS('Sales Record'!H:H,'Sales Record'!F:F,Sheet4!A432)=0,"",SUMIFS('Sales Record'!H:H,'Sales Record'!F:F,Sheet4!A432))</f>
        <v/>
      </c>
      <c r="E432" t="str">
        <f>IF(SUMIFS('Sales Return'!G:G,'Sales Return'!F:F,Sheet4!A432)=0,"",SUMIFS('Sales Return'!G:G,'Sales Return'!F:F,Sheet4!A432))</f>
        <v/>
      </c>
      <c r="F432" t="str">
        <f>IF(SUMIFS('Purchase Return'!G:G,'Purchase Return'!F:F,Sheet4!A432)=0,"",SUMIFS('Purchase Return'!G:G,'Purchase Return'!F:F,Sheet4!A432))</f>
        <v/>
      </c>
      <c r="G432" t="str">
        <f t="shared" si="6"/>
        <v/>
      </c>
    </row>
    <row r="433" spans="1:7">
      <c r="A433" t="str">
        <f>IF('Product List'!B433="","",'Product List'!B433)</f>
        <v/>
      </c>
      <c r="B433" t="str">
        <f>IF('Product List'!C433="","",'Product List'!C433)</f>
        <v/>
      </c>
      <c r="C433" t="str">
        <f>IF(SUMIFS('Purchase Record'!G:G,'Purchase Record'!F:F,Sheet4!A433)=0,"",SUMIFS('Purchase Record'!G:G,'Purchase Record'!F:F,Sheet4!A433))</f>
        <v/>
      </c>
      <c r="D433" t="str">
        <f>IF(SUMIFS('Sales Record'!H:H,'Sales Record'!F:F,Sheet4!A433)=0,"",SUMIFS('Sales Record'!H:H,'Sales Record'!F:F,Sheet4!A433))</f>
        <v/>
      </c>
      <c r="E433" t="str">
        <f>IF(SUMIFS('Sales Return'!G:G,'Sales Return'!F:F,Sheet4!A433)=0,"",SUMIFS('Sales Return'!G:G,'Sales Return'!F:F,Sheet4!A433))</f>
        <v/>
      </c>
      <c r="F433" t="str">
        <f>IF(SUMIFS('Purchase Return'!G:G,'Purchase Return'!F:F,Sheet4!A433)=0,"",SUMIFS('Purchase Return'!G:G,'Purchase Return'!F:F,Sheet4!A433))</f>
        <v/>
      </c>
      <c r="G433" t="str">
        <f t="shared" si="6"/>
        <v/>
      </c>
    </row>
    <row r="434" spans="1:7">
      <c r="A434" t="str">
        <f>IF('Product List'!B434="","",'Product List'!B434)</f>
        <v/>
      </c>
      <c r="B434" t="str">
        <f>IF('Product List'!C434="","",'Product List'!C434)</f>
        <v/>
      </c>
      <c r="C434" t="str">
        <f>IF(SUMIFS('Purchase Record'!G:G,'Purchase Record'!F:F,Sheet4!A434)=0,"",SUMIFS('Purchase Record'!G:G,'Purchase Record'!F:F,Sheet4!A434))</f>
        <v/>
      </c>
      <c r="D434" t="str">
        <f>IF(SUMIFS('Sales Record'!H:H,'Sales Record'!F:F,Sheet4!A434)=0,"",SUMIFS('Sales Record'!H:H,'Sales Record'!F:F,Sheet4!A434))</f>
        <v/>
      </c>
      <c r="E434" t="str">
        <f>IF(SUMIFS('Sales Return'!G:G,'Sales Return'!F:F,Sheet4!A434)=0,"",SUMIFS('Sales Return'!G:G,'Sales Return'!F:F,Sheet4!A434))</f>
        <v/>
      </c>
      <c r="F434" t="str">
        <f>IF(SUMIFS('Purchase Return'!G:G,'Purchase Return'!F:F,Sheet4!A434)=0,"",SUMIFS('Purchase Return'!G:G,'Purchase Return'!F:F,Sheet4!A434))</f>
        <v/>
      </c>
      <c r="G434" t="str">
        <f t="shared" si="6"/>
        <v/>
      </c>
    </row>
    <row r="435" spans="1:7">
      <c r="A435" t="str">
        <f>IF('Product List'!B435="","",'Product List'!B435)</f>
        <v/>
      </c>
      <c r="B435" t="str">
        <f>IF('Product List'!C435="","",'Product List'!C435)</f>
        <v/>
      </c>
      <c r="C435" t="str">
        <f>IF(SUMIFS('Purchase Record'!G:G,'Purchase Record'!F:F,Sheet4!A435)=0,"",SUMIFS('Purchase Record'!G:G,'Purchase Record'!F:F,Sheet4!A435))</f>
        <v/>
      </c>
      <c r="D435" t="str">
        <f>IF(SUMIFS('Sales Record'!H:H,'Sales Record'!F:F,Sheet4!A435)=0,"",SUMIFS('Sales Record'!H:H,'Sales Record'!F:F,Sheet4!A435))</f>
        <v/>
      </c>
      <c r="E435" t="str">
        <f>IF(SUMIFS('Sales Return'!G:G,'Sales Return'!F:F,Sheet4!A435)=0,"",SUMIFS('Sales Return'!G:G,'Sales Return'!F:F,Sheet4!A435))</f>
        <v/>
      </c>
      <c r="F435" t="str">
        <f>IF(SUMIFS('Purchase Return'!G:G,'Purchase Return'!F:F,Sheet4!A435)=0,"",SUMIFS('Purchase Return'!G:G,'Purchase Return'!F:F,Sheet4!A435))</f>
        <v/>
      </c>
      <c r="G435" t="str">
        <f t="shared" si="6"/>
        <v/>
      </c>
    </row>
    <row r="436" spans="1:7">
      <c r="A436" t="str">
        <f>IF('Product List'!B436="","",'Product List'!B436)</f>
        <v/>
      </c>
      <c r="B436" t="str">
        <f>IF('Product List'!C436="","",'Product List'!C436)</f>
        <v/>
      </c>
      <c r="C436" t="str">
        <f>IF(SUMIFS('Purchase Record'!G:G,'Purchase Record'!F:F,Sheet4!A436)=0,"",SUMIFS('Purchase Record'!G:G,'Purchase Record'!F:F,Sheet4!A436))</f>
        <v/>
      </c>
      <c r="D436" t="str">
        <f>IF(SUMIFS('Sales Record'!H:H,'Sales Record'!F:F,Sheet4!A436)=0,"",SUMIFS('Sales Record'!H:H,'Sales Record'!F:F,Sheet4!A436))</f>
        <v/>
      </c>
      <c r="E436" t="str">
        <f>IF(SUMIFS('Sales Return'!G:G,'Sales Return'!F:F,Sheet4!A436)=0,"",SUMIFS('Sales Return'!G:G,'Sales Return'!F:F,Sheet4!A436))</f>
        <v/>
      </c>
      <c r="F436" t="str">
        <f>IF(SUMIFS('Purchase Return'!G:G,'Purchase Return'!F:F,Sheet4!A436)=0,"",SUMIFS('Purchase Return'!G:G,'Purchase Return'!F:F,Sheet4!A436))</f>
        <v/>
      </c>
      <c r="G436" t="str">
        <f t="shared" si="6"/>
        <v/>
      </c>
    </row>
    <row r="437" spans="1:7">
      <c r="A437" t="str">
        <f>IF('Product List'!B437="","",'Product List'!B437)</f>
        <v/>
      </c>
      <c r="B437" t="str">
        <f>IF('Product List'!C437="","",'Product List'!C437)</f>
        <v/>
      </c>
      <c r="C437" t="str">
        <f>IF(SUMIFS('Purchase Record'!G:G,'Purchase Record'!F:F,Sheet4!A437)=0,"",SUMIFS('Purchase Record'!G:G,'Purchase Record'!F:F,Sheet4!A437))</f>
        <v/>
      </c>
      <c r="D437" t="str">
        <f>IF(SUMIFS('Sales Record'!H:H,'Sales Record'!F:F,Sheet4!A437)=0,"",SUMIFS('Sales Record'!H:H,'Sales Record'!F:F,Sheet4!A437))</f>
        <v/>
      </c>
      <c r="E437" t="str">
        <f>IF(SUMIFS('Sales Return'!G:G,'Sales Return'!F:F,Sheet4!A437)=0,"",SUMIFS('Sales Return'!G:G,'Sales Return'!F:F,Sheet4!A437))</f>
        <v/>
      </c>
      <c r="F437" t="str">
        <f>IF(SUMIFS('Purchase Return'!G:G,'Purchase Return'!F:F,Sheet4!A437)=0,"",SUMIFS('Purchase Return'!G:G,'Purchase Return'!F:F,Sheet4!A437))</f>
        <v/>
      </c>
      <c r="G437" t="str">
        <f t="shared" si="6"/>
        <v/>
      </c>
    </row>
    <row r="438" spans="1:7">
      <c r="A438" t="str">
        <f>IF('Product List'!B438="","",'Product List'!B438)</f>
        <v/>
      </c>
      <c r="B438" t="str">
        <f>IF('Product List'!C438="","",'Product List'!C438)</f>
        <v/>
      </c>
      <c r="C438" t="str">
        <f>IF(SUMIFS('Purchase Record'!G:G,'Purchase Record'!F:F,Sheet4!A438)=0,"",SUMIFS('Purchase Record'!G:G,'Purchase Record'!F:F,Sheet4!A438))</f>
        <v/>
      </c>
      <c r="D438" t="str">
        <f>IF(SUMIFS('Sales Record'!H:H,'Sales Record'!F:F,Sheet4!A438)=0,"",SUMIFS('Sales Record'!H:H,'Sales Record'!F:F,Sheet4!A438))</f>
        <v/>
      </c>
      <c r="E438" t="str">
        <f>IF(SUMIFS('Sales Return'!G:G,'Sales Return'!F:F,Sheet4!A438)=0,"",SUMIFS('Sales Return'!G:G,'Sales Return'!F:F,Sheet4!A438))</f>
        <v/>
      </c>
      <c r="F438" t="str">
        <f>IF(SUMIFS('Purchase Return'!G:G,'Purchase Return'!F:F,Sheet4!A438)=0,"",SUMIFS('Purchase Return'!G:G,'Purchase Return'!F:F,Sheet4!A438))</f>
        <v/>
      </c>
      <c r="G438" t="str">
        <f t="shared" si="6"/>
        <v/>
      </c>
    </row>
    <row r="439" spans="1:7">
      <c r="A439" t="str">
        <f>IF('Product List'!B439="","",'Product List'!B439)</f>
        <v/>
      </c>
      <c r="B439" t="str">
        <f>IF('Product List'!C439="","",'Product List'!C439)</f>
        <v/>
      </c>
      <c r="C439" t="str">
        <f>IF(SUMIFS('Purchase Record'!G:G,'Purchase Record'!F:F,Sheet4!A439)=0,"",SUMIFS('Purchase Record'!G:G,'Purchase Record'!F:F,Sheet4!A439))</f>
        <v/>
      </c>
      <c r="D439" t="str">
        <f>IF(SUMIFS('Sales Record'!H:H,'Sales Record'!F:F,Sheet4!A439)=0,"",SUMIFS('Sales Record'!H:H,'Sales Record'!F:F,Sheet4!A439))</f>
        <v/>
      </c>
      <c r="E439" t="str">
        <f>IF(SUMIFS('Sales Return'!G:G,'Sales Return'!F:F,Sheet4!A439)=0,"",SUMIFS('Sales Return'!G:G,'Sales Return'!F:F,Sheet4!A439))</f>
        <v/>
      </c>
      <c r="F439" t="str">
        <f>IF(SUMIFS('Purchase Return'!G:G,'Purchase Return'!F:F,Sheet4!A439)=0,"",SUMIFS('Purchase Return'!G:G,'Purchase Return'!F:F,Sheet4!A439))</f>
        <v/>
      </c>
      <c r="G439" t="str">
        <f t="shared" si="6"/>
        <v/>
      </c>
    </row>
    <row r="440" spans="1:7">
      <c r="A440" t="str">
        <f>IF('Product List'!B440="","",'Product List'!B440)</f>
        <v/>
      </c>
      <c r="B440" t="str">
        <f>IF('Product List'!C440="","",'Product List'!C440)</f>
        <v/>
      </c>
      <c r="C440" t="str">
        <f>IF(SUMIFS('Purchase Record'!G:G,'Purchase Record'!F:F,Sheet4!A440)=0,"",SUMIFS('Purchase Record'!G:G,'Purchase Record'!F:F,Sheet4!A440))</f>
        <v/>
      </c>
      <c r="D440" t="str">
        <f>IF(SUMIFS('Sales Record'!H:H,'Sales Record'!F:F,Sheet4!A440)=0,"",SUMIFS('Sales Record'!H:H,'Sales Record'!F:F,Sheet4!A440))</f>
        <v/>
      </c>
      <c r="E440" t="str">
        <f>IF(SUMIFS('Sales Return'!G:G,'Sales Return'!F:F,Sheet4!A440)=0,"",SUMIFS('Sales Return'!G:G,'Sales Return'!F:F,Sheet4!A440))</f>
        <v/>
      </c>
      <c r="F440" t="str">
        <f>IF(SUMIFS('Purchase Return'!G:G,'Purchase Return'!F:F,Sheet4!A440)=0,"",SUMIFS('Purchase Return'!G:G,'Purchase Return'!F:F,Sheet4!A440))</f>
        <v/>
      </c>
      <c r="G440" t="str">
        <f t="shared" si="6"/>
        <v/>
      </c>
    </row>
    <row r="441" spans="1:7">
      <c r="A441" t="str">
        <f>IF('Product List'!B441="","",'Product List'!B441)</f>
        <v/>
      </c>
      <c r="B441" t="str">
        <f>IF('Product List'!C441="","",'Product List'!C441)</f>
        <v/>
      </c>
      <c r="C441" t="str">
        <f>IF(SUMIFS('Purchase Record'!G:G,'Purchase Record'!F:F,Sheet4!A441)=0,"",SUMIFS('Purchase Record'!G:G,'Purchase Record'!F:F,Sheet4!A441))</f>
        <v/>
      </c>
      <c r="D441" t="str">
        <f>IF(SUMIFS('Sales Record'!H:H,'Sales Record'!F:F,Sheet4!A441)=0,"",SUMIFS('Sales Record'!H:H,'Sales Record'!F:F,Sheet4!A441))</f>
        <v/>
      </c>
      <c r="E441" t="str">
        <f>IF(SUMIFS('Sales Return'!G:G,'Sales Return'!F:F,Sheet4!A441)=0,"",SUMIFS('Sales Return'!G:G,'Sales Return'!F:F,Sheet4!A441))</f>
        <v/>
      </c>
      <c r="F441" t="str">
        <f>IF(SUMIFS('Purchase Return'!G:G,'Purchase Return'!F:F,Sheet4!A441)=0,"",SUMIFS('Purchase Return'!G:G,'Purchase Return'!F:F,Sheet4!A441))</f>
        <v/>
      </c>
      <c r="G441" t="str">
        <f t="shared" si="6"/>
        <v/>
      </c>
    </row>
    <row r="442" spans="1:7">
      <c r="A442" t="str">
        <f>IF('Product List'!B442="","",'Product List'!B442)</f>
        <v/>
      </c>
      <c r="B442" t="str">
        <f>IF('Product List'!C442="","",'Product List'!C442)</f>
        <v/>
      </c>
      <c r="C442" t="str">
        <f>IF(SUMIFS('Purchase Record'!G:G,'Purchase Record'!F:F,Sheet4!A442)=0,"",SUMIFS('Purchase Record'!G:G,'Purchase Record'!F:F,Sheet4!A442))</f>
        <v/>
      </c>
      <c r="D442" t="str">
        <f>IF(SUMIFS('Sales Record'!H:H,'Sales Record'!F:F,Sheet4!A442)=0,"",SUMIFS('Sales Record'!H:H,'Sales Record'!F:F,Sheet4!A442))</f>
        <v/>
      </c>
      <c r="E442" t="str">
        <f>IF(SUMIFS('Sales Return'!G:G,'Sales Return'!F:F,Sheet4!A442)=0,"",SUMIFS('Sales Return'!G:G,'Sales Return'!F:F,Sheet4!A442))</f>
        <v/>
      </c>
      <c r="F442" t="str">
        <f>IF(SUMIFS('Purchase Return'!G:G,'Purchase Return'!F:F,Sheet4!A442)=0,"",SUMIFS('Purchase Return'!G:G,'Purchase Return'!F:F,Sheet4!A442))</f>
        <v/>
      </c>
      <c r="G442" t="str">
        <f t="shared" si="6"/>
        <v/>
      </c>
    </row>
    <row r="443" spans="1:7">
      <c r="A443" t="str">
        <f>IF('Product List'!B443="","",'Product List'!B443)</f>
        <v/>
      </c>
      <c r="B443" t="str">
        <f>IF('Product List'!C443="","",'Product List'!C443)</f>
        <v/>
      </c>
      <c r="C443" t="str">
        <f>IF(SUMIFS('Purchase Record'!G:G,'Purchase Record'!F:F,Sheet4!A443)=0,"",SUMIFS('Purchase Record'!G:G,'Purchase Record'!F:F,Sheet4!A443))</f>
        <v/>
      </c>
      <c r="D443" t="str">
        <f>IF(SUMIFS('Sales Record'!H:H,'Sales Record'!F:F,Sheet4!A443)=0,"",SUMIFS('Sales Record'!H:H,'Sales Record'!F:F,Sheet4!A443))</f>
        <v/>
      </c>
      <c r="E443" t="str">
        <f>IF(SUMIFS('Sales Return'!G:G,'Sales Return'!F:F,Sheet4!A443)=0,"",SUMIFS('Sales Return'!G:G,'Sales Return'!F:F,Sheet4!A443))</f>
        <v/>
      </c>
      <c r="F443" t="str">
        <f>IF(SUMIFS('Purchase Return'!G:G,'Purchase Return'!F:F,Sheet4!A443)=0,"",SUMIFS('Purchase Return'!G:G,'Purchase Return'!F:F,Sheet4!A443))</f>
        <v/>
      </c>
      <c r="G443" t="str">
        <f t="shared" si="6"/>
        <v/>
      </c>
    </row>
    <row r="444" spans="1:7">
      <c r="A444" t="str">
        <f>IF('Product List'!B444="","",'Product List'!B444)</f>
        <v/>
      </c>
      <c r="B444" t="str">
        <f>IF('Product List'!C444="","",'Product List'!C444)</f>
        <v/>
      </c>
      <c r="C444" t="str">
        <f>IF(SUMIFS('Purchase Record'!G:G,'Purchase Record'!F:F,Sheet4!A444)=0,"",SUMIFS('Purchase Record'!G:G,'Purchase Record'!F:F,Sheet4!A444))</f>
        <v/>
      </c>
      <c r="D444" t="str">
        <f>IF(SUMIFS('Sales Record'!H:H,'Sales Record'!F:F,Sheet4!A444)=0,"",SUMIFS('Sales Record'!H:H,'Sales Record'!F:F,Sheet4!A444))</f>
        <v/>
      </c>
      <c r="E444" t="str">
        <f>IF(SUMIFS('Sales Return'!G:G,'Sales Return'!F:F,Sheet4!A444)=0,"",SUMIFS('Sales Return'!G:G,'Sales Return'!F:F,Sheet4!A444))</f>
        <v/>
      </c>
      <c r="F444" t="str">
        <f>IF(SUMIFS('Purchase Return'!G:G,'Purchase Return'!F:F,Sheet4!A444)=0,"",SUMIFS('Purchase Return'!G:G,'Purchase Return'!F:F,Sheet4!A444))</f>
        <v/>
      </c>
      <c r="G444" t="str">
        <f t="shared" si="6"/>
        <v/>
      </c>
    </row>
    <row r="445" spans="1:7">
      <c r="A445" t="str">
        <f>IF('Product List'!B445="","",'Product List'!B445)</f>
        <v/>
      </c>
      <c r="B445" t="str">
        <f>IF('Product List'!C445="","",'Product List'!C445)</f>
        <v/>
      </c>
      <c r="C445" t="str">
        <f>IF(SUMIFS('Purchase Record'!G:G,'Purchase Record'!F:F,Sheet4!A445)=0,"",SUMIFS('Purchase Record'!G:G,'Purchase Record'!F:F,Sheet4!A445))</f>
        <v/>
      </c>
      <c r="D445" t="str">
        <f>IF(SUMIFS('Sales Record'!H:H,'Sales Record'!F:F,Sheet4!A445)=0,"",SUMIFS('Sales Record'!H:H,'Sales Record'!F:F,Sheet4!A445))</f>
        <v/>
      </c>
      <c r="E445" t="str">
        <f>IF(SUMIFS('Sales Return'!G:G,'Sales Return'!F:F,Sheet4!A445)=0,"",SUMIFS('Sales Return'!G:G,'Sales Return'!F:F,Sheet4!A445))</f>
        <v/>
      </c>
      <c r="F445" t="str">
        <f>IF(SUMIFS('Purchase Return'!G:G,'Purchase Return'!F:F,Sheet4!A445)=0,"",SUMIFS('Purchase Return'!G:G,'Purchase Return'!F:F,Sheet4!A445))</f>
        <v/>
      </c>
      <c r="G445" t="str">
        <f t="shared" si="6"/>
        <v/>
      </c>
    </row>
    <row r="446" spans="1:7">
      <c r="A446" t="str">
        <f>IF('Product List'!B446="","",'Product List'!B446)</f>
        <v/>
      </c>
      <c r="B446" t="str">
        <f>IF('Product List'!C446="","",'Product List'!C446)</f>
        <v/>
      </c>
      <c r="C446" t="str">
        <f>IF(SUMIFS('Purchase Record'!G:G,'Purchase Record'!F:F,Sheet4!A446)=0,"",SUMIFS('Purchase Record'!G:G,'Purchase Record'!F:F,Sheet4!A446))</f>
        <v/>
      </c>
      <c r="D446" t="str">
        <f>IF(SUMIFS('Sales Record'!H:H,'Sales Record'!F:F,Sheet4!A446)=0,"",SUMIFS('Sales Record'!H:H,'Sales Record'!F:F,Sheet4!A446))</f>
        <v/>
      </c>
      <c r="E446" t="str">
        <f>IF(SUMIFS('Sales Return'!G:G,'Sales Return'!F:F,Sheet4!A446)=0,"",SUMIFS('Sales Return'!G:G,'Sales Return'!F:F,Sheet4!A446))</f>
        <v/>
      </c>
      <c r="F446" t="str">
        <f>IF(SUMIFS('Purchase Return'!G:G,'Purchase Return'!F:F,Sheet4!A446)=0,"",SUMIFS('Purchase Return'!G:G,'Purchase Return'!F:F,Sheet4!A446))</f>
        <v/>
      </c>
      <c r="G446" t="str">
        <f t="shared" si="6"/>
        <v/>
      </c>
    </row>
    <row r="447" spans="1:7">
      <c r="A447" t="str">
        <f>IF('Product List'!B447="","",'Product List'!B447)</f>
        <v/>
      </c>
      <c r="B447" t="str">
        <f>IF('Product List'!C447="","",'Product List'!C447)</f>
        <v/>
      </c>
      <c r="C447" t="str">
        <f>IF(SUMIFS('Purchase Record'!G:G,'Purchase Record'!F:F,Sheet4!A447)=0,"",SUMIFS('Purchase Record'!G:G,'Purchase Record'!F:F,Sheet4!A447))</f>
        <v/>
      </c>
      <c r="D447" t="str">
        <f>IF(SUMIFS('Sales Record'!H:H,'Sales Record'!F:F,Sheet4!A447)=0,"",SUMIFS('Sales Record'!H:H,'Sales Record'!F:F,Sheet4!A447))</f>
        <v/>
      </c>
      <c r="E447" t="str">
        <f>IF(SUMIFS('Sales Return'!G:G,'Sales Return'!F:F,Sheet4!A447)=0,"",SUMIFS('Sales Return'!G:G,'Sales Return'!F:F,Sheet4!A447))</f>
        <v/>
      </c>
      <c r="F447" t="str">
        <f>IF(SUMIFS('Purchase Return'!G:G,'Purchase Return'!F:F,Sheet4!A447)=0,"",SUMIFS('Purchase Return'!G:G,'Purchase Return'!F:F,Sheet4!A447))</f>
        <v/>
      </c>
      <c r="G447" t="str">
        <f t="shared" si="6"/>
        <v/>
      </c>
    </row>
    <row r="448" spans="1:7">
      <c r="A448" t="str">
        <f>IF('Product List'!B448="","",'Product List'!B448)</f>
        <v/>
      </c>
      <c r="B448" t="str">
        <f>IF('Product List'!C448="","",'Product List'!C448)</f>
        <v/>
      </c>
      <c r="C448" t="str">
        <f>IF(SUMIFS('Purchase Record'!G:G,'Purchase Record'!F:F,Sheet4!A448)=0,"",SUMIFS('Purchase Record'!G:G,'Purchase Record'!F:F,Sheet4!A448))</f>
        <v/>
      </c>
      <c r="D448" t="str">
        <f>IF(SUMIFS('Sales Record'!H:H,'Sales Record'!F:F,Sheet4!A448)=0,"",SUMIFS('Sales Record'!H:H,'Sales Record'!F:F,Sheet4!A448))</f>
        <v/>
      </c>
      <c r="E448" t="str">
        <f>IF(SUMIFS('Sales Return'!G:G,'Sales Return'!F:F,Sheet4!A448)=0,"",SUMIFS('Sales Return'!G:G,'Sales Return'!F:F,Sheet4!A448))</f>
        <v/>
      </c>
      <c r="F448" t="str">
        <f>IF(SUMIFS('Purchase Return'!G:G,'Purchase Return'!F:F,Sheet4!A448)=0,"",SUMIFS('Purchase Return'!G:G,'Purchase Return'!F:F,Sheet4!A448))</f>
        <v/>
      </c>
      <c r="G448" t="str">
        <f t="shared" si="6"/>
        <v/>
      </c>
    </row>
    <row r="449" spans="1:7">
      <c r="A449" t="str">
        <f>IF('Product List'!B449="","",'Product List'!B449)</f>
        <v/>
      </c>
      <c r="B449" t="str">
        <f>IF('Product List'!C449="","",'Product List'!C449)</f>
        <v/>
      </c>
      <c r="C449" t="str">
        <f>IF(SUMIFS('Purchase Record'!G:G,'Purchase Record'!F:F,Sheet4!A449)=0,"",SUMIFS('Purchase Record'!G:G,'Purchase Record'!F:F,Sheet4!A449))</f>
        <v/>
      </c>
      <c r="D449" t="str">
        <f>IF(SUMIFS('Sales Record'!H:H,'Sales Record'!F:F,Sheet4!A449)=0,"",SUMIFS('Sales Record'!H:H,'Sales Record'!F:F,Sheet4!A449))</f>
        <v/>
      </c>
      <c r="E449" t="str">
        <f>IF(SUMIFS('Sales Return'!G:G,'Sales Return'!F:F,Sheet4!A449)=0,"",SUMIFS('Sales Return'!G:G,'Sales Return'!F:F,Sheet4!A449))</f>
        <v/>
      </c>
      <c r="F449" t="str">
        <f>IF(SUMIFS('Purchase Return'!G:G,'Purchase Return'!F:F,Sheet4!A449)=0,"",SUMIFS('Purchase Return'!G:G,'Purchase Return'!F:F,Sheet4!A449))</f>
        <v/>
      </c>
      <c r="G449" t="str">
        <f t="shared" si="6"/>
        <v/>
      </c>
    </row>
    <row r="450" spans="1:7">
      <c r="A450" t="str">
        <f>IF('Product List'!B450="","",'Product List'!B450)</f>
        <v/>
      </c>
      <c r="B450" t="str">
        <f>IF('Product List'!C450="","",'Product List'!C450)</f>
        <v/>
      </c>
      <c r="C450" t="str">
        <f>IF(SUMIFS('Purchase Record'!G:G,'Purchase Record'!F:F,Sheet4!A450)=0,"",SUMIFS('Purchase Record'!G:G,'Purchase Record'!F:F,Sheet4!A450))</f>
        <v/>
      </c>
      <c r="D450" t="str">
        <f>IF(SUMIFS('Sales Record'!H:H,'Sales Record'!F:F,Sheet4!A450)=0,"",SUMIFS('Sales Record'!H:H,'Sales Record'!F:F,Sheet4!A450))</f>
        <v/>
      </c>
      <c r="E450" t="str">
        <f>IF(SUMIFS('Sales Return'!G:G,'Sales Return'!F:F,Sheet4!A450)=0,"",SUMIFS('Sales Return'!G:G,'Sales Return'!F:F,Sheet4!A450))</f>
        <v/>
      </c>
      <c r="F450" t="str">
        <f>IF(SUMIFS('Purchase Return'!G:G,'Purchase Return'!F:F,Sheet4!A450)=0,"",SUMIFS('Purchase Return'!G:G,'Purchase Return'!F:F,Sheet4!A450))</f>
        <v/>
      </c>
      <c r="G450" t="str">
        <f t="shared" si="6"/>
        <v/>
      </c>
    </row>
    <row r="451" spans="1:7">
      <c r="A451" t="str">
        <f>IF('Product List'!B451="","",'Product List'!B451)</f>
        <v/>
      </c>
      <c r="B451" t="str">
        <f>IF('Product List'!C451="","",'Product List'!C451)</f>
        <v/>
      </c>
      <c r="C451" t="str">
        <f>IF(SUMIFS('Purchase Record'!G:G,'Purchase Record'!F:F,Sheet4!A451)=0,"",SUMIFS('Purchase Record'!G:G,'Purchase Record'!F:F,Sheet4!A451))</f>
        <v/>
      </c>
      <c r="D451" t="str">
        <f>IF(SUMIFS('Sales Record'!H:H,'Sales Record'!F:F,Sheet4!A451)=0,"",SUMIFS('Sales Record'!H:H,'Sales Record'!F:F,Sheet4!A451))</f>
        <v/>
      </c>
      <c r="E451" t="str">
        <f>IF(SUMIFS('Sales Return'!G:G,'Sales Return'!F:F,Sheet4!A451)=0,"",SUMIFS('Sales Return'!G:G,'Sales Return'!F:F,Sheet4!A451))</f>
        <v/>
      </c>
      <c r="F451" t="str">
        <f>IF(SUMIFS('Purchase Return'!G:G,'Purchase Return'!F:F,Sheet4!A451)=0,"",SUMIFS('Purchase Return'!G:G,'Purchase Return'!F:F,Sheet4!A451))</f>
        <v/>
      </c>
      <c r="G451" t="str">
        <f t="shared" ref="G451:G514" si="7">IF(C451="","",N(C451)-N(D451)+N(E451)-N(F451))</f>
        <v/>
      </c>
    </row>
    <row r="452" spans="1:7">
      <c r="A452" t="str">
        <f>IF('Product List'!B452="","",'Product List'!B452)</f>
        <v/>
      </c>
      <c r="B452" t="str">
        <f>IF('Product List'!C452="","",'Product List'!C452)</f>
        <v/>
      </c>
      <c r="C452" t="str">
        <f>IF(SUMIFS('Purchase Record'!G:G,'Purchase Record'!F:F,Sheet4!A452)=0,"",SUMIFS('Purchase Record'!G:G,'Purchase Record'!F:F,Sheet4!A452))</f>
        <v/>
      </c>
      <c r="D452" t="str">
        <f>IF(SUMIFS('Sales Record'!H:H,'Sales Record'!F:F,Sheet4!A452)=0,"",SUMIFS('Sales Record'!H:H,'Sales Record'!F:F,Sheet4!A452))</f>
        <v/>
      </c>
      <c r="E452" t="str">
        <f>IF(SUMIFS('Sales Return'!G:G,'Sales Return'!F:F,Sheet4!A452)=0,"",SUMIFS('Sales Return'!G:G,'Sales Return'!F:F,Sheet4!A452))</f>
        <v/>
      </c>
      <c r="F452" t="str">
        <f>IF(SUMIFS('Purchase Return'!G:G,'Purchase Return'!F:F,Sheet4!A452)=0,"",SUMIFS('Purchase Return'!G:G,'Purchase Return'!F:F,Sheet4!A452))</f>
        <v/>
      </c>
      <c r="G452" t="str">
        <f t="shared" si="7"/>
        <v/>
      </c>
    </row>
    <row r="453" spans="1:7">
      <c r="A453" t="str">
        <f>IF('Product List'!B453="","",'Product List'!B453)</f>
        <v/>
      </c>
      <c r="B453" t="str">
        <f>IF('Product List'!C453="","",'Product List'!C453)</f>
        <v/>
      </c>
      <c r="C453" t="str">
        <f>IF(SUMIFS('Purchase Record'!G:G,'Purchase Record'!F:F,Sheet4!A453)=0,"",SUMIFS('Purchase Record'!G:G,'Purchase Record'!F:F,Sheet4!A453))</f>
        <v/>
      </c>
      <c r="D453" t="str">
        <f>IF(SUMIFS('Sales Record'!H:H,'Sales Record'!F:F,Sheet4!A453)=0,"",SUMIFS('Sales Record'!H:H,'Sales Record'!F:F,Sheet4!A453))</f>
        <v/>
      </c>
      <c r="E453" t="str">
        <f>IF(SUMIFS('Sales Return'!G:G,'Sales Return'!F:F,Sheet4!A453)=0,"",SUMIFS('Sales Return'!G:G,'Sales Return'!F:F,Sheet4!A453))</f>
        <v/>
      </c>
      <c r="F453" t="str">
        <f>IF(SUMIFS('Purchase Return'!G:G,'Purchase Return'!F:F,Sheet4!A453)=0,"",SUMIFS('Purchase Return'!G:G,'Purchase Return'!F:F,Sheet4!A453))</f>
        <v/>
      </c>
      <c r="G453" t="str">
        <f t="shared" si="7"/>
        <v/>
      </c>
    </row>
    <row r="454" spans="1:7">
      <c r="A454" t="str">
        <f>IF('Product List'!B454="","",'Product List'!B454)</f>
        <v/>
      </c>
      <c r="B454" t="str">
        <f>IF('Product List'!C454="","",'Product List'!C454)</f>
        <v/>
      </c>
      <c r="C454" t="str">
        <f>IF(SUMIFS('Purchase Record'!G:G,'Purchase Record'!F:F,Sheet4!A454)=0,"",SUMIFS('Purchase Record'!G:G,'Purchase Record'!F:F,Sheet4!A454))</f>
        <v/>
      </c>
      <c r="D454" t="str">
        <f>IF(SUMIFS('Sales Record'!H:H,'Sales Record'!F:F,Sheet4!A454)=0,"",SUMIFS('Sales Record'!H:H,'Sales Record'!F:F,Sheet4!A454))</f>
        <v/>
      </c>
      <c r="E454" t="str">
        <f>IF(SUMIFS('Sales Return'!G:G,'Sales Return'!F:F,Sheet4!A454)=0,"",SUMIFS('Sales Return'!G:G,'Sales Return'!F:F,Sheet4!A454))</f>
        <v/>
      </c>
      <c r="F454" t="str">
        <f>IF(SUMIFS('Purchase Return'!G:G,'Purchase Return'!F:F,Sheet4!A454)=0,"",SUMIFS('Purchase Return'!G:G,'Purchase Return'!F:F,Sheet4!A454))</f>
        <v/>
      </c>
      <c r="G454" t="str">
        <f t="shared" si="7"/>
        <v/>
      </c>
    </row>
    <row r="455" spans="1:7">
      <c r="A455" t="str">
        <f>IF('Product List'!B455="","",'Product List'!B455)</f>
        <v/>
      </c>
      <c r="B455" t="str">
        <f>IF('Product List'!C455="","",'Product List'!C455)</f>
        <v/>
      </c>
      <c r="C455" t="str">
        <f>IF(SUMIFS('Purchase Record'!G:G,'Purchase Record'!F:F,Sheet4!A455)=0,"",SUMIFS('Purchase Record'!G:G,'Purchase Record'!F:F,Sheet4!A455))</f>
        <v/>
      </c>
      <c r="D455" t="str">
        <f>IF(SUMIFS('Sales Record'!H:H,'Sales Record'!F:F,Sheet4!A455)=0,"",SUMIFS('Sales Record'!H:H,'Sales Record'!F:F,Sheet4!A455))</f>
        <v/>
      </c>
      <c r="E455" t="str">
        <f>IF(SUMIFS('Sales Return'!G:G,'Sales Return'!F:F,Sheet4!A455)=0,"",SUMIFS('Sales Return'!G:G,'Sales Return'!F:F,Sheet4!A455))</f>
        <v/>
      </c>
      <c r="F455" t="str">
        <f>IF(SUMIFS('Purchase Return'!G:G,'Purchase Return'!F:F,Sheet4!A455)=0,"",SUMIFS('Purchase Return'!G:G,'Purchase Return'!F:F,Sheet4!A455))</f>
        <v/>
      </c>
      <c r="G455" t="str">
        <f t="shared" si="7"/>
        <v/>
      </c>
    </row>
    <row r="456" spans="1:7">
      <c r="A456" t="str">
        <f>IF('Product List'!B456="","",'Product List'!B456)</f>
        <v/>
      </c>
      <c r="B456" t="str">
        <f>IF('Product List'!C456="","",'Product List'!C456)</f>
        <v/>
      </c>
      <c r="C456" t="str">
        <f>IF(SUMIFS('Purchase Record'!G:G,'Purchase Record'!F:F,Sheet4!A456)=0,"",SUMIFS('Purchase Record'!G:G,'Purchase Record'!F:F,Sheet4!A456))</f>
        <v/>
      </c>
      <c r="D456" t="str">
        <f>IF(SUMIFS('Sales Record'!H:H,'Sales Record'!F:F,Sheet4!A456)=0,"",SUMIFS('Sales Record'!H:H,'Sales Record'!F:F,Sheet4!A456))</f>
        <v/>
      </c>
      <c r="E456" t="str">
        <f>IF(SUMIFS('Sales Return'!G:G,'Sales Return'!F:F,Sheet4!A456)=0,"",SUMIFS('Sales Return'!G:G,'Sales Return'!F:F,Sheet4!A456))</f>
        <v/>
      </c>
      <c r="F456" t="str">
        <f>IF(SUMIFS('Purchase Return'!G:G,'Purchase Return'!F:F,Sheet4!A456)=0,"",SUMIFS('Purchase Return'!G:G,'Purchase Return'!F:F,Sheet4!A456))</f>
        <v/>
      </c>
      <c r="G456" t="str">
        <f t="shared" si="7"/>
        <v/>
      </c>
    </row>
    <row r="457" spans="1:7">
      <c r="A457" t="str">
        <f>IF('Product List'!B457="","",'Product List'!B457)</f>
        <v/>
      </c>
      <c r="B457" t="str">
        <f>IF('Product List'!C457="","",'Product List'!C457)</f>
        <v/>
      </c>
      <c r="C457" t="str">
        <f>IF(SUMIFS('Purchase Record'!G:G,'Purchase Record'!F:F,Sheet4!A457)=0,"",SUMIFS('Purchase Record'!G:G,'Purchase Record'!F:F,Sheet4!A457))</f>
        <v/>
      </c>
      <c r="D457" t="str">
        <f>IF(SUMIFS('Sales Record'!H:H,'Sales Record'!F:F,Sheet4!A457)=0,"",SUMIFS('Sales Record'!H:H,'Sales Record'!F:F,Sheet4!A457))</f>
        <v/>
      </c>
      <c r="E457" t="str">
        <f>IF(SUMIFS('Sales Return'!G:G,'Sales Return'!F:F,Sheet4!A457)=0,"",SUMIFS('Sales Return'!G:G,'Sales Return'!F:F,Sheet4!A457))</f>
        <v/>
      </c>
      <c r="F457" t="str">
        <f>IF(SUMIFS('Purchase Return'!G:G,'Purchase Return'!F:F,Sheet4!A457)=0,"",SUMIFS('Purchase Return'!G:G,'Purchase Return'!F:F,Sheet4!A457))</f>
        <v/>
      </c>
      <c r="G457" t="str">
        <f t="shared" si="7"/>
        <v/>
      </c>
    </row>
    <row r="458" spans="1:7">
      <c r="A458" t="str">
        <f>IF('Product List'!B458="","",'Product List'!B458)</f>
        <v/>
      </c>
      <c r="B458" t="str">
        <f>IF('Product List'!C458="","",'Product List'!C458)</f>
        <v/>
      </c>
      <c r="C458" t="str">
        <f>IF(SUMIFS('Purchase Record'!G:G,'Purchase Record'!F:F,Sheet4!A458)=0,"",SUMIFS('Purchase Record'!G:G,'Purchase Record'!F:F,Sheet4!A458))</f>
        <v/>
      </c>
      <c r="D458" t="str">
        <f>IF(SUMIFS('Sales Record'!H:H,'Sales Record'!F:F,Sheet4!A458)=0,"",SUMIFS('Sales Record'!H:H,'Sales Record'!F:F,Sheet4!A458))</f>
        <v/>
      </c>
      <c r="E458" t="str">
        <f>IF(SUMIFS('Sales Return'!G:G,'Sales Return'!F:F,Sheet4!A458)=0,"",SUMIFS('Sales Return'!G:G,'Sales Return'!F:F,Sheet4!A458))</f>
        <v/>
      </c>
      <c r="F458" t="str">
        <f>IF(SUMIFS('Purchase Return'!G:G,'Purchase Return'!F:F,Sheet4!A458)=0,"",SUMIFS('Purchase Return'!G:G,'Purchase Return'!F:F,Sheet4!A458))</f>
        <v/>
      </c>
      <c r="G458" t="str">
        <f t="shared" si="7"/>
        <v/>
      </c>
    </row>
    <row r="459" spans="1:7">
      <c r="A459" t="str">
        <f>IF('Product List'!B459="","",'Product List'!B459)</f>
        <v/>
      </c>
      <c r="B459" t="str">
        <f>IF('Product List'!C459="","",'Product List'!C459)</f>
        <v/>
      </c>
      <c r="C459" t="str">
        <f>IF(SUMIFS('Purchase Record'!G:G,'Purchase Record'!F:F,Sheet4!A459)=0,"",SUMIFS('Purchase Record'!G:G,'Purchase Record'!F:F,Sheet4!A459))</f>
        <v/>
      </c>
      <c r="D459" t="str">
        <f>IF(SUMIFS('Sales Record'!H:H,'Sales Record'!F:F,Sheet4!A459)=0,"",SUMIFS('Sales Record'!H:H,'Sales Record'!F:F,Sheet4!A459))</f>
        <v/>
      </c>
      <c r="E459" t="str">
        <f>IF(SUMIFS('Sales Return'!G:G,'Sales Return'!F:F,Sheet4!A459)=0,"",SUMIFS('Sales Return'!G:G,'Sales Return'!F:F,Sheet4!A459))</f>
        <v/>
      </c>
      <c r="F459" t="str">
        <f>IF(SUMIFS('Purchase Return'!G:G,'Purchase Return'!F:F,Sheet4!A459)=0,"",SUMIFS('Purchase Return'!G:G,'Purchase Return'!F:F,Sheet4!A459))</f>
        <v/>
      </c>
      <c r="G459" t="str">
        <f t="shared" si="7"/>
        <v/>
      </c>
    </row>
    <row r="460" spans="1:7">
      <c r="A460" t="str">
        <f>IF('Product List'!B460="","",'Product List'!B460)</f>
        <v/>
      </c>
      <c r="B460" t="str">
        <f>IF('Product List'!C460="","",'Product List'!C460)</f>
        <v/>
      </c>
      <c r="C460" t="str">
        <f>IF(SUMIFS('Purchase Record'!G:G,'Purchase Record'!F:F,Sheet4!A460)=0,"",SUMIFS('Purchase Record'!G:G,'Purchase Record'!F:F,Sheet4!A460))</f>
        <v/>
      </c>
      <c r="D460" t="str">
        <f>IF(SUMIFS('Sales Record'!H:H,'Sales Record'!F:F,Sheet4!A460)=0,"",SUMIFS('Sales Record'!H:H,'Sales Record'!F:F,Sheet4!A460))</f>
        <v/>
      </c>
      <c r="E460" t="str">
        <f>IF(SUMIFS('Sales Return'!G:G,'Sales Return'!F:F,Sheet4!A460)=0,"",SUMIFS('Sales Return'!G:G,'Sales Return'!F:F,Sheet4!A460))</f>
        <v/>
      </c>
      <c r="F460" t="str">
        <f>IF(SUMIFS('Purchase Return'!G:G,'Purchase Return'!F:F,Sheet4!A460)=0,"",SUMIFS('Purchase Return'!G:G,'Purchase Return'!F:F,Sheet4!A460))</f>
        <v/>
      </c>
      <c r="G460" t="str">
        <f t="shared" si="7"/>
        <v/>
      </c>
    </row>
    <row r="461" spans="1:7">
      <c r="A461" t="str">
        <f>IF('Product List'!B461="","",'Product List'!B461)</f>
        <v/>
      </c>
      <c r="B461" t="str">
        <f>IF('Product List'!C461="","",'Product List'!C461)</f>
        <v/>
      </c>
      <c r="C461" t="str">
        <f>IF(SUMIFS('Purchase Record'!G:G,'Purchase Record'!F:F,Sheet4!A461)=0,"",SUMIFS('Purchase Record'!G:G,'Purchase Record'!F:F,Sheet4!A461))</f>
        <v/>
      </c>
      <c r="D461" t="str">
        <f>IF(SUMIFS('Sales Record'!H:H,'Sales Record'!F:F,Sheet4!A461)=0,"",SUMIFS('Sales Record'!H:H,'Sales Record'!F:F,Sheet4!A461))</f>
        <v/>
      </c>
      <c r="E461" t="str">
        <f>IF(SUMIFS('Sales Return'!G:G,'Sales Return'!F:F,Sheet4!A461)=0,"",SUMIFS('Sales Return'!G:G,'Sales Return'!F:F,Sheet4!A461))</f>
        <v/>
      </c>
      <c r="F461" t="str">
        <f>IF(SUMIFS('Purchase Return'!G:G,'Purchase Return'!F:F,Sheet4!A461)=0,"",SUMIFS('Purchase Return'!G:G,'Purchase Return'!F:F,Sheet4!A461))</f>
        <v/>
      </c>
      <c r="G461" t="str">
        <f t="shared" si="7"/>
        <v/>
      </c>
    </row>
    <row r="462" spans="1:7">
      <c r="A462" t="str">
        <f>IF('Product List'!B462="","",'Product List'!B462)</f>
        <v/>
      </c>
      <c r="B462" t="str">
        <f>IF('Product List'!C462="","",'Product List'!C462)</f>
        <v/>
      </c>
      <c r="C462" t="str">
        <f>IF(SUMIFS('Purchase Record'!G:G,'Purchase Record'!F:F,Sheet4!A462)=0,"",SUMIFS('Purchase Record'!G:G,'Purchase Record'!F:F,Sheet4!A462))</f>
        <v/>
      </c>
      <c r="D462" t="str">
        <f>IF(SUMIFS('Sales Record'!H:H,'Sales Record'!F:F,Sheet4!A462)=0,"",SUMIFS('Sales Record'!H:H,'Sales Record'!F:F,Sheet4!A462))</f>
        <v/>
      </c>
      <c r="E462" t="str">
        <f>IF(SUMIFS('Sales Return'!G:G,'Sales Return'!F:F,Sheet4!A462)=0,"",SUMIFS('Sales Return'!G:G,'Sales Return'!F:F,Sheet4!A462))</f>
        <v/>
      </c>
      <c r="F462" t="str">
        <f>IF(SUMIFS('Purchase Return'!G:G,'Purchase Return'!F:F,Sheet4!A462)=0,"",SUMIFS('Purchase Return'!G:G,'Purchase Return'!F:F,Sheet4!A462))</f>
        <v/>
      </c>
      <c r="G462" t="str">
        <f t="shared" si="7"/>
        <v/>
      </c>
    </row>
    <row r="463" spans="1:7">
      <c r="A463" t="str">
        <f>IF('Product List'!B463="","",'Product List'!B463)</f>
        <v/>
      </c>
      <c r="B463" t="str">
        <f>IF('Product List'!C463="","",'Product List'!C463)</f>
        <v/>
      </c>
      <c r="C463" t="str">
        <f>IF(SUMIFS('Purchase Record'!G:G,'Purchase Record'!F:F,Sheet4!A463)=0,"",SUMIFS('Purchase Record'!G:G,'Purchase Record'!F:F,Sheet4!A463))</f>
        <v/>
      </c>
      <c r="D463" t="str">
        <f>IF(SUMIFS('Sales Record'!H:H,'Sales Record'!F:F,Sheet4!A463)=0,"",SUMIFS('Sales Record'!H:H,'Sales Record'!F:F,Sheet4!A463))</f>
        <v/>
      </c>
      <c r="E463" t="str">
        <f>IF(SUMIFS('Sales Return'!G:G,'Sales Return'!F:F,Sheet4!A463)=0,"",SUMIFS('Sales Return'!G:G,'Sales Return'!F:F,Sheet4!A463))</f>
        <v/>
      </c>
      <c r="F463" t="str">
        <f>IF(SUMIFS('Purchase Return'!G:G,'Purchase Return'!F:F,Sheet4!A463)=0,"",SUMIFS('Purchase Return'!G:G,'Purchase Return'!F:F,Sheet4!A463))</f>
        <v/>
      </c>
      <c r="G463" t="str">
        <f t="shared" si="7"/>
        <v/>
      </c>
    </row>
    <row r="464" spans="1:7">
      <c r="A464" t="str">
        <f>IF('Product List'!B464="","",'Product List'!B464)</f>
        <v/>
      </c>
      <c r="B464" t="str">
        <f>IF('Product List'!C464="","",'Product List'!C464)</f>
        <v/>
      </c>
      <c r="C464" t="str">
        <f>IF(SUMIFS('Purchase Record'!G:G,'Purchase Record'!F:F,Sheet4!A464)=0,"",SUMIFS('Purchase Record'!G:G,'Purchase Record'!F:F,Sheet4!A464))</f>
        <v/>
      </c>
      <c r="D464" t="str">
        <f>IF(SUMIFS('Sales Record'!H:H,'Sales Record'!F:F,Sheet4!A464)=0,"",SUMIFS('Sales Record'!H:H,'Sales Record'!F:F,Sheet4!A464))</f>
        <v/>
      </c>
      <c r="E464" t="str">
        <f>IF(SUMIFS('Sales Return'!G:G,'Sales Return'!F:F,Sheet4!A464)=0,"",SUMIFS('Sales Return'!G:G,'Sales Return'!F:F,Sheet4!A464))</f>
        <v/>
      </c>
      <c r="F464" t="str">
        <f>IF(SUMIFS('Purchase Return'!G:G,'Purchase Return'!F:F,Sheet4!A464)=0,"",SUMIFS('Purchase Return'!G:G,'Purchase Return'!F:F,Sheet4!A464))</f>
        <v/>
      </c>
      <c r="G464" t="str">
        <f t="shared" si="7"/>
        <v/>
      </c>
    </row>
    <row r="465" spans="1:7">
      <c r="A465" t="str">
        <f>IF('Product List'!B465="","",'Product List'!B465)</f>
        <v/>
      </c>
      <c r="B465" t="str">
        <f>IF('Product List'!C465="","",'Product List'!C465)</f>
        <v/>
      </c>
      <c r="C465" t="str">
        <f>IF(SUMIFS('Purchase Record'!G:G,'Purchase Record'!F:F,Sheet4!A465)=0,"",SUMIFS('Purchase Record'!G:G,'Purchase Record'!F:F,Sheet4!A465))</f>
        <v/>
      </c>
      <c r="D465" t="str">
        <f>IF(SUMIFS('Sales Record'!H:H,'Sales Record'!F:F,Sheet4!A465)=0,"",SUMIFS('Sales Record'!H:H,'Sales Record'!F:F,Sheet4!A465))</f>
        <v/>
      </c>
      <c r="E465" t="str">
        <f>IF(SUMIFS('Sales Return'!G:G,'Sales Return'!F:F,Sheet4!A465)=0,"",SUMIFS('Sales Return'!G:G,'Sales Return'!F:F,Sheet4!A465))</f>
        <v/>
      </c>
      <c r="F465" t="str">
        <f>IF(SUMIFS('Purchase Return'!G:G,'Purchase Return'!F:F,Sheet4!A465)=0,"",SUMIFS('Purchase Return'!G:G,'Purchase Return'!F:F,Sheet4!A465))</f>
        <v/>
      </c>
      <c r="G465" t="str">
        <f t="shared" si="7"/>
        <v/>
      </c>
    </row>
    <row r="466" spans="1:7">
      <c r="A466" t="str">
        <f>IF('Product List'!B466="","",'Product List'!B466)</f>
        <v/>
      </c>
      <c r="B466" t="str">
        <f>IF('Product List'!C466="","",'Product List'!C466)</f>
        <v/>
      </c>
      <c r="C466" t="str">
        <f>IF(SUMIFS('Purchase Record'!G:G,'Purchase Record'!F:F,Sheet4!A466)=0,"",SUMIFS('Purchase Record'!G:G,'Purchase Record'!F:F,Sheet4!A466))</f>
        <v/>
      </c>
      <c r="D466" t="str">
        <f>IF(SUMIFS('Sales Record'!H:H,'Sales Record'!F:F,Sheet4!A466)=0,"",SUMIFS('Sales Record'!H:H,'Sales Record'!F:F,Sheet4!A466))</f>
        <v/>
      </c>
      <c r="E466" t="str">
        <f>IF(SUMIFS('Sales Return'!G:G,'Sales Return'!F:F,Sheet4!A466)=0,"",SUMIFS('Sales Return'!G:G,'Sales Return'!F:F,Sheet4!A466))</f>
        <v/>
      </c>
      <c r="F466" t="str">
        <f>IF(SUMIFS('Purchase Return'!G:G,'Purchase Return'!F:F,Sheet4!A466)=0,"",SUMIFS('Purchase Return'!G:G,'Purchase Return'!F:F,Sheet4!A466))</f>
        <v/>
      </c>
      <c r="G466" t="str">
        <f t="shared" si="7"/>
        <v/>
      </c>
    </row>
    <row r="467" spans="1:7">
      <c r="A467" t="str">
        <f>IF('Product List'!B467="","",'Product List'!B467)</f>
        <v/>
      </c>
      <c r="B467" t="str">
        <f>IF('Product List'!C467="","",'Product List'!C467)</f>
        <v/>
      </c>
      <c r="C467" t="str">
        <f>IF(SUMIFS('Purchase Record'!G:G,'Purchase Record'!F:F,Sheet4!A467)=0,"",SUMIFS('Purchase Record'!G:G,'Purchase Record'!F:F,Sheet4!A467))</f>
        <v/>
      </c>
      <c r="D467" t="str">
        <f>IF(SUMIFS('Sales Record'!H:H,'Sales Record'!F:F,Sheet4!A467)=0,"",SUMIFS('Sales Record'!H:H,'Sales Record'!F:F,Sheet4!A467))</f>
        <v/>
      </c>
      <c r="E467" t="str">
        <f>IF(SUMIFS('Sales Return'!G:G,'Sales Return'!F:F,Sheet4!A467)=0,"",SUMIFS('Sales Return'!G:G,'Sales Return'!F:F,Sheet4!A467))</f>
        <v/>
      </c>
      <c r="F467" t="str">
        <f>IF(SUMIFS('Purchase Return'!G:G,'Purchase Return'!F:F,Sheet4!A467)=0,"",SUMIFS('Purchase Return'!G:G,'Purchase Return'!F:F,Sheet4!A467))</f>
        <v/>
      </c>
      <c r="G467" t="str">
        <f t="shared" si="7"/>
        <v/>
      </c>
    </row>
    <row r="468" spans="1:7">
      <c r="A468" t="str">
        <f>IF('Product List'!B468="","",'Product List'!B468)</f>
        <v/>
      </c>
      <c r="B468" t="str">
        <f>IF('Product List'!C468="","",'Product List'!C468)</f>
        <v/>
      </c>
      <c r="C468" t="str">
        <f>IF(SUMIFS('Purchase Record'!G:G,'Purchase Record'!F:F,Sheet4!A468)=0,"",SUMIFS('Purchase Record'!G:G,'Purchase Record'!F:F,Sheet4!A468))</f>
        <v/>
      </c>
      <c r="D468" t="str">
        <f>IF(SUMIFS('Sales Record'!H:H,'Sales Record'!F:F,Sheet4!A468)=0,"",SUMIFS('Sales Record'!H:H,'Sales Record'!F:F,Sheet4!A468))</f>
        <v/>
      </c>
      <c r="E468" t="str">
        <f>IF(SUMIFS('Sales Return'!G:G,'Sales Return'!F:F,Sheet4!A468)=0,"",SUMIFS('Sales Return'!G:G,'Sales Return'!F:F,Sheet4!A468))</f>
        <v/>
      </c>
      <c r="F468" t="str">
        <f>IF(SUMIFS('Purchase Return'!G:G,'Purchase Return'!F:F,Sheet4!A468)=0,"",SUMIFS('Purchase Return'!G:G,'Purchase Return'!F:F,Sheet4!A468))</f>
        <v/>
      </c>
      <c r="G468" t="str">
        <f t="shared" si="7"/>
        <v/>
      </c>
    </row>
    <row r="469" spans="1:7">
      <c r="A469" t="str">
        <f>IF('Product List'!B469="","",'Product List'!B469)</f>
        <v/>
      </c>
      <c r="B469" t="str">
        <f>IF('Product List'!C469="","",'Product List'!C469)</f>
        <v/>
      </c>
      <c r="C469" t="str">
        <f>IF(SUMIFS('Purchase Record'!G:G,'Purchase Record'!F:F,Sheet4!A469)=0,"",SUMIFS('Purchase Record'!G:G,'Purchase Record'!F:F,Sheet4!A469))</f>
        <v/>
      </c>
      <c r="D469" t="str">
        <f>IF(SUMIFS('Sales Record'!H:H,'Sales Record'!F:F,Sheet4!A469)=0,"",SUMIFS('Sales Record'!H:H,'Sales Record'!F:F,Sheet4!A469))</f>
        <v/>
      </c>
      <c r="E469" t="str">
        <f>IF(SUMIFS('Sales Return'!G:G,'Sales Return'!F:F,Sheet4!A469)=0,"",SUMIFS('Sales Return'!G:G,'Sales Return'!F:F,Sheet4!A469))</f>
        <v/>
      </c>
      <c r="F469" t="str">
        <f>IF(SUMIFS('Purchase Return'!G:G,'Purchase Return'!F:F,Sheet4!A469)=0,"",SUMIFS('Purchase Return'!G:G,'Purchase Return'!F:F,Sheet4!A469))</f>
        <v/>
      </c>
      <c r="G469" t="str">
        <f t="shared" si="7"/>
        <v/>
      </c>
    </row>
    <row r="470" spans="1:7">
      <c r="A470" t="str">
        <f>IF('Product List'!B470="","",'Product List'!B470)</f>
        <v/>
      </c>
      <c r="B470" t="str">
        <f>IF('Product List'!C470="","",'Product List'!C470)</f>
        <v/>
      </c>
      <c r="C470" t="str">
        <f>IF(SUMIFS('Purchase Record'!G:G,'Purchase Record'!F:F,Sheet4!A470)=0,"",SUMIFS('Purchase Record'!G:G,'Purchase Record'!F:F,Sheet4!A470))</f>
        <v/>
      </c>
      <c r="D470" t="str">
        <f>IF(SUMIFS('Sales Record'!H:H,'Sales Record'!F:F,Sheet4!A470)=0,"",SUMIFS('Sales Record'!H:H,'Sales Record'!F:F,Sheet4!A470))</f>
        <v/>
      </c>
      <c r="E470" t="str">
        <f>IF(SUMIFS('Sales Return'!G:G,'Sales Return'!F:F,Sheet4!A470)=0,"",SUMIFS('Sales Return'!G:G,'Sales Return'!F:F,Sheet4!A470))</f>
        <v/>
      </c>
      <c r="F470" t="str">
        <f>IF(SUMIFS('Purchase Return'!G:G,'Purchase Return'!F:F,Sheet4!A470)=0,"",SUMIFS('Purchase Return'!G:G,'Purchase Return'!F:F,Sheet4!A470))</f>
        <v/>
      </c>
      <c r="G470" t="str">
        <f t="shared" si="7"/>
        <v/>
      </c>
    </row>
    <row r="471" spans="1:7">
      <c r="A471" t="str">
        <f>IF('Product List'!B471="","",'Product List'!B471)</f>
        <v/>
      </c>
      <c r="B471" t="str">
        <f>IF('Product List'!C471="","",'Product List'!C471)</f>
        <v/>
      </c>
      <c r="C471" t="str">
        <f>IF(SUMIFS('Purchase Record'!G:G,'Purchase Record'!F:F,Sheet4!A471)=0,"",SUMIFS('Purchase Record'!G:G,'Purchase Record'!F:F,Sheet4!A471))</f>
        <v/>
      </c>
      <c r="D471" t="str">
        <f>IF(SUMIFS('Sales Record'!H:H,'Sales Record'!F:F,Sheet4!A471)=0,"",SUMIFS('Sales Record'!H:H,'Sales Record'!F:F,Sheet4!A471))</f>
        <v/>
      </c>
      <c r="E471" t="str">
        <f>IF(SUMIFS('Sales Return'!G:G,'Sales Return'!F:F,Sheet4!A471)=0,"",SUMIFS('Sales Return'!G:G,'Sales Return'!F:F,Sheet4!A471))</f>
        <v/>
      </c>
      <c r="F471" t="str">
        <f>IF(SUMIFS('Purchase Return'!G:G,'Purchase Return'!F:F,Sheet4!A471)=0,"",SUMIFS('Purchase Return'!G:G,'Purchase Return'!F:F,Sheet4!A471))</f>
        <v/>
      </c>
      <c r="G471" t="str">
        <f t="shared" si="7"/>
        <v/>
      </c>
    </row>
    <row r="472" spans="1:7">
      <c r="A472" t="str">
        <f>IF('Product List'!B472="","",'Product List'!B472)</f>
        <v/>
      </c>
      <c r="B472" t="str">
        <f>IF('Product List'!C472="","",'Product List'!C472)</f>
        <v/>
      </c>
      <c r="C472" t="str">
        <f>IF(SUMIFS('Purchase Record'!G:G,'Purchase Record'!F:F,Sheet4!A472)=0,"",SUMIFS('Purchase Record'!G:G,'Purchase Record'!F:F,Sheet4!A472))</f>
        <v/>
      </c>
      <c r="D472" t="str">
        <f>IF(SUMIFS('Sales Record'!H:H,'Sales Record'!F:F,Sheet4!A472)=0,"",SUMIFS('Sales Record'!H:H,'Sales Record'!F:F,Sheet4!A472))</f>
        <v/>
      </c>
      <c r="E472" t="str">
        <f>IF(SUMIFS('Sales Return'!G:G,'Sales Return'!F:F,Sheet4!A472)=0,"",SUMIFS('Sales Return'!G:G,'Sales Return'!F:F,Sheet4!A472))</f>
        <v/>
      </c>
      <c r="F472" t="str">
        <f>IF(SUMIFS('Purchase Return'!G:G,'Purchase Return'!F:F,Sheet4!A472)=0,"",SUMIFS('Purchase Return'!G:G,'Purchase Return'!F:F,Sheet4!A472))</f>
        <v/>
      </c>
      <c r="G472" t="str">
        <f t="shared" si="7"/>
        <v/>
      </c>
    </row>
    <row r="473" spans="1:7">
      <c r="A473" t="str">
        <f>IF('Product List'!B473="","",'Product List'!B473)</f>
        <v/>
      </c>
      <c r="B473" t="str">
        <f>IF('Product List'!C473="","",'Product List'!C473)</f>
        <v/>
      </c>
      <c r="C473" t="str">
        <f>IF(SUMIFS('Purchase Record'!G:G,'Purchase Record'!F:F,Sheet4!A473)=0,"",SUMIFS('Purchase Record'!G:G,'Purchase Record'!F:F,Sheet4!A473))</f>
        <v/>
      </c>
      <c r="D473" t="str">
        <f>IF(SUMIFS('Sales Record'!H:H,'Sales Record'!F:F,Sheet4!A473)=0,"",SUMIFS('Sales Record'!H:H,'Sales Record'!F:F,Sheet4!A473))</f>
        <v/>
      </c>
      <c r="E473" t="str">
        <f>IF(SUMIFS('Sales Return'!G:G,'Sales Return'!F:F,Sheet4!A473)=0,"",SUMIFS('Sales Return'!G:G,'Sales Return'!F:F,Sheet4!A473))</f>
        <v/>
      </c>
      <c r="F473" t="str">
        <f>IF(SUMIFS('Purchase Return'!G:G,'Purchase Return'!F:F,Sheet4!A473)=0,"",SUMIFS('Purchase Return'!G:G,'Purchase Return'!F:F,Sheet4!A473))</f>
        <v/>
      </c>
      <c r="G473" t="str">
        <f t="shared" si="7"/>
        <v/>
      </c>
    </row>
    <row r="474" spans="1:7">
      <c r="A474" t="str">
        <f>IF('Product List'!B474="","",'Product List'!B474)</f>
        <v/>
      </c>
      <c r="B474" t="str">
        <f>IF('Product List'!C474="","",'Product List'!C474)</f>
        <v/>
      </c>
      <c r="C474" t="str">
        <f>IF(SUMIFS('Purchase Record'!G:G,'Purchase Record'!F:F,Sheet4!A474)=0,"",SUMIFS('Purchase Record'!G:G,'Purchase Record'!F:F,Sheet4!A474))</f>
        <v/>
      </c>
      <c r="D474" t="str">
        <f>IF(SUMIFS('Sales Record'!H:H,'Sales Record'!F:F,Sheet4!A474)=0,"",SUMIFS('Sales Record'!H:H,'Sales Record'!F:F,Sheet4!A474))</f>
        <v/>
      </c>
      <c r="E474" t="str">
        <f>IF(SUMIFS('Sales Return'!G:G,'Sales Return'!F:F,Sheet4!A474)=0,"",SUMIFS('Sales Return'!G:G,'Sales Return'!F:F,Sheet4!A474))</f>
        <v/>
      </c>
      <c r="F474" t="str">
        <f>IF(SUMIFS('Purchase Return'!G:G,'Purchase Return'!F:F,Sheet4!A474)=0,"",SUMIFS('Purchase Return'!G:G,'Purchase Return'!F:F,Sheet4!A474))</f>
        <v/>
      </c>
      <c r="G474" t="str">
        <f t="shared" si="7"/>
        <v/>
      </c>
    </row>
    <row r="475" spans="1:7">
      <c r="A475" t="str">
        <f>IF('Product List'!B475="","",'Product List'!B475)</f>
        <v/>
      </c>
      <c r="B475" t="str">
        <f>IF('Product List'!C475="","",'Product List'!C475)</f>
        <v/>
      </c>
      <c r="C475" t="str">
        <f>IF(SUMIFS('Purchase Record'!G:G,'Purchase Record'!F:F,Sheet4!A475)=0,"",SUMIFS('Purchase Record'!G:G,'Purchase Record'!F:F,Sheet4!A475))</f>
        <v/>
      </c>
      <c r="D475" t="str">
        <f>IF(SUMIFS('Sales Record'!H:H,'Sales Record'!F:F,Sheet4!A475)=0,"",SUMIFS('Sales Record'!H:H,'Sales Record'!F:F,Sheet4!A475))</f>
        <v/>
      </c>
      <c r="E475" t="str">
        <f>IF(SUMIFS('Sales Return'!G:G,'Sales Return'!F:F,Sheet4!A475)=0,"",SUMIFS('Sales Return'!G:G,'Sales Return'!F:F,Sheet4!A475))</f>
        <v/>
      </c>
      <c r="F475" t="str">
        <f>IF(SUMIFS('Purchase Return'!G:G,'Purchase Return'!F:F,Sheet4!A475)=0,"",SUMIFS('Purchase Return'!G:G,'Purchase Return'!F:F,Sheet4!A475))</f>
        <v/>
      </c>
      <c r="G475" t="str">
        <f t="shared" si="7"/>
        <v/>
      </c>
    </row>
    <row r="476" spans="1:7">
      <c r="A476" t="str">
        <f>IF('Product List'!B476="","",'Product List'!B476)</f>
        <v/>
      </c>
      <c r="B476" t="str">
        <f>IF('Product List'!C476="","",'Product List'!C476)</f>
        <v/>
      </c>
      <c r="C476" t="str">
        <f>IF(SUMIFS('Purchase Record'!G:G,'Purchase Record'!F:F,Sheet4!A476)=0,"",SUMIFS('Purchase Record'!G:G,'Purchase Record'!F:F,Sheet4!A476))</f>
        <v/>
      </c>
      <c r="D476" t="str">
        <f>IF(SUMIFS('Sales Record'!H:H,'Sales Record'!F:F,Sheet4!A476)=0,"",SUMIFS('Sales Record'!H:H,'Sales Record'!F:F,Sheet4!A476))</f>
        <v/>
      </c>
      <c r="E476" t="str">
        <f>IF(SUMIFS('Sales Return'!G:G,'Sales Return'!F:F,Sheet4!A476)=0,"",SUMIFS('Sales Return'!G:G,'Sales Return'!F:F,Sheet4!A476))</f>
        <v/>
      </c>
      <c r="F476" t="str">
        <f>IF(SUMIFS('Purchase Return'!G:G,'Purchase Return'!F:F,Sheet4!A476)=0,"",SUMIFS('Purchase Return'!G:G,'Purchase Return'!F:F,Sheet4!A476))</f>
        <v/>
      </c>
      <c r="G476" t="str">
        <f t="shared" si="7"/>
        <v/>
      </c>
    </row>
    <row r="477" spans="1:7">
      <c r="A477" t="str">
        <f>IF('Product List'!B477="","",'Product List'!B477)</f>
        <v/>
      </c>
      <c r="B477" t="str">
        <f>IF('Product List'!C477="","",'Product List'!C477)</f>
        <v/>
      </c>
      <c r="C477" t="str">
        <f>IF(SUMIFS('Purchase Record'!G:G,'Purchase Record'!F:F,Sheet4!A477)=0,"",SUMIFS('Purchase Record'!G:G,'Purchase Record'!F:F,Sheet4!A477))</f>
        <v/>
      </c>
      <c r="D477" t="str">
        <f>IF(SUMIFS('Sales Record'!H:H,'Sales Record'!F:F,Sheet4!A477)=0,"",SUMIFS('Sales Record'!H:H,'Sales Record'!F:F,Sheet4!A477))</f>
        <v/>
      </c>
      <c r="E477" t="str">
        <f>IF(SUMIFS('Sales Return'!G:G,'Sales Return'!F:F,Sheet4!A477)=0,"",SUMIFS('Sales Return'!G:G,'Sales Return'!F:F,Sheet4!A477))</f>
        <v/>
      </c>
      <c r="F477" t="str">
        <f>IF(SUMIFS('Purchase Return'!G:G,'Purchase Return'!F:F,Sheet4!A477)=0,"",SUMIFS('Purchase Return'!G:G,'Purchase Return'!F:F,Sheet4!A477))</f>
        <v/>
      </c>
      <c r="G477" t="str">
        <f t="shared" si="7"/>
        <v/>
      </c>
    </row>
    <row r="478" spans="1:7">
      <c r="A478" t="str">
        <f>IF('Product List'!B478="","",'Product List'!B478)</f>
        <v/>
      </c>
      <c r="B478" t="str">
        <f>IF('Product List'!C478="","",'Product List'!C478)</f>
        <v/>
      </c>
      <c r="C478" t="str">
        <f>IF(SUMIFS('Purchase Record'!G:G,'Purchase Record'!F:F,Sheet4!A478)=0,"",SUMIFS('Purchase Record'!G:G,'Purchase Record'!F:F,Sheet4!A478))</f>
        <v/>
      </c>
      <c r="D478" t="str">
        <f>IF(SUMIFS('Sales Record'!H:H,'Sales Record'!F:F,Sheet4!A478)=0,"",SUMIFS('Sales Record'!H:H,'Sales Record'!F:F,Sheet4!A478))</f>
        <v/>
      </c>
      <c r="E478" t="str">
        <f>IF(SUMIFS('Sales Return'!G:G,'Sales Return'!F:F,Sheet4!A478)=0,"",SUMIFS('Sales Return'!G:G,'Sales Return'!F:F,Sheet4!A478))</f>
        <v/>
      </c>
      <c r="F478" t="str">
        <f>IF(SUMIFS('Purchase Return'!G:G,'Purchase Return'!F:F,Sheet4!A478)=0,"",SUMIFS('Purchase Return'!G:G,'Purchase Return'!F:F,Sheet4!A478))</f>
        <v/>
      </c>
      <c r="G478" t="str">
        <f t="shared" si="7"/>
        <v/>
      </c>
    </row>
    <row r="479" spans="1:7">
      <c r="A479" t="str">
        <f>IF('Product List'!B479="","",'Product List'!B479)</f>
        <v/>
      </c>
      <c r="B479" t="str">
        <f>IF('Product List'!C479="","",'Product List'!C479)</f>
        <v/>
      </c>
      <c r="C479" t="str">
        <f>IF(SUMIFS('Purchase Record'!G:G,'Purchase Record'!F:F,Sheet4!A479)=0,"",SUMIFS('Purchase Record'!G:G,'Purchase Record'!F:F,Sheet4!A479))</f>
        <v/>
      </c>
      <c r="D479" t="str">
        <f>IF(SUMIFS('Sales Record'!H:H,'Sales Record'!F:F,Sheet4!A479)=0,"",SUMIFS('Sales Record'!H:H,'Sales Record'!F:F,Sheet4!A479))</f>
        <v/>
      </c>
      <c r="E479" t="str">
        <f>IF(SUMIFS('Sales Return'!G:G,'Sales Return'!F:F,Sheet4!A479)=0,"",SUMIFS('Sales Return'!G:G,'Sales Return'!F:F,Sheet4!A479))</f>
        <v/>
      </c>
      <c r="F479" t="str">
        <f>IF(SUMIFS('Purchase Return'!G:G,'Purchase Return'!F:F,Sheet4!A479)=0,"",SUMIFS('Purchase Return'!G:G,'Purchase Return'!F:F,Sheet4!A479))</f>
        <v/>
      </c>
      <c r="G479" t="str">
        <f t="shared" si="7"/>
        <v/>
      </c>
    </row>
    <row r="480" spans="1:7">
      <c r="A480" t="str">
        <f>IF('Product List'!B480="","",'Product List'!B480)</f>
        <v/>
      </c>
      <c r="B480" t="str">
        <f>IF('Product List'!C480="","",'Product List'!C480)</f>
        <v/>
      </c>
      <c r="C480" t="str">
        <f>IF(SUMIFS('Purchase Record'!G:G,'Purchase Record'!F:F,Sheet4!A480)=0,"",SUMIFS('Purchase Record'!G:G,'Purchase Record'!F:F,Sheet4!A480))</f>
        <v/>
      </c>
      <c r="D480" t="str">
        <f>IF(SUMIFS('Sales Record'!H:H,'Sales Record'!F:F,Sheet4!A480)=0,"",SUMIFS('Sales Record'!H:H,'Sales Record'!F:F,Sheet4!A480))</f>
        <v/>
      </c>
      <c r="E480" t="str">
        <f>IF(SUMIFS('Sales Return'!G:G,'Sales Return'!F:F,Sheet4!A480)=0,"",SUMIFS('Sales Return'!G:G,'Sales Return'!F:F,Sheet4!A480))</f>
        <v/>
      </c>
      <c r="F480" t="str">
        <f>IF(SUMIFS('Purchase Return'!G:G,'Purchase Return'!F:F,Sheet4!A480)=0,"",SUMIFS('Purchase Return'!G:G,'Purchase Return'!F:F,Sheet4!A480))</f>
        <v/>
      </c>
      <c r="G480" t="str">
        <f t="shared" si="7"/>
        <v/>
      </c>
    </row>
    <row r="481" spans="1:7">
      <c r="A481" t="str">
        <f>IF('Product List'!B481="","",'Product List'!B481)</f>
        <v/>
      </c>
      <c r="B481" t="str">
        <f>IF('Product List'!C481="","",'Product List'!C481)</f>
        <v/>
      </c>
      <c r="C481" t="str">
        <f>IF(SUMIFS('Purchase Record'!G:G,'Purchase Record'!F:F,Sheet4!A481)=0,"",SUMIFS('Purchase Record'!G:G,'Purchase Record'!F:F,Sheet4!A481))</f>
        <v/>
      </c>
      <c r="D481" t="str">
        <f>IF(SUMIFS('Sales Record'!H:H,'Sales Record'!F:F,Sheet4!A481)=0,"",SUMIFS('Sales Record'!H:H,'Sales Record'!F:F,Sheet4!A481))</f>
        <v/>
      </c>
      <c r="E481" t="str">
        <f>IF(SUMIFS('Sales Return'!G:G,'Sales Return'!F:F,Sheet4!A481)=0,"",SUMIFS('Sales Return'!G:G,'Sales Return'!F:F,Sheet4!A481))</f>
        <v/>
      </c>
      <c r="F481" t="str">
        <f>IF(SUMIFS('Purchase Return'!G:G,'Purchase Return'!F:F,Sheet4!A481)=0,"",SUMIFS('Purchase Return'!G:G,'Purchase Return'!F:F,Sheet4!A481))</f>
        <v/>
      </c>
      <c r="G481" t="str">
        <f t="shared" si="7"/>
        <v/>
      </c>
    </row>
    <row r="482" spans="1:7">
      <c r="A482" t="str">
        <f>IF('Product List'!B482="","",'Product List'!B482)</f>
        <v/>
      </c>
      <c r="B482" t="str">
        <f>IF('Product List'!C482="","",'Product List'!C482)</f>
        <v/>
      </c>
      <c r="C482" t="str">
        <f>IF(SUMIFS('Purchase Record'!G:G,'Purchase Record'!F:F,Sheet4!A482)=0,"",SUMIFS('Purchase Record'!G:G,'Purchase Record'!F:F,Sheet4!A482))</f>
        <v/>
      </c>
      <c r="D482" t="str">
        <f>IF(SUMIFS('Sales Record'!H:H,'Sales Record'!F:F,Sheet4!A482)=0,"",SUMIFS('Sales Record'!H:H,'Sales Record'!F:F,Sheet4!A482))</f>
        <v/>
      </c>
      <c r="E482" t="str">
        <f>IF(SUMIFS('Sales Return'!G:G,'Sales Return'!F:F,Sheet4!A482)=0,"",SUMIFS('Sales Return'!G:G,'Sales Return'!F:F,Sheet4!A482))</f>
        <v/>
      </c>
      <c r="F482" t="str">
        <f>IF(SUMIFS('Purchase Return'!G:G,'Purchase Return'!F:F,Sheet4!A482)=0,"",SUMIFS('Purchase Return'!G:G,'Purchase Return'!F:F,Sheet4!A482))</f>
        <v/>
      </c>
      <c r="G482" t="str">
        <f t="shared" si="7"/>
        <v/>
      </c>
    </row>
    <row r="483" spans="1:7">
      <c r="A483" t="str">
        <f>IF('Product List'!B483="","",'Product List'!B483)</f>
        <v/>
      </c>
      <c r="B483" t="str">
        <f>IF('Product List'!C483="","",'Product List'!C483)</f>
        <v/>
      </c>
      <c r="C483" t="str">
        <f>IF(SUMIFS('Purchase Record'!G:G,'Purchase Record'!F:F,Sheet4!A483)=0,"",SUMIFS('Purchase Record'!G:G,'Purchase Record'!F:F,Sheet4!A483))</f>
        <v/>
      </c>
      <c r="D483" t="str">
        <f>IF(SUMIFS('Sales Record'!H:H,'Sales Record'!F:F,Sheet4!A483)=0,"",SUMIFS('Sales Record'!H:H,'Sales Record'!F:F,Sheet4!A483))</f>
        <v/>
      </c>
      <c r="E483" t="str">
        <f>IF(SUMIFS('Sales Return'!G:G,'Sales Return'!F:F,Sheet4!A483)=0,"",SUMIFS('Sales Return'!G:G,'Sales Return'!F:F,Sheet4!A483))</f>
        <v/>
      </c>
      <c r="F483" t="str">
        <f>IF(SUMIFS('Purchase Return'!G:G,'Purchase Return'!F:F,Sheet4!A483)=0,"",SUMIFS('Purchase Return'!G:G,'Purchase Return'!F:F,Sheet4!A483))</f>
        <v/>
      </c>
      <c r="G483" t="str">
        <f t="shared" si="7"/>
        <v/>
      </c>
    </row>
    <row r="484" spans="1:7">
      <c r="A484" t="str">
        <f>IF('Product List'!B484="","",'Product List'!B484)</f>
        <v/>
      </c>
      <c r="B484" t="str">
        <f>IF('Product List'!C484="","",'Product List'!C484)</f>
        <v/>
      </c>
      <c r="C484" t="str">
        <f>IF(SUMIFS('Purchase Record'!G:G,'Purchase Record'!F:F,Sheet4!A484)=0,"",SUMIFS('Purchase Record'!G:G,'Purchase Record'!F:F,Sheet4!A484))</f>
        <v/>
      </c>
      <c r="D484" t="str">
        <f>IF(SUMIFS('Sales Record'!H:H,'Sales Record'!F:F,Sheet4!A484)=0,"",SUMIFS('Sales Record'!H:H,'Sales Record'!F:F,Sheet4!A484))</f>
        <v/>
      </c>
      <c r="E484" t="str">
        <f>IF(SUMIFS('Sales Return'!G:G,'Sales Return'!F:F,Sheet4!A484)=0,"",SUMIFS('Sales Return'!G:G,'Sales Return'!F:F,Sheet4!A484))</f>
        <v/>
      </c>
      <c r="F484" t="str">
        <f>IF(SUMIFS('Purchase Return'!G:G,'Purchase Return'!F:F,Sheet4!A484)=0,"",SUMIFS('Purchase Return'!G:G,'Purchase Return'!F:F,Sheet4!A484))</f>
        <v/>
      </c>
      <c r="G484" t="str">
        <f t="shared" si="7"/>
        <v/>
      </c>
    </row>
    <row r="485" spans="1:7">
      <c r="A485" t="str">
        <f>IF('Product List'!B485="","",'Product List'!B485)</f>
        <v/>
      </c>
      <c r="B485" t="str">
        <f>IF('Product List'!C485="","",'Product List'!C485)</f>
        <v/>
      </c>
      <c r="C485" t="str">
        <f>IF(SUMIFS('Purchase Record'!G:G,'Purchase Record'!F:F,Sheet4!A485)=0,"",SUMIFS('Purchase Record'!G:G,'Purchase Record'!F:F,Sheet4!A485))</f>
        <v/>
      </c>
      <c r="D485" t="str">
        <f>IF(SUMIFS('Sales Record'!H:H,'Sales Record'!F:F,Sheet4!A485)=0,"",SUMIFS('Sales Record'!H:H,'Sales Record'!F:F,Sheet4!A485))</f>
        <v/>
      </c>
      <c r="E485" t="str">
        <f>IF(SUMIFS('Sales Return'!G:G,'Sales Return'!F:F,Sheet4!A485)=0,"",SUMIFS('Sales Return'!G:G,'Sales Return'!F:F,Sheet4!A485))</f>
        <v/>
      </c>
      <c r="F485" t="str">
        <f>IF(SUMIFS('Purchase Return'!G:G,'Purchase Return'!F:F,Sheet4!A485)=0,"",SUMIFS('Purchase Return'!G:G,'Purchase Return'!F:F,Sheet4!A485))</f>
        <v/>
      </c>
      <c r="G485" t="str">
        <f t="shared" si="7"/>
        <v/>
      </c>
    </row>
    <row r="486" spans="1:7">
      <c r="A486" t="str">
        <f>IF('Product List'!B486="","",'Product List'!B486)</f>
        <v/>
      </c>
      <c r="B486" t="str">
        <f>IF('Product List'!C486="","",'Product List'!C486)</f>
        <v/>
      </c>
      <c r="C486" t="str">
        <f>IF(SUMIFS('Purchase Record'!G:G,'Purchase Record'!F:F,Sheet4!A486)=0,"",SUMIFS('Purchase Record'!G:G,'Purchase Record'!F:F,Sheet4!A486))</f>
        <v/>
      </c>
      <c r="D486" t="str">
        <f>IF(SUMIFS('Sales Record'!H:H,'Sales Record'!F:F,Sheet4!A486)=0,"",SUMIFS('Sales Record'!H:H,'Sales Record'!F:F,Sheet4!A486))</f>
        <v/>
      </c>
      <c r="E486" t="str">
        <f>IF(SUMIFS('Sales Return'!G:G,'Sales Return'!F:F,Sheet4!A486)=0,"",SUMIFS('Sales Return'!G:G,'Sales Return'!F:F,Sheet4!A486))</f>
        <v/>
      </c>
      <c r="F486" t="str">
        <f>IF(SUMIFS('Purchase Return'!G:G,'Purchase Return'!F:F,Sheet4!A486)=0,"",SUMIFS('Purchase Return'!G:G,'Purchase Return'!F:F,Sheet4!A486))</f>
        <v/>
      </c>
      <c r="G486" t="str">
        <f t="shared" si="7"/>
        <v/>
      </c>
    </row>
    <row r="487" spans="1:7">
      <c r="A487" t="str">
        <f>IF('Product List'!B487="","",'Product List'!B487)</f>
        <v/>
      </c>
      <c r="B487" t="str">
        <f>IF('Product List'!C487="","",'Product List'!C487)</f>
        <v/>
      </c>
      <c r="C487" t="str">
        <f>IF(SUMIFS('Purchase Record'!G:G,'Purchase Record'!F:F,Sheet4!A487)=0,"",SUMIFS('Purchase Record'!G:G,'Purchase Record'!F:F,Sheet4!A487))</f>
        <v/>
      </c>
      <c r="D487" t="str">
        <f>IF(SUMIFS('Sales Record'!H:H,'Sales Record'!F:F,Sheet4!A487)=0,"",SUMIFS('Sales Record'!H:H,'Sales Record'!F:F,Sheet4!A487))</f>
        <v/>
      </c>
      <c r="E487" t="str">
        <f>IF(SUMIFS('Sales Return'!G:G,'Sales Return'!F:F,Sheet4!A487)=0,"",SUMIFS('Sales Return'!G:G,'Sales Return'!F:F,Sheet4!A487))</f>
        <v/>
      </c>
      <c r="F487" t="str">
        <f>IF(SUMIFS('Purchase Return'!G:G,'Purchase Return'!F:F,Sheet4!A487)=0,"",SUMIFS('Purchase Return'!G:G,'Purchase Return'!F:F,Sheet4!A487))</f>
        <v/>
      </c>
      <c r="G487" t="str">
        <f t="shared" si="7"/>
        <v/>
      </c>
    </row>
    <row r="488" spans="1:7">
      <c r="A488" t="str">
        <f>IF('Product List'!B488="","",'Product List'!B488)</f>
        <v/>
      </c>
      <c r="B488" t="str">
        <f>IF('Product List'!C488="","",'Product List'!C488)</f>
        <v/>
      </c>
      <c r="C488" t="str">
        <f>IF(SUMIFS('Purchase Record'!G:G,'Purchase Record'!F:F,Sheet4!A488)=0,"",SUMIFS('Purchase Record'!G:G,'Purchase Record'!F:F,Sheet4!A488))</f>
        <v/>
      </c>
      <c r="D488" t="str">
        <f>IF(SUMIFS('Sales Record'!H:H,'Sales Record'!F:F,Sheet4!A488)=0,"",SUMIFS('Sales Record'!H:H,'Sales Record'!F:F,Sheet4!A488))</f>
        <v/>
      </c>
      <c r="E488" t="str">
        <f>IF(SUMIFS('Sales Return'!G:G,'Sales Return'!F:F,Sheet4!A488)=0,"",SUMIFS('Sales Return'!G:G,'Sales Return'!F:F,Sheet4!A488))</f>
        <v/>
      </c>
      <c r="F488" t="str">
        <f>IF(SUMIFS('Purchase Return'!G:G,'Purchase Return'!F:F,Sheet4!A488)=0,"",SUMIFS('Purchase Return'!G:G,'Purchase Return'!F:F,Sheet4!A488))</f>
        <v/>
      </c>
      <c r="G488" t="str">
        <f t="shared" si="7"/>
        <v/>
      </c>
    </row>
    <row r="489" spans="1:7">
      <c r="A489" t="str">
        <f>IF('Product List'!B489="","",'Product List'!B489)</f>
        <v/>
      </c>
      <c r="B489" t="str">
        <f>IF('Product List'!C489="","",'Product List'!C489)</f>
        <v/>
      </c>
      <c r="C489" t="str">
        <f>IF(SUMIFS('Purchase Record'!G:G,'Purchase Record'!F:F,Sheet4!A489)=0,"",SUMIFS('Purchase Record'!G:G,'Purchase Record'!F:F,Sheet4!A489))</f>
        <v/>
      </c>
      <c r="D489" t="str">
        <f>IF(SUMIFS('Sales Record'!H:H,'Sales Record'!F:F,Sheet4!A489)=0,"",SUMIFS('Sales Record'!H:H,'Sales Record'!F:F,Sheet4!A489))</f>
        <v/>
      </c>
      <c r="E489" t="str">
        <f>IF(SUMIFS('Sales Return'!G:G,'Sales Return'!F:F,Sheet4!A489)=0,"",SUMIFS('Sales Return'!G:G,'Sales Return'!F:F,Sheet4!A489))</f>
        <v/>
      </c>
      <c r="F489" t="str">
        <f>IF(SUMIFS('Purchase Return'!G:G,'Purchase Return'!F:F,Sheet4!A489)=0,"",SUMIFS('Purchase Return'!G:G,'Purchase Return'!F:F,Sheet4!A489))</f>
        <v/>
      </c>
      <c r="G489" t="str">
        <f t="shared" si="7"/>
        <v/>
      </c>
    </row>
    <row r="490" spans="1:7">
      <c r="A490" t="str">
        <f>IF('Product List'!B490="","",'Product List'!B490)</f>
        <v/>
      </c>
      <c r="B490" t="str">
        <f>IF('Product List'!C490="","",'Product List'!C490)</f>
        <v/>
      </c>
      <c r="C490" t="str">
        <f>IF(SUMIFS('Purchase Record'!G:G,'Purchase Record'!F:F,Sheet4!A490)=0,"",SUMIFS('Purchase Record'!G:G,'Purchase Record'!F:F,Sheet4!A490))</f>
        <v/>
      </c>
      <c r="D490" t="str">
        <f>IF(SUMIFS('Sales Record'!H:H,'Sales Record'!F:F,Sheet4!A490)=0,"",SUMIFS('Sales Record'!H:H,'Sales Record'!F:F,Sheet4!A490))</f>
        <v/>
      </c>
      <c r="E490" t="str">
        <f>IF(SUMIFS('Sales Return'!G:G,'Sales Return'!F:F,Sheet4!A490)=0,"",SUMIFS('Sales Return'!G:G,'Sales Return'!F:F,Sheet4!A490))</f>
        <v/>
      </c>
      <c r="F490" t="str">
        <f>IF(SUMIFS('Purchase Return'!G:G,'Purchase Return'!F:F,Sheet4!A490)=0,"",SUMIFS('Purchase Return'!G:G,'Purchase Return'!F:F,Sheet4!A490))</f>
        <v/>
      </c>
      <c r="G490" t="str">
        <f t="shared" si="7"/>
        <v/>
      </c>
    </row>
    <row r="491" spans="1:7">
      <c r="A491" t="str">
        <f>IF('Product List'!B491="","",'Product List'!B491)</f>
        <v/>
      </c>
      <c r="B491" t="str">
        <f>IF('Product List'!C491="","",'Product List'!C491)</f>
        <v/>
      </c>
      <c r="C491" t="str">
        <f>IF(SUMIFS('Purchase Record'!G:G,'Purchase Record'!F:F,Sheet4!A491)=0,"",SUMIFS('Purchase Record'!G:G,'Purchase Record'!F:F,Sheet4!A491))</f>
        <v/>
      </c>
      <c r="D491" t="str">
        <f>IF(SUMIFS('Sales Record'!H:H,'Sales Record'!F:F,Sheet4!A491)=0,"",SUMIFS('Sales Record'!H:H,'Sales Record'!F:F,Sheet4!A491))</f>
        <v/>
      </c>
      <c r="E491" t="str">
        <f>IF(SUMIFS('Sales Return'!G:G,'Sales Return'!F:F,Sheet4!A491)=0,"",SUMIFS('Sales Return'!G:G,'Sales Return'!F:F,Sheet4!A491))</f>
        <v/>
      </c>
      <c r="F491" t="str">
        <f>IF(SUMIFS('Purchase Return'!G:G,'Purchase Return'!F:F,Sheet4!A491)=0,"",SUMIFS('Purchase Return'!G:G,'Purchase Return'!F:F,Sheet4!A491))</f>
        <v/>
      </c>
      <c r="G491" t="str">
        <f t="shared" si="7"/>
        <v/>
      </c>
    </row>
    <row r="492" spans="1:7">
      <c r="A492" t="str">
        <f>IF('Product List'!B492="","",'Product List'!B492)</f>
        <v/>
      </c>
      <c r="B492" t="str">
        <f>IF('Product List'!C492="","",'Product List'!C492)</f>
        <v/>
      </c>
      <c r="C492" t="str">
        <f>IF(SUMIFS('Purchase Record'!G:G,'Purchase Record'!F:F,Sheet4!A492)=0,"",SUMIFS('Purchase Record'!G:G,'Purchase Record'!F:F,Sheet4!A492))</f>
        <v/>
      </c>
      <c r="D492" t="str">
        <f>IF(SUMIFS('Sales Record'!H:H,'Sales Record'!F:F,Sheet4!A492)=0,"",SUMIFS('Sales Record'!H:H,'Sales Record'!F:F,Sheet4!A492))</f>
        <v/>
      </c>
      <c r="E492" t="str">
        <f>IF(SUMIFS('Sales Return'!G:G,'Sales Return'!F:F,Sheet4!A492)=0,"",SUMIFS('Sales Return'!G:G,'Sales Return'!F:F,Sheet4!A492))</f>
        <v/>
      </c>
      <c r="F492" t="str">
        <f>IF(SUMIFS('Purchase Return'!G:G,'Purchase Return'!F:F,Sheet4!A492)=0,"",SUMIFS('Purchase Return'!G:G,'Purchase Return'!F:F,Sheet4!A492))</f>
        <v/>
      </c>
      <c r="G492" t="str">
        <f t="shared" si="7"/>
        <v/>
      </c>
    </row>
    <row r="493" spans="1:7">
      <c r="A493" t="str">
        <f>IF('Product List'!B493="","",'Product List'!B493)</f>
        <v/>
      </c>
      <c r="B493" t="str">
        <f>IF('Product List'!C493="","",'Product List'!C493)</f>
        <v/>
      </c>
      <c r="C493" t="str">
        <f>IF(SUMIFS('Purchase Record'!G:G,'Purchase Record'!F:F,Sheet4!A493)=0,"",SUMIFS('Purchase Record'!G:G,'Purchase Record'!F:F,Sheet4!A493))</f>
        <v/>
      </c>
      <c r="D493" t="str">
        <f>IF(SUMIFS('Sales Record'!H:H,'Sales Record'!F:F,Sheet4!A493)=0,"",SUMIFS('Sales Record'!H:H,'Sales Record'!F:F,Sheet4!A493))</f>
        <v/>
      </c>
      <c r="E493" t="str">
        <f>IF(SUMIFS('Sales Return'!G:G,'Sales Return'!F:F,Sheet4!A493)=0,"",SUMIFS('Sales Return'!G:G,'Sales Return'!F:F,Sheet4!A493))</f>
        <v/>
      </c>
      <c r="F493" t="str">
        <f>IF(SUMIFS('Purchase Return'!G:G,'Purchase Return'!F:F,Sheet4!A493)=0,"",SUMIFS('Purchase Return'!G:G,'Purchase Return'!F:F,Sheet4!A493))</f>
        <v/>
      </c>
      <c r="G493" t="str">
        <f t="shared" si="7"/>
        <v/>
      </c>
    </row>
    <row r="494" spans="1:7">
      <c r="A494" t="str">
        <f>IF('Product List'!B494="","",'Product List'!B494)</f>
        <v/>
      </c>
      <c r="B494" t="str">
        <f>IF('Product List'!C494="","",'Product List'!C494)</f>
        <v/>
      </c>
      <c r="C494" t="str">
        <f>IF(SUMIFS('Purchase Record'!G:G,'Purchase Record'!F:F,Sheet4!A494)=0,"",SUMIFS('Purchase Record'!G:G,'Purchase Record'!F:F,Sheet4!A494))</f>
        <v/>
      </c>
      <c r="D494" t="str">
        <f>IF(SUMIFS('Sales Record'!H:H,'Sales Record'!F:F,Sheet4!A494)=0,"",SUMIFS('Sales Record'!H:H,'Sales Record'!F:F,Sheet4!A494))</f>
        <v/>
      </c>
      <c r="E494" t="str">
        <f>IF(SUMIFS('Sales Return'!G:G,'Sales Return'!F:F,Sheet4!A494)=0,"",SUMIFS('Sales Return'!G:G,'Sales Return'!F:F,Sheet4!A494))</f>
        <v/>
      </c>
      <c r="F494" t="str">
        <f>IF(SUMIFS('Purchase Return'!G:G,'Purchase Return'!F:F,Sheet4!A494)=0,"",SUMIFS('Purchase Return'!G:G,'Purchase Return'!F:F,Sheet4!A494))</f>
        <v/>
      </c>
      <c r="G494" t="str">
        <f t="shared" si="7"/>
        <v/>
      </c>
    </row>
    <row r="495" spans="1:7">
      <c r="A495" t="str">
        <f>IF('Product List'!B495="","",'Product List'!B495)</f>
        <v/>
      </c>
      <c r="B495" t="str">
        <f>IF('Product List'!C495="","",'Product List'!C495)</f>
        <v/>
      </c>
      <c r="C495" t="str">
        <f>IF(SUMIFS('Purchase Record'!G:G,'Purchase Record'!F:F,Sheet4!A495)=0,"",SUMIFS('Purchase Record'!G:G,'Purchase Record'!F:F,Sheet4!A495))</f>
        <v/>
      </c>
      <c r="D495" t="str">
        <f>IF(SUMIFS('Sales Record'!H:H,'Sales Record'!F:F,Sheet4!A495)=0,"",SUMIFS('Sales Record'!H:H,'Sales Record'!F:F,Sheet4!A495))</f>
        <v/>
      </c>
      <c r="E495" t="str">
        <f>IF(SUMIFS('Sales Return'!G:G,'Sales Return'!F:F,Sheet4!A495)=0,"",SUMIFS('Sales Return'!G:G,'Sales Return'!F:F,Sheet4!A495))</f>
        <v/>
      </c>
      <c r="F495" t="str">
        <f>IF(SUMIFS('Purchase Return'!G:G,'Purchase Return'!F:F,Sheet4!A495)=0,"",SUMIFS('Purchase Return'!G:G,'Purchase Return'!F:F,Sheet4!A495))</f>
        <v/>
      </c>
      <c r="G495" t="str">
        <f t="shared" si="7"/>
        <v/>
      </c>
    </row>
    <row r="496" spans="1:7">
      <c r="A496" t="str">
        <f>IF('Product List'!B496="","",'Product List'!B496)</f>
        <v/>
      </c>
      <c r="B496" t="str">
        <f>IF('Product List'!C496="","",'Product List'!C496)</f>
        <v/>
      </c>
      <c r="C496" t="str">
        <f>IF(SUMIFS('Purchase Record'!G:G,'Purchase Record'!F:F,Sheet4!A496)=0,"",SUMIFS('Purchase Record'!G:G,'Purchase Record'!F:F,Sheet4!A496))</f>
        <v/>
      </c>
      <c r="D496" t="str">
        <f>IF(SUMIFS('Sales Record'!H:H,'Sales Record'!F:F,Sheet4!A496)=0,"",SUMIFS('Sales Record'!H:H,'Sales Record'!F:F,Sheet4!A496))</f>
        <v/>
      </c>
      <c r="E496" t="str">
        <f>IF(SUMIFS('Sales Return'!G:G,'Sales Return'!F:F,Sheet4!A496)=0,"",SUMIFS('Sales Return'!G:G,'Sales Return'!F:F,Sheet4!A496))</f>
        <v/>
      </c>
      <c r="F496" t="str">
        <f>IF(SUMIFS('Purchase Return'!G:G,'Purchase Return'!F:F,Sheet4!A496)=0,"",SUMIFS('Purchase Return'!G:G,'Purchase Return'!F:F,Sheet4!A496))</f>
        <v/>
      </c>
      <c r="G496" t="str">
        <f t="shared" si="7"/>
        <v/>
      </c>
    </row>
    <row r="497" spans="1:7">
      <c r="A497" t="str">
        <f>IF('Product List'!B497="","",'Product List'!B497)</f>
        <v/>
      </c>
      <c r="B497" t="str">
        <f>IF('Product List'!C497="","",'Product List'!C497)</f>
        <v/>
      </c>
      <c r="C497" t="str">
        <f>IF(SUMIFS('Purchase Record'!G:G,'Purchase Record'!F:F,Sheet4!A497)=0,"",SUMIFS('Purchase Record'!G:G,'Purchase Record'!F:F,Sheet4!A497))</f>
        <v/>
      </c>
      <c r="D497" t="str">
        <f>IF(SUMIFS('Sales Record'!H:H,'Sales Record'!F:F,Sheet4!A497)=0,"",SUMIFS('Sales Record'!H:H,'Sales Record'!F:F,Sheet4!A497))</f>
        <v/>
      </c>
      <c r="E497" t="str">
        <f>IF(SUMIFS('Sales Return'!G:G,'Sales Return'!F:F,Sheet4!A497)=0,"",SUMIFS('Sales Return'!G:G,'Sales Return'!F:F,Sheet4!A497))</f>
        <v/>
      </c>
      <c r="F497" t="str">
        <f>IF(SUMIFS('Purchase Return'!G:G,'Purchase Return'!F:F,Sheet4!A497)=0,"",SUMIFS('Purchase Return'!G:G,'Purchase Return'!F:F,Sheet4!A497))</f>
        <v/>
      </c>
      <c r="G497" t="str">
        <f t="shared" si="7"/>
        <v/>
      </c>
    </row>
    <row r="498" spans="1:7">
      <c r="A498" t="str">
        <f>IF('Product List'!B498="","",'Product List'!B498)</f>
        <v/>
      </c>
      <c r="B498" t="str">
        <f>IF('Product List'!C498="","",'Product List'!C498)</f>
        <v/>
      </c>
      <c r="C498" t="str">
        <f>IF(SUMIFS('Purchase Record'!G:G,'Purchase Record'!F:F,Sheet4!A498)=0,"",SUMIFS('Purchase Record'!G:G,'Purchase Record'!F:F,Sheet4!A498))</f>
        <v/>
      </c>
      <c r="D498" t="str">
        <f>IF(SUMIFS('Sales Record'!H:H,'Sales Record'!F:F,Sheet4!A498)=0,"",SUMIFS('Sales Record'!H:H,'Sales Record'!F:F,Sheet4!A498))</f>
        <v/>
      </c>
      <c r="E498" t="str">
        <f>IF(SUMIFS('Sales Return'!G:G,'Sales Return'!F:F,Sheet4!A498)=0,"",SUMIFS('Sales Return'!G:G,'Sales Return'!F:F,Sheet4!A498))</f>
        <v/>
      </c>
      <c r="F498" t="str">
        <f>IF(SUMIFS('Purchase Return'!G:G,'Purchase Return'!F:F,Sheet4!A498)=0,"",SUMIFS('Purchase Return'!G:G,'Purchase Return'!F:F,Sheet4!A498))</f>
        <v/>
      </c>
      <c r="G498" t="str">
        <f t="shared" si="7"/>
        <v/>
      </c>
    </row>
    <row r="499" spans="1:7">
      <c r="A499" t="str">
        <f>IF('Product List'!B499="","",'Product List'!B499)</f>
        <v/>
      </c>
      <c r="B499" t="str">
        <f>IF('Product List'!C499="","",'Product List'!C499)</f>
        <v/>
      </c>
      <c r="C499" t="str">
        <f>IF(SUMIFS('Purchase Record'!G:G,'Purchase Record'!F:F,Sheet4!A499)=0,"",SUMIFS('Purchase Record'!G:G,'Purchase Record'!F:F,Sheet4!A499))</f>
        <v/>
      </c>
      <c r="D499" t="str">
        <f>IF(SUMIFS('Sales Record'!H:H,'Sales Record'!F:F,Sheet4!A499)=0,"",SUMIFS('Sales Record'!H:H,'Sales Record'!F:F,Sheet4!A499))</f>
        <v/>
      </c>
      <c r="E499" t="str">
        <f>IF(SUMIFS('Sales Return'!G:G,'Sales Return'!F:F,Sheet4!A499)=0,"",SUMIFS('Sales Return'!G:G,'Sales Return'!F:F,Sheet4!A499))</f>
        <v/>
      </c>
      <c r="F499" t="str">
        <f>IF(SUMIFS('Purchase Return'!G:G,'Purchase Return'!F:F,Sheet4!A499)=0,"",SUMIFS('Purchase Return'!G:G,'Purchase Return'!F:F,Sheet4!A499))</f>
        <v/>
      </c>
      <c r="G499" t="str">
        <f t="shared" si="7"/>
        <v/>
      </c>
    </row>
    <row r="500" spans="1:7">
      <c r="A500" t="str">
        <f>IF('Product List'!B500="","",'Product List'!B500)</f>
        <v/>
      </c>
      <c r="B500" t="str">
        <f>IF('Product List'!C500="","",'Product List'!C500)</f>
        <v/>
      </c>
      <c r="C500" t="str">
        <f>IF(SUMIFS('Purchase Record'!G:G,'Purchase Record'!F:F,Sheet4!A500)=0,"",SUMIFS('Purchase Record'!G:G,'Purchase Record'!F:F,Sheet4!A500))</f>
        <v/>
      </c>
      <c r="D500" t="str">
        <f>IF(SUMIFS('Sales Record'!H:H,'Sales Record'!F:F,Sheet4!A500)=0,"",SUMIFS('Sales Record'!H:H,'Sales Record'!F:F,Sheet4!A500))</f>
        <v/>
      </c>
      <c r="E500" t="str">
        <f>IF(SUMIFS('Sales Return'!G:G,'Sales Return'!F:F,Sheet4!A500)=0,"",SUMIFS('Sales Return'!G:G,'Sales Return'!F:F,Sheet4!A500))</f>
        <v/>
      </c>
      <c r="F500" t="str">
        <f>IF(SUMIFS('Purchase Return'!G:G,'Purchase Return'!F:F,Sheet4!A500)=0,"",SUMIFS('Purchase Return'!G:G,'Purchase Return'!F:F,Sheet4!A500))</f>
        <v/>
      </c>
      <c r="G500" t="str">
        <f t="shared" si="7"/>
        <v/>
      </c>
    </row>
    <row r="501" spans="1:7">
      <c r="A501" t="str">
        <f>IF('Product List'!B501="","",'Product List'!B501)</f>
        <v/>
      </c>
      <c r="B501" t="str">
        <f>IF('Product List'!C501="","",'Product List'!C501)</f>
        <v/>
      </c>
      <c r="C501" t="str">
        <f>IF(SUMIFS('Purchase Record'!G:G,'Purchase Record'!F:F,Sheet4!A501)=0,"",SUMIFS('Purchase Record'!G:G,'Purchase Record'!F:F,Sheet4!A501))</f>
        <v/>
      </c>
      <c r="D501" t="str">
        <f>IF(SUMIFS('Sales Record'!H:H,'Sales Record'!F:F,Sheet4!A501)=0,"",SUMIFS('Sales Record'!H:H,'Sales Record'!F:F,Sheet4!A501))</f>
        <v/>
      </c>
      <c r="E501" t="str">
        <f>IF(SUMIFS('Sales Return'!G:G,'Sales Return'!F:F,Sheet4!A501)=0,"",SUMIFS('Sales Return'!G:G,'Sales Return'!F:F,Sheet4!A501))</f>
        <v/>
      </c>
      <c r="F501" t="str">
        <f>IF(SUMIFS('Purchase Return'!G:G,'Purchase Return'!F:F,Sheet4!A501)=0,"",SUMIFS('Purchase Return'!G:G,'Purchase Return'!F:F,Sheet4!A501))</f>
        <v/>
      </c>
      <c r="G501" t="str">
        <f t="shared" si="7"/>
        <v/>
      </c>
    </row>
    <row r="502" spans="1:7">
      <c r="A502" t="str">
        <f>IF('Product List'!B502="","",'Product List'!B502)</f>
        <v/>
      </c>
      <c r="B502" t="str">
        <f>IF('Product List'!C502="","",'Product List'!C502)</f>
        <v/>
      </c>
      <c r="C502" t="str">
        <f>IF(SUMIFS('Purchase Record'!G:G,'Purchase Record'!F:F,Sheet4!A502)=0,"",SUMIFS('Purchase Record'!G:G,'Purchase Record'!F:F,Sheet4!A502))</f>
        <v/>
      </c>
      <c r="D502" t="str">
        <f>IF(SUMIFS('Sales Record'!H:H,'Sales Record'!F:F,Sheet4!A502)=0,"",SUMIFS('Sales Record'!H:H,'Sales Record'!F:F,Sheet4!A502))</f>
        <v/>
      </c>
      <c r="E502" t="str">
        <f>IF(SUMIFS('Sales Return'!G:G,'Sales Return'!F:F,Sheet4!A502)=0,"",SUMIFS('Sales Return'!G:G,'Sales Return'!F:F,Sheet4!A502))</f>
        <v/>
      </c>
      <c r="F502" t="str">
        <f>IF(SUMIFS('Purchase Return'!G:G,'Purchase Return'!F:F,Sheet4!A502)=0,"",SUMIFS('Purchase Return'!G:G,'Purchase Return'!F:F,Sheet4!A502))</f>
        <v/>
      </c>
      <c r="G502" t="str">
        <f t="shared" si="7"/>
        <v/>
      </c>
    </row>
    <row r="503" spans="1:7">
      <c r="A503" t="str">
        <f>IF('Product List'!B503="","",'Product List'!B503)</f>
        <v/>
      </c>
      <c r="B503" t="str">
        <f>IF('Product List'!C503="","",'Product List'!C503)</f>
        <v/>
      </c>
      <c r="C503" t="str">
        <f>IF(SUMIFS('Purchase Record'!G:G,'Purchase Record'!F:F,Sheet4!A503)=0,"",SUMIFS('Purchase Record'!G:G,'Purchase Record'!F:F,Sheet4!A503))</f>
        <v/>
      </c>
      <c r="D503" t="str">
        <f>IF(SUMIFS('Sales Record'!H:H,'Sales Record'!F:F,Sheet4!A503)=0,"",SUMIFS('Sales Record'!H:H,'Sales Record'!F:F,Sheet4!A503))</f>
        <v/>
      </c>
      <c r="E503" t="str">
        <f>IF(SUMIFS('Sales Return'!G:G,'Sales Return'!F:F,Sheet4!A503)=0,"",SUMIFS('Sales Return'!G:G,'Sales Return'!F:F,Sheet4!A503))</f>
        <v/>
      </c>
      <c r="F503" t="str">
        <f>IF(SUMIFS('Purchase Return'!G:G,'Purchase Return'!F:F,Sheet4!A503)=0,"",SUMIFS('Purchase Return'!G:G,'Purchase Return'!F:F,Sheet4!A503))</f>
        <v/>
      </c>
      <c r="G503" t="str">
        <f t="shared" si="7"/>
        <v/>
      </c>
    </row>
    <row r="504" spans="1:7">
      <c r="A504" t="str">
        <f>IF('Product List'!B504="","",'Product List'!B504)</f>
        <v/>
      </c>
      <c r="B504" t="str">
        <f>IF('Product List'!C504="","",'Product List'!C504)</f>
        <v/>
      </c>
      <c r="C504" t="str">
        <f>IF(SUMIFS('Purchase Record'!G:G,'Purchase Record'!F:F,Sheet4!A504)=0,"",SUMIFS('Purchase Record'!G:G,'Purchase Record'!F:F,Sheet4!A504))</f>
        <v/>
      </c>
      <c r="D504" t="str">
        <f>IF(SUMIFS('Sales Record'!H:H,'Sales Record'!F:F,Sheet4!A504)=0,"",SUMIFS('Sales Record'!H:H,'Sales Record'!F:F,Sheet4!A504))</f>
        <v/>
      </c>
      <c r="E504" t="str">
        <f>IF(SUMIFS('Sales Return'!G:G,'Sales Return'!F:F,Sheet4!A504)=0,"",SUMIFS('Sales Return'!G:G,'Sales Return'!F:F,Sheet4!A504))</f>
        <v/>
      </c>
      <c r="F504" t="str">
        <f>IF(SUMIFS('Purchase Return'!G:G,'Purchase Return'!F:F,Sheet4!A504)=0,"",SUMIFS('Purchase Return'!G:G,'Purchase Return'!F:F,Sheet4!A504))</f>
        <v/>
      </c>
      <c r="G504" t="str">
        <f t="shared" si="7"/>
        <v/>
      </c>
    </row>
    <row r="505" spans="1:7">
      <c r="A505" t="str">
        <f>IF('Product List'!B505="","",'Product List'!B505)</f>
        <v/>
      </c>
      <c r="B505" t="str">
        <f>IF('Product List'!C505="","",'Product List'!C505)</f>
        <v/>
      </c>
      <c r="C505" t="str">
        <f>IF(SUMIFS('Purchase Record'!G:G,'Purchase Record'!F:F,Sheet4!A505)=0,"",SUMIFS('Purchase Record'!G:G,'Purchase Record'!F:F,Sheet4!A505))</f>
        <v/>
      </c>
      <c r="D505" t="str">
        <f>IF(SUMIFS('Sales Record'!H:H,'Sales Record'!F:F,Sheet4!A505)=0,"",SUMIFS('Sales Record'!H:H,'Sales Record'!F:F,Sheet4!A505))</f>
        <v/>
      </c>
      <c r="E505" t="str">
        <f>IF(SUMIFS('Sales Return'!G:G,'Sales Return'!F:F,Sheet4!A505)=0,"",SUMIFS('Sales Return'!G:G,'Sales Return'!F:F,Sheet4!A505))</f>
        <v/>
      </c>
      <c r="F505" t="str">
        <f>IF(SUMIFS('Purchase Return'!G:G,'Purchase Return'!F:F,Sheet4!A505)=0,"",SUMIFS('Purchase Return'!G:G,'Purchase Return'!F:F,Sheet4!A505))</f>
        <v/>
      </c>
      <c r="G505" t="str">
        <f t="shared" si="7"/>
        <v/>
      </c>
    </row>
    <row r="506" spans="1:7">
      <c r="A506" t="str">
        <f>IF('Product List'!B506="","",'Product List'!B506)</f>
        <v/>
      </c>
      <c r="B506" t="str">
        <f>IF('Product List'!C506="","",'Product List'!C506)</f>
        <v/>
      </c>
      <c r="C506" t="str">
        <f>IF(SUMIFS('Purchase Record'!G:G,'Purchase Record'!F:F,Sheet4!A506)=0,"",SUMIFS('Purchase Record'!G:G,'Purchase Record'!F:F,Sheet4!A506))</f>
        <v/>
      </c>
      <c r="D506" t="str">
        <f>IF(SUMIFS('Sales Record'!H:H,'Sales Record'!F:F,Sheet4!A506)=0,"",SUMIFS('Sales Record'!H:H,'Sales Record'!F:F,Sheet4!A506))</f>
        <v/>
      </c>
      <c r="E506" t="str">
        <f>IF(SUMIFS('Sales Return'!G:G,'Sales Return'!F:F,Sheet4!A506)=0,"",SUMIFS('Sales Return'!G:G,'Sales Return'!F:F,Sheet4!A506))</f>
        <v/>
      </c>
      <c r="F506" t="str">
        <f>IF(SUMIFS('Purchase Return'!G:G,'Purchase Return'!F:F,Sheet4!A506)=0,"",SUMIFS('Purchase Return'!G:G,'Purchase Return'!F:F,Sheet4!A506))</f>
        <v/>
      </c>
      <c r="G506" t="str">
        <f t="shared" si="7"/>
        <v/>
      </c>
    </row>
    <row r="507" spans="1:7">
      <c r="A507" t="str">
        <f>IF('Product List'!B507="","",'Product List'!B507)</f>
        <v/>
      </c>
      <c r="B507" t="str">
        <f>IF('Product List'!C507="","",'Product List'!C507)</f>
        <v/>
      </c>
      <c r="C507" t="str">
        <f>IF(SUMIFS('Purchase Record'!G:G,'Purchase Record'!F:F,Sheet4!A507)=0,"",SUMIFS('Purchase Record'!G:G,'Purchase Record'!F:F,Sheet4!A507))</f>
        <v/>
      </c>
      <c r="D507" t="str">
        <f>IF(SUMIFS('Sales Record'!H:H,'Sales Record'!F:F,Sheet4!A507)=0,"",SUMIFS('Sales Record'!H:H,'Sales Record'!F:F,Sheet4!A507))</f>
        <v/>
      </c>
      <c r="E507" t="str">
        <f>IF(SUMIFS('Sales Return'!G:G,'Sales Return'!F:F,Sheet4!A507)=0,"",SUMIFS('Sales Return'!G:G,'Sales Return'!F:F,Sheet4!A507))</f>
        <v/>
      </c>
      <c r="F507" t="str">
        <f>IF(SUMIFS('Purchase Return'!G:G,'Purchase Return'!F:F,Sheet4!A507)=0,"",SUMIFS('Purchase Return'!G:G,'Purchase Return'!F:F,Sheet4!A507))</f>
        <v/>
      </c>
      <c r="G507" t="str">
        <f t="shared" si="7"/>
        <v/>
      </c>
    </row>
    <row r="508" spans="1:7">
      <c r="A508" t="str">
        <f>IF('Product List'!B508="","",'Product List'!B508)</f>
        <v/>
      </c>
      <c r="B508" t="str">
        <f>IF('Product List'!C508="","",'Product List'!C508)</f>
        <v/>
      </c>
      <c r="C508" t="str">
        <f>IF(SUMIFS('Purchase Record'!G:G,'Purchase Record'!F:F,Sheet4!A508)=0,"",SUMIFS('Purchase Record'!G:G,'Purchase Record'!F:F,Sheet4!A508))</f>
        <v/>
      </c>
      <c r="D508" t="str">
        <f>IF(SUMIFS('Sales Record'!H:H,'Sales Record'!F:F,Sheet4!A508)=0,"",SUMIFS('Sales Record'!H:H,'Sales Record'!F:F,Sheet4!A508))</f>
        <v/>
      </c>
      <c r="E508" t="str">
        <f>IF(SUMIFS('Sales Return'!G:G,'Sales Return'!F:F,Sheet4!A508)=0,"",SUMIFS('Sales Return'!G:G,'Sales Return'!F:F,Sheet4!A508))</f>
        <v/>
      </c>
      <c r="F508" t="str">
        <f>IF(SUMIFS('Purchase Return'!G:G,'Purchase Return'!F:F,Sheet4!A508)=0,"",SUMIFS('Purchase Return'!G:G,'Purchase Return'!F:F,Sheet4!A508))</f>
        <v/>
      </c>
      <c r="G508" t="str">
        <f t="shared" si="7"/>
        <v/>
      </c>
    </row>
    <row r="509" spans="1:7">
      <c r="A509" t="str">
        <f>IF('Product List'!B509="","",'Product List'!B509)</f>
        <v/>
      </c>
      <c r="B509" t="str">
        <f>IF('Product List'!C509="","",'Product List'!C509)</f>
        <v/>
      </c>
      <c r="C509" t="str">
        <f>IF(SUMIFS('Purchase Record'!G:G,'Purchase Record'!F:F,Sheet4!A509)=0,"",SUMIFS('Purchase Record'!G:G,'Purchase Record'!F:F,Sheet4!A509))</f>
        <v/>
      </c>
      <c r="D509" t="str">
        <f>IF(SUMIFS('Sales Record'!H:H,'Sales Record'!F:F,Sheet4!A509)=0,"",SUMIFS('Sales Record'!H:H,'Sales Record'!F:F,Sheet4!A509))</f>
        <v/>
      </c>
      <c r="E509" t="str">
        <f>IF(SUMIFS('Sales Return'!G:G,'Sales Return'!F:F,Sheet4!A509)=0,"",SUMIFS('Sales Return'!G:G,'Sales Return'!F:F,Sheet4!A509))</f>
        <v/>
      </c>
      <c r="F509" t="str">
        <f>IF(SUMIFS('Purchase Return'!G:G,'Purchase Return'!F:F,Sheet4!A509)=0,"",SUMIFS('Purchase Return'!G:G,'Purchase Return'!F:F,Sheet4!A509))</f>
        <v/>
      </c>
      <c r="G509" t="str">
        <f t="shared" si="7"/>
        <v/>
      </c>
    </row>
    <row r="510" spans="1:7">
      <c r="A510" t="str">
        <f>IF('Product List'!B510="","",'Product List'!B510)</f>
        <v/>
      </c>
      <c r="B510" t="str">
        <f>IF('Product List'!C510="","",'Product List'!C510)</f>
        <v/>
      </c>
      <c r="C510" t="str">
        <f>IF(SUMIFS('Purchase Record'!G:G,'Purchase Record'!F:F,Sheet4!A510)=0,"",SUMIFS('Purchase Record'!G:G,'Purchase Record'!F:F,Sheet4!A510))</f>
        <v/>
      </c>
      <c r="D510" t="str">
        <f>IF(SUMIFS('Sales Record'!H:H,'Sales Record'!F:F,Sheet4!A510)=0,"",SUMIFS('Sales Record'!H:H,'Sales Record'!F:F,Sheet4!A510))</f>
        <v/>
      </c>
      <c r="E510" t="str">
        <f>IF(SUMIFS('Sales Return'!G:G,'Sales Return'!F:F,Sheet4!A510)=0,"",SUMIFS('Sales Return'!G:G,'Sales Return'!F:F,Sheet4!A510))</f>
        <v/>
      </c>
      <c r="F510" t="str">
        <f>IF(SUMIFS('Purchase Return'!G:G,'Purchase Return'!F:F,Sheet4!A510)=0,"",SUMIFS('Purchase Return'!G:G,'Purchase Return'!F:F,Sheet4!A510))</f>
        <v/>
      </c>
      <c r="G510" t="str">
        <f t="shared" si="7"/>
        <v/>
      </c>
    </row>
    <row r="511" spans="1:7">
      <c r="A511" t="str">
        <f>IF('Product List'!B511="","",'Product List'!B511)</f>
        <v/>
      </c>
      <c r="B511" t="str">
        <f>IF('Product List'!C511="","",'Product List'!C511)</f>
        <v/>
      </c>
      <c r="C511" t="str">
        <f>IF(SUMIFS('Purchase Record'!G:G,'Purchase Record'!F:F,Sheet4!A511)=0,"",SUMIFS('Purchase Record'!G:G,'Purchase Record'!F:F,Sheet4!A511))</f>
        <v/>
      </c>
      <c r="D511" t="str">
        <f>IF(SUMIFS('Sales Record'!H:H,'Sales Record'!F:F,Sheet4!A511)=0,"",SUMIFS('Sales Record'!H:H,'Sales Record'!F:F,Sheet4!A511))</f>
        <v/>
      </c>
      <c r="E511" t="str">
        <f>IF(SUMIFS('Sales Return'!G:G,'Sales Return'!F:F,Sheet4!A511)=0,"",SUMIFS('Sales Return'!G:G,'Sales Return'!F:F,Sheet4!A511))</f>
        <v/>
      </c>
      <c r="F511" t="str">
        <f>IF(SUMIFS('Purchase Return'!G:G,'Purchase Return'!F:F,Sheet4!A511)=0,"",SUMIFS('Purchase Return'!G:G,'Purchase Return'!F:F,Sheet4!A511))</f>
        <v/>
      </c>
      <c r="G511" t="str">
        <f t="shared" si="7"/>
        <v/>
      </c>
    </row>
    <row r="512" spans="1:7">
      <c r="A512" t="str">
        <f>IF('Product List'!B512="","",'Product List'!B512)</f>
        <v/>
      </c>
      <c r="B512" t="str">
        <f>IF('Product List'!C512="","",'Product List'!C512)</f>
        <v/>
      </c>
      <c r="C512" t="str">
        <f>IF(SUMIFS('Purchase Record'!G:G,'Purchase Record'!F:F,Sheet4!A512)=0,"",SUMIFS('Purchase Record'!G:G,'Purchase Record'!F:F,Sheet4!A512))</f>
        <v/>
      </c>
      <c r="D512" t="str">
        <f>IF(SUMIFS('Sales Record'!H:H,'Sales Record'!F:F,Sheet4!A512)=0,"",SUMIFS('Sales Record'!H:H,'Sales Record'!F:F,Sheet4!A512))</f>
        <v/>
      </c>
      <c r="E512" t="str">
        <f>IF(SUMIFS('Sales Return'!G:G,'Sales Return'!F:F,Sheet4!A512)=0,"",SUMIFS('Sales Return'!G:G,'Sales Return'!F:F,Sheet4!A512))</f>
        <v/>
      </c>
      <c r="F512" t="str">
        <f>IF(SUMIFS('Purchase Return'!G:G,'Purchase Return'!F:F,Sheet4!A512)=0,"",SUMIFS('Purchase Return'!G:G,'Purchase Return'!F:F,Sheet4!A512))</f>
        <v/>
      </c>
      <c r="G512" t="str">
        <f t="shared" si="7"/>
        <v/>
      </c>
    </row>
    <row r="513" spans="1:7">
      <c r="A513" t="str">
        <f>IF('Product List'!B513="","",'Product List'!B513)</f>
        <v/>
      </c>
      <c r="B513" t="str">
        <f>IF('Product List'!C513="","",'Product List'!C513)</f>
        <v/>
      </c>
      <c r="C513" t="str">
        <f>IF(SUMIFS('Purchase Record'!G:G,'Purchase Record'!F:F,Sheet4!A513)=0,"",SUMIFS('Purchase Record'!G:G,'Purchase Record'!F:F,Sheet4!A513))</f>
        <v/>
      </c>
      <c r="D513" t="str">
        <f>IF(SUMIFS('Sales Record'!H:H,'Sales Record'!F:F,Sheet4!A513)=0,"",SUMIFS('Sales Record'!H:H,'Sales Record'!F:F,Sheet4!A513))</f>
        <v/>
      </c>
      <c r="E513" t="str">
        <f>IF(SUMIFS('Sales Return'!G:G,'Sales Return'!F:F,Sheet4!A513)=0,"",SUMIFS('Sales Return'!G:G,'Sales Return'!F:F,Sheet4!A513))</f>
        <v/>
      </c>
      <c r="F513" t="str">
        <f>IF(SUMIFS('Purchase Return'!G:G,'Purchase Return'!F:F,Sheet4!A513)=0,"",SUMIFS('Purchase Return'!G:G,'Purchase Return'!F:F,Sheet4!A513))</f>
        <v/>
      </c>
      <c r="G513" t="str">
        <f t="shared" si="7"/>
        <v/>
      </c>
    </row>
    <row r="514" spans="1:7">
      <c r="A514" t="str">
        <f>IF('Product List'!B514="","",'Product List'!B514)</f>
        <v/>
      </c>
      <c r="B514" t="str">
        <f>IF('Product List'!C514="","",'Product List'!C514)</f>
        <v/>
      </c>
      <c r="C514" t="str">
        <f>IF(SUMIFS('Purchase Record'!G:G,'Purchase Record'!F:F,Sheet4!A514)=0,"",SUMIFS('Purchase Record'!G:G,'Purchase Record'!F:F,Sheet4!A514))</f>
        <v/>
      </c>
      <c r="D514" t="str">
        <f>IF(SUMIFS('Sales Record'!H:H,'Sales Record'!F:F,Sheet4!A514)=0,"",SUMIFS('Sales Record'!H:H,'Sales Record'!F:F,Sheet4!A514))</f>
        <v/>
      </c>
      <c r="E514" t="str">
        <f>IF(SUMIFS('Sales Return'!G:G,'Sales Return'!F:F,Sheet4!A514)=0,"",SUMIFS('Sales Return'!G:G,'Sales Return'!F:F,Sheet4!A514))</f>
        <v/>
      </c>
      <c r="F514" t="str">
        <f>IF(SUMIFS('Purchase Return'!G:G,'Purchase Return'!F:F,Sheet4!A514)=0,"",SUMIFS('Purchase Return'!G:G,'Purchase Return'!F:F,Sheet4!A514))</f>
        <v/>
      </c>
      <c r="G514" t="str">
        <f t="shared" si="7"/>
        <v/>
      </c>
    </row>
    <row r="515" spans="1:7">
      <c r="A515" t="str">
        <f>IF('Product List'!B515="","",'Product List'!B515)</f>
        <v/>
      </c>
      <c r="B515" t="str">
        <f>IF('Product List'!C515="","",'Product List'!C515)</f>
        <v/>
      </c>
      <c r="C515" t="str">
        <f>IF(SUMIFS('Purchase Record'!G:G,'Purchase Record'!F:F,Sheet4!A515)=0,"",SUMIFS('Purchase Record'!G:G,'Purchase Record'!F:F,Sheet4!A515))</f>
        <v/>
      </c>
      <c r="D515" t="str">
        <f>IF(SUMIFS('Sales Record'!H:H,'Sales Record'!F:F,Sheet4!A515)=0,"",SUMIFS('Sales Record'!H:H,'Sales Record'!F:F,Sheet4!A515))</f>
        <v/>
      </c>
      <c r="E515" t="str">
        <f>IF(SUMIFS('Sales Return'!G:G,'Sales Return'!F:F,Sheet4!A515)=0,"",SUMIFS('Sales Return'!G:G,'Sales Return'!F:F,Sheet4!A515))</f>
        <v/>
      </c>
      <c r="F515" t="str">
        <f>IF(SUMIFS('Purchase Return'!G:G,'Purchase Return'!F:F,Sheet4!A515)=0,"",SUMIFS('Purchase Return'!G:G,'Purchase Return'!F:F,Sheet4!A515))</f>
        <v/>
      </c>
      <c r="G515" t="str">
        <f t="shared" ref="G515:G578" si="8">IF(C515="","",N(C515)-N(D515)+N(E515)-N(F515))</f>
        <v/>
      </c>
    </row>
    <row r="516" spans="1:7">
      <c r="A516" t="str">
        <f>IF('Product List'!B516="","",'Product List'!B516)</f>
        <v/>
      </c>
      <c r="B516" t="str">
        <f>IF('Product List'!C516="","",'Product List'!C516)</f>
        <v/>
      </c>
      <c r="C516" t="str">
        <f>IF(SUMIFS('Purchase Record'!G:G,'Purchase Record'!F:F,Sheet4!A516)=0,"",SUMIFS('Purchase Record'!G:G,'Purchase Record'!F:F,Sheet4!A516))</f>
        <v/>
      </c>
      <c r="D516" t="str">
        <f>IF(SUMIFS('Sales Record'!H:H,'Sales Record'!F:F,Sheet4!A516)=0,"",SUMIFS('Sales Record'!H:H,'Sales Record'!F:F,Sheet4!A516))</f>
        <v/>
      </c>
      <c r="E516" t="str">
        <f>IF(SUMIFS('Sales Return'!G:G,'Sales Return'!F:F,Sheet4!A516)=0,"",SUMIFS('Sales Return'!G:G,'Sales Return'!F:F,Sheet4!A516))</f>
        <v/>
      </c>
      <c r="F516" t="str">
        <f>IF(SUMIFS('Purchase Return'!G:G,'Purchase Return'!F:F,Sheet4!A516)=0,"",SUMIFS('Purchase Return'!G:G,'Purchase Return'!F:F,Sheet4!A516))</f>
        <v/>
      </c>
      <c r="G516" t="str">
        <f t="shared" si="8"/>
        <v/>
      </c>
    </row>
    <row r="517" spans="1:7">
      <c r="A517" t="str">
        <f>IF('Product List'!B517="","",'Product List'!B517)</f>
        <v/>
      </c>
      <c r="B517" t="str">
        <f>IF('Product List'!C517="","",'Product List'!C517)</f>
        <v/>
      </c>
      <c r="C517" t="str">
        <f>IF(SUMIFS('Purchase Record'!G:G,'Purchase Record'!F:F,Sheet4!A517)=0,"",SUMIFS('Purchase Record'!G:G,'Purchase Record'!F:F,Sheet4!A517))</f>
        <v/>
      </c>
      <c r="D517" t="str">
        <f>IF(SUMIFS('Sales Record'!H:H,'Sales Record'!F:F,Sheet4!A517)=0,"",SUMIFS('Sales Record'!H:H,'Sales Record'!F:F,Sheet4!A517))</f>
        <v/>
      </c>
      <c r="E517" t="str">
        <f>IF(SUMIFS('Sales Return'!G:G,'Sales Return'!F:F,Sheet4!A517)=0,"",SUMIFS('Sales Return'!G:G,'Sales Return'!F:F,Sheet4!A517))</f>
        <v/>
      </c>
      <c r="F517" t="str">
        <f>IF(SUMIFS('Purchase Return'!G:G,'Purchase Return'!F:F,Sheet4!A517)=0,"",SUMIFS('Purchase Return'!G:G,'Purchase Return'!F:F,Sheet4!A517))</f>
        <v/>
      </c>
      <c r="G517" t="str">
        <f t="shared" si="8"/>
        <v/>
      </c>
    </row>
    <row r="518" spans="1:7">
      <c r="A518" t="str">
        <f>IF('Product List'!B518="","",'Product List'!B518)</f>
        <v/>
      </c>
      <c r="B518" t="str">
        <f>IF('Product List'!C518="","",'Product List'!C518)</f>
        <v/>
      </c>
      <c r="C518" t="str">
        <f>IF(SUMIFS('Purchase Record'!G:G,'Purchase Record'!F:F,Sheet4!A518)=0,"",SUMIFS('Purchase Record'!G:G,'Purchase Record'!F:F,Sheet4!A518))</f>
        <v/>
      </c>
      <c r="D518" t="str">
        <f>IF(SUMIFS('Sales Record'!H:H,'Sales Record'!F:F,Sheet4!A518)=0,"",SUMIFS('Sales Record'!H:H,'Sales Record'!F:F,Sheet4!A518))</f>
        <v/>
      </c>
      <c r="E518" t="str">
        <f>IF(SUMIFS('Sales Return'!G:G,'Sales Return'!F:F,Sheet4!A518)=0,"",SUMIFS('Sales Return'!G:G,'Sales Return'!F:F,Sheet4!A518))</f>
        <v/>
      </c>
      <c r="F518" t="str">
        <f>IF(SUMIFS('Purchase Return'!G:G,'Purchase Return'!F:F,Sheet4!A518)=0,"",SUMIFS('Purchase Return'!G:G,'Purchase Return'!F:F,Sheet4!A518))</f>
        <v/>
      </c>
      <c r="G518" t="str">
        <f t="shared" si="8"/>
        <v/>
      </c>
    </row>
    <row r="519" spans="1:7">
      <c r="A519" t="str">
        <f>IF('Product List'!B519="","",'Product List'!B519)</f>
        <v/>
      </c>
      <c r="B519" t="str">
        <f>IF('Product List'!C519="","",'Product List'!C519)</f>
        <v/>
      </c>
      <c r="C519" t="str">
        <f>IF(SUMIFS('Purchase Record'!G:G,'Purchase Record'!F:F,Sheet4!A519)=0,"",SUMIFS('Purchase Record'!G:G,'Purchase Record'!F:F,Sheet4!A519))</f>
        <v/>
      </c>
      <c r="D519" t="str">
        <f>IF(SUMIFS('Sales Record'!H:H,'Sales Record'!F:F,Sheet4!A519)=0,"",SUMIFS('Sales Record'!H:H,'Sales Record'!F:F,Sheet4!A519))</f>
        <v/>
      </c>
      <c r="E519" t="str">
        <f>IF(SUMIFS('Sales Return'!G:G,'Sales Return'!F:F,Sheet4!A519)=0,"",SUMIFS('Sales Return'!G:G,'Sales Return'!F:F,Sheet4!A519))</f>
        <v/>
      </c>
      <c r="F519" t="str">
        <f>IF(SUMIFS('Purchase Return'!G:G,'Purchase Return'!F:F,Sheet4!A519)=0,"",SUMIFS('Purchase Return'!G:G,'Purchase Return'!F:F,Sheet4!A519))</f>
        <v/>
      </c>
      <c r="G519" t="str">
        <f t="shared" si="8"/>
        <v/>
      </c>
    </row>
    <row r="520" spans="1:7">
      <c r="A520" t="str">
        <f>IF('Product List'!B520="","",'Product List'!B520)</f>
        <v/>
      </c>
      <c r="B520" t="str">
        <f>IF('Product List'!C520="","",'Product List'!C520)</f>
        <v/>
      </c>
      <c r="C520" t="str">
        <f>IF(SUMIFS('Purchase Record'!G:G,'Purchase Record'!F:F,Sheet4!A520)=0,"",SUMIFS('Purchase Record'!G:G,'Purchase Record'!F:F,Sheet4!A520))</f>
        <v/>
      </c>
      <c r="D520" t="str">
        <f>IF(SUMIFS('Sales Record'!H:H,'Sales Record'!F:F,Sheet4!A520)=0,"",SUMIFS('Sales Record'!H:H,'Sales Record'!F:F,Sheet4!A520))</f>
        <v/>
      </c>
      <c r="E520" t="str">
        <f>IF(SUMIFS('Sales Return'!G:G,'Sales Return'!F:F,Sheet4!A520)=0,"",SUMIFS('Sales Return'!G:G,'Sales Return'!F:F,Sheet4!A520))</f>
        <v/>
      </c>
      <c r="F520" t="str">
        <f>IF(SUMIFS('Purchase Return'!G:G,'Purchase Return'!F:F,Sheet4!A520)=0,"",SUMIFS('Purchase Return'!G:G,'Purchase Return'!F:F,Sheet4!A520))</f>
        <v/>
      </c>
      <c r="G520" t="str">
        <f t="shared" si="8"/>
        <v/>
      </c>
    </row>
    <row r="521" spans="1:7">
      <c r="A521" t="str">
        <f>IF('Product List'!B521="","",'Product List'!B521)</f>
        <v/>
      </c>
      <c r="B521" t="str">
        <f>IF('Product List'!C521="","",'Product List'!C521)</f>
        <v/>
      </c>
      <c r="C521" t="str">
        <f>IF(SUMIFS('Purchase Record'!G:G,'Purchase Record'!F:F,Sheet4!A521)=0,"",SUMIFS('Purchase Record'!G:G,'Purchase Record'!F:F,Sheet4!A521))</f>
        <v/>
      </c>
      <c r="D521" t="str">
        <f>IF(SUMIFS('Sales Record'!H:H,'Sales Record'!F:F,Sheet4!A521)=0,"",SUMIFS('Sales Record'!H:H,'Sales Record'!F:F,Sheet4!A521))</f>
        <v/>
      </c>
      <c r="E521" t="str">
        <f>IF(SUMIFS('Sales Return'!G:G,'Sales Return'!F:F,Sheet4!A521)=0,"",SUMIFS('Sales Return'!G:G,'Sales Return'!F:F,Sheet4!A521))</f>
        <v/>
      </c>
      <c r="F521" t="str">
        <f>IF(SUMIFS('Purchase Return'!G:G,'Purchase Return'!F:F,Sheet4!A521)=0,"",SUMIFS('Purchase Return'!G:G,'Purchase Return'!F:F,Sheet4!A521))</f>
        <v/>
      </c>
      <c r="G521" t="str">
        <f t="shared" si="8"/>
        <v/>
      </c>
    </row>
    <row r="522" spans="1:7">
      <c r="A522" t="str">
        <f>IF('Product List'!B522="","",'Product List'!B522)</f>
        <v/>
      </c>
      <c r="B522" t="str">
        <f>IF('Product List'!C522="","",'Product List'!C522)</f>
        <v/>
      </c>
      <c r="C522" t="str">
        <f>IF(SUMIFS('Purchase Record'!G:G,'Purchase Record'!F:F,Sheet4!A522)=0,"",SUMIFS('Purchase Record'!G:G,'Purchase Record'!F:F,Sheet4!A522))</f>
        <v/>
      </c>
      <c r="D522" t="str">
        <f>IF(SUMIFS('Sales Record'!H:H,'Sales Record'!F:F,Sheet4!A522)=0,"",SUMIFS('Sales Record'!H:H,'Sales Record'!F:F,Sheet4!A522))</f>
        <v/>
      </c>
      <c r="E522" t="str">
        <f>IF(SUMIFS('Sales Return'!G:G,'Sales Return'!F:F,Sheet4!A522)=0,"",SUMIFS('Sales Return'!G:G,'Sales Return'!F:F,Sheet4!A522))</f>
        <v/>
      </c>
      <c r="F522" t="str">
        <f>IF(SUMIFS('Purchase Return'!G:G,'Purchase Return'!F:F,Sheet4!A522)=0,"",SUMIFS('Purchase Return'!G:G,'Purchase Return'!F:F,Sheet4!A522))</f>
        <v/>
      </c>
      <c r="G522" t="str">
        <f t="shared" si="8"/>
        <v/>
      </c>
    </row>
    <row r="523" spans="1:7">
      <c r="A523" t="str">
        <f>IF('Product List'!B523="","",'Product List'!B523)</f>
        <v/>
      </c>
      <c r="B523" t="str">
        <f>IF('Product List'!C523="","",'Product List'!C523)</f>
        <v/>
      </c>
      <c r="C523" t="str">
        <f>IF(SUMIFS('Purchase Record'!G:G,'Purchase Record'!F:F,Sheet4!A523)=0,"",SUMIFS('Purchase Record'!G:G,'Purchase Record'!F:F,Sheet4!A523))</f>
        <v/>
      </c>
      <c r="D523" t="str">
        <f>IF(SUMIFS('Sales Record'!H:H,'Sales Record'!F:F,Sheet4!A523)=0,"",SUMIFS('Sales Record'!H:H,'Sales Record'!F:F,Sheet4!A523))</f>
        <v/>
      </c>
      <c r="E523" t="str">
        <f>IF(SUMIFS('Sales Return'!G:G,'Sales Return'!F:F,Sheet4!A523)=0,"",SUMIFS('Sales Return'!G:G,'Sales Return'!F:F,Sheet4!A523))</f>
        <v/>
      </c>
      <c r="F523" t="str">
        <f>IF(SUMIFS('Purchase Return'!G:G,'Purchase Return'!F:F,Sheet4!A523)=0,"",SUMIFS('Purchase Return'!G:G,'Purchase Return'!F:F,Sheet4!A523))</f>
        <v/>
      </c>
      <c r="G523" t="str">
        <f t="shared" si="8"/>
        <v/>
      </c>
    </row>
    <row r="524" spans="1:7">
      <c r="A524" t="str">
        <f>IF('Product List'!B524="","",'Product List'!B524)</f>
        <v/>
      </c>
      <c r="B524" t="str">
        <f>IF('Product List'!C524="","",'Product List'!C524)</f>
        <v/>
      </c>
      <c r="C524" t="str">
        <f>IF(SUMIFS('Purchase Record'!G:G,'Purchase Record'!F:F,Sheet4!A524)=0,"",SUMIFS('Purchase Record'!G:G,'Purchase Record'!F:F,Sheet4!A524))</f>
        <v/>
      </c>
      <c r="D524" t="str">
        <f>IF(SUMIFS('Sales Record'!H:H,'Sales Record'!F:F,Sheet4!A524)=0,"",SUMIFS('Sales Record'!H:H,'Sales Record'!F:F,Sheet4!A524))</f>
        <v/>
      </c>
      <c r="E524" t="str">
        <f>IF(SUMIFS('Sales Return'!G:G,'Sales Return'!F:F,Sheet4!A524)=0,"",SUMIFS('Sales Return'!G:G,'Sales Return'!F:F,Sheet4!A524))</f>
        <v/>
      </c>
      <c r="F524" t="str">
        <f>IF(SUMIFS('Purchase Return'!G:G,'Purchase Return'!F:F,Sheet4!A524)=0,"",SUMIFS('Purchase Return'!G:G,'Purchase Return'!F:F,Sheet4!A524))</f>
        <v/>
      </c>
      <c r="G524" t="str">
        <f t="shared" si="8"/>
        <v/>
      </c>
    </row>
    <row r="525" spans="1:7">
      <c r="A525" t="str">
        <f>IF('Product List'!B525="","",'Product List'!B525)</f>
        <v/>
      </c>
      <c r="B525" t="str">
        <f>IF('Product List'!C525="","",'Product List'!C525)</f>
        <v/>
      </c>
      <c r="C525" t="str">
        <f>IF(SUMIFS('Purchase Record'!G:G,'Purchase Record'!F:F,Sheet4!A525)=0,"",SUMIFS('Purchase Record'!G:G,'Purchase Record'!F:F,Sheet4!A525))</f>
        <v/>
      </c>
      <c r="D525" t="str">
        <f>IF(SUMIFS('Sales Record'!H:H,'Sales Record'!F:F,Sheet4!A525)=0,"",SUMIFS('Sales Record'!H:H,'Sales Record'!F:F,Sheet4!A525))</f>
        <v/>
      </c>
      <c r="E525" t="str">
        <f>IF(SUMIFS('Sales Return'!G:G,'Sales Return'!F:F,Sheet4!A525)=0,"",SUMIFS('Sales Return'!G:G,'Sales Return'!F:F,Sheet4!A525))</f>
        <v/>
      </c>
      <c r="F525" t="str">
        <f>IF(SUMIFS('Purchase Return'!G:G,'Purchase Return'!F:F,Sheet4!A525)=0,"",SUMIFS('Purchase Return'!G:G,'Purchase Return'!F:F,Sheet4!A525))</f>
        <v/>
      </c>
      <c r="G525" t="str">
        <f t="shared" si="8"/>
        <v/>
      </c>
    </row>
    <row r="526" spans="1:7">
      <c r="A526" t="str">
        <f>IF('Product List'!B526="","",'Product List'!B526)</f>
        <v/>
      </c>
      <c r="B526" t="str">
        <f>IF('Product List'!C526="","",'Product List'!C526)</f>
        <v/>
      </c>
      <c r="C526" t="str">
        <f>IF(SUMIFS('Purchase Record'!G:G,'Purchase Record'!F:F,Sheet4!A526)=0,"",SUMIFS('Purchase Record'!G:G,'Purchase Record'!F:F,Sheet4!A526))</f>
        <v/>
      </c>
      <c r="D526" t="str">
        <f>IF(SUMIFS('Sales Record'!H:H,'Sales Record'!F:F,Sheet4!A526)=0,"",SUMIFS('Sales Record'!H:H,'Sales Record'!F:F,Sheet4!A526))</f>
        <v/>
      </c>
      <c r="E526" t="str">
        <f>IF(SUMIFS('Sales Return'!G:G,'Sales Return'!F:F,Sheet4!A526)=0,"",SUMIFS('Sales Return'!G:G,'Sales Return'!F:F,Sheet4!A526))</f>
        <v/>
      </c>
      <c r="F526" t="str">
        <f>IF(SUMIFS('Purchase Return'!G:G,'Purchase Return'!F:F,Sheet4!A526)=0,"",SUMIFS('Purchase Return'!G:G,'Purchase Return'!F:F,Sheet4!A526))</f>
        <v/>
      </c>
      <c r="G526" t="str">
        <f t="shared" si="8"/>
        <v/>
      </c>
    </row>
    <row r="527" spans="1:7">
      <c r="A527" t="str">
        <f>IF('Product List'!B527="","",'Product List'!B527)</f>
        <v/>
      </c>
      <c r="B527" t="str">
        <f>IF('Product List'!C527="","",'Product List'!C527)</f>
        <v/>
      </c>
      <c r="C527" t="str">
        <f>IF(SUMIFS('Purchase Record'!G:G,'Purchase Record'!F:F,Sheet4!A527)=0,"",SUMIFS('Purchase Record'!G:G,'Purchase Record'!F:F,Sheet4!A527))</f>
        <v/>
      </c>
      <c r="D527" t="str">
        <f>IF(SUMIFS('Sales Record'!H:H,'Sales Record'!F:F,Sheet4!A527)=0,"",SUMIFS('Sales Record'!H:H,'Sales Record'!F:F,Sheet4!A527))</f>
        <v/>
      </c>
      <c r="E527" t="str">
        <f>IF(SUMIFS('Sales Return'!G:G,'Sales Return'!F:F,Sheet4!A527)=0,"",SUMIFS('Sales Return'!G:G,'Sales Return'!F:F,Sheet4!A527))</f>
        <v/>
      </c>
      <c r="F527" t="str">
        <f>IF(SUMIFS('Purchase Return'!G:G,'Purchase Return'!F:F,Sheet4!A527)=0,"",SUMIFS('Purchase Return'!G:G,'Purchase Return'!F:F,Sheet4!A527))</f>
        <v/>
      </c>
      <c r="G527" t="str">
        <f t="shared" si="8"/>
        <v/>
      </c>
    </row>
    <row r="528" spans="1:7">
      <c r="A528" t="str">
        <f>IF('Product List'!B528="","",'Product List'!B528)</f>
        <v/>
      </c>
      <c r="B528" t="str">
        <f>IF('Product List'!C528="","",'Product List'!C528)</f>
        <v/>
      </c>
      <c r="C528" t="str">
        <f>IF(SUMIFS('Purchase Record'!G:G,'Purchase Record'!F:F,Sheet4!A528)=0,"",SUMIFS('Purchase Record'!G:G,'Purchase Record'!F:F,Sheet4!A528))</f>
        <v/>
      </c>
      <c r="D528" t="str">
        <f>IF(SUMIFS('Sales Record'!H:H,'Sales Record'!F:F,Sheet4!A528)=0,"",SUMIFS('Sales Record'!H:H,'Sales Record'!F:F,Sheet4!A528))</f>
        <v/>
      </c>
      <c r="E528" t="str">
        <f>IF(SUMIFS('Sales Return'!G:G,'Sales Return'!F:F,Sheet4!A528)=0,"",SUMIFS('Sales Return'!G:G,'Sales Return'!F:F,Sheet4!A528))</f>
        <v/>
      </c>
      <c r="F528" t="str">
        <f>IF(SUMIFS('Purchase Return'!G:G,'Purchase Return'!F:F,Sheet4!A528)=0,"",SUMIFS('Purchase Return'!G:G,'Purchase Return'!F:F,Sheet4!A528))</f>
        <v/>
      </c>
      <c r="G528" t="str">
        <f t="shared" si="8"/>
        <v/>
      </c>
    </row>
    <row r="529" spans="1:7">
      <c r="A529" t="str">
        <f>IF('Product List'!B529="","",'Product List'!B529)</f>
        <v/>
      </c>
      <c r="B529" t="str">
        <f>IF('Product List'!C529="","",'Product List'!C529)</f>
        <v/>
      </c>
      <c r="C529" t="str">
        <f>IF(SUMIFS('Purchase Record'!G:G,'Purchase Record'!F:F,Sheet4!A529)=0,"",SUMIFS('Purchase Record'!G:G,'Purchase Record'!F:F,Sheet4!A529))</f>
        <v/>
      </c>
      <c r="D529" t="str">
        <f>IF(SUMIFS('Sales Record'!H:H,'Sales Record'!F:F,Sheet4!A529)=0,"",SUMIFS('Sales Record'!H:H,'Sales Record'!F:F,Sheet4!A529))</f>
        <v/>
      </c>
      <c r="E529" t="str">
        <f>IF(SUMIFS('Sales Return'!G:G,'Sales Return'!F:F,Sheet4!A529)=0,"",SUMIFS('Sales Return'!G:G,'Sales Return'!F:F,Sheet4!A529))</f>
        <v/>
      </c>
      <c r="F529" t="str">
        <f>IF(SUMIFS('Purchase Return'!G:G,'Purchase Return'!F:F,Sheet4!A529)=0,"",SUMIFS('Purchase Return'!G:G,'Purchase Return'!F:F,Sheet4!A529))</f>
        <v/>
      </c>
      <c r="G529" t="str">
        <f t="shared" si="8"/>
        <v/>
      </c>
    </row>
    <row r="530" spans="1:7">
      <c r="A530" t="str">
        <f>IF('Product List'!B530="","",'Product List'!B530)</f>
        <v/>
      </c>
      <c r="B530" t="str">
        <f>IF('Product List'!C530="","",'Product List'!C530)</f>
        <v/>
      </c>
      <c r="C530" t="str">
        <f>IF(SUMIFS('Purchase Record'!G:G,'Purchase Record'!F:F,Sheet4!A530)=0,"",SUMIFS('Purchase Record'!G:G,'Purchase Record'!F:F,Sheet4!A530))</f>
        <v/>
      </c>
      <c r="D530" t="str">
        <f>IF(SUMIFS('Sales Record'!H:H,'Sales Record'!F:F,Sheet4!A530)=0,"",SUMIFS('Sales Record'!H:H,'Sales Record'!F:F,Sheet4!A530))</f>
        <v/>
      </c>
      <c r="E530" t="str">
        <f>IF(SUMIFS('Sales Return'!G:G,'Sales Return'!F:F,Sheet4!A530)=0,"",SUMIFS('Sales Return'!G:G,'Sales Return'!F:F,Sheet4!A530))</f>
        <v/>
      </c>
      <c r="F530" t="str">
        <f>IF(SUMIFS('Purchase Return'!G:G,'Purchase Return'!F:F,Sheet4!A530)=0,"",SUMIFS('Purchase Return'!G:G,'Purchase Return'!F:F,Sheet4!A530))</f>
        <v/>
      </c>
      <c r="G530" t="str">
        <f t="shared" si="8"/>
        <v/>
      </c>
    </row>
    <row r="531" spans="1:7">
      <c r="A531" t="str">
        <f>IF('Product List'!B531="","",'Product List'!B531)</f>
        <v/>
      </c>
      <c r="B531" t="str">
        <f>IF('Product List'!C531="","",'Product List'!C531)</f>
        <v/>
      </c>
      <c r="C531" t="str">
        <f>IF(SUMIFS('Purchase Record'!G:G,'Purchase Record'!F:F,Sheet4!A531)=0,"",SUMIFS('Purchase Record'!G:G,'Purchase Record'!F:F,Sheet4!A531))</f>
        <v/>
      </c>
      <c r="D531" t="str">
        <f>IF(SUMIFS('Sales Record'!H:H,'Sales Record'!F:F,Sheet4!A531)=0,"",SUMIFS('Sales Record'!H:H,'Sales Record'!F:F,Sheet4!A531))</f>
        <v/>
      </c>
      <c r="E531" t="str">
        <f>IF(SUMIFS('Sales Return'!G:G,'Sales Return'!F:F,Sheet4!A531)=0,"",SUMIFS('Sales Return'!G:G,'Sales Return'!F:F,Sheet4!A531))</f>
        <v/>
      </c>
      <c r="F531" t="str">
        <f>IF(SUMIFS('Purchase Return'!G:G,'Purchase Return'!F:F,Sheet4!A531)=0,"",SUMIFS('Purchase Return'!G:G,'Purchase Return'!F:F,Sheet4!A531))</f>
        <v/>
      </c>
      <c r="G531" t="str">
        <f t="shared" si="8"/>
        <v/>
      </c>
    </row>
    <row r="532" spans="1:7">
      <c r="A532" t="str">
        <f>IF('Product List'!B532="","",'Product List'!B532)</f>
        <v/>
      </c>
      <c r="B532" t="str">
        <f>IF('Product List'!C532="","",'Product List'!C532)</f>
        <v/>
      </c>
      <c r="C532" t="str">
        <f>IF(SUMIFS('Purchase Record'!G:G,'Purchase Record'!F:F,Sheet4!A532)=0,"",SUMIFS('Purchase Record'!G:G,'Purchase Record'!F:F,Sheet4!A532))</f>
        <v/>
      </c>
      <c r="D532" t="str">
        <f>IF(SUMIFS('Sales Record'!H:H,'Sales Record'!F:F,Sheet4!A532)=0,"",SUMIFS('Sales Record'!H:H,'Sales Record'!F:F,Sheet4!A532))</f>
        <v/>
      </c>
      <c r="E532" t="str">
        <f>IF(SUMIFS('Sales Return'!G:G,'Sales Return'!F:F,Sheet4!A532)=0,"",SUMIFS('Sales Return'!G:G,'Sales Return'!F:F,Sheet4!A532))</f>
        <v/>
      </c>
      <c r="F532" t="str">
        <f>IF(SUMIFS('Purchase Return'!G:G,'Purchase Return'!F:F,Sheet4!A532)=0,"",SUMIFS('Purchase Return'!G:G,'Purchase Return'!F:F,Sheet4!A532))</f>
        <v/>
      </c>
      <c r="G532" t="str">
        <f t="shared" si="8"/>
        <v/>
      </c>
    </row>
    <row r="533" spans="1:7">
      <c r="A533" t="str">
        <f>IF('Product List'!B533="","",'Product List'!B533)</f>
        <v/>
      </c>
      <c r="B533" t="str">
        <f>IF('Product List'!C533="","",'Product List'!C533)</f>
        <v/>
      </c>
      <c r="C533" t="str">
        <f>IF(SUMIFS('Purchase Record'!G:G,'Purchase Record'!F:F,Sheet4!A533)=0,"",SUMIFS('Purchase Record'!G:G,'Purchase Record'!F:F,Sheet4!A533))</f>
        <v/>
      </c>
      <c r="D533" t="str">
        <f>IF(SUMIFS('Sales Record'!H:H,'Sales Record'!F:F,Sheet4!A533)=0,"",SUMIFS('Sales Record'!H:H,'Sales Record'!F:F,Sheet4!A533))</f>
        <v/>
      </c>
      <c r="E533" t="str">
        <f>IF(SUMIFS('Sales Return'!G:G,'Sales Return'!F:F,Sheet4!A533)=0,"",SUMIFS('Sales Return'!G:G,'Sales Return'!F:F,Sheet4!A533))</f>
        <v/>
      </c>
      <c r="F533" t="str">
        <f>IF(SUMIFS('Purchase Return'!G:G,'Purchase Return'!F:F,Sheet4!A533)=0,"",SUMIFS('Purchase Return'!G:G,'Purchase Return'!F:F,Sheet4!A533))</f>
        <v/>
      </c>
      <c r="G533" t="str">
        <f t="shared" si="8"/>
        <v/>
      </c>
    </row>
    <row r="534" spans="1:7">
      <c r="A534" t="str">
        <f>IF('Product List'!B534="","",'Product List'!B534)</f>
        <v/>
      </c>
      <c r="B534" t="str">
        <f>IF('Product List'!C534="","",'Product List'!C534)</f>
        <v/>
      </c>
      <c r="C534" t="str">
        <f>IF(SUMIFS('Purchase Record'!G:G,'Purchase Record'!F:F,Sheet4!A534)=0,"",SUMIFS('Purchase Record'!G:G,'Purchase Record'!F:F,Sheet4!A534))</f>
        <v/>
      </c>
      <c r="D534" t="str">
        <f>IF(SUMIFS('Sales Record'!H:H,'Sales Record'!F:F,Sheet4!A534)=0,"",SUMIFS('Sales Record'!H:H,'Sales Record'!F:F,Sheet4!A534))</f>
        <v/>
      </c>
      <c r="E534" t="str">
        <f>IF(SUMIFS('Sales Return'!G:G,'Sales Return'!F:F,Sheet4!A534)=0,"",SUMIFS('Sales Return'!G:G,'Sales Return'!F:F,Sheet4!A534))</f>
        <v/>
      </c>
      <c r="F534" t="str">
        <f>IF(SUMIFS('Purchase Return'!G:G,'Purchase Return'!F:F,Sheet4!A534)=0,"",SUMIFS('Purchase Return'!G:G,'Purchase Return'!F:F,Sheet4!A534))</f>
        <v/>
      </c>
      <c r="G534" t="str">
        <f t="shared" si="8"/>
        <v/>
      </c>
    </row>
    <row r="535" spans="1:7">
      <c r="A535" t="str">
        <f>IF('Product List'!B535="","",'Product List'!B535)</f>
        <v/>
      </c>
      <c r="B535" t="str">
        <f>IF('Product List'!C535="","",'Product List'!C535)</f>
        <v/>
      </c>
      <c r="C535" t="str">
        <f>IF(SUMIFS('Purchase Record'!G:G,'Purchase Record'!F:F,Sheet4!A535)=0,"",SUMIFS('Purchase Record'!G:G,'Purchase Record'!F:F,Sheet4!A535))</f>
        <v/>
      </c>
      <c r="D535" t="str">
        <f>IF(SUMIFS('Sales Record'!H:H,'Sales Record'!F:F,Sheet4!A535)=0,"",SUMIFS('Sales Record'!H:H,'Sales Record'!F:F,Sheet4!A535))</f>
        <v/>
      </c>
      <c r="E535" t="str">
        <f>IF(SUMIFS('Sales Return'!G:G,'Sales Return'!F:F,Sheet4!A535)=0,"",SUMIFS('Sales Return'!G:G,'Sales Return'!F:F,Sheet4!A535))</f>
        <v/>
      </c>
      <c r="F535" t="str">
        <f>IF(SUMIFS('Purchase Return'!G:G,'Purchase Return'!F:F,Sheet4!A535)=0,"",SUMIFS('Purchase Return'!G:G,'Purchase Return'!F:F,Sheet4!A535))</f>
        <v/>
      </c>
      <c r="G535" t="str">
        <f t="shared" si="8"/>
        <v/>
      </c>
    </row>
    <row r="536" spans="1:7">
      <c r="A536" t="str">
        <f>IF('Product List'!B536="","",'Product List'!B536)</f>
        <v/>
      </c>
      <c r="B536" t="str">
        <f>IF('Product List'!C536="","",'Product List'!C536)</f>
        <v/>
      </c>
      <c r="C536" t="str">
        <f>IF(SUMIFS('Purchase Record'!G:G,'Purchase Record'!F:F,Sheet4!A536)=0,"",SUMIFS('Purchase Record'!G:G,'Purchase Record'!F:F,Sheet4!A536))</f>
        <v/>
      </c>
      <c r="D536" t="str">
        <f>IF(SUMIFS('Sales Record'!H:H,'Sales Record'!F:F,Sheet4!A536)=0,"",SUMIFS('Sales Record'!H:H,'Sales Record'!F:F,Sheet4!A536))</f>
        <v/>
      </c>
      <c r="E536" t="str">
        <f>IF(SUMIFS('Sales Return'!G:G,'Sales Return'!F:F,Sheet4!A536)=0,"",SUMIFS('Sales Return'!G:G,'Sales Return'!F:F,Sheet4!A536))</f>
        <v/>
      </c>
      <c r="F536" t="str">
        <f>IF(SUMIFS('Purchase Return'!G:G,'Purchase Return'!F:F,Sheet4!A536)=0,"",SUMIFS('Purchase Return'!G:G,'Purchase Return'!F:F,Sheet4!A536))</f>
        <v/>
      </c>
      <c r="G536" t="str">
        <f t="shared" si="8"/>
        <v/>
      </c>
    </row>
    <row r="537" spans="1:7">
      <c r="A537" t="str">
        <f>IF('Product List'!B537="","",'Product List'!B537)</f>
        <v/>
      </c>
      <c r="B537" t="str">
        <f>IF('Product List'!C537="","",'Product List'!C537)</f>
        <v/>
      </c>
      <c r="C537" t="str">
        <f>IF(SUMIFS('Purchase Record'!G:G,'Purchase Record'!F:F,Sheet4!A537)=0,"",SUMIFS('Purchase Record'!G:G,'Purchase Record'!F:F,Sheet4!A537))</f>
        <v/>
      </c>
      <c r="D537" t="str">
        <f>IF(SUMIFS('Sales Record'!H:H,'Sales Record'!F:F,Sheet4!A537)=0,"",SUMIFS('Sales Record'!H:H,'Sales Record'!F:F,Sheet4!A537))</f>
        <v/>
      </c>
      <c r="E537" t="str">
        <f>IF(SUMIFS('Sales Return'!G:G,'Sales Return'!F:F,Sheet4!A537)=0,"",SUMIFS('Sales Return'!G:G,'Sales Return'!F:F,Sheet4!A537))</f>
        <v/>
      </c>
      <c r="F537" t="str">
        <f>IF(SUMIFS('Purchase Return'!G:G,'Purchase Return'!F:F,Sheet4!A537)=0,"",SUMIFS('Purchase Return'!G:G,'Purchase Return'!F:F,Sheet4!A537))</f>
        <v/>
      </c>
      <c r="G537" t="str">
        <f t="shared" si="8"/>
        <v/>
      </c>
    </row>
    <row r="538" spans="1:7">
      <c r="A538" t="str">
        <f>IF('Product List'!B538="","",'Product List'!B538)</f>
        <v/>
      </c>
      <c r="B538" t="str">
        <f>IF('Product List'!C538="","",'Product List'!C538)</f>
        <v/>
      </c>
      <c r="C538" t="str">
        <f>IF(SUMIFS('Purchase Record'!G:G,'Purchase Record'!F:F,Sheet4!A538)=0,"",SUMIFS('Purchase Record'!G:G,'Purchase Record'!F:F,Sheet4!A538))</f>
        <v/>
      </c>
      <c r="D538" t="str">
        <f>IF(SUMIFS('Sales Record'!H:H,'Sales Record'!F:F,Sheet4!A538)=0,"",SUMIFS('Sales Record'!H:H,'Sales Record'!F:F,Sheet4!A538))</f>
        <v/>
      </c>
      <c r="E538" t="str">
        <f>IF(SUMIFS('Sales Return'!G:G,'Sales Return'!F:F,Sheet4!A538)=0,"",SUMIFS('Sales Return'!G:G,'Sales Return'!F:F,Sheet4!A538))</f>
        <v/>
      </c>
      <c r="F538" t="str">
        <f>IF(SUMIFS('Purchase Return'!G:G,'Purchase Return'!F:F,Sheet4!A538)=0,"",SUMIFS('Purchase Return'!G:G,'Purchase Return'!F:F,Sheet4!A538))</f>
        <v/>
      </c>
      <c r="G538" t="str">
        <f t="shared" si="8"/>
        <v/>
      </c>
    </row>
    <row r="539" spans="1:7">
      <c r="A539" t="str">
        <f>IF('Product List'!B539="","",'Product List'!B539)</f>
        <v/>
      </c>
      <c r="B539" t="str">
        <f>IF('Product List'!C539="","",'Product List'!C539)</f>
        <v/>
      </c>
      <c r="C539" t="str">
        <f>IF(SUMIFS('Purchase Record'!G:G,'Purchase Record'!F:F,Sheet4!A539)=0,"",SUMIFS('Purchase Record'!G:G,'Purchase Record'!F:F,Sheet4!A539))</f>
        <v/>
      </c>
      <c r="D539" t="str">
        <f>IF(SUMIFS('Sales Record'!H:H,'Sales Record'!F:F,Sheet4!A539)=0,"",SUMIFS('Sales Record'!H:H,'Sales Record'!F:F,Sheet4!A539))</f>
        <v/>
      </c>
      <c r="E539" t="str">
        <f>IF(SUMIFS('Sales Return'!G:G,'Sales Return'!F:F,Sheet4!A539)=0,"",SUMIFS('Sales Return'!G:G,'Sales Return'!F:F,Sheet4!A539))</f>
        <v/>
      </c>
      <c r="F539" t="str">
        <f>IF(SUMIFS('Purchase Return'!G:G,'Purchase Return'!F:F,Sheet4!A539)=0,"",SUMIFS('Purchase Return'!G:G,'Purchase Return'!F:F,Sheet4!A539))</f>
        <v/>
      </c>
      <c r="G539" t="str">
        <f t="shared" si="8"/>
        <v/>
      </c>
    </row>
    <row r="540" spans="1:7">
      <c r="A540" t="str">
        <f>IF('Product List'!B540="","",'Product List'!B540)</f>
        <v/>
      </c>
      <c r="B540" t="str">
        <f>IF('Product List'!C540="","",'Product List'!C540)</f>
        <v/>
      </c>
      <c r="C540" t="str">
        <f>IF(SUMIFS('Purchase Record'!G:G,'Purchase Record'!F:F,Sheet4!A540)=0,"",SUMIFS('Purchase Record'!G:G,'Purchase Record'!F:F,Sheet4!A540))</f>
        <v/>
      </c>
      <c r="D540" t="str">
        <f>IF(SUMIFS('Sales Record'!H:H,'Sales Record'!F:F,Sheet4!A540)=0,"",SUMIFS('Sales Record'!H:H,'Sales Record'!F:F,Sheet4!A540))</f>
        <v/>
      </c>
      <c r="E540" t="str">
        <f>IF(SUMIFS('Sales Return'!G:G,'Sales Return'!F:F,Sheet4!A540)=0,"",SUMIFS('Sales Return'!G:G,'Sales Return'!F:F,Sheet4!A540))</f>
        <v/>
      </c>
      <c r="F540" t="str">
        <f>IF(SUMIFS('Purchase Return'!G:G,'Purchase Return'!F:F,Sheet4!A540)=0,"",SUMIFS('Purchase Return'!G:G,'Purchase Return'!F:F,Sheet4!A540))</f>
        <v/>
      </c>
      <c r="G540" t="str">
        <f t="shared" si="8"/>
        <v/>
      </c>
    </row>
    <row r="541" spans="1:7">
      <c r="A541" t="str">
        <f>IF('Product List'!B541="","",'Product List'!B541)</f>
        <v/>
      </c>
      <c r="B541" t="str">
        <f>IF('Product List'!C541="","",'Product List'!C541)</f>
        <v/>
      </c>
      <c r="C541" t="str">
        <f>IF(SUMIFS('Purchase Record'!G:G,'Purchase Record'!F:F,Sheet4!A541)=0,"",SUMIFS('Purchase Record'!G:G,'Purchase Record'!F:F,Sheet4!A541))</f>
        <v/>
      </c>
      <c r="D541" t="str">
        <f>IF(SUMIFS('Sales Record'!H:H,'Sales Record'!F:F,Sheet4!A541)=0,"",SUMIFS('Sales Record'!H:H,'Sales Record'!F:F,Sheet4!A541))</f>
        <v/>
      </c>
      <c r="E541" t="str">
        <f>IF(SUMIFS('Sales Return'!G:G,'Sales Return'!F:F,Sheet4!A541)=0,"",SUMIFS('Sales Return'!G:G,'Sales Return'!F:F,Sheet4!A541))</f>
        <v/>
      </c>
      <c r="F541" t="str">
        <f>IF(SUMIFS('Purchase Return'!G:G,'Purchase Return'!F:F,Sheet4!A541)=0,"",SUMIFS('Purchase Return'!G:G,'Purchase Return'!F:F,Sheet4!A541))</f>
        <v/>
      </c>
      <c r="G541" t="str">
        <f t="shared" si="8"/>
        <v/>
      </c>
    </row>
    <row r="542" spans="1:7">
      <c r="A542" t="str">
        <f>IF('Product List'!B542="","",'Product List'!B542)</f>
        <v/>
      </c>
      <c r="B542" t="str">
        <f>IF('Product List'!C542="","",'Product List'!C542)</f>
        <v/>
      </c>
      <c r="C542" t="str">
        <f>IF(SUMIFS('Purchase Record'!G:G,'Purchase Record'!F:F,Sheet4!A542)=0,"",SUMIFS('Purchase Record'!G:G,'Purchase Record'!F:F,Sheet4!A542))</f>
        <v/>
      </c>
      <c r="D542" t="str">
        <f>IF(SUMIFS('Sales Record'!H:H,'Sales Record'!F:F,Sheet4!A542)=0,"",SUMIFS('Sales Record'!H:H,'Sales Record'!F:F,Sheet4!A542))</f>
        <v/>
      </c>
      <c r="E542" t="str">
        <f>IF(SUMIFS('Sales Return'!G:G,'Sales Return'!F:F,Sheet4!A542)=0,"",SUMIFS('Sales Return'!G:G,'Sales Return'!F:F,Sheet4!A542))</f>
        <v/>
      </c>
      <c r="F542" t="str">
        <f>IF(SUMIFS('Purchase Return'!G:G,'Purchase Return'!F:F,Sheet4!A542)=0,"",SUMIFS('Purchase Return'!G:G,'Purchase Return'!F:F,Sheet4!A542))</f>
        <v/>
      </c>
      <c r="G542" t="str">
        <f t="shared" si="8"/>
        <v/>
      </c>
    </row>
    <row r="543" spans="1:7">
      <c r="A543" t="str">
        <f>IF('Product List'!B543="","",'Product List'!B543)</f>
        <v/>
      </c>
      <c r="B543" t="str">
        <f>IF('Product List'!C543="","",'Product List'!C543)</f>
        <v/>
      </c>
      <c r="C543" t="str">
        <f>IF(SUMIFS('Purchase Record'!G:G,'Purchase Record'!F:F,Sheet4!A543)=0,"",SUMIFS('Purchase Record'!G:G,'Purchase Record'!F:F,Sheet4!A543))</f>
        <v/>
      </c>
      <c r="D543" t="str">
        <f>IF(SUMIFS('Sales Record'!H:H,'Sales Record'!F:F,Sheet4!A543)=0,"",SUMIFS('Sales Record'!H:H,'Sales Record'!F:F,Sheet4!A543))</f>
        <v/>
      </c>
      <c r="E543" t="str">
        <f>IF(SUMIFS('Sales Return'!G:G,'Sales Return'!F:F,Sheet4!A543)=0,"",SUMIFS('Sales Return'!G:G,'Sales Return'!F:F,Sheet4!A543))</f>
        <v/>
      </c>
      <c r="F543" t="str">
        <f>IF(SUMIFS('Purchase Return'!G:G,'Purchase Return'!F:F,Sheet4!A543)=0,"",SUMIFS('Purchase Return'!G:G,'Purchase Return'!F:F,Sheet4!A543))</f>
        <v/>
      </c>
      <c r="G543" t="str">
        <f t="shared" si="8"/>
        <v/>
      </c>
    </row>
    <row r="544" spans="1:7">
      <c r="A544" t="str">
        <f>IF('Product List'!B544="","",'Product List'!B544)</f>
        <v/>
      </c>
      <c r="B544" t="str">
        <f>IF('Product List'!C544="","",'Product List'!C544)</f>
        <v/>
      </c>
      <c r="C544" t="str">
        <f>IF(SUMIFS('Purchase Record'!G:G,'Purchase Record'!F:F,Sheet4!A544)=0,"",SUMIFS('Purchase Record'!G:G,'Purchase Record'!F:F,Sheet4!A544))</f>
        <v/>
      </c>
      <c r="D544" t="str">
        <f>IF(SUMIFS('Sales Record'!H:H,'Sales Record'!F:F,Sheet4!A544)=0,"",SUMIFS('Sales Record'!H:H,'Sales Record'!F:F,Sheet4!A544))</f>
        <v/>
      </c>
      <c r="E544" t="str">
        <f>IF(SUMIFS('Sales Return'!G:G,'Sales Return'!F:F,Sheet4!A544)=0,"",SUMIFS('Sales Return'!G:G,'Sales Return'!F:F,Sheet4!A544))</f>
        <v/>
      </c>
      <c r="F544" t="str">
        <f>IF(SUMIFS('Purchase Return'!G:G,'Purchase Return'!F:F,Sheet4!A544)=0,"",SUMIFS('Purchase Return'!G:G,'Purchase Return'!F:F,Sheet4!A544))</f>
        <v/>
      </c>
      <c r="G544" t="str">
        <f t="shared" si="8"/>
        <v/>
      </c>
    </row>
    <row r="545" spans="1:7">
      <c r="A545" t="str">
        <f>IF('Product List'!B545="","",'Product List'!B545)</f>
        <v/>
      </c>
      <c r="B545" t="str">
        <f>IF('Product List'!C545="","",'Product List'!C545)</f>
        <v/>
      </c>
      <c r="C545" t="str">
        <f>IF(SUMIFS('Purchase Record'!G:G,'Purchase Record'!F:F,Sheet4!A545)=0,"",SUMIFS('Purchase Record'!G:G,'Purchase Record'!F:F,Sheet4!A545))</f>
        <v/>
      </c>
      <c r="D545" t="str">
        <f>IF(SUMIFS('Sales Record'!H:H,'Sales Record'!F:F,Sheet4!A545)=0,"",SUMIFS('Sales Record'!H:H,'Sales Record'!F:F,Sheet4!A545))</f>
        <v/>
      </c>
      <c r="E545" t="str">
        <f>IF(SUMIFS('Sales Return'!G:G,'Sales Return'!F:F,Sheet4!A545)=0,"",SUMIFS('Sales Return'!G:G,'Sales Return'!F:F,Sheet4!A545))</f>
        <v/>
      </c>
      <c r="F545" t="str">
        <f>IF(SUMIFS('Purchase Return'!G:G,'Purchase Return'!F:F,Sheet4!A545)=0,"",SUMIFS('Purchase Return'!G:G,'Purchase Return'!F:F,Sheet4!A545))</f>
        <v/>
      </c>
      <c r="G545" t="str">
        <f t="shared" si="8"/>
        <v/>
      </c>
    </row>
    <row r="546" spans="1:7">
      <c r="A546" t="str">
        <f>IF('Product List'!B546="","",'Product List'!B546)</f>
        <v/>
      </c>
      <c r="B546" t="str">
        <f>IF('Product List'!C546="","",'Product List'!C546)</f>
        <v/>
      </c>
      <c r="C546" t="str">
        <f>IF(SUMIFS('Purchase Record'!G:G,'Purchase Record'!F:F,Sheet4!A546)=0,"",SUMIFS('Purchase Record'!G:G,'Purchase Record'!F:F,Sheet4!A546))</f>
        <v/>
      </c>
      <c r="D546" t="str">
        <f>IF(SUMIFS('Sales Record'!H:H,'Sales Record'!F:F,Sheet4!A546)=0,"",SUMIFS('Sales Record'!H:H,'Sales Record'!F:F,Sheet4!A546))</f>
        <v/>
      </c>
      <c r="E546" t="str">
        <f>IF(SUMIFS('Sales Return'!G:G,'Sales Return'!F:F,Sheet4!A546)=0,"",SUMIFS('Sales Return'!G:G,'Sales Return'!F:F,Sheet4!A546))</f>
        <v/>
      </c>
      <c r="F546" t="str">
        <f>IF(SUMIFS('Purchase Return'!G:G,'Purchase Return'!F:F,Sheet4!A546)=0,"",SUMIFS('Purchase Return'!G:G,'Purchase Return'!F:F,Sheet4!A546))</f>
        <v/>
      </c>
      <c r="G546" t="str">
        <f t="shared" si="8"/>
        <v/>
      </c>
    </row>
    <row r="547" spans="1:7">
      <c r="A547" t="str">
        <f>IF('Product List'!B547="","",'Product List'!B547)</f>
        <v/>
      </c>
      <c r="B547" t="str">
        <f>IF('Product List'!C547="","",'Product List'!C547)</f>
        <v/>
      </c>
      <c r="C547" t="str">
        <f>IF(SUMIFS('Purchase Record'!G:G,'Purchase Record'!F:F,Sheet4!A547)=0,"",SUMIFS('Purchase Record'!G:G,'Purchase Record'!F:F,Sheet4!A547))</f>
        <v/>
      </c>
      <c r="D547" t="str">
        <f>IF(SUMIFS('Sales Record'!H:H,'Sales Record'!F:F,Sheet4!A547)=0,"",SUMIFS('Sales Record'!H:H,'Sales Record'!F:F,Sheet4!A547))</f>
        <v/>
      </c>
      <c r="E547" t="str">
        <f>IF(SUMIFS('Sales Return'!G:G,'Sales Return'!F:F,Sheet4!A547)=0,"",SUMIFS('Sales Return'!G:G,'Sales Return'!F:F,Sheet4!A547))</f>
        <v/>
      </c>
      <c r="F547" t="str">
        <f>IF(SUMIFS('Purchase Return'!G:G,'Purchase Return'!F:F,Sheet4!A547)=0,"",SUMIFS('Purchase Return'!G:G,'Purchase Return'!F:F,Sheet4!A547))</f>
        <v/>
      </c>
      <c r="G547" t="str">
        <f t="shared" si="8"/>
        <v/>
      </c>
    </row>
    <row r="548" spans="1:7">
      <c r="A548" t="str">
        <f>IF('Product List'!B548="","",'Product List'!B548)</f>
        <v/>
      </c>
      <c r="B548" t="str">
        <f>IF('Product List'!C548="","",'Product List'!C548)</f>
        <v/>
      </c>
      <c r="C548" t="str">
        <f>IF(SUMIFS('Purchase Record'!G:G,'Purchase Record'!F:F,Sheet4!A548)=0,"",SUMIFS('Purchase Record'!G:G,'Purchase Record'!F:F,Sheet4!A548))</f>
        <v/>
      </c>
      <c r="D548" t="str">
        <f>IF(SUMIFS('Sales Record'!H:H,'Sales Record'!F:F,Sheet4!A548)=0,"",SUMIFS('Sales Record'!H:H,'Sales Record'!F:F,Sheet4!A548))</f>
        <v/>
      </c>
      <c r="E548" t="str">
        <f>IF(SUMIFS('Sales Return'!G:G,'Sales Return'!F:F,Sheet4!A548)=0,"",SUMIFS('Sales Return'!G:G,'Sales Return'!F:F,Sheet4!A548))</f>
        <v/>
      </c>
      <c r="F548" t="str">
        <f>IF(SUMIFS('Purchase Return'!G:G,'Purchase Return'!F:F,Sheet4!A548)=0,"",SUMIFS('Purchase Return'!G:G,'Purchase Return'!F:F,Sheet4!A548))</f>
        <v/>
      </c>
      <c r="G548" t="str">
        <f t="shared" si="8"/>
        <v/>
      </c>
    </row>
    <row r="549" spans="1:7">
      <c r="A549" t="str">
        <f>IF('Product List'!B549="","",'Product List'!B549)</f>
        <v/>
      </c>
      <c r="B549" t="str">
        <f>IF('Product List'!C549="","",'Product List'!C549)</f>
        <v/>
      </c>
      <c r="C549" t="str">
        <f>IF(SUMIFS('Purchase Record'!G:G,'Purchase Record'!F:F,Sheet4!A549)=0,"",SUMIFS('Purchase Record'!G:G,'Purchase Record'!F:F,Sheet4!A549))</f>
        <v/>
      </c>
      <c r="D549" t="str">
        <f>IF(SUMIFS('Sales Record'!H:H,'Sales Record'!F:F,Sheet4!A549)=0,"",SUMIFS('Sales Record'!H:H,'Sales Record'!F:F,Sheet4!A549))</f>
        <v/>
      </c>
      <c r="E549" t="str">
        <f>IF(SUMIFS('Sales Return'!G:G,'Sales Return'!F:F,Sheet4!A549)=0,"",SUMIFS('Sales Return'!G:G,'Sales Return'!F:F,Sheet4!A549))</f>
        <v/>
      </c>
      <c r="F549" t="str">
        <f>IF(SUMIFS('Purchase Return'!G:G,'Purchase Return'!F:F,Sheet4!A549)=0,"",SUMIFS('Purchase Return'!G:G,'Purchase Return'!F:F,Sheet4!A549))</f>
        <v/>
      </c>
      <c r="G549" t="str">
        <f t="shared" si="8"/>
        <v/>
      </c>
    </row>
    <row r="550" spans="1:7">
      <c r="A550" t="str">
        <f>IF('Product List'!B550="","",'Product List'!B550)</f>
        <v/>
      </c>
      <c r="B550" t="str">
        <f>IF('Product List'!C550="","",'Product List'!C550)</f>
        <v/>
      </c>
      <c r="C550" t="str">
        <f>IF(SUMIFS('Purchase Record'!G:G,'Purchase Record'!F:F,Sheet4!A550)=0,"",SUMIFS('Purchase Record'!G:G,'Purchase Record'!F:F,Sheet4!A550))</f>
        <v/>
      </c>
      <c r="D550" t="str">
        <f>IF(SUMIFS('Sales Record'!H:H,'Sales Record'!F:F,Sheet4!A550)=0,"",SUMIFS('Sales Record'!H:H,'Sales Record'!F:F,Sheet4!A550))</f>
        <v/>
      </c>
      <c r="E550" t="str">
        <f>IF(SUMIFS('Sales Return'!G:G,'Sales Return'!F:F,Sheet4!A550)=0,"",SUMIFS('Sales Return'!G:G,'Sales Return'!F:F,Sheet4!A550))</f>
        <v/>
      </c>
      <c r="F550" t="str">
        <f>IF(SUMIFS('Purchase Return'!G:G,'Purchase Return'!F:F,Sheet4!A550)=0,"",SUMIFS('Purchase Return'!G:G,'Purchase Return'!F:F,Sheet4!A550))</f>
        <v/>
      </c>
      <c r="G550" t="str">
        <f t="shared" si="8"/>
        <v/>
      </c>
    </row>
    <row r="551" spans="1:7">
      <c r="A551" t="str">
        <f>IF('Product List'!B551="","",'Product List'!B551)</f>
        <v/>
      </c>
      <c r="B551" t="str">
        <f>IF('Product List'!C551="","",'Product List'!C551)</f>
        <v/>
      </c>
      <c r="C551" t="str">
        <f>IF(SUMIFS('Purchase Record'!G:G,'Purchase Record'!F:F,Sheet4!A551)=0,"",SUMIFS('Purchase Record'!G:G,'Purchase Record'!F:F,Sheet4!A551))</f>
        <v/>
      </c>
      <c r="D551" t="str">
        <f>IF(SUMIFS('Sales Record'!H:H,'Sales Record'!F:F,Sheet4!A551)=0,"",SUMIFS('Sales Record'!H:H,'Sales Record'!F:F,Sheet4!A551))</f>
        <v/>
      </c>
      <c r="E551" t="str">
        <f>IF(SUMIFS('Sales Return'!G:G,'Sales Return'!F:F,Sheet4!A551)=0,"",SUMIFS('Sales Return'!G:G,'Sales Return'!F:F,Sheet4!A551))</f>
        <v/>
      </c>
      <c r="F551" t="str">
        <f>IF(SUMIFS('Purchase Return'!G:G,'Purchase Return'!F:F,Sheet4!A551)=0,"",SUMIFS('Purchase Return'!G:G,'Purchase Return'!F:F,Sheet4!A551))</f>
        <v/>
      </c>
      <c r="G551" t="str">
        <f t="shared" si="8"/>
        <v/>
      </c>
    </row>
    <row r="552" spans="1:7">
      <c r="A552" t="str">
        <f>IF('Product List'!B552="","",'Product List'!B552)</f>
        <v/>
      </c>
      <c r="B552" t="str">
        <f>IF('Product List'!C552="","",'Product List'!C552)</f>
        <v/>
      </c>
      <c r="C552" t="str">
        <f>IF(SUMIFS('Purchase Record'!G:G,'Purchase Record'!F:F,Sheet4!A552)=0,"",SUMIFS('Purchase Record'!G:G,'Purchase Record'!F:F,Sheet4!A552))</f>
        <v/>
      </c>
      <c r="D552" t="str">
        <f>IF(SUMIFS('Sales Record'!H:H,'Sales Record'!F:F,Sheet4!A552)=0,"",SUMIFS('Sales Record'!H:H,'Sales Record'!F:F,Sheet4!A552))</f>
        <v/>
      </c>
      <c r="E552" t="str">
        <f>IF(SUMIFS('Sales Return'!G:G,'Sales Return'!F:F,Sheet4!A552)=0,"",SUMIFS('Sales Return'!G:G,'Sales Return'!F:F,Sheet4!A552))</f>
        <v/>
      </c>
      <c r="F552" t="str">
        <f>IF(SUMIFS('Purchase Return'!G:G,'Purchase Return'!F:F,Sheet4!A552)=0,"",SUMIFS('Purchase Return'!G:G,'Purchase Return'!F:F,Sheet4!A552))</f>
        <v/>
      </c>
      <c r="G552" t="str">
        <f t="shared" si="8"/>
        <v/>
      </c>
    </row>
    <row r="553" spans="1:7">
      <c r="A553" t="str">
        <f>IF('Product List'!B553="","",'Product List'!B553)</f>
        <v/>
      </c>
      <c r="B553" t="str">
        <f>IF('Product List'!C553="","",'Product List'!C553)</f>
        <v/>
      </c>
      <c r="C553" t="str">
        <f>IF(SUMIFS('Purchase Record'!G:G,'Purchase Record'!F:F,Sheet4!A553)=0,"",SUMIFS('Purchase Record'!G:G,'Purchase Record'!F:F,Sheet4!A553))</f>
        <v/>
      </c>
      <c r="D553" t="str">
        <f>IF(SUMIFS('Sales Record'!H:H,'Sales Record'!F:F,Sheet4!A553)=0,"",SUMIFS('Sales Record'!H:H,'Sales Record'!F:F,Sheet4!A553))</f>
        <v/>
      </c>
      <c r="E553" t="str">
        <f>IF(SUMIFS('Sales Return'!G:G,'Sales Return'!F:F,Sheet4!A553)=0,"",SUMIFS('Sales Return'!G:G,'Sales Return'!F:F,Sheet4!A553))</f>
        <v/>
      </c>
      <c r="F553" t="str">
        <f>IF(SUMIFS('Purchase Return'!G:G,'Purchase Return'!F:F,Sheet4!A553)=0,"",SUMIFS('Purchase Return'!G:G,'Purchase Return'!F:F,Sheet4!A553))</f>
        <v/>
      </c>
      <c r="G553" t="str">
        <f t="shared" si="8"/>
        <v/>
      </c>
    </row>
    <row r="554" spans="1:7">
      <c r="A554" t="str">
        <f>IF('Product List'!B554="","",'Product List'!B554)</f>
        <v/>
      </c>
      <c r="B554" t="str">
        <f>IF('Product List'!C554="","",'Product List'!C554)</f>
        <v/>
      </c>
      <c r="C554" t="str">
        <f>IF(SUMIFS('Purchase Record'!G:G,'Purchase Record'!F:F,Sheet4!A554)=0,"",SUMIFS('Purchase Record'!G:G,'Purchase Record'!F:F,Sheet4!A554))</f>
        <v/>
      </c>
      <c r="D554" t="str">
        <f>IF(SUMIFS('Sales Record'!H:H,'Sales Record'!F:F,Sheet4!A554)=0,"",SUMIFS('Sales Record'!H:H,'Sales Record'!F:F,Sheet4!A554))</f>
        <v/>
      </c>
      <c r="E554" t="str">
        <f>IF(SUMIFS('Sales Return'!G:G,'Sales Return'!F:F,Sheet4!A554)=0,"",SUMIFS('Sales Return'!G:G,'Sales Return'!F:F,Sheet4!A554))</f>
        <v/>
      </c>
      <c r="F554" t="str">
        <f>IF(SUMIFS('Purchase Return'!G:G,'Purchase Return'!F:F,Sheet4!A554)=0,"",SUMIFS('Purchase Return'!G:G,'Purchase Return'!F:F,Sheet4!A554))</f>
        <v/>
      </c>
      <c r="G554" t="str">
        <f t="shared" si="8"/>
        <v/>
      </c>
    </row>
    <row r="555" spans="1:7">
      <c r="A555" t="str">
        <f>IF('Product List'!B555="","",'Product List'!B555)</f>
        <v/>
      </c>
      <c r="B555" t="str">
        <f>IF('Product List'!C555="","",'Product List'!C555)</f>
        <v/>
      </c>
      <c r="C555" t="str">
        <f>IF(SUMIFS('Purchase Record'!G:G,'Purchase Record'!F:F,Sheet4!A555)=0,"",SUMIFS('Purchase Record'!G:G,'Purchase Record'!F:F,Sheet4!A555))</f>
        <v/>
      </c>
      <c r="D555" t="str">
        <f>IF(SUMIFS('Sales Record'!H:H,'Sales Record'!F:F,Sheet4!A555)=0,"",SUMIFS('Sales Record'!H:H,'Sales Record'!F:F,Sheet4!A555))</f>
        <v/>
      </c>
      <c r="E555" t="str">
        <f>IF(SUMIFS('Sales Return'!G:G,'Sales Return'!F:F,Sheet4!A555)=0,"",SUMIFS('Sales Return'!G:G,'Sales Return'!F:F,Sheet4!A555))</f>
        <v/>
      </c>
      <c r="F555" t="str">
        <f>IF(SUMIFS('Purchase Return'!G:G,'Purchase Return'!F:F,Sheet4!A555)=0,"",SUMIFS('Purchase Return'!G:G,'Purchase Return'!F:F,Sheet4!A555))</f>
        <v/>
      </c>
      <c r="G555" t="str">
        <f t="shared" si="8"/>
        <v/>
      </c>
    </row>
    <row r="556" spans="1:7">
      <c r="A556" t="str">
        <f>IF('Product List'!B556="","",'Product List'!B556)</f>
        <v/>
      </c>
      <c r="B556" t="str">
        <f>IF('Product List'!C556="","",'Product List'!C556)</f>
        <v/>
      </c>
      <c r="C556" t="str">
        <f>IF(SUMIFS('Purchase Record'!G:G,'Purchase Record'!F:F,Sheet4!A556)=0,"",SUMIFS('Purchase Record'!G:G,'Purchase Record'!F:F,Sheet4!A556))</f>
        <v/>
      </c>
      <c r="D556" t="str">
        <f>IF(SUMIFS('Sales Record'!H:H,'Sales Record'!F:F,Sheet4!A556)=0,"",SUMIFS('Sales Record'!H:H,'Sales Record'!F:F,Sheet4!A556))</f>
        <v/>
      </c>
      <c r="E556" t="str">
        <f>IF(SUMIFS('Sales Return'!G:G,'Sales Return'!F:F,Sheet4!A556)=0,"",SUMIFS('Sales Return'!G:G,'Sales Return'!F:F,Sheet4!A556))</f>
        <v/>
      </c>
      <c r="F556" t="str">
        <f>IF(SUMIFS('Purchase Return'!G:G,'Purchase Return'!F:F,Sheet4!A556)=0,"",SUMIFS('Purchase Return'!G:G,'Purchase Return'!F:F,Sheet4!A556))</f>
        <v/>
      </c>
      <c r="G556" t="str">
        <f t="shared" si="8"/>
        <v/>
      </c>
    </row>
    <row r="557" spans="1:7">
      <c r="A557" t="str">
        <f>IF('Product List'!B557="","",'Product List'!B557)</f>
        <v/>
      </c>
      <c r="B557" t="str">
        <f>IF('Product List'!C557="","",'Product List'!C557)</f>
        <v/>
      </c>
      <c r="C557" t="str">
        <f>IF(SUMIFS('Purchase Record'!G:G,'Purchase Record'!F:F,Sheet4!A557)=0,"",SUMIFS('Purchase Record'!G:G,'Purchase Record'!F:F,Sheet4!A557))</f>
        <v/>
      </c>
      <c r="D557" t="str">
        <f>IF(SUMIFS('Sales Record'!H:H,'Sales Record'!F:F,Sheet4!A557)=0,"",SUMIFS('Sales Record'!H:H,'Sales Record'!F:F,Sheet4!A557))</f>
        <v/>
      </c>
      <c r="E557" t="str">
        <f>IF(SUMIFS('Sales Return'!G:G,'Sales Return'!F:F,Sheet4!A557)=0,"",SUMIFS('Sales Return'!G:G,'Sales Return'!F:F,Sheet4!A557))</f>
        <v/>
      </c>
      <c r="F557" t="str">
        <f>IF(SUMIFS('Purchase Return'!G:G,'Purchase Return'!F:F,Sheet4!A557)=0,"",SUMIFS('Purchase Return'!G:G,'Purchase Return'!F:F,Sheet4!A557))</f>
        <v/>
      </c>
      <c r="G557" t="str">
        <f t="shared" si="8"/>
        <v/>
      </c>
    </row>
    <row r="558" spans="1:7">
      <c r="A558" t="str">
        <f>IF('Product List'!B558="","",'Product List'!B558)</f>
        <v/>
      </c>
      <c r="B558" t="str">
        <f>IF('Product List'!C558="","",'Product List'!C558)</f>
        <v/>
      </c>
      <c r="C558" t="str">
        <f>IF(SUMIFS('Purchase Record'!G:G,'Purchase Record'!F:F,Sheet4!A558)=0,"",SUMIFS('Purchase Record'!G:G,'Purchase Record'!F:F,Sheet4!A558))</f>
        <v/>
      </c>
      <c r="D558" t="str">
        <f>IF(SUMIFS('Sales Record'!H:H,'Sales Record'!F:F,Sheet4!A558)=0,"",SUMIFS('Sales Record'!H:H,'Sales Record'!F:F,Sheet4!A558))</f>
        <v/>
      </c>
      <c r="E558" t="str">
        <f>IF(SUMIFS('Sales Return'!G:G,'Sales Return'!F:F,Sheet4!A558)=0,"",SUMIFS('Sales Return'!G:G,'Sales Return'!F:F,Sheet4!A558))</f>
        <v/>
      </c>
      <c r="F558" t="str">
        <f>IF(SUMIFS('Purchase Return'!G:G,'Purchase Return'!F:F,Sheet4!A558)=0,"",SUMIFS('Purchase Return'!G:G,'Purchase Return'!F:F,Sheet4!A558))</f>
        <v/>
      </c>
      <c r="G558" t="str">
        <f t="shared" si="8"/>
        <v/>
      </c>
    </row>
    <row r="559" spans="1:7">
      <c r="A559" t="str">
        <f>IF('Product List'!B559="","",'Product List'!B559)</f>
        <v/>
      </c>
      <c r="B559" t="str">
        <f>IF('Product List'!C559="","",'Product List'!C559)</f>
        <v/>
      </c>
      <c r="C559" t="str">
        <f>IF(SUMIFS('Purchase Record'!G:G,'Purchase Record'!F:F,Sheet4!A559)=0,"",SUMIFS('Purchase Record'!G:G,'Purchase Record'!F:F,Sheet4!A559))</f>
        <v/>
      </c>
      <c r="D559" t="str">
        <f>IF(SUMIFS('Sales Record'!H:H,'Sales Record'!F:F,Sheet4!A559)=0,"",SUMIFS('Sales Record'!H:H,'Sales Record'!F:F,Sheet4!A559))</f>
        <v/>
      </c>
      <c r="E559" t="str">
        <f>IF(SUMIFS('Sales Return'!G:G,'Sales Return'!F:F,Sheet4!A559)=0,"",SUMIFS('Sales Return'!G:G,'Sales Return'!F:F,Sheet4!A559))</f>
        <v/>
      </c>
      <c r="F559" t="str">
        <f>IF(SUMIFS('Purchase Return'!G:G,'Purchase Return'!F:F,Sheet4!A559)=0,"",SUMIFS('Purchase Return'!G:G,'Purchase Return'!F:F,Sheet4!A559))</f>
        <v/>
      </c>
      <c r="G559" t="str">
        <f t="shared" si="8"/>
        <v/>
      </c>
    </row>
    <row r="560" spans="1:7">
      <c r="A560" t="str">
        <f>IF('Product List'!B560="","",'Product List'!B560)</f>
        <v/>
      </c>
      <c r="B560" t="str">
        <f>IF('Product List'!C560="","",'Product List'!C560)</f>
        <v/>
      </c>
      <c r="C560" t="str">
        <f>IF(SUMIFS('Purchase Record'!G:G,'Purchase Record'!F:F,Sheet4!A560)=0,"",SUMIFS('Purchase Record'!G:G,'Purchase Record'!F:F,Sheet4!A560))</f>
        <v/>
      </c>
      <c r="D560" t="str">
        <f>IF(SUMIFS('Sales Record'!H:H,'Sales Record'!F:F,Sheet4!A560)=0,"",SUMIFS('Sales Record'!H:H,'Sales Record'!F:F,Sheet4!A560))</f>
        <v/>
      </c>
      <c r="E560" t="str">
        <f>IF(SUMIFS('Sales Return'!G:G,'Sales Return'!F:F,Sheet4!A560)=0,"",SUMIFS('Sales Return'!G:G,'Sales Return'!F:F,Sheet4!A560))</f>
        <v/>
      </c>
      <c r="F560" t="str">
        <f>IF(SUMIFS('Purchase Return'!G:G,'Purchase Return'!F:F,Sheet4!A560)=0,"",SUMIFS('Purchase Return'!G:G,'Purchase Return'!F:F,Sheet4!A560))</f>
        <v/>
      </c>
      <c r="G560" t="str">
        <f t="shared" si="8"/>
        <v/>
      </c>
    </row>
    <row r="561" spans="1:7">
      <c r="A561" t="str">
        <f>IF('Product List'!B561="","",'Product List'!B561)</f>
        <v/>
      </c>
      <c r="B561" t="str">
        <f>IF('Product List'!C561="","",'Product List'!C561)</f>
        <v/>
      </c>
      <c r="C561" t="str">
        <f>IF(SUMIFS('Purchase Record'!G:G,'Purchase Record'!F:F,Sheet4!A561)=0,"",SUMIFS('Purchase Record'!G:G,'Purchase Record'!F:F,Sheet4!A561))</f>
        <v/>
      </c>
      <c r="D561" t="str">
        <f>IF(SUMIFS('Sales Record'!H:H,'Sales Record'!F:F,Sheet4!A561)=0,"",SUMIFS('Sales Record'!H:H,'Sales Record'!F:F,Sheet4!A561))</f>
        <v/>
      </c>
      <c r="E561" t="str">
        <f>IF(SUMIFS('Sales Return'!G:G,'Sales Return'!F:F,Sheet4!A561)=0,"",SUMIFS('Sales Return'!G:G,'Sales Return'!F:F,Sheet4!A561))</f>
        <v/>
      </c>
      <c r="F561" t="str">
        <f>IF(SUMIFS('Purchase Return'!G:G,'Purchase Return'!F:F,Sheet4!A561)=0,"",SUMIFS('Purchase Return'!G:G,'Purchase Return'!F:F,Sheet4!A561))</f>
        <v/>
      </c>
      <c r="G561" t="str">
        <f t="shared" si="8"/>
        <v/>
      </c>
    </row>
    <row r="562" spans="1:7">
      <c r="A562" t="str">
        <f>IF('Product List'!B562="","",'Product List'!B562)</f>
        <v/>
      </c>
      <c r="B562" t="str">
        <f>IF('Product List'!C562="","",'Product List'!C562)</f>
        <v/>
      </c>
      <c r="C562" t="str">
        <f>IF(SUMIFS('Purchase Record'!G:G,'Purchase Record'!F:F,Sheet4!A562)=0,"",SUMIFS('Purchase Record'!G:G,'Purchase Record'!F:F,Sheet4!A562))</f>
        <v/>
      </c>
      <c r="D562" t="str">
        <f>IF(SUMIFS('Sales Record'!H:H,'Sales Record'!F:F,Sheet4!A562)=0,"",SUMIFS('Sales Record'!H:H,'Sales Record'!F:F,Sheet4!A562))</f>
        <v/>
      </c>
      <c r="E562" t="str">
        <f>IF(SUMIFS('Sales Return'!G:G,'Sales Return'!F:F,Sheet4!A562)=0,"",SUMIFS('Sales Return'!G:G,'Sales Return'!F:F,Sheet4!A562))</f>
        <v/>
      </c>
      <c r="F562" t="str">
        <f>IF(SUMIFS('Purchase Return'!G:G,'Purchase Return'!F:F,Sheet4!A562)=0,"",SUMIFS('Purchase Return'!G:G,'Purchase Return'!F:F,Sheet4!A562))</f>
        <v/>
      </c>
      <c r="G562" t="str">
        <f t="shared" si="8"/>
        <v/>
      </c>
    </row>
    <row r="563" spans="1:7">
      <c r="A563" t="str">
        <f>IF('Product List'!B563="","",'Product List'!B563)</f>
        <v/>
      </c>
      <c r="B563" t="str">
        <f>IF('Product List'!C563="","",'Product List'!C563)</f>
        <v/>
      </c>
      <c r="C563" t="str">
        <f>IF(SUMIFS('Purchase Record'!G:G,'Purchase Record'!F:F,Sheet4!A563)=0,"",SUMIFS('Purchase Record'!G:G,'Purchase Record'!F:F,Sheet4!A563))</f>
        <v/>
      </c>
      <c r="D563" t="str">
        <f>IF(SUMIFS('Sales Record'!H:H,'Sales Record'!F:F,Sheet4!A563)=0,"",SUMIFS('Sales Record'!H:H,'Sales Record'!F:F,Sheet4!A563))</f>
        <v/>
      </c>
      <c r="E563" t="str">
        <f>IF(SUMIFS('Sales Return'!G:G,'Sales Return'!F:F,Sheet4!A563)=0,"",SUMIFS('Sales Return'!G:G,'Sales Return'!F:F,Sheet4!A563))</f>
        <v/>
      </c>
      <c r="F563" t="str">
        <f>IF(SUMIFS('Purchase Return'!G:G,'Purchase Return'!F:F,Sheet4!A563)=0,"",SUMIFS('Purchase Return'!G:G,'Purchase Return'!F:F,Sheet4!A563))</f>
        <v/>
      </c>
      <c r="G563" t="str">
        <f t="shared" si="8"/>
        <v/>
      </c>
    </row>
    <row r="564" spans="1:7">
      <c r="A564" t="str">
        <f>IF('Product List'!B564="","",'Product List'!B564)</f>
        <v/>
      </c>
      <c r="B564" t="str">
        <f>IF('Product List'!C564="","",'Product List'!C564)</f>
        <v/>
      </c>
      <c r="C564" t="str">
        <f>IF(SUMIFS('Purchase Record'!G:G,'Purchase Record'!F:F,Sheet4!A564)=0,"",SUMIFS('Purchase Record'!G:G,'Purchase Record'!F:F,Sheet4!A564))</f>
        <v/>
      </c>
      <c r="D564" t="str">
        <f>IF(SUMIFS('Sales Record'!H:H,'Sales Record'!F:F,Sheet4!A564)=0,"",SUMIFS('Sales Record'!H:H,'Sales Record'!F:F,Sheet4!A564))</f>
        <v/>
      </c>
      <c r="E564" t="str">
        <f>IF(SUMIFS('Sales Return'!G:G,'Sales Return'!F:F,Sheet4!A564)=0,"",SUMIFS('Sales Return'!G:G,'Sales Return'!F:F,Sheet4!A564))</f>
        <v/>
      </c>
      <c r="F564" t="str">
        <f>IF(SUMIFS('Purchase Return'!G:G,'Purchase Return'!F:F,Sheet4!A564)=0,"",SUMIFS('Purchase Return'!G:G,'Purchase Return'!F:F,Sheet4!A564))</f>
        <v/>
      </c>
      <c r="G564" t="str">
        <f t="shared" si="8"/>
        <v/>
      </c>
    </row>
    <row r="565" spans="1:7">
      <c r="A565" t="str">
        <f>IF('Product List'!B565="","",'Product List'!B565)</f>
        <v/>
      </c>
      <c r="B565" t="str">
        <f>IF('Product List'!C565="","",'Product List'!C565)</f>
        <v/>
      </c>
      <c r="C565" t="str">
        <f>IF(SUMIFS('Purchase Record'!G:G,'Purchase Record'!F:F,Sheet4!A565)=0,"",SUMIFS('Purchase Record'!G:G,'Purchase Record'!F:F,Sheet4!A565))</f>
        <v/>
      </c>
      <c r="D565" t="str">
        <f>IF(SUMIFS('Sales Record'!H:H,'Sales Record'!F:F,Sheet4!A565)=0,"",SUMIFS('Sales Record'!H:H,'Sales Record'!F:F,Sheet4!A565))</f>
        <v/>
      </c>
      <c r="E565" t="str">
        <f>IF(SUMIFS('Sales Return'!G:G,'Sales Return'!F:F,Sheet4!A565)=0,"",SUMIFS('Sales Return'!G:G,'Sales Return'!F:F,Sheet4!A565))</f>
        <v/>
      </c>
      <c r="F565" t="str">
        <f>IF(SUMIFS('Purchase Return'!G:G,'Purchase Return'!F:F,Sheet4!A565)=0,"",SUMIFS('Purchase Return'!G:G,'Purchase Return'!F:F,Sheet4!A565))</f>
        <v/>
      </c>
      <c r="G565" t="str">
        <f t="shared" si="8"/>
        <v/>
      </c>
    </row>
    <row r="566" spans="1:7">
      <c r="A566" t="str">
        <f>IF('Product List'!B566="","",'Product List'!B566)</f>
        <v/>
      </c>
      <c r="B566" t="str">
        <f>IF('Product List'!C566="","",'Product List'!C566)</f>
        <v/>
      </c>
      <c r="C566" t="str">
        <f>IF(SUMIFS('Purchase Record'!G:G,'Purchase Record'!F:F,Sheet4!A566)=0,"",SUMIFS('Purchase Record'!G:G,'Purchase Record'!F:F,Sheet4!A566))</f>
        <v/>
      </c>
      <c r="D566" t="str">
        <f>IF(SUMIFS('Sales Record'!H:H,'Sales Record'!F:F,Sheet4!A566)=0,"",SUMIFS('Sales Record'!H:H,'Sales Record'!F:F,Sheet4!A566))</f>
        <v/>
      </c>
      <c r="E566" t="str">
        <f>IF(SUMIFS('Sales Return'!G:G,'Sales Return'!F:F,Sheet4!A566)=0,"",SUMIFS('Sales Return'!G:G,'Sales Return'!F:F,Sheet4!A566))</f>
        <v/>
      </c>
      <c r="F566" t="str">
        <f>IF(SUMIFS('Purchase Return'!G:G,'Purchase Return'!F:F,Sheet4!A566)=0,"",SUMIFS('Purchase Return'!G:G,'Purchase Return'!F:F,Sheet4!A566))</f>
        <v/>
      </c>
      <c r="G566" t="str">
        <f t="shared" si="8"/>
        <v/>
      </c>
    </row>
    <row r="567" spans="1:7">
      <c r="A567" t="str">
        <f>IF('Product List'!B567="","",'Product List'!B567)</f>
        <v/>
      </c>
      <c r="B567" t="str">
        <f>IF('Product List'!C567="","",'Product List'!C567)</f>
        <v/>
      </c>
      <c r="C567" t="str">
        <f>IF(SUMIFS('Purchase Record'!G:G,'Purchase Record'!F:F,Sheet4!A567)=0,"",SUMIFS('Purchase Record'!G:G,'Purchase Record'!F:F,Sheet4!A567))</f>
        <v/>
      </c>
      <c r="D567" t="str">
        <f>IF(SUMIFS('Sales Record'!H:H,'Sales Record'!F:F,Sheet4!A567)=0,"",SUMIFS('Sales Record'!H:H,'Sales Record'!F:F,Sheet4!A567))</f>
        <v/>
      </c>
      <c r="E567" t="str">
        <f>IF(SUMIFS('Sales Return'!G:G,'Sales Return'!F:F,Sheet4!A567)=0,"",SUMIFS('Sales Return'!G:G,'Sales Return'!F:F,Sheet4!A567))</f>
        <v/>
      </c>
      <c r="F567" t="str">
        <f>IF(SUMIFS('Purchase Return'!G:G,'Purchase Return'!F:F,Sheet4!A567)=0,"",SUMIFS('Purchase Return'!G:G,'Purchase Return'!F:F,Sheet4!A567))</f>
        <v/>
      </c>
      <c r="G567" t="str">
        <f t="shared" si="8"/>
        <v/>
      </c>
    </row>
    <row r="568" spans="1:7">
      <c r="A568" t="str">
        <f>IF('Product List'!B568="","",'Product List'!B568)</f>
        <v/>
      </c>
      <c r="B568" t="str">
        <f>IF('Product List'!C568="","",'Product List'!C568)</f>
        <v/>
      </c>
      <c r="C568" t="str">
        <f>IF(SUMIFS('Purchase Record'!G:G,'Purchase Record'!F:F,Sheet4!A568)=0,"",SUMIFS('Purchase Record'!G:G,'Purchase Record'!F:F,Sheet4!A568))</f>
        <v/>
      </c>
      <c r="D568" t="str">
        <f>IF(SUMIFS('Sales Record'!H:H,'Sales Record'!F:F,Sheet4!A568)=0,"",SUMIFS('Sales Record'!H:H,'Sales Record'!F:F,Sheet4!A568))</f>
        <v/>
      </c>
      <c r="E568" t="str">
        <f>IF(SUMIFS('Sales Return'!G:G,'Sales Return'!F:F,Sheet4!A568)=0,"",SUMIFS('Sales Return'!G:G,'Sales Return'!F:F,Sheet4!A568))</f>
        <v/>
      </c>
      <c r="F568" t="str">
        <f>IF(SUMIFS('Purchase Return'!G:G,'Purchase Return'!F:F,Sheet4!A568)=0,"",SUMIFS('Purchase Return'!G:G,'Purchase Return'!F:F,Sheet4!A568))</f>
        <v/>
      </c>
      <c r="G568" t="str">
        <f t="shared" si="8"/>
        <v/>
      </c>
    </row>
    <row r="569" spans="1:7">
      <c r="A569" t="str">
        <f>IF('Product List'!B569="","",'Product List'!B569)</f>
        <v/>
      </c>
      <c r="B569" t="str">
        <f>IF('Product List'!C569="","",'Product List'!C569)</f>
        <v/>
      </c>
      <c r="C569" t="str">
        <f>IF(SUMIFS('Purchase Record'!G:G,'Purchase Record'!F:F,Sheet4!A569)=0,"",SUMIFS('Purchase Record'!G:G,'Purchase Record'!F:F,Sheet4!A569))</f>
        <v/>
      </c>
      <c r="D569" t="str">
        <f>IF(SUMIFS('Sales Record'!H:H,'Sales Record'!F:F,Sheet4!A569)=0,"",SUMIFS('Sales Record'!H:H,'Sales Record'!F:F,Sheet4!A569))</f>
        <v/>
      </c>
      <c r="E569" t="str">
        <f>IF(SUMIFS('Sales Return'!G:G,'Sales Return'!F:F,Sheet4!A569)=0,"",SUMIFS('Sales Return'!G:G,'Sales Return'!F:F,Sheet4!A569))</f>
        <v/>
      </c>
      <c r="F569" t="str">
        <f>IF(SUMIFS('Purchase Return'!G:G,'Purchase Return'!F:F,Sheet4!A569)=0,"",SUMIFS('Purchase Return'!G:G,'Purchase Return'!F:F,Sheet4!A569))</f>
        <v/>
      </c>
      <c r="G569" t="str">
        <f t="shared" si="8"/>
        <v/>
      </c>
    </row>
    <row r="570" spans="1:7">
      <c r="A570" t="str">
        <f>IF('Product List'!B570="","",'Product List'!B570)</f>
        <v/>
      </c>
      <c r="B570" t="str">
        <f>IF('Product List'!C570="","",'Product List'!C570)</f>
        <v/>
      </c>
      <c r="C570" t="str">
        <f>IF(SUMIFS('Purchase Record'!G:G,'Purchase Record'!F:F,Sheet4!A570)=0,"",SUMIFS('Purchase Record'!G:G,'Purchase Record'!F:F,Sheet4!A570))</f>
        <v/>
      </c>
      <c r="D570" t="str">
        <f>IF(SUMIFS('Sales Record'!H:H,'Sales Record'!F:F,Sheet4!A570)=0,"",SUMIFS('Sales Record'!H:H,'Sales Record'!F:F,Sheet4!A570))</f>
        <v/>
      </c>
      <c r="E570" t="str">
        <f>IF(SUMIFS('Sales Return'!G:G,'Sales Return'!F:F,Sheet4!A570)=0,"",SUMIFS('Sales Return'!G:G,'Sales Return'!F:F,Sheet4!A570))</f>
        <v/>
      </c>
      <c r="F570" t="str">
        <f>IF(SUMIFS('Purchase Return'!G:G,'Purchase Return'!F:F,Sheet4!A570)=0,"",SUMIFS('Purchase Return'!G:G,'Purchase Return'!F:F,Sheet4!A570))</f>
        <v/>
      </c>
      <c r="G570" t="str">
        <f t="shared" si="8"/>
        <v/>
      </c>
    </row>
    <row r="571" spans="1:7">
      <c r="A571" t="str">
        <f>IF('Product List'!B571="","",'Product List'!B571)</f>
        <v/>
      </c>
      <c r="B571" t="str">
        <f>IF('Product List'!C571="","",'Product List'!C571)</f>
        <v/>
      </c>
      <c r="C571" t="str">
        <f>IF(SUMIFS('Purchase Record'!G:G,'Purchase Record'!F:F,Sheet4!A571)=0,"",SUMIFS('Purchase Record'!G:G,'Purchase Record'!F:F,Sheet4!A571))</f>
        <v/>
      </c>
      <c r="D571" t="str">
        <f>IF(SUMIFS('Sales Record'!H:H,'Sales Record'!F:F,Sheet4!A571)=0,"",SUMIFS('Sales Record'!H:H,'Sales Record'!F:F,Sheet4!A571))</f>
        <v/>
      </c>
      <c r="E571" t="str">
        <f>IF(SUMIFS('Sales Return'!G:G,'Sales Return'!F:F,Sheet4!A571)=0,"",SUMIFS('Sales Return'!G:G,'Sales Return'!F:F,Sheet4!A571))</f>
        <v/>
      </c>
      <c r="F571" t="str">
        <f>IF(SUMIFS('Purchase Return'!G:G,'Purchase Return'!F:F,Sheet4!A571)=0,"",SUMIFS('Purchase Return'!G:G,'Purchase Return'!F:F,Sheet4!A571))</f>
        <v/>
      </c>
      <c r="G571" t="str">
        <f t="shared" si="8"/>
        <v/>
      </c>
    </row>
    <row r="572" spans="1:7">
      <c r="A572" t="str">
        <f>IF('Product List'!B572="","",'Product List'!B572)</f>
        <v/>
      </c>
      <c r="B572" t="str">
        <f>IF('Product List'!C572="","",'Product List'!C572)</f>
        <v/>
      </c>
      <c r="C572" t="str">
        <f>IF(SUMIFS('Purchase Record'!G:G,'Purchase Record'!F:F,Sheet4!A572)=0,"",SUMIFS('Purchase Record'!G:G,'Purchase Record'!F:F,Sheet4!A572))</f>
        <v/>
      </c>
      <c r="D572" t="str">
        <f>IF(SUMIFS('Sales Record'!H:H,'Sales Record'!F:F,Sheet4!A572)=0,"",SUMIFS('Sales Record'!H:H,'Sales Record'!F:F,Sheet4!A572))</f>
        <v/>
      </c>
      <c r="E572" t="str">
        <f>IF(SUMIFS('Sales Return'!G:G,'Sales Return'!F:F,Sheet4!A572)=0,"",SUMIFS('Sales Return'!G:G,'Sales Return'!F:F,Sheet4!A572))</f>
        <v/>
      </c>
      <c r="F572" t="str">
        <f>IF(SUMIFS('Purchase Return'!G:G,'Purchase Return'!F:F,Sheet4!A572)=0,"",SUMIFS('Purchase Return'!G:G,'Purchase Return'!F:F,Sheet4!A572))</f>
        <v/>
      </c>
      <c r="G572" t="str">
        <f t="shared" si="8"/>
        <v/>
      </c>
    </row>
    <row r="573" spans="1:7">
      <c r="A573" t="str">
        <f>IF('Product List'!B573="","",'Product List'!B573)</f>
        <v/>
      </c>
      <c r="B573" t="str">
        <f>IF('Product List'!C573="","",'Product List'!C573)</f>
        <v/>
      </c>
      <c r="C573" t="str">
        <f>IF(SUMIFS('Purchase Record'!G:G,'Purchase Record'!F:F,Sheet4!A573)=0,"",SUMIFS('Purchase Record'!G:G,'Purchase Record'!F:F,Sheet4!A573))</f>
        <v/>
      </c>
      <c r="D573" t="str">
        <f>IF(SUMIFS('Sales Record'!H:H,'Sales Record'!F:F,Sheet4!A573)=0,"",SUMIFS('Sales Record'!H:H,'Sales Record'!F:F,Sheet4!A573))</f>
        <v/>
      </c>
      <c r="E573" t="str">
        <f>IF(SUMIFS('Sales Return'!G:G,'Sales Return'!F:F,Sheet4!A573)=0,"",SUMIFS('Sales Return'!G:G,'Sales Return'!F:F,Sheet4!A573))</f>
        <v/>
      </c>
      <c r="F573" t="str">
        <f>IF(SUMIFS('Purchase Return'!G:G,'Purchase Return'!F:F,Sheet4!A573)=0,"",SUMIFS('Purchase Return'!G:G,'Purchase Return'!F:F,Sheet4!A573))</f>
        <v/>
      </c>
      <c r="G573" t="str">
        <f t="shared" si="8"/>
        <v/>
      </c>
    </row>
    <row r="574" spans="1:7">
      <c r="A574" t="str">
        <f>IF('Product List'!B574="","",'Product List'!B574)</f>
        <v/>
      </c>
      <c r="B574" t="str">
        <f>IF('Product List'!C574="","",'Product List'!C574)</f>
        <v/>
      </c>
      <c r="C574" t="str">
        <f>IF(SUMIFS('Purchase Record'!G:G,'Purchase Record'!F:F,Sheet4!A574)=0,"",SUMIFS('Purchase Record'!G:G,'Purchase Record'!F:F,Sheet4!A574))</f>
        <v/>
      </c>
      <c r="D574" t="str">
        <f>IF(SUMIFS('Sales Record'!H:H,'Sales Record'!F:F,Sheet4!A574)=0,"",SUMIFS('Sales Record'!H:H,'Sales Record'!F:F,Sheet4!A574))</f>
        <v/>
      </c>
      <c r="E574" t="str">
        <f>IF(SUMIFS('Sales Return'!G:G,'Sales Return'!F:F,Sheet4!A574)=0,"",SUMIFS('Sales Return'!G:G,'Sales Return'!F:F,Sheet4!A574))</f>
        <v/>
      </c>
      <c r="F574" t="str">
        <f>IF(SUMIFS('Purchase Return'!G:G,'Purchase Return'!F:F,Sheet4!A574)=0,"",SUMIFS('Purchase Return'!G:G,'Purchase Return'!F:F,Sheet4!A574))</f>
        <v/>
      </c>
      <c r="G574" t="str">
        <f t="shared" si="8"/>
        <v/>
      </c>
    </row>
    <row r="575" spans="1:7">
      <c r="A575" t="str">
        <f>IF('Product List'!B575="","",'Product List'!B575)</f>
        <v/>
      </c>
      <c r="B575" t="str">
        <f>IF('Product List'!C575="","",'Product List'!C575)</f>
        <v/>
      </c>
      <c r="C575" t="str">
        <f>IF(SUMIFS('Purchase Record'!G:G,'Purchase Record'!F:F,Sheet4!A575)=0,"",SUMIFS('Purchase Record'!G:G,'Purchase Record'!F:F,Sheet4!A575))</f>
        <v/>
      </c>
      <c r="D575" t="str">
        <f>IF(SUMIFS('Sales Record'!H:H,'Sales Record'!F:F,Sheet4!A575)=0,"",SUMIFS('Sales Record'!H:H,'Sales Record'!F:F,Sheet4!A575))</f>
        <v/>
      </c>
      <c r="E575" t="str">
        <f>IF(SUMIFS('Sales Return'!G:G,'Sales Return'!F:F,Sheet4!A575)=0,"",SUMIFS('Sales Return'!G:G,'Sales Return'!F:F,Sheet4!A575))</f>
        <v/>
      </c>
      <c r="F575" t="str">
        <f>IF(SUMIFS('Purchase Return'!G:G,'Purchase Return'!F:F,Sheet4!A575)=0,"",SUMIFS('Purchase Return'!G:G,'Purchase Return'!F:F,Sheet4!A575))</f>
        <v/>
      </c>
      <c r="G575" t="str">
        <f t="shared" si="8"/>
        <v/>
      </c>
    </row>
    <row r="576" spans="1:7">
      <c r="A576" t="str">
        <f>IF('Product List'!B576="","",'Product List'!B576)</f>
        <v/>
      </c>
      <c r="B576" t="str">
        <f>IF('Product List'!C576="","",'Product List'!C576)</f>
        <v/>
      </c>
      <c r="C576" t="str">
        <f>IF(SUMIFS('Purchase Record'!G:G,'Purchase Record'!F:F,Sheet4!A576)=0,"",SUMIFS('Purchase Record'!G:G,'Purchase Record'!F:F,Sheet4!A576))</f>
        <v/>
      </c>
      <c r="D576" t="str">
        <f>IF(SUMIFS('Sales Record'!H:H,'Sales Record'!F:F,Sheet4!A576)=0,"",SUMIFS('Sales Record'!H:H,'Sales Record'!F:F,Sheet4!A576))</f>
        <v/>
      </c>
      <c r="E576" t="str">
        <f>IF(SUMIFS('Sales Return'!G:G,'Sales Return'!F:F,Sheet4!A576)=0,"",SUMIFS('Sales Return'!G:G,'Sales Return'!F:F,Sheet4!A576))</f>
        <v/>
      </c>
      <c r="F576" t="str">
        <f>IF(SUMIFS('Purchase Return'!G:G,'Purchase Return'!F:F,Sheet4!A576)=0,"",SUMIFS('Purchase Return'!G:G,'Purchase Return'!F:F,Sheet4!A576))</f>
        <v/>
      </c>
      <c r="G576" t="str">
        <f t="shared" si="8"/>
        <v/>
      </c>
    </row>
    <row r="577" spans="1:7">
      <c r="A577" t="str">
        <f>IF('Product List'!B577="","",'Product List'!B577)</f>
        <v/>
      </c>
      <c r="B577" t="str">
        <f>IF('Product List'!C577="","",'Product List'!C577)</f>
        <v/>
      </c>
      <c r="C577" t="str">
        <f>IF(SUMIFS('Purchase Record'!G:G,'Purchase Record'!F:F,Sheet4!A577)=0,"",SUMIFS('Purchase Record'!G:G,'Purchase Record'!F:F,Sheet4!A577))</f>
        <v/>
      </c>
      <c r="D577" t="str">
        <f>IF(SUMIFS('Sales Record'!H:H,'Sales Record'!F:F,Sheet4!A577)=0,"",SUMIFS('Sales Record'!H:H,'Sales Record'!F:F,Sheet4!A577))</f>
        <v/>
      </c>
      <c r="E577" t="str">
        <f>IF(SUMIFS('Sales Return'!G:G,'Sales Return'!F:F,Sheet4!A577)=0,"",SUMIFS('Sales Return'!G:G,'Sales Return'!F:F,Sheet4!A577))</f>
        <v/>
      </c>
      <c r="F577" t="str">
        <f>IF(SUMIFS('Purchase Return'!G:G,'Purchase Return'!F:F,Sheet4!A577)=0,"",SUMIFS('Purchase Return'!G:G,'Purchase Return'!F:F,Sheet4!A577))</f>
        <v/>
      </c>
      <c r="G577" t="str">
        <f t="shared" si="8"/>
        <v/>
      </c>
    </row>
    <row r="578" spans="1:7">
      <c r="A578" t="str">
        <f>IF('Product List'!B578="","",'Product List'!B578)</f>
        <v/>
      </c>
      <c r="B578" t="str">
        <f>IF('Product List'!C578="","",'Product List'!C578)</f>
        <v/>
      </c>
      <c r="C578" t="str">
        <f>IF(SUMIFS('Purchase Record'!G:G,'Purchase Record'!F:F,Sheet4!A578)=0,"",SUMIFS('Purchase Record'!G:G,'Purchase Record'!F:F,Sheet4!A578))</f>
        <v/>
      </c>
      <c r="D578" t="str">
        <f>IF(SUMIFS('Sales Record'!H:H,'Sales Record'!F:F,Sheet4!A578)=0,"",SUMIFS('Sales Record'!H:H,'Sales Record'!F:F,Sheet4!A578))</f>
        <v/>
      </c>
      <c r="E578" t="str">
        <f>IF(SUMIFS('Sales Return'!G:G,'Sales Return'!F:F,Sheet4!A578)=0,"",SUMIFS('Sales Return'!G:G,'Sales Return'!F:F,Sheet4!A578))</f>
        <v/>
      </c>
      <c r="F578" t="str">
        <f>IF(SUMIFS('Purchase Return'!G:G,'Purchase Return'!F:F,Sheet4!A578)=0,"",SUMIFS('Purchase Return'!G:G,'Purchase Return'!F:F,Sheet4!A578))</f>
        <v/>
      </c>
      <c r="G578" t="str">
        <f t="shared" si="8"/>
        <v/>
      </c>
    </row>
    <row r="579" spans="1:7">
      <c r="A579" t="str">
        <f>IF('Product List'!B579="","",'Product List'!B579)</f>
        <v/>
      </c>
      <c r="B579" t="str">
        <f>IF('Product List'!C579="","",'Product List'!C579)</f>
        <v/>
      </c>
      <c r="C579" t="str">
        <f>IF(SUMIFS('Purchase Record'!G:G,'Purchase Record'!F:F,Sheet4!A579)=0,"",SUMIFS('Purchase Record'!G:G,'Purchase Record'!F:F,Sheet4!A579))</f>
        <v/>
      </c>
      <c r="D579" t="str">
        <f>IF(SUMIFS('Sales Record'!H:H,'Sales Record'!F:F,Sheet4!A579)=0,"",SUMIFS('Sales Record'!H:H,'Sales Record'!F:F,Sheet4!A579))</f>
        <v/>
      </c>
      <c r="E579" t="str">
        <f>IF(SUMIFS('Sales Return'!G:G,'Sales Return'!F:F,Sheet4!A579)=0,"",SUMIFS('Sales Return'!G:G,'Sales Return'!F:F,Sheet4!A579))</f>
        <v/>
      </c>
      <c r="F579" t="str">
        <f>IF(SUMIFS('Purchase Return'!G:G,'Purchase Return'!F:F,Sheet4!A579)=0,"",SUMIFS('Purchase Return'!G:G,'Purchase Return'!F:F,Sheet4!A579))</f>
        <v/>
      </c>
      <c r="G579" t="str">
        <f t="shared" ref="G579:G642" si="9">IF(C579="","",N(C579)-N(D579)+N(E579)-N(F579))</f>
        <v/>
      </c>
    </row>
    <row r="580" spans="1:7">
      <c r="A580" t="str">
        <f>IF('Product List'!B580="","",'Product List'!B580)</f>
        <v/>
      </c>
      <c r="B580" t="str">
        <f>IF('Product List'!C580="","",'Product List'!C580)</f>
        <v/>
      </c>
      <c r="C580" t="str">
        <f>IF(SUMIFS('Purchase Record'!G:G,'Purchase Record'!F:F,Sheet4!A580)=0,"",SUMIFS('Purchase Record'!G:G,'Purchase Record'!F:F,Sheet4!A580))</f>
        <v/>
      </c>
      <c r="D580" t="str">
        <f>IF(SUMIFS('Sales Record'!H:H,'Sales Record'!F:F,Sheet4!A580)=0,"",SUMIFS('Sales Record'!H:H,'Sales Record'!F:F,Sheet4!A580))</f>
        <v/>
      </c>
      <c r="E580" t="str">
        <f>IF(SUMIFS('Sales Return'!G:G,'Sales Return'!F:F,Sheet4!A580)=0,"",SUMIFS('Sales Return'!G:G,'Sales Return'!F:F,Sheet4!A580))</f>
        <v/>
      </c>
      <c r="F580" t="str">
        <f>IF(SUMIFS('Purchase Return'!G:G,'Purchase Return'!F:F,Sheet4!A580)=0,"",SUMIFS('Purchase Return'!G:G,'Purchase Return'!F:F,Sheet4!A580))</f>
        <v/>
      </c>
      <c r="G580" t="str">
        <f t="shared" si="9"/>
        <v/>
      </c>
    </row>
    <row r="581" spans="1:7">
      <c r="A581" t="str">
        <f>IF('Product List'!B581="","",'Product List'!B581)</f>
        <v/>
      </c>
      <c r="B581" t="str">
        <f>IF('Product List'!C581="","",'Product List'!C581)</f>
        <v/>
      </c>
      <c r="C581" t="str">
        <f>IF(SUMIFS('Purchase Record'!G:G,'Purchase Record'!F:F,Sheet4!A581)=0,"",SUMIFS('Purchase Record'!G:G,'Purchase Record'!F:F,Sheet4!A581))</f>
        <v/>
      </c>
      <c r="D581" t="str">
        <f>IF(SUMIFS('Sales Record'!H:H,'Sales Record'!F:F,Sheet4!A581)=0,"",SUMIFS('Sales Record'!H:H,'Sales Record'!F:F,Sheet4!A581))</f>
        <v/>
      </c>
      <c r="E581" t="str">
        <f>IF(SUMIFS('Sales Return'!G:G,'Sales Return'!F:F,Sheet4!A581)=0,"",SUMIFS('Sales Return'!G:G,'Sales Return'!F:F,Sheet4!A581))</f>
        <v/>
      </c>
      <c r="F581" t="str">
        <f>IF(SUMIFS('Purchase Return'!G:G,'Purchase Return'!F:F,Sheet4!A581)=0,"",SUMIFS('Purchase Return'!G:G,'Purchase Return'!F:F,Sheet4!A581))</f>
        <v/>
      </c>
      <c r="G581" t="str">
        <f t="shared" si="9"/>
        <v/>
      </c>
    </row>
    <row r="582" spans="1:7">
      <c r="A582" t="str">
        <f>IF('Product List'!B582="","",'Product List'!B582)</f>
        <v/>
      </c>
      <c r="B582" t="str">
        <f>IF('Product List'!C582="","",'Product List'!C582)</f>
        <v/>
      </c>
      <c r="C582" t="str">
        <f>IF(SUMIFS('Purchase Record'!G:G,'Purchase Record'!F:F,Sheet4!A582)=0,"",SUMIFS('Purchase Record'!G:G,'Purchase Record'!F:F,Sheet4!A582))</f>
        <v/>
      </c>
      <c r="D582" t="str">
        <f>IF(SUMIFS('Sales Record'!H:H,'Sales Record'!F:F,Sheet4!A582)=0,"",SUMIFS('Sales Record'!H:H,'Sales Record'!F:F,Sheet4!A582))</f>
        <v/>
      </c>
      <c r="E582" t="str">
        <f>IF(SUMIFS('Sales Return'!G:G,'Sales Return'!F:F,Sheet4!A582)=0,"",SUMIFS('Sales Return'!G:G,'Sales Return'!F:F,Sheet4!A582))</f>
        <v/>
      </c>
      <c r="F582" t="str">
        <f>IF(SUMIFS('Purchase Return'!G:G,'Purchase Return'!F:F,Sheet4!A582)=0,"",SUMIFS('Purchase Return'!G:G,'Purchase Return'!F:F,Sheet4!A582))</f>
        <v/>
      </c>
      <c r="G582" t="str">
        <f t="shared" si="9"/>
        <v/>
      </c>
    </row>
    <row r="583" spans="1:7">
      <c r="A583" t="str">
        <f>IF('Product List'!B583="","",'Product List'!B583)</f>
        <v/>
      </c>
      <c r="B583" t="str">
        <f>IF('Product List'!C583="","",'Product List'!C583)</f>
        <v/>
      </c>
      <c r="C583" t="str">
        <f>IF(SUMIFS('Purchase Record'!G:G,'Purchase Record'!F:F,Sheet4!A583)=0,"",SUMIFS('Purchase Record'!G:G,'Purchase Record'!F:F,Sheet4!A583))</f>
        <v/>
      </c>
      <c r="D583" t="str">
        <f>IF(SUMIFS('Sales Record'!H:H,'Sales Record'!F:F,Sheet4!A583)=0,"",SUMIFS('Sales Record'!H:H,'Sales Record'!F:F,Sheet4!A583))</f>
        <v/>
      </c>
      <c r="E583" t="str">
        <f>IF(SUMIFS('Sales Return'!G:G,'Sales Return'!F:F,Sheet4!A583)=0,"",SUMIFS('Sales Return'!G:G,'Sales Return'!F:F,Sheet4!A583))</f>
        <v/>
      </c>
      <c r="F583" t="str">
        <f>IF(SUMIFS('Purchase Return'!G:G,'Purchase Return'!F:F,Sheet4!A583)=0,"",SUMIFS('Purchase Return'!G:G,'Purchase Return'!F:F,Sheet4!A583))</f>
        <v/>
      </c>
      <c r="G583" t="str">
        <f t="shared" si="9"/>
        <v/>
      </c>
    </row>
    <row r="584" spans="1:7">
      <c r="A584" t="str">
        <f>IF('Product List'!B584="","",'Product List'!B584)</f>
        <v/>
      </c>
      <c r="B584" t="str">
        <f>IF('Product List'!C584="","",'Product List'!C584)</f>
        <v/>
      </c>
      <c r="C584" t="str">
        <f>IF(SUMIFS('Purchase Record'!G:G,'Purchase Record'!F:F,Sheet4!A584)=0,"",SUMIFS('Purchase Record'!G:G,'Purchase Record'!F:F,Sheet4!A584))</f>
        <v/>
      </c>
      <c r="D584" t="str">
        <f>IF(SUMIFS('Sales Record'!H:H,'Sales Record'!F:F,Sheet4!A584)=0,"",SUMIFS('Sales Record'!H:H,'Sales Record'!F:F,Sheet4!A584))</f>
        <v/>
      </c>
      <c r="E584" t="str">
        <f>IF(SUMIFS('Sales Return'!G:G,'Sales Return'!F:F,Sheet4!A584)=0,"",SUMIFS('Sales Return'!G:G,'Sales Return'!F:F,Sheet4!A584))</f>
        <v/>
      </c>
      <c r="F584" t="str">
        <f>IF(SUMIFS('Purchase Return'!G:G,'Purchase Return'!F:F,Sheet4!A584)=0,"",SUMIFS('Purchase Return'!G:G,'Purchase Return'!F:F,Sheet4!A584))</f>
        <v/>
      </c>
      <c r="G584" t="str">
        <f t="shared" si="9"/>
        <v/>
      </c>
    </row>
    <row r="585" spans="1:7">
      <c r="A585" t="str">
        <f>IF('Product List'!B585="","",'Product List'!B585)</f>
        <v/>
      </c>
      <c r="B585" t="str">
        <f>IF('Product List'!C585="","",'Product List'!C585)</f>
        <v/>
      </c>
      <c r="C585" t="str">
        <f>IF(SUMIFS('Purchase Record'!G:G,'Purchase Record'!F:F,Sheet4!A585)=0,"",SUMIFS('Purchase Record'!G:G,'Purchase Record'!F:F,Sheet4!A585))</f>
        <v/>
      </c>
      <c r="D585" t="str">
        <f>IF(SUMIFS('Sales Record'!H:H,'Sales Record'!F:F,Sheet4!A585)=0,"",SUMIFS('Sales Record'!H:H,'Sales Record'!F:F,Sheet4!A585))</f>
        <v/>
      </c>
      <c r="E585" t="str">
        <f>IF(SUMIFS('Sales Return'!G:G,'Sales Return'!F:F,Sheet4!A585)=0,"",SUMIFS('Sales Return'!G:G,'Sales Return'!F:F,Sheet4!A585))</f>
        <v/>
      </c>
      <c r="F585" t="str">
        <f>IF(SUMIFS('Purchase Return'!G:G,'Purchase Return'!F:F,Sheet4!A585)=0,"",SUMIFS('Purchase Return'!G:G,'Purchase Return'!F:F,Sheet4!A585))</f>
        <v/>
      </c>
      <c r="G585" t="str">
        <f t="shared" si="9"/>
        <v/>
      </c>
    </row>
    <row r="586" spans="1:7">
      <c r="A586" t="str">
        <f>IF('Product List'!B586="","",'Product List'!B586)</f>
        <v/>
      </c>
      <c r="B586" t="str">
        <f>IF('Product List'!C586="","",'Product List'!C586)</f>
        <v/>
      </c>
      <c r="C586" t="str">
        <f>IF(SUMIFS('Purchase Record'!G:G,'Purchase Record'!F:F,Sheet4!A586)=0,"",SUMIFS('Purchase Record'!G:G,'Purchase Record'!F:F,Sheet4!A586))</f>
        <v/>
      </c>
      <c r="D586" t="str">
        <f>IF(SUMIFS('Sales Record'!H:H,'Sales Record'!F:F,Sheet4!A586)=0,"",SUMIFS('Sales Record'!H:H,'Sales Record'!F:F,Sheet4!A586))</f>
        <v/>
      </c>
      <c r="E586" t="str">
        <f>IF(SUMIFS('Sales Return'!G:G,'Sales Return'!F:F,Sheet4!A586)=0,"",SUMIFS('Sales Return'!G:G,'Sales Return'!F:F,Sheet4!A586))</f>
        <v/>
      </c>
      <c r="F586" t="str">
        <f>IF(SUMIFS('Purchase Return'!G:G,'Purchase Return'!F:F,Sheet4!A586)=0,"",SUMIFS('Purchase Return'!G:G,'Purchase Return'!F:F,Sheet4!A586))</f>
        <v/>
      </c>
      <c r="G586" t="str">
        <f t="shared" si="9"/>
        <v/>
      </c>
    </row>
    <row r="587" spans="1:7">
      <c r="A587" t="str">
        <f>IF('Product List'!B587="","",'Product List'!B587)</f>
        <v/>
      </c>
      <c r="B587" t="str">
        <f>IF('Product List'!C587="","",'Product List'!C587)</f>
        <v/>
      </c>
      <c r="C587" t="str">
        <f>IF(SUMIFS('Purchase Record'!G:G,'Purchase Record'!F:F,Sheet4!A587)=0,"",SUMIFS('Purchase Record'!G:G,'Purchase Record'!F:F,Sheet4!A587))</f>
        <v/>
      </c>
      <c r="D587" t="str">
        <f>IF(SUMIFS('Sales Record'!H:H,'Sales Record'!F:F,Sheet4!A587)=0,"",SUMIFS('Sales Record'!H:H,'Sales Record'!F:F,Sheet4!A587))</f>
        <v/>
      </c>
      <c r="E587" t="str">
        <f>IF(SUMIFS('Sales Return'!G:G,'Sales Return'!F:F,Sheet4!A587)=0,"",SUMIFS('Sales Return'!G:G,'Sales Return'!F:F,Sheet4!A587))</f>
        <v/>
      </c>
      <c r="F587" t="str">
        <f>IF(SUMIFS('Purchase Return'!G:G,'Purchase Return'!F:F,Sheet4!A587)=0,"",SUMIFS('Purchase Return'!G:G,'Purchase Return'!F:F,Sheet4!A587))</f>
        <v/>
      </c>
      <c r="G587" t="str">
        <f t="shared" si="9"/>
        <v/>
      </c>
    </row>
    <row r="588" spans="1:7">
      <c r="A588" t="str">
        <f>IF('Product List'!B588="","",'Product List'!B588)</f>
        <v/>
      </c>
      <c r="B588" t="str">
        <f>IF('Product List'!C588="","",'Product List'!C588)</f>
        <v/>
      </c>
      <c r="C588" t="str">
        <f>IF(SUMIFS('Purchase Record'!G:G,'Purchase Record'!F:F,Sheet4!A588)=0,"",SUMIFS('Purchase Record'!G:G,'Purchase Record'!F:F,Sheet4!A588))</f>
        <v/>
      </c>
      <c r="D588" t="str">
        <f>IF(SUMIFS('Sales Record'!H:H,'Sales Record'!F:F,Sheet4!A588)=0,"",SUMIFS('Sales Record'!H:H,'Sales Record'!F:F,Sheet4!A588))</f>
        <v/>
      </c>
      <c r="E588" t="str">
        <f>IF(SUMIFS('Sales Return'!G:G,'Sales Return'!F:F,Sheet4!A588)=0,"",SUMIFS('Sales Return'!G:G,'Sales Return'!F:F,Sheet4!A588))</f>
        <v/>
      </c>
      <c r="F588" t="str">
        <f>IF(SUMIFS('Purchase Return'!G:G,'Purchase Return'!F:F,Sheet4!A588)=0,"",SUMIFS('Purchase Return'!G:G,'Purchase Return'!F:F,Sheet4!A588))</f>
        <v/>
      </c>
      <c r="G588" t="str">
        <f t="shared" si="9"/>
        <v/>
      </c>
    </row>
    <row r="589" spans="1:7">
      <c r="A589" t="str">
        <f>IF('Product List'!B589="","",'Product List'!B589)</f>
        <v/>
      </c>
      <c r="B589" t="str">
        <f>IF('Product List'!C589="","",'Product List'!C589)</f>
        <v/>
      </c>
      <c r="C589" t="str">
        <f>IF(SUMIFS('Purchase Record'!G:G,'Purchase Record'!F:F,Sheet4!A589)=0,"",SUMIFS('Purchase Record'!G:G,'Purchase Record'!F:F,Sheet4!A589))</f>
        <v/>
      </c>
      <c r="D589" t="str">
        <f>IF(SUMIFS('Sales Record'!H:H,'Sales Record'!F:F,Sheet4!A589)=0,"",SUMIFS('Sales Record'!H:H,'Sales Record'!F:F,Sheet4!A589))</f>
        <v/>
      </c>
      <c r="E589" t="str">
        <f>IF(SUMIFS('Sales Return'!G:G,'Sales Return'!F:F,Sheet4!A589)=0,"",SUMIFS('Sales Return'!G:G,'Sales Return'!F:F,Sheet4!A589))</f>
        <v/>
      </c>
      <c r="F589" t="str">
        <f>IF(SUMIFS('Purchase Return'!G:G,'Purchase Return'!F:F,Sheet4!A589)=0,"",SUMIFS('Purchase Return'!G:G,'Purchase Return'!F:F,Sheet4!A589))</f>
        <v/>
      </c>
      <c r="G589" t="str">
        <f t="shared" si="9"/>
        <v/>
      </c>
    </row>
    <row r="590" spans="1:7">
      <c r="A590" t="str">
        <f>IF('Product List'!B590="","",'Product List'!B590)</f>
        <v/>
      </c>
      <c r="B590" t="str">
        <f>IF('Product List'!C590="","",'Product List'!C590)</f>
        <v/>
      </c>
      <c r="C590" t="str">
        <f>IF(SUMIFS('Purchase Record'!G:G,'Purchase Record'!F:F,Sheet4!A590)=0,"",SUMIFS('Purchase Record'!G:G,'Purchase Record'!F:F,Sheet4!A590))</f>
        <v/>
      </c>
      <c r="D590" t="str">
        <f>IF(SUMIFS('Sales Record'!H:H,'Sales Record'!F:F,Sheet4!A590)=0,"",SUMIFS('Sales Record'!H:H,'Sales Record'!F:F,Sheet4!A590))</f>
        <v/>
      </c>
      <c r="E590" t="str">
        <f>IF(SUMIFS('Sales Return'!G:G,'Sales Return'!F:F,Sheet4!A590)=0,"",SUMIFS('Sales Return'!G:G,'Sales Return'!F:F,Sheet4!A590))</f>
        <v/>
      </c>
      <c r="F590" t="str">
        <f>IF(SUMIFS('Purchase Return'!G:G,'Purchase Return'!F:F,Sheet4!A590)=0,"",SUMIFS('Purchase Return'!G:G,'Purchase Return'!F:F,Sheet4!A590))</f>
        <v/>
      </c>
      <c r="G590" t="str">
        <f t="shared" si="9"/>
        <v/>
      </c>
    </row>
    <row r="591" spans="1:7">
      <c r="A591" t="str">
        <f>IF('Product List'!B591="","",'Product List'!B591)</f>
        <v/>
      </c>
      <c r="B591" t="str">
        <f>IF('Product List'!C591="","",'Product List'!C591)</f>
        <v/>
      </c>
      <c r="C591" t="str">
        <f>IF(SUMIFS('Purchase Record'!G:G,'Purchase Record'!F:F,Sheet4!A591)=0,"",SUMIFS('Purchase Record'!G:G,'Purchase Record'!F:F,Sheet4!A591))</f>
        <v/>
      </c>
      <c r="D591" t="str">
        <f>IF(SUMIFS('Sales Record'!H:H,'Sales Record'!F:F,Sheet4!A591)=0,"",SUMIFS('Sales Record'!H:H,'Sales Record'!F:F,Sheet4!A591))</f>
        <v/>
      </c>
      <c r="E591" t="str">
        <f>IF(SUMIFS('Sales Return'!G:G,'Sales Return'!F:F,Sheet4!A591)=0,"",SUMIFS('Sales Return'!G:G,'Sales Return'!F:F,Sheet4!A591))</f>
        <v/>
      </c>
      <c r="F591" t="str">
        <f>IF(SUMIFS('Purchase Return'!G:G,'Purchase Return'!F:F,Sheet4!A591)=0,"",SUMIFS('Purchase Return'!G:G,'Purchase Return'!F:F,Sheet4!A591))</f>
        <v/>
      </c>
      <c r="G591" t="str">
        <f t="shared" si="9"/>
        <v/>
      </c>
    </row>
    <row r="592" spans="1:7">
      <c r="A592" t="str">
        <f>IF('Product List'!B592="","",'Product List'!B592)</f>
        <v/>
      </c>
      <c r="B592" t="str">
        <f>IF('Product List'!C592="","",'Product List'!C592)</f>
        <v/>
      </c>
      <c r="C592" t="str">
        <f>IF(SUMIFS('Purchase Record'!G:G,'Purchase Record'!F:F,Sheet4!A592)=0,"",SUMIFS('Purchase Record'!G:G,'Purchase Record'!F:F,Sheet4!A592))</f>
        <v/>
      </c>
      <c r="D592" t="str">
        <f>IF(SUMIFS('Sales Record'!H:H,'Sales Record'!F:F,Sheet4!A592)=0,"",SUMIFS('Sales Record'!H:H,'Sales Record'!F:F,Sheet4!A592))</f>
        <v/>
      </c>
      <c r="E592" t="str">
        <f>IF(SUMIFS('Sales Return'!G:G,'Sales Return'!F:F,Sheet4!A592)=0,"",SUMIFS('Sales Return'!G:G,'Sales Return'!F:F,Sheet4!A592))</f>
        <v/>
      </c>
      <c r="F592" t="str">
        <f>IF(SUMIFS('Purchase Return'!G:G,'Purchase Return'!F:F,Sheet4!A592)=0,"",SUMIFS('Purchase Return'!G:G,'Purchase Return'!F:F,Sheet4!A592))</f>
        <v/>
      </c>
      <c r="G592" t="str">
        <f t="shared" si="9"/>
        <v/>
      </c>
    </row>
    <row r="593" spans="1:7">
      <c r="A593" t="str">
        <f>IF('Product List'!B593="","",'Product List'!B593)</f>
        <v/>
      </c>
      <c r="B593" t="str">
        <f>IF('Product List'!C593="","",'Product List'!C593)</f>
        <v/>
      </c>
      <c r="C593" t="str">
        <f>IF(SUMIFS('Purchase Record'!G:G,'Purchase Record'!F:F,Sheet4!A593)=0,"",SUMIFS('Purchase Record'!G:G,'Purchase Record'!F:F,Sheet4!A593))</f>
        <v/>
      </c>
      <c r="D593" t="str">
        <f>IF(SUMIFS('Sales Record'!H:H,'Sales Record'!F:F,Sheet4!A593)=0,"",SUMIFS('Sales Record'!H:H,'Sales Record'!F:F,Sheet4!A593))</f>
        <v/>
      </c>
      <c r="E593" t="str">
        <f>IF(SUMIFS('Sales Return'!G:G,'Sales Return'!F:F,Sheet4!A593)=0,"",SUMIFS('Sales Return'!G:G,'Sales Return'!F:F,Sheet4!A593))</f>
        <v/>
      </c>
      <c r="F593" t="str">
        <f>IF(SUMIFS('Purchase Return'!G:G,'Purchase Return'!F:F,Sheet4!A593)=0,"",SUMIFS('Purchase Return'!G:G,'Purchase Return'!F:F,Sheet4!A593))</f>
        <v/>
      </c>
      <c r="G593" t="str">
        <f t="shared" si="9"/>
        <v/>
      </c>
    </row>
    <row r="594" spans="1:7">
      <c r="A594" t="str">
        <f>IF('Product List'!B594="","",'Product List'!B594)</f>
        <v/>
      </c>
      <c r="B594" t="str">
        <f>IF('Product List'!C594="","",'Product List'!C594)</f>
        <v/>
      </c>
      <c r="C594" t="str">
        <f>IF(SUMIFS('Purchase Record'!G:G,'Purchase Record'!F:F,Sheet4!A594)=0,"",SUMIFS('Purchase Record'!G:G,'Purchase Record'!F:F,Sheet4!A594))</f>
        <v/>
      </c>
      <c r="D594" t="str">
        <f>IF(SUMIFS('Sales Record'!H:H,'Sales Record'!F:F,Sheet4!A594)=0,"",SUMIFS('Sales Record'!H:H,'Sales Record'!F:F,Sheet4!A594))</f>
        <v/>
      </c>
      <c r="E594" t="str">
        <f>IF(SUMIFS('Sales Return'!G:G,'Sales Return'!F:F,Sheet4!A594)=0,"",SUMIFS('Sales Return'!G:G,'Sales Return'!F:F,Sheet4!A594))</f>
        <v/>
      </c>
      <c r="F594" t="str">
        <f>IF(SUMIFS('Purchase Return'!G:G,'Purchase Return'!F:F,Sheet4!A594)=0,"",SUMIFS('Purchase Return'!G:G,'Purchase Return'!F:F,Sheet4!A594))</f>
        <v/>
      </c>
      <c r="G594" t="str">
        <f t="shared" si="9"/>
        <v/>
      </c>
    </row>
    <row r="595" spans="1:7">
      <c r="A595" t="str">
        <f>IF('Product List'!B595="","",'Product List'!B595)</f>
        <v/>
      </c>
      <c r="B595" t="str">
        <f>IF('Product List'!C595="","",'Product List'!C595)</f>
        <v/>
      </c>
      <c r="C595" t="str">
        <f>IF(SUMIFS('Purchase Record'!G:G,'Purchase Record'!F:F,Sheet4!A595)=0,"",SUMIFS('Purchase Record'!G:G,'Purchase Record'!F:F,Sheet4!A595))</f>
        <v/>
      </c>
      <c r="D595" t="str">
        <f>IF(SUMIFS('Sales Record'!H:H,'Sales Record'!F:F,Sheet4!A595)=0,"",SUMIFS('Sales Record'!H:H,'Sales Record'!F:F,Sheet4!A595))</f>
        <v/>
      </c>
      <c r="E595" t="str">
        <f>IF(SUMIFS('Sales Return'!G:G,'Sales Return'!F:F,Sheet4!A595)=0,"",SUMIFS('Sales Return'!G:G,'Sales Return'!F:F,Sheet4!A595))</f>
        <v/>
      </c>
      <c r="F595" t="str">
        <f>IF(SUMIFS('Purchase Return'!G:G,'Purchase Return'!F:F,Sheet4!A595)=0,"",SUMIFS('Purchase Return'!G:G,'Purchase Return'!F:F,Sheet4!A595))</f>
        <v/>
      </c>
      <c r="G595" t="str">
        <f t="shared" si="9"/>
        <v/>
      </c>
    </row>
    <row r="596" spans="1:7">
      <c r="A596" t="str">
        <f>IF('Product List'!B596="","",'Product List'!B596)</f>
        <v/>
      </c>
      <c r="B596" t="str">
        <f>IF('Product List'!C596="","",'Product List'!C596)</f>
        <v/>
      </c>
      <c r="C596" t="str">
        <f>IF(SUMIFS('Purchase Record'!G:G,'Purchase Record'!F:F,Sheet4!A596)=0,"",SUMIFS('Purchase Record'!G:G,'Purchase Record'!F:F,Sheet4!A596))</f>
        <v/>
      </c>
      <c r="D596" t="str">
        <f>IF(SUMIFS('Sales Record'!H:H,'Sales Record'!F:F,Sheet4!A596)=0,"",SUMIFS('Sales Record'!H:H,'Sales Record'!F:F,Sheet4!A596))</f>
        <v/>
      </c>
      <c r="E596" t="str">
        <f>IF(SUMIFS('Sales Return'!G:G,'Sales Return'!F:F,Sheet4!A596)=0,"",SUMIFS('Sales Return'!G:G,'Sales Return'!F:F,Sheet4!A596))</f>
        <v/>
      </c>
      <c r="F596" t="str">
        <f>IF(SUMIFS('Purchase Return'!G:G,'Purchase Return'!F:F,Sheet4!A596)=0,"",SUMIFS('Purchase Return'!G:G,'Purchase Return'!F:F,Sheet4!A596))</f>
        <v/>
      </c>
      <c r="G596" t="str">
        <f t="shared" si="9"/>
        <v/>
      </c>
    </row>
    <row r="597" spans="1:7">
      <c r="A597" t="str">
        <f>IF('Product List'!B597="","",'Product List'!B597)</f>
        <v/>
      </c>
      <c r="B597" t="str">
        <f>IF('Product List'!C597="","",'Product List'!C597)</f>
        <v/>
      </c>
      <c r="C597" t="str">
        <f>IF(SUMIFS('Purchase Record'!G:G,'Purchase Record'!F:F,Sheet4!A597)=0,"",SUMIFS('Purchase Record'!G:G,'Purchase Record'!F:F,Sheet4!A597))</f>
        <v/>
      </c>
      <c r="D597" t="str">
        <f>IF(SUMIFS('Sales Record'!H:H,'Sales Record'!F:F,Sheet4!A597)=0,"",SUMIFS('Sales Record'!H:H,'Sales Record'!F:F,Sheet4!A597))</f>
        <v/>
      </c>
      <c r="E597" t="str">
        <f>IF(SUMIFS('Sales Return'!G:G,'Sales Return'!F:F,Sheet4!A597)=0,"",SUMIFS('Sales Return'!G:G,'Sales Return'!F:F,Sheet4!A597))</f>
        <v/>
      </c>
      <c r="F597" t="str">
        <f>IF(SUMIFS('Purchase Return'!G:G,'Purchase Return'!F:F,Sheet4!A597)=0,"",SUMIFS('Purchase Return'!G:G,'Purchase Return'!F:F,Sheet4!A597))</f>
        <v/>
      </c>
      <c r="G597" t="str">
        <f t="shared" si="9"/>
        <v/>
      </c>
    </row>
    <row r="598" spans="1:7">
      <c r="A598" t="str">
        <f>IF('Product List'!B598="","",'Product List'!B598)</f>
        <v/>
      </c>
      <c r="B598" t="str">
        <f>IF('Product List'!C598="","",'Product List'!C598)</f>
        <v/>
      </c>
      <c r="C598" t="str">
        <f>IF(SUMIFS('Purchase Record'!G:G,'Purchase Record'!F:F,Sheet4!A598)=0,"",SUMIFS('Purchase Record'!G:G,'Purchase Record'!F:F,Sheet4!A598))</f>
        <v/>
      </c>
      <c r="D598" t="str">
        <f>IF(SUMIFS('Sales Record'!H:H,'Sales Record'!F:F,Sheet4!A598)=0,"",SUMIFS('Sales Record'!H:H,'Sales Record'!F:F,Sheet4!A598))</f>
        <v/>
      </c>
      <c r="E598" t="str">
        <f>IF(SUMIFS('Sales Return'!G:G,'Sales Return'!F:F,Sheet4!A598)=0,"",SUMIFS('Sales Return'!G:G,'Sales Return'!F:F,Sheet4!A598))</f>
        <v/>
      </c>
      <c r="F598" t="str">
        <f>IF(SUMIFS('Purchase Return'!G:G,'Purchase Return'!F:F,Sheet4!A598)=0,"",SUMIFS('Purchase Return'!G:G,'Purchase Return'!F:F,Sheet4!A598))</f>
        <v/>
      </c>
      <c r="G598" t="str">
        <f t="shared" si="9"/>
        <v/>
      </c>
    </row>
    <row r="599" spans="1:7">
      <c r="A599" t="str">
        <f>IF('Product List'!B599="","",'Product List'!B599)</f>
        <v/>
      </c>
      <c r="B599" t="str">
        <f>IF('Product List'!C599="","",'Product List'!C599)</f>
        <v/>
      </c>
      <c r="C599" t="str">
        <f>IF(SUMIFS('Purchase Record'!G:G,'Purchase Record'!F:F,Sheet4!A599)=0,"",SUMIFS('Purchase Record'!G:G,'Purchase Record'!F:F,Sheet4!A599))</f>
        <v/>
      </c>
      <c r="D599" t="str">
        <f>IF(SUMIFS('Sales Record'!H:H,'Sales Record'!F:F,Sheet4!A599)=0,"",SUMIFS('Sales Record'!H:H,'Sales Record'!F:F,Sheet4!A599))</f>
        <v/>
      </c>
      <c r="E599" t="str">
        <f>IF(SUMIFS('Sales Return'!G:G,'Sales Return'!F:F,Sheet4!A599)=0,"",SUMIFS('Sales Return'!G:G,'Sales Return'!F:F,Sheet4!A599))</f>
        <v/>
      </c>
      <c r="F599" t="str">
        <f>IF(SUMIFS('Purchase Return'!G:G,'Purchase Return'!F:F,Sheet4!A599)=0,"",SUMIFS('Purchase Return'!G:G,'Purchase Return'!F:F,Sheet4!A599))</f>
        <v/>
      </c>
      <c r="G599" t="str">
        <f t="shared" si="9"/>
        <v/>
      </c>
    </row>
    <row r="600" spans="1:7">
      <c r="A600" t="str">
        <f>IF('Product List'!B600="","",'Product List'!B600)</f>
        <v/>
      </c>
      <c r="B600" t="str">
        <f>IF('Product List'!C600="","",'Product List'!C600)</f>
        <v/>
      </c>
      <c r="C600" t="str">
        <f>IF(SUMIFS('Purchase Record'!G:G,'Purchase Record'!F:F,Sheet4!A600)=0,"",SUMIFS('Purchase Record'!G:G,'Purchase Record'!F:F,Sheet4!A600))</f>
        <v/>
      </c>
      <c r="D600" t="str">
        <f>IF(SUMIFS('Sales Record'!H:H,'Sales Record'!F:F,Sheet4!A600)=0,"",SUMIFS('Sales Record'!H:H,'Sales Record'!F:F,Sheet4!A600))</f>
        <v/>
      </c>
      <c r="E600" t="str">
        <f>IF(SUMIFS('Sales Return'!G:G,'Sales Return'!F:F,Sheet4!A600)=0,"",SUMIFS('Sales Return'!G:G,'Sales Return'!F:F,Sheet4!A600))</f>
        <v/>
      </c>
      <c r="F600" t="str">
        <f>IF(SUMIFS('Purchase Return'!G:G,'Purchase Return'!F:F,Sheet4!A600)=0,"",SUMIFS('Purchase Return'!G:G,'Purchase Return'!F:F,Sheet4!A600))</f>
        <v/>
      </c>
      <c r="G600" t="str">
        <f t="shared" si="9"/>
        <v/>
      </c>
    </row>
    <row r="601" spans="1:7">
      <c r="A601" t="str">
        <f>IF('Product List'!B601="","",'Product List'!B601)</f>
        <v/>
      </c>
      <c r="B601" t="str">
        <f>IF('Product List'!C601="","",'Product List'!C601)</f>
        <v/>
      </c>
      <c r="C601" t="str">
        <f>IF(SUMIFS('Purchase Record'!G:G,'Purchase Record'!F:F,Sheet4!A601)=0,"",SUMIFS('Purchase Record'!G:G,'Purchase Record'!F:F,Sheet4!A601))</f>
        <v/>
      </c>
      <c r="D601" t="str">
        <f>IF(SUMIFS('Sales Record'!H:H,'Sales Record'!F:F,Sheet4!A601)=0,"",SUMIFS('Sales Record'!H:H,'Sales Record'!F:F,Sheet4!A601))</f>
        <v/>
      </c>
      <c r="E601" t="str">
        <f>IF(SUMIFS('Sales Return'!G:G,'Sales Return'!F:F,Sheet4!A601)=0,"",SUMIFS('Sales Return'!G:G,'Sales Return'!F:F,Sheet4!A601))</f>
        <v/>
      </c>
      <c r="F601" t="str">
        <f>IF(SUMIFS('Purchase Return'!G:G,'Purchase Return'!F:F,Sheet4!A601)=0,"",SUMIFS('Purchase Return'!G:G,'Purchase Return'!F:F,Sheet4!A601))</f>
        <v/>
      </c>
      <c r="G601" t="str">
        <f t="shared" si="9"/>
        <v/>
      </c>
    </row>
    <row r="602" spans="1:7">
      <c r="A602" t="str">
        <f>IF('Product List'!B602="","",'Product List'!B602)</f>
        <v/>
      </c>
      <c r="B602" t="str">
        <f>IF('Product List'!C602="","",'Product List'!C602)</f>
        <v/>
      </c>
      <c r="C602" t="str">
        <f>IF(SUMIFS('Purchase Record'!G:G,'Purchase Record'!F:F,Sheet4!A602)=0,"",SUMIFS('Purchase Record'!G:G,'Purchase Record'!F:F,Sheet4!A602))</f>
        <v/>
      </c>
      <c r="D602" t="str">
        <f>IF(SUMIFS('Sales Record'!H:H,'Sales Record'!F:F,Sheet4!A602)=0,"",SUMIFS('Sales Record'!H:H,'Sales Record'!F:F,Sheet4!A602))</f>
        <v/>
      </c>
      <c r="E602" t="str">
        <f>IF(SUMIFS('Sales Return'!G:G,'Sales Return'!F:F,Sheet4!A602)=0,"",SUMIFS('Sales Return'!G:G,'Sales Return'!F:F,Sheet4!A602))</f>
        <v/>
      </c>
      <c r="F602" t="str">
        <f>IF(SUMIFS('Purchase Return'!G:G,'Purchase Return'!F:F,Sheet4!A602)=0,"",SUMIFS('Purchase Return'!G:G,'Purchase Return'!F:F,Sheet4!A602))</f>
        <v/>
      </c>
      <c r="G602" t="str">
        <f t="shared" si="9"/>
        <v/>
      </c>
    </row>
    <row r="603" spans="1:7">
      <c r="A603" t="str">
        <f>IF('Product List'!B603="","",'Product List'!B603)</f>
        <v/>
      </c>
      <c r="B603" t="str">
        <f>IF('Product List'!C603="","",'Product List'!C603)</f>
        <v/>
      </c>
      <c r="C603" t="str">
        <f>IF(SUMIFS('Purchase Record'!G:G,'Purchase Record'!F:F,Sheet4!A603)=0,"",SUMIFS('Purchase Record'!G:G,'Purchase Record'!F:F,Sheet4!A603))</f>
        <v/>
      </c>
      <c r="D603" t="str">
        <f>IF(SUMIFS('Sales Record'!H:H,'Sales Record'!F:F,Sheet4!A603)=0,"",SUMIFS('Sales Record'!H:H,'Sales Record'!F:F,Sheet4!A603))</f>
        <v/>
      </c>
      <c r="E603" t="str">
        <f>IF(SUMIFS('Sales Return'!G:G,'Sales Return'!F:F,Sheet4!A603)=0,"",SUMIFS('Sales Return'!G:G,'Sales Return'!F:F,Sheet4!A603))</f>
        <v/>
      </c>
      <c r="F603" t="str">
        <f>IF(SUMIFS('Purchase Return'!G:G,'Purchase Return'!F:F,Sheet4!A603)=0,"",SUMIFS('Purchase Return'!G:G,'Purchase Return'!F:F,Sheet4!A603))</f>
        <v/>
      </c>
      <c r="G603" t="str">
        <f t="shared" si="9"/>
        <v/>
      </c>
    </row>
    <row r="604" spans="1:7">
      <c r="A604" t="str">
        <f>IF('Product List'!B604="","",'Product List'!B604)</f>
        <v/>
      </c>
      <c r="B604" t="str">
        <f>IF('Product List'!C604="","",'Product List'!C604)</f>
        <v/>
      </c>
      <c r="C604" t="str">
        <f>IF(SUMIFS('Purchase Record'!G:G,'Purchase Record'!F:F,Sheet4!A604)=0,"",SUMIFS('Purchase Record'!G:G,'Purchase Record'!F:F,Sheet4!A604))</f>
        <v/>
      </c>
      <c r="D604" t="str">
        <f>IF(SUMIFS('Sales Record'!H:H,'Sales Record'!F:F,Sheet4!A604)=0,"",SUMIFS('Sales Record'!H:H,'Sales Record'!F:F,Sheet4!A604))</f>
        <v/>
      </c>
      <c r="E604" t="str">
        <f>IF(SUMIFS('Sales Return'!G:G,'Sales Return'!F:F,Sheet4!A604)=0,"",SUMIFS('Sales Return'!G:G,'Sales Return'!F:F,Sheet4!A604))</f>
        <v/>
      </c>
      <c r="F604" t="str">
        <f>IF(SUMIFS('Purchase Return'!G:G,'Purchase Return'!F:F,Sheet4!A604)=0,"",SUMIFS('Purchase Return'!G:G,'Purchase Return'!F:F,Sheet4!A604))</f>
        <v/>
      </c>
      <c r="G604" t="str">
        <f t="shared" si="9"/>
        <v/>
      </c>
    </row>
    <row r="605" spans="1:7">
      <c r="A605" t="str">
        <f>IF('Product List'!B605="","",'Product List'!B605)</f>
        <v/>
      </c>
      <c r="B605" t="str">
        <f>IF('Product List'!C605="","",'Product List'!C605)</f>
        <v/>
      </c>
      <c r="C605" t="str">
        <f>IF(SUMIFS('Purchase Record'!G:G,'Purchase Record'!F:F,Sheet4!A605)=0,"",SUMIFS('Purchase Record'!G:G,'Purchase Record'!F:F,Sheet4!A605))</f>
        <v/>
      </c>
      <c r="D605" t="str">
        <f>IF(SUMIFS('Sales Record'!H:H,'Sales Record'!F:F,Sheet4!A605)=0,"",SUMIFS('Sales Record'!H:H,'Sales Record'!F:F,Sheet4!A605))</f>
        <v/>
      </c>
      <c r="E605" t="str">
        <f>IF(SUMIFS('Sales Return'!G:G,'Sales Return'!F:F,Sheet4!A605)=0,"",SUMIFS('Sales Return'!G:G,'Sales Return'!F:F,Sheet4!A605))</f>
        <v/>
      </c>
      <c r="F605" t="str">
        <f>IF(SUMIFS('Purchase Return'!G:G,'Purchase Return'!F:F,Sheet4!A605)=0,"",SUMIFS('Purchase Return'!G:G,'Purchase Return'!F:F,Sheet4!A605))</f>
        <v/>
      </c>
      <c r="G605" t="str">
        <f t="shared" si="9"/>
        <v/>
      </c>
    </row>
    <row r="606" spans="1:7">
      <c r="A606" t="str">
        <f>IF('Product List'!B606="","",'Product List'!B606)</f>
        <v/>
      </c>
      <c r="B606" t="str">
        <f>IF('Product List'!C606="","",'Product List'!C606)</f>
        <v/>
      </c>
      <c r="C606" t="str">
        <f>IF(SUMIFS('Purchase Record'!G:G,'Purchase Record'!F:F,Sheet4!A606)=0,"",SUMIFS('Purchase Record'!G:G,'Purchase Record'!F:F,Sheet4!A606))</f>
        <v/>
      </c>
      <c r="D606" t="str">
        <f>IF(SUMIFS('Sales Record'!H:H,'Sales Record'!F:F,Sheet4!A606)=0,"",SUMIFS('Sales Record'!H:H,'Sales Record'!F:F,Sheet4!A606))</f>
        <v/>
      </c>
      <c r="E606" t="str">
        <f>IF(SUMIFS('Sales Return'!G:G,'Sales Return'!F:F,Sheet4!A606)=0,"",SUMIFS('Sales Return'!G:G,'Sales Return'!F:F,Sheet4!A606))</f>
        <v/>
      </c>
      <c r="F606" t="str">
        <f>IF(SUMIFS('Purchase Return'!G:G,'Purchase Return'!F:F,Sheet4!A606)=0,"",SUMIFS('Purchase Return'!G:G,'Purchase Return'!F:F,Sheet4!A606))</f>
        <v/>
      </c>
      <c r="G606" t="str">
        <f t="shared" si="9"/>
        <v/>
      </c>
    </row>
    <row r="607" spans="1:7">
      <c r="A607" t="str">
        <f>IF('Product List'!B607="","",'Product List'!B607)</f>
        <v/>
      </c>
      <c r="B607" t="str">
        <f>IF('Product List'!C607="","",'Product List'!C607)</f>
        <v/>
      </c>
      <c r="C607" t="str">
        <f>IF(SUMIFS('Purchase Record'!G:G,'Purchase Record'!F:F,Sheet4!A607)=0,"",SUMIFS('Purchase Record'!G:G,'Purchase Record'!F:F,Sheet4!A607))</f>
        <v/>
      </c>
      <c r="D607" t="str">
        <f>IF(SUMIFS('Sales Record'!H:H,'Sales Record'!F:F,Sheet4!A607)=0,"",SUMIFS('Sales Record'!H:H,'Sales Record'!F:F,Sheet4!A607))</f>
        <v/>
      </c>
      <c r="E607" t="str">
        <f>IF(SUMIFS('Sales Return'!G:G,'Sales Return'!F:F,Sheet4!A607)=0,"",SUMIFS('Sales Return'!G:G,'Sales Return'!F:F,Sheet4!A607))</f>
        <v/>
      </c>
      <c r="F607" t="str">
        <f>IF(SUMIFS('Purchase Return'!G:G,'Purchase Return'!F:F,Sheet4!A607)=0,"",SUMIFS('Purchase Return'!G:G,'Purchase Return'!F:F,Sheet4!A607))</f>
        <v/>
      </c>
      <c r="G607" t="str">
        <f t="shared" si="9"/>
        <v/>
      </c>
    </row>
    <row r="608" spans="1:7">
      <c r="A608" t="str">
        <f>IF('Product List'!B608="","",'Product List'!B608)</f>
        <v/>
      </c>
      <c r="B608" t="str">
        <f>IF('Product List'!C608="","",'Product List'!C608)</f>
        <v/>
      </c>
      <c r="C608" t="str">
        <f>IF(SUMIFS('Purchase Record'!G:G,'Purchase Record'!F:F,Sheet4!A608)=0,"",SUMIFS('Purchase Record'!G:G,'Purchase Record'!F:F,Sheet4!A608))</f>
        <v/>
      </c>
      <c r="D608" t="str">
        <f>IF(SUMIFS('Sales Record'!H:H,'Sales Record'!F:F,Sheet4!A608)=0,"",SUMIFS('Sales Record'!H:H,'Sales Record'!F:F,Sheet4!A608))</f>
        <v/>
      </c>
      <c r="E608" t="str">
        <f>IF(SUMIFS('Sales Return'!G:G,'Sales Return'!F:F,Sheet4!A608)=0,"",SUMIFS('Sales Return'!G:G,'Sales Return'!F:F,Sheet4!A608))</f>
        <v/>
      </c>
      <c r="F608" t="str">
        <f>IF(SUMIFS('Purchase Return'!G:G,'Purchase Return'!F:F,Sheet4!A608)=0,"",SUMIFS('Purchase Return'!G:G,'Purchase Return'!F:F,Sheet4!A608))</f>
        <v/>
      </c>
      <c r="G608" t="str">
        <f t="shared" si="9"/>
        <v/>
      </c>
    </row>
    <row r="609" spans="1:7">
      <c r="A609" t="str">
        <f>IF('Product List'!B609="","",'Product List'!B609)</f>
        <v/>
      </c>
      <c r="B609" t="str">
        <f>IF('Product List'!C609="","",'Product List'!C609)</f>
        <v/>
      </c>
      <c r="C609" t="str">
        <f>IF(SUMIFS('Purchase Record'!G:G,'Purchase Record'!F:F,Sheet4!A609)=0,"",SUMIFS('Purchase Record'!G:G,'Purchase Record'!F:F,Sheet4!A609))</f>
        <v/>
      </c>
      <c r="D609" t="str">
        <f>IF(SUMIFS('Sales Record'!H:H,'Sales Record'!F:F,Sheet4!A609)=0,"",SUMIFS('Sales Record'!H:H,'Sales Record'!F:F,Sheet4!A609))</f>
        <v/>
      </c>
      <c r="E609" t="str">
        <f>IF(SUMIFS('Sales Return'!G:G,'Sales Return'!F:F,Sheet4!A609)=0,"",SUMIFS('Sales Return'!G:G,'Sales Return'!F:F,Sheet4!A609))</f>
        <v/>
      </c>
      <c r="F609" t="str">
        <f>IF(SUMIFS('Purchase Return'!G:G,'Purchase Return'!F:F,Sheet4!A609)=0,"",SUMIFS('Purchase Return'!G:G,'Purchase Return'!F:F,Sheet4!A609))</f>
        <v/>
      </c>
      <c r="G609" t="str">
        <f t="shared" si="9"/>
        <v/>
      </c>
    </row>
    <row r="610" spans="1:7">
      <c r="A610" t="str">
        <f>IF('Product List'!B610="","",'Product List'!B610)</f>
        <v/>
      </c>
      <c r="B610" t="str">
        <f>IF('Product List'!C610="","",'Product List'!C610)</f>
        <v/>
      </c>
      <c r="C610" t="str">
        <f>IF(SUMIFS('Purchase Record'!G:G,'Purchase Record'!F:F,Sheet4!A610)=0,"",SUMIFS('Purchase Record'!G:G,'Purchase Record'!F:F,Sheet4!A610))</f>
        <v/>
      </c>
      <c r="D610" t="str">
        <f>IF(SUMIFS('Sales Record'!H:H,'Sales Record'!F:F,Sheet4!A610)=0,"",SUMIFS('Sales Record'!H:H,'Sales Record'!F:F,Sheet4!A610))</f>
        <v/>
      </c>
      <c r="E610" t="str">
        <f>IF(SUMIFS('Sales Return'!G:G,'Sales Return'!F:F,Sheet4!A610)=0,"",SUMIFS('Sales Return'!G:G,'Sales Return'!F:F,Sheet4!A610))</f>
        <v/>
      </c>
      <c r="F610" t="str">
        <f>IF(SUMIFS('Purchase Return'!G:G,'Purchase Return'!F:F,Sheet4!A610)=0,"",SUMIFS('Purchase Return'!G:G,'Purchase Return'!F:F,Sheet4!A610))</f>
        <v/>
      </c>
      <c r="G610" t="str">
        <f t="shared" si="9"/>
        <v/>
      </c>
    </row>
    <row r="611" spans="1:7">
      <c r="A611" t="str">
        <f>IF('Product List'!B611="","",'Product List'!B611)</f>
        <v/>
      </c>
      <c r="B611" t="str">
        <f>IF('Product List'!C611="","",'Product List'!C611)</f>
        <v/>
      </c>
      <c r="C611" t="str">
        <f>IF(SUMIFS('Purchase Record'!G:G,'Purchase Record'!F:F,Sheet4!A611)=0,"",SUMIFS('Purchase Record'!G:G,'Purchase Record'!F:F,Sheet4!A611))</f>
        <v/>
      </c>
      <c r="D611" t="str">
        <f>IF(SUMIFS('Sales Record'!H:H,'Sales Record'!F:F,Sheet4!A611)=0,"",SUMIFS('Sales Record'!H:H,'Sales Record'!F:F,Sheet4!A611))</f>
        <v/>
      </c>
      <c r="E611" t="str">
        <f>IF(SUMIFS('Sales Return'!G:G,'Sales Return'!F:F,Sheet4!A611)=0,"",SUMIFS('Sales Return'!G:G,'Sales Return'!F:F,Sheet4!A611))</f>
        <v/>
      </c>
      <c r="F611" t="str">
        <f>IF(SUMIFS('Purchase Return'!G:G,'Purchase Return'!F:F,Sheet4!A611)=0,"",SUMIFS('Purchase Return'!G:G,'Purchase Return'!F:F,Sheet4!A611))</f>
        <v/>
      </c>
      <c r="G611" t="str">
        <f t="shared" si="9"/>
        <v/>
      </c>
    </row>
    <row r="612" spans="1:7">
      <c r="A612" t="str">
        <f>IF('Product List'!B612="","",'Product List'!B612)</f>
        <v/>
      </c>
      <c r="B612" t="str">
        <f>IF('Product List'!C612="","",'Product List'!C612)</f>
        <v/>
      </c>
      <c r="C612" t="str">
        <f>IF(SUMIFS('Purchase Record'!G:G,'Purchase Record'!F:F,Sheet4!A612)=0,"",SUMIFS('Purchase Record'!G:G,'Purchase Record'!F:F,Sheet4!A612))</f>
        <v/>
      </c>
      <c r="D612" t="str">
        <f>IF(SUMIFS('Sales Record'!H:H,'Sales Record'!F:F,Sheet4!A612)=0,"",SUMIFS('Sales Record'!H:H,'Sales Record'!F:F,Sheet4!A612))</f>
        <v/>
      </c>
      <c r="E612" t="str">
        <f>IF(SUMIFS('Sales Return'!G:G,'Sales Return'!F:F,Sheet4!A612)=0,"",SUMIFS('Sales Return'!G:G,'Sales Return'!F:F,Sheet4!A612))</f>
        <v/>
      </c>
      <c r="F612" t="str">
        <f>IF(SUMIFS('Purchase Return'!G:G,'Purchase Return'!F:F,Sheet4!A612)=0,"",SUMIFS('Purchase Return'!G:G,'Purchase Return'!F:F,Sheet4!A612))</f>
        <v/>
      </c>
      <c r="G612" t="str">
        <f t="shared" si="9"/>
        <v/>
      </c>
    </row>
    <row r="613" spans="1:7">
      <c r="A613" t="str">
        <f>IF('Product List'!B613="","",'Product List'!B613)</f>
        <v/>
      </c>
      <c r="B613" t="str">
        <f>IF('Product List'!C613="","",'Product List'!C613)</f>
        <v/>
      </c>
      <c r="C613" t="str">
        <f>IF(SUMIFS('Purchase Record'!G:G,'Purchase Record'!F:F,Sheet4!A613)=0,"",SUMIFS('Purchase Record'!G:G,'Purchase Record'!F:F,Sheet4!A613))</f>
        <v/>
      </c>
      <c r="D613" t="str">
        <f>IF(SUMIFS('Sales Record'!H:H,'Sales Record'!F:F,Sheet4!A613)=0,"",SUMIFS('Sales Record'!H:H,'Sales Record'!F:F,Sheet4!A613))</f>
        <v/>
      </c>
      <c r="E613" t="str">
        <f>IF(SUMIFS('Sales Return'!G:G,'Sales Return'!F:F,Sheet4!A613)=0,"",SUMIFS('Sales Return'!G:G,'Sales Return'!F:F,Sheet4!A613))</f>
        <v/>
      </c>
      <c r="F613" t="str">
        <f>IF(SUMIFS('Purchase Return'!G:G,'Purchase Return'!F:F,Sheet4!A613)=0,"",SUMIFS('Purchase Return'!G:G,'Purchase Return'!F:F,Sheet4!A613))</f>
        <v/>
      </c>
      <c r="G613" t="str">
        <f t="shared" si="9"/>
        <v/>
      </c>
    </row>
    <row r="614" spans="1:7">
      <c r="A614" t="str">
        <f>IF('Product List'!B614="","",'Product List'!B614)</f>
        <v/>
      </c>
      <c r="B614" t="str">
        <f>IF('Product List'!C614="","",'Product List'!C614)</f>
        <v/>
      </c>
      <c r="C614" t="str">
        <f>IF(SUMIFS('Purchase Record'!G:G,'Purchase Record'!F:F,Sheet4!A614)=0,"",SUMIFS('Purchase Record'!G:G,'Purchase Record'!F:F,Sheet4!A614))</f>
        <v/>
      </c>
      <c r="D614" t="str">
        <f>IF(SUMIFS('Sales Record'!H:H,'Sales Record'!F:F,Sheet4!A614)=0,"",SUMIFS('Sales Record'!H:H,'Sales Record'!F:F,Sheet4!A614))</f>
        <v/>
      </c>
      <c r="E614" t="str">
        <f>IF(SUMIFS('Sales Return'!G:G,'Sales Return'!F:F,Sheet4!A614)=0,"",SUMIFS('Sales Return'!G:G,'Sales Return'!F:F,Sheet4!A614))</f>
        <v/>
      </c>
      <c r="F614" t="str">
        <f>IF(SUMIFS('Purchase Return'!G:G,'Purchase Return'!F:F,Sheet4!A614)=0,"",SUMIFS('Purchase Return'!G:G,'Purchase Return'!F:F,Sheet4!A614))</f>
        <v/>
      </c>
      <c r="G614" t="str">
        <f t="shared" si="9"/>
        <v/>
      </c>
    </row>
    <row r="615" spans="1:7">
      <c r="A615" t="str">
        <f>IF('Product List'!B615="","",'Product List'!B615)</f>
        <v/>
      </c>
      <c r="B615" t="str">
        <f>IF('Product List'!C615="","",'Product List'!C615)</f>
        <v/>
      </c>
      <c r="C615" t="str">
        <f>IF(SUMIFS('Purchase Record'!G:G,'Purchase Record'!F:F,Sheet4!A615)=0,"",SUMIFS('Purchase Record'!G:G,'Purchase Record'!F:F,Sheet4!A615))</f>
        <v/>
      </c>
      <c r="D615" t="str">
        <f>IF(SUMIFS('Sales Record'!H:H,'Sales Record'!F:F,Sheet4!A615)=0,"",SUMIFS('Sales Record'!H:H,'Sales Record'!F:F,Sheet4!A615))</f>
        <v/>
      </c>
      <c r="E615" t="str">
        <f>IF(SUMIFS('Sales Return'!G:G,'Sales Return'!F:F,Sheet4!A615)=0,"",SUMIFS('Sales Return'!G:G,'Sales Return'!F:F,Sheet4!A615))</f>
        <v/>
      </c>
      <c r="F615" t="str">
        <f>IF(SUMIFS('Purchase Return'!G:G,'Purchase Return'!F:F,Sheet4!A615)=0,"",SUMIFS('Purchase Return'!G:G,'Purchase Return'!F:F,Sheet4!A615))</f>
        <v/>
      </c>
      <c r="G615" t="str">
        <f t="shared" si="9"/>
        <v/>
      </c>
    </row>
    <row r="616" spans="1:7">
      <c r="A616" t="str">
        <f>IF('Product List'!B616="","",'Product List'!B616)</f>
        <v/>
      </c>
      <c r="B616" t="str">
        <f>IF('Product List'!C616="","",'Product List'!C616)</f>
        <v/>
      </c>
      <c r="C616" t="str">
        <f>IF(SUMIFS('Purchase Record'!G:G,'Purchase Record'!F:F,Sheet4!A616)=0,"",SUMIFS('Purchase Record'!G:G,'Purchase Record'!F:F,Sheet4!A616))</f>
        <v/>
      </c>
      <c r="D616" t="str">
        <f>IF(SUMIFS('Sales Record'!H:H,'Sales Record'!F:F,Sheet4!A616)=0,"",SUMIFS('Sales Record'!H:H,'Sales Record'!F:F,Sheet4!A616))</f>
        <v/>
      </c>
      <c r="E616" t="str">
        <f>IF(SUMIFS('Sales Return'!G:G,'Sales Return'!F:F,Sheet4!A616)=0,"",SUMIFS('Sales Return'!G:G,'Sales Return'!F:F,Sheet4!A616))</f>
        <v/>
      </c>
      <c r="F616" t="str">
        <f>IF(SUMIFS('Purchase Return'!G:G,'Purchase Return'!F:F,Sheet4!A616)=0,"",SUMIFS('Purchase Return'!G:G,'Purchase Return'!F:F,Sheet4!A616))</f>
        <v/>
      </c>
      <c r="G616" t="str">
        <f t="shared" si="9"/>
        <v/>
      </c>
    </row>
    <row r="617" spans="1:7">
      <c r="A617" t="str">
        <f>IF('Product List'!B617="","",'Product List'!B617)</f>
        <v/>
      </c>
      <c r="B617" t="str">
        <f>IF('Product List'!C617="","",'Product List'!C617)</f>
        <v/>
      </c>
      <c r="C617" t="str">
        <f>IF(SUMIFS('Purchase Record'!G:G,'Purchase Record'!F:F,Sheet4!A617)=0,"",SUMIFS('Purchase Record'!G:G,'Purchase Record'!F:F,Sheet4!A617))</f>
        <v/>
      </c>
      <c r="D617" t="str">
        <f>IF(SUMIFS('Sales Record'!H:H,'Sales Record'!F:F,Sheet4!A617)=0,"",SUMIFS('Sales Record'!H:H,'Sales Record'!F:F,Sheet4!A617))</f>
        <v/>
      </c>
      <c r="E617" t="str">
        <f>IF(SUMIFS('Sales Return'!G:G,'Sales Return'!F:F,Sheet4!A617)=0,"",SUMIFS('Sales Return'!G:G,'Sales Return'!F:F,Sheet4!A617))</f>
        <v/>
      </c>
      <c r="F617" t="str">
        <f>IF(SUMIFS('Purchase Return'!G:G,'Purchase Return'!F:F,Sheet4!A617)=0,"",SUMIFS('Purchase Return'!G:G,'Purchase Return'!F:F,Sheet4!A617))</f>
        <v/>
      </c>
      <c r="G617" t="str">
        <f t="shared" si="9"/>
        <v/>
      </c>
    </row>
    <row r="618" spans="1:7">
      <c r="A618" t="str">
        <f>IF('Product List'!B618="","",'Product List'!B618)</f>
        <v/>
      </c>
      <c r="B618" t="str">
        <f>IF('Product List'!C618="","",'Product List'!C618)</f>
        <v/>
      </c>
      <c r="C618" t="str">
        <f>IF(SUMIFS('Purchase Record'!G:G,'Purchase Record'!F:F,Sheet4!A618)=0,"",SUMIFS('Purchase Record'!G:G,'Purchase Record'!F:F,Sheet4!A618))</f>
        <v/>
      </c>
      <c r="D618" t="str">
        <f>IF(SUMIFS('Sales Record'!H:H,'Sales Record'!F:F,Sheet4!A618)=0,"",SUMIFS('Sales Record'!H:H,'Sales Record'!F:F,Sheet4!A618))</f>
        <v/>
      </c>
      <c r="E618" t="str">
        <f>IF(SUMIFS('Sales Return'!G:G,'Sales Return'!F:F,Sheet4!A618)=0,"",SUMIFS('Sales Return'!G:G,'Sales Return'!F:F,Sheet4!A618))</f>
        <v/>
      </c>
      <c r="F618" t="str">
        <f>IF(SUMIFS('Purchase Return'!G:G,'Purchase Return'!F:F,Sheet4!A618)=0,"",SUMIFS('Purchase Return'!G:G,'Purchase Return'!F:F,Sheet4!A618))</f>
        <v/>
      </c>
      <c r="G618" t="str">
        <f t="shared" si="9"/>
        <v/>
      </c>
    </row>
    <row r="619" spans="1:7">
      <c r="A619" t="str">
        <f>IF('Product List'!B619="","",'Product List'!B619)</f>
        <v/>
      </c>
      <c r="B619" t="str">
        <f>IF('Product List'!C619="","",'Product List'!C619)</f>
        <v/>
      </c>
      <c r="C619" t="str">
        <f>IF(SUMIFS('Purchase Record'!G:G,'Purchase Record'!F:F,Sheet4!A619)=0,"",SUMIFS('Purchase Record'!G:G,'Purchase Record'!F:F,Sheet4!A619))</f>
        <v/>
      </c>
      <c r="D619" t="str">
        <f>IF(SUMIFS('Sales Record'!H:H,'Sales Record'!F:F,Sheet4!A619)=0,"",SUMIFS('Sales Record'!H:H,'Sales Record'!F:F,Sheet4!A619))</f>
        <v/>
      </c>
      <c r="E619" t="str">
        <f>IF(SUMIFS('Sales Return'!G:G,'Sales Return'!F:F,Sheet4!A619)=0,"",SUMIFS('Sales Return'!G:G,'Sales Return'!F:F,Sheet4!A619))</f>
        <v/>
      </c>
      <c r="F619" t="str">
        <f>IF(SUMIFS('Purchase Return'!G:G,'Purchase Return'!F:F,Sheet4!A619)=0,"",SUMIFS('Purchase Return'!G:G,'Purchase Return'!F:F,Sheet4!A619))</f>
        <v/>
      </c>
      <c r="G619" t="str">
        <f t="shared" si="9"/>
        <v/>
      </c>
    </row>
    <row r="620" spans="1:7">
      <c r="A620" t="str">
        <f>IF('Product List'!B620="","",'Product List'!B620)</f>
        <v/>
      </c>
      <c r="B620" t="str">
        <f>IF('Product List'!C620="","",'Product List'!C620)</f>
        <v/>
      </c>
      <c r="C620" t="str">
        <f>IF(SUMIFS('Purchase Record'!G:G,'Purchase Record'!F:F,Sheet4!A620)=0,"",SUMIFS('Purchase Record'!G:G,'Purchase Record'!F:F,Sheet4!A620))</f>
        <v/>
      </c>
      <c r="D620" t="str">
        <f>IF(SUMIFS('Sales Record'!H:H,'Sales Record'!F:F,Sheet4!A620)=0,"",SUMIFS('Sales Record'!H:H,'Sales Record'!F:F,Sheet4!A620))</f>
        <v/>
      </c>
      <c r="E620" t="str">
        <f>IF(SUMIFS('Sales Return'!G:G,'Sales Return'!F:F,Sheet4!A620)=0,"",SUMIFS('Sales Return'!G:G,'Sales Return'!F:F,Sheet4!A620))</f>
        <v/>
      </c>
      <c r="F620" t="str">
        <f>IF(SUMIFS('Purchase Return'!G:G,'Purchase Return'!F:F,Sheet4!A620)=0,"",SUMIFS('Purchase Return'!G:G,'Purchase Return'!F:F,Sheet4!A620))</f>
        <v/>
      </c>
      <c r="G620" t="str">
        <f t="shared" si="9"/>
        <v/>
      </c>
    </row>
    <row r="621" spans="1:7">
      <c r="A621" t="str">
        <f>IF('Product List'!B621="","",'Product List'!B621)</f>
        <v/>
      </c>
      <c r="B621" t="str">
        <f>IF('Product List'!C621="","",'Product List'!C621)</f>
        <v/>
      </c>
      <c r="C621" t="str">
        <f>IF(SUMIFS('Purchase Record'!G:G,'Purchase Record'!F:F,Sheet4!A621)=0,"",SUMIFS('Purchase Record'!G:G,'Purchase Record'!F:F,Sheet4!A621))</f>
        <v/>
      </c>
      <c r="D621" t="str">
        <f>IF(SUMIFS('Sales Record'!H:H,'Sales Record'!F:F,Sheet4!A621)=0,"",SUMIFS('Sales Record'!H:H,'Sales Record'!F:F,Sheet4!A621))</f>
        <v/>
      </c>
      <c r="E621" t="str">
        <f>IF(SUMIFS('Sales Return'!G:G,'Sales Return'!F:F,Sheet4!A621)=0,"",SUMIFS('Sales Return'!G:G,'Sales Return'!F:F,Sheet4!A621))</f>
        <v/>
      </c>
      <c r="F621" t="str">
        <f>IF(SUMIFS('Purchase Return'!G:G,'Purchase Return'!F:F,Sheet4!A621)=0,"",SUMIFS('Purchase Return'!G:G,'Purchase Return'!F:F,Sheet4!A621))</f>
        <v/>
      </c>
      <c r="G621" t="str">
        <f t="shared" si="9"/>
        <v/>
      </c>
    </row>
    <row r="622" spans="1:7">
      <c r="A622" t="str">
        <f>IF('Product List'!B622="","",'Product List'!B622)</f>
        <v/>
      </c>
      <c r="B622" t="str">
        <f>IF('Product List'!C622="","",'Product List'!C622)</f>
        <v/>
      </c>
      <c r="C622" t="str">
        <f>IF(SUMIFS('Purchase Record'!G:G,'Purchase Record'!F:F,Sheet4!A622)=0,"",SUMIFS('Purchase Record'!G:G,'Purchase Record'!F:F,Sheet4!A622))</f>
        <v/>
      </c>
      <c r="D622" t="str">
        <f>IF(SUMIFS('Sales Record'!H:H,'Sales Record'!F:F,Sheet4!A622)=0,"",SUMIFS('Sales Record'!H:H,'Sales Record'!F:F,Sheet4!A622))</f>
        <v/>
      </c>
      <c r="E622" t="str">
        <f>IF(SUMIFS('Sales Return'!G:G,'Sales Return'!F:F,Sheet4!A622)=0,"",SUMIFS('Sales Return'!G:G,'Sales Return'!F:F,Sheet4!A622))</f>
        <v/>
      </c>
      <c r="F622" t="str">
        <f>IF(SUMIFS('Purchase Return'!G:G,'Purchase Return'!F:F,Sheet4!A622)=0,"",SUMIFS('Purchase Return'!G:G,'Purchase Return'!F:F,Sheet4!A622))</f>
        <v/>
      </c>
      <c r="G622" t="str">
        <f t="shared" si="9"/>
        <v/>
      </c>
    </row>
    <row r="623" spans="1:7">
      <c r="A623" t="str">
        <f>IF('Product List'!B623="","",'Product List'!B623)</f>
        <v/>
      </c>
      <c r="B623" t="str">
        <f>IF('Product List'!C623="","",'Product List'!C623)</f>
        <v/>
      </c>
      <c r="C623" t="str">
        <f>IF(SUMIFS('Purchase Record'!G:G,'Purchase Record'!F:F,Sheet4!A623)=0,"",SUMIFS('Purchase Record'!G:G,'Purchase Record'!F:F,Sheet4!A623))</f>
        <v/>
      </c>
      <c r="D623" t="str">
        <f>IF(SUMIFS('Sales Record'!H:H,'Sales Record'!F:F,Sheet4!A623)=0,"",SUMIFS('Sales Record'!H:H,'Sales Record'!F:F,Sheet4!A623))</f>
        <v/>
      </c>
      <c r="E623" t="str">
        <f>IF(SUMIFS('Sales Return'!G:G,'Sales Return'!F:F,Sheet4!A623)=0,"",SUMIFS('Sales Return'!G:G,'Sales Return'!F:F,Sheet4!A623))</f>
        <v/>
      </c>
      <c r="F623" t="str">
        <f>IF(SUMIFS('Purchase Return'!G:G,'Purchase Return'!F:F,Sheet4!A623)=0,"",SUMIFS('Purchase Return'!G:G,'Purchase Return'!F:F,Sheet4!A623))</f>
        <v/>
      </c>
      <c r="G623" t="str">
        <f t="shared" si="9"/>
        <v/>
      </c>
    </row>
    <row r="624" spans="1:7">
      <c r="A624" t="str">
        <f>IF('Product List'!B624="","",'Product List'!B624)</f>
        <v/>
      </c>
      <c r="B624" t="str">
        <f>IF('Product List'!C624="","",'Product List'!C624)</f>
        <v/>
      </c>
      <c r="C624" t="str">
        <f>IF(SUMIFS('Purchase Record'!G:G,'Purchase Record'!F:F,Sheet4!A624)=0,"",SUMIFS('Purchase Record'!G:G,'Purchase Record'!F:F,Sheet4!A624))</f>
        <v/>
      </c>
      <c r="D624" t="str">
        <f>IF(SUMIFS('Sales Record'!H:H,'Sales Record'!F:F,Sheet4!A624)=0,"",SUMIFS('Sales Record'!H:H,'Sales Record'!F:F,Sheet4!A624))</f>
        <v/>
      </c>
      <c r="E624" t="str">
        <f>IF(SUMIFS('Sales Return'!G:G,'Sales Return'!F:F,Sheet4!A624)=0,"",SUMIFS('Sales Return'!G:G,'Sales Return'!F:F,Sheet4!A624))</f>
        <v/>
      </c>
      <c r="F624" t="str">
        <f>IF(SUMIFS('Purchase Return'!G:G,'Purchase Return'!F:F,Sheet4!A624)=0,"",SUMIFS('Purchase Return'!G:G,'Purchase Return'!F:F,Sheet4!A624))</f>
        <v/>
      </c>
      <c r="G624" t="str">
        <f t="shared" si="9"/>
        <v/>
      </c>
    </row>
    <row r="625" spans="1:7">
      <c r="A625" t="str">
        <f>IF('Product List'!B625="","",'Product List'!B625)</f>
        <v/>
      </c>
      <c r="B625" t="str">
        <f>IF('Product List'!C625="","",'Product List'!C625)</f>
        <v/>
      </c>
      <c r="C625" t="str">
        <f>IF(SUMIFS('Purchase Record'!G:G,'Purchase Record'!F:F,Sheet4!A625)=0,"",SUMIFS('Purchase Record'!G:G,'Purchase Record'!F:F,Sheet4!A625))</f>
        <v/>
      </c>
      <c r="D625" t="str">
        <f>IF(SUMIFS('Sales Record'!H:H,'Sales Record'!F:F,Sheet4!A625)=0,"",SUMIFS('Sales Record'!H:H,'Sales Record'!F:F,Sheet4!A625))</f>
        <v/>
      </c>
      <c r="E625" t="str">
        <f>IF(SUMIFS('Sales Return'!G:G,'Sales Return'!F:F,Sheet4!A625)=0,"",SUMIFS('Sales Return'!G:G,'Sales Return'!F:F,Sheet4!A625))</f>
        <v/>
      </c>
      <c r="F625" t="str">
        <f>IF(SUMIFS('Purchase Return'!G:G,'Purchase Return'!F:F,Sheet4!A625)=0,"",SUMIFS('Purchase Return'!G:G,'Purchase Return'!F:F,Sheet4!A625))</f>
        <v/>
      </c>
      <c r="G625" t="str">
        <f t="shared" si="9"/>
        <v/>
      </c>
    </row>
    <row r="626" spans="1:7">
      <c r="A626" t="str">
        <f>IF('Product List'!B626="","",'Product List'!B626)</f>
        <v/>
      </c>
      <c r="B626" t="str">
        <f>IF('Product List'!C626="","",'Product List'!C626)</f>
        <v/>
      </c>
      <c r="C626" t="str">
        <f>IF(SUMIFS('Purchase Record'!G:G,'Purchase Record'!F:F,Sheet4!A626)=0,"",SUMIFS('Purchase Record'!G:G,'Purchase Record'!F:F,Sheet4!A626))</f>
        <v/>
      </c>
      <c r="D626" t="str">
        <f>IF(SUMIFS('Sales Record'!H:H,'Sales Record'!F:F,Sheet4!A626)=0,"",SUMIFS('Sales Record'!H:H,'Sales Record'!F:F,Sheet4!A626))</f>
        <v/>
      </c>
      <c r="E626" t="str">
        <f>IF(SUMIFS('Sales Return'!G:G,'Sales Return'!F:F,Sheet4!A626)=0,"",SUMIFS('Sales Return'!G:G,'Sales Return'!F:F,Sheet4!A626))</f>
        <v/>
      </c>
      <c r="F626" t="str">
        <f>IF(SUMIFS('Purchase Return'!G:G,'Purchase Return'!F:F,Sheet4!A626)=0,"",SUMIFS('Purchase Return'!G:G,'Purchase Return'!F:F,Sheet4!A626))</f>
        <v/>
      </c>
      <c r="G626" t="str">
        <f t="shared" si="9"/>
        <v/>
      </c>
    </row>
    <row r="627" spans="1:7">
      <c r="A627" t="str">
        <f>IF('Product List'!B627="","",'Product List'!B627)</f>
        <v/>
      </c>
      <c r="B627" t="str">
        <f>IF('Product List'!C627="","",'Product List'!C627)</f>
        <v/>
      </c>
      <c r="C627" t="str">
        <f>IF(SUMIFS('Purchase Record'!G:G,'Purchase Record'!F:F,Sheet4!A627)=0,"",SUMIFS('Purchase Record'!G:G,'Purchase Record'!F:F,Sheet4!A627))</f>
        <v/>
      </c>
      <c r="D627" t="str">
        <f>IF(SUMIFS('Sales Record'!H:H,'Sales Record'!F:F,Sheet4!A627)=0,"",SUMIFS('Sales Record'!H:H,'Sales Record'!F:F,Sheet4!A627))</f>
        <v/>
      </c>
      <c r="E627" t="str">
        <f>IF(SUMIFS('Sales Return'!G:G,'Sales Return'!F:F,Sheet4!A627)=0,"",SUMIFS('Sales Return'!G:G,'Sales Return'!F:F,Sheet4!A627))</f>
        <v/>
      </c>
      <c r="F627" t="str">
        <f>IF(SUMIFS('Purchase Return'!G:G,'Purchase Return'!F:F,Sheet4!A627)=0,"",SUMIFS('Purchase Return'!G:G,'Purchase Return'!F:F,Sheet4!A627))</f>
        <v/>
      </c>
      <c r="G627" t="str">
        <f t="shared" si="9"/>
        <v/>
      </c>
    </row>
    <row r="628" spans="1:7">
      <c r="A628" t="str">
        <f>IF('Product List'!B628="","",'Product List'!B628)</f>
        <v/>
      </c>
      <c r="B628" t="str">
        <f>IF('Product List'!C628="","",'Product List'!C628)</f>
        <v/>
      </c>
      <c r="C628" t="str">
        <f>IF(SUMIFS('Purchase Record'!G:G,'Purchase Record'!F:F,Sheet4!A628)=0,"",SUMIFS('Purchase Record'!G:G,'Purchase Record'!F:F,Sheet4!A628))</f>
        <v/>
      </c>
      <c r="D628" t="str">
        <f>IF(SUMIFS('Sales Record'!H:H,'Sales Record'!F:F,Sheet4!A628)=0,"",SUMIFS('Sales Record'!H:H,'Sales Record'!F:F,Sheet4!A628))</f>
        <v/>
      </c>
      <c r="E628" t="str">
        <f>IF(SUMIFS('Sales Return'!G:G,'Sales Return'!F:F,Sheet4!A628)=0,"",SUMIFS('Sales Return'!G:G,'Sales Return'!F:F,Sheet4!A628))</f>
        <v/>
      </c>
      <c r="F628" t="str">
        <f>IF(SUMIFS('Purchase Return'!G:G,'Purchase Return'!F:F,Sheet4!A628)=0,"",SUMIFS('Purchase Return'!G:G,'Purchase Return'!F:F,Sheet4!A628))</f>
        <v/>
      </c>
      <c r="G628" t="str">
        <f t="shared" si="9"/>
        <v/>
      </c>
    </row>
    <row r="629" spans="1:7">
      <c r="A629" t="str">
        <f>IF('Product List'!B629="","",'Product List'!B629)</f>
        <v/>
      </c>
      <c r="B629" t="str">
        <f>IF('Product List'!C629="","",'Product List'!C629)</f>
        <v/>
      </c>
      <c r="C629" t="str">
        <f>IF(SUMIFS('Purchase Record'!G:G,'Purchase Record'!F:F,Sheet4!A629)=0,"",SUMIFS('Purchase Record'!G:G,'Purchase Record'!F:F,Sheet4!A629))</f>
        <v/>
      </c>
      <c r="D629" t="str">
        <f>IF(SUMIFS('Sales Record'!H:H,'Sales Record'!F:F,Sheet4!A629)=0,"",SUMIFS('Sales Record'!H:H,'Sales Record'!F:F,Sheet4!A629))</f>
        <v/>
      </c>
      <c r="E629" t="str">
        <f>IF(SUMIFS('Sales Return'!G:G,'Sales Return'!F:F,Sheet4!A629)=0,"",SUMIFS('Sales Return'!G:G,'Sales Return'!F:F,Sheet4!A629))</f>
        <v/>
      </c>
      <c r="F629" t="str">
        <f>IF(SUMIFS('Purchase Return'!G:G,'Purchase Return'!F:F,Sheet4!A629)=0,"",SUMIFS('Purchase Return'!G:G,'Purchase Return'!F:F,Sheet4!A629))</f>
        <v/>
      </c>
      <c r="G629" t="str">
        <f t="shared" si="9"/>
        <v/>
      </c>
    </row>
    <row r="630" spans="1:7">
      <c r="A630" t="str">
        <f>IF('Product List'!B630="","",'Product List'!B630)</f>
        <v/>
      </c>
      <c r="B630" t="str">
        <f>IF('Product List'!C630="","",'Product List'!C630)</f>
        <v/>
      </c>
      <c r="C630" t="str">
        <f>IF(SUMIFS('Purchase Record'!G:G,'Purchase Record'!F:F,Sheet4!A630)=0,"",SUMIFS('Purchase Record'!G:G,'Purchase Record'!F:F,Sheet4!A630))</f>
        <v/>
      </c>
      <c r="D630" t="str">
        <f>IF(SUMIFS('Sales Record'!H:H,'Sales Record'!F:F,Sheet4!A630)=0,"",SUMIFS('Sales Record'!H:H,'Sales Record'!F:F,Sheet4!A630))</f>
        <v/>
      </c>
      <c r="E630" t="str">
        <f>IF(SUMIFS('Sales Return'!G:G,'Sales Return'!F:F,Sheet4!A630)=0,"",SUMIFS('Sales Return'!G:G,'Sales Return'!F:F,Sheet4!A630))</f>
        <v/>
      </c>
      <c r="F630" t="str">
        <f>IF(SUMIFS('Purchase Return'!G:G,'Purchase Return'!F:F,Sheet4!A630)=0,"",SUMIFS('Purchase Return'!G:G,'Purchase Return'!F:F,Sheet4!A630))</f>
        <v/>
      </c>
      <c r="G630" t="str">
        <f t="shared" si="9"/>
        <v/>
      </c>
    </row>
    <row r="631" spans="1:7">
      <c r="A631" t="str">
        <f>IF('Product List'!B631="","",'Product List'!B631)</f>
        <v/>
      </c>
      <c r="B631" t="str">
        <f>IF('Product List'!C631="","",'Product List'!C631)</f>
        <v/>
      </c>
      <c r="C631" t="str">
        <f>IF(SUMIFS('Purchase Record'!G:G,'Purchase Record'!F:F,Sheet4!A631)=0,"",SUMIFS('Purchase Record'!G:G,'Purchase Record'!F:F,Sheet4!A631))</f>
        <v/>
      </c>
      <c r="D631" t="str">
        <f>IF(SUMIFS('Sales Record'!H:H,'Sales Record'!F:F,Sheet4!A631)=0,"",SUMIFS('Sales Record'!H:H,'Sales Record'!F:F,Sheet4!A631))</f>
        <v/>
      </c>
      <c r="E631" t="str">
        <f>IF(SUMIFS('Sales Return'!G:G,'Sales Return'!F:F,Sheet4!A631)=0,"",SUMIFS('Sales Return'!G:G,'Sales Return'!F:F,Sheet4!A631))</f>
        <v/>
      </c>
      <c r="F631" t="str">
        <f>IF(SUMIFS('Purchase Return'!G:G,'Purchase Return'!F:F,Sheet4!A631)=0,"",SUMIFS('Purchase Return'!G:G,'Purchase Return'!F:F,Sheet4!A631))</f>
        <v/>
      </c>
      <c r="G631" t="str">
        <f t="shared" si="9"/>
        <v/>
      </c>
    </row>
    <row r="632" spans="1:7">
      <c r="A632" t="str">
        <f>IF('Product List'!B632="","",'Product List'!B632)</f>
        <v/>
      </c>
      <c r="B632" t="str">
        <f>IF('Product List'!C632="","",'Product List'!C632)</f>
        <v/>
      </c>
      <c r="C632" t="str">
        <f>IF(SUMIFS('Purchase Record'!G:G,'Purchase Record'!F:F,Sheet4!A632)=0,"",SUMIFS('Purchase Record'!G:G,'Purchase Record'!F:F,Sheet4!A632))</f>
        <v/>
      </c>
      <c r="D632" t="str">
        <f>IF(SUMIFS('Sales Record'!H:H,'Sales Record'!F:F,Sheet4!A632)=0,"",SUMIFS('Sales Record'!H:H,'Sales Record'!F:F,Sheet4!A632))</f>
        <v/>
      </c>
      <c r="E632" t="str">
        <f>IF(SUMIFS('Sales Return'!G:G,'Sales Return'!F:F,Sheet4!A632)=0,"",SUMIFS('Sales Return'!G:G,'Sales Return'!F:F,Sheet4!A632))</f>
        <v/>
      </c>
      <c r="F632" t="str">
        <f>IF(SUMIFS('Purchase Return'!G:G,'Purchase Return'!F:F,Sheet4!A632)=0,"",SUMIFS('Purchase Return'!G:G,'Purchase Return'!F:F,Sheet4!A632))</f>
        <v/>
      </c>
      <c r="G632" t="str">
        <f t="shared" si="9"/>
        <v/>
      </c>
    </row>
    <row r="633" spans="1:7">
      <c r="A633" t="str">
        <f>IF('Product List'!B633="","",'Product List'!B633)</f>
        <v/>
      </c>
      <c r="B633" t="str">
        <f>IF('Product List'!C633="","",'Product List'!C633)</f>
        <v/>
      </c>
      <c r="C633" t="str">
        <f>IF(SUMIFS('Purchase Record'!G:G,'Purchase Record'!F:F,Sheet4!A633)=0,"",SUMIFS('Purchase Record'!G:G,'Purchase Record'!F:F,Sheet4!A633))</f>
        <v/>
      </c>
      <c r="D633" t="str">
        <f>IF(SUMIFS('Sales Record'!H:H,'Sales Record'!F:F,Sheet4!A633)=0,"",SUMIFS('Sales Record'!H:H,'Sales Record'!F:F,Sheet4!A633))</f>
        <v/>
      </c>
      <c r="E633" t="str">
        <f>IF(SUMIFS('Sales Return'!G:G,'Sales Return'!F:F,Sheet4!A633)=0,"",SUMIFS('Sales Return'!G:G,'Sales Return'!F:F,Sheet4!A633))</f>
        <v/>
      </c>
      <c r="F633" t="str">
        <f>IF(SUMIFS('Purchase Return'!G:G,'Purchase Return'!F:F,Sheet4!A633)=0,"",SUMIFS('Purchase Return'!G:G,'Purchase Return'!F:F,Sheet4!A633))</f>
        <v/>
      </c>
      <c r="G633" t="str">
        <f t="shared" si="9"/>
        <v/>
      </c>
    </row>
    <row r="634" spans="1:7">
      <c r="A634" t="str">
        <f>IF('Product List'!B634="","",'Product List'!B634)</f>
        <v/>
      </c>
      <c r="B634" t="str">
        <f>IF('Product List'!C634="","",'Product List'!C634)</f>
        <v/>
      </c>
      <c r="C634" t="str">
        <f>IF(SUMIFS('Purchase Record'!G:G,'Purchase Record'!F:F,Sheet4!A634)=0,"",SUMIFS('Purchase Record'!G:G,'Purchase Record'!F:F,Sheet4!A634))</f>
        <v/>
      </c>
      <c r="D634" t="str">
        <f>IF(SUMIFS('Sales Record'!H:H,'Sales Record'!F:F,Sheet4!A634)=0,"",SUMIFS('Sales Record'!H:H,'Sales Record'!F:F,Sheet4!A634))</f>
        <v/>
      </c>
      <c r="E634" t="str">
        <f>IF(SUMIFS('Sales Return'!G:G,'Sales Return'!F:F,Sheet4!A634)=0,"",SUMIFS('Sales Return'!G:G,'Sales Return'!F:F,Sheet4!A634))</f>
        <v/>
      </c>
      <c r="F634" t="str">
        <f>IF(SUMIFS('Purchase Return'!G:G,'Purchase Return'!F:F,Sheet4!A634)=0,"",SUMIFS('Purchase Return'!G:G,'Purchase Return'!F:F,Sheet4!A634))</f>
        <v/>
      </c>
      <c r="G634" t="str">
        <f t="shared" si="9"/>
        <v/>
      </c>
    </row>
    <row r="635" spans="1:7">
      <c r="A635" t="str">
        <f>IF('Product List'!B635="","",'Product List'!B635)</f>
        <v/>
      </c>
      <c r="B635" t="str">
        <f>IF('Product List'!C635="","",'Product List'!C635)</f>
        <v/>
      </c>
      <c r="C635" t="str">
        <f>IF(SUMIFS('Purchase Record'!G:G,'Purchase Record'!F:F,Sheet4!A635)=0,"",SUMIFS('Purchase Record'!G:G,'Purchase Record'!F:F,Sheet4!A635))</f>
        <v/>
      </c>
      <c r="D635" t="str">
        <f>IF(SUMIFS('Sales Record'!H:H,'Sales Record'!F:F,Sheet4!A635)=0,"",SUMIFS('Sales Record'!H:H,'Sales Record'!F:F,Sheet4!A635))</f>
        <v/>
      </c>
      <c r="E635" t="str">
        <f>IF(SUMIFS('Sales Return'!G:G,'Sales Return'!F:F,Sheet4!A635)=0,"",SUMIFS('Sales Return'!G:G,'Sales Return'!F:F,Sheet4!A635))</f>
        <v/>
      </c>
      <c r="F635" t="str">
        <f>IF(SUMIFS('Purchase Return'!G:G,'Purchase Return'!F:F,Sheet4!A635)=0,"",SUMIFS('Purchase Return'!G:G,'Purchase Return'!F:F,Sheet4!A635))</f>
        <v/>
      </c>
      <c r="G635" t="str">
        <f t="shared" si="9"/>
        <v/>
      </c>
    </row>
    <row r="636" spans="1:7">
      <c r="A636" t="str">
        <f>IF('Product List'!B636="","",'Product List'!B636)</f>
        <v/>
      </c>
      <c r="B636" t="str">
        <f>IF('Product List'!C636="","",'Product List'!C636)</f>
        <v/>
      </c>
      <c r="C636" t="str">
        <f>IF(SUMIFS('Purchase Record'!G:G,'Purchase Record'!F:F,Sheet4!A636)=0,"",SUMIFS('Purchase Record'!G:G,'Purchase Record'!F:F,Sheet4!A636))</f>
        <v/>
      </c>
      <c r="D636" t="str">
        <f>IF(SUMIFS('Sales Record'!H:H,'Sales Record'!F:F,Sheet4!A636)=0,"",SUMIFS('Sales Record'!H:H,'Sales Record'!F:F,Sheet4!A636))</f>
        <v/>
      </c>
      <c r="E636" t="str">
        <f>IF(SUMIFS('Sales Return'!G:G,'Sales Return'!F:F,Sheet4!A636)=0,"",SUMIFS('Sales Return'!G:G,'Sales Return'!F:F,Sheet4!A636))</f>
        <v/>
      </c>
      <c r="F636" t="str">
        <f>IF(SUMIFS('Purchase Return'!G:G,'Purchase Return'!F:F,Sheet4!A636)=0,"",SUMIFS('Purchase Return'!G:G,'Purchase Return'!F:F,Sheet4!A636))</f>
        <v/>
      </c>
      <c r="G636" t="str">
        <f t="shared" si="9"/>
        <v/>
      </c>
    </row>
    <row r="637" spans="1:7">
      <c r="A637" t="str">
        <f>IF('Product List'!B637="","",'Product List'!B637)</f>
        <v/>
      </c>
      <c r="B637" t="str">
        <f>IF('Product List'!C637="","",'Product List'!C637)</f>
        <v/>
      </c>
      <c r="C637" t="str">
        <f>IF(SUMIFS('Purchase Record'!G:G,'Purchase Record'!F:F,Sheet4!A637)=0,"",SUMIFS('Purchase Record'!G:G,'Purchase Record'!F:F,Sheet4!A637))</f>
        <v/>
      </c>
      <c r="D637" t="str">
        <f>IF(SUMIFS('Sales Record'!H:H,'Sales Record'!F:F,Sheet4!A637)=0,"",SUMIFS('Sales Record'!H:H,'Sales Record'!F:F,Sheet4!A637))</f>
        <v/>
      </c>
      <c r="E637" t="str">
        <f>IF(SUMIFS('Sales Return'!G:G,'Sales Return'!F:F,Sheet4!A637)=0,"",SUMIFS('Sales Return'!G:G,'Sales Return'!F:F,Sheet4!A637))</f>
        <v/>
      </c>
      <c r="F637" t="str">
        <f>IF(SUMIFS('Purchase Return'!G:G,'Purchase Return'!F:F,Sheet4!A637)=0,"",SUMIFS('Purchase Return'!G:G,'Purchase Return'!F:F,Sheet4!A637))</f>
        <v/>
      </c>
      <c r="G637" t="str">
        <f t="shared" si="9"/>
        <v/>
      </c>
    </row>
    <row r="638" spans="1:7">
      <c r="A638" t="str">
        <f>IF('Product List'!B638="","",'Product List'!B638)</f>
        <v/>
      </c>
      <c r="B638" t="str">
        <f>IF('Product List'!C638="","",'Product List'!C638)</f>
        <v/>
      </c>
      <c r="C638" t="str">
        <f>IF(SUMIFS('Purchase Record'!G:G,'Purchase Record'!F:F,Sheet4!A638)=0,"",SUMIFS('Purchase Record'!G:G,'Purchase Record'!F:F,Sheet4!A638))</f>
        <v/>
      </c>
      <c r="D638" t="str">
        <f>IF(SUMIFS('Sales Record'!H:H,'Sales Record'!F:F,Sheet4!A638)=0,"",SUMIFS('Sales Record'!H:H,'Sales Record'!F:F,Sheet4!A638))</f>
        <v/>
      </c>
      <c r="E638" t="str">
        <f>IF(SUMIFS('Sales Return'!G:G,'Sales Return'!F:F,Sheet4!A638)=0,"",SUMIFS('Sales Return'!G:G,'Sales Return'!F:F,Sheet4!A638))</f>
        <v/>
      </c>
      <c r="F638" t="str">
        <f>IF(SUMIFS('Purchase Return'!G:G,'Purchase Return'!F:F,Sheet4!A638)=0,"",SUMIFS('Purchase Return'!G:G,'Purchase Return'!F:F,Sheet4!A638))</f>
        <v/>
      </c>
      <c r="G638" t="str">
        <f t="shared" si="9"/>
        <v/>
      </c>
    </row>
    <row r="639" spans="1:7">
      <c r="A639" t="str">
        <f>IF('Product List'!B639="","",'Product List'!B639)</f>
        <v/>
      </c>
      <c r="B639" t="str">
        <f>IF('Product List'!C639="","",'Product List'!C639)</f>
        <v/>
      </c>
      <c r="C639" t="str">
        <f>IF(SUMIFS('Purchase Record'!G:G,'Purchase Record'!F:F,Sheet4!A639)=0,"",SUMIFS('Purchase Record'!G:G,'Purchase Record'!F:F,Sheet4!A639))</f>
        <v/>
      </c>
      <c r="D639" t="str">
        <f>IF(SUMIFS('Sales Record'!H:H,'Sales Record'!F:F,Sheet4!A639)=0,"",SUMIFS('Sales Record'!H:H,'Sales Record'!F:F,Sheet4!A639))</f>
        <v/>
      </c>
      <c r="E639" t="str">
        <f>IF(SUMIFS('Sales Return'!G:G,'Sales Return'!F:F,Sheet4!A639)=0,"",SUMIFS('Sales Return'!G:G,'Sales Return'!F:F,Sheet4!A639))</f>
        <v/>
      </c>
      <c r="F639" t="str">
        <f>IF(SUMIFS('Purchase Return'!G:G,'Purchase Return'!F:F,Sheet4!A639)=0,"",SUMIFS('Purchase Return'!G:G,'Purchase Return'!F:F,Sheet4!A639))</f>
        <v/>
      </c>
      <c r="G639" t="str">
        <f t="shared" si="9"/>
        <v/>
      </c>
    </row>
    <row r="640" spans="1:7">
      <c r="A640" t="str">
        <f>IF('Product List'!B640="","",'Product List'!B640)</f>
        <v/>
      </c>
      <c r="B640" t="str">
        <f>IF('Product List'!C640="","",'Product List'!C640)</f>
        <v/>
      </c>
      <c r="C640" t="str">
        <f>IF(SUMIFS('Purchase Record'!G:G,'Purchase Record'!F:F,Sheet4!A640)=0,"",SUMIFS('Purchase Record'!G:G,'Purchase Record'!F:F,Sheet4!A640))</f>
        <v/>
      </c>
      <c r="D640" t="str">
        <f>IF(SUMIFS('Sales Record'!H:H,'Sales Record'!F:F,Sheet4!A640)=0,"",SUMIFS('Sales Record'!H:H,'Sales Record'!F:F,Sheet4!A640))</f>
        <v/>
      </c>
      <c r="E640" t="str">
        <f>IF(SUMIFS('Sales Return'!G:G,'Sales Return'!F:F,Sheet4!A640)=0,"",SUMIFS('Sales Return'!G:G,'Sales Return'!F:F,Sheet4!A640))</f>
        <v/>
      </c>
      <c r="F640" t="str">
        <f>IF(SUMIFS('Purchase Return'!G:G,'Purchase Return'!F:F,Sheet4!A640)=0,"",SUMIFS('Purchase Return'!G:G,'Purchase Return'!F:F,Sheet4!A640))</f>
        <v/>
      </c>
      <c r="G640" t="str">
        <f t="shared" si="9"/>
        <v/>
      </c>
    </row>
    <row r="641" spans="1:7">
      <c r="A641" t="str">
        <f>IF('Product List'!B641="","",'Product List'!B641)</f>
        <v/>
      </c>
      <c r="B641" t="str">
        <f>IF('Product List'!C641="","",'Product List'!C641)</f>
        <v/>
      </c>
      <c r="C641" t="str">
        <f>IF(SUMIFS('Purchase Record'!G:G,'Purchase Record'!F:F,Sheet4!A641)=0,"",SUMIFS('Purchase Record'!G:G,'Purchase Record'!F:F,Sheet4!A641))</f>
        <v/>
      </c>
      <c r="D641" t="str">
        <f>IF(SUMIFS('Sales Record'!H:H,'Sales Record'!F:F,Sheet4!A641)=0,"",SUMIFS('Sales Record'!H:H,'Sales Record'!F:F,Sheet4!A641))</f>
        <v/>
      </c>
      <c r="E641" t="str">
        <f>IF(SUMIFS('Sales Return'!G:G,'Sales Return'!F:F,Sheet4!A641)=0,"",SUMIFS('Sales Return'!G:G,'Sales Return'!F:F,Sheet4!A641))</f>
        <v/>
      </c>
      <c r="F641" t="str">
        <f>IF(SUMIFS('Purchase Return'!G:G,'Purchase Return'!F:F,Sheet4!A641)=0,"",SUMIFS('Purchase Return'!G:G,'Purchase Return'!F:F,Sheet4!A641))</f>
        <v/>
      </c>
      <c r="G641" t="str">
        <f t="shared" si="9"/>
        <v/>
      </c>
    </row>
    <row r="642" spans="1:7">
      <c r="A642" t="str">
        <f>IF('Product List'!B642="","",'Product List'!B642)</f>
        <v/>
      </c>
      <c r="B642" t="str">
        <f>IF('Product List'!C642="","",'Product List'!C642)</f>
        <v/>
      </c>
      <c r="C642" t="str">
        <f>IF(SUMIFS('Purchase Record'!G:G,'Purchase Record'!F:F,Sheet4!A642)=0,"",SUMIFS('Purchase Record'!G:G,'Purchase Record'!F:F,Sheet4!A642))</f>
        <v/>
      </c>
      <c r="D642" t="str">
        <f>IF(SUMIFS('Sales Record'!H:H,'Sales Record'!F:F,Sheet4!A642)=0,"",SUMIFS('Sales Record'!H:H,'Sales Record'!F:F,Sheet4!A642))</f>
        <v/>
      </c>
      <c r="E642" t="str">
        <f>IF(SUMIFS('Sales Return'!G:G,'Sales Return'!F:F,Sheet4!A642)=0,"",SUMIFS('Sales Return'!G:G,'Sales Return'!F:F,Sheet4!A642))</f>
        <v/>
      </c>
      <c r="F642" t="str">
        <f>IF(SUMIFS('Purchase Return'!G:G,'Purchase Return'!F:F,Sheet4!A642)=0,"",SUMIFS('Purchase Return'!G:G,'Purchase Return'!F:F,Sheet4!A642))</f>
        <v/>
      </c>
      <c r="G642" t="str">
        <f t="shared" si="9"/>
        <v/>
      </c>
    </row>
    <row r="643" spans="1:7">
      <c r="A643" t="str">
        <f>IF('Product List'!B643="","",'Product List'!B643)</f>
        <v/>
      </c>
      <c r="B643" t="str">
        <f>IF('Product List'!C643="","",'Product List'!C643)</f>
        <v/>
      </c>
      <c r="C643" t="str">
        <f>IF(SUMIFS('Purchase Record'!G:G,'Purchase Record'!F:F,Sheet4!A643)=0,"",SUMIFS('Purchase Record'!G:G,'Purchase Record'!F:F,Sheet4!A643))</f>
        <v/>
      </c>
      <c r="D643" t="str">
        <f>IF(SUMIFS('Sales Record'!H:H,'Sales Record'!F:F,Sheet4!A643)=0,"",SUMIFS('Sales Record'!H:H,'Sales Record'!F:F,Sheet4!A643))</f>
        <v/>
      </c>
      <c r="E643" t="str">
        <f>IF(SUMIFS('Sales Return'!G:G,'Sales Return'!F:F,Sheet4!A643)=0,"",SUMIFS('Sales Return'!G:G,'Sales Return'!F:F,Sheet4!A643))</f>
        <v/>
      </c>
      <c r="F643" t="str">
        <f>IF(SUMIFS('Purchase Return'!G:G,'Purchase Return'!F:F,Sheet4!A643)=0,"",SUMIFS('Purchase Return'!G:G,'Purchase Return'!F:F,Sheet4!A643))</f>
        <v/>
      </c>
      <c r="G643" t="str">
        <f t="shared" ref="G643:G706" si="10">IF(C643="","",N(C643)-N(D643)+N(E643)-N(F643))</f>
        <v/>
      </c>
    </row>
    <row r="644" spans="1:7">
      <c r="A644" t="str">
        <f>IF('Product List'!B644="","",'Product List'!B644)</f>
        <v/>
      </c>
      <c r="B644" t="str">
        <f>IF('Product List'!C644="","",'Product List'!C644)</f>
        <v/>
      </c>
      <c r="C644" t="str">
        <f>IF(SUMIFS('Purchase Record'!G:G,'Purchase Record'!F:F,Sheet4!A644)=0,"",SUMIFS('Purchase Record'!G:G,'Purchase Record'!F:F,Sheet4!A644))</f>
        <v/>
      </c>
      <c r="D644" t="str">
        <f>IF(SUMIFS('Sales Record'!H:H,'Sales Record'!F:F,Sheet4!A644)=0,"",SUMIFS('Sales Record'!H:H,'Sales Record'!F:F,Sheet4!A644))</f>
        <v/>
      </c>
      <c r="E644" t="str">
        <f>IF(SUMIFS('Sales Return'!G:G,'Sales Return'!F:F,Sheet4!A644)=0,"",SUMIFS('Sales Return'!G:G,'Sales Return'!F:F,Sheet4!A644))</f>
        <v/>
      </c>
      <c r="F644" t="str">
        <f>IF(SUMIFS('Purchase Return'!G:G,'Purchase Return'!F:F,Sheet4!A644)=0,"",SUMIFS('Purchase Return'!G:G,'Purchase Return'!F:F,Sheet4!A644))</f>
        <v/>
      </c>
      <c r="G644" t="str">
        <f t="shared" si="10"/>
        <v/>
      </c>
    </row>
    <row r="645" spans="1:7">
      <c r="A645" t="str">
        <f>IF('Product List'!B645="","",'Product List'!B645)</f>
        <v/>
      </c>
      <c r="B645" t="str">
        <f>IF('Product List'!C645="","",'Product List'!C645)</f>
        <v/>
      </c>
      <c r="C645" t="str">
        <f>IF(SUMIFS('Purchase Record'!G:G,'Purchase Record'!F:F,Sheet4!A645)=0,"",SUMIFS('Purchase Record'!G:G,'Purchase Record'!F:F,Sheet4!A645))</f>
        <v/>
      </c>
      <c r="D645" t="str">
        <f>IF(SUMIFS('Sales Record'!H:H,'Sales Record'!F:F,Sheet4!A645)=0,"",SUMIFS('Sales Record'!H:H,'Sales Record'!F:F,Sheet4!A645))</f>
        <v/>
      </c>
      <c r="E645" t="str">
        <f>IF(SUMIFS('Sales Return'!G:G,'Sales Return'!F:F,Sheet4!A645)=0,"",SUMIFS('Sales Return'!G:G,'Sales Return'!F:F,Sheet4!A645))</f>
        <v/>
      </c>
      <c r="F645" t="str">
        <f>IF(SUMIFS('Purchase Return'!G:G,'Purchase Return'!F:F,Sheet4!A645)=0,"",SUMIFS('Purchase Return'!G:G,'Purchase Return'!F:F,Sheet4!A645))</f>
        <v/>
      </c>
      <c r="G645" t="str">
        <f t="shared" si="10"/>
        <v/>
      </c>
    </row>
    <row r="646" spans="1:7">
      <c r="A646" t="str">
        <f>IF('Product List'!B646="","",'Product List'!B646)</f>
        <v/>
      </c>
      <c r="B646" t="str">
        <f>IF('Product List'!C646="","",'Product List'!C646)</f>
        <v/>
      </c>
      <c r="C646" t="str">
        <f>IF(SUMIFS('Purchase Record'!G:G,'Purchase Record'!F:F,Sheet4!A646)=0,"",SUMIFS('Purchase Record'!G:G,'Purchase Record'!F:F,Sheet4!A646))</f>
        <v/>
      </c>
      <c r="D646" t="str">
        <f>IF(SUMIFS('Sales Record'!H:H,'Sales Record'!F:F,Sheet4!A646)=0,"",SUMIFS('Sales Record'!H:H,'Sales Record'!F:F,Sheet4!A646))</f>
        <v/>
      </c>
      <c r="E646" t="str">
        <f>IF(SUMIFS('Sales Return'!G:G,'Sales Return'!F:F,Sheet4!A646)=0,"",SUMIFS('Sales Return'!G:G,'Sales Return'!F:F,Sheet4!A646))</f>
        <v/>
      </c>
      <c r="F646" t="str">
        <f>IF(SUMIFS('Purchase Return'!G:G,'Purchase Return'!F:F,Sheet4!A646)=0,"",SUMIFS('Purchase Return'!G:G,'Purchase Return'!F:F,Sheet4!A646))</f>
        <v/>
      </c>
      <c r="G646" t="str">
        <f t="shared" si="10"/>
        <v/>
      </c>
    </row>
    <row r="647" spans="1:7">
      <c r="A647" t="str">
        <f>IF('Product List'!B647="","",'Product List'!B647)</f>
        <v/>
      </c>
      <c r="B647" t="str">
        <f>IF('Product List'!C647="","",'Product List'!C647)</f>
        <v/>
      </c>
      <c r="C647" t="str">
        <f>IF(SUMIFS('Purchase Record'!G:G,'Purchase Record'!F:F,Sheet4!A647)=0,"",SUMIFS('Purchase Record'!G:G,'Purchase Record'!F:F,Sheet4!A647))</f>
        <v/>
      </c>
      <c r="D647" t="str">
        <f>IF(SUMIFS('Sales Record'!H:H,'Sales Record'!F:F,Sheet4!A647)=0,"",SUMIFS('Sales Record'!H:H,'Sales Record'!F:F,Sheet4!A647))</f>
        <v/>
      </c>
      <c r="E647" t="str">
        <f>IF(SUMIFS('Sales Return'!G:G,'Sales Return'!F:F,Sheet4!A647)=0,"",SUMIFS('Sales Return'!G:G,'Sales Return'!F:F,Sheet4!A647))</f>
        <v/>
      </c>
      <c r="F647" t="str">
        <f>IF(SUMIFS('Purchase Return'!G:G,'Purchase Return'!F:F,Sheet4!A647)=0,"",SUMIFS('Purchase Return'!G:G,'Purchase Return'!F:F,Sheet4!A647))</f>
        <v/>
      </c>
      <c r="G647" t="str">
        <f t="shared" si="10"/>
        <v/>
      </c>
    </row>
    <row r="648" spans="1:7">
      <c r="A648" t="str">
        <f>IF('Product List'!B648="","",'Product List'!B648)</f>
        <v/>
      </c>
      <c r="B648" t="str">
        <f>IF('Product List'!C648="","",'Product List'!C648)</f>
        <v/>
      </c>
      <c r="C648" t="str">
        <f>IF(SUMIFS('Purchase Record'!G:G,'Purchase Record'!F:F,Sheet4!A648)=0,"",SUMIFS('Purchase Record'!G:G,'Purchase Record'!F:F,Sheet4!A648))</f>
        <v/>
      </c>
      <c r="D648" t="str">
        <f>IF(SUMIFS('Sales Record'!H:H,'Sales Record'!F:F,Sheet4!A648)=0,"",SUMIFS('Sales Record'!H:H,'Sales Record'!F:F,Sheet4!A648))</f>
        <v/>
      </c>
      <c r="E648" t="str">
        <f>IF(SUMIFS('Sales Return'!G:G,'Sales Return'!F:F,Sheet4!A648)=0,"",SUMIFS('Sales Return'!G:G,'Sales Return'!F:F,Sheet4!A648))</f>
        <v/>
      </c>
      <c r="F648" t="str">
        <f>IF(SUMIFS('Purchase Return'!G:G,'Purchase Return'!F:F,Sheet4!A648)=0,"",SUMIFS('Purchase Return'!G:G,'Purchase Return'!F:F,Sheet4!A648))</f>
        <v/>
      </c>
      <c r="G648" t="str">
        <f t="shared" si="10"/>
        <v/>
      </c>
    </row>
    <row r="649" spans="1:7">
      <c r="A649" t="str">
        <f>IF('Product List'!B649="","",'Product List'!B649)</f>
        <v/>
      </c>
      <c r="B649" t="str">
        <f>IF('Product List'!C649="","",'Product List'!C649)</f>
        <v/>
      </c>
      <c r="C649" t="str">
        <f>IF(SUMIFS('Purchase Record'!G:G,'Purchase Record'!F:F,Sheet4!A649)=0,"",SUMIFS('Purchase Record'!G:G,'Purchase Record'!F:F,Sheet4!A649))</f>
        <v/>
      </c>
      <c r="D649" t="str">
        <f>IF(SUMIFS('Sales Record'!H:H,'Sales Record'!F:F,Sheet4!A649)=0,"",SUMIFS('Sales Record'!H:H,'Sales Record'!F:F,Sheet4!A649))</f>
        <v/>
      </c>
      <c r="E649" t="str">
        <f>IF(SUMIFS('Sales Return'!G:G,'Sales Return'!F:F,Sheet4!A649)=0,"",SUMIFS('Sales Return'!G:G,'Sales Return'!F:F,Sheet4!A649))</f>
        <v/>
      </c>
      <c r="F649" t="str">
        <f>IF(SUMIFS('Purchase Return'!G:G,'Purchase Return'!F:F,Sheet4!A649)=0,"",SUMIFS('Purchase Return'!G:G,'Purchase Return'!F:F,Sheet4!A649))</f>
        <v/>
      </c>
      <c r="G649" t="str">
        <f t="shared" si="10"/>
        <v/>
      </c>
    </row>
    <row r="650" spans="1:7">
      <c r="A650" t="str">
        <f>IF('Product List'!B650="","",'Product List'!B650)</f>
        <v/>
      </c>
      <c r="B650" t="str">
        <f>IF('Product List'!C650="","",'Product List'!C650)</f>
        <v/>
      </c>
      <c r="C650" t="str">
        <f>IF(SUMIFS('Purchase Record'!G:G,'Purchase Record'!F:F,Sheet4!A650)=0,"",SUMIFS('Purchase Record'!G:G,'Purchase Record'!F:F,Sheet4!A650))</f>
        <v/>
      </c>
      <c r="D650" t="str">
        <f>IF(SUMIFS('Sales Record'!H:H,'Sales Record'!F:F,Sheet4!A650)=0,"",SUMIFS('Sales Record'!H:H,'Sales Record'!F:F,Sheet4!A650))</f>
        <v/>
      </c>
      <c r="E650" t="str">
        <f>IF(SUMIFS('Sales Return'!G:G,'Sales Return'!F:F,Sheet4!A650)=0,"",SUMIFS('Sales Return'!G:G,'Sales Return'!F:F,Sheet4!A650))</f>
        <v/>
      </c>
      <c r="F650" t="str">
        <f>IF(SUMIFS('Purchase Return'!G:G,'Purchase Return'!F:F,Sheet4!A650)=0,"",SUMIFS('Purchase Return'!G:G,'Purchase Return'!F:F,Sheet4!A650))</f>
        <v/>
      </c>
      <c r="G650" t="str">
        <f t="shared" si="10"/>
        <v/>
      </c>
    </row>
    <row r="651" spans="1:7">
      <c r="A651" t="str">
        <f>IF('Product List'!B651="","",'Product List'!B651)</f>
        <v/>
      </c>
      <c r="B651" t="str">
        <f>IF('Product List'!C651="","",'Product List'!C651)</f>
        <v/>
      </c>
      <c r="C651" t="str">
        <f>IF(SUMIFS('Purchase Record'!G:G,'Purchase Record'!F:F,Sheet4!A651)=0,"",SUMIFS('Purchase Record'!G:G,'Purchase Record'!F:F,Sheet4!A651))</f>
        <v/>
      </c>
      <c r="D651" t="str">
        <f>IF(SUMIFS('Sales Record'!H:H,'Sales Record'!F:F,Sheet4!A651)=0,"",SUMIFS('Sales Record'!H:H,'Sales Record'!F:F,Sheet4!A651))</f>
        <v/>
      </c>
      <c r="E651" t="str">
        <f>IF(SUMIFS('Sales Return'!G:G,'Sales Return'!F:F,Sheet4!A651)=0,"",SUMIFS('Sales Return'!G:G,'Sales Return'!F:F,Sheet4!A651))</f>
        <v/>
      </c>
      <c r="F651" t="str">
        <f>IF(SUMIFS('Purchase Return'!G:G,'Purchase Return'!F:F,Sheet4!A651)=0,"",SUMIFS('Purchase Return'!G:G,'Purchase Return'!F:F,Sheet4!A651))</f>
        <v/>
      </c>
      <c r="G651" t="str">
        <f t="shared" si="10"/>
        <v/>
      </c>
    </row>
    <row r="652" spans="1:7">
      <c r="A652" t="str">
        <f>IF('Product List'!B652="","",'Product List'!B652)</f>
        <v/>
      </c>
      <c r="B652" t="str">
        <f>IF('Product List'!C652="","",'Product List'!C652)</f>
        <v/>
      </c>
      <c r="C652" t="str">
        <f>IF(SUMIFS('Purchase Record'!G:G,'Purchase Record'!F:F,Sheet4!A652)=0,"",SUMIFS('Purchase Record'!G:G,'Purchase Record'!F:F,Sheet4!A652))</f>
        <v/>
      </c>
      <c r="D652" t="str">
        <f>IF(SUMIFS('Sales Record'!H:H,'Sales Record'!F:F,Sheet4!A652)=0,"",SUMIFS('Sales Record'!H:H,'Sales Record'!F:F,Sheet4!A652))</f>
        <v/>
      </c>
      <c r="E652" t="str">
        <f>IF(SUMIFS('Sales Return'!G:G,'Sales Return'!F:F,Sheet4!A652)=0,"",SUMIFS('Sales Return'!G:G,'Sales Return'!F:F,Sheet4!A652))</f>
        <v/>
      </c>
      <c r="F652" t="str">
        <f>IF(SUMIFS('Purchase Return'!G:G,'Purchase Return'!F:F,Sheet4!A652)=0,"",SUMIFS('Purchase Return'!G:G,'Purchase Return'!F:F,Sheet4!A652))</f>
        <v/>
      </c>
      <c r="G652" t="str">
        <f t="shared" si="10"/>
        <v/>
      </c>
    </row>
    <row r="653" spans="1:7">
      <c r="A653" t="str">
        <f>IF('Product List'!B653="","",'Product List'!B653)</f>
        <v/>
      </c>
      <c r="B653" t="str">
        <f>IF('Product List'!C653="","",'Product List'!C653)</f>
        <v/>
      </c>
      <c r="C653" t="str">
        <f>IF(SUMIFS('Purchase Record'!G:G,'Purchase Record'!F:F,Sheet4!A653)=0,"",SUMIFS('Purchase Record'!G:G,'Purchase Record'!F:F,Sheet4!A653))</f>
        <v/>
      </c>
      <c r="D653" t="str">
        <f>IF(SUMIFS('Sales Record'!H:H,'Sales Record'!F:F,Sheet4!A653)=0,"",SUMIFS('Sales Record'!H:H,'Sales Record'!F:F,Sheet4!A653))</f>
        <v/>
      </c>
      <c r="E653" t="str">
        <f>IF(SUMIFS('Sales Return'!G:G,'Sales Return'!F:F,Sheet4!A653)=0,"",SUMIFS('Sales Return'!G:G,'Sales Return'!F:F,Sheet4!A653))</f>
        <v/>
      </c>
      <c r="F653" t="str">
        <f>IF(SUMIFS('Purchase Return'!G:G,'Purchase Return'!F:F,Sheet4!A653)=0,"",SUMIFS('Purchase Return'!G:G,'Purchase Return'!F:F,Sheet4!A653))</f>
        <v/>
      </c>
      <c r="G653" t="str">
        <f t="shared" si="10"/>
        <v/>
      </c>
    </row>
    <row r="654" spans="1:7">
      <c r="A654" t="str">
        <f>IF('Product List'!B654="","",'Product List'!B654)</f>
        <v/>
      </c>
      <c r="B654" t="str">
        <f>IF('Product List'!C654="","",'Product List'!C654)</f>
        <v/>
      </c>
      <c r="C654" t="str">
        <f>IF(SUMIFS('Purchase Record'!G:G,'Purchase Record'!F:F,Sheet4!A654)=0,"",SUMIFS('Purchase Record'!G:G,'Purchase Record'!F:F,Sheet4!A654))</f>
        <v/>
      </c>
      <c r="D654" t="str">
        <f>IF(SUMIFS('Sales Record'!H:H,'Sales Record'!F:F,Sheet4!A654)=0,"",SUMIFS('Sales Record'!H:H,'Sales Record'!F:F,Sheet4!A654))</f>
        <v/>
      </c>
      <c r="E654" t="str">
        <f>IF(SUMIFS('Sales Return'!G:G,'Sales Return'!F:F,Sheet4!A654)=0,"",SUMIFS('Sales Return'!G:G,'Sales Return'!F:F,Sheet4!A654))</f>
        <v/>
      </c>
      <c r="F654" t="str">
        <f>IF(SUMIFS('Purchase Return'!G:G,'Purchase Return'!F:F,Sheet4!A654)=0,"",SUMIFS('Purchase Return'!G:G,'Purchase Return'!F:F,Sheet4!A654))</f>
        <v/>
      </c>
      <c r="G654" t="str">
        <f t="shared" si="10"/>
        <v/>
      </c>
    </row>
    <row r="655" spans="1:7">
      <c r="A655" t="str">
        <f>IF('Product List'!B655="","",'Product List'!B655)</f>
        <v/>
      </c>
      <c r="B655" t="str">
        <f>IF('Product List'!C655="","",'Product List'!C655)</f>
        <v/>
      </c>
      <c r="C655" t="str">
        <f>IF(SUMIFS('Purchase Record'!G:G,'Purchase Record'!F:F,Sheet4!A655)=0,"",SUMIFS('Purchase Record'!G:G,'Purchase Record'!F:F,Sheet4!A655))</f>
        <v/>
      </c>
      <c r="D655" t="str">
        <f>IF(SUMIFS('Sales Record'!H:H,'Sales Record'!F:F,Sheet4!A655)=0,"",SUMIFS('Sales Record'!H:H,'Sales Record'!F:F,Sheet4!A655))</f>
        <v/>
      </c>
      <c r="E655" t="str">
        <f>IF(SUMIFS('Sales Return'!G:G,'Sales Return'!F:F,Sheet4!A655)=0,"",SUMIFS('Sales Return'!G:G,'Sales Return'!F:F,Sheet4!A655))</f>
        <v/>
      </c>
      <c r="F655" t="str">
        <f>IF(SUMIFS('Purchase Return'!G:G,'Purchase Return'!F:F,Sheet4!A655)=0,"",SUMIFS('Purchase Return'!G:G,'Purchase Return'!F:F,Sheet4!A655))</f>
        <v/>
      </c>
      <c r="G655" t="str">
        <f t="shared" si="10"/>
        <v/>
      </c>
    </row>
    <row r="656" spans="1:7">
      <c r="A656" t="str">
        <f>IF('Product List'!B656="","",'Product List'!B656)</f>
        <v/>
      </c>
      <c r="B656" t="str">
        <f>IF('Product List'!C656="","",'Product List'!C656)</f>
        <v/>
      </c>
      <c r="C656" t="str">
        <f>IF(SUMIFS('Purchase Record'!G:G,'Purchase Record'!F:F,Sheet4!A656)=0,"",SUMIFS('Purchase Record'!G:G,'Purchase Record'!F:F,Sheet4!A656))</f>
        <v/>
      </c>
      <c r="D656" t="str">
        <f>IF(SUMIFS('Sales Record'!H:H,'Sales Record'!F:F,Sheet4!A656)=0,"",SUMIFS('Sales Record'!H:H,'Sales Record'!F:F,Sheet4!A656))</f>
        <v/>
      </c>
      <c r="E656" t="str">
        <f>IF(SUMIFS('Sales Return'!G:G,'Sales Return'!F:F,Sheet4!A656)=0,"",SUMIFS('Sales Return'!G:G,'Sales Return'!F:F,Sheet4!A656))</f>
        <v/>
      </c>
      <c r="F656" t="str">
        <f>IF(SUMIFS('Purchase Return'!G:G,'Purchase Return'!F:F,Sheet4!A656)=0,"",SUMIFS('Purchase Return'!G:G,'Purchase Return'!F:F,Sheet4!A656))</f>
        <v/>
      </c>
      <c r="G656" t="str">
        <f t="shared" si="10"/>
        <v/>
      </c>
    </row>
    <row r="657" spans="1:7">
      <c r="A657" t="str">
        <f>IF('Product List'!B657="","",'Product List'!B657)</f>
        <v/>
      </c>
      <c r="B657" t="str">
        <f>IF('Product List'!C657="","",'Product List'!C657)</f>
        <v/>
      </c>
      <c r="C657" t="str">
        <f>IF(SUMIFS('Purchase Record'!G:G,'Purchase Record'!F:F,Sheet4!A657)=0,"",SUMIFS('Purchase Record'!G:G,'Purchase Record'!F:F,Sheet4!A657))</f>
        <v/>
      </c>
      <c r="D657" t="str">
        <f>IF(SUMIFS('Sales Record'!H:H,'Sales Record'!F:F,Sheet4!A657)=0,"",SUMIFS('Sales Record'!H:H,'Sales Record'!F:F,Sheet4!A657))</f>
        <v/>
      </c>
      <c r="E657" t="str">
        <f>IF(SUMIFS('Sales Return'!G:G,'Sales Return'!F:F,Sheet4!A657)=0,"",SUMIFS('Sales Return'!G:G,'Sales Return'!F:F,Sheet4!A657))</f>
        <v/>
      </c>
      <c r="F657" t="str">
        <f>IF(SUMIFS('Purchase Return'!G:G,'Purchase Return'!F:F,Sheet4!A657)=0,"",SUMIFS('Purchase Return'!G:G,'Purchase Return'!F:F,Sheet4!A657))</f>
        <v/>
      </c>
      <c r="G657" t="str">
        <f t="shared" si="10"/>
        <v/>
      </c>
    </row>
    <row r="658" spans="1:7">
      <c r="A658" t="str">
        <f>IF('Product List'!B658="","",'Product List'!B658)</f>
        <v/>
      </c>
      <c r="B658" t="str">
        <f>IF('Product List'!C658="","",'Product List'!C658)</f>
        <v/>
      </c>
      <c r="C658" t="str">
        <f>IF(SUMIFS('Purchase Record'!G:G,'Purchase Record'!F:F,Sheet4!A658)=0,"",SUMIFS('Purchase Record'!G:G,'Purchase Record'!F:F,Sheet4!A658))</f>
        <v/>
      </c>
      <c r="D658" t="str">
        <f>IF(SUMIFS('Sales Record'!H:H,'Sales Record'!F:F,Sheet4!A658)=0,"",SUMIFS('Sales Record'!H:H,'Sales Record'!F:F,Sheet4!A658))</f>
        <v/>
      </c>
      <c r="E658" t="str">
        <f>IF(SUMIFS('Sales Return'!G:G,'Sales Return'!F:F,Sheet4!A658)=0,"",SUMIFS('Sales Return'!G:G,'Sales Return'!F:F,Sheet4!A658))</f>
        <v/>
      </c>
      <c r="F658" t="str">
        <f>IF(SUMIFS('Purchase Return'!G:G,'Purchase Return'!F:F,Sheet4!A658)=0,"",SUMIFS('Purchase Return'!G:G,'Purchase Return'!F:F,Sheet4!A658))</f>
        <v/>
      </c>
      <c r="G658" t="str">
        <f t="shared" si="10"/>
        <v/>
      </c>
    </row>
    <row r="659" spans="1:7">
      <c r="A659" t="str">
        <f>IF('Product List'!B659="","",'Product List'!B659)</f>
        <v/>
      </c>
      <c r="B659" t="str">
        <f>IF('Product List'!C659="","",'Product List'!C659)</f>
        <v/>
      </c>
      <c r="C659" t="str">
        <f>IF(SUMIFS('Purchase Record'!G:G,'Purchase Record'!F:F,Sheet4!A659)=0,"",SUMIFS('Purchase Record'!G:G,'Purchase Record'!F:F,Sheet4!A659))</f>
        <v/>
      </c>
      <c r="D659" t="str">
        <f>IF(SUMIFS('Sales Record'!H:H,'Sales Record'!F:F,Sheet4!A659)=0,"",SUMIFS('Sales Record'!H:H,'Sales Record'!F:F,Sheet4!A659))</f>
        <v/>
      </c>
      <c r="E659" t="str">
        <f>IF(SUMIFS('Sales Return'!G:G,'Sales Return'!F:F,Sheet4!A659)=0,"",SUMIFS('Sales Return'!G:G,'Sales Return'!F:F,Sheet4!A659))</f>
        <v/>
      </c>
      <c r="F659" t="str">
        <f>IF(SUMIFS('Purchase Return'!G:G,'Purchase Return'!F:F,Sheet4!A659)=0,"",SUMIFS('Purchase Return'!G:G,'Purchase Return'!F:F,Sheet4!A659))</f>
        <v/>
      </c>
      <c r="G659" t="str">
        <f t="shared" si="10"/>
        <v/>
      </c>
    </row>
    <row r="660" spans="1:7">
      <c r="A660" t="str">
        <f>IF('Product List'!B660="","",'Product List'!B660)</f>
        <v/>
      </c>
      <c r="B660" t="str">
        <f>IF('Product List'!C660="","",'Product List'!C660)</f>
        <v/>
      </c>
      <c r="C660" t="str">
        <f>IF(SUMIFS('Purchase Record'!G:G,'Purchase Record'!F:F,Sheet4!A660)=0,"",SUMIFS('Purchase Record'!G:G,'Purchase Record'!F:F,Sheet4!A660))</f>
        <v/>
      </c>
      <c r="D660" t="str">
        <f>IF(SUMIFS('Sales Record'!H:H,'Sales Record'!F:F,Sheet4!A660)=0,"",SUMIFS('Sales Record'!H:H,'Sales Record'!F:F,Sheet4!A660))</f>
        <v/>
      </c>
      <c r="E660" t="str">
        <f>IF(SUMIFS('Sales Return'!G:G,'Sales Return'!F:F,Sheet4!A660)=0,"",SUMIFS('Sales Return'!G:G,'Sales Return'!F:F,Sheet4!A660))</f>
        <v/>
      </c>
      <c r="F660" t="str">
        <f>IF(SUMIFS('Purchase Return'!G:G,'Purchase Return'!F:F,Sheet4!A660)=0,"",SUMIFS('Purchase Return'!G:G,'Purchase Return'!F:F,Sheet4!A660))</f>
        <v/>
      </c>
      <c r="G660" t="str">
        <f t="shared" si="10"/>
        <v/>
      </c>
    </row>
    <row r="661" spans="1:7">
      <c r="A661" t="str">
        <f>IF('Product List'!B661="","",'Product List'!B661)</f>
        <v/>
      </c>
      <c r="B661" t="str">
        <f>IF('Product List'!C661="","",'Product List'!C661)</f>
        <v/>
      </c>
      <c r="C661" t="str">
        <f>IF(SUMIFS('Purchase Record'!G:G,'Purchase Record'!F:F,Sheet4!A661)=0,"",SUMIFS('Purchase Record'!G:G,'Purchase Record'!F:F,Sheet4!A661))</f>
        <v/>
      </c>
      <c r="D661" t="str">
        <f>IF(SUMIFS('Sales Record'!H:H,'Sales Record'!F:F,Sheet4!A661)=0,"",SUMIFS('Sales Record'!H:H,'Sales Record'!F:F,Sheet4!A661))</f>
        <v/>
      </c>
      <c r="E661" t="str">
        <f>IF(SUMIFS('Sales Return'!G:G,'Sales Return'!F:F,Sheet4!A661)=0,"",SUMIFS('Sales Return'!G:G,'Sales Return'!F:F,Sheet4!A661))</f>
        <v/>
      </c>
      <c r="F661" t="str">
        <f>IF(SUMIFS('Purchase Return'!G:G,'Purchase Return'!F:F,Sheet4!A661)=0,"",SUMIFS('Purchase Return'!G:G,'Purchase Return'!F:F,Sheet4!A661))</f>
        <v/>
      </c>
      <c r="G661" t="str">
        <f t="shared" si="10"/>
        <v/>
      </c>
    </row>
    <row r="662" spans="1:7">
      <c r="A662" t="str">
        <f>IF('Product List'!B662="","",'Product List'!B662)</f>
        <v/>
      </c>
      <c r="B662" t="str">
        <f>IF('Product List'!C662="","",'Product List'!C662)</f>
        <v/>
      </c>
      <c r="C662" t="str">
        <f>IF(SUMIFS('Purchase Record'!G:G,'Purchase Record'!F:F,Sheet4!A662)=0,"",SUMIFS('Purchase Record'!G:G,'Purchase Record'!F:F,Sheet4!A662))</f>
        <v/>
      </c>
      <c r="D662" t="str">
        <f>IF(SUMIFS('Sales Record'!H:H,'Sales Record'!F:F,Sheet4!A662)=0,"",SUMIFS('Sales Record'!H:H,'Sales Record'!F:F,Sheet4!A662))</f>
        <v/>
      </c>
      <c r="E662" t="str">
        <f>IF(SUMIFS('Sales Return'!G:G,'Sales Return'!F:F,Sheet4!A662)=0,"",SUMIFS('Sales Return'!G:G,'Sales Return'!F:F,Sheet4!A662))</f>
        <v/>
      </c>
      <c r="F662" t="str">
        <f>IF(SUMIFS('Purchase Return'!G:G,'Purchase Return'!F:F,Sheet4!A662)=0,"",SUMIFS('Purchase Return'!G:G,'Purchase Return'!F:F,Sheet4!A662))</f>
        <v/>
      </c>
      <c r="G662" t="str">
        <f t="shared" si="10"/>
        <v/>
      </c>
    </row>
    <row r="663" spans="1:7">
      <c r="A663" t="str">
        <f>IF('Product List'!B663="","",'Product List'!B663)</f>
        <v/>
      </c>
      <c r="B663" t="str">
        <f>IF('Product List'!C663="","",'Product List'!C663)</f>
        <v/>
      </c>
      <c r="C663" t="str">
        <f>IF(SUMIFS('Purchase Record'!G:G,'Purchase Record'!F:F,Sheet4!A663)=0,"",SUMIFS('Purchase Record'!G:G,'Purchase Record'!F:F,Sheet4!A663))</f>
        <v/>
      </c>
      <c r="D663" t="str">
        <f>IF(SUMIFS('Sales Record'!H:H,'Sales Record'!F:F,Sheet4!A663)=0,"",SUMIFS('Sales Record'!H:H,'Sales Record'!F:F,Sheet4!A663))</f>
        <v/>
      </c>
      <c r="E663" t="str">
        <f>IF(SUMIFS('Sales Return'!G:G,'Sales Return'!F:F,Sheet4!A663)=0,"",SUMIFS('Sales Return'!G:G,'Sales Return'!F:F,Sheet4!A663))</f>
        <v/>
      </c>
      <c r="F663" t="str">
        <f>IF(SUMIFS('Purchase Return'!G:G,'Purchase Return'!F:F,Sheet4!A663)=0,"",SUMIFS('Purchase Return'!G:G,'Purchase Return'!F:F,Sheet4!A663))</f>
        <v/>
      </c>
      <c r="G663" t="str">
        <f t="shared" si="10"/>
        <v/>
      </c>
    </row>
    <row r="664" spans="1:7">
      <c r="A664" t="str">
        <f>IF('Product List'!B664="","",'Product List'!B664)</f>
        <v/>
      </c>
      <c r="B664" t="str">
        <f>IF('Product List'!C664="","",'Product List'!C664)</f>
        <v/>
      </c>
      <c r="C664" t="str">
        <f>IF(SUMIFS('Purchase Record'!G:G,'Purchase Record'!F:F,Sheet4!A664)=0,"",SUMIFS('Purchase Record'!G:G,'Purchase Record'!F:F,Sheet4!A664))</f>
        <v/>
      </c>
      <c r="D664" t="str">
        <f>IF(SUMIFS('Sales Record'!H:H,'Sales Record'!F:F,Sheet4!A664)=0,"",SUMIFS('Sales Record'!H:H,'Sales Record'!F:F,Sheet4!A664))</f>
        <v/>
      </c>
      <c r="E664" t="str">
        <f>IF(SUMIFS('Sales Return'!G:G,'Sales Return'!F:F,Sheet4!A664)=0,"",SUMIFS('Sales Return'!G:G,'Sales Return'!F:F,Sheet4!A664))</f>
        <v/>
      </c>
      <c r="F664" t="str">
        <f>IF(SUMIFS('Purchase Return'!G:G,'Purchase Return'!F:F,Sheet4!A664)=0,"",SUMIFS('Purchase Return'!G:G,'Purchase Return'!F:F,Sheet4!A664))</f>
        <v/>
      </c>
      <c r="G664" t="str">
        <f t="shared" si="10"/>
        <v/>
      </c>
    </row>
    <row r="665" spans="1:7">
      <c r="A665" t="str">
        <f>IF('Product List'!B665="","",'Product List'!B665)</f>
        <v/>
      </c>
      <c r="B665" t="str">
        <f>IF('Product List'!C665="","",'Product List'!C665)</f>
        <v/>
      </c>
      <c r="C665" t="str">
        <f>IF(SUMIFS('Purchase Record'!G:G,'Purchase Record'!F:F,Sheet4!A665)=0,"",SUMIFS('Purchase Record'!G:G,'Purchase Record'!F:F,Sheet4!A665))</f>
        <v/>
      </c>
      <c r="D665" t="str">
        <f>IF(SUMIFS('Sales Record'!H:H,'Sales Record'!F:F,Sheet4!A665)=0,"",SUMIFS('Sales Record'!H:H,'Sales Record'!F:F,Sheet4!A665))</f>
        <v/>
      </c>
      <c r="E665" t="str">
        <f>IF(SUMIFS('Sales Return'!G:G,'Sales Return'!F:F,Sheet4!A665)=0,"",SUMIFS('Sales Return'!G:G,'Sales Return'!F:F,Sheet4!A665))</f>
        <v/>
      </c>
      <c r="F665" t="str">
        <f>IF(SUMIFS('Purchase Return'!G:G,'Purchase Return'!F:F,Sheet4!A665)=0,"",SUMIFS('Purchase Return'!G:G,'Purchase Return'!F:F,Sheet4!A665))</f>
        <v/>
      </c>
      <c r="G665" t="str">
        <f t="shared" si="10"/>
        <v/>
      </c>
    </row>
    <row r="666" spans="1:7">
      <c r="A666" t="str">
        <f>IF('Product List'!B666="","",'Product List'!B666)</f>
        <v/>
      </c>
      <c r="B666" t="str">
        <f>IF('Product List'!C666="","",'Product List'!C666)</f>
        <v/>
      </c>
      <c r="C666" t="str">
        <f>IF(SUMIFS('Purchase Record'!G:G,'Purchase Record'!F:F,Sheet4!A666)=0,"",SUMIFS('Purchase Record'!G:G,'Purchase Record'!F:F,Sheet4!A666))</f>
        <v/>
      </c>
      <c r="D666" t="str">
        <f>IF(SUMIFS('Sales Record'!H:H,'Sales Record'!F:F,Sheet4!A666)=0,"",SUMIFS('Sales Record'!H:H,'Sales Record'!F:F,Sheet4!A666))</f>
        <v/>
      </c>
      <c r="E666" t="str">
        <f>IF(SUMIFS('Sales Return'!G:G,'Sales Return'!F:F,Sheet4!A666)=0,"",SUMIFS('Sales Return'!G:G,'Sales Return'!F:F,Sheet4!A666))</f>
        <v/>
      </c>
      <c r="F666" t="str">
        <f>IF(SUMIFS('Purchase Return'!G:G,'Purchase Return'!F:F,Sheet4!A666)=0,"",SUMIFS('Purchase Return'!G:G,'Purchase Return'!F:F,Sheet4!A666))</f>
        <v/>
      </c>
      <c r="G666" t="str">
        <f t="shared" si="10"/>
        <v/>
      </c>
    </row>
    <row r="667" spans="1:7">
      <c r="A667" t="str">
        <f>IF('Product List'!B667="","",'Product List'!B667)</f>
        <v/>
      </c>
      <c r="B667" t="str">
        <f>IF('Product List'!C667="","",'Product List'!C667)</f>
        <v/>
      </c>
      <c r="C667" t="str">
        <f>IF(SUMIFS('Purchase Record'!G:G,'Purchase Record'!F:F,Sheet4!A667)=0,"",SUMIFS('Purchase Record'!G:G,'Purchase Record'!F:F,Sheet4!A667))</f>
        <v/>
      </c>
      <c r="D667" t="str">
        <f>IF(SUMIFS('Sales Record'!H:H,'Sales Record'!F:F,Sheet4!A667)=0,"",SUMIFS('Sales Record'!H:H,'Sales Record'!F:F,Sheet4!A667))</f>
        <v/>
      </c>
      <c r="E667" t="str">
        <f>IF(SUMIFS('Sales Return'!G:G,'Sales Return'!F:F,Sheet4!A667)=0,"",SUMIFS('Sales Return'!G:G,'Sales Return'!F:F,Sheet4!A667))</f>
        <v/>
      </c>
      <c r="F667" t="str">
        <f>IF(SUMIFS('Purchase Return'!G:G,'Purchase Return'!F:F,Sheet4!A667)=0,"",SUMIFS('Purchase Return'!G:G,'Purchase Return'!F:F,Sheet4!A667))</f>
        <v/>
      </c>
      <c r="G667" t="str">
        <f t="shared" si="10"/>
        <v/>
      </c>
    </row>
    <row r="668" spans="1:7">
      <c r="A668" t="str">
        <f>IF('Product List'!B668="","",'Product List'!B668)</f>
        <v/>
      </c>
      <c r="B668" t="str">
        <f>IF('Product List'!C668="","",'Product List'!C668)</f>
        <v/>
      </c>
      <c r="C668" t="str">
        <f>IF(SUMIFS('Purchase Record'!G:G,'Purchase Record'!F:F,Sheet4!A668)=0,"",SUMIFS('Purchase Record'!G:G,'Purchase Record'!F:F,Sheet4!A668))</f>
        <v/>
      </c>
      <c r="D668" t="str">
        <f>IF(SUMIFS('Sales Record'!H:H,'Sales Record'!F:F,Sheet4!A668)=0,"",SUMIFS('Sales Record'!H:H,'Sales Record'!F:F,Sheet4!A668))</f>
        <v/>
      </c>
      <c r="E668" t="str">
        <f>IF(SUMIFS('Sales Return'!G:G,'Sales Return'!F:F,Sheet4!A668)=0,"",SUMIFS('Sales Return'!G:G,'Sales Return'!F:F,Sheet4!A668))</f>
        <v/>
      </c>
      <c r="F668" t="str">
        <f>IF(SUMIFS('Purchase Return'!G:G,'Purchase Return'!F:F,Sheet4!A668)=0,"",SUMIFS('Purchase Return'!G:G,'Purchase Return'!F:F,Sheet4!A668))</f>
        <v/>
      </c>
      <c r="G668" t="str">
        <f t="shared" si="10"/>
        <v/>
      </c>
    </row>
    <row r="669" spans="1:7">
      <c r="A669" t="str">
        <f>IF('Product List'!B669="","",'Product List'!B669)</f>
        <v/>
      </c>
      <c r="B669" t="str">
        <f>IF('Product List'!C669="","",'Product List'!C669)</f>
        <v/>
      </c>
      <c r="C669" t="str">
        <f>IF(SUMIFS('Purchase Record'!G:G,'Purchase Record'!F:F,Sheet4!A669)=0,"",SUMIFS('Purchase Record'!G:G,'Purchase Record'!F:F,Sheet4!A669))</f>
        <v/>
      </c>
      <c r="D669" t="str">
        <f>IF(SUMIFS('Sales Record'!H:H,'Sales Record'!F:F,Sheet4!A669)=0,"",SUMIFS('Sales Record'!H:H,'Sales Record'!F:F,Sheet4!A669))</f>
        <v/>
      </c>
      <c r="E669" t="str">
        <f>IF(SUMIFS('Sales Return'!G:G,'Sales Return'!F:F,Sheet4!A669)=0,"",SUMIFS('Sales Return'!G:G,'Sales Return'!F:F,Sheet4!A669))</f>
        <v/>
      </c>
      <c r="F669" t="str">
        <f>IF(SUMIFS('Purchase Return'!G:G,'Purchase Return'!F:F,Sheet4!A669)=0,"",SUMIFS('Purchase Return'!G:G,'Purchase Return'!F:F,Sheet4!A669))</f>
        <v/>
      </c>
      <c r="G669" t="str">
        <f t="shared" si="10"/>
        <v/>
      </c>
    </row>
    <row r="670" spans="1:7">
      <c r="A670" t="str">
        <f>IF('Product List'!B670="","",'Product List'!B670)</f>
        <v/>
      </c>
      <c r="B670" t="str">
        <f>IF('Product List'!C670="","",'Product List'!C670)</f>
        <v/>
      </c>
      <c r="C670" t="str">
        <f>IF(SUMIFS('Purchase Record'!G:G,'Purchase Record'!F:F,Sheet4!A670)=0,"",SUMIFS('Purchase Record'!G:G,'Purchase Record'!F:F,Sheet4!A670))</f>
        <v/>
      </c>
      <c r="D670" t="str">
        <f>IF(SUMIFS('Sales Record'!H:H,'Sales Record'!F:F,Sheet4!A670)=0,"",SUMIFS('Sales Record'!H:H,'Sales Record'!F:F,Sheet4!A670))</f>
        <v/>
      </c>
      <c r="E670" t="str">
        <f>IF(SUMIFS('Sales Return'!G:G,'Sales Return'!F:F,Sheet4!A670)=0,"",SUMIFS('Sales Return'!G:G,'Sales Return'!F:F,Sheet4!A670))</f>
        <v/>
      </c>
      <c r="F670" t="str">
        <f>IF(SUMIFS('Purchase Return'!G:G,'Purchase Return'!F:F,Sheet4!A670)=0,"",SUMIFS('Purchase Return'!G:G,'Purchase Return'!F:F,Sheet4!A670))</f>
        <v/>
      </c>
      <c r="G670" t="str">
        <f t="shared" si="10"/>
        <v/>
      </c>
    </row>
    <row r="671" spans="1:7">
      <c r="A671" t="str">
        <f>IF('Product List'!B671="","",'Product List'!B671)</f>
        <v/>
      </c>
      <c r="B671" t="str">
        <f>IF('Product List'!C671="","",'Product List'!C671)</f>
        <v/>
      </c>
      <c r="C671" t="str">
        <f>IF(SUMIFS('Purchase Record'!G:G,'Purchase Record'!F:F,Sheet4!A671)=0,"",SUMIFS('Purchase Record'!G:G,'Purchase Record'!F:F,Sheet4!A671))</f>
        <v/>
      </c>
      <c r="D671" t="str">
        <f>IF(SUMIFS('Sales Record'!H:H,'Sales Record'!F:F,Sheet4!A671)=0,"",SUMIFS('Sales Record'!H:H,'Sales Record'!F:F,Sheet4!A671))</f>
        <v/>
      </c>
      <c r="E671" t="str">
        <f>IF(SUMIFS('Sales Return'!G:G,'Sales Return'!F:F,Sheet4!A671)=0,"",SUMIFS('Sales Return'!G:G,'Sales Return'!F:F,Sheet4!A671))</f>
        <v/>
      </c>
      <c r="F671" t="str">
        <f>IF(SUMIFS('Purchase Return'!G:G,'Purchase Return'!F:F,Sheet4!A671)=0,"",SUMIFS('Purchase Return'!G:G,'Purchase Return'!F:F,Sheet4!A671))</f>
        <v/>
      </c>
      <c r="G671" t="str">
        <f t="shared" si="10"/>
        <v/>
      </c>
    </row>
    <row r="672" spans="1:7">
      <c r="A672" t="str">
        <f>IF('Product List'!B672="","",'Product List'!B672)</f>
        <v/>
      </c>
      <c r="B672" t="str">
        <f>IF('Product List'!C672="","",'Product List'!C672)</f>
        <v/>
      </c>
      <c r="C672" t="str">
        <f>IF(SUMIFS('Purchase Record'!G:G,'Purchase Record'!F:F,Sheet4!A672)=0,"",SUMIFS('Purchase Record'!G:G,'Purchase Record'!F:F,Sheet4!A672))</f>
        <v/>
      </c>
      <c r="D672" t="str">
        <f>IF(SUMIFS('Sales Record'!H:H,'Sales Record'!F:F,Sheet4!A672)=0,"",SUMIFS('Sales Record'!H:H,'Sales Record'!F:F,Sheet4!A672))</f>
        <v/>
      </c>
      <c r="E672" t="str">
        <f>IF(SUMIFS('Sales Return'!G:G,'Sales Return'!F:F,Sheet4!A672)=0,"",SUMIFS('Sales Return'!G:G,'Sales Return'!F:F,Sheet4!A672))</f>
        <v/>
      </c>
      <c r="F672" t="str">
        <f>IF(SUMIFS('Purchase Return'!G:G,'Purchase Return'!F:F,Sheet4!A672)=0,"",SUMIFS('Purchase Return'!G:G,'Purchase Return'!F:F,Sheet4!A672))</f>
        <v/>
      </c>
      <c r="G672" t="str">
        <f t="shared" si="10"/>
        <v/>
      </c>
    </row>
    <row r="673" spans="1:7">
      <c r="A673" t="str">
        <f>IF('Product List'!B673="","",'Product List'!B673)</f>
        <v/>
      </c>
      <c r="B673" t="str">
        <f>IF('Product List'!C673="","",'Product List'!C673)</f>
        <v/>
      </c>
      <c r="C673" t="str">
        <f>IF(SUMIFS('Purchase Record'!G:G,'Purchase Record'!F:F,Sheet4!A673)=0,"",SUMIFS('Purchase Record'!G:G,'Purchase Record'!F:F,Sheet4!A673))</f>
        <v/>
      </c>
      <c r="D673" t="str">
        <f>IF(SUMIFS('Sales Record'!H:H,'Sales Record'!F:F,Sheet4!A673)=0,"",SUMIFS('Sales Record'!H:H,'Sales Record'!F:F,Sheet4!A673))</f>
        <v/>
      </c>
      <c r="E673" t="str">
        <f>IF(SUMIFS('Sales Return'!G:G,'Sales Return'!F:F,Sheet4!A673)=0,"",SUMIFS('Sales Return'!G:G,'Sales Return'!F:F,Sheet4!A673))</f>
        <v/>
      </c>
      <c r="F673" t="str">
        <f>IF(SUMIFS('Purchase Return'!G:G,'Purchase Return'!F:F,Sheet4!A673)=0,"",SUMIFS('Purchase Return'!G:G,'Purchase Return'!F:F,Sheet4!A673))</f>
        <v/>
      </c>
      <c r="G673" t="str">
        <f t="shared" si="10"/>
        <v/>
      </c>
    </row>
    <row r="674" spans="1:7">
      <c r="A674" t="str">
        <f>IF('Product List'!B674="","",'Product List'!B674)</f>
        <v/>
      </c>
      <c r="B674" t="str">
        <f>IF('Product List'!C674="","",'Product List'!C674)</f>
        <v/>
      </c>
      <c r="C674" t="str">
        <f>IF(SUMIFS('Purchase Record'!G:G,'Purchase Record'!F:F,Sheet4!A674)=0,"",SUMIFS('Purchase Record'!G:G,'Purchase Record'!F:F,Sheet4!A674))</f>
        <v/>
      </c>
      <c r="D674" t="str">
        <f>IF(SUMIFS('Sales Record'!H:H,'Sales Record'!F:F,Sheet4!A674)=0,"",SUMIFS('Sales Record'!H:H,'Sales Record'!F:F,Sheet4!A674))</f>
        <v/>
      </c>
      <c r="E674" t="str">
        <f>IF(SUMIFS('Sales Return'!G:G,'Sales Return'!F:F,Sheet4!A674)=0,"",SUMIFS('Sales Return'!G:G,'Sales Return'!F:F,Sheet4!A674))</f>
        <v/>
      </c>
      <c r="F674" t="str">
        <f>IF(SUMIFS('Purchase Return'!G:G,'Purchase Return'!F:F,Sheet4!A674)=0,"",SUMIFS('Purchase Return'!G:G,'Purchase Return'!F:F,Sheet4!A674))</f>
        <v/>
      </c>
      <c r="G674" t="str">
        <f t="shared" si="10"/>
        <v/>
      </c>
    </row>
    <row r="675" spans="1:7">
      <c r="A675" t="str">
        <f>IF('Product List'!B675="","",'Product List'!B675)</f>
        <v/>
      </c>
      <c r="B675" t="str">
        <f>IF('Product List'!C675="","",'Product List'!C675)</f>
        <v/>
      </c>
      <c r="C675" t="str">
        <f>IF(SUMIFS('Purchase Record'!G:G,'Purchase Record'!F:F,Sheet4!A675)=0,"",SUMIFS('Purchase Record'!G:G,'Purchase Record'!F:F,Sheet4!A675))</f>
        <v/>
      </c>
      <c r="D675" t="str">
        <f>IF(SUMIFS('Sales Record'!H:H,'Sales Record'!F:F,Sheet4!A675)=0,"",SUMIFS('Sales Record'!H:H,'Sales Record'!F:F,Sheet4!A675))</f>
        <v/>
      </c>
      <c r="E675" t="str">
        <f>IF(SUMIFS('Sales Return'!G:G,'Sales Return'!F:F,Sheet4!A675)=0,"",SUMIFS('Sales Return'!G:G,'Sales Return'!F:F,Sheet4!A675))</f>
        <v/>
      </c>
      <c r="F675" t="str">
        <f>IF(SUMIFS('Purchase Return'!G:G,'Purchase Return'!F:F,Sheet4!A675)=0,"",SUMIFS('Purchase Return'!G:G,'Purchase Return'!F:F,Sheet4!A675))</f>
        <v/>
      </c>
      <c r="G675" t="str">
        <f t="shared" si="10"/>
        <v/>
      </c>
    </row>
    <row r="676" spans="1:7">
      <c r="A676" t="str">
        <f>IF('Product List'!B676="","",'Product List'!B676)</f>
        <v/>
      </c>
      <c r="B676" t="str">
        <f>IF('Product List'!C676="","",'Product List'!C676)</f>
        <v/>
      </c>
      <c r="C676" t="str">
        <f>IF(SUMIFS('Purchase Record'!G:G,'Purchase Record'!F:F,Sheet4!A676)=0,"",SUMIFS('Purchase Record'!G:G,'Purchase Record'!F:F,Sheet4!A676))</f>
        <v/>
      </c>
      <c r="D676" t="str">
        <f>IF(SUMIFS('Sales Record'!H:H,'Sales Record'!F:F,Sheet4!A676)=0,"",SUMIFS('Sales Record'!H:H,'Sales Record'!F:F,Sheet4!A676))</f>
        <v/>
      </c>
      <c r="E676" t="str">
        <f>IF(SUMIFS('Sales Return'!G:G,'Sales Return'!F:F,Sheet4!A676)=0,"",SUMIFS('Sales Return'!G:G,'Sales Return'!F:F,Sheet4!A676))</f>
        <v/>
      </c>
      <c r="F676" t="str">
        <f>IF(SUMIFS('Purchase Return'!G:G,'Purchase Return'!F:F,Sheet4!A676)=0,"",SUMIFS('Purchase Return'!G:G,'Purchase Return'!F:F,Sheet4!A676))</f>
        <v/>
      </c>
      <c r="G676" t="str">
        <f t="shared" si="10"/>
        <v/>
      </c>
    </row>
    <row r="677" spans="1:7">
      <c r="A677" t="str">
        <f>IF('Product List'!B677="","",'Product List'!B677)</f>
        <v/>
      </c>
      <c r="B677" t="str">
        <f>IF('Product List'!C677="","",'Product List'!C677)</f>
        <v/>
      </c>
      <c r="C677" t="str">
        <f>IF(SUMIFS('Purchase Record'!G:G,'Purchase Record'!F:F,Sheet4!A677)=0,"",SUMIFS('Purchase Record'!G:G,'Purchase Record'!F:F,Sheet4!A677))</f>
        <v/>
      </c>
      <c r="D677" t="str">
        <f>IF(SUMIFS('Sales Record'!H:H,'Sales Record'!F:F,Sheet4!A677)=0,"",SUMIFS('Sales Record'!H:H,'Sales Record'!F:F,Sheet4!A677))</f>
        <v/>
      </c>
      <c r="E677" t="str">
        <f>IF(SUMIFS('Sales Return'!G:G,'Sales Return'!F:F,Sheet4!A677)=0,"",SUMIFS('Sales Return'!G:G,'Sales Return'!F:F,Sheet4!A677))</f>
        <v/>
      </c>
      <c r="F677" t="str">
        <f>IF(SUMIFS('Purchase Return'!G:G,'Purchase Return'!F:F,Sheet4!A677)=0,"",SUMIFS('Purchase Return'!G:G,'Purchase Return'!F:F,Sheet4!A677))</f>
        <v/>
      </c>
      <c r="G677" t="str">
        <f t="shared" si="10"/>
        <v/>
      </c>
    </row>
    <row r="678" spans="1:7">
      <c r="A678" t="str">
        <f>IF('Product List'!B678="","",'Product List'!B678)</f>
        <v/>
      </c>
      <c r="B678" t="str">
        <f>IF('Product List'!C678="","",'Product List'!C678)</f>
        <v/>
      </c>
      <c r="C678" t="str">
        <f>IF(SUMIFS('Purchase Record'!G:G,'Purchase Record'!F:F,Sheet4!A678)=0,"",SUMIFS('Purchase Record'!G:G,'Purchase Record'!F:F,Sheet4!A678))</f>
        <v/>
      </c>
      <c r="D678" t="str">
        <f>IF(SUMIFS('Sales Record'!H:H,'Sales Record'!F:F,Sheet4!A678)=0,"",SUMIFS('Sales Record'!H:H,'Sales Record'!F:F,Sheet4!A678))</f>
        <v/>
      </c>
      <c r="E678" t="str">
        <f>IF(SUMIFS('Sales Return'!G:G,'Sales Return'!F:F,Sheet4!A678)=0,"",SUMIFS('Sales Return'!G:G,'Sales Return'!F:F,Sheet4!A678))</f>
        <v/>
      </c>
      <c r="F678" t="str">
        <f>IF(SUMIFS('Purchase Return'!G:G,'Purchase Return'!F:F,Sheet4!A678)=0,"",SUMIFS('Purchase Return'!G:G,'Purchase Return'!F:F,Sheet4!A678))</f>
        <v/>
      </c>
      <c r="G678" t="str">
        <f t="shared" si="10"/>
        <v/>
      </c>
    </row>
    <row r="679" spans="1:7">
      <c r="A679" t="str">
        <f>IF('Product List'!B679="","",'Product List'!B679)</f>
        <v/>
      </c>
      <c r="B679" t="str">
        <f>IF('Product List'!C679="","",'Product List'!C679)</f>
        <v/>
      </c>
      <c r="C679" t="str">
        <f>IF(SUMIFS('Purchase Record'!G:G,'Purchase Record'!F:F,Sheet4!A679)=0,"",SUMIFS('Purchase Record'!G:G,'Purchase Record'!F:F,Sheet4!A679))</f>
        <v/>
      </c>
      <c r="D679" t="str">
        <f>IF(SUMIFS('Sales Record'!H:H,'Sales Record'!F:F,Sheet4!A679)=0,"",SUMIFS('Sales Record'!H:H,'Sales Record'!F:F,Sheet4!A679))</f>
        <v/>
      </c>
      <c r="E679" t="str">
        <f>IF(SUMIFS('Sales Return'!G:G,'Sales Return'!F:F,Sheet4!A679)=0,"",SUMIFS('Sales Return'!G:G,'Sales Return'!F:F,Sheet4!A679))</f>
        <v/>
      </c>
      <c r="F679" t="str">
        <f>IF(SUMIFS('Purchase Return'!G:G,'Purchase Return'!F:F,Sheet4!A679)=0,"",SUMIFS('Purchase Return'!G:G,'Purchase Return'!F:F,Sheet4!A679))</f>
        <v/>
      </c>
      <c r="G679" t="str">
        <f t="shared" si="10"/>
        <v/>
      </c>
    </row>
    <row r="680" spans="1:7">
      <c r="A680" t="str">
        <f>IF('Product List'!B680="","",'Product List'!B680)</f>
        <v/>
      </c>
      <c r="B680" t="str">
        <f>IF('Product List'!C680="","",'Product List'!C680)</f>
        <v/>
      </c>
      <c r="C680" t="str">
        <f>IF(SUMIFS('Purchase Record'!G:G,'Purchase Record'!F:F,Sheet4!A680)=0,"",SUMIFS('Purchase Record'!G:G,'Purchase Record'!F:F,Sheet4!A680))</f>
        <v/>
      </c>
      <c r="D680" t="str">
        <f>IF(SUMIFS('Sales Record'!H:H,'Sales Record'!F:F,Sheet4!A680)=0,"",SUMIFS('Sales Record'!H:H,'Sales Record'!F:F,Sheet4!A680))</f>
        <v/>
      </c>
      <c r="E680" t="str">
        <f>IF(SUMIFS('Sales Return'!G:G,'Sales Return'!F:F,Sheet4!A680)=0,"",SUMIFS('Sales Return'!G:G,'Sales Return'!F:F,Sheet4!A680))</f>
        <v/>
      </c>
      <c r="F680" t="str">
        <f>IF(SUMIFS('Purchase Return'!G:G,'Purchase Return'!F:F,Sheet4!A680)=0,"",SUMIFS('Purchase Return'!G:G,'Purchase Return'!F:F,Sheet4!A680))</f>
        <v/>
      </c>
      <c r="G680" t="str">
        <f t="shared" si="10"/>
        <v/>
      </c>
    </row>
    <row r="681" spans="1:7">
      <c r="A681" t="str">
        <f>IF('Product List'!B681="","",'Product List'!B681)</f>
        <v/>
      </c>
      <c r="B681" t="str">
        <f>IF('Product List'!C681="","",'Product List'!C681)</f>
        <v/>
      </c>
      <c r="C681" t="str">
        <f>IF(SUMIFS('Purchase Record'!G:G,'Purchase Record'!F:F,Sheet4!A681)=0,"",SUMIFS('Purchase Record'!G:G,'Purchase Record'!F:F,Sheet4!A681))</f>
        <v/>
      </c>
      <c r="D681" t="str">
        <f>IF(SUMIFS('Sales Record'!H:H,'Sales Record'!F:F,Sheet4!A681)=0,"",SUMIFS('Sales Record'!H:H,'Sales Record'!F:F,Sheet4!A681))</f>
        <v/>
      </c>
      <c r="E681" t="str">
        <f>IF(SUMIFS('Sales Return'!G:G,'Sales Return'!F:F,Sheet4!A681)=0,"",SUMIFS('Sales Return'!G:G,'Sales Return'!F:F,Sheet4!A681))</f>
        <v/>
      </c>
      <c r="F681" t="str">
        <f>IF(SUMIFS('Purchase Return'!G:G,'Purchase Return'!F:F,Sheet4!A681)=0,"",SUMIFS('Purchase Return'!G:G,'Purchase Return'!F:F,Sheet4!A681))</f>
        <v/>
      </c>
      <c r="G681" t="str">
        <f t="shared" si="10"/>
        <v/>
      </c>
    </row>
    <row r="682" spans="1:7">
      <c r="A682" t="str">
        <f>IF('Product List'!B682="","",'Product List'!B682)</f>
        <v/>
      </c>
      <c r="B682" t="str">
        <f>IF('Product List'!C682="","",'Product List'!C682)</f>
        <v/>
      </c>
      <c r="C682" t="str">
        <f>IF(SUMIFS('Purchase Record'!G:G,'Purchase Record'!F:F,Sheet4!A682)=0,"",SUMIFS('Purchase Record'!G:G,'Purchase Record'!F:F,Sheet4!A682))</f>
        <v/>
      </c>
      <c r="D682" t="str">
        <f>IF(SUMIFS('Sales Record'!H:H,'Sales Record'!F:F,Sheet4!A682)=0,"",SUMIFS('Sales Record'!H:H,'Sales Record'!F:F,Sheet4!A682))</f>
        <v/>
      </c>
      <c r="E682" t="str">
        <f>IF(SUMIFS('Sales Return'!G:G,'Sales Return'!F:F,Sheet4!A682)=0,"",SUMIFS('Sales Return'!G:G,'Sales Return'!F:F,Sheet4!A682))</f>
        <v/>
      </c>
      <c r="F682" t="str">
        <f>IF(SUMIFS('Purchase Return'!G:G,'Purchase Return'!F:F,Sheet4!A682)=0,"",SUMIFS('Purchase Return'!G:G,'Purchase Return'!F:F,Sheet4!A682))</f>
        <v/>
      </c>
      <c r="G682" t="str">
        <f t="shared" si="10"/>
        <v/>
      </c>
    </row>
    <row r="683" spans="1:7">
      <c r="A683" t="str">
        <f>IF('Product List'!B683="","",'Product List'!B683)</f>
        <v/>
      </c>
      <c r="B683" t="str">
        <f>IF('Product List'!C683="","",'Product List'!C683)</f>
        <v/>
      </c>
      <c r="C683" t="str">
        <f>IF(SUMIFS('Purchase Record'!G:G,'Purchase Record'!F:F,Sheet4!A683)=0,"",SUMIFS('Purchase Record'!G:G,'Purchase Record'!F:F,Sheet4!A683))</f>
        <v/>
      </c>
      <c r="D683" t="str">
        <f>IF(SUMIFS('Sales Record'!H:H,'Sales Record'!F:F,Sheet4!A683)=0,"",SUMIFS('Sales Record'!H:H,'Sales Record'!F:F,Sheet4!A683))</f>
        <v/>
      </c>
      <c r="E683" t="str">
        <f>IF(SUMIFS('Sales Return'!G:G,'Sales Return'!F:F,Sheet4!A683)=0,"",SUMIFS('Sales Return'!G:G,'Sales Return'!F:F,Sheet4!A683))</f>
        <v/>
      </c>
      <c r="F683" t="str">
        <f>IF(SUMIFS('Purchase Return'!G:G,'Purchase Return'!F:F,Sheet4!A683)=0,"",SUMIFS('Purchase Return'!G:G,'Purchase Return'!F:F,Sheet4!A683))</f>
        <v/>
      </c>
      <c r="G683" t="str">
        <f t="shared" si="10"/>
        <v/>
      </c>
    </row>
    <row r="684" spans="1:7">
      <c r="A684" t="str">
        <f>IF('Product List'!B684="","",'Product List'!B684)</f>
        <v/>
      </c>
      <c r="B684" t="str">
        <f>IF('Product List'!C684="","",'Product List'!C684)</f>
        <v/>
      </c>
      <c r="C684" t="str">
        <f>IF(SUMIFS('Purchase Record'!G:G,'Purchase Record'!F:F,Sheet4!A684)=0,"",SUMIFS('Purchase Record'!G:G,'Purchase Record'!F:F,Sheet4!A684))</f>
        <v/>
      </c>
      <c r="D684" t="str">
        <f>IF(SUMIFS('Sales Record'!H:H,'Sales Record'!F:F,Sheet4!A684)=0,"",SUMIFS('Sales Record'!H:H,'Sales Record'!F:F,Sheet4!A684))</f>
        <v/>
      </c>
      <c r="E684" t="str">
        <f>IF(SUMIFS('Sales Return'!G:G,'Sales Return'!F:F,Sheet4!A684)=0,"",SUMIFS('Sales Return'!G:G,'Sales Return'!F:F,Sheet4!A684))</f>
        <v/>
      </c>
      <c r="F684" t="str">
        <f>IF(SUMIFS('Purchase Return'!G:G,'Purchase Return'!F:F,Sheet4!A684)=0,"",SUMIFS('Purchase Return'!G:G,'Purchase Return'!F:F,Sheet4!A684))</f>
        <v/>
      </c>
      <c r="G684" t="str">
        <f t="shared" si="10"/>
        <v/>
      </c>
    </row>
    <row r="685" spans="1:7">
      <c r="A685" t="str">
        <f>IF('Product List'!B685="","",'Product List'!B685)</f>
        <v/>
      </c>
      <c r="B685" t="str">
        <f>IF('Product List'!C685="","",'Product List'!C685)</f>
        <v/>
      </c>
      <c r="C685" t="str">
        <f>IF(SUMIFS('Purchase Record'!G:G,'Purchase Record'!F:F,Sheet4!A685)=0,"",SUMIFS('Purchase Record'!G:G,'Purchase Record'!F:F,Sheet4!A685))</f>
        <v/>
      </c>
      <c r="D685" t="str">
        <f>IF(SUMIFS('Sales Record'!H:H,'Sales Record'!F:F,Sheet4!A685)=0,"",SUMIFS('Sales Record'!H:H,'Sales Record'!F:F,Sheet4!A685))</f>
        <v/>
      </c>
      <c r="E685" t="str">
        <f>IF(SUMIFS('Sales Return'!G:G,'Sales Return'!F:F,Sheet4!A685)=0,"",SUMIFS('Sales Return'!G:G,'Sales Return'!F:F,Sheet4!A685))</f>
        <v/>
      </c>
      <c r="F685" t="str">
        <f>IF(SUMIFS('Purchase Return'!G:G,'Purchase Return'!F:F,Sheet4!A685)=0,"",SUMIFS('Purchase Return'!G:G,'Purchase Return'!F:F,Sheet4!A685))</f>
        <v/>
      </c>
      <c r="G685" t="str">
        <f t="shared" si="10"/>
        <v/>
      </c>
    </row>
    <row r="686" spans="1:7">
      <c r="A686" t="str">
        <f>IF('Product List'!B686="","",'Product List'!B686)</f>
        <v/>
      </c>
      <c r="B686" t="str">
        <f>IF('Product List'!C686="","",'Product List'!C686)</f>
        <v/>
      </c>
      <c r="C686" t="str">
        <f>IF(SUMIFS('Purchase Record'!G:G,'Purchase Record'!F:F,Sheet4!A686)=0,"",SUMIFS('Purchase Record'!G:G,'Purchase Record'!F:F,Sheet4!A686))</f>
        <v/>
      </c>
      <c r="D686" t="str">
        <f>IF(SUMIFS('Sales Record'!H:H,'Sales Record'!F:F,Sheet4!A686)=0,"",SUMIFS('Sales Record'!H:H,'Sales Record'!F:F,Sheet4!A686))</f>
        <v/>
      </c>
      <c r="E686" t="str">
        <f>IF(SUMIFS('Sales Return'!G:G,'Sales Return'!F:F,Sheet4!A686)=0,"",SUMIFS('Sales Return'!G:G,'Sales Return'!F:F,Sheet4!A686))</f>
        <v/>
      </c>
      <c r="F686" t="str">
        <f>IF(SUMIFS('Purchase Return'!G:G,'Purchase Return'!F:F,Sheet4!A686)=0,"",SUMIFS('Purchase Return'!G:G,'Purchase Return'!F:F,Sheet4!A686))</f>
        <v/>
      </c>
      <c r="G686" t="str">
        <f t="shared" si="10"/>
        <v/>
      </c>
    </row>
    <row r="687" spans="1:7">
      <c r="A687" t="str">
        <f>IF('Product List'!B687="","",'Product List'!B687)</f>
        <v/>
      </c>
      <c r="B687" t="str">
        <f>IF('Product List'!C687="","",'Product List'!C687)</f>
        <v/>
      </c>
      <c r="C687" t="str">
        <f>IF(SUMIFS('Purchase Record'!G:G,'Purchase Record'!F:F,Sheet4!A687)=0,"",SUMIFS('Purchase Record'!G:G,'Purchase Record'!F:F,Sheet4!A687))</f>
        <v/>
      </c>
      <c r="D687" t="str">
        <f>IF(SUMIFS('Sales Record'!H:H,'Sales Record'!F:F,Sheet4!A687)=0,"",SUMIFS('Sales Record'!H:H,'Sales Record'!F:F,Sheet4!A687))</f>
        <v/>
      </c>
      <c r="E687" t="str">
        <f>IF(SUMIFS('Sales Return'!G:G,'Sales Return'!F:F,Sheet4!A687)=0,"",SUMIFS('Sales Return'!G:G,'Sales Return'!F:F,Sheet4!A687))</f>
        <v/>
      </c>
      <c r="F687" t="str">
        <f>IF(SUMIFS('Purchase Return'!G:G,'Purchase Return'!F:F,Sheet4!A687)=0,"",SUMIFS('Purchase Return'!G:G,'Purchase Return'!F:F,Sheet4!A687))</f>
        <v/>
      </c>
      <c r="G687" t="str">
        <f t="shared" si="10"/>
        <v/>
      </c>
    </row>
    <row r="688" spans="1:7">
      <c r="A688" t="str">
        <f>IF('Product List'!B688="","",'Product List'!B688)</f>
        <v/>
      </c>
      <c r="B688" t="str">
        <f>IF('Product List'!C688="","",'Product List'!C688)</f>
        <v/>
      </c>
      <c r="C688" t="str">
        <f>IF(SUMIFS('Purchase Record'!G:G,'Purchase Record'!F:F,Sheet4!A688)=0,"",SUMIFS('Purchase Record'!G:G,'Purchase Record'!F:F,Sheet4!A688))</f>
        <v/>
      </c>
      <c r="D688" t="str">
        <f>IF(SUMIFS('Sales Record'!H:H,'Sales Record'!F:F,Sheet4!A688)=0,"",SUMIFS('Sales Record'!H:H,'Sales Record'!F:F,Sheet4!A688))</f>
        <v/>
      </c>
      <c r="E688" t="str">
        <f>IF(SUMIFS('Sales Return'!G:G,'Sales Return'!F:F,Sheet4!A688)=0,"",SUMIFS('Sales Return'!G:G,'Sales Return'!F:F,Sheet4!A688))</f>
        <v/>
      </c>
      <c r="F688" t="str">
        <f>IF(SUMIFS('Purchase Return'!G:G,'Purchase Return'!F:F,Sheet4!A688)=0,"",SUMIFS('Purchase Return'!G:G,'Purchase Return'!F:F,Sheet4!A688))</f>
        <v/>
      </c>
      <c r="G688" t="str">
        <f t="shared" si="10"/>
        <v/>
      </c>
    </row>
    <row r="689" spans="1:7">
      <c r="A689" t="str">
        <f>IF('Product List'!B689="","",'Product List'!B689)</f>
        <v/>
      </c>
      <c r="B689" t="str">
        <f>IF('Product List'!C689="","",'Product List'!C689)</f>
        <v/>
      </c>
      <c r="C689" t="str">
        <f>IF(SUMIFS('Purchase Record'!G:G,'Purchase Record'!F:F,Sheet4!A689)=0,"",SUMIFS('Purchase Record'!G:G,'Purchase Record'!F:F,Sheet4!A689))</f>
        <v/>
      </c>
      <c r="D689" t="str">
        <f>IF(SUMIFS('Sales Record'!H:H,'Sales Record'!F:F,Sheet4!A689)=0,"",SUMIFS('Sales Record'!H:H,'Sales Record'!F:F,Sheet4!A689))</f>
        <v/>
      </c>
      <c r="E689" t="str">
        <f>IF(SUMIFS('Sales Return'!G:G,'Sales Return'!F:F,Sheet4!A689)=0,"",SUMIFS('Sales Return'!G:G,'Sales Return'!F:F,Sheet4!A689))</f>
        <v/>
      </c>
      <c r="F689" t="str">
        <f>IF(SUMIFS('Purchase Return'!G:G,'Purchase Return'!F:F,Sheet4!A689)=0,"",SUMIFS('Purchase Return'!G:G,'Purchase Return'!F:F,Sheet4!A689))</f>
        <v/>
      </c>
      <c r="G689" t="str">
        <f t="shared" si="10"/>
        <v/>
      </c>
    </row>
    <row r="690" spans="1:7">
      <c r="A690" t="str">
        <f>IF('Product List'!B690="","",'Product List'!B690)</f>
        <v/>
      </c>
      <c r="B690" t="str">
        <f>IF('Product List'!C690="","",'Product List'!C690)</f>
        <v/>
      </c>
      <c r="C690" t="str">
        <f>IF(SUMIFS('Purchase Record'!G:G,'Purchase Record'!F:F,Sheet4!A690)=0,"",SUMIFS('Purchase Record'!G:G,'Purchase Record'!F:F,Sheet4!A690))</f>
        <v/>
      </c>
      <c r="D690" t="str">
        <f>IF(SUMIFS('Sales Record'!H:H,'Sales Record'!F:F,Sheet4!A690)=0,"",SUMIFS('Sales Record'!H:H,'Sales Record'!F:F,Sheet4!A690))</f>
        <v/>
      </c>
      <c r="E690" t="str">
        <f>IF(SUMIFS('Sales Return'!G:G,'Sales Return'!F:F,Sheet4!A690)=0,"",SUMIFS('Sales Return'!G:G,'Sales Return'!F:F,Sheet4!A690))</f>
        <v/>
      </c>
      <c r="F690" t="str">
        <f>IF(SUMIFS('Purchase Return'!G:G,'Purchase Return'!F:F,Sheet4!A690)=0,"",SUMIFS('Purchase Return'!G:G,'Purchase Return'!F:F,Sheet4!A690))</f>
        <v/>
      </c>
      <c r="G690" t="str">
        <f t="shared" si="10"/>
        <v/>
      </c>
    </row>
    <row r="691" spans="1:7">
      <c r="A691" t="str">
        <f>IF('Product List'!B691="","",'Product List'!B691)</f>
        <v/>
      </c>
      <c r="B691" t="str">
        <f>IF('Product List'!C691="","",'Product List'!C691)</f>
        <v/>
      </c>
      <c r="C691" t="str">
        <f>IF(SUMIFS('Purchase Record'!G:G,'Purchase Record'!F:F,Sheet4!A691)=0,"",SUMIFS('Purchase Record'!G:G,'Purchase Record'!F:F,Sheet4!A691))</f>
        <v/>
      </c>
      <c r="D691" t="str">
        <f>IF(SUMIFS('Sales Record'!H:H,'Sales Record'!F:F,Sheet4!A691)=0,"",SUMIFS('Sales Record'!H:H,'Sales Record'!F:F,Sheet4!A691))</f>
        <v/>
      </c>
      <c r="E691" t="str">
        <f>IF(SUMIFS('Sales Return'!G:G,'Sales Return'!F:F,Sheet4!A691)=0,"",SUMIFS('Sales Return'!G:G,'Sales Return'!F:F,Sheet4!A691))</f>
        <v/>
      </c>
      <c r="F691" t="str">
        <f>IF(SUMIFS('Purchase Return'!G:G,'Purchase Return'!F:F,Sheet4!A691)=0,"",SUMIFS('Purchase Return'!G:G,'Purchase Return'!F:F,Sheet4!A691))</f>
        <v/>
      </c>
      <c r="G691" t="str">
        <f t="shared" si="10"/>
        <v/>
      </c>
    </row>
    <row r="692" spans="1:7">
      <c r="A692" t="str">
        <f>IF('Product List'!B692="","",'Product List'!B692)</f>
        <v/>
      </c>
      <c r="B692" t="str">
        <f>IF('Product List'!C692="","",'Product List'!C692)</f>
        <v/>
      </c>
      <c r="C692" t="str">
        <f>IF(SUMIFS('Purchase Record'!G:G,'Purchase Record'!F:F,Sheet4!A692)=0,"",SUMIFS('Purchase Record'!G:G,'Purchase Record'!F:F,Sheet4!A692))</f>
        <v/>
      </c>
      <c r="D692" t="str">
        <f>IF(SUMIFS('Sales Record'!H:H,'Sales Record'!F:F,Sheet4!A692)=0,"",SUMIFS('Sales Record'!H:H,'Sales Record'!F:F,Sheet4!A692))</f>
        <v/>
      </c>
      <c r="E692" t="str">
        <f>IF(SUMIFS('Sales Return'!G:G,'Sales Return'!F:F,Sheet4!A692)=0,"",SUMIFS('Sales Return'!G:G,'Sales Return'!F:F,Sheet4!A692))</f>
        <v/>
      </c>
      <c r="F692" t="str">
        <f>IF(SUMIFS('Purchase Return'!G:G,'Purchase Return'!F:F,Sheet4!A692)=0,"",SUMIFS('Purchase Return'!G:G,'Purchase Return'!F:F,Sheet4!A692))</f>
        <v/>
      </c>
      <c r="G692" t="str">
        <f t="shared" si="10"/>
        <v/>
      </c>
    </row>
    <row r="693" spans="1:7">
      <c r="A693" t="str">
        <f>IF('Product List'!B693="","",'Product List'!B693)</f>
        <v/>
      </c>
      <c r="B693" t="str">
        <f>IF('Product List'!C693="","",'Product List'!C693)</f>
        <v/>
      </c>
      <c r="C693" t="str">
        <f>IF(SUMIFS('Purchase Record'!G:G,'Purchase Record'!F:F,Sheet4!A693)=0,"",SUMIFS('Purchase Record'!G:G,'Purchase Record'!F:F,Sheet4!A693))</f>
        <v/>
      </c>
      <c r="D693" t="str">
        <f>IF(SUMIFS('Sales Record'!H:H,'Sales Record'!F:F,Sheet4!A693)=0,"",SUMIFS('Sales Record'!H:H,'Sales Record'!F:F,Sheet4!A693))</f>
        <v/>
      </c>
      <c r="E693" t="str">
        <f>IF(SUMIFS('Sales Return'!G:G,'Sales Return'!F:F,Sheet4!A693)=0,"",SUMIFS('Sales Return'!G:G,'Sales Return'!F:F,Sheet4!A693))</f>
        <v/>
      </c>
      <c r="F693" t="str">
        <f>IF(SUMIFS('Purchase Return'!G:G,'Purchase Return'!F:F,Sheet4!A693)=0,"",SUMIFS('Purchase Return'!G:G,'Purchase Return'!F:F,Sheet4!A693))</f>
        <v/>
      </c>
      <c r="G693" t="str">
        <f t="shared" si="10"/>
        <v/>
      </c>
    </row>
    <row r="694" spans="1:7">
      <c r="A694" t="str">
        <f>IF('Product List'!B694="","",'Product List'!B694)</f>
        <v/>
      </c>
      <c r="B694" t="str">
        <f>IF('Product List'!C694="","",'Product List'!C694)</f>
        <v/>
      </c>
      <c r="C694" t="str">
        <f>IF(SUMIFS('Purchase Record'!G:G,'Purchase Record'!F:F,Sheet4!A694)=0,"",SUMIFS('Purchase Record'!G:G,'Purchase Record'!F:F,Sheet4!A694))</f>
        <v/>
      </c>
      <c r="D694" t="str">
        <f>IF(SUMIFS('Sales Record'!H:H,'Sales Record'!F:F,Sheet4!A694)=0,"",SUMIFS('Sales Record'!H:H,'Sales Record'!F:F,Sheet4!A694))</f>
        <v/>
      </c>
      <c r="E694" t="str">
        <f>IF(SUMIFS('Sales Return'!G:G,'Sales Return'!F:F,Sheet4!A694)=0,"",SUMIFS('Sales Return'!G:G,'Sales Return'!F:F,Sheet4!A694))</f>
        <v/>
      </c>
      <c r="F694" t="str">
        <f>IF(SUMIFS('Purchase Return'!G:G,'Purchase Return'!F:F,Sheet4!A694)=0,"",SUMIFS('Purchase Return'!G:G,'Purchase Return'!F:F,Sheet4!A694))</f>
        <v/>
      </c>
      <c r="G694" t="str">
        <f t="shared" si="10"/>
        <v/>
      </c>
    </row>
    <row r="695" spans="1:7">
      <c r="A695" t="str">
        <f>IF('Product List'!B695="","",'Product List'!B695)</f>
        <v/>
      </c>
      <c r="B695" t="str">
        <f>IF('Product List'!C695="","",'Product List'!C695)</f>
        <v/>
      </c>
      <c r="C695" t="str">
        <f>IF(SUMIFS('Purchase Record'!G:G,'Purchase Record'!F:F,Sheet4!A695)=0,"",SUMIFS('Purchase Record'!G:G,'Purchase Record'!F:F,Sheet4!A695))</f>
        <v/>
      </c>
      <c r="D695" t="str">
        <f>IF(SUMIFS('Sales Record'!H:H,'Sales Record'!F:F,Sheet4!A695)=0,"",SUMIFS('Sales Record'!H:H,'Sales Record'!F:F,Sheet4!A695))</f>
        <v/>
      </c>
      <c r="E695" t="str">
        <f>IF(SUMIFS('Sales Return'!G:G,'Sales Return'!F:F,Sheet4!A695)=0,"",SUMIFS('Sales Return'!G:G,'Sales Return'!F:F,Sheet4!A695))</f>
        <v/>
      </c>
      <c r="F695" t="str">
        <f>IF(SUMIFS('Purchase Return'!G:G,'Purchase Return'!F:F,Sheet4!A695)=0,"",SUMIFS('Purchase Return'!G:G,'Purchase Return'!F:F,Sheet4!A695))</f>
        <v/>
      </c>
      <c r="G695" t="str">
        <f t="shared" si="10"/>
        <v/>
      </c>
    </row>
    <row r="696" spans="1:7">
      <c r="A696" t="str">
        <f>IF('Product List'!B696="","",'Product List'!B696)</f>
        <v/>
      </c>
      <c r="B696" t="str">
        <f>IF('Product List'!C696="","",'Product List'!C696)</f>
        <v/>
      </c>
      <c r="C696" t="str">
        <f>IF(SUMIFS('Purchase Record'!G:G,'Purchase Record'!F:F,Sheet4!A696)=0,"",SUMIFS('Purchase Record'!G:G,'Purchase Record'!F:F,Sheet4!A696))</f>
        <v/>
      </c>
      <c r="D696" t="str">
        <f>IF(SUMIFS('Sales Record'!H:H,'Sales Record'!F:F,Sheet4!A696)=0,"",SUMIFS('Sales Record'!H:H,'Sales Record'!F:F,Sheet4!A696))</f>
        <v/>
      </c>
      <c r="E696" t="str">
        <f>IF(SUMIFS('Sales Return'!G:G,'Sales Return'!F:F,Sheet4!A696)=0,"",SUMIFS('Sales Return'!G:G,'Sales Return'!F:F,Sheet4!A696))</f>
        <v/>
      </c>
      <c r="F696" t="str">
        <f>IF(SUMIFS('Purchase Return'!G:G,'Purchase Return'!F:F,Sheet4!A696)=0,"",SUMIFS('Purchase Return'!G:G,'Purchase Return'!F:F,Sheet4!A696))</f>
        <v/>
      </c>
      <c r="G696" t="str">
        <f t="shared" si="10"/>
        <v/>
      </c>
    </row>
    <row r="697" spans="1:7">
      <c r="A697" t="str">
        <f>IF('Product List'!B697="","",'Product List'!B697)</f>
        <v/>
      </c>
      <c r="B697" t="str">
        <f>IF('Product List'!C697="","",'Product List'!C697)</f>
        <v/>
      </c>
      <c r="C697" t="str">
        <f>IF(SUMIFS('Purchase Record'!G:G,'Purchase Record'!F:F,Sheet4!A697)=0,"",SUMIFS('Purchase Record'!G:G,'Purchase Record'!F:F,Sheet4!A697))</f>
        <v/>
      </c>
      <c r="D697" t="str">
        <f>IF(SUMIFS('Sales Record'!H:H,'Sales Record'!F:F,Sheet4!A697)=0,"",SUMIFS('Sales Record'!H:H,'Sales Record'!F:F,Sheet4!A697))</f>
        <v/>
      </c>
      <c r="E697" t="str">
        <f>IF(SUMIFS('Sales Return'!G:G,'Sales Return'!F:F,Sheet4!A697)=0,"",SUMIFS('Sales Return'!G:G,'Sales Return'!F:F,Sheet4!A697))</f>
        <v/>
      </c>
      <c r="F697" t="str">
        <f>IF(SUMIFS('Purchase Return'!G:G,'Purchase Return'!F:F,Sheet4!A697)=0,"",SUMIFS('Purchase Return'!G:G,'Purchase Return'!F:F,Sheet4!A697))</f>
        <v/>
      </c>
      <c r="G697" t="str">
        <f t="shared" si="10"/>
        <v/>
      </c>
    </row>
    <row r="698" spans="1:7">
      <c r="A698" t="str">
        <f>IF('Product List'!B698="","",'Product List'!B698)</f>
        <v/>
      </c>
      <c r="B698" t="str">
        <f>IF('Product List'!C698="","",'Product List'!C698)</f>
        <v/>
      </c>
      <c r="C698" t="str">
        <f>IF(SUMIFS('Purchase Record'!G:G,'Purchase Record'!F:F,Sheet4!A698)=0,"",SUMIFS('Purchase Record'!G:G,'Purchase Record'!F:F,Sheet4!A698))</f>
        <v/>
      </c>
      <c r="D698" t="str">
        <f>IF(SUMIFS('Sales Record'!H:H,'Sales Record'!F:F,Sheet4!A698)=0,"",SUMIFS('Sales Record'!H:H,'Sales Record'!F:F,Sheet4!A698))</f>
        <v/>
      </c>
      <c r="E698" t="str">
        <f>IF(SUMIFS('Sales Return'!G:G,'Sales Return'!F:F,Sheet4!A698)=0,"",SUMIFS('Sales Return'!G:G,'Sales Return'!F:F,Sheet4!A698))</f>
        <v/>
      </c>
      <c r="F698" t="str">
        <f>IF(SUMIFS('Purchase Return'!G:G,'Purchase Return'!F:F,Sheet4!A698)=0,"",SUMIFS('Purchase Return'!G:G,'Purchase Return'!F:F,Sheet4!A698))</f>
        <v/>
      </c>
      <c r="G698" t="str">
        <f t="shared" si="10"/>
        <v/>
      </c>
    </row>
    <row r="699" spans="1:7">
      <c r="A699" t="str">
        <f>IF('Product List'!B699="","",'Product List'!B699)</f>
        <v/>
      </c>
      <c r="B699" t="str">
        <f>IF('Product List'!C699="","",'Product List'!C699)</f>
        <v/>
      </c>
      <c r="C699" t="str">
        <f>IF(SUMIFS('Purchase Record'!G:G,'Purchase Record'!F:F,Sheet4!A699)=0,"",SUMIFS('Purchase Record'!G:G,'Purchase Record'!F:F,Sheet4!A699))</f>
        <v/>
      </c>
      <c r="D699" t="str">
        <f>IF(SUMIFS('Sales Record'!H:H,'Sales Record'!F:F,Sheet4!A699)=0,"",SUMIFS('Sales Record'!H:H,'Sales Record'!F:F,Sheet4!A699))</f>
        <v/>
      </c>
      <c r="E699" t="str">
        <f>IF(SUMIFS('Sales Return'!G:G,'Sales Return'!F:F,Sheet4!A699)=0,"",SUMIFS('Sales Return'!G:G,'Sales Return'!F:F,Sheet4!A699))</f>
        <v/>
      </c>
      <c r="F699" t="str">
        <f>IF(SUMIFS('Purchase Return'!G:G,'Purchase Return'!F:F,Sheet4!A699)=0,"",SUMIFS('Purchase Return'!G:G,'Purchase Return'!F:F,Sheet4!A699))</f>
        <v/>
      </c>
      <c r="G699" t="str">
        <f t="shared" si="10"/>
        <v/>
      </c>
    </row>
    <row r="700" spans="1:7">
      <c r="A700" t="str">
        <f>IF('Product List'!B700="","",'Product List'!B700)</f>
        <v/>
      </c>
      <c r="B700" t="str">
        <f>IF('Product List'!C700="","",'Product List'!C700)</f>
        <v/>
      </c>
      <c r="C700" t="str">
        <f>IF(SUMIFS('Purchase Record'!G:G,'Purchase Record'!F:F,Sheet4!A700)=0,"",SUMIFS('Purchase Record'!G:G,'Purchase Record'!F:F,Sheet4!A700))</f>
        <v/>
      </c>
      <c r="D700" t="str">
        <f>IF(SUMIFS('Sales Record'!H:H,'Sales Record'!F:F,Sheet4!A700)=0,"",SUMIFS('Sales Record'!H:H,'Sales Record'!F:F,Sheet4!A700))</f>
        <v/>
      </c>
      <c r="E700" t="str">
        <f>IF(SUMIFS('Sales Return'!G:G,'Sales Return'!F:F,Sheet4!A700)=0,"",SUMIFS('Sales Return'!G:G,'Sales Return'!F:F,Sheet4!A700))</f>
        <v/>
      </c>
      <c r="F700" t="str">
        <f>IF(SUMIFS('Purchase Return'!G:G,'Purchase Return'!F:F,Sheet4!A700)=0,"",SUMIFS('Purchase Return'!G:G,'Purchase Return'!F:F,Sheet4!A700))</f>
        <v/>
      </c>
      <c r="G700" t="str">
        <f t="shared" si="10"/>
        <v/>
      </c>
    </row>
    <row r="701" spans="1:7">
      <c r="A701" t="str">
        <f>IF('Product List'!B701="","",'Product List'!B701)</f>
        <v/>
      </c>
      <c r="B701" t="str">
        <f>IF('Product List'!C701="","",'Product List'!C701)</f>
        <v/>
      </c>
      <c r="C701" t="str">
        <f>IF(SUMIFS('Purchase Record'!G:G,'Purchase Record'!F:F,Sheet4!A701)=0,"",SUMIFS('Purchase Record'!G:G,'Purchase Record'!F:F,Sheet4!A701))</f>
        <v/>
      </c>
      <c r="D701" t="str">
        <f>IF(SUMIFS('Sales Record'!H:H,'Sales Record'!F:F,Sheet4!A701)=0,"",SUMIFS('Sales Record'!H:H,'Sales Record'!F:F,Sheet4!A701))</f>
        <v/>
      </c>
      <c r="E701" t="str">
        <f>IF(SUMIFS('Sales Return'!G:G,'Sales Return'!F:F,Sheet4!A701)=0,"",SUMIFS('Sales Return'!G:G,'Sales Return'!F:F,Sheet4!A701))</f>
        <v/>
      </c>
      <c r="F701" t="str">
        <f>IF(SUMIFS('Purchase Return'!G:G,'Purchase Return'!F:F,Sheet4!A701)=0,"",SUMIFS('Purchase Return'!G:G,'Purchase Return'!F:F,Sheet4!A701))</f>
        <v/>
      </c>
      <c r="G701" t="str">
        <f t="shared" si="10"/>
        <v/>
      </c>
    </row>
    <row r="702" spans="1:7">
      <c r="A702" t="str">
        <f>IF('Product List'!B702="","",'Product List'!B702)</f>
        <v/>
      </c>
      <c r="B702" t="str">
        <f>IF('Product List'!C702="","",'Product List'!C702)</f>
        <v/>
      </c>
      <c r="C702" t="str">
        <f>IF(SUMIFS('Purchase Record'!G:G,'Purchase Record'!F:F,Sheet4!A702)=0,"",SUMIFS('Purchase Record'!G:G,'Purchase Record'!F:F,Sheet4!A702))</f>
        <v/>
      </c>
      <c r="D702" t="str">
        <f>IF(SUMIFS('Sales Record'!H:H,'Sales Record'!F:F,Sheet4!A702)=0,"",SUMIFS('Sales Record'!H:H,'Sales Record'!F:F,Sheet4!A702))</f>
        <v/>
      </c>
      <c r="E702" t="str">
        <f>IF(SUMIFS('Sales Return'!G:G,'Sales Return'!F:F,Sheet4!A702)=0,"",SUMIFS('Sales Return'!G:G,'Sales Return'!F:F,Sheet4!A702))</f>
        <v/>
      </c>
      <c r="F702" t="str">
        <f>IF(SUMIFS('Purchase Return'!G:G,'Purchase Return'!F:F,Sheet4!A702)=0,"",SUMIFS('Purchase Return'!G:G,'Purchase Return'!F:F,Sheet4!A702))</f>
        <v/>
      </c>
      <c r="G702" t="str">
        <f t="shared" si="10"/>
        <v/>
      </c>
    </row>
    <row r="703" spans="1:7">
      <c r="A703" t="str">
        <f>IF('Product List'!B703="","",'Product List'!B703)</f>
        <v/>
      </c>
      <c r="B703" t="str">
        <f>IF('Product List'!C703="","",'Product List'!C703)</f>
        <v/>
      </c>
      <c r="C703" t="str">
        <f>IF(SUMIFS('Purchase Record'!G:G,'Purchase Record'!F:F,Sheet4!A703)=0,"",SUMIFS('Purchase Record'!G:G,'Purchase Record'!F:F,Sheet4!A703))</f>
        <v/>
      </c>
      <c r="D703" t="str">
        <f>IF(SUMIFS('Sales Record'!H:H,'Sales Record'!F:F,Sheet4!A703)=0,"",SUMIFS('Sales Record'!H:H,'Sales Record'!F:F,Sheet4!A703))</f>
        <v/>
      </c>
      <c r="E703" t="str">
        <f>IF(SUMIFS('Sales Return'!G:G,'Sales Return'!F:F,Sheet4!A703)=0,"",SUMIFS('Sales Return'!G:G,'Sales Return'!F:F,Sheet4!A703))</f>
        <v/>
      </c>
      <c r="F703" t="str">
        <f>IF(SUMIFS('Purchase Return'!G:G,'Purchase Return'!F:F,Sheet4!A703)=0,"",SUMIFS('Purchase Return'!G:G,'Purchase Return'!F:F,Sheet4!A703))</f>
        <v/>
      </c>
      <c r="G703" t="str">
        <f t="shared" si="10"/>
        <v/>
      </c>
    </row>
    <row r="704" spans="1:7">
      <c r="A704" t="str">
        <f>IF('Product List'!B704="","",'Product List'!B704)</f>
        <v/>
      </c>
      <c r="B704" t="str">
        <f>IF('Product List'!C704="","",'Product List'!C704)</f>
        <v/>
      </c>
      <c r="C704" t="str">
        <f>IF(SUMIFS('Purchase Record'!G:G,'Purchase Record'!F:F,Sheet4!A704)=0,"",SUMIFS('Purchase Record'!G:G,'Purchase Record'!F:F,Sheet4!A704))</f>
        <v/>
      </c>
      <c r="D704" t="str">
        <f>IF(SUMIFS('Sales Record'!H:H,'Sales Record'!F:F,Sheet4!A704)=0,"",SUMIFS('Sales Record'!H:H,'Sales Record'!F:F,Sheet4!A704))</f>
        <v/>
      </c>
      <c r="E704" t="str">
        <f>IF(SUMIFS('Sales Return'!G:G,'Sales Return'!F:F,Sheet4!A704)=0,"",SUMIFS('Sales Return'!G:G,'Sales Return'!F:F,Sheet4!A704))</f>
        <v/>
      </c>
      <c r="F704" t="str">
        <f>IF(SUMIFS('Purchase Return'!G:G,'Purchase Return'!F:F,Sheet4!A704)=0,"",SUMIFS('Purchase Return'!G:G,'Purchase Return'!F:F,Sheet4!A704))</f>
        <v/>
      </c>
      <c r="G704" t="str">
        <f t="shared" si="10"/>
        <v/>
      </c>
    </row>
    <row r="705" spans="1:7">
      <c r="A705" t="str">
        <f>IF('Product List'!B705="","",'Product List'!B705)</f>
        <v/>
      </c>
      <c r="B705" t="str">
        <f>IF('Product List'!C705="","",'Product List'!C705)</f>
        <v/>
      </c>
      <c r="C705" t="str">
        <f>IF(SUMIFS('Purchase Record'!G:G,'Purchase Record'!F:F,Sheet4!A705)=0,"",SUMIFS('Purchase Record'!G:G,'Purchase Record'!F:F,Sheet4!A705))</f>
        <v/>
      </c>
      <c r="D705" t="str">
        <f>IF(SUMIFS('Sales Record'!H:H,'Sales Record'!F:F,Sheet4!A705)=0,"",SUMIFS('Sales Record'!H:H,'Sales Record'!F:F,Sheet4!A705))</f>
        <v/>
      </c>
      <c r="E705" t="str">
        <f>IF(SUMIFS('Sales Return'!G:G,'Sales Return'!F:F,Sheet4!A705)=0,"",SUMIFS('Sales Return'!G:G,'Sales Return'!F:F,Sheet4!A705))</f>
        <v/>
      </c>
      <c r="F705" t="str">
        <f>IF(SUMIFS('Purchase Return'!G:G,'Purchase Return'!F:F,Sheet4!A705)=0,"",SUMIFS('Purchase Return'!G:G,'Purchase Return'!F:F,Sheet4!A705))</f>
        <v/>
      </c>
      <c r="G705" t="str">
        <f t="shared" si="10"/>
        <v/>
      </c>
    </row>
    <row r="706" spans="1:7">
      <c r="A706" t="str">
        <f>IF('Product List'!B706="","",'Product List'!B706)</f>
        <v/>
      </c>
      <c r="B706" t="str">
        <f>IF('Product List'!C706="","",'Product List'!C706)</f>
        <v/>
      </c>
      <c r="C706" t="str">
        <f>IF(SUMIFS('Purchase Record'!G:G,'Purchase Record'!F:F,Sheet4!A706)=0,"",SUMIFS('Purchase Record'!G:G,'Purchase Record'!F:F,Sheet4!A706))</f>
        <v/>
      </c>
      <c r="D706" t="str">
        <f>IF(SUMIFS('Sales Record'!H:H,'Sales Record'!F:F,Sheet4!A706)=0,"",SUMIFS('Sales Record'!H:H,'Sales Record'!F:F,Sheet4!A706))</f>
        <v/>
      </c>
      <c r="E706" t="str">
        <f>IF(SUMIFS('Sales Return'!G:G,'Sales Return'!F:F,Sheet4!A706)=0,"",SUMIFS('Sales Return'!G:G,'Sales Return'!F:F,Sheet4!A706))</f>
        <v/>
      </c>
      <c r="F706" t="str">
        <f>IF(SUMIFS('Purchase Return'!G:G,'Purchase Return'!F:F,Sheet4!A706)=0,"",SUMIFS('Purchase Return'!G:G,'Purchase Return'!F:F,Sheet4!A706))</f>
        <v/>
      </c>
      <c r="G706" t="str">
        <f t="shared" si="10"/>
        <v/>
      </c>
    </row>
    <row r="707" spans="1:7">
      <c r="A707" t="str">
        <f>IF('Product List'!B707="","",'Product List'!B707)</f>
        <v/>
      </c>
      <c r="B707" t="str">
        <f>IF('Product List'!C707="","",'Product List'!C707)</f>
        <v/>
      </c>
      <c r="C707" t="str">
        <f>IF(SUMIFS('Purchase Record'!G:G,'Purchase Record'!F:F,Sheet4!A707)=0,"",SUMIFS('Purchase Record'!G:G,'Purchase Record'!F:F,Sheet4!A707))</f>
        <v/>
      </c>
      <c r="D707" t="str">
        <f>IF(SUMIFS('Sales Record'!H:H,'Sales Record'!F:F,Sheet4!A707)=0,"",SUMIFS('Sales Record'!H:H,'Sales Record'!F:F,Sheet4!A707))</f>
        <v/>
      </c>
      <c r="E707" t="str">
        <f>IF(SUMIFS('Sales Return'!G:G,'Sales Return'!F:F,Sheet4!A707)=0,"",SUMIFS('Sales Return'!G:G,'Sales Return'!F:F,Sheet4!A707))</f>
        <v/>
      </c>
      <c r="F707" t="str">
        <f>IF(SUMIFS('Purchase Return'!G:G,'Purchase Return'!F:F,Sheet4!A707)=0,"",SUMIFS('Purchase Return'!G:G,'Purchase Return'!F:F,Sheet4!A707))</f>
        <v/>
      </c>
      <c r="G707" t="str">
        <f t="shared" ref="G707:G770" si="11">IF(C707="","",N(C707)-N(D707)+N(E707)-N(F707))</f>
        <v/>
      </c>
    </row>
    <row r="708" spans="1:7">
      <c r="A708" t="str">
        <f>IF('Product List'!B708="","",'Product List'!B708)</f>
        <v/>
      </c>
      <c r="B708" t="str">
        <f>IF('Product List'!C708="","",'Product List'!C708)</f>
        <v/>
      </c>
      <c r="C708" t="str">
        <f>IF(SUMIFS('Purchase Record'!G:G,'Purchase Record'!F:F,Sheet4!A708)=0,"",SUMIFS('Purchase Record'!G:G,'Purchase Record'!F:F,Sheet4!A708))</f>
        <v/>
      </c>
      <c r="D708" t="str">
        <f>IF(SUMIFS('Sales Record'!H:H,'Sales Record'!F:F,Sheet4!A708)=0,"",SUMIFS('Sales Record'!H:H,'Sales Record'!F:F,Sheet4!A708))</f>
        <v/>
      </c>
      <c r="E708" t="str">
        <f>IF(SUMIFS('Sales Return'!G:G,'Sales Return'!F:F,Sheet4!A708)=0,"",SUMIFS('Sales Return'!G:G,'Sales Return'!F:F,Sheet4!A708))</f>
        <v/>
      </c>
      <c r="F708" t="str">
        <f>IF(SUMIFS('Purchase Return'!G:G,'Purchase Return'!F:F,Sheet4!A708)=0,"",SUMIFS('Purchase Return'!G:G,'Purchase Return'!F:F,Sheet4!A708))</f>
        <v/>
      </c>
      <c r="G708" t="str">
        <f t="shared" si="11"/>
        <v/>
      </c>
    </row>
    <row r="709" spans="1:7">
      <c r="A709" t="str">
        <f>IF('Product List'!B709="","",'Product List'!B709)</f>
        <v/>
      </c>
      <c r="B709" t="str">
        <f>IF('Product List'!C709="","",'Product List'!C709)</f>
        <v/>
      </c>
      <c r="C709" t="str">
        <f>IF(SUMIFS('Purchase Record'!G:G,'Purchase Record'!F:F,Sheet4!A709)=0,"",SUMIFS('Purchase Record'!G:G,'Purchase Record'!F:F,Sheet4!A709))</f>
        <v/>
      </c>
      <c r="D709" t="str">
        <f>IF(SUMIFS('Sales Record'!H:H,'Sales Record'!F:F,Sheet4!A709)=0,"",SUMIFS('Sales Record'!H:H,'Sales Record'!F:F,Sheet4!A709))</f>
        <v/>
      </c>
      <c r="E709" t="str">
        <f>IF(SUMIFS('Sales Return'!G:G,'Sales Return'!F:F,Sheet4!A709)=0,"",SUMIFS('Sales Return'!G:G,'Sales Return'!F:F,Sheet4!A709))</f>
        <v/>
      </c>
      <c r="F709" t="str">
        <f>IF(SUMIFS('Purchase Return'!G:G,'Purchase Return'!F:F,Sheet4!A709)=0,"",SUMIFS('Purchase Return'!G:G,'Purchase Return'!F:F,Sheet4!A709))</f>
        <v/>
      </c>
      <c r="G709" t="str">
        <f t="shared" si="11"/>
        <v/>
      </c>
    </row>
    <row r="710" spans="1:7">
      <c r="A710" t="str">
        <f>IF('Product List'!B710="","",'Product List'!B710)</f>
        <v/>
      </c>
      <c r="B710" t="str">
        <f>IF('Product List'!C710="","",'Product List'!C710)</f>
        <v/>
      </c>
      <c r="C710" t="str">
        <f>IF(SUMIFS('Purchase Record'!G:G,'Purchase Record'!F:F,Sheet4!A710)=0,"",SUMIFS('Purchase Record'!G:G,'Purchase Record'!F:F,Sheet4!A710))</f>
        <v/>
      </c>
      <c r="D710" t="str">
        <f>IF(SUMIFS('Sales Record'!H:H,'Sales Record'!F:F,Sheet4!A710)=0,"",SUMIFS('Sales Record'!H:H,'Sales Record'!F:F,Sheet4!A710))</f>
        <v/>
      </c>
      <c r="E710" t="str">
        <f>IF(SUMIFS('Sales Return'!G:G,'Sales Return'!F:F,Sheet4!A710)=0,"",SUMIFS('Sales Return'!G:G,'Sales Return'!F:F,Sheet4!A710))</f>
        <v/>
      </c>
      <c r="F710" t="str">
        <f>IF(SUMIFS('Purchase Return'!G:G,'Purchase Return'!F:F,Sheet4!A710)=0,"",SUMIFS('Purchase Return'!G:G,'Purchase Return'!F:F,Sheet4!A710))</f>
        <v/>
      </c>
      <c r="G710" t="str">
        <f t="shared" si="11"/>
        <v/>
      </c>
    </row>
    <row r="711" spans="1:7">
      <c r="A711" t="str">
        <f>IF('Product List'!B711="","",'Product List'!B711)</f>
        <v/>
      </c>
      <c r="B711" t="str">
        <f>IF('Product List'!C711="","",'Product List'!C711)</f>
        <v/>
      </c>
      <c r="C711" t="str">
        <f>IF(SUMIFS('Purchase Record'!G:G,'Purchase Record'!F:F,Sheet4!A711)=0,"",SUMIFS('Purchase Record'!G:G,'Purchase Record'!F:F,Sheet4!A711))</f>
        <v/>
      </c>
      <c r="D711" t="str">
        <f>IF(SUMIFS('Sales Record'!H:H,'Sales Record'!F:F,Sheet4!A711)=0,"",SUMIFS('Sales Record'!H:H,'Sales Record'!F:F,Sheet4!A711))</f>
        <v/>
      </c>
      <c r="E711" t="str">
        <f>IF(SUMIFS('Sales Return'!G:G,'Sales Return'!F:F,Sheet4!A711)=0,"",SUMIFS('Sales Return'!G:G,'Sales Return'!F:F,Sheet4!A711))</f>
        <v/>
      </c>
      <c r="F711" t="str">
        <f>IF(SUMIFS('Purchase Return'!G:G,'Purchase Return'!F:F,Sheet4!A711)=0,"",SUMIFS('Purchase Return'!G:G,'Purchase Return'!F:F,Sheet4!A711))</f>
        <v/>
      </c>
      <c r="G711" t="str">
        <f t="shared" si="11"/>
        <v/>
      </c>
    </row>
    <row r="712" spans="1:7">
      <c r="A712" t="str">
        <f>IF('Product List'!B712="","",'Product List'!B712)</f>
        <v/>
      </c>
      <c r="B712" t="str">
        <f>IF('Product List'!C712="","",'Product List'!C712)</f>
        <v/>
      </c>
      <c r="C712" t="str">
        <f>IF(SUMIFS('Purchase Record'!G:G,'Purchase Record'!F:F,Sheet4!A712)=0,"",SUMIFS('Purchase Record'!G:G,'Purchase Record'!F:F,Sheet4!A712))</f>
        <v/>
      </c>
      <c r="D712" t="str">
        <f>IF(SUMIFS('Sales Record'!H:H,'Sales Record'!F:F,Sheet4!A712)=0,"",SUMIFS('Sales Record'!H:H,'Sales Record'!F:F,Sheet4!A712))</f>
        <v/>
      </c>
      <c r="E712" t="str">
        <f>IF(SUMIFS('Sales Return'!G:G,'Sales Return'!F:F,Sheet4!A712)=0,"",SUMIFS('Sales Return'!G:G,'Sales Return'!F:F,Sheet4!A712))</f>
        <v/>
      </c>
      <c r="F712" t="str">
        <f>IF(SUMIFS('Purchase Return'!G:G,'Purchase Return'!F:F,Sheet4!A712)=0,"",SUMIFS('Purchase Return'!G:G,'Purchase Return'!F:F,Sheet4!A712))</f>
        <v/>
      </c>
      <c r="G712" t="str">
        <f t="shared" si="11"/>
        <v/>
      </c>
    </row>
    <row r="713" spans="1:7">
      <c r="A713" t="str">
        <f>IF('Product List'!B713="","",'Product List'!B713)</f>
        <v/>
      </c>
      <c r="B713" t="str">
        <f>IF('Product List'!C713="","",'Product List'!C713)</f>
        <v/>
      </c>
      <c r="C713" t="str">
        <f>IF(SUMIFS('Purchase Record'!G:G,'Purchase Record'!F:F,Sheet4!A713)=0,"",SUMIFS('Purchase Record'!G:G,'Purchase Record'!F:F,Sheet4!A713))</f>
        <v/>
      </c>
      <c r="D713" t="str">
        <f>IF(SUMIFS('Sales Record'!H:H,'Sales Record'!F:F,Sheet4!A713)=0,"",SUMIFS('Sales Record'!H:H,'Sales Record'!F:F,Sheet4!A713))</f>
        <v/>
      </c>
      <c r="E713" t="str">
        <f>IF(SUMIFS('Sales Return'!G:G,'Sales Return'!F:F,Sheet4!A713)=0,"",SUMIFS('Sales Return'!G:G,'Sales Return'!F:F,Sheet4!A713))</f>
        <v/>
      </c>
      <c r="F713" t="str">
        <f>IF(SUMIFS('Purchase Return'!G:G,'Purchase Return'!F:F,Sheet4!A713)=0,"",SUMIFS('Purchase Return'!G:G,'Purchase Return'!F:F,Sheet4!A713))</f>
        <v/>
      </c>
      <c r="G713" t="str">
        <f t="shared" si="11"/>
        <v/>
      </c>
    </row>
    <row r="714" spans="1:7">
      <c r="A714" t="str">
        <f>IF('Product List'!B714="","",'Product List'!B714)</f>
        <v/>
      </c>
      <c r="B714" t="str">
        <f>IF('Product List'!C714="","",'Product List'!C714)</f>
        <v/>
      </c>
      <c r="C714" t="str">
        <f>IF(SUMIFS('Purchase Record'!G:G,'Purchase Record'!F:F,Sheet4!A714)=0,"",SUMIFS('Purchase Record'!G:G,'Purchase Record'!F:F,Sheet4!A714))</f>
        <v/>
      </c>
      <c r="D714" t="str">
        <f>IF(SUMIFS('Sales Record'!H:H,'Sales Record'!F:F,Sheet4!A714)=0,"",SUMIFS('Sales Record'!H:H,'Sales Record'!F:F,Sheet4!A714))</f>
        <v/>
      </c>
      <c r="E714" t="str">
        <f>IF(SUMIFS('Sales Return'!G:G,'Sales Return'!F:F,Sheet4!A714)=0,"",SUMIFS('Sales Return'!G:G,'Sales Return'!F:F,Sheet4!A714))</f>
        <v/>
      </c>
      <c r="F714" t="str">
        <f>IF(SUMIFS('Purchase Return'!G:G,'Purchase Return'!F:F,Sheet4!A714)=0,"",SUMIFS('Purchase Return'!G:G,'Purchase Return'!F:F,Sheet4!A714))</f>
        <v/>
      </c>
      <c r="G714" t="str">
        <f t="shared" si="11"/>
        <v/>
      </c>
    </row>
    <row r="715" spans="1:7">
      <c r="A715" t="str">
        <f>IF('Product List'!B715="","",'Product List'!B715)</f>
        <v/>
      </c>
      <c r="B715" t="str">
        <f>IF('Product List'!C715="","",'Product List'!C715)</f>
        <v/>
      </c>
      <c r="C715" t="str">
        <f>IF(SUMIFS('Purchase Record'!G:G,'Purchase Record'!F:F,Sheet4!A715)=0,"",SUMIFS('Purchase Record'!G:G,'Purchase Record'!F:F,Sheet4!A715))</f>
        <v/>
      </c>
      <c r="D715" t="str">
        <f>IF(SUMIFS('Sales Record'!H:H,'Sales Record'!F:F,Sheet4!A715)=0,"",SUMIFS('Sales Record'!H:H,'Sales Record'!F:F,Sheet4!A715))</f>
        <v/>
      </c>
      <c r="E715" t="str">
        <f>IF(SUMIFS('Sales Return'!G:G,'Sales Return'!F:F,Sheet4!A715)=0,"",SUMIFS('Sales Return'!G:G,'Sales Return'!F:F,Sheet4!A715))</f>
        <v/>
      </c>
      <c r="F715" t="str">
        <f>IF(SUMIFS('Purchase Return'!G:G,'Purchase Return'!F:F,Sheet4!A715)=0,"",SUMIFS('Purchase Return'!G:G,'Purchase Return'!F:F,Sheet4!A715))</f>
        <v/>
      </c>
      <c r="G715" t="str">
        <f t="shared" si="11"/>
        <v/>
      </c>
    </row>
    <row r="716" spans="1:7">
      <c r="A716" t="str">
        <f>IF('Product List'!B716="","",'Product List'!B716)</f>
        <v/>
      </c>
      <c r="B716" t="str">
        <f>IF('Product List'!C716="","",'Product List'!C716)</f>
        <v/>
      </c>
      <c r="C716" t="str">
        <f>IF(SUMIFS('Purchase Record'!G:G,'Purchase Record'!F:F,Sheet4!A716)=0,"",SUMIFS('Purchase Record'!G:G,'Purchase Record'!F:F,Sheet4!A716))</f>
        <v/>
      </c>
      <c r="D716" t="str">
        <f>IF(SUMIFS('Sales Record'!H:H,'Sales Record'!F:F,Sheet4!A716)=0,"",SUMIFS('Sales Record'!H:H,'Sales Record'!F:F,Sheet4!A716))</f>
        <v/>
      </c>
      <c r="E716" t="str">
        <f>IF(SUMIFS('Sales Return'!G:G,'Sales Return'!F:F,Sheet4!A716)=0,"",SUMIFS('Sales Return'!G:G,'Sales Return'!F:F,Sheet4!A716))</f>
        <v/>
      </c>
      <c r="F716" t="str">
        <f>IF(SUMIFS('Purchase Return'!G:G,'Purchase Return'!F:F,Sheet4!A716)=0,"",SUMIFS('Purchase Return'!G:G,'Purchase Return'!F:F,Sheet4!A716))</f>
        <v/>
      </c>
      <c r="G716" t="str">
        <f t="shared" si="11"/>
        <v/>
      </c>
    </row>
    <row r="717" spans="1:7">
      <c r="A717" t="str">
        <f>IF('Product List'!B717="","",'Product List'!B717)</f>
        <v/>
      </c>
      <c r="B717" t="str">
        <f>IF('Product List'!C717="","",'Product List'!C717)</f>
        <v/>
      </c>
      <c r="C717" t="str">
        <f>IF(SUMIFS('Purchase Record'!G:G,'Purchase Record'!F:F,Sheet4!A717)=0,"",SUMIFS('Purchase Record'!G:G,'Purchase Record'!F:F,Sheet4!A717))</f>
        <v/>
      </c>
      <c r="D717" t="str">
        <f>IF(SUMIFS('Sales Record'!H:H,'Sales Record'!F:F,Sheet4!A717)=0,"",SUMIFS('Sales Record'!H:H,'Sales Record'!F:F,Sheet4!A717))</f>
        <v/>
      </c>
      <c r="E717" t="str">
        <f>IF(SUMIFS('Sales Return'!G:G,'Sales Return'!F:F,Sheet4!A717)=0,"",SUMIFS('Sales Return'!G:G,'Sales Return'!F:F,Sheet4!A717))</f>
        <v/>
      </c>
      <c r="F717" t="str">
        <f>IF(SUMIFS('Purchase Return'!G:G,'Purchase Return'!F:F,Sheet4!A717)=0,"",SUMIFS('Purchase Return'!G:G,'Purchase Return'!F:F,Sheet4!A717))</f>
        <v/>
      </c>
      <c r="G717" t="str">
        <f t="shared" si="11"/>
        <v/>
      </c>
    </row>
    <row r="718" spans="1:7">
      <c r="A718" t="str">
        <f>IF('Product List'!B718="","",'Product List'!B718)</f>
        <v/>
      </c>
      <c r="B718" t="str">
        <f>IF('Product List'!C718="","",'Product List'!C718)</f>
        <v/>
      </c>
      <c r="C718" t="str">
        <f>IF(SUMIFS('Purchase Record'!G:G,'Purchase Record'!F:F,Sheet4!A718)=0,"",SUMIFS('Purchase Record'!G:G,'Purchase Record'!F:F,Sheet4!A718))</f>
        <v/>
      </c>
      <c r="D718" t="str">
        <f>IF(SUMIFS('Sales Record'!H:H,'Sales Record'!F:F,Sheet4!A718)=0,"",SUMIFS('Sales Record'!H:H,'Sales Record'!F:F,Sheet4!A718))</f>
        <v/>
      </c>
      <c r="E718" t="str">
        <f>IF(SUMIFS('Sales Return'!G:G,'Sales Return'!F:F,Sheet4!A718)=0,"",SUMIFS('Sales Return'!G:G,'Sales Return'!F:F,Sheet4!A718))</f>
        <v/>
      </c>
      <c r="F718" t="str">
        <f>IF(SUMIFS('Purchase Return'!G:G,'Purchase Return'!F:F,Sheet4!A718)=0,"",SUMIFS('Purchase Return'!G:G,'Purchase Return'!F:F,Sheet4!A718))</f>
        <v/>
      </c>
      <c r="G718" t="str">
        <f t="shared" si="11"/>
        <v/>
      </c>
    </row>
    <row r="719" spans="1:7">
      <c r="A719" t="str">
        <f>IF('Product List'!B719="","",'Product List'!B719)</f>
        <v/>
      </c>
      <c r="B719" t="str">
        <f>IF('Product List'!C719="","",'Product List'!C719)</f>
        <v/>
      </c>
      <c r="C719" t="str">
        <f>IF(SUMIFS('Purchase Record'!G:G,'Purchase Record'!F:F,Sheet4!A719)=0,"",SUMIFS('Purchase Record'!G:G,'Purchase Record'!F:F,Sheet4!A719))</f>
        <v/>
      </c>
      <c r="D719" t="str">
        <f>IF(SUMIFS('Sales Record'!H:H,'Sales Record'!F:F,Sheet4!A719)=0,"",SUMIFS('Sales Record'!H:H,'Sales Record'!F:F,Sheet4!A719))</f>
        <v/>
      </c>
      <c r="E719" t="str">
        <f>IF(SUMIFS('Sales Return'!G:G,'Sales Return'!F:F,Sheet4!A719)=0,"",SUMIFS('Sales Return'!G:G,'Sales Return'!F:F,Sheet4!A719))</f>
        <v/>
      </c>
      <c r="F719" t="str">
        <f>IF(SUMIFS('Purchase Return'!G:G,'Purchase Return'!F:F,Sheet4!A719)=0,"",SUMIFS('Purchase Return'!G:G,'Purchase Return'!F:F,Sheet4!A719))</f>
        <v/>
      </c>
      <c r="G719" t="str">
        <f t="shared" si="11"/>
        <v/>
      </c>
    </row>
    <row r="720" spans="1:7">
      <c r="A720" t="str">
        <f>IF('Product List'!B720="","",'Product List'!B720)</f>
        <v/>
      </c>
      <c r="B720" t="str">
        <f>IF('Product List'!C720="","",'Product List'!C720)</f>
        <v/>
      </c>
      <c r="C720" t="str">
        <f>IF(SUMIFS('Purchase Record'!G:G,'Purchase Record'!F:F,Sheet4!A720)=0,"",SUMIFS('Purchase Record'!G:G,'Purchase Record'!F:F,Sheet4!A720))</f>
        <v/>
      </c>
      <c r="D720" t="str">
        <f>IF(SUMIFS('Sales Record'!H:H,'Sales Record'!F:F,Sheet4!A720)=0,"",SUMIFS('Sales Record'!H:H,'Sales Record'!F:F,Sheet4!A720))</f>
        <v/>
      </c>
      <c r="E720" t="str">
        <f>IF(SUMIFS('Sales Return'!G:G,'Sales Return'!F:F,Sheet4!A720)=0,"",SUMIFS('Sales Return'!G:G,'Sales Return'!F:F,Sheet4!A720))</f>
        <v/>
      </c>
      <c r="F720" t="str">
        <f>IF(SUMIFS('Purchase Return'!G:G,'Purchase Return'!F:F,Sheet4!A720)=0,"",SUMIFS('Purchase Return'!G:G,'Purchase Return'!F:F,Sheet4!A720))</f>
        <v/>
      </c>
      <c r="G720" t="str">
        <f t="shared" si="11"/>
        <v/>
      </c>
    </row>
    <row r="721" spans="1:7">
      <c r="A721" t="str">
        <f>IF('Product List'!B721="","",'Product List'!B721)</f>
        <v/>
      </c>
      <c r="B721" t="str">
        <f>IF('Product List'!C721="","",'Product List'!C721)</f>
        <v/>
      </c>
      <c r="C721" t="str">
        <f>IF(SUMIFS('Purchase Record'!G:G,'Purchase Record'!F:F,Sheet4!A721)=0,"",SUMIFS('Purchase Record'!G:G,'Purchase Record'!F:F,Sheet4!A721))</f>
        <v/>
      </c>
      <c r="D721" t="str">
        <f>IF(SUMIFS('Sales Record'!H:H,'Sales Record'!F:F,Sheet4!A721)=0,"",SUMIFS('Sales Record'!H:H,'Sales Record'!F:F,Sheet4!A721))</f>
        <v/>
      </c>
      <c r="E721" t="str">
        <f>IF(SUMIFS('Sales Return'!G:G,'Sales Return'!F:F,Sheet4!A721)=0,"",SUMIFS('Sales Return'!G:G,'Sales Return'!F:F,Sheet4!A721))</f>
        <v/>
      </c>
      <c r="F721" t="str">
        <f>IF(SUMIFS('Purchase Return'!G:G,'Purchase Return'!F:F,Sheet4!A721)=0,"",SUMIFS('Purchase Return'!G:G,'Purchase Return'!F:F,Sheet4!A721))</f>
        <v/>
      </c>
      <c r="G721" t="str">
        <f t="shared" si="11"/>
        <v/>
      </c>
    </row>
    <row r="722" spans="1:7">
      <c r="A722" t="str">
        <f>IF('Product List'!B722="","",'Product List'!B722)</f>
        <v/>
      </c>
      <c r="B722" t="str">
        <f>IF('Product List'!C722="","",'Product List'!C722)</f>
        <v/>
      </c>
      <c r="C722" t="str">
        <f>IF(SUMIFS('Purchase Record'!G:G,'Purchase Record'!F:F,Sheet4!A722)=0,"",SUMIFS('Purchase Record'!G:G,'Purchase Record'!F:F,Sheet4!A722))</f>
        <v/>
      </c>
      <c r="D722" t="str">
        <f>IF(SUMIFS('Sales Record'!H:H,'Sales Record'!F:F,Sheet4!A722)=0,"",SUMIFS('Sales Record'!H:H,'Sales Record'!F:F,Sheet4!A722))</f>
        <v/>
      </c>
      <c r="E722" t="str">
        <f>IF(SUMIFS('Sales Return'!G:G,'Sales Return'!F:F,Sheet4!A722)=0,"",SUMIFS('Sales Return'!G:G,'Sales Return'!F:F,Sheet4!A722))</f>
        <v/>
      </c>
      <c r="F722" t="str">
        <f>IF(SUMIFS('Purchase Return'!G:G,'Purchase Return'!F:F,Sheet4!A722)=0,"",SUMIFS('Purchase Return'!G:G,'Purchase Return'!F:F,Sheet4!A722))</f>
        <v/>
      </c>
      <c r="G722" t="str">
        <f t="shared" si="11"/>
        <v/>
      </c>
    </row>
    <row r="723" spans="1:7">
      <c r="A723" t="str">
        <f>IF('Product List'!B723="","",'Product List'!B723)</f>
        <v/>
      </c>
      <c r="B723" t="str">
        <f>IF('Product List'!C723="","",'Product List'!C723)</f>
        <v/>
      </c>
      <c r="C723" t="str">
        <f>IF(SUMIFS('Purchase Record'!G:G,'Purchase Record'!F:F,Sheet4!A723)=0,"",SUMIFS('Purchase Record'!G:G,'Purchase Record'!F:F,Sheet4!A723))</f>
        <v/>
      </c>
      <c r="D723" t="str">
        <f>IF(SUMIFS('Sales Record'!H:H,'Sales Record'!F:F,Sheet4!A723)=0,"",SUMIFS('Sales Record'!H:H,'Sales Record'!F:F,Sheet4!A723))</f>
        <v/>
      </c>
      <c r="E723" t="str">
        <f>IF(SUMIFS('Sales Return'!G:G,'Sales Return'!F:F,Sheet4!A723)=0,"",SUMIFS('Sales Return'!G:G,'Sales Return'!F:F,Sheet4!A723))</f>
        <v/>
      </c>
      <c r="F723" t="str">
        <f>IF(SUMIFS('Purchase Return'!G:G,'Purchase Return'!F:F,Sheet4!A723)=0,"",SUMIFS('Purchase Return'!G:G,'Purchase Return'!F:F,Sheet4!A723))</f>
        <v/>
      </c>
      <c r="G723" t="str">
        <f t="shared" si="11"/>
        <v/>
      </c>
    </row>
    <row r="724" spans="1:7">
      <c r="A724" t="str">
        <f>IF('Product List'!B724="","",'Product List'!B724)</f>
        <v/>
      </c>
      <c r="B724" t="str">
        <f>IF('Product List'!C724="","",'Product List'!C724)</f>
        <v/>
      </c>
      <c r="C724" t="str">
        <f>IF(SUMIFS('Purchase Record'!G:G,'Purchase Record'!F:F,Sheet4!A724)=0,"",SUMIFS('Purchase Record'!G:G,'Purchase Record'!F:F,Sheet4!A724))</f>
        <v/>
      </c>
      <c r="D724" t="str">
        <f>IF(SUMIFS('Sales Record'!H:H,'Sales Record'!F:F,Sheet4!A724)=0,"",SUMIFS('Sales Record'!H:H,'Sales Record'!F:F,Sheet4!A724))</f>
        <v/>
      </c>
      <c r="E724" t="str">
        <f>IF(SUMIFS('Sales Return'!G:G,'Sales Return'!F:F,Sheet4!A724)=0,"",SUMIFS('Sales Return'!G:G,'Sales Return'!F:F,Sheet4!A724))</f>
        <v/>
      </c>
      <c r="F724" t="str">
        <f>IF(SUMIFS('Purchase Return'!G:G,'Purchase Return'!F:F,Sheet4!A724)=0,"",SUMIFS('Purchase Return'!G:G,'Purchase Return'!F:F,Sheet4!A724))</f>
        <v/>
      </c>
      <c r="G724" t="str">
        <f t="shared" si="11"/>
        <v/>
      </c>
    </row>
    <row r="725" spans="1:7">
      <c r="A725" t="str">
        <f>IF('Product List'!B725="","",'Product List'!B725)</f>
        <v/>
      </c>
      <c r="B725" t="str">
        <f>IF('Product List'!C725="","",'Product List'!C725)</f>
        <v/>
      </c>
      <c r="C725" t="str">
        <f>IF(SUMIFS('Purchase Record'!G:G,'Purchase Record'!F:F,Sheet4!A725)=0,"",SUMIFS('Purchase Record'!G:G,'Purchase Record'!F:F,Sheet4!A725))</f>
        <v/>
      </c>
      <c r="D725" t="str">
        <f>IF(SUMIFS('Sales Record'!H:H,'Sales Record'!F:F,Sheet4!A725)=0,"",SUMIFS('Sales Record'!H:H,'Sales Record'!F:F,Sheet4!A725))</f>
        <v/>
      </c>
      <c r="E725" t="str">
        <f>IF(SUMIFS('Sales Return'!G:G,'Sales Return'!F:F,Sheet4!A725)=0,"",SUMIFS('Sales Return'!G:G,'Sales Return'!F:F,Sheet4!A725))</f>
        <v/>
      </c>
      <c r="F725" t="str">
        <f>IF(SUMIFS('Purchase Return'!G:G,'Purchase Return'!F:F,Sheet4!A725)=0,"",SUMIFS('Purchase Return'!G:G,'Purchase Return'!F:F,Sheet4!A725))</f>
        <v/>
      </c>
      <c r="G725" t="str">
        <f t="shared" si="11"/>
        <v/>
      </c>
    </row>
    <row r="726" spans="1:7">
      <c r="A726" t="str">
        <f>IF('Product List'!B726="","",'Product List'!B726)</f>
        <v/>
      </c>
      <c r="B726" t="str">
        <f>IF('Product List'!C726="","",'Product List'!C726)</f>
        <v/>
      </c>
      <c r="C726" t="str">
        <f>IF(SUMIFS('Purchase Record'!G:G,'Purchase Record'!F:F,Sheet4!A726)=0,"",SUMIFS('Purchase Record'!G:G,'Purchase Record'!F:F,Sheet4!A726))</f>
        <v/>
      </c>
      <c r="D726" t="str">
        <f>IF(SUMIFS('Sales Record'!H:H,'Sales Record'!F:F,Sheet4!A726)=0,"",SUMIFS('Sales Record'!H:H,'Sales Record'!F:F,Sheet4!A726))</f>
        <v/>
      </c>
      <c r="E726" t="str">
        <f>IF(SUMIFS('Sales Return'!G:G,'Sales Return'!F:F,Sheet4!A726)=0,"",SUMIFS('Sales Return'!G:G,'Sales Return'!F:F,Sheet4!A726))</f>
        <v/>
      </c>
      <c r="F726" t="str">
        <f>IF(SUMIFS('Purchase Return'!G:G,'Purchase Return'!F:F,Sheet4!A726)=0,"",SUMIFS('Purchase Return'!G:G,'Purchase Return'!F:F,Sheet4!A726))</f>
        <v/>
      </c>
      <c r="G726" t="str">
        <f t="shared" si="11"/>
        <v/>
      </c>
    </row>
    <row r="727" spans="1:7">
      <c r="A727" t="str">
        <f>IF('Product List'!B727="","",'Product List'!B727)</f>
        <v/>
      </c>
      <c r="B727" t="str">
        <f>IF('Product List'!C727="","",'Product List'!C727)</f>
        <v/>
      </c>
      <c r="C727" t="str">
        <f>IF(SUMIFS('Purchase Record'!G:G,'Purchase Record'!F:F,Sheet4!A727)=0,"",SUMIFS('Purchase Record'!G:G,'Purchase Record'!F:F,Sheet4!A727))</f>
        <v/>
      </c>
      <c r="D727" t="str">
        <f>IF(SUMIFS('Sales Record'!H:H,'Sales Record'!F:F,Sheet4!A727)=0,"",SUMIFS('Sales Record'!H:H,'Sales Record'!F:F,Sheet4!A727))</f>
        <v/>
      </c>
      <c r="E727" t="str">
        <f>IF(SUMIFS('Sales Return'!G:G,'Sales Return'!F:F,Sheet4!A727)=0,"",SUMIFS('Sales Return'!G:G,'Sales Return'!F:F,Sheet4!A727))</f>
        <v/>
      </c>
      <c r="F727" t="str">
        <f>IF(SUMIFS('Purchase Return'!G:G,'Purchase Return'!F:F,Sheet4!A727)=0,"",SUMIFS('Purchase Return'!G:G,'Purchase Return'!F:F,Sheet4!A727))</f>
        <v/>
      </c>
      <c r="G727" t="str">
        <f t="shared" si="11"/>
        <v/>
      </c>
    </row>
    <row r="728" spans="1:7">
      <c r="A728" t="str">
        <f>IF('Product List'!B728="","",'Product List'!B728)</f>
        <v/>
      </c>
      <c r="B728" t="str">
        <f>IF('Product List'!C728="","",'Product List'!C728)</f>
        <v/>
      </c>
      <c r="C728" t="str">
        <f>IF(SUMIFS('Purchase Record'!G:G,'Purchase Record'!F:F,Sheet4!A728)=0,"",SUMIFS('Purchase Record'!G:G,'Purchase Record'!F:F,Sheet4!A728))</f>
        <v/>
      </c>
      <c r="D728" t="str">
        <f>IF(SUMIFS('Sales Record'!H:H,'Sales Record'!F:F,Sheet4!A728)=0,"",SUMIFS('Sales Record'!H:H,'Sales Record'!F:F,Sheet4!A728))</f>
        <v/>
      </c>
      <c r="E728" t="str">
        <f>IF(SUMIFS('Sales Return'!G:G,'Sales Return'!F:F,Sheet4!A728)=0,"",SUMIFS('Sales Return'!G:G,'Sales Return'!F:F,Sheet4!A728))</f>
        <v/>
      </c>
      <c r="F728" t="str">
        <f>IF(SUMIFS('Purchase Return'!G:G,'Purchase Return'!F:F,Sheet4!A728)=0,"",SUMIFS('Purchase Return'!G:G,'Purchase Return'!F:F,Sheet4!A728))</f>
        <v/>
      </c>
      <c r="G728" t="str">
        <f t="shared" si="11"/>
        <v/>
      </c>
    </row>
    <row r="729" spans="1:7">
      <c r="A729" t="str">
        <f>IF('Product List'!B729="","",'Product List'!B729)</f>
        <v/>
      </c>
      <c r="B729" t="str">
        <f>IF('Product List'!C729="","",'Product List'!C729)</f>
        <v/>
      </c>
      <c r="C729" t="str">
        <f>IF(SUMIFS('Purchase Record'!G:G,'Purchase Record'!F:F,Sheet4!A729)=0,"",SUMIFS('Purchase Record'!G:G,'Purchase Record'!F:F,Sheet4!A729))</f>
        <v/>
      </c>
      <c r="D729" t="str">
        <f>IF(SUMIFS('Sales Record'!H:H,'Sales Record'!F:F,Sheet4!A729)=0,"",SUMIFS('Sales Record'!H:H,'Sales Record'!F:F,Sheet4!A729))</f>
        <v/>
      </c>
      <c r="E729" t="str">
        <f>IF(SUMIFS('Sales Return'!G:G,'Sales Return'!F:F,Sheet4!A729)=0,"",SUMIFS('Sales Return'!G:G,'Sales Return'!F:F,Sheet4!A729))</f>
        <v/>
      </c>
      <c r="F729" t="str">
        <f>IF(SUMIFS('Purchase Return'!G:G,'Purchase Return'!F:F,Sheet4!A729)=0,"",SUMIFS('Purchase Return'!G:G,'Purchase Return'!F:F,Sheet4!A729))</f>
        <v/>
      </c>
      <c r="G729" t="str">
        <f t="shared" si="11"/>
        <v/>
      </c>
    </row>
    <row r="730" spans="1:7">
      <c r="A730" t="str">
        <f>IF('Product List'!B730="","",'Product List'!B730)</f>
        <v/>
      </c>
      <c r="B730" t="str">
        <f>IF('Product List'!C730="","",'Product List'!C730)</f>
        <v/>
      </c>
      <c r="C730" t="str">
        <f>IF(SUMIFS('Purchase Record'!G:G,'Purchase Record'!F:F,Sheet4!A730)=0,"",SUMIFS('Purchase Record'!G:G,'Purchase Record'!F:F,Sheet4!A730))</f>
        <v/>
      </c>
      <c r="D730" t="str">
        <f>IF(SUMIFS('Sales Record'!H:H,'Sales Record'!F:F,Sheet4!A730)=0,"",SUMIFS('Sales Record'!H:H,'Sales Record'!F:F,Sheet4!A730))</f>
        <v/>
      </c>
      <c r="E730" t="str">
        <f>IF(SUMIFS('Sales Return'!G:G,'Sales Return'!F:F,Sheet4!A730)=0,"",SUMIFS('Sales Return'!G:G,'Sales Return'!F:F,Sheet4!A730))</f>
        <v/>
      </c>
      <c r="F730" t="str">
        <f>IF(SUMIFS('Purchase Return'!G:G,'Purchase Return'!F:F,Sheet4!A730)=0,"",SUMIFS('Purchase Return'!G:G,'Purchase Return'!F:F,Sheet4!A730))</f>
        <v/>
      </c>
      <c r="G730" t="str">
        <f t="shared" si="11"/>
        <v/>
      </c>
    </row>
    <row r="731" spans="1:7">
      <c r="A731" t="str">
        <f>IF('Product List'!B731="","",'Product List'!B731)</f>
        <v/>
      </c>
      <c r="B731" t="str">
        <f>IF('Product List'!C731="","",'Product List'!C731)</f>
        <v/>
      </c>
      <c r="C731" t="str">
        <f>IF(SUMIFS('Purchase Record'!G:G,'Purchase Record'!F:F,Sheet4!A731)=0,"",SUMIFS('Purchase Record'!G:G,'Purchase Record'!F:F,Sheet4!A731))</f>
        <v/>
      </c>
      <c r="D731" t="str">
        <f>IF(SUMIFS('Sales Record'!H:H,'Sales Record'!F:F,Sheet4!A731)=0,"",SUMIFS('Sales Record'!H:H,'Sales Record'!F:F,Sheet4!A731))</f>
        <v/>
      </c>
      <c r="E731" t="str">
        <f>IF(SUMIFS('Sales Return'!G:G,'Sales Return'!F:F,Sheet4!A731)=0,"",SUMIFS('Sales Return'!G:G,'Sales Return'!F:F,Sheet4!A731))</f>
        <v/>
      </c>
      <c r="F731" t="str">
        <f>IF(SUMIFS('Purchase Return'!G:G,'Purchase Return'!F:F,Sheet4!A731)=0,"",SUMIFS('Purchase Return'!G:G,'Purchase Return'!F:F,Sheet4!A731))</f>
        <v/>
      </c>
      <c r="G731" t="str">
        <f t="shared" si="11"/>
        <v/>
      </c>
    </row>
    <row r="732" spans="1:7">
      <c r="A732" t="str">
        <f>IF('Product List'!B732="","",'Product List'!B732)</f>
        <v/>
      </c>
      <c r="B732" t="str">
        <f>IF('Product List'!C732="","",'Product List'!C732)</f>
        <v/>
      </c>
      <c r="C732" t="str">
        <f>IF(SUMIFS('Purchase Record'!G:G,'Purchase Record'!F:F,Sheet4!A732)=0,"",SUMIFS('Purchase Record'!G:G,'Purchase Record'!F:F,Sheet4!A732))</f>
        <v/>
      </c>
      <c r="D732" t="str">
        <f>IF(SUMIFS('Sales Record'!H:H,'Sales Record'!F:F,Sheet4!A732)=0,"",SUMIFS('Sales Record'!H:H,'Sales Record'!F:F,Sheet4!A732))</f>
        <v/>
      </c>
      <c r="E732" t="str">
        <f>IF(SUMIFS('Sales Return'!G:G,'Sales Return'!F:F,Sheet4!A732)=0,"",SUMIFS('Sales Return'!G:G,'Sales Return'!F:F,Sheet4!A732))</f>
        <v/>
      </c>
      <c r="F732" t="str">
        <f>IF(SUMIFS('Purchase Return'!G:G,'Purchase Return'!F:F,Sheet4!A732)=0,"",SUMIFS('Purchase Return'!G:G,'Purchase Return'!F:F,Sheet4!A732))</f>
        <v/>
      </c>
      <c r="G732" t="str">
        <f t="shared" si="11"/>
        <v/>
      </c>
    </row>
    <row r="733" spans="1:7">
      <c r="A733" t="str">
        <f>IF('Product List'!B733="","",'Product List'!B733)</f>
        <v/>
      </c>
      <c r="B733" t="str">
        <f>IF('Product List'!C733="","",'Product List'!C733)</f>
        <v/>
      </c>
      <c r="C733" t="str">
        <f>IF(SUMIFS('Purchase Record'!G:G,'Purchase Record'!F:F,Sheet4!A733)=0,"",SUMIFS('Purchase Record'!G:G,'Purchase Record'!F:F,Sheet4!A733))</f>
        <v/>
      </c>
      <c r="D733" t="str">
        <f>IF(SUMIFS('Sales Record'!H:H,'Sales Record'!F:F,Sheet4!A733)=0,"",SUMIFS('Sales Record'!H:H,'Sales Record'!F:F,Sheet4!A733))</f>
        <v/>
      </c>
      <c r="E733" t="str">
        <f>IF(SUMIFS('Sales Return'!G:G,'Sales Return'!F:F,Sheet4!A733)=0,"",SUMIFS('Sales Return'!G:G,'Sales Return'!F:F,Sheet4!A733))</f>
        <v/>
      </c>
      <c r="F733" t="str">
        <f>IF(SUMIFS('Purchase Return'!G:G,'Purchase Return'!F:F,Sheet4!A733)=0,"",SUMIFS('Purchase Return'!G:G,'Purchase Return'!F:F,Sheet4!A733))</f>
        <v/>
      </c>
      <c r="G733" t="str">
        <f t="shared" si="11"/>
        <v/>
      </c>
    </row>
    <row r="734" spans="1:7">
      <c r="A734" t="str">
        <f>IF('Product List'!B734="","",'Product List'!B734)</f>
        <v/>
      </c>
      <c r="B734" t="str">
        <f>IF('Product List'!C734="","",'Product List'!C734)</f>
        <v/>
      </c>
      <c r="C734" t="str">
        <f>IF(SUMIFS('Purchase Record'!G:G,'Purchase Record'!F:F,Sheet4!A734)=0,"",SUMIFS('Purchase Record'!G:G,'Purchase Record'!F:F,Sheet4!A734))</f>
        <v/>
      </c>
      <c r="D734" t="str">
        <f>IF(SUMIFS('Sales Record'!H:H,'Sales Record'!F:F,Sheet4!A734)=0,"",SUMIFS('Sales Record'!H:H,'Sales Record'!F:F,Sheet4!A734))</f>
        <v/>
      </c>
      <c r="E734" t="str">
        <f>IF(SUMIFS('Sales Return'!G:G,'Sales Return'!F:F,Sheet4!A734)=0,"",SUMIFS('Sales Return'!G:G,'Sales Return'!F:F,Sheet4!A734))</f>
        <v/>
      </c>
      <c r="F734" t="str">
        <f>IF(SUMIFS('Purchase Return'!G:G,'Purchase Return'!F:F,Sheet4!A734)=0,"",SUMIFS('Purchase Return'!G:G,'Purchase Return'!F:F,Sheet4!A734))</f>
        <v/>
      </c>
      <c r="G734" t="str">
        <f t="shared" si="11"/>
        <v/>
      </c>
    </row>
    <row r="735" spans="1:7">
      <c r="A735" t="str">
        <f>IF('Product List'!B735="","",'Product List'!B735)</f>
        <v/>
      </c>
      <c r="B735" t="str">
        <f>IF('Product List'!C735="","",'Product List'!C735)</f>
        <v/>
      </c>
      <c r="C735" t="str">
        <f>IF(SUMIFS('Purchase Record'!G:G,'Purchase Record'!F:F,Sheet4!A735)=0,"",SUMIFS('Purchase Record'!G:G,'Purchase Record'!F:F,Sheet4!A735))</f>
        <v/>
      </c>
      <c r="D735" t="str">
        <f>IF(SUMIFS('Sales Record'!H:H,'Sales Record'!F:F,Sheet4!A735)=0,"",SUMIFS('Sales Record'!H:H,'Sales Record'!F:F,Sheet4!A735))</f>
        <v/>
      </c>
      <c r="E735" t="str">
        <f>IF(SUMIFS('Sales Return'!G:G,'Sales Return'!F:F,Sheet4!A735)=0,"",SUMIFS('Sales Return'!G:G,'Sales Return'!F:F,Sheet4!A735))</f>
        <v/>
      </c>
      <c r="F735" t="str">
        <f>IF(SUMIFS('Purchase Return'!G:G,'Purchase Return'!F:F,Sheet4!A735)=0,"",SUMIFS('Purchase Return'!G:G,'Purchase Return'!F:F,Sheet4!A735))</f>
        <v/>
      </c>
      <c r="G735" t="str">
        <f t="shared" si="11"/>
        <v/>
      </c>
    </row>
    <row r="736" spans="1:7">
      <c r="A736" t="str">
        <f>IF('Product List'!B736="","",'Product List'!B736)</f>
        <v/>
      </c>
      <c r="B736" t="str">
        <f>IF('Product List'!C736="","",'Product List'!C736)</f>
        <v/>
      </c>
      <c r="C736" t="str">
        <f>IF(SUMIFS('Purchase Record'!G:G,'Purchase Record'!F:F,Sheet4!A736)=0,"",SUMIFS('Purchase Record'!G:G,'Purchase Record'!F:F,Sheet4!A736))</f>
        <v/>
      </c>
      <c r="D736" t="str">
        <f>IF(SUMIFS('Sales Record'!H:H,'Sales Record'!F:F,Sheet4!A736)=0,"",SUMIFS('Sales Record'!H:H,'Sales Record'!F:F,Sheet4!A736))</f>
        <v/>
      </c>
      <c r="E736" t="str">
        <f>IF(SUMIFS('Sales Return'!G:G,'Sales Return'!F:F,Sheet4!A736)=0,"",SUMIFS('Sales Return'!G:G,'Sales Return'!F:F,Sheet4!A736))</f>
        <v/>
      </c>
      <c r="F736" t="str">
        <f>IF(SUMIFS('Purchase Return'!G:G,'Purchase Return'!F:F,Sheet4!A736)=0,"",SUMIFS('Purchase Return'!G:G,'Purchase Return'!F:F,Sheet4!A736))</f>
        <v/>
      </c>
      <c r="G736" t="str">
        <f t="shared" si="11"/>
        <v/>
      </c>
    </row>
    <row r="737" spans="1:7">
      <c r="A737" t="str">
        <f>IF('Product List'!B737="","",'Product List'!B737)</f>
        <v/>
      </c>
      <c r="B737" t="str">
        <f>IF('Product List'!C737="","",'Product List'!C737)</f>
        <v/>
      </c>
      <c r="C737" t="str">
        <f>IF(SUMIFS('Purchase Record'!G:G,'Purchase Record'!F:F,Sheet4!A737)=0,"",SUMIFS('Purchase Record'!G:G,'Purchase Record'!F:F,Sheet4!A737))</f>
        <v/>
      </c>
      <c r="D737" t="str">
        <f>IF(SUMIFS('Sales Record'!H:H,'Sales Record'!F:F,Sheet4!A737)=0,"",SUMIFS('Sales Record'!H:H,'Sales Record'!F:F,Sheet4!A737))</f>
        <v/>
      </c>
      <c r="E737" t="str">
        <f>IF(SUMIFS('Sales Return'!G:G,'Sales Return'!F:F,Sheet4!A737)=0,"",SUMIFS('Sales Return'!G:G,'Sales Return'!F:F,Sheet4!A737))</f>
        <v/>
      </c>
      <c r="F737" t="str">
        <f>IF(SUMIFS('Purchase Return'!G:G,'Purchase Return'!F:F,Sheet4!A737)=0,"",SUMIFS('Purchase Return'!G:G,'Purchase Return'!F:F,Sheet4!A737))</f>
        <v/>
      </c>
      <c r="G737" t="str">
        <f t="shared" si="11"/>
        <v/>
      </c>
    </row>
    <row r="738" spans="1:7">
      <c r="A738" t="str">
        <f>IF('Product List'!B738="","",'Product List'!B738)</f>
        <v/>
      </c>
      <c r="B738" t="str">
        <f>IF('Product List'!C738="","",'Product List'!C738)</f>
        <v/>
      </c>
      <c r="C738" t="str">
        <f>IF(SUMIFS('Purchase Record'!G:G,'Purchase Record'!F:F,Sheet4!A738)=0,"",SUMIFS('Purchase Record'!G:G,'Purchase Record'!F:F,Sheet4!A738))</f>
        <v/>
      </c>
      <c r="D738" t="str">
        <f>IF(SUMIFS('Sales Record'!H:H,'Sales Record'!F:F,Sheet4!A738)=0,"",SUMIFS('Sales Record'!H:H,'Sales Record'!F:F,Sheet4!A738))</f>
        <v/>
      </c>
      <c r="E738" t="str">
        <f>IF(SUMIFS('Sales Return'!G:G,'Sales Return'!F:F,Sheet4!A738)=0,"",SUMIFS('Sales Return'!G:G,'Sales Return'!F:F,Sheet4!A738))</f>
        <v/>
      </c>
      <c r="F738" t="str">
        <f>IF(SUMIFS('Purchase Return'!G:G,'Purchase Return'!F:F,Sheet4!A738)=0,"",SUMIFS('Purchase Return'!G:G,'Purchase Return'!F:F,Sheet4!A738))</f>
        <v/>
      </c>
      <c r="G738" t="str">
        <f t="shared" si="11"/>
        <v/>
      </c>
    </row>
    <row r="739" spans="1:7">
      <c r="A739" t="str">
        <f>IF('Product List'!B739="","",'Product List'!B739)</f>
        <v/>
      </c>
      <c r="B739" t="str">
        <f>IF('Product List'!C739="","",'Product List'!C739)</f>
        <v/>
      </c>
      <c r="C739" t="str">
        <f>IF(SUMIFS('Purchase Record'!G:G,'Purchase Record'!F:F,Sheet4!A739)=0,"",SUMIFS('Purchase Record'!G:G,'Purchase Record'!F:F,Sheet4!A739))</f>
        <v/>
      </c>
      <c r="D739" t="str">
        <f>IF(SUMIFS('Sales Record'!H:H,'Sales Record'!F:F,Sheet4!A739)=0,"",SUMIFS('Sales Record'!H:H,'Sales Record'!F:F,Sheet4!A739))</f>
        <v/>
      </c>
      <c r="E739" t="str">
        <f>IF(SUMIFS('Sales Return'!G:G,'Sales Return'!F:F,Sheet4!A739)=0,"",SUMIFS('Sales Return'!G:G,'Sales Return'!F:F,Sheet4!A739))</f>
        <v/>
      </c>
      <c r="F739" t="str">
        <f>IF(SUMIFS('Purchase Return'!G:G,'Purchase Return'!F:F,Sheet4!A739)=0,"",SUMIFS('Purchase Return'!G:G,'Purchase Return'!F:F,Sheet4!A739))</f>
        <v/>
      </c>
      <c r="G739" t="str">
        <f t="shared" si="11"/>
        <v/>
      </c>
    </row>
    <row r="740" spans="1:7">
      <c r="A740" t="str">
        <f>IF('Product List'!B740="","",'Product List'!B740)</f>
        <v/>
      </c>
      <c r="B740" t="str">
        <f>IF('Product List'!C740="","",'Product List'!C740)</f>
        <v/>
      </c>
      <c r="C740" t="str">
        <f>IF(SUMIFS('Purchase Record'!G:G,'Purchase Record'!F:F,Sheet4!A740)=0,"",SUMIFS('Purchase Record'!G:G,'Purchase Record'!F:F,Sheet4!A740))</f>
        <v/>
      </c>
      <c r="D740" t="str">
        <f>IF(SUMIFS('Sales Record'!H:H,'Sales Record'!F:F,Sheet4!A740)=0,"",SUMIFS('Sales Record'!H:H,'Sales Record'!F:F,Sheet4!A740))</f>
        <v/>
      </c>
      <c r="E740" t="str">
        <f>IF(SUMIFS('Sales Return'!G:G,'Sales Return'!F:F,Sheet4!A740)=0,"",SUMIFS('Sales Return'!G:G,'Sales Return'!F:F,Sheet4!A740))</f>
        <v/>
      </c>
      <c r="F740" t="str">
        <f>IF(SUMIFS('Purchase Return'!G:G,'Purchase Return'!F:F,Sheet4!A740)=0,"",SUMIFS('Purchase Return'!G:G,'Purchase Return'!F:F,Sheet4!A740))</f>
        <v/>
      </c>
      <c r="G740" t="str">
        <f t="shared" si="11"/>
        <v/>
      </c>
    </row>
    <row r="741" spans="1:7">
      <c r="A741" t="str">
        <f>IF('Product List'!B741="","",'Product List'!B741)</f>
        <v/>
      </c>
      <c r="B741" t="str">
        <f>IF('Product List'!C741="","",'Product List'!C741)</f>
        <v/>
      </c>
      <c r="C741" t="str">
        <f>IF(SUMIFS('Purchase Record'!G:G,'Purchase Record'!F:F,Sheet4!A741)=0,"",SUMIFS('Purchase Record'!G:G,'Purchase Record'!F:F,Sheet4!A741))</f>
        <v/>
      </c>
      <c r="D741" t="str">
        <f>IF(SUMIFS('Sales Record'!H:H,'Sales Record'!F:F,Sheet4!A741)=0,"",SUMIFS('Sales Record'!H:H,'Sales Record'!F:F,Sheet4!A741))</f>
        <v/>
      </c>
      <c r="E741" t="str">
        <f>IF(SUMIFS('Sales Return'!G:G,'Sales Return'!F:F,Sheet4!A741)=0,"",SUMIFS('Sales Return'!G:G,'Sales Return'!F:F,Sheet4!A741))</f>
        <v/>
      </c>
      <c r="F741" t="str">
        <f>IF(SUMIFS('Purchase Return'!G:G,'Purchase Return'!F:F,Sheet4!A741)=0,"",SUMIFS('Purchase Return'!G:G,'Purchase Return'!F:F,Sheet4!A741))</f>
        <v/>
      </c>
      <c r="G741" t="str">
        <f t="shared" si="11"/>
        <v/>
      </c>
    </row>
    <row r="742" spans="1:7">
      <c r="A742" t="str">
        <f>IF('Product List'!B742="","",'Product List'!B742)</f>
        <v/>
      </c>
      <c r="B742" t="str">
        <f>IF('Product List'!C742="","",'Product List'!C742)</f>
        <v/>
      </c>
      <c r="C742" t="str">
        <f>IF(SUMIFS('Purchase Record'!G:G,'Purchase Record'!F:F,Sheet4!A742)=0,"",SUMIFS('Purchase Record'!G:G,'Purchase Record'!F:F,Sheet4!A742))</f>
        <v/>
      </c>
      <c r="D742" t="str">
        <f>IF(SUMIFS('Sales Record'!H:H,'Sales Record'!F:F,Sheet4!A742)=0,"",SUMIFS('Sales Record'!H:H,'Sales Record'!F:F,Sheet4!A742))</f>
        <v/>
      </c>
      <c r="E742" t="str">
        <f>IF(SUMIFS('Sales Return'!G:G,'Sales Return'!F:F,Sheet4!A742)=0,"",SUMIFS('Sales Return'!G:G,'Sales Return'!F:F,Sheet4!A742))</f>
        <v/>
      </c>
      <c r="F742" t="str">
        <f>IF(SUMIFS('Purchase Return'!G:G,'Purchase Return'!F:F,Sheet4!A742)=0,"",SUMIFS('Purchase Return'!G:G,'Purchase Return'!F:F,Sheet4!A742))</f>
        <v/>
      </c>
      <c r="G742" t="str">
        <f t="shared" si="11"/>
        <v/>
      </c>
    </row>
    <row r="743" spans="1:7">
      <c r="A743" t="str">
        <f>IF('Product List'!B743="","",'Product List'!B743)</f>
        <v/>
      </c>
      <c r="B743" t="str">
        <f>IF('Product List'!C743="","",'Product List'!C743)</f>
        <v/>
      </c>
      <c r="C743" t="str">
        <f>IF(SUMIFS('Purchase Record'!G:G,'Purchase Record'!F:F,Sheet4!A743)=0,"",SUMIFS('Purchase Record'!G:G,'Purchase Record'!F:F,Sheet4!A743))</f>
        <v/>
      </c>
      <c r="D743" t="str">
        <f>IF(SUMIFS('Sales Record'!H:H,'Sales Record'!F:F,Sheet4!A743)=0,"",SUMIFS('Sales Record'!H:H,'Sales Record'!F:F,Sheet4!A743))</f>
        <v/>
      </c>
      <c r="E743" t="str">
        <f>IF(SUMIFS('Sales Return'!G:G,'Sales Return'!F:F,Sheet4!A743)=0,"",SUMIFS('Sales Return'!G:G,'Sales Return'!F:F,Sheet4!A743))</f>
        <v/>
      </c>
      <c r="F743" t="str">
        <f>IF(SUMIFS('Purchase Return'!G:G,'Purchase Return'!F:F,Sheet4!A743)=0,"",SUMIFS('Purchase Return'!G:G,'Purchase Return'!F:F,Sheet4!A743))</f>
        <v/>
      </c>
      <c r="G743" t="str">
        <f t="shared" si="11"/>
        <v/>
      </c>
    </row>
    <row r="744" spans="1:7">
      <c r="A744" t="str">
        <f>IF('Product List'!B744="","",'Product List'!B744)</f>
        <v/>
      </c>
      <c r="B744" t="str">
        <f>IF('Product List'!C744="","",'Product List'!C744)</f>
        <v/>
      </c>
      <c r="C744" t="str">
        <f>IF(SUMIFS('Purchase Record'!G:G,'Purchase Record'!F:F,Sheet4!A744)=0,"",SUMIFS('Purchase Record'!G:G,'Purchase Record'!F:F,Sheet4!A744))</f>
        <v/>
      </c>
      <c r="D744" t="str">
        <f>IF(SUMIFS('Sales Record'!H:H,'Sales Record'!F:F,Sheet4!A744)=0,"",SUMIFS('Sales Record'!H:H,'Sales Record'!F:F,Sheet4!A744))</f>
        <v/>
      </c>
      <c r="E744" t="str">
        <f>IF(SUMIFS('Sales Return'!G:G,'Sales Return'!F:F,Sheet4!A744)=0,"",SUMIFS('Sales Return'!G:G,'Sales Return'!F:F,Sheet4!A744))</f>
        <v/>
      </c>
      <c r="F744" t="str">
        <f>IF(SUMIFS('Purchase Return'!G:G,'Purchase Return'!F:F,Sheet4!A744)=0,"",SUMIFS('Purchase Return'!G:G,'Purchase Return'!F:F,Sheet4!A744))</f>
        <v/>
      </c>
      <c r="G744" t="str">
        <f t="shared" si="11"/>
        <v/>
      </c>
    </row>
    <row r="745" spans="1:7">
      <c r="A745" t="str">
        <f>IF('Product List'!B745="","",'Product List'!B745)</f>
        <v/>
      </c>
      <c r="B745" t="str">
        <f>IF('Product List'!C745="","",'Product List'!C745)</f>
        <v/>
      </c>
      <c r="C745" t="str">
        <f>IF(SUMIFS('Purchase Record'!G:G,'Purchase Record'!F:F,Sheet4!A745)=0,"",SUMIFS('Purchase Record'!G:G,'Purchase Record'!F:F,Sheet4!A745))</f>
        <v/>
      </c>
      <c r="D745" t="str">
        <f>IF(SUMIFS('Sales Record'!H:H,'Sales Record'!F:F,Sheet4!A745)=0,"",SUMIFS('Sales Record'!H:H,'Sales Record'!F:F,Sheet4!A745))</f>
        <v/>
      </c>
      <c r="E745" t="str">
        <f>IF(SUMIFS('Sales Return'!G:G,'Sales Return'!F:F,Sheet4!A745)=0,"",SUMIFS('Sales Return'!G:G,'Sales Return'!F:F,Sheet4!A745))</f>
        <v/>
      </c>
      <c r="F745" t="str">
        <f>IF(SUMIFS('Purchase Return'!G:G,'Purchase Return'!F:F,Sheet4!A745)=0,"",SUMIFS('Purchase Return'!G:G,'Purchase Return'!F:F,Sheet4!A745))</f>
        <v/>
      </c>
      <c r="G745" t="str">
        <f t="shared" si="11"/>
        <v/>
      </c>
    </row>
    <row r="746" spans="1:7">
      <c r="A746" t="str">
        <f>IF('Product List'!B746="","",'Product List'!B746)</f>
        <v/>
      </c>
      <c r="B746" t="str">
        <f>IF('Product List'!C746="","",'Product List'!C746)</f>
        <v/>
      </c>
      <c r="C746" t="str">
        <f>IF(SUMIFS('Purchase Record'!G:G,'Purchase Record'!F:F,Sheet4!A746)=0,"",SUMIFS('Purchase Record'!G:G,'Purchase Record'!F:F,Sheet4!A746))</f>
        <v/>
      </c>
      <c r="D746" t="str">
        <f>IF(SUMIFS('Sales Record'!H:H,'Sales Record'!F:F,Sheet4!A746)=0,"",SUMIFS('Sales Record'!H:H,'Sales Record'!F:F,Sheet4!A746))</f>
        <v/>
      </c>
      <c r="E746" t="str">
        <f>IF(SUMIFS('Sales Return'!G:G,'Sales Return'!F:F,Sheet4!A746)=0,"",SUMIFS('Sales Return'!G:G,'Sales Return'!F:F,Sheet4!A746))</f>
        <v/>
      </c>
      <c r="F746" t="str">
        <f>IF(SUMIFS('Purchase Return'!G:G,'Purchase Return'!F:F,Sheet4!A746)=0,"",SUMIFS('Purchase Return'!G:G,'Purchase Return'!F:F,Sheet4!A746))</f>
        <v/>
      </c>
      <c r="G746" t="str">
        <f t="shared" si="11"/>
        <v/>
      </c>
    </row>
    <row r="747" spans="1:7">
      <c r="A747" t="str">
        <f>IF('Product List'!B747="","",'Product List'!B747)</f>
        <v/>
      </c>
      <c r="B747" t="str">
        <f>IF('Product List'!C747="","",'Product List'!C747)</f>
        <v/>
      </c>
      <c r="C747" t="str">
        <f>IF(SUMIFS('Purchase Record'!G:G,'Purchase Record'!F:F,Sheet4!A747)=0,"",SUMIFS('Purchase Record'!G:G,'Purchase Record'!F:F,Sheet4!A747))</f>
        <v/>
      </c>
      <c r="D747" t="str">
        <f>IF(SUMIFS('Sales Record'!H:H,'Sales Record'!F:F,Sheet4!A747)=0,"",SUMIFS('Sales Record'!H:H,'Sales Record'!F:F,Sheet4!A747))</f>
        <v/>
      </c>
      <c r="E747" t="str">
        <f>IF(SUMIFS('Sales Return'!G:G,'Sales Return'!F:F,Sheet4!A747)=0,"",SUMIFS('Sales Return'!G:G,'Sales Return'!F:F,Sheet4!A747))</f>
        <v/>
      </c>
      <c r="F747" t="str">
        <f>IF(SUMIFS('Purchase Return'!G:G,'Purchase Return'!F:F,Sheet4!A747)=0,"",SUMIFS('Purchase Return'!G:G,'Purchase Return'!F:F,Sheet4!A747))</f>
        <v/>
      </c>
      <c r="G747" t="str">
        <f t="shared" si="11"/>
        <v/>
      </c>
    </row>
    <row r="748" spans="1:7">
      <c r="A748" t="str">
        <f>IF('Product List'!B748="","",'Product List'!B748)</f>
        <v/>
      </c>
      <c r="B748" t="str">
        <f>IF('Product List'!C748="","",'Product List'!C748)</f>
        <v/>
      </c>
      <c r="C748" t="str">
        <f>IF(SUMIFS('Purchase Record'!G:G,'Purchase Record'!F:F,Sheet4!A748)=0,"",SUMIFS('Purchase Record'!G:G,'Purchase Record'!F:F,Sheet4!A748))</f>
        <v/>
      </c>
      <c r="D748" t="str">
        <f>IF(SUMIFS('Sales Record'!H:H,'Sales Record'!F:F,Sheet4!A748)=0,"",SUMIFS('Sales Record'!H:H,'Sales Record'!F:F,Sheet4!A748))</f>
        <v/>
      </c>
      <c r="E748" t="str">
        <f>IF(SUMIFS('Sales Return'!G:G,'Sales Return'!F:F,Sheet4!A748)=0,"",SUMIFS('Sales Return'!G:G,'Sales Return'!F:F,Sheet4!A748))</f>
        <v/>
      </c>
      <c r="F748" t="str">
        <f>IF(SUMIFS('Purchase Return'!G:G,'Purchase Return'!F:F,Sheet4!A748)=0,"",SUMIFS('Purchase Return'!G:G,'Purchase Return'!F:F,Sheet4!A748))</f>
        <v/>
      </c>
      <c r="G748" t="str">
        <f t="shared" si="11"/>
        <v/>
      </c>
    </row>
    <row r="749" spans="1:7">
      <c r="A749" t="str">
        <f>IF('Product List'!B749="","",'Product List'!B749)</f>
        <v/>
      </c>
      <c r="B749" t="str">
        <f>IF('Product List'!C749="","",'Product List'!C749)</f>
        <v/>
      </c>
      <c r="C749" t="str">
        <f>IF(SUMIFS('Purchase Record'!G:G,'Purchase Record'!F:F,Sheet4!A749)=0,"",SUMIFS('Purchase Record'!G:G,'Purchase Record'!F:F,Sheet4!A749))</f>
        <v/>
      </c>
      <c r="D749" t="str">
        <f>IF(SUMIFS('Sales Record'!H:H,'Sales Record'!F:F,Sheet4!A749)=0,"",SUMIFS('Sales Record'!H:H,'Sales Record'!F:F,Sheet4!A749))</f>
        <v/>
      </c>
      <c r="E749" t="str">
        <f>IF(SUMIFS('Sales Return'!G:G,'Sales Return'!F:F,Sheet4!A749)=0,"",SUMIFS('Sales Return'!G:G,'Sales Return'!F:F,Sheet4!A749))</f>
        <v/>
      </c>
      <c r="F749" t="str">
        <f>IF(SUMIFS('Purchase Return'!G:G,'Purchase Return'!F:F,Sheet4!A749)=0,"",SUMIFS('Purchase Return'!G:G,'Purchase Return'!F:F,Sheet4!A749))</f>
        <v/>
      </c>
      <c r="G749" t="str">
        <f t="shared" si="11"/>
        <v/>
      </c>
    </row>
    <row r="750" spans="1:7">
      <c r="A750" t="str">
        <f>IF('Product List'!B750="","",'Product List'!B750)</f>
        <v/>
      </c>
      <c r="B750" t="str">
        <f>IF('Product List'!C750="","",'Product List'!C750)</f>
        <v/>
      </c>
      <c r="C750" t="str">
        <f>IF(SUMIFS('Purchase Record'!G:G,'Purchase Record'!F:F,Sheet4!A750)=0,"",SUMIFS('Purchase Record'!G:G,'Purchase Record'!F:F,Sheet4!A750))</f>
        <v/>
      </c>
      <c r="D750" t="str">
        <f>IF(SUMIFS('Sales Record'!H:H,'Sales Record'!F:F,Sheet4!A750)=0,"",SUMIFS('Sales Record'!H:H,'Sales Record'!F:F,Sheet4!A750))</f>
        <v/>
      </c>
      <c r="E750" t="str">
        <f>IF(SUMIFS('Sales Return'!G:G,'Sales Return'!F:F,Sheet4!A750)=0,"",SUMIFS('Sales Return'!G:G,'Sales Return'!F:F,Sheet4!A750))</f>
        <v/>
      </c>
      <c r="F750" t="str">
        <f>IF(SUMIFS('Purchase Return'!G:G,'Purchase Return'!F:F,Sheet4!A750)=0,"",SUMIFS('Purchase Return'!G:G,'Purchase Return'!F:F,Sheet4!A750))</f>
        <v/>
      </c>
      <c r="G750" t="str">
        <f t="shared" si="11"/>
        <v/>
      </c>
    </row>
    <row r="751" spans="1:7">
      <c r="A751" t="str">
        <f>IF('Product List'!B751="","",'Product List'!B751)</f>
        <v/>
      </c>
      <c r="B751" t="str">
        <f>IF('Product List'!C751="","",'Product List'!C751)</f>
        <v/>
      </c>
      <c r="C751" t="str">
        <f>IF(SUMIFS('Purchase Record'!G:G,'Purchase Record'!F:F,Sheet4!A751)=0,"",SUMIFS('Purchase Record'!G:G,'Purchase Record'!F:F,Sheet4!A751))</f>
        <v/>
      </c>
      <c r="D751" t="str">
        <f>IF(SUMIFS('Sales Record'!H:H,'Sales Record'!F:F,Sheet4!A751)=0,"",SUMIFS('Sales Record'!H:H,'Sales Record'!F:F,Sheet4!A751))</f>
        <v/>
      </c>
      <c r="E751" t="str">
        <f>IF(SUMIFS('Sales Return'!G:G,'Sales Return'!F:F,Sheet4!A751)=0,"",SUMIFS('Sales Return'!G:G,'Sales Return'!F:F,Sheet4!A751))</f>
        <v/>
      </c>
      <c r="F751" t="str">
        <f>IF(SUMIFS('Purchase Return'!G:G,'Purchase Return'!F:F,Sheet4!A751)=0,"",SUMIFS('Purchase Return'!G:G,'Purchase Return'!F:F,Sheet4!A751))</f>
        <v/>
      </c>
      <c r="G751" t="str">
        <f t="shared" si="11"/>
        <v/>
      </c>
    </row>
    <row r="752" spans="1:7">
      <c r="A752" t="str">
        <f>IF('Product List'!B752="","",'Product List'!B752)</f>
        <v/>
      </c>
      <c r="B752" t="str">
        <f>IF('Product List'!C752="","",'Product List'!C752)</f>
        <v/>
      </c>
      <c r="C752" t="str">
        <f>IF(SUMIFS('Purchase Record'!G:G,'Purchase Record'!F:F,Sheet4!A752)=0,"",SUMIFS('Purchase Record'!G:G,'Purchase Record'!F:F,Sheet4!A752))</f>
        <v/>
      </c>
      <c r="D752" t="str">
        <f>IF(SUMIFS('Sales Record'!H:H,'Sales Record'!F:F,Sheet4!A752)=0,"",SUMIFS('Sales Record'!H:H,'Sales Record'!F:F,Sheet4!A752))</f>
        <v/>
      </c>
      <c r="E752" t="str">
        <f>IF(SUMIFS('Sales Return'!G:G,'Sales Return'!F:F,Sheet4!A752)=0,"",SUMIFS('Sales Return'!G:G,'Sales Return'!F:F,Sheet4!A752))</f>
        <v/>
      </c>
      <c r="F752" t="str">
        <f>IF(SUMIFS('Purchase Return'!G:G,'Purchase Return'!F:F,Sheet4!A752)=0,"",SUMIFS('Purchase Return'!G:G,'Purchase Return'!F:F,Sheet4!A752))</f>
        <v/>
      </c>
      <c r="G752" t="str">
        <f t="shared" si="11"/>
        <v/>
      </c>
    </row>
    <row r="753" spans="1:7">
      <c r="A753" t="str">
        <f>IF('Product List'!B753="","",'Product List'!B753)</f>
        <v/>
      </c>
      <c r="B753" t="str">
        <f>IF('Product List'!C753="","",'Product List'!C753)</f>
        <v/>
      </c>
      <c r="C753" t="str">
        <f>IF(SUMIFS('Purchase Record'!G:G,'Purchase Record'!F:F,Sheet4!A753)=0,"",SUMIFS('Purchase Record'!G:G,'Purchase Record'!F:F,Sheet4!A753))</f>
        <v/>
      </c>
      <c r="D753" t="str">
        <f>IF(SUMIFS('Sales Record'!H:H,'Sales Record'!F:F,Sheet4!A753)=0,"",SUMIFS('Sales Record'!H:H,'Sales Record'!F:F,Sheet4!A753))</f>
        <v/>
      </c>
      <c r="E753" t="str">
        <f>IF(SUMIFS('Sales Return'!G:G,'Sales Return'!F:F,Sheet4!A753)=0,"",SUMIFS('Sales Return'!G:G,'Sales Return'!F:F,Sheet4!A753))</f>
        <v/>
      </c>
      <c r="F753" t="str">
        <f>IF(SUMIFS('Purchase Return'!G:G,'Purchase Return'!F:F,Sheet4!A753)=0,"",SUMIFS('Purchase Return'!G:G,'Purchase Return'!F:F,Sheet4!A753))</f>
        <v/>
      </c>
      <c r="G753" t="str">
        <f t="shared" si="11"/>
        <v/>
      </c>
    </row>
    <row r="754" spans="1:7">
      <c r="A754" t="str">
        <f>IF('Product List'!B754="","",'Product List'!B754)</f>
        <v/>
      </c>
      <c r="B754" t="str">
        <f>IF('Product List'!C754="","",'Product List'!C754)</f>
        <v/>
      </c>
      <c r="C754" t="str">
        <f>IF(SUMIFS('Purchase Record'!G:G,'Purchase Record'!F:F,Sheet4!A754)=0,"",SUMIFS('Purchase Record'!G:G,'Purchase Record'!F:F,Sheet4!A754))</f>
        <v/>
      </c>
      <c r="D754" t="str">
        <f>IF(SUMIFS('Sales Record'!H:H,'Sales Record'!F:F,Sheet4!A754)=0,"",SUMIFS('Sales Record'!H:H,'Sales Record'!F:F,Sheet4!A754))</f>
        <v/>
      </c>
      <c r="E754" t="str">
        <f>IF(SUMIFS('Sales Return'!G:G,'Sales Return'!F:F,Sheet4!A754)=0,"",SUMIFS('Sales Return'!G:G,'Sales Return'!F:F,Sheet4!A754))</f>
        <v/>
      </c>
      <c r="F754" t="str">
        <f>IF(SUMIFS('Purchase Return'!G:G,'Purchase Return'!F:F,Sheet4!A754)=0,"",SUMIFS('Purchase Return'!G:G,'Purchase Return'!F:F,Sheet4!A754))</f>
        <v/>
      </c>
      <c r="G754" t="str">
        <f t="shared" si="11"/>
        <v/>
      </c>
    </row>
    <row r="755" spans="1:7">
      <c r="A755" t="str">
        <f>IF('Product List'!B755="","",'Product List'!B755)</f>
        <v/>
      </c>
      <c r="B755" t="str">
        <f>IF('Product List'!C755="","",'Product List'!C755)</f>
        <v/>
      </c>
      <c r="C755" t="str">
        <f>IF(SUMIFS('Purchase Record'!G:G,'Purchase Record'!F:F,Sheet4!A755)=0,"",SUMIFS('Purchase Record'!G:G,'Purchase Record'!F:F,Sheet4!A755))</f>
        <v/>
      </c>
      <c r="D755" t="str">
        <f>IF(SUMIFS('Sales Record'!H:H,'Sales Record'!F:F,Sheet4!A755)=0,"",SUMIFS('Sales Record'!H:H,'Sales Record'!F:F,Sheet4!A755))</f>
        <v/>
      </c>
      <c r="E755" t="str">
        <f>IF(SUMIFS('Sales Return'!G:G,'Sales Return'!F:F,Sheet4!A755)=0,"",SUMIFS('Sales Return'!G:G,'Sales Return'!F:F,Sheet4!A755))</f>
        <v/>
      </c>
      <c r="F755" t="str">
        <f>IF(SUMIFS('Purchase Return'!G:G,'Purchase Return'!F:F,Sheet4!A755)=0,"",SUMIFS('Purchase Return'!G:G,'Purchase Return'!F:F,Sheet4!A755))</f>
        <v/>
      </c>
      <c r="G755" t="str">
        <f t="shared" si="11"/>
        <v/>
      </c>
    </row>
    <row r="756" spans="1:7">
      <c r="A756" t="str">
        <f>IF('Product List'!B756="","",'Product List'!B756)</f>
        <v/>
      </c>
      <c r="B756" t="str">
        <f>IF('Product List'!C756="","",'Product List'!C756)</f>
        <v/>
      </c>
      <c r="C756" t="str">
        <f>IF(SUMIFS('Purchase Record'!G:G,'Purchase Record'!F:F,Sheet4!A756)=0,"",SUMIFS('Purchase Record'!G:G,'Purchase Record'!F:F,Sheet4!A756))</f>
        <v/>
      </c>
      <c r="D756" t="str">
        <f>IF(SUMIFS('Sales Record'!H:H,'Sales Record'!F:F,Sheet4!A756)=0,"",SUMIFS('Sales Record'!H:H,'Sales Record'!F:F,Sheet4!A756))</f>
        <v/>
      </c>
      <c r="E756" t="str">
        <f>IF(SUMIFS('Sales Return'!G:G,'Sales Return'!F:F,Sheet4!A756)=0,"",SUMIFS('Sales Return'!G:G,'Sales Return'!F:F,Sheet4!A756))</f>
        <v/>
      </c>
      <c r="F756" t="str">
        <f>IF(SUMIFS('Purchase Return'!G:G,'Purchase Return'!F:F,Sheet4!A756)=0,"",SUMIFS('Purchase Return'!G:G,'Purchase Return'!F:F,Sheet4!A756))</f>
        <v/>
      </c>
      <c r="G756" t="str">
        <f t="shared" si="11"/>
        <v/>
      </c>
    </row>
    <row r="757" spans="1:7">
      <c r="A757" t="str">
        <f>IF('Product List'!B757="","",'Product List'!B757)</f>
        <v/>
      </c>
      <c r="B757" t="str">
        <f>IF('Product List'!C757="","",'Product List'!C757)</f>
        <v/>
      </c>
      <c r="C757" t="str">
        <f>IF(SUMIFS('Purchase Record'!G:G,'Purchase Record'!F:F,Sheet4!A757)=0,"",SUMIFS('Purchase Record'!G:G,'Purchase Record'!F:F,Sheet4!A757))</f>
        <v/>
      </c>
      <c r="D757" t="str">
        <f>IF(SUMIFS('Sales Record'!H:H,'Sales Record'!F:F,Sheet4!A757)=0,"",SUMIFS('Sales Record'!H:H,'Sales Record'!F:F,Sheet4!A757))</f>
        <v/>
      </c>
      <c r="E757" t="str">
        <f>IF(SUMIFS('Sales Return'!G:G,'Sales Return'!F:F,Sheet4!A757)=0,"",SUMIFS('Sales Return'!G:G,'Sales Return'!F:F,Sheet4!A757))</f>
        <v/>
      </c>
      <c r="F757" t="str">
        <f>IF(SUMIFS('Purchase Return'!G:G,'Purchase Return'!F:F,Sheet4!A757)=0,"",SUMIFS('Purchase Return'!G:G,'Purchase Return'!F:F,Sheet4!A757))</f>
        <v/>
      </c>
      <c r="G757" t="str">
        <f t="shared" si="11"/>
        <v/>
      </c>
    </row>
    <row r="758" spans="1:7">
      <c r="A758" t="str">
        <f>IF('Product List'!B758="","",'Product List'!B758)</f>
        <v/>
      </c>
      <c r="B758" t="str">
        <f>IF('Product List'!C758="","",'Product List'!C758)</f>
        <v/>
      </c>
      <c r="C758" t="str">
        <f>IF(SUMIFS('Purchase Record'!G:G,'Purchase Record'!F:F,Sheet4!A758)=0,"",SUMIFS('Purchase Record'!G:G,'Purchase Record'!F:F,Sheet4!A758))</f>
        <v/>
      </c>
      <c r="D758" t="str">
        <f>IF(SUMIFS('Sales Record'!H:H,'Sales Record'!F:F,Sheet4!A758)=0,"",SUMIFS('Sales Record'!H:H,'Sales Record'!F:F,Sheet4!A758))</f>
        <v/>
      </c>
      <c r="E758" t="str">
        <f>IF(SUMIFS('Sales Return'!G:G,'Sales Return'!F:F,Sheet4!A758)=0,"",SUMIFS('Sales Return'!G:G,'Sales Return'!F:F,Sheet4!A758))</f>
        <v/>
      </c>
      <c r="F758" t="str">
        <f>IF(SUMIFS('Purchase Return'!G:G,'Purchase Return'!F:F,Sheet4!A758)=0,"",SUMIFS('Purchase Return'!G:G,'Purchase Return'!F:F,Sheet4!A758))</f>
        <v/>
      </c>
      <c r="G758" t="str">
        <f t="shared" si="11"/>
        <v/>
      </c>
    </row>
    <row r="759" spans="1:7">
      <c r="A759" t="str">
        <f>IF('Product List'!B759="","",'Product List'!B759)</f>
        <v/>
      </c>
      <c r="B759" t="str">
        <f>IF('Product List'!C759="","",'Product List'!C759)</f>
        <v/>
      </c>
      <c r="C759" t="str">
        <f>IF(SUMIFS('Purchase Record'!G:G,'Purchase Record'!F:F,Sheet4!A759)=0,"",SUMIFS('Purchase Record'!G:G,'Purchase Record'!F:F,Sheet4!A759))</f>
        <v/>
      </c>
      <c r="D759" t="str">
        <f>IF(SUMIFS('Sales Record'!H:H,'Sales Record'!F:F,Sheet4!A759)=0,"",SUMIFS('Sales Record'!H:H,'Sales Record'!F:F,Sheet4!A759))</f>
        <v/>
      </c>
      <c r="E759" t="str">
        <f>IF(SUMIFS('Sales Return'!G:G,'Sales Return'!F:F,Sheet4!A759)=0,"",SUMIFS('Sales Return'!G:G,'Sales Return'!F:F,Sheet4!A759))</f>
        <v/>
      </c>
      <c r="F759" t="str">
        <f>IF(SUMIFS('Purchase Return'!G:G,'Purchase Return'!F:F,Sheet4!A759)=0,"",SUMIFS('Purchase Return'!G:G,'Purchase Return'!F:F,Sheet4!A759))</f>
        <v/>
      </c>
      <c r="G759" t="str">
        <f t="shared" si="11"/>
        <v/>
      </c>
    </row>
    <row r="760" spans="1:7">
      <c r="A760" t="str">
        <f>IF('Product List'!B760="","",'Product List'!B760)</f>
        <v/>
      </c>
      <c r="B760" t="str">
        <f>IF('Product List'!C760="","",'Product List'!C760)</f>
        <v/>
      </c>
      <c r="C760" t="str">
        <f>IF(SUMIFS('Purchase Record'!G:G,'Purchase Record'!F:F,Sheet4!A760)=0,"",SUMIFS('Purchase Record'!G:G,'Purchase Record'!F:F,Sheet4!A760))</f>
        <v/>
      </c>
      <c r="D760" t="str">
        <f>IF(SUMIFS('Sales Record'!H:H,'Sales Record'!F:F,Sheet4!A760)=0,"",SUMIFS('Sales Record'!H:H,'Sales Record'!F:F,Sheet4!A760))</f>
        <v/>
      </c>
      <c r="E760" t="str">
        <f>IF(SUMIFS('Sales Return'!G:G,'Sales Return'!F:F,Sheet4!A760)=0,"",SUMIFS('Sales Return'!G:G,'Sales Return'!F:F,Sheet4!A760))</f>
        <v/>
      </c>
      <c r="F760" t="str">
        <f>IF(SUMIFS('Purchase Return'!G:G,'Purchase Return'!F:F,Sheet4!A760)=0,"",SUMIFS('Purchase Return'!G:G,'Purchase Return'!F:F,Sheet4!A760))</f>
        <v/>
      </c>
      <c r="G760" t="str">
        <f t="shared" si="11"/>
        <v/>
      </c>
    </row>
    <row r="761" spans="1:7">
      <c r="A761" t="str">
        <f>IF('Product List'!B761="","",'Product List'!B761)</f>
        <v/>
      </c>
      <c r="B761" t="str">
        <f>IF('Product List'!C761="","",'Product List'!C761)</f>
        <v/>
      </c>
      <c r="C761" t="str">
        <f>IF(SUMIFS('Purchase Record'!G:G,'Purchase Record'!F:F,Sheet4!A761)=0,"",SUMIFS('Purchase Record'!G:G,'Purchase Record'!F:F,Sheet4!A761))</f>
        <v/>
      </c>
      <c r="D761" t="str">
        <f>IF(SUMIFS('Sales Record'!H:H,'Sales Record'!F:F,Sheet4!A761)=0,"",SUMIFS('Sales Record'!H:H,'Sales Record'!F:F,Sheet4!A761))</f>
        <v/>
      </c>
      <c r="E761" t="str">
        <f>IF(SUMIFS('Sales Return'!G:G,'Sales Return'!F:F,Sheet4!A761)=0,"",SUMIFS('Sales Return'!G:G,'Sales Return'!F:F,Sheet4!A761))</f>
        <v/>
      </c>
      <c r="F761" t="str">
        <f>IF(SUMIFS('Purchase Return'!G:G,'Purchase Return'!F:F,Sheet4!A761)=0,"",SUMIFS('Purchase Return'!G:G,'Purchase Return'!F:F,Sheet4!A761))</f>
        <v/>
      </c>
      <c r="G761" t="str">
        <f t="shared" si="11"/>
        <v/>
      </c>
    </row>
    <row r="762" spans="1:7">
      <c r="A762" t="str">
        <f>IF('Product List'!B762="","",'Product List'!B762)</f>
        <v/>
      </c>
      <c r="B762" t="str">
        <f>IF('Product List'!C762="","",'Product List'!C762)</f>
        <v/>
      </c>
      <c r="C762" t="str">
        <f>IF(SUMIFS('Purchase Record'!G:G,'Purchase Record'!F:F,Sheet4!A762)=0,"",SUMIFS('Purchase Record'!G:G,'Purchase Record'!F:F,Sheet4!A762))</f>
        <v/>
      </c>
      <c r="D762" t="str">
        <f>IF(SUMIFS('Sales Record'!H:H,'Sales Record'!F:F,Sheet4!A762)=0,"",SUMIFS('Sales Record'!H:H,'Sales Record'!F:F,Sheet4!A762))</f>
        <v/>
      </c>
      <c r="E762" t="str">
        <f>IF(SUMIFS('Sales Return'!G:G,'Sales Return'!F:F,Sheet4!A762)=0,"",SUMIFS('Sales Return'!G:G,'Sales Return'!F:F,Sheet4!A762))</f>
        <v/>
      </c>
      <c r="F762" t="str">
        <f>IF(SUMIFS('Purchase Return'!G:G,'Purchase Return'!F:F,Sheet4!A762)=0,"",SUMIFS('Purchase Return'!G:G,'Purchase Return'!F:F,Sheet4!A762))</f>
        <v/>
      </c>
      <c r="G762" t="str">
        <f t="shared" si="11"/>
        <v/>
      </c>
    </row>
    <row r="763" spans="1:7">
      <c r="A763" t="str">
        <f>IF('Product List'!B763="","",'Product List'!B763)</f>
        <v/>
      </c>
      <c r="B763" t="str">
        <f>IF('Product List'!C763="","",'Product List'!C763)</f>
        <v/>
      </c>
      <c r="C763" t="str">
        <f>IF(SUMIFS('Purchase Record'!G:G,'Purchase Record'!F:F,Sheet4!A763)=0,"",SUMIFS('Purchase Record'!G:G,'Purchase Record'!F:F,Sheet4!A763))</f>
        <v/>
      </c>
      <c r="D763" t="str">
        <f>IF(SUMIFS('Sales Record'!H:H,'Sales Record'!F:F,Sheet4!A763)=0,"",SUMIFS('Sales Record'!H:H,'Sales Record'!F:F,Sheet4!A763))</f>
        <v/>
      </c>
      <c r="E763" t="str">
        <f>IF(SUMIFS('Sales Return'!G:G,'Sales Return'!F:F,Sheet4!A763)=0,"",SUMIFS('Sales Return'!G:G,'Sales Return'!F:F,Sheet4!A763))</f>
        <v/>
      </c>
      <c r="F763" t="str">
        <f>IF(SUMIFS('Purchase Return'!G:G,'Purchase Return'!F:F,Sheet4!A763)=0,"",SUMIFS('Purchase Return'!G:G,'Purchase Return'!F:F,Sheet4!A763))</f>
        <v/>
      </c>
      <c r="G763" t="str">
        <f t="shared" si="11"/>
        <v/>
      </c>
    </row>
    <row r="764" spans="1:7">
      <c r="A764" t="str">
        <f>IF('Product List'!B764="","",'Product List'!B764)</f>
        <v/>
      </c>
      <c r="B764" t="str">
        <f>IF('Product List'!C764="","",'Product List'!C764)</f>
        <v/>
      </c>
      <c r="C764" t="str">
        <f>IF(SUMIFS('Purchase Record'!G:G,'Purchase Record'!F:F,Sheet4!A764)=0,"",SUMIFS('Purchase Record'!G:G,'Purchase Record'!F:F,Sheet4!A764))</f>
        <v/>
      </c>
      <c r="D764" t="str">
        <f>IF(SUMIFS('Sales Record'!H:H,'Sales Record'!F:F,Sheet4!A764)=0,"",SUMIFS('Sales Record'!H:H,'Sales Record'!F:F,Sheet4!A764))</f>
        <v/>
      </c>
      <c r="E764" t="str">
        <f>IF(SUMIFS('Sales Return'!G:G,'Sales Return'!F:F,Sheet4!A764)=0,"",SUMIFS('Sales Return'!G:G,'Sales Return'!F:F,Sheet4!A764))</f>
        <v/>
      </c>
      <c r="F764" t="str">
        <f>IF(SUMIFS('Purchase Return'!G:G,'Purchase Return'!F:F,Sheet4!A764)=0,"",SUMIFS('Purchase Return'!G:G,'Purchase Return'!F:F,Sheet4!A764))</f>
        <v/>
      </c>
      <c r="G764" t="str">
        <f t="shared" si="11"/>
        <v/>
      </c>
    </row>
    <row r="765" spans="1:7">
      <c r="A765" t="str">
        <f>IF('Product List'!B765="","",'Product List'!B765)</f>
        <v/>
      </c>
      <c r="B765" t="str">
        <f>IF('Product List'!C765="","",'Product List'!C765)</f>
        <v/>
      </c>
      <c r="C765" t="str">
        <f>IF(SUMIFS('Purchase Record'!G:G,'Purchase Record'!F:F,Sheet4!A765)=0,"",SUMIFS('Purchase Record'!G:G,'Purchase Record'!F:F,Sheet4!A765))</f>
        <v/>
      </c>
      <c r="D765" t="str">
        <f>IF(SUMIFS('Sales Record'!H:H,'Sales Record'!F:F,Sheet4!A765)=0,"",SUMIFS('Sales Record'!H:H,'Sales Record'!F:F,Sheet4!A765))</f>
        <v/>
      </c>
      <c r="E765" t="str">
        <f>IF(SUMIFS('Sales Return'!G:G,'Sales Return'!F:F,Sheet4!A765)=0,"",SUMIFS('Sales Return'!G:G,'Sales Return'!F:F,Sheet4!A765))</f>
        <v/>
      </c>
      <c r="F765" t="str">
        <f>IF(SUMIFS('Purchase Return'!G:G,'Purchase Return'!F:F,Sheet4!A765)=0,"",SUMIFS('Purchase Return'!G:G,'Purchase Return'!F:F,Sheet4!A765))</f>
        <v/>
      </c>
      <c r="G765" t="str">
        <f t="shared" si="11"/>
        <v/>
      </c>
    </row>
    <row r="766" spans="1:7">
      <c r="A766" t="str">
        <f>IF('Product List'!B766="","",'Product List'!B766)</f>
        <v/>
      </c>
      <c r="B766" t="str">
        <f>IF('Product List'!C766="","",'Product List'!C766)</f>
        <v/>
      </c>
      <c r="C766" t="str">
        <f>IF(SUMIFS('Purchase Record'!G:G,'Purchase Record'!F:F,Sheet4!A766)=0,"",SUMIFS('Purchase Record'!G:G,'Purchase Record'!F:F,Sheet4!A766))</f>
        <v/>
      </c>
      <c r="D766" t="str">
        <f>IF(SUMIFS('Sales Record'!H:H,'Sales Record'!F:F,Sheet4!A766)=0,"",SUMIFS('Sales Record'!H:H,'Sales Record'!F:F,Sheet4!A766))</f>
        <v/>
      </c>
      <c r="E766" t="str">
        <f>IF(SUMIFS('Sales Return'!G:G,'Sales Return'!F:F,Sheet4!A766)=0,"",SUMIFS('Sales Return'!G:G,'Sales Return'!F:F,Sheet4!A766))</f>
        <v/>
      </c>
      <c r="F766" t="str">
        <f>IF(SUMIFS('Purchase Return'!G:G,'Purchase Return'!F:F,Sheet4!A766)=0,"",SUMIFS('Purchase Return'!G:G,'Purchase Return'!F:F,Sheet4!A766))</f>
        <v/>
      </c>
      <c r="G766" t="str">
        <f t="shared" si="11"/>
        <v/>
      </c>
    </row>
    <row r="767" spans="1:7">
      <c r="A767" t="str">
        <f>IF('Product List'!B767="","",'Product List'!B767)</f>
        <v/>
      </c>
      <c r="B767" t="str">
        <f>IF('Product List'!C767="","",'Product List'!C767)</f>
        <v/>
      </c>
      <c r="C767" t="str">
        <f>IF(SUMIFS('Purchase Record'!G:G,'Purchase Record'!F:F,Sheet4!A767)=0,"",SUMIFS('Purchase Record'!G:G,'Purchase Record'!F:F,Sheet4!A767))</f>
        <v/>
      </c>
      <c r="D767" t="str">
        <f>IF(SUMIFS('Sales Record'!H:H,'Sales Record'!F:F,Sheet4!A767)=0,"",SUMIFS('Sales Record'!H:H,'Sales Record'!F:F,Sheet4!A767))</f>
        <v/>
      </c>
      <c r="E767" t="str">
        <f>IF(SUMIFS('Sales Return'!G:G,'Sales Return'!F:F,Sheet4!A767)=0,"",SUMIFS('Sales Return'!G:G,'Sales Return'!F:F,Sheet4!A767))</f>
        <v/>
      </c>
      <c r="F767" t="str">
        <f>IF(SUMIFS('Purchase Return'!G:G,'Purchase Return'!F:F,Sheet4!A767)=0,"",SUMIFS('Purchase Return'!G:G,'Purchase Return'!F:F,Sheet4!A767))</f>
        <v/>
      </c>
      <c r="G767" t="str">
        <f t="shared" si="11"/>
        <v/>
      </c>
    </row>
    <row r="768" spans="1:7">
      <c r="A768" t="str">
        <f>IF('Product List'!B768="","",'Product List'!B768)</f>
        <v/>
      </c>
      <c r="B768" t="str">
        <f>IF('Product List'!C768="","",'Product List'!C768)</f>
        <v/>
      </c>
      <c r="C768" t="str">
        <f>IF(SUMIFS('Purchase Record'!G:G,'Purchase Record'!F:F,Sheet4!A768)=0,"",SUMIFS('Purchase Record'!G:G,'Purchase Record'!F:F,Sheet4!A768))</f>
        <v/>
      </c>
      <c r="D768" t="str">
        <f>IF(SUMIFS('Sales Record'!H:H,'Sales Record'!F:F,Sheet4!A768)=0,"",SUMIFS('Sales Record'!H:H,'Sales Record'!F:F,Sheet4!A768))</f>
        <v/>
      </c>
      <c r="E768" t="str">
        <f>IF(SUMIFS('Sales Return'!G:G,'Sales Return'!F:F,Sheet4!A768)=0,"",SUMIFS('Sales Return'!G:G,'Sales Return'!F:F,Sheet4!A768))</f>
        <v/>
      </c>
      <c r="F768" t="str">
        <f>IF(SUMIFS('Purchase Return'!G:G,'Purchase Return'!F:F,Sheet4!A768)=0,"",SUMIFS('Purchase Return'!G:G,'Purchase Return'!F:F,Sheet4!A768))</f>
        <v/>
      </c>
      <c r="G768" t="str">
        <f t="shared" si="11"/>
        <v/>
      </c>
    </row>
    <row r="769" spans="1:7">
      <c r="A769" t="str">
        <f>IF('Product List'!B769="","",'Product List'!B769)</f>
        <v/>
      </c>
      <c r="B769" t="str">
        <f>IF('Product List'!C769="","",'Product List'!C769)</f>
        <v/>
      </c>
      <c r="C769" t="str">
        <f>IF(SUMIFS('Purchase Record'!G:G,'Purchase Record'!F:F,Sheet4!A769)=0,"",SUMIFS('Purchase Record'!G:G,'Purchase Record'!F:F,Sheet4!A769))</f>
        <v/>
      </c>
      <c r="D769" t="str">
        <f>IF(SUMIFS('Sales Record'!H:H,'Sales Record'!F:F,Sheet4!A769)=0,"",SUMIFS('Sales Record'!H:H,'Sales Record'!F:F,Sheet4!A769))</f>
        <v/>
      </c>
      <c r="E769" t="str">
        <f>IF(SUMIFS('Sales Return'!G:G,'Sales Return'!F:F,Sheet4!A769)=0,"",SUMIFS('Sales Return'!G:G,'Sales Return'!F:F,Sheet4!A769))</f>
        <v/>
      </c>
      <c r="F769" t="str">
        <f>IF(SUMIFS('Purchase Return'!G:G,'Purchase Return'!F:F,Sheet4!A769)=0,"",SUMIFS('Purchase Return'!G:G,'Purchase Return'!F:F,Sheet4!A769))</f>
        <v/>
      </c>
      <c r="G769" t="str">
        <f t="shared" si="11"/>
        <v/>
      </c>
    </row>
    <row r="770" spans="1:7">
      <c r="A770" t="str">
        <f>IF('Product List'!B770="","",'Product List'!B770)</f>
        <v/>
      </c>
      <c r="B770" t="str">
        <f>IF('Product List'!C770="","",'Product List'!C770)</f>
        <v/>
      </c>
      <c r="C770" t="str">
        <f>IF(SUMIFS('Purchase Record'!G:G,'Purchase Record'!F:F,Sheet4!A770)=0,"",SUMIFS('Purchase Record'!G:G,'Purchase Record'!F:F,Sheet4!A770))</f>
        <v/>
      </c>
      <c r="D770" t="str">
        <f>IF(SUMIFS('Sales Record'!H:H,'Sales Record'!F:F,Sheet4!A770)=0,"",SUMIFS('Sales Record'!H:H,'Sales Record'!F:F,Sheet4!A770))</f>
        <v/>
      </c>
      <c r="E770" t="str">
        <f>IF(SUMIFS('Sales Return'!G:G,'Sales Return'!F:F,Sheet4!A770)=0,"",SUMIFS('Sales Return'!G:G,'Sales Return'!F:F,Sheet4!A770))</f>
        <v/>
      </c>
      <c r="F770" t="str">
        <f>IF(SUMIFS('Purchase Return'!G:G,'Purchase Return'!F:F,Sheet4!A770)=0,"",SUMIFS('Purchase Return'!G:G,'Purchase Return'!F:F,Sheet4!A770))</f>
        <v/>
      </c>
      <c r="G770" t="str">
        <f t="shared" si="11"/>
        <v/>
      </c>
    </row>
    <row r="771" spans="1:7">
      <c r="A771" t="str">
        <f>IF('Product List'!B771="","",'Product List'!B771)</f>
        <v/>
      </c>
      <c r="B771" t="str">
        <f>IF('Product List'!C771="","",'Product List'!C771)</f>
        <v/>
      </c>
      <c r="C771" t="str">
        <f>IF(SUMIFS('Purchase Record'!G:G,'Purchase Record'!F:F,Sheet4!A771)=0,"",SUMIFS('Purchase Record'!G:G,'Purchase Record'!F:F,Sheet4!A771))</f>
        <v/>
      </c>
      <c r="D771" t="str">
        <f>IF(SUMIFS('Sales Record'!H:H,'Sales Record'!F:F,Sheet4!A771)=0,"",SUMIFS('Sales Record'!H:H,'Sales Record'!F:F,Sheet4!A771))</f>
        <v/>
      </c>
      <c r="E771" t="str">
        <f>IF(SUMIFS('Sales Return'!G:G,'Sales Return'!F:F,Sheet4!A771)=0,"",SUMIFS('Sales Return'!G:G,'Sales Return'!F:F,Sheet4!A771))</f>
        <v/>
      </c>
      <c r="F771" t="str">
        <f>IF(SUMIFS('Purchase Return'!G:G,'Purchase Return'!F:F,Sheet4!A771)=0,"",SUMIFS('Purchase Return'!G:G,'Purchase Return'!F:F,Sheet4!A771))</f>
        <v/>
      </c>
      <c r="G771" t="str">
        <f t="shared" ref="G771:G834" si="12">IF(C771="","",N(C771)-N(D771)+N(E771)-N(F771))</f>
        <v/>
      </c>
    </row>
    <row r="772" spans="1:7">
      <c r="A772" t="str">
        <f>IF('Product List'!B772="","",'Product List'!B772)</f>
        <v/>
      </c>
      <c r="B772" t="str">
        <f>IF('Product List'!C772="","",'Product List'!C772)</f>
        <v/>
      </c>
      <c r="C772" t="str">
        <f>IF(SUMIFS('Purchase Record'!G:G,'Purchase Record'!F:F,Sheet4!A772)=0,"",SUMIFS('Purchase Record'!G:G,'Purchase Record'!F:F,Sheet4!A772))</f>
        <v/>
      </c>
      <c r="D772" t="str">
        <f>IF(SUMIFS('Sales Record'!H:H,'Sales Record'!F:F,Sheet4!A772)=0,"",SUMIFS('Sales Record'!H:H,'Sales Record'!F:F,Sheet4!A772))</f>
        <v/>
      </c>
      <c r="E772" t="str">
        <f>IF(SUMIFS('Sales Return'!G:G,'Sales Return'!F:F,Sheet4!A772)=0,"",SUMIFS('Sales Return'!G:G,'Sales Return'!F:F,Sheet4!A772))</f>
        <v/>
      </c>
      <c r="F772" t="str">
        <f>IF(SUMIFS('Purchase Return'!G:G,'Purchase Return'!F:F,Sheet4!A772)=0,"",SUMIFS('Purchase Return'!G:G,'Purchase Return'!F:F,Sheet4!A772))</f>
        <v/>
      </c>
      <c r="G772" t="str">
        <f t="shared" si="12"/>
        <v/>
      </c>
    </row>
    <row r="773" spans="1:7">
      <c r="A773" t="str">
        <f>IF('Product List'!B773="","",'Product List'!B773)</f>
        <v/>
      </c>
      <c r="B773" t="str">
        <f>IF('Product List'!C773="","",'Product List'!C773)</f>
        <v/>
      </c>
      <c r="C773" t="str">
        <f>IF(SUMIFS('Purchase Record'!G:G,'Purchase Record'!F:F,Sheet4!A773)=0,"",SUMIFS('Purchase Record'!G:G,'Purchase Record'!F:F,Sheet4!A773))</f>
        <v/>
      </c>
      <c r="D773" t="str">
        <f>IF(SUMIFS('Sales Record'!H:H,'Sales Record'!F:F,Sheet4!A773)=0,"",SUMIFS('Sales Record'!H:H,'Sales Record'!F:F,Sheet4!A773))</f>
        <v/>
      </c>
      <c r="E773" t="str">
        <f>IF(SUMIFS('Sales Return'!G:G,'Sales Return'!F:F,Sheet4!A773)=0,"",SUMIFS('Sales Return'!G:G,'Sales Return'!F:F,Sheet4!A773))</f>
        <v/>
      </c>
      <c r="F773" t="str">
        <f>IF(SUMIFS('Purchase Return'!G:G,'Purchase Return'!F:F,Sheet4!A773)=0,"",SUMIFS('Purchase Return'!G:G,'Purchase Return'!F:F,Sheet4!A773))</f>
        <v/>
      </c>
      <c r="G773" t="str">
        <f t="shared" si="12"/>
        <v/>
      </c>
    </row>
    <row r="774" spans="1:7">
      <c r="A774" t="str">
        <f>IF('Product List'!B774="","",'Product List'!B774)</f>
        <v/>
      </c>
      <c r="B774" t="str">
        <f>IF('Product List'!C774="","",'Product List'!C774)</f>
        <v/>
      </c>
      <c r="C774" t="str">
        <f>IF(SUMIFS('Purchase Record'!G:G,'Purchase Record'!F:F,Sheet4!A774)=0,"",SUMIFS('Purchase Record'!G:G,'Purchase Record'!F:F,Sheet4!A774))</f>
        <v/>
      </c>
      <c r="D774" t="str">
        <f>IF(SUMIFS('Sales Record'!H:H,'Sales Record'!F:F,Sheet4!A774)=0,"",SUMIFS('Sales Record'!H:H,'Sales Record'!F:F,Sheet4!A774))</f>
        <v/>
      </c>
      <c r="E774" t="str">
        <f>IF(SUMIFS('Sales Return'!G:G,'Sales Return'!F:F,Sheet4!A774)=0,"",SUMIFS('Sales Return'!G:G,'Sales Return'!F:F,Sheet4!A774))</f>
        <v/>
      </c>
      <c r="F774" t="str">
        <f>IF(SUMIFS('Purchase Return'!G:G,'Purchase Return'!F:F,Sheet4!A774)=0,"",SUMIFS('Purchase Return'!G:G,'Purchase Return'!F:F,Sheet4!A774))</f>
        <v/>
      </c>
      <c r="G774" t="str">
        <f t="shared" si="12"/>
        <v/>
      </c>
    </row>
    <row r="775" spans="1:7">
      <c r="A775" t="str">
        <f>IF('Product List'!B775="","",'Product List'!B775)</f>
        <v/>
      </c>
      <c r="B775" t="str">
        <f>IF('Product List'!C775="","",'Product List'!C775)</f>
        <v/>
      </c>
      <c r="C775" t="str">
        <f>IF(SUMIFS('Purchase Record'!G:G,'Purchase Record'!F:F,Sheet4!A775)=0,"",SUMIFS('Purchase Record'!G:G,'Purchase Record'!F:F,Sheet4!A775))</f>
        <v/>
      </c>
      <c r="D775" t="str">
        <f>IF(SUMIFS('Sales Record'!H:H,'Sales Record'!F:F,Sheet4!A775)=0,"",SUMIFS('Sales Record'!H:H,'Sales Record'!F:F,Sheet4!A775))</f>
        <v/>
      </c>
      <c r="E775" t="str">
        <f>IF(SUMIFS('Sales Return'!G:G,'Sales Return'!F:F,Sheet4!A775)=0,"",SUMIFS('Sales Return'!G:G,'Sales Return'!F:F,Sheet4!A775))</f>
        <v/>
      </c>
      <c r="F775" t="str">
        <f>IF(SUMIFS('Purchase Return'!G:G,'Purchase Return'!F:F,Sheet4!A775)=0,"",SUMIFS('Purchase Return'!G:G,'Purchase Return'!F:F,Sheet4!A775))</f>
        <v/>
      </c>
      <c r="G775" t="str">
        <f t="shared" si="12"/>
        <v/>
      </c>
    </row>
    <row r="776" spans="1:7">
      <c r="A776" t="str">
        <f>IF('Product List'!B776="","",'Product List'!B776)</f>
        <v/>
      </c>
      <c r="B776" t="str">
        <f>IF('Product List'!C776="","",'Product List'!C776)</f>
        <v/>
      </c>
      <c r="C776" t="str">
        <f>IF(SUMIFS('Purchase Record'!G:G,'Purchase Record'!F:F,Sheet4!A776)=0,"",SUMIFS('Purchase Record'!G:G,'Purchase Record'!F:F,Sheet4!A776))</f>
        <v/>
      </c>
      <c r="D776" t="str">
        <f>IF(SUMIFS('Sales Record'!H:H,'Sales Record'!F:F,Sheet4!A776)=0,"",SUMIFS('Sales Record'!H:H,'Sales Record'!F:F,Sheet4!A776))</f>
        <v/>
      </c>
      <c r="E776" t="str">
        <f>IF(SUMIFS('Sales Return'!G:G,'Sales Return'!F:F,Sheet4!A776)=0,"",SUMIFS('Sales Return'!G:G,'Sales Return'!F:F,Sheet4!A776))</f>
        <v/>
      </c>
      <c r="F776" t="str">
        <f>IF(SUMIFS('Purchase Return'!G:G,'Purchase Return'!F:F,Sheet4!A776)=0,"",SUMIFS('Purchase Return'!G:G,'Purchase Return'!F:F,Sheet4!A776))</f>
        <v/>
      </c>
      <c r="G776" t="str">
        <f t="shared" si="12"/>
        <v/>
      </c>
    </row>
    <row r="777" spans="1:7">
      <c r="A777" t="str">
        <f>IF('Product List'!B777="","",'Product List'!B777)</f>
        <v/>
      </c>
      <c r="B777" t="str">
        <f>IF('Product List'!C777="","",'Product List'!C777)</f>
        <v/>
      </c>
      <c r="C777" t="str">
        <f>IF(SUMIFS('Purchase Record'!G:G,'Purchase Record'!F:F,Sheet4!A777)=0,"",SUMIFS('Purchase Record'!G:G,'Purchase Record'!F:F,Sheet4!A777))</f>
        <v/>
      </c>
      <c r="D777" t="str">
        <f>IF(SUMIFS('Sales Record'!H:H,'Sales Record'!F:F,Sheet4!A777)=0,"",SUMIFS('Sales Record'!H:H,'Sales Record'!F:F,Sheet4!A777))</f>
        <v/>
      </c>
      <c r="E777" t="str">
        <f>IF(SUMIFS('Sales Return'!G:G,'Sales Return'!F:F,Sheet4!A777)=0,"",SUMIFS('Sales Return'!G:G,'Sales Return'!F:F,Sheet4!A777))</f>
        <v/>
      </c>
      <c r="F777" t="str">
        <f>IF(SUMIFS('Purchase Return'!G:G,'Purchase Return'!F:F,Sheet4!A777)=0,"",SUMIFS('Purchase Return'!G:G,'Purchase Return'!F:F,Sheet4!A777))</f>
        <v/>
      </c>
      <c r="G777" t="str">
        <f t="shared" si="12"/>
        <v/>
      </c>
    </row>
    <row r="778" spans="1:7">
      <c r="A778" t="str">
        <f>IF('Product List'!B778="","",'Product List'!B778)</f>
        <v/>
      </c>
      <c r="B778" t="str">
        <f>IF('Product List'!C778="","",'Product List'!C778)</f>
        <v/>
      </c>
      <c r="C778" t="str">
        <f>IF(SUMIFS('Purchase Record'!G:G,'Purchase Record'!F:F,Sheet4!A778)=0,"",SUMIFS('Purchase Record'!G:G,'Purchase Record'!F:F,Sheet4!A778))</f>
        <v/>
      </c>
      <c r="D778" t="str">
        <f>IF(SUMIFS('Sales Record'!H:H,'Sales Record'!F:F,Sheet4!A778)=0,"",SUMIFS('Sales Record'!H:H,'Sales Record'!F:F,Sheet4!A778))</f>
        <v/>
      </c>
      <c r="E778" t="str">
        <f>IF(SUMIFS('Sales Return'!G:G,'Sales Return'!F:F,Sheet4!A778)=0,"",SUMIFS('Sales Return'!G:G,'Sales Return'!F:F,Sheet4!A778))</f>
        <v/>
      </c>
      <c r="F778" t="str">
        <f>IF(SUMIFS('Purchase Return'!G:G,'Purchase Return'!F:F,Sheet4!A778)=0,"",SUMIFS('Purchase Return'!G:G,'Purchase Return'!F:F,Sheet4!A778))</f>
        <v/>
      </c>
      <c r="G778" t="str">
        <f t="shared" si="12"/>
        <v/>
      </c>
    </row>
    <row r="779" spans="1:7">
      <c r="A779" t="str">
        <f>IF('Product List'!B779="","",'Product List'!B779)</f>
        <v/>
      </c>
      <c r="B779" t="str">
        <f>IF('Product List'!C779="","",'Product List'!C779)</f>
        <v/>
      </c>
      <c r="C779" t="str">
        <f>IF(SUMIFS('Purchase Record'!G:G,'Purchase Record'!F:F,Sheet4!A779)=0,"",SUMIFS('Purchase Record'!G:G,'Purchase Record'!F:F,Sheet4!A779))</f>
        <v/>
      </c>
      <c r="D779" t="str">
        <f>IF(SUMIFS('Sales Record'!H:H,'Sales Record'!F:F,Sheet4!A779)=0,"",SUMIFS('Sales Record'!H:H,'Sales Record'!F:F,Sheet4!A779))</f>
        <v/>
      </c>
      <c r="E779" t="str">
        <f>IF(SUMIFS('Sales Return'!G:G,'Sales Return'!F:F,Sheet4!A779)=0,"",SUMIFS('Sales Return'!G:G,'Sales Return'!F:F,Sheet4!A779))</f>
        <v/>
      </c>
      <c r="F779" t="str">
        <f>IF(SUMIFS('Purchase Return'!G:G,'Purchase Return'!F:F,Sheet4!A779)=0,"",SUMIFS('Purchase Return'!G:G,'Purchase Return'!F:F,Sheet4!A779))</f>
        <v/>
      </c>
      <c r="G779" t="str">
        <f t="shared" si="12"/>
        <v/>
      </c>
    </row>
    <row r="780" spans="1:7">
      <c r="A780" t="str">
        <f>IF('Product List'!B780="","",'Product List'!B780)</f>
        <v/>
      </c>
      <c r="B780" t="str">
        <f>IF('Product List'!C780="","",'Product List'!C780)</f>
        <v/>
      </c>
      <c r="C780" t="str">
        <f>IF(SUMIFS('Purchase Record'!G:G,'Purchase Record'!F:F,Sheet4!A780)=0,"",SUMIFS('Purchase Record'!G:G,'Purchase Record'!F:F,Sheet4!A780))</f>
        <v/>
      </c>
      <c r="D780" t="str">
        <f>IF(SUMIFS('Sales Record'!H:H,'Sales Record'!F:F,Sheet4!A780)=0,"",SUMIFS('Sales Record'!H:H,'Sales Record'!F:F,Sheet4!A780))</f>
        <v/>
      </c>
      <c r="E780" t="str">
        <f>IF(SUMIFS('Sales Return'!G:G,'Sales Return'!F:F,Sheet4!A780)=0,"",SUMIFS('Sales Return'!G:G,'Sales Return'!F:F,Sheet4!A780))</f>
        <v/>
      </c>
      <c r="F780" t="str">
        <f>IF(SUMIFS('Purchase Return'!G:G,'Purchase Return'!F:F,Sheet4!A780)=0,"",SUMIFS('Purchase Return'!G:G,'Purchase Return'!F:F,Sheet4!A780))</f>
        <v/>
      </c>
      <c r="G780" t="str">
        <f t="shared" si="12"/>
        <v/>
      </c>
    </row>
    <row r="781" spans="1:7">
      <c r="A781" t="str">
        <f>IF('Product List'!B781="","",'Product List'!B781)</f>
        <v/>
      </c>
      <c r="B781" t="str">
        <f>IF('Product List'!C781="","",'Product List'!C781)</f>
        <v/>
      </c>
      <c r="C781" t="str">
        <f>IF(SUMIFS('Purchase Record'!G:G,'Purchase Record'!F:F,Sheet4!A781)=0,"",SUMIFS('Purchase Record'!G:G,'Purchase Record'!F:F,Sheet4!A781))</f>
        <v/>
      </c>
      <c r="D781" t="str">
        <f>IF(SUMIFS('Sales Record'!H:H,'Sales Record'!F:F,Sheet4!A781)=0,"",SUMIFS('Sales Record'!H:H,'Sales Record'!F:F,Sheet4!A781))</f>
        <v/>
      </c>
      <c r="E781" t="str">
        <f>IF(SUMIFS('Sales Return'!G:G,'Sales Return'!F:F,Sheet4!A781)=0,"",SUMIFS('Sales Return'!G:G,'Sales Return'!F:F,Sheet4!A781))</f>
        <v/>
      </c>
      <c r="F781" t="str">
        <f>IF(SUMIFS('Purchase Return'!G:G,'Purchase Return'!F:F,Sheet4!A781)=0,"",SUMIFS('Purchase Return'!G:G,'Purchase Return'!F:F,Sheet4!A781))</f>
        <v/>
      </c>
      <c r="G781" t="str">
        <f t="shared" si="12"/>
        <v/>
      </c>
    </row>
    <row r="782" spans="1:7">
      <c r="A782" t="str">
        <f>IF('Product List'!B782="","",'Product List'!B782)</f>
        <v/>
      </c>
      <c r="B782" t="str">
        <f>IF('Product List'!C782="","",'Product List'!C782)</f>
        <v/>
      </c>
      <c r="C782" t="str">
        <f>IF(SUMIFS('Purchase Record'!G:G,'Purchase Record'!F:F,Sheet4!A782)=0,"",SUMIFS('Purchase Record'!G:G,'Purchase Record'!F:F,Sheet4!A782))</f>
        <v/>
      </c>
      <c r="D782" t="str">
        <f>IF(SUMIFS('Sales Record'!H:H,'Sales Record'!F:F,Sheet4!A782)=0,"",SUMIFS('Sales Record'!H:H,'Sales Record'!F:F,Sheet4!A782))</f>
        <v/>
      </c>
      <c r="E782" t="str">
        <f>IF(SUMIFS('Sales Return'!G:G,'Sales Return'!F:F,Sheet4!A782)=0,"",SUMIFS('Sales Return'!G:G,'Sales Return'!F:F,Sheet4!A782))</f>
        <v/>
      </c>
      <c r="F782" t="str">
        <f>IF(SUMIFS('Purchase Return'!G:G,'Purchase Return'!F:F,Sheet4!A782)=0,"",SUMIFS('Purchase Return'!G:G,'Purchase Return'!F:F,Sheet4!A782))</f>
        <v/>
      </c>
      <c r="G782" t="str">
        <f t="shared" si="12"/>
        <v/>
      </c>
    </row>
    <row r="783" spans="1:7">
      <c r="A783" t="str">
        <f>IF('Product List'!B783="","",'Product List'!B783)</f>
        <v/>
      </c>
      <c r="B783" t="str">
        <f>IF('Product List'!C783="","",'Product List'!C783)</f>
        <v/>
      </c>
      <c r="C783" t="str">
        <f>IF(SUMIFS('Purchase Record'!G:G,'Purchase Record'!F:F,Sheet4!A783)=0,"",SUMIFS('Purchase Record'!G:G,'Purchase Record'!F:F,Sheet4!A783))</f>
        <v/>
      </c>
      <c r="D783" t="str">
        <f>IF(SUMIFS('Sales Record'!H:H,'Sales Record'!F:F,Sheet4!A783)=0,"",SUMIFS('Sales Record'!H:H,'Sales Record'!F:F,Sheet4!A783))</f>
        <v/>
      </c>
      <c r="E783" t="str">
        <f>IF(SUMIFS('Sales Return'!G:G,'Sales Return'!F:F,Sheet4!A783)=0,"",SUMIFS('Sales Return'!G:G,'Sales Return'!F:F,Sheet4!A783))</f>
        <v/>
      </c>
      <c r="F783" t="str">
        <f>IF(SUMIFS('Purchase Return'!G:G,'Purchase Return'!F:F,Sheet4!A783)=0,"",SUMIFS('Purchase Return'!G:G,'Purchase Return'!F:F,Sheet4!A783))</f>
        <v/>
      </c>
      <c r="G783" t="str">
        <f t="shared" si="12"/>
        <v/>
      </c>
    </row>
    <row r="784" spans="1:7">
      <c r="A784" t="str">
        <f>IF('Product List'!B784="","",'Product List'!B784)</f>
        <v/>
      </c>
      <c r="B784" t="str">
        <f>IF('Product List'!C784="","",'Product List'!C784)</f>
        <v/>
      </c>
      <c r="C784" t="str">
        <f>IF(SUMIFS('Purchase Record'!G:G,'Purchase Record'!F:F,Sheet4!A784)=0,"",SUMIFS('Purchase Record'!G:G,'Purchase Record'!F:F,Sheet4!A784))</f>
        <v/>
      </c>
      <c r="D784" t="str">
        <f>IF(SUMIFS('Sales Record'!H:H,'Sales Record'!F:F,Sheet4!A784)=0,"",SUMIFS('Sales Record'!H:H,'Sales Record'!F:F,Sheet4!A784))</f>
        <v/>
      </c>
      <c r="E784" t="str">
        <f>IF(SUMIFS('Sales Return'!G:G,'Sales Return'!F:F,Sheet4!A784)=0,"",SUMIFS('Sales Return'!G:G,'Sales Return'!F:F,Sheet4!A784))</f>
        <v/>
      </c>
      <c r="F784" t="str">
        <f>IF(SUMIFS('Purchase Return'!G:G,'Purchase Return'!F:F,Sheet4!A784)=0,"",SUMIFS('Purchase Return'!G:G,'Purchase Return'!F:F,Sheet4!A784))</f>
        <v/>
      </c>
      <c r="G784" t="str">
        <f t="shared" si="12"/>
        <v/>
      </c>
    </row>
    <row r="785" spans="1:7">
      <c r="A785" t="str">
        <f>IF('Product List'!B785="","",'Product List'!B785)</f>
        <v/>
      </c>
      <c r="B785" t="str">
        <f>IF('Product List'!C785="","",'Product List'!C785)</f>
        <v/>
      </c>
      <c r="C785" t="str">
        <f>IF(SUMIFS('Purchase Record'!G:G,'Purchase Record'!F:F,Sheet4!A785)=0,"",SUMIFS('Purchase Record'!G:G,'Purchase Record'!F:F,Sheet4!A785))</f>
        <v/>
      </c>
      <c r="D785" t="str">
        <f>IF(SUMIFS('Sales Record'!H:H,'Sales Record'!F:F,Sheet4!A785)=0,"",SUMIFS('Sales Record'!H:H,'Sales Record'!F:F,Sheet4!A785))</f>
        <v/>
      </c>
      <c r="E785" t="str">
        <f>IF(SUMIFS('Sales Return'!G:G,'Sales Return'!F:F,Sheet4!A785)=0,"",SUMIFS('Sales Return'!G:G,'Sales Return'!F:F,Sheet4!A785))</f>
        <v/>
      </c>
      <c r="F785" t="str">
        <f>IF(SUMIFS('Purchase Return'!G:G,'Purchase Return'!F:F,Sheet4!A785)=0,"",SUMIFS('Purchase Return'!G:G,'Purchase Return'!F:F,Sheet4!A785))</f>
        <v/>
      </c>
      <c r="G785" t="str">
        <f t="shared" si="12"/>
        <v/>
      </c>
    </row>
    <row r="786" spans="1:7">
      <c r="A786" t="str">
        <f>IF('Product List'!B786="","",'Product List'!B786)</f>
        <v/>
      </c>
      <c r="B786" t="str">
        <f>IF('Product List'!C786="","",'Product List'!C786)</f>
        <v/>
      </c>
      <c r="C786" t="str">
        <f>IF(SUMIFS('Purchase Record'!G:G,'Purchase Record'!F:F,Sheet4!A786)=0,"",SUMIFS('Purchase Record'!G:G,'Purchase Record'!F:F,Sheet4!A786))</f>
        <v/>
      </c>
      <c r="D786" t="str">
        <f>IF(SUMIFS('Sales Record'!H:H,'Sales Record'!F:F,Sheet4!A786)=0,"",SUMIFS('Sales Record'!H:H,'Sales Record'!F:F,Sheet4!A786))</f>
        <v/>
      </c>
      <c r="E786" t="str">
        <f>IF(SUMIFS('Sales Return'!G:G,'Sales Return'!F:F,Sheet4!A786)=0,"",SUMIFS('Sales Return'!G:G,'Sales Return'!F:F,Sheet4!A786))</f>
        <v/>
      </c>
      <c r="F786" t="str">
        <f>IF(SUMIFS('Purchase Return'!G:G,'Purchase Return'!F:F,Sheet4!A786)=0,"",SUMIFS('Purchase Return'!G:G,'Purchase Return'!F:F,Sheet4!A786))</f>
        <v/>
      </c>
      <c r="G786" t="str">
        <f t="shared" si="12"/>
        <v/>
      </c>
    </row>
    <row r="787" spans="1:7">
      <c r="A787" t="str">
        <f>IF('Product List'!B787="","",'Product List'!B787)</f>
        <v/>
      </c>
      <c r="B787" t="str">
        <f>IF('Product List'!C787="","",'Product List'!C787)</f>
        <v/>
      </c>
      <c r="C787" t="str">
        <f>IF(SUMIFS('Purchase Record'!G:G,'Purchase Record'!F:F,Sheet4!A787)=0,"",SUMIFS('Purchase Record'!G:G,'Purchase Record'!F:F,Sheet4!A787))</f>
        <v/>
      </c>
      <c r="D787" t="str">
        <f>IF(SUMIFS('Sales Record'!H:H,'Sales Record'!F:F,Sheet4!A787)=0,"",SUMIFS('Sales Record'!H:H,'Sales Record'!F:F,Sheet4!A787))</f>
        <v/>
      </c>
      <c r="E787" t="str">
        <f>IF(SUMIFS('Sales Return'!G:G,'Sales Return'!F:F,Sheet4!A787)=0,"",SUMIFS('Sales Return'!G:G,'Sales Return'!F:F,Sheet4!A787))</f>
        <v/>
      </c>
      <c r="F787" t="str">
        <f>IF(SUMIFS('Purchase Return'!G:G,'Purchase Return'!F:F,Sheet4!A787)=0,"",SUMIFS('Purchase Return'!G:G,'Purchase Return'!F:F,Sheet4!A787))</f>
        <v/>
      </c>
      <c r="G787" t="str">
        <f t="shared" si="12"/>
        <v/>
      </c>
    </row>
    <row r="788" spans="1:7">
      <c r="A788" t="str">
        <f>IF('Product List'!B788="","",'Product List'!B788)</f>
        <v/>
      </c>
      <c r="B788" t="str">
        <f>IF('Product List'!C788="","",'Product List'!C788)</f>
        <v/>
      </c>
      <c r="C788" t="str">
        <f>IF(SUMIFS('Purchase Record'!G:G,'Purchase Record'!F:F,Sheet4!A788)=0,"",SUMIFS('Purchase Record'!G:G,'Purchase Record'!F:F,Sheet4!A788))</f>
        <v/>
      </c>
      <c r="D788" t="str">
        <f>IF(SUMIFS('Sales Record'!H:H,'Sales Record'!F:F,Sheet4!A788)=0,"",SUMIFS('Sales Record'!H:H,'Sales Record'!F:F,Sheet4!A788))</f>
        <v/>
      </c>
      <c r="E788" t="str">
        <f>IF(SUMIFS('Sales Return'!G:G,'Sales Return'!F:F,Sheet4!A788)=0,"",SUMIFS('Sales Return'!G:G,'Sales Return'!F:F,Sheet4!A788))</f>
        <v/>
      </c>
      <c r="F788" t="str">
        <f>IF(SUMIFS('Purchase Return'!G:G,'Purchase Return'!F:F,Sheet4!A788)=0,"",SUMIFS('Purchase Return'!G:G,'Purchase Return'!F:F,Sheet4!A788))</f>
        <v/>
      </c>
      <c r="G788" t="str">
        <f t="shared" si="12"/>
        <v/>
      </c>
    </row>
    <row r="789" spans="1:7">
      <c r="A789" t="str">
        <f>IF('Product List'!B789="","",'Product List'!B789)</f>
        <v/>
      </c>
      <c r="B789" t="str">
        <f>IF('Product List'!C789="","",'Product List'!C789)</f>
        <v/>
      </c>
      <c r="C789" t="str">
        <f>IF(SUMIFS('Purchase Record'!G:G,'Purchase Record'!F:F,Sheet4!A789)=0,"",SUMIFS('Purchase Record'!G:G,'Purchase Record'!F:F,Sheet4!A789))</f>
        <v/>
      </c>
      <c r="D789" t="str">
        <f>IF(SUMIFS('Sales Record'!H:H,'Sales Record'!F:F,Sheet4!A789)=0,"",SUMIFS('Sales Record'!H:H,'Sales Record'!F:F,Sheet4!A789))</f>
        <v/>
      </c>
      <c r="E789" t="str">
        <f>IF(SUMIFS('Sales Return'!G:G,'Sales Return'!F:F,Sheet4!A789)=0,"",SUMIFS('Sales Return'!G:G,'Sales Return'!F:F,Sheet4!A789))</f>
        <v/>
      </c>
      <c r="F789" t="str">
        <f>IF(SUMIFS('Purchase Return'!G:G,'Purchase Return'!F:F,Sheet4!A789)=0,"",SUMIFS('Purchase Return'!G:G,'Purchase Return'!F:F,Sheet4!A789))</f>
        <v/>
      </c>
      <c r="G789" t="str">
        <f t="shared" si="12"/>
        <v/>
      </c>
    </row>
    <row r="790" spans="1:7">
      <c r="A790" t="str">
        <f>IF('Product List'!B790="","",'Product List'!B790)</f>
        <v/>
      </c>
      <c r="B790" t="str">
        <f>IF('Product List'!C790="","",'Product List'!C790)</f>
        <v/>
      </c>
      <c r="C790" t="str">
        <f>IF(SUMIFS('Purchase Record'!G:G,'Purchase Record'!F:F,Sheet4!A790)=0,"",SUMIFS('Purchase Record'!G:G,'Purchase Record'!F:F,Sheet4!A790))</f>
        <v/>
      </c>
      <c r="D790" t="str">
        <f>IF(SUMIFS('Sales Record'!H:H,'Sales Record'!F:F,Sheet4!A790)=0,"",SUMIFS('Sales Record'!H:H,'Sales Record'!F:F,Sheet4!A790))</f>
        <v/>
      </c>
      <c r="E790" t="str">
        <f>IF(SUMIFS('Sales Return'!G:G,'Sales Return'!F:F,Sheet4!A790)=0,"",SUMIFS('Sales Return'!G:G,'Sales Return'!F:F,Sheet4!A790))</f>
        <v/>
      </c>
      <c r="F790" t="str">
        <f>IF(SUMIFS('Purchase Return'!G:G,'Purchase Return'!F:F,Sheet4!A790)=0,"",SUMIFS('Purchase Return'!G:G,'Purchase Return'!F:F,Sheet4!A790))</f>
        <v/>
      </c>
      <c r="G790" t="str">
        <f t="shared" si="12"/>
        <v/>
      </c>
    </row>
    <row r="791" spans="1:7">
      <c r="A791" t="str">
        <f>IF('Product List'!B791="","",'Product List'!B791)</f>
        <v/>
      </c>
      <c r="B791" t="str">
        <f>IF('Product List'!C791="","",'Product List'!C791)</f>
        <v/>
      </c>
      <c r="C791" t="str">
        <f>IF(SUMIFS('Purchase Record'!G:G,'Purchase Record'!F:F,Sheet4!A791)=0,"",SUMIFS('Purchase Record'!G:G,'Purchase Record'!F:F,Sheet4!A791))</f>
        <v/>
      </c>
      <c r="D791" t="str">
        <f>IF(SUMIFS('Sales Record'!H:H,'Sales Record'!F:F,Sheet4!A791)=0,"",SUMIFS('Sales Record'!H:H,'Sales Record'!F:F,Sheet4!A791))</f>
        <v/>
      </c>
      <c r="E791" t="str">
        <f>IF(SUMIFS('Sales Return'!G:G,'Sales Return'!F:F,Sheet4!A791)=0,"",SUMIFS('Sales Return'!G:G,'Sales Return'!F:F,Sheet4!A791))</f>
        <v/>
      </c>
      <c r="F791" t="str">
        <f>IF(SUMIFS('Purchase Return'!G:G,'Purchase Return'!F:F,Sheet4!A791)=0,"",SUMIFS('Purchase Return'!G:G,'Purchase Return'!F:F,Sheet4!A791))</f>
        <v/>
      </c>
      <c r="G791" t="str">
        <f t="shared" si="12"/>
        <v/>
      </c>
    </row>
    <row r="792" spans="1:7">
      <c r="A792" t="str">
        <f>IF('Product List'!B792="","",'Product List'!B792)</f>
        <v/>
      </c>
      <c r="B792" t="str">
        <f>IF('Product List'!C792="","",'Product List'!C792)</f>
        <v/>
      </c>
      <c r="C792" t="str">
        <f>IF(SUMIFS('Purchase Record'!G:G,'Purchase Record'!F:F,Sheet4!A792)=0,"",SUMIFS('Purchase Record'!G:G,'Purchase Record'!F:F,Sheet4!A792))</f>
        <v/>
      </c>
      <c r="D792" t="str">
        <f>IF(SUMIFS('Sales Record'!H:H,'Sales Record'!F:F,Sheet4!A792)=0,"",SUMIFS('Sales Record'!H:H,'Sales Record'!F:F,Sheet4!A792))</f>
        <v/>
      </c>
      <c r="E792" t="str">
        <f>IF(SUMIFS('Sales Return'!G:G,'Sales Return'!F:F,Sheet4!A792)=0,"",SUMIFS('Sales Return'!G:G,'Sales Return'!F:F,Sheet4!A792))</f>
        <v/>
      </c>
      <c r="F792" t="str">
        <f>IF(SUMIFS('Purchase Return'!G:G,'Purchase Return'!F:F,Sheet4!A792)=0,"",SUMIFS('Purchase Return'!G:G,'Purchase Return'!F:F,Sheet4!A792))</f>
        <v/>
      </c>
      <c r="G792" t="str">
        <f t="shared" si="12"/>
        <v/>
      </c>
    </row>
    <row r="793" spans="1:7">
      <c r="A793" t="str">
        <f>IF('Product List'!B793="","",'Product List'!B793)</f>
        <v/>
      </c>
      <c r="B793" t="str">
        <f>IF('Product List'!C793="","",'Product List'!C793)</f>
        <v/>
      </c>
      <c r="C793" t="str">
        <f>IF(SUMIFS('Purchase Record'!G:G,'Purchase Record'!F:F,Sheet4!A793)=0,"",SUMIFS('Purchase Record'!G:G,'Purchase Record'!F:F,Sheet4!A793))</f>
        <v/>
      </c>
      <c r="D793" t="str">
        <f>IF(SUMIFS('Sales Record'!H:H,'Sales Record'!F:F,Sheet4!A793)=0,"",SUMIFS('Sales Record'!H:H,'Sales Record'!F:F,Sheet4!A793))</f>
        <v/>
      </c>
      <c r="E793" t="str">
        <f>IF(SUMIFS('Sales Return'!G:G,'Sales Return'!F:F,Sheet4!A793)=0,"",SUMIFS('Sales Return'!G:G,'Sales Return'!F:F,Sheet4!A793))</f>
        <v/>
      </c>
      <c r="F793" t="str">
        <f>IF(SUMIFS('Purchase Return'!G:G,'Purchase Return'!F:F,Sheet4!A793)=0,"",SUMIFS('Purchase Return'!G:G,'Purchase Return'!F:F,Sheet4!A793))</f>
        <v/>
      </c>
      <c r="G793" t="str">
        <f t="shared" si="12"/>
        <v/>
      </c>
    </row>
    <row r="794" spans="1:7">
      <c r="A794" t="str">
        <f>IF('Product List'!B794="","",'Product List'!B794)</f>
        <v/>
      </c>
      <c r="B794" t="str">
        <f>IF('Product List'!C794="","",'Product List'!C794)</f>
        <v/>
      </c>
      <c r="C794" t="str">
        <f>IF(SUMIFS('Purchase Record'!G:G,'Purchase Record'!F:F,Sheet4!A794)=0,"",SUMIFS('Purchase Record'!G:G,'Purchase Record'!F:F,Sheet4!A794))</f>
        <v/>
      </c>
      <c r="D794" t="str">
        <f>IF(SUMIFS('Sales Record'!H:H,'Sales Record'!F:F,Sheet4!A794)=0,"",SUMIFS('Sales Record'!H:H,'Sales Record'!F:F,Sheet4!A794))</f>
        <v/>
      </c>
      <c r="E794" t="str">
        <f>IF(SUMIFS('Sales Return'!G:G,'Sales Return'!F:F,Sheet4!A794)=0,"",SUMIFS('Sales Return'!G:G,'Sales Return'!F:F,Sheet4!A794))</f>
        <v/>
      </c>
      <c r="F794" t="str">
        <f>IF(SUMIFS('Purchase Return'!G:G,'Purchase Return'!F:F,Sheet4!A794)=0,"",SUMIFS('Purchase Return'!G:G,'Purchase Return'!F:F,Sheet4!A794))</f>
        <v/>
      </c>
      <c r="G794" t="str">
        <f t="shared" si="12"/>
        <v/>
      </c>
    </row>
    <row r="795" spans="1:7">
      <c r="A795" t="str">
        <f>IF('Product List'!B795="","",'Product List'!B795)</f>
        <v/>
      </c>
      <c r="B795" t="str">
        <f>IF('Product List'!C795="","",'Product List'!C795)</f>
        <v/>
      </c>
      <c r="C795" t="str">
        <f>IF(SUMIFS('Purchase Record'!G:G,'Purchase Record'!F:F,Sheet4!A795)=0,"",SUMIFS('Purchase Record'!G:G,'Purchase Record'!F:F,Sheet4!A795))</f>
        <v/>
      </c>
      <c r="D795" t="str">
        <f>IF(SUMIFS('Sales Record'!H:H,'Sales Record'!F:F,Sheet4!A795)=0,"",SUMIFS('Sales Record'!H:H,'Sales Record'!F:F,Sheet4!A795))</f>
        <v/>
      </c>
      <c r="E795" t="str">
        <f>IF(SUMIFS('Sales Return'!G:G,'Sales Return'!F:F,Sheet4!A795)=0,"",SUMIFS('Sales Return'!G:G,'Sales Return'!F:F,Sheet4!A795))</f>
        <v/>
      </c>
      <c r="F795" t="str">
        <f>IF(SUMIFS('Purchase Return'!G:G,'Purchase Return'!F:F,Sheet4!A795)=0,"",SUMIFS('Purchase Return'!G:G,'Purchase Return'!F:F,Sheet4!A795))</f>
        <v/>
      </c>
      <c r="G795" t="str">
        <f t="shared" si="12"/>
        <v/>
      </c>
    </row>
    <row r="796" spans="1:7">
      <c r="A796" t="str">
        <f>IF('Product List'!B796="","",'Product List'!B796)</f>
        <v/>
      </c>
      <c r="B796" t="str">
        <f>IF('Product List'!C796="","",'Product List'!C796)</f>
        <v/>
      </c>
      <c r="C796" t="str">
        <f>IF(SUMIFS('Purchase Record'!G:G,'Purchase Record'!F:F,Sheet4!A796)=0,"",SUMIFS('Purchase Record'!G:G,'Purchase Record'!F:F,Sheet4!A796))</f>
        <v/>
      </c>
      <c r="D796" t="str">
        <f>IF(SUMIFS('Sales Record'!H:H,'Sales Record'!F:F,Sheet4!A796)=0,"",SUMIFS('Sales Record'!H:H,'Sales Record'!F:F,Sheet4!A796))</f>
        <v/>
      </c>
      <c r="E796" t="str">
        <f>IF(SUMIFS('Sales Return'!G:G,'Sales Return'!F:F,Sheet4!A796)=0,"",SUMIFS('Sales Return'!G:G,'Sales Return'!F:F,Sheet4!A796))</f>
        <v/>
      </c>
      <c r="F796" t="str">
        <f>IF(SUMIFS('Purchase Return'!G:G,'Purchase Return'!F:F,Sheet4!A796)=0,"",SUMIFS('Purchase Return'!G:G,'Purchase Return'!F:F,Sheet4!A796))</f>
        <v/>
      </c>
      <c r="G796" t="str">
        <f t="shared" si="12"/>
        <v/>
      </c>
    </row>
    <row r="797" spans="1:7">
      <c r="A797" t="str">
        <f>IF('Product List'!B797="","",'Product List'!B797)</f>
        <v/>
      </c>
      <c r="B797" t="str">
        <f>IF('Product List'!C797="","",'Product List'!C797)</f>
        <v/>
      </c>
      <c r="C797" t="str">
        <f>IF(SUMIFS('Purchase Record'!G:G,'Purchase Record'!F:F,Sheet4!A797)=0,"",SUMIFS('Purchase Record'!G:G,'Purchase Record'!F:F,Sheet4!A797))</f>
        <v/>
      </c>
      <c r="D797" t="str">
        <f>IF(SUMIFS('Sales Record'!H:H,'Sales Record'!F:F,Sheet4!A797)=0,"",SUMIFS('Sales Record'!H:H,'Sales Record'!F:F,Sheet4!A797))</f>
        <v/>
      </c>
      <c r="E797" t="str">
        <f>IF(SUMIFS('Sales Return'!G:G,'Sales Return'!F:F,Sheet4!A797)=0,"",SUMIFS('Sales Return'!G:G,'Sales Return'!F:F,Sheet4!A797))</f>
        <v/>
      </c>
      <c r="F797" t="str">
        <f>IF(SUMIFS('Purchase Return'!G:G,'Purchase Return'!F:F,Sheet4!A797)=0,"",SUMIFS('Purchase Return'!G:G,'Purchase Return'!F:F,Sheet4!A797))</f>
        <v/>
      </c>
      <c r="G797" t="str">
        <f t="shared" si="12"/>
        <v/>
      </c>
    </row>
    <row r="798" spans="1:7">
      <c r="A798" t="str">
        <f>IF('Product List'!B798="","",'Product List'!B798)</f>
        <v/>
      </c>
      <c r="B798" t="str">
        <f>IF('Product List'!C798="","",'Product List'!C798)</f>
        <v/>
      </c>
      <c r="C798" t="str">
        <f>IF(SUMIFS('Purchase Record'!G:G,'Purchase Record'!F:F,Sheet4!A798)=0,"",SUMIFS('Purchase Record'!G:G,'Purchase Record'!F:F,Sheet4!A798))</f>
        <v/>
      </c>
      <c r="D798" t="str">
        <f>IF(SUMIFS('Sales Record'!H:H,'Sales Record'!F:F,Sheet4!A798)=0,"",SUMIFS('Sales Record'!H:H,'Sales Record'!F:F,Sheet4!A798))</f>
        <v/>
      </c>
      <c r="E798" t="str">
        <f>IF(SUMIFS('Sales Return'!G:G,'Sales Return'!F:F,Sheet4!A798)=0,"",SUMIFS('Sales Return'!G:G,'Sales Return'!F:F,Sheet4!A798))</f>
        <v/>
      </c>
      <c r="F798" t="str">
        <f>IF(SUMIFS('Purchase Return'!G:G,'Purchase Return'!F:F,Sheet4!A798)=0,"",SUMIFS('Purchase Return'!G:G,'Purchase Return'!F:F,Sheet4!A798))</f>
        <v/>
      </c>
      <c r="G798" t="str">
        <f t="shared" si="12"/>
        <v/>
      </c>
    </row>
    <row r="799" spans="1:7">
      <c r="A799" t="str">
        <f>IF('Product List'!B799="","",'Product List'!B799)</f>
        <v/>
      </c>
      <c r="B799" t="str">
        <f>IF('Product List'!C799="","",'Product List'!C799)</f>
        <v/>
      </c>
      <c r="C799" t="str">
        <f>IF(SUMIFS('Purchase Record'!G:G,'Purchase Record'!F:F,Sheet4!A799)=0,"",SUMIFS('Purchase Record'!G:G,'Purchase Record'!F:F,Sheet4!A799))</f>
        <v/>
      </c>
      <c r="D799" t="str">
        <f>IF(SUMIFS('Sales Record'!H:H,'Sales Record'!F:F,Sheet4!A799)=0,"",SUMIFS('Sales Record'!H:H,'Sales Record'!F:F,Sheet4!A799))</f>
        <v/>
      </c>
      <c r="E799" t="str">
        <f>IF(SUMIFS('Sales Return'!G:G,'Sales Return'!F:F,Sheet4!A799)=0,"",SUMIFS('Sales Return'!G:G,'Sales Return'!F:F,Sheet4!A799))</f>
        <v/>
      </c>
      <c r="F799" t="str">
        <f>IF(SUMIFS('Purchase Return'!G:G,'Purchase Return'!F:F,Sheet4!A799)=0,"",SUMIFS('Purchase Return'!G:G,'Purchase Return'!F:F,Sheet4!A799))</f>
        <v/>
      </c>
      <c r="G799" t="str">
        <f t="shared" si="12"/>
        <v/>
      </c>
    </row>
    <row r="800" spans="1:7">
      <c r="A800" t="str">
        <f>IF('Product List'!B800="","",'Product List'!B800)</f>
        <v/>
      </c>
      <c r="B800" t="str">
        <f>IF('Product List'!C800="","",'Product List'!C800)</f>
        <v/>
      </c>
      <c r="C800" t="str">
        <f>IF(SUMIFS('Purchase Record'!G:G,'Purchase Record'!F:F,Sheet4!A800)=0,"",SUMIFS('Purchase Record'!G:G,'Purchase Record'!F:F,Sheet4!A800))</f>
        <v/>
      </c>
      <c r="D800" t="str">
        <f>IF(SUMIFS('Sales Record'!H:H,'Sales Record'!F:F,Sheet4!A800)=0,"",SUMIFS('Sales Record'!H:H,'Sales Record'!F:F,Sheet4!A800))</f>
        <v/>
      </c>
      <c r="E800" t="str">
        <f>IF(SUMIFS('Sales Return'!G:G,'Sales Return'!F:F,Sheet4!A800)=0,"",SUMIFS('Sales Return'!G:G,'Sales Return'!F:F,Sheet4!A800))</f>
        <v/>
      </c>
      <c r="F800" t="str">
        <f>IF(SUMIFS('Purchase Return'!G:G,'Purchase Return'!F:F,Sheet4!A800)=0,"",SUMIFS('Purchase Return'!G:G,'Purchase Return'!F:F,Sheet4!A800))</f>
        <v/>
      </c>
      <c r="G800" t="str">
        <f t="shared" si="12"/>
        <v/>
      </c>
    </row>
    <row r="801" spans="1:7">
      <c r="A801" t="str">
        <f>IF('Product List'!B801="","",'Product List'!B801)</f>
        <v/>
      </c>
      <c r="B801" t="str">
        <f>IF('Product List'!C801="","",'Product List'!C801)</f>
        <v/>
      </c>
      <c r="C801" t="str">
        <f>IF(SUMIFS('Purchase Record'!G:G,'Purchase Record'!F:F,Sheet4!A801)=0,"",SUMIFS('Purchase Record'!G:G,'Purchase Record'!F:F,Sheet4!A801))</f>
        <v/>
      </c>
      <c r="D801" t="str">
        <f>IF(SUMIFS('Sales Record'!H:H,'Sales Record'!F:F,Sheet4!A801)=0,"",SUMIFS('Sales Record'!H:H,'Sales Record'!F:F,Sheet4!A801))</f>
        <v/>
      </c>
      <c r="E801" t="str">
        <f>IF(SUMIFS('Sales Return'!G:G,'Sales Return'!F:F,Sheet4!A801)=0,"",SUMIFS('Sales Return'!G:G,'Sales Return'!F:F,Sheet4!A801))</f>
        <v/>
      </c>
      <c r="F801" t="str">
        <f>IF(SUMIFS('Purchase Return'!G:G,'Purchase Return'!F:F,Sheet4!A801)=0,"",SUMIFS('Purchase Return'!G:G,'Purchase Return'!F:F,Sheet4!A801))</f>
        <v/>
      </c>
      <c r="G801" t="str">
        <f t="shared" si="12"/>
        <v/>
      </c>
    </row>
    <row r="802" spans="1:7">
      <c r="A802" t="str">
        <f>IF('Product List'!B802="","",'Product List'!B802)</f>
        <v/>
      </c>
      <c r="B802" t="str">
        <f>IF('Product List'!C802="","",'Product List'!C802)</f>
        <v/>
      </c>
      <c r="C802" t="str">
        <f>IF(SUMIFS('Purchase Record'!G:G,'Purchase Record'!F:F,Sheet4!A802)=0,"",SUMIFS('Purchase Record'!G:G,'Purchase Record'!F:F,Sheet4!A802))</f>
        <v/>
      </c>
      <c r="D802" t="str">
        <f>IF(SUMIFS('Sales Record'!H:H,'Sales Record'!F:F,Sheet4!A802)=0,"",SUMIFS('Sales Record'!H:H,'Sales Record'!F:F,Sheet4!A802))</f>
        <v/>
      </c>
      <c r="E802" t="str">
        <f>IF(SUMIFS('Sales Return'!G:G,'Sales Return'!F:F,Sheet4!A802)=0,"",SUMIFS('Sales Return'!G:G,'Sales Return'!F:F,Sheet4!A802))</f>
        <v/>
      </c>
      <c r="F802" t="str">
        <f>IF(SUMIFS('Purchase Return'!G:G,'Purchase Return'!F:F,Sheet4!A802)=0,"",SUMIFS('Purchase Return'!G:G,'Purchase Return'!F:F,Sheet4!A802))</f>
        <v/>
      </c>
      <c r="G802" t="str">
        <f t="shared" si="12"/>
        <v/>
      </c>
    </row>
    <row r="803" spans="1:7">
      <c r="A803" t="str">
        <f>IF('Product List'!B803="","",'Product List'!B803)</f>
        <v/>
      </c>
      <c r="B803" t="str">
        <f>IF('Product List'!C803="","",'Product List'!C803)</f>
        <v/>
      </c>
      <c r="C803" t="str">
        <f>IF(SUMIFS('Purchase Record'!G:G,'Purchase Record'!F:F,Sheet4!A803)=0,"",SUMIFS('Purchase Record'!G:G,'Purchase Record'!F:F,Sheet4!A803))</f>
        <v/>
      </c>
      <c r="D803" t="str">
        <f>IF(SUMIFS('Sales Record'!H:H,'Sales Record'!F:F,Sheet4!A803)=0,"",SUMIFS('Sales Record'!H:H,'Sales Record'!F:F,Sheet4!A803))</f>
        <v/>
      </c>
      <c r="E803" t="str">
        <f>IF(SUMIFS('Sales Return'!G:G,'Sales Return'!F:F,Sheet4!A803)=0,"",SUMIFS('Sales Return'!G:G,'Sales Return'!F:F,Sheet4!A803))</f>
        <v/>
      </c>
      <c r="F803" t="str">
        <f>IF(SUMIFS('Purchase Return'!G:G,'Purchase Return'!F:F,Sheet4!A803)=0,"",SUMIFS('Purchase Return'!G:G,'Purchase Return'!F:F,Sheet4!A803))</f>
        <v/>
      </c>
      <c r="G803" t="str">
        <f t="shared" si="12"/>
        <v/>
      </c>
    </row>
    <row r="804" spans="1:7">
      <c r="A804" t="str">
        <f>IF('Product List'!B804="","",'Product List'!B804)</f>
        <v/>
      </c>
      <c r="B804" t="str">
        <f>IF('Product List'!C804="","",'Product List'!C804)</f>
        <v/>
      </c>
      <c r="C804" t="str">
        <f>IF(SUMIFS('Purchase Record'!G:G,'Purchase Record'!F:F,Sheet4!A804)=0,"",SUMIFS('Purchase Record'!G:G,'Purchase Record'!F:F,Sheet4!A804))</f>
        <v/>
      </c>
      <c r="D804" t="str">
        <f>IF(SUMIFS('Sales Record'!H:H,'Sales Record'!F:F,Sheet4!A804)=0,"",SUMIFS('Sales Record'!H:H,'Sales Record'!F:F,Sheet4!A804))</f>
        <v/>
      </c>
      <c r="E804" t="str">
        <f>IF(SUMIFS('Sales Return'!G:G,'Sales Return'!F:F,Sheet4!A804)=0,"",SUMIFS('Sales Return'!G:G,'Sales Return'!F:F,Sheet4!A804))</f>
        <v/>
      </c>
      <c r="F804" t="str">
        <f>IF(SUMIFS('Purchase Return'!G:G,'Purchase Return'!F:F,Sheet4!A804)=0,"",SUMIFS('Purchase Return'!G:G,'Purchase Return'!F:F,Sheet4!A804))</f>
        <v/>
      </c>
      <c r="G804" t="str">
        <f t="shared" si="12"/>
        <v/>
      </c>
    </row>
    <row r="805" spans="1:7">
      <c r="A805" t="str">
        <f>IF('Product List'!B805="","",'Product List'!B805)</f>
        <v/>
      </c>
      <c r="B805" t="str">
        <f>IF('Product List'!C805="","",'Product List'!C805)</f>
        <v/>
      </c>
      <c r="C805" t="str">
        <f>IF(SUMIFS('Purchase Record'!G:G,'Purchase Record'!F:F,Sheet4!A805)=0,"",SUMIFS('Purchase Record'!G:G,'Purchase Record'!F:F,Sheet4!A805))</f>
        <v/>
      </c>
      <c r="D805" t="str">
        <f>IF(SUMIFS('Sales Record'!H:H,'Sales Record'!F:F,Sheet4!A805)=0,"",SUMIFS('Sales Record'!H:H,'Sales Record'!F:F,Sheet4!A805))</f>
        <v/>
      </c>
      <c r="E805" t="str">
        <f>IF(SUMIFS('Sales Return'!G:G,'Sales Return'!F:F,Sheet4!A805)=0,"",SUMIFS('Sales Return'!G:G,'Sales Return'!F:F,Sheet4!A805))</f>
        <v/>
      </c>
      <c r="F805" t="str">
        <f>IF(SUMIFS('Purchase Return'!G:G,'Purchase Return'!F:F,Sheet4!A805)=0,"",SUMIFS('Purchase Return'!G:G,'Purchase Return'!F:F,Sheet4!A805))</f>
        <v/>
      </c>
      <c r="G805" t="str">
        <f t="shared" si="12"/>
        <v/>
      </c>
    </row>
    <row r="806" spans="1:7">
      <c r="A806" t="str">
        <f>IF('Product List'!B806="","",'Product List'!B806)</f>
        <v/>
      </c>
      <c r="B806" t="str">
        <f>IF('Product List'!C806="","",'Product List'!C806)</f>
        <v/>
      </c>
      <c r="C806" t="str">
        <f>IF(SUMIFS('Purchase Record'!G:G,'Purchase Record'!F:F,Sheet4!A806)=0,"",SUMIFS('Purchase Record'!G:G,'Purchase Record'!F:F,Sheet4!A806))</f>
        <v/>
      </c>
      <c r="D806" t="str">
        <f>IF(SUMIFS('Sales Record'!H:H,'Sales Record'!F:F,Sheet4!A806)=0,"",SUMIFS('Sales Record'!H:H,'Sales Record'!F:F,Sheet4!A806))</f>
        <v/>
      </c>
      <c r="E806" t="str">
        <f>IF(SUMIFS('Sales Return'!G:G,'Sales Return'!F:F,Sheet4!A806)=0,"",SUMIFS('Sales Return'!G:G,'Sales Return'!F:F,Sheet4!A806))</f>
        <v/>
      </c>
      <c r="F806" t="str">
        <f>IF(SUMIFS('Purchase Return'!G:G,'Purchase Return'!F:F,Sheet4!A806)=0,"",SUMIFS('Purchase Return'!G:G,'Purchase Return'!F:F,Sheet4!A806))</f>
        <v/>
      </c>
      <c r="G806" t="str">
        <f t="shared" si="12"/>
        <v/>
      </c>
    </row>
    <row r="807" spans="1:7">
      <c r="A807" t="str">
        <f>IF('Product List'!B807="","",'Product List'!B807)</f>
        <v/>
      </c>
      <c r="B807" t="str">
        <f>IF('Product List'!C807="","",'Product List'!C807)</f>
        <v/>
      </c>
      <c r="C807" t="str">
        <f>IF(SUMIFS('Purchase Record'!G:G,'Purchase Record'!F:F,Sheet4!A807)=0,"",SUMIFS('Purchase Record'!G:G,'Purchase Record'!F:F,Sheet4!A807))</f>
        <v/>
      </c>
      <c r="D807" t="str">
        <f>IF(SUMIFS('Sales Record'!H:H,'Sales Record'!F:F,Sheet4!A807)=0,"",SUMIFS('Sales Record'!H:H,'Sales Record'!F:F,Sheet4!A807))</f>
        <v/>
      </c>
      <c r="E807" t="str">
        <f>IF(SUMIFS('Sales Return'!G:G,'Sales Return'!F:F,Sheet4!A807)=0,"",SUMIFS('Sales Return'!G:G,'Sales Return'!F:F,Sheet4!A807))</f>
        <v/>
      </c>
      <c r="F807" t="str">
        <f>IF(SUMIFS('Purchase Return'!G:G,'Purchase Return'!F:F,Sheet4!A807)=0,"",SUMIFS('Purchase Return'!G:G,'Purchase Return'!F:F,Sheet4!A807))</f>
        <v/>
      </c>
      <c r="G807" t="str">
        <f t="shared" si="12"/>
        <v/>
      </c>
    </row>
    <row r="808" spans="1:7">
      <c r="A808" t="str">
        <f>IF('Product List'!B808="","",'Product List'!B808)</f>
        <v/>
      </c>
      <c r="B808" t="str">
        <f>IF('Product List'!C808="","",'Product List'!C808)</f>
        <v/>
      </c>
      <c r="C808" t="str">
        <f>IF(SUMIFS('Purchase Record'!G:G,'Purchase Record'!F:F,Sheet4!A808)=0,"",SUMIFS('Purchase Record'!G:G,'Purchase Record'!F:F,Sheet4!A808))</f>
        <v/>
      </c>
      <c r="D808" t="str">
        <f>IF(SUMIFS('Sales Record'!H:H,'Sales Record'!F:F,Sheet4!A808)=0,"",SUMIFS('Sales Record'!H:H,'Sales Record'!F:F,Sheet4!A808))</f>
        <v/>
      </c>
      <c r="E808" t="str">
        <f>IF(SUMIFS('Sales Return'!G:G,'Sales Return'!F:F,Sheet4!A808)=0,"",SUMIFS('Sales Return'!G:G,'Sales Return'!F:F,Sheet4!A808))</f>
        <v/>
      </c>
      <c r="F808" t="str">
        <f>IF(SUMIFS('Purchase Return'!G:G,'Purchase Return'!F:F,Sheet4!A808)=0,"",SUMIFS('Purchase Return'!G:G,'Purchase Return'!F:F,Sheet4!A808))</f>
        <v/>
      </c>
      <c r="G808" t="str">
        <f t="shared" si="12"/>
        <v/>
      </c>
    </row>
    <row r="809" spans="1:7">
      <c r="A809" t="str">
        <f>IF('Product List'!B809="","",'Product List'!B809)</f>
        <v/>
      </c>
      <c r="B809" t="str">
        <f>IF('Product List'!C809="","",'Product List'!C809)</f>
        <v/>
      </c>
      <c r="C809" t="str">
        <f>IF(SUMIFS('Purchase Record'!G:G,'Purchase Record'!F:F,Sheet4!A809)=0,"",SUMIFS('Purchase Record'!G:G,'Purchase Record'!F:F,Sheet4!A809))</f>
        <v/>
      </c>
      <c r="D809" t="str">
        <f>IF(SUMIFS('Sales Record'!H:H,'Sales Record'!F:F,Sheet4!A809)=0,"",SUMIFS('Sales Record'!H:H,'Sales Record'!F:F,Sheet4!A809))</f>
        <v/>
      </c>
      <c r="E809" t="str">
        <f>IF(SUMIFS('Sales Return'!G:G,'Sales Return'!F:F,Sheet4!A809)=0,"",SUMIFS('Sales Return'!G:G,'Sales Return'!F:F,Sheet4!A809))</f>
        <v/>
      </c>
      <c r="F809" t="str">
        <f>IF(SUMIFS('Purchase Return'!G:G,'Purchase Return'!F:F,Sheet4!A809)=0,"",SUMIFS('Purchase Return'!G:G,'Purchase Return'!F:F,Sheet4!A809))</f>
        <v/>
      </c>
      <c r="G809" t="str">
        <f t="shared" si="12"/>
        <v/>
      </c>
    </row>
    <row r="810" spans="1:7">
      <c r="A810" t="str">
        <f>IF('Product List'!B810="","",'Product List'!B810)</f>
        <v/>
      </c>
      <c r="B810" t="str">
        <f>IF('Product List'!C810="","",'Product List'!C810)</f>
        <v/>
      </c>
      <c r="C810" t="str">
        <f>IF(SUMIFS('Purchase Record'!G:G,'Purchase Record'!F:F,Sheet4!A810)=0,"",SUMIFS('Purchase Record'!G:G,'Purchase Record'!F:F,Sheet4!A810))</f>
        <v/>
      </c>
      <c r="D810" t="str">
        <f>IF(SUMIFS('Sales Record'!H:H,'Sales Record'!F:F,Sheet4!A810)=0,"",SUMIFS('Sales Record'!H:H,'Sales Record'!F:F,Sheet4!A810))</f>
        <v/>
      </c>
      <c r="E810" t="str">
        <f>IF(SUMIFS('Sales Return'!G:G,'Sales Return'!F:F,Sheet4!A810)=0,"",SUMIFS('Sales Return'!G:G,'Sales Return'!F:F,Sheet4!A810))</f>
        <v/>
      </c>
      <c r="F810" t="str">
        <f>IF(SUMIFS('Purchase Return'!G:G,'Purchase Return'!F:F,Sheet4!A810)=0,"",SUMIFS('Purchase Return'!G:G,'Purchase Return'!F:F,Sheet4!A810))</f>
        <v/>
      </c>
      <c r="G810" t="str">
        <f t="shared" si="12"/>
        <v/>
      </c>
    </row>
    <row r="811" spans="1:7">
      <c r="A811" t="str">
        <f>IF('Product List'!B811="","",'Product List'!B811)</f>
        <v/>
      </c>
      <c r="B811" t="str">
        <f>IF('Product List'!C811="","",'Product List'!C811)</f>
        <v/>
      </c>
      <c r="C811" t="str">
        <f>IF(SUMIFS('Purchase Record'!G:G,'Purchase Record'!F:F,Sheet4!A811)=0,"",SUMIFS('Purchase Record'!G:G,'Purchase Record'!F:F,Sheet4!A811))</f>
        <v/>
      </c>
      <c r="D811" t="str">
        <f>IF(SUMIFS('Sales Record'!H:H,'Sales Record'!F:F,Sheet4!A811)=0,"",SUMIFS('Sales Record'!H:H,'Sales Record'!F:F,Sheet4!A811))</f>
        <v/>
      </c>
      <c r="E811" t="str">
        <f>IF(SUMIFS('Sales Return'!G:G,'Sales Return'!F:F,Sheet4!A811)=0,"",SUMIFS('Sales Return'!G:G,'Sales Return'!F:F,Sheet4!A811))</f>
        <v/>
      </c>
      <c r="F811" t="str">
        <f>IF(SUMIFS('Purchase Return'!G:G,'Purchase Return'!F:F,Sheet4!A811)=0,"",SUMIFS('Purchase Return'!G:G,'Purchase Return'!F:F,Sheet4!A811))</f>
        <v/>
      </c>
      <c r="G811" t="str">
        <f t="shared" si="12"/>
        <v/>
      </c>
    </row>
    <row r="812" spans="1:7">
      <c r="A812" t="str">
        <f>IF('Product List'!B812="","",'Product List'!B812)</f>
        <v/>
      </c>
      <c r="B812" t="str">
        <f>IF('Product List'!C812="","",'Product List'!C812)</f>
        <v/>
      </c>
      <c r="C812" t="str">
        <f>IF(SUMIFS('Purchase Record'!G:G,'Purchase Record'!F:F,Sheet4!A812)=0,"",SUMIFS('Purchase Record'!G:G,'Purchase Record'!F:F,Sheet4!A812))</f>
        <v/>
      </c>
      <c r="D812" t="str">
        <f>IF(SUMIFS('Sales Record'!H:H,'Sales Record'!F:F,Sheet4!A812)=0,"",SUMIFS('Sales Record'!H:H,'Sales Record'!F:F,Sheet4!A812))</f>
        <v/>
      </c>
      <c r="E812" t="str">
        <f>IF(SUMIFS('Sales Return'!G:G,'Sales Return'!F:F,Sheet4!A812)=0,"",SUMIFS('Sales Return'!G:G,'Sales Return'!F:F,Sheet4!A812))</f>
        <v/>
      </c>
      <c r="F812" t="str">
        <f>IF(SUMIFS('Purchase Return'!G:G,'Purchase Return'!F:F,Sheet4!A812)=0,"",SUMIFS('Purchase Return'!G:G,'Purchase Return'!F:F,Sheet4!A812))</f>
        <v/>
      </c>
      <c r="G812" t="str">
        <f t="shared" si="12"/>
        <v/>
      </c>
    </row>
    <row r="813" spans="1:7">
      <c r="A813" t="str">
        <f>IF('Product List'!B813="","",'Product List'!B813)</f>
        <v/>
      </c>
      <c r="B813" t="str">
        <f>IF('Product List'!C813="","",'Product List'!C813)</f>
        <v/>
      </c>
      <c r="C813" t="str">
        <f>IF(SUMIFS('Purchase Record'!G:G,'Purchase Record'!F:F,Sheet4!A813)=0,"",SUMIFS('Purchase Record'!G:G,'Purchase Record'!F:F,Sheet4!A813))</f>
        <v/>
      </c>
      <c r="D813" t="str">
        <f>IF(SUMIFS('Sales Record'!H:H,'Sales Record'!F:F,Sheet4!A813)=0,"",SUMIFS('Sales Record'!H:H,'Sales Record'!F:F,Sheet4!A813))</f>
        <v/>
      </c>
      <c r="E813" t="str">
        <f>IF(SUMIFS('Sales Return'!G:G,'Sales Return'!F:F,Sheet4!A813)=0,"",SUMIFS('Sales Return'!G:G,'Sales Return'!F:F,Sheet4!A813))</f>
        <v/>
      </c>
      <c r="F813" t="str">
        <f>IF(SUMIFS('Purchase Return'!G:G,'Purchase Return'!F:F,Sheet4!A813)=0,"",SUMIFS('Purchase Return'!G:G,'Purchase Return'!F:F,Sheet4!A813))</f>
        <v/>
      </c>
      <c r="G813" t="str">
        <f t="shared" si="12"/>
        <v/>
      </c>
    </row>
    <row r="814" spans="1:7">
      <c r="A814" t="str">
        <f>IF('Product List'!B814="","",'Product List'!B814)</f>
        <v/>
      </c>
      <c r="B814" t="str">
        <f>IF('Product List'!C814="","",'Product List'!C814)</f>
        <v/>
      </c>
      <c r="C814" t="str">
        <f>IF(SUMIFS('Purchase Record'!G:G,'Purchase Record'!F:F,Sheet4!A814)=0,"",SUMIFS('Purchase Record'!G:G,'Purchase Record'!F:F,Sheet4!A814))</f>
        <v/>
      </c>
      <c r="D814" t="str">
        <f>IF(SUMIFS('Sales Record'!H:H,'Sales Record'!F:F,Sheet4!A814)=0,"",SUMIFS('Sales Record'!H:H,'Sales Record'!F:F,Sheet4!A814))</f>
        <v/>
      </c>
      <c r="E814" t="str">
        <f>IF(SUMIFS('Sales Return'!G:G,'Sales Return'!F:F,Sheet4!A814)=0,"",SUMIFS('Sales Return'!G:G,'Sales Return'!F:F,Sheet4!A814))</f>
        <v/>
      </c>
      <c r="F814" t="str">
        <f>IF(SUMIFS('Purchase Return'!G:G,'Purchase Return'!F:F,Sheet4!A814)=0,"",SUMIFS('Purchase Return'!G:G,'Purchase Return'!F:F,Sheet4!A814))</f>
        <v/>
      </c>
      <c r="G814" t="str">
        <f t="shared" si="12"/>
        <v/>
      </c>
    </row>
    <row r="815" spans="1:7">
      <c r="A815" t="str">
        <f>IF('Product List'!B815="","",'Product List'!B815)</f>
        <v/>
      </c>
      <c r="B815" t="str">
        <f>IF('Product List'!C815="","",'Product List'!C815)</f>
        <v/>
      </c>
      <c r="C815" t="str">
        <f>IF(SUMIFS('Purchase Record'!G:G,'Purchase Record'!F:F,Sheet4!A815)=0,"",SUMIFS('Purchase Record'!G:G,'Purchase Record'!F:F,Sheet4!A815))</f>
        <v/>
      </c>
      <c r="D815" t="str">
        <f>IF(SUMIFS('Sales Record'!H:H,'Sales Record'!F:F,Sheet4!A815)=0,"",SUMIFS('Sales Record'!H:H,'Sales Record'!F:F,Sheet4!A815))</f>
        <v/>
      </c>
      <c r="E815" t="str">
        <f>IF(SUMIFS('Sales Return'!G:G,'Sales Return'!F:F,Sheet4!A815)=0,"",SUMIFS('Sales Return'!G:G,'Sales Return'!F:F,Sheet4!A815))</f>
        <v/>
      </c>
      <c r="F815" t="str">
        <f>IF(SUMIFS('Purchase Return'!G:G,'Purchase Return'!F:F,Sheet4!A815)=0,"",SUMIFS('Purchase Return'!G:G,'Purchase Return'!F:F,Sheet4!A815))</f>
        <v/>
      </c>
      <c r="G815" t="str">
        <f t="shared" si="12"/>
        <v/>
      </c>
    </row>
    <row r="816" spans="1:7">
      <c r="A816" t="str">
        <f>IF('Product List'!B816="","",'Product List'!B816)</f>
        <v/>
      </c>
      <c r="B816" t="str">
        <f>IF('Product List'!C816="","",'Product List'!C816)</f>
        <v/>
      </c>
      <c r="C816" t="str">
        <f>IF(SUMIFS('Purchase Record'!G:G,'Purchase Record'!F:F,Sheet4!A816)=0,"",SUMIFS('Purchase Record'!G:G,'Purchase Record'!F:F,Sheet4!A816))</f>
        <v/>
      </c>
      <c r="D816" t="str">
        <f>IF(SUMIFS('Sales Record'!H:H,'Sales Record'!F:F,Sheet4!A816)=0,"",SUMIFS('Sales Record'!H:H,'Sales Record'!F:F,Sheet4!A816))</f>
        <v/>
      </c>
      <c r="E816" t="str">
        <f>IF(SUMIFS('Sales Return'!G:G,'Sales Return'!F:F,Sheet4!A816)=0,"",SUMIFS('Sales Return'!G:G,'Sales Return'!F:F,Sheet4!A816))</f>
        <v/>
      </c>
      <c r="F816" t="str">
        <f>IF(SUMIFS('Purchase Return'!G:G,'Purchase Return'!F:F,Sheet4!A816)=0,"",SUMIFS('Purchase Return'!G:G,'Purchase Return'!F:F,Sheet4!A816))</f>
        <v/>
      </c>
      <c r="G816" t="str">
        <f t="shared" si="12"/>
        <v/>
      </c>
    </row>
    <row r="817" spans="1:7">
      <c r="A817" t="str">
        <f>IF('Product List'!B817="","",'Product List'!B817)</f>
        <v/>
      </c>
      <c r="B817" t="str">
        <f>IF('Product List'!C817="","",'Product List'!C817)</f>
        <v/>
      </c>
      <c r="C817" t="str">
        <f>IF(SUMIFS('Purchase Record'!G:G,'Purchase Record'!F:F,Sheet4!A817)=0,"",SUMIFS('Purchase Record'!G:G,'Purchase Record'!F:F,Sheet4!A817))</f>
        <v/>
      </c>
      <c r="D817" t="str">
        <f>IF(SUMIFS('Sales Record'!H:H,'Sales Record'!F:F,Sheet4!A817)=0,"",SUMIFS('Sales Record'!H:H,'Sales Record'!F:F,Sheet4!A817))</f>
        <v/>
      </c>
      <c r="E817" t="str">
        <f>IF(SUMIFS('Sales Return'!G:G,'Sales Return'!F:F,Sheet4!A817)=0,"",SUMIFS('Sales Return'!G:G,'Sales Return'!F:F,Sheet4!A817))</f>
        <v/>
      </c>
      <c r="F817" t="str">
        <f>IF(SUMIFS('Purchase Return'!G:G,'Purchase Return'!F:F,Sheet4!A817)=0,"",SUMIFS('Purchase Return'!G:G,'Purchase Return'!F:F,Sheet4!A817))</f>
        <v/>
      </c>
      <c r="G817" t="str">
        <f t="shared" si="12"/>
        <v/>
      </c>
    </row>
    <row r="818" spans="1:7">
      <c r="A818" t="str">
        <f>IF('Product List'!B818="","",'Product List'!B818)</f>
        <v/>
      </c>
      <c r="B818" t="str">
        <f>IF('Product List'!C818="","",'Product List'!C818)</f>
        <v/>
      </c>
      <c r="C818" t="str">
        <f>IF(SUMIFS('Purchase Record'!G:G,'Purchase Record'!F:F,Sheet4!A818)=0,"",SUMIFS('Purchase Record'!G:G,'Purchase Record'!F:F,Sheet4!A818))</f>
        <v/>
      </c>
      <c r="D818" t="str">
        <f>IF(SUMIFS('Sales Record'!H:H,'Sales Record'!F:F,Sheet4!A818)=0,"",SUMIFS('Sales Record'!H:H,'Sales Record'!F:F,Sheet4!A818))</f>
        <v/>
      </c>
      <c r="E818" t="str">
        <f>IF(SUMIFS('Sales Return'!G:G,'Sales Return'!F:F,Sheet4!A818)=0,"",SUMIFS('Sales Return'!G:G,'Sales Return'!F:F,Sheet4!A818))</f>
        <v/>
      </c>
      <c r="F818" t="str">
        <f>IF(SUMIFS('Purchase Return'!G:G,'Purchase Return'!F:F,Sheet4!A818)=0,"",SUMIFS('Purchase Return'!G:G,'Purchase Return'!F:F,Sheet4!A818))</f>
        <v/>
      </c>
      <c r="G818" t="str">
        <f t="shared" si="12"/>
        <v/>
      </c>
    </row>
    <row r="819" spans="1:7">
      <c r="A819" t="str">
        <f>IF('Product List'!B819="","",'Product List'!B819)</f>
        <v/>
      </c>
      <c r="B819" t="str">
        <f>IF('Product List'!C819="","",'Product List'!C819)</f>
        <v/>
      </c>
      <c r="C819" t="str">
        <f>IF(SUMIFS('Purchase Record'!G:G,'Purchase Record'!F:F,Sheet4!A819)=0,"",SUMIFS('Purchase Record'!G:G,'Purchase Record'!F:F,Sheet4!A819))</f>
        <v/>
      </c>
      <c r="D819" t="str">
        <f>IF(SUMIFS('Sales Record'!H:H,'Sales Record'!F:F,Sheet4!A819)=0,"",SUMIFS('Sales Record'!H:H,'Sales Record'!F:F,Sheet4!A819))</f>
        <v/>
      </c>
      <c r="E819" t="str">
        <f>IF(SUMIFS('Sales Return'!G:G,'Sales Return'!F:F,Sheet4!A819)=0,"",SUMIFS('Sales Return'!G:G,'Sales Return'!F:F,Sheet4!A819))</f>
        <v/>
      </c>
      <c r="F819" t="str">
        <f>IF(SUMIFS('Purchase Return'!G:G,'Purchase Return'!F:F,Sheet4!A819)=0,"",SUMIFS('Purchase Return'!G:G,'Purchase Return'!F:F,Sheet4!A819))</f>
        <v/>
      </c>
      <c r="G819" t="str">
        <f t="shared" si="12"/>
        <v/>
      </c>
    </row>
    <row r="820" spans="1:7">
      <c r="A820" t="str">
        <f>IF('Product List'!B820="","",'Product List'!B820)</f>
        <v/>
      </c>
      <c r="B820" t="str">
        <f>IF('Product List'!C820="","",'Product List'!C820)</f>
        <v/>
      </c>
      <c r="C820" t="str">
        <f>IF(SUMIFS('Purchase Record'!G:G,'Purchase Record'!F:F,Sheet4!A820)=0,"",SUMIFS('Purchase Record'!G:G,'Purchase Record'!F:F,Sheet4!A820))</f>
        <v/>
      </c>
      <c r="D820" t="str">
        <f>IF(SUMIFS('Sales Record'!H:H,'Sales Record'!F:F,Sheet4!A820)=0,"",SUMIFS('Sales Record'!H:H,'Sales Record'!F:F,Sheet4!A820))</f>
        <v/>
      </c>
      <c r="E820" t="str">
        <f>IF(SUMIFS('Sales Return'!G:G,'Sales Return'!F:F,Sheet4!A820)=0,"",SUMIFS('Sales Return'!G:G,'Sales Return'!F:F,Sheet4!A820))</f>
        <v/>
      </c>
      <c r="F820" t="str">
        <f>IF(SUMIFS('Purchase Return'!G:G,'Purchase Return'!F:F,Sheet4!A820)=0,"",SUMIFS('Purchase Return'!G:G,'Purchase Return'!F:F,Sheet4!A820))</f>
        <v/>
      </c>
      <c r="G820" t="str">
        <f t="shared" si="12"/>
        <v/>
      </c>
    </row>
    <row r="821" spans="1:7">
      <c r="A821" t="str">
        <f>IF('Product List'!B821="","",'Product List'!B821)</f>
        <v/>
      </c>
      <c r="B821" t="str">
        <f>IF('Product List'!C821="","",'Product List'!C821)</f>
        <v/>
      </c>
      <c r="C821" t="str">
        <f>IF(SUMIFS('Purchase Record'!G:G,'Purchase Record'!F:F,Sheet4!A821)=0,"",SUMIFS('Purchase Record'!G:G,'Purchase Record'!F:F,Sheet4!A821))</f>
        <v/>
      </c>
      <c r="D821" t="str">
        <f>IF(SUMIFS('Sales Record'!H:H,'Sales Record'!F:F,Sheet4!A821)=0,"",SUMIFS('Sales Record'!H:H,'Sales Record'!F:F,Sheet4!A821))</f>
        <v/>
      </c>
      <c r="E821" t="str">
        <f>IF(SUMIFS('Sales Return'!G:G,'Sales Return'!F:F,Sheet4!A821)=0,"",SUMIFS('Sales Return'!G:G,'Sales Return'!F:F,Sheet4!A821))</f>
        <v/>
      </c>
      <c r="F821" t="str">
        <f>IF(SUMIFS('Purchase Return'!G:G,'Purchase Return'!F:F,Sheet4!A821)=0,"",SUMIFS('Purchase Return'!G:G,'Purchase Return'!F:F,Sheet4!A821))</f>
        <v/>
      </c>
      <c r="G821" t="str">
        <f t="shared" si="12"/>
        <v/>
      </c>
    </row>
    <row r="822" spans="1:7">
      <c r="A822" t="str">
        <f>IF('Product List'!B822="","",'Product List'!B822)</f>
        <v/>
      </c>
      <c r="B822" t="str">
        <f>IF('Product List'!C822="","",'Product List'!C822)</f>
        <v/>
      </c>
      <c r="C822" t="str">
        <f>IF(SUMIFS('Purchase Record'!G:G,'Purchase Record'!F:F,Sheet4!A822)=0,"",SUMIFS('Purchase Record'!G:G,'Purchase Record'!F:F,Sheet4!A822))</f>
        <v/>
      </c>
      <c r="D822" t="str">
        <f>IF(SUMIFS('Sales Record'!H:H,'Sales Record'!F:F,Sheet4!A822)=0,"",SUMIFS('Sales Record'!H:H,'Sales Record'!F:F,Sheet4!A822))</f>
        <v/>
      </c>
      <c r="E822" t="str">
        <f>IF(SUMIFS('Sales Return'!G:G,'Sales Return'!F:F,Sheet4!A822)=0,"",SUMIFS('Sales Return'!G:G,'Sales Return'!F:F,Sheet4!A822))</f>
        <v/>
      </c>
      <c r="F822" t="str">
        <f>IF(SUMIFS('Purchase Return'!G:G,'Purchase Return'!F:F,Sheet4!A822)=0,"",SUMIFS('Purchase Return'!G:G,'Purchase Return'!F:F,Sheet4!A822))</f>
        <v/>
      </c>
      <c r="G822" t="str">
        <f t="shared" si="12"/>
        <v/>
      </c>
    </row>
    <row r="823" spans="1:7">
      <c r="A823" t="str">
        <f>IF('Product List'!B823="","",'Product List'!B823)</f>
        <v/>
      </c>
      <c r="B823" t="str">
        <f>IF('Product List'!C823="","",'Product List'!C823)</f>
        <v/>
      </c>
      <c r="C823" t="str">
        <f>IF(SUMIFS('Purchase Record'!G:G,'Purchase Record'!F:F,Sheet4!A823)=0,"",SUMIFS('Purchase Record'!G:G,'Purchase Record'!F:F,Sheet4!A823))</f>
        <v/>
      </c>
      <c r="D823" t="str">
        <f>IF(SUMIFS('Sales Record'!H:H,'Sales Record'!F:F,Sheet4!A823)=0,"",SUMIFS('Sales Record'!H:H,'Sales Record'!F:F,Sheet4!A823))</f>
        <v/>
      </c>
      <c r="E823" t="str">
        <f>IF(SUMIFS('Sales Return'!G:G,'Sales Return'!F:F,Sheet4!A823)=0,"",SUMIFS('Sales Return'!G:G,'Sales Return'!F:F,Sheet4!A823))</f>
        <v/>
      </c>
      <c r="F823" t="str">
        <f>IF(SUMIFS('Purchase Return'!G:G,'Purchase Return'!F:F,Sheet4!A823)=0,"",SUMIFS('Purchase Return'!G:G,'Purchase Return'!F:F,Sheet4!A823))</f>
        <v/>
      </c>
      <c r="G823" t="str">
        <f t="shared" si="12"/>
        <v/>
      </c>
    </row>
    <row r="824" spans="1:7">
      <c r="A824" t="str">
        <f>IF('Product List'!B824="","",'Product List'!B824)</f>
        <v/>
      </c>
      <c r="B824" t="str">
        <f>IF('Product List'!C824="","",'Product List'!C824)</f>
        <v/>
      </c>
      <c r="C824" t="str">
        <f>IF(SUMIFS('Purchase Record'!G:G,'Purchase Record'!F:F,Sheet4!A824)=0,"",SUMIFS('Purchase Record'!G:G,'Purchase Record'!F:F,Sheet4!A824))</f>
        <v/>
      </c>
      <c r="D824" t="str">
        <f>IF(SUMIFS('Sales Record'!H:H,'Sales Record'!F:F,Sheet4!A824)=0,"",SUMIFS('Sales Record'!H:H,'Sales Record'!F:F,Sheet4!A824))</f>
        <v/>
      </c>
      <c r="E824" t="str">
        <f>IF(SUMIFS('Sales Return'!G:G,'Sales Return'!F:F,Sheet4!A824)=0,"",SUMIFS('Sales Return'!G:G,'Sales Return'!F:F,Sheet4!A824))</f>
        <v/>
      </c>
      <c r="F824" t="str">
        <f>IF(SUMIFS('Purchase Return'!G:G,'Purchase Return'!F:F,Sheet4!A824)=0,"",SUMIFS('Purchase Return'!G:G,'Purchase Return'!F:F,Sheet4!A824))</f>
        <v/>
      </c>
      <c r="G824" t="str">
        <f t="shared" si="12"/>
        <v/>
      </c>
    </row>
    <row r="825" spans="1:7">
      <c r="A825" t="str">
        <f>IF('Product List'!B825="","",'Product List'!B825)</f>
        <v/>
      </c>
      <c r="B825" t="str">
        <f>IF('Product List'!C825="","",'Product List'!C825)</f>
        <v/>
      </c>
      <c r="C825" t="str">
        <f>IF(SUMIFS('Purchase Record'!G:G,'Purchase Record'!F:F,Sheet4!A825)=0,"",SUMIFS('Purchase Record'!G:G,'Purchase Record'!F:F,Sheet4!A825))</f>
        <v/>
      </c>
      <c r="D825" t="str">
        <f>IF(SUMIFS('Sales Record'!H:H,'Sales Record'!F:F,Sheet4!A825)=0,"",SUMIFS('Sales Record'!H:H,'Sales Record'!F:F,Sheet4!A825))</f>
        <v/>
      </c>
      <c r="E825" t="str">
        <f>IF(SUMIFS('Sales Return'!G:G,'Sales Return'!F:F,Sheet4!A825)=0,"",SUMIFS('Sales Return'!G:G,'Sales Return'!F:F,Sheet4!A825))</f>
        <v/>
      </c>
      <c r="F825" t="str">
        <f>IF(SUMIFS('Purchase Return'!G:G,'Purchase Return'!F:F,Sheet4!A825)=0,"",SUMIFS('Purchase Return'!G:G,'Purchase Return'!F:F,Sheet4!A825))</f>
        <v/>
      </c>
      <c r="G825" t="str">
        <f t="shared" si="12"/>
        <v/>
      </c>
    </row>
    <row r="826" spans="1:7">
      <c r="A826" t="str">
        <f>IF('Product List'!B826="","",'Product List'!B826)</f>
        <v/>
      </c>
      <c r="B826" t="str">
        <f>IF('Product List'!C826="","",'Product List'!C826)</f>
        <v/>
      </c>
      <c r="C826" t="str">
        <f>IF(SUMIFS('Purchase Record'!G:G,'Purchase Record'!F:F,Sheet4!A826)=0,"",SUMIFS('Purchase Record'!G:G,'Purchase Record'!F:F,Sheet4!A826))</f>
        <v/>
      </c>
      <c r="D826" t="str">
        <f>IF(SUMIFS('Sales Record'!H:H,'Sales Record'!F:F,Sheet4!A826)=0,"",SUMIFS('Sales Record'!H:H,'Sales Record'!F:F,Sheet4!A826))</f>
        <v/>
      </c>
      <c r="E826" t="str">
        <f>IF(SUMIFS('Sales Return'!G:G,'Sales Return'!F:F,Sheet4!A826)=0,"",SUMIFS('Sales Return'!G:G,'Sales Return'!F:F,Sheet4!A826))</f>
        <v/>
      </c>
      <c r="F826" t="str">
        <f>IF(SUMIFS('Purchase Return'!G:G,'Purchase Return'!F:F,Sheet4!A826)=0,"",SUMIFS('Purchase Return'!G:G,'Purchase Return'!F:F,Sheet4!A826))</f>
        <v/>
      </c>
      <c r="G826" t="str">
        <f t="shared" si="12"/>
        <v/>
      </c>
    </row>
    <row r="827" spans="1:7">
      <c r="A827" t="str">
        <f>IF('Product List'!B827="","",'Product List'!B827)</f>
        <v/>
      </c>
      <c r="B827" t="str">
        <f>IF('Product List'!C827="","",'Product List'!C827)</f>
        <v/>
      </c>
      <c r="C827" t="str">
        <f>IF(SUMIFS('Purchase Record'!G:G,'Purchase Record'!F:F,Sheet4!A827)=0,"",SUMIFS('Purchase Record'!G:G,'Purchase Record'!F:F,Sheet4!A827))</f>
        <v/>
      </c>
      <c r="D827" t="str">
        <f>IF(SUMIFS('Sales Record'!H:H,'Sales Record'!F:F,Sheet4!A827)=0,"",SUMIFS('Sales Record'!H:H,'Sales Record'!F:F,Sheet4!A827))</f>
        <v/>
      </c>
      <c r="E827" t="str">
        <f>IF(SUMIFS('Sales Return'!G:G,'Sales Return'!F:F,Sheet4!A827)=0,"",SUMIFS('Sales Return'!G:G,'Sales Return'!F:F,Sheet4!A827))</f>
        <v/>
      </c>
      <c r="F827" t="str">
        <f>IF(SUMIFS('Purchase Return'!G:G,'Purchase Return'!F:F,Sheet4!A827)=0,"",SUMIFS('Purchase Return'!G:G,'Purchase Return'!F:F,Sheet4!A827))</f>
        <v/>
      </c>
      <c r="G827" t="str">
        <f t="shared" si="12"/>
        <v/>
      </c>
    </row>
    <row r="828" spans="1:7">
      <c r="A828" t="str">
        <f>IF('Product List'!B828="","",'Product List'!B828)</f>
        <v/>
      </c>
      <c r="B828" t="str">
        <f>IF('Product List'!C828="","",'Product List'!C828)</f>
        <v/>
      </c>
      <c r="C828" t="str">
        <f>IF(SUMIFS('Purchase Record'!G:G,'Purchase Record'!F:F,Sheet4!A828)=0,"",SUMIFS('Purchase Record'!G:G,'Purchase Record'!F:F,Sheet4!A828))</f>
        <v/>
      </c>
      <c r="D828" t="str">
        <f>IF(SUMIFS('Sales Record'!H:H,'Sales Record'!F:F,Sheet4!A828)=0,"",SUMIFS('Sales Record'!H:H,'Sales Record'!F:F,Sheet4!A828))</f>
        <v/>
      </c>
      <c r="E828" t="str">
        <f>IF(SUMIFS('Sales Return'!G:G,'Sales Return'!F:F,Sheet4!A828)=0,"",SUMIFS('Sales Return'!G:G,'Sales Return'!F:F,Sheet4!A828))</f>
        <v/>
      </c>
      <c r="F828" t="str">
        <f>IF(SUMIFS('Purchase Return'!G:G,'Purchase Return'!F:F,Sheet4!A828)=0,"",SUMIFS('Purchase Return'!G:G,'Purchase Return'!F:F,Sheet4!A828))</f>
        <v/>
      </c>
      <c r="G828" t="str">
        <f t="shared" si="12"/>
        <v/>
      </c>
    </row>
    <row r="829" spans="1:7">
      <c r="A829" t="str">
        <f>IF('Product List'!B829="","",'Product List'!B829)</f>
        <v/>
      </c>
      <c r="B829" t="str">
        <f>IF('Product List'!C829="","",'Product List'!C829)</f>
        <v/>
      </c>
      <c r="C829" t="str">
        <f>IF(SUMIFS('Purchase Record'!G:G,'Purchase Record'!F:F,Sheet4!A829)=0,"",SUMIFS('Purchase Record'!G:G,'Purchase Record'!F:F,Sheet4!A829))</f>
        <v/>
      </c>
      <c r="D829" t="str">
        <f>IF(SUMIFS('Sales Record'!H:H,'Sales Record'!F:F,Sheet4!A829)=0,"",SUMIFS('Sales Record'!H:H,'Sales Record'!F:F,Sheet4!A829))</f>
        <v/>
      </c>
      <c r="E829" t="str">
        <f>IF(SUMIFS('Sales Return'!G:G,'Sales Return'!F:F,Sheet4!A829)=0,"",SUMIFS('Sales Return'!G:G,'Sales Return'!F:F,Sheet4!A829))</f>
        <v/>
      </c>
      <c r="F829" t="str">
        <f>IF(SUMIFS('Purchase Return'!G:G,'Purchase Return'!F:F,Sheet4!A829)=0,"",SUMIFS('Purchase Return'!G:G,'Purchase Return'!F:F,Sheet4!A829))</f>
        <v/>
      </c>
      <c r="G829" t="str">
        <f t="shared" si="12"/>
        <v/>
      </c>
    </row>
    <row r="830" spans="1:7">
      <c r="A830" t="str">
        <f>IF('Product List'!B830="","",'Product List'!B830)</f>
        <v/>
      </c>
      <c r="B830" t="str">
        <f>IF('Product List'!C830="","",'Product List'!C830)</f>
        <v/>
      </c>
      <c r="C830" t="str">
        <f>IF(SUMIFS('Purchase Record'!G:G,'Purchase Record'!F:F,Sheet4!A830)=0,"",SUMIFS('Purchase Record'!G:G,'Purchase Record'!F:F,Sheet4!A830))</f>
        <v/>
      </c>
      <c r="D830" t="str">
        <f>IF(SUMIFS('Sales Record'!H:H,'Sales Record'!F:F,Sheet4!A830)=0,"",SUMIFS('Sales Record'!H:H,'Sales Record'!F:F,Sheet4!A830))</f>
        <v/>
      </c>
      <c r="E830" t="str">
        <f>IF(SUMIFS('Sales Return'!G:G,'Sales Return'!F:F,Sheet4!A830)=0,"",SUMIFS('Sales Return'!G:G,'Sales Return'!F:F,Sheet4!A830))</f>
        <v/>
      </c>
      <c r="F830" t="str">
        <f>IF(SUMIFS('Purchase Return'!G:G,'Purchase Return'!F:F,Sheet4!A830)=0,"",SUMIFS('Purchase Return'!G:G,'Purchase Return'!F:F,Sheet4!A830))</f>
        <v/>
      </c>
      <c r="G830" t="str">
        <f t="shared" si="12"/>
        <v/>
      </c>
    </row>
    <row r="831" spans="1:7">
      <c r="A831" t="str">
        <f>IF('Product List'!B831="","",'Product List'!B831)</f>
        <v/>
      </c>
      <c r="B831" t="str">
        <f>IF('Product List'!C831="","",'Product List'!C831)</f>
        <v/>
      </c>
      <c r="C831" t="str">
        <f>IF(SUMIFS('Purchase Record'!G:G,'Purchase Record'!F:F,Sheet4!A831)=0,"",SUMIFS('Purchase Record'!G:G,'Purchase Record'!F:F,Sheet4!A831))</f>
        <v/>
      </c>
      <c r="D831" t="str">
        <f>IF(SUMIFS('Sales Record'!H:H,'Sales Record'!F:F,Sheet4!A831)=0,"",SUMIFS('Sales Record'!H:H,'Sales Record'!F:F,Sheet4!A831))</f>
        <v/>
      </c>
      <c r="E831" t="str">
        <f>IF(SUMIFS('Sales Return'!G:G,'Sales Return'!F:F,Sheet4!A831)=0,"",SUMIFS('Sales Return'!G:G,'Sales Return'!F:F,Sheet4!A831))</f>
        <v/>
      </c>
      <c r="F831" t="str">
        <f>IF(SUMIFS('Purchase Return'!G:G,'Purchase Return'!F:F,Sheet4!A831)=0,"",SUMIFS('Purchase Return'!G:G,'Purchase Return'!F:F,Sheet4!A831))</f>
        <v/>
      </c>
      <c r="G831" t="str">
        <f t="shared" si="12"/>
        <v/>
      </c>
    </row>
    <row r="832" spans="1:7">
      <c r="A832" t="str">
        <f>IF('Product List'!B832="","",'Product List'!B832)</f>
        <v/>
      </c>
      <c r="B832" t="str">
        <f>IF('Product List'!C832="","",'Product List'!C832)</f>
        <v/>
      </c>
      <c r="C832" t="str">
        <f>IF(SUMIFS('Purchase Record'!G:G,'Purchase Record'!F:F,Sheet4!A832)=0,"",SUMIFS('Purchase Record'!G:G,'Purchase Record'!F:F,Sheet4!A832))</f>
        <v/>
      </c>
      <c r="D832" t="str">
        <f>IF(SUMIFS('Sales Record'!H:H,'Sales Record'!F:F,Sheet4!A832)=0,"",SUMIFS('Sales Record'!H:H,'Sales Record'!F:F,Sheet4!A832))</f>
        <v/>
      </c>
      <c r="E832" t="str">
        <f>IF(SUMIFS('Sales Return'!G:G,'Sales Return'!F:F,Sheet4!A832)=0,"",SUMIFS('Sales Return'!G:G,'Sales Return'!F:F,Sheet4!A832))</f>
        <v/>
      </c>
      <c r="F832" t="str">
        <f>IF(SUMIFS('Purchase Return'!G:G,'Purchase Return'!F:F,Sheet4!A832)=0,"",SUMIFS('Purchase Return'!G:G,'Purchase Return'!F:F,Sheet4!A832))</f>
        <v/>
      </c>
      <c r="G832" t="str">
        <f t="shared" si="12"/>
        <v/>
      </c>
    </row>
    <row r="833" spans="1:7">
      <c r="A833" t="str">
        <f>IF('Product List'!B833="","",'Product List'!B833)</f>
        <v/>
      </c>
      <c r="B833" t="str">
        <f>IF('Product List'!C833="","",'Product List'!C833)</f>
        <v/>
      </c>
      <c r="C833" t="str">
        <f>IF(SUMIFS('Purchase Record'!G:G,'Purchase Record'!F:F,Sheet4!A833)=0,"",SUMIFS('Purchase Record'!G:G,'Purchase Record'!F:F,Sheet4!A833))</f>
        <v/>
      </c>
      <c r="D833" t="str">
        <f>IF(SUMIFS('Sales Record'!H:H,'Sales Record'!F:F,Sheet4!A833)=0,"",SUMIFS('Sales Record'!H:H,'Sales Record'!F:F,Sheet4!A833))</f>
        <v/>
      </c>
      <c r="E833" t="str">
        <f>IF(SUMIFS('Sales Return'!G:G,'Sales Return'!F:F,Sheet4!A833)=0,"",SUMIFS('Sales Return'!G:G,'Sales Return'!F:F,Sheet4!A833))</f>
        <v/>
      </c>
      <c r="F833" t="str">
        <f>IF(SUMIFS('Purchase Return'!G:G,'Purchase Return'!F:F,Sheet4!A833)=0,"",SUMIFS('Purchase Return'!G:G,'Purchase Return'!F:F,Sheet4!A833))</f>
        <v/>
      </c>
      <c r="G833" t="str">
        <f t="shared" si="12"/>
        <v/>
      </c>
    </row>
    <row r="834" spans="1:7">
      <c r="A834" t="str">
        <f>IF('Product List'!B834="","",'Product List'!B834)</f>
        <v/>
      </c>
      <c r="B834" t="str">
        <f>IF('Product List'!C834="","",'Product List'!C834)</f>
        <v/>
      </c>
      <c r="C834" t="str">
        <f>IF(SUMIFS('Purchase Record'!G:G,'Purchase Record'!F:F,Sheet4!A834)=0,"",SUMIFS('Purchase Record'!G:G,'Purchase Record'!F:F,Sheet4!A834))</f>
        <v/>
      </c>
      <c r="D834" t="str">
        <f>IF(SUMIFS('Sales Record'!H:H,'Sales Record'!F:F,Sheet4!A834)=0,"",SUMIFS('Sales Record'!H:H,'Sales Record'!F:F,Sheet4!A834))</f>
        <v/>
      </c>
      <c r="E834" t="str">
        <f>IF(SUMIFS('Sales Return'!G:G,'Sales Return'!F:F,Sheet4!A834)=0,"",SUMIFS('Sales Return'!G:G,'Sales Return'!F:F,Sheet4!A834))</f>
        <v/>
      </c>
      <c r="F834" t="str">
        <f>IF(SUMIFS('Purchase Return'!G:G,'Purchase Return'!F:F,Sheet4!A834)=0,"",SUMIFS('Purchase Return'!G:G,'Purchase Return'!F:F,Sheet4!A834))</f>
        <v/>
      </c>
      <c r="G834" t="str">
        <f t="shared" si="12"/>
        <v/>
      </c>
    </row>
    <row r="835" spans="1:7">
      <c r="A835" t="str">
        <f>IF('Product List'!B835="","",'Product List'!B835)</f>
        <v/>
      </c>
      <c r="B835" t="str">
        <f>IF('Product List'!C835="","",'Product List'!C835)</f>
        <v/>
      </c>
      <c r="C835" t="str">
        <f>IF(SUMIFS('Purchase Record'!G:G,'Purchase Record'!F:F,Sheet4!A835)=0,"",SUMIFS('Purchase Record'!G:G,'Purchase Record'!F:F,Sheet4!A835))</f>
        <v/>
      </c>
      <c r="D835" t="str">
        <f>IF(SUMIFS('Sales Record'!H:H,'Sales Record'!F:F,Sheet4!A835)=0,"",SUMIFS('Sales Record'!H:H,'Sales Record'!F:F,Sheet4!A835))</f>
        <v/>
      </c>
      <c r="E835" t="str">
        <f>IF(SUMIFS('Sales Return'!G:G,'Sales Return'!F:F,Sheet4!A835)=0,"",SUMIFS('Sales Return'!G:G,'Sales Return'!F:F,Sheet4!A835))</f>
        <v/>
      </c>
      <c r="F835" t="str">
        <f>IF(SUMIFS('Purchase Return'!G:G,'Purchase Return'!F:F,Sheet4!A835)=0,"",SUMIFS('Purchase Return'!G:G,'Purchase Return'!F:F,Sheet4!A835))</f>
        <v/>
      </c>
      <c r="G835" t="str">
        <f t="shared" ref="G835:G898" si="13">IF(C835="","",N(C835)-N(D835)+N(E835)-N(F835))</f>
        <v/>
      </c>
    </row>
    <row r="836" spans="1:7">
      <c r="A836" t="str">
        <f>IF('Product List'!B836="","",'Product List'!B836)</f>
        <v/>
      </c>
      <c r="B836" t="str">
        <f>IF('Product List'!C836="","",'Product List'!C836)</f>
        <v/>
      </c>
      <c r="C836" t="str">
        <f>IF(SUMIFS('Purchase Record'!G:G,'Purchase Record'!F:F,Sheet4!A836)=0,"",SUMIFS('Purchase Record'!G:G,'Purchase Record'!F:F,Sheet4!A836))</f>
        <v/>
      </c>
      <c r="D836" t="str">
        <f>IF(SUMIFS('Sales Record'!H:H,'Sales Record'!F:F,Sheet4!A836)=0,"",SUMIFS('Sales Record'!H:H,'Sales Record'!F:F,Sheet4!A836))</f>
        <v/>
      </c>
      <c r="E836" t="str">
        <f>IF(SUMIFS('Sales Return'!G:G,'Sales Return'!F:F,Sheet4!A836)=0,"",SUMIFS('Sales Return'!G:G,'Sales Return'!F:F,Sheet4!A836))</f>
        <v/>
      </c>
      <c r="F836" t="str">
        <f>IF(SUMIFS('Purchase Return'!G:G,'Purchase Return'!F:F,Sheet4!A836)=0,"",SUMIFS('Purchase Return'!G:G,'Purchase Return'!F:F,Sheet4!A836))</f>
        <v/>
      </c>
      <c r="G836" t="str">
        <f t="shared" si="13"/>
        <v/>
      </c>
    </row>
    <row r="837" spans="1:7">
      <c r="A837" t="str">
        <f>IF('Product List'!B837="","",'Product List'!B837)</f>
        <v/>
      </c>
      <c r="B837" t="str">
        <f>IF('Product List'!C837="","",'Product List'!C837)</f>
        <v/>
      </c>
      <c r="C837" t="str">
        <f>IF(SUMIFS('Purchase Record'!G:G,'Purchase Record'!F:F,Sheet4!A837)=0,"",SUMIFS('Purchase Record'!G:G,'Purchase Record'!F:F,Sheet4!A837))</f>
        <v/>
      </c>
      <c r="D837" t="str">
        <f>IF(SUMIFS('Sales Record'!H:H,'Sales Record'!F:F,Sheet4!A837)=0,"",SUMIFS('Sales Record'!H:H,'Sales Record'!F:F,Sheet4!A837))</f>
        <v/>
      </c>
      <c r="E837" t="str">
        <f>IF(SUMIFS('Sales Return'!G:G,'Sales Return'!F:F,Sheet4!A837)=0,"",SUMIFS('Sales Return'!G:G,'Sales Return'!F:F,Sheet4!A837))</f>
        <v/>
      </c>
      <c r="F837" t="str">
        <f>IF(SUMIFS('Purchase Return'!G:G,'Purchase Return'!F:F,Sheet4!A837)=0,"",SUMIFS('Purchase Return'!G:G,'Purchase Return'!F:F,Sheet4!A837))</f>
        <v/>
      </c>
      <c r="G837" t="str">
        <f t="shared" si="13"/>
        <v/>
      </c>
    </row>
    <row r="838" spans="1:7">
      <c r="A838" t="str">
        <f>IF('Product List'!B838="","",'Product List'!B838)</f>
        <v/>
      </c>
      <c r="B838" t="str">
        <f>IF('Product List'!C838="","",'Product List'!C838)</f>
        <v/>
      </c>
      <c r="C838" t="str">
        <f>IF(SUMIFS('Purchase Record'!G:G,'Purchase Record'!F:F,Sheet4!A838)=0,"",SUMIFS('Purchase Record'!G:G,'Purchase Record'!F:F,Sheet4!A838))</f>
        <v/>
      </c>
      <c r="D838" t="str">
        <f>IF(SUMIFS('Sales Record'!H:H,'Sales Record'!F:F,Sheet4!A838)=0,"",SUMIFS('Sales Record'!H:H,'Sales Record'!F:F,Sheet4!A838))</f>
        <v/>
      </c>
      <c r="E838" t="str">
        <f>IF(SUMIFS('Sales Return'!G:G,'Sales Return'!F:F,Sheet4!A838)=0,"",SUMIFS('Sales Return'!G:G,'Sales Return'!F:F,Sheet4!A838))</f>
        <v/>
      </c>
      <c r="F838" t="str">
        <f>IF(SUMIFS('Purchase Return'!G:G,'Purchase Return'!F:F,Sheet4!A838)=0,"",SUMIFS('Purchase Return'!G:G,'Purchase Return'!F:F,Sheet4!A838))</f>
        <v/>
      </c>
      <c r="G838" t="str">
        <f t="shared" si="13"/>
        <v/>
      </c>
    </row>
    <row r="839" spans="1:7">
      <c r="A839" t="str">
        <f>IF('Product List'!B839="","",'Product List'!B839)</f>
        <v/>
      </c>
      <c r="B839" t="str">
        <f>IF('Product List'!C839="","",'Product List'!C839)</f>
        <v/>
      </c>
      <c r="C839" t="str">
        <f>IF(SUMIFS('Purchase Record'!G:G,'Purchase Record'!F:F,Sheet4!A839)=0,"",SUMIFS('Purchase Record'!G:G,'Purchase Record'!F:F,Sheet4!A839))</f>
        <v/>
      </c>
      <c r="D839" t="str">
        <f>IF(SUMIFS('Sales Record'!H:H,'Sales Record'!F:F,Sheet4!A839)=0,"",SUMIFS('Sales Record'!H:H,'Sales Record'!F:F,Sheet4!A839))</f>
        <v/>
      </c>
      <c r="E839" t="str">
        <f>IF(SUMIFS('Sales Return'!G:G,'Sales Return'!F:F,Sheet4!A839)=0,"",SUMIFS('Sales Return'!G:G,'Sales Return'!F:F,Sheet4!A839))</f>
        <v/>
      </c>
      <c r="F839" t="str">
        <f>IF(SUMIFS('Purchase Return'!G:G,'Purchase Return'!F:F,Sheet4!A839)=0,"",SUMIFS('Purchase Return'!G:G,'Purchase Return'!F:F,Sheet4!A839))</f>
        <v/>
      </c>
      <c r="G839" t="str">
        <f t="shared" si="13"/>
        <v/>
      </c>
    </row>
    <row r="840" spans="1:7">
      <c r="A840" t="str">
        <f>IF('Product List'!B840="","",'Product List'!B840)</f>
        <v/>
      </c>
      <c r="B840" t="str">
        <f>IF('Product List'!C840="","",'Product List'!C840)</f>
        <v/>
      </c>
      <c r="C840" t="str">
        <f>IF(SUMIFS('Purchase Record'!G:G,'Purchase Record'!F:F,Sheet4!A840)=0,"",SUMIFS('Purchase Record'!G:G,'Purchase Record'!F:F,Sheet4!A840))</f>
        <v/>
      </c>
      <c r="D840" t="str">
        <f>IF(SUMIFS('Sales Record'!H:H,'Sales Record'!F:F,Sheet4!A840)=0,"",SUMIFS('Sales Record'!H:H,'Sales Record'!F:F,Sheet4!A840))</f>
        <v/>
      </c>
      <c r="E840" t="str">
        <f>IF(SUMIFS('Sales Return'!G:G,'Sales Return'!F:F,Sheet4!A840)=0,"",SUMIFS('Sales Return'!G:G,'Sales Return'!F:F,Sheet4!A840))</f>
        <v/>
      </c>
      <c r="F840" t="str">
        <f>IF(SUMIFS('Purchase Return'!G:G,'Purchase Return'!F:F,Sheet4!A840)=0,"",SUMIFS('Purchase Return'!G:G,'Purchase Return'!F:F,Sheet4!A840))</f>
        <v/>
      </c>
      <c r="G840" t="str">
        <f t="shared" si="13"/>
        <v/>
      </c>
    </row>
    <row r="841" spans="1:7">
      <c r="A841" t="str">
        <f>IF('Product List'!B841="","",'Product List'!B841)</f>
        <v/>
      </c>
      <c r="B841" t="str">
        <f>IF('Product List'!C841="","",'Product List'!C841)</f>
        <v/>
      </c>
      <c r="C841" t="str">
        <f>IF(SUMIFS('Purchase Record'!G:G,'Purchase Record'!F:F,Sheet4!A841)=0,"",SUMIFS('Purchase Record'!G:G,'Purchase Record'!F:F,Sheet4!A841))</f>
        <v/>
      </c>
      <c r="D841" t="str">
        <f>IF(SUMIFS('Sales Record'!H:H,'Sales Record'!F:F,Sheet4!A841)=0,"",SUMIFS('Sales Record'!H:H,'Sales Record'!F:F,Sheet4!A841))</f>
        <v/>
      </c>
      <c r="E841" t="str">
        <f>IF(SUMIFS('Sales Return'!G:G,'Sales Return'!F:F,Sheet4!A841)=0,"",SUMIFS('Sales Return'!G:G,'Sales Return'!F:F,Sheet4!A841))</f>
        <v/>
      </c>
      <c r="F841" t="str">
        <f>IF(SUMIFS('Purchase Return'!G:G,'Purchase Return'!F:F,Sheet4!A841)=0,"",SUMIFS('Purchase Return'!G:G,'Purchase Return'!F:F,Sheet4!A841))</f>
        <v/>
      </c>
      <c r="G841" t="str">
        <f t="shared" si="13"/>
        <v/>
      </c>
    </row>
    <row r="842" spans="1:7">
      <c r="A842" t="str">
        <f>IF('Product List'!B842="","",'Product List'!B842)</f>
        <v/>
      </c>
      <c r="B842" t="str">
        <f>IF('Product List'!C842="","",'Product List'!C842)</f>
        <v/>
      </c>
      <c r="C842" t="str">
        <f>IF(SUMIFS('Purchase Record'!G:G,'Purchase Record'!F:F,Sheet4!A842)=0,"",SUMIFS('Purchase Record'!G:G,'Purchase Record'!F:F,Sheet4!A842))</f>
        <v/>
      </c>
      <c r="D842" t="str">
        <f>IF(SUMIFS('Sales Record'!H:H,'Sales Record'!F:F,Sheet4!A842)=0,"",SUMIFS('Sales Record'!H:H,'Sales Record'!F:F,Sheet4!A842))</f>
        <v/>
      </c>
      <c r="E842" t="str">
        <f>IF(SUMIFS('Sales Return'!G:G,'Sales Return'!F:F,Sheet4!A842)=0,"",SUMIFS('Sales Return'!G:G,'Sales Return'!F:F,Sheet4!A842))</f>
        <v/>
      </c>
      <c r="F842" t="str">
        <f>IF(SUMIFS('Purchase Return'!G:G,'Purchase Return'!F:F,Sheet4!A842)=0,"",SUMIFS('Purchase Return'!G:G,'Purchase Return'!F:F,Sheet4!A842))</f>
        <v/>
      </c>
      <c r="G842" t="str">
        <f t="shared" si="13"/>
        <v/>
      </c>
    </row>
    <row r="843" spans="1:7">
      <c r="A843" t="str">
        <f>IF('Product List'!B843="","",'Product List'!B843)</f>
        <v/>
      </c>
      <c r="B843" t="str">
        <f>IF('Product List'!C843="","",'Product List'!C843)</f>
        <v/>
      </c>
      <c r="C843" t="str">
        <f>IF(SUMIFS('Purchase Record'!G:G,'Purchase Record'!F:F,Sheet4!A843)=0,"",SUMIFS('Purchase Record'!G:G,'Purchase Record'!F:F,Sheet4!A843))</f>
        <v/>
      </c>
      <c r="D843" t="str">
        <f>IF(SUMIFS('Sales Record'!H:H,'Sales Record'!F:F,Sheet4!A843)=0,"",SUMIFS('Sales Record'!H:H,'Sales Record'!F:F,Sheet4!A843))</f>
        <v/>
      </c>
      <c r="E843" t="str">
        <f>IF(SUMIFS('Sales Return'!G:G,'Sales Return'!F:F,Sheet4!A843)=0,"",SUMIFS('Sales Return'!G:G,'Sales Return'!F:F,Sheet4!A843))</f>
        <v/>
      </c>
      <c r="F843" t="str">
        <f>IF(SUMIFS('Purchase Return'!G:G,'Purchase Return'!F:F,Sheet4!A843)=0,"",SUMIFS('Purchase Return'!G:G,'Purchase Return'!F:F,Sheet4!A843))</f>
        <v/>
      </c>
      <c r="G843" t="str">
        <f t="shared" si="13"/>
        <v/>
      </c>
    </row>
    <row r="844" spans="1:7">
      <c r="A844" t="str">
        <f>IF('Product List'!B844="","",'Product List'!B844)</f>
        <v/>
      </c>
      <c r="B844" t="str">
        <f>IF('Product List'!C844="","",'Product List'!C844)</f>
        <v/>
      </c>
      <c r="C844" t="str">
        <f>IF(SUMIFS('Purchase Record'!G:G,'Purchase Record'!F:F,Sheet4!A844)=0,"",SUMIFS('Purchase Record'!G:G,'Purchase Record'!F:F,Sheet4!A844))</f>
        <v/>
      </c>
      <c r="D844" t="str">
        <f>IF(SUMIFS('Sales Record'!H:H,'Sales Record'!F:F,Sheet4!A844)=0,"",SUMIFS('Sales Record'!H:H,'Sales Record'!F:F,Sheet4!A844))</f>
        <v/>
      </c>
      <c r="E844" t="str">
        <f>IF(SUMIFS('Sales Return'!G:G,'Sales Return'!F:F,Sheet4!A844)=0,"",SUMIFS('Sales Return'!G:G,'Sales Return'!F:F,Sheet4!A844))</f>
        <v/>
      </c>
      <c r="F844" t="str">
        <f>IF(SUMIFS('Purchase Return'!G:G,'Purchase Return'!F:F,Sheet4!A844)=0,"",SUMIFS('Purchase Return'!G:G,'Purchase Return'!F:F,Sheet4!A844))</f>
        <v/>
      </c>
      <c r="G844" t="str">
        <f t="shared" si="13"/>
        <v/>
      </c>
    </row>
    <row r="845" spans="1:7">
      <c r="A845" t="str">
        <f>IF('Product List'!B845="","",'Product List'!B845)</f>
        <v/>
      </c>
      <c r="B845" t="str">
        <f>IF('Product List'!C845="","",'Product List'!C845)</f>
        <v/>
      </c>
      <c r="C845" t="str">
        <f>IF(SUMIFS('Purchase Record'!G:G,'Purchase Record'!F:F,Sheet4!A845)=0,"",SUMIFS('Purchase Record'!G:G,'Purchase Record'!F:F,Sheet4!A845))</f>
        <v/>
      </c>
      <c r="D845" t="str">
        <f>IF(SUMIFS('Sales Record'!H:H,'Sales Record'!F:F,Sheet4!A845)=0,"",SUMIFS('Sales Record'!H:H,'Sales Record'!F:F,Sheet4!A845))</f>
        <v/>
      </c>
      <c r="E845" t="str">
        <f>IF(SUMIFS('Sales Return'!G:G,'Sales Return'!F:F,Sheet4!A845)=0,"",SUMIFS('Sales Return'!G:G,'Sales Return'!F:F,Sheet4!A845))</f>
        <v/>
      </c>
      <c r="F845" t="str">
        <f>IF(SUMIFS('Purchase Return'!G:G,'Purchase Return'!F:F,Sheet4!A845)=0,"",SUMIFS('Purchase Return'!G:G,'Purchase Return'!F:F,Sheet4!A845))</f>
        <v/>
      </c>
      <c r="G845" t="str">
        <f t="shared" si="13"/>
        <v/>
      </c>
    </row>
    <row r="846" spans="1:7">
      <c r="A846" t="str">
        <f>IF('Product List'!B846="","",'Product List'!B846)</f>
        <v/>
      </c>
      <c r="B846" t="str">
        <f>IF('Product List'!C846="","",'Product List'!C846)</f>
        <v/>
      </c>
      <c r="C846" t="str">
        <f>IF(SUMIFS('Purchase Record'!G:G,'Purchase Record'!F:F,Sheet4!A846)=0,"",SUMIFS('Purchase Record'!G:G,'Purchase Record'!F:F,Sheet4!A846))</f>
        <v/>
      </c>
      <c r="D846" t="str">
        <f>IF(SUMIFS('Sales Record'!H:H,'Sales Record'!F:F,Sheet4!A846)=0,"",SUMIFS('Sales Record'!H:H,'Sales Record'!F:F,Sheet4!A846))</f>
        <v/>
      </c>
      <c r="E846" t="str">
        <f>IF(SUMIFS('Sales Return'!G:G,'Sales Return'!F:F,Sheet4!A846)=0,"",SUMIFS('Sales Return'!G:G,'Sales Return'!F:F,Sheet4!A846))</f>
        <v/>
      </c>
      <c r="F846" t="str">
        <f>IF(SUMIFS('Purchase Return'!G:G,'Purchase Return'!F:F,Sheet4!A846)=0,"",SUMIFS('Purchase Return'!G:G,'Purchase Return'!F:F,Sheet4!A846))</f>
        <v/>
      </c>
      <c r="G846" t="str">
        <f t="shared" si="13"/>
        <v/>
      </c>
    </row>
    <row r="847" spans="1:7">
      <c r="A847" t="str">
        <f>IF('Product List'!B847="","",'Product List'!B847)</f>
        <v/>
      </c>
      <c r="B847" t="str">
        <f>IF('Product List'!C847="","",'Product List'!C847)</f>
        <v/>
      </c>
      <c r="C847" t="str">
        <f>IF(SUMIFS('Purchase Record'!G:G,'Purchase Record'!F:F,Sheet4!A847)=0,"",SUMIFS('Purchase Record'!G:G,'Purchase Record'!F:F,Sheet4!A847))</f>
        <v/>
      </c>
      <c r="D847" t="str">
        <f>IF(SUMIFS('Sales Record'!H:H,'Sales Record'!F:F,Sheet4!A847)=0,"",SUMIFS('Sales Record'!H:H,'Sales Record'!F:F,Sheet4!A847))</f>
        <v/>
      </c>
      <c r="E847" t="str">
        <f>IF(SUMIFS('Sales Return'!G:G,'Sales Return'!F:F,Sheet4!A847)=0,"",SUMIFS('Sales Return'!G:G,'Sales Return'!F:F,Sheet4!A847))</f>
        <v/>
      </c>
      <c r="F847" t="str">
        <f>IF(SUMIFS('Purchase Return'!G:G,'Purchase Return'!F:F,Sheet4!A847)=0,"",SUMIFS('Purchase Return'!G:G,'Purchase Return'!F:F,Sheet4!A847))</f>
        <v/>
      </c>
      <c r="G847" t="str">
        <f t="shared" si="13"/>
        <v/>
      </c>
    </row>
    <row r="848" spans="1:7">
      <c r="A848" t="str">
        <f>IF('Product List'!B848="","",'Product List'!B848)</f>
        <v/>
      </c>
      <c r="B848" t="str">
        <f>IF('Product List'!C848="","",'Product List'!C848)</f>
        <v/>
      </c>
      <c r="C848" t="str">
        <f>IF(SUMIFS('Purchase Record'!G:G,'Purchase Record'!F:F,Sheet4!A848)=0,"",SUMIFS('Purchase Record'!G:G,'Purchase Record'!F:F,Sheet4!A848))</f>
        <v/>
      </c>
      <c r="D848" t="str">
        <f>IF(SUMIFS('Sales Record'!H:H,'Sales Record'!F:F,Sheet4!A848)=0,"",SUMIFS('Sales Record'!H:H,'Sales Record'!F:F,Sheet4!A848))</f>
        <v/>
      </c>
      <c r="E848" t="str">
        <f>IF(SUMIFS('Sales Return'!G:G,'Sales Return'!F:F,Sheet4!A848)=0,"",SUMIFS('Sales Return'!G:G,'Sales Return'!F:F,Sheet4!A848))</f>
        <v/>
      </c>
      <c r="F848" t="str">
        <f>IF(SUMIFS('Purchase Return'!G:G,'Purchase Return'!F:F,Sheet4!A848)=0,"",SUMIFS('Purchase Return'!G:G,'Purchase Return'!F:F,Sheet4!A848))</f>
        <v/>
      </c>
      <c r="G848" t="str">
        <f t="shared" si="13"/>
        <v/>
      </c>
    </row>
    <row r="849" spans="1:7">
      <c r="A849" t="str">
        <f>IF('Product List'!B849="","",'Product List'!B849)</f>
        <v/>
      </c>
      <c r="B849" t="str">
        <f>IF('Product List'!C849="","",'Product List'!C849)</f>
        <v/>
      </c>
      <c r="C849" t="str">
        <f>IF(SUMIFS('Purchase Record'!G:G,'Purchase Record'!F:F,Sheet4!A849)=0,"",SUMIFS('Purchase Record'!G:G,'Purchase Record'!F:F,Sheet4!A849))</f>
        <v/>
      </c>
      <c r="D849" t="str">
        <f>IF(SUMIFS('Sales Record'!H:H,'Sales Record'!F:F,Sheet4!A849)=0,"",SUMIFS('Sales Record'!H:H,'Sales Record'!F:F,Sheet4!A849))</f>
        <v/>
      </c>
      <c r="E849" t="str">
        <f>IF(SUMIFS('Sales Return'!G:G,'Sales Return'!F:F,Sheet4!A849)=0,"",SUMIFS('Sales Return'!G:G,'Sales Return'!F:F,Sheet4!A849))</f>
        <v/>
      </c>
      <c r="F849" t="str">
        <f>IF(SUMIFS('Purchase Return'!G:G,'Purchase Return'!F:F,Sheet4!A849)=0,"",SUMIFS('Purchase Return'!G:G,'Purchase Return'!F:F,Sheet4!A849))</f>
        <v/>
      </c>
      <c r="G849" t="str">
        <f t="shared" si="13"/>
        <v/>
      </c>
    </row>
    <row r="850" spans="1:7">
      <c r="A850" t="str">
        <f>IF('Product List'!B850="","",'Product List'!B850)</f>
        <v/>
      </c>
      <c r="B850" t="str">
        <f>IF('Product List'!C850="","",'Product List'!C850)</f>
        <v/>
      </c>
      <c r="C850" t="str">
        <f>IF(SUMIFS('Purchase Record'!G:G,'Purchase Record'!F:F,Sheet4!A850)=0,"",SUMIFS('Purchase Record'!G:G,'Purchase Record'!F:F,Sheet4!A850))</f>
        <v/>
      </c>
      <c r="D850" t="str">
        <f>IF(SUMIFS('Sales Record'!H:H,'Sales Record'!F:F,Sheet4!A850)=0,"",SUMIFS('Sales Record'!H:H,'Sales Record'!F:F,Sheet4!A850))</f>
        <v/>
      </c>
      <c r="E850" t="str">
        <f>IF(SUMIFS('Sales Return'!G:G,'Sales Return'!F:F,Sheet4!A850)=0,"",SUMIFS('Sales Return'!G:G,'Sales Return'!F:F,Sheet4!A850))</f>
        <v/>
      </c>
      <c r="F850" t="str">
        <f>IF(SUMIFS('Purchase Return'!G:G,'Purchase Return'!F:F,Sheet4!A850)=0,"",SUMIFS('Purchase Return'!G:G,'Purchase Return'!F:F,Sheet4!A850))</f>
        <v/>
      </c>
      <c r="G850" t="str">
        <f t="shared" si="13"/>
        <v/>
      </c>
    </row>
    <row r="851" spans="1:7">
      <c r="A851" t="str">
        <f>IF('Product List'!B851="","",'Product List'!B851)</f>
        <v/>
      </c>
      <c r="B851" t="str">
        <f>IF('Product List'!C851="","",'Product List'!C851)</f>
        <v/>
      </c>
      <c r="C851" t="str">
        <f>IF(SUMIFS('Purchase Record'!G:G,'Purchase Record'!F:F,Sheet4!A851)=0,"",SUMIFS('Purchase Record'!G:G,'Purchase Record'!F:F,Sheet4!A851))</f>
        <v/>
      </c>
      <c r="D851" t="str">
        <f>IF(SUMIFS('Sales Record'!H:H,'Sales Record'!F:F,Sheet4!A851)=0,"",SUMIFS('Sales Record'!H:H,'Sales Record'!F:F,Sheet4!A851))</f>
        <v/>
      </c>
      <c r="E851" t="str">
        <f>IF(SUMIFS('Sales Return'!G:G,'Sales Return'!F:F,Sheet4!A851)=0,"",SUMIFS('Sales Return'!G:G,'Sales Return'!F:F,Sheet4!A851))</f>
        <v/>
      </c>
      <c r="F851" t="str">
        <f>IF(SUMIFS('Purchase Return'!G:G,'Purchase Return'!F:F,Sheet4!A851)=0,"",SUMIFS('Purchase Return'!G:G,'Purchase Return'!F:F,Sheet4!A851))</f>
        <v/>
      </c>
      <c r="G851" t="str">
        <f t="shared" si="13"/>
        <v/>
      </c>
    </row>
    <row r="852" spans="1:7">
      <c r="A852" t="str">
        <f>IF('Product List'!B852="","",'Product List'!B852)</f>
        <v/>
      </c>
      <c r="B852" t="str">
        <f>IF('Product List'!C852="","",'Product List'!C852)</f>
        <v/>
      </c>
      <c r="C852" t="str">
        <f>IF(SUMIFS('Purchase Record'!G:G,'Purchase Record'!F:F,Sheet4!A852)=0,"",SUMIFS('Purchase Record'!G:G,'Purchase Record'!F:F,Sheet4!A852))</f>
        <v/>
      </c>
      <c r="D852" t="str">
        <f>IF(SUMIFS('Sales Record'!H:H,'Sales Record'!F:F,Sheet4!A852)=0,"",SUMIFS('Sales Record'!H:H,'Sales Record'!F:F,Sheet4!A852))</f>
        <v/>
      </c>
      <c r="E852" t="str">
        <f>IF(SUMIFS('Sales Return'!G:G,'Sales Return'!F:F,Sheet4!A852)=0,"",SUMIFS('Sales Return'!G:G,'Sales Return'!F:F,Sheet4!A852))</f>
        <v/>
      </c>
      <c r="F852" t="str">
        <f>IF(SUMIFS('Purchase Return'!G:G,'Purchase Return'!F:F,Sheet4!A852)=0,"",SUMIFS('Purchase Return'!G:G,'Purchase Return'!F:F,Sheet4!A852))</f>
        <v/>
      </c>
      <c r="G852" t="str">
        <f t="shared" si="13"/>
        <v/>
      </c>
    </row>
    <row r="853" spans="1:7">
      <c r="A853" t="str">
        <f>IF('Product List'!B853="","",'Product List'!B853)</f>
        <v/>
      </c>
      <c r="B853" t="str">
        <f>IF('Product List'!C853="","",'Product List'!C853)</f>
        <v/>
      </c>
      <c r="C853" t="str">
        <f>IF(SUMIFS('Purchase Record'!G:G,'Purchase Record'!F:F,Sheet4!A853)=0,"",SUMIFS('Purchase Record'!G:G,'Purchase Record'!F:F,Sheet4!A853))</f>
        <v/>
      </c>
      <c r="D853" t="str">
        <f>IF(SUMIFS('Sales Record'!H:H,'Sales Record'!F:F,Sheet4!A853)=0,"",SUMIFS('Sales Record'!H:H,'Sales Record'!F:F,Sheet4!A853))</f>
        <v/>
      </c>
      <c r="E853" t="str">
        <f>IF(SUMIFS('Sales Return'!G:G,'Sales Return'!F:F,Sheet4!A853)=0,"",SUMIFS('Sales Return'!G:G,'Sales Return'!F:F,Sheet4!A853))</f>
        <v/>
      </c>
      <c r="F853" t="str">
        <f>IF(SUMIFS('Purchase Return'!G:G,'Purchase Return'!F:F,Sheet4!A853)=0,"",SUMIFS('Purchase Return'!G:G,'Purchase Return'!F:F,Sheet4!A853))</f>
        <v/>
      </c>
      <c r="G853" t="str">
        <f t="shared" si="13"/>
        <v/>
      </c>
    </row>
    <row r="854" spans="1:7">
      <c r="A854" t="str">
        <f>IF('Product List'!B854="","",'Product List'!B854)</f>
        <v/>
      </c>
      <c r="B854" t="str">
        <f>IF('Product List'!C854="","",'Product List'!C854)</f>
        <v/>
      </c>
      <c r="C854" t="str">
        <f>IF(SUMIFS('Purchase Record'!G:G,'Purchase Record'!F:F,Sheet4!A854)=0,"",SUMIFS('Purchase Record'!G:G,'Purchase Record'!F:F,Sheet4!A854))</f>
        <v/>
      </c>
      <c r="D854" t="str">
        <f>IF(SUMIFS('Sales Record'!H:H,'Sales Record'!F:F,Sheet4!A854)=0,"",SUMIFS('Sales Record'!H:H,'Sales Record'!F:F,Sheet4!A854))</f>
        <v/>
      </c>
      <c r="E854" t="str">
        <f>IF(SUMIFS('Sales Return'!G:G,'Sales Return'!F:F,Sheet4!A854)=0,"",SUMIFS('Sales Return'!G:G,'Sales Return'!F:F,Sheet4!A854))</f>
        <v/>
      </c>
      <c r="F854" t="str">
        <f>IF(SUMIFS('Purchase Return'!G:G,'Purchase Return'!F:F,Sheet4!A854)=0,"",SUMIFS('Purchase Return'!G:G,'Purchase Return'!F:F,Sheet4!A854))</f>
        <v/>
      </c>
      <c r="G854" t="str">
        <f t="shared" si="13"/>
        <v/>
      </c>
    </row>
    <row r="855" spans="1:7">
      <c r="A855" t="str">
        <f>IF('Product List'!B855="","",'Product List'!B855)</f>
        <v/>
      </c>
      <c r="B855" t="str">
        <f>IF('Product List'!C855="","",'Product List'!C855)</f>
        <v/>
      </c>
      <c r="C855" t="str">
        <f>IF(SUMIFS('Purchase Record'!G:G,'Purchase Record'!F:F,Sheet4!A855)=0,"",SUMIFS('Purchase Record'!G:G,'Purchase Record'!F:F,Sheet4!A855))</f>
        <v/>
      </c>
      <c r="D855" t="str">
        <f>IF(SUMIFS('Sales Record'!H:H,'Sales Record'!F:F,Sheet4!A855)=0,"",SUMIFS('Sales Record'!H:H,'Sales Record'!F:F,Sheet4!A855))</f>
        <v/>
      </c>
      <c r="E855" t="str">
        <f>IF(SUMIFS('Sales Return'!G:G,'Sales Return'!F:F,Sheet4!A855)=0,"",SUMIFS('Sales Return'!G:G,'Sales Return'!F:F,Sheet4!A855))</f>
        <v/>
      </c>
      <c r="F855" t="str">
        <f>IF(SUMIFS('Purchase Return'!G:G,'Purchase Return'!F:F,Sheet4!A855)=0,"",SUMIFS('Purchase Return'!G:G,'Purchase Return'!F:F,Sheet4!A855))</f>
        <v/>
      </c>
      <c r="G855" t="str">
        <f t="shared" si="13"/>
        <v/>
      </c>
    </row>
    <row r="856" spans="1:7">
      <c r="A856" t="str">
        <f>IF('Product List'!B856="","",'Product List'!B856)</f>
        <v/>
      </c>
      <c r="B856" t="str">
        <f>IF('Product List'!C856="","",'Product List'!C856)</f>
        <v/>
      </c>
      <c r="C856" t="str">
        <f>IF(SUMIFS('Purchase Record'!G:G,'Purchase Record'!F:F,Sheet4!A856)=0,"",SUMIFS('Purchase Record'!G:G,'Purchase Record'!F:F,Sheet4!A856))</f>
        <v/>
      </c>
      <c r="D856" t="str">
        <f>IF(SUMIFS('Sales Record'!H:H,'Sales Record'!F:F,Sheet4!A856)=0,"",SUMIFS('Sales Record'!H:H,'Sales Record'!F:F,Sheet4!A856))</f>
        <v/>
      </c>
      <c r="E856" t="str">
        <f>IF(SUMIFS('Sales Return'!G:G,'Sales Return'!F:F,Sheet4!A856)=0,"",SUMIFS('Sales Return'!G:G,'Sales Return'!F:F,Sheet4!A856))</f>
        <v/>
      </c>
      <c r="F856" t="str">
        <f>IF(SUMIFS('Purchase Return'!G:G,'Purchase Return'!F:F,Sheet4!A856)=0,"",SUMIFS('Purchase Return'!G:G,'Purchase Return'!F:F,Sheet4!A856))</f>
        <v/>
      </c>
      <c r="G856" t="str">
        <f t="shared" si="13"/>
        <v/>
      </c>
    </row>
    <row r="857" spans="1:7">
      <c r="A857" t="str">
        <f>IF('Product List'!B857="","",'Product List'!B857)</f>
        <v/>
      </c>
      <c r="B857" t="str">
        <f>IF('Product List'!C857="","",'Product List'!C857)</f>
        <v/>
      </c>
      <c r="C857" t="str">
        <f>IF(SUMIFS('Purchase Record'!G:G,'Purchase Record'!F:F,Sheet4!A857)=0,"",SUMIFS('Purchase Record'!G:G,'Purchase Record'!F:F,Sheet4!A857))</f>
        <v/>
      </c>
      <c r="D857" t="str">
        <f>IF(SUMIFS('Sales Record'!H:H,'Sales Record'!F:F,Sheet4!A857)=0,"",SUMIFS('Sales Record'!H:H,'Sales Record'!F:F,Sheet4!A857))</f>
        <v/>
      </c>
      <c r="E857" t="str">
        <f>IF(SUMIFS('Sales Return'!G:G,'Sales Return'!F:F,Sheet4!A857)=0,"",SUMIFS('Sales Return'!G:G,'Sales Return'!F:F,Sheet4!A857))</f>
        <v/>
      </c>
      <c r="F857" t="str">
        <f>IF(SUMIFS('Purchase Return'!G:G,'Purchase Return'!F:F,Sheet4!A857)=0,"",SUMIFS('Purchase Return'!G:G,'Purchase Return'!F:F,Sheet4!A857))</f>
        <v/>
      </c>
      <c r="G857" t="str">
        <f t="shared" si="13"/>
        <v/>
      </c>
    </row>
    <row r="858" spans="1:7">
      <c r="A858" t="str">
        <f>IF('Product List'!B858="","",'Product List'!B858)</f>
        <v/>
      </c>
      <c r="B858" t="str">
        <f>IF('Product List'!C858="","",'Product List'!C858)</f>
        <v/>
      </c>
      <c r="C858" t="str">
        <f>IF(SUMIFS('Purchase Record'!G:G,'Purchase Record'!F:F,Sheet4!A858)=0,"",SUMIFS('Purchase Record'!G:G,'Purchase Record'!F:F,Sheet4!A858))</f>
        <v/>
      </c>
      <c r="D858" t="str">
        <f>IF(SUMIFS('Sales Record'!H:H,'Sales Record'!F:F,Sheet4!A858)=0,"",SUMIFS('Sales Record'!H:H,'Sales Record'!F:F,Sheet4!A858))</f>
        <v/>
      </c>
      <c r="E858" t="str">
        <f>IF(SUMIFS('Sales Return'!G:G,'Sales Return'!F:F,Sheet4!A858)=0,"",SUMIFS('Sales Return'!G:G,'Sales Return'!F:F,Sheet4!A858))</f>
        <v/>
      </c>
      <c r="F858" t="str">
        <f>IF(SUMIFS('Purchase Return'!G:G,'Purchase Return'!F:F,Sheet4!A858)=0,"",SUMIFS('Purchase Return'!G:G,'Purchase Return'!F:F,Sheet4!A858))</f>
        <v/>
      </c>
      <c r="G858" t="str">
        <f t="shared" si="13"/>
        <v/>
      </c>
    </row>
    <row r="859" spans="1:7">
      <c r="A859" t="str">
        <f>IF('Product List'!B859="","",'Product List'!B859)</f>
        <v/>
      </c>
      <c r="B859" t="str">
        <f>IF('Product List'!C859="","",'Product List'!C859)</f>
        <v/>
      </c>
      <c r="C859" t="str">
        <f>IF(SUMIFS('Purchase Record'!G:G,'Purchase Record'!F:F,Sheet4!A859)=0,"",SUMIFS('Purchase Record'!G:G,'Purchase Record'!F:F,Sheet4!A859))</f>
        <v/>
      </c>
      <c r="D859" t="str">
        <f>IF(SUMIFS('Sales Record'!H:H,'Sales Record'!F:F,Sheet4!A859)=0,"",SUMIFS('Sales Record'!H:H,'Sales Record'!F:F,Sheet4!A859))</f>
        <v/>
      </c>
      <c r="E859" t="str">
        <f>IF(SUMIFS('Sales Return'!G:G,'Sales Return'!F:F,Sheet4!A859)=0,"",SUMIFS('Sales Return'!G:G,'Sales Return'!F:F,Sheet4!A859))</f>
        <v/>
      </c>
      <c r="F859" t="str">
        <f>IF(SUMIFS('Purchase Return'!G:G,'Purchase Return'!F:F,Sheet4!A859)=0,"",SUMIFS('Purchase Return'!G:G,'Purchase Return'!F:F,Sheet4!A859))</f>
        <v/>
      </c>
      <c r="G859" t="str">
        <f t="shared" si="13"/>
        <v/>
      </c>
    </row>
    <row r="860" spans="1:7">
      <c r="A860" t="str">
        <f>IF('Product List'!B860="","",'Product List'!B860)</f>
        <v/>
      </c>
      <c r="B860" t="str">
        <f>IF('Product List'!C860="","",'Product List'!C860)</f>
        <v/>
      </c>
      <c r="C860" t="str">
        <f>IF(SUMIFS('Purchase Record'!G:G,'Purchase Record'!F:F,Sheet4!A860)=0,"",SUMIFS('Purchase Record'!G:G,'Purchase Record'!F:F,Sheet4!A860))</f>
        <v/>
      </c>
      <c r="D860" t="str">
        <f>IF(SUMIFS('Sales Record'!H:H,'Sales Record'!F:F,Sheet4!A860)=0,"",SUMIFS('Sales Record'!H:H,'Sales Record'!F:F,Sheet4!A860))</f>
        <v/>
      </c>
      <c r="E860" t="str">
        <f>IF(SUMIFS('Sales Return'!G:G,'Sales Return'!F:F,Sheet4!A860)=0,"",SUMIFS('Sales Return'!G:G,'Sales Return'!F:F,Sheet4!A860))</f>
        <v/>
      </c>
      <c r="F860" t="str">
        <f>IF(SUMIFS('Purchase Return'!G:G,'Purchase Return'!F:F,Sheet4!A860)=0,"",SUMIFS('Purchase Return'!G:G,'Purchase Return'!F:F,Sheet4!A860))</f>
        <v/>
      </c>
      <c r="G860" t="str">
        <f t="shared" si="13"/>
        <v/>
      </c>
    </row>
    <row r="861" spans="1:7">
      <c r="A861" t="str">
        <f>IF('Product List'!B861="","",'Product List'!B861)</f>
        <v/>
      </c>
      <c r="B861" t="str">
        <f>IF('Product List'!C861="","",'Product List'!C861)</f>
        <v/>
      </c>
      <c r="C861" t="str">
        <f>IF(SUMIFS('Purchase Record'!G:G,'Purchase Record'!F:F,Sheet4!A861)=0,"",SUMIFS('Purchase Record'!G:G,'Purchase Record'!F:F,Sheet4!A861))</f>
        <v/>
      </c>
      <c r="D861" t="str">
        <f>IF(SUMIFS('Sales Record'!H:H,'Sales Record'!F:F,Sheet4!A861)=0,"",SUMIFS('Sales Record'!H:H,'Sales Record'!F:F,Sheet4!A861))</f>
        <v/>
      </c>
      <c r="E861" t="str">
        <f>IF(SUMIFS('Sales Return'!G:G,'Sales Return'!F:F,Sheet4!A861)=0,"",SUMIFS('Sales Return'!G:G,'Sales Return'!F:F,Sheet4!A861))</f>
        <v/>
      </c>
      <c r="F861" t="str">
        <f>IF(SUMIFS('Purchase Return'!G:G,'Purchase Return'!F:F,Sheet4!A861)=0,"",SUMIFS('Purchase Return'!G:G,'Purchase Return'!F:F,Sheet4!A861))</f>
        <v/>
      </c>
      <c r="G861" t="str">
        <f t="shared" si="13"/>
        <v/>
      </c>
    </row>
    <row r="862" spans="1:7">
      <c r="A862" t="str">
        <f>IF('Product List'!B862="","",'Product List'!B862)</f>
        <v/>
      </c>
      <c r="B862" t="str">
        <f>IF('Product List'!C862="","",'Product List'!C862)</f>
        <v/>
      </c>
      <c r="C862" t="str">
        <f>IF(SUMIFS('Purchase Record'!G:G,'Purchase Record'!F:F,Sheet4!A862)=0,"",SUMIFS('Purchase Record'!G:G,'Purchase Record'!F:F,Sheet4!A862))</f>
        <v/>
      </c>
      <c r="D862" t="str">
        <f>IF(SUMIFS('Sales Record'!H:H,'Sales Record'!F:F,Sheet4!A862)=0,"",SUMIFS('Sales Record'!H:H,'Sales Record'!F:F,Sheet4!A862))</f>
        <v/>
      </c>
      <c r="E862" t="str">
        <f>IF(SUMIFS('Sales Return'!G:G,'Sales Return'!F:F,Sheet4!A862)=0,"",SUMIFS('Sales Return'!G:G,'Sales Return'!F:F,Sheet4!A862))</f>
        <v/>
      </c>
      <c r="F862" t="str">
        <f>IF(SUMIFS('Purchase Return'!G:G,'Purchase Return'!F:F,Sheet4!A862)=0,"",SUMIFS('Purchase Return'!G:G,'Purchase Return'!F:F,Sheet4!A862))</f>
        <v/>
      </c>
      <c r="G862" t="str">
        <f t="shared" si="13"/>
        <v/>
      </c>
    </row>
    <row r="863" spans="1:7">
      <c r="A863" t="str">
        <f>IF('Product List'!B863="","",'Product List'!B863)</f>
        <v/>
      </c>
      <c r="B863" t="str">
        <f>IF('Product List'!C863="","",'Product List'!C863)</f>
        <v/>
      </c>
      <c r="C863" t="str">
        <f>IF(SUMIFS('Purchase Record'!G:G,'Purchase Record'!F:F,Sheet4!A863)=0,"",SUMIFS('Purchase Record'!G:G,'Purchase Record'!F:F,Sheet4!A863))</f>
        <v/>
      </c>
      <c r="D863" t="str">
        <f>IF(SUMIFS('Sales Record'!H:H,'Sales Record'!F:F,Sheet4!A863)=0,"",SUMIFS('Sales Record'!H:H,'Sales Record'!F:F,Sheet4!A863))</f>
        <v/>
      </c>
      <c r="E863" t="str">
        <f>IF(SUMIFS('Sales Return'!G:G,'Sales Return'!F:F,Sheet4!A863)=0,"",SUMIFS('Sales Return'!G:G,'Sales Return'!F:F,Sheet4!A863))</f>
        <v/>
      </c>
      <c r="F863" t="str">
        <f>IF(SUMIFS('Purchase Return'!G:G,'Purchase Return'!F:F,Sheet4!A863)=0,"",SUMIFS('Purchase Return'!G:G,'Purchase Return'!F:F,Sheet4!A863))</f>
        <v/>
      </c>
      <c r="G863" t="str">
        <f t="shared" si="13"/>
        <v/>
      </c>
    </row>
    <row r="864" spans="1:7">
      <c r="A864" t="str">
        <f>IF('Product List'!B864="","",'Product List'!B864)</f>
        <v/>
      </c>
      <c r="B864" t="str">
        <f>IF('Product List'!C864="","",'Product List'!C864)</f>
        <v/>
      </c>
      <c r="C864" t="str">
        <f>IF(SUMIFS('Purchase Record'!G:G,'Purchase Record'!F:F,Sheet4!A864)=0,"",SUMIFS('Purchase Record'!G:G,'Purchase Record'!F:F,Sheet4!A864))</f>
        <v/>
      </c>
      <c r="D864" t="str">
        <f>IF(SUMIFS('Sales Record'!H:H,'Sales Record'!F:F,Sheet4!A864)=0,"",SUMIFS('Sales Record'!H:H,'Sales Record'!F:F,Sheet4!A864))</f>
        <v/>
      </c>
      <c r="E864" t="str">
        <f>IF(SUMIFS('Sales Return'!G:G,'Sales Return'!F:F,Sheet4!A864)=0,"",SUMIFS('Sales Return'!G:G,'Sales Return'!F:F,Sheet4!A864))</f>
        <v/>
      </c>
      <c r="F864" t="str">
        <f>IF(SUMIFS('Purchase Return'!G:G,'Purchase Return'!F:F,Sheet4!A864)=0,"",SUMIFS('Purchase Return'!G:G,'Purchase Return'!F:F,Sheet4!A864))</f>
        <v/>
      </c>
      <c r="G864" t="str">
        <f t="shared" si="13"/>
        <v/>
      </c>
    </row>
    <row r="865" spans="1:7">
      <c r="A865" t="str">
        <f>IF('Product List'!B865="","",'Product List'!B865)</f>
        <v/>
      </c>
      <c r="B865" t="str">
        <f>IF('Product List'!C865="","",'Product List'!C865)</f>
        <v/>
      </c>
      <c r="C865" t="str">
        <f>IF(SUMIFS('Purchase Record'!G:G,'Purchase Record'!F:F,Sheet4!A865)=0,"",SUMIFS('Purchase Record'!G:G,'Purchase Record'!F:F,Sheet4!A865))</f>
        <v/>
      </c>
      <c r="D865" t="str">
        <f>IF(SUMIFS('Sales Record'!H:H,'Sales Record'!F:F,Sheet4!A865)=0,"",SUMIFS('Sales Record'!H:H,'Sales Record'!F:F,Sheet4!A865))</f>
        <v/>
      </c>
      <c r="E865" t="str">
        <f>IF(SUMIFS('Sales Return'!G:G,'Sales Return'!F:F,Sheet4!A865)=0,"",SUMIFS('Sales Return'!G:G,'Sales Return'!F:F,Sheet4!A865))</f>
        <v/>
      </c>
      <c r="F865" t="str">
        <f>IF(SUMIFS('Purchase Return'!G:G,'Purchase Return'!F:F,Sheet4!A865)=0,"",SUMIFS('Purchase Return'!G:G,'Purchase Return'!F:F,Sheet4!A865))</f>
        <v/>
      </c>
      <c r="G865" t="str">
        <f t="shared" si="13"/>
        <v/>
      </c>
    </row>
    <row r="866" spans="1:7">
      <c r="A866" t="str">
        <f>IF('Product List'!B866="","",'Product List'!B866)</f>
        <v/>
      </c>
      <c r="B866" t="str">
        <f>IF('Product List'!C866="","",'Product List'!C866)</f>
        <v/>
      </c>
      <c r="C866" t="str">
        <f>IF(SUMIFS('Purchase Record'!G:G,'Purchase Record'!F:F,Sheet4!A866)=0,"",SUMIFS('Purchase Record'!G:G,'Purchase Record'!F:F,Sheet4!A866))</f>
        <v/>
      </c>
      <c r="D866" t="str">
        <f>IF(SUMIFS('Sales Record'!H:H,'Sales Record'!F:F,Sheet4!A866)=0,"",SUMIFS('Sales Record'!H:H,'Sales Record'!F:F,Sheet4!A866))</f>
        <v/>
      </c>
      <c r="E866" t="str">
        <f>IF(SUMIFS('Sales Return'!G:G,'Sales Return'!F:F,Sheet4!A866)=0,"",SUMIFS('Sales Return'!G:G,'Sales Return'!F:F,Sheet4!A866))</f>
        <v/>
      </c>
      <c r="F866" t="str">
        <f>IF(SUMIFS('Purchase Return'!G:G,'Purchase Return'!F:F,Sheet4!A866)=0,"",SUMIFS('Purchase Return'!G:G,'Purchase Return'!F:F,Sheet4!A866))</f>
        <v/>
      </c>
      <c r="G866" t="str">
        <f t="shared" si="13"/>
        <v/>
      </c>
    </row>
    <row r="867" spans="1:7">
      <c r="A867" t="str">
        <f>IF('Product List'!B867="","",'Product List'!B867)</f>
        <v/>
      </c>
      <c r="B867" t="str">
        <f>IF('Product List'!C867="","",'Product List'!C867)</f>
        <v/>
      </c>
      <c r="C867" t="str">
        <f>IF(SUMIFS('Purchase Record'!G:G,'Purchase Record'!F:F,Sheet4!A867)=0,"",SUMIFS('Purchase Record'!G:G,'Purchase Record'!F:F,Sheet4!A867))</f>
        <v/>
      </c>
      <c r="D867" t="str">
        <f>IF(SUMIFS('Sales Record'!H:H,'Sales Record'!F:F,Sheet4!A867)=0,"",SUMIFS('Sales Record'!H:H,'Sales Record'!F:F,Sheet4!A867))</f>
        <v/>
      </c>
      <c r="E867" t="str">
        <f>IF(SUMIFS('Sales Return'!G:G,'Sales Return'!F:F,Sheet4!A867)=0,"",SUMIFS('Sales Return'!G:G,'Sales Return'!F:F,Sheet4!A867))</f>
        <v/>
      </c>
      <c r="F867" t="str">
        <f>IF(SUMIFS('Purchase Return'!G:G,'Purchase Return'!F:F,Sheet4!A867)=0,"",SUMIFS('Purchase Return'!G:G,'Purchase Return'!F:F,Sheet4!A867))</f>
        <v/>
      </c>
      <c r="G867" t="str">
        <f t="shared" si="13"/>
        <v/>
      </c>
    </row>
    <row r="868" spans="1:7">
      <c r="A868" t="str">
        <f>IF('Product List'!B868="","",'Product List'!B868)</f>
        <v/>
      </c>
      <c r="B868" t="str">
        <f>IF('Product List'!C868="","",'Product List'!C868)</f>
        <v/>
      </c>
      <c r="C868" t="str">
        <f>IF(SUMIFS('Purchase Record'!G:G,'Purchase Record'!F:F,Sheet4!A868)=0,"",SUMIFS('Purchase Record'!G:G,'Purchase Record'!F:F,Sheet4!A868))</f>
        <v/>
      </c>
      <c r="D868" t="str">
        <f>IF(SUMIFS('Sales Record'!H:H,'Sales Record'!F:F,Sheet4!A868)=0,"",SUMIFS('Sales Record'!H:H,'Sales Record'!F:F,Sheet4!A868))</f>
        <v/>
      </c>
      <c r="E868" t="str">
        <f>IF(SUMIFS('Sales Return'!G:G,'Sales Return'!F:F,Sheet4!A868)=0,"",SUMIFS('Sales Return'!G:G,'Sales Return'!F:F,Sheet4!A868))</f>
        <v/>
      </c>
      <c r="F868" t="str">
        <f>IF(SUMIFS('Purchase Return'!G:G,'Purchase Return'!F:F,Sheet4!A868)=0,"",SUMIFS('Purchase Return'!G:G,'Purchase Return'!F:F,Sheet4!A868))</f>
        <v/>
      </c>
      <c r="G868" t="str">
        <f t="shared" si="13"/>
        <v/>
      </c>
    </row>
    <row r="869" spans="1:7">
      <c r="A869" t="str">
        <f>IF('Product List'!B869="","",'Product List'!B869)</f>
        <v/>
      </c>
      <c r="B869" t="str">
        <f>IF('Product List'!C869="","",'Product List'!C869)</f>
        <v/>
      </c>
      <c r="C869" t="str">
        <f>IF(SUMIFS('Purchase Record'!G:G,'Purchase Record'!F:F,Sheet4!A869)=0,"",SUMIFS('Purchase Record'!G:G,'Purchase Record'!F:F,Sheet4!A869))</f>
        <v/>
      </c>
      <c r="D869" t="str">
        <f>IF(SUMIFS('Sales Record'!H:H,'Sales Record'!F:F,Sheet4!A869)=0,"",SUMIFS('Sales Record'!H:H,'Sales Record'!F:F,Sheet4!A869))</f>
        <v/>
      </c>
      <c r="E869" t="str">
        <f>IF(SUMIFS('Sales Return'!G:G,'Sales Return'!F:F,Sheet4!A869)=0,"",SUMIFS('Sales Return'!G:G,'Sales Return'!F:F,Sheet4!A869))</f>
        <v/>
      </c>
      <c r="F869" t="str">
        <f>IF(SUMIFS('Purchase Return'!G:G,'Purchase Return'!F:F,Sheet4!A869)=0,"",SUMIFS('Purchase Return'!G:G,'Purchase Return'!F:F,Sheet4!A869))</f>
        <v/>
      </c>
      <c r="G869" t="str">
        <f t="shared" si="13"/>
        <v/>
      </c>
    </row>
    <row r="870" spans="1:7">
      <c r="A870" t="str">
        <f>IF('Product List'!B870="","",'Product List'!B870)</f>
        <v/>
      </c>
      <c r="B870" t="str">
        <f>IF('Product List'!C870="","",'Product List'!C870)</f>
        <v/>
      </c>
      <c r="C870" t="str">
        <f>IF(SUMIFS('Purchase Record'!G:G,'Purchase Record'!F:F,Sheet4!A870)=0,"",SUMIFS('Purchase Record'!G:G,'Purchase Record'!F:F,Sheet4!A870))</f>
        <v/>
      </c>
      <c r="D870" t="str">
        <f>IF(SUMIFS('Sales Record'!H:H,'Sales Record'!F:F,Sheet4!A870)=0,"",SUMIFS('Sales Record'!H:H,'Sales Record'!F:F,Sheet4!A870))</f>
        <v/>
      </c>
      <c r="E870" t="str">
        <f>IF(SUMIFS('Sales Return'!G:G,'Sales Return'!F:F,Sheet4!A870)=0,"",SUMIFS('Sales Return'!G:G,'Sales Return'!F:F,Sheet4!A870))</f>
        <v/>
      </c>
      <c r="F870" t="str">
        <f>IF(SUMIFS('Purchase Return'!G:G,'Purchase Return'!F:F,Sheet4!A870)=0,"",SUMIFS('Purchase Return'!G:G,'Purchase Return'!F:F,Sheet4!A870))</f>
        <v/>
      </c>
      <c r="G870" t="str">
        <f t="shared" si="13"/>
        <v/>
      </c>
    </row>
    <row r="871" spans="1:7">
      <c r="A871" t="str">
        <f>IF('Product List'!B871="","",'Product List'!B871)</f>
        <v/>
      </c>
      <c r="B871" t="str">
        <f>IF('Product List'!C871="","",'Product List'!C871)</f>
        <v/>
      </c>
      <c r="C871" t="str">
        <f>IF(SUMIFS('Purchase Record'!G:G,'Purchase Record'!F:F,Sheet4!A871)=0,"",SUMIFS('Purchase Record'!G:G,'Purchase Record'!F:F,Sheet4!A871))</f>
        <v/>
      </c>
      <c r="D871" t="str">
        <f>IF(SUMIFS('Sales Record'!H:H,'Sales Record'!F:F,Sheet4!A871)=0,"",SUMIFS('Sales Record'!H:H,'Sales Record'!F:F,Sheet4!A871))</f>
        <v/>
      </c>
      <c r="E871" t="str">
        <f>IF(SUMIFS('Sales Return'!G:G,'Sales Return'!F:F,Sheet4!A871)=0,"",SUMIFS('Sales Return'!G:G,'Sales Return'!F:F,Sheet4!A871))</f>
        <v/>
      </c>
      <c r="F871" t="str">
        <f>IF(SUMIFS('Purchase Return'!G:G,'Purchase Return'!F:F,Sheet4!A871)=0,"",SUMIFS('Purchase Return'!G:G,'Purchase Return'!F:F,Sheet4!A871))</f>
        <v/>
      </c>
      <c r="G871" t="str">
        <f t="shared" si="13"/>
        <v/>
      </c>
    </row>
    <row r="872" spans="1:7">
      <c r="A872" t="str">
        <f>IF('Product List'!B872="","",'Product List'!B872)</f>
        <v/>
      </c>
      <c r="B872" t="str">
        <f>IF('Product List'!C872="","",'Product List'!C872)</f>
        <v/>
      </c>
      <c r="C872" t="str">
        <f>IF(SUMIFS('Purchase Record'!G:G,'Purchase Record'!F:F,Sheet4!A872)=0,"",SUMIFS('Purchase Record'!G:G,'Purchase Record'!F:F,Sheet4!A872))</f>
        <v/>
      </c>
      <c r="D872" t="str">
        <f>IF(SUMIFS('Sales Record'!H:H,'Sales Record'!F:F,Sheet4!A872)=0,"",SUMIFS('Sales Record'!H:H,'Sales Record'!F:F,Sheet4!A872))</f>
        <v/>
      </c>
      <c r="E872" t="str">
        <f>IF(SUMIFS('Sales Return'!G:G,'Sales Return'!F:F,Sheet4!A872)=0,"",SUMIFS('Sales Return'!G:G,'Sales Return'!F:F,Sheet4!A872))</f>
        <v/>
      </c>
      <c r="F872" t="str">
        <f>IF(SUMIFS('Purchase Return'!G:G,'Purchase Return'!F:F,Sheet4!A872)=0,"",SUMIFS('Purchase Return'!G:G,'Purchase Return'!F:F,Sheet4!A872))</f>
        <v/>
      </c>
      <c r="G872" t="str">
        <f t="shared" si="13"/>
        <v/>
      </c>
    </row>
    <row r="873" spans="1:7">
      <c r="A873" t="str">
        <f>IF('Product List'!B873="","",'Product List'!B873)</f>
        <v/>
      </c>
      <c r="B873" t="str">
        <f>IF('Product List'!C873="","",'Product List'!C873)</f>
        <v/>
      </c>
      <c r="C873" t="str">
        <f>IF(SUMIFS('Purchase Record'!G:G,'Purchase Record'!F:F,Sheet4!A873)=0,"",SUMIFS('Purchase Record'!G:G,'Purchase Record'!F:F,Sheet4!A873))</f>
        <v/>
      </c>
      <c r="D873" t="str">
        <f>IF(SUMIFS('Sales Record'!H:H,'Sales Record'!F:F,Sheet4!A873)=0,"",SUMIFS('Sales Record'!H:H,'Sales Record'!F:F,Sheet4!A873))</f>
        <v/>
      </c>
      <c r="E873" t="str">
        <f>IF(SUMIFS('Sales Return'!G:G,'Sales Return'!F:F,Sheet4!A873)=0,"",SUMIFS('Sales Return'!G:G,'Sales Return'!F:F,Sheet4!A873))</f>
        <v/>
      </c>
      <c r="F873" t="str">
        <f>IF(SUMIFS('Purchase Return'!G:G,'Purchase Return'!F:F,Sheet4!A873)=0,"",SUMIFS('Purchase Return'!G:G,'Purchase Return'!F:F,Sheet4!A873))</f>
        <v/>
      </c>
      <c r="G873" t="str">
        <f t="shared" si="13"/>
        <v/>
      </c>
    </row>
    <row r="874" spans="1:7">
      <c r="A874" t="str">
        <f>IF('Product List'!B874="","",'Product List'!B874)</f>
        <v/>
      </c>
      <c r="B874" t="str">
        <f>IF('Product List'!C874="","",'Product List'!C874)</f>
        <v/>
      </c>
      <c r="C874" t="str">
        <f>IF(SUMIFS('Purchase Record'!G:G,'Purchase Record'!F:F,Sheet4!A874)=0,"",SUMIFS('Purchase Record'!G:G,'Purchase Record'!F:F,Sheet4!A874))</f>
        <v/>
      </c>
      <c r="D874" t="str">
        <f>IF(SUMIFS('Sales Record'!H:H,'Sales Record'!F:F,Sheet4!A874)=0,"",SUMIFS('Sales Record'!H:H,'Sales Record'!F:F,Sheet4!A874))</f>
        <v/>
      </c>
      <c r="E874" t="str">
        <f>IF(SUMIFS('Sales Return'!G:G,'Sales Return'!F:F,Sheet4!A874)=0,"",SUMIFS('Sales Return'!G:G,'Sales Return'!F:F,Sheet4!A874))</f>
        <v/>
      </c>
      <c r="F874" t="str">
        <f>IF(SUMIFS('Purchase Return'!G:G,'Purchase Return'!F:F,Sheet4!A874)=0,"",SUMIFS('Purchase Return'!G:G,'Purchase Return'!F:F,Sheet4!A874))</f>
        <v/>
      </c>
      <c r="G874" t="str">
        <f t="shared" si="13"/>
        <v/>
      </c>
    </row>
    <row r="875" spans="1:7">
      <c r="A875" t="str">
        <f>IF('Product List'!B875="","",'Product List'!B875)</f>
        <v/>
      </c>
      <c r="B875" t="str">
        <f>IF('Product List'!C875="","",'Product List'!C875)</f>
        <v/>
      </c>
      <c r="C875" t="str">
        <f>IF(SUMIFS('Purchase Record'!G:G,'Purchase Record'!F:F,Sheet4!A875)=0,"",SUMIFS('Purchase Record'!G:G,'Purchase Record'!F:F,Sheet4!A875))</f>
        <v/>
      </c>
      <c r="D875" t="str">
        <f>IF(SUMIFS('Sales Record'!H:H,'Sales Record'!F:F,Sheet4!A875)=0,"",SUMIFS('Sales Record'!H:H,'Sales Record'!F:F,Sheet4!A875))</f>
        <v/>
      </c>
      <c r="E875" t="str">
        <f>IF(SUMIFS('Sales Return'!G:G,'Sales Return'!F:F,Sheet4!A875)=0,"",SUMIFS('Sales Return'!G:G,'Sales Return'!F:F,Sheet4!A875))</f>
        <v/>
      </c>
      <c r="F875" t="str">
        <f>IF(SUMIFS('Purchase Return'!G:G,'Purchase Return'!F:F,Sheet4!A875)=0,"",SUMIFS('Purchase Return'!G:G,'Purchase Return'!F:F,Sheet4!A875))</f>
        <v/>
      </c>
      <c r="G875" t="str">
        <f t="shared" si="13"/>
        <v/>
      </c>
    </row>
    <row r="876" spans="1:7">
      <c r="A876" t="str">
        <f>IF('Product List'!B876="","",'Product List'!B876)</f>
        <v/>
      </c>
      <c r="B876" t="str">
        <f>IF('Product List'!C876="","",'Product List'!C876)</f>
        <v/>
      </c>
      <c r="C876" t="str">
        <f>IF(SUMIFS('Purchase Record'!G:G,'Purchase Record'!F:F,Sheet4!A876)=0,"",SUMIFS('Purchase Record'!G:G,'Purchase Record'!F:F,Sheet4!A876))</f>
        <v/>
      </c>
      <c r="D876" t="str">
        <f>IF(SUMIFS('Sales Record'!H:H,'Sales Record'!F:F,Sheet4!A876)=0,"",SUMIFS('Sales Record'!H:H,'Sales Record'!F:F,Sheet4!A876))</f>
        <v/>
      </c>
      <c r="E876" t="str">
        <f>IF(SUMIFS('Sales Return'!G:G,'Sales Return'!F:F,Sheet4!A876)=0,"",SUMIFS('Sales Return'!G:G,'Sales Return'!F:F,Sheet4!A876))</f>
        <v/>
      </c>
      <c r="F876" t="str">
        <f>IF(SUMIFS('Purchase Return'!G:G,'Purchase Return'!F:F,Sheet4!A876)=0,"",SUMIFS('Purchase Return'!G:G,'Purchase Return'!F:F,Sheet4!A876))</f>
        <v/>
      </c>
      <c r="G876" t="str">
        <f t="shared" si="13"/>
        <v/>
      </c>
    </row>
    <row r="877" spans="1:7">
      <c r="A877" t="str">
        <f>IF('Product List'!B877="","",'Product List'!B877)</f>
        <v/>
      </c>
      <c r="B877" t="str">
        <f>IF('Product List'!C877="","",'Product List'!C877)</f>
        <v/>
      </c>
      <c r="C877" t="str">
        <f>IF(SUMIFS('Purchase Record'!G:G,'Purchase Record'!F:F,Sheet4!A877)=0,"",SUMIFS('Purchase Record'!G:G,'Purchase Record'!F:F,Sheet4!A877))</f>
        <v/>
      </c>
      <c r="D877" t="str">
        <f>IF(SUMIFS('Sales Record'!H:H,'Sales Record'!F:F,Sheet4!A877)=0,"",SUMIFS('Sales Record'!H:H,'Sales Record'!F:F,Sheet4!A877))</f>
        <v/>
      </c>
      <c r="E877" t="str">
        <f>IF(SUMIFS('Sales Return'!G:G,'Sales Return'!F:F,Sheet4!A877)=0,"",SUMIFS('Sales Return'!G:G,'Sales Return'!F:F,Sheet4!A877))</f>
        <v/>
      </c>
      <c r="F877" t="str">
        <f>IF(SUMIFS('Purchase Return'!G:G,'Purchase Return'!F:F,Sheet4!A877)=0,"",SUMIFS('Purchase Return'!G:G,'Purchase Return'!F:F,Sheet4!A877))</f>
        <v/>
      </c>
      <c r="G877" t="str">
        <f t="shared" si="13"/>
        <v/>
      </c>
    </row>
    <row r="878" spans="1:7">
      <c r="A878" t="str">
        <f>IF('Product List'!B878="","",'Product List'!B878)</f>
        <v/>
      </c>
      <c r="B878" t="str">
        <f>IF('Product List'!C878="","",'Product List'!C878)</f>
        <v/>
      </c>
      <c r="C878" t="str">
        <f>IF(SUMIFS('Purchase Record'!G:G,'Purchase Record'!F:F,Sheet4!A878)=0,"",SUMIFS('Purchase Record'!G:G,'Purchase Record'!F:F,Sheet4!A878))</f>
        <v/>
      </c>
      <c r="D878" t="str">
        <f>IF(SUMIFS('Sales Record'!H:H,'Sales Record'!F:F,Sheet4!A878)=0,"",SUMIFS('Sales Record'!H:H,'Sales Record'!F:F,Sheet4!A878))</f>
        <v/>
      </c>
      <c r="E878" t="str">
        <f>IF(SUMIFS('Sales Return'!G:G,'Sales Return'!F:F,Sheet4!A878)=0,"",SUMIFS('Sales Return'!G:G,'Sales Return'!F:F,Sheet4!A878))</f>
        <v/>
      </c>
      <c r="F878" t="str">
        <f>IF(SUMIFS('Purchase Return'!G:G,'Purchase Return'!F:F,Sheet4!A878)=0,"",SUMIFS('Purchase Return'!G:G,'Purchase Return'!F:F,Sheet4!A878))</f>
        <v/>
      </c>
      <c r="G878" t="str">
        <f t="shared" si="13"/>
        <v/>
      </c>
    </row>
    <row r="879" spans="1:7">
      <c r="A879" t="str">
        <f>IF('Product List'!B879="","",'Product List'!B879)</f>
        <v/>
      </c>
      <c r="B879" t="str">
        <f>IF('Product List'!C879="","",'Product List'!C879)</f>
        <v/>
      </c>
      <c r="C879" t="str">
        <f>IF(SUMIFS('Purchase Record'!G:G,'Purchase Record'!F:F,Sheet4!A879)=0,"",SUMIFS('Purchase Record'!G:G,'Purchase Record'!F:F,Sheet4!A879))</f>
        <v/>
      </c>
      <c r="D879" t="str">
        <f>IF(SUMIFS('Sales Record'!H:H,'Sales Record'!F:F,Sheet4!A879)=0,"",SUMIFS('Sales Record'!H:H,'Sales Record'!F:F,Sheet4!A879))</f>
        <v/>
      </c>
      <c r="E879" t="str">
        <f>IF(SUMIFS('Sales Return'!G:G,'Sales Return'!F:F,Sheet4!A879)=0,"",SUMIFS('Sales Return'!G:G,'Sales Return'!F:F,Sheet4!A879))</f>
        <v/>
      </c>
      <c r="F879" t="str">
        <f>IF(SUMIFS('Purchase Return'!G:G,'Purchase Return'!F:F,Sheet4!A879)=0,"",SUMIFS('Purchase Return'!G:G,'Purchase Return'!F:F,Sheet4!A879))</f>
        <v/>
      </c>
      <c r="G879" t="str">
        <f t="shared" si="13"/>
        <v/>
      </c>
    </row>
    <row r="880" spans="1:7">
      <c r="A880" t="str">
        <f>IF('Product List'!B880="","",'Product List'!B880)</f>
        <v/>
      </c>
      <c r="B880" t="str">
        <f>IF('Product List'!C880="","",'Product List'!C880)</f>
        <v/>
      </c>
      <c r="C880" t="str">
        <f>IF(SUMIFS('Purchase Record'!G:G,'Purchase Record'!F:F,Sheet4!A880)=0,"",SUMIFS('Purchase Record'!G:G,'Purchase Record'!F:F,Sheet4!A880))</f>
        <v/>
      </c>
      <c r="D880" t="str">
        <f>IF(SUMIFS('Sales Record'!H:H,'Sales Record'!F:F,Sheet4!A880)=0,"",SUMIFS('Sales Record'!H:H,'Sales Record'!F:F,Sheet4!A880))</f>
        <v/>
      </c>
      <c r="E880" t="str">
        <f>IF(SUMIFS('Sales Return'!G:G,'Sales Return'!F:F,Sheet4!A880)=0,"",SUMIFS('Sales Return'!G:G,'Sales Return'!F:F,Sheet4!A880))</f>
        <v/>
      </c>
      <c r="F880" t="str">
        <f>IF(SUMIFS('Purchase Return'!G:G,'Purchase Return'!F:F,Sheet4!A880)=0,"",SUMIFS('Purchase Return'!G:G,'Purchase Return'!F:F,Sheet4!A880))</f>
        <v/>
      </c>
      <c r="G880" t="str">
        <f t="shared" si="13"/>
        <v/>
      </c>
    </row>
    <row r="881" spans="1:7">
      <c r="A881" t="str">
        <f>IF('Product List'!B881="","",'Product List'!B881)</f>
        <v/>
      </c>
      <c r="B881" t="str">
        <f>IF('Product List'!C881="","",'Product List'!C881)</f>
        <v/>
      </c>
      <c r="C881" t="str">
        <f>IF(SUMIFS('Purchase Record'!G:G,'Purchase Record'!F:F,Sheet4!A881)=0,"",SUMIFS('Purchase Record'!G:G,'Purchase Record'!F:F,Sheet4!A881))</f>
        <v/>
      </c>
      <c r="D881" t="str">
        <f>IF(SUMIFS('Sales Record'!H:H,'Sales Record'!F:F,Sheet4!A881)=0,"",SUMIFS('Sales Record'!H:H,'Sales Record'!F:F,Sheet4!A881))</f>
        <v/>
      </c>
      <c r="E881" t="str">
        <f>IF(SUMIFS('Sales Return'!G:G,'Sales Return'!F:F,Sheet4!A881)=0,"",SUMIFS('Sales Return'!G:G,'Sales Return'!F:F,Sheet4!A881))</f>
        <v/>
      </c>
      <c r="F881" t="str">
        <f>IF(SUMIFS('Purchase Return'!G:G,'Purchase Return'!F:F,Sheet4!A881)=0,"",SUMIFS('Purchase Return'!G:G,'Purchase Return'!F:F,Sheet4!A881))</f>
        <v/>
      </c>
      <c r="G881" t="str">
        <f t="shared" si="13"/>
        <v/>
      </c>
    </row>
    <row r="882" spans="1:7">
      <c r="A882" t="str">
        <f>IF('Product List'!B882="","",'Product List'!B882)</f>
        <v/>
      </c>
      <c r="B882" t="str">
        <f>IF('Product List'!C882="","",'Product List'!C882)</f>
        <v/>
      </c>
      <c r="C882" t="str">
        <f>IF(SUMIFS('Purchase Record'!G:G,'Purchase Record'!F:F,Sheet4!A882)=0,"",SUMIFS('Purchase Record'!G:G,'Purchase Record'!F:F,Sheet4!A882))</f>
        <v/>
      </c>
      <c r="D882" t="str">
        <f>IF(SUMIFS('Sales Record'!H:H,'Sales Record'!F:F,Sheet4!A882)=0,"",SUMIFS('Sales Record'!H:H,'Sales Record'!F:F,Sheet4!A882))</f>
        <v/>
      </c>
      <c r="E882" t="str">
        <f>IF(SUMIFS('Sales Return'!G:G,'Sales Return'!F:F,Sheet4!A882)=0,"",SUMIFS('Sales Return'!G:G,'Sales Return'!F:F,Sheet4!A882))</f>
        <v/>
      </c>
      <c r="F882" t="str">
        <f>IF(SUMIFS('Purchase Return'!G:G,'Purchase Return'!F:F,Sheet4!A882)=0,"",SUMIFS('Purchase Return'!G:G,'Purchase Return'!F:F,Sheet4!A882))</f>
        <v/>
      </c>
      <c r="G882" t="str">
        <f t="shared" si="13"/>
        <v/>
      </c>
    </row>
    <row r="883" spans="1:7">
      <c r="A883" t="str">
        <f>IF('Product List'!B883="","",'Product List'!B883)</f>
        <v/>
      </c>
      <c r="B883" t="str">
        <f>IF('Product List'!C883="","",'Product List'!C883)</f>
        <v/>
      </c>
      <c r="C883" t="str">
        <f>IF(SUMIFS('Purchase Record'!G:G,'Purchase Record'!F:F,Sheet4!A883)=0,"",SUMIFS('Purchase Record'!G:G,'Purchase Record'!F:F,Sheet4!A883))</f>
        <v/>
      </c>
      <c r="D883" t="str">
        <f>IF(SUMIFS('Sales Record'!H:H,'Sales Record'!F:F,Sheet4!A883)=0,"",SUMIFS('Sales Record'!H:H,'Sales Record'!F:F,Sheet4!A883))</f>
        <v/>
      </c>
      <c r="E883" t="str">
        <f>IF(SUMIFS('Sales Return'!G:G,'Sales Return'!F:F,Sheet4!A883)=0,"",SUMIFS('Sales Return'!G:G,'Sales Return'!F:F,Sheet4!A883))</f>
        <v/>
      </c>
      <c r="F883" t="str">
        <f>IF(SUMIFS('Purchase Return'!G:G,'Purchase Return'!F:F,Sheet4!A883)=0,"",SUMIFS('Purchase Return'!G:G,'Purchase Return'!F:F,Sheet4!A883))</f>
        <v/>
      </c>
      <c r="G883" t="str">
        <f t="shared" si="13"/>
        <v/>
      </c>
    </row>
    <row r="884" spans="1:7">
      <c r="A884" t="str">
        <f>IF('Product List'!B884="","",'Product List'!B884)</f>
        <v/>
      </c>
      <c r="B884" t="str">
        <f>IF('Product List'!C884="","",'Product List'!C884)</f>
        <v/>
      </c>
      <c r="C884" t="str">
        <f>IF(SUMIFS('Purchase Record'!G:G,'Purchase Record'!F:F,Sheet4!A884)=0,"",SUMIFS('Purchase Record'!G:G,'Purchase Record'!F:F,Sheet4!A884))</f>
        <v/>
      </c>
      <c r="D884" t="str">
        <f>IF(SUMIFS('Sales Record'!H:H,'Sales Record'!F:F,Sheet4!A884)=0,"",SUMIFS('Sales Record'!H:H,'Sales Record'!F:F,Sheet4!A884))</f>
        <v/>
      </c>
      <c r="E884" t="str">
        <f>IF(SUMIFS('Sales Return'!G:G,'Sales Return'!F:F,Sheet4!A884)=0,"",SUMIFS('Sales Return'!G:G,'Sales Return'!F:F,Sheet4!A884))</f>
        <v/>
      </c>
      <c r="F884" t="str">
        <f>IF(SUMIFS('Purchase Return'!G:G,'Purchase Return'!F:F,Sheet4!A884)=0,"",SUMIFS('Purchase Return'!G:G,'Purchase Return'!F:F,Sheet4!A884))</f>
        <v/>
      </c>
      <c r="G884" t="str">
        <f t="shared" si="13"/>
        <v/>
      </c>
    </row>
    <row r="885" spans="1:7">
      <c r="A885" t="str">
        <f>IF('Product List'!B885="","",'Product List'!B885)</f>
        <v/>
      </c>
      <c r="B885" t="str">
        <f>IF('Product List'!C885="","",'Product List'!C885)</f>
        <v/>
      </c>
      <c r="C885" t="str">
        <f>IF(SUMIFS('Purchase Record'!G:G,'Purchase Record'!F:F,Sheet4!A885)=0,"",SUMIFS('Purchase Record'!G:G,'Purchase Record'!F:F,Sheet4!A885))</f>
        <v/>
      </c>
      <c r="D885" t="str">
        <f>IF(SUMIFS('Sales Record'!H:H,'Sales Record'!F:F,Sheet4!A885)=0,"",SUMIFS('Sales Record'!H:H,'Sales Record'!F:F,Sheet4!A885))</f>
        <v/>
      </c>
      <c r="E885" t="str">
        <f>IF(SUMIFS('Sales Return'!G:G,'Sales Return'!F:F,Sheet4!A885)=0,"",SUMIFS('Sales Return'!G:G,'Sales Return'!F:F,Sheet4!A885))</f>
        <v/>
      </c>
      <c r="F885" t="str">
        <f>IF(SUMIFS('Purchase Return'!G:G,'Purchase Return'!F:F,Sheet4!A885)=0,"",SUMIFS('Purchase Return'!G:G,'Purchase Return'!F:F,Sheet4!A885))</f>
        <v/>
      </c>
      <c r="G885" t="str">
        <f t="shared" si="13"/>
        <v/>
      </c>
    </row>
    <row r="886" spans="1:7">
      <c r="A886" t="str">
        <f>IF('Product List'!B886="","",'Product List'!B886)</f>
        <v/>
      </c>
      <c r="B886" t="str">
        <f>IF('Product List'!C886="","",'Product List'!C886)</f>
        <v/>
      </c>
      <c r="C886" t="str">
        <f>IF(SUMIFS('Purchase Record'!G:G,'Purchase Record'!F:F,Sheet4!A886)=0,"",SUMIFS('Purchase Record'!G:G,'Purchase Record'!F:F,Sheet4!A886))</f>
        <v/>
      </c>
      <c r="D886" t="str">
        <f>IF(SUMIFS('Sales Record'!H:H,'Sales Record'!F:F,Sheet4!A886)=0,"",SUMIFS('Sales Record'!H:H,'Sales Record'!F:F,Sheet4!A886))</f>
        <v/>
      </c>
      <c r="E886" t="str">
        <f>IF(SUMIFS('Sales Return'!G:G,'Sales Return'!F:F,Sheet4!A886)=0,"",SUMIFS('Sales Return'!G:G,'Sales Return'!F:F,Sheet4!A886))</f>
        <v/>
      </c>
      <c r="F886" t="str">
        <f>IF(SUMIFS('Purchase Return'!G:G,'Purchase Return'!F:F,Sheet4!A886)=0,"",SUMIFS('Purchase Return'!G:G,'Purchase Return'!F:F,Sheet4!A886))</f>
        <v/>
      </c>
      <c r="G886" t="str">
        <f t="shared" si="13"/>
        <v/>
      </c>
    </row>
    <row r="887" spans="1:7">
      <c r="A887" t="str">
        <f>IF('Product List'!B887="","",'Product List'!B887)</f>
        <v/>
      </c>
      <c r="B887" t="str">
        <f>IF('Product List'!C887="","",'Product List'!C887)</f>
        <v/>
      </c>
      <c r="C887" t="str">
        <f>IF(SUMIFS('Purchase Record'!G:G,'Purchase Record'!F:F,Sheet4!A887)=0,"",SUMIFS('Purchase Record'!G:G,'Purchase Record'!F:F,Sheet4!A887))</f>
        <v/>
      </c>
      <c r="D887" t="str">
        <f>IF(SUMIFS('Sales Record'!H:H,'Sales Record'!F:F,Sheet4!A887)=0,"",SUMIFS('Sales Record'!H:H,'Sales Record'!F:F,Sheet4!A887))</f>
        <v/>
      </c>
      <c r="E887" t="str">
        <f>IF(SUMIFS('Sales Return'!G:G,'Sales Return'!F:F,Sheet4!A887)=0,"",SUMIFS('Sales Return'!G:G,'Sales Return'!F:F,Sheet4!A887))</f>
        <v/>
      </c>
      <c r="F887" t="str">
        <f>IF(SUMIFS('Purchase Return'!G:G,'Purchase Return'!F:F,Sheet4!A887)=0,"",SUMIFS('Purchase Return'!G:G,'Purchase Return'!F:F,Sheet4!A887))</f>
        <v/>
      </c>
      <c r="G887" t="str">
        <f t="shared" si="13"/>
        <v/>
      </c>
    </row>
    <row r="888" spans="1:7">
      <c r="A888" t="str">
        <f>IF('Product List'!B888="","",'Product List'!B888)</f>
        <v/>
      </c>
      <c r="B888" t="str">
        <f>IF('Product List'!C888="","",'Product List'!C888)</f>
        <v/>
      </c>
      <c r="C888" t="str">
        <f>IF(SUMIFS('Purchase Record'!G:G,'Purchase Record'!F:F,Sheet4!A888)=0,"",SUMIFS('Purchase Record'!G:G,'Purchase Record'!F:F,Sheet4!A888))</f>
        <v/>
      </c>
      <c r="D888" t="str">
        <f>IF(SUMIFS('Sales Record'!H:H,'Sales Record'!F:F,Sheet4!A888)=0,"",SUMIFS('Sales Record'!H:H,'Sales Record'!F:F,Sheet4!A888))</f>
        <v/>
      </c>
      <c r="E888" t="str">
        <f>IF(SUMIFS('Sales Return'!G:G,'Sales Return'!F:F,Sheet4!A888)=0,"",SUMIFS('Sales Return'!G:G,'Sales Return'!F:F,Sheet4!A888))</f>
        <v/>
      </c>
      <c r="F888" t="str">
        <f>IF(SUMIFS('Purchase Return'!G:G,'Purchase Return'!F:F,Sheet4!A888)=0,"",SUMIFS('Purchase Return'!G:G,'Purchase Return'!F:F,Sheet4!A888))</f>
        <v/>
      </c>
      <c r="G888" t="str">
        <f t="shared" si="13"/>
        <v/>
      </c>
    </row>
    <row r="889" spans="1:7">
      <c r="A889" t="str">
        <f>IF('Product List'!B889="","",'Product List'!B889)</f>
        <v/>
      </c>
      <c r="B889" t="str">
        <f>IF('Product List'!C889="","",'Product List'!C889)</f>
        <v/>
      </c>
      <c r="C889" t="str">
        <f>IF(SUMIFS('Purchase Record'!G:G,'Purchase Record'!F:F,Sheet4!A889)=0,"",SUMIFS('Purchase Record'!G:G,'Purchase Record'!F:F,Sheet4!A889))</f>
        <v/>
      </c>
      <c r="D889" t="str">
        <f>IF(SUMIFS('Sales Record'!H:H,'Sales Record'!F:F,Sheet4!A889)=0,"",SUMIFS('Sales Record'!H:H,'Sales Record'!F:F,Sheet4!A889))</f>
        <v/>
      </c>
      <c r="E889" t="str">
        <f>IF(SUMIFS('Sales Return'!G:G,'Sales Return'!F:F,Sheet4!A889)=0,"",SUMIFS('Sales Return'!G:G,'Sales Return'!F:F,Sheet4!A889))</f>
        <v/>
      </c>
      <c r="F889" t="str">
        <f>IF(SUMIFS('Purchase Return'!G:G,'Purchase Return'!F:F,Sheet4!A889)=0,"",SUMIFS('Purchase Return'!G:G,'Purchase Return'!F:F,Sheet4!A889))</f>
        <v/>
      </c>
      <c r="G889" t="str">
        <f t="shared" si="13"/>
        <v/>
      </c>
    </row>
    <row r="890" spans="1:7">
      <c r="A890" t="str">
        <f>IF('Product List'!B890="","",'Product List'!B890)</f>
        <v/>
      </c>
      <c r="B890" t="str">
        <f>IF('Product List'!C890="","",'Product List'!C890)</f>
        <v/>
      </c>
      <c r="C890" t="str">
        <f>IF(SUMIFS('Purchase Record'!G:G,'Purchase Record'!F:F,Sheet4!A890)=0,"",SUMIFS('Purchase Record'!G:G,'Purchase Record'!F:F,Sheet4!A890))</f>
        <v/>
      </c>
      <c r="D890" t="str">
        <f>IF(SUMIFS('Sales Record'!H:H,'Sales Record'!F:F,Sheet4!A890)=0,"",SUMIFS('Sales Record'!H:H,'Sales Record'!F:F,Sheet4!A890))</f>
        <v/>
      </c>
      <c r="E890" t="str">
        <f>IF(SUMIFS('Sales Return'!G:G,'Sales Return'!F:F,Sheet4!A890)=0,"",SUMIFS('Sales Return'!G:G,'Sales Return'!F:F,Sheet4!A890))</f>
        <v/>
      </c>
      <c r="F890" t="str">
        <f>IF(SUMIFS('Purchase Return'!G:G,'Purchase Return'!F:F,Sheet4!A890)=0,"",SUMIFS('Purchase Return'!G:G,'Purchase Return'!F:F,Sheet4!A890))</f>
        <v/>
      </c>
      <c r="G890" t="str">
        <f t="shared" si="13"/>
        <v/>
      </c>
    </row>
    <row r="891" spans="1:7">
      <c r="A891" t="str">
        <f>IF('Product List'!B891="","",'Product List'!B891)</f>
        <v/>
      </c>
      <c r="B891" t="str">
        <f>IF('Product List'!C891="","",'Product List'!C891)</f>
        <v/>
      </c>
      <c r="C891" t="str">
        <f>IF(SUMIFS('Purchase Record'!G:G,'Purchase Record'!F:F,Sheet4!A891)=0,"",SUMIFS('Purchase Record'!G:G,'Purchase Record'!F:F,Sheet4!A891))</f>
        <v/>
      </c>
      <c r="D891" t="str">
        <f>IF(SUMIFS('Sales Record'!H:H,'Sales Record'!F:F,Sheet4!A891)=0,"",SUMIFS('Sales Record'!H:H,'Sales Record'!F:F,Sheet4!A891))</f>
        <v/>
      </c>
      <c r="E891" t="str">
        <f>IF(SUMIFS('Sales Return'!G:G,'Sales Return'!F:F,Sheet4!A891)=0,"",SUMIFS('Sales Return'!G:G,'Sales Return'!F:F,Sheet4!A891))</f>
        <v/>
      </c>
      <c r="F891" t="str">
        <f>IF(SUMIFS('Purchase Return'!G:G,'Purchase Return'!F:F,Sheet4!A891)=0,"",SUMIFS('Purchase Return'!G:G,'Purchase Return'!F:F,Sheet4!A891))</f>
        <v/>
      </c>
      <c r="G891" t="str">
        <f t="shared" si="13"/>
        <v/>
      </c>
    </row>
    <row r="892" spans="1:7">
      <c r="A892" t="str">
        <f>IF('Product List'!B892="","",'Product List'!B892)</f>
        <v/>
      </c>
      <c r="B892" t="str">
        <f>IF('Product List'!C892="","",'Product List'!C892)</f>
        <v/>
      </c>
      <c r="C892" t="str">
        <f>IF(SUMIFS('Purchase Record'!G:G,'Purchase Record'!F:F,Sheet4!A892)=0,"",SUMIFS('Purchase Record'!G:G,'Purchase Record'!F:F,Sheet4!A892))</f>
        <v/>
      </c>
      <c r="D892" t="str">
        <f>IF(SUMIFS('Sales Record'!H:H,'Sales Record'!F:F,Sheet4!A892)=0,"",SUMIFS('Sales Record'!H:H,'Sales Record'!F:F,Sheet4!A892))</f>
        <v/>
      </c>
      <c r="E892" t="str">
        <f>IF(SUMIFS('Sales Return'!G:G,'Sales Return'!F:F,Sheet4!A892)=0,"",SUMIFS('Sales Return'!G:G,'Sales Return'!F:F,Sheet4!A892))</f>
        <v/>
      </c>
      <c r="F892" t="str">
        <f>IF(SUMIFS('Purchase Return'!G:G,'Purchase Return'!F:F,Sheet4!A892)=0,"",SUMIFS('Purchase Return'!G:G,'Purchase Return'!F:F,Sheet4!A892))</f>
        <v/>
      </c>
      <c r="G892" t="str">
        <f t="shared" si="13"/>
        <v/>
      </c>
    </row>
    <row r="893" spans="1:7">
      <c r="A893" t="str">
        <f>IF('Product List'!B893="","",'Product List'!B893)</f>
        <v/>
      </c>
      <c r="B893" t="str">
        <f>IF('Product List'!C893="","",'Product List'!C893)</f>
        <v/>
      </c>
      <c r="C893" t="str">
        <f>IF(SUMIFS('Purchase Record'!G:G,'Purchase Record'!F:F,Sheet4!A893)=0,"",SUMIFS('Purchase Record'!G:G,'Purchase Record'!F:F,Sheet4!A893))</f>
        <v/>
      </c>
      <c r="D893" t="str">
        <f>IF(SUMIFS('Sales Record'!H:H,'Sales Record'!F:F,Sheet4!A893)=0,"",SUMIFS('Sales Record'!H:H,'Sales Record'!F:F,Sheet4!A893))</f>
        <v/>
      </c>
      <c r="E893" t="str">
        <f>IF(SUMIFS('Sales Return'!G:G,'Sales Return'!F:F,Sheet4!A893)=0,"",SUMIFS('Sales Return'!G:G,'Sales Return'!F:F,Sheet4!A893))</f>
        <v/>
      </c>
      <c r="F893" t="str">
        <f>IF(SUMIFS('Purchase Return'!G:G,'Purchase Return'!F:F,Sheet4!A893)=0,"",SUMIFS('Purchase Return'!G:G,'Purchase Return'!F:F,Sheet4!A893))</f>
        <v/>
      </c>
      <c r="G893" t="str">
        <f t="shared" si="13"/>
        <v/>
      </c>
    </row>
    <row r="894" spans="1:7">
      <c r="A894" t="str">
        <f>IF('Product List'!B894="","",'Product List'!B894)</f>
        <v/>
      </c>
      <c r="B894" t="str">
        <f>IF('Product List'!C894="","",'Product List'!C894)</f>
        <v/>
      </c>
      <c r="C894" t="str">
        <f>IF(SUMIFS('Purchase Record'!G:G,'Purchase Record'!F:F,Sheet4!A894)=0,"",SUMIFS('Purchase Record'!G:G,'Purchase Record'!F:F,Sheet4!A894))</f>
        <v/>
      </c>
      <c r="D894" t="str">
        <f>IF(SUMIFS('Sales Record'!H:H,'Sales Record'!F:F,Sheet4!A894)=0,"",SUMIFS('Sales Record'!H:H,'Sales Record'!F:F,Sheet4!A894))</f>
        <v/>
      </c>
      <c r="E894" t="str">
        <f>IF(SUMIFS('Sales Return'!G:G,'Sales Return'!F:F,Sheet4!A894)=0,"",SUMIFS('Sales Return'!G:G,'Sales Return'!F:F,Sheet4!A894))</f>
        <v/>
      </c>
      <c r="F894" t="str">
        <f>IF(SUMIFS('Purchase Return'!G:G,'Purchase Return'!F:F,Sheet4!A894)=0,"",SUMIFS('Purchase Return'!G:G,'Purchase Return'!F:F,Sheet4!A894))</f>
        <v/>
      </c>
      <c r="G894" t="str">
        <f t="shared" si="13"/>
        <v/>
      </c>
    </row>
    <row r="895" spans="1:7">
      <c r="A895" t="str">
        <f>IF('Product List'!B895="","",'Product List'!B895)</f>
        <v/>
      </c>
      <c r="B895" t="str">
        <f>IF('Product List'!C895="","",'Product List'!C895)</f>
        <v/>
      </c>
      <c r="C895" t="str">
        <f>IF(SUMIFS('Purchase Record'!G:G,'Purchase Record'!F:F,Sheet4!A895)=0,"",SUMIFS('Purchase Record'!G:G,'Purchase Record'!F:F,Sheet4!A895))</f>
        <v/>
      </c>
      <c r="D895" t="str">
        <f>IF(SUMIFS('Sales Record'!H:H,'Sales Record'!F:F,Sheet4!A895)=0,"",SUMIFS('Sales Record'!H:H,'Sales Record'!F:F,Sheet4!A895))</f>
        <v/>
      </c>
      <c r="E895" t="str">
        <f>IF(SUMIFS('Sales Return'!G:G,'Sales Return'!F:F,Sheet4!A895)=0,"",SUMIFS('Sales Return'!G:G,'Sales Return'!F:F,Sheet4!A895))</f>
        <v/>
      </c>
      <c r="F895" t="str">
        <f>IF(SUMIFS('Purchase Return'!G:G,'Purchase Return'!F:F,Sheet4!A895)=0,"",SUMIFS('Purchase Return'!G:G,'Purchase Return'!F:F,Sheet4!A895))</f>
        <v/>
      </c>
      <c r="G895" t="str">
        <f t="shared" si="13"/>
        <v/>
      </c>
    </row>
    <row r="896" spans="1:7">
      <c r="A896" t="str">
        <f>IF('Product List'!B896="","",'Product List'!B896)</f>
        <v/>
      </c>
      <c r="B896" t="str">
        <f>IF('Product List'!C896="","",'Product List'!C896)</f>
        <v/>
      </c>
      <c r="C896" t="str">
        <f>IF(SUMIFS('Purchase Record'!G:G,'Purchase Record'!F:F,Sheet4!A896)=0,"",SUMIFS('Purchase Record'!G:G,'Purchase Record'!F:F,Sheet4!A896))</f>
        <v/>
      </c>
      <c r="D896" t="str">
        <f>IF(SUMIFS('Sales Record'!H:H,'Sales Record'!F:F,Sheet4!A896)=0,"",SUMIFS('Sales Record'!H:H,'Sales Record'!F:F,Sheet4!A896))</f>
        <v/>
      </c>
      <c r="E896" t="str">
        <f>IF(SUMIFS('Sales Return'!G:G,'Sales Return'!F:F,Sheet4!A896)=0,"",SUMIFS('Sales Return'!G:G,'Sales Return'!F:F,Sheet4!A896))</f>
        <v/>
      </c>
      <c r="F896" t="str">
        <f>IF(SUMIFS('Purchase Return'!G:G,'Purchase Return'!F:F,Sheet4!A896)=0,"",SUMIFS('Purchase Return'!G:G,'Purchase Return'!F:F,Sheet4!A896))</f>
        <v/>
      </c>
      <c r="G896" t="str">
        <f t="shared" si="13"/>
        <v/>
      </c>
    </row>
    <row r="897" spans="1:7">
      <c r="A897" t="str">
        <f>IF('Product List'!B897="","",'Product List'!B897)</f>
        <v/>
      </c>
      <c r="B897" t="str">
        <f>IF('Product List'!C897="","",'Product List'!C897)</f>
        <v/>
      </c>
      <c r="C897" t="str">
        <f>IF(SUMIFS('Purchase Record'!G:G,'Purchase Record'!F:F,Sheet4!A897)=0,"",SUMIFS('Purchase Record'!G:G,'Purchase Record'!F:F,Sheet4!A897))</f>
        <v/>
      </c>
      <c r="D897" t="str">
        <f>IF(SUMIFS('Sales Record'!H:H,'Sales Record'!F:F,Sheet4!A897)=0,"",SUMIFS('Sales Record'!H:H,'Sales Record'!F:F,Sheet4!A897))</f>
        <v/>
      </c>
      <c r="E897" t="str">
        <f>IF(SUMIFS('Sales Return'!G:G,'Sales Return'!F:F,Sheet4!A897)=0,"",SUMIFS('Sales Return'!G:G,'Sales Return'!F:F,Sheet4!A897))</f>
        <v/>
      </c>
      <c r="F897" t="str">
        <f>IF(SUMIFS('Purchase Return'!G:G,'Purchase Return'!F:F,Sheet4!A897)=0,"",SUMIFS('Purchase Return'!G:G,'Purchase Return'!F:F,Sheet4!A897))</f>
        <v/>
      </c>
      <c r="G897" t="str">
        <f t="shared" si="13"/>
        <v/>
      </c>
    </row>
    <row r="898" spans="1:7">
      <c r="A898" t="str">
        <f>IF('Product List'!B898="","",'Product List'!B898)</f>
        <v/>
      </c>
      <c r="B898" t="str">
        <f>IF('Product List'!C898="","",'Product List'!C898)</f>
        <v/>
      </c>
      <c r="C898" t="str">
        <f>IF(SUMIFS('Purchase Record'!G:G,'Purchase Record'!F:F,Sheet4!A898)=0,"",SUMIFS('Purchase Record'!G:G,'Purchase Record'!F:F,Sheet4!A898))</f>
        <v/>
      </c>
      <c r="D898" t="str">
        <f>IF(SUMIFS('Sales Record'!H:H,'Sales Record'!F:F,Sheet4!A898)=0,"",SUMIFS('Sales Record'!H:H,'Sales Record'!F:F,Sheet4!A898))</f>
        <v/>
      </c>
      <c r="E898" t="str">
        <f>IF(SUMIFS('Sales Return'!G:G,'Sales Return'!F:F,Sheet4!A898)=0,"",SUMIFS('Sales Return'!G:G,'Sales Return'!F:F,Sheet4!A898))</f>
        <v/>
      </c>
      <c r="F898" t="str">
        <f>IF(SUMIFS('Purchase Return'!G:G,'Purchase Return'!F:F,Sheet4!A898)=0,"",SUMIFS('Purchase Return'!G:G,'Purchase Return'!F:F,Sheet4!A898))</f>
        <v/>
      </c>
      <c r="G898" t="str">
        <f t="shared" si="13"/>
        <v/>
      </c>
    </row>
    <row r="899" spans="1:7">
      <c r="A899" t="str">
        <f>IF('Product List'!B899="","",'Product List'!B899)</f>
        <v/>
      </c>
      <c r="B899" t="str">
        <f>IF('Product List'!C899="","",'Product List'!C899)</f>
        <v/>
      </c>
      <c r="C899" t="str">
        <f>IF(SUMIFS('Purchase Record'!G:G,'Purchase Record'!F:F,Sheet4!A899)=0,"",SUMIFS('Purchase Record'!G:G,'Purchase Record'!F:F,Sheet4!A899))</f>
        <v/>
      </c>
      <c r="D899" t="str">
        <f>IF(SUMIFS('Sales Record'!H:H,'Sales Record'!F:F,Sheet4!A899)=0,"",SUMIFS('Sales Record'!H:H,'Sales Record'!F:F,Sheet4!A899))</f>
        <v/>
      </c>
      <c r="E899" t="str">
        <f>IF(SUMIFS('Sales Return'!G:G,'Sales Return'!F:F,Sheet4!A899)=0,"",SUMIFS('Sales Return'!G:G,'Sales Return'!F:F,Sheet4!A899))</f>
        <v/>
      </c>
      <c r="F899" t="str">
        <f>IF(SUMIFS('Purchase Return'!G:G,'Purchase Return'!F:F,Sheet4!A899)=0,"",SUMIFS('Purchase Return'!G:G,'Purchase Return'!F:F,Sheet4!A899))</f>
        <v/>
      </c>
      <c r="G899" t="str">
        <f t="shared" ref="G899:G962" si="14">IF(C899="","",N(C899)-N(D899)+N(E899)-N(F899))</f>
        <v/>
      </c>
    </row>
    <row r="900" spans="1:7">
      <c r="A900" t="str">
        <f>IF('Product List'!B900="","",'Product List'!B900)</f>
        <v/>
      </c>
      <c r="B900" t="str">
        <f>IF('Product List'!C900="","",'Product List'!C900)</f>
        <v/>
      </c>
      <c r="C900" t="str">
        <f>IF(SUMIFS('Purchase Record'!G:G,'Purchase Record'!F:F,Sheet4!A900)=0,"",SUMIFS('Purchase Record'!G:G,'Purchase Record'!F:F,Sheet4!A900))</f>
        <v/>
      </c>
      <c r="D900" t="str">
        <f>IF(SUMIFS('Sales Record'!H:H,'Sales Record'!F:F,Sheet4!A900)=0,"",SUMIFS('Sales Record'!H:H,'Sales Record'!F:F,Sheet4!A900))</f>
        <v/>
      </c>
      <c r="E900" t="str">
        <f>IF(SUMIFS('Sales Return'!G:G,'Sales Return'!F:F,Sheet4!A900)=0,"",SUMIFS('Sales Return'!G:G,'Sales Return'!F:F,Sheet4!A900))</f>
        <v/>
      </c>
      <c r="F900" t="str">
        <f>IF(SUMIFS('Purchase Return'!G:G,'Purchase Return'!F:F,Sheet4!A900)=0,"",SUMIFS('Purchase Return'!G:G,'Purchase Return'!F:F,Sheet4!A900))</f>
        <v/>
      </c>
      <c r="G900" t="str">
        <f t="shared" si="14"/>
        <v/>
      </c>
    </row>
    <row r="901" spans="1:7">
      <c r="A901" t="str">
        <f>IF('Product List'!B901="","",'Product List'!B901)</f>
        <v/>
      </c>
      <c r="B901" t="str">
        <f>IF('Product List'!C901="","",'Product List'!C901)</f>
        <v/>
      </c>
      <c r="C901" t="str">
        <f>IF(SUMIFS('Purchase Record'!G:G,'Purchase Record'!F:F,Sheet4!A901)=0,"",SUMIFS('Purchase Record'!G:G,'Purchase Record'!F:F,Sheet4!A901))</f>
        <v/>
      </c>
      <c r="D901" t="str">
        <f>IF(SUMIFS('Sales Record'!H:H,'Sales Record'!F:F,Sheet4!A901)=0,"",SUMIFS('Sales Record'!H:H,'Sales Record'!F:F,Sheet4!A901))</f>
        <v/>
      </c>
      <c r="E901" t="str">
        <f>IF(SUMIFS('Sales Return'!G:G,'Sales Return'!F:F,Sheet4!A901)=0,"",SUMIFS('Sales Return'!G:G,'Sales Return'!F:F,Sheet4!A901))</f>
        <v/>
      </c>
      <c r="F901" t="str">
        <f>IF(SUMIFS('Purchase Return'!G:G,'Purchase Return'!F:F,Sheet4!A901)=0,"",SUMIFS('Purchase Return'!G:G,'Purchase Return'!F:F,Sheet4!A901))</f>
        <v/>
      </c>
      <c r="G901" t="str">
        <f t="shared" si="14"/>
        <v/>
      </c>
    </row>
    <row r="902" spans="1:7">
      <c r="A902" t="str">
        <f>IF('Product List'!B902="","",'Product List'!B902)</f>
        <v/>
      </c>
      <c r="B902" t="str">
        <f>IF('Product List'!C902="","",'Product List'!C902)</f>
        <v/>
      </c>
      <c r="C902" t="str">
        <f>IF(SUMIFS('Purchase Record'!G:G,'Purchase Record'!F:F,Sheet4!A902)=0,"",SUMIFS('Purchase Record'!G:G,'Purchase Record'!F:F,Sheet4!A902))</f>
        <v/>
      </c>
      <c r="D902" t="str">
        <f>IF(SUMIFS('Sales Record'!H:H,'Sales Record'!F:F,Sheet4!A902)=0,"",SUMIFS('Sales Record'!H:H,'Sales Record'!F:F,Sheet4!A902))</f>
        <v/>
      </c>
      <c r="E902" t="str">
        <f>IF(SUMIFS('Sales Return'!G:G,'Sales Return'!F:F,Sheet4!A902)=0,"",SUMIFS('Sales Return'!G:G,'Sales Return'!F:F,Sheet4!A902))</f>
        <v/>
      </c>
      <c r="F902" t="str">
        <f>IF(SUMIFS('Purchase Return'!G:G,'Purchase Return'!F:F,Sheet4!A902)=0,"",SUMIFS('Purchase Return'!G:G,'Purchase Return'!F:F,Sheet4!A902))</f>
        <v/>
      </c>
      <c r="G902" t="str">
        <f t="shared" si="14"/>
        <v/>
      </c>
    </row>
    <row r="903" spans="1:7">
      <c r="A903" t="str">
        <f>IF('Product List'!B903="","",'Product List'!B903)</f>
        <v/>
      </c>
      <c r="B903" t="str">
        <f>IF('Product List'!C903="","",'Product List'!C903)</f>
        <v/>
      </c>
      <c r="C903" t="str">
        <f>IF(SUMIFS('Purchase Record'!G:G,'Purchase Record'!F:F,Sheet4!A903)=0,"",SUMIFS('Purchase Record'!G:G,'Purchase Record'!F:F,Sheet4!A903))</f>
        <v/>
      </c>
      <c r="D903" t="str">
        <f>IF(SUMIFS('Sales Record'!H:H,'Sales Record'!F:F,Sheet4!A903)=0,"",SUMIFS('Sales Record'!H:H,'Sales Record'!F:F,Sheet4!A903))</f>
        <v/>
      </c>
      <c r="E903" t="str">
        <f>IF(SUMIFS('Sales Return'!G:G,'Sales Return'!F:F,Sheet4!A903)=0,"",SUMIFS('Sales Return'!G:G,'Sales Return'!F:F,Sheet4!A903))</f>
        <v/>
      </c>
      <c r="F903" t="str">
        <f>IF(SUMIFS('Purchase Return'!G:G,'Purchase Return'!F:F,Sheet4!A903)=0,"",SUMIFS('Purchase Return'!G:G,'Purchase Return'!F:F,Sheet4!A903))</f>
        <v/>
      </c>
      <c r="G903" t="str">
        <f t="shared" si="14"/>
        <v/>
      </c>
    </row>
    <row r="904" spans="1:7">
      <c r="A904" t="str">
        <f>IF('Product List'!B904="","",'Product List'!B904)</f>
        <v/>
      </c>
      <c r="B904" t="str">
        <f>IF('Product List'!C904="","",'Product List'!C904)</f>
        <v/>
      </c>
      <c r="C904" t="str">
        <f>IF(SUMIFS('Purchase Record'!G:G,'Purchase Record'!F:F,Sheet4!A904)=0,"",SUMIFS('Purchase Record'!G:G,'Purchase Record'!F:F,Sheet4!A904))</f>
        <v/>
      </c>
      <c r="D904" t="str">
        <f>IF(SUMIFS('Sales Record'!H:H,'Sales Record'!F:F,Sheet4!A904)=0,"",SUMIFS('Sales Record'!H:H,'Sales Record'!F:F,Sheet4!A904))</f>
        <v/>
      </c>
      <c r="E904" t="str">
        <f>IF(SUMIFS('Sales Return'!G:G,'Sales Return'!F:F,Sheet4!A904)=0,"",SUMIFS('Sales Return'!G:G,'Sales Return'!F:F,Sheet4!A904))</f>
        <v/>
      </c>
      <c r="F904" t="str">
        <f>IF(SUMIFS('Purchase Return'!G:G,'Purchase Return'!F:F,Sheet4!A904)=0,"",SUMIFS('Purchase Return'!G:G,'Purchase Return'!F:F,Sheet4!A904))</f>
        <v/>
      </c>
      <c r="G904" t="str">
        <f t="shared" si="14"/>
        <v/>
      </c>
    </row>
    <row r="905" spans="1:7">
      <c r="A905" t="str">
        <f>IF('Product List'!B905="","",'Product List'!B905)</f>
        <v/>
      </c>
      <c r="B905" t="str">
        <f>IF('Product List'!C905="","",'Product List'!C905)</f>
        <v/>
      </c>
      <c r="C905" t="str">
        <f>IF(SUMIFS('Purchase Record'!G:G,'Purchase Record'!F:F,Sheet4!A905)=0,"",SUMIFS('Purchase Record'!G:G,'Purchase Record'!F:F,Sheet4!A905))</f>
        <v/>
      </c>
      <c r="D905" t="str">
        <f>IF(SUMIFS('Sales Record'!H:H,'Sales Record'!F:F,Sheet4!A905)=0,"",SUMIFS('Sales Record'!H:H,'Sales Record'!F:F,Sheet4!A905))</f>
        <v/>
      </c>
      <c r="E905" t="str">
        <f>IF(SUMIFS('Sales Return'!G:G,'Sales Return'!F:F,Sheet4!A905)=0,"",SUMIFS('Sales Return'!G:G,'Sales Return'!F:F,Sheet4!A905))</f>
        <v/>
      </c>
      <c r="F905" t="str">
        <f>IF(SUMIFS('Purchase Return'!G:G,'Purchase Return'!F:F,Sheet4!A905)=0,"",SUMIFS('Purchase Return'!G:G,'Purchase Return'!F:F,Sheet4!A905))</f>
        <v/>
      </c>
      <c r="G905" t="str">
        <f t="shared" si="14"/>
        <v/>
      </c>
    </row>
    <row r="906" spans="1:7">
      <c r="A906" t="str">
        <f>IF('Product List'!B906="","",'Product List'!B906)</f>
        <v/>
      </c>
      <c r="B906" t="str">
        <f>IF('Product List'!C906="","",'Product List'!C906)</f>
        <v/>
      </c>
      <c r="C906" t="str">
        <f>IF(SUMIFS('Purchase Record'!G:G,'Purchase Record'!F:F,Sheet4!A906)=0,"",SUMIFS('Purchase Record'!G:G,'Purchase Record'!F:F,Sheet4!A906))</f>
        <v/>
      </c>
      <c r="D906" t="str">
        <f>IF(SUMIFS('Sales Record'!H:H,'Sales Record'!F:F,Sheet4!A906)=0,"",SUMIFS('Sales Record'!H:H,'Sales Record'!F:F,Sheet4!A906))</f>
        <v/>
      </c>
      <c r="E906" t="str">
        <f>IF(SUMIFS('Sales Return'!G:G,'Sales Return'!F:F,Sheet4!A906)=0,"",SUMIFS('Sales Return'!G:G,'Sales Return'!F:F,Sheet4!A906))</f>
        <v/>
      </c>
      <c r="F906" t="str">
        <f>IF(SUMIFS('Purchase Return'!G:G,'Purchase Return'!F:F,Sheet4!A906)=0,"",SUMIFS('Purchase Return'!G:G,'Purchase Return'!F:F,Sheet4!A906))</f>
        <v/>
      </c>
      <c r="G906" t="str">
        <f t="shared" si="14"/>
        <v/>
      </c>
    </row>
    <row r="907" spans="1:7">
      <c r="A907" t="str">
        <f>IF('Product List'!B907="","",'Product List'!B907)</f>
        <v/>
      </c>
      <c r="B907" t="str">
        <f>IF('Product List'!C907="","",'Product List'!C907)</f>
        <v/>
      </c>
      <c r="C907" t="str">
        <f>IF(SUMIFS('Purchase Record'!G:G,'Purchase Record'!F:F,Sheet4!A907)=0,"",SUMIFS('Purchase Record'!G:G,'Purchase Record'!F:F,Sheet4!A907))</f>
        <v/>
      </c>
      <c r="D907" t="str">
        <f>IF(SUMIFS('Sales Record'!H:H,'Sales Record'!F:F,Sheet4!A907)=0,"",SUMIFS('Sales Record'!H:H,'Sales Record'!F:F,Sheet4!A907))</f>
        <v/>
      </c>
      <c r="E907" t="str">
        <f>IF(SUMIFS('Sales Return'!G:G,'Sales Return'!F:F,Sheet4!A907)=0,"",SUMIFS('Sales Return'!G:G,'Sales Return'!F:F,Sheet4!A907))</f>
        <v/>
      </c>
      <c r="F907" t="str">
        <f>IF(SUMIFS('Purchase Return'!G:G,'Purchase Return'!F:F,Sheet4!A907)=0,"",SUMIFS('Purchase Return'!G:G,'Purchase Return'!F:F,Sheet4!A907))</f>
        <v/>
      </c>
      <c r="G907" t="str">
        <f t="shared" si="14"/>
        <v/>
      </c>
    </row>
    <row r="908" spans="1:7">
      <c r="A908" t="str">
        <f>IF('Product List'!B908="","",'Product List'!B908)</f>
        <v/>
      </c>
      <c r="B908" t="str">
        <f>IF('Product List'!C908="","",'Product List'!C908)</f>
        <v/>
      </c>
      <c r="C908" t="str">
        <f>IF(SUMIFS('Purchase Record'!G:G,'Purchase Record'!F:F,Sheet4!A908)=0,"",SUMIFS('Purchase Record'!G:G,'Purchase Record'!F:F,Sheet4!A908))</f>
        <v/>
      </c>
      <c r="D908" t="str">
        <f>IF(SUMIFS('Sales Record'!H:H,'Sales Record'!F:F,Sheet4!A908)=0,"",SUMIFS('Sales Record'!H:H,'Sales Record'!F:F,Sheet4!A908))</f>
        <v/>
      </c>
      <c r="E908" t="str">
        <f>IF(SUMIFS('Sales Return'!G:G,'Sales Return'!F:F,Sheet4!A908)=0,"",SUMIFS('Sales Return'!G:G,'Sales Return'!F:F,Sheet4!A908))</f>
        <v/>
      </c>
      <c r="F908" t="str">
        <f>IF(SUMIFS('Purchase Return'!G:G,'Purchase Return'!F:F,Sheet4!A908)=0,"",SUMIFS('Purchase Return'!G:G,'Purchase Return'!F:F,Sheet4!A908))</f>
        <v/>
      </c>
      <c r="G908" t="str">
        <f t="shared" si="14"/>
        <v/>
      </c>
    </row>
    <row r="909" spans="1:7">
      <c r="A909" t="str">
        <f>IF('Product List'!B909="","",'Product List'!B909)</f>
        <v/>
      </c>
      <c r="B909" t="str">
        <f>IF('Product List'!C909="","",'Product List'!C909)</f>
        <v/>
      </c>
      <c r="C909" t="str">
        <f>IF(SUMIFS('Purchase Record'!G:G,'Purchase Record'!F:F,Sheet4!A909)=0,"",SUMIFS('Purchase Record'!G:G,'Purchase Record'!F:F,Sheet4!A909))</f>
        <v/>
      </c>
      <c r="D909" t="str">
        <f>IF(SUMIFS('Sales Record'!H:H,'Sales Record'!F:F,Sheet4!A909)=0,"",SUMIFS('Sales Record'!H:H,'Sales Record'!F:F,Sheet4!A909))</f>
        <v/>
      </c>
      <c r="E909" t="str">
        <f>IF(SUMIFS('Sales Return'!G:G,'Sales Return'!F:F,Sheet4!A909)=0,"",SUMIFS('Sales Return'!G:G,'Sales Return'!F:F,Sheet4!A909))</f>
        <v/>
      </c>
      <c r="F909" t="str">
        <f>IF(SUMIFS('Purchase Return'!G:G,'Purchase Return'!F:F,Sheet4!A909)=0,"",SUMIFS('Purchase Return'!G:G,'Purchase Return'!F:F,Sheet4!A909))</f>
        <v/>
      </c>
      <c r="G909" t="str">
        <f t="shared" si="14"/>
        <v/>
      </c>
    </row>
    <row r="910" spans="1:7">
      <c r="A910" t="str">
        <f>IF('Product List'!B910="","",'Product List'!B910)</f>
        <v/>
      </c>
      <c r="B910" t="str">
        <f>IF('Product List'!C910="","",'Product List'!C910)</f>
        <v/>
      </c>
      <c r="C910" t="str">
        <f>IF(SUMIFS('Purchase Record'!G:G,'Purchase Record'!F:F,Sheet4!A910)=0,"",SUMIFS('Purchase Record'!G:G,'Purchase Record'!F:F,Sheet4!A910))</f>
        <v/>
      </c>
      <c r="D910" t="str">
        <f>IF(SUMIFS('Sales Record'!H:H,'Sales Record'!F:F,Sheet4!A910)=0,"",SUMIFS('Sales Record'!H:H,'Sales Record'!F:F,Sheet4!A910))</f>
        <v/>
      </c>
      <c r="E910" t="str">
        <f>IF(SUMIFS('Sales Return'!G:G,'Sales Return'!F:F,Sheet4!A910)=0,"",SUMIFS('Sales Return'!G:G,'Sales Return'!F:F,Sheet4!A910))</f>
        <v/>
      </c>
      <c r="F910" t="str">
        <f>IF(SUMIFS('Purchase Return'!G:G,'Purchase Return'!F:F,Sheet4!A910)=0,"",SUMIFS('Purchase Return'!G:G,'Purchase Return'!F:F,Sheet4!A910))</f>
        <v/>
      </c>
      <c r="G910" t="str">
        <f t="shared" si="14"/>
        <v/>
      </c>
    </row>
    <row r="911" spans="1:7">
      <c r="A911" t="str">
        <f>IF('Product List'!B911="","",'Product List'!B911)</f>
        <v/>
      </c>
      <c r="B911" t="str">
        <f>IF('Product List'!C911="","",'Product List'!C911)</f>
        <v/>
      </c>
      <c r="C911" t="str">
        <f>IF(SUMIFS('Purchase Record'!G:G,'Purchase Record'!F:F,Sheet4!A911)=0,"",SUMIFS('Purchase Record'!G:G,'Purchase Record'!F:F,Sheet4!A911))</f>
        <v/>
      </c>
      <c r="D911" t="str">
        <f>IF(SUMIFS('Sales Record'!H:H,'Sales Record'!F:F,Sheet4!A911)=0,"",SUMIFS('Sales Record'!H:H,'Sales Record'!F:F,Sheet4!A911))</f>
        <v/>
      </c>
      <c r="E911" t="str">
        <f>IF(SUMIFS('Sales Return'!G:G,'Sales Return'!F:F,Sheet4!A911)=0,"",SUMIFS('Sales Return'!G:G,'Sales Return'!F:F,Sheet4!A911))</f>
        <v/>
      </c>
      <c r="F911" t="str">
        <f>IF(SUMIFS('Purchase Return'!G:G,'Purchase Return'!F:F,Sheet4!A911)=0,"",SUMIFS('Purchase Return'!G:G,'Purchase Return'!F:F,Sheet4!A911))</f>
        <v/>
      </c>
      <c r="G911" t="str">
        <f t="shared" si="14"/>
        <v/>
      </c>
    </row>
    <row r="912" spans="1:7">
      <c r="A912" t="str">
        <f>IF('Product List'!B912="","",'Product List'!B912)</f>
        <v/>
      </c>
      <c r="B912" t="str">
        <f>IF('Product List'!C912="","",'Product List'!C912)</f>
        <v/>
      </c>
      <c r="C912" t="str">
        <f>IF(SUMIFS('Purchase Record'!G:G,'Purchase Record'!F:F,Sheet4!A912)=0,"",SUMIFS('Purchase Record'!G:G,'Purchase Record'!F:F,Sheet4!A912))</f>
        <v/>
      </c>
      <c r="D912" t="str">
        <f>IF(SUMIFS('Sales Record'!H:H,'Sales Record'!F:F,Sheet4!A912)=0,"",SUMIFS('Sales Record'!H:H,'Sales Record'!F:F,Sheet4!A912))</f>
        <v/>
      </c>
      <c r="E912" t="str">
        <f>IF(SUMIFS('Sales Return'!G:G,'Sales Return'!F:F,Sheet4!A912)=0,"",SUMIFS('Sales Return'!G:G,'Sales Return'!F:F,Sheet4!A912))</f>
        <v/>
      </c>
      <c r="F912" t="str">
        <f>IF(SUMIFS('Purchase Return'!G:G,'Purchase Return'!F:F,Sheet4!A912)=0,"",SUMIFS('Purchase Return'!G:G,'Purchase Return'!F:F,Sheet4!A912))</f>
        <v/>
      </c>
      <c r="G912" t="str">
        <f t="shared" si="14"/>
        <v/>
      </c>
    </row>
    <row r="913" spans="1:7">
      <c r="A913" t="str">
        <f>IF('Product List'!B913="","",'Product List'!B913)</f>
        <v/>
      </c>
      <c r="B913" t="str">
        <f>IF('Product List'!C913="","",'Product List'!C913)</f>
        <v/>
      </c>
      <c r="C913" t="str">
        <f>IF(SUMIFS('Purchase Record'!G:G,'Purchase Record'!F:F,Sheet4!A913)=0,"",SUMIFS('Purchase Record'!G:G,'Purchase Record'!F:F,Sheet4!A913))</f>
        <v/>
      </c>
      <c r="D913" t="str">
        <f>IF(SUMIFS('Sales Record'!H:H,'Sales Record'!F:F,Sheet4!A913)=0,"",SUMIFS('Sales Record'!H:H,'Sales Record'!F:F,Sheet4!A913))</f>
        <v/>
      </c>
      <c r="E913" t="str">
        <f>IF(SUMIFS('Sales Return'!G:G,'Sales Return'!F:F,Sheet4!A913)=0,"",SUMIFS('Sales Return'!G:G,'Sales Return'!F:F,Sheet4!A913))</f>
        <v/>
      </c>
      <c r="F913" t="str">
        <f>IF(SUMIFS('Purchase Return'!G:G,'Purchase Return'!F:F,Sheet4!A913)=0,"",SUMIFS('Purchase Return'!G:G,'Purchase Return'!F:F,Sheet4!A913))</f>
        <v/>
      </c>
      <c r="G913" t="str">
        <f t="shared" si="14"/>
        <v/>
      </c>
    </row>
    <row r="914" spans="1:7">
      <c r="A914" t="str">
        <f>IF('Product List'!B914="","",'Product List'!B914)</f>
        <v/>
      </c>
      <c r="B914" t="str">
        <f>IF('Product List'!C914="","",'Product List'!C914)</f>
        <v/>
      </c>
      <c r="C914" t="str">
        <f>IF(SUMIFS('Purchase Record'!G:G,'Purchase Record'!F:F,Sheet4!A914)=0,"",SUMIFS('Purchase Record'!G:G,'Purchase Record'!F:F,Sheet4!A914))</f>
        <v/>
      </c>
      <c r="D914" t="str">
        <f>IF(SUMIFS('Sales Record'!H:H,'Sales Record'!F:F,Sheet4!A914)=0,"",SUMIFS('Sales Record'!H:H,'Sales Record'!F:F,Sheet4!A914))</f>
        <v/>
      </c>
      <c r="E914" t="str">
        <f>IF(SUMIFS('Sales Return'!G:G,'Sales Return'!F:F,Sheet4!A914)=0,"",SUMIFS('Sales Return'!G:G,'Sales Return'!F:F,Sheet4!A914))</f>
        <v/>
      </c>
      <c r="F914" t="str">
        <f>IF(SUMIFS('Purchase Return'!G:G,'Purchase Return'!F:F,Sheet4!A914)=0,"",SUMIFS('Purchase Return'!G:G,'Purchase Return'!F:F,Sheet4!A914))</f>
        <v/>
      </c>
      <c r="G914" t="str">
        <f t="shared" si="14"/>
        <v/>
      </c>
    </row>
    <row r="915" spans="1:7">
      <c r="A915" t="str">
        <f>IF('Product List'!B915="","",'Product List'!B915)</f>
        <v/>
      </c>
      <c r="B915" t="str">
        <f>IF('Product List'!C915="","",'Product List'!C915)</f>
        <v/>
      </c>
      <c r="C915" t="str">
        <f>IF(SUMIFS('Purchase Record'!G:G,'Purchase Record'!F:F,Sheet4!A915)=0,"",SUMIFS('Purchase Record'!G:G,'Purchase Record'!F:F,Sheet4!A915))</f>
        <v/>
      </c>
      <c r="D915" t="str">
        <f>IF(SUMIFS('Sales Record'!H:H,'Sales Record'!F:F,Sheet4!A915)=0,"",SUMIFS('Sales Record'!H:H,'Sales Record'!F:F,Sheet4!A915))</f>
        <v/>
      </c>
      <c r="E915" t="str">
        <f>IF(SUMIFS('Sales Return'!G:G,'Sales Return'!F:F,Sheet4!A915)=0,"",SUMIFS('Sales Return'!G:G,'Sales Return'!F:F,Sheet4!A915))</f>
        <v/>
      </c>
      <c r="F915" t="str">
        <f>IF(SUMIFS('Purchase Return'!G:G,'Purchase Return'!F:F,Sheet4!A915)=0,"",SUMIFS('Purchase Return'!G:G,'Purchase Return'!F:F,Sheet4!A915))</f>
        <v/>
      </c>
      <c r="G915" t="str">
        <f t="shared" si="14"/>
        <v/>
      </c>
    </row>
    <row r="916" spans="1:7">
      <c r="A916" t="str">
        <f>IF('Product List'!B916="","",'Product List'!B916)</f>
        <v/>
      </c>
      <c r="B916" t="str">
        <f>IF('Product List'!C916="","",'Product List'!C916)</f>
        <v/>
      </c>
      <c r="C916" t="str">
        <f>IF(SUMIFS('Purchase Record'!G:G,'Purchase Record'!F:F,Sheet4!A916)=0,"",SUMIFS('Purchase Record'!G:G,'Purchase Record'!F:F,Sheet4!A916))</f>
        <v/>
      </c>
      <c r="D916" t="str">
        <f>IF(SUMIFS('Sales Record'!H:H,'Sales Record'!F:F,Sheet4!A916)=0,"",SUMIFS('Sales Record'!H:H,'Sales Record'!F:F,Sheet4!A916))</f>
        <v/>
      </c>
      <c r="E916" t="str">
        <f>IF(SUMIFS('Sales Return'!G:G,'Sales Return'!F:F,Sheet4!A916)=0,"",SUMIFS('Sales Return'!G:G,'Sales Return'!F:F,Sheet4!A916))</f>
        <v/>
      </c>
      <c r="F916" t="str">
        <f>IF(SUMIFS('Purchase Return'!G:G,'Purchase Return'!F:F,Sheet4!A916)=0,"",SUMIFS('Purchase Return'!G:G,'Purchase Return'!F:F,Sheet4!A916))</f>
        <v/>
      </c>
      <c r="G916" t="str">
        <f t="shared" si="14"/>
        <v/>
      </c>
    </row>
    <row r="917" spans="1:7">
      <c r="A917" t="str">
        <f>IF('Product List'!B917="","",'Product List'!B917)</f>
        <v/>
      </c>
      <c r="B917" t="str">
        <f>IF('Product List'!C917="","",'Product List'!C917)</f>
        <v/>
      </c>
      <c r="C917" t="str">
        <f>IF(SUMIFS('Purchase Record'!G:G,'Purchase Record'!F:F,Sheet4!A917)=0,"",SUMIFS('Purchase Record'!G:G,'Purchase Record'!F:F,Sheet4!A917))</f>
        <v/>
      </c>
      <c r="D917" t="str">
        <f>IF(SUMIFS('Sales Record'!H:H,'Sales Record'!F:F,Sheet4!A917)=0,"",SUMIFS('Sales Record'!H:H,'Sales Record'!F:F,Sheet4!A917))</f>
        <v/>
      </c>
      <c r="E917" t="str">
        <f>IF(SUMIFS('Sales Return'!G:G,'Sales Return'!F:F,Sheet4!A917)=0,"",SUMIFS('Sales Return'!G:G,'Sales Return'!F:F,Sheet4!A917))</f>
        <v/>
      </c>
      <c r="F917" t="str">
        <f>IF(SUMIFS('Purchase Return'!G:G,'Purchase Return'!F:F,Sheet4!A917)=0,"",SUMIFS('Purchase Return'!G:G,'Purchase Return'!F:F,Sheet4!A917))</f>
        <v/>
      </c>
      <c r="G917" t="str">
        <f t="shared" si="14"/>
        <v/>
      </c>
    </row>
    <row r="918" spans="1:7">
      <c r="A918" t="str">
        <f>IF('Product List'!B918="","",'Product List'!B918)</f>
        <v/>
      </c>
      <c r="B918" t="str">
        <f>IF('Product List'!C918="","",'Product List'!C918)</f>
        <v/>
      </c>
      <c r="C918" t="str">
        <f>IF(SUMIFS('Purchase Record'!G:G,'Purchase Record'!F:F,Sheet4!A918)=0,"",SUMIFS('Purchase Record'!G:G,'Purchase Record'!F:F,Sheet4!A918))</f>
        <v/>
      </c>
      <c r="D918" t="str">
        <f>IF(SUMIFS('Sales Record'!H:H,'Sales Record'!F:F,Sheet4!A918)=0,"",SUMIFS('Sales Record'!H:H,'Sales Record'!F:F,Sheet4!A918))</f>
        <v/>
      </c>
      <c r="E918" t="str">
        <f>IF(SUMIFS('Sales Return'!G:G,'Sales Return'!F:F,Sheet4!A918)=0,"",SUMIFS('Sales Return'!G:G,'Sales Return'!F:F,Sheet4!A918))</f>
        <v/>
      </c>
      <c r="F918" t="str">
        <f>IF(SUMIFS('Purchase Return'!G:G,'Purchase Return'!F:F,Sheet4!A918)=0,"",SUMIFS('Purchase Return'!G:G,'Purchase Return'!F:F,Sheet4!A918))</f>
        <v/>
      </c>
      <c r="G918" t="str">
        <f t="shared" si="14"/>
        <v/>
      </c>
    </row>
    <row r="919" spans="1:7">
      <c r="A919" t="str">
        <f>IF('Product List'!B919="","",'Product List'!B919)</f>
        <v/>
      </c>
      <c r="B919" t="str">
        <f>IF('Product List'!C919="","",'Product List'!C919)</f>
        <v/>
      </c>
      <c r="C919" t="str">
        <f>IF(SUMIFS('Purchase Record'!G:G,'Purchase Record'!F:F,Sheet4!A919)=0,"",SUMIFS('Purchase Record'!G:G,'Purchase Record'!F:F,Sheet4!A919))</f>
        <v/>
      </c>
      <c r="D919" t="str">
        <f>IF(SUMIFS('Sales Record'!H:H,'Sales Record'!F:F,Sheet4!A919)=0,"",SUMIFS('Sales Record'!H:H,'Sales Record'!F:F,Sheet4!A919))</f>
        <v/>
      </c>
      <c r="E919" t="str">
        <f>IF(SUMIFS('Sales Return'!G:G,'Sales Return'!F:F,Sheet4!A919)=0,"",SUMIFS('Sales Return'!G:G,'Sales Return'!F:F,Sheet4!A919))</f>
        <v/>
      </c>
      <c r="F919" t="str">
        <f>IF(SUMIFS('Purchase Return'!G:G,'Purchase Return'!F:F,Sheet4!A919)=0,"",SUMIFS('Purchase Return'!G:G,'Purchase Return'!F:F,Sheet4!A919))</f>
        <v/>
      </c>
      <c r="G919" t="str">
        <f t="shared" si="14"/>
        <v/>
      </c>
    </row>
    <row r="920" spans="1:7">
      <c r="A920" t="str">
        <f>IF('Product List'!B920="","",'Product List'!B920)</f>
        <v/>
      </c>
      <c r="B920" t="str">
        <f>IF('Product List'!C920="","",'Product List'!C920)</f>
        <v/>
      </c>
      <c r="C920" t="str">
        <f>IF(SUMIFS('Purchase Record'!G:G,'Purchase Record'!F:F,Sheet4!A920)=0,"",SUMIFS('Purchase Record'!G:G,'Purchase Record'!F:F,Sheet4!A920))</f>
        <v/>
      </c>
      <c r="D920" t="str">
        <f>IF(SUMIFS('Sales Record'!H:H,'Sales Record'!F:F,Sheet4!A920)=0,"",SUMIFS('Sales Record'!H:H,'Sales Record'!F:F,Sheet4!A920))</f>
        <v/>
      </c>
      <c r="E920" t="str">
        <f>IF(SUMIFS('Sales Return'!G:G,'Sales Return'!F:F,Sheet4!A920)=0,"",SUMIFS('Sales Return'!G:G,'Sales Return'!F:F,Sheet4!A920))</f>
        <v/>
      </c>
      <c r="F920" t="str">
        <f>IF(SUMIFS('Purchase Return'!G:G,'Purchase Return'!F:F,Sheet4!A920)=0,"",SUMIFS('Purchase Return'!G:G,'Purchase Return'!F:F,Sheet4!A920))</f>
        <v/>
      </c>
      <c r="G920" t="str">
        <f t="shared" si="14"/>
        <v/>
      </c>
    </row>
    <row r="921" spans="1:7">
      <c r="A921" t="str">
        <f>IF('Product List'!B921="","",'Product List'!B921)</f>
        <v/>
      </c>
      <c r="B921" t="str">
        <f>IF('Product List'!C921="","",'Product List'!C921)</f>
        <v/>
      </c>
      <c r="C921" t="str">
        <f>IF(SUMIFS('Purchase Record'!G:G,'Purchase Record'!F:F,Sheet4!A921)=0,"",SUMIFS('Purchase Record'!G:G,'Purchase Record'!F:F,Sheet4!A921))</f>
        <v/>
      </c>
      <c r="D921" t="str">
        <f>IF(SUMIFS('Sales Record'!H:H,'Sales Record'!F:F,Sheet4!A921)=0,"",SUMIFS('Sales Record'!H:H,'Sales Record'!F:F,Sheet4!A921))</f>
        <v/>
      </c>
      <c r="E921" t="str">
        <f>IF(SUMIFS('Sales Return'!G:G,'Sales Return'!F:F,Sheet4!A921)=0,"",SUMIFS('Sales Return'!G:G,'Sales Return'!F:F,Sheet4!A921))</f>
        <v/>
      </c>
      <c r="F921" t="str">
        <f>IF(SUMIFS('Purchase Return'!G:G,'Purchase Return'!F:F,Sheet4!A921)=0,"",SUMIFS('Purchase Return'!G:G,'Purchase Return'!F:F,Sheet4!A921))</f>
        <v/>
      </c>
      <c r="G921" t="str">
        <f t="shared" si="14"/>
        <v/>
      </c>
    </row>
    <row r="922" spans="1:7">
      <c r="A922" t="str">
        <f>IF('Product List'!B922="","",'Product List'!B922)</f>
        <v/>
      </c>
      <c r="B922" t="str">
        <f>IF('Product List'!C922="","",'Product List'!C922)</f>
        <v/>
      </c>
      <c r="C922" t="str">
        <f>IF(SUMIFS('Purchase Record'!G:G,'Purchase Record'!F:F,Sheet4!A922)=0,"",SUMIFS('Purchase Record'!G:G,'Purchase Record'!F:F,Sheet4!A922))</f>
        <v/>
      </c>
      <c r="D922" t="str">
        <f>IF(SUMIFS('Sales Record'!H:H,'Sales Record'!F:F,Sheet4!A922)=0,"",SUMIFS('Sales Record'!H:H,'Sales Record'!F:F,Sheet4!A922))</f>
        <v/>
      </c>
      <c r="E922" t="str">
        <f>IF(SUMIFS('Sales Return'!G:G,'Sales Return'!F:F,Sheet4!A922)=0,"",SUMIFS('Sales Return'!G:G,'Sales Return'!F:F,Sheet4!A922))</f>
        <v/>
      </c>
      <c r="F922" t="str">
        <f>IF(SUMIFS('Purchase Return'!G:G,'Purchase Return'!F:F,Sheet4!A922)=0,"",SUMIFS('Purchase Return'!G:G,'Purchase Return'!F:F,Sheet4!A922))</f>
        <v/>
      </c>
      <c r="G922" t="str">
        <f t="shared" si="14"/>
        <v/>
      </c>
    </row>
    <row r="923" spans="1:7">
      <c r="A923" t="str">
        <f>IF('Product List'!B923="","",'Product List'!B923)</f>
        <v/>
      </c>
      <c r="B923" t="str">
        <f>IF('Product List'!C923="","",'Product List'!C923)</f>
        <v/>
      </c>
      <c r="C923" t="str">
        <f>IF(SUMIFS('Purchase Record'!G:G,'Purchase Record'!F:F,Sheet4!A923)=0,"",SUMIFS('Purchase Record'!G:G,'Purchase Record'!F:F,Sheet4!A923))</f>
        <v/>
      </c>
      <c r="D923" t="str">
        <f>IF(SUMIFS('Sales Record'!H:H,'Sales Record'!F:F,Sheet4!A923)=0,"",SUMIFS('Sales Record'!H:H,'Sales Record'!F:F,Sheet4!A923))</f>
        <v/>
      </c>
      <c r="E923" t="str">
        <f>IF(SUMIFS('Sales Return'!G:G,'Sales Return'!F:F,Sheet4!A923)=0,"",SUMIFS('Sales Return'!G:G,'Sales Return'!F:F,Sheet4!A923))</f>
        <v/>
      </c>
      <c r="F923" t="str">
        <f>IF(SUMIFS('Purchase Return'!G:G,'Purchase Return'!F:F,Sheet4!A923)=0,"",SUMIFS('Purchase Return'!G:G,'Purchase Return'!F:F,Sheet4!A923))</f>
        <v/>
      </c>
      <c r="G923" t="str">
        <f t="shared" si="14"/>
        <v/>
      </c>
    </row>
    <row r="924" spans="1:7">
      <c r="A924" t="str">
        <f>IF('Product List'!B924="","",'Product List'!B924)</f>
        <v/>
      </c>
      <c r="B924" t="str">
        <f>IF('Product List'!C924="","",'Product List'!C924)</f>
        <v/>
      </c>
      <c r="C924" t="str">
        <f>IF(SUMIFS('Purchase Record'!G:G,'Purchase Record'!F:F,Sheet4!A924)=0,"",SUMIFS('Purchase Record'!G:G,'Purchase Record'!F:F,Sheet4!A924))</f>
        <v/>
      </c>
      <c r="D924" t="str">
        <f>IF(SUMIFS('Sales Record'!H:H,'Sales Record'!F:F,Sheet4!A924)=0,"",SUMIFS('Sales Record'!H:H,'Sales Record'!F:F,Sheet4!A924))</f>
        <v/>
      </c>
      <c r="E924" t="str">
        <f>IF(SUMIFS('Sales Return'!G:G,'Sales Return'!F:F,Sheet4!A924)=0,"",SUMIFS('Sales Return'!G:G,'Sales Return'!F:F,Sheet4!A924))</f>
        <v/>
      </c>
      <c r="F924" t="str">
        <f>IF(SUMIFS('Purchase Return'!G:G,'Purchase Return'!F:F,Sheet4!A924)=0,"",SUMIFS('Purchase Return'!G:G,'Purchase Return'!F:F,Sheet4!A924))</f>
        <v/>
      </c>
      <c r="G924" t="str">
        <f t="shared" si="14"/>
        <v/>
      </c>
    </row>
    <row r="925" spans="1:7">
      <c r="A925" t="str">
        <f>IF('Product List'!B925="","",'Product List'!B925)</f>
        <v/>
      </c>
      <c r="B925" t="str">
        <f>IF('Product List'!C925="","",'Product List'!C925)</f>
        <v/>
      </c>
      <c r="C925" t="str">
        <f>IF(SUMIFS('Purchase Record'!G:G,'Purchase Record'!F:F,Sheet4!A925)=0,"",SUMIFS('Purchase Record'!G:G,'Purchase Record'!F:F,Sheet4!A925))</f>
        <v/>
      </c>
      <c r="D925" t="str">
        <f>IF(SUMIFS('Sales Record'!H:H,'Sales Record'!F:F,Sheet4!A925)=0,"",SUMIFS('Sales Record'!H:H,'Sales Record'!F:F,Sheet4!A925))</f>
        <v/>
      </c>
      <c r="E925" t="str">
        <f>IF(SUMIFS('Sales Return'!G:G,'Sales Return'!F:F,Sheet4!A925)=0,"",SUMIFS('Sales Return'!G:G,'Sales Return'!F:F,Sheet4!A925))</f>
        <v/>
      </c>
      <c r="F925" t="str">
        <f>IF(SUMIFS('Purchase Return'!G:G,'Purchase Return'!F:F,Sheet4!A925)=0,"",SUMIFS('Purchase Return'!G:G,'Purchase Return'!F:F,Sheet4!A925))</f>
        <v/>
      </c>
      <c r="G925" t="str">
        <f t="shared" si="14"/>
        <v/>
      </c>
    </row>
    <row r="926" spans="1:7">
      <c r="A926" t="str">
        <f>IF('Product List'!B926="","",'Product List'!B926)</f>
        <v/>
      </c>
      <c r="B926" t="str">
        <f>IF('Product List'!C926="","",'Product List'!C926)</f>
        <v/>
      </c>
      <c r="C926" t="str">
        <f>IF(SUMIFS('Purchase Record'!G:G,'Purchase Record'!F:F,Sheet4!A926)=0,"",SUMIFS('Purchase Record'!G:G,'Purchase Record'!F:F,Sheet4!A926))</f>
        <v/>
      </c>
      <c r="D926" t="str">
        <f>IF(SUMIFS('Sales Record'!H:H,'Sales Record'!F:F,Sheet4!A926)=0,"",SUMIFS('Sales Record'!H:H,'Sales Record'!F:F,Sheet4!A926))</f>
        <v/>
      </c>
      <c r="E926" t="str">
        <f>IF(SUMIFS('Sales Return'!G:G,'Sales Return'!F:F,Sheet4!A926)=0,"",SUMIFS('Sales Return'!G:G,'Sales Return'!F:F,Sheet4!A926))</f>
        <v/>
      </c>
      <c r="F926" t="str">
        <f>IF(SUMIFS('Purchase Return'!G:G,'Purchase Return'!F:F,Sheet4!A926)=0,"",SUMIFS('Purchase Return'!G:G,'Purchase Return'!F:F,Sheet4!A926))</f>
        <v/>
      </c>
      <c r="G926" t="str">
        <f t="shared" si="14"/>
        <v/>
      </c>
    </row>
    <row r="927" spans="1:7">
      <c r="A927" t="str">
        <f>IF('Product List'!B927="","",'Product List'!B927)</f>
        <v/>
      </c>
      <c r="B927" t="str">
        <f>IF('Product List'!C927="","",'Product List'!C927)</f>
        <v/>
      </c>
      <c r="C927" t="str">
        <f>IF(SUMIFS('Purchase Record'!G:G,'Purchase Record'!F:F,Sheet4!A927)=0,"",SUMIFS('Purchase Record'!G:G,'Purchase Record'!F:F,Sheet4!A927))</f>
        <v/>
      </c>
      <c r="D927" t="str">
        <f>IF(SUMIFS('Sales Record'!H:H,'Sales Record'!F:F,Sheet4!A927)=0,"",SUMIFS('Sales Record'!H:H,'Sales Record'!F:F,Sheet4!A927))</f>
        <v/>
      </c>
      <c r="E927" t="str">
        <f>IF(SUMIFS('Sales Return'!G:G,'Sales Return'!F:F,Sheet4!A927)=0,"",SUMIFS('Sales Return'!G:G,'Sales Return'!F:F,Sheet4!A927))</f>
        <v/>
      </c>
      <c r="F927" t="str">
        <f>IF(SUMIFS('Purchase Return'!G:G,'Purchase Return'!F:F,Sheet4!A927)=0,"",SUMIFS('Purchase Return'!G:G,'Purchase Return'!F:F,Sheet4!A927))</f>
        <v/>
      </c>
      <c r="G927" t="str">
        <f t="shared" si="14"/>
        <v/>
      </c>
    </row>
    <row r="928" spans="1:7">
      <c r="A928" t="str">
        <f>IF('Product List'!B928="","",'Product List'!B928)</f>
        <v/>
      </c>
      <c r="B928" t="str">
        <f>IF('Product List'!C928="","",'Product List'!C928)</f>
        <v/>
      </c>
      <c r="C928" t="str">
        <f>IF(SUMIFS('Purchase Record'!G:G,'Purchase Record'!F:F,Sheet4!A928)=0,"",SUMIFS('Purchase Record'!G:G,'Purchase Record'!F:F,Sheet4!A928))</f>
        <v/>
      </c>
      <c r="D928" t="str">
        <f>IF(SUMIFS('Sales Record'!H:H,'Sales Record'!F:F,Sheet4!A928)=0,"",SUMIFS('Sales Record'!H:H,'Sales Record'!F:F,Sheet4!A928))</f>
        <v/>
      </c>
      <c r="E928" t="str">
        <f>IF(SUMIFS('Sales Return'!G:G,'Sales Return'!F:F,Sheet4!A928)=0,"",SUMIFS('Sales Return'!G:G,'Sales Return'!F:F,Sheet4!A928))</f>
        <v/>
      </c>
      <c r="F928" t="str">
        <f>IF(SUMIFS('Purchase Return'!G:G,'Purchase Return'!F:F,Sheet4!A928)=0,"",SUMIFS('Purchase Return'!G:G,'Purchase Return'!F:F,Sheet4!A928))</f>
        <v/>
      </c>
      <c r="G928" t="str">
        <f t="shared" si="14"/>
        <v/>
      </c>
    </row>
    <row r="929" spans="1:7">
      <c r="A929" t="str">
        <f>IF('Product List'!B929="","",'Product List'!B929)</f>
        <v/>
      </c>
      <c r="B929" t="str">
        <f>IF('Product List'!C929="","",'Product List'!C929)</f>
        <v/>
      </c>
      <c r="C929" t="str">
        <f>IF(SUMIFS('Purchase Record'!G:G,'Purchase Record'!F:F,Sheet4!A929)=0,"",SUMIFS('Purchase Record'!G:G,'Purchase Record'!F:F,Sheet4!A929))</f>
        <v/>
      </c>
      <c r="D929" t="str">
        <f>IF(SUMIFS('Sales Record'!H:H,'Sales Record'!F:F,Sheet4!A929)=0,"",SUMIFS('Sales Record'!H:H,'Sales Record'!F:F,Sheet4!A929))</f>
        <v/>
      </c>
      <c r="E929" t="str">
        <f>IF(SUMIFS('Sales Return'!G:G,'Sales Return'!F:F,Sheet4!A929)=0,"",SUMIFS('Sales Return'!G:G,'Sales Return'!F:F,Sheet4!A929))</f>
        <v/>
      </c>
      <c r="F929" t="str">
        <f>IF(SUMIFS('Purchase Return'!G:G,'Purchase Return'!F:F,Sheet4!A929)=0,"",SUMIFS('Purchase Return'!G:G,'Purchase Return'!F:F,Sheet4!A929))</f>
        <v/>
      </c>
      <c r="G929" t="str">
        <f t="shared" si="14"/>
        <v/>
      </c>
    </row>
    <row r="930" spans="1:7">
      <c r="A930" t="str">
        <f>IF('Product List'!B930="","",'Product List'!B930)</f>
        <v/>
      </c>
      <c r="B930" t="str">
        <f>IF('Product List'!C930="","",'Product List'!C930)</f>
        <v/>
      </c>
      <c r="C930" t="str">
        <f>IF(SUMIFS('Purchase Record'!G:G,'Purchase Record'!F:F,Sheet4!A930)=0,"",SUMIFS('Purchase Record'!G:G,'Purchase Record'!F:F,Sheet4!A930))</f>
        <v/>
      </c>
      <c r="D930" t="str">
        <f>IF(SUMIFS('Sales Record'!H:H,'Sales Record'!F:F,Sheet4!A930)=0,"",SUMIFS('Sales Record'!H:H,'Sales Record'!F:F,Sheet4!A930))</f>
        <v/>
      </c>
      <c r="E930" t="str">
        <f>IF(SUMIFS('Sales Return'!G:G,'Sales Return'!F:F,Sheet4!A930)=0,"",SUMIFS('Sales Return'!G:G,'Sales Return'!F:F,Sheet4!A930))</f>
        <v/>
      </c>
      <c r="F930" t="str">
        <f>IF(SUMIFS('Purchase Return'!G:G,'Purchase Return'!F:F,Sheet4!A930)=0,"",SUMIFS('Purchase Return'!G:G,'Purchase Return'!F:F,Sheet4!A930))</f>
        <v/>
      </c>
      <c r="G930" t="str">
        <f t="shared" si="14"/>
        <v/>
      </c>
    </row>
    <row r="931" spans="1:7">
      <c r="A931" t="str">
        <f>IF('Product List'!B931="","",'Product List'!B931)</f>
        <v/>
      </c>
      <c r="B931" t="str">
        <f>IF('Product List'!C931="","",'Product List'!C931)</f>
        <v/>
      </c>
      <c r="C931" t="str">
        <f>IF(SUMIFS('Purchase Record'!G:G,'Purchase Record'!F:F,Sheet4!A931)=0,"",SUMIFS('Purchase Record'!G:G,'Purchase Record'!F:F,Sheet4!A931))</f>
        <v/>
      </c>
      <c r="D931" t="str">
        <f>IF(SUMIFS('Sales Record'!H:H,'Sales Record'!F:F,Sheet4!A931)=0,"",SUMIFS('Sales Record'!H:H,'Sales Record'!F:F,Sheet4!A931))</f>
        <v/>
      </c>
      <c r="E931" t="str">
        <f>IF(SUMIFS('Sales Return'!G:G,'Sales Return'!F:F,Sheet4!A931)=0,"",SUMIFS('Sales Return'!G:G,'Sales Return'!F:F,Sheet4!A931))</f>
        <v/>
      </c>
      <c r="F931" t="str">
        <f>IF(SUMIFS('Purchase Return'!G:G,'Purchase Return'!F:F,Sheet4!A931)=0,"",SUMIFS('Purchase Return'!G:G,'Purchase Return'!F:F,Sheet4!A931))</f>
        <v/>
      </c>
      <c r="G931" t="str">
        <f t="shared" si="14"/>
        <v/>
      </c>
    </row>
    <row r="932" spans="1:7">
      <c r="A932" t="str">
        <f>IF('Product List'!B932="","",'Product List'!B932)</f>
        <v/>
      </c>
      <c r="B932" t="str">
        <f>IF('Product List'!C932="","",'Product List'!C932)</f>
        <v/>
      </c>
      <c r="C932" t="str">
        <f>IF(SUMIFS('Purchase Record'!G:G,'Purchase Record'!F:F,Sheet4!A932)=0,"",SUMIFS('Purchase Record'!G:G,'Purchase Record'!F:F,Sheet4!A932))</f>
        <v/>
      </c>
      <c r="D932" t="str">
        <f>IF(SUMIFS('Sales Record'!H:H,'Sales Record'!F:F,Sheet4!A932)=0,"",SUMIFS('Sales Record'!H:H,'Sales Record'!F:F,Sheet4!A932))</f>
        <v/>
      </c>
      <c r="E932" t="str">
        <f>IF(SUMIFS('Sales Return'!G:G,'Sales Return'!F:F,Sheet4!A932)=0,"",SUMIFS('Sales Return'!G:G,'Sales Return'!F:F,Sheet4!A932))</f>
        <v/>
      </c>
      <c r="F932" t="str">
        <f>IF(SUMIFS('Purchase Return'!G:G,'Purchase Return'!F:F,Sheet4!A932)=0,"",SUMIFS('Purchase Return'!G:G,'Purchase Return'!F:F,Sheet4!A932))</f>
        <v/>
      </c>
      <c r="G932" t="str">
        <f t="shared" si="14"/>
        <v/>
      </c>
    </row>
    <row r="933" spans="1:7">
      <c r="A933" t="str">
        <f>IF('Product List'!B933="","",'Product List'!B933)</f>
        <v/>
      </c>
      <c r="B933" t="str">
        <f>IF('Product List'!C933="","",'Product List'!C933)</f>
        <v/>
      </c>
      <c r="C933" t="str">
        <f>IF(SUMIFS('Purchase Record'!G:G,'Purchase Record'!F:F,Sheet4!A933)=0,"",SUMIFS('Purchase Record'!G:G,'Purchase Record'!F:F,Sheet4!A933))</f>
        <v/>
      </c>
      <c r="D933" t="str">
        <f>IF(SUMIFS('Sales Record'!H:H,'Sales Record'!F:F,Sheet4!A933)=0,"",SUMIFS('Sales Record'!H:H,'Sales Record'!F:F,Sheet4!A933))</f>
        <v/>
      </c>
      <c r="E933" t="str">
        <f>IF(SUMIFS('Sales Return'!G:G,'Sales Return'!F:F,Sheet4!A933)=0,"",SUMIFS('Sales Return'!G:G,'Sales Return'!F:F,Sheet4!A933))</f>
        <v/>
      </c>
      <c r="F933" t="str">
        <f>IF(SUMIFS('Purchase Return'!G:G,'Purchase Return'!F:F,Sheet4!A933)=0,"",SUMIFS('Purchase Return'!G:G,'Purchase Return'!F:F,Sheet4!A933))</f>
        <v/>
      </c>
      <c r="G933" t="str">
        <f t="shared" si="14"/>
        <v/>
      </c>
    </row>
    <row r="934" spans="1:7">
      <c r="A934" t="str">
        <f>IF('Product List'!B934="","",'Product List'!B934)</f>
        <v/>
      </c>
      <c r="B934" t="str">
        <f>IF('Product List'!C934="","",'Product List'!C934)</f>
        <v/>
      </c>
      <c r="C934" t="str">
        <f>IF(SUMIFS('Purchase Record'!G:G,'Purchase Record'!F:F,Sheet4!A934)=0,"",SUMIFS('Purchase Record'!G:G,'Purchase Record'!F:F,Sheet4!A934))</f>
        <v/>
      </c>
      <c r="D934" t="str">
        <f>IF(SUMIFS('Sales Record'!H:H,'Sales Record'!F:F,Sheet4!A934)=0,"",SUMIFS('Sales Record'!H:H,'Sales Record'!F:F,Sheet4!A934))</f>
        <v/>
      </c>
      <c r="E934" t="str">
        <f>IF(SUMIFS('Sales Return'!G:G,'Sales Return'!F:F,Sheet4!A934)=0,"",SUMIFS('Sales Return'!G:G,'Sales Return'!F:F,Sheet4!A934))</f>
        <v/>
      </c>
      <c r="F934" t="str">
        <f>IF(SUMIFS('Purchase Return'!G:G,'Purchase Return'!F:F,Sheet4!A934)=0,"",SUMIFS('Purchase Return'!G:G,'Purchase Return'!F:F,Sheet4!A934))</f>
        <v/>
      </c>
      <c r="G934" t="str">
        <f t="shared" si="14"/>
        <v/>
      </c>
    </row>
    <row r="935" spans="1:7">
      <c r="A935" t="str">
        <f>IF('Product List'!B935="","",'Product List'!B935)</f>
        <v/>
      </c>
      <c r="B935" t="str">
        <f>IF('Product List'!C935="","",'Product List'!C935)</f>
        <v/>
      </c>
      <c r="C935" t="str">
        <f>IF(SUMIFS('Purchase Record'!G:G,'Purchase Record'!F:F,Sheet4!A935)=0,"",SUMIFS('Purchase Record'!G:G,'Purchase Record'!F:F,Sheet4!A935))</f>
        <v/>
      </c>
      <c r="D935" t="str">
        <f>IF(SUMIFS('Sales Record'!H:H,'Sales Record'!F:F,Sheet4!A935)=0,"",SUMIFS('Sales Record'!H:H,'Sales Record'!F:F,Sheet4!A935))</f>
        <v/>
      </c>
      <c r="E935" t="str">
        <f>IF(SUMIFS('Sales Return'!G:G,'Sales Return'!F:F,Sheet4!A935)=0,"",SUMIFS('Sales Return'!G:G,'Sales Return'!F:F,Sheet4!A935))</f>
        <v/>
      </c>
      <c r="F935" t="str">
        <f>IF(SUMIFS('Purchase Return'!G:G,'Purchase Return'!F:F,Sheet4!A935)=0,"",SUMIFS('Purchase Return'!G:G,'Purchase Return'!F:F,Sheet4!A935))</f>
        <v/>
      </c>
      <c r="G935" t="str">
        <f t="shared" si="14"/>
        <v/>
      </c>
    </row>
    <row r="936" spans="1:7">
      <c r="A936" t="str">
        <f>IF('Product List'!B936="","",'Product List'!B936)</f>
        <v/>
      </c>
      <c r="B936" t="str">
        <f>IF('Product List'!C936="","",'Product List'!C936)</f>
        <v/>
      </c>
      <c r="C936" t="str">
        <f>IF(SUMIFS('Purchase Record'!G:G,'Purchase Record'!F:F,Sheet4!A936)=0,"",SUMIFS('Purchase Record'!G:G,'Purchase Record'!F:F,Sheet4!A936))</f>
        <v/>
      </c>
      <c r="D936" t="str">
        <f>IF(SUMIFS('Sales Record'!H:H,'Sales Record'!F:F,Sheet4!A936)=0,"",SUMIFS('Sales Record'!H:H,'Sales Record'!F:F,Sheet4!A936))</f>
        <v/>
      </c>
      <c r="E936" t="str">
        <f>IF(SUMIFS('Sales Return'!G:G,'Sales Return'!F:F,Sheet4!A936)=0,"",SUMIFS('Sales Return'!G:G,'Sales Return'!F:F,Sheet4!A936))</f>
        <v/>
      </c>
      <c r="F936" t="str">
        <f>IF(SUMIFS('Purchase Return'!G:G,'Purchase Return'!F:F,Sheet4!A936)=0,"",SUMIFS('Purchase Return'!G:G,'Purchase Return'!F:F,Sheet4!A936))</f>
        <v/>
      </c>
      <c r="G936" t="str">
        <f t="shared" si="14"/>
        <v/>
      </c>
    </row>
    <row r="937" spans="1:7">
      <c r="A937" t="str">
        <f>IF('Product List'!B937="","",'Product List'!B937)</f>
        <v/>
      </c>
      <c r="B937" t="str">
        <f>IF('Product List'!C937="","",'Product List'!C937)</f>
        <v/>
      </c>
      <c r="C937" t="str">
        <f>IF(SUMIFS('Purchase Record'!G:G,'Purchase Record'!F:F,Sheet4!A937)=0,"",SUMIFS('Purchase Record'!G:G,'Purchase Record'!F:F,Sheet4!A937))</f>
        <v/>
      </c>
      <c r="D937" t="str">
        <f>IF(SUMIFS('Sales Record'!H:H,'Sales Record'!F:F,Sheet4!A937)=0,"",SUMIFS('Sales Record'!H:H,'Sales Record'!F:F,Sheet4!A937))</f>
        <v/>
      </c>
      <c r="E937" t="str">
        <f>IF(SUMIFS('Sales Return'!G:G,'Sales Return'!F:F,Sheet4!A937)=0,"",SUMIFS('Sales Return'!G:G,'Sales Return'!F:F,Sheet4!A937))</f>
        <v/>
      </c>
      <c r="F937" t="str">
        <f>IF(SUMIFS('Purchase Return'!G:G,'Purchase Return'!F:F,Sheet4!A937)=0,"",SUMIFS('Purchase Return'!G:G,'Purchase Return'!F:F,Sheet4!A937))</f>
        <v/>
      </c>
      <c r="G937" t="str">
        <f t="shared" si="14"/>
        <v/>
      </c>
    </row>
    <row r="938" spans="1:7">
      <c r="A938" t="str">
        <f>IF('Product List'!B938="","",'Product List'!B938)</f>
        <v/>
      </c>
      <c r="B938" t="str">
        <f>IF('Product List'!C938="","",'Product List'!C938)</f>
        <v/>
      </c>
      <c r="C938" t="str">
        <f>IF(SUMIFS('Purchase Record'!G:G,'Purchase Record'!F:F,Sheet4!A938)=0,"",SUMIFS('Purchase Record'!G:G,'Purchase Record'!F:F,Sheet4!A938))</f>
        <v/>
      </c>
      <c r="D938" t="str">
        <f>IF(SUMIFS('Sales Record'!H:H,'Sales Record'!F:F,Sheet4!A938)=0,"",SUMIFS('Sales Record'!H:H,'Sales Record'!F:F,Sheet4!A938))</f>
        <v/>
      </c>
      <c r="E938" t="str">
        <f>IF(SUMIFS('Sales Return'!G:G,'Sales Return'!F:F,Sheet4!A938)=0,"",SUMIFS('Sales Return'!G:G,'Sales Return'!F:F,Sheet4!A938))</f>
        <v/>
      </c>
      <c r="F938" t="str">
        <f>IF(SUMIFS('Purchase Return'!G:G,'Purchase Return'!F:F,Sheet4!A938)=0,"",SUMIFS('Purchase Return'!G:G,'Purchase Return'!F:F,Sheet4!A938))</f>
        <v/>
      </c>
      <c r="G938" t="str">
        <f t="shared" si="14"/>
        <v/>
      </c>
    </row>
    <row r="939" spans="1:7">
      <c r="A939" t="str">
        <f>IF('Product List'!B939="","",'Product List'!B939)</f>
        <v/>
      </c>
      <c r="B939" t="str">
        <f>IF('Product List'!C939="","",'Product List'!C939)</f>
        <v/>
      </c>
      <c r="C939" t="str">
        <f>IF(SUMIFS('Purchase Record'!G:G,'Purchase Record'!F:F,Sheet4!A939)=0,"",SUMIFS('Purchase Record'!G:G,'Purchase Record'!F:F,Sheet4!A939))</f>
        <v/>
      </c>
      <c r="D939" t="str">
        <f>IF(SUMIFS('Sales Record'!H:H,'Sales Record'!F:F,Sheet4!A939)=0,"",SUMIFS('Sales Record'!H:H,'Sales Record'!F:F,Sheet4!A939))</f>
        <v/>
      </c>
      <c r="E939" t="str">
        <f>IF(SUMIFS('Sales Return'!G:G,'Sales Return'!F:F,Sheet4!A939)=0,"",SUMIFS('Sales Return'!G:G,'Sales Return'!F:F,Sheet4!A939))</f>
        <v/>
      </c>
      <c r="F939" t="str">
        <f>IF(SUMIFS('Purchase Return'!G:G,'Purchase Return'!F:F,Sheet4!A939)=0,"",SUMIFS('Purchase Return'!G:G,'Purchase Return'!F:F,Sheet4!A939))</f>
        <v/>
      </c>
      <c r="G939" t="str">
        <f t="shared" si="14"/>
        <v/>
      </c>
    </row>
    <row r="940" spans="1:7">
      <c r="A940" t="str">
        <f>IF('Product List'!B940="","",'Product List'!B940)</f>
        <v/>
      </c>
      <c r="B940" t="str">
        <f>IF('Product List'!C940="","",'Product List'!C940)</f>
        <v/>
      </c>
      <c r="C940" t="str">
        <f>IF(SUMIFS('Purchase Record'!G:G,'Purchase Record'!F:F,Sheet4!A940)=0,"",SUMIFS('Purchase Record'!G:G,'Purchase Record'!F:F,Sheet4!A940))</f>
        <v/>
      </c>
      <c r="D940" t="str">
        <f>IF(SUMIFS('Sales Record'!H:H,'Sales Record'!F:F,Sheet4!A940)=0,"",SUMIFS('Sales Record'!H:H,'Sales Record'!F:F,Sheet4!A940))</f>
        <v/>
      </c>
      <c r="E940" t="str">
        <f>IF(SUMIFS('Sales Return'!G:G,'Sales Return'!F:F,Sheet4!A940)=0,"",SUMIFS('Sales Return'!G:G,'Sales Return'!F:F,Sheet4!A940))</f>
        <v/>
      </c>
      <c r="F940" t="str">
        <f>IF(SUMIFS('Purchase Return'!G:G,'Purchase Return'!F:F,Sheet4!A940)=0,"",SUMIFS('Purchase Return'!G:G,'Purchase Return'!F:F,Sheet4!A940))</f>
        <v/>
      </c>
      <c r="G940" t="str">
        <f t="shared" si="14"/>
        <v/>
      </c>
    </row>
    <row r="941" spans="1:7">
      <c r="A941" t="str">
        <f>IF('Product List'!B941="","",'Product List'!B941)</f>
        <v/>
      </c>
      <c r="B941" t="str">
        <f>IF('Product List'!C941="","",'Product List'!C941)</f>
        <v/>
      </c>
      <c r="C941" t="str">
        <f>IF(SUMIFS('Purchase Record'!G:G,'Purchase Record'!F:F,Sheet4!A941)=0,"",SUMIFS('Purchase Record'!G:G,'Purchase Record'!F:F,Sheet4!A941))</f>
        <v/>
      </c>
      <c r="D941" t="str">
        <f>IF(SUMIFS('Sales Record'!H:H,'Sales Record'!F:F,Sheet4!A941)=0,"",SUMIFS('Sales Record'!H:H,'Sales Record'!F:F,Sheet4!A941))</f>
        <v/>
      </c>
      <c r="E941" t="str">
        <f>IF(SUMIFS('Sales Return'!G:G,'Sales Return'!F:F,Sheet4!A941)=0,"",SUMIFS('Sales Return'!G:G,'Sales Return'!F:F,Sheet4!A941))</f>
        <v/>
      </c>
      <c r="F941" t="str">
        <f>IF(SUMIFS('Purchase Return'!G:G,'Purchase Return'!F:F,Sheet4!A941)=0,"",SUMIFS('Purchase Return'!G:G,'Purchase Return'!F:F,Sheet4!A941))</f>
        <v/>
      </c>
      <c r="G941" t="str">
        <f t="shared" si="14"/>
        <v/>
      </c>
    </row>
    <row r="942" spans="1:7">
      <c r="A942" t="str">
        <f>IF('Product List'!B942="","",'Product List'!B942)</f>
        <v/>
      </c>
      <c r="B942" t="str">
        <f>IF('Product List'!C942="","",'Product List'!C942)</f>
        <v/>
      </c>
      <c r="C942" t="str">
        <f>IF(SUMIFS('Purchase Record'!G:G,'Purchase Record'!F:F,Sheet4!A942)=0,"",SUMIFS('Purchase Record'!G:G,'Purchase Record'!F:F,Sheet4!A942))</f>
        <v/>
      </c>
      <c r="D942" t="str">
        <f>IF(SUMIFS('Sales Record'!H:H,'Sales Record'!F:F,Sheet4!A942)=0,"",SUMIFS('Sales Record'!H:H,'Sales Record'!F:F,Sheet4!A942))</f>
        <v/>
      </c>
      <c r="E942" t="str">
        <f>IF(SUMIFS('Sales Return'!G:G,'Sales Return'!F:F,Sheet4!A942)=0,"",SUMIFS('Sales Return'!G:G,'Sales Return'!F:F,Sheet4!A942))</f>
        <v/>
      </c>
      <c r="F942" t="str">
        <f>IF(SUMIFS('Purchase Return'!G:G,'Purchase Return'!F:F,Sheet4!A942)=0,"",SUMIFS('Purchase Return'!G:G,'Purchase Return'!F:F,Sheet4!A942))</f>
        <v/>
      </c>
      <c r="G942" t="str">
        <f t="shared" si="14"/>
        <v/>
      </c>
    </row>
    <row r="943" spans="1:7">
      <c r="A943" t="str">
        <f>IF('Product List'!B943="","",'Product List'!B943)</f>
        <v/>
      </c>
      <c r="B943" t="str">
        <f>IF('Product List'!C943="","",'Product List'!C943)</f>
        <v/>
      </c>
      <c r="C943" t="str">
        <f>IF(SUMIFS('Purchase Record'!G:G,'Purchase Record'!F:F,Sheet4!A943)=0,"",SUMIFS('Purchase Record'!G:G,'Purchase Record'!F:F,Sheet4!A943))</f>
        <v/>
      </c>
      <c r="D943" t="str">
        <f>IF(SUMIFS('Sales Record'!H:H,'Sales Record'!F:F,Sheet4!A943)=0,"",SUMIFS('Sales Record'!H:H,'Sales Record'!F:F,Sheet4!A943))</f>
        <v/>
      </c>
      <c r="E943" t="str">
        <f>IF(SUMIFS('Sales Return'!G:G,'Sales Return'!F:F,Sheet4!A943)=0,"",SUMIFS('Sales Return'!G:G,'Sales Return'!F:F,Sheet4!A943))</f>
        <v/>
      </c>
      <c r="F943" t="str">
        <f>IF(SUMIFS('Purchase Return'!G:G,'Purchase Return'!F:F,Sheet4!A943)=0,"",SUMIFS('Purchase Return'!G:G,'Purchase Return'!F:F,Sheet4!A943))</f>
        <v/>
      </c>
      <c r="G943" t="str">
        <f t="shared" si="14"/>
        <v/>
      </c>
    </row>
    <row r="944" spans="1:7">
      <c r="A944" t="str">
        <f>IF('Product List'!B944="","",'Product List'!B944)</f>
        <v/>
      </c>
      <c r="B944" t="str">
        <f>IF('Product List'!C944="","",'Product List'!C944)</f>
        <v/>
      </c>
      <c r="C944" t="str">
        <f>IF(SUMIFS('Purchase Record'!G:G,'Purchase Record'!F:F,Sheet4!A944)=0,"",SUMIFS('Purchase Record'!G:G,'Purchase Record'!F:F,Sheet4!A944))</f>
        <v/>
      </c>
      <c r="D944" t="str">
        <f>IF(SUMIFS('Sales Record'!H:H,'Sales Record'!F:F,Sheet4!A944)=0,"",SUMIFS('Sales Record'!H:H,'Sales Record'!F:F,Sheet4!A944))</f>
        <v/>
      </c>
      <c r="E944" t="str">
        <f>IF(SUMIFS('Sales Return'!G:G,'Sales Return'!F:F,Sheet4!A944)=0,"",SUMIFS('Sales Return'!G:G,'Sales Return'!F:F,Sheet4!A944))</f>
        <v/>
      </c>
      <c r="F944" t="str">
        <f>IF(SUMIFS('Purchase Return'!G:G,'Purchase Return'!F:F,Sheet4!A944)=0,"",SUMIFS('Purchase Return'!G:G,'Purchase Return'!F:F,Sheet4!A944))</f>
        <v/>
      </c>
      <c r="G944" t="str">
        <f t="shared" si="14"/>
        <v/>
      </c>
    </row>
    <row r="945" spans="1:7">
      <c r="A945" t="str">
        <f>IF('Product List'!B945="","",'Product List'!B945)</f>
        <v/>
      </c>
      <c r="B945" t="str">
        <f>IF('Product List'!C945="","",'Product List'!C945)</f>
        <v/>
      </c>
      <c r="C945" t="str">
        <f>IF(SUMIFS('Purchase Record'!G:G,'Purchase Record'!F:F,Sheet4!A945)=0,"",SUMIFS('Purchase Record'!G:G,'Purchase Record'!F:F,Sheet4!A945))</f>
        <v/>
      </c>
      <c r="D945" t="str">
        <f>IF(SUMIFS('Sales Record'!H:H,'Sales Record'!F:F,Sheet4!A945)=0,"",SUMIFS('Sales Record'!H:H,'Sales Record'!F:F,Sheet4!A945))</f>
        <v/>
      </c>
      <c r="E945" t="str">
        <f>IF(SUMIFS('Sales Return'!G:G,'Sales Return'!F:F,Sheet4!A945)=0,"",SUMIFS('Sales Return'!G:G,'Sales Return'!F:F,Sheet4!A945))</f>
        <v/>
      </c>
      <c r="F945" t="str">
        <f>IF(SUMIFS('Purchase Return'!G:G,'Purchase Return'!F:F,Sheet4!A945)=0,"",SUMIFS('Purchase Return'!G:G,'Purchase Return'!F:F,Sheet4!A945))</f>
        <v/>
      </c>
      <c r="G945" t="str">
        <f t="shared" si="14"/>
        <v/>
      </c>
    </row>
    <row r="946" spans="1:7">
      <c r="A946" t="str">
        <f>IF('Product List'!B946="","",'Product List'!B946)</f>
        <v/>
      </c>
      <c r="B946" t="str">
        <f>IF('Product List'!C946="","",'Product List'!C946)</f>
        <v/>
      </c>
      <c r="C946" t="str">
        <f>IF(SUMIFS('Purchase Record'!G:G,'Purchase Record'!F:F,Sheet4!A946)=0,"",SUMIFS('Purchase Record'!G:G,'Purchase Record'!F:F,Sheet4!A946))</f>
        <v/>
      </c>
      <c r="D946" t="str">
        <f>IF(SUMIFS('Sales Record'!H:H,'Sales Record'!F:F,Sheet4!A946)=0,"",SUMIFS('Sales Record'!H:H,'Sales Record'!F:F,Sheet4!A946))</f>
        <v/>
      </c>
      <c r="E946" t="str">
        <f>IF(SUMIFS('Sales Return'!G:G,'Sales Return'!F:F,Sheet4!A946)=0,"",SUMIFS('Sales Return'!G:G,'Sales Return'!F:F,Sheet4!A946))</f>
        <v/>
      </c>
      <c r="F946" t="str">
        <f>IF(SUMIFS('Purchase Return'!G:G,'Purchase Return'!F:F,Sheet4!A946)=0,"",SUMIFS('Purchase Return'!G:G,'Purchase Return'!F:F,Sheet4!A946))</f>
        <v/>
      </c>
      <c r="G946" t="str">
        <f t="shared" si="14"/>
        <v/>
      </c>
    </row>
    <row r="947" spans="1:7">
      <c r="A947" t="str">
        <f>IF('Product List'!B947="","",'Product List'!B947)</f>
        <v/>
      </c>
      <c r="B947" t="str">
        <f>IF('Product List'!C947="","",'Product List'!C947)</f>
        <v/>
      </c>
      <c r="C947" t="str">
        <f>IF(SUMIFS('Purchase Record'!G:G,'Purchase Record'!F:F,Sheet4!A947)=0,"",SUMIFS('Purchase Record'!G:G,'Purchase Record'!F:F,Sheet4!A947))</f>
        <v/>
      </c>
      <c r="D947" t="str">
        <f>IF(SUMIFS('Sales Record'!H:H,'Sales Record'!F:F,Sheet4!A947)=0,"",SUMIFS('Sales Record'!H:H,'Sales Record'!F:F,Sheet4!A947))</f>
        <v/>
      </c>
      <c r="E947" t="str">
        <f>IF(SUMIFS('Sales Return'!G:G,'Sales Return'!F:F,Sheet4!A947)=0,"",SUMIFS('Sales Return'!G:G,'Sales Return'!F:F,Sheet4!A947))</f>
        <v/>
      </c>
      <c r="F947" t="str">
        <f>IF(SUMIFS('Purchase Return'!G:G,'Purchase Return'!F:F,Sheet4!A947)=0,"",SUMIFS('Purchase Return'!G:G,'Purchase Return'!F:F,Sheet4!A947))</f>
        <v/>
      </c>
      <c r="G947" t="str">
        <f t="shared" si="14"/>
        <v/>
      </c>
    </row>
    <row r="948" spans="1:7">
      <c r="A948" t="str">
        <f>IF('Product List'!B948="","",'Product List'!B948)</f>
        <v/>
      </c>
      <c r="B948" t="str">
        <f>IF('Product List'!C948="","",'Product List'!C948)</f>
        <v/>
      </c>
      <c r="C948" t="str">
        <f>IF(SUMIFS('Purchase Record'!G:G,'Purchase Record'!F:F,Sheet4!A948)=0,"",SUMIFS('Purchase Record'!G:G,'Purchase Record'!F:F,Sheet4!A948))</f>
        <v/>
      </c>
      <c r="D948" t="str">
        <f>IF(SUMIFS('Sales Record'!H:H,'Sales Record'!F:F,Sheet4!A948)=0,"",SUMIFS('Sales Record'!H:H,'Sales Record'!F:F,Sheet4!A948))</f>
        <v/>
      </c>
      <c r="E948" t="str">
        <f>IF(SUMIFS('Sales Return'!G:G,'Sales Return'!F:F,Sheet4!A948)=0,"",SUMIFS('Sales Return'!G:G,'Sales Return'!F:F,Sheet4!A948))</f>
        <v/>
      </c>
      <c r="F948" t="str">
        <f>IF(SUMIFS('Purchase Return'!G:G,'Purchase Return'!F:F,Sheet4!A948)=0,"",SUMIFS('Purchase Return'!G:G,'Purchase Return'!F:F,Sheet4!A948))</f>
        <v/>
      </c>
      <c r="G948" t="str">
        <f t="shared" si="14"/>
        <v/>
      </c>
    </row>
    <row r="949" spans="1:7">
      <c r="A949" t="str">
        <f>IF('Product List'!B949="","",'Product List'!B949)</f>
        <v/>
      </c>
      <c r="B949" t="str">
        <f>IF('Product List'!C949="","",'Product List'!C949)</f>
        <v/>
      </c>
      <c r="C949" t="str">
        <f>IF(SUMIFS('Purchase Record'!G:G,'Purchase Record'!F:F,Sheet4!A949)=0,"",SUMIFS('Purchase Record'!G:G,'Purchase Record'!F:F,Sheet4!A949))</f>
        <v/>
      </c>
      <c r="D949" t="str">
        <f>IF(SUMIFS('Sales Record'!H:H,'Sales Record'!F:F,Sheet4!A949)=0,"",SUMIFS('Sales Record'!H:H,'Sales Record'!F:F,Sheet4!A949))</f>
        <v/>
      </c>
      <c r="E949" t="str">
        <f>IF(SUMIFS('Sales Return'!G:G,'Sales Return'!F:F,Sheet4!A949)=0,"",SUMIFS('Sales Return'!G:G,'Sales Return'!F:F,Sheet4!A949))</f>
        <v/>
      </c>
      <c r="F949" t="str">
        <f>IF(SUMIFS('Purchase Return'!G:G,'Purchase Return'!F:F,Sheet4!A949)=0,"",SUMIFS('Purchase Return'!G:G,'Purchase Return'!F:F,Sheet4!A949))</f>
        <v/>
      </c>
      <c r="G949" t="str">
        <f t="shared" si="14"/>
        <v/>
      </c>
    </row>
    <row r="950" spans="1:7">
      <c r="A950" t="str">
        <f>IF('Product List'!B950="","",'Product List'!B950)</f>
        <v/>
      </c>
      <c r="B950" t="str">
        <f>IF('Product List'!C950="","",'Product List'!C950)</f>
        <v/>
      </c>
      <c r="C950" t="str">
        <f>IF(SUMIFS('Purchase Record'!G:G,'Purchase Record'!F:F,Sheet4!A950)=0,"",SUMIFS('Purchase Record'!G:G,'Purchase Record'!F:F,Sheet4!A950))</f>
        <v/>
      </c>
      <c r="D950" t="str">
        <f>IF(SUMIFS('Sales Record'!H:H,'Sales Record'!F:F,Sheet4!A950)=0,"",SUMIFS('Sales Record'!H:H,'Sales Record'!F:F,Sheet4!A950))</f>
        <v/>
      </c>
      <c r="E950" t="str">
        <f>IF(SUMIFS('Sales Return'!G:G,'Sales Return'!F:F,Sheet4!A950)=0,"",SUMIFS('Sales Return'!G:G,'Sales Return'!F:F,Sheet4!A950))</f>
        <v/>
      </c>
      <c r="F950" t="str">
        <f>IF(SUMIFS('Purchase Return'!G:G,'Purchase Return'!F:F,Sheet4!A950)=0,"",SUMIFS('Purchase Return'!G:G,'Purchase Return'!F:F,Sheet4!A950))</f>
        <v/>
      </c>
      <c r="G950" t="str">
        <f t="shared" si="14"/>
        <v/>
      </c>
    </row>
    <row r="951" spans="1:7">
      <c r="A951" t="str">
        <f>IF('Product List'!B951="","",'Product List'!B951)</f>
        <v/>
      </c>
      <c r="B951" t="str">
        <f>IF('Product List'!C951="","",'Product List'!C951)</f>
        <v/>
      </c>
      <c r="C951" t="str">
        <f>IF(SUMIFS('Purchase Record'!G:G,'Purchase Record'!F:F,Sheet4!A951)=0,"",SUMIFS('Purchase Record'!G:G,'Purchase Record'!F:F,Sheet4!A951))</f>
        <v/>
      </c>
      <c r="D951" t="str">
        <f>IF(SUMIFS('Sales Record'!H:H,'Sales Record'!F:F,Sheet4!A951)=0,"",SUMIFS('Sales Record'!H:H,'Sales Record'!F:F,Sheet4!A951))</f>
        <v/>
      </c>
      <c r="E951" t="str">
        <f>IF(SUMIFS('Sales Return'!G:G,'Sales Return'!F:F,Sheet4!A951)=0,"",SUMIFS('Sales Return'!G:G,'Sales Return'!F:F,Sheet4!A951))</f>
        <v/>
      </c>
      <c r="F951" t="str">
        <f>IF(SUMIFS('Purchase Return'!G:G,'Purchase Return'!F:F,Sheet4!A951)=0,"",SUMIFS('Purchase Return'!G:G,'Purchase Return'!F:F,Sheet4!A951))</f>
        <v/>
      </c>
      <c r="G951" t="str">
        <f t="shared" si="14"/>
        <v/>
      </c>
    </row>
    <row r="952" spans="1:7">
      <c r="A952" t="str">
        <f>IF('Product List'!B952="","",'Product List'!B952)</f>
        <v/>
      </c>
      <c r="B952" t="str">
        <f>IF('Product List'!C952="","",'Product List'!C952)</f>
        <v/>
      </c>
      <c r="C952" t="str">
        <f>IF(SUMIFS('Purchase Record'!G:G,'Purchase Record'!F:F,Sheet4!A952)=0,"",SUMIFS('Purchase Record'!G:G,'Purchase Record'!F:F,Sheet4!A952))</f>
        <v/>
      </c>
      <c r="D952" t="str">
        <f>IF(SUMIFS('Sales Record'!H:H,'Sales Record'!F:F,Sheet4!A952)=0,"",SUMIFS('Sales Record'!H:H,'Sales Record'!F:F,Sheet4!A952))</f>
        <v/>
      </c>
      <c r="E952" t="str">
        <f>IF(SUMIFS('Sales Return'!G:G,'Sales Return'!F:F,Sheet4!A952)=0,"",SUMIFS('Sales Return'!G:G,'Sales Return'!F:F,Sheet4!A952))</f>
        <v/>
      </c>
      <c r="F952" t="str">
        <f>IF(SUMIFS('Purchase Return'!G:G,'Purchase Return'!F:F,Sheet4!A952)=0,"",SUMIFS('Purchase Return'!G:G,'Purchase Return'!F:F,Sheet4!A952))</f>
        <v/>
      </c>
      <c r="G952" t="str">
        <f t="shared" si="14"/>
        <v/>
      </c>
    </row>
    <row r="953" spans="1:7">
      <c r="A953" t="str">
        <f>IF('Product List'!B953="","",'Product List'!B953)</f>
        <v/>
      </c>
      <c r="B953" t="str">
        <f>IF('Product List'!C953="","",'Product List'!C953)</f>
        <v/>
      </c>
      <c r="C953" t="str">
        <f>IF(SUMIFS('Purchase Record'!G:G,'Purchase Record'!F:F,Sheet4!A953)=0,"",SUMIFS('Purchase Record'!G:G,'Purchase Record'!F:F,Sheet4!A953))</f>
        <v/>
      </c>
      <c r="D953" t="str">
        <f>IF(SUMIFS('Sales Record'!H:H,'Sales Record'!F:F,Sheet4!A953)=0,"",SUMIFS('Sales Record'!H:H,'Sales Record'!F:F,Sheet4!A953))</f>
        <v/>
      </c>
      <c r="E953" t="str">
        <f>IF(SUMIFS('Sales Return'!G:G,'Sales Return'!F:F,Sheet4!A953)=0,"",SUMIFS('Sales Return'!G:G,'Sales Return'!F:F,Sheet4!A953))</f>
        <v/>
      </c>
      <c r="F953" t="str">
        <f>IF(SUMIFS('Purchase Return'!G:G,'Purchase Return'!F:F,Sheet4!A953)=0,"",SUMIFS('Purchase Return'!G:G,'Purchase Return'!F:F,Sheet4!A953))</f>
        <v/>
      </c>
      <c r="G953" t="str">
        <f t="shared" si="14"/>
        <v/>
      </c>
    </row>
    <row r="954" spans="1:7">
      <c r="A954" t="str">
        <f>IF('Product List'!B954="","",'Product List'!B954)</f>
        <v/>
      </c>
      <c r="B954" t="str">
        <f>IF('Product List'!C954="","",'Product List'!C954)</f>
        <v/>
      </c>
      <c r="C954" t="str">
        <f>IF(SUMIFS('Purchase Record'!G:G,'Purchase Record'!F:F,Sheet4!A954)=0,"",SUMIFS('Purchase Record'!G:G,'Purchase Record'!F:F,Sheet4!A954))</f>
        <v/>
      </c>
      <c r="D954" t="str">
        <f>IF(SUMIFS('Sales Record'!H:H,'Sales Record'!F:F,Sheet4!A954)=0,"",SUMIFS('Sales Record'!H:H,'Sales Record'!F:F,Sheet4!A954))</f>
        <v/>
      </c>
      <c r="E954" t="str">
        <f>IF(SUMIFS('Sales Return'!G:G,'Sales Return'!F:F,Sheet4!A954)=0,"",SUMIFS('Sales Return'!G:G,'Sales Return'!F:F,Sheet4!A954))</f>
        <v/>
      </c>
      <c r="F954" t="str">
        <f>IF(SUMIFS('Purchase Return'!G:G,'Purchase Return'!F:F,Sheet4!A954)=0,"",SUMIFS('Purchase Return'!G:G,'Purchase Return'!F:F,Sheet4!A954))</f>
        <v/>
      </c>
      <c r="G954" t="str">
        <f t="shared" si="14"/>
        <v/>
      </c>
    </row>
    <row r="955" spans="1:7">
      <c r="A955" t="str">
        <f>IF('Product List'!B955="","",'Product List'!B955)</f>
        <v/>
      </c>
      <c r="B955" t="str">
        <f>IF('Product List'!C955="","",'Product List'!C955)</f>
        <v/>
      </c>
      <c r="C955" t="str">
        <f>IF(SUMIFS('Purchase Record'!G:G,'Purchase Record'!F:F,Sheet4!A955)=0,"",SUMIFS('Purchase Record'!G:G,'Purchase Record'!F:F,Sheet4!A955))</f>
        <v/>
      </c>
      <c r="D955" t="str">
        <f>IF(SUMIFS('Sales Record'!H:H,'Sales Record'!F:F,Sheet4!A955)=0,"",SUMIFS('Sales Record'!H:H,'Sales Record'!F:F,Sheet4!A955))</f>
        <v/>
      </c>
      <c r="E955" t="str">
        <f>IF(SUMIFS('Sales Return'!G:G,'Sales Return'!F:F,Sheet4!A955)=0,"",SUMIFS('Sales Return'!G:G,'Sales Return'!F:F,Sheet4!A955))</f>
        <v/>
      </c>
      <c r="F955" t="str">
        <f>IF(SUMIFS('Purchase Return'!G:G,'Purchase Return'!F:F,Sheet4!A955)=0,"",SUMIFS('Purchase Return'!G:G,'Purchase Return'!F:F,Sheet4!A955))</f>
        <v/>
      </c>
      <c r="G955" t="str">
        <f t="shared" si="14"/>
        <v/>
      </c>
    </row>
    <row r="956" spans="1:7">
      <c r="A956" t="str">
        <f>IF('Product List'!B956="","",'Product List'!B956)</f>
        <v/>
      </c>
      <c r="B956" t="str">
        <f>IF('Product List'!C956="","",'Product List'!C956)</f>
        <v/>
      </c>
      <c r="C956" t="str">
        <f>IF(SUMIFS('Purchase Record'!G:G,'Purchase Record'!F:F,Sheet4!A956)=0,"",SUMIFS('Purchase Record'!G:G,'Purchase Record'!F:F,Sheet4!A956))</f>
        <v/>
      </c>
      <c r="D956" t="str">
        <f>IF(SUMIFS('Sales Record'!H:H,'Sales Record'!F:F,Sheet4!A956)=0,"",SUMIFS('Sales Record'!H:H,'Sales Record'!F:F,Sheet4!A956))</f>
        <v/>
      </c>
      <c r="E956" t="str">
        <f>IF(SUMIFS('Sales Return'!G:G,'Sales Return'!F:F,Sheet4!A956)=0,"",SUMIFS('Sales Return'!G:G,'Sales Return'!F:F,Sheet4!A956))</f>
        <v/>
      </c>
      <c r="F956" t="str">
        <f>IF(SUMIFS('Purchase Return'!G:G,'Purchase Return'!F:F,Sheet4!A956)=0,"",SUMIFS('Purchase Return'!G:G,'Purchase Return'!F:F,Sheet4!A956))</f>
        <v/>
      </c>
      <c r="G956" t="str">
        <f t="shared" si="14"/>
        <v/>
      </c>
    </row>
    <row r="957" spans="1:7">
      <c r="A957" t="str">
        <f>IF('Product List'!B957="","",'Product List'!B957)</f>
        <v/>
      </c>
      <c r="B957" t="str">
        <f>IF('Product List'!C957="","",'Product List'!C957)</f>
        <v/>
      </c>
      <c r="C957" t="str">
        <f>IF(SUMIFS('Purchase Record'!G:G,'Purchase Record'!F:F,Sheet4!A957)=0,"",SUMIFS('Purchase Record'!G:G,'Purchase Record'!F:F,Sheet4!A957))</f>
        <v/>
      </c>
      <c r="D957" t="str">
        <f>IF(SUMIFS('Sales Record'!H:H,'Sales Record'!F:F,Sheet4!A957)=0,"",SUMIFS('Sales Record'!H:H,'Sales Record'!F:F,Sheet4!A957))</f>
        <v/>
      </c>
      <c r="E957" t="str">
        <f>IF(SUMIFS('Sales Return'!G:G,'Sales Return'!F:F,Sheet4!A957)=0,"",SUMIFS('Sales Return'!G:G,'Sales Return'!F:F,Sheet4!A957))</f>
        <v/>
      </c>
      <c r="F957" t="str">
        <f>IF(SUMIFS('Purchase Return'!G:G,'Purchase Return'!F:F,Sheet4!A957)=0,"",SUMIFS('Purchase Return'!G:G,'Purchase Return'!F:F,Sheet4!A957))</f>
        <v/>
      </c>
      <c r="G957" t="str">
        <f t="shared" si="14"/>
        <v/>
      </c>
    </row>
    <row r="958" spans="1:7">
      <c r="A958" t="str">
        <f>IF('Product List'!B958="","",'Product List'!B958)</f>
        <v/>
      </c>
      <c r="B958" t="str">
        <f>IF('Product List'!C958="","",'Product List'!C958)</f>
        <v/>
      </c>
      <c r="C958" t="str">
        <f>IF(SUMIFS('Purchase Record'!G:G,'Purchase Record'!F:F,Sheet4!A958)=0,"",SUMIFS('Purchase Record'!G:G,'Purchase Record'!F:F,Sheet4!A958))</f>
        <v/>
      </c>
      <c r="D958" t="str">
        <f>IF(SUMIFS('Sales Record'!H:H,'Sales Record'!F:F,Sheet4!A958)=0,"",SUMIFS('Sales Record'!H:H,'Sales Record'!F:F,Sheet4!A958))</f>
        <v/>
      </c>
      <c r="E958" t="str">
        <f>IF(SUMIFS('Sales Return'!G:G,'Sales Return'!F:F,Sheet4!A958)=0,"",SUMIFS('Sales Return'!G:G,'Sales Return'!F:F,Sheet4!A958))</f>
        <v/>
      </c>
      <c r="F958" t="str">
        <f>IF(SUMIFS('Purchase Return'!G:G,'Purchase Return'!F:F,Sheet4!A958)=0,"",SUMIFS('Purchase Return'!G:G,'Purchase Return'!F:F,Sheet4!A958))</f>
        <v/>
      </c>
      <c r="G958" t="str">
        <f t="shared" si="14"/>
        <v/>
      </c>
    </row>
    <row r="959" spans="1:7">
      <c r="A959" t="str">
        <f>IF('Product List'!B959="","",'Product List'!B959)</f>
        <v/>
      </c>
      <c r="B959" t="str">
        <f>IF('Product List'!C959="","",'Product List'!C959)</f>
        <v/>
      </c>
      <c r="C959" t="str">
        <f>IF(SUMIFS('Purchase Record'!G:G,'Purchase Record'!F:F,Sheet4!A959)=0,"",SUMIFS('Purchase Record'!G:G,'Purchase Record'!F:F,Sheet4!A959))</f>
        <v/>
      </c>
      <c r="D959" t="str">
        <f>IF(SUMIFS('Sales Record'!H:H,'Sales Record'!F:F,Sheet4!A959)=0,"",SUMIFS('Sales Record'!H:H,'Sales Record'!F:F,Sheet4!A959))</f>
        <v/>
      </c>
      <c r="E959" t="str">
        <f>IF(SUMIFS('Sales Return'!G:G,'Sales Return'!F:F,Sheet4!A959)=0,"",SUMIFS('Sales Return'!G:G,'Sales Return'!F:F,Sheet4!A959))</f>
        <v/>
      </c>
      <c r="F959" t="str">
        <f>IF(SUMIFS('Purchase Return'!G:G,'Purchase Return'!F:F,Sheet4!A959)=0,"",SUMIFS('Purchase Return'!G:G,'Purchase Return'!F:F,Sheet4!A959))</f>
        <v/>
      </c>
      <c r="G959" t="str">
        <f t="shared" si="14"/>
        <v/>
      </c>
    </row>
    <row r="960" spans="1:7">
      <c r="A960" t="str">
        <f>IF('Product List'!B960="","",'Product List'!B960)</f>
        <v/>
      </c>
      <c r="B960" t="str">
        <f>IF('Product List'!C960="","",'Product List'!C960)</f>
        <v/>
      </c>
      <c r="C960" t="str">
        <f>IF(SUMIFS('Purchase Record'!G:G,'Purchase Record'!F:F,Sheet4!A960)=0,"",SUMIFS('Purchase Record'!G:G,'Purchase Record'!F:F,Sheet4!A960))</f>
        <v/>
      </c>
      <c r="D960" t="str">
        <f>IF(SUMIFS('Sales Record'!H:H,'Sales Record'!F:F,Sheet4!A960)=0,"",SUMIFS('Sales Record'!H:H,'Sales Record'!F:F,Sheet4!A960))</f>
        <v/>
      </c>
      <c r="E960" t="str">
        <f>IF(SUMIFS('Sales Return'!G:G,'Sales Return'!F:F,Sheet4!A960)=0,"",SUMIFS('Sales Return'!G:G,'Sales Return'!F:F,Sheet4!A960))</f>
        <v/>
      </c>
      <c r="F960" t="str">
        <f>IF(SUMIFS('Purchase Return'!G:G,'Purchase Return'!F:F,Sheet4!A960)=0,"",SUMIFS('Purchase Return'!G:G,'Purchase Return'!F:F,Sheet4!A960))</f>
        <v/>
      </c>
      <c r="G960" t="str">
        <f t="shared" si="14"/>
        <v/>
      </c>
    </row>
    <row r="961" spans="1:7">
      <c r="A961" t="str">
        <f>IF('Product List'!B961="","",'Product List'!B961)</f>
        <v/>
      </c>
      <c r="B961" t="str">
        <f>IF('Product List'!C961="","",'Product List'!C961)</f>
        <v/>
      </c>
      <c r="C961" t="str">
        <f>IF(SUMIFS('Purchase Record'!G:G,'Purchase Record'!F:F,Sheet4!A961)=0,"",SUMIFS('Purchase Record'!G:G,'Purchase Record'!F:F,Sheet4!A961))</f>
        <v/>
      </c>
      <c r="D961" t="str">
        <f>IF(SUMIFS('Sales Record'!H:H,'Sales Record'!F:F,Sheet4!A961)=0,"",SUMIFS('Sales Record'!H:H,'Sales Record'!F:F,Sheet4!A961))</f>
        <v/>
      </c>
      <c r="E961" t="str">
        <f>IF(SUMIFS('Sales Return'!G:G,'Sales Return'!F:F,Sheet4!A961)=0,"",SUMIFS('Sales Return'!G:G,'Sales Return'!F:F,Sheet4!A961))</f>
        <v/>
      </c>
      <c r="F961" t="str">
        <f>IF(SUMIFS('Purchase Return'!G:G,'Purchase Return'!F:F,Sheet4!A961)=0,"",SUMIFS('Purchase Return'!G:G,'Purchase Return'!F:F,Sheet4!A961))</f>
        <v/>
      </c>
      <c r="G961" t="str">
        <f t="shared" si="14"/>
        <v/>
      </c>
    </row>
    <row r="962" spans="1:7">
      <c r="A962" t="str">
        <f>IF('Product List'!B962="","",'Product List'!B962)</f>
        <v/>
      </c>
      <c r="B962" t="str">
        <f>IF('Product List'!C962="","",'Product List'!C962)</f>
        <v/>
      </c>
      <c r="C962" t="str">
        <f>IF(SUMIFS('Purchase Record'!G:G,'Purchase Record'!F:F,Sheet4!A962)=0,"",SUMIFS('Purchase Record'!G:G,'Purchase Record'!F:F,Sheet4!A962))</f>
        <v/>
      </c>
      <c r="D962" t="str">
        <f>IF(SUMIFS('Sales Record'!H:H,'Sales Record'!F:F,Sheet4!A962)=0,"",SUMIFS('Sales Record'!H:H,'Sales Record'!F:F,Sheet4!A962))</f>
        <v/>
      </c>
      <c r="E962" t="str">
        <f>IF(SUMIFS('Sales Return'!G:G,'Sales Return'!F:F,Sheet4!A962)=0,"",SUMIFS('Sales Return'!G:G,'Sales Return'!F:F,Sheet4!A962))</f>
        <v/>
      </c>
      <c r="F962" t="str">
        <f>IF(SUMIFS('Purchase Return'!G:G,'Purchase Return'!F:F,Sheet4!A962)=0,"",SUMIFS('Purchase Return'!G:G,'Purchase Return'!F:F,Sheet4!A962))</f>
        <v/>
      </c>
      <c r="G962" t="str">
        <f t="shared" si="14"/>
        <v/>
      </c>
    </row>
    <row r="963" spans="1:7">
      <c r="A963" t="str">
        <f>IF('Product List'!B963="","",'Product List'!B963)</f>
        <v/>
      </c>
      <c r="B963" t="str">
        <f>IF('Product List'!C963="","",'Product List'!C963)</f>
        <v/>
      </c>
      <c r="C963" t="str">
        <f>IF(SUMIFS('Purchase Record'!G:G,'Purchase Record'!F:F,Sheet4!A963)=0,"",SUMIFS('Purchase Record'!G:G,'Purchase Record'!F:F,Sheet4!A963))</f>
        <v/>
      </c>
      <c r="D963" t="str">
        <f>IF(SUMIFS('Sales Record'!H:H,'Sales Record'!F:F,Sheet4!A963)=0,"",SUMIFS('Sales Record'!H:H,'Sales Record'!F:F,Sheet4!A963))</f>
        <v/>
      </c>
      <c r="E963" t="str">
        <f>IF(SUMIFS('Sales Return'!G:G,'Sales Return'!F:F,Sheet4!A963)=0,"",SUMIFS('Sales Return'!G:G,'Sales Return'!F:F,Sheet4!A963))</f>
        <v/>
      </c>
      <c r="F963" t="str">
        <f>IF(SUMIFS('Purchase Return'!G:G,'Purchase Return'!F:F,Sheet4!A963)=0,"",SUMIFS('Purchase Return'!G:G,'Purchase Return'!F:F,Sheet4!A963))</f>
        <v/>
      </c>
      <c r="G963" t="str">
        <f t="shared" ref="G963:G1026" si="15">IF(C963="","",N(C963)-N(D963)+N(E963)-N(F963))</f>
        <v/>
      </c>
    </row>
    <row r="964" spans="1:7">
      <c r="A964" t="str">
        <f>IF('Product List'!B964="","",'Product List'!B964)</f>
        <v/>
      </c>
      <c r="B964" t="str">
        <f>IF('Product List'!C964="","",'Product List'!C964)</f>
        <v/>
      </c>
      <c r="C964" t="str">
        <f>IF(SUMIFS('Purchase Record'!G:G,'Purchase Record'!F:F,Sheet4!A964)=0,"",SUMIFS('Purchase Record'!G:G,'Purchase Record'!F:F,Sheet4!A964))</f>
        <v/>
      </c>
      <c r="D964" t="str">
        <f>IF(SUMIFS('Sales Record'!H:H,'Sales Record'!F:F,Sheet4!A964)=0,"",SUMIFS('Sales Record'!H:H,'Sales Record'!F:F,Sheet4!A964))</f>
        <v/>
      </c>
      <c r="E964" t="str">
        <f>IF(SUMIFS('Sales Return'!G:G,'Sales Return'!F:F,Sheet4!A964)=0,"",SUMIFS('Sales Return'!G:G,'Sales Return'!F:F,Sheet4!A964))</f>
        <v/>
      </c>
      <c r="F964" t="str">
        <f>IF(SUMIFS('Purchase Return'!G:G,'Purchase Return'!F:F,Sheet4!A964)=0,"",SUMIFS('Purchase Return'!G:G,'Purchase Return'!F:F,Sheet4!A964))</f>
        <v/>
      </c>
      <c r="G964" t="str">
        <f t="shared" si="15"/>
        <v/>
      </c>
    </row>
    <row r="965" spans="1:7">
      <c r="A965" t="str">
        <f>IF('Product List'!B965="","",'Product List'!B965)</f>
        <v/>
      </c>
      <c r="B965" t="str">
        <f>IF('Product List'!C965="","",'Product List'!C965)</f>
        <v/>
      </c>
      <c r="C965" t="str">
        <f>IF(SUMIFS('Purchase Record'!G:G,'Purchase Record'!F:F,Sheet4!A965)=0,"",SUMIFS('Purchase Record'!G:G,'Purchase Record'!F:F,Sheet4!A965))</f>
        <v/>
      </c>
      <c r="D965" t="str">
        <f>IF(SUMIFS('Sales Record'!H:H,'Sales Record'!F:F,Sheet4!A965)=0,"",SUMIFS('Sales Record'!H:H,'Sales Record'!F:F,Sheet4!A965))</f>
        <v/>
      </c>
      <c r="E965" t="str">
        <f>IF(SUMIFS('Sales Return'!G:G,'Sales Return'!F:F,Sheet4!A965)=0,"",SUMIFS('Sales Return'!G:G,'Sales Return'!F:F,Sheet4!A965))</f>
        <v/>
      </c>
      <c r="F965" t="str">
        <f>IF(SUMIFS('Purchase Return'!G:G,'Purchase Return'!F:F,Sheet4!A965)=0,"",SUMIFS('Purchase Return'!G:G,'Purchase Return'!F:F,Sheet4!A965))</f>
        <v/>
      </c>
      <c r="G965" t="str">
        <f t="shared" si="15"/>
        <v/>
      </c>
    </row>
    <row r="966" spans="1:7">
      <c r="A966" t="str">
        <f>IF('Product List'!B966="","",'Product List'!B966)</f>
        <v/>
      </c>
      <c r="B966" t="str">
        <f>IF('Product List'!C966="","",'Product List'!C966)</f>
        <v/>
      </c>
      <c r="C966" t="str">
        <f>IF(SUMIFS('Purchase Record'!G:G,'Purchase Record'!F:F,Sheet4!A966)=0,"",SUMIFS('Purchase Record'!G:G,'Purchase Record'!F:F,Sheet4!A966))</f>
        <v/>
      </c>
      <c r="D966" t="str">
        <f>IF(SUMIFS('Sales Record'!H:H,'Sales Record'!F:F,Sheet4!A966)=0,"",SUMIFS('Sales Record'!H:H,'Sales Record'!F:F,Sheet4!A966))</f>
        <v/>
      </c>
      <c r="E966" t="str">
        <f>IF(SUMIFS('Sales Return'!G:G,'Sales Return'!F:F,Sheet4!A966)=0,"",SUMIFS('Sales Return'!G:G,'Sales Return'!F:F,Sheet4!A966))</f>
        <v/>
      </c>
      <c r="F966" t="str">
        <f>IF(SUMIFS('Purchase Return'!G:G,'Purchase Return'!F:F,Sheet4!A966)=0,"",SUMIFS('Purchase Return'!G:G,'Purchase Return'!F:F,Sheet4!A966))</f>
        <v/>
      </c>
      <c r="G966" t="str">
        <f t="shared" si="15"/>
        <v/>
      </c>
    </row>
    <row r="967" spans="1:7">
      <c r="A967" t="str">
        <f>IF('Product List'!B967="","",'Product List'!B967)</f>
        <v/>
      </c>
      <c r="B967" t="str">
        <f>IF('Product List'!C967="","",'Product List'!C967)</f>
        <v/>
      </c>
      <c r="C967" t="str">
        <f>IF(SUMIFS('Purchase Record'!G:G,'Purchase Record'!F:F,Sheet4!A967)=0,"",SUMIFS('Purchase Record'!G:G,'Purchase Record'!F:F,Sheet4!A967))</f>
        <v/>
      </c>
      <c r="D967" t="str">
        <f>IF(SUMIFS('Sales Record'!H:H,'Sales Record'!F:F,Sheet4!A967)=0,"",SUMIFS('Sales Record'!H:H,'Sales Record'!F:F,Sheet4!A967))</f>
        <v/>
      </c>
      <c r="E967" t="str">
        <f>IF(SUMIFS('Sales Return'!G:G,'Sales Return'!F:F,Sheet4!A967)=0,"",SUMIFS('Sales Return'!G:G,'Sales Return'!F:F,Sheet4!A967))</f>
        <v/>
      </c>
      <c r="F967" t="str">
        <f>IF(SUMIFS('Purchase Return'!G:G,'Purchase Return'!F:F,Sheet4!A967)=0,"",SUMIFS('Purchase Return'!G:G,'Purchase Return'!F:F,Sheet4!A967))</f>
        <v/>
      </c>
      <c r="G967" t="str">
        <f t="shared" si="15"/>
        <v/>
      </c>
    </row>
    <row r="968" spans="1:7">
      <c r="A968" t="str">
        <f>IF('Product List'!B968="","",'Product List'!B968)</f>
        <v/>
      </c>
      <c r="B968" t="str">
        <f>IF('Product List'!C968="","",'Product List'!C968)</f>
        <v/>
      </c>
      <c r="C968" t="str">
        <f>IF(SUMIFS('Purchase Record'!G:G,'Purchase Record'!F:F,Sheet4!A968)=0,"",SUMIFS('Purchase Record'!G:G,'Purchase Record'!F:F,Sheet4!A968))</f>
        <v/>
      </c>
      <c r="D968" t="str">
        <f>IF(SUMIFS('Sales Record'!H:H,'Sales Record'!F:F,Sheet4!A968)=0,"",SUMIFS('Sales Record'!H:H,'Sales Record'!F:F,Sheet4!A968))</f>
        <v/>
      </c>
      <c r="E968" t="str">
        <f>IF(SUMIFS('Sales Return'!G:G,'Sales Return'!F:F,Sheet4!A968)=0,"",SUMIFS('Sales Return'!G:G,'Sales Return'!F:F,Sheet4!A968))</f>
        <v/>
      </c>
      <c r="F968" t="str">
        <f>IF(SUMIFS('Purchase Return'!G:G,'Purchase Return'!F:F,Sheet4!A968)=0,"",SUMIFS('Purchase Return'!G:G,'Purchase Return'!F:F,Sheet4!A968))</f>
        <v/>
      </c>
      <c r="G968" t="str">
        <f t="shared" si="15"/>
        <v/>
      </c>
    </row>
    <row r="969" spans="1:7">
      <c r="A969" t="str">
        <f>IF('Product List'!B969="","",'Product List'!B969)</f>
        <v/>
      </c>
      <c r="B969" t="str">
        <f>IF('Product List'!C969="","",'Product List'!C969)</f>
        <v/>
      </c>
      <c r="C969" t="str">
        <f>IF(SUMIFS('Purchase Record'!G:G,'Purchase Record'!F:F,Sheet4!A969)=0,"",SUMIFS('Purchase Record'!G:G,'Purchase Record'!F:F,Sheet4!A969))</f>
        <v/>
      </c>
      <c r="D969" t="str">
        <f>IF(SUMIFS('Sales Record'!H:H,'Sales Record'!F:F,Sheet4!A969)=0,"",SUMIFS('Sales Record'!H:H,'Sales Record'!F:F,Sheet4!A969))</f>
        <v/>
      </c>
      <c r="E969" t="str">
        <f>IF(SUMIFS('Sales Return'!G:G,'Sales Return'!F:F,Sheet4!A969)=0,"",SUMIFS('Sales Return'!G:G,'Sales Return'!F:F,Sheet4!A969))</f>
        <v/>
      </c>
      <c r="F969" t="str">
        <f>IF(SUMIFS('Purchase Return'!G:G,'Purchase Return'!F:F,Sheet4!A969)=0,"",SUMIFS('Purchase Return'!G:G,'Purchase Return'!F:F,Sheet4!A969))</f>
        <v/>
      </c>
      <c r="G969" t="str">
        <f t="shared" si="15"/>
        <v/>
      </c>
    </row>
    <row r="970" spans="1:7">
      <c r="A970" t="str">
        <f>IF('Product List'!B970="","",'Product List'!B970)</f>
        <v/>
      </c>
      <c r="B970" t="str">
        <f>IF('Product List'!C970="","",'Product List'!C970)</f>
        <v/>
      </c>
      <c r="C970" t="str">
        <f>IF(SUMIFS('Purchase Record'!G:G,'Purchase Record'!F:F,Sheet4!A970)=0,"",SUMIFS('Purchase Record'!G:G,'Purchase Record'!F:F,Sheet4!A970))</f>
        <v/>
      </c>
      <c r="D970" t="str">
        <f>IF(SUMIFS('Sales Record'!H:H,'Sales Record'!F:F,Sheet4!A970)=0,"",SUMIFS('Sales Record'!H:H,'Sales Record'!F:F,Sheet4!A970))</f>
        <v/>
      </c>
      <c r="E970" t="str">
        <f>IF(SUMIFS('Sales Return'!G:G,'Sales Return'!F:F,Sheet4!A970)=0,"",SUMIFS('Sales Return'!G:G,'Sales Return'!F:F,Sheet4!A970))</f>
        <v/>
      </c>
      <c r="F970" t="str">
        <f>IF(SUMIFS('Purchase Return'!G:G,'Purchase Return'!F:F,Sheet4!A970)=0,"",SUMIFS('Purchase Return'!G:G,'Purchase Return'!F:F,Sheet4!A970))</f>
        <v/>
      </c>
      <c r="G970" t="str">
        <f t="shared" si="15"/>
        <v/>
      </c>
    </row>
    <row r="971" spans="1:7">
      <c r="A971" t="str">
        <f>IF('Product List'!B971="","",'Product List'!B971)</f>
        <v/>
      </c>
      <c r="B971" t="str">
        <f>IF('Product List'!C971="","",'Product List'!C971)</f>
        <v/>
      </c>
      <c r="C971" t="str">
        <f>IF(SUMIFS('Purchase Record'!G:G,'Purchase Record'!F:F,Sheet4!A971)=0,"",SUMIFS('Purchase Record'!G:G,'Purchase Record'!F:F,Sheet4!A971))</f>
        <v/>
      </c>
      <c r="D971" t="str">
        <f>IF(SUMIFS('Sales Record'!H:H,'Sales Record'!F:F,Sheet4!A971)=0,"",SUMIFS('Sales Record'!H:H,'Sales Record'!F:F,Sheet4!A971))</f>
        <v/>
      </c>
      <c r="E971" t="str">
        <f>IF(SUMIFS('Sales Return'!G:G,'Sales Return'!F:F,Sheet4!A971)=0,"",SUMIFS('Sales Return'!G:G,'Sales Return'!F:F,Sheet4!A971))</f>
        <v/>
      </c>
      <c r="F971" t="str">
        <f>IF(SUMIFS('Purchase Return'!G:G,'Purchase Return'!F:F,Sheet4!A971)=0,"",SUMIFS('Purchase Return'!G:G,'Purchase Return'!F:F,Sheet4!A971))</f>
        <v/>
      </c>
      <c r="G971" t="str">
        <f t="shared" si="15"/>
        <v/>
      </c>
    </row>
    <row r="972" spans="1:7">
      <c r="A972" t="str">
        <f>IF('Product List'!B972="","",'Product List'!B972)</f>
        <v/>
      </c>
      <c r="B972" t="str">
        <f>IF('Product List'!C972="","",'Product List'!C972)</f>
        <v/>
      </c>
      <c r="C972" t="str">
        <f>IF(SUMIFS('Purchase Record'!G:G,'Purchase Record'!F:F,Sheet4!A972)=0,"",SUMIFS('Purchase Record'!G:G,'Purchase Record'!F:F,Sheet4!A972))</f>
        <v/>
      </c>
      <c r="D972" t="str">
        <f>IF(SUMIFS('Sales Record'!H:H,'Sales Record'!F:F,Sheet4!A972)=0,"",SUMIFS('Sales Record'!H:H,'Sales Record'!F:F,Sheet4!A972))</f>
        <v/>
      </c>
      <c r="E972" t="str">
        <f>IF(SUMIFS('Sales Return'!G:G,'Sales Return'!F:F,Sheet4!A972)=0,"",SUMIFS('Sales Return'!G:G,'Sales Return'!F:F,Sheet4!A972))</f>
        <v/>
      </c>
      <c r="F972" t="str">
        <f>IF(SUMIFS('Purchase Return'!G:G,'Purchase Return'!F:F,Sheet4!A972)=0,"",SUMIFS('Purchase Return'!G:G,'Purchase Return'!F:F,Sheet4!A972))</f>
        <v/>
      </c>
      <c r="G972" t="str">
        <f t="shared" si="15"/>
        <v/>
      </c>
    </row>
    <row r="973" spans="1:7">
      <c r="A973" t="str">
        <f>IF('Product List'!B973="","",'Product List'!B973)</f>
        <v/>
      </c>
      <c r="B973" t="str">
        <f>IF('Product List'!C973="","",'Product List'!C973)</f>
        <v/>
      </c>
      <c r="C973" t="str">
        <f>IF(SUMIFS('Purchase Record'!G:G,'Purchase Record'!F:F,Sheet4!A973)=0,"",SUMIFS('Purchase Record'!G:G,'Purchase Record'!F:F,Sheet4!A973))</f>
        <v/>
      </c>
      <c r="D973" t="str">
        <f>IF(SUMIFS('Sales Record'!H:H,'Sales Record'!F:F,Sheet4!A973)=0,"",SUMIFS('Sales Record'!H:H,'Sales Record'!F:F,Sheet4!A973))</f>
        <v/>
      </c>
      <c r="E973" t="str">
        <f>IF(SUMIFS('Sales Return'!G:G,'Sales Return'!F:F,Sheet4!A973)=0,"",SUMIFS('Sales Return'!G:G,'Sales Return'!F:F,Sheet4!A973))</f>
        <v/>
      </c>
      <c r="F973" t="str">
        <f>IF(SUMIFS('Purchase Return'!G:G,'Purchase Return'!F:F,Sheet4!A973)=0,"",SUMIFS('Purchase Return'!G:G,'Purchase Return'!F:F,Sheet4!A973))</f>
        <v/>
      </c>
      <c r="G973" t="str">
        <f t="shared" si="15"/>
        <v/>
      </c>
    </row>
    <row r="974" spans="1:7">
      <c r="A974" t="str">
        <f>IF('Product List'!B974="","",'Product List'!B974)</f>
        <v/>
      </c>
      <c r="B974" t="str">
        <f>IF('Product List'!C974="","",'Product List'!C974)</f>
        <v/>
      </c>
      <c r="C974" t="str">
        <f>IF(SUMIFS('Purchase Record'!G:G,'Purchase Record'!F:F,Sheet4!A974)=0,"",SUMIFS('Purchase Record'!G:G,'Purchase Record'!F:F,Sheet4!A974))</f>
        <v/>
      </c>
      <c r="D974" t="str">
        <f>IF(SUMIFS('Sales Record'!H:H,'Sales Record'!F:F,Sheet4!A974)=0,"",SUMIFS('Sales Record'!H:H,'Sales Record'!F:F,Sheet4!A974))</f>
        <v/>
      </c>
      <c r="E974" t="str">
        <f>IF(SUMIFS('Sales Return'!G:G,'Sales Return'!F:F,Sheet4!A974)=0,"",SUMIFS('Sales Return'!G:G,'Sales Return'!F:F,Sheet4!A974))</f>
        <v/>
      </c>
      <c r="F974" t="str">
        <f>IF(SUMIFS('Purchase Return'!G:G,'Purchase Return'!F:F,Sheet4!A974)=0,"",SUMIFS('Purchase Return'!G:G,'Purchase Return'!F:F,Sheet4!A974))</f>
        <v/>
      </c>
      <c r="G974" t="str">
        <f t="shared" si="15"/>
        <v/>
      </c>
    </row>
    <row r="975" spans="1:7">
      <c r="A975" t="str">
        <f>IF('Product List'!B975="","",'Product List'!B975)</f>
        <v/>
      </c>
      <c r="B975" t="str">
        <f>IF('Product List'!C975="","",'Product List'!C975)</f>
        <v/>
      </c>
      <c r="C975" t="str">
        <f>IF(SUMIFS('Purchase Record'!G:G,'Purchase Record'!F:F,Sheet4!A975)=0,"",SUMIFS('Purchase Record'!G:G,'Purchase Record'!F:F,Sheet4!A975))</f>
        <v/>
      </c>
      <c r="D975" t="str">
        <f>IF(SUMIFS('Sales Record'!H:H,'Sales Record'!F:F,Sheet4!A975)=0,"",SUMIFS('Sales Record'!H:H,'Sales Record'!F:F,Sheet4!A975))</f>
        <v/>
      </c>
      <c r="E975" t="str">
        <f>IF(SUMIFS('Sales Return'!G:G,'Sales Return'!F:F,Sheet4!A975)=0,"",SUMIFS('Sales Return'!G:G,'Sales Return'!F:F,Sheet4!A975))</f>
        <v/>
      </c>
      <c r="F975" t="str">
        <f>IF(SUMIFS('Purchase Return'!G:G,'Purchase Return'!F:F,Sheet4!A975)=0,"",SUMIFS('Purchase Return'!G:G,'Purchase Return'!F:F,Sheet4!A975))</f>
        <v/>
      </c>
      <c r="G975" t="str">
        <f t="shared" si="15"/>
        <v/>
      </c>
    </row>
    <row r="976" spans="1:7">
      <c r="A976" t="str">
        <f>IF('Product List'!B976="","",'Product List'!B976)</f>
        <v/>
      </c>
      <c r="B976" t="str">
        <f>IF('Product List'!C976="","",'Product List'!C976)</f>
        <v/>
      </c>
      <c r="C976" t="str">
        <f>IF(SUMIFS('Purchase Record'!G:G,'Purchase Record'!F:F,Sheet4!A976)=0,"",SUMIFS('Purchase Record'!G:G,'Purchase Record'!F:F,Sheet4!A976))</f>
        <v/>
      </c>
      <c r="D976" t="str">
        <f>IF(SUMIFS('Sales Record'!H:H,'Sales Record'!F:F,Sheet4!A976)=0,"",SUMIFS('Sales Record'!H:H,'Sales Record'!F:F,Sheet4!A976))</f>
        <v/>
      </c>
      <c r="E976" t="str">
        <f>IF(SUMIFS('Sales Return'!G:G,'Sales Return'!F:F,Sheet4!A976)=0,"",SUMIFS('Sales Return'!G:G,'Sales Return'!F:F,Sheet4!A976))</f>
        <v/>
      </c>
      <c r="F976" t="str">
        <f>IF(SUMIFS('Purchase Return'!G:G,'Purchase Return'!F:F,Sheet4!A976)=0,"",SUMIFS('Purchase Return'!G:G,'Purchase Return'!F:F,Sheet4!A976))</f>
        <v/>
      </c>
      <c r="G976" t="str">
        <f t="shared" si="15"/>
        <v/>
      </c>
    </row>
    <row r="977" spans="1:7">
      <c r="A977" t="str">
        <f>IF('Product List'!B977="","",'Product List'!B977)</f>
        <v/>
      </c>
      <c r="B977" t="str">
        <f>IF('Product List'!C977="","",'Product List'!C977)</f>
        <v/>
      </c>
      <c r="C977" t="str">
        <f>IF(SUMIFS('Purchase Record'!G:G,'Purchase Record'!F:F,Sheet4!A977)=0,"",SUMIFS('Purchase Record'!G:G,'Purchase Record'!F:F,Sheet4!A977))</f>
        <v/>
      </c>
      <c r="D977" t="str">
        <f>IF(SUMIFS('Sales Record'!H:H,'Sales Record'!F:F,Sheet4!A977)=0,"",SUMIFS('Sales Record'!H:H,'Sales Record'!F:F,Sheet4!A977))</f>
        <v/>
      </c>
      <c r="E977" t="str">
        <f>IF(SUMIFS('Sales Return'!G:G,'Sales Return'!F:F,Sheet4!A977)=0,"",SUMIFS('Sales Return'!G:G,'Sales Return'!F:F,Sheet4!A977))</f>
        <v/>
      </c>
      <c r="F977" t="str">
        <f>IF(SUMIFS('Purchase Return'!G:G,'Purchase Return'!F:F,Sheet4!A977)=0,"",SUMIFS('Purchase Return'!G:G,'Purchase Return'!F:F,Sheet4!A977))</f>
        <v/>
      </c>
      <c r="G977" t="str">
        <f t="shared" si="15"/>
        <v/>
      </c>
    </row>
    <row r="978" spans="1:7">
      <c r="A978" t="str">
        <f>IF('Product List'!B978="","",'Product List'!B978)</f>
        <v/>
      </c>
      <c r="B978" t="str">
        <f>IF('Product List'!C978="","",'Product List'!C978)</f>
        <v/>
      </c>
      <c r="C978" t="str">
        <f>IF(SUMIFS('Purchase Record'!G:G,'Purchase Record'!F:F,Sheet4!A978)=0,"",SUMIFS('Purchase Record'!G:G,'Purchase Record'!F:F,Sheet4!A978))</f>
        <v/>
      </c>
      <c r="D978" t="str">
        <f>IF(SUMIFS('Sales Record'!H:H,'Sales Record'!F:F,Sheet4!A978)=0,"",SUMIFS('Sales Record'!H:H,'Sales Record'!F:F,Sheet4!A978))</f>
        <v/>
      </c>
      <c r="E978" t="str">
        <f>IF(SUMIFS('Sales Return'!G:G,'Sales Return'!F:F,Sheet4!A978)=0,"",SUMIFS('Sales Return'!G:G,'Sales Return'!F:F,Sheet4!A978))</f>
        <v/>
      </c>
      <c r="F978" t="str">
        <f>IF(SUMIFS('Purchase Return'!G:G,'Purchase Return'!F:F,Sheet4!A978)=0,"",SUMIFS('Purchase Return'!G:G,'Purchase Return'!F:F,Sheet4!A978))</f>
        <v/>
      </c>
      <c r="G978" t="str">
        <f t="shared" si="15"/>
        <v/>
      </c>
    </row>
    <row r="979" spans="1:7">
      <c r="A979" t="str">
        <f>IF('Product List'!B979="","",'Product List'!B979)</f>
        <v/>
      </c>
      <c r="B979" t="str">
        <f>IF('Product List'!C979="","",'Product List'!C979)</f>
        <v/>
      </c>
      <c r="C979" t="str">
        <f>IF(SUMIFS('Purchase Record'!G:G,'Purchase Record'!F:F,Sheet4!A979)=0,"",SUMIFS('Purchase Record'!G:G,'Purchase Record'!F:F,Sheet4!A979))</f>
        <v/>
      </c>
      <c r="D979" t="str">
        <f>IF(SUMIFS('Sales Record'!H:H,'Sales Record'!F:F,Sheet4!A979)=0,"",SUMIFS('Sales Record'!H:H,'Sales Record'!F:F,Sheet4!A979))</f>
        <v/>
      </c>
      <c r="E979" t="str">
        <f>IF(SUMIFS('Sales Return'!G:G,'Sales Return'!F:F,Sheet4!A979)=0,"",SUMIFS('Sales Return'!G:G,'Sales Return'!F:F,Sheet4!A979))</f>
        <v/>
      </c>
      <c r="F979" t="str">
        <f>IF(SUMIFS('Purchase Return'!G:G,'Purchase Return'!F:F,Sheet4!A979)=0,"",SUMIFS('Purchase Return'!G:G,'Purchase Return'!F:F,Sheet4!A979))</f>
        <v/>
      </c>
      <c r="G979" t="str">
        <f t="shared" si="15"/>
        <v/>
      </c>
    </row>
    <row r="980" spans="1:7">
      <c r="A980" t="str">
        <f>IF('Product List'!B980="","",'Product List'!B980)</f>
        <v/>
      </c>
      <c r="B980" t="str">
        <f>IF('Product List'!C980="","",'Product List'!C980)</f>
        <v/>
      </c>
      <c r="C980" t="str">
        <f>IF(SUMIFS('Purchase Record'!G:G,'Purchase Record'!F:F,Sheet4!A980)=0,"",SUMIFS('Purchase Record'!G:G,'Purchase Record'!F:F,Sheet4!A980))</f>
        <v/>
      </c>
      <c r="D980" t="str">
        <f>IF(SUMIFS('Sales Record'!H:H,'Sales Record'!F:F,Sheet4!A980)=0,"",SUMIFS('Sales Record'!H:H,'Sales Record'!F:F,Sheet4!A980))</f>
        <v/>
      </c>
      <c r="E980" t="str">
        <f>IF(SUMIFS('Sales Return'!G:G,'Sales Return'!F:F,Sheet4!A980)=0,"",SUMIFS('Sales Return'!G:G,'Sales Return'!F:F,Sheet4!A980))</f>
        <v/>
      </c>
      <c r="F980" t="str">
        <f>IF(SUMIFS('Purchase Return'!G:G,'Purchase Return'!F:F,Sheet4!A980)=0,"",SUMIFS('Purchase Return'!G:G,'Purchase Return'!F:F,Sheet4!A980))</f>
        <v/>
      </c>
      <c r="G980" t="str">
        <f t="shared" si="15"/>
        <v/>
      </c>
    </row>
    <row r="981" spans="1:7">
      <c r="A981" t="str">
        <f>IF('Product List'!B981="","",'Product List'!B981)</f>
        <v/>
      </c>
      <c r="B981" t="str">
        <f>IF('Product List'!C981="","",'Product List'!C981)</f>
        <v/>
      </c>
      <c r="C981" t="str">
        <f>IF(SUMIFS('Purchase Record'!G:G,'Purchase Record'!F:F,Sheet4!A981)=0,"",SUMIFS('Purchase Record'!G:G,'Purchase Record'!F:F,Sheet4!A981))</f>
        <v/>
      </c>
      <c r="D981" t="str">
        <f>IF(SUMIFS('Sales Record'!H:H,'Sales Record'!F:F,Sheet4!A981)=0,"",SUMIFS('Sales Record'!H:H,'Sales Record'!F:F,Sheet4!A981))</f>
        <v/>
      </c>
      <c r="E981" t="str">
        <f>IF(SUMIFS('Sales Return'!G:G,'Sales Return'!F:F,Sheet4!A981)=0,"",SUMIFS('Sales Return'!G:G,'Sales Return'!F:F,Sheet4!A981))</f>
        <v/>
      </c>
      <c r="F981" t="str">
        <f>IF(SUMIFS('Purchase Return'!G:G,'Purchase Return'!F:F,Sheet4!A981)=0,"",SUMIFS('Purchase Return'!G:G,'Purchase Return'!F:F,Sheet4!A981))</f>
        <v/>
      </c>
      <c r="G981" t="str">
        <f t="shared" si="15"/>
        <v/>
      </c>
    </row>
    <row r="982" spans="1:7">
      <c r="A982" t="str">
        <f>IF('Product List'!B982="","",'Product List'!B982)</f>
        <v/>
      </c>
      <c r="B982" t="str">
        <f>IF('Product List'!C982="","",'Product List'!C982)</f>
        <v/>
      </c>
      <c r="C982" t="str">
        <f>IF(SUMIFS('Purchase Record'!G:G,'Purchase Record'!F:F,Sheet4!A982)=0,"",SUMIFS('Purchase Record'!G:G,'Purchase Record'!F:F,Sheet4!A982))</f>
        <v/>
      </c>
      <c r="D982" t="str">
        <f>IF(SUMIFS('Sales Record'!H:H,'Sales Record'!F:F,Sheet4!A982)=0,"",SUMIFS('Sales Record'!H:H,'Sales Record'!F:F,Sheet4!A982))</f>
        <v/>
      </c>
      <c r="E982" t="str">
        <f>IF(SUMIFS('Sales Return'!G:G,'Sales Return'!F:F,Sheet4!A982)=0,"",SUMIFS('Sales Return'!G:G,'Sales Return'!F:F,Sheet4!A982))</f>
        <v/>
      </c>
      <c r="F982" t="str">
        <f>IF(SUMIFS('Purchase Return'!G:G,'Purchase Return'!F:F,Sheet4!A982)=0,"",SUMIFS('Purchase Return'!G:G,'Purchase Return'!F:F,Sheet4!A982))</f>
        <v/>
      </c>
      <c r="G982" t="str">
        <f t="shared" si="15"/>
        <v/>
      </c>
    </row>
    <row r="983" spans="1:7">
      <c r="A983" t="str">
        <f>IF('Product List'!B983="","",'Product List'!B983)</f>
        <v/>
      </c>
      <c r="B983" t="str">
        <f>IF('Product List'!C983="","",'Product List'!C983)</f>
        <v/>
      </c>
      <c r="C983" t="str">
        <f>IF(SUMIFS('Purchase Record'!G:G,'Purchase Record'!F:F,Sheet4!A983)=0,"",SUMIFS('Purchase Record'!G:G,'Purchase Record'!F:F,Sheet4!A983))</f>
        <v/>
      </c>
      <c r="D983" t="str">
        <f>IF(SUMIFS('Sales Record'!H:H,'Sales Record'!F:F,Sheet4!A983)=0,"",SUMIFS('Sales Record'!H:H,'Sales Record'!F:F,Sheet4!A983))</f>
        <v/>
      </c>
      <c r="E983" t="str">
        <f>IF(SUMIFS('Sales Return'!G:G,'Sales Return'!F:F,Sheet4!A983)=0,"",SUMIFS('Sales Return'!G:G,'Sales Return'!F:F,Sheet4!A983))</f>
        <v/>
      </c>
      <c r="F983" t="str">
        <f>IF(SUMIFS('Purchase Return'!G:G,'Purchase Return'!F:F,Sheet4!A983)=0,"",SUMIFS('Purchase Return'!G:G,'Purchase Return'!F:F,Sheet4!A983))</f>
        <v/>
      </c>
      <c r="G983" t="str">
        <f t="shared" si="15"/>
        <v/>
      </c>
    </row>
    <row r="984" spans="1:7">
      <c r="A984" t="str">
        <f>IF('Product List'!B984="","",'Product List'!B984)</f>
        <v/>
      </c>
      <c r="B984" t="str">
        <f>IF('Product List'!C984="","",'Product List'!C984)</f>
        <v/>
      </c>
      <c r="C984" t="str">
        <f>IF(SUMIFS('Purchase Record'!G:G,'Purchase Record'!F:F,Sheet4!A984)=0,"",SUMIFS('Purchase Record'!G:G,'Purchase Record'!F:F,Sheet4!A984))</f>
        <v/>
      </c>
      <c r="D984" t="str">
        <f>IF(SUMIFS('Sales Record'!H:H,'Sales Record'!F:F,Sheet4!A984)=0,"",SUMIFS('Sales Record'!H:H,'Sales Record'!F:F,Sheet4!A984))</f>
        <v/>
      </c>
      <c r="E984" t="str">
        <f>IF(SUMIFS('Sales Return'!G:G,'Sales Return'!F:F,Sheet4!A984)=0,"",SUMIFS('Sales Return'!G:G,'Sales Return'!F:F,Sheet4!A984))</f>
        <v/>
      </c>
      <c r="F984" t="str">
        <f>IF(SUMIFS('Purchase Return'!G:G,'Purchase Return'!F:F,Sheet4!A984)=0,"",SUMIFS('Purchase Return'!G:G,'Purchase Return'!F:F,Sheet4!A984))</f>
        <v/>
      </c>
      <c r="G984" t="str">
        <f t="shared" si="15"/>
        <v/>
      </c>
    </row>
    <row r="985" spans="1:7">
      <c r="A985" t="str">
        <f>IF('Product List'!B985="","",'Product List'!B985)</f>
        <v/>
      </c>
      <c r="B985" t="str">
        <f>IF('Product List'!C985="","",'Product List'!C985)</f>
        <v/>
      </c>
      <c r="C985" t="str">
        <f>IF(SUMIFS('Purchase Record'!G:G,'Purchase Record'!F:F,Sheet4!A985)=0,"",SUMIFS('Purchase Record'!G:G,'Purchase Record'!F:F,Sheet4!A985))</f>
        <v/>
      </c>
      <c r="D985" t="str">
        <f>IF(SUMIFS('Sales Record'!H:H,'Sales Record'!F:F,Sheet4!A985)=0,"",SUMIFS('Sales Record'!H:H,'Sales Record'!F:F,Sheet4!A985))</f>
        <v/>
      </c>
      <c r="E985" t="str">
        <f>IF(SUMIFS('Sales Return'!G:G,'Sales Return'!F:F,Sheet4!A985)=0,"",SUMIFS('Sales Return'!G:G,'Sales Return'!F:F,Sheet4!A985))</f>
        <v/>
      </c>
      <c r="F985" t="str">
        <f>IF(SUMIFS('Purchase Return'!G:G,'Purchase Return'!F:F,Sheet4!A985)=0,"",SUMIFS('Purchase Return'!G:G,'Purchase Return'!F:F,Sheet4!A985))</f>
        <v/>
      </c>
      <c r="G985" t="str">
        <f t="shared" si="15"/>
        <v/>
      </c>
    </row>
    <row r="986" spans="1:7">
      <c r="A986" t="str">
        <f>IF('Product List'!B986="","",'Product List'!B986)</f>
        <v/>
      </c>
      <c r="B986" t="str">
        <f>IF('Product List'!C986="","",'Product List'!C986)</f>
        <v/>
      </c>
      <c r="C986" t="str">
        <f>IF(SUMIFS('Purchase Record'!G:G,'Purchase Record'!F:F,Sheet4!A986)=0,"",SUMIFS('Purchase Record'!G:G,'Purchase Record'!F:F,Sheet4!A986))</f>
        <v/>
      </c>
      <c r="D986" t="str">
        <f>IF(SUMIFS('Sales Record'!H:H,'Sales Record'!F:F,Sheet4!A986)=0,"",SUMIFS('Sales Record'!H:H,'Sales Record'!F:F,Sheet4!A986))</f>
        <v/>
      </c>
      <c r="E986" t="str">
        <f>IF(SUMIFS('Sales Return'!G:G,'Sales Return'!F:F,Sheet4!A986)=0,"",SUMIFS('Sales Return'!G:G,'Sales Return'!F:F,Sheet4!A986))</f>
        <v/>
      </c>
      <c r="F986" t="str">
        <f>IF(SUMIFS('Purchase Return'!G:G,'Purchase Return'!F:F,Sheet4!A986)=0,"",SUMIFS('Purchase Return'!G:G,'Purchase Return'!F:F,Sheet4!A986))</f>
        <v/>
      </c>
      <c r="G986" t="str">
        <f t="shared" si="15"/>
        <v/>
      </c>
    </row>
    <row r="987" spans="1:7">
      <c r="A987" t="str">
        <f>IF('Product List'!B987="","",'Product List'!B987)</f>
        <v/>
      </c>
      <c r="B987" t="str">
        <f>IF('Product List'!C987="","",'Product List'!C987)</f>
        <v/>
      </c>
      <c r="C987" t="str">
        <f>IF(SUMIFS('Purchase Record'!G:G,'Purchase Record'!F:F,Sheet4!A987)=0,"",SUMIFS('Purchase Record'!G:G,'Purchase Record'!F:F,Sheet4!A987))</f>
        <v/>
      </c>
      <c r="D987" t="str">
        <f>IF(SUMIFS('Sales Record'!H:H,'Sales Record'!F:F,Sheet4!A987)=0,"",SUMIFS('Sales Record'!H:H,'Sales Record'!F:F,Sheet4!A987))</f>
        <v/>
      </c>
      <c r="E987" t="str">
        <f>IF(SUMIFS('Sales Return'!G:G,'Sales Return'!F:F,Sheet4!A987)=0,"",SUMIFS('Sales Return'!G:G,'Sales Return'!F:F,Sheet4!A987))</f>
        <v/>
      </c>
      <c r="F987" t="str">
        <f>IF(SUMIFS('Purchase Return'!G:G,'Purchase Return'!F:F,Sheet4!A987)=0,"",SUMIFS('Purchase Return'!G:G,'Purchase Return'!F:F,Sheet4!A987))</f>
        <v/>
      </c>
      <c r="G987" t="str">
        <f t="shared" si="15"/>
        <v/>
      </c>
    </row>
    <row r="988" spans="1:7">
      <c r="A988" t="str">
        <f>IF('Product List'!B988="","",'Product List'!B988)</f>
        <v/>
      </c>
      <c r="B988" t="str">
        <f>IF('Product List'!C988="","",'Product List'!C988)</f>
        <v/>
      </c>
      <c r="C988" t="str">
        <f>IF(SUMIFS('Purchase Record'!G:G,'Purchase Record'!F:F,Sheet4!A988)=0,"",SUMIFS('Purchase Record'!G:G,'Purchase Record'!F:F,Sheet4!A988))</f>
        <v/>
      </c>
      <c r="D988" t="str">
        <f>IF(SUMIFS('Sales Record'!H:H,'Sales Record'!F:F,Sheet4!A988)=0,"",SUMIFS('Sales Record'!H:H,'Sales Record'!F:F,Sheet4!A988))</f>
        <v/>
      </c>
      <c r="E988" t="str">
        <f>IF(SUMIFS('Sales Return'!G:G,'Sales Return'!F:F,Sheet4!A988)=0,"",SUMIFS('Sales Return'!G:G,'Sales Return'!F:F,Sheet4!A988))</f>
        <v/>
      </c>
      <c r="F988" t="str">
        <f>IF(SUMIFS('Purchase Return'!G:G,'Purchase Return'!F:F,Sheet4!A988)=0,"",SUMIFS('Purchase Return'!G:G,'Purchase Return'!F:F,Sheet4!A988))</f>
        <v/>
      </c>
      <c r="G988" t="str">
        <f t="shared" si="15"/>
        <v/>
      </c>
    </row>
    <row r="989" spans="1:7">
      <c r="A989" t="str">
        <f>IF('Product List'!B989="","",'Product List'!B989)</f>
        <v/>
      </c>
      <c r="B989" t="str">
        <f>IF('Product List'!C989="","",'Product List'!C989)</f>
        <v/>
      </c>
      <c r="C989" t="str">
        <f>IF(SUMIFS('Purchase Record'!G:G,'Purchase Record'!F:F,Sheet4!A989)=0,"",SUMIFS('Purchase Record'!G:G,'Purchase Record'!F:F,Sheet4!A989))</f>
        <v/>
      </c>
      <c r="D989" t="str">
        <f>IF(SUMIFS('Sales Record'!H:H,'Sales Record'!F:F,Sheet4!A989)=0,"",SUMIFS('Sales Record'!H:H,'Sales Record'!F:F,Sheet4!A989))</f>
        <v/>
      </c>
      <c r="E989" t="str">
        <f>IF(SUMIFS('Sales Return'!G:G,'Sales Return'!F:F,Sheet4!A989)=0,"",SUMIFS('Sales Return'!G:G,'Sales Return'!F:F,Sheet4!A989))</f>
        <v/>
      </c>
      <c r="F989" t="str">
        <f>IF(SUMIFS('Purchase Return'!G:G,'Purchase Return'!F:F,Sheet4!A989)=0,"",SUMIFS('Purchase Return'!G:G,'Purchase Return'!F:F,Sheet4!A989))</f>
        <v/>
      </c>
      <c r="G989" t="str">
        <f t="shared" si="15"/>
        <v/>
      </c>
    </row>
    <row r="990" spans="1:7">
      <c r="A990" t="str">
        <f>IF('Product List'!B990="","",'Product List'!B990)</f>
        <v/>
      </c>
      <c r="B990" t="str">
        <f>IF('Product List'!C990="","",'Product List'!C990)</f>
        <v/>
      </c>
      <c r="C990" t="str">
        <f>IF(SUMIFS('Purchase Record'!G:G,'Purchase Record'!F:F,Sheet4!A990)=0,"",SUMIFS('Purchase Record'!G:G,'Purchase Record'!F:F,Sheet4!A990))</f>
        <v/>
      </c>
      <c r="D990" t="str">
        <f>IF(SUMIFS('Sales Record'!H:H,'Sales Record'!F:F,Sheet4!A990)=0,"",SUMIFS('Sales Record'!H:H,'Sales Record'!F:F,Sheet4!A990))</f>
        <v/>
      </c>
      <c r="E990" t="str">
        <f>IF(SUMIFS('Sales Return'!G:G,'Sales Return'!F:F,Sheet4!A990)=0,"",SUMIFS('Sales Return'!G:G,'Sales Return'!F:F,Sheet4!A990))</f>
        <v/>
      </c>
      <c r="F990" t="str">
        <f>IF(SUMIFS('Purchase Return'!G:G,'Purchase Return'!F:F,Sheet4!A990)=0,"",SUMIFS('Purchase Return'!G:G,'Purchase Return'!F:F,Sheet4!A990))</f>
        <v/>
      </c>
      <c r="G990" t="str">
        <f t="shared" si="15"/>
        <v/>
      </c>
    </row>
    <row r="991" spans="1:7">
      <c r="A991" t="str">
        <f>IF('Product List'!B991="","",'Product List'!B991)</f>
        <v/>
      </c>
      <c r="B991" t="str">
        <f>IF('Product List'!C991="","",'Product List'!C991)</f>
        <v/>
      </c>
      <c r="C991" t="str">
        <f>IF(SUMIFS('Purchase Record'!G:G,'Purchase Record'!F:F,Sheet4!A991)=0,"",SUMIFS('Purchase Record'!G:G,'Purchase Record'!F:F,Sheet4!A991))</f>
        <v/>
      </c>
      <c r="D991" t="str">
        <f>IF(SUMIFS('Sales Record'!H:H,'Sales Record'!F:F,Sheet4!A991)=0,"",SUMIFS('Sales Record'!H:H,'Sales Record'!F:F,Sheet4!A991))</f>
        <v/>
      </c>
      <c r="E991" t="str">
        <f>IF(SUMIFS('Sales Return'!G:G,'Sales Return'!F:F,Sheet4!A991)=0,"",SUMIFS('Sales Return'!G:G,'Sales Return'!F:F,Sheet4!A991))</f>
        <v/>
      </c>
      <c r="F991" t="str">
        <f>IF(SUMIFS('Purchase Return'!G:G,'Purchase Return'!F:F,Sheet4!A991)=0,"",SUMIFS('Purchase Return'!G:G,'Purchase Return'!F:F,Sheet4!A991))</f>
        <v/>
      </c>
      <c r="G991" t="str">
        <f t="shared" si="15"/>
        <v/>
      </c>
    </row>
    <row r="992" spans="1:7">
      <c r="A992" t="str">
        <f>IF('Product List'!B992="","",'Product List'!B992)</f>
        <v/>
      </c>
      <c r="B992" t="str">
        <f>IF('Product List'!C992="","",'Product List'!C992)</f>
        <v/>
      </c>
      <c r="C992" t="str">
        <f>IF(SUMIFS('Purchase Record'!G:G,'Purchase Record'!F:F,Sheet4!A992)=0,"",SUMIFS('Purchase Record'!G:G,'Purchase Record'!F:F,Sheet4!A992))</f>
        <v/>
      </c>
      <c r="D992" t="str">
        <f>IF(SUMIFS('Sales Record'!H:H,'Sales Record'!F:F,Sheet4!A992)=0,"",SUMIFS('Sales Record'!H:H,'Sales Record'!F:F,Sheet4!A992))</f>
        <v/>
      </c>
      <c r="E992" t="str">
        <f>IF(SUMIFS('Sales Return'!G:G,'Sales Return'!F:F,Sheet4!A992)=0,"",SUMIFS('Sales Return'!G:G,'Sales Return'!F:F,Sheet4!A992))</f>
        <v/>
      </c>
      <c r="F992" t="str">
        <f>IF(SUMIFS('Purchase Return'!G:G,'Purchase Return'!F:F,Sheet4!A992)=0,"",SUMIFS('Purchase Return'!G:G,'Purchase Return'!F:F,Sheet4!A992))</f>
        <v/>
      </c>
      <c r="G992" t="str">
        <f t="shared" si="15"/>
        <v/>
      </c>
    </row>
    <row r="993" spans="1:7">
      <c r="A993" t="str">
        <f>IF('Product List'!B993="","",'Product List'!B993)</f>
        <v/>
      </c>
      <c r="B993" t="str">
        <f>IF('Product List'!C993="","",'Product List'!C993)</f>
        <v/>
      </c>
      <c r="C993" t="str">
        <f>IF(SUMIFS('Purchase Record'!G:G,'Purchase Record'!F:F,Sheet4!A993)=0,"",SUMIFS('Purchase Record'!G:G,'Purchase Record'!F:F,Sheet4!A993))</f>
        <v/>
      </c>
      <c r="D993" t="str">
        <f>IF(SUMIFS('Sales Record'!H:H,'Sales Record'!F:F,Sheet4!A993)=0,"",SUMIFS('Sales Record'!H:H,'Sales Record'!F:F,Sheet4!A993))</f>
        <v/>
      </c>
      <c r="E993" t="str">
        <f>IF(SUMIFS('Sales Return'!G:G,'Sales Return'!F:F,Sheet4!A993)=0,"",SUMIFS('Sales Return'!G:G,'Sales Return'!F:F,Sheet4!A993))</f>
        <v/>
      </c>
      <c r="F993" t="str">
        <f>IF(SUMIFS('Purchase Return'!G:G,'Purchase Return'!F:F,Sheet4!A993)=0,"",SUMIFS('Purchase Return'!G:G,'Purchase Return'!F:F,Sheet4!A993))</f>
        <v/>
      </c>
      <c r="G993" t="str">
        <f t="shared" si="15"/>
        <v/>
      </c>
    </row>
    <row r="994" spans="1:7">
      <c r="A994" t="str">
        <f>IF('Product List'!B994="","",'Product List'!B994)</f>
        <v/>
      </c>
      <c r="B994" t="str">
        <f>IF('Product List'!C994="","",'Product List'!C994)</f>
        <v/>
      </c>
      <c r="C994" t="str">
        <f>IF(SUMIFS('Purchase Record'!G:G,'Purchase Record'!F:F,Sheet4!A994)=0,"",SUMIFS('Purchase Record'!G:G,'Purchase Record'!F:F,Sheet4!A994))</f>
        <v/>
      </c>
      <c r="D994" t="str">
        <f>IF(SUMIFS('Sales Record'!H:H,'Sales Record'!F:F,Sheet4!A994)=0,"",SUMIFS('Sales Record'!H:H,'Sales Record'!F:F,Sheet4!A994))</f>
        <v/>
      </c>
      <c r="E994" t="str">
        <f>IF(SUMIFS('Sales Return'!G:G,'Sales Return'!F:F,Sheet4!A994)=0,"",SUMIFS('Sales Return'!G:G,'Sales Return'!F:F,Sheet4!A994))</f>
        <v/>
      </c>
      <c r="F994" t="str">
        <f>IF(SUMIFS('Purchase Return'!G:G,'Purchase Return'!F:F,Sheet4!A994)=0,"",SUMIFS('Purchase Return'!G:G,'Purchase Return'!F:F,Sheet4!A994))</f>
        <v/>
      </c>
      <c r="G994" t="str">
        <f t="shared" si="15"/>
        <v/>
      </c>
    </row>
    <row r="995" spans="1:7">
      <c r="A995" t="str">
        <f>IF('Product List'!B995="","",'Product List'!B995)</f>
        <v/>
      </c>
      <c r="B995" t="str">
        <f>IF('Product List'!C995="","",'Product List'!C995)</f>
        <v/>
      </c>
      <c r="C995" t="str">
        <f>IF(SUMIFS('Purchase Record'!G:G,'Purchase Record'!F:F,Sheet4!A995)=0,"",SUMIFS('Purchase Record'!G:G,'Purchase Record'!F:F,Sheet4!A995))</f>
        <v/>
      </c>
      <c r="D995" t="str">
        <f>IF(SUMIFS('Sales Record'!H:H,'Sales Record'!F:F,Sheet4!A995)=0,"",SUMIFS('Sales Record'!H:H,'Sales Record'!F:F,Sheet4!A995))</f>
        <v/>
      </c>
      <c r="E995" t="str">
        <f>IF(SUMIFS('Sales Return'!G:G,'Sales Return'!F:F,Sheet4!A995)=0,"",SUMIFS('Sales Return'!G:G,'Sales Return'!F:F,Sheet4!A995))</f>
        <v/>
      </c>
      <c r="F995" t="str">
        <f>IF(SUMIFS('Purchase Return'!G:G,'Purchase Return'!F:F,Sheet4!A995)=0,"",SUMIFS('Purchase Return'!G:G,'Purchase Return'!F:F,Sheet4!A995))</f>
        <v/>
      </c>
      <c r="G995" t="str">
        <f t="shared" si="15"/>
        <v/>
      </c>
    </row>
    <row r="996" spans="1:7">
      <c r="A996" t="str">
        <f>IF('Product List'!B996="","",'Product List'!B996)</f>
        <v/>
      </c>
      <c r="B996" t="str">
        <f>IF('Product List'!C996="","",'Product List'!C996)</f>
        <v/>
      </c>
      <c r="C996" t="str">
        <f>IF(SUMIFS('Purchase Record'!G:G,'Purchase Record'!F:F,Sheet4!A996)=0,"",SUMIFS('Purchase Record'!G:G,'Purchase Record'!F:F,Sheet4!A996))</f>
        <v/>
      </c>
      <c r="D996" t="str">
        <f>IF(SUMIFS('Sales Record'!H:H,'Sales Record'!F:F,Sheet4!A996)=0,"",SUMIFS('Sales Record'!H:H,'Sales Record'!F:F,Sheet4!A996))</f>
        <v/>
      </c>
      <c r="E996" t="str">
        <f>IF(SUMIFS('Sales Return'!G:G,'Sales Return'!F:F,Sheet4!A996)=0,"",SUMIFS('Sales Return'!G:G,'Sales Return'!F:F,Sheet4!A996))</f>
        <v/>
      </c>
      <c r="F996" t="str">
        <f>IF(SUMIFS('Purchase Return'!G:G,'Purchase Return'!F:F,Sheet4!A996)=0,"",SUMIFS('Purchase Return'!G:G,'Purchase Return'!F:F,Sheet4!A996))</f>
        <v/>
      </c>
      <c r="G996" t="str">
        <f t="shared" si="15"/>
        <v/>
      </c>
    </row>
    <row r="997" spans="1:7">
      <c r="A997" t="str">
        <f>IF('Product List'!B997="","",'Product List'!B997)</f>
        <v/>
      </c>
      <c r="B997" t="str">
        <f>IF('Product List'!C997="","",'Product List'!C997)</f>
        <v/>
      </c>
      <c r="C997" t="str">
        <f>IF(SUMIFS('Purchase Record'!G:G,'Purchase Record'!F:F,Sheet4!A997)=0,"",SUMIFS('Purchase Record'!G:G,'Purchase Record'!F:F,Sheet4!A997))</f>
        <v/>
      </c>
      <c r="D997" t="str">
        <f>IF(SUMIFS('Sales Record'!H:H,'Sales Record'!F:F,Sheet4!A997)=0,"",SUMIFS('Sales Record'!H:H,'Sales Record'!F:F,Sheet4!A997))</f>
        <v/>
      </c>
      <c r="E997" t="str">
        <f>IF(SUMIFS('Sales Return'!G:G,'Sales Return'!F:F,Sheet4!A997)=0,"",SUMIFS('Sales Return'!G:G,'Sales Return'!F:F,Sheet4!A997))</f>
        <v/>
      </c>
      <c r="F997" t="str">
        <f>IF(SUMIFS('Purchase Return'!G:G,'Purchase Return'!F:F,Sheet4!A997)=0,"",SUMIFS('Purchase Return'!G:G,'Purchase Return'!F:F,Sheet4!A997))</f>
        <v/>
      </c>
      <c r="G997" t="str">
        <f t="shared" si="15"/>
        <v/>
      </c>
    </row>
    <row r="998" spans="1:7">
      <c r="A998" t="str">
        <f>IF('Product List'!B998="","",'Product List'!B998)</f>
        <v/>
      </c>
      <c r="B998" t="str">
        <f>IF('Product List'!C998="","",'Product List'!C998)</f>
        <v/>
      </c>
      <c r="C998" t="str">
        <f>IF(SUMIFS('Purchase Record'!G:G,'Purchase Record'!F:F,Sheet4!A998)=0,"",SUMIFS('Purchase Record'!G:G,'Purchase Record'!F:F,Sheet4!A998))</f>
        <v/>
      </c>
      <c r="D998" t="str">
        <f>IF(SUMIFS('Sales Record'!H:H,'Sales Record'!F:F,Sheet4!A998)=0,"",SUMIFS('Sales Record'!H:H,'Sales Record'!F:F,Sheet4!A998))</f>
        <v/>
      </c>
      <c r="E998" t="str">
        <f>IF(SUMIFS('Sales Return'!G:G,'Sales Return'!F:F,Sheet4!A998)=0,"",SUMIFS('Sales Return'!G:G,'Sales Return'!F:F,Sheet4!A998))</f>
        <v/>
      </c>
      <c r="F998" t="str">
        <f>IF(SUMIFS('Purchase Return'!G:G,'Purchase Return'!F:F,Sheet4!A998)=0,"",SUMIFS('Purchase Return'!G:G,'Purchase Return'!F:F,Sheet4!A998))</f>
        <v/>
      </c>
      <c r="G998" t="str">
        <f t="shared" si="15"/>
        <v/>
      </c>
    </row>
    <row r="999" spans="1:7">
      <c r="A999" t="str">
        <f>IF('Product List'!B999="","",'Product List'!B999)</f>
        <v/>
      </c>
      <c r="B999" t="str">
        <f>IF('Product List'!C999="","",'Product List'!C999)</f>
        <v/>
      </c>
      <c r="C999" t="str">
        <f>IF(SUMIFS('Purchase Record'!G:G,'Purchase Record'!F:F,Sheet4!A999)=0,"",SUMIFS('Purchase Record'!G:G,'Purchase Record'!F:F,Sheet4!A999))</f>
        <v/>
      </c>
      <c r="D999" t="str">
        <f>IF(SUMIFS('Sales Record'!H:H,'Sales Record'!F:F,Sheet4!A999)=0,"",SUMIFS('Sales Record'!H:H,'Sales Record'!F:F,Sheet4!A999))</f>
        <v/>
      </c>
      <c r="E999" t="str">
        <f>IF(SUMIFS('Sales Return'!G:G,'Sales Return'!F:F,Sheet4!A999)=0,"",SUMIFS('Sales Return'!G:G,'Sales Return'!F:F,Sheet4!A999))</f>
        <v/>
      </c>
      <c r="F999" t="str">
        <f>IF(SUMIFS('Purchase Return'!G:G,'Purchase Return'!F:F,Sheet4!A999)=0,"",SUMIFS('Purchase Return'!G:G,'Purchase Return'!F:F,Sheet4!A999))</f>
        <v/>
      </c>
      <c r="G999" t="str">
        <f t="shared" si="15"/>
        <v/>
      </c>
    </row>
    <row r="1000" spans="1:7">
      <c r="A1000" t="str">
        <f>IF('Product List'!B1000="","",'Product List'!B1000)</f>
        <v/>
      </c>
      <c r="B1000" t="str">
        <f>IF('Product List'!C1000="","",'Product List'!C1000)</f>
        <v/>
      </c>
      <c r="C1000" t="str">
        <f>IF(SUMIFS('Purchase Record'!G:G,'Purchase Record'!F:F,Sheet4!A1000)=0,"",SUMIFS('Purchase Record'!G:G,'Purchase Record'!F:F,Sheet4!A1000))</f>
        <v/>
      </c>
      <c r="D1000" t="str">
        <f>IF(SUMIFS('Sales Record'!H:H,'Sales Record'!F:F,Sheet4!A1000)=0,"",SUMIFS('Sales Record'!H:H,'Sales Record'!F:F,Sheet4!A1000))</f>
        <v/>
      </c>
      <c r="E1000" t="str">
        <f>IF(SUMIFS('Sales Return'!G:G,'Sales Return'!F:F,Sheet4!A1000)=0,"",SUMIFS('Sales Return'!G:G,'Sales Return'!F:F,Sheet4!A1000))</f>
        <v/>
      </c>
      <c r="F1000" t="str">
        <f>IF(SUMIFS('Purchase Return'!G:G,'Purchase Return'!F:F,Sheet4!A1000)=0,"",SUMIFS('Purchase Return'!G:G,'Purchase Return'!F:F,Sheet4!A1000))</f>
        <v/>
      </c>
      <c r="G1000" t="str">
        <f t="shared" si="15"/>
        <v/>
      </c>
    </row>
    <row r="1001" spans="1:7">
      <c r="A1001" t="str">
        <f>IF('Product List'!B1001="","",'Product List'!B1001)</f>
        <v/>
      </c>
      <c r="B1001" t="str">
        <f>IF('Product List'!C1001="","",'Product List'!C1001)</f>
        <v/>
      </c>
      <c r="C1001" t="str">
        <f>IF(SUMIFS('Purchase Record'!G:G,'Purchase Record'!F:F,Sheet4!A1001)=0,"",SUMIFS('Purchase Record'!G:G,'Purchase Record'!F:F,Sheet4!A1001))</f>
        <v/>
      </c>
      <c r="D1001" t="str">
        <f>IF(SUMIFS('Sales Record'!H:H,'Sales Record'!F:F,Sheet4!A1001)=0,"",SUMIFS('Sales Record'!H:H,'Sales Record'!F:F,Sheet4!A1001))</f>
        <v/>
      </c>
      <c r="E1001" t="str">
        <f>IF(SUMIFS('Sales Return'!G:G,'Sales Return'!F:F,Sheet4!A1001)=0,"",SUMIFS('Sales Return'!G:G,'Sales Return'!F:F,Sheet4!A1001))</f>
        <v/>
      </c>
      <c r="F1001" t="str">
        <f>IF(SUMIFS('Purchase Return'!G:G,'Purchase Return'!F:F,Sheet4!A1001)=0,"",SUMIFS('Purchase Return'!G:G,'Purchase Return'!F:F,Sheet4!A1001))</f>
        <v/>
      </c>
      <c r="G1001" t="str">
        <f t="shared" si="15"/>
        <v/>
      </c>
    </row>
    <row r="1002" spans="1:7">
      <c r="A1002" t="str">
        <f>IF('Product List'!B1002="","",'Product List'!B1002)</f>
        <v/>
      </c>
      <c r="B1002" t="str">
        <f>IF('Product List'!C1002="","",'Product List'!C1002)</f>
        <v/>
      </c>
      <c r="C1002" t="str">
        <f>IF(SUMIFS('Purchase Record'!G:G,'Purchase Record'!F:F,Sheet4!A1002)=0,"",SUMIFS('Purchase Record'!G:G,'Purchase Record'!F:F,Sheet4!A1002))</f>
        <v/>
      </c>
      <c r="D1002" t="str">
        <f>IF(SUMIFS('Sales Record'!H:H,'Sales Record'!F:F,Sheet4!A1002)=0,"",SUMIFS('Sales Record'!H:H,'Sales Record'!F:F,Sheet4!A1002))</f>
        <v/>
      </c>
      <c r="E1002" t="str">
        <f>IF(SUMIFS('Sales Return'!G:G,'Sales Return'!F:F,Sheet4!A1002)=0,"",SUMIFS('Sales Return'!G:G,'Sales Return'!F:F,Sheet4!A1002))</f>
        <v/>
      </c>
      <c r="F1002" t="str">
        <f>IF(SUMIFS('Purchase Return'!G:G,'Purchase Return'!F:F,Sheet4!A1002)=0,"",SUMIFS('Purchase Return'!G:G,'Purchase Return'!F:F,Sheet4!A1002))</f>
        <v/>
      </c>
      <c r="G1002" t="str">
        <f t="shared" si="15"/>
        <v/>
      </c>
    </row>
    <row r="1003" spans="1:7">
      <c r="A1003" t="str">
        <f>IF('Product List'!B1003="","",'Product List'!B1003)</f>
        <v/>
      </c>
      <c r="B1003" t="str">
        <f>IF('Product List'!C1003="","",'Product List'!C1003)</f>
        <v/>
      </c>
      <c r="C1003" t="str">
        <f>IF(SUMIFS('Purchase Record'!G:G,'Purchase Record'!F:F,Sheet4!A1003)=0,"",SUMIFS('Purchase Record'!G:G,'Purchase Record'!F:F,Sheet4!A1003))</f>
        <v/>
      </c>
      <c r="D1003" t="str">
        <f>IF(SUMIFS('Sales Record'!H:H,'Sales Record'!F:F,Sheet4!A1003)=0,"",SUMIFS('Sales Record'!H:H,'Sales Record'!F:F,Sheet4!A1003))</f>
        <v/>
      </c>
      <c r="E1003" t="str">
        <f>IF(SUMIFS('Sales Return'!G:G,'Sales Return'!F:F,Sheet4!A1003)=0,"",SUMIFS('Sales Return'!G:G,'Sales Return'!F:F,Sheet4!A1003))</f>
        <v/>
      </c>
      <c r="F1003" t="str">
        <f>IF(SUMIFS('Purchase Return'!G:G,'Purchase Return'!F:F,Sheet4!A1003)=0,"",SUMIFS('Purchase Return'!G:G,'Purchase Return'!F:F,Sheet4!A1003))</f>
        <v/>
      </c>
      <c r="G1003" t="str">
        <f t="shared" si="15"/>
        <v/>
      </c>
    </row>
    <row r="1004" spans="1:7">
      <c r="A1004" t="str">
        <f>IF('Product List'!B1004="","",'Product List'!B1004)</f>
        <v/>
      </c>
      <c r="B1004" t="str">
        <f>IF('Product List'!C1004="","",'Product List'!C1004)</f>
        <v/>
      </c>
      <c r="C1004" t="str">
        <f>IF(SUMIFS('Purchase Record'!G:G,'Purchase Record'!F:F,Sheet4!A1004)=0,"",SUMIFS('Purchase Record'!G:G,'Purchase Record'!F:F,Sheet4!A1004))</f>
        <v/>
      </c>
      <c r="D1004" t="str">
        <f>IF(SUMIFS('Sales Record'!H:H,'Sales Record'!F:F,Sheet4!A1004)=0,"",SUMIFS('Sales Record'!H:H,'Sales Record'!F:F,Sheet4!A1004))</f>
        <v/>
      </c>
      <c r="E1004" t="str">
        <f>IF(SUMIFS('Sales Return'!G:G,'Sales Return'!F:F,Sheet4!A1004)=0,"",SUMIFS('Sales Return'!G:G,'Sales Return'!F:F,Sheet4!A1004))</f>
        <v/>
      </c>
      <c r="F1004" t="str">
        <f>IF(SUMIFS('Purchase Return'!G:G,'Purchase Return'!F:F,Sheet4!A1004)=0,"",SUMIFS('Purchase Return'!G:G,'Purchase Return'!F:F,Sheet4!A1004))</f>
        <v/>
      </c>
      <c r="G1004" t="str">
        <f t="shared" si="15"/>
        <v/>
      </c>
    </row>
    <row r="1005" spans="1:7">
      <c r="A1005" t="str">
        <f>IF('Product List'!B1005="","",'Product List'!B1005)</f>
        <v/>
      </c>
      <c r="B1005" t="str">
        <f>IF('Product List'!C1005="","",'Product List'!C1005)</f>
        <v/>
      </c>
      <c r="C1005" t="str">
        <f>IF(SUMIFS('Purchase Record'!G:G,'Purchase Record'!F:F,Sheet4!A1005)=0,"",SUMIFS('Purchase Record'!G:G,'Purchase Record'!F:F,Sheet4!A1005))</f>
        <v/>
      </c>
      <c r="D1005" t="str">
        <f>IF(SUMIFS('Sales Record'!H:H,'Sales Record'!F:F,Sheet4!A1005)=0,"",SUMIFS('Sales Record'!H:H,'Sales Record'!F:F,Sheet4!A1005))</f>
        <v/>
      </c>
      <c r="E1005" t="str">
        <f>IF(SUMIFS('Sales Return'!G:G,'Sales Return'!F:F,Sheet4!A1005)=0,"",SUMIFS('Sales Return'!G:G,'Sales Return'!F:F,Sheet4!A1005))</f>
        <v/>
      </c>
      <c r="F1005" t="str">
        <f>IF(SUMIFS('Purchase Return'!G:G,'Purchase Return'!F:F,Sheet4!A1005)=0,"",SUMIFS('Purchase Return'!G:G,'Purchase Return'!F:F,Sheet4!A1005))</f>
        <v/>
      </c>
      <c r="G1005" t="str">
        <f t="shared" si="15"/>
        <v/>
      </c>
    </row>
    <row r="1006" spans="1:7">
      <c r="A1006" t="str">
        <f>IF('Product List'!B1006="","",'Product List'!B1006)</f>
        <v/>
      </c>
      <c r="B1006" t="str">
        <f>IF('Product List'!C1006="","",'Product List'!C1006)</f>
        <v/>
      </c>
      <c r="C1006" t="str">
        <f>IF(SUMIFS('Purchase Record'!G:G,'Purchase Record'!F:F,Sheet4!A1006)=0,"",SUMIFS('Purchase Record'!G:G,'Purchase Record'!F:F,Sheet4!A1006))</f>
        <v/>
      </c>
      <c r="D1006" t="str">
        <f>IF(SUMIFS('Sales Record'!H:H,'Sales Record'!F:F,Sheet4!A1006)=0,"",SUMIFS('Sales Record'!H:H,'Sales Record'!F:F,Sheet4!A1006))</f>
        <v/>
      </c>
      <c r="E1006" t="str">
        <f>IF(SUMIFS('Sales Return'!G:G,'Sales Return'!F:F,Sheet4!A1006)=0,"",SUMIFS('Sales Return'!G:G,'Sales Return'!F:F,Sheet4!A1006))</f>
        <v/>
      </c>
      <c r="F1006" t="str">
        <f>IF(SUMIFS('Purchase Return'!G:G,'Purchase Return'!F:F,Sheet4!A1006)=0,"",SUMIFS('Purchase Return'!G:G,'Purchase Return'!F:F,Sheet4!A1006))</f>
        <v/>
      </c>
      <c r="G1006" t="str">
        <f t="shared" si="15"/>
        <v/>
      </c>
    </row>
    <row r="1007" spans="1:7">
      <c r="A1007" t="str">
        <f>IF('Product List'!B1007="","",'Product List'!B1007)</f>
        <v/>
      </c>
      <c r="B1007" t="str">
        <f>IF('Product List'!C1007="","",'Product List'!C1007)</f>
        <v/>
      </c>
      <c r="C1007" t="str">
        <f>IF(SUMIFS('Purchase Record'!G:G,'Purchase Record'!F:F,Sheet4!A1007)=0,"",SUMIFS('Purchase Record'!G:G,'Purchase Record'!F:F,Sheet4!A1007))</f>
        <v/>
      </c>
      <c r="D1007" t="str">
        <f>IF(SUMIFS('Sales Record'!H:H,'Sales Record'!F:F,Sheet4!A1007)=0,"",SUMIFS('Sales Record'!H:H,'Sales Record'!F:F,Sheet4!A1007))</f>
        <v/>
      </c>
      <c r="E1007" t="str">
        <f>IF(SUMIFS('Sales Return'!G:G,'Sales Return'!F:F,Sheet4!A1007)=0,"",SUMIFS('Sales Return'!G:G,'Sales Return'!F:F,Sheet4!A1007))</f>
        <v/>
      </c>
      <c r="F1007" t="str">
        <f>IF(SUMIFS('Purchase Return'!G:G,'Purchase Return'!F:F,Sheet4!A1007)=0,"",SUMIFS('Purchase Return'!G:G,'Purchase Return'!F:F,Sheet4!A1007))</f>
        <v/>
      </c>
      <c r="G1007" t="str">
        <f t="shared" si="15"/>
        <v/>
      </c>
    </row>
    <row r="1008" spans="1:7">
      <c r="A1008" t="str">
        <f>IF('Product List'!B1008="","",'Product List'!B1008)</f>
        <v/>
      </c>
      <c r="B1008" t="str">
        <f>IF('Product List'!C1008="","",'Product List'!C1008)</f>
        <v/>
      </c>
      <c r="C1008" t="str">
        <f>IF(SUMIFS('Purchase Record'!G:G,'Purchase Record'!F:F,Sheet4!A1008)=0,"",SUMIFS('Purchase Record'!G:G,'Purchase Record'!F:F,Sheet4!A1008))</f>
        <v/>
      </c>
      <c r="D1008" t="str">
        <f>IF(SUMIFS('Sales Record'!H:H,'Sales Record'!F:F,Sheet4!A1008)=0,"",SUMIFS('Sales Record'!H:H,'Sales Record'!F:F,Sheet4!A1008))</f>
        <v/>
      </c>
      <c r="E1008" t="str">
        <f>IF(SUMIFS('Sales Return'!G:G,'Sales Return'!F:F,Sheet4!A1008)=0,"",SUMIFS('Sales Return'!G:G,'Sales Return'!F:F,Sheet4!A1008))</f>
        <v/>
      </c>
      <c r="F1008" t="str">
        <f>IF(SUMIFS('Purchase Return'!G:G,'Purchase Return'!F:F,Sheet4!A1008)=0,"",SUMIFS('Purchase Return'!G:G,'Purchase Return'!F:F,Sheet4!A1008))</f>
        <v/>
      </c>
      <c r="G1008" t="str">
        <f t="shared" si="15"/>
        <v/>
      </c>
    </row>
    <row r="1009" spans="1:7">
      <c r="A1009" t="str">
        <f>IF('Product List'!B1009="","",'Product List'!B1009)</f>
        <v/>
      </c>
      <c r="B1009" t="str">
        <f>IF('Product List'!C1009="","",'Product List'!C1009)</f>
        <v/>
      </c>
      <c r="C1009" t="str">
        <f>IF(SUMIFS('Purchase Record'!G:G,'Purchase Record'!F:F,Sheet4!A1009)=0,"",SUMIFS('Purchase Record'!G:G,'Purchase Record'!F:F,Sheet4!A1009))</f>
        <v/>
      </c>
      <c r="D1009" t="str">
        <f>IF(SUMIFS('Sales Record'!H:H,'Sales Record'!F:F,Sheet4!A1009)=0,"",SUMIFS('Sales Record'!H:H,'Sales Record'!F:F,Sheet4!A1009))</f>
        <v/>
      </c>
      <c r="E1009" t="str">
        <f>IF(SUMIFS('Sales Return'!G:G,'Sales Return'!F:F,Sheet4!A1009)=0,"",SUMIFS('Sales Return'!G:G,'Sales Return'!F:F,Sheet4!A1009))</f>
        <v/>
      </c>
      <c r="F1009" t="str">
        <f>IF(SUMIFS('Purchase Return'!G:G,'Purchase Return'!F:F,Sheet4!A1009)=0,"",SUMIFS('Purchase Return'!G:G,'Purchase Return'!F:F,Sheet4!A1009))</f>
        <v/>
      </c>
      <c r="G1009" t="str">
        <f t="shared" si="15"/>
        <v/>
      </c>
    </row>
    <row r="1010" spans="1:7">
      <c r="A1010" t="str">
        <f>IF('Product List'!B1010="","",'Product List'!B1010)</f>
        <v/>
      </c>
      <c r="B1010" t="str">
        <f>IF('Product List'!C1010="","",'Product List'!C1010)</f>
        <v/>
      </c>
      <c r="C1010" t="str">
        <f>IF(SUMIFS('Purchase Record'!G:G,'Purchase Record'!F:F,Sheet4!A1010)=0,"",SUMIFS('Purchase Record'!G:G,'Purchase Record'!F:F,Sheet4!A1010))</f>
        <v/>
      </c>
      <c r="D1010" t="str">
        <f>IF(SUMIFS('Sales Record'!H:H,'Sales Record'!F:F,Sheet4!A1010)=0,"",SUMIFS('Sales Record'!H:H,'Sales Record'!F:F,Sheet4!A1010))</f>
        <v/>
      </c>
      <c r="E1010" t="str">
        <f>IF(SUMIFS('Sales Return'!G:G,'Sales Return'!F:F,Sheet4!A1010)=0,"",SUMIFS('Sales Return'!G:G,'Sales Return'!F:F,Sheet4!A1010))</f>
        <v/>
      </c>
      <c r="F1010" t="str">
        <f>IF(SUMIFS('Purchase Return'!G:G,'Purchase Return'!F:F,Sheet4!A1010)=0,"",SUMIFS('Purchase Return'!G:G,'Purchase Return'!F:F,Sheet4!A1010))</f>
        <v/>
      </c>
      <c r="G1010" t="str">
        <f t="shared" si="15"/>
        <v/>
      </c>
    </row>
    <row r="1011" spans="1:7">
      <c r="A1011" t="str">
        <f>IF('Product List'!B1011="","",'Product List'!B1011)</f>
        <v/>
      </c>
      <c r="B1011" t="str">
        <f>IF('Product List'!C1011="","",'Product List'!C1011)</f>
        <v/>
      </c>
      <c r="C1011" t="str">
        <f>IF(SUMIFS('Purchase Record'!G:G,'Purchase Record'!F:F,Sheet4!A1011)=0,"",SUMIFS('Purchase Record'!G:G,'Purchase Record'!F:F,Sheet4!A1011))</f>
        <v/>
      </c>
      <c r="D1011" t="str">
        <f>IF(SUMIFS('Sales Record'!H:H,'Sales Record'!F:F,Sheet4!A1011)=0,"",SUMIFS('Sales Record'!H:H,'Sales Record'!F:F,Sheet4!A1011))</f>
        <v/>
      </c>
      <c r="E1011" t="str">
        <f>IF(SUMIFS('Sales Return'!G:G,'Sales Return'!F:F,Sheet4!A1011)=0,"",SUMIFS('Sales Return'!G:G,'Sales Return'!F:F,Sheet4!A1011))</f>
        <v/>
      </c>
      <c r="F1011" t="str">
        <f>IF(SUMIFS('Purchase Return'!G:G,'Purchase Return'!F:F,Sheet4!A1011)=0,"",SUMIFS('Purchase Return'!G:G,'Purchase Return'!F:F,Sheet4!A1011))</f>
        <v/>
      </c>
      <c r="G1011" t="str">
        <f t="shared" si="15"/>
        <v/>
      </c>
    </row>
    <row r="1012" spans="1:7">
      <c r="A1012" t="str">
        <f>IF('Product List'!B1012="","",'Product List'!B1012)</f>
        <v/>
      </c>
      <c r="B1012" t="str">
        <f>IF('Product List'!C1012="","",'Product List'!C1012)</f>
        <v/>
      </c>
      <c r="C1012" t="str">
        <f>IF(SUMIFS('Purchase Record'!G:G,'Purchase Record'!F:F,Sheet4!A1012)=0,"",SUMIFS('Purchase Record'!G:G,'Purchase Record'!F:F,Sheet4!A1012))</f>
        <v/>
      </c>
      <c r="D1012" t="str">
        <f>IF(SUMIFS('Sales Record'!H:H,'Sales Record'!F:F,Sheet4!A1012)=0,"",SUMIFS('Sales Record'!H:H,'Sales Record'!F:F,Sheet4!A1012))</f>
        <v/>
      </c>
      <c r="E1012" t="str">
        <f>IF(SUMIFS('Sales Return'!G:G,'Sales Return'!F:F,Sheet4!A1012)=0,"",SUMIFS('Sales Return'!G:G,'Sales Return'!F:F,Sheet4!A1012))</f>
        <v/>
      </c>
      <c r="F1012" t="str">
        <f>IF(SUMIFS('Purchase Return'!G:G,'Purchase Return'!F:F,Sheet4!A1012)=0,"",SUMIFS('Purchase Return'!G:G,'Purchase Return'!F:F,Sheet4!A1012))</f>
        <v/>
      </c>
      <c r="G1012" t="str">
        <f t="shared" si="15"/>
        <v/>
      </c>
    </row>
    <row r="1013" spans="1:7">
      <c r="A1013" t="str">
        <f>IF('Product List'!B1013="","",'Product List'!B1013)</f>
        <v/>
      </c>
      <c r="B1013" t="str">
        <f>IF('Product List'!C1013="","",'Product List'!C1013)</f>
        <v/>
      </c>
      <c r="C1013" t="str">
        <f>IF(SUMIFS('Purchase Record'!G:G,'Purchase Record'!F:F,Sheet4!A1013)=0,"",SUMIFS('Purchase Record'!G:G,'Purchase Record'!F:F,Sheet4!A1013))</f>
        <v/>
      </c>
      <c r="D1013" t="str">
        <f>IF(SUMIFS('Sales Record'!H:H,'Sales Record'!F:F,Sheet4!A1013)=0,"",SUMIFS('Sales Record'!H:H,'Sales Record'!F:F,Sheet4!A1013))</f>
        <v/>
      </c>
      <c r="E1013" t="str">
        <f>IF(SUMIFS('Sales Return'!G:G,'Sales Return'!F:F,Sheet4!A1013)=0,"",SUMIFS('Sales Return'!G:G,'Sales Return'!F:F,Sheet4!A1013))</f>
        <v/>
      </c>
      <c r="F1013" t="str">
        <f>IF(SUMIFS('Purchase Return'!G:G,'Purchase Return'!F:F,Sheet4!A1013)=0,"",SUMIFS('Purchase Return'!G:G,'Purchase Return'!F:F,Sheet4!A1013))</f>
        <v/>
      </c>
      <c r="G1013" t="str">
        <f t="shared" si="15"/>
        <v/>
      </c>
    </row>
    <row r="1014" spans="1:7">
      <c r="A1014" t="str">
        <f>IF('Product List'!B1014="","",'Product List'!B1014)</f>
        <v/>
      </c>
      <c r="B1014" t="str">
        <f>IF('Product List'!C1014="","",'Product List'!C1014)</f>
        <v/>
      </c>
      <c r="C1014" t="str">
        <f>IF(SUMIFS('Purchase Record'!G:G,'Purchase Record'!F:F,Sheet4!A1014)=0,"",SUMIFS('Purchase Record'!G:G,'Purchase Record'!F:F,Sheet4!A1014))</f>
        <v/>
      </c>
      <c r="D1014" t="str">
        <f>IF(SUMIFS('Sales Record'!H:H,'Sales Record'!F:F,Sheet4!A1014)=0,"",SUMIFS('Sales Record'!H:H,'Sales Record'!F:F,Sheet4!A1014))</f>
        <v/>
      </c>
      <c r="E1014" t="str">
        <f>IF(SUMIFS('Sales Return'!G:G,'Sales Return'!F:F,Sheet4!A1014)=0,"",SUMIFS('Sales Return'!G:G,'Sales Return'!F:F,Sheet4!A1014))</f>
        <v/>
      </c>
      <c r="F1014" t="str">
        <f>IF(SUMIFS('Purchase Return'!G:G,'Purchase Return'!F:F,Sheet4!A1014)=0,"",SUMIFS('Purchase Return'!G:G,'Purchase Return'!F:F,Sheet4!A1014))</f>
        <v/>
      </c>
      <c r="G1014" t="str">
        <f t="shared" si="15"/>
        <v/>
      </c>
    </row>
    <row r="1015" spans="1:7">
      <c r="A1015" t="str">
        <f>IF('Product List'!B1015="","",'Product List'!B1015)</f>
        <v/>
      </c>
      <c r="B1015" t="str">
        <f>IF('Product List'!C1015="","",'Product List'!C1015)</f>
        <v/>
      </c>
      <c r="C1015" t="str">
        <f>IF(SUMIFS('Purchase Record'!G:G,'Purchase Record'!F:F,Sheet4!A1015)=0,"",SUMIFS('Purchase Record'!G:G,'Purchase Record'!F:F,Sheet4!A1015))</f>
        <v/>
      </c>
      <c r="D1015" t="str">
        <f>IF(SUMIFS('Sales Record'!H:H,'Sales Record'!F:F,Sheet4!A1015)=0,"",SUMIFS('Sales Record'!H:H,'Sales Record'!F:F,Sheet4!A1015))</f>
        <v/>
      </c>
      <c r="E1015" t="str">
        <f>IF(SUMIFS('Sales Return'!G:G,'Sales Return'!F:F,Sheet4!A1015)=0,"",SUMIFS('Sales Return'!G:G,'Sales Return'!F:F,Sheet4!A1015))</f>
        <v/>
      </c>
      <c r="F1015" t="str">
        <f>IF(SUMIFS('Purchase Return'!G:G,'Purchase Return'!F:F,Sheet4!A1015)=0,"",SUMIFS('Purchase Return'!G:G,'Purchase Return'!F:F,Sheet4!A1015))</f>
        <v/>
      </c>
      <c r="G1015" t="str">
        <f t="shared" si="15"/>
        <v/>
      </c>
    </row>
    <row r="1016" spans="1:7">
      <c r="A1016" t="str">
        <f>IF('Product List'!B1016="","",'Product List'!B1016)</f>
        <v/>
      </c>
      <c r="B1016" t="str">
        <f>IF('Product List'!C1016="","",'Product List'!C1016)</f>
        <v/>
      </c>
      <c r="C1016" t="str">
        <f>IF(SUMIFS('Purchase Record'!G:G,'Purchase Record'!F:F,Sheet4!A1016)=0,"",SUMIFS('Purchase Record'!G:G,'Purchase Record'!F:F,Sheet4!A1016))</f>
        <v/>
      </c>
      <c r="D1016" t="str">
        <f>IF(SUMIFS('Sales Record'!H:H,'Sales Record'!F:F,Sheet4!A1016)=0,"",SUMIFS('Sales Record'!H:H,'Sales Record'!F:F,Sheet4!A1016))</f>
        <v/>
      </c>
      <c r="E1016" t="str">
        <f>IF(SUMIFS('Sales Return'!G:G,'Sales Return'!F:F,Sheet4!A1016)=0,"",SUMIFS('Sales Return'!G:G,'Sales Return'!F:F,Sheet4!A1016))</f>
        <v/>
      </c>
      <c r="F1016" t="str">
        <f>IF(SUMIFS('Purchase Return'!G:G,'Purchase Return'!F:F,Sheet4!A1016)=0,"",SUMIFS('Purchase Return'!G:G,'Purchase Return'!F:F,Sheet4!A1016))</f>
        <v/>
      </c>
      <c r="G1016" t="str">
        <f t="shared" si="15"/>
        <v/>
      </c>
    </row>
    <row r="1017" spans="1:7">
      <c r="A1017" t="str">
        <f>IF('Product List'!B1017="","",'Product List'!B1017)</f>
        <v/>
      </c>
      <c r="B1017" t="str">
        <f>IF('Product List'!C1017="","",'Product List'!C1017)</f>
        <v/>
      </c>
      <c r="C1017" t="str">
        <f>IF(SUMIFS('Purchase Record'!G:G,'Purchase Record'!F:F,Sheet4!A1017)=0,"",SUMIFS('Purchase Record'!G:G,'Purchase Record'!F:F,Sheet4!A1017))</f>
        <v/>
      </c>
      <c r="D1017" t="str">
        <f>IF(SUMIFS('Sales Record'!H:H,'Sales Record'!F:F,Sheet4!A1017)=0,"",SUMIFS('Sales Record'!H:H,'Sales Record'!F:F,Sheet4!A1017))</f>
        <v/>
      </c>
      <c r="E1017" t="str">
        <f>IF(SUMIFS('Sales Return'!G:G,'Sales Return'!F:F,Sheet4!A1017)=0,"",SUMIFS('Sales Return'!G:G,'Sales Return'!F:F,Sheet4!A1017))</f>
        <v/>
      </c>
      <c r="F1017" t="str">
        <f>IF(SUMIFS('Purchase Return'!G:G,'Purchase Return'!F:F,Sheet4!A1017)=0,"",SUMIFS('Purchase Return'!G:G,'Purchase Return'!F:F,Sheet4!A1017))</f>
        <v/>
      </c>
      <c r="G1017" t="str">
        <f t="shared" si="15"/>
        <v/>
      </c>
    </row>
    <row r="1018" spans="1:7">
      <c r="A1018" t="str">
        <f>IF('Product List'!B1018="","",'Product List'!B1018)</f>
        <v/>
      </c>
      <c r="B1018" t="str">
        <f>IF('Product List'!C1018="","",'Product List'!C1018)</f>
        <v/>
      </c>
      <c r="C1018" t="str">
        <f>IF(SUMIFS('Purchase Record'!G:G,'Purchase Record'!F:F,Sheet4!A1018)=0,"",SUMIFS('Purchase Record'!G:G,'Purchase Record'!F:F,Sheet4!A1018))</f>
        <v/>
      </c>
      <c r="D1018" t="str">
        <f>IF(SUMIFS('Sales Record'!H:H,'Sales Record'!F:F,Sheet4!A1018)=0,"",SUMIFS('Sales Record'!H:H,'Sales Record'!F:F,Sheet4!A1018))</f>
        <v/>
      </c>
      <c r="E1018" t="str">
        <f>IF(SUMIFS('Sales Return'!G:G,'Sales Return'!F:F,Sheet4!A1018)=0,"",SUMIFS('Sales Return'!G:G,'Sales Return'!F:F,Sheet4!A1018))</f>
        <v/>
      </c>
      <c r="F1018" t="str">
        <f>IF(SUMIFS('Purchase Return'!G:G,'Purchase Return'!F:F,Sheet4!A1018)=0,"",SUMIFS('Purchase Return'!G:G,'Purchase Return'!F:F,Sheet4!A1018))</f>
        <v/>
      </c>
      <c r="G1018" t="str">
        <f t="shared" si="15"/>
        <v/>
      </c>
    </row>
    <row r="1019" spans="1:7">
      <c r="A1019" t="str">
        <f>IF('Product List'!B1019="","",'Product List'!B1019)</f>
        <v/>
      </c>
      <c r="B1019" t="str">
        <f>IF('Product List'!C1019="","",'Product List'!C1019)</f>
        <v/>
      </c>
      <c r="C1019" t="str">
        <f>IF(SUMIFS('Purchase Record'!G:G,'Purchase Record'!F:F,Sheet4!A1019)=0,"",SUMIFS('Purchase Record'!G:G,'Purchase Record'!F:F,Sheet4!A1019))</f>
        <v/>
      </c>
      <c r="D1019" t="str">
        <f>IF(SUMIFS('Sales Record'!H:H,'Sales Record'!F:F,Sheet4!A1019)=0,"",SUMIFS('Sales Record'!H:H,'Sales Record'!F:F,Sheet4!A1019))</f>
        <v/>
      </c>
      <c r="E1019" t="str">
        <f>IF(SUMIFS('Sales Return'!G:G,'Sales Return'!F:F,Sheet4!A1019)=0,"",SUMIFS('Sales Return'!G:G,'Sales Return'!F:F,Sheet4!A1019))</f>
        <v/>
      </c>
      <c r="F1019" t="str">
        <f>IF(SUMIFS('Purchase Return'!G:G,'Purchase Return'!F:F,Sheet4!A1019)=0,"",SUMIFS('Purchase Return'!G:G,'Purchase Return'!F:F,Sheet4!A1019))</f>
        <v/>
      </c>
      <c r="G1019" t="str">
        <f t="shared" si="15"/>
        <v/>
      </c>
    </row>
    <row r="1020" spans="1:7">
      <c r="A1020" t="str">
        <f>IF('Product List'!B1020="","",'Product List'!B1020)</f>
        <v/>
      </c>
      <c r="B1020" t="str">
        <f>IF('Product List'!C1020="","",'Product List'!C1020)</f>
        <v/>
      </c>
      <c r="C1020" t="str">
        <f>IF(SUMIFS('Purchase Record'!G:G,'Purchase Record'!F:F,Sheet4!A1020)=0,"",SUMIFS('Purchase Record'!G:G,'Purchase Record'!F:F,Sheet4!A1020))</f>
        <v/>
      </c>
      <c r="D1020" t="str">
        <f>IF(SUMIFS('Sales Record'!H:H,'Sales Record'!F:F,Sheet4!A1020)=0,"",SUMIFS('Sales Record'!H:H,'Sales Record'!F:F,Sheet4!A1020))</f>
        <v/>
      </c>
      <c r="E1020" t="str">
        <f>IF(SUMIFS('Sales Return'!G:G,'Sales Return'!F:F,Sheet4!A1020)=0,"",SUMIFS('Sales Return'!G:G,'Sales Return'!F:F,Sheet4!A1020))</f>
        <v/>
      </c>
      <c r="F1020" t="str">
        <f>IF(SUMIFS('Purchase Return'!G:G,'Purchase Return'!F:F,Sheet4!A1020)=0,"",SUMIFS('Purchase Return'!G:G,'Purchase Return'!F:F,Sheet4!A1020))</f>
        <v/>
      </c>
      <c r="G1020" t="str">
        <f t="shared" si="15"/>
        <v/>
      </c>
    </row>
    <row r="1021" spans="1:7">
      <c r="A1021" t="str">
        <f>IF('Product List'!B1021="","",'Product List'!B1021)</f>
        <v/>
      </c>
      <c r="B1021" t="str">
        <f>IF('Product List'!C1021="","",'Product List'!C1021)</f>
        <v/>
      </c>
      <c r="C1021" t="str">
        <f>IF(SUMIFS('Purchase Record'!G:G,'Purchase Record'!F:F,Sheet4!A1021)=0,"",SUMIFS('Purchase Record'!G:G,'Purchase Record'!F:F,Sheet4!A1021))</f>
        <v/>
      </c>
      <c r="D1021" t="str">
        <f>IF(SUMIFS('Sales Record'!H:H,'Sales Record'!F:F,Sheet4!A1021)=0,"",SUMIFS('Sales Record'!H:H,'Sales Record'!F:F,Sheet4!A1021))</f>
        <v/>
      </c>
      <c r="E1021" t="str">
        <f>IF(SUMIFS('Sales Return'!G:G,'Sales Return'!F:F,Sheet4!A1021)=0,"",SUMIFS('Sales Return'!G:G,'Sales Return'!F:F,Sheet4!A1021))</f>
        <v/>
      </c>
      <c r="F1021" t="str">
        <f>IF(SUMIFS('Purchase Return'!G:G,'Purchase Return'!F:F,Sheet4!A1021)=0,"",SUMIFS('Purchase Return'!G:G,'Purchase Return'!F:F,Sheet4!A1021))</f>
        <v/>
      </c>
      <c r="G1021" t="str">
        <f t="shared" si="15"/>
        <v/>
      </c>
    </row>
    <row r="1022" spans="1:7">
      <c r="A1022" t="str">
        <f>IF('Product List'!B1022="","",'Product List'!B1022)</f>
        <v/>
      </c>
      <c r="B1022" t="str">
        <f>IF('Product List'!C1022="","",'Product List'!C1022)</f>
        <v/>
      </c>
      <c r="C1022" t="str">
        <f>IF(SUMIFS('Purchase Record'!G:G,'Purchase Record'!F:F,Sheet4!A1022)=0,"",SUMIFS('Purchase Record'!G:G,'Purchase Record'!F:F,Sheet4!A1022))</f>
        <v/>
      </c>
      <c r="D1022" t="str">
        <f>IF(SUMIFS('Sales Record'!H:H,'Sales Record'!F:F,Sheet4!A1022)=0,"",SUMIFS('Sales Record'!H:H,'Sales Record'!F:F,Sheet4!A1022))</f>
        <v/>
      </c>
      <c r="E1022" t="str">
        <f>IF(SUMIFS('Sales Return'!G:G,'Sales Return'!F:F,Sheet4!A1022)=0,"",SUMIFS('Sales Return'!G:G,'Sales Return'!F:F,Sheet4!A1022))</f>
        <v/>
      </c>
      <c r="F1022" t="str">
        <f>IF(SUMIFS('Purchase Return'!G:G,'Purchase Return'!F:F,Sheet4!A1022)=0,"",SUMIFS('Purchase Return'!G:G,'Purchase Return'!F:F,Sheet4!A1022))</f>
        <v/>
      </c>
      <c r="G1022" t="str">
        <f t="shared" si="15"/>
        <v/>
      </c>
    </row>
    <row r="1023" spans="1:7">
      <c r="A1023" t="str">
        <f>IF('Product List'!B1023="","",'Product List'!B1023)</f>
        <v/>
      </c>
      <c r="B1023" t="str">
        <f>IF('Product List'!C1023="","",'Product List'!C1023)</f>
        <v/>
      </c>
      <c r="C1023" t="str">
        <f>IF(SUMIFS('Purchase Record'!G:G,'Purchase Record'!F:F,Sheet4!A1023)=0,"",SUMIFS('Purchase Record'!G:G,'Purchase Record'!F:F,Sheet4!A1023))</f>
        <v/>
      </c>
      <c r="D1023" t="str">
        <f>IF(SUMIFS('Sales Record'!H:H,'Sales Record'!F:F,Sheet4!A1023)=0,"",SUMIFS('Sales Record'!H:H,'Sales Record'!F:F,Sheet4!A1023))</f>
        <v/>
      </c>
      <c r="E1023" t="str">
        <f>IF(SUMIFS('Sales Return'!G:G,'Sales Return'!F:F,Sheet4!A1023)=0,"",SUMIFS('Sales Return'!G:G,'Sales Return'!F:F,Sheet4!A1023))</f>
        <v/>
      </c>
      <c r="F1023" t="str">
        <f>IF(SUMIFS('Purchase Return'!G:G,'Purchase Return'!F:F,Sheet4!A1023)=0,"",SUMIFS('Purchase Return'!G:G,'Purchase Return'!F:F,Sheet4!A1023))</f>
        <v/>
      </c>
      <c r="G1023" t="str">
        <f t="shared" si="15"/>
        <v/>
      </c>
    </row>
    <row r="1024" spans="1:7">
      <c r="A1024" t="str">
        <f>IF('Product List'!B1024="","",'Product List'!B1024)</f>
        <v/>
      </c>
      <c r="B1024" t="str">
        <f>IF('Product List'!C1024="","",'Product List'!C1024)</f>
        <v/>
      </c>
      <c r="C1024" t="str">
        <f>IF(SUMIFS('Purchase Record'!G:G,'Purchase Record'!F:F,Sheet4!A1024)=0,"",SUMIFS('Purchase Record'!G:G,'Purchase Record'!F:F,Sheet4!A1024))</f>
        <v/>
      </c>
      <c r="D1024" t="str">
        <f>IF(SUMIFS('Sales Record'!H:H,'Sales Record'!F:F,Sheet4!A1024)=0,"",SUMIFS('Sales Record'!H:H,'Sales Record'!F:F,Sheet4!A1024))</f>
        <v/>
      </c>
      <c r="E1024" t="str">
        <f>IF(SUMIFS('Sales Return'!G:G,'Sales Return'!F:F,Sheet4!A1024)=0,"",SUMIFS('Sales Return'!G:G,'Sales Return'!F:F,Sheet4!A1024))</f>
        <v/>
      </c>
      <c r="F1024" t="str">
        <f>IF(SUMIFS('Purchase Return'!G:G,'Purchase Return'!F:F,Sheet4!A1024)=0,"",SUMIFS('Purchase Return'!G:G,'Purchase Return'!F:F,Sheet4!A1024))</f>
        <v/>
      </c>
      <c r="G1024" t="str">
        <f t="shared" si="15"/>
        <v/>
      </c>
    </row>
    <row r="1025" spans="1:7">
      <c r="A1025" t="str">
        <f>IF('Product List'!B1025="","",'Product List'!B1025)</f>
        <v/>
      </c>
      <c r="B1025" t="str">
        <f>IF('Product List'!C1025="","",'Product List'!C1025)</f>
        <v/>
      </c>
      <c r="C1025" t="str">
        <f>IF(SUMIFS('Purchase Record'!G:G,'Purchase Record'!F:F,Sheet4!A1025)=0,"",SUMIFS('Purchase Record'!G:G,'Purchase Record'!F:F,Sheet4!A1025))</f>
        <v/>
      </c>
      <c r="D1025" t="str">
        <f>IF(SUMIFS('Sales Record'!H:H,'Sales Record'!F:F,Sheet4!A1025)=0,"",SUMIFS('Sales Record'!H:H,'Sales Record'!F:F,Sheet4!A1025))</f>
        <v/>
      </c>
      <c r="E1025" t="str">
        <f>IF(SUMIFS('Sales Return'!G:G,'Sales Return'!F:F,Sheet4!A1025)=0,"",SUMIFS('Sales Return'!G:G,'Sales Return'!F:F,Sheet4!A1025))</f>
        <v/>
      </c>
      <c r="F1025" t="str">
        <f>IF(SUMIFS('Purchase Return'!G:G,'Purchase Return'!F:F,Sheet4!A1025)=0,"",SUMIFS('Purchase Return'!G:G,'Purchase Return'!F:F,Sheet4!A1025))</f>
        <v/>
      </c>
      <c r="G1025" t="str">
        <f t="shared" si="15"/>
        <v/>
      </c>
    </row>
    <row r="1026" spans="1:7">
      <c r="A1026" t="str">
        <f>IF('Product List'!B1026="","",'Product List'!B1026)</f>
        <v/>
      </c>
      <c r="B1026" t="str">
        <f>IF('Product List'!C1026="","",'Product List'!C1026)</f>
        <v/>
      </c>
      <c r="C1026" t="str">
        <f>IF(SUMIFS('Purchase Record'!G:G,'Purchase Record'!F:F,Sheet4!A1026)=0,"",SUMIFS('Purchase Record'!G:G,'Purchase Record'!F:F,Sheet4!A1026))</f>
        <v/>
      </c>
      <c r="D1026" t="str">
        <f>IF(SUMIFS('Sales Record'!H:H,'Sales Record'!F:F,Sheet4!A1026)=0,"",SUMIFS('Sales Record'!H:H,'Sales Record'!F:F,Sheet4!A1026))</f>
        <v/>
      </c>
      <c r="E1026" t="str">
        <f>IF(SUMIFS('Sales Return'!G:G,'Sales Return'!F:F,Sheet4!A1026)=0,"",SUMIFS('Sales Return'!G:G,'Sales Return'!F:F,Sheet4!A1026))</f>
        <v/>
      </c>
      <c r="F1026" t="str">
        <f>IF(SUMIFS('Purchase Return'!G:G,'Purchase Return'!F:F,Sheet4!A1026)=0,"",SUMIFS('Purchase Return'!G:G,'Purchase Return'!F:F,Sheet4!A1026))</f>
        <v/>
      </c>
      <c r="G1026" t="str">
        <f t="shared" si="15"/>
        <v/>
      </c>
    </row>
    <row r="1027" spans="1:7">
      <c r="A1027" t="str">
        <f>IF('Product List'!B1027="","",'Product List'!B1027)</f>
        <v/>
      </c>
      <c r="B1027" t="str">
        <f>IF('Product List'!C1027="","",'Product List'!C1027)</f>
        <v/>
      </c>
      <c r="C1027" t="str">
        <f>IF(SUMIFS('Purchase Record'!G:G,'Purchase Record'!F:F,Sheet4!A1027)=0,"",SUMIFS('Purchase Record'!G:G,'Purchase Record'!F:F,Sheet4!A1027))</f>
        <v/>
      </c>
      <c r="D1027" t="str">
        <f>IF(SUMIFS('Sales Record'!H:H,'Sales Record'!F:F,Sheet4!A1027)=0,"",SUMIFS('Sales Record'!H:H,'Sales Record'!F:F,Sheet4!A1027))</f>
        <v/>
      </c>
      <c r="E1027" t="str">
        <f>IF(SUMIFS('Sales Return'!G:G,'Sales Return'!F:F,Sheet4!A1027)=0,"",SUMIFS('Sales Return'!G:G,'Sales Return'!F:F,Sheet4!A1027))</f>
        <v/>
      </c>
      <c r="F1027" t="str">
        <f>IF(SUMIFS('Purchase Return'!G:G,'Purchase Return'!F:F,Sheet4!A1027)=0,"",SUMIFS('Purchase Return'!G:G,'Purchase Return'!F:F,Sheet4!A1027))</f>
        <v/>
      </c>
      <c r="G1027" t="str">
        <f t="shared" ref="G1027:G1047" si="16">IF(C1027="","",N(C1027)-N(D1027)+N(E1027)-N(F1027))</f>
        <v/>
      </c>
    </row>
    <row r="1028" spans="1:7">
      <c r="A1028" t="str">
        <f>IF('Product List'!B1028="","",'Product List'!B1028)</f>
        <v/>
      </c>
      <c r="B1028" t="str">
        <f>IF('Product List'!C1028="","",'Product List'!C1028)</f>
        <v/>
      </c>
      <c r="C1028" t="str">
        <f>IF(SUMIFS('Purchase Record'!G:G,'Purchase Record'!F:F,Sheet4!A1028)=0,"",SUMIFS('Purchase Record'!G:G,'Purchase Record'!F:F,Sheet4!A1028))</f>
        <v/>
      </c>
      <c r="D1028" t="str">
        <f>IF(SUMIFS('Sales Record'!H:H,'Sales Record'!F:F,Sheet4!A1028)=0,"",SUMIFS('Sales Record'!H:H,'Sales Record'!F:F,Sheet4!A1028))</f>
        <v/>
      </c>
      <c r="E1028" t="str">
        <f>IF(SUMIFS('Sales Return'!G:G,'Sales Return'!F:F,Sheet4!A1028)=0,"",SUMIFS('Sales Return'!G:G,'Sales Return'!F:F,Sheet4!A1028))</f>
        <v/>
      </c>
      <c r="F1028" t="str">
        <f>IF(SUMIFS('Purchase Return'!G:G,'Purchase Return'!F:F,Sheet4!A1028)=0,"",SUMIFS('Purchase Return'!G:G,'Purchase Return'!F:F,Sheet4!A1028))</f>
        <v/>
      </c>
      <c r="G1028" t="str">
        <f t="shared" si="16"/>
        <v/>
      </c>
    </row>
    <row r="1029" spans="1:7">
      <c r="A1029" t="str">
        <f>IF('Product List'!B1029="","",'Product List'!B1029)</f>
        <v/>
      </c>
      <c r="B1029" t="str">
        <f>IF('Product List'!C1029="","",'Product List'!C1029)</f>
        <v/>
      </c>
      <c r="C1029" t="str">
        <f>IF(SUMIFS('Purchase Record'!G:G,'Purchase Record'!F:F,Sheet4!A1029)=0,"",SUMIFS('Purchase Record'!G:G,'Purchase Record'!F:F,Sheet4!A1029))</f>
        <v/>
      </c>
      <c r="D1029" t="str">
        <f>IF(SUMIFS('Sales Record'!H:H,'Sales Record'!F:F,Sheet4!A1029)=0,"",SUMIFS('Sales Record'!H:H,'Sales Record'!F:F,Sheet4!A1029))</f>
        <v/>
      </c>
      <c r="E1029" t="str">
        <f>IF(SUMIFS('Sales Return'!G:G,'Sales Return'!F:F,Sheet4!A1029)=0,"",SUMIFS('Sales Return'!G:G,'Sales Return'!F:F,Sheet4!A1029))</f>
        <v/>
      </c>
      <c r="F1029" t="str">
        <f>IF(SUMIFS('Purchase Return'!G:G,'Purchase Return'!F:F,Sheet4!A1029)=0,"",SUMIFS('Purchase Return'!G:G,'Purchase Return'!F:F,Sheet4!A1029))</f>
        <v/>
      </c>
      <c r="G1029" t="str">
        <f t="shared" si="16"/>
        <v/>
      </c>
    </row>
    <row r="1030" spans="1:7">
      <c r="A1030" t="str">
        <f>IF('Product List'!B1030="","",'Product List'!B1030)</f>
        <v/>
      </c>
      <c r="B1030" t="str">
        <f>IF('Product List'!C1030="","",'Product List'!C1030)</f>
        <v/>
      </c>
      <c r="C1030" t="str">
        <f>IF(SUMIFS('Purchase Record'!G:G,'Purchase Record'!F:F,Sheet4!A1030)=0,"",SUMIFS('Purchase Record'!G:G,'Purchase Record'!F:F,Sheet4!A1030))</f>
        <v/>
      </c>
      <c r="D1030" t="str">
        <f>IF(SUMIFS('Sales Record'!H:H,'Sales Record'!F:F,Sheet4!A1030)=0,"",SUMIFS('Sales Record'!H:H,'Sales Record'!F:F,Sheet4!A1030))</f>
        <v/>
      </c>
      <c r="E1030" t="str">
        <f>IF(SUMIFS('Sales Return'!G:G,'Sales Return'!F:F,Sheet4!A1030)=0,"",SUMIFS('Sales Return'!G:G,'Sales Return'!F:F,Sheet4!A1030))</f>
        <v/>
      </c>
      <c r="F1030" t="str">
        <f>IF(SUMIFS('Purchase Return'!G:G,'Purchase Return'!F:F,Sheet4!A1030)=0,"",SUMIFS('Purchase Return'!G:G,'Purchase Return'!F:F,Sheet4!A1030))</f>
        <v/>
      </c>
      <c r="G1030" t="str">
        <f t="shared" si="16"/>
        <v/>
      </c>
    </row>
    <row r="1031" spans="1:7">
      <c r="A1031" t="str">
        <f>IF('Product List'!B1031="","",'Product List'!B1031)</f>
        <v/>
      </c>
      <c r="B1031" t="str">
        <f>IF('Product List'!C1031="","",'Product List'!C1031)</f>
        <v/>
      </c>
      <c r="C1031" t="str">
        <f>IF(SUMIFS('Purchase Record'!G:G,'Purchase Record'!F:F,Sheet4!A1031)=0,"",SUMIFS('Purchase Record'!G:G,'Purchase Record'!F:F,Sheet4!A1031))</f>
        <v/>
      </c>
      <c r="D1031" t="str">
        <f>IF(SUMIFS('Sales Record'!H:H,'Sales Record'!F:F,Sheet4!A1031)=0,"",SUMIFS('Sales Record'!H:H,'Sales Record'!F:F,Sheet4!A1031))</f>
        <v/>
      </c>
      <c r="E1031" t="str">
        <f>IF(SUMIFS('Sales Return'!G:G,'Sales Return'!F:F,Sheet4!A1031)=0,"",SUMIFS('Sales Return'!G:G,'Sales Return'!F:F,Sheet4!A1031))</f>
        <v/>
      </c>
      <c r="F1031" t="str">
        <f>IF(SUMIFS('Purchase Return'!G:G,'Purchase Return'!F:F,Sheet4!A1031)=0,"",SUMIFS('Purchase Return'!G:G,'Purchase Return'!F:F,Sheet4!A1031))</f>
        <v/>
      </c>
      <c r="G1031" t="str">
        <f t="shared" si="16"/>
        <v/>
      </c>
    </row>
    <row r="1032" spans="1:7">
      <c r="A1032" t="str">
        <f>IF('Product List'!B1032="","",'Product List'!B1032)</f>
        <v/>
      </c>
      <c r="B1032" t="str">
        <f>IF('Product List'!C1032="","",'Product List'!C1032)</f>
        <v/>
      </c>
      <c r="C1032" t="str">
        <f>IF(SUMIFS('Purchase Record'!G:G,'Purchase Record'!F:F,Sheet4!A1032)=0,"",SUMIFS('Purchase Record'!G:G,'Purchase Record'!F:F,Sheet4!A1032))</f>
        <v/>
      </c>
      <c r="D1032" t="str">
        <f>IF(SUMIFS('Sales Record'!H:H,'Sales Record'!F:F,Sheet4!A1032)=0,"",SUMIFS('Sales Record'!H:H,'Sales Record'!F:F,Sheet4!A1032))</f>
        <v/>
      </c>
      <c r="E1032" t="str">
        <f>IF(SUMIFS('Sales Return'!G:G,'Sales Return'!F:F,Sheet4!A1032)=0,"",SUMIFS('Sales Return'!G:G,'Sales Return'!F:F,Sheet4!A1032))</f>
        <v/>
      </c>
      <c r="F1032" t="str">
        <f>IF(SUMIFS('Purchase Return'!G:G,'Purchase Return'!F:F,Sheet4!A1032)=0,"",SUMIFS('Purchase Return'!G:G,'Purchase Return'!F:F,Sheet4!A1032))</f>
        <v/>
      </c>
      <c r="G1032" t="str">
        <f t="shared" si="16"/>
        <v/>
      </c>
    </row>
    <row r="1033" spans="1:7">
      <c r="A1033" t="str">
        <f>IF('Product List'!B1033="","",'Product List'!B1033)</f>
        <v/>
      </c>
      <c r="B1033" t="str">
        <f>IF('Product List'!C1033="","",'Product List'!C1033)</f>
        <v/>
      </c>
      <c r="C1033" t="str">
        <f>IF(SUMIFS('Purchase Record'!G:G,'Purchase Record'!F:F,Sheet4!A1033)=0,"",SUMIFS('Purchase Record'!G:G,'Purchase Record'!F:F,Sheet4!A1033))</f>
        <v/>
      </c>
      <c r="D1033" t="str">
        <f>IF(SUMIFS('Sales Record'!H:H,'Sales Record'!F:F,Sheet4!A1033)=0,"",SUMIFS('Sales Record'!H:H,'Sales Record'!F:F,Sheet4!A1033))</f>
        <v/>
      </c>
      <c r="E1033" t="str">
        <f>IF(SUMIFS('Sales Return'!G:G,'Sales Return'!F:F,Sheet4!A1033)=0,"",SUMIFS('Sales Return'!G:G,'Sales Return'!F:F,Sheet4!A1033))</f>
        <v/>
      </c>
      <c r="F1033" t="str">
        <f>IF(SUMIFS('Purchase Return'!G:G,'Purchase Return'!F:F,Sheet4!A1033)=0,"",SUMIFS('Purchase Return'!G:G,'Purchase Return'!F:F,Sheet4!A1033))</f>
        <v/>
      </c>
      <c r="G1033" t="str">
        <f t="shared" si="16"/>
        <v/>
      </c>
    </row>
    <row r="1034" spans="1:7">
      <c r="A1034" t="str">
        <f>IF('Product List'!B1034="","",'Product List'!B1034)</f>
        <v/>
      </c>
      <c r="B1034" t="str">
        <f>IF('Product List'!C1034="","",'Product List'!C1034)</f>
        <v/>
      </c>
      <c r="C1034" t="str">
        <f>IF(SUMIFS('Purchase Record'!G:G,'Purchase Record'!F:F,Sheet4!A1034)=0,"",SUMIFS('Purchase Record'!G:G,'Purchase Record'!F:F,Sheet4!A1034))</f>
        <v/>
      </c>
      <c r="D1034" t="str">
        <f>IF(SUMIFS('Sales Record'!H:H,'Sales Record'!F:F,Sheet4!A1034)=0,"",SUMIFS('Sales Record'!H:H,'Sales Record'!F:F,Sheet4!A1034))</f>
        <v/>
      </c>
      <c r="E1034" t="str">
        <f>IF(SUMIFS('Sales Return'!G:G,'Sales Return'!F:F,Sheet4!A1034)=0,"",SUMIFS('Sales Return'!G:G,'Sales Return'!F:F,Sheet4!A1034))</f>
        <v/>
      </c>
      <c r="F1034" t="str">
        <f>IF(SUMIFS('Purchase Return'!G:G,'Purchase Return'!F:F,Sheet4!A1034)=0,"",SUMIFS('Purchase Return'!G:G,'Purchase Return'!F:F,Sheet4!A1034))</f>
        <v/>
      </c>
      <c r="G1034" t="str">
        <f t="shared" si="16"/>
        <v/>
      </c>
    </row>
    <row r="1035" spans="1:7">
      <c r="A1035" t="str">
        <f>IF('Product List'!B1035="","",'Product List'!B1035)</f>
        <v/>
      </c>
      <c r="B1035" t="str">
        <f>IF('Product List'!C1035="","",'Product List'!C1035)</f>
        <v/>
      </c>
      <c r="C1035" t="str">
        <f>IF(SUMIFS('Purchase Record'!G:G,'Purchase Record'!F:F,Sheet4!A1035)=0,"",SUMIFS('Purchase Record'!G:G,'Purchase Record'!F:F,Sheet4!A1035))</f>
        <v/>
      </c>
      <c r="D1035" t="str">
        <f>IF(SUMIFS('Sales Record'!H:H,'Sales Record'!F:F,Sheet4!A1035)=0,"",SUMIFS('Sales Record'!H:H,'Sales Record'!F:F,Sheet4!A1035))</f>
        <v/>
      </c>
      <c r="E1035" t="str">
        <f>IF(SUMIFS('Sales Return'!G:G,'Sales Return'!F:F,Sheet4!A1035)=0,"",SUMIFS('Sales Return'!G:G,'Sales Return'!F:F,Sheet4!A1035))</f>
        <v/>
      </c>
      <c r="F1035" t="str">
        <f>IF(SUMIFS('Purchase Return'!G:G,'Purchase Return'!F:F,Sheet4!A1035)=0,"",SUMIFS('Purchase Return'!G:G,'Purchase Return'!F:F,Sheet4!A1035))</f>
        <v/>
      </c>
      <c r="G1035" t="str">
        <f t="shared" si="16"/>
        <v/>
      </c>
    </row>
    <row r="1036" spans="1:7">
      <c r="A1036" t="str">
        <f>IF('Product List'!B1036="","",'Product List'!B1036)</f>
        <v/>
      </c>
      <c r="B1036" t="str">
        <f>IF('Product List'!C1036="","",'Product List'!C1036)</f>
        <v/>
      </c>
      <c r="C1036" t="str">
        <f>IF(SUMIFS('Purchase Record'!G:G,'Purchase Record'!F:F,Sheet4!A1036)=0,"",SUMIFS('Purchase Record'!G:G,'Purchase Record'!F:F,Sheet4!A1036))</f>
        <v/>
      </c>
      <c r="D1036" t="str">
        <f>IF(SUMIFS('Sales Record'!H:H,'Sales Record'!F:F,Sheet4!A1036)=0,"",SUMIFS('Sales Record'!H:H,'Sales Record'!F:F,Sheet4!A1036))</f>
        <v/>
      </c>
      <c r="E1036" t="str">
        <f>IF(SUMIFS('Sales Return'!G:G,'Sales Return'!F:F,Sheet4!A1036)=0,"",SUMIFS('Sales Return'!G:G,'Sales Return'!F:F,Sheet4!A1036))</f>
        <v/>
      </c>
      <c r="F1036" t="str">
        <f>IF(SUMIFS('Purchase Return'!G:G,'Purchase Return'!F:F,Sheet4!A1036)=0,"",SUMIFS('Purchase Return'!G:G,'Purchase Return'!F:F,Sheet4!A1036))</f>
        <v/>
      </c>
      <c r="G1036" t="str">
        <f t="shared" si="16"/>
        <v/>
      </c>
    </row>
    <row r="1037" spans="1:7">
      <c r="A1037" t="str">
        <f>IF('Product List'!B1037="","",'Product List'!B1037)</f>
        <v/>
      </c>
      <c r="B1037" t="str">
        <f>IF('Product List'!C1037="","",'Product List'!C1037)</f>
        <v/>
      </c>
      <c r="C1037" t="str">
        <f>IF(SUMIFS('Purchase Record'!G:G,'Purchase Record'!F:F,Sheet4!A1037)=0,"",SUMIFS('Purchase Record'!G:G,'Purchase Record'!F:F,Sheet4!A1037))</f>
        <v/>
      </c>
      <c r="D1037" t="str">
        <f>IF(SUMIFS('Sales Record'!H:H,'Sales Record'!F:F,Sheet4!A1037)=0,"",SUMIFS('Sales Record'!H:H,'Sales Record'!F:F,Sheet4!A1037))</f>
        <v/>
      </c>
      <c r="E1037" t="str">
        <f>IF(SUMIFS('Sales Return'!G:G,'Sales Return'!F:F,Sheet4!A1037)=0,"",SUMIFS('Sales Return'!G:G,'Sales Return'!F:F,Sheet4!A1037))</f>
        <v/>
      </c>
      <c r="F1037" t="str">
        <f>IF(SUMIFS('Purchase Return'!G:G,'Purchase Return'!F:F,Sheet4!A1037)=0,"",SUMIFS('Purchase Return'!G:G,'Purchase Return'!F:F,Sheet4!A1037))</f>
        <v/>
      </c>
      <c r="G1037" t="str">
        <f t="shared" si="16"/>
        <v/>
      </c>
    </row>
    <row r="1038" spans="1:7">
      <c r="A1038" t="str">
        <f>IF('Product List'!B1038="","",'Product List'!B1038)</f>
        <v/>
      </c>
      <c r="B1038" t="str">
        <f>IF('Product List'!C1038="","",'Product List'!C1038)</f>
        <v/>
      </c>
      <c r="C1038" t="str">
        <f>IF(SUMIFS('Purchase Record'!G:G,'Purchase Record'!F:F,Sheet4!A1038)=0,"",SUMIFS('Purchase Record'!G:G,'Purchase Record'!F:F,Sheet4!A1038))</f>
        <v/>
      </c>
      <c r="D1038" t="str">
        <f>IF(SUMIFS('Sales Record'!H:H,'Sales Record'!F:F,Sheet4!A1038)=0,"",SUMIFS('Sales Record'!H:H,'Sales Record'!F:F,Sheet4!A1038))</f>
        <v/>
      </c>
      <c r="E1038" t="str">
        <f>IF(SUMIFS('Sales Return'!G:G,'Sales Return'!F:F,Sheet4!A1038)=0,"",SUMIFS('Sales Return'!G:G,'Sales Return'!F:F,Sheet4!A1038))</f>
        <v/>
      </c>
      <c r="F1038" t="str">
        <f>IF(SUMIFS('Purchase Return'!G:G,'Purchase Return'!F:F,Sheet4!A1038)=0,"",SUMIFS('Purchase Return'!G:G,'Purchase Return'!F:F,Sheet4!A1038))</f>
        <v/>
      </c>
      <c r="G1038" t="str">
        <f t="shared" si="16"/>
        <v/>
      </c>
    </row>
    <row r="1039" spans="1:7">
      <c r="A1039" t="str">
        <f>IF('Product List'!B1039="","",'Product List'!B1039)</f>
        <v/>
      </c>
      <c r="B1039" t="str">
        <f>IF('Product List'!C1039="","",'Product List'!C1039)</f>
        <v/>
      </c>
      <c r="C1039" t="str">
        <f>IF(SUMIFS('Purchase Record'!G:G,'Purchase Record'!F:F,Sheet4!A1039)=0,"",SUMIFS('Purchase Record'!G:G,'Purchase Record'!F:F,Sheet4!A1039))</f>
        <v/>
      </c>
      <c r="D1039" t="str">
        <f>IF(SUMIFS('Sales Record'!H:H,'Sales Record'!F:F,Sheet4!A1039)=0,"",SUMIFS('Sales Record'!H:H,'Sales Record'!F:F,Sheet4!A1039))</f>
        <v/>
      </c>
      <c r="E1039" t="str">
        <f>IF(SUMIFS('Sales Return'!G:G,'Sales Return'!F:F,Sheet4!A1039)=0,"",SUMIFS('Sales Return'!G:G,'Sales Return'!F:F,Sheet4!A1039))</f>
        <v/>
      </c>
      <c r="F1039" t="str">
        <f>IF(SUMIFS('Purchase Return'!G:G,'Purchase Return'!F:F,Sheet4!A1039)=0,"",SUMIFS('Purchase Return'!G:G,'Purchase Return'!F:F,Sheet4!A1039))</f>
        <v/>
      </c>
      <c r="G1039" t="str">
        <f t="shared" si="16"/>
        <v/>
      </c>
    </row>
    <row r="1040" spans="1:7">
      <c r="A1040" t="str">
        <f>IF('Product List'!B1040="","",'Product List'!B1040)</f>
        <v/>
      </c>
      <c r="B1040" t="str">
        <f>IF('Product List'!C1040="","",'Product List'!C1040)</f>
        <v/>
      </c>
      <c r="C1040" t="str">
        <f>IF(SUMIFS('Purchase Record'!G:G,'Purchase Record'!F:F,Sheet4!A1040)=0,"",SUMIFS('Purchase Record'!G:G,'Purchase Record'!F:F,Sheet4!A1040))</f>
        <v/>
      </c>
      <c r="D1040" t="str">
        <f>IF(SUMIFS('Sales Record'!H:H,'Sales Record'!F:F,Sheet4!A1040)=0,"",SUMIFS('Sales Record'!H:H,'Sales Record'!F:F,Sheet4!A1040))</f>
        <v/>
      </c>
      <c r="E1040" t="str">
        <f>IF(SUMIFS('Sales Return'!G:G,'Sales Return'!F:F,Sheet4!A1040)=0,"",SUMIFS('Sales Return'!G:G,'Sales Return'!F:F,Sheet4!A1040))</f>
        <v/>
      </c>
      <c r="F1040" t="str">
        <f>IF(SUMIFS('Purchase Return'!G:G,'Purchase Return'!F:F,Sheet4!A1040)=0,"",SUMIFS('Purchase Return'!G:G,'Purchase Return'!F:F,Sheet4!A1040))</f>
        <v/>
      </c>
      <c r="G1040" t="str">
        <f t="shared" si="16"/>
        <v/>
      </c>
    </row>
    <row r="1041" spans="1:7">
      <c r="A1041" t="str">
        <f>IF('Product List'!B1041="","",'Product List'!B1041)</f>
        <v/>
      </c>
      <c r="B1041" t="str">
        <f>IF('Product List'!C1041="","",'Product List'!C1041)</f>
        <v/>
      </c>
      <c r="C1041" t="str">
        <f>IF(SUMIFS('Purchase Record'!G:G,'Purchase Record'!F:F,Sheet4!A1041)=0,"",SUMIFS('Purchase Record'!G:G,'Purchase Record'!F:F,Sheet4!A1041))</f>
        <v/>
      </c>
      <c r="D1041" t="str">
        <f>IF(SUMIFS('Sales Record'!H:H,'Sales Record'!F:F,Sheet4!A1041)=0,"",SUMIFS('Sales Record'!H:H,'Sales Record'!F:F,Sheet4!A1041))</f>
        <v/>
      </c>
      <c r="E1041" t="str">
        <f>IF(SUMIFS('Sales Return'!G:G,'Sales Return'!F:F,Sheet4!A1041)=0,"",SUMIFS('Sales Return'!G:G,'Sales Return'!F:F,Sheet4!A1041))</f>
        <v/>
      </c>
      <c r="F1041" t="str">
        <f>IF(SUMIFS('Purchase Return'!G:G,'Purchase Return'!F:F,Sheet4!A1041)=0,"",SUMIFS('Purchase Return'!G:G,'Purchase Return'!F:F,Sheet4!A1041))</f>
        <v/>
      </c>
      <c r="G1041" t="str">
        <f t="shared" si="16"/>
        <v/>
      </c>
    </row>
    <row r="1042" spans="1:7">
      <c r="A1042" t="str">
        <f>IF('Product List'!B1042="","",'Product List'!B1042)</f>
        <v/>
      </c>
      <c r="B1042" t="str">
        <f>IF('Product List'!C1042="","",'Product List'!C1042)</f>
        <v/>
      </c>
      <c r="C1042" t="str">
        <f>IF(SUMIFS('Purchase Record'!G:G,'Purchase Record'!F:F,Sheet4!A1042)=0,"",SUMIFS('Purchase Record'!G:G,'Purchase Record'!F:F,Sheet4!A1042))</f>
        <v/>
      </c>
      <c r="D1042" t="str">
        <f>IF(SUMIFS('Sales Record'!H:H,'Sales Record'!F:F,Sheet4!A1042)=0,"",SUMIFS('Sales Record'!H:H,'Sales Record'!F:F,Sheet4!A1042))</f>
        <v/>
      </c>
      <c r="E1042" t="str">
        <f>IF(SUMIFS('Sales Return'!G:G,'Sales Return'!F:F,Sheet4!A1042)=0,"",SUMIFS('Sales Return'!G:G,'Sales Return'!F:F,Sheet4!A1042))</f>
        <v/>
      </c>
      <c r="F1042" t="str">
        <f>IF(SUMIFS('Purchase Return'!G:G,'Purchase Return'!F:F,Sheet4!A1042)=0,"",SUMIFS('Purchase Return'!G:G,'Purchase Return'!F:F,Sheet4!A1042))</f>
        <v/>
      </c>
      <c r="G1042" t="str">
        <f t="shared" si="16"/>
        <v/>
      </c>
    </row>
    <row r="1043" spans="1:7">
      <c r="A1043" t="str">
        <f>IF('Product List'!B1043="","",'Product List'!B1043)</f>
        <v/>
      </c>
      <c r="B1043" t="str">
        <f>IF('Product List'!C1043="","",'Product List'!C1043)</f>
        <v/>
      </c>
      <c r="C1043" t="str">
        <f>IF(SUMIFS('Purchase Record'!G:G,'Purchase Record'!F:F,Sheet4!A1043)=0,"",SUMIFS('Purchase Record'!G:G,'Purchase Record'!F:F,Sheet4!A1043))</f>
        <v/>
      </c>
      <c r="D1043" t="str">
        <f>IF(SUMIFS('Sales Record'!H:H,'Sales Record'!F:F,Sheet4!A1043)=0,"",SUMIFS('Sales Record'!H:H,'Sales Record'!F:F,Sheet4!A1043))</f>
        <v/>
      </c>
      <c r="E1043" t="str">
        <f>IF(SUMIFS('Sales Return'!G:G,'Sales Return'!F:F,Sheet4!A1043)=0,"",SUMIFS('Sales Return'!G:G,'Sales Return'!F:F,Sheet4!A1043))</f>
        <v/>
      </c>
      <c r="F1043" t="str">
        <f>IF(SUMIFS('Purchase Return'!G:G,'Purchase Return'!F:F,Sheet4!A1043)=0,"",SUMIFS('Purchase Return'!G:G,'Purchase Return'!F:F,Sheet4!A1043))</f>
        <v/>
      </c>
      <c r="G1043" t="str">
        <f t="shared" si="16"/>
        <v/>
      </c>
    </row>
    <row r="1044" spans="1:7">
      <c r="A1044" t="str">
        <f>IF('Product List'!B1044="","",'Product List'!B1044)</f>
        <v/>
      </c>
      <c r="B1044" t="str">
        <f>IF('Product List'!C1044="","",'Product List'!C1044)</f>
        <v/>
      </c>
      <c r="C1044" t="str">
        <f>IF(SUMIFS('Purchase Record'!G:G,'Purchase Record'!F:F,Sheet4!A1044)=0,"",SUMIFS('Purchase Record'!G:G,'Purchase Record'!F:F,Sheet4!A1044))</f>
        <v/>
      </c>
      <c r="D1044" t="str">
        <f>IF(SUMIFS('Sales Record'!H:H,'Sales Record'!F:F,Sheet4!A1044)=0,"",SUMIFS('Sales Record'!H:H,'Sales Record'!F:F,Sheet4!A1044))</f>
        <v/>
      </c>
      <c r="E1044" t="str">
        <f>IF(SUMIFS('Sales Return'!G:G,'Sales Return'!F:F,Sheet4!A1044)=0,"",SUMIFS('Sales Return'!G:G,'Sales Return'!F:F,Sheet4!A1044))</f>
        <v/>
      </c>
      <c r="F1044" t="str">
        <f>IF(SUMIFS('Purchase Return'!G:G,'Purchase Return'!F:F,Sheet4!A1044)=0,"",SUMIFS('Purchase Return'!G:G,'Purchase Return'!F:F,Sheet4!A1044))</f>
        <v/>
      </c>
      <c r="G1044" t="str">
        <f t="shared" si="16"/>
        <v/>
      </c>
    </row>
    <row r="1045" spans="1:7">
      <c r="A1045" t="str">
        <f>IF('Product List'!B1045="","",'Product List'!B1045)</f>
        <v/>
      </c>
      <c r="B1045" t="str">
        <f>IF('Product List'!C1045="","",'Product List'!C1045)</f>
        <v/>
      </c>
      <c r="C1045" t="str">
        <f>IF(SUMIFS('Purchase Record'!G:G,'Purchase Record'!F:F,Sheet4!A1045)=0,"",SUMIFS('Purchase Record'!G:G,'Purchase Record'!F:F,Sheet4!A1045))</f>
        <v/>
      </c>
      <c r="D1045" t="str">
        <f>IF(SUMIFS('Sales Record'!H:H,'Sales Record'!F:F,Sheet4!A1045)=0,"",SUMIFS('Sales Record'!H:H,'Sales Record'!F:F,Sheet4!A1045))</f>
        <v/>
      </c>
      <c r="E1045" t="str">
        <f>IF(SUMIFS('Sales Return'!G:G,'Sales Return'!F:F,Sheet4!A1045)=0,"",SUMIFS('Sales Return'!G:G,'Sales Return'!F:F,Sheet4!A1045))</f>
        <v/>
      </c>
      <c r="F1045" t="str">
        <f>IF(SUMIFS('Purchase Return'!G:G,'Purchase Return'!F:F,Sheet4!A1045)=0,"",SUMIFS('Purchase Return'!G:G,'Purchase Return'!F:F,Sheet4!A1045))</f>
        <v/>
      </c>
      <c r="G1045" t="str">
        <f t="shared" si="16"/>
        <v/>
      </c>
    </row>
    <row r="1046" spans="1:7">
      <c r="A1046" t="str">
        <f>IF('Product List'!B1046="","",'Product List'!B1046)</f>
        <v/>
      </c>
      <c r="B1046" t="str">
        <f>IF('Product List'!C1046="","",'Product List'!C1046)</f>
        <v/>
      </c>
      <c r="C1046" t="str">
        <f>IF(SUMIFS('Purchase Record'!G:G,'Purchase Record'!F:F,Sheet4!A1046)=0,"",SUMIFS('Purchase Record'!G:G,'Purchase Record'!F:F,Sheet4!A1046))</f>
        <v/>
      </c>
      <c r="D1046" t="str">
        <f>IF(SUMIFS('Sales Record'!H:H,'Sales Record'!F:F,Sheet4!A1046)=0,"",SUMIFS('Sales Record'!H:H,'Sales Record'!F:F,Sheet4!A1046))</f>
        <v/>
      </c>
      <c r="E1046" t="str">
        <f>IF(SUMIFS('Sales Return'!G:G,'Sales Return'!F:F,Sheet4!A1046)=0,"",SUMIFS('Sales Return'!G:G,'Sales Return'!F:F,Sheet4!A1046))</f>
        <v/>
      </c>
      <c r="F1046" t="str">
        <f>IF(SUMIFS('Purchase Return'!G:G,'Purchase Return'!F:F,Sheet4!A1046)=0,"",SUMIFS('Purchase Return'!G:G,'Purchase Return'!F:F,Sheet4!A1046))</f>
        <v/>
      </c>
      <c r="G1046" t="str">
        <f t="shared" si="16"/>
        <v/>
      </c>
    </row>
    <row r="1047" spans="1:7">
      <c r="A1047" t="str">
        <f>IF('Product List'!B1047="","",'Product List'!B1047)</f>
        <v/>
      </c>
      <c r="C1047" t="str">
        <f>IF(SUMIFS('Purchase Record'!G:G,'Purchase Record'!F:F,Sheet4!A1047)=0,"",SUMIFS('Purchase Record'!G:G,'Purchase Record'!F:F,Sheet4!A1047))</f>
        <v/>
      </c>
      <c r="D1047" t="str">
        <f>IF(SUMIFS('Sales Record'!H:H,'Sales Record'!F:F,Sheet4!A1047)=0,"",SUMIFS('Sales Record'!H:H,'Sales Record'!F:F,Sheet4!A1047))</f>
        <v/>
      </c>
      <c r="E1047" t="str">
        <f>IF(SUMIFS('Sales Return'!G:G,'Sales Return'!F:F,Sheet4!A1047)=0,"",SUMIFS('Sales Return'!G:G,'Sales Return'!F:F,Sheet4!A1047))</f>
        <v/>
      </c>
      <c r="F1047" t="str">
        <f>IF(SUMIFS('Purchase Return'!G:G,'Purchase Return'!F:F,Sheet4!A1047)=0,"",SUMIFS('Purchase Return'!G:G,'Purchase Return'!F:F,Sheet4!A1047))</f>
        <v/>
      </c>
      <c r="G1047" t="str">
        <f t="shared" si="16"/>
        <v/>
      </c>
    </row>
  </sheetData>
  <sheetProtection algorithmName="SHA-512" hashValue="wyLchTiDFbltNzanqwyvhfqFiDSTYnehL/95X/gVCoKnoPxk+D1TzASBkieW9odjEk/1xwhUcjFZWesjthjrIw==" saltValue="mqwEaN0pCq+nx4qUhun/pw==" spinCount="100000" sheet="1" objects="1" scenarios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Product List</vt:lpstr>
      <vt:lpstr>Purchase Record</vt:lpstr>
      <vt:lpstr>Sales Record</vt:lpstr>
      <vt:lpstr>Sales Return</vt:lpstr>
      <vt:lpstr>Purchase Return</vt:lpstr>
      <vt:lpstr>SocialEXP</vt:lpstr>
      <vt:lpstr>Ads investment</vt:lpstr>
      <vt:lpstr>Other EXP</vt:lpstr>
      <vt:lpstr>Investment</vt:lpstr>
      <vt:lpstr>Category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2026-04-20T13:04:22Z</dcterms:created>
  <dcterms:modified xsi:type="dcterms:W3CDTF">2026-08-13T13:26:36Z</dcterms:modified>
</cp:coreProperties>
</file>